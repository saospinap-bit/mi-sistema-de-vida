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 y criterio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Justificacion DMO" sheetId="3" state="visible" r:id="rId3"/>
    <sheet xmlns:r="http://schemas.openxmlformats.org/officeDocument/2006/relationships" name="Vigas de Carga (7)" sheetId="4" state="visible" r:id="rId4"/>
    <sheet xmlns:r="http://schemas.openxmlformats.org/officeDocument/2006/relationships" name="Vigas de Rigidez (5)" sheetId="5" state="visible" r:id="rId5"/>
    <sheet xmlns:r="http://schemas.openxmlformats.org/officeDocument/2006/relationships" name="Todas las Vigas (592)" sheetId="6" state="visible" r:id="rId6"/>
    <sheet xmlns:r="http://schemas.openxmlformats.org/officeDocument/2006/relationships" name="Torsion demanda bruta" sheetId="7" state="visible" r:id="rId7"/>
    <sheet xmlns:r="http://schemas.openxmlformats.org/officeDocument/2006/relationships" name="Trazabilidad frames" sheetId="8" state="visible" r:id="rId8"/>
    <sheet xmlns:r="http://schemas.openxmlformats.org/officeDocument/2006/relationships" name="Auditoria y fuentes" sheetId="9" state="visible" r:id="rId9"/>
  </sheets>
  <definedNames>
    <definedName name="_xlnm._FilterDatabase" localSheetId="3" hidden="1">'Vigas de Carga (7)'!$A$3:$BJ$10</definedName>
    <definedName name="_xlnm._FilterDatabase" localSheetId="4" hidden="1">'Vigas de Rigidez (5)'!$A$3:$BJ$8</definedName>
    <definedName name="_xlnm._FilterDatabase" localSheetId="5" hidden="1">'Todas las Vigas (592)'!$A$3:$BJ$595</definedName>
    <definedName name="_xlnm._FilterDatabase" localSheetId="6" hidden="1">'Torsion demanda bruta'!$A$4:$J$596</definedName>
    <definedName name="_xlnm._FilterDatabase" localSheetId="7" hidden="1">'Trazabilidad frames'!$A$1:$T$593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5"/>
    </font>
    <font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A5A5A5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5B9BD5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VERIFICACIÓN SECCIONAL DE VIGAS — ENVOLVENTES DE FLEXIÓN Y CORTANTE</t>
        </is>
      </c>
    </row>
    <row r="3">
      <c r="A3" s="2" t="inlineStr">
        <is>
          <t>Alcance</t>
        </is>
      </c>
      <c r="B3" s="3" t="inlineStr">
        <is>
          <t>592 vigas de los 12 grupos SAP; diseño individual y resumen por grupo. No incluye viguetas.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Fuente</t>
        </is>
      </c>
      <c r="B4" s="3" t="inlineStr">
        <is>
          <t>resultados sap.xlsx, SAP2000 v26, unidades kN, m, C; ENVFLEX y ENVCORT con máximos y mínimos.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Flexión y cortante</t>
        </is>
      </c>
      <c r="B5" s="3" t="inlineStr">
        <is>
          <t>Mu se toma de ENVFLEX. Vu diseño = máx(Vu ENVCORT; Ve DMO), sin volver a dividir las fuerzas por R.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Verificación DMO</t>
        </is>
      </c>
      <c r="B6" s="3" t="inlineStr">
        <is>
          <t>Ve = Vu_ENVFLEX + (Mpr−+Mpr+)/Ln, con Ln conservadora = máx(L estación−0.60 m; 0.50L).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Torsión</t>
        </is>
      </c>
      <c r="B7" s="3" t="inlineStr">
        <is>
          <t>Tu = máx(|T| ENVFLEX; |T| ENVCORT), sin reducción automática a φTcr. Los 100 casos que exceden esa referencia requieren demostrar compatibilidad y reanalizar la redistribución antes de cualquier reducción.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Acero de torsión</t>
        </is>
      </c>
      <c r="B8" s="3" t="inlineStr">
        <is>
          <t>Al se provee con barras Nº5 dedicadas, adicionales al acero requerido por flexión y distribuidas alrededor del perímetro; no se acredita doblemente As superior/inferior.</t>
        </is>
      </c>
      <c r="C8" s="4" t="n"/>
      <c r="D8" s="4" t="n"/>
      <c r="E8" s="4" t="n"/>
      <c r="F8" s="4" t="n"/>
      <c r="G8" s="4" t="n"/>
      <c r="H8" s="4" t="n"/>
    </row>
    <row r="9">
      <c r="A9" s="2" t="inlineStr">
        <is>
          <t>Agrupación</t>
        </is>
      </c>
      <c r="B9" s="3" t="inlineStr">
        <is>
          <t>Cada grupo conserva color propio. El resumen usa el frame de mayor utilización real y evita combinar máximos incompatibles de vigas diferentes.</t>
        </is>
      </c>
      <c r="C9" s="4" t="n"/>
      <c r="D9" s="4" t="n"/>
      <c r="E9" s="4" t="n"/>
      <c r="F9" s="4" t="n"/>
      <c r="G9" s="4" t="n"/>
      <c r="H9" s="4" t="n"/>
    </row>
    <row r="10">
      <c r="A10" s="2" t="inlineStr">
        <is>
          <t>Secciones SAP</t>
        </is>
      </c>
      <c r="B10" s="3" t="inlineStr">
        <is>
          <t>VC1–VC7 y VRAUX: 0.45×0.55 m. VR1, VR N1, VR2 y VR3: 0.50×0.55 m.</t>
        </is>
      </c>
      <c r="C10" s="4" t="n"/>
      <c r="D10" s="4" t="n"/>
      <c r="E10" s="4" t="n"/>
      <c r="F10" s="4" t="n"/>
      <c r="G10" s="4" t="n"/>
      <c r="H10" s="4" t="n"/>
    </row>
    <row r="11">
      <c r="A11" s="2" t="inlineStr">
        <is>
          <t>Resultado</t>
        </is>
      </c>
      <c r="B11" s="3" t="inlineStr">
        <is>
          <t>536 de 592 vigas cumplen con torsión bruta; 56 quedan NO CUMPLE y requieren rediseño/reanálisis SAP. El expediente completo es NO EMITIR PARA CONSTRUCCIÓN.</t>
        </is>
      </c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RESULTADOS DE CONTROL</t>
        </is>
      </c>
    </row>
    <row r="13">
      <c r="A13" s="4" t="inlineStr">
        <is>
          <t>Frames exportados/diseñados</t>
        </is>
      </c>
      <c r="B13" s="6" t="n">
        <v>592</v>
      </c>
    </row>
    <row r="14">
      <c r="A14" s="4" t="inlineStr">
        <is>
          <t>Vigas diseñadas</t>
        </is>
      </c>
      <c r="B14" s="6" t="n">
        <v>592</v>
      </c>
    </row>
    <row r="15">
      <c r="A15" s="4" t="inlineStr">
        <is>
          <t>Frames que exceden referencia φTcr</t>
        </is>
      </c>
      <c r="B15" s="6" t="n">
        <v>100</v>
      </c>
    </row>
    <row r="16">
      <c r="A16" s="4" t="inlineStr">
        <is>
          <t>Grupos</t>
        </is>
      </c>
      <c r="B16" s="6" t="n">
        <v>12</v>
      </c>
    </row>
    <row r="17">
      <c r="A17" s="4" t="inlineStr">
        <is>
          <t>Grupos que cumplen</t>
        </is>
      </c>
      <c r="B17" s="7" t="n">
        <v>6</v>
      </c>
    </row>
    <row r="18">
      <c r="A18" s="4" t="inlineStr">
        <is>
          <t>Vigas que cumplen</t>
        </is>
      </c>
      <c r="B18" s="7" t="n">
        <v>536</v>
      </c>
    </row>
    <row r="19">
      <c r="A19" s="4" t="inlineStr">
        <is>
          <t>Grupos con observación</t>
        </is>
      </c>
      <c r="B19" s="6" t="n">
        <v>6</v>
      </c>
    </row>
    <row r="20">
      <c r="A20" s="4" t="inlineStr">
        <is>
          <t>Vigas con observación</t>
        </is>
      </c>
      <c r="B20" s="6" t="n">
        <v>56</v>
      </c>
    </row>
  </sheetData>
  <mergeCells count="11">
    <mergeCell ref="A12:H12"/>
    <mergeCell ref="B8:H8"/>
    <mergeCell ref="B9:H9"/>
    <mergeCell ref="B4:H4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48" customWidth="1" min="4" max="4"/>
  </cols>
  <sheetData>
    <row r="1">
      <c r="A1" s="8" t="inlineStr">
        <is>
          <t>PARÁMETROS GENERALES</t>
        </is>
      </c>
    </row>
    <row r="2">
      <c r="A2" s="9" t="inlineStr">
        <is>
          <t>f'c</t>
        </is>
      </c>
      <c r="B2" s="10" t="n">
        <v>28</v>
      </c>
      <c r="C2" s="10" t="inlineStr">
        <is>
          <t>MPa</t>
        </is>
      </c>
      <c r="D2" s="3" t="inlineStr">
        <is>
          <t>Concreto del proyecto</t>
        </is>
      </c>
    </row>
    <row r="3">
      <c r="A3" s="9" t="inlineStr">
        <is>
          <t>fy</t>
        </is>
      </c>
      <c r="B3" s="10" t="n">
        <v>420</v>
      </c>
      <c r="C3" s="10" t="inlineStr">
        <is>
          <t>MPa</t>
        </is>
      </c>
      <c r="D3" s="3" t="inlineStr">
        <is>
          <t>Acero longitudinal</t>
        </is>
      </c>
    </row>
    <row r="4">
      <c r="A4" s="9" t="inlineStr">
        <is>
          <t>fyt</t>
        </is>
      </c>
      <c r="B4" s="10" t="n">
        <v>420</v>
      </c>
      <c r="C4" s="10" t="inlineStr">
        <is>
          <t>MPa</t>
        </is>
      </c>
      <c r="D4" s="3" t="inlineStr">
        <is>
          <t>Acero transversal</t>
        </is>
      </c>
    </row>
    <row r="5">
      <c r="A5" s="9" t="inlineStr">
        <is>
          <t>φ flexión</t>
        </is>
      </c>
      <c r="B5" s="10" t="n">
        <v>0.9</v>
      </c>
      <c r="C5" s="10" t="inlineStr">
        <is>
          <t>—</t>
        </is>
      </c>
      <c r="D5" s="3" t="inlineStr">
        <is>
          <t>Secciones controladas por tracción</t>
        </is>
      </c>
    </row>
    <row r="6">
      <c r="A6" s="9" t="inlineStr">
        <is>
          <t>φ cortante/torsión</t>
        </is>
      </c>
      <c r="B6" s="10" t="n">
        <v>0.75</v>
      </c>
      <c r="C6" s="10" t="inlineStr">
        <is>
          <t>—</t>
        </is>
      </c>
      <c r="D6" s="3" t="inlineStr">
        <is>
          <t>NSR-10 Título C</t>
        </is>
      </c>
    </row>
    <row r="7">
      <c r="A7" s="9" t="inlineStr">
        <is>
          <t>Recubrimiento</t>
        </is>
      </c>
      <c r="B7" s="10" t="n">
        <v>40</v>
      </c>
      <c r="C7" s="10" t="inlineStr">
        <is>
          <t>mm</t>
        </is>
      </c>
      <c r="D7" s="3" t="inlineStr">
        <is>
          <t>Vigas interiores</t>
        </is>
      </c>
    </row>
    <row r="8">
      <c r="A8" s="9" t="inlineStr">
        <is>
          <t>Área barra longitudinal</t>
        </is>
      </c>
      <c r="B8" s="10" t="n">
        <v>199</v>
      </c>
      <c r="C8" s="10" t="inlineStr">
        <is>
          <t>mm²</t>
        </is>
      </c>
      <c r="D8" s="3" t="inlineStr">
        <is>
          <t>Nº5</t>
        </is>
      </c>
    </row>
    <row r="9">
      <c r="A9" s="9" t="inlineStr">
        <is>
          <t>db estribo para d</t>
        </is>
      </c>
      <c r="B9" s="10" t="n">
        <v>12.7</v>
      </c>
      <c r="C9" s="10" t="inlineStr">
        <is>
          <t>mm</t>
        </is>
      </c>
      <c r="D9" s="3" t="inlineStr">
        <is>
          <t>Nº4, conservador; el estribo adoptado se calcula por fila</t>
        </is>
      </c>
    </row>
    <row r="10">
      <c r="A10" s="9" t="inlineStr">
        <is>
          <t>Separación libre vertical</t>
        </is>
      </c>
      <c r="B10" s="10" t="n">
        <v>25</v>
      </c>
      <c r="C10" s="10" t="inlineStr">
        <is>
          <t>mm</t>
        </is>
      </c>
      <c r="D10" s="3" t="inlineStr">
        <is>
          <t>Entre capas</t>
        </is>
      </c>
    </row>
    <row r="11">
      <c r="A11" s="9" t="inlineStr">
        <is>
          <t>Área rama de referencia</t>
        </is>
      </c>
      <c r="B11" s="10" t="n">
        <v>129</v>
      </c>
      <c r="C11" s="10" t="inlineStr">
        <is>
          <t>mm²</t>
        </is>
      </c>
      <c r="D11" s="3" t="inlineStr">
        <is>
          <t>Nº4; cada fila muestra el área realmente adoptada</t>
        </is>
      </c>
    </row>
    <row r="12">
      <c r="A12" s="9" t="inlineStr">
        <is>
          <t>db longitudinal</t>
        </is>
      </c>
      <c r="B12" s="10" t="n">
        <v>15.9</v>
      </c>
      <c r="C12" s="10" t="inlineStr">
        <is>
          <t>mm</t>
        </is>
      </c>
      <c r="D12" s="3" t="inlineStr">
        <is>
          <t>Barra Nº5</t>
        </is>
      </c>
    </row>
    <row r="13">
      <c r="A13" s="9" t="inlineStr">
        <is>
          <t>R₀ del sistema DMO</t>
        </is>
      </c>
      <c r="B13" s="10" t="n">
        <v>5</v>
      </c>
      <c r="C13" s="10" t="inlineStr">
        <is>
          <t>—</t>
        </is>
      </c>
      <c r="D13" s="3" t="inlineStr">
        <is>
          <t>Valor básico adoptado</t>
        </is>
      </c>
    </row>
    <row r="14">
      <c r="A14" s="9" t="inlineStr">
        <is>
          <t>φa</t>
        </is>
      </c>
      <c r="B14" s="10" t="n">
        <v>1</v>
      </c>
      <c r="C14" s="10" t="inlineStr">
        <is>
          <t>—</t>
        </is>
      </c>
      <c r="D14" s="3" t="inlineStr">
        <is>
          <t>Irregularidad en altura</t>
        </is>
      </c>
    </row>
    <row r="15">
      <c r="A15" s="9" t="inlineStr">
        <is>
          <t>φp</t>
        </is>
      </c>
      <c r="B15" s="10" t="n">
        <v>1</v>
      </c>
      <c r="C15" s="10" t="inlineStr">
        <is>
          <t>—</t>
        </is>
      </c>
      <c r="D15" s="3" t="inlineStr">
        <is>
          <t>Irregularidad en planta</t>
        </is>
      </c>
    </row>
    <row r="16">
      <c r="A16" s="9" t="inlineStr">
        <is>
          <t>φr</t>
        </is>
      </c>
      <c r="B16" s="10" t="n">
        <v>1</v>
      </c>
      <c r="C16" s="10" t="inlineStr">
        <is>
          <t>—</t>
        </is>
      </c>
      <c r="D16" s="3" t="inlineStr">
        <is>
          <t>Ausencia de redundancia</t>
        </is>
      </c>
    </row>
    <row r="17">
      <c r="A17" s="9" t="inlineStr">
        <is>
          <t>R = R₀·φa·φp·φr</t>
        </is>
      </c>
      <c r="B17" s="10" t="n">
        <v>5</v>
      </c>
      <c r="C17" s="10" t="inlineStr">
        <is>
          <t>—</t>
        </is>
      </c>
      <c r="D17" s="3" t="inlineStr">
        <is>
          <t>Coeficiente usado para reducir Ex y Ey en ENVFLEX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7" customWidth="1" min="4" max="4"/>
    <col width="14" customWidth="1" min="5" max="5"/>
    <col width="15" customWidth="1" min="6" max="6"/>
    <col width="15" customWidth="1" min="7" max="7"/>
    <col width="18" customWidth="1" min="8" max="8"/>
    <col width="19" customWidth="1" min="9" max="9"/>
    <col width="15" customWidth="1" min="10" max="10"/>
    <col width="19" customWidth="1" min="11" max="11"/>
    <col width="22" customWidth="1" min="12" max="12"/>
  </cols>
  <sheetData>
    <row r="1">
      <c r="A1" s="11" t="inlineStr">
        <is>
          <t>JUSTIFICACIÓN DEL CORTANTE ADOPTADO — SISTEMA DMO, R = 5</t>
        </is>
      </c>
    </row>
    <row r="3">
      <c r="A3" s="2" t="inlineStr">
        <is>
          <t>Decisión de diseño</t>
        </is>
      </c>
      <c r="B3" s="3" t="inlineStr">
        <is>
          <t>Se adopta directamente ENVCORT y, adicionalmente, se verifica el cortante por capacidad DMO. No se reduce ni se descarta ningún valor de la envolvente de cortante.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2" t="inlineStr">
        <is>
          <t>Reducción sísmica</t>
        </is>
      </c>
      <c r="B4" s="3" t="inlineStr">
        <is>
          <t>R = R₀·φa·φp·φr = 5·1·1·1 = 5, incorporado por el equipo en las combinaciones suministradas.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2" t="inlineStr">
        <is>
          <t>Flexión y torsión</t>
        </is>
      </c>
      <c r="B5" s="3" t="inlineStr">
        <is>
          <t>Mu− y Mu+ se obtienen de ENVFLEX. Tu de diseño es el mayor |T| de ENVFLEX y ENVCORT, sin recorte a φTcr porque no se aportó clasificación ni reanálisis de redistribución.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2" t="inlineStr">
        <is>
          <t>Cortante directo</t>
        </is>
      </c>
      <c r="B6" s="3" t="inlineStr">
        <is>
          <t>Vu,ENVCORT = máximo |V2| de ENV CORTANTE y se considera íntegramente como demanda.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2" t="inlineStr">
        <is>
          <t>Cortante por capacidad</t>
        </is>
      </c>
      <c r="B7" s="3" t="inlineStr">
        <is>
          <t>Ve,DMO = Vg + (Mpr− + Mpr+)/Ln. Se adopta provisionalmente Ln = máx(L estación−0.60 m; 0.50L), hipótesis conservadora hasta confirmar las caras de apoyo en SAP. |V2| de ENVFLEX aproxima Vg.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2" t="inlineStr">
        <is>
          <t>Demanda adoptada</t>
        </is>
      </c>
      <c r="B8" s="3" t="inlineStr">
        <is>
          <t>Vu,diseño = máx(Vu,ENVCORT; Ve,DMO). Por tanto, el diseño nunca queda por debajo del cortante directo suministrado.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2" t="inlineStr">
        <is>
          <t>Cortante y torsión</t>
        </is>
      </c>
      <c r="B9" s="3" t="inlineStr">
        <is>
          <t>El estribo se diseña con máx(Av/s por resistencia; Av/s mínimo) + 2At/s; se verifican interacción V-T y límites de separación. Al se provee con barras dedicadas adicionales a flexión, distribuidas en el perímetro.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2" t="inlineStr">
        <is>
          <t>Secciones SAP</t>
        </is>
      </c>
      <c r="B10" s="3" t="inlineStr">
        <is>
          <t>VC1–VC7 y VRAUX usan 450×550 mm; VR1, VR N1, VR2 y VR3 usan 500×550 mm. Son las secciones efectivamente reanalizadas en resultados sap.xlsx.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2" t="inlineStr">
        <is>
          <t>Resultado</t>
        </is>
      </c>
      <c r="B11" s="3" t="inlineStr">
        <is>
          <t>536/592 vigas cumplen con torsión bruta y 56 quedan NO CUMPLE. Todo el expediente se marca NO EMITIR PARA CONSTRUCCIÓN hasta rediseño y reanálisis SAP.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4" ht="42" customHeight="1">
      <c r="A14" s="12" t="inlineStr">
        <is>
          <t>Grupo</t>
        </is>
      </c>
      <c r="B14" s="12" t="inlineStr">
        <is>
          <t>N</t>
        </is>
      </c>
      <c r="C14" s="12" t="inlineStr">
        <is>
          <t>Vu ENVFLEX</t>
        </is>
      </c>
      <c r="D14" s="12" t="inlineStr">
        <is>
          <t>Ve DMO conserv.</t>
        </is>
      </c>
      <c r="E14" s="12" t="inlineStr">
        <is>
          <t>Vu ENVCORT</t>
        </is>
      </c>
      <c r="F14" s="12" t="inlineStr">
        <is>
          <t>Vu adoptado</t>
        </is>
      </c>
      <c r="G14" s="12" t="inlineStr">
        <is>
          <t>φVn provisto</t>
        </is>
      </c>
      <c r="H14" s="12" t="inlineStr">
        <is>
          <t>φVn máx. sección</t>
        </is>
      </c>
      <c r="I14" s="12" t="inlineStr">
        <is>
          <t>ENVCORT directo</t>
        </is>
      </c>
      <c r="J14" s="12" t="inlineStr">
        <is>
          <t>Chequeo DMO</t>
        </is>
      </c>
      <c r="K14" s="12" t="inlineStr">
        <is>
          <t>Sección adoptada</t>
        </is>
      </c>
      <c r="L14" s="12" t="inlineStr">
        <is>
          <t>Conclusión</t>
        </is>
      </c>
    </row>
    <row r="15">
      <c r="A15" s="13" t="inlineStr">
        <is>
          <t>VC1</t>
        </is>
      </c>
      <c r="B15" s="10" t="n">
        <v>20</v>
      </c>
      <c r="C15" s="14" t="n">
        <v>26.942</v>
      </c>
      <c r="D15" s="14" t="n">
        <v>151.6062653594771</v>
      </c>
      <c r="E15" s="14" t="n">
        <v>74.045</v>
      </c>
      <c r="F15" s="14" t="n">
        <v>151.6062653594771</v>
      </c>
      <c r="G15" s="14" t="n">
        <v>284.3800441114458</v>
      </c>
      <c r="H15" s="14" t="n">
        <v>725.3547808799136</v>
      </c>
      <c r="I15" s="15" t="inlineStr">
        <is>
          <t>CUMPLE DIRECTO</t>
        </is>
      </c>
      <c r="J15" s="15" t="inlineStr">
        <is>
          <t>CUMPLE</t>
        </is>
      </c>
      <c r="K15" s="10" t="inlineStr">
        <is>
          <t>450×550 mm</t>
        </is>
      </c>
      <c r="L15" s="15" t="inlineStr">
        <is>
          <t>CUMPLE</t>
        </is>
      </c>
    </row>
    <row r="16">
      <c r="A16" s="16" t="inlineStr">
        <is>
          <t>VC2</t>
        </is>
      </c>
      <c r="B16" s="10" t="n">
        <v>40</v>
      </c>
      <c r="C16" s="14" t="n">
        <v>84.474</v>
      </c>
      <c r="D16" s="14" t="n">
        <v>209.1382653594771</v>
      </c>
      <c r="E16" s="14" t="n">
        <v>359.244</v>
      </c>
      <c r="F16" s="14" t="n">
        <v>359.244</v>
      </c>
      <c r="G16" s="14" t="n">
        <v>367.4528968669703</v>
      </c>
      <c r="H16" s="14" t="n">
        <v>725.3547808799136</v>
      </c>
      <c r="I16" s="15" t="inlineStr">
        <is>
          <t>CUMPLE DIRECTO</t>
        </is>
      </c>
      <c r="J16" s="15" t="inlineStr">
        <is>
          <t>CUMPLE</t>
        </is>
      </c>
      <c r="K16" s="10" t="inlineStr">
        <is>
          <t>450×550 mm</t>
        </is>
      </c>
      <c r="L16" s="15" t="inlineStr">
        <is>
          <t>CUMPLE</t>
        </is>
      </c>
    </row>
    <row r="17">
      <c r="A17" s="17" t="inlineStr">
        <is>
          <t>VC3</t>
        </is>
      </c>
      <c r="B17" s="10" t="n">
        <v>40</v>
      </c>
      <c r="C17" s="14" t="n">
        <v>90.89</v>
      </c>
      <c r="D17" s="14" t="n">
        <v>233.7634788062284</v>
      </c>
      <c r="E17" s="14" t="n">
        <v>396.275</v>
      </c>
      <c r="F17" s="14" t="n">
        <v>396.275</v>
      </c>
      <c r="G17" s="14" t="n">
        <v>422.1744606169702</v>
      </c>
      <c r="H17" s="14" t="n">
        <v>725.3547808799136</v>
      </c>
      <c r="I17" s="15" t="inlineStr">
        <is>
          <t>CUMPLE DIRECTO</t>
        </is>
      </c>
      <c r="J17" s="15" t="inlineStr">
        <is>
          <t>CUMPLE</t>
        </is>
      </c>
      <c r="K17" s="10" t="inlineStr">
        <is>
          <t>450×550 mm</t>
        </is>
      </c>
      <c r="L17" s="15" t="inlineStr">
        <is>
          <t>CUMPLE</t>
        </is>
      </c>
    </row>
    <row r="18">
      <c r="A18" s="18" t="inlineStr">
        <is>
          <t>VC4</t>
        </is>
      </c>
      <c r="B18" s="10" t="n">
        <v>20</v>
      </c>
      <c r="C18" s="14" t="n">
        <v>118.968</v>
      </c>
      <c r="D18" s="14" t="n">
        <v>282.4416555656109</v>
      </c>
      <c r="E18" s="14" t="n">
        <v>506.77</v>
      </c>
      <c r="F18" s="14" t="n">
        <v>506.77</v>
      </c>
      <c r="G18" s="14" t="n">
        <v>547.772982857339</v>
      </c>
      <c r="H18" s="14" t="n">
        <v>725.3547808799136</v>
      </c>
      <c r="I18" s="15" t="inlineStr">
        <is>
          <t>CUMPLE DIRECTO</t>
        </is>
      </c>
      <c r="J18" s="19" t="inlineStr">
        <is>
          <t>NO CUMPLE</t>
        </is>
      </c>
      <c r="K18" s="10" t="inlineStr">
        <is>
          <t>450×550 mm</t>
        </is>
      </c>
      <c r="L18" s="19" t="inlineStr">
        <is>
          <t>4 FRAMES NO CUMPLEN</t>
        </is>
      </c>
    </row>
    <row r="19">
      <c r="A19" s="15" t="inlineStr">
        <is>
          <t>VC5</t>
        </is>
      </c>
      <c r="B19" s="10" t="n">
        <v>40</v>
      </c>
      <c r="C19" s="14" t="n">
        <v>140.953</v>
      </c>
      <c r="D19" s="14" t="n">
        <v>287.8471468360071</v>
      </c>
      <c r="E19" s="14" t="n">
        <v>491.129</v>
      </c>
      <c r="F19" s="14" t="n">
        <v>491.129</v>
      </c>
      <c r="G19" s="14" t="n">
        <v>506.1124190250364</v>
      </c>
      <c r="H19" s="14" t="n">
        <v>725.3547808799136</v>
      </c>
      <c r="I19" s="15" t="inlineStr">
        <is>
          <t>CUMPLE DIRECTO</t>
        </is>
      </c>
      <c r="J19" s="19" t="inlineStr">
        <is>
          <t>NO CUMPLE</t>
        </is>
      </c>
      <c r="K19" s="10" t="inlineStr">
        <is>
          <t>450×550 mm</t>
        </is>
      </c>
      <c r="L19" s="19" t="inlineStr">
        <is>
          <t>16 FRAMES NO CUMPLEN</t>
        </is>
      </c>
    </row>
    <row r="20">
      <c r="A20" s="20" t="inlineStr">
        <is>
          <t>VC6</t>
        </is>
      </c>
      <c r="B20" s="10" t="n">
        <v>40</v>
      </c>
      <c r="C20" s="14" t="n">
        <v>98.239</v>
      </c>
      <c r="D20" s="14" t="n">
        <v>245.4419781639929</v>
      </c>
      <c r="E20" s="14" t="n">
        <v>424.48</v>
      </c>
      <c r="F20" s="14" t="n">
        <v>424.48</v>
      </c>
      <c r="G20" s="14" t="n">
        <v>437.7614551071592</v>
      </c>
      <c r="H20" s="14" t="n">
        <v>725.3547808799136</v>
      </c>
      <c r="I20" s="15" t="inlineStr">
        <is>
          <t>CUMPLE DIRECTO</t>
        </is>
      </c>
      <c r="J20" s="19" t="inlineStr">
        <is>
          <t>NO CUMPLE</t>
        </is>
      </c>
      <c r="K20" s="10" t="inlineStr">
        <is>
          <t>450×550 mm</t>
        </is>
      </c>
      <c r="L20" s="19" t="inlineStr">
        <is>
          <t>8 FRAMES NO CUMPLEN</t>
        </is>
      </c>
    </row>
    <row r="21">
      <c r="A21" s="21" t="inlineStr">
        <is>
          <t>VC7</t>
        </is>
      </c>
      <c r="B21" s="10" t="n">
        <v>40</v>
      </c>
      <c r="C21" s="14" t="n">
        <v>163.07</v>
      </c>
      <c r="D21" s="14" t="n">
        <v>444.4402113342899</v>
      </c>
      <c r="E21" s="14" t="n">
        <v>754.708</v>
      </c>
      <c r="F21" s="14" t="n">
        <v>754.708</v>
      </c>
      <c r="G21" s="14" t="n">
        <v>761.402813822426</v>
      </c>
      <c r="H21" s="14" t="n">
        <v>725.3547808799136</v>
      </c>
      <c r="I21" s="22" t="inlineStr">
        <is>
          <t>EXCEDE DIRECTO</t>
        </is>
      </c>
      <c r="J21" s="19" t="inlineStr">
        <is>
          <t>NO CUMPLE</t>
        </is>
      </c>
      <c r="K21" s="10" t="inlineStr">
        <is>
          <t>450×550 mm</t>
        </is>
      </c>
      <c r="L21" s="19" t="inlineStr">
        <is>
          <t>4 FRAMES NO CUMPLEN</t>
        </is>
      </c>
    </row>
    <row r="22">
      <c r="A22" s="23" t="inlineStr">
        <is>
          <t>VR1</t>
        </is>
      </c>
      <c r="B22" s="10" t="n">
        <v>80</v>
      </c>
      <c r="C22" s="14" t="n">
        <v>136.996</v>
      </c>
      <c r="D22" s="14" t="n">
        <v>294.1718140895329</v>
      </c>
      <c r="E22" s="14" t="n">
        <v>405.204</v>
      </c>
      <c r="F22" s="14" t="n">
        <v>405.204</v>
      </c>
      <c r="G22" s="14" t="n">
        <v>408.2809965188558</v>
      </c>
      <c r="H22" s="14" t="n">
        <v>805.9497565332374</v>
      </c>
      <c r="I22" s="15" t="inlineStr">
        <is>
          <t>CUMPLE DIRECTO</t>
        </is>
      </c>
      <c r="J22" s="15" t="inlineStr">
        <is>
          <t>CUMPLE</t>
        </is>
      </c>
      <c r="K22" s="10" t="inlineStr">
        <is>
          <t>500×550 mm</t>
        </is>
      </c>
      <c r="L22" s="15" t="inlineStr">
        <is>
          <t>CUMPLE</t>
        </is>
      </c>
    </row>
    <row r="23">
      <c r="A23" s="24" t="inlineStr">
        <is>
          <t>VR N1</t>
        </is>
      </c>
      <c r="B23" s="10" t="n">
        <v>22</v>
      </c>
      <c r="C23" s="14" t="n">
        <v>164.744</v>
      </c>
      <c r="D23" s="14" t="n">
        <v>408.9028431985294</v>
      </c>
      <c r="E23" s="14" t="n">
        <v>634.574</v>
      </c>
      <c r="F23" s="14" t="n">
        <v>634.574</v>
      </c>
      <c r="G23" s="14" t="n">
        <v>662.192477768856</v>
      </c>
      <c r="H23" s="14" t="n">
        <v>805.9497565332374</v>
      </c>
      <c r="I23" s="15" t="inlineStr">
        <is>
          <t>CUMPLE DIRECTO</t>
        </is>
      </c>
      <c r="J23" s="15" t="inlineStr">
        <is>
          <t>CUMPLE</t>
        </is>
      </c>
      <c r="K23" s="10" t="inlineStr">
        <is>
          <t>500×550 mm</t>
        </is>
      </c>
      <c r="L23" s="15" t="inlineStr">
        <is>
          <t>CUMPLE</t>
        </is>
      </c>
    </row>
    <row r="24">
      <c r="A24" s="25" t="inlineStr">
        <is>
          <t>VR2</t>
        </is>
      </c>
      <c r="B24" s="10" t="n">
        <v>140</v>
      </c>
      <c r="C24" s="14" t="n">
        <v>52.863</v>
      </c>
      <c r="D24" s="14" t="n">
        <v>595.438207107843</v>
      </c>
      <c r="E24" s="14" t="n">
        <v>101.022</v>
      </c>
      <c r="F24" s="14" t="n">
        <v>595.438207107843</v>
      </c>
      <c r="G24" s="14" t="n">
        <v>614.0589060672859</v>
      </c>
      <c r="H24" s="14" t="n">
        <v>805.9497565332374</v>
      </c>
      <c r="I24" s="15" t="inlineStr">
        <is>
          <t>CUMPLE DIRECTO</t>
        </is>
      </c>
      <c r="J24" s="19" t="inlineStr">
        <is>
          <t>NO CUMPLE</t>
        </is>
      </c>
      <c r="K24" s="10" t="inlineStr">
        <is>
          <t>500×550 mm</t>
        </is>
      </c>
      <c r="L24" s="19" t="inlineStr">
        <is>
          <t>16 FRAMES NO CUMPLEN</t>
        </is>
      </c>
    </row>
    <row r="25">
      <c r="A25" s="26" t="inlineStr">
        <is>
          <t>VR3</t>
        </is>
      </c>
      <c r="B25" s="10" t="n">
        <v>70</v>
      </c>
      <c r="C25" s="14" t="n">
        <v>72.31399999999999</v>
      </c>
      <c r="D25" s="14" t="n">
        <v>614.889207107843</v>
      </c>
      <c r="E25" s="14" t="n">
        <v>72.31399999999999</v>
      </c>
      <c r="F25" s="14" t="n">
        <v>614.889207107843</v>
      </c>
      <c r="G25" s="14" t="n">
        <v>616.0387442643921</v>
      </c>
      <c r="H25" s="14" t="n">
        <v>805.9497565332374</v>
      </c>
      <c r="I25" s="15" t="inlineStr">
        <is>
          <t>CUMPLE DIRECTO</t>
        </is>
      </c>
      <c r="J25" s="19" t="inlineStr">
        <is>
          <t>NO CUMPLE</t>
        </is>
      </c>
      <c r="K25" s="10" t="inlineStr">
        <is>
          <t>500×550 mm</t>
        </is>
      </c>
      <c r="L25" s="19" t="inlineStr">
        <is>
          <t>8 FRAMES NO CUMPLEN</t>
        </is>
      </c>
    </row>
    <row r="26">
      <c r="A26" s="27" t="inlineStr">
        <is>
          <t>VRAUX</t>
        </is>
      </c>
      <c r="B26" s="10" t="n">
        <v>40</v>
      </c>
      <c r="C26" s="14" t="n">
        <v>43.256</v>
      </c>
      <c r="D26" s="14" t="n">
        <v>249.9362294117647</v>
      </c>
      <c r="E26" s="14" t="n">
        <v>169.702</v>
      </c>
      <c r="F26" s="14" t="n">
        <v>249.9362294117647</v>
      </c>
      <c r="G26" s="14" t="n">
        <v>271.1798415961096</v>
      </c>
      <c r="H26" s="14" t="n">
        <v>725.3547808799136</v>
      </c>
      <c r="I26" s="15" t="inlineStr">
        <is>
          <t>CUMPLE DIRECTO</t>
        </is>
      </c>
      <c r="J26" s="15" t="inlineStr">
        <is>
          <t>CUMPLE</t>
        </is>
      </c>
      <c r="K26" s="10" t="inlineStr">
        <is>
          <t>450×550 mm</t>
        </is>
      </c>
      <c r="L26" s="15" t="inlineStr">
        <is>
          <t>CUMPLE</t>
        </is>
      </c>
    </row>
  </sheetData>
  <mergeCells count="10">
    <mergeCell ref="B4:L4"/>
    <mergeCell ref="B6:L6"/>
    <mergeCell ref="B7:L7"/>
    <mergeCell ref="A1:L1"/>
    <mergeCell ref="B11:L11"/>
    <mergeCell ref="B3:L3"/>
    <mergeCell ref="B5:L5"/>
    <mergeCell ref="B10:L10"/>
    <mergeCell ref="B9:L9"/>
    <mergeCell ref="B8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28" t="inlineStr">
        <is>
          <t>DISEÑO DE VIGAS — VIGAS DE CARGA (7)</t>
        </is>
      </c>
    </row>
    <row r="2">
      <c r="A2" s="29" t="inlineStr">
        <is>
          <t>Flexión: ENVFLEX. Cortante: ENVCORT directo. Torsión: máximo de ambas envolventes. Verificación DMO: Ve. Vu adoptado = máx(ENVCORT; Ve).</t>
        </is>
      </c>
    </row>
    <row r="3" ht="64" customHeight="1">
      <c r="A3" s="12" t="inlineStr">
        <is>
          <t>Grupo</t>
        </is>
      </c>
      <c r="B3" s="12" t="inlineStr">
        <is>
          <t>Frame</t>
        </is>
      </c>
      <c r="C3" s="12" t="inlineStr">
        <is>
          <t>N vigas</t>
        </is>
      </c>
      <c r="D3" s="12" t="inlineStr">
        <is>
          <t>Ln adopt. mín (m)</t>
        </is>
      </c>
      <c r="E3" s="12" t="inlineStr">
        <is>
          <t>Ln adopt. máx (m)</t>
        </is>
      </c>
      <c r="F3" s="12" t="inlineStr">
        <is>
          <t>b modelo (mm)</t>
        </is>
      </c>
      <c r="G3" s="12" t="inlineStr">
        <is>
          <t>h modelo (mm)</t>
        </is>
      </c>
      <c r="H3" s="12" t="inlineStr">
        <is>
          <t>b adopt. (mm)</t>
        </is>
      </c>
      <c r="I3" s="12" t="inlineStr">
        <is>
          <t>h adopt. (mm)</t>
        </is>
      </c>
      <c r="J3" s="12" t="inlineStr">
        <is>
          <t>Mu− ENVFLEX (kN·m)</t>
        </is>
      </c>
      <c r="K3" s="12" t="inlineStr">
        <is>
          <t>Frame Mu−</t>
        </is>
      </c>
      <c r="L3" s="12" t="inlineStr">
        <is>
          <t>Mu+ ENVFLEX (kN·m)</t>
        </is>
      </c>
      <c r="M3" s="12" t="inlineStr">
        <is>
          <t>Frame Mu+</t>
        </is>
      </c>
      <c r="N3" s="12" t="inlineStr">
        <is>
          <t>Vu ENVFLEX (kN)</t>
        </is>
      </c>
      <c r="O3" s="12" t="inlineStr">
        <is>
          <t>Vu ENVCORT (kN)</t>
        </is>
      </c>
      <c r="P3" s="12" t="inlineStr">
        <is>
          <t>Frame Vu</t>
        </is>
      </c>
      <c r="Q3" s="12" t="inlineStr">
        <is>
          <t>Tu diseño compat. (kN·m)</t>
        </is>
      </c>
      <c r="R3" s="12" t="inlineStr">
        <is>
          <t>As req. sup (mm²)</t>
        </is>
      </c>
      <c r="S3" s="12" t="inlineStr">
        <is>
          <t>Nº5 sup</t>
        </is>
      </c>
      <c r="T3" s="12" t="inlineStr">
        <is>
          <t>Capas sup</t>
        </is>
      </c>
      <c r="U3" s="12" t="inlineStr">
        <is>
          <t>d sup (mm)</t>
        </is>
      </c>
      <c r="V3" s="12" t="inlineStr">
        <is>
          <t>As prov. sup (mm²)</t>
        </is>
      </c>
      <c r="W3" s="12" t="inlineStr">
        <is>
          <t>φMn− (kN·m)</t>
        </is>
      </c>
      <c r="X3" s="12" t="inlineStr">
        <is>
          <t>Flexión −</t>
        </is>
      </c>
      <c r="Y3" s="12" t="inlineStr">
        <is>
          <t>As req. inf (mm²)</t>
        </is>
      </c>
      <c r="Z3" s="12" t="inlineStr">
        <is>
          <t>Nº5 inf</t>
        </is>
      </c>
      <c r="AA3" s="12" t="inlineStr">
        <is>
          <t>Capas inf</t>
        </is>
      </c>
      <c r="AB3" s="12" t="inlineStr">
        <is>
          <t>d inf (mm)</t>
        </is>
      </c>
      <c r="AC3" s="12" t="inlineStr">
        <is>
          <t>As prov. inf (mm²)</t>
        </is>
      </c>
      <c r="AD3" s="12" t="inlineStr">
        <is>
          <t>φMn+ (kN·m)</t>
        </is>
      </c>
      <c r="AE3" s="12" t="inlineStr">
        <is>
          <t>Flexión +</t>
        </is>
      </c>
      <c r="AF3" s="12" t="inlineStr">
        <is>
          <t>Mpr− (kN·m)</t>
        </is>
      </c>
      <c r="AG3" s="12" t="inlineStr">
        <is>
          <t>Mpr+ (kN·m)</t>
        </is>
      </c>
      <c r="AH3" s="12" t="inlineStr">
        <is>
          <t>Vcap (kN)</t>
        </is>
      </c>
      <c r="AI3" s="12" t="inlineStr">
        <is>
          <t>Vu diseño (kN)</t>
        </is>
      </c>
      <c r="AJ3" s="12" t="inlineStr">
        <is>
          <t>Vc (kN)</t>
        </is>
      </c>
      <c r="AK3" s="12" t="inlineStr">
        <is>
          <t>Vs req. (kN)</t>
        </is>
      </c>
      <c r="AL3" s="12" t="inlineStr">
        <is>
          <t>Vs máx. (kN)</t>
        </is>
      </c>
      <c r="AM3" s="12" t="inlineStr">
        <is>
          <t>Sección cortante</t>
        </is>
      </c>
      <c r="AN3" s="12" t="inlineStr">
        <is>
          <t>Estribo</t>
        </is>
      </c>
      <c r="AO3" s="12" t="inlineStr">
        <is>
          <t>Ramas</t>
        </is>
      </c>
      <c r="AP3" s="12" t="inlineStr">
        <is>
          <t>s extremo DMO (mm; zona 2h)</t>
        </is>
      </c>
      <c r="AQ3" s="12" t="inlineStr">
        <is>
          <t>s centro (mm)</t>
        </is>
      </c>
      <c r="AR3" s="12" t="inlineStr">
        <is>
          <t>φVn (kN)</t>
        </is>
      </c>
      <c r="AS3" s="12" t="inlineStr">
        <is>
          <t>Cortante</t>
        </is>
      </c>
      <c r="AT3" s="12" t="inlineStr">
        <is>
          <t>φTth (kN·m)</t>
        </is>
      </c>
      <c r="AU3" s="12" t="inlineStr">
        <is>
          <t>Torsión</t>
        </is>
      </c>
      <c r="AV3" s="12" t="inlineStr">
        <is>
          <t>At/s (mm²/mm)</t>
        </is>
      </c>
      <c r="AW3" s="12" t="inlineStr">
        <is>
          <t>Al adicional req. (mm²)</t>
        </is>
      </c>
      <c r="AX3" s="12" t="inlineStr">
        <is>
          <t>Nº5 torsión dedicadas</t>
        </is>
      </c>
      <c r="AY3" s="12" t="inlineStr">
        <is>
          <t>Chequeo torsión</t>
        </is>
      </c>
      <c r="AZ3" s="12" t="inlineStr">
        <is>
          <t>ESTADO</t>
        </is>
      </c>
      <c r="BA3" s="12" t="inlineStr">
        <is>
          <t>db estribo (mm)</t>
        </is>
      </c>
      <c r="BB3" s="12" t="inlineStr">
        <is>
          <t>Área rama (mm²)</t>
        </is>
      </c>
      <c r="BC3" s="12" t="inlineStr">
        <is>
          <t>Av/s req. cortante incl. mín.</t>
        </is>
      </c>
      <c r="BD3" s="12" t="inlineStr">
        <is>
          <t>2At/s req. torsión</t>
        </is>
      </c>
      <c r="BE3" s="12" t="inlineStr">
        <is>
          <t>Av/s prov. extremo</t>
        </is>
      </c>
      <c r="BF3" s="12" t="inlineStr">
        <is>
          <t>Interacción V-T</t>
        </is>
      </c>
      <c r="BG3" s="12" t="inlineStr">
        <is>
          <t>Límite V-T</t>
        </is>
      </c>
      <c r="BH3" s="12" t="inlineStr">
        <is>
          <t>Chequeo V-T</t>
        </is>
      </c>
      <c r="BI3" s="12" t="inlineStr">
        <is>
          <t>Al provisto (mm²)</t>
        </is>
      </c>
      <c r="BJ3" s="12" t="inlineStr">
        <is>
          <t>Chequeo Al</t>
        </is>
      </c>
    </row>
    <row r="4">
      <c r="A4" s="13" t="inlineStr">
        <is>
          <t>VC1</t>
        </is>
      </c>
      <c r="B4" s="13" t="inlineStr">
        <is>
          <t>154</t>
        </is>
      </c>
      <c r="C4" s="10" t="n">
        <v>20</v>
      </c>
      <c r="D4" s="10" t="n">
        <v>3.15</v>
      </c>
      <c r="E4" s="10" t="n">
        <v>3.15</v>
      </c>
      <c r="F4" s="10" t="n">
        <v>450</v>
      </c>
      <c r="G4" s="10" t="n">
        <v>550</v>
      </c>
      <c r="H4" s="17" t="n">
        <v>450</v>
      </c>
      <c r="I4" s="17" t="n">
        <v>550</v>
      </c>
      <c r="J4" s="30" t="n">
        <v>33.4292</v>
      </c>
      <c r="K4" s="10" t="inlineStr">
        <is>
          <t>154</t>
        </is>
      </c>
      <c r="L4" s="30" t="n">
        <v>21.6211</v>
      </c>
      <c r="M4" s="10" t="inlineStr">
        <is>
          <t>153</t>
        </is>
      </c>
      <c r="N4" s="30" t="n">
        <v>26.942</v>
      </c>
      <c r="O4" s="30" t="n">
        <v>74.045</v>
      </c>
      <c r="P4" s="10" t="inlineStr">
        <is>
          <t>154</t>
        </is>
      </c>
      <c r="Q4" s="30" t="n">
        <v>13.2234</v>
      </c>
      <c r="R4" s="10">
        <f>MAX(MAX(1.4/'Parametros'!$B$3,0.25*SQRT('Parametros'!$B$2)/'Parametros'!$B$3)*H4*U4,(0.85*'Parametros'!$B$2/'Parametros'!$B$3)*(1-SQRT(1-2*(J4*1000000/('Parametros'!$B$5*H4*U4^2))/(0.85*'Parametros'!$B$2)))*H4*U4)</f>
        <v>734.025</v>
      </c>
      <c r="S4" s="31" t="n">
        <v>4</v>
      </c>
      <c r="T4" s="32" t="n">
        <v>1</v>
      </c>
      <c r="U4" s="10">
        <f>IF(T4=1,I4-('Parametros'!$B$7+'Parametros'!$B$9+'Parametros'!$B$12/2),I4-(ROUNDUP(S4/2,0)*('Parametros'!$B$7+'Parametros'!$B$9+'Parametros'!$B$12/2)+ROUNDDOWN(S4/2,0)*('Parametros'!$B$7+'Parametros'!$B$9+'Parametros'!$B$12/2+'Parametros'!$B$12+'Parametros'!$B$10))/S4)</f>
        <v>489.35</v>
      </c>
      <c r="V4" s="10">
        <f>S4*'Parametros'!$B$8</f>
        <v>796</v>
      </c>
      <c r="W4" s="10">
        <f>'Parametros'!$B$5*V4*'Parametros'!$B$3*(U4-(V4*'Parametros'!$B$3/(0.85*'Parametros'!$B$2*H4))/2)/1000000</f>
        <v>142.543330094118</v>
      </c>
      <c r="X4" s="10" t="str">
        <f>IF(W4&gt;=J4,"CUMPLE","NO CUMPLE")</f>
        <v>CUMPLE</v>
      </c>
      <c r="Y4" s="10">
        <f>MAX(MAX(1.4/'Parametros'!$B$3,0.25*SQRT('Parametros'!$B$2)/'Parametros'!$B$3)*H4*AB4,(0.85*'Parametros'!$B$2/'Parametros'!$B$3)*(1-SQRT(1-2*(L4*1000000/('Parametros'!$B$5*H4*AB4^2))/(0.85*'Parametros'!$B$2)))*H4*AB4)</f>
        <v>734.025</v>
      </c>
      <c r="Z4" s="31" t="n">
        <v>4</v>
      </c>
      <c r="AA4" s="32" t="n">
        <v>1</v>
      </c>
      <c r="AB4" s="10">
        <f>IF(AA4=1,I4-('Parametros'!$B$7+'Parametros'!$B$9+'Parametros'!$B$12/2),I4-(ROUNDUP(Z4/2,0)*('Parametros'!$B$7+'Parametros'!$B$9+'Parametros'!$B$12/2)+ROUNDDOWN(Z4/2,0)*('Parametros'!$B$7+'Parametros'!$B$9+'Parametros'!$B$12/2+'Parametros'!$B$12+'Parametros'!$B$10))/Z4)</f>
        <v>489.35</v>
      </c>
      <c r="AC4" s="10">
        <f>Z4*'Parametros'!$B$8</f>
        <v>796</v>
      </c>
      <c r="AD4" s="10">
        <f>'Parametros'!$B$5*AC4*'Parametros'!$B$3*(AB4-(AC4*'Parametros'!$B$3/(0.85*'Parametros'!$B$2*H4))/2)/1000000</f>
        <v>142.543330094118</v>
      </c>
      <c r="AE4" s="10" t="str">
        <f>IF(AD4&gt;=L4,"CUMPLE","NO CUMPLE")</f>
        <v>CUMPLE</v>
      </c>
      <c r="AF4" s="10">
        <f>V4*1.25*'Parametros'!$B$3*(U4-(V4*1.25*'Parametros'!$B$3/(0.85*'Parametros'!$B$2*H4))/2)/1000000</f>
        <v>196.346217941176</v>
      </c>
      <c r="AG4" s="10">
        <f>AC4*1.25*'Parametros'!$B$3*(AB4-(AC4*1.25*'Parametros'!$B$3/(0.85*'Parametros'!$B$2*H4))/2)/1000000</f>
        <v>196.346217941176</v>
      </c>
      <c r="AH4" s="10">
        <f>N4+(AF4+AG4)/D4</f>
        <v>151.606265359477</v>
      </c>
      <c r="AI4" s="10">
        <f>MAX(O4,AH4)</f>
        <v>151.606265359477</v>
      </c>
      <c r="AJ4" s="10">
        <f>0.17*SQRT('Parametros'!$B$2)*H4*MIN(U4,AB4)/1000</f>
        <v>198.088855822627</v>
      </c>
      <c r="AK4" s="10">
        <f>MAX(AI4/'Parametros'!$B$6-AJ4,0)</f>
        <v>4.05283132334253</v>
      </c>
      <c r="AL4" s="10">
        <f>0.66*SQRT('Parametros'!$B$2)*H4*MIN(U4,AB4)/1000</f>
        <v>769.050852017258</v>
      </c>
      <c r="AM4" s="10" t="str">
        <f>IF(AK4&lt;=AL4,"CUMPLE","NO CUMPLE")</f>
        <v>CUMPLE</v>
      </c>
      <c r="AN4" s="17" t="inlineStr">
        <is>
          <t>Nº3 cerrado</t>
        </is>
      </c>
      <c r="AO4" s="31" t="n">
        <v>2</v>
      </c>
      <c r="AP4" s="10">
        <f>ROUNDDOWN(MIN(IF(BC4+BD4=0,1000000000,AO4*BB4/(BC4+BD4)),MIN(U4,AB4)/4,8*'Parametros'!$B$12,24*BA4,300,IF(AV4=0,1000000000,2*((H4-2*('Parametros'!$B$7+'Parametros'!$B$9/2))+(I4-2*('Parametros'!$B$7+'Parametros'!$B$9/2)))/8))/10,0)*10</f>
        <v>120</v>
      </c>
      <c r="AQ4" s="10">
        <f>ROUNDDOWN(MIN(IF(BC4+BD4=0,1000000000,AO4*BB4/(BC4+BD4)),IF(AK4&gt;0.33*SQRT('Parametros'!$B$2)*H4*MIN(U4,AB4)/1000,MIN(U4,AB4)/4,MIN(U4,AB4)/2),600,IF(AV4=0,1000000000,2*((H4-2*('Parametros'!$B$7+'Parametros'!$B$9/2))+(I4-2*('Parametros'!$B$7+'Parametros'!$B$9/2)))/8))/10,0)*10</f>
        <v>200</v>
      </c>
      <c r="AR4" s="10">
        <f>'Parametros'!$B$6*(AJ4+MAX(BE4-BD4,0)*'Parametros'!$B$4*MIN(U4,AB4)/1000)</f>
        <v>284.380044111446</v>
      </c>
      <c r="AS4" s="10" t="str">
        <f>IF(AND(ISERROR(SEARCH("referencia",AN4)),AM4="CUMPLE",AR4&gt;=AI4),"CUMPLE","NO CUMPLE")</f>
        <v>CUMPLE</v>
      </c>
      <c r="AT4" s="10">
        <f>'Parametros'!$B$6*0.083*SQRT('Parametros'!$B$2)*(H4*I4)^2/(2*(H4+I4))/1000000</f>
        <v>10.0887830333379</v>
      </c>
      <c r="AU4" s="10" t="str">
        <f>IF(Q4&lt;=AT4,"DESPRECIABLE","DISEÑAR")</f>
        <v>DISEÑAR</v>
      </c>
      <c r="AV4" s="10">
        <f>IF(Q4&lt;=AT4,0,Q4*1000000/('Parametros'!$B$6*2*0.85*(H4-2*('Parametros'!$B$7+'Parametros'!$B$9/2))*(I4-2*('Parametros'!$B$7+'Parametros'!$B$9/2))*'Parametros'!$B$4))</f>
        <v>0.151129568557982</v>
      </c>
      <c r="AW4" s="10">
        <f>AV4*2*((H4-2*('Parametros'!$B$7+'Parametros'!$B$9/2))+(I4-2*('Parametros'!$B$7+'Parametros'!$B$9/2)))*'Parametros'!$B$4/'Parametros'!$B$3</f>
        <v>246.220293094664</v>
      </c>
      <c r="AX4" s="31" t="n">
        <v>8</v>
      </c>
      <c r="AY4" s="10" t="str">
        <f>IF(AV4=0,"DESPRECIABLE",IF(AND(ISERROR(SEARCH("referencia",AN4)),BB4/AP4&gt;=AV4,BI4&gt;=AW4,BH4="CUMPLE"),"CUMPLE","NO CUMPLE"))</f>
        <v>CUMPLE</v>
      </c>
      <c r="AZ4" s="10" t="str">
        <f>IF(AND(X4="CUMPLE",AE4="CUMPLE",AS4="CUMPLE",OR(AY4="CUMPLE",AY4="DESPRECIABLE"),BH4="CUMPLE",BJ4="CUMPLE",COUNTIF('Todas las Vigas (592)'!$A$4:$A$595,A4)=COUNTIFS('Todas las Vigas (592)'!$A$4:$A$595,A4,'Todas las Vigas (592)'!$AZ$4:$AZ$595,"CUMPLE")),"CUMPLE","NO CUMPLE")</f>
        <v>CUMPLE</v>
      </c>
      <c r="BA4" s="32" t="n">
        <v>9.5</v>
      </c>
      <c r="BB4" s="32" t="n">
        <v>71</v>
      </c>
      <c r="BC4" s="10">
        <f>MAX(IF(AK4=0,0,AK4*1000/('Parametros'!$B$4*MIN(U4,AB4))),MAX(0.062*SQRT('Parametros'!$B$2)*H4/'Parametros'!$B$4,0.35*H4/'Parametros'!$B$4))</f>
        <v>0.375</v>
      </c>
      <c r="BD4" s="10">
        <f>2*AV4</f>
        <v>0.302259137115963</v>
      </c>
      <c r="BE4" s="10">
        <f>AO4*BB4/AP4</f>
        <v>1.18333333333333</v>
      </c>
      <c r="BF4" s="10">
        <f>SQRT((AI4*1000/(H4*MIN(U4,AB4)))^2+(Q4*1000000*2*((H4-2*('Parametros'!$B$7+'Parametros'!$B$9/2))+(I4-2*('Parametros'!$B$7+'Parametros'!$B$9/2)))/(1.7*((H4-2*('Parametros'!$B$7+'Parametros'!$B$9/2))*(I4-2*('Parametros'!$B$7+'Parametros'!$B$9/2)))^2))^2)</f>
        <v>0.836248354489538</v>
      </c>
      <c r="BG4" s="10">
        <f>'Parametros'!$B$6*(AJ4*1000/(H4*MIN(U4,AB4))+0.66*SQRT('Parametros'!$B$2))</f>
        <v>3.29396038227542</v>
      </c>
      <c r="BH4" s="10" t="str">
        <f>IF(BF4&lt;=BG4,"CUMPLE","NO CUMPLE")</f>
        <v>CUMPLE</v>
      </c>
      <c r="BI4" s="10">
        <f>AX4*'Parametros'!$B$8</f>
        <v>1592</v>
      </c>
      <c r="BJ4" s="10" t="str">
        <f>IF(BI4&gt;=AW4,"CUMPLE","NO CUMPLE")</f>
        <v>CUMPLE</v>
      </c>
    </row>
    <row r="5">
      <c r="A5" s="16" t="inlineStr">
        <is>
          <t>VC2</t>
        </is>
      </c>
      <c r="B5" s="16" t="inlineStr">
        <is>
          <t>96</t>
        </is>
      </c>
      <c r="C5" s="10" t="n">
        <v>40</v>
      </c>
      <c r="D5" s="10" t="n">
        <v>3.15</v>
      </c>
      <c r="E5" s="10" t="n">
        <v>3.4</v>
      </c>
      <c r="F5" s="10" t="n">
        <v>450</v>
      </c>
      <c r="G5" s="10" t="n">
        <v>550</v>
      </c>
      <c r="H5" s="17" t="n">
        <v>450</v>
      </c>
      <c r="I5" s="17" t="n">
        <v>550</v>
      </c>
      <c r="J5" s="30" t="n">
        <v>140.3658</v>
      </c>
      <c r="K5" s="10" t="inlineStr">
        <is>
          <t>56</t>
        </is>
      </c>
      <c r="L5" s="30" t="n">
        <v>127.2041</v>
      </c>
      <c r="M5" s="10" t="inlineStr">
        <is>
          <t>55</t>
        </is>
      </c>
      <c r="N5" s="30" t="n">
        <v>84.474</v>
      </c>
      <c r="O5" s="30" t="n">
        <v>359.244</v>
      </c>
      <c r="P5" s="10" t="inlineStr">
        <is>
          <t>56</t>
        </is>
      </c>
      <c r="Q5" s="30" t="n">
        <v>5.4386</v>
      </c>
      <c r="R5" s="10">
        <f>MAX(MAX(1.4/'Parametros'!$B$3,0.25*SQRT('Parametros'!$B$2)/'Parametros'!$B$3)*H5*U5,(0.85*'Parametros'!$B$2/'Parametros'!$B$3)*(1-SQRT(1-2*(J5*1000000/('Parametros'!$B$5*H5*U5^2))/(0.85*'Parametros'!$B$2)))*H5*U5)</f>
        <v>783.432583436313</v>
      </c>
      <c r="S5" s="31" t="n">
        <v>4</v>
      </c>
      <c r="T5" s="32" t="n">
        <v>1</v>
      </c>
      <c r="U5" s="10">
        <f>IF(T5=1,I5-('Parametros'!$B$7+'Parametros'!$B$9+'Parametros'!$B$12/2),I5-(ROUNDUP(S5/2,0)*('Parametros'!$B$7+'Parametros'!$B$9+'Parametros'!$B$12/2)+ROUNDDOWN(S5/2,0)*('Parametros'!$B$7+'Parametros'!$B$9+'Parametros'!$B$12/2+'Parametros'!$B$12+'Parametros'!$B$10))/S5)</f>
        <v>489.35</v>
      </c>
      <c r="V5" s="10">
        <f>S5*'Parametros'!$B$8</f>
        <v>796</v>
      </c>
      <c r="W5" s="10">
        <f>'Parametros'!$B$5*V5*'Parametros'!$B$3*(U5-(V5*'Parametros'!$B$3/(0.85*'Parametros'!$B$2*H5))/2)/1000000</f>
        <v>142.543330094118</v>
      </c>
      <c r="X5" s="10" t="str">
        <f>IF(W5&gt;=J5,"CUMPLE","NO CUMPLE")</f>
        <v>CUMPLE</v>
      </c>
      <c r="Y5" s="10">
        <f>MAX(MAX(1.4/'Parametros'!$B$3,0.25*SQRT('Parametros'!$B$2)/'Parametros'!$B$3)*H5*AB5,(0.85*'Parametros'!$B$2/'Parametros'!$B$3)*(1-SQRT(1-2*(L5*1000000/('Parametros'!$B$5*H5*AB5^2))/(0.85*'Parametros'!$B$2)))*H5*AB5)</f>
        <v>734.025</v>
      </c>
      <c r="Z5" s="31" t="n">
        <v>4</v>
      </c>
      <c r="AA5" s="32" t="n">
        <v>1</v>
      </c>
      <c r="AB5" s="10">
        <f>IF(AA5=1,I5-('Parametros'!$B$7+'Parametros'!$B$9+'Parametros'!$B$12/2),I5-(ROUNDUP(Z5/2,0)*('Parametros'!$B$7+'Parametros'!$B$9+'Parametros'!$B$12/2)+ROUNDDOWN(Z5/2,0)*('Parametros'!$B$7+'Parametros'!$B$9+'Parametros'!$B$12/2+'Parametros'!$B$12+'Parametros'!$B$10))/Z5)</f>
        <v>489.35</v>
      </c>
      <c r="AC5" s="10">
        <f>Z5*'Parametros'!$B$8</f>
        <v>796</v>
      </c>
      <c r="AD5" s="10">
        <f>'Parametros'!$B$5*AC5*'Parametros'!$B$3*(AB5-(AC5*'Parametros'!$B$3/(0.85*'Parametros'!$B$2*H5))/2)/1000000</f>
        <v>142.543330094118</v>
      </c>
      <c r="AE5" s="10" t="str">
        <f>IF(AD5&gt;=L5,"CUMPLE","NO CUMPLE")</f>
        <v>CUMPLE</v>
      </c>
      <c r="AF5" s="10">
        <f>V5*1.25*'Parametros'!$B$3*(U5-(V5*1.25*'Parametros'!$B$3/(0.85*'Parametros'!$B$2*H5))/2)/1000000</f>
        <v>196.346217941176</v>
      </c>
      <c r="AG5" s="10">
        <f>AC5*1.25*'Parametros'!$B$3*(AB5-(AC5*1.25*'Parametros'!$B$3/(0.85*'Parametros'!$B$2*H5))/2)/1000000</f>
        <v>196.346217941176</v>
      </c>
      <c r="AH5" s="10">
        <f>N5+(AF5+AG5)/D5</f>
        <v>209.138265359477</v>
      </c>
      <c r="AI5" s="10">
        <f>MAX(O5,AH5)</f>
        <v>359.244</v>
      </c>
      <c r="AJ5" s="10">
        <f>0.17*SQRT('Parametros'!$B$2)*H5*MIN(U5,AB5)/1000</f>
        <v>198.088855822627</v>
      </c>
      <c r="AK5" s="10">
        <f>MAX(AI5/'Parametros'!$B$6-AJ5,0)</f>
        <v>280.903144177373</v>
      </c>
      <c r="AL5" s="10">
        <f>0.66*SQRT('Parametros'!$B$2)*H5*MIN(U5,AB5)/1000</f>
        <v>769.050852017258</v>
      </c>
      <c r="AM5" s="10" t="str">
        <f>IF(AK5&lt;=AL5,"CUMPLE","NO CUMPLE")</f>
        <v>CUMPLE</v>
      </c>
      <c r="AN5" s="17" t="inlineStr">
        <is>
          <t>Nº3 cerrado</t>
        </is>
      </c>
      <c r="AO5" s="31" t="n">
        <v>2</v>
      </c>
      <c r="AP5" s="10">
        <f>ROUNDDOWN(MIN(IF(BC5+BD5=0,1000000000,AO5*BB5/(BC5+BD5)),MIN(U5,AB5)/4,8*'Parametros'!$B$12,24*BA5,300,IF(AV5=0,1000000000,2*((H5-2*('Parametros'!$B$7+'Parametros'!$B$9/2))+(I5-2*('Parametros'!$B$7+'Parametros'!$B$9/2)))/8))/10,0)*10</f>
        <v>100</v>
      </c>
      <c r="AQ5" s="10">
        <f>ROUNDDOWN(MIN(IF(BC5+BD5=0,1000000000,AO5*BB5/(BC5+BD5)),IF(AK5&gt;0.33*SQRT('Parametros'!$B$2)*H5*MIN(U5,AB5)/1000,MIN(U5,AB5)/4,MIN(U5,AB5)/2),600,IF(AV5=0,1000000000,2*((H5-2*('Parametros'!$B$7+'Parametros'!$B$9/2))+(I5-2*('Parametros'!$B$7+'Parametros'!$B$9/2)))/8))/10,0)*10</f>
        <v>100</v>
      </c>
      <c r="AR5" s="10">
        <f>'Parametros'!$B$6*(AJ5+MAX(BE5-BD5,0)*'Parametros'!$B$4*MIN(U5,AB5)/1000)</f>
        <v>367.45289686697</v>
      </c>
      <c r="AS5" s="10" t="str">
        <f>IF(AND(ISERROR(SEARCH("referencia",AN5)),AM5="CUMPLE",AR5&gt;=AI5),"CUMPLE","NO CUMPLE")</f>
        <v>CUMPLE</v>
      </c>
      <c r="AT5" s="10">
        <f>'Parametros'!$B$6*0.083*SQRT('Parametros'!$B$2)*(H5*I5)^2/(2*(H5+I5))/1000000</f>
        <v>10.0887830333379</v>
      </c>
      <c r="AU5" s="10" t="str">
        <f>IF(Q5&lt;=AT5,"DESPRECIABLE","DISEÑAR")</f>
        <v>DESPRECIABLE</v>
      </c>
      <c r="AV5" s="10">
        <f>IF(Q5&lt;=AT5,0,Q5*1000000/('Parametros'!$B$6*2*0.85*(H5-2*('Parametros'!$B$7+'Parametros'!$B$9/2))*(I5-2*('Parametros'!$B$7+'Parametros'!$B$9/2))*'Parametros'!$B$4))</f>
        <v>0</v>
      </c>
      <c r="AW5" s="10">
        <f>AV5*2*((H5-2*('Parametros'!$B$7+'Parametros'!$B$9/2))+(I5-2*('Parametros'!$B$7+'Parametros'!$B$9/2)))*'Parametros'!$B$4/'Parametros'!$B$3</f>
        <v>0</v>
      </c>
      <c r="AX5" s="31" t="n">
        <v>0</v>
      </c>
      <c r="AY5" s="10" t="str">
        <f>IF(AV5=0,"DESPRECIABLE",IF(AND(ISERROR(SEARCH("referencia",AN5)),BB5/AP5&gt;=AV5,BI5&gt;=AW5,BH5="CUMPLE"),"CUMPLE","NO CUMPLE"))</f>
        <v>DESPRECIABLE</v>
      </c>
      <c r="AZ5" s="10" t="str">
        <f>IF(AND(X5="CUMPLE",AE5="CUMPLE",AS5="CUMPLE",OR(AY5="CUMPLE",AY5="DESPRECIABLE"),BH5="CUMPLE",BJ5="CUMPLE",COUNTIF('Todas las Vigas (592)'!$A$4:$A$595,A5)=COUNTIFS('Todas las Vigas (592)'!$A$4:$A$595,A5,'Todas las Vigas (592)'!$AZ$4:$AZ$595,"CUMPLE")),"CUMPLE","NO CUMPLE")</f>
        <v>CUMPLE</v>
      </c>
      <c r="BA5" s="32" t="n">
        <v>9.5</v>
      </c>
      <c r="BB5" s="32" t="n">
        <v>71</v>
      </c>
      <c r="BC5" s="10">
        <f>MAX(IF(AK5=0,0,AK5*1000/('Parametros'!$B$4*MIN(U5,AB5))),MAX(0.062*SQRT('Parametros'!$B$2)*H5/'Parametros'!$B$4,0.35*H5/'Parametros'!$B$4))</f>
        <v>1.36674570337412</v>
      </c>
      <c r="BD5" s="10">
        <f>2*AV5</f>
        <v>0</v>
      </c>
      <c r="BE5" s="10">
        <f>AO5*BB5/AP5</f>
        <v>1.42</v>
      </c>
      <c r="BF5" s="10">
        <f>SQRT((AI5*1000/(H5*MIN(U5,AB5)))^2+(Q5*1000000*2*((H5-2*('Parametros'!$B$7+'Parametros'!$B$9/2))+(I5-2*('Parametros'!$B$7+'Parametros'!$B$9/2)))/(1.7*((H5-2*('Parametros'!$B$7+'Parametros'!$B$9/2))*(I5-2*('Parametros'!$B$7+'Parametros'!$B$9/2)))^2))^2)</f>
        <v>1.64302861245469</v>
      </c>
      <c r="BG5" s="10">
        <f>'Parametros'!$B$6*(AJ5*1000/(H5*MIN(U5,AB5))+0.66*SQRT('Parametros'!$B$2))</f>
        <v>3.29396038227542</v>
      </c>
      <c r="BH5" s="10" t="str">
        <f>IF(BF5&lt;=BG5,"CUMPLE","NO CUMPLE")</f>
        <v>CUMPLE</v>
      </c>
      <c r="BI5" s="10">
        <f>AX5*'Parametros'!$B$8</f>
        <v>0</v>
      </c>
      <c r="BJ5" s="10" t="str">
        <f>IF(BI5&gt;=AW5,"CUMPLE","NO CUMPLE")</f>
        <v>CUMPLE</v>
      </c>
    </row>
    <row r="6">
      <c r="A6" s="17" t="inlineStr">
        <is>
          <t>VC3</t>
        </is>
      </c>
      <c r="B6" s="17" t="inlineStr">
        <is>
          <t>60</t>
        </is>
      </c>
      <c r="C6" s="10" t="n">
        <v>40</v>
      </c>
      <c r="D6" s="10" t="n">
        <v>3.4</v>
      </c>
      <c r="E6" s="10" t="n">
        <v>3.4</v>
      </c>
      <c r="F6" s="10" t="n">
        <v>450</v>
      </c>
      <c r="G6" s="10" t="n">
        <v>550</v>
      </c>
      <c r="H6" s="17" t="n">
        <v>450</v>
      </c>
      <c r="I6" s="17" t="n">
        <v>550</v>
      </c>
      <c r="J6" s="30" t="n">
        <v>174.4236</v>
      </c>
      <c r="K6" s="10" t="inlineStr">
        <is>
          <t>60</t>
        </is>
      </c>
      <c r="L6" s="30" t="n">
        <v>154.8853</v>
      </c>
      <c r="M6" s="10" t="inlineStr">
        <is>
          <t>57</t>
        </is>
      </c>
      <c r="N6" s="30" t="n">
        <v>90.89</v>
      </c>
      <c r="O6" s="30" t="n">
        <v>396.275</v>
      </c>
      <c r="P6" s="10" t="inlineStr">
        <is>
          <t>58</t>
        </is>
      </c>
      <c r="Q6" s="30" t="n">
        <v>2.7885</v>
      </c>
      <c r="R6" s="10">
        <f>MAX(MAX(1.4/'Parametros'!$B$3,0.25*SQRT('Parametros'!$B$2)/'Parametros'!$B$3)*H6*U6,(0.85*'Parametros'!$B$2/'Parametros'!$B$3)*(1-SQRT(1-2*(J6*1000000/('Parametros'!$B$5*H6*U6^2))/(0.85*'Parametros'!$B$2)))*H6*U6)</f>
        <v>981.566836854638</v>
      </c>
      <c r="S6" s="31" t="n">
        <v>5</v>
      </c>
      <c r="T6" s="32" t="n">
        <v>1</v>
      </c>
      <c r="U6" s="10">
        <f>IF(T6=1,I6-('Parametros'!$B$7+'Parametros'!$B$9+'Parametros'!$B$12/2),I6-(ROUNDUP(S6/2,0)*('Parametros'!$B$7+'Parametros'!$B$9+'Parametros'!$B$12/2)+ROUNDDOWN(S6/2,0)*('Parametros'!$B$7+'Parametros'!$B$9+'Parametros'!$B$12/2+'Parametros'!$B$12+'Parametros'!$B$10))/S6)</f>
        <v>489.35</v>
      </c>
      <c r="V6" s="10">
        <f>S6*'Parametros'!$B$8</f>
        <v>995</v>
      </c>
      <c r="W6" s="10">
        <f>'Parametros'!$B$5*V6*'Parametros'!$B$3*(U6-(V6*'Parametros'!$B$3/(0.85*'Parametros'!$B$2*H6))/2)/1000000</f>
        <v>176.711596147059</v>
      </c>
      <c r="X6" s="10" t="str">
        <f>IF(W6&gt;=J6,"CUMPLE","NO CUMPLE")</f>
        <v>CUMPLE</v>
      </c>
      <c r="Y6" s="10">
        <f>MAX(MAX(1.4/'Parametros'!$B$3,0.25*SQRT('Parametros'!$B$2)/'Parametros'!$B$3)*H6*AB6,(0.85*'Parametros'!$B$2/'Parametros'!$B$3)*(1-SQRT(1-2*(L6*1000000/('Parametros'!$B$5*H6*AB6^2))/(0.85*'Parametros'!$B$2)))*H6*AB6)</f>
        <v>867.487593194639</v>
      </c>
      <c r="Z6" s="31" t="n">
        <v>5</v>
      </c>
      <c r="AA6" s="32" t="n">
        <v>1</v>
      </c>
      <c r="AB6" s="10">
        <f>IF(AA6=1,I6-('Parametros'!$B$7+'Parametros'!$B$9+'Parametros'!$B$12/2),I6-(ROUNDUP(Z6/2,0)*('Parametros'!$B$7+'Parametros'!$B$9+'Parametros'!$B$12/2)+ROUNDDOWN(Z6/2,0)*('Parametros'!$B$7+'Parametros'!$B$9+'Parametros'!$B$12/2+'Parametros'!$B$12+'Parametros'!$B$10))/Z6)</f>
        <v>489.35</v>
      </c>
      <c r="AC6" s="10">
        <f>Z6*'Parametros'!$B$8</f>
        <v>995</v>
      </c>
      <c r="AD6" s="10">
        <f>'Parametros'!$B$5*AC6*'Parametros'!$B$3*(AB6-(AC6*'Parametros'!$B$3/(0.85*'Parametros'!$B$2*H6))/2)/1000000</f>
        <v>176.711596147059</v>
      </c>
      <c r="AE6" s="10" t="str">
        <f>IF(AD6&gt;=L6,"CUMPLE","NO CUMPLE")</f>
        <v>CUMPLE</v>
      </c>
      <c r="AF6" s="10">
        <f>V6*1.25*'Parametros'!$B$3*(U6-(V6*1.25*'Parametros'!$B$3/(0.85*'Parametros'!$B$2*H6))/2)/1000000</f>
        <v>242.884913970588</v>
      </c>
      <c r="AG6" s="10">
        <f>AC6*1.25*'Parametros'!$B$3*(AB6-(AC6*1.25*'Parametros'!$B$3/(0.85*'Parametros'!$B$2*H6))/2)/1000000</f>
        <v>242.884913970588</v>
      </c>
      <c r="AH6" s="10">
        <f>N6+(AF6+AG6)/D6</f>
        <v>233.763478806228</v>
      </c>
      <c r="AI6" s="10">
        <f>MAX(O6,AH6)</f>
        <v>396.275</v>
      </c>
      <c r="AJ6" s="10">
        <f>0.17*SQRT('Parametros'!$B$2)*H6*MIN(U6,AB6)/1000</f>
        <v>198.088855822627</v>
      </c>
      <c r="AK6" s="10">
        <f>MAX(AI6/'Parametros'!$B$6-AJ6,0)</f>
        <v>330.27781084404</v>
      </c>
      <c r="AL6" s="10">
        <f>0.66*SQRT('Parametros'!$B$2)*H6*MIN(U6,AB6)/1000</f>
        <v>769.050852017258</v>
      </c>
      <c r="AM6" s="10" t="str">
        <f>IF(AK6&lt;=AL6,"CUMPLE","NO CUMPLE")</f>
        <v>CUMPLE</v>
      </c>
      <c r="AN6" s="17" t="inlineStr">
        <is>
          <t>Nº3 cerrado</t>
        </is>
      </c>
      <c r="AO6" s="31" t="n">
        <v>2</v>
      </c>
      <c r="AP6" s="10">
        <f>ROUNDDOWN(MIN(IF(BC6+BD6=0,1000000000,AO6*BB6/(BC6+BD6)),MIN(U6,AB6)/4,8*'Parametros'!$B$12,24*BA6,300,IF(AV6=0,1000000000,2*((H6-2*('Parametros'!$B$7+'Parametros'!$B$9/2))+(I6-2*('Parametros'!$B$7+'Parametros'!$B$9/2)))/8))/10,0)*10</f>
        <v>80</v>
      </c>
      <c r="AQ6" s="10">
        <f>ROUNDDOWN(MIN(IF(BC6+BD6=0,1000000000,AO6*BB6/(BC6+BD6)),IF(AK6&gt;0.33*SQRT('Parametros'!$B$2)*H6*MIN(U6,AB6)/1000,MIN(U6,AB6)/4,MIN(U6,AB6)/2),600,IF(AV6=0,1000000000,2*((H6-2*('Parametros'!$B$7+'Parametros'!$B$9/2))+(I6-2*('Parametros'!$B$7+'Parametros'!$B$9/2)))/8))/10,0)*10</f>
        <v>80</v>
      </c>
      <c r="AR6" s="10">
        <f>'Parametros'!$B$6*(AJ6+MAX(BE6-BD6,0)*'Parametros'!$B$4*MIN(U6,AB6)/1000)</f>
        <v>422.17446061697</v>
      </c>
      <c r="AS6" s="10" t="str">
        <f>IF(AND(ISERROR(SEARCH("referencia",AN6)),AM6="CUMPLE",AR6&gt;=AI6),"CUMPLE","NO CUMPLE")</f>
        <v>CUMPLE</v>
      </c>
      <c r="AT6" s="10">
        <f>'Parametros'!$B$6*0.083*SQRT('Parametros'!$B$2)*(H6*I6)^2/(2*(H6+I6))/1000000</f>
        <v>10.0887830333379</v>
      </c>
      <c r="AU6" s="10" t="str">
        <f>IF(Q6&lt;=AT6,"DESPRECIABLE","DISEÑAR")</f>
        <v>DESPRECIABLE</v>
      </c>
      <c r="AV6" s="10">
        <f>IF(Q6&lt;=AT6,0,Q6*1000000/('Parametros'!$B$6*2*0.85*(H6-2*('Parametros'!$B$7+'Parametros'!$B$9/2))*(I6-2*('Parametros'!$B$7+'Parametros'!$B$9/2))*'Parametros'!$B$4))</f>
        <v>0</v>
      </c>
      <c r="AW6" s="10">
        <f>AV6*2*((H6-2*('Parametros'!$B$7+'Parametros'!$B$9/2))+(I6-2*('Parametros'!$B$7+'Parametros'!$B$9/2)))*'Parametros'!$B$4/'Parametros'!$B$3</f>
        <v>0</v>
      </c>
      <c r="AX6" s="31" t="n">
        <v>0</v>
      </c>
      <c r="AY6" s="10" t="str">
        <f>IF(AV6=0,"DESPRECIABLE",IF(AND(ISERROR(SEARCH("referencia",AN6)),BB6/AP6&gt;=AV6,BI6&gt;=AW6,BH6="CUMPLE"),"CUMPLE","NO CUMPLE"))</f>
        <v>DESPRECIABLE</v>
      </c>
      <c r="AZ6" s="10" t="str">
        <f>IF(AND(X6="CUMPLE",AE6="CUMPLE",AS6="CUMPLE",OR(AY6="CUMPLE",AY6="DESPRECIABLE"),BH6="CUMPLE",BJ6="CUMPLE",COUNTIF('Todas las Vigas (592)'!$A$4:$A$595,A6)=COUNTIFS('Todas las Vigas (592)'!$A$4:$A$595,A6,'Todas las Vigas (592)'!$AZ$4:$AZ$595,"CUMPLE")),"CUMPLE","NO CUMPLE")</f>
        <v>CUMPLE</v>
      </c>
      <c r="BA6" s="32" t="n">
        <v>9.5</v>
      </c>
      <c r="BB6" s="32" t="n">
        <v>71</v>
      </c>
      <c r="BC6" s="10">
        <f>MAX(IF(AK6=0,0,AK6*1000/('Parametros'!$B$4*MIN(U6,AB6))),MAX(0.062*SQRT('Parametros'!$B$2)*H6/'Parametros'!$B$4,0.35*H6/'Parametros'!$B$4))</f>
        <v>1.60698015756587</v>
      </c>
      <c r="BD6" s="10">
        <f>2*AV6</f>
        <v>0</v>
      </c>
      <c r="BE6" s="10">
        <f>AO6*BB6/AP6</f>
        <v>1.775</v>
      </c>
      <c r="BF6" s="10">
        <f>SQRT((AI6*1000/(H6*MIN(U6,AB6)))^2+(Q6*1000000*2*((H6-2*('Parametros'!$B$7+'Parametros'!$B$9/2))+(I6-2*('Parametros'!$B$7+'Parametros'!$B$9/2)))/(1.7*((H6-2*('Parametros'!$B$7+'Parametros'!$B$9/2))*(I6-2*('Parametros'!$B$7+'Parametros'!$B$9/2)))^2))^2)</f>
        <v>1.80233449063636</v>
      </c>
      <c r="BG6" s="10">
        <f>'Parametros'!$B$6*(AJ6*1000/(H6*MIN(U6,AB6))+0.66*SQRT('Parametros'!$B$2))</f>
        <v>3.29396038227542</v>
      </c>
      <c r="BH6" s="10" t="str">
        <f>IF(BF6&lt;=BG6,"CUMPLE","NO CUMPLE")</f>
        <v>CUMPLE</v>
      </c>
      <c r="BI6" s="10">
        <f>AX6*'Parametros'!$B$8</f>
        <v>0</v>
      </c>
      <c r="BJ6" s="10" t="str">
        <f>IF(BI6&gt;=AW6,"CUMPLE","NO CUMPLE")</f>
        <v>CUMPLE</v>
      </c>
    </row>
    <row r="7">
      <c r="A7" s="18" t="inlineStr">
        <is>
          <t>VC4</t>
        </is>
      </c>
      <c r="B7" s="18" t="inlineStr">
        <is>
          <t>88</t>
        </is>
      </c>
      <c r="C7" s="10" t="n">
        <v>20</v>
      </c>
      <c r="D7" s="10" t="n">
        <v>3.25</v>
      </c>
      <c r="E7" s="10" t="n">
        <v>3.25</v>
      </c>
      <c r="F7" s="10" t="n">
        <v>450</v>
      </c>
      <c r="G7" s="10" t="n">
        <v>550</v>
      </c>
      <c r="H7" s="17" t="n">
        <v>450</v>
      </c>
      <c r="I7" s="17" t="n">
        <v>550</v>
      </c>
      <c r="J7" s="30" t="n">
        <v>204.9592</v>
      </c>
      <c r="K7" s="10" t="inlineStr">
        <is>
          <t>61</t>
        </is>
      </c>
      <c r="L7" s="30" t="n">
        <v>173.5868</v>
      </c>
      <c r="M7" s="10" t="inlineStr">
        <is>
          <t>62</t>
        </is>
      </c>
      <c r="N7" s="30" t="n">
        <v>118.968</v>
      </c>
      <c r="O7" s="30" t="n">
        <v>506.77</v>
      </c>
      <c r="P7" s="10" t="inlineStr">
        <is>
          <t>61</t>
        </is>
      </c>
      <c r="Q7" s="30" t="n">
        <v>74.8185</v>
      </c>
      <c r="R7" s="10">
        <f>MAX(MAX(1.4/'Parametros'!$B$3,0.25*SQRT('Parametros'!$B$2)/'Parametros'!$B$3)*H7*U7,(0.85*'Parametros'!$B$2/'Parametros'!$B$3)*(1-SQRT(1-2*(J7*1000000/('Parametros'!$B$5*H7*U7^2))/(0.85*'Parametros'!$B$2)))*H7*U7)</f>
        <v>1162.15949039836</v>
      </c>
      <c r="S7" s="31" t="n">
        <v>6</v>
      </c>
      <c r="T7" s="32" t="n">
        <v>1</v>
      </c>
      <c r="U7" s="10">
        <f>IF(T7=1,I7-('Parametros'!$B$7+'Parametros'!$B$9+'Parametros'!$B$12/2),I7-(ROUNDUP(S7/2,0)*('Parametros'!$B$7+'Parametros'!$B$9+'Parametros'!$B$12/2)+ROUNDDOWN(S7/2,0)*('Parametros'!$B$7+'Parametros'!$B$9+'Parametros'!$B$12/2+'Parametros'!$B$12+'Parametros'!$B$10))/S7)</f>
        <v>489.35</v>
      </c>
      <c r="V7" s="10">
        <f>S7*'Parametros'!$B$8</f>
        <v>1194</v>
      </c>
      <c r="W7" s="10">
        <f>'Parametros'!$B$5*V7*'Parametros'!$B$3*(U7-(V7*'Parametros'!$B$3/(0.85*'Parametros'!$B$2*H7))/2)/1000000</f>
        <v>210.292835611765</v>
      </c>
      <c r="X7" s="10" t="str">
        <f>IF(W7&gt;=J7,"CUMPLE","NO CUMPLE")</f>
        <v>CUMPLE</v>
      </c>
      <c r="Y7" s="10">
        <f>MAX(MAX(1.4/'Parametros'!$B$3,0.25*SQRT('Parametros'!$B$2)/'Parametros'!$B$3)*H7*AB7,(0.85*'Parametros'!$B$2/'Parametros'!$B$3)*(1-SQRT(1-2*(L7*1000000/('Parametros'!$B$5*H7*AB7^2))/(0.85*'Parametros'!$B$2)))*H7*AB7)</f>
        <v>976.657778795089</v>
      </c>
      <c r="Z7" s="31" t="n">
        <v>5</v>
      </c>
      <c r="AA7" s="32" t="n">
        <v>1</v>
      </c>
      <c r="AB7" s="10">
        <f>IF(AA7=1,I7-('Parametros'!$B$7+'Parametros'!$B$9+'Parametros'!$B$12/2),I7-(ROUNDUP(Z7/2,0)*('Parametros'!$B$7+'Parametros'!$B$9+'Parametros'!$B$12/2)+ROUNDDOWN(Z7/2,0)*('Parametros'!$B$7+'Parametros'!$B$9+'Parametros'!$B$12/2+'Parametros'!$B$12+'Parametros'!$B$10))/Z7)</f>
        <v>489.35</v>
      </c>
      <c r="AC7" s="10">
        <f>Z7*'Parametros'!$B$8</f>
        <v>995</v>
      </c>
      <c r="AD7" s="10">
        <f>'Parametros'!$B$5*AC7*'Parametros'!$B$3*(AB7-(AC7*'Parametros'!$B$3/(0.85*'Parametros'!$B$2*H7))/2)/1000000</f>
        <v>176.711596147059</v>
      </c>
      <c r="AE7" s="10" t="str">
        <f>IF(AD7&gt;=L7,"CUMPLE","NO CUMPLE")</f>
        <v>CUMPLE</v>
      </c>
      <c r="AF7" s="10">
        <f>V7*1.25*'Parametros'!$B$3*(U7-(V7*1.25*'Parametros'!$B$3/(0.85*'Parametros'!$B$2*H7))/2)/1000000</f>
        <v>288.404466617647</v>
      </c>
      <c r="AG7" s="10">
        <f>AC7*1.25*'Parametros'!$B$3*(AB7-(AC7*1.25*'Parametros'!$B$3/(0.85*'Parametros'!$B$2*H7))/2)/1000000</f>
        <v>242.884913970588</v>
      </c>
      <c r="AH7" s="10">
        <f>N7+(AF7+AG7)/D7</f>
        <v>282.441655565611</v>
      </c>
      <c r="AI7" s="10">
        <f>MAX(O7,AH7)</f>
        <v>506.77</v>
      </c>
      <c r="AJ7" s="10">
        <f>0.17*SQRT('Parametros'!$B$2)*H7*MIN(U7,AB7)/1000</f>
        <v>198.088855822627</v>
      </c>
      <c r="AK7" s="10">
        <f>MAX(AI7/'Parametros'!$B$6-AJ7,0)</f>
        <v>477.604477510706</v>
      </c>
      <c r="AL7" s="10">
        <f>0.66*SQRT('Parametros'!$B$2)*H7*MIN(U7,AB7)/1000</f>
        <v>769.050852017258</v>
      </c>
      <c r="AM7" s="10" t="str">
        <f>IF(AK7&lt;=AL7,"CUMPLE","NO CUMPLE")</f>
        <v>CUMPLE</v>
      </c>
      <c r="AN7" s="17" t="inlineStr">
        <is>
          <t>Nº4 cerrado</t>
        </is>
      </c>
      <c r="AO7" s="31" t="n">
        <v>4</v>
      </c>
      <c r="AP7" s="10">
        <f>ROUNDDOWN(MIN(IF(BC7+BD7=0,1000000000,AO7*BB7/(BC7+BD7)),MIN(U7,AB7)/4,8*'Parametros'!$B$12,24*BA7,300,IF(AV7=0,1000000000,2*((H7-2*('Parametros'!$B$7+'Parametros'!$B$9/2))+(I7-2*('Parametros'!$B$7+'Parametros'!$B$9/2)))/8))/10,0)*10</f>
        <v>120</v>
      </c>
      <c r="AQ7" s="10">
        <f>ROUNDDOWN(MIN(IF(BC7+BD7=0,1000000000,AO7*BB7/(BC7+BD7)),IF(AK7&gt;0.33*SQRT('Parametros'!$B$2)*H7*MIN(U7,AB7)/1000,MIN(U7,AB7)/4,MIN(U7,AB7)/2),600,IF(AV7=0,1000000000,2*((H7-2*('Parametros'!$B$7+'Parametros'!$B$9/2))+(I7-2*('Parametros'!$B$7+'Parametros'!$B$9/2)))/8))/10,0)*10</f>
        <v>120</v>
      </c>
      <c r="AR7" s="10">
        <f>'Parametros'!$B$6*(AJ7+MAX(BE7-BD7,0)*'Parametros'!$B$4*MIN(U7,AB7)/1000)</f>
        <v>547.772982857339</v>
      </c>
      <c r="AS7" s="10" t="str">
        <f>IF(AND(ISERROR(SEARCH("referencia",AN7)),AM7="CUMPLE",AR7&gt;=AI7),"CUMPLE","NO CUMPLE")</f>
        <v>CUMPLE</v>
      </c>
      <c r="AT7" s="10">
        <f>'Parametros'!$B$6*0.083*SQRT('Parametros'!$B$2)*(H7*I7)^2/(2*(H7+I7))/1000000</f>
        <v>10.0887830333379</v>
      </c>
      <c r="AU7" s="10" t="str">
        <f>IF(Q7&lt;=AT7,"DESPRECIABLE","DISEÑAR")</f>
        <v>DISEÑAR</v>
      </c>
      <c r="AV7" s="10">
        <f>IF(Q7&lt;=AT7,0,Q7*1000000/('Parametros'!$B$6*2*0.85*(H7-2*('Parametros'!$B$7+'Parametros'!$B$9/2))*(I7-2*('Parametros'!$B$7+'Parametros'!$B$9/2))*'Parametros'!$B$4))</f>
        <v>0.855096845376783</v>
      </c>
      <c r="AW7" s="10">
        <f>AV7*2*((H7-2*('Parametros'!$B$7+'Parametros'!$B$9/2))+(I7-2*('Parametros'!$B$7+'Parametros'!$B$9/2)))*'Parametros'!$B$4/'Parametros'!$B$3</f>
        <v>1393.12378048786</v>
      </c>
      <c r="AX7" s="31" t="n">
        <v>8</v>
      </c>
      <c r="AY7" s="10" t="str">
        <f>IF(AV7=0,"DESPRECIABLE",IF(AND(ISERROR(SEARCH("referencia",AN7)),BB7/AP7&gt;=AV7,BI7&gt;=AW7,BH7="CUMPLE"),"CUMPLE","NO CUMPLE"))</f>
        <v>NO CUMPLE</v>
      </c>
      <c r="AZ7" s="10" t="str">
        <f>IF(AND(X7="CUMPLE",AE7="CUMPLE",AS7="CUMPLE",OR(AY7="CUMPLE",AY7="DESPRECIABLE"),BH7="CUMPLE",BJ7="CUMPLE",COUNTIF('Todas las Vigas (592)'!$A$4:$A$595,A7)=COUNTIFS('Todas las Vigas (592)'!$A$4:$A$595,A7,'Todas las Vigas (592)'!$AZ$4:$AZ$595,"CUMPLE")),"CUMPLE","NO CUMPLE")</f>
        <v>NO CUMPLE</v>
      </c>
      <c r="BA7" s="32" t="n">
        <v>12.7</v>
      </c>
      <c r="BB7" s="32" t="n">
        <v>129</v>
      </c>
      <c r="BC7" s="10">
        <f>MAX(IF(AK7=0,0,AK7*1000/('Parametros'!$B$4*MIN(U7,AB7))),MAX(0.062*SQRT('Parametros'!$B$2)*H7/'Parametros'!$B$4,0.35*H7/'Parametros'!$B$4))</f>
        <v>2.32380406229209</v>
      </c>
      <c r="BD7" s="10">
        <f>2*AV7</f>
        <v>1.71019369075357</v>
      </c>
      <c r="BE7" s="10">
        <f>AO7*BB7/AP7</f>
        <v>4.3</v>
      </c>
      <c r="BF7" s="10">
        <f>SQRT((AI7*1000/(H7*MIN(U7,AB7)))^2+(Q7*1000000*2*((H7-2*('Parametros'!$B$7+'Parametros'!$B$9/2))+(I7-2*('Parametros'!$B$7+'Parametros'!$B$9/2)))/(1.7*((H7-2*('Parametros'!$B$7+'Parametros'!$B$9/2))*(I7-2*('Parametros'!$B$7+'Parametros'!$B$9/2)))^2))^2)</f>
        <v>3.53686095205992</v>
      </c>
      <c r="BG7" s="10">
        <f>'Parametros'!$B$6*(AJ7*1000/(H7*MIN(U7,AB7))+0.66*SQRT('Parametros'!$B$2))</f>
        <v>3.29396038227542</v>
      </c>
      <c r="BH7" s="10" t="str">
        <f>IF(BF7&lt;=BG7,"CUMPLE","NO CUMPLE")</f>
        <v>NO CUMPLE</v>
      </c>
      <c r="BI7" s="10">
        <f>AX7*'Parametros'!$B$8</f>
        <v>1592</v>
      </c>
      <c r="BJ7" s="10" t="str">
        <f>IF(BI7&gt;=AW7,"CUMPLE","NO CUMPLE")</f>
        <v>CUMPLE</v>
      </c>
    </row>
    <row r="8">
      <c r="A8" s="15" t="inlineStr">
        <is>
          <t>VC5</t>
        </is>
      </c>
      <c r="B8" s="15" t="inlineStr">
        <is>
          <t>84</t>
        </is>
      </c>
      <c r="C8" s="10" t="n">
        <v>40</v>
      </c>
      <c r="D8" s="10" t="n">
        <v>3.3</v>
      </c>
      <c r="E8" s="10" t="n">
        <v>3.3</v>
      </c>
      <c r="F8" s="10" t="n">
        <v>450</v>
      </c>
      <c r="G8" s="10" t="n">
        <v>550</v>
      </c>
      <c r="H8" s="17" t="n">
        <v>450</v>
      </c>
      <c r="I8" s="17" t="n">
        <v>550</v>
      </c>
      <c r="J8" s="30" t="n">
        <v>199.483</v>
      </c>
      <c r="K8" s="10" t="inlineStr">
        <is>
          <t>84</t>
        </is>
      </c>
      <c r="L8" s="30" t="n">
        <v>139.6693</v>
      </c>
      <c r="M8" s="10" t="inlineStr">
        <is>
          <t>63</t>
        </is>
      </c>
      <c r="N8" s="30" t="n">
        <v>140.953</v>
      </c>
      <c r="O8" s="30" t="n">
        <v>491.129</v>
      </c>
      <c r="P8" s="10" t="inlineStr">
        <is>
          <t>84</t>
        </is>
      </c>
      <c r="Q8" s="30" t="n">
        <v>124.2661</v>
      </c>
      <c r="R8" s="10">
        <f>MAX(MAX(1.4/'Parametros'!$B$3,0.25*SQRT('Parametros'!$B$2)/'Parametros'!$B$3)*H8*U8,(0.85*'Parametros'!$B$2/'Parametros'!$B$3)*(1-SQRT(1-2*(J8*1000000/('Parametros'!$B$5*H8*U8^2))/(0.85*'Parametros'!$B$2)))*H8*U8)</f>
        <v>1129.56085133948</v>
      </c>
      <c r="S8" s="31" t="n">
        <v>6</v>
      </c>
      <c r="T8" s="32" t="n">
        <v>1</v>
      </c>
      <c r="U8" s="10">
        <f>IF(T8=1,I8-('Parametros'!$B$7+'Parametros'!$B$9+'Parametros'!$B$12/2),I8-(ROUNDUP(S8/2,0)*('Parametros'!$B$7+'Parametros'!$B$9+'Parametros'!$B$12/2)+ROUNDDOWN(S8/2,0)*('Parametros'!$B$7+'Parametros'!$B$9+'Parametros'!$B$12/2+'Parametros'!$B$12+'Parametros'!$B$10))/S8)</f>
        <v>489.35</v>
      </c>
      <c r="V8" s="10">
        <f>S8*'Parametros'!$B$8</f>
        <v>1194</v>
      </c>
      <c r="W8" s="10">
        <f>'Parametros'!$B$5*V8*'Parametros'!$B$3*(U8-(V8*'Parametros'!$B$3/(0.85*'Parametros'!$B$2*H8))/2)/1000000</f>
        <v>210.292835611765</v>
      </c>
      <c r="X8" s="10" t="str">
        <f>IF(W8&gt;=J8,"CUMPLE","NO CUMPLE")</f>
        <v>CUMPLE</v>
      </c>
      <c r="Y8" s="10">
        <f>MAX(MAX(1.4/'Parametros'!$B$3,0.25*SQRT('Parametros'!$B$2)/'Parametros'!$B$3)*H8*AB8,(0.85*'Parametros'!$B$2/'Parametros'!$B$3)*(1-SQRT(1-2*(L8*1000000/('Parametros'!$B$5*H8*AB8^2))/(0.85*'Parametros'!$B$2)))*H8*AB8)</f>
        <v>779.415646823794</v>
      </c>
      <c r="Z8" s="31" t="n">
        <v>4</v>
      </c>
      <c r="AA8" s="32" t="n">
        <v>1</v>
      </c>
      <c r="AB8" s="10">
        <f>IF(AA8=1,I8-('Parametros'!$B$7+'Parametros'!$B$9+'Parametros'!$B$12/2),I8-(ROUNDUP(Z8/2,0)*('Parametros'!$B$7+'Parametros'!$B$9+'Parametros'!$B$12/2)+ROUNDDOWN(Z8/2,0)*('Parametros'!$B$7+'Parametros'!$B$9+'Parametros'!$B$12/2+'Parametros'!$B$12+'Parametros'!$B$10))/Z8)</f>
        <v>489.35</v>
      </c>
      <c r="AC8" s="10">
        <f>Z8*'Parametros'!$B$8</f>
        <v>796</v>
      </c>
      <c r="AD8" s="10">
        <f>'Parametros'!$B$5*AC8*'Parametros'!$B$3*(AB8-(AC8*'Parametros'!$B$3/(0.85*'Parametros'!$B$2*H8))/2)/1000000</f>
        <v>142.543330094118</v>
      </c>
      <c r="AE8" s="10" t="str">
        <f>IF(AD8&gt;=L8,"CUMPLE","NO CUMPLE")</f>
        <v>CUMPLE</v>
      </c>
      <c r="AF8" s="10">
        <f>V8*1.25*'Parametros'!$B$3*(U8-(V8*1.25*'Parametros'!$B$3/(0.85*'Parametros'!$B$2*H8))/2)/1000000</f>
        <v>288.404466617647</v>
      </c>
      <c r="AG8" s="10">
        <f>AC8*1.25*'Parametros'!$B$3*(AB8-(AC8*1.25*'Parametros'!$B$3/(0.85*'Parametros'!$B$2*H8))/2)/1000000</f>
        <v>196.346217941176</v>
      </c>
      <c r="AH8" s="10">
        <f>N8+(AF8+AG8)/D8</f>
        <v>287.847146836007</v>
      </c>
      <c r="AI8" s="10">
        <f>MAX(O8,AH8)</f>
        <v>491.129</v>
      </c>
      <c r="AJ8" s="10">
        <f>0.17*SQRT('Parametros'!$B$2)*H8*MIN(U8,AB8)/1000</f>
        <v>198.088855822627</v>
      </c>
      <c r="AK8" s="10">
        <f>MAX(AI8/'Parametros'!$B$6-AJ8,0)</f>
        <v>456.74981084404</v>
      </c>
      <c r="AL8" s="10">
        <f>0.66*SQRT('Parametros'!$B$2)*H8*MIN(U8,AB8)/1000</f>
        <v>769.050852017258</v>
      </c>
      <c r="AM8" s="10" t="str">
        <f>IF(AK8&lt;=AL8,"CUMPLE","NO CUMPLE")</f>
        <v>CUMPLE</v>
      </c>
      <c r="AN8" s="17" t="inlineStr">
        <is>
          <t>Nº4 cerrado (referencia)</t>
        </is>
      </c>
      <c r="AO8" s="31" t="n">
        <v>4</v>
      </c>
      <c r="AP8" s="10">
        <f>ROUNDDOWN(MIN(IF(BC8+BD8=0,1000000000,AO8*BB8/(BC8+BD8)),MIN(U8,AB8)/4,8*'Parametros'!$B$12,24*BA8,300,IF(AV8=0,1000000000,2*((H8-2*('Parametros'!$B$7+'Parametros'!$B$9/2))+(I8-2*('Parametros'!$B$7+'Parametros'!$B$9/2)))/8))/10,0)*10</f>
        <v>100</v>
      </c>
      <c r="AQ8" s="10">
        <f>ROUNDDOWN(MIN(IF(BC8+BD8=0,1000000000,AO8*BB8/(BC8+BD8)),IF(AK8&gt;0.33*SQRT('Parametros'!$B$2)*H8*MIN(U8,AB8)/1000,MIN(U8,AB8)/4,MIN(U8,AB8)/2),600,IF(AV8=0,1000000000,2*((H8-2*('Parametros'!$B$7+'Parametros'!$B$9/2))+(I8-2*('Parametros'!$B$7+'Parametros'!$B$9/2)))/8))/10,0)*10</f>
        <v>100</v>
      </c>
      <c r="AR8" s="10">
        <f>'Parametros'!$B$6*(AJ8+MAX(BE8-BD8,0)*'Parametros'!$B$4*MIN(U8,AB8)/1000)</f>
        <v>506.112419025036</v>
      </c>
      <c r="AS8" s="10" t="str">
        <f>IF(AND(ISERROR(SEARCH("referencia",AN8)),AM8="CUMPLE",AR8&gt;=AI8),"CUMPLE","NO CUMPLE")</f>
        <v>NO CUMPLE</v>
      </c>
      <c r="AT8" s="10">
        <f>'Parametros'!$B$6*0.083*SQRT('Parametros'!$B$2)*(H8*I8)^2/(2*(H8+I8))/1000000</f>
        <v>10.0887830333379</v>
      </c>
      <c r="AU8" s="10" t="str">
        <f>IF(Q8&lt;=AT8,"DESPRECIABLE","DISEÑAR")</f>
        <v>DISEÑAR</v>
      </c>
      <c r="AV8" s="10">
        <f>IF(Q8&lt;=AT8,0,Q8*1000000/('Parametros'!$B$6*2*0.85*(H8-2*('Parametros'!$B$7+'Parametros'!$B$9/2))*(I8-2*('Parametros'!$B$7+'Parametros'!$B$9/2))*'Parametros'!$B$4))</f>
        <v>1.42023096022075</v>
      </c>
      <c r="AW8" s="10">
        <f>AV8*2*((H8-2*('Parametros'!$B$7+'Parametros'!$B$9/2))+(I8-2*('Parametros'!$B$7+'Parametros'!$B$9/2)))*'Parametros'!$B$4/'Parametros'!$B$3</f>
        <v>2313.84028039164</v>
      </c>
      <c r="AX8" s="31" t="n">
        <v>12</v>
      </c>
      <c r="AY8" s="10" t="str">
        <f>IF(AV8=0,"DESPRECIABLE",IF(AND(ISERROR(SEARCH("referencia",AN8)),BB8/AP8&gt;=AV8,BI8&gt;=AW8,BH8="CUMPLE"),"CUMPLE","NO CUMPLE"))</f>
        <v>NO CUMPLE</v>
      </c>
      <c r="AZ8" s="10" t="str">
        <f>IF(AND(X8="CUMPLE",AE8="CUMPLE",AS8="CUMPLE",OR(AY8="CUMPLE",AY8="DESPRECIABLE"),BH8="CUMPLE",BJ8="CUMPLE",COUNTIF('Todas las Vigas (592)'!$A$4:$A$595,A8)=COUNTIFS('Todas las Vigas (592)'!$A$4:$A$595,A8,'Todas las Vigas (592)'!$AZ$4:$AZ$595,"CUMPLE")),"CUMPLE","NO CUMPLE")</f>
        <v>NO CUMPLE</v>
      </c>
      <c r="BA8" s="32" t="n">
        <v>12.7</v>
      </c>
      <c r="BB8" s="32" t="n">
        <v>129</v>
      </c>
      <c r="BC8" s="10">
        <f>MAX(IF(AK8=0,0,AK8*1000/('Parametros'!$B$4*MIN(U8,AB8))),MAX(0.062*SQRT('Parametros'!$B$2)*H8/'Parametros'!$B$4,0.35*H8/'Parametros'!$B$4))</f>
        <v>2.22233483116106</v>
      </c>
      <c r="BD8" s="10">
        <f>2*AV8</f>
        <v>2.84046192044149</v>
      </c>
      <c r="BE8" s="10">
        <f>AO8*BB8/AP8</f>
        <v>5.16</v>
      </c>
      <c r="BF8" s="10">
        <f>SQRT((AI8*1000/(H8*MIN(U8,AB8)))^2+(Q8*1000000*2*((H8-2*('Parametros'!$B$7+'Parametros'!$B$9/2))+(I8-2*('Parametros'!$B$7+'Parametros'!$B$9/2)))/(1.7*((H8-2*('Parametros'!$B$7+'Parametros'!$B$9/2))*(I8-2*('Parametros'!$B$7+'Parametros'!$B$9/2)))^2))^2)</f>
        <v>4.98725381209295</v>
      </c>
      <c r="BG8" s="10">
        <f>'Parametros'!$B$6*(AJ8*1000/(H8*MIN(U8,AB8))+0.66*SQRT('Parametros'!$B$2))</f>
        <v>3.29396038227542</v>
      </c>
      <c r="BH8" s="10" t="str">
        <f>IF(BF8&lt;=BG8,"CUMPLE","NO CUMPLE")</f>
        <v>NO CUMPLE</v>
      </c>
      <c r="BI8" s="10">
        <f>AX8*'Parametros'!$B$8</f>
        <v>2388</v>
      </c>
      <c r="BJ8" s="10" t="str">
        <f>IF(BI8&gt;=AW8,"CUMPLE","NO CUMPLE")</f>
        <v>CUMPLE</v>
      </c>
    </row>
    <row r="9">
      <c r="A9" s="20" t="inlineStr">
        <is>
          <t>VC6</t>
        </is>
      </c>
      <c r="B9" s="20" t="inlineStr">
        <is>
          <t>81</t>
        </is>
      </c>
      <c r="C9" s="10" t="n">
        <v>40</v>
      </c>
      <c r="D9" s="10" t="n">
        <v>3.3</v>
      </c>
      <c r="E9" s="10" t="n">
        <v>3.3</v>
      </c>
      <c r="F9" s="10" t="n">
        <v>450</v>
      </c>
      <c r="G9" s="10" t="n">
        <v>550</v>
      </c>
      <c r="H9" s="17" t="n">
        <v>450</v>
      </c>
      <c r="I9" s="17" t="n">
        <v>550</v>
      </c>
      <c r="J9" s="30" t="n">
        <v>171.0864</v>
      </c>
      <c r="K9" s="10" t="inlineStr">
        <is>
          <t>70</t>
        </is>
      </c>
      <c r="L9" s="30" t="n">
        <v>149.0401</v>
      </c>
      <c r="M9" s="10" t="inlineStr">
        <is>
          <t>67</t>
        </is>
      </c>
      <c r="N9" s="30" t="n">
        <v>98.239</v>
      </c>
      <c r="O9" s="30" t="n">
        <v>424.48</v>
      </c>
      <c r="P9" s="10" t="inlineStr">
        <is>
          <t>70</t>
        </is>
      </c>
      <c r="Q9" s="30" t="n">
        <v>123.143</v>
      </c>
      <c r="R9" s="10">
        <f>MAX(MAX(1.4/'Parametros'!$B$3,0.25*SQRT('Parametros'!$B$2)/'Parametros'!$B$3)*H9*U9,(0.85*'Parametros'!$B$2/'Parametros'!$B$3)*(1-SQRT(1-2*(J9*1000000/('Parametros'!$B$5*H9*U9^2))/(0.85*'Parametros'!$B$2)))*H9*U9)</f>
        <v>962.001737270409</v>
      </c>
      <c r="S9" s="31" t="n">
        <v>5</v>
      </c>
      <c r="T9" s="32" t="n">
        <v>1</v>
      </c>
      <c r="U9" s="10">
        <f>IF(T9=1,I9-('Parametros'!$B$7+'Parametros'!$B$9+'Parametros'!$B$12/2),I9-(ROUNDUP(S9/2,0)*('Parametros'!$B$7+'Parametros'!$B$9+'Parametros'!$B$12/2)+ROUNDDOWN(S9/2,0)*('Parametros'!$B$7+'Parametros'!$B$9+'Parametros'!$B$12/2+'Parametros'!$B$12+'Parametros'!$B$10))/S9)</f>
        <v>489.35</v>
      </c>
      <c r="V9" s="10">
        <f>S9*'Parametros'!$B$8</f>
        <v>995</v>
      </c>
      <c r="W9" s="10">
        <f>'Parametros'!$B$5*V9*'Parametros'!$B$3*(U9-(V9*'Parametros'!$B$3/(0.85*'Parametros'!$B$2*H9))/2)/1000000</f>
        <v>176.711596147059</v>
      </c>
      <c r="X9" s="10" t="str">
        <f>IF(W9&gt;=J9,"CUMPLE","NO CUMPLE")</f>
        <v>CUMPLE</v>
      </c>
      <c r="Y9" s="10">
        <f>MAX(MAX(1.4/'Parametros'!$B$3,0.25*SQRT('Parametros'!$B$2)/'Parametros'!$B$3)*H9*AB9,(0.85*'Parametros'!$B$2/'Parametros'!$B$3)*(1-SQRT(1-2*(L9*1000000/('Parametros'!$B$5*H9*AB9^2))/(0.85*'Parametros'!$B$2)))*H9*AB9)</f>
        <v>833.576114763658</v>
      </c>
      <c r="Z9" s="31" t="n">
        <v>5</v>
      </c>
      <c r="AA9" s="32" t="n">
        <v>1</v>
      </c>
      <c r="AB9" s="10">
        <f>IF(AA9=1,I9-('Parametros'!$B$7+'Parametros'!$B$9+'Parametros'!$B$12/2),I9-(ROUNDUP(Z9/2,0)*('Parametros'!$B$7+'Parametros'!$B$9+'Parametros'!$B$12/2)+ROUNDDOWN(Z9/2,0)*('Parametros'!$B$7+'Parametros'!$B$9+'Parametros'!$B$12/2+'Parametros'!$B$12+'Parametros'!$B$10))/Z9)</f>
        <v>489.35</v>
      </c>
      <c r="AC9" s="10">
        <f>Z9*'Parametros'!$B$8</f>
        <v>995</v>
      </c>
      <c r="AD9" s="10">
        <f>'Parametros'!$B$5*AC9*'Parametros'!$B$3*(AB9-(AC9*'Parametros'!$B$3/(0.85*'Parametros'!$B$2*H9))/2)/1000000</f>
        <v>176.711596147059</v>
      </c>
      <c r="AE9" s="10" t="str">
        <f>IF(AD9&gt;=L9,"CUMPLE","NO CUMPLE")</f>
        <v>CUMPLE</v>
      </c>
      <c r="AF9" s="10">
        <f>V9*1.25*'Parametros'!$B$3*(U9-(V9*1.25*'Parametros'!$B$3/(0.85*'Parametros'!$B$2*H9))/2)/1000000</f>
        <v>242.884913970588</v>
      </c>
      <c r="AG9" s="10">
        <f>AC9*1.25*'Parametros'!$B$3*(AB9-(AC9*1.25*'Parametros'!$B$3/(0.85*'Parametros'!$B$2*H9))/2)/1000000</f>
        <v>242.884913970588</v>
      </c>
      <c r="AH9" s="10">
        <f>N9+(AF9+AG9)/D9</f>
        <v>245.441978163993</v>
      </c>
      <c r="AI9" s="10">
        <f>MAX(O9,AH9)</f>
        <v>424.48</v>
      </c>
      <c r="AJ9" s="10">
        <f>0.17*SQRT('Parametros'!$B$2)*H9*MIN(U9,AB9)/1000</f>
        <v>198.088855822627</v>
      </c>
      <c r="AK9" s="10">
        <f>MAX(AI9/'Parametros'!$B$6-AJ9,0)</f>
        <v>367.884477510706</v>
      </c>
      <c r="AL9" s="10">
        <f>0.66*SQRT('Parametros'!$B$2)*H9*MIN(U9,AB9)/1000</f>
        <v>769.050852017258</v>
      </c>
      <c r="AM9" s="10" t="str">
        <f>IF(AK9&lt;=AL9,"CUMPLE","NO CUMPLE")</f>
        <v>CUMPLE</v>
      </c>
      <c r="AN9" s="17" t="inlineStr">
        <is>
          <t>Nº4 cerrado (referencia)</t>
        </is>
      </c>
      <c r="AO9" s="31" t="n">
        <v>4</v>
      </c>
      <c r="AP9" s="10">
        <f>ROUNDDOWN(MIN(IF(BC9+BD9=0,1000000000,AO9*BB9/(BC9+BD9)),MIN(U9,AB9)/4,8*'Parametros'!$B$12,24*BA9,300,IF(AV9=0,1000000000,2*((H9-2*('Parametros'!$B$7+'Parametros'!$B$9/2))+(I9-2*('Parametros'!$B$7+'Parametros'!$B$9/2)))/8))/10,0)*10</f>
        <v>110</v>
      </c>
      <c r="AQ9" s="10">
        <f>ROUNDDOWN(MIN(IF(BC9+BD9=0,1000000000,AO9*BB9/(BC9+BD9)),IF(AK9&gt;0.33*SQRT('Parametros'!$B$2)*H9*MIN(U9,AB9)/1000,MIN(U9,AB9)/4,MIN(U9,AB9)/2),600,IF(AV9=0,1000000000,2*((H9-2*('Parametros'!$B$7+'Parametros'!$B$9/2))+(I9-2*('Parametros'!$B$7+'Parametros'!$B$9/2)))/8))/10,0)*10</f>
        <v>110</v>
      </c>
      <c r="AR9" s="10">
        <f>'Parametros'!$B$6*(AJ9+MAX(BE9-BD9,0)*'Parametros'!$B$4*MIN(U9,AB9)/1000)</f>
        <v>437.761455107159</v>
      </c>
      <c r="AS9" s="10" t="str">
        <f>IF(AND(ISERROR(SEARCH("referencia",AN9)),AM9="CUMPLE",AR9&gt;=AI9),"CUMPLE","NO CUMPLE")</f>
        <v>NO CUMPLE</v>
      </c>
      <c r="AT9" s="10">
        <f>'Parametros'!$B$6*0.083*SQRT('Parametros'!$B$2)*(H9*I9)^2/(2*(H9+I9))/1000000</f>
        <v>10.0887830333379</v>
      </c>
      <c r="AU9" s="10" t="str">
        <f>IF(Q9&lt;=AT9,"DESPRECIABLE","DISEÑAR")</f>
        <v>DISEÑAR</v>
      </c>
      <c r="AV9" s="10">
        <f>IF(Q9&lt;=AT9,0,Q9*1000000/('Parametros'!$B$6*2*0.85*(H9-2*('Parametros'!$B$7+'Parametros'!$B$9/2))*(I9-2*('Parametros'!$B$7+'Parametros'!$B$9/2))*'Parametros'!$B$4))</f>
        <v>1.40739510722927</v>
      </c>
      <c r="AW9" s="10">
        <f>AV9*2*((H9-2*('Parametros'!$B$7+'Parametros'!$B$9/2))+(I9-2*('Parametros'!$B$7+'Parametros'!$B$9/2)))*'Parametros'!$B$4/'Parametros'!$B$3</f>
        <v>2292.92810869793</v>
      </c>
      <c r="AX9" s="31" t="n">
        <v>12</v>
      </c>
      <c r="AY9" s="10" t="str">
        <f>IF(AV9=0,"DESPRECIABLE",IF(AND(ISERROR(SEARCH("referencia",AN9)),BB9/AP9&gt;=AV9,BI9&gt;=AW9,BH9="CUMPLE"),"CUMPLE","NO CUMPLE"))</f>
        <v>NO CUMPLE</v>
      </c>
      <c r="AZ9" s="10" t="str">
        <f>IF(AND(X9="CUMPLE",AE9="CUMPLE",AS9="CUMPLE",OR(AY9="CUMPLE",AY9="DESPRECIABLE"),BH9="CUMPLE",BJ9="CUMPLE",COUNTIF('Todas las Vigas (592)'!$A$4:$A$595,A9)=COUNTIFS('Todas las Vigas (592)'!$A$4:$A$595,A9,'Todas las Vigas (592)'!$AZ$4:$AZ$595,"CUMPLE")),"CUMPLE","NO CUMPLE")</f>
        <v>NO CUMPLE</v>
      </c>
      <c r="BA9" s="32" t="n">
        <v>12.7</v>
      </c>
      <c r="BB9" s="32" t="n">
        <v>129</v>
      </c>
      <c r="BC9" s="10">
        <f>MAX(IF(AK9=0,0,AK9*1000/('Parametros'!$B$4*MIN(U9,AB9))),MAX(0.062*SQRT('Parametros'!$B$2)*H9/'Parametros'!$B$4,0.35*H9/'Parametros'!$B$4))</f>
        <v>1.78995692785233</v>
      </c>
      <c r="BD9" s="10">
        <f>2*AV9</f>
        <v>2.81479021445854</v>
      </c>
      <c r="BE9" s="10">
        <f>AO9*BB9/AP9</f>
        <v>4.69090909090909</v>
      </c>
      <c r="BF9" s="10">
        <f>SQRT((AI9*1000/(H9*MIN(U9,AB9)))^2+(Q9*1000000*2*((H9-2*('Parametros'!$B$7+'Parametros'!$B$9/2))+(I9-2*('Parametros'!$B$7+'Parametros'!$B$9/2)))/(1.7*((H9-2*('Parametros'!$B$7+'Parametros'!$B$9/2))*(I9-2*('Parametros'!$B$7+'Parametros'!$B$9/2)))^2))^2)</f>
        <v>4.82246686777352</v>
      </c>
      <c r="BG9" s="10">
        <f>'Parametros'!$B$6*(AJ9*1000/(H9*MIN(U9,AB9))+0.66*SQRT('Parametros'!$B$2))</f>
        <v>3.29396038227542</v>
      </c>
      <c r="BH9" s="10" t="str">
        <f>IF(BF9&lt;=BG9,"CUMPLE","NO CUMPLE")</f>
        <v>NO CUMPLE</v>
      </c>
      <c r="BI9" s="10">
        <f>AX9*'Parametros'!$B$8</f>
        <v>2388</v>
      </c>
      <c r="BJ9" s="10" t="str">
        <f>IF(BI9&gt;=AW9,"CUMPLE","NO CUMPLE")</f>
        <v>CUMPLE</v>
      </c>
    </row>
    <row r="10">
      <c r="A10" s="21" t="inlineStr">
        <is>
          <t>VC7</t>
        </is>
      </c>
      <c r="B10" s="21" t="inlineStr">
        <is>
          <t>75</t>
        </is>
      </c>
      <c r="C10" s="10" t="n">
        <v>40</v>
      </c>
      <c r="D10" s="10" t="n">
        <v>2.05</v>
      </c>
      <c r="E10" s="10" t="n">
        <v>4.5</v>
      </c>
      <c r="F10" s="10" t="n">
        <v>450</v>
      </c>
      <c r="G10" s="10" t="n">
        <v>550</v>
      </c>
      <c r="H10" s="17" t="n">
        <v>450</v>
      </c>
      <c r="I10" s="17" t="n">
        <v>550</v>
      </c>
      <c r="J10" s="30" t="n">
        <v>210.2525</v>
      </c>
      <c r="K10" s="10" t="inlineStr">
        <is>
          <t>74</t>
        </is>
      </c>
      <c r="L10" s="30" t="n">
        <v>197.3101</v>
      </c>
      <c r="M10" s="10" t="inlineStr">
        <is>
          <t>75</t>
        </is>
      </c>
      <c r="N10" s="30" t="n">
        <v>163.07</v>
      </c>
      <c r="O10" s="30" t="n">
        <v>754.708</v>
      </c>
      <c r="P10" s="10" t="inlineStr">
        <is>
          <t>75</t>
        </is>
      </c>
      <c r="Q10" s="30" t="n">
        <v>14.1874</v>
      </c>
      <c r="R10" s="10">
        <f>MAX(MAX(1.4/'Parametros'!$B$3,0.25*SQRT('Parametros'!$B$2)/'Parametros'!$B$3)*H10*U10,(0.85*'Parametros'!$B$2/'Parametros'!$B$3)*(1-SQRT(1-2*(J10*1000000/('Parametros'!$B$5*H10*U10^2))/(0.85*'Parametros'!$B$2)))*H10*U10)</f>
        <v>1193.75886905159</v>
      </c>
      <c r="S10" s="31" t="n">
        <v>6</v>
      </c>
      <c r="T10" s="32" t="n">
        <v>1</v>
      </c>
      <c r="U10" s="10">
        <f>IF(T10=1,I10-('Parametros'!$B$7+'Parametros'!$B$9+'Parametros'!$B$12/2),I10-(ROUNDUP(S10/2,0)*('Parametros'!$B$7+'Parametros'!$B$9+'Parametros'!$B$12/2)+ROUNDDOWN(S10/2,0)*('Parametros'!$B$7+'Parametros'!$B$9+'Parametros'!$B$12/2+'Parametros'!$B$12+'Parametros'!$B$10))/S10)</f>
        <v>489.35</v>
      </c>
      <c r="V10" s="10">
        <f>S10*'Parametros'!$B$8</f>
        <v>1194</v>
      </c>
      <c r="W10" s="10">
        <f>'Parametros'!$B$5*V10*'Parametros'!$B$3*(U10-(V10*'Parametros'!$B$3/(0.85*'Parametros'!$B$2*H10))/2)/1000000</f>
        <v>210.292835611765</v>
      </c>
      <c r="X10" s="10" t="str">
        <f>IF(W10&gt;=J10,"CUMPLE","NO CUMPLE")</f>
        <v>CUMPLE</v>
      </c>
      <c r="Y10" s="10">
        <f>MAX(MAX(1.4/'Parametros'!$B$3,0.25*SQRT('Parametros'!$B$2)/'Parametros'!$B$3)*H10*AB10,(0.85*'Parametros'!$B$2/'Parametros'!$B$3)*(1-SQRT(1-2*(L10*1000000/('Parametros'!$B$5*H10*AB10^2))/(0.85*'Parametros'!$B$2)))*H10*AB10)</f>
        <v>1116.65196440511</v>
      </c>
      <c r="Z10" s="31" t="n">
        <v>6</v>
      </c>
      <c r="AA10" s="32" t="n">
        <v>1</v>
      </c>
      <c r="AB10" s="10">
        <f>IF(AA10=1,I10-('Parametros'!$B$7+'Parametros'!$B$9+'Parametros'!$B$12/2),I10-(ROUNDUP(Z10/2,0)*('Parametros'!$B$7+'Parametros'!$B$9+'Parametros'!$B$12/2)+ROUNDDOWN(Z10/2,0)*('Parametros'!$B$7+'Parametros'!$B$9+'Parametros'!$B$12/2+'Parametros'!$B$12+'Parametros'!$B$10))/Z10)</f>
        <v>489.35</v>
      </c>
      <c r="AC10" s="10">
        <f>Z10*'Parametros'!$B$8</f>
        <v>1194</v>
      </c>
      <c r="AD10" s="10">
        <f>'Parametros'!$B$5*AC10*'Parametros'!$B$3*(AB10-(AC10*'Parametros'!$B$3/(0.85*'Parametros'!$B$2*H10))/2)/1000000</f>
        <v>210.292835611765</v>
      </c>
      <c r="AE10" s="10" t="str">
        <f>IF(AD10&gt;=L10,"CUMPLE","NO CUMPLE")</f>
        <v>CUMPLE</v>
      </c>
      <c r="AF10" s="10">
        <f>V10*1.25*'Parametros'!$B$3*(U10-(V10*1.25*'Parametros'!$B$3/(0.85*'Parametros'!$B$2*H10))/2)/1000000</f>
        <v>288.404466617647</v>
      </c>
      <c r="AG10" s="10">
        <f>AC10*1.25*'Parametros'!$B$3*(AB10-(AC10*1.25*'Parametros'!$B$3/(0.85*'Parametros'!$B$2*H10))/2)/1000000</f>
        <v>288.404466617647</v>
      </c>
      <c r="AH10" s="10">
        <f>N10+(AF10+AG10)/D10</f>
        <v>444.44021133429</v>
      </c>
      <c r="AI10" s="10">
        <f>MAX(O10,AH10)</f>
        <v>754.708</v>
      </c>
      <c r="AJ10" s="10">
        <f>0.17*SQRT('Parametros'!$B$2)*H10*MIN(U10,AB10)/1000</f>
        <v>198.088855822627</v>
      </c>
      <c r="AK10" s="10">
        <f>MAX(AI10/'Parametros'!$B$6-AJ10,0)</f>
        <v>808.188477510706</v>
      </c>
      <c r="AL10" s="10">
        <f>0.66*SQRT('Parametros'!$B$2)*H10*MIN(U10,AB10)/1000</f>
        <v>769.050852017258</v>
      </c>
      <c r="AM10" s="10" t="str">
        <f>IF(AK10&lt;=AL10,"CUMPLE","NO CUMPLE")</f>
        <v>NO CUMPLE</v>
      </c>
      <c r="AN10" s="17" t="inlineStr">
        <is>
          <t>Nº4 cerrado</t>
        </is>
      </c>
      <c r="AO10" s="31" t="n">
        <v>4</v>
      </c>
      <c r="AP10" s="10">
        <f>ROUNDDOWN(MIN(IF(BC10+BD10=0,1000000000,AO10*BB10/(BC10+BD10)),MIN(U10,AB10)/4,8*'Parametros'!$B$12,24*BA10,300,IF(AV10=0,1000000000,2*((H10-2*('Parametros'!$B$7+'Parametros'!$B$9/2))+(I10-2*('Parametros'!$B$7+'Parametros'!$B$9/2)))/8))/10,0)*10</f>
        <v>120</v>
      </c>
      <c r="AQ10" s="10">
        <f>ROUNDDOWN(MIN(IF(BC10+BD10=0,1000000000,AO10*BB10/(BC10+BD10)),IF(AK10&gt;0.33*SQRT('Parametros'!$B$2)*H10*MIN(U10,AB10)/1000,MIN(U10,AB10)/4,MIN(U10,AB10)/2),600,IF(AV10=0,1000000000,2*((H10-2*('Parametros'!$B$7+'Parametros'!$B$9/2))+(I10-2*('Parametros'!$B$7+'Parametros'!$B$9/2)))/8))/10,0)*10</f>
        <v>120</v>
      </c>
      <c r="AR10" s="10">
        <f>'Parametros'!$B$6*(AJ10+MAX(BE10-BD10,0)*'Parametros'!$B$4*MIN(U10,AB10)/1000)</f>
        <v>761.402813822426</v>
      </c>
      <c r="AS10" s="10" t="str">
        <f>IF(AND(ISERROR(SEARCH("referencia",AN10)),AM10="CUMPLE",AR10&gt;=AI10),"CUMPLE","NO CUMPLE")</f>
        <v>NO CUMPLE</v>
      </c>
      <c r="AT10" s="10">
        <f>'Parametros'!$B$6*0.083*SQRT('Parametros'!$B$2)*(H10*I10)^2/(2*(H10+I10))/1000000</f>
        <v>10.0887830333379</v>
      </c>
      <c r="AU10" s="10" t="str">
        <f>IF(Q10&lt;=AT10,"DESPRECIABLE","DISEÑAR")</f>
        <v>DISEÑAR</v>
      </c>
      <c r="AV10" s="10">
        <f>IF(Q10&lt;=AT10,0,Q10*1000000/('Parametros'!$B$6*2*0.85*(H10-2*('Parametros'!$B$7+'Parametros'!$B$9/2))*(I10-2*('Parametros'!$B$7+'Parametros'!$B$9/2))*'Parametros'!$B$4))</f>
        <v>0.162147075711202</v>
      </c>
      <c r="AW10" s="10">
        <f>AV10*2*((H10-2*('Parametros'!$B$7+'Parametros'!$B$9/2))+(I10-2*('Parametros'!$B$7+'Parametros'!$B$9/2)))*'Parametros'!$B$4/'Parametros'!$B$3</f>
        <v>264.17001574869</v>
      </c>
      <c r="AX10" s="31" t="n">
        <v>8</v>
      </c>
      <c r="AY10" s="10" t="str">
        <f>IF(AV10=0,"DESPRECIABLE",IF(AND(ISERROR(SEARCH("referencia",AN10)),BB10/AP10&gt;=AV10,BI10&gt;=AW10,BH10="CUMPLE"),"CUMPLE","NO CUMPLE"))</f>
        <v>NO CUMPLE</v>
      </c>
      <c r="AZ10" s="10" t="str">
        <f>IF(AND(X10="CUMPLE",AE10="CUMPLE",AS10="CUMPLE",OR(AY10="CUMPLE",AY10="DESPRECIABLE"),BH10="CUMPLE",BJ10="CUMPLE",COUNTIF('Todas las Vigas (592)'!$A$4:$A$595,A10)=COUNTIFS('Todas las Vigas (592)'!$A$4:$A$595,A10,'Todas las Vigas (592)'!$AZ$4:$AZ$595,"CUMPLE")),"CUMPLE","NO CUMPLE")</f>
        <v>NO CUMPLE</v>
      </c>
      <c r="BA10" s="32" t="n">
        <v>12.7</v>
      </c>
      <c r="BB10" s="32" t="n">
        <v>129</v>
      </c>
      <c r="BC10" s="10">
        <f>MAX(IF(AK10=0,0,AK10*1000/('Parametros'!$B$4*MIN(U10,AB10))),MAX(0.062*SQRT('Parametros'!$B$2)*H10/'Parametros'!$B$4,0.35*H10/'Parametros'!$B$4))</f>
        <v>3.93227399568284</v>
      </c>
      <c r="BD10" s="10">
        <f>2*AV10</f>
        <v>0.324294151422404</v>
      </c>
      <c r="BE10" s="10">
        <f>AO10*BB10/AP10</f>
        <v>4.3</v>
      </c>
      <c r="BF10" s="10">
        <f>SQRT((AI10*1000/(H10*MIN(U10,AB10)))^2+(Q10*1000000*2*((H10-2*('Parametros'!$B$7+'Parametros'!$B$9/2))+(I10-2*('Parametros'!$B$7+'Parametros'!$B$9/2)))/(1.7*((H10-2*('Parametros'!$B$7+'Parametros'!$B$9/2))*(I10-2*('Parametros'!$B$7+'Parametros'!$B$9/2)))^2))^2)</f>
        <v>3.46489105124319</v>
      </c>
      <c r="BG10" s="10">
        <f>'Parametros'!$B$6*(AJ10*1000/(H10*MIN(U10,AB10))+0.66*SQRT('Parametros'!$B$2))</f>
        <v>3.29396038227542</v>
      </c>
      <c r="BH10" s="10" t="str">
        <f>IF(BF10&lt;=BG10,"CUMPLE","NO CUMPLE")</f>
        <v>NO CUMPLE</v>
      </c>
      <c r="BI10" s="10">
        <f>AX10*'Parametros'!$B$8</f>
        <v>1592</v>
      </c>
      <c r="BJ10" s="10" t="str">
        <f>IF(BI10&gt;=AW10,"CUMPLE","NO CUMPLE")</f>
        <v>CUMPLE</v>
      </c>
    </row>
  </sheetData>
  <autoFilter ref="A3:BJ10"/>
  <mergeCells count="2">
    <mergeCell ref="A2:BJ2"/>
    <mergeCell ref="A1:BJ1"/>
  </mergeCells>
  <conditionalFormatting sqref="X4:X10">
    <cfRule type="cellIs" priority="1" operator="equal" dxfId="0">
      <formula>"CUMPLE"</formula>
    </cfRule>
  </conditionalFormatting>
  <conditionalFormatting sqref="AE4:AE10">
    <cfRule type="cellIs" priority="2" operator="equal" dxfId="0">
      <formula>"CUMPLE"</formula>
    </cfRule>
  </conditionalFormatting>
  <conditionalFormatting sqref="AS4:AS10">
    <cfRule type="cellIs" priority="3" operator="equal" dxfId="0">
      <formula>"CUMPLE"</formula>
    </cfRule>
  </conditionalFormatting>
  <conditionalFormatting sqref="AZ4:AZ10"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28" t="inlineStr">
        <is>
          <t>DISEÑO DE VIGAS — VIGAS DE RIGIDEZ (5)</t>
        </is>
      </c>
    </row>
    <row r="2">
      <c r="A2" s="29" t="inlineStr">
        <is>
          <t>Flexión: ENVFLEX. Cortante: ENVCORT directo. Torsión: máximo de ambas envolventes. Verificación DMO: Ve. Vu adoptado = máx(ENVCORT; Ve).</t>
        </is>
      </c>
    </row>
    <row r="3" ht="64" customHeight="1">
      <c r="A3" s="12" t="inlineStr">
        <is>
          <t>Grupo</t>
        </is>
      </c>
      <c r="B3" s="12" t="inlineStr">
        <is>
          <t>Frame</t>
        </is>
      </c>
      <c r="C3" s="12" t="inlineStr">
        <is>
          <t>N vigas</t>
        </is>
      </c>
      <c r="D3" s="12" t="inlineStr">
        <is>
          <t>Ln adopt. mín (m)</t>
        </is>
      </c>
      <c r="E3" s="12" t="inlineStr">
        <is>
          <t>Ln adopt. máx (m)</t>
        </is>
      </c>
      <c r="F3" s="12" t="inlineStr">
        <is>
          <t>b modelo (mm)</t>
        </is>
      </c>
      <c r="G3" s="12" t="inlineStr">
        <is>
          <t>h modelo (mm)</t>
        </is>
      </c>
      <c r="H3" s="12" t="inlineStr">
        <is>
          <t>b adopt. (mm)</t>
        </is>
      </c>
      <c r="I3" s="12" t="inlineStr">
        <is>
          <t>h adopt. (mm)</t>
        </is>
      </c>
      <c r="J3" s="12" t="inlineStr">
        <is>
          <t>Mu− ENVFLEX (kN·m)</t>
        </is>
      </c>
      <c r="K3" s="12" t="inlineStr">
        <is>
          <t>Frame Mu−</t>
        </is>
      </c>
      <c r="L3" s="12" t="inlineStr">
        <is>
          <t>Mu+ ENVFLEX (kN·m)</t>
        </is>
      </c>
      <c r="M3" s="12" t="inlineStr">
        <is>
          <t>Frame Mu+</t>
        </is>
      </c>
      <c r="N3" s="12" t="inlineStr">
        <is>
          <t>Vu ENVFLEX (kN)</t>
        </is>
      </c>
      <c r="O3" s="12" t="inlineStr">
        <is>
          <t>Vu ENVCORT (kN)</t>
        </is>
      </c>
      <c r="P3" s="12" t="inlineStr">
        <is>
          <t>Frame Vu</t>
        </is>
      </c>
      <c r="Q3" s="12" t="inlineStr">
        <is>
          <t>Tu diseño compat. (kN·m)</t>
        </is>
      </c>
      <c r="R3" s="12" t="inlineStr">
        <is>
          <t>As req. sup (mm²)</t>
        </is>
      </c>
      <c r="S3" s="12" t="inlineStr">
        <is>
          <t>Nº5 sup</t>
        </is>
      </c>
      <c r="T3" s="12" t="inlineStr">
        <is>
          <t>Capas sup</t>
        </is>
      </c>
      <c r="U3" s="12" t="inlineStr">
        <is>
          <t>d sup (mm)</t>
        </is>
      </c>
      <c r="V3" s="12" t="inlineStr">
        <is>
          <t>As prov. sup (mm²)</t>
        </is>
      </c>
      <c r="W3" s="12" t="inlineStr">
        <is>
          <t>φMn− (kN·m)</t>
        </is>
      </c>
      <c r="X3" s="12" t="inlineStr">
        <is>
          <t>Flexión −</t>
        </is>
      </c>
      <c r="Y3" s="12" t="inlineStr">
        <is>
          <t>As req. inf (mm²)</t>
        </is>
      </c>
      <c r="Z3" s="12" t="inlineStr">
        <is>
          <t>Nº5 inf</t>
        </is>
      </c>
      <c r="AA3" s="12" t="inlineStr">
        <is>
          <t>Capas inf</t>
        </is>
      </c>
      <c r="AB3" s="12" t="inlineStr">
        <is>
          <t>d inf (mm)</t>
        </is>
      </c>
      <c r="AC3" s="12" t="inlineStr">
        <is>
          <t>As prov. inf (mm²)</t>
        </is>
      </c>
      <c r="AD3" s="12" t="inlineStr">
        <is>
          <t>φMn+ (kN·m)</t>
        </is>
      </c>
      <c r="AE3" s="12" t="inlineStr">
        <is>
          <t>Flexión +</t>
        </is>
      </c>
      <c r="AF3" s="12" t="inlineStr">
        <is>
          <t>Mpr− (kN·m)</t>
        </is>
      </c>
      <c r="AG3" s="12" t="inlineStr">
        <is>
          <t>Mpr+ (kN·m)</t>
        </is>
      </c>
      <c r="AH3" s="12" t="inlineStr">
        <is>
          <t>Vcap (kN)</t>
        </is>
      </c>
      <c r="AI3" s="12" t="inlineStr">
        <is>
          <t>Vu diseño (kN)</t>
        </is>
      </c>
      <c r="AJ3" s="12" t="inlineStr">
        <is>
          <t>Vc (kN)</t>
        </is>
      </c>
      <c r="AK3" s="12" t="inlineStr">
        <is>
          <t>Vs req. (kN)</t>
        </is>
      </c>
      <c r="AL3" s="12" t="inlineStr">
        <is>
          <t>Vs máx. (kN)</t>
        </is>
      </c>
      <c r="AM3" s="12" t="inlineStr">
        <is>
          <t>Sección cortante</t>
        </is>
      </c>
      <c r="AN3" s="12" t="inlineStr">
        <is>
          <t>Estribo</t>
        </is>
      </c>
      <c r="AO3" s="12" t="inlineStr">
        <is>
          <t>Ramas</t>
        </is>
      </c>
      <c r="AP3" s="12" t="inlineStr">
        <is>
          <t>s extremo DMO (mm; zona 2h)</t>
        </is>
      </c>
      <c r="AQ3" s="12" t="inlineStr">
        <is>
          <t>s centro (mm)</t>
        </is>
      </c>
      <c r="AR3" s="12" t="inlineStr">
        <is>
          <t>φVn (kN)</t>
        </is>
      </c>
      <c r="AS3" s="12" t="inlineStr">
        <is>
          <t>Cortante</t>
        </is>
      </c>
      <c r="AT3" s="12" t="inlineStr">
        <is>
          <t>φTth (kN·m)</t>
        </is>
      </c>
      <c r="AU3" s="12" t="inlineStr">
        <is>
          <t>Torsión</t>
        </is>
      </c>
      <c r="AV3" s="12" t="inlineStr">
        <is>
          <t>At/s (mm²/mm)</t>
        </is>
      </c>
      <c r="AW3" s="12" t="inlineStr">
        <is>
          <t>Al adicional req. (mm²)</t>
        </is>
      </c>
      <c r="AX3" s="12" t="inlineStr">
        <is>
          <t>Nº5 torsión dedicadas</t>
        </is>
      </c>
      <c r="AY3" s="12" t="inlineStr">
        <is>
          <t>Chequeo torsión</t>
        </is>
      </c>
      <c r="AZ3" s="12" t="inlineStr">
        <is>
          <t>ESTADO</t>
        </is>
      </c>
      <c r="BA3" s="12" t="inlineStr">
        <is>
          <t>db estribo (mm)</t>
        </is>
      </c>
      <c r="BB3" s="12" t="inlineStr">
        <is>
          <t>Área rama (mm²)</t>
        </is>
      </c>
      <c r="BC3" s="12" t="inlineStr">
        <is>
          <t>Av/s req. cortante incl. mín.</t>
        </is>
      </c>
      <c r="BD3" s="12" t="inlineStr">
        <is>
          <t>2At/s req. torsión</t>
        </is>
      </c>
      <c r="BE3" s="12" t="inlineStr">
        <is>
          <t>Av/s prov. extremo</t>
        </is>
      </c>
      <c r="BF3" s="12" t="inlineStr">
        <is>
          <t>Interacción V-T</t>
        </is>
      </c>
      <c r="BG3" s="12" t="inlineStr">
        <is>
          <t>Límite V-T</t>
        </is>
      </c>
      <c r="BH3" s="12" t="inlineStr">
        <is>
          <t>Chequeo V-T</t>
        </is>
      </c>
      <c r="BI3" s="12" t="inlineStr">
        <is>
          <t>Al provisto (mm²)</t>
        </is>
      </c>
      <c r="BJ3" s="12" t="inlineStr">
        <is>
          <t>Chequeo Al</t>
        </is>
      </c>
    </row>
    <row r="4">
      <c r="A4" s="23" t="inlineStr">
        <is>
          <t>VR1</t>
        </is>
      </c>
      <c r="B4" s="23" t="inlineStr">
        <is>
          <t>250</t>
        </is>
      </c>
      <c r="C4" s="10" t="n">
        <v>80</v>
      </c>
      <c r="D4" s="10" t="n">
        <v>3.4</v>
      </c>
      <c r="E4" s="10" t="n">
        <v>3.4</v>
      </c>
      <c r="F4" s="10" t="n">
        <v>500</v>
      </c>
      <c r="G4" s="10" t="n">
        <v>550</v>
      </c>
      <c r="H4" s="17" t="n">
        <v>500</v>
      </c>
      <c r="I4" s="17" t="n">
        <v>550</v>
      </c>
      <c r="J4" s="30" t="n">
        <v>179.0934</v>
      </c>
      <c r="K4" s="10" t="inlineStr">
        <is>
          <t>254</t>
        </is>
      </c>
      <c r="L4" s="30" t="n">
        <v>119.3315</v>
      </c>
      <c r="M4" s="10" t="inlineStr">
        <is>
          <t>251</t>
        </is>
      </c>
      <c r="N4" s="30" t="n">
        <v>136.996</v>
      </c>
      <c r="O4" s="30" t="n">
        <v>405.204</v>
      </c>
      <c r="P4" s="10" t="inlineStr">
        <is>
          <t>251</t>
        </is>
      </c>
      <c r="Q4" s="30" t="n">
        <v>9.2478</v>
      </c>
      <c r="R4" s="10">
        <f>MAX(MAX(1.4/'Parametros'!$B$3,0.25*SQRT('Parametros'!$B$2)/'Parametros'!$B$3)*H4*U4,(0.85*'Parametros'!$B$2/'Parametros'!$B$3)*(1-SQRT(1-2*(J4*1000000/('Parametros'!$B$5*H4*U4^2))/(0.85*'Parametros'!$B$2)))*H4*U4)</f>
        <v>1004.60184772097</v>
      </c>
      <c r="S4" s="31" t="n">
        <v>6</v>
      </c>
      <c r="T4" s="32" t="n">
        <v>1</v>
      </c>
      <c r="U4" s="10">
        <f>IF(T4=1,I4-('Parametros'!$B$7+'Parametros'!$B$9+'Parametros'!$B$12/2),I4-(ROUNDUP(S4/2,0)*('Parametros'!$B$7+'Parametros'!$B$9+'Parametros'!$B$12/2)+ROUNDDOWN(S4/2,0)*('Parametros'!$B$7+'Parametros'!$B$9+'Parametros'!$B$12/2+'Parametros'!$B$12+'Parametros'!$B$10))/S4)</f>
        <v>489.35</v>
      </c>
      <c r="V4" s="10">
        <f>S4*'Parametros'!$B$8</f>
        <v>1194</v>
      </c>
      <c r="W4" s="10">
        <f>'Parametros'!$B$5*V4*'Parametros'!$B$3*(U4-(V4*'Parametros'!$B$3/(0.85*'Parametros'!$B$2*H4))/2)/1000000</f>
        <v>211.349483470588</v>
      </c>
      <c r="X4" s="10" t="str">
        <f>IF(W4&gt;=J4,"CUMPLE","NO CUMPLE")</f>
        <v>CUMPLE</v>
      </c>
      <c r="Y4" s="10">
        <f>MAX(MAX(1.4/'Parametros'!$B$3,0.25*SQRT('Parametros'!$B$2)/'Parametros'!$B$3)*H4*AB4,(0.85*'Parametros'!$B$2/'Parametros'!$B$3)*(1-SQRT(1-2*(L4*1000000/('Parametros'!$B$5*H4*AB4^2))/(0.85*'Parametros'!$B$2)))*H4*AB4)</f>
        <v>815.583333333333</v>
      </c>
      <c r="Z4" s="31" t="n">
        <v>5</v>
      </c>
      <c r="AA4" s="32" t="n">
        <v>1</v>
      </c>
      <c r="AB4" s="10">
        <f>IF(AA4=1,I4-('Parametros'!$B$7+'Parametros'!$B$9+'Parametros'!$B$12/2),I4-(ROUNDUP(Z4/2,0)*('Parametros'!$B$7+'Parametros'!$B$9+'Parametros'!$B$12/2)+ROUNDDOWN(Z4/2,0)*('Parametros'!$B$7+'Parametros'!$B$9+'Parametros'!$B$12/2+'Parametros'!$B$12+'Parametros'!$B$10))/Z4)</f>
        <v>489.35</v>
      </c>
      <c r="AC4" s="10">
        <f>Z4*'Parametros'!$B$8</f>
        <v>995</v>
      </c>
      <c r="AD4" s="10">
        <f>'Parametros'!$B$5*AC4*'Parametros'!$B$3*(AB4-(AC4*'Parametros'!$B$3/(0.85*'Parametros'!$B$2*H4))/2)/1000000</f>
        <v>177.445379382353</v>
      </c>
      <c r="AE4" s="10" t="str">
        <f>IF(AD4&gt;=L4,"CUMPLE","NO CUMPLE")</f>
        <v>CUMPLE</v>
      </c>
      <c r="AF4" s="10">
        <f>V4*1.25*'Parametros'!$B$3*(U4-(V4*1.25*'Parametros'!$B$3/(0.85*'Parametros'!$B$2*H4))/2)/1000000</f>
        <v>290.238924705882</v>
      </c>
      <c r="AG4" s="10">
        <f>AC4*1.25*'Parametros'!$B$3*(AB4-(AC4*1.25*'Parametros'!$B$3/(0.85*'Parametros'!$B$2*H4))/2)/1000000</f>
        <v>244.158843198529</v>
      </c>
      <c r="AH4" s="10">
        <f>N4+(AF4+AG4)/D4</f>
        <v>294.171814089533</v>
      </c>
      <c r="AI4" s="10">
        <f>MAX(O4,AH4)</f>
        <v>405.204</v>
      </c>
      <c r="AJ4" s="10">
        <f>0.17*SQRT('Parametros'!$B$2)*H4*MIN(U4,AB4)/1000</f>
        <v>220.098728691808</v>
      </c>
      <c r="AK4" s="10">
        <f>MAX(AI4/'Parametros'!$B$6-AJ4,0)</f>
        <v>320.173271308192</v>
      </c>
      <c r="AL4" s="10">
        <f>0.66*SQRT('Parametros'!$B$2)*H4*MIN(U4,AB4)/1000</f>
        <v>854.500946685842</v>
      </c>
      <c r="AM4" s="10" t="str">
        <f>IF(AK4&lt;=AL4,"CUMPLE","NO CUMPLE")</f>
        <v>CUMPLE</v>
      </c>
      <c r="AN4" s="17" t="inlineStr">
        <is>
          <t>Nº3 cerrado</t>
        </is>
      </c>
      <c r="AO4" s="31" t="n">
        <v>2</v>
      </c>
      <c r="AP4" s="10">
        <f>ROUNDDOWN(MIN(IF(BC4+BD4=0,1000000000,AO4*BB4/(BC4+BD4)),MIN(U4,AB4)/4,8*'Parametros'!$B$12,24*BA4,300,IF(AV4=0,1000000000,2*((H4-2*('Parametros'!$B$7+'Parametros'!$B$9/2))+(I4-2*('Parametros'!$B$7+'Parametros'!$B$9/2)))/8))/10,0)*10</f>
        <v>90</v>
      </c>
      <c r="AQ4" s="10">
        <f>ROUNDDOWN(MIN(IF(BC4+BD4=0,1000000000,AO4*BB4/(BC4+BD4)),IF(AK4&gt;0.33*SQRT('Parametros'!$B$2)*H4*MIN(U4,AB4)/1000,MIN(U4,AB4)/4,MIN(U4,AB4)/2),600,IF(AV4=0,1000000000,2*((H4-2*('Parametros'!$B$7+'Parametros'!$B$9/2))+(I4-2*('Parametros'!$B$7+'Parametros'!$B$9/2)))/8))/10,0)*10</f>
        <v>90</v>
      </c>
      <c r="AR4" s="10">
        <f>'Parametros'!$B$6*(AJ4+MAX(BE4-BD4,0)*'Parametros'!$B$4*MIN(U4,AB4)/1000)</f>
        <v>408.280996518856</v>
      </c>
      <c r="AS4" s="10" t="str">
        <f>IF(AND(ISERROR(SEARCH("referencia",AN4)),AM4="CUMPLE",AR4&gt;=AI4),"CUMPLE","NO CUMPLE")</f>
        <v>CUMPLE</v>
      </c>
      <c r="AT4" s="10">
        <f>'Parametros'!$B$6*0.083*SQRT('Parametros'!$B$2)*(H4*I4)^2/(2*(H4+I4))/1000000</f>
        <v>11.862178757599</v>
      </c>
      <c r="AU4" s="10" t="str">
        <f>IF(Q4&lt;=AT4,"DESPRECIABLE","DISEÑAR")</f>
        <v>DESPRECIABLE</v>
      </c>
      <c r="AV4" s="10">
        <f>IF(Q4&lt;=AT4,0,Q4*1000000/('Parametros'!$B$6*2*0.85*(H4-2*('Parametros'!$B$7+'Parametros'!$B$9/2))*(I4-2*('Parametros'!$B$7+'Parametros'!$B$9/2))*'Parametros'!$B$4))</f>
        <v>0</v>
      </c>
      <c r="AW4" s="10">
        <f>AV4*2*((H4-2*('Parametros'!$B$7+'Parametros'!$B$9/2))+(I4-2*('Parametros'!$B$7+'Parametros'!$B$9/2)))*'Parametros'!$B$4/'Parametros'!$B$3</f>
        <v>0</v>
      </c>
      <c r="AX4" s="31" t="n">
        <v>0</v>
      </c>
      <c r="AY4" s="10" t="str">
        <f>IF(AV4=0,"DESPRECIABLE",IF(AND(ISERROR(SEARCH("referencia",AN4)),BB4/AP4&gt;=AV4,BI4&gt;=AW4,BH4="CUMPLE"),"CUMPLE","NO CUMPLE"))</f>
        <v>DESPRECIABLE</v>
      </c>
      <c r="AZ4" s="10" t="str">
        <f>IF(AND(X4="CUMPLE",AE4="CUMPLE",AS4="CUMPLE",OR(AY4="CUMPLE",AY4="DESPRECIABLE"),BH4="CUMPLE",BJ4="CUMPLE",COUNTIF('Todas las Vigas (592)'!$A$4:$A$595,A4)=COUNTIFS('Todas las Vigas (592)'!$A$4:$A$595,A4,'Todas las Vigas (592)'!$AZ$4:$AZ$595,"CUMPLE")),"CUMPLE","NO CUMPLE")</f>
        <v>CUMPLE</v>
      </c>
      <c r="BA4" s="32" t="n">
        <v>9.5</v>
      </c>
      <c r="BB4" s="32" t="n">
        <v>71</v>
      </c>
      <c r="BC4" s="10">
        <f>MAX(IF(AK4=0,0,AK4*1000/('Parametros'!$B$4*MIN(U4,AB4))),MAX(0.062*SQRT('Parametros'!$B$2)*H4/'Parametros'!$B$4,0.35*H4/'Parametros'!$B$4))</f>
        <v>1.55781610838572</v>
      </c>
      <c r="BD4" s="10">
        <f>2*AV4</f>
        <v>0</v>
      </c>
      <c r="BE4" s="10">
        <f>AO4*BB4/AP4</f>
        <v>1.57777777777778</v>
      </c>
      <c r="BF4" s="10">
        <f>SQRT((AI4*1000/(H4*MIN(U4,AB4)))^2+(Q4*1000000*2*((H4-2*('Parametros'!$B$7+'Parametros'!$B$9/2))+(I4-2*('Parametros'!$B$7+'Parametros'!$B$9/2)))/(1.7*((H4-2*('Parametros'!$B$7+'Parametros'!$B$9/2))*(I4-2*('Parametros'!$B$7+'Parametros'!$B$9/2)))^2))^2)</f>
        <v>1.67814086794376</v>
      </c>
      <c r="BG4" s="10">
        <f>'Parametros'!$B$6*(AJ4*1000/(H4*MIN(U4,AB4))+0.66*SQRT('Parametros'!$B$2))</f>
        <v>3.29396038227542</v>
      </c>
      <c r="BH4" s="10" t="str">
        <f>IF(BF4&lt;=BG4,"CUMPLE","NO CUMPLE")</f>
        <v>CUMPLE</v>
      </c>
      <c r="BI4" s="10">
        <f>AX4*'Parametros'!$B$8</f>
        <v>0</v>
      </c>
      <c r="BJ4" s="10" t="str">
        <f>IF(BI4&gt;=AW4,"CUMPLE","NO CUMPLE")</f>
        <v>CUMPLE</v>
      </c>
    </row>
    <row r="5">
      <c r="A5" s="24" t="inlineStr">
        <is>
          <t>VR N1</t>
        </is>
      </c>
      <c r="B5" s="24" t="inlineStr">
        <is>
          <t>52</t>
        </is>
      </c>
      <c r="C5" s="10" t="n">
        <v>22</v>
      </c>
      <c r="D5" s="10" t="n">
        <v>2</v>
      </c>
      <c r="E5" s="10" t="n">
        <v>4.9</v>
      </c>
      <c r="F5" s="10" t="n">
        <v>500</v>
      </c>
      <c r="G5" s="10" t="n">
        <v>550</v>
      </c>
      <c r="H5" s="17" t="n">
        <v>500</v>
      </c>
      <c r="I5" s="17" t="n">
        <v>550</v>
      </c>
      <c r="J5" s="30" t="n">
        <v>175.8938</v>
      </c>
      <c r="K5" s="10" t="inlineStr">
        <is>
          <t>54</t>
        </is>
      </c>
      <c r="L5" s="30" t="n">
        <v>143.3015</v>
      </c>
      <c r="M5" s="10" t="inlineStr">
        <is>
          <t>45</t>
        </is>
      </c>
      <c r="N5" s="30" t="n">
        <v>164.744</v>
      </c>
      <c r="O5" s="30" t="n">
        <v>634.574</v>
      </c>
      <c r="P5" s="10" t="inlineStr">
        <is>
          <t>54</t>
        </is>
      </c>
      <c r="Q5" s="30" t="n">
        <v>10.9368</v>
      </c>
      <c r="R5" s="10">
        <f>MAX(MAX(1.4/'Parametros'!$B$3,0.25*SQRT('Parametros'!$B$2)/'Parametros'!$B$3)*H5*U5,(0.85*'Parametros'!$B$2/'Parametros'!$B$3)*(1-SQRT(1-2*(J5*1000000/('Parametros'!$B$5*H5*U5^2))/(0.85*'Parametros'!$B$2)))*H5*U5)</f>
        <v>985.966589477972</v>
      </c>
      <c r="S5" s="31" t="n">
        <v>5</v>
      </c>
      <c r="T5" s="32" t="n">
        <v>1</v>
      </c>
      <c r="U5" s="10">
        <f>IF(T5=1,I5-('Parametros'!$B$7+'Parametros'!$B$9+'Parametros'!$B$12/2),I5-(ROUNDUP(S5/2,0)*('Parametros'!$B$7+'Parametros'!$B$9+'Parametros'!$B$12/2)+ROUNDDOWN(S5/2,0)*('Parametros'!$B$7+'Parametros'!$B$9+'Parametros'!$B$12/2+'Parametros'!$B$12+'Parametros'!$B$10))/S5)</f>
        <v>489.35</v>
      </c>
      <c r="V5" s="10">
        <f>S5*'Parametros'!$B$8</f>
        <v>995</v>
      </c>
      <c r="W5" s="10">
        <f>'Parametros'!$B$5*V5*'Parametros'!$B$3*(U5-(V5*'Parametros'!$B$3/(0.85*'Parametros'!$B$2*H5))/2)/1000000</f>
        <v>177.445379382353</v>
      </c>
      <c r="X5" s="10" t="str">
        <f>IF(W5&gt;=J5,"CUMPLE","NO CUMPLE")</f>
        <v>CUMPLE</v>
      </c>
      <c r="Y5" s="10">
        <f>MAX(MAX(1.4/'Parametros'!$B$3,0.25*SQRT('Parametros'!$B$2)/'Parametros'!$B$3)*H5*AB5,(0.85*'Parametros'!$B$2/'Parametros'!$B$3)*(1-SQRT(1-2*(L5*1000000/('Parametros'!$B$5*H5*AB5^2))/(0.85*'Parametros'!$B$2)))*H5*AB5)</f>
        <v>815.583333333333</v>
      </c>
      <c r="Z5" s="31" t="n">
        <v>5</v>
      </c>
      <c r="AA5" s="32" t="n">
        <v>1</v>
      </c>
      <c r="AB5" s="10">
        <f>IF(AA5=1,I5-('Parametros'!$B$7+'Parametros'!$B$9+'Parametros'!$B$12/2),I5-(ROUNDUP(Z5/2,0)*('Parametros'!$B$7+'Parametros'!$B$9+'Parametros'!$B$12/2)+ROUNDDOWN(Z5/2,0)*('Parametros'!$B$7+'Parametros'!$B$9+'Parametros'!$B$12/2+'Parametros'!$B$12+'Parametros'!$B$10))/Z5)</f>
        <v>489.35</v>
      </c>
      <c r="AC5" s="10">
        <f>Z5*'Parametros'!$B$8</f>
        <v>995</v>
      </c>
      <c r="AD5" s="10">
        <f>'Parametros'!$B$5*AC5*'Parametros'!$B$3*(AB5-(AC5*'Parametros'!$B$3/(0.85*'Parametros'!$B$2*H5))/2)/1000000</f>
        <v>177.445379382353</v>
      </c>
      <c r="AE5" s="10" t="str">
        <f>IF(AD5&gt;=L5,"CUMPLE","NO CUMPLE")</f>
        <v>CUMPLE</v>
      </c>
      <c r="AF5" s="10">
        <f>V5*1.25*'Parametros'!$B$3*(U5-(V5*1.25*'Parametros'!$B$3/(0.85*'Parametros'!$B$2*H5))/2)/1000000</f>
        <v>244.158843198529</v>
      </c>
      <c r="AG5" s="10">
        <f>AC5*1.25*'Parametros'!$B$3*(AB5-(AC5*1.25*'Parametros'!$B$3/(0.85*'Parametros'!$B$2*H5))/2)/1000000</f>
        <v>244.158843198529</v>
      </c>
      <c r="AH5" s="10">
        <f>N5+(AF5+AG5)/D5</f>
        <v>408.902843198529</v>
      </c>
      <c r="AI5" s="10">
        <f>MAX(O5,AH5)</f>
        <v>634.574</v>
      </c>
      <c r="AJ5" s="10">
        <f>0.17*SQRT('Parametros'!$B$2)*H5*MIN(U5,AB5)/1000</f>
        <v>220.098728691808</v>
      </c>
      <c r="AK5" s="10">
        <f>MAX(AI5/'Parametros'!$B$6-AJ5,0)</f>
        <v>625.999937974859</v>
      </c>
      <c r="AL5" s="10">
        <f>0.66*SQRT('Parametros'!$B$2)*H5*MIN(U5,AB5)/1000</f>
        <v>854.500946685842</v>
      </c>
      <c r="AM5" s="10" t="str">
        <f>IF(AK5&lt;=AL5,"CUMPLE","NO CUMPLE")</f>
        <v>CUMPLE</v>
      </c>
      <c r="AN5" s="17" t="inlineStr">
        <is>
          <t>Nº4 cerrado</t>
        </is>
      </c>
      <c r="AO5" s="31" t="n">
        <v>2</v>
      </c>
      <c r="AP5" s="10">
        <f>ROUNDDOWN(MIN(IF(BC5+BD5=0,1000000000,AO5*BB5/(BC5+BD5)),MIN(U5,AB5)/4,8*'Parametros'!$B$12,24*BA5,300,IF(AV5=0,1000000000,2*((H5-2*('Parametros'!$B$7+'Parametros'!$B$9/2))+(I5-2*('Parametros'!$B$7+'Parametros'!$B$9/2)))/8))/10,0)*10</f>
        <v>80</v>
      </c>
      <c r="AQ5" s="10">
        <f>ROUNDDOWN(MIN(IF(BC5+BD5=0,1000000000,AO5*BB5/(BC5+BD5)),IF(AK5&gt;0.33*SQRT('Parametros'!$B$2)*H5*MIN(U5,AB5)/1000,MIN(U5,AB5)/4,MIN(U5,AB5)/2),600,IF(AV5=0,1000000000,2*((H5-2*('Parametros'!$B$7+'Parametros'!$B$9/2))+(I5-2*('Parametros'!$B$7+'Parametros'!$B$9/2)))/8))/10,0)*10</f>
        <v>80</v>
      </c>
      <c r="AR5" s="10">
        <f>'Parametros'!$B$6*(AJ5+MAX(BE5-BD5,0)*'Parametros'!$B$4*MIN(U5,AB5)/1000)</f>
        <v>662.192477768856</v>
      </c>
      <c r="AS5" s="10" t="str">
        <f>IF(AND(ISERROR(SEARCH("referencia",AN5)),AM5="CUMPLE",AR5&gt;=AI5),"CUMPLE","NO CUMPLE")</f>
        <v>CUMPLE</v>
      </c>
      <c r="AT5" s="10">
        <f>'Parametros'!$B$6*0.083*SQRT('Parametros'!$B$2)*(H5*I5)^2/(2*(H5+I5))/1000000</f>
        <v>11.862178757599</v>
      </c>
      <c r="AU5" s="10" t="str">
        <f>IF(Q5&lt;=AT5,"DESPRECIABLE","DISEÑAR")</f>
        <v>DESPRECIABLE</v>
      </c>
      <c r="AV5" s="10">
        <f>IF(Q5&lt;=AT5,0,Q5*1000000/('Parametros'!$B$6*2*0.85*(H5-2*('Parametros'!$B$7+'Parametros'!$B$9/2))*(I5-2*('Parametros'!$B$7+'Parametros'!$B$9/2))*'Parametros'!$B$4))</f>
        <v>0</v>
      </c>
      <c r="AW5" s="10">
        <f>AV5*2*((H5-2*('Parametros'!$B$7+'Parametros'!$B$9/2))+(I5-2*('Parametros'!$B$7+'Parametros'!$B$9/2)))*'Parametros'!$B$4/'Parametros'!$B$3</f>
        <v>0</v>
      </c>
      <c r="AX5" s="31" t="n">
        <v>0</v>
      </c>
      <c r="AY5" s="10" t="str">
        <f>IF(AV5=0,"DESPRECIABLE",IF(AND(ISERROR(SEARCH("referencia",AN5)),BB5/AP5&gt;=AV5,BI5&gt;=AW5,BH5="CUMPLE"),"CUMPLE","NO CUMPLE"))</f>
        <v>DESPRECIABLE</v>
      </c>
      <c r="AZ5" s="10" t="str">
        <f>IF(AND(X5="CUMPLE",AE5="CUMPLE",AS5="CUMPLE",OR(AY5="CUMPLE",AY5="DESPRECIABLE"),BH5="CUMPLE",BJ5="CUMPLE",COUNTIF('Todas las Vigas (592)'!$A$4:$A$595,A5)=COUNTIFS('Todas las Vigas (592)'!$A$4:$A$595,A5,'Todas las Vigas (592)'!$AZ$4:$AZ$595,"CUMPLE")),"CUMPLE","NO CUMPLE")</f>
        <v>CUMPLE</v>
      </c>
      <c r="BA5" s="32" t="n">
        <v>12.7</v>
      </c>
      <c r="BB5" s="32" t="n">
        <v>129</v>
      </c>
      <c r="BC5" s="10">
        <f>MAX(IF(AK5=0,0,AK5*1000/('Parametros'!$B$4*MIN(U5,AB5))),MAX(0.062*SQRT('Parametros'!$B$2)*H5/'Parametros'!$B$4,0.35*H5/'Parametros'!$B$4))</f>
        <v>3.04582822682596</v>
      </c>
      <c r="BD5" s="10">
        <f>2*AV5</f>
        <v>0</v>
      </c>
      <c r="BE5" s="10">
        <f>AO5*BB5/AP5</f>
        <v>3.225</v>
      </c>
      <c r="BF5" s="10">
        <f>SQRT((AI5*1000/(H5*MIN(U5,AB5)))^2+(Q5*1000000*2*((H5-2*('Parametros'!$B$7+'Parametros'!$B$9/2))+(I5-2*('Parametros'!$B$7+'Parametros'!$B$9/2)))/(1.7*((H5-2*('Parametros'!$B$7+'Parametros'!$B$9/2))*(I5-2*('Parametros'!$B$7+'Parametros'!$B$9/2)))^2))^2)</f>
        <v>2.61328702987113</v>
      </c>
      <c r="BG5" s="10">
        <f>'Parametros'!$B$6*(AJ5*1000/(H5*MIN(U5,AB5))+0.66*SQRT('Parametros'!$B$2))</f>
        <v>3.29396038227542</v>
      </c>
      <c r="BH5" s="10" t="str">
        <f>IF(BF5&lt;=BG5,"CUMPLE","NO CUMPLE")</f>
        <v>CUMPLE</v>
      </c>
      <c r="BI5" s="10">
        <f>AX5*'Parametros'!$B$8</f>
        <v>0</v>
      </c>
      <c r="BJ5" s="10" t="str">
        <f>IF(BI5&gt;=AW5,"CUMPLE","NO CUMPLE")</f>
        <v>CUMPLE</v>
      </c>
    </row>
    <row r="6">
      <c r="A6" s="25" t="inlineStr">
        <is>
          <t>VR2</t>
        </is>
      </c>
      <c r="B6" s="25" t="inlineStr">
        <is>
          <t>152</t>
        </is>
      </c>
      <c r="C6" s="10" t="n">
        <v>140</v>
      </c>
      <c r="D6" s="10" t="n">
        <v>0.9</v>
      </c>
      <c r="E6" s="10" t="n">
        <v>3.57612</v>
      </c>
      <c r="F6" s="10" t="n">
        <v>500</v>
      </c>
      <c r="G6" s="10" t="n">
        <v>550</v>
      </c>
      <c r="H6" s="17" t="n">
        <v>500</v>
      </c>
      <c r="I6" s="17" t="n">
        <v>550</v>
      </c>
      <c r="J6" s="30" t="n">
        <v>71.29770000000001</v>
      </c>
      <c r="K6" s="10" t="inlineStr">
        <is>
          <t>33</t>
        </is>
      </c>
      <c r="L6" s="30" t="n">
        <v>0.1306</v>
      </c>
      <c r="M6" s="10" t="inlineStr">
        <is>
          <t>44</t>
        </is>
      </c>
      <c r="N6" s="30" t="n">
        <v>52.863</v>
      </c>
      <c r="O6" s="30" t="n">
        <v>101.022</v>
      </c>
      <c r="P6" s="10" t="inlineStr">
        <is>
          <t>11</t>
        </is>
      </c>
      <c r="Q6" s="30" t="n">
        <v>140.6649</v>
      </c>
      <c r="R6" s="10">
        <f>MAX(MAX(1.4/'Parametros'!$B$3,0.25*SQRT('Parametros'!$B$2)/'Parametros'!$B$3)*H6*U6,(0.85*'Parametros'!$B$2/'Parametros'!$B$3)*(1-SQRT(1-2*(J6*1000000/('Parametros'!$B$5*H6*U6^2))/(0.85*'Parametros'!$B$2)))*H6*U6)</f>
        <v>815.583333333333</v>
      </c>
      <c r="S6" s="31" t="n">
        <v>5</v>
      </c>
      <c r="T6" s="32" t="n">
        <v>1</v>
      </c>
      <c r="U6" s="10">
        <f>IF(T6=1,I6-('Parametros'!$B$7+'Parametros'!$B$9+'Parametros'!$B$12/2),I6-(ROUNDUP(S6/2,0)*('Parametros'!$B$7+'Parametros'!$B$9+'Parametros'!$B$12/2)+ROUNDDOWN(S6/2,0)*('Parametros'!$B$7+'Parametros'!$B$9+'Parametros'!$B$12/2+'Parametros'!$B$12+'Parametros'!$B$10))/S6)</f>
        <v>489.35</v>
      </c>
      <c r="V6" s="10">
        <f>S6*'Parametros'!$B$8</f>
        <v>995</v>
      </c>
      <c r="W6" s="10">
        <f>'Parametros'!$B$5*V6*'Parametros'!$B$3*(U6-(V6*'Parametros'!$B$3/(0.85*'Parametros'!$B$2*H6))/2)/1000000</f>
        <v>177.445379382353</v>
      </c>
      <c r="X6" s="10" t="str">
        <f>IF(W6&gt;=J6,"CUMPLE","NO CUMPLE")</f>
        <v>CUMPLE</v>
      </c>
      <c r="Y6" s="10">
        <f>MAX(MAX(1.4/'Parametros'!$B$3,0.25*SQRT('Parametros'!$B$2)/'Parametros'!$B$3)*H6*AB6,(0.85*'Parametros'!$B$2/'Parametros'!$B$3)*(1-SQRT(1-2*(L6*1000000/('Parametros'!$B$5*H6*AB6^2))/(0.85*'Parametros'!$B$2)))*H6*AB6)</f>
        <v>815.583333333333</v>
      </c>
      <c r="Z6" s="31" t="n">
        <v>5</v>
      </c>
      <c r="AA6" s="32" t="n">
        <v>1</v>
      </c>
      <c r="AB6" s="10">
        <f>IF(AA6=1,I6-('Parametros'!$B$7+'Parametros'!$B$9+'Parametros'!$B$12/2),I6-(ROUNDUP(Z6/2,0)*('Parametros'!$B$7+'Parametros'!$B$9+'Parametros'!$B$12/2)+ROUNDDOWN(Z6/2,0)*('Parametros'!$B$7+'Parametros'!$B$9+'Parametros'!$B$12/2+'Parametros'!$B$12+'Parametros'!$B$10))/Z6)</f>
        <v>489.35</v>
      </c>
      <c r="AC6" s="10">
        <f>Z6*'Parametros'!$B$8</f>
        <v>995</v>
      </c>
      <c r="AD6" s="10">
        <f>'Parametros'!$B$5*AC6*'Parametros'!$B$3*(AB6-(AC6*'Parametros'!$B$3/(0.85*'Parametros'!$B$2*H6))/2)/1000000</f>
        <v>177.445379382353</v>
      </c>
      <c r="AE6" s="10" t="str">
        <f>IF(AD6&gt;=L6,"CUMPLE","NO CUMPLE")</f>
        <v>CUMPLE</v>
      </c>
      <c r="AF6" s="10">
        <f>V6*1.25*'Parametros'!$B$3*(U6-(V6*1.25*'Parametros'!$B$3/(0.85*'Parametros'!$B$2*H6))/2)/1000000</f>
        <v>244.158843198529</v>
      </c>
      <c r="AG6" s="10">
        <f>AC6*1.25*'Parametros'!$B$3*(AB6-(AC6*1.25*'Parametros'!$B$3/(0.85*'Parametros'!$B$2*H6))/2)/1000000</f>
        <v>244.158843198529</v>
      </c>
      <c r="AH6" s="10">
        <f>N6+(AF6+AG6)/D6</f>
        <v>595.438207107843</v>
      </c>
      <c r="AI6" s="10">
        <f>MAX(O6,AH6)</f>
        <v>595.438207107843</v>
      </c>
      <c r="AJ6" s="10">
        <f>0.17*SQRT('Parametros'!$B$2)*H6*MIN(U6,AB6)/1000</f>
        <v>220.098728691808</v>
      </c>
      <c r="AK6" s="10">
        <f>MAX(AI6/'Parametros'!$B$6-AJ6,0)</f>
        <v>573.818880785316</v>
      </c>
      <c r="AL6" s="10">
        <f>0.66*SQRT('Parametros'!$B$2)*H6*MIN(U6,AB6)/1000</f>
        <v>854.500946685842</v>
      </c>
      <c r="AM6" s="10" t="str">
        <f>IF(AK6&lt;=AL6,"CUMPLE","NO CUMPLE")</f>
        <v>CUMPLE</v>
      </c>
      <c r="AN6" s="17" t="inlineStr">
        <is>
          <t>Nº4 cerrado</t>
        </is>
      </c>
      <c r="AO6" s="31" t="n">
        <v>4</v>
      </c>
      <c r="AP6" s="10">
        <f>ROUNDDOWN(MIN(IF(BC6+BD6=0,1000000000,AO6*BB6/(BC6+BD6)),MIN(U6,AB6)/4,8*'Parametros'!$B$12,24*BA6,300,IF(AV6=0,1000000000,2*((H6-2*('Parametros'!$B$7+'Parametros'!$B$9/2))+(I6-2*('Parametros'!$B$7+'Parametros'!$B$9/2)))/8))/10,0)*10</f>
        <v>90</v>
      </c>
      <c r="AQ6" s="10">
        <f>ROUNDDOWN(MIN(IF(BC6+BD6=0,1000000000,AO6*BB6/(BC6+BD6)),IF(AK6&gt;0.33*SQRT('Parametros'!$B$2)*H6*MIN(U6,AB6)/1000,MIN(U6,AB6)/4,MIN(U6,AB6)/2),600,IF(AV6=0,1000000000,2*((H6-2*('Parametros'!$B$7+'Parametros'!$B$9/2))+(I6-2*('Parametros'!$B$7+'Parametros'!$B$9/2)))/8))/10,0)*10</f>
        <v>90</v>
      </c>
      <c r="AR6" s="10">
        <f>'Parametros'!$B$6*(AJ6+MAX(BE6-BD6,0)*'Parametros'!$B$4*MIN(U6,AB6)/1000)</f>
        <v>614.058906067286</v>
      </c>
      <c r="AS6" s="10" t="str">
        <f>IF(AND(ISERROR(SEARCH("referencia",AN6)),AM6="CUMPLE",AR6&gt;=AI6),"CUMPLE","NO CUMPLE")</f>
        <v>CUMPLE</v>
      </c>
      <c r="AT6" s="10">
        <f>'Parametros'!$B$6*0.083*SQRT('Parametros'!$B$2)*(H6*I6)^2/(2*(H6+I6))/1000000</f>
        <v>11.862178757599</v>
      </c>
      <c r="AU6" s="10" t="str">
        <f>IF(Q6&lt;=AT6,"DESPRECIABLE","DISEÑAR")</f>
        <v>DISEÑAR</v>
      </c>
      <c r="AV6" s="10">
        <f>IF(Q6&lt;=AT6,0,Q6*1000000/('Parametros'!$B$6*2*0.85*(H6-2*('Parametros'!$B$7+'Parametros'!$B$9/2))*(I6-2*('Parametros'!$B$7+'Parametros'!$B$9/2))*'Parametros'!$B$4))</f>
        <v>1.41029723735104</v>
      </c>
      <c r="AW6" s="10">
        <f>AV6*2*((H6-2*('Parametros'!$B$7+'Parametros'!$B$9/2))+(I6-2*('Parametros'!$B$7+'Parametros'!$B$9/2)))*'Parametros'!$B$4/'Parametros'!$B$3</f>
        <v>2438.68598282741</v>
      </c>
      <c r="AX6" s="31" t="n">
        <v>16</v>
      </c>
      <c r="AY6" s="10" t="str">
        <f>IF(AV6=0,"DESPRECIABLE",IF(AND(ISERROR(SEARCH("referencia",AN6)),BB6/AP6&gt;=AV6,BI6&gt;=AW6,BH6="CUMPLE"),"CUMPLE","NO CUMPLE"))</f>
        <v>NO CUMPLE</v>
      </c>
      <c r="AZ6" s="10" t="str">
        <f>IF(AND(X6="CUMPLE",AE6="CUMPLE",AS6="CUMPLE",OR(AY6="CUMPLE",AY6="DESPRECIABLE"),BH6="CUMPLE",BJ6="CUMPLE",COUNTIF('Todas las Vigas (592)'!$A$4:$A$595,A6)=COUNTIFS('Todas las Vigas (592)'!$A$4:$A$595,A6,'Todas las Vigas (592)'!$AZ$4:$AZ$595,"CUMPLE")),"CUMPLE","NO CUMPLE")</f>
        <v>NO CUMPLE</v>
      </c>
      <c r="BA6" s="32" t="n">
        <v>12.7</v>
      </c>
      <c r="BB6" s="32" t="n">
        <v>129</v>
      </c>
      <c r="BC6" s="10">
        <f>MAX(IF(AK6=0,0,AK6*1000/('Parametros'!$B$4*MIN(U6,AB6))),MAX(0.062*SQRT('Parametros'!$B$2)*H6/'Parametros'!$B$4,0.35*H6/'Parametros'!$B$4))</f>
        <v>2.79193916509907</v>
      </c>
      <c r="BD6" s="10">
        <f>2*AV6</f>
        <v>2.82059447470207</v>
      </c>
      <c r="BE6" s="10">
        <f>AO6*BB6/AP6</f>
        <v>5.73333333333333</v>
      </c>
      <c r="BF6" s="10">
        <f>SQRT((AI6*1000/(H6*MIN(U6,AB6)))^2+(Q6*1000000*2*((H6-2*('Parametros'!$B$7+'Parametros'!$B$9/2))+(I6-2*('Parametros'!$B$7+'Parametros'!$B$9/2)))/(1.7*((H6-2*('Parametros'!$B$7+'Parametros'!$B$9/2))*(I6-2*('Parametros'!$B$7+'Parametros'!$B$9/2)))^2))^2)</f>
        <v>4.78876262042044</v>
      </c>
      <c r="BG6" s="10">
        <f>'Parametros'!$B$6*(AJ6*1000/(H6*MIN(U6,AB6))+0.66*SQRT('Parametros'!$B$2))</f>
        <v>3.29396038227542</v>
      </c>
      <c r="BH6" s="10" t="str">
        <f>IF(BF6&lt;=BG6,"CUMPLE","NO CUMPLE")</f>
        <v>NO CUMPLE</v>
      </c>
      <c r="BI6" s="10">
        <f>AX6*'Parametros'!$B$8</f>
        <v>3184</v>
      </c>
      <c r="BJ6" s="10" t="str">
        <f>IF(BI6&gt;=AW6,"CUMPLE","NO CUMPLE")</f>
        <v>CUMPLE</v>
      </c>
    </row>
    <row r="7">
      <c r="A7" s="26" t="inlineStr">
        <is>
          <t>VR3</t>
        </is>
      </c>
      <c r="B7" s="26" t="inlineStr">
        <is>
          <t>151</t>
        </is>
      </c>
      <c r="C7" s="10" t="n">
        <v>70</v>
      </c>
      <c r="D7" s="10" t="n">
        <v>0.9</v>
      </c>
      <c r="E7" s="10" t="n">
        <v>3.4</v>
      </c>
      <c r="F7" s="10" t="n">
        <v>500</v>
      </c>
      <c r="G7" s="10" t="n">
        <v>550</v>
      </c>
      <c r="H7" s="17" t="n">
        <v>500</v>
      </c>
      <c r="I7" s="17" t="n">
        <v>550</v>
      </c>
      <c r="J7" s="30" t="n">
        <v>92.4286</v>
      </c>
      <c r="K7" s="10" t="inlineStr">
        <is>
          <t>231</t>
        </is>
      </c>
      <c r="L7" s="30" t="n">
        <v>5.8361</v>
      </c>
      <c r="M7" s="10" t="inlineStr">
        <is>
          <t>30</t>
        </is>
      </c>
      <c r="N7" s="30" t="n">
        <v>72.31399999999999</v>
      </c>
      <c r="O7" s="30" t="n">
        <v>72.31399999999999</v>
      </c>
      <c r="P7" s="10" t="inlineStr">
        <is>
          <t>30</t>
        </is>
      </c>
      <c r="Q7" s="30" t="n">
        <v>175.765</v>
      </c>
      <c r="R7" s="10">
        <f>MAX(MAX(1.4/'Parametros'!$B$3,0.25*SQRT('Parametros'!$B$2)/'Parametros'!$B$3)*H7*U7,(0.85*'Parametros'!$B$2/'Parametros'!$B$3)*(1-SQRT(1-2*(J7*1000000/('Parametros'!$B$5*H7*U7^2))/(0.85*'Parametros'!$B$2)))*H7*U7)</f>
        <v>815.583333333333</v>
      </c>
      <c r="S7" s="31" t="n">
        <v>5</v>
      </c>
      <c r="T7" s="32" t="n">
        <v>1</v>
      </c>
      <c r="U7" s="10">
        <f>IF(T7=1,I7-('Parametros'!$B$7+'Parametros'!$B$9+'Parametros'!$B$12/2),I7-(ROUNDUP(S7/2,0)*('Parametros'!$B$7+'Parametros'!$B$9+'Parametros'!$B$12/2)+ROUNDDOWN(S7/2,0)*('Parametros'!$B$7+'Parametros'!$B$9+'Parametros'!$B$12/2+'Parametros'!$B$12+'Parametros'!$B$10))/S7)</f>
        <v>489.35</v>
      </c>
      <c r="V7" s="10">
        <f>S7*'Parametros'!$B$8</f>
        <v>995</v>
      </c>
      <c r="W7" s="10">
        <f>'Parametros'!$B$5*V7*'Parametros'!$B$3*(U7-(V7*'Parametros'!$B$3/(0.85*'Parametros'!$B$2*H7))/2)/1000000</f>
        <v>177.445379382353</v>
      </c>
      <c r="X7" s="10" t="str">
        <f>IF(W7&gt;=J7,"CUMPLE","NO CUMPLE")</f>
        <v>CUMPLE</v>
      </c>
      <c r="Y7" s="10">
        <f>MAX(MAX(1.4/'Parametros'!$B$3,0.25*SQRT('Parametros'!$B$2)/'Parametros'!$B$3)*H7*AB7,(0.85*'Parametros'!$B$2/'Parametros'!$B$3)*(1-SQRT(1-2*(L7*1000000/('Parametros'!$B$5*H7*AB7^2))/(0.85*'Parametros'!$B$2)))*H7*AB7)</f>
        <v>815.583333333333</v>
      </c>
      <c r="Z7" s="31" t="n">
        <v>5</v>
      </c>
      <c r="AA7" s="32" t="n">
        <v>1</v>
      </c>
      <c r="AB7" s="10">
        <f>IF(AA7=1,I7-('Parametros'!$B$7+'Parametros'!$B$9+'Parametros'!$B$12/2),I7-(ROUNDUP(Z7/2,0)*('Parametros'!$B$7+'Parametros'!$B$9+'Parametros'!$B$12/2)+ROUNDDOWN(Z7/2,0)*('Parametros'!$B$7+'Parametros'!$B$9+'Parametros'!$B$12/2+'Parametros'!$B$12+'Parametros'!$B$10))/Z7)</f>
        <v>489.35</v>
      </c>
      <c r="AC7" s="10">
        <f>Z7*'Parametros'!$B$8</f>
        <v>995</v>
      </c>
      <c r="AD7" s="10">
        <f>'Parametros'!$B$5*AC7*'Parametros'!$B$3*(AB7-(AC7*'Parametros'!$B$3/(0.85*'Parametros'!$B$2*H7))/2)/1000000</f>
        <v>177.445379382353</v>
      </c>
      <c r="AE7" s="10" t="str">
        <f>IF(AD7&gt;=L7,"CUMPLE","NO CUMPLE")</f>
        <v>CUMPLE</v>
      </c>
      <c r="AF7" s="10">
        <f>V7*1.25*'Parametros'!$B$3*(U7-(V7*1.25*'Parametros'!$B$3/(0.85*'Parametros'!$B$2*H7))/2)/1000000</f>
        <v>244.158843198529</v>
      </c>
      <c r="AG7" s="10">
        <f>AC7*1.25*'Parametros'!$B$3*(AB7-(AC7*1.25*'Parametros'!$B$3/(0.85*'Parametros'!$B$2*H7))/2)/1000000</f>
        <v>244.158843198529</v>
      </c>
      <c r="AH7" s="10">
        <f>N7+(AF7+AG7)/D7</f>
        <v>614.889207107843</v>
      </c>
      <c r="AI7" s="10">
        <f>MAX(O7,AH7)</f>
        <v>614.889207107843</v>
      </c>
      <c r="AJ7" s="10">
        <f>0.17*SQRT('Parametros'!$B$2)*H7*MIN(U7,AB7)/1000</f>
        <v>220.098728691808</v>
      </c>
      <c r="AK7" s="10">
        <f>MAX(AI7/'Parametros'!$B$6-AJ7,0)</f>
        <v>599.753547451983</v>
      </c>
      <c r="AL7" s="10">
        <f>0.66*SQRT('Parametros'!$B$2)*H7*MIN(U7,AB7)/1000</f>
        <v>854.500946685842</v>
      </c>
      <c r="AM7" s="10" t="str">
        <f>IF(AK7&lt;=AL7,"CUMPLE","NO CUMPLE")</f>
        <v>CUMPLE</v>
      </c>
      <c r="AN7" s="17" t="inlineStr">
        <is>
          <t>Nº4 cerrado (referencia)</t>
        </is>
      </c>
      <c r="AO7" s="31" t="n">
        <v>4</v>
      </c>
      <c r="AP7" s="10">
        <f>ROUNDDOWN(MIN(IF(BC7+BD7=0,1000000000,AO7*BB7/(BC7+BD7)),MIN(U7,AB7)/4,8*'Parametros'!$B$12,24*BA7,300,IF(AV7=0,1000000000,2*((H7-2*('Parametros'!$B$7+'Parametros'!$B$9/2))+(I7-2*('Parametros'!$B$7+'Parametros'!$B$9/2)))/8))/10,0)*10</f>
        <v>80</v>
      </c>
      <c r="AQ7" s="10">
        <f>ROUNDDOWN(MIN(IF(BC7+BD7=0,1000000000,AO7*BB7/(BC7+BD7)),IF(AK7&gt;0.33*SQRT('Parametros'!$B$2)*H7*MIN(U7,AB7)/1000,MIN(U7,AB7)/4,MIN(U7,AB7)/2),600,IF(AV7=0,1000000000,2*((H7-2*('Parametros'!$B$7+'Parametros'!$B$9/2))+(I7-2*('Parametros'!$B$7+'Parametros'!$B$9/2)))/8))/10,0)*10</f>
        <v>80</v>
      </c>
      <c r="AR7" s="10">
        <f>'Parametros'!$B$6*(AJ7+MAX(BE7-BD7,0)*'Parametros'!$B$4*MIN(U7,AB7)/1000)</f>
        <v>616.038744264392</v>
      </c>
      <c r="AS7" s="10" t="str">
        <f>IF(AND(ISERROR(SEARCH("referencia",AN7)),AM7="CUMPLE",AR7&gt;=AI7),"CUMPLE","NO CUMPLE")</f>
        <v>NO CUMPLE</v>
      </c>
      <c r="AT7" s="10">
        <f>'Parametros'!$B$6*0.083*SQRT('Parametros'!$B$2)*(H7*I7)^2/(2*(H7+I7))/1000000</f>
        <v>11.862178757599</v>
      </c>
      <c r="AU7" s="10" t="str">
        <f>IF(Q7&lt;=AT7,"DESPRECIABLE","DISEÑAR")</f>
        <v>DISEÑAR</v>
      </c>
      <c r="AV7" s="10">
        <f>IF(Q7&lt;=AT7,0,Q7*1000000/('Parametros'!$B$6*2*0.85*(H7-2*('Parametros'!$B$7+'Parametros'!$B$9/2))*(I7-2*('Parametros'!$B$7+'Parametros'!$B$9/2))*'Parametros'!$B$4))</f>
        <v>1.76220858169312</v>
      </c>
      <c r="AW7" s="10">
        <f>AV7*2*((H7-2*('Parametros'!$B$7+'Parametros'!$B$9/2))+(I7-2*('Parametros'!$B$7+'Parametros'!$B$9/2)))*'Parametros'!$B$4/'Parametros'!$B$3</f>
        <v>3047.21107946375</v>
      </c>
      <c r="AX7" s="31" t="n">
        <v>16</v>
      </c>
      <c r="AY7" s="10" t="str">
        <f>IF(AV7=0,"DESPRECIABLE",IF(AND(ISERROR(SEARCH("referencia",AN7)),BB7/AP7&gt;=AV7,BI7&gt;=AW7,BH7="CUMPLE"),"CUMPLE","NO CUMPLE"))</f>
        <v>NO CUMPLE</v>
      </c>
      <c r="AZ7" s="10" t="str">
        <f>IF(AND(X7="CUMPLE",AE7="CUMPLE",AS7="CUMPLE",OR(AY7="CUMPLE",AY7="DESPRECIABLE"),BH7="CUMPLE",BJ7="CUMPLE",COUNTIF('Todas las Vigas (592)'!$A$4:$A$595,A7)=COUNTIFS('Todas las Vigas (592)'!$A$4:$A$595,A7,'Todas las Vigas (592)'!$AZ$4:$AZ$595,"CUMPLE")),"CUMPLE","NO CUMPLE")</f>
        <v>NO CUMPLE</v>
      </c>
      <c r="BA7" s="32" t="n">
        <v>12.7</v>
      </c>
      <c r="BB7" s="32" t="n">
        <v>129</v>
      </c>
      <c r="BC7" s="10">
        <f>MAX(IF(AK7=0,0,AK7*1000/('Parametros'!$B$4*MIN(U7,AB7))),MAX(0.062*SQRT('Parametros'!$B$2)*H7/'Parametros'!$B$4,0.35*H7/'Parametros'!$B$4))</f>
        <v>2.91812534339519</v>
      </c>
      <c r="BD7" s="10">
        <f>2*AV7</f>
        <v>3.52441716338625</v>
      </c>
      <c r="BE7" s="10">
        <f>AO7*BB7/AP7</f>
        <v>6.45</v>
      </c>
      <c r="BF7" s="10">
        <f>SQRT((AI7*1000/(H7*MIN(U7,AB7)))^2+(Q7*1000000*2*((H7-2*('Parametros'!$B$7+'Parametros'!$B$9/2))+(I7-2*('Parametros'!$B$7+'Parametros'!$B$9/2)))/(1.7*((H7-2*('Parametros'!$B$7+'Parametros'!$B$9/2))*(I7-2*('Parametros'!$B$7+'Parametros'!$B$9/2)))^2))^2)</f>
        <v>5.73354813797005</v>
      </c>
      <c r="BG7" s="10">
        <f>'Parametros'!$B$6*(AJ7*1000/(H7*MIN(U7,AB7))+0.66*SQRT('Parametros'!$B$2))</f>
        <v>3.29396038227542</v>
      </c>
      <c r="BH7" s="10" t="str">
        <f>IF(BF7&lt;=BG7,"CUMPLE","NO CUMPLE")</f>
        <v>NO CUMPLE</v>
      </c>
      <c r="BI7" s="10">
        <f>AX7*'Parametros'!$B$8</f>
        <v>3184</v>
      </c>
      <c r="BJ7" s="10" t="str">
        <f>IF(BI7&gt;=AW7,"CUMPLE","NO CUMPLE")</f>
        <v>CUMPLE</v>
      </c>
    </row>
    <row r="8">
      <c r="A8" s="27" t="inlineStr">
        <is>
          <t>VRAUX</t>
        </is>
      </c>
      <c r="B8" s="27" t="inlineStr">
        <is>
          <t>109</t>
        </is>
      </c>
      <c r="C8" s="10" t="n">
        <v>40</v>
      </c>
      <c r="D8" s="10" t="n">
        <v>1.9</v>
      </c>
      <c r="E8" s="10" t="n">
        <v>2</v>
      </c>
      <c r="F8" s="10" t="n">
        <v>450</v>
      </c>
      <c r="G8" s="10" t="n">
        <v>550</v>
      </c>
      <c r="H8" s="17" t="n">
        <v>450</v>
      </c>
      <c r="I8" s="17" t="n">
        <v>550</v>
      </c>
      <c r="J8" s="30" t="n">
        <v>48.9168</v>
      </c>
      <c r="K8" s="10" t="inlineStr">
        <is>
          <t>112</t>
        </is>
      </c>
      <c r="L8" s="30" t="n">
        <v>41.186</v>
      </c>
      <c r="M8" s="10" t="inlineStr">
        <is>
          <t>109</t>
        </is>
      </c>
      <c r="N8" s="30" t="n">
        <v>43.256</v>
      </c>
      <c r="O8" s="30" t="n">
        <v>169.702</v>
      </c>
      <c r="P8" s="10" t="inlineStr">
        <is>
          <t>109</t>
        </is>
      </c>
      <c r="Q8" s="30" t="n">
        <v>16.9698</v>
      </c>
      <c r="R8" s="10">
        <f>MAX(MAX(1.4/'Parametros'!$B$3,0.25*SQRT('Parametros'!$B$2)/'Parametros'!$B$3)*H8*U8,(0.85*'Parametros'!$B$2/'Parametros'!$B$3)*(1-SQRT(1-2*(J8*1000000/('Parametros'!$B$5*H8*U8^2))/(0.85*'Parametros'!$B$2)))*H8*U8)</f>
        <v>734.025</v>
      </c>
      <c r="S8" s="31" t="n">
        <v>4</v>
      </c>
      <c r="T8" s="32" t="n">
        <v>1</v>
      </c>
      <c r="U8" s="10">
        <f>IF(T8=1,I8-('Parametros'!$B$7+'Parametros'!$B$9+'Parametros'!$B$12/2),I8-(ROUNDUP(S8/2,0)*('Parametros'!$B$7+'Parametros'!$B$9+'Parametros'!$B$12/2)+ROUNDDOWN(S8/2,0)*('Parametros'!$B$7+'Parametros'!$B$9+'Parametros'!$B$12/2+'Parametros'!$B$12+'Parametros'!$B$10))/S8)</f>
        <v>489.35</v>
      </c>
      <c r="V8" s="10">
        <f>S8*'Parametros'!$B$8</f>
        <v>796</v>
      </c>
      <c r="W8" s="10">
        <f>'Parametros'!$B$5*V8*'Parametros'!$B$3*(U8-(V8*'Parametros'!$B$3/(0.85*'Parametros'!$B$2*H8))/2)/1000000</f>
        <v>142.543330094118</v>
      </c>
      <c r="X8" s="10" t="str">
        <f>IF(W8&gt;=J8,"CUMPLE","NO CUMPLE")</f>
        <v>CUMPLE</v>
      </c>
      <c r="Y8" s="10">
        <f>MAX(MAX(1.4/'Parametros'!$B$3,0.25*SQRT('Parametros'!$B$2)/'Parametros'!$B$3)*H8*AB8,(0.85*'Parametros'!$B$2/'Parametros'!$B$3)*(1-SQRT(1-2*(L8*1000000/('Parametros'!$B$5*H8*AB8^2))/(0.85*'Parametros'!$B$2)))*H8*AB8)</f>
        <v>734.025</v>
      </c>
      <c r="Z8" s="31" t="n">
        <v>4</v>
      </c>
      <c r="AA8" s="32" t="n">
        <v>1</v>
      </c>
      <c r="AB8" s="10">
        <f>IF(AA8=1,I8-('Parametros'!$B$7+'Parametros'!$B$9+'Parametros'!$B$12/2),I8-(ROUNDUP(Z8/2,0)*('Parametros'!$B$7+'Parametros'!$B$9+'Parametros'!$B$12/2)+ROUNDDOWN(Z8/2,0)*('Parametros'!$B$7+'Parametros'!$B$9+'Parametros'!$B$12/2+'Parametros'!$B$12+'Parametros'!$B$10))/Z8)</f>
        <v>489.35</v>
      </c>
      <c r="AC8" s="10">
        <f>Z8*'Parametros'!$B$8</f>
        <v>796</v>
      </c>
      <c r="AD8" s="10">
        <f>'Parametros'!$B$5*AC8*'Parametros'!$B$3*(AB8-(AC8*'Parametros'!$B$3/(0.85*'Parametros'!$B$2*H8))/2)/1000000</f>
        <v>142.543330094118</v>
      </c>
      <c r="AE8" s="10" t="str">
        <f>IF(AD8&gt;=L8,"CUMPLE","NO CUMPLE")</f>
        <v>CUMPLE</v>
      </c>
      <c r="AF8" s="10">
        <f>V8*1.25*'Parametros'!$B$3*(U8-(V8*1.25*'Parametros'!$B$3/(0.85*'Parametros'!$B$2*H8))/2)/1000000</f>
        <v>196.346217941176</v>
      </c>
      <c r="AG8" s="10">
        <f>AC8*1.25*'Parametros'!$B$3*(AB8-(AC8*1.25*'Parametros'!$B$3/(0.85*'Parametros'!$B$2*H8))/2)/1000000</f>
        <v>196.346217941176</v>
      </c>
      <c r="AH8" s="10">
        <f>N8+(AF8+AG8)/D8</f>
        <v>249.936229411765</v>
      </c>
      <c r="AI8" s="10">
        <f>MAX(O8,AH8)</f>
        <v>249.936229411765</v>
      </c>
      <c r="AJ8" s="10">
        <f>0.17*SQRT('Parametros'!$B$2)*H8*MIN(U8,AB8)/1000</f>
        <v>198.088855822627</v>
      </c>
      <c r="AK8" s="10">
        <f>MAX(AI8/'Parametros'!$B$6-AJ8,0)</f>
        <v>135.159450059726</v>
      </c>
      <c r="AL8" s="10">
        <f>0.66*SQRT('Parametros'!$B$2)*H8*MIN(U8,AB8)/1000</f>
        <v>769.050852017258</v>
      </c>
      <c r="AM8" s="10" t="str">
        <f>IF(AK8&lt;=AL8,"CUMPLE","NO CUMPLE")</f>
        <v>CUMPLE</v>
      </c>
      <c r="AN8" s="17" t="inlineStr">
        <is>
          <t>Nº3 cerrado</t>
        </is>
      </c>
      <c r="AO8" s="31" t="n">
        <v>2</v>
      </c>
      <c r="AP8" s="10">
        <f>ROUNDDOWN(MIN(IF(BC8+BD8=0,1000000000,AO8*BB8/(BC8+BD8)),MIN(U8,AB8)/4,8*'Parametros'!$B$12,24*BA8,300,IF(AV8=0,1000000000,2*((H8-2*('Parametros'!$B$7+'Parametros'!$B$9/2))+(I8-2*('Parametros'!$B$7+'Parametros'!$B$9/2)))/8))/10,0)*10</f>
        <v>120</v>
      </c>
      <c r="AQ8" s="10">
        <f>ROUNDDOWN(MIN(IF(BC8+BD8=0,1000000000,AO8*BB8/(BC8+BD8)),IF(AK8&gt;0.33*SQRT('Parametros'!$B$2)*H8*MIN(U8,AB8)/1000,MIN(U8,AB8)/4,MIN(U8,AB8)/2),600,IF(AV8=0,1000000000,2*((H8-2*('Parametros'!$B$7+'Parametros'!$B$9/2))+(I8-2*('Parametros'!$B$7+'Parametros'!$B$9/2)))/8))/10,0)*10</f>
        <v>130</v>
      </c>
      <c r="AR8" s="10">
        <f>'Parametros'!$B$6*(AJ8+MAX(BE8-BD8,0)*'Parametros'!$B$4*MIN(U8,AB8)/1000)</f>
        <v>271.17984159611</v>
      </c>
      <c r="AS8" s="10" t="str">
        <f>IF(AND(ISERROR(SEARCH("referencia",AN8)),AM8="CUMPLE",AR8&gt;=AI8),"CUMPLE","NO CUMPLE")</f>
        <v>CUMPLE</v>
      </c>
      <c r="AT8" s="10">
        <f>'Parametros'!$B$6*0.083*SQRT('Parametros'!$B$2)*(H8*I8)^2/(2*(H8+I8))/1000000</f>
        <v>10.0887830333379</v>
      </c>
      <c r="AU8" s="10" t="str">
        <f>IF(Q8&lt;=AT8,"DESPRECIABLE","DISEÑAR")</f>
        <v>DISEÑAR</v>
      </c>
      <c r="AV8" s="10">
        <f>IF(Q8&lt;=AT8,0,Q8*1000000/('Parametros'!$B$6*2*0.85*(H8-2*('Parametros'!$B$7+'Parametros'!$B$9/2))*(I8-2*('Parametros'!$B$7+'Parametros'!$B$9/2))*'Parametros'!$B$4))</f>
        <v>0.193946984324397</v>
      </c>
      <c r="AW8" s="10">
        <f>AV8*2*((H8-2*('Parametros'!$B$7+'Parametros'!$B$9/2))+(I8-2*('Parametros'!$B$7+'Parametros'!$B$9/2)))*'Parametros'!$B$4/'Parametros'!$B$3</f>
        <v>315.978426861308</v>
      </c>
      <c r="AX8" s="31" t="n">
        <v>8</v>
      </c>
      <c r="AY8" s="10" t="str">
        <f>IF(AV8=0,"DESPRECIABLE",IF(AND(ISERROR(SEARCH("referencia",AN8)),BB8/AP8&gt;=AV8,BI8&gt;=AW8,BH8="CUMPLE"),"CUMPLE","NO CUMPLE"))</f>
        <v>CUMPLE</v>
      </c>
      <c r="AZ8" s="10" t="str">
        <f>IF(AND(X8="CUMPLE",AE8="CUMPLE",AS8="CUMPLE",OR(AY8="CUMPLE",AY8="DESPRECIABLE"),BH8="CUMPLE",BJ8="CUMPLE",COUNTIF('Todas las Vigas (592)'!$A$4:$A$595,A8)=COUNTIFS('Todas las Vigas (592)'!$A$4:$A$595,A8,'Todas las Vigas (592)'!$AZ$4:$AZ$595,"CUMPLE")),"CUMPLE","NO CUMPLE")</f>
        <v>CUMPLE</v>
      </c>
      <c r="BA8" s="32" t="n">
        <v>9.5</v>
      </c>
      <c r="BB8" s="32" t="n">
        <v>71</v>
      </c>
      <c r="BC8" s="10">
        <f>MAX(IF(AK8=0,0,AK8*1000/('Parametros'!$B$4*MIN(U8,AB8))),MAX(0.062*SQRT('Parametros'!$B$2)*H8/'Parametros'!$B$4,0.35*H8/'Parametros'!$B$4))</f>
        <v>0.657623816139612</v>
      </c>
      <c r="BD8" s="10">
        <f>2*AV8</f>
        <v>0.387893968648795</v>
      </c>
      <c r="BE8" s="10">
        <f>AO8*BB8/AP8</f>
        <v>1.18333333333333</v>
      </c>
      <c r="BF8" s="10">
        <f>SQRT((AI8*1000/(H8*MIN(U8,AB8)))^2+(Q8*1000000*2*((H8-2*('Parametros'!$B$7+'Parametros'!$B$9/2))+(I8-2*('Parametros'!$B$7+'Parametros'!$B$9/2)))/(1.7*((H8-2*('Parametros'!$B$7+'Parametros'!$B$9/2))*(I8-2*('Parametros'!$B$7+'Parametros'!$B$9/2)))^2))^2)</f>
        <v>1.28814299726604</v>
      </c>
      <c r="BG8" s="10">
        <f>'Parametros'!$B$6*(AJ8*1000/(H8*MIN(U8,AB8))+0.66*SQRT('Parametros'!$B$2))</f>
        <v>3.29396038227542</v>
      </c>
      <c r="BH8" s="10" t="str">
        <f>IF(BF8&lt;=BG8,"CUMPLE","NO CUMPLE")</f>
        <v>CUMPLE</v>
      </c>
      <c r="BI8" s="10">
        <f>AX8*'Parametros'!$B$8</f>
        <v>1592</v>
      </c>
      <c r="BJ8" s="10" t="str">
        <f>IF(BI8&gt;=AW8,"CUMPLE","NO CUMPLE")</f>
        <v>CUMPLE</v>
      </c>
    </row>
  </sheetData>
  <autoFilter ref="A3:BJ8"/>
  <mergeCells count="2">
    <mergeCell ref="A2:BJ2"/>
    <mergeCell ref="A1:BJ1"/>
  </mergeCells>
  <conditionalFormatting sqref="X4:X8">
    <cfRule type="cellIs" priority="1" operator="equal" dxfId="0">
      <formula>"CUMPLE"</formula>
    </cfRule>
  </conditionalFormatting>
  <conditionalFormatting sqref="AE4:AE8">
    <cfRule type="cellIs" priority="2" operator="equal" dxfId="0">
      <formula>"CUMPLE"</formula>
    </cfRule>
  </conditionalFormatting>
  <conditionalFormatting sqref="AS4:AS8">
    <cfRule type="cellIs" priority="3" operator="equal" dxfId="0">
      <formula>"CUMPLE"</formula>
    </cfRule>
  </conditionalFormatting>
  <conditionalFormatting sqref="AZ4:AZ8"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28" t="inlineStr">
        <is>
          <t>DISEÑO DE VIGAS — TODAS LAS VIGAS (592)</t>
        </is>
      </c>
    </row>
    <row r="2">
      <c r="A2" s="29" t="inlineStr">
        <is>
          <t>Flexión: ENVFLEX. Cortante: ENVCORT directo. Torsión: máximo de ambas envolventes. Verificación DMO: Ve. Vu adoptado = máx(ENVCORT; Ve).</t>
        </is>
      </c>
    </row>
    <row r="3" ht="64" customHeight="1">
      <c r="A3" s="12" t="inlineStr">
        <is>
          <t>Grupo</t>
        </is>
      </c>
      <c r="B3" s="12" t="inlineStr">
        <is>
          <t>Frame</t>
        </is>
      </c>
      <c r="C3" s="12" t="inlineStr">
        <is>
          <t>N vigas</t>
        </is>
      </c>
      <c r="D3" s="12" t="inlineStr">
        <is>
          <t>Ln adopt. mín (m)</t>
        </is>
      </c>
      <c r="E3" s="12" t="inlineStr">
        <is>
          <t>Ln adopt. máx (m)</t>
        </is>
      </c>
      <c r="F3" s="12" t="inlineStr">
        <is>
          <t>b modelo (mm)</t>
        </is>
      </c>
      <c r="G3" s="12" t="inlineStr">
        <is>
          <t>h modelo (mm)</t>
        </is>
      </c>
      <c r="H3" s="12" t="inlineStr">
        <is>
          <t>b adopt. (mm)</t>
        </is>
      </c>
      <c r="I3" s="12" t="inlineStr">
        <is>
          <t>h adopt. (mm)</t>
        </is>
      </c>
      <c r="J3" s="12" t="inlineStr">
        <is>
          <t>Mu− ENVFLEX (kN·m)</t>
        </is>
      </c>
      <c r="K3" s="12" t="inlineStr">
        <is>
          <t>Frame Mu−</t>
        </is>
      </c>
      <c r="L3" s="12" t="inlineStr">
        <is>
          <t>Mu+ ENVFLEX (kN·m)</t>
        </is>
      </c>
      <c r="M3" s="12" t="inlineStr">
        <is>
          <t>Frame Mu+</t>
        </is>
      </c>
      <c r="N3" s="12" t="inlineStr">
        <is>
          <t>Vu ENVFLEX (kN)</t>
        </is>
      </c>
      <c r="O3" s="12" t="inlineStr">
        <is>
          <t>Vu ENVCORT (kN)</t>
        </is>
      </c>
      <c r="P3" s="12" t="inlineStr">
        <is>
          <t>Frame Vu</t>
        </is>
      </c>
      <c r="Q3" s="12" t="inlineStr">
        <is>
          <t>Tu diseño compat. (kN·m)</t>
        </is>
      </c>
      <c r="R3" s="12" t="inlineStr">
        <is>
          <t>As req. sup (mm²)</t>
        </is>
      </c>
      <c r="S3" s="12" t="inlineStr">
        <is>
          <t>Nº5 sup</t>
        </is>
      </c>
      <c r="T3" s="12" t="inlineStr">
        <is>
          <t>Capas sup</t>
        </is>
      </c>
      <c r="U3" s="12" t="inlineStr">
        <is>
          <t>d sup (mm)</t>
        </is>
      </c>
      <c r="V3" s="12" t="inlineStr">
        <is>
          <t>As prov. sup (mm²)</t>
        </is>
      </c>
      <c r="W3" s="12" t="inlineStr">
        <is>
          <t>φMn− (kN·m)</t>
        </is>
      </c>
      <c r="X3" s="12" t="inlineStr">
        <is>
          <t>Flexión −</t>
        </is>
      </c>
      <c r="Y3" s="12" t="inlineStr">
        <is>
          <t>As req. inf (mm²)</t>
        </is>
      </c>
      <c r="Z3" s="12" t="inlineStr">
        <is>
          <t>Nº5 inf</t>
        </is>
      </c>
      <c r="AA3" s="12" t="inlineStr">
        <is>
          <t>Capas inf</t>
        </is>
      </c>
      <c r="AB3" s="12" t="inlineStr">
        <is>
          <t>d inf (mm)</t>
        </is>
      </c>
      <c r="AC3" s="12" t="inlineStr">
        <is>
          <t>As prov. inf (mm²)</t>
        </is>
      </c>
      <c r="AD3" s="12" t="inlineStr">
        <is>
          <t>φMn+ (kN·m)</t>
        </is>
      </c>
      <c r="AE3" s="12" t="inlineStr">
        <is>
          <t>Flexión +</t>
        </is>
      </c>
      <c r="AF3" s="12" t="inlineStr">
        <is>
          <t>Mpr− (kN·m)</t>
        </is>
      </c>
      <c r="AG3" s="12" t="inlineStr">
        <is>
          <t>Mpr+ (kN·m)</t>
        </is>
      </c>
      <c r="AH3" s="12" t="inlineStr">
        <is>
          <t>Vcap (kN)</t>
        </is>
      </c>
      <c r="AI3" s="12" t="inlineStr">
        <is>
          <t>Vu diseño (kN)</t>
        </is>
      </c>
      <c r="AJ3" s="12" t="inlineStr">
        <is>
          <t>Vc (kN)</t>
        </is>
      </c>
      <c r="AK3" s="12" t="inlineStr">
        <is>
          <t>Vs req. (kN)</t>
        </is>
      </c>
      <c r="AL3" s="12" t="inlineStr">
        <is>
          <t>Vs máx. (kN)</t>
        </is>
      </c>
      <c r="AM3" s="12" t="inlineStr">
        <is>
          <t>Sección cortante</t>
        </is>
      </c>
      <c r="AN3" s="12" t="inlineStr">
        <is>
          <t>Estribo</t>
        </is>
      </c>
      <c r="AO3" s="12" t="inlineStr">
        <is>
          <t>Ramas</t>
        </is>
      </c>
      <c r="AP3" s="12" t="inlineStr">
        <is>
          <t>s extremo DMO (mm; zona 2h)</t>
        </is>
      </c>
      <c r="AQ3" s="12" t="inlineStr">
        <is>
          <t>s centro (mm)</t>
        </is>
      </c>
      <c r="AR3" s="12" t="inlineStr">
        <is>
          <t>φVn (kN)</t>
        </is>
      </c>
      <c r="AS3" s="12" t="inlineStr">
        <is>
          <t>Cortante</t>
        </is>
      </c>
      <c r="AT3" s="12" t="inlineStr">
        <is>
          <t>φTth (kN·m)</t>
        </is>
      </c>
      <c r="AU3" s="12" t="inlineStr">
        <is>
          <t>Torsión</t>
        </is>
      </c>
      <c r="AV3" s="12" t="inlineStr">
        <is>
          <t>At/s (mm²/mm)</t>
        </is>
      </c>
      <c r="AW3" s="12" t="inlineStr">
        <is>
          <t>Al adicional req. (mm²)</t>
        </is>
      </c>
      <c r="AX3" s="12" t="inlineStr">
        <is>
          <t>Nº5 torsión dedicadas</t>
        </is>
      </c>
      <c r="AY3" s="12" t="inlineStr">
        <is>
          <t>Chequeo torsión</t>
        </is>
      </c>
      <c r="AZ3" s="12" t="inlineStr">
        <is>
          <t>ESTADO</t>
        </is>
      </c>
      <c r="BA3" s="12" t="inlineStr">
        <is>
          <t>db estribo (mm)</t>
        </is>
      </c>
      <c r="BB3" s="12" t="inlineStr">
        <is>
          <t>Área rama (mm²)</t>
        </is>
      </c>
      <c r="BC3" s="12" t="inlineStr">
        <is>
          <t>Av/s req. cortante incl. mín.</t>
        </is>
      </c>
      <c r="BD3" s="12" t="inlineStr">
        <is>
          <t>2At/s req. torsión</t>
        </is>
      </c>
      <c r="BE3" s="12" t="inlineStr">
        <is>
          <t>Av/s prov. extremo</t>
        </is>
      </c>
      <c r="BF3" s="12" t="inlineStr">
        <is>
          <t>Interacción V-T</t>
        </is>
      </c>
      <c r="BG3" s="12" t="inlineStr">
        <is>
          <t>Límite V-T</t>
        </is>
      </c>
      <c r="BH3" s="12" t="inlineStr">
        <is>
          <t>Chequeo V-T</t>
        </is>
      </c>
      <c r="BI3" s="12" t="inlineStr">
        <is>
          <t>Al provisto (mm²)</t>
        </is>
      </c>
      <c r="BJ3" s="12" t="inlineStr">
        <is>
          <t>Chequeo Al</t>
        </is>
      </c>
    </row>
    <row r="4">
      <c r="A4" s="13" t="inlineStr">
        <is>
          <t>VC1</t>
        </is>
      </c>
      <c r="B4" s="13" t="inlineStr">
        <is>
          <t>148</t>
        </is>
      </c>
      <c r="C4" s="10" t="n">
        <v>1</v>
      </c>
      <c r="D4" s="10" t="n">
        <v>3.15</v>
      </c>
      <c r="E4" s="10" t="n">
        <v>3.15</v>
      </c>
      <c r="F4" s="10" t="n">
        <v>450</v>
      </c>
      <c r="G4" s="10" t="n">
        <v>550</v>
      </c>
      <c r="H4" s="17" t="n">
        <v>450</v>
      </c>
      <c r="I4" s="17" t="n">
        <v>550</v>
      </c>
      <c r="J4" s="30" t="n">
        <v>33.4279</v>
      </c>
      <c r="K4" s="10" t="inlineStr">
        <is>
          <t>148</t>
        </is>
      </c>
      <c r="L4" s="30" t="n">
        <v>21.621</v>
      </c>
      <c r="M4" s="10" t="inlineStr">
        <is>
          <t>148</t>
        </is>
      </c>
      <c r="N4" s="30" t="n">
        <v>26.941</v>
      </c>
      <c r="O4" s="30" t="n">
        <v>74.04300000000001</v>
      </c>
      <c r="P4" s="10" t="inlineStr">
        <is>
          <t>148</t>
        </is>
      </c>
      <c r="Q4" s="30" t="n">
        <v>13.2234</v>
      </c>
      <c r="R4" s="10">
        <f>MAX(MAX(1.4/'Parametros'!$B$3,0.25*SQRT('Parametros'!$B$2)/'Parametros'!$B$3)*H4*U4,(0.85*'Parametros'!$B$2/'Parametros'!$B$3)*(1-SQRT(1-2*(J4*1000000/('Parametros'!$B$5*H4*U4^2))/(0.85*'Parametros'!$B$2)))*H4*U4)</f>
        <v>734.025</v>
      </c>
      <c r="S4" s="31" t="n">
        <v>4</v>
      </c>
      <c r="T4" s="32" t="n">
        <v>1</v>
      </c>
      <c r="U4" s="10">
        <f>IF(T4=1,I4-('Parametros'!$B$7+'Parametros'!$B$9+'Parametros'!$B$12/2),I4-(ROUNDUP(S4/2,0)*('Parametros'!$B$7+'Parametros'!$B$9+'Parametros'!$B$12/2)+ROUNDDOWN(S4/2,0)*('Parametros'!$B$7+'Parametros'!$B$9+'Parametros'!$B$12/2+'Parametros'!$B$12+'Parametros'!$B$10))/S4)</f>
        <v>489.35</v>
      </c>
      <c r="V4" s="10">
        <f>S4*'Parametros'!$B$8</f>
        <v>796</v>
      </c>
      <c r="W4" s="10">
        <f>'Parametros'!$B$5*V4*'Parametros'!$B$3*(U4-(V4*'Parametros'!$B$3/(0.85*'Parametros'!$B$2*H4))/2)/1000000</f>
        <v>142.543330094118</v>
      </c>
      <c r="X4" s="10" t="str">
        <f>IF(W4&gt;=J4,"CUMPLE","NO CUMPLE")</f>
        <v>CUMPLE</v>
      </c>
      <c r="Y4" s="10">
        <f>MAX(MAX(1.4/'Parametros'!$B$3,0.25*SQRT('Parametros'!$B$2)/'Parametros'!$B$3)*H4*AB4,(0.85*'Parametros'!$B$2/'Parametros'!$B$3)*(1-SQRT(1-2*(L4*1000000/('Parametros'!$B$5*H4*AB4^2))/(0.85*'Parametros'!$B$2)))*H4*AB4)</f>
        <v>734.025</v>
      </c>
      <c r="Z4" s="31" t="n">
        <v>4</v>
      </c>
      <c r="AA4" s="32" t="n">
        <v>1</v>
      </c>
      <c r="AB4" s="10">
        <f>IF(AA4=1,I4-('Parametros'!$B$7+'Parametros'!$B$9+'Parametros'!$B$12/2),I4-(ROUNDUP(Z4/2,0)*('Parametros'!$B$7+'Parametros'!$B$9+'Parametros'!$B$12/2)+ROUNDDOWN(Z4/2,0)*('Parametros'!$B$7+'Parametros'!$B$9+'Parametros'!$B$12/2+'Parametros'!$B$12+'Parametros'!$B$10))/Z4)</f>
        <v>489.35</v>
      </c>
      <c r="AC4" s="10">
        <f>Z4*'Parametros'!$B$8</f>
        <v>796</v>
      </c>
      <c r="AD4" s="10">
        <f>'Parametros'!$B$5*AC4*'Parametros'!$B$3*(AB4-(AC4*'Parametros'!$B$3/(0.85*'Parametros'!$B$2*H4))/2)/1000000</f>
        <v>142.543330094118</v>
      </c>
      <c r="AE4" s="10" t="str">
        <f>IF(AD4&gt;=L4,"CUMPLE","NO CUMPLE")</f>
        <v>CUMPLE</v>
      </c>
      <c r="AF4" s="10">
        <f>V4*1.25*'Parametros'!$B$3*(U4-(V4*1.25*'Parametros'!$B$3/(0.85*'Parametros'!$B$2*H4))/2)/1000000</f>
        <v>196.346217941176</v>
      </c>
      <c r="AG4" s="10">
        <f>AC4*1.25*'Parametros'!$B$3*(AB4-(AC4*1.25*'Parametros'!$B$3/(0.85*'Parametros'!$B$2*H4))/2)/1000000</f>
        <v>196.346217941176</v>
      </c>
      <c r="AH4" s="10">
        <f>N4+(AF4+AG4)/D4</f>
        <v>151.605265359477</v>
      </c>
      <c r="AI4" s="10">
        <f>MAX(O4,AH4)</f>
        <v>151.605265359477</v>
      </c>
      <c r="AJ4" s="10">
        <f>0.17*SQRT('Parametros'!$B$2)*H4*MIN(U4,AB4)/1000</f>
        <v>198.088855822627</v>
      </c>
      <c r="AK4" s="10">
        <f>MAX(AI4/'Parametros'!$B$6-AJ4,0)</f>
        <v>4.05149799000918</v>
      </c>
      <c r="AL4" s="10">
        <f>0.66*SQRT('Parametros'!$B$2)*H4*MIN(U4,AB4)/1000</f>
        <v>769.050852017258</v>
      </c>
      <c r="AM4" s="10" t="str">
        <f>IF(AK4&lt;=AL4,"CUMPLE","NO CUMPLE")</f>
        <v>CUMPLE</v>
      </c>
      <c r="AN4" s="17" t="inlineStr">
        <is>
          <t>Nº3 cerrado</t>
        </is>
      </c>
      <c r="AO4" s="31" t="n">
        <v>2</v>
      </c>
      <c r="AP4" s="10">
        <f>ROUNDDOWN(MIN(IF(BC4+BD4=0,1000000000,AO4*BB4/(BC4+BD4)),MIN(U4,AB4)/4,8*'Parametros'!$B$12,24*BA4,300,IF(AV4=0,1000000000,2*((H4-2*('Parametros'!$B$7+'Parametros'!$B$9/2))+(I4-2*('Parametros'!$B$7+'Parametros'!$B$9/2)))/8))/10,0)*10</f>
        <v>120</v>
      </c>
      <c r="AQ4" s="10">
        <f>ROUNDDOWN(MIN(IF(BC4+BD4=0,1000000000,AO4*BB4/(BC4+BD4)),IF(AK4&gt;0.33*SQRT('Parametros'!$B$2)*H4*MIN(U4,AB4)/1000,MIN(U4,AB4)/4,MIN(U4,AB4)/2),600,IF(AV4=0,1000000000,2*((H4-2*('Parametros'!$B$7+'Parametros'!$B$9/2))+(I4-2*('Parametros'!$B$7+'Parametros'!$B$9/2)))/8))/10,0)*10</f>
        <v>200</v>
      </c>
      <c r="AR4" s="10">
        <f>'Parametros'!$B$6*(AJ4+MAX(BE4-BD4,0)*'Parametros'!$B$4*MIN(U4,AB4)/1000)</f>
        <v>284.380044111446</v>
      </c>
      <c r="AS4" s="10" t="str">
        <f>IF(AND(ISERROR(SEARCH("referencia",AN4)),AM4="CUMPLE",AR4&gt;=AI4),"CUMPLE","NO CUMPLE")</f>
        <v>CUMPLE</v>
      </c>
      <c r="AT4" s="10">
        <f>'Parametros'!$B$6*0.083*SQRT('Parametros'!$B$2)*(H4*I4)^2/(2*(H4+I4))/1000000</f>
        <v>10.0887830333379</v>
      </c>
      <c r="AU4" s="10" t="str">
        <f>IF(Q4&lt;=AT4,"DESPRECIABLE","DISEÑAR")</f>
        <v>DISEÑAR</v>
      </c>
      <c r="AV4" s="10">
        <f>IF(Q4&lt;=AT4,0,Q4*1000000/('Parametros'!$B$6*2*0.85*(H4-2*('Parametros'!$B$7+'Parametros'!$B$9/2))*(I4-2*('Parametros'!$B$7+'Parametros'!$B$9/2))*'Parametros'!$B$4))</f>
        <v>0.151129568557982</v>
      </c>
      <c r="AW4" s="10">
        <f>AV4*2*((H4-2*('Parametros'!$B$7+'Parametros'!$B$9/2))+(I4-2*('Parametros'!$B$7+'Parametros'!$B$9/2)))*'Parametros'!$B$4/'Parametros'!$B$3</f>
        <v>246.220293094664</v>
      </c>
      <c r="AX4" s="31" t="n">
        <v>8</v>
      </c>
      <c r="AY4" s="10" t="str">
        <f>IF(AV4=0,"DESPRECIABLE",IF(AND(ISERROR(SEARCH("referencia",AN4)),BB4/AP4&gt;=AV4,BI4&gt;=AW4,BH4="CUMPLE"),"CUMPLE","NO CUMPLE"))</f>
        <v>CUMPLE</v>
      </c>
      <c r="AZ4" s="10" t="str">
        <f>IF(AND(X4="CUMPLE",AE4="CUMPLE",AS4="CUMPLE",OR(AY4="CUMPLE",AY4="DESPRECIABLE"),BH4="CUMPLE",BJ4="CUMPLE"),"CUMPLE","NO CUMPLE")</f>
        <v>CUMPLE</v>
      </c>
      <c r="BA4" s="32" t="n">
        <v>9.5</v>
      </c>
      <c r="BB4" s="32" t="n">
        <v>71</v>
      </c>
      <c r="BC4" s="10">
        <f>MAX(IF(AK4=0,0,AK4*1000/('Parametros'!$B$4*MIN(U4,AB4))),MAX(0.062*SQRT('Parametros'!$B$2)*H4/'Parametros'!$B$4,0.35*H4/'Parametros'!$B$4))</f>
        <v>0.375</v>
      </c>
      <c r="BD4" s="10">
        <f>2*AV4</f>
        <v>0.302259137115963</v>
      </c>
      <c r="BE4" s="10">
        <f>AO4*BB4/AP4</f>
        <v>1.18333333333333</v>
      </c>
      <c r="BF4" s="10">
        <f>SQRT((AI4*1000/(H4*MIN(U4,AB4)))^2+(Q4*1000000*2*((H4-2*('Parametros'!$B$7+'Parametros'!$B$9/2))+(I4-2*('Parametros'!$B$7+'Parametros'!$B$9/2)))/(1.7*((H4-2*('Parametros'!$B$7+'Parametros'!$B$9/2))*(I4-2*('Parametros'!$B$7+'Parametros'!$B$9/2)))^2))^2)</f>
        <v>0.836244615818971</v>
      </c>
      <c r="BG4" s="10">
        <f>'Parametros'!$B$6*(AJ4*1000/(H4*MIN(U4,AB4))+0.66*SQRT('Parametros'!$B$2))</f>
        <v>3.29396038227542</v>
      </c>
      <c r="BH4" s="10" t="str">
        <f>IF(BF4&lt;=BG4,"CUMPLE","NO CUMPLE")</f>
        <v>CUMPLE</v>
      </c>
      <c r="BI4" s="10">
        <f>AX4*'Parametros'!$B$8</f>
        <v>1592</v>
      </c>
      <c r="BJ4" s="10" t="str">
        <f>IF(BI4&gt;=AW4,"CUMPLE","NO CUMPLE")</f>
        <v>CUMPLE</v>
      </c>
    </row>
    <row r="5">
      <c r="A5" s="13" t="inlineStr">
        <is>
          <t>VC1</t>
        </is>
      </c>
      <c r="B5" s="13" t="inlineStr">
        <is>
          <t>149</t>
        </is>
      </c>
      <c r="C5" s="10" t="n">
        <v>1</v>
      </c>
      <c r="D5" s="10" t="n">
        <v>3.15</v>
      </c>
      <c r="E5" s="10" t="n">
        <v>3.15</v>
      </c>
      <c r="F5" s="10" t="n">
        <v>450</v>
      </c>
      <c r="G5" s="10" t="n">
        <v>550</v>
      </c>
      <c r="H5" s="17" t="n">
        <v>450</v>
      </c>
      <c r="I5" s="17" t="n">
        <v>550</v>
      </c>
      <c r="J5" s="30" t="n">
        <v>33.4239</v>
      </c>
      <c r="K5" s="10" t="inlineStr">
        <is>
          <t>149</t>
        </is>
      </c>
      <c r="L5" s="30" t="n">
        <v>21.6234</v>
      </c>
      <c r="M5" s="10" t="inlineStr">
        <is>
          <t>149</t>
        </is>
      </c>
      <c r="N5" s="30" t="n">
        <v>26.939</v>
      </c>
      <c r="O5" s="30" t="n">
        <v>74.041</v>
      </c>
      <c r="P5" s="10" t="inlineStr">
        <is>
          <t>149</t>
        </is>
      </c>
      <c r="Q5" s="30" t="n">
        <v>13.2232</v>
      </c>
      <c r="R5" s="10">
        <f>MAX(MAX(1.4/'Parametros'!$B$3,0.25*SQRT('Parametros'!$B$2)/'Parametros'!$B$3)*H5*U5,(0.85*'Parametros'!$B$2/'Parametros'!$B$3)*(1-SQRT(1-2*(J5*1000000/('Parametros'!$B$5*H5*U5^2))/(0.85*'Parametros'!$B$2)))*H5*U5)</f>
        <v>734.025</v>
      </c>
      <c r="S5" s="31" t="n">
        <v>4</v>
      </c>
      <c r="T5" s="32" t="n">
        <v>1</v>
      </c>
      <c r="U5" s="10">
        <f>IF(T5=1,I5-('Parametros'!$B$7+'Parametros'!$B$9+'Parametros'!$B$12/2),I5-(ROUNDUP(S5/2,0)*('Parametros'!$B$7+'Parametros'!$B$9+'Parametros'!$B$12/2)+ROUNDDOWN(S5/2,0)*('Parametros'!$B$7+'Parametros'!$B$9+'Parametros'!$B$12/2+'Parametros'!$B$12+'Parametros'!$B$10))/S5)</f>
        <v>489.35</v>
      </c>
      <c r="V5" s="10">
        <f>S5*'Parametros'!$B$8</f>
        <v>796</v>
      </c>
      <c r="W5" s="10">
        <f>'Parametros'!$B$5*V5*'Parametros'!$B$3*(U5-(V5*'Parametros'!$B$3/(0.85*'Parametros'!$B$2*H5))/2)/1000000</f>
        <v>142.543330094118</v>
      </c>
      <c r="X5" s="10" t="str">
        <f>IF(W5&gt;=J5,"CUMPLE","NO CUMPLE")</f>
        <v>CUMPLE</v>
      </c>
      <c r="Y5" s="10">
        <f>MAX(MAX(1.4/'Parametros'!$B$3,0.25*SQRT('Parametros'!$B$2)/'Parametros'!$B$3)*H5*AB5,(0.85*'Parametros'!$B$2/'Parametros'!$B$3)*(1-SQRT(1-2*(L5*1000000/('Parametros'!$B$5*H5*AB5^2))/(0.85*'Parametros'!$B$2)))*H5*AB5)</f>
        <v>734.025</v>
      </c>
      <c r="Z5" s="31" t="n">
        <v>4</v>
      </c>
      <c r="AA5" s="32" t="n">
        <v>1</v>
      </c>
      <c r="AB5" s="10">
        <f>IF(AA5=1,I5-('Parametros'!$B$7+'Parametros'!$B$9+'Parametros'!$B$12/2),I5-(ROUNDUP(Z5/2,0)*('Parametros'!$B$7+'Parametros'!$B$9+'Parametros'!$B$12/2)+ROUNDDOWN(Z5/2,0)*('Parametros'!$B$7+'Parametros'!$B$9+'Parametros'!$B$12/2+'Parametros'!$B$12+'Parametros'!$B$10))/Z5)</f>
        <v>489.35</v>
      </c>
      <c r="AC5" s="10">
        <f>Z5*'Parametros'!$B$8</f>
        <v>796</v>
      </c>
      <c r="AD5" s="10">
        <f>'Parametros'!$B$5*AC5*'Parametros'!$B$3*(AB5-(AC5*'Parametros'!$B$3/(0.85*'Parametros'!$B$2*H5))/2)/1000000</f>
        <v>142.543330094118</v>
      </c>
      <c r="AE5" s="10" t="str">
        <f>IF(AD5&gt;=L5,"CUMPLE","NO CUMPLE")</f>
        <v>CUMPLE</v>
      </c>
      <c r="AF5" s="10">
        <f>V5*1.25*'Parametros'!$B$3*(U5-(V5*1.25*'Parametros'!$B$3/(0.85*'Parametros'!$B$2*H5))/2)/1000000</f>
        <v>196.346217941176</v>
      </c>
      <c r="AG5" s="10">
        <f>AC5*1.25*'Parametros'!$B$3*(AB5-(AC5*1.25*'Parametros'!$B$3/(0.85*'Parametros'!$B$2*H5))/2)/1000000</f>
        <v>196.346217941176</v>
      </c>
      <c r="AH5" s="10">
        <f>N5+(AF5+AG5)/D5</f>
        <v>151.603265359477</v>
      </c>
      <c r="AI5" s="10">
        <f>MAX(O5,AH5)</f>
        <v>151.603265359477</v>
      </c>
      <c r="AJ5" s="10">
        <f>0.17*SQRT('Parametros'!$B$2)*H5*MIN(U5,AB5)/1000</f>
        <v>198.088855822627</v>
      </c>
      <c r="AK5" s="10">
        <f>MAX(AI5/'Parametros'!$B$6-AJ5,0)</f>
        <v>4.04883132334251</v>
      </c>
      <c r="AL5" s="10">
        <f>0.66*SQRT('Parametros'!$B$2)*H5*MIN(U5,AB5)/1000</f>
        <v>769.050852017258</v>
      </c>
      <c r="AM5" s="10" t="str">
        <f>IF(AK5&lt;=AL5,"CUMPLE","NO CUMPLE")</f>
        <v>CUMPLE</v>
      </c>
      <c r="AN5" s="17" t="inlineStr">
        <is>
          <t>Nº3 cerrado</t>
        </is>
      </c>
      <c r="AO5" s="31" t="n">
        <v>2</v>
      </c>
      <c r="AP5" s="10">
        <f>ROUNDDOWN(MIN(IF(BC5+BD5=0,1000000000,AO5*BB5/(BC5+BD5)),MIN(U5,AB5)/4,8*'Parametros'!$B$12,24*BA5,300,IF(AV5=0,1000000000,2*((H5-2*('Parametros'!$B$7+'Parametros'!$B$9/2))+(I5-2*('Parametros'!$B$7+'Parametros'!$B$9/2)))/8))/10,0)*10</f>
        <v>120</v>
      </c>
      <c r="AQ5" s="10">
        <f>ROUNDDOWN(MIN(IF(BC5+BD5=0,1000000000,AO5*BB5/(BC5+BD5)),IF(AK5&gt;0.33*SQRT('Parametros'!$B$2)*H5*MIN(U5,AB5)/1000,MIN(U5,AB5)/4,MIN(U5,AB5)/2),600,IF(AV5=0,1000000000,2*((H5-2*('Parametros'!$B$7+'Parametros'!$B$9/2))+(I5-2*('Parametros'!$B$7+'Parametros'!$B$9/2)))/8))/10,0)*10</f>
        <v>200</v>
      </c>
      <c r="AR5" s="10">
        <f>'Parametros'!$B$6*(AJ5+MAX(BE5-BD5,0)*'Parametros'!$B$4*MIN(U5,AB5)/1000)</f>
        <v>284.380748798746</v>
      </c>
      <c r="AS5" s="10" t="str">
        <f>IF(AND(ISERROR(SEARCH("referencia",AN5)),AM5="CUMPLE",AR5&gt;=AI5),"CUMPLE","NO CUMPLE")</f>
        <v>CUMPLE</v>
      </c>
      <c r="AT5" s="10">
        <f>'Parametros'!$B$6*0.083*SQRT('Parametros'!$B$2)*(H5*I5)^2/(2*(H5+I5))/1000000</f>
        <v>10.0887830333379</v>
      </c>
      <c r="AU5" s="10" t="str">
        <f>IF(Q5&lt;=AT5,"DESPRECIABLE","DISEÑAR")</f>
        <v>DISEÑAR</v>
      </c>
      <c r="AV5" s="10">
        <f>IF(Q5&lt;=AT5,0,Q5*1000000/('Parametros'!$B$6*2*0.85*(H5-2*('Parametros'!$B$7+'Parametros'!$B$9/2))*(I5-2*('Parametros'!$B$7+'Parametros'!$B$9/2))*'Parametros'!$B$4))</f>
        <v>0.151127282768116</v>
      </c>
      <c r="AW5" s="10">
        <f>AV5*2*((H5-2*('Parametros'!$B$7+'Parametros'!$B$9/2))+(I5-2*('Parametros'!$B$7+'Parametros'!$B$9/2)))*'Parametros'!$B$4/'Parametros'!$B$3</f>
        <v>246.216569085814</v>
      </c>
      <c r="AX5" s="31" t="n">
        <v>8</v>
      </c>
      <c r="AY5" s="10" t="str">
        <f>IF(AV5=0,"DESPRECIABLE",IF(AND(ISERROR(SEARCH("referencia",AN5)),BB5/AP5&gt;=AV5,BI5&gt;=AW5,BH5="CUMPLE"),"CUMPLE","NO CUMPLE"))</f>
        <v>CUMPLE</v>
      </c>
      <c r="AZ5" s="10" t="str">
        <f>IF(AND(X5="CUMPLE",AE5="CUMPLE",AS5="CUMPLE",OR(AY5="CUMPLE",AY5="DESPRECIABLE"),BH5="CUMPLE",BJ5="CUMPLE"),"CUMPLE","NO CUMPLE")</f>
        <v>CUMPLE</v>
      </c>
      <c r="BA5" s="32" t="n">
        <v>9.5</v>
      </c>
      <c r="BB5" s="32" t="n">
        <v>71</v>
      </c>
      <c r="BC5" s="10">
        <f>MAX(IF(AK5=0,0,AK5*1000/('Parametros'!$B$4*MIN(U5,AB5))),MAX(0.062*SQRT('Parametros'!$B$2)*H5/'Parametros'!$B$4,0.35*H5/'Parametros'!$B$4))</f>
        <v>0.375</v>
      </c>
      <c r="BD5" s="10">
        <f>2*AV5</f>
        <v>0.302254565536232</v>
      </c>
      <c r="BE5" s="10">
        <f>AO5*BB5/AP5</f>
        <v>1.18333333333333</v>
      </c>
      <c r="BF5" s="10">
        <f>SQRT((AI5*1000/(H5*MIN(U5,AB5)))^2+(Q5*1000000*2*((H5-2*('Parametros'!$B$7+'Parametros'!$B$9/2))+(I5-2*('Parametros'!$B$7+'Parametros'!$B$9/2)))/(1.7*((H5-2*('Parametros'!$B$7+'Parametros'!$B$9/2))*(I5-2*('Parametros'!$B$7+'Parametros'!$B$9/2)))^2))^2)</f>
        <v>0.836233063239595</v>
      </c>
      <c r="BG5" s="10">
        <f>'Parametros'!$B$6*(AJ5*1000/(H5*MIN(U5,AB5))+0.66*SQRT('Parametros'!$B$2))</f>
        <v>3.29396038227542</v>
      </c>
      <c r="BH5" s="10" t="str">
        <f>IF(BF5&lt;=BG5,"CUMPLE","NO CUMPLE")</f>
        <v>CUMPLE</v>
      </c>
      <c r="BI5" s="10">
        <f>AX5*'Parametros'!$B$8</f>
        <v>1592</v>
      </c>
      <c r="BJ5" s="10" t="str">
        <f>IF(BI5&gt;=AW5,"CUMPLE","NO CUMPLE")</f>
        <v>CUMPLE</v>
      </c>
    </row>
    <row r="6">
      <c r="A6" s="13" t="inlineStr">
        <is>
          <t>VC1</t>
        </is>
      </c>
      <c r="B6" s="13" t="inlineStr">
        <is>
          <t>153</t>
        </is>
      </c>
      <c r="C6" s="10" t="n">
        <v>1</v>
      </c>
      <c r="D6" s="10" t="n">
        <v>3.15</v>
      </c>
      <c r="E6" s="10" t="n">
        <v>3.15</v>
      </c>
      <c r="F6" s="10" t="n">
        <v>450</v>
      </c>
      <c r="G6" s="10" t="n">
        <v>550</v>
      </c>
      <c r="H6" s="17" t="n">
        <v>450</v>
      </c>
      <c r="I6" s="17" t="n">
        <v>550</v>
      </c>
      <c r="J6" s="30" t="n">
        <v>33.4252</v>
      </c>
      <c r="K6" s="10" t="inlineStr">
        <is>
          <t>153</t>
        </is>
      </c>
      <c r="L6" s="30" t="n">
        <v>21.6236</v>
      </c>
      <c r="M6" s="10" t="inlineStr">
        <is>
          <t>153</t>
        </is>
      </c>
      <c r="N6" s="30" t="n">
        <v>26.94</v>
      </c>
      <c r="O6" s="30" t="n">
        <v>74.04300000000001</v>
      </c>
      <c r="P6" s="10" t="inlineStr">
        <is>
          <t>153</t>
        </is>
      </c>
      <c r="Q6" s="30" t="n">
        <v>13.2232</v>
      </c>
      <c r="R6" s="10">
        <f>MAX(MAX(1.4/'Parametros'!$B$3,0.25*SQRT('Parametros'!$B$2)/'Parametros'!$B$3)*H6*U6,(0.85*'Parametros'!$B$2/'Parametros'!$B$3)*(1-SQRT(1-2*(J6*1000000/('Parametros'!$B$5*H6*U6^2))/(0.85*'Parametros'!$B$2)))*H6*U6)</f>
        <v>734.025</v>
      </c>
      <c r="S6" s="31" t="n">
        <v>4</v>
      </c>
      <c r="T6" s="32" t="n">
        <v>1</v>
      </c>
      <c r="U6" s="10">
        <f>IF(T6=1,I6-('Parametros'!$B$7+'Parametros'!$B$9+'Parametros'!$B$12/2),I6-(ROUNDUP(S6/2,0)*('Parametros'!$B$7+'Parametros'!$B$9+'Parametros'!$B$12/2)+ROUNDDOWN(S6/2,0)*('Parametros'!$B$7+'Parametros'!$B$9+'Parametros'!$B$12/2+'Parametros'!$B$12+'Parametros'!$B$10))/S6)</f>
        <v>489.35</v>
      </c>
      <c r="V6" s="10">
        <f>S6*'Parametros'!$B$8</f>
        <v>796</v>
      </c>
      <c r="W6" s="10">
        <f>'Parametros'!$B$5*V6*'Parametros'!$B$3*(U6-(V6*'Parametros'!$B$3/(0.85*'Parametros'!$B$2*H6))/2)/1000000</f>
        <v>142.543330094118</v>
      </c>
      <c r="X6" s="10" t="str">
        <f>IF(W6&gt;=J6,"CUMPLE","NO CUMPLE")</f>
        <v>CUMPLE</v>
      </c>
      <c r="Y6" s="10">
        <f>MAX(MAX(1.4/'Parametros'!$B$3,0.25*SQRT('Parametros'!$B$2)/'Parametros'!$B$3)*H6*AB6,(0.85*'Parametros'!$B$2/'Parametros'!$B$3)*(1-SQRT(1-2*(L6*1000000/('Parametros'!$B$5*H6*AB6^2))/(0.85*'Parametros'!$B$2)))*H6*AB6)</f>
        <v>734.025</v>
      </c>
      <c r="Z6" s="31" t="n">
        <v>4</v>
      </c>
      <c r="AA6" s="32" t="n">
        <v>1</v>
      </c>
      <c r="AB6" s="10">
        <f>IF(AA6=1,I6-('Parametros'!$B$7+'Parametros'!$B$9+'Parametros'!$B$12/2),I6-(ROUNDUP(Z6/2,0)*('Parametros'!$B$7+'Parametros'!$B$9+'Parametros'!$B$12/2)+ROUNDDOWN(Z6/2,0)*('Parametros'!$B$7+'Parametros'!$B$9+'Parametros'!$B$12/2+'Parametros'!$B$12+'Parametros'!$B$10))/Z6)</f>
        <v>489.35</v>
      </c>
      <c r="AC6" s="10">
        <f>Z6*'Parametros'!$B$8</f>
        <v>796</v>
      </c>
      <c r="AD6" s="10">
        <f>'Parametros'!$B$5*AC6*'Parametros'!$B$3*(AB6-(AC6*'Parametros'!$B$3/(0.85*'Parametros'!$B$2*H6))/2)/1000000</f>
        <v>142.543330094118</v>
      </c>
      <c r="AE6" s="10" t="str">
        <f>IF(AD6&gt;=L6,"CUMPLE","NO CUMPLE")</f>
        <v>CUMPLE</v>
      </c>
      <c r="AF6" s="10">
        <f>V6*1.25*'Parametros'!$B$3*(U6-(V6*1.25*'Parametros'!$B$3/(0.85*'Parametros'!$B$2*H6))/2)/1000000</f>
        <v>196.346217941176</v>
      </c>
      <c r="AG6" s="10">
        <f>AC6*1.25*'Parametros'!$B$3*(AB6-(AC6*1.25*'Parametros'!$B$3/(0.85*'Parametros'!$B$2*H6))/2)/1000000</f>
        <v>196.346217941176</v>
      </c>
      <c r="AH6" s="10">
        <f>N6+(AF6+AG6)/D6</f>
        <v>151.604265359477</v>
      </c>
      <c r="AI6" s="10">
        <f>MAX(O6,AH6)</f>
        <v>151.604265359477</v>
      </c>
      <c r="AJ6" s="10">
        <f>0.17*SQRT('Parametros'!$B$2)*H6*MIN(U6,AB6)/1000</f>
        <v>198.088855822627</v>
      </c>
      <c r="AK6" s="10">
        <f>MAX(AI6/'Parametros'!$B$6-AJ6,0)</f>
        <v>4.05016465667586</v>
      </c>
      <c r="AL6" s="10">
        <f>0.66*SQRT('Parametros'!$B$2)*H6*MIN(U6,AB6)/1000</f>
        <v>769.050852017258</v>
      </c>
      <c r="AM6" s="10" t="str">
        <f>IF(AK6&lt;=AL6,"CUMPLE","NO CUMPLE")</f>
        <v>CUMPLE</v>
      </c>
      <c r="AN6" s="17" t="inlineStr">
        <is>
          <t>Nº3 cerrado</t>
        </is>
      </c>
      <c r="AO6" s="31" t="n">
        <v>2</v>
      </c>
      <c r="AP6" s="10">
        <f>ROUNDDOWN(MIN(IF(BC6+BD6=0,1000000000,AO6*BB6/(BC6+BD6)),MIN(U6,AB6)/4,8*'Parametros'!$B$12,24*BA6,300,IF(AV6=0,1000000000,2*((H6-2*('Parametros'!$B$7+'Parametros'!$B$9/2))+(I6-2*('Parametros'!$B$7+'Parametros'!$B$9/2)))/8))/10,0)*10</f>
        <v>120</v>
      </c>
      <c r="AQ6" s="10">
        <f>ROUNDDOWN(MIN(IF(BC6+BD6=0,1000000000,AO6*BB6/(BC6+BD6)),IF(AK6&gt;0.33*SQRT('Parametros'!$B$2)*H6*MIN(U6,AB6)/1000,MIN(U6,AB6)/4,MIN(U6,AB6)/2),600,IF(AV6=0,1000000000,2*((H6-2*('Parametros'!$B$7+'Parametros'!$B$9/2))+(I6-2*('Parametros'!$B$7+'Parametros'!$B$9/2)))/8))/10,0)*10</f>
        <v>200</v>
      </c>
      <c r="AR6" s="10">
        <f>'Parametros'!$B$6*(AJ6+MAX(BE6-BD6,0)*'Parametros'!$B$4*MIN(U6,AB6)/1000)</f>
        <v>284.380748798746</v>
      </c>
      <c r="AS6" s="10" t="str">
        <f>IF(AND(ISERROR(SEARCH("referencia",AN6)),AM6="CUMPLE",AR6&gt;=AI6),"CUMPLE","NO CUMPLE")</f>
        <v>CUMPLE</v>
      </c>
      <c r="AT6" s="10">
        <f>'Parametros'!$B$6*0.083*SQRT('Parametros'!$B$2)*(H6*I6)^2/(2*(H6+I6))/1000000</f>
        <v>10.0887830333379</v>
      </c>
      <c r="AU6" s="10" t="str">
        <f>IF(Q6&lt;=AT6,"DESPRECIABLE","DISEÑAR")</f>
        <v>DISEÑAR</v>
      </c>
      <c r="AV6" s="10">
        <f>IF(Q6&lt;=AT6,0,Q6*1000000/('Parametros'!$B$6*2*0.85*(H6-2*('Parametros'!$B$7+'Parametros'!$B$9/2))*(I6-2*('Parametros'!$B$7+'Parametros'!$B$9/2))*'Parametros'!$B$4))</f>
        <v>0.151127282768116</v>
      </c>
      <c r="AW6" s="10">
        <f>AV6*2*((H6-2*('Parametros'!$B$7+'Parametros'!$B$9/2))+(I6-2*('Parametros'!$B$7+'Parametros'!$B$9/2)))*'Parametros'!$B$4/'Parametros'!$B$3</f>
        <v>246.216569085814</v>
      </c>
      <c r="AX6" s="31" t="n">
        <v>8</v>
      </c>
      <c r="AY6" s="10" t="str">
        <f>IF(AV6=0,"DESPRECIABLE",IF(AND(ISERROR(SEARCH("referencia",AN6)),BB6/AP6&gt;=AV6,BI6&gt;=AW6,BH6="CUMPLE"),"CUMPLE","NO CUMPLE"))</f>
        <v>CUMPLE</v>
      </c>
      <c r="AZ6" s="10" t="str">
        <f>IF(AND(X6="CUMPLE",AE6="CUMPLE",AS6="CUMPLE",OR(AY6="CUMPLE",AY6="DESPRECIABLE"),BH6="CUMPLE",BJ6="CUMPLE"),"CUMPLE","NO CUMPLE")</f>
        <v>CUMPLE</v>
      </c>
      <c r="BA6" s="32" t="n">
        <v>9.5</v>
      </c>
      <c r="BB6" s="32" t="n">
        <v>71</v>
      </c>
      <c r="BC6" s="10">
        <f>MAX(IF(AK6=0,0,AK6*1000/('Parametros'!$B$4*MIN(U6,AB6))),MAX(0.062*SQRT('Parametros'!$B$2)*H6/'Parametros'!$B$4,0.35*H6/'Parametros'!$B$4))</f>
        <v>0.375</v>
      </c>
      <c r="BD6" s="10">
        <f>2*AV6</f>
        <v>0.302254565536232</v>
      </c>
      <c r="BE6" s="10">
        <f>AO6*BB6/AP6</f>
        <v>1.18333333333333</v>
      </c>
      <c r="BF6" s="10">
        <f>SQRT((AI6*1000/(H6*MIN(U6,AB6)))^2+(Q6*1000000*2*((H6-2*('Parametros'!$B$7+'Parametros'!$B$9/2))+(I6-2*('Parametros'!$B$7+'Parametros'!$B$9/2)))/(1.7*((H6-2*('Parametros'!$B$7+'Parametros'!$B$9/2))*(I6-2*('Parametros'!$B$7+'Parametros'!$B$9/2)))^2))^2)</f>
        <v>0.83623680191249</v>
      </c>
      <c r="BG6" s="10">
        <f>'Parametros'!$B$6*(AJ6*1000/(H6*MIN(U6,AB6))+0.66*SQRT('Parametros'!$B$2))</f>
        <v>3.29396038227542</v>
      </c>
      <c r="BH6" s="10" t="str">
        <f>IF(BF6&lt;=BG6,"CUMPLE","NO CUMPLE")</f>
        <v>CUMPLE</v>
      </c>
      <c r="BI6" s="10">
        <f>AX6*'Parametros'!$B$8</f>
        <v>1592</v>
      </c>
      <c r="BJ6" s="10" t="str">
        <f>IF(BI6&gt;=AW6,"CUMPLE","NO CUMPLE")</f>
        <v>CUMPLE</v>
      </c>
    </row>
    <row r="7">
      <c r="A7" s="13" t="inlineStr">
        <is>
          <t>VC1</t>
        </is>
      </c>
      <c r="B7" s="13" t="inlineStr">
        <is>
          <t>154</t>
        </is>
      </c>
      <c r="C7" s="10" t="n">
        <v>1</v>
      </c>
      <c r="D7" s="10" t="n">
        <v>3.15</v>
      </c>
      <c r="E7" s="10" t="n">
        <v>3.15</v>
      </c>
      <c r="F7" s="10" t="n">
        <v>450</v>
      </c>
      <c r="G7" s="10" t="n">
        <v>550</v>
      </c>
      <c r="H7" s="17" t="n">
        <v>450</v>
      </c>
      <c r="I7" s="17" t="n">
        <v>550</v>
      </c>
      <c r="J7" s="30" t="n">
        <v>33.4292</v>
      </c>
      <c r="K7" s="10" t="inlineStr">
        <is>
          <t>154</t>
        </is>
      </c>
      <c r="L7" s="30" t="n">
        <v>21.6211</v>
      </c>
      <c r="M7" s="10" t="inlineStr">
        <is>
          <t>154</t>
        </is>
      </c>
      <c r="N7" s="30" t="n">
        <v>26.942</v>
      </c>
      <c r="O7" s="30" t="n">
        <v>74.045</v>
      </c>
      <c r="P7" s="10" t="inlineStr">
        <is>
          <t>154</t>
        </is>
      </c>
      <c r="Q7" s="30" t="n">
        <v>13.2234</v>
      </c>
      <c r="R7" s="10">
        <f>MAX(MAX(1.4/'Parametros'!$B$3,0.25*SQRT('Parametros'!$B$2)/'Parametros'!$B$3)*H7*U7,(0.85*'Parametros'!$B$2/'Parametros'!$B$3)*(1-SQRT(1-2*(J7*1000000/('Parametros'!$B$5*H7*U7^2))/(0.85*'Parametros'!$B$2)))*H7*U7)</f>
        <v>734.025</v>
      </c>
      <c r="S7" s="31" t="n">
        <v>4</v>
      </c>
      <c r="T7" s="32" t="n">
        <v>1</v>
      </c>
      <c r="U7" s="10">
        <f>IF(T7=1,I7-('Parametros'!$B$7+'Parametros'!$B$9+'Parametros'!$B$12/2),I7-(ROUNDUP(S7/2,0)*('Parametros'!$B$7+'Parametros'!$B$9+'Parametros'!$B$12/2)+ROUNDDOWN(S7/2,0)*('Parametros'!$B$7+'Parametros'!$B$9+'Parametros'!$B$12/2+'Parametros'!$B$12+'Parametros'!$B$10))/S7)</f>
        <v>489.35</v>
      </c>
      <c r="V7" s="10">
        <f>S7*'Parametros'!$B$8</f>
        <v>796</v>
      </c>
      <c r="W7" s="10">
        <f>'Parametros'!$B$5*V7*'Parametros'!$B$3*(U7-(V7*'Parametros'!$B$3/(0.85*'Parametros'!$B$2*H7))/2)/1000000</f>
        <v>142.543330094118</v>
      </c>
      <c r="X7" s="10" t="str">
        <f>IF(W7&gt;=J7,"CUMPLE","NO CUMPLE")</f>
        <v>CUMPLE</v>
      </c>
      <c r="Y7" s="10">
        <f>MAX(MAX(1.4/'Parametros'!$B$3,0.25*SQRT('Parametros'!$B$2)/'Parametros'!$B$3)*H7*AB7,(0.85*'Parametros'!$B$2/'Parametros'!$B$3)*(1-SQRT(1-2*(L7*1000000/('Parametros'!$B$5*H7*AB7^2))/(0.85*'Parametros'!$B$2)))*H7*AB7)</f>
        <v>734.025</v>
      </c>
      <c r="Z7" s="31" t="n">
        <v>4</v>
      </c>
      <c r="AA7" s="32" t="n">
        <v>1</v>
      </c>
      <c r="AB7" s="10">
        <f>IF(AA7=1,I7-('Parametros'!$B$7+'Parametros'!$B$9+'Parametros'!$B$12/2),I7-(ROUNDUP(Z7/2,0)*('Parametros'!$B$7+'Parametros'!$B$9+'Parametros'!$B$12/2)+ROUNDDOWN(Z7/2,0)*('Parametros'!$B$7+'Parametros'!$B$9+'Parametros'!$B$12/2+'Parametros'!$B$12+'Parametros'!$B$10))/Z7)</f>
        <v>489.35</v>
      </c>
      <c r="AC7" s="10">
        <f>Z7*'Parametros'!$B$8</f>
        <v>796</v>
      </c>
      <c r="AD7" s="10">
        <f>'Parametros'!$B$5*AC7*'Parametros'!$B$3*(AB7-(AC7*'Parametros'!$B$3/(0.85*'Parametros'!$B$2*H7))/2)/1000000</f>
        <v>142.543330094118</v>
      </c>
      <c r="AE7" s="10" t="str">
        <f>IF(AD7&gt;=L7,"CUMPLE","NO CUMPLE")</f>
        <v>CUMPLE</v>
      </c>
      <c r="AF7" s="10">
        <f>V7*1.25*'Parametros'!$B$3*(U7-(V7*1.25*'Parametros'!$B$3/(0.85*'Parametros'!$B$2*H7))/2)/1000000</f>
        <v>196.346217941176</v>
      </c>
      <c r="AG7" s="10">
        <f>AC7*1.25*'Parametros'!$B$3*(AB7-(AC7*1.25*'Parametros'!$B$3/(0.85*'Parametros'!$B$2*H7))/2)/1000000</f>
        <v>196.346217941176</v>
      </c>
      <c r="AH7" s="10">
        <f>N7+(AF7+AG7)/D7</f>
        <v>151.606265359477</v>
      </c>
      <c r="AI7" s="10">
        <f>MAX(O7,AH7)</f>
        <v>151.606265359477</v>
      </c>
      <c r="AJ7" s="10">
        <f>0.17*SQRT('Parametros'!$B$2)*H7*MIN(U7,AB7)/1000</f>
        <v>198.088855822627</v>
      </c>
      <c r="AK7" s="10">
        <f>MAX(AI7/'Parametros'!$B$6-AJ7,0)</f>
        <v>4.05283132334253</v>
      </c>
      <c r="AL7" s="10">
        <f>0.66*SQRT('Parametros'!$B$2)*H7*MIN(U7,AB7)/1000</f>
        <v>769.050852017258</v>
      </c>
      <c r="AM7" s="10" t="str">
        <f>IF(AK7&lt;=AL7,"CUMPLE","NO CUMPLE")</f>
        <v>CUMPLE</v>
      </c>
      <c r="AN7" s="17" t="inlineStr">
        <is>
          <t>Nº3 cerrado</t>
        </is>
      </c>
      <c r="AO7" s="31" t="n">
        <v>2</v>
      </c>
      <c r="AP7" s="10">
        <f>ROUNDDOWN(MIN(IF(BC7+BD7=0,1000000000,AO7*BB7/(BC7+BD7)),MIN(U7,AB7)/4,8*'Parametros'!$B$12,24*BA7,300,IF(AV7=0,1000000000,2*((H7-2*('Parametros'!$B$7+'Parametros'!$B$9/2))+(I7-2*('Parametros'!$B$7+'Parametros'!$B$9/2)))/8))/10,0)*10</f>
        <v>120</v>
      </c>
      <c r="AQ7" s="10">
        <f>ROUNDDOWN(MIN(IF(BC7+BD7=0,1000000000,AO7*BB7/(BC7+BD7)),IF(AK7&gt;0.33*SQRT('Parametros'!$B$2)*H7*MIN(U7,AB7)/1000,MIN(U7,AB7)/4,MIN(U7,AB7)/2),600,IF(AV7=0,1000000000,2*((H7-2*('Parametros'!$B$7+'Parametros'!$B$9/2))+(I7-2*('Parametros'!$B$7+'Parametros'!$B$9/2)))/8))/10,0)*10</f>
        <v>200</v>
      </c>
      <c r="AR7" s="10">
        <f>'Parametros'!$B$6*(AJ7+MAX(BE7-BD7,0)*'Parametros'!$B$4*MIN(U7,AB7)/1000)</f>
        <v>284.380044111446</v>
      </c>
      <c r="AS7" s="10" t="str">
        <f>IF(AND(ISERROR(SEARCH("referencia",AN7)),AM7="CUMPLE",AR7&gt;=AI7),"CUMPLE","NO CUMPLE")</f>
        <v>CUMPLE</v>
      </c>
      <c r="AT7" s="10">
        <f>'Parametros'!$B$6*0.083*SQRT('Parametros'!$B$2)*(H7*I7)^2/(2*(H7+I7))/1000000</f>
        <v>10.0887830333379</v>
      </c>
      <c r="AU7" s="10" t="str">
        <f>IF(Q7&lt;=AT7,"DESPRECIABLE","DISEÑAR")</f>
        <v>DISEÑAR</v>
      </c>
      <c r="AV7" s="10">
        <f>IF(Q7&lt;=AT7,0,Q7*1000000/('Parametros'!$B$6*2*0.85*(H7-2*('Parametros'!$B$7+'Parametros'!$B$9/2))*(I7-2*('Parametros'!$B$7+'Parametros'!$B$9/2))*'Parametros'!$B$4))</f>
        <v>0.151129568557982</v>
      </c>
      <c r="AW7" s="10">
        <f>AV7*2*((H7-2*('Parametros'!$B$7+'Parametros'!$B$9/2))+(I7-2*('Parametros'!$B$7+'Parametros'!$B$9/2)))*'Parametros'!$B$4/'Parametros'!$B$3</f>
        <v>246.220293094664</v>
      </c>
      <c r="AX7" s="31" t="n">
        <v>8</v>
      </c>
      <c r="AY7" s="10" t="str">
        <f>IF(AV7=0,"DESPRECIABLE",IF(AND(ISERROR(SEARCH("referencia",AN7)),BB7/AP7&gt;=AV7,BI7&gt;=AW7,BH7="CUMPLE"),"CUMPLE","NO CUMPLE"))</f>
        <v>CUMPLE</v>
      </c>
      <c r="AZ7" s="10" t="str">
        <f>IF(AND(X7="CUMPLE",AE7="CUMPLE",AS7="CUMPLE",OR(AY7="CUMPLE",AY7="DESPRECIABLE"),BH7="CUMPLE",BJ7="CUMPLE"),"CUMPLE","NO CUMPLE")</f>
        <v>CUMPLE</v>
      </c>
      <c r="BA7" s="32" t="n">
        <v>9.5</v>
      </c>
      <c r="BB7" s="32" t="n">
        <v>71</v>
      </c>
      <c r="BC7" s="10">
        <f>MAX(IF(AK7=0,0,AK7*1000/('Parametros'!$B$4*MIN(U7,AB7))),MAX(0.062*SQRT('Parametros'!$B$2)*H7/'Parametros'!$B$4,0.35*H7/'Parametros'!$B$4))</f>
        <v>0.375</v>
      </c>
      <c r="BD7" s="10">
        <f>2*AV7</f>
        <v>0.302259137115963</v>
      </c>
      <c r="BE7" s="10">
        <f>AO7*BB7/AP7</f>
        <v>1.18333333333333</v>
      </c>
      <c r="BF7" s="10">
        <f>SQRT((AI7*1000/(H7*MIN(U7,AB7)))^2+(Q7*1000000*2*((H7-2*('Parametros'!$B$7+'Parametros'!$B$9/2))+(I7-2*('Parametros'!$B$7+'Parametros'!$B$9/2)))/(1.7*((H7-2*('Parametros'!$B$7+'Parametros'!$B$9/2))*(I7-2*('Parametros'!$B$7+'Parametros'!$B$9/2)))^2))^2)</f>
        <v>0.836248354489538</v>
      </c>
      <c r="BG7" s="10">
        <f>'Parametros'!$B$6*(AJ7*1000/(H7*MIN(U7,AB7))+0.66*SQRT('Parametros'!$B$2))</f>
        <v>3.29396038227542</v>
      </c>
      <c r="BH7" s="10" t="str">
        <f>IF(BF7&lt;=BG7,"CUMPLE","NO CUMPLE")</f>
        <v>CUMPLE</v>
      </c>
      <c r="BI7" s="10">
        <f>AX7*'Parametros'!$B$8</f>
        <v>1592</v>
      </c>
      <c r="BJ7" s="10" t="str">
        <f>IF(BI7&gt;=AW7,"CUMPLE","NO CUMPLE")</f>
        <v>CUMPLE</v>
      </c>
    </row>
    <row r="8">
      <c r="A8" s="13" t="inlineStr">
        <is>
          <t>VC1</t>
        </is>
      </c>
      <c r="B8" s="13" t="inlineStr">
        <is>
          <t>158</t>
        </is>
      </c>
      <c r="C8" s="10" t="n">
        <v>1</v>
      </c>
      <c r="D8" s="10" t="n">
        <v>3.15</v>
      </c>
      <c r="E8" s="10" t="n">
        <v>3.15</v>
      </c>
      <c r="F8" s="10" t="n">
        <v>450</v>
      </c>
      <c r="G8" s="10" t="n">
        <v>550</v>
      </c>
      <c r="H8" s="17" t="n">
        <v>450</v>
      </c>
      <c r="I8" s="17" t="n">
        <v>550</v>
      </c>
      <c r="J8" s="30" t="n">
        <v>33.2051</v>
      </c>
      <c r="K8" s="10" t="inlineStr">
        <is>
          <t>158</t>
        </is>
      </c>
      <c r="L8" s="30" t="n">
        <v>20.6356</v>
      </c>
      <c r="M8" s="10" t="inlineStr">
        <is>
          <t>158</t>
        </is>
      </c>
      <c r="N8" s="30" t="n">
        <v>27.305</v>
      </c>
      <c r="O8" s="30" t="n">
        <v>72.901</v>
      </c>
      <c r="P8" s="10" t="inlineStr">
        <is>
          <t>158</t>
        </is>
      </c>
      <c r="Q8" s="30" t="n">
        <v>12.0746</v>
      </c>
      <c r="R8" s="10">
        <f>MAX(MAX(1.4/'Parametros'!$B$3,0.25*SQRT('Parametros'!$B$2)/'Parametros'!$B$3)*H8*U8,(0.85*'Parametros'!$B$2/'Parametros'!$B$3)*(1-SQRT(1-2*(J8*1000000/('Parametros'!$B$5*H8*U8^2))/(0.85*'Parametros'!$B$2)))*H8*U8)</f>
        <v>734.025</v>
      </c>
      <c r="S8" s="31" t="n">
        <v>4</v>
      </c>
      <c r="T8" s="32" t="n">
        <v>1</v>
      </c>
      <c r="U8" s="10">
        <f>IF(T8=1,I8-('Parametros'!$B$7+'Parametros'!$B$9+'Parametros'!$B$12/2),I8-(ROUNDUP(S8/2,0)*('Parametros'!$B$7+'Parametros'!$B$9+'Parametros'!$B$12/2)+ROUNDDOWN(S8/2,0)*('Parametros'!$B$7+'Parametros'!$B$9+'Parametros'!$B$12/2+'Parametros'!$B$12+'Parametros'!$B$10))/S8)</f>
        <v>489.35</v>
      </c>
      <c r="V8" s="10">
        <f>S8*'Parametros'!$B$8</f>
        <v>796</v>
      </c>
      <c r="W8" s="10">
        <f>'Parametros'!$B$5*V8*'Parametros'!$B$3*(U8-(V8*'Parametros'!$B$3/(0.85*'Parametros'!$B$2*H8))/2)/1000000</f>
        <v>142.543330094118</v>
      </c>
      <c r="X8" s="10" t="str">
        <f>IF(W8&gt;=J8,"CUMPLE","NO CUMPLE")</f>
        <v>CUMPLE</v>
      </c>
      <c r="Y8" s="10">
        <f>MAX(MAX(1.4/'Parametros'!$B$3,0.25*SQRT('Parametros'!$B$2)/'Parametros'!$B$3)*H8*AB8,(0.85*'Parametros'!$B$2/'Parametros'!$B$3)*(1-SQRT(1-2*(L8*1000000/('Parametros'!$B$5*H8*AB8^2))/(0.85*'Parametros'!$B$2)))*H8*AB8)</f>
        <v>734.025</v>
      </c>
      <c r="Z8" s="31" t="n">
        <v>4</v>
      </c>
      <c r="AA8" s="32" t="n">
        <v>1</v>
      </c>
      <c r="AB8" s="10">
        <f>IF(AA8=1,I8-('Parametros'!$B$7+'Parametros'!$B$9+'Parametros'!$B$12/2),I8-(ROUNDUP(Z8/2,0)*('Parametros'!$B$7+'Parametros'!$B$9+'Parametros'!$B$12/2)+ROUNDDOWN(Z8/2,0)*('Parametros'!$B$7+'Parametros'!$B$9+'Parametros'!$B$12/2+'Parametros'!$B$12+'Parametros'!$B$10))/Z8)</f>
        <v>489.35</v>
      </c>
      <c r="AC8" s="10">
        <f>Z8*'Parametros'!$B$8</f>
        <v>796</v>
      </c>
      <c r="AD8" s="10">
        <f>'Parametros'!$B$5*AC8*'Parametros'!$B$3*(AB8-(AC8*'Parametros'!$B$3/(0.85*'Parametros'!$B$2*H8))/2)/1000000</f>
        <v>142.543330094118</v>
      </c>
      <c r="AE8" s="10" t="str">
        <f>IF(AD8&gt;=L8,"CUMPLE","NO CUMPLE")</f>
        <v>CUMPLE</v>
      </c>
      <c r="AF8" s="10">
        <f>V8*1.25*'Parametros'!$B$3*(U8-(V8*1.25*'Parametros'!$B$3/(0.85*'Parametros'!$B$2*H8))/2)/1000000</f>
        <v>196.346217941176</v>
      </c>
      <c r="AG8" s="10">
        <f>AC8*1.25*'Parametros'!$B$3*(AB8-(AC8*1.25*'Parametros'!$B$3/(0.85*'Parametros'!$B$2*H8))/2)/1000000</f>
        <v>196.346217941176</v>
      </c>
      <c r="AH8" s="10">
        <f>N8+(AF8+AG8)/D8</f>
        <v>151.969265359477</v>
      </c>
      <c r="AI8" s="10">
        <f>MAX(O8,AH8)</f>
        <v>151.969265359477</v>
      </c>
      <c r="AJ8" s="10">
        <f>0.17*SQRT('Parametros'!$B$2)*H8*MIN(U8,AB8)/1000</f>
        <v>198.088855822627</v>
      </c>
      <c r="AK8" s="10">
        <f>MAX(AI8/'Parametros'!$B$6-AJ8,0)</f>
        <v>4.53683132334254</v>
      </c>
      <c r="AL8" s="10">
        <f>0.66*SQRT('Parametros'!$B$2)*H8*MIN(U8,AB8)/1000</f>
        <v>769.050852017258</v>
      </c>
      <c r="AM8" s="10" t="str">
        <f>IF(AK8&lt;=AL8,"CUMPLE","NO CUMPLE")</f>
        <v>CUMPLE</v>
      </c>
      <c r="AN8" s="17" t="inlineStr">
        <is>
          <t>Nº3 cerrado</t>
        </is>
      </c>
      <c r="AO8" s="31" t="n">
        <v>2</v>
      </c>
      <c r="AP8" s="10">
        <f>ROUNDDOWN(MIN(IF(BC8+BD8=0,1000000000,AO8*BB8/(BC8+BD8)),MIN(U8,AB8)/4,8*'Parametros'!$B$12,24*BA8,300,IF(AV8=0,1000000000,2*((H8-2*('Parametros'!$B$7+'Parametros'!$B$9/2))+(I8-2*('Parametros'!$B$7+'Parametros'!$B$9/2)))/8))/10,0)*10</f>
        <v>120</v>
      </c>
      <c r="AQ8" s="10">
        <f>ROUNDDOWN(MIN(IF(BC8+BD8=0,1000000000,AO8*BB8/(BC8+BD8)),IF(AK8&gt;0.33*SQRT('Parametros'!$B$2)*H8*MIN(U8,AB8)/1000,MIN(U8,AB8)/4,MIN(U8,AB8)/2),600,IF(AV8=0,1000000000,2*((H8-2*('Parametros'!$B$7+'Parametros'!$B$9/2))+(I8-2*('Parametros'!$B$7+'Parametros'!$B$9/2)))/8))/10,0)*10</f>
        <v>200</v>
      </c>
      <c r="AR8" s="10">
        <f>'Parametros'!$B$6*(AJ8+MAX(BE8-BD8,0)*'Parametros'!$B$4*MIN(U8,AB8)/1000)</f>
        <v>288.427767966245</v>
      </c>
      <c r="AS8" s="10" t="str">
        <f>IF(AND(ISERROR(SEARCH("referencia",AN8)),AM8="CUMPLE",AR8&gt;=AI8),"CUMPLE","NO CUMPLE")</f>
        <v>CUMPLE</v>
      </c>
      <c r="AT8" s="10">
        <f>'Parametros'!$B$6*0.083*SQRT('Parametros'!$B$2)*(H8*I8)^2/(2*(H8+I8))/1000000</f>
        <v>10.0887830333379</v>
      </c>
      <c r="AU8" s="10" t="str">
        <f>IF(Q8&lt;=AT8,"DESPRECIABLE","DISEÑAR")</f>
        <v>DISEÑAR</v>
      </c>
      <c r="AV8" s="10">
        <f>IF(Q8&lt;=AT8,0,Q8*1000000/('Parametros'!$B$6*2*0.85*(H8-2*('Parametros'!$B$7+'Parametros'!$B$9/2))*(I8-2*('Parametros'!$B$7+'Parametros'!$B$9/2))*'Parametros'!$B$4))</f>
        <v>0.13799999156875</v>
      </c>
      <c r="AW8" s="10">
        <f>AV8*2*((H8-2*('Parametros'!$B$7+'Parametros'!$B$9/2))+(I8-2*('Parametros'!$B$7+'Parametros'!$B$9/2)))*'Parametros'!$B$4/'Parametros'!$B$3</f>
        <v>224.829586263807</v>
      </c>
      <c r="AX8" s="31" t="n">
        <v>8</v>
      </c>
      <c r="AY8" s="10" t="str">
        <f>IF(AV8=0,"DESPRECIABLE",IF(AND(ISERROR(SEARCH("referencia",AN8)),BB8/AP8&gt;=AV8,BI8&gt;=AW8,BH8="CUMPLE"),"CUMPLE","NO CUMPLE"))</f>
        <v>CUMPLE</v>
      </c>
      <c r="AZ8" s="10" t="str">
        <f>IF(AND(X8="CUMPLE",AE8="CUMPLE",AS8="CUMPLE",OR(AY8="CUMPLE",AY8="DESPRECIABLE"),BH8="CUMPLE",BJ8="CUMPLE"),"CUMPLE","NO CUMPLE")</f>
        <v>CUMPLE</v>
      </c>
      <c r="BA8" s="32" t="n">
        <v>9.5</v>
      </c>
      <c r="BB8" s="32" t="n">
        <v>71</v>
      </c>
      <c r="BC8" s="10">
        <f>MAX(IF(AK8=0,0,AK8*1000/('Parametros'!$B$4*MIN(U8,AB8))),MAX(0.062*SQRT('Parametros'!$B$2)*H8/'Parametros'!$B$4,0.35*H8/'Parametros'!$B$4))</f>
        <v>0.375</v>
      </c>
      <c r="BD8" s="10">
        <f>2*AV8</f>
        <v>0.2759999831375</v>
      </c>
      <c r="BE8" s="10">
        <f>AO8*BB8/AP8</f>
        <v>1.18333333333333</v>
      </c>
      <c r="BF8" s="10">
        <f>SQRT((AI8*1000/(H8*MIN(U8,AB8)))^2+(Q8*1000000*2*((H8-2*('Parametros'!$B$7+'Parametros'!$B$9/2))+(I8-2*('Parametros'!$B$7+'Parametros'!$B$9/2)))/(1.7*((H8-2*('Parametros'!$B$7+'Parametros'!$B$9/2))*(I8-2*('Parametros'!$B$7+'Parametros'!$B$9/2)))^2))^2)</f>
        <v>0.81494444703441</v>
      </c>
      <c r="BG8" s="10">
        <f>'Parametros'!$B$6*(AJ8*1000/(H8*MIN(U8,AB8))+0.66*SQRT('Parametros'!$B$2))</f>
        <v>3.29396038227542</v>
      </c>
      <c r="BH8" s="10" t="str">
        <f>IF(BF8&lt;=BG8,"CUMPLE","NO CUMPLE")</f>
        <v>CUMPLE</v>
      </c>
      <c r="BI8" s="10">
        <f>AX8*'Parametros'!$B$8</f>
        <v>1592</v>
      </c>
      <c r="BJ8" s="10" t="str">
        <f>IF(BI8&gt;=AW8,"CUMPLE","NO CUMPLE")</f>
        <v>CUMPLE</v>
      </c>
    </row>
    <row r="9">
      <c r="A9" s="13" t="inlineStr">
        <is>
          <t>VC1</t>
        </is>
      </c>
      <c r="B9" s="13" t="inlineStr">
        <is>
          <t>159</t>
        </is>
      </c>
      <c r="C9" s="10" t="n">
        <v>1</v>
      </c>
      <c r="D9" s="10" t="n">
        <v>3.15</v>
      </c>
      <c r="E9" s="10" t="n">
        <v>3.15</v>
      </c>
      <c r="F9" s="10" t="n">
        <v>450</v>
      </c>
      <c r="G9" s="10" t="n">
        <v>550</v>
      </c>
      <c r="H9" s="17" t="n">
        <v>450</v>
      </c>
      <c r="I9" s="17" t="n">
        <v>550</v>
      </c>
      <c r="J9" s="30" t="n">
        <v>33.2098</v>
      </c>
      <c r="K9" s="10" t="inlineStr">
        <is>
          <t>159</t>
        </is>
      </c>
      <c r="L9" s="30" t="n">
        <v>20.6328</v>
      </c>
      <c r="M9" s="10" t="inlineStr">
        <is>
          <t>159</t>
        </is>
      </c>
      <c r="N9" s="30" t="n">
        <v>27.307</v>
      </c>
      <c r="O9" s="30" t="n">
        <v>72.90300000000001</v>
      </c>
      <c r="P9" s="10" t="inlineStr">
        <is>
          <t>159</t>
        </is>
      </c>
      <c r="Q9" s="30" t="n">
        <v>12.0748</v>
      </c>
      <c r="R9" s="10">
        <f>MAX(MAX(1.4/'Parametros'!$B$3,0.25*SQRT('Parametros'!$B$2)/'Parametros'!$B$3)*H9*U9,(0.85*'Parametros'!$B$2/'Parametros'!$B$3)*(1-SQRT(1-2*(J9*1000000/('Parametros'!$B$5*H9*U9^2))/(0.85*'Parametros'!$B$2)))*H9*U9)</f>
        <v>734.025</v>
      </c>
      <c r="S9" s="31" t="n">
        <v>4</v>
      </c>
      <c r="T9" s="32" t="n">
        <v>1</v>
      </c>
      <c r="U9" s="10">
        <f>IF(T9=1,I9-('Parametros'!$B$7+'Parametros'!$B$9+'Parametros'!$B$12/2),I9-(ROUNDUP(S9/2,0)*('Parametros'!$B$7+'Parametros'!$B$9+'Parametros'!$B$12/2)+ROUNDDOWN(S9/2,0)*('Parametros'!$B$7+'Parametros'!$B$9+'Parametros'!$B$12/2+'Parametros'!$B$12+'Parametros'!$B$10))/S9)</f>
        <v>489.35</v>
      </c>
      <c r="V9" s="10">
        <f>S9*'Parametros'!$B$8</f>
        <v>796</v>
      </c>
      <c r="W9" s="10">
        <f>'Parametros'!$B$5*V9*'Parametros'!$B$3*(U9-(V9*'Parametros'!$B$3/(0.85*'Parametros'!$B$2*H9))/2)/1000000</f>
        <v>142.543330094118</v>
      </c>
      <c r="X9" s="10" t="str">
        <f>IF(W9&gt;=J9,"CUMPLE","NO CUMPLE")</f>
        <v>CUMPLE</v>
      </c>
      <c r="Y9" s="10">
        <f>MAX(MAX(1.4/'Parametros'!$B$3,0.25*SQRT('Parametros'!$B$2)/'Parametros'!$B$3)*H9*AB9,(0.85*'Parametros'!$B$2/'Parametros'!$B$3)*(1-SQRT(1-2*(L9*1000000/('Parametros'!$B$5*H9*AB9^2))/(0.85*'Parametros'!$B$2)))*H9*AB9)</f>
        <v>734.025</v>
      </c>
      <c r="Z9" s="31" t="n">
        <v>4</v>
      </c>
      <c r="AA9" s="32" t="n">
        <v>1</v>
      </c>
      <c r="AB9" s="10">
        <f>IF(AA9=1,I9-('Parametros'!$B$7+'Parametros'!$B$9+'Parametros'!$B$12/2),I9-(ROUNDUP(Z9/2,0)*('Parametros'!$B$7+'Parametros'!$B$9+'Parametros'!$B$12/2)+ROUNDDOWN(Z9/2,0)*('Parametros'!$B$7+'Parametros'!$B$9+'Parametros'!$B$12/2+'Parametros'!$B$12+'Parametros'!$B$10))/Z9)</f>
        <v>489.35</v>
      </c>
      <c r="AC9" s="10">
        <f>Z9*'Parametros'!$B$8</f>
        <v>796</v>
      </c>
      <c r="AD9" s="10">
        <f>'Parametros'!$B$5*AC9*'Parametros'!$B$3*(AB9-(AC9*'Parametros'!$B$3/(0.85*'Parametros'!$B$2*H9))/2)/1000000</f>
        <v>142.543330094118</v>
      </c>
      <c r="AE9" s="10" t="str">
        <f>IF(AD9&gt;=L9,"CUMPLE","NO CUMPLE")</f>
        <v>CUMPLE</v>
      </c>
      <c r="AF9" s="10">
        <f>V9*1.25*'Parametros'!$B$3*(U9-(V9*1.25*'Parametros'!$B$3/(0.85*'Parametros'!$B$2*H9))/2)/1000000</f>
        <v>196.346217941176</v>
      </c>
      <c r="AG9" s="10">
        <f>AC9*1.25*'Parametros'!$B$3*(AB9-(AC9*1.25*'Parametros'!$B$3/(0.85*'Parametros'!$B$2*H9))/2)/1000000</f>
        <v>196.346217941176</v>
      </c>
      <c r="AH9" s="10">
        <f>N9+(AF9+AG9)/D9</f>
        <v>151.971265359477</v>
      </c>
      <c r="AI9" s="10">
        <f>MAX(O9,AH9)</f>
        <v>151.971265359477</v>
      </c>
      <c r="AJ9" s="10">
        <f>0.17*SQRT('Parametros'!$B$2)*H9*MIN(U9,AB9)/1000</f>
        <v>198.088855822627</v>
      </c>
      <c r="AK9" s="10">
        <f>MAX(AI9/'Parametros'!$B$6-AJ9,0)</f>
        <v>4.53949799000918</v>
      </c>
      <c r="AL9" s="10">
        <f>0.66*SQRT('Parametros'!$B$2)*H9*MIN(U9,AB9)/1000</f>
        <v>769.050852017258</v>
      </c>
      <c r="AM9" s="10" t="str">
        <f>IF(AK9&lt;=AL9,"CUMPLE","NO CUMPLE")</f>
        <v>CUMPLE</v>
      </c>
      <c r="AN9" s="17" t="inlineStr">
        <is>
          <t>Nº3 cerrado</t>
        </is>
      </c>
      <c r="AO9" s="31" t="n">
        <v>2</v>
      </c>
      <c r="AP9" s="10">
        <f>ROUNDDOWN(MIN(IF(BC9+BD9=0,1000000000,AO9*BB9/(BC9+BD9)),MIN(U9,AB9)/4,8*'Parametros'!$B$12,24*BA9,300,IF(AV9=0,1000000000,2*((H9-2*('Parametros'!$B$7+'Parametros'!$B$9/2))+(I9-2*('Parametros'!$B$7+'Parametros'!$B$9/2)))/8))/10,0)*10</f>
        <v>120</v>
      </c>
      <c r="AQ9" s="10">
        <f>ROUNDDOWN(MIN(IF(BC9+BD9=0,1000000000,AO9*BB9/(BC9+BD9)),IF(AK9&gt;0.33*SQRT('Parametros'!$B$2)*H9*MIN(U9,AB9)/1000,MIN(U9,AB9)/4,MIN(U9,AB9)/2),600,IF(AV9=0,1000000000,2*((H9-2*('Parametros'!$B$7+'Parametros'!$B$9/2))+(I9-2*('Parametros'!$B$7+'Parametros'!$B$9/2)))/8))/10,0)*10</f>
        <v>200</v>
      </c>
      <c r="AR9" s="10">
        <f>'Parametros'!$B$6*(AJ9+MAX(BE9-BD9,0)*'Parametros'!$B$4*MIN(U9,AB9)/1000)</f>
        <v>288.427063278944</v>
      </c>
      <c r="AS9" s="10" t="str">
        <f>IF(AND(ISERROR(SEARCH("referencia",AN9)),AM9="CUMPLE",AR9&gt;=AI9),"CUMPLE","NO CUMPLE")</f>
        <v>CUMPLE</v>
      </c>
      <c r="AT9" s="10">
        <f>'Parametros'!$B$6*0.083*SQRT('Parametros'!$B$2)*(H9*I9)^2/(2*(H9+I9))/1000000</f>
        <v>10.0887830333379</v>
      </c>
      <c r="AU9" s="10" t="str">
        <f>IF(Q9&lt;=AT9,"DESPRECIABLE","DISEÑAR")</f>
        <v>DISEÑAR</v>
      </c>
      <c r="AV9" s="10">
        <f>IF(Q9&lt;=AT9,0,Q9*1000000/('Parametros'!$B$6*2*0.85*(H9-2*('Parametros'!$B$7+'Parametros'!$B$9/2))*(I9-2*('Parametros'!$B$7+'Parametros'!$B$9/2))*'Parametros'!$B$4))</f>
        <v>0.138002277358616</v>
      </c>
      <c r="AW9" s="10">
        <f>AV9*2*((H9-2*('Parametros'!$B$7+'Parametros'!$B$9/2))+(I9-2*('Parametros'!$B$7+'Parametros'!$B$9/2)))*'Parametros'!$B$4/'Parametros'!$B$3</f>
        <v>224.833310272657</v>
      </c>
      <c r="AX9" s="31" t="n">
        <v>8</v>
      </c>
      <c r="AY9" s="10" t="str">
        <f>IF(AV9=0,"DESPRECIABLE",IF(AND(ISERROR(SEARCH("referencia",AN9)),BB9/AP9&gt;=AV9,BI9&gt;=AW9,BH9="CUMPLE"),"CUMPLE","NO CUMPLE"))</f>
        <v>CUMPLE</v>
      </c>
      <c r="AZ9" s="10" t="str">
        <f>IF(AND(X9="CUMPLE",AE9="CUMPLE",AS9="CUMPLE",OR(AY9="CUMPLE",AY9="DESPRECIABLE"),BH9="CUMPLE",BJ9="CUMPLE"),"CUMPLE","NO CUMPLE")</f>
        <v>CUMPLE</v>
      </c>
      <c r="BA9" s="32" t="n">
        <v>9.5</v>
      </c>
      <c r="BB9" s="32" t="n">
        <v>71</v>
      </c>
      <c r="BC9" s="10">
        <f>MAX(IF(AK9=0,0,AK9*1000/('Parametros'!$B$4*MIN(U9,AB9))),MAX(0.062*SQRT('Parametros'!$B$2)*H9/'Parametros'!$B$4,0.35*H9/'Parametros'!$B$4))</f>
        <v>0.375</v>
      </c>
      <c r="BD9" s="10">
        <f>2*AV9</f>
        <v>0.276004554717231</v>
      </c>
      <c r="BE9" s="10">
        <f>AO9*BB9/AP9</f>
        <v>1.18333333333333</v>
      </c>
      <c r="BF9" s="10">
        <f>SQRT((AI9*1000/(H9*MIN(U9,AB9)))^2+(Q9*1000000*2*((H9-2*('Parametros'!$B$7+'Parametros'!$B$9/2))+(I9-2*('Parametros'!$B$7+'Parametros'!$B$9/2)))/(1.7*((H9-2*('Parametros'!$B$7+'Parametros'!$B$9/2))*(I9-2*('Parametros'!$B$7+'Parametros'!$B$9/2)))^2))^2)</f>
        <v>0.814955956690567</v>
      </c>
      <c r="BG9" s="10">
        <f>'Parametros'!$B$6*(AJ9*1000/(H9*MIN(U9,AB9))+0.66*SQRT('Parametros'!$B$2))</f>
        <v>3.29396038227542</v>
      </c>
      <c r="BH9" s="10" t="str">
        <f>IF(BF9&lt;=BG9,"CUMPLE","NO CUMPLE")</f>
        <v>CUMPLE</v>
      </c>
      <c r="BI9" s="10">
        <f>AX9*'Parametros'!$B$8</f>
        <v>1592</v>
      </c>
      <c r="BJ9" s="10" t="str">
        <f>IF(BI9&gt;=AW9,"CUMPLE","NO CUMPLE")</f>
        <v>CUMPLE</v>
      </c>
    </row>
    <row r="10">
      <c r="A10" s="13" t="inlineStr">
        <is>
          <t>VC1</t>
        </is>
      </c>
      <c r="B10" s="13" t="inlineStr">
        <is>
          <t>163</t>
        </is>
      </c>
      <c r="C10" s="10" t="n">
        <v>1</v>
      </c>
      <c r="D10" s="10" t="n">
        <v>3.15</v>
      </c>
      <c r="E10" s="10" t="n">
        <v>3.15</v>
      </c>
      <c r="F10" s="10" t="n">
        <v>450</v>
      </c>
      <c r="G10" s="10" t="n">
        <v>550</v>
      </c>
      <c r="H10" s="17" t="n">
        <v>450</v>
      </c>
      <c r="I10" s="17" t="n">
        <v>550</v>
      </c>
      <c r="J10" s="30" t="n">
        <v>27.9522</v>
      </c>
      <c r="K10" s="10" t="inlineStr">
        <is>
          <t>163</t>
        </is>
      </c>
      <c r="L10" s="30" t="n">
        <v>18.2914</v>
      </c>
      <c r="M10" s="10" t="inlineStr">
        <is>
          <t>163</t>
        </is>
      </c>
      <c r="N10" s="30" t="n">
        <v>25.453</v>
      </c>
      <c r="O10" s="30" t="n">
        <v>61.154</v>
      </c>
      <c r="P10" s="10" t="inlineStr">
        <is>
          <t>163</t>
        </is>
      </c>
      <c r="Q10" s="30" t="n">
        <v>9.923</v>
      </c>
      <c r="R10" s="10">
        <f>MAX(MAX(1.4/'Parametros'!$B$3,0.25*SQRT('Parametros'!$B$2)/'Parametros'!$B$3)*H10*U10,(0.85*'Parametros'!$B$2/'Parametros'!$B$3)*(1-SQRT(1-2*(J10*1000000/('Parametros'!$B$5*H10*U10^2))/(0.85*'Parametros'!$B$2)))*H10*U10)</f>
        <v>734.025</v>
      </c>
      <c r="S10" s="31" t="n">
        <v>4</v>
      </c>
      <c r="T10" s="32" t="n">
        <v>1</v>
      </c>
      <c r="U10" s="10">
        <f>IF(T10=1,I10-('Parametros'!$B$7+'Parametros'!$B$9+'Parametros'!$B$12/2),I10-(ROUNDUP(S10/2,0)*('Parametros'!$B$7+'Parametros'!$B$9+'Parametros'!$B$12/2)+ROUNDDOWN(S10/2,0)*('Parametros'!$B$7+'Parametros'!$B$9+'Parametros'!$B$12/2+'Parametros'!$B$12+'Parametros'!$B$10))/S10)</f>
        <v>489.35</v>
      </c>
      <c r="V10" s="10">
        <f>S10*'Parametros'!$B$8</f>
        <v>796</v>
      </c>
      <c r="W10" s="10">
        <f>'Parametros'!$B$5*V10*'Parametros'!$B$3*(U10-(V10*'Parametros'!$B$3/(0.85*'Parametros'!$B$2*H10))/2)/1000000</f>
        <v>142.543330094118</v>
      </c>
      <c r="X10" s="10" t="str">
        <f>IF(W10&gt;=J10,"CUMPLE","NO CUMPLE")</f>
        <v>CUMPLE</v>
      </c>
      <c r="Y10" s="10">
        <f>MAX(MAX(1.4/'Parametros'!$B$3,0.25*SQRT('Parametros'!$B$2)/'Parametros'!$B$3)*H10*AB10,(0.85*'Parametros'!$B$2/'Parametros'!$B$3)*(1-SQRT(1-2*(L10*1000000/('Parametros'!$B$5*H10*AB10^2))/(0.85*'Parametros'!$B$2)))*H10*AB10)</f>
        <v>734.025</v>
      </c>
      <c r="Z10" s="31" t="n">
        <v>4</v>
      </c>
      <c r="AA10" s="32" t="n">
        <v>1</v>
      </c>
      <c r="AB10" s="10">
        <f>IF(AA10=1,I10-('Parametros'!$B$7+'Parametros'!$B$9+'Parametros'!$B$12/2),I10-(ROUNDUP(Z10/2,0)*('Parametros'!$B$7+'Parametros'!$B$9+'Parametros'!$B$12/2)+ROUNDDOWN(Z10/2,0)*('Parametros'!$B$7+'Parametros'!$B$9+'Parametros'!$B$12/2+'Parametros'!$B$12+'Parametros'!$B$10))/Z10)</f>
        <v>489.35</v>
      </c>
      <c r="AC10" s="10">
        <f>Z10*'Parametros'!$B$8</f>
        <v>796</v>
      </c>
      <c r="AD10" s="10">
        <f>'Parametros'!$B$5*AC10*'Parametros'!$B$3*(AB10-(AC10*'Parametros'!$B$3/(0.85*'Parametros'!$B$2*H10))/2)/1000000</f>
        <v>142.543330094118</v>
      </c>
      <c r="AE10" s="10" t="str">
        <f>IF(AD10&gt;=L10,"CUMPLE","NO CUMPLE")</f>
        <v>CUMPLE</v>
      </c>
      <c r="AF10" s="10">
        <f>V10*1.25*'Parametros'!$B$3*(U10-(V10*1.25*'Parametros'!$B$3/(0.85*'Parametros'!$B$2*H10))/2)/1000000</f>
        <v>196.346217941176</v>
      </c>
      <c r="AG10" s="10">
        <f>AC10*1.25*'Parametros'!$B$3*(AB10-(AC10*1.25*'Parametros'!$B$3/(0.85*'Parametros'!$B$2*H10))/2)/1000000</f>
        <v>196.346217941176</v>
      </c>
      <c r="AH10" s="10">
        <f>N10+(AF10+AG10)/D10</f>
        <v>150.117265359477</v>
      </c>
      <c r="AI10" s="10">
        <f>MAX(O10,AH10)</f>
        <v>150.117265359477</v>
      </c>
      <c r="AJ10" s="10">
        <f>0.17*SQRT('Parametros'!$B$2)*H10*MIN(U10,AB10)/1000</f>
        <v>198.088855822627</v>
      </c>
      <c r="AK10" s="10">
        <f>MAX(AI10/'Parametros'!$B$6-AJ10,0)</f>
        <v>2.0674979900092</v>
      </c>
      <c r="AL10" s="10">
        <f>0.66*SQRT('Parametros'!$B$2)*H10*MIN(U10,AB10)/1000</f>
        <v>769.050852017258</v>
      </c>
      <c r="AM10" s="10" t="str">
        <f>IF(AK10&lt;=AL10,"CUMPLE","NO CUMPLE")</f>
        <v>CUMPLE</v>
      </c>
      <c r="AN10" s="17" t="inlineStr">
        <is>
          <t>Nº3 cerrado</t>
        </is>
      </c>
      <c r="AO10" s="31" t="n">
        <v>2</v>
      </c>
      <c r="AP10" s="10">
        <f>ROUNDDOWN(MIN(IF(BC10+BD10=0,1000000000,AO10*BB10/(BC10+BD10)),MIN(U10,AB10)/4,8*'Parametros'!$B$12,24*BA10,300,IF(AV10=0,1000000000,2*((H10-2*('Parametros'!$B$7+'Parametros'!$B$9/2))+(I10-2*('Parametros'!$B$7+'Parametros'!$B$9/2)))/8))/10,0)*10</f>
        <v>120</v>
      </c>
      <c r="AQ10" s="10">
        <f>ROUNDDOWN(MIN(IF(BC10+BD10=0,1000000000,AO10*BB10/(BC10+BD10)),IF(AK10&gt;0.33*SQRT('Parametros'!$B$2)*H10*MIN(U10,AB10)/1000,MIN(U10,AB10)/4,MIN(U10,AB10)/2),600,IF(AV10=0,1000000000,2*((H10-2*('Parametros'!$B$7+'Parametros'!$B$9/2))+(I10-2*('Parametros'!$B$7+'Parametros'!$B$9/2)))/8))/10,0)*10</f>
        <v>240</v>
      </c>
      <c r="AR10" s="10">
        <f>'Parametros'!$B$6*(AJ10+MAX(BE10-BD10,0)*'Parametros'!$B$4*MIN(U10,AB10)/1000)</f>
        <v>330.97185436697</v>
      </c>
      <c r="AS10" s="10" t="str">
        <f>IF(AND(ISERROR(SEARCH("referencia",AN10)),AM10="CUMPLE",AR10&gt;=AI10),"CUMPLE","NO CUMPLE")</f>
        <v>CUMPLE</v>
      </c>
      <c r="AT10" s="10">
        <f>'Parametros'!$B$6*0.083*SQRT('Parametros'!$B$2)*(H10*I10)^2/(2*(H10+I10))/1000000</f>
        <v>10.0887830333379</v>
      </c>
      <c r="AU10" s="10" t="str">
        <f>IF(Q10&lt;=AT10,"DESPRECIABLE","DISEÑAR")</f>
        <v>DESPRECIABLE</v>
      </c>
      <c r="AV10" s="10">
        <f>IF(Q10&lt;=AT10,0,Q10*1000000/('Parametros'!$B$6*2*0.85*(H10-2*('Parametros'!$B$7+'Parametros'!$B$9/2))*(I10-2*('Parametros'!$B$7+'Parametros'!$B$9/2))*'Parametros'!$B$4))</f>
        <v>0</v>
      </c>
      <c r="AW10" s="10">
        <f>AV10*2*((H10-2*('Parametros'!$B$7+'Parametros'!$B$9/2))+(I10-2*('Parametros'!$B$7+'Parametros'!$B$9/2)))*'Parametros'!$B$4/'Parametros'!$B$3</f>
        <v>0</v>
      </c>
      <c r="AX10" s="31" t="n">
        <v>0</v>
      </c>
      <c r="AY10" s="10" t="str">
        <f>IF(AV10=0,"DESPRECIABLE",IF(AND(ISERROR(SEARCH("referencia",AN10)),BB10/AP10&gt;=AV10,BI10&gt;=AW10,BH10="CUMPLE"),"CUMPLE","NO CUMPLE"))</f>
        <v>DESPRECIABLE</v>
      </c>
      <c r="AZ10" s="10" t="str">
        <f>IF(AND(X10="CUMPLE",AE10="CUMPLE",AS10="CUMPLE",OR(AY10="CUMPLE",AY10="DESPRECIABLE"),BH10="CUMPLE",BJ10="CUMPLE"),"CUMPLE","NO CUMPLE")</f>
        <v>CUMPLE</v>
      </c>
      <c r="BA10" s="32" t="n">
        <v>9.5</v>
      </c>
      <c r="BB10" s="32" t="n">
        <v>71</v>
      </c>
      <c r="BC10" s="10">
        <f>MAX(IF(AK10=0,0,AK10*1000/('Parametros'!$B$4*MIN(U10,AB10))),MAX(0.062*SQRT('Parametros'!$B$2)*H10/'Parametros'!$B$4,0.35*H10/'Parametros'!$B$4))</f>
        <v>0.375</v>
      </c>
      <c r="BD10" s="10">
        <f>2*AV10</f>
        <v>0</v>
      </c>
      <c r="BE10" s="10">
        <f>AO10*BB10/AP10</f>
        <v>1.18333333333333</v>
      </c>
      <c r="BF10" s="10">
        <f>SQRT((AI10*1000/(H10*MIN(U10,AB10)))^2+(Q10*1000000*2*((H10-2*('Parametros'!$B$7+'Parametros'!$B$9/2))+(I10-2*('Parametros'!$B$7+'Parametros'!$B$9/2)))/(1.7*((H10-2*('Parametros'!$B$7+'Parametros'!$B$9/2))*(I10-2*('Parametros'!$B$7+'Parametros'!$B$9/2)))^2))^2)</f>
        <v>0.769160665470025</v>
      </c>
      <c r="BG10" s="10">
        <f>'Parametros'!$B$6*(AJ10*1000/(H10*MIN(U10,AB10))+0.66*SQRT('Parametros'!$B$2))</f>
        <v>3.29396038227542</v>
      </c>
      <c r="BH10" s="10" t="str">
        <f>IF(BF10&lt;=BG10,"CUMPLE","NO CUMPLE")</f>
        <v>CUMPLE</v>
      </c>
      <c r="BI10" s="10">
        <f>AX10*'Parametros'!$B$8</f>
        <v>0</v>
      </c>
      <c r="BJ10" s="10" t="str">
        <f>IF(BI10&gt;=AW10,"CUMPLE","NO CUMPLE")</f>
        <v>CUMPLE</v>
      </c>
    </row>
    <row r="11">
      <c r="A11" s="13" t="inlineStr">
        <is>
          <t>VC1</t>
        </is>
      </c>
      <c r="B11" s="13" t="inlineStr">
        <is>
          <t>164</t>
        </is>
      </c>
      <c r="C11" s="10" t="n">
        <v>1</v>
      </c>
      <c r="D11" s="10" t="n">
        <v>3.15</v>
      </c>
      <c r="E11" s="10" t="n">
        <v>3.15</v>
      </c>
      <c r="F11" s="10" t="n">
        <v>450</v>
      </c>
      <c r="G11" s="10" t="n">
        <v>550</v>
      </c>
      <c r="H11" s="17" t="n">
        <v>450</v>
      </c>
      <c r="I11" s="17" t="n">
        <v>550</v>
      </c>
      <c r="J11" s="30" t="n">
        <v>27.9591</v>
      </c>
      <c r="K11" s="10" t="inlineStr">
        <is>
          <t>164</t>
        </is>
      </c>
      <c r="L11" s="30" t="n">
        <v>18.2968</v>
      </c>
      <c r="M11" s="10" t="inlineStr">
        <is>
          <t>164</t>
        </is>
      </c>
      <c r="N11" s="30" t="n">
        <v>25.457</v>
      </c>
      <c r="O11" s="30" t="n">
        <v>61.157</v>
      </c>
      <c r="P11" s="10" t="inlineStr">
        <is>
          <t>164</t>
        </is>
      </c>
      <c r="Q11" s="30" t="n">
        <v>9.923299999999999</v>
      </c>
      <c r="R11" s="10">
        <f>MAX(MAX(1.4/'Parametros'!$B$3,0.25*SQRT('Parametros'!$B$2)/'Parametros'!$B$3)*H11*U11,(0.85*'Parametros'!$B$2/'Parametros'!$B$3)*(1-SQRT(1-2*(J11*1000000/('Parametros'!$B$5*H11*U11^2))/(0.85*'Parametros'!$B$2)))*H11*U11)</f>
        <v>734.025</v>
      </c>
      <c r="S11" s="31" t="n">
        <v>4</v>
      </c>
      <c r="T11" s="32" t="n">
        <v>1</v>
      </c>
      <c r="U11" s="10">
        <f>IF(T11=1,I11-('Parametros'!$B$7+'Parametros'!$B$9+'Parametros'!$B$12/2),I11-(ROUNDUP(S11/2,0)*('Parametros'!$B$7+'Parametros'!$B$9+'Parametros'!$B$12/2)+ROUNDDOWN(S11/2,0)*('Parametros'!$B$7+'Parametros'!$B$9+'Parametros'!$B$12/2+'Parametros'!$B$12+'Parametros'!$B$10))/S11)</f>
        <v>489.35</v>
      </c>
      <c r="V11" s="10">
        <f>S11*'Parametros'!$B$8</f>
        <v>796</v>
      </c>
      <c r="W11" s="10">
        <f>'Parametros'!$B$5*V11*'Parametros'!$B$3*(U11-(V11*'Parametros'!$B$3/(0.85*'Parametros'!$B$2*H11))/2)/1000000</f>
        <v>142.543330094118</v>
      </c>
      <c r="X11" s="10" t="str">
        <f>IF(W11&gt;=J11,"CUMPLE","NO CUMPLE")</f>
        <v>CUMPLE</v>
      </c>
      <c r="Y11" s="10">
        <f>MAX(MAX(1.4/'Parametros'!$B$3,0.25*SQRT('Parametros'!$B$2)/'Parametros'!$B$3)*H11*AB11,(0.85*'Parametros'!$B$2/'Parametros'!$B$3)*(1-SQRT(1-2*(L11*1000000/('Parametros'!$B$5*H11*AB11^2))/(0.85*'Parametros'!$B$2)))*H11*AB11)</f>
        <v>734.025</v>
      </c>
      <c r="Z11" s="31" t="n">
        <v>4</v>
      </c>
      <c r="AA11" s="32" t="n">
        <v>1</v>
      </c>
      <c r="AB11" s="10">
        <f>IF(AA11=1,I11-('Parametros'!$B$7+'Parametros'!$B$9+'Parametros'!$B$12/2),I11-(ROUNDUP(Z11/2,0)*('Parametros'!$B$7+'Parametros'!$B$9+'Parametros'!$B$12/2)+ROUNDDOWN(Z11/2,0)*('Parametros'!$B$7+'Parametros'!$B$9+'Parametros'!$B$12/2+'Parametros'!$B$12+'Parametros'!$B$10))/Z11)</f>
        <v>489.35</v>
      </c>
      <c r="AC11" s="10">
        <f>Z11*'Parametros'!$B$8</f>
        <v>796</v>
      </c>
      <c r="AD11" s="10">
        <f>'Parametros'!$B$5*AC11*'Parametros'!$B$3*(AB11-(AC11*'Parametros'!$B$3/(0.85*'Parametros'!$B$2*H11))/2)/1000000</f>
        <v>142.543330094118</v>
      </c>
      <c r="AE11" s="10" t="str">
        <f>IF(AD11&gt;=L11,"CUMPLE","NO CUMPLE")</f>
        <v>CUMPLE</v>
      </c>
      <c r="AF11" s="10">
        <f>V11*1.25*'Parametros'!$B$3*(U11-(V11*1.25*'Parametros'!$B$3/(0.85*'Parametros'!$B$2*H11))/2)/1000000</f>
        <v>196.346217941176</v>
      </c>
      <c r="AG11" s="10">
        <f>AC11*1.25*'Parametros'!$B$3*(AB11-(AC11*1.25*'Parametros'!$B$3/(0.85*'Parametros'!$B$2*H11))/2)/1000000</f>
        <v>196.346217941176</v>
      </c>
      <c r="AH11" s="10">
        <f>N11+(AF11+AG11)/D11</f>
        <v>150.121265359477</v>
      </c>
      <c r="AI11" s="10">
        <f>MAX(O11,AH11)</f>
        <v>150.121265359477</v>
      </c>
      <c r="AJ11" s="10">
        <f>0.17*SQRT('Parametros'!$B$2)*H11*MIN(U11,AB11)/1000</f>
        <v>198.088855822627</v>
      </c>
      <c r="AK11" s="10">
        <f>MAX(AI11/'Parametros'!$B$6-AJ11,0)</f>
        <v>2.07283132334251</v>
      </c>
      <c r="AL11" s="10">
        <f>0.66*SQRT('Parametros'!$B$2)*H11*MIN(U11,AB11)/1000</f>
        <v>769.050852017258</v>
      </c>
      <c r="AM11" s="10" t="str">
        <f>IF(AK11&lt;=AL11,"CUMPLE","NO CUMPLE")</f>
        <v>CUMPLE</v>
      </c>
      <c r="AN11" s="17" t="inlineStr">
        <is>
          <t>Nº3 cerrado</t>
        </is>
      </c>
      <c r="AO11" s="31" t="n">
        <v>2</v>
      </c>
      <c r="AP11" s="10">
        <f>ROUNDDOWN(MIN(IF(BC11+BD11=0,1000000000,AO11*BB11/(BC11+BD11)),MIN(U11,AB11)/4,8*'Parametros'!$B$12,24*BA11,300,IF(AV11=0,1000000000,2*((H11-2*('Parametros'!$B$7+'Parametros'!$B$9/2))+(I11-2*('Parametros'!$B$7+'Parametros'!$B$9/2)))/8))/10,0)*10</f>
        <v>120</v>
      </c>
      <c r="AQ11" s="10">
        <f>ROUNDDOWN(MIN(IF(BC11+BD11=0,1000000000,AO11*BB11/(BC11+BD11)),IF(AK11&gt;0.33*SQRT('Parametros'!$B$2)*H11*MIN(U11,AB11)/1000,MIN(U11,AB11)/4,MIN(U11,AB11)/2),600,IF(AV11=0,1000000000,2*((H11-2*('Parametros'!$B$7+'Parametros'!$B$9/2))+(I11-2*('Parametros'!$B$7+'Parametros'!$B$9/2)))/8))/10,0)*10</f>
        <v>240</v>
      </c>
      <c r="AR11" s="10">
        <f>'Parametros'!$B$6*(AJ11+MAX(BE11-BD11,0)*'Parametros'!$B$4*MIN(U11,AB11)/1000)</f>
        <v>330.97185436697</v>
      </c>
      <c r="AS11" s="10" t="str">
        <f>IF(AND(ISERROR(SEARCH("referencia",AN11)),AM11="CUMPLE",AR11&gt;=AI11),"CUMPLE","NO CUMPLE")</f>
        <v>CUMPLE</v>
      </c>
      <c r="AT11" s="10">
        <f>'Parametros'!$B$6*0.083*SQRT('Parametros'!$B$2)*(H11*I11)^2/(2*(H11+I11))/1000000</f>
        <v>10.0887830333379</v>
      </c>
      <c r="AU11" s="10" t="str">
        <f>IF(Q11&lt;=AT11,"DESPRECIABLE","DISEÑAR")</f>
        <v>DESPRECIABLE</v>
      </c>
      <c r="AV11" s="10">
        <f>IF(Q11&lt;=AT11,0,Q11*1000000/('Parametros'!$B$6*2*0.85*(H11-2*('Parametros'!$B$7+'Parametros'!$B$9/2))*(I11-2*('Parametros'!$B$7+'Parametros'!$B$9/2))*'Parametros'!$B$4))</f>
        <v>0</v>
      </c>
      <c r="AW11" s="10">
        <f>AV11*2*((H11-2*('Parametros'!$B$7+'Parametros'!$B$9/2))+(I11-2*('Parametros'!$B$7+'Parametros'!$B$9/2)))*'Parametros'!$B$4/'Parametros'!$B$3</f>
        <v>0</v>
      </c>
      <c r="AX11" s="31" t="n">
        <v>0</v>
      </c>
      <c r="AY11" s="10" t="str">
        <f>IF(AV11=0,"DESPRECIABLE",IF(AND(ISERROR(SEARCH("referencia",AN11)),BB11/AP11&gt;=AV11,BI11&gt;=AW11,BH11="CUMPLE"),"CUMPLE","NO CUMPLE"))</f>
        <v>DESPRECIABLE</v>
      </c>
      <c r="AZ11" s="10" t="str">
        <f>IF(AND(X11="CUMPLE",AE11="CUMPLE",AS11="CUMPLE",OR(AY11="CUMPLE",AY11="DESPRECIABLE"),BH11="CUMPLE",BJ11="CUMPLE"),"CUMPLE","NO CUMPLE")</f>
        <v>CUMPLE</v>
      </c>
      <c r="BA11" s="32" t="n">
        <v>9.5</v>
      </c>
      <c r="BB11" s="32" t="n">
        <v>71</v>
      </c>
      <c r="BC11" s="10">
        <f>MAX(IF(AK11=0,0,AK11*1000/('Parametros'!$B$4*MIN(U11,AB11))),MAX(0.062*SQRT('Parametros'!$B$2)*H11/'Parametros'!$B$4,0.35*H11/'Parametros'!$B$4))</f>
        <v>0.375</v>
      </c>
      <c r="BD11" s="10">
        <f>2*AV11</f>
        <v>0</v>
      </c>
      <c r="BE11" s="10">
        <f>AO11*BB11/AP11</f>
        <v>1.18333333333333</v>
      </c>
      <c r="BF11" s="10">
        <f>SQRT((AI11*1000/(H11*MIN(U11,AB11)))^2+(Q11*1000000*2*((H11-2*('Parametros'!$B$7+'Parametros'!$B$9/2))+(I11-2*('Parametros'!$B$7+'Parametros'!$B$9/2)))/(1.7*((H11-2*('Parametros'!$B$7+'Parametros'!$B$9/2))*(I11-2*('Parametros'!$B$7+'Parametros'!$B$9/2)))^2))^2)</f>
        <v>0.769181752109956</v>
      </c>
      <c r="BG11" s="10">
        <f>'Parametros'!$B$6*(AJ11*1000/(H11*MIN(U11,AB11))+0.66*SQRT('Parametros'!$B$2))</f>
        <v>3.29396038227542</v>
      </c>
      <c r="BH11" s="10" t="str">
        <f>IF(BF11&lt;=BG11,"CUMPLE","NO CUMPLE")</f>
        <v>CUMPLE</v>
      </c>
      <c r="BI11" s="10">
        <f>AX11*'Parametros'!$B$8</f>
        <v>0</v>
      </c>
      <c r="BJ11" s="10" t="str">
        <f>IF(BI11&gt;=AW11,"CUMPLE","NO CUMPLE")</f>
        <v>CUMPLE</v>
      </c>
    </row>
    <row r="12">
      <c r="A12" s="13" t="inlineStr">
        <is>
          <t>VC1</t>
        </is>
      </c>
      <c r="B12" s="13" t="inlineStr">
        <is>
          <t>168</t>
        </is>
      </c>
      <c r="C12" s="10" t="n">
        <v>1</v>
      </c>
      <c r="D12" s="10" t="n">
        <v>3.15</v>
      </c>
      <c r="E12" s="10" t="n">
        <v>3.15</v>
      </c>
      <c r="F12" s="10" t="n">
        <v>450</v>
      </c>
      <c r="G12" s="10" t="n">
        <v>550</v>
      </c>
      <c r="H12" s="17" t="n">
        <v>450</v>
      </c>
      <c r="I12" s="17" t="n">
        <v>550</v>
      </c>
      <c r="J12" s="30" t="n">
        <v>21.8882</v>
      </c>
      <c r="K12" s="10" t="inlineStr">
        <is>
          <t>168</t>
        </is>
      </c>
      <c r="L12" s="30" t="n">
        <v>16.8968</v>
      </c>
      <c r="M12" s="10" t="inlineStr">
        <is>
          <t>168</t>
        </is>
      </c>
      <c r="N12" s="30" t="n">
        <v>23.302</v>
      </c>
      <c r="O12" s="30" t="n">
        <v>46.56</v>
      </c>
      <c r="P12" s="10" t="inlineStr">
        <is>
          <t>168</t>
        </is>
      </c>
      <c r="Q12" s="30" t="n">
        <v>7.678</v>
      </c>
      <c r="R12" s="10">
        <f>MAX(MAX(1.4/'Parametros'!$B$3,0.25*SQRT('Parametros'!$B$2)/'Parametros'!$B$3)*H12*U12,(0.85*'Parametros'!$B$2/'Parametros'!$B$3)*(1-SQRT(1-2*(J12*1000000/('Parametros'!$B$5*H12*U12^2))/(0.85*'Parametros'!$B$2)))*H12*U12)</f>
        <v>734.025</v>
      </c>
      <c r="S12" s="31" t="n">
        <v>4</v>
      </c>
      <c r="T12" s="32" t="n">
        <v>1</v>
      </c>
      <c r="U12" s="10">
        <f>IF(T12=1,I12-('Parametros'!$B$7+'Parametros'!$B$9+'Parametros'!$B$12/2),I12-(ROUNDUP(S12/2,0)*('Parametros'!$B$7+'Parametros'!$B$9+'Parametros'!$B$12/2)+ROUNDDOWN(S12/2,0)*('Parametros'!$B$7+'Parametros'!$B$9+'Parametros'!$B$12/2+'Parametros'!$B$12+'Parametros'!$B$10))/S12)</f>
        <v>489.35</v>
      </c>
      <c r="V12" s="10">
        <f>S12*'Parametros'!$B$8</f>
        <v>796</v>
      </c>
      <c r="W12" s="10">
        <f>'Parametros'!$B$5*V12*'Parametros'!$B$3*(U12-(V12*'Parametros'!$B$3/(0.85*'Parametros'!$B$2*H12))/2)/1000000</f>
        <v>142.543330094118</v>
      </c>
      <c r="X12" s="10" t="str">
        <f>IF(W12&gt;=J12,"CUMPLE","NO CUMPLE")</f>
        <v>CUMPLE</v>
      </c>
      <c r="Y12" s="10">
        <f>MAX(MAX(1.4/'Parametros'!$B$3,0.25*SQRT('Parametros'!$B$2)/'Parametros'!$B$3)*H12*AB12,(0.85*'Parametros'!$B$2/'Parametros'!$B$3)*(1-SQRT(1-2*(L12*1000000/('Parametros'!$B$5*H12*AB12^2))/(0.85*'Parametros'!$B$2)))*H12*AB12)</f>
        <v>734.025</v>
      </c>
      <c r="Z12" s="31" t="n">
        <v>4</v>
      </c>
      <c r="AA12" s="32" t="n">
        <v>1</v>
      </c>
      <c r="AB12" s="10">
        <f>IF(AA12=1,I12-('Parametros'!$B$7+'Parametros'!$B$9+'Parametros'!$B$12/2),I12-(ROUNDUP(Z12/2,0)*('Parametros'!$B$7+'Parametros'!$B$9+'Parametros'!$B$12/2)+ROUNDDOWN(Z12/2,0)*('Parametros'!$B$7+'Parametros'!$B$9+'Parametros'!$B$12/2+'Parametros'!$B$12+'Parametros'!$B$10))/Z12)</f>
        <v>489.35</v>
      </c>
      <c r="AC12" s="10">
        <f>Z12*'Parametros'!$B$8</f>
        <v>796</v>
      </c>
      <c r="AD12" s="10">
        <f>'Parametros'!$B$5*AC12*'Parametros'!$B$3*(AB12-(AC12*'Parametros'!$B$3/(0.85*'Parametros'!$B$2*H12))/2)/1000000</f>
        <v>142.543330094118</v>
      </c>
      <c r="AE12" s="10" t="str">
        <f>IF(AD12&gt;=L12,"CUMPLE","NO CUMPLE")</f>
        <v>CUMPLE</v>
      </c>
      <c r="AF12" s="10">
        <f>V12*1.25*'Parametros'!$B$3*(U12-(V12*1.25*'Parametros'!$B$3/(0.85*'Parametros'!$B$2*H12))/2)/1000000</f>
        <v>196.346217941176</v>
      </c>
      <c r="AG12" s="10">
        <f>AC12*1.25*'Parametros'!$B$3*(AB12-(AC12*1.25*'Parametros'!$B$3/(0.85*'Parametros'!$B$2*H12))/2)/1000000</f>
        <v>196.346217941176</v>
      </c>
      <c r="AH12" s="10">
        <f>N12+(AF12+AG12)/D12</f>
        <v>147.966265359477</v>
      </c>
      <c r="AI12" s="10">
        <f>MAX(O12,AH12)</f>
        <v>147.966265359477</v>
      </c>
      <c r="AJ12" s="10">
        <f>0.17*SQRT('Parametros'!$B$2)*H12*MIN(U12,AB12)/1000</f>
        <v>198.088855822627</v>
      </c>
      <c r="AK12" s="10">
        <f>MAX(AI12/'Parametros'!$B$6-AJ12,0)</f>
        <v>0</v>
      </c>
      <c r="AL12" s="10">
        <f>0.66*SQRT('Parametros'!$B$2)*H12*MIN(U12,AB12)/1000</f>
        <v>769.050852017258</v>
      </c>
      <c r="AM12" s="10" t="str">
        <f>IF(AK12&lt;=AL12,"CUMPLE","NO CUMPLE")</f>
        <v>CUMPLE</v>
      </c>
      <c r="AN12" s="17" t="inlineStr">
        <is>
          <t>Nº3 cerrado</t>
        </is>
      </c>
      <c r="AO12" s="31" t="n">
        <v>2</v>
      </c>
      <c r="AP12" s="10">
        <f>ROUNDDOWN(MIN(IF(BC12+BD12=0,1000000000,AO12*BB12/(BC12+BD12)),MIN(U12,AB12)/4,8*'Parametros'!$B$12,24*BA12,300,IF(AV12=0,1000000000,2*((H12-2*('Parametros'!$B$7+'Parametros'!$B$9/2))+(I12-2*('Parametros'!$B$7+'Parametros'!$B$9/2)))/8))/10,0)*10</f>
        <v>120</v>
      </c>
      <c r="AQ12" s="10">
        <f>ROUNDDOWN(MIN(IF(BC12+BD12=0,1000000000,AO12*BB12/(BC12+BD12)),IF(AK12&gt;0.33*SQRT('Parametros'!$B$2)*H12*MIN(U12,AB12)/1000,MIN(U12,AB12)/4,MIN(U12,AB12)/2),600,IF(AV12=0,1000000000,2*((H12-2*('Parametros'!$B$7+'Parametros'!$B$9/2))+(I12-2*('Parametros'!$B$7+'Parametros'!$B$9/2)))/8))/10,0)*10</f>
        <v>240</v>
      </c>
      <c r="AR12" s="10">
        <f>'Parametros'!$B$6*(AJ12+MAX(BE12-BD12,0)*'Parametros'!$B$4*MIN(U12,AB12)/1000)</f>
        <v>330.97185436697</v>
      </c>
      <c r="AS12" s="10" t="str">
        <f>IF(AND(ISERROR(SEARCH("referencia",AN12)),AM12="CUMPLE",AR12&gt;=AI12),"CUMPLE","NO CUMPLE")</f>
        <v>CUMPLE</v>
      </c>
      <c r="AT12" s="10">
        <f>'Parametros'!$B$6*0.083*SQRT('Parametros'!$B$2)*(H12*I12)^2/(2*(H12+I12))/1000000</f>
        <v>10.0887830333379</v>
      </c>
      <c r="AU12" s="10" t="str">
        <f>IF(Q12&lt;=AT12,"DESPRECIABLE","DISEÑAR")</f>
        <v>DESPRECIABLE</v>
      </c>
      <c r="AV12" s="10">
        <f>IF(Q12&lt;=AT12,0,Q12*1000000/('Parametros'!$B$6*2*0.85*(H12-2*('Parametros'!$B$7+'Parametros'!$B$9/2))*(I12-2*('Parametros'!$B$7+'Parametros'!$B$9/2))*'Parametros'!$B$4))</f>
        <v>0</v>
      </c>
      <c r="AW12" s="10">
        <f>AV12*2*((H12-2*('Parametros'!$B$7+'Parametros'!$B$9/2))+(I12-2*('Parametros'!$B$7+'Parametros'!$B$9/2)))*'Parametros'!$B$4/'Parametros'!$B$3</f>
        <v>0</v>
      </c>
      <c r="AX12" s="31" t="n">
        <v>0</v>
      </c>
      <c r="AY12" s="10" t="str">
        <f>IF(AV12=0,"DESPRECIABLE",IF(AND(ISERROR(SEARCH("referencia",AN12)),BB12/AP12&gt;=AV12,BI12&gt;=AW12,BH12="CUMPLE"),"CUMPLE","NO CUMPLE"))</f>
        <v>DESPRECIABLE</v>
      </c>
      <c r="AZ12" s="10" t="str">
        <f>IF(AND(X12="CUMPLE",AE12="CUMPLE",AS12="CUMPLE",OR(AY12="CUMPLE",AY12="DESPRECIABLE"),BH12="CUMPLE",BJ12="CUMPLE"),"CUMPLE","NO CUMPLE")</f>
        <v>CUMPLE</v>
      </c>
      <c r="BA12" s="32" t="n">
        <v>9.5</v>
      </c>
      <c r="BB12" s="32" t="n">
        <v>71</v>
      </c>
      <c r="BC12" s="10">
        <f>MAX(IF(AK12=0,0,AK12*1000/('Parametros'!$B$4*MIN(U12,AB12))),MAX(0.062*SQRT('Parametros'!$B$2)*H12/'Parametros'!$B$4,0.35*H12/'Parametros'!$B$4))</f>
        <v>0.375</v>
      </c>
      <c r="BD12" s="10">
        <f>2*AV12</f>
        <v>0</v>
      </c>
      <c r="BE12" s="10">
        <f>AO12*BB12/AP12</f>
        <v>1.18333333333333</v>
      </c>
      <c r="BF12" s="10">
        <f>SQRT((AI12*1000/(H12*MIN(U12,AB12)))^2+(Q12*1000000*2*((H12-2*('Parametros'!$B$7+'Parametros'!$B$9/2))+(I12-2*('Parametros'!$B$7+'Parametros'!$B$9/2)))/(1.7*((H12-2*('Parametros'!$B$7+'Parametros'!$B$9/2))*(I12-2*('Parametros'!$B$7+'Parametros'!$B$9/2)))^2))^2)</f>
        <v>0.726269941664127</v>
      </c>
      <c r="BG12" s="10">
        <f>'Parametros'!$B$6*(AJ12*1000/(H12*MIN(U12,AB12))+0.66*SQRT('Parametros'!$B$2))</f>
        <v>3.29396038227542</v>
      </c>
      <c r="BH12" s="10" t="str">
        <f>IF(BF12&lt;=BG12,"CUMPLE","NO CUMPLE")</f>
        <v>CUMPLE</v>
      </c>
      <c r="BI12" s="10">
        <f>AX12*'Parametros'!$B$8</f>
        <v>0</v>
      </c>
      <c r="BJ12" s="10" t="str">
        <f>IF(BI12&gt;=AW12,"CUMPLE","NO CUMPLE")</f>
        <v>CUMPLE</v>
      </c>
    </row>
    <row r="13">
      <c r="A13" s="13" t="inlineStr">
        <is>
          <t>VC1</t>
        </is>
      </c>
      <c r="B13" s="13" t="inlineStr">
        <is>
          <t>169</t>
        </is>
      </c>
      <c r="C13" s="10" t="n">
        <v>1</v>
      </c>
      <c r="D13" s="10" t="n">
        <v>3.15</v>
      </c>
      <c r="E13" s="10" t="n">
        <v>3.15</v>
      </c>
      <c r="F13" s="10" t="n">
        <v>450</v>
      </c>
      <c r="G13" s="10" t="n">
        <v>550</v>
      </c>
      <c r="H13" s="17" t="n">
        <v>450</v>
      </c>
      <c r="I13" s="17" t="n">
        <v>550</v>
      </c>
      <c r="J13" s="30" t="n">
        <v>21.8972</v>
      </c>
      <c r="K13" s="10" t="inlineStr">
        <is>
          <t>169</t>
        </is>
      </c>
      <c r="L13" s="30" t="n">
        <v>16.9012</v>
      </c>
      <c r="M13" s="10" t="inlineStr">
        <is>
          <t>169</t>
        </is>
      </c>
      <c r="N13" s="30" t="n">
        <v>23.306</v>
      </c>
      <c r="O13" s="30" t="n">
        <v>46.564</v>
      </c>
      <c r="P13" s="10" t="inlineStr">
        <is>
          <t>169</t>
        </is>
      </c>
      <c r="Q13" s="30" t="n">
        <v>7.6782</v>
      </c>
      <c r="R13" s="10">
        <f>MAX(MAX(1.4/'Parametros'!$B$3,0.25*SQRT('Parametros'!$B$2)/'Parametros'!$B$3)*H13*U13,(0.85*'Parametros'!$B$2/'Parametros'!$B$3)*(1-SQRT(1-2*(J13*1000000/('Parametros'!$B$5*H13*U13^2))/(0.85*'Parametros'!$B$2)))*H13*U13)</f>
        <v>734.025</v>
      </c>
      <c r="S13" s="31" t="n">
        <v>4</v>
      </c>
      <c r="T13" s="32" t="n">
        <v>1</v>
      </c>
      <c r="U13" s="10">
        <f>IF(T13=1,I13-('Parametros'!$B$7+'Parametros'!$B$9+'Parametros'!$B$12/2),I13-(ROUNDUP(S13/2,0)*('Parametros'!$B$7+'Parametros'!$B$9+'Parametros'!$B$12/2)+ROUNDDOWN(S13/2,0)*('Parametros'!$B$7+'Parametros'!$B$9+'Parametros'!$B$12/2+'Parametros'!$B$12+'Parametros'!$B$10))/S13)</f>
        <v>489.35</v>
      </c>
      <c r="V13" s="10">
        <f>S13*'Parametros'!$B$8</f>
        <v>796</v>
      </c>
      <c r="W13" s="10">
        <f>'Parametros'!$B$5*V13*'Parametros'!$B$3*(U13-(V13*'Parametros'!$B$3/(0.85*'Parametros'!$B$2*H13))/2)/1000000</f>
        <v>142.543330094118</v>
      </c>
      <c r="X13" s="10" t="str">
        <f>IF(W13&gt;=J13,"CUMPLE","NO CUMPLE")</f>
        <v>CUMPLE</v>
      </c>
      <c r="Y13" s="10">
        <f>MAX(MAX(1.4/'Parametros'!$B$3,0.25*SQRT('Parametros'!$B$2)/'Parametros'!$B$3)*H13*AB13,(0.85*'Parametros'!$B$2/'Parametros'!$B$3)*(1-SQRT(1-2*(L13*1000000/('Parametros'!$B$5*H13*AB13^2))/(0.85*'Parametros'!$B$2)))*H13*AB13)</f>
        <v>734.025</v>
      </c>
      <c r="Z13" s="31" t="n">
        <v>4</v>
      </c>
      <c r="AA13" s="32" t="n">
        <v>1</v>
      </c>
      <c r="AB13" s="10">
        <f>IF(AA13=1,I13-('Parametros'!$B$7+'Parametros'!$B$9+'Parametros'!$B$12/2),I13-(ROUNDUP(Z13/2,0)*('Parametros'!$B$7+'Parametros'!$B$9+'Parametros'!$B$12/2)+ROUNDDOWN(Z13/2,0)*('Parametros'!$B$7+'Parametros'!$B$9+'Parametros'!$B$12/2+'Parametros'!$B$12+'Parametros'!$B$10))/Z13)</f>
        <v>489.35</v>
      </c>
      <c r="AC13" s="10">
        <f>Z13*'Parametros'!$B$8</f>
        <v>796</v>
      </c>
      <c r="AD13" s="10">
        <f>'Parametros'!$B$5*AC13*'Parametros'!$B$3*(AB13-(AC13*'Parametros'!$B$3/(0.85*'Parametros'!$B$2*H13))/2)/1000000</f>
        <v>142.543330094118</v>
      </c>
      <c r="AE13" s="10" t="str">
        <f>IF(AD13&gt;=L13,"CUMPLE","NO CUMPLE")</f>
        <v>CUMPLE</v>
      </c>
      <c r="AF13" s="10">
        <f>V13*1.25*'Parametros'!$B$3*(U13-(V13*1.25*'Parametros'!$B$3/(0.85*'Parametros'!$B$2*H13))/2)/1000000</f>
        <v>196.346217941176</v>
      </c>
      <c r="AG13" s="10">
        <f>AC13*1.25*'Parametros'!$B$3*(AB13-(AC13*1.25*'Parametros'!$B$3/(0.85*'Parametros'!$B$2*H13))/2)/1000000</f>
        <v>196.346217941176</v>
      </c>
      <c r="AH13" s="10">
        <f>N13+(AF13+AG13)/D13</f>
        <v>147.970265359477</v>
      </c>
      <c r="AI13" s="10">
        <f>MAX(O13,AH13)</f>
        <v>147.970265359477</v>
      </c>
      <c r="AJ13" s="10">
        <f>0.17*SQRT('Parametros'!$B$2)*H13*MIN(U13,AB13)/1000</f>
        <v>198.088855822627</v>
      </c>
      <c r="AK13" s="10">
        <f>MAX(AI13/'Parametros'!$B$6-AJ13,0)</f>
        <v>0</v>
      </c>
      <c r="AL13" s="10">
        <f>0.66*SQRT('Parametros'!$B$2)*H13*MIN(U13,AB13)/1000</f>
        <v>769.050852017258</v>
      </c>
      <c r="AM13" s="10" t="str">
        <f>IF(AK13&lt;=AL13,"CUMPLE","NO CUMPLE")</f>
        <v>CUMPLE</v>
      </c>
      <c r="AN13" s="17" t="inlineStr">
        <is>
          <t>Nº3 cerrado</t>
        </is>
      </c>
      <c r="AO13" s="31" t="n">
        <v>2</v>
      </c>
      <c r="AP13" s="10">
        <f>ROUNDDOWN(MIN(IF(BC13+BD13=0,1000000000,AO13*BB13/(BC13+BD13)),MIN(U13,AB13)/4,8*'Parametros'!$B$12,24*BA13,300,IF(AV13=0,1000000000,2*((H13-2*('Parametros'!$B$7+'Parametros'!$B$9/2))+(I13-2*('Parametros'!$B$7+'Parametros'!$B$9/2)))/8))/10,0)*10</f>
        <v>120</v>
      </c>
      <c r="AQ13" s="10">
        <f>ROUNDDOWN(MIN(IF(BC13+BD13=0,1000000000,AO13*BB13/(BC13+BD13)),IF(AK13&gt;0.33*SQRT('Parametros'!$B$2)*H13*MIN(U13,AB13)/1000,MIN(U13,AB13)/4,MIN(U13,AB13)/2),600,IF(AV13=0,1000000000,2*((H13-2*('Parametros'!$B$7+'Parametros'!$B$9/2))+(I13-2*('Parametros'!$B$7+'Parametros'!$B$9/2)))/8))/10,0)*10</f>
        <v>240</v>
      </c>
      <c r="AR13" s="10">
        <f>'Parametros'!$B$6*(AJ13+MAX(BE13-BD13,0)*'Parametros'!$B$4*MIN(U13,AB13)/1000)</f>
        <v>330.97185436697</v>
      </c>
      <c r="AS13" s="10" t="str">
        <f>IF(AND(ISERROR(SEARCH("referencia",AN13)),AM13="CUMPLE",AR13&gt;=AI13),"CUMPLE","NO CUMPLE")</f>
        <v>CUMPLE</v>
      </c>
      <c r="AT13" s="10">
        <f>'Parametros'!$B$6*0.083*SQRT('Parametros'!$B$2)*(H13*I13)^2/(2*(H13+I13))/1000000</f>
        <v>10.0887830333379</v>
      </c>
      <c r="AU13" s="10" t="str">
        <f>IF(Q13&lt;=AT13,"DESPRECIABLE","DISEÑAR")</f>
        <v>DESPRECIABLE</v>
      </c>
      <c r="AV13" s="10">
        <f>IF(Q13&lt;=AT13,0,Q13*1000000/('Parametros'!$B$6*2*0.85*(H13-2*('Parametros'!$B$7+'Parametros'!$B$9/2))*(I13-2*('Parametros'!$B$7+'Parametros'!$B$9/2))*'Parametros'!$B$4))</f>
        <v>0</v>
      </c>
      <c r="AW13" s="10">
        <f>AV13*2*((H13-2*('Parametros'!$B$7+'Parametros'!$B$9/2))+(I13-2*('Parametros'!$B$7+'Parametros'!$B$9/2)))*'Parametros'!$B$4/'Parametros'!$B$3</f>
        <v>0</v>
      </c>
      <c r="AX13" s="31" t="n">
        <v>0</v>
      </c>
      <c r="AY13" s="10" t="str">
        <f>IF(AV13=0,"DESPRECIABLE",IF(AND(ISERROR(SEARCH("referencia",AN13)),BB13/AP13&gt;=AV13,BI13&gt;=AW13,BH13="CUMPLE"),"CUMPLE","NO CUMPLE"))</f>
        <v>DESPRECIABLE</v>
      </c>
      <c r="AZ13" s="10" t="str">
        <f>IF(AND(X13="CUMPLE",AE13="CUMPLE",AS13="CUMPLE",OR(AY13="CUMPLE",AY13="DESPRECIABLE"),BH13="CUMPLE",BJ13="CUMPLE"),"CUMPLE","NO CUMPLE")</f>
        <v>CUMPLE</v>
      </c>
      <c r="BA13" s="32" t="n">
        <v>9.5</v>
      </c>
      <c r="BB13" s="32" t="n">
        <v>71</v>
      </c>
      <c r="BC13" s="10">
        <f>MAX(IF(AK13=0,0,AK13*1000/('Parametros'!$B$4*MIN(U13,AB13))),MAX(0.062*SQRT('Parametros'!$B$2)*H13/'Parametros'!$B$4,0.35*H13/'Parametros'!$B$4))</f>
        <v>0.375</v>
      </c>
      <c r="BD13" s="10">
        <f>2*AV13</f>
        <v>0</v>
      </c>
      <c r="BE13" s="10">
        <f>AO13*BB13/AP13</f>
        <v>1.18333333333333</v>
      </c>
      <c r="BF13" s="10">
        <f>SQRT((AI13*1000/(H13*MIN(U13,AB13)))^2+(Q13*1000000*2*((H13-2*('Parametros'!$B$7+'Parametros'!$B$9/2))+(I13-2*('Parametros'!$B$7+'Parametros'!$B$9/2)))/(1.7*((H13-2*('Parametros'!$B$7+'Parametros'!$B$9/2))*(I13-2*('Parametros'!$B$7+'Parametros'!$B$9/2)))^2))^2)</f>
        <v>0.726289472057622</v>
      </c>
      <c r="BG13" s="10">
        <f>'Parametros'!$B$6*(AJ13*1000/(H13*MIN(U13,AB13))+0.66*SQRT('Parametros'!$B$2))</f>
        <v>3.29396038227542</v>
      </c>
      <c r="BH13" s="10" t="str">
        <f>IF(BF13&lt;=BG13,"CUMPLE","NO CUMPLE")</f>
        <v>CUMPLE</v>
      </c>
      <c r="BI13" s="10">
        <f>AX13*'Parametros'!$B$8</f>
        <v>0</v>
      </c>
      <c r="BJ13" s="10" t="str">
        <f>IF(BI13&gt;=AW13,"CUMPLE","NO CUMPLE")</f>
        <v>CUMPLE</v>
      </c>
    </row>
    <row r="14">
      <c r="A14" s="13" t="inlineStr">
        <is>
          <t>VC1</t>
        </is>
      </c>
      <c r="B14" s="13" t="inlineStr">
        <is>
          <t>173</t>
        </is>
      </c>
      <c r="C14" s="10" t="n">
        <v>1</v>
      </c>
      <c r="D14" s="10" t="n">
        <v>3.15</v>
      </c>
      <c r="E14" s="10" t="n">
        <v>3.15</v>
      </c>
      <c r="F14" s="10" t="n">
        <v>450</v>
      </c>
      <c r="G14" s="10" t="n">
        <v>550</v>
      </c>
      <c r="H14" s="17" t="n">
        <v>450</v>
      </c>
      <c r="I14" s="17" t="n">
        <v>550</v>
      </c>
      <c r="J14" s="30" t="n">
        <v>12.9436</v>
      </c>
      <c r="K14" s="10" t="inlineStr">
        <is>
          <t>173</t>
        </is>
      </c>
      <c r="L14" s="30" t="n">
        <v>14.8503</v>
      </c>
      <c r="M14" s="10" t="inlineStr">
        <is>
          <t>173</t>
        </is>
      </c>
      <c r="N14" s="30" t="n">
        <v>19.647</v>
      </c>
      <c r="O14" s="30" t="n">
        <v>29.49</v>
      </c>
      <c r="P14" s="10" t="inlineStr">
        <is>
          <t>173</t>
        </is>
      </c>
      <c r="Q14" s="30" t="n">
        <v>5.3313</v>
      </c>
      <c r="R14" s="10">
        <f>MAX(MAX(1.4/'Parametros'!$B$3,0.25*SQRT('Parametros'!$B$2)/'Parametros'!$B$3)*H14*U14,(0.85*'Parametros'!$B$2/'Parametros'!$B$3)*(1-SQRT(1-2*(J14*1000000/('Parametros'!$B$5*H14*U14^2))/(0.85*'Parametros'!$B$2)))*H14*U14)</f>
        <v>734.025</v>
      </c>
      <c r="S14" s="31" t="n">
        <v>4</v>
      </c>
      <c r="T14" s="32" t="n">
        <v>1</v>
      </c>
      <c r="U14" s="10">
        <f>IF(T14=1,I14-('Parametros'!$B$7+'Parametros'!$B$9+'Parametros'!$B$12/2),I14-(ROUNDUP(S14/2,0)*('Parametros'!$B$7+'Parametros'!$B$9+'Parametros'!$B$12/2)+ROUNDDOWN(S14/2,0)*('Parametros'!$B$7+'Parametros'!$B$9+'Parametros'!$B$12/2+'Parametros'!$B$12+'Parametros'!$B$10))/S14)</f>
        <v>489.35</v>
      </c>
      <c r="V14" s="10">
        <f>S14*'Parametros'!$B$8</f>
        <v>796</v>
      </c>
      <c r="W14" s="10">
        <f>'Parametros'!$B$5*V14*'Parametros'!$B$3*(U14-(V14*'Parametros'!$B$3/(0.85*'Parametros'!$B$2*H14))/2)/1000000</f>
        <v>142.543330094118</v>
      </c>
      <c r="X14" s="10" t="str">
        <f>IF(W14&gt;=J14,"CUMPLE","NO CUMPLE")</f>
        <v>CUMPLE</v>
      </c>
      <c r="Y14" s="10">
        <f>MAX(MAX(1.4/'Parametros'!$B$3,0.25*SQRT('Parametros'!$B$2)/'Parametros'!$B$3)*H14*AB14,(0.85*'Parametros'!$B$2/'Parametros'!$B$3)*(1-SQRT(1-2*(L14*1000000/('Parametros'!$B$5*H14*AB14^2))/(0.85*'Parametros'!$B$2)))*H14*AB14)</f>
        <v>734.025</v>
      </c>
      <c r="Z14" s="31" t="n">
        <v>4</v>
      </c>
      <c r="AA14" s="32" t="n">
        <v>1</v>
      </c>
      <c r="AB14" s="10">
        <f>IF(AA14=1,I14-('Parametros'!$B$7+'Parametros'!$B$9+'Parametros'!$B$12/2),I14-(ROUNDUP(Z14/2,0)*('Parametros'!$B$7+'Parametros'!$B$9+'Parametros'!$B$12/2)+ROUNDDOWN(Z14/2,0)*('Parametros'!$B$7+'Parametros'!$B$9+'Parametros'!$B$12/2+'Parametros'!$B$12+'Parametros'!$B$10))/Z14)</f>
        <v>489.35</v>
      </c>
      <c r="AC14" s="10">
        <f>Z14*'Parametros'!$B$8</f>
        <v>796</v>
      </c>
      <c r="AD14" s="10">
        <f>'Parametros'!$B$5*AC14*'Parametros'!$B$3*(AB14-(AC14*'Parametros'!$B$3/(0.85*'Parametros'!$B$2*H14))/2)/1000000</f>
        <v>142.543330094118</v>
      </c>
      <c r="AE14" s="10" t="str">
        <f>IF(AD14&gt;=L14,"CUMPLE","NO CUMPLE")</f>
        <v>CUMPLE</v>
      </c>
      <c r="AF14" s="10">
        <f>V14*1.25*'Parametros'!$B$3*(U14-(V14*1.25*'Parametros'!$B$3/(0.85*'Parametros'!$B$2*H14))/2)/1000000</f>
        <v>196.346217941176</v>
      </c>
      <c r="AG14" s="10">
        <f>AC14*1.25*'Parametros'!$B$3*(AB14-(AC14*1.25*'Parametros'!$B$3/(0.85*'Parametros'!$B$2*H14))/2)/1000000</f>
        <v>196.346217941176</v>
      </c>
      <c r="AH14" s="10">
        <f>N14+(AF14+AG14)/D14</f>
        <v>144.311265359477</v>
      </c>
      <c r="AI14" s="10">
        <f>MAX(O14,AH14)</f>
        <v>144.311265359477</v>
      </c>
      <c r="AJ14" s="10">
        <f>0.17*SQRT('Parametros'!$B$2)*H14*MIN(U14,AB14)/1000</f>
        <v>198.088855822627</v>
      </c>
      <c r="AK14" s="10">
        <f>MAX(AI14/'Parametros'!$B$6-AJ14,0)</f>
        <v>0</v>
      </c>
      <c r="AL14" s="10">
        <f>0.66*SQRT('Parametros'!$B$2)*H14*MIN(U14,AB14)/1000</f>
        <v>769.050852017258</v>
      </c>
      <c r="AM14" s="10" t="str">
        <f>IF(AK14&lt;=AL14,"CUMPLE","NO CUMPLE")</f>
        <v>CUMPLE</v>
      </c>
      <c r="AN14" s="17" t="inlineStr">
        <is>
          <t>Nº3 cerrado</t>
        </is>
      </c>
      <c r="AO14" s="31" t="n">
        <v>2</v>
      </c>
      <c r="AP14" s="10">
        <f>ROUNDDOWN(MIN(IF(BC14+BD14=0,1000000000,AO14*BB14/(BC14+BD14)),MIN(U14,AB14)/4,8*'Parametros'!$B$12,24*BA14,300,IF(AV14=0,1000000000,2*((H14-2*('Parametros'!$B$7+'Parametros'!$B$9/2))+(I14-2*('Parametros'!$B$7+'Parametros'!$B$9/2)))/8))/10,0)*10</f>
        <v>120</v>
      </c>
      <c r="AQ14" s="10">
        <f>ROUNDDOWN(MIN(IF(BC14+BD14=0,1000000000,AO14*BB14/(BC14+BD14)),IF(AK14&gt;0.33*SQRT('Parametros'!$B$2)*H14*MIN(U14,AB14)/1000,MIN(U14,AB14)/4,MIN(U14,AB14)/2),600,IF(AV14=0,1000000000,2*((H14-2*('Parametros'!$B$7+'Parametros'!$B$9/2))+(I14-2*('Parametros'!$B$7+'Parametros'!$B$9/2)))/8))/10,0)*10</f>
        <v>240</v>
      </c>
      <c r="AR14" s="10">
        <f>'Parametros'!$B$6*(AJ14+MAX(BE14-BD14,0)*'Parametros'!$B$4*MIN(U14,AB14)/1000)</f>
        <v>330.97185436697</v>
      </c>
      <c r="AS14" s="10" t="str">
        <f>IF(AND(ISERROR(SEARCH("referencia",AN14)),AM14="CUMPLE",AR14&gt;=AI14),"CUMPLE","NO CUMPLE")</f>
        <v>CUMPLE</v>
      </c>
      <c r="AT14" s="10">
        <f>'Parametros'!$B$6*0.083*SQRT('Parametros'!$B$2)*(H14*I14)^2/(2*(H14+I14))/1000000</f>
        <v>10.0887830333379</v>
      </c>
      <c r="AU14" s="10" t="str">
        <f>IF(Q14&lt;=AT14,"DESPRECIABLE","DISEÑAR")</f>
        <v>DESPRECIABLE</v>
      </c>
      <c r="AV14" s="10">
        <f>IF(Q14&lt;=AT14,0,Q14*1000000/('Parametros'!$B$6*2*0.85*(H14-2*('Parametros'!$B$7+'Parametros'!$B$9/2))*(I14-2*('Parametros'!$B$7+'Parametros'!$B$9/2))*'Parametros'!$B$4))</f>
        <v>0</v>
      </c>
      <c r="AW14" s="10">
        <f>AV14*2*((H14-2*('Parametros'!$B$7+'Parametros'!$B$9/2))+(I14-2*('Parametros'!$B$7+'Parametros'!$B$9/2)))*'Parametros'!$B$4/'Parametros'!$B$3</f>
        <v>0</v>
      </c>
      <c r="AX14" s="31" t="n">
        <v>0</v>
      </c>
      <c r="AY14" s="10" t="str">
        <f>IF(AV14=0,"DESPRECIABLE",IF(AND(ISERROR(SEARCH("referencia",AN14)),BB14/AP14&gt;=AV14,BI14&gt;=AW14,BH14="CUMPLE"),"CUMPLE","NO CUMPLE"))</f>
        <v>DESPRECIABLE</v>
      </c>
      <c r="AZ14" s="10" t="str">
        <f>IF(AND(X14="CUMPLE",AE14="CUMPLE",AS14="CUMPLE",OR(AY14="CUMPLE",AY14="DESPRECIABLE"),BH14="CUMPLE",BJ14="CUMPLE"),"CUMPLE","NO CUMPLE")</f>
        <v>CUMPLE</v>
      </c>
      <c r="BA14" s="32" t="n">
        <v>9.5</v>
      </c>
      <c r="BB14" s="32" t="n">
        <v>71</v>
      </c>
      <c r="BC14" s="10">
        <f>MAX(IF(AK14=0,0,AK14*1000/('Parametros'!$B$4*MIN(U14,AB14))),MAX(0.062*SQRT('Parametros'!$B$2)*H14/'Parametros'!$B$4,0.35*H14/'Parametros'!$B$4))</f>
        <v>0.375</v>
      </c>
      <c r="BD14" s="10">
        <f>2*AV14</f>
        <v>0</v>
      </c>
      <c r="BE14" s="10">
        <f>AO14*BB14/AP14</f>
        <v>1.18333333333333</v>
      </c>
      <c r="BF14" s="10">
        <f>SQRT((AI14*1000/(H14*MIN(U14,AB14)))^2+(Q14*1000000*2*((H14-2*('Parametros'!$B$7+'Parametros'!$B$9/2))+(I14-2*('Parametros'!$B$7+'Parametros'!$B$9/2)))/(1.7*((H14-2*('Parametros'!$B$7+'Parametros'!$B$9/2))*(I14-2*('Parametros'!$B$7+'Parametros'!$B$9/2)))^2))^2)</f>
        <v>0.682714152469835</v>
      </c>
      <c r="BG14" s="10">
        <f>'Parametros'!$B$6*(AJ14*1000/(H14*MIN(U14,AB14))+0.66*SQRT('Parametros'!$B$2))</f>
        <v>3.29396038227542</v>
      </c>
      <c r="BH14" s="10" t="str">
        <f>IF(BF14&lt;=BG14,"CUMPLE","NO CUMPLE")</f>
        <v>CUMPLE</v>
      </c>
      <c r="BI14" s="10">
        <f>AX14*'Parametros'!$B$8</f>
        <v>0</v>
      </c>
      <c r="BJ14" s="10" t="str">
        <f>IF(BI14&gt;=AW14,"CUMPLE","NO CUMPLE")</f>
        <v>CUMPLE</v>
      </c>
    </row>
    <row r="15">
      <c r="A15" s="13" t="inlineStr">
        <is>
          <t>VC1</t>
        </is>
      </c>
      <c r="B15" s="13" t="inlineStr">
        <is>
          <t>174</t>
        </is>
      </c>
      <c r="C15" s="10" t="n">
        <v>1</v>
      </c>
      <c r="D15" s="10" t="n">
        <v>3.15</v>
      </c>
      <c r="E15" s="10" t="n">
        <v>3.15</v>
      </c>
      <c r="F15" s="10" t="n">
        <v>450</v>
      </c>
      <c r="G15" s="10" t="n">
        <v>550</v>
      </c>
      <c r="H15" s="17" t="n">
        <v>450</v>
      </c>
      <c r="I15" s="17" t="n">
        <v>550</v>
      </c>
      <c r="J15" s="30" t="n">
        <v>12.949</v>
      </c>
      <c r="K15" s="10" t="inlineStr">
        <is>
          <t>174</t>
        </is>
      </c>
      <c r="L15" s="30" t="n">
        <v>14.8519</v>
      </c>
      <c r="M15" s="10" t="inlineStr">
        <is>
          <t>174</t>
        </is>
      </c>
      <c r="N15" s="30" t="n">
        <v>19.65</v>
      </c>
      <c r="O15" s="30" t="n">
        <v>29.493</v>
      </c>
      <c r="P15" s="10" t="inlineStr">
        <is>
          <t>174</t>
        </is>
      </c>
      <c r="Q15" s="30" t="n">
        <v>5.3318</v>
      </c>
      <c r="R15" s="10">
        <f>MAX(MAX(1.4/'Parametros'!$B$3,0.25*SQRT('Parametros'!$B$2)/'Parametros'!$B$3)*H15*U15,(0.85*'Parametros'!$B$2/'Parametros'!$B$3)*(1-SQRT(1-2*(J15*1000000/('Parametros'!$B$5*H15*U15^2))/(0.85*'Parametros'!$B$2)))*H15*U15)</f>
        <v>734.025</v>
      </c>
      <c r="S15" s="31" t="n">
        <v>4</v>
      </c>
      <c r="T15" s="32" t="n">
        <v>1</v>
      </c>
      <c r="U15" s="10">
        <f>IF(T15=1,I15-('Parametros'!$B$7+'Parametros'!$B$9+'Parametros'!$B$12/2),I15-(ROUNDUP(S15/2,0)*('Parametros'!$B$7+'Parametros'!$B$9+'Parametros'!$B$12/2)+ROUNDDOWN(S15/2,0)*('Parametros'!$B$7+'Parametros'!$B$9+'Parametros'!$B$12/2+'Parametros'!$B$12+'Parametros'!$B$10))/S15)</f>
        <v>489.35</v>
      </c>
      <c r="V15" s="10">
        <f>S15*'Parametros'!$B$8</f>
        <v>796</v>
      </c>
      <c r="W15" s="10">
        <f>'Parametros'!$B$5*V15*'Parametros'!$B$3*(U15-(V15*'Parametros'!$B$3/(0.85*'Parametros'!$B$2*H15))/2)/1000000</f>
        <v>142.543330094118</v>
      </c>
      <c r="X15" s="10" t="str">
        <f>IF(W15&gt;=J15,"CUMPLE","NO CUMPLE")</f>
        <v>CUMPLE</v>
      </c>
      <c r="Y15" s="10">
        <f>MAX(MAX(1.4/'Parametros'!$B$3,0.25*SQRT('Parametros'!$B$2)/'Parametros'!$B$3)*H15*AB15,(0.85*'Parametros'!$B$2/'Parametros'!$B$3)*(1-SQRT(1-2*(L15*1000000/('Parametros'!$B$5*H15*AB15^2))/(0.85*'Parametros'!$B$2)))*H15*AB15)</f>
        <v>734.025</v>
      </c>
      <c r="Z15" s="31" t="n">
        <v>4</v>
      </c>
      <c r="AA15" s="32" t="n">
        <v>1</v>
      </c>
      <c r="AB15" s="10">
        <f>IF(AA15=1,I15-('Parametros'!$B$7+'Parametros'!$B$9+'Parametros'!$B$12/2),I15-(ROUNDUP(Z15/2,0)*('Parametros'!$B$7+'Parametros'!$B$9+'Parametros'!$B$12/2)+ROUNDDOWN(Z15/2,0)*('Parametros'!$B$7+'Parametros'!$B$9+'Parametros'!$B$12/2+'Parametros'!$B$12+'Parametros'!$B$10))/Z15)</f>
        <v>489.35</v>
      </c>
      <c r="AC15" s="10">
        <f>Z15*'Parametros'!$B$8</f>
        <v>796</v>
      </c>
      <c r="AD15" s="10">
        <f>'Parametros'!$B$5*AC15*'Parametros'!$B$3*(AB15-(AC15*'Parametros'!$B$3/(0.85*'Parametros'!$B$2*H15))/2)/1000000</f>
        <v>142.543330094118</v>
      </c>
      <c r="AE15" s="10" t="str">
        <f>IF(AD15&gt;=L15,"CUMPLE","NO CUMPLE")</f>
        <v>CUMPLE</v>
      </c>
      <c r="AF15" s="10">
        <f>V15*1.25*'Parametros'!$B$3*(U15-(V15*1.25*'Parametros'!$B$3/(0.85*'Parametros'!$B$2*H15))/2)/1000000</f>
        <v>196.346217941176</v>
      </c>
      <c r="AG15" s="10">
        <f>AC15*1.25*'Parametros'!$B$3*(AB15-(AC15*1.25*'Parametros'!$B$3/(0.85*'Parametros'!$B$2*H15))/2)/1000000</f>
        <v>196.346217941176</v>
      </c>
      <c r="AH15" s="10">
        <f>N15+(AF15+AG15)/D15</f>
        <v>144.314265359477</v>
      </c>
      <c r="AI15" s="10">
        <f>MAX(O15,AH15)</f>
        <v>144.314265359477</v>
      </c>
      <c r="AJ15" s="10">
        <f>0.17*SQRT('Parametros'!$B$2)*H15*MIN(U15,AB15)/1000</f>
        <v>198.088855822627</v>
      </c>
      <c r="AK15" s="10">
        <f>MAX(AI15/'Parametros'!$B$6-AJ15,0)</f>
        <v>0</v>
      </c>
      <c r="AL15" s="10">
        <f>0.66*SQRT('Parametros'!$B$2)*H15*MIN(U15,AB15)/1000</f>
        <v>769.050852017258</v>
      </c>
      <c r="AM15" s="10" t="str">
        <f>IF(AK15&lt;=AL15,"CUMPLE","NO CUMPLE")</f>
        <v>CUMPLE</v>
      </c>
      <c r="AN15" s="17" t="inlineStr">
        <is>
          <t>Nº3 cerrado</t>
        </is>
      </c>
      <c r="AO15" s="31" t="n">
        <v>2</v>
      </c>
      <c r="AP15" s="10">
        <f>ROUNDDOWN(MIN(IF(BC15+BD15=0,1000000000,AO15*BB15/(BC15+BD15)),MIN(U15,AB15)/4,8*'Parametros'!$B$12,24*BA15,300,IF(AV15=0,1000000000,2*((H15-2*('Parametros'!$B$7+'Parametros'!$B$9/2))+(I15-2*('Parametros'!$B$7+'Parametros'!$B$9/2)))/8))/10,0)*10</f>
        <v>120</v>
      </c>
      <c r="AQ15" s="10">
        <f>ROUNDDOWN(MIN(IF(BC15+BD15=0,1000000000,AO15*BB15/(BC15+BD15)),IF(AK15&gt;0.33*SQRT('Parametros'!$B$2)*H15*MIN(U15,AB15)/1000,MIN(U15,AB15)/4,MIN(U15,AB15)/2),600,IF(AV15=0,1000000000,2*((H15-2*('Parametros'!$B$7+'Parametros'!$B$9/2))+(I15-2*('Parametros'!$B$7+'Parametros'!$B$9/2)))/8))/10,0)*10</f>
        <v>240</v>
      </c>
      <c r="AR15" s="10">
        <f>'Parametros'!$B$6*(AJ15+MAX(BE15-BD15,0)*'Parametros'!$B$4*MIN(U15,AB15)/1000)</f>
        <v>330.97185436697</v>
      </c>
      <c r="AS15" s="10" t="str">
        <f>IF(AND(ISERROR(SEARCH("referencia",AN15)),AM15="CUMPLE",AR15&gt;=AI15),"CUMPLE","NO CUMPLE")</f>
        <v>CUMPLE</v>
      </c>
      <c r="AT15" s="10">
        <f>'Parametros'!$B$6*0.083*SQRT('Parametros'!$B$2)*(H15*I15)^2/(2*(H15+I15))/1000000</f>
        <v>10.0887830333379</v>
      </c>
      <c r="AU15" s="10" t="str">
        <f>IF(Q15&lt;=AT15,"DESPRECIABLE","DISEÑAR")</f>
        <v>DESPRECIABLE</v>
      </c>
      <c r="AV15" s="10">
        <f>IF(Q15&lt;=AT15,0,Q15*1000000/('Parametros'!$B$6*2*0.85*(H15-2*('Parametros'!$B$7+'Parametros'!$B$9/2))*(I15-2*('Parametros'!$B$7+'Parametros'!$B$9/2))*'Parametros'!$B$4))</f>
        <v>0</v>
      </c>
      <c r="AW15" s="10">
        <f>AV15*2*((H15-2*('Parametros'!$B$7+'Parametros'!$B$9/2))+(I15-2*('Parametros'!$B$7+'Parametros'!$B$9/2)))*'Parametros'!$B$4/'Parametros'!$B$3</f>
        <v>0</v>
      </c>
      <c r="AX15" s="31" t="n">
        <v>0</v>
      </c>
      <c r="AY15" s="10" t="str">
        <f>IF(AV15=0,"DESPRECIABLE",IF(AND(ISERROR(SEARCH("referencia",AN15)),BB15/AP15&gt;=AV15,BI15&gt;=AW15,BH15="CUMPLE"),"CUMPLE","NO CUMPLE"))</f>
        <v>DESPRECIABLE</v>
      </c>
      <c r="AZ15" s="10" t="str">
        <f>IF(AND(X15="CUMPLE",AE15="CUMPLE",AS15="CUMPLE",OR(AY15="CUMPLE",AY15="DESPRECIABLE"),BH15="CUMPLE",BJ15="CUMPLE"),"CUMPLE","NO CUMPLE")</f>
        <v>CUMPLE</v>
      </c>
      <c r="BA15" s="32" t="n">
        <v>9.5</v>
      </c>
      <c r="BB15" s="32" t="n">
        <v>71</v>
      </c>
      <c r="BC15" s="10">
        <f>MAX(IF(AK15=0,0,AK15*1000/('Parametros'!$B$4*MIN(U15,AB15))),MAX(0.062*SQRT('Parametros'!$B$2)*H15/'Parametros'!$B$4,0.35*H15/'Parametros'!$B$4))</f>
        <v>0.375</v>
      </c>
      <c r="BD15" s="10">
        <f>2*AV15</f>
        <v>0</v>
      </c>
      <c r="BE15" s="10">
        <f>AO15*BB15/AP15</f>
        <v>1.18333333333333</v>
      </c>
      <c r="BF15" s="10">
        <f>SQRT((AI15*1000/(H15*MIN(U15,AB15)))^2+(Q15*1000000*2*((H15-2*('Parametros'!$B$7+'Parametros'!$B$9/2))+(I15-2*('Parametros'!$B$7+'Parametros'!$B$9/2)))/(1.7*((H15-2*('Parametros'!$B$7+'Parametros'!$B$9/2))*(I15-2*('Parametros'!$B$7+'Parametros'!$B$9/2)))^2))^2)</f>
        <v>0.68273226118803</v>
      </c>
      <c r="BG15" s="10">
        <f>'Parametros'!$B$6*(AJ15*1000/(H15*MIN(U15,AB15))+0.66*SQRT('Parametros'!$B$2))</f>
        <v>3.29396038227542</v>
      </c>
      <c r="BH15" s="10" t="str">
        <f>IF(BF15&lt;=BG15,"CUMPLE","NO CUMPLE")</f>
        <v>CUMPLE</v>
      </c>
      <c r="BI15" s="10">
        <f>AX15*'Parametros'!$B$8</f>
        <v>0</v>
      </c>
      <c r="BJ15" s="10" t="str">
        <f>IF(BI15&gt;=AW15,"CUMPLE","NO CUMPLE")</f>
        <v>CUMPLE</v>
      </c>
    </row>
    <row r="16">
      <c r="A16" s="13" t="inlineStr">
        <is>
          <t>VC1</t>
        </is>
      </c>
      <c r="B16" s="13" t="inlineStr">
        <is>
          <t>178</t>
        </is>
      </c>
      <c r="C16" s="10" t="n">
        <v>1</v>
      </c>
      <c r="D16" s="10" t="n">
        <v>3.15</v>
      </c>
      <c r="E16" s="10" t="n">
        <v>3.15</v>
      </c>
      <c r="F16" s="10" t="n">
        <v>450</v>
      </c>
      <c r="G16" s="10" t="n">
        <v>550</v>
      </c>
      <c r="H16" s="17" t="n">
        <v>450</v>
      </c>
      <c r="I16" s="17" t="n">
        <v>550</v>
      </c>
      <c r="J16" s="30" t="n">
        <v>33.2135</v>
      </c>
      <c r="K16" s="10" t="inlineStr">
        <is>
          <t>178</t>
        </is>
      </c>
      <c r="L16" s="30" t="n">
        <v>20.6348</v>
      </c>
      <c r="M16" s="10" t="inlineStr">
        <is>
          <t>178</t>
        </is>
      </c>
      <c r="N16" s="30" t="n">
        <v>27.309</v>
      </c>
      <c r="O16" s="30" t="n">
        <v>72.90900000000001</v>
      </c>
      <c r="P16" s="10" t="inlineStr">
        <is>
          <t>178</t>
        </is>
      </c>
      <c r="Q16" s="30" t="n">
        <v>12.0751</v>
      </c>
      <c r="R16" s="10">
        <f>MAX(MAX(1.4/'Parametros'!$B$3,0.25*SQRT('Parametros'!$B$2)/'Parametros'!$B$3)*H16*U16,(0.85*'Parametros'!$B$2/'Parametros'!$B$3)*(1-SQRT(1-2*(J16*1000000/('Parametros'!$B$5*H16*U16^2))/(0.85*'Parametros'!$B$2)))*H16*U16)</f>
        <v>734.025</v>
      </c>
      <c r="S16" s="31" t="n">
        <v>4</v>
      </c>
      <c r="T16" s="32" t="n">
        <v>1</v>
      </c>
      <c r="U16" s="10">
        <f>IF(T16=1,I16-('Parametros'!$B$7+'Parametros'!$B$9+'Parametros'!$B$12/2),I16-(ROUNDUP(S16/2,0)*('Parametros'!$B$7+'Parametros'!$B$9+'Parametros'!$B$12/2)+ROUNDDOWN(S16/2,0)*('Parametros'!$B$7+'Parametros'!$B$9+'Parametros'!$B$12/2+'Parametros'!$B$12+'Parametros'!$B$10))/S16)</f>
        <v>489.35</v>
      </c>
      <c r="V16" s="10">
        <f>S16*'Parametros'!$B$8</f>
        <v>796</v>
      </c>
      <c r="W16" s="10">
        <f>'Parametros'!$B$5*V16*'Parametros'!$B$3*(U16-(V16*'Parametros'!$B$3/(0.85*'Parametros'!$B$2*H16))/2)/1000000</f>
        <v>142.543330094118</v>
      </c>
      <c r="X16" s="10" t="str">
        <f>IF(W16&gt;=J16,"CUMPLE","NO CUMPLE")</f>
        <v>CUMPLE</v>
      </c>
      <c r="Y16" s="10">
        <f>MAX(MAX(1.4/'Parametros'!$B$3,0.25*SQRT('Parametros'!$B$2)/'Parametros'!$B$3)*H16*AB16,(0.85*'Parametros'!$B$2/'Parametros'!$B$3)*(1-SQRT(1-2*(L16*1000000/('Parametros'!$B$5*H16*AB16^2))/(0.85*'Parametros'!$B$2)))*H16*AB16)</f>
        <v>734.025</v>
      </c>
      <c r="Z16" s="31" t="n">
        <v>4</v>
      </c>
      <c r="AA16" s="32" t="n">
        <v>1</v>
      </c>
      <c r="AB16" s="10">
        <f>IF(AA16=1,I16-('Parametros'!$B$7+'Parametros'!$B$9+'Parametros'!$B$12/2),I16-(ROUNDUP(Z16/2,0)*('Parametros'!$B$7+'Parametros'!$B$9+'Parametros'!$B$12/2)+ROUNDDOWN(Z16/2,0)*('Parametros'!$B$7+'Parametros'!$B$9+'Parametros'!$B$12/2+'Parametros'!$B$12+'Parametros'!$B$10))/Z16)</f>
        <v>489.35</v>
      </c>
      <c r="AC16" s="10">
        <f>Z16*'Parametros'!$B$8</f>
        <v>796</v>
      </c>
      <c r="AD16" s="10">
        <f>'Parametros'!$B$5*AC16*'Parametros'!$B$3*(AB16-(AC16*'Parametros'!$B$3/(0.85*'Parametros'!$B$2*H16))/2)/1000000</f>
        <v>142.543330094118</v>
      </c>
      <c r="AE16" s="10" t="str">
        <f>IF(AD16&gt;=L16,"CUMPLE","NO CUMPLE")</f>
        <v>CUMPLE</v>
      </c>
      <c r="AF16" s="10">
        <f>V16*1.25*'Parametros'!$B$3*(U16-(V16*1.25*'Parametros'!$B$3/(0.85*'Parametros'!$B$2*H16))/2)/1000000</f>
        <v>196.346217941176</v>
      </c>
      <c r="AG16" s="10">
        <f>AC16*1.25*'Parametros'!$B$3*(AB16-(AC16*1.25*'Parametros'!$B$3/(0.85*'Parametros'!$B$2*H16))/2)/1000000</f>
        <v>196.346217941176</v>
      </c>
      <c r="AH16" s="10">
        <f>N16+(AF16+AG16)/D16</f>
        <v>151.973265359477</v>
      </c>
      <c r="AI16" s="10">
        <f>MAX(O16,AH16)</f>
        <v>151.973265359477</v>
      </c>
      <c r="AJ16" s="10">
        <f>0.17*SQRT('Parametros'!$B$2)*H16*MIN(U16,AB16)/1000</f>
        <v>198.088855822627</v>
      </c>
      <c r="AK16" s="10">
        <f>MAX(AI16/'Parametros'!$B$6-AJ16,0)</f>
        <v>4.54216465667585</v>
      </c>
      <c r="AL16" s="10">
        <f>0.66*SQRT('Parametros'!$B$2)*H16*MIN(U16,AB16)/1000</f>
        <v>769.050852017258</v>
      </c>
      <c r="AM16" s="10" t="str">
        <f>IF(AK16&lt;=AL16,"CUMPLE","NO CUMPLE")</f>
        <v>CUMPLE</v>
      </c>
      <c r="AN16" s="17" t="inlineStr">
        <is>
          <t>Nº3 cerrado</t>
        </is>
      </c>
      <c r="AO16" s="31" t="n">
        <v>2</v>
      </c>
      <c r="AP16" s="10">
        <f>ROUNDDOWN(MIN(IF(BC16+BD16=0,1000000000,AO16*BB16/(BC16+BD16)),MIN(U16,AB16)/4,8*'Parametros'!$B$12,24*BA16,300,IF(AV16=0,1000000000,2*((H16-2*('Parametros'!$B$7+'Parametros'!$B$9/2))+(I16-2*('Parametros'!$B$7+'Parametros'!$B$9/2)))/8))/10,0)*10</f>
        <v>120</v>
      </c>
      <c r="AQ16" s="10">
        <f>ROUNDDOWN(MIN(IF(BC16+BD16=0,1000000000,AO16*BB16/(BC16+BD16)),IF(AK16&gt;0.33*SQRT('Parametros'!$B$2)*H16*MIN(U16,AB16)/1000,MIN(U16,AB16)/4,MIN(U16,AB16)/2),600,IF(AV16=0,1000000000,2*((H16-2*('Parametros'!$B$7+'Parametros'!$B$9/2))+(I16-2*('Parametros'!$B$7+'Parametros'!$B$9/2)))/8))/10,0)*10</f>
        <v>200</v>
      </c>
      <c r="AR16" s="10">
        <f>'Parametros'!$B$6*(AJ16+MAX(BE16-BD16,0)*'Parametros'!$B$4*MIN(U16,AB16)/1000)</f>
        <v>288.426006247993</v>
      </c>
      <c r="AS16" s="10" t="str">
        <f>IF(AND(ISERROR(SEARCH("referencia",AN16)),AM16="CUMPLE",AR16&gt;=AI16),"CUMPLE","NO CUMPLE")</f>
        <v>CUMPLE</v>
      </c>
      <c r="AT16" s="10">
        <f>'Parametros'!$B$6*0.083*SQRT('Parametros'!$B$2)*(H16*I16)^2/(2*(H16+I16))/1000000</f>
        <v>10.0887830333379</v>
      </c>
      <c r="AU16" s="10" t="str">
        <f>IF(Q16&lt;=AT16,"DESPRECIABLE","DISEÑAR")</f>
        <v>DISEÑAR</v>
      </c>
      <c r="AV16" s="10">
        <f>IF(Q16&lt;=AT16,0,Q16*1000000/('Parametros'!$B$6*2*0.85*(H16-2*('Parametros'!$B$7+'Parametros'!$B$9/2))*(I16-2*('Parametros'!$B$7+'Parametros'!$B$9/2))*'Parametros'!$B$4))</f>
        <v>0.138005706043414</v>
      </c>
      <c r="AW16" s="10">
        <f>AV16*2*((H16-2*('Parametros'!$B$7+'Parametros'!$B$9/2))+(I16-2*('Parametros'!$B$7+'Parametros'!$B$9/2)))*'Parametros'!$B$4/'Parametros'!$B$3</f>
        <v>224.838896285931</v>
      </c>
      <c r="AX16" s="31" t="n">
        <v>8</v>
      </c>
      <c r="AY16" s="10" t="str">
        <f>IF(AV16=0,"DESPRECIABLE",IF(AND(ISERROR(SEARCH("referencia",AN16)),BB16/AP16&gt;=AV16,BI16&gt;=AW16,BH16="CUMPLE"),"CUMPLE","NO CUMPLE"))</f>
        <v>CUMPLE</v>
      </c>
      <c r="AZ16" s="10" t="str">
        <f>IF(AND(X16="CUMPLE",AE16="CUMPLE",AS16="CUMPLE",OR(AY16="CUMPLE",AY16="DESPRECIABLE"),BH16="CUMPLE",BJ16="CUMPLE"),"CUMPLE","NO CUMPLE")</f>
        <v>CUMPLE</v>
      </c>
      <c r="BA16" s="32" t="n">
        <v>9.5</v>
      </c>
      <c r="BB16" s="32" t="n">
        <v>71</v>
      </c>
      <c r="BC16" s="10">
        <f>MAX(IF(AK16=0,0,AK16*1000/('Parametros'!$B$4*MIN(U16,AB16))),MAX(0.062*SQRT('Parametros'!$B$2)*H16/'Parametros'!$B$4,0.35*H16/'Parametros'!$B$4))</f>
        <v>0.375</v>
      </c>
      <c r="BD16" s="10">
        <f>2*AV16</f>
        <v>0.276011412086829</v>
      </c>
      <c r="BE16" s="10">
        <f>AO16*BB16/AP16</f>
        <v>1.18333333333333</v>
      </c>
      <c r="BF16" s="10">
        <f>SQRT((AI16*1000/(H16*MIN(U16,AB16)))^2+(Q16*1000000*2*((H16-2*('Parametros'!$B$7+'Parametros'!$B$9/2))+(I16-2*('Parametros'!$B$7+'Parametros'!$B$9/2)))/(1.7*((H16-2*('Parametros'!$B$7+'Parametros'!$B$9/2))*(I16-2*('Parametros'!$B$7+'Parametros'!$B$9/2)))^2))^2)</f>
        <v>0.81496937559621</v>
      </c>
      <c r="BG16" s="10">
        <f>'Parametros'!$B$6*(AJ16*1000/(H16*MIN(U16,AB16))+0.66*SQRT('Parametros'!$B$2))</f>
        <v>3.29396038227542</v>
      </c>
      <c r="BH16" s="10" t="str">
        <f>IF(BF16&lt;=BG16,"CUMPLE","NO CUMPLE")</f>
        <v>CUMPLE</v>
      </c>
      <c r="BI16" s="10">
        <f>AX16*'Parametros'!$B$8</f>
        <v>1592</v>
      </c>
      <c r="BJ16" s="10" t="str">
        <f>IF(BI16&gt;=AW16,"CUMPLE","NO CUMPLE")</f>
        <v>CUMPLE</v>
      </c>
    </row>
    <row r="17">
      <c r="A17" s="13" t="inlineStr">
        <is>
          <t>VC1</t>
        </is>
      </c>
      <c r="B17" s="13" t="inlineStr">
        <is>
          <t>179</t>
        </is>
      </c>
      <c r="C17" s="10" t="n">
        <v>1</v>
      </c>
      <c r="D17" s="10" t="n">
        <v>3.15</v>
      </c>
      <c r="E17" s="10" t="n">
        <v>3.15</v>
      </c>
      <c r="F17" s="10" t="n">
        <v>450</v>
      </c>
      <c r="G17" s="10" t="n">
        <v>550</v>
      </c>
      <c r="H17" s="17" t="n">
        <v>450</v>
      </c>
      <c r="I17" s="17" t="n">
        <v>550</v>
      </c>
      <c r="J17" s="30" t="n">
        <v>33.208</v>
      </c>
      <c r="K17" s="10" t="inlineStr">
        <is>
          <t>179</t>
        </is>
      </c>
      <c r="L17" s="30" t="n">
        <v>20.638</v>
      </c>
      <c r="M17" s="10" t="inlineStr">
        <is>
          <t>179</t>
        </is>
      </c>
      <c r="N17" s="30" t="n">
        <v>27.306</v>
      </c>
      <c r="O17" s="30" t="n">
        <v>72.907</v>
      </c>
      <c r="P17" s="10" t="inlineStr">
        <is>
          <t>179</t>
        </is>
      </c>
      <c r="Q17" s="30" t="n">
        <v>12.075</v>
      </c>
      <c r="R17" s="10">
        <f>MAX(MAX(1.4/'Parametros'!$B$3,0.25*SQRT('Parametros'!$B$2)/'Parametros'!$B$3)*H17*U17,(0.85*'Parametros'!$B$2/'Parametros'!$B$3)*(1-SQRT(1-2*(J17*1000000/('Parametros'!$B$5*H17*U17^2))/(0.85*'Parametros'!$B$2)))*H17*U17)</f>
        <v>734.025</v>
      </c>
      <c r="S17" s="31" t="n">
        <v>4</v>
      </c>
      <c r="T17" s="32" t="n">
        <v>1</v>
      </c>
      <c r="U17" s="10">
        <f>IF(T17=1,I17-('Parametros'!$B$7+'Parametros'!$B$9+'Parametros'!$B$12/2),I17-(ROUNDUP(S17/2,0)*('Parametros'!$B$7+'Parametros'!$B$9+'Parametros'!$B$12/2)+ROUNDDOWN(S17/2,0)*('Parametros'!$B$7+'Parametros'!$B$9+'Parametros'!$B$12/2+'Parametros'!$B$12+'Parametros'!$B$10))/S17)</f>
        <v>489.35</v>
      </c>
      <c r="V17" s="10">
        <f>S17*'Parametros'!$B$8</f>
        <v>796</v>
      </c>
      <c r="W17" s="10">
        <f>'Parametros'!$B$5*V17*'Parametros'!$B$3*(U17-(V17*'Parametros'!$B$3/(0.85*'Parametros'!$B$2*H17))/2)/1000000</f>
        <v>142.543330094118</v>
      </c>
      <c r="X17" s="10" t="str">
        <f>IF(W17&gt;=J17,"CUMPLE","NO CUMPLE")</f>
        <v>CUMPLE</v>
      </c>
      <c r="Y17" s="10">
        <f>MAX(MAX(1.4/'Parametros'!$B$3,0.25*SQRT('Parametros'!$B$2)/'Parametros'!$B$3)*H17*AB17,(0.85*'Parametros'!$B$2/'Parametros'!$B$3)*(1-SQRT(1-2*(L17*1000000/('Parametros'!$B$5*H17*AB17^2))/(0.85*'Parametros'!$B$2)))*H17*AB17)</f>
        <v>734.025</v>
      </c>
      <c r="Z17" s="31" t="n">
        <v>4</v>
      </c>
      <c r="AA17" s="32" t="n">
        <v>1</v>
      </c>
      <c r="AB17" s="10">
        <f>IF(AA17=1,I17-('Parametros'!$B$7+'Parametros'!$B$9+'Parametros'!$B$12/2),I17-(ROUNDUP(Z17/2,0)*('Parametros'!$B$7+'Parametros'!$B$9+'Parametros'!$B$12/2)+ROUNDDOWN(Z17/2,0)*('Parametros'!$B$7+'Parametros'!$B$9+'Parametros'!$B$12/2+'Parametros'!$B$12+'Parametros'!$B$10))/Z17)</f>
        <v>489.35</v>
      </c>
      <c r="AC17" s="10">
        <f>Z17*'Parametros'!$B$8</f>
        <v>796</v>
      </c>
      <c r="AD17" s="10">
        <f>'Parametros'!$B$5*AC17*'Parametros'!$B$3*(AB17-(AC17*'Parametros'!$B$3/(0.85*'Parametros'!$B$2*H17))/2)/1000000</f>
        <v>142.543330094118</v>
      </c>
      <c r="AE17" s="10" t="str">
        <f>IF(AD17&gt;=L17,"CUMPLE","NO CUMPLE")</f>
        <v>CUMPLE</v>
      </c>
      <c r="AF17" s="10">
        <f>V17*1.25*'Parametros'!$B$3*(U17-(V17*1.25*'Parametros'!$B$3/(0.85*'Parametros'!$B$2*H17))/2)/1000000</f>
        <v>196.346217941176</v>
      </c>
      <c r="AG17" s="10">
        <f>AC17*1.25*'Parametros'!$B$3*(AB17-(AC17*1.25*'Parametros'!$B$3/(0.85*'Parametros'!$B$2*H17))/2)/1000000</f>
        <v>196.346217941176</v>
      </c>
      <c r="AH17" s="10">
        <f>N17+(AF17+AG17)/D17</f>
        <v>151.970265359477</v>
      </c>
      <c r="AI17" s="10">
        <f>MAX(O17,AH17)</f>
        <v>151.970265359477</v>
      </c>
      <c r="AJ17" s="10">
        <f>0.17*SQRT('Parametros'!$B$2)*H17*MIN(U17,AB17)/1000</f>
        <v>198.088855822627</v>
      </c>
      <c r="AK17" s="10">
        <f>MAX(AI17/'Parametros'!$B$6-AJ17,0)</f>
        <v>4.53816465667586</v>
      </c>
      <c r="AL17" s="10">
        <f>0.66*SQRT('Parametros'!$B$2)*H17*MIN(U17,AB17)/1000</f>
        <v>769.050852017258</v>
      </c>
      <c r="AM17" s="10" t="str">
        <f>IF(AK17&lt;=AL17,"CUMPLE","NO CUMPLE")</f>
        <v>CUMPLE</v>
      </c>
      <c r="AN17" s="17" t="inlineStr">
        <is>
          <t>Nº3 cerrado</t>
        </is>
      </c>
      <c r="AO17" s="31" t="n">
        <v>2</v>
      </c>
      <c r="AP17" s="10">
        <f>ROUNDDOWN(MIN(IF(BC17+BD17=0,1000000000,AO17*BB17/(BC17+BD17)),MIN(U17,AB17)/4,8*'Parametros'!$B$12,24*BA17,300,IF(AV17=0,1000000000,2*((H17-2*('Parametros'!$B$7+'Parametros'!$B$9/2))+(I17-2*('Parametros'!$B$7+'Parametros'!$B$9/2)))/8))/10,0)*10</f>
        <v>120</v>
      </c>
      <c r="AQ17" s="10">
        <f>ROUNDDOWN(MIN(IF(BC17+BD17=0,1000000000,AO17*BB17/(BC17+BD17)),IF(AK17&gt;0.33*SQRT('Parametros'!$B$2)*H17*MIN(U17,AB17)/1000,MIN(U17,AB17)/4,MIN(U17,AB17)/2),600,IF(AV17=0,1000000000,2*((H17-2*('Parametros'!$B$7+'Parametros'!$B$9/2))+(I17-2*('Parametros'!$B$7+'Parametros'!$B$9/2)))/8))/10,0)*10</f>
        <v>200</v>
      </c>
      <c r="AR17" s="10">
        <f>'Parametros'!$B$6*(AJ17+MAX(BE17-BD17,0)*'Parametros'!$B$4*MIN(U17,AB17)/1000)</f>
        <v>288.426358591643</v>
      </c>
      <c r="AS17" s="10" t="str">
        <f>IF(AND(ISERROR(SEARCH("referencia",AN17)),AM17="CUMPLE",AR17&gt;=AI17),"CUMPLE","NO CUMPLE")</f>
        <v>CUMPLE</v>
      </c>
      <c r="AT17" s="10">
        <f>'Parametros'!$B$6*0.083*SQRT('Parametros'!$B$2)*(H17*I17)^2/(2*(H17+I17))/1000000</f>
        <v>10.0887830333379</v>
      </c>
      <c r="AU17" s="10" t="str">
        <f>IF(Q17&lt;=AT17,"DESPRECIABLE","DISEÑAR")</f>
        <v>DISEÑAR</v>
      </c>
      <c r="AV17" s="10">
        <f>IF(Q17&lt;=AT17,0,Q17*1000000/('Parametros'!$B$6*2*0.85*(H17-2*('Parametros'!$B$7+'Parametros'!$B$9/2))*(I17-2*('Parametros'!$B$7+'Parametros'!$B$9/2))*'Parametros'!$B$4))</f>
        <v>0.138004563148481</v>
      </c>
      <c r="AW17" s="10">
        <f>AV17*2*((H17-2*('Parametros'!$B$7+'Parametros'!$B$9/2))+(I17-2*('Parametros'!$B$7+'Parametros'!$B$9/2)))*'Parametros'!$B$4/'Parametros'!$B$3</f>
        <v>224.837034281506</v>
      </c>
      <c r="AX17" s="31" t="n">
        <v>8</v>
      </c>
      <c r="AY17" s="10" t="str">
        <f>IF(AV17=0,"DESPRECIABLE",IF(AND(ISERROR(SEARCH("referencia",AN17)),BB17/AP17&gt;=AV17,BI17&gt;=AW17,BH17="CUMPLE"),"CUMPLE","NO CUMPLE"))</f>
        <v>CUMPLE</v>
      </c>
      <c r="AZ17" s="10" t="str">
        <f>IF(AND(X17="CUMPLE",AE17="CUMPLE",AS17="CUMPLE",OR(AY17="CUMPLE",AY17="DESPRECIABLE"),BH17="CUMPLE",BJ17="CUMPLE"),"CUMPLE","NO CUMPLE")</f>
        <v>CUMPLE</v>
      </c>
      <c r="BA17" s="32" t="n">
        <v>9.5</v>
      </c>
      <c r="BB17" s="32" t="n">
        <v>71</v>
      </c>
      <c r="BC17" s="10">
        <f>MAX(IF(AK17=0,0,AK17*1000/('Parametros'!$B$4*MIN(U17,AB17))),MAX(0.062*SQRT('Parametros'!$B$2)*H17/'Parametros'!$B$4,0.35*H17/'Parametros'!$B$4))</f>
        <v>0.375</v>
      </c>
      <c r="BD17" s="10">
        <f>2*AV17</f>
        <v>0.276009126296963</v>
      </c>
      <c r="BE17" s="10">
        <f>AO17*BB17/AP17</f>
        <v>1.18333333333333</v>
      </c>
      <c r="BF17" s="10">
        <f>SQRT((AI17*1000/(H17*MIN(U17,AB17)))^2+(Q17*1000000*2*((H17-2*('Parametros'!$B$7+'Parametros'!$B$9/2))+(I17-2*('Parametros'!$B$7+'Parametros'!$B$9/2)))/(1.7*((H17-2*('Parametros'!$B$7+'Parametros'!$B$9/2))*(I17-2*('Parametros'!$B$7+'Parametros'!$B$9/2)))^2))^2)</f>
        <v>0.814955929618013</v>
      </c>
      <c r="BG17" s="10">
        <f>'Parametros'!$B$6*(AJ17*1000/(H17*MIN(U17,AB17))+0.66*SQRT('Parametros'!$B$2))</f>
        <v>3.29396038227542</v>
      </c>
      <c r="BH17" s="10" t="str">
        <f>IF(BF17&lt;=BG17,"CUMPLE","NO CUMPLE")</f>
        <v>CUMPLE</v>
      </c>
      <c r="BI17" s="10">
        <f>AX17*'Parametros'!$B$8</f>
        <v>1592</v>
      </c>
      <c r="BJ17" s="10" t="str">
        <f>IF(BI17&gt;=AW17,"CUMPLE","NO CUMPLE")</f>
        <v>CUMPLE</v>
      </c>
    </row>
    <row r="18">
      <c r="A18" s="13" t="inlineStr">
        <is>
          <t>VC1</t>
        </is>
      </c>
      <c r="B18" s="13" t="inlineStr">
        <is>
          <t>183</t>
        </is>
      </c>
      <c r="C18" s="10" t="n">
        <v>1</v>
      </c>
      <c r="D18" s="10" t="n">
        <v>3.15</v>
      </c>
      <c r="E18" s="10" t="n">
        <v>3.15</v>
      </c>
      <c r="F18" s="10" t="n">
        <v>450</v>
      </c>
      <c r="G18" s="10" t="n">
        <v>550</v>
      </c>
      <c r="H18" s="17" t="n">
        <v>450</v>
      </c>
      <c r="I18" s="17" t="n">
        <v>550</v>
      </c>
      <c r="J18" s="30" t="n">
        <v>27.9603</v>
      </c>
      <c r="K18" s="10" t="inlineStr">
        <is>
          <t>183</t>
        </is>
      </c>
      <c r="L18" s="30" t="n">
        <v>18.2957</v>
      </c>
      <c r="M18" s="10" t="inlineStr">
        <is>
          <t>183</t>
        </is>
      </c>
      <c r="N18" s="30" t="n">
        <v>25.457</v>
      </c>
      <c r="O18" s="30" t="n">
        <v>61.161</v>
      </c>
      <c r="P18" s="10" t="inlineStr">
        <is>
          <t>183</t>
        </is>
      </c>
      <c r="Q18" s="30" t="n">
        <v>9.9231</v>
      </c>
      <c r="R18" s="10">
        <f>MAX(MAX(1.4/'Parametros'!$B$3,0.25*SQRT('Parametros'!$B$2)/'Parametros'!$B$3)*H18*U18,(0.85*'Parametros'!$B$2/'Parametros'!$B$3)*(1-SQRT(1-2*(J18*1000000/('Parametros'!$B$5*H18*U18^2))/(0.85*'Parametros'!$B$2)))*H18*U18)</f>
        <v>734.025</v>
      </c>
      <c r="S18" s="31" t="n">
        <v>4</v>
      </c>
      <c r="T18" s="32" t="n">
        <v>1</v>
      </c>
      <c r="U18" s="10">
        <f>IF(T18=1,I18-('Parametros'!$B$7+'Parametros'!$B$9+'Parametros'!$B$12/2),I18-(ROUNDUP(S18/2,0)*('Parametros'!$B$7+'Parametros'!$B$9+'Parametros'!$B$12/2)+ROUNDDOWN(S18/2,0)*('Parametros'!$B$7+'Parametros'!$B$9+'Parametros'!$B$12/2+'Parametros'!$B$12+'Parametros'!$B$10))/S18)</f>
        <v>489.35</v>
      </c>
      <c r="V18" s="10">
        <f>S18*'Parametros'!$B$8</f>
        <v>796</v>
      </c>
      <c r="W18" s="10">
        <f>'Parametros'!$B$5*V18*'Parametros'!$B$3*(U18-(V18*'Parametros'!$B$3/(0.85*'Parametros'!$B$2*H18))/2)/1000000</f>
        <v>142.543330094118</v>
      </c>
      <c r="X18" s="10" t="str">
        <f>IF(W18&gt;=J18,"CUMPLE","NO CUMPLE")</f>
        <v>CUMPLE</v>
      </c>
      <c r="Y18" s="10">
        <f>MAX(MAX(1.4/'Parametros'!$B$3,0.25*SQRT('Parametros'!$B$2)/'Parametros'!$B$3)*H18*AB18,(0.85*'Parametros'!$B$2/'Parametros'!$B$3)*(1-SQRT(1-2*(L18*1000000/('Parametros'!$B$5*H18*AB18^2))/(0.85*'Parametros'!$B$2)))*H18*AB18)</f>
        <v>734.025</v>
      </c>
      <c r="Z18" s="31" t="n">
        <v>4</v>
      </c>
      <c r="AA18" s="32" t="n">
        <v>1</v>
      </c>
      <c r="AB18" s="10">
        <f>IF(AA18=1,I18-('Parametros'!$B$7+'Parametros'!$B$9+'Parametros'!$B$12/2),I18-(ROUNDUP(Z18/2,0)*('Parametros'!$B$7+'Parametros'!$B$9+'Parametros'!$B$12/2)+ROUNDDOWN(Z18/2,0)*('Parametros'!$B$7+'Parametros'!$B$9+'Parametros'!$B$12/2+'Parametros'!$B$12+'Parametros'!$B$10))/Z18)</f>
        <v>489.35</v>
      </c>
      <c r="AC18" s="10">
        <f>Z18*'Parametros'!$B$8</f>
        <v>796</v>
      </c>
      <c r="AD18" s="10">
        <f>'Parametros'!$B$5*AC18*'Parametros'!$B$3*(AB18-(AC18*'Parametros'!$B$3/(0.85*'Parametros'!$B$2*H18))/2)/1000000</f>
        <v>142.543330094118</v>
      </c>
      <c r="AE18" s="10" t="str">
        <f>IF(AD18&gt;=L18,"CUMPLE","NO CUMPLE")</f>
        <v>CUMPLE</v>
      </c>
      <c r="AF18" s="10">
        <f>V18*1.25*'Parametros'!$B$3*(U18-(V18*1.25*'Parametros'!$B$3/(0.85*'Parametros'!$B$2*H18))/2)/1000000</f>
        <v>196.346217941176</v>
      </c>
      <c r="AG18" s="10">
        <f>AC18*1.25*'Parametros'!$B$3*(AB18-(AC18*1.25*'Parametros'!$B$3/(0.85*'Parametros'!$B$2*H18))/2)/1000000</f>
        <v>196.346217941176</v>
      </c>
      <c r="AH18" s="10">
        <f>N18+(AF18+AG18)/D18</f>
        <v>150.121265359477</v>
      </c>
      <c r="AI18" s="10">
        <f>MAX(O18,AH18)</f>
        <v>150.121265359477</v>
      </c>
      <c r="AJ18" s="10">
        <f>0.17*SQRT('Parametros'!$B$2)*H18*MIN(U18,AB18)/1000</f>
        <v>198.088855822627</v>
      </c>
      <c r="AK18" s="10">
        <f>MAX(AI18/'Parametros'!$B$6-AJ18,0)</f>
        <v>2.07283132334251</v>
      </c>
      <c r="AL18" s="10">
        <f>0.66*SQRT('Parametros'!$B$2)*H18*MIN(U18,AB18)/1000</f>
        <v>769.050852017258</v>
      </c>
      <c r="AM18" s="10" t="str">
        <f>IF(AK18&lt;=AL18,"CUMPLE","NO CUMPLE")</f>
        <v>CUMPLE</v>
      </c>
      <c r="AN18" s="17" t="inlineStr">
        <is>
          <t>Nº3 cerrado</t>
        </is>
      </c>
      <c r="AO18" s="31" t="n">
        <v>2</v>
      </c>
      <c r="AP18" s="10">
        <f>ROUNDDOWN(MIN(IF(BC18+BD18=0,1000000000,AO18*BB18/(BC18+BD18)),MIN(U18,AB18)/4,8*'Parametros'!$B$12,24*BA18,300,IF(AV18=0,1000000000,2*((H18-2*('Parametros'!$B$7+'Parametros'!$B$9/2))+(I18-2*('Parametros'!$B$7+'Parametros'!$B$9/2)))/8))/10,0)*10</f>
        <v>120</v>
      </c>
      <c r="AQ18" s="10">
        <f>ROUNDDOWN(MIN(IF(BC18+BD18=0,1000000000,AO18*BB18/(BC18+BD18)),IF(AK18&gt;0.33*SQRT('Parametros'!$B$2)*H18*MIN(U18,AB18)/1000,MIN(U18,AB18)/4,MIN(U18,AB18)/2),600,IF(AV18=0,1000000000,2*((H18-2*('Parametros'!$B$7+'Parametros'!$B$9/2))+(I18-2*('Parametros'!$B$7+'Parametros'!$B$9/2)))/8))/10,0)*10</f>
        <v>240</v>
      </c>
      <c r="AR18" s="10">
        <f>'Parametros'!$B$6*(AJ18+MAX(BE18-BD18,0)*'Parametros'!$B$4*MIN(U18,AB18)/1000)</f>
        <v>330.97185436697</v>
      </c>
      <c r="AS18" s="10" t="str">
        <f>IF(AND(ISERROR(SEARCH("referencia",AN18)),AM18="CUMPLE",AR18&gt;=AI18),"CUMPLE","NO CUMPLE")</f>
        <v>CUMPLE</v>
      </c>
      <c r="AT18" s="10">
        <f>'Parametros'!$B$6*0.083*SQRT('Parametros'!$B$2)*(H18*I18)^2/(2*(H18+I18))/1000000</f>
        <v>10.0887830333379</v>
      </c>
      <c r="AU18" s="10" t="str">
        <f>IF(Q18&lt;=AT18,"DESPRECIABLE","DISEÑAR")</f>
        <v>DESPRECIABLE</v>
      </c>
      <c r="AV18" s="10">
        <f>IF(Q18&lt;=AT18,0,Q18*1000000/('Parametros'!$B$6*2*0.85*(H18-2*('Parametros'!$B$7+'Parametros'!$B$9/2))*(I18-2*('Parametros'!$B$7+'Parametros'!$B$9/2))*'Parametros'!$B$4))</f>
        <v>0</v>
      </c>
      <c r="AW18" s="10">
        <f>AV18*2*((H18-2*('Parametros'!$B$7+'Parametros'!$B$9/2))+(I18-2*('Parametros'!$B$7+'Parametros'!$B$9/2)))*'Parametros'!$B$4/'Parametros'!$B$3</f>
        <v>0</v>
      </c>
      <c r="AX18" s="31" t="n">
        <v>0</v>
      </c>
      <c r="AY18" s="10" t="str">
        <f>IF(AV18=0,"DESPRECIABLE",IF(AND(ISERROR(SEARCH("referencia",AN18)),BB18/AP18&gt;=AV18,BI18&gt;=AW18,BH18="CUMPLE"),"CUMPLE","NO CUMPLE"))</f>
        <v>DESPRECIABLE</v>
      </c>
      <c r="AZ18" s="10" t="str">
        <f>IF(AND(X18="CUMPLE",AE18="CUMPLE",AS18="CUMPLE",OR(AY18="CUMPLE",AY18="DESPRECIABLE"),BH18="CUMPLE",BJ18="CUMPLE"),"CUMPLE","NO CUMPLE")</f>
        <v>CUMPLE</v>
      </c>
      <c r="BA18" s="32" t="n">
        <v>9.5</v>
      </c>
      <c r="BB18" s="32" t="n">
        <v>71</v>
      </c>
      <c r="BC18" s="10">
        <f>MAX(IF(AK18=0,0,AK18*1000/('Parametros'!$B$4*MIN(U18,AB18))),MAX(0.062*SQRT('Parametros'!$B$2)*H18/'Parametros'!$B$4,0.35*H18/'Parametros'!$B$4))</f>
        <v>0.375</v>
      </c>
      <c r="BD18" s="10">
        <f>2*AV18</f>
        <v>0</v>
      </c>
      <c r="BE18" s="10">
        <f>AO18*BB18/AP18</f>
        <v>1.18333333333333</v>
      </c>
      <c r="BF18" s="10">
        <f>SQRT((AI18*1000/(H18*MIN(U18,AB18)))^2+(Q18*1000000*2*((H18-2*('Parametros'!$B$7+'Parametros'!$B$9/2))+(I18-2*('Parametros'!$B$7+'Parametros'!$B$9/2)))/(1.7*((H18-2*('Parametros'!$B$7+'Parametros'!$B$9/2))*(I18-2*('Parametros'!$B$7+'Parametros'!$B$9/2)))^2))^2)</f>
        <v>0.769178427292576</v>
      </c>
      <c r="BG18" s="10">
        <f>'Parametros'!$B$6*(AJ18*1000/(H18*MIN(U18,AB18))+0.66*SQRT('Parametros'!$B$2))</f>
        <v>3.29396038227542</v>
      </c>
      <c r="BH18" s="10" t="str">
        <f>IF(BF18&lt;=BG18,"CUMPLE","NO CUMPLE")</f>
        <v>CUMPLE</v>
      </c>
      <c r="BI18" s="10">
        <f>AX18*'Parametros'!$B$8</f>
        <v>0</v>
      </c>
      <c r="BJ18" s="10" t="str">
        <f>IF(BI18&gt;=AW18,"CUMPLE","NO CUMPLE")</f>
        <v>CUMPLE</v>
      </c>
    </row>
    <row r="19">
      <c r="A19" s="13" t="inlineStr">
        <is>
          <t>VC1</t>
        </is>
      </c>
      <c r="B19" s="13" t="inlineStr">
        <is>
          <t>184</t>
        </is>
      </c>
      <c r="C19" s="10" t="n">
        <v>1</v>
      </c>
      <c r="D19" s="10" t="n">
        <v>3.15</v>
      </c>
      <c r="E19" s="10" t="n">
        <v>3.15</v>
      </c>
      <c r="F19" s="10" t="n">
        <v>450</v>
      </c>
      <c r="G19" s="10" t="n">
        <v>550</v>
      </c>
      <c r="H19" s="17" t="n">
        <v>450</v>
      </c>
      <c r="I19" s="17" t="n">
        <v>550</v>
      </c>
      <c r="J19" s="30" t="n">
        <v>27.9542</v>
      </c>
      <c r="K19" s="10" t="inlineStr">
        <is>
          <t>184</t>
        </is>
      </c>
      <c r="L19" s="30" t="n">
        <v>18.2914</v>
      </c>
      <c r="M19" s="10" t="inlineStr">
        <is>
          <t>184</t>
        </is>
      </c>
      <c r="N19" s="30" t="n">
        <v>25.454</v>
      </c>
      <c r="O19" s="30" t="n">
        <v>61.159</v>
      </c>
      <c r="P19" s="10" t="inlineStr">
        <is>
          <t>184</t>
        </is>
      </c>
      <c r="Q19" s="30" t="n">
        <v>9.922800000000001</v>
      </c>
      <c r="R19" s="10">
        <f>MAX(MAX(1.4/'Parametros'!$B$3,0.25*SQRT('Parametros'!$B$2)/'Parametros'!$B$3)*H19*U19,(0.85*'Parametros'!$B$2/'Parametros'!$B$3)*(1-SQRT(1-2*(J19*1000000/('Parametros'!$B$5*H19*U19^2))/(0.85*'Parametros'!$B$2)))*H19*U19)</f>
        <v>734.025</v>
      </c>
      <c r="S19" s="31" t="n">
        <v>4</v>
      </c>
      <c r="T19" s="32" t="n">
        <v>1</v>
      </c>
      <c r="U19" s="10">
        <f>IF(T19=1,I19-('Parametros'!$B$7+'Parametros'!$B$9+'Parametros'!$B$12/2),I19-(ROUNDUP(S19/2,0)*('Parametros'!$B$7+'Parametros'!$B$9+'Parametros'!$B$12/2)+ROUNDDOWN(S19/2,0)*('Parametros'!$B$7+'Parametros'!$B$9+'Parametros'!$B$12/2+'Parametros'!$B$12+'Parametros'!$B$10))/S19)</f>
        <v>489.35</v>
      </c>
      <c r="V19" s="10">
        <f>S19*'Parametros'!$B$8</f>
        <v>796</v>
      </c>
      <c r="W19" s="10">
        <f>'Parametros'!$B$5*V19*'Parametros'!$B$3*(U19-(V19*'Parametros'!$B$3/(0.85*'Parametros'!$B$2*H19))/2)/1000000</f>
        <v>142.543330094118</v>
      </c>
      <c r="X19" s="10" t="str">
        <f>IF(W19&gt;=J19,"CUMPLE","NO CUMPLE")</f>
        <v>CUMPLE</v>
      </c>
      <c r="Y19" s="10">
        <f>MAX(MAX(1.4/'Parametros'!$B$3,0.25*SQRT('Parametros'!$B$2)/'Parametros'!$B$3)*H19*AB19,(0.85*'Parametros'!$B$2/'Parametros'!$B$3)*(1-SQRT(1-2*(L19*1000000/('Parametros'!$B$5*H19*AB19^2))/(0.85*'Parametros'!$B$2)))*H19*AB19)</f>
        <v>734.025</v>
      </c>
      <c r="Z19" s="31" t="n">
        <v>4</v>
      </c>
      <c r="AA19" s="32" t="n">
        <v>1</v>
      </c>
      <c r="AB19" s="10">
        <f>IF(AA19=1,I19-('Parametros'!$B$7+'Parametros'!$B$9+'Parametros'!$B$12/2),I19-(ROUNDUP(Z19/2,0)*('Parametros'!$B$7+'Parametros'!$B$9+'Parametros'!$B$12/2)+ROUNDDOWN(Z19/2,0)*('Parametros'!$B$7+'Parametros'!$B$9+'Parametros'!$B$12/2+'Parametros'!$B$12+'Parametros'!$B$10))/Z19)</f>
        <v>489.35</v>
      </c>
      <c r="AC19" s="10">
        <f>Z19*'Parametros'!$B$8</f>
        <v>796</v>
      </c>
      <c r="AD19" s="10">
        <f>'Parametros'!$B$5*AC19*'Parametros'!$B$3*(AB19-(AC19*'Parametros'!$B$3/(0.85*'Parametros'!$B$2*H19))/2)/1000000</f>
        <v>142.543330094118</v>
      </c>
      <c r="AE19" s="10" t="str">
        <f>IF(AD19&gt;=L19,"CUMPLE","NO CUMPLE")</f>
        <v>CUMPLE</v>
      </c>
      <c r="AF19" s="10">
        <f>V19*1.25*'Parametros'!$B$3*(U19-(V19*1.25*'Parametros'!$B$3/(0.85*'Parametros'!$B$2*H19))/2)/1000000</f>
        <v>196.346217941176</v>
      </c>
      <c r="AG19" s="10">
        <f>AC19*1.25*'Parametros'!$B$3*(AB19-(AC19*1.25*'Parametros'!$B$3/(0.85*'Parametros'!$B$2*H19))/2)/1000000</f>
        <v>196.346217941176</v>
      </c>
      <c r="AH19" s="10">
        <f>N19+(AF19+AG19)/D19</f>
        <v>150.118265359477</v>
      </c>
      <c r="AI19" s="10">
        <f>MAX(O19,AH19)</f>
        <v>150.118265359477</v>
      </c>
      <c r="AJ19" s="10">
        <f>0.17*SQRT('Parametros'!$B$2)*H19*MIN(U19,AB19)/1000</f>
        <v>198.088855822627</v>
      </c>
      <c r="AK19" s="10">
        <f>MAX(AI19/'Parametros'!$B$6-AJ19,0)</f>
        <v>2.06883132334252</v>
      </c>
      <c r="AL19" s="10">
        <f>0.66*SQRT('Parametros'!$B$2)*H19*MIN(U19,AB19)/1000</f>
        <v>769.050852017258</v>
      </c>
      <c r="AM19" s="10" t="str">
        <f>IF(AK19&lt;=AL19,"CUMPLE","NO CUMPLE")</f>
        <v>CUMPLE</v>
      </c>
      <c r="AN19" s="17" t="inlineStr">
        <is>
          <t>Nº3 cerrado</t>
        </is>
      </c>
      <c r="AO19" s="31" t="n">
        <v>2</v>
      </c>
      <c r="AP19" s="10">
        <f>ROUNDDOWN(MIN(IF(BC19+BD19=0,1000000000,AO19*BB19/(BC19+BD19)),MIN(U19,AB19)/4,8*'Parametros'!$B$12,24*BA19,300,IF(AV19=0,1000000000,2*((H19-2*('Parametros'!$B$7+'Parametros'!$B$9/2))+(I19-2*('Parametros'!$B$7+'Parametros'!$B$9/2)))/8))/10,0)*10</f>
        <v>120</v>
      </c>
      <c r="AQ19" s="10">
        <f>ROUNDDOWN(MIN(IF(BC19+BD19=0,1000000000,AO19*BB19/(BC19+BD19)),IF(AK19&gt;0.33*SQRT('Parametros'!$B$2)*H19*MIN(U19,AB19)/1000,MIN(U19,AB19)/4,MIN(U19,AB19)/2),600,IF(AV19=0,1000000000,2*((H19-2*('Parametros'!$B$7+'Parametros'!$B$9/2))+(I19-2*('Parametros'!$B$7+'Parametros'!$B$9/2)))/8))/10,0)*10</f>
        <v>240</v>
      </c>
      <c r="AR19" s="10">
        <f>'Parametros'!$B$6*(AJ19+MAX(BE19-BD19,0)*'Parametros'!$B$4*MIN(U19,AB19)/1000)</f>
        <v>330.97185436697</v>
      </c>
      <c r="AS19" s="10" t="str">
        <f>IF(AND(ISERROR(SEARCH("referencia",AN19)),AM19="CUMPLE",AR19&gt;=AI19),"CUMPLE","NO CUMPLE")</f>
        <v>CUMPLE</v>
      </c>
      <c r="AT19" s="10">
        <f>'Parametros'!$B$6*0.083*SQRT('Parametros'!$B$2)*(H19*I19)^2/(2*(H19+I19))/1000000</f>
        <v>10.0887830333379</v>
      </c>
      <c r="AU19" s="10" t="str">
        <f>IF(Q19&lt;=AT19,"DESPRECIABLE","DISEÑAR")</f>
        <v>DESPRECIABLE</v>
      </c>
      <c r="AV19" s="10">
        <f>IF(Q19&lt;=AT19,0,Q19*1000000/('Parametros'!$B$6*2*0.85*(H19-2*('Parametros'!$B$7+'Parametros'!$B$9/2))*(I19-2*('Parametros'!$B$7+'Parametros'!$B$9/2))*'Parametros'!$B$4))</f>
        <v>0</v>
      </c>
      <c r="AW19" s="10">
        <f>AV19*2*((H19-2*('Parametros'!$B$7+'Parametros'!$B$9/2))+(I19-2*('Parametros'!$B$7+'Parametros'!$B$9/2)))*'Parametros'!$B$4/'Parametros'!$B$3</f>
        <v>0</v>
      </c>
      <c r="AX19" s="31" t="n">
        <v>0</v>
      </c>
      <c r="AY19" s="10" t="str">
        <f>IF(AV19=0,"DESPRECIABLE",IF(AND(ISERROR(SEARCH("referencia",AN19)),BB19/AP19&gt;=AV19,BI19&gt;=AW19,BH19="CUMPLE"),"CUMPLE","NO CUMPLE"))</f>
        <v>DESPRECIABLE</v>
      </c>
      <c r="AZ19" s="10" t="str">
        <f>IF(AND(X19="CUMPLE",AE19="CUMPLE",AS19="CUMPLE",OR(AY19="CUMPLE",AY19="DESPRECIABLE"),BH19="CUMPLE",BJ19="CUMPLE"),"CUMPLE","NO CUMPLE")</f>
        <v>CUMPLE</v>
      </c>
      <c r="BA19" s="32" t="n">
        <v>9.5</v>
      </c>
      <c r="BB19" s="32" t="n">
        <v>71</v>
      </c>
      <c r="BC19" s="10">
        <f>MAX(IF(AK19=0,0,AK19*1000/('Parametros'!$B$4*MIN(U19,AB19))),MAX(0.062*SQRT('Parametros'!$B$2)*H19/'Parametros'!$B$4,0.35*H19/'Parametros'!$B$4))</f>
        <v>0.375</v>
      </c>
      <c r="BD19" s="10">
        <f>2*AV19</f>
        <v>0</v>
      </c>
      <c r="BE19" s="10">
        <f>AO19*BB19/AP19</f>
        <v>1.18333333333333</v>
      </c>
      <c r="BF19" s="10">
        <f>SQRT((AI19*1000/(H19*MIN(U19,AB19)))^2+(Q19*1000000*2*((H19-2*('Parametros'!$B$7+'Parametros'!$B$9/2))+(I19-2*('Parametros'!$B$7+'Parametros'!$B$9/2)))/(1.7*((H19-2*('Parametros'!$B$7+'Parametros'!$B$9/2))*(I19-2*('Parametros'!$B$7+'Parametros'!$B$9/2)))^2))^2)</f>
        <v>0.769161365529188</v>
      </c>
      <c r="BG19" s="10">
        <f>'Parametros'!$B$6*(AJ19*1000/(H19*MIN(U19,AB19))+0.66*SQRT('Parametros'!$B$2))</f>
        <v>3.29396038227542</v>
      </c>
      <c r="BH19" s="10" t="str">
        <f>IF(BF19&lt;=BG19,"CUMPLE","NO CUMPLE")</f>
        <v>CUMPLE</v>
      </c>
      <c r="BI19" s="10">
        <f>AX19*'Parametros'!$B$8</f>
        <v>0</v>
      </c>
      <c r="BJ19" s="10" t="str">
        <f>IF(BI19&gt;=AW19,"CUMPLE","NO CUMPLE")</f>
        <v>CUMPLE</v>
      </c>
    </row>
    <row r="20">
      <c r="A20" s="13" t="inlineStr">
        <is>
          <t>VC1</t>
        </is>
      </c>
      <c r="B20" s="13" t="inlineStr">
        <is>
          <t>188</t>
        </is>
      </c>
      <c r="C20" s="10" t="n">
        <v>1</v>
      </c>
      <c r="D20" s="10" t="n">
        <v>3.15</v>
      </c>
      <c r="E20" s="10" t="n">
        <v>3.15</v>
      </c>
      <c r="F20" s="10" t="n">
        <v>450</v>
      </c>
      <c r="G20" s="10" t="n">
        <v>550</v>
      </c>
      <c r="H20" s="17" t="n">
        <v>450</v>
      </c>
      <c r="I20" s="17" t="n">
        <v>550</v>
      </c>
      <c r="J20" s="30" t="n">
        <v>21.8979</v>
      </c>
      <c r="K20" s="10" t="inlineStr">
        <is>
          <t>188</t>
        </is>
      </c>
      <c r="L20" s="30" t="n">
        <v>16.9006</v>
      </c>
      <c r="M20" s="10" t="inlineStr">
        <is>
          <t>188</t>
        </is>
      </c>
      <c r="N20" s="30" t="n">
        <v>23.306</v>
      </c>
      <c r="O20" s="30" t="n">
        <v>46.568</v>
      </c>
      <c r="P20" s="10" t="inlineStr">
        <is>
          <t>188</t>
        </is>
      </c>
      <c r="Q20" s="30" t="n">
        <v>7.6784</v>
      </c>
      <c r="R20" s="10">
        <f>MAX(MAX(1.4/'Parametros'!$B$3,0.25*SQRT('Parametros'!$B$2)/'Parametros'!$B$3)*H20*U20,(0.85*'Parametros'!$B$2/'Parametros'!$B$3)*(1-SQRT(1-2*(J20*1000000/('Parametros'!$B$5*H20*U20^2))/(0.85*'Parametros'!$B$2)))*H20*U20)</f>
        <v>734.025</v>
      </c>
      <c r="S20" s="31" t="n">
        <v>4</v>
      </c>
      <c r="T20" s="32" t="n">
        <v>1</v>
      </c>
      <c r="U20" s="10">
        <f>IF(T20=1,I20-('Parametros'!$B$7+'Parametros'!$B$9+'Parametros'!$B$12/2),I20-(ROUNDUP(S20/2,0)*('Parametros'!$B$7+'Parametros'!$B$9+'Parametros'!$B$12/2)+ROUNDDOWN(S20/2,0)*('Parametros'!$B$7+'Parametros'!$B$9+'Parametros'!$B$12/2+'Parametros'!$B$12+'Parametros'!$B$10))/S20)</f>
        <v>489.35</v>
      </c>
      <c r="V20" s="10">
        <f>S20*'Parametros'!$B$8</f>
        <v>796</v>
      </c>
      <c r="W20" s="10">
        <f>'Parametros'!$B$5*V20*'Parametros'!$B$3*(U20-(V20*'Parametros'!$B$3/(0.85*'Parametros'!$B$2*H20))/2)/1000000</f>
        <v>142.543330094118</v>
      </c>
      <c r="X20" s="10" t="str">
        <f>IF(W20&gt;=J20,"CUMPLE","NO CUMPLE")</f>
        <v>CUMPLE</v>
      </c>
      <c r="Y20" s="10">
        <f>MAX(MAX(1.4/'Parametros'!$B$3,0.25*SQRT('Parametros'!$B$2)/'Parametros'!$B$3)*H20*AB20,(0.85*'Parametros'!$B$2/'Parametros'!$B$3)*(1-SQRT(1-2*(L20*1000000/('Parametros'!$B$5*H20*AB20^2))/(0.85*'Parametros'!$B$2)))*H20*AB20)</f>
        <v>734.025</v>
      </c>
      <c r="Z20" s="31" t="n">
        <v>4</v>
      </c>
      <c r="AA20" s="32" t="n">
        <v>1</v>
      </c>
      <c r="AB20" s="10">
        <f>IF(AA20=1,I20-('Parametros'!$B$7+'Parametros'!$B$9+'Parametros'!$B$12/2),I20-(ROUNDUP(Z20/2,0)*('Parametros'!$B$7+'Parametros'!$B$9+'Parametros'!$B$12/2)+ROUNDDOWN(Z20/2,0)*('Parametros'!$B$7+'Parametros'!$B$9+'Parametros'!$B$12/2+'Parametros'!$B$12+'Parametros'!$B$10))/Z20)</f>
        <v>489.35</v>
      </c>
      <c r="AC20" s="10">
        <f>Z20*'Parametros'!$B$8</f>
        <v>796</v>
      </c>
      <c r="AD20" s="10">
        <f>'Parametros'!$B$5*AC20*'Parametros'!$B$3*(AB20-(AC20*'Parametros'!$B$3/(0.85*'Parametros'!$B$2*H20))/2)/1000000</f>
        <v>142.543330094118</v>
      </c>
      <c r="AE20" s="10" t="str">
        <f>IF(AD20&gt;=L20,"CUMPLE","NO CUMPLE")</f>
        <v>CUMPLE</v>
      </c>
      <c r="AF20" s="10">
        <f>V20*1.25*'Parametros'!$B$3*(U20-(V20*1.25*'Parametros'!$B$3/(0.85*'Parametros'!$B$2*H20))/2)/1000000</f>
        <v>196.346217941176</v>
      </c>
      <c r="AG20" s="10">
        <f>AC20*1.25*'Parametros'!$B$3*(AB20-(AC20*1.25*'Parametros'!$B$3/(0.85*'Parametros'!$B$2*H20))/2)/1000000</f>
        <v>196.346217941176</v>
      </c>
      <c r="AH20" s="10">
        <f>N20+(AF20+AG20)/D20</f>
        <v>147.970265359477</v>
      </c>
      <c r="AI20" s="10">
        <f>MAX(O20,AH20)</f>
        <v>147.970265359477</v>
      </c>
      <c r="AJ20" s="10">
        <f>0.17*SQRT('Parametros'!$B$2)*H20*MIN(U20,AB20)/1000</f>
        <v>198.088855822627</v>
      </c>
      <c r="AK20" s="10">
        <f>MAX(AI20/'Parametros'!$B$6-AJ20,0)</f>
        <v>0</v>
      </c>
      <c r="AL20" s="10">
        <f>0.66*SQRT('Parametros'!$B$2)*H20*MIN(U20,AB20)/1000</f>
        <v>769.050852017258</v>
      </c>
      <c r="AM20" s="10" t="str">
        <f>IF(AK20&lt;=AL20,"CUMPLE","NO CUMPLE")</f>
        <v>CUMPLE</v>
      </c>
      <c r="AN20" s="17" t="inlineStr">
        <is>
          <t>Nº3 cerrado</t>
        </is>
      </c>
      <c r="AO20" s="31" t="n">
        <v>2</v>
      </c>
      <c r="AP20" s="10">
        <f>ROUNDDOWN(MIN(IF(BC20+BD20=0,1000000000,AO20*BB20/(BC20+BD20)),MIN(U20,AB20)/4,8*'Parametros'!$B$12,24*BA20,300,IF(AV20=0,1000000000,2*((H20-2*('Parametros'!$B$7+'Parametros'!$B$9/2))+(I20-2*('Parametros'!$B$7+'Parametros'!$B$9/2)))/8))/10,0)*10</f>
        <v>120</v>
      </c>
      <c r="AQ20" s="10">
        <f>ROUNDDOWN(MIN(IF(BC20+BD20=0,1000000000,AO20*BB20/(BC20+BD20)),IF(AK20&gt;0.33*SQRT('Parametros'!$B$2)*H20*MIN(U20,AB20)/1000,MIN(U20,AB20)/4,MIN(U20,AB20)/2),600,IF(AV20=0,1000000000,2*((H20-2*('Parametros'!$B$7+'Parametros'!$B$9/2))+(I20-2*('Parametros'!$B$7+'Parametros'!$B$9/2)))/8))/10,0)*10</f>
        <v>240</v>
      </c>
      <c r="AR20" s="10">
        <f>'Parametros'!$B$6*(AJ20+MAX(BE20-BD20,0)*'Parametros'!$B$4*MIN(U20,AB20)/1000)</f>
        <v>330.97185436697</v>
      </c>
      <c r="AS20" s="10" t="str">
        <f>IF(AND(ISERROR(SEARCH("referencia",AN20)),AM20="CUMPLE",AR20&gt;=AI20),"CUMPLE","NO CUMPLE")</f>
        <v>CUMPLE</v>
      </c>
      <c r="AT20" s="10">
        <f>'Parametros'!$B$6*0.083*SQRT('Parametros'!$B$2)*(H20*I20)^2/(2*(H20+I20))/1000000</f>
        <v>10.0887830333379</v>
      </c>
      <c r="AU20" s="10" t="str">
        <f>IF(Q20&lt;=AT20,"DESPRECIABLE","DISEÑAR")</f>
        <v>DESPRECIABLE</v>
      </c>
      <c r="AV20" s="10">
        <f>IF(Q20&lt;=AT20,0,Q20*1000000/('Parametros'!$B$6*2*0.85*(H20-2*('Parametros'!$B$7+'Parametros'!$B$9/2))*(I20-2*('Parametros'!$B$7+'Parametros'!$B$9/2))*'Parametros'!$B$4))</f>
        <v>0</v>
      </c>
      <c r="AW20" s="10">
        <f>AV20*2*((H20-2*('Parametros'!$B$7+'Parametros'!$B$9/2))+(I20-2*('Parametros'!$B$7+'Parametros'!$B$9/2)))*'Parametros'!$B$4/'Parametros'!$B$3</f>
        <v>0</v>
      </c>
      <c r="AX20" s="31" t="n">
        <v>0</v>
      </c>
      <c r="AY20" s="10" t="str">
        <f>IF(AV20=0,"DESPRECIABLE",IF(AND(ISERROR(SEARCH("referencia",AN20)),BB20/AP20&gt;=AV20,BI20&gt;=AW20,BH20="CUMPLE"),"CUMPLE","NO CUMPLE"))</f>
        <v>DESPRECIABLE</v>
      </c>
      <c r="AZ20" s="10" t="str">
        <f>IF(AND(X20="CUMPLE",AE20="CUMPLE",AS20="CUMPLE",OR(AY20="CUMPLE",AY20="DESPRECIABLE"),BH20="CUMPLE",BJ20="CUMPLE"),"CUMPLE","NO CUMPLE")</f>
        <v>CUMPLE</v>
      </c>
      <c r="BA20" s="32" t="n">
        <v>9.5</v>
      </c>
      <c r="BB20" s="32" t="n">
        <v>71</v>
      </c>
      <c r="BC20" s="10">
        <f>MAX(IF(AK20=0,0,AK20*1000/('Parametros'!$B$4*MIN(U20,AB20))),MAX(0.062*SQRT('Parametros'!$B$2)*H20/'Parametros'!$B$4,0.35*H20/'Parametros'!$B$4))</f>
        <v>0.375</v>
      </c>
      <c r="BD20" s="10">
        <f>2*AV20</f>
        <v>0</v>
      </c>
      <c r="BE20" s="10">
        <f>AO20*BB20/AP20</f>
        <v>1.18333333333333</v>
      </c>
      <c r="BF20" s="10">
        <f>SQRT((AI20*1000/(H20*MIN(U20,AB20)))^2+(Q20*1000000*2*((H20-2*('Parametros'!$B$7+'Parametros'!$B$9/2))+(I20-2*('Parametros'!$B$7+'Parametros'!$B$9/2)))/(1.7*((H20-2*('Parametros'!$B$7+'Parametros'!$B$9/2))*(I20-2*('Parametros'!$B$7+'Parametros'!$B$9/2)))^2))^2)</f>
        <v>0.726292196631562</v>
      </c>
      <c r="BG20" s="10">
        <f>'Parametros'!$B$6*(AJ20*1000/(H20*MIN(U20,AB20))+0.66*SQRT('Parametros'!$B$2))</f>
        <v>3.29396038227542</v>
      </c>
      <c r="BH20" s="10" t="str">
        <f>IF(BF20&lt;=BG20,"CUMPLE","NO CUMPLE")</f>
        <v>CUMPLE</v>
      </c>
      <c r="BI20" s="10">
        <f>AX20*'Parametros'!$B$8</f>
        <v>0</v>
      </c>
      <c r="BJ20" s="10" t="str">
        <f>IF(BI20&gt;=AW20,"CUMPLE","NO CUMPLE")</f>
        <v>CUMPLE</v>
      </c>
    </row>
    <row r="21">
      <c r="A21" s="13" t="inlineStr">
        <is>
          <t>VC1</t>
        </is>
      </c>
      <c r="B21" s="13" t="inlineStr">
        <is>
          <t>189</t>
        </is>
      </c>
      <c r="C21" s="10" t="n">
        <v>1</v>
      </c>
      <c r="D21" s="10" t="n">
        <v>3.15</v>
      </c>
      <c r="E21" s="10" t="n">
        <v>3.15</v>
      </c>
      <c r="F21" s="10" t="n">
        <v>450</v>
      </c>
      <c r="G21" s="10" t="n">
        <v>550</v>
      </c>
      <c r="H21" s="17" t="n">
        <v>450</v>
      </c>
      <c r="I21" s="17" t="n">
        <v>550</v>
      </c>
      <c r="J21" s="30" t="n">
        <v>21.8912</v>
      </c>
      <c r="K21" s="10" t="inlineStr">
        <is>
          <t>189</t>
        </is>
      </c>
      <c r="L21" s="30" t="n">
        <v>16.8974</v>
      </c>
      <c r="M21" s="10" t="inlineStr">
        <is>
          <t>189</t>
        </is>
      </c>
      <c r="N21" s="30" t="n">
        <v>23.303</v>
      </c>
      <c r="O21" s="30" t="n">
        <v>46.565</v>
      </c>
      <c r="P21" s="10" t="inlineStr">
        <is>
          <t>189</t>
        </is>
      </c>
      <c r="Q21" s="30" t="n">
        <v>7.6781</v>
      </c>
      <c r="R21" s="10">
        <f>MAX(MAX(1.4/'Parametros'!$B$3,0.25*SQRT('Parametros'!$B$2)/'Parametros'!$B$3)*H21*U21,(0.85*'Parametros'!$B$2/'Parametros'!$B$3)*(1-SQRT(1-2*(J21*1000000/('Parametros'!$B$5*H21*U21^2))/(0.85*'Parametros'!$B$2)))*H21*U21)</f>
        <v>734.025</v>
      </c>
      <c r="S21" s="31" t="n">
        <v>4</v>
      </c>
      <c r="T21" s="32" t="n">
        <v>1</v>
      </c>
      <c r="U21" s="10">
        <f>IF(T21=1,I21-('Parametros'!$B$7+'Parametros'!$B$9+'Parametros'!$B$12/2),I21-(ROUNDUP(S21/2,0)*('Parametros'!$B$7+'Parametros'!$B$9+'Parametros'!$B$12/2)+ROUNDDOWN(S21/2,0)*('Parametros'!$B$7+'Parametros'!$B$9+'Parametros'!$B$12/2+'Parametros'!$B$12+'Parametros'!$B$10))/S21)</f>
        <v>489.35</v>
      </c>
      <c r="V21" s="10">
        <f>S21*'Parametros'!$B$8</f>
        <v>796</v>
      </c>
      <c r="W21" s="10">
        <f>'Parametros'!$B$5*V21*'Parametros'!$B$3*(U21-(V21*'Parametros'!$B$3/(0.85*'Parametros'!$B$2*H21))/2)/1000000</f>
        <v>142.543330094118</v>
      </c>
      <c r="X21" s="10" t="str">
        <f>IF(W21&gt;=J21,"CUMPLE","NO CUMPLE")</f>
        <v>CUMPLE</v>
      </c>
      <c r="Y21" s="10">
        <f>MAX(MAX(1.4/'Parametros'!$B$3,0.25*SQRT('Parametros'!$B$2)/'Parametros'!$B$3)*H21*AB21,(0.85*'Parametros'!$B$2/'Parametros'!$B$3)*(1-SQRT(1-2*(L21*1000000/('Parametros'!$B$5*H21*AB21^2))/(0.85*'Parametros'!$B$2)))*H21*AB21)</f>
        <v>734.025</v>
      </c>
      <c r="Z21" s="31" t="n">
        <v>4</v>
      </c>
      <c r="AA21" s="32" t="n">
        <v>1</v>
      </c>
      <c r="AB21" s="10">
        <f>IF(AA21=1,I21-('Parametros'!$B$7+'Parametros'!$B$9+'Parametros'!$B$12/2),I21-(ROUNDUP(Z21/2,0)*('Parametros'!$B$7+'Parametros'!$B$9+'Parametros'!$B$12/2)+ROUNDDOWN(Z21/2,0)*('Parametros'!$B$7+'Parametros'!$B$9+'Parametros'!$B$12/2+'Parametros'!$B$12+'Parametros'!$B$10))/Z21)</f>
        <v>489.35</v>
      </c>
      <c r="AC21" s="10">
        <f>Z21*'Parametros'!$B$8</f>
        <v>796</v>
      </c>
      <c r="AD21" s="10">
        <f>'Parametros'!$B$5*AC21*'Parametros'!$B$3*(AB21-(AC21*'Parametros'!$B$3/(0.85*'Parametros'!$B$2*H21))/2)/1000000</f>
        <v>142.543330094118</v>
      </c>
      <c r="AE21" s="10" t="str">
        <f>IF(AD21&gt;=L21,"CUMPLE","NO CUMPLE")</f>
        <v>CUMPLE</v>
      </c>
      <c r="AF21" s="10">
        <f>V21*1.25*'Parametros'!$B$3*(U21-(V21*1.25*'Parametros'!$B$3/(0.85*'Parametros'!$B$2*H21))/2)/1000000</f>
        <v>196.346217941176</v>
      </c>
      <c r="AG21" s="10">
        <f>AC21*1.25*'Parametros'!$B$3*(AB21-(AC21*1.25*'Parametros'!$B$3/(0.85*'Parametros'!$B$2*H21))/2)/1000000</f>
        <v>196.346217941176</v>
      </c>
      <c r="AH21" s="10">
        <f>N21+(AF21+AG21)/D21</f>
        <v>147.967265359477</v>
      </c>
      <c r="AI21" s="10">
        <f>MAX(O21,AH21)</f>
        <v>147.967265359477</v>
      </c>
      <c r="AJ21" s="10">
        <f>0.17*SQRT('Parametros'!$B$2)*H21*MIN(U21,AB21)/1000</f>
        <v>198.088855822627</v>
      </c>
      <c r="AK21" s="10">
        <f>MAX(AI21/'Parametros'!$B$6-AJ21,0)</f>
        <v>0</v>
      </c>
      <c r="AL21" s="10">
        <f>0.66*SQRT('Parametros'!$B$2)*H21*MIN(U21,AB21)/1000</f>
        <v>769.050852017258</v>
      </c>
      <c r="AM21" s="10" t="str">
        <f>IF(AK21&lt;=AL21,"CUMPLE","NO CUMPLE")</f>
        <v>CUMPLE</v>
      </c>
      <c r="AN21" s="17" t="inlineStr">
        <is>
          <t>Nº3 cerrado</t>
        </is>
      </c>
      <c r="AO21" s="31" t="n">
        <v>2</v>
      </c>
      <c r="AP21" s="10">
        <f>ROUNDDOWN(MIN(IF(BC21+BD21=0,1000000000,AO21*BB21/(BC21+BD21)),MIN(U21,AB21)/4,8*'Parametros'!$B$12,24*BA21,300,IF(AV21=0,1000000000,2*((H21-2*('Parametros'!$B$7+'Parametros'!$B$9/2))+(I21-2*('Parametros'!$B$7+'Parametros'!$B$9/2)))/8))/10,0)*10</f>
        <v>120</v>
      </c>
      <c r="AQ21" s="10">
        <f>ROUNDDOWN(MIN(IF(BC21+BD21=0,1000000000,AO21*BB21/(BC21+BD21)),IF(AK21&gt;0.33*SQRT('Parametros'!$B$2)*H21*MIN(U21,AB21)/1000,MIN(U21,AB21)/4,MIN(U21,AB21)/2),600,IF(AV21=0,1000000000,2*((H21-2*('Parametros'!$B$7+'Parametros'!$B$9/2))+(I21-2*('Parametros'!$B$7+'Parametros'!$B$9/2)))/8))/10,0)*10</f>
        <v>240</v>
      </c>
      <c r="AR21" s="10">
        <f>'Parametros'!$B$6*(AJ21+MAX(BE21-BD21,0)*'Parametros'!$B$4*MIN(U21,AB21)/1000)</f>
        <v>330.97185436697</v>
      </c>
      <c r="AS21" s="10" t="str">
        <f>IF(AND(ISERROR(SEARCH("referencia",AN21)),AM21="CUMPLE",AR21&gt;=AI21),"CUMPLE","NO CUMPLE")</f>
        <v>CUMPLE</v>
      </c>
      <c r="AT21" s="10">
        <f>'Parametros'!$B$6*0.083*SQRT('Parametros'!$B$2)*(H21*I21)^2/(2*(H21+I21))/1000000</f>
        <v>10.0887830333379</v>
      </c>
      <c r="AU21" s="10" t="str">
        <f>IF(Q21&lt;=AT21,"DESPRECIABLE","DISEÑAR")</f>
        <v>DESPRECIABLE</v>
      </c>
      <c r="AV21" s="10">
        <f>IF(Q21&lt;=AT21,0,Q21*1000000/('Parametros'!$B$6*2*0.85*(H21-2*('Parametros'!$B$7+'Parametros'!$B$9/2))*(I21-2*('Parametros'!$B$7+'Parametros'!$B$9/2))*'Parametros'!$B$4))</f>
        <v>0</v>
      </c>
      <c r="AW21" s="10">
        <f>AV21*2*((H21-2*('Parametros'!$B$7+'Parametros'!$B$9/2))+(I21-2*('Parametros'!$B$7+'Parametros'!$B$9/2)))*'Parametros'!$B$4/'Parametros'!$B$3</f>
        <v>0</v>
      </c>
      <c r="AX21" s="31" t="n">
        <v>0</v>
      </c>
      <c r="AY21" s="10" t="str">
        <f>IF(AV21=0,"DESPRECIABLE",IF(AND(ISERROR(SEARCH("referencia",AN21)),BB21/AP21&gt;=AV21,BI21&gt;=AW21,BH21="CUMPLE"),"CUMPLE","NO CUMPLE"))</f>
        <v>DESPRECIABLE</v>
      </c>
      <c r="AZ21" s="10" t="str">
        <f>IF(AND(X21="CUMPLE",AE21="CUMPLE",AS21="CUMPLE",OR(AY21="CUMPLE",AY21="DESPRECIABLE"),BH21="CUMPLE",BJ21="CUMPLE"),"CUMPLE","NO CUMPLE")</f>
        <v>CUMPLE</v>
      </c>
      <c r="BA21" s="32" t="n">
        <v>9.5</v>
      </c>
      <c r="BB21" s="32" t="n">
        <v>71</v>
      </c>
      <c r="BC21" s="10">
        <f>MAX(IF(AK21=0,0,AK21*1000/('Parametros'!$B$4*MIN(U21,AB21))),MAX(0.062*SQRT('Parametros'!$B$2)*H21/'Parametros'!$B$4,0.35*H21/'Parametros'!$B$4))</f>
        <v>0.375</v>
      </c>
      <c r="BD21" s="10">
        <f>2*AV21</f>
        <v>0</v>
      </c>
      <c r="BE21" s="10">
        <f>AO21*BB21/AP21</f>
        <v>1.18333333333333</v>
      </c>
      <c r="BF21" s="10">
        <f>SQRT((AI21*1000/(H21*MIN(U21,AB21)))^2+(Q21*1000000*2*((H21-2*('Parametros'!$B$7+'Parametros'!$B$9/2))+(I21-2*('Parametros'!$B$7+'Parametros'!$B$9/2)))/(1.7*((H21-2*('Parametros'!$B$7+'Parametros'!$B$9/2))*(I21-2*('Parametros'!$B$7+'Parametros'!$B$9/2)))^2))^2)</f>
        <v>0.726275505400713</v>
      </c>
      <c r="BG21" s="10">
        <f>'Parametros'!$B$6*(AJ21*1000/(H21*MIN(U21,AB21))+0.66*SQRT('Parametros'!$B$2))</f>
        <v>3.29396038227542</v>
      </c>
      <c r="BH21" s="10" t="str">
        <f>IF(BF21&lt;=BG21,"CUMPLE","NO CUMPLE")</f>
        <v>CUMPLE</v>
      </c>
      <c r="BI21" s="10">
        <f>AX21*'Parametros'!$B$8</f>
        <v>0</v>
      </c>
      <c r="BJ21" s="10" t="str">
        <f>IF(BI21&gt;=AW21,"CUMPLE","NO CUMPLE")</f>
        <v>CUMPLE</v>
      </c>
    </row>
    <row r="22">
      <c r="A22" s="13" t="inlineStr">
        <is>
          <t>VC1</t>
        </is>
      </c>
      <c r="B22" s="13" t="inlineStr">
        <is>
          <t>193</t>
        </is>
      </c>
      <c r="C22" s="10" t="n">
        <v>1</v>
      </c>
      <c r="D22" s="10" t="n">
        <v>3.15</v>
      </c>
      <c r="E22" s="10" t="n">
        <v>3.15</v>
      </c>
      <c r="F22" s="10" t="n">
        <v>450</v>
      </c>
      <c r="G22" s="10" t="n">
        <v>550</v>
      </c>
      <c r="H22" s="17" t="n">
        <v>450</v>
      </c>
      <c r="I22" s="17" t="n">
        <v>550</v>
      </c>
      <c r="J22" s="30" t="n">
        <v>12.9491</v>
      </c>
      <c r="K22" s="10" t="inlineStr">
        <is>
          <t>193</t>
        </is>
      </c>
      <c r="L22" s="30" t="n">
        <v>14.8504</v>
      </c>
      <c r="M22" s="10" t="inlineStr">
        <is>
          <t>193</t>
        </is>
      </c>
      <c r="N22" s="30" t="n">
        <v>19.65</v>
      </c>
      <c r="O22" s="30" t="n">
        <v>29.494</v>
      </c>
      <c r="P22" s="10" t="inlineStr">
        <is>
          <t>193</t>
        </is>
      </c>
      <c r="Q22" s="30" t="n">
        <v>5.3317</v>
      </c>
      <c r="R22" s="10">
        <f>MAX(MAX(1.4/'Parametros'!$B$3,0.25*SQRT('Parametros'!$B$2)/'Parametros'!$B$3)*H22*U22,(0.85*'Parametros'!$B$2/'Parametros'!$B$3)*(1-SQRT(1-2*(J22*1000000/('Parametros'!$B$5*H22*U22^2))/(0.85*'Parametros'!$B$2)))*H22*U22)</f>
        <v>734.025</v>
      </c>
      <c r="S22" s="31" t="n">
        <v>4</v>
      </c>
      <c r="T22" s="32" t="n">
        <v>1</v>
      </c>
      <c r="U22" s="10">
        <f>IF(T22=1,I22-('Parametros'!$B$7+'Parametros'!$B$9+'Parametros'!$B$12/2),I22-(ROUNDUP(S22/2,0)*('Parametros'!$B$7+'Parametros'!$B$9+'Parametros'!$B$12/2)+ROUNDDOWN(S22/2,0)*('Parametros'!$B$7+'Parametros'!$B$9+'Parametros'!$B$12/2+'Parametros'!$B$12+'Parametros'!$B$10))/S22)</f>
        <v>489.35</v>
      </c>
      <c r="V22" s="10">
        <f>S22*'Parametros'!$B$8</f>
        <v>796</v>
      </c>
      <c r="W22" s="10">
        <f>'Parametros'!$B$5*V22*'Parametros'!$B$3*(U22-(V22*'Parametros'!$B$3/(0.85*'Parametros'!$B$2*H22))/2)/1000000</f>
        <v>142.543330094118</v>
      </c>
      <c r="X22" s="10" t="str">
        <f>IF(W22&gt;=J22,"CUMPLE","NO CUMPLE")</f>
        <v>CUMPLE</v>
      </c>
      <c r="Y22" s="10">
        <f>MAX(MAX(1.4/'Parametros'!$B$3,0.25*SQRT('Parametros'!$B$2)/'Parametros'!$B$3)*H22*AB22,(0.85*'Parametros'!$B$2/'Parametros'!$B$3)*(1-SQRT(1-2*(L22*1000000/('Parametros'!$B$5*H22*AB22^2))/(0.85*'Parametros'!$B$2)))*H22*AB22)</f>
        <v>734.025</v>
      </c>
      <c r="Z22" s="31" t="n">
        <v>4</v>
      </c>
      <c r="AA22" s="32" t="n">
        <v>1</v>
      </c>
      <c r="AB22" s="10">
        <f>IF(AA22=1,I22-('Parametros'!$B$7+'Parametros'!$B$9+'Parametros'!$B$12/2),I22-(ROUNDUP(Z22/2,0)*('Parametros'!$B$7+'Parametros'!$B$9+'Parametros'!$B$12/2)+ROUNDDOWN(Z22/2,0)*('Parametros'!$B$7+'Parametros'!$B$9+'Parametros'!$B$12/2+'Parametros'!$B$12+'Parametros'!$B$10))/Z22)</f>
        <v>489.35</v>
      </c>
      <c r="AC22" s="10">
        <f>Z22*'Parametros'!$B$8</f>
        <v>796</v>
      </c>
      <c r="AD22" s="10">
        <f>'Parametros'!$B$5*AC22*'Parametros'!$B$3*(AB22-(AC22*'Parametros'!$B$3/(0.85*'Parametros'!$B$2*H22))/2)/1000000</f>
        <v>142.543330094118</v>
      </c>
      <c r="AE22" s="10" t="str">
        <f>IF(AD22&gt;=L22,"CUMPLE","NO CUMPLE")</f>
        <v>CUMPLE</v>
      </c>
      <c r="AF22" s="10">
        <f>V22*1.25*'Parametros'!$B$3*(U22-(V22*1.25*'Parametros'!$B$3/(0.85*'Parametros'!$B$2*H22))/2)/1000000</f>
        <v>196.346217941176</v>
      </c>
      <c r="AG22" s="10">
        <f>AC22*1.25*'Parametros'!$B$3*(AB22-(AC22*1.25*'Parametros'!$B$3/(0.85*'Parametros'!$B$2*H22))/2)/1000000</f>
        <v>196.346217941176</v>
      </c>
      <c r="AH22" s="10">
        <f>N22+(AF22+AG22)/D22</f>
        <v>144.314265359477</v>
      </c>
      <c r="AI22" s="10">
        <f>MAX(O22,AH22)</f>
        <v>144.314265359477</v>
      </c>
      <c r="AJ22" s="10">
        <f>0.17*SQRT('Parametros'!$B$2)*H22*MIN(U22,AB22)/1000</f>
        <v>198.088855822627</v>
      </c>
      <c r="AK22" s="10">
        <f>MAX(AI22/'Parametros'!$B$6-AJ22,0)</f>
        <v>0</v>
      </c>
      <c r="AL22" s="10">
        <f>0.66*SQRT('Parametros'!$B$2)*H22*MIN(U22,AB22)/1000</f>
        <v>769.050852017258</v>
      </c>
      <c r="AM22" s="10" t="str">
        <f>IF(AK22&lt;=AL22,"CUMPLE","NO CUMPLE")</f>
        <v>CUMPLE</v>
      </c>
      <c r="AN22" s="17" t="inlineStr">
        <is>
          <t>Nº3 cerrado</t>
        </is>
      </c>
      <c r="AO22" s="31" t="n">
        <v>2</v>
      </c>
      <c r="AP22" s="10">
        <f>ROUNDDOWN(MIN(IF(BC22+BD22=0,1000000000,AO22*BB22/(BC22+BD22)),MIN(U22,AB22)/4,8*'Parametros'!$B$12,24*BA22,300,IF(AV22=0,1000000000,2*((H22-2*('Parametros'!$B$7+'Parametros'!$B$9/2))+(I22-2*('Parametros'!$B$7+'Parametros'!$B$9/2)))/8))/10,0)*10</f>
        <v>120</v>
      </c>
      <c r="AQ22" s="10">
        <f>ROUNDDOWN(MIN(IF(BC22+BD22=0,1000000000,AO22*BB22/(BC22+BD22)),IF(AK22&gt;0.33*SQRT('Parametros'!$B$2)*H22*MIN(U22,AB22)/1000,MIN(U22,AB22)/4,MIN(U22,AB22)/2),600,IF(AV22=0,1000000000,2*((H22-2*('Parametros'!$B$7+'Parametros'!$B$9/2))+(I22-2*('Parametros'!$B$7+'Parametros'!$B$9/2)))/8))/10,0)*10</f>
        <v>240</v>
      </c>
      <c r="AR22" s="10">
        <f>'Parametros'!$B$6*(AJ22+MAX(BE22-BD22,0)*'Parametros'!$B$4*MIN(U22,AB22)/1000)</f>
        <v>330.97185436697</v>
      </c>
      <c r="AS22" s="10" t="str">
        <f>IF(AND(ISERROR(SEARCH("referencia",AN22)),AM22="CUMPLE",AR22&gt;=AI22),"CUMPLE","NO CUMPLE")</f>
        <v>CUMPLE</v>
      </c>
      <c r="AT22" s="10">
        <f>'Parametros'!$B$6*0.083*SQRT('Parametros'!$B$2)*(H22*I22)^2/(2*(H22+I22))/1000000</f>
        <v>10.0887830333379</v>
      </c>
      <c r="AU22" s="10" t="str">
        <f>IF(Q22&lt;=AT22,"DESPRECIABLE","DISEÑAR")</f>
        <v>DESPRECIABLE</v>
      </c>
      <c r="AV22" s="10">
        <f>IF(Q22&lt;=AT22,0,Q22*1000000/('Parametros'!$B$6*2*0.85*(H22-2*('Parametros'!$B$7+'Parametros'!$B$9/2))*(I22-2*('Parametros'!$B$7+'Parametros'!$B$9/2))*'Parametros'!$B$4))</f>
        <v>0</v>
      </c>
      <c r="AW22" s="10">
        <f>AV22*2*((H22-2*('Parametros'!$B$7+'Parametros'!$B$9/2))+(I22-2*('Parametros'!$B$7+'Parametros'!$B$9/2)))*'Parametros'!$B$4/'Parametros'!$B$3</f>
        <v>0</v>
      </c>
      <c r="AX22" s="31" t="n">
        <v>0</v>
      </c>
      <c r="AY22" s="10" t="str">
        <f>IF(AV22=0,"DESPRECIABLE",IF(AND(ISERROR(SEARCH("referencia",AN22)),BB22/AP22&gt;=AV22,BI22&gt;=AW22,BH22="CUMPLE"),"CUMPLE","NO CUMPLE"))</f>
        <v>DESPRECIABLE</v>
      </c>
      <c r="AZ22" s="10" t="str">
        <f>IF(AND(X22="CUMPLE",AE22="CUMPLE",AS22="CUMPLE",OR(AY22="CUMPLE",AY22="DESPRECIABLE"),BH22="CUMPLE",BJ22="CUMPLE"),"CUMPLE","NO CUMPLE")</f>
        <v>CUMPLE</v>
      </c>
      <c r="BA22" s="32" t="n">
        <v>9.5</v>
      </c>
      <c r="BB22" s="32" t="n">
        <v>71</v>
      </c>
      <c r="BC22" s="10">
        <f>MAX(IF(AK22=0,0,AK22*1000/('Parametros'!$B$4*MIN(U22,AB22))),MAX(0.062*SQRT('Parametros'!$B$2)*H22/'Parametros'!$B$4,0.35*H22/'Parametros'!$B$4))</f>
        <v>0.375</v>
      </c>
      <c r="BD22" s="10">
        <f>2*AV22</f>
        <v>0</v>
      </c>
      <c r="BE22" s="10">
        <f>AO22*BB22/AP22</f>
        <v>1.18333333333333</v>
      </c>
      <c r="BF22" s="10">
        <f>SQRT((AI22*1000/(H22*MIN(U22,AB22)))^2+(Q22*1000000*2*((H22-2*('Parametros'!$B$7+'Parametros'!$B$9/2))+(I22-2*('Parametros'!$B$7+'Parametros'!$B$9/2)))/(1.7*((H22-2*('Parametros'!$B$7+'Parametros'!$B$9/2))*(I22-2*('Parametros'!$B$7+'Parametros'!$B$9/2)))^2))^2)</f>
        <v>0.682731254873456</v>
      </c>
      <c r="BG22" s="10">
        <f>'Parametros'!$B$6*(AJ22*1000/(H22*MIN(U22,AB22))+0.66*SQRT('Parametros'!$B$2))</f>
        <v>3.29396038227542</v>
      </c>
      <c r="BH22" s="10" t="str">
        <f>IF(BF22&lt;=BG22,"CUMPLE","NO CUMPLE")</f>
        <v>CUMPLE</v>
      </c>
      <c r="BI22" s="10">
        <f>AX22*'Parametros'!$B$8</f>
        <v>0</v>
      </c>
      <c r="BJ22" s="10" t="str">
        <f>IF(BI22&gt;=AW22,"CUMPLE","NO CUMPLE")</f>
        <v>CUMPLE</v>
      </c>
    </row>
    <row r="23">
      <c r="A23" s="13" t="inlineStr">
        <is>
          <t>VC1</t>
        </is>
      </c>
      <c r="B23" s="13" t="inlineStr">
        <is>
          <t>194</t>
        </is>
      </c>
      <c r="C23" s="10" t="n">
        <v>1</v>
      </c>
      <c r="D23" s="10" t="n">
        <v>3.15</v>
      </c>
      <c r="E23" s="10" t="n">
        <v>3.15</v>
      </c>
      <c r="F23" s="10" t="n">
        <v>450</v>
      </c>
      <c r="G23" s="10" t="n">
        <v>550</v>
      </c>
      <c r="H23" s="17" t="n">
        <v>450</v>
      </c>
      <c r="I23" s="17" t="n">
        <v>550</v>
      </c>
      <c r="J23" s="30" t="n">
        <v>12.945</v>
      </c>
      <c r="K23" s="10" t="inlineStr">
        <is>
          <t>194</t>
        </is>
      </c>
      <c r="L23" s="30" t="n">
        <v>14.8495</v>
      </c>
      <c r="M23" s="10" t="inlineStr">
        <is>
          <t>194</t>
        </is>
      </c>
      <c r="N23" s="30" t="n">
        <v>19.648</v>
      </c>
      <c r="O23" s="30" t="n">
        <v>29.492</v>
      </c>
      <c r="P23" s="10" t="inlineStr">
        <is>
          <t>194</t>
        </is>
      </c>
      <c r="Q23" s="30" t="n">
        <v>5.3312</v>
      </c>
      <c r="R23" s="10">
        <f>MAX(MAX(1.4/'Parametros'!$B$3,0.25*SQRT('Parametros'!$B$2)/'Parametros'!$B$3)*H23*U23,(0.85*'Parametros'!$B$2/'Parametros'!$B$3)*(1-SQRT(1-2*(J23*1000000/('Parametros'!$B$5*H23*U23^2))/(0.85*'Parametros'!$B$2)))*H23*U23)</f>
        <v>734.025</v>
      </c>
      <c r="S23" s="31" t="n">
        <v>4</v>
      </c>
      <c r="T23" s="32" t="n">
        <v>1</v>
      </c>
      <c r="U23" s="10">
        <f>IF(T23=1,I23-('Parametros'!$B$7+'Parametros'!$B$9+'Parametros'!$B$12/2),I23-(ROUNDUP(S23/2,0)*('Parametros'!$B$7+'Parametros'!$B$9+'Parametros'!$B$12/2)+ROUNDDOWN(S23/2,0)*('Parametros'!$B$7+'Parametros'!$B$9+'Parametros'!$B$12/2+'Parametros'!$B$12+'Parametros'!$B$10))/S23)</f>
        <v>489.35</v>
      </c>
      <c r="V23" s="10">
        <f>S23*'Parametros'!$B$8</f>
        <v>796</v>
      </c>
      <c r="W23" s="10">
        <f>'Parametros'!$B$5*V23*'Parametros'!$B$3*(U23-(V23*'Parametros'!$B$3/(0.85*'Parametros'!$B$2*H23))/2)/1000000</f>
        <v>142.543330094118</v>
      </c>
      <c r="X23" s="10" t="str">
        <f>IF(W23&gt;=J23,"CUMPLE","NO CUMPLE")</f>
        <v>CUMPLE</v>
      </c>
      <c r="Y23" s="10">
        <f>MAX(MAX(1.4/'Parametros'!$B$3,0.25*SQRT('Parametros'!$B$2)/'Parametros'!$B$3)*H23*AB23,(0.85*'Parametros'!$B$2/'Parametros'!$B$3)*(1-SQRT(1-2*(L23*1000000/('Parametros'!$B$5*H23*AB23^2))/(0.85*'Parametros'!$B$2)))*H23*AB23)</f>
        <v>734.025</v>
      </c>
      <c r="Z23" s="31" t="n">
        <v>4</v>
      </c>
      <c r="AA23" s="32" t="n">
        <v>1</v>
      </c>
      <c r="AB23" s="10">
        <f>IF(AA23=1,I23-('Parametros'!$B$7+'Parametros'!$B$9+'Parametros'!$B$12/2),I23-(ROUNDUP(Z23/2,0)*('Parametros'!$B$7+'Parametros'!$B$9+'Parametros'!$B$12/2)+ROUNDDOWN(Z23/2,0)*('Parametros'!$B$7+'Parametros'!$B$9+'Parametros'!$B$12/2+'Parametros'!$B$12+'Parametros'!$B$10))/Z23)</f>
        <v>489.35</v>
      </c>
      <c r="AC23" s="10">
        <f>Z23*'Parametros'!$B$8</f>
        <v>796</v>
      </c>
      <c r="AD23" s="10">
        <f>'Parametros'!$B$5*AC23*'Parametros'!$B$3*(AB23-(AC23*'Parametros'!$B$3/(0.85*'Parametros'!$B$2*H23))/2)/1000000</f>
        <v>142.543330094118</v>
      </c>
      <c r="AE23" s="10" t="str">
        <f>IF(AD23&gt;=L23,"CUMPLE","NO CUMPLE")</f>
        <v>CUMPLE</v>
      </c>
      <c r="AF23" s="10">
        <f>V23*1.25*'Parametros'!$B$3*(U23-(V23*1.25*'Parametros'!$B$3/(0.85*'Parametros'!$B$2*H23))/2)/1000000</f>
        <v>196.346217941176</v>
      </c>
      <c r="AG23" s="10">
        <f>AC23*1.25*'Parametros'!$B$3*(AB23-(AC23*1.25*'Parametros'!$B$3/(0.85*'Parametros'!$B$2*H23))/2)/1000000</f>
        <v>196.346217941176</v>
      </c>
      <c r="AH23" s="10">
        <f>N23+(AF23+AG23)/D23</f>
        <v>144.312265359477</v>
      </c>
      <c r="AI23" s="10">
        <f>MAX(O23,AH23)</f>
        <v>144.312265359477</v>
      </c>
      <c r="AJ23" s="10">
        <f>0.17*SQRT('Parametros'!$B$2)*H23*MIN(U23,AB23)/1000</f>
        <v>198.088855822627</v>
      </c>
      <c r="AK23" s="10">
        <f>MAX(AI23/'Parametros'!$B$6-AJ23,0)</f>
        <v>0</v>
      </c>
      <c r="AL23" s="10">
        <f>0.66*SQRT('Parametros'!$B$2)*H23*MIN(U23,AB23)/1000</f>
        <v>769.050852017258</v>
      </c>
      <c r="AM23" s="10" t="str">
        <f>IF(AK23&lt;=AL23,"CUMPLE","NO CUMPLE")</f>
        <v>CUMPLE</v>
      </c>
      <c r="AN23" s="17" t="inlineStr">
        <is>
          <t>Nº3 cerrado</t>
        </is>
      </c>
      <c r="AO23" s="31" t="n">
        <v>2</v>
      </c>
      <c r="AP23" s="10">
        <f>ROUNDDOWN(MIN(IF(BC23+BD23=0,1000000000,AO23*BB23/(BC23+BD23)),MIN(U23,AB23)/4,8*'Parametros'!$B$12,24*BA23,300,IF(AV23=0,1000000000,2*((H23-2*('Parametros'!$B$7+'Parametros'!$B$9/2))+(I23-2*('Parametros'!$B$7+'Parametros'!$B$9/2)))/8))/10,0)*10</f>
        <v>120</v>
      </c>
      <c r="AQ23" s="10">
        <f>ROUNDDOWN(MIN(IF(BC23+BD23=0,1000000000,AO23*BB23/(BC23+BD23)),IF(AK23&gt;0.33*SQRT('Parametros'!$B$2)*H23*MIN(U23,AB23)/1000,MIN(U23,AB23)/4,MIN(U23,AB23)/2),600,IF(AV23=0,1000000000,2*((H23-2*('Parametros'!$B$7+'Parametros'!$B$9/2))+(I23-2*('Parametros'!$B$7+'Parametros'!$B$9/2)))/8))/10,0)*10</f>
        <v>240</v>
      </c>
      <c r="AR23" s="10">
        <f>'Parametros'!$B$6*(AJ23+MAX(BE23-BD23,0)*'Parametros'!$B$4*MIN(U23,AB23)/1000)</f>
        <v>330.97185436697</v>
      </c>
      <c r="AS23" s="10" t="str">
        <f>IF(AND(ISERROR(SEARCH("referencia",AN23)),AM23="CUMPLE",AR23&gt;=AI23),"CUMPLE","NO CUMPLE")</f>
        <v>CUMPLE</v>
      </c>
      <c r="AT23" s="10">
        <f>'Parametros'!$B$6*0.083*SQRT('Parametros'!$B$2)*(H23*I23)^2/(2*(H23+I23))/1000000</f>
        <v>10.0887830333379</v>
      </c>
      <c r="AU23" s="10" t="str">
        <f>IF(Q23&lt;=AT23,"DESPRECIABLE","DISEÑAR")</f>
        <v>DESPRECIABLE</v>
      </c>
      <c r="AV23" s="10">
        <f>IF(Q23&lt;=AT23,0,Q23*1000000/('Parametros'!$B$6*2*0.85*(H23-2*('Parametros'!$B$7+'Parametros'!$B$9/2))*(I23-2*('Parametros'!$B$7+'Parametros'!$B$9/2))*'Parametros'!$B$4))</f>
        <v>0</v>
      </c>
      <c r="AW23" s="10">
        <f>AV23*2*((H23-2*('Parametros'!$B$7+'Parametros'!$B$9/2))+(I23-2*('Parametros'!$B$7+'Parametros'!$B$9/2)))*'Parametros'!$B$4/'Parametros'!$B$3</f>
        <v>0</v>
      </c>
      <c r="AX23" s="31" t="n">
        <v>0</v>
      </c>
      <c r="AY23" s="10" t="str">
        <f>IF(AV23=0,"DESPRECIABLE",IF(AND(ISERROR(SEARCH("referencia",AN23)),BB23/AP23&gt;=AV23,BI23&gt;=AW23,BH23="CUMPLE"),"CUMPLE","NO CUMPLE"))</f>
        <v>DESPRECIABLE</v>
      </c>
      <c r="AZ23" s="10" t="str">
        <f>IF(AND(X23="CUMPLE",AE23="CUMPLE",AS23="CUMPLE",OR(AY23="CUMPLE",AY23="DESPRECIABLE"),BH23="CUMPLE",BJ23="CUMPLE"),"CUMPLE","NO CUMPLE")</f>
        <v>CUMPLE</v>
      </c>
      <c r="BA23" s="32" t="n">
        <v>9.5</v>
      </c>
      <c r="BB23" s="32" t="n">
        <v>71</v>
      </c>
      <c r="BC23" s="10">
        <f>MAX(IF(AK23=0,0,AK23*1000/('Parametros'!$B$4*MIN(U23,AB23))),MAX(0.062*SQRT('Parametros'!$B$2)*H23/'Parametros'!$B$4,0.35*H23/'Parametros'!$B$4))</f>
        <v>0.375</v>
      </c>
      <c r="BD23" s="10">
        <f>2*AV23</f>
        <v>0</v>
      </c>
      <c r="BE23" s="10">
        <f>AO23*BB23/AP23</f>
        <v>1.18333333333333</v>
      </c>
      <c r="BF23" s="10">
        <f>SQRT((AI23*1000/(H23*MIN(U23,AB23)))^2+(Q23*1000000*2*((H23-2*('Parametros'!$B$7+'Parametros'!$B$9/2))+(I23-2*('Parametros'!$B$7+'Parametros'!$B$9/2)))/(1.7*((H23-2*('Parametros'!$B$7+'Parametros'!$B$9/2))*(I23-2*('Parametros'!$B$7+'Parametros'!$B$9/2)))^2))^2)</f>
        <v>0.682717505333404</v>
      </c>
      <c r="BG23" s="10">
        <f>'Parametros'!$B$6*(AJ23*1000/(H23*MIN(U23,AB23))+0.66*SQRT('Parametros'!$B$2))</f>
        <v>3.29396038227542</v>
      </c>
      <c r="BH23" s="10" t="str">
        <f>IF(BF23&lt;=BG23,"CUMPLE","NO CUMPLE")</f>
        <v>CUMPLE</v>
      </c>
      <c r="BI23" s="10">
        <f>AX23*'Parametros'!$B$8</f>
        <v>0</v>
      </c>
      <c r="BJ23" s="10" t="str">
        <f>IF(BI23&gt;=AW23,"CUMPLE","NO CUMPLE")</f>
        <v>CUMPLE</v>
      </c>
    </row>
    <row r="24">
      <c r="A24" s="16" t="inlineStr">
        <is>
          <t>VC2</t>
        </is>
      </c>
      <c r="B24" s="16" t="inlineStr">
        <is>
          <t>55</t>
        </is>
      </c>
      <c r="C24" s="10" t="n">
        <v>1</v>
      </c>
      <c r="D24" s="10" t="n">
        <v>3.4</v>
      </c>
      <c r="E24" s="10" t="n">
        <v>3.4</v>
      </c>
      <c r="F24" s="10" t="n">
        <v>450</v>
      </c>
      <c r="G24" s="10" t="n">
        <v>550</v>
      </c>
      <c r="H24" s="17" t="n">
        <v>450</v>
      </c>
      <c r="I24" s="17" t="n">
        <v>550</v>
      </c>
      <c r="J24" s="30" t="n">
        <v>172.7383</v>
      </c>
      <c r="K24" s="10" t="inlineStr">
        <is>
          <t>55</t>
        </is>
      </c>
      <c r="L24" s="30" t="n">
        <v>148.4459</v>
      </c>
      <c r="M24" s="10" t="inlineStr">
        <is>
          <t>55</t>
        </is>
      </c>
      <c r="N24" s="30" t="n">
        <v>90.083</v>
      </c>
      <c r="O24" s="30" t="n">
        <v>384.616</v>
      </c>
      <c r="P24" s="10" t="inlineStr">
        <is>
          <t>55</t>
        </is>
      </c>
      <c r="Q24" s="30" t="n">
        <v>11.347</v>
      </c>
      <c r="R24" s="10">
        <f>MAX(MAX(1.4/'Parametros'!$B$3,0.25*SQRT('Parametros'!$B$2)/'Parametros'!$B$3)*H24*U24,(0.85*'Parametros'!$B$2/'Parametros'!$B$3)*(1-SQRT(1-2*(J24*1000000/('Parametros'!$B$5*H24*U24^2))/(0.85*'Parametros'!$B$2)))*H24*U24)</f>
        <v>971.682221545539</v>
      </c>
      <c r="S24" s="31" t="n">
        <v>5</v>
      </c>
      <c r="T24" s="32" t="n">
        <v>1</v>
      </c>
      <c r="U24" s="10">
        <f>IF(T24=1,I24-('Parametros'!$B$7+'Parametros'!$B$9+'Parametros'!$B$12/2),I24-(ROUNDUP(S24/2,0)*('Parametros'!$B$7+'Parametros'!$B$9+'Parametros'!$B$12/2)+ROUNDDOWN(S24/2,0)*('Parametros'!$B$7+'Parametros'!$B$9+'Parametros'!$B$12/2+'Parametros'!$B$12+'Parametros'!$B$10))/S24)</f>
        <v>489.35</v>
      </c>
      <c r="V24" s="10">
        <f>S24*'Parametros'!$B$8</f>
        <v>995</v>
      </c>
      <c r="W24" s="10">
        <f>'Parametros'!$B$5*V24*'Parametros'!$B$3*(U24-(V24*'Parametros'!$B$3/(0.85*'Parametros'!$B$2*H24))/2)/1000000</f>
        <v>176.711596147059</v>
      </c>
      <c r="X24" s="10" t="str">
        <f>IF(W24&gt;=J24,"CUMPLE","NO CUMPLE")</f>
        <v>CUMPLE</v>
      </c>
      <c r="Y24" s="10">
        <f>MAX(MAX(1.4/'Parametros'!$B$3,0.25*SQRT('Parametros'!$B$2)/'Parametros'!$B$3)*H24*AB24,(0.85*'Parametros'!$B$2/'Parametros'!$B$3)*(1-SQRT(1-2*(L24*1000000/('Parametros'!$B$5*H24*AB24^2))/(0.85*'Parametros'!$B$2)))*H24*AB24)</f>
        <v>830.134335646714</v>
      </c>
      <c r="Z24" s="31" t="n">
        <v>5</v>
      </c>
      <c r="AA24" s="32" t="n">
        <v>1</v>
      </c>
      <c r="AB24" s="10">
        <f>IF(AA24=1,I24-('Parametros'!$B$7+'Parametros'!$B$9+'Parametros'!$B$12/2),I24-(ROUNDUP(Z24/2,0)*('Parametros'!$B$7+'Parametros'!$B$9+'Parametros'!$B$12/2)+ROUNDDOWN(Z24/2,0)*('Parametros'!$B$7+'Parametros'!$B$9+'Parametros'!$B$12/2+'Parametros'!$B$12+'Parametros'!$B$10))/Z24)</f>
        <v>489.35</v>
      </c>
      <c r="AC24" s="10">
        <f>Z24*'Parametros'!$B$8</f>
        <v>995</v>
      </c>
      <c r="AD24" s="10">
        <f>'Parametros'!$B$5*AC24*'Parametros'!$B$3*(AB24-(AC24*'Parametros'!$B$3/(0.85*'Parametros'!$B$2*H24))/2)/1000000</f>
        <v>176.711596147059</v>
      </c>
      <c r="AE24" s="10" t="str">
        <f>IF(AD24&gt;=L24,"CUMPLE","NO CUMPLE")</f>
        <v>CUMPLE</v>
      </c>
      <c r="AF24" s="10">
        <f>V24*1.25*'Parametros'!$B$3*(U24-(V24*1.25*'Parametros'!$B$3/(0.85*'Parametros'!$B$2*H24))/2)/1000000</f>
        <v>242.884913970588</v>
      </c>
      <c r="AG24" s="10">
        <f>AC24*1.25*'Parametros'!$B$3*(AB24-(AC24*1.25*'Parametros'!$B$3/(0.85*'Parametros'!$B$2*H24))/2)/1000000</f>
        <v>242.884913970588</v>
      </c>
      <c r="AH24" s="10">
        <f>N24+(AF24+AG24)/D24</f>
        <v>232.956478806228</v>
      </c>
      <c r="AI24" s="10">
        <f>MAX(O24,AH24)</f>
        <v>384.616</v>
      </c>
      <c r="AJ24" s="10">
        <f>0.17*SQRT('Parametros'!$B$2)*H24*MIN(U24,AB24)/1000</f>
        <v>198.088855822627</v>
      </c>
      <c r="AK24" s="10">
        <f>MAX(AI24/'Parametros'!$B$6-AJ24,0)</f>
        <v>314.732477510706</v>
      </c>
      <c r="AL24" s="10">
        <f>0.66*SQRT('Parametros'!$B$2)*H24*MIN(U24,AB24)/1000</f>
        <v>769.050852017258</v>
      </c>
      <c r="AM24" s="10" t="str">
        <f>IF(AK24&lt;=AL24,"CUMPLE","NO CUMPLE")</f>
        <v>CUMPLE</v>
      </c>
      <c r="AN24" s="17" t="inlineStr">
        <is>
          <t>Nº4 cerrado</t>
        </is>
      </c>
      <c r="AO24" s="31" t="n">
        <v>2</v>
      </c>
      <c r="AP24" s="10">
        <f>ROUNDDOWN(MIN(IF(BC24+BD24=0,1000000000,AO24*BB24/(BC24+BD24)),MIN(U24,AB24)/4,8*'Parametros'!$B$12,24*BA24,300,IF(AV24=0,1000000000,2*((H24-2*('Parametros'!$B$7+'Parametros'!$B$9/2))+(I24-2*('Parametros'!$B$7+'Parametros'!$B$9/2)))/8))/10,0)*10</f>
        <v>120</v>
      </c>
      <c r="AQ24" s="10">
        <f>ROUNDDOWN(MIN(IF(BC24+BD24=0,1000000000,AO24*BB24/(BC24+BD24)),IF(AK24&gt;0.33*SQRT('Parametros'!$B$2)*H24*MIN(U24,AB24)/1000,MIN(U24,AB24)/4,MIN(U24,AB24)/2),600,IF(AV24=0,1000000000,2*((H24-2*('Parametros'!$B$7+'Parametros'!$B$9/2))+(I24-2*('Parametros'!$B$7+'Parametros'!$B$9/2)))/8))/10,0)*10</f>
        <v>140</v>
      </c>
      <c r="AR24" s="10">
        <f>'Parametros'!$B$6*(AJ24+MAX(BE24-BD24,0)*'Parametros'!$B$4*MIN(U24,AB24)/1000)</f>
        <v>439.998495365924</v>
      </c>
      <c r="AS24" s="10" t="str">
        <f>IF(AND(ISERROR(SEARCH("referencia",AN24)),AM24="CUMPLE",AR24&gt;=AI24),"CUMPLE","NO CUMPLE")</f>
        <v>CUMPLE</v>
      </c>
      <c r="AT24" s="10">
        <f>'Parametros'!$B$6*0.083*SQRT('Parametros'!$B$2)*(H24*I24)^2/(2*(H24+I24))/1000000</f>
        <v>10.0887830333379</v>
      </c>
      <c r="AU24" s="10" t="str">
        <f>IF(Q24&lt;=AT24,"DESPRECIABLE","DISEÑAR")</f>
        <v>DISEÑAR</v>
      </c>
      <c r="AV24" s="10">
        <f>IF(Q24&lt;=AT24,0,Q24*1000000/('Parametros'!$B$6*2*0.85*(H24-2*('Parametros'!$B$7+'Parametros'!$B$9/2))*(I24-2*('Parametros'!$B$7+'Parametros'!$B$9/2))*'Parametros'!$B$4))</f>
        <v>0.129684288036921</v>
      </c>
      <c r="AW24" s="10">
        <f>AV24*2*((H24-2*('Parametros'!$B$7+'Parametros'!$B$9/2))+(I24-2*('Parametros'!$B$7+'Parametros'!$B$9/2)))*'Parametros'!$B$4/'Parametros'!$B$3</f>
        <v>211.281642069751</v>
      </c>
      <c r="AX24" s="31" t="n">
        <v>8</v>
      </c>
      <c r="AY24" s="10" t="str">
        <f>IF(AV24=0,"DESPRECIABLE",IF(AND(ISERROR(SEARCH("referencia",AN24)),BB24/AP24&gt;=AV24,BI24&gt;=AW24,BH24="CUMPLE"),"CUMPLE","NO CUMPLE"))</f>
        <v>CUMPLE</v>
      </c>
      <c r="AZ24" s="10" t="str">
        <f>IF(AND(X24="CUMPLE",AE24="CUMPLE",AS24="CUMPLE",OR(AY24="CUMPLE",AY24="DESPRECIABLE"),BH24="CUMPLE",BJ24="CUMPLE"),"CUMPLE","NO CUMPLE")</f>
        <v>CUMPLE</v>
      </c>
      <c r="BA24" s="32" t="n">
        <v>12.7</v>
      </c>
      <c r="BB24" s="32" t="n">
        <v>129</v>
      </c>
      <c r="BC24" s="10">
        <f>MAX(IF(AK24=0,0,AK24*1000/('Parametros'!$B$4*MIN(U24,AB24))),MAX(0.062*SQRT('Parametros'!$B$2)*H24/'Parametros'!$B$4,0.35*H24/'Parametros'!$B$4))</f>
        <v>1.5313437042856</v>
      </c>
      <c r="BD24" s="10">
        <f>2*AV24</f>
        <v>0.259368576073842</v>
      </c>
      <c r="BE24" s="10">
        <f>AO24*BB24/AP24</f>
        <v>2.15</v>
      </c>
      <c r="BF24" s="10">
        <f>SQRT((AI24*1000/(H24*MIN(U24,AB24)))^2+(Q24*1000000*2*((H24-2*('Parametros'!$B$7+'Parametros'!$B$9/2))+(I24-2*('Parametros'!$B$7+'Parametros'!$B$9/2)))/(1.7*((H24-2*('Parametros'!$B$7+'Parametros'!$B$9/2))*(I24-2*('Parametros'!$B$7+'Parametros'!$B$9/2)))^2))^2)</f>
        <v>1.79347373021236</v>
      </c>
      <c r="BG24" s="10">
        <f>'Parametros'!$B$6*(AJ24*1000/(H24*MIN(U24,AB24))+0.66*SQRT('Parametros'!$B$2))</f>
        <v>3.29396038227542</v>
      </c>
      <c r="BH24" s="10" t="str">
        <f>IF(BF24&lt;=BG24,"CUMPLE","NO CUMPLE")</f>
        <v>CUMPLE</v>
      </c>
      <c r="BI24" s="10">
        <f>AX24*'Parametros'!$B$8</f>
        <v>1592</v>
      </c>
      <c r="BJ24" s="10" t="str">
        <f>IF(BI24&gt;=AW24,"CUMPLE","NO CUMPLE")</f>
        <v>CUMPLE</v>
      </c>
    </row>
    <row r="25">
      <c r="A25" s="16" t="inlineStr">
        <is>
          <t>VC2</t>
        </is>
      </c>
      <c r="B25" s="16" t="inlineStr">
        <is>
          <t>56</t>
        </is>
      </c>
      <c r="C25" s="10" t="n">
        <v>1</v>
      </c>
      <c r="D25" s="10" t="n">
        <v>3.4</v>
      </c>
      <c r="E25" s="10" t="n">
        <v>3.4</v>
      </c>
      <c r="F25" s="10" t="n">
        <v>450</v>
      </c>
      <c r="G25" s="10" t="n">
        <v>550</v>
      </c>
      <c r="H25" s="17" t="n">
        <v>450</v>
      </c>
      <c r="I25" s="17" t="n">
        <v>550</v>
      </c>
      <c r="J25" s="30" t="n">
        <v>172.7596</v>
      </c>
      <c r="K25" s="10" t="inlineStr">
        <is>
          <t>56</t>
        </is>
      </c>
      <c r="L25" s="30" t="n">
        <v>148.4326</v>
      </c>
      <c r="M25" s="10" t="inlineStr">
        <is>
          <t>56</t>
        </is>
      </c>
      <c r="N25" s="30" t="n">
        <v>90.093</v>
      </c>
      <c r="O25" s="30" t="n">
        <v>384.626</v>
      </c>
      <c r="P25" s="10" t="inlineStr">
        <is>
          <t>56</t>
        </is>
      </c>
      <c r="Q25" s="30" t="n">
        <v>11.3474</v>
      </c>
      <c r="R25" s="10">
        <f>MAX(MAX(1.4/'Parametros'!$B$3,0.25*SQRT('Parametros'!$B$2)/'Parametros'!$B$3)*H25*U25,(0.85*'Parametros'!$B$2/'Parametros'!$B$3)*(1-SQRT(1-2*(J25*1000000/('Parametros'!$B$5*H25*U25^2))/(0.85*'Parametros'!$B$2)))*H25*U25)</f>
        <v>971.807097245512</v>
      </c>
      <c r="S25" s="31" t="n">
        <v>5</v>
      </c>
      <c r="T25" s="32" t="n">
        <v>1</v>
      </c>
      <c r="U25" s="10">
        <f>IF(T25=1,I25-('Parametros'!$B$7+'Parametros'!$B$9+'Parametros'!$B$12/2),I25-(ROUNDUP(S25/2,0)*('Parametros'!$B$7+'Parametros'!$B$9+'Parametros'!$B$12/2)+ROUNDDOWN(S25/2,0)*('Parametros'!$B$7+'Parametros'!$B$9+'Parametros'!$B$12/2+'Parametros'!$B$12+'Parametros'!$B$10))/S25)</f>
        <v>489.35</v>
      </c>
      <c r="V25" s="10">
        <f>S25*'Parametros'!$B$8</f>
        <v>995</v>
      </c>
      <c r="W25" s="10">
        <f>'Parametros'!$B$5*V25*'Parametros'!$B$3*(U25-(V25*'Parametros'!$B$3/(0.85*'Parametros'!$B$2*H25))/2)/1000000</f>
        <v>176.711596147059</v>
      </c>
      <c r="X25" s="10" t="str">
        <f>IF(W25&gt;=J25,"CUMPLE","NO CUMPLE")</f>
        <v>CUMPLE</v>
      </c>
      <c r="Y25" s="10">
        <f>MAX(MAX(1.4/'Parametros'!$B$3,0.25*SQRT('Parametros'!$B$2)/'Parametros'!$B$3)*H25*AB25,(0.85*'Parametros'!$B$2/'Parametros'!$B$3)*(1-SQRT(1-2*(L25*1000000/('Parametros'!$B$5*H25*AB25^2))/(0.85*'Parametros'!$B$2)))*H25*AB25)</f>
        <v>830.057309816779</v>
      </c>
      <c r="Z25" s="31" t="n">
        <v>5</v>
      </c>
      <c r="AA25" s="32" t="n">
        <v>1</v>
      </c>
      <c r="AB25" s="10">
        <f>IF(AA25=1,I25-('Parametros'!$B$7+'Parametros'!$B$9+'Parametros'!$B$12/2),I25-(ROUNDUP(Z25/2,0)*('Parametros'!$B$7+'Parametros'!$B$9+'Parametros'!$B$12/2)+ROUNDDOWN(Z25/2,0)*('Parametros'!$B$7+'Parametros'!$B$9+'Parametros'!$B$12/2+'Parametros'!$B$12+'Parametros'!$B$10))/Z25)</f>
        <v>489.35</v>
      </c>
      <c r="AC25" s="10">
        <f>Z25*'Parametros'!$B$8</f>
        <v>995</v>
      </c>
      <c r="AD25" s="10">
        <f>'Parametros'!$B$5*AC25*'Parametros'!$B$3*(AB25-(AC25*'Parametros'!$B$3/(0.85*'Parametros'!$B$2*H25))/2)/1000000</f>
        <v>176.711596147059</v>
      </c>
      <c r="AE25" s="10" t="str">
        <f>IF(AD25&gt;=L25,"CUMPLE","NO CUMPLE")</f>
        <v>CUMPLE</v>
      </c>
      <c r="AF25" s="10">
        <f>V25*1.25*'Parametros'!$B$3*(U25-(V25*1.25*'Parametros'!$B$3/(0.85*'Parametros'!$B$2*H25))/2)/1000000</f>
        <v>242.884913970588</v>
      </c>
      <c r="AG25" s="10">
        <f>AC25*1.25*'Parametros'!$B$3*(AB25-(AC25*1.25*'Parametros'!$B$3/(0.85*'Parametros'!$B$2*H25))/2)/1000000</f>
        <v>242.884913970588</v>
      </c>
      <c r="AH25" s="10">
        <f>N25+(AF25+AG25)/D25</f>
        <v>232.966478806228</v>
      </c>
      <c r="AI25" s="10">
        <f>MAX(O25,AH25)</f>
        <v>384.626</v>
      </c>
      <c r="AJ25" s="10">
        <f>0.17*SQRT('Parametros'!$B$2)*H25*MIN(U25,AB25)/1000</f>
        <v>198.088855822627</v>
      </c>
      <c r="AK25" s="10">
        <f>MAX(AI25/'Parametros'!$B$6-AJ25,0)</f>
        <v>314.74581084404</v>
      </c>
      <c r="AL25" s="10">
        <f>0.66*SQRT('Parametros'!$B$2)*H25*MIN(U25,AB25)/1000</f>
        <v>769.050852017258</v>
      </c>
      <c r="AM25" s="10" t="str">
        <f>IF(AK25&lt;=AL25,"CUMPLE","NO CUMPLE")</f>
        <v>CUMPLE</v>
      </c>
      <c r="AN25" s="17" t="inlineStr">
        <is>
          <t>Nº4 cerrado</t>
        </is>
      </c>
      <c r="AO25" s="31" t="n">
        <v>2</v>
      </c>
      <c r="AP25" s="10">
        <f>ROUNDDOWN(MIN(IF(BC25+BD25=0,1000000000,AO25*BB25/(BC25+BD25)),MIN(U25,AB25)/4,8*'Parametros'!$B$12,24*BA25,300,IF(AV25=0,1000000000,2*((H25-2*('Parametros'!$B$7+'Parametros'!$B$9/2))+(I25-2*('Parametros'!$B$7+'Parametros'!$B$9/2)))/8))/10,0)*10</f>
        <v>120</v>
      </c>
      <c r="AQ25" s="10">
        <f>ROUNDDOWN(MIN(IF(BC25+BD25=0,1000000000,AO25*BB25/(BC25+BD25)),IF(AK25&gt;0.33*SQRT('Parametros'!$B$2)*H25*MIN(U25,AB25)/1000,MIN(U25,AB25)/4,MIN(U25,AB25)/2),600,IF(AV25=0,1000000000,2*((H25-2*('Parametros'!$B$7+'Parametros'!$B$9/2))+(I25-2*('Parametros'!$B$7+'Parametros'!$B$9/2)))/8))/10,0)*10</f>
        <v>140</v>
      </c>
      <c r="AR25" s="10">
        <f>'Parametros'!$B$6*(AJ25+MAX(BE25-BD25,0)*'Parametros'!$B$4*MIN(U25,AB25)/1000)</f>
        <v>439.997085991323</v>
      </c>
      <c r="AS25" s="10" t="str">
        <f>IF(AND(ISERROR(SEARCH("referencia",AN25)),AM25="CUMPLE",AR25&gt;=AI25),"CUMPLE","NO CUMPLE")</f>
        <v>CUMPLE</v>
      </c>
      <c r="AT25" s="10">
        <f>'Parametros'!$B$6*0.083*SQRT('Parametros'!$B$2)*(H25*I25)^2/(2*(H25+I25))/1000000</f>
        <v>10.0887830333379</v>
      </c>
      <c r="AU25" s="10" t="str">
        <f>IF(Q25&lt;=AT25,"DESPRECIABLE","DISEÑAR")</f>
        <v>DISEÑAR</v>
      </c>
      <c r="AV25" s="10">
        <f>IF(Q25&lt;=AT25,0,Q25*1000000/('Parametros'!$B$6*2*0.85*(H25-2*('Parametros'!$B$7+'Parametros'!$B$9/2))*(I25-2*('Parametros'!$B$7+'Parametros'!$B$9/2))*'Parametros'!$B$4))</f>
        <v>0.129688859616652</v>
      </c>
      <c r="AW25" s="10">
        <f>AV25*2*((H25-2*('Parametros'!$B$7+'Parametros'!$B$9/2))+(I25-2*('Parametros'!$B$7+'Parametros'!$B$9/2)))*'Parametros'!$B$4/'Parametros'!$B$3</f>
        <v>211.28909008745</v>
      </c>
      <c r="AX25" s="31" t="n">
        <v>8</v>
      </c>
      <c r="AY25" s="10" t="str">
        <f>IF(AV25=0,"DESPRECIABLE",IF(AND(ISERROR(SEARCH("referencia",AN25)),BB25/AP25&gt;=AV25,BI25&gt;=AW25,BH25="CUMPLE"),"CUMPLE","NO CUMPLE"))</f>
        <v>CUMPLE</v>
      </c>
      <c r="AZ25" s="10" t="str">
        <f>IF(AND(X25="CUMPLE",AE25="CUMPLE",AS25="CUMPLE",OR(AY25="CUMPLE",AY25="DESPRECIABLE"),BH25="CUMPLE",BJ25="CUMPLE"),"CUMPLE","NO CUMPLE")</f>
        <v>CUMPLE</v>
      </c>
      <c r="BA25" s="32" t="n">
        <v>12.7</v>
      </c>
      <c r="BB25" s="32" t="n">
        <v>129</v>
      </c>
      <c r="BC25" s="10">
        <f>MAX(IF(AK25=0,0,AK25*1000/('Parametros'!$B$4*MIN(U25,AB25))),MAX(0.062*SQRT('Parametros'!$B$2)*H25/'Parametros'!$B$4,0.35*H25/'Parametros'!$B$4))</f>
        <v>1.53140857816267</v>
      </c>
      <c r="BD25" s="10">
        <f>2*AV25</f>
        <v>0.259377719233305</v>
      </c>
      <c r="BE25" s="10">
        <f>AO25*BB25/AP25</f>
        <v>2.15</v>
      </c>
      <c r="BF25" s="10">
        <f>SQRT((AI25*1000/(H25*MIN(U25,AB25)))^2+(Q25*1000000*2*((H25-2*('Parametros'!$B$7+'Parametros'!$B$9/2))+(I25-2*('Parametros'!$B$7+'Parametros'!$B$9/2)))/(1.7*((H25-2*('Parametros'!$B$7+'Parametros'!$B$9/2))*(I25-2*('Parametros'!$B$7+'Parametros'!$B$9/2)))^2))^2)</f>
        <v>1.79352121631385</v>
      </c>
      <c r="BG25" s="10">
        <f>'Parametros'!$B$6*(AJ25*1000/(H25*MIN(U25,AB25))+0.66*SQRT('Parametros'!$B$2))</f>
        <v>3.29396038227542</v>
      </c>
      <c r="BH25" s="10" t="str">
        <f>IF(BF25&lt;=BG25,"CUMPLE","NO CUMPLE")</f>
        <v>CUMPLE</v>
      </c>
      <c r="BI25" s="10">
        <f>AX25*'Parametros'!$B$8</f>
        <v>1592</v>
      </c>
      <c r="BJ25" s="10" t="str">
        <f>IF(BI25&gt;=AW25,"CUMPLE","NO CUMPLE")</f>
        <v>CUMPLE</v>
      </c>
    </row>
    <row r="26">
      <c r="A26" s="16" t="inlineStr">
        <is>
          <t>VC2</t>
        </is>
      </c>
      <c r="B26" s="16" t="inlineStr">
        <is>
          <t>93</t>
        </is>
      </c>
      <c r="C26" s="10" t="n">
        <v>1</v>
      </c>
      <c r="D26" s="10" t="n">
        <v>3.4</v>
      </c>
      <c r="E26" s="10" t="n">
        <v>3.4</v>
      </c>
      <c r="F26" s="10" t="n">
        <v>450</v>
      </c>
      <c r="G26" s="10" t="n">
        <v>550</v>
      </c>
      <c r="H26" s="17" t="n">
        <v>450</v>
      </c>
      <c r="I26" s="17" t="n">
        <v>550</v>
      </c>
      <c r="J26" s="30" t="n">
        <v>172.7549</v>
      </c>
      <c r="K26" s="10" t="inlineStr">
        <is>
          <t>93</t>
        </is>
      </c>
      <c r="L26" s="30" t="n">
        <v>148.4285</v>
      </c>
      <c r="M26" s="10" t="inlineStr">
        <is>
          <t>93</t>
        </is>
      </c>
      <c r="N26" s="30" t="n">
        <v>90.09099999999999</v>
      </c>
      <c r="O26" s="30" t="n">
        <v>384.616</v>
      </c>
      <c r="P26" s="10" t="inlineStr">
        <is>
          <t>93</t>
        </is>
      </c>
      <c r="Q26" s="30" t="n">
        <v>11.3478</v>
      </c>
      <c r="R26" s="10">
        <f>MAX(MAX(1.4/'Parametros'!$B$3,0.25*SQRT('Parametros'!$B$2)/'Parametros'!$B$3)*H26*U26,(0.85*'Parametros'!$B$2/'Parametros'!$B$3)*(1-SQRT(1-2*(J26*1000000/('Parametros'!$B$5*H26*U26^2))/(0.85*'Parametros'!$B$2)))*H26*U26)</f>
        <v>971.779542397067</v>
      </c>
      <c r="S26" s="31" t="n">
        <v>5</v>
      </c>
      <c r="T26" s="32" t="n">
        <v>1</v>
      </c>
      <c r="U26" s="10">
        <f>IF(T26=1,I26-('Parametros'!$B$7+'Parametros'!$B$9+'Parametros'!$B$12/2),I26-(ROUNDUP(S26/2,0)*('Parametros'!$B$7+'Parametros'!$B$9+'Parametros'!$B$12/2)+ROUNDDOWN(S26/2,0)*('Parametros'!$B$7+'Parametros'!$B$9+'Parametros'!$B$12/2+'Parametros'!$B$12+'Parametros'!$B$10))/S26)</f>
        <v>489.35</v>
      </c>
      <c r="V26" s="10">
        <f>S26*'Parametros'!$B$8</f>
        <v>995</v>
      </c>
      <c r="W26" s="10">
        <f>'Parametros'!$B$5*V26*'Parametros'!$B$3*(U26-(V26*'Parametros'!$B$3/(0.85*'Parametros'!$B$2*H26))/2)/1000000</f>
        <v>176.711596147059</v>
      </c>
      <c r="X26" s="10" t="str">
        <f>IF(W26&gt;=J26,"CUMPLE","NO CUMPLE")</f>
        <v>CUMPLE</v>
      </c>
      <c r="Y26" s="10">
        <f>MAX(MAX(1.4/'Parametros'!$B$3,0.25*SQRT('Parametros'!$B$2)/'Parametros'!$B$3)*H26*AB26,(0.85*'Parametros'!$B$2/'Parametros'!$B$3)*(1-SQRT(1-2*(L26*1000000/('Parametros'!$B$5*H26*AB26^2))/(0.85*'Parametros'!$B$2)))*H26*AB26)</f>
        <v>830.033565114772</v>
      </c>
      <c r="Z26" s="31" t="n">
        <v>5</v>
      </c>
      <c r="AA26" s="32" t="n">
        <v>1</v>
      </c>
      <c r="AB26" s="10">
        <f>IF(AA26=1,I26-('Parametros'!$B$7+'Parametros'!$B$9+'Parametros'!$B$12/2),I26-(ROUNDUP(Z26/2,0)*('Parametros'!$B$7+'Parametros'!$B$9+'Parametros'!$B$12/2)+ROUNDDOWN(Z26/2,0)*('Parametros'!$B$7+'Parametros'!$B$9+'Parametros'!$B$12/2+'Parametros'!$B$12+'Parametros'!$B$10))/Z26)</f>
        <v>489.35</v>
      </c>
      <c r="AC26" s="10">
        <f>Z26*'Parametros'!$B$8</f>
        <v>995</v>
      </c>
      <c r="AD26" s="10">
        <f>'Parametros'!$B$5*AC26*'Parametros'!$B$3*(AB26-(AC26*'Parametros'!$B$3/(0.85*'Parametros'!$B$2*H26))/2)/1000000</f>
        <v>176.711596147059</v>
      </c>
      <c r="AE26" s="10" t="str">
        <f>IF(AD26&gt;=L26,"CUMPLE","NO CUMPLE")</f>
        <v>CUMPLE</v>
      </c>
      <c r="AF26" s="10">
        <f>V26*1.25*'Parametros'!$B$3*(U26-(V26*1.25*'Parametros'!$B$3/(0.85*'Parametros'!$B$2*H26))/2)/1000000</f>
        <v>242.884913970588</v>
      </c>
      <c r="AG26" s="10">
        <f>AC26*1.25*'Parametros'!$B$3*(AB26-(AC26*1.25*'Parametros'!$B$3/(0.85*'Parametros'!$B$2*H26))/2)/1000000</f>
        <v>242.884913970588</v>
      </c>
      <c r="AH26" s="10">
        <f>N26+(AF26+AG26)/D26</f>
        <v>232.964478806228</v>
      </c>
      <c r="AI26" s="10">
        <f>MAX(O26,AH26)</f>
        <v>384.616</v>
      </c>
      <c r="AJ26" s="10">
        <f>0.17*SQRT('Parametros'!$B$2)*H26*MIN(U26,AB26)/1000</f>
        <v>198.088855822627</v>
      </c>
      <c r="AK26" s="10">
        <f>MAX(AI26/'Parametros'!$B$6-AJ26,0)</f>
        <v>314.732477510706</v>
      </c>
      <c r="AL26" s="10">
        <f>0.66*SQRT('Parametros'!$B$2)*H26*MIN(U26,AB26)/1000</f>
        <v>769.050852017258</v>
      </c>
      <c r="AM26" s="10" t="str">
        <f>IF(AK26&lt;=AL26,"CUMPLE","NO CUMPLE")</f>
        <v>CUMPLE</v>
      </c>
      <c r="AN26" s="17" t="inlineStr">
        <is>
          <t>Nº4 cerrado</t>
        </is>
      </c>
      <c r="AO26" s="31" t="n">
        <v>2</v>
      </c>
      <c r="AP26" s="10">
        <f>ROUNDDOWN(MIN(IF(BC26+BD26=0,1000000000,AO26*BB26/(BC26+BD26)),MIN(U26,AB26)/4,8*'Parametros'!$B$12,24*BA26,300,IF(AV26=0,1000000000,2*((H26-2*('Parametros'!$B$7+'Parametros'!$B$9/2))+(I26-2*('Parametros'!$B$7+'Parametros'!$B$9/2)))/8))/10,0)*10</f>
        <v>120</v>
      </c>
      <c r="AQ26" s="10">
        <f>ROUNDDOWN(MIN(IF(BC26+BD26=0,1000000000,AO26*BB26/(BC26+BD26)),IF(AK26&gt;0.33*SQRT('Parametros'!$B$2)*H26*MIN(U26,AB26)/1000,MIN(U26,AB26)/4,MIN(U26,AB26)/2),600,IF(AV26=0,1000000000,2*((H26-2*('Parametros'!$B$7+'Parametros'!$B$9/2))+(I26-2*('Parametros'!$B$7+'Parametros'!$B$9/2)))/8))/10,0)*10</f>
        <v>140</v>
      </c>
      <c r="AR26" s="10">
        <f>'Parametros'!$B$6*(AJ26+MAX(BE26-BD26,0)*'Parametros'!$B$4*MIN(U26,AB26)/1000)</f>
        <v>439.995676616721</v>
      </c>
      <c r="AS26" s="10" t="str">
        <f>IF(AND(ISERROR(SEARCH("referencia",AN26)),AM26="CUMPLE",AR26&gt;=AI26),"CUMPLE","NO CUMPLE")</f>
        <v>CUMPLE</v>
      </c>
      <c r="AT26" s="10">
        <f>'Parametros'!$B$6*0.083*SQRT('Parametros'!$B$2)*(H26*I26)^2/(2*(H26+I26))/1000000</f>
        <v>10.0887830333379</v>
      </c>
      <c r="AU26" s="10" t="str">
        <f>IF(Q26&lt;=AT26,"DESPRECIABLE","DISEÑAR")</f>
        <v>DISEÑAR</v>
      </c>
      <c r="AV26" s="10">
        <f>IF(Q26&lt;=AT26,0,Q26*1000000/('Parametros'!$B$6*2*0.85*(H26-2*('Parametros'!$B$7+'Parametros'!$B$9/2))*(I26-2*('Parametros'!$B$7+'Parametros'!$B$9/2))*'Parametros'!$B$4))</f>
        <v>0.129693431196384</v>
      </c>
      <c r="AW26" s="10">
        <f>AV26*2*((H26-2*('Parametros'!$B$7+'Parametros'!$B$9/2))+(I26-2*('Parametros'!$B$7+'Parametros'!$B$9/2)))*'Parametros'!$B$4/'Parametros'!$B$3</f>
        <v>211.296538105149</v>
      </c>
      <c r="AX26" s="31" t="n">
        <v>8</v>
      </c>
      <c r="AY26" s="10" t="str">
        <f>IF(AV26=0,"DESPRECIABLE",IF(AND(ISERROR(SEARCH("referencia",AN26)),BB26/AP26&gt;=AV26,BI26&gt;=AW26,BH26="CUMPLE"),"CUMPLE","NO CUMPLE"))</f>
        <v>CUMPLE</v>
      </c>
      <c r="AZ26" s="10" t="str">
        <f>IF(AND(X26="CUMPLE",AE26="CUMPLE",AS26="CUMPLE",OR(AY26="CUMPLE",AY26="DESPRECIABLE"),BH26="CUMPLE",BJ26="CUMPLE"),"CUMPLE","NO CUMPLE")</f>
        <v>CUMPLE</v>
      </c>
      <c r="BA26" s="32" t="n">
        <v>12.7</v>
      </c>
      <c r="BB26" s="32" t="n">
        <v>129</v>
      </c>
      <c r="BC26" s="10">
        <f>MAX(IF(AK26=0,0,AK26*1000/('Parametros'!$B$4*MIN(U26,AB26))),MAX(0.062*SQRT('Parametros'!$B$2)*H26/'Parametros'!$B$4,0.35*H26/'Parametros'!$B$4))</f>
        <v>1.5313437042856</v>
      </c>
      <c r="BD26" s="10">
        <f>2*AV26</f>
        <v>0.259386862392768</v>
      </c>
      <c r="BE26" s="10">
        <f>AO26*BB26/AP26</f>
        <v>2.15</v>
      </c>
      <c r="BF26" s="10">
        <f>SQRT((AI26*1000/(H26*MIN(U26,AB26)))^2+(Q26*1000000*2*((H26-2*('Parametros'!$B$7+'Parametros'!$B$9/2))+(I26-2*('Parametros'!$B$7+'Parametros'!$B$9/2)))/(1.7*((H26-2*('Parametros'!$B$7+'Parametros'!$B$9/2))*(I26-2*('Parametros'!$B$7+'Parametros'!$B$9/2)))^2))^2)</f>
        <v>1.79348025257034</v>
      </c>
      <c r="BG26" s="10">
        <f>'Parametros'!$B$6*(AJ26*1000/(H26*MIN(U26,AB26))+0.66*SQRT('Parametros'!$B$2))</f>
        <v>3.29396038227542</v>
      </c>
      <c r="BH26" s="10" t="str">
        <f>IF(BF26&lt;=BG26,"CUMPLE","NO CUMPLE")</f>
        <v>CUMPLE</v>
      </c>
      <c r="BI26" s="10">
        <f>AX26*'Parametros'!$B$8</f>
        <v>1592</v>
      </c>
      <c r="BJ26" s="10" t="str">
        <f>IF(BI26&gt;=AW26,"CUMPLE","NO CUMPLE")</f>
        <v>CUMPLE</v>
      </c>
    </row>
    <row r="27">
      <c r="A27" s="16" t="inlineStr">
        <is>
          <t>VC2</t>
        </is>
      </c>
      <c r="B27" s="16" t="inlineStr">
        <is>
          <t>94</t>
        </is>
      </c>
      <c r="C27" s="10" t="n">
        <v>1</v>
      </c>
      <c r="D27" s="10" t="n">
        <v>3.4</v>
      </c>
      <c r="E27" s="10" t="n">
        <v>3.4</v>
      </c>
      <c r="F27" s="10" t="n">
        <v>450</v>
      </c>
      <c r="G27" s="10" t="n">
        <v>550</v>
      </c>
      <c r="H27" s="17" t="n">
        <v>450</v>
      </c>
      <c r="I27" s="17" t="n">
        <v>550</v>
      </c>
      <c r="J27" s="30" t="n">
        <v>172.7338</v>
      </c>
      <c r="K27" s="10" t="inlineStr">
        <is>
          <t>94</t>
        </is>
      </c>
      <c r="L27" s="30" t="n">
        <v>148.4414</v>
      </c>
      <c r="M27" s="10" t="inlineStr">
        <is>
          <t>94</t>
        </is>
      </c>
      <c r="N27" s="30" t="n">
        <v>90.081</v>
      </c>
      <c r="O27" s="30" t="n">
        <v>384.606</v>
      </c>
      <c r="P27" s="10" t="inlineStr">
        <is>
          <t>94</t>
        </is>
      </c>
      <c r="Q27" s="30" t="n">
        <v>11.3473</v>
      </c>
      <c r="R27" s="10">
        <f>MAX(MAX(1.4/'Parametros'!$B$3,0.25*SQRT('Parametros'!$B$2)/'Parametros'!$B$3)*H27*U27,(0.85*'Parametros'!$B$2/'Parametros'!$B$3)*(1-SQRT(1-2*(J27*1000000/('Parametros'!$B$5*H27*U27^2))/(0.85*'Parametros'!$B$2)))*H27*U27)</f>
        <v>971.655839528802</v>
      </c>
      <c r="S27" s="31" t="n">
        <v>5</v>
      </c>
      <c r="T27" s="32" t="n">
        <v>1</v>
      </c>
      <c r="U27" s="10">
        <f>IF(T27=1,I27-('Parametros'!$B$7+'Parametros'!$B$9+'Parametros'!$B$12/2),I27-(ROUNDUP(S27/2,0)*('Parametros'!$B$7+'Parametros'!$B$9+'Parametros'!$B$12/2)+ROUNDDOWN(S27/2,0)*('Parametros'!$B$7+'Parametros'!$B$9+'Parametros'!$B$12/2+'Parametros'!$B$12+'Parametros'!$B$10))/S27)</f>
        <v>489.35</v>
      </c>
      <c r="V27" s="10">
        <f>S27*'Parametros'!$B$8</f>
        <v>995</v>
      </c>
      <c r="W27" s="10">
        <f>'Parametros'!$B$5*V27*'Parametros'!$B$3*(U27-(V27*'Parametros'!$B$3/(0.85*'Parametros'!$B$2*H27))/2)/1000000</f>
        <v>176.711596147059</v>
      </c>
      <c r="X27" s="10" t="str">
        <f>IF(W27&gt;=J27,"CUMPLE","NO CUMPLE")</f>
        <v>CUMPLE</v>
      </c>
      <c r="Y27" s="10">
        <f>MAX(MAX(1.4/'Parametros'!$B$3,0.25*SQRT('Parametros'!$B$2)/'Parametros'!$B$3)*H27*AB27,(0.85*'Parametros'!$B$2/'Parametros'!$B$3)*(1-SQRT(1-2*(L27*1000000/('Parametros'!$B$5*H27*AB27^2))/(0.85*'Parametros'!$B$2)))*H27*AB27)</f>
        <v>830.108274218671</v>
      </c>
      <c r="Z27" s="31" t="n">
        <v>5</v>
      </c>
      <c r="AA27" s="32" t="n">
        <v>1</v>
      </c>
      <c r="AB27" s="10">
        <f>IF(AA27=1,I27-('Parametros'!$B$7+'Parametros'!$B$9+'Parametros'!$B$12/2),I27-(ROUNDUP(Z27/2,0)*('Parametros'!$B$7+'Parametros'!$B$9+'Parametros'!$B$12/2)+ROUNDDOWN(Z27/2,0)*('Parametros'!$B$7+'Parametros'!$B$9+'Parametros'!$B$12/2+'Parametros'!$B$12+'Parametros'!$B$10))/Z27)</f>
        <v>489.35</v>
      </c>
      <c r="AC27" s="10">
        <f>Z27*'Parametros'!$B$8</f>
        <v>995</v>
      </c>
      <c r="AD27" s="10">
        <f>'Parametros'!$B$5*AC27*'Parametros'!$B$3*(AB27-(AC27*'Parametros'!$B$3/(0.85*'Parametros'!$B$2*H27))/2)/1000000</f>
        <v>176.711596147059</v>
      </c>
      <c r="AE27" s="10" t="str">
        <f>IF(AD27&gt;=L27,"CUMPLE","NO CUMPLE")</f>
        <v>CUMPLE</v>
      </c>
      <c r="AF27" s="10">
        <f>V27*1.25*'Parametros'!$B$3*(U27-(V27*1.25*'Parametros'!$B$3/(0.85*'Parametros'!$B$2*H27))/2)/1000000</f>
        <v>242.884913970588</v>
      </c>
      <c r="AG27" s="10">
        <f>AC27*1.25*'Parametros'!$B$3*(AB27-(AC27*1.25*'Parametros'!$B$3/(0.85*'Parametros'!$B$2*H27))/2)/1000000</f>
        <v>242.884913970588</v>
      </c>
      <c r="AH27" s="10">
        <f>N27+(AF27+AG27)/D27</f>
        <v>232.954478806228</v>
      </c>
      <c r="AI27" s="10">
        <f>MAX(O27,AH27)</f>
        <v>384.606</v>
      </c>
      <c r="AJ27" s="10">
        <f>0.17*SQRT('Parametros'!$B$2)*H27*MIN(U27,AB27)/1000</f>
        <v>198.088855822627</v>
      </c>
      <c r="AK27" s="10">
        <f>MAX(AI27/'Parametros'!$B$6-AJ27,0)</f>
        <v>314.719144177373</v>
      </c>
      <c r="AL27" s="10">
        <f>0.66*SQRT('Parametros'!$B$2)*H27*MIN(U27,AB27)/1000</f>
        <v>769.050852017258</v>
      </c>
      <c r="AM27" s="10" t="str">
        <f>IF(AK27&lt;=AL27,"CUMPLE","NO CUMPLE")</f>
        <v>CUMPLE</v>
      </c>
      <c r="AN27" s="17" t="inlineStr">
        <is>
          <t>Nº4 cerrado</t>
        </is>
      </c>
      <c r="AO27" s="31" t="n">
        <v>2</v>
      </c>
      <c r="AP27" s="10">
        <f>ROUNDDOWN(MIN(IF(BC27+BD27=0,1000000000,AO27*BB27/(BC27+BD27)),MIN(U27,AB27)/4,8*'Parametros'!$B$12,24*BA27,300,IF(AV27=0,1000000000,2*((H27-2*('Parametros'!$B$7+'Parametros'!$B$9/2))+(I27-2*('Parametros'!$B$7+'Parametros'!$B$9/2)))/8))/10,0)*10</f>
        <v>120</v>
      </c>
      <c r="AQ27" s="10">
        <f>ROUNDDOWN(MIN(IF(BC27+BD27=0,1000000000,AO27*BB27/(BC27+BD27)),IF(AK27&gt;0.33*SQRT('Parametros'!$B$2)*H27*MIN(U27,AB27)/1000,MIN(U27,AB27)/4,MIN(U27,AB27)/2),600,IF(AV27=0,1000000000,2*((H27-2*('Parametros'!$B$7+'Parametros'!$B$9/2))+(I27-2*('Parametros'!$B$7+'Parametros'!$B$9/2)))/8))/10,0)*10</f>
        <v>140</v>
      </c>
      <c r="AR27" s="10">
        <f>'Parametros'!$B$6*(AJ27+MAX(BE27-BD27,0)*'Parametros'!$B$4*MIN(U27,AB27)/1000)</f>
        <v>439.997438334973</v>
      </c>
      <c r="AS27" s="10" t="str">
        <f>IF(AND(ISERROR(SEARCH("referencia",AN27)),AM27="CUMPLE",AR27&gt;=AI27),"CUMPLE","NO CUMPLE")</f>
        <v>CUMPLE</v>
      </c>
      <c r="AT27" s="10">
        <f>'Parametros'!$B$6*0.083*SQRT('Parametros'!$B$2)*(H27*I27)^2/(2*(H27+I27))/1000000</f>
        <v>10.0887830333379</v>
      </c>
      <c r="AU27" s="10" t="str">
        <f>IF(Q27&lt;=AT27,"DESPRECIABLE","DISEÑAR")</f>
        <v>DISEÑAR</v>
      </c>
      <c r="AV27" s="10">
        <f>IF(Q27&lt;=AT27,0,Q27*1000000/('Parametros'!$B$6*2*0.85*(H27-2*('Parametros'!$B$7+'Parametros'!$B$9/2))*(I27-2*('Parametros'!$B$7+'Parametros'!$B$9/2))*'Parametros'!$B$4))</f>
        <v>0.12968771672172</v>
      </c>
      <c r="AW27" s="10">
        <f>AV27*2*((H27-2*('Parametros'!$B$7+'Parametros'!$B$9/2))+(I27-2*('Parametros'!$B$7+'Parametros'!$B$9/2)))*'Parametros'!$B$4/'Parametros'!$B$3</f>
        <v>211.287228083025</v>
      </c>
      <c r="AX27" s="31" t="n">
        <v>8</v>
      </c>
      <c r="AY27" s="10" t="str">
        <f>IF(AV27=0,"DESPRECIABLE",IF(AND(ISERROR(SEARCH("referencia",AN27)),BB27/AP27&gt;=AV27,BI27&gt;=AW27,BH27="CUMPLE"),"CUMPLE","NO CUMPLE"))</f>
        <v>CUMPLE</v>
      </c>
      <c r="AZ27" s="10" t="str">
        <f>IF(AND(X27="CUMPLE",AE27="CUMPLE",AS27="CUMPLE",OR(AY27="CUMPLE",AY27="DESPRECIABLE"),BH27="CUMPLE",BJ27="CUMPLE"),"CUMPLE","NO CUMPLE")</f>
        <v>CUMPLE</v>
      </c>
      <c r="BA27" s="32" t="n">
        <v>12.7</v>
      </c>
      <c r="BB27" s="32" t="n">
        <v>129</v>
      </c>
      <c r="BC27" s="10">
        <f>MAX(IF(AK27=0,0,AK27*1000/('Parametros'!$B$4*MIN(U27,AB27))),MAX(0.062*SQRT('Parametros'!$B$2)*H27/'Parametros'!$B$4,0.35*H27/'Parametros'!$B$4))</f>
        <v>1.53127883040853</v>
      </c>
      <c r="BD27" s="10">
        <f>2*AV27</f>
        <v>0.259375433443439</v>
      </c>
      <c r="BE27" s="10">
        <f>AO27*BB27/AP27</f>
        <v>2.15</v>
      </c>
      <c r="BF27" s="10">
        <f>SQRT((AI27*1000/(H27*MIN(U27,AB27)))^2+(Q27*1000000*2*((H27-2*('Parametros'!$B$7+'Parametros'!$B$9/2))+(I27-2*('Parametros'!$B$7+'Parametros'!$B$9/2)))/(1.7*((H27-2*('Parametros'!$B$7+'Parametros'!$B$9/2))*(I27-2*('Parametros'!$B$7+'Parametros'!$B$9/2)))^2))^2)</f>
        <v>1.79343195110769</v>
      </c>
      <c r="BG27" s="10">
        <f>'Parametros'!$B$6*(AJ27*1000/(H27*MIN(U27,AB27))+0.66*SQRT('Parametros'!$B$2))</f>
        <v>3.29396038227542</v>
      </c>
      <c r="BH27" s="10" t="str">
        <f>IF(BF27&lt;=BG27,"CUMPLE","NO CUMPLE")</f>
        <v>CUMPLE</v>
      </c>
      <c r="BI27" s="10">
        <f>AX27*'Parametros'!$B$8</f>
        <v>1592</v>
      </c>
      <c r="BJ27" s="10" t="str">
        <f>IF(BI27&gt;=AW27,"CUMPLE","NO CUMPLE")</f>
        <v>CUMPLE</v>
      </c>
    </row>
    <row r="28">
      <c r="A28" s="16" t="inlineStr">
        <is>
          <t>VC2</t>
        </is>
      </c>
      <c r="B28" s="16" t="inlineStr">
        <is>
          <t>95</t>
        </is>
      </c>
      <c r="C28" s="10" t="n">
        <v>1</v>
      </c>
      <c r="D28" s="10" t="n">
        <v>3.15</v>
      </c>
      <c r="E28" s="10" t="n">
        <v>3.15</v>
      </c>
      <c r="F28" s="10" t="n">
        <v>450</v>
      </c>
      <c r="G28" s="10" t="n">
        <v>550</v>
      </c>
      <c r="H28" s="17" t="n">
        <v>450</v>
      </c>
      <c r="I28" s="17" t="n">
        <v>550</v>
      </c>
      <c r="J28" s="30" t="n">
        <v>140.3468</v>
      </c>
      <c r="K28" s="10" t="inlineStr">
        <is>
          <t>95</t>
        </is>
      </c>
      <c r="L28" s="30" t="n">
        <v>127.1816</v>
      </c>
      <c r="M28" s="10" t="inlineStr">
        <is>
          <t>95</t>
        </is>
      </c>
      <c r="N28" s="30" t="n">
        <v>84.46299999999999</v>
      </c>
      <c r="O28" s="30" t="n">
        <v>359.233</v>
      </c>
      <c r="P28" s="10" t="inlineStr">
        <is>
          <t>95</t>
        </is>
      </c>
      <c r="Q28" s="30" t="n">
        <v>5.438</v>
      </c>
      <c r="R28" s="10">
        <f>MAX(MAX(1.4/'Parametros'!$B$3,0.25*SQRT('Parametros'!$B$2)/'Parametros'!$B$3)*H28*U28,(0.85*'Parametros'!$B$2/'Parametros'!$B$3)*(1-SQRT(1-2*(J28*1000000/('Parametros'!$B$5*H28*U28^2))/(0.85*'Parametros'!$B$2)))*H28*U28)</f>
        <v>783.322986099239</v>
      </c>
      <c r="S28" s="31" t="n">
        <v>4</v>
      </c>
      <c r="T28" s="32" t="n">
        <v>1</v>
      </c>
      <c r="U28" s="10">
        <f>IF(T28=1,I28-('Parametros'!$B$7+'Parametros'!$B$9+'Parametros'!$B$12/2),I28-(ROUNDUP(S28/2,0)*('Parametros'!$B$7+'Parametros'!$B$9+'Parametros'!$B$12/2)+ROUNDDOWN(S28/2,0)*('Parametros'!$B$7+'Parametros'!$B$9+'Parametros'!$B$12/2+'Parametros'!$B$12+'Parametros'!$B$10))/S28)</f>
        <v>489.35</v>
      </c>
      <c r="V28" s="10">
        <f>S28*'Parametros'!$B$8</f>
        <v>796</v>
      </c>
      <c r="W28" s="10">
        <f>'Parametros'!$B$5*V28*'Parametros'!$B$3*(U28-(V28*'Parametros'!$B$3/(0.85*'Parametros'!$B$2*H28))/2)/1000000</f>
        <v>142.543330094118</v>
      </c>
      <c r="X28" s="10" t="str">
        <f>IF(W28&gt;=J28,"CUMPLE","NO CUMPLE")</f>
        <v>CUMPLE</v>
      </c>
      <c r="Y28" s="10">
        <f>MAX(MAX(1.4/'Parametros'!$B$3,0.25*SQRT('Parametros'!$B$2)/'Parametros'!$B$3)*H28*AB28,(0.85*'Parametros'!$B$2/'Parametros'!$B$3)*(1-SQRT(1-2*(L28*1000000/('Parametros'!$B$5*H28*AB28^2))/(0.85*'Parametros'!$B$2)))*H28*AB28)</f>
        <v>734.025</v>
      </c>
      <c r="Z28" s="31" t="n">
        <v>4</v>
      </c>
      <c r="AA28" s="32" t="n">
        <v>1</v>
      </c>
      <c r="AB28" s="10">
        <f>IF(AA28=1,I28-('Parametros'!$B$7+'Parametros'!$B$9+'Parametros'!$B$12/2),I28-(ROUNDUP(Z28/2,0)*('Parametros'!$B$7+'Parametros'!$B$9+'Parametros'!$B$12/2)+ROUNDDOWN(Z28/2,0)*('Parametros'!$B$7+'Parametros'!$B$9+'Parametros'!$B$12/2+'Parametros'!$B$12+'Parametros'!$B$10))/Z28)</f>
        <v>489.35</v>
      </c>
      <c r="AC28" s="10">
        <f>Z28*'Parametros'!$B$8</f>
        <v>796</v>
      </c>
      <c r="AD28" s="10">
        <f>'Parametros'!$B$5*AC28*'Parametros'!$B$3*(AB28-(AC28*'Parametros'!$B$3/(0.85*'Parametros'!$B$2*H28))/2)/1000000</f>
        <v>142.543330094118</v>
      </c>
      <c r="AE28" s="10" t="str">
        <f>IF(AD28&gt;=L28,"CUMPLE","NO CUMPLE")</f>
        <v>CUMPLE</v>
      </c>
      <c r="AF28" s="10">
        <f>V28*1.25*'Parametros'!$B$3*(U28-(V28*1.25*'Parametros'!$B$3/(0.85*'Parametros'!$B$2*H28))/2)/1000000</f>
        <v>196.346217941176</v>
      </c>
      <c r="AG28" s="10">
        <f>AC28*1.25*'Parametros'!$B$3*(AB28-(AC28*1.25*'Parametros'!$B$3/(0.85*'Parametros'!$B$2*H28))/2)/1000000</f>
        <v>196.346217941176</v>
      </c>
      <c r="AH28" s="10">
        <f>N28+(AF28+AG28)/D28</f>
        <v>209.127265359477</v>
      </c>
      <c r="AI28" s="10">
        <f>MAX(O28,AH28)</f>
        <v>359.233</v>
      </c>
      <c r="AJ28" s="10">
        <f>0.17*SQRT('Parametros'!$B$2)*H28*MIN(U28,AB28)/1000</f>
        <v>198.088855822627</v>
      </c>
      <c r="AK28" s="10">
        <f>MAX(AI28/'Parametros'!$B$6-AJ28,0)</f>
        <v>280.888477510706</v>
      </c>
      <c r="AL28" s="10">
        <f>0.66*SQRT('Parametros'!$B$2)*H28*MIN(U28,AB28)/1000</f>
        <v>769.050852017258</v>
      </c>
      <c r="AM28" s="10" t="str">
        <f>IF(AK28&lt;=AL28,"CUMPLE","NO CUMPLE")</f>
        <v>CUMPLE</v>
      </c>
      <c r="AN28" s="17" t="inlineStr">
        <is>
          <t>Nº3 cerrado</t>
        </is>
      </c>
      <c r="AO28" s="31" t="n">
        <v>2</v>
      </c>
      <c r="AP28" s="10">
        <f>ROUNDDOWN(MIN(IF(BC28+BD28=0,1000000000,AO28*BB28/(BC28+BD28)),MIN(U28,AB28)/4,8*'Parametros'!$B$12,24*BA28,300,IF(AV28=0,1000000000,2*((H28-2*('Parametros'!$B$7+'Parametros'!$B$9/2))+(I28-2*('Parametros'!$B$7+'Parametros'!$B$9/2)))/8))/10,0)*10</f>
        <v>100</v>
      </c>
      <c r="AQ28" s="10">
        <f>ROUNDDOWN(MIN(IF(BC28+BD28=0,1000000000,AO28*BB28/(BC28+BD28)),IF(AK28&gt;0.33*SQRT('Parametros'!$B$2)*H28*MIN(U28,AB28)/1000,MIN(U28,AB28)/4,MIN(U28,AB28)/2),600,IF(AV28=0,1000000000,2*((H28-2*('Parametros'!$B$7+'Parametros'!$B$9/2))+(I28-2*('Parametros'!$B$7+'Parametros'!$B$9/2)))/8))/10,0)*10</f>
        <v>100</v>
      </c>
      <c r="AR28" s="10">
        <f>'Parametros'!$B$6*(AJ28+MAX(BE28-BD28,0)*'Parametros'!$B$4*MIN(U28,AB28)/1000)</f>
        <v>367.45289686697</v>
      </c>
      <c r="AS28" s="10" t="str">
        <f>IF(AND(ISERROR(SEARCH("referencia",AN28)),AM28="CUMPLE",AR28&gt;=AI28),"CUMPLE","NO CUMPLE")</f>
        <v>CUMPLE</v>
      </c>
      <c r="AT28" s="10">
        <f>'Parametros'!$B$6*0.083*SQRT('Parametros'!$B$2)*(H28*I28)^2/(2*(H28+I28))/1000000</f>
        <v>10.0887830333379</v>
      </c>
      <c r="AU28" s="10" t="str">
        <f>IF(Q28&lt;=AT28,"DESPRECIABLE","DISEÑAR")</f>
        <v>DESPRECIABLE</v>
      </c>
      <c r="AV28" s="10">
        <f>IF(Q28&lt;=AT28,0,Q28*1000000/('Parametros'!$B$6*2*0.85*(H28-2*('Parametros'!$B$7+'Parametros'!$B$9/2))*(I28-2*('Parametros'!$B$7+'Parametros'!$B$9/2))*'Parametros'!$B$4))</f>
        <v>0</v>
      </c>
      <c r="AW28" s="10">
        <f>AV28*2*((H28-2*('Parametros'!$B$7+'Parametros'!$B$9/2))+(I28-2*('Parametros'!$B$7+'Parametros'!$B$9/2)))*'Parametros'!$B$4/'Parametros'!$B$3</f>
        <v>0</v>
      </c>
      <c r="AX28" s="31" t="n">
        <v>0</v>
      </c>
      <c r="AY28" s="10" t="str">
        <f>IF(AV28=0,"DESPRECIABLE",IF(AND(ISERROR(SEARCH("referencia",AN28)),BB28/AP28&gt;=AV28,BI28&gt;=AW28,BH28="CUMPLE"),"CUMPLE","NO CUMPLE"))</f>
        <v>DESPRECIABLE</v>
      </c>
      <c r="AZ28" s="10" t="str">
        <f>IF(AND(X28="CUMPLE",AE28="CUMPLE",AS28="CUMPLE",OR(AY28="CUMPLE",AY28="DESPRECIABLE"),BH28="CUMPLE",BJ28="CUMPLE"),"CUMPLE","NO CUMPLE")</f>
        <v>CUMPLE</v>
      </c>
      <c r="BA28" s="32" t="n">
        <v>9.5</v>
      </c>
      <c r="BB28" s="32" t="n">
        <v>71</v>
      </c>
      <c r="BC28" s="10">
        <f>MAX(IF(AK28=0,0,AK28*1000/('Parametros'!$B$4*MIN(U28,AB28))),MAX(0.062*SQRT('Parametros'!$B$2)*H28/'Parametros'!$B$4,0.35*H28/'Parametros'!$B$4))</f>
        <v>1.36667434210934</v>
      </c>
      <c r="BD28" s="10">
        <f>2*AV28</f>
        <v>0</v>
      </c>
      <c r="BE28" s="10">
        <f>AO28*BB28/AP28</f>
        <v>1.42</v>
      </c>
      <c r="BF28" s="10">
        <f>SQRT((AI28*1000/(H28*MIN(U28,AB28)))^2+(Q28*1000000*2*((H28-2*('Parametros'!$B$7+'Parametros'!$B$9/2))+(I28-2*('Parametros'!$B$7+'Parametros'!$B$9/2)))/(1.7*((H28-2*('Parametros'!$B$7+'Parametros'!$B$9/2))*(I28-2*('Parametros'!$B$7+'Parametros'!$B$9/2)))^2))^2)</f>
        <v>1.64297645431489</v>
      </c>
      <c r="BG28" s="10">
        <f>'Parametros'!$B$6*(AJ28*1000/(H28*MIN(U28,AB28))+0.66*SQRT('Parametros'!$B$2))</f>
        <v>3.29396038227542</v>
      </c>
      <c r="BH28" s="10" t="str">
        <f>IF(BF28&lt;=BG28,"CUMPLE","NO CUMPLE")</f>
        <v>CUMPLE</v>
      </c>
      <c r="BI28" s="10">
        <f>AX28*'Parametros'!$B$8</f>
        <v>0</v>
      </c>
      <c r="BJ28" s="10" t="str">
        <f>IF(BI28&gt;=AW28,"CUMPLE","NO CUMPLE")</f>
        <v>CUMPLE</v>
      </c>
    </row>
    <row r="29">
      <c r="A29" s="16" t="inlineStr">
        <is>
          <t>VC2</t>
        </is>
      </c>
      <c r="B29" s="16" t="inlineStr">
        <is>
          <t>96</t>
        </is>
      </c>
      <c r="C29" s="10" t="n">
        <v>1</v>
      </c>
      <c r="D29" s="10" t="n">
        <v>3.15</v>
      </c>
      <c r="E29" s="10" t="n">
        <v>3.15</v>
      </c>
      <c r="F29" s="10" t="n">
        <v>450</v>
      </c>
      <c r="G29" s="10" t="n">
        <v>550</v>
      </c>
      <c r="H29" s="17" t="n">
        <v>450</v>
      </c>
      <c r="I29" s="17" t="n">
        <v>550</v>
      </c>
      <c r="J29" s="30" t="n">
        <v>140.3658</v>
      </c>
      <c r="K29" s="10" t="inlineStr">
        <is>
          <t>96</t>
        </is>
      </c>
      <c r="L29" s="30" t="n">
        <v>127.2041</v>
      </c>
      <c r="M29" s="10" t="inlineStr">
        <is>
          <t>96</t>
        </is>
      </c>
      <c r="N29" s="30" t="n">
        <v>84.474</v>
      </c>
      <c r="O29" s="30" t="n">
        <v>359.244</v>
      </c>
      <c r="P29" s="10" t="inlineStr">
        <is>
          <t>96</t>
        </is>
      </c>
      <c r="Q29" s="30" t="n">
        <v>5.4386</v>
      </c>
      <c r="R29" s="10">
        <f>MAX(MAX(1.4/'Parametros'!$B$3,0.25*SQRT('Parametros'!$B$2)/'Parametros'!$B$3)*H29*U29,(0.85*'Parametros'!$B$2/'Parametros'!$B$3)*(1-SQRT(1-2*(J29*1000000/('Parametros'!$B$5*H29*U29^2))/(0.85*'Parametros'!$B$2)))*H29*U29)</f>
        <v>783.432583436313</v>
      </c>
      <c r="S29" s="31" t="n">
        <v>4</v>
      </c>
      <c r="T29" s="32" t="n">
        <v>1</v>
      </c>
      <c r="U29" s="10">
        <f>IF(T29=1,I29-('Parametros'!$B$7+'Parametros'!$B$9+'Parametros'!$B$12/2),I29-(ROUNDUP(S29/2,0)*('Parametros'!$B$7+'Parametros'!$B$9+'Parametros'!$B$12/2)+ROUNDDOWN(S29/2,0)*('Parametros'!$B$7+'Parametros'!$B$9+'Parametros'!$B$12/2+'Parametros'!$B$12+'Parametros'!$B$10))/S29)</f>
        <v>489.35</v>
      </c>
      <c r="V29" s="10">
        <f>S29*'Parametros'!$B$8</f>
        <v>796</v>
      </c>
      <c r="W29" s="10">
        <f>'Parametros'!$B$5*V29*'Parametros'!$B$3*(U29-(V29*'Parametros'!$B$3/(0.85*'Parametros'!$B$2*H29))/2)/1000000</f>
        <v>142.543330094118</v>
      </c>
      <c r="X29" s="10" t="str">
        <f>IF(W29&gt;=J29,"CUMPLE","NO CUMPLE")</f>
        <v>CUMPLE</v>
      </c>
      <c r="Y29" s="10">
        <f>MAX(MAX(1.4/'Parametros'!$B$3,0.25*SQRT('Parametros'!$B$2)/'Parametros'!$B$3)*H29*AB29,(0.85*'Parametros'!$B$2/'Parametros'!$B$3)*(1-SQRT(1-2*(L29*1000000/('Parametros'!$B$5*H29*AB29^2))/(0.85*'Parametros'!$B$2)))*H29*AB29)</f>
        <v>734.025</v>
      </c>
      <c r="Z29" s="31" t="n">
        <v>4</v>
      </c>
      <c r="AA29" s="32" t="n">
        <v>1</v>
      </c>
      <c r="AB29" s="10">
        <f>IF(AA29=1,I29-('Parametros'!$B$7+'Parametros'!$B$9+'Parametros'!$B$12/2),I29-(ROUNDUP(Z29/2,0)*('Parametros'!$B$7+'Parametros'!$B$9+'Parametros'!$B$12/2)+ROUNDDOWN(Z29/2,0)*('Parametros'!$B$7+'Parametros'!$B$9+'Parametros'!$B$12/2+'Parametros'!$B$12+'Parametros'!$B$10))/Z29)</f>
        <v>489.35</v>
      </c>
      <c r="AC29" s="10">
        <f>Z29*'Parametros'!$B$8</f>
        <v>796</v>
      </c>
      <c r="AD29" s="10">
        <f>'Parametros'!$B$5*AC29*'Parametros'!$B$3*(AB29-(AC29*'Parametros'!$B$3/(0.85*'Parametros'!$B$2*H29))/2)/1000000</f>
        <v>142.543330094118</v>
      </c>
      <c r="AE29" s="10" t="str">
        <f>IF(AD29&gt;=L29,"CUMPLE","NO CUMPLE")</f>
        <v>CUMPLE</v>
      </c>
      <c r="AF29" s="10">
        <f>V29*1.25*'Parametros'!$B$3*(U29-(V29*1.25*'Parametros'!$B$3/(0.85*'Parametros'!$B$2*H29))/2)/1000000</f>
        <v>196.346217941176</v>
      </c>
      <c r="AG29" s="10">
        <f>AC29*1.25*'Parametros'!$B$3*(AB29-(AC29*1.25*'Parametros'!$B$3/(0.85*'Parametros'!$B$2*H29))/2)/1000000</f>
        <v>196.346217941176</v>
      </c>
      <c r="AH29" s="10">
        <f>N29+(AF29+AG29)/D29</f>
        <v>209.138265359477</v>
      </c>
      <c r="AI29" s="10">
        <f>MAX(O29,AH29)</f>
        <v>359.244</v>
      </c>
      <c r="AJ29" s="10">
        <f>0.17*SQRT('Parametros'!$B$2)*H29*MIN(U29,AB29)/1000</f>
        <v>198.088855822627</v>
      </c>
      <c r="AK29" s="10">
        <f>MAX(AI29/'Parametros'!$B$6-AJ29,0)</f>
        <v>280.903144177373</v>
      </c>
      <c r="AL29" s="10">
        <f>0.66*SQRT('Parametros'!$B$2)*H29*MIN(U29,AB29)/1000</f>
        <v>769.050852017258</v>
      </c>
      <c r="AM29" s="10" t="str">
        <f>IF(AK29&lt;=AL29,"CUMPLE","NO CUMPLE")</f>
        <v>CUMPLE</v>
      </c>
      <c r="AN29" s="17" t="inlineStr">
        <is>
          <t>Nº3 cerrado</t>
        </is>
      </c>
      <c r="AO29" s="31" t="n">
        <v>2</v>
      </c>
      <c r="AP29" s="10">
        <f>ROUNDDOWN(MIN(IF(BC29+BD29=0,1000000000,AO29*BB29/(BC29+BD29)),MIN(U29,AB29)/4,8*'Parametros'!$B$12,24*BA29,300,IF(AV29=0,1000000000,2*((H29-2*('Parametros'!$B$7+'Parametros'!$B$9/2))+(I29-2*('Parametros'!$B$7+'Parametros'!$B$9/2)))/8))/10,0)*10</f>
        <v>100</v>
      </c>
      <c r="AQ29" s="10">
        <f>ROUNDDOWN(MIN(IF(BC29+BD29=0,1000000000,AO29*BB29/(BC29+BD29)),IF(AK29&gt;0.33*SQRT('Parametros'!$B$2)*H29*MIN(U29,AB29)/1000,MIN(U29,AB29)/4,MIN(U29,AB29)/2),600,IF(AV29=0,1000000000,2*((H29-2*('Parametros'!$B$7+'Parametros'!$B$9/2))+(I29-2*('Parametros'!$B$7+'Parametros'!$B$9/2)))/8))/10,0)*10</f>
        <v>100</v>
      </c>
      <c r="AR29" s="10">
        <f>'Parametros'!$B$6*(AJ29+MAX(BE29-BD29,0)*'Parametros'!$B$4*MIN(U29,AB29)/1000)</f>
        <v>367.45289686697</v>
      </c>
      <c r="AS29" s="10" t="str">
        <f>IF(AND(ISERROR(SEARCH("referencia",AN29)),AM29="CUMPLE",AR29&gt;=AI29),"CUMPLE","NO CUMPLE")</f>
        <v>CUMPLE</v>
      </c>
      <c r="AT29" s="10">
        <f>'Parametros'!$B$6*0.083*SQRT('Parametros'!$B$2)*(H29*I29)^2/(2*(H29+I29))/1000000</f>
        <v>10.0887830333379</v>
      </c>
      <c r="AU29" s="10" t="str">
        <f>IF(Q29&lt;=AT29,"DESPRECIABLE","DISEÑAR")</f>
        <v>DESPRECIABLE</v>
      </c>
      <c r="AV29" s="10">
        <f>IF(Q29&lt;=AT29,0,Q29*1000000/('Parametros'!$B$6*2*0.85*(H29-2*('Parametros'!$B$7+'Parametros'!$B$9/2))*(I29-2*('Parametros'!$B$7+'Parametros'!$B$9/2))*'Parametros'!$B$4))</f>
        <v>0</v>
      </c>
      <c r="AW29" s="10">
        <f>AV29*2*((H29-2*('Parametros'!$B$7+'Parametros'!$B$9/2))+(I29-2*('Parametros'!$B$7+'Parametros'!$B$9/2)))*'Parametros'!$B$4/'Parametros'!$B$3</f>
        <v>0</v>
      </c>
      <c r="AX29" s="31" t="n">
        <v>0</v>
      </c>
      <c r="AY29" s="10" t="str">
        <f>IF(AV29=0,"DESPRECIABLE",IF(AND(ISERROR(SEARCH("referencia",AN29)),BB29/AP29&gt;=AV29,BI29&gt;=AW29,BH29="CUMPLE"),"CUMPLE","NO CUMPLE"))</f>
        <v>DESPRECIABLE</v>
      </c>
      <c r="AZ29" s="10" t="str">
        <f>IF(AND(X29="CUMPLE",AE29="CUMPLE",AS29="CUMPLE",OR(AY29="CUMPLE",AY29="DESPRECIABLE"),BH29="CUMPLE",BJ29="CUMPLE"),"CUMPLE","NO CUMPLE")</f>
        <v>CUMPLE</v>
      </c>
      <c r="BA29" s="32" t="n">
        <v>9.5</v>
      </c>
      <c r="BB29" s="32" t="n">
        <v>71</v>
      </c>
      <c r="BC29" s="10">
        <f>MAX(IF(AK29=0,0,AK29*1000/('Parametros'!$B$4*MIN(U29,AB29))),MAX(0.062*SQRT('Parametros'!$B$2)*H29/'Parametros'!$B$4,0.35*H29/'Parametros'!$B$4))</f>
        <v>1.36674570337412</v>
      </c>
      <c r="BD29" s="10">
        <f>2*AV29</f>
        <v>0</v>
      </c>
      <c r="BE29" s="10">
        <f>AO29*BB29/AP29</f>
        <v>1.42</v>
      </c>
      <c r="BF29" s="10">
        <f>SQRT((AI29*1000/(H29*MIN(U29,AB29)))^2+(Q29*1000000*2*((H29-2*('Parametros'!$B$7+'Parametros'!$B$9/2))+(I29-2*('Parametros'!$B$7+'Parametros'!$B$9/2)))/(1.7*((H29-2*('Parametros'!$B$7+'Parametros'!$B$9/2))*(I29-2*('Parametros'!$B$7+'Parametros'!$B$9/2)))^2))^2)</f>
        <v>1.64302861245469</v>
      </c>
      <c r="BG29" s="10">
        <f>'Parametros'!$B$6*(AJ29*1000/(H29*MIN(U29,AB29))+0.66*SQRT('Parametros'!$B$2))</f>
        <v>3.29396038227542</v>
      </c>
      <c r="BH29" s="10" t="str">
        <f>IF(BF29&lt;=BG29,"CUMPLE","NO CUMPLE")</f>
        <v>CUMPLE</v>
      </c>
      <c r="BI29" s="10">
        <f>AX29*'Parametros'!$B$8</f>
        <v>0</v>
      </c>
      <c r="BJ29" s="10" t="str">
        <f>IF(BI29&gt;=AW29,"CUMPLE","NO CUMPLE")</f>
        <v>CUMPLE</v>
      </c>
    </row>
    <row r="30">
      <c r="A30" s="16" t="inlineStr">
        <is>
          <t>VC2</t>
        </is>
      </c>
      <c r="B30" s="16" t="inlineStr">
        <is>
          <t>97</t>
        </is>
      </c>
      <c r="C30" s="10" t="n">
        <v>1</v>
      </c>
      <c r="D30" s="10" t="n">
        <v>3.15</v>
      </c>
      <c r="E30" s="10" t="n">
        <v>3.15</v>
      </c>
      <c r="F30" s="10" t="n">
        <v>450</v>
      </c>
      <c r="G30" s="10" t="n">
        <v>550</v>
      </c>
      <c r="H30" s="17" t="n">
        <v>450</v>
      </c>
      <c r="I30" s="17" t="n">
        <v>550</v>
      </c>
      <c r="J30" s="30" t="n">
        <v>140.361</v>
      </c>
      <c r="K30" s="10" t="inlineStr">
        <is>
          <t>97</t>
        </is>
      </c>
      <c r="L30" s="30" t="n">
        <v>127.1982</v>
      </c>
      <c r="M30" s="10" t="inlineStr">
        <is>
          <t>97</t>
        </is>
      </c>
      <c r="N30" s="30" t="n">
        <v>84.471</v>
      </c>
      <c r="O30" s="30" t="n">
        <v>359.236</v>
      </c>
      <c r="P30" s="10" t="inlineStr">
        <is>
          <t>97</t>
        </is>
      </c>
      <c r="Q30" s="30" t="n">
        <v>5.4383</v>
      </c>
      <c r="R30" s="10">
        <f>MAX(MAX(1.4/'Parametros'!$B$3,0.25*SQRT('Parametros'!$B$2)/'Parametros'!$B$3)*H30*U30,(0.85*'Parametros'!$B$2/'Parametros'!$B$3)*(1-SQRT(1-2*(J30*1000000/('Parametros'!$B$5*H30*U30^2))/(0.85*'Parametros'!$B$2)))*H30*U30)</f>
        <v>783.404895591039</v>
      </c>
      <c r="S30" s="31" t="n">
        <v>4</v>
      </c>
      <c r="T30" s="32" t="n">
        <v>1</v>
      </c>
      <c r="U30" s="10">
        <f>IF(T30=1,I30-('Parametros'!$B$7+'Parametros'!$B$9+'Parametros'!$B$12/2),I30-(ROUNDUP(S30/2,0)*('Parametros'!$B$7+'Parametros'!$B$9+'Parametros'!$B$12/2)+ROUNDDOWN(S30/2,0)*('Parametros'!$B$7+'Parametros'!$B$9+'Parametros'!$B$12/2+'Parametros'!$B$12+'Parametros'!$B$10))/S30)</f>
        <v>489.35</v>
      </c>
      <c r="V30" s="10">
        <f>S30*'Parametros'!$B$8</f>
        <v>796</v>
      </c>
      <c r="W30" s="10">
        <f>'Parametros'!$B$5*V30*'Parametros'!$B$3*(U30-(V30*'Parametros'!$B$3/(0.85*'Parametros'!$B$2*H30))/2)/1000000</f>
        <v>142.543330094118</v>
      </c>
      <c r="X30" s="10" t="str">
        <f>IF(W30&gt;=J30,"CUMPLE","NO CUMPLE")</f>
        <v>CUMPLE</v>
      </c>
      <c r="Y30" s="10">
        <f>MAX(MAX(1.4/'Parametros'!$B$3,0.25*SQRT('Parametros'!$B$2)/'Parametros'!$B$3)*H30*AB30,(0.85*'Parametros'!$B$2/'Parametros'!$B$3)*(1-SQRT(1-2*(L30*1000000/('Parametros'!$B$5*H30*AB30^2))/(0.85*'Parametros'!$B$2)))*H30*AB30)</f>
        <v>734.025</v>
      </c>
      <c r="Z30" s="31" t="n">
        <v>4</v>
      </c>
      <c r="AA30" s="32" t="n">
        <v>1</v>
      </c>
      <c r="AB30" s="10">
        <f>IF(AA30=1,I30-('Parametros'!$B$7+'Parametros'!$B$9+'Parametros'!$B$12/2),I30-(ROUNDUP(Z30/2,0)*('Parametros'!$B$7+'Parametros'!$B$9+'Parametros'!$B$12/2)+ROUNDDOWN(Z30/2,0)*('Parametros'!$B$7+'Parametros'!$B$9+'Parametros'!$B$12/2+'Parametros'!$B$12+'Parametros'!$B$10))/Z30)</f>
        <v>489.35</v>
      </c>
      <c r="AC30" s="10">
        <f>Z30*'Parametros'!$B$8</f>
        <v>796</v>
      </c>
      <c r="AD30" s="10">
        <f>'Parametros'!$B$5*AC30*'Parametros'!$B$3*(AB30-(AC30*'Parametros'!$B$3/(0.85*'Parametros'!$B$2*H30))/2)/1000000</f>
        <v>142.543330094118</v>
      </c>
      <c r="AE30" s="10" t="str">
        <f>IF(AD30&gt;=L30,"CUMPLE","NO CUMPLE")</f>
        <v>CUMPLE</v>
      </c>
      <c r="AF30" s="10">
        <f>V30*1.25*'Parametros'!$B$3*(U30-(V30*1.25*'Parametros'!$B$3/(0.85*'Parametros'!$B$2*H30))/2)/1000000</f>
        <v>196.346217941176</v>
      </c>
      <c r="AG30" s="10">
        <f>AC30*1.25*'Parametros'!$B$3*(AB30-(AC30*1.25*'Parametros'!$B$3/(0.85*'Parametros'!$B$2*H30))/2)/1000000</f>
        <v>196.346217941176</v>
      </c>
      <c r="AH30" s="10">
        <f>N30+(AF30+AG30)/D30</f>
        <v>209.135265359477</v>
      </c>
      <c r="AI30" s="10">
        <f>MAX(O30,AH30)</f>
        <v>359.236</v>
      </c>
      <c r="AJ30" s="10">
        <f>0.17*SQRT('Parametros'!$B$2)*H30*MIN(U30,AB30)/1000</f>
        <v>198.088855822627</v>
      </c>
      <c r="AK30" s="10">
        <f>MAX(AI30/'Parametros'!$B$6-AJ30,0)</f>
        <v>280.892477510706</v>
      </c>
      <c r="AL30" s="10">
        <f>0.66*SQRT('Parametros'!$B$2)*H30*MIN(U30,AB30)/1000</f>
        <v>769.050852017258</v>
      </c>
      <c r="AM30" s="10" t="str">
        <f>IF(AK30&lt;=AL30,"CUMPLE","NO CUMPLE")</f>
        <v>CUMPLE</v>
      </c>
      <c r="AN30" s="17" t="inlineStr">
        <is>
          <t>Nº3 cerrado</t>
        </is>
      </c>
      <c r="AO30" s="31" t="n">
        <v>2</v>
      </c>
      <c r="AP30" s="10">
        <f>ROUNDDOWN(MIN(IF(BC30+BD30=0,1000000000,AO30*BB30/(BC30+BD30)),MIN(U30,AB30)/4,8*'Parametros'!$B$12,24*BA30,300,IF(AV30=0,1000000000,2*((H30-2*('Parametros'!$B$7+'Parametros'!$B$9/2))+(I30-2*('Parametros'!$B$7+'Parametros'!$B$9/2)))/8))/10,0)*10</f>
        <v>100</v>
      </c>
      <c r="AQ30" s="10">
        <f>ROUNDDOWN(MIN(IF(BC30+BD30=0,1000000000,AO30*BB30/(BC30+BD30)),IF(AK30&gt;0.33*SQRT('Parametros'!$B$2)*H30*MIN(U30,AB30)/1000,MIN(U30,AB30)/4,MIN(U30,AB30)/2),600,IF(AV30=0,1000000000,2*((H30-2*('Parametros'!$B$7+'Parametros'!$B$9/2))+(I30-2*('Parametros'!$B$7+'Parametros'!$B$9/2)))/8))/10,0)*10</f>
        <v>100</v>
      </c>
      <c r="AR30" s="10">
        <f>'Parametros'!$B$6*(AJ30+MAX(BE30-BD30,0)*'Parametros'!$B$4*MIN(U30,AB30)/1000)</f>
        <v>367.45289686697</v>
      </c>
      <c r="AS30" s="10" t="str">
        <f>IF(AND(ISERROR(SEARCH("referencia",AN30)),AM30="CUMPLE",AR30&gt;=AI30),"CUMPLE","NO CUMPLE")</f>
        <v>CUMPLE</v>
      </c>
      <c r="AT30" s="10">
        <f>'Parametros'!$B$6*0.083*SQRT('Parametros'!$B$2)*(H30*I30)^2/(2*(H30+I30))/1000000</f>
        <v>10.0887830333379</v>
      </c>
      <c r="AU30" s="10" t="str">
        <f>IF(Q30&lt;=AT30,"DESPRECIABLE","DISEÑAR")</f>
        <v>DESPRECIABLE</v>
      </c>
      <c r="AV30" s="10">
        <f>IF(Q30&lt;=AT30,0,Q30*1000000/('Parametros'!$B$6*2*0.85*(H30-2*('Parametros'!$B$7+'Parametros'!$B$9/2))*(I30-2*('Parametros'!$B$7+'Parametros'!$B$9/2))*'Parametros'!$B$4))</f>
        <v>0</v>
      </c>
      <c r="AW30" s="10">
        <f>AV30*2*((H30-2*('Parametros'!$B$7+'Parametros'!$B$9/2))+(I30-2*('Parametros'!$B$7+'Parametros'!$B$9/2)))*'Parametros'!$B$4/'Parametros'!$B$3</f>
        <v>0</v>
      </c>
      <c r="AX30" s="31" t="n">
        <v>0</v>
      </c>
      <c r="AY30" s="10" t="str">
        <f>IF(AV30=0,"DESPRECIABLE",IF(AND(ISERROR(SEARCH("referencia",AN30)),BB30/AP30&gt;=AV30,BI30&gt;=AW30,BH30="CUMPLE"),"CUMPLE","NO CUMPLE"))</f>
        <v>DESPRECIABLE</v>
      </c>
      <c r="AZ30" s="10" t="str">
        <f>IF(AND(X30="CUMPLE",AE30="CUMPLE",AS30="CUMPLE",OR(AY30="CUMPLE",AY30="DESPRECIABLE"),BH30="CUMPLE",BJ30="CUMPLE"),"CUMPLE","NO CUMPLE")</f>
        <v>CUMPLE</v>
      </c>
      <c r="BA30" s="32" t="n">
        <v>9.5</v>
      </c>
      <c r="BB30" s="32" t="n">
        <v>71</v>
      </c>
      <c r="BC30" s="10">
        <f>MAX(IF(AK30=0,0,AK30*1000/('Parametros'!$B$4*MIN(U30,AB30))),MAX(0.062*SQRT('Parametros'!$B$2)*H30/'Parametros'!$B$4,0.35*H30/'Parametros'!$B$4))</f>
        <v>1.36669380427246</v>
      </c>
      <c r="BD30" s="10">
        <f>2*AV30</f>
        <v>0</v>
      </c>
      <c r="BE30" s="10">
        <f>AO30*BB30/AP30</f>
        <v>1.42</v>
      </c>
      <c r="BF30" s="10">
        <f>SQRT((AI30*1000/(H30*MIN(U30,AB30)))^2+(Q30*1000000*2*((H30-2*('Parametros'!$B$7+'Parametros'!$B$9/2))+(I30-2*('Parametros'!$B$7+'Parametros'!$B$9/2)))/(1.7*((H30-2*('Parametros'!$B$7+'Parametros'!$B$9/2))*(I30-2*('Parametros'!$B$7+'Parametros'!$B$9/2)))^2))^2)</f>
        <v>1.64299126086217</v>
      </c>
      <c r="BG30" s="10">
        <f>'Parametros'!$B$6*(AJ30*1000/(H30*MIN(U30,AB30))+0.66*SQRT('Parametros'!$B$2))</f>
        <v>3.29396038227542</v>
      </c>
      <c r="BH30" s="10" t="str">
        <f>IF(BF30&lt;=BG30,"CUMPLE","NO CUMPLE")</f>
        <v>CUMPLE</v>
      </c>
      <c r="BI30" s="10">
        <f>AX30*'Parametros'!$B$8</f>
        <v>0</v>
      </c>
      <c r="BJ30" s="10" t="str">
        <f>IF(BI30&gt;=AW30,"CUMPLE","NO CUMPLE")</f>
        <v>CUMPLE</v>
      </c>
    </row>
    <row r="31">
      <c r="A31" s="16" t="inlineStr">
        <is>
          <t>VC2</t>
        </is>
      </c>
      <c r="B31" s="16" t="inlineStr">
        <is>
          <t>98</t>
        </is>
      </c>
      <c r="C31" s="10" t="n">
        <v>1</v>
      </c>
      <c r="D31" s="10" t="n">
        <v>3.15</v>
      </c>
      <c r="E31" s="10" t="n">
        <v>3.15</v>
      </c>
      <c r="F31" s="10" t="n">
        <v>450</v>
      </c>
      <c r="G31" s="10" t="n">
        <v>550</v>
      </c>
      <c r="H31" s="17" t="n">
        <v>450</v>
      </c>
      <c r="I31" s="17" t="n">
        <v>550</v>
      </c>
      <c r="J31" s="30" t="n">
        <v>140.3432</v>
      </c>
      <c r="K31" s="10" t="inlineStr">
        <is>
          <t>98</t>
        </is>
      </c>
      <c r="L31" s="30" t="n">
        <v>127.1788</v>
      </c>
      <c r="M31" s="10" t="inlineStr">
        <is>
          <t>98</t>
        </is>
      </c>
      <c r="N31" s="30" t="n">
        <v>84.461</v>
      </c>
      <c r="O31" s="30" t="n">
        <v>359.226</v>
      </c>
      <c r="P31" s="10" t="inlineStr">
        <is>
          <t>98</t>
        </is>
      </c>
      <c r="Q31" s="30" t="n">
        <v>5.4378</v>
      </c>
      <c r="R31" s="10">
        <f>MAX(MAX(1.4/'Parametros'!$B$3,0.25*SQRT('Parametros'!$B$2)/'Parametros'!$B$3)*H31*U31,(0.85*'Parametros'!$B$2/'Parametros'!$B$3)*(1-SQRT(1-2*(J31*1000000/('Parametros'!$B$5*H31*U31^2))/(0.85*'Parametros'!$B$2)))*H31*U31)</f>
        <v>783.30222040374</v>
      </c>
      <c r="S31" s="31" t="n">
        <v>4</v>
      </c>
      <c r="T31" s="32" t="n">
        <v>1</v>
      </c>
      <c r="U31" s="10">
        <f>IF(T31=1,I31-('Parametros'!$B$7+'Parametros'!$B$9+'Parametros'!$B$12/2),I31-(ROUNDUP(S31/2,0)*('Parametros'!$B$7+'Parametros'!$B$9+'Parametros'!$B$12/2)+ROUNDDOWN(S31/2,0)*('Parametros'!$B$7+'Parametros'!$B$9+'Parametros'!$B$12/2+'Parametros'!$B$12+'Parametros'!$B$10))/S31)</f>
        <v>489.35</v>
      </c>
      <c r="V31" s="10">
        <f>S31*'Parametros'!$B$8</f>
        <v>796</v>
      </c>
      <c r="W31" s="10">
        <f>'Parametros'!$B$5*V31*'Parametros'!$B$3*(U31-(V31*'Parametros'!$B$3/(0.85*'Parametros'!$B$2*H31))/2)/1000000</f>
        <v>142.543330094118</v>
      </c>
      <c r="X31" s="10" t="str">
        <f>IF(W31&gt;=J31,"CUMPLE","NO CUMPLE")</f>
        <v>CUMPLE</v>
      </c>
      <c r="Y31" s="10">
        <f>MAX(MAX(1.4/'Parametros'!$B$3,0.25*SQRT('Parametros'!$B$2)/'Parametros'!$B$3)*H31*AB31,(0.85*'Parametros'!$B$2/'Parametros'!$B$3)*(1-SQRT(1-2*(L31*1000000/('Parametros'!$B$5*H31*AB31^2))/(0.85*'Parametros'!$B$2)))*H31*AB31)</f>
        <v>734.025</v>
      </c>
      <c r="Z31" s="31" t="n">
        <v>4</v>
      </c>
      <c r="AA31" s="32" t="n">
        <v>1</v>
      </c>
      <c r="AB31" s="10">
        <f>IF(AA31=1,I31-('Parametros'!$B$7+'Parametros'!$B$9+'Parametros'!$B$12/2),I31-(ROUNDUP(Z31/2,0)*('Parametros'!$B$7+'Parametros'!$B$9+'Parametros'!$B$12/2)+ROUNDDOWN(Z31/2,0)*('Parametros'!$B$7+'Parametros'!$B$9+'Parametros'!$B$12/2+'Parametros'!$B$12+'Parametros'!$B$10))/Z31)</f>
        <v>489.35</v>
      </c>
      <c r="AC31" s="10">
        <f>Z31*'Parametros'!$B$8</f>
        <v>796</v>
      </c>
      <c r="AD31" s="10">
        <f>'Parametros'!$B$5*AC31*'Parametros'!$B$3*(AB31-(AC31*'Parametros'!$B$3/(0.85*'Parametros'!$B$2*H31))/2)/1000000</f>
        <v>142.543330094118</v>
      </c>
      <c r="AE31" s="10" t="str">
        <f>IF(AD31&gt;=L31,"CUMPLE","NO CUMPLE")</f>
        <v>CUMPLE</v>
      </c>
      <c r="AF31" s="10">
        <f>V31*1.25*'Parametros'!$B$3*(U31-(V31*1.25*'Parametros'!$B$3/(0.85*'Parametros'!$B$2*H31))/2)/1000000</f>
        <v>196.346217941176</v>
      </c>
      <c r="AG31" s="10">
        <f>AC31*1.25*'Parametros'!$B$3*(AB31-(AC31*1.25*'Parametros'!$B$3/(0.85*'Parametros'!$B$2*H31))/2)/1000000</f>
        <v>196.346217941176</v>
      </c>
      <c r="AH31" s="10">
        <f>N31+(AF31+AG31)/D31</f>
        <v>209.125265359477</v>
      </c>
      <c r="AI31" s="10">
        <f>MAX(O31,AH31)</f>
        <v>359.226</v>
      </c>
      <c r="AJ31" s="10">
        <f>0.17*SQRT('Parametros'!$B$2)*H31*MIN(U31,AB31)/1000</f>
        <v>198.088855822627</v>
      </c>
      <c r="AK31" s="10">
        <f>MAX(AI31/'Parametros'!$B$6-AJ31,0)</f>
        <v>280.879144177373</v>
      </c>
      <c r="AL31" s="10">
        <f>0.66*SQRT('Parametros'!$B$2)*H31*MIN(U31,AB31)/1000</f>
        <v>769.050852017258</v>
      </c>
      <c r="AM31" s="10" t="str">
        <f>IF(AK31&lt;=AL31,"CUMPLE","NO CUMPLE")</f>
        <v>CUMPLE</v>
      </c>
      <c r="AN31" s="17" t="inlineStr">
        <is>
          <t>Nº3 cerrado</t>
        </is>
      </c>
      <c r="AO31" s="31" t="n">
        <v>2</v>
      </c>
      <c r="AP31" s="10">
        <f>ROUNDDOWN(MIN(IF(BC31+BD31=0,1000000000,AO31*BB31/(BC31+BD31)),MIN(U31,AB31)/4,8*'Parametros'!$B$12,24*BA31,300,IF(AV31=0,1000000000,2*((H31-2*('Parametros'!$B$7+'Parametros'!$B$9/2))+(I31-2*('Parametros'!$B$7+'Parametros'!$B$9/2)))/8))/10,0)*10</f>
        <v>100</v>
      </c>
      <c r="AQ31" s="10">
        <f>ROUNDDOWN(MIN(IF(BC31+BD31=0,1000000000,AO31*BB31/(BC31+BD31)),IF(AK31&gt;0.33*SQRT('Parametros'!$B$2)*H31*MIN(U31,AB31)/1000,MIN(U31,AB31)/4,MIN(U31,AB31)/2),600,IF(AV31=0,1000000000,2*((H31-2*('Parametros'!$B$7+'Parametros'!$B$9/2))+(I31-2*('Parametros'!$B$7+'Parametros'!$B$9/2)))/8))/10,0)*10</f>
        <v>100</v>
      </c>
      <c r="AR31" s="10">
        <f>'Parametros'!$B$6*(AJ31+MAX(BE31-BD31,0)*'Parametros'!$B$4*MIN(U31,AB31)/1000)</f>
        <v>367.45289686697</v>
      </c>
      <c r="AS31" s="10" t="str">
        <f>IF(AND(ISERROR(SEARCH("referencia",AN31)),AM31="CUMPLE",AR31&gt;=AI31),"CUMPLE","NO CUMPLE")</f>
        <v>CUMPLE</v>
      </c>
      <c r="AT31" s="10">
        <f>'Parametros'!$B$6*0.083*SQRT('Parametros'!$B$2)*(H31*I31)^2/(2*(H31+I31))/1000000</f>
        <v>10.0887830333379</v>
      </c>
      <c r="AU31" s="10" t="str">
        <f>IF(Q31&lt;=AT31,"DESPRECIABLE","DISEÑAR")</f>
        <v>DESPRECIABLE</v>
      </c>
      <c r="AV31" s="10">
        <f>IF(Q31&lt;=AT31,0,Q31*1000000/('Parametros'!$B$6*2*0.85*(H31-2*('Parametros'!$B$7+'Parametros'!$B$9/2))*(I31-2*('Parametros'!$B$7+'Parametros'!$B$9/2))*'Parametros'!$B$4))</f>
        <v>0</v>
      </c>
      <c r="AW31" s="10">
        <f>AV31*2*((H31-2*('Parametros'!$B$7+'Parametros'!$B$9/2))+(I31-2*('Parametros'!$B$7+'Parametros'!$B$9/2)))*'Parametros'!$B$4/'Parametros'!$B$3</f>
        <v>0</v>
      </c>
      <c r="AX31" s="31" t="n">
        <v>0</v>
      </c>
      <c r="AY31" s="10" t="str">
        <f>IF(AV31=0,"DESPRECIABLE",IF(AND(ISERROR(SEARCH("referencia",AN31)),BB31/AP31&gt;=AV31,BI31&gt;=AW31,BH31="CUMPLE"),"CUMPLE","NO CUMPLE"))</f>
        <v>DESPRECIABLE</v>
      </c>
      <c r="AZ31" s="10" t="str">
        <f>IF(AND(X31="CUMPLE",AE31="CUMPLE",AS31="CUMPLE",OR(AY31="CUMPLE",AY31="DESPRECIABLE"),BH31="CUMPLE",BJ31="CUMPLE"),"CUMPLE","NO CUMPLE")</f>
        <v>CUMPLE</v>
      </c>
      <c r="BA31" s="32" t="n">
        <v>9.5</v>
      </c>
      <c r="BB31" s="32" t="n">
        <v>71</v>
      </c>
      <c r="BC31" s="10">
        <f>MAX(IF(AK31=0,0,AK31*1000/('Parametros'!$B$4*MIN(U31,AB31))),MAX(0.062*SQRT('Parametros'!$B$2)*H31/'Parametros'!$B$4,0.35*H31/'Parametros'!$B$4))</f>
        <v>1.36662893039539</v>
      </c>
      <c r="BD31" s="10">
        <f>2*AV31</f>
        <v>0</v>
      </c>
      <c r="BE31" s="10">
        <f>AO31*BB31/AP31</f>
        <v>1.42</v>
      </c>
      <c r="BF31" s="10">
        <f>SQRT((AI31*1000/(H31*MIN(U31,AB31)))^2+(Q31*1000000*2*((H31-2*('Parametros'!$B$7+'Parametros'!$B$9/2))+(I31-2*('Parametros'!$B$7+'Parametros'!$B$9/2)))/(1.7*((H31-2*('Parametros'!$B$7+'Parametros'!$B$9/2))*(I31-2*('Parametros'!$B$7+'Parametros'!$B$9/2)))^2))^2)</f>
        <v>1.64294403828079</v>
      </c>
      <c r="BG31" s="10">
        <f>'Parametros'!$B$6*(AJ31*1000/(H31*MIN(U31,AB31))+0.66*SQRT('Parametros'!$B$2))</f>
        <v>3.29396038227542</v>
      </c>
      <c r="BH31" s="10" t="str">
        <f>IF(BF31&lt;=BG31,"CUMPLE","NO CUMPLE")</f>
        <v>CUMPLE</v>
      </c>
      <c r="BI31" s="10">
        <f>AX31*'Parametros'!$B$8</f>
        <v>0</v>
      </c>
      <c r="BJ31" s="10" t="str">
        <f>IF(BI31&gt;=AW31,"CUMPLE","NO CUMPLE")</f>
        <v>CUMPLE</v>
      </c>
    </row>
    <row r="32">
      <c r="A32" s="16" t="inlineStr">
        <is>
          <t>VC2</t>
        </is>
      </c>
      <c r="B32" s="16" t="inlineStr">
        <is>
          <t>255</t>
        </is>
      </c>
      <c r="C32" s="10" t="n">
        <v>1</v>
      </c>
      <c r="D32" s="10" t="n">
        <v>3.4</v>
      </c>
      <c r="E32" s="10" t="n">
        <v>3.4</v>
      </c>
      <c r="F32" s="10" t="n">
        <v>450</v>
      </c>
      <c r="G32" s="10" t="n">
        <v>550</v>
      </c>
      <c r="H32" s="17" t="n">
        <v>450</v>
      </c>
      <c r="I32" s="17" t="n">
        <v>550</v>
      </c>
      <c r="J32" s="30" t="n">
        <v>162.4453</v>
      </c>
      <c r="K32" s="10" t="inlineStr">
        <is>
          <t>255</t>
        </is>
      </c>
      <c r="L32" s="30" t="n">
        <v>127.3011</v>
      </c>
      <c r="M32" s="10" t="inlineStr">
        <is>
          <t>255</t>
        </is>
      </c>
      <c r="N32" s="30" t="n">
        <v>86.15600000000001</v>
      </c>
      <c r="O32" s="30" t="n">
        <v>352.673</v>
      </c>
      <c r="P32" s="10" t="inlineStr">
        <is>
          <t>255</t>
        </is>
      </c>
      <c r="Q32" s="30" t="n">
        <v>7.7768</v>
      </c>
      <c r="R32" s="10">
        <f>MAX(MAX(1.4/'Parametros'!$B$3,0.25*SQRT('Parametros'!$B$2)/'Parametros'!$B$3)*H32*U32,(0.85*'Parametros'!$B$2/'Parametros'!$B$3)*(1-SQRT(1-2*(J32*1000000/('Parametros'!$B$5*H32*U32^2))/(0.85*'Parametros'!$B$2)))*H32*U32)</f>
        <v>911.49509337603</v>
      </c>
      <c r="S32" s="31" t="n">
        <v>5</v>
      </c>
      <c r="T32" s="32" t="n">
        <v>1</v>
      </c>
      <c r="U32" s="10">
        <f>IF(T32=1,I32-('Parametros'!$B$7+'Parametros'!$B$9+'Parametros'!$B$12/2),I32-(ROUNDUP(S32/2,0)*('Parametros'!$B$7+'Parametros'!$B$9+'Parametros'!$B$12/2)+ROUNDDOWN(S32/2,0)*('Parametros'!$B$7+'Parametros'!$B$9+'Parametros'!$B$12/2+'Parametros'!$B$12+'Parametros'!$B$10))/S32)</f>
        <v>489.35</v>
      </c>
      <c r="V32" s="10">
        <f>S32*'Parametros'!$B$8</f>
        <v>995</v>
      </c>
      <c r="W32" s="10">
        <f>'Parametros'!$B$5*V32*'Parametros'!$B$3*(U32-(V32*'Parametros'!$B$3/(0.85*'Parametros'!$B$2*H32))/2)/1000000</f>
        <v>176.711596147059</v>
      </c>
      <c r="X32" s="10" t="str">
        <f>IF(W32&gt;=J32,"CUMPLE","NO CUMPLE")</f>
        <v>CUMPLE</v>
      </c>
      <c r="Y32" s="10">
        <f>MAX(MAX(1.4/'Parametros'!$B$3,0.25*SQRT('Parametros'!$B$2)/'Parametros'!$B$3)*H32*AB32,(0.85*'Parametros'!$B$2/'Parametros'!$B$3)*(1-SQRT(1-2*(L32*1000000/('Parametros'!$B$5*H32*AB32^2))/(0.85*'Parametros'!$B$2)))*H32*AB32)</f>
        <v>734.025</v>
      </c>
      <c r="Z32" s="31" t="n">
        <v>4</v>
      </c>
      <c r="AA32" s="32" t="n">
        <v>1</v>
      </c>
      <c r="AB32" s="10">
        <f>IF(AA32=1,I32-('Parametros'!$B$7+'Parametros'!$B$9+'Parametros'!$B$12/2),I32-(ROUNDUP(Z32/2,0)*('Parametros'!$B$7+'Parametros'!$B$9+'Parametros'!$B$12/2)+ROUNDDOWN(Z32/2,0)*('Parametros'!$B$7+'Parametros'!$B$9+'Parametros'!$B$12/2+'Parametros'!$B$12+'Parametros'!$B$10))/Z32)</f>
        <v>489.35</v>
      </c>
      <c r="AC32" s="10">
        <f>Z32*'Parametros'!$B$8</f>
        <v>796</v>
      </c>
      <c r="AD32" s="10">
        <f>'Parametros'!$B$5*AC32*'Parametros'!$B$3*(AB32-(AC32*'Parametros'!$B$3/(0.85*'Parametros'!$B$2*H32))/2)/1000000</f>
        <v>142.543330094118</v>
      </c>
      <c r="AE32" s="10" t="str">
        <f>IF(AD32&gt;=L32,"CUMPLE","NO CUMPLE")</f>
        <v>CUMPLE</v>
      </c>
      <c r="AF32" s="10">
        <f>V32*1.25*'Parametros'!$B$3*(U32-(V32*1.25*'Parametros'!$B$3/(0.85*'Parametros'!$B$2*H32))/2)/1000000</f>
        <v>242.884913970588</v>
      </c>
      <c r="AG32" s="10">
        <f>AC32*1.25*'Parametros'!$B$3*(AB32-(AC32*1.25*'Parametros'!$B$3/(0.85*'Parametros'!$B$2*H32))/2)/1000000</f>
        <v>196.346217941176</v>
      </c>
      <c r="AH32" s="10">
        <f>N32+(AF32+AG32)/D32</f>
        <v>215.341627032872</v>
      </c>
      <c r="AI32" s="10">
        <f>MAX(O32,AH32)</f>
        <v>352.673</v>
      </c>
      <c r="AJ32" s="10">
        <f>0.17*SQRT('Parametros'!$B$2)*H32*MIN(U32,AB32)/1000</f>
        <v>198.088855822627</v>
      </c>
      <c r="AK32" s="10">
        <f>MAX(AI32/'Parametros'!$B$6-AJ32,0)</f>
        <v>272.14181084404</v>
      </c>
      <c r="AL32" s="10">
        <f>0.66*SQRT('Parametros'!$B$2)*H32*MIN(U32,AB32)/1000</f>
        <v>769.050852017258</v>
      </c>
      <c r="AM32" s="10" t="str">
        <f>IF(AK32&lt;=AL32,"CUMPLE","NO CUMPLE")</f>
        <v>CUMPLE</v>
      </c>
      <c r="AN32" s="17" t="inlineStr">
        <is>
          <t>Nº3 cerrado</t>
        </is>
      </c>
      <c r="AO32" s="31" t="n">
        <v>2</v>
      </c>
      <c r="AP32" s="10">
        <f>ROUNDDOWN(MIN(IF(BC32+BD32=0,1000000000,AO32*BB32/(BC32+BD32)),MIN(U32,AB32)/4,8*'Parametros'!$B$12,24*BA32,300,IF(AV32=0,1000000000,2*((H32-2*('Parametros'!$B$7+'Parametros'!$B$9/2))+(I32-2*('Parametros'!$B$7+'Parametros'!$B$9/2)))/8))/10,0)*10</f>
        <v>100</v>
      </c>
      <c r="AQ32" s="10">
        <f>ROUNDDOWN(MIN(IF(BC32+BD32=0,1000000000,AO32*BB32/(BC32+BD32)),IF(AK32&gt;0.33*SQRT('Parametros'!$B$2)*H32*MIN(U32,AB32)/1000,MIN(U32,AB32)/4,MIN(U32,AB32)/2),600,IF(AV32=0,1000000000,2*((H32-2*('Parametros'!$B$7+'Parametros'!$B$9/2))+(I32-2*('Parametros'!$B$7+'Parametros'!$B$9/2)))/8))/10,0)*10</f>
        <v>100</v>
      </c>
      <c r="AR32" s="10">
        <f>'Parametros'!$B$6*(AJ32+MAX(BE32-BD32,0)*'Parametros'!$B$4*MIN(U32,AB32)/1000)</f>
        <v>367.45289686697</v>
      </c>
      <c r="AS32" s="10" t="str">
        <f>IF(AND(ISERROR(SEARCH("referencia",AN32)),AM32="CUMPLE",AR32&gt;=AI32),"CUMPLE","NO CUMPLE")</f>
        <v>CUMPLE</v>
      </c>
      <c r="AT32" s="10">
        <f>'Parametros'!$B$6*0.083*SQRT('Parametros'!$B$2)*(H32*I32)^2/(2*(H32+I32))/1000000</f>
        <v>10.0887830333379</v>
      </c>
      <c r="AU32" s="10" t="str">
        <f>IF(Q32&lt;=AT32,"DESPRECIABLE","DISEÑAR")</f>
        <v>DESPRECIABLE</v>
      </c>
      <c r="AV32" s="10">
        <f>IF(Q32&lt;=AT32,0,Q32*1000000/('Parametros'!$B$6*2*0.85*(H32-2*('Parametros'!$B$7+'Parametros'!$B$9/2))*(I32-2*('Parametros'!$B$7+'Parametros'!$B$9/2))*'Parametros'!$B$4))</f>
        <v>0</v>
      </c>
      <c r="AW32" s="10">
        <f>AV32*2*((H32-2*('Parametros'!$B$7+'Parametros'!$B$9/2))+(I32-2*('Parametros'!$B$7+'Parametros'!$B$9/2)))*'Parametros'!$B$4/'Parametros'!$B$3</f>
        <v>0</v>
      </c>
      <c r="AX32" s="31" t="n">
        <v>0</v>
      </c>
      <c r="AY32" s="10" t="str">
        <f>IF(AV32=0,"DESPRECIABLE",IF(AND(ISERROR(SEARCH("referencia",AN32)),BB32/AP32&gt;=AV32,BI32&gt;=AW32,BH32="CUMPLE"),"CUMPLE","NO CUMPLE"))</f>
        <v>DESPRECIABLE</v>
      </c>
      <c r="AZ32" s="10" t="str">
        <f>IF(AND(X32="CUMPLE",AE32="CUMPLE",AS32="CUMPLE",OR(AY32="CUMPLE",AY32="DESPRECIABLE"),BH32="CUMPLE",BJ32="CUMPLE"),"CUMPLE","NO CUMPLE")</f>
        <v>CUMPLE</v>
      </c>
      <c r="BA32" s="32" t="n">
        <v>9.5</v>
      </c>
      <c r="BB32" s="32" t="n">
        <v>71</v>
      </c>
      <c r="BC32" s="10">
        <f>MAX(IF(AK32=0,0,AK32*1000/('Parametros'!$B$4*MIN(U32,AB32))),MAX(0.062*SQRT('Parametros'!$B$2)*H32/'Parametros'!$B$4,0.35*H32/'Parametros'!$B$4))</f>
        <v>1.32411707874897</v>
      </c>
      <c r="BD32" s="10">
        <f>2*AV32</f>
        <v>0</v>
      </c>
      <c r="BE32" s="10">
        <f>AO32*BB32/AP32</f>
        <v>1.42</v>
      </c>
      <c r="BF32" s="10">
        <f>SQRT((AI32*1000/(H32*MIN(U32,AB32)))^2+(Q32*1000000*2*((H32-2*('Parametros'!$B$7+'Parametros'!$B$9/2))+(I32-2*('Parametros'!$B$7+'Parametros'!$B$9/2)))/(1.7*((H32-2*('Parametros'!$B$7+'Parametros'!$B$9/2))*(I32-2*('Parametros'!$B$7+'Parametros'!$B$9/2)))^2))^2)</f>
        <v>1.62569669594081</v>
      </c>
      <c r="BG32" s="10">
        <f>'Parametros'!$B$6*(AJ32*1000/(H32*MIN(U32,AB32))+0.66*SQRT('Parametros'!$B$2))</f>
        <v>3.29396038227542</v>
      </c>
      <c r="BH32" s="10" t="str">
        <f>IF(BF32&lt;=BG32,"CUMPLE","NO CUMPLE")</f>
        <v>CUMPLE</v>
      </c>
      <c r="BI32" s="10">
        <f>AX32*'Parametros'!$B$8</f>
        <v>0</v>
      </c>
      <c r="BJ32" s="10" t="str">
        <f>IF(BI32&gt;=AW32,"CUMPLE","NO CUMPLE")</f>
        <v>CUMPLE</v>
      </c>
    </row>
    <row r="33">
      <c r="A33" s="16" t="inlineStr">
        <is>
          <t>VC2</t>
        </is>
      </c>
      <c r="B33" s="16" t="inlineStr">
        <is>
          <t>256</t>
        </is>
      </c>
      <c r="C33" s="10" t="n">
        <v>1</v>
      </c>
      <c r="D33" s="10" t="n">
        <v>3.4</v>
      </c>
      <c r="E33" s="10" t="n">
        <v>3.4</v>
      </c>
      <c r="F33" s="10" t="n">
        <v>450</v>
      </c>
      <c r="G33" s="10" t="n">
        <v>550</v>
      </c>
      <c r="H33" s="17" t="n">
        <v>450</v>
      </c>
      <c r="I33" s="17" t="n">
        <v>550</v>
      </c>
      <c r="J33" s="30" t="n">
        <v>162.4705</v>
      </c>
      <c r="K33" s="10" t="inlineStr">
        <is>
          <t>256</t>
        </is>
      </c>
      <c r="L33" s="30" t="n">
        <v>127.2862</v>
      </c>
      <c r="M33" s="10" t="inlineStr">
        <is>
          <t>256</t>
        </is>
      </c>
      <c r="N33" s="30" t="n">
        <v>86.16800000000001</v>
      </c>
      <c r="O33" s="30" t="n">
        <v>352.685</v>
      </c>
      <c r="P33" s="10" t="inlineStr">
        <is>
          <t>256</t>
        </is>
      </c>
      <c r="Q33" s="30" t="n">
        <v>7.7775</v>
      </c>
      <c r="R33" s="10">
        <f>MAX(MAX(1.4/'Parametros'!$B$3,0.25*SQRT('Parametros'!$B$2)/'Parametros'!$B$3)*H33*U33,(0.85*'Parametros'!$B$2/'Parametros'!$B$3)*(1-SQRT(1-2*(J33*1000000/('Parametros'!$B$5*H33*U33^2))/(0.85*'Parametros'!$B$2)))*H33*U33)</f>
        <v>911.642065028324</v>
      </c>
      <c r="S33" s="31" t="n">
        <v>5</v>
      </c>
      <c r="T33" s="32" t="n">
        <v>1</v>
      </c>
      <c r="U33" s="10">
        <f>IF(T33=1,I33-('Parametros'!$B$7+'Parametros'!$B$9+'Parametros'!$B$12/2),I33-(ROUNDUP(S33/2,0)*('Parametros'!$B$7+'Parametros'!$B$9+'Parametros'!$B$12/2)+ROUNDDOWN(S33/2,0)*('Parametros'!$B$7+'Parametros'!$B$9+'Parametros'!$B$12/2+'Parametros'!$B$12+'Parametros'!$B$10))/S33)</f>
        <v>489.35</v>
      </c>
      <c r="V33" s="10">
        <f>S33*'Parametros'!$B$8</f>
        <v>995</v>
      </c>
      <c r="W33" s="10">
        <f>'Parametros'!$B$5*V33*'Parametros'!$B$3*(U33-(V33*'Parametros'!$B$3/(0.85*'Parametros'!$B$2*H33))/2)/1000000</f>
        <v>176.711596147059</v>
      </c>
      <c r="X33" s="10" t="str">
        <f>IF(W33&gt;=J33,"CUMPLE","NO CUMPLE")</f>
        <v>CUMPLE</v>
      </c>
      <c r="Y33" s="10">
        <f>MAX(MAX(1.4/'Parametros'!$B$3,0.25*SQRT('Parametros'!$B$2)/'Parametros'!$B$3)*H33*AB33,(0.85*'Parametros'!$B$2/'Parametros'!$B$3)*(1-SQRT(1-2*(L33*1000000/('Parametros'!$B$5*H33*AB33^2))/(0.85*'Parametros'!$B$2)))*H33*AB33)</f>
        <v>734.025</v>
      </c>
      <c r="Z33" s="31" t="n">
        <v>4</v>
      </c>
      <c r="AA33" s="32" t="n">
        <v>1</v>
      </c>
      <c r="AB33" s="10">
        <f>IF(AA33=1,I33-('Parametros'!$B$7+'Parametros'!$B$9+'Parametros'!$B$12/2),I33-(ROUNDUP(Z33/2,0)*('Parametros'!$B$7+'Parametros'!$B$9+'Parametros'!$B$12/2)+ROUNDDOWN(Z33/2,0)*('Parametros'!$B$7+'Parametros'!$B$9+'Parametros'!$B$12/2+'Parametros'!$B$12+'Parametros'!$B$10))/Z33)</f>
        <v>489.35</v>
      </c>
      <c r="AC33" s="10">
        <f>Z33*'Parametros'!$B$8</f>
        <v>796</v>
      </c>
      <c r="AD33" s="10">
        <f>'Parametros'!$B$5*AC33*'Parametros'!$B$3*(AB33-(AC33*'Parametros'!$B$3/(0.85*'Parametros'!$B$2*H33))/2)/1000000</f>
        <v>142.543330094118</v>
      </c>
      <c r="AE33" s="10" t="str">
        <f>IF(AD33&gt;=L33,"CUMPLE","NO CUMPLE")</f>
        <v>CUMPLE</v>
      </c>
      <c r="AF33" s="10">
        <f>V33*1.25*'Parametros'!$B$3*(U33-(V33*1.25*'Parametros'!$B$3/(0.85*'Parametros'!$B$2*H33))/2)/1000000</f>
        <v>242.884913970588</v>
      </c>
      <c r="AG33" s="10">
        <f>AC33*1.25*'Parametros'!$B$3*(AB33-(AC33*1.25*'Parametros'!$B$3/(0.85*'Parametros'!$B$2*H33))/2)/1000000</f>
        <v>196.346217941176</v>
      </c>
      <c r="AH33" s="10">
        <f>N33+(AF33+AG33)/D33</f>
        <v>215.353627032872</v>
      </c>
      <c r="AI33" s="10">
        <f>MAX(O33,AH33)</f>
        <v>352.685</v>
      </c>
      <c r="AJ33" s="10">
        <f>0.17*SQRT('Parametros'!$B$2)*H33*MIN(U33,AB33)/1000</f>
        <v>198.088855822627</v>
      </c>
      <c r="AK33" s="10">
        <f>MAX(AI33/'Parametros'!$B$6-AJ33,0)</f>
        <v>272.15781084404</v>
      </c>
      <c r="AL33" s="10">
        <f>0.66*SQRT('Parametros'!$B$2)*H33*MIN(U33,AB33)/1000</f>
        <v>769.050852017258</v>
      </c>
      <c r="AM33" s="10" t="str">
        <f>IF(AK33&lt;=AL33,"CUMPLE","NO CUMPLE")</f>
        <v>CUMPLE</v>
      </c>
      <c r="AN33" s="17" t="inlineStr">
        <is>
          <t>Nº3 cerrado</t>
        </is>
      </c>
      <c r="AO33" s="31" t="n">
        <v>2</v>
      </c>
      <c r="AP33" s="10">
        <f>ROUNDDOWN(MIN(IF(BC33+BD33=0,1000000000,AO33*BB33/(BC33+BD33)),MIN(U33,AB33)/4,8*'Parametros'!$B$12,24*BA33,300,IF(AV33=0,1000000000,2*((H33-2*('Parametros'!$B$7+'Parametros'!$B$9/2))+(I33-2*('Parametros'!$B$7+'Parametros'!$B$9/2)))/8))/10,0)*10</f>
        <v>100</v>
      </c>
      <c r="AQ33" s="10">
        <f>ROUNDDOWN(MIN(IF(BC33+BD33=0,1000000000,AO33*BB33/(BC33+BD33)),IF(AK33&gt;0.33*SQRT('Parametros'!$B$2)*H33*MIN(U33,AB33)/1000,MIN(U33,AB33)/4,MIN(U33,AB33)/2),600,IF(AV33=0,1000000000,2*((H33-2*('Parametros'!$B$7+'Parametros'!$B$9/2))+(I33-2*('Parametros'!$B$7+'Parametros'!$B$9/2)))/8))/10,0)*10</f>
        <v>100</v>
      </c>
      <c r="AR33" s="10">
        <f>'Parametros'!$B$6*(AJ33+MAX(BE33-BD33,0)*'Parametros'!$B$4*MIN(U33,AB33)/1000)</f>
        <v>367.45289686697</v>
      </c>
      <c r="AS33" s="10" t="str">
        <f>IF(AND(ISERROR(SEARCH("referencia",AN33)),AM33="CUMPLE",AR33&gt;=AI33),"CUMPLE","NO CUMPLE")</f>
        <v>CUMPLE</v>
      </c>
      <c r="AT33" s="10">
        <f>'Parametros'!$B$6*0.083*SQRT('Parametros'!$B$2)*(H33*I33)^2/(2*(H33+I33))/1000000</f>
        <v>10.0887830333379</v>
      </c>
      <c r="AU33" s="10" t="str">
        <f>IF(Q33&lt;=AT33,"DESPRECIABLE","DISEÑAR")</f>
        <v>DESPRECIABLE</v>
      </c>
      <c r="AV33" s="10">
        <f>IF(Q33&lt;=AT33,0,Q33*1000000/('Parametros'!$B$6*2*0.85*(H33-2*('Parametros'!$B$7+'Parametros'!$B$9/2))*(I33-2*('Parametros'!$B$7+'Parametros'!$B$9/2))*'Parametros'!$B$4))</f>
        <v>0</v>
      </c>
      <c r="AW33" s="10">
        <f>AV33*2*((H33-2*('Parametros'!$B$7+'Parametros'!$B$9/2))+(I33-2*('Parametros'!$B$7+'Parametros'!$B$9/2)))*'Parametros'!$B$4/'Parametros'!$B$3</f>
        <v>0</v>
      </c>
      <c r="AX33" s="31" t="n">
        <v>0</v>
      </c>
      <c r="AY33" s="10" t="str">
        <f>IF(AV33=0,"DESPRECIABLE",IF(AND(ISERROR(SEARCH("referencia",AN33)),BB33/AP33&gt;=AV33,BI33&gt;=AW33,BH33="CUMPLE"),"CUMPLE","NO CUMPLE"))</f>
        <v>DESPRECIABLE</v>
      </c>
      <c r="AZ33" s="10" t="str">
        <f>IF(AND(X33="CUMPLE",AE33="CUMPLE",AS33="CUMPLE",OR(AY33="CUMPLE",AY33="DESPRECIABLE"),BH33="CUMPLE",BJ33="CUMPLE"),"CUMPLE","NO CUMPLE")</f>
        <v>CUMPLE</v>
      </c>
      <c r="BA33" s="32" t="n">
        <v>9.5</v>
      </c>
      <c r="BB33" s="32" t="n">
        <v>71</v>
      </c>
      <c r="BC33" s="10">
        <f>MAX(IF(AK33=0,0,AK33*1000/('Parametros'!$B$4*MIN(U33,AB33))),MAX(0.062*SQRT('Parametros'!$B$2)*H33/'Parametros'!$B$4,0.35*H33/'Parametros'!$B$4))</f>
        <v>1.32419492740146</v>
      </c>
      <c r="BD33" s="10">
        <f>2*AV33</f>
        <v>0</v>
      </c>
      <c r="BE33" s="10">
        <f>AO33*BB33/AP33</f>
        <v>1.42</v>
      </c>
      <c r="BF33" s="10">
        <f>SQRT((AI33*1000/(H33*MIN(U33,AB33)))^2+(Q33*1000000*2*((H33-2*('Parametros'!$B$7+'Parametros'!$B$9/2))+(I33-2*('Parametros'!$B$7+'Parametros'!$B$9/2)))/(1.7*((H33-2*('Parametros'!$B$7+'Parametros'!$B$9/2))*(I33-2*('Parametros'!$B$7+'Parametros'!$B$9/2)))^2))^2)</f>
        <v>1.62575469554164</v>
      </c>
      <c r="BG33" s="10">
        <f>'Parametros'!$B$6*(AJ33*1000/(H33*MIN(U33,AB33))+0.66*SQRT('Parametros'!$B$2))</f>
        <v>3.29396038227542</v>
      </c>
      <c r="BH33" s="10" t="str">
        <f>IF(BF33&lt;=BG33,"CUMPLE","NO CUMPLE")</f>
        <v>CUMPLE</v>
      </c>
      <c r="BI33" s="10">
        <f>AX33*'Parametros'!$B$8</f>
        <v>0</v>
      </c>
      <c r="BJ33" s="10" t="str">
        <f>IF(BI33&gt;=AW33,"CUMPLE","NO CUMPLE")</f>
        <v>CUMPLE</v>
      </c>
    </row>
    <row r="34">
      <c r="A34" s="16" t="inlineStr">
        <is>
          <t>VC2</t>
        </is>
      </c>
      <c r="B34" s="16" t="inlineStr">
        <is>
          <t>293</t>
        </is>
      </c>
      <c r="C34" s="10" t="n">
        <v>1</v>
      </c>
      <c r="D34" s="10" t="n">
        <v>3.4</v>
      </c>
      <c r="E34" s="10" t="n">
        <v>3.4</v>
      </c>
      <c r="F34" s="10" t="n">
        <v>450</v>
      </c>
      <c r="G34" s="10" t="n">
        <v>550</v>
      </c>
      <c r="H34" s="17" t="n">
        <v>450</v>
      </c>
      <c r="I34" s="17" t="n">
        <v>550</v>
      </c>
      <c r="J34" s="30" t="n">
        <v>162.486</v>
      </c>
      <c r="K34" s="10" t="inlineStr">
        <is>
          <t>293</t>
        </is>
      </c>
      <c r="L34" s="30" t="n">
        <v>127.2993</v>
      </c>
      <c r="M34" s="10" t="inlineStr">
        <is>
          <t>293</t>
        </is>
      </c>
      <c r="N34" s="30" t="n">
        <v>86.175</v>
      </c>
      <c r="O34" s="30" t="n">
        <v>352.718</v>
      </c>
      <c r="P34" s="10" t="inlineStr">
        <is>
          <t>293</t>
        </is>
      </c>
      <c r="Q34" s="30" t="n">
        <v>7.7788</v>
      </c>
      <c r="R34" s="10">
        <f>MAX(MAX(1.4/'Parametros'!$B$3,0.25*SQRT('Parametros'!$B$2)/'Parametros'!$B$3)*H34*U34,(0.85*'Parametros'!$B$2/'Parametros'!$B$3)*(1-SQRT(1-2*(J34*1000000/('Parametros'!$B$5*H34*U34^2))/(0.85*'Parametros'!$B$2)))*H34*U34)</f>
        <v>911.732465186484</v>
      </c>
      <c r="S34" s="31" t="n">
        <v>5</v>
      </c>
      <c r="T34" s="32" t="n">
        <v>1</v>
      </c>
      <c r="U34" s="10">
        <f>IF(T34=1,I34-('Parametros'!$B$7+'Parametros'!$B$9+'Parametros'!$B$12/2),I34-(ROUNDUP(S34/2,0)*('Parametros'!$B$7+'Parametros'!$B$9+'Parametros'!$B$12/2)+ROUNDDOWN(S34/2,0)*('Parametros'!$B$7+'Parametros'!$B$9+'Parametros'!$B$12/2+'Parametros'!$B$12+'Parametros'!$B$10))/S34)</f>
        <v>489.35</v>
      </c>
      <c r="V34" s="10">
        <f>S34*'Parametros'!$B$8</f>
        <v>995</v>
      </c>
      <c r="W34" s="10">
        <f>'Parametros'!$B$5*V34*'Parametros'!$B$3*(U34-(V34*'Parametros'!$B$3/(0.85*'Parametros'!$B$2*H34))/2)/1000000</f>
        <v>176.711596147059</v>
      </c>
      <c r="X34" s="10" t="str">
        <f>IF(W34&gt;=J34,"CUMPLE","NO CUMPLE")</f>
        <v>CUMPLE</v>
      </c>
      <c r="Y34" s="10">
        <f>MAX(MAX(1.4/'Parametros'!$B$3,0.25*SQRT('Parametros'!$B$2)/'Parametros'!$B$3)*H34*AB34,(0.85*'Parametros'!$B$2/'Parametros'!$B$3)*(1-SQRT(1-2*(L34*1000000/('Parametros'!$B$5*H34*AB34^2))/(0.85*'Parametros'!$B$2)))*H34*AB34)</f>
        <v>734.025</v>
      </c>
      <c r="Z34" s="31" t="n">
        <v>4</v>
      </c>
      <c r="AA34" s="32" t="n">
        <v>1</v>
      </c>
      <c r="AB34" s="10">
        <f>IF(AA34=1,I34-('Parametros'!$B$7+'Parametros'!$B$9+'Parametros'!$B$12/2),I34-(ROUNDUP(Z34/2,0)*('Parametros'!$B$7+'Parametros'!$B$9+'Parametros'!$B$12/2)+ROUNDDOWN(Z34/2,0)*('Parametros'!$B$7+'Parametros'!$B$9+'Parametros'!$B$12/2+'Parametros'!$B$12+'Parametros'!$B$10))/Z34)</f>
        <v>489.35</v>
      </c>
      <c r="AC34" s="10">
        <f>Z34*'Parametros'!$B$8</f>
        <v>796</v>
      </c>
      <c r="AD34" s="10">
        <f>'Parametros'!$B$5*AC34*'Parametros'!$B$3*(AB34-(AC34*'Parametros'!$B$3/(0.85*'Parametros'!$B$2*H34))/2)/1000000</f>
        <v>142.543330094118</v>
      </c>
      <c r="AE34" s="10" t="str">
        <f>IF(AD34&gt;=L34,"CUMPLE","NO CUMPLE")</f>
        <v>CUMPLE</v>
      </c>
      <c r="AF34" s="10">
        <f>V34*1.25*'Parametros'!$B$3*(U34-(V34*1.25*'Parametros'!$B$3/(0.85*'Parametros'!$B$2*H34))/2)/1000000</f>
        <v>242.884913970588</v>
      </c>
      <c r="AG34" s="10">
        <f>AC34*1.25*'Parametros'!$B$3*(AB34-(AC34*1.25*'Parametros'!$B$3/(0.85*'Parametros'!$B$2*H34))/2)/1000000</f>
        <v>196.346217941176</v>
      </c>
      <c r="AH34" s="10">
        <f>N34+(AF34+AG34)/D34</f>
        <v>215.360627032872</v>
      </c>
      <c r="AI34" s="10">
        <f>MAX(O34,AH34)</f>
        <v>352.718</v>
      </c>
      <c r="AJ34" s="10">
        <f>0.17*SQRT('Parametros'!$B$2)*H34*MIN(U34,AB34)/1000</f>
        <v>198.088855822627</v>
      </c>
      <c r="AK34" s="10">
        <f>MAX(AI34/'Parametros'!$B$6-AJ34,0)</f>
        <v>272.20181084404</v>
      </c>
      <c r="AL34" s="10">
        <f>0.66*SQRT('Parametros'!$B$2)*H34*MIN(U34,AB34)/1000</f>
        <v>769.050852017258</v>
      </c>
      <c r="AM34" s="10" t="str">
        <f>IF(AK34&lt;=AL34,"CUMPLE","NO CUMPLE")</f>
        <v>CUMPLE</v>
      </c>
      <c r="AN34" s="17" t="inlineStr">
        <is>
          <t>Nº3 cerrado</t>
        </is>
      </c>
      <c r="AO34" s="31" t="n">
        <v>2</v>
      </c>
      <c r="AP34" s="10">
        <f>ROUNDDOWN(MIN(IF(BC34+BD34=0,1000000000,AO34*BB34/(BC34+BD34)),MIN(U34,AB34)/4,8*'Parametros'!$B$12,24*BA34,300,IF(AV34=0,1000000000,2*((H34-2*('Parametros'!$B$7+'Parametros'!$B$9/2))+(I34-2*('Parametros'!$B$7+'Parametros'!$B$9/2)))/8))/10,0)*10</f>
        <v>100</v>
      </c>
      <c r="AQ34" s="10">
        <f>ROUNDDOWN(MIN(IF(BC34+BD34=0,1000000000,AO34*BB34/(BC34+BD34)),IF(AK34&gt;0.33*SQRT('Parametros'!$B$2)*H34*MIN(U34,AB34)/1000,MIN(U34,AB34)/4,MIN(U34,AB34)/2),600,IF(AV34=0,1000000000,2*((H34-2*('Parametros'!$B$7+'Parametros'!$B$9/2))+(I34-2*('Parametros'!$B$7+'Parametros'!$B$9/2)))/8))/10,0)*10</f>
        <v>100</v>
      </c>
      <c r="AR34" s="10">
        <f>'Parametros'!$B$6*(AJ34+MAX(BE34-BD34,0)*'Parametros'!$B$4*MIN(U34,AB34)/1000)</f>
        <v>367.45289686697</v>
      </c>
      <c r="AS34" s="10" t="str">
        <f>IF(AND(ISERROR(SEARCH("referencia",AN34)),AM34="CUMPLE",AR34&gt;=AI34),"CUMPLE","NO CUMPLE")</f>
        <v>CUMPLE</v>
      </c>
      <c r="AT34" s="10">
        <f>'Parametros'!$B$6*0.083*SQRT('Parametros'!$B$2)*(H34*I34)^2/(2*(H34+I34))/1000000</f>
        <v>10.0887830333379</v>
      </c>
      <c r="AU34" s="10" t="str">
        <f>IF(Q34&lt;=AT34,"DESPRECIABLE","DISEÑAR")</f>
        <v>DESPRECIABLE</v>
      </c>
      <c r="AV34" s="10">
        <f>IF(Q34&lt;=AT34,0,Q34*1000000/('Parametros'!$B$6*2*0.85*(H34-2*('Parametros'!$B$7+'Parametros'!$B$9/2))*(I34-2*('Parametros'!$B$7+'Parametros'!$B$9/2))*'Parametros'!$B$4))</f>
        <v>0</v>
      </c>
      <c r="AW34" s="10">
        <f>AV34*2*((H34-2*('Parametros'!$B$7+'Parametros'!$B$9/2))+(I34-2*('Parametros'!$B$7+'Parametros'!$B$9/2)))*'Parametros'!$B$4/'Parametros'!$B$3</f>
        <v>0</v>
      </c>
      <c r="AX34" s="31" t="n">
        <v>0</v>
      </c>
      <c r="AY34" s="10" t="str">
        <f>IF(AV34=0,"DESPRECIABLE",IF(AND(ISERROR(SEARCH("referencia",AN34)),BB34/AP34&gt;=AV34,BI34&gt;=AW34,BH34="CUMPLE"),"CUMPLE","NO CUMPLE"))</f>
        <v>DESPRECIABLE</v>
      </c>
      <c r="AZ34" s="10" t="str">
        <f>IF(AND(X34="CUMPLE",AE34="CUMPLE",AS34="CUMPLE",OR(AY34="CUMPLE",AY34="DESPRECIABLE"),BH34="CUMPLE",BJ34="CUMPLE"),"CUMPLE","NO CUMPLE")</f>
        <v>CUMPLE</v>
      </c>
      <c r="BA34" s="32" t="n">
        <v>9.5</v>
      </c>
      <c r="BB34" s="32" t="n">
        <v>71</v>
      </c>
      <c r="BC34" s="10">
        <f>MAX(IF(AK34=0,0,AK34*1000/('Parametros'!$B$4*MIN(U34,AB34))),MAX(0.062*SQRT('Parametros'!$B$2)*H34/'Parametros'!$B$4,0.35*H34/'Parametros'!$B$4))</f>
        <v>1.3244090111958</v>
      </c>
      <c r="BD34" s="10">
        <f>2*AV34</f>
        <v>0</v>
      </c>
      <c r="BE34" s="10">
        <f>AO34*BB34/AP34</f>
        <v>1.42</v>
      </c>
      <c r="BF34" s="10">
        <f>SQRT((AI34*1000/(H34*MIN(U34,AB34)))^2+(Q34*1000000*2*((H34-2*('Parametros'!$B$7+'Parametros'!$B$9/2))+(I34-2*('Parametros'!$B$7+'Parametros'!$B$9/2)))/(1.7*((H34-2*('Parametros'!$B$7+'Parametros'!$B$9/2))*(I34-2*('Parametros'!$B$7+'Parametros'!$B$9/2)))^2))^2)</f>
        <v>1.62591034194691</v>
      </c>
      <c r="BG34" s="10">
        <f>'Parametros'!$B$6*(AJ34*1000/(H34*MIN(U34,AB34))+0.66*SQRT('Parametros'!$B$2))</f>
        <v>3.29396038227542</v>
      </c>
      <c r="BH34" s="10" t="str">
        <f>IF(BF34&lt;=BG34,"CUMPLE","NO CUMPLE")</f>
        <v>CUMPLE</v>
      </c>
      <c r="BI34" s="10">
        <f>AX34*'Parametros'!$B$8</f>
        <v>0</v>
      </c>
      <c r="BJ34" s="10" t="str">
        <f>IF(BI34&gt;=AW34,"CUMPLE","NO CUMPLE")</f>
        <v>CUMPLE</v>
      </c>
    </row>
    <row r="35">
      <c r="A35" s="16" t="inlineStr">
        <is>
          <t>VC2</t>
        </is>
      </c>
      <c r="B35" s="16" t="inlineStr">
        <is>
          <t>294</t>
        </is>
      </c>
      <c r="C35" s="10" t="n">
        <v>1</v>
      </c>
      <c r="D35" s="10" t="n">
        <v>3.4</v>
      </c>
      <c r="E35" s="10" t="n">
        <v>3.4</v>
      </c>
      <c r="F35" s="10" t="n">
        <v>450</v>
      </c>
      <c r="G35" s="10" t="n">
        <v>550</v>
      </c>
      <c r="H35" s="17" t="n">
        <v>450</v>
      </c>
      <c r="I35" s="17" t="n">
        <v>550</v>
      </c>
      <c r="J35" s="30" t="n">
        <v>162.4567</v>
      </c>
      <c r="K35" s="10" t="inlineStr">
        <is>
          <t>294</t>
        </is>
      </c>
      <c r="L35" s="30" t="n">
        <v>127.3164</v>
      </c>
      <c r="M35" s="10" t="inlineStr">
        <is>
          <t>294</t>
        </is>
      </c>
      <c r="N35" s="30" t="n">
        <v>86.161</v>
      </c>
      <c r="O35" s="30" t="n">
        <v>352.704</v>
      </c>
      <c r="P35" s="10" t="inlineStr">
        <is>
          <t>294</t>
        </is>
      </c>
      <c r="Q35" s="30" t="n">
        <v>7.7782</v>
      </c>
      <c r="R35" s="10">
        <f>MAX(MAX(1.4/'Parametros'!$B$3,0.25*SQRT('Parametros'!$B$2)/'Parametros'!$B$3)*H35*U35,(0.85*'Parametros'!$B$2/'Parametros'!$B$3)*(1-SQRT(1-2*(J35*1000000/('Parametros'!$B$5*H35*U35^2))/(0.85*'Parametros'!$B$2)))*H35*U35)</f>
        <v>911.561580320752</v>
      </c>
      <c r="S35" s="31" t="n">
        <v>5</v>
      </c>
      <c r="T35" s="32" t="n">
        <v>1</v>
      </c>
      <c r="U35" s="10">
        <f>IF(T35=1,I35-('Parametros'!$B$7+'Parametros'!$B$9+'Parametros'!$B$12/2),I35-(ROUNDUP(S35/2,0)*('Parametros'!$B$7+'Parametros'!$B$9+'Parametros'!$B$12/2)+ROUNDDOWN(S35/2,0)*('Parametros'!$B$7+'Parametros'!$B$9+'Parametros'!$B$12/2+'Parametros'!$B$12+'Parametros'!$B$10))/S35)</f>
        <v>489.35</v>
      </c>
      <c r="V35" s="10">
        <f>S35*'Parametros'!$B$8</f>
        <v>995</v>
      </c>
      <c r="W35" s="10">
        <f>'Parametros'!$B$5*V35*'Parametros'!$B$3*(U35-(V35*'Parametros'!$B$3/(0.85*'Parametros'!$B$2*H35))/2)/1000000</f>
        <v>176.711596147059</v>
      </c>
      <c r="X35" s="10" t="str">
        <f>IF(W35&gt;=J35,"CUMPLE","NO CUMPLE")</f>
        <v>CUMPLE</v>
      </c>
      <c r="Y35" s="10">
        <f>MAX(MAX(1.4/'Parametros'!$B$3,0.25*SQRT('Parametros'!$B$2)/'Parametros'!$B$3)*H35*AB35,(0.85*'Parametros'!$B$2/'Parametros'!$B$3)*(1-SQRT(1-2*(L35*1000000/('Parametros'!$B$5*H35*AB35^2))/(0.85*'Parametros'!$B$2)))*H35*AB35)</f>
        <v>734.025</v>
      </c>
      <c r="Z35" s="31" t="n">
        <v>4</v>
      </c>
      <c r="AA35" s="32" t="n">
        <v>1</v>
      </c>
      <c r="AB35" s="10">
        <f>IF(AA35=1,I35-('Parametros'!$B$7+'Parametros'!$B$9+'Parametros'!$B$12/2),I35-(ROUNDUP(Z35/2,0)*('Parametros'!$B$7+'Parametros'!$B$9+'Parametros'!$B$12/2)+ROUNDDOWN(Z35/2,0)*('Parametros'!$B$7+'Parametros'!$B$9+'Parametros'!$B$12/2+'Parametros'!$B$12+'Parametros'!$B$10))/Z35)</f>
        <v>489.35</v>
      </c>
      <c r="AC35" s="10">
        <f>Z35*'Parametros'!$B$8</f>
        <v>796</v>
      </c>
      <c r="AD35" s="10">
        <f>'Parametros'!$B$5*AC35*'Parametros'!$B$3*(AB35-(AC35*'Parametros'!$B$3/(0.85*'Parametros'!$B$2*H35))/2)/1000000</f>
        <v>142.543330094118</v>
      </c>
      <c r="AE35" s="10" t="str">
        <f>IF(AD35&gt;=L35,"CUMPLE","NO CUMPLE")</f>
        <v>CUMPLE</v>
      </c>
      <c r="AF35" s="10">
        <f>V35*1.25*'Parametros'!$B$3*(U35-(V35*1.25*'Parametros'!$B$3/(0.85*'Parametros'!$B$2*H35))/2)/1000000</f>
        <v>242.884913970588</v>
      </c>
      <c r="AG35" s="10">
        <f>AC35*1.25*'Parametros'!$B$3*(AB35-(AC35*1.25*'Parametros'!$B$3/(0.85*'Parametros'!$B$2*H35))/2)/1000000</f>
        <v>196.346217941176</v>
      </c>
      <c r="AH35" s="10">
        <f>N35+(AF35+AG35)/D35</f>
        <v>215.346627032872</v>
      </c>
      <c r="AI35" s="10">
        <f>MAX(O35,AH35)</f>
        <v>352.704</v>
      </c>
      <c r="AJ35" s="10">
        <f>0.17*SQRT('Parametros'!$B$2)*H35*MIN(U35,AB35)/1000</f>
        <v>198.088855822627</v>
      </c>
      <c r="AK35" s="10">
        <f>MAX(AI35/'Parametros'!$B$6-AJ35,0)</f>
        <v>272.183144177373</v>
      </c>
      <c r="AL35" s="10">
        <f>0.66*SQRT('Parametros'!$B$2)*H35*MIN(U35,AB35)/1000</f>
        <v>769.050852017258</v>
      </c>
      <c r="AM35" s="10" t="str">
        <f>IF(AK35&lt;=AL35,"CUMPLE","NO CUMPLE")</f>
        <v>CUMPLE</v>
      </c>
      <c r="AN35" s="17" t="inlineStr">
        <is>
          <t>Nº3 cerrado</t>
        </is>
      </c>
      <c r="AO35" s="31" t="n">
        <v>2</v>
      </c>
      <c r="AP35" s="10">
        <f>ROUNDDOWN(MIN(IF(BC35+BD35=0,1000000000,AO35*BB35/(BC35+BD35)),MIN(U35,AB35)/4,8*'Parametros'!$B$12,24*BA35,300,IF(AV35=0,1000000000,2*((H35-2*('Parametros'!$B$7+'Parametros'!$B$9/2))+(I35-2*('Parametros'!$B$7+'Parametros'!$B$9/2)))/8))/10,0)*10</f>
        <v>100</v>
      </c>
      <c r="AQ35" s="10">
        <f>ROUNDDOWN(MIN(IF(BC35+BD35=0,1000000000,AO35*BB35/(BC35+BD35)),IF(AK35&gt;0.33*SQRT('Parametros'!$B$2)*H35*MIN(U35,AB35)/1000,MIN(U35,AB35)/4,MIN(U35,AB35)/2),600,IF(AV35=0,1000000000,2*((H35-2*('Parametros'!$B$7+'Parametros'!$B$9/2))+(I35-2*('Parametros'!$B$7+'Parametros'!$B$9/2)))/8))/10,0)*10</f>
        <v>100</v>
      </c>
      <c r="AR35" s="10">
        <f>'Parametros'!$B$6*(AJ35+MAX(BE35-BD35,0)*'Parametros'!$B$4*MIN(U35,AB35)/1000)</f>
        <v>367.45289686697</v>
      </c>
      <c r="AS35" s="10" t="str">
        <f>IF(AND(ISERROR(SEARCH("referencia",AN35)),AM35="CUMPLE",AR35&gt;=AI35),"CUMPLE","NO CUMPLE")</f>
        <v>CUMPLE</v>
      </c>
      <c r="AT35" s="10">
        <f>'Parametros'!$B$6*0.083*SQRT('Parametros'!$B$2)*(H35*I35)^2/(2*(H35+I35))/1000000</f>
        <v>10.0887830333379</v>
      </c>
      <c r="AU35" s="10" t="str">
        <f>IF(Q35&lt;=AT35,"DESPRECIABLE","DISEÑAR")</f>
        <v>DESPRECIABLE</v>
      </c>
      <c r="AV35" s="10">
        <f>IF(Q35&lt;=AT35,0,Q35*1000000/('Parametros'!$B$6*2*0.85*(H35-2*('Parametros'!$B$7+'Parametros'!$B$9/2))*(I35-2*('Parametros'!$B$7+'Parametros'!$B$9/2))*'Parametros'!$B$4))</f>
        <v>0</v>
      </c>
      <c r="AW35" s="10">
        <f>AV35*2*((H35-2*('Parametros'!$B$7+'Parametros'!$B$9/2))+(I35-2*('Parametros'!$B$7+'Parametros'!$B$9/2)))*'Parametros'!$B$4/'Parametros'!$B$3</f>
        <v>0</v>
      </c>
      <c r="AX35" s="31" t="n">
        <v>0</v>
      </c>
      <c r="AY35" s="10" t="str">
        <f>IF(AV35=0,"DESPRECIABLE",IF(AND(ISERROR(SEARCH("referencia",AN35)),BB35/AP35&gt;=AV35,BI35&gt;=AW35,BH35="CUMPLE"),"CUMPLE","NO CUMPLE"))</f>
        <v>DESPRECIABLE</v>
      </c>
      <c r="AZ35" s="10" t="str">
        <f>IF(AND(X35="CUMPLE",AE35="CUMPLE",AS35="CUMPLE",OR(AY35="CUMPLE",AY35="DESPRECIABLE"),BH35="CUMPLE",BJ35="CUMPLE"),"CUMPLE","NO CUMPLE")</f>
        <v>CUMPLE</v>
      </c>
      <c r="BA35" s="32" t="n">
        <v>9.5</v>
      </c>
      <c r="BB35" s="32" t="n">
        <v>71</v>
      </c>
      <c r="BC35" s="10">
        <f>MAX(IF(AK35=0,0,AK35*1000/('Parametros'!$B$4*MIN(U35,AB35))),MAX(0.062*SQRT('Parametros'!$B$2)*H35/'Parametros'!$B$4,0.35*H35/'Parametros'!$B$4))</f>
        <v>1.3243181877679</v>
      </c>
      <c r="BD35" s="10">
        <f>2*AV35</f>
        <v>0</v>
      </c>
      <c r="BE35" s="10">
        <f>AO35*BB35/AP35</f>
        <v>1.42</v>
      </c>
      <c r="BF35" s="10">
        <f>SQRT((AI35*1000/(H35*MIN(U35,AB35)))^2+(Q35*1000000*2*((H35-2*('Parametros'!$B$7+'Parametros'!$B$9/2))+(I35-2*('Parametros'!$B$7+'Parametros'!$B$9/2)))/(1.7*((H35-2*('Parametros'!$B$7+'Parametros'!$B$9/2))*(I35-2*('Parametros'!$B$7+'Parametros'!$B$9/2)))^2))^2)</f>
        <v>1.62584401121077</v>
      </c>
      <c r="BG35" s="10">
        <f>'Parametros'!$B$6*(AJ35*1000/(H35*MIN(U35,AB35))+0.66*SQRT('Parametros'!$B$2))</f>
        <v>3.29396038227542</v>
      </c>
      <c r="BH35" s="10" t="str">
        <f>IF(BF35&lt;=BG35,"CUMPLE","NO CUMPLE")</f>
        <v>CUMPLE</v>
      </c>
      <c r="BI35" s="10">
        <f>AX35*'Parametros'!$B$8</f>
        <v>0</v>
      </c>
      <c r="BJ35" s="10" t="str">
        <f>IF(BI35&gt;=AW35,"CUMPLE","NO CUMPLE")</f>
        <v>CUMPLE</v>
      </c>
    </row>
    <row r="36">
      <c r="A36" s="16" t="inlineStr">
        <is>
          <t>VC2</t>
        </is>
      </c>
      <c r="B36" s="16" t="inlineStr">
        <is>
          <t>813</t>
        </is>
      </c>
      <c r="C36" s="10" t="n">
        <v>1</v>
      </c>
      <c r="D36" s="10" t="n">
        <v>3.4</v>
      </c>
      <c r="E36" s="10" t="n">
        <v>3.4</v>
      </c>
      <c r="F36" s="10" t="n">
        <v>450</v>
      </c>
      <c r="G36" s="10" t="n">
        <v>550</v>
      </c>
      <c r="H36" s="17" t="n">
        <v>450</v>
      </c>
      <c r="I36" s="17" t="n">
        <v>550</v>
      </c>
      <c r="J36" s="30" t="n">
        <v>133.2025</v>
      </c>
      <c r="K36" s="10" t="inlineStr">
        <is>
          <t>813</t>
        </is>
      </c>
      <c r="L36" s="30" t="n">
        <v>99.9122</v>
      </c>
      <c r="M36" s="10" t="inlineStr">
        <is>
          <t>813</t>
        </is>
      </c>
      <c r="N36" s="30" t="n">
        <v>72.265</v>
      </c>
      <c r="O36" s="30" t="n">
        <v>275.44</v>
      </c>
      <c r="P36" s="10" t="inlineStr">
        <is>
          <t>813</t>
        </is>
      </c>
      <c r="Q36" s="30" t="n">
        <v>6.5158</v>
      </c>
      <c r="R36" s="10">
        <f>MAX(MAX(1.4/'Parametros'!$B$3,0.25*SQRT('Parametros'!$B$2)/'Parametros'!$B$3)*H36*U36,(0.85*'Parametros'!$B$2/'Parametros'!$B$3)*(1-SQRT(1-2*(J36*1000000/('Parametros'!$B$5*H36*U36^2))/(0.85*'Parametros'!$B$2)))*H36*U36)</f>
        <v>742.185201512193</v>
      </c>
      <c r="S36" s="31" t="n">
        <v>4</v>
      </c>
      <c r="T36" s="32" t="n">
        <v>1</v>
      </c>
      <c r="U36" s="10">
        <f>IF(T36=1,I36-('Parametros'!$B$7+'Parametros'!$B$9+'Parametros'!$B$12/2),I36-(ROUNDUP(S36/2,0)*('Parametros'!$B$7+'Parametros'!$B$9+'Parametros'!$B$12/2)+ROUNDDOWN(S36/2,0)*('Parametros'!$B$7+'Parametros'!$B$9+'Parametros'!$B$12/2+'Parametros'!$B$12+'Parametros'!$B$10))/S36)</f>
        <v>489.35</v>
      </c>
      <c r="V36" s="10">
        <f>S36*'Parametros'!$B$8</f>
        <v>796</v>
      </c>
      <c r="W36" s="10">
        <f>'Parametros'!$B$5*V36*'Parametros'!$B$3*(U36-(V36*'Parametros'!$B$3/(0.85*'Parametros'!$B$2*H36))/2)/1000000</f>
        <v>142.543330094118</v>
      </c>
      <c r="X36" s="10" t="str">
        <f>IF(W36&gt;=J36,"CUMPLE","NO CUMPLE")</f>
        <v>CUMPLE</v>
      </c>
      <c r="Y36" s="10">
        <f>MAX(MAX(1.4/'Parametros'!$B$3,0.25*SQRT('Parametros'!$B$2)/'Parametros'!$B$3)*H36*AB36,(0.85*'Parametros'!$B$2/'Parametros'!$B$3)*(1-SQRT(1-2*(L36*1000000/('Parametros'!$B$5*H36*AB36^2))/(0.85*'Parametros'!$B$2)))*H36*AB36)</f>
        <v>734.025</v>
      </c>
      <c r="Z36" s="31" t="n">
        <v>4</v>
      </c>
      <c r="AA36" s="32" t="n">
        <v>1</v>
      </c>
      <c r="AB36" s="10">
        <f>IF(AA36=1,I36-('Parametros'!$B$7+'Parametros'!$B$9+'Parametros'!$B$12/2),I36-(ROUNDUP(Z36/2,0)*('Parametros'!$B$7+'Parametros'!$B$9+'Parametros'!$B$12/2)+ROUNDDOWN(Z36/2,0)*('Parametros'!$B$7+'Parametros'!$B$9+'Parametros'!$B$12/2+'Parametros'!$B$12+'Parametros'!$B$10))/Z36)</f>
        <v>489.35</v>
      </c>
      <c r="AC36" s="10">
        <f>Z36*'Parametros'!$B$8</f>
        <v>796</v>
      </c>
      <c r="AD36" s="10">
        <f>'Parametros'!$B$5*AC36*'Parametros'!$B$3*(AB36-(AC36*'Parametros'!$B$3/(0.85*'Parametros'!$B$2*H36))/2)/1000000</f>
        <v>142.543330094118</v>
      </c>
      <c r="AE36" s="10" t="str">
        <f>IF(AD36&gt;=L36,"CUMPLE","NO CUMPLE")</f>
        <v>CUMPLE</v>
      </c>
      <c r="AF36" s="10">
        <f>V36*1.25*'Parametros'!$B$3*(U36-(V36*1.25*'Parametros'!$B$3/(0.85*'Parametros'!$B$2*H36))/2)/1000000</f>
        <v>196.346217941176</v>
      </c>
      <c r="AG36" s="10">
        <f>AC36*1.25*'Parametros'!$B$3*(AB36-(AC36*1.25*'Parametros'!$B$3/(0.85*'Parametros'!$B$2*H36))/2)/1000000</f>
        <v>196.346217941176</v>
      </c>
      <c r="AH36" s="10">
        <f>N36+(AF36+AG36)/D36</f>
        <v>187.762775259516</v>
      </c>
      <c r="AI36" s="10">
        <f>MAX(O36,AH36)</f>
        <v>275.44</v>
      </c>
      <c r="AJ36" s="10">
        <f>0.17*SQRT('Parametros'!$B$2)*H36*MIN(U36,AB36)/1000</f>
        <v>198.088855822627</v>
      </c>
      <c r="AK36" s="10">
        <f>MAX(AI36/'Parametros'!$B$6-AJ36,0)</f>
        <v>169.164477510706</v>
      </c>
      <c r="AL36" s="10">
        <f>0.66*SQRT('Parametros'!$B$2)*H36*MIN(U36,AB36)/1000</f>
        <v>769.050852017258</v>
      </c>
      <c r="AM36" s="10" t="str">
        <f>IF(AK36&lt;=AL36,"CUMPLE","NO CUMPLE")</f>
        <v>CUMPLE</v>
      </c>
      <c r="AN36" s="17" t="inlineStr">
        <is>
          <t>Nº3 cerrado</t>
        </is>
      </c>
      <c r="AO36" s="31" t="n">
        <v>2</v>
      </c>
      <c r="AP36" s="10">
        <f>ROUNDDOWN(MIN(IF(BC36+BD36=0,1000000000,AO36*BB36/(BC36+BD36)),MIN(U36,AB36)/4,8*'Parametros'!$B$12,24*BA36,300,IF(AV36=0,1000000000,2*((H36-2*('Parametros'!$B$7+'Parametros'!$B$9/2))+(I36-2*('Parametros'!$B$7+'Parametros'!$B$9/2)))/8))/10,0)*10</f>
        <v>120</v>
      </c>
      <c r="AQ36" s="10">
        <f>ROUNDDOWN(MIN(IF(BC36+BD36=0,1000000000,AO36*BB36/(BC36+BD36)),IF(AK36&gt;0.33*SQRT('Parametros'!$B$2)*H36*MIN(U36,AB36)/1000,MIN(U36,AB36)/4,MIN(U36,AB36)/2),600,IF(AV36=0,1000000000,2*((H36-2*('Parametros'!$B$7+'Parametros'!$B$9/2))+(I36-2*('Parametros'!$B$7+'Parametros'!$B$9/2)))/8))/10,0)*10</f>
        <v>170</v>
      </c>
      <c r="AR36" s="10">
        <f>'Parametros'!$B$6*(AJ36+MAX(BE36-BD36,0)*'Parametros'!$B$4*MIN(U36,AB36)/1000)</f>
        <v>330.97185436697</v>
      </c>
      <c r="AS36" s="10" t="str">
        <f>IF(AND(ISERROR(SEARCH("referencia",AN36)),AM36="CUMPLE",AR36&gt;=AI36),"CUMPLE","NO CUMPLE")</f>
        <v>CUMPLE</v>
      </c>
      <c r="AT36" s="10">
        <f>'Parametros'!$B$6*0.083*SQRT('Parametros'!$B$2)*(H36*I36)^2/(2*(H36+I36))/1000000</f>
        <v>10.0887830333379</v>
      </c>
      <c r="AU36" s="10" t="str">
        <f>IF(Q36&lt;=AT36,"DESPRECIABLE","DISEÑAR")</f>
        <v>DESPRECIABLE</v>
      </c>
      <c r="AV36" s="10">
        <f>IF(Q36&lt;=AT36,0,Q36*1000000/('Parametros'!$B$6*2*0.85*(H36-2*('Parametros'!$B$7+'Parametros'!$B$9/2))*(I36-2*('Parametros'!$B$7+'Parametros'!$B$9/2))*'Parametros'!$B$4))</f>
        <v>0</v>
      </c>
      <c r="AW36" s="10">
        <f>AV36*2*((H36-2*('Parametros'!$B$7+'Parametros'!$B$9/2))+(I36-2*('Parametros'!$B$7+'Parametros'!$B$9/2)))*'Parametros'!$B$4/'Parametros'!$B$3</f>
        <v>0</v>
      </c>
      <c r="AX36" s="31" t="n">
        <v>0</v>
      </c>
      <c r="AY36" s="10" t="str">
        <f>IF(AV36=0,"DESPRECIABLE",IF(AND(ISERROR(SEARCH("referencia",AN36)),BB36/AP36&gt;=AV36,BI36&gt;=AW36,BH36="CUMPLE"),"CUMPLE","NO CUMPLE"))</f>
        <v>DESPRECIABLE</v>
      </c>
      <c r="AZ36" s="10" t="str">
        <f>IF(AND(X36="CUMPLE",AE36="CUMPLE",AS36="CUMPLE",OR(AY36="CUMPLE",AY36="DESPRECIABLE"),BH36="CUMPLE",BJ36="CUMPLE"),"CUMPLE","NO CUMPLE")</f>
        <v>CUMPLE</v>
      </c>
      <c r="BA36" s="32" t="n">
        <v>9.5</v>
      </c>
      <c r="BB36" s="32" t="n">
        <v>71</v>
      </c>
      <c r="BC36" s="10">
        <f>MAX(IF(AK36=0,0,AK36*1000/('Parametros'!$B$4*MIN(U36,AB36))),MAX(0.062*SQRT('Parametros'!$B$2)*H36/'Parametros'!$B$4,0.35*H36/'Parametros'!$B$4))</f>
        <v>0.823076663945401</v>
      </c>
      <c r="BD36" s="10">
        <f>2*AV36</f>
        <v>0</v>
      </c>
      <c r="BE36" s="10">
        <f>AO36*BB36/AP36</f>
        <v>1.18333333333333</v>
      </c>
      <c r="BF36" s="10">
        <f>SQRT((AI36*1000/(H36*MIN(U36,AB36)))^2+(Q36*1000000*2*((H36-2*('Parametros'!$B$7+'Parametros'!$B$9/2))+(I36-2*('Parametros'!$B$7+'Parametros'!$B$9/2)))/(1.7*((H36-2*('Parametros'!$B$7+'Parametros'!$B$9/2))*(I36-2*('Parametros'!$B$7+'Parametros'!$B$9/2)))^2))^2)</f>
        <v>1.27250113440716</v>
      </c>
      <c r="BG36" s="10">
        <f>'Parametros'!$B$6*(AJ36*1000/(H36*MIN(U36,AB36))+0.66*SQRT('Parametros'!$B$2))</f>
        <v>3.29396038227542</v>
      </c>
      <c r="BH36" s="10" t="str">
        <f>IF(BF36&lt;=BG36,"CUMPLE","NO CUMPLE")</f>
        <v>CUMPLE</v>
      </c>
      <c r="BI36" s="10">
        <f>AX36*'Parametros'!$B$8</f>
        <v>0</v>
      </c>
      <c r="BJ36" s="10" t="str">
        <f>IF(BI36&gt;=AW36,"CUMPLE","NO CUMPLE")</f>
        <v>CUMPLE</v>
      </c>
    </row>
    <row r="37">
      <c r="A37" s="16" t="inlineStr">
        <is>
          <t>VC2</t>
        </is>
      </c>
      <c r="B37" s="16" t="inlineStr">
        <is>
          <t>814</t>
        </is>
      </c>
      <c r="C37" s="10" t="n">
        <v>1</v>
      </c>
      <c r="D37" s="10" t="n">
        <v>3.4</v>
      </c>
      <c r="E37" s="10" t="n">
        <v>3.4</v>
      </c>
      <c r="F37" s="10" t="n">
        <v>450</v>
      </c>
      <c r="G37" s="10" t="n">
        <v>550</v>
      </c>
      <c r="H37" s="17" t="n">
        <v>450</v>
      </c>
      <c r="I37" s="17" t="n">
        <v>550</v>
      </c>
      <c r="J37" s="30" t="n">
        <v>133.2392</v>
      </c>
      <c r="K37" s="10" t="inlineStr">
        <is>
          <t>814</t>
        </is>
      </c>
      <c r="L37" s="30" t="n">
        <v>99.94459999999999</v>
      </c>
      <c r="M37" s="10" t="inlineStr">
        <is>
          <t>814</t>
        </is>
      </c>
      <c r="N37" s="30" t="n">
        <v>72.282</v>
      </c>
      <c r="O37" s="30" t="n">
        <v>275.458</v>
      </c>
      <c r="P37" s="10" t="inlineStr">
        <is>
          <t>814</t>
        </is>
      </c>
      <c r="Q37" s="30" t="n">
        <v>6.5166</v>
      </c>
      <c r="R37" s="10">
        <f>MAX(MAX(1.4/'Parametros'!$B$3,0.25*SQRT('Parametros'!$B$2)/'Parametros'!$B$3)*H37*U37,(0.85*'Parametros'!$B$2/'Parametros'!$B$3)*(1-SQRT(1-2*(J37*1000000/('Parametros'!$B$5*H37*U37^2))/(0.85*'Parametros'!$B$2)))*H37*U37)</f>
        <v>742.396156293645</v>
      </c>
      <c r="S37" s="31" t="n">
        <v>4</v>
      </c>
      <c r="T37" s="32" t="n">
        <v>1</v>
      </c>
      <c r="U37" s="10">
        <f>IF(T37=1,I37-('Parametros'!$B$7+'Parametros'!$B$9+'Parametros'!$B$12/2),I37-(ROUNDUP(S37/2,0)*('Parametros'!$B$7+'Parametros'!$B$9+'Parametros'!$B$12/2)+ROUNDDOWN(S37/2,0)*('Parametros'!$B$7+'Parametros'!$B$9+'Parametros'!$B$12/2+'Parametros'!$B$12+'Parametros'!$B$10))/S37)</f>
        <v>489.35</v>
      </c>
      <c r="V37" s="10">
        <f>S37*'Parametros'!$B$8</f>
        <v>796</v>
      </c>
      <c r="W37" s="10">
        <f>'Parametros'!$B$5*V37*'Parametros'!$B$3*(U37-(V37*'Parametros'!$B$3/(0.85*'Parametros'!$B$2*H37))/2)/1000000</f>
        <v>142.543330094118</v>
      </c>
      <c r="X37" s="10" t="str">
        <f>IF(W37&gt;=J37,"CUMPLE","NO CUMPLE")</f>
        <v>CUMPLE</v>
      </c>
      <c r="Y37" s="10">
        <f>MAX(MAX(1.4/'Parametros'!$B$3,0.25*SQRT('Parametros'!$B$2)/'Parametros'!$B$3)*H37*AB37,(0.85*'Parametros'!$B$2/'Parametros'!$B$3)*(1-SQRT(1-2*(L37*1000000/('Parametros'!$B$5*H37*AB37^2))/(0.85*'Parametros'!$B$2)))*H37*AB37)</f>
        <v>734.025</v>
      </c>
      <c r="Z37" s="31" t="n">
        <v>4</v>
      </c>
      <c r="AA37" s="32" t="n">
        <v>1</v>
      </c>
      <c r="AB37" s="10">
        <f>IF(AA37=1,I37-('Parametros'!$B$7+'Parametros'!$B$9+'Parametros'!$B$12/2),I37-(ROUNDUP(Z37/2,0)*('Parametros'!$B$7+'Parametros'!$B$9+'Parametros'!$B$12/2)+ROUNDDOWN(Z37/2,0)*('Parametros'!$B$7+'Parametros'!$B$9+'Parametros'!$B$12/2+'Parametros'!$B$12+'Parametros'!$B$10))/Z37)</f>
        <v>489.35</v>
      </c>
      <c r="AC37" s="10">
        <f>Z37*'Parametros'!$B$8</f>
        <v>796</v>
      </c>
      <c r="AD37" s="10">
        <f>'Parametros'!$B$5*AC37*'Parametros'!$B$3*(AB37-(AC37*'Parametros'!$B$3/(0.85*'Parametros'!$B$2*H37))/2)/1000000</f>
        <v>142.543330094118</v>
      </c>
      <c r="AE37" s="10" t="str">
        <f>IF(AD37&gt;=L37,"CUMPLE","NO CUMPLE")</f>
        <v>CUMPLE</v>
      </c>
      <c r="AF37" s="10">
        <f>V37*1.25*'Parametros'!$B$3*(U37-(V37*1.25*'Parametros'!$B$3/(0.85*'Parametros'!$B$2*H37))/2)/1000000</f>
        <v>196.346217941176</v>
      </c>
      <c r="AG37" s="10">
        <f>AC37*1.25*'Parametros'!$B$3*(AB37-(AC37*1.25*'Parametros'!$B$3/(0.85*'Parametros'!$B$2*H37))/2)/1000000</f>
        <v>196.346217941176</v>
      </c>
      <c r="AH37" s="10">
        <f>N37+(AF37+AG37)/D37</f>
        <v>187.779775259516</v>
      </c>
      <c r="AI37" s="10">
        <f>MAX(O37,AH37)</f>
        <v>275.458</v>
      </c>
      <c r="AJ37" s="10">
        <f>0.17*SQRT('Parametros'!$B$2)*H37*MIN(U37,AB37)/1000</f>
        <v>198.088855822627</v>
      </c>
      <c r="AK37" s="10">
        <f>MAX(AI37/'Parametros'!$B$6-AJ37,0)</f>
        <v>169.188477510706</v>
      </c>
      <c r="AL37" s="10">
        <f>0.66*SQRT('Parametros'!$B$2)*H37*MIN(U37,AB37)/1000</f>
        <v>769.050852017258</v>
      </c>
      <c r="AM37" s="10" t="str">
        <f>IF(AK37&lt;=AL37,"CUMPLE","NO CUMPLE")</f>
        <v>CUMPLE</v>
      </c>
      <c r="AN37" s="17" t="inlineStr">
        <is>
          <t>Nº3 cerrado</t>
        </is>
      </c>
      <c r="AO37" s="31" t="n">
        <v>2</v>
      </c>
      <c r="AP37" s="10">
        <f>ROUNDDOWN(MIN(IF(BC37+BD37=0,1000000000,AO37*BB37/(BC37+BD37)),MIN(U37,AB37)/4,8*'Parametros'!$B$12,24*BA37,300,IF(AV37=0,1000000000,2*((H37-2*('Parametros'!$B$7+'Parametros'!$B$9/2))+(I37-2*('Parametros'!$B$7+'Parametros'!$B$9/2)))/8))/10,0)*10</f>
        <v>120</v>
      </c>
      <c r="AQ37" s="10">
        <f>ROUNDDOWN(MIN(IF(BC37+BD37=0,1000000000,AO37*BB37/(BC37+BD37)),IF(AK37&gt;0.33*SQRT('Parametros'!$B$2)*H37*MIN(U37,AB37)/1000,MIN(U37,AB37)/4,MIN(U37,AB37)/2),600,IF(AV37=0,1000000000,2*((H37-2*('Parametros'!$B$7+'Parametros'!$B$9/2))+(I37-2*('Parametros'!$B$7+'Parametros'!$B$9/2)))/8))/10,0)*10</f>
        <v>170</v>
      </c>
      <c r="AR37" s="10">
        <f>'Parametros'!$B$6*(AJ37+MAX(BE37-BD37,0)*'Parametros'!$B$4*MIN(U37,AB37)/1000)</f>
        <v>330.97185436697</v>
      </c>
      <c r="AS37" s="10" t="str">
        <f>IF(AND(ISERROR(SEARCH("referencia",AN37)),AM37="CUMPLE",AR37&gt;=AI37),"CUMPLE","NO CUMPLE")</f>
        <v>CUMPLE</v>
      </c>
      <c r="AT37" s="10">
        <f>'Parametros'!$B$6*0.083*SQRT('Parametros'!$B$2)*(H37*I37)^2/(2*(H37+I37))/1000000</f>
        <v>10.0887830333379</v>
      </c>
      <c r="AU37" s="10" t="str">
        <f>IF(Q37&lt;=AT37,"DESPRECIABLE","DISEÑAR")</f>
        <v>DESPRECIABLE</v>
      </c>
      <c r="AV37" s="10">
        <f>IF(Q37&lt;=AT37,0,Q37*1000000/('Parametros'!$B$6*2*0.85*(H37-2*('Parametros'!$B$7+'Parametros'!$B$9/2))*(I37-2*('Parametros'!$B$7+'Parametros'!$B$9/2))*'Parametros'!$B$4))</f>
        <v>0</v>
      </c>
      <c r="AW37" s="10">
        <f>AV37*2*((H37-2*('Parametros'!$B$7+'Parametros'!$B$9/2))+(I37-2*('Parametros'!$B$7+'Parametros'!$B$9/2)))*'Parametros'!$B$4/'Parametros'!$B$3</f>
        <v>0</v>
      </c>
      <c r="AX37" s="31" t="n">
        <v>0</v>
      </c>
      <c r="AY37" s="10" t="str">
        <f>IF(AV37=0,"DESPRECIABLE",IF(AND(ISERROR(SEARCH("referencia",AN37)),BB37/AP37&gt;=AV37,BI37&gt;=AW37,BH37="CUMPLE"),"CUMPLE","NO CUMPLE"))</f>
        <v>DESPRECIABLE</v>
      </c>
      <c r="AZ37" s="10" t="str">
        <f>IF(AND(X37="CUMPLE",AE37="CUMPLE",AS37="CUMPLE",OR(AY37="CUMPLE",AY37="DESPRECIABLE"),BH37="CUMPLE",BJ37="CUMPLE"),"CUMPLE","NO CUMPLE")</f>
        <v>CUMPLE</v>
      </c>
      <c r="BA37" s="32" t="n">
        <v>9.5</v>
      </c>
      <c r="BB37" s="32" t="n">
        <v>71</v>
      </c>
      <c r="BC37" s="10">
        <f>MAX(IF(AK37=0,0,AK37*1000/('Parametros'!$B$4*MIN(U37,AB37))),MAX(0.062*SQRT('Parametros'!$B$2)*H37/'Parametros'!$B$4,0.35*H37/'Parametros'!$B$4))</f>
        <v>0.823193436924134</v>
      </c>
      <c r="BD37" s="10">
        <f>2*AV37</f>
        <v>0</v>
      </c>
      <c r="BE37" s="10">
        <f>AO37*BB37/AP37</f>
        <v>1.18333333333333</v>
      </c>
      <c r="BF37" s="10">
        <f>SQRT((AI37*1000/(H37*MIN(U37,AB37)))^2+(Q37*1000000*2*((H37-2*('Parametros'!$B$7+'Parametros'!$B$9/2))+(I37-2*('Parametros'!$B$7+'Parametros'!$B$9/2)))/(1.7*((H37-2*('Parametros'!$B$7+'Parametros'!$B$9/2))*(I37-2*('Parametros'!$B$7+'Parametros'!$B$9/2)))^2))^2)</f>
        <v>1.27258676139336</v>
      </c>
      <c r="BG37" s="10">
        <f>'Parametros'!$B$6*(AJ37*1000/(H37*MIN(U37,AB37))+0.66*SQRT('Parametros'!$B$2))</f>
        <v>3.29396038227542</v>
      </c>
      <c r="BH37" s="10" t="str">
        <f>IF(BF37&lt;=BG37,"CUMPLE","NO CUMPLE")</f>
        <v>CUMPLE</v>
      </c>
      <c r="BI37" s="10">
        <f>AX37*'Parametros'!$B$8</f>
        <v>0</v>
      </c>
      <c r="BJ37" s="10" t="str">
        <f>IF(BI37&gt;=AW37,"CUMPLE","NO CUMPLE")</f>
        <v>CUMPLE</v>
      </c>
    </row>
    <row r="38">
      <c r="A38" s="16" t="inlineStr">
        <is>
          <t>VC2</t>
        </is>
      </c>
      <c r="B38" s="16" t="inlineStr">
        <is>
          <t>851</t>
        </is>
      </c>
      <c r="C38" s="10" t="n">
        <v>1</v>
      </c>
      <c r="D38" s="10" t="n">
        <v>3.4</v>
      </c>
      <c r="E38" s="10" t="n">
        <v>3.4</v>
      </c>
      <c r="F38" s="10" t="n">
        <v>450</v>
      </c>
      <c r="G38" s="10" t="n">
        <v>550</v>
      </c>
      <c r="H38" s="17" t="n">
        <v>450</v>
      </c>
      <c r="I38" s="17" t="n">
        <v>550</v>
      </c>
      <c r="J38" s="30" t="n">
        <v>133.2478</v>
      </c>
      <c r="K38" s="10" t="inlineStr">
        <is>
          <t>851</t>
        </is>
      </c>
      <c r="L38" s="30" t="n">
        <v>99.95229999999999</v>
      </c>
      <c r="M38" s="10" t="inlineStr">
        <is>
          <t>851</t>
        </is>
      </c>
      <c r="N38" s="30" t="n">
        <v>72.286</v>
      </c>
      <c r="O38" s="30" t="n">
        <v>275.483</v>
      </c>
      <c r="P38" s="10" t="inlineStr">
        <is>
          <t>851</t>
        </is>
      </c>
      <c r="Q38" s="30" t="n">
        <v>6.518</v>
      </c>
      <c r="R38" s="10">
        <f>MAX(MAX(1.4/'Parametros'!$B$3,0.25*SQRT('Parametros'!$B$2)/'Parametros'!$B$3)*H38*U38,(0.85*'Parametros'!$B$2/'Parametros'!$B$3)*(1-SQRT(1-2*(J38*1000000/('Parametros'!$B$5*H38*U38^2))/(0.85*'Parametros'!$B$2)))*H38*U38)</f>
        <v>742.445590387557</v>
      </c>
      <c r="S38" s="31" t="n">
        <v>4</v>
      </c>
      <c r="T38" s="32" t="n">
        <v>1</v>
      </c>
      <c r="U38" s="10">
        <f>IF(T38=1,I38-('Parametros'!$B$7+'Parametros'!$B$9+'Parametros'!$B$12/2),I38-(ROUNDUP(S38/2,0)*('Parametros'!$B$7+'Parametros'!$B$9+'Parametros'!$B$12/2)+ROUNDDOWN(S38/2,0)*('Parametros'!$B$7+'Parametros'!$B$9+'Parametros'!$B$12/2+'Parametros'!$B$12+'Parametros'!$B$10))/S38)</f>
        <v>489.35</v>
      </c>
      <c r="V38" s="10">
        <f>S38*'Parametros'!$B$8</f>
        <v>796</v>
      </c>
      <c r="W38" s="10">
        <f>'Parametros'!$B$5*V38*'Parametros'!$B$3*(U38-(V38*'Parametros'!$B$3/(0.85*'Parametros'!$B$2*H38))/2)/1000000</f>
        <v>142.543330094118</v>
      </c>
      <c r="X38" s="10" t="str">
        <f>IF(W38&gt;=J38,"CUMPLE","NO CUMPLE")</f>
        <v>CUMPLE</v>
      </c>
      <c r="Y38" s="10">
        <f>MAX(MAX(1.4/'Parametros'!$B$3,0.25*SQRT('Parametros'!$B$2)/'Parametros'!$B$3)*H38*AB38,(0.85*'Parametros'!$B$2/'Parametros'!$B$3)*(1-SQRT(1-2*(L38*1000000/('Parametros'!$B$5*H38*AB38^2))/(0.85*'Parametros'!$B$2)))*H38*AB38)</f>
        <v>734.025</v>
      </c>
      <c r="Z38" s="31" t="n">
        <v>4</v>
      </c>
      <c r="AA38" s="32" t="n">
        <v>1</v>
      </c>
      <c r="AB38" s="10">
        <f>IF(AA38=1,I38-('Parametros'!$B$7+'Parametros'!$B$9+'Parametros'!$B$12/2),I38-(ROUNDUP(Z38/2,0)*('Parametros'!$B$7+'Parametros'!$B$9+'Parametros'!$B$12/2)+ROUNDDOWN(Z38/2,0)*('Parametros'!$B$7+'Parametros'!$B$9+'Parametros'!$B$12/2+'Parametros'!$B$12+'Parametros'!$B$10))/Z38)</f>
        <v>489.35</v>
      </c>
      <c r="AC38" s="10">
        <f>Z38*'Parametros'!$B$8</f>
        <v>796</v>
      </c>
      <c r="AD38" s="10">
        <f>'Parametros'!$B$5*AC38*'Parametros'!$B$3*(AB38-(AC38*'Parametros'!$B$3/(0.85*'Parametros'!$B$2*H38))/2)/1000000</f>
        <v>142.543330094118</v>
      </c>
      <c r="AE38" s="10" t="str">
        <f>IF(AD38&gt;=L38,"CUMPLE","NO CUMPLE")</f>
        <v>CUMPLE</v>
      </c>
      <c r="AF38" s="10">
        <f>V38*1.25*'Parametros'!$B$3*(U38-(V38*1.25*'Parametros'!$B$3/(0.85*'Parametros'!$B$2*H38))/2)/1000000</f>
        <v>196.346217941176</v>
      </c>
      <c r="AG38" s="10">
        <f>AC38*1.25*'Parametros'!$B$3*(AB38-(AC38*1.25*'Parametros'!$B$3/(0.85*'Parametros'!$B$2*H38))/2)/1000000</f>
        <v>196.346217941176</v>
      </c>
      <c r="AH38" s="10">
        <f>N38+(AF38+AG38)/D38</f>
        <v>187.783775259516</v>
      </c>
      <c r="AI38" s="10">
        <f>MAX(O38,AH38)</f>
        <v>275.483</v>
      </c>
      <c r="AJ38" s="10">
        <f>0.17*SQRT('Parametros'!$B$2)*H38*MIN(U38,AB38)/1000</f>
        <v>198.088855822627</v>
      </c>
      <c r="AK38" s="10">
        <f>MAX(AI38/'Parametros'!$B$6-AJ38,0)</f>
        <v>169.22181084404</v>
      </c>
      <c r="AL38" s="10">
        <f>0.66*SQRT('Parametros'!$B$2)*H38*MIN(U38,AB38)/1000</f>
        <v>769.050852017258</v>
      </c>
      <c r="AM38" s="10" t="str">
        <f>IF(AK38&lt;=AL38,"CUMPLE","NO CUMPLE")</f>
        <v>CUMPLE</v>
      </c>
      <c r="AN38" s="17" t="inlineStr">
        <is>
          <t>Nº3 cerrado</t>
        </is>
      </c>
      <c r="AO38" s="31" t="n">
        <v>2</v>
      </c>
      <c r="AP38" s="10">
        <f>ROUNDDOWN(MIN(IF(BC38+BD38=0,1000000000,AO38*BB38/(BC38+BD38)),MIN(U38,AB38)/4,8*'Parametros'!$B$12,24*BA38,300,IF(AV38=0,1000000000,2*((H38-2*('Parametros'!$B$7+'Parametros'!$B$9/2))+(I38-2*('Parametros'!$B$7+'Parametros'!$B$9/2)))/8))/10,0)*10</f>
        <v>120</v>
      </c>
      <c r="AQ38" s="10">
        <f>ROUNDDOWN(MIN(IF(BC38+BD38=0,1000000000,AO38*BB38/(BC38+BD38)),IF(AK38&gt;0.33*SQRT('Parametros'!$B$2)*H38*MIN(U38,AB38)/1000,MIN(U38,AB38)/4,MIN(U38,AB38)/2),600,IF(AV38=0,1000000000,2*((H38-2*('Parametros'!$B$7+'Parametros'!$B$9/2))+(I38-2*('Parametros'!$B$7+'Parametros'!$B$9/2)))/8))/10,0)*10</f>
        <v>170</v>
      </c>
      <c r="AR38" s="10">
        <f>'Parametros'!$B$6*(AJ38+MAX(BE38-BD38,0)*'Parametros'!$B$4*MIN(U38,AB38)/1000)</f>
        <v>330.97185436697</v>
      </c>
      <c r="AS38" s="10" t="str">
        <f>IF(AND(ISERROR(SEARCH("referencia",AN38)),AM38="CUMPLE",AR38&gt;=AI38),"CUMPLE","NO CUMPLE")</f>
        <v>CUMPLE</v>
      </c>
      <c r="AT38" s="10">
        <f>'Parametros'!$B$6*0.083*SQRT('Parametros'!$B$2)*(H38*I38)^2/(2*(H38+I38))/1000000</f>
        <v>10.0887830333379</v>
      </c>
      <c r="AU38" s="10" t="str">
        <f>IF(Q38&lt;=AT38,"DESPRECIABLE","DISEÑAR")</f>
        <v>DESPRECIABLE</v>
      </c>
      <c r="AV38" s="10">
        <f>IF(Q38&lt;=AT38,0,Q38*1000000/('Parametros'!$B$6*2*0.85*(H38-2*('Parametros'!$B$7+'Parametros'!$B$9/2))*(I38-2*('Parametros'!$B$7+'Parametros'!$B$9/2))*'Parametros'!$B$4))</f>
        <v>0</v>
      </c>
      <c r="AW38" s="10">
        <f>AV38*2*((H38-2*('Parametros'!$B$7+'Parametros'!$B$9/2))+(I38-2*('Parametros'!$B$7+'Parametros'!$B$9/2)))*'Parametros'!$B$4/'Parametros'!$B$3</f>
        <v>0</v>
      </c>
      <c r="AX38" s="31" t="n">
        <v>0</v>
      </c>
      <c r="AY38" s="10" t="str">
        <f>IF(AV38=0,"DESPRECIABLE",IF(AND(ISERROR(SEARCH("referencia",AN38)),BB38/AP38&gt;=AV38,BI38&gt;=AW38,BH38="CUMPLE"),"CUMPLE","NO CUMPLE"))</f>
        <v>DESPRECIABLE</v>
      </c>
      <c r="AZ38" s="10" t="str">
        <f>IF(AND(X38="CUMPLE",AE38="CUMPLE",AS38="CUMPLE",OR(AY38="CUMPLE",AY38="DESPRECIABLE"),BH38="CUMPLE",BJ38="CUMPLE"),"CUMPLE","NO CUMPLE")</f>
        <v>CUMPLE</v>
      </c>
      <c r="BA38" s="32" t="n">
        <v>9.5</v>
      </c>
      <c r="BB38" s="32" t="n">
        <v>71</v>
      </c>
      <c r="BC38" s="10">
        <f>MAX(IF(AK38=0,0,AK38*1000/('Parametros'!$B$4*MIN(U38,AB38))),MAX(0.062*SQRT('Parametros'!$B$2)*H38/'Parametros'!$B$4,0.35*H38/'Parametros'!$B$4))</f>
        <v>0.823355621616818</v>
      </c>
      <c r="BD38" s="10">
        <f>2*AV38</f>
        <v>0</v>
      </c>
      <c r="BE38" s="10">
        <f>AO38*BB38/AP38</f>
        <v>1.18333333333333</v>
      </c>
      <c r="BF38" s="10">
        <f>SQRT((AI38*1000/(H38*MIN(U38,AB38)))^2+(Q38*1000000*2*((H38-2*('Parametros'!$B$7+'Parametros'!$B$9/2))+(I38-2*('Parametros'!$B$7+'Parametros'!$B$9/2)))/(1.7*((H38-2*('Parametros'!$B$7+'Parametros'!$B$9/2))*(I38-2*('Parametros'!$B$7+'Parametros'!$B$9/2)))^2))^2)</f>
        <v>1.27270759442242</v>
      </c>
      <c r="BG38" s="10">
        <f>'Parametros'!$B$6*(AJ38*1000/(H38*MIN(U38,AB38))+0.66*SQRT('Parametros'!$B$2))</f>
        <v>3.29396038227542</v>
      </c>
      <c r="BH38" s="10" t="str">
        <f>IF(BF38&lt;=BG38,"CUMPLE","NO CUMPLE")</f>
        <v>CUMPLE</v>
      </c>
      <c r="BI38" s="10">
        <f>AX38*'Parametros'!$B$8</f>
        <v>0</v>
      </c>
      <c r="BJ38" s="10" t="str">
        <f>IF(BI38&gt;=AW38,"CUMPLE","NO CUMPLE")</f>
        <v>CUMPLE</v>
      </c>
    </row>
    <row r="39">
      <c r="A39" s="16" t="inlineStr">
        <is>
          <t>VC2</t>
        </is>
      </c>
      <c r="B39" s="16" t="inlineStr">
        <is>
          <t>852</t>
        </is>
      </c>
      <c r="C39" s="10" t="n">
        <v>1</v>
      </c>
      <c r="D39" s="10" t="n">
        <v>3.4</v>
      </c>
      <c r="E39" s="10" t="n">
        <v>3.4</v>
      </c>
      <c r="F39" s="10" t="n">
        <v>450</v>
      </c>
      <c r="G39" s="10" t="n">
        <v>550</v>
      </c>
      <c r="H39" s="17" t="n">
        <v>450</v>
      </c>
      <c r="I39" s="17" t="n">
        <v>550</v>
      </c>
      <c r="J39" s="30" t="n">
        <v>133.2159</v>
      </c>
      <c r="K39" s="10" t="inlineStr">
        <is>
          <t>852</t>
        </is>
      </c>
      <c r="L39" s="30" t="n">
        <v>99.9241</v>
      </c>
      <c r="M39" s="10" t="inlineStr">
        <is>
          <t>852</t>
        </is>
      </c>
      <c r="N39" s="30" t="n">
        <v>72.271</v>
      </c>
      <c r="O39" s="30" t="n">
        <v>275.468</v>
      </c>
      <c r="P39" s="10" t="inlineStr">
        <is>
          <t>852</t>
        </is>
      </c>
      <c r="Q39" s="30" t="n">
        <v>6.5171</v>
      </c>
      <c r="R39" s="10">
        <f>MAX(MAX(1.4/'Parametros'!$B$3,0.25*SQRT('Parametros'!$B$2)/'Parametros'!$B$3)*H39*U39,(0.85*'Parametros'!$B$2/'Parametros'!$B$3)*(1-SQRT(1-2*(J39*1000000/('Parametros'!$B$5*H39*U39^2))/(0.85*'Parametros'!$B$2)))*H39*U39)</f>
        <v>742.26222543432</v>
      </c>
      <c r="S39" s="31" t="n">
        <v>4</v>
      </c>
      <c r="T39" s="32" t="n">
        <v>1</v>
      </c>
      <c r="U39" s="10">
        <f>IF(T39=1,I39-('Parametros'!$B$7+'Parametros'!$B$9+'Parametros'!$B$12/2),I39-(ROUNDUP(S39/2,0)*('Parametros'!$B$7+'Parametros'!$B$9+'Parametros'!$B$12/2)+ROUNDDOWN(S39/2,0)*('Parametros'!$B$7+'Parametros'!$B$9+'Parametros'!$B$12/2+'Parametros'!$B$12+'Parametros'!$B$10))/S39)</f>
        <v>489.35</v>
      </c>
      <c r="V39" s="10">
        <f>S39*'Parametros'!$B$8</f>
        <v>796</v>
      </c>
      <c r="W39" s="10">
        <f>'Parametros'!$B$5*V39*'Parametros'!$B$3*(U39-(V39*'Parametros'!$B$3/(0.85*'Parametros'!$B$2*H39))/2)/1000000</f>
        <v>142.543330094118</v>
      </c>
      <c r="X39" s="10" t="str">
        <f>IF(W39&gt;=J39,"CUMPLE","NO CUMPLE")</f>
        <v>CUMPLE</v>
      </c>
      <c r="Y39" s="10">
        <f>MAX(MAX(1.4/'Parametros'!$B$3,0.25*SQRT('Parametros'!$B$2)/'Parametros'!$B$3)*H39*AB39,(0.85*'Parametros'!$B$2/'Parametros'!$B$3)*(1-SQRT(1-2*(L39*1000000/('Parametros'!$B$5*H39*AB39^2))/(0.85*'Parametros'!$B$2)))*H39*AB39)</f>
        <v>734.025</v>
      </c>
      <c r="Z39" s="31" t="n">
        <v>4</v>
      </c>
      <c r="AA39" s="32" t="n">
        <v>1</v>
      </c>
      <c r="AB39" s="10">
        <f>IF(AA39=1,I39-('Parametros'!$B$7+'Parametros'!$B$9+'Parametros'!$B$12/2),I39-(ROUNDUP(Z39/2,0)*('Parametros'!$B$7+'Parametros'!$B$9+'Parametros'!$B$12/2)+ROUNDDOWN(Z39/2,0)*('Parametros'!$B$7+'Parametros'!$B$9+'Parametros'!$B$12/2+'Parametros'!$B$12+'Parametros'!$B$10))/Z39)</f>
        <v>489.35</v>
      </c>
      <c r="AC39" s="10">
        <f>Z39*'Parametros'!$B$8</f>
        <v>796</v>
      </c>
      <c r="AD39" s="10">
        <f>'Parametros'!$B$5*AC39*'Parametros'!$B$3*(AB39-(AC39*'Parametros'!$B$3/(0.85*'Parametros'!$B$2*H39))/2)/1000000</f>
        <v>142.543330094118</v>
      </c>
      <c r="AE39" s="10" t="str">
        <f>IF(AD39&gt;=L39,"CUMPLE","NO CUMPLE")</f>
        <v>CUMPLE</v>
      </c>
      <c r="AF39" s="10">
        <f>V39*1.25*'Parametros'!$B$3*(U39-(V39*1.25*'Parametros'!$B$3/(0.85*'Parametros'!$B$2*H39))/2)/1000000</f>
        <v>196.346217941176</v>
      </c>
      <c r="AG39" s="10">
        <f>AC39*1.25*'Parametros'!$B$3*(AB39-(AC39*1.25*'Parametros'!$B$3/(0.85*'Parametros'!$B$2*H39))/2)/1000000</f>
        <v>196.346217941176</v>
      </c>
      <c r="AH39" s="10">
        <f>N39+(AF39+AG39)/D39</f>
        <v>187.768775259516</v>
      </c>
      <c r="AI39" s="10">
        <f>MAX(O39,AH39)</f>
        <v>275.468</v>
      </c>
      <c r="AJ39" s="10">
        <f>0.17*SQRT('Parametros'!$B$2)*H39*MIN(U39,AB39)/1000</f>
        <v>198.088855822627</v>
      </c>
      <c r="AK39" s="10">
        <f>MAX(AI39/'Parametros'!$B$6-AJ39,0)</f>
        <v>169.20181084404</v>
      </c>
      <c r="AL39" s="10">
        <f>0.66*SQRT('Parametros'!$B$2)*H39*MIN(U39,AB39)/1000</f>
        <v>769.050852017258</v>
      </c>
      <c r="AM39" s="10" t="str">
        <f>IF(AK39&lt;=AL39,"CUMPLE","NO CUMPLE")</f>
        <v>CUMPLE</v>
      </c>
      <c r="AN39" s="17" t="inlineStr">
        <is>
          <t>Nº3 cerrado</t>
        </is>
      </c>
      <c r="AO39" s="31" t="n">
        <v>2</v>
      </c>
      <c r="AP39" s="10">
        <f>ROUNDDOWN(MIN(IF(BC39+BD39=0,1000000000,AO39*BB39/(BC39+BD39)),MIN(U39,AB39)/4,8*'Parametros'!$B$12,24*BA39,300,IF(AV39=0,1000000000,2*((H39-2*('Parametros'!$B$7+'Parametros'!$B$9/2))+(I39-2*('Parametros'!$B$7+'Parametros'!$B$9/2)))/8))/10,0)*10</f>
        <v>120</v>
      </c>
      <c r="AQ39" s="10">
        <f>ROUNDDOWN(MIN(IF(BC39+BD39=0,1000000000,AO39*BB39/(BC39+BD39)),IF(AK39&gt;0.33*SQRT('Parametros'!$B$2)*H39*MIN(U39,AB39)/1000,MIN(U39,AB39)/4,MIN(U39,AB39)/2),600,IF(AV39=0,1000000000,2*((H39-2*('Parametros'!$B$7+'Parametros'!$B$9/2))+(I39-2*('Parametros'!$B$7+'Parametros'!$B$9/2)))/8))/10,0)*10</f>
        <v>170</v>
      </c>
      <c r="AR39" s="10">
        <f>'Parametros'!$B$6*(AJ39+MAX(BE39-BD39,0)*'Parametros'!$B$4*MIN(U39,AB39)/1000)</f>
        <v>330.97185436697</v>
      </c>
      <c r="AS39" s="10" t="str">
        <f>IF(AND(ISERROR(SEARCH("referencia",AN39)),AM39="CUMPLE",AR39&gt;=AI39),"CUMPLE","NO CUMPLE")</f>
        <v>CUMPLE</v>
      </c>
      <c r="AT39" s="10">
        <f>'Parametros'!$B$6*0.083*SQRT('Parametros'!$B$2)*(H39*I39)^2/(2*(H39+I39))/1000000</f>
        <v>10.0887830333379</v>
      </c>
      <c r="AU39" s="10" t="str">
        <f>IF(Q39&lt;=AT39,"DESPRECIABLE","DISEÑAR")</f>
        <v>DESPRECIABLE</v>
      </c>
      <c r="AV39" s="10">
        <f>IF(Q39&lt;=AT39,0,Q39*1000000/('Parametros'!$B$6*2*0.85*(H39-2*('Parametros'!$B$7+'Parametros'!$B$9/2))*(I39-2*('Parametros'!$B$7+'Parametros'!$B$9/2))*'Parametros'!$B$4))</f>
        <v>0</v>
      </c>
      <c r="AW39" s="10">
        <f>AV39*2*((H39-2*('Parametros'!$B$7+'Parametros'!$B$9/2))+(I39-2*('Parametros'!$B$7+'Parametros'!$B$9/2)))*'Parametros'!$B$4/'Parametros'!$B$3</f>
        <v>0</v>
      </c>
      <c r="AX39" s="31" t="n">
        <v>0</v>
      </c>
      <c r="AY39" s="10" t="str">
        <f>IF(AV39=0,"DESPRECIABLE",IF(AND(ISERROR(SEARCH("referencia",AN39)),BB39/AP39&gt;=AV39,BI39&gt;=AW39,BH39="CUMPLE"),"CUMPLE","NO CUMPLE"))</f>
        <v>DESPRECIABLE</v>
      </c>
      <c r="AZ39" s="10" t="str">
        <f>IF(AND(X39="CUMPLE",AE39="CUMPLE",AS39="CUMPLE",OR(AY39="CUMPLE",AY39="DESPRECIABLE"),BH39="CUMPLE",BJ39="CUMPLE"),"CUMPLE","NO CUMPLE")</f>
        <v>CUMPLE</v>
      </c>
      <c r="BA39" s="32" t="n">
        <v>9.5</v>
      </c>
      <c r="BB39" s="32" t="n">
        <v>71</v>
      </c>
      <c r="BC39" s="10">
        <f>MAX(IF(AK39=0,0,AK39*1000/('Parametros'!$B$4*MIN(U39,AB39))),MAX(0.062*SQRT('Parametros'!$B$2)*H39/'Parametros'!$B$4,0.35*H39/'Parametros'!$B$4))</f>
        <v>0.823258310801207</v>
      </c>
      <c r="BD39" s="10">
        <f>2*AV39</f>
        <v>0</v>
      </c>
      <c r="BE39" s="10">
        <f>AO39*BB39/AP39</f>
        <v>1.18333333333333</v>
      </c>
      <c r="BF39" s="10">
        <f>SQRT((AI39*1000/(H39*MIN(U39,AB39)))^2+(Q39*1000000*2*((H39-2*('Parametros'!$B$7+'Parametros'!$B$9/2))+(I39-2*('Parametros'!$B$7+'Parametros'!$B$9/2)))/(1.7*((H39-2*('Parametros'!$B$7+'Parametros'!$B$9/2))*(I39-2*('Parametros'!$B$7+'Parametros'!$B$9/2)))^2))^2)</f>
        <v>1.2726346985987</v>
      </c>
      <c r="BG39" s="10">
        <f>'Parametros'!$B$6*(AJ39*1000/(H39*MIN(U39,AB39))+0.66*SQRT('Parametros'!$B$2))</f>
        <v>3.29396038227542</v>
      </c>
      <c r="BH39" s="10" t="str">
        <f>IF(BF39&lt;=BG39,"CUMPLE","NO CUMPLE")</f>
        <v>CUMPLE</v>
      </c>
      <c r="BI39" s="10">
        <f>AX39*'Parametros'!$B$8</f>
        <v>0</v>
      </c>
      <c r="BJ39" s="10" t="str">
        <f>IF(BI39&gt;=AW39,"CUMPLE","NO CUMPLE")</f>
        <v>CUMPLE</v>
      </c>
    </row>
    <row r="40">
      <c r="A40" s="16" t="inlineStr">
        <is>
          <t>VC2</t>
        </is>
      </c>
      <c r="B40" s="16" t="inlineStr">
        <is>
          <t>907</t>
        </is>
      </c>
      <c r="C40" s="10" t="n">
        <v>1</v>
      </c>
      <c r="D40" s="10" t="n">
        <v>3.4</v>
      </c>
      <c r="E40" s="10" t="n">
        <v>3.4</v>
      </c>
      <c r="F40" s="10" t="n">
        <v>450</v>
      </c>
      <c r="G40" s="10" t="n">
        <v>550</v>
      </c>
      <c r="H40" s="17" t="n">
        <v>450</v>
      </c>
      <c r="I40" s="17" t="n">
        <v>550</v>
      </c>
      <c r="J40" s="30" t="n">
        <v>94.15819999999999</v>
      </c>
      <c r="K40" s="10" t="inlineStr">
        <is>
          <t>907</t>
        </is>
      </c>
      <c r="L40" s="30" t="n">
        <v>65.85080000000001</v>
      </c>
      <c r="M40" s="10" t="inlineStr">
        <is>
          <t>907</t>
        </is>
      </c>
      <c r="N40" s="30" t="n">
        <v>53.994</v>
      </c>
      <c r="O40" s="30" t="n">
        <v>176.115</v>
      </c>
      <c r="P40" s="10" t="inlineStr">
        <is>
          <t>907</t>
        </is>
      </c>
      <c r="Q40" s="30" t="n">
        <v>4.4573</v>
      </c>
      <c r="R40" s="10">
        <f>MAX(MAX(1.4/'Parametros'!$B$3,0.25*SQRT('Parametros'!$B$2)/'Parametros'!$B$3)*H40*U40,(0.85*'Parametros'!$B$2/'Parametros'!$B$3)*(1-SQRT(1-2*(J40*1000000/('Parametros'!$B$5*H40*U40^2))/(0.85*'Parametros'!$B$2)))*H40*U40)</f>
        <v>734.025</v>
      </c>
      <c r="S40" s="31" t="n">
        <v>4</v>
      </c>
      <c r="T40" s="32" t="n">
        <v>1</v>
      </c>
      <c r="U40" s="10">
        <f>IF(T40=1,I40-('Parametros'!$B$7+'Parametros'!$B$9+'Parametros'!$B$12/2),I40-(ROUNDUP(S40/2,0)*('Parametros'!$B$7+'Parametros'!$B$9+'Parametros'!$B$12/2)+ROUNDDOWN(S40/2,0)*('Parametros'!$B$7+'Parametros'!$B$9+'Parametros'!$B$12/2+'Parametros'!$B$12+'Parametros'!$B$10))/S40)</f>
        <v>489.35</v>
      </c>
      <c r="V40" s="10">
        <f>S40*'Parametros'!$B$8</f>
        <v>796</v>
      </c>
      <c r="W40" s="10">
        <f>'Parametros'!$B$5*V40*'Parametros'!$B$3*(U40-(V40*'Parametros'!$B$3/(0.85*'Parametros'!$B$2*H40))/2)/1000000</f>
        <v>142.543330094118</v>
      </c>
      <c r="X40" s="10" t="str">
        <f>IF(W40&gt;=J40,"CUMPLE","NO CUMPLE")</f>
        <v>CUMPLE</v>
      </c>
      <c r="Y40" s="10">
        <f>MAX(MAX(1.4/'Parametros'!$B$3,0.25*SQRT('Parametros'!$B$2)/'Parametros'!$B$3)*H40*AB40,(0.85*'Parametros'!$B$2/'Parametros'!$B$3)*(1-SQRT(1-2*(L40*1000000/('Parametros'!$B$5*H40*AB40^2))/(0.85*'Parametros'!$B$2)))*H40*AB40)</f>
        <v>734.025</v>
      </c>
      <c r="Z40" s="31" t="n">
        <v>4</v>
      </c>
      <c r="AA40" s="32" t="n">
        <v>1</v>
      </c>
      <c r="AB40" s="10">
        <f>IF(AA40=1,I40-('Parametros'!$B$7+'Parametros'!$B$9+'Parametros'!$B$12/2),I40-(ROUNDUP(Z40/2,0)*('Parametros'!$B$7+'Parametros'!$B$9+'Parametros'!$B$12/2)+ROUNDDOWN(Z40/2,0)*('Parametros'!$B$7+'Parametros'!$B$9+'Parametros'!$B$12/2+'Parametros'!$B$12+'Parametros'!$B$10))/Z40)</f>
        <v>489.35</v>
      </c>
      <c r="AC40" s="10">
        <f>Z40*'Parametros'!$B$8</f>
        <v>796</v>
      </c>
      <c r="AD40" s="10">
        <f>'Parametros'!$B$5*AC40*'Parametros'!$B$3*(AB40-(AC40*'Parametros'!$B$3/(0.85*'Parametros'!$B$2*H40))/2)/1000000</f>
        <v>142.543330094118</v>
      </c>
      <c r="AE40" s="10" t="str">
        <f>IF(AD40&gt;=L40,"CUMPLE","NO CUMPLE")</f>
        <v>CUMPLE</v>
      </c>
      <c r="AF40" s="10">
        <f>V40*1.25*'Parametros'!$B$3*(U40-(V40*1.25*'Parametros'!$B$3/(0.85*'Parametros'!$B$2*H40))/2)/1000000</f>
        <v>196.346217941176</v>
      </c>
      <c r="AG40" s="10">
        <f>AC40*1.25*'Parametros'!$B$3*(AB40-(AC40*1.25*'Parametros'!$B$3/(0.85*'Parametros'!$B$2*H40))/2)/1000000</f>
        <v>196.346217941176</v>
      </c>
      <c r="AH40" s="10">
        <f>N40+(AF40+AG40)/D40</f>
        <v>169.491775259516</v>
      </c>
      <c r="AI40" s="10">
        <f>MAX(O40,AH40)</f>
        <v>176.115</v>
      </c>
      <c r="AJ40" s="10">
        <f>0.17*SQRT('Parametros'!$B$2)*H40*MIN(U40,AB40)/1000</f>
        <v>198.088855822627</v>
      </c>
      <c r="AK40" s="10">
        <f>MAX(AI40/'Parametros'!$B$6-AJ40,0)</f>
        <v>36.731144177373</v>
      </c>
      <c r="AL40" s="10">
        <f>0.66*SQRT('Parametros'!$B$2)*H40*MIN(U40,AB40)/1000</f>
        <v>769.050852017258</v>
      </c>
      <c r="AM40" s="10" t="str">
        <f>IF(AK40&lt;=AL40,"CUMPLE","NO CUMPLE")</f>
        <v>CUMPLE</v>
      </c>
      <c r="AN40" s="17" t="inlineStr">
        <is>
          <t>Nº3 cerrado</t>
        </is>
      </c>
      <c r="AO40" s="31" t="n">
        <v>2</v>
      </c>
      <c r="AP40" s="10">
        <f>ROUNDDOWN(MIN(IF(BC40+BD40=0,1000000000,AO40*BB40/(BC40+BD40)),MIN(U40,AB40)/4,8*'Parametros'!$B$12,24*BA40,300,IF(AV40=0,1000000000,2*((H40-2*('Parametros'!$B$7+'Parametros'!$B$9/2))+(I40-2*('Parametros'!$B$7+'Parametros'!$B$9/2)))/8))/10,0)*10</f>
        <v>120</v>
      </c>
      <c r="AQ40" s="10">
        <f>ROUNDDOWN(MIN(IF(BC40+BD40=0,1000000000,AO40*BB40/(BC40+BD40)),IF(AK40&gt;0.33*SQRT('Parametros'!$B$2)*H40*MIN(U40,AB40)/1000,MIN(U40,AB40)/4,MIN(U40,AB40)/2),600,IF(AV40=0,1000000000,2*((H40-2*('Parametros'!$B$7+'Parametros'!$B$9/2))+(I40-2*('Parametros'!$B$7+'Parametros'!$B$9/2)))/8))/10,0)*10</f>
        <v>240</v>
      </c>
      <c r="AR40" s="10">
        <f>'Parametros'!$B$6*(AJ40+MAX(BE40-BD40,0)*'Parametros'!$B$4*MIN(U40,AB40)/1000)</f>
        <v>330.97185436697</v>
      </c>
      <c r="AS40" s="10" t="str">
        <f>IF(AND(ISERROR(SEARCH("referencia",AN40)),AM40="CUMPLE",AR40&gt;=AI40),"CUMPLE","NO CUMPLE")</f>
        <v>CUMPLE</v>
      </c>
      <c r="AT40" s="10">
        <f>'Parametros'!$B$6*0.083*SQRT('Parametros'!$B$2)*(H40*I40)^2/(2*(H40+I40))/1000000</f>
        <v>10.0887830333379</v>
      </c>
      <c r="AU40" s="10" t="str">
        <f>IF(Q40&lt;=AT40,"DESPRECIABLE","DISEÑAR")</f>
        <v>DESPRECIABLE</v>
      </c>
      <c r="AV40" s="10">
        <f>IF(Q40&lt;=AT40,0,Q40*1000000/('Parametros'!$B$6*2*0.85*(H40-2*('Parametros'!$B$7+'Parametros'!$B$9/2))*(I40-2*('Parametros'!$B$7+'Parametros'!$B$9/2))*'Parametros'!$B$4))</f>
        <v>0</v>
      </c>
      <c r="AW40" s="10">
        <f>AV40*2*((H40-2*('Parametros'!$B$7+'Parametros'!$B$9/2))+(I40-2*('Parametros'!$B$7+'Parametros'!$B$9/2)))*'Parametros'!$B$4/'Parametros'!$B$3</f>
        <v>0</v>
      </c>
      <c r="AX40" s="31" t="n">
        <v>0</v>
      </c>
      <c r="AY40" s="10" t="str">
        <f>IF(AV40=0,"DESPRECIABLE",IF(AND(ISERROR(SEARCH("referencia",AN40)),BB40/AP40&gt;=AV40,BI40&gt;=AW40,BH40="CUMPLE"),"CUMPLE","NO CUMPLE"))</f>
        <v>DESPRECIABLE</v>
      </c>
      <c r="AZ40" s="10" t="str">
        <f>IF(AND(X40="CUMPLE",AE40="CUMPLE",AS40="CUMPLE",OR(AY40="CUMPLE",AY40="DESPRECIABLE"),BH40="CUMPLE",BJ40="CUMPLE"),"CUMPLE","NO CUMPLE")</f>
        <v>CUMPLE</v>
      </c>
      <c r="BA40" s="32" t="n">
        <v>9.5</v>
      </c>
      <c r="BB40" s="32" t="n">
        <v>71</v>
      </c>
      <c r="BC40" s="10">
        <f>MAX(IF(AK40=0,0,AK40*1000/('Parametros'!$B$4*MIN(U40,AB40))),MAX(0.062*SQRT('Parametros'!$B$2)*H40/'Parametros'!$B$4,0.35*H40/'Parametros'!$B$4))</f>
        <v>0.375</v>
      </c>
      <c r="BD40" s="10">
        <f>2*AV40</f>
        <v>0</v>
      </c>
      <c r="BE40" s="10">
        <f>AO40*BB40/AP40</f>
        <v>1.18333333333333</v>
      </c>
      <c r="BF40" s="10">
        <f>SQRT((AI40*1000/(H40*MIN(U40,AB40)))^2+(Q40*1000000*2*((H40-2*('Parametros'!$B$7+'Parametros'!$B$9/2))+(I40-2*('Parametros'!$B$7+'Parametros'!$B$9/2)))/(1.7*((H40-2*('Parametros'!$B$7+'Parametros'!$B$9/2))*(I40-2*('Parametros'!$B$7+'Parametros'!$B$9/2)))^2))^2)</f>
        <v>0.815616666438025</v>
      </c>
      <c r="BG40" s="10">
        <f>'Parametros'!$B$6*(AJ40*1000/(H40*MIN(U40,AB40))+0.66*SQRT('Parametros'!$B$2))</f>
        <v>3.29396038227542</v>
      </c>
      <c r="BH40" s="10" t="str">
        <f>IF(BF40&lt;=BG40,"CUMPLE","NO CUMPLE")</f>
        <v>CUMPLE</v>
      </c>
      <c r="BI40" s="10">
        <f>AX40*'Parametros'!$B$8</f>
        <v>0</v>
      </c>
      <c r="BJ40" s="10" t="str">
        <f>IF(BI40&gt;=AW40,"CUMPLE","NO CUMPLE")</f>
        <v>CUMPLE</v>
      </c>
    </row>
    <row r="41">
      <c r="A41" s="16" t="inlineStr">
        <is>
          <t>VC2</t>
        </is>
      </c>
      <c r="B41" s="16" t="inlineStr">
        <is>
          <t>908</t>
        </is>
      </c>
      <c r="C41" s="10" t="n">
        <v>1</v>
      </c>
      <c r="D41" s="10" t="n">
        <v>3.4</v>
      </c>
      <c r="E41" s="10" t="n">
        <v>3.4</v>
      </c>
      <c r="F41" s="10" t="n">
        <v>450</v>
      </c>
      <c r="G41" s="10" t="n">
        <v>550</v>
      </c>
      <c r="H41" s="17" t="n">
        <v>450</v>
      </c>
      <c r="I41" s="17" t="n">
        <v>550</v>
      </c>
      <c r="J41" s="30" t="n">
        <v>94.20780000000001</v>
      </c>
      <c r="K41" s="10" t="inlineStr">
        <is>
          <t>908</t>
        </is>
      </c>
      <c r="L41" s="30" t="n">
        <v>65.8947</v>
      </c>
      <c r="M41" s="10" t="inlineStr">
        <is>
          <t>908</t>
        </is>
      </c>
      <c r="N41" s="30" t="n">
        <v>54.017</v>
      </c>
      <c r="O41" s="30" t="n">
        <v>176.138</v>
      </c>
      <c r="P41" s="10" t="inlineStr">
        <is>
          <t>908</t>
        </is>
      </c>
      <c r="Q41" s="30" t="n">
        <v>4.4584</v>
      </c>
      <c r="R41" s="10">
        <f>MAX(MAX(1.4/'Parametros'!$B$3,0.25*SQRT('Parametros'!$B$2)/'Parametros'!$B$3)*H41*U41,(0.85*'Parametros'!$B$2/'Parametros'!$B$3)*(1-SQRT(1-2*(J41*1000000/('Parametros'!$B$5*H41*U41^2))/(0.85*'Parametros'!$B$2)))*H41*U41)</f>
        <v>734.025</v>
      </c>
      <c r="S41" s="31" t="n">
        <v>4</v>
      </c>
      <c r="T41" s="32" t="n">
        <v>1</v>
      </c>
      <c r="U41" s="10">
        <f>IF(T41=1,I41-('Parametros'!$B$7+'Parametros'!$B$9+'Parametros'!$B$12/2),I41-(ROUNDUP(S41/2,0)*('Parametros'!$B$7+'Parametros'!$B$9+'Parametros'!$B$12/2)+ROUNDDOWN(S41/2,0)*('Parametros'!$B$7+'Parametros'!$B$9+'Parametros'!$B$12/2+'Parametros'!$B$12+'Parametros'!$B$10))/S41)</f>
        <v>489.35</v>
      </c>
      <c r="V41" s="10">
        <f>S41*'Parametros'!$B$8</f>
        <v>796</v>
      </c>
      <c r="W41" s="10">
        <f>'Parametros'!$B$5*V41*'Parametros'!$B$3*(U41-(V41*'Parametros'!$B$3/(0.85*'Parametros'!$B$2*H41))/2)/1000000</f>
        <v>142.543330094118</v>
      </c>
      <c r="X41" s="10" t="str">
        <f>IF(W41&gt;=J41,"CUMPLE","NO CUMPLE")</f>
        <v>CUMPLE</v>
      </c>
      <c r="Y41" s="10">
        <f>MAX(MAX(1.4/'Parametros'!$B$3,0.25*SQRT('Parametros'!$B$2)/'Parametros'!$B$3)*H41*AB41,(0.85*'Parametros'!$B$2/'Parametros'!$B$3)*(1-SQRT(1-2*(L41*1000000/('Parametros'!$B$5*H41*AB41^2))/(0.85*'Parametros'!$B$2)))*H41*AB41)</f>
        <v>734.025</v>
      </c>
      <c r="Z41" s="31" t="n">
        <v>4</v>
      </c>
      <c r="AA41" s="32" t="n">
        <v>1</v>
      </c>
      <c r="AB41" s="10">
        <f>IF(AA41=1,I41-('Parametros'!$B$7+'Parametros'!$B$9+'Parametros'!$B$12/2),I41-(ROUNDUP(Z41/2,0)*('Parametros'!$B$7+'Parametros'!$B$9+'Parametros'!$B$12/2)+ROUNDDOWN(Z41/2,0)*('Parametros'!$B$7+'Parametros'!$B$9+'Parametros'!$B$12/2+'Parametros'!$B$12+'Parametros'!$B$10))/Z41)</f>
        <v>489.35</v>
      </c>
      <c r="AC41" s="10">
        <f>Z41*'Parametros'!$B$8</f>
        <v>796</v>
      </c>
      <c r="AD41" s="10">
        <f>'Parametros'!$B$5*AC41*'Parametros'!$B$3*(AB41-(AC41*'Parametros'!$B$3/(0.85*'Parametros'!$B$2*H41))/2)/1000000</f>
        <v>142.543330094118</v>
      </c>
      <c r="AE41" s="10" t="str">
        <f>IF(AD41&gt;=L41,"CUMPLE","NO CUMPLE")</f>
        <v>CUMPLE</v>
      </c>
      <c r="AF41" s="10">
        <f>V41*1.25*'Parametros'!$B$3*(U41-(V41*1.25*'Parametros'!$B$3/(0.85*'Parametros'!$B$2*H41))/2)/1000000</f>
        <v>196.346217941176</v>
      </c>
      <c r="AG41" s="10">
        <f>AC41*1.25*'Parametros'!$B$3*(AB41-(AC41*1.25*'Parametros'!$B$3/(0.85*'Parametros'!$B$2*H41))/2)/1000000</f>
        <v>196.346217941176</v>
      </c>
      <c r="AH41" s="10">
        <f>N41+(AF41+AG41)/D41</f>
        <v>169.514775259516</v>
      </c>
      <c r="AI41" s="10">
        <f>MAX(O41,AH41)</f>
        <v>176.138</v>
      </c>
      <c r="AJ41" s="10">
        <f>0.17*SQRT('Parametros'!$B$2)*H41*MIN(U41,AB41)/1000</f>
        <v>198.088855822627</v>
      </c>
      <c r="AK41" s="10">
        <f>MAX(AI41/'Parametros'!$B$6-AJ41,0)</f>
        <v>36.7618108440397</v>
      </c>
      <c r="AL41" s="10">
        <f>0.66*SQRT('Parametros'!$B$2)*H41*MIN(U41,AB41)/1000</f>
        <v>769.050852017258</v>
      </c>
      <c r="AM41" s="10" t="str">
        <f>IF(AK41&lt;=AL41,"CUMPLE","NO CUMPLE")</f>
        <v>CUMPLE</v>
      </c>
      <c r="AN41" s="17" t="inlineStr">
        <is>
          <t>Nº3 cerrado</t>
        </is>
      </c>
      <c r="AO41" s="31" t="n">
        <v>2</v>
      </c>
      <c r="AP41" s="10">
        <f>ROUNDDOWN(MIN(IF(BC41+BD41=0,1000000000,AO41*BB41/(BC41+BD41)),MIN(U41,AB41)/4,8*'Parametros'!$B$12,24*BA41,300,IF(AV41=0,1000000000,2*((H41-2*('Parametros'!$B$7+'Parametros'!$B$9/2))+(I41-2*('Parametros'!$B$7+'Parametros'!$B$9/2)))/8))/10,0)*10</f>
        <v>120</v>
      </c>
      <c r="AQ41" s="10">
        <f>ROUNDDOWN(MIN(IF(BC41+BD41=0,1000000000,AO41*BB41/(BC41+BD41)),IF(AK41&gt;0.33*SQRT('Parametros'!$B$2)*H41*MIN(U41,AB41)/1000,MIN(U41,AB41)/4,MIN(U41,AB41)/2),600,IF(AV41=0,1000000000,2*((H41-2*('Parametros'!$B$7+'Parametros'!$B$9/2))+(I41-2*('Parametros'!$B$7+'Parametros'!$B$9/2)))/8))/10,0)*10</f>
        <v>240</v>
      </c>
      <c r="AR41" s="10">
        <f>'Parametros'!$B$6*(AJ41+MAX(BE41-BD41,0)*'Parametros'!$B$4*MIN(U41,AB41)/1000)</f>
        <v>330.97185436697</v>
      </c>
      <c r="AS41" s="10" t="str">
        <f>IF(AND(ISERROR(SEARCH("referencia",AN41)),AM41="CUMPLE",AR41&gt;=AI41),"CUMPLE","NO CUMPLE")</f>
        <v>CUMPLE</v>
      </c>
      <c r="AT41" s="10">
        <f>'Parametros'!$B$6*0.083*SQRT('Parametros'!$B$2)*(H41*I41)^2/(2*(H41+I41))/1000000</f>
        <v>10.0887830333379</v>
      </c>
      <c r="AU41" s="10" t="str">
        <f>IF(Q41&lt;=AT41,"DESPRECIABLE","DISEÑAR")</f>
        <v>DESPRECIABLE</v>
      </c>
      <c r="AV41" s="10">
        <f>IF(Q41&lt;=AT41,0,Q41*1000000/('Parametros'!$B$6*2*0.85*(H41-2*('Parametros'!$B$7+'Parametros'!$B$9/2))*(I41-2*('Parametros'!$B$7+'Parametros'!$B$9/2))*'Parametros'!$B$4))</f>
        <v>0</v>
      </c>
      <c r="AW41" s="10">
        <f>AV41*2*((H41-2*('Parametros'!$B$7+'Parametros'!$B$9/2))+(I41-2*('Parametros'!$B$7+'Parametros'!$B$9/2)))*'Parametros'!$B$4/'Parametros'!$B$3</f>
        <v>0</v>
      </c>
      <c r="AX41" s="31" t="n">
        <v>0</v>
      </c>
      <c r="AY41" s="10" t="str">
        <f>IF(AV41=0,"DESPRECIABLE",IF(AND(ISERROR(SEARCH("referencia",AN41)),BB41/AP41&gt;=AV41,BI41&gt;=AW41,BH41="CUMPLE"),"CUMPLE","NO CUMPLE"))</f>
        <v>DESPRECIABLE</v>
      </c>
      <c r="AZ41" s="10" t="str">
        <f>IF(AND(X41="CUMPLE",AE41="CUMPLE",AS41="CUMPLE",OR(AY41="CUMPLE",AY41="DESPRECIABLE"),BH41="CUMPLE",BJ41="CUMPLE"),"CUMPLE","NO CUMPLE")</f>
        <v>CUMPLE</v>
      </c>
      <c r="BA41" s="32" t="n">
        <v>9.5</v>
      </c>
      <c r="BB41" s="32" t="n">
        <v>71</v>
      </c>
      <c r="BC41" s="10">
        <f>MAX(IF(AK41=0,0,AK41*1000/('Parametros'!$B$4*MIN(U41,AB41))),MAX(0.062*SQRT('Parametros'!$B$2)*H41/'Parametros'!$B$4,0.35*H41/'Parametros'!$B$4))</f>
        <v>0.375</v>
      </c>
      <c r="BD41" s="10">
        <f>2*AV41</f>
        <v>0</v>
      </c>
      <c r="BE41" s="10">
        <f>AO41*BB41/AP41</f>
        <v>1.18333333333333</v>
      </c>
      <c r="BF41" s="10">
        <f>SQRT((AI41*1000/(H41*MIN(U41,AB41)))^2+(Q41*1000000*2*((H41-2*('Parametros'!$B$7+'Parametros'!$B$9/2))+(I41-2*('Parametros'!$B$7+'Parametros'!$B$9/2)))/(1.7*((H41-2*('Parametros'!$B$7+'Parametros'!$B$9/2))*(I41-2*('Parametros'!$B$7+'Parametros'!$B$9/2)))^2))^2)</f>
        <v>0.815726830341416</v>
      </c>
      <c r="BG41" s="10">
        <f>'Parametros'!$B$6*(AJ41*1000/(H41*MIN(U41,AB41))+0.66*SQRT('Parametros'!$B$2))</f>
        <v>3.29396038227542</v>
      </c>
      <c r="BH41" s="10" t="str">
        <f>IF(BF41&lt;=BG41,"CUMPLE","NO CUMPLE")</f>
        <v>CUMPLE</v>
      </c>
      <c r="BI41" s="10">
        <f>AX41*'Parametros'!$B$8</f>
        <v>0</v>
      </c>
      <c r="BJ41" s="10" t="str">
        <f>IF(BI41&gt;=AW41,"CUMPLE","NO CUMPLE")</f>
        <v>CUMPLE</v>
      </c>
    </row>
    <row r="42">
      <c r="A42" s="16" t="inlineStr">
        <is>
          <t>VC2</t>
        </is>
      </c>
      <c r="B42" s="16" t="inlineStr">
        <is>
          <t>945</t>
        </is>
      </c>
      <c r="C42" s="10" t="n">
        <v>1</v>
      </c>
      <c r="D42" s="10" t="n">
        <v>3.4</v>
      </c>
      <c r="E42" s="10" t="n">
        <v>3.4</v>
      </c>
      <c r="F42" s="10" t="n">
        <v>450</v>
      </c>
      <c r="G42" s="10" t="n">
        <v>550</v>
      </c>
      <c r="H42" s="17" t="n">
        <v>450</v>
      </c>
      <c r="I42" s="17" t="n">
        <v>550</v>
      </c>
      <c r="J42" s="30" t="n">
        <v>94.2102</v>
      </c>
      <c r="K42" s="10" t="inlineStr">
        <is>
          <t>945</t>
        </is>
      </c>
      <c r="L42" s="30" t="n">
        <v>65.89700000000001</v>
      </c>
      <c r="M42" s="10" t="inlineStr">
        <is>
          <t>945</t>
        </is>
      </c>
      <c r="N42" s="30" t="n">
        <v>54.019</v>
      </c>
      <c r="O42" s="30" t="n">
        <v>176.159</v>
      </c>
      <c r="P42" s="10" t="inlineStr">
        <is>
          <t>945</t>
        </is>
      </c>
      <c r="Q42" s="30" t="n">
        <v>4.4599</v>
      </c>
      <c r="R42" s="10">
        <f>MAX(MAX(1.4/'Parametros'!$B$3,0.25*SQRT('Parametros'!$B$2)/'Parametros'!$B$3)*H42*U42,(0.85*'Parametros'!$B$2/'Parametros'!$B$3)*(1-SQRT(1-2*(J42*1000000/('Parametros'!$B$5*H42*U42^2))/(0.85*'Parametros'!$B$2)))*H42*U42)</f>
        <v>734.025</v>
      </c>
      <c r="S42" s="31" t="n">
        <v>4</v>
      </c>
      <c r="T42" s="32" t="n">
        <v>1</v>
      </c>
      <c r="U42" s="10">
        <f>IF(T42=1,I42-('Parametros'!$B$7+'Parametros'!$B$9+'Parametros'!$B$12/2),I42-(ROUNDUP(S42/2,0)*('Parametros'!$B$7+'Parametros'!$B$9+'Parametros'!$B$12/2)+ROUNDDOWN(S42/2,0)*('Parametros'!$B$7+'Parametros'!$B$9+'Parametros'!$B$12/2+'Parametros'!$B$12+'Parametros'!$B$10))/S42)</f>
        <v>489.35</v>
      </c>
      <c r="V42" s="10">
        <f>S42*'Parametros'!$B$8</f>
        <v>796</v>
      </c>
      <c r="W42" s="10">
        <f>'Parametros'!$B$5*V42*'Parametros'!$B$3*(U42-(V42*'Parametros'!$B$3/(0.85*'Parametros'!$B$2*H42))/2)/1000000</f>
        <v>142.543330094118</v>
      </c>
      <c r="X42" s="10" t="str">
        <f>IF(W42&gt;=J42,"CUMPLE","NO CUMPLE")</f>
        <v>CUMPLE</v>
      </c>
      <c r="Y42" s="10">
        <f>MAX(MAX(1.4/'Parametros'!$B$3,0.25*SQRT('Parametros'!$B$2)/'Parametros'!$B$3)*H42*AB42,(0.85*'Parametros'!$B$2/'Parametros'!$B$3)*(1-SQRT(1-2*(L42*1000000/('Parametros'!$B$5*H42*AB42^2))/(0.85*'Parametros'!$B$2)))*H42*AB42)</f>
        <v>734.025</v>
      </c>
      <c r="Z42" s="31" t="n">
        <v>4</v>
      </c>
      <c r="AA42" s="32" t="n">
        <v>1</v>
      </c>
      <c r="AB42" s="10">
        <f>IF(AA42=1,I42-('Parametros'!$B$7+'Parametros'!$B$9+'Parametros'!$B$12/2),I42-(ROUNDUP(Z42/2,0)*('Parametros'!$B$7+'Parametros'!$B$9+'Parametros'!$B$12/2)+ROUNDDOWN(Z42/2,0)*('Parametros'!$B$7+'Parametros'!$B$9+'Parametros'!$B$12/2+'Parametros'!$B$12+'Parametros'!$B$10))/Z42)</f>
        <v>489.35</v>
      </c>
      <c r="AC42" s="10">
        <f>Z42*'Parametros'!$B$8</f>
        <v>796</v>
      </c>
      <c r="AD42" s="10">
        <f>'Parametros'!$B$5*AC42*'Parametros'!$B$3*(AB42-(AC42*'Parametros'!$B$3/(0.85*'Parametros'!$B$2*H42))/2)/1000000</f>
        <v>142.543330094118</v>
      </c>
      <c r="AE42" s="10" t="str">
        <f>IF(AD42&gt;=L42,"CUMPLE","NO CUMPLE")</f>
        <v>CUMPLE</v>
      </c>
      <c r="AF42" s="10">
        <f>V42*1.25*'Parametros'!$B$3*(U42-(V42*1.25*'Parametros'!$B$3/(0.85*'Parametros'!$B$2*H42))/2)/1000000</f>
        <v>196.346217941176</v>
      </c>
      <c r="AG42" s="10">
        <f>AC42*1.25*'Parametros'!$B$3*(AB42-(AC42*1.25*'Parametros'!$B$3/(0.85*'Parametros'!$B$2*H42))/2)/1000000</f>
        <v>196.346217941176</v>
      </c>
      <c r="AH42" s="10">
        <f>N42+(AF42+AG42)/D42</f>
        <v>169.516775259516</v>
      </c>
      <c r="AI42" s="10">
        <f>MAX(O42,AH42)</f>
        <v>176.159</v>
      </c>
      <c r="AJ42" s="10">
        <f>0.17*SQRT('Parametros'!$B$2)*H42*MIN(U42,AB42)/1000</f>
        <v>198.088855822627</v>
      </c>
      <c r="AK42" s="10">
        <f>MAX(AI42/'Parametros'!$B$6-AJ42,0)</f>
        <v>36.7898108440397</v>
      </c>
      <c r="AL42" s="10">
        <f>0.66*SQRT('Parametros'!$B$2)*H42*MIN(U42,AB42)/1000</f>
        <v>769.050852017258</v>
      </c>
      <c r="AM42" s="10" t="str">
        <f>IF(AK42&lt;=AL42,"CUMPLE","NO CUMPLE")</f>
        <v>CUMPLE</v>
      </c>
      <c r="AN42" s="17" t="inlineStr">
        <is>
          <t>Nº3 cerrado</t>
        </is>
      </c>
      <c r="AO42" s="31" t="n">
        <v>2</v>
      </c>
      <c r="AP42" s="10">
        <f>ROUNDDOWN(MIN(IF(BC42+BD42=0,1000000000,AO42*BB42/(BC42+BD42)),MIN(U42,AB42)/4,8*'Parametros'!$B$12,24*BA42,300,IF(AV42=0,1000000000,2*((H42-2*('Parametros'!$B$7+'Parametros'!$B$9/2))+(I42-2*('Parametros'!$B$7+'Parametros'!$B$9/2)))/8))/10,0)*10</f>
        <v>120</v>
      </c>
      <c r="AQ42" s="10">
        <f>ROUNDDOWN(MIN(IF(BC42+BD42=0,1000000000,AO42*BB42/(BC42+BD42)),IF(AK42&gt;0.33*SQRT('Parametros'!$B$2)*H42*MIN(U42,AB42)/1000,MIN(U42,AB42)/4,MIN(U42,AB42)/2),600,IF(AV42=0,1000000000,2*((H42-2*('Parametros'!$B$7+'Parametros'!$B$9/2))+(I42-2*('Parametros'!$B$7+'Parametros'!$B$9/2)))/8))/10,0)*10</f>
        <v>240</v>
      </c>
      <c r="AR42" s="10">
        <f>'Parametros'!$B$6*(AJ42+MAX(BE42-BD42,0)*'Parametros'!$B$4*MIN(U42,AB42)/1000)</f>
        <v>330.97185436697</v>
      </c>
      <c r="AS42" s="10" t="str">
        <f>IF(AND(ISERROR(SEARCH("referencia",AN42)),AM42="CUMPLE",AR42&gt;=AI42),"CUMPLE","NO CUMPLE")</f>
        <v>CUMPLE</v>
      </c>
      <c r="AT42" s="10">
        <f>'Parametros'!$B$6*0.083*SQRT('Parametros'!$B$2)*(H42*I42)^2/(2*(H42+I42))/1000000</f>
        <v>10.0887830333379</v>
      </c>
      <c r="AU42" s="10" t="str">
        <f>IF(Q42&lt;=AT42,"DESPRECIABLE","DISEÑAR")</f>
        <v>DESPRECIABLE</v>
      </c>
      <c r="AV42" s="10">
        <f>IF(Q42&lt;=AT42,0,Q42*1000000/('Parametros'!$B$6*2*0.85*(H42-2*('Parametros'!$B$7+'Parametros'!$B$9/2))*(I42-2*('Parametros'!$B$7+'Parametros'!$B$9/2))*'Parametros'!$B$4))</f>
        <v>0</v>
      </c>
      <c r="AW42" s="10">
        <f>AV42*2*((H42-2*('Parametros'!$B$7+'Parametros'!$B$9/2))+(I42-2*('Parametros'!$B$7+'Parametros'!$B$9/2)))*'Parametros'!$B$4/'Parametros'!$B$3</f>
        <v>0</v>
      </c>
      <c r="AX42" s="31" t="n">
        <v>0</v>
      </c>
      <c r="AY42" s="10" t="str">
        <f>IF(AV42=0,"DESPRECIABLE",IF(AND(ISERROR(SEARCH("referencia",AN42)),BB42/AP42&gt;=AV42,BI42&gt;=AW42,BH42="CUMPLE"),"CUMPLE","NO CUMPLE"))</f>
        <v>DESPRECIABLE</v>
      </c>
      <c r="AZ42" s="10" t="str">
        <f>IF(AND(X42="CUMPLE",AE42="CUMPLE",AS42="CUMPLE",OR(AY42="CUMPLE",AY42="DESPRECIABLE"),BH42="CUMPLE",BJ42="CUMPLE"),"CUMPLE","NO CUMPLE")</f>
        <v>CUMPLE</v>
      </c>
      <c r="BA42" s="32" t="n">
        <v>9.5</v>
      </c>
      <c r="BB42" s="32" t="n">
        <v>71</v>
      </c>
      <c r="BC42" s="10">
        <f>MAX(IF(AK42=0,0,AK42*1000/('Parametros'!$B$4*MIN(U42,AB42))),MAX(0.062*SQRT('Parametros'!$B$2)*H42/'Parametros'!$B$4,0.35*H42/'Parametros'!$B$4))</f>
        <v>0.375</v>
      </c>
      <c r="BD42" s="10">
        <f>2*AV42</f>
        <v>0</v>
      </c>
      <c r="BE42" s="10">
        <f>AO42*BB42/AP42</f>
        <v>1.18333333333333</v>
      </c>
      <c r="BF42" s="10">
        <f>SQRT((AI42*1000/(H42*MIN(U42,AB42)))^2+(Q42*1000000*2*((H42-2*('Parametros'!$B$7+'Parametros'!$B$9/2))+(I42-2*('Parametros'!$B$7+'Parametros'!$B$9/2)))/(1.7*((H42-2*('Parametros'!$B$7+'Parametros'!$B$9/2))*(I42-2*('Parametros'!$B$7+'Parametros'!$B$9/2)))^2))^2)</f>
        <v>0.815830906476463</v>
      </c>
      <c r="BG42" s="10">
        <f>'Parametros'!$B$6*(AJ42*1000/(H42*MIN(U42,AB42))+0.66*SQRT('Parametros'!$B$2))</f>
        <v>3.29396038227542</v>
      </c>
      <c r="BH42" s="10" t="str">
        <f>IF(BF42&lt;=BG42,"CUMPLE","NO CUMPLE")</f>
        <v>CUMPLE</v>
      </c>
      <c r="BI42" s="10">
        <f>AX42*'Parametros'!$B$8</f>
        <v>0</v>
      </c>
      <c r="BJ42" s="10" t="str">
        <f>IF(BI42&gt;=AW42,"CUMPLE","NO CUMPLE")</f>
        <v>CUMPLE</v>
      </c>
    </row>
    <row r="43">
      <c r="A43" s="16" t="inlineStr">
        <is>
          <t>VC2</t>
        </is>
      </c>
      <c r="B43" s="16" t="inlineStr">
        <is>
          <t>946</t>
        </is>
      </c>
      <c r="C43" s="10" t="n">
        <v>1</v>
      </c>
      <c r="D43" s="10" t="n">
        <v>3.4</v>
      </c>
      <c r="E43" s="10" t="n">
        <v>3.4</v>
      </c>
      <c r="F43" s="10" t="n">
        <v>450</v>
      </c>
      <c r="G43" s="10" t="n">
        <v>550</v>
      </c>
      <c r="H43" s="17" t="n">
        <v>450</v>
      </c>
      <c r="I43" s="17" t="n">
        <v>550</v>
      </c>
      <c r="J43" s="30" t="n">
        <v>94.17489999999999</v>
      </c>
      <c r="K43" s="10" t="inlineStr">
        <is>
          <t>946</t>
        </is>
      </c>
      <c r="L43" s="30" t="n">
        <v>65.8657</v>
      </c>
      <c r="M43" s="10" t="inlineStr">
        <is>
          <t>946</t>
        </is>
      </c>
      <c r="N43" s="30" t="n">
        <v>54.002</v>
      </c>
      <c r="O43" s="30" t="n">
        <v>176.142</v>
      </c>
      <c r="P43" s="10" t="inlineStr">
        <is>
          <t>946</t>
        </is>
      </c>
      <c r="Q43" s="30" t="n">
        <v>4.4589</v>
      </c>
      <c r="R43" s="10">
        <f>MAX(MAX(1.4/'Parametros'!$B$3,0.25*SQRT('Parametros'!$B$2)/'Parametros'!$B$3)*H43*U43,(0.85*'Parametros'!$B$2/'Parametros'!$B$3)*(1-SQRT(1-2*(J43*1000000/('Parametros'!$B$5*H43*U43^2))/(0.85*'Parametros'!$B$2)))*H43*U43)</f>
        <v>734.025</v>
      </c>
      <c r="S43" s="31" t="n">
        <v>4</v>
      </c>
      <c r="T43" s="32" t="n">
        <v>1</v>
      </c>
      <c r="U43" s="10">
        <f>IF(T43=1,I43-('Parametros'!$B$7+'Parametros'!$B$9+'Parametros'!$B$12/2),I43-(ROUNDUP(S43/2,0)*('Parametros'!$B$7+'Parametros'!$B$9+'Parametros'!$B$12/2)+ROUNDDOWN(S43/2,0)*('Parametros'!$B$7+'Parametros'!$B$9+'Parametros'!$B$12/2+'Parametros'!$B$12+'Parametros'!$B$10))/S43)</f>
        <v>489.35</v>
      </c>
      <c r="V43" s="10">
        <f>S43*'Parametros'!$B$8</f>
        <v>796</v>
      </c>
      <c r="W43" s="10">
        <f>'Parametros'!$B$5*V43*'Parametros'!$B$3*(U43-(V43*'Parametros'!$B$3/(0.85*'Parametros'!$B$2*H43))/2)/1000000</f>
        <v>142.543330094118</v>
      </c>
      <c r="X43" s="10" t="str">
        <f>IF(W43&gt;=J43,"CUMPLE","NO CUMPLE")</f>
        <v>CUMPLE</v>
      </c>
      <c r="Y43" s="10">
        <f>MAX(MAX(1.4/'Parametros'!$B$3,0.25*SQRT('Parametros'!$B$2)/'Parametros'!$B$3)*H43*AB43,(0.85*'Parametros'!$B$2/'Parametros'!$B$3)*(1-SQRT(1-2*(L43*1000000/('Parametros'!$B$5*H43*AB43^2))/(0.85*'Parametros'!$B$2)))*H43*AB43)</f>
        <v>734.025</v>
      </c>
      <c r="Z43" s="31" t="n">
        <v>4</v>
      </c>
      <c r="AA43" s="32" t="n">
        <v>1</v>
      </c>
      <c r="AB43" s="10">
        <f>IF(AA43=1,I43-('Parametros'!$B$7+'Parametros'!$B$9+'Parametros'!$B$12/2),I43-(ROUNDUP(Z43/2,0)*('Parametros'!$B$7+'Parametros'!$B$9+'Parametros'!$B$12/2)+ROUNDDOWN(Z43/2,0)*('Parametros'!$B$7+'Parametros'!$B$9+'Parametros'!$B$12/2+'Parametros'!$B$12+'Parametros'!$B$10))/Z43)</f>
        <v>489.35</v>
      </c>
      <c r="AC43" s="10">
        <f>Z43*'Parametros'!$B$8</f>
        <v>796</v>
      </c>
      <c r="AD43" s="10">
        <f>'Parametros'!$B$5*AC43*'Parametros'!$B$3*(AB43-(AC43*'Parametros'!$B$3/(0.85*'Parametros'!$B$2*H43))/2)/1000000</f>
        <v>142.543330094118</v>
      </c>
      <c r="AE43" s="10" t="str">
        <f>IF(AD43&gt;=L43,"CUMPLE","NO CUMPLE")</f>
        <v>CUMPLE</v>
      </c>
      <c r="AF43" s="10">
        <f>V43*1.25*'Parametros'!$B$3*(U43-(V43*1.25*'Parametros'!$B$3/(0.85*'Parametros'!$B$2*H43))/2)/1000000</f>
        <v>196.346217941176</v>
      </c>
      <c r="AG43" s="10">
        <f>AC43*1.25*'Parametros'!$B$3*(AB43-(AC43*1.25*'Parametros'!$B$3/(0.85*'Parametros'!$B$2*H43))/2)/1000000</f>
        <v>196.346217941176</v>
      </c>
      <c r="AH43" s="10">
        <f>N43+(AF43+AG43)/D43</f>
        <v>169.499775259516</v>
      </c>
      <c r="AI43" s="10">
        <f>MAX(O43,AH43)</f>
        <v>176.142</v>
      </c>
      <c r="AJ43" s="10">
        <f>0.17*SQRT('Parametros'!$B$2)*H43*MIN(U43,AB43)/1000</f>
        <v>198.088855822627</v>
      </c>
      <c r="AK43" s="10">
        <f>MAX(AI43/'Parametros'!$B$6-AJ43,0)</f>
        <v>36.767144177373</v>
      </c>
      <c r="AL43" s="10">
        <f>0.66*SQRT('Parametros'!$B$2)*H43*MIN(U43,AB43)/1000</f>
        <v>769.050852017258</v>
      </c>
      <c r="AM43" s="10" t="str">
        <f>IF(AK43&lt;=AL43,"CUMPLE","NO CUMPLE")</f>
        <v>CUMPLE</v>
      </c>
      <c r="AN43" s="17" t="inlineStr">
        <is>
          <t>Nº3 cerrado</t>
        </is>
      </c>
      <c r="AO43" s="31" t="n">
        <v>2</v>
      </c>
      <c r="AP43" s="10">
        <f>ROUNDDOWN(MIN(IF(BC43+BD43=0,1000000000,AO43*BB43/(BC43+BD43)),MIN(U43,AB43)/4,8*'Parametros'!$B$12,24*BA43,300,IF(AV43=0,1000000000,2*((H43-2*('Parametros'!$B$7+'Parametros'!$B$9/2))+(I43-2*('Parametros'!$B$7+'Parametros'!$B$9/2)))/8))/10,0)*10</f>
        <v>120</v>
      </c>
      <c r="AQ43" s="10">
        <f>ROUNDDOWN(MIN(IF(BC43+BD43=0,1000000000,AO43*BB43/(BC43+BD43)),IF(AK43&gt;0.33*SQRT('Parametros'!$B$2)*H43*MIN(U43,AB43)/1000,MIN(U43,AB43)/4,MIN(U43,AB43)/2),600,IF(AV43=0,1000000000,2*((H43-2*('Parametros'!$B$7+'Parametros'!$B$9/2))+(I43-2*('Parametros'!$B$7+'Parametros'!$B$9/2)))/8))/10,0)*10</f>
        <v>240</v>
      </c>
      <c r="AR43" s="10">
        <f>'Parametros'!$B$6*(AJ43+MAX(BE43-BD43,0)*'Parametros'!$B$4*MIN(U43,AB43)/1000)</f>
        <v>330.97185436697</v>
      </c>
      <c r="AS43" s="10" t="str">
        <f>IF(AND(ISERROR(SEARCH("referencia",AN43)),AM43="CUMPLE",AR43&gt;=AI43),"CUMPLE","NO CUMPLE")</f>
        <v>CUMPLE</v>
      </c>
      <c r="AT43" s="10">
        <f>'Parametros'!$B$6*0.083*SQRT('Parametros'!$B$2)*(H43*I43)^2/(2*(H43+I43))/1000000</f>
        <v>10.0887830333379</v>
      </c>
      <c r="AU43" s="10" t="str">
        <f>IF(Q43&lt;=AT43,"DESPRECIABLE","DISEÑAR")</f>
        <v>DESPRECIABLE</v>
      </c>
      <c r="AV43" s="10">
        <f>IF(Q43&lt;=AT43,0,Q43*1000000/('Parametros'!$B$6*2*0.85*(H43-2*('Parametros'!$B$7+'Parametros'!$B$9/2))*(I43-2*('Parametros'!$B$7+'Parametros'!$B$9/2))*'Parametros'!$B$4))</f>
        <v>0</v>
      </c>
      <c r="AW43" s="10">
        <f>AV43*2*((H43-2*('Parametros'!$B$7+'Parametros'!$B$9/2))+(I43-2*('Parametros'!$B$7+'Parametros'!$B$9/2)))*'Parametros'!$B$4/'Parametros'!$B$3</f>
        <v>0</v>
      </c>
      <c r="AX43" s="31" t="n">
        <v>0</v>
      </c>
      <c r="AY43" s="10" t="str">
        <f>IF(AV43=0,"DESPRECIABLE",IF(AND(ISERROR(SEARCH("referencia",AN43)),BB43/AP43&gt;=AV43,BI43&gt;=AW43,BH43="CUMPLE"),"CUMPLE","NO CUMPLE"))</f>
        <v>DESPRECIABLE</v>
      </c>
      <c r="AZ43" s="10" t="str">
        <f>IF(AND(X43="CUMPLE",AE43="CUMPLE",AS43="CUMPLE",OR(AY43="CUMPLE",AY43="DESPRECIABLE"),BH43="CUMPLE",BJ43="CUMPLE"),"CUMPLE","NO CUMPLE")</f>
        <v>CUMPLE</v>
      </c>
      <c r="BA43" s="32" t="n">
        <v>9.5</v>
      </c>
      <c r="BB43" s="32" t="n">
        <v>71</v>
      </c>
      <c r="BC43" s="10">
        <f>MAX(IF(AK43=0,0,AK43*1000/('Parametros'!$B$4*MIN(U43,AB43))),MAX(0.062*SQRT('Parametros'!$B$2)*H43/'Parametros'!$B$4,0.35*H43/'Parametros'!$B$4))</f>
        <v>0.375</v>
      </c>
      <c r="BD43" s="10">
        <f>2*AV43</f>
        <v>0</v>
      </c>
      <c r="BE43" s="10">
        <f>AO43*BB43/AP43</f>
        <v>1.18333333333333</v>
      </c>
      <c r="BF43" s="10">
        <f>SQRT((AI43*1000/(H43*MIN(U43,AB43)))^2+(Q43*1000000*2*((H43-2*('Parametros'!$B$7+'Parametros'!$B$9/2))+(I43-2*('Parametros'!$B$7+'Parametros'!$B$9/2)))/(1.7*((H43-2*('Parametros'!$B$7+'Parametros'!$B$9/2))*(I43-2*('Parametros'!$B$7+'Parametros'!$B$9/2)))^2))^2)</f>
        <v>0.815748163534149</v>
      </c>
      <c r="BG43" s="10">
        <f>'Parametros'!$B$6*(AJ43*1000/(H43*MIN(U43,AB43))+0.66*SQRT('Parametros'!$B$2))</f>
        <v>3.29396038227542</v>
      </c>
      <c r="BH43" s="10" t="str">
        <f>IF(BF43&lt;=BG43,"CUMPLE","NO CUMPLE")</f>
        <v>CUMPLE</v>
      </c>
      <c r="BI43" s="10">
        <f>AX43*'Parametros'!$B$8</f>
        <v>0</v>
      </c>
      <c r="BJ43" s="10" t="str">
        <f>IF(BI43&gt;=AW43,"CUMPLE","NO CUMPLE")</f>
        <v>CUMPLE</v>
      </c>
    </row>
    <row r="44">
      <c r="A44" s="16" t="inlineStr">
        <is>
          <t>VC2</t>
        </is>
      </c>
      <c r="B44" s="16" t="inlineStr">
        <is>
          <t>1001</t>
        </is>
      </c>
      <c r="C44" s="10" t="n">
        <v>1</v>
      </c>
      <c r="D44" s="10" t="n">
        <v>3.4</v>
      </c>
      <c r="E44" s="10" t="n">
        <v>3.4</v>
      </c>
      <c r="F44" s="10" t="n">
        <v>450</v>
      </c>
      <c r="G44" s="10" t="n">
        <v>550</v>
      </c>
      <c r="H44" s="17" t="n">
        <v>450</v>
      </c>
      <c r="I44" s="17" t="n">
        <v>550</v>
      </c>
      <c r="J44" s="30" t="n">
        <v>48.0238</v>
      </c>
      <c r="K44" s="10" t="inlineStr">
        <is>
          <t>1001</t>
        </is>
      </c>
      <c r="L44" s="30" t="n">
        <v>23.0355</v>
      </c>
      <c r="M44" s="10" t="inlineStr">
        <is>
          <t>1001</t>
        </is>
      </c>
      <c r="N44" s="30" t="n">
        <v>31.741</v>
      </c>
      <c r="O44" s="30" t="n">
        <v>79.33499999999999</v>
      </c>
      <c r="P44" s="10" t="inlineStr">
        <is>
          <t>1001</t>
        </is>
      </c>
      <c r="Q44" s="30" t="n">
        <v>4.762</v>
      </c>
      <c r="R44" s="10">
        <f>MAX(MAX(1.4/'Parametros'!$B$3,0.25*SQRT('Parametros'!$B$2)/'Parametros'!$B$3)*H44*U44,(0.85*'Parametros'!$B$2/'Parametros'!$B$3)*(1-SQRT(1-2*(J44*1000000/('Parametros'!$B$5*H44*U44^2))/(0.85*'Parametros'!$B$2)))*H44*U44)</f>
        <v>734.025</v>
      </c>
      <c r="S44" s="31" t="n">
        <v>4</v>
      </c>
      <c r="T44" s="32" t="n">
        <v>1</v>
      </c>
      <c r="U44" s="10">
        <f>IF(T44=1,I44-('Parametros'!$B$7+'Parametros'!$B$9+'Parametros'!$B$12/2),I44-(ROUNDUP(S44/2,0)*('Parametros'!$B$7+'Parametros'!$B$9+'Parametros'!$B$12/2)+ROUNDDOWN(S44/2,0)*('Parametros'!$B$7+'Parametros'!$B$9+'Parametros'!$B$12/2+'Parametros'!$B$12+'Parametros'!$B$10))/S44)</f>
        <v>489.35</v>
      </c>
      <c r="V44" s="10">
        <f>S44*'Parametros'!$B$8</f>
        <v>796</v>
      </c>
      <c r="W44" s="10">
        <f>'Parametros'!$B$5*V44*'Parametros'!$B$3*(U44-(V44*'Parametros'!$B$3/(0.85*'Parametros'!$B$2*H44))/2)/1000000</f>
        <v>142.543330094118</v>
      </c>
      <c r="X44" s="10" t="str">
        <f>IF(W44&gt;=J44,"CUMPLE","NO CUMPLE")</f>
        <v>CUMPLE</v>
      </c>
      <c r="Y44" s="10">
        <f>MAX(MAX(1.4/'Parametros'!$B$3,0.25*SQRT('Parametros'!$B$2)/'Parametros'!$B$3)*H44*AB44,(0.85*'Parametros'!$B$2/'Parametros'!$B$3)*(1-SQRT(1-2*(L44*1000000/('Parametros'!$B$5*H44*AB44^2))/(0.85*'Parametros'!$B$2)))*H44*AB44)</f>
        <v>734.025</v>
      </c>
      <c r="Z44" s="31" t="n">
        <v>4</v>
      </c>
      <c r="AA44" s="32" t="n">
        <v>1</v>
      </c>
      <c r="AB44" s="10">
        <f>IF(AA44=1,I44-('Parametros'!$B$7+'Parametros'!$B$9+'Parametros'!$B$12/2),I44-(ROUNDUP(Z44/2,0)*('Parametros'!$B$7+'Parametros'!$B$9+'Parametros'!$B$12/2)+ROUNDDOWN(Z44/2,0)*('Parametros'!$B$7+'Parametros'!$B$9+'Parametros'!$B$12/2+'Parametros'!$B$12+'Parametros'!$B$10))/Z44)</f>
        <v>489.35</v>
      </c>
      <c r="AC44" s="10">
        <f>Z44*'Parametros'!$B$8</f>
        <v>796</v>
      </c>
      <c r="AD44" s="10">
        <f>'Parametros'!$B$5*AC44*'Parametros'!$B$3*(AB44-(AC44*'Parametros'!$B$3/(0.85*'Parametros'!$B$2*H44))/2)/1000000</f>
        <v>142.543330094118</v>
      </c>
      <c r="AE44" s="10" t="str">
        <f>IF(AD44&gt;=L44,"CUMPLE","NO CUMPLE")</f>
        <v>CUMPLE</v>
      </c>
      <c r="AF44" s="10">
        <f>V44*1.25*'Parametros'!$B$3*(U44-(V44*1.25*'Parametros'!$B$3/(0.85*'Parametros'!$B$2*H44))/2)/1000000</f>
        <v>196.346217941176</v>
      </c>
      <c r="AG44" s="10">
        <f>AC44*1.25*'Parametros'!$B$3*(AB44-(AC44*1.25*'Parametros'!$B$3/(0.85*'Parametros'!$B$2*H44))/2)/1000000</f>
        <v>196.346217941176</v>
      </c>
      <c r="AH44" s="10">
        <f>N44+(AF44+AG44)/D44</f>
        <v>147.238775259516</v>
      </c>
      <c r="AI44" s="10">
        <f>MAX(O44,AH44)</f>
        <v>147.238775259516</v>
      </c>
      <c r="AJ44" s="10">
        <f>0.17*SQRT('Parametros'!$B$2)*H44*MIN(U44,AB44)/1000</f>
        <v>198.088855822627</v>
      </c>
      <c r="AK44" s="10">
        <f>MAX(AI44/'Parametros'!$B$6-AJ44,0)</f>
        <v>0</v>
      </c>
      <c r="AL44" s="10">
        <f>0.66*SQRT('Parametros'!$B$2)*H44*MIN(U44,AB44)/1000</f>
        <v>769.050852017258</v>
      </c>
      <c r="AM44" s="10" t="str">
        <f>IF(AK44&lt;=AL44,"CUMPLE","NO CUMPLE")</f>
        <v>CUMPLE</v>
      </c>
      <c r="AN44" s="17" t="inlineStr">
        <is>
          <t>Nº3 cerrado</t>
        </is>
      </c>
      <c r="AO44" s="31" t="n">
        <v>2</v>
      </c>
      <c r="AP44" s="10">
        <f>ROUNDDOWN(MIN(IF(BC44+BD44=0,1000000000,AO44*BB44/(BC44+BD44)),MIN(U44,AB44)/4,8*'Parametros'!$B$12,24*BA44,300,IF(AV44=0,1000000000,2*((H44-2*('Parametros'!$B$7+'Parametros'!$B$9/2))+(I44-2*('Parametros'!$B$7+'Parametros'!$B$9/2)))/8))/10,0)*10</f>
        <v>120</v>
      </c>
      <c r="AQ44" s="10">
        <f>ROUNDDOWN(MIN(IF(BC44+BD44=0,1000000000,AO44*BB44/(BC44+BD44)),IF(AK44&gt;0.33*SQRT('Parametros'!$B$2)*H44*MIN(U44,AB44)/1000,MIN(U44,AB44)/4,MIN(U44,AB44)/2),600,IF(AV44=0,1000000000,2*((H44-2*('Parametros'!$B$7+'Parametros'!$B$9/2))+(I44-2*('Parametros'!$B$7+'Parametros'!$B$9/2)))/8))/10,0)*10</f>
        <v>240</v>
      </c>
      <c r="AR44" s="10">
        <f>'Parametros'!$B$6*(AJ44+MAX(BE44-BD44,0)*'Parametros'!$B$4*MIN(U44,AB44)/1000)</f>
        <v>330.97185436697</v>
      </c>
      <c r="AS44" s="10" t="str">
        <f>IF(AND(ISERROR(SEARCH("referencia",AN44)),AM44="CUMPLE",AR44&gt;=AI44),"CUMPLE","NO CUMPLE")</f>
        <v>CUMPLE</v>
      </c>
      <c r="AT44" s="10">
        <f>'Parametros'!$B$6*0.083*SQRT('Parametros'!$B$2)*(H44*I44)^2/(2*(H44+I44))/1000000</f>
        <v>10.0887830333379</v>
      </c>
      <c r="AU44" s="10" t="str">
        <f>IF(Q44&lt;=AT44,"DESPRECIABLE","DISEÑAR")</f>
        <v>DESPRECIABLE</v>
      </c>
      <c r="AV44" s="10">
        <f>IF(Q44&lt;=AT44,0,Q44*1000000/('Parametros'!$B$6*2*0.85*(H44-2*('Parametros'!$B$7+'Parametros'!$B$9/2))*(I44-2*('Parametros'!$B$7+'Parametros'!$B$9/2))*'Parametros'!$B$4))</f>
        <v>0</v>
      </c>
      <c r="AW44" s="10">
        <f>AV44*2*((H44-2*('Parametros'!$B$7+'Parametros'!$B$9/2))+(I44-2*('Parametros'!$B$7+'Parametros'!$B$9/2)))*'Parametros'!$B$4/'Parametros'!$B$3</f>
        <v>0</v>
      </c>
      <c r="AX44" s="31" t="n">
        <v>0</v>
      </c>
      <c r="AY44" s="10" t="str">
        <f>IF(AV44=0,"DESPRECIABLE",IF(AND(ISERROR(SEARCH("referencia",AN44)),BB44/AP44&gt;=AV44,BI44&gt;=AW44,BH44="CUMPLE"),"CUMPLE","NO CUMPLE"))</f>
        <v>DESPRECIABLE</v>
      </c>
      <c r="AZ44" s="10" t="str">
        <f>IF(AND(X44="CUMPLE",AE44="CUMPLE",AS44="CUMPLE",OR(AY44="CUMPLE",AY44="DESPRECIABLE"),BH44="CUMPLE",BJ44="CUMPLE"),"CUMPLE","NO CUMPLE")</f>
        <v>CUMPLE</v>
      </c>
      <c r="BA44" s="32" t="n">
        <v>9.5</v>
      </c>
      <c r="BB44" s="32" t="n">
        <v>71</v>
      </c>
      <c r="BC44" s="10">
        <f>MAX(IF(AK44=0,0,AK44*1000/('Parametros'!$B$4*MIN(U44,AB44))),MAX(0.062*SQRT('Parametros'!$B$2)*H44/'Parametros'!$B$4,0.35*H44/'Parametros'!$B$4))</f>
        <v>0.375</v>
      </c>
      <c r="BD44" s="10">
        <f>2*AV44</f>
        <v>0</v>
      </c>
      <c r="BE44" s="10">
        <f>AO44*BB44/AP44</f>
        <v>1.18333333333333</v>
      </c>
      <c r="BF44" s="10">
        <f>SQRT((AI44*1000/(H44*MIN(U44,AB44)))^2+(Q44*1000000*2*((H44-2*('Parametros'!$B$7+'Parametros'!$B$9/2))+(I44-2*('Parametros'!$B$7+'Parametros'!$B$9/2)))/(1.7*((H44-2*('Parametros'!$B$7+'Parametros'!$B$9/2))*(I44-2*('Parametros'!$B$7+'Parametros'!$B$9/2)))^2))^2)</f>
        <v>0.690141753768105</v>
      </c>
      <c r="BG44" s="10">
        <f>'Parametros'!$B$6*(AJ44*1000/(H44*MIN(U44,AB44))+0.66*SQRT('Parametros'!$B$2))</f>
        <v>3.29396038227542</v>
      </c>
      <c r="BH44" s="10" t="str">
        <f>IF(BF44&lt;=BG44,"CUMPLE","NO CUMPLE")</f>
        <v>CUMPLE</v>
      </c>
      <c r="BI44" s="10">
        <f>AX44*'Parametros'!$B$8</f>
        <v>0</v>
      </c>
      <c r="BJ44" s="10" t="str">
        <f>IF(BI44&gt;=AW44,"CUMPLE","NO CUMPLE")</f>
        <v>CUMPLE</v>
      </c>
    </row>
    <row r="45">
      <c r="A45" s="16" t="inlineStr">
        <is>
          <t>VC2</t>
        </is>
      </c>
      <c r="B45" s="16" t="inlineStr">
        <is>
          <t>1002</t>
        </is>
      </c>
      <c r="C45" s="10" t="n">
        <v>1</v>
      </c>
      <c r="D45" s="10" t="n">
        <v>3.4</v>
      </c>
      <c r="E45" s="10" t="n">
        <v>3.4</v>
      </c>
      <c r="F45" s="10" t="n">
        <v>450</v>
      </c>
      <c r="G45" s="10" t="n">
        <v>550</v>
      </c>
      <c r="H45" s="17" t="n">
        <v>450</v>
      </c>
      <c r="I45" s="17" t="n">
        <v>550</v>
      </c>
      <c r="J45" s="30" t="n">
        <v>48.0571</v>
      </c>
      <c r="K45" s="10" t="inlineStr">
        <is>
          <t>1002</t>
        </is>
      </c>
      <c r="L45" s="30" t="n">
        <v>23.0627</v>
      </c>
      <c r="M45" s="10" t="inlineStr">
        <is>
          <t>1002</t>
        </is>
      </c>
      <c r="N45" s="30" t="n">
        <v>31.756</v>
      </c>
      <c r="O45" s="30" t="n">
        <v>79.34999999999999</v>
      </c>
      <c r="P45" s="10" t="inlineStr">
        <is>
          <t>1002</t>
        </is>
      </c>
      <c r="Q45" s="30" t="n">
        <v>4.7624</v>
      </c>
      <c r="R45" s="10">
        <f>MAX(MAX(1.4/'Parametros'!$B$3,0.25*SQRT('Parametros'!$B$2)/'Parametros'!$B$3)*H45*U45,(0.85*'Parametros'!$B$2/'Parametros'!$B$3)*(1-SQRT(1-2*(J45*1000000/('Parametros'!$B$5*H45*U45^2))/(0.85*'Parametros'!$B$2)))*H45*U45)</f>
        <v>734.025</v>
      </c>
      <c r="S45" s="31" t="n">
        <v>4</v>
      </c>
      <c r="T45" s="32" t="n">
        <v>1</v>
      </c>
      <c r="U45" s="10">
        <f>IF(T45=1,I45-('Parametros'!$B$7+'Parametros'!$B$9+'Parametros'!$B$12/2),I45-(ROUNDUP(S45/2,0)*('Parametros'!$B$7+'Parametros'!$B$9+'Parametros'!$B$12/2)+ROUNDDOWN(S45/2,0)*('Parametros'!$B$7+'Parametros'!$B$9+'Parametros'!$B$12/2+'Parametros'!$B$12+'Parametros'!$B$10))/S45)</f>
        <v>489.35</v>
      </c>
      <c r="V45" s="10">
        <f>S45*'Parametros'!$B$8</f>
        <v>796</v>
      </c>
      <c r="W45" s="10">
        <f>'Parametros'!$B$5*V45*'Parametros'!$B$3*(U45-(V45*'Parametros'!$B$3/(0.85*'Parametros'!$B$2*H45))/2)/1000000</f>
        <v>142.543330094118</v>
      </c>
      <c r="X45" s="10" t="str">
        <f>IF(W45&gt;=J45,"CUMPLE","NO CUMPLE")</f>
        <v>CUMPLE</v>
      </c>
      <c r="Y45" s="10">
        <f>MAX(MAX(1.4/'Parametros'!$B$3,0.25*SQRT('Parametros'!$B$2)/'Parametros'!$B$3)*H45*AB45,(0.85*'Parametros'!$B$2/'Parametros'!$B$3)*(1-SQRT(1-2*(L45*1000000/('Parametros'!$B$5*H45*AB45^2))/(0.85*'Parametros'!$B$2)))*H45*AB45)</f>
        <v>734.025</v>
      </c>
      <c r="Z45" s="31" t="n">
        <v>4</v>
      </c>
      <c r="AA45" s="32" t="n">
        <v>1</v>
      </c>
      <c r="AB45" s="10">
        <f>IF(AA45=1,I45-('Parametros'!$B$7+'Parametros'!$B$9+'Parametros'!$B$12/2),I45-(ROUNDUP(Z45/2,0)*('Parametros'!$B$7+'Parametros'!$B$9+'Parametros'!$B$12/2)+ROUNDDOWN(Z45/2,0)*('Parametros'!$B$7+'Parametros'!$B$9+'Parametros'!$B$12/2+'Parametros'!$B$12+'Parametros'!$B$10))/Z45)</f>
        <v>489.35</v>
      </c>
      <c r="AC45" s="10">
        <f>Z45*'Parametros'!$B$8</f>
        <v>796</v>
      </c>
      <c r="AD45" s="10">
        <f>'Parametros'!$B$5*AC45*'Parametros'!$B$3*(AB45-(AC45*'Parametros'!$B$3/(0.85*'Parametros'!$B$2*H45))/2)/1000000</f>
        <v>142.543330094118</v>
      </c>
      <c r="AE45" s="10" t="str">
        <f>IF(AD45&gt;=L45,"CUMPLE","NO CUMPLE")</f>
        <v>CUMPLE</v>
      </c>
      <c r="AF45" s="10">
        <f>V45*1.25*'Parametros'!$B$3*(U45-(V45*1.25*'Parametros'!$B$3/(0.85*'Parametros'!$B$2*H45))/2)/1000000</f>
        <v>196.346217941176</v>
      </c>
      <c r="AG45" s="10">
        <f>AC45*1.25*'Parametros'!$B$3*(AB45-(AC45*1.25*'Parametros'!$B$3/(0.85*'Parametros'!$B$2*H45))/2)/1000000</f>
        <v>196.346217941176</v>
      </c>
      <c r="AH45" s="10">
        <f>N45+(AF45+AG45)/D45</f>
        <v>147.253775259516</v>
      </c>
      <c r="AI45" s="10">
        <f>MAX(O45,AH45)</f>
        <v>147.253775259516</v>
      </c>
      <c r="AJ45" s="10">
        <f>0.17*SQRT('Parametros'!$B$2)*H45*MIN(U45,AB45)/1000</f>
        <v>198.088855822627</v>
      </c>
      <c r="AK45" s="10">
        <f>MAX(AI45/'Parametros'!$B$6-AJ45,0)</f>
        <v>0</v>
      </c>
      <c r="AL45" s="10">
        <f>0.66*SQRT('Parametros'!$B$2)*H45*MIN(U45,AB45)/1000</f>
        <v>769.050852017258</v>
      </c>
      <c r="AM45" s="10" t="str">
        <f>IF(AK45&lt;=AL45,"CUMPLE","NO CUMPLE")</f>
        <v>CUMPLE</v>
      </c>
      <c r="AN45" s="17" t="inlineStr">
        <is>
          <t>Nº3 cerrado</t>
        </is>
      </c>
      <c r="AO45" s="31" t="n">
        <v>2</v>
      </c>
      <c r="AP45" s="10">
        <f>ROUNDDOWN(MIN(IF(BC45+BD45=0,1000000000,AO45*BB45/(BC45+BD45)),MIN(U45,AB45)/4,8*'Parametros'!$B$12,24*BA45,300,IF(AV45=0,1000000000,2*((H45-2*('Parametros'!$B$7+'Parametros'!$B$9/2))+(I45-2*('Parametros'!$B$7+'Parametros'!$B$9/2)))/8))/10,0)*10</f>
        <v>120</v>
      </c>
      <c r="AQ45" s="10">
        <f>ROUNDDOWN(MIN(IF(BC45+BD45=0,1000000000,AO45*BB45/(BC45+BD45)),IF(AK45&gt;0.33*SQRT('Parametros'!$B$2)*H45*MIN(U45,AB45)/1000,MIN(U45,AB45)/4,MIN(U45,AB45)/2),600,IF(AV45=0,1000000000,2*((H45-2*('Parametros'!$B$7+'Parametros'!$B$9/2))+(I45-2*('Parametros'!$B$7+'Parametros'!$B$9/2)))/8))/10,0)*10</f>
        <v>240</v>
      </c>
      <c r="AR45" s="10">
        <f>'Parametros'!$B$6*(AJ45+MAX(BE45-BD45,0)*'Parametros'!$B$4*MIN(U45,AB45)/1000)</f>
        <v>330.97185436697</v>
      </c>
      <c r="AS45" s="10" t="str">
        <f>IF(AND(ISERROR(SEARCH("referencia",AN45)),AM45="CUMPLE",AR45&gt;=AI45),"CUMPLE","NO CUMPLE")</f>
        <v>CUMPLE</v>
      </c>
      <c r="AT45" s="10">
        <f>'Parametros'!$B$6*0.083*SQRT('Parametros'!$B$2)*(H45*I45)^2/(2*(H45+I45))/1000000</f>
        <v>10.0887830333379</v>
      </c>
      <c r="AU45" s="10" t="str">
        <f>IF(Q45&lt;=AT45,"DESPRECIABLE","DISEÑAR")</f>
        <v>DESPRECIABLE</v>
      </c>
      <c r="AV45" s="10">
        <f>IF(Q45&lt;=AT45,0,Q45*1000000/('Parametros'!$B$6*2*0.85*(H45-2*('Parametros'!$B$7+'Parametros'!$B$9/2))*(I45-2*('Parametros'!$B$7+'Parametros'!$B$9/2))*'Parametros'!$B$4))</f>
        <v>0</v>
      </c>
      <c r="AW45" s="10">
        <f>AV45*2*((H45-2*('Parametros'!$B$7+'Parametros'!$B$9/2))+(I45-2*('Parametros'!$B$7+'Parametros'!$B$9/2)))*'Parametros'!$B$4/'Parametros'!$B$3</f>
        <v>0</v>
      </c>
      <c r="AX45" s="31" t="n">
        <v>0</v>
      </c>
      <c r="AY45" s="10" t="str">
        <f>IF(AV45=0,"DESPRECIABLE",IF(AND(ISERROR(SEARCH("referencia",AN45)),BB45/AP45&gt;=AV45,BI45&gt;=AW45,BH45="CUMPLE"),"CUMPLE","NO CUMPLE"))</f>
        <v>DESPRECIABLE</v>
      </c>
      <c r="AZ45" s="10" t="str">
        <f>IF(AND(X45="CUMPLE",AE45="CUMPLE",AS45="CUMPLE",OR(AY45="CUMPLE",AY45="DESPRECIABLE"),BH45="CUMPLE",BJ45="CUMPLE"),"CUMPLE","NO CUMPLE")</f>
        <v>CUMPLE</v>
      </c>
      <c r="BA45" s="32" t="n">
        <v>9.5</v>
      </c>
      <c r="BB45" s="32" t="n">
        <v>71</v>
      </c>
      <c r="BC45" s="10">
        <f>MAX(IF(AK45=0,0,AK45*1000/('Parametros'!$B$4*MIN(U45,AB45))),MAX(0.062*SQRT('Parametros'!$B$2)*H45/'Parametros'!$B$4,0.35*H45/'Parametros'!$B$4))</f>
        <v>0.375</v>
      </c>
      <c r="BD45" s="10">
        <f>2*AV45</f>
        <v>0</v>
      </c>
      <c r="BE45" s="10">
        <f>AO45*BB45/AP45</f>
        <v>1.18333333333333</v>
      </c>
      <c r="BF45" s="10">
        <f>SQRT((AI45*1000/(H45*MIN(U45,AB45)))^2+(Q45*1000000*2*((H45-2*('Parametros'!$B$7+'Parametros'!$B$9/2))+(I45-2*('Parametros'!$B$7+'Parametros'!$B$9/2)))/(1.7*((H45-2*('Parametros'!$B$7+'Parametros'!$B$9/2))*(I45-2*('Parametros'!$B$7+'Parametros'!$B$9/2)))^2))^2)</f>
        <v>0.690211305279489</v>
      </c>
      <c r="BG45" s="10">
        <f>'Parametros'!$B$6*(AJ45*1000/(H45*MIN(U45,AB45))+0.66*SQRT('Parametros'!$B$2))</f>
        <v>3.29396038227542</v>
      </c>
      <c r="BH45" s="10" t="str">
        <f>IF(BF45&lt;=BG45,"CUMPLE","NO CUMPLE")</f>
        <v>CUMPLE</v>
      </c>
      <c r="BI45" s="10">
        <f>AX45*'Parametros'!$B$8</f>
        <v>0</v>
      </c>
      <c r="BJ45" s="10" t="str">
        <f>IF(BI45&gt;=AW45,"CUMPLE","NO CUMPLE")</f>
        <v>CUMPLE</v>
      </c>
    </row>
    <row r="46">
      <c r="A46" s="16" t="inlineStr">
        <is>
          <t>VC2</t>
        </is>
      </c>
      <c r="B46" s="16" t="inlineStr">
        <is>
          <t>1039</t>
        </is>
      </c>
      <c r="C46" s="10" t="n">
        <v>1</v>
      </c>
      <c r="D46" s="10" t="n">
        <v>3.4</v>
      </c>
      <c r="E46" s="10" t="n">
        <v>3.4</v>
      </c>
      <c r="F46" s="10" t="n">
        <v>450</v>
      </c>
      <c r="G46" s="10" t="n">
        <v>550</v>
      </c>
      <c r="H46" s="17" t="n">
        <v>450</v>
      </c>
      <c r="I46" s="17" t="n">
        <v>550</v>
      </c>
      <c r="J46" s="30" t="n">
        <v>48.0586</v>
      </c>
      <c r="K46" s="10" t="inlineStr">
        <is>
          <t>1039</t>
        </is>
      </c>
      <c r="L46" s="30" t="n">
        <v>23.0642</v>
      </c>
      <c r="M46" s="10" t="inlineStr">
        <is>
          <t>1039</t>
        </is>
      </c>
      <c r="N46" s="30" t="n">
        <v>31.757</v>
      </c>
      <c r="O46" s="30" t="n">
        <v>79.363</v>
      </c>
      <c r="P46" s="10" t="inlineStr">
        <is>
          <t>1039</t>
        </is>
      </c>
      <c r="Q46" s="30" t="n">
        <v>4.7647</v>
      </c>
      <c r="R46" s="10">
        <f>MAX(MAX(1.4/'Parametros'!$B$3,0.25*SQRT('Parametros'!$B$2)/'Parametros'!$B$3)*H46*U46,(0.85*'Parametros'!$B$2/'Parametros'!$B$3)*(1-SQRT(1-2*(J46*1000000/('Parametros'!$B$5*H46*U46^2))/(0.85*'Parametros'!$B$2)))*H46*U46)</f>
        <v>734.025</v>
      </c>
      <c r="S46" s="31" t="n">
        <v>4</v>
      </c>
      <c r="T46" s="32" t="n">
        <v>1</v>
      </c>
      <c r="U46" s="10">
        <f>IF(T46=1,I46-('Parametros'!$B$7+'Parametros'!$B$9+'Parametros'!$B$12/2),I46-(ROUNDUP(S46/2,0)*('Parametros'!$B$7+'Parametros'!$B$9+'Parametros'!$B$12/2)+ROUNDDOWN(S46/2,0)*('Parametros'!$B$7+'Parametros'!$B$9+'Parametros'!$B$12/2+'Parametros'!$B$12+'Parametros'!$B$10))/S46)</f>
        <v>489.35</v>
      </c>
      <c r="V46" s="10">
        <f>S46*'Parametros'!$B$8</f>
        <v>796</v>
      </c>
      <c r="W46" s="10">
        <f>'Parametros'!$B$5*V46*'Parametros'!$B$3*(U46-(V46*'Parametros'!$B$3/(0.85*'Parametros'!$B$2*H46))/2)/1000000</f>
        <v>142.543330094118</v>
      </c>
      <c r="X46" s="10" t="str">
        <f>IF(W46&gt;=J46,"CUMPLE","NO CUMPLE")</f>
        <v>CUMPLE</v>
      </c>
      <c r="Y46" s="10">
        <f>MAX(MAX(1.4/'Parametros'!$B$3,0.25*SQRT('Parametros'!$B$2)/'Parametros'!$B$3)*H46*AB46,(0.85*'Parametros'!$B$2/'Parametros'!$B$3)*(1-SQRT(1-2*(L46*1000000/('Parametros'!$B$5*H46*AB46^2))/(0.85*'Parametros'!$B$2)))*H46*AB46)</f>
        <v>734.025</v>
      </c>
      <c r="Z46" s="31" t="n">
        <v>4</v>
      </c>
      <c r="AA46" s="32" t="n">
        <v>1</v>
      </c>
      <c r="AB46" s="10">
        <f>IF(AA46=1,I46-('Parametros'!$B$7+'Parametros'!$B$9+'Parametros'!$B$12/2),I46-(ROUNDUP(Z46/2,0)*('Parametros'!$B$7+'Parametros'!$B$9+'Parametros'!$B$12/2)+ROUNDDOWN(Z46/2,0)*('Parametros'!$B$7+'Parametros'!$B$9+'Parametros'!$B$12/2+'Parametros'!$B$12+'Parametros'!$B$10))/Z46)</f>
        <v>489.35</v>
      </c>
      <c r="AC46" s="10">
        <f>Z46*'Parametros'!$B$8</f>
        <v>796</v>
      </c>
      <c r="AD46" s="10">
        <f>'Parametros'!$B$5*AC46*'Parametros'!$B$3*(AB46-(AC46*'Parametros'!$B$3/(0.85*'Parametros'!$B$2*H46))/2)/1000000</f>
        <v>142.543330094118</v>
      </c>
      <c r="AE46" s="10" t="str">
        <f>IF(AD46&gt;=L46,"CUMPLE","NO CUMPLE")</f>
        <v>CUMPLE</v>
      </c>
      <c r="AF46" s="10">
        <f>V46*1.25*'Parametros'!$B$3*(U46-(V46*1.25*'Parametros'!$B$3/(0.85*'Parametros'!$B$2*H46))/2)/1000000</f>
        <v>196.346217941176</v>
      </c>
      <c r="AG46" s="10">
        <f>AC46*1.25*'Parametros'!$B$3*(AB46-(AC46*1.25*'Parametros'!$B$3/(0.85*'Parametros'!$B$2*H46))/2)/1000000</f>
        <v>196.346217941176</v>
      </c>
      <c r="AH46" s="10">
        <f>N46+(AF46+AG46)/D46</f>
        <v>147.254775259516</v>
      </c>
      <c r="AI46" s="10">
        <f>MAX(O46,AH46)</f>
        <v>147.254775259516</v>
      </c>
      <c r="AJ46" s="10">
        <f>0.17*SQRT('Parametros'!$B$2)*H46*MIN(U46,AB46)/1000</f>
        <v>198.088855822627</v>
      </c>
      <c r="AK46" s="10">
        <f>MAX(AI46/'Parametros'!$B$6-AJ46,0)</f>
        <v>0</v>
      </c>
      <c r="AL46" s="10">
        <f>0.66*SQRT('Parametros'!$B$2)*H46*MIN(U46,AB46)/1000</f>
        <v>769.050852017258</v>
      </c>
      <c r="AM46" s="10" t="str">
        <f>IF(AK46&lt;=AL46,"CUMPLE","NO CUMPLE")</f>
        <v>CUMPLE</v>
      </c>
      <c r="AN46" s="17" t="inlineStr">
        <is>
          <t>Nº3 cerrado</t>
        </is>
      </c>
      <c r="AO46" s="31" t="n">
        <v>2</v>
      </c>
      <c r="AP46" s="10">
        <f>ROUNDDOWN(MIN(IF(BC46+BD46=0,1000000000,AO46*BB46/(BC46+BD46)),MIN(U46,AB46)/4,8*'Parametros'!$B$12,24*BA46,300,IF(AV46=0,1000000000,2*((H46-2*('Parametros'!$B$7+'Parametros'!$B$9/2))+(I46-2*('Parametros'!$B$7+'Parametros'!$B$9/2)))/8))/10,0)*10</f>
        <v>120</v>
      </c>
      <c r="AQ46" s="10">
        <f>ROUNDDOWN(MIN(IF(BC46+BD46=0,1000000000,AO46*BB46/(BC46+BD46)),IF(AK46&gt;0.33*SQRT('Parametros'!$B$2)*H46*MIN(U46,AB46)/1000,MIN(U46,AB46)/4,MIN(U46,AB46)/2),600,IF(AV46=0,1000000000,2*((H46-2*('Parametros'!$B$7+'Parametros'!$B$9/2))+(I46-2*('Parametros'!$B$7+'Parametros'!$B$9/2)))/8))/10,0)*10</f>
        <v>240</v>
      </c>
      <c r="AR46" s="10">
        <f>'Parametros'!$B$6*(AJ46+MAX(BE46-BD46,0)*'Parametros'!$B$4*MIN(U46,AB46)/1000)</f>
        <v>330.97185436697</v>
      </c>
      <c r="AS46" s="10" t="str">
        <f>IF(AND(ISERROR(SEARCH("referencia",AN46)),AM46="CUMPLE",AR46&gt;=AI46),"CUMPLE","NO CUMPLE")</f>
        <v>CUMPLE</v>
      </c>
      <c r="AT46" s="10">
        <f>'Parametros'!$B$6*0.083*SQRT('Parametros'!$B$2)*(H46*I46)^2/(2*(H46+I46))/1000000</f>
        <v>10.0887830333379</v>
      </c>
      <c r="AU46" s="10" t="str">
        <f>IF(Q46&lt;=AT46,"DESPRECIABLE","DISEÑAR")</f>
        <v>DESPRECIABLE</v>
      </c>
      <c r="AV46" s="10">
        <f>IF(Q46&lt;=AT46,0,Q46*1000000/('Parametros'!$B$6*2*0.85*(H46-2*('Parametros'!$B$7+'Parametros'!$B$9/2))*(I46-2*('Parametros'!$B$7+'Parametros'!$B$9/2))*'Parametros'!$B$4))</f>
        <v>0</v>
      </c>
      <c r="AW46" s="10">
        <f>AV46*2*((H46-2*('Parametros'!$B$7+'Parametros'!$B$9/2))+(I46-2*('Parametros'!$B$7+'Parametros'!$B$9/2)))*'Parametros'!$B$4/'Parametros'!$B$3</f>
        <v>0</v>
      </c>
      <c r="AX46" s="31" t="n">
        <v>0</v>
      </c>
      <c r="AY46" s="10" t="str">
        <f>IF(AV46=0,"DESPRECIABLE",IF(AND(ISERROR(SEARCH("referencia",AN46)),BB46/AP46&gt;=AV46,BI46&gt;=AW46,BH46="CUMPLE"),"CUMPLE","NO CUMPLE"))</f>
        <v>DESPRECIABLE</v>
      </c>
      <c r="AZ46" s="10" t="str">
        <f>IF(AND(X46="CUMPLE",AE46="CUMPLE",AS46="CUMPLE",OR(AY46="CUMPLE",AY46="DESPRECIABLE"),BH46="CUMPLE",BJ46="CUMPLE"),"CUMPLE","NO CUMPLE")</f>
        <v>CUMPLE</v>
      </c>
      <c r="BA46" s="32" t="n">
        <v>9.5</v>
      </c>
      <c r="BB46" s="32" t="n">
        <v>71</v>
      </c>
      <c r="BC46" s="10">
        <f>MAX(IF(AK46=0,0,AK46*1000/('Parametros'!$B$4*MIN(U46,AB46))),MAX(0.062*SQRT('Parametros'!$B$2)*H46/'Parametros'!$B$4,0.35*H46/'Parametros'!$B$4))</f>
        <v>0.375</v>
      </c>
      <c r="BD46" s="10">
        <f>2*AV46</f>
        <v>0</v>
      </c>
      <c r="BE46" s="10">
        <f>AO46*BB46/AP46</f>
        <v>1.18333333333333</v>
      </c>
      <c r="BF46" s="10">
        <f>SQRT((AI46*1000/(H46*MIN(U46,AB46)))^2+(Q46*1000000*2*((H46-2*('Parametros'!$B$7+'Parametros'!$B$9/2))+(I46-2*('Parametros'!$B$7+'Parametros'!$B$9/2)))/(1.7*((H46-2*('Parametros'!$B$7+'Parametros'!$B$9/2))*(I46-2*('Parametros'!$B$7+'Parametros'!$B$9/2)))^2))^2)</f>
        <v>0.690236159098379</v>
      </c>
      <c r="BG46" s="10">
        <f>'Parametros'!$B$6*(AJ46*1000/(H46*MIN(U46,AB46))+0.66*SQRT('Parametros'!$B$2))</f>
        <v>3.29396038227542</v>
      </c>
      <c r="BH46" s="10" t="str">
        <f>IF(BF46&lt;=BG46,"CUMPLE","NO CUMPLE")</f>
        <v>CUMPLE</v>
      </c>
      <c r="BI46" s="10">
        <f>AX46*'Parametros'!$B$8</f>
        <v>0</v>
      </c>
      <c r="BJ46" s="10" t="str">
        <f>IF(BI46&gt;=AW46,"CUMPLE","NO CUMPLE")</f>
        <v>CUMPLE</v>
      </c>
    </row>
    <row r="47">
      <c r="A47" s="16" t="inlineStr">
        <is>
          <t>VC2</t>
        </is>
      </c>
      <c r="B47" s="16" t="inlineStr">
        <is>
          <t>1040</t>
        </is>
      </c>
      <c r="C47" s="10" t="n">
        <v>1</v>
      </c>
      <c r="D47" s="10" t="n">
        <v>3.4</v>
      </c>
      <c r="E47" s="10" t="n">
        <v>3.4</v>
      </c>
      <c r="F47" s="10" t="n">
        <v>450</v>
      </c>
      <c r="G47" s="10" t="n">
        <v>550</v>
      </c>
      <c r="H47" s="17" t="n">
        <v>450</v>
      </c>
      <c r="I47" s="17" t="n">
        <v>550</v>
      </c>
      <c r="J47" s="30" t="n">
        <v>48.0347</v>
      </c>
      <c r="K47" s="10" t="inlineStr">
        <is>
          <t>1040</t>
        </is>
      </c>
      <c r="L47" s="30" t="n">
        <v>23.0448</v>
      </c>
      <c r="M47" s="10" t="inlineStr">
        <is>
          <t>1040</t>
        </is>
      </c>
      <c r="N47" s="30" t="n">
        <v>31.746</v>
      </c>
      <c r="O47" s="30" t="n">
        <v>79.352</v>
      </c>
      <c r="P47" s="10" t="inlineStr">
        <is>
          <t>1040</t>
        </is>
      </c>
      <c r="Q47" s="30" t="n">
        <v>4.7641</v>
      </c>
      <c r="R47" s="10">
        <f>MAX(MAX(1.4/'Parametros'!$B$3,0.25*SQRT('Parametros'!$B$2)/'Parametros'!$B$3)*H47*U47,(0.85*'Parametros'!$B$2/'Parametros'!$B$3)*(1-SQRT(1-2*(J47*1000000/('Parametros'!$B$5*H47*U47^2))/(0.85*'Parametros'!$B$2)))*H47*U47)</f>
        <v>734.025</v>
      </c>
      <c r="S47" s="31" t="n">
        <v>4</v>
      </c>
      <c r="T47" s="32" t="n">
        <v>1</v>
      </c>
      <c r="U47" s="10">
        <f>IF(T47=1,I47-('Parametros'!$B$7+'Parametros'!$B$9+'Parametros'!$B$12/2),I47-(ROUNDUP(S47/2,0)*('Parametros'!$B$7+'Parametros'!$B$9+'Parametros'!$B$12/2)+ROUNDDOWN(S47/2,0)*('Parametros'!$B$7+'Parametros'!$B$9+'Parametros'!$B$12/2+'Parametros'!$B$12+'Parametros'!$B$10))/S47)</f>
        <v>489.35</v>
      </c>
      <c r="V47" s="10">
        <f>S47*'Parametros'!$B$8</f>
        <v>796</v>
      </c>
      <c r="W47" s="10">
        <f>'Parametros'!$B$5*V47*'Parametros'!$B$3*(U47-(V47*'Parametros'!$B$3/(0.85*'Parametros'!$B$2*H47))/2)/1000000</f>
        <v>142.543330094118</v>
      </c>
      <c r="X47" s="10" t="str">
        <f>IF(W47&gt;=J47,"CUMPLE","NO CUMPLE")</f>
        <v>CUMPLE</v>
      </c>
      <c r="Y47" s="10">
        <f>MAX(MAX(1.4/'Parametros'!$B$3,0.25*SQRT('Parametros'!$B$2)/'Parametros'!$B$3)*H47*AB47,(0.85*'Parametros'!$B$2/'Parametros'!$B$3)*(1-SQRT(1-2*(L47*1000000/('Parametros'!$B$5*H47*AB47^2))/(0.85*'Parametros'!$B$2)))*H47*AB47)</f>
        <v>734.025</v>
      </c>
      <c r="Z47" s="31" t="n">
        <v>4</v>
      </c>
      <c r="AA47" s="32" t="n">
        <v>1</v>
      </c>
      <c r="AB47" s="10">
        <f>IF(AA47=1,I47-('Parametros'!$B$7+'Parametros'!$B$9+'Parametros'!$B$12/2),I47-(ROUNDUP(Z47/2,0)*('Parametros'!$B$7+'Parametros'!$B$9+'Parametros'!$B$12/2)+ROUNDDOWN(Z47/2,0)*('Parametros'!$B$7+'Parametros'!$B$9+'Parametros'!$B$12/2+'Parametros'!$B$12+'Parametros'!$B$10))/Z47)</f>
        <v>489.35</v>
      </c>
      <c r="AC47" s="10">
        <f>Z47*'Parametros'!$B$8</f>
        <v>796</v>
      </c>
      <c r="AD47" s="10">
        <f>'Parametros'!$B$5*AC47*'Parametros'!$B$3*(AB47-(AC47*'Parametros'!$B$3/(0.85*'Parametros'!$B$2*H47))/2)/1000000</f>
        <v>142.543330094118</v>
      </c>
      <c r="AE47" s="10" t="str">
        <f>IF(AD47&gt;=L47,"CUMPLE","NO CUMPLE")</f>
        <v>CUMPLE</v>
      </c>
      <c r="AF47" s="10">
        <f>V47*1.25*'Parametros'!$B$3*(U47-(V47*1.25*'Parametros'!$B$3/(0.85*'Parametros'!$B$2*H47))/2)/1000000</f>
        <v>196.346217941176</v>
      </c>
      <c r="AG47" s="10">
        <f>AC47*1.25*'Parametros'!$B$3*(AB47-(AC47*1.25*'Parametros'!$B$3/(0.85*'Parametros'!$B$2*H47))/2)/1000000</f>
        <v>196.346217941176</v>
      </c>
      <c r="AH47" s="10">
        <f>N47+(AF47+AG47)/D47</f>
        <v>147.243775259516</v>
      </c>
      <c r="AI47" s="10">
        <f>MAX(O47,AH47)</f>
        <v>147.243775259516</v>
      </c>
      <c r="AJ47" s="10">
        <f>0.17*SQRT('Parametros'!$B$2)*H47*MIN(U47,AB47)/1000</f>
        <v>198.088855822627</v>
      </c>
      <c r="AK47" s="10">
        <f>MAX(AI47/'Parametros'!$B$6-AJ47,0)</f>
        <v>0</v>
      </c>
      <c r="AL47" s="10">
        <f>0.66*SQRT('Parametros'!$B$2)*H47*MIN(U47,AB47)/1000</f>
        <v>769.050852017258</v>
      </c>
      <c r="AM47" s="10" t="str">
        <f>IF(AK47&lt;=AL47,"CUMPLE","NO CUMPLE")</f>
        <v>CUMPLE</v>
      </c>
      <c r="AN47" s="17" t="inlineStr">
        <is>
          <t>Nº3 cerrado</t>
        </is>
      </c>
      <c r="AO47" s="31" t="n">
        <v>2</v>
      </c>
      <c r="AP47" s="10">
        <f>ROUNDDOWN(MIN(IF(BC47+BD47=0,1000000000,AO47*BB47/(BC47+BD47)),MIN(U47,AB47)/4,8*'Parametros'!$B$12,24*BA47,300,IF(AV47=0,1000000000,2*((H47-2*('Parametros'!$B$7+'Parametros'!$B$9/2))+(I47-2*('Parametros'!$B$7+'Parametros'!$B$9/2)))/8))/10,0)*10</f>
        <v>120</v>
      </c>
      <c r="AQ47" s="10">
        <f>ROUNDDOWN(MIN(IF(BC47+BD47=0,1000000000,AO47*BB47/(BC47+BD47)),IF(AK47&gt;0.33*SQRT('Parametros'!$B$2)*H47*MIN(U47,AB47)/1000,MIN(U47,AB47)/4,MIN(U47,AB47)/2),600,IF(AV47=0,1000000000,2*((H47-2*('Parametros'!$B$7+'Parametros'!$B$9/2))+(I47-2*('Parametros'!$B$7+'Parametros'!$B$9/2)))/8))/10,0)*10</f>
        <v>240</v>
      </c>
      <c r="AR47" s="10">
        <f>'Parametros'!$B$6*(AJ47+MAX(BE47-BD47,0)*'Parametros'!$B$4*MIN(U47,AB47)/1000)</f>
        <v>330.97185436697</v>
      </c>
      <c r="AS47" s="10" t="str">
        <f>IF(AND(ISERROR(SEARCH("referencia",AN47)),AM47="CUMPLE",AR47&gt;=AI47),"CUMPLE","NO CUMPLE")</f>
        <v>CUMPLE</v>
      </c>
      <c r="AT47" s="10">
        <f>'Parametros'!$B$6*0.083*SQRT('Parametros'!$B$2)*(H47*I47)^2/(2*(H47+I47))/1000000</f>
        <v>10.0887830333379</v>
      </c>
      <c r="AU47" s="10" t="str">
        <f>IF(Q47&lt;=AT47,"DESPRECIABLE","DISEÑAR")</f>
        <v>DESPRECIABLE</v>
      </c>
      <c r="AV47" s="10">
        <f>IF(Q47&lt;=AT47,0,Q47*1000000/('Parametros'!$B$6*2*0.85*(H47-2*('Parametros'!$B$7+'Parametros'!$B$9/2))*(I47-2*('Parametros'!$B$7+'Parametros'!$B$9/2))*'Parametros'!$B$4))</f>
        <v>0</v>
      </c>
      <c r="AW47" s="10">
        <f>AV47*2*((H47-2*('Parametros'!$B$7+'Parametros'!$B$9/2))+(I47-2*('Parametros'!$B$7+'Parametros'!$B$9/2)))*'Parametros'!$B$4/'Parametros'!$B$3</f>
        <v>0</v>
      </c>
      <c r="AX47" s="31" t="n">
        <v>0</v>
      </c>
      <c r="AY47" s="10" t="str">
        <f>IF(AV47=0,"DESPRECIABLE",IF(AND(ISERROR(SEARCH("referencia",AN47)),BB47/AP47&gt;=AV47,BI47&gt;=AW47,BH47="CUMPLE"),"CUMPLE","NO CUMPLE"))</f>
        <v>DESPRECIABLE</v>
      </c>
      <c r="AZ47" s="10" t="str">
        <f>IF(AND(X47="CUMPLE",AE47="CUMPLE",AS47="CUMPLE",OR(AY47="CUMPLE",AY47="DESPRECIABLE"),BH47="CUMPLE",BJ47="CUMPLE"),"CUMPLE","NO CUMPLE")</f>
        <v>CUMPLE</v>
      </c>
      <c r="BA47" s="32" t="n">
        <v>9.5</v>
      </c>
      <c r="BB47" s="32" t="n">
        <v>71</v>
      </c>
      <c r="BC47" s="10">
        <f>MAX(IF(AK47=0,0,AK47*1000/('Parametros'!$B$4*MIN(U47,AB47))),MAX(0.062*SQRT('Parametros'!$B$2)*H47/'Parametros'!$B$4,0.35*H47/'Parametros'!$B$4))</f>
        <v>0.375</v>
      </c>
      <c r="BD47" s="10">
        <f>2*AV47</f>
        <v>0</v>
      </c>
      <c r="BE47" s="10">
        <f>AO47*BB47/AP47</f>
        <v>1.18333333333333</v>
      </c>
      <c r="BF47" s="10">
        <f>SQRT((AI47*1000/(H47*MIN(U47,AB47)))^2+(Q47*1000000*2*((H47-2*('Parametros'!$B$7+'Parametros'!$B$9/2))+(I47-2*('Parametros'!$B$7+'Parametros'!$B$9/2)))/(1.7*((H47-2*('Parametros'!$B$7+'Parametros'!$B$9/2))*(I47-2*('Parametros'!$B$7+'Parametros'!$B$9/2)))^2))^2)</f>
        <v>0.690182427114986</v>
      </c>
      <c r="BG47" s="10">
        <f>'Parametros'!$B$6*(AJ47*1000/(H47*MIN(U47,AB47))+0.66*SQRT('Parametros'!$B$2))</f>
        <v>3.29396038227542</v>
      </c>
      <c r="BH47" s="10" t="str">
        <f>IF(BF47&lt;=BG47,"CUMPLE","NO CUMPLE")</f>
        <v>CUMPLE</v>
      </c>
      <c r="BI47" s="10">
        <f>AX47*'Parametros'!$B$8</f>
        <v>0</v>
      </c>
      <c r="BJ47" s="10" t="str">
        <f>IF(BI47&gt;=AW47,"CUMPLE","NO CUMPLE")</f>
        <v>CUMPLE</v>
      </c>
    </row>
    <row r="48">
      <c r="A48" s="16" t="inlineStr">
        <is>
          <t>VC2</t>
        </is>
      </c>
      <c r="B48" s="16" t="inlineStr">
        <is>
          <t>1363</t>
        </is>
      </c>
      <c r="C48" s="10" t="n">
        <v>1</v>
      </c>
      <c r="D48" s="10" t="n">
        <v>3.15</v>
      </c>
      <c r="E48" s="10" t="n">
        <v>3.15</v>
      </c>
      <c r="F48" s="10" t="n">
        <v>450</v>
      </c>
      <c r="G48" s="10" t="n">
        <v>550</v>
      </c>
      <c r="H48" s="17" t="n">
        <v>450</v>
      </c>
      <c r="I48" s="17" t="n">
        <v>550</v>
      </c>
      <c r="J48" s="30" t="n">
        <v>139.6094</v>
      </c>
      <c r="K48" s="10" t="inlineStr">
        <is>
          <t>1363</t>
        </is>
      </c>
      <c r="L48" s="30" t="n">
        <v>126.5889</v>
      </c>
      <c r="M48" s="10" t="inlineStr">
        <is>
          <t>1363</t>
        </is>
      </c>
      <c r="N48" s="30" t="n">
        <v>84.108</v>
      </c>
      <c r="O48" s="30" t="n">
        <v>348.756</v>
      </c>
      <c r="P48" s="10" t="inlineStr">
        <is>
          <t>1363</t>
        </is>
      </c>
      <c r="Q48" s="30" t="n">
        <v>3.855</v>
      </c>
      <c r="R48" s="10">
        <f>MAX(MAX(1.4/'Parametros'!$B$3,0.25*SQRT('Parametros'!$B$2)/'Parametros'!$B$3)*H48*U48,(0.85*'Parametros'!$B$2/'Parametros'!$B$3)*(1-SQRT(1-2*(J48*1000000/('Parametros'!$B$5*H48*U48^2))/(0.85*'Parametros'!$B$2)))*H48*U48)</f>
        <v>779.070248914959</v>
      </c>
      <c r="S48" s="31" t="n">
        <v>4</v>
      </c>
      <c r="T48" s="32" t="n">
        <v>1</v>
      </c>
      <c r="U48" s="10">
        <f>IF(T48=1,I48-('Parametros'!$B$7+'Parametros'!$B$9+'Parametros'!$B$12/2),I48-(ROUNDUP(S48/2,0)*('Parametros'!$B$7+'Parametros'!$B$9+'Parametros'!$B$12/2)+ROUNDDOWN(S48/2,0)*('Parametros'!$B$7+'Parametros'!$B$9+'Parametros'!$B$12/2+'Parametros'!$B$12+'Parametros'!$B$10))/S48)</f>
        <v>489.35</v>
      </c>
      <c r="V48" s="10">
        <f>S48*'Parametros'!$B$8</f>
        <v>796</v>
      </c>
      <c r="W48" s="10">
        <f>'Parametros'!$B$5*V48*'Parametros'!$B$3*(U48-(V48*'Parametros'!$B$3/(0.85*'Parametros'!$B$2*H48))/2)/1000000</f>
        <v>142.543330094118</v>
      </c>
      <c r="X48" s="10" t="str">
        <f>IF(W48&gt;=J48,"CUMPLE","NO CUMPLE")</f>
        <v>CUMPLE</v>
      </c>
      <c r="Y48" s="10">
        <f>MAX(MAX(1.4/'Parametros'!$B$3,0.25*SQRT('Parametros'!$B$2)/'Parametros'!$B$3)*H48*AB48,(0.85*'Parametros'!$B$2/'Parametros'!$B$3)*(1-SQRT(1-2*(L48*1000000/('Parametros'!$B$5*H48*AB48^2))/(0.85*'Parametros'!$B$2)))*H48*AB48)</f>
        <v>734.025</v>
      </c>
      <c r="Z48" s="31" t="n">
        <v>4</v>
      </c>
      <c r="AA48" s="32" t="n">
        <v>1</v>
      </c>
      <c r="AB48" s="10">
        <f>IF(AA48=1,I48-('Parametros'!$B$7+'Parametros'!$B$9+'Parametros'!$B$12/2),I48-(ROUNDUP(Z48/2,0)*('Parametros'!$B$7+'Parametros'!$B$9+'Parametros'!$B$12/2)+ROUNDDOWN(Z48/2,0)*('Parametros'!$B$7+'Parametros'!$B$9+'Parametros'!$B$12/2+'Parametros'!$B$12+'Parametros'!$B$10))/Z48)</f>
        <v>489.35</v>
      </c>
      <c r="AC48" s="10">
        <f>Z48*'Parametros'!$B$8</f>
        <v>796</v>
      </c>
      <c r="AD48" s="10">
        <f>'Parametros'!$B$5*AC48*'Parametros'!$B$3*(AB48-(AC48*'Parametros'!$B$3/(0.85*'Parametros'!$B$2*H48))/2)/1000000</f>
        <v>142.543330094118</v>
      </c>
      <c r="AE48" s="10" t="str">
        <f>IF(AD48&gt;=L48,"CUMPLE","NO CUMPLE")</f>
        <v>CUMPLE</v>
      </c>
      <c r="AF48" s="10">
        <f>V48*1.25*'Parametros'!$B$3*(U48-(V48*1.25*'Parametros'!$B$3/(0.85*'Parametros'!$B$2*H48))/2)/1000000</f>
        <v>196.346217941176</v>
      </c>
      <c r="AG48" s="10">
        <f>AC48*1.25*'Parametros'!$B$3*(AB48-(AC48*1.25*'Parametros'!$B$3/(0.85*'Parametros'!$B$2*H48))/2)/1000000</f>
        <v>196.346217941176</v>
      </c>
      <c r="AH48" s="10">
        <f>N48+(AF48+AG48)/D48</f>
        <v>208.772265359477</v>
      </c>
      <c r="AI48" s="10">
        <f>MAX(O48,AH48)</f>
        <v>348.756</v>
      </c>
      <c r="AJ48" s="10">
        <f>0.17*SQRT('Parametros'!$B$2)*H48*MIN(U48,AB48)/1000</f>
        <v>198.088855822627</v>
      </c>
      <c r="AK48" s="10">
        <f>MAX(AI48/'Parametros'!$B$6-AJ48,0)</f>
        <v>266.919144177373</v>
      </c>
      <c r="AL48" s="10">
        <f>0.66*SQRT('Parametros'!$B$2)*H48*MIN(U48,AB48)/1000</f>
        <v>769.050852017258</v>
      </c>
      <c r="AM48" s="10" t="str">
        <f>IF(AK48&lt;=AL48,"CUMPLE","NO CUMPLE")</f>
        <v>CUMPLE</v>
      </c>
      <c r="AN48" s="17" t="inlineStr">
        <is>
          <t>Nº3 cerrado</t>
        </is>
      </c>
      <c r="AO48" s="31" t="n">
        <v>2</v>
      </c>
      <c r="AP48" s="10">
        <f>ROUNDDOWN(MIN(IF(BC48+BD48=0,1000000000,AO48*BB48/(BC48+BD48)),MIN(U48,AB48)/4,8*'Parametros'!$B$12,24*BA48,300,IF(AV48=0,1000000000,2*((H48-2*('Parametros'!$B$7+'Parametros'!$B$9/2))+(I48-2*('Parametros'!$B$7+'Parametros'!$B$9/2)))/8))/10,0)*10</f>
        <v>100</v>
      </c>
      <c r="AQ48" s="10">
        <f>ROUNDDOWN(MIN(IF(BC48+BD48=0,1000000000,AO48*BB48/(BC48+BD48)),IF(AK48&gt;0.33*SQRT('Parametros'!$B$2)*H48*MIN(U48,AB48)/1000,MIN(U48,AB48)/4,MIN(U48,AB48)/2),600,IF(AV48=0,1000000000,2*((H48-2*('Parametros'!$B$7+'Parametros'!$B$9/2))+(I48-2*('Parametros'!$B$7+'Parametros'!$B$9/2)))/8))/10,0)*10</f>
        <v>100</v>
      </c>
      <c r="AR48" s="10">
        <f>'Parametros'!$B$6*(AJ48+MAX(BE48-BD48,0)*'Parametros'!$B$4*MIN(U48,AB48)/1000)</f>
        <v>367.45289686697</v>
      </c>
      <c r="AS48" s="10" t="str">
        <f>IF(AND(ISERROR(SEARCH("referencia",AN48)),AM48="CUMPLE",AR48&gt;=AI48),"CUMPLE","NO CUMPLE")</f>
        <v>CUMPLE</v>
      </c>
      <c r="AT48" s="10">
        <f>'Parametros'!$B$6*0.083*SQRT('Parametros'!$B$2)*(H48*I48)^2/(2*(H48+I48))/1000000</f>
        <v>10.0887830333379</v>
      </c>
      <c r="AU48" s="10" t="str">
        <f>IF(Q48&lt;=AT48,"DESPRECIABLE","DISEÑAR")</f>
        <v>DESPRECIABLE</v>
      </c>
      <c r="AV48" s="10">
        <f>IF(Q48&lt;=AT48,0,Q48*1000000/('Parametros'!$B$6*2*0.85*(H48-2*('Parametros'!$B$7+'Parametros'!$B$9/2))*(I48-2*('Parametros'!$B$7+'Parametros'!$B$9/2))*'Parametros'!$B$4))</f>
        <v>0</v>
      </c>
      <c r="AW48" s="10">
        <f>AV48*2*((H48-2*('Parametros'!$B$7+'Parametros'!$B$9/2))+(I48-2*('Parametros'!$B$7+'Parametros'!$B$9/2)))*'Parametros'!$B$4/'Parametros'!$B$3</f>
        <v>0</v>
      </c>
      <c r="AX48" s="31" t="n">
        <v>0</v>
      </c>
      <c r="AY48" s="10" t="str">
        <f>IF(AV48=0,"DESPRECIABLE",IF(AND(ISERROR(SEARCH("referencia",AN48)),BB48/AP48&gt;=AV48,BI48&gt;=AW48,BH48="CUMPLE"),"CUMPLE","NO CUMPLE"))</f>
        <v>DESPRECIABLE</v>
      </c>
      <c r="AZ48" s="10" t="str">
        <f>IF(AND(X48="CUMPLE",AE48="CUMPLE",AS48="CUMPLE",OR(AY48="CUMPLE",AY48="DESPRECIABLE"),BH48="CUMPLE",BJ48="CUMPLE"),"CUMPLE","NO CUMPLE")</f>
        <v>CUMPLE</v>
      </c>
      <c r="BA48" s="32" t="n">
        <v>9.5</v>
      </c>
      <c r="BB48" s="32" t="n">
        <v>71</v>
      </c>
      <c r="BC48" s="10">
        <f>MAX(IF(AK48=0,0,AK48*1000/('Parametros'!$B$4*MIN(U48,AB48))),MAX(0.062*SQRT('Parametros'!$B$2)*H48/'Parametros'!$B$4,0.35*H48/'Parametros'!$B$4))</f>
        <v>1.29870598109919</v>
      </c>
      <c r="BD48" s="10">
        <f>2*AV48</f>
        <v>0</v>
      </c>
      <c r="BE48" s="10">
        <f>AO48*BB48/AP48</f>
        <v>1.42</v>
      </c>
      <c r="BF48" s="10">
        <f>SQRT((AI48*1000/(H48*MIN(U48,AB48)))^2+(Q48*1000000*2*((H48-2*('Parametros'!$B$7+'Parametros'!$B$9/2))+(I48-2*('Parametros'!$B$7+'Parametros'!$B$9/2)))/(1.7*((H48-2*('Parametros'!$B$7+'Parametros'!$B$9/2))*(I48-2*('Parametros'!$B$7+'Parametros'!$B$9/2)))^2))^2)</f>
        <v>1.58979492980748</v>
      </c>
      <c r="BG48" s="10">
        <f>'Parametros'!$B$6*(AJ48*1000/(H48*MIN(U48,AB48))+0.66*SQRT('Parametros'!$B$2))</f>
        <v>3.29396038227542</v>
      </c>
      <c r="BH48" s="10" t="str">
        <f>IF(BF48&lt;=BG48,"CUMPLE","NO CUMPLE")</f>
        <v>CUMPLE</v>
      </c>
      <c r="BI48" s="10">
        <f>AX48*'Parametros'!$B$8</f>
        <v>0</v>
      </c>
      <c r="BJ48" s="10" t="str">
        <f>IF(BI48&gt;=AW48,"CUMPLE","NO CUMPLE")</f>
        <v>CUMPLE</v>
      </c>
    </row>
    <row r="49">
      <c r="A49" s="16" t="inlineStr">
        <is>
          <t>VC2</t>
        </is>
      </c>
      <c r="B49" s="16" t="inlineStr">
        <is>
          <t>1364</t>
        </is>
      </c>
      <c r="C49" s="10" t="n">
        <v>1</v>
      </c>
      <c r="D49" s="10" t="n">
        <v>3.15</v>
      </c>
      <c r="E49" s="10" t="n">
        <v>3.15</v>
      </c>
      <c r="F49" s="10" t="n">
        <v>450</v>
      </c>
      <c r="G49" s="10" t="n">
        <v>550</v>
      </c>
      <c r="H49" s="17" t="n">
        <v>450</v>
      </c>
      <c r="I49" s="17" t="n">
        <v>550</v>
      </c>
      <c r="J49" s="30" t="n">
        <v>139.6288</v>
      </c>
      <c r="K49" s="10" t="inlineStr">
        <is>
          <t>1364</t>
        </is>
      </c>
      <c r="L49" s="30" t="n">
        <v>126.6067</v>
      </c>
      <c r="M49" s="10" t="inlineStr">
        <is>
          <t>1364</t>
        </is>
      </c>
      <c r="N49" s="30" t="n">
        <v>84.11799999999999</v>
      </c>
      <c r="O49" s="30" t="n">
        <v>348.766</v>
      </c>
      <c r="P49" s="10" t="inlineStr">
        <is>
          <t>1364</t>
        </is>
      </c>
      <c r="Q49" s="30" t="n">
        <v>3.8555</v>
      </c>
      <c r="R49" s="10">
        <f>MAX(MAX(1.4/'Parametros'!$B$3,0.25*SQRT('Parametros'!$B$2)/'Parametros'!$B$3)*H49*U49,(0.85*'Parametros'!$B$2/'Parametros'!$B$3)*(1-SQRT(1-2*(J49*1000000/('Parametros'!$B$5*H49*U49^2))/(0.85*'Parametros'!$B$2)))*H49*U49)</f>
        <v>779.182112897491</v>
      </c>
      <c r="S49" s="31" t="n">
        <v>4</v>
      </c>
      <c r="T49" s="32" t="n">
        <v>1</v>
      </c>
      <c r="U49" s="10">
        <f>IF(T49=1,I49-('Parametros'!$B$7+'Parametros'!$B$9+'Parametros'!$B$12/2),I49-(ROUNDUP(S49/2,0)*('Parametros'!$B$7+'Parametros'!$B$9+'Parametros'!$B$12/2)+ROUNDDOWN(S49/2,0)*('Parametros'!$B$7+'Parametros'!$B$9+'Parametros'!$B$12/2+'Parametros'!$B$12+'Parametros'!$B$10))/S49)</f>
        <v>489.35</v>
      </c>
      <c r="V49" s="10">
        <f>S49*'Parametros'!$B$8</f>
        <v>796</v>
      </c>
      <c r="W49" s="10">
        <f>'Parametros'!$B$5*V49*'Parametros'!$B$3*(U49-(V49*'Parametros'!$B$3/(0.85*'Parametros'!$B$2*H49))/2)/1000000</f>
        <v>142.543330094118</v>
      </c>
      <c r="X49" s="10" t="str">
        <f>IF(W49&gt;=J49,"CUMPLE","NO CUMPLE")</f>
        <v>CUMPLE</v>
      </c>
      <c r="Y49" s="10">
        <f>MAX(MAX(1.4/'Parametros'!$B$3,0.25*SQRT('Parametros'!$B$2)/'Parametros'!$B$3)*H49*AB49,(0.85*'Parametros'!$B$2/'Parametros'!$B$3)*(1-SQRT(1-2*(L49*1000000/('Parametros'!$B$5*H49*AB49^2))/(0.85*'Parametros'!$B$2)))*H49*AB49)</f>
        <v>734.025</v>
      </c>
      <c r="Z49" s="31" t="n">
        <v>4</v>
      </c>
      <c r="AA49" s="32" t="n">
        <v>1</v>
      </c>
      <c r="AB49" s="10">
        <f>IF(AA49=1,I49-('Parametros'!$B$7+'Parametros'!$B$9+'Parametros'!$B$12/2),I49-(ROUNDUP(Z49/2,0)*('Parametros'!$B$7+'Parametros'!$B$9+'Parametros'!$B$12/2)+ROUNDDOWN(Z49/2,0)*('Parametros'!$B$7+'Parametros'!$B$9+'Parametros'!$B$12/2+'Parametros'!$B$12+'Parametros'!$B$10))/Z49)</f>
        <v>489.35</v>
      </c>
      <c r="AC49" s="10">
        <f>Z49*'Parametros'!$B$8</f>
        <v>796</v>
      </c>
      <c r="AD49" s="10">
        <f>'Parametros'!$B$5*AC49*'Parametros'!$B$3*(AB49-(AC49*'Parametros'!$B$3/(0.85*'Parametros'!$B$2*H49))/2)/1000000</f>
        <v>142.543330094118</v>
      </c>
      <c r="AE49" s="10" t="str">
        <f>IF(AD49&gt;=L49,"CUMPLE","NO CUMPLE")</f>
        <v>CUMPLE</v>
      </c>
      <c r="AF49" s="10">
        <f>V49*1.25*'Parametros'!$B$3*(U49-(V49*1.25*'Parametros'!$B$3/(0.85*'Parametros'!$B$2*H49))/2)/1000000</f>
        <v>196.346217941176</v>
      </c>
      <c r="AG49" s="10">
        <f>AC49*1.25*'Parametros'!$B$3*(AB49-(AC49*1.25*'Parametros'!$B$3/(0.85*'Parametros'!$B$2*H49))/2)/1000000</f>
        <v>196.346217941176</v>
      </c>
      <c r="AH49" s="10">
        <f>N49+(AF49+AG49)/D49</f>
        <v>208.782265359477</v>
      </c>
      <c r="AI49" s="10">
        <f>MAX(O49,AH49)</f>
        <v>348.766</v>
      </c>
      <c r="AJ49" s="10">
        <f>0.17*SQRT('Parametros'!$B$2)*H49*MIN(U49,AB49)/1000</f>
        <v>198.088855822627</v>
      </c>
      <c r="AK49" s="10">
        <f>MAX(AI49/'Parametros'!$B$6-AJ49,0)</f>
        <v>266.932477510706</v>
      </c>
      <c r="AL49" s="10">
        <f>0.66*SQRT('Parametros'!$B$2)*H49*MIN(U49,AB49)/1000</f>
        <v>769.050852017258</v>
      </c>
      <c r="AM49" s="10" t="str">
        <f>IF(AK49&lt;=AL49,"CUMPLE","NO CUMPLE")</f>
        <v>CUMPLE</v>
      </c>
      <c r="AN49" s="17" t="inlineStr">
        <is>
          <t>Nº3 cerrado</t>
        </is>
      </c>
      <c r="AO49" s="31" t="n">
        <v>2</v>
      </c>
      <c r="AP49" s="10">
        <f>ROUNDDOWN(MIN(IF(BC49+BD49=0,1000000000,AO49*BB49/(BC49+BD49)),MIN(U49,AB49)/4,8*'Parametros'!$B$12,24*BA49,300,IF(AV49=0,1000000000,2*((H49-2*('Parametros'!$B$7+'Parametros'!$B$9/2))+(I49-2*('Parametros'!$B$7+'Parametros'!$B$9/2)))/8))/10,0)*10</f>
        <v>100</v>
      </c>
      <c r="AQ49" s="10">
        <f>ROUNDDOWN(MIN(IF(BC49+BD49=0,1000000000,AO49*BB49/(BC49+BD49)),IF(AK49&gt;0.33*SQRT('Parametros'!$B$2)*H49*MIN(U49,AB49)/1000,MIN(U49,AB49)/4,MIN(U49,AB49)/2),600,IF(AV49=0,1000000000,2*((H49-2*('Parametros'!$B$7+'Parametros'!$B$9/2))+(I49-2*('Parametros'!$B$7+'Parametros'!$B$9/2)))/8))/10,0)*10</f>
        <v>100</v>
      </c>
      <c r="AR49" s="10">
        <f>'Parametros'!$B$6*(AJ49+MAX(BE49-BD49,0)*'Parametros'!$B$4*MIN(U49,AB49)/1000)</f>
        <v>367.45289686697</v>
      </c>
      <c r="AS49" s="10" t="str">
        <f>IF(AND(ISERROR(SEARCH("referencia",AN49)),AM49="CUMPLE",AR49&gt;=AI49),"CUMPLE","NO CUMPLE")</f>
        <v>CUMPLE</v>
      </c>
      <c r="AT49" s="10">
        <f>'Parametros'!$B$6*0.083*SQRT('Parametros'!$B$2)*(H49*I49)^2/(2*(H49+I49))/1000000</f>
        <v>10.0887830333379</v>
      </c>
      <c r="AU49" s="10" t="str">
        <f>IF(Q49&lt;=AT49,"DESPRECIABLE","DISEÑAR")</f>
        <v>DESPRECIABLE</v>
      </c>
      <c r="AV49" s="10">
        <f>IF(Q49&lt;=AT49,0,Q49*1000000/('Parametros'!$B$6*2*0.85*(H49-2*('Parametros'!$B$7+'Parametros'!$B$9/2))*(I49-2*('Parametros'!$B$7+'Parametros'!$B$9/2))*'Parametros'!$B$4))</f>
        <v>0</v>
      </c>
      <c r="AW49" s="10">
        <f>AV49*2*((H49-2*('Parametros'!$B$7+'Parametros'!$B$9/2))+(I49-2*('Parametros'!$B$7+'Parametros'!$B$9/2)))*'Parametros'!$B$4/'Parametros'!$B$3</f>
        <v>0</v>
      </c>
      <c r="AX49" s="31" t="n">
        <v>0</v>
      </c>
      <c r="AY49" s="10" t="str">
        <f>IF(AV49=0,"DESPRECIABLE",IF(AND(ISERROR(SEARCH("referencia",AN49)),BB49/AP49&gt;=AV49,BI49&gt;=AW49,BH49="CUMPLE"),"CUMPLE","NO CUMPLE"))</f>
        <v>DESPRECIABLE</v>
      </c>
      <c r="AZ49" s="10" t="str">
        <f>IF(AND(X49="CUMPLE",AE49="CUMPLE",AS49="CUMPLE",OR(AY49="CUMPLE",AY49="DESPRECIABLE"),BH49="CUMPLE",BJ49="CUMPLE"),"CUMPLE","NO CUMPLE")</f>
        <v>CUMPLE</v>
      </c>
      <c r="BA49" s="32" t="n">
        <v>9.5</v>
      </c>
      <c r="BB49" s="32" t="n">
        <v>71</v>
      </c>
      <c r="BC49" s="10">
        <f>MAX(IF(AK49=0,0,AK49*1000/('Parametros'!$B$4*MIN(U49,AB49))),MAX(0.062*SQRT('Parametros'!$B$2)*H49/'Parametros'!$B$4,0.35*H49/'Parametros'!$B$4))</f>
        <v>1.29877085497626</v>
      </c>
      <c r="BD49" s="10">
        <f>2*AV49</f>
        <v>0</v>
      </c>
      <c r="BE49" s="10">
        <f>AO49*BB49/AP49</f>
        <v>1.42</v>
      </c>
      <c r="BF49" s="10">
        <f>SQRT((AI49*1000/(H49*MIN(U49,AB49)))^2+(Q49*1000000*2*((H49-2*('Parametros'!$B$7+'Parametros'!$B$9/2))+(I49-2*('Parametros'!$B$7+'Parametros'!$B$9/2)))/(1.7*((H49-2*('Parametros'!$B$7+'Parametros'!$B$9/2))*(I49-2*('Parametros'!$B$7+'Parametros'!$B$9/2)))^2))^2)</f>
        <v>1.58984173153021</v>
      </c>
      <c r="BG49" s="10">
        <f>'Parametros'!$B$6*(AJ49*1000/(H49*MIN(U49,AB49))+0.66*SQRT('Parametros'!$B$2))</f>
        <v>3.29396038227542</v>
      </c>
      <c r="BH49" s="10" t="str">
        <f>IF(BF49&lt;=BG49,"CUMPLE","NO CUMPLE")</f>
        <v>CUMPLE</v>
      </c>
      <c r="BI49" s="10">
        <f>AX49*'Parametros'!$B$8</f>
        <v>0</v>
      </c>
      <c r="BJ49" s="10" t="str">
        <f>IF(BI49&gt;=AW49,"CUMPLE","NO CUMPLE")</f>
        <v>CUMPLE</v>
      </c>
    </row>
    <row r="50">
      <c r="A50" s="16" t="inlineStr">
        <is>
          <t>VC2</t>
        </is>
      </c>
      <c r="B50" s="16" t="inlineStr">
        <is>
          <t>1365</t>
        </is>
      </c>
      <c r="C50" s="10" t="n">
        <v>1</v>
      </c>
      <c r="D50" s="10" t="n">
        <v>3.15</v>
      </c>
      <c r="E50" s="10" t="n">
        <v>3.15</v>
      </c>
      <c r="F50" s="10" t="n">
        <v>450</v>
      </c>
      <c r="G50" s="10" t="n">
        <v>550</v>
      </c>
      <c r="H50" s="17" t="n">
        <v>450</v>
      </c>
      <c r="I50" s="17" t="n">
        <v>550</v>
      </c>
      <c r="J50" s="30" t="n">
        <v>139.6405</v>
      </c>
      <c r="K50" s="10" t="inlineStr">
        <is>
          <t>1365</t>
        </is>
      </c>
      <c r="L50" s="30" t="n">
        <v>126.6191</v>
      </c>
      <c r="M50" s="10" t="inlineStr">
        <is>
          <t>1365</t>
        </is>
      </c>
      <c r="N50" s="30" t="n">
        <v>84.124</v>
      </c>
      <c r="O50" s="30" t="n">
        <v>348.796</v>
      </c>
      <c r="P50" s="10" t="inlineStr">
        <is>
          <t>1365</t>
        </is>
      </c>
      <c r="Q50" s="30" t="n">
        <v>3.8556</v>
      </c>
      <c r="R50" s="10">
        <f>MAX(MAX(1.4/'Parametros'!$B$3,0.25*SQRT('Parametros'!$B$2)/'Parametros'!$B$3)*H50*U50,(0.85*'Parametros'!$B$2/'Parametros'!$B$3)*(1-SQRT(1-2*(J50*1000000/('Parametros'!$B$5*H50*U50^2))/(0.85*'Parametros'!$B$2)))*H50*U50)</f>
        <v>779.249577775147</v>
      </c>
      <c r="S50" s="31" t="n">
        <v>4</v>
      </c>
      <c r="T50" s="32" t="n">
        <v>1</v>
      </c>
      <c r="U50" s="10">
        <f>IF(T50=1,I50-('Parametros'!$B$7+'Parametros'!$B$9+'Parametros'!$B$12/2),I50-(ROUNDUP(S50/2,0)*('Parametros'!$B$7+'Parametros'!$B$9+'Parametros'!$B$12/2)+ROUNDDOWN(S50/2,0)*('Parametros'!$B$7+'Parametros'!$B$9+'Parametros'!$B$12/2+'Parametros'!$B$12+'Parametros'!$B$10))/S50)</f>
        <v>489.35</v>
      </c>
      <c r="V50" s="10">
        <f>S50*'Parametros'!$B$8</f>
        <v>796</v>
      </c>
      <c r="W50" s="10">
        <f>'Parametros'!$B$5*V50*'Parametros'!$B$3*(U50-(V50*'Parametros'!$B$3/(0.85*'Parametros'!$B$2*H50))/2)/1000000</f>
        <v>142.543330094118</v>
      </c>
      <c r="X50" s="10" t="str">
        <f>IF(W50&gt;=J50,"CUMPLE","NO CUMPLE")</f>
        <v>CUMPLE</v>
      </c>
      <c r="Y50" s="10">
        <f>MAX(MAX(1.4/'Parametros'!$B$3,0.25*SQRT('Parametros'!$B$2)/'Parametros'!$B$3)*H50*AB50,(0.85*'Parametros'!$B$2/'Parametros'!$B$3)*(1-SQRT(1-2*(L50*1000000/('Parametros'!$B$5*H50*AB50^2))/(0.85*'Parametros'!$B$2)))*H50*AB50)</f>
        <v>734.025</v>
      </c>
      <c r="Z50" s="31" t="n">
        <v>4</v>
      </c>
      <c r="AA50" s="32" t="n">
        <v>1</v>
      </c>
      <c r="AB50" s="10">
        <f>IF(AA50=1,I50-('Parametros'!$B$7+'Parametros'!$B$9+'Parametros'!$B$12/2),I50-(ROUNDUP(Z50/2,0)*('Parametros'!$B$7+'Parametros'!$B$9+'Parametros'!$B$12/2)+ROUNDDOWN(Z50/2,0)*('Parametros'!$B$7+'Parametros'!$B$9+'Parametros'!$B$12/2+'Parametros'!$B$12+'Parametros'!$B$10))/Z50)</f>
        <v>489.35</v>
      </c>
      <c r="AC50" s="10">
        <f>Z50*'Parametros'!$B$8</f>
        <v>796</v>
      </c>
      <c r="AD50" s="10">
        <f>'Parametros'!$B$5*AC50*'Parametros'!$B$3*(AB50-(AC50*'Parametros'!$B$3/(0.85*'Parametros'!$B$2*H50))/2)/1000000</f>
        <v>142.543330094118</v>
      </c>
      <c r="AE50" s="10" t="str">
        <f>IF(AD50&gt;=L50,"CUMPLE","NO CUMPLE")</f>
        <v>CUMPLE</v>
      </c>
      <c r="AF50" s="10">
        <f>V50*1.25*'Parametros'!$B$3*(U50-(V50*1.25*'Parametros'!$B$3/(0.85*'Parametros'!$B$2*H50))/2)/1000000</f>
        <v>196.346217941176</v>
      </c>
      <c r="AG50" s="10">
        <f>AC50*1.25*'Parametros'!$B$3*(AB50-(AC50*1.25*'Parametros'!$B$3/(0.85*'Parametros'!$B$2*H50))/2)/1000000</f>
        <v>196.346217941176</v>
      </c>
      <c r="AH50" s="10">
        <f>N50+(AF50+AG50)/D50</f>
        <v>208.788265359477</v>
      </c>
      <c r="AI50" s="10">
        <f>MAX(O50,AH50)</f>
        <v>348.796</v>
      </c>
      <c r="AJ50" s="10">
        <f>0.17*SQRT('Parametros'!$B$2)*H50*MIN(U50,AB50)/1000</f>
        <v>198.088855822627</v>
      </c>
      <c r="AK50" s="10">
        <f>MAX(AI50/'Parametros'!$B$6-AJ50,0)</f>
        <v>266.972477510706</v>
      </c>
      <c r="AL50" s="10">
        <f>0.66*SQRT('Parametros'!$B$2)*H50*MIN(U50,AB50)/1000</f>
        <v>769.050852017258</v>
      </c>
      <c r="AM50" s="10" t="str">
        <f>IF(AK50&lt;=AL50,"CUMPLE","NO CUMPLE")</f>
        <v>CUMPLE</v>
      </c>
      <c r="AN50" s="17" t="inlineStr">
        <is>
          <t>Nº3 cerrado</t>
        </is>
      </c>
      <c r="AO50" s="31" t="n">
        <v>2</v>
      </c>
      <c r="AP50" s="10">
        <f>ROUNDDOWN(MIN(IF(BC50+BD50=0,1000000000,AO50*BB50/(BC50+BD50)),MIN(U50,AB50)/4,8*'Parametros'!$B$12,24*BA50,300,IF(AV50=0,1000000000,2*((H50-2*('Parametros'!$B$7+'Parametros'!$B$9/2))+(I50-2*('Parametros'!$B$7+'Parametros'!$B$9/2)))/8))/10,0)*10</f>
        <v>100</v>
      </c>
      <c r="AQ50" s="10">
        <f>ROUNDDOWN(MIN(IF(BC50+BD50=0,1000000000,AO50*BB50/(BC50+BD50)),IF(AK50&gt;0.33*SQRT('Parametros'!$B$2)*H50*MIN(U50,AB50)/1000,MIN(U50,AB50)/4,MIN(U50,AB50)/2),600,IF(AV50=0,1000000000,2*((H50-2*('Parametros'!$B$7+'Parametros'!$B$9/2))+(I50-2*('Parametros'!$B$7+'Parametros'!$B$9/2)))/8))/10,0)*10</f>
        <v>100</v>
      </c>
      <c r="AR50" s="10">
        <f>'Parametros'!$B$6*(AJ50+MAX(BE50-BD50,0)*'Parametros'!$B$4*MIN(U50,AB50)/1000)</f>
        <v>367.45289686697</v>
      </c>
      <c r="AS50" s="10" t="str">
        <f>IF(AND(ISERROR(SEARCH("referencia",AN50)),AM50="CUMPLE",AR50&gt;=AI50),"CUMPLE","NO CUMPLE")</f>
        <v>CUMPLE</v>
      </c>
      <c r="AT50" s="10">
        <f>'Parametros'!$B$6*0.083*SQRT('Parametros'!$B$2)*(H50*I50)^2/(2*(H50+I50))/1000000</f>
        <v>10.0887830333379</v>
      </c>
      <c r="AU50" s="10" t="str">
        <f>IF(Q50&lt;=AT50,"DESPRECIABLE","DISEÑAR")</f>
        <v>DESPRECIABLE</v>
      </c>
      <c r="AV50" s="10">
        <f>IF(Q50&lt;=AT50,0,Q50*1000000/('Parametros'!$B$6*2*0.85*(H50-2*('Parametros'!$B$7+'Parametros'!$B$9/2))*(I50-2*('Parametros'!$B$7+'Parametros'!$B$9/2))*'Parametros'!$B$4))</f>
        <v>0</v>
      </c>
      <c r="AW50" s="10">
        <f>AV50*2*((H50-2*('Parametros'!$B$7+'Parametros'!$B$9/2))+(I50-2*('Parametros'!$B$7+'Parametros'!$B$9/2)))*'Parametros'!$B$4/'Parametros'!$B$3</f>
        <v>0</v>
      </c>
      <c r="AX50" s="31" t="n">
        <v>0</v>
      </c>
      <c r="AY50" s="10" t="str">
        <f>IF(AV50=0,"DESPRECIABLE",IF(AND(ISERROR(SEARCH("referencia",AN50)),BB50/AP50&gt;=AV50,BI50&gt;=AW50,BH50="CUMPLE"),"CUMPLE","NO CUMPLE"))</f>
        <v>DESPRECIABLE</v>
      </c>
      <c r="AZ50" s="10" t="str">
        <f>IF(AND(X50="CUMPLE",AE50="CUMPLE",AS50="CUMPLE",OR(AY50="CUMPLE",AY50="DESPRECIABLE"),BH50="CUMPLE",BJ50="CUMPLE"),"CUMPLE","NO CUMPLE")</f>
        <v>CUMPLE</v>
      </c>
      <c r="BA50" s="32" t="n">
        <v>9.5</v>
      </c>
      <c r="BB50" s="32" t="n">
        <v>71</v>
      </c>
      <c r="BC50" s="10">
        <f>MAX(IF(AK50=0,0,AK50*1000/('Parametros'!$B$4*MIN(U50,AB50))),MAX(0.062*SQRT('Parametros'!$B$2)*H50/'Parametros'!$B$4,0.35*H50/'Parametros'!$B$4))</f>
        <v>1.29896547660748</v>
      </c>
      <c r="BD50" s="10">
        <f>2*AV50</f>
        <v>0</v>
      </c>
      <c r="BE50" s="10">
        <f>AO50*BB50/AP50</f>
        <v>1.42</v>
      </c>
      <c r="BF50" s="10">
        <f>SQRT((AI50*1000/(H50*MIN(U50,AB50)))^2+(Q50*1000000*2*((H50-2*('Parametros'!$B$7+'Parametros'!$B$9/2))+(I50-2*('Parametros'!$B$7+'Parametros'!$B$9/2)))/(1.7*((H50-2*('Parametros'!$B$7+'Parametros'!$B$9/2))*(I50-2*('Parametros'!$B$7+'Parametros'!$B$9/2)))^2))^2)</f>
        <v>1.58997776199482</v>
      </c>
      <c r="BG50" s="10">
        <f>'Parametros'!$B$6*(AJ50*1000/(H50*MIN(U50,AB50))+0.66*SQRT('Parametros'!$B$2))</f>
        <v>3.29396038227542</v>
      </c>
      <c r="BH50" s="10" t="str">
        <f>IF(BF50&lt;=BG50,"CUMPLE","NO CUMPLE")</f>
        <v>CUMPLE</v>
      </c>
      <c r="BI50" s="10">
        <f>AX50*'Parametros'!$B$8</f>
        <v>0</v>
      </c>
      <c r="BJ50" s="10" t="str">
        <f>IF(BI50&gt;=AW50,"CUMPLE","NO CUMPLE")</f>
        <v>CUMPLE</v>
      </c>
    </row>
    <row r="51">
      <c r="A51" s="16" t="inlineStr">
        <is>
          <t>VC2</t>
        </is>
      </c>
      <c r="B51" s="16" t="inlineStr">
        <is>
          <t>1366</t>
        </is>
      </c>
      <c r="C51" s="10" t="n">
        <v>1</v>
      </c>
      <c r="D51" s="10" t="n">
        <v>3.15</v>
      </c>
      <c r="E51" s="10" t="n">
        <v>3.15</v>
      </c>
      <c r="F51" s="10" t="n">
        <v>450</v>
      </c>
      <c r="G51" s="10" t="n">
        <v>550</v>
      </c>
      <c r="H51" s="17" t="n">
        <v>450</v>
      </c>
      <c r="I51" s="17" t="n">
        <v>550</v>
      </c>
      <c r="J51" s="30" t="n">
        <v>139.6157</v>
      </c>
      <c r="K51" s="10" t="inlineStr">
        <is>
          <t>1366</t>
        </is>
      </c>
      <c r="L51" s="30" t="n">
        <v>126.5932</v>
      </c>
      <c r="M51" s="10" t="inlineStr">
        <is>
          <t>1366</t>
        </is>
      </c>
      <c r="N51" s="30" t="n">
        <v>84.111</v>
      </c>
      <c r="O51" s="30" t="n">
        <v>348.782</v>
      </c>
      <c r="P51" s="10" t="inlineStr">
        <is>
          <t>1366</t>
        </is>
      </c>
      <c r="Q51" s="30" t="n">
        <v>3.855</v>
      </c>
      <c r="R51" s="10">
        <f>MAX(MAX(1.4/'Parametros'!$B$3,0.25*SQRT('Parametros'!$B$2)/'Parametros'!$B$3)*H51*U51,(0.85*'Parametros'!$B$2/'Parametros'!$B$3)*(1-SQRT(1-2*(J51*1000000/('Parametros'!$B$5*H51*U51^2))/(0.85*'Parametros'!$B$2)))*H51*U51)</f>
        <v>779.106575761085</v>
      </c>
      <c r="S51" s="31" t="n">
        <v>4</v>
      </c>
      <c r="T51" s="32" t="n">
        <v>1</v>
      </c>
      <c r="U51" s="10">
        <f>IF(T51=1,I51-('Parametros'!$B$7+'Parametros'!$B$9+'Parametros'!$B$12/2),I51-(ROUNDUP(S51/2,0)*('Parametros'!$B$7+'Parametros'!$B$9+'Parametros'!$B$12/2)+ROUNDDOWN(S51/2,0)*('Parametros'!$B$7+'Parametros'!$B$9+'Parametros'!$B$12/2+'Parametros'!$B$12+'Parametros'!$B$10))/S51)</f>
        <v>489.35</v>
      </c>
      <c r="V51" s="10">
        <f>S51*'Parametros'!$B$8</f>
        <v>796</v>
      </c>
      <c r="W51" s="10">
        <f>'Parametros'!$B$5*V51*'Parametros'!$B$3*(U51-(V51*'Parametros'!$B$3/(0.85*'Parametros'!$B$2*H51))/2)/1000000</f>
        <v>142.543330094118</v>
      </c>
      <c r="X51" s="10" t="str">
        <f>IF(W51&gt;=J51,"CUMPLE","NO CUMPLE")</f>
        <v>CUMPLE</v>
      </c>
      <c r="Y51" s="10">
        <f>MAX(MAX(1.4/'Parametros'!$B$3,0.25*SQRT('Parametros'!$B$2)/'Parametros'!$B$3)*H51*AB51,(0.85*'Parametros'!$B$2/'Parametros'!$B$3)*(1-SQRT(1-2*(L51*1000000/('Parametros'!$B$5*H51*AB51^2))/(0.85*'Parametros'!$B$2)))*H51*AB51)</f>
        <v>734.025</v>
      </c>
      <c r="Z51" s="31" t="n">
        <v>4</v>
      </c>
      <c r="AA51" s="32" t="n">
        <v>1</v>
      </c>
      <c r="AB51" s="10">
        <f>IF(AA51=1,I51-('Parametros'!$B$7+'Parametros'!$B$9+'Parametros'!$B$12/2),I51-(ROUNDUP(Z51/2,0)*('Parametros'!$B$7+'Parametros'!$B$9+'Parametros'!$B$12/2)+ROUNDDOWN(Z51/2,0)*('Parametros'!$B$7+'Parametros'!$B$9+'Parametros'!$B$12/2+'Parametros'!$B$12+'Parametros'!$B$10))/Z51)</f>
        <v>489.35</v>
      </c>
      <c r="AC51" s="10">
        <f>Z51*'Parametros'!$B$8</f>
        <v>796</v>
      </c>
      <c r="AD51" s="10">
        <f>'Parametros'!$B$5*AC51*'Parametros'!$B$3*(AB51-(AC51*'Parametros'!$B$3/(0.85*'Parametros'!$B$2*H51))/2)/1000000</f>
        <v>142.543330094118</v>
      </c>
      <c r="AE51" s="10" t="str">
        <f>IF(AD51&gt;=L51,"CUMPLE","NO CUMPLE")</f>
        <v>CUMPLE</v>
      </c>
      <c r="AF51" s="10">
        <f>V51*1.25*'Parametros'!$B$3*(U51-(V51*1.25*'Parametros'!$B$3/(0.85*'Parametros'!$B$2*H51))/2)/1000000</f>
        <v>196.346217941176</v>
      </c>
      <c r="AG51" s="10">
        <f>AC51*1.25*'Parametros'!$B$3*(AB51-(AC51*1.25*'Parametros'!$B$3/(0.85*'Parametros'!$B$2*H51))/2)/1000000</f>
        <v>196.346217941176</v>
      </c>
      <c r="AH51" s="10">
        <f>N51+(AF51+AG51)/D51</f>
        <v>208.775265359477</v>
      </c>
      <c r="AI51" s="10">
        <f>MAX(O51,AH51)</f>
        <v>348.782</v>
      </c>
      <c r="AJ51" s="10">
        <f>0.17*SQRT('Parametros'!$B$2)*H51*MIN(U51,AB51)/1000</f>
        <v>198.088855822627</v>
      </c>
      <c r="AK51" s="10">
        <f>MAX(AI51/'Parametros'!$B$6-AJ51,0)</f>
        <v>266.95381084404</v>
      </c>
      <c r="AL51" s="10">
        <f>0.66*SQRT('Parametros'!$B$2)*H51*MIN(U51,AB51)/1000</f>
        <v>769.050852017258</v>
      </c>
      <c r="AM51" s="10" t="str">
        <f>IF(AK51&lt;=AL51,"CUMPLE","NO CUMPLE")</f>
        <v>CUMPLE</v>
      </c>
      <c r="AN51" s="17" t="inlineStr">
        <is>
          <t>Nº3 cerrado</t>
        </is>
      </c>
      <c r="AO51" s="31" t="n">
        <v>2</v>
      </c>
      <c r="AP51" s="10">
        <f>ROUNDDOWN(MIN(IF(BC51+BD51=0,1000000000,AO51*BB51/(BC51+BD51)),MIN(U51,AB51)/4,8*'Parametros'!$B$12,24*BA51,300,IF(AV51=0,1000000000,2*((H51-2*('Parametros'!$B$7+'Parametros'!$B$9/2))+(I51-2*('Parametros'!$B$7+'Parametros'!$B$9/2)))/8))/10,0)*10</f>
        <v>100</v>
      </c>
      <c r="AQ51" s="10">
        <f>ROUNDDOWN(MIN(IF(BC51+BD51=0,1000000000,AO51*BB51/(BC51+BD51)),IF(AK51&gt;0.33*SQRT('Parametros'!$B$2)*H51*MIN(U51,AB51)/1000,MIN(U51,AB51)/4,MIN(U51,AB51)/2),600,IF(AV51=0,1000000000,2*((H51-2*('Parametros'!$B$7+'Parametros'!$B$9/2))+(I51-2*('Parametros'!$B$7+'Parametros'!$B$9/2)))/8))/10,0)*10</f>
        <v>100</v>
      </c>
      <c r="AR51" s="10">
        <f>'Parametros'!$B$6*(AJ51+MAX(BE51-BD51,0)*'Parametros'!$B$4*MIN(U51,AB51)/1000)</f>
        <v>367.45289686697</v>
      </c>
      <c r="AS51" s="10" t="str">
        <f>IF(AND(ISERROR(SEARCH("referencia",AN51)),AM51="CUMPLE",AR51&gt;=AI51),"CUMPLE","NO CUMPLE")</f>
        <v>CUMPLE</v>
      </c>
      <c r="AT51" s="10">
        <f>'Parametros'!$B$6*0.083*SQRT('Parametros'!$B$2)*(H51*I51)^2/(2*(H51+I51))/1000000</f>
        <v>10.0887830333379</v>
      </c>
      <c r="AU51" s="10" t="str">
        <f>IF(Q51&lt;=AT51,"DESPRECIABLE","DISEÑAR")</f>
        <v>DESPRECIABLE</v>
      </c>
      <c r="AV51" s="10">
        <f>IF(Q51&lt;=AT51,0,Q51*1000000/('Parametros'!$B$6*2*0.85*(H51-2*('Parametros'!$B$7+'Parametros'!$B$9/2))*(I51-2*('Parametros'!$B$7+'Parametros'!$B$9/2))*'Parametros'!$B$4))</f>
        <v>0</v>
      </c>
      <c r="AW51" s="10">
        <f>AV51*2*((H51-2*('Parametros'!$B$7+'Parametros'!$B$9/2))+(I51-2*('Parametros'!$B$7+'Parametros'!$B$9/2)))*'Parametros'!$B$4/'Parametros'!$B$3</f>
        <v>0</v>
      </c>
      <c r="AX51" s="31" t="n">
        <v>0</v>
      </c>
      <c r="AY51" s="10" t="str">
        <f>IF(AV51=0,"DESPRECIABLE",IF(AND(ISERROR(SEARCH("referencia",AN51)),BB51/AP51&gt;=AV51,BI51&gt;=AW51,BH51="CUMPLE"),"CUMPLE","NO CUMPLE"))</f>
        <v>DESPRECIABLE</v>
      </c>
      <c r="AZ51" s="10" t="str">
        <f>IF(AND(X51="CUMPLE",AE51="CUMPLE",AS51="CUMPLE",OR(AY51="CUMPLE",AY51="DESPRECIABLE"),BH51="CUMPLE",BJ51="CUMPLE"),"CUMPLE","NO CUMPLE")</f>
        <v>CUMPLE</v>
      </c>
      <c r="BA51" s="32" t="n">
        <v>9.5</v>
      </c>
      <c r="BB51" s="32" t="n">
        <v>71</v>
      </c>
      <c r="BC51" s="10">
        <f>MAX(IF(AK51=0,0,AK51*1000/('Parametros'!$B$4*MIN(U51,AB51))),MAX(0.062*SQRT('Parametros'!$B$2)*H51/'Parametros'!$B$4,0.35*H51/'Parametros'!$B$4))</f>
        <v>1.29887465317958</v>
      </c>
      <c r="BD51" s="10">
        <f>2*AV51</f>
        <v>0</v>
      </c>
      <c r="BE51" s="10">
        <f>AO51*BB51/AP51</f>
        <v>1.42</v>
      </c>
      <c r="BF51" s="10">
        <f>SQRT((AI51*1000/(H51*MIN(U51,AB51)))^2+(Q51*1000000*2*((H51-2*('Parametros'!$B$7+'Parametros'!$B$9/2))+(I51-2*('Parametros'!$B$7+'Parametros'!$B$9/2)))/(1.7*((H51-2*('Parametros'!$B$7+'Parametros'!$B$9/2))*(I51-2*('Parametros'!$B$7+'Parametros'!$B$9/2)))^2))^2)</f>
        <v>1.58991255215372</v>
      </c>
      <c r="BG51" s="10">
        <f>'Parametros'!$B$6*(AJ51*1000/(H51*MIN(U51,AB51))+0.66*SQRT('Parametros'!$B$2))</f>
        <v>3.29396038227542</v>
      </c>
      <c r="BH51" s="10" t="str">
        <f>IF(BF51&lt;=BG51,"CUMPLE","NO CUMPLE")</f>
        <v>CUMPLE</v>
      </c>
      <c r="BI51" s="10">
        <f>AX51*'Parametros'!$B$8</f>
        <v>0</v>
      </c>
      <c r="BJ51" s="10" t="str">
        <f>IF(BI51&gt;=AW51,"CUMPLE","NO CUMPLE")</f>
        <v>CUMPLE</v>
      </c>
    </row>
    <row r="52">
      <c r="A52" s="16" t="inlineStr">
        <is>
          <t>VC2</t>
        </is>
      </c>
      <c r="B52" s="16" t="inlineStr">
        <is>
          <t>1367</t>
        </is>
      </c>
      <c r="C52" s="10" t="n">
        <v>1</v>
      </c>
      <c r="D52" s="10" t="n">
        <v>3.15</v>
      </c>
      <c r="E52" s="10" t="n">
        <v>3.15</v>
      </c>
      <c r="F52" s="10" t="n">
        <v>450</v>
      </c>
      <c r="G52" s="10" t="n">
        <v>550</v>
      </c>
      <c r="H52" s="17" t="n">
        <v>450</v>
      </c>
      <c r="I52" s="17" t="n">
        <v>550</v>
      </c>
      <c r="J52" s="30" t="n">
        <v>114.5709</v>
      </c>
      <c r="K52" s="10" t="inlineStr">
        <is>
          <t>1367</t>
        </is>
      </c>
      <c r="L52" s="30" t="n">
        <v>102.5866</v>
      </c>
      <c r="M52" s="10" t="inlineStr">
        <is>
          <t>1367</t>
        </is>
      </c>
      <c r="N52" s="30" t="n">
        <v>71.03</v>
      </c>
      <c r="O52" s="30" t="n">
        <v>277.763</v>
      </c>
      <c r="P52" s="10" t="inlineStr">
        <is>
          <t>1367</t>
        </is>
      </c>
      <c r="Q52" s="30" t="n">
        <v>3.2717</v>
      </c>
      <c r="R52" s="10">
        <f>MAX(MAX(1.4/'Parametros'!$B$3,0.25*SQRT('Parametros'!$B$2)/'Parametros'!$B$3)*H52*U52,(0.85*'Parametros'!$B$2/'Parametros'!$B$3)*(1-SQRT(1-2*(J52*1000000/('Parametros'!$B$5*H52*U52^2))/(0.85*'Parametros'!$B$2)))*H52*U52)</f>
        <v>734.025</v>
      </c>
      <c r="S52" s="31" t="n">
        <v>4</v>
      </c>
      <c r="T52" s="32" t="n">
        <v>1</v>
      </c>
      <c r="U52" s="10">
        <f>IF(T52=1,I52-('Parametros'!$B$7+'Parametros'!$B$9+'Parametros'!$B$12/2),I52-(ROUNDUP(S52/2,0)*('Parametros'!$B$7+'Parametros'!$B$9+'Parametros'!$B$12/2)+ROUNDDOWN(S52/2,0)*('Parametros'!$B$7+'Parametros'!$B$9+'Parametros'!$B$12/2+'Parametros'!$B$12+'Parametros'!$B$10))/S52)</f>
        <v>489.35</v>
      </c>
      <c r="V52" s="10">
        <f>S52*'Parametros'!$B$8</f>
        <v>796</v>
      </c>
      <c r="W52" s="10">
        <f>'Parametros'!$B$5*V52*'Parametros'!$B$3*(U52-(V52*'Parametros'!$B$3/(0.85*'Parametros'!$B$2*H52))/2)/1000000</f>
        <v>142.543330094118</v>
      </c>
      <c r="X52" s="10" t="str">
        <f>IF(W52&gt;=J52,"CUMPLE","NO CUMPLE")</f>
        <v>CUMPLE</v>
      </c>
      <c r="Y52" s="10">
        <f>MAX(MAX(1.4/'Parametros'!$B$3,0.25*SQRT('Parametros'!$B$2)/'Parametros'!$B$3)*H52*AB52,(0.85*'Parametros'!$B$2/'Parametros'!$B$3)*(1-SQRT(1-2*(L52*1000000/('Parametros'!$B$5*H52*AB52^2))/(0.85*'Parametros'!$B$2)))*H52*AB52)</f>
        <v>734.025</v>
      </c>
      <c r="Z52" s="31" t="n">
        <v>4</v>
      </c>
      <c r="AA52" s="32" t="n">
        <v>1</v>
      </c>
      <c r="AB52" s="10">
        <f>IF(AA52=1,I52-('Parametros'!$B$7+'Parametros'!$B$9+'Parametros'!$B$12/2),I52-(ROUNDUP(Z52/2,0)*('Parametros'!$B$7+'Parametros'!$B$9+'Parametros'!$B$12/2)+ROUNDDOWN(Z52/2,0)*('Parametros'!$B$7+'Parametros'!$B$9+'Parametros'!$B$12/2+'Parametros'!$B$12+'Parametros'!$B$10))/Z52)</f>
        <v>489.35</v>
      </c>
      <c r="AC52" s="10">
        <f>Z52*'Parametros'!$B$8</f>
        <v>796</v>
      </c>
      <c r="AD52" s="10">
        <f>'Parametros'!$B$5*AC52*'Parametros'!$B$3*(AB52-(AC52*'Parametros'!$B$3/(0.85*'Parametros'!$B$2*H52))/2)/1000000</f>
        <v>142.543330094118</v>
      </c>
      <c r="AE52" s="10" t="str">
        <f>IF(AD52&gt;=L52,"CUMPLE","NO CUMPLE")</f>
        <v>CUMPLE</v>
      </c>
      <c r="AF52" s="10">
        <f>V52*1.25*'Parametros'!$B$3*(U52-(V52*1.25*'Parametros'!$B$3/(0.85*'Parametros'!$B$2*H52))/2)/1000000</f>
        <v>196.346217941176</v>
      </c>
      <c r="AG52" s="10">
        <f>AC52*1.25*'Parametros'!$B$3*(AB52-(AC52*1.25*'Parametros'!$B$3/(0.85*'Parametros'!$B$2*H52))/2)/1000000</f>
        <v>196.346217941176</v>
      </c>
      <c r="AH52" s="10">
        <f>N52+(AF52+AG52)/D52</f>
        <v>195.694265359477</v>
      </c>
      <c r="AI52" s="10">
        <f>MAX(O52,AH52)</f>
        <v>277.763</v>
      </c>
      <c r="AJ52" s="10">
        <f>0.17*SQRT('Parametros'!$B$2)*H52*MIN(U52,AB52)/1000</f>
        <v>198.088855822627</v>
      </c>
      <c r="AK52" s="10">
        <f>MAX(AI52/'Parametros'!$B$6-AJ52,0)</f>
        <v>172.26181084404</v>
      </c>
      <c r="AL52" s="10">
        <f>0.66*SQRT('Parametros'!$B$2)*H52*MIN(U52,AB52)/1000</f>
        <v>769.050852017258</v>
      </c>
      <c r="AM52" s="10" t="str">
        <f>IF(AK52&lt;=AL52,"CUMPLE","NO CUMPLE")</f>
        <v>CUMPLE</v>
      </c>
      <c r="AN52" s="17" t="inlineStr">
        <is>
          <t>Nº3 cerrado</t>
        </is>
      </c>
      <c r="AO52" s="31" t="n">
        <v>2</v>
      </c>
      <c r="AP52" s="10">
        <f>ROUNDDOWN(MIN(IF(BC52+BD52=0,1000000000,AO52*BB52/(BC52+BD52)),MIN(U52,AB52)/4,8*'Parametros'!$B$12,24*BA52,300,IF(AV52=0,1000000000,2*((H52-2*('Parametros'!$B$7+'Parametros'!$B$9/2))+(I52-2*('Parametros'!$B$7+'Parametros'!$B$9/2)))/8))/10,0)*10</f>
        <v>120</v>
      </c>
      <c r="AQ52" s="10">
        <f>ROUNDDOWN(MIN(IF(BC52+BD52=0,1000000000,AO52*BB52/(BC52+BD52)),IF(AK52&gt;0.33*SQRT('Parametros'!$B$2)*H52*MIN(U52,AB52)/1000,MIN(U52,AB52)/4,MIN(U52,AB52)/2),600,IF(AV52=0,1000000000,2*((H52-2*('Parametros'!$B$7+'Parametros'!$B$9/2))+(I52-2*('Parametros'!$B$7+'Parametros'!$B$9/2)))/8))/10,0)*10</f>
        <v>160</v>
      </c>
      <c r="AR52" s="10">
        <f>'Parametros'!$B$6*(AJ52+MAX(BE52-BD52,0)*'Parametros'!$B$4*MIN(U52,AB52)/1000)</f>
        <v>330.97185436697</v>
      </c>
      <c r="AS52" s="10" t="str">
        <f>IF(AND(ISERROR(SEARCH("referencia",AN52)),AM52="CUMPLE",AR52&gt;=AI52),"CUMPLE","NO CUMPLE")</f>
        <v>CUMPLE</v>
      </c>
      <c r="AT52" s="10">
        <f>'Parametros'!$B$6*0.083*SQRT('Parametros'!$B$2)*(H52*I52)^2/(2*(H52+I52))/1000000</f>
        <v>10.0887830333379</v>
      </c>
      <c r="AU52" s="10" t="str">
        <f>IF(Q52&lt;=AT52,"DESPRECIABLE","DISEÑAR")</f>
        <v>DESPRECIABLE</v>
      </c>
      <c r="AV52" s="10">
        <f>IF(Q52&lt;=AT52,0,Q52*1000000/('Parametros'!$B$6*2*0.85*(H52-2*('Parametros'!$B$7+'Parametros'!$B$9/2))*(I52-2*('Parametros'!$B$7+'Parametros'!$B$9/2))*'Parametros'!$B$4))</f>
        <v>0</v>
      </c>
      <c r="AW52" s="10">
        <f>AV52*2*((H52-2*('Parametros'!$B$7+'Parametros'!$B$9/2))+(I52-2*('Parametros'!$B$7+'Parametros'!$B$9/2)))*'Parametros'!$B$4/'Parametros'!$B$3</f>
        <v>0</v>
      </c>
      <c r="AX52" s="31" t="n">
        <v>0</v>
      </c>
      <c r="AY52" s="10" t="str">
        <f>IF(AV52=0,"DESPRECIABLE",IF(AND(ISERROR(SEARCH("referencia",AN52)),BB52/AP52&gt;=AV52,BI52&gt;=AW52,BH52="CUMPLE"),"CUMPLE","NO CUMPLE"))</f>
        <v>DESPRECIABLE</v>
      </c>
      <c r="AZ52" s="10" t="str">
        <f>IF(AND(X52="CUMPLE",AE52="CUMPLE",AS52="CUMPLE",OR(AY52="CUMPLE",AY52="DESPRECIABLE"),BH52="CUMPLE",BJ52="CUMPLE"),"CUMPLE","NO CUMPLE")</f>
        <v>CUMPLE</v>
      </c>
      <c r="BA52" s="32" t="n">
        <v>9.5</v>
      </c>
      <c r="BB52" s="32" t="n">
        <v>71</v>
      </c>
      <c r="BC52" s="10">
        <f>MAX(IF(AK52=0,0,AK52*1000/('Parametros'!$B$4*MIN(U52,AB52))),MAX(0.062*SQRT('Parametros'!$B$2)*H52/'Parametros'!$B$4,0.35*H52/'Parametros'!$B$4))</f>
        <v>0.838146865589629</v>
      </c>
      <c r="BD52" s="10">
        <f>2*AV52</f>
        <v>0</v>
      </c>
      <c r="BE52" s="10">
        <f>AO52*BB52/AP52</f>
        <v>1.18333333333333</v>
      </c>
      <c r="BF52" s="10">
        <f>SQRT((AI52*1000/(H52*MIN(U52,AB52)))^2+(Q52*1000000*2*((H52-2*('Parametros'!$B$7+'Parametros'!$B$9/2))+(I52-2*('Parametros'!$B$7+'Parametros'!$B$9/2)))/(1.7*((H52-2*('Parametros'!$B$7+'Parametros'!$B$9/2))*(I52-2*('Parametros'!$B$7+'Parametros'!$B$9/2)))^2))^2)</f>
        <v>1.26682509120851</v>
      </c>
      <c r="BG52" s="10">
        <f>'Parametros'!$B$6*(AJ52*1000/(H52*MIN(U52,AB52))+0.66*SQRT('Parametros'!$B$2))</f>
        <v>3.29396038227542</v>
      </c>
      <c r="BH52" s="10" t="str">
        <f>IF(BF52&lt;=BG52,"CUMPLE","NO CUMPLE")</f>
        <v>CUMPLE</v>
      </c>
      <c r="BI52" s="10">
        <f>AX52*'Parametros'!$B$8</f>
        <v>0</v>
      </c>
      <c r="BJ52" s="10" t="str">
        <f>IF(BI52&gt;=AW52,"CUMPLE","NO CUMPLE")</f>
        <v>CUMPLE</v>
      </c>
    </row>
    <row r="53">
      <c r="A53" s="16" t="inlineStr">
        <is>
          <t>VC2</t>
        </is>
      </c>
      <c r="B53" s="16" t="inlineStr">
        <is>
          <t>1368</t>
        </is>
      </c>
      <c r="C53" s="10" t="n">
        <v>1</v>
      </c>
      <c r="D53" s="10" t="n">
        <v>3.15</v>
      </c>
      <c r="E53" s="10" t="n">
        <v>3.15</v>
      </c>
      <c r="F53" s="10" t="n">
        <v>450</v>
      </c>
      <c r="G53" s="10" t="n">
        <v>550</v>
      </c>
      <c r="H53" s="17" t="n">
        <v>450</v>
      </c>
      <c r="I53" s="17" t="n">
        <v>550</v>
      </c>
      <c r="J53" s="30" t="n">
        <v>114.6026</v>
      </c>
      <c r="K53" s="10" t="inlineStr">
        <is>
          <t>1368</t>
        </is>
      </c>
      <c r="L53" s="30" t="n">
        <v>102.6213</v>
      </c>
      <c r="M53" s="10" t="inlineStr">
        <is>
          <t>1368</t>
        </is>
      </c>
      <c r="N53" s="30" t="n">
        <v>71.048</v>
      </c>
      <c r="O53" s="30" t="n">
        <v>277.78</v>
      </c>
      <c r="P53" s="10" t="inlineStr">
        <is>
          <t>1368</t>
        </is>
      </c>
      <c r="Q53" s="30" t="n">
        <v>3.2726</v>
      </c>
      <c r="R53" s="10">
        <f>MAX(MAX(1.4/'Parametros'!$B$3,0.25*SQRT('Parametros'!$B$2)/'Parametros'!$B$3)*H53*U53,(0.85*'Parametros'!$B$2/'Parametros'!$B$3)*(1-SQRT(1-2*(J53*1000000/('Parametros'!$B$5*H53*U53^2))/(0.85*'Parametros'!$B$2)))*H53*U53)</f>
        <v>734.025</v>
      </c>
      <c r="S53" s="31" t="n">
        <v>4</v>
      </c>
      <c r="T53" s="32" t="n">
        <v>1</v>
      </c>
      <c r="U53" s="10">
        <f>IF(T53=1,I53-('Parametros'!$B$7+'Parametros'!$B$9+'Parametros'!$B$12/2),I53-(ROUNDUP(S53/2,0)*('Parametros'!$B$7+'Parametros'!$B$9+'Parametros'!$B$12/2)+ROUNDDOWN(S53/2,0)*('Parametros'!$B$7+'Parametros'!$B$9+'Parametros'!$B$12/2+'Parametros'!$B$12+'Parametros'!$B$10))/S53)</f>
        <v>489.35</v>
      </c>
      <c r="V53" s="10">
        <f>S53*'Parametros'!$B$8</f>
        <v>796</v>
      </c>
      <c r="W53" s="10">
        <f>'Parametros'!$B$5*V53*'Parametros'!$B$3*(U53-(V53*'Parametros'!$B$3/(0.85*'Parametros'!$B$2*H53))/2)/1000000</f>
        <v>142.543330094118</v>
      </c>
      <c r="X53" s="10" t="str">
        <f>IF(W53&gt;=J53,"CUMPLE","NO CUMPLE")</f>
        <v>CUMPLE</v>
      </c>
      <c r="Y53" s="10">
        <f>MAX(MAX(1.4/'Parametros'!$B$3,0.25*SQRT('Parametros'!$B$2)/'Parametros'!$B$3)*H53*AB53,(0.85*'Parametros'!$B$2/'Parametros'!$B$3)*(1-SQRT(1-2*(L53*1000000/('Parametros'!$B$5*H53*AB53^2))/(0.85*'Parametros'!$B$2)))*H53*AB53)</f>
        <v>734.025</v>
      </c>
      <c r="Z53" s="31" t="n">
        <v>4</v>
      </c>
      <c r="AA53" s="32" t="n">
        <v>1</v>
      </c>
      <c r="AB53" s="10">
        <f>IF(AA53=1,I53-('Parametros'!$B$7+'Parametros'!$B$9+'Parametros'!$B$12/2),I53-(ROUNDUP(Z53/2,0)*('Parametros'!$B$7+'Parametros'!$B$9+'Parametros'!$B$12/2)+ROUNDDOWN(Z53/2,0)*('Parametros'!$B$7+'Parametros'!$B$9+'Parametros'!$B$12/2+'Parametros'!$B$12+'Parametros'!$B$10))/Z53)</f>
        <v>489.35</v>
      </c>
      <c r="AC53" s="10">
        <f>Z53*'Parametros'!$B$8</f>
        <v>796</v>
      </c>
      <c r="AD53" s="10">
        <f>'Parametros'!$B$5*AC53*'Parametros'!$B$3*(AB53-(AC53*'Parametros'!$B$3/(0.85*'Parametros'!$B$2*H53))/2)/1000000</f>
        <v>142.543330094118</v>
      </c>
      <c r="AE53" s="10" t="str">
        <f>IF(AD53&gt;=L53,"CUMPLE","NO CUMPLE")</f>
        <v>CUMPLE</v>
      </c>
      <c r="AF53" s="10">
        <f>V53*1.25*'Parametros'!$B$3*(U53-(V53*1.25*'Parametros'!$B$3/(0.85*'Parametros'!$B$2*H53))/2)/1000000</f>
        <v>196.346217941176</v>
      </c>
      <c r="AG53" s="10">
        <f>AC53*1.25*'Parametros'!$B$3*(AB53-(AC53*1.25*'Parametros'!$B$3/(0.85*'Parametros'!$B$2*H53))/2)/1000000</f>
        <v>196.346217941176</v>
      </c>
      <c r="AH53" s="10">
        <f>N53+(AF53+AG53)/D53</f>
        <v>195.712265359477</v>
      </c>
      <c r="AI53" s="10">
        <f>MAX(O53,AH53)</f>
        <v>277.78</v>
      </c>
      <c r="AJ53" s="10">
        <f>0.17*SQRT('Parametros'!$B$2)*H53*MIN(U53,AB53)/1000</f>
        <v>198.088855822627</v>
      </c>
      <c r="AK53" s="10">
        <f>MAX(AI53/'Parametros'!$B$6-AJ53,0)</f>
        <v>172.284477510706</v>
      </c>
      <c r="AL53" s="10">
        <f>0.66*SQRT('Parametros'!$B$2)*H53*MIN(U53,AB53)/1000</f>
        <v>769.050852017258</v>
      </c>
      <c r="AM53" s="10" t="str">
        <f>IF(AK53&lt;=AL53,"CUMPLE","NO CUMPLE")</f>
        <v>CUMPLE</v>
      </c>
      <c r="AN53" s="17" t="inlineStr">
        <is>
          <t>Nº3 cerrado</t>
        </is>
      </c>
      <c r="AO53" s="31" t="n">
        <v>2</v>
      </c>
      <c r="AP53" s="10">
        <f>ROUNDDOWN(MIN(IF(BC53+BD53=0,1000000000,AO53*BB53/(BC53+BD53)),MIN(U53,AB53)/4,8*'Parametros'!$B$12,24*BA53,300,IF(AV53=0,1000000000,2*((H53-2*('Parametros'!$B$7+'Parametros'!$B$9/2))+(I53-2*('Parametros'!$B$7+'Parametros'!$B$9/2)))/8))/10,0)*10</f>
        <v>120</v>
      </c>
      <c r="AQ53" s="10">
        <f>ROUNDDOWN(MIN(IF(BC53+BD53=0,1000000000,AO53*BB53/(BC53+BD53)),IF(AK53&gt;0.33*SQRT('Parametros'!$B$2)*H53*MIN(U53,AB53)/1000,MIN(U53,AB53)/4,MIN(U53,AB53)/2),600,IF(AV53=0,1000000000,2*((H53-2*('Parametros'!$B$7+'Parametros'!$B$9/2))+(I53-2*('Parametros'!$B$7+'Parametros'!$B$9/2)))/8))/10,0)*10</f>
        <v>160</v>
      </c>
      <c r="AR53" s="10">
        <f>'Parametros'!$B$6*(AJ53+MAX(BE53-BD53,0)*'Parametros'!$B$4*MIN(U53,AB53)/1000)</f>
        <v>330.97185436697</v>
      </c>
      <c r="AS53" s="10" t="str">
        <f>IF(AND(ISERROR(SEARCH("referencia",AN53)),AM53="CUMPLE",AR53&gt;=AI53),"CUMPLE","NO CUMPLE")</f>
        <v>CUMPLE</v>
      </c>
      <c r="AT53" s="10">
        <f>'Parametros'!$B$6*0.083*SQRT('Parametros'!$B$2)*(H53*I53)^2/(2*(H53+I53))/1000000</f>
        <v>10.0887830333379</v>
      </c>
      <c r="AU53" s="10" t="str">
        <f>IF(Q53&lt;=AT53,"DESPRECIABLE","DISEÑAR")</f>
        <v>DESPRECIABLE</v>
      </c>
      <c r="AV53" s="10">
        <f>IF(Q53&lt;=AT53,0,Q53*1000000/('Parametros'!$B$6*2*0.85*(H53-2*('Parametros'!$B$7+'Parametros'!$B$9/2))*(I53-2*('Parametros'!$B$7+'Parametros'!$B$9/2))*'Parametros'!$B$4))</f>
        <v>0</v>
      </c>
      <c r="AW53" s="10">
        <f>AV53*2*((H53-2*('Parametros'!$B$7+'Parametros'!$B$9/2))+(I53-2*('Parametros'!$B$7+'Parametros'!$B$9/2)))*'Parametros'!$B$4/'Parametros'!$B$3</f>
        <v>0</v>
      </c>
      <c r="AX53" s="31" t="n">
        <v>0</v>
      </c>
      <c r="AY53" s="10" t="str">
        <f>IF(AV53=0,"DESPRECIABLE",IF(AND(ISERROR(SEARCH("referencia",AN53)),BB53/AP53&gt;=AV53,BI53&gt;=AW53,BH53="CUMPLE"),"CUMPLE","NO CUMPLE"))</f>
        <v>DESPRECIABLE</v>
      </c>
      <c r="AZ53" s="10" t="str">
        <f>IF(AND(X53="CUMPLE",AE53="CUMPLE",AS53="CUMPLE",OR(AY53="CUMPLE",AY53="DESPRECIABLE"),BH53="CUMPLE",BJ53="CUMPLE"),"CUMPLE","NO CUMPLE")</f>
        <v>CUMPLE</v>
      </c>
      <c r="BA53" s="32" t="n">
        <v>9.5</v>
      </c>
      <c r="BB53" s="32" t="n">
        <v>71</v>
      </c>
      <c r="BC53" s="10">
        <f>MAX(IF(AK53=0,0,AK53*1000/('Parametros'!$B$4*MIN(U53,AB53))),MAX(0.062*SQRT('Parametros'!$B$2)*H53/'Parametros'!$B$4,0.35*H53/'Parametros'!$B$4))</f>
        <v>0.838257151180654</v>
      </c>
      <c r="BD53" s="10">
        <f>2*AV53</f>
        <v>0</v>
      </c>
      <c r="BE53" s="10">
        <f>AO53*BB53/AP53</f>
        <v>1.18333333333333</v>
      </c>
      <c r="BF53" s="10">
        <f>SQRT((AI53*1000/(H53*MIN(U53,AB53)))^2+(Q53*1000000*2*((H53-2*('Parametros'!$B$7+'Parametros'!$B$9/2))+(I53-2*('Parametros'!$B$7+'Parametros'!$B$9/2)))/(1.7*((H53-2*('Parametros'!$B$7+'Parametros'!$B$9/2))*(I53-2*('Parametros'!$B$7+'Parametros'!$B$9/2)))^2))^2)</f>
        <v>1.26690495401486</v>
      </c>
      <c r="BG53" s="10">
        <f>'Parametros'!$B$6*(AJ53*1000/(H53*MIN(U53,AB53))+0.66*SQRT('Parametros'!$B$2))</f>
        <v>3.29396038227542</v>
      </c>
      <c r="BH53" s="10" t="str">
        <f>IF(BF53&lt;=BG53,"CUMPLE","NO CUMPLE")</f>
        <v>CUMPLE</v>
      </c>
      <c r="BI53" s="10">
        <f>AX53*'Parametros'!$B$8</f>
        <v>0</v>
      </c>
      <c r="BJ53" s="10" t="str">
        <f>IF(BI53&gt;=AW53,"CUMPLE","NO CUMPLE")</f>
        <v>CUMPLE</v>
      </c>
    </row>
    <row r="54">
      <c r="A54" s="16" t="inlineStr">
        <is>
          <t>VC2</t>
        </is>
      </c>
      <c r="B54" s="16" t="inlineStr">
        <is>
          <t>1369</t>
        </is>
      </c>
      <c r="C54" s="10" t="n">
        <v>1</v>
      </c>
      <c r="D54" s="10" t="n">
        <v>3.15</v>
      </c>
      <c r="E54" s="10" t="n">
        <v>3.15</v>
      </c>
      <c r="F54" s="10" t="n">
        <v>450</v>
      </c>
      <c r="G54" s="10" t="n">
        <v>550</v>
      </c>
      <c r="H54" s="17" t="n">
        <v>450</v>
      </c>
      <c r="I54" s="17" t="n">
        <v>550</v>
      </c>
      <c r="J54" s="30" t="n">
        <v>114.6073</v>
      </c>
      <c r="K54" s="10" t="inlineStr">
        <is>
          <t>1369</t>
        </is>
      </c>
      <c r="L54" s="30" t="n">
        <v>102.6247</v>
      </c>
      <c r="M54" s="10" t="inlineStr">
        <is>
          <t>1369</t>
        </is>
      </c>
      <c r="N54" s="30" t="n">
        <v>71.05</v>
      </c>
      <c r="O54" s="30" t="n">
        <v>277.805</v>
      </c>
      <c r="P54" s="10" t="inlineStr">
        <is>
          <t>1369</t>
        </is>
      </c>
      <c r="Q54" s="30" t="n">
        <v>3.2713</v>
      </c>
      <c r="R54" s="10">
        <f>MAX(MAX(1.4/'Parametros'!$B$3,0.25*SQRT('Parametros'!$B$2)/'Parametros'!$B$3)*H54*U54,(0.85*'Parametros'!$B$2/'Parametros'!$B$3)*(1-SQRT(1-2*(J54*1000000/('Parametros'!$B$5*H54*U54^2))/(0.85*'Parametros'!$B$2)))*H54*U54)</f>
        <v>734.025</v>
      </c>
      <c r="S54" s="31" t="n">
        <v>4</v>
      </c>
      <c r="T54" s="32" t="n">
        <v>1</v>
      </c>
      <c r="U54" s="10">
        <f>IF(T54=1,I54-('Parametros'!$B$7+'Parametros'!$B$9+'Parametros'!$B$12/2),I54-(ROUNDUP(S54/2,0)*('Parametros'!$B$7+'Parametros'!$B$9+'Parametros'!$B$12/2)+ROUNDDOWN(S54/2,0)*('Parametros'!$B$7+'Parametros'!$B$9+'Parametros'!$B$12/2+'Parametros'!$B$12+'Parametros'!$B$10))/S54)</f>
        <v>489.35</v>
      </c>
      <c r="V54" s="10">
        <f>S54*'Parametros'!$B$8</f>
        <v>796</v>
      </c>
      <c r="W54" s="10">
        <f>'Parametros'!$B$5*V54*'Parametros'!$B$3*(U54-(V54*'Parametros'!$B$3/(0.85*'Parametros'!$B$2*H54))/2)/1000000</f>
        <v>142.543330094118</v>
      </c>
      <c r="X54" s="10" t="str">
        <f>IF(W54&gt;=J54,"CUMPLE","NO CUMPLE")</f>
        <v>CUMPLE</v>
      </c>
      <c r="Y54" s="10">
        <f>MAX(MAX(1.4/'Parametros'!$B$3,0.25*SQRT('Parametros'!$B$2)/'Parametros'!$B$3)*H54*AB54,(0.85*'Parametros'!$B$2/'Parametros'!$B$3)*(1-SQRT(1-2*(L54*1000000/('Parametros'!$B$5*H54*AB54^2))/(0.85*'Parametros'!$B$2)))*H54*AB54)</f>
        <v>734.025</v>
      </c>
      <c r="Z54" s="31" t="n">
        <v>4</v>
      </c>
      <c r="AA54" s="32" t="n">
        <v>1</v>
      </c>
      <c r="AB54" s="10">
        <f>IF(AA54=1,I54-('Parametros'!$B$7+'Parametros'!$B$9+'Parametros'!$B$12/2),I54-(ROUNDUP(Z54/2,0)*('Parametros'!$B$7+'Parametros'!$B$9+'Parametros'!$B$12/2)+ROUNDDOWN(Z54/2,0)*('Parametros'!$B$7+'Parametros'!$B$9+'Parametros'!$B$12/2+'Parametros'!$B$12+'Parametros'!$B$10))/Z54)</f>
        <v>489.35</v>
      </c>
      <c r="AC54" s="10">
        <f>Z54*'Parametros'!$B$8</f>
        <v>796</v>
      </c>
      <c r="AD54" s="10">
        <f>'Parametros'!$B$5*AC54*'Parametros'!$B$3*(AB54-(AC54*'Parametros'!$B$3/(0.85*'Parametros'!$B$2*H54))/2)/1000000</f>
        <v>142.543330094118</v>
      </c>
      <c r="AE54" s="10" t="str">
        <f>IF(AD54&gt;=L54,"CUMPLE","NO CUMPLE")</f>
        <v>CUMPLE</v>
      </c>
      <c r="AF54" s="10">
        <f>V54*1.25*'Parametros'!$B$3*(U54-(V54*1.25*'Parametros'!$B$3/(0.85*'Parametros'!$B$2*H54))/2)/1000000</f>
        <v>196.346217941176</v>
      </c>
      <c r="AG54" s="10">
        <f>AC54*1.25*'Parametros'!$B$3*(AB54-(AC54*1.25*'Parametros'!$B$3/(0.85*'Parametros'!$B$2*H54))/2)/1000000</f>
        <v>196.346217941176</v>
      </c>
      <c r="AH54" s="10">
        <f>N54+(AF54+AG54)/D54</f>
        <v>195.714265359477</v>
      </c>
      <c r="AI54" s="10">
        <f>MAX(O54,AH54)</f>
        <v>277.805</v>
      </c>
      <c r="AJ54" s="10">
        <f>0.17*SQRT('Parametros'!$B$2)*H54*MIN(U54,AB54)/1000</f>
        <v>198.088855822627</v>
      </c>
      <c r="AK54" s="10">
        <f>MAX(AI54/'Parametros'!$B$6-AJ54,0)</f>
        <v>172.31781084404</v>
      </c>
      <c r="AL54" s="10">
        <f>0.66*SQRT('Parametros'!$B$2)*H54*MIN(U54,AB54)/1000</f>
        <v>769.050852017258</v>
      </c>
      <c r="AM54" s="10" t="str">
        <f>IF(AK54&lt;=AL54,"CUMPLE","NO CUMPLE")</f>
        <v>CUMPLE</v>
      </c>
      <c r="AN54" s="17" t="inlineStr">
        <is>
          <t>Nº3 cerrado</t>
        </is>
      </c>
      <c r="AO54" s="31" t="n">
        <v>2</v>
      </c>
      <c r="AP54" s="10">
        <f>ROUNDDOWN(MIN(IF(BC54+BD54=0,1000000000,AO54*BB54/(BC54+BD54)),MIN(U54,AB54)/4,8*'Parametros'!$B$12,24*BA54,300,IF(AV54=0,1000000000,2*((H54-2*('Parametros'!$B$7+'Parametros'!$B$9/2))+(I54-2*('Parametros'!$B$7+'Parametros'!$B$9/2)))/8))/10,0)*10</f>
        <v>120</v>
      </c>
      <c r="AQ54" s="10">
        <f>ROUNDDOWN(MIN(IF(BC54+BD54=0,1000000000,AO54*BB54/(BC54+BD54)),IF(AK54&gt;0.33*SQRT('Parametros'!$B$2)*H54*MIN(U54,AB54)/1000,MIN(U54,AB54)/4,MIN(U54,AB54)/2),600,IF(AV54=0,1000000000,2*((H54-2*('Parametros'!$B$7+'Parametros'!$B$9/2))+(I54-2*('Parametros'!$B$7+'Parametros'!$B$9/2)))/8))/10,0)*10</f>
        <v>160</v>
      </c>
      <c r="AR54" s="10">
        <f>'Parametros'!$B$6*(AJ54+MAX(BE54-BD54,0)*'Parametros'!$B$4*MIN(U54,AB54)/1000)</f>
        <v>330.97185436697</v>
      </c>
      <c r="AS54" s="10" t="str">
        <f>IF(AND(ISERROR(SEARCH("referencia",AN54)),AM54="CUMPLE",AR54&gt;=AI54),"CUMPLE","NO CUMPLE")</f>
        <v>CUMPLE</v>
      </c>
      <c r="AT54" s="10">
        <f>'Parametros'!$B$6*0.083*SQRT('Parametros'!$B$2)*(H54*I54)^2/(2*(H54+I54))/1000000</f>
        <v>10.0887830333379</v>
      </c>
      <c r="AU54" s="10" t="str">
        <f>IF(Q54&lt;=AT54,"DESPRECIABLE","DISEÑAR")</f>
        <v>DESPRECIABLE</v>
      </c>
      <c r="AV54" s="10">
        <f>IF(Q54&lt;=AT54,0,Q54*1000000/('Parametros'!$B$6*2*0.85*(H54-2*('Parametros'!$B$7+'Parametros'!$B$9/2))*(I54-2*('Parametros'!$B$7+'Parametros'!$B$9/2))*'Parametros'!$B$4))</f>
        <v>0</v>
      </c>
      <c r="AW54" s="10">
        <f>AV54*2*((H54-2*('Parametros'!$B$7+'Parametros'!$B$9/2))+(I54-2*('Parametros'!$B$7+'Parametros'!$B$9/2)))*'Parametros'!$B$4/'Parametros'!$B$3</f>
        <v>0</v>
      </c>
      <c r="AX54" s="31" t="n">
        <v>0</v>
      </c>
      <c r="AY54" s="10" t="str">
        <f>IF(AV54=0,"DESPRECIABLE",IF(AND(ISERROR(SEARCH("referencia",AN54)),BB54/AP54&gt;=AV54,BI54&gt;=AW54,BH54="CUMPLE"),"CUMPLE","NO CUMPLE"))</f>
        <v>DESPRECIABLE</v>
      </c>
      <c r="AZ54" s="10" t="str">
        <f>IF(AND(X54="CUMPLE",AE54="CUMPLE",AS54="CUMPLE",OR(AY54="CUMPLE",AY54="DESPRECIABLE"),BH54="CUMPLE",BJ54="CUMPLE"),"CUMPLE","NO CUMPLE")</f>
        <v>CUMPLE</v>
      </c>
      <c r="BA54" s="32" t="n">
        <v>9.5</v>
      </c>
      <c r="BB54" s="32" t="n">
        <v>71</v>
      </c>
      <c r="BC54" s="10">
        <f>MAX(IF(AK54=0,0,AK54*1000/('Parametros'!$B$4*MIN(U54,AB54))),MAX(0.062*SQRT('Parametros'!$B$2)*H54/'Parametros'!$B$4,0.35*H54/'Parametros'!$B$4))</f>
        <v>0.838419335873339</v>
      </c>
      <c r="BD54" s="10">
        <f>2*AV54</f>
        <v>0</v>
      </c>
      <c r="BE54" s="10">
        <f>AO54*BB54/AP54</f>
        <v>1.18333333333333</v>
      </c>
      <c r="BF54" s="10">
        <f>SQRT((AI54*1000/(H54*MIN(U54,AB54)))^2+(Q54*1000000*2*((H54-2*('Parametros'!$B$7+'Parametros'!$B$9/2))+(I54-2*('Parametros'!$B$7+'Parametros'!$B$9/2)))/(1.7*((H54-2*('Parametros'!$B$7+'Parametros'!$B$9/2))*(I54-2*('Parametros'!$B$7+'Parametros'!$B$9/2)))^2))^2)</f>
        <v>1.26701366825555</v>
      </c>
      <c r="BG54" s="10">
        <f>'Parametros'!$B$6*(AJ54*1000/(H54*MIN(U54,AB54))+0.66*SQRT('Parametros'!$B$2))</f>
        <v>3.29396038227542</v>
      </c>
      <c r="BH54" s="10" t="str">
        <f>IF(BF54&lt;=BG54,"CUMPLE","NO CUMPLE")</f>
        <v>CUMPLE</v>
      </c>
      <c r="BI54" s="10">
        <f>AX54*'Parametros'!$B$8</f>
        <v>0</v>
      </c>
      <c r="BJ54" s="10" t="str">
        <f>IF(BI54&gt;=AW54,"CUMPLE","NO CUMPLE")</f>
        <v>CUMPLE</v>
      </c>
    </row>
    <row r="55">
      <c r="A55" s="16" t="inlineStr">
        <is>
          <t>VC2</t>
        </is>
      </c>
      <c r="B55" s="16" t="inlineStr">
        <is>
          <t>1370</t>
        </is>
      </c>
      <c r="C55" s="10" t="n">
        <v>1</v>
      </c>
      <c r="D55" s="10" t="n">
        <v>3.15</v>
      </c>
      <c r="E55" s="10" t="n">
        <v>3.15</v>
      </c>
      <c r="F55" s="10" t="n">
        <v>450</v>
      </c>
      <c r="G55" s="10" t="n">
        <v>550</v>
      </c>
      <c r="H55" s="17" t="n">
        <v>450</v>
      </c>
      <c r="I55" s="17" t="n">
        <v>550</v>
      </c>
      <c r="J55" s="30" t="n">
        <v>114.5803</v>
      </c>
      <c r="K55" s="10" t="inlineStr">
        <is>
          <t>1370</t>
        </is>
      </c>
      <c r="L55" s="30" t="n">
        <v>102.5964</v>
      </c>
      <c r="M55" s="10" t="inlineStr">
        <is>
          <t>1370</t>
        </is>
      </c>
      <c r="N55" s="30" t="n">
        <v>71.035</v>
      </c>
      <c r="O55" s="30" t="n">
        <v>277.79</v>
      </c>
      <c r="P55" s="10" t="inlineStr">
        <is>
          <t>1370</t>
        </is>
      </c>
      <c r="Q55" s="30" t="n">
        <v>3.2705</v>
      </c>
      <c r="R55" s="10">
        <f>MAX(MAX(1.4/'Parametros'!$B$3,0.25*SQRT('Parametros'!$B$2)/'Parametros'!$B$3)*H55*U55,(0.85*'Parametros'!$B$2/'Parametros'!$B$3)*(1-SQRT(1-2*(J55*1000000/('Parametros'!$B$5*H55*U55^2))/(0.85*'Parametros'!$B$2)))*H55*U55)</f>
        <v>734.025</v>
      </c>
      <c r="S55" s="31" t="n">
        <v>4</v>
      </c>
      <c r="T55" s="32" t="n">
        <v>1</v>
      </c>
      <c r="U55" s="10">
        <f>IF(T55=1,I55-('Parametros'!$B$7+'Parametros'!$B$9+'Parametros'!$B$12/2),I55-(ROUNDUP(S55/2,0)*('Parametros'!$B$7+'Parametros'!$B$9+'Parametros'!$B$12/2)+ROUNDDOWN(S55/2,0)*('Parametros'!$B$7+'Parametros'!$B$9+'Parametros'!$B$12/2+'Parametros'!$B$12+'Parametros'!$B$10))/S55)</f>
        <v>489.35</v>
      </c>
      <c r="V55" s="10">
        <f>S55*'Parametros'!$B$8</f>
        <v>796</v>
      </c>
      <c r="W55" s="10">
        <f>'Parametros'!$B$5*V55*'Parametros'!$B$3*(U55-(V55*'Parametros'!$B$3/(0.85*'Parametros'!$B$2*H55))/2)/1000000</f>
        <v>142.543330094118</v>
      </c>
      <c r="X55" s="10" t="str">
        <f>IF(W55&gt;=J55,"CUMPLE","NO CUMPLE")</f>
        <v>CUMPLE</v>
      </c>
      <c r="Y55" s="10">
        <f>MAX(MAX(1.4/'Parametros'!$B$3,0.25*SQRT('Parametros'!$B$2)/'Parametros'!$B$3)*H55*AB55,(0.85*'Parametros'!$B$2/'Parametros'!$B$3)*(1-SQRT(1-2*(L55*1000000/('Parametros'!$B$5*H55*AB55^2))/(0.85*'Parametros'!$B$2)))*H55*AB55)</f>
        <v>734.025</v>
      </c>
      <c r="Z55" s="31" t="n">
        <v>4</v>
      </c>
      <c r="AA55" s="32" t="n">
        <v>1</v>
      </c>
      <c r="AB55" s="10">
        <f>IF(AA55=1,I55-('Parametros'!$B$7+'Parametros'!$B$9+'Parametros'!$B$12/2),I55-(ROUNDUP(Z55/2,0)*('Parametros'!$B$7+'Parametros'!$B$9+'Parametros'!$B$12/2)+ROUNDDOWN(Z55/2,0)*('Parametros'!$B$7+'Parametros'!$B$9+'Parametros'!$B$12/2+'Parametros'!$B$12+'Parametros'!$B$10))/Z55)</f>
        <v>489.35</v>
      </c>
      <c r="AC55" s="10">
        <f>Z55*'Parametros'!$B$8</f>
        <v>796</v>
      </c>
      <c r="AD55" s="10">
        <f>'Parametros'!$B$5*AC55*'Parametros'!$B$3*(AB55-(AC55*'Parametros'!$B$3/(0.85*'Parametros'!$B$2*H55))/2)/1000000</f>
        <v>142.543330094118</v>
      </c>
      <c r="AE55" s="10" t="str">
        <f>IF(AD55&gt;=L55,"CUMPLE","NO CUMPLE")</f>
        <v>CUMPLE</v>
      </c>
      <c r="AF55" s="10">
        <f>V55*1.25*'Parametros'!$B$3*(U55-(V55*1.25*'Parametros'!$B$3/(0.85*'Parametros'!$B$2*H55))/2)/1000000</f>
        <v>196.346217941176</v>
      </c>
      <c r="AG55" s="10">
        <f>AC55*1.25*'Parametros'!$B$3*(AB55-(AC55*1.25*'Parametros'!$B$3/(0.85*'Parametros'!$B$2*H55))/2)/1000000</f>
        <v>196.346217941176</v>
      </c>
      <c r="AH55" s="10">
        <f>N55+(AF55+AG55)/D55</f>
        <v>195.699265359477</v>
      </c>
      <c r="AI55" s="10">
        <f>MAX(O55,AH55)</f>
        <v>277.79</v>
      </c>
      <c r="AJ55" s="10">
        <f>0.17*SQRT('Parametros'!$B$2)*H55*MIN(U55,AB55)/1000</f>
        <v>198.088855822627</v>
      </c>
      <c r="AK55" s="10">
        <f>MAX(AI55/'Parametros'!$B$6-AJ55,0)</f>
        <v>172.29781084404</v>
      </c>
      <c r="AL55" s="10">
        <f>0.66*SQRT('Parametros'!$B$2)*H55*MIN(U55,AB55)/1000</f>
        <v>769.050852017258</v>
      </c>
      <c r="AM55" s="10" t="str">
        <f>IF(AK55&lt;=AL55,"CUMPLE","NO CUMPLE")</f>
        <v>CUMPLE</v>
      </c>
      <c r="AN55" s="17" t="inlineStr">
        <is>
          <t>Nº3 cerrado</t>
        </is>
      </c>
      <c r="AO55" s="31" t="n">
        <v>2</v>
      </c>
      <c r="AP55" s="10">
        <f>ROUNDDOWN(MIN(IF(BC55+BD55=0,1000000000,AO55*BB55/(BC55+BD55)),MIN(U55,AB55)/4,8*'Parametros'!$B$12,24*BA55,300,IF(AV55=0,1000000000,2*((H55-2*('Parametros'!$B$7+'Parametros'!$B$9/2))+(I55-2*('Parametros'!$B$7+'Parametros'!$B$9/2)))/8))/10,0)*10</f>
        <v>120</v>
      </c>
      <c r="AQ55" s="10">
        <f>ROUNDDOWN(MIN(IF(BC55+BD55=0,1000000000,AO55*BB55/(BC55+BD55)),IF(AK55&gt;0.33*SQRT('Parametros'!$B$2)*H55*MIN(U55,AB55)/1000,MIN(U55,AB55)/4,MIN(U55,AB55)/2),600,IF(AV55=0,1000000000,2*((H55-2*('Parametros'!$B$7+'Parametros'!$B$9/2))+(I55-2*('Parametros'!$B$7+'Parametros'!$B$9/2)))/8))/10,0)*10</f>
        <v>160</v>
      </c>
      <c r="AR55" s="10">
        <f>'Parametros'!$B$6*(AJ55+MAX(BE55-BD55,0)*'Parametros'!$B$4*MIN(U55,AB55)/1000)</f>
        <v>330.97185436697</v>
      </c>
      <c r="AS55" s="10" t="str">
        <f>IF(AND(ISERROR(SEARCH("referencia",AN55)),AM55="CUMPLE",AR55&gt;=AI55),"CUMPLE","NO CUMPLE")</f>
        <v>CUMPLE</v>
      </c>
      <c r="AT55" s="10">
        <f>'Parametros'!$B$6*0.083*SQRT('Parametros'!$B$2)*(H55*I55)^2/(2*(H55+I55))/1000000</f>
        <v>10.0887830333379</v>
      </c>
      <c r="AU55" s="10" t="str">
        <f>IF(Q55&lt;=AT55,"DESPRECIABLE","DISEÑAR")</f>
        <v>DESPRECIABLE</v>
      </c>
      <c r="AV55" s="10">
        <f>IF(Q55&lt;=AT55,0,Q55*1000000/('Parametros'!$B$6*2*0.85*(H55-2*('Parametros'!$B$7+'Parametros'!$B$9/2))*(I55-2*('Parametros'!$B$7+'Parametros'!$B$9/2))*'Parametros'!$B$4))</f>
        <v>0</v>
      </c>
      <c r="AW55" s="10">
        <f>AV55*2*((H55-2*('Parametros'!$B$7+'Parametros'!$B$9/2))+(I55-2*('Parametros'!$B$7+'Parametros'!$B$9/2)))*'Parametros'!$B$4/'Parametros'!$B$3</f>
        <v>0</v>
      </c>
      <c r="AX55" s="31" t="n">
        <v>0</v>
      </c>
      <c r="AY55" s="10" t="str">
        <f>IF(AV55=0,"DESPRECIABLE",IF(AND(ISERROR(SEARCH("referencia",AN55)),BB55/AP55&gt;=AV55,BI55&gt;=AW55,BH55="CUMPLE"),"CUMPLE","NO CUMPLE"))</f>
        <v>DESPRECIABLE</v>
      </c>
      <c r="AZ55" s="10" t="str">
        <f>IF(AND(X55="CUMPLE",AE55="CUMPLE",AS55="CUMPLE",OR(AY55="CUMPLE",AY55="DESPRECIABLE"),BH55="CUMPLE",BJ55="CUMPLE"),"CUMPLE","NO CUMPLE")</f>
        <v>CUMPLE</v>
      </c>
      <c r="BA55" s="32" t="n">
        <v>9.5</v>
      </c>
      <c r="BB55" s="32" t="n">
        <v>71</v>
      </c>
      <c r="BC55" s="10">
        <f>MAX(IF(AK55=0,0,AK55*1000/('Parametros'!$B$4*MIN(U55,AB55))),MAX(0.062*SQRT('Parametros'!$B$2)*H55/'Parametros'!$B$4,0.35*H55/'Parametros'!$B$4))</f>
        <v>0.838322025057728</v>
      </c>
      <c r="BD55" s="10">
        <f>2*AV55</f>
        <v>0</v>
      </c>
      <c r="BE55" s="10">
        <f>AO55*BB55/AP55</f>
        <v>1.18333333333333</v>
      </c>
      <c r="BF55" s="10">
        <f>SQRT((AI55*1000/(H55*MIN(U55,AB55)))^2+(Q55*1000000*2*((H55-2*('Parametros'!$B$7+'Parametros'!$B$9/2))+(I55-2*('Parametros'!$B$7+'Parametros'!$B$9/2)))/(1.7*((H55-2*('Parametros'!$B$7+'Parametros'!$B$9/2))*(I55-2*('Parametros'!$B$7+'Parametros'!$B$9/2)))^2))^2)</f>
        <v>1.26694318247365</v>
      </c>
      <c r="BG55" s="10">
        <f>'Parametros'!$B$6*(AJ55*1000/(H55*MIN(U55,AB55))+0.66*SQRT('Parametros'!$B$2))</f>
        <v>3.29396038227542</v>
      </c>
      <c r="BH55" s="10" t="str">
        <f>IF(BF55&lt;=BG55,"CUMPLE","NO CUMPLE")</f>
        <v>CUMPLE</v>
      </c>
      <c r="BI55" s="10">
        <f>AX55*'Parametros'!$B$8</f>
        <v>0</v>
      </c>
      <c r="BJ55" s="10" t="str">
        <f>IF(BI55&gt;=AW55,"CUMPLE","NO CUMPLE")</f>
        <v>CUMPLE</v>
      </c>
    </row>
    <row r="56">
      <c r="A56" s="16" t="inlineStr">
        <is>
          <t>VC2</t>
        </is>
      </c>
      <c r="B56" s="16" t="inlineStr">
        <is>
          <t>1371</t>
        </is>
      </c>
      <c r="C56" s="10" t="n">
        <v>1</v>
      </c>
      <c r="D56" s="10" t="n">
        <v>3.15</v>
      </c>
      <c r="E56" s="10" t="n">
        <v>3.15</v>
      </c>
      <c r="F56" s="10" t="n">
        <v>450</v>
      </c>
      <c r="G56" s="10" t="n">
        <v>550</v>
      </c>
      <c r="H56" s="17" t="n">
        <v>450</v>
      </c>
      <c r="I56" s="17" t="n">
        <v>550</v>
      </c>
      <c r="J56" s="30" t="n">
        <v>82.04730000000001</v>
      </c>
      <c r="K56" s="10" t="inlineStr">
        <is>
          <t>1371</t>
        </is>
      </c>
      <c r="L56" s="30" t="n">
        <v>70.2897</v>
      </c>
      <c r="M56" s="10" t="inlineStr">
        <is>
          <t>1371</t>
        </is>
      </c>
      <c r="N56" s="30" t="n">
        <v>53.745</v>
      </c>
      <c r="O56" s="30" t="n">
        <v>187.295</v>
      </c>
      <c r="P56" s="10" t="inlineStr">
        <is>
          <t>1371</t>
        </is>
      </c>
      <c r="Q56" s="30" t="n">
        <v>2.3991</v>
      </c>
      <c r="R56" s="10">
        <f>MAX(MAX(1.4/'Parametros'!$B$3,0.25*SQRT('Parametros'!$B$2)/'Parametros'!$B$3)*H56*U56,(0.85*'Parametros'!$B$2/'Parametros'!$B$3)*(1-SQRT(1-2*(J56*1000000/('Parametros'!$B$5*H56*U56^2))/(0.85*'Parametros'!$B$2)))*H56*U56)</f>
        <v>734.025</v>
      </c>
      <c r="S56" s="31" t="n">
        <v>4</v>
      </c>
      <c r="T56" s="32" t="n">
        <v>1</v>
      </c>
      <c r="U56" s="10">
        <f>IF(T56=1,I56-('Parametros'!$B$7+'Parametros'!$B$9+'Parametros'!$B$12/2),I56-(ROUNDUP(S56/2,0)*('Parametros'!$B$7+'Parametros'!$B$9+'Parametros'!$B$12/2)+ROUNDDOWN(S56/2,0)*('Parametros'!$B$7+'Parametros'!$B$9+'Parametros'!$B$12/2+'Parametros'!$B$12+'Parametros'!$B$10))/S56)</f>
        <v>489.35</v>
      </c>
      <c r="V56" s="10">
        <f>S56*'Parametros'!$B$8</f>
        <v>796</v>
      </c>
      <c r="W56" s="10">
        <f>'Parametros'!$B$5*V56*'Parametros'!$B$3*(U56-(V56*'Parametros'!$B$3/(0.85*'Parametros'!$B$2*H56))/2)/1000000</f>
        <v>142.543330094118</v>
      </c>
      <c r="X56" s="10" t="str">
        <f>IF(W56&gt;=J56,"CUMPLE","NO CUMPLE")</f>
        <v>CUMPLE</v>
      </c>
      <c r="Y56" s="10">
        <f>MAX(MAX(1.4/'Parametros'!$B$3,0.25*SQRT('Parametros'!$B$2)/'Parametros'!$B$3)*H56*AB56,(0.85*'Parametros'!$B$2/'Parametros'!$B$3)*(1-SQRT(1-2*(L56*1000000/('Parametros'!$B$5*H56*AB56^2))/(0.85*'Parametros'!$B$2)))*H56*AB56)</f>
        <v>734.025</v>
      </c>
      <c r="Z56" s="31" t="n">
        <v>4</v>
      </c>
      <c r="AA56" s="32" t="n">
        <v>1</v>
      </c>
      <c r="AB56" s="10">
        <f>IF(AA56=1,I56-('Parametros'!$B$7+'Parametros'!$B$9+'Parametros'!$B$12/2),I56-(ROUNDUP(Z56/2,0)*('Parametros'!$B$7+'Parametros'!$B$9+'Parametros'!$B$12/2)+ROUNDDOWN(Z56/2,0)*('Parametros'!$B$7+'Parametros'!$B$9+'Parametros'!$B$12/2+'Parametros'!$B$12+'Parametros'!$B$10))/Z56)</f>
        <v>489.35</v>
      </c>
      <c r="AC56" s="10">
        <f>Z56*'Parametros'!$B$8</f>
        <v>796</v>
      </c>
      <c r="AD56" s="10">
        <f>'Parametros'!$B$5*AC56*'Parametros'!$B$3*(AB56-(AC56*'Parametros'!$B$3/(0.85*'Parametros'!$B$2*H56))/2)/1000000</f>
        <v>142.543330094118</v>
      </c>
      <c r="AE56" s="10" t="str">
        <f>IF(AD56&gt;=L56,"CUMPLE","NO CUMPLE")</f>
        <v>CUMPLE</v>
      </c>
      <c r="AF56" s="10">
        <f>V56*1.25*'Parametros'!$B$3*(U56-(V56*1.25*'Parametros'!$B$3/(0.85*'Parametros'!$B$2*H56))/2)/1000000</f>
        <v>196.346217941176</v>
      </c>
      <c r="AG56" s="10">
        <f>AC56*1.25*'Parametros'!$B$3*(AB56-(AC56*1.25*'Parametros'!$B$3/(0.85*'Parametros'!$B$2*H56))/2)/1000000</f>
        <v>196.346217941176</v>
      </c>
      <c r="AH56" s="10">
        <f>N56+(AF56+AG56)/D56</f>
        <v>178.409265359477</v>
      </c>
      <c r="AI56" s="10">
        <f>MAX(O56,AH56)</f>
        <v>187.295</v>
      </c>
      <c r="AJ56" s="10">
        <f>0.17*SQRT('Parametros'!$B$2)*H56*MIN(U56,AB56)/1000</f>
        <v>198.088855822627</v>
      </c>
      <c r="AK56" s="10">
        <f>MAX(AI56/'Parametros'!$B$6-AJ56,0)</f>
        <v>51.6378108440397</v>
      </c>
      <c r="AL56" s="10">
        <f>0.66*SQRT('Parametros'!$B$2)*H56*MIN(U56,AB56)/1000</f>
        <v>769.050852017258</v>
      </c>
      <c r="AM56" s="10" t="str">
        <f>IF(AK56&lt;=AL56,"CUMPLE","NO CUMPLE")</f>
        <v>CUMPLE</v>
      </c>
      <c r="AN56" s="17" t="inlineStr">
        <is>
          <t>Nº3 cerrado</t>
        </is>
      </c>
      <c r="AO56" s="31" t="n">
        <v>2</v>
      </c>
      <c r="AP56" s="10">
        <f>ROUNDDOWN(MIN(IF(BC56+BD56=0,1000000000,AO56*BB56/(BC56+BD56)),MIN(U56,AB56)/4,8*'Parametros'!$B$12,24*BA56,300,IF(AV56=0,1000000000,2*((H56-2*('Parametros'!$B$7+'Parametros'!$B$9/2))+(I56-2*('Parametros'!$B$7+'Parametros'!$B$9/2)))/8))/10,0)*10</f>
        <v>120</v>
      </c>
      <c r="AQ56" s="10">
        <f>ROUNDDOWN(MIN(IF(BC56+BD56=0,1000000000,AO56*BB56/(BC56+BD56)),IF(AK56&gt;0.33*SQRT('Parametros'!$B$2)*H56*MIN(U56,AB56)/1000,MIN(U56,AB56)/4,MIN(U56,AB56)/2),600,IF(AV56=0,1000000000,2*((H56-2*('Parametros'!$B$7+'Parametros'!$B$9/2))+(I56-2*('Parametros'!$B$7+'Parametros'!$B$9/2)))/8))/10,0)*10</f>
        <v>240</v>
      </c>
      <c r="AR56" s="10">
        <f>'Parametros'!$B$6*(AJ56+MAX(BE56-BD56,0)*'Parametros'!$B$4*MIN(U56,AB56)/1000)</f>
        <v>330.97185436697</v>
      </c>
      <c r="AS56" s="10" t="str">
        <f>IF(AND(ISERROR(SEARCH("referencia",AN56)),AM56="CUMPLE",AR56&gt;=AI56),"CUMPLE","NO CUMPLE")</f>
        <v>CUMPLE</v>
      </c>
      <c r="AT56" s="10">
        <f>'Parametros'!$B$6*0.083*SQRT('Parametros'!$B$2)*(H56*I56)^2/(2*(H56+I56))/1000000</f>
        <v>10.0887830333379</v>
      </c>
      <c r="AU56" s="10" t="str">
        <f>IF(Q56&lt;=AT56,"DESPRECIABLE","DISEÑAR")</f>
        <v>DESPRECIABLE</v>
      </c>
      <c r="AV56" s="10">
        <f>IF(Q56&lt;=AT56,0,Q56*1000000/('Parametros'!$B$6*2*0.85*(H56-2*('Parametros'!$B$7+'Parametros'!$B$9/2))*(I56-2*('Parametros'!$B$7+'Parametros'!$B$9/2))*'Parametros'!$B$4))</f>
        <v>0</v>
      </c>
      <c r="AW56" s="10">
        <f>AV56*2*((H56-2*('Parametros'!$B$7+'Parametros'!$B$9/2))+(I56-2*('Parametros'!$B$7+'Parametros'!$B$9/2)))*'Parametros'!$B$4/'Parametros'!$B$3</f>
        <v>0</v>
      </c>
      <c r="AX56" s="31" t="n">
        <v>0</v>
      </c>
      <c r="AY56" s="10" t="str">
        <f>IF(AV56=0,"DESPRECIABLE",IF(AND(ISERROR(SEARCH("referencia",AN56)),BB56/AP56&gt;=AV56,BI56&gt;=AW56,BH56="CUMPLE"),"CUMPLE","NO CUMPLE"))</f>
        <v>DESPRECIABLE</v>
      </c>
      <c r="AZ56" s="10" t="str">
        <f>IF(AND(X56="CUMPLE",AE56="CUMPLE",AS56="CUMPLE",OR(AY56="CUMPLE",AY56="DESPRECIABLE"),BH56="CUMPLE",BJ56="CUMPLE"),"CUMPLE","NO CUMPLE")</f>
        <v>CUMPLE</v>
      </c>
      <c r="BA56" s="32" t="n">
        <v>9.5</v>
      </c>
      <c r="BB56" s="32" t="n">
        <v>71</v>
      </c>
      <c r="BC56" s="10">
        <f>MAX(IF(AK56=0,0,AK56*1000/('Parametros'!$B$4*MIN(U56,AB56))),MAX(0.062*SQRT('Parametros'!$B$2)*H56/'Parametros'!$B$4,0.35*H56/'Parametros'!$B$4))</f>
        <v>0.375</v>
      </c>
      <c r="BD56" s="10">
        <f>2*AV56</f>
        <v>0</v>
      </c>
      <c r="BE56" s="10">
        <f>AO56*BB56/AP56</f>
        <v>1.18333333333333</v>
      </c>
      <c r="BF56" s="10">
        <f>SQRT((AI56*1000/(H56*MIN(U56,AB56)))^2+(Q56*1000000*2*((H56-2*('Parametros'!$B$7+'Parametros'!$B$9/2))+(I56-2*('Parametros'!$B$7+'Parametros'!$B$9/2)))/(1.7*((H56-2*('Parametros'!$B$7+'Parametros'!$B$9/2))*(I56-2*('Parametros'!$B$7+'Parametros'!$B$9/2)))^2))^2)</f>
        <v>0.854887580629725</v>
      </c>
      <c r="BG56" s="10">
        <f>'Parametros'!$B$6*(AJ56*1000/(H56*MIN(U56,AB56))+0.66*SQRT('Parametros'!$B$2))</f>
        <v>3.29396038227542</v>
      </c>
      <c r="BH56" s="10" t="str">
        <f>IF(BF56&lt;=BG56,"CUMPLE","NO CUMPLE")</f>
        <v>CUMPLE</v>
      </c>
      <c r="BI56" s="10">
        <f>AX56*'Parametros'!$B$8</f>
        <v>0</v>
      </c>
      <c r="BJ56" s="10" t="str">
        <f>IF(BI56&gt;=AW56,"CUMPLE","NO CUMPLE")</f>
        <v>CUMPLE</v>
      </c>
    </row>
    <row r="57">
      <c r="A57" s="16" t="inlineStr">
        <is>
          <t>VC2</t>
        </is>
      </c>
      <c r="B57" s="16" t="inlineStr">
        <is>
          <t>1372</t>
        </is>
      </c>
      <c r="C57" s="10" t="n">
        <v>1</v>
      </c>
      <c r="D57" s="10" t="n">
        <v>3.15</v>
      </c>
      <c r="E57" s="10" t="n">
        <v>3.15</v>
      </c>
      <c r="F57" s="10" t="n">
        <v>450</v>
      </c>
      <c r="G57" s="10" t="n">
        <v>550</v>
      </c>
      <c r="H57" s="17" t="n">
        <v>450</v>
      </c>
      <c r="I57" s="17" t="n">
        <v>550</v>
      </c>
      <c r="J57" s="30" t="n">
        <v>82.08799999999999</v>
      </c>
      <c r="K57" s="10" t="inlineStr">
        <is>
          <t>1372</t>
        </is>
      </c>
      <c r="L57" s="30" t="n">
        <v>70.3317</v>
      </c>
      <c r="M57" s="10" t="inlineStr">
        <is>
          <t>1372</t>
        </is>
      </c>
      <c r="N57" s="30" t="n">
        <v>53.767</v>
      </c>
      <c r="O57" s="30" t="n">
        <v>187.317</v>
      </c>
      <c r="P57" s="10" t="inlineStr">
        <is>
          <t>1372</t>
        </is>
      </c>
      <c r="Q57" s="30" t="n">
        <v>2.3999</v>
      </c>
      <c r="R57" s="10">
        <f>MAX(MAX(1.4/'Parametros'!$B$3,0.25*SQRT('Parametros'!$B$2)/'Parametros'!$B$3)*H57*U57,(0.85*'Parametros'!$B$2/'Parametros'!$B$3)*(1-SQRT(1-2*(J57*1000000/('Parametros'!$B$5*H57*U57^2))/(0.85*'Parametros'!$B$2)))*H57*U57)</f>
        <v>734.025</v>
      </c>
      <c r="S57" s="31" t="n">
        <v>4</v>
      </c>
      <c r="T57" s="32" t="n">
        <v>1</v>
      </c>
      <c r="U57" s="10">
        <f>IF(T57=1,I57-('Parametros'!$B$7+'Parametros'!$B$9+'Parametros'!$B$12/2),I57-(ROUNDUP(S57/2,0)*('Parametros'!$B$7+'Parametros'!$B$9+'Parametros'!$B$12/2)+ROUNDDOWN(S57/2,0)*('Parametros'!$B$7+'Parametros'!$B$9+'Parametros'!$B$12/2+'Parametros'!$B$12+'Parametros'!$B$10))/S57)</f>
        <v>489.35</v>
      </c>
      <c r="V57" s="10">
        <f>S57*'Parametros'!$B$8</f>
        <v>796</v>
      </c>
      <c r="W57" s="10">
        <f>'Parametros'!$B$5*V57*'Parametros'!$B$3*(U57-(V57*'Parametros'!$B$3/(0.85*'Parametros'!$B$2*H57))/2)/1000000</f>
        <v>142.543330094118</v>
      </c>
      <c r="X57" s="10" t="str">
        <f>IF(W57&gt;=J57,"CUMPLE","NO CUMPLE")</f>
        <v>CUMPLE</v>
      </c>
      <c r="Y57" s="10">
        <f>MAX(MAX(1.4/'Parametros'!$B$3,0.25*SQRT('Parametros'!$B$2)/'Parametros'!$B$3)*H57*AB57,(0.85*'Parametros'!$B$2/'Parametros'!$B$3)*(1-SQRT(1-2*(L57*1000000/('Parametros'!$B$5*H57*AB57^2))/(0.85*'Parametros'!$B$2)))*H57*AB57)</f>
        <v>734.025</v>
      </c>
      <c r="Z57" s="31" t="n">
        <v>4</v>
      </c>
      <c r="AA57" s="32" t="n">
        <v>1</v>
      </c>
      <c r="AB57" s="10">
        <f>IF(AA57=1,I57-('Parametros'!$B$7+'Parametros'!$B$9+'Parametros'!$B$12/2),I57-(ROUNDUP(Z57/2,0)*('Parametros'!$B$7+'Parametros'!$B$9+'Parametros'!$B$12/2)+ROUNDDOWN(Z57/2,0)*('Parametros'!$B$7+'Parametros'!$B$9+'Parametros'!$B$12/2+'Parametros'!$B$12+'Parametros'!$B$10))/Z57)</f>
        <v>489.35</v>
      </c>
      <c r="AC57" s="10">
        <f>Z57*'Parametros'!$B$8</f>
        <v>796</v>
      </c>
      <c r="AD57" s="10">
        <f>'Parametros'!$B$5*AC57*'Parametros'!$B$3*(AB57-(AC57*'Parametros'!$B$3/(0.85*'Parametros'!$B$2*H57))/2)/1000000</f>
        <v>142.543330094118</v>
      </c>
      <c r="AE57" s="10" t="str">
        <f>IF(AD57&gt;=L57,"CUMPLE","NO CUMPLE")</f>
        <v>CUMPLE</v>
      </c>
      <c r="AF57" s="10">
        <f>V57*1.25*'Parametros'!$B$3*(U57-(V57*1.25*'Parametros'!$B$3/(0.85*'Parametros'!$B$2*H57))/2)/1000000</f>
        <v>196.346217941176</v>
      </c>
      <c r="AG57" s="10">
        <f>AC57*1.25*'Parametros'!$B$3*(AB57-(AC57*1.25*'Parametros'!$B$3/(0.85*'Parametros'!$B$2*H57))/2)/1000000</f>
        <v>196.346217941176</v>
      </c>
      <c r="AH57" s="10">
        <f>N57+(AF57+AG57)/D57</f>
        <v>178.431265359477</v>
      </c>
      <c r="AI57" s="10">
        <f>MAX(O57,AH57)</f>
        <v>187.317</v>
      </c>
      <c r="AJ57" s="10">
        <f>0.17*SQRT('Parametros'!$B$2)*H57*MIN(U57,AB57)/1000</f>
        <v>198.088855822627</v>
      </c>
      <c r="AK57" s="10">
        <f>MAX(AI57/'Parametros'!$B$6-AJ57,0)</f>
        <v>51.667144177373</v>
      </c>
      <c r="AL57" s="10">
        <f>0.66*SQRT('Parametros'!$B$2)*H57*MIN(U57,AB57)/1000</f>
        <v>769.050852017258</v>
      </c>
      <c r="AM57" s="10" t="str">
        <f>IF(AK57&lt;=AL57,"CUMPLE","NO CUMPLE")</f>
        <v>CUMPLE</v>
      </c>
      <c r="AN57" s="17" t="inlineStr">
        <is>
          <t>Nº3 cerrado</t>
        </is>
      </c>
      <c r="AO57" s="31" t="n">
        <v>2</v>
      </c>
      <c r="AP57" s="10">
        <f>ROUNDDOWN(MIN(IF(BC57+BD57=0,1000000000,AO57*BB57/(BC57+BD57)),MIN(U57,AB57)/4,8*'Parametros'!$B$12,24*BA57,300,IF(AV57=0,1000000000,2*((H57-2*('Parametros'!$B$7+'Parametros'!$B$9/2))+(I57-2*('Parametros'!$B$7+'Parametros'!$B$9/2)))/8))/10,0)*10</f>
        <v>120</v>
      </c>
      <c r="AQ57" s="10">
        <f>ROUNDDOWN(MIN(IF(BC57+BD57=0,1000000000,AO57*BB57/(BC57+BD57)),IF(AK57&gt;0.33*SQRT('Parametros'!$B$2)*H57*MIN(U57,AB57)/1000,MIN(U57,AB57)/4,MIN(U57,AB57)/2),600,IF(AV57=0,1000000000,2*((H57-2*('Parametros'!$B$7+'Parametros'!$B$9/2))+(I57-2*('Parametros'!$B$7+'Parametros'!$B$9/2)))/8))/10,0)*10</f>
        <v>240</v>
      </c>
      <c r="AR57" s="10">
        <f>'Parametros'!$B$6*(AJ57+MAX(BE57-BD57,0)*'Parametros'!$B$4*MIN(U57,AB57)/1000)</f>
        <v>330.97185436697</v>
      </c>
      <c r="AS57" s="10" t="str">
        <f>IF(AND(ISERROR(SEARCH("referencia",AN57)),AM57="CUMPLE",AR57&gt;=AI57),"CUMPLE","NO CUMPLE")</f>
        <v>CUMPLE</v>
      </c>
      <c r="AT57" s="10">
        <f>'Parametros'!$B$6*0.083*SQRT('Parametros'!$B$2)*(H57*I57)^2/(2*(H57+I57))/1000000</f>
        <v>10.0887830333379</v>
      </c>
      <c r="AU57" s="10" t="str">
        <f>IF(Q57&lt;=AT57,"DESPRECIABLE","DISEÑAR")</f>
        <v>DESPRECIABLE</v>
      </c>
      <c r="AV57" s="10">
        <f>IF(Q57&lt;=AT57,0,Q57*1000000/('Parametros'!$B$6*2*0.85*(H57-2*('Parametros'!$B$7+'Parametros'!$B$9/2))*(I57-2*('Parametros'!$B$7+'Parametros'!$B$9/2))*'Parametros'!$B$4))</f>
        <v>0</v>
      </c>
      <c r="AW57" s="10">
        <f>AV57*2*((H57-2*('Parametros'!$B$7+'Parametros'!$B$9/2))+(I57-2*('Parametros'!$B$7+'Parametros'!$B$9/2)))*'Parametros'!$B$4/'Parametros'!$B$3</f>
        <v>0</v>
      </c>
      <c r="AX57" s="31" t="n">
        <v>0</v>
      </c>
      <c r="AY57" s="10" t="str">
        <f>IF(AV57=0,"DESPRECIABLE",IF(AND(ISERROR(SEARCH("referencia",AN57)),BB57/AP57&gt;=AV57,BI57&gt;=AW57,BH57="CUMPLE"),"CUMPLE","NO CUMPLE"))</f>
        <v>DESPRECIABLE</v>
      </c>
      <c r="AZ57" s="10" t="str">
        <f>IF(AND(X57="CUMPLE",AE57="CUMPLE",AS57="CUMPLE",OR(AY57="CUMPLE",AY57="DESPRECIABLE"),BH57="CUMPLE",BJ57="CUMPLE"),"CUMPLE","NO CUMPLE")</f>
        <v>CUMPLE</v>
      </c>
      <c r="BA57" s="32" t="n">
        <v>9.5</v>
      </c>
      <c r="BB57" s="32" t="n">
        <v>71</v>
      </c>
      <c r="BC57" s="10">
        <f>MAX(IF(AK57=0,0,AK57*1000/('Parametros'!$B$4*MIN(U57,AB57))),MAX(0.062*SQRT('Parametros'!$B$2)*H57/'Parametros'!$B$4,0.35*H57/'Parametros'!$B$4))</f>
        <v>0.375</v>
      </c>
      <c r="BD57" s="10">
        <f>2*AV57</f>
        <v>0</v>
      </c>
      <c r="BE57" s="10">
        <f>AO57*BB57/AP57</f>
        <v>1.18333333333333</v>
      </c>
      <c r="BF57" s="10">
        <f>SQRT((AI57*1000/(H57*MIN(U57,AB57)))^2+(Q57*1000000*2*((H57-2*('Parametros'!$B$7+'Parametros'!$B$9/2))+(I57-2*('Parametros'!$B$7+'Parametros'!$B$9/2)))/(1.7*((H57-2*('Parametros'!$B$7+'Parametros'!$B$9/2))*(I57-2*('Parametros'!$B$7+'Parametros'!$B$9/2)))^2))^2)</f>
        <v>0.854989871338361</v>
      </c>
      <c r="BG57" s="10">
        <f>'Parametros'!$B$6*(AJ57*1000/(H57*MIN(U57,AB57))+0.66*SQRT('Parametros'!$B$2))</f>
        <v>3.29396038227542</v>
      </c>
      <c r="BH57" s="10" t="str">
        <f>IF(BF57&lt;=BG57,"CUMPLE","NO CUMPLE")</f>
        <v>CUMPLE</v>
      </c>
      <c r="BI57" s="10">
        <f>AX57*'Parametros'!$B$8</f>
        <v>0</v>
      </c>
      <c r="BJ57" s="10" t="str">
        <f>IF(BI57&gt;=AW57,"CUMPLE","NO CUMPLE")</f>
        <v>CUMPLE</v>
      </c>
    </row>
    <row r="58">
      <c r="A58" s="16" t="inlineStr">
        <is>
          <t>VC2</t>
        </is>
      </c>
      <c r="B58" s="16" t="inlineStr">
        <is>
          <t>1373</t>
        </is>
      </c>
      <c r="C58" s="10" t="n">
        <v>1</v>
      </c>
      <c r="D58" s="10" t="n">
        <v>3.15</v>
      </c>
      <c r="E58" s="10" t="n">
        <v>3.15</v>
      </c>
      <c r="F58" s="10" t="n">
        <v>450</v>
      </c>
      <c r="G58" s="10" t="n">
        <v>550</v>
      </c>
      <c r="H58" s="17" t="n">
        <v>450</v>
      </c>
      <c r="I58" s="17" t="n">
        <v>550</v>
      </c>
      <c r="J58" s="30" t="n">
        <v>82.0883</v>
      </c>
      <c r="K58" s="10" t="inlineStr">
        <is>
          <t>1373</t>
        </is>
      </c>
      <c r="L58" s="30" t="n">
        <v>70.33110000000001</v>
      </c>
      <c r="M58" s="10" t="inlineStr">
        <is>
          <t>1373</t>
        </is>
      </c>
      <c r="N58" s="30" t="n">
        <v>53.767</v>
      </c>
      <c r="O58" s="30" t="n">
        <v>187.337</v>
      </c>
      <c r="P58" s="10" t="inlineStr">
        <is>
          <t>1373</t>
        </is>
      </c>
      <c r="Q58" s="30" t="n">
        <v>2.3994</v>
      </c>
      <c r="R58" s="10">
        <f>MAX(MAX(1.4/'Parametros'!$B$3,0.25*SQRT('Parametros'!$B$2)/'Parametros'!$B$3)*H58*U58,(0.85*'Parametros'!$B$2/'Parametros'!$B$3)*(1-SQRT(1-2*(J58*1000000/('Parametros'!$B$5*H58*U58^2))/(0.85*'Parametros'!$B$2)))*H58*U58)</f>
        <v>734.025</v>
      </c>
      <c r="S58" s="31" t="n">
        <v>4</v>
      </c>
      <c r="T58" s="32" t="n">
        <v>1</v>
      </c>
      <c r="U58" s="10">
        <f>IF(T58=1,I58-('Parametros'!$B$7+'Parametros'!$B$9+'Parametros'!$B$12/2),I58-(ROUNDUP(S58/2,0)*('Parametros'!$B$7+'Parametros'!$B$9+'Parametros'!$B$12/2)+ROUNDDOWN(S58/2,0)*('Parametros'!$B$7+'Parametros'!$B$9+'Parametros'!$B$12/2+'Parametros'!$B$12+'Parametros'!$B$10))/S58)</f>
        <v>489.35</v>
      </c>
      <c r="V58" s="10">
        <f>S58*'Parametros'!$B$8</f>
        <v>796</v>
      </c>
      <c r="W58" s="10">
        <f>'Parametros'!$B$5*V58*'Parametros'!$B$3*(U58-(V58*'Parametros'!$B$3/(0.85*'Parametros'!$B$2*H58))/2)/1000000</f>
        <v>142.543330094118</v>
      </c>
      <c r="X58" s="10" t="str">
        <f>IF(W58&gt;=J58,"CUMPLE","NO CUMPLE")</f>
        <v>CUMPLE</v>
      </c>
      <c r="Y58" s="10">
        <f>MAX(MAX(1.4/'Parametros'!$B$3,0.25*SQRT('Parametros'!$B$2)/'Parametros'!$B$3)*H58*AB58,(0.85*'Parametros'!$B$2/'Parametros'!$B$3)*(1-SQRT(1-2*(L58*1000000/('Parametros'!$B$5*H58*AB58^2))/(0.85*'Parametros'!$B$2)))*H58*AB58)</f>
        <v>734.025</v>
      </c>
      <c r="Z58" s="31" t="n">
        <v>4</v>
      </c>
      <c r="AA58" s="32" t="n">
        <v>1</v>
      </c>
      <c r="AB58" s="10">
        <f>IF(AA58=1,I58-('Parametros'!$B$7+'Parametros'!$B$9+'Parametros'!$B$12/2),I58-(ROUNDUP(Z58/2,0)*('Parametros'!$B$7+'Parametros'!$B$9+'Parametros'!$B$12/2)+ROUNDDOWN(Z58/2,0)*('Parametros'!$B$7+'Parametros'!$B$9+'Parametros'!$B$12/2+'Parametros'!$B$12+'Parametros'!$B$10))/Z58)</f>
        <v>489.35</v>
      </c>
      <c r="AC58" s="10">
        <f>Z58*'Parametros'!$B$8</f>
        <v>796</v>
      </c>
      <c r="AD58" s="10">
        <f>'Parametros'!$B$5*AC58*'Parametros'!$B$3*(AB58-(AC58*'Parametros'!$B$3/(0.85*'Parametros'!$B$2*H58))/2)/1000000</f>
        <v>142.543330094118</v>
      </c>
      <c r="AE58" s="10" t="str">
        <f>IF(AD58&gt;=L58,"CUMPLE","NO CUMPLE")</f>
        <v>CUMPLE</v>
      </c>
      <c r="AF58" s="10">
        <f>V58*1.25*'Parametros'!$B$3*(U58-(V58*1.25*'Parametros'!$B$3/(0.85*'Parametros'!$B$2*H58))/2)/1000000</f>
        <v>196.346217941176</v>
      </c>
      <c r="AG58" s="10">
        <f>AC58*1.25*'Parametros'!$B$3*(AB58-(AC58*1.25*'Parametros'!$B$3/(0.85*'Parametros'!$B$2*H58))/2)/1000000</f>
        <v>196.346217941176</v>
      </c>
      <c r="AH58" s="10">
        <f>N58+(AF58+AG58)/D58</f>
        <v>178.431265359477</v>
      </c>
      <c r="AI58" s="10">
        <f>MAX(O58,AH58)</f>
        <v>187.337</v>
      </c>
      <c r="AJ58" s="10">
        <f>0.17*SQRT('Parametros'!$B$2)*H58*MIN(U58,AB58)/1000</f>
        <v>198.088855822627</v>
      </c>
      <c r="AK58" s="10">
        <f>MAX(AI58/'Parametros'!$B$6-AJ58,0)</f>
        <v>51.6938108440397</v>
      </c>
      <c r="AL58" s="10">
        <f>0.66*SQRT('Parametros'!$B$2)*H58*MIN(U58,AB58)/1000</f>
        <v>769.050852017258</v>
      </c>
      <c r="AM58" s="10" t="str">
        <f>IF(AK58&lt;=AL58,"CUMPLE","NO CUMPLE")</f>
        <v>CUMPLE</v>
      </c>
      <c r="AN58" s="17" t="inlineStr">
        <is>
          <t>Nº3 cerrado</t>
        </is>
      </c>
      <c r="AO58" s="31" t="n">
        <v>2</v>
      </c>
      <c r="AP58" s="10">
        <f>ROUNDDOWN(MIN(IF(BC58+BD58=0,1000000000,AO58*BB58/(BC58+BD58)),MIN(U58,AB58)/4,8*'Parametros'!$B$12,24*BA58,300,IF(AV58=0,1000000000,2*((H58-2*('Parametros'!$B$7+'Parametros'!$B$9/2))+(I58-2*('Parametros'!$B$7+'Parametros'!$B$9/2)))/8))/10,0)*10</f>
        <v>120</v>
      </c>
      <c r="AQ58" s="10">
        <f>ROUNDDOWN(MIN(IF(BC58+BD58=0,1000000000,AO58*BB58/(BC58+BD58)),IF(AK58&gt;0.33*SQRT('Parametros'!$B$2)*H58*MIN(U58,AB58)/1000,MIN(U58,AB58)/4,MIN(U58,AB58)/2),600,IF(AV58=0,1000000000,2*((H58-2*('Parametros'!$B$7+'Parametros'!$B$9/2))+(I58-2*('Parametros'!$B$7+'Parametros'!$B$9/2)))/8))/10,0)*10</f>
        <v>240</v>
      </c>
      <c r="AR58" s="10">
        <f>'Parametros'!$B$6*(AJ58+MAX(BE58-BD58,0)*'Parametros'!$B$4*MIN(U58,AB58)/1000)</f>
        <v>330.97185436697</v>
      </c>
      <c r="AS58" s="10" t="str">
        <f>IF(AND(ISERROR(SEARCH("referencia",AN58)),AM58="CUMPLE",AR58&gt;=AI58),"CUMPLE","NO CUMPLE")</f>
        <v>CUMPLE</v>
      </c>
      <c r="AT58" s="10">
        <f>'Parametros'!$B$6*0.083*SQRT('Parametros'!$B$2)*(H58*I58)^2/(2*(H58+I58))/1000000</f>
        <v>10.0887830333379</v>
      </c>
      <c r="AU58" s="10" t="str">
        <f>IF(Q58&lt;=AT58,"DESPRECIABLE","DISEÑAR")</f>
        <v>DESPRECIABLE</v>
      </c>
      <c r="AV58" s="10">
        <f>IF(Q58&lt;=AT58,0,Q58*1000000/('Parametros'!$B$6*2*0.85*(H58-2*('Parametros'!$B$7+'Parametros'!$B$9/2))*(I58-2*('Parametros'!$B$7+'Parametros'!$B$9/2))*'Parametros'!$B$4))</f>
        <v>0</v>
      </c>
      <c r="AW58" s="10">
        <f>AV58*2*((H58-2*('Parametros'!$B$7+'Parametros'!$B$9/2))+(I58-2*('Parametros'!$B$7+'Parametros'!$B$9/2)))*'Parametros'!$B$4/'Parametros'!$B$3</f>
        <v>0</v>
      </c>
      <c r="AX58" s="31" t="n">
        <v>0</v>
      </c>
      <c r="AY58" s="10" t="str">
        <f>IF(AV58=0,"DESPRECIABLE",IF(AND(ISERROR(SEARCH("referencia",AN58)),BB58/AP58&gt;=AV58,BI58&gt;=AW58,BH58="CUMPLE"),"CUMPLE","NO CUMPLE"))</f>
        <v>DESPRECIABLE</v>
      </c>
      <c r="AZ58" s="10" t="str">
        <f>IF(AND(X58="CUMPLE",AE58="CUMPLE",AS58="CUMPLE",OR(AY58="CUMPLE",AY58="DESPRECIABLE"),BH58="CUMPLE",BJ58="CUMPLE"),"CUMPLE","NO CUMPLE")</f>
        <v>CUMPLE</v>
      </c>
      <c r="BA58" s="32" t="n">
        <v>9.5</v>
      </c>
      <c r="BB58" s="32" t="n">
        <v>71</v>
      </c>
      <c r="BC58" s="10">
        <f>MAX(IF(AK58=0,0,AK58*1000/('Parametros'!$B$4*MIN(U58,AB58))),MAX(0.062*SQRT('Parametros'!$B$2)*H58/'Parametros'!$B$4,0.35*H58/'Parametros'!$B$4))</f>
        <v>0.375</v>
      </c>
      <c r="BD58" s="10">
        <f>2*AV58</f>
        <v>0</v>
      </c>
      <c r="BE58" s="10">
        <f>AO58*BB58/AP58</f>
        <v>1.18333333333333</v>
      </c>
      <c r="BF58" s="10">
        <f>SQRT((AI58*1000/(H58*MIN(U58,AB58)))^2+(Q58*1000000*2*((H58-2*('Parametros'!$B$7+'Parametros'!$B$9/2))+(I58-2*('Parametros'!$B$7+'Parametros'!$B$9/2)))/(1.7*((H58-2*('Parametros'!$B$7+'Parametros'!$B$9/2))*(I58-2*('Parametros'!$B$7+'Parametros'!$B$9/2)))^2))^2)</f>
        <v>0.855078424477755</v>
      </c>
      <c r="BG58" s="10">
        <f>'Parametros'!$B$6*(AJ58*1000/(H58*MIN(U58,AB58))+0.66*SQRT('Parametros'!$B$2))</f>
        <v>3.29396038227542</v>
      </c>
      <c r="BH58" s="10" t="str">
        <f>IF(BF58&lt;=BG58,"CUMPLE","NO CUMPLE")</f>
        <v>CUMPLE</v>
      </c>
      <c r="BI58" s="10">
        <f>AX58*'Parametros'!$B$8</f>
        <v>0</v>
      </c>
      <c r="BJ58" s="10" t="str">
        <f>IF(BI58&gt;=AW58,"CUMPLE","NO CUMPLE")</f>
        <v>CUMPLE</v>
      </c>
    </row>
    <row r="59">
      <c r="A59" s="16" t="inlineStr">
        <is>
          <t>VC2</t>
        </is>
      </c>
      <c r="B59" s="16" t="inlineStr">
        <is>
          <t>1374</t>
        </is>
      </c>
      <c r="C59" s="10" t="n">
        <v>1</v>
      </c>
      <c r="D59" s="10" t="n">
        <v>3.15</v>
      </c>
      <c r="E59" s="10" t="n">
        <v>3.15</v>
      </c>
      <c r="F59" s="10" t="n">
        <v>450</v>
      </c>
      <c r="G59" s="10" t="n">
        <v>550</v>
      </c>
      <c r="H59" s="17" t="n">
        <v>450</v>
      </c>
      <c r="I59" s="17" t="n">
        <v>550</v>
      </c>
      <c r="J59" s="30" t="n">
        <v>82.05889999999999</v>
      </c>
      <c r="K59" s="10" t="inlineStr">
        <is>
          <t>1374</t>
        </is>
      </c>
      <c r="L59" s="30" t="n">
        <v>70.3009</v>
      </c>
      <c r="M59" s="10" t="inlineStr">
        <is>
          <t>1374</t>
        </is>
      </c>
      <c r="N59" s="30" t="n">
        <v>53.751</v>
      </c>
      <c r="O59" s="30" t="n">
        <v>187.321</v>
      </c>
      <c r="P59" s="10" t="inlineStr">
        <is>
          <t>1374</t>
        </is>
      </c>
      <c r="Q59" s="30" t="n">
        <v>2.3986</v>
      </c>
      <c r="R59" s="10">
        <f>MAX(MAX(1.4/'Parametros'!$B$3,0.25*SQRT('Parametros'!$B$2)/'Parametros'!$B$3)*H59*U59,(0.85*'Parametros'!$B$2/'Parametros'!$B$3)*(1-SQRT(1-2*(J59*1000000/('Parametros'!$B$5*H59*U59^2))/(0.85*'Parametros'!$B$2)))*H59*U59)</f>
        <v>734.025</v>
      </c>
      <c r="S59" s="31" t="n">
        <v>4</v>
      </c>
      <c r="T59" s="32" t="n">
        <v>1</v>
      </c>
      <c r="U59" s="10">
        <f>IF(T59=1,I59-('Parametros'!$B$7+'Parametros'!$B$9+'Parametros'!$B$12/2),I59-(ROUNDUP(S59/2,0)*('Parametros'!$B$7+'Parametros'!$B$9+'Parametros'!$B$12/2)+ROUNDDOWN(S59/2,0)*('Parametros'!$B$7+'Parametros'!$B$9+'Parametros'!$B$12/2+'Parametros'!$B$12+'Parametros'!$B$10))/S59)</f>
        <v>489.35</v>
      </c>
      <c r="V59" s="10">
        <f>S59*'Parametros'!$B$8</f>
        <v>796</v>
      </c>
      <c r="W59" s="10">
        <f>'Parametros'!$B$5*V59*'Parametros'!$B$3*(U59-(V59*'Parametros'!$B$3/(0.85*'Parametros'!$B$2*H59))/2)/1000000</f>
        <v>142.543330094118</v>
      </c>
      <c r="X59" s="10" t="str">
        <f>IF(W59&gt;=J59,"CUMPLE","NO CUMPLE")</f>
        <v>CUMPLE</v>
      </c>
      <c r="Y59" s="10">
        <f>MAX(MAX(1.4/'Parametros'!$B$3,0.25*SQRT('Parametros'!$B$2)/'Parametros'!$B$3)*H59*AB59,(0.85*'Parametros'!$B$2/'Parametros'!$B$3)*(1-SQRT(1-2*(L59*1000000/('Parametros'!$B$5*H59*AB59^2))/(0.85*'Parametros'!$B$2)))*H59*AB59)</f>
        <v>734.025</v>
      </c>
      <c r="Z59" s="31" t="n">
        <v>4</v>
      </c>
      <c r="AA59" s="32" t="n">
        <v>1</v>
      </c>
      <c r="AB59" s="10">
        <f>IF(AA59=1,I59-('Parametros'!$B$7+'Parametros'!$B$9+'Parametros'!$B$12/2),I59-(ROUNDUP(Z59/2,0)*('Parametros'!$B$7+'Parametros'!$B$9+'Parametros'!$B$12/2)+ROUNDDOWN(Z59/2,0)*('Parametros'!$B$7+'Parametros'!$B$9+'Parametros'!$B$12/2+'Parametros'!$B$12+'Parametros'!$B$10))/Z59)</f>
        <v>489.35</v>
      </c>
      <c r="AC59" s="10">
        <f>Z59*'Parametros'!$B$8</f>
        <v>796</v>
      </c>
      <c r="AD59" s="10">
        <f>'Parametros'!$B$5*AC59*'Parametros'!$B$3*(AB59-(AC59*'Parametros'!$B$3/(0.85*'Parametros'!$B$2*H59))/2)/1000000</f>
        <v>142.543330094118</v>
      </c>
      <c r="AE59" s="10" t="str">
        <f>IF(AD59&gt;=L59,"CUMPLE","NO CUMPLE")</f>
        <v>CUMPLE</v>
      </c>
      <c r="AF59" s="10">
        <f>V59*1.25*'Parametros'!$B$3*(U59-(V59*1.25*'Parametros'!$B$3/(0.85*'Parametros'!$B$2*H59))/2)/1000000</f>
        <v>196.346217941176</v>
      </c>
      <c r="AG59" s="10">
        <f>AC59*1.25*'Parametros'!$B$3*(AB59-(AC59*1.25*'Parametros'!$B$3/(0.85*'Parametros'!$B$2*H59))/2)/1000000</f>
        <v>196.346217941176</v>
      </c>
      <c r="AH59" s="10">
        <f>N59+(AF59+AG59)/D59</f>
        <v>178.415265359477</v>
      </c>
      <c r="AI59" s="10">
        <f>MAX(O59,AH59)</f>
        <v>187.321</v>
      </c>
      <c r="AJ59" s="10">
        <f>0.17*SQRT('Parametros'!$B$2)*H59*MIN(U59,AB59)/1000</f>
        <v>198.088855822627</v>
      </c>
      <c r="AK59" s="10">
        <f>MAX(AI59/'Parametros'!$B$6-AJ59,0)</f>
        <v>51.6724775107064</v>
      </c>
      <c r="AL59" s="10">
        <f>0.66*SQRT('Parametros'!$B$2)*H59*MIN(U59,AB59)/1000</f>
        <v>769.050852017258</v>
      </c>
      <c r="AM59" s="10" t="str">
        <f>IF(AK59&lt;=AL59,"CUMPLE","NO CUMPLE")</f>
        <v>CUMPLE</v>
      </c>
      <c r="AN59" s="17" t="inlineStr">
        <is>
          <t>Nº3 cerrado</t>
        </is>
      </c>
      <c r="AO59" s="31" t="n">
        <v>2</v>
      </c>
      <c r="AP59" s="10">
        <f>ROUNDDOWN(MIN(IF(BC59+BD59=0,1000000000,AO59*BB59/(BC59+BD59)),MIN(U59,AB59)/4,8*'Parametros'!$B$12,24*BA59,300,IF(AV59=0,1000000000,2*((H59-2*('Parametros'!$B$7+'Parametros'!$B$9/2))+(I59-2*('Parametros'!$B$7+'Parametros'!$B$9/2)))/8))/10,0)*10</f>
        <v>120</v>
      </c>
      <c r="AQ59" s="10">
        <f>ROUNDDOWN(MIN(IF(BC59+BD59=0,1000000000,AO59*BB59/(BC59+BD59)),IF(AK59&gt;0.33*SQRT('Parametros'!$B$2)*H59*MIN(U59,AB59)/1000,MIN(U59,AB59)/4,MIN(U59,AB59)/2),600,IF(AV59=0,1000000000,2*((H59-2*('Parametros'!$B$7+'Parametros'!$B$9/2))+(I59-2*('Parametros'!$B$7+'Parametros'!$B$9/2)))/8))/10,0)*10</f>
        <v>240</v>
      </c>
      <c r="AR59" s="10">
        <f>'Parametros'!$B$6*(AJ59+MAX(BE59-BD59,0)*'Parametros'!$B$4*MIN(U59,AB59)/1000)</f>
        <v>330.97185436697</v>
      </c>
      <c r="AS59" s="10" t="str">
        <f>IF(AND(ISERROR(SEARCH("referencia",AN59)),AM59="CUMPLE",AR59&gt;=AI59),"CUMPLE","NO CUMPLE")</f>
        <v>CUMPLE</v>
      </c>
      <c r="AT59" s="10">
        <f>'Parametros'!$B$6*0.083*SQRT('Parametros'!$B$2)*(H59*I59)^2/(2*(H59+I59))/1000000</f>
        <v>10.0887830333379</v>
      </c>
      <c r="AU59" s="10" t="str">
        <f>IF(Q59&lt;=AT59,"DESPRECIABLE","DISEÑAR")</f>
        <v>DESPRECIABLE</v>
      </c>
      <c r="AV59" s="10">
        <f>IF(Q59&lt;=AT59,0,Q59*1000000/('Parametros'!$B$6*2*0.85*(H59-2*('Parametros'!$B$7+'Parametros'!$B$9/2))*(I59-2*('Parametros'!$B$7+'Parametros'!$B$9/2))*'Parametros'!$B$4))</f>
        <v>0</v>
      </c>
      <c r="AW59" s="10">
        <f>AV59*2*((H59-2*('Parametros'!$B$7+'Parametros'!$B$9/2))+(I59-2*('Parametros'!$B$7+'Parametros'!$B$9/2)))*'Parametros'!$B$4/'Parametros'!$B$3</f>
        <v>0</v>
      </c>
      <c r="AX59" s="31" t="n">
        <v>0</v>
      </c>
      <c r="AY59" s="10" t="str">
        <f>IF(AV59=0,"DESPRECIABLE",IF(AND(ISERROR(SEARCH("referencia",AN59)),BB59/AP59&gt;=AV59,BI59&gt;=AW59,BH59="CUMPLE"),"CUMPLE","NO CUMPLE"))</f>
        <v>DESPRECIABLE</v>
      </c>
      <c r="AZ59" s="10" t="str">
        <f>IF(AND(X59="CUMPLE",AE59="CUMPLE",AS59="CUMPLE",OR(AY59="CUMPLE",AY59="DESPRECIABLE"),BH59="CUMPLE",BJ59="CUMPLE"),"CUMPLE","NO CUMPLE")</f>
        <v>CUMPLE</v>
      </c>
      <c r="BA59" s="32" t="n">
        <v>9.5</v>
      </c>
      <c r="BB59" s="32" t="n">
        <v>71</v>
      </c>
      <c r="BC59" s="10">
        <f>MAX(IF(AK59=0,0,AK59*1000/('Parametros'!$B$4*MIN(U59,AB59))),MAX(0.062*SQRT('Parametros'!$B$2)*H59/'Parametros'!$B$4,0.35*H59/'Parametros'!$B$4))</f>
        <v>0.375</v>
      </c>
      <c r="BD59" s="10">
        <f>2*AV59</f>
        <v>0</v>
      </c>
      <c r="BE59" s="10">
        <f>AO59*BB59/AP59</f>
        <v>1.18333333333333</v>
      </c>
      <c r="BF59" s="10">
        <f>SQRT((AI59*1000/(H59*MIN(U59,AB59)))^2+(Q59*1000000*2*((H59-2*('Parametros'!$B$7+'Parametros'!$B$9/2))+(I59-2*('Parametros'!$B$7+'Parametros'!$B$9/2)))/(1.7*((H59-2*('Parametros'!$B$7+'Parametros'!$B$9/2))*(I59-2*('Parametros'!$B$7+'Parametros'!$B$9/2)))^2))^2)</f>
        <v>0.855003242865278</v>
      </c>
      <c r="BG59" s="10">
        <f>'Parametros'!$B$6*(AJ59*1000/(H59*MIN(U59,AB59))+0.66*SQRT('Parametros'!$B$2))</f>
        <v>3.29396038227542</v>
      </c>
      <c r="BH59" s="10" t="str">
        <f>IF(BF59&lt;=BG59,"CUMPLE","NO CUMPLE")</f>
        <v>CUMPLE</v>
      </c>
      <c r="BI59" s="10">
        <f>AX59*'Parametros'!$B$8</f>
        <v>0</v>
      </c>
      <c r="BJ59" s="10" t="str">
        <f>IF(BI59&gt;=AW59,"CUMPLE","NO CUMPLE")</f>
        <v>CUMPLE</v>
      </c>
    </row>
    <row r="60">
      <c r="A60" s="16" t="inlineStr">
        <is>
          <t>VC2</t>
        </is>
      </c>
      <c r="B60" s="16" t="inlineStr">
        <is>
          <t>1375</t>
        </is>
      </c>
      <c r="C60" s="10" t="n">
        <v>1</v>
      </c>
      <c r="D60" s="10" t="n">
        <v>3.15</v>
      </c>
      <c r="E60" s="10" t="n">
        <v>3.15</v>
      </c>
      <c r="F60" s="10" t="n">
        <v>450</v>
      </c>
      <c r="G60" s="10" t="n">
        <v>550</v>
      </c>
      <c r="H60" s="17" t="n">
        <v>450</v>
      </c>
      <c r="I60" s="17" t="n">
        <v>550</v>
      </c>
      <c r="J60" s="30" t="n">
        <v>40.5048</v>
      </c>
      <c r="K60" s="10" t="inlineStr">
        <is>
          <t>1375</t>
        </is>
      </c>
      <c r="L60" s="30" t="n">
        <v>31.6524</v>
      </c>
      <c r="M60" s="10" t="inlineStr">
        <is>
          <t>1375</t>
        </is>
      </c>
      <c r="N60" s="30" t="n">
        <v>32.364</v>
      </c>
      <c r="O60" s="30" t="n">
        <v>88.276</v>
      </c>
      <c r="P60" s="10" t="inlineStr">
        <is>
          <t>1375</t>
        </is>
      </c>
      <c r="Q60" s="30" t="n">
        <v>2.6684</v>
      </c>
      <c r="R60" s="10">
        <f>MAX(MAX(1.4/'Parametros'!$B$3,0.25*SQRT('Parametros'!$B$2)/'Parametros'!$B$3)*H60*U60,(0.85*'Parametros'!$B$2/'Parametros'!$B$3)*(1-SQRT(1-2*(J60*1000000/('Parametros'!$B$5*H60*U60^2))/(0.85*'Parametros'!$B$2)))*H60*U60)</f>
        <v>734.025</v>
      </c>
      <c r="S60" s="31" t="n">
        <v>4</v>
      </c>
      <c r="T60" s="32" t="n">
        <v>1</v>
      </c>
      <c r="U60" s="10">
        <f>IF(T60=1,I60-('Parametros'!$B$7+'Parametros'!$B$9+'Parametros'!$B$12/2),I60-(ROUNDUP(S60/2,0)*('Parametros'!$B$7+'Parametros'!$B$9+'Parametros'!$B$12/2)+ROUNDDOWN(S60/2,0)*('Parametros'!$B$7+'Parametros'!$B$9+'Parametros'!$B$12/2+'Parametros'!$B$12+'Parametros'!$B$10))/S60)</f>
        <v>489.35</v>
      </c>
      <c r="V60" s="10">
        <f>S60*'Parametros'!$B$8</f>
        <v>796</v>
      </c>
      <c r="W60" s="10">
        <f>'Parametros'!$B$5*V60*'Parametros'!$B$3*(U60-(V60*'Parametros'!$B$3/(0.85*'Parametros'!$B$2*H60))/2)/1000000</f>
        <v>142.543330094118</v>
      </c>
      <c r="X60" s="10" t="str">
        <f>IF(W60&gt;=J60,"CUMPLE","NO CUMPLE")</f>
        <v>CUMPLE</v>
      </c>
      <c r="Y60" s="10">
        <f>MAX(MAX(1.4/'Parametros'!$B$3,0.25*SQRT('Parametros'!$B$2)/'Parametros'!$B$3)*H60*AB60,(0.85*'Parametros'!$B$2/'Parametros'!$B$3)*(1-SQRT(1-2*(L60*1000000/('Parametros'!$B$5*H60*AB60^2))/(0.85*'Parametros'!$B$2)))*H60*AB60)</f>
        <v>734.025</v>
      </c>
      <c r="Z60" s="31" t="n">
        <v>4</v>
      </c>
      <c r="AA60" s="32" t="n">
        <v>1</v>
      </c>
      <c r="AB60" s="10">
        <f>IF(AA60=1,I60-('Parametros'!$B$7+'Parametros'!$B$9+'Parametros'!$B$12/2),I60-(ROUNDUP(Z60/2,0)*('Parametros'!$B$7+'Parametros'!$B$9+'Parametros'!$B$12/2)+ROUNDDOWN(Z60/2,0)*('Parametros'!$B$7+'Parametros'!$B$9+'Parametros'!$B$12/2+'Parametros'!$B$12+'Parametros'!$B$10))/Z60)</f>
        <v>489.35</v>
      </c>
      <c r="AC60" s="10">
        <f>Z60*'Parametros'!$B$8</f>
        <v>796</v>
      </c>
      <c r="AD60" s="10">
        <f>'Parametros'!$B$5*AC60*'Parametros'!$B$3*(AB60-(AC60*'Parametros'!$B$3/(0.85*'Parametros'!$B$2*H60))/2)/1000000</f>
        <v>142.543330094118</v>
      </c>
      <c r="AE60" s="10" t="str">
        <f>IF(AD60&gt;=L60,"CUMPLE","NO CUMPLE")</f>
        <v>CUMPLE</v>
      </c>
      <c r="AF60" s="10">
        <f>V60*1.25*'Parametros'!$B$3*(U60-(V60*1.25*'Parametros'!$B$3/(0.85*'Parametros'!$B$2*H60))/2)/1000000</f>
        <v>196.346217941176</v>
      </c>
      <c r="AG60" s="10">
        <f>AC60*1.25*'Parametros'!$B$3*(AB60-(AC60*1.25*'Parametros'!$B$3/(0.85*'Parametros'!$B$2*H60))/2)/1000000</f>
        <v>196.346217941176</v>
      </c>
      <c r="AH60" s="10">
        <f>N60+(AF60+AG60)/D60</f>
        <v>157.028265359477</v>
      </c>
      <c r="AI60" s="10">
        <f>MAX(O60,AH60)</f>
        <v>157.028265359477</v>
      </c>
      <c r="AJ60" s="10">
        <f>0.17*SQRT('Parametros'!$B$2)*H60*MIN(U60,AB60)/1000</f>
        <v>198.088855822627</v>
      </c>
      <c r="AK60" s="10">
        <f>MAX(AI60/'Parametros'!$B$6-AJ60,0)</f>
        <v>11.2821646566759</v>
      </c>
      <c r="AL60" s="10">
        <f>0.66*SQRT('Parametros'!$B$2)*H60*MIN(U60,AB60)/1000</f>
        <v>769.050852017258</v>
      </c>
      <c r="AM60" s="10" t="str">
        <f>IF(AK60&lt;=AL60,"CUMPLE","NO CUMPLE")</f>
        <v>CUMPLE</v>
      </c>
      <c r="AN60" s="17" t="inlineStr">
        <is>
          <t>Nº3 cerrado</t>
        </is>
      </c>
      <c r="AO60" s="31" t="n">
        <v>2</v>
      </c>
      <c r="AP60" s="10">
        <f>ROUNDDOWN(MIN(IF(BC60+BD60=0,1000000000,AO60*BB60/(BC60+BD60)),MIN(U60,AB60)/4,8*'Parametros'!$B$12,24*BA60,300,IF(AV60=0,1000000000,2*((H60-2*('Parametros'!$B$7+'Parametros'!$B$9/2))+(I60-2*('Parametros'!$B$7+'Parametros'!$B$9/2)))/8))/10,0)*10</f>
        <v>120</v>
      </c>
      <c r="AQ60" s="10">
        <f>ROUNDDOWN(MIN(IF(BC60+BD60=0,1000000000,AO60*BB60/(BC60+BD60)),IF(AK60&gt;0.33*SQRT('Parametros'!$B$2)*H60*MIN(U60,AB60)/1000,MIN(U60,AB60)/4,MIN(U60,AB60)/2),600,IF(AV60=0,1000000000,2*((H60-2*('Parametros'!$B$7+'Parametros'!$B$9/2))+(I60-2*('Parametros'!$B$7+'Parametros'!$B$9/2)))/8))/10,0)*10</f>
        <v>240</v>
      </c>
      <c r="AR60" s="10">
        <f>'Parametros'!$B$6*(AJ60+MAX(BE60-BD60,0)*'Parametros'!$B$4*MIN(U60,AB60)/1000)</f>
        <v>330.97185436697</v>
      </c>
      <c r="AS60" s="10" t="str">
        <f>IF(AND(ISERROR(SEARCH("referencia",AN60)),AM60="CUMPLE",AR60&gt;=AI60),"CUMPLE","NO CUMPLE")</f>
        <v>CUMPLE</v>
      </c>
      <c r="AT60" s="10">
        <f>'Parametros'!$B$6*0.083*SQRT('Parametros'!$B$2)*(H60*I60)^2/(2*(H60+I60))/1000000</f>
        <v>10.0887830333379</v>
      </c>
      <c r="AU60" s="10" t="str">
        <f>IF(Q60&lt;=AT60,"DESPRECIABLE","DISEÑAR")</f>
        <v>DESPRECIABLE</v>
      </c>
      <c r="AV60" s="10">
        <f>IF(Q60&lt;=AT60,0,Q60*1000000/('Parametros'!$B$6*2*0.85*(H60-2*('Parametros'!$B$7+'Parametros'!$B$9/2))*(I60-2*('Parametros'!$B$7+'Parametros'!$B$9/2))*'Parametros'!$B$4))</f>
        <v>0</v>
      </c>
      <c r="AW60" s="10">
        <f>AV60*2*((H60-2*('Parametros'!$B$7+'Parametros'!$B$9/2))+(I60-2*('Parametros'!$B$7+'Parametros'!$B$9/2)))*'Parametros'!$B$4/'Parametros'!$B$3</f>
        <v>0</v>
      </c>
      <c r="AX60" s="31" t="n">
        <v>0</v>
      </c>
      <c r="AY60" s="10" t="str">
        <f>IF(AV60=0,"DESPRECIABLE",IF(AND(ISERROR(SEARCH("referencia",AN60)),BB60/AP60&gt;=AV60,BI60&gt;=AW60,BH60="CUMPLE"),"CUMPLE","NO CUMPLE"))</f>
        <v>DESPRECIABLE</v>
      </c>
      <c r="AZ60" s="10" t="str">
        <f>IF(AND(X60="CUMPLE",AE60="CUMPLE",AS60="CUMPLE",OR(AY60="CUMPLE",AY60="DESPRECIABLE"),BH60="CUMPLE",BJ60="CUMPLE"),"CUMPLE","NO CUMPLE")</f>
        <v>CUMPLE</v>
      </c>
      <c r="BA60" s="32" t="n">
        <v>9.5</v>
      </c>
      <c r="BB60" s="32" t="n">
        <v>71</v>
      </c>
      <c r="BC60" s="10">
        <f>MAX(IF(AK60=0,0,AK60*1000/('Parametros'!$B$4*MIN(U60,AB60))),MAX(0.062*SQRT('Parametros'!$B$2)*H60/'Parametros'!$B$4,0.35*H60/'Parametros'!$B$4))</f>
        <v>0.375</v>
      </c>
      <c r="BD60" s="10">
        <f>2*AV60</f>
        <v>0</v>
      </c>
      <c r="BE60" s="10">
        <f>AO60*BB60/AP60</f>
        <v>1.18333333333333</v>
      </c>
      <c r="BF60" s="10">
        <f>SQRT((AI60*1000/(H60*MIN(U60,AB60)))^2+(Q60*1000000*2*((H60-2*('Parametros'!$B$7+'Parametros'!$B$9/2))+(I60-2*('Parametros'!$B$7+'Parametros'!$B$9/2)))/(1.7*((H60-2*('Parametros'!$B$7+'Parametros'!$B$9/2))*(I60-2*('Parametros'!$B$7+'Parametros'!$B$9/2)))^2))^2)</f>
        <v>0.719496900502771</v>
      </c>
      <c r="BG60" s="10">
        <f>'Parametros'!$B$6*(AJ60*1000/(H60*MIN(U60,AB60))+0.66*SQRT('Parametros'!$B$2))</f>
        <v>3.29396038227542</v>
      </c>
      <c r="BH60" s="10" t="str">
        <f>IF(BF60&lt;=BG60,"CUMPLE","NO CUMPLE")</f>
        <v>CUMPLE</v>
      </c>
      <c r="BI60" s="10">
        <f>AX60*'Parametros'!$B$8</f>
        <v>0</v>
      </c>
      <c r="BJ60" s="10" t="str">
        <f>IF(BI60&gt;=AW60,"CUMPLE","NO CUMPLE")</f>
        <v>CUMPLE</v>
      </c>
    </row>
    <row r="61">
      <c r="A61" s="16" t="inlineStr">
        <is>
          <t>VC2</t>
        </is>
      </c>
      <c r="B61" s="16" t="inlineStr">
        <is>
          <t>1376</t>
        </is>
      </c>
      <c r="C61" s="10" t="n">
        <v>1</v>
      </c>
      <c r="D61" s="10" t="n">
        <v>3.15</v>
      </c>
      <c r="E61" s="10" t="n">
        <v>3.15</v>
      </c>
      <c r="F61" s="10" t="n">
        <v>450</v>
      </c>
      <c r="G61" s="10" t="n">
        <v>550</v>
      </c>
      <c r="H61" s="17" t="n">
        <v>450</v>
      </c>
      <c r="I61" s="17" t="n">
        <v>550</v>
      </c>
      <c r="J61" s="30" t="n">
        <v>40.5304</v>
      </c>
      <c r="K61" s="10" t="inlineStr">
        <is>
          <t>1376</t>
        </is>
      </c>
      <c r="L61" s="30" t="n">
        <v>31.6835</v>
      </c>
      <c r="M61" s="10" t="inlineStr">
        <is>
          <t>1376</t>
        </is>
      </c>
      <c r="N61" s="30" t="n">
        <v>32.379</v>
      </c>
      <c r="O61" s="30" t="n">
        <v>88.291</v>
      </c>
      <c r="P61" s="10" t="inlineStr">
        <is>
          <t>1376</t>
        </is>
      </c>
      <c r="Q61" s="30" t="n">
        <v>2.6696</v>
      </c>
      <c r="R61" s="10">
        <f>MAX(MAX(1.4/'Parametros'!$B$3,0.25*SQRT('Parametros'!$B$2)/'Parametros'!$B$3)*H61*U61,(0.85*'Parametros'!$B$2/'Parametros'!$B$3)*(1-SQRT(1-2*(J61*1000000/('Parametros'!$B$5*H61*U61^2))/(0.85*'Parametros'!$B$2)))*H61*U61)</f>
        <v>734.025</v>
      </c>
      <c r="S61" s="31" t="n">
        <v>4</v>
      </c>
      <c r="T61" s="32" t="n">
        <v>1</v>
      </c>
      <c r="U61" s="10">
        <f>IF(T61=1,I61-('Parametros'!$B$7+'Parametros'!$B$9+'Parametros'!$B$12/2),I61-(ROUNDUP(S61/2,0)*('Parametros'!$B$7+'Parametros'!$B$9+'Parametros'!$B$12/2)+ROUNDDOWN(S61/2,0)*('Parametros'!$B$7+'Parametros'!$B$9+'Parametros'!$B$12/2+'Parametros'!$B$12+'Parametros'!$B$10))/S61)</f>
        <v>489.35</v>
      </c>
      <c r="V61" s="10">
        <f>S61*'Parametros'!$B$8</f>
        <v>796</v>
      </c>
      <c r="W61" s="10">
        <f>'Parametros'!$B$5*V61*'Parametros'!$B$3*(U61-(V61*'Parametros'!$B$3/(0.85*'Parametros'!$B$2*H61))/2)/1000000</f>
        <v>142.543330094118</v>
      </c>
      <c r="X61" s="10" t="str">
        <f>IF(W61&gt;=J61,"CUMPLE","NO CUMPLE")</f>
        <v>CUMPLE</v>
      </c>
      <c r="Y61" s="10">
        <f>MAX(MAX(1.4/'Parametros'!$B$3,0.25*SQRT('Parametros'!$B$2)/'Parametros'!$B$3)*H61*AB61,(0.85*'Parametros'!$B$2/'Parametros'!$B$3)*(1-SQRT(1-2*(L61*1000000/('Parametros'!$B$5*H61*AB61^2))/(0.85*'Parametros'!$B$2)))*H61*AB61)</f>
        <v>734.025</v>
      </c>
      <c r="Z61" s="31" t="n">
        <v>4</v>
      </c>
      <c r="AA61" s="32" t="n">
        <v>1</v>
      </c>
      <c r="AB61" s="10">
        <f>IF(AA61=1,I61-('Parametros'!$B$7+'Parametros'!$B$9+'Parametros'!$B$12/2),I61-(ROUNDUP(Z61/2,0)*('Parametros'!$B$7+'Parametros'!$B$9+'Parametros'!$B$12/2)+ROUNDDOWN(Z61/2,0)*('Parametros'!$B$7+'Parametros'!$B$9+'Parametros'!$B$12/2+'Parametros'!$B$12+'Parametros'!$B$10))/Z61)</f>
        <v>489.35</v>
      </c>
      <c r="AC61" s="10">
        <f>Z61*'Parametros'!$B$8</f>
        <v>796</v>
      </c>
      <c r="AD61" s="10">
        <f>'Parametros'!$B$5*AC61*'Parametros'!$B$3*(AB61-(AC61*'Parametros'!$B$3/(0.85*'Parametros'!$B$2*H61))/2)/1000000</f>
        <v>142.543330094118</v>
      </c>
      <c r="AE61" s="10" t="str">
        <f>IF(AD61&gt;=L61,"CUMPLE","NO CUMPLE")</f>
        <v>CUMPLE</v>
      </c>
      <c r="AF61" s="10">
        <f>V61*1.25*'Parametros'!$B$3*(U61-(V61*1.25*'Parametros'!$B$3/(0.85*'Parametros'!$B$2*H61))/2)/1000000</f>
        <v>196.346217941176</v>
      </c>
      <c r="AG61" s="10">
        <f>AC61*1.25*'Parametros'!$B$3*(AB61-(AC61*1.25*'Parametros'!$B$3/(0.85*'Parametros'!$B$2*H61))/2)/1000000</f>
        <v>196.346217941176</v>
      </c>
      <c r="AH61" s="10">
        <f>N61+(AF61+AG61)/D61</f>
        <v>157.043265359477</v>
      </c>
      <c r="AI61" s="10">
        <f>MAX(O61,AH61)</f>
        <v>157.043265359477</v>
      </c>
      <c r="AJ61" s="10">
        <f>0.17*SQRT('Parametros'!$B$2)*H61*MIN(U61,AB61)/1000</f>
        <v>198.088855822627</v>
      </c>
      <c r="AK61" s="10">
        <f>MAX(AI61/'Parametros'!$B$6-AJ61,0)</f>
        <v>11.3021646566758</v>
      </c>
      <c r="AL61" s="10">
        <f>0.66*SQRT('Parametros'!$B$2)*H61*MIN(U61,AB61)/1000</f>
        <v>769.050852017258</v>
      </c>
      <c r="AM61" s="10" t="str">
        <f>IF(AK61&lt;=AL61,"CUMPLE","NO CUMPLE")</f>
        <v>CUMPLE</v>
      </c>
      <c r="AN61" s="17" t="inlineStr">
        <is>
          <t>Nº3 cerrado</t>
        </is>
      </c>
      <c r="AO61" s="31" t="n">
        <v>2</v>
      </c>
      <c r="AP61" s="10">
        <f>ROUNDDOWN(MIN(IF(BC61+BD61=0,1000000000,AO61*BB61/(BC61+BD61)),MIN(U61,AB61)/4,8*'Parametros'!$B$12,24*BA61,300,IF(AV61=0,1000000000,2*((H61-2*('Parametros'!$B$7+'Parametros'!$B$9/2))+(I61-2*('Parametros'!$B$7+'Parametros'!$B$9/2)))/8))/10,0)*10</f>
        <v>120</v>
      </c>
      <c r="AQ61" s="10">
        <f>ROUNDDOWN(MIN(IF(BC61+BD61=0,1000000000,AO61*BB61/(BC61+BD61)),IF(AK61&gt;0.33*SQRT('Parametros'!$B$2)*H61*MIN(U61,AB61)/1000,MIN(U61,AB61)/4,MIN(U61,AB61)/2),600,IF(AV61=0,1000000000,2*((H61-2*('Parametros'!$B$7+'Parametros'!$B$9/2))+(I61-2*('Parametros'!$B$7+'Parametros'!$B$9/2)))/8))/10,0)*10</f>
        <v>240</v>
      </c>
      <c r="AR61" s="10">
        <f>'Parametros'!$B$6*(AJ61+MAX(BE61-BD61,0)*'Parametros'!$B$4*MIN(U61,AB61)/1000)</f>
        <v>330.97185436697</v>
      </c>
      <c r="AS61" s="10" t="str">
        <f>IF(AND(ISERROR(SEARCH("referencia",AN61)),AM61="CUMPLE",AR61&gt;=AI61),"CUMPLE","NO CUMPLE")</f>
        <v>CUMPLE</v>
      </c>
      <c r="AT61" s="10">
        <f>'Parametros'!$B$6*0.083*SQRT('Parametros'!$B$2)*(H61*I61)^2/(2*(H61+I61))/1000000</f>
        <v>10.0887830333379</v>
      </c>
      <c r="AU61" s="10" t="str">
        <f>IF(Q61&lt;=AT61,"DESPRECIABLE","DISEÑAR")</f>
        <v>DESPRECIABLE</v>
      </c>
      <c r="AV61" s="10">
        <f>IF(Q61&lt;=AT61,0,Q61*1000000/('Parametros'!$B$6*2*0.85*(H61-2*('Parametros'!$B$7+'Parametros'!$B$9/2))*(I61-2*('Parametros'!$B$7+'Parametros'!$B$9/2))*'Parametros'!$B$4))</f>
        <v>0</v>
      </c>
      <c r="AW61" s="10">
        <f>AV61*2*((H61-2*('Parametros'!$B$7+'Parametros'!$B$9/2))+(I61-2*('Parametros'!$B$7+'Parametros'!$B$9/2)))*'Parametros'!$B$4/'Parametros'!$B$3</f>
        <v>0</v>
      </c>
      <c r="AX61" s="31" t="n">
        <v>0</v>
      </c>
      <c r="AY61" s="10" t="str">
        <f>IF(AV61=0,"DESPRECIABLE",IF(AND(ISERROR(SEARCH("referencia",AN61)),BB61/AP61&gt;=AV61,BI61&gt;=AW61,BH61="CUMPLE"),"CUMPLE","NO CUMPLE"))</f>
        <v>DESPRECIABLE</v>
      </c>
      <c r="AZ61" s="10" t="str">
        <f>IF(AND(X61="CUMPLE",AE61="CUMPLE",AS61="CUMPLE",OR(AY61="CUMPLE",AY61="DESPRECIABLE"),BH61="CUMPLE",BJ61="CUMPLE"),"CUMPLE","NO CUMPLE")</f>
        <v>CUMPLE</v>
      </c>
      <c r="BA61" s="32" t="n">
        <v>9.5</v>
      </c>
      <c r="BB61" s="32" t="n">
        <v>71</v>
      </c>
      <c r="BC61" s="10">
        <f>MAX(IF(AK61=0,0,AK61*1000/('Parametros'!$B$4*MIN(U61,AB61))),MAX(0.062*SQRT('Parametros'!$B$2)*H61/'Parametros'!$B$4,0.35*H61/'Parametros'!$B$4))</f>
        <v>0.375</v>
      </c>
      <c r="BD61" s="10">
        <f>2*AV61</f>
        <v>0</v>
      </c>
      <c r="BE61" s="10">
        <f>AO61*BB61/AP61</f>
        <v>1.18333333333333</v>
      </c>
      <c r="BF61" s="10">
        <f>SQRT((AI61*1000/(H61*MIN(U61,AB61)))^2+(Q61*1000000*2*((H61-2*('Parametros'!$B$7+'Parametros'!$B$9/2))+(I61-2*('Parametros'!$B$7+'Parametros'!$B$9/2)))/(1.7*((H61-2*('Parametros'!$B$7+'Parametros'!$B$9/2))*(I61-2*('Parametros'!$B$7+'Parametros'!$B$9/2)))^2))^2)</f>
        <v>0.719570147295355</v>
      </c>
      <c r="BG61" s="10">
        <f>'Parametros'!$B$6*(AJ61*1000/(H61*MIN(U61,AB61))+0.66*SQRT('Parametros'!$B$2))</f>
        <v>3.29396038227542</v>
      </c>
      <c r="BH61" s="10" t="str">
        <f>IF(BF61&lt;=BG61,"CUMPLE","NO CUMPLE")</f>
        <v>CUMPLE</v>
      </c>
      <c r="BI61" s="10">
        <f>AX61*'Parametros'!$B$8</f>
        <v>0</v>
      </c>
      <c r="BJ61" s="10" t="str">
        <f>IF(BI61&gt;=AW61,"CUMPLE","NO CUMPLE")</f>
        <v>CUMPLE</v>
      </c>
    </row>
    <row r="62">
      <c r="A62" s="16" t="inlineStr">
        <is>
          <t>VC2</t>
        </is>
      </c>
      <c r="B62" s="16" t="inlineStr">
        <is>
          <t>1377</t>
        </is>
      </c>
      <c r="C62" s="10" t="n">
        <v>1</v>
      </c>
      <c r="D62" s="10" t="n">
        <v>3.15</v>
      </c>
      <c r="E62" s="10" t="n">
        <v>3.15</v>
      </c>
      <c r="F62" s="10" t="n">
        <v>450</v>
      </c>
      <c r="G62" s="10" t="n">
        <v>550</v>
      </c>
      <c r="H62" s="17" t="n">
        <v>450</v>
      </c>
      <c r="I62" s="17" t="n">
        <v>550</v>
      </c>
      <c r="J62" s="30" t="n">
        <v>40.5294</v>
      </c>
      <c r="K62" s="10" t="inlineStr">
        <is>
          <t>1377</t>
        </is>
      </c>
      <c r="L62" s="30" t="n">
        <v>31.6805</v>
      </c>
      <c r="M62" s="10" t="inlineStr">
        <is>
          <t>1377</t>
        </is>
      </c>
      <c r="N62" s="30" t="n">
        <v>32.378</v>
      </c>
      <c r="O62" s="30" t="n">
        <v>88.301</v>
      </c>
      <c r="P62" s="10" t="inlineStr">
        <is>
          <t>1377</t>
        </is>
      </c>
      <c r="Q62" s="30" t="n">
        <v>2.6688</v>
      </c>
      <c r="R62" s="10">
        <f>MAX(MAX(1.4/'Parametros'!$B$3,0.25*SQRT('Parametros'!$B$2)/'Parametros'!$B$3)*H62*U62,(0.85*'Parametros'!$B$2/'Parametros'!$B$3)*(1-SQRT(1-2*(J62*1000000/('Parametros'!$B$5*H62*U62^2))/(0.85*'Parametros'!$B$2)))*H62*U62)</f>
        <v>734.025</v>
      </c>
      <c r="S62" s="31" t="n">
        <v>4</v>
      </c>
      <c r="T62" s="32" t="n">
        <v>1</v>
      </c>
      <c r="U62" s="10">
        <f>IF(T62=1,I62-('Parametros'!$B$7+'Parametros'!$B$9+'Parametros'!$B$12/2),I62-(ROUNDUP(S62/2,0)*('Parametros'!$B$7+'Parametros'!$B$9+'Parametros'!$B$12/2)+ROUNDDOWN(S62/2,0)*('Parametros'!$B$7+'Parametros'!$B$9+'Parametros'!$B$12/2+'Parametros'!$B$12+'Parametros'!$B$10))/S62)</f>
        <v>489.35</v>
      </c>
      <c r="V62" s="10">
        <f>S62*'Parametros'!$B$8</f>
        <v>796</v>
      </c>
      <c r="W62" s="10">
        <f>'Parametros'!$B$5*V62*'Parametros'!$B$3*(U62-(V62*'Parametros'!$B$3/(0.85*'Parametros'!$B$2*H62))/2)/1000000</f>
        <v>142.543330094118</v>
      </c>
      <c r="X62" s="10" t="str">
        <f>IF(W62&gt;=J62,"CUMPLE","NO CUMPLE")</f>
        <v>CUMPLE</v>
      </c>
      <c r="Y62" s="10">
        <f>MAX(MAX(1.4/'Parametros'!$B$3,0.25*SQRT('Parametros'!$B$2)/'Parametros'!$B$3)*H62*AB62,(0.85*'Parametros'!$B$2/'Parametros'!$B$3)*(1-SQRT(1-2*(L62*1000000/('Parametros'!$B$5*H62*AB62^2))/(0.85*'Parametros'!$B$2)))*H62*AB62)</f>
        <v>734.025</v>
      </c>
      <c r="Z62" s="31" t="n">
        <v>4</v>
      </c>
      <c r="AA62" s="32" t="n">
        <v>1</v>
      </c>
      <c r="AB62" s="10">
        <f>IF(AA62=1,I62-('Parametros'!$B$7+'Parametros'!$B$9+'Parametros'!$B$12/2),I62-(ROUNDUP(Z62/2,0)*('Parametros'!$B$7+'Parametros'!$B$9+'Parametros'!$B$12/2)+ROUNDDOWN(Z62/2,0)*('Parametros'!$B$7+'Parametros'!$B$9+'Parametros'!$B$12/2+'Parametros'!$B$12+'Parametros'!$B$10))/Z62)</f>
        <v>489.35</v>
      </c>
      <c r="AC62" s="10">
        <f>Z62*'Parametros'!$B$8</f>
        <v>796</v>
      </c>
      <c r="AD62" s="10">
        <f>'Parametros'!$B$5*AC62*'Parametros'!$B$3*(AB62-(AC62*'Parametros'!$B$3/(0.85*'Parametros'!$B$2*H62))/2)/1000000</f>
        <v>142.543330094118</v>
      </c>
      <c r="AE62" s="10" t="str">
        <f>IF(AD62&gt;=L62,"CUMPLE","NO CUMPLE")</f>
        <v>CUMPLE</v>
      </c>
      <c r="AF62" s="10">
        <f>V62*1.25*'Parametros'!$B$3*(U62-(V62*1.25*'Parametros'!$B$3/(0.85*'Parametros'!$B$2*H62))/2)/1000000</f>
        <v>196.346217941176</v>
      </c>
      <c r="AG62" s="10">
        <f>AC62*1.25*'Parametros'!$B$3*(AB62-(AC62*1.25*'Parametros'!$B$3/(0.85*'Parametros'!$B$2*H62))/2)/1000000</f>
        <v>196.346217941176</v>
      </c>
      <c r="AH62" s="10">
        <f>N62+(AF62+AG62)/D62</f>
        <v>157.042265359477</v>
      </c>
      <c r="AI62" s="10">
        <f>MAX(O62,AH62)</f>
        <v>157.042265359477</v>
      </c>
      <c r="AJ62" s="10">
        <f>0.17*SQRT('Parametros'!$B$2)*H62*MIN(U62,AB62)/1000</f>
        <v>198.088855822627</v>
      </c>
      <c r="AK62" s="10">
        <f>MAX(AI62/'Parametros'!$B$6-AJ62,0)</f>
        <v>11.3008313233425</v>
      </c>
      <c r="AL62" s="10">
        <f>0.66*SQRT('Parametros'!$B$2)*H62*MIN(U62,AB62)/1000</f>
        <v>769.050852017258</v>
      </c>
      <c r="AM62" s="10" t="str">
        <f>IF(AK62&lt;=AL62,"CUMPLE","NO CUMPLE")</f>
        <v>CUMPLE</v>
      </c>
      <c r="AN62" s="17" t="inlineStr">
        <is>
          <t>Nº3 cerrado</t>
        </is>
      </c>
      <c r="AO62" s="31" t="n">
        <v>2</v>
      </c>
      <c r="AP62" s="10">
        <f>ROUNDDOWN(MIN(IF(BC62+BD62=0,1000000000,AO62*BB62/(BC62+BD62)),MIN(U62,AB62)/4,8*'Parametros'!$B$12,24*BA62,300,IF(AV62=0,1000000000,2*((H62-2*('Parametros'!$B$7+'Parametros'!$B$9/2))+(I62-2*('Parametros'!$B$7+'Parametros'!$B$9/2)))/8))/10,0)*10</f>
        <v>120</v>
      </c>
      <c r="AQ62" s="10">
        <f>ROUNDDOWN(MIN(IF(BC62+BD62=0,1000000000,AO62*BB62/(BC62+BD62)),IF(AK62&gt;0.33*SQRT('Parametros'!$B$2)*H62*MIN(U62,AB62)/1000,MIN(U62,AB62)/4,MIN(U62,AB62)/2),600,IF(AV62=0,1000000000,2*((H62-2*('Parametros'!$B$7+'Parametros'!$B$9/2))+(I62-2*('Parametros'!$B$7+'Parametros'!$B$9/2)))/8))/10,0)*10</f>
        <v>240</v>
      </c>
      <c r="AR62" s="10">
        <f>'Parametros'!$B$6*(AJ62+MAX(BE62-BD62,0)*'Parametros'!$B$4*MIN(U62,AB62)/1000)</f>
        <v>330.97185436697</v>
      </c>
      <c r="AS62" s="10" t="str">
        <f>IF(AND(ISERROR(SEARCH("referencia",AN62)),AM62="CUMPLE",AR62&gt;=AI62),"CUMPLE","NO CUMPLE")</f>
        <v>CUMPLE</v>
      </c>
      <c r="AT62" s="10">
        <f>'Parametros'!$B$6*0.083*SQRT('Parametros'!$B$2)*(H62*I62)^2/(2*(H62+I62))/1000000</f>
        <v>10.0887830333379</v>
      </c>
      <c r="AU62" s="10" t="str">
        <f>IF(Q62&lt;=AT62,"DESPRECIABLE","DISEÑAR")</f>
        <v>DESPRECIABLE</v>
      </c>
      <c r="AV62" s="10">
        <f>IF(Q62&lt;=AT62,0,Q62*1000000/('Parametros'!$B$6*2*0.85*(H62-2*('Parametros'!$B$7+'Parametros'!$B$9/2))*(I62-2*('Parametros'!$B$7+'Parametros'!$B$9/2))*'Parametros'!$B$4))</f>
        <v>0</v>
      </c>
      <c r="AW62" s="10">
        <f>AV62*2*((H62-2*('Parametros'!$B$7+'Parametros'!$B$9/2))+(I62-2*('Parametros'!$B$7+'Parametros'!$B$9/2)))*'Parametros'!$B$4/'Parametros'!$B$3</f>
        <v>0</v>
      </c>
      <c r="AX62" s="31" t="n">
        <v>0</v>
      </c>
      <c r="AY62" s="10" t="str">
        <f>IF(AV62=0,"DESPRECIABLE",IF(AND(ISERROR(SEARCH("referencia",AN62)),BB62/AP62&gt;=AV62,BI62&gt;=AW62,BH62="CUMPLE"),"CUMPLE","NO CUMPLE"))</f>
        <v>DESPRECIABLE</v>
      </c>
      <c r="AZ62" s="10" t="str">
        <f>IF(AND(X62="CUMPLE",AE62="CUMPLE",AS62="CUMPLE",OR(AY62="CUMPLE",AY62="DESPRECIABLE"),BH62="CUMPLE",BJ62="CUMPLE"),"CUMPLE","NO CUMPLE")</f>
        <v>CUMPLE</v>
      </c>
      <c r="BA62" s="32" t="n">
        <v>9.5</v>
      </c>
      <c r="BB62" s="32" t="n">
        <v>71</v>
      </c>
      <c r="BC62" s="10">
        <f>MAX(IF(AK62=0,0,AK62*1000/('Parametros'!$B$4*MIN(U62,AB62))),MAX(0.062*SQRT('Parametros'!$B$2)*H62/'Parametros'!$B$4,0.35*H62/'Parametros'!$B$4))</f>
        <v>0.375</v>
      </c>
      <c r="BD62" s="10">
        <f>2*AV62</f>
        <v>0</v>
      </c>
      <c r="BE62" s="10">
        <f>AO62*BB62/AP62</f>
        <v>1.18333333333333</v>
      </c>
      <c r="BF62" s="10">
        <f>SQRT((AI62*1000/(H62*MIN(U62,AB62)))^2+(Q62*1000000*2*((H62-2*('Parametros'!$B$7+'Parametros'!$B$9/2))+(I62-2*('Parametros'!$B$7+'Parametros'!$B$9/2)))/(1.7*((H62-2*('Parametros'!$B$7+'Parametros'!$B$9/2))*(I62-2*('Parametros'!$B$7+'Parametros'!$B$9/2)))^2))^2)</f>
        <v>0.719561822593147</v>
      </c>
      <c r="BG62" s="10">
        <f>'Parametros'!$B$6*(AJ62*1000/(H62*MIN(U62,AB62))+0.66*SQRT('Parametros'!$B$2))</f>
        <v>3.29396038227542</v>
      </c>
      <c r="BH62" s="10" t="str">
        <f>IF(BF62&lt;=BG62,"CUMPLE","NO CUMPLE")</f>
        <v>CUMPLE</v>
      </c>
      <c r="BI62" s="10">
        <f>AX62*'Parametros'!$B$8</f>
        <v>0</v>
      </c>
      <c r="BJ62" s="10" t="str">
        <f>IF(BI62&gt;=AW62,"CUMPLE","NO CUMPLE")</f>
        <v>CUMPLE</v>
      </c>
    </row>
    <row r="63">
      <c r="A63" s="16" t="inlineStr">
        <is>
          <t>VC2</t>
        </is>
      </c>
      <c r="B63" s="16" t="inlineStr">
        <is>
          <t>1378</t>
        </is>
      </c>
      <c r="C63" s="10" t="n">
        <v>1</v>
      </c>
      <c r="D63" s="10" t="n">
        <v>3.15</v>
      </c>
      <c r="E63" s="10" t="n">
        <v>3.15</v>
      </c>
      <c r="F63" s="10" t="n">
        <v>450</v>
      </c>
      <c r="G63" s="10" t="n">
        <v>550</v>
      </c>
      <c r="H63" s="17" t="n">
        <v>450</v>
      </c>
      <c r="I63" s="17" t="n">
        <v>550</v>
      </c>
      <c r="J63" s="30" t="n">
        <v>40.5111</v>
      </c>
      <c r="K63" s="10" t="inlineStr">
        <is>
          <t>1378</t>
        </is>
      </c>
      <c r="L63" s="30" t="n">
        <v>31.659</v>
      </c>
      <c r="M63" s="10" t="inlineStr">
        <is>
          <t>1378</t>
        </is>
      </c>
      <c r="N63" s="30" t="n">
        <v>32.367</v>
      </c>
      <c r="O63" s="30" t="n">
        <v>88.291</v>
      </c>
      <c r="P63" s="10" t="inlineStr">
        <is>
          <t>1378</t>
        </is>
      </c>
      <c r="Q63" s="30" t="n">
        <v>2.6679</v>
      </c>
      <c r="R63" s="10">
        <f>MAX(MAX(1.4/'Parametros'!$B$3,0.25*SQRT('Parametros'!$B$2)/'Parametros'!$B$3)*H63*U63,(0.85*'Parametros'!$B$2/'Parametros'!$B$3)*(1-SQRT(1-2*(J63*1000000/('Parametros'!$B$5*H63*U63^2))/(0.85*'Parametros'!$B$2)))*H63*U63)</f>
        <v>734.025</v>
      </c>
      <c r="S63" s="31" t="n">
        <v>4</v>
      </c>
      <c r="T63" s="32" t="n">
        <v>1</v>
      </c>
      <c r="U63" s="10">
        <f>IF(T63=1,I63-('Parametros'!$B$7+'Parametros'!$B$9+'Parametros'!$B$12/2),I63-(ROUNDUP(S63/2,0)*('Parametros'!$B$7+'Parametros'!$B$9+'Parametros'!$B$12/2)+ROUNDDOWN(S63/2,0)*('Parametros'!$B$7+'Parametros'!$B$9+'Parametros'!$B$12/2+'Parametros'!$B$12+'Parametros'!$B$10))/S63)</f>
        <v>489.35</v>
      </c>
      <c r="V63" s="10">
        <f>S63*'Parametros'!$B$8</f>
        <v>796</v>
      </c>
      <c r="W63" s="10">
        <f>'Parametros'!$B$5*V63*'Parametros'!$B$3*(U63-(V63*'Parametros'!$B$3/(0.85*'Parametros'!$B$2*H63))/2)/1000000</f>
        <v>142.543330094118</v>
      </c>
      <c r="X63" s="10" t="str">
        <f>IF(W63&gt;=J63,"CUMPLE","NO CUMPLE")</f>
        <v>CUMPLE</v>
      </c>
      <c r="Y63" s="10">
        <f>MAX(MAX(1.4/'Parametros'!$B$3,0.25*SQRT('Parametros'!$B$2)/'Parametros'!$B$3)*H63*AB63,(0.85*'Parametros'!$B$2/'Parametros'!$B$3)*(1-SQRT(1-2*(L63*1000000/('Parametros'!$B$5*H63*AB63^2))/(0.85*'Parametros'!$B$2)))*H63*AB63)</f>
        <v>734.025</v>
      </c>
      <c r="Z63" s="31" t="n">
        <v>4</v>
      </c>
      <c r="AA63" s="32" t="n">
        <v>1</v>
      </c>
      <c r="AB63" s="10">
        <f>IF(AA63=1,I63-('Parametros'!$B$7+'Parametros'!$B$9+'Parametros'!$B$12/2),I63-(ROUNDUP(Z63/2,0)*('Parametros'!$B$7+'Parametros'!$B$9+'Parametros'!$B$12/2)+ROUNDDOWN(Z63/2,0)*('Parametros'!$B$7+'Parametros'!$B$9+'Parametros'!$B$12/2+'Parametros'!$B$12+'Parametros'!$B$10))/Z63)</f>
        <v>489.35</v>
      </c>
      <c r="AC63" s="10">
        <f>Z63*'Parametros'!$B$8</f>
        <v>796</v>
      </c>
      <c r="AD63" s="10">
        <f>'Parametros'!$B$5*AC63*'Parametros'!$B$3*(AB63-(AC63*'Parametros'!$B$3/(0.85*'Parametros'!$B$2*H63))/2)/1000000</f>
        <v>142.543330094118</v>
      </c>
      <c r="AE63" s="10" t="str">
        <f>IF(AD63&gt;=L63,"CUMPLE","NO CUMPLE")</f>
        <v>CUMPLE</v>
      </c>
      <c r="AF63" s="10">
        <f>V63*1.25*'Parametros'!$B$3*(U63-(V63*1.25*'Parametros'!$B$3/(0.85*'Parametros'!$B$2*H63))/2)/1000000</f>
        <v>196.346217941176</v>
      </c>
      <c r="AG63" s="10">
        <f>AC63*1.25*'Parametros'!$B$3*(AB63-(AC63*1.25*'Parametros'!$B$3/(0.85*'Parametros'!$B$2*H63))/2)/1000000</f>
        <v>196.346217941176</v>
      </c>
      <c r="AH63" s="10">
        <f>N63+(AF63+AG63)/D63</f>
        <v>157.031265359477</v>
      </c>
      <c r="AI63" s="10">
        <f>MAX(O63,AH63)</f>
        <v>157.031265359477</v>
      </c>
      <c r="AJ63" s="10">
        <f>0.17*SQRT('Parametros'!$B$2)*H63*MIN(U63,AB63)/1000</f>
        <v>198.088855822627</v>
      </c>
      <c r="AK63" s="10">
        <f>MAX(AI63/'Parametros'!$B$6-AJ63,0)</f>
        <v>11.2861646566759</v>
      </c>
      <c r="AL63" s="10">
        <f>0.66*SQRT('Parametros'!$B$2)*H63*MIN(U63,AB63)/1000</f>
        <v>769.050852017258</v>
      </c>
      <c r="AM63" s="10" t="str">
        <f>IF(AK63&lt;=AL63,"CUMPLE","NO CUMPLE")</f>
        <v>CUMPLE</v>
      </c>
      <c r="AN63" s="17" t="inlineStr">
        <is>
          <t>Nº3 cerrado</t>
        </is>
      </c>
      <c r="AO63" s="31" t="n">
        <v>2</v>
      </c>
      <c r="AP63" s="10">
        <f>ROUNDDOWN(MIN(IF(BC63+BD63=0,1000000000,AO63*BB63/(BC63+BD63)),MIN(U63,AB63)/4,8*'Parametros'!$B$12,24*BA63,300,IF(AV63=0,1000000000,2*((H63-2*('Parametros'!$B$7+'Parametros'!$B$9/2))+(I63-2*('Parametros'!$B$7+'Parametros'!$B$9/2)))/8))/10,0)*10</f>
        <v>120</v>
      </c>
      <c r="AQ63" s="10">
        <f>ROUNDDOWN(MIN(IF(BC63+BD63=0,1000000000,AO63*BB63/(BC63+BD63)),IF(AK63&gt;0.33*SQRT('Parametros'!$B$2)*H63*MIN(U63,AB63)/1000,MIN(U63,AB63)/4,MIN(U63,AB63)/2),600,IF(AV63=0,1000000000,2*((H63-2*('Parametros'!$B$7+'Parametros'!$B$9/2))+(I63-2*('Parametros'!$B$7+'Parametros'!$B$9/2)))/8))/10,0)*10</f>
        <v>240</v>
      </c>
      <c r="AR63" s="10">
        <f>'Parametros'!$B$6*(AJ63+MAX(BE63-BD63,0)*'Parametros'!$B$4*MIN(U63,AB63)/1000)</f>
        <v>330.97185436697</v>
      </c>
      <c r="AS63" s="10" t="str">
        <f>IF(AND(ISERROR(SEARCH("referencia",AN63)),AM63="CUMPLE",AR63&gt;=AI63),"CUMPLE","NO CUMPLE")</f>
        <v>CUMPLE</v>
      </c>
      <c r="AT63" s="10">
        <f>'Parametros'!$B$6*0.083*SQRT('Parametros'!$B$2)*(H63*I63)^2/(2*(H63+I63))/1000000</f>
        <v>10.0887830333379</v>
      </c>
      <c r="AU63" s="10" t="str">
        <f>IF(Q63&lt;=AT63,"DESPRECIABLE","DISEÑAR")</f>
        <v>DESPRECIABLE</v>
      </c>
      <c r="AV63" s="10">
        <f>IF(Q63&lt;=AT63,0,Q63*1000000/('Parametros'!$B$6*2*0.85*(H63-2*('Parametros'!$B$7+'Parametros'!$B$9/2))*(I63-2*('Parametros'!$B$7+'Parametros'!$B$9/2))*'Parametros'!$B$4))</f>
        <v>0</v>
      </c>
      <c r="AW63" s="10">
        <f>AV63*2*((H63-2*('Parametros'!$B$7+'Parametros'!$B$9/2))+(I63-2*('Parametros'!$B$7+'Parametros'!$B$9/2)))*'Parametros'!$B$4/'Parametros'!$B$3</f>
        <v>0</v>
      </c>
      <c r="AX63" s="31" t="n">
        <v>0</v>
      </c>
      <c r="AY63" s="10" t="str">
        <f>IF(AV63=0,"DESPRECIABLE",IF(AND(ISERROR(SEARCH("referencia",AN63)),BB63/AP63&gt;=AV63,BI63&gt;=AW63,BH63="CUMPLE"),"CUMPLE","NO CUMPLE"))</f>
        <v>DESPRECIABLE</v>
      </c>
      <c r="AZ63" s="10" t="str">
        <f>IF(AND(X63="CUMPLE",AE63="CUMPLE",AS63="CUMPLE",OR(AY63="CUMPLE",AY63="DESPRECIABLE"),BH63="CUMPLE",BJ63="CUMPLE"),"CUMPLE","NO CUMPLE")</f>
        <v>CUMPLE</v>
      </c>
      <c r="BA63" s="32" t="n">
        <v>9.5</v>
      </c>
      <c r="BB63" s="32" t="n">
        <v>71</v>
      </c>
      <c r="BC63" s="10">
        <f>MAX(IF(AK63=0,0,AK63*1000/('Parametros'!$B$4*MIN(U63,AB63))),MAX(0.062*SQRT('Parametros'!$B$2)*H63/'Parametros'!$B$4,0.35*H63/'Parametros'!$B$4))</f>
        <v>0.375</v>
      </c>
      <c r="BD63" s="10">
        <f>2*AV63</f>
        <v>0</v>
      </c>
      <c r="BE63" s="10">
        <f>AO63*BB63/AP63</f>
        <v>1.18333333333333</v>
      </c>
      <c r="BF63" s="10">
        <f>SQRT((AI63*1000/(H63*MIN(U63,AB63)))^2+(Q63*1000000*2*((H63-2*('Parametros'!$B$7+'Parametros'!$B$9/2))+(I63-2*('Parametros'!$B$7+'Parametros'!$B$9/2)))/(1.7*((H63-2*('Parametros'!$B$7+'Parametros'!$B$9/2))*(I63-2*('Parametros'!$B$7+'Parametros'!$B$9/2)))^2))^2)</f>
        <v>0.719508013518816</v>
      </c>
      <c r="BG63" s="10">
        <f>'Parametros'!$B$6*(AJ63*1000/(H63*MIN(U63,AB63))+0.66*SQRT('Parametros'!$B$2))</f>
        <v>3.29396038227542</v>
      </c>
      <c r="BH63" s="10" t="str">
        <f>IF(BF63&lt;=BG63,"CUMPLE","NO CUMPLE")</f>
        <v>CUMPLE</v>
      </c>
      <c r="BI63" s="10">
        <f>AX63*'Parametros'!$B$8</f>
        <v>0</v>
      </c>
      <c r="BJ63" s="10" t="str">
        <f>IF(BI63&gt;=AW63,"CUMPLE","NO CUMPLE")</f>
        <v>CUMPLE</v>
      </c>
    </row>
    <row r="64">
      <c r="A64" s="17" t="inlineStr">
        <is>
          <t>VC3</t>
        </is>
      </c>
      <c r="B64" s="17" t="inlineStr">
        <is>
          <t>57</t>
        </is>
      </c>
      <c r="C64" s="10" t="n">
        <v>1</v>
      </c>
      <c r="D64" s="10" t="n">
        <v>3.4</v>
      </c>
      <c r="E64" s="10" t="n">
        <v>3.4</v>
      </c>
      <c r="F64" s="10" t="n">
        <v>450</v>
      </c>
      <c r="G64" s="10" t="n">
        <v>550</v>
      </c>
      <c r="H64" s="17" t="n">
        <v>450</v>
      </c>
      <c r="I64" s="17" t="n">
        <v>550</v>
      </c>
      <c r="J64" s="30" t="n">
        <v>174.4047</v>
      </c>
      <c r="K64" s="10" t="inlineStr">
        <is>
          <t>57</t>
        </is>
      </c>
      <c r="L64" s="30" t="n">
        <v>154.8972</v>
      </c>
      <c r="M64" s="10" t="inlineStr">
        <is>
          <t>57</t>
        </is>
      </c>
      <c r="N64" s="30" t="n">
        <v>90.88</v>
      </c>
      <c r="O64" s="30" t="n">
        <v>396.265</v>
      </c>
      <c r="P64" s="10" t="inlineStr">
        <is>
          <t>57</t>
        </is>
      </c>
      <c r="Q64" s="30" t="n">
        <v>2.7903</v>
      </c>
      <c r="R64" s="10">
        <f>MAX(MAX(1.4/'Parametros'!$B$3,0.25*SQRT('Parametros'!$B$2)/'Parametros'!$B$3)*H64*U64,(0.85*'Parametros'!$B$2/'Parametros'!$B$3)*(1-SQRT(1-2*(J64*1000000/('Parametros'!$B$5*H64*U64^2))/(0.85*'Parametros'!$B$2)))*H64*U64)</f>
        <v>981.455937526094</v>
      </c>
      <c r="S64" s="31" t="n">
        <v>5</v>
      </c>
      <c r="T64" s="32" t="n">
        <v>1</v>
      </c>
      <c r="U64" s="10">
        <f>IF(T64=1,I64-('Parametros'!$B$7+'Parametros'!$B$9+'Parametros'!$B$12/2),I64-(ROUNDUP(S64/2,0)*('Parametros'!$B$7+'Parametros'!$B$9+'Parametros'!$B$12/2)+ROUNDDOWN(S64/2,0)*('Parametros'!$B$7+'Parametros'!$B$9+'Parametros'!$B$12/2+'Parametros'!$B$12+'Parametros'!$B$10))/S64)</f>
        <v>489.35</v>
      </c>
      <c r="V64" s="10">
        <f>S64*'Parametros'!$B$8</f>
        <v>995</v>
      </c>
      <c r="W64" s="10">
        <f>'Parametros'!$B$5*V64*'Parametros'!$B$3*(U64-(V64*'Parametros'!$B$3/(0.85*'Parametros'!$B$2*H64))/2)/1000000</f>
        <v>176.711596147059</v>
      </c>
      <c r="X64" s="10" t="str">
        <f>IF(W64&gt;=J64,"CUMPLE","NO CUMPLE")</f>
        <v>CUMPLE</v>
      </c>
      <c r="Y64" s="10">
        <f>MAX(MAX(1.4/'Parametros'!$B$3,0.25*SQRT('Parametros'!$B$2)/'Parametros'!$B$3)*H64*AB64,(0.85*'Parametros'!$B$2/'Parametros'!$B$3)*(1-SQRT(1-2*(L64*1000000/('Parametros'!$B$5*H64*AB64^2))/(0.85*'Parametros'!$B$2)))*H64*AB64)</f>
        <v>867.55673319082</v>
      </c>
      <c r="Z64" s="31" t="n">
        <v>5</v>
      </c>
      <c r="AA64" s="32" t="n">
        <v>1</v>
      </c>
      <c r="AB64" s="10">
        <f>IF(AA64=1,I64-('Parametros'!$B$7+'Parametros'!$B$9+'Parametros'!$B$12/2),I64-(ROUNDUP(Z64/2,0)*('Parametros'!$B$7+'Parametros'!$B$9+'Parametros'!$B$12/2)+ROUNDDOWN(Z64/2,0)*('Parametros'!$B$7+'Parametros'!$B$9+'Parametros'!$B$12/2+'Parametros'!$B$12+'Parametros'!$B$10))/Z64)</f>
        <v>489.35</v>
      </c>
      <c r="AC64" s="10">
        <f>Z64*'Parametros'!$B$8</f>
        <v>995</v>
      </c>
      <c r="AD64" s="10">
        <f>'Parametros'!$B$5*AC64*'Parametros'!$B$3*(AB64-(AC64*'Parametros'!$B$3/(0.85*'Parametros'!$B$2*H64))/2)/1000000</f>
        <v>176.711596147059</v>
      </c>
      <c r="AE64" s="10" t="str">
        <f>IF(AD64&gt;=L64,"CUMPLE","NO CUMPLE")</f>
        <v>CUMPLE</v>
      </c>
      <c r="AF64" s="10">
        <f>V64*1.25*'Parametros'!$B$3*(U64-(V64*1.25*'Parametros'!$B$3/(0.85*'Parametros'!$B$2*H64))/2)/1000000</f>
        <v>242.884913970588</v>
      </c>
      <c r="AG64" s="10">
        <f>AC64*1.25*'Parametros'!$B$3*(AB64-(AC64*1.25*'Parametros'!$B$3/(0.85*'Parametros'!$B$2*H64))/2)/1000000</f>
        <v>242.884913970588</v>
      </c>
      <c r="AH64" s="10">
        <f>N64+(AF64+AG64)/D64</f>
        <v>233.753478806228</v>
      </c>
      <c r="AI64" s="10">
        <f>MAX(O64,AH64)</f>
        <v>396.265</v>
      </c>
      <c r="AJ64" s="10">
        <f>0.17*SQRT('Parametros'!$B$2)*H64*MIN(U64,AB64)/1000</f>
        <v>198.088855822627</v>
      </c>
      <c r="AK64" s="10">
        <f>MAX(AI64/'Parametros'!$B$6-AJ64,0)</f>
        <v>330.264477510706</v>
      </c>
      <c r="AL64" s="10">
        <f>0.66*SQRT('Parametros'!$B$2)*H64*MIN(U64,AB64)/1000</f>
        <v>769.050852017258</v>
      </c>
      <c r="AM64" s="10" t="str">
        <f>IF(AK64&lt;=AL64,"CUMPLE","NO CUMPLE")</f>
        <v>CUMPLE</v>
      </c>
      <c r="AN64" s="17" t="inlineStr">
        <is>
          <t>Nº3 cerrado</t>
        </is>
      </c>
      <c r="AO64" s="31" t="n">
        <v>2</v>
      </c>
      <c r="AP64" s="10">
        <f>ROUNDDOWN(MIN(IF(BC64+BD64=0,1000000000,AO64*BB64/(BC64+BD64)),MIN(U64,AB64)/4,8*'Parametros'!$B$12,24*BA64,300,IF(AV64=0,1000000000,2*((H64-2*('Parametros'!$B$7+'Parametros'!$B$9/2))+(I64-2*('Parametros'!$B$7+'Parametros'!$B$9/2)))/8))/10,0)*10</f>
        <v>80</v>
      </c>
      <c r="AQ64" s="10">
        <f>ROUNDDOWN(MIN(IF(BC64+BD64=0,1000000000,AO64*BB64/(BC64+BD64)),IF(AK64&gt;0.33*SQRT('Parametros'!$B$2)*H64*MIN(U64,AB64)/1000,MIN(U64,AB64)/4,MIN(U64,AB64)/2),600,IF(AV64=0,1000000000,2*((H64-2*('Parametros'!$B$7+'Parametros'!$B$9/2))+(I64-2*('Parametros'!$B$7+'Parametros'!$B$9/2)))/8))/10,0)*10</f>
        <v>80</v>
      </c>
      <c r="AR64" s="10">
        <f>'Parametros'!$B$6*(AJ64+MAX(BE64-BD64,0)*'Parametros'!$B$4*MIN(U64,AB64)/1000)</f>
        <v>422.17446061697</v>
      </c>
      <c r="AS64" s="10" t="str">
        <f>IF(AND(ISERROR(SEARCH("referencia",AN64)),AM64="CUMPLE",AR64&gt;=AI64),"CUMPLE","NO CUMPLE")</f>
        <v>CUMPLE</v>
      </c>
      <c r="AT64" s="10">
        <f>'Parametros'!$B$6*0.083*SQRT('Parametros'!$B$2)*(H64*I64)^2/(2*(H64+I64))/1000000</f>
        <v>10.0887830333379</v>
      </c>
      <c r="AU64" s="10" t="str">
        <f>IF(Q64&lt;=AT64,"DESPRECIABLE","DISEÑAR")</f>
        <v>DESPRECIABLE</v>
      </c>
      <c r="AV64" s="10">
        <f>IF(Q64&lt;=AT64,0,Q64*1000000/('Parametros'!$B$6*2*0.85*(H64-2*('Parametros'!$B$7+'Parametros'!$B$9/2))*(I64-2*('Parametros'!$B$7+'Parametros'!$B$9/2))*'Parametros'!$B$4))</f>
        <v>0</v>
      </c>
      <c r="AW64" s="10">
        <f>AV64*2*((H64-2*('Parametros'!$B$7+'Parametros'!$B$9/2))+(I64-2*('Parametros'!$B$7+'Parametros'!$B$9/2)))*'Parametros'!$B$4/'Parametros'!$B$3</f>
        <v>0</v>
      </c>
      <c r="AX64" s="31" t="n">
        <v>0</v>
      </c>
      <c r="AY64" s="10" t="str">
        <f>IF(AV64=0,"DESPRECIABLE",IF(AND(ISERROR(SEARCH("referencia",AN64)),BB64/AP64&gt;=AV64,BI64&gt;=AW64,BH64="CUMPLE"),"CUMPLE","NO CUMPLE"))</f>
        <v>DESPRECIABLE</v>
      </c>
      <c r="AZ64" s="10" t="str">
        <f>IF(AND(X64="CUMPLE",AE64="CUMPLE",AS64="CUMPLE",OR(AY64="CUMPLE",AY64="DESPRECIABLE"),BH64="CUMPLE",BJ64="CUMPLE"),"CUMPLE","NO CUMPLE")</f>
        <v>CUMPLE</v>
      </c>
      <c r="BA64" s="32" t="n">
        <v>9.5</v>
      </c>
      <c r="BB64" s="32" t="n">
        <v>71</v>
      </c>
      <c r="BC64" s="10">
        <f>MAX(IF(AK64=0,0,AK64*1000/('Parametros'!$B$4*MIN(U64,AB64))),MAX(0.062*SQRT('Parametros'!$B$2)*H64/'Parametros'!$B$4,0.35*H64/'Parametros'!$B$4))</f>
        <v>1.60691528368879</v>
      </c>
      <c r="BD64" s="10">
        <f>2*AV64</f>
        <v>0</v>
      </c>
      <c r="BE64" s="10">
        <f>AO64*BB64/AP64</f>
        <v>1.775</v>
      </c>
      <c r="BF64" s="10">
        <f>SQRT((AI64*1000/(H64*MIN(U64,AB64)))^2+(Q64*1000000*2*((H64-2*('Parametros'!$B$7+'Parametros'!$B$9/2))+(I64-2*('Parametros'!$B$7+'Parametros'!$B$9/2)))/(1.7*((H64-2*('Parametros'!$B$7+'Parametros'!$B$9/2))*(I64-2*('Parametros'!$B$7+'Parametros'!$B$9/2)))^2))^2)</f>
        <v>1.80229273883294</v>
      </c>
      <c r="BG64" s="10">
        <f>'Parametros'!$B$6*(AJ64*1000/(H64*MIN(U64,AB64))+0.66*SQRT('Parametros'!$B$2))</f>
        <v>3.29396038227542</v>
      </c>
      <c r="BH64" s="10" t="str">
        <f>IF(BF64&lt;=BG64,"CUMPLE","NO CUMPLE")</f>
        <v>CUMPLE</v>
      </c>
      <c r="BI64" s="10">
        <f>AX64*'Parametros'!$B$8</f>
        <v>0</v>
      </c>
      <c r="BJ64" s="10" t="str">
        <f>IF(BI64&gt;=AW64,"CUMPLE","NO CUMPLE")</f>
        <v>CUMPLE</v>
      </c>
    </row>
    <row r="65">
      <c r="A65" s="17" t="inlineStr">
        <is>
          <t>VC3</t>
        </is>
      </c>
      <c r="B65" s="17" t="inlineStr">
        <is>
          <t>58</t>
        </is>
      </c>
      <c r="C65" s="10" t="n">
        <v>1</v>
      </c>
      <c r="D65" s="10" t="n">
        <v>3.21477</v>
      </c>
      <c r="E65" s="10" t="n">
        <v>3.21477</v>
      </c>
      <c r="F65" s="10" t="n">
        <v>450</v>
      </c>
      <c r="G65" s="10" t="n">
        <v>550</v>
      </c>
      <c r="H65" s="17" t="n">
        <v>450</v>
      </c>
      <c r="I65" s="17" t="n">
        <v>550</v>
      </c>
      <c r="J65" s="30" t="n">
        <v>168.1579</v>
      </c>
      <c r="K65" s="10" t="inlineStr">
        <is>
          <t>58</t>
        </is>
      </c>
      <c r="L65" s="30" t="n">
        <v>140.1853</v>
      </c>
      <c r="M65" s="10" t="inlineStr">
        <is>
          <t>58</t>
        </is>
      </c>
      <c r="N65" s="30" t="n">
        <v>99.879</v>
      </c>
      <c r="O65" s="30" t="n">
        <v>399.909</v>
      </c>
      <c r="P65" s="10" t="inlineStr">
        <is>
          <t>58</t>
        </is>
      </c>
      <c r="Q65" s="30" t="n">
        <v>17.0467</v>
      </c>
      <c r="R65" s="10">
        <f>MAX(MAX(1.4/'Parametros'!$B$3,0.25*SQRT('Parametros'!$B$2)/'Parametros'!$B$3)*H65*U65,(0.85*'Parametros'!$B$2/'Parametros'!$B$3)*(1-SQRT(1-2*(J65*1000000/('Parametros'!$B$5*H65*U65^2))/(0.85*'Parametros'!$B$2)))*H65*U65)</f>
        <v>944.860076451671</v>
      </c>
      <c r="S65" s="31" t="n">
        <v>5</v>
      </c>
      <c r="T65" s="32" t="n">
        <v>1</v>
      </c>
      <c r="U65" s="10">
        <f>IF(T65=1,I65-('Parametros'!$B$7+'Parametros'!$B$9+'Parametros'!$B$12/2),I65-(ROUNDUP(S65/2,0)*('Parametros'!$B$7+'Parametros'!$B$9+'Parametros'!$B$12/2)+ROUNDDOWN(S65/2,0)*('Parametros'!$B$7+'Parametros'!$B$9+'Parametros'!$B$12/2+'Parametros'!$B$12+'Parametros'!$B$10))/S65)</f>
        <v>489.35</v>
      </c>
      <c r="V65" s="10">
        <f>S65*'Parametros'!$B$8</f>
        <v>995</v>
      </c>
      <c r="W65" s="10">
        <f>'Parametros'!$B$5*V65*'Parametros'!$B$3*(U65-(V65*'Parametros'!$B$3/(0.85*'Parametros'!$B$2*H65))/2)/1000000</f>
        <v>176.711596147059</v>
      </c>
      <c r="X65" s="10" t="str">
        <f>IF(W65&gt;=J65,"CUMPLE","NO CUMPLE")</f>
        <v>CUMPLE</v>
      </c>
      <c r="Y65" s="10">
        <f>MAX(MAX(1.4/'Parametros'!$B$3,0.25*SQRT('Parametros'!$B$2)/'Parametros'!$B$3)*H65*AB65,(0.85*'Parametros'!$B$2/'Parametros'!$B$3)*(1-SQRT(1-2*(L65*1000000/('Parametros'!$B$5*H65*AB65^2))/(0.85*'Parametros'!$B$2)))*H65*AB65)</f>
        <v>782.391450198369</v>
      </c>
      <c r="Z65" s="31" t="n">
        <v>4</v>
      </c>
      <c r="AA65" s="32" t="n">
        <v>1</v>
      </c>
      <c r="AB65" s="10">
        <f>IF(AA65=1,I65-('Parametros'!$B$7+'Parametros'!$B$9+'Parametros'!$B$12/2),I65-(ROUNDUP(Z65/2,0)*('Parametros'!$B$7+'Parametros'!$B$9+'Parametros'!$B$12/2)+ROUNDDOWN(Z65/2,0)*('Parametros'!$B$7+'Parametros'!$B$9+'Parametros'!$B$12/2+'Parametros'!$B$12+'Parametros'!$B$10))/Z65)</f>
        <v>489.35</v>
      </c>
      <c r="AC65" s="10">
        <f>Z65*'Parametros'!$B$8</f>
        <v>796</v>
      </c>
      <c r="AD65" s="10">
        <f>'Parametros'!$B$5*AC65*'Parametros'!$B$3*(AB65-(AC65*'Parametros'!$B$3/(0.85*'Parametros'!$B$2*H65))/2)/1000000</f>
        <v>142.543330094118</v>
      </c>
      <c r="AE65" s="10" t="str">
        <f>IF(AD65&gt;=L65,"CUMPLE","NO CUMPLE")</f>
        <v>CUMPLE</v>
      </c>
      <c r="AF65" s="10">
        <f>V65*1.25*'Parametros'!$B$3*(U65-(V65*1.25*'Parametros'!$B$3/(0.85*'Parametros'!$B$2*H65))/2)/1000000</f>
        <v>242.884913970588</v>
      </c>
      <c r="AG65" s="10">
        <f>AC65*1.25*'Parametros'!$B$3*(AB65-(AC65*1.25*'Parametros'!$B$3/(0.85*'Parametros'!$B$2*H65))/2)/1000000</f>
        <v>196.346217941176</v>
      </c>
      <c r="AH65" s="10">
        <f>N65+(AF65+AG65)/D65</f>
        <v>236.508100032589</v>
      </c>
      <c r="AI65" s="10">
        <f>MAX(O65,AH65)</f>
        <v>399.909</v>
      </c>
      <c r="AJ65" s="10">
        <f>0.17*SQRT('Parametros'!$B$2)*H65*MIN(U65,AB65)/1000</f>
        <v>198.088855822627</v>
      </c>
      <c r="AK65" s="10">
        <f>MAX(AI65/'Parametros'!$B$6-AJ65,0)</f>
        <v>335.123144177373</v>
      </c>
      <c r="AL65" s="10">
        <f>0.66*SQRT('Parametros'!$B$2)*H65*MIN(U65,AB65)/1000</f>
        <v>769.050852017258</v>
      </c>
      <c r="AM65" s="10" t="str">
        <f>IF(AK65&lt;=AL65,"CUMPLE","NO CUMPLE")</f>
        <v>CUMPLE</v>
      </c>
      <c r="AN65" s="17" t="inlineStr">
        <is>
          <t>Nº4 cerrado</t>
        </is>
      </c>
      <c r="AO65" s="31" t="n">
        <v>2</v>
      </c>
      <c r="AP65" s="10">
        <f>ROUNDDOWN(MIN(IF(BC65+BD65=0,1000000000,AO65*BB65/(BC65+BD65)),MIN(U65,AB65)/4,8*'Parametros'!$B$12,24*BA65,300,IF(AV65=0,1000000000,2*((H65-2*('Parametros'!$B$7+'Parametros'!$B$9/2))+(I65-2*('Parametros'!$B$7+'Parametros'!$B$9/2)))/8))/10,0)*10</f>
        <v>120</v>
      </c>
      <c r="AQ65" s="10">
        <f>ROUNDDOWN(MIN(IF(BC65+BD65=0,1000000000,AO65*BB65/(BC65+BD65)),IF(AK65&gt;0.33*SQRT('Parametros'!$B$2)*H65*MIN(U65,AB65)/1000,MIN(U65,AB65)/4,MIN(U65,AB65)/2),600,IF(AV65=0,1000000000,2*((H65-2*('Parametros'!$B$7+'Parametros'!$B$9/2))+(I65-2*('Parametros'!$B$7+'Parametros'!$B$9/2)))/8))/10,0)*10</f>
        <v>120</v>
      </c>
      <c r="AR65" s="10">
        <f>'Parametros'!$B$6*(AJ65+MAX(BE65-BD65,0)*'Parametros'!$B$4*MIN(U65,AB65)/1000)</f>
        <v>419.915964329019</v>
      </c>
      <c r="AS65" s="10" t="str">
        <f>IF(AND(ISERROR(SEARCH("referencia",AN65)),AM65="CUMPLE",AR65&gt;=AI65),"CUMPLE","NO CUMPLE")</f>
        <v>CUMPLE</v>
      </c>
      <c r="AT65" s="10">
        <f>'Parametros'!$B$6*0.083*SQRT('Parametros'!$B$2)*(H65*I65)^2/(2*(H65+I65))/1000000</f>
        <v>10.0887830333379</v>
      </c>
      <c r="AU65" s="10" t="str">
        <f>IF(Q65&lt;=AT65,"DESPRECIABLE","DISEÑAR")</f>
        <v>DISEÑAR</v>
      </c>
      <c r="AV65" s="10">
        <f>IF(Q65&lt;=AT65,0,Q65*1000000/('Parametros'!$B$6*2*0.85*(H65-2*('Parametros'!$B$7+'Parametros'!$B$9/2))*(I65-2*('Parametros'!$B$7+'Parametros'!$B$9/2))*'Parametros'!$B$4))</f>
        <v>0.194825870527803</v>
      </c>
      <c r="AW65" s="10">
        <f>AV65*2*((H65-2*('Parametros'!$B$7+'Parametros'!$B$9/2))+(I65-2*('Parametros'!$B$7+'Parametros'!$B$9/2)))*'Parametros'!$B$4/'Parametros'!$B$3</f>
        <v>317.410308263896</v>
      </c>
      <c r="AX65" s="31" t="n">
        <v>8</v>
      </c>
      <c r="AY65" s="10" t="str">
        <f>IF(AV65=0,"DESPRECIABLE",IF(AND(ISERROR(SEARCH("referencia",AN65)),BB65/AP65&gt;=AV65,BI65&gt;=AW65,BH65="CUMPLE"),"CUMPLE","NO CUMPLE"))</f>
        <v>CUMPLE</v>
      </c>
      <c r="AZ65" s="10" t="str">
        <f>IF(AND(X65="CUMPLE",AE65="CUMPLE",AS65="CUMPLE",OR(AY65="CUMPLE",AY65="DESPRECIABLE"),BH65="CUMPLE",BJ65="CUMPLE"),"CUMPLE","NO CUMPLE")</f>
        <v>CUMPLE</v>
      </c>
      <c r="BA65" s="32" t="n">
        <v>12.7</v>
      </c>
      <c r="BB65" s="32" t="n">
        <v>129</v>
      </c>
      <c r="BC65" s="10">
        <f>MAX(IF(AK65=0,0,AK65*1000/('Parametros'!$B$4*MIN(U65,AB65))),MAX(0.062*SQRT('Parametros'!$B$2)*H65/'Parametros'!$B$4,0.35*H65/'Parametros'!$B$4))</f>
        <v>1.63055532449446</v>
      </c>
      <c r="BD65" s="10">
        <f>2*AV65</f>
        <v>0.389651741055605</v>
      </c>
      <c r="BE65" s="10">
        <f>AO65*BB65/AP65</f>
        <v>2.15</v>
      </c>
      <c r="BF65" s="10">
        <f>SQRT((AI65*1000/(H65*MIN(U65,AB65)))^2+(Q65*1000000*2*((H65-2*('Parametros'!$B$7+'Parametros'!$B$9/2))+(I65-2*('Parametros'!$B$7+'Parametros'!$B$9/2)))/(1.7*((H65-2*('Parametros'!$B$7+'Parametros'!$B$9/2))*(I65-2*('Parametros'!$B$7+'Parametros'!$B$9/2)))^2))^2)</f>
        <v>1.91637878894379</v>
      </c>
      <c r="BG65" s="10">
        <f>'Parametros'!$B$6*(AJ65*1000/(H65*MIN(U65,AB65))+0.66*SQRT('Parametros'!$B$2))</f>
        <v>3.29396038227542</v>
      </c>
      <c r="BH65" s="10" t="str">
        <f>IF(BF65&lt;=BG65,"CUMPLE","NO CUMPLE")</f>
        <v>CUMPLE</v>
      </c>
      <c r="BI65" s="10">
        <f>AX65*'Parametros'!$B$8</f>
        <v>1592</v>
      </c>
      <c r="BJ65" s="10" t="str">
        <f>IF(BI65&gt;=AW65,"CUMPLE","NO CUMPLE")</f>
        <v>CUMPLE</v>
      </c>
    </row>
    <row r="66">
      <c r="A66" s="17" t="inlineStr">
        <is>
          <t>VC3</t>
        </is>
      </c>
      <c r="B66" s="17" t="inlineStr">
        <is>
          <t>59</t>
        </is>
      </c>
      <c r="C66" s="10" t="n">
        <v>1</v>
      </c>
      <c r="D66" s="10" t="n">
        <v>3.21477</v>
      </c>
      <c r="E66" s="10" t="n">
        <v>3.21477</v>
      </c>
      <c r="F66" s="10" t="n">
        <v>450</v>
      </c>
      <c r="G66" s="10" t="n">
        <v>550</v>
      </c>
      <c r="H66" s="17" t="n">
        <v>450</v>
      </c>
      <c r="I66" s="17" t="n">
        <v>550</v>
      </c>
      <c r="J66" s="30" t="n">
        <v>168.0304</v>
      </c>
      <c r="K66" s="10" t="inlineStr">
        <is>
          <t>59</t>
        </is>
      </c>
      <c r="L66" s="30" t="n">
        <v>140.2656</v>
      </c>
      <c r="M66" s="10" t="inlineStr">
        <is>
          <t>59</t>
        </is>
      </c>
      <c r="N66" s="30" t="n">
        <v>99.91200000000001</v>
      </c>
      <c r="O66" s="30" t="n">
        <v>399.875</v>
      </c>
      <c r="P66" s="10" t="inlineStr">
        <is>
          <t>59</t>
        </is>
      </c>
      <c r="Q66" s="30" t="n">
        <v>17.0515</v>
      </c>
      <c r="R66" s="10">
        <f>MAX(MAX(1.4/'Parametros'!$B$3,0.25*SQRT('Parametros'!$B$2)/'Parametros'!$B$3)*H66*U66,(0.85*'Parametros'!$B$2/'Parametros'!$B$3)*(1-SQRT(1-2*(J66*1000000/('Parametros'!$B$5*H66*U66^2))/(0.85*'Parametros'!$B$2)))*H66*U66)</f>
        <v>944.114347574484</v>
      </c>
      <c r="S66" s="31" t="n">
        <v>5</v>
      </c>
      <c r="T66" s="32" t="n">
        <v>1</v>
      </c>
      <c r="U66" s="10">
        <f>IF(T66=1,I66-('Parametros'!$B$7+'Parametros'!$B$9+'Parametros'!$B$12/2),I66-(ROUNDUP(S66/2,0)*('Parametros'!$B$7+'Parametros'!$B$9+'Parametros'!$B$12/2)+ROUNDDOWN(S66/2,0)*('Parametros'!$B$7+'Parametros'!$B$9+'Parametros'!$B$12/2+'Parametros'!$B$12+'Parametros'!$B$10))/S66)</f>
        <v>489.35</v>
      </c>
      <c r="V66" s="10">
        <f>S66*'Parametros'!$B$8</f>
        <v>995</v>
      </c>
      <c r="W66" s="10">
        <f>'Parametros'!$B$5*V66*'Parametros'!$B$3*(U66-(V66*'Parametros'!$B$3/(0.85*'Parametros'!$B$2*H66))/2)/1000000</f>
        <v>176.711596147059</v>
      </c>
      <c r="X66" s="10" t="str">
        <f>IF(W66&gt;=J66,"CUMPLE","NO CUMPLE")</f>
        <v>CUMPLE</v>
      </c>
      <c r="Y66" s="10">
        <f>MAX(MAX(1.4/'Parametros'!$B$3,0.25*SQRT('Parametros'!$B$2)/'Parametros'!$B$3)*H66*AB66,(0.85*'Parametros'!$B$2/'Parametros'!$B$3)*(1-SQRT(1-2*(L66*1000000/('Parametros'!$B$5*H66*AB66^2))/(0.85*'Parametros'!$B$2)))*H66*AB66)</f>
        <v>782.854613263781</v>
      </c>
      <c r="Z66" s="31" t="n">
        <v>4</v>
      </c>
      <c r="AA66" s="32" t="n">
        <v>1</v>
      </c>
      <c r="AB66" s="10">
        <f>IF(AA66=1,I66-('Parametros'!$B$7+'Parametros'!$B$9+'Parametros'!$B$12/2),I66-(ROUNDUP(Z66/2,0)*('Parametros'!$B$7+'Parametros'!$B$9+'Parametros'!$B$12/2)+ROUNDDOWN(Z66/2,0)*('Parametros'!$B$7+'Parametros'!$B$9+'Parametros'!$B$12/2+'Parametros'!$B$12+'Parametros'!$B$10))/Z66)</f>
        <v>489.35</v>
      </c>
      <c r="AC66" s="10">
        <f>Z66*'Parametros'!$B$8</f>
        <v>796</v>
      </c>
      <c r="AD66" s="10">
        <f>'Parametros'!$B$5*AC66*'Parametros'!$B$3*(AB66-(AC66*'Parametros'!$B$3/(0.85*'Parametros'!$B$2*H66))/2)/1000000</f>
        <v>142.543330094118</v>
      </c>
      <c r="AE66" s="10" t="str">
        <f>IF(AD66&gt;=L66,"CUMPLE","NO CUMPLE")</f>
        <v>CUMPLE</v>
      </c>
      <c r="AF66" s="10">
        <f>V66*1.25*'Parametros'!$B$3*(U66-(V66*1.25*'Parametros'!$B$3/(0.85*'Parametros'!$B$2*H66))/2)/1000000</f>
        <v>242.884913970588</v>
      </c>
      <c r="AG66" s="10">
        <f>AC66*1.25*'Parametros'!$B$3*(AB66-(AC66*1.25*'Parametros'!$B$3/(0.85*'Parametros'!$B$2*H66))/2)/1000000</f>
        <v>196.346217941176</v>
      </c>
      <c r="AH66" s="10">
        <f>N66+(AF66+AG66)/D66</f>
        <v>236.541100032589</v>
      </c>
      <c r="AI66" s="10">
        <f>MAX(O66,AH66)</f>
        <v>399.875</v>
      </c>
      <c r="AJ66" s="10">
        <f>0.17*SQRT('Parametros'!$B$2)*H66*MIN(U66,AB66)/1000</f>
        <v>198.088855822627</v>
      </c>
      <c r="AK66" s="10">
        <f>MAX(AI66/'Parametros'!$B$6-AJ66,0)</f>
        <v>335.07781084404</v>
      </c>
      <c r="AL66" s="10">
        <f>0.66*SQRT('Parametros'!$B$2)*H66*MIN(U66,AB66)/1000</f>
        <v>769.050852017258</v>
      </c>
      <c r="AM66" s="10" t="str">
        <f>IF(AK66&lt;=AL66,"CUMPLE","NO CUMPLE")</f>
        <v>CUMPLE</v>
      </c>
      <c r="AN66" s="17" t="inlineStr">
        <is>
          <t>Nº4 cerrado</t>
        </is>
      </c>
      <c r="AO66" s="31" t="n">
        <v>2</v>
      </c>
      <c r="AP66" s="10">
        <f>ROUNDDOWN(MIN(IF(BC66+BD66=0,1000000000,AO66*BB66/(BC66+BD66)),MIN(U66,AB66)/4,8*'Parametros'!$B$12,24*BA66,300,IF(AV66=0,1000000000,2*((H66-2*('Parametros'!$B$7+'Parametros'!$B$9/2))+(I66-2*('Parametros'!$B$7+'Parametros'!$B$9/2)))/8))/10,0)*10</f>
        <v>120</v>
      </c>
      <c r="AQ66" s="10">
        <f>ROUNDDOWN(MIN(IF(BC66+BD66=0,1000000000,AO66*BB66/(BC66+BD66)),IF(AK66&gt;0.33*SQRT('Parametros'!$B$2)*H66*MIN(U66,AB66)/1000,MIN(U66,AB66)/4,MIN(U66,AB66)/2),600,IF(AV66=0,1000000000,2*((H66-2*('Parametros'!$B$7+'Parametros'!$B$9/2))+(I66-2*('Parametros'!$B$7+'Parametros'!$B$9/2)))/8))/10,0)*10</f>
        <v>120</v>
      </c>
      <c r="AR66" s="10">
        <f>'Parametros'!$B$6*(AJ66+MAX(BE66-BD66,0)*'Parametros'!$B$4*MIN(U66,AB66)/1000)</f>
        <v>419.899051833804</v>
      </c>
      <c r="AS66" s="10" t="str">
        <f>IF(AND(ISERROR(SEARCH("referencia",AN66)),AM66="CUMPLE",AR66&gt;=AI66),"CUMPLE","NO CUMPLE")</f>
        <v>CUMPLE</v>
      </c>
      <c r="AT66" s="10">
        <f>'Parametros'!$B$6*0.083*SQRT('Parametros'!$B$2)*(H66*I66)^2/(2*(H66+I66))/1000000</f>
        <v>10.0887830333379</v>
      </c>
      <c r="AU66" s="10" t="str">
        <f>IF(Q66&lt;=AT66,"DESPRECIABLE","DISEÑAR")</f>
        <v>DISEÑAR</v>
      </c>
      <c r="AV66" s="10">
        <f>IF(Q66&lt;=AT66,0,Q66*1000000/('Parametros'!$B$6*2*0.85*(H66-2*('Parametros'!$B$7+'Parametros'!$B$9/2))*(I66-2*('Parametros'!$B$7+'Parametros'!$B$9/2))*'Parametros'!$B$4))</f>
        <v>0.194880729484582</v>
      </c>
      <c r="AW66" s="10">
        <f>AV66*2*((H66-2*('Parametros'!$B$7+'Parametros'!$B$9/2))+(I66-2*('Parametros'!$B$7+'Parametros'!$B$9/2)))*'Parametros'!$B$4/'Parametros'!$B$3</f>
        <v>317.499684476281</v>
      </c>
      <c r="AX66" s="31" t="n">
        <v>8</v>
      </c>
      <c r="AY66" s="10" t="str">
        <f>IF(AV66=0,"DESPRECIABLE",IF(AND(ISERROR(SEARCH("referencia",AN66)),BB66/AP66&gt;=AV66,BI66&gt;=AW66,BH66="CUMPLE"),"CUMPLE","NO CUMPLE"))</f>
        <v>CUMPLE</v>
      </c>
      <c r="AZ66" s="10" t="str">
        <f>IF(AND(X66="CUMPLE",AE66="CUMPLE",AS66="CUMPLE",OR(AY66="CUMPLE",AY66="DESPRECIABLE"),BH66="CUMPLE",BJ66="CUMPLE"),"CUMPLE","NO CUMPLE")</f>
        <v>CUMPLE</v>
      </c>
      <c r="BA66" s="32" t="n">
        <v>12.7</v>
      </c>
      <c r="BB66" s="32" t="n">
        <v>129</v>
      </c>
      <c r="BC66" s="10">
        <f>MAX(IF(AK66=0,0,AK66*1000/('Parametros'!$B$4*MIN(U66,AB66))),MAX(0.062*SQRT('Parametros'!$B$2)*H66/'Parametros'!$B$4,0.35*H66/'Parametros'!$B$4))</f>
        <v>1.63033475331241</v>
      </c>
      <c r="BD66" s="10">
        <f>2*AV66</f>
        <v>0.389761458969165</v>
      </c>
      <c r="BE66" s="10">
        <f>AO66*BB66/AP66</f>
        <v>2.15</v>
      </c>
      <c r="BF66" s="10">
        <f>SQRT((AI66*1000/(H66*MIN(U66,AB66)))^2+(Q66*1000000*2*((H66-2*('Parametros'!$B$7+'Parametros'!$B$9/2))+(I66-2*('Parametros'!$B$7+'Parametros'!$B$9/2)))/(1.7*((H66-2*('Parametros'!$B$7+'Parametros'!$B$9/2))*(I66-2*('Parametros'!$B$7+'Parametros'!$B$9/2)))^2))^2)</f>
        <v>1.91628750302596</v>
      </c>
      <c r="BG66" s="10">
        <f>'Parametros'!$B$6*(AJ66*1000/(H66*MIN(U66,AB66))+0.66*SQRT('Parametros'!$B$2))</f>
        <v>3.29396038227542</v>
      </c>
      <c r="BH66" s="10" t="str">
        <f>IF(BF66&lt;=BG66,"CUMPLE","NO CUMPLE")</f>
        <v>CUMPLE</v>
      </c>
      <c r="BI66" s="10">
        <f>AX66*'Parametros'!$B$8</f>
        <v>1592</v>
      </c>
      <c r="BJ66" s="10" t="str">
        <f>IF(BI66&gt;=AW66,"CUMPLE","NO CUMPLE")</f>
        <v>CUMPLE</v>
      </c>
    </row>
    <row r="67">
      <c r="A67" s="17" t="inlineStr">
        <is>
          <t>VC3</t>
        </is>
      </c>
      <c r="B67" s="17" t="inlineStr">
        <is>
          <t>60</t>
        </is>
      </c>
      <c r="C67" s="10" t="n">
        <v>1</v>
      </c>
      <c r="D67" s="10" t="n">
        <v>3.4</v>
      </c>
      <c r="E67" s="10" t="n">
        <v>3.4</v>
      </c>
      <c r="F67" s="10" t="n">
        <v>450</v>
      </c>
      <c r="G67" s="10" t="n">
        <v>550</v>
      </c>
      <c r="H67" s="17" t="n">
        <v>450</v>
      </c>
      <c r="I67" s="17" t="n">
        <v>550</v>
      </c>
      <c r="J67" s="30" t="n">
        <v>174.4236</v>
      </c>
      <c r="K67" s="10" t="inlineStr">
        <is>
          <t>60</t>
        </is>
      </c>
      <c r="L67" s="30" t="n">
        <v>154.8853</v>
      </c>
      <c r="M67" s="10" t="inlineStr">
        <is>
          <t>60</t>
        </is>
      </c>
      <c r="N67" s="30" t="n">
        <v>90.89</v>
      </c>
      <c r="O67" s="30" t="n">
        <v>396.275</v>
      </c>
      <c r="P67" s="10" t="inlineStr">
        <is>
          <t>60</t>
        </is>
      </c>
      <c r="Q67" s="30" t="n">
        <v>2.7885</v>
      </c>
      <c r="R67" s="10">
        <f>MAX(MAX(1.4/'Parametros'!$B$3,0.25*SQRT('Parametros'!$B$2)/'Parametros'!$B$3)*H67*U67,(0.85*'Parametros'!$B$2/'Parametros'!$B$3)*(1-SQRT(1-2*(J67*1000000/('Parametros'!$B$5*H67*U67^2))/(0.85*'Parametros'!$B$2)))*H67*U67)</f>
        <v>981.566836854638</v>
      </c>
      <c r="S67" s="31" t="n">
        <v>5</v>
      </c>
      <c r="T67" s="32" t="n">
        <v>1</v>
      </c>
      <c r="U67" s="10">
        <f>IF(T67=1,I67-('Parametros'!$B$7+'Parametros'!$B$9+'Parametros'!$B$12/2),I67-(ROUNDUP(S67/2,0)*('Parametros'!$B$7+'Parametros'!$B$9+'Parametros'!$B$12/2)+ROUNDDOWN(S67/2,0)*('Parametros'!$B$7+'Parametros'!$B$9+'Parametros'!$B$12/2+'Parametros'!$B$12+'Parametros'!$B$10))/S67)</f>
        <v>489.35</v>
      </c>
      <c r="V67" s="10">
        <f>S67*'Parametros'!$B$8</f>
        <v>995</v>
      </c>
      <c r="W67" s="10">
        <f>'Parametros'!$B$5*V67*'Parametros'!$B$3*(U67-(V67*'Parametros'!$B$3/(0.85*'Parametros'!$B$2*H67))/2)/1000000</f>
        <v>176.711596147059</v>
      </c>
      <c r="X67" s="10" t="str">
        <f>IF(W67&gt;=J67,"CUMPLE","NO CUMPLE")</f>
        <v>CUMPLE</v>
      </c>
      <c r="Y67" s="10">
        <f>MAX(MAX(1.4/'Parametros'!$B$3,0.25*SQRT('Parametros'!$B$2)/'Parametros'!$B$3)*H67*AB67,(0.85*'Parametros'!$B$2/'Parametros'!$B$3)*(1-SQRT(1-2*(L67*1000000/('Parametros'!$B$5*H67*AB67^2))/(0.85*'Parametros'!$B$2)))*H67*AB67)</f>
        <v>867.487593194639</v>
      </c>
      <c r="Z67" s="31" t="n">
        <v>5</v>
      </c>
      <c r="AA67" s="32" t="n">
        <v>1</v>
      </c>
      <c r="AB67" s="10">
        <f>IF(AA67=1,I67-('Parametros'!$B$7+'Parametros'!$B$9+'Parametros'!$B$12/2),I67-(ROUNDUP(Z67/2,0)*('Parametros'!$B$7+'Parametros'!$B$9+'Parametros'!$B$12/2)+ROUNDDOWN(Z67/2,0)*('Parametros'!$B$7+'Parametros'!$B$9+'Parametros'!$B$12/2+'Parametros'!$B$12+'Parametros'!$B$10))/Z67)</f>
        <v>489.35</v>
      </c>
      <c r="AC67" s="10">
        <f>Z67*'Parametros'!$B$8</f>
        <v>995</v>
      </c>
      <c r="AD67" s="10">
        <f>'Parametros'!$B$5*AC67*'Parametros'!$B$3*(AB67-(AC67*'Parametros'!$B$3/(0.85*'Parametros'!$B$2*H67))/2)/1000000</f>
        <v>176.711596147059</v>
      </c>
      <c r="AE67" s="10" t="str">
        <f>IF(AD67&gt;=L67,"CUMPLE","NO CUMPLE")</f>
        <v>CUMPLE</v>
      </c>
      <c r="AF67" s="10">
        <f>V67*1.25*'Parametros'!$B$3*(U67-(V67*1.25*'Parametros'!$B$3/(0.85*'Parametros'!$B$2*H67))/2)/1000000</f>
        <v>242.884913970588</v>
      </c>
      <c r="AG67" s="10">
        <f>AC67*1.25*'Parametros'!$B$3*(AB67-(AC67*1.25*'Parametros'!$B$3/(0.85*'Parametros'!$B$2*H67))/2)/1000000</f>
        <v>242.884913970588</v>
      </c>
      <c r="AH67" s="10">
        <f>N67+(AF67+AG67)/D67</f>
        <v>233.763478806228</v>
      </c>
      <c r="AI67" s="10">
        <f>MAX(O67,AH67)</f>
        <v>396.275</v>
      </c>
      <c r="AJ67" s="10">
        <f>0.17*SQRT('Parametros'!$B$2)*H67*MIN(U67,AB67)/1000</f>
        <v>198.088855822627</v>
      </c>
      <c r="AK67" s="10">
        <f>MAX(AI67/'Parametros'!$B$6-AJ67,0)</f>
        <v>330.27781084404</v>
      </c>
      <c r="AL67" s="10">
        <f>0.66*SQRT('Parametros'!$B$2)*H67*MIN(U67,AB67)/1000</f>
        <v>769.050852017258</v>
      </c>
      <c r="AM67" s="10" t="str">
        <f>IF(AK67&lt;=AL67,"CUMPLE","NO CUMPLE")</f>
        <v>CUMPLE</v>
      </c>
      <c r="AN67" s="17" t="inlineStr">
        <is>
          <t>Nº3 cerrado</t>
        </is>
      </c>
      <c r="AO67" s="31" t="n">
        <v>2</v>
      </c>
      <c r="AP67" s="10">
        <f>ROUNDDOWN(MIN(IF(BC67+BD67=0,1000000000,AO67*BB67/(BC67+BD67)),MIN(U67,AB67)/4,8*'Parametros'!$B$12,24*BA67,300,IF(AV67=0,1000000000,2*((H67-2*('Parametros'!$B$7+'Parametros'!$B$9/2))+(I67-2*('Parametros'!$B$7+'Parametros'!$B$9/2)))/8))/10,0)*10</f>
        <v>80</v>
      </c>
      <c r="AQ67" s="10">
        <f>ROUNDDOWN(MIN(IF(BC67+BD67=0,1000000000,AO67*BB67/(BC67+BD67)),IF(AK67&gt;0.33*SQRT('Parametros'!$B$2)*H67*MIN(U67,AB67)/1000,MIN(U67,AB67)/4,MIN(U67,AB67)/2),600,IF(AV67=0,1000000000,2*((H67-2*('Parametros'!$B$7+'Parametros'!$B$9/2))+(I67-2*('Parametros'!$B$7+'Parametros'!$B$9/2)))/8))/10,0)*10</f>
        <v>80</v>
      </c>
      <c r="AR67" s="10">
        <f>'Parametros'!$B$6*(AJ67+MAX(BE67-BD67,0)*'Parametros'!$B$4*MIN(U67,AB67)/1000)</f>
        <v>422.17446061697</v>
      </c>
      <c r="AS67" s="10" t="str">
        <f>IF(AND(ISERROR(SEARCH("referencia",AN67)),AM67="CUMPLE",AR67&gt;=AI67),"CUMPLE","NO CUMPLE")</f>
        <v>CUMPLE</v>
      </c>
      <c r="AT67" s="10">
        <f>'Parametros'!$B$6*0.083*SQRT('Parametros'!$B$2)*(H67*I67)^2/(2*(H67+I67))/1000000</f>
        <v>10.0887830333379</v>
      </c>
      <c r="AU67" s="10" t="str">
        <f>IF(Q67&lt;=AT67,"DESPRECIABLE","DISEÑAR")</f>
        <v>DESPRECIABLE</v>
      </c>
      <c r="AV67" s="10">
        <f>IF(Q67&lt;=AT67,0,Q67*1000000/('Parametros'!$B$6*2*0.85*(H67-2*('Parametros'!$B$7+'Parametros'!$B$9/2))*(I67-2*('Parametros'!$B$7+'Parametros'!$B$9/2))*'Parametros'!$B$4))</f>
        <v>0</v>
      </c>
      <c r="AW67" s="10">
        <f>AV67*2*((H67-2*('Parametros'!$B$7+'Parametros'!$B$9/2))+(I67-2*('Parametros'!$B$7+'Parametros'!$B$9/2)))*'Parametros'!$B$4/'Parametros'!$B$3</f>
        <v>0</v>
      </c>
      <c r="AX67" s="31" t="n">
        <v>0</v>
      </c>
      <c r="AY67" s="10" t="str">
        <f>IF(AV67=0,"DESPRECIABLE",IF(AND(ISERROR(SEARCH("referencia",AN67)),BB67/AP67&gt;=AV67,BI67&gt;=AW67,BH67="CUMPLE"),"CUMPLE","NO CUMPLE"))</f>
        <v>DESPRECIABLE</v>
      </c>
      <c r="AZ67" s="10" t="str">
        <f>IF(AND(X67="CUMPLE",AE67="CUMPLE",AS67="CUMPLE",OR(AY67="CUMPLE",AY67="DESPRECIABLE"),BH67="CUMPLE",BJ67="CUMPLE"),"CUMPLE","NO CUMPLE")</f>
        <v>CUMPLE</v>
      </c>
      <c r="BA67" s="32" t="n">
        <v>9.5</v>
      </c>
      <c r="BB67" s="32" t="n">
        <v>71</v>
      </c>
      <c r="BC67" s="10">
        <f>MAX(IF(AK67=0,0,AK67*1000/('Parametros'!$B$4*MIN(U67,AB67))),MAX(0.062*SQRT('Parametros'!$B$2)*H67/'Parametros'!$B$4,0.35*H67/'Parametros'!$B$4))</f>
        <v>1.60698015756587</v>
      </c>
      <c r="BD67" s="10">
        <f>2*AV67</f>
        <v>0</v>
      </c>
      <c r="BE67" s="10">
        <f>AO67*BB67/AP67</f>
        <v>1.775</v>
      </c>
      <c r="BF67" s="10">
        <f>SQRT((AI67*1000/(H67*MIN(U67,AB67)))^2+(Q67*1000000*2*((H67-2*('Parametros'!$B$7+'Parametros'!$B$9/2))+(I67-2*('Parametros'!$B$7+'Parametros'!$B$9/2)))/(1.7*((H67-2*('Parametros'!$B$7+'Parametros'!$B$9/2))*(I67-2*('Parametros'!$B$7+'Parametros'!$B$9/2)))^2))^2)</f>
        <v>1.80233449063636</v>
      </c>
      <c r="BG67" s="10">
        <f>'Parametros'!$B$6*(AJ67*1000/(H67*MIN(U67,AB67))+0.66*SQRT('Parametros'!$B$2))</f>
        <v>3.29396038227542</v>
      </c>
      <c r="BH67" s="10" t="str">
        <f>IF(BF67&lt;=BG67,"CUMPLE","NO CUMPLE")</f>
        <v>CUMPLE</v>
      </c>
      <c r="BI67" s="10">
        <f>AX67*'Parametros'!$B$8</f>
        <v>0</v>
      </c>
      <c r="BJ67" s="10" t="str">
        <f>IF(BI67&gt;=AW67,"CUMPLE","NO CUMPLE")</f>
        <v>CUMPLE</v>
      </c>
    </row>
    <row r="68">
      <c r="A68" s="17" t="inlineStr">
        <is>
          <t>VC3</t>
        </is>
      </c>
      <c r="B68" s="17" t="inlineStr">
        <is>
          <t>89</t>
        </is>
      </c>
      <c r="C68" s="10" t="n">
        <v>1</v>
      </c>
      <c r="D68" s="10" t="n">
        <v>3.4</v>
      </c>
      <c r="E68" s="10" t="n">
        <v>3.4</v>
      </c>
      <c r="F68" s="10" t="n">
        <v>450</v>
      </c>
      <c r="G68" s="10" t="n">
        <v>550</v>
      </c>
      <c r="H68" s="17" t="n">
        <v>450</v>
      </c>
      <c r="I68" s="17" t="n">
        <v>550</v>
      </c>
      <c r="J68" s="30" t="n">
        <v>174.4174</v>
      </c>
      <c r="K68" s="10" t="inlineStr">
        <is>
          <t>89</t>
        </is>
      </c>
      <c r="L68" s="30" t="n">
        <v>154.8826</v>
      </c>
      <c r="M68" s="10" t="inlineStr">
        <is>
          <t>89</t>
        </is>
      </c>
      <c r="N68" s="30" t="n">
        <v>90.886</v>
      </c>
      <c r="O68" s="30" t="n">
        <v>396.263</v>
      </c>
      <c r="P68" s="10" t="inlineStr">
        <is>
          <t>89</t>
        </is>
      </c>
      <c r="Q68" s="30" t="n">
        <v>2.7889</v>
      </c>
      <c r="R68" s="10">
        <f>MAX(MAX(1.4/'Parametros'!$B$3,0.25*SQRT('Parametros'!$B$2)/'Parametros'!$B$3)*H68*U68,(0.85*'Parametros'!$B$2/'Parametros'!$B$3)*(1-SQRT(1-2*(J68*1000000/('Parametros'!$B$5*H68*U68^2))/(0.85*'Parametros'!$B$2)))*H68*U68)</f>
        <v>981.530457062823</v>
      </c>
      <c r="S68" s="31" t="n">
        <v>5</v>
      </c>
      <c r="T68" s="32" t="n">
        <v>1</v>
      </c>
      <c r="U68" s="10">
        <f>IF(T68=1,I68-('Parametros'!$B$7+'Parametros'!$B$9+'Parametros'!$B$12/2),I68-(ROUNDUP(S68/2,0)*('Parametros'!$B$7+'Parametros'!$B$9+'Parametros'!$B$12/2)+ROUNDDOWN(S68/2,0)*('Parametros'!$B$7+'Parametros'!$B$9+'Parametros'!$B$12/2+'Parametros'!$B$12+'Parametros'!$B$10))/S68)</f>
        <v>489.35</v>
      </c>
      <c r="V68" s="10">
        <f>S68*'Parametros'!$B$8</f>
        <v>995</v>
      </c>
      <c r="W68" s="10">
        <f>'Parametros'!$B$5*V68*'Parametros'!$B$3*(U68-(V68*'Parametros'!$B$3/(0.85*'Parametros'!$B$2*H68))/2)/1000000</f>
        <v>176.711596147059</v>
      </c>
      <c r="X68" s="10" t="str">
        <f>IF(W68&gt;=J68,"CUMPLE","NO CUMPLE")</f>
        <v>CUMPLE</v>
      </c>
      <c r="Y68" s="10">
        <f>MAX(MAX(1.4/'Parametros'!$B$3,0.25*SQRT('Parametros'!$B$2)/'Parametros'!$B$3)*H68*AB68,(0.85*'Parametros'!$B$2/'Parametros'!$B$3)*(1-SQRT(1-2*(L68*1000000/('Parametros'!$B$5*H68*AB68^2))/(0.85*'Parametros'!$B$2)))*H68*AB68)</f>
        <v>867.471906025919</v>
      </c>
      <c r="Z68" s="31" t="n">
        <v>5</v>
      </c>
      <c r="AA68" s="32" t="n">
        <v>1</v>
      </c>
      <c r="AB68" s="10">
        <f>IF(AA68=1,I68-('Parametros'!$B$7+'Parametros'!$B$9+'Parametros'!$B$12/2),I68-(ROUNDUP(Z68/2,0)*('Parametros'!$B$7+'Parametros'!$B$9+'Parametros'!$B$12/2)+ROUNDDOWN(Z68/2,0)*('Parametros'!$B$7+'Parametros'!$B$9+'Parametros'!$B$12/2+'Parametros'!$B$12+'Parametros'!$B$10))/Z68)</f>
        <v>489.35</v>
      </c>
      <c r="AC68" s="10">
        <f>Z68*'Parametros'!$B$8</f>
        <v>995</v>
      </c>
      <c r="AD68" s="10">
        <f>'Parametros'!$B$5*AC68*'Parametros'!$B$3*(AB68-(AC68*'Parametros'!$B$3/(0.85*'Parametros'!$B$2*H68))/2)/1000000</f>
        <v>176.711596147059</v>
      </c>
      <c r="AE68" s="10" t="str">
        <f>IF(AD68&gt;=L68,"CUMPLE","NO CUMPLE")</f>
        <v>CUMPLE</v>
      </c>
      <c r="AF68" s="10">
        <f>V68*1.25*'Parametros'!$B$3*(U68-(V68*1.25*'Parametros'!$B$3/(0.85*'Parametros'!$B$2*H68))/2)/1000000</f>
        <v>242.884913970588</v>
      </c>
      <c r="AG68" s="10">
        <f>AC68*1.25*'Parametros'!$B$3*(AB68-(AC68*1.25*'Parametros'!$B$3/(0.85*'Parametros'!$B$2*H68))/2)/1000000</f>
        <v>242.884913970588</v>
      </c>
      <c r="AH68" s="10">
        <f>N68+(AF68+AG68)/D68</f>
        <v>233.759478806228</v>
      </c>
      <c r="AI68" s="10">
        <f>MAX(O68,AH68)</f>
        <v>396.263</v>
      </c>
      <c r="AJ68" s="10">
        <f>0.17*SQRT('Parametros'!$B$2)*H68*MIN(U68,AB68)/1000</f>
        <v>198.088855822627</v>
      </c>
      <c r="AK68" s="10">
        <f>MAX(AI68/'Parametros'!$B$6-AJ68,0)</f>
        <v>330.26181084404</v>
      </c>
      <c r="AL68" s="10">
        <f>0.66*SQRT('Parametros'!$B$2)*H68*MIN(U68,AB68)/1000</f>
        <v>769.050852017258</v>
      </c>
      <c r="AM68" s="10" t="str">
        <f>IF(AK68&lt;=AL68,"CUMPLE","NO CUMPLE")</f>
        <v>CUMPLE</v>
      </c>
      <c r="AN68" s="17" t="inlineStr">
        <is>
          <t>Nº3 cerrado</t>
        </is>
      </c>
      <c r="AO68" s="31" t="n">
        <v>2</v>
      </c>
      <c r="AP68" s="10">
        <f>ROUNDDOWN(MIN(IF(BC68+BD68=0,1000000000,AO68*BB68/(BC68+BD68)),MIN(U68,AB68)/4,8*'Parametros'!$B$12,24*BA68,300,IF(AV68=0,1000000000,2*((H68-2*('Parametros'!$B$7+'Parametros'!$B$9/2))+(I68-2*('Parametros'!$B$7+'Parametros'!$B$9/2)))/8))/10,0)*10</f>
        <v>80</v>
      </c>
      <c r="AQ68" s="10">
        <f>ROUNDDOWN(MIN(IF(BC68+BD68=0,1000000000,AO68*BB68/(BC68+BD68)),IF(AK68&gt;0.33*SQRT('Parametros'!$B$2)*H68*MIN(U68,AB68)/1000,MIN(U68,AB68)/4,MIN(U68,AB68)/2),600,IF(AV68=0,1000000000,2*((H68-2*('Parametros'!$B$7+'Parametros'!$B$9/2))+(I68-2*('Parametros'!$B$7+'Parametros'!$B$9/2)))/8))/10,0)*10</f>
        <v>80</v>
      </c>
      <c r="AR68" s="10">
        <f>'Parametros'!$B$6*(AJ68+MAX(BE68-BD68,0)*'Parametros'!$B$4*MIN(U68,AB68)/1000)</f>
        <v>422.17446061697</v>
      </c>
      <c r="AS68" s="10" t="str">
        <f>IF(AND(ISERROR(SEARCH("referencia",AN68)),AM68="CUMPLE",AR68&gt;=AI68),"CUMPLE","NO CUMPLE")</f>
        <v>CUMPLE</v>
      </c>
      <c r="AT68" s="10">
        <f>'Parametros'!$B$6*0.083*SQRT('Parametros'!$B$2)*(H68*I68)^2/(2*(H68+I68))/1000000</f>
        <v>10.0887830333379</v>
      </c>
      <c r="AU68" s="10" t="str">
        <f>IF(Q68&lt;=AT68,"DESPRECIABLE","DISEÑAR")</f>
        <v>DESPRECIABLE</v>
      </c>
      <c r="AV68" s="10">
        <f>IF(Q68&lt;=AT68,0,Q68*1000000/('Parametros'!$B$6*2*0.85*(H68-2*('Parametros'!$B$7+'Parametros'!$B$9/2))*(I68-2*('Parametros'!$B$7+'Parametros'!$B$9/2))*'Parametros'!$B$4))</f>
        <v>0</v>
      </c>
      <c r="AW68" s="10">
        <f>AV68*2*((H68-2*('Parametros'!$B$7+'Parametros'!$B$9/2))+(I68-2*('Parametros'!$B$7+'Parametros'!$B$9/2)))*'Parametros'!$B$4/'Parametros'!$B$3</f>
        <v>0</v>
      </c>
      <c r="AX68" s="31" t="n">
        <v>0</v>
      </c>
      <c r="AY68" s="10" t="str">
        <f>IF(AV68=0,"DESPRECIABLE",IF(AND(ISERROR(SEARCH("referencia",AN68)),BB68/AP68&gt;=AV68,BI68&gt;=AW68,BH68="CUMPLE"),"CUMPLE","NO CUMPLE"))</f>
        <v>DESPRECIABLE</v>
      </c>
      <c r="AZ68" s="10" t="str">
        <f>IF(AND(X68="CUMPLE",AE68="CUMPLE",AS68="CUMPLE",OR(AY68="CUMPLE",AY68="DESPRECIABLE"),BH68="CUMPLE",BJ68="CUMPLE"),"CUMPLE","NO CUMPLE")</f>
        <v>CUMPLE</v>
      </c>
      <c r="BA68" s="32" t="n">
        <v>9.5</v>
      </c>
      <c r="BB68" s="32" t="n">
        <v>71</v>
      </c>
      <c r="BC68" s="10">
        <f>MAX(IF(AK68=0,0,AK68*1000/('Parametros'!$B$4*MIN(U68,AB68))),MAX(0.062*SQRT('Parametros'!$B$2)*H68/'Parametros'!$B$4,0.35*H68/'Parametros'!$B$4))</f>
        <v>1.60690230891338</v>
      </c>
      <c r="BD68" s="10">
        <f>2*AV68</f>
        <v>0</v>
      </c>
      <c r="BE68" s="10">
        <f>AO68*BB68/AP68</f>
        <v>1.775</v>
      </c>
      <c r="BF68" s="10">
        <f>SQRT((AI68*1000/(H68*MIN(U68,AB68)))^2+(Q68*1000000*2*((H68-2*('Parametros'!$B$7+'Parametros'!$B$9/2))+(I68-2*('Parametros'!$B$7+'Parametros'!$B$9/2)))/(1.7*((H68-2*('Parametros'!$B$7+'Parametros'!$B$9/2))*(I68-2*('Parametros'!$B$7+'Parametros'!$B$9/2)))^2))^2)</f>
        <v>1.80228087823237</v>
      </c>
      <c r="BG68" s="10">
        <f>'Parametros'!$B$6*(AJ68*1000/(H68*MIN(U68,AB68))+0.66*SQRT('Parametros'!$B$2))</f>
        <v>3.29396038227542</v>
      </c>
      <c r="BH68" s="10" t="str">
        <f>IF(BF68&lt;=BG68,"CUMPLE","NO CUMPLE")</f>
        <v>CUMPLE</v>
      </c>
      <c r="BI68" s="10">
        <f>AX68*'Parametros'!$B$8</f>
        <v>0</v>
      </c>
      <c r="BJ68" s="10" t="str">
        <f>IF(BI68&gt;=AW68,"CUMPLE","NO CUMPLE")</f>
        <v>CUMPLE</v>
      </c>
    </row>
    <row r="69">
      <c r="A69" s="17" t="inlineStr">
        <is>
          <t>VC3</t>
        </is>
      </c>
      <c r="B69" s="17" t="inlineStr">
        <is>
          <t>90</t>
        </is>
      </c>
      <c r="C69" s="10" t="n">
        <v>1</v>
      </c>
      <c r="D69" s="10" t="n">
        <v>3.21477</v>
      </c>
      <c r="E69" s="10" t="n">
        <v>3.21477</v>
      </c>
      <c r="F69" s="10" t="n">
        <v>450</v>
      </c>
      <c r="G69" s="10" t="n">
        <v>550</v>
      </c>
      <c r="H69" s="17" t="n">
        <v>450</v>
      </c>
      <c r="I69" s="17" t="n">
        <v>550</v>
      </c>
      <c r="J69" s="30" t="n">
        <v>168.0565</v>
      </c>
      <c r="K69" s="10" t="inlineStr">
        <is>
          <t>90</t>
        </is>
      </c>
      <c r="L69" s="30" t="n">
        <v>140.2447</v>
      </c>
      <c r="M69" s="10" t="inlineStr">
        <is>
          <t>90</t>
        </is>
      </c>
      <c r="N69" s="30" t="n">
        <v>99.91800000000001</v>
      </c>
      <c r="O69" s="30" t="n">
        <v>399.863</v>
      </c>
      <c r="P69" s="10" t="inlineStr">
        <is>
          <t>90</t>
        </is>
      </c>
      <c r="Q69" s="30" t="n">
        <v>17.0655</v>
      </c>
      <c r="R69" s="10">
        <f>MAX(MAX(1.4/'Parametros'!$B$3,0.25*SQRT('Parametros'!$B$2)/'Parametros'!$B$3)*H69*U69,(0.85*'Parametros'!$B$2/'Parametros'!$B$3)*(1-SQRT(1-2*(J69*1000000/('Parametros'!$B$5*H69*U69^2))/(0.85*'Parametros'!$B$2)))*H69*U69)</f>
        <v>944.266998737606</v>
      </c>
      <c r="S69" s="31" t="n">
        <v>5</v>
      </c>
      <c r="T69" s="32" t="n">
        <v>1</v>
      </c>
      <c r="U69" s="10">
        <f>IF(T69=1,I69-('Parametros'!$B$7+'Parametros'!$B$9+'Parametros'!$B$12/2),I69-(ROUNDUP(S69/2,0)*('Parametros'!$B$7+'Parametros'!$B$9+'Parametros'!$B$12/2)+ROUNDDOWN(S69/2,0)*('Parametros'!$B$7+'Parametros'!$B$9+'Parametros'!$B$12/2+'Parametros'!$B$12+'Parametros'!$B$10))/S69)</f>
        <v>489.35</v>
      </c>
      <c r="V69" s="10">
        <f>S69*'Parametros'!$B$8</f>
        <v>995</v>
      </c>
      <c r="W69" s="10">
        <f>'Parametros'!$B$5*V69*'Parametros'!$B$3*(U69-(V69*'Parametros'!$B$3/(0.85*'Parametros'!$B$2*H69))/2)/1000000</f>
        <v>176.711596147059</v>
      </c>
      <c r="X69" s="10" t="str">
        <f>IF(W69&gt;=J69,"CUMPLE","NO CUMPLE")</f>
        <v>CUMPLE</v>
      </c>
      <c r="Y69" s="10">
        <f>MAX(MAX(1.4/'Parametros'!$B$3,0.25*SQRT('Parametros'!$B$2)/'Parametros'!$B$3)*H69*AB69,(0.85*'Parametros'!$B$2/'Parametros'!$B$3)*(1-SQRT(1-2*(L69*1000000/('Parametros'!$B$5*H69*AB69^2))/(0.85*'Parametros'!$B$2)))*H69*AB69)</f>
        <v>782.734062207097</v>
      </c>
      <c r="Z69" s="31" t="n">
        <v>4</v>
      </c>
      <c r="AA69" s="32" t="n">
        <v>1</v>
      </c>
      <c r="AB69" s="10">
        <f>IF(AA69=1,I69-('Parametros'!$B$7+'Parametros'!$B$9+'Parametros'!$B$12/2),I69-(ROUNDUP(Z69/2,0)*('Parametros'!$B$7+'Parametros'!$B$9+'Parametros'!$B$12/2)+ROUNDDOWN(Z69/2,0)*('Parametros'!$B$7+'Parametros'!$B$9+'Parametros'!$B$12/2+'Parametros'!$B$12+'Parametros'!$B$10))/Z69)</f>
        <v>489.35</v>
      </c>
      <c r="AC69" s="10">
        <f>Z69*'Parametros'!$B$8</f>
        <v>796</v>
      </c>
      <c r="AD69" s="10">
        <f>'Parametros'!$B$5*AC69*'Parametros'!$B$3*(AB69-(AC69*'Parametros'!$B$3/(0.85*'Parametros'!$B$2*H69))/2)/1000000</f>
        <v>142.543330094118</v>
      </c>
      <c r="AE69" s="10" t="str">
        <f>IF(AD69&gt;=L69,"CUMPLE","NO CUMPLE")</f>
        <v>CUMPLE</v>
      </c>
      <c r="AF69" s="10">
        <f>V69*1.25*'Parametros'!$B$3*(U69-(V69*1.25*'Parametros'!$B$3/(0.85*'Parametros'!$B$2*H69))/2)/1000000</f>
        <v>242.884913970588</v>
      </c>
      <c r="AG69" s="10">
        <f>AC69*1.25*'Parametros'!$B$3*(AB69-(AC69*1.25*'Parametros'!$B$3/(0.85*'Parametros'!$B$2*H69))/2)/1000000</f>
        <v>196.346217941176</v>
      </c>
      <c r="AH69" s="10">
        <f>N69+(AF69+AG69)/D69</f>
        <v>236.547100032589</v>
      </c>
      <c r="AI69" s="10">
        <f>MAX(O69,AH69)</f>
        <v>399.863</v>
      </c>
      <c r="AJ69" s="10">
        <f>0.17*SQRT('Parametros'!$B$2)*H69*MIN(U69,AB69)/1000</f>
        <v>198.088855822627</v>
      </c>
      <c r="AK69" s="10">
        <f>MAX(AI69/'Parametros'!$B$6-AJ69,0)</f>
        <v>335.06181084404</v>
      </c>
      <c r="AL69" s="10">
        <f>0.66*SQRT('Parametros'!$B$2)*H69*MIN(U69,AB69)/1000</f>
        <v>769.050852017258</v>
      </c>
      <c r="AM69" s="10" t="str">
        <f>IF(AK69&lt;=AL69,"CUMPLE","NO CUMPLE")</f>
        <v>CUMPLE</v>
      </c>
      <c r="AN69" s="17" t="inlineStr">
        <is>
          <t>Nº4 cerrado</t>
        </is>
      </c>
      <c r="AO69" s="31" t="n">
        <v>2</v>
      </c>
      <c r="AP69" s="10">
        <f>ROUNDDOWN(MIN(IF(BC69+BD69=0,1000000000,AO69*BB69/(BC69+BD69)),MIN(U69,AB69)/4,8*'Parametros'!$B$12,24*BA69,300,IF(AV69=0,1000000000,2*((H69-2*('Parametros'!$B$7+'Parametros'!$B$9/2))+(I69-2*('Parametros'!$B$7+'Parametros'!$B$9/2)))/8))/10,0)*10</f>
        <v>120</v>
      </c>
      <c r="AQ69" s="10">
        <f>ROUNDDOWN(MIN(IF(BC69+BD69=0,1000000000,AO69*BB69/(BC69+BD69)),IF(AK69&gt;0.33*SQRT('Parametros'!$B$2)*H69*MIN(U69,AB69)/1000,MIN(U69,AB69)/4,MIN(U69,AB69)/2),600,IF(AV69=0,1000000000,2*((H69-2*('Parametros'!$B$7+'Parametros'!$B$9/2))+(I69-2*('Parametros'!$B$7+'Parametros'!$B$9/2)))/8))/10,0)*10</f>
        <v>120</v>
      </c>
      <c r="AR69" s="10">
        <f>'Parametros'!$B$6*(AJ69+MAX(BE69-BD69,0)*'Parametros'!$B$4*MIN(U69,AB69)/1000)</f>
        <v>419.84972372276</v>
      </c>
      <c r="AS69" s="10" t="str">
        <f>IF(AND(ISERROR(SEARCH("referencia",AN69)),AM69="CUMPLE",AR69&gt;=AI69),"CUMPLE","NO CUMPLE")</f>
        <v>CUMPLE</v>
      </c>
      <c r="AT69" s="10">
        <f>'Parametros'!$B$6*0.083*SQRT('Parametros'!$B$2)*(H69*I69)^2/(2*(H69+I69))/1000000</f>
        <v>10.0887830333379</v>
      </c>
      <c r="AU69" s="10" t="str">
        <f>IF(Q69&lt;=AT69,"DESPRECIABLE","DISEÑAR")</f>
        <v>DISEÑAR</v>
      </c>
      <c r="AV69" s="10">
        <f>IF(Q69&lt;=AT69,0,Q69*1000000/('Parametros'!$B$6*2*0.85*(H69-2*('Parametros'!$B$7+'Parametros'!$B$9/2))*(I69-2*('Parametros'!$B$7+'Parametros'!$B$9/2))*'Parametros'!$B$4))</f>
        <v>0.195040734775189</v>
      </c>
      <c r="AW69" s="10">
        <f>AV69*2*((H69-2*('Parametros'!$B$7+'Parametros'!$B$9/2))+(I69-2*('Parametros'!$B$7+'Parametros'!$B$9/2)))*'Parametros'!$B$4/'Parametros'!$B$3</f>
        <v>317.760365095738</v>
      </c>
      <c r="AX69" s="31" t="n">
        <v>8</v>
      </c>
      <c r="AY69" s="10" t="str">
        <f>IF(AV69=0,"DESPRECIABLE",IF(AND(ISERROR(SEARCH("referencia",AN69)),BB69/AP69&gt;=AV69,BI69&gt;=AW69,BH69="CUMPLE"),"CUMPLE","NO CUMPLE"))</f>
        <v>CUMPLE</v>
      </c>
      <c r="AZ69" s="10" t="str">
        <f>IF(AND(X69="CUMPLE",AE69="CUMPLE",AS69="CUMPLE",OR(AY69="CUMPLE",AY69="DESPRECIABLE"),BH69="CUMPLE",BJ69="CUMPLE"),"CUMPLE","NO CUMPLE")</f>
        <v>CUMPLE</v>
      </c>
      <c r="BA69" s="32" t="n">
        <v>12.7</v>
      </c>
      <c r="BB69" s="32" t="n">
        <v>129</v>
      </c>
      <c r="BC69" s="10">
        <f>MAX(IF(AK69=0,0,AK69*1000/('Parametros'!$B$4*MIN(U69,AB69))),MAX(0.062*SQRT('Parametros'!$B$2)*H69/'Parametros'!$B$4,0.35*H69/'Parametros'!$B$4))</f>
        <v>1.63025690465992</v>
      </c>
      <c r="BD69" s="10">
        <f>2*AV69</f>
        <v>0.390081469550378</v>
      </c>
      <c r="BE69" s="10">
        <f>AO69*BB69/AP69</f>
        <v>2.15</v>
      </c>
      <c r="BF69" s="10">
        <f>SQRT((AI69*1000/(H69*MIN(U69,AB69)))^2+(Q69*1000000*2*((H69-2*('Parametros'!$B$7+'Parametros'!$B$9/2))+(I69-2*('Parametros'!$B$7+'Parametros'!$B$9/2)))/(1.7*((H69-2*('Parametros'!$B$7+'Parametros'!$B$9/2))*(I69-2*('Parametros'!$B$7+'Parametros'!$B$9/2)))^2))^2)</f>
        <v>1.91639645277631</v>
      </c>
      <c r="BG69" s="10">
        <f>'Parametros'!$B$6*(AJ69*1000/(H69*MIN(U69,AB69))+0.66*SQRT('Parametros'!$B$2))</f>
        <v>3.29396038227542</v>
      </c>
      <c r="BH69" s="10" t="str">
        <f>IF(BF69&lt;=BG69,"CUMPLE","NO CUMPLE")</f>
        <v>CUMPLE</v>
      </c>
      <c r="BI69" s="10">
        <f>AX69*'Parametros'!$B$8</f>
        <v>1592</v>
      </c>
      <c r="BJ69" s="10" t="str">
        <f>IF(BI69&gt;=AW69,"CUMPLE","NO CUMPLE")</f>
        <v>CUMPLE</v>
      </c>
    </row>
    <row r="70">
      <c r="A70" s="17" t="inlineStr">
        <is>
          <t>VC3</t>
        </is>
      </c>
      <c r="B70" s="17" t="inlineStr">
        <is>
          <t>91</t>
        </is>
      </c>
      <c r="C70" s="10" t="n">
        <v>1</v>
      </c>
      <c r="D70" s="10" t="n">
        <v>3.21477</v>
      </c>
      <c r="E70" s="10" t="n">
        <v>3.21477</v>
      </c>
      <c r="F70" s="10" t="n">
        <v>450</v>
      </c>
      <c r="G70" s="10" t="n">
        <v>550</v>
      </c>
      <c r="H70" s="17" t="n">
        <v>450</v>
      </c>
      <c r="I70" s="17" t="n">
        <v>550</v>
      </c>
      <c r="J70" s="30" t="n">
        <v>168.1189</v>
      </c>
      <c r="K70" s="10" t="inlineStr">
        <is>
          <t>91</t>
        </is>
      </c>
      <c r="L70" s="30" t="n">
        <v>140.2057</v>
      </c>
      <c r="M70" s="10" t="inlineStr">
        <is>
          <t>91</t>
        </is>
      </c>
      <c r="N70" s="30" t="n">
        <v>99.89100000000001</v>
      </c>
      <c r="O70" s="30" t="n">
        <v>399.889</v>
      </c>
      <c r="P70" s="10" t="inlineStr">
        <is>
          <t>91</t>
        </is>
      </c>
      <c r="Q70" s="30" t="n">
        <v>17.0426</v>
      </c>
      <c r="R70" s="10">
        <f>MAX(MAX(1.4/'Parametros'!$B$3,0.25*SQRT('Parametros'!$B$2)/'Parametros'!$B$3)*H70*U70,(0.85*'Parametros'!$B$2/'Parametros'!$B$3)*(1-SQRT(1-2*(J70*1000000/('Parametros'!$B$5*H70*U70^2))/(0.85*'Parametros'!$B$2)))*H70*U70)</f>
        <v>944.631966029507</v>
      </c>
      <c r="S70" s="31" t="n">
        <v>5</v>
      </c>
      <c r="T70" s="32" t="n">
        <v>1</v>
      </c>
      <c r="U70" s="10">
        <f>IF(T70=1,I70-('Parametros'!$B$7+'Parametros'!$B$9+'Parametros'!$B$12/2),I70-(ROUNDUP(S70/2,0)*('Parametros'!$B$7+'Parametros'!$B$9+'Parametros'!$B$12/2)+ROUNDDOWN(S70/2,0)*('Parametros'!$B$7+'Parametros'!$B$9+'Parametros'!$B$12/2+'Parametros'!$B$12+'Parametros'!$B$10))/S70)</f>
        <v>489.35</v>
      </c>
      <c r="V70" s="10">
        <f>S70*'Parametros'!$B$8</f>
        <v>995</v>
      </c>
      <c r="W70" s="10">
        <f>'Parametros'!$B$5*V70*'Parametros'!$B$3*(U70-(V70*'Parametros'!$B$3/(0.85*'Parametros'!$B$2*H70))/2)/1000000</f>
        <v>176.711596147059</v>
      </c>
      <c r="X70" s="10" t="str">
        <f>IF(W70&gt;=J70,"CUMPLE","NO CUMPLE")</f>
        <v>CUMPLE</v>
      </c>
      <c r="Y70" s="10">
        <f>MAX(MAX(1.4/'Parametros'!$B$3,0.25*SQRT('Parametros'!$B$2)/'Parametros'!$B$3)*H70*AB70,(0.85*'Parametros'!$B$2/'Parametros'!$B$3)*(1-SQRT(1-2*(L70*1000000/('Parametros'!$B$5*H70*AB70^2))/(0.85*'Parametros'!$B$2)))*H70*AB70)</f>
        <v>782.509113797118</v>
      </c>
      <c r="Z70" s="31" t="n">
        <v>4</v>
      </c>
      <c r="AA70" s="32" t="n">
        <v>1</v>
      </c>
      <c r="AB70" s="10">
        <f>IF(AA70=1,I70-('Parametros'!$B$7+'Parametros'!$B$9+'Parametros'!$B$12/2),I70-(ROUNDUP(Z70/2,0)*('Parametros'!$B$7+'Parametros'!$B$9+'Parametros'!$B$12/2)+ROUNDDOWN(Z70/2,0)*('Parametros'!$B$7+'Parametros'!$B$9+'Parametros'!$B$12/2+'Parametros'!$B$12+'Parametros'!$B$10))/Z70)</f>
        <v>489.35</v>
      </c>
      <c r="AC70" s="10">
        <f>Z70*'Parametros'!$B$8</f>
        <v>796</v>
      </c>
      <c r="AD70" s="10">
        <f>'Parametros'!$B$5*AC70*'Parametros'!$B$3*(AB70-(AC70*'Parametros'!$B$3/(0.85*'Parametros'!$B$2*H70))/2)/1000000</f>
        <v>142.543330094118</v>
      </c>
      <c r="AE70" s="10" t="str">
        <f>IF(AD70&gt;=L70,"CUMPLE","NO CUMPLE")</f>
        <v>CUMPLE</v>
      </c>
      <c r="AF70" s="10">
        <f>V70*1.25*'Parametros'!$B$3*(U70-(V70*1.25*'Parametros'!$B$3/(0.85*'Parametros'!$B$2*H70))/2)/1000000</f>
        <v>242.884913970588</v>
      </c>
      <c r="AG70" s="10">
        <f>AC70*1.25*'Parametros'!$B$3*(AB70-(AC70*1.25*'Parametros'!$B$3/(0.85*'Parametros'!$B$2*H70))/2)/1000000</f>
        <v>196.346217941176</v>
      </c>
      <c r="AH70" s="10">
        <f>N70+(AF70+AG70)/D70</f>
        <v>236.520100032589</v>
      </c>
      <c r="AI70" s="10">
        <f>MAX(O70,AH70)</f>
        <v>399.889</v>
      </c>
      <c r="AJ70" s="10">
        <f>0.17*SQRT('Parametros'!$B$2)*H70*MIN(U70,AB70)/1000</f>
        <v>198.088855822627</v>
      </c>
      <c r="AK70" s="10">
        <f>MAX(AI70/'Parametros'!$B$6-AJ70,0)</f>
        <v>335.096477510706</v>
      </c>
      <c r="AL70" s="10">
        <f>0.66*SQRT('Parametros'!$B$2)*H70*MIN(U70,AB70)/1000</f>
        <v>769.050852017258</v>
      </c>
      <c r="AM70" s="10" t="str">
        <f>IF(AK70&lt;=AL70,"CUMPLE","NO CUMPLE")</f>
        <v>CUMPLE</v>
      </c>
      <c r="AN70" s="17" t="inlineStr">
        <is>
          <t>Nº4 cerrado</t>
        </is>
      </c>
      <c r="AO70" s="31" t="n">
        <v>2</v>
      </c>
      <c r="AP70" s="10">
        <f>ROUNDDOWN(MIN(IF(BC70+BD70=0,1000000000,AO70*BB70/(BC70+BD70)),MIN(U70,AB70)/4,8*'Parametros'!$B$12,24*BA70,300,IF(AV70=0,1000000000,2*((H70-2*('Parametros'!$B$7+'Parametros'!$B$9/2))+(I70-2*('Parametros'!$B$7+'Parametros'!$B$9/2)))/8))/10,0)*10</f>
        <v>120</v>
      </c>
      <c r="AQ70" s="10">
        <f>ROUNDDOWN(MIN(IF(BC70+BD70=0,1000000000,AO70*BB70/(BC70+BD70)),IF(AK70&gt;0.33*SQRT('Parametros'!$B$2)*H70*MIN(U70,AB70)/1000,MIN(U70,AB70)/4,MIN(U70,AB70)/2),600,IF(AV70=0,1000000000,2*((H70-2*('Parametros'!$B$7+'Parametros'!$B$9/2))+(I70-2*('Parametros'!$B$7+'Parametros'!$B$9/2)))/8))/10,0)*10</f>
        <v>120</v>
      </c>
      <c r="AR70" s="10">
        <f>'Parametros'!$B$6*(AJ70+MAX(BE70-BD70,0)*'Parametros'!$B$4*MIN(U70,AB70)/1000)</f>
        <v>419.930410418682</v>
      </c>
      <c r="AS70" s="10" t="str">
        <f>IF(AND(ISERROR(SEARCH("referencia",AN70)),AM70="CUMPLE",AR70&gt;=AI70),"CUMPLE","NO CUMPLE")</f>
        <v>CUMPLE</v>
      </c>
      <c r="AT70" s="10">
        <f>'Parametros'!$B$6*0.083*SQRT('Parametros'!$B$2)*(H70*I70)^2/(2*(H70+I70))/1000000</f>
        <v>10.0887830333379</v>
      </c>
      <c r="AU70" s="10" t="str">
        <f>IF(Q70&lt;=AT70,"DESPRECIABLE","DISEÑAR")</f>
        <v>DISEÑAR</v>
      </c>
      <c r="AV70" s="10">
        <f>IF(Q70&lt;=AT70,0,Q70*1000000/('Parametros'!$B$6*2*0.85*(H70-2*('Parametros'!$B$7+'Parametros'!$B$9/2))*(I70-2*('Parametros'!$B$7+'Parametros'!$B$9/2))*'Parametros'!$B$4))</f>
        <v>0.194779011835554</v>
      </c>
      <c r="AW70" s="10">
        <f>AV70*2*((H70-2*('Parametros'!$B$7+'Parametros'!$B$9/2))+(I70-2*('Parametros'!$B$7+'Parametros'!$B$9/2)))*'Parametros'!$B$4/'Parametros'!$B$3</f>
        <v>317.333966082484</v>
      </c>
      <c r="AX70" s="31" t="n">
        <v>8</v>
      </c>
      <c r="AY70" s="10" t="str">
        <f>IF(AV70=0,"DESPRECIABLE",IF(AND(ISERROR(SEARCH("referencia",AN70)),BB70/AP70&gt;=AV70,BI70&gt;=AW70,BH70="CUMPLE"),"CUMPLE","NO CUMPLE"))</f>
        <v>CUMPLE</v>
      </c>
      <c r="AZ70" s="10" t="str">
        <f>IF(AND(X70="CUMPLE",AE70="CUMPLE",AS70="CUMPLE",OR(AY70="CUMPLE",AY70="DESPRECIABLE"),BH70="CUMPLE",BJ70="CUMPLE"),"CUMPLE","NO CUMPLE")</f>
        <v>CUMPLE</v>
      </c>
      <c r="BA70" s="32" t="n">
        <v>12.7</v>
      </c>
      <c r="BB70" s="32" t="n">
        <v>129</v>
      </c>
      <c r="BC70" s="10">
        <f>MAX(IF(AK70=0,0,AK70*1000/('Parametros'!$B$4*MIN(U70,AB70))),MAX(0.062*SQRT('Parametros'!$B$2)*H70/'Parametros'!$B$4,0.35*H70/'Parametros'!$B$4))</f>
        <v>1.63042557674031</v>
      </c>
      <c r="BD70" s="10">
        <f>2*AV70</f>
        <v>0.389558023671107</v>
      </c>
      <c r="BE70" s="10">
        <f>AO70*BB70/AP70</f>
        <v>2.15</v>
      </c>
      <c r="BF70" s="10">
        <f>SQRT((AI70*1000/(H70*MIN(U70,AB70)))^2+(Q70*1000000*2*((H70-2*('Parametros'!$B$7+'Parametros'!$B$9/2))+(I70-2*('Parametros'!$B$7+'Parametros'!$B$9/2)))/(1.7*((H70-2*('Parametros'!$B$7+'Parametros'!$B$9/2))*(I70-2*('Parametros'!$B$7+'Parametros'!$B$9/2)))^2))^2)</f>
        <v>1.91624572778765</v>
      </c>
      <c r="BG70" s="10">
        <f>'Parametros'!$B$6*(AJ70*1000/(H70*MIN(U70,AB70))+0.66*SQRT('Parametros'!$B$2))</f>
        <v>3.29396038227542</v>
      </c>
      <c r="BH70" s="10" t="str">
        <f>IF(BF70&lt;=BG70,"CUMPLE","NO CUMPLE")</f>
        <v>CUMPLE</v>
      </c>
      <c r="BI70" s="10">
        <f>AX70*'Parametros'!$B$8</f>
        <v>1592</v>
      </c>
      <c r="BJ70" s="10" t="str">
        <f>IF(BI70&gt;=AW70,"CUMPLE","NO CUMPLE")</f>
        <v>CUMPLE</v>
      </c>
    </row>
    <row r="71">
      <c r="A71" s="17" t="inlineStr">
        <is>
          <t>VC3</t>
        </is>
      </c>
      <c r="B71" s="17" t="inlineStr">
        <is>
          <t>92</t>
        </is>
      </c>
      <c r="C71" s="10" t="n">
        <v>1</v>
      </c>
      <c r="D71" s="10" t="n">
        <v>3.4</v>
      </c>
      <c r="E71" s="10" t="n">
        <v>3.4</v>
      </c>
      <c r="F71" s="10" t="n">
        <v>450</v>
      </c>
      <c r="G71" s="10" t="n">
        <v>550</v>
      </c>
      <c r="H71" s="17" t="n">
        <v>450</v>
      </c>
      <c r="I71" s="17" t="n">
        <v>550</v>
      </c>
      <c r="J71" s="30" t="n">
        <v>174.3992</v>
      </c>
      <c r="K71" s="10" t="inlineStr">
        <is>
          <t>92</t>
        </is>
      </c>
      <c r="L71" s="30" t="n">
        <v>154.8938</v>
      </c>
      <c r="M71" s="10" t="inlineStr">
        <is>
          <t>92</t>
        </is>
      </c>
      <c r="N71" s="30" t="n">
        <v>90.877</v>
      </c>
      <c r="O71" s="30" t="n">
        <v>396.254</v>
      </c>
      <c r="P71" s="10" t="inlineStr">
        <is>
          <t>92</t>
        </is>
      </c>
      <c r="Q71" s="30" t="n">
        <v>2.7904</v>
      </c>
      <c r="R71" s="10">
        <f>MAX(MAX(1.4/'Parametros'!$B$3,0.25*SQRT('Parametros'!$B$2)/'Parametros'!$B$3)*H71*U71,(0.85*'Parametros'!$B$2/'Parametros'!$B$3)*(1-SQRT(1-2*(J71*1000000/('Parametros'!$B$5*H71*U71^2))/(0.85*'Parametros'!$B$2)))*H71*U71)</f>
        <v>981.423665435661</v>
      </c>
      <c r="S71" s="31" t="n">
        <v>5</v>
      </c>
      <c r="T71" s="32" t="n">
        <v>1</v>
      </c>
      <c r="U71" s="10">
        <f>IF(T71=1,I71-('Parametros'!$B$7+'Parametros'!$B$9+'Parametros'!$B$12/2),I71-(ROUNDUP(S71/2,0)*('Parametros'!$B$7+'Parametros'!$B$9+'Parametros'!$B$12/2)+ROUNDDOWN(S71/2,0)*('Parametros'!$B$7+'Parametros'!$B$9+'Parametros'!$B$12/2+'Parametros'!$B$12+'Parametros'!$B$10))/S71)</f>
        <v>489.35</v>
      </c>
      <c r="V71" s="10">
        <f>S71*'Parametros'!$B$8</f>
        <v>995</v>
      </c>
      <c r="W71" s="10">
        <f>'Parametros'!$B$5*V71*'Parametros'!$B$3*(U71-(V71*'Parametros'!$B$3/(0.85*'Parametros'!$B$2*H71))/2)/1000000</f>
        <v>176.711596147059</v>
      </c>
      <c r="X71" s="10" t="str">
        <f>IF(W71&gt;=J71,"CUMPLE","NO CUMPLE")</f>
        <v>CUMPLE</v>
      </c>
      <c r="Y71" s="10">
        <f>MAX(MAX(1.4/'Parametros'!$B$3,0.25*SQRT('Parametros'!$B$2)/'Parametros'!$B$3)*H71*AB71,(0.85*'Parametros'!$B$2/'Parametros'!$B$3)*(1-SQRT(1-2*(L71*1000000/('Parametros'!$B$5*H71*AB71^2))/(0.85*'Parametros'!$B$2)))*H71*AB71)</f>
        <v>867.536978864184</v>
      </c>
      <c r="Z71" s="31" t="n">
        <v>5</v>
      </c>
      <c r="AA71" s="32" t="n">
        <v>1</v>
      </c>
      <c r="AB71" s="10">
        <f>IF(AA71=1,I71-('Parametros'!$B$7+'Parametros'!$B$9+'Parametros'!$B$12/2),I71-(ROUNDUP(Z71/2,0)*('Parametros'!$B$7+'Parametros'!$B$9+'Parametros'!$B$12/2)+ROUNDDOWN(Z71/2,0)*('Parametros'!$B$7+'Parametros'!$B$9+'Parametros'!$B$12/2+'Parametros'!$B$12+'Parametros'!$B$10))/Z71)</f>
        <v>489.35</v>
      </c>
      <c r="AC71" s="10">
        <f>Z71*'Parametros'!$B$8</f>
        <v>995</v>
      </c>
      <c r="AD71" s="10">
        <f>'Parametros'!$B$5*AC71*'Parametros'!$B$3*(AB71-(AC71*'Parametros'!$B$3/(0.85*'Parametros'!$B$2*H71))/2)/1000000</f>
        <v>176.711596147059</v>
      </c>
      <c r="AE71" s="10" t="str">
        <f>IF(AD71&gt;=L71,"CUMPLE","NO CUMPLE")</f>
        <v>CUMPLE</v>
      </c>
      <c r="AF71" s="10">
        <f>V71*1.25*'Parametros'!$B$3*(U71-(V71*1.25*'Parametros'!$B$3/(0.85*'Parametros'!$B$2*H71))/2)/1000000</f>
        <v>242.884913970588</v>
      </c>
      <c r="AG71" s="10">
        <f>AC71*1.25*'Parametros'!$B$3*(AB71-(AC71*1.25*'Parametros'!$B$3/(0.85*'Parametros'!$B$2*H71))/2)/1000000</f>
        <v>242.884913970588</v>
      </c>
      <c r="AH71" s="10">
        <f>N71+(AF71+AG71)/D71</f>
        <v>233.750478806228</v>
      </c>
      <c r="AI71" s="10">
        <f>MAX(O71,AH71)</f>
        <v>396.254</v>
      </c>
      <c r="AJ71" s="10">
        <f>0.17*SQRT('Parametros'!$B$2)*H71*MIN(U71,AB71)/1000</f>
        <v>198.088855822627</v>
      </c>
      <c r="AK71" s="10">
        <f>MAX(AI71/'Parametros'!$B$6-AJ71,0)</f>
        <v>330.24981084404</v>
      </c>
      <c r="AL71" s="10">
        <f>0.66*SQRT('Parametros'!$B$2)*H71*MIN(U71,AB71)/1000</f>
        <v>769.050852017258</v>
      </c>
      <c r="AM71" s="10" t="str">
        <f>IF(AK71&lt;=AL71,"CUMPLE","NO CUMPLE")</f>
        <v>CUMPLE</v>
      </c>
      <c r="AN71" s="17" t="inlineStr">
        <is>
          <t>Nº3 cerrado</t>
        </is>
      </c>
      <c r="AO71" s="31" t="n">
        <v>2</v>
      </c>
      <c r="AP71" s="10">
        <f>ROUNDDOWN(MIN(IF(BC71+BD71=0,1000000000,AO71*BB71/(BC71+BD71)),MIN(U71,AB71)/4,8*'Parametros'!$B$12,24*BA71,300,IF(AV71=0,1000000000,2*((H71-2*('Parametros'!$B$7+'Parametros'!$B$9/2))+(I71-2*('Parametros'!$B$7+'Parametros'!$B$9/2)))/8))/10,0)*10</f>
        <v>80</v>
      </c>
      <c r="AQ71" s="10">
        <f>ROUNDDOWN(MIN(IF(BC71+BD71=0,1000000000,AO71*BB71/(BC71+BD71)),IF(AK71&gt;0.33*SQRT('Parametros'!$B$2)*H71*MIN(U71,AB71)/1000,MIN(U71,AB71)/4,MIN(U71,AB71)/2),600,IF(AV71=0,1000000000,2*((H71-2*('Parametros'!$B$7+'Parametros'!$B$9/2))+(I71-2*('Parametros'!$B$7+'Parametros'!$B$9/2)))/8))/10,0)*10</f>
        <v>80</v>
      </c>
      <c r="AR71" s="10">
        <f>'Parametros'!$B$6*(AJ71+MAX(BE71-BD71,0)*'Parametros'!$B$4*MIN(U71,AB71)/1000)</f>
        <v>422.17446061697</v>
      </c>
      <c r="AS71" s="10" t="str">
        <f>IF(AND(ISERROR(SEARCH("referencia",AN71)),AM71="CUMPLE",AR71&gt;=AI71),"CUMPLE","NO CUMPLE")</f>
        <v>CUMPLE</v>
      </c>
      <c r="AT71" s="10">
        <f>'Parametros'!$B$6*0.083*SQRT('Parametros'!$B$2)*(H71*I71)^2/(2*(H71+I71))/1000000</f>
        <v>10.0887830333379</v>
      </c>
      <c r="AU71" s="10" t="str">
        <f>IF(Q71&lt;=AT71,"DESPRECIABLE","DISEÑAR")</f>
        <v>DESPRECIABLE</v>
      </c>
      <c r="AV71" s="10">
        <f>IF(Q71&lt;=AT71,0,Q71*1000000/('Parametros'!$B$6*2*0.85*(H71-2*('Parametros'!$B$7+'Parametros'!$B$9/2))*(I71-2*('Parametros'!$B$7+'Parametros'!$B$9/2))*'Parametros'!$B$4))</f>
        <v>0</v>
      </c>
      <c r="AW71" s="10">
        <f>AV71*2*((H71-2*('Parametros'!$B$7+'Parametros'!$B$9/2))+(I71-2*('Parametros'!$B$7+'Parametros'!$B$9/2)))*'Parametros'!$B$4/'Parametros'!$B$3</f>
        <v>0</v>
      </c>
      <c r="AX71" s="31" t="n">
        <v>0</v>
      </c>
      <c r="AY71" s="10" t="str">
        <f>IF(AV71=0,"DESPRECIABLE",IF(AND(ISERROR(SEARCH("referencia",AN71)),BB71/AP71&gt;=AV71,BI71&gt;=AW71,BH71="CUMPLE"),"CUMPLE","NO CUMPLE"))</f>
        <v>DESPRECIABLE</v>
      </c>
      <c r="AZ71" s="10" t="str">
        <f>IF(AND(X71="CUMPLE",AE71="CUMPLE",AS71="CUMPLE",OR(AY71="CUMPLE",AY71="DESPRECIABLE"),BH71="CUMPLE",BJ71="CUMPLE"),"CUMPLE","NO CUMPLE")</f>
        <v>CUMPLE</v>
      </c>
      <c r="BA71" s="32" t="n">
        <v>9.5</v>
      </c>
      <c r="BB71" s="32" t="n">
        <v>71</v>
      </c>
      <c r="BC71" s="10">
        <f>MAX(IF(AK71=0,0,AK71*1000/('Parametros'!$B$4*MIN(U71,AB71))),MAX(0.062*SQRT('Parametros'!$B$2)*H71/'Parametros'!$B$4,0.35*H71/'Parametros'!$B$4))</f>
        <v>1.60684392242401</v>
      </c>
      <c r="BD71" s="10">
        <f>2*AV71</f>
        <v>0</v>
      </c>
      <c r="BE71" s="10">
        <f>AO71*BB71/AP71</f>
        <v>1.775</v>
      </c>
      <c r="BF71" s="10">
        <f>SQRT((AI71*1000/(H71*MIN(U71,AB71)))^2+(Q71*1000000*2*((H71-2*('Parametros'!$B$7+'Parametros'!$B$9/2))+(I71-2*('Parametros'!$B$7+'Parametros'!$B$9/2)))/(1.7*((H71-2*('Parametros'!$B$7+'Parametros'!$B$9/2))*(I71-2*('Parametros'!$B$7+'Parametros'!$B$9/2)))^2))^2)</f>
        <v>1.80224306265986</v>
      </c>
      <c r="BG71" s="10">
        <f>'Parametros'!$B$6*(AJ71*1000/(H71*MIN(U71,AB71))+0.66*SQRT('Parametros'!$B$2))</f>
        <v>3.29396038227542</v>
      </c>
      <c r="BH71" s="10" t="str">
        <f>IF(BF71&lt;=BG71,"CUMPLE","NO CUMPLE")</f>
        <v>CUMPLE</v>
      </c>
      <c r="BI71" s="10">
        <f>AX71*'Parametros'!$B$8</f>
        <v>0</v>
      </c>
      <c r="BJ71" s="10" t="str">
        <f>IF(BI71&gt;=AW71,"CUMPLE","NO CUMPLE")</f>
        <v>CUMPLE</v>
      </c>
    </row>
    <row r="72">
      <c r="A72" s="17" t="inlineStr">
        <is>
          <t>VC3</t>
        </is>
      </c>
      <c r="B72" s="17" t="inlineStr">
        <is>
          <t>257</t>
        </is>
      </c>
      <c r="C72" s="10" t="n">
        <v>1</v>
      </c>
      <c r="D72" s="10" t="n">
        <v>3.4</v>
      </c>
      <c r="E72" s="10" t="n">
        <v>3.4</v>
      </c>
      <c r="F72" s="10" t="n">
        <v>450</v>
      </c>
      <c r="G72" s="10" t="n">
        <v>550</v>
      </c>
      <c r="H72" s="17" t="n">
        <v>450</v>
      </c>
      <c r="I72" s="17" t="n">
        <v>550</v>
      </c>
      <c r="J72" s="30" t="n">
        <v>160.9359</v>
      </c>
      <c r="K72" s="10" t="inlineStr">
        <is>
          <t>257</t>
        </is>
      </c>
      <c r="L72" s="30" t="n">
        <v>133.0366</v>
      </c>
      <c r="M72" s="10" t="inlineStr">
        <is>
          <t>257</t>
        </is>
      </c>
      <c r="N72" s="30" t="n">
        <v>85.18000000000001</v>
      </c>
      <c r="O72" s="30" t="n">
        <v>358.942</v>
      </c>
      <c r="P72" s="10" t="inlineStr">
        <is>
          <t>257</t>
        </is>
      </c>
      <c r="Q72" s="30" t="n">
        <v>1.6247</v>
      </c>
      <c r="R72" s="10">
        <f>MAX(MAX(1.4/'Parametros'!$B$3,0.25*SQRT('Parametros'!$B$2)/'Parametros'!$B$3)*H72*U72,(0.85*'Parametros'!$B$2/'Parametros'!$B$3)*(1-SQRT(1-2*(J72*1000000/('Parametros'!$B$5*H72*U72^2))/(0.85*'Parametros'!$B$2)))*H72*U72)</f>
        <v>902.695361178039</v>
      </c>
      <c r="S72" s="31" t="n">
        <v>5</v>
      </c>
      <c r="T72" s="32" t="n">
        <v>1</v>
      </c>
      <c r="U72" s="10">
        <f>IF(T72=1,I72-('Parametros'!$B$7+'Parametros'!$B$9+'Parametros'!$B$12/2),I72-(ROUNDUP(S72/2,0)*('Parametros'!$B$7+'Parametros'!$B$9+'Parametros'!$B$12/2)+ROUNDDOWN(S72/2,0)*('Parametros'!$B$7+'Parametros'!$B$9+'Parametros'!$B$12/2+'Parametros'!$B$12+'Parametros'!$B$10))/S72)</f>
        <v>489.35</v>
      </c>
      <c r="V72" s="10">
        <f>S72*'Parametros'!$B$8</f>
        <v>995</v>
      </c>
      <c r="W72" s="10">
        <f>'Parametros'!$B$5*V72*'Parametros'!$B$3*(U72-(V72*'Parametros'!$B$3/(0.85*'Parametros'!$B$2*H72))/2)/1000000</f>
        <v>176.711596147059</v>
      </c>
      <c r="X72" s="10" t="str">
        <f>IF(W72&gt;=J72,"CUMPLE","NO CUMPLE")</f>
        <v>CUMPLE</v>
      </c>
      <c r="Y72" s="10">
        <f>MAX(MAX(1.4/'Parametros'!$B$3,0.25*SQRT('Parametros'!$B$2)/'Parametros'!$B$3)*H72*AB72,(0.85*'Parametros'!$B$2/'Parametros'!$B$3)*(1-SQRT(1-2*(L72*1000000/('Parametros'!$B$5*H72*AB72^2))/(0.85*'Parametros'!$B$2)))*H72*AB72)</f>
        <v>741.231641239037</v>
      </c>
      <c r="Z72" s="31" t="n">
        <v>4</v>
      </c>
      <c r="AA72" s="32" t="n">
        <v>1</v>
      </c>
      <c r="AB72" s="10">
        <f>IF(AA72=1,I72-('Parametros'!$B$7+'Parametros'!$B$9+'Parametros'!$B$12/2),I72-(ROUNDUP(Z72/2,0)*('Parametros'!$B$7+'Parametros'!$B$9+'Parametros'!$B$12/2)+ROUNDDOWN(Z72/2,0)*('Parametros'!$B$7+'Parametros'!$B$9+'Parametros'!$B$12/2+'Parametros'!$B$12+'Parametros'!$B$10))/Z72)</f>
        <v>489.35</v>
      </c>
      <c r="AC72" s="10">
        <f>Z72*'Parametros'!$B$8</f>
        <v>796</v>
      </c>
      <c r="AD72" s="10">
        <f>'Parametros'!$B$5*AC72*'Parametros'!$B$3*(AB72-(AC72*'Parametros'!$B$3/(0.85*'Parametros'!$B$2*H72))/2)/1000000</f>
        <v>142.543330094118</v>
      </c>
      <c r="AE72" s="10" t="str">
        <f>IF(AD72&gt;=L72,"CUMPLE","NO CUMPLE")</f>
        <v>CUMPLE</v>
      </c>
      <c r="AF72" s="10">
        <f>V72*1.25*'Parametros'!$B$3*(U72-(V72*1.25*'Parametros'!$B$3/(0.85*'Parametros'!$B$2*H72))/2)/1000000</f>
        <v>242.884913970588</v>
      </c>
      <c r="AG72" s="10">
        <f>AC72*1.25*'Parametros'!$B$3*(AB72-(AC72*1.25*'Parametros'!$B$3/(0.85*'Parametros'!$B$2*H72))/2)/1000000</f>
        <v>196.346217941176</v>
      </c>
      <c r="AH72" s="10">
        <f>N72+(AF72+AG72)/D72</f>
        <v>214.365627032872</v>
      </c>
      <c r="AI72" s="10">
        <f>MAX(O72,AH72)</f>
        <v>358.942</v>
      </c>
      <c r="AJ72" s="10">
        <f>0.17*SQRT('Parametros'!$B$2)*H72*MIN(U72,AB72)/1000</f>
        <v>198.088855822627</v>
      </c>
      <c r="AK72" s="10">
        <f>MAX(AI72/'Parametros'!$B$6-AJ72,0)</f>
        <v>280.500477510706</v>
      </c>
      <c r="AL72" s="10">
        <f>0.66*SQRT('Parametros'!$B$2)*H72*MIN(U72,AB72)/1000</f>
        <v>769.050852017258</v>
      </c>
      <c r="AM72" s="10" t="str">
        <f>IF(AK72&lt;=AL72,"CUMPLE","NO CUMPLE")</f>
        <v>CUMPLE</v>
      </c>
      <c r="AN72" s="17" t="inlineStr">
        <is>
          <t>Nº3 cerrado</t>
        </is>
      </c>
      <c r="AO72" s="31" t="n">
        <v>2</v>
      </c>
      <c r="AP72" s="10">
        <f>ROUNDDOWN(MIN(IF(BC72+BD72=0,1000000000,AO72*BB72/(BC72+BD72)),MIN(U72,AB72)/4,8*'Parametros'!$B$12,24*BA72,300,IF(AV72=0,1000000000,2*((H72-2*('Parametros'!$B$7+'Parametros'!$B$9/2))+(I72-2*('Parametros'!$B$7+'Parametros'!$B$9/2)))/8))/10,0)*10</f>
        <v>100</v>
      </c>
      <c r="AQ72" s="10">
        <f>ROUNDDOWN(MIN(IF(BC72+BD72=0,1000000000,AO72*BB72/(BC72+BD72)),IF(AK72&gt;0.33*SQRT('Parametros'!$B$2)*H72*MIN(U72,AB72)/1000,MIN(U72,AB72)/4,MIN(U72,AB72)/2),600,IF(AV72=0,1000000000,2*((H72-2*('Parametros'!$B$7+'Parametros'!$B$9/2))+(I72-2*('Parametros'!$B$7+'Parametros'!$B$9/2)))/8))/10,0)*10</f>
        <v>100</v>
      </c>
      <c r="AR72" s="10">
        <f>'Parametros'!$B$6*(AJ72+MAX(BE72-BD72,0)*'Parametros'!$B$4*MIN(U72,AB72)/1000)</f>
        <v>367.45289686697</v>
      </c>
      <c r="AS72" s="10" t="str">
        <f>IF(AND(ISERROR(SEARCH("referencia",AN72)),AM72="CUMPLE",AR72&gt;=AI72),"CUMPLE","NO CUMPLE")</f>
        <v>CUMPLE</v>
      </c>
      <c r="AT72" s="10">
        <f>'Parametros'!$B$6*0.083*SQRT('Parametros'!$B$2)*(H72*I72)^2/(2*(H72+I72))/1000000</f>
        <v>10.0887830333379</v>
      </c>
      <c r="AU72" s="10" t="str">
        <f>IF(Q72&lt;=AT72,"DESPRECIABLE","DISEÑAR")</f>
        <v>DESPRECIABLE</v>
      </c>
      <c r="AV72" s="10">
        <f>IF(Q72&lt;=AT72,0,Q72*1000000/('Parametros'!$B$6*2*0.85*(H72-2*('Parametros'!$B$7+'Parametros'!$B$9/2))*(I72-2*('Parametros'!$B$7+'Parametros'!$B$9/2))*'Parametros'!$B$4))</f>
        <v>0</v>
      </c>
      <c r="AW72" s="10">
        <f>AV72*2*((H72-2*('Parametros'!$B$7+'Parametros'!$B$9/2))+(I72-2*('Parametros'!$B$7+'Parametros'!$B$9/2)))*'Parametros'!$B$4/'Parametros'!$B$3</f>
        <v>0</v>
      </c>
      <c r="AX72" s="31" t="n">
        <v>0</v>
      </c>
      <c r="AY72" s="10" t="str">
        <f>IF(AV72=0,"DESPRECIABLE",IF(AND(ISERROR(SEARCH("referencia",AN72)),BB72/AP72&gt;=AV72,BI72&gt;=AW72,BH72="CUMPLE"),"CUMPLE","NO CUMPLE"))</f>
        <v>DESPRECIABLE</v>
      </c>
      <c r="AZ72" s="10" t="str">
        <f>IF(AND(X72="CUMPLE",AE72="CUMPLE",AS72="CUMPLE",OR(AY72="CUMPLE",AY72="DESPRECIABLE"),BH72="CUMPLE",BJ72="CUMPLE"),"CUMPLE","NO CUMPLE")</f>
        <v>CUMPLE</v>
      </c>
      <c r="BA72" s="32" t="n">
        <v>9.5</v>
      </c>
      <c r="BB72" s="32" t="n">
        <v>71</v>
      </c>
      <c r="BC72" s="10">
        <f>MAX(IF(AK72=0,0,AK72*1000/('Parametros'!$B$4*MIN(U72,AB72))),MAX(0.062*SQRT('Parametros'!$B$2)*H72/'Parametros'!$B$4,0.35*H72/'Parametros'!$B$4))</f>
        <v>1.36478651228649</v>
      </c>
      <c r="BD72" s="10">
        <f>2*AV72</f>
        <v>0</v>
      </c>
      <c r="BE72" s="10">
        <f>AO72*BB72/AP72</f>
        <v>1.42</v>
      </c>
      <c r="BF72" s="10">
        <f>SQRT((AI72*1000/(H72*MIN(U72,AB72)))^2+(Q72*1000000*2*((H72-2*('Parametros'!$B$7+'Parametros'!$B$9/2))+(I72-2*('Parametros'!$B$7+'Parametros'!$B$9/2)))/(1.7*((H72-2*('Parametros'!$B$7+'Parametros'!$B$9/2))*(I72-2*('Parametros'!$B$7+'Parametros'!$B$9/2)))^2))^2)</f>
        <v>1.63106017905696</v>
      </c>
      <c r="BG72" s="10">
        <f>'Parametros'!$B$6*(AJ72*1000/(H72*MIN(U72,AB72))+0.66*SQRT('Parametros'!$B$2))</f>
        <v>3.29396038227542</v>
      </c>
      <c r="BH72" s="10" t="str">
        <f>IF(BF72&lt;=BG72,"CUMPLE","NO CUMPLE")</f>
        <v>CUMPLE</v>
      </c>
      <c r="BI72" s="10">
        <f>AX72*'Parametros'!$B$8</f>
        <v>0</v>
      </c>
      <c r="BJ72" s="10" t="str">
        <f>IF(BI72&gt;=AW72,"CUMPLE","NO CUMPLE")</f>
        <v>CUMPLE</v>
      </c>
    </row>
    <row r="73">
      <c r="A73" s="17" t="inlineStr">
        <is>
          <t>VC3</t>
        </is>
      </c>
      <c r="B73" s="17" t="inlineStr">
        <is>
          <t>258</t>
        </is>
      </c>
      <c r="C73" s="10" t="n">
        <v>1</v>
      </c>
      <c r="D73" s="10" t="n">
        <v>3.21477</v>
      </c>
      <c r="E73" s="10" t="n">
        <v>3.21477</v>
      </c>
      <c r="F73" s="10" t="n">
        <v>450</v>
      </c>
      <c r="G73" s="10" t="n">
        <v>550</v>
      </c>
      <c r="H73" s="17" t="n">
        <v>450</v>
      </c>
      <c r="I73" s="17" t="n">
        <v>550</v>
      </c>
      <c r="J73" s="30" t="n">
        <v>164.1473</v>
      </c>
      <c r="K73" s="10" t="inlineStr">
        <is>
          <t>258</t>
        </is>
      </c>
      <c r="L73" s="30" t="n">
        <v>135.3701</v>
      </c>
      <c r="M73" s="10" t="inlineStr">
        <is>
          <t>258</t>
        </is>
      </c>
      <c r="N73" s="30" t="n">
        <v>100.805</v>
      </c>
      <c r="O73" s="30" t="n">
        <v>379.738</v>
      </c>
      <c r="P73" s="10" t="inlineStr">
        <is>
          <t>258</t>
        </is>
      </c>
      <c r="Q73" s="30" t="n">
        <v>14.3594</v>
      </c>
      <c r="R73" s="10">
        <f>MAX(MAX(1.4/'Parametros'!$B$3,0.25*SQRT('Parametros'!$B$2)/'Parametros'!$B$3)*H73*U73,(0.85*'Parametros'!$B$2/'Parametros'!$B$3)*(1-SQRT(1-2*(J73*1000000/('Parametros'!$B$5*H73*U73^2))/(0.85*'Parametros'!$B$2)))*H73*U73)</f>
        <v>921.425711944425</v>
      </c>
      <c r="S73" s="31" t="n">
        <v>5</v>
      </c>
      <c r="T73" s="32" t="n">
        <v>1</v>
      </c>
      <c r="U73" s="10">
        <f>IF(T73=1,I73-('Parametros'!$B$7+'Parametros'!$B$9+'Parametros'!$B$12/2),I73-(ROUNDUP(S73/2,0)*('Parametros'!$B$7+'Parametros'!$B$9+'Parametros'!$B$12/2)+ROUNDDOWN(S73/2,0)*('Parametros'!$B$7+'Parametros'!$B$9+'Parametros'!$B$12/2+'Parametros'!$B$12+'Parametros'!$B$10))/S73)</f>
        <v>489.35</v>
      </c>
      <c r="V73" s="10">
        <f>S73*'Parametros'!$B$8</f>
        <v>995</v>
      </c>
      <c r="W73" s="10">
        <f>'Parametros'!$B$5*V73*'Parametros'!$B$3*(U73-(V73*'Parametros'!$B$3/(0.85*'Parametros'!$B$2*H73))/2)/1000000</f>
        <v>176.711596147059</v>
      </c>
      <c r="X73" s="10" t="str">
        <f>IF(W73&gt;=J73,"CUMPLE","NO CUMPLE")</f>
        <v>CUMPLE</v>
      </c>
      <c r="Y73" s="10">
        <f>MAX(MAX(1.4/'Parametros'!$B$3,0.25*SQRT('Parametros'!$B$2)/'Parametros'!$B$3)*H73*AB73,(0.85*'Parametros'!$B$2/'Parametros'!$B$3)*(1-SQRT(1-2*(L73*1000000/('Parametros'!$B$5*H73*AB73^2))/(0.85*'Parametros'!$B$2)))*H73*AB73)</f>
        <v>754.651262872729</v>
      </c>
      <c r="Z73" s="31" t="n">
        <v>4</v>
      </c>
      <c r="AA73" s="32" t="n">
        <v>1</v>
      </c>
      <c r="AB73" s="10">
        <f>IF(AA73=1,I73-('Parametros'!$B$7+'Parametros'!$B$9+'Parametros'!$B$12/2),I73-(ROUNDUP(Z73/2,0)*('Parametros'!$B$7+'Parametros'!$B$9+'Parametros'!$B$12/2)+ROUNDDOWN(Z73/2,0)*('Parametros'!$B$7+'Parametros'!$B$9+'Parametros'!$B$12/2+'Parametros'!$B$12+'Parametros'!$B$10))/Z73)</f>
        <v>489.35</v>
      </c>
      <c r="AC73" s="10">
        <f>Z73*'Parametros'!$B$8</f>
        <v>796</v>
      </c>
      <c r="AD73" s="10">
        <f>'Parametros'!$B$5*AC73*'Parametros'!$B$3*(AB73-(AC73*'Parametros'!$B$3/(0.85*'Parametros'!$B$2*H73))/2)/1000000</f>
        <v>142.543330094118</v>
      </c>
      <c r="AE73" s="10" t="str">
        <f>IF(AD73&gt;=L73,"CUMPLE","NO CUMPLE")</f>
        <v>CUMPLE</v>
      </c>
      <c r="AF73" s="10">
        <f>V73*1.25*'Parametros'!$B$3*(U73-(V73*1.25*'Parametros'!$B$3/(0.85*'Parametros'!$B$2*H73))/2)/1000000</f>
        <v>242.884913970588</v>
      </c>
      <c r="AG73" s="10">
        <f>AC73*1.25*'Parametros'!$B$3*(AB73-(AC73*1.25*'Parametros'!$B$3/(0.85*'Parametros'!$B$2*H73))/2)/1000000</f>
        <v>196.346217941176</v>
      </c>
      <c r="AH73" s="10">
        <f>N73+(AF73+AG73)/D73</f>
        <v>237.434100032589</v>
      </c>
      <c r="AI73" s="10">
        <f>MAX(O73,AH73)</f>
        <v>379.738</v>
      </c>
      <c r="AJ73" s="10">
        <f>0.17*SQRT('Parametros'!$B$2)*H73*MIN(U73,AB73)/1000</f>
        <v>198.088855822627</v>
      </c>
      <c r="AK73" s="10">
        <f>MAX(AI73/'Parametros'!$B$6-AJ73,0)</f>
        <v>308.228477510706</v>
      </c>
      <c r="AL73" s="10">
        <f>0.66*SQRT('Parametros'!$B$2)*H73*MIN(U73,AB73)/1000</f>
        <v>769.050852017258</v>
      </c>
      <c r="AM73" s="10" t="str">
        <f>IF(AK73&lt;=AL73,"CUMPLE","NO CUMPLE")</f>
        <v>CUMPLE</v>
      </c>
      <c r="AN73" s="17" t="inlineStr">
        <is>
          <t>Nº4 cerrado</t>
        </is>
      </c>
      <c r="AO73" s="31" t="n">
        <v>2</v>
      </c>
      <c r="AP73" s="10">
        <f>ROUNDDOWN(MIN(IF(BC73+BD73=0,1000000000,AO73*BB73/(BC73+BD73)),MIN(U73,AB73)/4,8*'Parametros'!$B$12,24*BA73,300,IF(AV73=0,1000000000,2*((H73-2*('Parametros'!$B$7+'Parametros'!$B$9/2))+(I73-2*('Parametros'!$B$7+'Parametros'!$B$9/2)))/8))/10,0)*10</f>
        <v>120</v>
      </c>
      <c r="AQ73" s="10">
        <f>ROUNDDOWN(MIN(IF(BC73+BD73=0,1000000000,AO73*BB73/(BC73+BD73)),IF(AK73&gt;0.33*SQRT('Parametros'!$B$2)*H73*MIN(U73,AB73)/1000,MIN(U73,AB73)/4,MIN(U73,AB73)/2),600,IF(AV73=0,1000000000,2*((H73-2*('Parametros'!$B$7+'Parametros'!$B$9/2))+(I73-2*('Parametros'!$B$7+'Parametros'!$B$9/2)))/8))/10,0)*10</f>
        <v>140</v>
      </c>
      <c r="AR73" s="10">
        <f>'Parametros'!$B$6*(AJ73+MAX(BE73-BD73,0)*'Parametros'!$B$4*MIN(U73,AB73)/1000)</f>
        <v>429.384495243887</v>
      </c>
      <c r="AS73" s="10" t="str">
        <f>IF(AND(ISERROR(SEARCH("referencia",AN73)),AM73="CUMPLE",AR73&gt;=AI73),"CUMPLE","NO CUMPLE")</f>
        <v>CUMPLE</v>
      </c>
      <c r="AT73" s="10">
        <f>'Parametros'!$B$6*0.083*SQRT('Parametros'!$B$2)*(H73*I73)^2/(2*(H73+I73))/1000000</f>
        <v>10.0887830333379</v>
      </c>
      <c r="AU73" s="10" t="str">
        <f>IF(Q73&lt;=AT73,"DESPRECIABLE","DISEÑAR")</f>
        <v>DISEÑAR</v>
      </c>
      <c r="AV73" s="10">
        <f>IF(Q73&lt;=AT73,0,Q73*1000000/('Parametros'!$B$6*2*0.85*(H73-2*('Parametros'!$B$7+'Parametros'!$B$9/2))*(I73-2*('Parametros'!$B$7+'Parametros'!$B$9/2))*'Parametros'!$B$4))</f>
        <v>0.164112854995802</v>
      </c>
      <c r="AW73" s="10">
        <f>AV73*2*((H73-2*('Parametros'!$B$7+'Parametros'!$B$9/2))+(I73-2*('Parametros'!$B$7+'Parametros'!$B$9/2)))*'Parametros'!$B$4/'Parametros'!$B$3</f>
        <v>267.37266335916</v>
      </c>
      <c r="AX73" s="31" t="n">
        <v>8</v>
      </c>
      <c r="AY73" s="10" t="str">
        <f>IF(AV73=0,"DESPRECIABLE",IF(AND(ISERROR(SEARCH("referencia",AN73)),BB73/AP73&gt;=AV73,BI73&gt;=AW73,BH73="CUMPLE"),"CUMPLE","NO CUMPLE"))</f>
        <v>CUMPLE</v>
      </c>
      <c r="AZ73" s="10" t="str">
        <f>IF(AND(X73="CUMPLE",AE73="CUMPLE",AS73="CUMPLE",OR(AY73="CUMPLE",AY73="DESPRECIABLE"),BH73="CUMPLE",BJ73="CUMPLE"),"CUMPLE","NO CUMPLE")</f>
        <v>CUMPLE</v>
      </c>
      <c r="BA73" s="32" t="n">
        <v>12.7</v>
      </c>
      <c r="BB73" s="32" t="n">
        <v>129</v>
      </c>
      <c r="BC73" s="10">
        <f>MAX(IF(AK73=0,0,AK73*1000/('Parametros'!$B$4*MIN(U73,AB73))),MAX(0.062*SQRT('Parametros'!$B$2)*H73/'Parametros'!$B$4,0.35*H73/'Parametros'!$B$4))</f>
        <v>1.49969822704903</v>
      </c>
      <c r="BD73" s="10">
        <f>2*AV73</f>
        <v>0.328225709991603</v>
      </c>
      <c r="BE73" s="10">
        <f>AO73*BB73/AP73</f>
        <v>2.15</v>
      </c>
      <c r="BF73" s="10">
        <f>SQRT((AI73*1000/(H73*MIN(U73,AB73)))^2+(Q73*1000000*2*((H73-2*('Parametros'!$B$7+'Parametros'!$B$9/2))+(I73-2*('Parametros'!$B$7+'Parametros'!$B$9/2)))/(1.7*((H73-2*('Parametros'!$B$7+'Parametros'!$B$9/2))*(I73-2*('Parametros'!$B$7+'Parametros'!$B$9/2)))^2))^2)</f>
        <v>1.79984533968295</v>
      </c>
      <c r="BG73" s="10">
        <f>'Parametros'!$B$6*(AJ73*1000/(H73*MIN(U73,AB73))+0.66*SQRT('Parametros'!$B$2))</f>
        <v>3.29396038227542</v>
      </c>
      <c r="BH73" s="10" t="str">
        <f>IF(BF73&lt;=BG73,"CUMPLE","NO CUMPLE")</f>
        <v>CUMPLE</v>
      </c>
      <c r="BI73" s="10">
        <f>AX73*'Parametros'!$B$8</f>
        <v>1592</v>
      </c>
      <c r="BJ73" s="10" t="str">
        <f>IF(BI73&gt;=AW73,"CUMPLE","NO CUMPLE")</f>
        <v>CUMPLE</v>
      </c>
    </row>
    <row r="74">
      <c r="A74" s="17" t="inlineStr">
        <is>
          <t>VC3</t>
        </is>
      </c>
      <c r="B74" s="17" t="inlineStr">
        <is>
          <t>259</t>
        </is>
      </c>
      <c r="C74" s="10" t="n">
        <v>1</v>
      </c>
      <c r="D74" s="10" t="n">
        <v>3.21477</v>
      </c>
      <c r="E74" s="10" t="n">
        <v>3.21477</v>
      </c>
      <c r="F74" s="10" t="n">
        <v>450</v>
      </c>
      <c r="G74" s="10" t="n">
        <v>550</v>
      </c>
      <c r="H74" s="17" t="n">
        <v>450</v>
      </c>
      <c r="I74" s="17" t="n">
        <v>550</v>
      </c>
      <c r="J74" s="30" t="n">
        <v>164.1536</v>
      </c>
      <c r="K74" s="10" t="inlineStr">
        <is>
          <t>259</t>
        </is>
      </c>
      <c r="L74" s="30" t="n">
        <v>135.3619</v>
      </c>
      <c r="M74" s="10" t="inlineStr">
        <is>
          <t>259</t>
        </is>
      </c>
      <c r="N74" s="30" t="n">
        <v>100.804</v>
      </c>
      <c r="O74" s="30" t="n">
        <v>379.737</v>
      </c>
      <c r="P74" s="10" t="inlineStr">
        <is>
          <t>259</t>
        </is>
      </c>
      <c r="Q74" s="30" t="n">
        <v>14.4288</v>
      </c>
      <c r="R74" s="10">
        <f>MAX(MAX(1.4/'Parametros'!$B$3,0.25*SQRT('Parametros'!$B$2)/'Parametros'!$B$3)*H74*U74,(0.85*'Parametros'!$B$2/'Parametros'!$B$3)*(1-SQRT(1-2*(J74*1000000/('Parametros'!$B$5*H74*U74^2))/(0.85*'Parametros'!$B$2)))*H74*U74)</f>
        <v>921.462486254572</v>
      </c>
      <c r="S74" s="31" t="n">
        <v>5</v>
      </c>
      <c r="T74" s="32" t="n">
        <v>1</v>
      </c>
      <c r="U74" s="10">
        <f>IF(T74=1,I74-('Parametros'!$B$7+'Parametros'!$B$9+'Parametros'!$B$12/2),I74-(ROUNDUP(S74/2,0)*('Parametros'!$B$7+'Parametros'!$B$9+'Parametros'!$B$12/2)+ROUNDDOWN(S74/2,0)*('Parametros'!$B$7+'Parametros'!$B$9+'Parametros'!$B$12/2+'Parametros'!$B$12+'Parametros'!$B$10))/S74)</f>
        <v>489.35</v>
      </c>
      <c r="V74" s="10">
        <f>S74*'Parametros'!$B$8</f>
        <v>995</v>
      </c>
      <c r="W74" s="10">
        <f>'Parametros'!$B$5*V74*'Parametros'!$B$3*(U74-(V74*'Parametros'!$B$3/(0.85*'Parametros'!$B$2*H74))/2)/1000000</f>
        <v>176.711596147059</v>
      </c>
      <c r="X74" s="10" t="str">
        <f>IF(W74&gt;=J74,"CUMPLE","NO CUMPLE")</f>
        <v>CUMPLE</v>
      </c>
      <c r="Y74" s="10">
        <f>MAX(MAX(1.4/'Parametros'!$B$3,0.25*SQRT('Parametros'!$B$2)/'Parametros'!$B$3)*H74*AB74,(0.85*'Parametros'!$B$2/'Parametros'!$B$3)*(1-SQRT(1-2*(L74*1000000/('Parametros'!$B$5*H74*AB74^2))/(0.85*'Parametros'!$B$2)))*H74*AB74)</f>
        <v>754.60407896229</v>
      </c>
      <c r="Z74" s="31" t="n">
        <v>4</v>
      </c>
      <c r="AA74" s="32" t="n">
        <v>1</v>
      </c>
      <c r="AB74" s="10">
        <f>IF(AA74=1,I74-('Parametros'!$B$7+'Parametros'!$B$9+'Parametros'!$B$12/2),I74-(ROUNDUP(Z74/2,0)*('Parametros'!$B$7+'Parametros'!$B$9+'Parametros'!$B$12/2)+ROUNDDOWN(Z74/2,0)*('Parametros'!$B$7+'Parametros'!$B$9+'Parametros'!$B$12/2+'Parametros'!$B$12+'Parametros'!$B$10))/Z74)</f>
        <v>489.35</v>
      </c>
      <c r="AC74" s="10">
        <f>Z74*'Parametros'!$B$8</f>
        <v>796</v>
      </c>
      <c r="AD74" s="10">
        <f>'Parametros'!$B$5*AC74*'Parametros'!$B$3*(AB74-(AC74*'Parametros'!$B$3/(0.85*'Parametros'!$B$2*H74))/2)/1000000</f>
        <v>142.543330094118</v>
      </c>
      <c r="AE74" s="10" t="str">
        <f>IF(AD74&gt;=L74,"CUMPLE","NO CUMPLE")</f>
        <v>CUMPLE</v>
      </c>
      <c r="AF74" s="10">
        <f>V74*1.25*'Parametros'!$B$3*(U74-(V74*1.25*'Parametros'!$B$3/(0.85*'Parametros'!$B$2*H74))/2)/1000000</f>
        <v>242.884913970588</v>
      </c>
      <c r="AG74" s="10">
        <f>AC74*1.25*'Parametros'!$B$3*(AB74-(AC74*1.25*'Parametros'!$B$3/(0.85*'Parametros'!$B$2*H74))/2)/1000000</f>
        <v>196.346217941176</v>
      </c>
      <c r="AH74" s="10">
        <f>N74+(AF74+AG74)/D74</f>
        <v>237.433100032589</v>
      </c>
      <c r="AI74" s="10">
        <f>MAX(O74,AH74)</f>
        <v>379.737</v>
      </c>
      <c r="AJ74" s="10">
        <f>0.17*SQRT('Parametros'!$B$2)*H74*MIN(U74,AB74)/1000</f>
        <v>198.088855822627</v>
      </c>
      <c r="AK74" s="10">
        <f>MAX(AI74/'Parametros'!$B$6-AJ74,0)</f>
        <v>308.227144177373</v>
      </c>
      <c r="AL74" s="10">
        <f>0.66*SQRT('Parametros'!$B$2)*H74*MIN(U74,AB74)/1000</f>
        <v>769.050852017258</v>
      </c>
      <c r="AM74" s="10" t="str">
        <f>IF(AK74&lt;=AL74,"CUMPLE","NO CUMPLE")</f>
        <v>CUMPLE</v>
      </c>
      <c r="AN74" s="17" t="inlineStr">
        <is>
          <t>Nº4 cerrado</t>
        </is>
      </c>
      <c r="AO74" s="31" t="n">
        <v>2</v>
      </c>
      <c r="AP74" s="10">
        <f>ROUNDDOWN(MIN(IF(BC74+BD74=0,1000000000,AO74*BB74/(BC74+BD74)),MIN(U74,AB74)/4,8*'Parametros'!$B$12,24*BA74,300,IF(AV74=0,1000000000,2*((H74-2*('Parametros'!$B$7+'Parametros'!$B$9/2))+(I74-2*('Parametros'!$B$7+'Parametros'!$B$9/2)))/8))/10,0)*10</f>
        <v>120</v>
      </c>
      <c r="AQ74" s="10">
        <f>ROUNDDOWN(MIN(IF(BC74+BD74=0,1000000000,AO74*BB74/(BC74+BD74)),IF(AK74&gt;0.33*SQRT('Parametros'!$B$2)*H74*MIN(U74,AB74)/1000,MIN(U74,AB74)/4,MIN(U74,AB74)/2),600,IF(AV74=0,1000000000,2*((H74-2*('Parametros'!$B$7+'Parametros'!$B$9/2))+(I74-2*('Parametros'!$B$7+'Parametros'!$B$9/2)))/8))/10,0)*10</f>
        <v>140</v>
      </c>
      <c r="AR74" s="10">
        <f>'Parametros'!$B$6*(AJ74+MAX(BE74-BD74,0)*'Parametros'!$B$4*MIN(U74,AB74)/1000)</f>
        <v>429.13996875057</v>
      </c>
      <c r="AS74" s="10" t="str">
        <f>IF(AND(ISERROR(SEARCH("referencia",AN74)),AM74="CUMPLE",AR74&gt;=AI74),"CUMPLE","NO CUMPLE")</f>
        <v>CUMPLE</v>
      </c>
      <c r="AT74" s="10">
        <f>'Parametros'!$B$6*0.083*SQRT('Parametros'!$B$2)*(H74*I74)^2/(2*(H74+I74))/1000000</f>
        <v>10.0887830333379</v>
      </c>
      <c r="AU74" s="10" t="str">
        <f>IF(Q74&lt;=AT74,"DESPRECIABLE","DISEÑAR")</f>
        <v>DISEÑAR</v>
      </c>
      <c r="AV74" s="10">
        <f>IF(Q74&lt;=AT74,0,Q74*1000000/('Parametros'!$B$6*2*0.85*(H74-2*('Parametros'!$B$7+'Parametros'!$B$9/2))*(I74-2*('Parametros'!$B$7+'Parametros'!$B$9/2))*'Parametros'!$B$4))</f>
        <v>0.164906024079239</v>
      </c>
      <c r="AW74" s="10">
        <f>AV74*2*((H74-2*('Parametros'!$B$7+'Parametros'!$B$9/2))+(I74-2*('Parametros'!$B$7+'Parametros'!$B$9/2)))*'Parametros'!$B$4/'Parametros'!$B$3</f>
        <v>268.664894429896</v>
      </c>
      <c r="AX74" s="31" t="n">
        <v>8</v>
      </c>
      <c r="AY74" s="10" t="str">
        <f>IF(AV74=0,"DESPRECIABLE",IF(AND(ISERROR(SEARCH("referencia",AN74)),BB74/AP74&gt;=AV74,BI74&gt;=AW74,BH74="CUMPLE"),"CUMPLE","NO CUMPLE"))</f>
        <v>CUMPLE</v>
      </c>
      <c r="AZ74" s="10" t="str">
        <f>IF(AND(X74="CUMPLE",AE74="CUMPLE",AS74="CUMPLE",OR(AY74="CUMPLE",AY74="DESPRECIABLE"),BH74="CUMPLE",BJ74="CUMPLE"),"CUMPLE","NO CUMPLE")</f>
        <v>CUMPLE</v>
      </c>
      <c r="BA74" s="32" t="n">
        <v>12.7</v>
      </c>
      <c r="BB74" s="32" t="n">
        <v>129</v>
      </c>
      <c r="BC74" s="10">
        <f>MAX(IF(AK74=0,0,AK74*1000/('Parametros'!$B$4*MIN(U74,AB74))),MAX(0.062*SQRT('Parametros'!$B$2)*H74/'Parametros'!$B$4,0.35*H74/'Parametros'!$B$4))</f>
        <v>1.49969173966132</v>
      </c>
      <c r="BD74" s="10">
        <f>2*AV74</f>
        <v>0.329812048158478</v>
      </c>
      <c r="BE74" s="10">
        <f>AO74*BB74/AP74</f>
        <v>2.15</v>
      </c>
      <c r="BF74" s="10">
        <f>SQRT((AI74*1000/(H74*MIN(U74,AB74)))^2+(Q74*1000000*2*((H74-2*('Parametros'!$B$7+'Parametros'!$B$9/2))+(I74-2*('Parametros'!$B$7+'Parametros'!$B$9/2)))/(1.7*((H74-2*('Parametros'!$B$7+'Parametros'!$B$9/2))*(I74-2*('Parametros'!$B$7+'Parametros'!$B$9/2)))^2))^2)</f>
        <v>1.80055604081166</v>
      </c>
      <c r="BG74" s="10">
        <f>'Parametros'!$B$6*(AJ74*1000/(H74*MIN(U74,AB74))+0.66*SQRT('Parametros'!$B$2))</f>
        <v>3.29396038227542</v>
      </c>
      <c r="BH74" s="10" t="str">
        <f>IF(BF74&lt;=BG74,"CUMPLE","NO CUMPLE")</f>
        <v>CUMPLE</v>
      </c>
      <c r="BI74" s="10">
        <f>AX74*'Parametros'!$B$8</f>
        <v>1592</v>
      </c>
      <c r="BJ74" s="10" t="str">
        <f>IF(BI74&gt;=AW74,"CUMPLE","NO CUMPLE")</f>
        <v>CUMPLE</v>
      </c>
    </row>
    <row r="75">
      <c r="A75" s="17" t="inlineStr">
        <is>
          <t>VC3</t>
        </is>
      </c>
      <c r="B75" s="17" t="inlineStr">
        <is>
          <t>260</t>
        </is>
      </c>
      <c r="C75" s="10" t="n">
        <v>1</v>
      </c>
      <c r="D75" s="10" t="n">
        <v>3.4</v>
      </c>
      <c r="E75" s="10" t="n">
        <v>3.4</v>
      </c>
      <c r="F75" s="10" t="n">
        <v>450</v>
      </c>
      <c r="G75" s="10" t="n">
        <v>550</v>
      </c>
      <c r="H75" s="17" t="n">
        <v>450</v>
      </c>
      <c r="I75" s="17" t="n">
        <v>550</v>
      </c>
      <c r="J75" s="30" t="n">
        <v>160.9552</v>
      </c>
      <c r="K75" s="10" t="inlineStr">
        <is>
          <t>260</t>
        </is>
      </c>
      <c r="L75" s="30" t="n">
        <v>133.0249</v>
      </c>
      <c r="M75" s="10" t="inlineStr">
        <is>
          <t>260</t>
        </is>
      </c>
      <c r="N75" s="30" t="n">
        <v>85.18899999999999</v>
      </c>
      <c r="O75" s="30" t="n">
        <v>358.95</v>
      </c>
      <c r="P75" s="10" t="inlineStr">
        <is>
          <t>260</t>
        </is>
      </c>
      <c r="Q75" s="30" t="n">
        <v>1.6242</v>
      </c>
      <c r="R75" s="10">
        <f>MAX(MAX(1.4/'Parametros'!$B$3,0.25*SQRT('Parametros'!$B$2)/'Parametros'!$B$3)*H75*U75,(0.85*'Parametros'!$B$2/'Parametros'!$B$3)*(1-SQRT(1-2*(J75*1000000/('Parametros'!$B$5*H75*U75^2))/(0.85*'Parametros'!$B$2)))*H75*U75)</f>
        <v>902.807837064486</v>
      </c>
      <c r="S75" s="31" t="n">
        <v>5</v>
      </c>
      <c r="T75" s="32" t="n">
        <v>1</v>
      </c>
      <c r="U75" s="10">
        <f>IF(T75=1,I75-('Parametros'!$B$7+'Parametros'!$B$9+'Parametros'!$B$12/2),I75-(ROUNDUP(S75/2,0)*('Parametros'!$B$7+'Parametros'!$B$9+'Parametros'!$B$12/2)+ROUNDDOWN(S75/2,0)*('Parametros'!$B$7+'Parametros'!$B$9+'Parametros'!$B$12/2+'Parametros'!$B$12+'Parametros'!$B$10))/S75)</f>
        <v>489.35</v>
      </c>
      <c r="V75" s="10">
        <f>S75*'Parametros'!$B$8</f>
        <v>995</v>
      </c>
      <c r="W75" s="10">
        <f>'Parametros'!$B$5*V75*'Parametros'!$B$3*(U75-(V75*'Parametros'!$B$3/(0.85*'Parametros'!$B$2*H75))/2)/1000000</f>
        <v>176.711596147059</v>
      </c>
      <c r="X75" s="10" t="str">
        <f>IF(W75&gt;=J75,"CUMPLE","NO CUMPLE")</f>
        <v>CUMPLE</v>
      </c>
      <c r="Y75" s="10">
        <f>MAX(MAX(1.4/'Parametros'!$B$3,0.25*SQRT('Parametros'!$B$2)/'Parametros'!$B$3)*H75*AB75,(0.85*'Parametros'!$B$2/'Parametros'!$B$3)*(1-SQRT(1-2*(L75*1000000/('Parametros'!$B$5*H75*AB75^2))/(0.85*'Parametros'!$B$2)))*H75*AB75)</f>
        <v>741.164394885575</v>
      </c>
      <c r="Z75" s="31" t="n">
        <v>4</v>
      </c>
      <c r="AA75" s="32" t="n">
        <v>1</v>
      </c>
      <c r="AB75" s="10">
        <f>IF(AA75=1,I75-('Parametros'!$B$7+'Parametros'!$B$9+'Parametros'!$B$12/2),I75-(ROUNDUP(Z75/2,0)*('Parametros'!$B$7+'Parametros'!$B$9+'Parametros'!$B$12/2)+ROUNDDOWN(Z75/2,0)*('Parametros'!$B$7+'Parametros'!$B$9+'Parametros'!$B$12/2+'Parametros'!$B$12+'Parametros'!$B$10))/Z75)</f>
        <v>489.35</v>
      </c>
      <c r="AC75" s="10">
        <f>Z75*'Parametros'!$B$8</f>
        <v>796</v>
      </c>
      <c r="AD75" s="10">
        <f>'Parametros'!$B$5*AC75*'Parametros'!$B$3*(AB75-(AC75*'Parametros'!$B$3/(0.85*'Parametros'!$B$2*H75))/2)/1000000</f>
        <v>142.543330094118</v>
      </c>
      <c r="AE75" s="10" t="str">
        <f>IF(AD75&gt;=L75,"CUMPLE","NO CUMPLE")</f>
        <v>CUMPLE</v>
      </c>
      <c r="AF75" s="10">
        <f>V75*1.25*'Parametros'!$B$3*(U75-(V75*1.25*'Parametros'!$B$3/(0.85*'Parametros'!$B$2*H75))/2)/1000000</f>
        <v>242.884913970588</v>
      </c>
      <c r="AG75" s="10">
        <f>AC75*1.25*'Parametros'!$B$3*(AB75-(AC75*1.25*'Parametros'!$B$3/(0.85*'Parametros'!$B$2*H75))/2)/1000000</f>
        <v>196.346217941176</v>
      </c>
      <c r="AH75" s="10">
        <f>N75+(AF75+AG75)/D75</f>
        <v>214.374627032872</v>
      </c>
      <c r="AI75" s="10">
        <f>MAX(O75,AH75)</f>
        <v>358.95</v>
      </c>
      <c r="AJ75" s="10">
        <f>0.17*SQRT('Parametros'!$B$2)*H75*MIN(U75,AB75)/1000</f>
        <v>198.088855822627</v>
      </c>
      <c r="AK75" s="10">
        <f>MAX(AI75/'Parametros'!$B$6-AJ75,0)</f>
        <v>280.511144177373</v>
      </c>
      <c r="AL75" s="10">
        <f>0.66*SQRT('Parametros'!$B$2)*H75*MIN(U75,AB75)/1000</f>
        <v>769.050852017258</v>
      </c>
      <c r="AM75" s="10" t="str">
        <f>IF(AK75&lt;=AL75,"CUMPLE","NO CUMPLE")</f>
        <v>CUMPLE</v>
      </c>
      <c r="AN75" s="17" t="inlineStr">
        <is>
          <t>Nº3 cerrado</t>
        </is>
      </c>
      <c r="AO75" s="31" t="n">
        <v>2</v>
      </c>
      <c r="AP75" s="10">
        <f>ROUNDDOWN(MIN(IF(BC75+BD75=0,1000000000,AO75*BB75/(BC75+BD75)),MIN(U75,AB75)/4,8*'Parametros'!$B$12,24*BA75,300,IF(AV75=0,1000000000,2*((H75-2*('Parametros'!$B$7+'Parametros'!$B$9/2))+(I75-2*('Parametros'!$B$7+'Parametros'!$B$9/2)))/8))/10,0)*10</f>
        <v>100</v>
      </c>
      <c r="AQ75" s="10">
        <f>ROUNDDOWN(MIN(IF(BC75+BD75=0,1000000000,AO75*BB75/(BC75+BD75)),IF(AK75&gt;0.33*SQRT('Parametros'!$B$2)*H75*MIN(U75,AB75)/1000,MIN(U75,AB75)/4,MIN(U75,AB75)/2),600,IF(AV75=0,1000000000,2*((H75-2*('Parametros'!$B$7+'Parametros'!$B$9/2))+(I75-2*('Parametros'!$B$7+'Parametros'!$B$9/2)))/8))/10,0)*10</f>
        <v>100</v>
      </c>
      <c r="AR75" s="10">
        <f>'Parametros'!$B$6*(AJ75+MAX(BE75-BD75,0)*'Parametros'!$B$4*MIN(U75,AB75)/1000)</f>
        <v>367.45289686697</v>
      </c>
      <c r="AS75" s="10" t="str">
        <f>IF(AND(ISERROR(SEARCH("referencia",AN75)),AM75="CUMPLE",AR75&gt;=AI75),"CUMPLE","NO CUMPLE")</f>
        <v>CUMPLE</v>
      </c>
      <c r="AT75" s="10">
        <f>'Parametros'!$B$6*0.083*SQRT('Parametros'!$B$2)*(H75*I75)^2/(2*(H75+I75))/1000000</f>
        <v>10.0887830333379</v>
      </c>
      <c r="AU75" s="10" t="str">
        <f>IF(Q75&lt;=AT75,"DESPRECIABLE","DISEÑAR")</f>
        <v>DESPRECIABLE</v>
      </c>
      <c r="AV75" s="10">
        <f>IF(Q75&lt;=AT75,0,Q75*1000000/('Parametros'!$B$6*2*0.85*(H75-2*('Parametros'!$B$7+'Parametros'!$B$9/2))*(I75-2*('Parametros'!$B$7+'Parametros'!$B$9/2))*'Parametros'!$B$4))</f>
        <v>0</v>
      </c>
      <c r="AW75" s="10">
        <f>AV75*2*((H75-2*('Parametros'!$B$7+'Parametros'!$B$9/2))+(I75-2*('Parametros'!$B$7+'Parametros'!$B$9/2)))*'Parametros'!$B$4/'Parametros'!$B$3</f>
        <v>0</v>
      </c>
      <c r="AX75" s="31" t="n">
        <v>0</v>
      </c>
      <c r="AY75" s="10" t="str">
        <f>IF(AV75=0,"DESPRECIABLE",IF(AND(ISERROR(SEARCH("referencia",AN75)),BB75/AP75&gt;=AV75,BI75&gt;=AW75,BH75="CUMPLE"),"CUMPLE","NO CUMPLE"))</f>
        <v>DESPRECIABLE</v>
      </c>
      <c r="AZ75" s="10" t="str">
        <f>IF(AND(X75="CUMPLE",AE75="CUMPLE",AS75="CUMPLE",OR(AY75="CUMPLE",AY75="DESPRECIABLE"),BH75="CUMPLE",BJ75="CUMPLE"),"CUMPLE","NO CUMPLE")</f>
        <v>CUMPLE</v>
      </c>
      <c r="BA75" s="32" t="n">
        <v>9.5</v>
      </c>
      <c r="BB75" s="32" t="n">
        <v>71</v>
      </c>
      <c r="BC75" s="10">
        <f>MAX(IF(AK75=0,0,AK75*1000/('Parametros'!$B$4*MIN(U75,AB75))),MAX(0.062*SQRT('Parametros'!$B$2)*H75/'Parametros'!$B$4,0.35*H75/'Parametros'!$B$4))</f>
        <v>1.36483841138815</v>
      </c>
      <c r="BD75" s="10">
        <f>2*AV75</f>
        <v>0</v>
      </c>
      <c r="BE75" s="10">
        <f>AO75*BB75/AP75</f>
        <v>1.42</v>
      </c>
      <c r="BF75" s="10">
        <f>SQRT((AI75*1000/(H75*MIN(U75,AB75)))^2+(Q75*1000000*2*((H75-2*('Parametros'!$B$7+'Parametros'!$B$9/2))+(I75-2*('Parametros'!$B$7+'Parametros'!$B$9/2)))/(1.7*((H75-2*('Parametros'!$B$7+'Parametros'!$B$9/2))*(I75-2*('Parametros'!$B$7+'Parametros'!$B$9/2)))^2))^2)</f>
        <v>1.63109584352787</v>
      </c>
      <c r="BG75" s="10">
        <f>'Parametros'!$B$6*(AJ75*1000/(H75*MIN(U75,AB75))+0.66*SQRT('Parametros'!$B$2))</f>
        <v>3.29396038227542</v>
      </c>
      <c r="BH75" s="10" t="str">
        <f>IF(BF75&lt;=BG75,"CUMPLE","NO CUMPLE")</f>
        <v>CUMPLE</v>
      </c>
      <c r="BI75" s="10">
        <f>AX75*'Parametros'!$B$8</f>
        <v>0</v>
      </c>
      <c r="BJ75" s="10" t="str">
        <f>IF(BI75&gt;=AW75,"CUMPLE","NO CUMPLE")</f>
        <v>CUMPLE</v>
      </c>
    </row>
    <row r="76">
      <c r="A76" s="17" t="inlineStr">
        <is>
          <t>VC3</t>
        </is>
      </c>
      <c r="B76" s="17" t="inlineStr">
        <is>
          <t>289</t>
        </is>
      </c>
      <c r="C76" s="10" t="n">
        <v>1</v>
      </c>
      <c r="D76" s="10" t="n">
        <v>3.4</v>
      </c>
      <c r="E76" s="10" t="n">
        <v>3.4</v>
      </c>
      <c r="F76" s="10" t="n">
        <v>450</v>
      </c>
      <c r="G76" s="10" t="n">
        <v>550</v>
      </c>
      <c r="H76" s="17" t="n">
        <v>450</v>
      </c>
      <c r="I76" s="17" t="n">
        <v>550</v>
      </c>
      <c r="J76" s="30" t="n">
        <v>160.9722</v>
      </c>
      <c r="K76" s="10" t="inlineStr">
        <is>
          <t>289</t>
        </is>
      </c>
      <c r="L76" s="30" t="n">
        <v>133.0345</v>
      </c>
      <c r="M76" s="10" t="inlineStr">
        <is>
          <t>289</t>
        </is>
      </c>
      <c r="N76" s="30" t="n">
        <v>85.199</v>
      </c>
      <c r="O76" s="30" t="n">
        <v>358.983</v>
      </c>
      <c r="P76" s="10" t="inlineStr">
        <is>
          <t>289</t>
        </is>
      </c>
      <c r="Q76" s="30" t="n">
        <v>1.6227</v>
      </c>
      <c r="R76" s="10">
        <f>MAX(MAX(1.4/'Parametros'!$B$3,0.25*SQRT('Parametros'!$B$2)/'Parametros'!$B$3)*H76*U76,(0.85*'Parametros'!$B$2/'Parametros'!$B$3)*(1-SQRT(1-2*(J76*1000000/('Parametros'!$B$5*H76*U76^2))/(0.85*'Parametros'!$B$2)))*H76*U76)</f>
        <v>902.906909994112</v>
      </c>
      <c r="S76" s="31" t="n">
        <v>5</v>
      </c>
      <c r="T76" s="32" t="n">
        <v>1</v>
      </c>
      <c r="U76" s="10">
        <f>IF(T76=1,I76-('Parametros'!$B$7+'Parametros'!$B$9+'Parametros'!$B$12/2),I76-(ROUNDUP(S76/2,0)*('Parametros'!$B$7+'Parametros'!$B$9+'Parametros'!$B$12/2)+ROUNDDOWN(S76/2,0)*('Parametros'!$B$7+'Parametros'!$B$9+'Parametros'!$B$12/2+'Parametros'!$B$12+'Parametros'!$B$10))/S76)</f>
        <v>489.35</v>
      </c>
      <c r="V76" s="10">
        <f>S76*'Parametros'!$B$8</f>
        <v>995</v>
      </c>
      <c r="W76" s="10">
        <f>'Parametros'!$B$5*V76*'Parametros'!$B$3*(U76-(V76*'Parametros'!$B$3/(0.85*'Parametros'!$B$2*H76))/2)/1000000</f>
        <v>176.711596147059</v>
      </c>
      <c r="X76" s="10" t="str">
        <f>IF(W76&gt;=J76,"CUMPLE","NO CUMPLE")</f>
        <v>CUMPLE</v>
      </c>
      <c r="Y76" s="10">
        <f>MAX(MAX(1.4/'Parametros'!$B$3,0.25*SQRT('Parametros'!$B$2)/'Parametros'!$B$3)*H76*AB76,(0.85*'Parametros'!$B$2/'Parametros'!$B$3)*(1-SQRT(1-2*(L76*1000000/('Parametros'!$B$5*H76*AB76^2))/(0.85*'Parametros'!$B$2)))*H76*AB76)</f>
        <v>741.219571352353</v>
      </c>
      <c r="Z76" s="31" t="n">
        <v>4</v>
      </c>
      <c r="AA76" s="32" t="n">
        <v>1</v>
      </c>
      <c r="AB76" s="10">
        <f>IF(AA76=1,I76-('Parametros'!$B$7+'Parametros'!$B$9+'Parametros'!$B$12/2),I76-(ROUNDUP(Z76/2,0)*('Parametros'!$B$7+'Parametros'!$B$9+'Parametros'!$B$12/2)+ROUNDDOWN(Z76/2,0)*('Parametros'!$B$7+'Parametros'!$B$9+'Parametros'!$B$12/2+'Parametros'!$B$12+'Parametros'!$B$10))/Z76)</f>
        <v>489.35</v>
      </c>
      <c r="AC76" s="10">
        <f>Z76*'Parametros'!$B$8</f>
        <v>796</v>
      </c>
      <c r="AD76" s="10">
        <f>'Parametros'!$B$5*AC76*'Parametros'!$B$3*(AB76-(AC76*'Parametros'!$B$3/(0.85*'Parametros'!$B$2*H76))/2)/1000000</f>
        <v>142.543330094118</v>
      </c>
      <c r="AE76" s="10" t="str">
        <f>IF(AD76&gt;=L76,"CUMPLE","NO CUMPLE")</f>
        <v>CUMPLE</v>
      </c>
      <c r="AF76" s="10">
        <f>V76*1.25*'Parametros'!$B$3*(U76-(V76*1.25*'Parametros'!$B$3/(0.85*'Parametros'!$B$2*H76))/2)/1000000</f>
        <v>242.884913970588</v>
      </c>
      <c r="AG76" s="10">
        <f>AC76*1.25*'Parametros'!$B$3*(AB76-(AC76*1.25*'Parametros'!$B$3/(0.85*'Parametros'!$B$2*H76))/2)/1000000</f>
        <v>196.346217941176</v>
      </c>
      <c r="AH76" s="10">
        <f>N76+(AF76+AG76)/D76</f>
        <v>214.384627032872</v>
      </c>
      <c r="AI76" s="10">
        <f>MAX(O76,AH76)</f>
        <v>358.983</v>
      </c>
      <c r="AJ76" s="10">
        <f>0.17*SQRT('Parametros'!$B$2)*H76*MIN(U76,AB76)/1000</f>
        <v>198.088855822627</v>
      </c>
      <c r="AK76" s="10">
        <f>MAX(AI76/'Parametros'!$B$6-AJ76,0)</f>
        <v>280.555144177373</v>
      </c>
      <c r="AL76" s="10">
        <f>0.66*SQRT('Parametros'!$B$2)*H76*MIN(U76,AB76)/1000</f>
        <v>769.050852017258</v>
      </c>
      <c r="AM76" s="10" t="str">
        <f>IF(AK76&lt;=AL76,"CUMPLE","NO CUMPLE")</f>
        <v>CUMPLE</v>
      </c>
      <c r="AN76" s="17" t="inlineStr">
        <is>
          <t>Nº3 cerrado</t>
        </is>
      </c>
      <c r="AO76" s="31" t="n">
        <v>2</v>
      </c>
      <c r="AP76" s="10">
        <f>ROUNDDOWN(MIN(IF(BC76+BD76=0,1000000000,AO76*BB76/(BC76+BD76)),MIN(U76,AB76)/4,8*'Parametros'!$B$12,24*BA76,300,IF(AV76=0,1000000000,2*((H76-2*('Parametros'!$B$7+'Parametros'!$B$9/2))+(I76-2*('Parametros'!$B$7+'Parametros'!$B$9/2)))/8))/10,0)*10</f>
        <v>100</v>
      </c>
      <c r="AQ76" s="10">
        <f>ROUNDDOWN(MIN(IF(BC76+BD76=0,1000000000,AO76*BB76/(BC76+BD76)),IF(AK76&gt;0.33*SQRT('Parametros'!$B$2)*H76*MIN(U76,AB76)/1000,MIN(U76,AB76)/4,MIN(U76,AB76)/2),600,IF(AV76=0,1000000000,2*((H76-2*('Parametros'!$B$7+'Parametros'!$B$9/2))+(I76-2*('Parametros'!$B$7+'Parametros'!$B$9/2)))/8))/10,0)*10</f>
        <v>100</v>
      </c>
      <c r="AR76" s="10">
        <f>'Parametros'!$B$6*(AJ76+MAX(BE76-BD76,0)*'Parametros'!$B$4*MIN(U76,AB76)/1000)</f>
        <v>367.45289686697</v>
      </c>
      <c r="AS76" s="10" t="str">
        <f>IF(AND(ISERROR(SEARCH("referencia",AN76)),AM76="CUMPLE",AR76&gt;=AI76),"CUMPLE","NO CUMPLE")</f>
        <v>CUMPLE</v>
      </c>
      <c r="AT76" s="10">
        <f>'Parametros'!$B$6*0.083*SQRT('Parametros'!$B$2)*(H76*I76)^2/(2*(H76+I76))/1000000</f>
        <v>10.0887830333379</v>
      </c>
      <c r="AU76" s="10" t="str">
        <f>IF(Q76&lt;=AT76,"DESPRECIABLE","DISEÑAR")</f>
        <v>DESPRECIABLE</v>
      </c>
      <c r="AV76" s="10">
        <f>IF(Q76&lt;=AT76,0,Q76*1000000/('Parametros'!$B$6*2*0.85*(H76-2*('Parametros'!$B$7+'Parametros'!$B$9/2))*(I76-2*('Parametros'!$B$7+'Parametros'!$B$9/2))*'Parametros'!$B$4))</f>
        <v>0</v>
      </c>
      <c r="AW76" s="10">
        <f>AV76*2*((H76-2*('Parametros'!$B$7+'Parametros'!$B$9/2))+(I76-2*('Parametros'!$B$7+'Parametros'!$B$9/2)))*'Parametros'!$B$4/'Parametros'!$B$3</f>
        <v>0</v>
      </c>
      <c r="AX76" s="31" t="n">
        <v>0</v>
      </c>
      <c r="AY76" s="10" t="str">
        <f>IF(AV76=0,"DESPRECIABLE",IF(AND(ISERROR(SEARCH("referencia",AN76)),BB76/AP76&gt;=AV76,BI76&gt;=AW76,BH76="CUMPLE"),"CUMPLE","NO CUMPLE"))</f>
        <v>DESPRECIABLE</v>
      </c>
      <c r="AZ76" s="10" t="str">
        <f>IF(AND(X76="CUMPLE",AE76="CUMPLE",AS76="CUMPLE",OR(AY76="CUMPLE",AY76="DESPRECIABLE"),BH76="CUMPLE",BJ76="CUMPLE"),"CUMPLE","NO CUMPLE")</f>
        <v>CUMPLE</v>
      </c>
      <c r="BA76" s="32" t="n">
        <v>9.5</v>
      </c>
      <c r="BB76" s="32" t="n">
        <v>71</v>
      </c>
      <c r="BC76" s="10">
        <f>MAX(IF(AK76=0,0,AK76*1000/('Parametros'!$B$4*MIN(U76,AB76))),MAX(0.062*SQRT('Parametros'!$B$2)*H76/'Parametros'!$B$4,0.35*H76/'Parametros'!$B$4))</f>
        <v>1.3650524951825</v>
      </c>
      <c r="BD76" s="10">
        <f>2*AV76</f>
        <v>0</v>
      </c>
      <c r="BE76" s="10">
        <f>AO76*BB76/AP76</f>
        <v>1.42</v>
      </c>
      <c r="BF76" s="10">
        <f>SQRT((AI76*1000/(H76*MIN(U76,AB76)))^2+(Q76*1000000*2*((H76-2*('Parametros'!$B$7+'Parametros'!$B$9/2))+(I76-2*('Parametros'!$B$7+'Parametros'!$B$9/2)))/(1.7*((H76-2*('Parametros'!$B$7+'Parametros'!$B$9/2))*(I76-2*('Parametros'!$B$7+'Parametros'!$B$9/2)))^2))^2)</f>
        <v>1.63124368277769</v>
      </c>
      <c r="BG76" s="10">
        <f>'Parametros'!$B$6*(AJ76*1000/(H76*MIN(U76,AB76))+0.66*SQRT('Parametros'!$B$2))</f>
        <v>3.29396038227542</v>
      </c>
      <c r="BH76" s="10" t="str">
        <f>IF(BF76&lt;=BG76,"CUMPLE","NO CUMPLE")</f>
        <v>CUMPLE</v>
      </c>
      <c r="BI76" s="10">
        <f>AX76*'Parametros'!$B$8</f>
        <v>0</v>
      </c>
      <c r="BJ76" s="10" t="str">
        <f>IF(BI76&gt;=AW76,"CUMPLE","NO CUMPLE")</f>
        <v>CUMPLE</v>
      </c>
    </row>
    <row r="77">
      <c r="A77" s="17" t="inlineStr">
        <is>
          <t>VC3</t>
        </is>
      </c>
      <c r="B77" s="17" t="inlineStr">
        <is>
          <t>290</t>
        </is>
      </c>
      <c r="C77" s="10" t="n">
        <v>1</v>
      </c>
      <c r="D77" s="10" t="n">
        <v>3.21477</v>
      </c>
      <c r="E77" s="10" t="n">
        <v>3.21477</v>
      </c>
      <c r="F77" s="10" t="n">
        <v>450</v>
      </c>
      <c r="G77" s="10" t="n">
        <v>550</v>
      </c>
      <c r="H77" s="17" t="n">
        <v>450</v>
      </c>
      <c r="I77" s="17" t="n">
        <v>550</v>
      </c>
      <c r="J77" s="30" t="n">
        <v>164.1942</v>
      </c>
      <c r="K77" s="10" t="inlineStr">
        <is>
          <t>290</t>
        </is>
      </c>
      <c r="L77" s="30" t="n">
        <v>135.3906</v>
      </c>
      <c r="M77" s="10" t="inlineStr">
        <is>
          <t>290</t>
        </is>
      </c>
      <c r="N77" s="30" t="n">
        <v>100.823</v>
      </c>
      <c r="O77" s="30" t="n">
        <v>379.714</v>
      </c>
      <c r="P77" s="10" t="inlineStr">
        <is>
          <t>290</t>
        </is>
      </c>
      <c r="Q77" s="30" t="n">
        <v>14.379</v>
      </c>
      <c r="R77" s="10">
        <f>MAX(MAX(1.4/'Parametros'!$B$3,0.25*SQRT('Parametros'!$B$2)/'Parametros'!$B$3)*H77*U77,(0.85*'Parametros'!$B$2/'Parametros'!$B$3)*(1-SQRT(1-2*(J77*1000000/('Parametros'!$B$5*H77*U77^2))/(0.85*'Parametros'!$B$2)))*H77*U77)</f>
        <v>921.699479060286</v>
      </c>
      <c r="S77" s="31" t="n">
        <v>5</v>
      </c>
      <c r="T77" s="32" t="n">
        <v>1</v>
      </c>
      <c r="U77" s="10">
        <f>IF(T77=1,I77-('Parametros'!$B$7+'Parametros'!$B$9+'Parametros'!$B$12/2),I77-(ROUNDUP(S77/2,0)*('Parametros'!$B$7+'Parametros'!$B$9+'Parametros'!$B$12/2)+ROUNDDOWN(S77/2,0)*('Parametros'!$B$7+'Parametros'!$B$9+'Parametros'!$B$12/2+'Parametros'!$B$12+'Parametros'!$B$10))/S77)</f>
        <v>489.35</v>
      </c>
      <c r="V77" s="10">
        <f>S77*'Parametros'!$B$8</f>
        <v>995</v>
      </c>
      <c r="W77" s="10">
        <f>'Parametros'!$B$5*V77*'Parametros'!$B$3*(U77-(V77*'Parametros'!$B$3/(0.85*'Parametros'!$B$2*H77))/2)/1000000</f>
        <v>176.711596147059</v>
      </c>
      <c r="X77" s="10" t="str">
        <f>IF(W77&gt;=J77,"CUMPLE","NO CUMPLE")</f>
        <v>CUMPLE</v>
      </c>
      <c r="Y77" s="10">
        <f>MAX(MAX(1.4/'Parametros'!$B$3,0.25*SQRT('Parametros'!$B$2)/'Parametros'!$B$3)*H77*AB77,(0.85*'Parametros'!$B$2/'Parametros'!$B$3)*(1-SQRT(1-2*(L77*1000000/('Parametros'!$B$5*H77*AB77^2))/(0.85*'Parametros'!$B$2)))*H77*AB77)</f>
        <v>754.769223479636</v>
      </c>
      <c r="Z77" s="31" t="n">
        <v>4</v>
      </c>
      <c r="AA77" s="32" t="n">
        <v>1</v>
      </c>
      <c r="AB77" s="10">
        <f>IF(AA77=1,I77-('Parametros'!$B$7+'Parametros'!$B$9+'Parametros'!$B$12/2),I77-(ROUNDUP(Z77/2,0)*('Parametros'!$B$7+'Parametros'!$B$9+'Parametros'!$B$12/2)+ROUNDDOWN(Z77/2,0)*('Parametros'!$B$7+'Parametros'!$B$9+'Parametros'!$B$12/2+'Parametros'!$B$12+'Parametros'!$B$10))/Z77)</f>
        <v>489.35</v>
      </c>
      <c r="AC77" s="10">
        <f>Z77*'Parametros'!$B$8</f>
        <v>796</v>
      </c>
      <c r="AD77" s="10">
        <f>'Parametros'!$B$5*AC77*'Parametros'!$B$3*(AB77-(AC77*'Parametros'!$B$3/(0.85*'Parametros'!$B$2*H77))/2)/1000000</f>
        <v>142.543330094118</v>
      </c>
      <c r="AE77" s="10" t="str">
        <f>IF(AD77&gt;=L77,"CUMPLE","NO CUMPLE")</f>
        <v>CUMPLE</v>
      </c>
      <c r="AF77" s="10">
        <f>V77*1.25*'Parametros'!$B$3*(U77-(V77*1.25*'Parametros'!$B$3/(0.85*'Parametros'!$B$2*H77))/2)/1000000</f>
        <v>242.884913970588</v>
      </c>
      <c r="AG77" s="10">
        <f>AC77*1.25*'Parametros'!$B$3*(AB77-(AC77*1.25*'Parametros'!$B$3/(0.85*'Parametros'!$B$2*H77))/2)/1000000</f>
        <v>196.346217941176</v>
      </c>
      <c r="AH77" s="10">
        <f>N77+(AF77+AG77)/D77</f>
        <v>237.452100032589</v>
      </c>
      <c r="AI77" s="10">
        <f>MAX(O77,AH77)</f>
        <v>379.714</v>
      </c>
      <c r="AJ77" s="10">
        <f>0.17*SQRT('Parametros'!$B$2)*H77*MIN(U77,AB77)/1000</f>
        <v>198.088855822627</v>
      </c>
      <c r="AK77" s="10">
        <f>MAX(AI77/'Parametros'!$B$6-AJ77,0)</f>
        <v>308.196477510706</v>
      </c>
      <c r="AL77" s="10">
        <f>0.66*SQRT('Parametros'!$B$2)*H77*MIN(U77,AB77)/1000</f>
        <v>769.050852017258</v>
      </c>
      <c r="AM77" s="10" t="str">
        <f>IF(AK77&lt;=AL77,"CUMPLE","NO CUMPLE")</f>
        <v>CUMPLE</v>
      </c>
      <c r="AN77" s="17" t="inlineStr">
        <is>
          <t>Nº4 cerrado</t>
        </is>
      </c>
      <c r="AO77" s="31" t="n">
        <v>2</v>
      </c>
      <c r="AP77" s="10">
        <f>ROUNDDOWN(MIN(IF(BC77+BD77=0,1000000000,AO77*BB77/(BC77+BD77)),MIN(U77,AB77)/4,8*'Parametros'!$B$12,24*BA77,300,IF(AV77=0,1000000000,2*((H77-2*('Parametros'!$B$7+'Parametros'!$B$9/2))+(I77-2*('Parametros'!$B$7+'Parametros'!$B$9/2)))/8))/10,0)*10</f>
        <v>120</v>
      </c>
      <c r="AQ77" s="10">
        <f>ROUNDDOWN(MIN(IF(BC77+BD77=0,1000000000,AO77*BB77/(BC77+BD77)),IF(AK77&gt;0.33*SQRT('Parametros'!$B$2)*H77*MIN(U77,AB77)/1000,MIN(U77,AB77)/4,MIN(U77,AB77)/2),600,IF(AV77=0,1000000000,2*((H77-2*('Parametros'!$B$7+'Parametros'!$B$9/2))+(I77-2*('Parametros'!$B$7+'Parametros'!$B$9/2)))/8))/10,0)*10</f>
        <v>140</v>
      </c>
      <c r="AR77" s="10">
        <f>'Parametros'!$B$6*(AJ77+MAX(BE77-BD77,0)*'Parametros'!$B$4*MIN(U77,AB77)/1000)</f>
        <v>429.315435888426</v>
      </c>
      <c r="AS77" s="10" t="str">
        <f>IF(AND(ISERROR(SEARCH("referencia",AN77)),AM77="CUMPLE",AR77&gt;=AI77),"CUMPLE","NO CUMPLE")</f>
        <v>CUMPLE</v>
      </c>
      <c r="AT77" s="10">
        <f>'Parametros'!$B$6*0.083*SQRT('Parametros'!$B$2)*(H77*I77)^2/(2*(H77+I77))/1000000</f>
        <v>10.0887830333379</v>
      </c>
      <c r="AU77" s="10" t="str">
        <f>IF(Q77&lt;=AT77,"DESPRECIABLE","DISEÑAR")</f>
        <v>DISEÑAR</v>
      </c>
      <c r="AV77" s="10">
        <f>IF(Q77&lt;=AT77,0,Q77*1000000/('Parametros'!$B$6*2*0.85*(H77-2*('Parametros'!$B$7+'Parametros'!$B$9/2))*(I77-2*('Parametros'!$B$7+'Parametros'!$B$9/2))*'Parametros'!$B$4))</f>
        <v>0.164336862402651</v>
      </c>
      <c r="AW77" s="10">
        <f>AV77*2*((H77-2*('Parametros'!$B$7+'Parametros'!$B$9/2))+(I77-2*('Parametros'!$B$7+'Parametros'!$B$9/2)))*'Parametros'!$B$4/'Parametros'!$B$3</f>
        <v>267.737616226399</v>
      </c>
      <c r="AX77" s="31" t="n">
        <v>8</v>
      </c>
      <c r="AY77" s="10" t="str">
        <f>IF(AV77=0,"DESPRECIABLE",IF(AND(ISERROR(SEARCH("referencia",AN77)),BB77/AP77&gt;=AV77,BI77&gt;=AW77,BH77="CUMPLE"),"CUMPLE","NO CUMPLE"))</f>
        <v>CUMPLE</v>
      </c>
      <c r="AZ77" s="10" t="str">
        <f>IF(AND(X77="CUMPLE",AE77="CUMPLE",AS77="CUMPLE",OR(AY77="CUMPLE",AY77="DESPRECIABLE"),BH77="CUMPLE",BJ77="CUMPLE"),"CUMPLE","NO CUMPLE")</f>
        <v>CUMPLE</v>
      </c>
      <c r="BA77" s="32" t="n">
        <v>12.7</v>
      </c>
      <c r="BB77" s="32" t="n">
        <v>129</v>
      </c>
      <c r="BC77" s="10">
        <f>MAX(IF(AK77=0,0,AK77*1000/('Parametros'!$B$4*MIN(U77,AB77))),MAX(0.062*SQRT('Parametros'!$B$2)*H77/'Parametros'!$B$4,0.35*H77/'Parametros'!$B$4))</f>
        <v>1.49954252974405</v>
      </c>
      <c r="BD77" s="10">
        <f>2*AV77</f>
        <v>0.328673724805303</v>
      </c>
      <c r="BE77" s="10">
        <f>AO77*BB77/AP77</f>
        <v>2.15</v>
      </c>
      <c r="BF77" s="10">
        <f>SQRT((AI77*1000/(H77*MIN(U77,AB77)))^2+(Q77*1000000*2*((H77-2*('Parametros'!$B$7+'Parametros'!$B$9/2))+(I77-2*('Parametros'!$B$7+'Parametros'!$B$9/2)))/(1.7*((H77-2*('Parametros'!$B$7+'Parametros'!$B$9/2))*(I77-2*('Parametros'!$B$7+'Parametros'!$B$9/2)))^2))^2)</f>
        <v>1.79994255318441</v>
      </c>
      <c r="BG77" s="10">
        <f>'Parametros'!$B$6*(AJ77*1000/(H77*MIN(U77,AB77))+0.66*SQRT('Parametros'!$B$2))</f>
        <v>3.29396038227542</v>
      </c>
      <c r="BH77" s="10" t="str">
        <f>IF(BF77&lt;=BG77,"CUMPLE","NO CUMPLE")</f>
        <v>CUMPLE</v>
      </c>
      <c r="BI77" s="10">
        <f>AX77*'Parametros'!$B$8</f>
        <v>1592</v>
      </c>
      <c r="BJ77" s="10" t="str">
        <f>IF(BI77&gt;=AW77,"CUMPLE","NO CUMPLE")</f>
        <v>CUMPLE</v>
      </c>
    </row>
    <row r="78">
      <c r="A78" s="17" t="inlineStr">
        <is>
          <t>VC3</t>
        </is>
      </c>
      <c r="B78" s="17" t="inlineStr">
        <is>
          <t>291</t>
        </is>
      </c>
      <c r="C78" s="10" t="n">
        <v>1</v>
      </c>
      <c r="D78" s="10" t="n">
        <v>3.21477</v>
      </c>
      <c r="E78" s="10" t="n">
        <v>3.21477</v>
      </c>
      <c r="F78" s="10" t="n">
        <v>450</v>
      </c>
      <c r="G78" s="10" t="n">
        <v>550</v>
      </c>
      <c r="H78" s="17" t="n">
        <v>450</v>
      </c>
      <c r="I78" s="17" t="n">
        <v>550</v>
      </c>
      <c r="J78" s="30" t="n">
        <v>164.1423</v>
      </c>
      <c r="K78" s="10" t="inlineStr">
        <is>
          <t>291</t>
        </is>
      </c>
      <c r="L78" s="30" t="n">
        <v>135.3543</v>
      </c>
      <c r="M78" s="10" t="inlineStr">
        <is>
          <t>291</t>
        </is>
      </c>
      <c r="N78" s="30" t="n">
        <v>100.795</v>
      </c>
      <c r="O78" s="30" t="n">
        <v>379.747</v>
      </c>
      <c r="P78" s="10" t="inlineStr">
        <is>
          <t>291</t>
        </is>
      </c>
      <c r="Q78" s="30" t="n">
        <v>14.3698</v>
      </c>
      <c r="R78" s="10">
        <f>MAX(MAX(1.4/'Parametros'!$B$3,0.25*SQRT('Parametros'!$B$2)/'Parametros'!$B$3)*H78*U78,(0.85*'Parametros'!$B$2/'Parametros'!$B$3)*(1-SQRT(1-2*(J78*1000000/('Parametros'!$B$5*H78*U78^2))/(0.85*'Parametros'!$B$2)))*H78*U78)</f>
        <v>921.39652606728</v>
      </c>
      <c r="S78" s="31" t="n">
        <v>5</v>
      </c>
      <c r="T78" s="32" t="n">
        <v>1</v>
      </c>
      <c r="U78" s="10">
        <f>IF(T78=1,I78-('Parametros'!$B$7+'Parametros'!$B$9+'Parametros'!$B$12/2),I78-(ROUNDUP(S78/2,0)*('Parametros'!$B$7+'Parametros'!$B$9+'Parametros'!$B$12/2)+ROUNDDOWN(S78/2,0)*('Parametros'!$B$7+'Parametros'!$B$9+'Parametros'!$B$12/2+'Parametros'!$B$12+'Parametros'!$B$10))/S78)</f>
        <v>489.35</v>
      </c>
      <c r="V78" s="10">
        <f>S78*'Parametros'!$B$8</f>
        <v>995</v>
      </c>
      <c r="W78" s="10">
        <f>'Parametros'!$B$5*V78*'Parametros'!$B$3*(U78-(V78*'Parametros'!$B$3/(0.85*'Parametros'!$B$2*H78))/2)/1000000</f>
        <v>176.711596147059</v>
      </c>
      <c r="X78" s="10" t="str">
        <f>IF(W78&gt;=J78,"CUMPLE","NO CUMPLE")</f>
        <v>CUMPLE</v>
      </c>
      <c r="Y78" s="10">
        <f>MAX(MAX(1.4/'Parametros'!$B$3,0.25*SQRT('Parametros'!$B$2)/'Parametros'!$B$3)*H78*AB78,(0.85*'Parametros'!$B$2/'Parametros'!$B$3)*(1-SQRT(1-2*(L78*1000000/('Parametros'!$B$5*H78*AB78^2))/(0.85*'Parametros'!$B$2)))*H78*AB78)</f>
        <v>754.560347702666</v>
      </c>
      <c r="Z78" s="31" t="n">
        <v>4</v>
      </c>
      <c r="AA78" s="32" t="n">
        <v>1</v>
      </c>
      <c r="AB78" s="10">
        <f>IF(AA78=1,I78-('Parametros'!$B$7+'Parametros'!$B$9+'Parametros'!$B$12/2),I78-(ROUNDUP(Z78/2,0)*('Parametros'!$B$7+'Parametros'!$B$9+'Parametros'!$B$12/2)+ROUNDDOWN(Z78/2,0)*('Parametros'!$B$7+'Parametros'!$B$9+'Parametros'!$B$12/2+'Parametros'!$B$12+'Parametros'!$B$10))/Z78)</f>
        <v>489.35</v>
      </c>
      <c r="AC78" s="10">
        <f>Z78*'Parametros'!$B$8</f>
        <v>796</v>
      </c>
      <c r="AD78" s="10">
        <f>'Parametros'!$B$5*AC78*'Parametros'!$B$3*(AB78-(AC78*'Parametros'!$B$3/(0.85*'Parametros'!$B$2*H78))/2)/1000000</f>
        <v>142.543330094118</v>
      </c>
      <c r="AE78" s="10" t="str">
        <f>IF(AD78&gt;=L78,"CUMPLE","NO CUMPLE")</f>
        <v>CUMPLE</v>
      </c>
      <c r="AF78" s="10">
        <f>V78*1.25*'Parametros'!$B$3*(U78-(V78*1.25*'Parametros'!$B$3/(0.85*'Parametros'!$B$2*H78))/2)/1000000</f>
        <v>242.884913970588</v>
      </c>
      <c r="AG78" s="10">
        <f>AC78*1.25*'Parametros'!$B$3*(AB78-(AC78*1.25*'Parametros'!$B$3/(0.85*'Parametros'!$B$2*H78))/2)/1000000</f>
        <v>196.346217941176</v>
      </c>
      <c r="AH78" s="10">
        <f>N78+(AF78+AG78)/D78</f>
        <v>237.424100032589</v>
      </c>
      <c r="AI78" s="10">
        <f>MAX(O78,AH78)</f>
        <v>379.747</v>
      </c>
      <c r="AJ78" s="10">
        <f>0.17*SQRT('Parametros'!$B$2)*H78*MIN(U78,AB78)/1000</f>
        <v>198.088855822627</v>
      </c>
      <c r="AK78" s="10">
        <f>MAX(AI78/'Parametros'!$B$6-AJ78,0)</f>
        <v>308.240477510706</v>
      </c>
      <c r="AL78" s="10">
        <f>0.66*SQRT('Parametros'!$B$2)*H78*MIN(U78,AB78)/1000</f>
        <v>769.050852017258</v>
      </c>
      <c r="AM78" s="10" t="str">
        <f>IF(AK78&lt;=AL78,"CUMPLE","NO CUMPLE")</f>
        <v>CUMPLE</v>
      </c>
      <c r="AN78" s="17" t="inlineStr">
        <is>
          <t>Nº4 cerrado</t>
        </is>
      </c>
      <c r="AO78" s="31" t="n">
        <v>2</v>
      </c>
      <c r="AP78" s="10">
        <f>ROUNDDOWN(MIN(IF(BC78+BD78=0,1000000000,AO78*BB78/(BC78+BD78)),MIN(U78,AB78)/4,8*'Parametros'!$B$12,24*BA78,300,IF(AV78=0,1000000000,2*((H78-2*('Parametros'!$B$7+'Parametros'!$B$9/2))+(I78-2*('Parametros'!$B$7+'Parametros'!$B$9/2)))/8))/10,0)*10</f>
        <v>120</v>
      </c>
      <c r="AQ78" s="10">
        <f>ROUNDDOWN(MIN(IF(BC78+BD78=0,1000000000,AO78*BB78/(BC78+BD78)),IF(AK78&gt;0.33*SQRT('Parametros'!$B$2)*H78*MIN(U78,AB78)/1000,MIN(U78,AB78)/4,MIN(U78,AB78)/2),600,IF(AV78=0,1000000000,2*((H78-2*('Parametros'!$B$7+'Parametros'!$B$9/2))+(I78-2*('Parametros'!$B$7+'Parametros'!$B$9/2)))/8))/10,0)*10</f>
        <v>140</v>
      </c>
      <c r="AR78" s="10">
        <f>'Parametros'!$B$6*(AJ78+MAX(BE78-BD78,0)*'Parametros'!$B$4*MIN(U78,AB78)/1000)</f>
        <v>429.347851504254</v>
      </c>
      <c r="AS78" s="10" t="str">
        <f>IF(AND(ISERROR(SEARCH("referencia",AN78)),AM78="CUMPLE",AR78&gt;=AI78),"CUMPLE","NO CUMPLE")</f>
        <v>CUMPLE</v>
      </c>
      <c r="AT78" s="10">
        <f>'Parametros'!$B$6*0.083*SQRT('Parametros'!$B$2)*(H78*I78)^2/(2*(H78+I78))/1000000</f>
        <v>10.0887830333379</v>
      </c>
      <c r="AU78" s="10" t="str">
        <f>IF(Q78&lt;=AT78,"DESPRECIABLE","DISEÑAR")</f>
        <v>DISEÑAR</v>
      </c>
      <c r="AV78" s="10">
        <f>IF(Q78&lt;=AT78,0,Q78*1000000/('Parametros'!$B$6*2*0.85*(H78-2*('Parametros'!$B$7+'Parametros'!$B$9/2))*(I78-2*('Parametros'!$B$7+'Parametros'!$B$9/2))*'Parametros'!$B$4))</f>
        <v>0.164231716068824</v>
      </c>
      <c r="AW78" s="10">
        <f>AV78*2*((H78-2*('Parametros'!$B$7+'Parametros'!$B$9/2))+(I78-2*('Parametros'!$B$7+'Parametros'!$B$9/2)))*'Parametros'!$B$4/'Parametros'!$B$3</f>
        <v>267.566311819328</v>
      </c>
      <c r="AX78" s="31" t="n">
        <v>8</v>
      </c>
      <c r="AY78" s="10" t="str">
        <f>IF(AV78=0,"DESPRECIABLE",IF(AND(ISERROR(SEARCH("referencia",AN78)),BB78/AP78&gt;=AV78,BI78&gt;=AW78,BH78="CUMPLE"),"CUMPLE","NO CUMPLE"))</f>
        <v>CUMPLE</v>
      </c>
      <c r="AZ78" s="10" t="str">
        <f>IF(AND(X78="CUMPLE",AE78="CUMPLE",AS78="CUMPLE",OR(AY78="CUMPLE",AY78="DESPRECIABLE"),BH78="CUMPLE",BJ78="CUMPLE"),"CUMPLE","NO CUMPLE")</f>
        <v>CUMPLE</v>
      </c>
      <c r="BA78" s="32" t="n">
        <v>12.7</v>
      </c>
      <c r="BB78" s="32" t="n">
        <v>129</v>
      </c>
      <c r="BC78" s="10">
        <f>MAX(IF(AK78=0,0,AK78*1000/('Parametros'!$B$4*MIN(U78,AB78))),MAX(0.062*SQRT('Parametros'!$B$2)*H78/'Parametros'!$B$4,0.35*H78/'Parametros'!$B$4))</f>
        <v>1.4997566135384</v>
      </c>
      <c r="BD78" s="10">
        <f>2*AV78</f>
        <v>0.328463432137648</v>
      </c>
      <c r="BE78" s="10">
        <f>AO78*BB78/AP78</f>
        <v>2.15</v>
      </c>
      <c r="BF78" s="10">
        <f>SQRT((AI78*1000/(H78*MIN(U78,AB78)))^2+(Q78*1000000*2*((H78-2*('Parametros'!$B$7+'Parametros'!$B$9/2))+(I78-2*('Parametros'!$B$7+'Parametros'!$B$9/2)))/(1.7*((H78-2*('Parametros'!$B$7+'Parametros'!$B$9/2))*(I78-2*('Parametros'!$B$7+'Parametros'!$B$9/2)))^2))^2)</f>
        <v>1.79999144897156</v>
      </c>
      <c r="BG78" s="10">
        <f>'Parametros'!$B$6*(AJ78*1000/(H78*MIN(U78,AB78))+0.66*SQRT('Parametros'!$B$2))</f>
        <v>3.29396038227542</v>
      </c>
      <c r="BH78" s="10" t="str">
        <f>IF(BF78&lt;=BG78,"CUMPLE","NO CUMPLE")</f>
        <v>CUMPLE</v>
      </c>
      <c r="BI78" s="10">
        <f>AX78*'Parametros'!$B$8</f>
        <v>1592</v>
      </c>
      <c r="BJ78" s="10" t="str">
        <f>IF(BI78&gt;=AW78,"CUMPLE","NO CUMPLE")</f>
        <v>CUMPLE</v>
      </c>
    </row>
    <row r="79">
      <c r="A79" s="17" t="inlineStr">
        <is>
          <t>VC3</t>
        </is>
      </c>
      <c r="B79" s="17" t="inlineStr">
        <is>
          <t>292</t>
        </is>
      </c>
      <c r="C79" s="10" t="n">
        <v>1</v>
      </c>
      <c r="D79" s="10" t="n">
        <v>3.4</v>
      </c>
      <c r="E79" s="10" t="n">
        <v>3.4</v>
      </c>
      <c r="F79" s="10" t="n">
        <v>450</v>
      </c>
      <c r="G79" s="10" t="n">
        <v>550</v>
      </c>
      <c r="H79" s="17" t="n">
        <v>450</v>
      </c>
      <c r="I79" s="17" t="n">
        <v>550</v>
      </c>
      <c r="J79" s="30" t="n">
        <v>160.9476</v>
      </c>
      <c r="K79" s="10" t="inlineStr">
        <is>
          <t>292</t>
        </is>
      </c>
      <c r="L79" s="30" t="n">
        <v>133.0489</v>
      </c>
      <c r="M79" s="10" t="inlineStr">
        <is>
          <t>292</t>
        </is>
      </c>
      <c r="N79" s="30" t="n">
        <v>85.18600000000001</v>
      </c>
      <c r="O79" s="30" t="n">
        <v>358.971</v>
      </c>
      <c r="P79" s="10" t="inlineStr">
        <is>
          <t>292</t>
        </is>
      </c>
      <c r="Q79" s="30" t="n">
        <v>1.6246</v>
      </c>
      <c r="R79" s="10">
        <f>MAX(MAX(1.4/'Parametros'!$B$3,0.25*SQRT('Parametros'!$B$2)/'Parametros'!$B$3)*H79*U79,(0.85*'Parametros'!$B$2/'Parametros'!$B$3)*(1-SQRT(1-2*(J79*1000000/('Parametros'!$B$5*H79*U79^2))/(0.85*'Parametros'!$B$2)))*H79*U79)</f>
        <v>902.7635459114</v>
      </c>
      <c r="S79" s="31" t="n">
        <v>5</v>
      </c>
      <c r="T79" s="32" t="n">
        <v>1</v>
      </c>
      <c r="U79" s="10">
        <f>IF(T79=1,I79-('Parametros'!$B$7+'Parametros'!$B$9+'Parametros'!$B$12/2),I79-(ROUNDUP(S79/2,0)*('Parametros'!$B$7+'Parametros'!$B$9+'Parametros'!$B$12/2)+ROUNDDOWN(S79/2,0)*('Parametros'!$B$7+'Parametros'!$B$9+'Parametros'!$B$12/2+'Parametros'!$B$12+'Parametros'!$B$10))/S79)</f>
        <v>489.35</v>
      </c>
      <c r="V79" s="10">
        <f>S79*'Parametros'!$B$8</f>
        <v>995</v>
      </c>
      <c r="W79" s="10">
        <f>'Parametros'!$B$5*V79*'Parametros'!$B$3*(U79-(V79*'Parametros'!$B$3/(0.85*'Parametros'!$B$2*H79))/2)/1000000</f>
        <v>176.711596147059</v>
      </c>
      <c r="X79" s="10" t="str">
        <f>IF(W79&gt;=J79,"CUMPLE","NO CUMPLE")</f>
        <v>CUMPLE</v>
      </c>
      <c r="Y79" s="10">
        <f>MAX(MAX(1.4/'Parametros'!$B$3,0.25*SQRT('Parametros'!$B$2)/'Parametros'!$B$3)*H79*AB79,(0.85*'Parametros'!$B$2/'Parametros'!$B$3)*(1-SQRT(1-2*(L79*1000000/('Parametros'!$B$5*H79*AB79^2))/(0.85*'Parametros'!$B$2)))*H79*AB79)</f>
        <v>741.302336538868</v>
      </c>
      <c r="Z79" s="31" t="n">
        <v>4</v>
      </c>
      <c r="AA79" s="32" t="n">
        <v>1</v>
      </c>
      <c r="AB79" s="10">
        <f>IF(AA79=1,I79-('Parametros'!$B$7+'Parametros'!$B$9+'Parametros'!$B$12/2),I79-(ROUNDUP(Z79/2,0)*('Parametros'!$B$7+'Parametros'!$B$9+'Parametros'!$B$12/2)+ROUNDDOWN(Z79/2,0)*('Parametros'!$B$7+'Parametros'!$B$9+'Parametros'!$B$12/2+'Parametros'!$B$12+'Parametros'!$B$10))/Z79)</f>
        <v>489.35</v>
      </c>
      <c r="AC79" s="10">
        <f>Z79*'Parametros'!$B$8</f>
        <v>796</v>
      </c>
      <c r="AD79" s="10">
        <f>'Parametros'!$B$5*AC79*'Parametros'!$B$3*(AB79-(AC79*'Parametros'!$B$3/(0.85*'Parametros'!$B$2*H79))/2)/1000000</f>
        <v>142.543330094118</v>
      </c>
      <c r="AE79" s="10" t="str">
        <f>IF(AD79&gt;=L79,"CUMPLE","NO CUMPLE")</f>
        <v>CUMPLE</v>
      </c>
      <c r="AF79" s="10">
        <f>V79*1.25*'Parametros'!$B$3*(U79-(V79*1.25*'Parametros'!$B$3/(0.85*'Parametros'!$B$2*H79))/2)/1000000</f>
        <v>242.884913970588</v>
      </c>
      <c r="AG79" s="10">
        <f>AC79*1.25*'Parametros'!$B$3*(AB79-(AC79*1.25*'Parametros'!$B$3/(0.85*'Parametros'!$B$2*H79))/2)/1000000</f>
        <v>196.346217941176</v>
      </c>
      <c r="AH79" s="10">
        <f>N79+(AF79+AG79)/D79</f>
        <v>214.371627032872</v>
      </c>
      <c r="AI79" s="10">
        <f>MAX(O79,AH79)</f>
        <v>358.971</v>
      </c>
      <c r="AJ79" s="10">
        <f>0.17*SQRT('Parametros'!$B$2)*H79*MIN(U79,AB79)/1000</f>
        <v>198.088855822627</v>
      </c>
      <c r="AK79" s="10">
        <f>MAX(AI79/'Parametros'!$B$6-AJ79,0)</f>
        <v>280.539144177373</v>
      </c>
      <c r="AL79" s="10">
        <f>0.66*SQRT('Parametros'!$B$2)*H79*MIN(U79,AB79)/1000</f>
        <v>769.050852017258</v>
      </c>
      <c r="AM79" s="10" t="str">
        <f>IF(AK79&lt;=AL79,"CUMPLE","NO CUMPLE")</f>
        <v>CUMPLE</v>
      </c>
      <c r="AN79" s="17" t="inlineStr">
        <is>
          <t>Nº3 cerrado</t>
        </is>
      </c>
      <c r="AO79" s="31" t="n">
        <v>2</v>
      </c>
      <c r="AP79" s="10">
        <f>ROUNDDOWN(MIN(IF(BC79+BD79=0,1000000000,AO79*BB79/(BC79+BD79)),MIN(U79,AB79)/4,8*'Parametros'!$B$12,24*BA79,300,IF(AV79=0,1000000000,2*((H79-2*('Parametros'!$B$7+'Parametros'!$B$9/2))+(I79-2*('Parametros'!$B$7+'Parametros'!$B$9/2)))/8))/10,0)*10</f>
        <v>100</v>
      </c>
      <c r="AQ79" s="10">
        <f>ROUNDDOWN(MIN(IF(BC79+BD79=0,1000000000,AO79*BB79/(BC79+BD79)),IF(AK79&gt;0.33*SQRT('Parametros'!$B$2)*H79*MIN(U79,AB79)/1000,MIN(U79,AB79)/4,MIN(U79,AB79)/2),600,IF(AV79=0,1000000000,2*((H79-2*('Parametros'!$B$7+'Parametros'!$B$9/2))+(I79-2*('Parametros'!$B$7+'Parametros'!$B$9/2)))/8))/10,0)*10</f>
        <v>100</v>
      </c>
      <c r="AR79" s="10">
        <f>'Parametros'!$B$6*(AJ79+MAX(BE79-BD79,0)*'Parametros'!$B$4*MIN(U79,AB79)/1000)</f>
        <v>367.45289686697</v>
      </c>
      <c r="AS79" s="10" t="str">
        <f>IF(AND(ISERROR(SEARCH("referencia",AN79)),AM79="CUMPLE",AR79&gt;=AI79),"CUMPLE","NO CUMPLE")</f>
        <v>CUMPLE</v>
      </c>
      <c r="AT79" s="10">
        <f>'Parametros'!$B$6*0.083*SQRT('Parametros'!$B$2)*(H79*I79)^2/(2*(H79+I79))/1000000</f>
        <v>10.0887830333379</v>
      </c>
      <c r="AU79" s="10" t="str">
        <f>IF(Q79&lt;=AT79,"DESPRECIABLE","DISEÑAR")</f>
        <v>DESPRECIABLE</v>
      </c>
      <c r="AV79" s="10">
        <f>IF(Q79&lt;=AT79,0,Q79*1000000/('Parametros'!$B$6*2*0.85*(H79-2*('Parametros'!$B$7+'Parametros'!$B$9/2))*(I79-2*('Parametros'!$B$7+'Parametros'!$B$9/2))*'Parametros'!$B$4))</f>
        <v>0</v>
      </c>
      <c r="AW79" s="10">
        <f>AV79*2*((H79-2*('Parametros'!$B$7+'Parametros'!$B$9/2))+(I79-2*('Parametros'!$B$7+'Parametros'!$B$9/2)))*'Parametros'!$B$4/'Parametros'!$B$3</f>
        <v>0</v>
      </c>
      <c r="AX79" s="31" t="n">
        <v>0</v>
      </c>
      <c r="AY79" s="10" t="str">
        <f>IF(AV79=0,"DESPRECIABLE",IF(AND(ISERROR(SEARCH("referencia",AN79)),BB79/AP79&gt;=AV79,BI79&gt;=AW79,BH79="CUMPLE"),"CUMPLE","NO CUMPLE"))</f>
        <v>DESPRECIABLE</v>
      </c>
      <c r="AZ79" s="10" t="str">
        <f>IF(AND(X79="CUMPLE",AE79="CUMPLE",AS79="CUMPLE",OR(AY79="CUMPLE",AY79="DESPRECIABLE"),BH79="CUMPLE",BJ79="CUMPLE"),"CUMPLE","NO CUMPLE")</f>
        <v>CUMPLE</v>
      </c>
      <c r="BA79" s="32" t="n">
        <v>9.5</v>
      </c>
      <c r="BB79" s="32" t="n">
        <v>71</v>
      </c>
      <c r="BC79" s="10">
        <f>MAX(IF(AK79=0,0,AK79*1000/('Parametros'!$B$4*MIN(U79,AB79))),MAX(0.062*SQRT('Parametros'!$B$2)*H79/'Parametros'!$B$4,0.35*H79/'Parametros'!$B$4))</f>
        <v>1.36497464653001</v>
      </c>
      <c r="BD79" s="10">
        <f>2*AV79</f>
        <v>0</v>
      </c>
      <c r="BE79" s="10">
        <f>AO79*BB79/AP79</f>
        <v>1.42</v>
      </c>
      <c r="BF79" s="10">
        <f>SQRT((AI79*1000/(H79*MIN(U79,AB79)))^2+(Q79*1000000*2*((H79-2*('Parametros'!$B$7+'Parametros'!$B$9/2))+(I79-2*('Parametros'!$B$7+'Parametros'!$B$9/2)))/(1.7*((H79-2*('Parametros'!$B$7+'Parametros'!$B$9/2))*(I79-2*('Parametros'!$B$7+'Parametros'!$B$9/2)))^2))^2)</f>
        <v>1.63119166047606</v>
      </c>
      <c r="BG79" s="10">
        <f>'Parametros'!$B$6*(AJ79*1000/(H79*MIN(U79,AB79))+0.66*SQRT('Parametros'!$B$2))</f>
        <v>3.29396038227542</v>
      </c>
      <c r="BH79" s="10" t="str">
        <f>IF(BF79&lt;=BG79,"CUMPLE","NO CUMPLE")</f>
        <v>CUMPLE</v>
      </c>
      <c r="BI79" s="10">
        <f>AX79*'Parametros'!$B$8</f>
        <v>0</v>
      </c>
      <c r="BJ79" s="10" t="str">
        <f>IF(BI79&gt;=AW79,"CUMPLE","NO CUMPLE")</f>
        <v>CUMPLE</v>
      </c>
    </row>
    <row r="80">
      <c r="A80" s="17" t="inlineStr">
        <is>
          <t>VC3</t>
        </is>
      </c>
      <c r="B80" s="17" t="inlineStr">
        <is>
          <t>815</t>
        </is>
      </c>
      <c r="C80" s="10" t="n">
        <v>1</v>
      </c>
      <c r="D80" s="10" t="n">
        <v>3.4</v>
      </c>
      <c r="E80" s="10" t="n">
        <v>3.4</v>
      </c>
      <c r="F80" s="10" t="n">
        <v>450</v>
      </c>
      <c r="G80" s="10" t="n">
        <v>550</v>
      </c>
      <c r="H80" s="17" t="n">
        <v>450</v>
      </c>
      <c r="I80" s="17" t="n">
        <v>550</v>
      </c>
      <c r="J80" s="30" t="n">
        <v>129.3467</v>
      </c>
      <c r="K80" s="10" t="inlineStr">
        <is>
          <t>815</t>
        </is>
      </c>
      <c r="L80" s="30" t="n">
        <v>96.6387</v>
      </c>
      <c r="M80" s="10" t="inlineStr">
        <is>
          <t>815</t>
        </is>
      </c>
      <c r="N80" s="30" t="n">
        <v>69.962</v>
      </c>
      <c r="O80" s="30" t="n">
        <v>277.328</v>
      </c>
      <c r="P80" s="10" t="inlineStr">
        <is>
          <t>815</t>
        </is>
      </c>
      <c r="Q80" s="30" t="n">
        <v>1.2752</v>
      </c>
      <c r="R80" s="10">
        <f>MAX(MAX(1.4/'Parametros'!$B$3,0.25*SQRT('Parametros'!$B$2)/'Parametros'!$B$3)*H80*U80,(0.85*'Parametros'!$B$2/'Parametros'!$B$3)*(1-SQRT(1-2*(J80*1000000/('Parametros'!$B$5*H80*U80^2))/(0.85*'Parametros'!$B$2)))*H80*U80)</f>
        <v>734.025</v>
      </c>
      <c r="S80" s="31" t="n">
        <v>4</v>
      </c>
      <c r="T80" s="32" t="n">
        <v>1</v>
      </c>
      <c r="U80" s="10">
        <f>IF(T80=1,I80-('Parametros'!$B$7+'Parametros'!$B$9+'Parametros'!$B$12/2),I80-(ROUNDUP(S80/2,0)*('Parametros'!$B$7+'Parametros'!$B$9+'Parametros'!$B$12/2)+ROUNDDOWN(S80/2,0)*('Parametros'!$B$7+'Parametros'!$B$9+'Parametros'!$B$12/2+'Parametros'!$B$12+'Parametros'!$B$10))/S80)</f>
        <v>489.35</v>
      </c>
      <c r="V80" s="10">
        <f>S80*'Parametros'!$B$8</f>
        <v>796</v>
      </c>
      <c r="W80" s="10">
        <f>'Parametros'!$B$5*V80*'Parametros'!$B$3*(U80-(V80*'Parametros'!$B$3/(0.85*'Parametros'!$B$2*H80))/2)/1000000</f>
        <v>142.543330094118</v>
      </c>
      <c r="X80" s="10" t="str">
        <f>IF(W80&gt;=J80,"CUMPLE","NO CUMPLE")</f>
        <v>CUMPLE</v>
      </c>
      <c r="Y80" s="10">
        <f>MAX(MAX(1.4/'Parametros'!$B$3,0.25*SQRT('Parametros'!$B$2)/'Parametros'!$B$3)*H80*AB80,(0.85*'Parametros'!$B$2/'Parametros'!$B$3)*(1-SQRT(1-2*(L80*1000000/('Parametros'!$B$5*H80*AB80^2))/(0.85*'Parametros'!$B$2)))*H80*AB80)</f>
        <v>734.025</v>
      </c>
      <c r="Z80" s="31" t="n">
        <v>4</v>
      </c>
      <c r="AA80" s="32" t="n">
        <v>1</v>
      </c>
      <c r="AB80" s="10">
        <f>IF(AA80=1,I80-('Parametros'!$B$7+'Parametros'!$B$9+'Parametros'!$B$12/2),I80-(ROUNDUP(Z80/2,0)*('Parametros'!$B$7+'Parametros'!$B$9+'Parametros'!$B$12/2)+ROUNDDOWN(Z80/2,0)*('Parametros'!$B$7+'Parametros'!$B$9+'Parametros'!$B$12/2+'Parametros'!$B$12+'Parametros'!$B$10))/Z80)</f>
        <v>489.35</v>
      </c>
      <c r="AC80" s="10">
        <f>Z80*'Parametros'!$B$8</f>
        <v>796</v>
      </c>
      <c r="AD80" s="10">
        <f>'Parametros'!$B$5*AC80*'Parametros'!$B$3*(AB80-(AC80*'Parametros'!$B$3/(0.85*'Parametros'!$B$2*H80))/2)/1000000</f>
        <v>142.543330094118</v>
      </c>
      <c r="AE80" s="10" t="str">
        <f>IF(AD80&gt;=L80,"CUMPLE","NO CUMPLE")</f>
        <v>CUMPLE</v>
      </c>
      <c r="AF80" s="10">
        <f>V80*1.25*'Parametros'!$B$3*(U80-(V80*1.25*'Parametros'!$B$3/(0.85*'Parametros'!$B$2*H80))/2)/1000000</f>
        <v>196.346217941176</v>
      </c>
      <c r="AG80" s="10">
        <f>AC80*1.25*'Parametros'!$B$3*(AB80-(AC80*1.25*'Parametros'!$B$3/(0.85*'Parametros'!$B$2*H80))/2)/1000000</f>
        <v>196.346217941176</v>
      </c>
      <c r="AH80" s="10">
        <f>N80+(AF80+AG80)/D80</f>
        <v>185.459775259516</v>
      </c>
      <c r="AI80" s="10">
        <f>MAX(O80,AH80)</f>
        <v>277.328</v>
      </c>
      <c r="AJ80" s="10">
        <f>0.17*SQRT('Parametros'!$B$2)*H80*MIN(U80,AB80)/1000</f>
        <v>198.088855822627</v>
      </c>
      <c r="AK80" s="10">
        <f>MAX(AI80/'Parametros'!$B$6-AJ80,0)</f>
        <v>171.68181084404</v>
      </c>
      <c r="AL80" s="10">
        <f>0.66*SQRT('Parametros'!$B$2)*H80*MIN(U80,AB80)/1000</f>
        <v>769.050852017258</v>
      </c>
      <c r="AM80" s="10" t="str">
        <f>IF(AK80&lt;=AL80,"CUMPLE","NO CUMPLE")</f>
        <v>CUMPLE</v>
      </c>
      <c r="AN80" s="17" t="inlineStr">
        <is>
          <t>Nº3 cerrado</t>
        </is>
      </c>
      <c r="AO80" s="31" t="n">
        <v>2</v>
      </c>
      <c r="AP80" s="10">
        <f>ROUNDDOWN(MIN(IF(BC80+BD80=0,1000000000,AO80*BB80/(BC80+BD80)),MIN(U80,AB80)/4,8*'Parametros'!$B$12,24*BA80,300,IF(AV80=0,1000000000,2*((H80-2*('Parametros'!$B$7+'Parametros'!$B$9/2))+(I80-2*('Parametros'!$B$7+'Parametros'!$B$9/2)))/8))/10,0)*10</f>
        <v>120</v>
      </c>
      <c r="AQ80" s="10">
        <f>ROUNDDOWN(MIN(IF(BC80+BD80=0,1000000000,AO80*BB80/(BC80+BD80)),IF(AK80&gt;0.33*SQRT('Parametros'!$B$2)*H80*MIN(U80,AB80)/1000,MIN(U80,AB80)/4,MIN(U80,AB80)/2),600,IF(AV80=0,1000000000,2*((H80-2*('Parametros'!$B$7+'Parametros'!$B$9/2))+(I80-2*('Parametros'!$B$7+'Parametros'!$B$9/2)))/8))/10,0)*10</f>
        <v>160</v>
      </c>
      <c r="AR80" s="10">
        <f>'Parametros'!$B$6*(AJ80+MAX(BE80-BD80,0)*'Parametros'!$B$4*MIN(U80,AB80)/1000)</f>
        <v>330.97185436697</v>
      </c>
      <c r="AS80" s="10" t="str">
        <f>IF(AND(ISERROR(SEARCH("referencia",AN80)),AM80="CUMPLE",AR80&gt;=AI80),"CUMPLE","NO CUMPLE")</f>
        <v>CUMPLE</v>
      </c>
      <c r="AT80" s="10">
        <f>'Parametros'!$B$6*0.083*SQRT('Parametros'!$B$2)*(H80*I80)^2/(2*(H80+I80))/1000000</f>
        <v>10.0887830333379</v>
      </c>
      <c r="AU80" s="10" t="str">
        <f>IF(Q80&lt;=AT80,"DESPRECIABLE","DISEÑAR")</f>
        <v>DESPRECIABLE</v>
      </c>
      <c r="AV80" s="10">
        <f>IF(Q80&lt;=AT80,0,Q80*1000000/('Parametros'!$B$6*2*0.85*(H80-2*('Parametros'!$B$7+'Parametros'!$B$9/2))*(I80-2*('Parametros'!$B$7+'Parametros'!$B$9/2))*'Parametros'!$B$4))</f>
        <v>0</v>
      </c>
      <c r="AW80" s="10">
        <f>AV80*2*((H80-2*('Parametros'!$B$7+'Parametros'!$B$9/2))+(I80-2*('Parametros'!$B$7+'Parametros'!$B$9/2)))*'Parametros'!$B$4/'Parametros'!$B$3</f>
        <v>0</v>
      </c>
      <c r="AX80" s="31" t="n">
        <v>0</v>
      </c>
      <c r="AY80" s="10" t="str">
        <f>IF(AV80=0,"DESPRECIABLE",IF(AND(ISERROR(SEARCH("referencia",AN80)),BB80/AP80&gt;=AV80,BI80&gt;=AW80,BH80="CUMPLE"),"CUMPLE","NO CUMPLE"))</f>
        <v>DESPRECIABLE</v>
      </c>
      <c r="AZ80" s="10" t="str">
        <f>IF(AND(X80="CUMPLE",AE80="CUMPLE",AS80="CUMPLE",OR(AY80="CUMPLE",AY80="DESPRECIABLE"),BH80="CUMPLE",BJ80="CUMPLE"),"CUMPLE","NO CUMPLE")</f>
        <v>CUMPLE</v>
      </c>
      <c r="BA80" s="32" t="n">
        <v>9.5</v>
      </c>
      <c r="BB80" s="32" t="n">
        <v>71</v>
      </c>
      <c r="BC80" s="10">
        <f>MAX(IF(AK80=0,0,AK80*1000/('Parametros'!$B$4*MIN(U80,AB80))),MAX(0.062*SQRT('Parametros'!$B$2)*H80/'Parametros'!$B$4,0.35*H80/'Parametros'!$B$4))</f>
        <v>0.835324851936921</v>
      </c>
      <c r="BD80" s="10">
        <f>2*AV80</f>
        <v>0</v>
      </c>
      <c r="BE80" s="10">
        <f>AO80*BB80/AP80</f>
        <v>1.18333333333333</v>
      </c>
      <c r="BF80" s="10">
        <f>SQRT((AI80*1000/(H80*MIN(U80,AB80)))^2+(Q80*1000000*2*((H80-2*('Parametros'!$B$7+'Parametros'!$B$9/2))+(I80-2*('Parametros'!$B$7+'Parametros'!$B$9/2)))/(1.7*((H80-2*('Parametros'!$B$7+'Parametros'!$B$9/2))*(I80-2*('Parametros'!$B$7+'Parametros'!$B$9/2)))^2))^2)</f>
        <v>1.26022562134697</v>
      </c>
      <c r="BG80" s="10">
        <f>'Parametros'!$B$6*(AJ80*1000/(H80*MIN(U80,AB80))+0.66*SQRT('Parametros'!$B$2))</f>
        <v>3.29396038227542</v>
      </c>
      <c r="BH80" s="10" t="str">
        <f>IF(BF80&lt;=BG80,"CUMPLE","NO CUMPLE")</f>
        <v>CUMPLE</v>
      </c>
      <c r="BI80" s="10">
        <f>AX80*'Parametros'!$B$8</f>
        <v>0</v>
      </c>
      <c r="BJ80" s="10" t="str">
        <f>IF(BI80&gt;=AW80,"CUMPLE","NO CUMPLE")</f>
        <v>CUMPLE</v>
      </c>
    </row>
    <row r="81">
      <c r="A81" s="17" t="inlineStr">
        <is>
          <t>VC3</t>
        </is>
      </c>
      <c r="B81" s="17" t="inlineStr">
        <is>
          <t>816</t>
        </is>
      </c>
      <c r="C81" s="10" t="n">
        <v>1</v>
      </c>
      <c r="D81" s="10" t="n">
        <v>3.21477</v>
      </c>
      <c r="E81" s="10" t="n">
        <v>3.21477</v>
      </c>
      <c r="F81" s="10" t="n">
        <v>450</v>
      </c>
      <c r="G81" s="10" t="n">
        <v>550</v>
      </c>
      <c r="H81" s="17" t="n">
        <v>450</v>
      </c>
      <c r="I81" s="17" t="n">
        <v>550</v>
      </c>
      <c r="J81" s="30" t="n">
        <v>138.6869</v>
      </c>
      <c r="K81" s="10" t="inlineStr">
        <is>
          <t>816</t>
        </is>
      </c>
      <c r="L81" s="30" t="n">
        <v>106.9524</v>
      </c>
      <c r="M81" s="10" t="inlineStr">
        <is>
          <t>816</t>
        </is>
      </c>
      <c r="N81" s="30" t="n">
        <v>87.932</v>
      </c>
      <c r="O81" s="30" t="n">
        <v>304.572</v>
      </c>
      <c r="P81" s="10" t="inlineStr">
        <is>
          <t>816</t>
        </is>
      </c>
      <c r="Q81" s="30" t="n">
        <v>13.0695</v>
      </c>
      <c r="R81" s="10">
        <f>MAX(MAX(1.4/'Parametros'!$B$3,0.25*SQRT('Parametros'!$B$2)/'Parametros'!$B$3)*H81*U81,(0.85*'Parametros'!$B$2/'Parametros'!$B$3)*(1-SQRT(1-2*(J81*1000000/('Parametros'!$B$5*H81*U81^2))/(0.85*'Parametros'!$B$2)))*H81*U81)</f>
        <v>773.75217768453</v>
      </c>
      <c r="S81" s="31" t="n">
        <v>4</v>
      </c>
      <c r="T81" s="32" t="n">
        <v>1</v>
      </c>
      <c r="U81" s="10">
        <f>IF(T81=1,I81-('Parametros'!$B$7+'Parametros'!$B$9+'Parametros'!$B$12/2),I81-(ROUNDUP(S81/2,0)*('Parametros'!$B$7+'Parametros'!$B$9+'Parametros'!$B$12/2)+ROUNDDOWN(S81/2,0)*('Parametros'!$B$7+'Parametros'!$B$9+'Parametros'!$B$12/2+'Parametros'!$B$12+'Parametros'!$B$10))/S81)</f>
        <v>489.35</v>
      </c>
      <c r="V81" s="10">
        <f>S81*'Parametros'!$B$8</f>
        <v>796</v>
      </c>
      <c r="W81" s="10">
        <f>'Parametros'!$B$5*V81*'Parametros'!$B$3*(U81-(V81*'Parametros'!$B$3/(0.85*'Parametros'!$B$2*H81))/2)/1000000</f>
        <v>142.543330094118</v>
      </c>
      <c r="X81" s="10" t="str">
        <f>IF(W81&gt;=J81,"CUMPLE","NO CUMPLE")</f>
        <v>CUMPLE</v>
      </c>
      <c r="Y81" s="10">
        <f>MAX(MAX(1.4/'Parametros'!$B$3,0.25*SQRT('Parametros'!$B$2)/'Parametros'!$B$3)*H81*AB81,(0.85*'Parametros'!$B$2/'Parametros'!$B$3)*(1-SQRT(1-2*(L81*1000000/('Parametros'!$B$5*H81*AB81^2))/(0.85*'Parametros'!$B$2)))*H81*AB81)</f>
        <v>734.025</v>
      </c>
      <c r="Z81" s="31" t="n">
        <v>4</v>
      </c>
      <c r="AA81" s="32" t="n">
        <v>1</v>
      </c>
      <c r="AB81" s="10">
        <f>IF(AA81=1,I81-('Parametros'!$B$7+'Parametros'!$B$9+'Parametros'!$B$12/2),I81-(ROUNDUP(Z81/2,0)*('Parametros'!$B$7+'Parametros'!$B$9+'Parametros'!$B$12/2)+ROUNDDOWN(Z81/2,0)*('Parametros'!$B$7+'Parametros'!$B$9+'Parametros'!$B$12/2+'Parametros'!$B$12+'Parametros'!$B$10))/Z81)</f>
        <v>489.35</v>
      </c>
      <c r="AC81" s="10">
        <f>Z81*'Parametros'!$B$8</f>
        <v>796</v>
      </c>
      <c r="AD81" s="10">
        <f>'Parametros'!$B$5*AC81*'Parametros'!$B$3*(AB81-(AC81*'Parametros'!$B$3/(0.85*'Parametros'!$B$2*H81))/2)/1000000</f>
        <v>142.543330094118</v>
      </c>
      <c r="AE81" s="10" t="str">
        <f>IF(AD81&gt;=L81,"CUMPLE","NO CUMPLE")</f>
        <v>CUMPLE</v>
      </c>
      <c r="AF81" s="10">
        <f>V81*1.25*'Parametros'!$B$3*(U81-(V81*1.25*'Parametros'!$B$3/(0.85*'Parametros'!$B$2*H81))/2)/1000000</f>
        <v>196.346217941176</v>
      </c>
      <c r="AG81" s="10">
        <f>AC81*1.25*'Parametros'!$B$3*(AB81-(AC81*1.25*'Parametros'!$B$3/(0.85*'Parametros'!$B$2*H81))/2)/1000000</f>
        <v>196.346217941176</v>
      </c>
      <c r="AH81" s="10">
        <f>N81+(AF81+AG81)/D81</f>
        <v>210.084575730877</v>
      </c>
      <c r="AI81" s="10">
        <f>MAX(O81,AH81)</f>
        <v>304.572</v>
      </c>
      <c r="AJ81" s="10">
        <f>0.17*SQRT('Parametros'!$B$2)*H81*MIN(U81,AB81)/1000</f>
        <v>198.088855822627</v>
      </c>
      <c r="AK81" s="10">
        <f>MAX(AI81/'Parametros'!$B$6-AJ81,0)</f>
        <v>208.007144177373</v>
      </c>
      <c r="AL81" s="10">
        <f>0.66*SQRT('Parametros'!$B$2)*H81*MIN(U81,AB81)/1000</f>
        <v>769.050852017258</v>
      </c>
      <c r="AM81" s="10" t="str">
        <f>IF(AK81&lt;=AL81,"CUMPLE","NO CUMPLE")</f>
        <v>CUMPLE</v>
      </c>
      <c r="AN81" s="17" t="inlineStr">
        <is>
          <t>Nº3 cerrado</t>
        </is>
      </c>
      <c r="AO81" s="31" t="n">
        <v>2</v>
      </c>
      <c r="AP81" s="10">
        <f>ROUNDDOWN(MIN(IF(BC81+BD81=0,1000000000,AO81*BB81/(BC81+BD81)),MIN(U81,AB81)/4,8*'Parametros'!$B$12,24*BA81,300,IF(AV81=0,1000000000,2*((H81-2*('Parametros'!$B$7+'Parametros'!$B$9/2))+(I81-2*('Parametros'!$B$7+'Parametros'!$B$9/2)))/8))/10,0)*10</f>
        <v>100</v>
      </c>
      <c r="AQ81" s="10">
        <f>ROUNDDOWN(MIN(IF(BC81+BD81=0,1000000000,AO81*BB81/(BC81+BD81)),IF(AK81&gt;0.33*SQRT('Parametros'!$B$2)*H81*MIN(U81,AB81)/1000,MIN(U81,AB81)/4,MIN(U81,AB81)/2),600,IF(AV81=0,1000000000,2*((H81-2*('Parametros'!$B$7+'Parametros'!$B$9/2))+(I81-2*('Parametros'!$B$7+'Parametros'!$B$9/2)))/8))/10,0)*10</f>
        <v>100</v>
      </c>
      <c r="AR81" s="10">
        <f>'Parametros'!$B$6*(AJ81+MAX(BE81-BD81,0)*'Parametros'!$B$4*MIN(U81,AB81)/1000)</f>
        <v>321.403343489278</v>
      </c>
      <c r="AS81" s="10" t="str">
        <f>IF(AND(ISERROR(SEARCH("referencia",AN81)),AM81="CUMPLE",AR81&gt;=AI81),"CUMPLE","NO CUMPLE")</f>
        <v>CUMPLE</v>
      </c>
      <c r="AT81" s="10">
        <f>'Parametros'!$B$6*0.083*SQRT('Parametros'!$B$2)*(H81*I81)^2/(2*(H81+I81))/1000000</f>
        <v>10.0887830333379</v>
      </c>
      <c r="AU81" s="10" t="str">
        <f>IF(Q81&lt;=AT81,"DESPRECIABLE","DISEÑAR")</f>
        <v>DISEÑAR</v>
      </c>
      <c r="AV81" s="10">
        <f>IF(Q81&lt;=AT81,0,Q81*1000000/('Parametros'!$B$6*2*0.85*(H81-2*('Parametros'!$B$7+'Parametros'!$B$9/2))*(I81-2*('Parametros'!$B$7+'Parametros'!$B$9/2))*'Parametros'!$B$4))</f>
        <v>0.149370653256238</v>
      </c>
      <c r="AW81" s="10">
        <f>AV81*2*((H81-2*('Parametros'!$B$7+'Parametros'!$B$9/2))+(I81-2*('Parametros'!$B$7+'Parametros'!$B$9/2)))*'Parametros'!$B$4/'Parametros'!$B$3</f>
        <v>243.354668285064</v>
      </c>
      <c r="AX81" s="31" t="n">
        <v>8</v>
      </c>
      <c r="AY81" s="10" t="str">
        <f>IF(AV81=0,"DESPRECIABLE",IF(AND(ISERROR(SEARCH("referencia",AN81)),BB81/AP81&gt;=AV81,BI81&gt;=AW81,BH81="CUMPLE"),"CUMPLE","NO CUMPLE"))</f>
        <v>CUMPLE</v>
      </c>
      <c r="AZ81" s="10" t="str">
        <f>IF(AND(X81="CUMPLE",AE81="CUMPLE",AS81="CUMPLE",OR(AY81="CUMPLE",AY81="DESPRECIABLE"),BH81="CUMPLE",BJ81="CUMPLE"),"CUMPLE","NO CUMPLE")</f>
        <v>CUMPLE</v>
      </c>
      <c r="BA81" s="32" t="n">
        <v>9.5</v>
      </c>
      <c r="BB81" s="32" t="n">
        <v>71</v>
      </c>
      <c r="BC81" s="10">
        <f>MAX(IF(AK81=0,0,AK81*1000/('Parametros'!$B$4*MIN(U81,AB81))),MAX(0.062*SQRT('Parametros'!$B$2)*H81/'Parametros'!$B$4,0.35*H81/'Parametros'!$B$4))</f>
        <v>1.0120672426366</v>
      </c>
      <c r="BD81" s="10">
        <f>2*AV81</f>
        <v>0.298741306512477</v>
      </c>
      <c r="BE81" s="10">
        <f>AO81*BB81/AP81</f>
        <v>1.42</v>
      </c>
      <c r="BF81" s="10">
        <f>SQRT((AI81*1000/(H81*MIN(U81,AB81)))^2+(Q81*1000000*2*((H81-2*('Parametros'!$B$7+'Parametros'!$B$9/2))+(I81-2*('Parametros'!$B$7+'Parametros'!$B$9/2)))/(1.7*((H81-2*('Parametros'!$B$7+'Parametros'!$B$9/2))*(I81-2*('Parametros'!$B$7+'Parametros'!$B$9/2)))^2))^2)</f>
        <v>1.46051684641175</v>
      </c>
      <c r="BG81" s="10">
        <f>'Parametros'!$B$6*(AJ81*1000/(H81*MIN(U81,AB81))+0.66*SQRT('Parametros'!$B$2))</f>
        <v>3.29396038227542</v>
      </c>
      <c r="BH81" s="10" t="str">
        <f>IF(BF81&lt;=BG81,"CUMPLE","NO CUMPLE")</f>
        <v>CUMPLE</v>
      </c>
      <c r="BI81" s="10">
        <f>AX81*'Parametros'!$B$8</f>
        <v>1592</v>
      </c>
      <c r="BJ81" s="10" t="str">
        <f>IF(BI81&gt;=AW81,"CUMPLE","NO CUMPLE")</f>
        <v>CUMPLE</v>
      </c>
    </row>
    <row r="82">
      <c r="A82" s="17" t="inlineStr">
        <is>
          <t>VC3</t>
        </is>
      </c>
      <c r="B82" s="17" t="inlineStr">
        <is>
          <t>817</t>
        </is>
      </c>
      <c r="C82" s="10" t="n">
        <v>1</v>
      </c>
      <c r="D82" s="10" t="n">
        <v>3.21477</v>
      </c>
      <c r="E82" s="10" t="n">
        <v>3.21477</v>
      </c>
      <c r="F82" s="10" t="n">
        <v>450</v>
      </c>
      <c r="G82" s="10" t="n">
        <v>550</v>
      </c>
      <c r="H82" s="17" t="n">
        <v>450</v>
      </c>
      <c r="I82" s="17" t="n">
        <v>550</v>
      </c>
      <c r="J82" s="30" t="n">
        <v>138.7625</v>
      </c>
      <c r="K82" s="10" t="inlineStr">
        <is>
          <t>817</t>
        </is>
      </c>
      <c r="L82" s="30" t="n">
        <v>107.03</v>
      </c>
      <c r="M82" s="10" t="inlineStr">
        <is>
          <t>817</t>
        </is>
      </c>
      <c r="N82" s="30" t="n">
        <v>87.968</v>
      </c>
      <c r="O82" s="30" t="n">
        <v>304.617</v>
      </c>
      <c r="P82" s="10" t="inlineStr">
        <is>
          <t>817</t>
        </is>
      </c>
      <c r="Q82" s="30" t="n">
        <v>13.0597</v>
      </c>
      <c r="R82" s="10">
        <f>MAX(MAX(1.4/'Parametros'!$B$3,0.25*SQRT('Parametros'!$B$2)/'Parametros'!$B$3)*H82*U82,(0.85*'Parametros'!$B$2/'Parametros'!$B$3)*(1-SQRT(1-2*(J82*1000000/('Parametros'!$B$5*H82*U82^2))/(0.85*'Parametros'!$B$2)))*H82*U82)</f>
        <v>774.187909208888</v>
      </c>
      <c r="S82" s="31" t="n">
        <v>4</v>
      </c>
      <c r="T82" s="32" t="n">
        <v>1</v>
      </c>
      <c r="U82" s="10">
        <f>IF(T82=1,I82-('Parametros'!$B$7+'Parametros'!$B$9+'Parametros'!$B$12/2),I82-(ROUNDUP(S82/2,0)*('Parametros'!$B$7+'Parametros'!$B$9+'Parametros'!$B$12/2)+ROUNDDOWN(S82/2,0)*('Parametros'!$B$7+'Parametros'!$B$9+'Parametros'!$B$12/2+'Parametros'!$B$12+'Parametros'!$B$10))/S82)</f>
        <v>489.35</v>
      </c>
      <c r="V82" s="10">
        <f>S82*'Parametros'!$B$8</f>
        <v>796</v>
      </c>
      <c r="W82" s="10">
        <f>'Parametros'!$B$5*V82*'Parametros'!$B$3*(U82-(V82*'Parametros'!$B$3/(0.85*'Parametros'!$B$2*H82))/2)/1000000</f>
        <v>142.543330094118</v>
      </c>
      <c r="X82" s="10" t="str">
        <f>IF(W82&gt;=J82,"CUMPLE","NO CUMPLE")</f>
        <v>CUMPLE</v>
      </c>
      <c r="Y82" s="10">
        <f>MAX(MAX(1.4/'Parametros'!$B$3,0.25*SQRT('Parametros'!$B$2)/'Parametros'!$B$3)*H82*AB82,(0.85*'Parametros'!$B$2/'Parametros'!$B$3)*(1-SQRT(1-2*(L82*1000000/('Parametros'!$B$5*H82*AB82^2))/(0.85*'Parametros'!$B$2)))*H82*AB82)</f>
        <v>734.025</v>
      </c>
      <c r="Z82" s="31" t="n">
        <v>4</v>
      </c>
      <c r="AA82" s="32" t="n">
        <v>1</v>
      </c>
      <c r="AB82" s="10">
        <f>IF(AA82=1,I82-('Parametros'!$B$7+'Parametros'!$B$9+'Parametros'!$B$12/2),I82-(ROUNDUP(Z82/2,0)*('Parametros'!$B$7+'Parametros'!$B$9+'Parametros'!$B$12/2)+ROUNDDOWN(Z82/2,0)*('Parametros'!$B$7+'Parametros'!$B$9+'Parametros'!$B$12/2+'Parametros'!$B$12+'Parametros'!$B$10))/Z82)</f>
        <v>489.35</v>
      </c>
      <c r="AC82" s="10">
        <f>Z82*'Parametros'!$B$8</f>
        <v>796</v>
      </c>
      <c r="AD82" s="10">
        <f>'Parametros'!$B$5*AC82*'Parametros'!$B$3*(AB82-(AC82*'Parametros'!$B$3/(0.85*'Parametros'!$B$2*H82))/2)/1000000</f>
        <v>142.543330094118</v>
      </c>
      <c r="AE82" s="10" t="str">
        <f>IF(AD82&gt;=L82,"CUMPLE","NO CUMPLE")</f>
        <v>CUMPLE</v>
      </c>
      <c r="AF82" s="10">
        <f>V82*1.25*'Parametros'!$B$3*(U82-(V82*1.25*'Parametros'!$B$3/(0.85*'Parametros'!$B$2*H82))/2)/1000000</f>
        <v>196.346217941176</v>
      </c>
      <c r="AG82" s="10">
        <f>AC82*1.25*'Parametros'!$B$3*(AB82-(AC82*1.25*'Parametros'!$B$3/(0.85*'Parametros'!$B$2*H82))/2)/1000000</f>
        <v>196.346217941176</v>
      </c>
      <c r="AH82" s="10">
        <f>N82+(AF82+AG82)/D82</f>
        <v>210.120575730877</v>
      </c>
      <c r="AI82" s="10">
        <f>MAX(O82,AH82)</f>
        <v>304.617</v>
      </c>
      <c r="AJ82" s="10">
        <f>0.17*SQRT('Parametros'!$B$2)*H82*MIN(U82,AB82)/1000</f>
        <v>198.088855822627</v>
      </c>
      <c r="AK82" s="10">
        <f>MAX(AI82/'Parametros'!$B$6-AJ82,0)</f>
        <v>208.067144177373</v>
      </c>
      <c r="AL82" s="10">
        <f>0.66*SQRT('Parametros'!$B$2)*H82*MIN(U82,AB82)/1000</f>
        <v>769.050852017258</v>
      </c>
      <c r="AM82" s="10" t="str">
        <f>IF(AK82&lt;=AL82,"CUMPLE","NO CUMPLE")</f>
        <v>CUMPLE</v>
      </c>
      <c r="AN82" s="17" t="inlineStr">
        <is>
          <t>Nº3 cerrado</t>
        </is>
      </c>
      <c r="AO82" s="31" t="n">
        <v>2</v>
      </c>
      <c r="AP82" s="10">
        <f>ROUNDDOWN(MIN(IF(BC82+BD82=0,1000000000,AO82*BB82/(BC82+BD82)),MIN(U82,AB82)/4,8*'Parametros'!$B$12,24*BA82,300,IF(AV82=0,1000000000,2*((H82-2*('Parametros'!$B$7+'Parametros'!$B$9/2))+(I82-2*('Parametros'!$B$7+'Parametros'!$B$9/2)))/8))/10,0)*10</f>
        <v>100</v>
      </c>
      <c r="AQ82" s="10">
        <f>ROUNDDOWN(MIN(IF(BC82+BD82=0,1000000000,AO82*BB82/(BC82+BD82)),IF(AK82&gt;0.33*SQRT('Parametros'!$B$2)*H82*MIN(U82,AB82)/1000,MIN(U82,AB82)/4,MIN(U82,AB82)/2),600,IF(AV82=0,1000000000,2*((H82-2*('Parametros'!$B$7+'Parametros'!$B$9/2))+(I82-2*('Parametros'!$B$7+'Parametros'!$B$9/2)))/8))/10,0)*10</f>
        <v>100</v>
      </c>
      <c r="AR82" s="10">
        <f>'Parametros'!$B$6*(AJ82+MAX(BE82-BD82,0)*'Parametros'!$B$4*MIN(U82,AB82)/1000)</f>
        <v>321.437873167009</v>
      </c>
      <c r="AS82" s="10" t="str">
        <f>IF(AND(ISERROR(SEARCH("referencia",AN82)),AM82="CUMPLE",AR82&gt;=AI82),"CUMPLE","NO CUMPLE")</f>
        <v>CUMPLE</v>
      </c>
      <c r="AT82" s="10">
        <f>'Parametros'!$B$6*0.083*SQRT('Parametros'!$B$2)*(H82*I82)^2/(2*(H82+I82))/1000000</f>
        <v>10.0887830333379</v>
      </c>
      <c r="AU82" s="10" t="str">
        <f>IF(Q82&lt;=AT82,"DESPRECIABLE","DISEÑAR")</f>
        <v>DISEÑAR</v>
      </c>
      <c r="AV82" s="10">
        <f>IF(Q82&lt;=AT82,0,Q82*1000000/('Parametros'!$B$6*2*0.85*(H82-2*('Parametros'!$B$7+'Parametros'!$B$9/2))*(I82-2*('Parametros'!$B$7+'Parametros'!$B$9/2))*'Parametros'!$B$4))</f>
        <v>0.149258649552813</v>
      </c>
      <c r="AW82" s="10">
        <f>AV82*2*((H82-2*('Parametros'!$B$7+'Parametros'!$B$9/2))+(I82-2*('Parametros'!$B$7+'Parametros'!$B$9/2)))*'Parametros'!$B$4/'Parametros'!$B$3</f>
        <v>243.172191851444</v>
      </c>
      <c r="AX82" s="31" t="n">
        <v>8</v>
      </c>
      <c r="AY82" s="10" t="str">
        <f>IF(AV82=0,"DESPRECIABLE",IF(AND(ISERROR(SEARCH("referencia",AN82)),BB82/AP82&gt;=AV82,BI82&gt;=AW82,BH82="CUMPLE"),"CUMPLE","NO CUMPLE"))</f>
        <v>CUMPLE</v>
      </c>
      <c r="AZ82" s="10" t="str">
        <f>IF(AND(X82="CUMPLE",AE82="CUMPLE",AS82="CUMPLE",OR(AY82="CUMPLE",AY82="DESPRECIABLE"),BH82="CUMPLE",BJ82="CUMPLE"),"CUMPLE","NO CUMPLE")</f>
        <v>CUMPLE</v>
      </c>
      <c r="BA82" s="32" t="n">
        <v>9.5</v>
      </c>
      <c r="BB82" s="32" t="n">
        <v>71</v>
      </c>
      <c r="BC82" s="10">
        <f>MAX(IF(AK82=0,0,AK82*1000/('Parametros'!$B$4*MIN(U82,AB82))),MAX(0.062*SQRT('Parametros'!$B$2)*H82/'Parametros'!$B$4,0.35*H82/'Parametros'!$B$4))</f>
        <v>1.01235917508343</v>
      </c>
      <c r="BD82" s="10">
        <f>2*AV82</f>
        <v>0.298517299105627</v>
      </c>
      <c r="BE82" s="10">
        <f>AO82*BB82/AP82</f>
        <v>1.42</v>
      </c>
      <c r="BF82" s="10">
        <f>SQRT((AI82*1000/(H82*MIN(U82,AB82)))^2+(Q82*1000000*2*((H82-2*('Parametros'!$B$7+'Parametros'!$B$9/2))+(I82-2*('Parametros'!$B$7+'Parametros'!$B$9/2)))/(1.7*((H82-2*('Parametros'!$B$7+'Parametros'!$B$9/2))*(I82-2*('Parametros'!$B$7+'Parametros'!$B$9/2)))^2))^2)</f>
        <v>1.4605974197844</v>
      </c>
      <c r="BG82" s="10">
        <f>'Parametros'!$B$6*(AJ82*1000/(H82*MIN(U82,AB82))+0.66*SQRT('Parametros'!$B$2))</f>
        <v>3.29396038227542</v>
      </c>
      <c r="BH82" s="10" t="str">
        <f>IF(BF82&lt;=BG82,"CUMPLE","NO CUMPLE")</f>
        <v>CUMPLE</v>
      </c>
      <c r="BI82" s="10">
        <f>AX82*'Parametros'!$B$8</f>
        <v>1592</v>
      </c>
      <c r="BJ82" s="10" t="str">
        <f>IF(BI82&gt;=AW82,"CUMPLE","NO CUMPLE")</f>
        <v>CUMPLE</v>
      </c>
    </row>
    <row r="83">
      <c r="A83" s="17" t="inlineStr">
        <is>
          <t>VC3</t>
        </is>
      </c>
      <c r="B83" s="17" t="inlineStr">
        <is>
          <t>818</t>
        </is>
      </c>
      <c r="C83" s="10" t="n">
        <v>1</v>
      </c>
      <c r="D83" s="10" t="n">
        <v>3.4</v>
      </c>
      <c r="E83" s="10" t="n">
        <v>3.4</v>
      </c>
      <c r="F83" s="10" t="n">
        <v>450</v>
      </c>
      <c r="G83" s="10" t="n">
        <v>550</v>
      </c>
      <c r="H83" s="17" t="n">
        <v>450</v>
      </c>
      <c r="I83" s="17" t="n">
        <v>550</v>
      </c>
      <c r="J83" s="30" t="n">
        <v>129.3772</v>
      </c>
      <c r="K83" s="10" t="inlineStr">
        <is>
          <t>818</t>
        </is>
      </c>
      <c r="L83" s="30" t="n">
        <v>96.6212</v>
      </c>
      <c r="M83" s="10" t="inlineStr">
        <is>
          <t>818</t>
        </is>
      </c>
      <c r="N83" s="30" t="n">
        <v>69.977</v>
      </c>
      <c r="O83" s="30" t="n">
        <v>277.343</v>
      </c>
      <c r="P83" s="10" t="inlineStr">
        <is>
          <t>818</t>
        </is>
      </c>
      <c r="Q83" s="30" t="n">
        <v>1.271</v>
      </c>
      <c r="R83" s="10">
        <f>MAX(MAX(1.4/'Parametros'!$B$3,0.25*SQRT('Parametros'!$B$2)/'Parametros'!$B$3)*H83*U83,(0.85*'Parametros'!$B$2/'Parametros'!$B$3)*(1-SQRT(1-2*(J83*1000000/('Parametros'!$B$5*H83*U83^2))/(0.85*'Parametros'!$B$2)))*H83*U83)</f>
        <v>734.025</v>
      </c>
      <c r="S83" s="31" t="n">
        <v>4</v>
      </c>
      <c r="T83" s="32" t="n">
        <v>1</v>
      </c>
      <c r="U83" s="10">
        <f>IF(T83=1,I83-('Parametros'!$B$7+'Parametros'!$B$9+'Parametros'!$B$12/2),I83-(ROUNDUP(S83/2,0)*('Parametros'!$B$7+'Parametros'!$B$9+'Parametros'!$B$12/2)+ROUNDDOWN(S83/2,0)*('Parametros'!$B$7+'Parametros'!$B$9+'Parametros'!$B$12/2+'Parametros'!$B$12+'Parametros'!$B$10))/S83)</f>
        <v>489.35</v>
      </c>
      <c r="V83" s="10">
        <f>S83*'Parametros'!$B$8</f>
        <v>796</v>
      </c>
      <c r="W83" s="10">
        <f>'Parametros'!$B$5*V83*'Parametros'!$B$3*(U83-(V83*'Parametros'!$B$3/(0.85*'Parametros'!$B$2*H83))/2)/1000000</f>
        <v>142.543330094118</v>
      </c>
      <c r="X83" s="10" t="str">
        <f>IF(W83&gt;=J83,"CUMPLE","NO CUMPLE")</f>
        <v>CUMPLE</v>
      </c>
      <c r="Y83" s="10">
        <f>MAX(MAX(1.4/'Parametros'!$B$3,0.25*SQRT('Parametros'!$B$2)/'Parametros'!$B$3)*H83*AB83,(0.85*'Parametros'!$B$2/'Parametros'!$B$3)*(1-SQRT(1-2*(L83*1000000/('Parametros'!$B$5*H83*AB83^2))/(0.85*'Parametros'!$B$2)))*H83*AB83)</f>
        <v>734.025</v>
      </c>
      <c r="Z83" s="31" t="n">
        <v>4</v>
      </c>
      <c r="AA83" s="32" t="n">
        <v>1</v>
      </c>
      <c r="AB83" s="10">
        <f>IF(AA83=1,I83-('Parametros'!$B$7+'Parametros'!$B$9+'Parametros'!$B$12/2),I83-(ROUNDUP(Z83/2,0)*('Parametros'!$B$7+'Parametros'!$B$9+'Parametros'!$B$12/2)+ROUNDDOWN(Z83/2,0)*('Parametros'!$B$7+'Parametros'!$B$9+'Parametros'!$B$12/2+'Parametros'!$B$12+'Parametros'!$B$10))/Z83)</f>
        <v>489.35</v>
      </c>
      <c r="AC83" s="10">
        <f>Z83*'Parametros'!$B$8</f>
        <v>796</v>
      </c>
      <c r="AD83" s="10">
        <f>'Parametros'!$B$5*AC83*'Parametros'!$B$3*(AB83-(AC83*'Parametros'!$B$3/(0.85*'Parametros'!$B$2*H83))/2)/1000000</f>
        <v>142.543330094118</v>
      </c>
      <c r="AE83" s="10" t="str">
        <f>IF(AD83&gt;=L83,"CUMPLE","NO CUMPLE")</f>
        <v>CUMPLE</v>
      </c>
      <c r="AF83" s="10">
        <f>V83*1.25*'Parametros'!$B$3*(U83-(V83*1.25*'Parametros'!$B$3/(0.85*'Parametros'!$B$2*H83))/2)/1000000</f>
        <v>196.346217941176</v>
      </c>
      <c r="AG83" s="10">
        <f>AC83*1.25*'Parametros'!$B$3*(AB83-(AC83*1.25*'Parametros'!$B$3/(0.85*'Parametros'!$B$2*H83))/2)/1000000</f>
        <v>196.346217941176</v>
      </c>
      <c r="AH83" s="10">
        <f>N83+(AF83+AG83)/D83</f>
        <v>185.474775259516</v>
      </c>
      <c r="AI83" s="10">
        <f>MAX(O83,AH83)</f>
        <v>277.343</v>
      </c>
      <c r="AJ83" s="10">
        <f>0.17*SQRT('Parametros'!$B$2)*H83*MIN(U83,AB83)/1000</f>
        <v>198.088855822627</v>
      </c>
      <c r="AK83" s="10">
        <f>MAX(AI83/'Parametros'!$B$6-AJ83,0)</f>
        <v>171.70181084404</v>
      </c>
      <c r="AL83" s="10">
        <f>0.66*SQRT('Parametros'!$B$2)*H83*MIN(U83,AB83)/1000</f>
        <v>769.050852017258</v>
      </c>
      <c r="AM83" s="10" t="str">
        <f>IF(AK83&lt;=AL83,"CUMPLE","NO CUMPLE")</f>
        <v>CUMPLE</v>
      </c>
      <c r="AN83" s="17" t="inlineStr">
        <is>
          <t>Nº3 cerrado</t>
        </is>
      </c>
      <c r="AO83" s="31" t="n">
        <v>2</v>
      </c>
      <c r="AP83" s="10">
        <f>ROUNDDOWN(MIN(IF(BC83+BD83=0,1000000000,AO83*BB83/(BC83+BD83)),MIN(U83,AB83)/4,8*'Parametros'!$B$12,24*BA83,300,IF(AV83=0,1000000000,2*((H83-2*('Parametros'!$B$7+'Parametros'!$B$9/2))+(I83-2*('Parametros'!$B$7+'Parametros'!$B$9/2)))/8))/10,0)*10</f>
        <v>120</v>
      </c>
      <c r="AQ83" s="10">
        <f>ROUNDDOWN(MIN(IF(BC83+BD83=0,1000000000,AO83*BB83/(BC83+BD83)),IF(AK83&gt;0.33*SQRT('Parametros'!$B$2)*H83*MIN(U83,AB83)/1000,MIN(U83,AB83)/4,MIN(U83,AB83)/2),600,IF(AV83=0,1000000000,2*((H83-2*('Parametros'!$B$7+'Parametros'!$B$9/2))+(I83-2*('Parametros'!$B$7+'Parametros'!$B$9/2)))/8))/10,0)*10</f>
        <v>160</v>
      </c>
      <c r="AR83" s="10">
        <f>'Parametros'!$B$6*(AJ83+MAX(BE83-BD83,0)*'Parametros'!$B$4*MIN(U83,AB83)/1000)</f>
        <v>330.97185436697</v>
      </c>
      <c r="AS83" s="10" t="str">
        <f>IF(AND(ISERROR(SEARCH("referencia",AN83)),AM83="CUMPLE",AR83&gt;=AI83),"CUMPLE","NO CUMPLE")</f>
        <v>CUMPLE</v>
      </c>
      <c r="AT83" s="10">
        <f>'Parametros'!$B$6*0.083*SQRT('Parametros'!$B$2)*(H83*I83)^2/(2*(H83+I83))/1000000</f>
        <v>10.0887830333379</v>
      </c>
      <c r="AU83" s="10" t="str">
        <f>IF(Q83&lt;=AT83,"DESPRECIABLE","DISEÑAR")</f>
        <v>DESPRECIABLE</v>
      </c>
      <c r="AV83" s="10">
        <f>IF(Q83&lt;=AT83,0,Q83*1000000/('Parametros'!$B$6*2*0.85*(H83-2*('Parametros'!$B$7+'Parametros'!$B$9/2))*(I83-2*('Parametros'!$B$7+'Parametros'!$B$9/2))*'Parametros'!$B$4))</f>
        <v>0</v>
      </c>
      <c r="AW83" s="10">
        <f>AV83*2*((H83-2*('Parametros'!$B$7+'Parametros'!$B$9/2))+(I83-2*('Parametros'!$B$7+'Parametros'!$B$9/2)))*'Parametros'!$B$4/'Parametros'!$B$3</f>
        <v>0</v>
      </c>
      <c r="AX83" s="31" t="n">
        <v>0</v>
      </c>
      <c r="AY83" s="10" t="str">
        <f>IF(AV83=0,"DESPRECIABLE",IF(AND(ISERROR(SEARCH("referencia",AN83)),BB83/AP83&gt;=AV83,BI83&gt;=AW83,BH83="CUMPLE"),"CUMPLE","NO CUMPLE"))</f>
        <v>DESPRECIABLE</v>
      </c>
      <c r="AZ83" s="10" t="str">
        <f>IF(AND(X83="CUMPLE",AE83="CUMPLE",AS83="CUMPLE",OR(AY83="CUMPLE",AY83="DESPRECIABLE"),BH83="CUMPLE",BJ83="CUMPLE"),"CUMPLE","NO CUMPLE")</f>
        <v>CUMPLE</v>
      </c>
      <c r="BA83" s="32" t="n">
        <v>9.5</v>
      </c>
      <c r="BB83" s="32" t="n">
        <v>71</v>
      </c>
      <c r="BC83" s="10">
        <f>MAX(IF(AK83=0,0,AK83*1000/('Parametros'!$B$4*MIN(U83,AB83))),MAX(0.062*SQRT('Parametros'!$B$2)*H83/'Parametros'!$B$4,0.35*H83/'Parametros'!$B$4))</f>
        <v>0.835422162752532</v>
      </c>
      <c r="BD83" s="10">
        <f>2*AV83</f>
        <v>0</v>
      </c>
      <c r="BE83" s="10">
        <f>AO83*BB83/AP83</f>
        <v>1.18333333333333</v>
      </c>
      <c r="BF83" s="10">
        <f>SQRT((AI83*1000/(H83*MIN(U83,AB83)))^2+(Q83*1000000*2*((H83-2*('Parametros'!$B$7+'Parametros'!$B$9/2))+(I83-2*('Parametros'!$B$7+'Parametros'!$B$9/2)))/(1.7*((H83-2*('Parametros'!$B$7+'Parametros'!$B$9/2))*(I83-2*('Parametros'!$B$7+'Parametros'!$B$9/2)))^2))^2)</f>
        <v>1.26028822689301</v>
      </c>
      <c r="BG83" s="10">
        <f>'Parametros'!$B$6*(AJ83*1000/(H83*MIN(U83,AB83))+0.66*SQRT('Parametros'!$B$2))</f>
        <v>3.29396038227542</v>
      </c>
      <c r="BH83" s="10" t="str">
        <f>IF(BF83&lt;=BG83,"CUMPLE","NO CUMPLE")</f>
        <v>CUMPLE</v>
      </c>
      <c r="BI83" s="10">
        <f>AX83*'Parametros'!$B$8</f>
        <v>0</v>
      </c>
      <c r="BJ83" s="10" t="str">
        <f>IF(BI83&gt;=AW83,"CUMPLE","NO CUMPLE")</f>
        <v>CUMPLE</v>
      </c>
    </row>
    <row r="84">
      <c r="A84" s="17" t="inlineStr">
        <is>
          <t>VC3</t>
        </is>
      </c>
      <c r="B84" s="17" t="inlineStr">
        <is>
          <t>847</t>
        </is>
      </c>
      <c r="C84" s="10" t="n">
        <v>1</v>
      </c>
      <c r="D84" s="10" t="n">
        <v>3.4</v>
      </c>
      <c r="E84" s="10" t="n">
        <v>3.4</v>
      </c>
      <c r="F84" s="10" t="n">
        <v>450</v>
      </c>
      <c r="G84" s="10" t="n">
        <v>550</v>
      </c>
      <c r="H84" s="17" t="n">
        <v>450</v>
      </c>
      <c r="I84" s="17" t="n">
        <v>550</v>
      </c>
      <c r="J84" s="30" t="n">
        <v>129.3827</v>
      </c>
      <c r="K84" s="10" t="inlineStr">
        <is>
          <t>847</t>
        </is>
      </c>
      <c r="L84" s="30" t="n">
        <v>96.6335</v>
      </c>
      <c r="M84" s="10" t="inlineStr">
        <is>
          <t>847</t>
        </is>
      </c>
      <c r="N84" s="30" t="n">
        <v>69.97799999999999</v>
      </c>
      <c r="O84" s="30" t="n">
        <v>277.363</v>
      </c>
      <c r="P84" s="10" t="inlineStr">
        <is>
          <t>847</t>
        </is>
      </c>
      <c r="Q84" s="30" t="n">
        <v>1.2741</v>
      </c>
      <c r="R84" s="10">
        <f>MAX(MAX(1.4/'Parametros'!$B$3,0.25*SQRT('Parametros'!$B$2)/'Parametros'!$B$3)*H84*U84,(0.85*'Parametros'!$B$2/'Parametros'!$B$3)*(1-SQRT(1-2*(J84*1000000/('Parametros'!$B$5*H84*U84^2))/(0.85*'Parametros'!$B$2)))*H84*U84)</f>
        <v>734.025</v>
      </c>
      <c r="S84" s="31" t="n">
        <v>4</v>
      </c>
      <c r="T84" s="32" t="n">
        <v>1</v>
      </c>
      <c r="U84" s="10">
        <f>IF(T84=1,I84-('Parametros'!$B$7+'Parametros'!$B$9+'Parametros'!$B$12/2),I84-(ROUNDUP(S84/2,0)*('Parametros'!$B$7+'Parametros'!$B$9+'Parametros'!$B$12/2)+ROUNDDOWN(S84/2,0)*('Parametros'!$B$7+'Parametros'!$B$9+'Parametros'!$B$12/2+'Parametros'!$B$12+'Parametros'!$B$10))/S84)</f>
        <v>489.35</v>
      </c>
      <c r="V84" s="10">
        <f>S84*'Parametros'!$B$8</f>
        <v>796</v>
      </c>
      <c r="W84" s="10">
        <f>'Parametros'!$B$5*V84*'Parametros'!$B$3*(U84-(V84*'Parametros'!$B$3/(0.85*'Parametros'!$B$2*H84))/2)/1000000</f>
        <v>142.543330094118</v>
      </c>
      <c r="X84" s="10" t="str">
        <f>IF(W84&gt;=J84,"CUMPLE","NO CUMPLE")</f>
        <v>CUMPLE</v>
      </c>
      <c r="Y84" s="10">
        <f>MAX(MAX(1.4/'Parametros'!$B$3,0.25*SQRT('Parametros'!$B$2)/'Parametros'!$B$3)*H84*AB84,(0.85*'Parametros'!$B$2/'Parametros'!$B$3)*(1-SQRT(1-2*(L84*1000000/('Parametros'!$B$5*H84*AB84^2))/(0.85*'Parametros'!$B$2)))*H84*AB84)</f>
        <v>734.025</v>
      </c>
      <c r="Z84" s="31" t="n">
        <v>4</v>
      </c>
      <c r="AA84" s="32" t="n">
        <v>1</v>
      </c>
      <c r="AB84" s="10">
        <f>IF(AA84=1,I84-('Parametros'!$B$7+'Parametros'!$B$9+'Parametros'!$B$12/2),I84-(ROUNDUP(Z84/2,0)*('Parametros'!$B$7+'Parametros'!$B$9+'Parametros'!$B$12/2)+ROUNDDOWN(Z84/2,0)*('Parametros'!$B$7+'Parametros'!$B$9+'Parametros'!$B$12/2+'Parametros'!$B$12+'Parametros'!$B$10))/Z84)</f>
        <v>489.35</v>
      </c>
      <c r="AC84" s="10">
        <f>Z84*'Parametros'!$B$8</f>
        <v>796</v>
      </c>
      <c r="AD84" s="10">
        <f>'Parametros'!$B$5*AC84*'Parametros'!$B$3*(AB84-(AC84*'Parametros'!$B$3/(0.85*'Parametros'!$B$2*H84))/2)/1000000</f>
        <v>142.543330094118</v>
      </c>
      <c r="AE84" s="10" t="str">
        <f>IF(AD84&gt;=L84,"CUMPLE","NO CUMPLE")</f>
        <v>CUMPLE</v>
      </c>
      <c r="AF84" s="10">
        <f>V84*1.25*'Parametros'!$B$3*(U84-(V84*1.25*'Parametros'!$B$3/(0.85*'Parametros'!$B$2*H84))/2)/1000000</f>
        <v>196.346217941176</v>
      </c>
      <c r="AG84" s="10">
        <f>AC84*1.25*'Parametros'!$B$3*(AB84-(AC84*1.25*'Parametros'!$B$3/(0.85*'Parametros'!$B$2*H84))/2)/1000000</f>
        <v>196.346217941176</v>
      </c>
      <c r="AH84" s="10">
        <f>N84+(AF84+AG84)/D84</f>
        <v>185.475775259516</v>
      </c>
      <c r="AI84" s="10">
        <f>MAX(O84,AH84)</f>
        <v>277.363</v>
      </c>
      <c r="AJ84" s="10">
        <f>0.17*SQRT('Parametros'!$B$2)*H84*MIN(U84,AB84)/1000</f>
        <v>198.088855822627</v>
      </c>
      <c r="AK84" s="10">
        <f>MAX(AI84/'Parametros'!$B$6-AJ84,0)</f>
        <v>171.728477510706</v>
      </c>
      <c r="AL84" s="10">
        <f>0.66*SQRT('Parametros'!$B$2)*H84*MIN(U84,AB84)/1000</f>
        <v>769.050852017258</v>
      </c>
      <c r="AM84" s="10" t="str">
        <f>IF(AK84&lt;=AL84,"CUMPLE","NO CUMPLE")</f>
        <v>CUMPLE</v>
      </c>
      <c r="AN84" s="17" t="inlineStr">
        <is>
          <t>Nº3 cerrado</t>
        </is>
      </c>
      <c r="AO84" s="31" t="n">
        <v>2</v>
      </c>
      <c r="AP84" s="10">
        <f>ROUNDDOWN(MIN(IF(BC84+BD84=0,1000000000,AO84*BB84/(BC84+BD84)),MIN(U84,AB84)/4,8*'Parametros'!$B$12,24*BA84,300,IF(AV84=0,1000000000,2*((H84-2*('Parametros'!$B$7+'Parametros'!$B$9/2))+(I84-2*('Parametros'!$B$7+'Parametros'!$B$9/2)))/8))/10,0)*10</f>
        <v>120</v>
      </c>
      <c r="AQ84" s="10">
        <f>ROUNDDOWN(MIN(IF(BC84+BD84=0,1000000000,AO84*BB84/(BC84+BD84)),IF(AK84&gt;0.33*SQRT('Parametros'!$B$2)*H84*MIN(U84,AB84)/1000,MIN(U84,AB84)/4,MIN(U84,AB84)/2),600,IF(AV84=0,1000000000,2*((H84-2*('Parametros'!$B$7+'Parametros'!$B$9/2))+(I84-2*('Parametros'!$B$7+'Parametros'!$B$9/2)))/8))/10,0)*10</f>
        <v>160</v>
      </c>
      <c r="AR84" s="10">
        <f>'Parametros'!$B$6*(AJ84+MAX(BE84-BD84,0)*'Parametros'!$B$4*MIN(U84,AB84)/1000)</f>
        <v>330.97185436697</v>
      </c>
      <c r="AS84" s="10" t="str">
        <f>IF(AND(ISERROR(SEARCH("referencia",AN84)),AM84="CUMPLE",AR84&gt;=AI84),"CUMPLE","NO CUMPLE")</f>
        <v>CUMPLE</v>
      </c>
      <c r="AT84" s="10">
        <f>'Parametros'!$B$6*0.083*SQRT('Parametros'!$B$2)*(H84*I84)^2/(2*(H84+I84))/1000000</f>
        <v>10.0887830333379</v>
      </c>
      <c r="AU84" s="10" t="str">
        <f>IF(Q84&lt;=AT84,"DESPRECIABLE","DISEÑAR")</f>
        <v>DESPRECIABLE</v>
      </c>
      <c r="AV84" s="10">
        <f>IF(Q84&lt;=AT84,0,Q84*1000000/('Parametros'!$B$6*2*0.85*(H84-2*('Parametros'!$B$7+'Parametros'!$B$9/2))*(I84-2*('Parametros'!$B$7+'Parametros'!$B$9/2))*'Parametros'!$B$4))</f>
        <v>0</v>
      </c>
      <c r="AW84" s="10">
        <f>AV84*2*((H84-2*('Parametros'!$B$7+'Parametros'!$B$9/2))+(I84-2*('Parametros'!$B$7+'Parametros'!$B$9/2)))*'Parametros'!$B$4/'Parametros'!$B$3</f>
        <v>0</v>
      </c>
      <c r="AX84" s="31" t="n">
        <v>0</v>
      </c>
      <c r="AY84" s="10" t="str">
        <f>IF(AV84=0,"DESPRECIABLE",IF(AND(ISERROR(SEARCH("referencia",AN84)),BB84/AP84&gt;=AV84,BI84&gt;=AW84,BH84="CUMPLE"),"CUMPLE","NO CUMPLE"))</f>
        <v>DESPRECIABLE</v>
      </c>
      <c r="AZ84" s="10" t="str">
        <f>IF(AND(X84="CUMPLE",AE84="CUMPLE",AS84="CUMPLE",OR(AY84="CUMPLE",AY84="DESPRECIABLE"),BH84="CUMPLE",BJ84="CUMPLE"),"CUMPLE","NO CUMPLE")</f>
        <v>CUMPLE</v>
      </c>
      <c r="BA84" s="32" t="n">
        <v>9.5</v>
      </c>
      <c r="BB84" s="32" t="n">
        <v>71</v>
      </c>
      <c r="BC84" s="10">
        <f>MAX(IF(AK84=0,0,AK84*1000/('Parametros'!$B$4*MIN(U84,AB84))),MAX(0.062*SQRT('Parametros'!$B$2)*H84/'Parametros'!$B$4,0.35*H84/'Parametros'!$B$4))</f>
        <v>0.83555191050668</v>
      </c>
      <c r="BD84" s="10">
        <f>2*AV84</f>
        <v>0</v>
      </c>
      <c r="BE84" s="10">
        <f>AO84*BB84/AP84</f>
        <v>1.18333333333333</v>
      </c>
      <c r="BF84" s="10">
        <f>SQRT((AI84*1000/(H84*MIN(U84,AB84)))^2+(Q84*1000000*2*((H84-2*('Parametros'!$B$7+'Parametros'!$B$9/2))+(I84-2*('Parametros'!$B$7+'Parametros'!$B$9/2)))/(1.7*((H84-2*('Parametros'!$B$7+'Parametros'!$B$9/2))*(I84-2*('Parametros'!$B$7+'Parametros'!$B$9/2)))^2))^2)</f>
        <v>1.26038302398074</v>
      </c>
      <c r="BG84" s="10">
        <f>'Parametros'!$B$6*(AJ84*1000/(H84*MIN(U84,AB84))+0.66*SQRT('Parametros'!$B$2))</f>
        <v>3.29396038227542</v>
      </c>
      <c r="BH84" s="10" t="str">
        <f>IF(BF84&lt;=BG84,"CUMPLE","NO CUMPLE")</f>
        <v>CUMPLE</v>
      </c>
      <c r="BI84" s="10">
        <f>AX84*'Parametros'!$B$8</f>
        <v>0</v>
      </c>
      <c r="BJ84" s="10" t="str">
        <f>IF(BI84&gt;=AW84,"CUMPLE","NO CUMPLE")</f>
        <v>CUMPLE</v>
      </c>
    </row>
    <row r="85">
      <c r="A85" s="17" t="inlineStr">
        <is>
          <t>VC3</t>
        </is>
      </c>
      <c r="B85" s="17" t="inlineStr">
        <is>
          <t>848</t>
        </is>
      </c>
      <c r="C85" s="10" t="n">
        <v>1</v>
      </c>
      <c r="D85" s="10" t="n">
        <v>3.21477</v>
      </c>
      <c r="E85" s="10" t="n">
        <v>3.21477</v>
      </c>
      <c r="F85" s="10" t="n">
        <v>450</v>
      </c>
      <c r="G85" s="10" t="n">
        <v>550</v>
      </c>
      <c r="H85" s="17" t="n">
        <v>450</v>
      </c>
      <c r="I85" s="17" t="n">
        <v>550</v>
      </c>
      <c r="J85" s="30" t="n">
        <v>138.7691</v>
      </c>
      <c r="K85" s="10" t="inlineStr">
        <is>
          <t>848</t>
        </is>
      </c>
      <c r="L85" s="30" t="n">
        <v>107.0232</v>
      </c>
      <c r="M85" s="10" t="inlineStr">
        <is>
          <t>848</t>
        </is>
      </c>
      <c r="N85" s="30" t="n">
        <v>87.982</v>
      </c>
      <c r="O85" s="30" t="n">
        <v>304.649</v>
      </c>
      <c r="P85" s="10" t="inlineStr">
        <is>
          <t>848</t>
        </is>
      </c>
      <c r="Q85" s="30" t="n">
        <v>13.0607</v>
      </c>
      <c r="R85" s="10">
        <f>MAX(MAX(1.4/'Parametros'!$B$3,0.25*SQRT('Parametros'!$B$2)/'Parametros'!$B$3)*H85*U85,(0.85*'Parametros'!$B$2/'Parametros'!$B$3)*(1-SQRT(1-2*(J85*1000000/('Parametros'!$B$5*H85*U85^2))/(0.85*'Parametros'!$B$2)))*H85*U85)</f>
        <v>774.22595003251</v>
      </c>
      <c r="S85" s="31" t="n">
        <v>4</v>
      </c>
      <c r="T85" s="32" t="n">
        <v>1</v>
      </c>
      <c r="U85" s="10">
        <f>IF(T85=1,I85-('Parametros'!$B$7+'Parametros'!$B$9+'Parametros'!$B$12/2),I85-(ROUNDUP(S85/2,0)*('Parametros'!$B$7+'Parametros'!$B$9+'Parametros'!$B$12/2)+ROUNDDOWN(S85/2,0)*('Parametros'!$B$7+'Parametros'!$B$9+'Parametros'!$B$12/2+'Parametros'!$B$12+'Parametros'!$B$10))/S85)</f>
        <v>489.35</v>
      </c>
      <c r="V85" s="10">
        <f>S85*'Parametros'!$B$8</f>
        <v>796</v>
      </c>
      <c r="W85" s="10">
        <f>'Parametros'!$B$5*V85*'Parametros'!$B$3*(U85-(V85*'Parametros'!$B$3/(0.85*'Parametros'!$B$2*H85))/2)/1000000</f>
        <v>142.543330094118</v>
      </c>
      <c r="X85" s="10" t="str">
        <f>IF(W85&gt;=J85,"CUMPLE","NO CUMPLE")</f>
        <v>CUMPLE</v>
      </c>
      <c r="Y85" s="10">
        <f>MAX(MAX(1.4/'Parametros'!$B$3,0.25*SQRT('Parametros'!$B$2)/'Parametros'!$B$3)*H85*AB85,(0.85*'Parametros'!$B$2/'Parametros'!$B$3)*(1-SQRT(1-2*(L85*1000000/('Parametros'!$B$5*H85*AB85^2))/(0.85*'Parametros'!$B$2)))*H85*AB85)</f>
        <v>734.025</v>
      </c>
      <c r="Z85" s="31" t="n">
        <v>4</v>
      </c>
      <c r="AA85" s="32" t="n">
        <v>1</v>
      </c>
      <c r="AB85" s="10">
        <f>IF(AA85=1,I85-('Parametros'!$B$7+'Parametros'!$B$9+'Parametros'!$B$12/2),I85-(ROUNDUP(Z85/2,0)*('Parametros'!$B$7+'Parametros'!$B$9+'Parametros'!$B$12/2)+ROUNDDOWN(Z85/2,0)*('Parametros'!$B$7+'Parametros'!$B$9+'Parametros'!$B$12/2+'Parametros'!$B$12+'Parametros'!$B$10))/Z85)</f>
        <v>489.35</v>
      </c>
      <c r="AC85" s="10">
        <f>Z85*'Parametros'!$B$8</f>
        <v>796</v>
      </c>
      <c r="AD85" s="10">
        <f>'Parametros'!$B$5*AC85*'Parametros'!$B$3*(AB85-(AC85*'Parametros'!$B$3/(0.85*'Parametros'!$B$2*H85))/2)/1000000</f>
        <v>142.543330094118</v>
      </c>
      <c r="AE85" s="10" t="str">
        <f>IF(AD85&gt;=L85,"CUMPLE","NO CUMPLE")</f>
        <v>CUMPLE</v>
      </c>
      <c r="AF85" s="10">
        <f>V85*1.25*'Parametros'!$B$3*(U85-(V85*1.25*'Parametros'!$B$3/(0.85*'Parametros'!$B$2*H85))/2)/1000000</f>
        <v>196.346217941176</v>
      </c>
      <c r="AG85" s="10">
        <f>AC85*1.25*'Parametros'!$B$3*(AB85-(AC85*1.25*'Parametros'!$B$3/(0.85*'Parametros'!$B$2*H85))/2)/1000000</f>
        <v>196.346217941176</v>
      </c>
      <c r="AH85" s="10">
        <f>N85+(AF85+AG85)/D85</f>
        <v>210.134575730877</v>
      </c>
      <c r="AI85" s="10">
        <f>MAX(O85,AH85)</f>
        <v>304.649</v>
      </c>
      <c r="AJ85" s="10">
        <f>0.17*SQRT('Parametros'!$B$2)*H85*MIN(U85,AB85)/1000</f>
        <v>198.088855822627</v>
      </c>
      <c r="AK85" s="10">
        <f>MAX(AI85/'Parametros'!$B$6-AJ85,0)</f>
        <v>208.10981084404</v>
      </c>
      <c r="AL85" s="10">
        <f>0.66*SQRT('Parametros'!$B$2)*H85*MIN(U85,AB85)/1000</f>
        <v>769.050852017258</v>
      </c>
      <c r="AM85" s="10" t="str">
        <f>IF(AK85&lt;=AL85,"CUMPLE","NO CUMPLE")</f>
        <v>CUMPLE</v>
      </c>
      <c r="AN85" s="17" t="inlineStr">
        <is>
          <t>Nº3 cerrado</t>
        </is>
      </c>
      <c r="AO85" s="31" t="n">
        <v>2</v>
      </c>
      <c r="AP85" s="10">
        <f>ROUNDDOWN(MIN(IF(BC85+BD85=0,1000000000,AO85*BB85/(BC85+BD85)),MIN(U85,AB85)/4,8*'Parametros'!$B$12,24*BA85,300,IF(AV85=0,1000000000,2*((H85-2*('Parametros'!$B$7+'Parametros'!$B$9/2))+(I85-2*('Parametros'!$B$7+'Parametros'!$B$9/2)))/8))/10,0)*10</f>
        <v>100</v>
      </c>
      <c r="AQ85" s="10">
        <f>ROUNDDOWN(MIN(IF(BC85+BD85=0,1000000000,AO85*BB85/(BC85+BD85)),IF(AK85&gt;0.33*SQRT('Parametros'!$B$2)*H85*MIN(U85,AB85)/1000,MIN(U85,AB85)/4,MIN(U85,AB85)/2),600,IF(AV85=0,1000000000,2*((H85-2*('Parametros'!$B$7+'Parametros'!$B$9/2))+(I85-2*('Parametros'!$B$7+'Parametros'!$B$9/2)))/8))/10,0)*10</f>
        <v>100</v>
      </c>
      <c r="AR85" s="10">
        <f>'Parametros'!$B$6*(AJ85+MAX(BE85-BD85,0)*'Parametros'!$B$4*MIN(U85,AB85)/1000)</f>
        <v>321.434349730505</v>
      </c>
      <c r="AS85" s="10" t="str">
        <f>IF(AND(ISERROR(SEARCH("referencia",AN85)),AM85="CUMPLE",AR85&gt;=AI85),"CUMPLE","NO CUMPLE")</f>
        <v>CUMPLE</v>
      </c>
      <c r="AT85" s="10">
        <f>'Parametros'!$B$6*0.083*SQRT('Parametros'!$B$2)*(H85*I85)^2/(2*(H85+I85))/1000000</f>
        <v>10.0887830333379</v>
      </c>
      <c r="AU85" s="10" t="str">
        <f>IF(Q85&lt;=AT85,"DESPRECIABLE","DISEÑAR")</f>
        <v>DISEÑAR</v>
      </c>
      <c r="AV85" s="10">
        <f>IF(Q85&lt;=AT85,0,Q85*1000000/('Parametros'!$B$6*2*0.85*(H85-2*('Parametros'!$B$7+'Parametros'!$B$9/2))*(I85-2*('Parametros'!$B$7+'Parametros'!$B$9/2))*'Parametros'!$B$4))</f>
        <v>0.149270078502143</v>
      </c>
      <c r="AW85" s="10">
        <f>AV85*2*((H85-2*('Parametros'!$B$7+'Parametros'!$B$9/2))+(I85-2*('Parametros'!$B$7+'Parametros'!$B$9/2)))*'Parametros'!$B$4/'Parametros'!$B$3</f>
        <v>243.190811895691</v>
      </c>
      <c r="AX85" s="31" t="n">
        <v>8</v>
      </c>
      <c r="AY85" s="10" t="str">
        <f>IF(AV85=0,"DESPRECIABLE",IF(AND(ISERROR(SEARCH("referencia",AN85)),BB85/AP85&gt;=AV85,BI85&gt;=AW85,BH85="CUMPLE"),"CUMPLE","NO CUMPLE"))</f>
        <v>CUMPLE</v>
      </c>
      <c r="AZ85" s="10" t="str">
        <f>IF(AND(X85="CUMPLE",AE85="CUMPLE",AS85="CUMPLE",OR(AY85="CUMPLE",AY85="DESPRECIABLE"),BH85="CUMPLE",BJ85="CUMPLE"),"CUMPLE","NO CUMPLE")</f>
        <v>CUMPLE</v>
      </c>
      <c r="BA85" s="32" t="n">
        <v>9.5</v>
      </c>
      <c r="BB85" s="32" t="n">
        <v>71</v>
      </c>
      <c r="BC85" s="10">
        <f>MAX(IF(AK85=0,0,AK85*1000/('Parametros'!$B$4*MIN(U85,AB85))),MAX(0.062*SQRT('Parametros'!$B$2)*H85/'Parametros'!$B$4,0.35*H85/'Parametros'!$B$4))</f>
        <v>1.01256677149007</v>
      </c>
      <c r="BD85" s="10">
        <f>2*AV85</f>
        <v>0.298540157004285</v>
      </c>
      <c r="BE85" s="10">
        <f>AO85*BB85/AP85</f>
        <v>1.42</v>
      </c>
      <c r="BF85" s="10">
        <f>SQRT((AI85*1000/(H85*MIN(U85,AB85)))^2+(Q85*1000000*2*((H85-2*('Parametros'!$B$7+'Parametros'!$B$9/2))+(I85-2*('Parametros'!$B$7+'Parametros'!$B$9/2)))/(1.7*((H85-2*('Parametros'!$B$7+'Parametros'!$B$9/2))*(I85-2*('Parametros'!$B$7+'Parametros'!$B$9/2)))^2))^2)</f>
        <v>1.46074657036017</v>
      </c>
      <c r="BG85" s="10">
        <f>'Parametros'!$B$6*(AJ85*1000/(H85*MIN(U85,AB85))+0.66*SQRT('Parametros'!$B$2))</f>
        <v>3.29396038227542</v>
      </c>
      <c r="BH85" s="10" t="str">
        <f>IF(BF85&lt;=BG85,"CUMPLE","NO CUMPLE")</f>
        <v>CUMPLE</v>
      </c>
      <c r="BI85" s="10">
        <f>AX85*'Parametros'!$B$8</f>
        <v>1592</v>
      </c>
      <c r="BJ85" s="10" t="str">
        <f>IF(BI85&gt;=AW85,"CUMPLE","NO CUMPLE")</f>
        <v>CUMPLE</v>
      </c>
    </row>
    <row r="86">
      <c r="A86" s="17" t="inlineStr">
        <is>
          <t>VC3</t>
        </is>
      </c>
      <c r="B86" s="17" t="inlineStr">
        <is>
          <t>849</t>
        </is>
      </c>
      <c r="C86" s="10" t="n">
        <v>1</v>
      </c>
      <c r="D86" s="10" t="n">
        <v>3.21477</v>
      </c>
      <c r="E86" s="10" t="n">
        <v>3.21477</v>
      </c>
      <c r="F86" s="10" t="n">
        <v>450</v>
      </c>
      <c r="G86" s="10" t="n">
        <v>550</v>
      </c>
      <c r="H86" s="17" t="n">
        <v>450</v>
      </c>
      <c r="I86" s="17" t="n">
        <v>550</v>
      </c>
      <c r="J86" s="30" t="n">
        <v>138.7145</v>
      </c>
      <c r="K86" s="10" t="inlineStr">
        <is>
          <t>849</t>
        </is>
      </c>
      <c r="L86" s="30" t="n">
        <v>106.9846</v>
      </c>
      <c r="M86" s="10" t="inlineStr">
        <is>
          <t>849</t>
        </is>
      </c>
      <c r="N86" s="30" t="n">
        <v>87.952</v>
      </c>
      <c r="O86" s="30" t="n">
        <v>304.611</v>
      </c>
      <c r="P86" s="10" t="inlineStr">
        <is>
          <t>849</t>
        </is>
      </c>
      <c r="Q86" s="30" t="n">
        <v>13.0718</v>
      </c>
      <c r="R86" s="10">
        <f>MAX(MAX(1.4/'Parametros'!$B$3,0.25*SQRT('Parametros'!$B$2)/'Parametros'!$B$3)*H86*U86,(0.85*'Parametros'!$B$2/'Parametros'!$B$3)*(1-SQRT(1-2*(J86*1000000/('Parametros'!$B$5*H86*U86^2))/(0.85*'Parametros'!$B$2)))*H86*U86)</f>
        <v>773.911252392772</v>
      </c>
      <c r="S86" s="31" t="n">
        <v>4</v>
      </c>
      <c r="T86" s="32" t="n">
        <v>1</v>
      </c>
      <c r="U86" s="10">
        <f>IF(T86=1,I86-('Parametros'!$B$7+'Parametros'!$B$9+'Parametros'!$B$12/2),I86-(ROUNDUP(S86/2,0)*('Parametros'!$B$7+'Parametros'!$B$9+'Parametros'!$B$12/2)+ROUNDDOWN(S86/2,0)*('Parametros'!$B$7+'Parametros'!$B$9+'Parametros'!$B$12/2+'Parametros'!$B$12+'Parametros'!$B$10))/S86)</f>
        <v>489.35</v>
      </c>
      <c r="V86" s="10">
        <f>S86*'Parametros'!$B$8</f>
        <v>796</v>
      </c>
      <c r="W86" s="10">
        <f>'Parametros'!$B$5*V86*'Parametros'!$B$3*(U86-(V86*'Parametros'!$B$3/(0.85*'Parametros'!$B$2*H86))/2)/1000000</f>
        <v>142.543330094118</v>
      </c>
      <c r="X86" s="10" t="str">
        <f>IF(W86&gt;=J86,"CUMPLE","NO CUMPLE")</f>
        <v>CUMPLE</v>
      </c>
      <c r="Y86" s="10">
        <f>MAX(MAX(1.4/'Parametros'!$B$3,0.25*SQRT('Parametros'!$B$2)/'Parametros'!$B$3)*H86*AB86,(0.85*'Parametros'!$B$2/'Parametros'!$B$3)*(1-SQRT(1-2*(L86*1000000/('Parametros'!$B$5*H86*AB86^2))/(0.85*'Parametros'!$B$2)))*H86*AB86)</f>
        <v>734.025</v>
      </c>
      <c r="Z86" s="31" t="n">
        <v>4</v>
      </c>
      <c r="AA86" s="32" t="n">
        <v>1</v>
      </c>
      <c r="AB86" s="10">
        <f>IF(AA86=1,I86-('Parametros'!$B$7+'Parametros'!$B$9+'Parametros'!$B$12/2),I86-(ROUNDUP(Z86/2,0)*('Parametros'!$B$7+'Parametros'!$B$9+'Parametros'!$B$12/2)+ROUNDDOWN(Z86/2,0)*('Parametros'!$B$7+'Parametros'!$B$9+'Parametros'!$B$12/2+'Parametros'!$B$12+'Parametros'!$B$10))/Z86)</f>
        <v>489.35</v>
      </c>
      <c r="AC86" s="10">
        <f>Z86*'Parametros'!$B$8</f>
        <v>796</v>
      </c>
      <c r="AD86" s="10">
        <f>'Parametros'!$B$5*AC86*'Parametros'!$B$3*(AB86-(AC86*'Parametros'!$B$3/(0.85*'Parametros'!$B$2*H86))/2)/1000000</f>
        <v>142.543330094118</v>
      </c>
      <c r="AE86" s="10" t="str">
        <f>IF(AD86&gt;=L86,"CUMPLE","NO CUMPLE")</f>
        <v>CUMPLE</v>
      </c>
      <c r="AF86" s="10">
        <f>V86*1.25*'Parametros'!$B$3*(U86-(V86*1.25*'Parametros'!$B$3/(0.85*'Parametros'!$B$2*H86))/2)/1000000</f>
        <v>196.346217941176</v>
      </c>
      <c r="AG86" s="10">
        <f>AC86*1.25*'Parametros'!$B$3*(AB86-(AC86*1.25*'Parametros'!$B$3/(0.85*'Parametros'!$B$2*H86))/2)/1000000</f>
        <v>196.346217941176</v>
      </c>
      <c r="AH86" s="10">
        <f>N86+(AF86+AG86)/D86</f>
        <v>210.104575730877</v>
      </c>
      <c r="AI86" s="10">
        <f>MAX(O86,AH86)</f>
        <v>304.611</v>
      </c>
      <c r="AJ86" s="10">
        <f>0.17*SQRT('Parametros'!$B$2)*H86*MIN(U86,AB86)/1000</f>
        <v>198.088855822627</v>
      </c>
      <c r="AK86" s="10">
        <f>MAX(AI86/'Parametros'!$B$6-AJ86,0)</f>
        <v>208.059144177373</v>
      </c>
      <c r="AL86" s="10">
        <f>0.66*SQRT('Parametros'!$B$2)*H86*MIN(U86,AB86)/1000</f>
        <v>769.050852017258</v>
      </c>
      <c r="AM86" s="10" t="str">
        <f>IF(AK86&lt;=AL86,"CUMPLE","NO CUMPLE")</f>
        <v>CUMPLE</v>
      </c>
      <c r="AN86" s="17" t="inlineStr">
        <is>
          <t>Nº3 cerrado</t>
        </is>
      </c>
      <c r="AO86" s="31" t="n">
        <v>2</v>
      </c>
      <c r="AP86" s="10">
        <f>ROUNDDOWN(MIN(IF(BC86+BD86=0,1000000000,AO86*BB86/(BC86+BD86)),MIN(U86,AB86)/4,8*'Parametros'!$B$12,24*BA86,300,IF(AV86=0,1000000000,2*((H86-2*('Parametros'!$B$7+'Parametros'!$B$9/2))+(I86-2*('Parametros'!$B$7+'Parametros'!$B$9/2)))/8))/10,0)*10</f>
        <v>100</v>
      </c>
      <c r="AQ86" s="10">
        <f>ROUNDDOWN(MIN(IF(BC86+BD86=0,1000000000,AO86*BB86/(BC86+BD86)),IF(AK86&gt;0.33*SQRT('Parametros'!$B$2)*H86*MIN(U86,AB86)/1000,MIN(U86,AB86)/4,MIN(U86,AB86)/2),600,IF(AV86=0,1000000000,2*((H86-2*('Parametros'!$B$7+'Parametros'!$B$9/2))+(I86-2*('Parametros'!$B$7+'Parametros'!$B$9/2)))/8))/10,0)*10</f>
        <v>100</v>
      </c>
      <c r="AR86" s="10">
        <f>'Parametros'!$B$6*(AJ86+MAX(BE86-BD86,0)*'Parametros'!$B$4*MIN(U86,AB86)/1000)</f>
        <v>321.395239585321</v>
      </c>
      <c r="AS86" s="10" t="str">
        <f>IF(AND(ISERROR(SEARCH("referencia",AN86)),AM86="CUMPLE",AR86&gt;=AI86),"CUMPLE","NO CUMPLE")</f>
        <v>CUMPLE</v>
      </c>
      <c r="AT86" s="10">
        <f>'Parametros'!$B$6*0.083*SQRT('Parametros'!$B$2)*(H86*I86)^2/(2*(H86+I86))/1000000</f>
        <v>10.0887830333379</v>
      </c>
      <c r="AU86" s="10" t="str">
        <f>IF(Q86&lt;=AT86,"DESPRECIABLE","DISEÑAR")</f>
        <v>DISEÑAR</v>
      </c>
      <c r="AV86" s="10">
        <f>IF(Q86&lt;=AT86,0,Q86*1000000/('Parametros'!$B$6*2*0.85*(H86-2*('Parametros'!$B$7+'Parametros'!$B$9/2))*(I86-2*('Parametros'!$B$7+'Parametros'!$B$9/2))*'Parametros'!$B$4))</f>
        <v>0.149396939839695</v>
      </c>
      <c r="AW86" s="10">
        <f>AV86*2*((H86-2*('Parametros'!$B$7+'Parametros'!$B$9/2))+(I86-2*('Parametros'!$B$7+'Parametros'!$B$9/2)))*'Parametros'!$B$4/'Parametros'!$B$3</f>
        <v>243.397494386831</v>
      </c>
      <c r="AX86" s="31" t="n">
        <v>8</v>
      </c>
      <c r="AY86" s="10" t="str">
        <f>IF(AV86=0,"DESPRECIABLE",IF(AND(ISERROR(SEARCH("referencia",AN86)),BB86/AP86&gt;=AV86,BI86&gt;=AW86,BH86="CUMPLE"),"CUMPLE","NO CUMPLE"))</f>
        <v>CUMPLE</v>
      </c>
      <c r="AZ86" s="10" t="str">
        <f>IF(AND(X86="CUMPLE",AE86="CUMPLE",AS86="CUMPLE",OR(AY86="CUMPLE",AY86="DESPRECIABLE"),BH86="CUMPLE",BJ86="CUMPLE"),"CUMPLE","NO CUMPLE")</f>
        <v>CUMPLE</v>
      </c>
      <c r="BA86" s="32" t="n">
        <v>9.5</v>
      </c>
      <c r="BB86" s="32" t="n">
        <v>71</v>
      </c>
      <c r="BC86" s="10">
        <f>MAX(IF(AK86=0,0,AK86*1000/('Parametros'!$B$4*MIN(U86,AB86))),MAX(0.062*SQRT('Parametros'!$B$2)*H86/'Parametros'!$B$4,0.35*H86/'Parametros'!$B$4))</f>
        <v>1.01232025075719</v>
      </c>
      <c r="BD86" s="10">
        <f>2*AV86</f>
        <v>0.29879387967939</v>
      </c>
      <c r="BE86" s="10">
        <f>AO86*BB86/AP86</f>
        <v>1.42</v>
      </c>
      <c r="BF86" s="10">
        <f>SQRT((AI86*1000/(H86*MIN(U86,AB86)))^2+(Q86*1000000*2*((H86-2*('Parametros'!$B$7+'Parametros'!$B$9/2))+(I86-2*('Parametros'!$B$7+'Parametros'!$B$9/2)))/(1.7*((H86-2*('Parametros'!$B$7+'Parametros'!$B$9/2))*(I86-2*('Parametros'!$B$7+'Parametros'!$B$9/2)))^2))^2)</f>
        <v>1.4607110874302</v>
      </c>
      <c r="BG86" s="10">
        <f>'Parametros'!$B$6*(AJ86*1000/(H86*MIN(U86,AB86))+0.66*SQRT('Parametros'!$B$2))</f>
        <v>3.29396038227542</v>
      </c>
      <c r="BH86" s="10" t="str">
        <f>IF(BF86&lt;=BG86,"CUMPLE","NO CUMPLE")</f>
        <v>CUMPLE</v>
      </c>
      <c r="BI86" s="10">
        <f>AX86*'Parametros'!$B$8</f>
        <v>1592</v>
      </c>
      <c r="BJ86" s="10" t="str">
        <f>IF(BI86&gt;=AW86,"CUMPLE","NO CUMPLE")</f>
        <v>CUMPLE</v>
      </c>
    </row>
    <row r="87">
      <c r="A87" s="17" t="inlineStr">
        <is>
          <t>VC3</t>
        </is>
      </c>
      <c r="B87" s="17" t="inlineStr">
        <is>
          <t>850</t>
        </is>
      </c>
      <c r="C87" s="10" t="n">
        <v>1</v>
      </c>
      <c r="D87" s="10" t="n">
        <v>3.4</v>
      </c>
      <c r="E87" s="10" t="n">
        <v>3.4</v>
      </c>
      <c r="F87" s="10" t="n">
        <v>450</v>
      </c>
      <c r="G87" s="10" t="n">
        <v>550</v>
      </c>
      <c r="H87" s="17" t="n">
        <v>450</v>
      </c>
      <c r="I87" s="17" t="n">
        <v>550</v>
      </c>
      <c r="J87" s="30" t="n">
        <v>129.3577</v>
      </c>
      <c r="K87" s="10" t="inlineStr">
        <is>
          <t>850</t>
        </is>
      </c>
      <c r="L87" s="30" t="n">
        <v>96.6478</v>
      </c>
      <c r="M87" s="10" t="inlineStr">
        <is>
          <t>850</t>
        </is>
      </c>
      <c r="N87" s="30" t="n">
        <v>69.96599999999999</v>
      </c>
      <c r="O87" s="30" t="n">
        <v>277.351</v>
      </c>
      <c r="P87" s="10" t="inlineStr">
        <is>
          <t>850</t>
        </is>
      </c>
      <c r="Q87" s="30" t="n">
        <v>1.2771</v>
      </c>
      <c r="R87" s="10">
        <f>MAX(MAX(1.4/'Parametros'!$B$3,0.25*SQRT('Parametros'!$B$2)/'Parametros'!$B$3)*H87*U87,(0.85*'Parametros'!$B$2/'Parametros'!$B$3)*(1-SQRT(1-2*(J87*1000000/('Parametros'!$B$5*H87*U87^2))/(0.85*'Parametros'!$B$2)))*H87*U87)</f>
        <v>734.025</v>
      </c>
      <c r="S87" s="31" t="n">
        <v>4</v>
      </c>
      <c r="T87" s="32" t="n">
        <v>1</v>
      </c>
      <c r="U87" s="10">
        <f>IF(T87=1,I87-('Parametros'!$B$7+'Parametros'!$B$9+'Parametros'!$B$12/2),I87-(ROUNDUP(S87/2,0)*('Parametros'!$B$7+'Parametros'!$B$9+'Parametros'!$B$12/2)+ROUNDDOWN(S87/2,0)*('Parametros'!$B$7+'Parametros'!$B$9+'Parametros'!$B$12/2+'Parametros'!$B$12+'Parametros'!$B$10))/S87)</f>
        <v>489.35</v>
      </c>
      <c r="V87" s="10">
        <f>S87*'Parametros'!$B$8</f>
        <v>796</v>
      </c>
      <c r="W87" s="10">
        <f>'Parametros'!$B$5*V87*'Parametros'!$B$3*(U87-(V87*'Parametros'!$B$3/(0.85*'Parametros'!$B$2*H87))/2)/1000000</f>
        <v>142.543330094118</v>
      </c>
      <c r="X87" s="10" t="str">
        <f>IF(W87&gt;=J87,"CUMPLE","NO CUMPLE")</f>
        <v>CUMPLE</v>
      </c>
      <c r="Y87" s="10">
        <f>MAX(MAX(1.4/'Parametros'!$B$3,0.25*SQRT('Parametros'!$B$2)/'Parametros'!$B$3)*H87*AB87,(0.85*'Parametros'!$B$2/'Parametros'!$B$3)*(1-SQRT(1-2*(L87*1000000/('Parametros'!$B$5*H87*AB87^2))/(0.85*'Parametros'!$B$2)))*H87*AB87)</f>
        <v>734.025</v>
      </c>
      <c r="Z87" s="31" t="n">
        <v>4</v>
      </c>
      <c r="AA87" s="32" t="n">
        <v>1</v>
      </c>
      <c r="AB87" s="10">
        <f>IF(AA87=1,I87-('Parametros'!$B$7+'Parametros'!$B$9+'Parametros'!$B$12/2),I87-(ROUNDUP(Z87/2,0)*('Parametros'!$B$7+'Parametros'!$B$9+'Parametros'!$B$12/2)+ROUNDDOWN(Z87/2,0)*('Parametros'!$B$7+'Parametros'!$B$9+'Parametros'!$B$12/2+'Parametros'!$B$12+'Parametros'!$B$10))/Z87)</f>
        <v>489.35</v>
      </c>
      <c r="AC87" s="10">
        <f>Z87*'Parametros'!$B$8</f>
        <v>796</v>
      </c>
      <c r="AD87" s="10">
        <f>'Parametros'!$B$5*AC87*'Parametros'!$B$3*(AB87-(AC87*'Parametros'!$B$3/(0.85*'Parametros'!$B$2*H87))/2)/1000000</f>
        <v>142.543330094118</v>
      </c>
      <c r="AE87" s="10" t="str">
        <f>IF(AD87&gt;=L87,"CUMPLE","NO CUMPLE")</f>
        <v>CUMPLE</v>
      </c>
      <c r="AF87" s="10">
        <f>V87*1.25*'Parametros'!$B$3*(U87-(V87*1.25*'Parametros'!$B$3/(0.85*'Parametros'!$B$2*H87))/2)/1000000</f>
        <v>196.346217941176</v>
      </c>
      <c r="AG87" s="10">
        <f>AC87*1.25*'Parametros'!$B$3*(AB87-(AC87*1.25*'Parametros'!$B$3/(0.85*'Parametros'!$B$2*H87))/2)/1000000</f>
        <v>196.346217941176</v>
      </c>
      <c r="AH87" s="10">
        <f>N87+(AF87+AG87)/D87</f>
        <v>185.463775259516</v>
      </c>
      <c r="AI87" s="10">
        <f>MAX(O87,AH87)</f>
        <v>277.351</v>
      </c>
      <c r="AJ87" s="10">
        <f>0.17*SQRT('Parametros'!$B$2)*H87*MIN(U87,AB87)/1000</f>
        <v>198.088855822627</v>
      </c>
      <c r="AK87" s="10">
        <f>MAX(AI87/'Parametros'!$B$6-AJ87,0)</f>
        <v>171.712477510706</v>
      </c>
      <c r="AL87" s="10">
        <f>0.66*SQRT('Parametros'!$B$2)*H87*MIN(U87,AB87)/1000</f>
        <v>769.050852017258</v>
      </c>
      <c r="AM87" s="10" t="str">
        <f>IF(AK87&lt;=AL87,"CUMPLE","NO CUMPLE")</f>
        <v>CUMPLE</v>
      </c>
      <c r="AN87" s="17" t="inlineStr">
        <is>
          <t>Nº3 cerrado</t>
        </is>
      </c>
      <c r="AO87" s="31" t="n">
        <v>2</v>
      </c>
      <c r="AP87" s="10">
        <f>ROUNDDOWN(MIN(IF(BC87+BD87=0,1000000000,AO87*BB87/(BC87+BD87)),MIN(U87,AB87)/4,8*'Parametros'!$B$12,24*BA87,300,IF(AV87=0,1000000000,2*((H87-2*('Parametros'!$B$7+'Parametros'!$B$9/2))+(I87-2*('Parametros'!$B$7+'Parametros'!$B$9/2)))/8))/10,0)*10</f>
        <v>120</v>
      </c>
      <c r="AQ87" s="10">
        <f>ROUNDDOWN(MIN(IF(BC87+BD87=0,1000000000,AO87*BB87/(BC87+BD87)),IF(AK87&gt;0.33*SQRT('Parametros'!$B$2)*H87*MIN(U87,AB87)/1000,MIN(U87,AB87)/4,MIN(U87,AB87)/2),600,IF(AV87=0,1000000000,2*((H87-2*('Parametros'!$B$7+'Parametros'!$B$9/2))+(I87-2*('Parametros'!$B$7+'Parametros'!$B$9/2)))/8))/10,0)*10</f>
        <v>160</v>
      </c>
      <c r="AR87" s="10">
        <f>'Parametros'!$B$6*(AJ87+MAX(BE87-BD87,0)*'Parametros'!$B$4*MIN(U87,AB87)/1000)</f>
        <v>330.97185436697</v>
      </c>
      <c r="AS87" s="10" t="str">
        <f>IF(AND(ISERROR(SEARCH("referencia",AN87)),AM87="CUMPLE",AR87&gt;=AI87),"CUMPLE","NO CUMPLE")</f>
        <v>CUMPLE</v>
      </c>
      <c r="AT87" s="10">
        <f>'Parametros'!$B$6*0.083*SQRT('Parametros'!$B$2)*(H87*I87)^2/(2*(H87+I87))/1000000</f>
        <v>10.0887830333379</v>
      </c>
      <c r="AU87" s="10" t="str">
        <f>IF(Q87&lt;=AT87,"DESPRECIABLE","DISEÑAR")</f>
        <v>DESPRECIABLE</v>
      </c>
      <c r="AV87" s="10">
        <f>IF(Q87&lt;=AT87,0,Q87*1000000/('Parametros'!$B$6*2*0.85*(H87-2*('Parametros'!$B$7+'Parametros'!$B$9/2))*(I87-2*('Parametros'!$B$7+'Parametros'!$B$9/2))*'Parametros'!$B$4))</f>
        <v>0</v>
      </c>
      <c r="AW87" s="10">
        <f>AV87*2*((H87-2*('Parametros'!$B$7+'Parametros'!$B$9/2))+(I87-2*('Parametros'!$B$7+'Parametros'!$B$9/2)))*'Parametros'!$B$4/'Parametros'!$B$3</f>
        <v>0</v>
      </c>
      <c r="AX87" s="31" t="n">
        <v>0</v>
      </c>
      <c r="AY87" s="10" t="str">
        <f>IF(AV87=0,"DESPRECIABLE",IF(AND(ISERROR(SEARCH("referencia",AN87)),BB87/AP87&gt;=AV87,BI87&gt;=AW87,BH87="CUMPLE"),"CUMPLE","NO CUMPLE"))</f>
        <v>DESPRECIABLE</v>
      </c>
      <c r="AZ87" s="10" t="str">
        <f>IF(AND(X87="CUMPLE",AE87="CUMPLE",AS87="CUMPLE",OR(AY87="CUMPLE",AY87="DESPRECIABLE"),BH87="CUMPLE",BJ87="CUMPLE"),"CUMPLE","NO CUMPLE")</f>
        <v>CUMPLE</v>
      </c>
      <c r="BA87" s="32" t="n">
        <v>9.5</v>
      </c>
      <c r="BB87" s="32" t="n">
        <v>71</v>
      </c>
      <c r="BC87" s="10">
        <f>MAX(IF(AK87=0,0,AK87*1000/('Parametros'!$B$4*MIN(U87,AB87))),MAX(0.062*SQRT('Parametros'!$B$2)*H87/'Parametros'!$B$4,0.35*H87/'Parametros'!$B$4))</f>
        <v>0.835474061854191</v>
      </c>
      <c r="BD87" s="10">
        <f>2*AV87</f>
        <v>0</v>
      </c>
      <c r="BE87" s="10">
        <f>AO87*BB87/AP87</f>
        <v>1.18333333333333</v>
      </c>
      <c r="BF87" s="10">
        <f>SQRT((AI87*1000/(H87*MIN(U87,AB87)))^2+(Q87*1000000*2*((H87-2*('Parametros'!$B$7+'Parametros'!$B$9/2))+(I87-2*('Parametros'!$B$7+'Parametros'!$B$9/2)))/(1.7*((H87-2*('Parametros'!$B$7+'Parametros'!$B$9/2))*(I87-2*('Parametros'!$B$7+'Parametros'!$B$9/2)))^2))^2)</f>
        <v>1.2603324784155</v>
      </c>
      <c r="BG87" s="10">
        <f>'Parametros'!$B$6*(AJ87*1000/(H87*MIN(U87,AB87))+0.66*SQRT('Parametros'!$B$2))</f>
        <v>3.29396038227542</v>
      </c>
      <c r="BH87" s="10" t="str">
        <f>IF(BF87&lt;=BG87,"CUMPLE","NO CUMPLE")</f>
        <v>CUMPLE</v>
      </c>
      <c r="BI87" s="10">
        <f>AX87*'Parametros'!$B$8</f>
        <v>0</v>
      </c>
      <c r="BJ87" s="10" t="str">
        <f>IF(BI87&gt;=AW87,"CUMPLE","NO CUMPLE")</f>
        <v>CUMPLE</v>
      </c>
    </row>
    <row r="88">
      <c r="A88" s="17" t="inlineStr">
        <is>
          <t>VC3</t>
        </is>
      </c>
      <c r="B88" s="17" t="inlineStr">
        <is>
          <t>909</t>
        </is>
      </c>
      <c r="C88" s="10" t="n">
        <v>1</v>
      </c>
      <c r="D88" s="10" t="n">
        <v>3.4</v>
      </c>
      <c r="E88" s="10" t="n">
        <v>3.4</v>
      </c>
      <c r="F88" s="10" t="n">
        <v>450</v>
      </c>
      <c r="G88" s="10" t="n">
        <v>550</v>
      </c>
      <c r="H88" s="17" t="n">
        <v>450</v>
      </c>
      <c r="I88" s="17" t="n">
        <v>550</v>
      </c>
      <c r="J88" s="30" t="n">
        <v>87.7016</v>
      </c>
      <c r="K88" s="10" t="inlineStr">
        <is>
          <t>909</t>
        </is>
      </c>
      <c r="L88" s="30" t="n">
        <v>57.4646</v>
      </c>
      <c r="M88" s="10" t="inlineStr">
        <is>
          <t>909</t>
        </is>
      </c>
      <c r="N88" s="30" t="n">
        <v>50.288</v>
      </c>
      <c r="O88" s="30" t="n">
        <v>172.912</v>
      </c>
      <c r="P88" s="10" t="inlineStr">
        <is>
          <t>909</t>
        </is>
      </c>
      <c r="Q88" s="30" t="n">
        <v>1.0936</v>
      </c>
      <c r="R88" s="10">
        <f>MAX(MAX(1.4/'Parametros'!$B$3,0.25*SQRT('Parametros'!$B$2)/'Parametros'!$B$3)*H88*U88,(0.85*'Parametros'!$B$2/'Parametros'!$B$3)*(1-SQRT(1-2*(J88*1000000/('Parametros'!$B$5*H88*U88^2))/(0.85*'Parametros'!$B$2)))*H88*U88)</f>
        <v>734.025</v>
      </c>
      <c r="S88" s="31" t="n">
        <v>4</v>
      </c>
      <c r="T88" s="32" t="n">
        <v>1</v>
      </c>
      <c r="U88" s="10">
        <f>IF(T88=1,I88-('Parametros'!$B$7+'Parametros'!$B$9+'Parametros'!$B$12/2),I88-(ROUNDUP(S88/2,0)*('Parametros'!$B$7+'Parametros'!$B$9+'Parametros'!$B$12/2)+ROUNDDOWN(S88/2,0)*('Parametros'!$B$7+'Parametros'!$B$9+'Parametros'!$B$12/2+'Parametros'!$B$12+'Parametros'!$B$10))/S88)</f>
        <v>489.35</v>
      </c>
      <c r="V88" s="10">
        <f>S88*'Parametros'!$B$8</f>
        <v>796</v>
      </c>
      <c r="W88" s="10">
        <f>'Parametros'!$B$5*V88*'Parametros'!$B$3*(U88-(V88*'Parametros'!$B$3/(0.85*'Parametros'!$B$2*H88))/2)/1000000</f>
        <v>142.543330094118</v>
      </c>
      <c r="X88" s="10" t="str">
        <f>IF(W88&gt;=J88,"CUMPLE","NO CUMPLE")</f>
        <v>CUMPLE</v>
      </c>
      <c r="Y88" s="10">
        <f>MAX(MAX(1.4/'Parametros'!$B$3,0.25*SQRT('Parametros'!$B$2)/'Parametros'!$B$3)*H88*AB88,(0.85*'Parametros'!$B$2/'Parametros'!$B$3)*(1-SQRT(1-2*(L88*1000000/('Parametros'!$B$5*H88*AB88^2))/(0.85*'Parametros'!$B$2)))*H88*AB88)</f>
        <v>734.025</v>
      </c>
      <c r="Z88" s="31" t="n">
        <v>4</v>
      </c>
      <c r="AA88" s="32" t="n">
        <v>1</v>
      </c>
      <c r="AB88" s="10">
        <f>IF(AA88=1,I88-('Parametros'!$B$7+'Parametros'!$B$9+'Parametros'!$B$12/2),I88-(ROUNDUP(Z88/2,0)*('Parametros'!$B$7+'Parametros'!$B$9+'Parametros'!$B$12/2)+ROUNDDOWN(Z88/2,0)*('Parametros'!$B$7+'Parametros'!$B$9+'Parametros'!$B$12/2+'Parametros'!$B$12+'Parametros'!$B$10))/Z88)</f>
        <v>489.35</v>
      </c>
      <c r="AC88" s="10">
        <f>Z88*'Parametros'!$B$8</f>
        <v>796</v>
      </c>
      <c r="AD88" s="10">
        <f>'Parametros'!$B$5*AC88*'Parametros'!$B$3*(AB88-(AC88*'Parametros'!$B$3/(0.85*'Parametros'!$B$2*H88))/2)/1000000</f>
        <v>142.543330094118</v>
      </c>
      <c r="AE88" s="10" t="str">
        <f>IF(AD88&gt;=L88,"CUMPLE","NO CUMPLE")</f>
        <v>CUMPLE</v>
      </c>
      <c r="AF88" s="10">
        <f>V88*1.25*'Parametros'!$B$3*(U88-(V88*1.25*'Parametros'!$B$3/(0.85*'Parametros'!$B$2*H88))/2)/1000000</f>
        <v>196.346217941176</v>
      </c>
      <c r="AG88" s="10">
        <f>AC88*1.25*'Parametros'!$B$3*(AB88-(AC88*1.25*'Parametros'!$B$3/(0.85*'Parametros'!$B$2*H88))/2)/1000000</f>
        <v>196.346217941176</v>
      </c>
      <c r="AH88" s="10">
        <f>N88+(AF88+AG88)/D88</f>
        <v>165.785775259516</v>
      </c>
      <c r="AI88" s="10">
        <f>MAX(O88,AH88)</f>
        <v>172.912</v>
      </c>
      <c r="AJ88" s="10">
        <f>0.17*SQRT('Parametros'!$B$2)*H88*MIN(U88,AB88)/1000</f>
        <v>198.088855822627</v>
      </c>
      <c r="AK88" s="10">
        <f>MAX(AI88/'Parametros'!$B$6-AJ88,0)</f>
        <v>32.4604775107064</v>
      </c>
      <c r="AL88" s="10">
        <f>0.66*SQRT('Parametros'!$B$2)*H88*MIN(U88,AB88)/1000</f>
        <v>769.050852017258</v>
      </c>
      <c r="AM88" s="10" t="str">
        <f>IF(AK88&lt;=AL88,"CUMPLE","NO CUMPLE")</f>
        <v>CUMPLE</v>
      </c>
      <c r="AN88" s="17" t="inlineStr">
        <is>
          <t>Nº3 cerrado</t>
        </is>
      </c>
      <c r="AO88" s="31" t="n">
        <v>2</v>
      </c>
      <c r="AP88" s="10">
        <f>ROUNDDOWN(MIN(IF(BC88+BD88=0,1000000000,AO88*BB88/(BC88+BD88)),MIN(U88,AB88)/4,8*'Parametros'!$B$12,24*BA88,300,IF(AV88=0,1000000000,2*((H88-2*('Parametros'!$B$7+'Parametros'!$B$9/2))+(I88-2*('Parametros'!$B$7+'Parametros'!$B$9/2)))/8))/10,0)*10</f>
        <v>120</v>
      </c>
      <c r="AQ88" s="10">
        <f>ROUNDDOWN(MIN(IF(BC88+BD88=0,1000000000,AO88*BB88/(BC88+BD88)),IF(AK88&gt;0.33*SQRT('Parametros'!$B$2)*H88*MIN(U88,AB88)/1000,MIN(U88,AB88)/4,MIN(U88,AB88)/2),600,IF(AV88=0,1000000000,2*((H88-2*('Parametros'!$B$7+'Parametros'!$B$9/2))+(I88-2*('Parametros'!$B$7+'Parametros'!$B$9/2)))/8))/10,0)*10</f>
        <v>240</v>
      </c>
      <c r="AR88" s="10">
        <f>'Parametros'!$B$6*(AJ88+MAX(BE88-BD88,0)*'Parametros'!$B$4*MIN(U88,AB88)/1000)</f>
        <v>330.97185436697</v>
      </c>
      <c r="AS88" s="10" t="str">
        <f>IF(AND(ISERROR(SEARCH("referencia",AN88)),AM88="CUMPLE",AR88&gt;=AI88),"CUMPLE","NO CUMPLE")</f>
        <v>CUMPLE</v>
      </c>
      <c r="AT88" s="10">
        <f>'Parametros'!$B$6*0.083*SQRT('Parametros'!$B$2)*(H88*I88)^2/(2*(H88+I88))/1000000</f>
        <v>10.0887830333379</v>
      </c>
      <c r="AU88" s="10" t="str">
        <f>IF(Q88&lt;=AT88,"DESPRECIABLE","DISEÑAR")</f>
        <v>DESPRECIABLE</v>
      </c>
      <c r="AV88" s="10">
        <f>IF(Q88&lt;=AT88,0,Q88*1000000/('Parametros'!$B$6*2*0.85*(H88-2*('Parametros'!$B$7+'Parametros'!$B$9/2))*(I88-2*('Parametros'!$B$7+'Parametros'!$B$9/2))*'Parametros'!$B$4))</f>
        <v>0</v>
      </c>
      <c r="AW88" s="10">
        <f>AV88*2*((H88-2*('Parametros'!$B$7+'Parametros'!$B$9/2))+(I88-2*('Parametros'!$B$7+'Parametros'!$B$9/2)))*'Parametros'!$B$4/'Parametros'!$B$3</f>
        <v>0</v>
      </c>
      <c r="AX88" s="31" t="n">
        <v>0</v>
      </c>
      <c r="AY88" s="10" t="str">
        <f>IF(AV88=0,"DESPRECIABLE",IF(AND(ISERROR(SEARCH("referencia",AN88)),BB88/AP88&gt;=AV88,BI88&gt;=AW88,BH88="CUMPLE"),"CUMPLE","NO CUMPLE"))</f>
        <v>DESPRECIABLE</v>
      </c>
      <c r="AZ88" s="10" t="str">
        <f>IF(AND(X88="CUMPLE",AE88="CUMPLE",AS88="CUMPLE",OR(AY88="CUMPLE",AY88="DESPRECIABLE"),BH88="CUMPLE",BJ88="CUMPLE"),"CUMPLE","NO CUMPLE")</f>
        <v>CUMPLE</v>
      </c>
      <c r="BA88" s="32" t="n">
        <v>9.5</v>
      </c>
      <c r="BB88" s="32" t="n">
        <v>71</v>
      </c>
      <c r="BC88" s="10">
        <f>MAX(IF(AK88=0,0,AK88*1000/('Parametros'!$B$4*MIN(U88,AB88))),MAX(0.062*SQRT('Parametros'!$B$2)*H88/'Parametros'!$B$4,0.35*H88/'Parametros'!$B$4))</f>
        <v>0.375</v>
      </c>
      <c r="BD88" s="10">
        <f>2*AV88</f>
        <v>0</v>
      </c>
      <c r="BE88" s="10">
        <f>AO88*BB88/AP88</f>
        <v>1.18333333333333</v>
      </c>
      <c r="BF88" s="10">
        <f>SQRT((AI88*1000/(H88*MIN(U88,AB88)))^2+(Q88*1000000*2*((H88-2*('Parametros'!$B$7+'Parametros'!$B$9/2))+(I88-2*('Parametros'!$B$7+'Parametros'!$B$9/2)))/(1.7*((H88-2*('Parametros'!$B$7+'Parametros'!$B$9/2))*(I88-2*('Parametros'!$B$7+'Parametros'!$B$9/2)))^2))^2)</f>
        <v>0.786203730026835</v>
      </c>
      <c r="BG88" s="10">
        <f>'Parametros'!$B$6*(AJ88*1000/(H88*MIN(U88,AB88))+0.66*SQRT('Parametros'!$B$2))</f>
        <v>3.29396038227542</v>
      </c>
      <c r="BH88" s="10" t="str">
        <f>IF(BF88&lt;=BG88,"CUMPLE","NO CUMPLE")</f>
        <v>CUMPLE</v>
      </c>
      <c r="BI88" s="10">
        <f>AX88*'Parametros'!$B$8</f>
        <v>0</v>
      </c>
      <c r="BJ88" s="10" t="str">
        <f>IF(BI88&gt;=AW88,"CUMPLE","NO CUMPLE")</f>
        <v>CUMPLE</v>
      </c>
    </row>
    <row r="89">
      <c r="A89" s="17" t="inlineStr">
        <is>
          <t>VC3</t>
        </is>
      </c>
      <c r="B89" s="17" t="inlineStr">
        <is>
          <t>910</t>
        </is>
      </c>
      <c r="C89" s="10" t="n">
        <v>1</v>
      </c>
      <c r="D89" s="10" t="n">
        <v>3.21477</v>
      </c>
      <c r="E89" s="10" t="n">
        <v>3.21477</v>
      </c>
      <c r="F89" s="10" t="n">
        <v>450</v>
      </c>
      <c r="G89" s="10" t="n">
        <v>550</v>
      </c>
      <c r="H89" s="17" t="n">
        <v>450</v>
      </c>
      <c r="I89" s="17" t="n">
        <v>550</v>
      </c>
      <c r="J89" s="30" t="n">
        <v>104.591</v>
      </c>
      <c r="K89" s="10" t="inlineStr">
        <is>
          <t>910</t>
        </is>
      </c>
      <c r="L89" s="30" t="n">
        <v>70.4436</v>
      </c>
      <c r="M89" s="10" t="inlineStr">
        <is>
          <t>910</t>
        </is>
      </c>
      <c r="N89" s="30" t="n">
        <v>70.526</v>
      </c>
      <c r="O89" s="30" t="n">
        <v>210.203</v>
      </c>
      <c r="P89" s="10" t="inlineStr">
        <is>
          <t>910</t>
        </is>
      </c>
      <c r="Q89" s="30" t="n">
        <v>10.6284</v>
      </c>
      <c r="R89" s="10">
        <f>MAX(MAX(1.4/'Parametros'!$B$3,0.25*SQRT('Parametros'!$B$2)/'Parametros'!$B$3)*H89*U89,(0.85*'Parametros'!$B$2/'Parametros'!$B$3)*(1-SQRT(1-2*(J89*1000000/('Parametros'!$B$5*H89*U89^2))/(0.85*'Parametros'!$B$2)))*H89*U89)</f>
        <v>734.025</v>
      </c>
      <c r="S89" s="31" t="n">
        <v>4</v>
      </c>
      <c r="T89" s="32" t="n">
        <v>1</v>
      </c>
      <c r="U89" s="10">
        <f>IF(T89=1,I89-('Parametros'!$B$7+'Parametros'!$B$9+'Parametros'!$B$12/2),I89-(ROUNDUP(S89/2,0)*('Parametros'!$B$7+'Parametros'!$B$9+'Parametros'!$B$12/2)+ROUNDDOWN(S89/2,0)*('Parametros'!$B$7+'Parametros'!$B$9+'Parametros'!$B$12/2+'Parametros'!$B$12+'Parametros'!$B$10))/S89)</f>
        <v>489.35</v>
      </c>
      <c r="V89" s="10">
        <f>S89*'Parametros'!$B$8</f>
        <v>796</v>
      </c>
      <c r="W89" s="10">
        <f>'Parametros'!$B$5*V89*'Parametros'!$B$3*(U89-(V89*'Parametros'!$B$3/(0.85*'Parametros'!$B$2*H89))/2)/1000000</f>
        <v>142.543330094118</v>
      </c>
      <c r="X89" s="10" t="str">
        <f>IF(W89&gt;=J89,"CUMPLE","NO CUMPLE")</f>
        <v>CUMPLE</v>
      </c>
      <c r="Y89" s="10">
        <f>MAX(MAX(1.4/'Parametros'!$B$3,0.25*SQRT('Parametros'!$B$2)/'Parametros'!$B$3)*H89*AB89,(0.85*'Parametros'!$B$2/'Parametros'!$B$3)*(1-SQRT(1-2*(L89*1000000/('Parametros'!$B$5*H89*AB89^2))/(0.85*'Parametros'!$B$2)))*H89*AB89)</f>
        <v>734.025</v>
      </c>
      <c r="Z89" s="31" t="n">
        <v>4</v>
      </c>
      <c r="AA89" s="32" t="n">
        <v>1</v>
      </c>
      <c r="AB89" s="10">
        <f>IF(AA89=1,I89-('Parametros'!$B$7+'Parametros'!$B$9+'Parametros'!$B$12/2),I89-(ROUNDUP(Z89/2,0)*('Parametros'!$B$7+'Parametros'!$B$9+'Parametros'!$B$12/2)+ROUNDDOWN(Z89/2,0)*('Parametros'!$B$7+'Parametros'!$B$9+'Parametros'!$B$12/2+'Parametros'!$B$12+'Parametros'!$B$10))/Z89)</f>
        <v>489.35</v>
      </c>
      <c r="AC89" s="10">
        <f>Z89*'Parametros'!$B$8</f>
        <v>796</v>
      </c>
      <c r="AD89" s="10">
        <f>'Parametros'!$B$5*AC89*'Parametros'!$B$3*(AB89-(AC89*'Parametros'!$B$3/(0.85*'Parametros'!$B$2*H89))/2)/1000000</f>
        <v>142.543330094118</v>
      </c>
      <c r="AE89" s="10" t="str">
        <f>IF(AD89&gt;=L89,"CUMPLE","NO CUMPLE")</f>
        <v>CUMPLE</v>
      </c>
      <c r="AF89" s="10">
        <f>V89*1.25*'Parametros'!$B$3*(U89-(V89*1.25*'Parametros'!$B$3/(0.85*'Parametros'!$B$2*H89))/2)/1000000</f>
        <v>196.346217941176</v>
      </c>
      <c r="AG89" s="10">
        <f>AC89*1.25*'Parametros'!$B$3*(AB89-(AC89*1.25*'Parametros'!$B$3/(0.85*'Parametros'!$B$2*H89))/2)/1000000</f>
        <v>196.346217941176</v>
      </c>
      <c r="AH89" s="10">
        <f>N89+(AF89+AG89)/D89</f>
        <v>192.678575730877</v>
      </c>
      <c r="AI89" s="10">
        <f>MAX(O89,AH89)</f>
        <v>210.203</v>
      </c>
      <c r="AJ89" s="10">
        <f>0.17*SQRT('Parametros'!$B$2)*H89*MIN(U89,AB89)/1000</f>
        <v>198.088855822627</v>
      </c>
      <c r="AK89" s="10">
        <f>MAX(AI89/'Parametros'!$B$6-AJ89,0)</f>
        <v>82.1818108440397</v>
      </c>
      <c r="AL89" s="10">
        <f>0.66*SQRT('Parametros'!$B$2)*H89*MIN(U89,AB89)/1000</f>
        <v>769.050852017258</v>
      </c>
      <c r="AM89" s="10" t="str">
        <f>IF(AK89&lt;=AL89,"CUMPLE","NO CUMPLE")</f>
        <v>CUMPLE</v>
      </c>
      <c r="AN89" s="17" t="inlineStr">
        <is>
          <t>Nº3 cerrado</t>
        </is>
      </c>
      <c r="AO89" s="31" t="n">
        <v>2</v>
      </c>
      <c r="AP89" s="10">
        <f>ROUNDDOWN(MIN(IF(BC89+BD89=0,1000000000,AO89*BB89/(BC89+BD89)),MIN(U89,AB89)/4,8*'Parametros'!$B$12,24*BA89,300,IF(AV89=0,1000000000,2*((H89-2*('Parametros'!$B$7+'Parametros'!$B$9/2))+(I89-2*('Parametros'!$B$7+'Parametros'!$B$9/2)))/8))/10,0)*10</f>
        <v>120</v>
      </c>
      <c r="AQ89" s="10">
        <f>ROUNDDOWN(MIN(IF(BC89+BD89=0,1000000000,AO89*BB89/(BC89+BD89)),IF(AK89&gt;0.33*SQRT('Parametros'!$B$2)*H89*MIN(U89,AB89)/1000,MIN(U89,AB89)/4,MIN(U89,AB89)/2),600,IF(AV89=0,1000000000,2*((H89-2*('Parametros'!$B$7+'Parametros'!$B$9/2))+(I89-2*('Parametros'!$B$7+'Parametros'!$B$9/2)))/8))/10,0)*10</f>
        <v>200</v>
      </c>
      <c r="AR89" s="10">
        <f>'Parametros'!$B$6*(AJ89+MAX(BE89-BD89,0)*'Parametros'!$B$4*MIN(U89,AB89)/1000)</f>
        <v>293.523361837075</v>
      </c>
      <c r="AS89" s="10" t="str">
        <f>IF(AND(ISERROR(SEARCH("referencia",AN89)),AM89="CUMPLE",AR89&gt;=AI89),"CUMPLE","NO CUMPLE")</f>
        <v>CUMPLE</v>
      </c>
      <c r="AT89" s="10">
        <f>'Parametros'!$B$6*0.083*SQRT('Parametros'!$B$2)*(H89*I89)^2/(2*(H89+I89))/1000000</f>
        <v>10.0887830333379</v>
      </c>
      <c r="AU89" s="10" t="str">
        <f>IF(Q89&lt;=AT89,"DESPRECIABLE","DISEÑAR")</f>
        <v>DISEÑAR</v>
      </c>
      <c r="AV89" s="10">
        <f>IF(Q89&lt;=AT89,0,Q89*1000000/('Parametros'!$B$6*2*0.85*(H89-2*('Parametros'!$B$7+'Parametros'!$B$9/2))*(I89-2*('Parametros'!$B$7+'Parametros'!$B$9/2))*'Parametros'!$B$4))</f>
        <v>0.121471445049053</v>
      </c>
      <c r="AW89" s="10">
        <f>AV89*2*((H89-2*('Parametros'!$B$7+'Parametros'!$B$9/2))+(I89-2*('Parametros'!$B$7+'Parametros'!$B$9/2)))*'Parametros'!$B$4/'Parametros'!$B$3</f>
        <v>197.901278273918</v>
      </c>
      <c r="AX89" s="31" t="n">
        <v>8</v>
      </c>
      <c r="AY89" s="10" t="str">
        <f>IF(AV89=0,"DESPRECIABLE",IF(AND(ISERROR(SEARCH("referencia",AN89)),BB89/AP89&gt;=AV89,BI89&gt;=AW89,BH89="CUMPLE"),"CUMPLE","NO CUMPLE"))</f>
        <v>CUMPLE</v>
      </c>
      <c r="AZ89" s="10" t="str">
        <f>IF(AND(X89="CUMPLE",AE89="CUMPLE",AS89="CUMPLE",OR(AY89="CUMPLE",AY89="DESPRECIABLE"),BH89="CUMPLE",BJ89="CUMPLE"),"CUMPLE","NO CUMPLE")</f>
        <v>CUMPLE</v>
      </c>
      <c r="BA89" s="32" t="n">
        <v>9.5</v>
      </c>
      <c r="BB89" s="32" t="n">
        <v>71</v>
      </c>
      <c r="BC89" s="10">
        <f>MAX(IF(AK89=0,0,AK89*1000/('Parametros'!$B$4*MIN(U89,AB89))),MAX(0.062*SQRT('Parametros'!$B$2)*H89/'Parametros'!$B$4,0.35*H89/'Parametros'!$B$4))</f>
        <v>0.399858952079482</v>
      </c>
      <c r="BD89" s="10">
        <f>2*AV89</f>
        <v>0.242942890098107</v>
      </c>
      <c r="BE89" s="10">
        <f>AO89*BB89/AP89</f>
        <v>1.18333333333333</v>
      </c>
      <c r="BF89" s="10">
        <f>SQRT((AI89*1000/(H89*MIN(U89,AB89)))^2+(Q89*1000000*2*((H89-2*('Parametros'!$B$7+'Parametros'!$B$9/2))+(I89-2*('Parametros'!$B$7+'Parametros'!$B$9/2)))/(1.7*((H89-2*('Parametros'!$B$7+'Parametros'!$B$9/2))*(I89-2*('Parametros'!$B$7+'Parametros'!$B$9/2)))^2))^2)</f>
        <v>1.02798949614214</v>
      </c>
      <c r="BG89" s="10">
        <f>'Parametros'!$B$6*(AJ89*1000/(H89*MIN(U89,AB89))+0.66*SQRT('Parametros'!$B$2))</f>
        <v>3.29396038227542</v>
      </c>
      <c r="BH89" s="10" t="str">
        <f>IF(BF89&lt;=BG89,"CUMPLE","NO CUMPLE")</f>
        <v>CUMPLE</v>
      </c>
      <c r="BI89" s="10">
        <f>AX89*'Parametros'!$B$8</f>
        <v>1592</v>
      </c>
      <c r="BJ89" s="10" t="str">
        <f>IF(BI89&gt;=AW89,"CUMPLE","NO CUMPLE")</f>
        <v>CUMPLE</v>
      </c>
    </row>
    <row r="90">
      <c r="A90" s="17" t="inlineStr">
        <is>
          <t>VC3</t>
        </is>
      </c>
      <c r="B90" s="17" t="inlineStr">
        <is>
          <t>911</t>
        </is>
      </c>
      <c r="C90" s="10" t="n">
        <v>1</v>
      </c>
      <c r="D90" s="10" t="n">
        <v>3.21477</v>
      </c>
      <c r="E90" s="10" t="n">
        <v>3.21477</v>
      </c>
      <c r="F90" s="10" t="n">
        <v>450</v>
      </c>
      <c r="G90" s="10" t="n">
        <v>550</v>
      </c>
      <c r="H90" s="17" t="n">
        <v>450</v>
      </c>
      <c r="I90" s="17" t="n">
        <v>550</v>
      </c>
      <c r="J90" s="30" t="n">
        <v>104.6645</v>
      </c>
      <c r="K90" s="10" t="inlineStr">
        <is>
          <t>911</t>
        </is>
      </c>
      <c r="L90" s="30" t="n">
        <v>70.5616</v>
      </c>
      <c r="M90" s="10" t="inlineStr">
        <is>
          <t>911</t>
        </is>
      </c>
      <c r="N90" s="30" t="n">
        <v>70.556</v>
      </c>
      <c r="O90" s="30" t="n">
        <v>210.239</v>
      </c>
      <c r="P90" s="10" t="inlineStr">
        <is>
          <t>911</t>
        </is>
      </c>
      <c r="Q90" s="30" t="n">
        <v>10.6148</v>
      </c>
      <c r="R90" s="10">
        <f>MAX(MAX(1.4/'Parametros'!$B$3,0.25*SQRT('Parametros'!$B$2)/'Parametros'!$B$3)*H90*U90,(0.85*'Parametros'!$B$2/'Parametros'!$B$3)*(1-SQRT(1-2*(J90*1000000/('Parametros'!$B$5*H90*U90^2))/(0.85*'Parametros'!$B$2)))*H90*U90)</f>
        <v>734.025</v>
      </c>
      <c r="S90" s="31" t="n">
        <v>4</v>
      </c>
      <c r="T90" s="32" t="n">
        <v>1</v>
      </c>
      <c r="U90" s="10">
        <f>IF(T90=1,I90-('Parametros'!$B$7+'Parametros'!$B$9+'Parametros'!$B$12/2),I90-(ROUNDUP(S90/2,0)*('Parametros'!$B$7+'Parametros'!$B$9+'Parametros'!$B$12/2)+ROUNDDOWN(S90/2,0)*('Parametros'!$B$7+'Parametros'!$B$9+'Parametros'!$B$12/2+'Parametros'!$B$12+'Parametros'!$B$10))/S90)</f>
        <v>489.35</v>
      </c>
      <c r="V90" s="10">
        <f>S90*'Parametros'!$B$8</f>
        <v>796</v>
      </c>
      <c r="W90" s="10">
        <f>'Parametros'!$B$5*V90*'Parametros'!$B$3*(U90-(V90*'Parametros'!$B$3/(0.85*'Parametros'!$B$2*H90))/2)/1000000</f>
        <v>142.543330094118</v>
      </c>
      <c r="X90" s="10" t="str">
        <f>IF(W90&gt;=J90,"CUMPLE","NO CUMPLE")</f>
        <v>CUMPLE</v>
      </c>
      <c r="Y90" s="10">
        <f>MAX(MAX(1.4/'Parametros'!$B$3,0.25*SQRT('Parametros'!$B$2)/'Parametros'!$B$3)*H90*AB90,(0.85*'Parametros'!$B$2/'Parametros'!$B$3)*(1-SQRT(1-2*(L90*1000000/('Parametros'!$B$5*H90*AB90^2))/(0.85*'Parametros'!$B$2)))*H90*AB90)</f>
        <v>734.025</v>
      </c>
      <c r="Z90" s="31" t="n">
        <v>4</v>
      </c>
      <c r="AA90" s="32" t="n">
        <v>1</v>
      </c>
      <c r="AB90" s="10">
        <f>IF(AA90=1,I90-('Parametros'!$B$7+'Parametros'!$B$9+'Parametros'!$B$12/2),I90-(ROUNDUP(Z90/2,0)*('Parametros'!$B$7+'Parametros'!$B$9+'Parametros'!$B$12/2)+ROUNDDOWN(Z90/2,0)*('Parametros'!$B$7+'Parametros'!$B$9+'Parametros'!$B$12/2+'Parametros'!$B$12+'Parametros'!$B$10))/Z90)</f>
        <v>489.35</v>
      </c>
      <c r="AC90" s="10">
        <f>Z90*'Parametros'!$B$8</f>
        <v>796</v>
      </c>
      <c r="AD90" s="10">
        <f>'Parametros'!$B$5*AC90*'Parametros'!$B$3*(AB90-(AC90*'Parametros'!$B$3/(0.85*'Parametros'!$B$2*H90))/2)/1000000</f>
        <v>142.543330094118</v>
      </c>
      <c r="AE90" s="10" t="str">
        <f>IF(AD90&gt;=L90,"CUMPLE","NO CUMPLE")</f>
        <v>CUMPLE</v>
      </c>
      <c r="AF90" s="10">
        <f>V90*1.25*'Parametros'!$B$3*(U90-(V90*1.25*'Parametros'!$B$3/(0.85*'Parametros'!$B$2*H90))/2)/1000000</f>
        <v>196.346217941176</v>
      </c>
      <c r="AG90" s="10">
        <f>AC90*1.25*'Parametros'!$B$3*(AB90-(AC90*1.25*'Parametros'!$B$3/(0.85*'Parametros'!$B$2*H90))/2)/1000000</f>
        <v>196.346217941176</v>
      </c>
      <c r="AH90" s="10">
        <f>N90+(AF90+AG90)/D90</f>
        <v>192.708575730877</v>
      </c>
      <c r="AI90" s="10">
        <f>MAX(O90,AH90)</f>
        <v>210.239</v>
      </c>
      <c r="AJ90" s="10">
        <f>0.17*SQRT('Parametros'!$B$2)*H90*MIN(U90,AB90)/1000</f>
        <v>198.088855822627</v>
      </c>
      <c r="AK90" s="10">
        <f>MAX(AI90/'Parametros'!$B$6-AJ90,0)</f>
        <v>82.2298108440397</v>
      </c>
      <c r="AL90" s="10">
        <f>0.66*SQRT('Parametros'!$B$2)*H90*MIN(U90,AB90)/1000</f>
        <v>769.050852017258</v>
      </c>
      <c r="AM90" s="10" t="str">
        <f>IF(AK90&lt;=AL90,"CUMPLE","NO CUMPLE")</f>
        <v>CUMPLE</v>
      </c>
      <c r="AN90" s="17" t="inlineStr">
        <is>
          <t>Nº3 cerrado</t>
        </is>
      </c>
      <c r="AO90" s="31" t="n">
        <v>2</v>
      </c>
      <c r="AP90" s="10">
        <f>ROUNDDOWN(MIN(IF(BC90+BD90=0,1000000000,AO90*BB90/(BC90+BD90)),MIN(U90,AB90)/4,8*'Parametros'!$B$12,24*BA90,300,IF(AV90=0,1000000000,2*((H90-2*('Parametros'!$B$7+'Parametros'!$B$9/2))+(I90-2*('Parametros'!$B$7+'Parametros'!$B$9/2)))/8))/10,0)*10</f>
        <v>120</v>
      </c>
      <c r="AQ90" s="10">
        <f>ROUNDDOWN(MIN(IF(BC90+BD90=0,1000000000,AO90*BB90/(BC90+BD90)),IF(AK90&gt;0.33*SQRT('Parametros'!$B$2)*H90*MIN(U90,AB90)/1000,MIN(U90,AB90)/4,MIN(U90,AB90)/2),600,IF(AV90=0,1000000000,2*((H90-2*('Parametros'!$B$7+'Parametros'!$B$9/2))+(I90-2*('Parametros'!$B$7+'Parametros'!$B$9/2)))/8))/10,0)*10</f>
        <v>200</v>
      </c>
      <c r="AR90" s="10">
        <f>'Parametros'!$B$6*(AJ90+MAX(BE90-BD90,0)*'Parametros'!$B$4*MIN(U90,AB90)/1000)</f>
        <v>293.571280573518</v>
      </c>
      <c r="AS90" s="10" t="str">
        <f>IF(AND(ISERROR(SEARCH("referencia",AN90)),AM90="CUMPLE",AR90&gt;=AI90),"CUMPLE","NO CUMPLE")</f>
        <v>CUMPLE</v>
      </c>
      <c r="AT90" s="10">
        <f>'Parametros'!$B$6*0.083*SQRT('Parametros'!$B$2)*(H90*I90)^2/(2*(H90+I90))/1000000</f>
        <v>10.0887830333379</v>
      </c>
      <c r="AU90" s="10" t="str">
        <f>IF(Q90&lt;=AT90,"DESPRECIABLE","DISEÑAR")</f>
        <v>DISEÑAR</v>
      </c>
      <c r="AV90" s="10">
        <f>IF(Q90&lt;=AT90,0,Q90*1000000/('Parametros'!$B$6*2*0.85*(H90-2*('Parametros'!$B$7+'Parametros'!$B$9/2))*(I90-2*('Parametros'!$B$7+'Parametros'!$B$9/2))*'Parametros'!$B$4))</f>
        <v>0.121316011338178</v>
      </c>
      <c r="AW90" s="10">
        <f>AV90*2*((H90-2*('Parametros'!$B$7+'Parametros'!$B$9/2))+(I90-2*('Parametros'!$B$7+'Parametros'!$B$9/2)))*'Parametros'!$B$4/'Parametros'!$B$3</f>
        <v>197.64804567216</v>
      </c>
      <c r="AX90" s="31" t="n">
        <v>8</v>
      </c>
      <c r="AY90" s="10" t="str">
        <f>IF(AV90=0,"DESPRECIABLE",IF(AND(ISERROR(SEARCH("referencia",AN90)),BB90/AP90&gt;=AV90,BI90&gt;=AW90,BH90="CUMPLE"),"CUMPLE","NO CUMPLE"))</f>
        <v>CUMPLE</v>
      </c>
      <c r="AZ90" s="10" t="str">
        <f>IF(AND(X90="CUMPLE",AE90="CUMPLE",AS90="CUMPLE",OR(AY90="CUMPLE",AY90="DESPRECIABLE"),BH90="CUMPLE",BJ90="CUMPLE"),"CUMPLE","NO CUMPLE")</f>
        <v>CUMPLE</v>
      </c>
      <c r="BA90" s="32" t="n">
        <v>9.5</v>
      </c>
      <c r="BB90" s="32" t="n">
        <v>71</v>
      </c>
      <c r="BC90" s="10">
        <f>MAX(IF(AK90=0,0,AK90*1000/('Parametros'!$B$4*MIN(U90,AB90))),MAX(0.062*SQRT('Parametros'!$B$2)*H90/'Parametros'!$B$4,0.35*H90/'Parametros'!$B$4))</f>
        <v>0.400092498036947</v>
      </c>
      <c r="BD90" s="10">
        <f>2*AV90</f>
        <v>0.242632022676356</v>
      </c>
      <c r="BE90" s="10">
        <f>AO90*BB90/AP90</f>
        <v>1.18333333333333</v>
      </c>
      <c r="BF90" s="10">
        <f>SQRT((AI90*1000/(H90*MIN(U90,AB90)))^2+(Q90*1000000*2*((H90-2*('Parametros'!$B$7+'Parametros'!$B$9/2))+(I90-2*('Parametros'!$B$7+'Parametros'!$B$9/2)))/(1.7*((H90-2*('Parametros'!$B$7+'Parametros'!$B$9/2))*(I90-2*('Parametros'!$B$7+'Parametros'!$B$9/2)))^2))^2)</f>
        <v>1.02796024134364</v>
      </c>
      <c r="BG90" s="10">
        <f>'Parametros'!$B$6*(AJ90*1000/(H90*MIN(U90,AB90))+0.66*SQRT('Parametros'!$B$2))</f>
        <v>3.29396038227542</v>
      </c>
      <c r="BH90" s="10" t="str">
        <f>IF(BF90&lt;=BG90,"CUMPLE","NO CUMPLE")</f>
        <v>CUMPLE</v>
      </c>
      <c r="BI90" s="10">
        <f>AX90*'Parametros'!$B$8</f>
        <v>1592</v>
      </c>
      <c r="BJ90" s="10" t="str">
        <f>IF(BI90&gt;=AW90,"CUMPLE","NO CUMPLE")</f>
        <v>CUMPLE</v>
      </c>
    </row>
    <row r="91">
      <c r="A91" s="17" t="inlineStr">
        <is>
          <t>VC3</t>
        </is>
      </c>
      <c r="B91" s="17" t="inlineStr">
        <is>
          <t>912</t>
        </is>
      </c>
      <c r="C91" s="10" t="n">
        <v>1</v>
      </c>
      <c r="D91" s="10" t="n">
        <v>3.4</v>
      </c>
      <c r="E91" s="10" t="n">
        <v>3.4</v>
      </c>
      <c r="F91" s="10" t="n">
        <v>450</v>
      </c>
      <c r="G91" s="10" t="n">
        <v>550</v>
      </c>
      <c r="H91" s="17" t="n">
        <v>450</v>
      </c>
      <c r="I91" s="17" t="n">
        <v>550</v>
      </c>
      <c r="J91" s="30" t="n">
        <v>87.74420000000001</v>
      </c>
      <c r="K91" s="10" t="inlineStr">
        <is>
          <t>912</t>
        </is>
      </c>
      <c r="L91" s="30" t="n">
        <v>57.5061</v>
      </c>
      <c r="M91" s="10" t="inlineStr">
        <is>
          <t>912</t>
        </is>
      </c>
      <c r="N91" s="30" t="n">
        <v>50.309</v>
      </c>
      <c r="O91" s="30" t="n">
        <v>172.933</v>
      </c>
      <c r="P91" s="10" t="inlineStr">
        <is>
          <t>912</t>
        </is>
      </c>
      <c r="Q91" s="30" t="n">
        <v>1.089</v>
      </c>
      <c r="R91" s="10">
        <f>MAX(MAX(1.4/'Parametros'!$B$3,0.25*SQRT('Parametros'!$B$2)/'Parametros'!$B$3)*H91*U91,(0.85*'Parametros'!$B$2/'Parametros'!$B$3)*(1-SQRT(1-2*(J91*1000000/('Parametros'!$B$5*H91*U91^2))/(0.85*'Parametros'!$B$2)))*H91*U91)</f>
        <v>734.025</v>
      </c>
      <c r="S91" s="31" t="n">
        <v>4</v>
      </c>
      <c r="T91" s="32" t="n">
        <v>1</v>
      </c>
      <c r="U91" s="10">
        <f>IF(T91=1,I91-('Parametros'!$B$7+'Parametros'!$B$9+'Parametros'!$B$12/2),I91-(ROUNDUP(S91/2,0)*('Parametros'!$B$7+'Parametros'!$B$9+'Parametros'!$B$12/2)+ROUNDDOWN(S91/2,0)*('Parametros'!$B$7+'Parametros'!$B$9+'Parametros'!$B$12/2+'Parametros'!$B$12+'Parametros'!$B$10))/S91)</f>
        <v>489.35</v>
      </c>
      <c r="V91" s="10">
        <f>S91*'Parametros'!$B$8</f>
        <v>796</v>
      </c>
      <c r="W91" s="10">
        <f>'Parametros'!$B$5*V91*'Parametros'!$B$3*(U91-(V91*'Parametros'!$B$3/(0.85*'Parametros'!$B$2*H91))/2)/1000000</f>
        <v>142.543330094118</v>
      </c>
      <c r="X91" s="10" t="str">
        <f>IF(W91&gt;=J91,"CUMPLE","NO CUMPLE")</f>
        <v>CUMPLE</v>
      </c>
      <c r="Y91" s="10">
        <f>MAX(MAX(1.4/'Parametros'!$B$3,0.25*SQRT('Parametros'!$B$2)/'Parametros'!$B$3)*H91*AB91,(0.85*'Parametros'!$B$2/'Parametros'!$B$3)*(1-SQRT(1-2*(L91*1000000/('Parametros'!$B$5*H91*AB91^2))/(0.85*'Parametros'!$B$2)))*H91*AB91)</f>
        <v>734.025</v>
      </c>
      <c r="Z91" s="31" t="n">
        <v>4</v>
      </c>
      <c r="AA91" s="32" t="n">
        <v>1</v>
      </c>
      <c r="AB91" s="10">
        <f>IF(AA91=1,I91-('Parametros'!$B$7+'Parametros'!$B$9+'Parametros'!$B$12/2),I91-(ROUNDUP(Z91/2,0)*('Parametros'!$B$7+'Parametros'!$B$9+'Parametros'!$B$12/2)+ROUNDDOWN(Z91/2,0)*('Parametros'!$B$7+'Parametros'!$B$9+'Parametros'!$B$12/2+'Parametros'!$B$12+'Parametros'!$B$10))/Z91)</f>
        <v>489.35</v>
      </c>
      <c r="AC91" s="10">
        <f>Z91*'Parametros'!$B$8</f>
        <v>796</v>
      </c>
      <c r="AD91" s="10">
        <f>'Parametros'!$B$5*AC91*'Parametros'!$B$3*(AB91-(AC91*'Parametros'!$B$3/(0.85*'Parametros'!$B$2*H91))/2)/1000000</f>
        <v>142.543330094118</v>
      </c>
      <c r="AE91" s="10" t="str">
        <f>IF(AD91&gt;=L91,"CUMPLE","NO CUMPLE")</f>
        <v>CUMPLE</v>
      </c>
      <c r="AF91" s="10">
        <f>V91*1.25*'Parametros'!$B$3*(U91-(V91*1.25*'Parametros'!$B$3/(0.85*'Parametros'!$B$2*H91))/2)/1000000</f>
        <v>196.346217941176</v>
      </c>
      <c r="AG91" s="10">
        <f>AC91*1.25*'Parametros'!$B$3*(AB91-(AC91*1.25*'Parametros'!$B$3/(0.85*'Parametros'!$B$2*H91))/2)/1000000</f>
        <v>196.346217941176</v>
      </c>
      <c r="AH91" s="10">
        <f>N91+(AF91+AG91)/D91</f>
        <v>165.806775259516</v>
      </c>
      <c r="AI91" s="10">
        <f>MAX(O91,AH91)</f>
        <v>172.933</v>
      </c>
      <c r="AJ91" s="10">
        <f>0.17*SQRT('Parametros'!$B$2)*H91*MIN(U91,AB91)/1000</f>
        <v>198.088855822627</v>
      </c>
      <c r="AK91" s="10">
        <f>MAX(AI91/'Parametros'!$B$6-AJ91,0)</f>
        <v>32.4884775107063</v>
      </c>
      <c r="AL91" s="10">
        <f>0.66*SQRT('Parametros'!$B$2)*H91*MIN(U91,AB91)/1000</f>
        <v>769.050852017258</v>
      </c>
      <c r="AM91" s="10" t="str">
        <f>IF(AK91&lt;=AL91,"CUMPLE","NO CUMPLE")</f>
        <v>CUMPLE</v>
      </c>
      <c r="AN91" s="17" t="inlineStr">
        <is>
          <t>Nº3 cerrado</t>
        </is>
      </c>
      <c r="AO91" s="31" t="n">
        <v>2</v>
      </c>
      <c r="AP91" s="10">
        <f>ROUNDDOWN(MIN(IF(BC91+BD91=0,1000000000,AO91*BB91/(BC91+BD91)),MIN(U91,AB91)/4,8*'Parametros'!$B$12,24*BA91,300,IF(AV91=0,1000000000,2*((H91-2*('Parametros'!$B$7+'Parametros'!$B$9/2))+(I91-2*('Parametros'!$B$7+'Parametros'!$B$9/2)))/8))/10,0)*10</f>
        <v>120</v>
      </c>
      <c r="AQ91" s="10">
        <f>ROUNDDOWN(MIN(IF(BC91+BD91=0,1000000000,AO91*BB91/(BC91+BD91)),IF(AK91&gt;0.33*SQRT('Parametros'!$B$2)*H91*MIN(U91,AB91)/1000,MIN(U91,AB91)/4,MIN(U91,AB91)/2),600,IF(AV91=0,1000000000,2*((H91-2*('Parametros'!$B$7+'Parametros'!$B$9/2))+(I91-2*('Parametros'!$B$7+'Parametros'!$B$9/2)))/8))/10,0)*10</f>
        <v>240</v>
      </c>
      <c r="AR91" s="10">
        <f>'Parametros'!$B$6*(AJ91+MAX(BE91-BD91,0)*'Parametros'!$B$4*MIN(U91,AB91)/1000)</f>
        <v>330.97185436697</v>
      </c>
      <c r="AS91" s="10" t="str">
        <f>IF(AND(ISERROR(SEARCH("referencia",AN91)),AM91="CUMPLE",AR91&gt;=AI91),"CUMPLE","NO CUMPLE")</f>
        <v>CUMPLE</v>
      </c>
      <c r="AT91" s="10">
        <f>'Parametros'!$B$6*0.083*SQRT('Parametros'!$B$2)*(H91*I91)^2/(2*(H91+I91))/1000000</f>
        <v>10.0887830333379</v>
      </c>
      <c r="AU91" s="10" t="str">
        <f>IF(Q91&lt;=AT91,"DESPRECIABLE","DISEÑAR")</f>
        <v>DESPRECIABLE</v>
      </c>
      <c r="AV91" s="10">
        <f>IF(Q91&lt;=AT91,0,Q91*1000000/('Parametros'!$B$6*2*0.85*(H91-2*('Parametros'!$B$7+'Parametros'!$B$9/2))*(I91-2*('Parametros'!$B$7+'Parametros'!$B$9/2))*'Parametros'!$B$4))</f>
        <v>0</v>
      </c>
      <c r="AW91" s="10">
        <f>AV91*2*((H91-2*('Parametros'!$B$7+'Parametros'!$B$9/2))+(I91-2*('Parametros'!$B$7+'Parametros'!$B$9/2)))*'Parametros'!$B$4/'Parametros'!$B$3</f>
        <v>0</v>
      </c>
      <c r="AX91" s="31" t="n">
        <v>0</v>
      </c>
      <c r="AY91" s="10" t="str">
        <f>IF(AV91=0,"DESPRECIABLE",IF(AND(ISERROR(SEARCH("referencia",AN91)),BB91/AP91&gt;=AV91,BI91&gt;=AW91,BH91="CUMPLE"),"CUMPLE","NO CUMPLE"))</f>
        <v>DESPRECIABLE</v>
      </c>
      <c r="AZ91" s="10" t="str">
        <f>IF(AND(X91="CUMPLE",AE91="CUMPLE",AS91="CUMPLE",OR(AY91="CUMPLE",AY91="DESPRECIABLE"),BH91="CUMPLE",BJ91="CUMPLE"),"CUMPLE","NO CUMPLE")</f>
        <v>CUMPLE</v>
      </c>
      <c r="BA91" s="32" t="n">
        <v>9.5</v>
      </c>
      <c r="BB91" s="32" t="n">
        <v>71</v>
      </c>
      <c r="BC91" s="10">
        <f>MAX(IF(AK91=0,0,AK91*1000/('Parametros'!$B$4*MIN(U91,AB91))),MAX(0.062*SQRT('Parametros'!$B$2)*H91/'Parametros'!$B$4,0.35*H91/'Parametros'!$B$4))</f>
        <v>0.375</v>
      </c>
      <c r="BD91" s="10">
        <f>2*AV91</f>
        <v>0</v>
      </c>
      <c r="BE91" s="10">
        <f>AO91*BB91/AP91</f>
        <v>1.18333333333333</v>
      </c>
      <c r="BF91" s="10">
        <f>SQRT((AI91*1000/(H91*MIN(U91,AB91)))^2+(Q91*1000000*2*((H91-2*('Parametros'!$B$7+'Parametros'!$B$9/2))+(I91-2*('Parametros'!$B$7+'Parametros'!$B$9/2)))/(1.7*((H91-2*('Parametros'!$B$7+'Parametros'!$B$9/2))*(I91-2*('Parametros'!$B$7+'Parametros'!$B$9/2)))^2))^2)</f>
        <v>0.786290748889513</v>
      </c>
      <c r="BG91" s="10">
        <f>'Parametros'!$B$6*(AJ91*1000/(H91*MIN(U91,AB91))+0.66*SQRT('Parametros'!$B$2))</f>
        <v>3.29396038227542</v>
      </c>
      <c r="BH91" s="10" t="str">
        <f>IF(BF91&lt;=BG91,"CUMPLE","NO CUMPLE")</f>
        <v>CUMPLE</v>
      </c>
      <c r="BI91" s="10">
        <f>AX91*'Parametros'!$B$8</f>
        <v>0</v>
      </c>
      <c r="BJ91" s="10" t="str">
        <f>IF(BI91&gt;=AW91,"CUMPLE","NO CUMPLE")</f>
        <v>CUMPLE</v>
      </c>
    </row>
    <row r="92">
      <c r="A92" s="17" t="inlineStr">
        <is>
          <t>VC3</t>
        </is>
      </c>
      <c r="B92" s="17" t="inlineStr">
        <is>
          <t>941</t>
        </is>
      </c>
      <c r="C92" s="10" t="n">
        <v>1</v>
      </c>
      <c r="D92" s="10" t="n">
        <v>3.4</v>
      </c>
      <c r="E92" s="10" t="n">
        <v>3.4</v>
      </c>
      <c r="F92" s="10" t="n">
        <v>450</v>
      </c>
      <c r="G92" s="10" t="n">
        <v>550</v>
      </c>
      <c r="H92" s="17" t="n">
        <v>450</v>
      </c>
      <c r="I92" s="17" t="n">
        <v>550</v>
      </c>
      <c r="J92" s="30" t="n">
        <v>87.7436</v>
      </c>
      <c r="K92" s="10" t="inlineStr">
        <is>
          <t>941</t>
        </is>
      </c>
      <c r="L92" s="30" t="n">
        <v>57.5032</v>
      </c>
      <c r="M92" s="10" t="inlineStr">
        <is>
          <t>941</t>
        </is>
      </c>
      <c r="N92" s="30" t="n">
        <v>50.308</v>
      </c>
      <c r="O92" s="30" t="n">
        <v>172.949</v>
      </c>
      <c r="P92" s="10" t="inlineStr">
        <is>
          <t>941</t>
        </is>
      </c>
      <c r="Q92" s="30" t="n">
        <v>1.0938</v>
      </c>
      <c r="R92" s="10">
        <f>MAX(MAX(1.4/'Parametros'!$B$3,0.25*SQRT('Parametros'!$B$2)/'Parametros'!$B$3)*H92*U92,(0.85*'Parametros'!$B$2/'Parametros'!$B$3)*(1-SQRT(1-2*(J92*1000000/('Parametros'!$B$5*H92*U92^2))/(0.85*'Parametros'!$B$2)))*H92*U92)</f>
        <v>734.025</v>
      </c>
      <c r="S92" s="31" t="n">
        <v>4</v>
      </c>
      <c r="T92" s="32" t="n">
        <v>1</v>
      </c>
      <c r="U92" s="10">
        <f>IF(T92=1,I92-('Parametros'!$B$7+'Parametros'!$B$9+'Parametros'!$B$12/2),I92-(ROUNDUP(S92/2,0)*('Parametros'!$B$7+'Parametros'!$B$9+'Parametros'!$B$12/2)+ROUNDDOWN(S92/2,0)*('Parametros'!$B$7+'Parametros'!$B$9+'Parametros'!$B$12/2+'Parametros'!$B$12+'Parametros'!$B$10))/S92)</f>
        <v>489.35</v>
      </c>
      <c r="V92" s="10">
        <f>S92*'Parametros'!$B$8</f>
        <v>796</v>
      </c>
      <c r="W92" s="10">
        <f>'Parametros'!$B$5*V92*'Parametros'!$B$3*(U92-(V92*'Parametros'!$B$3/(0.85*'Parametros'!$B$2*H92))/2)/1000000</f>
        <v>142.543330094118</v>
      </c>
      <c r="X92" s="10" t="str">
        <f>IF(W92&gt;=J92,"CUMPLE","NO CUMPLE")</f>
        <v>CUMPLE</v>
      </c>
      <c r="Y92" s="10">
        <f>MAX(MAX(1.4/'Parametros'!$B$3,0.25*SQRT('Parametros'!$B$2)/'Parametros'!$B$3)*H92*AB92,(0.85*'Parametros'!$B$2/'Parametros'!$B$3)*(1-SQRT(1-2*(L92*1000000/('Parametros'!$B$5*H92*AB92^2))/(0.85*'Parametros'!$B$2)))*H92*AB92)</f>
        <v>734.025</v>
      </c>
      <c r="Z92" s="31" t="n">
        <v>4</v>
      </c>
      <c r="AA92" s="32" t="n">
        <v>1</v>
      </c>
      <c r="AB92" s="10">
        <f>IF(AA92=1,I92-('Parametros'!$B$7+'Parametros'!$B$9+'Parametros'!$B$12/2),I92-(ROUNDUP(Z92/2,0)*('Parametros'!$B$7+'Parametros'!$B$9+'Parametros'!$B$12/2)+ROUNDDOWN(Z92/2,0)*('Parametros'!$B$7+'Parametros'!$B$9+'Parametros'!$B$12/2+'Parametros'!$B$12+'Parametros'!$B$10))/Z92)</f>
        <v>489.35</v>
      </c>
      <c r="AC92" s="10">
        <f>Z92*'Parametros'!$B$8</f>
        <v>796</v>
      </c>
      <c r="AD92" s="10">
        <f>'Parametros'!$B$5*AC92*'Parametros'!$B$3*(AB92-(AC92*'Parametros'!$B$3/(0.85*'Parametros'!$B$2*H92))/2)/1000000</f>
        <v>142.543330094118</v>
      </c>
      <c r="AE92" s="10" t="str">
        <f>IF(AD92&gt;=L92,"CUMPLE","NO CUMPLE")</f>
        <v>CUMPLE</v>
      </c>
      <c r="AF92" s="10">
        <f>V92*1.25*'Parametros'!$B$3*(U92-(V92*1.25*'Parametros'!$B$3/(0.85*'Parametros'!$B$2*H92))/2)/1000000</f>
        <v>196.346217941176</v>
      </c>
      <c r="AG92" s="10">
        <f>AC92*1.25*'Parametros'!$B$3*(AB92-(AC92*1.25*'Parametros'!$B$3/(0.85*'Parametros'!$B$2*H92))/2)/1000000</f>
        <v>196.346217941176</v>
      </c>
      <c r="AH92" s="10">
        <f>N92+(AF92+AG92)/D92</f>
        <v>165.805775259516</v>
      </c>
      <c r="AI92" s="10">
        <f>MAX(O92,AH92)</f>
        <v>172.949</v>
      </c>
      <c r="AJ92" s="10">
        <f>0.17*SQRT('Parametros'!$B$2)*H92*MIN(U92,AB92)/1000</f>
        <v>198.088855822627</v>
      </c>
      <c r="AK92" s="10">
        <f>MAX(AI92/'Parametros'!$B$6-AJ92,0)</f>
        <v>32.5098108440397</v>
      </c>
      <c r="AL92" s="10">
        <f>0.66*SQRT('Parametros'!$B$2)*H92*MIN(U92,AB92)/1000</f>
        <v>769.050852017258</v>
      </c>
      <c r="AM92" s="10" t="str">
        <f>IF(AK92&lt;=AL92,"CUMPLE","NO CUMPLE")</f>
        <v>CUMPLE</v>
      </c>
      <c r="AN92" s="17" t="inlineStr">
        <is>
          <t>Nº3 cerrado</t>
        </is>
      </c>
      <c r="AO92" s="31" t="n">
        <v>2</v>
      </c>
      <c r="AP92" s="10">
        <f>ROUNDDOWN(MIN(IF(BC92+BD92=0,1000000000,AO92*BB92/(BC92+BD92)),MIN(U92,AB92)/4,8*'Parametros'!$B$12,24*BA92,300,IF(AV92=0,1000000000,2*((H92-2*('Parametros'!$B$7+'Parametros'!$B$9/2))+(I92-2*('Parametros'!$B$7+'Parametros'!$B$9/2)))/8))/10,0)*10</f>
        <v>120</v>
      </c>
      <c r="AQ92" s="10">
        <f>ROUNDDOWN(MIN(IF(BC92+BD92=0,1000000000,AO92*BB92/(BC92+BD92)),IF(AK92&gt;0.33*SQRT('Parametros'!$B$2)*H92*MIN(U92,AB92)/1000,MIN(U92,AB92)/4,MIN(U92,AB92)/2),600,IF(AV92=0,1000000000,2*((H92-2*('Parametros'!$B$7+'Parametros'!$B$9/2))+(I92-2*('Parametros'!$B$7+'Parametros'!$B$9/2)))/8))/10,0)*10</f>
        <v>240</v>
      </c>
      <c r="AR92" s="10">
        <f>'Parametros'!$B$6*(AJ92+MAX(BE92-BD92,0)*'Parametros'!$B$4*MIN(U92,AB92)/1000)</f>
        <v>330.97185436697</v>
      </c>
      <c r="AS92" s="10" t="str">
        <f>IF(AND(ISERROR(SEARCH("referencia",AN92)),AM92="CUMPLE",AR92&gt;=AI92),"CUMPLE","NO CUMPLE")</f>
        <v>CUMPLE</v>
      </c>
      <c r="AT92" s="10">
        <f>'Parametros'!$B$6*0.083*SQRT('Parametros'!$B$2)*(H92*I92)^2/(2*(H92+I92))/1000000</f>
        <v>10.0887830333379</v>
      </c>
      <c r="AU92" s="10" t="str">
        <f>IF(Q92&lt;=AT92,"DESPRECIABLE","DISEÑAR")</f>
        <v>DESPRECIABLE</v>
      </c>
      <c r="AV92" s="10">
        <f>IF(Q92&lt;=AT92,0,Q92*1000000/('Parametros'!$B$6*2*0.85*(H92-2*('Parametros'!$B$7+'Parametros'!$B$9/2))*(I92-2*('Parametros'!$B$7+'Parametros'!$B$9/2))*'Parametros'!$B$4))</f>
        <v>0</v>
      </c>
      <c r="AW92" s="10">
        <f>AV92*2*((H92-2*('Parametros'!$B$7+'Parametros'!$B$9/2))+(I92-2*('Parametros'!$B$7+'Parametros'!$B$9/2)))*'Parametros'!$B$4/'Parametros'!$B$3</f>
        <v>0</v>
      </c>
      <c r="AX92" s="31" t="n">
        <v>0</v>
      </c>
      <c r="AY92" s="10" t="str">
        <f>IF(AV92=0,"DESPRECIABLE",IF(AND(ISERROR(SEARCH("referencia",AN92)),BB92/AP92&gt;=AV92,BI92&gt;=AW92,BH92="CUMPLE"),"CUMPLE","NO CUMPLE"))</f>
        <v>DESPRECIABLE</v>
      </c>
      <c r="AZ92" s="10" t="str">
        <f>IF(AND(X92="CUMPLE",AE92="CUMPLE",AS92="CUMPLE",OR(AY92="CUMPLE",AY92="DESPRECIABLE"),BH92="CUMPLE",BJ92="CUMPLE"),"CUMPLE","NO CUMPLE")</f>
        <v>CUMPLE</v>
      </c>
      <c r="BA92" s="32" t="n">
        <v>9.5</v>
      </c>
      <c r="BB92" s="32" t="n">
        <v>71</v>
      </c>
      <c r="BC92" s="10">
        <f>MAX(IF(AK92=0,0,AK92*1000/('Parametros'!$B$4*MIN(U92,AB92))),MAX(0.062*SQRT('Parametros'!$B$2)*H92/'Parametros'!$B$4,0.35*H92/'Parametros'!$B$4))</f>
        <v>0.375</v>
      </c>
      <c r="BD92" s="10">
        <f>2*AV92</f>
        <v>0</v>
      </c>
      <c r="BE92" s="10">
        <f>AO92*BB92/AP92</f>
        <v>1.18333333333333</v>
      </c>
      <c r="BF92" s="10">
        <f>SQRT((AI92*1000/(H92*MIN(U92,AB92)))^2+(Q92*1000000*2*((H92-2*('Parametros'!$B$7+'Parametros'!$B$9/2))+(I92-2*('Parametros'!$B$7+'Parametros'!$B$9/2)))/(1.7*((H92-2*('Parametros'!$B$7+'Parametros'!$B$9/2))*(I92-2*('Parametros'!$B$7+'Parametros'!$B$9/2)))^2))^2)</f>
        <v>0.786371902261072</v>
      </c>
      <c r="BG92" s="10">
        <f>'Parametros'!$B$6*(AJ92*1000/(H92*MIN(U92,AB92))+0.66*SQRT('Parametros'!$B$2))</f>
        <v>3.29396038227542</v>
      </c>
      <c r="BH92" s="10" t="str">
        <f>IF(BF92&lt;=BG92,"CUMPLE","NO CUMPLE")</f>
        <v>CUMPLE</v>
      </c>
      <c r="BI92" s="10">
        <f>AX92*'Parametros'!$B$8</f>
        <v>0</v>
      </c>
      <c r="BJ92" s="10" t="str">
        <f>IF(BI92&gt;=AW92,"CUMPLE","NO CUMPLE")</f>
        <v>CUMPLE</v>
      </c>
    </row>
    <row r="93">
      <c r="A93" s="17" t="inlineStr">
        <is>
          <t>VC3</t>
        </is>
      </c>
      <c r="B93" s="17" t="inlineStr">
        <is>
          <t>942</t>
        </is>
      </c>
      <c r="C93" s="10" t="n">
        <v>1</v>
      </c>
      <c r="D93" s="10" t="n">
        <v>3.21477</v>
      </c>
      <c r="E93" s="10" t="n">
        <v>3.21477</v>
      </c>
      <c r="F93" s="10" t="n">
        <v>450</v>
      </c>
      <c r="G93" s="10" t="n">
        <v>550</v>
      </c>
      <c r="H93" s="17" t="n">
        <v>450</v>
      </c>
      <c r="I93" s="17" t="n">
        <v>550</v>
      </c>
      <c r="J93" s="30" t="n">
        <v>104.6724</v>
      </c>
      <c r="K93" s="10" t="inlineStr">
        <is>
          <t>942</t>
        </is>
      </c>
      <c r="L93" s="30" t="n">
        <v>70.547</v>
      </c>
      <c r="M93" s="10" t="inlineStr">
        <is>
          <t>942</t>
        </is>
      </c>
      <c r="N93" s="30" t="n">
        <v>70.572</v>
      </c>
      <c r="O93" s="30" t="n">
        <v>210.273</v>
      </c>
      <c r="P93" s="10" t="inlineStr">
        <is>
          <t>942</t>
        </is>
      </c>
      <c r="Q93" s="30" t="n">
        <v>10.6283</v>
      </c>
      <c r="R93" s="10">
        <f>MAX(MAX(1.4/'Parametros'!$B$3,0.25*SQRT('Parametros'!$B$2)/'Parametros'!$B$3)*H93*U93,(0.85*'Parametros'!$B$2/'Parametros'!$B$3)*(1-SQRT(1-2*(J93*1000000/('Parametros'!$B$5*H93*U93^2))/(0.85*'Parametros'!$B$2)))*H93*U93)</f>
        <v>734.025</v>
      </c>
      <c r="S93" s="31" t="n">
        <v>4</v>
      </c>
      <c r="T93" s="32" t="n">
        <v>1</v>
      </c>
      <c r="U93" s="10">
        <f>IF(T93=1,I93-('Parametros'!$B$7+'Parametros'!$B$9+'Parametros'!$B$12/2),I93-(ROUNDUP(S93/2,0)*('Parametros'!$B$7+'Parametros'!$B$9+'Parametros'!$B$12/2)+ROUNDDOWN(S93/2,0)*('Parametros'!$B$7+'Parametros'!$B$9+'Parametros'!$B$12/2+'Parametros'!$B$12+'Parametros'!$B$10))/S93)</f>
        <v>489.35</v>
      </c>
      <c r="V93" s="10">
        <f>S93*'Parametros'!$B$8</f>
        <v>796</v>
      </c>
      <c r="W93" s="10">
        <f>'Parametros'!$B$5*V93*'Parametros'!$B$3*(U93-(V93*'Parametros'!$B$3/(0.85*'Parametros'!$B$2*H93))/2)/1000000</f>
        <v>142.543330094118</v>
      </c>
      <c r="X93" s="10" t="str">
        <f>IF(W93&gt;=J93,"CUMPLE","NO CUMPLE")</f>
        <v>CUMPLE</v>
      </c>
      <c r="Y93" s="10">
        <f>MAX(MAX(1.4/'Parametros'!$B$3,0.25*SQRT('Parametros'!$B$2)/'Parametros'!$B$3)*H93*AB93,(0.85*'Parametros'!$B$2/'Parametros'!$B$3)*(1-SQRT(1-2*(L93*1000000/('Parametros'!$B$5*H93*AB93^2))/(0.85*'Parametros'!$B$2)))*H93*AB93)</f>
        <v>734.025</v>
      </c>
      <c r="Z93" s="31" t="n">
        <v>4</v>
      </c>
      <c r="AA93" s="32" t="n">
        <v>1</v>
      </c>
      <c r="AB93" s="10">
        <f>IF(AA93=1,I93-('Parametros'!$B$7+'Parametros'!$B$9+'Parametros'!$B$12/2),I93-(ROUNDUP(Z93/2,0)*('Parametros'!$B$7+'Parametros'!$B$9+'Parametros'!$B$12/2)+ROUNDDOWN(Z93/2,0)*('Parametros'!$B$7+'Parametros'!$B$9+'Parametros'!$B$12/2+'Parametros'!$B$12+'Parametros'!$B$10))/Z93)</f>
        <v>489.35</v>
      </c>
      <c r="AC93" s="10">
        <f>Z93*'Parametros'!$B$8</f>
        <v>796</v>
      </c>
      <c r="AD93" s="10">
        <f>'Parametros'!$B$5*AC93*'Parametros'!$B$3*(AB93-(AC93*'Parametros'!$B$3/(0.85*'Parametros'!$B$2*H93))/2)/1000000</f>
        <v>142.543330094118</v>
      </c>
      <c r="AE93" s="10" t="str">
        <f>IF(AD93&gt;=L93,"CUMPLE","NO CUMPLE")</f>
        <v>CUMPLE</v>
      </c>
      <c r="AF93" s="10">
        <f>V93*1.25*'Parametros'!$B$3*(U93-(V93*1.25*'Parametros'!$B$3/(0.85*'Parametros'!$B$2*H93))/2)/1000000</f>
        <v>196.346217941176</v>
      </c>
      <c r="AG93" s="10">
        <f>AC93*1.25*'Parametros'!$B$3*(AB93-(AC93*1.25*'Parametros'!$B$3/(0.85*'Parametros'!$B$2*H93))/2)/1000000</f>
        <v>196.346217941176</v>
      </c>
      <c r="AH93" s="10">
        <f>N93+(AF93+AG93)/D93</f>
        <v>192.724575730877</v>
      </c>
      <c r="AI93" s="10">
        <f>MAX(O93,AH93)</f>
        <v>210.273</v>
      </c>
      <c r="AJ93" s="10">
        <f>0.17*SQRT('Parametros'!$B$2)*H93*MIN(U93,AB93)/1000</f>
        <v>198.088855822627</v>
      </c>
      <c r="AK93" s="10">
        <f>MAX(AI93/'Parametros'!$B$6-AJ93,0)</f>
        <v>82.275144177373</v>
      </c>
      <c r="AL93" s="10">
        <f>0.66*SQRT('Parametros'!$B$2)*H93*MIN(U93,AB93)/1000</f>
        <v>769.050852017258</v>
      </c>
      <c r="AM93" s="10" t="str">
        <f>IF(AK93&lt;=AL93,"CUMPLE","NO CUMPLE")</f>
        <v>CUMPLE</v>
      </c>
      <c r="AN93" s="17" t="inlineStr">
        <is>
          <t>Nº3 cerrado</t>
        </is>
      </c>
      <c r="AO93" s="31" t="n">
        <v>2</v>
      </c>
      <c r="AP93" s="10">
        <f>ROUNDDOWN(MIN(IF(BC93+BD93=0,1000000000,AO93*BB93/(BC93+BD93)),MIN(U93,AB93)/4,8*'Parametros'!$B$12,24*BA93,300,IF(AV93=0,1000000000,2*((H93-2*('Parametros'!$B$7+'Parametros'!$B$9/2))+(I93-2*('Parametros'!$B$7+'Parametros'!$B$9/2)))/8))/10,0)*10</f>
        <v>120</v>
      </c>
      <c r="AQ93" s="10">
        <f>ROUNDDOWN(MIN(IF(BC93+BD93=0,1000000000,AO93*BB93/(BC93+BD93)),IF(AK93&gt;0.33*SQRT('Parametros'!$B$2)*H93*MIN(U93,AB93)/1000,MIN(U93,AB93)/4,MIN(U93,AB93)/2),600,IF(AV93=0,1000000000,2*((H93-2*('Parametros'!$B$7+'Parametros'!$B$9/2))+(I93-2*('Parametros'!$B$7+'Parametros'!$B$9/2)))/8))/10,0)*10</f>
        <v>200</v>
      </c>
      <c r="AR93" s="10">
        <f>'Parametros'!$B$6*(AJ93+MAX(BE93-BD93,0)*'Parametros'!$B$4*MIN(U93,AB93)/1000)</f>
        <v>293.523714180725</v>
      </c>
      <c r="AS93" s="10" t="str">
        <f>IF(AND(ISERROR(SEARCH("referencia",AN93)),AM93="CUMPLE",AR93&gt;=AI93),"CUMPLE","NO CUMPLE")</f>
        <v>CUMPLE</v>
      </c>
      <c r="AT93" s="10">
        <f>'Parametros'!$B$6*0.083*SQRT('Parametros'!$B$2)*(H93*I93)^2/(2*(H93+I93))/1000000</f>
        <v>10.0887830333379</v>
      </c>
      <c r="AU93" s="10" t="str">
        <f>IF(Q93&lt;=AT93,"DESPRECIABLE","DISEÑAR")</f>
        <v>DISEÑAR</v>
      </c>
      <c r="AV93" s="10">
        <f>IF(Q93&lt;=AT93,0,Q93*1000000/('Parametros'!$B$6*2*0.85*(H93-2*('Parametros'!$B$7+'Parametros'!$B$9/2))*(I93-2*('Parametros'!$B$7+'Parametros'!$B$9/2))*'Parametros'!$B$4))</f>
        <v>0.12147030215412</v>
      </c>
      <c r="AW93" s="10">
        <f>AV93*2*((H93-2*('Parametros'!$B$7+'Parametros'!$B$9/2))+(I93-2*('Parametros'!$B$7+'Parametros'!$B$9/2)))*'Parametros'!$B$4/'Parametros'!$B$3</f>
        <v>197.899416269493</v>
      </c>
      <c r="AX93" s="31" t="n">
        <v>8</v>
      </c>
      <c r="AY93" s="10" t="str">
        <f>IF(AV93=0,"DESPRECIABLE",IF(AND(ISERROR(SEARCH("referencia",AN93)),BB93/AP93&gt;=AV93,BI93&gt;=AW93,BH93="CUMPLE"),"CUMPLE","NO CUMPLE"))</f>
        <v>CUMPLE</v>
      </c>
      <c r="AZ93" s="10" t="str">
        <f>IF(AND(X93="CUMPLE",AE93="CUMPLE",AS93="CUMPLE",OR(AY93="CUMPLE",AY93="DESPRECIABLE"),BH93="CUMPLE",BJ93="CUMPLE"),"CUMPLE","NO CUMPLE")</f>
        <v>CUMPLE</v>
      </c>
      <c r="BA93" s="32" t="n">
        <v>9.5</v>
      </c>
      <c r="BB93" s="32" t="n">
        <v>71</v>
      </c>
      <c r="BC93" s="10">
        <f>MAX(IF(AK93=0,0,AK93*1000/('Parametros'!$B$4*MIN(U93,AB93))),MAX(0.062*SQRT('Parametros'!$B$2)*H93/'Parametros'!$B$4,0.35*H93/'Parametros'!$B$4))</f>
        <v>0.400313069218998</v>
      </c>
      <c r="BD93" s="10">
        <f>2*AV93</f>
        <v>0.242940604308241</v>
      </c>
      <c r="BE93" s="10">
        <f>AO93*BB93/AP93</f>
        <v>1.18333333333333</v>
      </c>
      <c r="BF93" s="10">
        <f>SQRT((AI93*1000/(H93*MIN(U93,AB93)))^2+(Q93*1000000*2*((H93-2*('Parametros'!$B$7+'Parametros'!$B$9/2))+(I93-2*('Parametros'!$B$7+'Parametros'!$B$9/2)))/(1.7*((H93-2*('Parametros'!$B$7+'Parametros'!$B$9/2))*(I93-2*('Parametros'!$B$7+'Parametros'!$B$9/2)))^2))^2)</f>
        <v>1.02828334907517</v>
      </c>
      <c r="BG93" s="10">
        <f>'Parametros'!$B$6*(AJ93*1000/(H93*MIN(U93,AB93))+0.66*SQRT('Parametros'!$B$2))</f>
        <v>3.29396038227542</v>
      </c>
      <c r="BH93" s="10" t="str">
        <f>IF(BF93&lt;=BG93,"CUMPLE","NO CUMPLE")</f>
        <v>CUMPLE</v>
      </c>
      <c r="BI93" s="10">
        <f>AX93*'Parametros'!$B$8</f>
        <v>1592</v>
      </c>
      <c r="BJ93" s="10" t="str">
        <f>IF(BI93&gt;=AW93,"CUMPLE","NO CUMPLE")</f>
        <v>CUMPLE</v>
      </c>
    </row>
    <row r="94">
      <c r="A94" s="17" t="inlineStr">
        <is>
          <t>VC3</t>
        </is>
      </c>
      <c r="B94" s="17" t="inlineStr">
        <is>
          <t>943</t>
        </is>
      </c>
      <c r="C94" s="10" t="n">
        <v>1</v>
      </c>
      <c r="D94" s="10" t="n">
        <v>3.21477</v>
      </c>
      <c r="E94" s="10" t="n">
        <v>3.21477</v>
      </c>
      <c r="F94" s="10" t="n">
        <v>450</v>
      </c>
      <c r="G94" s="10" t="n">
        <v>550</v>
      </c>
      <c r="H94" s="17" t="n">
        <v>450</v>
      </c>
      <c r="I94" s="17" t="n">
        <v>550</v>
      </c>
      <c r="J94" s="30" t="n">
        <v>104.6174</v>
      </c>
      <c r="K94" s="10" t="inlineStr">
        <is>
          <t>943</t>
        </is>
      </c>
      <c r="L94" s="30" t="n">
        <v>70.482</v>
      </c>
      <c r="M94" s="10" t="inlineStr">
        <is>
          <t>943</t>
        </is>
      </c>
      <c r="N94" s="30" t="n">
        <v>70.54300000000001</v>
      </c>
      <c r="O94" s="30" t="n">
        <v>210.238</v>
      </c>
      <c r="P94" s="10" t="inlineStr">
        <is>
          <t>943</t>
        </is>
      </c>
      <c r="Q94" s="30" t="n">
        <v>10.6296</v>
      </c>
      <c r="R94" s="10">
        <f>MAX(MAX(1.4/'Parametros'!$B$3,0.25*SQRT('Parametros'!$B$2)/'Parametros'!$B$3)*H94*U94,(0.85*'Parametros'!$B$2/'Parametros'!$B$3)*(1-SQRT(1-2*(J94*1000000/('Parametros'!$B$5*H94*U94^2))/(0.85*'Parametros'!$B$2)))*H94*U94)</f>
        <v>734.025</v>
      </c>
      <c r="S94" s="31" t="n">
        <v>4</v>
      </c>
      <c r="T94" s="32" t="n">
        <v>1</v>
      </c>
      <c r="U94" s="10">
        <f>IF(T94=1,I94-('Parametros'!$B$7+'Parametros'!$B$9+'Parametros'!$B$12/2),I94-(ROUNDUP(S94/2,0)*('Parametros'!$B$7+'Parametros'!$B$9+'Parametros'!$B$12/2)+ROUNDDOWN(S94/2,0)*('Parametros'!$B$7+'Parametros'!$B$9+'Parametros'!$B$12/2+'Parametros'!$B$12+'Parametros'!$B$10))/S94)</f>
        <v>489.35</v>
      </c>
      <c r="V94" s="10">
        <f>S94*'Parametros'!$B$8</f>
        <v>796</v>
      </c>
      <c r="W94" s="10">
        <f>'Parametros'!$B$5*V94*'Parametros'!$B$3*(U94-(V94*'Parametros'!$B$3/(0.85*'Parametros'!$B$2*H94))/2)/1000000</f>
        <v>142.543330094118</v>
      </c>
      <c r="X94" s="10" t="str">
        <f>IF(W94&gt;=J94,"CUMPLE","NO CUMPLE")</f>
        <v>CUMPLE</v>
      </c>
      <c r="Y94" s="10">
        <f>MAX(MAX(1.4/'Parametros'!$B$3,0.25*SQRT('Parametros'!$B$2)/'Parametros'!$B$3)*H94*AB94,(0.85*'Parametros'!$B$2/'Parametros'!$B$3)*(1-SQRT(1-2*(L94*1000000/('Parametros'!$B$5*H94*AB94^2))/(0.85*'Parametros'!$B$2)))*H94*AB94)</f>
        <v>734.025</v>
      </c>
      <c r="Z94" s="31" t="n">
        <v>4</v>
      </c>
      <c r="AA94" s="32" t="n">
        <v>1</v>
      </c>
      <c r="AB94" s="10">
        <f>IF(AA94=1,I94-('Parametros'!$B$7+'Parametros'!$B$9+'Parametros'!$B$12/2),I94-(ROUNDUP(Z94/2,0)*('Parametros'!$B$7+'Parametros'!$B$9+'Parametros'!$B$12/2)+ROUNDDOWN(Z94/2,0)*('Parametros'!$B$7+'Parametros'!$B$9+'Parametros'!$B$12/2+'Parametros'!$B$12+'Parametros'!$B$10))/Z94)</f>
        <v>489.35</v>
      </c>
      <c r="AC94" s="10">
        <f>Z94*'Parametros'!$B$8</f>
        <v>796</v>
      </c>
      <c r="AD94" s="10">
        <f>'Parametros'!$B$5*AC94*'Parametros'!$B$3*(AB94-(AC94*'Parametros'!$B$3/(0.85*'Parametros'!$B$2*H94))/2)/1000000</f>
        <v>142.543330094118</v>
      </c>
      <c r="AE94" s="10" t="str">
        <f>IF(AD94&gt;=L94,"CUMPLE","NO CUMPLE")</f>
        <v>CUMPLE</v>
      </c>
      <c r="AF94" s="10">
        <f>V94*1.25*'Parametros'!$B$3*(U94-(V94*1.25*'Parametros'!$B$3/(0.85*'Parametros'!$B$2*H94))/2)/1000000</f>
        <v>196.346217941176</v>
      </c>
      <c r="AG94" s="10">
        <f>AC94*1.25*'Parametros'!$B$3*(AB94-(AC94*1.25*'Parametros'!$B$3/(0.85*'Parametros'!$B$2*H94))/2)/1000000</f>
        <v>196.346217941176</v>
      </c>
      <c r="AH94" s="10">
        <f>N94+(AF94+AG94)/D94</f>
        <v>192.695575730877</v>
      </c>
      <c r="AI94" s="10">
        <f>MAX(O94,AH94)</f>
        <v>210.238</v>
      </c>
      <c r="AJ94" s="10">
        <f>0.17*SQRT('Parametros'!$B$2)*H94*MIN(U94,AB94)/1000</f>
        <v>198.088855822627</v>
      </c>
      <c r="AK94" s="10">
        <f>MAX(AI94/'Parametros'!$B$6-AJ94,0)</f>
        <v>82.2284775107064</v>
      </c>
      <c r="AL94" s="10">
        <f>0.66*SQRT('Parametros'!$B$2)*H94*MIN(U94,AB94)/1000</f>
        <v>769.050852017258</v>
      </c>
      <c r="AM94" s="10" t="str">
        <f>IF(AK94&lt;=AL94,"CUMPLE","NO CUMPLE")</f>
        <v>CUMPLE</v>
      </c>
      <c r="AN94" s="17" t="inlineStr">
        <is>
          <t>Nº3 cerrado</t>
        </is>
      </c>
      <c r="AO94" s="31" t="n">
        <v>2</v>
      </c>
      <c r="AP94" s="10">
        <f>ROUNDDOWN(MIN(IF(BC94+BD94=0,1000000000,AO94*BB94/(BC94+BD94)),MIN(U94,AB94)/4,8*'Parametros'!$B$12,24*BA94,300,IF(AV94=0,1000000000,2*((H94-2*('Parametros'!$B$7+'Parametros'!$B$9/2))+(I94-2*('Parametros'!$B$7+'Parametros'!$B$9/2)))/8))/10,0)*10</f>
        <v>120</v>
      </c>
      <c r="AQ94" s="10">
        <f>ROUNDDOWN(MIN(IF(BC94+BD94=0,1000000000,AO94*BB94/(BC94+BD94)),IF(AK94&gt;0.33*SQRT('Parametros'!$B$2)*H94*MIN(U94,AB94)/1000,MIN(U94,AB94)/4,MIN(U94,AB94)/2),600,IF(AV94=0,1000000000,2*((H94-2*('Parametros'!$B$7+'Parametros'!$B$9/2))+(I94-2*('Parametros'!$B$7+'Parametros'!$B$9/2)))/8))/10,0)*10</f>
        <v>200</v>
      </c>
      <c r="AR94" s="10">
        <f>'Parametros'!$B$6*(AJ94+MAX(BE94-BD94,0)*'Parametros'!$B$4*MIN(U94,AB94)/1000)</f>
        <v>293.519133713271</v>
      </c>
      <c r="AS94" s="10" t="str">
        <f>IF(AND(ISERROR(SEARCH("referencia",AN94)),AM94="CUMPLE",AR94&gt;=AI94),"CUMPLE","NO CUMPLE")</f>
        <v>CUMPLE</v>
      </c>
      <c r="AT94" s="10">
        <f>'Parametros'!$B$6*0.083*SQRT('Parametros'!$B$2)*(H94*I94)^2/(2*(H94+I94))/1000000</f>
        <v>10.0887830333379</v>
      </c>
      <c r="AU94" s="10" t="str">
        <f>IF(Q94&lt;=AT94,"DESPRECIABLE","DISEÑAR")</f>
        <v>DISEÑAR</v>
      </c>
      <c r="AV94" s="10">
        <f>IF(Q94&lt;=AT94,0,Q94*1000000/('Parametros'!$B$6*2*0.85*(H94-2*('Parametros'!$B$7+'Parametros'!$B$9/2))*(I94-2*('Parametros'!$B$7+'Parametros'!$B$9/2))*'Parametros'!$B$4))</f>
        <v>0.121485159788248</v>
      </c>
      <c r="AW94" s="10">
        <f>AV94*2*((H94-2*('Parametros'!$B$7+'Parametros'!$B$9/2))+(I94-2*('Parametros'!$B$7+'Parametros'!$B$9/2)))*'Parametros'!$B$4/'Parametros'!$B$3</f>
        <v>197.923622327014</v>
      </c>
      <c r="AX94" s="31" t="n">
        <v>8</v>
      </c>
      <c r="AY94" s="10" t="str">
        <f>IF(AV94=0,"DESPRECIABLE",IF(AND(ISERROR(SEARCH("referencia",AN94)),BB94/AP94&gt;=AV94,BI94&gt;=AW94,BH94="CUMPLE"),"CUMPLE","NO CUMPLE"))</f>
        <v>CUMPLE</v>
      </c>
      <c r="AZ94" s="10" t="str">
        <f>IF(AND(X94="CUMPLE",AE94="CUMPLE",AS94="CUMPLE",OR(AY94="CUMPLE",AY94="DESPRECIABLE"),BH94="CUMPLE",BJ94="CUMPLE"),"CUMPLE","NO CUMPLE")</f>
        <v>CUMPLE</v>
      </c>
      <c r="BA94" s="32" t="n">
        <v>9.5</v>
      </c>
      <c r="BB94" s="32" t="n">
        <v>71</v>
      </c>
      <c r="BC94" s="10">
        <f>MAX(IF(AK94=0,0,AK94*1000/('Parametros'!$B$4*MIN(U94,AB94))),MAX(0.062*SQRT('Parametros'!$B$2)*H94/'Parametros'!$B$4,0.35*H94/'Parametros'!$B$4))</f>
        <v>0.40008601064924</v>
      </c>
      <c r="BD94" s="10">
        <f>2*AV94</f>
        <v>0.242970319576497</v>
      </c>
      <c r="BE94" s="10">
        <f>AO94*BB94/AP94</f>
        <v>1.18333333333333</v>
      </c>
      <c r="BF94" s="10">
        <f>SQRT((AI94*1000/(H94*MIN(U94,AB94)))^2+(Q94*1000000*2*((H94-2*('Parametros'!$B$7+'Parametros'!$B$9/2))+(I94-2*('Parametros'!$B$7+'Parametros'!$B$9/2)))/(1.7*((H94-2*('Parametros'!$B$7+'Parametros'!$B$9/2))*(I94-2*('Parametros'!$B$7+'Parametros'!$B$9/2)))^2))^2)</f>
        <v>1.02815307262154</v>
      </c>
      <c r="BG94" s="10">
        <f>'Parametros'!$B$6*(AJ94*1000/(H94*MIN(U94,AB94))+0.66*SQRT('Parametros'!$B$2))</f>
        <v>3.29396038227542</v>
      </c>
      <c r="BH94" s="10" t="str">
        <f>IF(BF94&lt;=BG94,"CUMPLE","NO CUMPLE")</f>
        <v>CUMPLE</v>
      </c>
      <c r="BI94" s="10">
        <f>AX94*'Parametros'!$B$8</f>
        <v>1592</v>
      </c>
      <c r="BJ94" s="10" t="str">
        <f>IF(BI94&gt;=AW94,"CUMPLE","NO CUMPLE")</f>
        <v>CUMPLE</v>
      </c>
    </row>
    <row r="95">
      <c r="A95" s="17" t="inlineStr">
        <is>
          <t>VC3</t>
        </is>
      </c>
      <c r="B95" s="17" t="inlineStr">
        <is>
          <t>944</t>
        </is>
      </c>
      <c r="C95" s="10" t="n">
        <v>1</v>
      </c>
      <c r="D95" s="10" t="n">
        <v>3.4</v>
      </c>
      <c r="E95" s="10" t="n">
        <v>3.4</v>
      </c>
      <c r="F95" s="10" t="n">
        <v>450</v>
      </c>
      <c r="G95" s="10" t="n">
        <v>550</v>
      </c>
      <c r="H95" s="17" t="n">
        <v>450</v>
      </c>
      <c r="I95" s="17" t="n">
        <v>550</v>
      </c>
      <c r="J95" s="30" t="n">
        <v>87.71720000000001</v>
      </c>
      <c r="K95" s="10" t="inlineStr">
        <is>
          <t>944</t>
        </is>
      </c>
      <c r="L95" s="30" t="n">
        <v>57.478</v>
      </c>
      <c r="M95" s="10" t="inlineStr">
        <is>
          <t>944</t>
        </is>
      </c>
      <c r="N95" s="30" t="n">
        <v>50.295</v>
      </c>
      <c r="O95" s="30" t="n">
        <v>172.936</v>
      </c>
      <c r="P95" s="10" t="inlineStr">
        <is>
          <t>944</t>
        </is>
      </c>
      <c r="Q95" s="30" t="n">
        <v>1.0963</v>
      </c>
      <c r="R95" s="10">
        <f>MAX(MAX(1.4/'Parametros'!$B$3,0.25*SQRT('Parametros'!$B$2)/'Parametros'!$B$3)*H95*U95,(0.85*'Parametros'!$B$2/'Parametros'!$B$3)*(1-SQRT(1-2*(J95*1000000/('Parametros'!$B$5*H95*U95^2))/(0.85*'Parametros'!$B$2)))*H95*U95)</f>
        <v>734.025</v>
      </c>
      <c r="S95" s="31" t="n">
        <v>4</v>
      </c>
      <c r="T95" s="32" t="n">
        <v>1</v>
      </c>
      <c r="U95" s="10">
        <f>IF(T95=1,I95-('Parametros'!$B$7+'Parametros'!$B$9+'Parametros'!$B$12/2),I95-(ROUNDUP(S95/2,0)*('Parametros'!$B$7+'Parametros'!$B$9+'Parametros'!$B$12/2)+ROUNDDOWN(S95/2,0)*('Parametros'!$B$7+'Parametros'!$B$9+'Parametros'!$B$12/2+'Parametros'!$B$12+'Parametros'!$B$10))/S95)</f>
        <v>489.35</v>
      </c>
      <c r="V95" s="10">
        <f>S95*'Parametros'!$B$8</f>
        <v>796</v>
      </c>
      <c r="W95" s="10">
        <f>'Parametros'!$B$5*V95*'Parametros'!$B$3*(U95-(V95*'Parametros'!$B$3/(0.85*'Parametros'!$B$2*H95))/2)/1000000</f>
        <v>142.543330094118</v>
      </c>
      <c r="X95" s="10" t="str">
        <f>IF(W95&gt;=J95,"CUMPLE","NO CUMPLE")</f>
        <v>CUMPLE</v>
      </c>
      <c r="Y95" s="10">
        <f>MAX(MAX(1.4/'Parametros'!$B$3,0.25*SQRT('Parametros'!$B$2)/'Parametros'!$B$3)*H95*AB95,(0.85*'Parametros'!$B$2/'Parametros'!$B$3)*(1-SQRT(1-2*(L95*1000000/('Parametros'!$B$5*H95*AB95^2))/(0.85*'Parametros'!$B$2)))*H95*AB95)</f>
        <v>734.025</v>
      </c>
      <c r="Z95" s="31" t="n">
        <v>4</v>
      </c>
      <c r="AA95" s="32" t="n">
        <v>1</v>
      </c>
      <c r="AB95" s="10">
        <f>IF(AA95=1,I95-('Parametros'!$B$7+'Parametros'!$B$9+'Parametros'!$B$12/2),I95-(ROUNDUP(Z95/2,0)*('Parametros'!$B$7+'Parametros'!$B$9+'Parametros'!$B$12/2)+ROUNDDOWN(Z95/2,0)*('Parametros'!$B$7+'Parametros'!$B$9+'Parametros'!$B$12/2+'Parametros'!$B$12+'Parametros'!$B$10))/Z95)</f>
        <v>489.35</v>
      </c>
      <c r="AC95" s="10">
        <f>Z95*'Parametros'!$B$8</f>
        <v>796</v>
      </c>
      <c r="AD95" s="10">
        <f>'Parametros'!$B$5*AC95*'Parametros'!$B$3*(AB95-(AC95*'Parametros'!$B$3/(0.85*'Parametros'!$B$2*H95))/2)/1000000</f>
        <v>142.543330094118</v>
      </c>
      <c r="AE95" s="10" t="str">
        <f>IF(AD95&gt;=L95,"CUMPLE","NO CUMPLE")</f>
        <v>CUMPLE</v>
      </c>
      <c r="AF95" s="10">
        <f>V95*1.25*'Parametros'!$B$3*(U95-(V95*1.25*'Parametros'!$B$3/(0.85*'Parametros'!$B$2*H95))/2)/1000000</f>
        <v>196.346217941176</v>
      </c>
      <c r="AG95" s="10">
        <f>AC95*1.25*'Parametros'!$B$3*(AB95-(AC95*1.25*'Parametros'!$B$3/(0.85*'Parametros'!$B$2*H95))/2)/1000000</f>
        <v>196.346217941176</v>
      </c>
      <c r="AH95" s="10">
        <f>N95+(AF95+AG95)/D95</f>
        <v>165.792775259516</v>
      </c>
      <c r="AI95" s="10">
        <f>MAX(O95,AH95)</f>
        <v>172.936</v>
      </c>
      <c r="AJ95" s="10">
        <f>0.17*SQRT('Parametros'!$B$2)*H95*MIN(U95,AB95)/1000</f>
        <v>198.088855822627</v>
      </c>
      <c r="AK95" s="10">
        <f>MAX(AI95/'Parametros'!$B$6-AJ95,0)</f>
        <v>32.4924775107064</v>
      </c>
      <c r="AL95" s="10">
        <f>0.66*SQRT('Parametros'!$B$2)*H95*MIN(U95,AB95)/1000</f>
        <v>769.050852017258</v>
      </c>
      <c r="AM95" s="10" t="str">
        <f>IF(AK95&lt;=AL95,"CUMPLE","NO CUMPLE")</f>
        <v>CUMPLE</v>
      </c>
      <c r="AN95" s="17" t="inlineStr">
        <is>
          <t>Nº3 cerrado</t>
        </is>
      </c>
      <c r="AO95" s="31" t="n">
        <v>2</v>
      </c>
      <c r="AP95" s="10">
        <f>ROUNDDOWN(MIN(IF(BC95+BD95=0,1000000000,AO95*BB95/(BC95+BD95)),MIN(U95,AB95)/4,8*'Parametros'!$B$12,24*BA95,300,IF(AV95=0,1000000000,2*((H95-2*('Parametros'!$B$7+'Parametros'!$B$9/2))+(I95-2*('Parametros'!$B$7+'Parametros'!$B$9/2)))/8))/10,0)*10</f>
        <v>120</v>
      </c>
      <c r="AQ95" s="10">
        <f>ROUNDDOWN(MIN(IF(BC95+BD95=0,1000000000,AO95*BB95/(BC95+BD95)),IF(AK95&gt;0.33*SQRT('Parametros'!$B$2)*H95*MIN(U95,AB95)/1000,MIN(U95,AB95)/4,MIN(U95,AB95)/2),600,IF(AV95=0,1000000000,2*((H95-2*('Parametros'!$B$7+'Parametros'!$B$9/2))+(I95-2*('Parametros'!$B$7+'Parametros'!$B$9/2)))/8))/10,0)*10</f>
        <v>240</v>
      </c>
      <c r="AR95" s="10">
        <f>'Parametros'!$B$6*(AJ95+MAX(BE95-BD95,0)*'Parametros'!$B$4*MIN(U95,AB95)/1000)</f>
        <v>330.97185436697</v>
      </c>
      <c r="AS95" s="10" t="str">
        <f>IF(AND(ISERROR(SEARCH("referencia",AN95)),AM95="CUMPLE",AR95&gt;=AI95),"CUMPLE","NO CUMPLE")</f>
        <v>CUMPLE</v>
      </c>
      <c r="AT95" s="10">
        <f>'Parametros'!$B$6*0.083*SQRT('Parametros'!$B$2)*(H95*I95)^2/(2*(H95+I95))/1000000</f>
        <v>10.0887830333379</v>
      </c>
      <c r="AU95" s="10" t="str">
        <f>IF(Q95&lt;=AT95,"DESPRECIABLE","DISEÑAR")</f>
        <v>DESPRECIABLE</v>
      </c>
      <c r="AV95" s="10">
        <f>IF(Q95&lt;=AT95,0,Q95*1000000/('Parametros'!$B$6*2*0.85*(H95-2*('Parametros'!$B$7+'Parametros'!$B$9/2))*(I95-2*('Parametros'!$B$7+'Parametros'!$B$9/2))*'Parametros'!$B$4))</f>
        <v>0</v>
      </c>
      <c r="AW95" s="10">
        <f>AV95*2*((H95-2*('Parametros'!$B$7+'Parametros'!$B$9/2))+(I95-2*('Parametros'!$B$7+'Parametros'!$B$9/2)))*'Parametros'!$B$4/'Parametros'!$B$3</f>
        <v>0</v>
      </c>
      <c r="AX95" s="31" t="n">
        <v>0</v>
      </c>
      <c r="AY95" s="10" t="str">
        <f>IF(AV95=0,"DESPRECIABLE",IF(AND(ISERROR(SEARCH("referencia",AN95)),BB95/AP95&gt;=AV95,BI95&gt;=AW95,BH95="CUMPLE"),"CUMPLE","NO CUMPLE"))</f>
        <v>DESPRECIABLE</v>
      </c>
      <c r="AZ95" s="10" t="str">
        <f>IF(AND(X95="CUMPLE",AE95="CUMPLE",AS95="CUMPLE",OR(AY95="CUMPLE",AY95="DESPRECIABLE"),BH95="CUMPLE",BJ95="CUMPLE"),"CUMPLE","NO CUMPLE")</f>
        <v>CUMPLE</v>
      </c>
      <c r="BA95" s="32" t="n">
        <v>9.5</v>
      </c>
      <c r="BB95" s="32" t="n">
        <v>71</v>
      </c>
      <c r="BC95" s="10">
        <f>MAX(IF(AK95=0,0,AK95*1000/('Parametros'!$B$4*MIN(U95,AB95))),MAX(0.062*SQRT('Parametros'!$B$2)*H95/'Parametros'!$B$4,0.35*H95/'Parametros'!$B$4))</f>
        <v>0.375</v>
      </c>
      <c r="BD95" s="10">
        <f>2*AV95</f>
        <v>0</v>
      </c>
      <c r="BE95" s="10">
        <f>AO95*BB95/AP95</f>
        <v>1.18333333333333</v>
      </c>
      <c r="BF95" s="10">
        <f>SQRT((AI95*1000/(H95*MIN(U95,AB95)))^2+(Q95*1000000*2*((H95-2*('Parametros'!$B$7+'Parametros'!$B$9/2))+(I95-2*('Parametros'!$B$7+'Parametros'!$B$9/2)))/(1.7*((H95-2*('Parametros'!$B$7+'Parametros'!$B$9/2))*(I95-2*('Parametros'!$B$7+'Parametros'!$B$9/2)))^2))^2)</f>
        <v>0.786317427005531</v>
      </c>
      <c r="BG95" s="10">
        <f>'Parametros'!$B$6*(AJ95*1000/(H95*MIN(U95,AB95))+0.66*SQRT('Parametros'!$B$2))</f>
        <v>3.29396038227542</v>
      </c>
      <c r="BH95" s="10" t="str">
        <f>IF(BF95&lt;=BG95,"CUMPLE","NO CUMPLE")</f>
        <v>CUMPLE</v>
      </c>
      <c r="BI95" s="10">
        <f>AX95*'Parametros'!$B$8</f>
        <v>0</v>
      </c>
      <c r="BJ95" s="10" t="str">
        <f>IF(BI95&gt;=AW95,"CUMPLE","NO CUMPLE")</f>
        <v>CUMPLE</v>
      </c>
    </row>
    <row r="96">
      <c r="A96" s="17" t="inlineStr">
        <is>
          <t>VC3</t>
        </is>
      </c>
      <c r="B96" s="17" t="inlineStr">
        <is>
          <t>1003</t>
        </is>
      </c>
      <c r="C96" s="10" t="n">
        <v>1</v>
      </c>
      <c r="D96" s="10" t="n">
        <v>3.4</v>
      </c>
      <c r="E96" s="10" t="n">
        <v>3.4</v>
      </c>
      <c r="F96" s="10" t="n">
        <v>450</v>
      </c>
      <c r="G96" s="10" t="n">
        <v>550</v>
      </c>
      <c r="H96" s="17" t="n">
        <v>450</v>
      </c>
      <c r="I96" s="17" t="n">
        <v>550</v>
      </c>
      <c r="J96" s="30" t="n">
        <v>41.9894</v>
      </c>
      <c r="K96" s="10" t="inlineStr">
        <is>
          <t>1003</t>
        </is>
      </c>
      <c r="L96" s="30" t="n">
        <v>16.39</v>
      </c>
      <c r="M96" s="10" t="inlineStr">
        <is>
          <t>1003</t>
        </is>
      </c>
      <c r="N96" s="30" t="n">
        <v>27.866</v>
      </c>
      <c r="O96" s="30" t="n">
        <v>74.68600000000001</v>
      </c>
      <c r="P96" s="10" t="inlineStr">
        <is>
          <t>1003</t>
        </is>
      </c>
      <c r="Q96" s="30" t="n">
        <v>2.7398</v>
      </c>
      <c r="R96" s="10">
        <f>MAX(MAX(1.4/'Parametros'!$B$3,0.25*SQRT('Parametros'!$B$2)/'Parametros'!$B$3)*H96*U96,(0.85*'Parametros'!$B$2/'Parametros'!$B$3)*(1-SQRT(1-2*(J96*1000000/('Parametros'!$B$5*H96*U96^2))/(0.85*'Parametros'!$B$2)))*H96*U96)</f>
        <v>734.025</v>
      </c>
      <c r="S96" s="31" t="n">
        <v>4</v>
      </c>
      <c r="T96" s="32" t="n">
        <v>1</v>
      </c>
      <c r="U96" s="10">
        <f>IF(T96=1,I96-('Parametros'!$B$7+'Parametros'!$B$9+'Parametros'!$B$12/2),I96-(ROUNDUP(S96/2,0)*('Parametros'!$B$7+'Parametros'!$B$9+'Parametros'!$B$12/2)+ROUNDDOWN(S96/2,0)*('Parametros'!$B$7+'Parametros'!$B$9+'Parametros'!$B$12/2+'Parametros'!$B$12+'Parametros'!$B$10))/S96)</f>
        <v>489.35</v>
      </c>
      <c r="V96" s="10">
        <f>S96*'Parametros'!$B$8</f>
        <v>796</v>
      </c>
      <c r="W96" s="10">
        <f>'Parametros'!$B$5*V96*'Parametros'!$B$3*(U96-(V96*'Parametros'!$B$3/(0.85*'Parametros'!$B$2*H96))/2)/1000000</f>
        <v>142.543330094118</v>
      </c>
      <c r="X96" s="10" t="str">
        <f>IF(W96&gt;=J96,"CUMPLE","NO CUMPLE")</f>
        <v>CUMPLE</v>
      </c>
      <c r="Y96" s="10">
        <f>MAX(MAX(1.4/'Parametros'!$B$3,0.25*SQRT('Parametros'!$B$2)/'Parametros'!$B$3)*H96*AB96,(0.85*'Parametros'!$B$2/'Parametros'!$B$3)*(1-SQRT(1-2*(L96*1000000/('Parametros'!$B$5*H96*AB96^2))/(0.85*'Parametros'!$B$2)))*H96*AB96)</f>
        <v>734.025</v>
      </c>
      <c r="Z96" s="31" t="n">
        <v>4</v>
      </c>
      <c r="AA96" s="32" t="n">
        <v>1</v>
      </c>
      <c r="AB96" s="10">
        <f>IF(AA96=1,I96-('Parametros'!$B$7+'Parametros'!$B$9+'Parametros'!$B$12/2),I96-(ROUNDUP(Z96/2,0)*('Parametros'!$B$7+'Parametros'!$B$9+'Parametros'!$B$12/2)+ROUNDDOWN(Z96/2,0)*('Parametros'!$B$7+'Parametros'!$B$9+'Parametros'!$B$12/2+'Parametros'!$B$12+'Parametros'!$B$10))/Z96)</f>
        <v>489.35</v>
      </c>
      <c r="AC96" s="10">
        <f>Z96*'Parametros'!$B$8</f>
        <v>796</v>
      </c>
      <c r="AD96" s="10">
        <f>'Parametros'!$B$5*AC96*'Parametros'!$B$3*(AB96-(AC96*'Parametros'!$B$3/(0.85*'Parametros'!$B$2*H96))/2)/1000000</f>
        <v>142.543330094118</v>
      </c>
      <c r="AE96" s="10" t="str">
        <f>IF(AD96&gt;=L96,"CUMPLE","NO CUMPLE")</f>
        <v>CUMPLE</v>
      </c>
      <c r="AF96" s="10">
        <f>V96*1.25*'Parametros'!$B$3*(U96-(V96*1.25*'Parametros'!$B$3/(0.85*'Parametros'!$B$2*H96))/2)/1000000</f>
        <v>196.346217941176</v>
      </c>
      <c r="AG96" s="10">
        <f>AC96*1.25*'Parametros'!$B$3*(AB96-(AC96*1.25*'Parametros'!$B$3/(0.85*'Parametros'!$B$2*H96))/2)/1000000</f>
        <v>196.346217941176</v>
      </c>
      <c r="AH96" s="10">
        <f>N96+(AF96+AG96)/D96</f>
        <v>143.363775259516</v>
      </c>
      <c r="AI96" s="10">
        <f>MAX(O96,AH96)</f>
        <v>143.363775259516</v>
      </c>
      <c r="AJ96" s="10">
        <f>0.17*SQRT('Parametros'!$B$2)*H96*MIN(U96,AB96)/1000</f>
        <v>198.088855822627</v>
      </c>
      <c r="AK96" s="10">
        <f>MAX(AI96/'Parametros'!$B$6-AJ96,0)</f>
        <v>0</v>
      </c>
      <c r="AL96" s="10">
        <f>0.66*SQRT('Parametros'!$B$2)*H96*MIN(U96,AB96)/1000</f>
        <v>769.050852017258</v>
      </c>
      <c r="AM96" s="10" t="str">
        <f>IF(AK96&lt;=AL96,"CUMPLE","NO CUMPLE")</f>
        <v>CUMPLE</v>
      </c>
      <c r="AN96" s="17" t="inlineStr">
        <is>
          <t>Nº3 cerrado</t>
        </is>
      </c>
      <c r="AO96" s="31" t="n">
        <v>2</v>
      </c>
      <c r="AP96" s="10">
        <f>ROUNDDOWN(MIN(IF(BC96+BD96=0,1000000000,AO96*BB96/(BC96+BD96)),MIN(U96,AB96)/4,8*'Parametros'!$B$12,24*BA96,300,IF(AV96=0,1000000000,2*((H96-2*('Parametros'!$B$7+'Parametros'!$B$9/2))+(I96-2*('Parametros'!$B$7+'Parametros'!$B$9/2)))/8))/10,0)*10</f>
        <v>120</v>
      </c>
      <c r="AQ96" s="10">
        <f>ROUNDDOWN(MIN(IF(BC96+BD96=0,1000000000,AO96*BB96/(BC96+BD96)),IF(AK96&gt;0.33*SQRT('Parametros'!$B$2)*H96*MIN(U96,AB96)/1000,MIN(U96,AB96)/4,MIN(U96,AB96)/2),600,IF(AV96=0,1000000000,2*((H96-2*('Parametros'!$B$7+'Parametros'!$B$9/2))+(I96-2*('Parametros'!$B$7+'Parametros'!$B$9/2)))/8))/10,0)*10</f>
        <v>240</v>
      </c>
      <c r="AR96" s="10">
        <f>'Parametros'!$B$6*(AJ96+MAX(BE96-BD96,0)*'Parametros'!$B$4*MIN(U96,AB96)/1000)</f>
        <v>330.97185436697</v>
      </c>
      <c r="AS96" s="10" t="str">
        <f>IF(AND(ISERROR(SEARCH("referencia",AN96)),AM96="CUMPLE",AR96&gt;=AI96),"CUMPLE","NO CUMPLE")</f>
        <v>CUMPLE</v>
      </c>
      <c r="AT96" s="10">
        <f>'Parametros'!$B$6*0.083*SQRT('Parametros'!$B$2)*(H96*I96)^2/(2*(H96+I96))/1000000</f>
        <v>10.0887830333379</v>
      </c>
      <c r="AU96" s="10" t="str">
        <f>IF(Q96&lt;=AT96,"DESPRECIABLE","DISEÑAR")</f>
        <v>DESPRECIABLE</v>
      </c>
      <c r="AV96" s="10">
        <f>IF(Q96&lt;=AT96,0,Q96*1000000/('Parametros'!$B$6*2*0.85*(H96-2*('Parametros'!$B$7+'Parametros'!$B$9/2))*(I96-2*('Parametros'!$B$7+'Parametros'!$B$9/2))*'Parametros'!$B$4))</f>
        <v>0</v>
      </c>
      <c r="AW96" s="10">
        <f>AV96*2*((H96-2*('Parametros'!$B$7+'Parametros'!$B$9/2))+(I96-2*('Parametros'!$B$7+'Parametros'!$B$9/2)))*'Parametros'!$B$4/'Parametros'!$B$3</f>
        <v>0</v>
      </c>
      <c r="AX96" s="31" t="n">
        <v>0</v>
      </c>
      <c r="AY96" s="10" t="str">
        <f>IF(AV96=0,"DESPRECIABLE",IF(AND(ISERROR(SEARCH("referencia",AN96)),BB96/AP96&gt;=AV96,BI96&gt;=AW96,BH96="CUMPLE"),"CUMPLE","NO CUMPLE"))</f>
        <v>DESPRECIABLE</v>
      </c>
      <c r="AZ96" s="10" t="str">
        <f>IF(AND(X96="CUMPLE",AE96="CUMPLE",AS96="CUMPLE",OR(AY96="CUMPLE",AY96="DESPRECIABLE"),BH96="CUMPLE",BJ96="CUMPLE"),"CUMPLE","NO CUMPLE")</f>
        <v>CUMPLE</v>
      </c>
      <c r="BA96" s="32" t="n">
        <v>9.5</v>
      </c>
      <c r="BB96" s="32" t="n">
        <v>71</v>
      </c>
      <c r="BC96" s="10">
        <f>MAX(IF(AK96=0,0,AK96*1000/('Parametros'!$B$4*MIN(U96,AB96))),MAX(0.062*SQRT('Parametros'!$B$2)*H96/'Parametros'!$B$4,0.35*H96/'Parametros'!$B$4))</f>
        <v>0.375</v>
      </c>
      <c r="BD96" s="10">
        <f>2*AV96</f>
        <v>0</v>
      </c>
      <c r="BE96" s="10">
        <f>AO96*BB96/AP96</f>
        <v>1.18333333333333</v>
      </c>
      <c r="BF96" s="10">
        <f>SQRT((AI96*1000/(H96*MIN(U96,AB96)))^2+(Q96*1000000*2*((H96-2*('Parametros'!$B$7+'Parametros'!$B$9/2))+(I96-2*('Parametros'!$B$7+'Parametros'!$B$9/2)))/(1.7*((H96-2*('Parametros'!$B$7+'Parametros'!$B$9/2))*(I96-2*('Parametros'!$B$7+'Parametros'!$B$9/2)))^2))^2)</f>
        <v>0.658426297772756</v>
      </c>
      <c r="BG96" s="10">
        <f>'Parametros'!$B$6*(AJ96*1000/(H96*MIN(U96,AB96))+0.66*SQRT('Parametros'!$B$2))</f>
        <v>3.29396038227542</v>
      </c>
      <c r="BH96" s="10" t="str">
        <f>IF(BF96&lt;=BG96,"CUMPLE","NO CUMPLE")</f>
        <v>CUMPLE</v>
      </c>
      <c r="BI96" s="10">
        <f>AX96*'Parametros'!$B$8</f>
        <v>0</v>
      </c>
      <c r="BJ96" s="10" t="str">
        <f>IF(BI96&gt;=AW96,"CUMPLE","NO CUMPLE")</f>
        <v>CUMPLE</v>
      </c>
    </row>
    <row r="97">
      <c r="A97" s="17" t="inlineStr">
        <is>
          <t>VC3</t>
        </is>
      </c>
      <c r="B97" s="17" t="inlineStr">
        <is>
          <t>1004</t>
        </is>
      </c>
      <c r="C97" s="10" t="n">
        <v>1</v>
      </c>
      <c r="D97" s="10" t="n">
        <v>3.21477</v>
      </c>
      <c r="E97" s="10" t="n">
        <v>3.21477</v>
      </c>
      <c r="F97" s="10" t="n">
        <v>450</v>
      </c>
      <c r="G97" s="10" t="n">
        <v>550</v>
      </c>
      <c r="H97" s="17" t="n">
        <v>450</v>
      </c>
      <c r="I97" s="17" t="n">
        <v>550</v>
      </c>
      <c r="J97" s="30" t="n">
        <v>57.5082</v>
      </c>
      <c r="K97" s="10" t="inlineStr">
        <is>
          <t>1004</t>
        </is>
      </c>
      <c r="L97" s="30" t="n">
        <v>29.8658</v>
      </c>
      <c r="M97" s="10" t="inlineStr">
        <is>
          <t>1004</t>
        </is>
      </c>
      <c r="N97" s="30" t="n">
        <v>46.21</v>
      </c>
      <c r="O97" s="30" t="n">
        <v>107.54</v>
      </c>
      <c r="P97" s="10" t="inlineStr">
        <is>
          <t>1004</t>
        </is>
      </c>
      <c r="Q97" s="30" t="n">
        <v>11.373</v>
      </c>
      <c r="R97" s="10">
        <f>MAX(MAX(1.4/'Parametros'!$B$3,0.25*SQRT('Parametros'!$B$2)/'Parametros'!$B$3)*H97*U97,(0.85*'Parametros'!$B$2/'Parametros'!$B$3)*(1-SQRT(1-2*(J97*1000000/('Parametros'!$B$5*H97*U97^2))/(0.85*'Parametros'!$B$2)))*H97*U97)</f>
        <v>734.025</v>
      </c>
      <c r="S97" s="31" t="n">
        <v>4</v>
      </c>
      <c r="T97" s="32" t="n">
        <v>1</v>
      </c>
      <c r="U97" s="10">
        <f>IF(T97=1,I97-('Parametros'!$B$7+'Parametros'!$B$9+'Parametros'!$B$12/2),I97-(ROUNDUP(S97/2,0)*('Parametros'!$B$7+'Parametros'!$B$9+'Parametros'!$B$12/2)+ROUNDDOWN(S97/2,0)*('Parametros'!$B$7+'Parametros'!$B$9+'Parametros'!$B$12/2+'Parametros'!$B$12+'Parametros'!$B$10))/S97)</f>
        <v>489.35</v>
      </c>
      <c r="V97" s="10">
        <f>S97*'Parametros'!$B$8</f>
        <v>796</v>
      </c>
      <c r="W97" s="10">
        <f>'Parametros'!$B$5*V97*'Parametros'!$B$3*(U97-(V97*'Parametros'!$B$3/(0.85*'Parametros'!$B$2*H97))/2)/1000000</f>
        <v>142.543330094118</v>
      </c>
      <c r="X97" s="10" t="str">
        <f>IF(W97&gt;=J97,"CUMPLE","NO CUMPLE")</f>
        <v>CUMPLE</v>
      </c>
      <c r="Y97" s="10">
        <f>MAX(MAX(1.4/'Parametros'!$B$3,0.25*SQRT('Parametros'!$B$2)/'Parametros'!$B$3)*H97*AB97,(0.85*'Parametros'!$B$2/'Parametros'!$B$3)*(1-SQRT(1-2*(L97*1000000/('Parametros'!$B$5*H97*AB97^2))/(0.85*'Parametros'!$B$2)))*H97*AB97)</f>
        <v>734.025</v>
      </c>
      <c r="Z97" s="31" t="n">
        <v>4</v>
      </c>
      <c r="AA97" s="32" t="n">
        <v>1</v>
      </c>
      <c r="AB97" s="10">
        <f>IF(AA97=1,I97-('Parametros'!$B$7+'Parametros'!$B$9+'Parametros'!$B$12/2),I97-(ROUNDUP(Z97/2,0)*('Parametros'!$B$7+'Parametros'!$B$9+'Parametros'!$B$12/2)+ROUNDDOWN(Z97/2,0)*('Parametros'!$B$7+'Parametros'!$B$9+'Parametros'!$B$12/2+'Parametros'!$B$12+'Parametros'!$B$10))/Z97)</f>
        <v>489.35</v>
      </c>
      <c r="AC97" s="10">
        <f>Z97*'Parametros'!$B$8</f>
        <v>796</v>
      </c>
      <c r="AD97" s="10">
        <f>'Parametros'!$B$5*AC97*'Parametros'!$B$3*(AB97-(AC97*'Parametros'!$B$3/(0.85*'Parametros'!$B$2*H97))/2)/1000000</f>
        <v>142.543330094118</v>
      </c>
      <c r="AE97" s="10" t="str">
        <f>IF(AD97&gt;=L97,"CUMPLE","NO CUMPLE")</f>
        <v>CUMPLE</v>
      </c>
      <c r="AF97" s="10">
        <f>V97*1.25*'Parametros'!$B$3*(U97-(V97*1.25*'Parametros'!$B$3/(0.85*'Parametros'!$B$2*H97))/2)/1000000</f>
        <v>196.346217941176</v>
      </c>
      <c r="AG97" s="10">
        <f>AC97*1.25*'Parametros'!$B$3*(AB97-(AC97*1.25*'Parametros'!$B$3/(0.85*'Parametros'!$B$2*H97))/2)/1000000</f>
        <v>196.346217941176</v>
      </c>
      <c r="AH97" s="10">
        <f>N97+(AF97+AG97)/D97</f>
        <v>168.362575730877</v>
      </c>
      <c r="AI97" s="10">
        <f>MAX(O97,AH97)</f>
        <v>168.362575730877</v>
      </c>
      <c r="AJ97" s="10">
        <f>0.17*SQRT('Parametros'!$B$2)*H97*MIN(U97,AB97)/1000</f>
        <v>198.088855822627</v>
      </c>
      <c r="AK97" s="10">
        <f>MAX(AI97/'Parametros'!$B$6-AJ97,0)</f>
        <v>26.3945784852096</v>
      </c>
      <c r="AL97" s="10">
        <f>0.66*SQRT('Parametros'!$B$2)*H97*MIN(U97,AB97)/1000</f>
        <v>769.050852017258</v>
      </c>
      <c r="AM97" s="10" t="str">
        <f>IF(AK97&lt;=AL97,"CUMPLE","NO CUMPLE")</f>
        <v>CUMPLE</v>
      </c>
      <c r="AN97" s="17" t="inlineStr">
        <is>
          <t>Nº3 cerrado</t>
        </is>
      </c>
      <c r="AO97" s="31" t="n">
        <v>2</v>
      </c>
      <c r="AP97" s="10">
        <f>ROUNDDOWN(MIN(IF(BC97+BD97=0,1000000000,AO97*BB97/(BC97+BD97)),MIN(U97,AB97)/4,8*'Parametros'!$B$12,24*BA97,300,IF(AV97=0,1000000000,2*((H97-2*('Parametros'!$B$7+'Parametros'!$B$9/2))+(I97-2*('Parametros'!$B$7+'Parametros'!$B$9/2)))/8))/10,0)*10</f>
        <v>120</v>
      </c>
      <c r="AQ97" s="10">
        <f>ROUNDDOWN(MIN(IF(BC97+BD97=0,1000000000,AO97*BB97/(BC97+BD97)),IF(AK97&gt;0.33*SQRT('Parametros'!$B$2)*H97*MIN(U97,AB97)/1000,MIN(U97,AB97)/4,MIN(U97,AB97)/2),600,IF(AV97=0,1000000000,2*((H97-2*('Parametros'!$B$7+'Parametros'!$B$9/2))+(I97-2*('Parametros'!$B$7+'Parametros'!$B$9/2)))/8))/10,0)*10</f>
        <v>200</v>
      </c>
      <c r="AR97" s="10">
        <f>'Parametros'!$B$6*(AJ97+MAX(BE97-BD97,0)*'Parametros'!$B$4*MIN(U97,AB97)/1000)</f>
        <v>290.899811016842</v>
      </c>
      <c r="AS97" s="10" t="str">
        <f>IF(AND(ISERROR(SEARCH("referencia",AN97)),AM97="CUMPLE",AR97&gt;=AI97),"CUMPLE","NO CUMPLE")</f>
        <v>CUMPLE</v>
      </c>
      <c r="AT97" s="10">
        <f>'Parametros'!$B$6*0.083*SQRT('Parametros'!$B$2)*(H97*I97)^2/(2*(H97+I97))/1000000</f>
        <v>10.0887830333379</v>
      </c>
      <c r="AU97" s="10" t="str">
        <f>IF(Q97&lt;=AT97,"DESPRECIABLE","DISEÑAR")</f>
        <v>DISEÑAR</v>
      </c>
      <c r="AV97" s="10">
        <f>IF(Q97&lt;=AT97,0,Q97*1000000/('Parametros'!$B$6*2*0.85*(H97-2*('Parametros'!$B$7+'Parametros'!$B$9/2))*(I97-2*('Parametros'!$B$7+'Parametros'!$B$9/2))*'Parametros'!$B$4))</f>
        <v>0.129981440719477</v>
      </c>
      <c r="AW97" s="10">
        <f>AV97*2*((H97-2*('Parametros'!$B$7+'Parametros'!$B$9/2))+(I97-2*('Parametros'!$B$7+'Parametros'!$B$9/2)))*'Parametros'!$B$4/'Parametros'!$B$3</f>
        <v>211.765763220171</v>
      </c>
      <c r="AX97" s="31" t="n">
        <v>8</v>
      </c>
      <c r="AY97" s="10" t="str">
        <f>IF(AV97=0,"DESPRECIABLE",IF(AND(ISERROR(SEARCH("referencia",AN97)),BB97/AP97&gt;=AV97,BI97&gt;=AW97,BH97="CUMPLE"),"CUMPLE","NO CUMPLE"))</f>
        <v>CUMPLE</v>
      </c>
      <c r="AZ97" s="10" t="str">
        <f>IF(AND(X97="CUMPLE",AE97="CUMPLE",AS97="CUMPLE",OR(AY97="CUMPLE",AY97="DESPRECIABLE"),BH97="CUMPLE",BJ97="CUMPLE"),"CUMPLE","NO CUMPLE")</f>
        <v>CUMPLE</v>
      </c>
      <c r="BA97" s="32" t="n">
        <v>9.5</v>
      </c>
      <c r="BB97" s="32" t="n">
        <v>71</v>
      </c>
      <c r="BC97" s="10">
        <f>MAX(IF(AK97=0,0,AK97*1000/('Parametros'!$B$4*MIN(U97,AB97))),MAX(0.062*SQRT('Parametros'!$B$2)*H97/'Parametros'!$B$4,0.35*H97/'Parametros'!$B$4))</f>
        <v>0.375</v>
      </c>
      <c r="BD97" s="10">
        <f>2*AV97</f>
        <v>0.259962881438953</v>
      </c>
      <c r="BE97" s="10">
        <f>AO97*BB97/AP97</f>
        <v>1.18333333333333</v>
      </c>
      <c r="BF97" s="10">
        <f>SQRT((AI97*1000/(H97*MIN(U97,AB97)))^2+(Q97*1000000*2*((H97-2*('Parametros'!$B$7+'Parametros'!$B$9/2))+(I97-2*('Parametros'!$B$7+'Parametros'!$B$9/2)))/(1.7*((H97-2*('Parametros'!$B$7+'Parametros'!$B$9/2))*(I97-2*('Parametros'!$B$7+'Parametros'!$B$9/2)))^2))^2)</f>
        <v>0.86673504791112</v>
      </c>
      <c r="BG97" s="10">
        <f>'Parametros'!$B$6*(AJ97*1000/(H97*MIN(U97,AB97))+0.66*SQRT('Parametros'!$B$2))</f>
        <v>3.29396038227542</v>
      </c>
      <c r="BH97" s="10" t="str">
        <f>IF(BF97&lt;=BG97,"CUMPLE","NO CUMPLE")</f>
        <v>CUMPLE</v>
      </c>
      <c r="BI97" s="10">
        <f>AX97*'Parametros'!$B$8</f>
        <v>1592</v>
      </c>
      <c r="BJ97" s="10" t="str">
        <f>IF(BI97&gt;=AW97,"CUMPLE","NO CUMPLE")</f>
        <v>CUMPLE</v>
      </c>
    </row>
    <row r="98">
      <c r="A98" s="17" t="inlineStr">
        <is>
          <t>VC3</t>
        </is>
      </c>
      <c r="B98" s="17" t="inlineStr">
        <is>
          <t>1005</t>
        </is>
      </c>
      <c r="C98" s="10" t="n">
        <v>1</v>
      </c>
      <c r="D98" s="10" t="n">
        <v>3.21477</v>
      </c>
      <c r="E98" s="10" t="n">
        <v>3.21477</v>
      </c>
      <c r="F98" s="10" t="n">
        <v>450</v>
      </c>
      <c r="G98" s="10" t="n">
        <v>550</v>
      </c>
      <c r="H98" s="17" t="n">
        <v>450</v>
      </c>
      <c r="I98" s="17" t="n">
        <v>550</v>
      </c>
      <c r="J98" s="30" t="n">
        <v>57.5936</v>
      </c>
      <c r="K98" s="10" t="inlineStr">
        <is>
          <t>1005</t>
        </is>
      </c>
      <c r="L98" s="30" t="n">
        <v>29.9339</v>
      </c>
      <c r="M98" s="10" t="inlineStr">
        <is>
          <t>1005</t>
        </is>
      </c>
      <c r="N98" s="30" t="n">
        <v>46.254</v>
      </c>
      <c r="O98" s="30" t="n">
        <v>107.591</v>
      </c>
      <c r="P98" s="10" t="inlineStr">
        <is>
          <t>1005</t>
        </is>
      </c>
      <c r="Q98" s="30" t="n">
        <v>11.378</v>
      </c>
      <c r="R98" s="10">
        <f>MAX(MAX(1.4/'Parametros'!$B$3,0.25*SQRT('Parametros'!$B$2)/'Parametros'!$B$3)*H98*U98,(0.85*'Parametros'!$B$2/'Parametros'!$B$3)*(1-SQRT(1-2*(J98*1000000/('Parametros'!$B$5*H98*U98^2))/(0.85*'Parametros'!$B$2)))*H98*U98)</f>
        <v>734.025</v>
      </c>
      <c r="S98" s="31" t="n">
        <v>4</v>
      </c>
      <c r="T98" s="32" t="n">
        <v>1</v>
      </c>
      <c r="U98" s="10">
        <f>IF(T98=1,I98-('Parametros'!$B$7+'Parametros'!$B$9+'Parametros'!$B$12/2),I98-(ROUNDUP(S98/2,0)*('Parametros'!$B$7+'Parametros'!$B$9+'Parametros'!$B$12/2)+ROUNDDOWN(S98/2,0)*('Parametros'!$B$7+'Parametros'!$B$9+'Parametros'!$B$12/2+'Parametros'!$B$12+'Parametros'!$B$10))/S98)</f>
        <v>489.35</v>
      </c>
      <c r="V98" s="10">
        <f>S98*'Parametros'!$B$8</f>
        <v>796</v>
      </c>
      <c r="W98" s="10">
        <f>'Parametros'!$B$5*V98*'Parametros'!$B$3*(U98-(V98*'Parametros'!$B$3/(0.85*'Parametros'!$B$2*H98))/2)/1000000</f>
        <v>142.543330094118</v>
      </c>
      <c r="X98" s="10" t="str">
        <f>IF(W98&gt;=J98,"CUMPLE","NO CUMPLE")</f>
        <v>CUMPLE</v>
      </c>
      <c r="Y98" s="10">
        <f>MAX(MAX(1.4/'Parametros'!$B$3,0.25*SQRT('Parametros'!$B$2)/'Parametros'!$B$3)*H98*AB98,(0.85*'Parametros'!$B$2/'Parametros'!$B$3)*(1-SQRT(1-2*(L98*1000000/('Parametros'!$B$5*H98*AB98^2))/(0.85*'Parametros'!$B$2)))*H98*AB98)</f>
        <v>734.025</v>
      </c>
      <c r="Z98" s="31" t="n">
        <v>4</v>
      </c>
      <c r="AA98" s="32" t="n">
        <v>1</v>
      </c>
      <c r="AB98" s="10">
        <f>IF(AA98=1,I98-('Parametros'!$B$7+'Parametros'!$B$9+'Parametros'!$B$12/2),I98-(ROUNDUP(Z98/2,0)*('Parametros'!$B$7+'Parametros'!$B$9+'Parametros'!$B$12/2)+ROUNDDOWN(Z98/2,0)*('Parametros'!$B$7+'Parametros'!$B$9+'Parametros'!$B$12/2+'Parametros'!$B$12+'Parametros'!$B$10))/Z98)</f>
        <v>489.35</v>
      </c>
      <c r="AC98" s="10">
        <f>Z98*'Parametros'!$B$8</f>
        <v>796</v>
      </c>
      <c r="AD98" s="10">
        <f>'Parametros'!$B$5*AC98*'Parametros'!$B$3*(AB98-(AC98*'Parametros'!$B$3/(0.85*'Parametros'!$B$2*H98))/2)/1000000</f>
        <v>142.543330094118</v>
      </c>
      <c r="AE98" s="10" t="str">
        <f>IF(AD98&gt;=L98,"CUMPLE","NO CUMPLE")</f>
        <v>CUMPLE</v>
      </c>
      <c r="AF98" s="10">
        <f>V98*1.25*'Parametros'!$B$3*(U98-(V98*1.25*'Parametros'!$B$3/(0.85*'Parametros'!$B$2*H98))/2)/1000000</f>
        <v>196.346217941176</v>
      </c>
      <c r="AG98" s="10">
        <f>AC98*1.25*'Parametros'!$B$3*(AB98-(AC98*1.25*'Parametros'!$B$3/(0.85*'Parametros'!$B$2*H98))/2)/1000000</f>
        <v>196.346217941176</v>
      </c>
      <c r="AH98" s="10">
        <f>N98+(AF98+AG98)/D98</f>
        <v>168.406575730877</v>
      </c>
      <c r="AI98" s="10">
        <f>MAX(O98,AH98)</f>
        <v>168.406575730877</v>
      </c>
      <c r="AJ98" s="10">
        <f>0.17*SQRT('Parametros'!$B$2)*H98*MIN(U98,AB98)/1000</f>
        <v>198.088855822627</v>
      </c>
      <c r="AK98" s="10">
        <f>MAX(AI98/'Parametros'!$B$6-AJ98,0)</f>
        <v>26.4532451518763</v>
      </c>
      <c r="AL98" s="10">
        <f>0.66*SQRT('Parametros'!$B$2)*H98*MIN(U98,AB98)/1000</f>
        <v>769.050852017258</v>
      </c>
      <c r="AM98" s="10" t="str">
        <f>IF(AK98&lt;=AL98,"CUMPLE","NO CUMPLE")</f>
        <v>CUMPLE</v>
      </c>
      <c r="AN98" s="17" t="inlineStr">
        <is>
          <t>Nº3 cerrado</t>
        </is>
      </c>
      <c r="AO98" s="31" t="n">
        <v>2</v>
      </c>
      <c r="AP98" s="10">
        <f>ROUNDDOWN(MIN(IF(BC98+BD98=0,1000000000,AO98*BB98/(BC98+BD98)),MIN(U98,AB98)/4,8*'Parametros'!$B$12,24*BA98,300,IF(AV98=0,1000000000,2*((H98-2*('Parametros'!$B$7+'Parametros'!$B$9/2))+(I98-2*('Parametros'!$B$7+'Parametros'!$B$9/2)))/8))/10,0)*10</f>
        <v>120</v>
      </c>
      <c r="AQ98" s="10">
        <f>ROUNDDOWN(MIN(IF(BC98+BD98=0,1000000000,AO98*BB98/(BC98+BD98)),IF(AK98&gt;0.33*SQRT('Parametros'!$B$2)*H98*MIN(U98,AB98)/1000,MIN(U98,AB98)/4,MIN(U98,AB98)/2),600,IF(AV98=0,1000000000,2*((H98-2*('Parametros'!$B$7+'Parametros'!$B$9/2))+(I98-2*('Parametros'!$B$7+'Parametros'!$B$9/2)))/8))/10,0)*10</f>
        <v>200</v>
      </c>
      <c r="AR98" s="10">
        <f>'Parametros'!$B$6*(AJ98+MAX(BE98-BD98,0)*'Parametros'!$B$4*MIN(U98,AB98)/1000)</f>
        <v>290.882193834327</v>
      </c>
      <c r="AS98" s="10" t="str">
        <f>IF(AND(ISERROR(SEARCH("referencia",AN98)),AM98="CUMPLE",AR98&gt;=AI98),"CUMPLE","NO CUMPLE")</f>
        <v>CUMPLE</v>
      </c>
      <c r="AT98" s="10">
        <f>'Parametros'!$B$6*0.083*SQRT('Parametros'!$B$2)*(H98*I98)^2/(2*(H98+I98))/1000000</f>
        <v>10.0887830333379</v>
      </c>
      <c r="AU98" s="10" t="str">
        <f>IF(Q98&lt;=AT98,"DESPRECIABLE","DISEÑAR")</f>
        <v>DISEÑAR</v>
      </c>
      <c r="AV98" s="10">
        <f>IF(Q98&lt;=AT98,0,Q98*1000000/('Parametros'!$B$6*2*0.85*(H98-2*('Parametros'!$B$7+'Parametros'!$B$9/2))*(I98-2*('Parametros'!$B$7+'Parametros'!$B$9/2))*'Parametros'!$B$4))</f>
        <v>0.130038585466122</v>
      </c>
      <c r="AW98" s="10">
        <f>AV98*2*((H98-2*('Parametros'!$B$7+'Parametros'!$B$9/2))+(I98-2*('Parametros'!$B$7+'Parametros'!$B$9/2)))*'Parametros'!$B$4/'Parametros'!$B$3</f>
        <v>211.858863441406</v>
      </c>
      <c r="AX98" s="31" t="n">
        <v>8</v>
      </c>
      <c r="AY98" s="10" t="str">
        <f>IF(AV98=0,"DESPRECIABLE",IF(AND(ISERROR(SEARCH("referencia",AN98)),BB98/AP98&gt;=AV98,BI98&gt;=AW98,BH98="CUMPLE"),"CUMPLE","NO CUMPLE"))</f>
        <v>CUMPLE</v>
      </c>
      <c r="AZ98" s="10" t="str">
        <f>IF(AND(X98="CUMPLE",AE98="CUMPLE",AS98="CUMPLE",OR(AY98="CUMPLE",AY98="DESPRECIABLE"),BH98="CUMPLE",BJ98="CUMPLE"),"CUMPLE","NO CUMPLE")</f>
        <v>CUMPLE</v>
      </c>
      <c r="BA98" s="32" t="n">
        <v>9.5</v>
      </c>
      <c r="BB98" s="32" t="n">
        <v>71</v>
      </c>
      <c r="BC98" s="10">
        <f>MAX(IF(AK98=0,0,AK98*1000/('Parametros'!$B$4*MIN(U98,AB98))),MAX(0.062*SQRT('Parametros'!$B$2)*H98/'Parametros'!$B$4,0.35*H98/'Parametros'!$B$4))</f>
        <v>0.375</v>
      </c>
      <c r="BD98" s="10">
        <f>2*AV98</f>
        <v>0.260077170932244</v>
      </c>
      <c r="BE98" s="10">
        <f>AO98*BB98/AP98</f>
        <v>1.18333333333333</v>
      </c>
      <c r="BF98" s="10">
        <f>SQRT((AI98*1000/(H98*MIN(U98,AB98)))^2+(Q98*1000000*2*((H98-2*('Parametros'!$B$7+'Parametros'!$B$9/2))+(I98-2*('Parametros'!$B$7+'Parametros'!$B$9/2)))/(1.7*((H98-2*('Parametros'!$B$7+'Parametros'!$B$9/2))*(I98-2*('Parametros'!$B$7+'Parametros'!$B$9/2)))^2))^2)</f>
        <v>0.866995849863517</v>
      </c>
      <c r="BG98" s="10">
        <f>'Parametros'!$B$6*(AJ98*1000/(H98*MIN(U98,AB98))+0.66*SQRT('Parametros'!$B$2))</f>
        <v>3.29396038227542</v>
      </c>
      <c r="BH98" s="10" t="str">
        <f>IF(BF98&lt;=BG98,"CUMPLE","NO CUMPLE")</f>
        <v>CUMPLE</v>
      </c>
      <c r="BI98" s="10">
        <f>AX98*'Parametros'!$B$8</f>
        <v>1592</v>
      </c>
      <c r="BJ98" s="10" t="str">
        <f>IF(BI98&gt;=AW98,"CUMPLE","NO CUMPLE")</f>
        <v>CUMPLE</v>
      </c>
    </row>
    <row r="99">
      <c r="A99" s="17" t="inlineStr">
        <is>
          <t>VC3</t>
        </is>
      </c>
      <c r="B99" s="17" t="inlineStr">
        <is>
          <t>1006</t>
        </is>
      </c>
      <c r="C99" s="10" t="n">
        <v>1</v>
      </c>
      <c r="D99" s="10" t="n">
        <v>3.4</v>
      </c>
      <c r="E99" s="10" t="n">
        <v>3.4</v>
      </c>
      <c r="F99" s="10" t="n">
        <v>450</v>
      </c>
      <c r="G99" s="10" t="n">
        <v>550</v>
      </c>
      <c r="H99" s="17" t="n">
        <v>450</v>
      </c>
      <c r="I99" s="17" t="n">
        <v>550</v>
      </c>
      <c r="J99" s="30" t="n">
        <v>42.0169</v>
      </c>
      <c r="K99" s="10" t="inlineStr">
        <is>
          <t>1006</t>
        </is>
      </c>
      <c r="L99" s="30" t="n">
        <v>16.4017</v>
      </c>
      <c r="M99" s="10" t="inlineStr">
        <is>
          <t>1006</t>
        </is>
      </c>
      <c r="N99" s="30" t="n">
        <v>27.879</v>
      </c>
      <c r="O99" s="30" t="n">
        <v>74.699</v>
      </c>
      <c r="P99" s="10" t="inlineStr">
        <is>
          <t>1006</t>
        </is>
      </c>
      <c r="Q99" s="30" t="n">
        <v>2.735</v>
      </c>
      <c r="R99" s="10">
        <f>MAX(MAX(1.4/'Parametros'!$B$3,0.25*SQRT('Parametros'!$B$2)/'Parametros'!$B$3)*H99*U99,(0.85*'Parametros'!$B$2/'Parametros'!$B$3)*(1-SQRT(1-2*(J99*1000000/('Parametros'!$B$5*H99*U99^2))/(0.85*'Parametros'!$B$2)))*H99*U99)</f>
        <v>734.025</v>
      </c>
      <c r="S99" s="31" t="n">
        <v>4</v>
      </c>
      <c r="T99" s="32" t="n">
        <v>1</v>
      </c>
      <c r="U99" s="10">
        <f>IF(T99=1,I99-('Parametros'!$B$7+'Parametros'!$B$9+'Parametros'!$B$12/2),I99-(ROUNDUP(S99/2,0)*('Parametros'!$B$7+'Parametros'!$B$9+'Parametros'!$B$12/2)+ROUNDDOWN(S99/2,0)*('Parametros'!$B$7+'Parametros'!$B$9+'Parametros'!$B$12/2+'Parametros'!$B$12+'Parametros'!$B$10))/S99)</f>
        <v>489.35</v>
      </c>
      <c r="V99" s="10">
        <f>S99*'Parametros'!$B$8</f>
        <v>796</v>
      </c>
      <c r="W99" s="10">
        <f>'Parametros'!$B$5*V99*'Parametros'!$B$3*(U99-(V99*'Parametros'!$B$3/(0.85*'Parametros'!$B$2*H99))/2)/1000000</f>
        <v>142.543330094118</v>
      </c>
      <c r="X99" s="10" t="str">
        <f>IF(W99&gt;=J99,"CUMPLE","NO CUMPLE")</f>
        <v>CUMPLE</v>
      </c>
      <c r="Y99" s="10">
        <f>MAX(MAX(1.4/'Parametros'!$B$3,0.25*SQRT('Parametros'!$B$2)/'Parametros'!$B$3)*H99*AB99,(0.85*'Parametros'!$B$2/'Parametros'!$B$3)*(1-SQRT(1-2*(L99*1000000/('Parametros'!$B$5*H99*AB99^2))/(0.85*'Parametros'!$B$2)))*H99*AB99)</f>
        <v>734.025</v>
      </c>
      <c r="Z99" s="31" t="n">
        <v>4</v>
      </c>
      <c r="AA99" s="32" t="n">
        <v>1</v>
      </c>
      <c r="AB99" s="10">
        <f>IF(AA99=1,I99-('Parametros'!$B$7+'Parametros'!$B$9+'Parametros'!$B$12/2),I99-(ROUNDUP(Z99/2,0)*('Parametros'!$B$7+'Parametros'!$B$9+'Parametros'!$B$12/2)+ROUNDDOWN(Z99/2,0)*('Parametros'!$B$7+'Parametros'!$B$9+'Parametros'!$B$12/2+'Parametros'!$B$12+'Parametros'!$B$10))/Z99)</f>
        <v>489.35</v>
      </c>
      <c r="AC99" s="10">
        <f>Z99*'Parametros'!$B$8</f>
        <v>796</v>
      </c>
      <c r="AD99" s="10">
        <f>'Parametros'!$B$5*AC99*'Parametros'!$B$3*(AB99-(AC99*'Parametros'!$B$3/(0.85*'Parametros'!$B$2*H99))/2)/1000000</f>
        <v>142.543330094118</v>
      </c>
      <c r="AE99" s="10" t="str">
        <f>IF(AD99&gt;=L99,"CUMPLE","NO CUMPLE")</f>
        <v>CUMPLE</v>
      </c>
      <c r="AF99" s="10">
        <f>V99*1.25*'Parametros'!$B$3*(U99-(V99*1.25*'Parametros'!$B$3/(0.85*'Parametros'!$B$2*H99))/2)/1000000</f>
        <v>196.346217941176</v>
      </c>
      <c r="AG99" s="10">
        <f>AC99*1.25*'Parametros'!$B$3*(AB99-(AC99*1.25*'Parametros'!$B$3/(0.85*'Parametros'!$B$2*H99))/2)/1000000</f>
        <v>196.346217941176</v>
      </c>
      <c r="AH99" s="10">
        <f>N99+(AF99+AG99)/D99</f>
        <v>143.376775259516</v>
      </c>
      <c r="AI99" s="10">
        <f>MAX(O99,AH99)</f>
        <v>143.376775259516</v>
      </c>
      <c r="AJ99" s="10">
        <f>0.17*SQRT('Parametros'!$B$2)*H99*MIN(U99,AB99)/1000</f>
        <v>198.088855822627</v>
      </c>
      <c r="AK99" s="10">
        <f>MAX(AI99/'Parametros'!$B$6-AJ99,0)</f>
        <v>0</v>
      </c>
      <c r="AL99" s="10">
        <f>0.66*SQRT('Parametros'!$B$2)*H99*MIN(U99,AB99)/1000</f>
        <v>769.050852017258</v>
      </c>
      <c r="AM99" s="10" t="str">
        <f>IF(AK99&lt;=AL99,"CUMPLE","NO CUMPLE")</f>
        <v>CUMPLE</v>
      </c>
      <c r="AN99" s="17" t="inlineStr">
        <is>
          <t>Nº3 cerrado</t>
        </is>
      </c>
      <c r="AO99" s="31" t="n">
        <v>2</v>
      </c>
      <c r="AP99" s="10">
        <f>ROUNDDOWN(MIN(IF(BC99+BD99=0,1000000000,AO99*BB99/(BC99+BD99)),MIN(U99,AB99)/4,8*'Parametros'!$B$12,24*BA99,300,IF(AV99=0,1000000000,2*((H99-2*('Parametros'!$B$7+'Parametros'!$B$9/2))+(I99-2*('Parametros'!$B$7+'Parametros'!$B$9/2)))/8))/10,0)*10</f>
        <v>120</v>
      </c>
      <c r="AQ99" s="10">
        <f>ROUNDDOWN(MIN(IF(BC99+BD99=0,1000000000,AO99*BB99/(BC99+BD99)),IF(AK99&gt;0.33*SQRT('Parametros'!$B$2)*H99*MIN(U99,AB99)/1000,MIN(U99,AB99)/4,MIN(U99,AB99)/2),600,IF(AV99=0,1000000000,2*((H99-2*('Parametros'!$B$7+'Parametros'!$B$9/2))+(I99-2*('Parametros'!$B$7+'Parametros'!$B$9/2)))/8))/10,0)*10</f>
        <v>240</v>
      </c>
      <c r="AR99" s="10">
        <f>'Parametros'!$B$6*(AJ99+MAX(BE99-BD99,0)*'Parametros'!$B$4*MIN(U99,AB99)/1000)</f>
        <v>330.97185436697</v>
      </c>
      <c r="AS99" s="10" t="str">
        <f>IF(AND(ISERROR(SEARCH("referencia",AN99)),AM99="CUMPLE",AR99&gt;=AI99),"CUMPLE","NO CUMPLE")</f>
        <v>CUMPLE</v>
      </c>
      <c r="AT99" s="10">
        <f>'Parametros'!$B$6*0.083*SQRT('Parametros'!$B$2)*(H99*I99)^2/(2*(H99+I99))/1000000</f>
        <v>10.0887830333379</v>
      </c>
      <c r="AU99" s="10" t="str">
        <f>IF(Q99&lt;=AT99,"DESPRECIABLE","DISEÑAR")</f>
        <v>DESPRECIABLE</v>
      </c>
      <c r="AV99" s="10">
        <f>IF(Q99&lt;=AT99,0,Q99*1000000/('Parametros'!$B$6*2*0.85*(H99-2*('Parametros'!$B$7+'Parametros'!$B$9/2))*(I99-2*('Parametros'!$B$7+'Parametros'!$B$9/2))*'Parametros'!$B$4))</f>
        <v>0</v>
      </c>
      <c r="AW99" s="10">
        <f>AV99*2*((H99-2*('Parametros'!$B$7+'Parametros'!$B$9/2))+(I99-2*('Parametros'!$B$7+'Parametros'!$B$9/2)))*'Parametros'!$B$4/'Parametros'!$B$3</f>
        <v>0</v>
      </c>
      <c r="AX99" s="31" t="n">
        <v>0</v>
      </c>
      <c r="AY99" s="10" t="str">
        <f>IF(AV99=0,"DESPRECIABLE",IF(AND(ISERROR(SEARCH("referencia",AN99)),BB99/AP99&gt;=AV99,BI99&gt;=AW99,BH99="CUMPLE"),"CUMPLE","NO CUMPLE"))</f>
        <v>DESPRECIABLE</v>
      </c>
      <c r="AZ99" s="10" t="str">
        <f>IF(AND(X99="CUMPLE",AE99="CUMPLE",AS99="CUMPLE",OR(AY99="CUMPLE",AY99="DESPRECIABLE"),BH99="CUMPLE",BJ99="CUMPLE"),"CUMPLE","NO CUMPLE")</f>
        <v>CUMPLE</v>
      </c>
      <c r="BA99" s="32" t="n">
        <v>9.5</v>
      </c>
      <c r="BB99" s="32" t="n">
        <v>71</v>
      </c>
      <c r="BC99" s="10">
        <f>MAX(IF(AK99=0,0,AK99*1000/('Parametros'!$B$4*MIN(U99,AB99))),MAX(0.062*SQRT('Parametros'!$B$2)*H99/'Parametros'!$B$4,0.35*H99/'Parametros'!$B$4))</f>
        <v>0.375</v>
      </c>
      <c r="BD99" s="10">
        <f>2*AV99</f>
        <v>0</v>
      </c>
      <c r="BE99" s="10">
        <f>AO99*BB99/AP99</f>
        <v>1.18333333333333</v>
      </c>
      <c r="BF99" s="10">
        <f>SQRT((AI99*1000/(H99*MIN(U99,AB99)))^2+(Q99*1000000*2*((H99-2*('Parametros'!$B$7+'Parametros'!$B$9/2))+(I99-2*('Parametros'!$B$7+'Parametros'!$B$9/2)))/(1.7*((H99-2*('Parametros'!$B$7+'Parametros'!$B$9/2))*(I99-2*('Parametros'!$B$7+'Parametros'!$B$9/2)))^2))^2)</f>
        <v>0.658458957533156</v>
      </c>
      <c r="BG99" s="10">
        <f>'Parametros'!$B$6*(AJ99*1000/(H99*MIN(U99,AB99))+0.66*SQRT('Parametros'!$B$2))</f>
        <v>3.29396038227542</v>
      </c>
      <c r="BH99" s="10" t="str">
        <f>IF(BF99&lt;=BG99,"CUMPLE","NO CUMPLE")</f>
        <v>CUMPLE</v>
      </c>
      <c r="BI99" s="10">
        <f>AX99*'Parametros'!$B$8</f>
        <v>0</v>
      </c>
      <c r="BJ99" s="10" t="str">
        <f>IF(BI99&gt;=AW99,"CUMPLE","NO CUMPLE")</f>
        <v>CUMPLE</v>
      </c>
    </row>
    <row r="100">
      <c r="A100" s="17" t="inlineStr">
        <is>
          <t>VC3</t>
        </is>
      </c>
      <c r="B100" s="17" t="inlineStr">
        <is>
          <t>1035</t>
        </is>
      </c>
      <c r="C100" s="10" t="n">
        <v>1</v>
      </c>
      <c r="D100" s="10" t="n">
        <v>3.4</v>
      </c>
      <c r="E100" s="10" t="n">
        <v>3.4</v>
      </c>
      <c r="F100" s="10" t="n">
        <v>450</v>
      </c>
      <c r="G100" s="10" t="n">
        <v>550</v>
      </c>
      <c r="H100" s="17" t="n">
        <v>450</v>
      </c>
      <c r="I100" s="17" t="n">
        <v>550</v>
      </c>
      <c r="J100" s="30" t="n">
        <v>42.0165</v>
      </c>
      <c r="K100" s="10" t="inlineStr">
        <is>
          <t>1035</t>
        </is>
      </c>
      <c r="L100" s="30" t="n">
        <v>16.4033</v>
      </c>
      <c r="M100" s="10" t="inlineStr">
        <is>
          <t>1035</t>
        </is>
      </c>
      <c r="N100" s="30" t="n">
        <v>27.878</v>
      </c>
      <c r="O100" s="30" t="n">
        <v>74.709</v>
      </c>
      <c r="P100" s="10" t="inlineStr">
        <is>
          <t>1035</t>
        </is>
      </c>
      <c r="Q100" s="30" t="n">
        <v>2.7368</v>
      </c>
      <c r="R100" s="10">
        <f>MAX(MAX(1.4/'Parametros'!$B$3,0.25*SQRT('Parametros'!$B$2)/'Parametros'!$B$3)*H100*U100,(0.85*'Parametros'!$B$2/'Parametros'!$B$3)*(1-SQRT(1-2*(J100*1000000/('Parametros'!$B$5*H100*U100^2))/(0.85*'Parametros'!$B$2)))*H100*U100)</f>
        <v>734.025</v>
      </c>
      <c r="S100" s="31" t="n">
        <v>4</v>
      </c>
      <c r="T100" s="32" t="n">
        <v>1</v>
      </c>
      <c r="U100" s="10">
        <f>IF(T100=1,I100-('Parametros'!$B$7+'Parametros'!$B$9+'Parametros'!$B$12/2),I100-(ROUNDUP(S100/2,0)*('Parametros'!$B$7+'Parametros'!$B$9+'Parametros'!$B$12/2)+ROUNDDOWN(S100/2,0)*('Parametros'!$B$7+'Parametros'!$B$9+'Parametros'!$B$12/2+'Parametros'!$B$12+'Parametros'!$B$10))/S100)</f>
        <v>489.35</v>
      </c>
      <c r="V100" s="10">
        <f>S100*'Parametros'!$B$8</f>
        <v>796</v>
      </c>
      <c r="W100" s="10">
        <f>'Parametros'!$B$5*V100*'Parametros'!$B$3*(U100-(V100*'Parametros'!$B$3/(0.85*'Parametros'!$B$2*H100))/2)/1000000</f>
        <v>142.543330094118</v>
      </c>
      <c r="X100" s="10" t="str">
        <f>IF(W100&gt;=J100,"CUMPLE","NO CUMPLE")</f>
        <v>CUMPLE</v>
      </c>
      <c r="Y100" s="10">
        <f>MAX(MAX(1.4/'Parametros'!$B$3,0.25*SQRT('Parametros'!$B$2)/'Parametros'!$B$3)*H100*AB100,(0.85*'Parametros'!$B$2/'Parametros'!$B$3)*(1-SQRT(1-2*(L100*1000000/('Parametros'!$B$5*H100*AB100^2))/(0.85*'Parametros'!$B$2)))*H100*AB100)</f>
        <v>734.025</v>
      </c>
      <c r="Z100" s="31" t="n">
        <v>4</v>
      </c>
      <c r="AA100" s="32" t="n">
        <v>1</v>
      </c>
      <c r="AB100" s="10">
        <f>IF(AA100=1,I100-('Parametros'!$B$7+'Parametros'!$B$9+'Parametros'!$B$12/2),I100-(ROUNDUP(Z100/2,0)*('Parametros'!$B$7+'Parametros'!$B$9+'Parametros'!$B$12/2)+ROUNDDOWN(Z100/2,0)*('Parametros'!$B$7+'Parametros'!$B$9+'Parametros'!$B$12/2+'Parametros'!$B$12+'Parametros'!$B$10))/Z100)</f>
        <v>489.35</v>
      </c>
      <c r="AC100" s="10">
        <f>Z100*'Parametros'!$B$8</f>
        <v>796</v>
      </c>
      <c r="AD100" s="10">
        <f>'Parametros'!$B$5*AC100*'Parametros'!$B$3*(AB100-(AC100*'Parametros'!$B$3/(0.85*'Parametros'!$B$2*H100))/2)/1000000</f>
        <v>142.543330094118</v>
      </c>
      <c r="AE100" s="10" t="str">
        <f>IF(AD100&gt;=L100,"CUMPLE","NO CUMPLE")</f>
        <v>CUMPLE</v>
      </c>
      <c r="AF100" s="10">
        <f>V100*1.25*'Parametros'!$B$3*(U100-(V100*1.25*'Parametros'!$B$3/(0.85*'Parametros'!$B$2*H100))/2)/1000000</f>
        <v>196.346217941176</v>
      </c>
      <c r="AG100" s="10">
        <f>AC100*1.25*'Parametros'!$B$3*(AB100-(AC100*1.25*'Parametros'!$B$3/(0.85*'Parametros'!$B$2*H100))/2)/1000000</f>
        <v>196.346217941176</v>
      </c>
      <c r="AH100" s="10">
        <f>N100+(AF100+AG100)/D100</f>
        <v>143.375775259516</v>
      </c>
      <c r="AI100" s="10">
        <f>MAX(O100,AH100)</f>
        <v>143.375775259516</v>
      </c>
      <c r="AJ100" s="10">
        <f>0.17*SQRT('Parametros'!$B$2)*H100*MIN(U100,AB100)/1000</f>
        <v>198.088855822627</v>
      </c>
      <c r="AK100" s="10">
        <f>MAX(AI100/'Parametros'!$B$6-AJ100,0)</f>
        <v>0</v>
      </c>
      <c r="AL100" s="10">
        <f>0.66*SQRT('Parametros'!$B$2)*H100*MIN(U100,AB100)/1000</f>
        <v>769.050852017258</v>
      </c>
      <c r="AM100" s="10" t="str">
        <f>IF(AK100&lt;=AL100,"CUMPLE","NO CUMPLE")</f>
        <v>CUMPLE</v>
      </c>
      <c r="AN100" s="17" t="inlineStr">
        <is>
          <t>Nº3 cerrado</t>
        </is>
      </c>
      <c r="AO100" s="31" t="n">
        <v>2</v>
      </c>
      <c r="AP100" s="10">
        <f>ROUNDDOWN(MIN(IF(BC100+BD100=0,1000000000,AO100*BB100/(BC100+BD100)),MIN(U100,AB100)/4,8*'Parametros'!$B$12,24*BA100,300,IF(AV100=0,1000000000,2*((H100-2*('Parametros'!$B$7+'Parametros'!$B$9/2))+(I100-2*('Parametros'!$B$7+'Parametros'!$B$9/2)))/8))/10,0)*10</f>
        <v>120</v>
      </c>
      <c r="AQ100" s="10">
        <f>ROUNDDOWN(MIN(IF(BC100+BD100=0,1000000000,AO100*BB100/(BC100+BD100)),IF(AK100&gt;0.33*SQRT('Parametros'!$B$2)*H100*MIN(U100,AB100)/1000,MIN(U100,AB100)/4,MIN(U100,AB100)/2),600,IF(AV100=0,1000000000,2*((H100-2*('Parametros'!$B$7+'Parametros'!$B$9/2))+(I100-2*('Parametros'!$B$7+'Parametros'!$B$9/2)))/8))/10,0)*10</f>
        <v>240</v>
      </c>
      <c r="AR100" s="10">
        <f>'Parametros'!$B$6*(AJ100+MAX(BE100-BD100,0)*'Parametros'!$B$4*MIN(U100,AB100)/1000)</f>
        <v>330.97185436697</v>
      </c>
      <c r="AS100" s="10" t="str">
        <f>IF(AND(ISERROR(SEARCH("referencia",AN100)),AM100="CUMPLE",AR100&gt;=AI100),"CUMPLE","NO CUMPLE")</f>
        <v>CUMPLE</v>
      </c>
      <c r="AT100" s="10">
        <f>'Parametros'!$B$6*0.083*SQRT('Parametros'!$B$2)*(H100*I100)^2/(2*(H100+I100))/1000000</f>
        <v>10.0887830333379</v>
      </c>
      <c r="AU100" s="10" t="str">
        <f>IF(Q100&lt;=AT100,"DESPRECIABLE","DISEÑAR")</f>
        <v>DESPRECIABLE</v>
      </c>
      <c r="AV100" s="10">
        <f>IF(Q100&lt;=AT100,0,Q100*1000000/('Parametros'!$B$6*2*0.85*(H100-2*('Parametros'!$B$7+'Parametros'!$B$9/2))*(I100-2*('Parametros'!$B$7+'Parametros'!$B$9/2))*'Parametros'!$B$4))</f>
        <v>0</v>
      </c>
      <c r="AW100" s="10">
        <f>AV100*2*((H100-2*('Parametros'!$B$7+'Parametros'!$B$9/2))+(I100-2*('Parametros'!$B$7+'Parametros'!$B$9/2)))*'Parametros'!$B$4/'Parametros'!$B$3</f>
        <v>0</v>
      </c>
      <c r="AX100" s="31" t="n">
        <v>0</v>
      </c>
      <c r="AY100" s="10" t="str">
        <f>IF(AV100=0,"DESPRECIABLE",IF(AND(ISERROR(SEARCH("referencia",AN100)),BB100/AP100&gt;=AV100,BI100&gt;=AW100,BH100="CUMPLE"),"CUMPLE","NO CUMPLE"))</f>
        <v>DESPRECIABLE</v>
      </c>
      <c r="AZ100" s="10" t="str">
        <f>IF(AND(X100="CUMPLE",AE100="CUMPLE",AS100="CUMPLE",OR(AY100="CUMPLE",AY100="DESPRECIABLE"),BH100="CUMPLE",BJ100="CUMPLE"),"CUMPLE","NO CUMPLE")</f>
        <v>CUMPLE</v>
      </c>
      <c r="BA100" s="32" t="n">
        <v>9.5</v>
      </c>
      <c r="BB100" s="32" t="n">
        <v>71</v>
      </c>
      <c r="BC100" s="10">
        <f>MAX(IF(AK100=0,0,AK100*1000/('Parametros'!$B$4*MIN(U100,AB100))),MAX(0.062*SQRT('Parametros'!$B$2)*H100/'Parametros'!$B$4,0.35*H100/'Parametros'!$B$4))</f>
        <v>0.375</v>
      </c>
      <c r="BD100" s="10">
        <f>2*AV100</f>
        <v>0</v>
      </c>
      <c r="BE100" s="10">
        <f>AO100*BB100/AP100</f>
        <v>1.18333333333333</v>
      </c>
      <c r="BF100" s="10">
        <f>SQRT((AI100*1000/(H100*MIN(U100,AB100)))^2+(Q100*1000000*2*((H100-2*('Parametros'!$B$7+'Parametros'!$B$9/2))+(I100-2*('Parametros'!$B$7+'Parametros'!$B$9/2)))/(1.7*((H100-2*('Parametros'!$B$7+'Parametros'!$B$9/2))*(I100-2*('Parametros'!$B$7+'Parametros'!$B$9/2)))^2))^2)</f>
        <v>0.658464104480335</v>
      </c>
      <c r="BG100" s="10">
        <f>'Parametros'!$B$6*(AJ100*1000/(H100*MIN(U100,AB100))+0.66*SQRT('Parametros'!$B$2))</f>
        <v>3.29396038227542</v>
      </c>
      <c r="BH100" s="10" t="str">
        <f>IF(BF100&lt;=BG100,"CUMPLE","NO CUMPLE")</f>
        <v>CUMPLE</v>
      </c>
      <c r="BI100" s="10">
        <f>AX100*'Parametros'!$B$8</f>
        <v>0</v>
      </c>
      <c r="BJ100" s="10" t="str">
        <f>IF(BI100&gt;=AW100,"CUMPLE","NO CUMPLE")</f>
        <v>CUMPLE</v>
      </c>
    </row>
    <row r="101">
      <c r="A101" s="17" t="inlineStr">
        <is>
          <t>VC3</t>
        </is>
      </c>
      <c r="B101" s="17" t="inlineStr">
        <is>
          <t>1036</t>
        </is>
      </c>
      <c r="C101" s="10" t="n">
        <v>1</v>
      </c>
      <c r="D101" s="10" t="n">
        <v>3.21477</v>
      </c>
      <c r="E101" s="10" t="n">
        <v>3.21477</v>
      </c>
      <c r="F101" s="10" t="n">
        <v>450</v>
      </c>
      <c r="G101" s="10" t="n">
        <v>550</v>
      </c>
      <c r="H101" s="17" t="n">
        <v>450</v>
      </c>
      <c r="I101" s="17" t="n">
        <v>550</v>
      </c>
      <c r="J101" s="30" t="n">
        <v>57.5857</v>
      </c>
      <c r="K101" s="10" t="inlineStr">
        <is>
          <t>1036</t>
        </is>
      </c>
      <c r="L101" s="30" t="n">
        <v>29.9223</v>
      </c>
      <c r="M101" s="10" t="inlineStr">
        <is>
          <t>1036</t>
        </is>
      </c>
      <c r="N101" s="30" t="n">
        <v>46.26</v>
      </c>
      <c r="O101" s="30" t="n">
        <v>107.605</v>
      </c>
      <c r="P101" s="10" t="inlineStr">
        <is>
          <t>1036</t>
        </is>
      </c>
      <c r="Q101" s="30" t="n">
        <v>11.3617</v>
      </c>
      <c r="R101" s="10">
        <f>MAX(MAX(1.4/'Parametros'!$B$3,0.25*SQRT('Parametros'!$B$2)/'Parametros'!$B$3)*H101*U101,(0.85*'Parametros'!$B$2/'Parametros'!$B$3)*(1-SQRT(1-2*(J101*1000000/('Parametros'!$B$5*H101*U101^2))/(0.85*'Parametros'!$B$2)))*H101*U101)</f>
        <v>734.025</v>
      </c>
      <c r="S101" s="31" t="n">
        <v>4</v>
      </c>
      <c r="T101" s="32" t="n">
        <v>1</v>
      </c>
      <c r="U101" s="10">
        <f>IF(T101=1,I101-('Parametros'!$B$7+'Parametros'!$B$9+'Parametros'!$B$12/2),I101-(ROUNDUP(S101/2,0)*('Parametros'!$B$7+'Parametros'!$B$9+'Parametros'!$B$12/2)+ROUNDDOWN(S101/2,0)*('Parametros'!$B$7+'Parametros'!$B$9+'Parametros'!$B$12/2+'Parametros'!$B$12+'Parametros'!$B$10))/S101)</f>
        <v>489.35</v>
      </c>
      <c r="V101" s="10">
        <f>S101*'Parametros'!$B$8</f>
        <v>796</v>
      </c>
      <c r="W101" s="10">
        <f>'Parametros'!$B$5*V101*'Parametros'!$B$3*(U101-(V101*'Parametros'!$B$3/(0.85*'Parametros'!$B$2*H101))/2)/1000000</f>
        <v>142.543330094118</v>
      </c>
      <c r="X101" s="10" t="str">
        <f>IF(W101&gt;=J101,"CUMPLE","NO CUMPLE")</f>
        <v>CUMPLE</v>
      </c>
      <c r="Y101" s="10">
        <f>MAX(MAX(1.4/'Parametros'!$B$3,0.25*SQRT('Parametros'!$B$2)/'Parametros'!$B$3)*H101*AB101,(0.85*'Parametros'!$B$2/'Parametros'!$B$3)*(1-SQRT(1-2*(L101*1000000/('Parametros'!$B$5*H101*AB101^2))/(0.85*'Parametros'!$B$2)))*H101*AB101)</f>
        <v>734.025</v>
      </c>
      <c r="Z101" s="31" t="n">
        <v>4</v>
      </c>
      <c r="AA101" s="32" t="n">
        <v>1</v>
      </c>
      <c r="AB101" s="10">
        <f>IF(AA101=1,I101-('Parametros'!$B$7+'Parametros'!$B$9+'Parametros'!$B$12/2),I101-(ROUNDUP(Z101/2,0)*('Parametros'!$B$7+'Parametros'!$B$9+'Parametros'!$B$12/2)+ROUNDDOWN(Z101/2,0)*('Parametros'!$B$7+'Parametros'!$B$9+'Parametros'!$B$12/2+'Parametros'!$B$12+'Parametros'!$B$10))/Z101)</f>
        <v>489.35</v>
      </c>
      <c r="AC101" s="10">
        <f>Z101*'Parametros'!$B$8</f>
        <v>796</v>
      </c>
      <c r="AD101" s="10">
        <f>'Parametros'!$B$5*AC101*'Parametros'!$B$3*(AB101-(AC101*'Parametros'!$B$3/(0.85*'Parametros'!$B$2*H101))/2)/1000000</f>
        <v>142.543330094118</v>
      </c>
      <c r="AE101" s="10" t="str">
        <f>IF(AD101&gt;=L101,"CUMPLE","NO CUMPLE")</f>
        <v>CUMPLE</v>
      </c>
      <c r="AF101" s="10">
        <f>V101*1.25*'Parametros'!$B$3*(U101-(V101*1.25*'Parametros'!$B$3/(0.85*'Parametros'!$B$2*H101))/2)/1000000</f>
        <v>196.346217941176</v>
      </c>
      <c r="AG101" s="10">
        <f>AC101*1.25*'Parametros'!$B$3*(AB101-(AC101*1.25*'Parametros'!$B$3/(0.85*'Parametros'!$B$2*H101))/2)/1000000</f>
        <v>196.346217941176</v>
      </c>
      <c r="AH101" s="10">
        <f>N101+(AF101+AG101)/D101</f>
        <v>168.412575730877</v>
      </c>
      <c r="AI101" s="10">
        <f>MAX(O101,AH101)</f>
        <v>168.412575730877</v>
      </c>
      <c r="AJ101" s="10">
        <f>0.17*SQRT('Parametros'!$B$2)*H101*MIN(U101,AB101)/1000</f>
        <v>198.088855822627</v>
      </c>
      <c r="AK101" s="10">
        <f>MAX(AI101/'Parametros'!$B$6-AJ101,0)</f>
        <v>26.4612451518763</v>
      </c>
      <c r="AL101" s="10">
        <f>0.66*SQRT('Parametros'!$B$2)*H101*MIN(U101,AB101)/1000</f>
        <v>769.050852017258</v>
      </c>
      <c r="AM101" s="10" t="str">
        <f>IF(AK101&lt;=AL101,"CUMPLE","NO CUMPLE")</f>
        <v>CUMPLE</v>
      </c>
      <c r="AN101" s="17" t="inlineStr">
        <is>
          <t>Nº3 cerrado</t>
        </is>
      </c>
      <c r="AO101" s="31" t="n">
        <v>2</v>
      </c>
      <c r="AP101" s="10">
        <f>ROUNDDOWN(MIN(IF(BC101+BD101=0,1000000000,AO101*BB101/(BC101+BD101)),MIN(U101,AB101)/4,8*'Parametros'!$B$12,24*BA101,300,IF(AV101=0,1000000000,2*((H101-2*('Parametros'!$B$7+'Parametros'!$B$9/2))+(I101-2*('Parametros'!$B$7+'Parametros'!$B$9/2)))/8))/10,0)*10</f>
        <v>120</v>
      </c>
      <c r="AQ101" s="10">
        <f>ROUNDDOWN(MIN(IF(BC101+BD101=0,1000000000,AO101*BB101/(BC101+BD101)),IF(AK101&gt;0.33*SQRT('Parametros'!$B$2)*H101*MIN(U101,AB101)/1000,MIN(U101,AB101)/4,MIN(U101,AB101)/2),600,IF(AV101=0,1000000000,2*((H101-2*('Parametros'!$B$7+'Parametros'!$B$9/2))+(I101-2*('Parametros'!$B$7+'Parametros'!$B$9/2)))/8))/10,0)*10</f>
        <v>200</v>
      </c>
      <c r="AR101" s="10">
        <f>'Parametros'!$B$6*(AJ101+MAX(BE101-BD101,0)*'Parametros'!$B$4*MIN(U101,AB101)/1000)</f>
        <v>290.939625849328</v>
      </c>
      <c r="AS101" s="10" t="str">
        <f>IF(AND(ISERROR(SEARCH("referencia",AN101)),AM101="CUMPLE",AR101&gt;=AI101),"CUMPLE","NO CUMPLE")</f>
        <v>CUMPLE</v>
      </c>
      <c r="AT101" s="10">
        <f>'Parametros'!$B$6*0.083*SQRT('Parametros'!$B$2)*(H101*I101)^2/(2*(H101+I101))/1000000</f>
        <v>10.0887830333379</v>
      </c>
      <c r="AU101" s="10" t="str">
        <f>IF(Q101&lt;=AT101,"DESPRECIABLE","DISEÑAR")</f>
        <v>DISEÑAR</v>
      </c>
      <c r="AV101" s="10">
        <f>IF(Q101&lt;=AT101,0,Q101*1000000/('Parametros'!$B$6*2*0.85*(H101-2*('Parametros'!$B$7+'Parametros'!$B$9/2))*(I101-2*('Parametros'!$B$7+'Parametros'!$B$9/2))*'Parametros'!$B$4))</f>
        <v>0.129852293592058</v>
      </c>
      <c r="AW101" s="10">
        <f>AV101*2*((H101-2*('Parametros'!$B$7+'Parametros'!$B$9/2))+(I101-2*('Parametros'!$B$7+'Parametros'!$B$9/2)))*'Parametros'!$B$4/'Parametros'!$B$3</f>
        <v>211.555356720181</v>
      </c>
      <c r="AX101" s="31" t="n">
        <v>8</v>
      </c>
      <c r="AY101" s="10" t="str">
        <f>IF(AV101=0,"DESPRECIABLE",IF(AND(ISERROR(SEARCH("referencia",AN101)),BB101/AP101&gt;=AV101,BI101&gt;=AW101,BH101="CUMPLE"),"CUMPLE","NO CUMPLE"))</f>
        <v>CUMPLE</v>
      </c>
      <c r="AZ101" s="10" t="str">
        <f>IF(AND(X101="CUMPLE",AE101="CUMPLE",AS101="CUMPLE",OR(AY101="CUMPLE",AY101="DESPRECIABLE"),BH101="CUMPLE",BJ101="CUMPLE"),"CUMPLE","NO CUMPLE")</f>
        <v>CUMPLE</v>
      </c>
      <c r="BA101" s="32" t="n">
        <v>9.5</v>
      </c>
      <c r="BB101" s="32" t="n">
        <v>71</v>
      </c>
      <c r="BC101" s="10">
        <f>MAX(IF(AK101=0,0,AK101*1000/('Parametros'!$B$4*MIN(U101,AB101))),MAX(0.062*SQRT('Parametros'!$B$2)*H101/'Parametros'!$B$4,0.35*H101/'Parametros'!$B$4))</f>
        <v>0.375</v>
      </c>
      <c r="BD101" s="10">
        <f>2*AV101</f>
        <v>0.259704587184116</v>
      </c>
      <c r="BE101" s="10">
        <f>AO101*BB101/AP101</f>
        <v>1.18333333333333</v>
      </c>
      <c r="BF101" s="10">
        <f>SQRT((AI101*1000/(H101*MIN(U101,AB101)))^2+(Q101*1000000*2*((H101-2*('Parametros'!$B$7+'Parametros'!$B$9/2))+(I101-2*('Parametros'!$B$7+'Parametros'!$B$9/2)))/(1.7*((H101-2*('Parametros'!$B$7+'Parametros'!$B$9/2))*(I101-2*('Parametros'!$B$7+'Parametros'!$B$9/2)))^2))^2)</f>
        <v>0.866744400129709</v>
      </c>
      <c r="BG101" s="10">
        <f>'Parametros'!$B$6*(AJ101*1000/(H101*MIN(U101,AB101))+0.66*SQRT('Parametros'!$B$2))</f>
        <v>3.29396038227542</v>
      </c>
      <c r="BH101" s="10" t="str">
        <f>IF(BF101&lt;=BG101,"CUMPLE","NO CUMPLE")</f>
        <v>CUMPLE</v>
      </c>
      <c r="BI101" s="10">
        <f>AX101*'Parametros'!$B$8</f>
        <v>1592</v>
      </c>
      <c r="BJ101" s="10" t="str">
        <f>IF(BI101&gt;=AW101,"CUMPLE","NO CUMPLE")</f>
        <v>CUMPLE</v>
      </c>
    </row>
    <row r="102">
      <c r="A102" s="17" t="inlineStr">
        <is>
          <t>VC3</t>
        </is>
      </c>
      <c r="B102" s="17" t="inlineStr">
        <is>
          <t>1037</t>
        </is>
      </c>
      <c r="C102" s="10" t="n">
        <v>1</v>
      </c>
      <c r="D102" s="10" t="n">
        <v>3.21477</v>
      </c>
      <c r="E102" s="10" t="n">
        <v>3.21477</v>
      </c>
      <c r="F102" s="10" t="n">
        <v>450</v>
      </c>
      <c r="G102" s="10" t="n">
        <v>550</v>
      </c>
      <c r="H102" s="17" t="n">
        <v>450</v>
      </c>
      <c r="I102" s="17" t="n">
        <v>550</v>
      </c>
      <c r="J102" s="30" t="n">
        <v>57.5249</v>
      </c>
      <c r="K102" s="10" t="inlineStr">
        <is>
          <t>1037</t>
        </is>
      </c>
      <c r="L102" s="30" t="n">
        <v>29.8841</v>
      </c>
      <c r="M102" s="10" t="inlineStr">
        <is>
          <t>1037</t>
        </is>
      </c>
      <c r="N102" s="30" t="n">
        <v>46.223</v>
      </c>
      <c r="O102" s="30" t="n">
        <v>107.564</v>
      </c>
      <c r="P102" s="10" t="inlineStr">
        <is>
          <t>1037</t>
        </is>
      </c>
      <c r="Q102" s="30" t="n">
        <v>11.3662</v>
      </c>
      <c r="R102" s="10">
        <f>MAX(MAX(1.4/'Parametros'!$B$3,0.25*SQRT('Parametros'!$B$2)/'Parametros'!$B$3)*H102*U102,(0.85*'Parametros'!$B$2/'Parametros'!$B$3)*(1-SQRT(1-2*(J102*1000000/('Parametros'!$B$5*H102*U102^2))/(0.85*'Parametros'!$B$2)))*H102*U102)</f>
        <v>734.025</v>
      </c>
      <c r="S102" s="31" t="n">
        <v>4</v>
      </c>
      <c r="T102" s="32" t="n">
        <v>1</v>
      </c>
      <c r="U102" s="10">
        <f>IF(T102=1,I102-('Parametros'!$B$7+'Parametros'!$B$9+'Parametros'!$B$12/2),I102-(ROUNDUP(S102/2,0)*('Parametros'!$B$7+'Parametros'!$B$9+'Parametros'!$B$12/2)+ROUNDDOWN(S102/2,0)*('Parametros'!$B$7+'Parametros'!$B$9+'Parametros'!$B$12/2+'Parametros'!$B$12+'Parametros'!$B$10))/S102)</f>
        <v>489.35</v>
      </c>
      <c r="V102" s="10">
        <f>S102*'Parametros'!$B$8</f>
        <v>796</v>
      </c>
      <c r="W102" s="10">
        <f>'Parametros'!$B$5*V102*'Parametros'!$B$3*(U102-(V102*'Parametros'!$B$3/(0.85*'Parametros'!$B$2*H102))/2)/1000000</f>
        <v>142.543330094118</v>
      </c>
      <c r="X102" s="10" t="str">
        <f>IF(W102&gt;=J102,"CUMPLE","NO CUMPLE")</f>
        <v>CUMPLE</v>
      </c>
      <c r="Y102" s="10">
        <f>MAX(MAX(1.4/'Parametros'!$B$3,0.25*SQRT('Parametros'!$B$2)/'Parametros'!$B$3)*H102*AB102,(0.85*'Parametros'!$B$2/'Parametros'!$B$3)*(1-SQRT(1-2*(L102*1000000/('Parametros'!$B$5*H102*AB102^2))/(0.85*'Parametros'!$B$2)))*H102*AB102)</f>
        <v>734.025</v>
      </c>
      <c r="Z102" s="31" t="n">
        <v>4</v>
      </c>
      <c r="AA102" s="32" t="n">
        <v>1</v>
      </c>
      <c r="AB102" s="10">
        <f>IF(AA102=1,I102-('Parametros'!$B$7+'Parametros'!$B$9+'Parametros'!$B$12/2),I102-(ROUNDUP(Z102/2,0)*('Parametros'!$B$7+'Parametros'!$B$9+'Parametros'!$B$12/2)+ROUNDDOWN(Z102/2,0)*('Parametros'!$B$7+'Parametros'!$B$9+'Parametros'!$B$12/2+'Parametros'!$B$12+'Parametros'!$B$10))/Z102)</f>
        <v>489.35</v>
      </c>
      <c r="AC102" s="10">
        <f>Z102*'Parametros'!$B$8</f>
        <v>796</v>
      </c>
      <c r="AD102" s="10">
        <f>'Parametros'!$B$5*AC102*'Parametros'!$B$3*(AB102-(AC102*'Parametros'!$B$3/(0.85*'Parametros'!$B$2*H102))/2)/1000000</f>
        <v>142.543330094118</v>
      </c>
      <c r="AE102" s="10" t="str">
        <f>IF(AD102&gt;=L102,"CUMPLE","NO CUMPLE")</f>
        <v>CUMPLE</v>
      </c>
      <c r="AF102" s="10">
        <f>V102*1.25*'Parametros'!$B$3*(U102-(V102*1.25*'Parametros'!$B$3/(0.85*'Parametros'!$B$2*H102))/2)/1000000</f>
        <v>196.346217941176</v>
      </c>
      <c r="AG102" s="10">
        <f>AC102*1.25*'Parametros'!$B$3*(AB102-(AC102*1.25*'Parametros'!$B$3/(0.85*'Parametros'!$B$2*H102))/2)/1000000</f>
        <v>196.346217941176</v>
      </c>
      <c r="AH102" s="10">
        <f>N102+(AF102+AG102)/D102</f>
        <v>168.375575730877</v>
      </c>
      <c r="AI102" s="10">
        <f>MAX(O102,AH102)</f>
        <v>168.375575730877</v>
      </c>
      <c r="AJ102" s="10">
        <f>0.17*SQRT('Parametros'!$B$2)*H102*MIN(U102,AB102)/1000</f>
        <v>198.088855822627</v>
      </c>
      <c r="AK102" s="10">
        <f>MAX(AI102/'Parametros'!$B$6-AJ102,0)</f>
        <v>26.411911818543</v>
      </c>
      <c r="AL102" s="10">
        <f>0.66*SQRT('Parametros'!$B$2)*H102*MIN(U102,AB102)/1000</f>
        <v>769.050852017258</v>
      </c>
      <c r="AM102" s="10" t="str">
        <f>IF(AK102&lt;=AL102,"CUMPLE","NO CUMPLE")</f>
        <v>CUMPLE</v>
      </c>
      <c r="AN102" s="17" t="inlineStr">
        <is>
          <t>Nº3 cerrado</t>
        </is>
      </c>
      <c r="AO102" s="31" t="n">
        <v>2</v>
      </c>
      <c r="AP102" s="10">
        <f>ROUNDDOWN(MIN(IF(BC102+BD102=0,1000000000,AO102*BB102/(BC102+BD102)),MIN(U102,AB102)/4,8*'Parametros'!$B$12,24*BA102,300,IF(AV102=0,1000000000,2*((H102-2*('Parametros'!$B$7+'Parametros'!$B$9/2))+(I102-2*('Parametros'!$B$7+'Parametros'!$B$9/2)))/8))/10,0)*10</f>
        <v>120</v>
      </c>
      <c r="AQ102" s="10">
        <f>ROUNDDOWN(MIN(IF(BC102+BD102=0,1000000000,AO102*BB102/(BC102+BD102)),IF(AK102&gt;0.33*SQRT('Parametros'!$B$2)*H102*MIN(U102,AB102)/1000,MIN(U102,AB102)/4,MIN(U102,AB102)/2),600,IF(AV102=0,1000000000,2*((H102-2*('Parametros'!$B$7+'Parametros'!$B$9/2))+(I102-2*('Parametros'!$B$7+'Parametros'!$B$9/2)))/8))/10,0)*10</f>
        <v>200</v>
      </c>
      <c r="AR102" s="10">
        <f>'Parametros'!$B$6*(AJ102+MAX(BE102-BD102,0)*'Parametros'!$B$4*MIN(U102,AB102)/1000)</f>
        <v>290.923770385064</v>
      </c>
      <c r="AS102" s="10" t="str">
        <f>IF(AND(ISERROR(SEARCH("referencia",AN102)),AM102="CUMPLE",AR102&gt;=AI102),"CUMPLE","NO CUMPLE")</f>
        <v>CUMPLE</v>
      </c>
      <c r="AT102" s="10">
        <f>'Parametros'!$B$6*0.083*SQRT('Parametros'!$B$2)*(H102*I102)^2/(2*(H102+I102))/1000000</f>
        <v>10.0887830333379</v>
      </c>
      <c r="AU102" s="10" t="str">
        <f>IF(Q102&lt;=AT102,"DESPRECIABLE","DISEÑAR")</f>
        <v>DISEÑAR</v>
      </c>
      <c r="AV102" s="10">
        <f>IF(Q102&lt;=AT102,0,Q102*1000000/('Parametros'!$B$6*2*0.85*(H102-2*('Parametros'!$B$7+'Parametros'!$B$9/2))*(I102-2*('Parametros'!$B$7+'Parametros'!$B$9/2))*'Parametros'!$B$4))</f>
        <v>0.129903723864039</v>
      </c>
      <c r="AW102" s="10">
        <f>AV102*2*((H102-2*('Parametros'!$B$7+'Parametros'!$B$9/2))+(I102-2*('Parametros'!$B$7+'Parametros'!$B$9/2)))*'Parametros'!$B$4/'Parametros'!$B$3</f>
        <v>211.639146919292</v>
      </c>
      <c r="AX102" s="31" t="n">
        <v>8</v>
      </c>
      <c r="AY102" s="10" t="str">
        <f>IF(AV102=0,"DESPRECIABLE",IF(AND(ISERROR(SEARCH("referencia",AN102)),BB102/AP102&gt;=AV102,BI102&gt;=AW102,BH102="CUMPLE"),"CUMPLE","NO CUMPLE"))</f>
        <v>CUMPLE</v>
      </c>
      <c r="AZ102" s="10" t="str">
        <f>IF(AND(X102="CUMPLE",AE102="CUMPLE",AS102="CUMPLE",OR(AY102="CUMPLE",AY102="DESPRECIABLE"),BH102="CUMPLE",BJ102="CUMPLE"),"CUMPLE","NO CUMPLE")</f>
        <v>CUMPLE</v>
      </c>
      <c r="BA102" s="32" t="n">
        <v>9.5</v>
      </c>
      <c r="BB102" s="32" t="n">
        <v>71</v>
      </c>
      <c r="BC102" s="10">
        <f>MAX(IF(AK102=0,0,AK102*1000/('Parametros'!$B$4*MIN(U102,AB102))),MAX(0.062*SQRT('Parametros'!$B$2)*H102/'Parametros'!$B$4,0.35*H102/'Parametros'!$B$4))</f>
        <v>0.375</v>
      </c>
      <c r="BD102" s="10">
        <f>2*AV102</f>
        <v>0.259807447728078</v>
      </c>
      <c r="BE102" s="10">
        <f>AO102*BB102/AP102</f>
        <v>1.18333333333333</v>
      </c>
      <c r="BF102" s="10">
        <f>SQRT((AI102*1000/(H102*MIN(U102,AB102)))^2+(Q102*1000000*2*((H102-2*('Parametros'!$B$7+'Parametros'!$B$9/2))+(I102-2*('Parametros'!$B$7+'Parametros'!$B$9/2)))/(1.7*((H102-2*('Parametros'!$B$7+'Parametros'!$B$9/2))*(I102-2*('Parametros'!$B$7+'Parametros'!$B$9/2)))^2))^2)</f>
        <v>0.866672180913238</v>
      </c>
      <c r="BG102" s="10">
        <f>'Parametros'!$B$6*(AJ102*1000/(H102*MIN(U102,AB102))+0.66*SQRT('Parametros'!$B$2))</f>
        <v>3.29396038227542</v>
      </c>
      <c r="BH102" s="10" t="str">
        <f>IF(BF102&lt;=BG102,"CUMPLE","NO CUMPLE")</f>
        <v>CUMPLE</v>
      </c>
      <c r="BI102" s="10">
        <f>AX102*'Parametros'!$B$8</f>
        <v>1592</v>
      </c>
      <c r="BJ102" s="10" t="str">
        <f>IF(BI102&gt;=AW102,"CUMPLE","NO CUMPLE")</f>
        <v>CUMPLE</v>
      </c>
    </row>
    <row r="103">
      <c r="A103" s="17" t="inlineStr">
        <is>
          <t>VC3</t>
        </is>
      </c>
      <c r="B103" s="17" t="inlineStr">
        <is>
          <t>1038</t>
        </is>
      </c>
      <c r="C103" s="10" t="n">
        <v>1</v>
      </c>
      <c r="D103" s="10" t="n">
        <v>3.4</v>
      </c>
      <c r="E103" s="10" t="n">
        <v>3.4</v>
      </c>
      <c r="F103" s="10" t="n">
        <v>450</v>
      </c>
      <c r="G103" s="10" t="n">
        <v>550</v>
      </c>
      <c r="H103" s="17" t="n">
        <v>450</v>
      </c>
      <c r="I103" s="17" t="n">
        <v>550</v>
      </c>
      <c r="J103" s="30" t="n">
        <v>41.9995</v>
      </c>
      <c r="K103" s="10" t="inlineStr">
        <is>
          <t>1038</t>
        </is>
      </c>
      <c r="L103" s="30" t="n">
        <v>16.3966</v>
      </c>
      <c r="M103" s="10" t="inlineStr">
        <is>
          <t>1038</t>
        </is>
      </c>
      <c r="N103" s="30" t="n">
        <v>27.87</v>
      </c>
      <c r="O103" s="30" t="n">
        <v>74.70099999999999</v>
      </c>
      <c r="P103" s="10" t="inlineStr">
        <is>
          <t>1038</t>
        </is>
      </c>
      <c r="Q103" s="30" t="n">
        <v>2.7406</v>
      </c>
      <c r="R103" s="10">
        <f>MAX(MAX(1.4/'Parametros'!$B$3,0.25*SQRT('Parametros'!$B$2)/'Parametros'!$B$3)*H103*U103,(0.85*'Parametros'!$B$2/'Parametros'!$B$3)*(1-SQRT(1-2*(J103*1000000/('Parametros'!$B$5*H103*U103^2))/(0.85*'Parametros'!$B$2)))*H103*U103)</f>
        <v>734.025</v>
      </c>
      <c r="S103" s="31" t="n">
        <v>4</v>
      </c>
      <c r="T103" s="32" t="n">
        <v>1</v>
      </c>
      <c r="U103" s="10">
        <f>IF(T103=1,I103-('Parametros'!$B$7+'Parametros'!$B$9+'Parametros'!$B$12/2),I103-(ROUNDUP(S103/2,0)*('Parametros'!$B$7+'Parametros'!$B$9+'Parametros'!$B$12/2)+ROUNDDOWN(S103/2,0)*('Parametros'!$B$7+'Parametros'!$B$9+'Parametros'!$B$12/2+'Parametros'!$B$12+'Parametros'!$B$10))/S103)</f>
        <v>489.35</v>
      </c>
      <c r="V103" s="10">
        <f>S103*'Parametros'!$B$8</f>
        <v>796</v>
      </c>
      <c r="W103" s="10">
        <f>'Parametros'!$B$5*V103*'Parametros'!$B$3*(U103-(V103*'Parametros'!$B$3/(0.85*'Parametros'!$B$2*H103))/2)/1000000</f>
        <v>142.543330094118</v>
      </c>
      <c r="X103" s="10" t="str">
        <f>IF(W103&gt;=J103,"CUMPLE","NO CUMPLE")</f>
        <v>CUMPLE</v>
      </c>
      <c r="Y103" s="10">
        <f>MAX(MAX(1.4/'Parametros'!$B$3,0.25*SQRT('Parametros'!$B$2)/'Parametros'!$B$3)*H103*AB103,(0.85*'Parametros'!$B$2/'Parametros'!$B$3)*(1-SQRT(1-2*(L103*1000000/('Parametros'!$B$5*H103*AB103^2))/(0.85*'Parametros'!$B$2)))*H103*AB103)</f>
        <v>734.025</v>
      </c>
      <c r="Z103" s="31" t="n">
        <v>4</v>
      </c>
      <c r="AA103" s="32" t="n">
        <v>1</v>
      </c>
      <c r="AB103" s="10">
        <f>IF(AA103=1,I103-('Parametros'!$B$7+'Parametros'!$B$9+'Parametros'!$B$12/2),I103-(ROUNDUP(Z103/2,0)*('Parametros'!$B$7+'Parametros'!$B$9+'Parametros'!$B$12/2)+ROUNDDOWN(Z103/2,0)*('Parametros'!$B$7+'Parametros'!$B$9+'Parametros'!$B$12/2+'Parametros'!$B$12+'Parametros'!$B$10))/Z103)</f>
        <v>489.35</v>
      </c>
      <c r="AC103" s="10">
        <f>Z103*'Parametros'!$B$8</f>
        <v>796</v>
      </c>
      <c r="AD103" s="10">
        <f>'Parametros'!$B$5*AC103*'Parametros'!$B$3*(AB103-(AC103*'Parametros'!$B$3/(0.85*'Parametros'!$B$2*H103))/2)/1000000</f>
        <v>142.543330094118</v>
      </c>
      <c r="AE103" s="10" t="str">
        <f>IF(AD103&gt;=L103,"CUMPLE","NO CUMPLE")</f>
        <v>CUMPLE</v>
      </c>
      <c r="AF103" s="10">
        <f>V103*1.25*'Parametros'!$B$3*(U103-(V103*1.25*'Parametros'!$B$3/(0.85*'Parametros'!$B$2*H103))/2)/1000000</f>
        <v>196.346217941176</v>
      </c>
      <c r="AG103" s="10">
        <f>AC103*1.25*'Parametros'!$B$3*(AB103-(AC103*1.25*'Parametros'!$B$3/(0.85*'Parametros'!$B$2*H103))/2)/1000000</f>
        <v>196.346217941176</v>
      </c>
      <c r="AH103" s="10">
        <f>N103+(AF103+AG103)/D103</f>
        <v>143.367775259516</v>
      </c>
      <c r="AI103" s="10">
        <f>MAX(O103,AH103)</f>
        <v>143.367775259516</v>
      </c>
      <c r="AJ103" s="10">
        <f>0.17*SQRT('Parametros'!$B$2)*H103*MIN(U103,AB103)/1000</f>
        <v>198.088855822627</v>
      </c>
      <c r="AK103" s="10">
        <f>MAX(AI103/'Parametros'!$B$6-AJ103,0)</f>
        <v>0</v>
      </c>
      <c r="AL103" s="10">
        <f>0.66*SQRT('Parametros'!$B$2)*H103*MIN(U103,AB103)/1000</f>
        <v>769.050852017258</v>
      </c>
      <c r="AM103" s="10" t="str">
        <f>IF(AK103&lt;=AL103,"CUMPLE","NO CUMPLE")</f>
        <v>CUMPLE</v>
      </c>
      <c r="AN103" s="17" t="inlineStr">
        <is>
          <t>Nº3 cerrado</t>
        </is>
      </c>
      <c r="AO103" s="31" t="n">
        <v>2</v>
      </c>
      <c r="AP103" s="10">
        <f>ROUNDDOWN(MIN(IF(BC103+BD103=0,1000000000,AO103*BB103/(BC103+BD103)),MIN(U103,AB103)/4,8*'Parametros'!$B$12,24*BA103,300,IF(AV103=0,1000000000,2*((H103-2*('Parametros'!$B$7+'Parametros'!$B$9/2))+(I103-2*('Parametros'!$B$7+'Parametros'!$B$9/2)))/8))/10,0)*10</f>
        <v>120</v>
      </c>
      <c r="AQ103" s="10">
        <f>ROUNDDOWN(MIN(IF(BC103+BD103=0,1000000000,AO103*BB103/(BC103+BD103)),IF(AK103&gt;0.33*SQRT('Parametros'!$B$2)*H103*MIN(U103,AB103)/1000,MIN(U103,AB103)/4,MIN(U103,AB103)/2),600,IF(AV103=0,1000000000,2*((H103-2*('Parametros'!$B$7+'Parametros'!$B$9/2))+(I103-2*('Parametros'!$B$7+'Parametros'!$B$9/2)))/8))/10,0)*10</f>
        <v>240</v>
      </c>
      <c r="AR103" s="10">
        <f>'Parametros'!$B$6*(AJ103+MAX(BE103-BD103,0)*'Parametros'!$B$4*MIN(U103,AB103)/1000)</f>
        <v>330.97185436697</v>
      </c>
      <c r="AS103" s="10" t="str">
        <f>IF(AND(ISERROR(SEARCH("referencia",AN103)),AM103="CUMPLE",AR103&gt;=AI103),"CUMPLE","NO CUMPLE")</f>
        <v>CUMPLE</v>
      </c>
      <c r="AT103" s="10">
        <f>'Parametros'!$B$6*0.083*SQRT('Parametros'!$B$2)*(H103*I103)^2/(2*(H103+I103))/1000000</f>
        <v>10.0887830333379</v>
      </c>
      <c r="AU103" s="10" t="str">
        <f>IF(Q103&lt;=AT103,"DESPRECIABLE","DISEÑAR")</f>
        <v>DESPRECIABLE</v>
      </c>
      <c r="AV103" s="10">
        <f>IF(Q103&lt;=AT103,0,Q103*1000000/('Parametros'!$B$6*2*0.85*(H103-2*('Parametros'!$B$7+'Parametros'!$B$9/2))*(I103-2*('Parametros'!$B$7+'Parametros'!$B$9/2))*'Parametros'!$B$4))</f>
        <v>0</v>
      </c>
      <c r="AW103" s="10">
        <f>AV103*2*((H103-2*('Parametros'!$B$7+'Parametros'!$B$9/2))+(I103-2*('Parametros'!$B$7+'Parametros'!$B$9/2)))*'Parametros'!$B$4/'Parametros'!$B$3</f>
        <v>0</v>
      </c>
      <c r="AX103" s="31" t="n">
        <v>0</v>
      </c>
      <c r="AY103" s="10" t="str">
        <f>IF(AV103=0,"DESPRECIABLE",IF(AND(ISERROR(SEARCH("referencia",AN103)),BB103/AP103&gt;=AV103,BI103&gt;=AW103,BH103="CUMPLE"),"CUMPLE","NO CUMPLE"))</f>
        <v>DESPRECIABLE</v>
      </c>
      <c r="AZ103" s="10" t="str">
        <f>IF(AND(X103="CUMPLE",AE103="CUMPLE",AS103="CUMPLE",OR(AY103="CUMPLE",AY103="DESPRECIABLE"),BH103="CUMPLE",BJ103="CUMPLE"),"CUMPLE","NO CUMPLE")</f>
        <v>CUMPLE</v>
      </c>
      <c r="BA103" s="32" t="n">
        <v>9.5</v>
      </c>
      <c r="BB103" s="32" t="n">
        <v>71</v>
      </c>
      <c r="BC103" s="10">
        <f>MAX(IF(AK103=0,0,AK103*1000/('Parametros'!$B$4*MIN(U103,AB103))),MAX(0.062*SQRT('Parametros'!$B$2)*H103/'Parametros'!$B$4,0.35*H103/'Parametros'!$B$4))</f>
        <v>0.375</v>
      </c>
      <c r="BD103" s="10">
        <f>2*AV103</f>
        <v>0</v>
      </c>
      <c r="BE103" s="10">
        <f>AO103*BB103/AP103</f>
        <v>1.18333333333333</v>
      </c>
      <c r="BF103" s="10">
        <f>SQRT((AI103*1000/(H103*MIN(U103,AB103)))^2+(Q103*1000000*2*((H103-2*('Parametros'!$B$7+'Parametros'!$B$9/2))+(I103-2*('Parametros'!$B$7+'Parametros'!$B$9/2)))/(1.7*((H103-2*('Parametros'!$B$7+'Parametros'!$B$9/2))*(I103-2*('Parametros'!$B$7+'Parametros'!$B$9/2)))^2))^2)</f>
        <v>0.65844854876115</v>
      </c>
      <c r="BG103" s="10">
        <f>'Parametros'!$B$6*(AJ103*1000/(H103*MIN(U103,AB103))+0.66*SQRT('Parametros'!$B$2))</f>
        <v>3.29396038227542</v>
      </c>
      <c r="BH103" s="10" t="str">
        <f>IF(BF103&lt;=BG103,"CUMPLE","NO CUMPLE")</f>
        <v>CUMPLE</v>
      </c>
      <c r="BI103" s="10">
        <f>AX103*'Parametros'!$B$8</f>
        <v>0</v>
      </c>
      <c r="BJ103" s="10" t="str">
        <f>IF(BI103&gt;=AW103,"CUMPLE","NO CUMPLE")</f>
        <v>CUMPLE</v>
      </c>
    </row>
    <row r="104">
      <c r="A104" s="18" t="inlineStr">
        <is>
          <t>VC4</t>
        </is>
      </c>
      <c r="B104" s="18" t="inlineStr">
        <is>
          <t>61</t>
        </is>
      </c>
      <c r="C104" s="10" t="n">
        <v>1</v>
      </c>
      <c r="D104" s="10" t="n">
        <v>3.25</v>
      </c>
      <c r="E104" s="10" t="n">
        <v>3.25</v>
      </c>
      <c r="F104" s="10" t="n">
        <v>450</v>
      </c>
      <c r="G104" s="10" t="n">
        <v>550</v>
      </c>
      <c r="H104" s="17" t="n">
        <v>450</v>
      </c>
      <c r="I104" s="17" t="n">
        <v>550</v>
      </c>
      <c r="J104" s="30" t="n">
        <v>204.9594</v>
      </c>
      <c r="K104" s="10" t="inlineStr">
        <is>
          <t>61</t>
        </is>
      </c>
      <c r="L104" s="30" t="n">
        <v>173.5927</v>
      </c>
      <c r="M104" s="10" t="inlineStr">
        <is>
          <t>61</t>
        </is>
      </c>
      <c r="N104" s="30" t="n">
        <v>118.966</v>
      </c>
      <c r="O104" s="30" t="n">
        <v>506.777</v>
      </c>
      <c r="P104" s="10" t="inlineStr">
        <is>
          <t>61</t>
        </is>
      </c>
      <c r="Q104" s="30" t="n">
        <v>74.8122</v>
      </c>
      <c r="R104" s="10">
        <f>MAX(MAX(1.4/'Parametros'!$B$3,0.25*SQRT('Parametros'!$B$2)/'Parametros'!$B$3)*H104*U104,(0.85*'Parametros'!$B$2/'Parametros'!$B$3)*(1-SQRT(1-2*(J104*1000000/('Parametros'!$B$5*H104*U104^2))/(0.85*'Parametros'!$B$2)))*H104*U104)</f>
        <v>1162.16068267016</v>
      </c>
      <c r="S104" s="31" t="n">
        <v>6</v>
      </c>
      <c r="T104" s="32" t="n">
        <v>1</v>
      </c>
      <c r="U104" s="10">
        <f>IF(T104=1,I104-('Parametros'!$B$7+'Parametros'!$B$9+'Parametros'!$B$12/2),I104-(ROUNDUP(S104/2,0)*('Parametros'!$B$7+'Parametros'!$B$9+'Parametros'!$B$12/2)+ROUNDDOWN(S104/2,0)*('Parametros'!$B$7+'Parametros'!$B$9+'Parametros'!$B$12/2+'Parametros'!$B$12+'Parametros'!$B$10))/S104)</f>
        <v>489.35</v>
      </c>
      <c r="V104" s="10">
        <f>S104*'Parametros'!$B$8</f>
        <v>1194</v>
      </c>
      <c r="W104" s="10">
        <f>'Parametros'!$B$5*V104*'Parametros'!$B$3*(U104-(V104*'Parametros'!$B$3/(0.85*'Parametros'!$B$2*H104))/2)/1000000</f>
        <v>210.292835611765</v>
      </c>
      <c r="X104" s="10" t="str">
        <f>IF(W104&gt;=J104,"CUMPLE","NO CUMPLE")</f>
        <v>CUMPLE</v>
      </c>
      <c r="Y104" s="10">
        <f>MAX(MAX(1.4/'Parametros'!$B$3,0.25*SQRT('Parametros'!$B$2)/'Parametros'!$B$3)*H104*AB104,(0.85*'Parametros'!$B$2/'Parametros'!$B$3)*(1-SQRT(1-2*(L104*1000000/('Parametros'!$B$5*H104*AB104^2))/(0.85*'Parametros'!$B$2)))*H104*AB104)</f>
        <v>976.692383605298</v>
      </c>
      <c r="Z104" s="31" t="n">
        <v>5</v>
      </c>
      <c r="AA104" s="32" t="n">
        <v>1</v>
      </c>
      <c r="AB104" s="10">
        <f>IF(AA104=1,I104-('Parametros'!$B$7+'Parametros'!$B$9+'Parametros'!$B$12/2),I104-(ROUNDUP(Z104/2,0)*('Parametros'!$B$7+'Parametros'!$B$9+'Parametros'!$B$12/2)+ROUNDDOWN(Z104/2,0)*('Parametros'!$B$7+'Parametros'!$B$9+'Parametros'!$B$12/2+'Parametros'!$B$12+'Parametros'!$B$10))/Z104)</f>
        <v>489.35</v>
      </c>
      <c r="AC104" s="10">
        <f>Z104*'Parametros'!$B$8</f>
        <v>995</v>
      </c>
      <c r="AD104" s="10">
        <f>'Parametros'!$B$5*AC104*'Parametros'!$B$3*(AB104-(AC104*'Parametros'!$B$3/(0.85*'Parametros'!$B$2*H104))/2)/1000000</f>
        <v>176.711596147059</v>
      </c>
      <c r="AE104" s="10" t="str">
        <f>IF(AD104&gt;=L104,"CUMPLE","NO CUMPLE")</f>
        <v>CUMPLE</v>
      </c>
      <c r="AF104" s="10">
        <f>V104*1.25*'Parametros'!$B$3*(U104-(V104*1.25*'Parametros'!$B$3/(0.85*'Parametros'!$B$2*H104))/2)/1000000</f>
        <v>288.404466617647</v>
      </c>
      <c r="AG104" s="10">
        <f>AC104*1.25*'Parametros'!$B$3*(AB104-(AC104*1.25*'Parametros'!$B$3/(0.85*'Parametros'!$B$2*H104))/2)/1000000</f>
        <v>242.884913970588</v>
      </c>
      <c r="AH104" s="10">
        <f>N104+(AF104+AG104)/D104</f>
        <v>282.439655565611</v>
      </c>
      <c r="AI104" s="10">
        <f>MAX(O104,AH104)</f>
        <v>506.777</v>
      </c>
      <c r="AJ104" s="10">
        <f>0.17*SQRT('Parametros'!$B$2)*H104*MIN(U104,AB104)/1000</f>
        <v>198.088855822627</v>
      </c>
      <c r="AK104" s="10">
        <f>MAX(AI104/'Parametros'!$B$6-AJ104,0)</f>
        <v>477.61381084404</v>
      </c>
      <c r="AL104" s="10">
        <f>0.66*SQRT('Parametros'!$B$2)*H104*MIN(U104,AB104)/1000</f>
        <v>769.050852017258</v>
      </c>
      <c r="AM104" s="10" t="str">
        <f>IF(AK104&lt;=AL104,"CUMPLE","NO CUMPLE")</f>
        <v>CUMPLE</v>
      </c>
      <c r="AN104" s="17" t="inlineStr">
        <is>
          <t>Nº4 cerrado</t>
        </is>
      </c>
      <c r="AO104" s="31" t="n">
        <v>4</v>
      </c>
      <c r="AP104" s="10">
        <f>ROUNDDOWN(MIN(IF(BC104+BD104=0,1000000000,AO104*BB104/(BC104+BD104)),MIN(U104,AB104)/4,8*'Parametros'!$B$12,24*BA104,300,IF(AV104=0,1000000000,2*((H104-2*('Parametros'!$B$7+'Parametros'!$B$9/2))+(I104-2*('Parametros'!$B$7+'Parametros'!$B$9/2)))/8))/10,0)*10</f>
        <v>120</v>
      </c>
      <c r="AQ104" s="10">
        <f>ROUNDDOWN(MIN(IF(BC104+BD104=0,1000000000,AO104*BB104/(BC104+BD104)),IF(AK104&gt;0.33*SQRT('Parametros'!$B$2)*H104*MIN(U104,AB104)/1000,MIN(U104,AB104)/4,MIN(U104,AB104)/2),600,IF(AV104=0,1000000000,2*((H104-2*('Parametros'!$B$7+'Parametros'!$B$9/2))+(I104-2*('Parametros'!$B$7+'Parametros'!$B$9/2)))/8))/10,0)*10</f>
        <v>120</v>
      </c>
      <c r="AR104" s="10">
        <f>'Parametros'!$B$6*(AJ104+MAX(BE104-BD104,0)*'Parametros'!$B$4*MIN(U104,AB104)/1000)</f>
        <v>547.795180507309</v>
      </c>
      <c r="AS104" s="10" t="str">
        <f>IF(AND(ISERROR(SEARCH("referencia",AN104)),AM104="CUMPLE",AR104&gt;=AI104),"CUMPLE","NO CUMPLE")</f>
        <v>CUMPLE</v>
      </c>
      <c r="AT104" s="10">
        <f>'Parametros'!$B$6*0.083*SQRT('Parametros'!$B$2)*(H104*I104)^2/(2*(H104+I104))/1000000</f>
        <v>10.0887830333379</v>
      </c>
      <c r="AU104" s="10" t="str">
        <f>IF(Q104&lt;=AT104,"DESPRECIABLE","DISEÑAR")</f>
        <v>DISEÑAR</v>
      </c>
      <c r="AV104" s="10">
        <f>IF(Q104&lt;=AT104,0,Q104*1000000/('Parametros'!$B$6*2*0.85*(H104-2*('Parametros'!$B$7+'Parametros'!$B$9/2))*(I104-2*('Parametros'!$B$7+'Parametros'!$B$9/2))*'Parametros'!$B$4))</f>
        <v>0.85502484299601</v>
      </c>
      <c r="AW104" s="10">
        <f>AV104*2*((H104-2*('Parametros'!$B$7+'Parametros'!$B$9/2))+(I104-2*('Parametros'!$B$7+'Parametros'!$B$9/2)))*'Parametros'!$B$4/'Parametros'!$B$3</f>
        <v>1393.0064742091</v>
      </c>
      <c r="AX104" s="31" t="n">
        <v>8</v>
      </c>
      <c r="AY104" s="10" t="str">
        <f>IF(AV104=0,"DESPRECIABLE",IF(AND(ISERROR(SEARCH("referencia",AN104)),BB104/AP104&gt;=AV104,BI104&gt;=AW104,BH104="CUMPLE"),"CUMPLE","NO CUMPLE"))</f>
        <v>NO CUMPLE</v>
      </c>
      <c r="AZ104" s="10" t="str">
        <f>IF(AND(X104="CUMPLE",AE104="CUMPLE",AS104="CUMPLE",OR(AY104="CUMPLE",AY104="DESPRECIABLE"),BH104="CUMPLE",BJ104="CUMPLE"),"CUMPLE","NO CUMPLE")</f>
        <v>NO CUMPLE</v>
      </c>
      <c r="BA104" s="32" t="n">
        <v>12.7</v>
      </c>
      <c r="BB104" s="32" t="n">
        <v>129</v>
      </c>
      <c r="BC104" s="10">
        <f>MAX(IF(AK104=0,0,AK104*1000/('Parametros'!$B$4*MIN(U104,AB104))),MAX(0.062*SQRT('Parametros'!$B$2)*H104/'Parametros'!$B$4,0.35*H104/'Parametros'!$B$4))</f>
        <v>2.32384947400604</v>
      </c>
      <c r="BD104" s="10">
        <f>2*AV104</f>
        <v>1.71004968599202</v>
      </c>
      <c r="BE104" s="10">
        <f>AO104*BB104/AP104</f>
        <v>4.3</v>
      </c>
      <c r="BF104" s="10">
        <f>SQRT((AI104*1000/(H104*MIN(U104,AB104)))^2+(Q104*1000000*2*((H104-2*('Parametros'!$B$7+'Parametros'!$B$9/2))+(I104-2*('Parametros'!$B$7+'Parametros'!$B$9/2)))/(1.7*((H104-2*('Parametros'!$B$7+'Parametros'!$B$9/2))*(I104-2*('Parametros'!$B$7+'Parametros'!$B$9/2)))^2))^2)</f>
        <v>3.53670991004238</v>
      </c>
      <c r="BG104" s="10">
        <f>'Parametros'!$B$6*(AJ104*1000/(H104*MIN(U104,AB104))+0.66*SQRT('Parametros'!$B$2))</f>
        <v>3.29396038227542</v>
      </c>
      <c r="BH104" s="10" t="str">
        <f>IF(BF104&lt;=BG104,"CUMPLE","NO CUMPLE")</f>
        <v>NO CUMPLE</v>
      </c>
      <c r="BI104" s="10">
        <f>AX104*'Parametros'!$B$8</f>
        <v>1592</v>
      </c>
      <c r="BJ104" s="10" t="str">
        <f>IF(BI104&gt;=AW104,"CUMPLE","NO CUMPLE")</f>
        <v>CUMPLE</v>
      </c>
    </row>
    <row r="105">
      <c r="A105" s="18" t="inlineStr">
        <is>
          <t>VC4</t>
        </is>
      </c>
      <c r="B105" s="18" t="inlineStr">
        <is>
          <t>62</t>
        </is>
      </c>
      <c r="C105" s="10" t="n">
        <v>1</v>
      </c>
      <c r="D105" s="10" t="n">
        <v>3.25</v>
      </c>
      <c r="E105" s="10" t="n">
        <v>3.25</v>
      </c>
      <c r="F105" s="10" t="n">
        <v>450</v>
      </c>
      <c r="G105" s="10" t="n">
        <v>550</v>
      </c>
      <c r="H105" s="17" t="n">
        <v>450</v>
      </c>
      <c r="I105" s="17" t="n">
        <v>550</v>
      </c>
      <c r="J105" s="30" t="n">
        <v>204.8766</v>
      </c>
      <c r="K105" s="10" t="inlineStr">
        <is>
          <t>62</t>
        </is>
      </c>
      <c r="L105" s="30" t="n">
        <v>173.6478</v>
      </c>
      <c r="M105" s="10" t="inlineStr">
        <is>
          <t>62</t>
        </is>
      </c>
      <c r="N105" s="30" t="n">
        <v>118.937</v>
      </c>
      <c r="O105" s="30" t="n">
        <v>506.748</v>
      </c>
      <c r="P105" s="10" t="inlineStr">
        <is>
          <t>62</t>
        </is>
      </c>
      <c r="Q105" s="30" t="n">
        <v>74.8108</v>
      </c>
      <c r="R105" s="10">
        <f>MAX(MAX(1.4/'Parametros'!$B$3,0.25*SQRT('Parametros'!$B$2)/'Parametros'!$B$3)*H105*U105,(0.85*'Parametros'!$B$2/'Parametros'!$B$3)*(1-SQRT(1-2*(J105*1000000/('Parametros'!$B$5*H105*U105^2))/(0.85*'Parametros'!$B$2)))*H105*U105)</f>
        <v>1161.66709288526</v>
      </c>
      <c r="S105" s="31" t="n">
        <v>6</v>
      </c>
      <c r="T105" s="32" t="n">
        <v>1</v>
      </c>
      <c r="U105" s="10">
        <f>IF(T105=1,I105-('Parametros'!$B$7+'Parametros'!$B$9+'Parametros'!$B$12/2),I105-(ROUNDUP(S105/2,0)*('Parametros'!$B$7+'Parametros'!$B$9+'Parametros'!$B$12/2)+ROUNDDOWN(S105/2,0)*('Parametros'!$B$7+'Parametros'!$B$9+'Parametros'!$B$12/2+'Parametros'!$B$12+'Parametros'!$B$10))/S105)</f>
        <v>489.35</v>
      </c>
      <c r="V105" s="10">
        <f>S105*'Parametros'!$B$8</f>
        <v>1194</v>
      </c>
      <c r="W105" s="10">
        <f>'Parametros'!$B$5*V105*'Parametros'!$B$3*(U105-(V105*'Parametros'!$B$3/(0.85*'Parametros'!$B$2*H105))/2)/1000000</f>
        <v>210.292835611765</v>
      </c>
      <c r="X105" s="10" t="str">
        <f>IF(W105&gt;=J105,"CUMPLE","NO CUMPLE")</f>
        <v>CUMPLE</v>
      </c>
      <c r="Y105" s="10">
        <f>MAX(MAX(1.4/'Parametros'!$B$3,0.25*SQRT('Parametros'!$B$2)/'Parametros'!$B$3)*H105*AB105,(0.85*'Parametros'!$B$2/'Parametros'!$B$3)*(1-SQRT(1-2*(L105*1000000/('Parametros'!$B$5*H105*AB105^2))/(0.85*'Parametros'!$B$2)))*H105*AB105)</f>
        <v>977.015562367863</v>
      </c>
      <c r="Z105" s="31" t="n">
        <v>5</v>
      </c>
      <c r="AA105" s="32" t="n">
        <v>1</v>
      </c>
      <c r="AB105" s="10">
        <f>IF(AA105=1,I105-('Parametros'!$B$7+'Parametros'!$B$9+'Parametros'!$B$12/2),I105-(ROUNDUP(Z105/2,0)*('Parametros'!$B$7+'Parametros'!$B$9+'Parametros'!$B$12/2)+ROUNDDOWN(Z105/2,0)*('Parametros'!$B$7+'Parametros'!$B$9+'Parametros'!$B$12/2+'Parametros'!$B$12+'Parametros'!$B$10))/Z105)</f>
        <v>489.35</v>
      </c>
      <c r="AC105" s="10">
        <f>Z105*'Parametros'!$B$8</f>
        <v>995</v>
      </c>
      <c r="AD105" s="10">
        <f>'Parametros'!$B$5*AC105*'Parametros'!$B$3*(AB105-(AC105*'Parametros'!$B$3/(0.85*'Parametros'!$B$2*H105))/2)/1000000</f>
        <v>176.711596147059</v>
      </c>
      <c r="AE105" s="10" t="str">
        <f>IF(AD105&gt;=L105,"CUMPLE","NO CUMPLE")</f>
        <v>CUMPLE</v>
      </c>
      <c r="AF105" s="10">
        <f>V105*1.25*'Parametros'!$B$3*(U105-(V105*1.25*'Parametros'!$B$3/(0.85*'Parametros'!$B$2*H105))/2)/1000000</f>
        <v>288.404466617647</v>
      </c>
      <c r="AG105" s="10">
        <f>AC105*1.25*'Parametros'!$B$3*(AB105-(AC105*1.25*'Parametros'!$B$3/(0.85*'Parametros'!$B$2*H105))/2)/1000000</f>
        <v>242.884913970588</v>
      </c>
      <c r="AH105" s="10">
        <f>N105+(AF105+AG105)/D105</f>
        <v>282.410655565611</v>
      </c>
      <c r="AI105" s="10">
        <f>MAX(O105,AH105)</f>
        <v>506.748</v>
      </c>
      <c r="AJ105" s="10">
        <f>0.17*SQRT('Parametros'!$B$2)*H105*MIN(U105,AB105)/1000</f>
        <v>198.088855822627</v>
      </c>
      <c r="AK105" s="10">
        <f>MAX(AI105/'Parametros'!$B$6-AJ105,0)</f>
        <v>477.575144177373</v>
      </c>
      <c r="AL105" s="10">
        <f>0.66*SQRT('Parametros'!$B$2)*H105*MIN(U105,AB105)/1000</f>
        <v>769.050852017258</v>
      </c>
      <c r="AM105" s="10" t="str">
        <f>IF(AK105&lt;=AL105,"CUMPLE","NO CUMPLE")</f>
        <v>CUMPLE</v>
      </c>
      <c r="AN105" s="17" t="inlineStr">
        <is>
          <t>Nº4 cerrado</t>
        </is>
      </c>
      <c r="AO105" s="31" t="n">
        <v>4</v>
      </c>
      <c r="AP105" s="10">
        <f>ROUNDDOWN(MIN(IF(BC105+BD105=0,1000000000,AO105*BB105/(BC105+BD105)),MIN(U105,AB105)/4,8*'Parametros'!$B$12,24*BA105,300,IF(AV105=0,1000000000,2*((H105-2*('Parametros'!$B$7+'Parametros'!$B$9/2))+(I105-2*('Parametros'!$B$7+'Parametros'!$B$9/2)))/8))/10,0)*10</f>
        <v>120</v>
      </c>
      <c r="AQ105" s="10">
        <f>ROUNDDOWN(MIN(IF(BC105+BD105=0,1000000000,AO105*BB105/(BC105+BD105)),IF(AK105&gt;0.33*SQRT('Parametros'!$B$2)*H105*MIN(U105,AB105)/1000,MIN(U105,AB105)/4,MIN(U105,AB105)/2),600,IF(AV105=0,1000000000,2*((H105-2*('Parametros'!$B$7+'Parametros'!$B$9/2))+(I105-2*('Parametros'!$B$7+'Parametros'!$B$9/2)))/8))/10,0)*10</f>
        <v>120</v>
      </c>
      <c r="AR105" s="10">
        <f>'Parametros'!$B$6*(AJ105+MAX(BE105-BD105,0)*'Parametros'!$B$4*MIN(U105,AB105)/1000)</f>
        <v>547.800113318413</v>
      </c>
      <c r="AS105" s="10" t="str">
        <f>IF(AND(ISERROR(SEARCH("referencia",AN105)),AM105="CUMPLE",AR105&gt;=AI105),"CUMPLE","NO CUMPLE")</f>
        <v>CUMPLE</v>
      </c>
      <c r="AT105" s="10">
        <f>'Parametros'!$B$6*0.083*SQRT('Parametros'!$B$2)*(H105*I105)^2/(2*(H105+I105))/1000000</f>
        <v>10.0887830333379</v>
      </c>
      <c r="AU105" s="10" t="str">
        <f>IF(Q105&lt;=AT105,"DESPRECIABLE","DISEÑAR")</f>
        <v>DISEÑAR</v>
      </c>
      <c r="AV105" s="10">
        <f>IF(Q105&lt;=AT105,0,Q105*1000000/('Parametros'!$B$6*2*0.85*(H105-2*('Parametros'!$B$7+'Parametros'!$B$9/2))*(I105-2*('Parametros'!$B$7+'Parametros'!$B$9/2))*'Parametros'!$B$4))</f>
        <v>0.855008842466949</v>
      </c>
      <c r="AW105" s="10">
        <f>AV105*2*((H105-2*('Parametros'!$B$7+'Parametros'!$B$9/2))+(I105-2*('Parametros'!$B$7+'Parametros'!$B$9/2)))*'Parametros'!$B$4/'Parametros'!$B$3</f>
        <v>1392.98040614715</v>
      </c>
      <c r="AX105" s="31" t="n">
        <v>8</v>
      </c>
      <c r="AY105" s="10" t="str">
        <f>IF(AV105=0,"DESPRECIABLE",IF(AND(ISERROR(SEARCH("referencia",AN105)),BB105/AP105&gt;=AV105,BI105&gt;=AW105,BH105="CUMPLE"),"CUMPLE","NO CUMPLE"))</f>
        <v>NO CUMPLE</v>
      </c>
      <c r="AZ105" s="10" t="str">
        <f>IF(AND(X105="CUMPLE",AE105="CUMPLE",AS105="CUMPLE",OR(AY105="CUMPLE",AY105="DESPRECIABLE"),BH105="CUMPLE",BJ105="CUMPLE"),"CUMPLE","NO CUMPLE")</f>
        <v>NO CUMPLE</v>
      </c>
      <c r="BA105" s="32" t="n">
        <v>12.7</v>
      </c>
      <c r="BB105" s="32" t="n">
        <v>129</v>
      </c>
      <c r="BC105" s="10">
        <f>MAX(IF(AK105=0,0,AK105*1000/('Parametros'!$B$4*MIN(U105,AB105))),MAX(0.062*SQRT('Parametros'!$B$2)*H105/'Parametros'!$B$4,0.35*H105/'Parametros'!$B$4))</f>
        <v>2.32366133976253</v>
      </c>
      <c r="BD105" s="10">
        <f>2*AV105</f>
        <v>1.7100176849339</v>
      </c>
      <c r="BE105" s="10">
        <f>AO105*BB105/AP105</f>
        <v>4.3</v>
      </c>
      <c r="BF105" s="10">
        <f>SQRT((AI105*1000/(H105*MIN(U105,AB105)))^2+(Q105*1000000*2*((H105-2*('Parametros'!$B$7+'Parametros'!$B$9/2))+(I105-2*('Parametros'!$B$7+'Parametros'!$B$9/2)))/(1.7*((H105-2*('Parametros'!$B$7+'Parametros'!$B$9/2))*(I105-2*('Parametros'!$B$7+'Parametros'!$B$9/2)))^2))^2)</f>
        <v>3.53658605592676</v>
      </c>
      <c r="BG105" s="10">
        <f>'Parametros'!$B$6*(AJ105*1000/(H105*MIN(U105,AB105))+0.66*SQRT('Parametros'!$B$2))</f>
        <v>3.29396038227542</v>
      </c>
      <c r="BH105" s="10" t="str">
        <f>IF(BF105&lt;=BG105,"CUMPLE","NO CUMPLE")</f>
        <v>NO CUMPLE</v>
      </c>
      <c r="BI105" s="10">
        <f>AX105*'Parametros'!$B$8</f>
        <v>1592</v>
      </c>
      <c r="BJ105" s="10" t="str">
        <f>IF(BI105&gt;=AW105,"CUMPLE","NO CUMPLE")</f>
        <v>CUMPLE</v>
      </c>
    </row>
    <row r="106">
      <c r="A106" s="18" t="inlineStr">
        <is>
          <t>VC4</t>
        </is>
      </c>
      <c r="B106" s="18" t="inlineStr">
        <is>
          <t>87</t>
        </is>
      </c>
      <c r="C106" s="10" t="n">
        <v>1</v>
      </c>
      <c r="D106" s="10" t="n">
        <v>3.25</v>
      </c>
      <c r="E106" s="10" t="n">
        <v>3.25</v>
      </c>
      <c r="F106" s="10" t="n">
        <v>450</v>
      </c>
      <c r="G106" s="10" t="n">
        <v>550</v>
      </c>
      <c r="H106" s="17" t="n">
        <v>450</v>
      </c>
      <c r="I106" s="17" t="n">
        <v>550</v>
      </c>
      <c r="J106" s="30" t="n">
        <v>204.9116</v>
      </c>
      <c r="K106" s="10" t="inlineStr">
        <is>
          <t>87</t>
        </is>
      </c>
      <c r="L106" s="30" t="n">
        <v>173.6184</v>
      </c>
      <c r="M106" s="10" t="inlineStr">
        <is>
          <t>87</t>
        </is>
      </c>
      <c r="N106" s="30" t="n">
        <v>118.952</v>
      </c>
      <c r="O106" s="30" t="n">
        <v>506.754</v>
      </c>
      <c r="P106" s="10" t="inlineStr">
        <is>
          <t>87</t>
        </is>
      </c>
      <c r="Q106" s="30" t="n">
        <v>74.818</v>
      </c>
      <c r="R106" s="10">
        <f>MAX(MAX(1.4/'Parametros'!$B$3,0.25*SQRT('Parametros'!$B$2)/'Parametros'!$B$3)*H106*U106,(0.85*'Parametros'!$B$2/'Parametros'!$B$3)*(1-SQRT(1-2*(J106*1000000/('Parametros'!$B$5*H106*U106^2))/(0.85*'Parametros'!$B$2)))*H106*U106)</f>
        <v>1161.8757332835</v>
      </c>
      <c r="S106" s="31" t="n">
        <v>6</v>
      </c>
      <c r="T106" s="32" t="n">
        <v>1</v>
      </c>
      <c r="U106" s="10">
        <f>IF(T106=1,I106-('Parametros'!$B$7+'Parametros'!$B$9+'Parametros'!$B$12/2),I106-(ROUNDUP(S106/2,0)*('Parametros'!$B$7+'Parametros'!$B$9+'Parametros'!$B$12/2)+ROUNDDOWN(S106/2,0)*('Parametros'!$B$7+'Parametros'!$B$9+'Parametros'!$B$12/2+'Parametros'!$B$12+'Parametros'!$B$10))/S106)</f>
        <v>489.35</v>
      </c>
      <c r="V106" s="10">
        <f>S106*'Parametros'!$B$8</f>
        <v>1194</v>
      </c>
      <c r="W106" s="10">
        <f>'Parametros'!$B$5*V106*'Parametros'!$B$3*(U106-(V106*'Parametros'!$B$3/(0.85*'Parametros'!$B$2*H106))/2)/1000000</f>
        <v>210.292835611765</v>
      </c>
      <c r="X106" s="10" t="str">
        <f>IF(W106&gt;=J106,"CUMPLE","NO CUMPLE")</f>
        <v>CUMPLE</v>
      </c>
      <c r="Y106" s="10">
        <f>MAX(MAX(1.4/'Parametros'!$B$3,0.25*SQRT('Parametros'!$B$2)/'Parametros'!$B$3)*H106*AB106,(0.85*'Parametros'!$B$2/'Parametros'!$B$3)*(1-SQRT(1-2*(L106*1000000/('Parametros'!$B$5*H106*AB106^2))/(0.85*'Parametros'!$B$2)))*H106*AB106)</f>
        <v>976.843121026993</v>
      </c>
      <c r="Z106" s="31" t="n">
        <v>5</v>
      </c>
      <c r="AA106" s="32" t="n">
        <v>1</v>
      </c>
      <c r="AB106" s="10">
        <f>IF(AA106=1,I106-('Parametros'!$B$7+'Parametros'!$B$9+'Parametros'!$B$12/2),I106-(ROUNDUP(Z106/2,0)*('Parametros'!$B$7+'Parametros'!$B$9+'Parametros'!$B$12/2)+ROUNDDOWN(Z106/2,0)*('Parametros'!$B$7+'Parametros'!$B$9+'Parametros'!$B$12/2+'Parametros'!$B$12+'Parametros'!$B$10))/Z106)</f>
        <v>489.35</v>
      </c>
      <c r="AC106" s="10">
        <f>Z106*'Parametros'!$B$8</f>
        <v>995</v>
      </c>
      <c r="AD106" s="10">
        <f>'Parametros'!$B$5*AC106*'Parametros'!$B$3*(AB106-(AC106*'Parametros'!$B$3/(0.85*'Parametros'!$B$2*H106))/2)/1000000</f>
        <v>176.711596147059</v>
      </c>
      <c r="AE106" s="10" t="str">
        <f>IF(AD106&gt;=L106,"CUMPLE","NO CUMPLE")</f>
        <v>CUMPLE</v>
      </c>
      <c r="AF106" s="10">
        <f>V106*1.25*'Parametros'!$B$3*(U106-(V106*1.25*'Parametros'!$B$3/(0.85*'Parametros'!$B$2*H106))/2)/1000000</f>
        <v>288.404466617647</v>
      </c>
      <c r="AG106" s="10">
        <f>AC106*1.25*'Parametros'!$B$3*(AB106-(AC106*1.25*'Parametros'!$B$3/(0.85*'Parametros'!$B$2*H106))/2)/1000000</f>
        <v>242.884913970588</v>
      </c>
      <c r="AH106" s="10">
        <f>N106+(AF106+AG106)/D106</f>
        <v>282.425655565611</v>
      </c>
      <c r="AI106" s="10">
        <f>MAX(O106,AH106)</f>
        <v>506.754</v>
      </c>
      <c r="AJ106" s="10">
        <f>0.17*SQRT('Parametros'!$B$2)*H106*MIN(U106,AB106)/1000</f>
        <v>198.088855822627</v>
      </c>
      <c r="AK106" s="10">
        <f>MAX(AI106/'Parametros'!$B$6-AJ106,0)</f>
        <v>477.583144177373</v>
      </c>
      <c r="AL106" s="10">
        <f>0.66*SQRT('Parametros'!$B$2)*H106*MIN(U106,AB106)/1000</f>
        <v>769.050852017258</v>
      </c>
      <c r="AM106" s="10" t="str">
        <f>IF(AK106&lt;=AL106,"CUMPLE","NO CUMPLE")</f>
        <v>CUMPLE</v>
      </c>
      <c r="AN106" s="17" t="inlineStr">
        <is>
          <t>Nº4 cerrado</t>
        </is>
      </c>
      <c r="AO106" s="31" t="n">
        <v>4</v>
      </c>
      <c r="AP106" s="10">
        <f>ROUNDDOWN(MIN(IF(BC106+BD106=0,1000000000,AO106*BB106/(BC106+BD106)),MIN(U106,AB106)/4,8*'Parametros'!$B$12,24*BA106,300,IF(AV106=0,1000000000,2*((H106-2*('Parametros'!$B$7+'Parametros'!$B$9/2))+(I106-2*('Parametros'!$B$7+'Parametros'!$B$9/2)))/8))/10,0)*10</f>
        <v>120</v>
      </c>
      <c r="AQ106" s="10">
        <f>ROUNDDOWN(MIN(IF(BC106+BD106=0,1000000000,AO106*BB106/(BC106+BD106)),IF(AK106&gt;0.33*SQRT('Parametros'!$B$2)*H106*MIN(U106,AB106)/1000,MIN(U106,AB106)/4,MIN(U106,AB106)/2),600,IF(AV106=0,1000000000,2*((H106-2*('Parametros'!$B$7+'Parametros'!$B$9/2))+(I106-2*('Parametros'!$B$7+'Parametros'!$B$9/2)))/8))/10,0)*10</f>
        <v>120</v>
      </c>
      <c r="AR106" s="10">
        <f>'Parametros'!$B$6*(AJ106+MAX(BE106-BD106,0)*'Parametros'!$B$4*MIN(U106,AB106)/1000)</f>
        <v>547.774744575591</v>
      </c>
      <c r="AS106" s="10" t="str">
        <f>IF(AND(ISERROR(SEARCH("referencia",AN106)),AM106="CUMPLE",AR106&gt;=AI106),"CUMPLE","NO CUMPLE")</f>
        <v>CUMPLE</v>
      </c>
      <c r="AT106" s="10">
        <f>'Parametros'!$B$6*0.083*SQRT('Parametros'!$B$2)*(H106*I106)^2/(2*(H106+I106))/1000000</f>
        <v>10.0887830333379</v>
      </c>
      <c r="AU106" s="10" t="str">
        <f>IF(Q106&lt;=AT106,"DESPRECIABLE","DISEÑAR")</f>
        <v>DISEÑAR</v>
      </c>
      <c r="AV106" s="10">
        <f>IF(Q106&lt;=AT106,0,Q106*1000000/('Parametros'!$B$6*2*0.85*(H106-2*('Parametros'!$B$7+'Parametros'!$B$9/2))*(I106-2*('Parametros'!$B$7+'Parametros'!$B$9/2))*'Parametros'!$B$4))</f>
        <v>0.855091130902119</v>
      </c>
      <c r="AW106" s="10">
        <f>AV106*2*((H106-2*('Parametros'!$B$7+'Parametros'!$B$9/2))+(I106-2*('Parametros'!$B$7+'Parametros'!$B$9/2)))*'Parametros'!$B$4/'Parametros'!$B$3</f>
        <v>1393.11447046573</v>
      </c>
      <c r="AX106" s="31" t="n">
        <v>8</v>
      </c>
      <c r="AY106" s="10" t="str">
        <f>IF(AV106=0,"DESPRECIABLE",IF(AND(ISERROR(SEARCH("referencia",AN106)),BB106/AP106&gt;=AV106,BI106&gt;=AW106,BH106="CUMPLE"),"CUMPLE","NO CUMPLE"))</f>
        <v>NO CUMPLE</v>
      </c>
      <c r="AZ106" s="10" t="str">
        <f>IF(AND(X106="CUMPLE",AE106="CUMPLE",AS106="CUMPLE",OR(AY106="CUMPLE",AY106="DESPRECIABLE"),BH106="CUMPLE",BJ106="CUMPLE"),"CUMPLE","NO CUMPLE")</f>
        <v>NO CUMPLE</v>
      </c>
      <c r="BA106" s="32" t="n">
        <v>12.7</v>
      </c>
      <c r="BB106" s="32" t="n">
        <v>129</v>
      </c>
      <c r="BC106" s="10">
        <f>MAX(IF(AK106=0,0,AK106*1000/('Parametros'!$B$4*MIN(U106,AB106))),MAX(0.062*SQRT('Parametros'!$B$2)*H106/'Parametros'!$B$4,0.35*H106/'Parametros'!$B$4))</f>
        <v>2.32370026408877</v>
      </c>
      <c r="BD106" s="10">
        <f>2*AV106</f>
        <v>1.71018226180424</v>
      </c>
      <c r="BE106" s="10">
        <f>AO106*BB106/AP106</f>
        <v>4.3</v>
      </c>
      <c r="BF106" s="10">
        <f>SQRT((AI106*1000/(H106*MIN(U106,AB106)))^2+(Q106*1000000*2*((H106-2*('Parametros'!$B$7+'Parametros'!$B$9/2))+(I106-2*('Parametros'!$B$7+'Parametros'!$B$9/2)))/(1.7*((H106-2*('Parametros'!$B$7+'Parametros'!$B$9/2))*(I106-2*('Parametros'!$B$7+'Parametros'!$B$9/2)))^2))^2)</f>
        <v>3.53680004611245</v>
      </c>
      <c r="BG106" s="10">
        <f>'Parametros'!$B$6*(AJ106*1000/(H106*MIN(U106,AB106))+0.66*SQRT('Parametros'!$B$2))</f>
        <v>3.29396038227542</v>
      </c>
      <c r="BH106" s="10" t="str">
        <f>IF(BF106&lt;=BG106,"CUMPLE","NO CUMPLE")</f>
        <v>NO CUMPLE</v>
      </c>
      <c r="BI106" s="10">
        <f>AX106*'Parametros'!$B$8</f>
        <v>1592</v>
      </c>
      <c r="BJ106" s="10" t="str">
        <f>IF(BI106&gt;=AW106,"CUMPLE","NO CUMPLE")</f>
        <v>CUMPLE</v>
      </c>
    </row>
    <row r="107">
      <c r="A107" s="18" t="inlineStr">
        <is>
          <t>VC4</t>
        </is>
      </c>
      <c r="B107" s="18" t="inlineStr">
        <is>
          <t>88</t>
        </is>
      </c>
      <c r="C107" s="10" t="n">
        <v>1</v>
      </c>
      <c r="D107" s="10" t="n">
        <v>3.25</v>
      </c>
      <c r="E107" s="10" t="n">
        <v>3.25</v>
      </c>
      <c r="F107" s="10" t="n">
        <v>450</v>
      </c>
      <c r="G107" s="10" t="n">
        <v>550</v>
      </c>
      <c r="H107" s="17" t="n">
        <v>450</v>
      </c>
      <c r="I107" s="17" t="n">
        <v>550</v>
      </c>
      <c r="J107" s="30" t="n">
        <v>204.9592</v>
      </c>
      <c r="K107" s="10" t="inlineStr">
        <is>
          <t>88</t>
        </is>
      </c>
      <c r="L107" s="30" t="n">
        <v>173.5868</v>
      </c>
      <c r="M107" s="10" t="inlineStr">
        <is>
          <t>88</t>
        </is>
      </c>
      <c r="N107" s="30" t="n">
        <v>118.968</v>
      </c>
      <c r="O107" s="30" t="n">
        <v>506.77</v>
      </c>
      <c r="P107" s="10" t="inlineStr">
        <is>
          <t>88</t>
        </is>
      </c>
      <c r="Q107" s="30" t="n">
        <v>74.8185</v>
      </c>
      <c r="R107" s="10">
        <f>MAX(MAX(1.4/'Parametros'!$B$3,0.25*SQRT('Parametros'!$B$2)/'Parametros'!$B$3)*H107*U107,(0.85*'Parametros'!$B$2/'Parametros'!$B$3)*(1-SQRT(1-2*(J107*1000000/('Parametros'!$B$5*H107*U107^2))/(0.85*'Parametros'!$B$2)))*H107*U107)</f>
        <v>1162.15949039836</v>
      </c>
      <c r="S107" s="31" t="n">
        <v>6</v>
      </c>
      <c r="T107" s="32" t="n">
        <v>1</v>
      </c>
      <c r="U107" s="10">
        <f>IF(T107=1,I107-('Parametros'!$B$7+'Parametros'!$B$9+'Parametros'!$B$12/2),I107-(ROUNDUP(S107/2,0)*('Parametros'!$B$7+'Parametros'!$B$9+'Parametros'!$B$12/2)+ROUNDDOWN(S107/2,0)*('Parametros'!$B$7+'Parametros'!$B$9+'Parametros'!$B$12/2+'Parametros'!$B$12+'Parametros'!$B$10))/S107)</f>
        <v>489.35</v>
      </c>
      <c r="V107" s="10">
        <f>S107*'Parametros'!$B$8</f>
        <v>1194</v>
      </c>
      <c r="W107" s="10">
        <f>'Parametros'!$B$5*V107*'Parametros'!$B$3*(U107-(V107*'Parametros'!$B$3/(0.85*'Parametros'!$B$2*H107))/2)/1000000</f>
        <v>210.292835611765</v>
      </c>
      <c r="X107" s="10" t="str">
        <f>IF(W107&gt;=J107,"CUMPLE","NO CUMPLE")</f>
        <v>CUMPLE</v>
      </c>
      <c r="Y107" s="10">
        <f>MAX(MAX(1.4/'Parametros'!$B$3,0.25*SQRT('Parametros'!$B$2)/'Parametros'!$B$3)*H107*AB107,(0.85*'Parametros'!$B$2/'Parametros'!$B$3)*(1-SQRT(1-2*(L107*1000000/('Parametros'!$B$5*H107*AB107^2))/(0.85*'Parametros'!$B$2)))*H107*AB107)</f>
        <v>976.657778795089</v>
      </c>
      <c r="Z107" s="31" t="n">
        <v>5</v>
      </c>
      <c r="AA107" s="32" t="n">
        <v>1</v>
      </c>
      <c r="AB107" s="10">
        <f>IF(AA107=1,I107-('Parametros'!$B$7+'Parametros'!$B$9+'Parametros'!$B$12/2),I107-(ROUNDUP(Z107/2,0)*('Parametros'!$B$7+'Parametros'!$B$9+'Parametros'!$B$12/2)+ROUNDDOWN(Z107/2,0)*('Parametros'!$B$7+'Parametros'!$B$9+'Parametros'!$B$12/2+'Parametros'!$B$12+'Parametros'!$B$10))/Z107)</f>
        <v>489.35</v>
      </c>
      <c r="AC107" s="10">
        <f>Z107*'Parametros'!$B$8</f>
        <v>995</v>
      </c>
      <c r="AD107" s="10">
        <f>'Parametros'!$B$5*AC107*'Parametros'!$B$3*(AB107-(AC107*'Parametros'!$B$3/(0.85*'Parametros'!$B$2*H107))/2)/1000000</f>
        <v>176.711596147059</v>
      </c>
      <c r="AE107" s="10" t="str">
        <f>IF(AD107&gt;=L107,"CUMPLE","NO CUMPLE")</f>
        <v>CUMPLE</v>
      </c>
      <c r="AF107" s="10">
        <f>V107*1.25*'Parametros'!$B$3*(U107-(V107*1.25*'Parametros'!$B$3/(0.85*'Parametros'!$B$2*H107))/2)/1000000</f>
        <v>288.404466617647</v>
      </c>
      <c r="AG107" s="10">
        <f>AC107*1.25*'Parametros'!$B$3*(AB107-(AC107*1.25*'Parametros'!$B$3/(0.85*'Parametros'!$B$2*H107))/2)/1000000</f>
        <v>242.884913970588</v>
      </c>
      <c r="AH107" s="10">
        <f>N107+(AF107+AG107)/D107</f>
        <v>282.441655565611</v>
      </c>
      <c r="AI107" s="10">
        <f>MAX(O107,AH107)</f>
        <v>506.77</v>
      </c>
      <c r="AJ107" s="10">
        <f>0.17*SQRT('Parametros'!$B$2)*H107*MIN(U107,AB107)/1000</f>
        <v>198.088855822627</v>
      </c>
      <c r="AK107" s="10">
        <f>MAX(AI107/'Parametros'!$B$6-AJ107,0)</f>
        <v>477.604477510706</v>
      </c>
      <c r="AL107" s="10">
        <f>0.66*SQRT('Parametros'!$B$2)*H107*MIN(U107,AB107)/1000</f>
        <v>769.050852017258</v>
      </c>
      <c r="AM107" s="10" t="str">
        <f>IF(AK107&lt;=AL107,"CUMPLE","NO CUMPLE")</f>
        <v>CUMPLE</v>
      </c>
      <c r="AN107" s="17" t="inlineStr">
        <is>
          <t>Nº4 cerrado</t>
        </is>
      </c>
      <c r="AO107" s="31" t="n">
        <v>4</v>
      </c>
      <c r="AP107" s="10">
        <f>ROUNDDOWN(MIN(IF(BC107+BD107=0,1000000000,AO107*BB107/(BC107+BD107)),MIN(U107,AB107)/4,8*'Parametros'!$B$12,24*BA107,300,IF(AV107=0,1000000000,2*((H107-2*('Parametros'!$B$7+'Parametros'!$B$9/2))+(I107-2*('Parametros'!$B$7+'Parametros'!$B$9/2)))/8))/10,0)*10</f>
        <v>120</v>
      </c>
      <c r="AQ107" s="10">
        <f>ROUNDDOWN(MIN(IF(BC107+BD107=0,1000000000,AO107*BB107/(BC107+BD107)),IF(AK107&gt;0.33*SQRT('Parametros'!$B$2)*H107*MIN(U107,AB107)/1000,MIN(U107,AB107)/4,MIN(U107,AB107)/2),600,IF(AV107=0,1000000000,2*((H107-2*('Parametros'!$B$7+'Parametros'!$B$9/2))+(I107-2*('Parametros'!$B$7+'Parametros'!$B$9/2)))/8))/10,0)*10</f>
        <v>120</v>
      </c>
      <c r="AR107" s="10">
        <f>'Parametros'!$B$6*(AJ107+MAX(BE107-BD107,0)*'Parametros'!$B$4*MIN(U107,AB107)/1000)</f>
        <v>547.772982857339</v>
      </c>
      <c r="AS107" s="10" t="str">
        <f>IF(AND(ISERROR(SEARCH("referencia",AN107)),AM107="CUMPLE",AR107&gt;=AI107),"CUMPLE","NO CUMPLE")</f>
        <v>CUMPLE</v>
      </c>
      <c r="AT107" s="10">
        <f>'Parametros'!$B$6*0.083*SQRT('Parametros'!$B$2)*(H107*I107)^2/(2*(H107+I107))/1000000</f>
        <v>10.0887830333379</v>
      </c>
      <c r="AU107" s="10" t="str">
        <f>IF(Q107&lt;=AT107,"DESPRECIABLE","DISEÑAR")</f>
        <v>DISEÑAR</v>
      </c>
      <c r="AV107" s="10">
        <f>IF(Q107&lt;=AT107,0,Q107*1000000/('Parametros'!$B$6*2*0.85*(H107-2*('Parametros'!$B$7+'Parametros'!$B$9/2))*(I107-2*('Parametros'!$B$7+'Parametros'!$B$9/2))*'Parametros'!$B$4))</f>
        <v>0.855096845376783</v>
      </c>
      <c r="AW107" s="10">
        <f>AV107*2*((H107-2*('Parametros'!$B$7+'Parametros'!$B$9/2))+(I107-2*('Parametros'!$B$7+'Parametros'!$B$9/2)))*'Parametros'!$B$4/'Parametros'!$B$3</f>
        <v>1393.12378048786</v>
      </c>
      <c r="AX107" s="31" t="n">
        <v>8</v>
      </c>
      <c r="AY107" s="10" t="str">
        <f>IF(AV107=0,"DESPRECIABLE",IF(AND(ISERROR(SEARCH("referencia",AN107)),BB107/AP107&gt;=AV107,BI107&gt;=AW107,BH107="CUMPLE"),"CUMPLE","NO CUMPLE"))</f>
        <v>NO CUMPLE</v>
      </c>
      <c r="AZ107" s="10" t="str">
        <f>IF(AND(X107="CUMPLE",AE107="CUMPLE",AS107="CUMPLE",OR(AY107="CUMPLE",AY107="DESPRECIABLE"),BH107="CUMPLE",BJ107="CUMPLE"),"CUMPLE","NO CUMPLE")</f>
        <v>NO CUMPLE</v>
      </c>
      <c r="BA107" s="32" t="n">
        <v>12.7</v>
      </c>
      <c r="BB107" s="32" t="n">
        <v>129</v>
      </c>
      <c r="BC107" s="10">
        <f>MAX(IF(AK107=0,0,AK107*1000/('Parametros'!$B$4*MIN(U107,AB107))),MAX(0.062*SQRT('Parametros'!$B$2)*H107/'Parametros'!$B$4,0.35*H107/'Parametros'!$B$4))</f>
        <v>2.32380406229209</v>
      </c>
      <c r="BD107" s="10">
        <f>2*AV107</f>
        <v>1.71019369075357</v>
      </c>
      <c r="BE107" s="10">
        <f>AO107*BB107/AP107</f>
        <v>4.3</v>
      </c>
      <c r="BF107" s="10">
        <f>SQRT((AI107*1000/(H107*MIN(U107,AB107)))^2+(Q107*1000000*2*((H107-2*('Parametros'!$B$7+'Parametros'!$B$9/2))+(I107-2*('Parametros'!$B$7+'Parametros'!$B$9/2)))/(1.7*((H107-2*('Parametros'!$B$7+'Parametros'!$B$9/2))*(I107-2*('Parametros'!$B$7+'Parametros'!$B$9/2)))^2))^2)</f>
        <v>3.53686095205992</v>
      </c>
      <c r="BG107" s="10">
        <f>'Parametros'!$B$6*(AJ107*1000/(H107*MIN(U107,AB107))+0.66*SQRT('Parametros'!$B$2))</f>
        <v>3.29396038227542</v>
      </c>
      <c r="BH107" s="10" t="str">
        <f>IF(BF107&lt;=BG107,"CUMPLE","NO CUMPLE")</f>
        <v>NO CUMPLE</v>
      </c>
      <c r="BI107" s="10">
        <f>AX107*'Parametros'!$B$8</f>
        <v>1592</v>
      </c>
      <c r="BJ107" s="10" t="str">
        <f>IF(BI107&gt;=AW107,"CUMPLE","NO CUMPLE")</f>
        <v>CUMPLE</v>
      </c>
    </row>
    <row r="108">
      <c r="A108" s="18" t="inlineStr">
        <is>
          <t>VC4</t>
        </is>
      </c>
      <c r="B108" s="18" t="inlineStr">
        <is>
          <t>261</t>
        </is>
      </c>
      <c r="C108" s="10" t="n">
        <v>1</v>
      </c>
      <c r="D108" s="10" t="n">
        <v>3.25</v>
      </c>
      <c r="E108" s="10" t="n">
        <v>3.25</v>
      </c>
      <c r="F108" s="10" t="n">
        <v>450</v>
      </c>
      <c r="G108" s="10" t="n">
        <v>550</v>
      </c>
      <c r="H108" s="17" t="n">
        <v>450</v>
      </c>
      <c r="I108" s="17" t="n">
        <v>550</v>
      </c>
      <c r="J108" s="30" t="n">
        <v>176.708</v>
      </c>
      <c r="K108" s="10" t="inlineStr">
        <is>
          <t>261</t>
        </is>
      </c>
      <c r="L108" s="30" t="n">
        <v>150.444</v>
      </c>
      <c r="M108" s="10" t="inlineStr">
        <is>
          <t>261</t>
        </is>
      </c>
      <c r="N108" s="30" t="n">
        <v>106.966</v>
      </c>
      <c r="O108" s="30" t="n">
        <v>438.375</v>
      </c>
      <c r="P108" s="10" t="inlineStr">
        <is>
          <t>261</t>
        </is>
      </c>
      <c r="Q108" s="30" t="n">
        <v>64.98260000000001</v>
      </c>
      <c r="R108" s="10">
        <f>MAX(MAX(1.4/'Parametros'!$B$3,0.25*SQRT('Parametros'!$B$2)/'Parametros'!$B$3)*H108*U108,(0.85*'Parametros'!$B$2/'Parametros'!$B$3)*(1-SQRT(1-2*(J108*1000000/('Parametros'!$B$5*H108*U108^2))/(0.85*'Parametros'!$B$2)))*H108*U108)</f>
        <v>994.978874160011</v>
      </c>
      <c r="S108" s="31" t="n">
        <v>5</v>
      </c>
      <c r="T108" s="32" t="n">
        <v>1</v>
      </c>
      <c r="U108" s="10">
        <f>IF(T108=1,I108-('Parametros'!$B$7+'Parametros'!$B$9+'Parametros'!$B$12/2),I108-(ROUNDUP(S108/2,0)*('Parametros'!$B$7+'Parametros'!$B$9+'Parametros'!$B$12/2)+ROUNDDOWN(S108/2,0)*('Parametros'!$B$7+'Parametros'!$B$9+'Parametros'!$B$12/2+'Parametros'!$B$12+'Parametros'!$B$10))/S108)</f>
        <v>489.35</v>
      </c>
      <c r="V108" s="10">
        <f>S108*'Parametros'!$B$8</f>
        <v>995</v>
      </c>
      <c r="W108" s="10">
        <f>'Parametros'!$B$5*V108*'Parametros'!$B$3*(U108-(V108*'Parametros'!$B$3/(0.85*'Parametros'!$B$2*H108))/2)/1000000</f>
        <v>176.711596147059</v>
      </c>
      <c r="X108" s="10" t="str">
        <f>IF(W108&gt;=J108,"CUMPLE","NO CUMPLE")</f>
        <v>CUMPLE</v>
      </c>
      <c r="Y108" s="10">
        <f>MAX(MAX(1.4/'Parametros'!$B$3,0.25*SQRT('Parametros'!$B$2)/'Parametros'!$B$3)*H108*AB108,(0.85*'Parametros'!$B$2/'Parametros'!$B$3)*(1-SQRT(1-2*(L108*1000000/('Parametros'!$B$5*H108*AB108^2))/(0.85*'Parametros'!$B$2)))*H108*AB108)</f>
        <v>841.711955474712</v>
      </c>
      <c r="Z108" s="31" t="n">
        <v>5</v>
      </c>
      <c r="AA108" s="32" t="n">
        <v>1</v>
      </c>
      <c r="AB108" s="10">
        <f>IF(AA108=1,I108-('Parametros'!$B$7+'Parametros'!$B$9+'Parametros'!$B$12/2),I108-(ROUNDUP(Z108/2,0)*('Parametros'!$B$7+'Parametros'!$B$9+'Parametros'!$B$12/2)+ROUNDDOWN(Z108/2,0)*('Parametros'!$B$7+'Parametros'!$B$9+'Parametros'!$B$12/2+'Parametros'!$B$12+'Parametros'!$B$10))/Z108)</f>
        <v>489.35</v>
      </c>
      <c r="AC108" s="10">
        <f>Z108*'Parametros'!$B$8</f>
        <v>995</v>
      </c>
      <c r="AD108" s="10">
        <f>'Parametros'!$B$5*AC108*'Parametros'!$B$3*(AB108-(AC108*'Parametros'!$B$3/(0.85*'Parametros'!$B$2*H108))/2)/1000000</f>
        <v>176.711596147059</v>
      </c>
      <c r="AE108" s="10" t="str">
        <f>IF(AD108&gt;=L108,"CUMPLE","NO CUMPLE")</f>
        <v>CUMPLE</v>
      </c>
      <c r="AF108" s="10">
        <f>V108*1.25*'Parametros'!$B$3*(U108-(V108*1.25*'Parametros'!$B$3/(0.85*'Parametros'!$B$2*H108))/2)/1000000</f>
        <v>242.884913970588</v>
      </c>
      <c r="AG108" s="10">
        <f>AC108*1.25*'Parametros'!$B$3*(AB108-(AC108*1.25*'Parametros'!$B$3/(0.85*'Parametros'!$B$2*H108))/2)/1000000</f>
        <v>242.884913970588</v>
      </c>
      <c r="AH108" s="10">
        <f>N108+(AF108+AG108)/D108</f>
        <v>256.433639366516</v>
      </c>
      <c r="AI108" s="10">
        <f>MAX(O108,AH108)</f>
        <v>438.375</v>
      </c>
      <c r="AJ108" s="10">
        <f>0.17*SQRT('Parametros'!$B$2)*H108*MIN(U108,AB108)/1000</f>
        <v>198.088855822627</v>
      </c>
      <c r="AK108" s="10">
        <f>MAX(AI108/'Parametros'!$B$6-AJ108,0)</f>
        <v>386.411144177373</v>
      </c>
      <c r="AL108" s="10">
        <f>0.66*SQRT('Parametros'!$B$2)*H108*MIN(U108,AB108)/1000</f>
        <v>769.050852017258</v>
      </c>
      <c r="AM108" s="10" t="str">
        <f>IF(AK108&lt;=AL108,"CUMPLE","NO CUMPLE")</f>
        <v>CUMPLE</v>
      </c>
      <c r="AN108" s="17" t="inlineStr">
        <is>
          <t>Nº3 cerrado</t>
        </is>
      </c>
      <c r="AO108" s="31" t="n">
        <v>4</v>
      </c>
      <c r="AP108" s="10">
        <f>ROUNDDOWN(MIN(IF(BC108+BD108=0,1000000000,AO108*BB108/(BC108+BD108)),MIN(U108,AB108)/4,8*'Parametros'!$B$12,24*BA108,300,IF(AV108=0,1000000000,2*((H108-2*('Parametros'!$B$7+'Parametros'!$B$9/2))+(I108-2*('Parametros'!$B$7+'Parametros'!$B$9/2)))/8))/10,0)*10</f>
        <v>80</v>
      </c>
      <c r="AQ108" s="10">
        <f>ROUNDDOWN(MIN(IF(BC108+BD108=0,1000000000,AO108*BB108/(BC108+BD108)),IF(AK108&gt;0.33*SQRT('Parametros'!$B$2)*H108*MIN(U108,AB108)/1000,MIN(U108,AB108)/4,MIN(U108,AB108)/2),600,IF(AV108=0,1000000000,2*((H108-2*('Parametros'!$B$7+'Parametros'!$B$9/2))+(I108-2*('Parametros'!$B$7+'Parametros'!$B$9/2)))/8))/10,0)*10</f>
        <v>80</v>
      </c>
      <c r="AR108" s="10">
        <f>'Parametros'!$B$6*(AJ108+MAX(BE108-BD108,0)*'Parametros'!$B$4*MIN(U108,AB108)/1000)</f>
        <v>466.820214458502</v>
      </c>
      <c r="AS108" s="10" t="str">
        <f>IF(AND(ISERROR(SEARCH("referencia",AN108)),AM108="CUMPLE",AR108&gt;=AI108),"CUMPLE","NO CUMPLE")</f>
        <v>CUMPLE</v>
      </c>
      <c r="AT108" s="10">
        <f>'Parametros'!$B$6*0.083*SQRT('Parametros'!$B$2)*(H108*I108)^2/(2*(H108+I108))/1000000</f>
        <v>10.0887830333379</v>
      </c>
      <c r="AU108" s="10" t="str">
        <f>IF(Q108&lt;=AT108,"DESPRECIABLE","DISEÑAR")</f>
        <v>DISEÑAR</v>
      </c>
      <c r="AV108" s="10">
        <f>IF(Q108&lt;=AT108,0,Q108*1000000/('Parametros'!$B$6*2*0.85*(H108-2*('Parametros'!$B$7+'Parametros'!$B$9/2))*(I108-2*('Parametros'!$B$7+'Parametros'!$B$9/2))*'Parametros'!$B$4))</f>
        <v>0.742682842671015</v>
      </c>
      <c r="AW108" s="10">
        <f>AV108*2*((H108-2*('Parametros'!$B$7+'Parametros'!$B$9/2))+(I108-2*('Parametros'!$B$7+'Parametros'!$B$9/2)))*'Parametros'!$B$4/'Parametros'!$B$3</f>
        <v>1209.97888727962</v>
      </c>
      <c r="AX108" s="31" t="n">
        <v>8</v>
      </c>
      <c r="AY108" s="10" t="str">
        <f>IF(AV108=0,"DESPRECIABLE",IF(AND(ISERROR(SEARCH("referencia",AN108)),BB108/AP108&gt;=AV108,BI108&gt;=AW108,BH108="CUMPLE"),"CUMPLE","NO CUMPLE"))</f>
        <v>CUMPLE</v>
      </c>
      <c r="AZ108" s="10" t="str">
        <f>IF(AND(X108="CUMPLE",AE108="CUMPLE",AS108="CUMPLE",OR(AY108="CUMPLE",AY108="DESPRECIABLE"),BH108="CUMPLE",BJ108="CUMPLE"),"CUMPLE","NO CUMPLE")</f>
        <v>CUMPLE</v>
      </c>
      <c r="BA108" s="32" t="n">
        <v>9.5</v>
      </c>
      <c r="BB108" s="32" t="n">
        <v>71</v>
      </c>
      <c r="BC108" s="10">
        <f>MAX(IF(AK108=0,0,AK108*1000/('Parametros'!$B$4*MIN(U108,AB108))),MAX(0.062*SQRT('Parametros'!$B$2)*H108/'Parametros'!$B$4,0.35*H108/'Parametros'!$B$4))</f>
        <v>1.88009918004629</v>
      </c>
      <c r="BD108" s="10">
        <f>2*AV108</f>
        <v>1.48536568534203</v>
      </c>
      <c r="BE108" s="10">
        <f>AO108*BB108/AP108</f>
        <v>3.55</v>
      </c>
      <c r="BF108" s="10">
        <f>SQRT((AI108*1000/(H108*MIN(U108,AB108)))^2+(Q108*1000000*2*((H108-2*('Parametros'!$B$7+'Parametros'!$B$9/2))+(I108-2*('Parametros'!$B$7+'Parametros'!$B$9/2)))/(1.7*((H108-2*('Parametros'!$B$7+'Parametros'!$B$9/2))*(I108-2*('Parametros'!$B$7+'Parametros'!$B$9/2)))^2))^2)</f>
        <v>3.06665939676537</v>
      </c>
      <c r="BG108" s="10">
        <f>'Parametros'!$B$6*(AJ108*1000/(H108*MIN(U108,AB108))+0.66*SQRT('Parametros'!$B$2))</f>
        <v>3.29396038227542</v>
      </c>
      <c r="BH108" s="10" t="str">
        <f>IF(BF108&lt;=BG108,"CUMPLE","NO CUMPLE")</f>
        <v>CUMPLE</v>
      </c>
      <c r="BI108" s="10">
        <f>AX108*'Parametros'!$B$8</f>
        <v>1592</v>
      </c>
      <c r="BJ108" s="10" t="str">
        <f>IF(BI108&gt;=AW108,"CUMPLE","NO CUMPLE")</f>
        <v>CUMPLE</v>
      </c>
    </row>
    <row r="109">
      <c r="A109" s="18" t="inlineStr">
        <is>
          <t>VC4</t>
        </is>
      </c>
      <c r="B109" s="18" t="inlineStr">
        <is>
          <t>262</t>
        </is>
      </c>
      <c r="C109" s="10" t="n">
        <v>1</v>
      </c>
      <c r="D109" s="10" t="n">
        <v>3.25</v>
      </c>
      <c r="E109" s="10" t="n">
        <v>3.25</v>
      </c>
      <c r="F109" s="10" t="n">
        <v>450</v>
      </c>
      <c r="G109" s="10" t="n">
        <v>550</v>
      </c>
      <c r="H109" s="17" t="n">
        <v>450</v>
      </c>
      <c r="I109" s="17" t="n">
        <v>550</v>
      </c>
      <c r="J109" s="30" t="n">
        <v>176.7536</v>
      </c>
      <c r="K109" s="10" t="inlineStr">
        <is>
          <t>262</t>
        </is>
      </c>
      <c r="L109" s="30" t="n">
        <v>150.4167</v>
      </c>
      <c r="M109" s="10" t="inlineStr">
        <is>
          <t>262</t>
        </is>
      </c>
      <c r="N109" s="30" t="n">
        <v>106.95</v>
      </c>
      <c r="O109" s="30" t="n">
        <v>438.395</v>
      </c>
      <c r="P109" s="10" t="inlineStr">
        <is>
          <t>262</t>
        </is>
      </c>
      <c r="Q109" s="30" t="n">
        <v>64.9864</v>
      </c>
      <c r="R109" s="10">
        <f>MAX(MAX(1.4/'Parametros'!$B$3,0.25*SQRT('Parametros'!$B$2)/'Parametros'!$B$3)*H109*U109,(0.85*'Parametros'!$B$2/'Parametros'!$B$3)*(1-SQRT(1-2*(J109*1000000/('Parametros'!$B$5*H109*U109^2))/(0.85*'Parametros'!$B$2)))*H109*U109)</f>
        <v>995.246757713718</v>
      </c>
      <c r="S109" s="31" t="n">
        <v>6</v>
      </c>
      <c r="T109" s="32" t="n">
        <v>1</v>
      </c>
      <c r="U109" s="10">
        <f>IF(T109=1,I109-('Parametros'!$B$7+'Parametros'!$B$9+'Parametros'!$B$12/2),I109-(ROUNDUP(S109/2,0)*('Parametros'!$B$7+'Parametros'!$B$9+'Parametros'!$B$12/2)+ROUNDDOWN(S109/2,0)*('Parametros'!$B$7+'Parametros'!$B$9+'Parametros'!$B$12/2+'Parametros'!$B$12+'Parametros'!$B$10))/S109)</f>
        <v>489.35</v>
      </c>
      <c r="V109" s="10">
        <f>S109*'Parametros'!$B$8</f>
        <v>1194</v>
      </c>
      <c r="W109" s="10">
        <f>'Parametros'!$B$5*V109*'Parametros'!$B$3*(U109-(V109*'Parametros'!$B$3/(0.85*'Parametros'!$B$2*H109))/2)/1000000</f>
        <v>210.292835611765</v>
      </c>
      <c r="X109" s="10" t="str">
        <f>IF(W109&gt;=J109,"CUMPLE","NO CUMPLE")</f>
        <v>CUMPLE</v>
      </c>
      <c r="Y109" s="10">
        <f>MAX(MAX(1.4/'Parametros'!$B$3,0.25*SQRT('Parametros'!$B$2)/'Parametros'!$B$3)*H109*AB109,(0.85*'Parametros'!$B$2/'Parametros'!$B$3)*(1-SQRT(1-2*(L109*1000000/('Parametros'!$B$5*H109*AB109^2))/(0.85*'Parametros'!$B$2)))*H109*AB109)</f>
        <v>841.55369307397</v>
      </c>
      <c r="Z109" s="31" t="n">
        <v>5</v>
      </c>
      <c r="AA109" s="32" t="n">
        <v>1</v>
      </c>
      <c r="AB109" s="10">
        <f>IF(AA109=1,I109-('Parametros'!$B$7+'Parametros'!$B$9+'Parametros'!$B$12/2),I109-(ROUNDUP(Z109/2,0)*('Parametros'!$B$7+'Parametros'!$B$9+'Parametros'!$B$12/2)+ROUNDDOWN(Z109/2,0)*('Parametros'!$B$7+'Parametros'!$B$9+'Parametros'!$B$12/2+'Parametros'!$B$12+'Parametros'!$B$10))/Z109)</f>
        <v>489.35</v>
      </c>
      <c r="AC109" s="10">
        <f>Z109*'Parametros'!$B$8</f>
        <v>995</v>
      </c>
      <c r="AD109" s="10">
        <f>'Parametros'!$B$5*AC109*'Parametros'!$B$3*(AB109-(AC109*'Parametros'!$B$3/(0.85*'Parametros'!$B$2*H109))/2)/1000000</f>
        <v>176.711596147059</v>
      </c>
      <c r="AE109" s="10" t="str">
        <f>IF(AD109&gt;=L109,"CUMPLE","NO CUMPLE")</f>
        <v>CUMPLE</v>
      </c>
      <c r="AF109" s="10">
        <f>V109*1.25*'Parametros'!$B$3*(U109-(V109*1.25*'Parametros'!$B$3/(0.85*'Parametros'!$B$2*H109))/2)/1000000</f>
        <v>288.404466617647</v>
      </c>
      <c r="AG109" s="10">
        <f>AC109*1.25*'Parametros'!$B$3*(AB109-(AC109*1.25*'Parametros'!$B$3/(0.85*'Parametros'!$B$2*H109))/2)/1000000</f>
        <v>242.884913970588</v>
      </c>
      <c r="AH109" s="10">
        <f>N109+(AF109+AG109)/D109</f>
        <v>270.423655565611</v>
      </c>
      <c r="AI109" s="10">
        <f>MAX(O109,AH109)</f>
        <v>438.395</v>
      </c>
      <c r="AJ109" s="10">
        <f>0.17*SQRT('Parametros'!$B$2)*H109*MIN(U109,AB109)/1000</f>
        <v>198.088855822627</v>
      </c>
      <c r="AK109" s="10">
        <f>MAX(AI109/'Parametros'!$B$6-AJ109,0)</f>
        <v>386.43781084404</v>
      </c>
      <c r="AL109" s="10">
        <f>0.66*SQRT('Parametros'!$B$2)*H109*MIN(U109,AB109)/1000</f>
        <v>769.050852017258</v>
      </c>
      <c r="AM109" s="10" t="str">
        <f>IF(AK109&lt;=AL109,"CUMPLE","NO CUMPLE")</f>
        <v>CUMPLE</v>
      </c>
      <c r="AN109" s="17" t="inlineStr">
        <is>
          <t>Nº3 cerrado</t>
        </is>
      </c>
      <c r="AO109" s="31" t="n">
        <v>4</v>
      </c>
      <c r="AP109" s="10">
        <f>ROUNDDOWN(MIN(IF(BC109+BD109=0,1000000000,AO109*BB109/(BC109+BD109)),MIN(U109,AB109)/4,8*'Parametros'!$B$12,24*BA109,300,IF(AV109=0,1000000000,2*((H109-2*('Parametros'!$B$7+'Parametros'!$B$9/2))+(I109-2*('Parametros'!$B$7+'Parametros'!$B$9/2)))/8))/10,0)*10</f>
        <v>80</v>
      </c>
      <c r="AQ109" s="10">
        <f>ROUNDDOWN(MIN(IF(BC109+BD109=0,1000000000,AO109*BB109/(BC109+BD109)),IF(AK109&gt;0.33*SQRT('Parametros'!$B$2)*H109*MIN(U109,AB109)/1000,MIN(U109,AB109)/4,MIN(U109,AB109)/2),600,IF(AV109=0,1000000000,2*((H109-2*('Parametros'!$B$7+'Parametros'!$B$9/2))+(I109-2*('Parametros'!$B$7+'Parametros'!$B$9/2)))/8))/10,0)*10</f>
        <v>80</v>
      </c>
      <c r="AR109" s="10">
        <f>'Parametros'!$B$6*(AJ109+MAX(BE109-BD109,0)*'Parametros'!$B$4*MIN(U109,AB109)/1000)</f>
        <v>466.80682539979</v>
      </c>
      <c r="AS109" s="10" t="str">
        <f>IF(AND(ISERROR(SEARCH("referencia",AN109)),AM109="CUMPLE",AR109&gt;=AI109),"CUMPLE","NO CUMPLE")</f>
        <v>CUMPLE</v>
      </c>
      <c r="AT109" s="10">
        <f>'Parametros'!$B$6*0.083*SQRT('Parametros'!$B$2)*(H109*I109)^2/(2*(H109+I109))/1000000</f>
        <v>10.0887830333379</v>
      </c>
      <c r="AU109" s="10" t="str">
        <f>IF(Q109&lt;=AT109,"DESPRECIABLE","DISEÑAR")</f>
        <v>DISEÑAR</v>
      </c>
      <c r="AV109" s="10">
        <f>IF(Q109&lt;=AT109,0,Q109*1000000/('Parametros'!$B$6*2*0.85*(H109-2*('Parametros'!$B$7+'Parametros'!$B$9/2))*(I109-2*('Parametros'!$B$7+'Parametros'!$B$9/2))*'Parametros'!$B$4))</f>
        <v>0.742726272678466</v>
      </c>
      <c r="AW109" s="10">
        <f>AV109*2*((H109-2*('Parametros'!$B$7+'Parametros'!$B$9/2))+(I109-2*('Parametros'!$B$7+'Parametros'!$B$9/2)))*'Parametros'!$B$4/'Parametros'!$B$3</f>
        <v>1210.04964344776</v>
      </c>
      <c r="AX109" s="31" t="n">
        <v>8</v>
      </c>
      <c r="AY109" s="10" t="str">
        <f>IF(AV109=0,"DESPRECIABLE",IF(AND(ISERROR(SEARCH("referencia",AN109)),BB109/AP109&gt;=AV109,BI109&gt;=AW109,BH109="CUMPLE"),"CUMPLE","NO CUMPLE"))</f>
        <v>CUMPLE</v>
      </c>
      <c r="AZ109" s="10" t="str">
        <f>IF(AND(X109="CUMPLE",AE109="CUMPLE",AS109="CUMPLE",OR(AY109="CUMPLE",AY109="DESPRECIABLE"),BH109="CUMPLE",BJ109="CUMPLE"),"CUMPLE","NO CUMPLE")</f>
        <v>CUMPLE</v>
      </c>
      <c r="BA109" s="32" t="n">
        <v>9.5</v>
      </c>
      <c r="BB109" s="32" t="n">
        <v>71</v>
      </c>
      <c r="BC109" s="10">
        <f>MAX(IF(AK109=0,0,AK109*1000/('Parametros'!$B$4*MIN(U109,AB109))),MAX(0.062*SQRT('Parametros'!$B$2)*H109/'Parametros'!$B$4,0.35*H109/'Parametros'!$B$4))</f>
        <v>1.88022892780043</v>
      </c>
      <c r="BD109" s="10">
        <f>2*AV109</f>
        <v>1.48545254535693</v>
      </c>
      <c r="BE109" s="10">
        <f>AO109*BB109/AP109</f>
        <v>3.55</v>
      </c>
      <c r="BF109" s="10">
        <f>SQRT((AI109*1000/(H109*MIN(U109,AB109)))^2+(Q109*1000000*2*((H109-2*('Parametros'!$B$7+'Parametros'!$B$9/2))+(I109-2*('Parametros'!$B$7+'Parametros'!$B$9/2)))/(1.7*((H109-2*('Parametros'!$B$7+'Parametros'!$B$9/2))*(I109-2*('Parametros'!$B$7+'Parametros'!$B$9/2)))^2))^2)</f>
        <v>3.06682211509601</v>
      </c>
      <c r="BG109" s="10">
        <f>'Parametros'!$B$6*(AJ109*1000/(H109*MIN(U109,AB109))+0.66*SQRT('Parametros'!$B$2))</f>
        <v>3.29396038227542</v>
      </c>
      <c r="BH109" s="10" t="str">
        <f>IF(BF109&lt;=BG109,"CUMPLE","NO CUMPLE")</f>
        <v>CUMPLE</v>
      </c>
      <c r="BI109" s="10">
        <f>AX109*'Parametros'!$B$8</f>
        <v>1592</v>
      </c>
      <c r="BJ109" s="10" t="str">
        <f>IF(BI109&gt;=AW109,"CUMPLE","NO CUMPLE")</f>
        <v>CUMPLE</v>
      </c>
    </row>
    <row r="110">
      <c r="A110" s="18" t="inlineStr">
        <is>
          <t>VC4</t>
        </is>
      </c>
      <c r="B110" s="18" t="inlineStr">
        <is>
          <t>287</t>
        </is>
      </c>
      <c r="C110" s="10" t="n">
        <v>1</v>
      </c>
      <c r="D110" s="10" t="n">
        <v>3.25</v>
      </c>
      <c r="E110" s="10" t="n">
        <v>3.25</v>
      </c>
      <c r="F110" s="10" t="n">
        <v>450</v>
      </c>
      <c r="G110" s="10" t="n">
        <v>550</v>
      </c>
      <c r="H110" s="17" t="n">
        <v>450</v>
      </c>
      <c r="I110" s="17" t="n">
        <v>550</v>
      </c>
      <c r="J110" s="30" t="n">
        <v>176.6898</v>
      </c>
      <c r="K110" s="10" t="inlineStr">
        <is>
          <t>287</t>
        </is>
      </c>
      <c r="L110" s="30" t="n">
        <v>150.4721</v>
      </c>
      <c r="M110" s="10" t="inlineStr">
        <is>
          <t>287</t>
        </is>
      </c>
      <c r="N110" s="30" t="n">
        <v>106.992</v>
      </c>
      <c r="O110" s="30" t="n">
        <v>438.401</v>
      </c>
      <c r="P110" s="10" t="inlineStr">
        <is>
          <t>287</t>
        </is>
      </c>
      <c r="Q110" s="30" t="n">
        <v>64.9966</v>
      </c>
      <c r="R110" s="10">
        <f>MAX(MAX(1.4/'Parametros'!$B$3,0.25*SQRT('Parametros'!$B$2)/'Parametros'!$B$3)*H110*U110,(0.85*'Parametros'!$B$2/'Parametros'!$B$3)*(1-SQRT(1-2*(J110*1000000/('Parametros'!$B$5*H110*U110^2))/(0.85*'Parametros'!$B$2)))*H110*U110)</f>
        <v>994.871957468912</v>
      </c>
      <c r="S110" s="31" t="n">
        <v>5</v>
      </c>
      <c r="T110" s="32" t="n">
        <v>1</v>
      </c>
      <c r="U110" s="10">
        <f>IF(T110=1,I110-('Parametros'!$B$7+'Parametros'!$B$9+'Parametros'!$B$12/2),I110-(ROUNDUP(S110/2,0)*('Parametros'!$B$7+'Parametros'!$B$9+'Parametros'!$B$12/2)+ROUNDDOWN(S110/2,0)*('Parametros'!$B$7+'Parametros'!$B$9+'Parametros'!$B$12/2+'Parametros'!$B$12+'Parametros'!$B$10))/S110)</f>
        <v>489.35</v>
      </c>
      <c r="V110" s="10">
        <f>S110*'Parametros'!$B$8</f>
        <v>995</v>
      </c>
      <c r="W110" s="10">
        <f>'Parametros'!$B$5*V110*'Parametros'!$B$3*(U110-(V110*'Parametros'!$B$3/(0.85*'Parametros'!$B$2*H110))/2)/1000000</f>
        <v>176.711596147059</v>
      </c>
      <c r="X110" s="10" t="str">
        <f>IF(W110&gt;=J110,"CUMPLE","NO CUMPLE")</f>
        <v>CUMPLE</v>
      </c>
      <c r="Y110" s="10">
        <f>MAX(MAX(1.4/'Parametros'!$B$3,0.25*SQRT('Parametros'!$B$2)/'Parametros'!$B$3)*H110*AB110,(0.85*'Parametros'!$B$2/'Parametros'!$B$3)*(1-SQRT(1-2*(L110*1000000/('Parametros'!$B$5*H110*AB110^2))/(0.85*'Parametros'!$B$2)))*H110*AB110)</f>
        <v>841.874857849461</v>
      </c>
      <c r="Z110" s="31" t="n">
        <v>5</v>
      </c>
      <c r="AA110" s="32" t="n">
        <v>1</v>
      </c>
      <c r="AB110" s="10">
        <f>IF(AA110=1,I110-('Parametros'!$B$7+'Parametros'!$B$9+'Parametros'!$B$12/2),I110-(ROUNDUP(Z110/2,0)*('Parametros'!$B$7+'Parametros'!$B$9+'Parametros'!$B$12/2)+ROUNDDOWN(Z110/2,0)*('Parametros'!$B$7+'Parametros'!$B$9+'Parametros'!$B$12/2+'Parametros'!$B$12+'Parametros'!$B$10))/Z110)</f>
        <v>489.35</v>
      </c>
      <c r="AC110" s="10">
        <f>Z110*'Parametros'!$B$8</f>
        <v>995</v>
      </c>
      <c r="AD110" s="10">
        <f>'Parametros'!$B$5*AC110*'Parametros'!$B$3*(AB110-(AC110*'Parametros'!$B$3/(0.85*'Parametros'!$B$2*H110))/2)/1000000</f>
        <v>176.711596147059</v>
      </c>
      <c r="AE110" s="10" t="str">
        <f>IF(AD110&gt;=L110,"CUMPLE","NO CUMPLE")</f>
        <v>CUMPLE</v>
      </c>
      <c r="AF110" s="10">
        <f>V110*1.25*'Parametros'!$B$3*(U110-(V110*1.25*'Parametros'!$B$3/(0.85*'Parametros'!$B$2*H110))/2)/1000000</f>
        <v>242.884913970588</v>
      </c>
      <c r="AG110" s="10">
        <f>AC110*1.25*'Parametros'!$B$3*(AB110-(AC110*1.25*'Parametros'!$B$3/(0.85*'Parametros'!$B$2*H110))/2)/1000000</f>
        <v>242.884913970588</v>
      </c>
      <c r="AH110" s="10">
        <f>N110+(AF110+AG110)/D110</f>
        <v>256.459639366516</v>
      </c>
      <c r="AI110" s="10">
        <f>MAX(O110,AH110)</f>
        <v>438.401</v>
      </c>
      <c r="AJ110" s="10">
        <f>0.17*SQRT('Parametros'!$B$2)*H110*MIN(U110,AB110)/1000</f>
        <v>198.088855822627</v>
      </c>
      <c r="AK110" s="10">
        <f>MAX(AI110/'Parametros'!$B$6-AJ110,0)</f>
        <v>386.44581084404</v>
      </c>
      <c r="AL110" s="10">
        <f>0.66*SQRT('Parametros'!$B$2)*H110*MIN(U110,AB110)/1000</f>
        <v>769.050852017258</v>
      </c>
      <c r="AM110" s="10" t="str">
        <f>IF(AK110&lt;=AL110,"CUMPLE","NO CUMPLE")</f>
        <v>CUMPLE</v>
      </c>
      <c r="AN110" s="17" t="inlineStr">
        <is>
          <t>Nº3 cerrado</t>
        </is>
      </c>
      <c r="AO110" s="31" t="n">
        <v>4</v>
      </c>
      <c r="AP110" s="10">
        <f>ROUNDDOWN(MIN(IF(BC110+BD110=0,1000000000,AO110*BB110/(BC110+BD110)),MIN(U110,AB110)/4,8*'Parametros'!$B$12,24*BA110,300,IF(AV110=0,1000000000,2*((H110-2*('Parametros'!$B$7+'Parametros'!$B$9/2))+(I110-2*('Parametros'!$B$7+'Parametros'!$B$9/2)))/8))/10,0)*10</f>
        <v>80</v>
      </c>
      <c r="AQ110" s="10">
        <f>ROUNDDOWN(MIN(IF(BC110+BD110=0,1000000000,AO110*BB110/(BC110+BD110)),IF(AK110&gt;0.33*SQRT('Parametros'!$B$2)*H110*MIN(U110,AB110)/1000,MIN(U110,AB110)/4,MIN(U110,AB110)/2),600,IF(AV110=0,1000000000,2*((H110-2*('Parametros'!$B$7+'Parametros'!$B$9/2))+(I110-2*('Parametros'!$B$7+'Parametros'!$B$9/2)))/8))/10,0)*10</f>
        <v>80</v>
      </c>
      <c r="AR110" s="10">
        <f>'Parametros'!$B$6*(AJ110+MAX(BE110-BD110,0)*'Parametros'!$B$4*MIN(U110,AB110)/1000)</f>
        <v>466.770886347458</v>
      </c>
      <c r="AS110" s="10" t="str">
        <f>IF(AND(ISERROR(SEARCH("referencia",AN110)),AM110="CUMPLE",AR110&gt;=AI110),"CUMPLE","NO CUMPLE")</f>
        <v>CUMPLE</v>
      </c>
      <c r="AT110" s="10">
        <f>'Parametros'!$B$6*0.083*SQRT('Parametros'!$B$2)*(H110*I110)^2/(2*(H110+I110))/1000000</f>
        <v>10.0887830333379</v>
      </c>
      <c r="AU110" s="10" t="str">
        <f>IF(Q110&lt;=AT110,"DESPRECIABLE","DISEÑAR")</f>
        <v>DISEÑAR</v>
      </c>
      <c r="AV110" s="10">
        <f>IF(Q110&lt;=AT110,0,Q110*1000000/('Parametros'!$B$6*2*0.85*(H110-2*('Parametros'!$B$7+'Parametros'!$B$9/2))*(I110-2*('Parametros'!$B$7+'Parametros'!$B$9/2))*'Parametros'!$B$4))</f>
        <v>0.742842847961622</v>
      </c>
      <c r="AW110" s="10">
        <f>AV110*2*((H110-2*('Parametros'!$B$7+'Parametros'!$B$9/2))+(I110-2*('Parametros'!$B$7+'Parametros'!$B$9/2)))*'Parametros'!$B$4/'Parametros'!$B$3</f>
        <v>1210.23956789907</v>
      </c>
      <c r="AX110" s="31" t="n">
        <v>8</v>
      </c>
      <c r="AY110" s="10" t="str">
        <f>IF(AV110=0,"DESPRECIABLE",IF(AND(ISERROR(SEARCH("referencia",AN110)),BB110/AP110&gt;=AV110,BI110&gt;=AW110,BH110="CUMPLE"),"CUMPLE","NO CUMPLE"))</f>
        <v>CUMPLE</v>
      </c>
      <c r="AZ110" s="10" t="str">
        <f>IF(AND(X110="CUMPLE",AE110="CUMPLE",AS110="CUMPLE",OR(AY110="CUMPLE",AY110="DESPRECIABLE"),BH110="CUMPLE",BJ110="CUMPLE"),"CUMPLE","NO CUMPLE")</f>
        <v>CUMPLE</v>
      </c>
      <c r="BA110" s="32" t="n">
        <v>9.5</v>
      </c>
      <c r="BB110" s="32" t="n">
        <v>71</v>
      </c>
      <c r="BC110" s="10">
        <f>MAX(IF(AK110=0,0,AK110*1000/('Parametros'!$B$4*MIN(U110,AB110))),MAX(0.062*SQRT('Parametros'!$B$2)*H110/'Parametros'!$B$4,0.35*H110/'Parametros'!$B$4))</f>
        <v>1.88026785212668</v>
      </c>
      <c r="BD110" s="10">
        <f>2*AV110</f>
        <v>1.48568569592324</v>
      </c>
      <c r="BE110" s="10">
        <f>AO110*BB110/AP110</f>
        <v>3.55</v>
      </c>
      <c r="BF110" s="10">
        <f>SQRT((AI110*1000/(H110*MIN(U110,AB110)))^2+(Q110*1000000*2*((H110-2*('Parametros'!$B$7+'Parametros'!$B$9/2))+(I110-2*('Parametros'!$B$7+'Parametros'!$B$9/2)))/(1.7*((H110-2*('Parametros'!$B$7+'Parametros'!$B$9/2))*(I110-2*('Parametros'!$B$7+'Parametros'!$B$9/2)))^2))^2)</f>
        <v>3.0671183248922</v>
      </c>
      <c r="BG110" s="10">
        <f>'Parametros'!$B$6*(AJ110*1000/(H110*MIN(U110,AB110))+0.66*SQRT('Parametros'!$B$2))</f>
        <v>3.29396038227542</v>
      </c>
      <c r="BH110" s="10" t="str">
        <f>IF(BF110&lt;=BG110,"CUMPLE","NO CUMPLE")</f>
        <v>CUMPLE</v>
      </c>
      <c r="BI110" s="10">
        <f>AX110*'Parametros'!$B$8</f>
        <v>1592</v>
      </c>
      <c r="BJ110" s="10" t="str">
        <f>IF(BI110&gt;=AW110,"CUMPLE","NO CUMPLE")</f>
        <v>CUMPLE</v>
      </c>
    </row>
    <row r="111">
      <c r="A111" s="18" t="inlineStr">
        <is>
          <t>VC4</t>
        </is>
      </c>
      <c r="B111" s="18" t="inlineStr">
        <is>
          <t>288</t>
        </is>
      </c>
      <c r="C111" s="10" t="n">
        <v>1</v>
      </c>
      <c r="D111" s="10" t="n">
        <v>3.25</v>
      </c>
      <c r="E111" s="10" t="n">
        <v>3.25</v>
      </c>
      <c r="F111" s="10" t="n">
        <v>450</v>
      </c>
      <c r="G111" s="10" t="n">
        <v>550</v>
      </c>
      <c r="H111" s="17" t="n">
        <v>450</v>
      </c>
      <c r="I111" s="17" t="n">
        <v>550</v>
      </c>
      <c r="J111" s="30" t="n">
        <v>176.7265</v>
      </c>
      <c r="K111" s="10" t="inlineStr">
        <is>
          <t>288</t>
        </is>
      </c>
      <c r="L111" s="30" t="n">
        <v>150.4504</v>
      </c>
      <c r="M111" s="10" t="inlineStr">
        <is>
          <t>288</t>
        </is>
      </c>
      <c r="N111" s="30" t="n">
        <v>106.981</v>
      </c>
      <c r="O111" s="30" t="n">
        <v>438.412</v>
      </c>
      <c r="P111" s="10" t="inlineStr">
        <is>
          <t>288</t>
        </is>
      </c>
      <c r="Q111" s="30" t="n">
        <v>64.9957</v>
      </c>
      <c r="R111" s="10">
        <f>MAX(MAX(1.4/'Parametros'!$B$3,0.25*SQRT('Parametros'!$B$2)/'Parametros'!$B$3)*H111*U111,(0.85*'Parametros'!$B$2/'Parametros'!$B$3)*(1-SQRT(1-2*(J111*1000000/('Parametros'!$B$5*H111*U111^2))/(0.85*'Parametros'!$B$2)))*H111*U111)</f>
        <v>995.087554234356</v>
      </c>
      <c r="S111" s="31" t="n">
        <v>6</v>
      </c>
      <c r="T111" s="32" t="n">
        <v>1</v>
      </c>
      <c r="U111" s="10">
        <f>IF(T111=1,I111-('Parametros'!$B$7+'Parametros'!$B$9+'Parametros'!$B$12/2),I111-(ROUNDUP(S111/2,0)*('Parametros'!$B$7+'Parametros'!$B$9+'Parametros'!$B$12/2)+ROUNDDOWN(S111/2,0)*('Parametros'!$B$7+'Parametros'!$B$9+'Parametros'!$B$12/2+'Parametros'!$B$12+'Parametros'!$B$10))/S111)</f>
        <v>489.35</v>
      </c>
      <c r="V111" s="10">
        <f>S111*'Parametros'!$B$8</f>
        <v>1194</v>
      </c>
      <c r="W111" s="10">
        <f>'Parametros'!$B$5*V111*'Parametros'!$B$3*(U111-(V111*'Parametros'!$B$3/(0.85*'Parametros'!$B$2*H111))/2)/1000000</f>
        <v>210.292835611765</v>
      </c>
      <c r="X111" s="10" t="str">
        <f>IF(W111&gt;=J111,"CUMPLE","NO CUMPLE")</f>
        <v>CUMPLE</v>
      </c>
      <c r="Y111" s="10">
        <f>MAX(MAX(1.4/'Parametros'!$B$3,0.25*SQRT('Parametros'!$B$2)/'Parametros'!$B$3)*H111*AB111,(0.85*'Parametros'!$B$2/'Parametros'!$B$3)*(1-SQRT(1-2*(L111*1000000/('Parametros'!$B$5*H111*AB111^2))/(0.85*'Parametros'!$B$2)))*H111*AB111)</f>
        <v>841.749057594389</v>
      </c>
      <c r="Z111" s="31" t="n">
        <v>5</v>
      </c>
      <c r="AA111" s="32" t="n">
        <v>1</v>
      </c>
      <c r="AB111" s="10">
        <f>IF(AA111=1,I111-('Parametros'!$B$7+'Parametros'!$B$9+'Parametros'!$B$12/2),I111-(ROUNDUP(Z111/2,0)*('Parametros'!$B$7+'Parametros'!$B$9+'Parametros'!$B$12/2)+ROUNDDOWN(Z111/2,0)*('Parametros'!$B$7+'Parametros'!$B$9+'Parametros'!$B$12/2+'Parametros'!$B$12+'Parametros'!$B$10))/Z111)</f>
        <v>489.35</v>
      </c>
      <c r="AC111" s="10">
        <f>Z111*'Parametros'!$B$8</f>
        <v>995</v>
      </c>
      <c r="AD111" s="10">
        <f>'Parametros'!$B$5*AC111*'Parametros'!$B$3*(AB111-(AC111*'Parametros'!$B$3/(0.85*'Parametros'!$B$2*H111))/2)/1000000</f>
        <v>176.711596147059</v>
      </c>
      <c r="AE111" s="10" t="str">
        <f>IF(AD111&gt;=L111,"CUMPLE","NO CUMPLE")</f>
        <v>CUMPLE</v>
      </c>
      <c r="AF111" s="10">
        <f>V111*1.25*'Parametros'!$B$3*(U111-(V111*1.25*'Parametros'!$B$3/(0.85*'Parametros'!$B$2*H111))/2)/1000000</f>
        <v>288.404466617647</v>
      </c>
      <c r="AG111" s="10">
        <f>AC111*1.25*'Parametros'!$B$3*(AB111-(AC111*1.25*'Parametros'!$B$3/(0.85*'Parametros'!$B$2*H111))/2)/1000000</f>
        <v>242.884913970588</v>
      </c>
      <c r="AH111" s="10">
        <f>N111+(AF111+AG111)/D111</f>
        <v>270.454655565611</v>
      </c>
      <c r="AI111" s="10">
        <f>MAX(O111,AH111)</f>
        <v>438.412</v>
      </c>
      <c r="AJ111" s="10">
        <f>0.17*SQRT('Parametros'!$B$2)*H111*MIN(U111,AB111)/1000</f>
        <v>198.088855822627</v>
      </c>
      <c r="AK111" s="10">
        <f>MAX(AI111/'Parametros'!$B$6-AJ111,0)</f>
        <v>386.460477510706</v>
      </c>
      <c r="AL111" s="10">
        <f>0.66*SQRT('Parametros'!$B$2)*H111*MIN(U111,AB111)/1000</f>
        <v>769.050852017258</v>
      </c>
      <c r="AM111" s="10" t="str">
        <f>IF(AK111&lt;=AL111,"CUMPLE","NO CUMPLE")</f>
        <v>CUMPLE</v>
      </c>
      <c r="AN111" s="17" t="inlineStr">
        <is>
          <t>Nº3 cerrado</t>
        </is>
      </c>
      <c r="AO111" s="31" t="n">
        <v>4</v>
      </c>
      <c r="AP111" s="10">
        <f>ROUNDDOWN(MIN(IF(BC111+BD111=0,1000000000,AO111*BB111/(BC111+BD111)),MIN(U111,AB111)/4,8*'Parametros'!$B$12,24*BA111,300,IF(AV111=0,1000000000,2*((H111-2*('Parametros'!$B$7+'Parametros'!$B$9/2))+(I111-2*('Parametros'!$B$7+'Parametros'!$B$9/2)))/8))/10,0)*10</f>
        <v>80</v>
      </c>
      <c r="AQ111" s="10">
        <f>ROUNDDOWN(MIN(IF(BC111+BD111=0,1000000000,AO111*BB111/(BC111+BD111)),IF(AK111&gt;0.33*SQRT('Parametros'!$B$2)*H111*MIN(U111,AB111)/1000,MIN(U111,AB111)/4,MIN(U111,AB111)/2),600,IF(AV111=0,1000000000,2*((H111-2*('Parametros'!$B$7+'Parametros'!$B$9/2))+(I111-2*('Parametros'!$B$7+'Parametros'!$B$9/2)))/8))/10,0)*10</f>
        <v>80</v>
      </c>
      <c r="AR111" s="10">
        <f>'Parametros'!$B$6*(AJ111+MAX(BE111-BD111,0)*'Parametros'!$B$4*MIN(U111,AB111)/1000)</f>
        <v>466.774057440311</v>
      </c>
      <c r="AS111" s="10" t="str">
        <f>IF(AND(ISERROR(SEARCH("referencia",AN111)),AM111="CUMPLE",AR111&gt;=AI111),"CUMPLE","NO CUMPLE")</f>
        <v>CUMPLE</v>
      </c>
      <c r="AT111" s="10">
        <f>'Parametros'!$B$6*0.083*SQRT('Parametros'!$B$2)*(H111*I111)^2/(2*(H111+I111))/1000000</f>
        <v>10.0887830333379</v>
      </c>
      <c r="AU111" s="10" t="str">
        <f>IF(Q111&lt;=AT111,"DESPRECIABLE","DISEÑAR")</f>
        <v>DISEÑAR</v>
      </c>
      <c r="AV111" s="10">
        <f>IF(Q111&lt;=AT111,0,Q111*1000000/('Parametros'!$B$6*2*0.85*(H111-2*('Parametros'!$B$7+'Parametros'!$B$9/2))*(I111-2*('Parametros'!$B$7+'Parametros'!$B$9/2))*'Parametros'!$B$4))</f>
        <v>0.742832561907226</v>
      </c>
      <c r="AW111" s="10">
        <f>AV111*2*((H111-2*('Parametros'!$B$7+'Parametros'!$B$9/2))+(I111-2*('Parametros'!$B$7+'Parametros'!$B$9/2)))*'Parametros'!$B$4/'Parametros'!$B$3</f>
        <v>1210.22280985925</v>
      </c>
      <c r="AX111" s="31" t="n">
        <v>8</v>
      </c>
      <c r="AY111" s="10" t="str">
        <f>IF(AV111=0,"DESPRECIABLE",IF(AND(ISERROR(SEARCH("referencia",AN111)),BB111/AP111&gt;=AV111,BI111&gt;=AW111,BH111="CUMPLE"),"CUMPLE","NO CUMPLE"))</f>
        <v>CUMPLE</v>
      </c>
      <c r="AZ111" s="10" t="str">
        <f>IF(AND(X111="CUMPLE",AE111="CUMPLE",AS111="CUMPLE",OR(AY111="CUMPLE",AY111="DESPRECIABLE"),BH111="CUMPLE",BJ111="CUMPLE"),"CUMPLE","NO CUMPLE")</f>
        <v>CUMPLE</v>
      </c>
      <c r="BA111" s="32" t="n">
        <v>9.5</v>
      </c>
      <c r="BB111" s="32" t="n">
        <v>71</v>
      </c>
      <c r="BC111" s="10">
        <f>MAX(IF(AK111=0,0,AK111*1000/('Parametros'!$B$4*MIN(U111,AB111))),MAX(0.062*SQRT('Parametros'!$B$2)*H111/'Parametros'!$B$4,0.35*H111/'Parametros'!$B$4))</f>
        <v>1.88033921339146</v>
      </c>
      <c r="BD111" s="10">
        <f>2*AV111</f>
        <v>1.48566512381445</v>
      </c>
      <c r="BE111" s="10">
        <f>AO111*BB111/AP111</f>
        <v>3.55</v>
      </c>
      <c r="BF111" s="10">
        <f>SQRT((AI111*1000/(H111*MIN(U111,AB111)))^2+(Q111*1000000*2*((H111-2*('Parametros'!$B$7+'Parametros'!$B$9/2))+(I111-2*('Parametros'!$B$7+'Parametros'!$B$9/2)))/(1.7*((H111-2*('Parametros'!$B$7+'Parametros'!$B$9/2))*(I111-2*('Parametros'!$B$7+'Parametros'!$B$9/2)))^2))^2)</f>
        <v>3.06712617336287</v>
      </c>
      <c r="BG111" s="10">
        <f>'Parametros'!$B$6*(AJ111*1000/(H111*MIN(U111,AB111))+0.66*SQRT('Parametros'!$B$2))</f>
        <v>3.29396038227542</v>
      </c>
      <c r="BH111" s="10" t="str">
        <f>IF(BF111&lt;=BG111,"CUMPLE","NO CUMPLE")</f>
        <v>CUMPLE</v>
      </c>
      <c r="BI111" s="10">
        <f>AX111*'Parametros'!$B$8</f>
        <v>1592</v>
      </c>
      <c r="BJ111" s="10" t="str">
        <f>IF(BI111&gt;=AW111,"CUMPLE","NO CUMPLE")</f>
        <v>CUMPLE</v>
      </c>
    </row>
    <row r="112">
      <c r="A112" s="18" t="inlineStr">
        <is>
          <t>VC4</t>
        </is>
      </c>
      <c r="B112" s="18" t="inlineStr">
        <is>
          <t>819</t>
        </is>
      </c>
      <c r="C112" s="10" t="n">
        <v>1</v>
      </c>
      <c r="D112" s="10" t="n">
        <v>3.25</v>
      </c>
      <c r="E112" s="10" t="n">
        <v>3.25</v>
      </c>
      <c r="F112" s="10" t="n">
        <v>450</v>
      </c>
      <c r="G112" s="10" t="n">
        <v>550</v>
      </c>
      <c r="H112" s="17" t="n">
        <v>450</v>
      </c>
      <c r="I112" s="17" t="n">
        <v>550</v>
      </c>
      <c r="J112" s="30" t="n">
        <v>136.2134</v>
      </c>
      <c r="K112" s="10" t="inlineStr">
        <is>
          <t>819</t>
        </is>
      </c>
      <c r="L112" s="30" t="n">
        <v>110.5961</v>
      </c>
      <c r="M112" s="10" t="inlineStr">
        <is>
          <t>819</t>
        </is>
      </c>
      <c r="N112" s="30" t="n">
        <v>86.614</v>
      </c>
      <c r="O112" s="30" t="n">
        <v>333.823</v>
      </c>
      <c r="P112" s="10" t="inlineStr">
        <is>
          <t>819</t>
        </is>
      </c>
      <c r="Q112" s="30" t="n">
        <v>48.1995</v>
      </c>
      <c r="R112" s="10">
        <f>MAX(MAX(1.4/'Parametros'!$B$3,0.25*SQRT('Parametros'!$B$2)/'Parametros'!$B$3)*H112*U112,(0.85*'Parametros'!$B$2/'Parametros'!$B$3)*(1-SQRT(1-2*(J112*1000000/('Parametros'!$B$5*H112*U112^2))/(0.85*'Parametros'!$B$2)))*H112*U112)</f>
        <v>759.504739671978</v>
      </c>
      <c r="S112" s="31" t="n">
        <v>4</v>
      </c>
      <c r="T112" s="32" t="n">
        <v>1</v>
      </c>
      <c r="U112" s="10">
        <f>IF(T112=1,I112-('Parametros'!$B$7+'Parametros'!$B$9+'Parametros'!$B$12/2),I112-(ROUNDUP(S112/2,0)*('Parametros'!$B$7+'Parametros'!$B$9+'Parametros'!$B$12/2)+ROUNDDOWN(S112/2,0)*('Parametros'!$B$7+'Parametros'!$B$9+'Parametros'!$B$12/2+'Parametros'!$B$12+'Parametros'!$B$10))/S112)</f>
        <v>489.35</v>
      </c>
      <c r="V112" s="10">
        <f>S112*'Parametros'!$B$8</f>
        <v>796</v>
      </c>
      <c r="W112" s="10">
        <f>'Parametros'!$B$5*V112*'Parametros'!$B$3*(U112-(V112*'Parametros'!$B$3/(0.85*'Parametros'!$B$2*H112))/2)/1000000</f>
        <v>142.543330094118</v>
      </c>
      <c r="X112" s="10" t="str">
        <f>IF(W112&gt;=J112,"CUMPLE","NO CUMPLE")</f>
        <v>CUMPLE</v>
      </c>
      <c r="Y112" s="10">
        <f>MAX(MAX(1.4/'Parametros'!$B$3,0.25*SQRT('Parametros'!$B$2)/'Parametros'!$B$3)*H112*AB112,(0.85*'Parametros'!$B$2/'Parametros'!$B$3)*(1-SQRT(1-2*(L112*1000000/('Parametros'!$B$5*H112*AB112^2))/(0.85*'Parametros'!$B$2)))*H112*AB112)</f>
        <v>734.025</v>
      </c>
      <c r="Z112" s="31" t="n">
        <v>4</v>
      </c>
      <c r="AA112" s="32" t="n">
        <v>1</v>
      </c>
      <c r="AB112" s="10">
        <f>IF(AA112=1,I112-('Parametros'!$B$7+'Parametros'!$B$9+'Parametros'!$B$12/2),I112-(ROUNDUP(Z112/2,0)*('Parametros'!$B$7+'Parametros'!$B$9+'Parametros'!$B$12/2)+ROUNDDOWN(Z112/2,0)*('Parametros'!$B$7+'Parametros'!$B$9+'Parametros'!$B$12/2+'Parametros'!$B$12+'Parametros'!$B$10))/Z112)</f>
        <v>489.35</v>
      </c>
      <c r="AC112" s="10">
        <f>Z112*'Parametros'!$B$8</f>
        <v>796</v>
      </c>
      <c r="AD112" s="10">
        <f>'Parametros'!$B$5*AC112*'Parametros'!$B$3*(AB112-(AC112*'Parametros'!$B$3/(0.85*'Parametros'!$B$2*H112))/2)/1000000</f>
        <v>142.543330094118</v>
      </c>
      <c r="AE112" s="10" t="str">
        <f>IF(AD112&gt;=L112,"CUMPLE","NO CUMPLE")</f>
        <v>CUMPLE</v>
      </c>
      <c r="AF112" s="10">
        <f>V112*1.25*'Parametros'!$B$3*(U112-(V112*1.25*'Parametros'!$B$3/(0.85*'Parametros'!$B$2*H112))/2)/1000000</f>
        <v>196.346217941176</v>
      </c>
      <c r="AG112" s="10">
        <f>AC112*1.25*'Parametros'!$B$3*(AB112-(AC112*1.25*'Parametros'!$B$3/(0.85*'Parametros'!$B$2*H112))/2)/1000000</f>
        <v>196.346217941176</v>
      </c>
      <c r="AH112" s="10">
        <f>N112+(AF112+AG112)/D112</f>
        <v>207.442441809955</v>
      </c>
      <c r="AI112" s="10">
        <f>MAX(O112,AH112)</f>
        <v>333.823</v>
      </c>
      <c r="AJ112" s="10">
        <f>0.17*SQRT('Parametros'!$B$2)*H112*MIN(U112,AB112)/1000</f>
        <v>198.088855822627</v>
      </c>
      <c r="AK112" s="10">
        <f>MAX(AI112/'Parametros'!$B$6-AJ112,0)</f>
        <v>247.008477510706</v>
      </c>
      <c r="AL112" s="10">
        <f>0.66*SQRT('Parametros'!$B$2)*H112*MIN(U112,AB112)/1000</f>
        <v>769.050852017258</v>
      </c>
      <c r="AM112" s="10" t="str">
        <f>IF(AK112&lt;=AL112,"CUMPLE","NO CUMPLE")</f>
        <v>CUMPLE</v>
      </c>
      <c r="AN112" s="17" t="inlineStr">
        <is>
          <t>Nº4 cerrado</t>
        </is>
      </c>
      <c r="AO112" s="31" t="n">
        <v>2</v>
      </c>
      <c r="AP112" s="10">
        <f>ROUNDDOWN(MIN(IF(BC112+BD112=0,1000000000,AO112*BB112/(BC112+BD112)),MIN(U112,AB112)/4,8*'Parametros'!$B$12,24*BA112,300,IF(AV112=0,1000000000,2*((H112-2*('Parametros'!$B$7+'Parametros'!$B$9/2))+(I112-2*('Parametros'!$B$7+'Parametros'!$B$9/2)))/8))/10,0)*10</f>
        <v>110</v>
      </c>
      <c r="AQ112" s="10">
        <f>ROUNDDOWN(MIN(IF(BC112+BD112=0,1000000000,AO112*BB112/(BC112+BD112)),IF(AK112&gt;0.33*SQRT('Parametros'!$B$2)*H112*MIN(U112,AB112)/1000,MIN(U112,AB112)/4,MIN(U112,AB112)/2),600,IF(AV112=0,1000000000,2*((H112-2*('Parametros'!$B$7+'Parametros'!$B$9/2))+(I112-2*('Parametros'!$B$7+'Parametros'!$B$9/2)))/8))/10,0)*10</f>
        <v>110</v>
      </c>
      <c r="AR112" s="10">
        <f>'Parametros'!$B$6*(AJ112+MAX(BE112-BD112,0)*'Parametros'!$B$4*MIN(U112,AB112)/1000)</f>
        <v>340.279441406955</v>
      </c>
      <c r="AS112" s="10" t="str">
        <f>IF(AND(ISERROR(SEARCH("referencia",AN112)),AM112="CUMPLE",AR112&gt;=AI112),"CUMPLE","NO CUMPLE")</f>
        <v>CUMPLE</v>
      </c>
      <c r="AT112" s="10">
        <f>'Parametros'!$B$6*0.083*SQRT('Parametros'!$B$2)*(H112*I112)^2/(2*(H112+I112))/1000000</f>
        <v>10.0887830333379</v>
      </c>
      <c r="AU112" s="10" t="str">
        <f>IF(Q112&lt;=AT112,"DESPRECIABLE","DISEÑAR")</f>
        <v>DISEÑAR</v>
      </c>
      <c r="AV112" s="10">
        <f>IF(Q112&lt;=AT112,0,Q112*1000000/('Parametros'!$B$6*2*0.85*(H112-2*('Parametros'!$B$7+'Parametros'!$B$9/2))*(I112-2*('Parametros'!$B$7+'Parametros'!$B$9/2))*'Parametros'!$B$4))</f>
        <v>0.550869643186354</v>
      </c>
      <c r="AW112" s="10">
        <f>AV112*2*((H112-2*('Parametros'!$B$7+'Parametros'!$B$9/2))+(I112-2*('Parametros'!$B$7+'Parametros'!$B$9/2)))*'Parametros'!$B$4/'Parametros'!$B$3</f>
        <v>897.476822679209</v>
      </c>
      <c r="AX112" s="31" t="n">
        <v>8</v>
      </c>
      <c r="AY112" s="10" t="str">
        <f>IF(AV112=0,"DESPRECIABLE",IF(AND(ISERROR(SEARCH("referencia",AN112)),BB112/AP112&gt;=AV112,BI112&gt;=AW112,BH112="CUMPLE"),"CUMPLE","NO CUMPLE"))</f>
        <v>CUMPLE</v>
      </c>
      <c r="AZ112" s="10" t="str">
        <f>IF(AND(X112="CUMPLE",AE112="CUMPLE",AS112="CUMPLE",OR(AY112="CUMPLE",AY112="DESPRECIABLE"),BH112="CUMPLE",BJ112="CUMPLE"),"CUMPLE","NO CUMPLE")</f>
        <v>CUMPLE</v>
      </c>
      <c r="BA112" s="32" t="n">
        <v>12.7</v>
      </c>
      <c r="BB112" s="32" t="n">
        <v>129</v>
      </c>
      <c r="BC112" s="10">
        <f>MAX(IF(AK112=0,0,AK112*1000/('Parametros'!$B$4*MIN(U112,AB112))),MAX(0.062*SQRT('Parametros'!$B$2)*H112/'Parametros'!$B$4,0.35*H112/'Parametros'!$B$4))</f>
        <v>1.20182982046498</v>
      </c>
      <c r="BD112" s="10">
        <f>2*AV112</f>
        <v>1.10173928637271</v>
      </c>
      <c r="BE112" s="10">
        <f>AO112*BB112/AP112</f>
        <v>2.34545454545455</v>
      </c>
      <c r="BF112" s="10">
        <f>SQRT((AI112*1000/(H112*MIN(U112,AB112)))^2+(Q112*1000000*2*((H112-2*('Parametros'!$B$7+'Parametros'!$B$9/2))+(I112-2*('Parametros'!$B$7+'Parametros'!$B$9/2)))/(1.7*((H112-2*('Parametros'!$B$7+'Parametros'!$B$9/2))*(I112-2*('Parametros'!$B$7+'Parametros'!$B$9/2)))^2))^2)</f>
        <v>2.30037688688575</v>
      </c>
      <c r="BG112" s="10">
        <f>'Parametros'!$B$6*(AJ112*1000/(H112*MIN(U112,AB112))+0.66*SQRT('Parametros'!$B$2))</f>
        <v>3.29396038227542</v>
      </c>
      <c r="BH112" s="10" t="str">
        <f>IF(BF112&lt;=BG112,"CUMPLE","NO CUMPLE")</f>
        <v>CUMPLE</v>
      </c>
      <c r="BI112" s="10">
        <f>AX112*'Parametros'!$B$8</f>
        <v>1592</v>
      </c>
      <c r="BJ112" s="10" t="str">
        <f>IF(BI112&gt;=AW112,"CUMPLE","NO CUMPLE")</f>
        <v>CUMPLE</v>
      </c>
    </row>
    <row r="113">
      <c r="A113" s="18" t="inlineStr">
        <is>
          <t>VC4</t>
        </is>
      </c>
      <c r="B113" s="18" t="inlineStr">
        <is>
          <t>820</t>
        </is>
      </c>
      <c r="C113" s="10" t="n">
        <v>1</v>
      </c>
      <c r="D113" s="10" t="n">
        <v>3.25</v>
      </c>
      <c r="E113" s="10" t="n">
        <v>3.25</v>
      </c>
      <c r="F113" s="10" t="n">
        <v>450</v>
      </c>
      <c r="G113" s="10" t="n">
        <v>550</v>
      </c>
      <c r="H113" s="17" t="n">
        <v>450</v>
      </c>
      <c r="I113" s="17" t="n">
        <v>550</v>
      </c>
      <c r="J113" s="30" t="n">
        <v>136.2235</v>
      </c>
      <c r="K113" s="10" t="inlineStr">
        <is>
          <t>820</t>
        </is>
      </c>
      <c r="L113" s="30" t="n">
        <v>110.6332</v>
      </c>
      <c r="M113" s="10" t="inlineStr">
        <is>
          <t>820</t>
        </is>
      </c>
      <c r="N113" s="30" t="n">
        <v>86.631</v>
      </c>
      <c r="O113" s="30" t="n">
        <v>333.84</v>
      </c>
      <c r="P113" s="10" t="inlineStr">
        <is>
          <t>820</t>
        </is>
      </c>
      <c r="Q113" s="30" t="n">
        <v>48.2001</v>
      </c>
      <c r="R113" s="10">
        <f>MAX(MAX(1.4/'Parametros'!$B$3,0.25*SQRT('Parametros'!$B$2)/'Parametros'!$B$3)*H113*U113,(0.85*'Parametros'!$B$2/'Parametros'!$B$3)*(1-SQRT(1-2*(J113*1000000/('Parametros'!$B$5*H113*U113^2))/(0.85*'Parametros'!$B$2)))*H113*U113)</f>
        <v>759.562880770424</v>
      </c>
      <c r="S113" s="31" t="n">
        <v>4</v>
      </c>
      <c r="T113" s="32" t="n">
        <v>1</v>
      </c>
      <c r="U113" s="10">
        <f>IF(T113=1,I113-('Parametros'!$B$7+'Parametros'!$B$9+'Parametros'!$B$12/2),I113-(ROUNDUP(S113/2,0)*('Parametros'!$B$7+'Parametros'!$B$9+'Parametros'!$B$12/2)+ROUNDDOWN(S113/2,0)*('Parametros'!$B$7+'Parametros'!$B$9+'Parametros'!$B$12/2+'Parametros'!$B$12+'Parametros'!$B$10))/S113)</f>
        <v>489.35</v>
      </c>
      <c r="V113" s="10">
        <f>S113*'Parametros'!$B$8</f>
        <v>796</v>
      </c>
      <c r="W113" s="10">
        <f>'Parametros'!$B$5*V113*'Parametros'!$B$3*(U113-(V113*'Parametros'!$B$3/(0.85*'Parametros'!$B$2*H113))/2)/1000000</f>
        <v>142.543330094118</v>
      </c>
      <c r="X113" s="10" t="str">
        <f>IF(W113&gt;=J113,"CUMPLE","NO CUMPLE")</f>
        <v>CUMPLE</v>
      </c>
      <c r="Y113" s="10">
        <f>MAX(MAX(1.4/'Parametros'!$B$3,0.25*SQRT('Parametros'!$B$2)/'Parametros'!$B$3)*H113*AB113,(0.85*'Parametros'!$B$2/'Parametros'!$B$3)*(1-SQRT(1-2*(L113*1000000/('Parametros'!$B$5*H113*AB113^2))/(0.85*'Parametros'!$B$2)))*H113*AB113)</f>
        <v>734.025</v>
      </c>
      <c r="Z113" s="31" t="n">
        <v>4</v>
      </c>
      <c r="AA113" s="32" t="n">
        <v>1</v>
      </c>
      <c r="AB113" s="10">
        <f>IF(AA113=1,I113-('Parametros'!$B$7+'Parametros'!$B$9+'Parametros'!$B$12/2),I113-(ROUNDUP(Z113/2,0)*('Parametros'!$B$7+'Parametros'!$B$9+'Parametros'!$B$12/2)+ROUNDDOWN(Z113/2,0)*('Parametros'!$B$7+'Parametros'!$B$9+'Parametros'!$B$12/2+'Parametros'!$B$12+'Parametros'!$B$10))/Z113)</f>
        <v>489.35</v>
      </c>
      <c r="AC113" s="10">
        <f>Z113*'Parametros'!$B$8</f>
        <v>796</v>
      </c>
      <c r="AD113" s="10">
        <f>'Parametros'!$B$5*AC113*'Parametros'!$B$3*(AB113-(AC113*'Parametros'!$B$3/(0.85*'Parametros'!$B$2*H113))/2)/1000000</f>
        <v>142.543330094118</v>
      </c>
      <c r="AE113" s="10" t="str">
        <f>IF(AD113&gt;=L113,"CUMPLE","NO CUMPLE")</f>
        <v>CUMPLE</v>
      </c>
      <c r="AF113" s="10">
        <f>V113*1.25*'Parametros'!$B$3*(U113-(V113*1.25*'Parametros'!$B$3/(0.85*'Parametros'!$B$2*H113))/2)/1000000</f>
        <v>196.346217941176</v>
      </c>
      <c r="AG113" s="10">
        <f>AC113*1.25*'Parametros'!$B$3*(AB113-(AC113*1.25*'Parametros'!$B$3/(0.85*'Parametros'!$B$2*H113))/2)/1000000</f>
        <v>196.346217941176</v>
      </c>
      <c r="AH113" s="10">
        <f>N113+(AF113+AG113)/D113</f>
        <v>207.459441809955</v>
      </c>
      <c r="AI113" s="10">
        <f>MAX(O113,AH113)</f>
        <v>333.84</v>
      </c>
      <c r="AJ113" s="10">
        <f>0.17*SQRT('Parametros'!$B$2)*H113*MIN(U113,AB113)/1000</f>
        <v>198.088855822627</v>
      </c>
      <c r="AK113" s="10">
        <f>MAX(AI113/'Parametros'!$B$6-AJ113,0)</f>
        <v>247.031144177373</v>
      </c>
      <c r="AL113" s="10">
        <f>0.66*SQRT('Parametros'!$B$2)*H113*MIN(U113,AB113)/1000</f>
        <v>769.050852017258</v>
      </c>
      <c r="AM113" s="10" t="str">
        <f>IF(AK113&lt;=AL113,"CUMPLE","NO CUMPLE")</f>
        <v>CUMPLE</v>
      </c>
      <c r="AN113" s="17" t="inlineStr">
        <is>
          <t>Nº4 cerrado</t>
        </is>
      </c>
      <c r="AO113" s="31" t="n">
        <v>2</v>
      </c>
      <c r="AP113" s="10">
        <f>ROUNDDOWN(MIN(IF(BC113+BD113=0,1000000000,AO113*BB113/(BC113+BD113)),MIN(U113,AB113)/4,8*'Parametros'!$B$12,24*BA113,300,IF(AV113=0,1000000000,2*((H113-2*('Parametros'!$B$7+'Parametros'!$B$9/2))+(I113-2*('Parametros'!$B$7+'Parametros'!$B$9/2)))/8))/10,0)*10</f>
        <v>110</v>
      </c>
      <c r="AQ113" s="10">
        <f>ROUNDDOWN(MIN(IF(BC113+BD113=0,1000000000,AO113*BB113/(BC113+BD113)),IF(AK113&gt;0.33*SQRT('Parametros'!$B$2)*H113*MIN(U113,AB113)/1000,MIN(U113,AB113)/4,MIN(U113,AB113)/2),600,IF(AV113=0,1000000000,2*((H113-2*('Parametros'!$B$7+'Parametros'!$B$9/2))+(I113-2*('Parametros'!$B$7+'Parametros'!$B$9/2)))/8))/10,0)*10</f>
        <v>110</v>
      </c>
      <c r="AR113" s="10">
        <f>'Parametros'!$B$6*(AJ113+MAX(BE113-BD113,0)*'Parametros'!$B$4*MIN(U113,AB113)/1000)</f>
        <v>340.277327345053</v>
      </c>
      <c r="AS113" s="10" t="str">
        <f>IF(AND(ISERROR(SEARCH("referencia",AN113)),AM113="CUMPLE",AR113&gt;=AI113),"CUMPLE","NO CUMPLE")</f>
        <v>CUMPLE</v>
      </c>
      <c r="AT113" s="10">
        <f>'Parametros'!$B$6*0.083*SQRT('Parametros'!$B$2)*(H113*I113)^2/(2*(H113+I113))/1000000</f>
        <v>10.0887830333379</v>
      </c>
      <c r="AU113" s="10" t="str">
        <f>IF(Q113&lt;=AT113,"DESPRECIABLE","DISEÑAR")</f>
        <v>DISEÑAR</v>
      </c>
      <c r="AV113" s="10">
        <f>IF(Q113&lt;=AT113,0,Q113*1000000/('Parametros'!$B$6*2*0.85*(H113-2*('Parametros'!$B$7+'Parametros'!$B$9/2))*(I113-2*('Parametros'!$B$7+'Parametros'!$B$9/2))*'Parametros'!$B$4))</f>
        <v>0.550876500555952</v>
      </c>
      <c r="AW113" s="10">
        <f>AV113*2*((H113-2*('Parametros'!$B$7+'Parametros'!$B$9/2))+(I113-2*('Parametros'!$B$7+'Parametros'!$B$9/2)))*'Parametros'!$B$4/'Parametros'!$B$3</f>
        <v>897.487994705757</v>
      </c>
      <c r="AX113" s="31" t="n">
        <v>8</v>
      </c>
      <c r="AY113" s="10" t="str">
        <f>IF(AV113=0,"DESPRECIABLE",IF(AND(ISERROR(SEARCH("referencia",AN113)),BB113/AP113&gt;=AV113,BI113&gt;=AW113,BH113="CUMPLE"),"CUMPLE","NO CUMPLE"))</f>
        <v>CUMPLE</v>
      </c>
      <c r="AZ113" s="10" t="str">
        <f>IF(AND(X113="CUMPLE",AE113="CUMPLE",AS113="CUMPLE",OR(AY113="CUMPLE",AY113="DESPRECIABLE"),BH113="CUMPLE",BJ113="CUMPLE"),"CUMPLE","NO CUMPLE")</f>
        <v>CUMPLE</v>
      </c>
      <c r="BA113" s="32" t="n">
        <v>12.7</v>
      </c>
      <c r="BB113" s="32" t="n">
        <v>129</v>
      </c>
      <c r="BC113" s="10">
        <f>MAX(IF(AK113=0,0,AK113*1000/('Parametros'!$B$4*MIN(U113,AB113))),MAX(0.062*SQRT('Parametros'!$B$2)*H113/'Parametros'!$B$4,0.35*H113/'Parametros'!$B$4))</f>
        <v>1.20194010605601</v>
      </c>
      <c r="BD113" s="10">
        <f>2*AV113</f>
        <v>1.1017530011119</v>
      </c>
      <c r="BE113" s="10">
        <f>AO113*BB113/AP113</f>
        <v>2.34545454545455</v>
      </c>
      <c r="BF113" s="10">
        <f>SQRT((AI113*1000/(H113*MIN(U113,AB113)))^2+(Q113*1000000*2*((H113-2*('Parametros'!$B$7+'Parametros'!$B$9/2))+(I113-2*('Parametros'!$B$7+'Parametros'!$B$9/2)))/(1.7*((H113-2*('Parametros'!$B$7+'Parametros'!$B$9/2))*(I113-2*('Parametros'!$B$7+'Parametros'!$B$9/2)))^2))^2)</f>
        <v>2.30044396178779</v>
      </c>
      <c r="BG113" s="10">
        <f>'Parametros'!$B$6*(AJ113*1000/(H113*MIN(U113,AB113))+0.66*SQRT('Parametros'!$B$2))</f>
        <v>3.29396038227542</v>
      </c>
      <c r="BH113" s="10" t="str">
        <f>IF(BF113&lt;=BG113,"CUMPLE","NO CUMPLE")</f>
        <v>CUMPLE</v>
      </c>
      <c r="BI113" s="10">
        <f>AX113*'Parametros'!$B$8</f>
        <v>1592</v>
      </c>
      <c r="BJ113" s="10" t="str">
        <f>IF(BI113&gt;=AW113,"CUMPLE","NO CUMPLE")</f>
        <v>CUMPLE</v>
      </c>
    </row>
    <row r="114">
      <c r="A114" s="18" t="inlineStr">
        <is>
          <t>VC4</t>
        </is>
      </c>
      <c r="B114" s="18" t="inlineStr">
        <is>
          <t>845</t>
        </is>
      </c>
      <c r="C114" s="10" t="n">
        <v>1</v>
      </c>
      <c r="D114" s="10" t="n">
        <v>3.25</v>
      </c>
      <c r="E114" s="10" t="n">
        <v>3.25</v>
      </c>
      <c r="F114" s="10" t="n">
        <v>450</v>
      </c>
      <c r="G114" s="10" t="n">
        <v>550</v>
      </c>
      <c r="H114" s="17" t="n">
        <v>450</v>
      </c>
      <c r="I114" s="17" t="n">
        <v>550</v>
      </c>
      <c r="J114" s="30" t="n">
        <v>136.2375</v>
      </c>
      <c r="K114" s="10" t="inlineStr">
        <is>
          <t>845</t>
        </is>
      </c>
      <c r="L114" s="30" t="n">
        <v>110.6199</v>
      </c>
      <c r="M114" s="10" t="inlineStr">
        <is>
          <t>845</t>
        </is>
      </c>
      <c r="N114" s="30" t="n">
        <v>86.64</v>
      </c>
      <c r="O114" s="30" t="n">
        <v>333.863</v>
      </c>
      <c r="P114" s="10" t="inlineStr">
        <is>
          <t>845</t>
        </is>
      </c>
      <c r="Q114" s="30" t="n">
        <v>48.2106</v>
      </c>
      <c r="R114" s="10">
        <f>MAX(MAX(1.4/'Parametros'!$B$3,0.25*SQRT('Parametros'!$B$2)/'Parametros'!$B$3)*H114*U114,(0.85*'Parametros'!$B$2/'Parametros'!$B$3)*(1-SQRT(1-2*(J114*1000000/('Parametros'!$B$5*H114*U114^2))/(0.85*'Parametros'!$B$2)))*H114*U114)</f>
        <v>759.643472869075</v>
      </c>
      <c r="S114" s="31" t="n">
        <v>4</v>
      </c>
      <c r="T114" s="32" t="n">
        <v>1</v>
      </c>
      <c r="U114" s="10">
        <f>IF(T114=1,I114-('Parametros'!$B$7+'Parametros'!$B$9+'Parametros'!$B$12/2),I114-(ROUNDUP(S114/2,0)*('Parametros'!$B$7+'Parametros'!$B$9+'Parametros'!$B$12/2)+ROUNDDOWN(S114/2,0)*('Parametros'!$B$7+'Parametros'!$B$9+'Parametros'!$B$12/2+'Parametros'!$B$12+'Parametros'!$B$10))/S114)</f>
        <v>489.35</v>
      </c>
      <c r="V114" s="10">
        <f>S114*'Parametros'!$B$8</f>
        <v>796</v>
      </c>
      <c r="W114" s="10">
        <f>'Parametros'!$B$5*V114*'Parametros'!$B$3*(U114-(V114*'Parametros'!$B$3/(0.85*'Parametros'!$B$2*H114))/2)/1000000</f>
        <v>142.543330094118</v>
      </c>
      <c r="X114" s="10" t="str">
        <f>IF(W114&gt;=J114,"CUMPLE","NO CUMPLE")</f>
        <v>CUMPLE</v>
      </c>
      <c r="Y114" s="10">
        <f>MAX(MAX(1.4/'Parametros'!$B$3,0.25*SQRT('Parametros'!$B$2)/'Parametros'!$B$3)*H114*AB114,(0.85*'Parametros'!$B$2/'Parametros'!$B$3)*(1-SQRT(1-2*(L114*1000000/('Parametros'!$B$5*H114*AB114^2))/(0.85*'Parametros'!$B$2)))*H114*AB114)</f>
        <v>734.025</v>
      </c>
      <c r="Z114" s="31" t="n">
        <v>4</v>
      </c>
      <c r="AA114" s="32" t="n">
        <v>1</v>
      </c>
      <c r="AB114" s="10">
        <f>IF(AA114=1,I114-('Parametros'!$B$7+'Parametros'!$B$9+'Parametros'!$B$12/2),I114-(ROUNDUP(Z114/2,0)*('Parametros'!$B$7+'Parametros'!$B$9+'Parametros'!$B$12/2)+ROUNDDOWN(Z114/2,0)*('Parametros'!$B$7+'Parametros'!$B$9+'Parametros'!$B$12/2+'Parametros'!$B$12+'Parametros'!$B$10))/Z114)</f>
        <v>489.35</v>
      </c>
      <c r="AC114" s="10">
        <f>Z114*'Parametros'!$B$8</f>
        <v>796</v>
      </c>
      <c r="AD114" s="10">
        <f>'Parametros'!$B$5*AC114*'Parametros'!$B$3*(AB114-(AC114*'Parametros'!$B$3/(0.85*'Parametros'!$B$2*H114))/2)/1000000</f>
        <v>142.543330094118</v>
      </c>
      <c r="AE114" s="10" t="str">
        <f>IF(AD114&gt;=L114,"CUMPLE","NO CUMPLE")</f>
        <v>CUMPLE</v>
      </c>
      <c r="AF114" s="10">
        <f>V114*1.25*'Parametros'!$B$3*(U114-(V114*1.25*'Parametros'!$B$3/(0.85*'Parametros'!$B$2*H114))/2)/1000000</f>
        <v>196.346217941176</v>
      </c>
      <c r="AG114" s="10">
        <f>AC114*1.25*'Parametros'!$B$3*(AB114-(AC114*1.25*'Parametros'!$B$3/(0.85*'Parametros'!$B$2*H114))/2)/1000000</f>
        <v>196.346217941176</v>
      </c>
      <c r="AH114" s="10">
        <f>N114+(AF114+AG114)/D114</f>
        <v>207.468441809955</v>
      </c>
      <c r="AI114" s="10">
        <f>MAX(O114,AH114)</f>
        <v>333.863</v>
      </c>
      <c r="AJ114" s="10">
        <f>0.17*SQRT('Parametros'!$B$2)*H114*MIN(U114,AB114)/1000</f>
        <v>198.088855822627</v>
      </c>
      <c r="AK114" s="10">
        <f>MAX(AI114/'Parametros'!$B$6-AJ114,0)</f>
        <v>247.06181084404</v>
      </c>
      <c r="AL114" s="10">
        <f>0.66*SQRT('Parametros'!$B$2)*H114*MIN(U114,AB114)/1000</f>
        <v>769.050852017258</v>
      </c>
      <c r="AM114" s="10" t="str">
        <f>IF(AK114&lt;=AL114,"CUMPLE","NO CUMPLE")</f>
        <v>CUMPLE</v>
      </c>
      <c r="AN114" s="17" t="inlineStr">
        <is>
          <t>Nº4 cerrado</t>
        </is>
      </c>
      <c r="AO114" s="31" t="n">
        <v>2</v>
      </c>
      <c r="AP114" s="10">
        <f>ROUNDDOWN(MIN(IF(BC114+BD114=0,1000000000,AO114*BB114/(BC114+BD114)),MIN(U114,AB114)/4,8*'Parametros'!$B$12,24*BA114,300,IF(AV114=0,1000000000,2*((H114-2*('Parametros'!$B$7+'Parametros'!$B$9/2))+(I114-2*('Parametros'!$B$7+'Parametros'!$B$9/2)))/8))/10,0)*10</f>
        <v>110</v>
      </c>
      <c r="AQ114" s="10">
        <f>ROUNDDOWN(MIN(IF(BC114+BD114=0,1000000000,AO114*BB114/(BC114+BD114)),IF(AK114&gt;0.33*SQRT('Parametros'!$B$2)*H114*MIN(U114,AB114)/1000,MIN(U114,AB114)/4,MIN(U114,AB114)/2),600,IF(AV114=0,1000000000,2*((H114-2*('Parametros'!$B$7+'Parametros'!$B$9/2))+(I114-2*('Parametros'!$B$7+'Parametros'!$B$9/2)))/8))/10,0)*10</f>
        <v>110</v>
      </c>
      <c r="AR114" s="10">
        <f>'Parametros'!$B$6*(AJ114+MAX(BE114-BD114,0)*'Parametros'!$B$4*MIN(U114,AB114)/1000)</f>
        <v>340.24033126177</v>
      </c>
      <c r="AS114" s="10" t="str">
        <f>IF(AND(ISERROR(SEARCH("referencia",AN114)),AM114="CUMPLE",AR114&gt;=AI114),"CUMPLE","NO CUMPLE")</f>
        <v>CUMPLE</v>
      </c>
      <c r="AT114" s="10">
        <f>'Parametros'!$B$6*0.083*SQRT('Parametros'!$B$2)*(H114*I114)^2/(2*(H114+I114))/1000000</f>
        <v>10.0887830333379</v>
      </c>
      <c r="AU114" s="10" t="str">
        <f>IF(Q114&lt;=AT114,"DESPRECIABLE","DISEÑAR")</f>
        <v>DISEÑAR</v>
      </c>
      <c r="AV114" s="10">
        <f>IF(Q114&lt;=AT114,0,Q114*1000000/('Parametros'!$B$6*2*0.85*(H114-2*('Parametros'!$B$7+'Parametros'!$B$9/2))*(I114-2*('Parametros'!$B$7+'Parametros'!$B$9/2))*'Parametros'!$B$4))</f>
        <v>0.550996504523907</v>
      </c>
      <c r="AW114" s="10">
        <f>AV114*2*((H114-2*('Parametros'!$B$7+'Parametros'!$B$9/2))+(I114-2*('Parametros'!$B$7+'Parametros'!$B$9/2)))*'Parametros'!$B$4/'Parametros'!$B$3</f>
        <v>897.68350517035</v>
      </c>
      <c r="AX114" s="31" t="n">
        <v>8</v>
      </c>
      <c r="AY114" s="10" t="str">
        <f>IF(AV114=0,"DESPRECIABLE",IF(AND(ISERROR(SEARCH("referencia",AN114)),BB114/AP114&gt;=AV114,BI114&gt;=AW114,BH114="CUMPLE"),"CUMPLE","NO CUMPLE"))</f>
        <v>CUMPLE</v>
      </c>
      <c r="AZ114" s="10" t="str">
        <f>IF(AND(X114="CUMPLE",AE114="CUMPLE",AS114="CUMPLE",OR(AY114="CUMPLE",AY114="DESPRECIABLE"),BH114="CUMPLE",BJ114="CUMPLE"),"CUMPLE","NO CUMPLE")</f>
        <v>CUMPLE</v>
      </c>
      <c r="BA114" s="32" t="n">
        <v>12.7</v>
      </c>
      <c r="BB114" s="32" t="n">
        <v>129</v>
      </c>
      <c r="BC114" s="10">
        <f>MAX(IF(AK114=0,0,AK114*1000/('Parametros'!$B$4*MIN(U114,AB114))),MAX(0.062*SQRT('Parametros'!$B$2)*H114/'Parametros'!$B$4,0.35*H114/'Parametros'!$B$4))</f>
        <v>1.20208931597328</v>
      </c>
      <c r="BD114" s="10">
        <f>2*AV114</f>
        <v>1.10199300904781</v>
      </c>
      <c r="BE114" s="10">
        <f>AO114*BB114/AP114</f>
        <v>2.34545454545455</v>
      </c>
      <c r="BF114" s="10">
        <f>SQRT((AI114*1000/(H114*MIN(U114,AB114)))^2+(Q114*1000000*2*((H114-2*('Parametros'!$B$7+'Parametros'!$B$9/2))+(I114-2*('Parametros'!$B$7+'Parametros'!$B$9/2)))/(1.7*((H114-2*('Parametros'!$B$7+'Parametros'!$B$9/2))*(I114-2*('Parametros'!$B$7+'Parametros'!$B$9/2)))^2))^2)</f>
        <v>2.30079629130487</v>
      </c>
      <c r="BG114" s="10">
        <f>'Parametros'!$B$6*(AJ114*1000/(H114*MIN(U114,AB114))+0.66*SQRT('Parametros'!$B$2))</f>
        <v>3.29396038227542</v>
      </c>
      <c r="BH114" s="10" t="str">
        <f>IF(BF114&lt;=BG114,"CUMPLE","NO CUMPLE")</f>
        <v>CUMPLE</v>
      </c>
      <c r="BI114" s="10">
        <f>AX114*'Parametros'!$B$8</f>
        <v>1592</v>
      </c>
      <c r="BJ114" s="10" t="str">
        <f>IF(BI114&gt;=AW114,"CUMPLE","NO CUMPLE")</f>
        <v>CUMPLE</v>
      </c>
    </row>
    <row r="115">
      <c r="A115" s="18" t="inlineStr">
        <is>
          <t>VC4</t>
        </is>
      </c>
      <c r="B115" s="18" t="inlineStr">
        <is>
          <t>846</t>
        </is>
      </c>
      <c r="C115" s="10" t="n">
        <v>1</v>
      </c>
      <c r="D115" s="10" t="n">
        <v>3.25</v>
      </c>
      <c r="E115" s="10" t="n">
        <v>3.25</v>
      </c>
      <c r="F115" s="10" t="n">
        <v>450</v>
      </c>
      <c r="G115" s="10" t="n">
        <v>550</v>
      </c>
      <c r="H115" s="17" t="n">
        <v>450</v>
      </c>
      <c r="I115" s="17" t="n">
        <v>550</v>
      </c>
      <c r="J115" s="30" t="n">
        <v>136.234</v>
      </c>
      <c r="K115" s="10" t="inlineStr">
        <is>
          <t>846</t>
        </is>
      </c>
      <c r="L115" s="30" t="n">
        <v>110.6017</v>
      </c>
      <c r="M115" s="10" t="inlineStr">
        <is>
          <t>846</t>
        </is>
      </c>
      <c r="N115" s="30" t="n">
        <v>86.63200000000001</v>
      </c>
      <c r="O115" s="30" t="n">
        <v>333.855</v>
      </c>
      <c r="P115" s="10" t="inlineStr">
        <is>
          <t>846</t>
        </is>
      </c>
      <c r="Q115" s="30" t="n">
        <v>48.2098</v>
      </c>
      <c r="R115" s="10">
        <f>MAX(MAX(1.4/'Parametros'!$B$3,0.25*SQRT('Parametros'!$B$2)/'Parametros'!$B$3)*H115*U115,(0.85*'Parametros'!$B$2/'Parametros'!$B$3)*(1-SQRT(1-2*(J115*1000000/('Parametros'!$B$5*H115*U115^2))/(0.85*'Parametros'!$B$2)))*H115*U115)</f>
        <v>759.623324792453</v>
      </c>
      <c r="S115" s="31" t="n">
        <v>4</v>
      </c>
      <c r="T115" s="32" t="n">
        <v>1</v>
      </c>
      <c r="U115" s="10">
        <f>IF(T115=1,I115-('Parametros'!$B$7+'Parametros'!$B$9+'Parametros'!$B$12/2),I115-(ROUNDUP(S115/2,0)*('Parametros'!$B$7+'Parametros'!$B$9+'Parametros'!$B$12/2)+ROUNDDOWN(S115/2,0)*('Parametros'!$B$7+'Parametros'!$B$9+'Parametros'!$B$12/2+'Parametros'!$B$12+'Parametros'!$B$10))/S115)</f>
        <v>489.35</v>
      </c>
      <c r="V115" s="10">
        <f>S115*'Parametros'!$B$8</f>
        <v>796</v>
      </c>
      <c r="W115" s="10">
        <f>'Parametros'!$B$5*V115*'Parametros'!$B$3*(U115-(V115*'Parametros'!$B$3/(0.85*'Parametros'!$B$2*H115))/2)/1000000</f>
        <v>142.543330094118</v>
      </c>
      <c r="X115" s="10" t="str">
        <f>IF(W115&gt;=J115,"CUMPLE","NO CUMPLE")</f>
        <v>CUMPLE</v>
      </c>
      <c r="Y115" s="10">
        <f>MAX(MAX(1.4/'Parametros'!$B$3,0.25*SQRT('Parametros'!$B$2)/'Parametros'!$B$3)*H115*AB115,(0.85*'Parametros'!$B$2/'Parametros'!$B$3)*(1-SQRT(1-2*(L115*1000000/('Parametros'!$B$5*H115*AB115^2))/(0.85*'Parametros'!$B$2)))*H115*AB115)</f>
        <v>734.025</v>
      </c>
      <c r="Z115" s="31" t="n">
        <v>4</v>
      </c>
      <c r="AA115" s="32" t="n">
        <v>1</v>
      </c>
      <c r="AB115" s="10">
        <f>IF(AA115=1,I115-('Parametros'!$B$7+'Parametros'!$B$9+'Parametros'!$B$12/2),I115-(ROUNDUP(Z115/2,0)*('Parametros'!$B$7+'Parametros'!$B$9+'Parametros'!$B$12/2)+ROUNDDOWN(Z115/2,0)*('Parametros'!$B$7+'Parametros'!$B$9+'Parametros'!$B$12/2+'Parametros'!$B$12+'Parametros'!$B$10))/Z115)</f>
        <v>489.35</v>
      </c>
      <c r="AC115" s="10">
        <f>Z115*'Parametros'!$B$8</f>
        <v>796</v>
      </c>
      <c r="AD115" s="10">
        <f>'Parametros'!$B$5*AC115*'Parametros'!$B$3*(AB115-(AC115*'Parametros'!$B$3/(0.85*'Parametros'!$B$2*H115))/2)/1000000</f>
        <v>142.543330094118</v>
      </c>
      <c r="AE115" s="10" t="str">
        <f>IF(AD115&gt;=L115,"CUMPLE","NO CUMPLE")</f>
        <v>CUMPLE</v>
      </c>
      <c r="AF115" s="10">
        <f>V115*1.25*'Parametros'!$B$3*(U115-(V115*1.25*'Parametros'!$B$3/(0.85*'Parametros'!$B$2*H115))/2)/1000000</f>
        <v>196.346217941176</v>
      </c>
      <c r="AG115" s="10">
        <f>AC115*1.25*'Parametros'!$B$3*(AB115-(AC115*1.25*'Parametros'!$B$3/(0.85*'Parametros'!$B$2*H115))/2)/1000000</f>
        <v>196.346217941176</v>
      </c>
      <c r="AH115" s="10">
        <f>N115+(AF115+AG115)/D115</f>
        <v>207.460441809955</v>
      </c>
      <c r="AI115" s="10">
        <f>MAX(O115,AH115)</f>
        <v>333.855</v>
      </c>
      <c r="AJ115" s="10">
        <f>0.17*SQRT('Parametros'!$B$2)*H115*MIN(U115,AB115)/1000</f>
        <v>198.088855822627</v>
      </c>
      <c r="AK115" s="10">
        <f>MAX(AI115/'Parametros'!$B$6-AJ115,0)</f>
        <v>247.051144177373</v>
      </c>
      <c r="AL115" s="10">
        <f>0.66*SQRT('Parametros'!$B$2)*H115*MIN(U115,AB115)/1000</f>
        <v>769.050852017258</v>
      </c>
      <c r="AM115" s="10" t="str">
        <f>IF(AK115&lt;=AL115,"CUMPLE","NO CUMPLE")</f>
        <v>CUMPLE</v>
      </c>
      <c r="AN115" s="17" t="inlineStr">
        <is>
          <t>Nº4 cerrado</t>
        </is>
      </c>
      <c r="AO115" s="31" t="n">
        <v>2</v>
      </c>
      <c r="AP115" s="10">
        <f>ROUNDDOWN(MIN(IF(BC115+BD115=0,1000000000,AO115*BB115/(BC115+BD115)),MIN(U115,AB115)/4,8*'Parametros'!$B$12,24*BA115,300,IF(AV115=0,1000000000,2*((H115-2*('Parametros'!$B$7+'Parametros'!$B$9/2))+(I115-2*('Parametros'!$B$7+'Parametros'!$B$9/2)))/8))/10,0)*10</f>
        <v>110</v>
      </c>
      <c r="AQ115" s="10">
        <f>ROUNDDOWN(MIN(IF(BC115+BD115=0,1000000000,AO115*BB115/(BC115+BD115)),IF(AK115&gt;0.33*SQRT('Parametros'!$B$2)*H115*MIN(U115,AB115)/1000,MIN(U115,AB115)/4,MIN(U115,AB115)/2),600,IF(AV115=0,1000000000,2*((H115-2*('Parametros'!$B$7+'Parametros'!$B$9/2))+(I115-2*('Parametros'!$B$7+'Parametros'!$B$9/2)))/8))/10,0)*10</f>
        <v>110</v>
      </c>
      <c r="AR115" s="10">
        <f>'Parametros'!$B$6*(AJ115+MAX(BE115-BD115,0)*'Parametros'!$B$4*MIN(U115,AB115)/1000)</f>
        <v>340.243150010972</v>
      </c>
      <c r="AS115" s="10" t="str">
        <f>IF(AND(ISERROR(SEARCH("referencia",AN115)),AM115="CUMPLE",AR115&gt;=AI115),"CUMPLE","NO CUMPLE")</f>
        <v>CUMPLE</v>
      </c>
      <c r="AT115" s="10">
        <f>'Parametros'!$B$6*0.083*SQRT('Parametros'!$B$2)*(H115*I115)^2/(2*(H115+I115))/1000000</f>
        <v>10.0887830333379</v>
      </c>
      <c r="AU115" s="10" t="str">
        <f>IF(Q115&lt;=AT115,"DESPRECIABLE","DISEÑAR")</f>
        <v>DISEÑAR</v>
      </c>
      <c r="AV115" s="10">
        <f>IF(Q115&lt;=AT115,0,Q115*1000000/('Parametros'!$B$6*2*0.85*(H115-2*('Parametros'!$B$7+'Parametros'!$B$9/2))*(I115-2*('Parametros'!$B$7+'Parametros'!$B$9/2))*'Parametros'!$B$4))</f>
        <v>0.550987361364444</v>
      </c>
      <c r="AW115" s="10">
        <f>AV115*2*((H115-2*('Parametros'!$B$7+'Parametros'!$B$9/2))+(I115-2*('Parametros'!$B$7+'Parametros'!$B$9/2)))*'Parametros'!$B$4/'Parametros'!$B$3</f>
        <v>897.668609134952</v>
      </c>
      <c r="AX115" s="31" t="n">
        <v>8</v>
      </c>
      <c r="AY115" s="10" t="str">
        <f>IF(AV115=0,"DESPRECIABLE",IF(AND(ISERROR(SEARCH("referencia",AN115)),BB115/AP115&gt;=AV115,BI115&gt;=AW115,BH115="CUMPLE"),"CUMPLE","NO CUMPLE"))</f>
        <v>CUMPLE</v>
      </c>
      <c r="AZ115" s="10" t="str">
        <f>IF(AND(X115="CUMPLE",AE115="CUMPLE",AS115="CUMPLE",OR(AY115="CUMPLE",AY115="DESPRECIABLE"),BH115="CUMPLE",BJ115="CUMPLE"),"CUMPLE","NO CUMPLE")</f>
        <v>CUMPLE</v>
      </c>
      <c r="BA115" s="32" t="n">
        <v>12.7</v>
      </c>
      <c r="BB115" s="32" t="n">
        <v>129</v>
      </c>
      <c r="BC115" s="10">
        <f>MAX(IF(AK115=0,0,AK115*1000/('Parametros'!$B$4*MIN(U115,AB115))),MAX(0.062*SQRT('Parametros'!$B$2)*H115/'Parametros'!$B$4,0.35*H115/'Parametros'!$B$4))</f>
        <v>1.20203741687162</v>
      </c>
      <c r="BD115" s="10">
        <f>2*AV115</f>
        <v>1.10197472272889</v>
      </c>
      <c r="BE115" s="10">
        <f>AO115*BB115/AP115</f>
        <v>2.34545454545455</v>
      </c>
      <c r="BF115" s="10">
        <f>SQRT((AI115*1000/(H115*MIN(U115,AB115)))^2+(Q115*1000000*2*((H115-2*('Parametros'!$B$7+'Parametros'!$B$9/2))+(I115-2*('Parametros'!$B$7+'Parametros'!$B$9/2)))/(1.7*((H115-2*('Parametros'!$B$7+'Parametros'!$B$9/2))*(I115-2*('Parametros'!$B$7+'Parametros'!$B$9/2)))^2))^2)</f>
        <v>2.30075075104412</v>
      </c>
      <c r="BG115" s="10">
        <f>'Parametros'!$B$6*(AJ115*1000/(H115*MIN(U115,AB115))+0.66*SQRT('Parametros'!$B$2))</f>
        <v>3.29396038227542</v>
      </c>
      <c r="BH115" s="10" t="str">
        <f>IF(BF115&lt;=BG115,"CUMPLE","NO CUMPLE")</f>
        <v>CUMPLE</v>
      </c>
      <c r="BI115" s="10">
        <f>AX115*'Parametros'!$B$8</f>
        <v>1592</v>
      </c>
      <c r="BJ115" s="10" t="str">
        <f>IF(BI115&gt;=AW115,"CUMPLE","NO CUMPLE")</f>
        <v>CUMPLE</v>
      </c>
    </row>
    <row r="116">
      <c r="A116" s="18" t="inlineStr">
        <is>
          <t>VC4</t>
        </is>
      </c>
      <c r="B116" s="18" t="inlineStr">
        <is>
          <t>913</t>
        </is>
      </c>
      <c r="C116" s="10" t="n">
        <v>1</v>
      </c>
      <c r="D116" s="10" t="n">
        <v>3.25</v>
      </c>
      <c r="E116" s="10" t="n">
        <v>3.25</v>
      </c>
      <c r="F116" s="10" t="n">
        <v>450</v>
      </c>
      <c r="G116" s="10" t="n">
        <v>550</v>
      </c>
      <c r="H116" s="17" t="n">
        <v>450</v>
      </c>
      <c r="I116" s="17" t="n">
        <v>550</v>
      </c>
      <c r="J116" s="30" t="n">
        <v>87.8051</v>
      </c>
      <c r="K116" s="10" t="inlineStr">
        <is>
          <t>913</t>
        </is>
      </c>
      <c r="L116" s="30" t="n">
        <v>59.3301</v>
      </c>
      <c r="M116" s="10" t="inlineStr">
        <is>
          <t>913</t>
        </is>
      </c>
      <c r="N116" s="30" t="n">
        <v>60.907</v>
      </c>
      <c r="O116" s="30" t="n">
        <v>200.959</v>
      </c>
      <c r="P116" s="10" t="inlineStr">
        <is>
          <t>913</t>
        </is>
      </c>
      <c r="Q116" s="30" t="n">
        <v>28.0186</v>
      </c>
      <c r="R116" s="10">
        <f>MAX(MAX(1.4/'Parametros'!$B$3,0.25*SQRT('Parametros'!$B$2)/'Parametros'!$B$3)*H116*U116,(0.85*'Parametros'!$B$2/'Parametros'!$B$3)*(1-SQRT(1-2*(J116*1000000/('Parametros'!$B$5*H116*U116^2))/(0.85*'Parametros'!$B$2)))*H116*U116)</f>
        <v>734.025</v>
      </c>
      <c r="S116" s="31" t="n">
        <v>4</v>
      </c>
      <c r="T116" s="32" t="n">
        <v>1</v>
      </c>
      <c r="U116" s="10">
        <f>IF(T116=1,I116-('Parametros'!$B$7+'Parametros'!$B$9+'Parametros'!$B$12/2),I116-(ROUNDUP(S116/2,0)*('Parametros'!$B$7+'Parametros'!$B$9+'Parametros'!$B$12/2)+ROUNDDOWN(S116/2,0)*('Parametros'!$B$7+'Parametros'!$B$9+'Parametros'!$B$12/2+'Parametros'!$B$12+'Parametros'!$B$10))/S116)</f>
        <v>489.35</v>
      </c>
      <c r="V116" s="10">
        <f>S116*'Parametros'!$B$8</f>
        <v>796</v>
      </c>
      <c r="W116" s="10">
        <f>'Parametros'!$B$5*V116*'Parametros'!$B$3*(U116-(V116*'Parametros'!$B$3/(0.85*'Parametros'!$B$2*H116))/2)/1000000</f>
        <v>142.543330094118</v>
      </c>
      <c r="X116" s="10" t="str">
        <f>IF(W116&gt;=J116,"CUMPLE","NO CUMPLE")</f>
        <v>CUMPLE</v>
      </c>
      <c r="Y116" s="10">
        <f>MAX(MAX(1.4/'Parametros'!$B$3,0.25*SQRT('Parametros'!$B$2)/'Parametros'!$B$3)*H116*AB116,(0.85*'Parametros'!$B$2/'Parametros'!$B$3)*(1-SQRT(1-2*(L116*1000000/('Parametros'!$B$5*H116*AB116^2))/(0.85*'Parametros'!$B$2)))*H116*AB116)</f>
        <v>734.025</v>
      </c>
      <c r="Z116" s="31" t="n">
        <v>4</v>
      </c>
      <c r="AA116" s="32" t="n">
        <v>1</v>
      </c>
      <c r="AB116" s="10">
        <f>IF(AA116=1,I116-('Parametros'!$B$7+'Parametros'!$B$9+'Parametros'!$B$12/2),I116-(ROUNDUP(Z116/2,0)*('Parametros'!$B$7+'Parametros'!$B$9+'Parametros'!$B$12/2)+ROUNDDOWN(Z116/2,0)*('Parametros'!$B$7+'Parametros'!$B$9+'Parametros'!$B$12/2+'Parametros'!$B$12+'Parametros'!$B$10))/Z116)</f>
        <v>489.35</v>
      </c>
      <c r="AC116" s="10">
        <f>Z116*'Parametros'!$B$8</f>
        <v>796</v>
      </c>
      <c r="AD116" s="10">
        <f>'Parametros'!$B$5*AC116*'Parametros'!$B$3*(AB116-(AC116*'Parametros'!$B$3/(0.85*'Parametros'!$B$2*H116))/2)/1000000</f>
        <v>142.543330094118</v>
      </c>
      <c r="AE116" s="10" t="str">
        <f>IF(AD116&gt;=L116,"CUMPLE","NO CUMPLE")</f>
        <v>CUMPLE</v>
      </c>
      <c r="AF116" s="10">
        <f>V116*1.25*'Parametros'!$B$3*(U116-(V116*1.25*'Parametros'!$B$3/(0.85*'Parametros'!$B$2*H116))/2)/1000000</f>
        <v>196.346217941176</v>
      </c>
      <c r="AG116" s="10">
        <f>AC116*1.25*'Parametros'!$B$3*(AB116-(AC116*1.25*'Parametros'!$B$3/(0.85*'Parametros'!$B$2*H116))/2)/1000000</f>
        <v>196.346217941176</v>
      </c>
      <c r="AH116" s="10">
        <f>N116+(AF116+AG116)/D116</f>
        <v>181.735441809955</v>
      </c>
      <c r="AI116" s="10">
        <f>MAX(O116,AH116)</f>
        <v>200.959</v>
      </c>
      <c r="AJ116" s="10">
        <f>0.17*SQRT('Parametros'!$B$2)*H116*MIN(U116,AB116)/1000</f>
        <v>198.088855822627</v>
      </c>
      <c r="AK116" s="10">
        <f>MAX(AI116/'Parametros'!$B$6-AJ116,0)</f>
        <v>69.8564775107064</v>
      </c>
      <c r="AL116" s="10">
        <f>0.66*SQRT('Parametros'!$B$2)*H116*MIN(U116,AB116)/1000</f>
        <v>769.050852017258</v>
      </c>
      <c r="AM116" s="10" t="str">
        <f>IF(AK116&lt;=AL116,"CUMPLE","NO CUMPLE")</f>
        <v>CUMPLE</v>
      </c>
      <c r="AN116" s="17" t="inlineStr">
        <is>
          <t>Nº3 cerrado</t>
        </is>
      </c>
      <c r="AO116" s="31" t="n">
        <v>2</v>
      </c>
      <c r="AP116" s="10">
        <f>ROUNDDOWN(MIN(IF(BC116+BD116=0,1000000000,AO116*BB116/(BC116+BD116)),MIN(U116,AB116)/4,8*'Parametros'!$B$12,24*BA116,300,IF(AV116=0,1000000000,2*((H116-2*('Parametros'!$B$7+'Parametros'!$B$9/2))+(I116-2*('Parametros'!$B$7+'Parametros'!$B$9/2)))/8))/10,0)*10</f>
        <v>120</v>
      </c>
      <c r="AQ116" s="10">
        <f>ROUNDDOWN(MIN(IF(BC116+BD116=0,1000000000,AO116*BB116/(BC116+BD116)),IF(AK116&gt;0.33*SQRT('Parametros'!$B$2)*H116*MIN(U116,AB116)/1000,MIN(U116,AB116)/4,MIN(U116,AB116)/2),600,IF(AV116=0,1000000000,2*((H116-2*('Parametros'!$B$7+'Parametros'!$B$9/2))+(I116-2*('Parametros'!$B$7+'Parametros'!$B$9/2)))/8))/10,0)*10</f>
        <v>130</v>
      </c>
      <c r="AR116" s="10">
        <f>'Parametros'!$B$6*(AJ116+MAX(BE116-BD116,0)*'Parametros'!$B$4*MIN(U116,AB116)/1000)</f>
        <v>232.250096360297</v>
      </c>
      <c r="AS116" s="10" t="str">
        <f>IF(AND(ISERROR(SEARCH("referencia",AN116)),AM116="CUMPLE",AR116&gt;=AI116),"CUMPLE","NO CUMPLE")</f>
        <v>CUMPLE</v>
      </c>
      <c r="AT116" s="10">
        <f>'Parametros'!$B$6*0.083*SQRT('Parametros'!$B$2)*(H116*I116)^2/(2*(H116+I116))/1000000</f>
        <v>10.0887830333379</v>
      </c>
      <c r="AU116" s="10" t="str">
        <f>IF(Q116&lt;=AT116,"DESPRECIABLE","DISEÑAR")</f>
        <v>DISEÑAR</v>
      </c>
      <c r="AV116" s="10">
        <f>IF(Q116&lt;=AT116,0,Q116*1000000/('Parametros'!$B$6*2*0.85*(H116-2*('Parametros'!$B$7+'Parametros'!$B$9/2))*(I116-2*('Parametros'!$B$7+'Parametros'!$B$9/2))*'Parametros'!$B$4))</f>
        <v>0.320223159671391</v>
      </c>
      <c r="AW116" s="10">
        <f>AV116*2*((H116-2*('Parametros'!$B$7+'Parametros'!$B$9/2))+(I116-2*('Parametros'!$B$7+'Parametros'!$B$9/2)))*'Parametros'!$B$4/'Parametros'!$B$3</f>
        <v>521.70757173663</v>
      </c>
      <c r="AX116" s="31" t="n">
        <v>8</v>
      </c>
      <c r="AY116" s="10" t="str">
        <f>IF(AV116=0,"DESPRECIABLE",IF(AND(ISERROR(SEARCH("referencia",AN116)),BB116/AP116&gt;=AV116,BI116&gt;=AW116,BH116="CUMPLE"),"CUMPLE","NO CUMPLE"))</f>
        <v>CUMPLE</v>
      </c>
      <c r="AZ116" s="10" t="str">
        <f>IF(AND(X116="CUMPLE",AE116="CUMPLE",AS116="CUMPLE",OR(AY116="CUMPLE",AY116="DESPRECIABLE"),BH116="CUMPLE",BJ116="CUMPLE"),"CUMPLE","NO CUMPLE")</f>
        <v>CUMPLE</v>
      </c>
      <c r="BA116" s="32" t="n">
        <v>9.5</v>
      </c>
      <c r="BB116" s="32" t="n">
        <v>71</v>
      </c>
      <c r="BC116" s="10">
        <f>MAX(IF(AK116=0,0,AK116*1000/('Parametros'!$B$4*MIN(U116,AB116))),MAX(0.062*SQRT('Parametros'!$B$2)*H116/'Parametros'!$B$4,0.35*H116/'Parametros'!$B$4))</f>
        <v>0.375</v>
      </c>
      <c r="BD116" s="10">
        <f>2*AV116</f>
        <v>0.640446319342781</v>
      </c>
      <c r="BE116" s="10">
        <f>AO116*BB116/AP116</f>
        <v>1.18333333333333</v>
      </c>
      <c r="BF116" s="10">
        <f>SQRT((AI116*1000/(H116*MIN(U116,AB116)))^2+(Q116*1000000*2*((H116-2*('Parametros'!$B$7+'Parametros'!$B$9/2))+(I116-2*('Parametros'!$B$7+'Parametros'!$B$9/2)))/(1.7*((H116-2*('Parametros'!$B$7+'Parametros'!$B$9/2))*(I116-2*('Parametros'!$B$7+'Parametros'!$B$9/2)))^2))^2)</f>
        <v>1.35809234200496</v>
      </c>
      <c r="BG116" s="10">
        <f>'Parametros'!$B$6*(AJ116*1000/(H116*MIN(U116,AB116))+0.66*SQRT('Parametros'!$B$2))</f>
        <v>3.29396038227542</v>
      </c>
      <c r="BH116" s="10" t="str">
        <f>IF(BF116&lt;=BG116,"CUMPLE","NO CUMPLE")</f>
        <v>CUMPLE</v>
      </c>
      <c r="BI116" s="10">
        <f>AX116*'Parametros'!$B$8</f>
        <v>1592</v>
      </c>
      <c r="BJ116" s="10" t="str">
        <f>IF(BI116&gt;=AW116,"CUMPLE","NO CUMPLE")</f>
        <v>CUMPLE</v>
      </c>
    </row>
    <row r="117">
      <c r="A117" s="18" t="inlineStr">
        <is>
          <t>VC4</t>
        </is>
      </c>
      <c r="B117" s="18" t="inlineStr">
        <is>
          <t>914</t>
        </is>
      </c>
      <c r="C117" s="10" t="n">
        <v>1</v>
      </c>
      <c r="D117" s="10" t="n">
        <v>3.25</v>
      </c>
      <c r="E117" s="10" t="n">
        <v>3.25</v>
      </c>
      <c r="F117" s="10" t="n">
        <v>450</v>
      </c>
      <c r="G117" s="10" t="n">
        <v>550</v>
      </c>
      <c r="H117" s="17" t="n">
        <v>450</v>
      </c>
      <c r="I117" s="17" t="n">
        <v>550</v>
      </c>
      <c r="J117" s="30" t="n">
        <v>87.81180000000001</v>
      </c>
      <c r="K117" s="10" t="inlineStr">
        <is>
          <t>914</t>
        </is>
      </c>
      <c r="L117" s="30" t="n">
        <v>59.3551</v>
      </c>
      <c r="M117" s="10" t="inlineStr">
        <is>
          <t>914</t>
        </is>
      </c>
      <c r="N117" s="30" t="n">
        <v>60.917</v>
      </c>
      <c r="O117" s="30" t="n">
        <v>200.969</v>
      </c>
      <c r="P117" s="10" t="inlineStr">
        <is>
          <t>914</t>
        </is>
      </c>
      <c r="Q117" s="30" t="n">
        <v>28.0199</v>
      </c>
      <c r="R117" s="10">
        <f>MAX(MAX(1.4/'Parametros'!$B$3,0.25*SQRT('Parametros'!$B$2)/'Parametros'!$B$3)*H117*U117,(0.85*'Parametros'!$B$2/'Parametros'!$B$3)*(1-SQRT(1-2*(J117*1000000/('Parametros'!$B$5*H117*U117^2))/(0.85*'Parametros'!$B$2)))*H117*U117)</f>
        <v>734.025</v>
      </c>
      <c r="S117" s="31" t="n">
        <v>4</v>
      </c>
      <c r="T117" s="32" t="n">
        <v>1</v>
      </c>
      <c r="U117" s="10">
        <f>IF(T117=1,I117-('Parametros'!$B$7+'Parametros'!$B$9+'Parametros'!$B$12/2),I117-(ROUNDUP(S117/2,0)*('Parametros'!$B$7+'Parametros'!$B$9+'Parametros'!$B$12/2)+ROUNDDOWN(S117/2,0)*('Parametros'!$B$7+'Parametros'!$B$9+'Parametros'!$B$12/2+'Parametros'!$B$12+'Parametros'!$B$10))/S117)</f>
        <v>489.35</v>
      </c>
      <c r="V117" s="10">
        <f>S117*'Parametros'!$B$8</f>
        <v>796</v>
      </c>
      <c r="W117" s="10">
        <f>'Parametros'!$B$5*V117*'Parametros'!$B$3*(U117-(V117*'Parametros'!$B$3/(0.85*'Parametros'!$B$2*H117))/2)/1000000</f>
        <v>142.543330094118</v>
      </c>
      <c r="X117" s="10" t="str">
        <f>IF(W117&gt;=J117,"CUMPLE","NO CUMPLE")</f>
        <v>CUMPLE</v>
      </c>
      <c r="Y117" s="10">
        <f>MAX(MAX(1.4/'Parametros'!$B$3,0.25*SQRT('Parametros'!$B$2)/'Parametros'!$B$3)*H117*AB117,(0.85*'Parametros'!$B$2/'Parametros'!$B$3)*(1-SQRT(1-2*(L117*1000000/('Parametros'!$B$5*H117*AB117^2))/(0.85*'Parametros'!$B$2)))*H117*AB117)</f>
        <v>734.025</v>
      </c>
      <c r="Z117" s="31" t="n">
        <v>4</v>
      </c>
      <c r="AA117" s="32" t="n">
        <v>1</v>
      </c>
      <c r="AB117" s="10">
        <f>IF(AA117=1,I117-('Parametros'!$B$7+'Parametros'!$B$9+'Parametros'!$B$12/2),I117-(ROUNDUP(Z117/2,0)*('Parametros'!$B$7+'Parametros'!$B$9+'Parametros'!$B$12/2)+ROUNDDOWN(Z117/2,0)*('Parametros'!$B$7+'Parametros'!$B$9+'Parametros'!$B$12/2+'Parametros'!$B$12+'Parametros'!$B$10))/Z117)</f>
        <v>489.35</v>
      </c>
      <c r="AC117" s="10">
        <f>Z117*'Parametros'!$B$8</f>
        <v>796</v>
      </c>
      <c r="AD117" s="10">
        <f>'Parametros'!$B$5*AC117*'Parametros'!$B$3*(AB117-(AC117*'Parametros'!$B$3/(0.85*'Parametros'!$B$2*H117))/2)/1000000</f>
        <v>142.543330094118</v>
      </c>
      <c r="AE117" s="10" t="str">
        <f>IF(AD117&gt;=L117,"CUMPLE","NO CUMPLE")</f>
        <v>CUMPLE</v>
      </c>
      <c r="AF117" s="10">
        <f>V117*1.25*'Parametros'!$B$3*(U117-(V117*1.25*'Parametros'!$B$3/(0.85*'Parametros'!$B$2*H117))/2)/1000000</f>
        <v>196.346217941176</v>
      </c>
      <c r="AG117" s="10">
        <f>AC117*1.25*'Parametros'!$B$3*(AB117-(AC117*1.25*'Parametros'!$B$3/(0.85*'Parametros'!$B$2*H117))/2)/1000000</f>
        <v>196.346217941176</v>
      </c>
      <c r="AH117" s="10">
        <f>N117+(AF117+AG117)/D117</f>
        <v>181.745441809955</v>
      </c>
      <c r="AI117" s="10">
        <f>MAX(O117,AH117)</f>
        <v>200.969</v>
      </c>
      <c r="AJ117" s="10">
        <f>0.17*SQRT('Parametros'!$B$2)*H117*MIN(U117,AB117)/1000</f>
        <v>198.088855822627</v>
      </c>
      <c r="AK117" s="10">
        <f>MAX(AI117/'Parametros'!$B$6-AJ117,0)</f>
        <v>69.8698108440397</v>
      </c>
      <c r="AL117" s="10">
        <f>0.66*SQRT('Parametros'!$B$2)*H117*MIN(U117,AB117)/1000</f>
        <v>769.050852017258</v>
      </c>
      <c r="AM117" s="10" t="str">
        <f>IF(AK117&lt;=AL117,"CUMPLE","NO CUMPLE")</f>
        <v>CUMPLE</v>
      </c>
      <c r="AN117" s="17" t="inlineStr">
        <is>
          <t>Nº3 cerrado</t>
        </is>
      </c>
      <c r="AO117" s="31" t="n">
        <v>2</v>
      </c>
      <c r="AP117" s="10">
        <f>ROUNDDOWN(MIN(IF(BC117+BD117=0,1000000000,AO117*BB117/(BC117+BD117)),MIN(U117,AB117)/4,8*'Parametros'!$B$12,24*BA117,300,IF(AV117=0,1000000000,2*((H117-2*('Parametros'!$B$7+'Parametros'!$B$9/2))+(I117-2*('Parametros'!$B$7+'Parametros'!$B$9/2)))/8))/10,0)*10</f>
        <v>120</v>
      </c>
      <c r="AQ117" s="10">
        <f>ROUNDDOWN(MIN(IF(BC117+BD117=0,1000000000,AO117*BB117/(BC117+BD117)),IF(AK117&gt;0.33*SQRT('Parametros'!$B$2)*H117*MIN(U117,AB117)/1000,MIN(U117,AB117)/4,MIN(U117,AB117)/2),600,IF(AV117=0,1000000000,2*((H117-2*('Parametros'!$B$7+'Parametros'!$B$9/2))+(I117-2*('Parametros'!$B$7+'Parametros'!$B$9/2)))/8))/10,0)*10</f>
        <v>130</v>
      </c>
      <c r="AR117" s="10">
        <f>'Parametros'!$B$6*(AJ117+MAX(BE117-BD117,0)*'Parametros'!$B$4*MIN(U117,AB117)/1000)</f>
        <v>232.245515892843</v>
      </c>
      <c r="AS117" s="10" t="str">
        <f>IF(AND(ISERROR(SEARCH("referencia",AN117)),AM117="CUMPLE",AR117&gt;=AI117),"CUMPLE","NO CUMPLE")</f>
        <v>CUMPLE</v>
      </c>
      <c r="AT117" s="10">
        <f>'Parametros'!$B$6*0.083*SQRT('Parametros'!$B$2)*(H117*I117)^2/(2*(H117+I117))/1000000</f>
        <v>10.0887830333379</v>
      </c>
      <c r="AU117" s="10" t="str">
        <f>IF(Q117&lt;=AT117,"DESPRECIABLE","DISEÑAR")</f>
        <v>DISEÑAR</v>
      </c>
      <c r="AV117" s="10">
        <f>IF(Q117&lt;=AT117,0,Q117*1000000/('Parametros'!$B$6*2*0.85*(H117-2*('Parametros'!$B$7+'Parametros'!$B$9/2))*(I117-2*('Parametros'!$B$7+'Parametros'!$B$9/2))*'Parametros'!$B$4))</f>
        <v>0.320238017305518</v>
      </c>
      <c r="AW117" s="10">
        <f>AV117*2*((H117-2*('Parametros'!$B$7+'Parametros'!$B$9/2))+(I117-2*('Parametros'!$B$7+'Parametros'!$B$9/2)))*'Parametros'!$B$4/'Parametros'!$B$3</f>
        <v>521.731777794151</v>
      </c>
      <c r="AX117" s="31" t="n">
        <v>8</v>
      </c>
      <c r="AY117" s="10" t="str">
        <f>IF(AV117=0,"DESPRECIABLE",IF(AND(ISERROR(SEARCH("referencia",AN117)),BB117/AP117&gt;=AV117,BI117&gt;=AW117,BH117="CUMPLE"),"CUMPLE","NO CUMPLE"))</f>
        <v>CUMPLE</v>
      </c>
      <c r="AZ117" s="10" t="str">
        <f>IF(AND(X117="CUMPLE",AE117="CUMPLE",AS117="CUMPLE",OR(AY117="CUMPLE",AY117="DESPRECIABLE"),BH117="CUMPLE",BJ117="CUMPLE"),"CUMPLE","NO CUMPLE")</f>
        <v>CUMPLE</v>
      </c>
      <c r="BA117" s="32" t="n">
        <v>9.5</v>
      </c>
      <c r="BB117" s="32" t="n">
        <v>71</v>
      </c>
      <c r="BC117" s="10">
        <f>MAX(IF(AK117=0,0,AK117*1000/('Parametros'!$B$4*MIN(U117,AB117))),MAX(0.062*SQRT('Parametros'!$B$2)*H117/'Parametros'!$B$4,0.35*H117/'Parametros'!$B$4))</f>
        <v>0.375</v>
      </c>
      <c r="BD117" s="10">
        <f>2*AV117</f>
        <v>0.640476034611037</v>
      </c>
      <c r="BE117" s="10">
        <f>AO117*BB117/AP117</f>
        <v>1.18333333333333</v>
      </c>
      <c r="BF117" s="10">
        <f>SQRT((AI117*1000/(H117*MIN(U117,AB117)))^2+(Q117*1000000*2*((H117-2*('Parametros'!$B$7+'Parametros'!$B$9/2))+(I117-2*('Parametros'!$B$7+'Parametros'!$B$9/2)))/(1.7*((H117-2*('Parametros'!$B$7+'Parametros'!$B$9/2))*(I117-2*('Parametros'!$B$7+'Parametros'!$B$9/2)))^2))^2)</f>
        <v>1.35815741711393</v>
      </c>
      <c r="BG117" s="10">
        <f>'Parametros'!$B$6*(AJ117*1000/(H117*MIN(U117,AB117))+0.66*SQRT('Parametros'!$B$2))</f>
        <v>3.29396038227542</v>
      </c>
      <c r="BH117" s="10" t="str">
        <f>IF(BF117&lt;=BG117,"CUMPLE","NO CUMPLE")</f>
        <v>CUMPLE</v>
      </c>
      <c r="BI117" s="10">
        <f>AX117*'Parametros'!$B$8</f>
        <v>1592</v>
      </c>
      <c r="BJ117" s="10" t="str">
        <f>IF(BI117&gt;=AW117,"CUMPLE","NO CUMPLE")</f>
        <v>CUMPLE</v>
      </c>
    </row>
    <row r="118">
      <c r="A118" s="18" t="inlineStr">
        <is>
          <t>VC4</t>
        </is>
      </c>
      <c r="B118" s="18" t="inlineStr">
        <is>
          <t>939</t>
        </is>
      </c>
      <c r="C118" s="10" t="n">
        <v>1</v>
      </c>
      <c r="D118" s="10" t="n">
        <v>3.25</v>
      </c>
      <c r="E118" s="10" t="n">
        <v>3.25</v>
      </c>
      <c r="F118" s="10" t="n">
        <v>450</v>
      </c>
      <c r="G118" s="10" t="n">
        <v>550</v>
      </c>
      <c r="H118" s="17" t="n">
        <v>450</v>
      </c>
      <c r="I118" s="17" t="n">
        <v>550</v>
      </c>
      <c r="J118" s="30" t="n">
        <v>87.82899999999999</v>
      </c>
      <c r="K118" s="10" t="inlineStr">
        <is>
          <t>939</t>
        </is>
      </c>
      <c r="L118" s="30" t="n">
        <v>59.3506</v>
      </c>
      <c r="M118" s="10" t="inlineStr">
        <is>
          <t>939</t>
        </is>
      </c>
      <c r="N118" s="30" t="n">
        <v>60.932</v>
      </c>
      <c r="O118" s="30" t="n">
        <v>200.997</v>
      </c>
      <c r="P118" s="10" t="inlineStr">
        <is>
          <t>939</t>
        </is>
      </c>
      <c r="Q118" s="30" t="n">
        <v>28.0289</v>
      </c>
      <c r="R118" s="10">
        <f>MAX(MAX(1.4/'Parametros'!$B$3,0.25*SQRT('Parametros'!$B$2)/'Parametros'!$B$3)*H118*U118,(0.85*'Parametros'!$B$2/'Parametros'!$B$3)*(1-SQRT(1-2*(J118*1000000/('Parametros'!$B$5*H118*U118^2))/(0.85*'Parametros'!$B$2)))*H118*U118)</f>
        <v>734.025</v>
      </c>
      <c r="S118" s="31" t="n">
        <v>4</v>
      </c>
      <c r="T118" s="32" t="n">
        <v>1</v>
      </c>
      <c r="U118" s="10">
        <f>IF(T118=1,I118-('Parametros'!$B$7+'Parametros'!$B$9+'Parametros'!$B$12/2),I118-(ROUNDUP(S118/2,0)*('Parametros'!$B$7+'Parametros'!$B$9+'Parametros'!$B$12/2)+ROUNDDOWN(S118/2,0)*('Parametros'!$B$7+'Parametros'!$B$9+'Parametros'!$B$12/2+'Parametros'!$B$12+'Parametros'!$B$10))/S118)</f>
        <v>489.35</v>
      </c>
      <c r="V118" s="10">
        <f>S118*'Parametros'!$B$8</f>
        <v>796</v>
      </c>
      <c r="W118" s="10">
        <f>'Parametros'!$B$5*V118*'Parametros'!$B$3*(U118-(V118*'Parametros'!$B$3/(0.85*'Parametros'!$B$2*H118))/2)/1000000</f>
        <v>142.543330094118</v>
      </c>
      <c r="X118" s="10" t="str">
        <f>IF(W118&gt;=J118,"CUMPLE","NO CUMPLE")</f>
        <v>CUMPLE</v>
      </c>
      <c r="Y118" s="10">
        <f>MAX(MAX(1.4/'Parametros'!$B$3,0.25*SQRT('Parametros'!$B$2)/'Parametros'!$B$3)*H118*AB118,(0.85*'Parametros'!$B$2/'Parametros'!$B$3)*(1-SQRT(1-2*(L118*1000000/('Parametros'!$B$5*H118*AB118^2))/(0.85*'Parametros'!$B$2)))*H118*AB118)</f>
        <v>734.025</v>
      </c>
      <c r="Z118" s="31" t="n">
        <v>4</v>
      </c>
      <c r="AA118" s="32" t="n">
        <v>1</v>
      </c>
      <c r="AB118" s="10">
        <f>IF(AA118=1,I118-('Parametros'!$B$7+'Parametros'!$B$9+'Parametros'!$B$12/2),I118-(ROUNDUP(Z118/2,0)*('Parametros'!$B$7+'Parametros'!$B$9+'Parametros'!$B$12/2)+ROUNDDOWN(Z118/2,0)*('Parametros'!$B$7+'Parametros'!$B$9+'Parametros'!$B$12/2+'Parametros'!$B$12+'Parametros'!$B$10))/Z118)</f>
        <v>489.35</v>
      </c>
      <c r="AC118" s="10">
        <f>Z118*'Parametros'!$B$8</f>
        <v>796</v>
      </c>
      <c r="AD118" s="10">
        <f>'Parametros'!$B$5*AC118*'Parametros'!$B$3*(AB118-(AC118*'Parametros'!$B$3/(0.85*'Parametros'!$B$2*H118))/2)/1000000</f>
        <v>142.543330094118</v>
      </c>
      <c r="AE118" s="10" t="str">
        <f>IF(AD118&gt;=L118,"CUMPLE","NO CUMPLE")</f>
        <v>CUMPLE</v>
      </c>
      <c r="AF118" s="10">
        <f>V118*1.25*'Parametros'!$B$3*(U118-(V118*1.25*'Parametros'!$B$3/(0.85*'Parametros'!$B$2*H118))/2)/1000000</f>
        <v>196.346217941176</v>
      </c>
      <c r="AG118" s="10">
        <f>AC118*1.25*'Parametros'!$B$3*(AB118-(AC118*1.25*'Parametros'!$B$3/(0.85*'Parametros'!$B$2*H118))/2)/1000000</f>
        <v>196.346217941176</v>
      </c>
      <c r="AH118" s="10">
        <f>N118+(AF118+AG118)/D118</f>
        <v>181.760441809955</v>
      </c>
      <c r="AI118" s="10">
        <f>MAX(O118,AH118)</f>
        <v>200.997</v>
      </c>
      <c r="AJ118" s="10">
        <f>0.17*SQRT('Parametros'!$B$2)*H118*MIN(U118,AB118)/1000</f>
        <v>198.088855822627</v>
      </c>
      <c r="AK118" s="10">
        <f>MAX(AI118/'Parametros'!$B$6-AJ118,0)</f>
        <v>69.9071441773731</v>
      </c>
      <c r="AL118" s="10">
        <f>0.66*SQRT('Parametros'!$B$2)*H118*MIN(U118,AB118)/1000</f>
        <v>769.050852017258</v>
      </c>
      <c r="AM118" s="10" t="str">
        <f>IF(AK118&lt;=AL118,"CUMPLE","NO CUMPLE")</f>
        <v>CUMPLE</v>
      </c>
      <c r="AN118" s="17" t="inlineStr">
        <is>
          <t>Nº3 cerrado</t>
        </is>
      </c>
      <c r="AO118" s="31" t="n">
        <v>2</v>
      </c>
      <c r="AP118" s="10">
        <f>ROUNDDOWN(MIN(IF(BC118+BD118=0,1000000000,AO118*BB118/(BC118+BD118)),MIN(U118,AB118)/4,8*'Parametros'!$B$12,24*BA118,300,IF(AV118=0,1000000000,2*((H118-2*('Parametros'!$B$7+'Parametros'!$B$9/2))+(I118-2*('Parametros'!$B$7+'Parametros'!$B$9/2)))/8))/10,0)*10</f>
        <v>120</v>
      </c>
      <c r="AQ118" s="10">
        <f>ROUNDDOWN(MIN(IF(BC118+BD118=0,1000000000,AO118*BB118/(BC118+BD118)),IF(AK118&gt;0.33*SQRT('Parametros'!$B$2)*H118*MIN(U118,AB118)/1000,MIN(U118,AB118)/4,MIN(U118,AB118)/2),600,IF(AV118=0,1000000000,2*((H118-2*('Parametros'!$B$7+'Parametros'!$B$9/2))+(I118-2*('Parametros'!$B$7+'Parametros'!$B$9/2)))/8))/10,0)*10</f>
        <v>130</v>
      </c>
      <c r="AR118" s="10">
        <f>'Parametros'!$B$6*(AJ118+MAX(BE118-BD118,0)*'Parametros'!$B$4*MIN(U118,AB118)/1000)</f>
        <v>232.213804964315</v>
      </c>
      <c r="AS118" s="10" t="str">
        <f>IF(AND(ISERROR(SEARCH("referencia",AN118)),AM118="CUMPLE",AR118&gt;=AI118),"CUMPLE","NO CUMPLE")</f>
        <v>CUMPLE</v>
      </c>
      <c r="AT118" s="10">
        <f>'Parametros'!$B$6*0.083*SQRT('Parametros'!$B$2)*(H118*I118)^2/(2*(H118+I118))/1000000</f>
        <v>10.0887830333379</v>
      </c>
      <c r="AU118" s="10" t="str">
        <f>IF(Q118&lt;=AT118,"DESPRECIABLE","DISEÑAR")</f>
        <v>DISEÑAR</v>
      </c>
      <c r="AV118" s="10">
        <f>IF(Q118&lt;=AT118,0,Q118*1000000/('Parametros'!$B$6*2*0.85*(H118-2*('Parametros'!$B$7+'Parametros'!$B$9/2))*(I118-2*('Parametros'!$B$7+'Parametros'!$B$9/2))*'Parametros'!$B$4))</f>
        <v>0.32034087784948</v>
      </c>
      <c r="AW118" s="10">
        <f>AV118*2*((H118-2*('Parametros'!$B$7+'Parametros'!$B$9/2))+(I118-2*('Parametros'!$B$7+'Parametros'!$B$9/2)))*'Parametros'!$B$4/'Parametros'!$B$3</f>
        <v>521.899358192373</v>
      </c>
      <c r="AX118" s="31" t="n">
        <v>8</v>
      </c>
      <c r="AY118" s="10" t="str">
        <f>IF(AV118=0,"DESPRECIABLE",IF(AND(ISERROR(SEARCH("referencia",AN118)),BB118/AP118&gt;=AV118,BI118&gt;=AW118,BH118="CUMPLE"),"CUMPLE","NO CUMPLE"))</f>
        <v>CUMPLE</v>
      </c>
      <c r="AZ118" s="10" t="str">
        <f>IF(AND(X118="CUMPLE",AE118="CUMPLE",AS118="CUMPLE",OR(AY118="CUMPLE",AY118="DESPRECIABLE"),BH118="CUMPLE",BJ118="CUMPLE"),"CUMPLE","NO CUMPLE")</f>
        <v>CUMPLE</v>
      </c>
      <c r="BA118" s="32" t="n">
        <v>9.5</v>
      </c>
      <c r="BB118" s="32" t="n">
        <v>71</v>
      </c>
      <c r="BC118" s="10">
        <f>MAX(IF(AK118=0,0,AK118*1000/('Parametros'!$B$4*MIN(U118,AB118))),MAX(0.062*SQRT('Parametros'!$B$2)*H118/'Parametros'!$B$4,0.35*H118/'Parametros'!$B$4))</f>
        <v>0.375</v>
      </c>
      <c r="BD118" s="10">
        <f>2*AV118</f>
        <v>0.64068175569896</v>
      </c>
      <c r="BE118" s="10">
        <f>AO118*BB118/AP118</f>
        <v>1.18333333333333</v>
      </c>
      <c r="BF118" s="10">
        <f>SQRT((AI118*1000/(H118*MIN(U118,AB118)))^2+(Q118*1000000*2*((H118-2*('Parametros'!$B$7+'Parametros'!$B$9/2))+(I118-2*('Parametros'!$B$7+'Parametros'!$B$9/2)))/(1.7*((H118-2*('Parametros'!$B$7+'Parametros'!$B$9/2))*(I118-2*('Parametros'!$B$7+'Parametros'!$B$9/2)))^2))^2)</f>
        <v>1.35848212658339</v>
      </c>
      <c r="BG118" s="10">
        <f>'Parametros'!$B$6*(AJ118*1000/(H118*MIN(U118,AB118))+0.66*SQRT('Parametros'!$B$2))</f>
        <v>3.29396038227542</v>
      </c>
      <c r="BH118" s="10" t="str">
        <f>IF(BF118&lt;=BG118,"CUMPLE","NO CUMPLE")</f>
        <v>CUMPLE</v>
      </c>
      <c r="BI118" s="10">
        <f>AX118*'Parametros'!$B$8</f>
        <v>1592</v>
      </c>
      <c r="BJ118" s="10" t="str">
        <f>IF(BI118&gt;=AW118,"CUMPLE","NO CUMPLE")</f>
        <v>CUMPLE</v>
      </c>
    </row>
    <row r="119">
      <c r="A119" s="18" t="inlineStr">
        <is>
          <t>VC4</t>
        </is>
      </c>
      <c r="B119" s="18" t="inlineStr">
        <is>
          <t>940</t>
        </is>
      </c>
      <c r="C119" s="10" t="n">
        <v>1</v>
      </c>
      <c r="D119" s="10" t="n">
        <v>3.25</v>
      </c>
      <c r="E119" s="10" t="n">
        <v>3.25</v>
      </c>
      <c r="F119" s="10" t="n">
        <v>450</v>
      </c>
      <c r="G119" s="10" t="n">
        <v>550</v>
      </c>
      <c r="H119" s="17" t="n">
        <v>450</v>
      </c>
      <c r="I119" s="17" t="n">
        <v>550</v>
      </c>
      <c r="J119" s="30" t="n">
        <v>87.83150000000001</v>
      </c>
      <c r="K119" s="10" t="inlineStr">
        <is>
          <t>940</t>
        </is>
      </c>
      <c r="L119" s="30" t="n">
        <v>59.3374</v>
      </c>
      <c r="M119" s="10" t="inlineStr">
        <is>
          <t>940</t>
        </is>
      </c>
      <c r="N119" s="30" t="n">
        <v>60.929</v>
      </c>
      <c r="O119" s="30" t="n">
        <v>200.993</v>
      </c>
      <c r="P119" s="10" t="inlineStr">
        <is>
          <t>940</t>
        </is>
      </c>
      <c r="Q119" s="30" t="n">
        <v>28.028</v>
      </c>
      <c r="R119" s="10">
        <f>MAX(MAX(1.4/'Parametros'!$B$3,0.25*SQRT('Parametros'!$B$2)/'Parametros'!$B$3)*H119*U119,(0.85*'Parametros'!$B$2/'Parametros'!$B$3)*(1-SQRT(1-2*(J119*1000000/('Parametros'!$B$5*H119*U119^2))/(0.85*'Parametros'!$B$2)))*H119*U119)</f>
        <v>734.025</v>
      </c>
      <c r="S119" s="31" t="n">
        <v>4</v>
      </c>
      <c r="T119" s="32" t="n">
        <v>1</v>
      </c>
      <c r="U119" s="10">
        <f>IF(T119=1,I119-('Parametros'!$B$7+'Parametros'!$B$9+'Parametros'!$B$12/2),I119-(ROUNDUP(S119/2,0)*('Parametros'!$B$7+'Parametros'!$B$9+'Parametros'!$B$12/2)+ROUNDDOWN(S119/2,0)*('Parametros'!$B$7+'Parametros'!$B$9+'Parametros'!$B$12/2+'Parametros'!$B$12+'Parametros'!$B$10))/S119)</f>
        <v>489.35</v>
      </c>
      <c r="V119" s="10">
        <f>S119*'Parametros'!$B$8</f>
        <v>796</v>
      </c>
      <c r="W119" s="10">
        <f>'Parametros'!$B$5*V119*'Parametros'!$B$3*(U119-(V119*'Parametros'!$B$3/(0.85*'Parametros'!$B$2*H119))/2)/1000000</f>
        <v>142.543330094118</v>
      </c>
      <c r="X119" s="10" t="str">
        <f>IF(W119&gt;=J119,"CUMPLE","NO CUMPLE")</f>
        <v>CUMPLE</v>
      </c>
      <c r="Y119" s="10">
        <f>MAX(MAX(1.4/'Parametros'!$B$3,0.25*SQRT('Parametros'!$B$2)/'Parametros'!$B$3)*H119*AB119,(0.85*'Parametros'!$B$2/'Parametros'!$B$3)*(1-SQRT(1-2*(L119*1000000/('Parametros'!$B$5*H119*AB119^2))/(0.85*'Parametros'!$B$2)))*H119*AB119)</f>
        <v>734.025</v>
      </c>
      <c r="Z119" s="31" t="n">
        <v>4</v>
      </c>
      <c r="AA119" s="32" t="n">
        <v>1</v>
      </c>
      <c r="AB119" s="10">
        <f>IF(AA119=1,I119-('Parametros'!$B$7+'Parametros'!$B$9+'Parametros'!$B$12/2),I119-(ROUNDUP(Z119/2,0)*('Parametros'!$B$7+'Parametros'!$B$9+'Parametros'!$B$12/2)+ROUNDDOWN(Z119/2,0)*('Parametros'!$B$7+'Parametros'!$B$9+'Parametros'!$B$12/2+'Parametros'!$B$12+'Parametros'!$B$10))/Z119)</f>
        <v>489.35</v>
      </c>
      <c r="AC119" s="10">
        <f>Z119*'Parametros'!$B$8</f>
        <v>796</v>
      </c>
      <c r="AD119" s="10">
        <f>'Parametros'!$B$5*AC119*'Parametros'!$B$3*(AB119-(AC119*'Parametros'!$B$3/(0.85*'Parametros'!$B$2*H119))/2)/1000000</f>
        <v>142.543330094118</v>
      </c>
      <c r="AE119" s="10" t="str">
        <f>IF(AD119&gt;=L119,"CUMPLE","NO CUMPLE")</f>
        <v>CUMPLE</v>
      </c>
      <c r="AF119" s="10">
        <f>V119*1.25*'Parametros'!$B$3*(U119-(V119*1.25*'Parametros'!$B$3/(0.85*'Parametros'!$B$2*H119))/2)/1000000</f>
        <v>196.346217941176</v>
      </c>
      <c r="AG119" s="10">
        <f>AC119*1.25*'Parametros'!$B$3*(AB119-(AC119*1.25*'Parametros'!$B$3/(0.85*'Parametros'!$B$2*H119))/2)/1000000</f>
        <v>196.346217941176</v>
      </c>
      <c r="AH119" s="10">
        <f>N119+(AF119+AG119)/D119</f>
        <v>181.757441809955</v>
      </c>
      <c r="AI119" s="10">
        <f>MAX(O119,AH119)</f>
        <v>200.993</v>
      </c>
      <c r="AJ119" s="10">
        <f>0.17*SQRT('Parametros'!$B$2)*H119*MIN(U119,AB119)/1000</f>
        <v>198.088855822627</v>
      </c>
      <c r="AK119" s="10">
        <f>MAX(AI119/'Parametros'!$B$6-AJ119,0)</f>
        <v>69.9018108440397</v>
      </c>
      <c r="AL119" s="10">
        <f>0.66*SQRT('Parametros'!$B$2)*H119*MIN(U119,AB119)/1000</f>
        <v>769.050852017258</v>
      </c>
      <c r="AM119" s="10" t="str">
        <f>IF(AK119&lt;=AL119,"CUMPLE","NO CUMPLE")</f>
        <v>CUMPLE</v>
      </c>
      <c r="AN119" s="17" t="inlineStr">
        <is>
          <t>Nº3 cerrado</t>
        </is>
      </c>
      <c r="AO119" s="31" t="n">
        <v>2</v>
      </c>
      <c r="AP119" s="10">
        <f>ROUNDDOWN(MIN(IF(BC119+BD119=0,1000000000,AO119*BB119/(BC119+BD119)),MIN(U119,AB119)/4,8*'Parametros'!$B$12,24*BA119,300,IF(AV119=0,1000000000,2*((H119-2*('Parametros'!$B$7+'Parametros'!$B$9/2))+(I119-2*('Parametros'!$B$7+'Parametros'!$B$9/2)))/8))/10,0)*10</f>
        <v>120</v>
      </c>
      <c r="AQ119" s="10">
        <f>ROUNDDOWN(MIN(IF(BC119+BD119=0,1000000000,AO119*BB119/(BC119+BD119)),IF(AK119&gt;0.33*SQRT('Parametros'!$B$2)*H119*MIN(U119,AB119)/1000,MIN(U119,AB119)/4,MIN(U119,AB119)/2),600,IF(AV119=0,1000000000,2*((H119-2*('Parametros'!$B$7+'Parametros'!$B$9/2))+(I119-2*('Parametros'!$B$7+'Parametros'!$B$9/2)))/8))/10,0)*10</f>
        <v>130</v>
      </c>
      <c r="AR119" s="10">
        <f>'Parametros'!$B$6*(AJ119+MAX(BE119-BD119,0)*'Parametros'!$B$4*MIN(U119,AB119)/1000)</f>
        <v>232.216976057168</v>
      </c>
      <c r="AS119" s="10" t="str">
        <f>IF(AND(ISERROR(SEARCH("referencia",AN119)),AM119="CUMPLE",AR119&gt;=AI119),"CUMPLE","NO CUMPLE")</f>
        <v>CUMPLE</v>
      </c>
      <c r="AT119" s="10">
        <f>'Parametros'!$B$6*0.083*SQRT('Parametros'!$B$2)*(H119*I119)^2/(2*(H119+I119))/1000000</f>
        <v>10.0887830333379</v>
      </c>
      <c r="AU119" s="10" t="str">
        <f>IF(Q119&lt;=AT119,"DESPRECIABLE","DISEÑAR")</f>
        <v>DISEÑAR</v>
      </c>
      <c r="AV119" s="10">
        <f>IF(Q119&lt;=AT119,0,Q119*1000000/('Parametros'!$B$6*2*0.85*(H119-2*('Parametros'!$B$7+'Parametros'!$B$9/2))*(I119-2*('Parametros'!$B$7+'Parametros'!$B$9/2))*'Parametros'!$B$4))</f>
        <v>0.320330591795084</v>
      </c>
      <c r="AW119" s="10">
        <f>AV119*2*((H119-2*('Parametros'!$B$7+'Parametros'!$B$9/2))+(I119-2*('Parametros'!$B$7+'Parametros'!$B$9/2)))*'Parametros'!$B$4/'Parametros'!$B$3</f>
        <v>521.882600152551</v>
      </c>
      <c r="AX119" s="31" t="n">
        <v>8</v>
      </c>
      <c r="AY119" s="10" t="str">
        <f>IF(AV119=0,"DESPRECIABLE",IF(AND(ISERROR(SEARCH("referencia",AN119)),BB119/AP119&gt;=AV119,BI119&gt;=AW119,BH119="CUMPLE"),"CUMPLE","NO CUMPLE"))</f>
        <v>CUMPLE</v>
      </c>
      <c r="AZ119" s="10" t="str">
        <f>IF(AND(X119="CUMPLE",AE119="CUMPLE",AS119="CUMPLE",OR(AY119="CUMPLE",AY119="DESPRECIABLE"),BH119="CUMPLE",BJ119="CUMPLE"),"CUMPLE","NO CUMPLE")</f>
        <v>CUMPLE</v>
      </c>
      <c r="BA119" s="32" t="n">
        <v>9.5</v>
      </c>
      <c r="BB119" s="32" t="n">
        <v>71</v>
      </c>
      <c r="BC119" s="10">
        <f>MAX(IF(AK119=0,0,AK119*1000/('Parametros'!$B$4*MIN(U119,AB119))),MAX(0.062*SQRT('Parametros'!$B$2)*H119/'Parametros'!$B$4,0.35*H119/'Parametros'!$B$4))</f>
        <v>0.375</v>
      </c>
      <c r="BD119" s="10">
        <f>2*AV119</f>
        <v>0.640661183590168</v>
      </c>
      <c r="BE119" s="10">
        <f>AO119*BB119/AP119</f>
        <v>1.18333333333333</v>
      </c>
      <c r="BF119" s="10">
        <f>SQRT((AI119*1000/(H119*MIN(U119,AB119)))^2+(Q119*1000000*2*((H119-2*('Parametros'!$B$7+'Parametros'!$B$9/2))+(I119-2*('Parametros'!$B$7+'Parametros'!$B$9/2)))/(1.7*((H119-2*('Parametros'!$B$7+'Parametros'!$B$9/2))*(I119-2*('Parametros'!$B$7+'Parametros'!$B$9/2)))^2))^2)</f>
        <v>1.35844599365909</v>
      </c>
      <c r="BG119" s="10">
        <f>'Parametros'!$B$6*(AJ119*1000/(H119*MIN(U119,AB119))+0.66*SQRT('Parametros'!$B$2))</f>
        <v>3.29396038227542</v>
      </c>
      <c r="BH119" s="10" t="str">
        <f>IF(BF119&lt;=BG119,"CUMPLE","NO CUMPLE")</f>
        <v>CUMPLE</v>
      </c>
      <c r="BI119" s="10">
        <f>AX119*'Parametros'!$B$8</f>
        <v>1592</v>
      </c>
      <c r="BJ119" s="10" t="str">
        <f>IF(BI119&gt;=AW119,"CUMPLE","NO CUMPLE")</f>
        <v>CUMPLE</v>
      </c>
    </row>
    <row r="120">
      <c r="A120" s="18" t="inlineStr">
        <is>
          <t>VC4</t>
        </is>
      </c>
      <c r="B120" s="18" t="inlineStr">
        <is>
          <t>1007</t>
        </is>
      </c>
      <c r="C120" s="10" t="n">
        <v>1</v>
      </c>
      <c r="D120" s="10" t="n">
        <v>3.25</v>
      </c>
      <c r="E120" s="10" t="n">
        <v>3.25</v>
      </c>
      <c r="F120" s="10" t="n">
        <v>450</v>
      </c>
      <c r="G120" s="10" t="n">
        <v>550</v>
      </c>
      <c r="H120" s="17" t="n">
        <v>450</v>
      </c>
      <c r="I120" s="17" t="n">
        <v>550</v>
      </c>
      <c r="J120" s="30" t="n">
        <v>42.0466</v>
      </c>
      <c r="K120" s="10" t="inlineStr">
        <is>
          <t>1007</t>
        </is>
      </c>
      <c r="L120" s="30" t="n">
        <v>17.2035</v>
      </c>
      <c r="M120" s="10" t="inlineStr">
        <is>
          <t>1007</t>
        </is>
      </c>
      <c r="N120" s="30" t="n">
        <v>35.001</v>
      </c>
      <c r="O120" s="30" t="n">
        <v>86.07899999999999</v>
      </c>
      <c r="P120" s="10" t="inlineStr">
        <is>
          <t>1007</t>
        </is>
      </c>
      <c r="Q120" s="30" t="n">
        <v>7.1386</v>
      </c>
      <c r="R120" s="10">
        <f>MAX(MAX(1.4/'Parametros'!$B$3,0.25*SQRT('Parametros'!$B$2)/'Parametros'!$B$3)*H120*U120,(0.85*'Parametros'!$B$2/'Parametros'!$B$3)*(1-SQRT(1-2*(J120*1000000/('Parametros'!$B$5*H120*U120^2))/(0.85*'Parametros'!$B$2)))*H120*U120)</f>
        <v>734.025</v>
      </c>
      <c r="S120" s="31" t="n">
        <v>4</v>
      </c>
      <c r="T120" s="32" t="n">
        <v>1</v>
      </c>
      <c r="U120" s="10">
        <f>IF(T120=1,I120-('Parametros'!$B$7+'Parametros'!$B$9+'Parametros'!$B$12/2),I120-(ROUNDUP(S120/2,0)*('Parametros'!$B$7+'Parametros'!$B$9+'Parametros'!$B$12/2)+ROUNDDOWN(S120/2,0)*('Parametros'!$B$7+'Parametros'!$B$9+'Parametros'!$B$12/2+'Parametros'!$B$12+'Parametros'!$B$10))/S120)</f>
        <v>489.35</v>
      </c>
      <c r="V120" s="10">
        <f>S120*'Parametros'!$B$8</f>
        <v>796</v>
      </c>
      <c r="W120" s="10">
        <f>'Parametros'!$B$5*V120*'Parametros'!$B$3*(U120-(V120*'Parametros'!$B$3/(0.85*'Parametros'!$B$2*H120))/2)/1000000</f>
        <v>142.543330094118</v>
      </c>
      <c r="X120" s="10" t="str">
        <f>IF(W120&gt;=J120,"CUMPLE","NO CUMPLE")</f>
        <v>CUMPLE</v>
      </c>
      <c r="Y120" s="10">
        <f>MAX(MAX(1.4/'Parametros'!$B$3,0.25*SQRT('Parametros'!$B$2)/'Parametros'!$B$3)*H120*AB120,(0.85*'Parametros'!$B$2/'Parametros'!$B$3)*(1-SQRT(1-2*(L120*1000000/('Parametros'!$B$5*H120*AB120^2))/(0.85*'Parametros'!$B$2)))*H120*AB120)</f>
        <v>734.025</v>
      </c>
      <c r="Z120" s="31" t="n">
        <v>4</v>
      </c>
      <c r="AA120" s="32" t="n">
        <v>1</v>
      </c>
      <c r="AB120" s="10">
        <f>IF(AA120=1,I120-('Parametros'!$B$7+'Parametros'!$B$9+'Parametros'!$B$12/2),I120-(ROUNDUP(Z120/2,0)*('Parametros'!$B$7+'Parametros'!$B$9+'Parametros'!$B$12/2)+ROUNDDOWN(Z120/2,0)*('Parametros'!$B$7+'Parametros'!$B$9+'Parametros'!$B$12/2+'Parametros'!$B$12+'Parametros'!$B$10))/Z120)</f>
        <v>489.35</v>
      </c>
      <c r="AC120" s="10">
        <f>Z120*'Parametros'!$B$8</f>
        <v>796</v>
      </c>
      <c r="AD120" s="10">
        <f>'Parametros'!$B$5*AC120*'Parametros'!$B$3*(AB120-(AC120*'Parametros'!$B$3/(0.85*'Parametros'!$B$2*H120))/2)/1000000</f>
        <v>142.543330094118</v>
      </c>
      <c r="AE120" s="10" t="str">
        <f>IF(AD120&gt;=L120,"CUMPLE","NO CUMPLE")</f>
        <v>CUMPLE</v>
      </c>
      <c r="AF120" s="10">
        <f>V120*1.25*'Parametros'!$B$3*(U120-(V120*1.25*'Parametros'!$B$3/(0.85*'Parametros'!$B$2*H120))/2)/1000000</f>
        <v>196.346217941176</v>
      </c>
      <c r="AG120" s="10">
        <f>AC120*1.25*'Parametros'!$B$3*(AB120-(AC120*1.25*'Parametros'!$B$3/(0.85*'Parametros'!$B$2*H120))/2)/1000000</f>
        <v>196.346217941176</v>
      </c>
      <c r="AH120" s="10">
        <f>N120+(AF120+AG120)/D120</f>
        <v>155.829441809955</v>
      </c>
      <c r="AI120" s="10">
        <f>MAX(O120,AH120)</f>
        <v>155.829441809955</v>
      </c>
      <c r="AJ120" s="10">
        <f>0.17*SQRT('Parametros'!$B$2)*H120*MIN(U120,AB120)/1000</f>
        <v>198.088855822627</v>
      </c>
      <c r="AK120" s="10">
        <f>MAX(AI120/'Parametros'!$B$6-AJ120,0)</f>
        <v>9.68373325731267</v>
      </c>
      <c r="AL120" s="10">
        <f>0.66*SQRT('Parametros'!$B$2)*H120*MIN(U120,AB120)/1000</f>
        <v>769.050852017258</v>
      </c>
      <c r="AM120" s="10" t="str">
        <f>IF(AK120&lt;=AL120,"CUMPLE","NO CUMPLE")</f>
        <v>CUMPLE</v>
      </c>
      <c r="AN120" s="17" t="inlineStr">
        <is>
          <t>Nº3 cerrado</t>
        </is>
      </c>
      <c r="AO120" s="31" t="n">
        <v>2</v>
      </c>
      <c r="AP120" s="10">
        <f>ROUNDDOWN(MIN(IF(BC120+BD120=0,1000000000,AO120*BB120/(BC120+BD120)),MIN(U120,AB120)/4,8*'Parametros'!$B$12,24*BA120,300,IF(AV120=0,1000000000,2*((H120-2*('Parametros'!$B$7+'Parametros'!$B$9/2))+(I120-2*('Parametros'!$B$7+'Parametros'!$B$9/2)))/8))/10,0)*10</f>
        <v>120</v>
      </c>
      <c r="AQ120" s="10">
        <f>ROUNDDOWN(MIN(IF(BC120+BD120=0,1000000000,AO120*BB120/(BC120+BD120)),IF(AK120&gt;0.33*SQRT('Parametros'!$B$2)*H120*MIN(U120,AB120)/1000,MIN(U120,AB120)/4,MIN(U120,AB120)/2),600,IF(AV120=0,1000000000,2*((H120-2*('Parametros'!$B$7+'Parametros'!$B$9/2))+(I120-2*('Parametros'!$B$7+'Parametros'!$B$9/2)))/8))/10,0)*10</f>
        <v>240</v>
      </c>
      <c r="AR120" s="10">
        <f>'Parametros'!$B$6*(AJ120+MAX(BE120-BD120,0)*'Parametros'!$B$4*MIN(U120,AB120)/1000)</f>
        <v>330.97185436697</v>
      </c>
      <c r="AS120" s="10" t="str">
        <f>IF(AND(ISERROR(SEARCH("referencia",AN120)),AM120="CUMPLE",AR120&gt;=AI120),"CUMPLE","NO CUMPLE")</f>
        <v>CUMPLE</v>
      </c>
      <c r="AT120" s="10">
        <f>'Parametros'!$B$6*0.083*SQRT('Parametros'!$B$2)*(H120*I120)^2/(2*(H120+I120))/1000000</f>
        <v>10.0887830333379</v>
      </c>
      <c r="AU120" s="10" t="str">
        <f>IF(Q120&lt;=AT120,"DESPRECIABLE","DISEÑAR")</f>
        <v>DESPRECIABLE</v>
      </c>
      <c r="AV120" s="10">
        <f>IF(Q120&lt;=AT120,0,Q120*1000000/('Parametros'!$B$6*2*0.85*(H120-2*('Parametros'!$B$7+'Parametros'!$B$9/2))*(I120-2*('Parametros'!$B$7+'Parametros'!$B$9/2))*'Parametros'!$B$4))</f>
        <v>0</v>
      </c>
      <c r="AW120" s="10">
        <f>AV120*2*((H120-2*('Parametros'!$B$7+'Parametros'!$B$9/2))+(I120-2*('Parametros'!$B$7+'Parametros'!$B$9/2)))*'Parametros'!$B$4/'Parametros'!$B$3</f>
        <v>0</v>
      </c>
      <c r="AX120" s="31" t="n">
        <v>0</v>
      </c>
      <c r="AY120" s="10" t="str">
        <f>IF(AV120=0,"DESPRECIABLE",IF(AND(ISERROR(SEARCH("referencia",AN120)),BB120/AP120&gt;=AV120,BI120&gt;=AW120,BH120="CUMPLE"),"CUMPLE","NO CUMPLE"))</f>
        <v>DESPRECIABLE</v>
      </c>
      <c r="AZ120" s="10" t="str">
        <f>IF(AND(X120="CUMPLE",AE120="CUMPLE",AS120="CUMPLE",OR(AY120="CUMPLE",AY120="DESPRECIABLE"),BH120="CUMPLE",BJ120="CUMPLE"),"CUMPLE","NO CUMPLE")</f>
        <v>CUMPLE</v>
      </c>
      <c r="BA120" s="32" t="n">
        <v>9.5</v>
      </c>
      <c r="BB120" s="32" t="n">
        <v>71</v>
      </c>
      <c r="BC120" s="10">
        <f>MAX(IF(AK120=0,0,AK120*1000/('Parametros'!$B$4*MIN(U120,AB120))),MAX(0.062*SQRT('Parametros'!$B$2)*H120/'Parametros'!$B$4,0.35*H120/'Parametros'!$B$4))</f>
        <v>0.375</v>
      </c>
      <c r="BD120" s="10">
        <f>2*AV120</f>
        <v>0</v>
      </c>
      <c r="BE120" s="10">
        <f>AO120*BB120/AP120</f>
        <v>1.18333333333333</v>
      </c>
      <c r="BF120" s="10">
        <f>SQRT((AI120*1000/(H120*MIN(U120,AB120)))^2+(Q120*1000000*2*((H120-2*('Parametros'!$B$7+'Parametros'!$B$9/2))+(I120-2*('Parametros'!$B$7+'Parametros'!$B$9/2)))/(1.7*((H120-2*('Parametros'!$B$7+'Parametros'!$B$9/2))*(I120-2*('Parametros'!$B$7+'Parametros'!$B$9/2)))^2))^2)</f>
        <v>0.752616717266963</v>
      </c>
      <c r="BG120" s="10">
        <f>'Parametros'!$B$6*(AJ120*1000/(H120*MIN(U120,AB120))+0.66*SQRT('Parametros'!$B$2))</f>
        <v>3.29396038227542</v>
      </c>
      <c r="BH120" s="10" t="str">
        <f>IF(BF120&lt;=BG120,"CUMPLE","NO CUMPLE")</f>
        <v>CUMPLE</v>
      </c>
      <c r="BI120" s="10">
        <f>AX120*'Parametros'!$B$8</f>
        <v>0</v>
      </c>
      <c r="BJ120" s="10" t="str">
        <f>IF(BI120&gt;=AW120,"CUMPLE","NO CUMPLE")</f>
        <v>CUMPLE</v>
      </c>
    </row>
    <row r="121">
      <c r="A121" s="18" t="inlineStr">
        <is>
          <t>VC4</t>
        </is>
      </c>
      <c r="B121" s="18" t="inlineStr">
        <is>
          <t>1008</t>
        </is>
      </c>
      <c r="C121" s="10" t="n">
        <v>1</v>
      </c>
      <c r="D121" s="10" t="n">
        <v>3.25</v>
      </c>
      <c r="E121" s="10" t="n">
        <v>3.25</v>
      </c>
      <c r="F121" s="10" t="n">
        <v>450</v>
      </c>
      <c r="G121" s="10" t="n">
        <v>550</v>
      </c>
      <c r="H121" s="17" t="n">
        <v>450</v>
      </c>
      <c r="I121" s="17" t="n">
        <v>550</v>
      </c>
      <c r="J121" s="30" t="n">
        <v>41.9659</v>
      </c>
      <c r="K121" s="10" t="inlineStr">
        <is>
          <t>1008</t>
        </is>
      </c>
      <c r="L121" s="30" t="n">
        <v>17.2258</v>
      </c>
      <c r="M121" s="10" t="inlineStr">
        <is>
          <t>1008</t>
        </is>
      </c>
      <c r="N121" s="30" t="n">
        <v>35.022</v>
      </c>
      <c r="O121" s="30" t="n">
        <v>86.09999999999999</v>
      </c>
      <c r="P121" s="10" t="inlineStr">
        <is>
          <t>1008</t>
        </is>
      </c>
      <c r="Q121" s="30" t="n">
        <v>7.1404</v>
      </c>
      <c r="R121" s="10">
        <f>MAX(MAX(1.4/'Parametros'!$B$3,0.25*SQRT('Parametros'!$B$2)/'Parametros'!$B$3)*H121*U121,(0.85*'Parametros'!$B$2/'Parametros'!$B$3)*(1-SQRT(1-2*(J121*1000000/('Parametros'!$B$5*H121*U121^2))/(0.85*'Parametros'!$B$2)))*H121*U121)</f>
        <v>734.025</v>
      </c>
      <c r="S121" s="31" t="n">
        <v>4</v>
      </c>
      <c r="T121" s="32" t="n">
        <v>1</v>
      </c>
      <c r="U121" s="10">
        <f>IF(T121=1,I121-('Parametros'!$B$7+'Parametros'!$B$9+'Parametros'!$B$12/2),I121-(ROUNDUP(S121/2,0)*('Parametros'!$B$7+'Parametros'!$B$9+'Parametros'!$B$12/2)+ROUNDDOWN(S121/2,0)*('Parametros'!$B$7+'Parametros'!$B$9+'Parametros'!$B$12/2+'Parametros'!$B$12+'Parametros'!$B$10))/S121)</f>
        <v>489.35</v>
      </c>
      <c r="V121" s="10">
        <f>S121*'Parametros'!$B$8</f>
        <v>796</v>
      </c>
      <c r="W121" s="10">
        <f>'Parametros'!$B$5*V121*'Parametros'!$B$3*(U121-(V121*'Parametros'!$B$3/(0.85*'Parametros'!$B$2*H121))/2)/1000000</f>
        <v>142.543330094118</v>
      </c>
      <c r="X121" s="10" t="str">
        <f>IF(W121&gt;=J121,"CUMPLE","NO CUMPLE")</f>
        <v>CUMPLE</v>
      </c>
      <c r="Y121" s="10">
        <f>MAX(MAX(1.4/'Parametros'!$B$3,0.25*SQRT('Parametros'!$B$2)/'Parametros'!$B$3)*H121*AB121,(0.85*'Parametros'!$B$2/'Parametros'!$B$3)*(1-SQRT(1-2*(L121*1000000/('Parametros'!$B$5*H121*AB121^2))/(0.85*'Parametros'!$B$2)))*H121*AB121)</f>
        <v>734.025</v>
      </c>
      <c r="Z121" s="31" t="n">
        <v>4</v>
      </c>
      <c r="AA121" s="32" t="n">
        <v>1</v>
      </c>
      <c r="AB121" s="10">
        <f>IF(AA121=1,I121-('Parametros'!$B$7+'Parametros'!$B$9+'Parametros'!$B$12/2),I121-(ROUNDUP(Z121/2,0)*('Parametros'!$B$7+'Parametros'!$B$9+'Parametros'!$B$12/2)+ROUNDDOWN(Z121/2,0)*('Parametros'!$B$7+'Parametros'!$B$9+'Parametros'!$B$12/2+'Parametros'!$B$12+'Parametros'!$B$10))/Z121)</f>
        <v>489.35</v>
      </c>
      <c r="AC121" s="10">
        <f>Z121*'Parametros'!$B$8</f>
        <v>796</v>
      </c>
      <c r="AD121" s="10">
        <f>'Parametros'!$B$5*AC121*'Parametros'!$B$3*(AB121-(AC121*'Parametros'!$B$3/(0.85*'Parametros'!$B$2*H121))/2)/1000000</f>
        <v>142.543330094118</v>
      </c>
      <c r="AE121" s="10" t="str">
        <f>IF(AD121&gt;=L121,"CUMPLE","NO CUMPLE")</f>
        <v>CUMPLE</v>
      </c>
      <c r="AF121" s="10">
        <f>V121*1.25*'Parametros'!$B$3*(U121-(V121*1.25*'Parametros'!$B$3/(0.85*'Parametros'!$B$2*H121))/2)/1000000</f>
        <v>196.346217941176</v>
      </c>
      <c r="AG121" s="10">
        <f>AC121*1.25*'Parametros'!$B$3*(AB121-(AC121*1.25*'Parametros'!$B$3/(0.85*'Parametros'!$B$2*H121))/2)/1000000</f>
        <v>196.346217941176</v>
      </c>
      <c r="AH121" s="10">
        <f>N121+(AF121+AG121)/D121</f>
        <v>155.850441809955</v>
      </c>
      <c r="AI121" s="10">
        <f>MAX(O121,AH121)</f>
        <v>155.850441809955</v>
      </c>
      <c r="AJ121" s="10">
        <f>0.17*SQRT('Parametros'!$B$2)*H121*MIN(U121,AB121)/1000</f>
        <v>198.088855822627</v>
      </c>
      <c r="AK121" s="10">
        <f>MAX(AI121/'Parametros'!$B$6-AJ121,0)</f>
        <v>9.71173325731266</v>
      </c>
      <c r="AL121" s="10">
        <f>0.66*SQRT('Parametros'!$B$2)*H121*MIN(U121,AB121)/1000</f>
        <v>769.050852017258</v>
      </c>
      <c r="AM121" s="10" t="str">
        <f>IF(AK121&lt;=AL121,"CUMPLE","NO CUMPLE")</f>
        <v>CUMPLE</v>
      </c>
      <c r="AN121" s="17" t="inlineStr">
        <is>
          <t>Nº3 cerrado</t>
        </is>
      </c>
      <c r="AO121" s="31" t="n">
        <v>2</v>
      </c>
      <c r="AP121" s="10">
        <f>ROUNDDOWN(MIN(IF(BC121+BD121=0,1000000000,AO121*BB121/(BC121+BD121)),MIN(U121,AB121)/4,8*'Parametros'!$B$12,24*BA121,300,IF(AV121=0,1000000000,2*((H121-2*('Parametros'!$B$7+'Parametros'!$B$9/2))+(I121-2*('Parametros'!$B$7+'Parametros'!$B$9/2)))/8))/10,0)*10</f>
        <v>120</v>
      </c>
      <c r="AQ121" s="10">
        <f>ROUNDDOWN(MIN(IF(BC121+BD121=0,1000000000,AO121*BB121/(BC121+BD121)),IF(AK121&gt;0.33*SQRT('Parametros'!$B$2)*H121*MIN(U121,AB121)/1000,MIN(U121,AB121)/4,MIN(U121,AB121)/2),600,IF(AV121=0,1000000000,2*((H121-2*('Parametros'!$B$7+'Parametros'!$B$9/2))+(I121-2*('Parametros'!$B$7+'Parametros'!$B$9/2)))/8))/10,0)*10</f>
        <v>240</v>
      </c>
      <c r="AR121" s="10">
        <f>'Parametros'!$B$6*(AJ121+MAX(BE121-BD121,0)*'Parametros'!$B$4*MIN(U121,AB121)/1000)</f>
        <v>330.97185436697</v>
      </c>
      <c r="AS121" s="10" t="str">
        <f>IF(AND(ISERROR(SEARCH("referencia",AN121)),AM121="CUMPLE",AR121&gt;=AI121),"CUMPLE","NO CUMPLE")</f>
        <v>CUMPLE</v>
      </c>
      <c r="AT121" s="10">
        <f>'Parametros'!$B$6*0.083*SQRT('Parametros'!$B$2)*(H121*I121)^2/(2*(H121+I121))/1000000</f>
        <v>10.0887830333379</v>
      </c>
      <c r="AU121" s="10" t="str">
        <f>IF(Q121&lt;=AT121,"DESPRECIABLE","DISEÑAR")</f>
        <v>DESPRECIABLE</v>
      </c>
      <c r="AV121" s="10">
        <f>IF(Q121&lt;=AT121,0,Q121*1000000/('Parametros'!$B$6*2*0.85*(H121-2*('Parametros'!$B$7+'Parametros'!$B$9/2))*(I121-2*('Parametros'!$B$7+'Parametros'!$B$9/2))*'Parametros'!$B$4))</f>
        <v>0</v>
      </c>
      <c r="AW121" s="10">
        <f>AV121*2*((H121-2*('Parametros'!$B$7+'Parametros'!$B$9/2))+(I121-2*('Parametros'!$B$7+'Parametros'!$B$9/2)))*'Parametros'!$B$4/'Parametros'!$B$3</f>
        <v>0</v>
      </c>
      <c r="AX121" s="31" t="n">
        <v>0</v>
      </c>
      <c r="AY121" s="10" t="str">
        <f>IF(AV121=0,"DESPRECIABLE",IF(AND(ISERROR(SEARCH("referencia",AN121)),BB121/AP121&gt;=AV121,BI121&gt;=AW121,BH121="CUMPLE"),"CUMPLE","NO CUMPLE"))</f>
        <v>DESPRECIABLE</v>
      </c>
      <c r="AZ121" s="10" t="str">
        <f>IF(AND(X121="CUMPLE",AE121="CUMPLE",AS121="CUMPLE",OR(AY121="CUMPLE",AY121="DESPRECIABLE"),BH121="CUMPLE",BJ121="CUMPLE"),"CUMPLE","NO CUMPLE")</f>
        <v>CUMPLE</v>
      </c>
      <c r="BA121" s="32" t="n">
        <v>9.5</v>
      </c>
      <c r="BB121" s="32" t="n">
        <v>71</v>
      </c>
      <c r="BC121" s="10">
        <f>MAX(IF(AK121=0,0,AK121*1000/('Parametros'!$B$4*MIN(U121,AB121))),MAX(0.062*SQRT('Parametros'!$B$2)*H121/'Parametros'!$B$4,0.35*H121/'Parametros'!$B$4))</f>
        <v>0.375</v>
      </c>
      <c r="BD121" s="10">
        <f>2*AV121</f>
        <v>0</v>
      </c>
      <c r="BE121" s="10">
        <f>AO121*BB121/AP121</f>
        <v>1.18333333333333</v>
      </c>
      <c r="BF121" s="10">
        <f>SQRT((AI121*1000/(H121*MIN(U121,AB121)))^2+(Q121*1000000*2*((H121-2*('Parametros'!$B$7+'Parametros'!$B$9/2))+(I121-2*('Parametros'!$B$7+'Parametros'!$B$9/2)))/(1.7*((H121-2*('Parametros'!$B$7+'Parametros'!$B$9/2))*(I121-2*('Parametros'!$B$7+'Parametros'!$B$9/2)))^2))^2)</f>
        <v>0.752728384562397</v>
      </c>
      <c r="BG121" s="10">
        <f>'Parametros'!$B$6*(AJ121*1000/(H121*MIN(U121,AB121))+0.66*SQRT('Parametros'!$B$2))</f>
        <v>3.29396038227542</v>
      </c>
      <c r="BH121" s="10" t="str">
        <f>IF(BF121&lt;=BG121,"CUMPLE","NO CUMPLE")</f>
        <v>CUMPLE</v>
      </c>
      <c r="BI121" s="10">
        <f>AX121*'Parametros'!$B$8</f>
        <v>0</v>
      </c>
      <c r="BJ121" s="10" t="str">
        <f>IF(BI121&gt;=AW121,"CUMPLE","NO CUMPLE")</f>
        <v>CUMPLE</v>
      </c>
    </row>
    <row r="122">
      <c r="A122" s="18" t="inlineStr">
        <is>
          <t>VC4</t>
        </is>
      </c>
      <c r="B122" s="18" t="inlineStr">
        <is>
          <t>1033</t>
        </is>
      </c>
      <c r="C122" s="10" t="n">
        <v>1</v>
      </c>
      <c r="D122" s="10" t="n">
        <v>3.25</v>
      </c>
      <c r="E122" s="10" t="n">
        <v>3.25</v>
      </c>
      <c r="F122" s="10" t="n">
        <v>450</v>
      </c>
      <c r="G122" s="10" t="n">
        <v>550</v>
      </c>
      <c r="H122" s="17" t="n">
        <v>450</v>
      </c>
      <c r="I122" s="17" t="n">
        <v>550</v>
      </c>
      <c r="J122" s="30" t="n">
        <v>42.0018</v>
      </c>
      <c r="K122" s="10" t="inlineStr">
        <is>
          <t>1033</t>
        </is>
      </c>
      <c r="L122" s="30" t="n">
        <v>17.2264</v>
      </c>
      <c r="M122" s="10" t="inlineStr">
        <is>
          <t>1033</t>
        </is>
      </c>
      <c r="N122" s="30" t="n">
        <v>35.026</v>
      </c>
      <c r="O122" s="30" t="n">
        <v>86.114</v>
      </c>
      <c r="P122" s="10" t="inlineStr">
        <is>
          <t>1033</t>
        </is>
      </c>
      <c r="Q122" s="30" t="n">
        <v>7.1471</v>
      </c>
      <c r="R122" s="10">
        <f>MAX(MAX(1.4/'Parametros'!$B$3,0.25*SQRT('Parametros'!$B$2)/'Parametros'!$B$3)*H122*U122,(0.85*'Parametros'!$B$2/'Parametros'!$B$3)*(1-SQRT(1-2*(J122*1000000/('Parametros'!$B$5*H122*U122^2))/(0.85*'Parametros'!$B$2)))*H122*U122)</f>
        <v>734.025</v>
      </c>
      <c r="S122" s="31" t="n">
        <v>4</v>
      </c>
      <c r="T122" s="32" t="n">
        <v>1</v>
      </c>
      <c r="U122" s="10">
        <f>IF(T122=1,I122-('Parametros'!$B$7+'Parametros'!$B$9+'Parametros'!$B$12/2),I122-(ROUNDUP(S122/2,0)*('Parametros'!$B$7+'Parametros'!$B$9+'Parametros'!$B$12/2)+ROUNDDOWN(S122/2,0)*('Parametros'!$B$7+'Parametros'!$B$9+'Parametros'!$B$12/2+'Parametros'!$B$12+'Parametros'!$B$10))/S122)</f>
        <v>489.35</v>
      </c>
      <c r="V122" s="10">
        <f>S122*'Parametros'!$B$8</f>
        <v>796</v>
      </c>
      <c r="W122" s="10">
        <f>'Parametros'!$B$5*V122*'Parametros'!$B$3*(U122-(V122*'Parametros'!$B$3/(0.85*'Parametros'!$B$2*H122))/2)/1000000</f>
        <v>142.543330094118</v>
      </c>
      <c r="X122" s="10" t="str">
        <f>IF(W122&gt;=J122,"CUMPLE","NO CUMPLE")</f>
        <v>CUMPLE</v>
      </c>
      <c r="Y122" s="10">
        <f>MAX(MAX(1.4/'Parametros'!$B$3,0.25*SQRT('Parametros'!$B$2)/'Parametros'!$B$3)*H122*AB122,(0.85*'Parametros'!$B$2/'Parametros'!$B$3)*(1-SQRT(1-2*(L122*1000000/('Parametros'!$B$5*H122*AB122^2))/(0.85*'Parametros'!$B$2)))*H122*AB122)</f>
        <v>734.025</v>
      </c>
      <c r="Z122" s="31" t="n">
        <v>4</v>
      </c>
      <c r="AA122" s="32" t="n">
        <v>1</v>
      </c>
      <c r="AB122" s="10">
        <f>IF(AA122=1,I122-('Parametros'!$B$7+'Parametros'!$B$9+'Parametros'!$B$12/2),I122-(ROUNDUP(Z122/2,0)*('Parametros'!$B$7+'Parametros'!$B$9+'Parametros'!$B$12/2)+ROUNDDOWN(Z122/2,0)*('Parametros'!$B$7+'Parametros'!$B$9+'Parametros'!$B$12/2+'Parametros'!$B$12+'Parametros'!$B$10))/Z122)</f>
        <v>489.35</v>
      </c>
      <c r="AC122" s="10">
        <f>Z122*'Parametros'!$B$8</f>
        <v>796</v>
      </c>
      <c r="AD122" s="10">
        <f>'Parametros'!$B$5*AC122*'Parametros'!$B$3*(AB122-(AC122*'Parametros'!$B$3/(0.85*'Parametros'!$B$2*H122))/2)/1000000</f>
        <v>142.543330094118</v>
      </c>
      <c r="AE122" s="10" t="str">
        <f>IF(AD122&gt;=L122,"CUMPLE","NO CUMPLE")</f>
        <v>CUMPLE</v>
      </c>
      <c r="AF122" s="10">
        <f>V122*1.25*'Parametros'!$B$3*(U122-(V122*1.25*'Parametros'!$B$3/(0.85*'Parametros'!$B$2*H122))/2)/1000000</f>
        <v>196.346217941176</v>
      </c>
      <c r="AG122" s="10">
        <f>AC122*1.25*'Parametros'!$B$3*(AB122-(AC122*1.25*'Parametros'!$B$3/(0.85*'Parametros'!$B$2*H122))/2)/1000000</f>
        <v>196.346217941176</v>
      </c>
      <c r="AH122" s="10">
        <f>N122+(AF122+AG122)/D122</f>
        <v>155.854441809955</v>
      </c>
      <c r="AI122" s="10">
        <f>MAX(O122,AH122)</f>
        <v>155.854441809955</v>
      </c>
      <c r="AJ122" s="10">
        <f>0.17*SQRT('Parametros'!$B$2)*H122*MIN(U122,AB122)/1000</f>
        <v>198.088855822627</v>
      </c>
      <c r="AK122" s="10">
        <f>MAX(AI122/'Parametros'!$B$6-AJ122,0)</f>
        <v>9.71706659064603</v>
      </c>
      <c r="AL122" s="10">
        <f>0.66*SQRT('Parametros'!$B$2)*H122*MIN(U122,AB122)/1000</f>
        <v>769.050852017258</v>
      </c>
      <c r="AM122" s="10" t="str">
        <f>IF(AK122&lt;=AL122,"CUMPLE","NO CUMPLE")</f>
        <v>CUMPLE</v>
      </c>
      <c r="AN122" s="17" t="inlineStr">
        <is>
          <t>Nº3 cerrado</t>
        </is>
      </c>
      <c r="AO122" s="31" t="n">
        <v>2</v>
      </c>
      <c r="AP122" s="10">
        <f>ROUNDDOWN(MIN(IF(BC122+BD122=0,1000000000,AO122*BB122/(BC122+BD122)),MIN(U122,AB122)/4,8*'Parametros'!$B$12,24*BA122,300,IF(AV122=0,1000000000,2*((H122-2*('Parametros'!$B$7+'Parametros'!$B$9/2))+(I122-2*('Parametros'!$B$7+'Parametros'!$B$9/2)))/8))/10,0)*10</f>
        <v>120</v>
      </c>
      <c r="AQ122" s="10">
        <f>ROUNDDOWN(MIN(IF(BC122+BD122=0,1000000000,AO122*BB122/(BC122+BD122)),IF(AK122&gt;0.33*SQRT('Parametros'!$B$2)*H122*MIN(U122,AB122)/1000,MIN(U122,AB122)/4,MIN(U122,AB122)/2),600,IF(AV122=0,1000000000,2*((H122-2*('Parametros'!$B$7+'Parametros'!$B$9/2))+(I122-2*('Parametros'!$B$7+'Parametros'!$B$9/2)))/8))/10,0)*10</f>
        <v>240</v>
      </c>
      <c r="AR122" s="10">
        <f>'Parametros'!$B$6*(AJ122+MAX(BE122-BD122,0)*'Parametros'!$B$4*MIN(U122,AB122)/1000)</f>
        <v>330.97185436697</v>
      </c>
      <c r="AS122" s="10" t="str">
        <f>IF(AND(ISERROR(SEARCH("referencia",AN122)),AM122="CUMPLE",AR122&gt;=AI122),"CUMPLE","NO CUMPLE")</f>
        <v>CUMPLE</v>
      </c>
      <c r="AT122" s="10">
        <f>'Parametros'!$B$6*0.083*SQRT('Parametros'!$B$2)*(H122*I122)^2/(2*(H122+I122))/1000000</f>
        <v>10.0887830333379</v>
      </c>
      <c r="AU122" s="10" t="str">
        <f>IF(Q122&lt;=AT122,"DESPRECIABLE","DISEÑAR")</f>
        <v>DESPRECIABLE</v>
      </c>
      <c r="AV122" s="10">
        <f>IF(Q122&lt;=AT122,0,Q122*1000000/('Parametros'!$B$6*2*0.85*(H122-2*('Parametros'!$B$7+'Parametros'!$B$9/2))*(I122-2*('Parametros'!$B$7+'Parametros'!$B$9/2))*'Parametros'!$B$4))</f>
        <v>0</v>
      </c>
      <c r="AW122" s="10">
        <f>AV122*2*((H122-2*('Parametros'!$B$7+'Parametros'!$B$9/2))+(I122-2*('Parametros'!$B$7+'Parametros'!$B$9/2)))*'Parametros'!$B$4/'Parametros'!$B$3</f>
        <v>0</v>
      </c>
      <c r="AX122" s="31" t="n">
        <v>0</v>
      </c>
      <c r="AY122" s="10" t="str">
        <f>IF(AV122=0,"DESPRECIABLE",IF(AND(ISERROR(SEARCH("referencia",AN122)),BB122/AP122&gt;=AV122,BI122&gt;=AW122,BH122="CUMPLE"),"CUMPLE","NO CUMPLE"))</f>
        <v>DESPRECIABLE</v>
      </c>
      <c r="AZ122" s="10" t="str">
        <f>IF(AND(X122="CUMPLE",AE122="CUMPLE",AS122="CUMPLE",OR(AY122="CUMPLE",AY122="DESPRECIABLE"),BH122="CUMPLE",BJ122="CUMPLE"),"CUMPLE","NO CUMPLE")</f>
        <v>CUMPLE</v>
      </c>
      <c r="BA122" s="32" t="n">
        <v>9.5</v>
      </c>
      <c r="BB122" s="32" t="n">
        <v>71</v>
      </c>
      <c r="BC122" s="10">
        <f>MAX(IF(AK122=0,0,AK122*1000/('Parametros'!$B$4*MIN(U122,AB122))),MAX(0.062*SQRT('Parametros'!$B$2)*H122/'Parametros'!$B$4,0.35*H122/'Parametros'!$B$4))</f>
        <v>0.375</v>
      </c>
      <c r="BD122" s="10">
        <f>2*AV122</f>
        <v>0</v>
      </c>
      <c r="BE122" s="10">
        <f>AO122*BB122/AP122</f>
        <v>1.18333333333333</v>
      </c>
      <c r="BF122" s="10">
        <f>SQRT((AI122*1000/(H122*MIN(U122,AB122)))^2+(Q122*1000000*2*((H122-2*('Parametros'!$B$7+'Parametros'!$B$9/2))+(I122-2*('Parametros'!$B$7+'Parametros'!$B$9/2)))/(1.7*((H122-2*('Parametros'!$B$7+'Parametros'!$B$9/2))*(I122-2*('Parametros'!$B$7+'Parametros'!$B$9/2)))^2))^2)</f>
        <v>0.752827393785387</v>
      </c>
      <c r="BG122" s="10">
        <f>'Parametros'!$B$6*(AJ122*1000/(H122*MIN(U122,AB122))+0.66*SQRT('Parametros'!$B$2))</f>
        <v>3.29396038227542</v>
      </c>
      <c r="BH122" s="10" t="str">
        <f>IF(BF122&lt;=BG122,"CUMPLE","NO CUMPLE")</f>
        <v>CUMPLE</v>
      </c>
      <c r="BI122" s="10">
        <f>AX122*'Parametros'!$B$8</f>
        <v>0</v>
      </c>
      <c r="BJ122" s="10" t="str">
        <f>IF(BI122&gt;=AW122,"CUMPLE","NO CUMPLE")</f>
        <v>CUMPLE</v>
      </c>
    </row>
    <row r="123">
      <c r="A123" s="18" t="inlineStr">
        <is>
          <t>VC4</t>
        </is>
      </c>
      <c r="B123" s="18" t="inlineStr">
        <is>
          <t>1034</t>
        </is>
      </c>
      <c r="C123" s="10" t="n">
        <v>1</v>
      </c>
      <c r="D123" s="10" t="n">
        <v>3.25</v>
      </c>
      <c r="E123" s="10" t="n">
        <v>3.25</v>
      </c>
      <c r="F123" s="10" t="n">
        <v>450</v>
      </c>
      <c r="G123" s="10" t="n">
        <v>550</v>
      </c>
      <c r="H123" s="17" t="n">
        <v>450</v>
      </c>
      <c r="I123" s="17" t="n">
        <v>550</v>
      </c>
      <c r="J123" s="30" t="n">
        <v>42.0504</v>
      </c>
      <c r="K123" s="10" t="inlineStr">
        <is>
          <t>1034</t>
        </is>
      </c>
      <c r="L123" s="30" t="n">
        <v>17.2111</v>
      </c>
      <c r="M123" s="10" t="inlineStr">
        <is>
          <t>1034</t>
        </is>
      </c>
      <c r="N123" s="30" t="n">
        <v>35.014</v>
      </c>
      <c r="O123" s="30" t="n">
        <v>86.102</v>
      </c>
      <c r="P123" s="10" t="inlineStr">
        <is>
          <t>1034</t>
        </is>
      </c>
      <c r="Q123" s="30" t="n">
        <v>7.1457</v>
      </c>
      <c r="R123" s="10">
        <f>MAX(MAX(1.4/'Parametros'!$B$3,0.25*SQRT('Parametros'!$B$2)/'Parametros'!$B$3)*H123*U123,(0.85*'Parametros'!$B$2/'Parametros'!$B$3)*(1-SQRT(1-2*(J123*1000000/('Parametros'!$B$5*H123*U123^2))/(0.85*'Parametros'!$B$2)))*H123*U123)</f>
        <v>734.025</v>
      </c>
      <c r="S123" s="31" t="n">
        <v>4</v>
      </c>
      <c r="T123" s="32" t="n">
        <v>1</v>
      </c>
      <c r="U123" s="10">
        <f>IF(T123=1,I123-('Parametros'!$B$7+'Parametros'!$B$9+'Parametros'!$B$12/2),I123-(ROUNDUP(S123/2,0)*('Parametros'!$B$7+'Parametros'!$B$9+'Parametros'!$B$12/2)+ROUNDDOWN(S123/2,0)*('Parametros'!$B$7+'Parametros'!$B$9+'Parametros'!$B$12/2+'Parametros'!$B$12+'Parametros'!$B$10))/S123)</f>
        <v>489.35</v>
      </c>
      <c r="V123" s="10">
        <f>S123*'Parametros'!$B$8</f>
        <v>796</v>
      </c>
      <c r="W123" s="10">
        <f>'Parametros'!$B$5*V123*'Parametros'!$B$3*(U123-(V123*'Parametros'!$B$3/(0.85*'Parametros'!$B$2*H123))/2)/1000000</f>
        <v>142.543330094118</v>
      </c>
      <c r="X123" s="10" t="str">
        <f>IF(W123&gt;=J123,"CUMPLE","NO CUMPLE")</f>
        <v>CUMPLE</v>
      </c>
      <c r="Y123" s="10">
        <f>MAX(MAX(1.4/'Parametros'!$B$3,0.25*SQRT('Parametros'!$B$2)/'Parametros'!$B$3)*H123*AB123,(0.85*'Parametros'!$B$2/'Parametros'!$B$3)*(1-SQRT(1-2*(L123*1000000/('Parametros'!$B$5*H123*AB123^2))/(0.85*'Parametros'!$B$2)))*H123*AB123)</f>
        <v>734.025</v>
      </c>
      <c r="Z123" s="31" t="n">
        <v>4</v>
      </c>
      <c r="AA123" s="32" t="n">
        <v>1</v>
      </c>
      <c r="AB123" s="10">
        <f>IF(AA123=1,I123-('Parametros'!$B$7+'Parametros'!$B$9+'Parametros'!$B$12/2),I123-(ROUNDUP(Z123/2,0)*('Parametros'!$B$7+'Parametros'!$B$9+'Parametros'!$B$12/2)+ROUNDDOWN(Z123/2,0)*('Parametros'!$B$7+'Parametros'!$B$9+'Parametros'!$B$12/2+'Parametros'!$B$12+'Parametros'!$B$10))/Z123)</f>
        <v>489.35</v>
      </c>
      <c r="AC123" s="10">
        <f>Z123*'Parametros'!$B$8</f>
        <v>796</v>
      </c>
      <c r="AD123" s="10">
        <f>'Parametros'!$B$5*AC123*'Parametros'!$B$3*(AB123-(AC123*'Parametros'!$B$3/(0.85*'Parametros'!$B$2*H123))/2)/1000000</f>
        <v>142.543330094118</v>
      </c>
      <c r="AE123" s="10" t="str">
        <f>IF(AD123&gt;=L123,"CUMPLE","NO CUMPLE")</f>
        <v>CUMPLE</v>
      </c>
      <c r="AF123" s="10">
        <f>V123*1.25*'Parametros'!$B$3*(U123-(V123*1.25*'Parametros'!$B$3/(0.85*'Parametros'!$B$2*H123))/2)/1000000</f>
        <v>196.346217941176</v>
      </c>
      <c r="AG123" s="10">
        <f>AC123*1.25*'Parametros'!$B$3*(AB123-(AC123*1.25*'Parametros'!$B$3/(0.85*'Parametros'!$B$2*H123))/2)/1000000</f>
        <v>196.346217941176</v>
      </c>
      <c r="AH123" s="10">
        <f>N123+(AF123+AG123)/D123</f>
        <v>155.842441809955</v>
      </c>
      <c r="AI123" s="10">
        <f>MAX(O123,AH123)</f>
        <v>155.842441809955</v>
      </c>
      <c r="AJ123" s="10">
        <f>0.17*SQRT('Parametros'!$B$2)*H123*MIN(U123,AB123)/1000</f>
        <v>198.088855822627</v>
      </c>
      <c r="AK123" s="10">
        <f>MAX(AI123/'Parametros'!$B$6-AJ123,0)</f>
        <v>9.70106659064601</v>
      </c>
      <c r="AL123" s="10">
        <f>0.66*SQRT('Parametros'!$B$2)*H123*MIN(U123,AB123)/1000</f>
        <v>769.050852017258</v>
      </c>
      <c r="AM123" s="10" t="str">
        <f>IF(AK123&lt;=AL123,"CUMPLE","NO CUMPLE")</f>
        <v>CUMPLE</v>
      </c>
      <c r="AN123" s="17" t="inlineStr">
        <is>
          <t>Nº3 cerrado</t>
        </is>
      </c>
      <c r="AO123" s="31" t="n">
        <v>2</v>
      </c>
      <c r="AP123" s="10">
        <f>ROUNDDOWN(MIN(IF(BC123+BD123=0,1000000000,AO123*BB123/(BC123+BD123)),MIN(U123,AB123)/4,8*'Parametros'!$B$12,24*BA123,300,IF(AV123=0,1000000000,2*((H123-2*('Parametros'!$B$7+'Parametros'!$B$9/2))+(I123-2*('Parametros'!$B$7+'Parametros'!$B$9/2)))/8))/10,0)*10</f>
        <v>120</v>
      </c>
      <c r="AQ123" s="10">
        <f>ROUNDDOWN(MIN(IF(BC123+BD123=0,1000000000,AO123*BB123/(BC123+BD123)),IF(AK123&gt;0.33*SQRT('Parametros'!$B$2)*H123*MIN(U123,AB123)/1000,MIN(U123,AB123)/4,MIN(U123,AB123)/2),600,IF(AV123=0,1000000000,2*((H123-2*('Parametros'!$B$7+'Parametros'!$B$9/2))+(I123-2*('Parametros'!$B$7+'Parametros'!$B$9/2)))/8))/10,0)*10</f>
        <v>240</v>
      </c>
      <c r="AR123" s="10">
        <f>'Parametros'!$B$6*(AJ123+MAX(BE123-BD123,0)*'Parametros'!$B$4*MIN(U123,AB123)/1000)</f>
        <v>330.97185436697</v>
      </c>
      <c r="AS123" s="10" t="str">
        <f>IF(AND(ISERROR(SEARCH("referencia",AN123)),AM123="CUMPLE",AR123&gt;=AI123),"CUMPLE","NO CUMPLE")</f>
        <v>CUMPLE</v>
      </c>
      <c r="AT123" s="10">
        <f>'Parametros'!$B$6*0.083*SQRT('Parametros'!$B$2)*(H123*I123)^2/(2*(H123+I123))/1000000</f>
        <v>10.0887830333379</v>
      </c>
      <c r="AU123" s="10" t="str">
        <f>IF(Q123&lt;=AT123,"DESPRECIABLE","DISEÑAR")</f>
        <v>DESPRECIABLE</v>
      </c>
      <c r="AV123" s="10">
        <f>IF(Q123&lt;=AT123,0,Q123*1000000/('Parametros'!$B$6*2*0.85*(H123-2*('Parametros'!$B$7+'Parametros'!$B$9/2))*(I123-2*('Parametros'!$B$7+'Parametros'!$B$9/2))*'Parametros'!$B$4))</f>
        <v>0</v>
      </c>
      <c r="AW123" s="10">
        <f>AV123*2*((H123-2*('Parametros'!$B$7+'Parametros'!$B$9/2))+(I123-2*('Parametros'!$B$7+'Parametros'!$B$9/2)))*'Parametros'!$B$4/'Parametros'!$B$3</f>
        <v>0</v>
      </c>
      <c r="AX123" s="31" t="n">
        <v>0</v>
      </c>
      <c r="AY123" s="10" t="str">
        <f>IF(AV123=0,"DESPRECIABLE",IF(AND(ISERROR(SEARCH("referencia",AN123)),BB123/AP123&gt;=AV123,BI123&gt;=AW123,BH123="CUMPLE"),"CUMPLE","NO CUMPLE"))</f>
        <v>DESPRECIABLE</v>
      </c>
      <c r="AZ123" s="10" t="str">
        <f>IF(AND(X123="CUMPLE",AE123="CUMPLE",AS123="CUMPLE",OR(AY123="CUMPLE",AY123="DESPRECIABLE"),BH123="CUMPLE",BJ123="CUMPLE"),"CUMPLE","NO CUMPLE")</f>
        <v>CUMPLE</v>
      </c>
      <c r="BA123" s="32" t="n">
        <v>9.5</v>
      </c>
      <c r="BB123" s="32" t="n">
        <v>71</v>
      </c>
      <c r="BC123" s="10">
        <f>MAX(IF(AK123=0,0,AK123*1000/('Parametros'!$B$4*MIN(U123,AB123))),MAX(0.062*SQRT('Parametros'!$B$2)*H123/'Parametros'!$B$4,0.35*H123/'Parametros'!$B$4))</f>
        <v>0.375</v>
      </c>
      <c r="BD123" s="10">
        <f>2*AV123</f>
        <v>0</v>
      </c>
      <c r="BE123" s="10">
        <f>AO123*BB123/AP123</f>
        <v>1.18333333333333</v>
      </c>
      <c r="BF123" s="10">
        <f>SQRT((AI123*1000/(H123*MIN(U123,AB123)))^2+(Q123*1000000*2*((H123-2*('Parametros'!$B$7+'Parametros'!$B$9/2))+(I123-2*('Parametros'!$B$7+'Parametros'!$B$9/2)))/(1.7*((H123-2*('Parametros'!$B$7+'Parametros'!$B$9/2))*(I123-2*('Parametros'!$B$7+'Parametros'!$B$9/2)))^2))^2)</f>
        <v>0.752759035577797</v>
      </c>
      <c r="BG123" s="10">
        <f>'Parametros'!$B$6*(AJ123*1000/(H123*MIN(U123,AB123))+0.66*SQRT('Parametros'!$B$2))</f>
        <v>3.29396038227542</v>
      </c>
      <c r="BH123" s="10" t="str">
        <f>IF(BF123&lt;=BG123,"CUMPLE","NO CUMPLE")</f>
        <v>CUMPLE</v>
      </c>
      <c r="BI123" s="10">
        <f>AX123*'Parametros'!$B$8</f>
        <v>0</v>
      </c>
      <c r="BJ123" s="10" t="str">
        <f>IF(BI123&gt;=AW123,"CUMPLE","NO CUMPLE")</f>
        <v>CUMPLE</v>
      </c>
    </row>
    <row r="124">
      <c r="A124" s="15" t="inlineStr">
        <is>
          <t>VC5</t>
        </is>
      </c>
      <c r="B124" s="15" t="inlineStr">
        <is>
          <t>63</t>
        </is>
      </c>
      <c r="C124" s="10" t="n">
        <v>1</v>
      </c>
      <c r="D124" s="10" t="n">
        <v>3.25</v>
      </c>
      <c r="E124" s="10" t="n">
        <v>3.25</v>
      </c>
      <c r="F124" s="10" t="n">
        <v>450</v>
      </c>
      <c r="G124" s="10" t="n">
        <v>550</v>
      </c>
      <c r="H124" s="17" t="n">
        <v>450</v>
      </c>
      <c r="I124" s="17" t="n">
        <v>550</v>
      </c>
      <c r="J124" s="30" t="n">
        <v>187.8646</v>
      </c>
      <c r="K124" s="10" t="inlineStr">
        <is>
          <t>63</t>
        </is>
      </c>
      <c r="L124" s="30" t="n">
        <v>163.3886</v>
      </c>
      <c r="M124" s="10" t="inlineStr">
        <is>
          <t>63</t>
        </is>
      </c>
      <c r="N124" s="30" t="n">
        <v>110.364</v>
      </c>
      <c r="O124" s="30" t="n">
        <v>463.783</v>
      </c>
      <c r="P124" s="10" t="inlineStr">
        <is>
          <t>63</t>
        </is>
      </c>
      <c r="Q124" s="30" t="n">
        <v>71.6247</v>
      </c>
      <c r="R124" s="10">
        <f>MAX(MAX(1.4/'Parametros'!$B$3,0.25*SQRT('Parametros'!$B$2)/'Parametros'!$B$3)*H124*U124,(0.85*'Parametros'!$B$2/'Parametros'!$B$3)*(1-SQRT(1-2*(J124*1000000/('Parametros'!$B$5*H124*U124^2))/(0.85*'Parametros'!$B$2)))*H124*U124)</f>
        <v>1060.70721711914</v>
      </c>
      <c r="S124" s="31" t="n">
        <v>6</v>
      </c>
      <c r="T124" s="32" t="n">
        <v>1</v>
      </c>
      <c r="U124" s="10">
        <f>IF(T124=1,I124-('Parametros'!$B$7+'Parametros'!$B$9+'Parametros'!$B$12/2),I124-(ROUNDUP(S124/2,0)*('Parametros'!$B$7+'Parametros'!$B$9+'Parametros'!$B$12/2)+ROUNDDOWN(S124/2,0)*('Parametros'!$B$7+'Parametros'!$B$9+'Parametros'!$B$12/2+'Parametros'!$B$12+'Parametros'!$B$10))/S124)</f>
        <v>489.35</v>
      </c>
      <c r="V124" s="10">
        <f>S124*'Parametros'!$B$8</f>
        <v>1194</v>
      </c>
      <c r="W124" s="10">
        <f>'Parametros'!$B$5*V124*'Parametros'!$B$3*(U124-(V124*'Parametros'!$B$3/(0.85*'Parametros'!$B$2*H124))/2)/1000000</f>
        <v>210.292835611765</v>
      </c>
      <c r="X124" s="10" t="str">
        <f>IF(W124&gt;=J124,"CUMPLE","NO CUMPLE")</f>
        <v>CUMPLE</v>
      </c>
      <c r="Y124" s="10">
        <f>MAX(MAX(1.4/'Parametros'!$B$3,0.25*SQRT('Parametros'!$B$2)/'Parametros'!$B$3)*H124*AB124,(0.85*'Parametros'!$B$2/'Parametros'!$B$3)*(1-SQRT(1-2*(L124*1000000/('Parametros'!$B$5*H124*AB124^2))/(0.85*'Parametros'!$B$2)))*H124*AB124)</f>
        <v>916.99788956803</v>
      </c>
      <c r="Z124" s="31" t="n">
        <v>5</v>
      </c>
      <c r="AA124" s="32" t="n">
        <v>1</v>
      </c>
      <c r="AB124" s="10">
        <f>IF(AA124=1,I124-('Parametros'!$B$7+'Parametros'!$B$9+'Parametros'!$B$12/2),I124-(ROUNDUP(Z124/2,0)*('Parametros'!$B$7+'Parametros'!$B$9+'Parametros'!$B$12/2)+ROUNDDOWN(Z124/2,0)*('Parametros'!$B$7+'Parametros'!$B$9+'Parametros'!$B$12/2+'Parametros'!$B$12+'Parametros'!$B$10))/Z124)</f>
        <v>489.35</v>
      </c>
      <c r="AC124" s="10">
        <f>Z124*'Parametros'!$B$8</f>
        <v>995</v>
      </c>
      <c r="AD124" s="10">
        <f>'Parametros'!$B$5*AC124*'Parametros'!$B$3*(AB124-(AC124*'Parametros'!$B$3/(0.85*'Parametros'!$B$2*H124))/2)/1000000</f>
        <v>176.711596147059</v>
      </c>
      <c r="AE124" s="10" t="str">
        <f>IF(AD124&gt;=L124,"CUMPLE","NO CUMPLE")</f>
        <v>CUMPLE</v>
      </c>
      <c r="AF124" s="10">
        <f>V124*1.25*'Parametros'!$B$3*(U124-(V124*1.25*'Parametros'!$B$3/(0.85*'Parametros'!$B$2*H124))/2)/1000000</f>
        <v>288.404466617647</v>
      </c>
      <c r="AG124" s="10">
        <f>AC124*1.25*'Parametros'!$B$3*(AB124-(AC124*1.25*'Parametros'!$B$3/(0.85*'Parametros'!$B$2*H124))/2)/1000000</f>
        <v>242.884913970588</v>
      </c>
      <c r="AH124" s="10">
        <f>N124+(AF124+AG124)/D124</f>
        <v>273.837655565611</v>
      </c>
      <c r="AI124" s="10">
        <f>MAX(O124,AH124)</f>
        <v>463.783</v>
      </c>
      <c r="AJ124" s="10">
        <f>0.17*SQRT('Parametros'!$B$2)*H124*MIN(U124,AB124)/1000</f>
        <v>198.088855822627</v>
      </c>
      <c r="AK124" s="10">
        <f>MAX(AI124/'Parametros'!$B$6-AJ124,0)</f>
        <v>420.288477510706</v>
      </c>
      <c r="AL124" s="10">
        <f>0.66*SQRT('Parametros'!$B$2)*H124*MIN(U124,AB124)/1000</f>
        <v>769.050852017258</v>
      </c>
      <c r="AM124" s="10" t="str">
        <f>IF(AK124&lt;=AL124,"CUMPLE","NO CUMPLE")</f>
        <v>CUMPLE</v>
      </c>
      <c r="AN124" s="17" t="inlineStr">
        <is>
          <t>Nº4 cerrado</t>
        </is>
      </c>
      <c r="AO124" s="31" t="n">
        <v>4</v>
      </c>
      <c r="AP124" s="10">
        <f>ROUNDDOWN(MIN(IF(BC124+BD124=0,1000000000,AO124*BB124/(BC124+BD124)),MIN(U124,AB124)/4,8*'Parametros'!$B$12,24*BA124,300,IF(AV124=0,1000000000,2*((H124-2*('Parametros'!$B$7+'Parametros'!$B$9/2))+(I124-2*('Parametros'!$B$7+'Parametros'!$B$9/2)))/8))/10,0)*10</f>
        <v>120</v>
      </c>
      <c r="AQ124" s="10">
        <f>ROUNDDOWN(MIN(IF(BC124+BD124=0,1000000000,AO124*BB124/(BC124+BD124)),IF(AK124&gt;0.33*SQRT('Parametros'!$B$2)*H124*MIN(U124,AB124)/1000,MIN(U124,AB124)/4,MIN(U124,AB124)/2),600,IF(AV124=0,1000000000,2*((H124-2*('Parametros'!$B$7+'Parametros'!$B$9/2))+(I124-2*('Parametros'!$B$7+'Parametros'!$B$9/2)))/8))/10,0)*10</f>
        <v>120</v>
      </c>
      <c r="AR124" s="10">
        <f>'Parametros'!$B$6*(AJ124+MAX(BE124-BD124,0)*'Parametros'!$B$4*MIN(U124,AB124)/1000)</f>
        <v>559.026134361044</v>
      </c>
      <c r="AS124" s="10" t="str">
        <f>IF(AND(ISERROR(SEARCH("referencia",AN124)),AM124="CUMPLE",AR124&gt;=AI124),"CUMPLE","NO CUMPLE")</f>
        <v>CUMPLE</v>
      </c>
      <c r="AT124" s="10">
        <f>'Parametros'!$B$6*0.083*SQRT('Parametros'!$B$2)*(H124*I124)^2/(2*(H124+I124))/1000000</f>
        <v>10.0887830333379</v>
      </c>
      <c r="AU124" s="10" t="str">
        <f>IF(Q124&lt;=AT124,"DESPRECIABLE","DISEÑAR")</f>
        <v>DISEÑAR</v>
      </c>
      <c r="AV124" s="10">
        <f>IF(Q124&lt;=AT124,0,Q124*1000000/('Parametros'!$B$6*2*0.85*(H124-2*('Parametros'!$B$7+'Parametros'!$B$9/2))*(I124-2*('Parametros'!$B$7+'Parametros'!$B$9/2))*'Parametros'!$B$4))</f>
        <v>0.81859506700961</v>
      </c>
      <c r="AW124" s="10">
        <f>AV124*2*((H124-2*('Parametros'!$B$7+'Parametros'!$B$9/2))+(I124-2*('Parametros'!$B$7+'Parametros'!$B$9/2)))*'Parametros'!$B$4/'Parametros'!$B$3</f>
        <v>1333.65508317206</v>
      </c>
      <c r="AX124" s="31" t="n">
        <v>8</v>
      </c>
      <c r="AY124" s="10" t="str">
        <f>IF(AV124=0,"DESPRECIABLE",IF(AND(ISERROR(SEARCH("referencia",AN124)),BB124/AP124&gt;=AV124,BI124&gt;=AW124,BH124="CUMPLE"),"CUMPLE","NO CUMPLE"))</f>
        <v>NO CUMPLE</v>
      </c>
      <c r="AZ124" s="10" t="str">
        <f>IF(AND(X124="CUMPLE",AE124="CUMPLE",AS124="CUMPLE",OR(AY124="CUMPLE",AY124="DESPRECIABLE"),BH124="CUMPLE",BJ124="CUMPLE"),"CUMPLE","NO CUMPLE")</f>
        <v>NO CUMPLE</v>
      </c>
      <c r="BA124" s="32" t="n">
        <v>12.7</v>
      </c>
      <c r="BB124" s="32" t="n">
        <v>129</v>
      </c>
      <c r="BC124" s="10">
        <f>MAX(IF(AK124=0,0,AK124*1000/('Parametros'!$B$4*MIN(U124,AB124))),MAX(0.062*SQRT('Parametros'!$B$2)*H124/'Parametros'!$B$4,0.35*H124/'Parametros'!$B$4))</f>
        <v>2.04493072691523</v>
      </c>
      <c r="BD124" s="10">
        <f>2*AV124</f>
        <v>1.63719013401922</v>
      </c>
      <c r="BE124" s="10">
        <f>AO124*BB124/AP124</f>
        <v>4.3</v>
      </c>
      <c r="BF124" s="10">
        <f>SQRT((AI124*1000/(H124*MIN(U124,AB124)))^2+(Q124*1000000*2*((H124-2*('Parametros'!$B$7+'Parametros'!$B$9/2))+(I124-2*('Parametros'!$B$7+'Parametros'!$B$9/2)))/(1.7*((H124-2*('Parametros'!$B$7+'Parametros'!$B$9/2))*(I124-2*('Parametros'!$B$7+'Parametros'!$B$9/2)))^2))^2)</f>
        <v>3.32359982562986</v>
      </c>
      <c r="BG124" s="10">
        <f>'Parametros'!$B$6*(AJ124*1000/(H124*MIN(U124,AB124))+0.66*SQRT('Parametros'!$B$2))</f>
        <v>3.29396038227542</v>
      </c>
      <c r="BH124" s="10" t="str">
        <f>IF(BF124&lt;=BG124,"CUMPLE","NO CUMPLE")</f>
        <v>NO CUMPLE</v>
      </c>
      <c r="BI124" s="10">
        <f>AX124*'Parametros'!$B$8</f>
        <v>1592</v>
      </c>
      <c r="BJ124" s="10" t="str">
        <f>IF(BI124&gt;=AW124,"CUMPLE","NO CUMPLE")</f>
        <v>CUMPLE</v>
      </c>
    </row>
    <row r="125">
      <c r="A125" s="15" t="inlineStr">
        <is>
          <t>VC5</t>
        </is>
      </c>
      <c r="B125" s="15" t="inlineStr">
        <is>
          <t>64</t>
        </is>
      </c>
      <c r="C125" s="10" t="n">
        <v>1</v>
      </c>
      <c r="D125" s="10" t="n">
        <v>3.3</v>
      </c>
      <c r="E125" s="10" t="n">
        <v>3.3</v>
      </c>
      <c r="F125" s="10" t="n">
        <v>450</v>
      </c>
      <c r="G125" s="10" t="n">
        <v>550</v>
      </c>
      <c r="H125" s="17" t="n">
        <v>450</v>
      </c>
      <c r="I125" s="17" t="n">
        <v>550</v>
      </c>
      <c r="J125" s="30" t="n">
        <v>199.3601</v>
      </c>
      <c r="K125" s="10" t="inlineStr">
        <is>
          <t>64</t>
        </is>
      </c>
      <c r="L125" s="30" t="n">
        <v>139.6378</v>
      </c>
      <c r="M125" s="10" t="inlineStr">
        <is>
          <t>64</t>
        </is>
      </c>
      <c r="N125" s="30" t="n">
        <v>140.832</v>
      </c>
      <c r="O125" s="30" t="n">
        <v>490.974</v>
      </c>
      <c r="P125" s="10" t="inlineStr">
        <is>
          <t>64</t>
        </is>
      </c>
      <c r="Q125" s="30" t="n">
        <v>124.1957</v>
      </c>
      <c r="R125" s="10">
        <f>MAX(MAX(1.4/'Parametros'!$B$3,0.25*SQRT('Parametros'!$B$2)/'Parametros'!$B$3)*H125*U125,(0.85*'Parametros'!$B$2/'Parametros'!$B$3)*(1-SQRT(1-2*(J125*1000000/('Parametros'!$B$5*H125*U125^2))/(0.85*'Parametros'!$B$2)))*H125*U125)</f>
        <v>1128.83032834834</v>
      </c>
      <c r="S125" s="31" t="n">
        <v>6</v>
      </c>
      <c r="T125" s="32" t="n">
        <v>1</v>
      </c>
      <c r="U125" s="10">
        <f>IF(T125=1,I125-('Parametros'!$B$7+'Parametros'!$B$9+'Parametros'!$B$12/2),I125-(ROUNDUP(S125/2,0)*('Parametros'!$B$7+'Parametros'!$B$9+'Parametros'!$B$12/2)+ROUNDDOWN(S125/2,0)*('Parametros'!$B$7+'Parametros'!$B$9+'Parametros'!$B$12/2+'Parametros'!$B$12+'Parametros'!$B$10))/S125)</f>
        <v>489.35</v>
      </c>
      <c r="V125" s="10">
        <f>S125*'Parametros'!$B$8</f>
        <v>1194</v>
      </c>
      <c r="W125" s="10">
        <f>'Parametros'!$B$5*V125*'Parametros'!$B$3*(U125-(V125*'Parametros'!$B$3/(0.85*'Parametros'!$B$2*H125))/2)/1000000</f>
        <v>210.292835611765</v>
      </c>
      <c r="X125" s="10" t="str">
        <f>IF(W125&gt;=J125,"CUMPLE","NO CUMPLE")</f>
        <v>CUMPLE</v>
      </c>
      <c r="Y125" s="10">
        <f>MAX(MAX(1.4/'Parametros'!$B$3,0.25*SQRT('Parametros'!$B$2)/'Parametros'!$B$3)*H125*AB125,(0.85*'Parametros'!$B$2/'Parametros'!$B$3)*(1-SQRT(1-2*(L125*1000000/('Parametros'!$B$5*H125*AB125^2))/(0.85*'Parametros'!$B$2)))*H125*AB125)</f>
        <v>779.234008922696</v>
      </c>
      <c r="Z125" s="31" t="n">
        <v>4</v>
      </c>
      <c r="AA125" s="32" t="n">
        <v>1</v>
      </c>
      <c r="AB125" s="10">
        <f>IF(AA125=1,I125-('Parametros'!$B$7+'Parametros'!$B$9+'Parametros'!$B$12/2),I125-(ROUNDUP(Z125/2,0)*('Parametros'!$B$7+'Parametros'!$B$9+'Parametros'!$B$12/2)+ROUNDDOWN(Z125/2,0)*('Parametros'!$B$7+'Parametros'!$B$9+'Parametros'!$B$12/2+'Parametros'!$B$12+'Parametros'!$B$10))/Z125)</f>
        <v>489.35</v>
      </c>
      <c r="AC125" s="10">
        <f>Z125*'Parametros'!$B$8</f>
        <v>796</v>
      </c>
      <c r="AD125" s="10">
        <f>'Parametros'!$B$5*AC125*'Parametros'!$B$3*(AB125-(AC125*'Parametros'!$B$3/(0.85*'Parametros'!$B$2*H125))/2)/1000000</f>
        <v>142.543330094118</v>
      </c>
      <c r="AE125" s="10" t="str">
        <f>IF(AD125&gt;=L125,"CUMPLE","NO CUMPLE")</f>
        <v>CUMPLE</v>
      </c>
      <c r="AF125" s="10">
        <f>V125*1.25*'Parametros'!$B$3*(U125-(V125*1.25*'Parametros'!$B$3/(0.85*'Parametros'!$B$2*H125))/2)/1000000</f>
        <v>288.404466617647</v>
      </c>
      <c r="AG125" s="10">
        <f>AC125*1.25*'Parametros'!$B$3*(AB125-(AC125*1.25*'Parametros'!$B$3/(0.85*'Parametros'!$B$2*H125))/2)/1000000</f>
        <v>196.346217941176</v>
      </c>
      <c r="AH125" s="10">
        <f>N125+(AF125+AG125)/D125</f>
        <v>287.726146836007</v>
      </c>
      <c r="AI125" s="10">
        <f>MAX(O125,AH125)</f>
        <v>490.974</v>
      </c>
      <c r="AJ125" s="10">
        <f>0.17*SQRT('Parametros'!$B$2)*H125*MIN(U125,AB125)/1000</f>
        <v>198.088855822627</v>
      </c>
      <c r="AK125" s="10">
        <f>MAX(AI125/'Parametros'!$B$6-AJ125,0)</f>
        <v>456.543144177373</v>
      </c>
      <c r="AL125" s="10">
        <f>0.66*SQRT('Parametros'!$B$2)*H125*MIN(U125,AB125)/1000</f>
        <v>769.050852017258</v>
      </c>
      <c r="AM125" s="10" t="str">
        <f>IF(AK125&lt;=AL125,"CUMPLE","NO CUMPLE")</f>
        <v>CUMPLE</v>
      </c>
      <c r="AN125" s="17" t="inlineStr">
        <is>
          <t>Nº4 cerrado (referencia)</t>
        </is>
      </c>
      <c r="AO125" s="31" t="n">
        <v>4</v>
      </c>
      <c r="AP125" s="10">
        <f>ROUNDDOWN(MIN(IF(BC125+BD125=0,1000000000,AO125*BB125/(BC125+BD125)),MIN(U125,AB125)/4,8*'Parametros'!$B$12,24*BA125,300,IF(AV125=0,1000000000,2*((H125-2*('Parametros'!$B$7+'Parametros'!$B$9/2))+(I125-2*('Parametros'!$B$7+'Parametros'!$B$9/2)))/8))/10,0)*10</f>
        <v>100</v>
      </c>
      <c r="AQ125" s="10">
        <f>ROUNDDOWN(MIN(IF(BC125+BD125=0,1000000000,AO125*BB125/(BC125+BD125)),IF(AK125&gt;0.33*SQRT('Parametros'!$B$2)*H125*MIN(U125,AB125)/1000,MIN(U125,AB125)/4,MIN(U125,AB125)/2),600,IF(AV125=0,1000000000,2*((H125-2*('Parametros'!$B$7+'Parametros'!$B$9/2))+(I125-2*('Parametros'!$B$7+'Parametros'!$B$9/2)))/8))/10,0)*10</f>
        <v>100</v>
      </c>
      <c r="AR125" s="10">
        <f>'Parametros'!$B$6*(AJ125+MAX(BE125-BD125,0)*'Parametros'!$B$4*MIN(U125,AB125)/1000)</f>
        <v>506.360468954857</v>
      </c>
      <c r="AS125" s="10" t="str">
        <f>IF(AND(ISERROR(SEARCH("referencia",AN125)),AM125="CUMPLE",AR125&gt;=AI125),"CUMPLE","NO CUMPLE")</f>
        <v>NO CUMPLE</v>
      </c>
      <c r="AT125" s="10">
        <f>'Parametros'!$B$6*0.083*SQRT('Parametros'!$B$2)*(H125*I125)^2/(2*(H125+I125))/1000000</f>
        <v>10.0887830333379</v>
      </c>
      <c r="AU125" s="10" t="str">
        <f>IF(Q125&lt;=AT125,"DESPRECIABLE","DISEÑAR")</f>
        <v>DISEÑAR</v>
      </c>
      <c r="AV125" s="10">
        <f>IF(Q125&lt;=AT125,0,Q125*1000000/('Parametros'!$B$6*2*0.85*(H125-2*('Parametros'!$B$7+'Parametros'!$B$9/2))*(I125-2*('Parametros'!$B$7+'Parametros'!$B$9/2))*'Parametros'!$B$4))</f>
        <v>1.41942636218798</v>
      </c>
      <c r="AW125" s="10">
        <f>AV125*2*((H125-2*('Parametros'!$B$7+'Parametros'!$B$9/2))+(I125-2*('Parametros'!$B$7+'Parametros'!$B$9/2)))*'Parametros'!$B$4/'Parametros'!$B$3</f>
        <v>2312.52942927666</v>
      </c>
      <c r="AX125" s="31" t="n">
        <v>12</v>
      </c>
      <c r="AY125" s="10" t="str">
        <f>IF(AV125=0,"DESPRECIABLE",IF(AND(ISERROR(SEARCH("referencia",AN125)),BB125/AP125&gt;=AV125,BI125&gt;=AW125,BH125="CUMPLE"),"CUMPLE","NO CUMPLE"))</f>
        <v>NO CUMPLE</v>
      </c>
      <c r="AZ125" s="10" t="str">
        <f>IF(AND(X125="CUMPLE",AE125="CUMPLE",AS125="CUMPLE",OR(AY125="CUMPLE",AY125="DESPRECIABLE"),BH125="CUMPLE",BJ125="CUMPLE"),"CUMPLE","NO CUMPLE")</f>
        <v>NO CUMPLE</v>
      </c>
      <c r="BA125" s="32" t="n">
        <v>12.7</v>
      </c>
      <c r="BB125" s="32" t="n">
        <v>129</v>
      </c>
      <c r="BC125" s="10">
        <f>MAX(IF(AK125=0,0,AK125*1000/('Parametros'!$B$4*MIN(U125,AB125))),MAX(0.062*SQRT('Parametros'!$B$2)*H125/'Parametros'!$B$4,0.35*H125/'Parametros'!$B$4))</f>
        <v>2.22132928606642</v>
      </c>
      <c r="BD125" s="10">
        <f>2*AV125</f>
        <v>2.83885272437596</v>
      </c>
      <c r="BE125" s="10">
        <f>AO125*BB125/AP125</f>
        <v>5.16</v>
      </c>
      <c r="BF125" s="10">
        <f>SQRT((AI125*1000/(H125*MIN(U125,AB125)))^2+(Q125*1000000*2*((H125-2*('Parametros'!$B$7+'Parametros'!$B$9/2))+(I125-2*('Parametros'!$B$7+'Parametros'!$B$9/2)))/(1.7*((H125-2*('Parametros'!$B$7+'Parametros'!$B$9/2))*(I125-2*('Parametros'!$B$7+'Parametros'!$B$9/2)))^2))^2)</f>
        <v>4.98467869950606</v>
      </c>
      <c r="BG125" s="10">
        <f>'Parametros'!$B$6*(AJ125*1000/(H125*MIN(U125,AB125))+0.66*SQRT('Parametros'!$B$2))</f>
        <v>3.29396038227542</v>
      </c>
      <c r="BH125" s="10" t="str">
        <f>IF(BF125&lt;=BG125,"CUMPLE","NO CUMPLE")</f>
        <v>NO CUMPLE</v>
      </c>
      <c r="BI125" s="10">
        <f>AX125*'Parametros'!$B$8</f>
        <v>2388</v>
      </c>
      <c r="BJ125" s="10" t="str">
        <f>IF(BI125&gt;=AW125,"CUMPLE","NO CUMPLE")</f>
        <v>CUMPLE</v>
      </c>
    </row>
    <row r="126">
      <c r="A126" s="15" t="inlineStr">
        <is>
          <t>VC5</t>
        </is>
      </c>
      <c r="B126" s="15" t="inlineStr">
        <is>
          <t>65</t>
        </is>
      </c>
      <c r="C126" s="10" t="n">
        <v>1</v>
      </c>
      <c r="D126" s="10" t="n">
        <v>3.3</v>
      </c>
      <c r="E126" s="10" t="n">
        <v>3.3</v>
      </c>
      <c r="F126" s="10" t="n">
        <v>450</v>
      </c>
      <c r="G126" s="10" t="n">
        <v>550</v>
      </c>
      <c r="H126" s="17" t="n">
        <v>450</v>
      </c>
      <c r="I126" s="17" t="n">
        <v>550</v>
      </c>
      <c r="J126" s="30" t="n">
        <v>199.4769</v>
      </c>
      <c r="K126" s="10" t="inlineStr">
        <is>
          <t>65</t>
        </is>
      </c>
      <c r="L126" s="30" t="n">
        <v>139.687</v>
      </c>
      <c r="M126" s="10" t="inlineStr">
        <is>
          <t>65</t>
        </is>
      </c>
      <c r="N126" s="30" t="n">
        <v>140.924</v>
      </c>
      <c r="O126" s="30" t="n">
        <v>491.099</v>
      </c>
      <c r="P126" s="10" t="inlineStr">
        <is>
          <t>65</t>
        </is>
      </c>
      <c r="Q126" s="30" t="n">
        <v>124.2463</v>
      </c>
      <c r="R126" s="10">
        <f>MAX(MAX(1.4/'Parametros'!$B$3,0.25*SQRT('Parametros'!$B$2)/'Parametros'!$B$3)*H126*U126,(0.85*'Parametros'!$B$2/'Parametros'!$B$3)*(1-SQRT(1-2*(J126*1000000/('Parametros'!$B$5*H126*U126^2))/(0.85*'Parametros'!$B$2)))*H126*U126)</f>
        <v>1129.52459156285</v>
      </c>
      <c r="S126" s="31" t="n">
        <v>6</v>
      </c>
      <c r="T126" s="32" t="n">
        <v>1</v>
      </c>
      <c r="U126" s="10">
        <f>IF(T126=1,I126-('Parametros'!$B$7+'Parametros'!$B$9+'Parametros'!$B$12/2),I126-(ROUNDUP(S126/2,0)*('Parametros'!$B$7+'Parametros'!$B$9+'Parametros'!$B$12/2)+ROUNDDOWN(S126/2,0)*('Parametros'!$B$7+'Parametros'!$B$9+'Parametros'!$B$12/2+'Parametros'!$B$12+'Parametros'!$B$10))/S126)</f>
        <v>489.35</v>
      </c>
      <c r="V126" s="10">
        <f>S126*'Parametros'!$B$8</f>
        <v>1194</v>
      </c>
      <c r="W126" s="10">
        <f>'Parametros'!$B$5*V126*'Parametros'!$B$3*(U126-(V126*'Parametros'!$B$3/(0.85*'Parametros'!$B$2*H126))/2)/1000000</f>
        <v>210.292835611765</v>
      </c>
      <c r="X126" s="10" t="str">
        <f>IF(W126&gt;=J126,"CUMPLE","NO CUMPLE")</f>
        <v>CUMPLE</v>
      </c>
      <c r="Y126" s="10">
        <f>MAX(MAX(1.4/'Parametros'!$B$3,0.25*SQRT('Parametros'!$B$2)/'Parametros'!$B$3)*H126*AB126,(0.85*'Parametros'!$B$2/'Parametros'!$B$3)*(1-SQRT(1-2*(L126*1000000/('Parametros'!$B$5*H126*AB126^2))/(0.85*'Parametros'!$B$2)))*H126*AB126)</f>
        <v>779.51771126289</v>
      </c>
      <c r="Z126" s="31" t="n">
        <v>4</v>
      </c>
      <c r="AA126" s="32" t="n">
        <v>1</v>
      </c>
      <c r="AB126" s="10">
        <f>IF(AA126=1,I126-('Parametros'!$B$7+'Parametros'!$B$9+'Parametros'!$B$12/2),I126-(ROUNDUP(Z126/2,0)*('Parametros'!$B$7+'Parametros'!$B$9+'Parametros'!$B$12/2)+ROUNDDOWN(Z126/2,0)*('Parametros'!$B$7+'Parametros'!$B$9+'Parametros'!$B$12/2+'Parametros'!$B$12+'Parametros'!$B$10))/Z126)</f>
        <v>489.35</v>
      </c>
      <c r="AC126" s="10">
        <f>Z126*'Parametros'!$B$8</f>
        <v>796</v>
      </c>
      <c r="AD126" s="10">
        <f>'Parametros'!$B$5*AC126*'Parametros'!$B$3*(AB126-(AC126*'Parametros'!$B$3/(0.85*'Parametros'!$B$2*H126))/2)/1000000</f>
        <v>142.543330094118</v>
      </c>
      <c r="AE126" s="10" t="str">
        <f>IF(AD126&gt;=L126,"CUMPLE","NO CUMPLE")</f>
        <v>CUMPLE</v>
      </c>
      <c r="AF126" s="10">
        <f>V126*1.25*'Parametros'!$B$3*(U126-(V126*1.25*'Parametros'!$B$3/(0.85*'Parametros'!$B$2*H126))/2)/1000000</f>
        <v>288.404466617647</v>
      </c>
      <c r="AG126" s="10">
        <f>AC126*1.25*'Parametros'!$B$3*(AB126-(AC126*1.25*'Parametros'!$B$3/(0.85*'Parametros'!$B$2*H126))/2)/1000000</f>
        <v>196.346217941176</v>
      </c>
      <c r="AH126" s="10">
        <f>N126+(AF126+AG126)/D126</f>
        <v>287.818146836007</v>
      </c>
      <c r="AI126" s="10">
        <f>MAX(O126,AH126)</f>
        <v>491.099</v>
      </c>
      <c r="AJ126" s="10">
        <f>0.17*SQRT('Parametros'!$B$2)*H126*MIN(U126,AB126)/1000</f>
        <v>198.088855822627</v>
      </c>
      <c r="AK126" s="10">
        <f>MAX(AI126/'Parametros'!$B$6-AJ126,0)</f>
        <v>456.70981084404</v>
      </c>
      <c r="AL126" s="10">
        <f>0.66*SQRT('Parametros'!$B$2)*H126*MIN(U126,AB126)/1000</f>
        <v>769.050852017258</v>
      </c>
      <c r="AM126" s="10" t="str">
        <f>IF(AK126&lt;=AL126,"CUMPLE","NO CUMPLE")</f>
        <v>CUMPLE</v>
      </c>
      <c r="AN126" s="17" t="inlineStr">
        <is>
          <t>Nº4 cerrado (referencia)</t>
        </is>
      </c>
      <c r="AO126" s="31" t="n">
        <v>4</v>
      </c>
      <c r="AP126" s="10">
        <f>ROUNDDOWN(MIN(IF(BC126+BD126=0,1000000000,AO126*BB126/(BC126+BD126)),MIN(U126,AB126)/4,8*'Parametros'!$B$12,24*BA126,300,IF(AV126=0,1000000000,2*((H126-2*('Parametros'!$B$7+'Parametros'!$B$9/2))+(I126-2*('Parametros'!$B$7+'Parametros'!$B$9/2)))/8))/10,0)*10</f>
        <v>100</v>
      </c>
      <c r="AQ126" s="10">
        <f>ROUNDDOWN(MIN(IF(BC126+BD126=0,1000000000,AO126*BB126/(BC126+BD126)),IF(AK126&gt;0.33*SQRT('Parametros'!$B$2)*H126*MIN(U126,AB126)/1000,MIN(U126,AB126)/4,MIN(U126,AB126)/2),600,IF(AV126=0,1000000000,2*((H126-2*('Parametros'!$B$7+'Parametros'!$B$9/2))+(I126-2*('Parametros'!$B$7+'Parametros'!$B$9/2)))/8))/10,0)*10</f>
        <v>100</v>
      </c>
      <c r="AR126" s="10">
        <f>'Parametros'!$B$6*(AJ126+MAX(BE126-BD126,0)*'Parametros'!$B$4*MIN(U126,AB126)/1000)</f>
        <v>506.182183067799</v>
      </c>
      <c r="AS126" s="10" t="str">
        <f>IF(AND(ISERROR(SEARCH("referencia",AN126)),AM126="CUMPLE",AR126&gt;=AI126),"CUMPLE","NO CUMPLE")</f>
        <v>NO CUMPLE</v>
      </c>
      <c r="AT126" s="10">
        <f>'Parametros'!$B$6*0.083*SQRT('Parametros'!$B$2)*(H126*I126)^2/(2*(H126+I126))/1000000</f>
        <v>10.0887830333379</v>
      </c>
      <c r="AU126" s="10" t="str">
        <f>IF(Q126&lt;=AT126,"DESPRECIABLE","DISEÑAR")</f>
        <v>DISEÑAR</v>
      </c>
      <c r="AV126" s="10">
        <f>IF(Q126&lt;=AT126,0,Q126*1000000/('Parametros'!$B$6*2*0.85*(H126-2*('Parametros'!$B$7+'Parametros'!$B$9/2))*(I126-2*('Parametros'!$B$7+'Parametros'!$B$9/2))*'Parametros'!$B$4))</f>
        <v>1.42000466702403</v>
      </c>
      <c r="AW126" s="10">
        <f>AV126*2*((H126-2*('Parametros'!$B$7+'Parametros'!$B$9/2))+(I126-2*('Parametros'!$B$7+'Parametros'!$B$9/2)))*'Parametros'!$B$4/'Parametros'!$B$3</f>
        <v>2313.47160351555</v>
      </c>
      <c r="AX126" s="31" t="n">
        <v>12</v>
      </c>
      <c r="AY126" s="10" t="str">
        <f>IF(AV126=0,"DESPRECIABLE",IF(AND(ISERROR(SEARCH("referencia",AN126)),BB126/AP126&gt;=AV126,BI126&gt;=AW126,BH126="CUMPLE"),"CUMPLE","NO CUMPLE"))</f>
        <v>NO CUMPLE</v>
      </c>
      <c r="AZ126" s="10" t="str">
        <f>IF(AND(X126="CUMPLE",AE126="CUMPLE",AS126="CUMPLE",OR(AY126="CUMPLE",AY126="DESPRECIABLE"),BH126="CUMPLE",BJ126="CUMPLE"),"CUMPLE","NO CUMPLE")</f>
        <v>NO CUMPLE</v>
      </c>
      <c r="BA126" s="32" t="n">
        <v>12.7</v>
      </c>
      <c r="BB126" s="32" t="n">
        <v>129</v>
      </c>
      <c r="BC126" s="10">
        <f>MAX(IF(AK126=0,0,AK126*1000/('Parametros'!$B$4*MIN(U126,AB126))),MAX(0.062*SQRT('Parametros'!$B$2)*H126/'Parametros'!$B$4,0.35*H126/'Parametros'!$B$4))</f>
        <v>2.22214020952984</v>
      </c>
      <c r="BD126" s="10">
        <f>2*AV126</f>
        <v>2.84000933404806</v>
      </c>
      <c r="BE126" s="10">
        <f>AO126*BB126/AP126</f>
        <v>5.16</v>
      </c>
      <c r="BF126" s="10">
        <f>SQRT((AI126*1000/(H126*MIN(U126,AB126)))^2+(Q126*1000000*2*((H126-2*('Parametros'!$B$7+'Parametros'!$B$9/2))+(I126-2*('Parametros'!$B$7+'Parametros'!$B$9/2)))/(1.7*((H126-2*('Parametros'!$B$7+'Parametros'!$B$9/2))*(I126-2*('Parametros'!$B$7+'Parametros'!$B$9/2)))^2))^2)</f>
        <v>4.98655716482271</v>
      </c>
      <c r="BG126" s="10">
        <f>'Parametros'!$B$6*(AJ126*1000/(H126*MIN(U126,AB126))+0.66*SQRT('Parametros'!$B$2))</f>
        <v>3.29396038227542</v>
      </c>
      <c r="BH126" s="10" t="str">
        <f>IF(BF126&lt;=BG126,"CUMPLE","NO CUMPLE")</f>
        <v>NO CUMPLE</v>
      </c>
      <c r="BI126" s="10">
        <f>AX126*'Parametros'!$B$8</f>
        <v>2388</v>
      </c>
      <c r="BJ126" s="10" t="str">
        <f>IF(BI126&gt;=AW126,"CUMPLE","NO CUMPLE")</f>
        <v>CUMPLE</v>
      </c>
    </row>
    <row r="127">
      <c r="A127" s="15" t="inlineStr">
        <is>
          <t>VC5</t>
        </is>
      </c>
      <c r="B127" s="15" t="inlineStr">
        <is>
          <t>66</t>
        </is>
      </c>
      <c r="C127" s="10" t="n">
        <v>1</v>
      </c>
      <c r="D127" s="10" t="n">
        <v>3.25</v>
      </c>
      <c r="E127" s="10" t="n">
        <v>3.25</v>
      </c>
      <c r="F127" s="10" t="n">
        <v>450</v>
      </c>
      <c r="G127" s="10" t="n">
        <v>550</v>
      </c>
      <c r="H127" s="17" t="n">
        <v>450</v>
      </c>
      <c r="I127" s="17" t="n">
        <v>550</v>
      </c>
      <c r="J127" s="30" t="n">
        <v>187.8766</v>
      </c>
      <c r="K127" s="10" t="inlineStr">
        <is>
          <t>66</t>
        </is>
      </c>
      <c r="L127" s="30" t="n">
        <v>163.3809</v>
      </c>
      <c r="M127" s="10" t="inlineStr">
        <is>
          <t>66</t>
        </is>
      </c>
      <c r="N127" s="30" t="n">
        <v>110.371</v>
      </c>
      <c r="O127" s="30" t="n">
        <v>463.79</v>
      </c>
      <c r="P127" s="10" t="inlineStr">
        <is>
          <t>66</t>
        </is>
      </c>
      <c r="Q127" s="30" t="n">
        <v>71.62649999999999</v>
      </c>
      <c r="R127" s="10">
        <f>MAX(MAX(1.4/'Parametros'!$B$3,0.25*SQRT('Parametros'!$B$2)/'Parametros'!$B$3)*H127*U127,(0.85*'Parametros'!$B$2/'Parametros'!$B$3)*(1-SQRT(1-2*(J127*1000000/('Parametros'!$B$5*H127*U127^2))/(0.85*'Parametros'!$B$2)))*H127*U127)</f>
        <v>1060.77811800655</v>
      </c>
      <c r="S127" s="31" t="n">
        <v>6</v>
      </c>
      <c r="T127" s="32" t="n">
        <v>1</v>
      </c>
      <c r="U127" s="10">
        <f>IF(T127=1,I127-('Parametros'!$B$7+'Parametros'!$B$9+'Parametros'!$B$12/2),I127-(ROUNDUP(S127/2,0)*('Parametros'!$B$7+'Parametros'!$B$9+'Parametros'!$B$12/2)+ROUNDDOWN(S127/2,0)*('Parametros'!$B$7+'Parametros'!$B$9+'Parametros'!$B$12/2+'Parametros'!$B$12+'Parametros'!$B$10))/S127)</f>
        <v>489.35</v>
      </c>
      <c r="V127" s="10">
        <f>S127*'Parametros'!$B$8</f>
        <v>1194</v>
      </c>
      <c r="W127" s="10">
        <f>'Parametros'!$B$5*V127*'Parametros'!$B$3*(U127-(V127*'Parametros'!$B$3/(0.85*'Parametros'!$B$2*H127))/2)/1000000</f>
        <v>210.292835611765</v>
      </c>
      <c r="X127" s="10" t="str">
        <f>IF(W127&gt;=J127,"CUMPLE","NO CUMPLE")</f>
        <v>CUMPLE</v>
      </c>
      <c r="Y127" s="10">
        <f>MAX(MAX(1.4/'Parametros'!$B$3,0.25*SQRT('Parametros'!$B$2)/'Parametros'!$B$3)*H127*AB127,(0.85*'Parametros'!$B$2/'Parametros'!$B$3)*(1-SQRT(1-2*(L127*1000000/('Parametros'!$B$5*H127*AB127^2))/(0.85*'Parametros'!$B$2)))*H127*AB127)</f>
        <v>916.952960561414</v>
      </c>
      <c r="Z127" s="31" t="n">
        <v>5</v>
      </c>
      <c r="AA127" s="32" t="n">
        <v>1</v>
      </c>
      <c r="AB127" s="10">
        <f>IF(AA127=1,I127-('Parametros'!$B$7+'Parametros'!$B$9+'Parametros'!$B$12/2),I127-(ROUNDUP(Z127/2,0)*('Parametros'!$B$7+'Parametros'!$B$9+'Parametros'!$B$12/2)+ROUNDDOWN(Z127/2,0)*('Parametros'!$B$7+'Parametros'!$B$9+'Parametros'!$B$12/2+'Parametros'!$B$12+'Parametros'!$B$10))/Z127)</f>
        <v>489.35</v>
      </c>
      <c r="AC127" s="10">
        <f>Z127*'Parametros'!$B$8</f>
        <v>995</v>
      </c>
      <c r="AD127" s="10">
        <f>'Parametros'!$B$5*AC127*'Parametros'!$B$3*(AB127-(AC127*'Parametros'!$B$3/(0.85*'Parametros'!$B$2*H127))/2)/1000000</f>
        <v>176.711596147059</v>
      </c>
      <c r="AE127" s="10" t="str">
        <f>IF(AD127&gt;=L127,"CUMPLE","NO CUMPLE")</f>
        <v>CUMPLE</v>
      </c>
      <c r="AF127" s="10">
        <f>V127*1.25*'Parametros'!$B$3*(U127-(V127*1.25*'Parametros'!$B$3/(0.85*'Parametros'!$B$2*H127))/2)/1000000</f>
        <v>288.404466617647</v>
      </c>
      <c r="AG127" s="10">
        <f>AC127*1.25*'Parametros'!$B$3*(AB127-(AC127*1.25*'Parametros'!$B$3/(0.85*'Parametros'!$B$2*H127))/2)/1000000</f>
        <v>242.884913970588</v>
      </c>
      <c r="AH127" s="10">
        <f>N127+(AF127+AG127)/D127</f>
        <v>273.844655565611</v>
      </c>
      <c r="AI127" s="10">
        <f>MAX(O127,AH127)</f>
        <v>463.79</v>
      </c>
      <c r="AJ127" s="10">
        <f>0.17*SQRT('Parametros'!$B$2)*H127*MIN(U127,AB127)/1000</f>
        <v>198.088855822627</v>
      </c>
      <c r="AK127" s="10">
        <f>MAX(AI127/'Parametros'!$B$6-AJ127,0)</f>
        <v>420.29781084404</v>
      </c>
      <c r="AL127" s="10">
        <f>0.66*SQRT('Parametros'!$B$2)*H127*MIN(U127,AB127)/1000</f>
        <v>769.050852017258</v>
      </c>
      <c r="AM127" s="10" t="str">
        <f>IF(AK127&lt;=AL127,"CUMPLE","NO CUMPLE")</f>
        <v>CUMPLE</v>
      </c>
      <c r="AN127" s="17" t="inlineStr">
        <is>
          <t>Nº4 cerrado</t>
        </is>
      </c>
      <c r="AO127" s="31" t="n">
        <v>4</v>
      </c>
      <c r="AP127" s="10">
        <f>ROUNDDOWN(MIN(IF(BC127+BD127=0,1000000000,AO127*BB127/(BC127+BD127)),MIN(U127,AB127)/4,8*'Parametros'!$B$12,24*BA127,300,IF(AV127=0,1000000000,2*((H127-2*('Parametros'!$B$7+'Parametros'!$B$9/2))+(I127-2*('Parametros'!$B$7+'Parametros'!$B$9/2)))/8))/10,0)*10</f>
        <v>120</v>
      </c>
      <c r="AQ127" s="10">
        <f>ROUNDDOWN(MIN(IF(BC127+BD127=0,1000000000,AO127*BB127/(BC127+BD127)),IF(AK127&gt;0.33*SQRT('Parametros'!$B$2)*H127*MIN(U127,AB127)/1000,MIN(U127,AB127)/4,MIN(U127,AB127)/2),600,IF(AV127=0,1000000000,2*((H127-2*('Parametros'!$B$7+'Parametros'!$B$9/2))+(I127-2*('Parametros'!$B$7+'Parametros'!$B$9/2)))/8))/10,0)*10</f>
        <v>120</v>
      </c>
      <c r="AR127" s="10">
        <f>'Parametros'!$B$6*(AJ127+MAX(BE127-BD127,0)*'Parametros'!$B$4*MIN(U127,AB127)/1000)</f>
        <v>559.019792175338</v>
      </c>
      <c r="AS127" s="10" t="str">
        <f>IF(AND(ISERROR(SEARCH("referencia",AN127)),AM127="CUMPLE",AR127&gt;=AI127),"CUMPLE","NO CUMPLE")</f>
        <v>CUMPLE</v>
      </c>
      <c r="AT127" s="10">
        <f>'Parametros'!$B$6*0.083*SQRT('Parametros'!$B$2)*(H127*I127)^2/(2*(H127+I127))/1000000</f>
        <v>10.0887830333379</v>
      </c>
      <c r="AU127" s="10" t="str">
        <f>IF(Q127&lt;=AT127,"DESPRECIABLE","DISEÑAR")</f>
        <v>DISEÑAR</v>
      </c>
      <c r="AV127" s="10">
        <f>IF(Q127&lt;=AT127,0,Q127*1000000/('Parametros'!$B$6*2*0.85*(H127-2*('Parametros'!$B$7+'Parametros'!$B$9/2))*(I127-2*('Parametros'!$B$7+'Parametros'!$B$9/2))*'Parametros'!$B$4))</f>
        <v>0.818615639118402</v>
      </c>
      <c r="AW127" s="10">
        <f>AV127*2*((H127-2*('Parametros'!$B$7+'Parametros'!$B$9/2))+(I127-2*('Parametros'!$B$7+'Parametros'!$B$9/2)))*'Parametros'!$B$4/'Parametros'!$B$3</f>
        <v>1333.6885992517</v>
      </c>
      <c r="AX127" s="31" t="n">
        <v>8</v>
      </c>
      <c r="AY127" s="10" t="str">
        <f>IF(AV127=0,"DESPRECIABLE",IF(AND(ISERROR(SEARCH("referencia",AN127)),BB127/AP127&gt;=AV127,BI127&gt;=AW127,BH127="CUMPLE"),"CUMPLE","NO CUMPLE"))</f>
        <v>NO CUMPLE</v>
      </c>
      <c r="AZ127" s="10" t="str">
        <f>IF(AND(X127="CUMPLE",AE127="CUMPLE",AS127="CUMPLE",OR(AY127="CUMPLE",AY127="DESPRECIABLE"),BH127="CUMPLE",BJ127="CUMPLE"),"CUMPLE","NO CUMPLE")</f>
        <v>NO CUMPLE</v>
      </c>
      <c r="BA127" s="32" t="n">
        <v>12.7</v>
      </c>
      <c r="BB127" s="32" t="n">
        <v>129</v>
      </c>
      <c r="BC127" s="10">
        <f>MAX(IF(AK127=0,0,AK127*1000/('Parametros'!$B$4*MIN(U127,AB127))),MAX(0.062*SQRT('Parametros'!$B$2)*H127/'Parametros'!$B$4,0.35*H127/'Parametros'!$B$4))</f>
        <v>2.04497613862918</v>
      </c>
      <c r="BD127" s="10">
        <f>2*AV127</f>
        <v>1.6372312782368</v>
      </c>
      <c r="BE127" s="10">
        <f>AO127*BB127/AP127</f>
        <v>4.3</v>
      </c>
      <c r="BF127" s="10">
        <f>SQRT((AI127*1000/(H127*MIN(U127,AB127)))^2+(Q127*1000000*2*((H127-2*('Parametros'!$B$7+'Parametros'!$B$9/2))+(I127-2*('Parametros'!$B$7+'Parametros'!$B$9/2)))/(1.7*((H127-2*('Parametros'!$B$7+'Parametros'!$B$9/2))*(I127-2*('Parametros'!$B$7+'Parametros'!$B$9/2)))^2))^2)</f>
        <v>3.32366995451523</v>
      </c>
      <c r="BG127" s="10">
        <f>'Parametros'!$B$6*(AJ127*1000/(H127*MIN(U127,AB127))+0.66*SQRT('Parametros'!$B$2))</f>
        <v>3.29396038227542</v>
      </c>
      <c r="BH127" s="10" t="str">
        <f>IF(BF127&lt;=BG127,"CUMPLE","NO CUMPLE")</f>
        <v>NO CUMPLE</v>
      </c>
      <c r="BI127" s="10">
        <f>AX127*'Parametros'!$B$8</f>
        <v>1592</v>
      </c>
      <c r="BJ127" s="10" t="str">
        <f>IF(BI127&gt;=AW127,"CUMPLE","NO CUMPLE")</f>
        <v>CUMPLE</v>
      </c>
    </row>
    <row r="128">
      <c r="A128" s="15" t="inlineStr">
        <is>
          <t>VC5</t>
        </is>
      </c>
      <c r="B128" s="15" t="inlineStr">
        <is>
          <t>83</t>
        </is>
      </c>
      <c r="C128" s="10" t="n">
        <v>1</v>
      </c>
      <c r="D128" s="10" t="n">
        <v>3.25</v>
      </c>
      <c r="E128" s="10" t="n">
        <v>3.25</v>
      </c>
      <c r="F128" s="10" t="n">
        <v>450</v>
      </c>
      <c r="G128" s="10" t="n">
        <v>550</v>
      </c>
      <c r="H128" s="17" t="n">
        <v>450</v>
      </c>
      <c r="I128" s="17" t="n">
        <v>550</v>
      </c>
      <c r="J128" s="30" t="n">
        <v>187.8697</v>
      </c>
      <c r="K128" s="10" t="inlineStr">
        <is>
          <t>83</t>
        </is>
      </c>
      <c r="L128" s="30" t="n">
        <v>163.3809</v>
      </c>
      <c r="M128" s="10" t="inlineStr">
        <is>
          <t>83</t>
        </is>
      </c>
      <c r="N128" s="30" t="n">
        <v>110.362</v>
      </c>
      <c r="O128" s="30" t="n">
        <v>463.775</v>
      </c>
      <c r="P128" s="10" t="inlineStr">
        <is>
          <t>83</t>
        </is>
      </c>
      <c r="Q128" s="30" t="n">
        <v>71.6199</v>
      </c>
      <c r="R128" s="10">
        <f>MAX(MAX(1.4/'Parametros'!$B$3,0.25*SQRT('Parametros'!$B$2)/'Parametros'!$B$3)*H128*U128,(0.85*'Parametros'!$B$2/'Parametros'!$B$3)*(1-SQRT(1-2*(J128*1000000/('Parametros'!$B$5*H128*U128^2))/(0.85*'Parametros'!$B$2)))*H128*U128)</f>
        <v>1060.73734994249</v>
      </c>
      <c r="S128" s="31" t="n">
        <v>6</v>
      </c>
      <c r="T128" s="32" t="n">
        <v>1</v>
      </c>
      <c r="U128" s="10">
        <f>IF(T128=1,I128-('Parametros'!$B$7+'Parametros'!$B$9+'Parametros'!$B$12/2),I128-(ROUNDUP(S128/2,0)*('Parametros'!$B$7+'Parametros'!$B$9+'Parametros'!$B$12/2)+ROUNDDOWN(S128/2,0)*('Parametros'!$B$7+'Parametros'!$B$9+'Parametros'!$B$12/2+'Parametros'!$B$12+'Parametros'!$B$10))/S128)</f>
        <v>489.35</v>
      </c>
      <c r="V128" s="10">
        <f>S128*'Parametros'!$B$8</f>
        <v>1194</v>
      </c>
      <c r="W128" s="10">
        <f>'Parametros'!$B$5*V128*'Parametros'!$B$3*(U128-(V128*'Parametros'!$B$3/(0.85*'Parametros'!$B$2*H128))/2)/1000000</f>
        <v>210.292835611765</v>
      </c>
      <c r="X128" s="10" t="str">
        <f>IF(W128&gt;=J128,"CUMPLE","NO CUMPLE")</f>
        <v>CUMPLE</v>
      </c>
      <c r="Y128" s="10">
        <f>MAX(MAX(1.4/'Parametros'!$B$3,0.25*SQRT('Parametros'!$B$2)/'Parametros'!$B$3)*H128*AB128,(0.85*'Parametros'!$B$2/'Parametros'!$B$3)*(1-SQRT(1-2*(L128*1000000/('Parametros'!$B$5*H128*AB128^2))/(0.85*'Parametros'!$B$2)))*H128*AB128)</f>
        <v>916.952960561414</v>
      </c>
      <c r="Z128" s="31" t="n">
        <v>5</v>
      </c>
      <c r="AA128" s="32" t="n">
        <v>1</v>
      </c>
      <c r="AB128" s="10">
        <f>IF(AA128=1,I128-('Parametros'!$B$7+'Parametros'!$B$9+'Parametros'!$B$12/2),I128-(ROUNDUP(Z128/2,0)*('Parametros'!$B$7+'Parametros'!$B$9+'Parametros'!$B$12/2)+ROUNDDOWN(Z128/2,0)*('Parametros'!$B$7+'Parametros'!$B$9+'Parametros'!$B$12/2+'Parametros'!$B$12+'Parametros'!$B$10))/Z128)</f>
        <v>489.35</v>
      </c>
      <c r="AC128" s="10">
        <f>Z128*'Parametros'!$B$8</f>
        <v>995</v>
      </c>
      <c r="AD128" s="10">
        <f>'Parametros'!$B$5*AC128*'Parametros'!$B$3*(AB128-(AC128*'Parametros'!$B$3/(0.85*'Parametros'!$B$2*H128))/2)/1000000</f>
        <v>176.711596147059</v>
      </c>
      <c r="AE128" s="10" t="str">
        <f>IF(AD128&gt;=L128,"CUMPLE","NO CUMPLE")</f>
        <v>CUMPLE</v>
      </c>
      <c r="AF128" s="10">
        <f>V128*1.25*'Parametros'!$B$3*(U128-(V128*1.25*'Parametros'!$B$3/(0.85*'Parametros'!$B$2*H128))/2)/1000000</f>
        <v>288.404466617647</v>
      </c>
      <c r="AG128" s="10">
        <f>AC128*1.25*'Parametros'!$B$3*(AB128-(AC128*1.25*'Parametros'!$B$3/(0.85*'Parametros'!$B$2*H128))/2)/1000000</f>
        <v>242.884913970588</v>
      </c>
      <c r="AH128" s="10">
        <f>N128+(AF128+AG128)/D128</f>
        <v>273.835655565611</v>
      </c>
      <c r="AI128" s="10">
        <f>MAX(O128,AH128)</f>
        <v>463.775</v>
      </c>
      <c r="AJ128" s="10">
        <f>0.17*SQRT('Parametros'!$B$2)*H128*MIN(U128,AB128)/1000</f>
        <v>198.088855822627</v>
      </c>
      <c r="AK128" s="10">
        <f>MAX(AI128/'Parametros'!$B$6-AJ128,0)</f>
        <v>420.27781084404</v>
      </c>
      <c r="AL128" s="10">
        <f>0.66*SQRT('Parametros'!$B$2)*H128*MIN(U128,AB128)/1000</f>
        <v>769.050852017258</v>
      </c>
      <c r="AM128" s="10" t="str">
        <f>IF(AK128&lt;=AL128,"CUMPLE","NO CUMPLE")</f>
        <v>CUMPLE</v>
      </c>
      <c r="AN128" s="17" t="inlineStr">
        <is>
          <t>Nº4 cerrado</t>
        </is>
      </c>
      <c r="AO128" s="31" t="n">
        <v>4</v>
      </c>
      <c r="AP128" s="10">
        <f>ROUNDDOWN(MIN(IF(BC128+BD128=0,1000000000,AO128*BB128/(BC128+BD128)),MIN(U128,AB128)/4,8*'Parametros'!$B$12,24*BA128,300,IF(AV128=0,1000000000,2*((H128-2*('Parametros'!$B$7+'Parametros'!$B$9/2))+(I128-2*('Parametros'!$B$7+'Parametros'!$B$9/2)))/8))/10,0)*10</f>
        <v>120</v>
      </c>
      <c r="AQ128" s="10">
        <f>ROUNDDOWN(MIN(IF(BC128+BD128=0,1000000000,AO128*BB128/(BC128+BD128)),IF(AK128&gt;0.33*SQRT('Parametros'!$B$2)*H128*MIN(U128,AB128)/1000,MIN(U128,AB128)/4,MIN(U128,AB128)/2),600,IF(AV128=0,1000000000,2*((H128-2*('Parametros'!$B$7+'Parametros'!$B$9/2))+(I128-2*('Parametros'!$B$7+'Parametros'!$B$9/2)))/8))/10,0)*10</f>
        <v>120</v>
      </c>
      <c r="AR128" s="10">
        <f>'Parametros'!$B$6*(AJ128+MAX(BE128-BD128,0)*'Parametros'!$B$4*MIN(U128,AB128)/1000)</f>
        <v>559.043046856259</v>
      </c>
      <c r="AS128" s="10" t="str">
        <f>IF(AND(ISERROR(SEARCH("referencia",AN128)),AM128="CUMPLE",AR128&gt;=AI128),"CUMPLE","NO CUMPLE")</f>
        <v>CUMPLE</v>
      </c>
      <c r="AT128" s="10">
        <f>'Parametros'!$B$6*0.083*SQRT('Parametros'!$B$2)*(H128*I128)^2/(2*(H128+I128))/1000000</f>
        <v>10.0887830333379</v>
      </c>
      <c r="AU128" s="10" t="str">
        <f>IF(Q128&lt;=AT128,"DESPRECIABLE","DISEÑAR")</f>
        <v>DISEÑAR</v>
      </c>
      <c r="AV128" s="10">
        <f>IF(Q128&lt;=AT128,0,Q128*1000000/('Parametros'!$B$6*2*0.85*(H128-2*('Parametros'!$B$7+'Parametros'!$B$9/2))*(I128-2*('Parametros'!$B$7+'Parametros'!$B$9/2))*'Parametros'!$B$4))</f>
        <v>0.81854020805283</v>
      </c>
      <c r="AW128" s="10">
        <f>AV128*2*((H128-2*('Parametros'!$B$7+'Parametros'!$B$9/2))+(I128-2*('Parametros'!$B$7+'Parametros'!$B$9/2)))*'Parametros'!$B$4/'Parametros'!$B$3</f>
        <v>1333.56570695967</v>
      </c>
      <c r="AX128" s="31" t="n">
        <v>8</v>
      </c>
      <c r="AY128" s="10" t="str">
        <f>IF(AV128=0,"DESPRECIABLE",IF(AND(ISERROR(SEARCH("referencia",AN128)),BB128/AP128&gt;=AV128,BI128&gt;=AW128,BH128="CUMPLE"),"CUMPLE","NO CUMPLE"))</f>
        <v>NO CUMPLE</v>
      </c>
      <c r="AZ128" s="10" t="str">
        <f>IF(AND(X128="CUMPLE",AE128="CUMPLE",AS128="CUMPLE",OR(AY128="CUMPLE",AY128="DESPRECIABLE"),BH128="CUMPLE",BJ128="CUMPLE"),"CUMPLE","NO CUMPLE")</f>
        <v>NO CUMPLE</v>
      </c>
      <c r="BA128" s="32" t="n">
        <v>12.7</v>
      </c>
      <c r="BB128" s="32" t="n">
        <v>129</v>
      </c>
      <c r="BC128" s="10">
        <f>MAX(IF(AK128=0,0,AK128*1000/('Parametros'!$B$4*MIN(U128,AB128))),MAX(0.062*SQRT('Parametros'!$B$2)*H128/'Parametros'!$B$4,0.35*H128/'Parametros'!$B$4))</f>
        <v>2.04487882781357</v>
      </c>
      <c r="BD128" s="10">
        <f>2*AV128</f>
        <v>1.63708041610566</v>
      </c>
      <c r="BE128" s="10">
        <f>AO128*BB128/AP128</f>
        <v>4.3</v>
      </c>
      <c r="BF128" s="10">
        <f>SQRT((AI128*1000/(H128*MIN(U128,AB128)))^2+(Q128*1000000*2*((H128-2*('Parametros'!$B$7+'Parametros'!$B$9/2))+(I128-2*('Parametros'!$B$7+'Parametros'!$B$9/2)))/(1.7*((H128-2*('Parametros'!$B$7+'Parametros'!$B$9/2))*(I128-2*('Parametros'!$B$7+'Parametros'!$B$9/2)))^2))^2)</f>
        <v>3.32344351157528</v>
      </c>
      <c r="BG128" s="10">
        <f>'Parametros'!$B$6*(AJ128*1000/(H128*MIN(U128,AB128))+0.66*SQRT('Parametros'!$B$2))</f>
        <v>3.29396038227542</v>
      </c>
      <c r="BH128" s="10" t="str">
        <f>IF(BF128&lt;=BG128,"CUMPLE","NO CUMPLE")</f>
        <v>NO CUMPLE</v>
      </c>
      <c r="BI128" s="10">
        <f>AX128*'Parametros'!$B$8</f>
        <v>1592</v>
      </c>
      <c r="BJ128" s="10" t="str">
        <f>IF(BI128&gt;=AW128,"CUMPLE","NO CUMPLE")</f>
        <v>CUMPLE</v>
      </c>
    </row>
    <row r="129">
      <c r="A129" s="15" t="inlineStr">
        <is>
          <t>VC5</t>
        </is>
      </c>
      <c r="B129" s="15" t="inlineStr">
        <is>
          <t>84</t>
        </is>
      </c>
      <c r="C129" s="10" t="n">
        <v>1</v>
      </c>
      <c r="D129" s="10" t="n">
        <v>3.3</v>
      </c>
      <c r="E129" s="10" t="n">
        <v>3.3</v>
      </c>
      <c r="F129" s="10" t="n">
        <v>450</v>
      </c>
      <c r="G129" s="10" t="n">
        <v>550</v>
      </c>
      <c r="H129" s="17" t="n">
        <v>450</v>
      </c>
      <c r="I129" s="17" t="n">
        <v>550</v>
      </c>
      <c r="J129" s="30" t="n">
        <v>199.483</v>
      </c>
      <c r="K129" s="10" t="inlineStr">
        <is>
          <t>84</t>
        </is>
      </c>
      <c r="L129" s="30" t="n">
        <v>139.6693</v>
      </c>
      <c r="M129" s="10" t="inlineStr">
        <is>
          <t>84</t>
        </is>
      </c>
      <c r="N129" s="30" t="n">
        <v>140.953</v>
      </c>
      <c r="O129" s="30" t="n">
        <v>491.129</v>
      </c>
      <c r="P129" s="10" t="inlineStr">
        <is>
          <t>84</t>
        </is>
      </c>
      <c r="Q129" s="30" t="n">
        <v>124.2661</v>
      </c>
      <c r="R129" s="10">
        <f>MAX(MAX(1.4/'Parametros'!$B$3,0.25*SQRT('Parametros'!$B$2)/'Parametros'!$B$3)*H129*U129,(0.85*'Parametros'!$B$2/'Parametros'!$B$3)*(1-SQRT(1-2*(J129*1000000/('Parametros'!$B$5*H129*U129^2))/(0.85*'Parametros'!$B$2)))*H129*U129)</f>
        <v>1129.56085133948</v>
      </c>
      <c r="S129" s="31" t="n">
        <v>6</v>
      </c>
      <c r="T129" s="32" t="n">
        <v>1</v>
      </c>
      <c r="U129" s="10">
        <f>IF(T129=1,I129-('Parametros'!$B$7+'Parametros'!$B$9+'Parametros'!$B$12/2),I129-(ROUNDUP(S129/2,0)*('Parametros'!$B$7+'Parametros'!$B$9+'Parametros'!$B$12/2)+ROUNDDOWN(S129/2,0)*('Parametros'!$B$7+'Parametros'!$B$9+'Parametros'!$B$12/2+'Parametros'!$B$12+'Parametros'!$B$10))/S129)</f>
        <v>489.35</v>
      </c>
      <c r="V129" s="10">
        <f>S129*'Parametros'!$B$8</f>
        <v>1194</v>
      </c>
      <c r="W129" s="10">
        <f>'Parametros'!$B$5*V129*'Parametros'!$B$3*(U129-(V129*'Parametros'!$B$3/(0.85*'Parametros'!$B$2*H129))/2)/1000000</f>
        <v>210.292835611765</v>
      </c>
      <c r="X129" s="10" t="str">
        <f>IF(W129&gt;=J129,"CUMPLE","NO CUMPLE")</f>
        <v>CUMPLE</v>
      </c>
      <c r="Y129" s="10">
        <f>MAX(MAX(1.4/'Parametros'!$B$3,0.25*SQRT('Parametros'!$B$2)/'Parametros'!$B$3)*H129*AB129,(0.85*'Parametros'!$B$2/'Parametros'!$B$3)*(1-SQRT(1-2*(L129*1000000/('Parametros'!$B$5*H129*AB129^2))/(0.85*'Parametros'!$B$2)))*H129*AB129)</f>
        <v>779.415646823794</v>
      </c>
      <c r="Z129" s="31" t="n">
        <v>4</v>
      </c>
      <c r="AA129" s="32" t="n">
        <v>1</v>
      </c>
      <c r="AB129" s="10">
        <f>IF(AA129=1,I129-('Parametros'!$B$7+'Parametros'!$B$9+'Parametros'!$B$12/2),I129-(ROUNDUP(Z129/2,0)*('Parametros'!$B$7+'Parametros'!$B$9+'Parametros'!$B$12/2)+ROUNDDOWN(Z129/2,0)*('Parametros'!$B$7+'Parametros'!$B$9+'Parametros'!$B$12/2+'Parametros'!$B$12+'Parametros'!$B$10))/Z129)</f>
        <v>489.35</v>
      </c>
      <c r="AC129" s="10">
        <f>Z129*'Parametros'!$B$8</f>
        <v>796</v>
      </c>
      <c r="AD129" s="10">
        <f>'Parametros'!$B$5*AC129*'Parametros'!$B$3*(AB129-(AC129*'Parametros'!$B$3/(0.85*'Parametros'!$B$2*H129))/2)/1000000</f>
        <v>142.543330094118</v>
      </c>
      <c r="AE129" s="10" t="str">
        <f>IF(AD129&gt;=L129,"CUMPLE","NO CUMPLE")</f>
        <v>CUMPLE</v>
      </c>
      <c r="AF129" s="10">
        <f>V129*1.25*'Parametros'!$B$3*(U129-(V129*1.25*'Parametros'!$B$3/(0.85*'Parametros'!$B$2*H129))/2)/1000000</f>
        <v>288.404466617647</v>
      </c>
      <c r="AG129" s="10">
        <f>AC129*1.25*'Parametros'!$B$3*(AB129-(AC129*1.25*'Parametros'!$B$3/(0.85*'Parametros'!$B$2*H129))/2)/1000000</f>
        <v>196.346217941176</v>
      </c>
      <c r="AH129" s="10">
        <f>N129+(AF129+AG129)/D129</f>
        <v>287.847146836007</v>
      </c>
      <c r="AI129" s="10">
        <f>MAX(O129,AH129)</f>
        <v>491.129</v>
      </c>
      <c r="AJ129" s="10">
        <f>0.17*SQRT('Parametros'!$B$2)*H129*MIN(U129,AB129)/1000</f>
        <v>198.088855822627</v>
      </c>
      <c r="AK129" s="10">
        <f>MAX(AI129/'Parametros'!$B$6-AJ129,0)</f>
        <v>456.74981084404</v>
      </c>
      <c r="AL129" s="10">
        <f>0.66*SQRT('Parametros'!$B$2)*H129*MIN(U129,AB129)/1000</f>
        <v>769.050852017258</v>
      </c>
      <c r="AM129" s="10" t="str">
        <f>IF(AK129&lt;=AL129,"CUMPLE","NO CUMPLE")</f>
        <v>CUMPLE</v>
      </c>
      <c r="AN129" s="17" t="inlineStr">
        <is>
          <t>Nº4 cerrado (referencia)</t>
        </is>
      </c>
      <c r="AO129" s="31" t="n">
        <v>4</v>
      </c>
      <c r="AP129" s="10">
        <f>ROUNDDOWN(MIN(IF(BC129+BD129=0,1000000000,AO129*BB129/(BC129+BD129)),MIN(U129,AB129)/4,8*'Parametros'!$B$12,24*BA129,300,IF(AV129=0,1000000000,2*((H129-2*('Parametros'!$B$7+'Parametros'!$B$9/2))+(I129-2*('Parametros'!$B$7+'Parametros'!$B$9/2)))/8))/10,0)*10</f>
        <v>100</v>
      </c>
      <c r="AQ129" s="10">
        <f>ROUNDDOWN(MIN(IF(BC129+BD129=0,1000000000,AO129*BB129/(BC129+BD129)),IF(AK129&gt;0.33*SQRT('Parametros'!$B$2)*H129*MIN(U129,AB129)/1000,MIN(U129,AB129)/4,MIN(U129,AB129)/2),600,IF(AV129=0,1000000000,2*((H129-2*('Parametros'!$B$7+'Parametros'!$B$9/2))+(I129-2*('Parametros'!$B$7+'Parametros'!$B$9/2)))/8))/10,0)*10</f>
        <v>100</v>
      </c>
      <c r="AR129" s="10">
        <f>'Parametros'!$B$6*(AJ129+MAX(BE129-BD129,0)*'Parametros'!$B$4*MIN(U129,AB129)/1000)</f>
        <v>506.112419025036</v>
      </c>
      <c r="AS129" s="10" t="str">
        <f>IF(AND(ISERROR(SEARCH("referencia",AN129)),AM129="CUMPLE",AR129&gt;=AI129),"CUMPLE","NO CUMPLE")</f>
        <v>NO CUMPLE</v>
      </c>
      <c r="AT129" s="10">
        <f>'Parametros'!$B$6*0.083*SQRT('Parametros'!$B$2)*(H129*I129)^2/(2*(H129+I129))/1000000</f>
        <v>10.0887830333379</v>
      </c>
      <c r="AU129" s="10" t="str">
        <f>IF(Q129&lt;=AT129,"DESPRECIABLE","DISEÑAR")</f>
        <v>DISEÑAR</v>
      </c>
      <c r="AV129" s="10">
        <f>IF(Q129&lt;=AT129,0,Q129*1000000/('Parametros'!$B$6*2*0.85*(H129-2*('Parametros'!$B$7+'Parametros'!$B$9/2))*(I129-2*('Parametros'!$B$7+'Parametros'!$B$9/2))*'Parametros'!$B$4))</f>
        <v>1.42023096022075</v>
      </c>
      <c r="AW129" s="10">
        <f>AV129*2*((H129-2*('Parametros'!$B$7+'Parametros'!$B$9/2))+(I129-2*('Parametros'!$B$7+'Parametros'!$B$9/2)))*'Parametros'!$B$4/'Parametros'!$B$3</f>
        <v>2313.84028039164</v>
      </c>
      <c r="AX129" s="31" t="n">
        <v>12</v>
      </c>
      <c r="AY129" s="10" t="str">
        <f>IF(AV129=0,"DESPRECIABLE",IF(AND(ISERROR(SEARCH("referencia",AN129)),BB129/AP129&gt;=AV129,BI129&gt;=AW129,BH129="CUMPLE"),"CUMPLE","NO CUMPLE"))</f>
        <v>NO CUMPLE</v>
      </c>
      <c r="AZ129" s="10" t="str">
        <f>IF(AND(X129="CUMPLE",AE129="CUMPLE",AS129="CUMPLE",OR(AY129="CUMPLE",AY129="DESPRECIABLE"),BH129="CUMPLE",BJ129="CUMPLE"),"CUMPLE","NO CUMPLE")</f>
        <v>NO CUMPLE</v>
      </c>
      <c r="BA129" s="32" t="n">
        <v>12.7</v>
      </c>
      <c r="BB129" s="32" t="n">
        <v>129</v>
      </c>
      <c r="BC129" s="10">
        <f>MAX(IF(AK129=0,0,AK129*1000/('Parametros'!$B$4*MIN(U129,AB129))),MAX(0.062*SQRT('Parametros'!$B$2)*H129/'Parametros'!$B$4,0.35*H129/'Parametros'!$B$4))</f>
        <v>2.22233483116106</v>
      </c>
      <c r="BD129" s="10">
        <f>2*AV129</f>
        <v>2.84046192044149</v>
      </c>
      <c r="BE129" s="10">
        <f>AO129*BB129/AP129</f>
        <v>5.16</v>
      </c>
      <c r="BF129" s="10">
        <f>SQRT((AI129*1000/(H129*MIN(U129,AB129)))^2+(Q129*1000000*2*((H129-2*('Parametros'!$B$7+'Parametros'!$B$9/2))+(I129-2*('Parametros'!$B$7+'Parametros'!$B$9/2)))/(1.7*((H129-2*('Parametros'!$B$7+'Parametros'!$B$9/2))*(I129-2*('Parametros'!$B$7+'Parametros'!$B$9/2)))^2))^2)</f>
        <v>4.98725381209295</v>
      </c>
      <c r="BG129" s="10">
        <f>'Parametros'!$B$6*(AJ129*1000/(H129*MIN(U129,AB129))+0.66*SQRT('Parametros'!$B$2))</f>
        <v>3.29396038227542</v>
      </c>
      <c r="BH129" s="10" t="str">
        <f>IF(BF129&lt;=BG129,"CUMPLE","NO CUMPLE")</f>
        <v>NO CUMPLE</v>
      </c>
      <c r="BI129" s="10">
        <f>AX129*'Parametros'!$B$8</f>
        <v>2388</v>
      </c>
      <c r="BJ129" s="10" t="str">
        <f>IF(BI129&gt;=AW129,"CUMPLE","NO CUMPLE")</f>
        <v>CUMPLE</v>
      </c>
    </row>
    <row r="130">
      <c r="A130" s="15" t="inlineStr">
        <is>
          <t>VC5</t>
        </is>
      </c>
      <c r="B130" s="15" t="inlineStr">
        <is>
          <t>85</t>
        </is>
      </c>
      <c r="C130" s="10" t="n">
        <v>1</v>
      </c>
      <c r="D130" s="10" t="n">
        <v>3.3</v>
      </c>
      <c r="E130" s="10" t="n">
        <v>3.3</v>
      </c>
      <c r="F130" s="10" t="n">
        <v>450</v>
      </c>
      <c r="G130" s="10" t="n">
        <v>550</v>
      </c>
      <c r="H130" s="17" t="n">
        <v>450</v>
      </c>
      <c r="I130" s="17" t="n">
        <v>550</v>
      </c>
      <c r="J130" s="30" t="n">
        <v>199.3745</v>
      </c>
      <c r="K130" s="10" t="inlineStr">
        <is>
          <t>85</t>
        </is>
      </c>
      <c r="L130" s="30" t="n">
        <v>139.6522</v>
      </c>
      <c r="M130" s="10" t="inlineStr">
        <is>
          <t>85</t>
        </is>
      </c>
      <c r="N130" s="30" t="n">
        <v>140.85</v>
      </c>
      <c r="O130" s="30" t="n">
        <v>490.996</v>
      </c>
      <c r="P130" s="10" t="inlineStr">
        <is>
          <t>85</t>
        </is>
      </c>
      <c r="Q130" s="30" t="n">
        <v>124.2065</v>
      </c>
      <c r="R130" s="10">
        <f>MAX(MAX(1.4/'Parametros'!$B$3,0.25*SQRT('Parametros'!$B$2)/'Parametros'!$B$3)*H130*U130,(0.85*'Parametros'!$B$2/'Parametros'!$B$3)*(1-SQRT(1-2*(J130*1000000/('Parametros'!$B$5*H130*U130^2))/(0.85*'Parametros'!$B$2)))*H130*U130)</f>
        <v>1128.91592014809</v>
      </c>
      <c r="S130" s="31" t="n">
        <v>6</v>
      </c>
      <c r="T130" s="32" t="n">
        <v>1</v>
      </c>
      <c r="U130" s="10">
        <f>IF(T130=1,I130-('Parametros'!$B$7+'Parametros'!$B$9+'Parametros'!$B$12/2),I130-(ROUNDUP(S130/2,0)*('Parametros'!$B$7+'Parametros'!$B$9+'Parametros'!$B$12/2)+ROUNDDOWN(S130/2,0)*('Parametros'!$B$7+'Parametros'!$B$9+'Parametros'!$B$12/2+'Parametros'!$B$12+'Parametros'!$B$10))/S130)</f>
        <v>489.35</v>
      </c>
      <c r="V130" s="10">
        <f>S130*'Parametros'!$B$8</f>
        <v>1194</v>
      </c>
      <c r="W130" s="10">
        <f>'Parametros'!$B$5*V130*'Parametros'!$B$3*(U130-(V130*'Parametros'!$B$3/(0.85*'Parametros'!$B$2*H130))/2)/1000000</f>
        <v>210.292835611765</v>
      </c>
      <c r="X130" s="10" t="str">
        <f>IF(W130&gt;=J130,"CUMPLE","NO CUMPLE")</f>
        <v>CUMPLE</v>
      </c>
      <c r="Y130" s="10">
        <f>MAX(MAX(1.4/'Parametros'!$B$3,0.25*SQRT('Parametros'!$B$2)/'Parametros'!$B$3)*H130*AB130,(0.85*'Parametros'!$B$2/'Parametros'!$B$3)*(1-SQRT(1-2*(L130*1000000/('Parametros'!$B$5*H130*AB130^2))/(0.85*'Parametros'!$B$2)))*H130*AB130)</f>
        <v>779.31704304185</v>
      </c>
      <c r="Z130" s="31" t="n">
        <v>4</v>
      </c>
      <c r="AA130" s="32" t="n">
        <v>1</v>
      </c>
      <c r="AB130" s="10">
        <f>IF(AA130=1,I130-('Parametros'!$B$7+'Parametros'!$B$9+'Parametros'!$B$12/2),I130-(ROUNDUP(Z130/2,0)*('Parametros'!$B$7+'Parametros'!$B$9+'Parametros'!$B$12/2)+ROUNDDOWN(Z130/2,0)*('Parametros'!$B$7+'Parametros'!$B$9+'Parametros'!$B$12/2+'Parametros'!$B$12+'Parametros'!$B$10))/Z130)</f>
        <v>489.35</v>
      </c>
      <c r="AC130" s="10">
        <f>Z130*'Parametros'!$B$8</f>
        <v>796</v>
      </c>
      <c r="AD130" s="10">
        <f>'Parametros'!$B$5*AC130*'Parametros'!$B$3*(AB130-(AC130*'Parametros'!$B$3/(0.85*'Parametros'!$B$2*H130))/2)/1000000</f>
        <v>142.543330094118</v>
      </c>
      <c r="AE130" s="10" t="str">
        <f>IF(AD130&gt;=L130,"CUMPLE","NO CUMPLE")</f>
        <v>CUMPLE</v>
      </c>
      <c r="AF130" s="10">
        <f>V130*1.25*'Parametros'!$B$3*(U130-(V130*1.25*'Parametros'!$B$3/(0.85*'Parametros'!$B$2*H130))/2)/1000000</f>
        <v>288.404466617647</v>
      </c>
      <c r="AG130" s="10">
        <f>AC130*1.25*'Parametros'!$B$3*(AB130-(AC130*1.25*'Parametros'!$B$3/(0.85*'Parametros'!$B$2*H130))/2)/1000000</f>
        <v>196.346217941176</v>
      </c>
      <c r="AH130" s="10">
        <f>N130+(AF130+AG130)/D130</f>
        <v>287.744146836007</v>
      </c>
      <c r="AI130" s="10">
        <f>MAX(O130,AH130)</f>
        <v>490.996</v>
      </c>
      <c r="AJ130" s="10">
        <f>0.17*SQRT('Parametros'!$B$2)*H130*MIN(U130,AB130)/1000</f>
        <v>198.088855822627</v>
      </c>
      <c r="AK130" s="10">
        <f>MAX(AI130/'Parametros'!$B$6-AJ130,0)</f>
        <v>456.572477510706</v>
      </c>
      <c r="AL130" s="10">
        <f>0.66*SQRT('Parametros'!$B$2)*H130*MIN(U130,AB130)/1000</f>
        <v>769.050852017258</v>
      </c>
      <c r="AM130" s="10" t="str">
        <f>IF(AK130&lt;=AL130,"CUMPLE","NO CUMPLE")</f>
        <v>CUMPLE</v>
      </c>
      <c r="AN130" s="17" t="inlineStr">
        <is>
          <t>Nº4 cerrado (referencia)</t>
        </is>
      </c>
      <c r="AO130" s="31" t="n">
        <v>4</v>
      </c>
      <c r="AP130" s="10">
        <f>ROUNDDOWN(MIN(IF(BC130+BD130=0,1000000000,AO130*BB130/(BC130+BD130)),MIN(U130,AB130)/4,8*'Parametros'!$B$12,24*BA130,300,IF(AV130=0,1000000000,2*((H130-2*('Parametros'!$B$7+'Parametros'!$B$9/2))+(I130-2*('Parametros'!$B$7+'Parametros'!$B$9/2)))/8))/10,0)*10</f>
        <v>100</v>
      </c>
      <c r="AQ130" s="10">
        <f>ROUNDDOWN(MIN(IF(BC130+BD130=0,1000000000,AO130*BB130/(BC130+BD130)),IF(AK130&gt;0.33*SQRT('Parametros'!$B$2)*H130*MIN(U130,AB130)/1000,MIN(U130,AB130)/4,MIN(U130,AB130)/2),600,IF(AV130=0,1000000000,2*((H130-2*('Parametros'!$B$7+'Parametros'!$B$9/2))+(I130-2*('Parametros'!$B$7+'Parametros'!$B$9/2)))/8))/10,0)*10</f>
        <v>100</v>
      </c>
      <c r="AR130" s="10">
        <f>'Parametros'!$B$6*(AJ130+MAX(BE130-BD130,0)*'Parametros'!$B$4*MIN(U130,AB130)/1000)</f>
        <v>506.322415840623</v>
      </c>
      <c r="AS130" s="10" t="str">
        <f>IF(AND(ISERROR(SEARCH("referencia",AN130)),AM130="CUMPLE",AR130&gt;=AI130),"CUMPLE","NO CUMPLE")</f>
        <v>NO CUMPLE</v>
      </c>
      <c r="AT130" s="10">
        <f>'Parametros'!$B$6*0.083*SQRT('Parametros'!$B$2)*(H130*I130)^2/(2*(H130+I130))/1000000</f>
        <v>10.0887830333379</v>
      </c>
      <c r="AU130" s="10" t="str">
        <f>IF(Q130&lt;=AT130,"DESPRECIABLE","DISEÑAR")</f>
        <v>DISEÑAR</v>
      </c>
      <c r="AV130" s="10">
        <f>IF(Q130&lt;=AT130,0,Q130*1000000/('Parametros'!$B$6*2*0.85*(H130-2*('Parametros'!$B$7+'Parametros'!$B$9/2))*(I130-2*('Parametros'!$B$7+'Parametros'!$B$9/2))*'Parametros'!$B$4))</f>
        <v>1.41954979484073</v>
      </c>
      <c r="AW130" s="10">
        <f>AV130*2*((H130-2*('Parametros'!$B$7+'Parametros'!$B$9/2))+(I130-2*('Parametros'!$B$7+'Parametros'!$B$9/2)))*'Parametros'!$B$4/'Parametros'!$B$3</f>
        <v>2312.73052575452</v>
      </c>
      <c r="AX130" s="31" t="n">
        <v>12</v>
      </c>
      <c r="AY130" s="10" t="str">
        <f>IF(AV130=0,"DESPRECIABLE",IF(AND(ISERROR(SEARCH("referencia",AN130)),BB130/AP130&gt;=AV130,BI130&gt;=AW130,BH130="CUMPLE"),"CUMPLE","NO CUMPLE"))</f>
        <v>NO CUMPLE</v>
      </c>
      <c r="AZ130" s="10" t="str">
        <f>IF(AND(X130="CUMPLE",AE130="CUMPLE",AS130="CUMPLE",OR(AY130="CUMPLE",AY130="DESPRECIABLE"),BH130="CUMPLE",BJ130="CUMPLE"),"CUMPLE","NO CUMPLE")</f>
        <v>NO CUMPLE</v>
      </c>
      <c r="BA130" s="32" t="n">
        <v>12.7</v>
      </c>
      <c r="BB130" s="32" t="n">
        <v>129</v>
      </c>
      <c r="BC130" s="10">
        <f>MAX(IF(AK130=0,0,AK130*1000/('Parametros'!$B$4*MIN(U130,AB130))),MAX(0.062*SQRT('Parametros'!$B$2)*H130/'Parametros'!$B$4,0.35*H130/'Parametros'!$B$4))</f>
        <v>2.22147200859598</v>
      </c>
      <c r="BD130" s="10">
        <f>2*AV130</f>
        <v>2.83909958968147</v>
      </c>
      <c r="BE130" s="10">
        <f>AO130*BB130/AP130</f>
        <v>5.16</v>
      </c>
      <c r="BF130" s="10">
        <f>SQRT((AI130*1000/(H130*MIN(U130,AB130)))^2+(Q130*1000000*2*((H130-2*('Parametros'!$B$7+'Parametros'!$B$9/2))+(I130-2*('Parametros'!$B$7+'Parametros'!$B$9/2)))/(1.7*((H130-2*('Parametros'!$B$7+'Parametros'!$B$9/2))*(I130-2*('Parametros'!$B$7+'Parametros'!$B$9/2)))^2))^2)</f>
        <v>4.98507012969661</v>
      </c>
      <c r="BG130" s="10">
        <f>'Parametros'!$B$6*(AJ130*1000/(H130*MIN(U130,AB130))+0.66*SQRT('Parametros'!$B$2))</f>
        <v>3.29396038227542</v>
      </c>
      <c r="BH130" s="10" t="str">
        <f>IF(BF130&lt;=BG130,"CUMPLE","NO CUMPLE")</f>
        <v>NO CUMPLE</v>
      </c>
      <c r="BI130" s="10">
        <f>AX130*'Parametros'!$B$8</f>
        <v>2388</v>
      </c>
      <c r="BJ130" s="10" t="str">
        <f>IF(BI130&gt;=AW130,"CUMPLE","NO CUMPLE")</f>
        <v>CUMPLE</v>
      </c>
    </row>
    <row r="131">
      <c r="A131" s="15" t="inlineStr">
        <is>
          <t>VC5</t>
        </is>
      </c>
      <c r="B131" s="15" t="inlineStr">
        <is>
          <t>86</t>
        </is>
      </c>
      <c r="C131" s="10" t="n">
        <v>1</v>
      </c>
      <c r="D131" s="10" t="n">
        <v>3.25</v>
      </c>
      <c r="E131" s="10" t="n">
        <v>3.25</v>
      </c>
      <c r="F131" s="10" t="n">
        <v>450</v>
      </c>
      <c r="G131" s="10" t="n">
        <v>550</v>
      </c>
      <c r="H131" s="17" t="n">
        <v>450</v>
      </c>
      <c r="I131" s="17" t="n">
        <v>550</v>
      </c>
      <c r="J131" s="30" t="n">
        <v>187.8577</v>
      </c>
      <c r="K131" s="10" t="inlineStr">
        <is>
          <t>86</t>
        </is>
      </c>
      <c r="L131" s="30" t="n">
        <v>163.388</v>
      </c>
      <c r="M131" s="10" t="inlineStr">
        <is>
          <t>86</t>
        </is>
      </c>
      <c r="N131" s="30" t="n">
        <v>110.356</v>
      </c>
      <c r="O131" s="30" t="n">
        <v>463.77</v>
      </c>
      <c r="P131" s="10" t="inlineStr">
        <is>
          <t>86</t>
        </is>
      </c>
      <c r="Q131" s="30" t="n">
        <v>71.6193</v>
      </c>
      <c r="R131" s="10">
        <f>MAX(MAX(1.4/'Parametros'!$B$3,0.25*SQRT('Parametros'!$B$2)/'Parametros'!$B$3)*H131*U131,(0.85*'Parametros'!$B$2/'Parametros'!$B$3)*(1-SQRT(1-2*(J131*1000000/('Parametros'!$B$5*H131*U131^2))/(0.85*'Parametros'!$B$2)))*H131*U131)</f>
        <v>1060.66644930824</v>
      </c>
      <c r="S131" s="31" t="n">
        <v>6</v>
      </c>
      <c r="T131" s="32" t="n">
        <v>1</v>
      </c>
      <c r="U131" s="10">
        <f>IF(T131=1,I131-('Parametros'!$B$7+'Parametros'!$B$9+'Parametros'!$B$12/2),I131-(ROUNDUP(S131/2,0)*('Parametros'!$B$7+'Parametros'!$B$9+'Parametros'!$B$12/2)+ROUNDDOWN(S131/2,0)*('Parametros'!$B$7+'Parametros'!$B$9+'Parametros'!$B$12/2+'Parametros'!$B$12+'Parametros'!$B$10))/S131)</f>
        <v>489.35</v>
      </c>
      <c r="V131" s="10">
        <f>S131*'Parametros'!$B$8</f>
        <v>1194</v>
      </c>
      <c r="W131" s="10">
        <f>'Parametros'!$B$5*V131*'Parametros'!$B$3*(U131-(V131*'Parametros'!$B$3/(0.85*'Parametros'!$B$2*H131))/2)/1000000</f>
        <v>210.292835611765</v>
      </c>
      <c r="X131" s="10" t="str">
        <f>IF(W131&gt;=J131,"CUMPLE","NO CUMPLE")</f>
        <v>CUMPLE</v>
      </c>
      <c r="Y131" s="10">
        <f>MAX(MAX(1.4/'Parametros'!$B$3,0.25*SQRT('Parametros'!$B$2)/'Parametros'!$B$3)*H131*AB131,(0.85*'Parametros'!$B$2/'Parametros'!$B$3)*(1-SQRT(1-2*(L131*1000000/('Parametros'!$B$5*H131*AB131^2))/(0.85*'Parametros'!$B$2)))*H131*AB131)</f>
        <v>916.994388600202</v>
      </c>
      <c r="Z131" s="31" t="n">
        <v>5</v>
      </c>
      <c r="AA131" s="32" t="n">
        <v>1</v>
      </c>
      <c r="AB131" s="10">
        <f>IF(AA131=1,I131-('Parametros'!$B$7+'Parametros'!$B$9+'Parametros'!$B$12/2),I131-(ROUNDUP(Z131/2,0)*('Parametros'!$B$7+'Parametros'!$B$9+'Parametros'!$B$12/2)+ROUNDDOWN(Z131/2,0)*('Parametros'!$B$7+'Parametros'!$B$9+'Parametros'!$B$12/2+'Parametros'!$B$12+'Parametros'!$B$10))/Z131)</f>
        <v>489.35</v>
      </c>
      <c r="AC131" s="10">
        <f>Z131*'Parametros'!$B$8</f>
        <v>995</v>
      </c>
      <c r="AD131" s="10">
        <f>'Parametros'!$B$5*AC131*'Parametros'!$B$3*(AB131-(AC131*'Parametros'!$B$3/(0.85*'Parametros'!$B$2*H131))/2)/1000000</f>
        <v>176.711596147059</v>
      </c>
      <c r="AE131" s="10" t="str">
        <f>IF(AD131&gt;=L131,"CUMPLE","NO CUMPLE")</f>
        <v>CUMPLE</v>
      </c>
      <c r="AF131" s="10">
        <f>V131*1.25*'Parametros'!$B$3*(U131-(V131*1.25*'Parametros'!$B$3/(0.85*'Parametros'!$B$2*H131))/2)/1000000</f>
        <v>288.404466617647</v>
      </c>
      <c r="AG131" s="10">
        <f>AC131*1.25*'Parametros'!$B$3*(AB131-(AC131*1.25*'Parametros'!$B$3/(0.85*'Parametros'!$B$2*H131))/2)/1000000</f>
        <v>242.884913970588</v>
      </c>
      <c r="AH131" s="10">
        <f>N131+(AF131+AG131)/D131</f>
        <v>273.829655565611</v>
      </c>
      <c r="AI131" s="10">
        <f>MAX(O131,AH131)</f>
        <v>463.77</v>
      </c>
      <c r="AJ131" s="10">
        <f>0.17*SQRT('Parametros'!$B$2)*H131*MIN(U131,AB131)/1000</f>
        <v>198.088855822627</v>
      </c>
      <c r="AK131" s="10">
        <f>MAX(AI131/'Parametros'!$B$6-AJ131,0)</f>
        <v>420.271144177373</v>
      </c>
      <c r="AL131" s="10">
        <f>0.66*SQRT('Parametros'!$B$2)*H131*MIN(U131,AB131)/1000</f>
        <v>769.050852017258</v>
      </c>
      <c r="AM131" s="10" t="str">
        <f>IF(AK131&lt;=AL131,"CUMPLE","NO CUMPLE")</f>
        <v>CUMPLE</v>
      </c>
      <c r="AN131" s="17" t="inlineStr">
        <is>
          <t>Nº4 cerrado</t>
        </is>
      </c>
      <c r="AO131" s="31" t="n">
        <v>4</v>
      </c>
      <c r="AP131" s="10">
        <f>ROUNDDOWN(MIN(IF(BC131+BD131=0,1000000000,AO131*BB131/(BC131+BD131)),MIN(U131,AB131)/4,8*'Parametros'!$B$12,24*BA131,300,IF(AV131=0,1000000000,2*((H131-2*('Parametros'!$B$7+'Parametros'!$B$9/2))+(I131-2*('Parametros'!$B$7+'Parametros'!$B$9/2)))/8))/10,0)*10</f>
        <v>120</v>
      </c>
      <c r="AQ131" s="10">
        <f>ROUNDDOWN(MIN(IF(BC131+BD131=0,1000000000,AO131*BB131/(BC131+BD131)),IF(AK131&gt;0.33*SQRT('Parametros'!$B$2)*H131*MIN(U131,AB131)/1000,MIN(U131,AB131)/4,MIN(U131,AB131)/2),600,IF(AV131=0,1000000000,2*((H131-2*('Parametros'!$B$7+'Parametros'!$B$9/2))+(I131-2*('Parametros'!$B$7+'Parametros'!$B$9/2)))/8))/10,0)*10</f>
        <v>120</v>
      </c>
      <c r="AR131" s="10">
        <f>'Parametros'!$B$6*(AJ131+MAX(BE131-BD131,0)*'Parametros'!$B$4*MIN(U131,AB131)/1000)</f>
        <v>559.045160918161</v>
      </c>
      <c r="AS131" s="10" t="str">
        <f>IF(AND(ISERROR(SEARCH("referencia",AN131)),AM131="CUMPLE",AR131&gt;=AI131),"CUMPLE","NO CUMPLE")</f>
        <v>CUMPLE</v>
      </c>
      <c r="AT131" s="10">
        <f>'Parametros'!$B$6*0.083*SQRT('Parametros'!$B$2)*(H131*I131)^2/(2*(H131+I131))/1000000</f>
        <v>10.0887830333379</v>
      </c>
      <c r="AU131" s="10" t="str">
        <f>IF(Q131&lt;=AT131,"DESPRECIABLE","DISEÑAR")</f>
        <v>DISEÑAR</v>
      </c>
      <c r="AV131" s="10">
        <f>IF(Q131&lt;=AT131,0,Q131*1000000/('Parametros'!$B$6*2*0.85*(H131-2*('Parametros'!$B$7+'Parametros'!$B$9/2))*(I131-2*('Parametros'!$B$7+'Parametros'!$B$9/2))*'Parametros'!$B$4))</f>
        <v>0.818533350683233</v>
      </c>
      <c r="AW131" s="10">
        <f>AV131*2*((H131-2*('Parametros'!$B$7+'Parametros'!$B$9/2))+(I131-2*('Parametros'!$B$7+'Parametros'!$B$9/2)))*'Parametros'!$B$4/'Parametros'!$B$3</f>
        <v>1333.55453493312</v>
      </c>
      <c r="AX131" s="31" t="n">
        <v>8</v>
      </c>
      <c r="AY131" s="10" t="str">
        <f>IF(AV131=0,"DESPRECIABLE",IF(AND(ISERROR(SEARCH("referencia",AN131)),BB131/AP131&gt;=AV131,BI131&gt;=AW131,BH131="CUMPLE"),"CUMPLE","NO CUMPLE"))</f>
        <v>NO CUMPLE</v>
      </c>
      <c r="AZ131" s="10" t="str">
        <f>IF(AND(X131="CUMPLE",AE131="CUMPLE",AS131="CUMPLE",OR(AY131="CUMPLE",AY131="DESPRECIABLE"),BH131="CUMPLE",BJ131="CUMPLE"),"CUMPLE","NO CUMPLE")</f>
        <v>NO CUMPLE</v>
      </c>
      <c r="BA131" s="32" t="n">
        <v>12.7</v>
      </c>
      <c r="BB131" s="32" t="n">
        <v>129</v>
      </c>
      <c r="BC131" s="10">
        <f>MAX(IF(AK131=0,0,AK131*1000/('Parametros'!$B$4*MIN(U131,AB131))),MAX(0.062*SQRT('Parametros'!$B$2)*H131/'Parametros'!$B$4,0.35*H131/'Parametros'!$B$4))</f>
        <v>2.04484639087503</v>
      </c>
      <c r="BD131" s="10">
        <f>2*AV131</f>
        <v>1.63706670136647</v>
      </c>
      <c r="BE131" s="10">
        <f>AO131*BB131/AP131</f>
        <v>4.3</v>
      </c>
      <c r="BF131" s="10">
        <f>SQRT((AI131*1000/(H131*MIN(U131,AB131)))^2+(Q131*1000000*2*((H131-2*('Parametros'!$B$7+'Parametros'!$B$9/2))+(I131-2*('Parametros'!$B$7+'Parametros'!$B$9/2)))/(1.7*((H131-2*('Parametros'!$B$7+'Parametros'!$B$9/2))*(I131-2*('Parametros'!$B$7+'Parametros'!$B$9/2)))^2))^2)</f>
        <v>3.32341246139783</v>
      </c>
      <c r="BG131" s="10">
        <f>'Parametros'!$B$6*(AJ131*1000/(H131*MIN(U131,AB131))+0.66*SQRT('Parametros'!$B$2))</f>
        <v>3.29396038227542</v>
      </c>
      <c r="BH131" s="10" t="str">
        <f>IF(BF131&lt;=BG131,"CUMPLE","NO CUMPLE")</f>
        <v>NO CUMPLE</v>
      </c>
      <c r="BI131" s="10">
        <f>AX131*'Parametros'!$B$8</f>
        <v>1592</v>
      </c>
      <c r="BJ131" s="10" t="str">
        <f>IF(BI131&gt;=AW131,"CUMPLE","NO CUMPLE")</f>
        <v>CUMPLE</v>
      </c>
    </row>
    <row r="132">
      <c r="A132" s="15" t="inlineStr">
        <is>
          <t>VC5</t>
        </is>
      </c>
      <c r="B132" s="15" t="inlineStr">
        <is>
          <t>263</t>
        </is>
      </c>
      <c r="C132" s="10" t="n">
        <v>1</v>
      </c>
      <c r="D132" s="10" t="n">
        <v>3.25</v>
      </c>
      <c r="E132" s="10" t="n">
        <v>3.25</v>
      </c>
      <c r="F132" s="10" t="n">
        <v>450</v>
      </c>
      <c r="G132" s="10" t="n">
        <v>550</v>
      </c>
      <c r="H132" s="17" t="n">
        <v>450</v>
      </c>
      <c r="I132" s="17" t="n">
        <v>550</v>
      </c>
      <c r="J132" s="30" t="n">
        <v>171.3668</v>
      </c>
      <c r="K132" s="10" t="inlineStr">
        <is>
          <t>263</t>
        </is>
      </c>
      <c r="L132" s="30" t="n">
        <v>139.9493</v>
      </c>
      <c r="M132" s="10" t="inlineStr">
        <is>
          <t>263</t>
        </is>
      </c>
      <c r="N132" s="30" t="n">
        <v>102.74</v>
      </c>
      <c r="O132" s="30" t="n">
        <v>415.55</v>
      </c>
      <c r="P132" s="10" t="inlineStr">
        <is>
          <t>263</t>
        </is>
      </c>
      <c r="Q132" s="30" t="n">
        <v>65.1174</v>
      </c>
      <c r="R132" s="10">
        <f>MAX(MAX(1.4/'Parametros'!$B$3,0.25*SQRT('Parametros'!$B$2)/'Parametros'!$B$3)*H132*U132,(0.85*'Parametros'!$B$2/'Parametros'!$B$3)*(1-SQRT(1-2*(J132*1000000/('Parametros'!$B$5*H132*U132^2))/(0.85*'Parametros'!$B$2)))*H132*U132)</f>
        <v>963.64436725204</v>
      </c>
      <c r="S132" s="31" t="n">
        <v>5</v>
      </c>
      <c r="T132" s="32" t="n">
        <v>1</v>
      </c>
      <c r="U132" s="10">
        <f>IF(T132=1,I132-('Parametros'!$B$7+'Parametros'!$B$9+'Parametros'!$B$12/2),I132-(ROUNDUP(S132/2,0)*('Parametros'!$B$7+'Parametros'!$B$9+'Parametros'!$B$12/2)+ROUNDDOWN(S132/2,0)*('Parametros'!$B$7+'Parametros'!$B$9+'Parametros'!$B$12/2+'Parametros'!$B$12+'Parametros'!$B$10))/S132)</f>
        <v>489.35</v>
      </c>
      <c r="V132" s="10">
        <f>S132*'Parametros'!$B$8</f>
        <v>995</v>
      </c>
      <c r="W132" s="10">
        <f>'Parametros'!$B$5*V132*'Parametros'!$B$3*(U132-(V132*'Parametros'!$B$3/(0.85*'Parametros'!$B$2*H132))/2)/1000000</f>
        <v>176.711596147059</v>
      </c>
      <c r="X132" s="10" t="str">
        <f>IF(W132&gt;=J132,"CUMPLE","NO CUMPLE")</f>
        <v>CUMPLE</v>
      </c>
      <c r="Y132" s="10">
        <f>MAX(MAX(1.4/'Parametros'!$B$3,0.25*SQRT('Parametros'!$B$2)/'Parametros'!$B$3)*H132*AB132,(0.85*'Parametros'!$B$2/'Parametros'!$B$3)*(1-SQRT(1-2*(L132*1000000/('Parametros'!$B$5*H132*AB132^2))/(0.85*'Parametros'!$B$2)))*H132*AB132)</f>
        <v>781.030329906724</v>
      </c>
      <c r="Z132" s="31" t="n">
        <v>4</v>
      </c>
      <c r="AA132" s="32" t="n">
        <v>1</v>
      </c>
      <c r="AB132" s="10">
        <f>IF(AA132=1,I132-('Parametros'!$B$7+'Parametros'!$B$9+'Parametros'!$B$12/2),I132-(ROUNDUP(Z132/2,0)*('Parametros'!$B$7+'Parametros'!$B$9+'Parametros'!$B$12/2)+ROUNDDOWN(Z132/2,0)*('Parametros'!$B$7+'Parametros'!$B$9+'Parametros'!$B$12/2+'Parametros'!$B$12+'Parametros'!$B$10))/Z132)</f>
        <v>489.35</v>
      </c>
      <c r="AC132" s="10">
        <f>Z132*'Parametros'!$B$8</f>
        <v>796</v>
      </c>
      <c r="AD132" s="10">
        <f>'Parametros'!$B$5*AC132*'Parametros'!$B$3*(AB132-(AC132*'Parametros'!$B$3/(0.85*'Parametros'!$B$2*H132))/2)/1000000</f>
        <v>142.543330094118</v>
      </c>
      <c r="AE132" s="10" t="str">
        <f>IF(AD132&gt;=L132,"CUMPLE","NO CUMPLE")</f>
        <v>CUMPLE</v>
      </c>
      <c r="AF132" s="10">
        <f>V132*1.25*'Parametros'!$B$3*(U132-(V132*1.25*'Parametros'!$B$3/(0.85*'Parametros'!$B$2*H132))/2)/1000000</f>
        <v>242.884913970588</v>
      </c>
      <c r="AG132" s="10">
        <f>AC132*1.25*'Parametros'!$B$3*(AB132-(AC132*1.25*'Parametros'!$B$3/(0.85*'Parametros'!$B$2*H132))/2)/1000000</f>
        <v>196.346217941176</v>
      </c>
      <c r="AH132" s="10">
        <f>N132+(AF132+AG132)/D132</f>
        <v>237.888040588235</v>
      </c>
      <c r="AI132" s="10">
        <f>MAX(O132,AH132)</f>
        <v>415.55</v>
      </c>
      <c r="AJ132" s="10">
        <f>0.17*SQRT('Parametros'!$B$2)*H132*MIN(U132,AB132)/1000</f>
        <v>198.088855822627</v>
      </c>
      <c r="AK132" s="10">
        <f>MAX(AI132/'Parametros'!$B$6-AJ132,0)</f>
        <v>355.97781084404</v>
      </c>
      <c r="AL132" s="10">
        <f>0.66*SQRT('Parametros'!$B$2)*H132*MIN(U132,AB132)/1000</f>
        <v>769.050852017258</v>
      </c>
      <c r="AM132" s="10" t="str">
        <f>IF(AK132&lt;=AL132,"CUMPLE","NO CUMPLE")</f>
        <v>CUMPLE</v>
      </c>
      <c r="AN132" s="17" t="inlineStr">
        <is>
          <t>Nº4 cerrado</t>
        </is>
      </c>
      <c r="AO132" s="31" t="n">
        <v>2</v>
      </c>
      <c r="AP132" s="10">
        <f>ROUNDDOWN(MIN(IF(BC132+BD132=0,1000000000,AO132*BB132/(BC132+BD132)),MIN(U132,AB132)/4,8*'Parametros'!$B$12,24*BA132,300,IF(AV132=0,1000000000,2*((H132-2*('Parametros'!$B$7+'Parametros'!$B$9/2))+(I132-2*('Parametros'!$B$7+'Parametros'!$B$9/2)))/8))/10,0)*10</f>
        <v>80</v>
      </c>
      <c r="AQ132" s="10">
        <f>ROUNDDOWN(MIN(IF(BC132+BD132=0,1000000000,AO132*BB132/(BC132+BD132)),IF(AK132&gt;0.33*SQRT('Parametros'!$B$2)*H132*MIN(U132,AB132)/1000,MIN(U132,AB132)/4,MIN(U132,AB132)/2),600,IF(AV132=0,1000000000,2*((H132-2*('Parametros'!$B$7+'Parametros'!$B$9/2))+(I132-2*('Parametros'!$B$7+'Parametros'!$B$9/2)))/8))/10,0)*10</f>
        <v>80</v>
      </c>
      <c r="AR132" s="10">
        <f>'Parametros'!$B$6*(AJ132+MAX(BE132-BD132,0)*'Parametros'!$B$4*MIN(U132,AB132)/1000)</f>
        <v>416.248048967879</v>
      </c>
      <c r="AS132" s="10" t="str">
        <f>IF(AND(ISERROR(SEARCH("referencia",AN132)),AM132="CUMPLE",AR132&gt;=AI132),"CUMPLE","NO CUMPLE")</f>
        <v>CUMPLE</v>
      </c>
      <c r="AT132" s="10">
        <f>'Parametros'!$B$6*0.083*SQRT('Parametros'!$B$2)*(H132*I132)^2/(2*(H132+I132))/1000000</f>
        <v>10.0887830333379</v>
      </c>
      <c r="AU132" s="10" t="str">
        <f>IF(Q132&lt;=AT132,"DESPRECIABLE","DISEÑAR")</f>
        <v>DISEÑAR</v>
      </c>
      <c r="AV132" s="10">
        <f>IF(Q132&lt;=AT132,0,Q132*1000000/('Parametros'!$B$6*2*0.85*(H132-2*('Parametros'!$B$7+'Parametros'!$B$9/2))*(I132-2*('Parametros'!$B$7+'Parametros'!$B$9/2))*'Parametros'!$B$4))</f>
        <v>0.744223465040573</v>
      </c>
      <c r="AW132" s="10">
        <f>AV132*2*((H132-2*('Parametros'!$B$7+'Parametros'!$B$9/2))+(I132-2*('Parametros'!$B$7+'Parametros'!$B$9/2)))*'Parametros'!$B$4/'Parametros'!$B$3</f>
        <v>1212.4888692441</v>
      </c>
      <c r="AX132" s="31" t="n">
        <v>8</v>
      </c>
      <c r="AY132" s="10" t="str">
        <f>IF(AV132=0,"DESPRECIABLE",IF(AND(ISERROR(SEARCH("referencia",AN132)),BB132/AP132&gt;=AV132,BI132&gt;=AW132,BH132="CUMPLE"),"CUMPLE","NO CUMPLE"))</f>
        <v>CUMPLE</v>
      </c>
      <c r="AZ132" s="10" t="str">
        <f>IF(AND(X132="CUMPLE",AE132="CUMPLE",AS132="CUMPLE",OR(AY132="CUMPLE",AY132="DESPRECIABLE"),BH132="CUMPLE",BJ132="CUMPLE"),"CUMPLE","NO CUMPLE")</f>
        <v>CUMPLE</v>
      </c>
      <c r="BA132" s="32" t="n">
        <v>12.7</v>
      </c>
      <c r="BB132" s="32" t="n">
        <v>129</v>
      </c>
      <c r="BC132" s="10">
        <f>MAX(IF(AK132=0,0,AK132*1000/('Parametros'!$B$4*MIN(U132,AB132))),MAX(0.062*SQRT('Parametros'!$B$2)*H132/'Parametros'!$B$4,0.35*H132/'Parametros'!$B$4))</f>
        <v>1.73202455562549</v>
      </c>
      <c r="BD132" s="10">
        <f>2*AV132</f>
        <v>1.48844693008115</v>
      </c>
      <c r="BE132" s="10">
        <f>AO132*BB132/AP132</f>
        <v>3.225</v>
      </c>
      <c r="BF132" s="10">
        <f>SQRT((AI132*1000/(H132*MIN(U132,AB132)))^2+(Q132*1000000*2*((H132-2*('Parametros'!$B$7+'Parametros'!$B$9/2))+(I132-2*('Parametros'!$B$7+'Parametros'!$B$9/2)))/(1.7*((H132-2*('Parametros'!$B$7+'Parametros'!$B$9/2))*(I132-2*('Parametros'!$B$7+'Parametros'!$B$9/2)))^2))^2)</f>
        <v>3.00417272253032</v>
      </c>
      <c r="BG132" s="10">
        <f>'Parametros'!$B$6*(AJ132*1000/(H132*MIN(U132,AB132))+0.66*SQRT('Parametros'!$B$2))</f>
        <v>3.29396038227542</v>
      </c>
      <c r="BH132" s="10" t="str">
        <f>IF(BF132&lt;=BG132,"CUMPLE","NO CUMPLE")</f>
        <v>CUMPLE</v>
      </c>
      <c r="BI132" s="10">
        <f>AX132*'Parametros'!$B$8</f>
        <v>1592</v>
      </c>
      <c r="BJ132" s="10" t="str">
        <f>IF(BI132&gt;=AW132,"CUMPLE","NO CUMPLE")</f>
        <v>CUMPLE</v>
      </c>
    </row>
    <row r="133">
      <c r="A133" s="15" t="inlineStr">
        <is>
          <t>VC5</t>
        </is>
      </c>
      <c r="B133" s="15" t="inlineStr">
        <is>
          <t>264</t>
        </is>
      </c>
      <c r="C133" s="10" t="n">
        <v>1</v>
      </c>
      <c r="D133" s="10" t="n">
        <v>3.3</v>
      </c>
      <c r="E133" s="10" t="n">
        <v>3.3</v>
      </c>
      <c r="F133" s="10" t="n">
        <v>450</v>
      </c>
      <c r="G133" s="10" t="n">
        <v>550</v>
      </c>
      <c r="H133" s="17" t="n">
        <v>450</v>
      </c>
      <c r="I133" s="17" t="n">
        <v>550</v>
      </c>
      <c r="J133" s="30" t="n">
        <v>197.3278</v>
      </c>
      <c r="K133" s="10" t="inlineStr">
        <is>
          <t>264</t>
        </is>
      </c>
      <c r="L133" s="30" t="n">
        <v>132.4517</v>
      </c>
      <c r="M133" s="10" t="inlineStr">
        <is>
          <t>264</t>
        </is>
      </c>
      <c r="N133" s="30" t="n">
        <v>141.287</v>
      </c>
      <c r="O133" s="30" t="n">
        <v>468.38</v>
      </c>
      <c r="P133" s="10" t="inlineStr">
        <is>
          <t>264</t>
        </is>
      </c>
      <c r="Q133" s="30" t="n">
        <v>109.5204</v>
      </c>
      <c r="R133" s="10">
        <f>MAX(MAX(1.4/'Parametros'!$B$3,0.25*SQRT('Parametros'!$B$2)/'Parametros'!$B$3)*H133*U133,(0.85*'Parametros'!$B$2/'Parametros'!$B$3)*(1-SQRT(1-2*(J133*1000000/('Parametros'!$B$5*H133*U133^2))/(0.85*'Parametros'!$B$2)))*H133*U133)</f>
        <v>1116.75705831411</v>
      </c>
      <c r="S133" s="31" t="n">
        <v>6</v>
      </c>
      <c r="T133" s="32" t="n">
        <v>1</v>
      </c>
      <c r="U133" s="10">
        <f>IF(T133=1,I133-('Parametros'!$B$7+'Parametros'!$B$9+'Parametros'!$B$12/2),I133-(ROUNDUP(S133/2,0)*('Parametros'!$B$7+'Parametros'!$B$9+'Parametros'!$B$12/2)+ROUNDDOWN(S133/2,0)*('Parametros'!$B$7+'Parametros'!$B$9+'Parametros'!$B$12/2+'Parametros'!$B$12+'Parametros'!$B$10))/S133)</f>
        <v>489.35</v>
      </c>
      <c r="V133" s="10">
        <f>S133*'Parametros'!$B$8</f>
        <v>1194</v>
      </c>
      <c r="W133" s="10">
        <f>'Parametros'!$B$5*V133*'Parametros'!$B$3*(U133-(V133*'Parametros'!$B$3/(0.85*'Parametros'!$B$2*H133))/2)/1000000</f>
        <v>210.292835611765</v>
      </c>
      <c r="X133" s="10" t="str">
        <f>IF(W133&gt;=J133,"CUMPLE","NO CUMPLE")</f>
        <v>CUMPLE</v>
      </c>
      <c r="Y133" s="10">
        <f>MAX(MAX(1.4/'Parametros'!$B$3,0.25*SQRT('Parametros'!$B$2)/'Parametros'!$B$3)*H133*AB133,(0.85*'Parametros'!$B$2/'Parametros'!$B$3)*(1-SQRT(1-2*(L133*1000000/('Parametros'!$B$5*H133*AB133^2))/(0.85*'Parametros'!$B$2)))*H133*AB133)</f>
        <v>737.870369987518</v>
      </c>
      <c r="Z133" s="31" t="n">
        <v>4</v>
      </c>
      <c r="AA133" s="32" t="n">
        <v>1</v>
      </c>
      <c r="AB133" s="10">
        <f>IF(AA133=1,I133-('Parametros'!$B$7+'Parametros'!$B$9+'Parametros'!$B$12/2),I133-(ROUNDUP(Z133/2,0)*('Parametros'!$B$7+'Parametros'!$B$9+'Parametros'!$B$12/2)+ROUNDDOWN(Z133/2,0)*('Parametros'!$B$7+'Parametros'!$B$9+'Parametros'!$B$12/2+'Parametros'!$B$12+'Parametros'!$B$10))/Z133)</f>
        <v>489.35</v>
      </c>
      <c r="AC133" s="10">
        <f>Z133*'Parametros'!$B$8</f>
        <v>796</v>
      </c>
      <c r="AD133" s="10">
        <f>'Parametros'!$B$5*AC133*'Parametros'!$B$3*(AB133-(AC133*'Parametros'!$B$3/(0.85*'Parametros'!$B$2*H133))/2)/1000000</f>
        <v>142.543330094118</v>
      </c>
      <c r="AE133" s="10" t="str">
        <f>IF(AD133&gt;=L133,"CUMPLE","NO CUMPLE")</f>
        <v>CUMPLE</v>
      </c>
      <c r="AF133" s="10">
        <f>V133*1.25*'Parametros'!$B$3*(U133-(V133*1.25*'Parametros'!$B$3/(0.85*'Parametros'!$B$2*H133))/2)/1000000</f>
        <v>288.404466617647</v>
      </c>
      <c r="AG133" s="10">
        <f>AC133*1.25*'Parametros'!$B$3*(AB133-(AC133*1.25*'Parametros'!$B$3/(0.85*'Parametros'!$B$2*H133))/2)/1000000</f>
        <v>196.346217941176</v>
      </c>
      <c r="AH133" s="10">
        <f>N133+(AF133+AG133)/D133</f>
        <v>288.181146836007</v>
      </c>
      <c r="AI133" s="10">
        <f>MAX(O133,AH133)</f>
        <v>468.38</v>
      </c>
      <c r="AJ133" s="10">
        <f>0.17*SQRT('Parametros'!$B$2)*H133*MIN(U133,AB133)/1000</f>
        <v>198.088855822627</v>
      </c>
      <c r="AK133" s="10">
        <f>MAX(AI133/'Parametros'!$B$6-AJ133,0)</f>
        <v>426.41781084404</v>
      </c>
      <c r="AL133" s="10">
        <f>0.66*SQRT('Parametros'!$B$2)*H133*MIN(U133,AB133)/1000</f>
        <v>769.050852017258</v>
      </c>
      <c r="AM133" s="10" t="str">
        <f>IF(AK133&lt;=AL133,"CUMPLE","NO CUMPLE")</f>
        <v>CUMPLE</v>
      </c>
      <c r="AN133" s="17" t="inlineStr">
        <is>
          <t>Nº4 cerrado (referencia)</t>
        </is>
      </c>
      <c r="AO133" s="31" t="n">
        <v>4</v>
      </c>
      <c r="AP133" s="10">
        <f>ROUNDDOWN(MIN(IF(BC133+BD133=0,1000000000,AO133*BB133/(BC133+BD133)),MIN(U133,AB133)/4,8*'Parametros'!$B$12,24*BA133,300,IF(AV133=0,1000000000,2*((H133-2*('Parametros'!$B$7+'Parametros'!$B$9/2))+(I133-2*('Parametros'!$B$7+'Parametros'!$B$9/2)))/8))/10,0)*10</f>
        <v>110</v>
      </c>
      <c r="AQ133" s="10">
        <f>ROUNDDOWN(MIN(IF(BC133+BD133=0,1000000000,AO133*BB133/(BC133+BD133)),IF(AK133&gt;0.33*SQRT('Parametros'!$B$2)*H133*MIN(U133,AB133)/1000,MIN(U133,AB133)/4,MIN(U133,AB133)/2),600,IF(AV133=0,1000000000,2*((H133-2*('Parametros'!$B$7+'Parametros'!$B$9/2))+(I133-2*('Parametros'!$B$7+'Parametros'!$B$9/2)))/8))/10,0)*10</f>
        <v>110</v>
      </c>
      <c r="AR133" s="10">
        <f>'Parametros'!$B$6*(AJ133+MAX(BE133-BD133,0)*'Parametros'!$B$4*MIN(U133,AB133)/1000)</f>
        <v>485.759821214734</v>
      </c>
      <c r="AS133" s="10" t="str">
        <f>IF(AND(ISERROR(SEARCH("referencia",AN133)),AM133="CUMPLE",AR133&gt;=AI133),"CUMPLE","NO CUMPLE")</f>
        <v>NO CUMPLE</v>
      </c>
      <c r="AT133" s="10">
        <f>'Parametros'!$B$6*0.083*SQRT('Parametros'!$B$2)*(H133*I133)^2/(2*(H133+I133))/1000000</f>
        <v>10.0887830333379</v>
      </c>
      <c r="AU133" s="10" t="str">
        <f>IF(Q133&lt;=AT133,"DESPRECIABLE","DISEÑAR")</f>
        <v>DISEÑAR</v>
      </c>
      <c r="AV133" s="10">
        <f>IF(Q133&lt;=AT133,0,Q133*1000000/('Parametros'!$B$6*2*0.85*(H133-2*('Parametros'!$B$7+'Parametros'!$B$9/2))*(I133-2*('Parametros'!$B$7+'Parametros'!$B$9/2))*'Parametros'!$B$4))</f>
        <v>1.25170310209913</v>
      </c>
      <c r="AW133" s="10">
        <f>AV133*2*((H133-2*('Parametros'!$B$7+'Parametros'!$B$9/2))+(I133-2*('Parametros'!$B$7+'Parametros'!$B$9/2)))*'Parametros'!$B$4/'Parametros'!$B$3</f>
        <v>2039.2746939399</v>
      </c>
      <c r="AX133" s="31" t="n">
        <v>12</v>
      </c>
      <c r="AY133" s="10" t="str">
        <f>IF(AV133=0,"DESPRECIABLE",IF(AND(ISERROR(SEARCH("referencia",AN133)),BB133/AP133&gt;=AV133,BI133&gt;=AW133,BH133="CUMPLE"),"CUMPLE","NO CUMPLE"))</f>
        <v>NO CUMPLE</v>
      </c>
      <c r="AZ133" s="10" t="str">
        <f>IF(AND(X133="CUMPLE",AE133="CUMPLE",AS133="CUMPLE",OR(AY133="CUMPLE",AY133="DESPRECIABLE"),BH133="CUMPLE",BJ133="CUMPLE"),"CUMPLE","NO CUMPLE")</f>
        <v>NO CUMPLE</v>
      </c>
      <c r="BA133" s="32" t="n">
        <v>12.7</v>
      </c>
      <c r="BB133" s="32" t="n">
        <v>129</v>
      </c>
      <c r="BC133" s="10">
        <f>MAX(IF(AK133=0,0,AK133*1000/('Parametros'!$B$4*MIN(U133,AB133))),MAX(0.062*SQRT('Parametros'!$B$2)*H133/'Parametros'!$B$4,0.35*H133/'Parametros'!$B$4))</f>
        <v>2.07475324820602</v>
      </c>
      <c r="BD133" s="10">
        <f>2*AV133</f>
        <v>2.50340620419825</v>
      </c>
      <c r="BE133" s="10">
        <f>AO133*BB133/AP133</f>
        <v>4.69090909090909</v>
      </c>
      <c r="BF133" s="10">
        <f>SQRT((AI133*1000/(H133*MIN(U133,AB133)))^2+(Q133*1000000*2*((H133-2*('Parametros'!$B$7+'Parametros'!$B$9/2))+(I133-2*('Parametros'!$B$7+'Parametros'!$B$9/2)))/(1.7*((H133-2*('Parametros'!$B$7+'Parametros'!$B$9/2))*(I133-2*('Parametros'!$B$7+'Parametros'!$B$9/2)))^2))^2)</f>
        <v>4.46993879414657</v>
      </c>
      <c r="BG133" s="10">
        <f>'Parametros'!$B$6*(AJ133*1000/(H133*MIN(U133,AB133))+0.66*SQRT('Parametros'!$B$2))</f>
        <v>3.29396038227542</v>
      </c>
      <c r="BH133" s="10" t="str">
        <f>IF(BF133&lt;=BG133,"CUMPLE","NO CUMPLE")</f>
        <v>NO CUMPLE</v>
      </c>
      <c r="BI133" s="10">
        <f>AX133*'Parametros'!$B$8</f>
        <v>2388</v>
      </c>
      <c r="BJ133" s="10" t="str">
        <f>IF(BI133&gt;=AW133,"CUMPLE","NO CUMPLE")</f>
        <v>CUMPLE</v>
      </c>
    </row>
    <row r="134">
      <c r="A134" s="15" t="inlineStr">
        <is>
          <t>VC5</t>
        </is>
      </c>
      <c r="B134" s="15" t="inlineStr">
        <is>
          <t>265</t>
        </is>
      </c>
      <c r="C134" s="10" t="n">
        <v>1</v>
      </c>
      <c r="D134" s="10" t="n">
        <v>3.3</v>
      </c>
      <c r="E134" s="10" t="n">
        <v>3.3</v>
      </c>
      <c r="F134" s="10" t="n">
        <v>450</v>
      </c>
      <c r="G134" s="10" t="n">
        <v>550</v>
      </c>
      <c r="H134" s="17" t="n">
        <v>450</v>
      </c>
      <c r="I134" s="17" t="n">
        <v>550</v>
      </c>
      <c r="J134" s="30" t="n">
        <v>197.3231</v>
      </c>
      <c r="K134" s="10" t="inlineStr">
        <is>
          <t>265</t>
        </is>
      </c>
      <c r="L134" s="30" t="n">
        <v>132.4366</v>
      </c>
      <c r="M134" s="10" t="inlineStr">
        <is>
          <t>265</t>
        </is>
      </c>
      <c r="N134" s="30" t="n">
        <v>141.279</v>
      </c>
      <c r="O134" s="30" t="n">
        <v>468.376</v>
      </c>
      <c r="P134" s="10" t="inlineStr">
        <is>
          <t>265</t>
        </is>
      </c>
      <c r="Q134" s="30" t="n">
        <v>109.5342</v>
      </c>
      <c r="R134" s="10">
        <f>MAX(MAX(1.4/'Parametros'!$B$3,0.25*SQRT('Parametros'!$B$2)/'Parametros'!$B$3)*H134*U134,(0.85*'Parametros'!$B$2/'Parametros'!$B$3)*(1-SQRT(1-2*(J134*1000000/('Parametros'!$B$5*H134*U134^2))/(0.85*'Parametros'!$B$2)))*H134*U134)</f>
        <v>1116.7291519271</v>
      </c>
      <c r="S134" s="31" t="n">
        <v>6</v>
      </c>
      <c r="T134" s="32" t="n">
        <v>1</v>
      </c>
      <c r="U134" s="10">
        <f>IF(T134=1,I134-('Parametros'!$B$7+'Parametros'!$B$9+'Parametros'!$B$12/2),I134-(ROUNDUP(S134/2,0)*('Parametros'!$B$7+'Parametros'!$B$9+'Parametros'!$B$12/2)+ROUNDDOWN(S134/2,0)*('Parametros'!$B$7+'Parametros'!$B$9+'Parametros'!$B$12/2+'Parametros'!$B$12+'Parametros'!$B$10))/S134)</f>
        <v>489.35</v>
      </c>
      <c r="V134" s="10">
        <f>S134*'Parametros'!$B$8</f>
        <v>1194</v>
      </c>
      <c r="W134" s="10">
        <f>'Parametros'!$B$5*V134*'Parametros'!$B$3*(U134-(V134*'Parametros'!$B$3/(0.85*'Parametros'!$B$2*H134))/2)/1000000</f>
        <v>210.292835611765</v>
      </c>
      <c r="X134" s="10" t="str">
        <f>IF(W134&gt;=J134,"CUMPLE","NO CUMPLE")</f>
        <v>CUMPLE</v>
      </c>
      <c r="Y134" s="10">
        <f>MAX(MAX(1.4/'Parametros'!$B$3,0.25*SQRT('Parametros'!$B$2)/'Parametros'!$B$3)*H134*AB134,(0.85*'Parametros'!$B$2/'Parametros'!$B$3)*(1-SQRT(1-2*(L134*1000000/('Parametros'!$B$5*H134*AB134^2))/(0.85*'Parametros'!$B$2)))*H134*AB134)</f>
        <v>737.78360687778</v>
      </c>
      <c r="Z134" s="31" t="n">
        <v>4</v>
      </c>
      <c r="AA134" s="32" t="n">
        <v>1</v>
      </c>
      <c r="AB134" s="10">
        <f>IF(AA134=1,I134-('Parametros'!$B$7+'Parametros'!$B$9+'Parametros'!$B$12/2),I134-(ROUNDUP(Z134/2,0)*('Parametros'!$B$7+'Parametros'!$B$9+'Parametros'!$B$12/2)+ROUNDDOWN(Z134/2,0)*('Parametros'!$B$7+'Parametros'!$B$9+'Parametros'!$B$12/2+'Parametros'!$B$12+'Parametros'!$B$10))/Z134)</f>
        <v>489.35</v>
      </c>
      <c r="AC134" s="10">
        <f>Z134*'Parametros'!$B$8</f>
        <v>796</v>
      </c>
      <c r="AD134" s="10">
        <f>'Parametros'!$B$5*AC134*'Parametros'!$B$3*(AB134-(AC134*'Parametros'!$B$3/(0.85*'Parametros'!$B$2*H134))/2)/1000000</f>
        <v>142.543330094118</v>
      </c>
      <c r="AE134" s="10" t="str">
        <f>IF(AD134&gt;=L134,"CUMPLE","NO CUMPLE")</f>
        <v>CUMPLE</v>
      </c>
      <c r="AF134" s="10">
        <f>V134*1.25*'Parametros'!$B$3*(U134-(V134*1.25*'Parametros'!$B$3/(0.85*'Parametros'!$B$2*H134))/2)/1000000</f>
        <v>288.404466617647</v>
      </c>
      <c r="AG134" s="10">
        <f>AC134*1.25*'Parametros'!$B$3*(AB134-(AC134*1.25*'Parametros'!$B$3/(0.85*'Parametros'!$B$2*H134))/2)/1000000</f>
        <v>196.346217941176</v>
      </c>
      <c r="AH134" s="10">
        <f>N134+(AF134+AG134)/D134</f>
        <v>288.173146836007</v>
      </c>
      <c r="AI134" s="10">
        <f>MAX(O134,AH134)</f>
        <v>468.376</v>
      </c>
      <c r="AJ134" s="10">
        <f>0.17*SQRT('Parametros'!$B$2)*H134*MIN(U134,AB134)/1000</f>
        <v>198.088855822627</v>
      </c>
      <c r="AK134" s="10">
        <f>MAX(AI134/'Parametros'!$B$6-AJ134,0)</f>
        <v>426.412477510706</v>
      </c>
      <c r="AL134" s="10">
        <f>0.66*SQRT('Parametros'!$B$2)*H134*MIN(U134,AB134)/1000</f>
        <v>769.050852017258</v>
      </c>
      <c r="AM134" s="10" t="str">
        <f>IF(AK134&lt;=AL134,"CUMPLE","NO CUMPLE")</f>
        <v>CUMPLE</v>
      </c>
      <c r="AN134" s="17" t="inlineStr">
        <is>
          <t>Nº4 cerrado (referencia)</t>
        </is>
      </c>
      <c r="AO134" s="31" t="n">
        <v>4</v>
      </c>
      <c r="AP134" s="10">
        <f>ROUNDDOWN(MIN(IF(BC134+BD134=0,1000000000,AO134*BB134/(BC134+BD134)),MIN(U134,AB134)/4,8*'Parametros'!$B$12,24*BA134,300,IF(AV134=0,1000000000,2*((H134-2*('Parametros'!$B$7+'Parametros'!$B$9/2))+(I134-2*('Parametros'!$B$7+'Parametros'!$B$9/2)))/8))/10,0)*10</f>
        <v>110</v>
      </c>
      <c r="AQ134" s="10">
        <f>ROUNDDOWN(MIN(IF(BC134+BD134=0,1000000000,AO134*BB134/(BC134+BD134)),IF(AK134&gt;0.33*SQRT('Parametros'!$B$2)*H134*MIN(U134,AB134)/1000,MIN(U134,AB134)/4,MIN(U134,AB134)/2),600,IF(AV134=0,1000000000,2*((H134-2*('Parametros'!$B$7+'Parametros'!$B$9/2))+(I134-2*('Parametros'!$B$7+'Parametros'!$B$9/2)))/8))/10,0)*10</f>
        <v>110</v>
      </c>
      <c r="AR134" s="10">
        <f>'Parametros'!$B$6*(AJ134+MAX(BE134-BD134,0)*'Parametros'!$B$4*MIN(U134,AB134)/1000)</f>
        <v>485.711197790991</v>
      </c>
      <c r="AS134" s="10" t="str">
        <f>IF(AND(ISERROR(SEARCH("referencia",AN134)),AM134="CUMPLE",AR134&gt;=AI134),"CUMPLE","NO CUMPLE")</f>
        <v>NO CUMPLE</v>
      </c>
      <c r="AT134" s="10">
        <f>'Parametros'!$B$6*0.083*SQRT('Parametros'!$B$2)*(H134*I134)^2/(2*(H134+I134))/1000000</f>
        <v>10.0887830333379</v>
      </c>
      <c r="AU134" s="10" t="str">
        <f>IF(Q134&lt;=AT134,"DESPRECIABLE","DISEÑAR")</f>
        <v>DISEÑAR</v>
      </c>
      <c r="AV134" s="10">
        <f>IF(Q134&lt;=AT134,0,Q134*1000000/('Parametros'!$B$6*2*0.85*(H134-2*('Parametros'!$B$7+'Parametros'!$B$9/2))*(I134-2*('Parametros'!$B$7+'Parametros'!$B$9/2))*'Parametros'!$B$4))</f>
        <v>1.25186082159987</v>
      </c>
      <c r="AW134" s="10">
        <f>AV134*2*((H134-2*('Parametros'!$B$7+'Parametros'!$B$9/2))+(I134-2*('Parametros'!$B$7+'Parametros'!$B$9/2)))*'Parametros'!$B$4/'Parametros'!$B$3</f>
        <v>2039.5316505505</v>
      </c>
      <c r="AX134" s="31" t="n">
        <v>12</v>
      </c>
      <c r="AY134" s="10" t="str">
        <f>IF(AV134=0,"DESPRECIABLE",IF(AND(ISERROR(SEARCH("referencia",AN134)),BB134/AP134&gt;=AV134,BI134&gt;=AW134,BH134="CUMPLE"),"CUMPLE","NO CUMPLE"))</f>
        <v>NO CUMPLE</v>
      </c>
      <c r="AZ134" s="10" t="str">
        <f>IF(AND(X134="CUMPLE",AE134="CUMPLE",AS134="CUMPLE",OR(AY134="CUMPLE",AY134="DESPRECIABLE"),BH134="CUMPLE",BJ134="CUMPLE"),"CUMPLE","NO CUMPLE")</f>
        <v>NO CUMPLE</v>
      </c>
      <c r="BA134" s="32" t="n">
        <v>12.7</v>
      </c>
      <c r="BB134" s="32" t="n">
        <v>129</v>
      </c>
      <c r="BC134" s="10">
        <f>MAX(IF(AK134=0,0,AK134*1000/('Parametros'!$B$4*MIN(U134,AB134))),MAX(0.062*SQRT('Parametros'!$B$2)*H134/'Parametros'!$B$4,0.35*H134/'Parametros'!$B$4))</f>
        <v>2.0747272986552</v>
      </c>
      <c r="BD134" s="10">
        <f>2*AV134</f>
        <v>2.50372164319973</v>
      </c>
      <c r="BE134" s="10">
        <f>AO134*BB134/AP134</f>
        <v>4.69090909090909</v>
      </c>
      <c r="BF134" s="10">
        <f>SQRT((AI134*1000/(H134*MIN(U134,AB134)))^2+(Q134*1000000*2*((H134-2*('Parametros'!$B$7+'Parametros'!$B$9/2))+(I134-2*('Parametros'!$B$7+'Parametros'!$B$9/2)))/(1.7*((H134-2*('Parametros'!$B$7+'Parametros'!$B$9/2))*(I134-2*('Parametros'!$B$7+'Parametros'!$B$9/2)))^2))^2)</f>
        <v>4.47036585673248</v>
      </c>
      <c r="BG134" s="10">
        <f>'Parametros'!$B$6*(AJ134*1000/(H134*MIN(U134,AB134))+0.66*SQRT('Parametros'!$B$2))</f>
        <v>3.29396038227542</v>
      </c>
      <c r="BH134" s="10" t="str">
        <f>IF(BF134&lt;=BG134,"CUMPLE","NO CUMPLE")</f>
        <v>NO CUMPLE</v>
      </c>
      <c r="BI134" s="10">
        <f>AX134*'Parametros'!$B$8</f>
        <v>2388</v>
      </c>
      <c r="BJ134" s="10" t="str">
        <f>IF(BI134&gt;=AW134,"CUMPLE","NO CUMPLE")</f>
        <v>CUMPLE</v>
      </c>
    </row>
    <row r="135">
      <c r="A135" s="15" t="inlineStr">
        <is>
          <t>VC5</t>
        </is>
      </c>
      <c r="B135" s="15" t="inlineStr">
        <is>
          <t>266</t>
        </is>
      </c>
      <c r="C135" s="10" t="n">
        <v>1</v>
      </c>
      <c r="D135" s="10" t="n">
        <v>3.25</v>
      </c>
      <c r="E135" s="10" t="n">
        <v>3.25</v>
      </c>
      <c r="F135" s="10" t="n">
        <v>450</v>
      </c>
      <c r="G135" s="10" t="n">
        <v>550</v>
      </c>
      <c r="H135" s="17" t="n">
        <v>450</v>
      </c>
      <c r="I135" s="17" t="n">
        <v>550</v>
      </c>
      <c r="J135" s="30" t="n">
        <v>171.3806</v>
      </c>
      <c r="K135" s="10" t="inlineStr">
        <is>
          <t>266</t>
        </is>
      </c>
      <c r="L135" s="30" t="n">
        <v>139.941</v>
      </c>
      <c r="M135" s="10" t="inlineStr">
        <is>
          <t>266</t>
        </is>
      </c>
      <c r="N135" s="30" t="n">
        <v>102.747</v>
      </c>
      <c r="O135" s="30" t="n">
        <v>415.557</v>
      </c>
      <c r="P135" s="10" t="inlineStr">
        <is>
          <t>266</t>
        </is>
      </c>
      <c r="Q135" s="30" t="n">
        <v>65.1127</v>
      </c>
      <c r="R135" s="10">
        <f>MAX(MAX(1.4/'Parametros'!$B$3,0.25*SQRT('Parametros'!$B$2)/'Parametros'!$B$3)*H135*U135,(0.85*'Parametros'!$B$2/'Parametros'!$B$3)*(1-SQRT(1-2*(J135*1000000/('Parametros'!$B$5*H135*U135^2))/(0.85*'Parametros'!$B$2)))*H135*U135)</f>
        <v>963.725216004517</v>
      </c>
      <c r="S135" s="31" t="n">
        <v>5</v>
      </c>
      <c r="T135" s="32" t="n">
        <v>1</v>
      </c>
      <c r="U135" s="10">
        <f>IF(T135=1,I135-('Parametros'!$B$7+'Parametros'!$B$9+'Parametros'!$B$12/2),I135-(ROUNDUP(S135/2,0)*('Parametros'!$B$7+'Parametros'!$B$9+'Parametros'!$B$12/2)+ROUNDDOWN(S135/2,0)*('Parametros'!$B$7+'Parametros'!$B$9+'Parametros'!$B$12/2+'Parametros'!$B$12+'Parametros'!$B$10))/S135)</f>
        <v>489.35</v>
      </c>
      <c r="V135" s="10">
        <f>S135*'Parametros'!$B$8</f>
        <v>995</v>
      </c>
      <c r="W135" s="10">
        <f>'Parametros'!$B$5*V135*'Parametros'!$B$3*(U135-(V135*'Parametros'!$B$3/(0.85*'Parametros'!$B$2*H135))/2)/1000000</f>
        <v>176.711596147059</v>
      </c>
      <c r="X135" s="10" t="str">
        <f>IF(W135&gt;=J135,"CUMPLE","NO CUMPLE")</f>
        <v>CUMPLE</v>
      </c>
      <c r="Y135" s="10">
        <f>MAX(MAX(1.4/'Parametros'!$B$3,0.25*SQRT('Parametros'!$B$2)/'Parametros'!$B$3)*H135*AB135,(0.85*'Parametros'!$B$2/'Parametros'!$B$3)*(1-SQRT(1-2*(L135*1000000/('Parametros'!$B$5*H135*AB135^2))/(0.85*'Parametros'!$B$2)))*H135*AB135)</f>
        <v>780.982462881195</v>
      </c>
      <c r="Z135" s="31" t="n">
        <v>4</v>
      </c>
      <c r="AA135" s="32" t="n">
        <v>1</v>
      </c>
      <c r="AB135" s="10">
        <f>IF(AA135=1,I135-('Parametros'!$B$7+'Parametros'!$B$9+'Parametros'!$B$12/2),I135-(ROUNDUP(Z135/2,0)*('Parametros'!$B$7+'Parametros'!$B$9+'Parametros'!$B$12/2)+ROUNDDOWN(Z135/2,0)*('Parametros'!$B$7+'Parametros'!$B$9+'Parametros'!$B$12/2+'Parametros'!$B$12+'Parametros'!$B$10))/Z135)</f>
        <v>489.35</v>
      </c>
      <c r="AC135" s="10">
        <f>Z135*'Parametros'!$B$8</f>
        <v>796</v>
      </c>
      <c r="AD135" s="10">
        <f>'Parametros'!$B$5*AC135*'Parametros'!$B$3*(AB135-(AC135*'Parametros'!$B$3/(0.85*'Parametros'!$B$2*H135))/2)/1000000</f>
        <v>142.543330094118</v>
      </c>
      <c r="AE135" s="10" t="str">
        <f>IF(AD135&gt;=L135,"CUMPLE","NO CUMPLE")</f>
        <v>CUMPLE</v>
      </c>
      <c r="AF135" s="10">
        <f>V135*1.25*'Parametros'!$B$3*(U135-(V135*1.25*'Parametros'!$B$3/(0.85*'Parametros'!$B$2*H135))/2)/1000000</f>
        <v>242.884913970588</v>
      </c>
      <c r="AG135" s="10">
        <f>AC135*1.25*'Parametros'!$B$3*(AB135-(AC135*1.25*'Parametros'!$B$3/(0.85*'Parametros'!$B$2*H135))/2)/1000000</f>
        <v>196.346217941176</v>
      </c>
      <c r="AH135" s="10">
        <f>N135+(AF135+AG135)/D135</f>
        <v>237.895040588235</v>
      </c>
      <c r="AI135" s="10">
        <f>MAX(O135,AH135)</f>
        <v>415.557</v>
      </c>
      <c r="AJ135" s="10">
        <f>0.17*SQRT('Parametros'!$B$2)*H135*MIN(U135,AB135)/1000</f>
        <v>198.088855822627</v>
      </c>
      <c r="AK135" s="10">
        <f>MAX(AI135/'Parametros'!$B$6-AJ135,0)</f>
        <v>355.987144177373</v>
      </c>
      <c r="AL135" s="10">
        <f>0.66*SQRT('Parametros'!$B$2)*H135*MIN(U135,AB135)/1000</f>
        <v>769.050852017258</v>
      </c>
      <c r="AM135" s="10" t="str">
        <f>IF(AK135&lt;=AL135,"CUMPLE","NO CUMPLE")</f>
        <v>CUMPLE</v>
      </c>
      <c r="AN135" s="17" t="inlineStr">
        <is>
          <t>Nº4 cerrado</t>
        </is>
      </c>
      <c r="AO135" s="31" t="n">
        <v>2</v>
      </c>
      <c r="AP135" s="10">
        <f>ROUNDDOWN(MIN(IF(BC135+BD135=0,1000000000,AO135*BB135/(BC135+BD135)),MIN(U135,AB135)/4,8*'Parametros'!$B$12,24*BA135,300,IF(AV135=0,1000000000,2*((H135-2*('Parametros'!$B$7+'Parametros'!$B$9/2))+(I135-2*('Parametros'!$B$7+'Parametros'!$B$9/2)))/8))/10,0)*10</f>
        <v>80</v>
      </c>
      <c r="AQ135" s="10">
        <f>ROUNDDOWN(MIN(IF(BC135+BD135=0,1000000000,AO135*BB135/(BC135+BD135)),IF(AK135&gt;0.33*SQRT('Parametros'!$B$2)*H135*MIN(U135,AB135)/1000,MIN(U135,AB135)/4,MIN(U135,AB135)/2),600,IF(AV135=0,1000000000,2*((H135-2*('Parametros'!$B$7+'Parametros'!$B$9/2))+(I135-2*('Parametros'!$B$7+'Parametros'!$B$9/2)))/8))/10,0)*10</f>
        <v>80</v>
      </c>
      <c r="AR135" s="10">
        <f>'Parametros'!$B$6*(AJ135+MAX(BE135-BD135,0)*'Parametros'!$B$4*MIN(U135,AB135)/1000)</f>
        <v>416.264609119444</v>
      </c>
      <c r="AS135" s="10" t="str">
        <f>IF(AND(ISERROR(SEARCH("referencia",AN135)),AM135="CUMPLE",AR135&gt;=AI135),"CUMPLE","NO CUMPLE")</f>
        <v>CUMPLE</v>
      </c>
      <c r="AT135" s="10">
        <f>'Parametros'!$B$6*0.083*SQRT('Parametros'!$B$2)*(H135*I135)^2/(2*(H135+I135))/1000000</f>
        <v>10.0887830333379</v>
      </c>
      <c r="AU135" s="10" t="str">
        <f>IF(Q135&lt;=AT135,"DESPRECIABLE","DISEÑAR")</f>
        <v>DISEÑAR</v>
      </c>
      <c r="AV135" s="10">
        <f>IF(Q135&lt;=AT135,0,Q135*1000000/('Parametros'!$B$6*2*0.85*(H135-2*('Parametros'!$B$7+'Parametros'!$B$9/2))*(I135-2*('Parametros'!$B$7+'Parametros'!$B$9/2))*'Parametros'!$B$4))</f>
        <v>0.744169748978727</v>
      </c>
      <c r="AW135" s="10">
        <f>AV135*2*((H135-2*('Parametros'!$B$7+'Parametros'!$B$9/2))+(I135-2*('Parametros'!$B$7+'Parametros'!$B$9/2)))*'Parametros'!$B$4/'Parametros'!$B$3</f>
        <v>1212.40135503614</v>
      </c>
      <c r="AX135" s="31" t="n">
        <v>8</v>
      </c>
      <c r="AY135" s="10" t="str">
        <f>IF(AV135=0,"DESPRECIABLE",IF(AND(ISERROR(SEARCH("referencia",AN135)),BB135/AP135&gt;=AV135,BI135&gt;=AW135,BH135="CUMPLE"),"CUMPLE","NO CUMPLE"))</f>
        <v>CUMPLE</v>
      </c>
      <c r="AZ135" s="10" t="str">
        <f>IF(AND(X135="CUMPLE",AE135="CUMPLE",AS135="CUMPLE",OR(AY135="CUMPLE",AY135="DESPRECIABLE"),BH135="CUMPLE",BJ135="CUMPLE"),"CUMPLE","NO CUMPLE")</f>
        <v>CUMPLE</v>
      </c>
      <c r="BA135" s="32" t="n">
        <v>12.7</v>
      </c>
      <c r="BB135" s="32" t="n">
        <v>129</v>
      </c>
      <c r="BC135" s="10">
        <f>MAX(IF(AK135=0,0,AK135*1000/('Parametros'!$B$4*MIN(U135,AB135))),MAX(0.062*SQRT('Parametros'!$B$2)*H135/'Parametros'!$B$4,0.35*H135/'Parametros'!$B$4))</f>
        <v>1.73206996733944</v>
      </c>
      <c r="BD135" s="10">
        <f>2*AV135</f>
        <v>1.48833949795745</v>
      </c>
      <c r="BE135" s="10">
        <f>AO135*BB135/AP135</f>
        <v>3.225</v>
      </c>
      <c r="BF135" s="10">
        <f>SQRT((AI135*1000/(H135*MIN(U135,AB135)))^2+(Q135*1000000*2*((H135-2*('Parametros'!$B$7+'Parametros'!$B$9/2))+(I135-2*('Parametros'!$B$7+'Parametros'!$B$9/2)))/(1.7*((H135-2*('Parametros'!$B$7+'Parametros'!$B$9/2))*(I135-2*('Parametros'!$B$7+'Parametros'!$B$9/2)))^2))^2)</f>
        <v>3.00406141763904</v>
      </c>
      <c r="BG135" s="10">
        <f>'Parametros'!$B$6*(AJ135*1000/(H135*MIN(U135,AB135))+0.66*SQRT('Parametros'!$B$2))</f>
        <v>3.29396038227542</v>
      </c>
      <c r="BH135" s="10" t="str">
        <f>IF(BF135&lt;=BG135,"CUMPLE","NO CUMPLE")</f>
        <v>CUMPLE</v>
      </c>
      <c r="BI135" s="10">
        <f>AX135*'Parametros'!$B$8</f>
        <v>1592</v>
      </c>
      <c r="BJ135" s="10" t="str">
        <f>IF(BI135&gt;=AW135,"CUMPLE","NO CUMPLE")</f>
        <v>CUMPLE</v>
      </c>
    </row>
    <row r="136">
      <c r="A136" s="15" t="inlineStr">
        <is>
          <t>VC5</t>
        </is>
      </c>
      <c r="B136" s="15" t="inlineStr">
        <is>
          <t>283</t>
        </is>
      </c>
      <c r="C136" s="10" t="n">
        <v>1</v>
      </c>
      <c r="D136" s="10" t="n">
        <v>3.25</v>
      </c>
      <c r="E136" s="10" t="n">
        <v>3.25</v>
      </c>
      <c r="F136" s="10" t="n">
        <v>450</v>
      </c>
      <c r="G136" s="10" t="n">
        <v>550</v>
      </c>
      <c r="H136" s="17" t="n">
        <v>450</v>
      </c>
      <c r="I136" s="17" t="n">
        <v>550</v>
      </c>
      <c r="J136" s="30" t="n">
        <v>171.3866</v>
      </c>
      <c r="K136" s="10" t="inlineStr">
        <is>
          <t>283</t>
        </is>
      </c>
      <c r="L136" s="30" t="n">
        <v>139.9501</v>
      </c>
      <c r="M136" s="10" t="inlineStr">
        <is>
          <t>283</t>
        </is>
      </c>
      <c r="N136" s="30" t="n">
        <v>102.743</v>
      </c>
      <c r="O136" s="30" t="n">
        <v>415.57</v>
      </c>
      <c r="P136" s="10" t="inlineStr">
        <is>
          <t>283</t>
        </is>
      </c>
      <c r="Q136" s="30" t="n">
        <v>65.108</v>
      </c>
      <c r="R136" s="10">
        <f>MAX(MAX(1.4/'Parametros'!$B$3,0.25*SQRT('Parametros'!$B$2)/'Parametros'!$B$3)*H136*U136,(0.85*'Parametros'!$B$2/'Parametros'!$B$3)*(1-SQRT(1-2*(J136*1000000/('Parametros'!$B$5*H136*U136^2))/(0.85*'Parametros'!$B$2)))*H136*U136)</f>
        <v>963.76036781309</v>
      </c>
      <c r="S136" s="31" t="n">
        <v>5</v>
      </c>
      <c r="T136" s="32" t="n">
        <v>1</v>
      </c>
      <c r="U136" s="10">
        <f>IF(T136=1,I136-('Parametros'!$B$7+'Parametros'!$B$9+'Parametros'!$B$12/2),I136-(ROUNDUP(S136/2,0)*('Parametros'!$B$7+'Parametros'!$B$9+'Parametros'!$B$12/2)+ROUNDDOWN(S136/2,0)*('Parametros'!$B$7+'Parametros'!$B$9+'Parametros'!$B$12/2+'Parametros'!$B$12+'Parametros'!$B$10))/S136)</f>
        <v>489.35</v>
      </c>
      <c r="V136" s="10">
        <f>S136*'Parametros'!$B$8</f>
        <v>995</v>
      </c>
      <c r="W136" s="10">
        <f>'Parametros'!$B$5*V136*'Parametros'!$B$3*(U136-(V136*'Parametros'!$B$3/(0.85*'Parametros'!$B$2*H136))/2)/1000000</f>
        <v>176.711596147059</v>
      </c>
      <c r="X136" s="10" t="str">
        <f>IF(W136&gt;=J136,"CUMPLE","NO CUMPLE")</f>
        <v>CUMPLE</v>
      </c>
      <c r="Y136" s="10">
        <f>MAX(MAX(1.4/'Parametros'!$B$3,0.25*SQRT('Parametros'!$B$2)/'Parametros'!$B$3)*H136*AB136,(0.85*'Parametros'!$B$2/'Parametros'!$B$3)*(1-SQRT(1-2*(L136*1000000/('Parametros'!$B$5*H136*AB136^2))/(0.85*'Parametros'!$B$2)))*H136*AB136)</f>
        <v>781.034943606281</v>
      </c>
      <c r="Z136" s="31" t="n">
        <v>4</v>
      </c>
      <c r="AA136" s="32" t="n">
        <v>1</v>
      </c>
      <c r="AB136" s="10">
        <f>IF(AA136=1,I136-('Parametros'!$B$7+'Parametros'!$B$9+'Parametros'!$B$12/2),I136-(ROUNDUP(Z136/2,0)*('Parametros'!$B$7+'Parametros'!$B$9+'Parametros'!$B$12/2)+ROUNDDOWN(Z136/2,0)*('Parametros'!$B$7+'Parametros'!$B$9+'Parametros'!$B$12/2+'Parametros'!$B$12+'Parametros'!$B$10))/Z136)</f>
        <v>489.35</v>
      </c>
      <c r="AC136" s="10">
        <f>Z136*'Parametros'!$B$8</f>
        <v>796</v>
      </c>
      <c r="AD136" s="10">
        <f>'Parametros'!$B$5*AC136*'Parametros'!$B$3*(AB136-(AC136*'Parametros'!$B$3/(0.85*'Parametros'!$B$2*H136))/2)/1000000</f>
        <v>142.543330094118</v>
      </c>
      <c r="AE136" s="10" t="str">
        <f>IF(AD136&gt;=L136,"CUMPLE","NO CUMPLE")</f>
        <v>CUMPLE</v>
      </c>
      <c r="AF136" s="10">
        <f>V136*1.25*'Parametros'!$B$3*(U136-(V136*1.25*'Parametros'!$B$3/(0.85*'Parametros'!$B$2*H136))/2)/1000000</f>
        <v>242.884913970588</v>
      </c>
      <c r="AG136" s="10">
        <f>AC136*1.25*'Parametros'!$B$3*(AB136-(AC136*1.25*'Parametros'!$B$3/(0.85*'Parametros'!$B$2*H136))/2)/1000000</f>
        <v>196.346217941176</v>
      </c>
      <c r="AH136" s="10">
        <f>N136+(AF136+AG136)/D136</f>
        <v>237.891040588235</v>
      </c>
      <c r="AI136" s="10">
        <f>MAX(O136,AH136)</f>
        <v>415.57</v>
      </c>
      <c r="AJ136" s="10">
        <f>0.17*SQRT('Parametros'!$B$2)*H136*MIN(U136,AB136)/1000</f>
        <v>198.088855822627</v>
      </c>
      <c r="AK136" s="10">
        <f>MAX(AI136/'Parametros'!$B$6-AJ136,0)</f>
        <v>356.004477510706</v>
      </c>
      <c r="AL136" s="10">
        <f>0.66*SQRT('Parametros'!$B$2)*H136*MIN(U136,AB136)/1000</f>
        <v>769.050852017258</v>
      </c>
      <c r="AM136" s="10" t="str">
        <f>IF(AK136&lt;=AL136,"CUMPLE","NO CUMPLE")</f>
        <v>CUMPLE</v>
      </c>
      <c r="AN136" s="17" t="inlineStr">
        <is>
          <t>Nº4 cerrado</t>
        </is>
      </c>
      <c r="AO136" s="31" t="n">
        <v>2</v>
      </c>
      <c r="AP136" s="10">
        <f>ROUNDDOWN(MIN(IF(BC136+BD136=0,1000000000,AO136*BB136/(BC136+BD136)),MIN(U136,AB136)/4,8*'Parametros'!$B$12,24*BA136,300,IF(AV136=0,1000000000,2*((H136-2*('Parametros'!$B$7+'Parametros'!$B$9/2))+(I136-2*('Parametros'!$B$7+'Parametros'!$B$9/2)))/8))/10,0)*10</f>
        <v>80</v>
      </c>
      <c r="AQ136" s="10">
        <f>ROUNDDOWN(MIN(IF(BC136+BD136=0,1000000000,AO136*BB136/(BC136+BD136)),IF(AK136&gt;0.33*SQRT('Parametros'!$B$2)*H136*MIN(U136,AB136)/1000,MIN(U136,AB136)/4,MIN(U136,AB136)/2),600,IF(AV136=0,1000000000,2*((H136-2*('Parametros'!$B$7+'Parametros'!$B$9/2))+(I136-2*('Parametros'!$B$7+'Parametros'!$B$9/2)))/8))/10,0)*10</f>
        <v>80</v>
      </c>
      <c r="AR136" s="10">
        <f>'Parametros'!$B$6*(AJ136+MAX(BE136-BD136,0)*'Parametros'!$B$4*MIN(U136,AB136)/1000)</f>
        <v>416.281169271009</v>
      </c>
      <c r="AS136" s="10" t="str">
        <f>IF(AND(ISERROR(SEARCH("referencia",AN136)),AM136="CUMPLE",AR136&gt;=AI136),"CUMPLE","NO CUMPLE")</f>
        <v>CUMPLE</v>
      </c>
      <c r="AT136" s="10">
        <f>'Parametros'!$B$6*0.083*SQRT('Parametros'!$B$2)*(H136*I136)^2/(2*(H136+I136))/1000000</f>
        <v>10.0887830333379</v>
      </c>
      <c r="AU136" s="10" t="str">
        <f>IF(Q136&lt;=AT136,"DESPRECIABLE","DISEÑAR")</f>
        <v>DISEÑAR</v>
      </c>
      <c r="AV136" s="10">
        <f>IF(Q136&lt;=AT136,0,Q136*1000000/('Parametros'!$B$6*2*0.85*(H136-2*('Parametros'!$B$7+'Parametros'!$B$9/2))*(I136-2*('Parametros'!$B$7+'Parametros'!$B$9/2))*'Parametros'!$B$4))</f>
        <v>0.74411603291688</v>
      </c>
      <c r="AW136" s="10">
        <f>AV136*2*((H136-2*('Parametros'!$B$7+'Parametros'!$B$9/2))+(I136-2*('Parametros'!$B$7+'Parametros'!$B$9/2)))*'Parametros'!$B$4/'Parametros'!$B$3</f>
        <v>1212.31384082818</v>
      </c>
      <c r="AX136" s="31" t="n">
        <v>8</v>
      </c>
      <c r="AY136" s="10" t="str">
        <f>IF(AV136=0,"DESPRECIABLE",IF(AND(ISERROR(SEARCH("referencia",AN136)),BB136/AP136&gt;=AV136,BI136&gt;=AW136,BH136="CUMPLE"),"CUMPLE","NO CUMPLE"))</f>
        <v>CUMPLE</v>
      </c>
      <c r="AZ136" s="10" t="str">
        <f>IF(AND(X136="CUMPLE",AE136="CUMPLE",AS136="CUMPLE",OR(AY136="CUMPLE",AY136="DESPRECIABLE"),BH136="CUMPLE",BJ136="CUMPLE"),"CUMPLE","NO CUMPLE")</f>
        <v>CUMPLE</v>
      </c>
      <c r="BA136" s="32" t="n">
        <v>12.7</v>
      </c>
      <c r="BB136" s="32" t="n">
        <v>129</v>
      </c>
      <c r="BC136" s="10">
        <f>MAX(IF(AK136=0,0,AK136*1000/('Parametros'!$B$4*MIN(U136,AB136))),MAX(0.062*SQRT('Parametros'!$B$2)*H136/'Parametros'!$B$4,0.35*H136/'Parametros'!$B$4))</f>
        <v>1.73215430337964</v>
      </c>
      <c r="BD136" s="10">
        <f>2*AV136</f>
        <v>1.48823206583376</v>
      </c>
      <c r="BE136" s="10">
        <f>AO136*BB136/AP136</f>
        <v>3.225</v>
      </c>
      <c r="BF136" s="10">
        <f>SQRT((AI136*1000/(H136*MIN(U136,AB136)))^2+(Q136*1000000*2*((H136-2*('Parametros'!$B$7+'Parametros'!$B$9/2))+(I136-2*('Parametros'!$B$7+'Parametros'!$B$9/2)))/(1.7*((H136-2*('Parametros'!$B$7+'Parametros'!$B$9/2))*(I136-2*('Parametros'!$B$7+'Parametros'!$B$9/2)))^2))^2)</f>
        <v>3.00396723569145</v>
      </c>
      <c r="BG136" s="10">
        <f>'Parametros'!$B$6*(AJ136*1000/(H136*MIN(U136,AB136))+0.66*SQRT('Parametros'!$B$2))</f>
        <v>3.29396038227542</v>
      </c>
      <c r="BH136" s="10" t="str">
        <f>IF(BF136&lt;=BG136,"CUMPLE","NO CUMPLE")</f>
        <v>CUMPLE</v>
      </c>
      <c r="BI136" s="10">
        <f>AX136*'Parametros'!$B$8</f>
        <v>1592</v>
      </c>
      <c r="BJ136" s="10" t="str">
        <f>IF(BI136&gt;=AW136,"CUMPLE","NO CUMPLE")</f>
        <v>CUMPLE</v>
      </c>
    </row>
    <row r="137">
      <c r="A137" s="15" t="inlineStr">
        <is>
          <t>VC5</t>
        </is>
      </c>
      <c r="B137" s="15" t="inlineStr">
        <is>
          <t>284</t>
        </is>
      </c>
      <c r="C137" s="10" t="n">
        <v>1</v>
      </c>
      <c r="D137" s="10" t="n">
        <v>3.3</v>
      </c>
      <c r="E137" s="10" t="n">
        <v>3.3</v>
      </c>
      <c r="F137" s="10" t="n">
        <v>450</v>
      </c>
      <c r="G137" s="10" t="n">
        <v>550</v>
      </c>
      <c r="H137" s="17" t="n">
        <v>450</v>
      </c>
      <c r="I137" s="17" t="n">
        <v>550</v>
      </c>
      <c r="J137" s="30" t="n">
        <v>197.4448</v>
      </c>
      <c r="K137" s="10" t="inlineStr">
        <is>
          <t>284</t>
        </is>
      </c>
      <c r="L137" s="30" t="n">
        <v>132.4376</v>
      </c>
      <c r="M137" s="10" t="inlineStr">
        <is>
          <t>284</t>
        </is>
      </c>
      <c r="N137" s="30" t="n">
        <v>141.401</v>
      </c>
      <c r="O137" s="30" t="n">
        <v>468.535</v>
      </c>
      <c r="P137" s="10" t="inlineStr">
        <is>
          <t>284</t>
        </is>
      </c>
      <c r="Q137" s="30" t="n">
        <v>109.6063</v>
      </c>
      <c r="R137" s="10">
        <f>MAX(MAX(1.4/'Parametros'!$B$3,0.25*SQRT('Parametros'!$B$2)/'Parametros'!$B$3)*H137*U137,(0.85*'Parametros'!$B$2/'Parametros'!$B$3)*(1-SQRT(1-2*(J137*1000000/('Parametros'!$B$5*H137*U137^2))/(0.85*'Parametros'!$B$2)))*H137*U137)</f>
        <v>1117.4517713172</v>
      </c>
      <c r="S137" s="31" t="n">
        <v>6</v>
      </c>
      <c r="T137" s="32" t="n">
        <v>1</v>
      </c>
      <c r="U137" s="10">
        <f>IF(T137=1,I137-('Parametros'!$B$7+'Parametros'!$B$9+'Parametros'!$B$12/2),I137-(ROUNDUP(S137/2,0)*('Parametros'!$B$7+'Parametros'!$B$9+'Parametros'!$B$12/2)+ROUNDDOWN(S137/2,0)*('Parametros'!$B$7+'Parametros'!$B$9+'Parametros'!$B$12/2+'Parametros'!$B$12+'Parametros'!$B$10))/S137)</f>
        <v>489.35</v>
      </c>
      <c r="V137" s="10">
        <f>S137*'Parametros'!$B$8</f>
        <v>1194</v>
      </c>
      <c r="W137" s="10">
        <f>'Parametros'!$B$5*V137*'Parametros'!$B$3*(U137-(V137*'Parametros'!$B$3/(0.85*'Parametros'!$B$2*H137))/2)/1000000</f>
        <v>210.292835611765</v>
      </c>
      <c r="X137" s="10" t="str">
        <f>IF(W137&gt;=J137,"CUMPLE","NO CUMPLE")</f>
        <v>CUMPLE</v>
      </c>
      <c r="Y137" s="10">
        <f>MAX(MAX(1.4/'Parametros'!$B$3,0.25*SQRT('Parametros'!$B$2)/'Parametros'!$B$3)*H137*AB137,(0.85*'Parametros'!$B$2/'Parametros'!$B$3)*(1-SQRT(1-2*(L137*1000000/('Parametros'!$B$5*H137*AB137^2))/(0.85*'Parametros'!$B$2)))*H137*AB137)</f>
        <v>737.789352759263</v>
      </c>
      <c r="Z137" s="31" t="n">
        <v>4</v>
      </c>
      <c r="AA137" s="32" t="n">
        <v>1</v>
      </c>
      <c r="AB137" s="10">
        <f>IF(AA137=1,I137-('Parametros'!$B$7+'Parametros'!$B$9+'Parametros'!$B$12/2),I137-(ROUNDUP(Z137/2,0)*('Parametros'!$B$7+'Parametros'!$B$9+'Parametros'!$B$12/2)+ROUNDDOWN(Z137/2,0)*('Parametros'!$B$7+'Parametros'!$B$9+'Parametros'!$B$12/2+'Parametros'!$B$12+'Parametros'!$B$10))/Z137)</f>
        <v>489.35</v>
      </c>
      <c r="AC137" s="10">
        <f>Z137*'Parametros'!$B$8</f>
        <v>796</v>
      </c>
      <c r="AD137" s="10">
        <f>'Parametros'!$B$5*AC137*'Parametros'!$B$3*(AB137-(AC137*'Parametros'!$B$3/(0.85*'Parametros'!$B$2*H137))/2)/1000000</f>
        <v>142.543330094118</v>
      </c>
      <c r="AE137" s="10" t="str">
        <f>IF(AD137&gt;=L137,"CUMPLE","NO CUMPLE")</f>
        <v>CUMPLE</v>
      </c>
      <c r="AF137" s="10">
        <f>V137*1.25*'Parametros'!$B$3*(U137-(V137*1.25*'Parametros'!$B$3/(0.85*'Parametros'!$B$2*H137))/2)/1000000</f>
        <v>288.404466617647</v>
      </c>
      <c r="AG137" s="10">
        <f>AC137*1.25*'Parametros'!$B$3*(AB137-(AC137*1.25*'Parametros'!$B$3/(0.85*'Parametros'!$B$2*H137))/2)/1000000</f>
        <v>196.346217941176</v>
      </c>
      <c r="AH137" s="10">
        <f>N137+(AF137+AG137)/D137</f>
        <v>288.295146836007</v>
      </c>
      <c r="AI137" s="10">
        <f>MAX(O137,AH137)</f>
        <v>468.535</v>
      </c>
      <c r="AJ137" s="10">
        <f>0.17*SQRT('Parametros'!$B$2)*H137*MIN(U137,AB137)/1000</f>
        <v>198.088855822627</v>
      </c>
      <c r="AK137" s="10">
        <f>MAX(AI137/'Parametros'!$B$6-AJ137,0)</f>
        <v>426.624477510706</v>
      </c>
      <c r="AL137" s="10">
        <f>0.66*SQRT('Parametros'!$B$2)*H137*MIN(U137,AB137)/1000</f>
        <v>769.050852017258</v>
      </c>
      <c r="AM137" s="10" t="str">
        <f>IF(AK137&lt;=AL137,"CUMPLE","NO CUMPLE")</f>
        <v>CUMPLE</v>
      </c>
      <c r="AN137" s="17" t="inlineStr">
        <is>
          <t>Nº4 cerrado (referencia)</t>
        </is>
      </c>
      <c r="AO137" s="31" t="n">
        <v>4</v>
      </c>
      <c r="AP137" s="10">
        <f>ROUNDDOWN(MIN(IF(BC137+BD137=0,1000000000,AO137*BB137/(BC137+BD137)),MIN(U137,AB137)/4,8*'Parametros'!$B$12,24*BA137,300,IF(AV137=0,1000000000,2*((H137-2*('Parametros'!$B$7+'Parametros'!$B$9/2))+(I137-2*('Parametros'!$B$7+'Parametros'!$B$9/2)))/8))/10,0)*10</f>
        <v>110</v>
      </c>
      <c r="AQ137" s="10">
        <f>ROUNDDOWN(MIN(IF(BC137+BD137=0,1000000000,AO137*BB137/(BC137+BD137)),IF(AK137&gt;0.33*SQRT('Parametros'!$B$2)*H137*MIN(U137,AB137)/1000,MIN(U137,AB137)/4,MIN(U137,AB137)/2),600,IF(AV137=0,1000000000,2*((H137-2*('Parametros'!$B$7+'Parametros'!$B$9/2))+(I137-2*('Parametros'!$B$7+'Parametros'!$B$9/2)))/8))/10,0)*10</f>
        <v>110</v>
      </c>
      <c r="AR137" s="10">
        <f>'Parametros'!$B$6*(AJ137+MAX(BE137-BD137,0)*'Parametros'!$B$4*MIN(U137,AB137)/1000)</f>
        <v>485.457158019115</v>
      </c>
      <c r="AS137" s="10" t="str">
        <f>IF(AND(ISERROR(SEARCH("referencia",AN137)),AM137="CUMPLE",AR137&gt;=AI137),"CUMPLE","NO CUMPLE")</f>
        <v>NO CUMPLE</v>
      </c>
      <c r="AT137" s="10">
        <f>'Parametros'!$B$6*0.083*SQRT('Parametros'!$B$2)*(H137*I137)^2/(2*(H137+I137))/1000000</f>
        <v>10.0887830333379</v>
      </c>
      <c r="AU137" s="10" t="str">
        <f>IF(Q137&lt;=AT137,"DESPRECIABLE","DISEÑAR")</f>
        <v>DISEÑAR</v>
      </c>
      <c r="AV137" s="10">
        <f>IF(Q137&lt;=AT137,0,Q137*1000000/('Parametros'!$B$6*2*0.85*(H137-2*('Parametros'!$B$7+'Parametros'!$B$9/2))*(I137-2*('Parametros'!$B$7+'Parametros'!$B$9/2))*'Parametros'!$B$4))</f>
        <v>1.25268484884649</v>
      </c>
      <c r="AW137" s="10">
        <f>AV137*2*((H137-2*('Parametros'!$B$7+'Parametros'!$B$9/2))+(I137-2*('Parametros'!$B$7+'Parametros'!$B$9/2)))*'Parametros'!$B$4/'Parametros'!$B$3</f>
        <v>2040.87415574071</v>
      </c>
      <c r="AX137" s="31" t="n">
        <v>12</v>
      </c>
      <c r="AY137" s="10" t="str">
        <f>IF(AV137=0,"DESPRECIABLE",IF(AND(ISERROR(SEARCH("referencia",AN137)),BB137/AP137&gt;=AV137,BI137&gt;=AW137,BH137="CUMPLE"),"CUMPLE","NO CUMPLE"))</f>
        <v>NO CUMPLE</v>
      </c>
      <c r="AZ137" s="10" t="str">
        <f>IF(AND(X137="CUMPLE",AE137="CUMPLE",AS137="CUMPLE",OR(AY137="CUMPLE",AY137="DESPRECIABLE"),BH137="CUMPLE",BJ137="CUMPLE"),"CUMPLE","NO CUMPLE")</f>
        <v>NO CUMPLE</v>
      </c>
      <c r="BA137" s="32" t="n">
        <v>12.7</v>
      </c>
      <c r="BB137" s="32" t="n">
        <v>129</v>
      </c>
      <c r="BC137" s="10">
        <f>MAX(IF(AK137=0,0,AK137*1000/('Parametros'!$B$4*MIN(U137,AB137))),MAX(0.062*SQRT('Parametros'!$B$2)*H137/'Parametros'!$B$4,0.35*H137/'Parametros'!$B$4))</f>
        <v>2.07575879330067</v>
      </c>
      <c r="BD137" s="10">
        <f>2*AV137</f>
        <v>2.50536969769299</v>
      </c>
      <c r="BE137" s="10">
        <f>AO137*BB137/AP137</f>
        <v>4.69090909090909</v>
      </c>
      <c r="BF137" s="10">
        <f>SQRT((AI137*1000/(H137*MIN(U137,AB137)))^2+(Q137*1000000*2*((H137-2*('Parametros'!$B$7+'Parametros'!$B$9/2))+(I137-2*('Parametros'!$B$7+'Parametros'!$B$9/2)))/(1.7*((H137-2*('Parametros'!$B$7+'Parametros'!$B$9/2))*(I137-2*('Parametros'!$B$7+'Parametros'!$B$9/2)))^2))^2)</f>
        <v>4.47298588120942</v>
      </c>
      <c r="BG137" s="10">
        <f>'Parametros'!$B$6*(AJ137*1000/(H137*MIN(U137,AB137))+0.66*SQRT('Parametros'!$B$2))</f>
        <v>3.29396038227542</v>
      </c>
      <c r="BH137" s="10" t="str">
        <f>IF(BF137&lt;=BG137,"CUMPLE","NO CUMPLE")</f>
        <v>NO CUMPLE</v>
      </c>
      <c r="BI137" s="10">
        <f>AX137*'Parametros'!$B$8</f>
        <v>2388</v>
      </c>
      <c r="BJ137" s="10" t="str">
        <f>IF(BI137&gt;=AW137,"CUMPLE","NO CUMPLE")</f>
        <v>CUMPLE</v>
      </c>
    </row>
    <row r="138">
      <c r="A138" s="15" t="inlineStr">
        <is>
          <t>VC5</t>
        </is>
      </c>
      <c r="B138" s="15" t="inlineStr">
        <is>
          <t>285</t>
        </is>
      </c>
      <c r="C138" s="10" t="n">
        <v>1</v>
      </c>
      <c r="D138" s="10" t="n">
        <v>3.3</v>
      </c>
      <c r="E138" s="10" t="n">
        <v>3.3</v>
      </c>
      <c r="F138" s="10" t="n">
        <v>450</v>
      </c>
      <c r="G138" s="10" t="n">
        <v>550</v>
      </c>
      <c r="H138" s="17" t="n">
        <v>450</v>
      </c>
      <c r="I138" s="17" t="n">
        <v>550</v>
      </c>
      <c r="J138" s="30" t="n">
        <v>197.328</v>
      </c>
      <c r="K138" s="10" t="inlineStr">
        <is>
          <t>285</t>
        </is>
      </c>
      <c r="L138" s="30" t="n">
        <v>132.4269</v>
      </c>
      <c r="M138" s="10" t="inlineStr">
        <is>
          <t>285</t>
        </is>
      </c>
      <c r="N138" s="30" t="n">
        <v>141.293</v>
      </c>
      <c r="O138" s="30" t="n">
        <v>468.4</v>
      </c>
      <c r="P138" s="10" t="inlineStr">
        <is>
          <t>285</t>
        </is>
      </c>
      <c r="Q138" s="30" t="n">
        <v>109.5404</v>
      </c>
      <c r="R138" s="10">
        <f>MAX(MAX(1.4/'Parametros'!$B$3,0.25*SQRT('Parametros'!$B$2)/'Parametros'!$B$3)*H138*U138,(0.85*'Parametros'!$B$2/'Parametros'!$B$3)*(1-SQRT(1-2*(J138*1000000/('Parametros'!$B$5*H138*U138^2))/(0.85*'Parametros'!$B$2)))*H138*U138)</f>
        <v>1116.75824582146</v>
      </c>
      <c r="S138" s="31" t="n">
        <v>6</v>
      </c>
      <c r="T138" s="32" t="n">
        <v>1</v>
      </c>
      <c r="U138" s="10">
        <f>IF(T138=1,I138-('Parametros'!$B$7+'Parametros'!$B$9+'Parametros'!$B$12/2),I138-(ROUNDUP(S138/2,0)*('Parametros'!$B$7+'Parametros'!$B$9+'Parametros'!$B$12/2)+ROUNDDOWN(S138/2,0)*('Parametros'!$B$7+'Parametros'!$B$9+'Parametros'!$B$12/2+'Parametros'!$B$12+'Parametros'!$B$10))/S138)</f>
        <v>489.35</v>
      </c>
      <c r="V138" s="10">
        <f>S138*'Parametros'!$B$8</f>
        <v>1194</v>
      </c>
      <c r="W138" s="10">
        <f>'Parametros'!$B$5*V138*'Parametros'!$B$3*(U138-(V138*'Parametros'!$B$3/(0.85*'Parametros'!$B$2*H138))/2)/1000000</f>
        <v>210.292835611765</v>
      </c>
      <c r="X138" s="10" t="str">
        <f>IF(W138&gt;=J138,"CUMPLE","NO CUMPLE")</f>
        <v>CUMPLE</v>
      </c>
      <c r="Y138" s="10">
        <f>MAX(MAX(1.4/'Parametros'!$B$3,0.25*SQRT('Parametros'!$B$2)/'Parametros'!$B$3)*H138*AB138,(0.85*'Parametros'!$B$2/'Parametros'!$B$3)*(1-SQRT(1-2*(L138*1000000/('Parametros'!$B$5*H138*AB138^2))/(0.85*'Parametros'!$B$2)))*H138*AB138)</f>
        <v>737.727871973335</v>
      </c>
      <c r="Z138" s="31" t="n">
        <v>4</v>
      </c>
      <c r="AA138" s="32" t="n">
        <v>1</v>
      </c>
      <c r="AB138" s="10">
        <f>IF(AA138=1,I138-('Parametros'!$B$7+'Parametros'!$B$9+'Parametros'!$B$12/2),I138-(ROUNDUP(Z138/2,0)*('Parametros'!$B$7+'Parametros'!$B$9+'Parametros'!$B$12/2)+ROUNDDOWN(Z138/2,0)*('Parametros'!$B$7+'Parametros'!$B$9+'Parametros'!$B$12/2+'Parametros'!$B$12+'Parametros'!$B$10))/Z138)</f>
        <v>489.35</v>
      </c>
      <c r="AC138" s="10">
        <f>Z138*'Parametros'!$B$8</f>
        <v>796</v>
      </c>
      <c r="AD138" s="10">
        <f>'Parametros'!$B$5*AC138*'Parametros'!$B$3*(AB138-(AC138*'Parametros'!$B$3/(0.85*'Parametros'!$B$2*H138))/2)/1000000</f>
        <v>142.543330094118</v>
      </c>
      <c r="AE138" s="10" t="str">
        <f>IF(AD138&gt;=L138,"CUMPLE","NO CUMPLE")</f>
        <v>CUMPLE</v>
      </c>
      <c r="AF138" s="10">
        <f>V138*1.25*'Parametros'!$B$3*(U138-(V138*1.25*'Parametros'!$B$3/(0.85*'Parametros'!$B$2*H138))/2)/1000000</f>
        <v>288.404466617647</v>
      </c>
      <c r="AG138" s="10">
        <f>AC138*1.25*'Parametros'!$B$3*(AB138-(AC138*1.25*'Parametros'!$B$3/(0.85*'Parametros'!$B$2*H138))/2)/1000000</f>
        <v>196.346217941176</v>
      </c>
      <c r="AH138" s="10">
        <f>N138+(AF138+AG138)/D138</f>
        <v>288.187146836007</v>
      </c>
      <c r="AI138" s="10">
        <f>MAX(O138,AH138)</f>
        <v>468.4</v>
      </c>
      <c r="AJ138" s="10">
        <f>0.17*SQRT('Parametros'!$B$2)*H138*MIN(U138,AB138)/1000</f>
        <v>198.088855822627</v>
      </c>
      <c r="AK138" s="10">
        <f>MAX(AI138/'Parametros'!$B$6-AJ138,0)</f>
        <v>426.444477510706</v>
      </c>
      <c r="AL138" s="10">
        <f>0.66*SQRT('Parametros'!$B$2)*H138*MIN(U138,AB138)/1000</f>
        <v>769.050852017258</v>
      </c>
      <c r="AM138" s="10" t="str">
        <f>IF(AK138&lt;=AL138,"CUMPLE","NO CUMPLE")</f>
        <v>CUMPLE</v>
      </c>
      <c r="AN138" s="17" t="inlineStr">
        <is>
          <t>Nº4 cerrado (referencia)</t>
        </is>
      </c>
      <c r="AO138" s="31" t="n">
        <v>4</v>
      </c>
      <c r="AP138" s="10">
        <f>ROUNDDOWN(MIN(IF(BC138+BD138=0,1000000000,AO138*BB138/(BC138+BD138)),MIN(U138,AB138)/4,8*'Parametros'!$B$12,24*BA138,300,IF(AV138=0,1000000000,2*((H138-2*('Parametros'!$B$7+'Parametros'!$B$9/2))+(I138-2*('Parametros'!$B$7+'Parametros'!$B$9/2)))/8))/10,0)*10</f>
        <v>110</v>
      </c>
      <c r="AQ138" s="10">
        <f>ROUNDDOWN(MIN(IF(BC138+BD138=0,1000000000,AO138*BB138/(BC138+BD138)),IF(AK138&gt;0.33*SQRT('Parametros'!$B$2)*H138*MIN(U138,AB138)/1000,MIN(U138,AB138)/4,MIN(U138,AB138)/2),600,IF(AV138=0,1000000000,2*((H138-2*('Parametros'!$B$7+'Parametros'!$B$9/2))+(I138-2*('Parametros'!$B$7+'Parametros'!$B$9/2)))/8))/10,0)*10</f>
        <v>110</v>
      </c>
      <c r="AR138" s="10">
        <f>'Parametros'!$B$6*(AJ138+MAX(BE138-BD138,0)*'Parametros'!$B$4*MIN(U138,AB138)/1000)</f>
        <v>485.689352484672</v>
      </c>
      <c r="AS138" s="10" t="str">
        <f>IF(AND(ISERROR(SEARCH("referencia",AN138)),AM138="CUMPLE",AR138&gt;=AI138),"CUMPLE","NO CUMPLE")</f>
        <v>NO CUMPLE</v>
      </c>
      <c r="AT138" s="10">
        <f>'Parametros'!$B$6*0.083*SQRT('Parametros'!$B$2)*(H138*I138)^2/(2*(H138+I138))/1000000</f>
        <v>10.0887830333379</v>
      </c>
      <c r="AU138" s="10" t="str">
        <f>IF(Q138&lt;=AT138,"DESPRECIABLE","DISEÑAR")</f>
        <v>DISEÑAR</v>
      </c>
      <c r="AV138" s="10">
        <f>IF(Q138&lt;=AT138,0,Q138*1000000/('Parametros'!$B$6*2*0.85*(H138-2*('Parametros'!$B$7+'Parametros'!$B$9/2))*(I138-2*('Parametros'!$B$7+'Parametros'!$B$9/2))*'Parametros'!$B$4))</f>
        <v>1.25193168108571</v>
      </c>
      <c r="AW138" s="10">
        <f>AV138*2*((H138-2*('Parametros'!$B$7+'Parametros'!$B$9/2))+(I138-2*('Parametros'!$B$7+'Parametros'!$B$9/2)))*'Parametros'!$B$4/'Parametros'!$B$3</f>
        <v>2039.64709482483</v>
      </c>
      <c r="AX138" s="31" t="n">
        <v>12</v>
      </c>
      <c r="AY138" s="10" t="str">
        <f>IF(AV138=0,"DESPRECIABLE",IF(AND(ISERROR(SEARCH("referencia",AN138)),BB138/AP138&gt;=AV138,BI138&gt;=AW138,BH138="CUMPLE"),"CUMPLE","NO CUMPLE"))</f>
        <v>NO CUMPLE</v>
      </c>
      <c r="AZ138" s="10" t="str">
        <f>IF(AND(X138="CUMPLE",AE138="CUMPLE",AS138="CUMPLE",OR(AY138="CUMPLE",AY138="DESPRECIABLE"),BH138="CUMPLE",BJ138="CUMPLE"),"CUMPLE","NO CUMPLE")</f>
        <v>NO CUMPLE</v>
      </c>
      <c r="BA138" s="32" t="n">
        <v>12.7</v>
      </c>
      <c r="BB138" s="32" t="n">
        <v>129</v>
      </c>
      <c r="BC138" s="10">
        <f>MAX(IF(AK138=0,0,AK138*1000/('Parametros'!$B$4*MIN(U138,AB138))),MAX(0.062*SQRT('Parametros'!$B$2)*H138/'Parametros'!$B$4,0.35*H138/'Parametros'!$B$4))</f>
        <v>2.07488299596017</v>
      </c>
      <c r="BD138" s="10">
        <f>2*AV138</f>
        <v>2.50386336217141</v>
      </c>
      <c r="BE138" s="10">
        <f>AO138*BB138/AP138</f>
        <v>4.69090909090909</v>
      </c>
      <c r="BF138" s="10">
        <f>SQRT((AI138*1000/(H138*MIN(U138,AB138)))^2+(Q138*1000000*2*((H138-2*('Parametros'!$B$7+'Parametros'!$B$9/2))+(I138-2*('Parametros'!$B$7+'Parametros'!$B$9/2)))/(1.7*((H138-2*('Parametros'!$B$7+'Parametros'!$B$9/2))*(I138-2*('Parametros'!$B$7+'Parametros'!$B$9/2)))^2))^2)</f>
        <v>4.47061346750836</v>
      </c>
      <c r="BG138" s="10">
        <f>'Parametros'!$B$6*(AJ138*1000/(H138*MIN(U138,AB138))+0.66*SQRT('Parametros'!$B$2))</f>
        <v>3.29396038227542</v>
      </c>
      <c r="BH138" s="10" t="str">
        <f>IF(BF138&lt;=BG138,"CUMPLE","NO CUMPLE")</f>
        <v>NO CUMPLE</v>
      </c>
      <c r="BI138" s="10">
        <f>AX138*'Parametros'!$B$8</f>
        <v>2388</v>
      </c>
      <c r="BJ138" s="10" t="str">
        <f>IF(BI138&gt;=AW138,"CUMPLE","NO CUMPLE")</f>
        <v>CUMPLE</v>
      </c>
    </row>
    <row r="139">
      <c r="A139" s="15" t="inlineStr">
        <is>
          <t>VC5</t>
        </is>
      </c>
      <c r="B139" s="15" t="inlineStr">
        <is>
          <t>286</t>
        </is>
      </c>
      <c r="C139" s="10" t="n">
        <v>1</v>
      </c>
      <c r="D139" s="10" t="n">
        <v>3.25</v>
      </c>
      <c r="E139" s="10" t="n">
        <v>3.25</v>
      </c>
      <c r="F139" s="10" t="n">
        <v>450</v>
      </c>
      <c r="G139" s="10" t="n">
        <v>550</v>
      </c>
      <c r="H139" s="17" t="n">
        <v>450</v>
      </c>
      <c r="I139" s="17" t="n">
        <v>550</v>
      </c>
      <c r="J139" s="30" t="n">
        <v>171.3676</v>
      </c>
      <c r="K139" s="10" t="inlineStr">
        <is>
          <t>286</t>
        </is>
      </c>
      <c r="L139" s="30" t="n">
        <v>139.961</v>
      </c>
      <c r="M139" s="10" t="inlineStr">
        <is>
          <t>286</t>
        </is>
      </c>
      <c r="N139" s="30" t="n">
        <v>102.734</v>
      </c>
      <c r="O139" s="30" t="n">
        <v>415.56</v>
      </c>
      <c r="P139" s="10" t="inlineStr">
        <is>
          <t>286</t>
        </is>
      </c>
      <c r="Q139" s="30" t="n">
        <v>65.10890000000001</v>
      </c>
      <c r="R139" s="10">
        <f>MAX(MAX(1.4/'Parametros'!$B$3,0.25*SQRT('Parametros'!$B$2)/'Parametros'!$B$3)*H139*U139,(0.85*'Parametros'!$B$2/'Parametros'!$B$3)*(1-SQRT(1-2*(J139*1000000/('Parametros'!$B$5*H139*U139^2))/(0.85*'Parametros'!$B$2)))*H139*U139)</f>
        <v>963.649054120741</v>
      </c>
      <c r="S139" s="31" t="n">
        <v>5</v>
      </c>
      <c r="T139" s="32" t="n">
        <v>1</v>
      </c>
      <c r="U139" s="10">
        <f>IF(T139=1,I139-('Parametros'!$B$7+'Parametros'!$B$9+'Parametros'!$B$12/2),I139-(ROUNDUP(S139/2,0)*('Parametros'!$B$7+'Parametros'!$B$9+'Parametros'!$B$12/2)+ROUNDDOWN(S139/2,0)*('Parametros'!$B$7+'Parametros'!$B$9+'Parametros'!$B$12/2+'Parametros'!$B$12+'Parametros'!$B$10))/S139)</f>
        <v>489.35</v>
      </c>
      <c r="V139" s="10">
        <f>S139*'Parametros'!$B$8</f>
        <v>995</v>
      </c>
      <c r="W139" s="10">
        <f>'Parametros'!$B$5*V139*'Parametros'!$B$3*(U139-(V139*'Parametros'!$B$3/(0.85*'Parametros'!$B$2*H139))/2)/1000000</f>
        <v>176.711596147059</v>
      </c>
      <c r="X139" s="10" t="str">
        <f>IF(W139&gt;=J139,"CUMPLE","NO CUMPLE")</f>
        <v>CUMPLE</v>
      </c>
      <c r="Y139" s="10">
        <f>MAX(MAX(1.4/'Parametros'!$B$3,0.25*SQRT('Parametros'!$B$2)/'Parametros'!$B$3)*H139*AB139,(0.85*'Parametros'!$B$2/'Parametros'!$B$3)*(1-SQRT(1-2*(L139*1000000/('Parametros'!$B$5*H139*AB139^2))/(0.85*'Parametros'!$B$2)))*H139*AB139)</f>
        <v>781.097805444056</v>
      </c>
      <c r="Z139" s="31" t="n">
        <v>4</v>
      </c>
      <c r="AA139" s="32" t="n">
        <v>1</v>
      </c>
      <c r="AB139" s="10">
        <f>IF(AA139=1,I139-('Parametros'!$B$7+'Parametros'!$B$9+'Parametros'!$B$12/2),I139-(ROUNDUP(Z139/2,0)*('Parametros'!$B$7+'Parametros'!$B$9+'Parametros'!$B$12/2)+ROUNDDOWN(Z139/2,0)*('Parametros'!$B$7+'Parametros'!$B$9+'Parametros'!$B$12/2+'Parametros'!$B$12+'Parametros'!$B$10))/Z139)</f>
        <v>489.35</v>
      </c>
      <c r="AC139" s="10">
        <f>Z139*'Parametros'!$B$8</f>
        <v>796</v>
      </c>
      <c r="AD139" s="10">
        <f>'Parametros'!$B$5*AC139*'Parametros'!$B$3*(AB139-(AC139*'Parametros'!$B$3/(0.85*'Parametros'!$B$2*H139))/2)/1000000</f>
        <v>142.543330094118</v>
      </c>
      <c r="AE139" s="10" t="str">
        <f>IF(AD139&gt;=L139,"CUMPLE","NO CUMPLE")</f>
        <v>CUMPLE</v>
      </c>
      <c r="AF139" s="10">
        <f>V139*1.25*'Parametros'!$B$3*(U139-(V139*1.25*'Parametros'!$B$3/(0.85*'Parametros'!$B$2*H139))/2)/1000000</f>
        <v>242.884913970588</v>
      </c>
      <c r="AG139" s="10">
        <f>AC139*1.25*'Parametros'!$B$3*(AB139-(AC139*1.25*'Parametros'!$B$3/(0.85*'Parametros'!$B$2*H139))/2)/1000000</f>
        <v>196.346217941176</v>
      </c>
      <c r="AH139" s="10">
        <f>N139+(AF139+AG139)/D139</f>
        <v>237.882040588235</v>
      </c>
      <c r="AI139" s="10">
        <f>MAX(O139,AH139)</f>
        <v>415.56</v>
      </c>
      <c r="AJ139" s="10">
        <f>0.17*SQRT('Parametros'!$B$2)*H139*MIN(U139,AB139)/1000</f>
        <v>198.088855822627</v>
      </c>
      <c r="AK139" s="10">
        <f>MAX(AI139/'Parametros'!$B$6-AJ139,0)</f>
        <v>355.991144177373</v>
      </c>
      <c r="AL139" s="10">
        <f>0.66*SQRT('Parametros'!$B$2)*H139*MIN(U139,AB139)/1000</f>
        <v>769.050852017258</v>
      </c>
      <c r="AM139" s="10" t="str">
        <f>IF(AK139&lt;=AL139,"CUMPLE","NO CUMPLE")</f>
        <v>CUMPLE</v>
      </c>
      <c r="AN139" s="17" t="inlineStr">
        <is>
          <t>Nº4 cerrado</t>
        </is>
      </c>
      <c r="AO139" s="31" t="n">
        <v>2</v>
      </c>
      <c r="AP139" s="10">
        <f>ROUNDDOWN(MIN(IF(BC139+BD139=0,1000000000,AO139*BB139/(BC139+BD139)),MIN(U139,AB139)/4,8*'Parametros'!$B$12,24*BA139,300,IF(AV139=0,1000000000,2*((H139-2*('Parametros'!$B$7+'Parametros'!$B$9/2))+(I139-2*('Parametros'!$B$7+'Parametros'!$B$9/2)))/8))/10,0)*10</f>
        <v>80</v>
      </c>
      <c r="AQ139" s="10">
        <f>ROUNDDOWN(MIN(IF(BC139+BD139=0,1000000000,AO139*BB139/(BC139+BD139)),IF(AK139&gt;0.33*SQRT('Parametros'!$B$2)*H139*MIN(U139,AB139)/1000,MIN(U139,AB139)/4,MIN(U139,AB139)/2),600,IF(AV139=0,1000000000,2*((H139-2*('Parametros'!$B$7+'Parametros'!$B$9/2))+(I139-2*('Parametros'!$B$7+'Parametros'!$B$9/2)))/8))/10,0)*10</f>
        <v>80</v>
      </c>
      <c r="AR139" s="10">
        <f>'Parametros'!$B$6*(AJ139+MAX(BE139-BD139,0)*'Parametros'!$B$4*MIN(U139,AB139)/1000)</f>
        <v>416.277998178156</v>
      </c>
      <c r="AS139" s="10" t="str">
        <f>IF(AND(ISERROR(SEARCH("referencia",AN139)),AM139="CUMPLE",AR139&gt;=AI139),"CUMPLE","NO CUMPLE")</f>
        <v>CUMPLE</v>
      </c>
      <c r="AT139" s="10">
        <f>'Parametros'!$B$6*0.083*SQRT('Parametros'!$B$2)*(H139*I139)^2/(2*(H139+I139))/1000000</f>
        <v>10.0887830333379</v>
      </c>
      <c r="AU139" s="10" t="str">
        <f>IF(Q139&lt;=AT139,"DESPRECIABLE","DISEÑAR")</f>
        <v>DISEÑAR</v>
      </c>
      <c r="AV139" s="10">
        <f>IF(Q139&lt;=AT139,0,Q139*1000000/('Parametros'!$B$6*2*0.85*(H139-2*('Parametros'!$B$7+'Parametros'!$B$9/2))*(I139-2*('Parametros'!$B$7+'Parametros'!$B$9/2))*'Parametros'!$B$4))</f>
        <v>0.744126318971276</v>
      </c>
      <c r="AW139" s="10">
        <f>AV139*2*((H139-2*('Parametros'!$B$7+'Parametros'!$B$9/2))+(I139-2*('Parametros'!$B$7+'Parametros'!$B$9/2)))*'Parametros'!$B$4/'Parametros'!$B$3</f>
        <v>1212.330598868</v>
      </c>
      <c r="AX139" s="31" t="n">
        <v>8</v>
      </c>
      <c r="AY139" s="10" t="str">
        <f>IF(AV139=0,"DESPRECIABLE",IF(AND(ISERROR(SEARCH("referencia",AN139)),BB139/AP139&gt;=AV139,BI139&gt;=AW139,BH139="CUMPLE"),"CUMPLE","NO CUMPLE"))</f>
        <v>CUMPLE</v>
      </c>
      <c r="AZ139" s="10" t="str">
        <f>IF(AND(X139="CUMPLE",AE139="CUMPLE",AS139="CUMPLE",OR(AY139="CUMPLE",AY139="DESPRECIABLE"),BH139="CUMPLE",BJ139="CUMPLE"),"CUMPLE","NO CUMPLE")</f>
        <v>CUMPLE</v>
      </c>
      <c r="BA139" s="32" t="n">
        <v>12.7</v>
      </c>
      <c r="BB139" s="32" t="n">
        <v>129</v>
      </c>
      <c r="BC139" s="10">
        <f>MAX(IF(AK139=0,0,AK139*1000/('Parametros'!$B$4*MIN(U139,AB139))),MAX(0.062*SQRT('Parametros'!$B$2)*H139/'Parametros'!$B$4,0.35*H139/'Parametros'!$B$4))</f>
        <v>1.73208942950256</v>
      </c>
      <c r="BD139" s="10">
        <f>2*AV139</f>
        <v>1.48825263794255</v>
      </c>
      <c r="BE139" s="10">
        <f>AO139*BB139/AP139</f>
        <v>3.225</v>
      </c>
      <c r="BF139" s="10">
        <f>SQRT((AI139*1000/(H139*MIN(U139,AB139)))^2+(Q139*1000000*2*((H139-2*('Parametros'!$B$7+'Parametros'!$B$9/2))+(I139-2*('Parametros'!$B$7+'Parametros'!$B$9/2)))/(1.7*((H139-2*('Parametros'!$B$7+'Parametros'!$B$9/2))*(I139-2*('Parametros'!$B$7+'Parametros'!$B$9/2)))^2))^2)</f>
        <v>3.00396384329901</v>
      </c>
      <c r="BG139" s="10">
        <f>'Parametros'!$B$6*(AJ139*1000/(H139*MIN(U139,AB139))+0.66*SQRT('Parametros'!$B$2))</f>
        <v>3.29396038227542</v>
      </c>
      <c r="BH139" s="10" t="str">
        <f>IF(BF139&lt;=BG139,"CUMPLE","NO CUMPLE")</f>
        <v>CUMPLE</v>
      </c>
      <c r="BI139" s="10">
        <f>AX139*'Parametros'!$B$8</f>
        <v>1592</v>
      </c>
      <c r="BJ139" s="10" t="str">
        <f>IF(BI139&gt;=AW139,"CUMPLE","NO CUMPLE")</f>
        <v>CUMPLE</v>
      </c>
    </row>
    <row r="140">
      <c r="A140" s="15" t="inlineStr">
        <is>
          <t>VC5</t>
        </is>
      </c>
      <c r="B140" s="15" t="inlineStr">
        <is>
          <t>821</t>
        </is>
      </c>
      <c r="C140" s="10" t="n">
        <v>1</v>
      </c>
      <c r="D140" s="10" t="n">
        <v>3.25</v>
      </c>
      <c r="E140" s="10" t="n">
        <v>3.25</v>
      </c>
      <c r="F140" s="10" t="n">
        <v>450</v>
      </c>
      <c r="G140" s="10" t="n">
        <v>550</v>
      </c>
      <c r="H140" s="17" t="n">
        <v>450</v>
      </c>
      <c r="I140" s="17" t="n">
        <v>550</v>
      </c>
      <c r="J140" s="30" t="n">
        <v>135.3208</v>
      </c>
      <c r="K140" s="10" t="inlineStr">
        <is>
          <t>821</t>
        </is>
      </c>
      <c r="L140" s="30" t="n">
        <v>101.2361</v>
      </c>
      <c r="M140" s="10" t="inlineStr">
        <is>
          <t>821</t>
        </is>
      </c>
      <c r="N140" s="30" t="n">
        <v>84.22199999999999</v>
      </c>
      <c r="O140" s="30" t="n">
        <v>319.44</v>
      </c>
      <c r="P140" s="10" t="inlineStr">
        <is>
          <t>821</t>
        </is>
      </c>
      <c r="Q140" s="30" t="n">
        <v>49.8954</v>
      </c>
      <c r="R140" s="10">
        <f>MAX(MAX(1.4/'Parametros'!$B$3,0.25*SQRT('Parametros'!$B$2)/'Parametros'!$B$3)*H140*U140,(0.85*'Parametros'!$B$2/'Parametros'!$B$3)*(1-SQRT(1-2*(J140*1000000/('Parametros'!$B$5*H140*U140^2))/(0.85*'Parametros'!$B$2)))*H140*U140)</f>
        <v>754.367586857708</v>
      </c>
      <c r="S140" s="31" t="n">
        <v>4</v>
      </c>
      <c r="T140" s="32" t="n">
        <v>1</v>
      </c>
      <c r="U140" s="10">
        <f>IF(T140=1,I140-('Parametros'!$B$7+'Parametros'!$B$9+'Parametros'!$B$12/2),I140-(ROUNDUP(S140/2,0)*('Parametros'!$B$7+'Parametros'!$B$9+'Parametros'!$B$12/2)+ROUNDDOWN(S140/2,0)*('Parametros'!$B$7+'Parametros'!$B$9+'Parametros'!$B$12/2+'Parametros'!$B$12+'Parametros'!$B$10))/S140)</f>
        <v>489.35</v>
      </c>
      <c r="V140" s="10">
        <f>S140*'Parametros'!$B$8</f>
        <v>796</v>
      </c>
      <c r="W140" s="10">
        <f>'Parametros'!$B$5*V140*'Parametros'!$B$3*(U140-(V140*'Parametros'!$B$3/(0.85*'Parametros'!$B$2*H140))/2)/1000000</f>
        <v>142.543330094118</v>
      </c>
      <c r="X140" s="10" t="str">
        <f>IF(W140&gt;=J140,"CUMPLE","NO CUMPLE")</f>
        <v>CUMPLE</v>
      </c>
      <c r="Y140" s="10">
        <f>MAX(MAX(1.4/'Parametros'!$B$3,0.25*SQRT('Parametros'!$B$2)/'Parametros'!$B$3)*H140*AB140,(0.85*'Parametros'!$B$2/'Parametros'!$B$3)*(1-SQRT(1-2*(L140*1000000/('Parametros'!$B$5*H140*AB140^2))/(0.85*'Parametros'!$B$2)))*H140*AB140)</f>
        <v>734.025</v>
      </c>
      <c r="Z140" s="31" t="n">
        <v>4</v>
      </c>
      <c r="AA140" s="32" t="n">
        <v>1</v>
      </c>
      <c r="AB140" s="10">
        <f>IF(AA140=1,I140-('Parametros'!$B$7+'Parametros'!$B$9+'Parametros'!$B$12/2),I140-(ROUNDUP(Z140/2,0)*('Parametros'!$B$7+'Parametros'!$B$9+'Parametros'!$B$12/2)+ROUNDDOWN(Z140/2,0)*('Parametros'!$B$7+'Parametros'!$B$9+'Parametros'!$B$12/2+'Parametros'!$B$12+'Parametros'!$B$10))/Z140)</f>
        <v>489.35</v>
      </c>
      <c r="AC140" s="10">
        <f>Z140*'Parametros'!$B$8</f>
        <v>796</v>
      </c>
      <c r="AD140" s="10">
        <f>'Parametros'!$B$5*AC140*'Parametros'!$B$3*(AB140-(AC140*'Parametros'!$B$3/(0.85*'Parametros'!$B$2*H140))/2)/1000000</f>
        <v>142.543330094118</v>
      </c>
      <c r="AE140" s="10" t="str">
        <f>IF(AD140&gt;=L140,"CUMPLE","NO CUMPLE")</f>
        <v>CUMPLE</v>
      </c>
      <c r="AF140" s="10">
        <f>V140*1.25*'Parametros'!$B$3*(U140-(V140*1.25*'Parametros'!$B$3/(0.85*'Parametros'!$B$2*H140))/2)/1000000</f>
        <v>196.346217941176</v>
      </c>
      <c r="AG140" s="10">
        <f>AC140*1.25*'Parametros'!$B$3*(AB140-(AC140*1.25*'Parametros'!$B$3/(0.85*'Parametros'!$B$2*H140))/2)/1000000</f>
        <v>196.346217941176</v>
      </c>
      <c r="AH140" s="10">
        <f>N140+(AF140+AG140)/D140</f>
        <v>205.050441809955</v>
      </c>
      <c r="AI140" s="10">
        <f>MAX(O140,AH140)</f>
        <v>319.44</v>
      </c>
      <c r="AJ140" s="10">
        <f>0.17*SQRT('Parametros'!$B$2)*H140*MIN(U140,AB140)/1000</f>
        <v>198.088855822627</v>
      </c>
      <c r="AK140" s="10">
        <f>MAX(AI140/'Parametros'!$B$6-AJ140,0)</f>
        <v>227.831144177373</v>
      </c>
      <c r="AL140" s="10">
        <f>0.66*SQRT('Parametros'!$B$2)*H140*MIN(U140,AB140)/1000</f>
        <v>769.050852017258</v>
      </c>
      <c r="AM140" s="10" t="str">
        <f>IF(AK140&lt;=AL140,"CUMPLE","NO CUMPLE")</f>
        <v>CUMPLE</v>
      </c>
      <c r="AN140" s="17" t="inlineStr">
        <is>
          <t>Nº4 cerrado</t>
        </is>
      </c>
      <c r="AO140" s="31" t="n">
        <v>2</v>
      </c>
      <c r="AP140" s="10">
        <f>ROUNDDOWN(MIN(IF(BC140+BD140=0,1000000000,AO140*BB140/(BC140+BD140)),MIN(U140,AB140)/4,8*'Parametros'!$B$12,24*BA140,300,IF(AV140=0,1000000000,2*((H140-2*('Parametros'!$B$7+'Parametros'!$B$9/2))+(I140-2*('Parametros'!$B$7+'Parametros'!$B$9/2)))/8))/10,0)*10</f>
        <v>110</v>
      </c>
      <c r="AQ140" s="10">
        <f>ROUNDDOWN(MIN(IF(BC140+BD140=0,1000000000,AO140*BB140/(BC140+BD140)),IF(AK140&gt;0.33*SQRT('Parametros'!$B$2)*H140*MIN(U140,AB140)/1000,MIN(U140,AB140)/4,MIN(U140,AB140)/2),600,IF(AV140=0,1000000000,2*((H140-2*('Parametros'!$B$7+'Parametros'!$B$9/2))+(I140-2*('Parametros'!$B$7+'Parametros'!$B$9/2)))/8))/10,0)*10</f>
        <v>110</v>
      </c>
      <c r="AR140" s="10">
        <f>'Parametros'!$B$6*(AJ140+MAX(BE140-BD140,0)*'Parametros'!$B$4*MIN(U140,AB140)/1000)</f>
        <v>334.304045441292</v>
      </c>
      <c r="AS140" s="10" t="str">
        <f>IF(AND(ISERROR(SEARCH("referencia",AN140)),AM140="CUMPLE",AR140&gt;=AI140),"CUMPLE","NO CUMPLE")</f>
        <v>CUMPLE</v>
      </c>
      <c r="AT140" s="10">
        <f>'Parametros'!$B$6*0.083*SQRT('Parametros'!$B$2)*(H140*I140)^2/(2*(H140+I140))/1000000</f>
        <v>10.0887830333379</v>
      </c>
      <c r="AU140" s="10" t="str">
        <f>IF(Q140&lt;=AT140,"DESPRECIABLE","DISEÑAR")</f>
        <v>DISEÑAR</v>
      </c>
      <c r="AV140" s="10">
        <f>IF(Q140&lt;=AT140,0,Q140*1000000/('Parametros'!$B$6*2*0.85*(H140-2*('Parametros'!$B$7+'Parametros'!$B$9/2))*(I140-2*('Parametros'!$B$7+'Parametros'!$B$9/2))*'Parametros'!$B$4))</f>
        <v>0.570251998353519</v>
      </c>
      <c r="AW140" s="10">
        <f>AV140*2*((H140-2*('Parametros'!$B$7+'Parametros'!$B$9/2))+(I140-2*('Parametros'!$B$7+'Parametros'!$B$9/2)))*'Parametros'!$B$4/'Parametros'!$B$3</f>
        <v>929.054555717553</v>
      </c>
      <c r="AX140" s="31" t="n">
        <v>8</v>
      </c>
      <c r="AY140" s="10" t="str">
        <f>IF(AV140=0,"DESPRECIABLE",IF(AND(ISERROR(SEARCH("referencia",AN140)),BB140/AP140&gt;=AV140,BI140&gt;=AW140,BH140="CUMPLE"),"CUMPLE","NO CUMPLE"))</f>
        <v>CUMPLE</v>
      </c>
      <c r="AZ140" s="10" t="str">
        <f>IF(AND(X140="CUMPLE",AE140="CUMPLE",AS140="CUMPLE",OR(AY140="CUMPLE",AY140="DESPRECIABLE"),BH140="CUMPLE",BJ140="CUMPLE"),"CUMPLE","NO CUMPLE")</f>
        <v>CUMPLE</v>
      </c>
      <c r="BA140" s="32" t="n">
        <v>12.7</v>
      </c>
      <c r="BB140" s="32" t="n">
        <v>129</v>
      </c>
      <c r="BC140" s="10">
        <f>MAX(IF(AK140=0,0,AK140*1000/('Parametros'!$B$4*MIN(U140,AB140))),MAX(0.062*SQRT('Parametros'!$B$2)*H140/'Parametros'!$B$4,0.35*H140/'Parametros'!$B$4))</f>
        <v>1.10852172306983</v>
      </c>
      <c r="BD140" s="10">
        <f>2*AV140</f>
        <v>1.14050399670704</v>
      </c>
      <c r="BE140" s="10">
        <f>AO140*BB140/AP140</f>
        <v>2.34545454545455</v>
      </c>
      <c r="BF140" s="10">
        <f>SQRT((AI140*1000/(H140*MIN(U140,AB140)))^2+(Q140*1000000*2*((H140-2*('Parametros'!$B$7+'Parametros'!$B$9/2))+(I140-2*('Parametros'!$B$7+'Parametros'!$B$9/2)))/(1.7*((H140-2*('Parametros'!$B$7+'Parametros'!$B$9/2))*(I140-2*('Parametros'!$B$7+'Parametros'!$B$9/2)))^2))^2)</f>
        <v>2.30485099562367</v>
      </c>
      <c r="BG140" s="10">
        <f>'Parametros'!$B$6*(AJ140*1000/(H140*MIN(U140,AB140))+0.66*SQRT('Parametros'!$B$2))</f>
        <v>3.29396038227542</v>
      </c>
      <c r="BH140" s="10" t="str">
        <f>IF(BF140&lt;=BG140,"CUMPLE","NO CUMPLE")</f>
        <v>CUMPLE</v>
      </c>
      <c r="BI140" s="10">
        <f>AX140*'Parametros'!$B$8</f>
        <v>1592</v>
      </c>
      <c r="BJ140" s="10" t="str">
        <f>IF(BI140&gt;=AW140,"CUMPLE","NO CUMPLE")</f>
        <v>CUMPLE</v>
      </c>
    </row>
    <row r="141">
      <c r="A141" s="15" t="inlineStr">
        <is>
          <t>VC5</t>
        </is>
      </c>
      <c r="B141" s="15" t="inlineStr">
        <is>
          <t>822</t>
        </is>
      </c>
      <c r="C141" s="10" t="n">
        <v>1</v>
      </c>
      <c r="D141" s="10" t="n">
        <v>3.3</v>
      </c>
      <c r="E141" s="10" t="n">
        <v>3.3</v>
      </c>
      <c r="F141" s="10" t="n">
        <v>450</v>
      </c>
      <c r="G141" s="10" t="n">
        <v>550</v>
      </c>
      <c r="H141" s="17" t="n">
        <v>450</v>
      </c>
      <c r="I141" s="17" t="n">
        <v>550</v>
      </c>
      <c r="J141" s="30" t="n">
        <v>168.9031</v>
      </c>
      <c r="K141" s="10" t="inlineStr">
        <is>
          <t>822</t>
        </is>
      </c>
      <c r="L141" s="30" t="n">
        <v>104.1618</v>
      </c>
      <c r="M141" s="10" t="inlineStr">
        <is>
          <t>822</t>
        </is>
      </c>
      <c r="N141" s="30" t="n">
        <v>125.967</v>
      </c>
      <c r="O141" s="30" t="n">
        <v>383.549</v>
      </c>
      <c r="P141" s="10" t="inlineStr">
        <is>
          <t>822</t>
        </is>
      </c>
      <c r="Q141" s="30" t="n">
        <v>80.81010000000001</v>
      </c>
      <c r="R141" s="10">
        <f>MAX(MAX(1.4/'Parametros'!$B$3,0.25*SQRT('Parametros'!$B$2)/'Parametros'!$B$3)*H141*U141,(0.85*'Parametros'!$B$2/'Parametros'!$B$3)*(1-SQRT(1-2*(J141*1000000/('Parametros'!$B$5*H141*U141^2))/(0.85*'Parametros'!$B$2)))*H141*U141)</f>
        <v>949.219607235003</v>
      </c>
      <c r="S141" s="31" t="n">
        <v>5</v>
      </c>
      <c r="T141" s="32" t="n">
        <v>1</v>
      </c>
      <c r="U141" s="10">
        <f>IF(T141=1,I141-('Parametros'!$B$7+'Parametros'!$B$9+'Parametros'!$B$12/2),I141-(ROUNDUP(S141/2,0)*('Parametros'!$B$7+'Parametros'!$B$9+'Parametros'!$B$12/2)+ROUNDDOWN(S141/2,0)*('Parametros'!$B$7+'Parametros'!$B$9+'Parametros'!$B$12/2+'Parametros'!$B$12+'Parametros'!$B$10))/S141)</f>
        <v>489.35</v>
      </c>
      <c r="V141" s="10">
        <f>S141*'Parametros'!$B$8</f>
        <v>995</v>
      </c>
      <c r="W141" s="10">
        <f>'Parametros'!$B$5*V141*'Parametros'!$B$3*(U141-(V141*'Parametros'!$B$3/(0.85*'Parametros'!$B$2*H141))/2)/1000000</f>
        <v>176.711596147059</v>
      </c>
      <c r="X141" s="10" t="str">
        <f>IF(W141&gt;=J141,"CUMPLE","NO CUMPLE")</f>
        <v>CUMPLE</v>
      </c>
      <c r="Y141" s="10">
        <f>MAX(MAX(1.4/'Parametros'!$B$3,0.25*SQRT('Parametros'!$B$2)/'Parametros'!$B$3)*H141*AB141,(0.85*'Parametros'!$B$2/'Parametros'!$B$3)*(1-SQRT(1-2*(L141*1000000/('Parametros'!$B$5*H141*AB141^2))/(0.85*'Parametros'!$B$2)))*H141*AB141)</f>
        <v>734.025</v>
      </c>
      <c r="Z141" s="31" t="n">
        <v>4</v>
      </c>
      <c r="AA141" s="32" t="n">
        <v>1</v>
      </c>
      <c r="AB141" s="10">
        <f>IF(AA141=1,I141-('Parametros'!$B$7+'Parametros'!$B$9+'Parametros'!$B$12/2),I141-(ROUNDUP(Z141/2,0)*('Parametros'!$B$7+'Parametros'!$B$9+'Parametros'!$B$12/2)+ROUNDDOWN(Z141/2,0)*('Parametros'!$B$7+'Parametros'!$B$9+'Parametros'!$B$12/2+'Parametros'!$B$12+'Parametros'!$B$10))/Z141)</f>
        <v>489.35</v>
      </c>
      <c r="AC141" s="10">
        <f>Z141*'Parametros'!$B$8</f>
        <v>796</v>
      </c>
      <c r="AD141" s="10">
        <f>'Parametros'!$B$5*AC141*'Parametros'!$B$3*(AB141-(AC141*'Parametros'!$B$3/(0.85*'Parametros'!$B$2*H141))/2)/1000000</f>
        <v>142.543330094118</v>
      </c>
      <c r="AE141" s="10" t="str">
        <f>IF(AD141&gt;=L141,"CUMPLE","NO CUMPLE")</f>
        <v>CUMPLE</v>
      </c>
      <c r="AF141" s="10">
        <f>V141*1.25*'Parametros'!$B$3*(U141-(V141*1.25*'Parametros'!$B$3/(0.85*'Parametros'!$B$2*H141))/2)/1000000</f>
        <v>242.884913970588</v>
      </c>
      <c r="AG141" s="10">
        <f>AC141*1.25*'Parametros'!$B$3*(AB141-(AC141*1.25*'Parametros'!$B$3/(0.85*'Parametros'!$B$2*H141))/2)/1000000</f>
        <v>196.346217941176</v>
      </c>
      <c r="AH141" s="10">
        <f>N141+(AF141+AG141)/D141</f>
        <v>259.067343003565</v>
      </c>
      <c r="AI141" s="10">
        <f>MAX(O141,AH141)</f>
        <v>383.549</v>
      </c>
      <c r="AJ141" s="10">
        <f>0.17*SQRT('Parametros'!$B$2)*H141*MIN(U141,AB141)/1000</f>
        <v>198.088855822627</v>
      </c>
      <c r="AK141" s="10">
        <f>MAX(AI141/'Parametros'!$B$6-AJ141,0)</f>
        <v>313.30981084404</v>
      </c>
      <c r="AL141" s="10">
        <f>0.66*SQRT('Parametros'!$B$2)*H141*MIN(U141,AB141)/1000</f>
        <v>769.050852017258</v>
      </c>
      <c r="AM141" s="10" t="str">
        <f>IF(AK141&lt;=AL141,"CUMPLE","NO CUMPLE")</f>
        <v>CUMPLE</v>
      </c>
      <c r="AN141" s="17" t="inlineStr">
        <is>
          <t>Nº4 cerrado</t>
        </is>
      </c>
      <c r="AO141" s="31" t="n">
        <v>4</v>
      </c>
      <c r="AP141" s="10">
        <f>ROUNDDOWN(MIN(IF(BC141+BD141=0,1000000000,AO141*BB141/(BC141+BD141)),MIN(U141,AB141)/4,8*'Parametros'!$B$12,24*BA141,300,IF(AV141=0,1000000000,2*((H141-2*('Parametros'!$B$7+'Parametros'!$B$9/2))+(I141-2*('Parametros'!$B$7+'Parametros'!$B$9/2)))/8))/10,0)*10</f>
        <v>120</v>
      </c>
      <c r="AQ141" s="10">
        <f>ROUNDDOWN(MIN(IF(BC141+BD141=0,1000000000,AO141*BB141/(BC141+BD141)),IF(AK141&gt;0.33*SQRT('Parametros'!$B$2)*H141*MIN(U141,AB141)/1000,MIN(U141,AB141)/4,MIN(U141,AB141)/2),600,IF(AV141=0,1000000000,2*((H141-2*('Parametros'!$B$7+'Parametros'!$B$9/2))+(I141-2*('Parametros'!$B$7+'Parametros'!$B$9/2)))/8))/10,0)*10</f>
        <v>150</v>
      </c>
      <c r="AR141" s="10">
        <f>'Parametros'!$B$6*(AJ141+MAX(BE141-BD141,0)*'Parametros'!$B$4*MIN(U141,AB141)/1000)</f>
        <v>526.661960705169</v>
      </c>
      <c r="AS141" s="10" t="str">
        <f>IF(AND(ISERROR(SEARCH("referencia",AN141)),AM141="CUMPLE",AR141&gt;=AI141),"CUMPLE","NO CUMPLE")</f>
        <v>CUMPLE</v>
      </c>
      <c r="AT141" s="10">
        <f>'Parametros'!$B$6*0.083*SQRT('Parametros'!$B$2)*(H141*I141)^2/(2*(H141+I141))/1000000</f>
        <v>10.0887830333379</v>
      </c>
      <c r="AU141" s="10" t="str">
        <f>IF(Q141&lt;=AT141,"DESPRECIABLE","DISEÑAR")</f>
        <v>DISEÑAR</v>
      </c>
      <c r="AV141" s="10">
        <f>IF(Q141&lt;=AT141,0,Q141*1000000/('Parametros'!$B$6*2*0.85*(H141-2*('Parametros'!$B$7+'Parametros'!$B$9/2))*(I141-2*('Parametros'!$B$7+'Parametros'!$B$9/2))*'Parametros'!$B$4))</f>
        <v>0.92357453817682</v>
      </c>
      <c r="AW141" s="10">
        <f>AV141*2*((H141-2*('Parametros'!$B$7+'Parametros'!$B$9/2))+(I141-2*('Parametros'!$B$7+'Parametros'!$B$9/2)))*'Parametros'!$B$4/'Parametros'!$B$3</f>
        <v>1504.68763759767</v>
      </c>
      <c r="AX141" s="31" t="n">
        <v>8</v>
      </c>
      <c r="AY141" s="10" t="str">
        <f>IF(AV141=0,"DESPRECIABLE",IF(AND(ISERROR(SEARCH("referencia",AN141)),BB141/AP141&gt;=AV141,BI141&gt;=AW141,BH141="CUMPLE"),"CUMPLE","NO CUMPLE"))</f>
        <v>NO CUMPLE</v>
      </c>
      <c r="AZ141" s="10" t="str">
        <f>IF(AND(X141="CUMPLE",AE141="CUMPLE",AS141="CUMPLE",OR(AY141="CUMPLE",AY141="DESPRECIABLE"),BH141="CUMPLE",BJ141="CUMPLE"),"CUMPLE","NO CUMPLE")</f>
        <v>NO CUMPLE</v>
      </c>
      <c r="BA141" s="32" t="n">
        <v>12.7</v>
      </c>
      <c r="BB141" s="32" t="n">
        <v>129</v>
      </c>
      <c r="BC141" s="10">
        <f>MAX(IF(AK141=0,0,AK141*1000/('Parametros'!$B$4*MIN(U141,AB141))),MAX(0.062*SQRT('Parametros'!$B$2)*H141/'Parametros'!$B$4,0.35*H141/'Parametros'!$B$4))</f>
        <v>1.52442166160183</v>
      </c>
      <c r="BD141" s="10">
        <f>2*AV141</f>
        <v>1.84714907635364</v>
      </c>
      <c r="BE141" s="10">
        <f>AO141*BB141/AP141</f>
        <v>4.3</v>
      </c>
      <c r="BF141" s="10">
        <f>SQRT((AI141*1000/(H141*MIN(U141,AB141)))^2+(Q141*1000000*2*((H141-2*('Parametros'!$B$7+'Parametros'!$B$9/2))+(I141-2*('Parametros'!$B$7+'Parametros'!$B$9/2)))/(1.7*((H141-2*('Parametros'!$B$7+'Parametros'!$B$9/2))*(I141-2*('Parametros'!$B$7+'Parametros'!$B$9/2)))^2))^2)</f>
        <v>3.38357275608148</v>
      </c>
      <c r="BG141" s="10">
        <f>'Parametros'!$B$6*(AJ141*1000/(H141*MIN(U141,AB141))+0.66*SQRT('Parametros'!$B$2))</f>
        <v>3.29396038227542</v>
      </c>
      <c r="BH141" s="10" t="str">
        <f>IF(BF141&lt;=BG141,"CUMPLE","NO CUMPLE")</f>
        <v>NO CUMPLE</v>
      </c>
      <c r="BI141" s="10">
        <f>AX141*'Parametros'!$B$8</f>
        <v>1592</v>
      </c>
      <c r="BJ141" s="10" t="str">
        <f>IF(BI141&gt;=AW141,"CUMPLE","NO CUMPLE")</f>
        <v>CUMPLE</v>
      </c>
    </row>
    <row r="142">
      <c r="A142" s="15" t="inlineStr">
        <is>
          <t>VC5</t>
        </is>
      </c>
      <c r="B142" s="15" t="inlineStr">
        <is>
          <t>823</t>
        </is>
      </c>
      <c r="C142" s="10" t="n">
        <v>1</v>
      </c>
      <c r="D142" s="10" t="n">
        <v>3.3</v>
      </c>
      <c r="E142" s="10" t="n">
        <v>3.3</v>
      </c>
      <c r="F142" s="10" t="n">
        <v>450</v>
      </c>
      <c r="G142" s="10" t="n">
        <v>550</v>
      </c>
      <c r="H142" s="17" t="n">
        <v>450</v>
      </c>
      <c r="I142" s="17" t="n">
        <v>550</v>
      </c>
      <c r="J142" s="30" t="n">
        <v>169.0281</v>
      </c>
      <c r="K142" s="10" t="inlineStr">
        <is>
          <t>823</t>
        </is>
      </c>
      <c r="L142" s="30" t="n">
        <v>104.205</v>
      </c>
      <c r="M142" s="10" t="inlineStr">
        <is>
          <t>823</t>
        </is>
      </c>
      <c r="N142" s="30" t="n">
        <v>126.06</v>
      </c>
      <c r="O142" s="30" t="n">
        <v>383.664</v>
      </c>
      <c r="P142" s="10" t="inlineStr">
        <is>
          <t>823</t>
        </is>
      </c>
      <c r="Q142" s="30" t="n">
        <v>80.8659</v>
      </c>
      <c r="R142" s="10">
        <f>MAX(MAX(1.4/'Parametros'!$B$3,0.25*SQRT('Parametros'!$B$2)/'Parametros'!$B$3)*H142*U142,(0.85*'Parametros'!$B$2/'Parametros'!$B$3)*(1-SQRT(1-2*(J142*1000000/('Parametros'!$B$5*H142*U142^2))/(0.85*'Parametros'!$B$2)))*H142*U142)</f>
        <v>949.951037276381</v>
      </c>
      <c r="S142" s="31" t="n">
        <v>5</v>
      </c>
      <c r="T142" s="32" t="n">
        <v>1</v>
      </c>
      <c r="U142" s="10">
        <f>IF(T142=1,I142-('Parametros'!$B$7+'Parametros'!$B$9+'Parametros'!$B$12/2),I142-(ROUNDUP(S142/2,0)*('Parametros'!$B$7+'Parametros'!$B$9+'Parametros'!$B$12/2)+ROUNDDOWN(S142/2,0)*('Parametros'!$B$7+'Parametros'!$B$9+'Parametros'!$B$12/2+'Parametros'!$B$12+'Parametros'!$B$10))/S142)</f>
        <v>489.35</v>
      </c>
      <c r="V142" s="10">
        <f>S142*'Parametros'!$B$8</f>
        <v>995</v>
      </c>
      <c r="W142" s="10">
        <f>'Parametros'!$B$5*V142*'Parametros'!$B$3*(U142-(V142*'Parametros'!$B$3/(0.85*'Parametros'!$B$2*H142))/2)/1000000</f>
        <v>176.711596147059</v>
      </c>
      <c r="X142" s="10" t="str">
        <f>IF(W142&gt;=J142,"CUMPLE","NO CUMPLE")</f>
        <v>CUMPLE</v>
      </c>
      <c r="Y142" s="10">
        <f>MAX(MAX(1.4/'Parametros'!$B$3,0.25*SQRT('Parametros'!$B$2)/'Parametros'!$B$3)*H142*AB142,(0.85*'Parametros'!$B$2/'Parametros'!$B$3)*(1-SQRT(1-2*(L142*1000000/('Parametros'!$B$5*H142*AB142^2))/(0.85*'Parametros'!$B$2)))*H142*AB142)</f>
        <v>734.025</v>
      </c>
      <c r="Z142" s="31" t="n">
        <v>4</v>
      </c>
      <c r="AA142" s="32" t="n">
        <v>1</v>
      </c>
      <c r="AB142" s="10">
        <f>IF(AA142=1,I142-('Parametros'!$B$7+'Parametros'!$B$9+'Parametros'!$B$12/2),I142-(ROUNDUP(Z142/2,0)*('Parametros'!$B$7+'Parametros'!$B$9+'Parametros'!$B$12/2)+ROUNDDOWN(Z142/2,0)*('Parametros'!$B$7+'Parametros'!$B$9+'Parametros'!$B$12/2+'Parametros'!$B$12+'Parametros'!$B$10))/Z142)</f>
        <v>489.35</v>
      </c>
      <c r="AC142" s="10">
        <f>Z142*'Parametros'!$B$8</f>
        <v>796</v>
      </c>
      <c r="AD142" s="10">
        <f>'Parametros'!$B$5*AC142*'Parametros'!$B$3*(AB142-(AC142*'Parametros'!$B$3/(0.85*'Parametros'!$B$2*H142))/2)/1000000</f>
        <v>142.543330094118</v>
      </c>
      <c r="AE142" s="10" t="str">
        <f>IF(AD142&gt;=L142,"CUMPLE","NO CUMPLE")</f>
        <v>CUMPLE</v>
      </c>
      <c r="AF142" s="10">
        <f>V142*1.25*'Parametros'!$B$3*(U142-(V142*1.25*'Parametros'!$B$3/(0.85*'Parametros'!$B$2*H142))/2)/1000000</f>
        <v>242.884913970588</v>
      </c>
      <c r="AG142" s="10">
        <f>AC142*1.25*'Parametros'!$B$3*(AB142-(AC142*1.25*'Parametros'!$B$3/(0.85*'Parametros'!$B$2*H142))/2)/1000000</f>
        <v>196.346217941176</v>
      </c>
      <c r="AH142" s="10">
        <f>N142+(AF142+AG142)/D142</f>
        <v>259.160343003565</v>
      </c>
      <c r="AI142" s="10">
        <f>MAX(O142,AH142)</f>
        <v>383.664</v>
      </c>
      <c r="AJ142" s="10">
        <f>0.17*SQRT('Parametros'!$B$2)*H142*MIN(U142,AB142)/1000</f>
        <v>198.088855822627</v>
      </c>
      <c r="AK142" s="10">
        <f>MAX(AI142/'Parametros'!$B$6-AJ142,0)</f>
        <v>313.463144177373</v>
      </c>
      <c r="AL142" s="10">
        <f>0.66*SQRT('Parametros'!$B$2)*H142*MIN(U142,AB142)/1000</f>
        <v>769.050852017258</v>
      </c>
      <c r="AM142" s="10" t="str">
        <f>IF(AK142&lt;=AL142,"CUMPLE","NO CUMPLE")</f>
        <v>CUMPLE</v>
      </c>
      <c r="AN142" s="17" t="inlineStr">
        <is>
          <t>Nº4 cerrado</t>
        </is>
      </c>
      <c r="AO142" s="31" t="n">
        <v>4</v>
      </c>
      <c r="AP142" s="10">
        <f>ROUNDDOWN(MIN(IF(BC142+BD142=0,1000000000,AO142*BB142/(BC142+BD142)),MIN(U142,AB142)/4,8*'Parametros'!$B$12,24*BA142,300,IF(AV142=0,1000000000,2*((H142-2*('Parametros'!$B$7+'Parametros'!$B$9/2))+(I142-2*('Parametros'!$B$7+'Parametros'!$B$9/2)))/8))/10,0)*10</f>
        <v>120</v>
      </c>
      <c r="AQ142" s="10">
        <f>ROUNDDOWN(MIN(IF(BC142+BD142=0,1000000000,AO142*BB142/(BC142+BD142)),IF(AK142&gt;0.33*SQRT('Parametros'!$B$2)*H142*MIN(U142,AB142)/1000,MIN(U142,AB142)/4,MIN(U142,AB142)/2),600,IF(AV142=0,1000000000,2*((H142-2*('Parametros'!$B$7+'Parametros'!$B$9/2))+(I142-2*('Parametros'!$B$7+'Parametros'!$B$9/2)))/8))/10,0)*10</f>
        <v>150</v>
      </c>
      <c r="AR142" s="10">
        <f>'Parametros'!$B$6*(AJ142+MAX(BE142-BD142,0)*'Parametros'!$B$4*MIN(U142,AB142)/1000)</f>
        <v>526.465352948295</v>
      </c>
      <c r="AS142" s="10" t="str">
        <f>IF(AND(ISERROR(SEARCH("referencia",AN142)),AM142="CUMPLE",AR142&gt;=AI142),"CUMPLE","NO CUMPLE")</f>
        <v>CUMPLE</v>
      </c>
      <c r="AT142" s="10">
        <f>'Parametros'!$B$6*0.083*SQRT('Parametros'!$B$2)*(H142*I142)^2/(2*(H142+I142))/1000000</f>
        <v>10.0887830333379</v>
      </c>
      <c r="AU142" s="10" t="str">
        <f>IF(Q142&lt;=AT142,"DESPRECIABLE","DISEÑAR")</f>
        <v>DISEÑAR</v>
      </c>
      <c r="AV142" s="10">
        <f>IF(Q142&lt;=AT142,0,Q142*1000000/('Parametros'!$B$6*2*0.85*(H142-2*('Parametros'!$B$7+'Parametros'!$B$9/2))*(I142-2*('Parametros'!$B$7+'Parametros'!$B$9/2))*'Parametros'!$B$4))</f>
        <v>0.924212273549382</v>
      </c>
      <c r="AW142" s="10">
        <f>AV142*2*((H142-2*('Parametros'!$B$7+'Parametros'!$B$9/2))+(I142-2*('Parametros'!$B$7+'Parametros'!$B$9/2)))*'Parametros'!$B$4/'Parametros'!$B$3</f>
        <v>1505.72663606665</v>
      </c>
      <c r="AX142" s="31" t="n">
        <v>8</v>
      </c>
      <c r="AY142" s="10" t="str">
        <f>IF(AV142=0,"DESPRECIABLE",IF(AND(ISERROR(SEARCH("referencia",AN142)),BB142/AP142&gt;=AV142,BI142&gt;=AW142,BH142="CUMPLE"),"CUMPLE","NO CUMPLE"))</f>
        <v>NO CUMPLE</v>
      </c>
      <c r="AZ142" s="10" t="str">
        <f>IF(AND(X142="CUMPLE",AE142="CUMPLE",AS142="CUMPLE",OR(AY142="CUMPLE",AY142="DESPRECIABLE"),BH142="CUMPLE",BJ142="CUMPLE"),"CUMPLE","NO CUMPLE")</f>
        <v>NO CUMPLE</v>
      </c>
      <c r="BA142" s="32" t="n">
        <v>12.7</v>
      </c>
      <c r="BB142" s="32" t="n">
        <v>129</v>
      </c>
      <c r="BC142" s="10">
        <f>MAX(IF(AK142=0,0,AK142*1000/('Parametros'!$B$4*MIN(U142,AB142))),MAX(0.062*SQRT('Parametros'!$B$2)*H142/'Parametros'!$B$4,0.35*H142/'Parametros'!$B$4))</f>
        <v>1.52516771118818</v>
      </c>
      <c r="BD142" s="10">
        <f>2*AV142</f>
        <v>1.84842454709876</v>
      </c>
      <c r="BE142" s="10">
        <f>AO142*BB142/AP142</f>
        <v>4.3</v>
      </c>
      <c r="BF142" s="10">
        <f>SQRT((AI142*1000/(H142*MIN(U142,AB142)))^2+(Q142*1000000*2*((H142-2*('Parametros'!$B$7+'Parametros'!$B$9/2))+(I142-2*('Parametros'!$B$7+'Parametros'!$B$9/2)))/(1.7*((H142-2*('Parametros'!$B$7+'Parametros'!$B$9/2))*(I142-2*('Parametros'!$B$7+'Parametros'!$B$9/2)))^2))^2)</f>
        <v>3.38555890643537</v>
      </c>
      <c r="BG142" s="10">
        <f>'Parametros'!$B$6*(AJ142*1000/(H142*MIN(U142,AB142))+0.66*SQRT('Parametros'!$B$2))</f>
        <v>3.29396038227542</v>
      </c>
      <c r="BH142" s="10" t="str">
        <f>IF(BF142&lt;=BG142,"CUMPLE","NO CUMPLE")</f>
        <v>NO CUMPLE</v>
      </c>
      <c r="BI142" s="10">
        <f>AX142*'Parametros'!$B$8</f>
        <v>1592</v>
      </c>
      <c r="BJ142" s="10" t="str">
        <f>IF(BI142&gt;=AW142,"CUMPLE","NO CUMPLE")</f>
        <v>CUMPLE</v>
      </c>
    </row>
    <row r="143">
      <c r="A143" s="15" t="inlineStr">
        <is>
          <t>VC5</t>
        </is>
      </c>
      <c r="B143" s="15" t="inlineStr">
        <is>
          <t>824</t>
        </is>
      </c>
      <c r="C143" s="10" t="n">
        <v>1</v>
      </c>
      <c r="D143" s="10" t="n">
        <v>3.25</v>
      </c>
      <c r="E143" s="10" t="n">
        <v>3.25</v>
      </c>
      <c r="F143" s="10" t="n">
        <v>450</v>
      </c>
      <c r="G143" s="10" t="n">
        <v>550</v>
      </c>
      <c r="H143" s="17" t="n">
        <v>450</v>
      </c>
      <c r="I143" s="17" t="n">
        <v>550</v>
      </c>
      <c r="J143" s="30" t="n">
        <v>135.3425</v>
      </c>
      <c r="K143" s="10" t="inlineStr">
        <is>
          <t>824</t>
        </is>
      </c>
      <c r="L143" s="30" t="n">
        <v>101.2238</v>
      </c>
      <c r="M143" s="10" t="inlineStr">
        <is>
          <t>824</t>
        </is>
      </c>
      <c r="N143" s="30" t="n">
        <v>84.23399999999999</v>
      </c>
      <c r="O143" s="30" t="n">
        <v>319.453</v>
      </c>
      <c r="P143" s="10" t="inlineStr">
        <is>
          <t>824</t>
        </is>
      </c>
      <c r="Q143" s="30" t="n">
        <v>49.8939</v>
      </c>
      <c r="R143" s="10">
        <f>MAX(MAX(1.4/'Parametros'!$B$3,0.25*SQRT('Parametros'!$B$2)/'Parametros'!$B$3)*H143*U143,(0.85*'Parametros'!$B$2/'Parametros'!$B$3)*(1-SQRT(1-2*(J143*1000000/('Parametros'!$B$5*H143*U143^2))/(0.85*'Parametros'!$B$2)))*H143*U143)</f>
        <v>754.492449491234</v>
      </c>
      <c r="S143" s="31" t="n">
        <v>4</v>
      </c>
      <c r="T143" s="32" t="n">
        <v>1</v>
      </c>
      <c r="U143" s="10">
        <f>IF(T143=1,I143-('Parametros'!$B$7+'Parametros'!$B$9+'Parametros'!$B$12/2),I143-(ROUNDUP(S143/2,0)*('Parametros'!$B$7+'Parametros'!$B$9+'Parametros'!$B$12/2)+ROUNDDOWN(S143/2,0)*('Parametros'!$B$7+'Parametros'!$B$9+'Parametros'!$B$12/2+'Parametros'!$B$12+'Parametros'!$B$10))/S143)</f>
        <v>489.35</v>
      </c>
      <c r="V143" s="10">
        <f>S143*'Parametros'!$B$8</f>
        <v>796</v>
      </c>
      <c r="W143" s="10">
        <f>'Parametros'!$B$5*V143*'Parametros'!$B$3*(U143-(V143*'Parametros'!$B$3/(0.85*'Parametros'!$B$2*H143))/2)/1000000</f>
        <v>142.543330094118</v>
      </c>
      <c r="X143" s="10" t="str">
        <f>IF(W143&gt;=J143,"CUMPLE","NO CUMPLE")</f>
        <v>CUMPLE</v>
      </c>
      <c r="Y143" s="10">
        <f>MAX(MAX(1.4/'Parametros'!$B$3,0.25*SQRT('Parametros'!$B$2)/'Parametros'!$B$3)*H143*AB143,(0.85*'Parametros'!$B$2/'Parametros'!$B$3)*(1-SQRT(1-2*(L143*1000000/('Parametros'!$B$5*H143*AB143^2))/(0.85*'Parametros'!$B$2)))*H143*AB143)</f>
        <v>734.025</v>
      </c>
      <c r="Z143" s="31" t="n">
        <v>4</v>
      </c>
      <c r="AA143" s="32" t="n">
        <v>1</v>
      </c>
      <c r="AB143" s="10">
        <f>IF(AA143=1,I143-('Parametros'!$B$7+'Parametros'!$B$9+'Parametros'!$B$12/2),I143-(ROUNDUP(Z143/2,0)*('Parametros'!$B$7+'Parametros'!$B$9+'Parametros'!$B$12/2)+ROUNDDOWN(Z143/2,0)*('Parametros'!$B$7+'Parametros'!$B$9+'Parametros'!$B$12/2+'Parametros'!$B$12+'Parametros'!$B$10))/Z143)</f>
        <v>489.35</v>
      </c>
      <c r="AC143" s="10">
        <f>Z143*'Parametros'!$B$8</f>
        <v>796</v>
      </c>
      <c r="AD143" s="10">
        <f>'Parametros'!$B$5*AC143*'Parametros'!$B$3*(AB143-(AC143*'Parametros'!$B$3/(0.85*'Parametros'!$B$2*H143))/2)/1000000</f>
        <v>142.543330094118</v>
      </c>
      <c r="AE143" s="10" t="str">
        <f>IF(AD143&gt;=L143,"CUMPLE","NO CUMPLE")</f>
        <v>CUMPLE</v>
      </c>
      <c r="AF143" s="10">
        <f>V143*1.25*'Parametros'!$B$3*(U143-(V143*1.25*'Parametros'!$B$3/(0.85*'Parametros'!$B$2*H143))/2)/1000000</f>
        <v>196.346217941176</v>
      </c>
      <c r="AG143" s="10">
        <f>AC143*1.25*'Parametros'!$B$3*(AB143-(AC143*1.25*'Parametros'!$B$3/(0.85*'Parametros'!$B$2*H143))/2)/1000000</f>
        <v>196.346217941176</v>
      </c>
      <c r="AH143" s="10">
        <f>N143+(AF143+AG143)/D143</f>
        <v>205.062441809955</v>
      </c>
      <c r="AI143" s="10">
        <f>MAX(O143,AH143)</f>
        <v>319.453</v>
      </c>
      <c r="AJ143" s="10">
        <f>0.17*SQRT('Parametros'!$B$2)*H143*MIN(U143,AB143)/1000</f>
        <v>198.088855822627</v>
      </c>
      <c r="AK143" s="10">
        <f>MAX(AI143/'Parametros'!$B$6-AJ143,0)</f>
        <v>227.848477510706</v>
      </c>
      <c r="AL143" s="10">
        <f>0.66*SQRT('Parametros'!$B$2)*H143*MIN(U143,AB143)/1000</f>
        <v>769.050852017258</v>
      </c>
      <c r="AM143" s="10" t="str">
        <f>IF(AK143&lt;=AL143,"CUMPLE","NO CUMPLE")</f>
        <v>CUMPLE</v>
      </c>
      <c r="AN143" s="17" t="inlineStr">
        <is>
          <t>Nº4 cerrado</t>
        </is>
      </c>
      <c r="AO143" s="31" t="n">
        <v>2</v>
      </c>
      <c r="AP143" s="10">
        <f>ROUNDDOWN(MIN(IF(BC143+BD143=0,1000000000,AO143*BB143/(BC143+BD143)),MIN(U143,AB143)/4,8*'Parametros'!$B$12,24*BA143,300,IF(AV143=0,1000000000,2*((H143-2*('Parametros'!$B$7+'Parametros'!$B$9/2))+(I143-2*('Parametros'!$B$7+'Parametros'!$B$9/2)))/8))/10,0)*10</f>
        <v>110</v>
      </c>
      <c r="AQ143" s="10">
        <f>ROUNDDOWN(MIN(IF(BC143+BD143=0,1000000000,AO143*BB143/(BC143+BD143)),IF(AK143&gt;0.33*SQRT('Parametros'!$B$2)*H143*MIN(U143,AB143)/1000,MIN(U143,AB143)/4,MIN(U143,AB143)/2),600,IF(AV143=0,1000000000,2*((H143-2*('Parametros'!$B$7+'Parametros'!$B$9/2))+(I143-2*('Parametros'!$B$7+'Parametros'!$B$9/2)))/8))/10,0)*10</f>
        <v>110</v>
      </c>
      <c r="AR143" s="10">
        <f>'Parametros'!$B$6*(AJ143+MAX(BE143-BD143,0)*'Parametros'!$B$4*MIN(U143,AB143)/1000)</f>
        <v>334.309330596047</v>
      </c>
      <c r="AS143" s="10" t="str">
        <f>IF(AND(ISERROR(SEARCH("referencia",AN143)),AM143="CUMPLE",AR143&gt;=AI143),"CUMPLE","NO CUMPLE")</f>
        <v>CUMPLE</v>
      </c>
      <c r="AT143" s="10">
        <f>'Parametros'!$B$6*0.083*SQRT('Parametros'!$B$2)*(H143*I143)^2/(2*(H143+I143))/1000000</f>
        <v>10.0887830333379</v>
      </c>
      <c r="AU143" s="10" t="str">
        <f>IF(Q143&lt;=AT143,"DESPRECIABLE","DISEÑAR")</f>
        <v>DISEÑAR</v>
      </c>
      <c r="AV143" s="10">
        <f>IF(Q143&lt;=AT143,0,Q143*1000000/('Parametros'!$B$6*2*0.85*(H143-2*('Parametros'!$B$7+'Parametros'!$B$9/2))*(I143-2*('Parametros'!$B$7+'Parametros'!$B$9/2))*'Parametros'!$B$4))</f>
        <v>0.570234854929525</v>
      </c>
      <c r="AW143" s="10">
        <f>AV143*2*((H143-2*('Parametros'!$B$7+'Parametros'!$B$9/2))+(I143-2*('Parametros'!$B$7+'Parametros'!$B$9/2)))*'Parametros'!$B$4/'Parametros'!$B$3</f>
        <v>929.026625651182</v>
      </c>
      <c r="AX143" s="31" t="n">
        <v>8</v>
      </c>
      <c r="AY143" s="10" t="str">
        <f>IF(AV143=0,"DESPRECIABLE",IF(AND(ISERROR(SEARCH("referencia",AN143)),BB143/AP143&gt;=AV143,BI143&gt;=AW143,BH143="CUMPLE"),"CUMPLE","NO CUMPLE"))</f>
        <v>CUMPLE</v>
      </c>
      <c r="AZ143" s="10" t="str">
        <f>IF(AND(X143="CUMPLE",AE143="CUMPLE",AS143="CUMPLE",OR(AY143="CUMPLE",AY143="DESPRECIABLE"),BH143="CUMPLE",BJ143="CUMPLE"),"CUMPLE","NO CUMPLE")</f>
        <v>CUMPLE</v>
      </c>
      <c r="BA143" s="32" t="n">
        <v>12.7</v>
      </c>
      <c r="BB143" s="32" t="n">
        <v>129</v>
      </c>
      <c r="BC143" s="10">
        <f>MAX(IF(AK143=0,0,AK143*1000/('Parametros'!$B$4*MIN(U143,AB143))),MAX(0.062*SQRT('Parametros'!$B$2)*H143/'Parametros'!$B$4,0.35*H143/'Parametros'!$B$4))</f>
        <v>1.10860605911003</v>
      </c>
      <c r="BD143" s="10">
        <f>2*AV143</f>
        <v>1.14046970985905</v>
      </c>
      <c r="BE143" s="10">
        <f>AO143*BB143/AP143</f>
        <v>2.34545454545455</v>
      </c>
      <c r="BF143" s="10">
        <f>SQRT((AI143*1000/(H143*MIN(U143,AB143)))^2+(Q143*1000000*2*((H143-2*('Parametros'!$B$7+'Parametros'!$B$9/2))+(I143-2*('Parametros'!$B$7+'Parametros'!$B$9/2)))/(1.7*((H143-2*('Parametros'!$B$7+'Parametros'!$B$9/2))*(I143-2*('Parametros'!$B$7+'Parametros'!$B$9/2)))^2))^2)</f>
        <v>2.30484630969726</v>
      </c>
      <c r="BG143" s="10">
        <f>'Parametros'!$B$6*(AJ143*1000/(H143*MIN(U143,AB143))+0.66*SQRT('Parametros'!$B$2))</f>
        <v>3.29396038227542</v>
      </c>
      <c r="BH143" s="10" t="str">
        <f>IF(BF143&lt;=BG143,"CUMPLE","NO CUMPLE")</f>
        <v>CUMPLE</v>
      </c>
      <c r="BI143" s="10">
        <f>AX143*'Parametros'!$B$8</f>
        <v>1592</v>
      </c>
      <c r="BJ143" s="10" t="str">
        <f>IF(BI143&gt;=AW143,"CUMPLE","NO CUMPLE")</f>
        <v>CUMPLE</v>
      </c>
    </row>
    <row r="144">
      <c r="A144" s="15" t="inlineStr">
        <is>
          <t>VC5</t>
        </is>
      </c>
      <c r="B144" s="15" t="inlineStr">
        <is>
          <t>841</t>
        </is>
      </c>
      <c r="C144" s="10" t="n">
        <v>1</v>
      </c>
      <c r="D144" s="10" t="n">
        <v>3.25</v>
      </c>
      <c r="E144" s="10" t="n">
        <v>3.25</v>
      </c>
      <c r="F144" s="10" t="n">
        <v>450</v>
      </c>
      <c r="G144" s="10" t="n">
        <v>550</v>
      </c>
      <c r="H144" s="17" t="n">
        <v>450</v>
      </c>
      <c r="I144" s="17" t="n">
        <v>550</v>
      </c>
      <c r="J144" s="30" t="n">
        <v>135.3403</v>
      </c>
      <c r="K144" s="10" t="inlineStr">
        <is>
          <t>841</t>
        </is>
      </c>
      <c r="L144" s="30" t="n">
        <v>101.2347</v>
      </c>
      <c r="M144" s="10" t="inlineStr">
        <is>
          <t>841</t>
        </is>
      </c>
      <c r="N144" s="30" t="n">
        <v>84.223</v>
      </c>
      <c r="O144" s="30" t="n">
        <v>319.454</v>
      </c>
      <c r="P144" s="10" t="inlineStr">
        <is>
          <t>841</t>
        </is>
      </c>
      <c r="Q144" s="30" t="n">
        <v>49.8818</v>
      </c>
      <c r="R144" s="10">
        <f>MAX(MAX(1.4/'Parametros'!$B$3,0.25*SQRT('Parametros'!$B$2)/'Parametros'!$B$3)*H144*U144,(0.85*'Parametros'!$B$2/'Parametros'!$B$3)*(1-SQRT(1-2*(J144*1000000/('Parametros'!$B$5*H144*U144^2))/(0.85*'Parametros'!$B$2)))*H144*U144)</f>
        <v>754.479790546154</v>
      </c>
      <c r="S144" s="31" t="n">
        <v>4</v>
      </c>
      <c r="T144" s="32" t="n">
        <v>1</v>
      </c>
      <c r="U144" s="10">
        <f>IF(T144=1,I144-('Parametros'!$B$7+'Parametros'!$B$9+'Parametros'!$B$12/2),I144-(ROUNDUP(S144/2,0)*('Parametros'!$B$7+'Parametros'!$B$9+'Parametros'!$B$12/2)+ROUNDDOWN(S144/2,0)*('Parametros'!$B$7+'Parametros'!$B$9+'Parametros'!$B$12/2+'Parametros'!$B$12+'Parametros'!$B$10))/S144)</f>
        <v>489.35</v>
      </c>
      <c r="V144" s="10">
        <f>S144*'Parametros'!$B$8</f>
        <v>796</v>
      </c>
      <c r="W144" s="10">
        <f>'Parametros'!$B$5*V144*'Parametros'!$B$3*(U144-(V144*'Parametros'!$B$3/(0.85*'Parametros'!$B$2*H144))/2)/1000000</f>
        <v>142.543330094118</v>
      </c>
      <c r="X144" s="10" t="str">
        <f>IF(W144&gt;=J144,"CUMPLE","NO CUMPLE")</f>
        <v>CUMPLE</v>
      </c>
      <c r="Y144" s="10">
        <f>MAX(MAX(1.4/'Parametros'!$B$3,0.25*SQRT('Parametros'!$B$2)/'Parametros'!$B$3)*H144*AB144,(0.85*'Parametros'!$B$2/'Parametros'!$B$3)*(1-SQRT(1-2*(L144*1000000/('Parametros'!$B$5*H144*AB144^2))/(0.85*'Parametros'!$B$2)))*H144*AB144)</f>
        <v>734.025</v>
      </c>
      <c r="Z144" s="31" t="n">
        <v>4</v>
      </c>
      <c r="AA144" s="32" t="n">
        <v>1</v>
      </c>
      <c r="AB144" s="10">
        <f>IF(AA144=1,I144-('Parametros'!$B$7+'Parametros'!$B$9+'Parametros'!$B$12/2),I144-(ROUNDUP(Z144/2,0)*('Parametros'!$B$7+'Parametros'!$B$9+'Parametros'!$B$12/2)+ROUNDDOWN(Z144/2,0)*('Parametros'!$B$7+'Parametros'!$B$9+'Parametros'!$B$12/2+'Parametros'!$B$12+'Parametros'!$B$10))/Z144)</f>
        <v>489.35</v>
      </c>
      <c r="AC144" s="10">
        <f>Z144*'Parametros'!$B$8</f>
        <v>796</v>
      </c>
      <c r="AD144" s="10">
        <f>'Parametros'!$B$5*AC144*'Parametros'!$B$3*(AB144-(AC144*'Parametros'!$B$3/(0.85*'Parametros'!$B$2*H144))/2)/1000000</f>
        <v>142.543330094118</v>
      </c>
      <c r="AE144" s="10" t="str">
        <f>IF(AD144&gt;=L144,"CUMPLE","NO CUMPLE")</f>
        <v>CUMPLE</v>
      </c>
      <c r="AF144" s="10">
        <f>V144*1.25*'Parametros'!$B$3*(U144-(V144*1.25*'Parametros'!$B$3/(0.85*'Parametros'!$B$2*H144))/2)/1000000</f>
        <v>196.346217941176</v>
      </c>
      <c r="AG144" s="10">
        <f>AC144*1.25*'Parametros'!$B$3*(AB144-(AC144*1.25*'Parametros'!$B$3/(0.85*'Parametros'!$B$2*H144))/2)/1000000</f>
        <v>196.346217941176</v>
      </c>
      <c r="AH144" s="10">
        <f>N144+(AF144+AG144)/D144</f>
        <v>205.051441809955</v>
      </c>
      <c r="AI144" s="10">
        <f>MAX(O144,AH144)</f>
        <v>319.454</v>
      </c>
      <c r="AJ144" s="10">
        <f>0.17*SQRT('Parametros'!$B$2)*H144*MIN(U144,AB144)/1000</f>
        <v>198.088855822627</v>
      </c>
      <c r="AK144" s="10">
        <f>MAX(AI144/'Parametros'!$B$6-AJ144,0)</f>
        <v>227.84981084404</v>
      </c>
      <c r="AL144" s="10">
        <f>0.66*SQRT('Parametros'!$B$2)*H144*MIN(U144,AB144)/1000</f>
        <v>769.050852017258</v>
      </c>
      <c r="AM144" s="10" t="str">
        <f>IF(AK144&lt;=AL144,"CUMPLE","NO CUMPLE")</f>
        <v>CUMPLE</v>
      </c>
      <c r="AN144" s="17" t="inlineStr">
        <is>
          <t>Nº4 cerrado</t>
        </is>
      </c>
      <c r="AO144" s="31" t="n">
        <v>2</v>
      </c>
      <c r="AP144" s="10">
        <f>ROUNDDOWN(MIN(IF(BC144+BD144=0,1000000000,AO144*BB144/(BC144+BD144)),MIN(U144,AB144)/4,8*'Parametros'!$B$12,24*BA144,300,IF(AV144=0,1000000000,2*((H144-2*('Parametros'!$B$7+'Parametros'!$B$9/2))+(I144-2*('Parametros'!$B$7+'Parametros'!$B$9/2)))/8))/10,0)*10</f>
        <v>110</v>
      </c>
      <c r="AQ144" s="10">
        <f>ROUNDDOWN(MIN(IF(BC144+BD144=0,1000000000,AO144*BB144/(BC144+BD144)),IF(AK144&gt;0.33*SQRT('Parametros'!$B$2)*H144*MIN(U144,AB144)/1000,MIN(U144,AB144)/4,MIN(U144,AB144)/2),600,IF(AV144=0,1000000000,2*((H144-2*('Parametros'!$B$7+'Parametros'!$B$9/2))+(I144-2*('Parametros'!$B$7+'Parametros'!$B$9/2)))/8))/10,0)*10</f>
        <v>110</v>
      </c>
      <c r="AR144" s="10">
        <f>'Parametros'!$B$6*(AJ144+MAX(BE144-BD144,0)*'Parametros'!$B$4*MIN(U144,AB144)/1000)</f>
        <v>334.351964177735</v>
      </c>
      <c r="AS144" s="10" t="str">
        <f>IF(AND(ISERROR(SEARCH("referencia",AN144)),AM144="CUMPLE",AR144&gt;=AI144),"CUMPLE","NO CUMPLE")</f>
        <v>CUMPLE</v>
      </c>
      <c r="AT144" s="10">
        <f>'Parametros'!$B$6*0.083*SQRT('Parametros'!$B$2)*(H144*I144)^2/(2*(H144+I144))/1000000</f>
        <v>10.0887830333379</v>
      </c>
      <c r="AU144" s="10" t="str">
        <f>IF(Q144&lt;=AT144,"DESPRECIABLE","DISEÑAR")</f>
        <v>DISEÑAR</v>
      </c>
      <c r="AV144" s="10">
        <f>IF(Q144&lt;=AT144,0,Q144*1000000/('Parametros'!$B$6*2*0.85*(H144-2*('Parametros'!$B$7+'Parametros'!$B$9/2))*(I144-2*('Parametros'!$B$7+'Parametros'!$B$9/2))*'Parametros'!$B$4))</f>
        <v>0.570096564642643</v>
      </c>
      <c r="AW144" s="10">
        <f>AV144*2*((H144-2*('Parametros'!$B$7+'Parametros'!$B$9/2))+(I144-2*('Parametros'!$B$7+'Parametros'!$B$9/2)))*'Parametros'!$B$4/'Parametros'!$B$3</f>
        <v>928.801323115795</v>
      </c>
      <c r="AX144" s="31" t="n">
        <v>8</v>
      </c>
      <c r="AY144" s="10" t="str">
        <f>IF(AV144=0,"DESPRECIABLE",IF(AND(ISERROR(SEARCH("referencia",AN144)),BB144/AP144&gt;=AV144,BI144&gt;=AW144,BH144="CUMPLE"),"CUMPLE","NO CUMPLE"))</f>
        <v>CUMPLE</v>
      </c>
      <c r="AZ144" s="10" t="str">
        <f>IF(AND(X144="CUMPLE",AE144="CUMPLE",AS144="CUMPLE",OR(AY144="CUMPLE",AY144="DESPRECIABLE"),BH144="CUMPLE",BJ144="CUMPLE"),"CUMPLE","NO CUMPLE")</f>
        <v>CUMPLE</v>
      </c>
      <c r="BA144" s="32" t="n">
        <v>12.7</v>
      </c>
      <c r="BB144" s="32" t="n">
        <v>129</v>
      </c>
      <c r="BC144" s="10">
        <f>MAX(IF(AK144=0,0,AK144*1000/('Parametros'!$B$4*MIN(U144,AB144))),MAX(0.062*SQRT('Parametros'!$B$2)*H144/'Parametros'!$B$4,0.35*H144/'Parametros'!$B$4))</f>
        <v>1.10861254649773</v>
      </c>
      <c r="BD144" s="10">
        <f>2*AV144</f>
        <v>1.14019312928529</v>
      </c>
      <c r="BE144" s="10">
        <f>AO144*BB144/AP144</f>
        <v>2.34545454545455</v>
      </c>
      <c r="BF144" s="10">
        <f>SQRT((AI144*1000/(H144*MIN(U144,AB144)))^2+(Q144*1000000*2*((H144-2*('Parametros'!$B$7+'Parametros'!$B$9/2))+(I144-2*('Parametros'!$B$7+'Parametros'!$B$9/2)))/(1.7*((H144-2*('Parametros'!$B$7+'Parametros'!$B$9/2))*(I144-2*('Parametros'!$B$7+'Parametros'!$B$9/2)))^2))^2)</f>
        <v>2.30451166036932</v>
      </c>
      <c r="BG144" s="10">
        <f>'Parametros'!$B$6*(AJ144*1000/(H144*MIN(U144,AB144))+0.66*SQRT('Parametros'!$B$2))</f>
        <v>3.29396038227542</v>
      </c>
      <c r="BH144" s="10" t="str">
        <f>IF(BF144&lt;=BG144,"CUMPLE","NO CUMPLE")</f>
        <v>CUMPLE</v>
      </c>
      <c r="BI144" s="10">
        <f>AX144*'Parametros'!$B$8</f>
        <v>1592</v>
      </c>
      <c r="BJ144" s="10" t="str">
        <f>IF(BI144&gt;=AW144,"CUMPLE","NO CUMPLE")</f>
        <v>CUMPLE</v>
      </c>
    </row>
    <row r="145">
      <c r="A145" s="15" t="inlineStr">
        <is>
          <t>VC5</t>
        </is>
      </c>
      <c r="B145" s="15" t="inlineStr">
        <is>
          <t>842</t>
        </is>
      </c>
      <c r="C145" s="10" t="n">
        <v>1</v>
      </c>
      <c r="D145" s="10" t="n">
        <v>3.3</v>
      </c>
      <c r="E145" s="10" t="n">
        <v>3.3</v>
      </c>
      <c r="F145" s="10" t="n">
        <v>450</v>
      </c>
      <c r="G145" s="10" t="n">
        <v>550</v>
      </c>
      <c r="H145" s="17" t="n">
        <v>450</v>
      </c>
      <c r="I145" s="17" t="n">
        <v>550</v>
      </c>
      <c r="J145" s="30" t="n">
        <v>169.0495</v>
      </c>
      <c r="K145" s="10" t="inlineStr">
        <is>
          <t>842</t>
        </is>
      </c>
      <c r="L145" s="30" t="n">
        <v>104.1942</v>
      </c>
      <c r="M145" s="10" t="inlineStr">
        <is>
          <t>842</t>
        </is>
      </c>
      <c r="N145" s="30" t="n">
        <v>126.107</v>
      </c>
      <c r="O145" s="30" t="n">
        <v>383.726</v>
      </c>
      <c r="P145" s="10" t="inlineStr">
        <is>
          <t>842</t>
        </is>
      </c>
      <c r="Q145" s="30" t="n">
        <v>80.9049</v>
      </c>
      <c r="R145" s="10">
        <f>MAX(MAX(1.4/'Parametros'!$B$3,0.25*SQRT('Parametros'!$B$2)/'Parametros'!$B$3)*H145*U145,(0.85*'Parametros'!$B$2/'Parametros'!$B$3)*(1-SQRT(1-2*(J145*1000000/('Parametros'!$B$5*H145*U145^2))/(0.85*'Parametros'!$B$2)))*H145*U145)</f>
        <v>950.076262751932</v>
      </c>
      <c r="S145" s="31" t="n">
        <v>5</v>
      </c>
      <c r="T145" s="32" t="n">
        <v>1</v>
      </c>
      <c r="U145" s="10">
        <f>IF(T145=1,I145-('Parametros'!$B$7+'Parametros'!$B$9+'Parametros'!$B$12/2),I145-(ROUNDUP(S145/2,0)*('Parametros'!$B$7+'Parametros'!$B$9+'Parametros'!$B$12/2)+ROUNDDOWN(S145/2,0)*('Parametros'!$B$7+'Parametros'!$B$9+'Parametros'!$B$12/2+'Parametros'!$B$12+'Parametros'!$B$10))/S145)</f>
        <v>489.35</v>
      </c>
      <c r="V145" s="10">
        <f>S145*'Parametros'!$B$8</f>
        <v>995</v>
      </c>
      <c r="W145" s="10">
        <f>'Parametros'!$B$5*V145*'Parametros'!$B$3*(U145-(V145*'Parametros'!$B$3/(0.85*'Parametros'!$B$2*H145))/2)/1000000</f>
        <v>176.711596147059</v>
      </c>
      <c r="X145" s="10" t="str">
        <f>IF(W145&gt;=J145,"CUMPLE","NO CUMPLE")</f>
        <v>CUMPLE</v>
      </c>
      <c r="Y145" s="10">
        <f>MAX(MAX(1.4/'Parametros'!$B$3,0.25*SQRT('Parametros'!$B$2)/'Parametros'!$B$3)*H145*AB145,(0.85*'Parametros'!$B$2/'Parametros'!$B$3)*(1-SQRT(1-2*(L145*1000000/('Parametros'!$B$5*H145*AB145^2))/(0.85*'Parametros'!$B$2)))*H145*AB145)</f>
        <v>734.025</v>
      </c>
      <c r="Z145" s="31" t="n">
        <v>4</v>
      </c>
      <c r="AA145" s="32" t="n">
        <v>1</v>
      </c>
      <c r="AB145" s="10">
        <f>IF(AA145=1,I145-('Parametros'!$B$7+'Parametros'!$B$9+'Parametros'!$B$12/2),I145-(ROUNDUP(Z145/2,0)*('Parametros'!$B$7+'Parametros'!$B$9+'Parametros'!$B$12/2)+ROUNDDOWN(Z145/2,0)*('Parametros'!$B$7+'Parametros'!$B$9+'Parametros'!$B$12/2+'Parametros'!$B$12+'Parametros'!$B$10))/Z145)</f>
        <v>489.35</v>
      </c>
      <c r="AC145" s="10">
        <f>Z145*'Parametros'!$B$8</f>
        <v>796</v>
      </c>
      <c r="AD145" s="10">
        <f>'Parametros'!$B$5*AC145*'Parametros'!$B$3*(AB145-(AC145*'Parametros'!$B$3/(0.85*'Parametros'!$B$2*H145))/2)/1000000</f>
        <v>142.543330094118</v>
      </c>
      <c r="AE145" s="10" t="str">
        <f>IF(AD145&gt;=L145,"CUMPLE","NO CUMPLE")</f>
        <v>CUMPLE</v>
      </c>
      <c r="AF145" s="10">
        <f>V145*1.25*'Parametros'!$B$3*(U145-(V145*1.25*'Parametros'!$B$3/(0.85*'Parametros'!$B$2*H145))/2)/1000000</f>
        <v>242.884913970588</v>
      </c>
      <c r="AG145" s="10">
        <f>AC145*1.25*'Parametros'!$B$3*(AB145-(AC145*1.25*'Parametros'!$B$3/(0.85*'Parametros'!$B$2*H145))/2)/1000000</f>
        <v>196.346217941176</v>
      </c>
      <c r="AH145" s="10">
        <f>N145+(AF145+AG145)/D145</f>
        <v>259.207343003565</v>
      </c>
      <c r="AI145" s="10">
        <f>MAX(O145,AH145)</f>
        <v>383.726</v>
      </c>
      <c r="AJ145" s="10">
        <f>0.17*SQRT('Parametros'!$B$2)*H145*MIN(U145,AB145)/1000</f>
        <v>198.088855822627</v>
      </c>
      <c r="AK145" s="10">
        <f>MAX(AI145/'Parametros'!$B$6-AJ145,0)</f>
        <v>313.54581084404</v>
      </c>
      <c r="AL145" s="10">
        <f>0.66*SQRT('Parametros'!$B$2)*H145*MIN(U145,AB145)/1000</f>
        <v>769.050852017258</v>
      </c>
      <c r="AM145" s="10" t="str">
        <f>IF(AK145&lt;=AL145,"CUMPLE","NO CUMPLE")</f>
        <v>CUMPLE</v>
      </c>
      <c r="AN145" s="17" t="inlineStr">
        <is>
          <t>Nº4 cerrado</t>
        </is>
      </c>
      <c r="AO145" s="31" t="n">
        <v>4</v>
      </c>
      <c r="AP145" s="10">
        <f>ROUNDDOWN(MIN(IF(BC145+BD145=0,1000000000,AO145*BB145/(BC145+BD145)),MIN(U145,AB145)/4,8*'Parametros'!$B$12,24*BA145,300,IF(AV145=0,1000000000,2*((H145-2*('Parametros'!$B$7+'Parametros'!$B$9/2))+(I145-2*('Parametros'!$B$7+'Parametros'!$B$9/2)))/8))/10,0)*10</f>
        <v>120</v>
      </c>
      <c r="AQ145" s="10">
        <f>ROUNDDOWN(MIN(IF(BC145+BD145=0,1000000000,AO145*BB145/(BC145+BD145)),IF(AK145&gt;0.33*SQRT('Parametros'!$B$2)*H145*MIN(U145,AB145)/1000,MIN(U145,AB145)/4,MIN(U145,AB145)/2),600,IF(AV145=0,1000000000,2*((H145-2*('Parametros'!$B$7+'Parametros'!$B$9/2))+(I145-2*('Parametros'!$B$7+'Parametros'!$B$9/2)))/8))/10,0)*10</f>
        <v>150</v>
      </c>
      <c r="AR145" s="10">
        <f>'Parametros'!$B$6*(AJ145+MAX(BE145-BD145,0)*'Parametros'!$B$4*MIN(U145,AB145)/1000)</f>
        <v>526.327938924672</v>
      </c>
      <c r="AS145" s="10" t="str">
        <f>IF(AND(ISERROR(SEARCH("referencia",AN145)),AM145="CUMPLE",AR145&gt;=AI145),"CUMPLE","NO CUMPLE")</f>
        <v>CUMPLE</v>
      </c>
      <c r="AT145" s="10">
        <f>'Parametros'!$B$6*0.083*SQRT('Parametros'!$B$2)*(H145*I145)^2/(2*(H145+I145))/1000000</f>
        <v>10.0887830333379</v>
      </c>
      <c r="AU145" s="10" t="str">
        <f>IF(Q145&lt;=AT145,"DESPRECIABLE","DISEÑAR")</f>
        <v>DISEÑAR</v>
      </c>
      <c r="AV145" s="10">
        <f>IF(Q145&lt;=AT145,0,Q145*1000000/('Parametros'!$B$6*2*0.85*(H145-2*('Parametros'!$B$7+'Parametros'!$B$9/2))*(I145-2*('Parametros'!$B$7+'Parametros'!$B$9/2))*'Parametros'!$B$4))</f>
        <v>0.924658002573215</v>
      </c>
      <c r="AW145" s="10">
        <f>AV145*2*((H145-2*('Parametros'!$B$7+'Parametros'!$B$9/2))+(I145-2*('Parametros'!$B$7+'Parametros'!$B$9/2)))*'Parametros'!$B$4/'Parametros'!$B$3</f>
        <v>1506.45281779228</v>
      </c>
      <c r="AX145" s="31" t="n">
        <v>8</v>
      </c>
      <c r="AY145" s="10" t="str">
        <f>IF(AV145=0,"DESPRECIABLE",IF(AND(ISERROR(SEARCH("referencia",AN145)),BB145/AP145&gt;=AV145,BI145&gt;=AW145,BH145="CUMPLE"),"CUMPLE","NO CUMPLE"))</f>
        <v>NO CUMPLE</v>
      </c>
      <c r="AZ145" s="10" t="str">
        <f>IF(AND(X145="CUMPLE",AE145="CUMPLE",AS145="CUMPLE",OR(AY145="CUMPLE",AY145="DESPRECIABLE"),BH145="CUMPLE",BJ145="CUMPLE"),"CUMPLE","NO CUMPLE")</f>
        <v>NO CUMPLE</v>
      </c>
      <c r="BA145" s="32" t="n">
        <v>12.7</v>
      </c>
      <c r="BB145" s="32" t="n">
        <v>129</v>
      </c>
      <c r="BC145" s="10">
        <f>MAX(IF(AK145=0,0,AK145*1000/('Parametros'!$B$4*MIN(U145,AB145))),MAX(0.062*SQRT('Parametros'!$B$2)*H145/'Parametros'!$B$4,0.35*H145/'Parametros'!$B$4))</f>
        <v>1.52556992922604</v>
      </c>
      <c r="BD145" s="10">
        <f>2*AV145</f>
        <v>1.84931600514643</v>
      </c>
      <c r="BE145" s="10">
        <f>AO145*BB145/AP145</f>
        <v>4.3</v>
      </c>
      <c r="BF145" s="10">
        <f>SQRT((AI145*1000/(H145*MIN(U145,AB145)))^2+(Q145*1000000*2*((H145-2*('Parametros'!$B$7+'Parametros'!$B$9/2))+(I145-2*('Parametros'!$B$7+'Parametros'!$B$9/2)))/(1.7*((H145-2*('Parametros'!$B$7+'Parametros'!$B$9/2))*(I145-2*('Parametros'!$B$7+'Parametros'!$B$9/2)))^2))^2)</f>
        <v>3.38690419973234</v>
      </c>
      <c r="BG145" s="10">
        <f>'Parametros'!$B$6*(AJ145*1000/(H145*MIN(U145,AB145))+0.66*SQRT('Parametros'!$B$2))</f>
        <v>3.29396038227542</v>
      </c>
      <c r="BH145" s="10" t="str">
        <f>IF(BF145&lt;=BG145,"CUMPLE","NO CUMPLE")</f>
        <v>NO CUMPLE</v>
      </c>
      <c r="BI145" s="10">
        <f>AX145*'Parametros'!$B$8</f>
        <v>1592</v>
      </c>
      <c r="BJ145" s="10" t="str">
        <f>IF(BI145&gt;=AW145,"CUMPLE","NO CUMPLE")</f>
        <v>CUMPLE</v>
      </c>
    </row>
    <row r="146">
      <c r="A146" s="15" t="inlineStr">
        <is>
          <t>VC5</t>
        </is>
      </c>
      <c r="B146" s="15" t="inlineStr">
        <is>
          <t>843</t>
        </is>
      </c>
      <c r="C146" s="10" t="n">
        <v>1</v>
      </c>
      <c r="D146" s="10" t="n">
        <v>3.3</v>
      </c>
      <c r="E146" s="10" t="n">
        <v>3.3</v>
      </c>
      <c r="F146" s="10" t="n">
        <v>450</v>
      </c>
      <c r="G146" s="10" t="n">
        <v>550</v>
      </c>
      <c r="H146" s="17" t="n">
        <v>450</v>
      </c>
      <c r="I146" s="17" t="n">
        <v>550</v>
      </c>
      <c r="J146" s="30" t="n">
        <v>168.9351</v>
      </c>
      <c r="K146" s="10" t="inlineStr">
        <is>
          <t>843</t>
        </is>
      </c>
      <c r="L146" s="30" t="n">
        <v>104.1822</v>
      </c>
      <c r="M146" s="10" t="inlineStr">
        <is>
          <t>843</t>
        </is>
      </c>
      <c r="N146" s="30" t="n">
        <v>126.002</v>
      </c>
      <c r="O146" s="30" t="n">
        <v>383.601</v>
      </c>
      <c r="P146" s="10" t="inlineStr">
        <is>
          <t>843</t>
        </is>
      </c>
      <c r="Q146" s="30" t="n">
        <v>80.8402</v>
      </c>
      <c r="R146" s="10">
        <f>MAX(MAX(1.4/'Parametros'!$B$3,0.25*SQRT('Parametros'!$B$2)/'Parametros'!$B$3)*H146*U146,(0.85*'Parametros'!$B$2/'Parametros'!$B$3)*(1-SQRT(1-2*(J146*1000000/('Parametros'!$B$5*H146*U146^2))/(0.85*'Parametros'!$B$2)))*H146*U146)</f>
        <v>949.406848906471</v>
      </c>
      <c r="S146" s="31" t="n">
        <v>5</v>
      </c>
      <c r="T146" s="32" t="n">
        <v>1</v>
      </c>
      <c r="U146" s="10">
        <f>IF(T146=1,I146-('Parametros'!$B$7+'Parametros'!$B$9+'Parametros'!$B$12/2),I146-(ROUNDUP(S146/2,0)*('Parametros'!$B$7+'Parametros'!$B$9+'Parametros'!$B$12/2)+ROUNDDOWN(S146/2,0)*('Parametros'!$B$7+'Parametros'!$B$9+'Parametros'!$B$12/2+'Parametros'!$B$12+'Parametros'!$B$10))/S146)</f>
        <v>489.35</v>
      </c>
      <c r="V146" s="10">
        <f>S146*'Parametros'!$B$8</f>
        <v>995</v>
      </c>
      <c r="W146" s="10">
        <f>'Parametros'!$B$5*V146*'Parametros'!$B$3*(U146-(V146*'Parametros'!$B$3/(0.85*'Parametros'!$B$2*H146))/2)/1000000</f>
        <v>176.711596147059</v>
      </c>
      <c r="X146" s="10" t="str">
        <f>IF(W146&gt;=J146,"CUMPLE","NO CUMPLE")</f>
        <v>CUMPLE</v>
      </c>
      <c r="Y146" s="10">
        <f>MAX(MAX(1.4/'Parametros'!$B$3,0.25*SQRT('Parametros'!$B$2)/'Parametros'!$B$3)*H146*AB146,(0.85*'Parametros'!$B$2/'Parametros'!$B$3)*(1-SQRT(1-2*(L146*1000000/('Parametros'!$B$5*H146*AB146^2))/(0.85*'Parametros'!$B$2)))*H146*AB146)</f>
        <v>734.025</v>
      </c>
      <c r="Z146" s="31" t="n">
        <v>4</v>
      </c>
      <c r="AA146" s="32" t="n">
        <v>1</v>
      </c>
      <c r="AB146" s="10">
        <f>IF(AA146=1,I146-('Parametros'!$B$7+'Parametros'!$B$9+'Parametros'!$B$12/2),I146-(ROUNDUP(Z146/2,0)*('Parametros'!$B$7+'Parametros'!$B$9+'Parametros'!$B$12/2)+ROUNDDOWN(Z146/2,0)*('Parametros'!$B$7+'Parametros'!$B$9+'Parametros'!$B$12/2+'Parametros'!$B$12+'Parametros'!$B$10))/Z146)</f>
        <v>489.35</v>
      </c>
      <c r="AC146" s="10">
        <f>Z146*'Parametros'!$B$8</f>
        <v>796</v>
      </c>
      <c r="AD146" s="10">
        <f>'Parametros'!$B$5*AC146*'Parametros'!$B$3*(AB146-(AC146*'Parametros'!$B$3/(0.85*'Parametros'!$B$2*H146))/2)/1000000</f>
        <v>142.543330094118</v>
      </c>
      <c r="AE146" s="10" t="str">
        <f>IF(AD146&gt;=L146,"CUMPLE","NO CUMPLE")</f>
        <v>CUMPLE</v>
      </c>
      <c r="AF146" s="10">
        <f>V146*1.25*'Parametros'!$B$3*(U146-(V146*1.25*'Parametros'!$B$3/(0.85*'Parametros'!$B$2*H146))/2)/1000000</f>
        <v>242.884913970588</v>
      </c>
      <c r="AG146" s="10">
        <f>AC146*1.25*'Parametros'!$B$3*(AB146-(AC146*1.25*'Parametros'!$B$3/(0.85*'Parametros'!$B$2*H146))/2)/1000000</f>
        <v>196.346217941176</v>
      </c>
      <c r="AH146" s="10">
        <f>N146+(AF146+AG146)/D146</f>
        <v>259.102343003565</v>
      </c>
      <c r="AI146" s="10">
        <f>MAX(O146,AH146)</f>
        <v>383.601</v>
      </c>
      <c r="AJ146" s="10">
        <f>0.17*SQRT('Parametros'!$B$2)*H146*MIN(U146,AB146)/1000</f>
        <v>198.088855822627</v>
      </c>
      <c r="AK146" s="10">
        <f>MAX(AI146/'Parametros'!$B$6-AJ146,0)</f>
        <v>313.379144177373</v>
      </c>
      <c r="AL146" s="10">
        <f>0.66*SQRT('Parametros'!$B$2)*H146*MIN(U146,AB146)/1000</f>
        <v>769.050852017258</v>
      </c>
      <c r="AM146" s="10" t="str">
        <f>IF(AK146&lt;=AL146,"CUMPLE","NO CUMPLE")</f>
        <v>CUMPLE</v>
      </c>
      <c r="AN146" s="17" t="inlineStr">
        <is>
          <t>Nº4 cerrado</t>
        </is>
      </c>
      <c r="AO146" s="31" t="n">
        <v>4</v>
      </c>
      <c r="AP146" s="10">
        <f>ROUNDDOWN(MIN(IF(BC146+BD146=0,1000000000,AO146*BB146/(BC146+BD146)),MIN(U146,AB146)/4,8*'Parametros'!$B$12,24*BA146,300,IF(AV146=0,1000000000,2*((H146-2*('Parametros'!$B$7+'Parametros'!$B$9/2))+(I146-2*('Parametros'!$B$7+'Parametros'!$B$9/2)))/8))/10,0)*10</f>
        <v>120</v>
      </c>
      <c r="AQ146" s="10">
        <f>ROUNDDOWN(MIN(IF(BC146+BD146=0,1000000000,AO146*BB146/(BC146+BD146)),IF(AK146&gt;0.33*SQRT('Parametros'!$B$2)*H146*MIN(U146,AB146)/1000,MIN(U146,AB146)/4,MIN(U146,AB146)/2),600,IF(AV146=0,1000000000,2*((H146-2*('Parametros'!$B$7+'Parametros'!$B$9/2))+(I146-2*('Parametros'!$B$7+'Parametros'!$B$9/2)))/8))/10,0)*10</f>
        <v>150</v>
      </c>
      <c r="AR146" s="10">
        <f>'Parametros'!$B$6*(AJ146+MAX(BE146-BD146,0)*'Parametros'!$B$4*MIN(U146,AB146)/1000)</f>
        <v>526.555905266425</v>
      </c>
      <c r="AS146" s="10" t="str">
        <f>IF(AND(ISERROR(SEARCH("referencia",AN146)),AM146="CUMPLE",AR146&gt;=AI146),"CUMPLE","NO CUMPLE")</f>
        <v>CUMPLE</v>
      </c>
      <c r="AT146" s="10">
        <f>'Parametros'!$B$6*0.083*SQRT('Parametros'!$B$2)*(H146*I146)^2/(2*(H146+I146))/1000000</f>
        <v>10.0887830333379</v>
      </c>
      <c r="AU146" s="10" t="str">
        <f>IF(Q146&lt;=AT146,"DESPRECIABLE","DISEÑAR")</f>
        <v>DISEÑAR</v>
      </c>
      <c r="AV146" s="10">
        <f>IF(Q146&lt;=AT146,0,Q146*1000000/('Parametros'!$B$6*2*0.85*(H146-2*('Parametros'!$B$7+'Parametros'!$B$9/2))*(I146-2*('Parametros'!$B$7+'Parametros'!$B$9/2))*'Parametros'!$B$4))</f>
        <v>0.923918549551625</v>
      </c>
      <c r="AW146" s="10">
        <f>AV146*2*((H146-2*('Parametros'!$B$7+'Parametros'!$B$9/2))+(I146-2*('Parametros'!$B$7+'Parametros'!$B$9/2)))*'Parametros'!$B$4/'Parametros'!$B$3</f>
        <v>1505.24810092951</v>
      </c>
      <c r="AX146" s="31" t="n">
        <v>8</v>
      </c>
      <c r="AY146" s="10" t="str">
        <f>IF(AV146=0,"DESPRECIABLE",IF(AND(ISERROR(SEARCH("referencia",AN146)),BB146/AP146&gt;=AV146,BI146&gt;=AW146,BH146="CUMPLE"),"CUMPLE","NO CUMPLE"))</f>
        <v>NO CUMPLE</v>
      </c>
      <c r="AZ146" s="10" t="str">
        <f>IF(AND(X146="CUMPLE",AE146="CUMPLE",AS146="CUMPLE",OR(AY146="CUMPLE",AY146="DESPRECIABLE"),BH146="CUMPLE",BJ146="CUMPLE"),"CUMPLE","NO CUMPLE")</f>
        <v>NO CUMPLE</v>
      </c>
      <c r="BA146" s="32" t="n">
        <v>12.7</v>
      </c>
      <c r="BB146" s="32" t="n">
        <v>129</v>
      </c>
      <c r="BC146" s="10">
        <f>MAX(IF(AK146=0,0,AK146*1000/('Parametros'!$B$4*MIN(U146,AB146))),MAX(0.062*SQRT('Parametros'!$B$2)*H146/'Parametros'!$B$4,0.35*H146/'Parametros'!$B$4))</f>
        <v>1.52475900576262</v>
      </c>
      <c r="BD146" s="10">
        <f>2*AV146</f>
        <v>1.84783709910325</v>
      </c>
      <c r="BE146" s="10">
        <f>AO146*BB146/AP146</f>
        <v>4.3</v>
      </c>
      <c r="BF146" s="10">
        <f>SQRT((AI146*1000/(H146*MIN(U146,AB146)))^2+(Q146*1000000*2*((H146-2*('Parametros'!$B$7+'Parametros'!$B$9/2))+(I146-2*('Parametros'!$B$7+'Parametros'!$B$9/2)))/(1.7*((H146-2*('Parametros'!$B$7+'Parametros'!$B$9/2))*(I146-2*('Parametros'!$B$7+'Parametros'!$B$9/2)))^2))^2)</f>
        <v>3.38462067345007</v>
      </c>
      <c r="BG146" s="10">
        <f>'Parametros'!$B$6*(AJ146*1000/(H146*MIN(U146,AB146))+0.66*SQRT('Parametros'!$B$2))</f>
        <v>3.29396038227542</v>
      </c>
      <c r="BH146" s="10" t="str">
        <f>IF(BF146&lt;=BG146,"CUMPLE","NO CUMPLE")</f>
        <v>NO CUMPLE</v>
      </c>
      <c r="BI146" s="10">
        <f>AX146*'Parametros'!$B$8</f>
        <v>1592</v>
      </c>
      <c r="BJ146" s="10" t="str">
        <f>IF(BI146&gt;=AW146,"CUMPLE","NO CUMPLE")</f>
        <v>CUMPLE</v>
      </c>
    </row>
    <row r="147">
      <c r="A147" s="15" t="inlineStr">
        <is>
          <t>VC5</t>
        </is>
      </c>
      <c r="B147" s="15" t="inlineStr">
        <is>
          <t>844</t>
        </is>
      </c>
      <c r="C147" s="10" t="n">
        <v>1</v>
      </c>
      <c r="D147" s="10" t="n">
        <v>3.25</v>
      </c>
      <c r="E147" s="10" t="n">
        <v>3.25</v>
      </c>
      <c r="F147" s="10" t="n">
        <v>450</v>
      </c>
      <c r="G147" s="10" t="n">
        <v>550</v>
      </c>
      <c r="H147" s="17" t="n">
        <v>450</v>
      </c>
      <c r="I147" s="17" t="n">
        <v>550</v>
      </c>
      <c r="J147" s="30" t="n">
        <v>135.3221</v>
      </c>
      <c r="K147" s="10" t="inlineStr">
        <is>
          <t>844</t>
        </is>
      </c>
      <c r="L147" s="30" t="n">
        <v>101.2449</v>
      </c>
      <c r="M147" s="10" t="inlineStr">
        <is>
          <t>844</t>
        </is>
      </c>
      <c r="N147" s="30" t="n">
        <v>84.214</v>
      </c>
      <c r="O147" s="30" t="n">
        <v>319.445</v>
      </c>
      <c r="P147" s="10" t="inlineStr">
        <is>
          <t>844</t>
        </is>
      </c>
      <c r="Q147" s="30" t="n">
        <v>49.8833</v>
      </c>
      <c r="R147" s="10">
        <f>MAX(MAX(1.4/'Parametros'!$B$3,0.25*SQRT('Parametros'!$B$2)/'Parametros'!$B$3)*H147*U147,(0.85*'Parametros'!$B$2/'Parametros'!$B$3)*(1-SQRT(1-2*(J147*1000000/('Parametros'!$B$5*H147*U147^2))/(0.85*'Parametros'!$B$2)))*H147*U147)</f>
        <v>754.375067070195</v>
      </c>
      <c r="S147" s="31" t="n">
        <v>4</v>
      </c>
      <c r="T147" s="32" t="n">
        <v>1</v>
      </c>
      <c r="U147" s="10">
        <f>IF(T147=1,I147-('Parametros'!$B$7+'Parametros'!$B$9+'Parametros'!$B$12/2),I147-(ROUNDUP(S147/2,0)*('Parametros'!$B$7+'Parametros'!$B$9+'Parametros'!$B$12/2)+ROUNDDOWN(S147/2,0)*('Parametros'!$B$7+'Parametros'!$B$9+'Parametros'!$B$12/2+'Parametros'!$B$12+'Parametros'!$B$10))/S147)</f>
        <v>489.35</v>
      </c>
      <c r="V147" s="10">
        <f>S147*'Parametros'!$B$8</f>
        <v>796</v>
      </c>
      <c r="W147" s="10">
        <f>'Parametros'!$B$5*V147*'Parametros'!$B$3*(U147-(V147*'Parametros'!$B$3/(0.85*'Parametros'!$B$2*H147))/2)/1000000</f>
        <v>142.543330094118</v>
      </c>
      <c r="X147" s="10" t="str">
        <f>IF(W147&gt;=J147,"CUMPLE","NO CUMPLE")</f>
        <v>CUMPLE</v>
      </c>
      <c r="Y147" s="10">
        <f>MAX(MAX(1.4/'Parametros'!$B$3,0.25*SQRT('Parametros'!$B$2)/'Parametros'!$B$3)*H147*AB147,(0.85*'Parametros'!$B$2/'Parametros'!$B$3)*(1-SQRT(1-2*(L147*1000000/('Parametros'!$B$5*H147*AB147^2))/(0.85*'Parametros'!$B$2)))*H147*AB147)</f>
        <v>734.025</v>
      </c>
      <c r="Z147" s="31" t="n">
        <v>4</v>
      </c>
      <c r="AA147" s="32" t="n">
        <v>1</v>
      </c>
      <c r="AB147" s="10">
        <f>IF(AA147=1,I147-('Parametros'!$B$7+'Parametros'!$B$9+'Parametros'!$B$12/2),I147-(ROUNDUP(Z147/2,0)*('Parametros'!$B$7+'Parametros'!$B$9+'Parametros'!$B$12/2)+ROUNDDOWN(Z147/2,0)*('Parametros'!$B$7+'Parametros'!$B$9+'Parametros'!$B$12/2+'Parametros'!$B$12+'Parametros'!$B$10))/Z147)</f>
        <v>489.35</v>
      </c>
      <c r="AC147" s="10">
        <f>Z147*'Parametros'!$B$8</f>
        <v>796</v>
      </c>
      <c r="AD147" s="10">
        <f>'Parametros'!$B$5*AC147*'Parametros'!$B$3*(AB147-(AC147*'Parametros'!$B$3/(0.85*'Parametros'!$B$2*H147))/2)/1000000</f>
        <v>142.543330094118</v>
      </c>
      <c r="AE147" s="10" t="str">
        <f>IF(AD147&gt;=L147,"CUMPLE","NO CUMPLE")</f>
        <v>CUMPLE</v>
      </c>
      <c r="AF147" s="10">
        <f>V147*1.25*'Parametros'!$B$3*(U147-(V147*1.25*'Parametros'!$B$3/(0.85*'Parametros'!$B$2*H147))/2)/1000000</f>
        <v>196.346217941176</v>
      </c>
      <c r="AG147" s="10">
        <f>AC147*1.25*'Parametros'!$B$3*(AB147-(AC147*1.25*'Parametros'!$B$3/(0.85*'Parametros'!$B$2*H147))/2)/1000000</f>
        <v>196.346217941176</v>
      </c>
      <c r="AH147" s="10">
        <f>N147+(AF147+AG147)/D147</f>
        <v>205.042441809955</v>
      </c>
      <c r="AI147" s="10">
        <f>MAX(O147,AH147)</f>
        <v>319.445</v>
      </c>
      <c r="AJ147" s="10">
        <f>0.17*SQRT('Parametros'!$B$2)*H147*MIN(U147,AB147)/1000</f>
        <v>198.088855822627</v>
      </c>
      <c r="AK147" s="10">
        <f>MAX(AI147/'Parametros'!$B$6-AJ147,0)</f>
        <v>227.83781084404</v>
      </c>
      <c r="AL147" s="10">
        <f>0.66*SQRT('Parametros'!$B$2)*H147*MIN(U147,AB147)/1000</f>
        <v>769.050852017258</v>
      </c>
      <c r="AM147" s="10" t="str">
        <f>IF(AK147&lt;=AL147,"CUMPLE","NO CUMPLE")</f>
        <v>CUMPLE</v>
      </c>
      <c r="AN147" s="17" t="inlineStr">
        <is>
          <t>Nº4 cerrado</t>
        </is>
      </c>
      <c r="AO147" s="31" t="n">
        <v>2</v>
      </c>
      <c r="AP147" s="10">
        <f>ROUNDDOWN(MIN(IF(BC147+BD147=0,1000000000,AO147*BB147/(BC147+BD147)),MIN(U147,AB147)/4,8*'Parametros'!$B$12,24*BA147,300,IF(AV147=0,1000000000,2*((H147-2*('Parametros'!$B$7+'Parametros'!$B$9/2))+(I147-2*('Parametros'!$B$7+'Parametros'!$B$9/2)))/8))/10,0)*10</f>
        <v>110</v>
      </c>
      <c r="AQ147" s="10">
        <f>ROUNDDOWN(MIN(IF(BC147+BD147=0,1000000000,AO147*BB147/(BC147+BD147)),IF(AK147&gt;0.33*SQRT('Parametros'!$B$2)*H147*MIN(U147,AB147)/1000,MIN(U147,AB147)/4,MIN(U147,AB147)/2),600,IF(AV147=0,1000000000,2*((H147-2*('Parametros'!$B$7+'Parametros'!$B$9/2))+(I147-2*('Parametros'!$B$7+'Parametros'!$B$9/2)))/8))/10,0)*10</f>
        <v>110</v>
      </c>
      <c r="AR147" s="10">
        <f>'Parametros'!$B$6*(AJ147+MAX(BE147-BD147,0)*'Parametros'!$B$4*MIN(U147,AB147)/1000)</f>
        <v>334.34667902298</v>
      </c>
      <c r="AS147" s="10" t="str">
        <f>IF(AND(ISERROR(SEARCH("referencia",AN147)),AM147="CUMPLE",AR147&gt;=AI147),"CUMPLE","NO CUMPLE")</f>
        <v>CUMPLE</v>
      </c>
      <c r="AT147" s="10">
        <f>'Parametros'!$B$6*0.083*SQRT('Parametros'!$B$2)*(H147*I147)^2/(2*(H147+I147))/1000000</f>
        <v>10.0887830333379</v>
      </c>
      <c r="AU147" s="10" t="str">
        <f>IF(Q147&lt;=AT147,"DESPRECIABLE","DISEÑAR")</f>
        <v>DISEÑAR</v>
      </c>
      <c r="AV147" s="10">
        <f>IF(Q147&lt;=AT147,0,Q147*1000000/('Parametros'!$B$6*2*0.85*(H147-2*('Parametros'!$B$7+'Parametros'!$B$9/2))*(I147-2*('Parametros'!$B$7+'Parametros'!$B$9/2))*'Parametros'!$B$4))</f>
        <v>0.570113708066637</v>
      </c>
      <c r="AW147" s="10">
        <f>AV147*2*((H147-2*('Parametros'!$B$7+'Parametros'!$B$9/2))+(I147-2*('Parametros'!$B$7+'Parametros'!$B$9/2)))*'Parametros'!$B$4/'Parametros'!$B$3</f>
        <v>928.829253182165</v>
      </c>
      <c r="AX147" s="31" t="n">
        <v>8</v>
      </c>
      <c r="AY147" s="10" t="str">
        <f>IF(AV147=0,"DESPRECIABLE",IF(AND(ISERROR(SEARCH("referencia",AN147)),BB147/AP147&gt;=AV147,BI147&gt;=AW147,BH147="CUMPLE"),"CUMPLE","NO CUMPLE"))</f>
        <v>CUMPLE</v>
      </c>
      <c r="AZ147" s="10" t="str">
        <f>IF(AND(X147="CUMPLE",AE147="CUMPLE",AS147="CUMPLE",OR(AY147="CUMPLE",AY147="DESPRECIABLE"),BH147="CUMPLE",BJ147="CUMPLE"),"CUMPLE","NO CUMPLE")</f>
        <v>CUMPLE</v>
      </c>
      <c r="BA147" s="32" t="n">
        <v>12.7</v>
      </c>
      <c r="BB147" s="32" t="n">
        <v>129</v>
      </c>
      <c r="BC147" s="10">
        <f>MAX(IF(AK147=0,0,AK147*1000/('Parametros'!$B$4*MIN(U147,AB147))),MAX(0.062*SQRT('Parametros'!$B$2)*H147/'Parametros'!$B$4,0.35*H147/'Parametros'!$B$4))</f>
        <v>1.10855416000837</v>
      </c>
      <c r="BD147" s="10">
        <f>2*AV147</f>
        <v>1.14022741613327</v>
      </c>
      <c r="BE147" s="10">
        <f>AO147*BB147/AP147</f>
        <v>2.34545454545455</v>
      </c>
      <c r="BF147" s="10">
        <f>SQRT((AI147*1000/(H147*MIN(U147,AB147)))^2+(Q147*1000000*2*((H147-2*('Parametros'!$B$7+'Parametros'!$B$9/2))+(I147-2*('Parametros'!$B$7+'Parametros'!$B$9/2)))/(1.7*((H147-2*('Parametros'!$B$7+'Parametros'!$B$9/2))*(I147-2*('Parametros'!$B$7+'Parametros'!$B$9/2)))^2))^2)</f>
        <v>2.30452777097701</v>
      </c>
      <c r="BG147" s="10">
        <f>'Parametros'!$B$6*(AJ147*1000/(H147*MIN(U147,AB147))+0.66*SQRT('Parametros'!$B$2))</f>
        <v>3.29396038227542</v>
      </c>
      <c r="BH147" s="10" t="str">
        <f>IF(BF147&lt;=BG147,"CUMPLE","NO CUMPLE")</f>
        <v>CUMPLE</v>
      </c>
      <c r="BI147" s="10">
        <f>AX147*'Parametros'!$B$8</f>
        <v>1592</v>
      </c>
      <c r="BJ147" s="10" t="str">
        <f>IF(BI147&gt;=AW147,"CUMPLE","NO CUMPLE")</f>
        <v>CUMPLE</v>
      </c>
    </row>
    <row r="148">
      <c r="A148" s="15" t="inlineStr">
        <is>
          <t>VC5</t>
        </is>
      </c>
      <c r="B148" s="15" t="inlineStr">
        <is>
          <t>915</t>
        </is>
      </c>
      <c r="C148" s="10" t="n">
        <v>1</v>
      </c>
      <c r="D148" s="10" t="n">
        <v>3.25</v>
      </c>
      <c r="E148" s="10" t="n">
        <v>3.25</v>
      </c>
      <c r="F148" s="10" t="n">
        <v>450</v>
      </c>
      <c r="G148" s="10" t="n">
        <v>550</v>
      </c>
      <c r="H148" s="17" t="n">
        <v>450</v>
      </c>
      <c r="I148" s="17" t="n">
        <v>550</v>
      </c>
      <c r="J148" s="30" t="n">
        <v>89.26009999999999</v>
      </c>
      <c r="K148" s="10" t="inlineStr">
        <is>
          <t>915</t>
        </is>
      </c>
      <c r="L148" s="30" t="n">
        <v>53.5791</v>
      </c>
      <c r="M148" s="10" t="inlineStr">
        <is>
          <t>915</t>
        </is>
      </c>
      <c r="N148" s="30" t="n">
        <v>60.751</v>
      </c>
      <c r="O148" s="30" t="n">
        <v>197.011</v>
      </c>
      <c r="P148" s="10" t="inlineStr">
        <is>
          <t>915</t>
        </is>
      </c>
      <c r="Q148" s="30" t="n">
        <v>31.4036</v>
      </c>
      <c r="R148" s="10">
        <f>MAX(MAX(1.4/'Parametros'!$B$3,0.25*SQRT('Parametros'!$B$2)/'Parametros'!$B$3)*H148*U148,(0.85*'Parametros'!$B$2/'Parametros'!$B$3)*(1-SQRT(1-2*(J148*1000000/('Parametros'!$B$5*H148*U148^2))/(0.85*'Parametros'!$B$2)))*H148*U148)</f>
        <v>734.025</v>
      </c>
      <c r="S148" s="31" t="n">
        <v>4</v>
      </c>
      <c r="T148" s="32" t="n">
        <v>1</v>
      </c>
      <c r="U148" s="10">
        <f>IF(T148=1,I148-('Parametros'!$B$7+'Parametros'!$B$9+'Parametros'!$B$12/2),I148-(ROUNDUP(S148/2,0)*('Parametros'!$B$7+'Parametros'!$B$9+'Parametros'!$B$12/2)+ROUNDDOWN(S148/2,0)*('Parametros'!$B$7+'Parametros'!$B$9+'Parametros'!$B$12/2+'Parametros'!$B$12+'Parametros'!$B$10))/S148)</f>
        <v>489.35</v>
      </c>
      <c r="V148" s="10">
        <f>S148*'Parametros'!$B$8</f>
        <v>796</v>
      </c>
      <c r="W148" s="10">
        <f>'Parametros'!$B$5*V148*'Parametros'!$B$3*(U148-(V148*'Parametros'!$B$3/(0.85*'Parametros'!$B$2*H148))/2)/1000000</f>
        <v>142.543330094118</v>
      </c>
      <c r="X148" s="10" t="str">
        <f>IF(W148&gt;=J148,"CUMPLE","NO CUMPLE")</f>
        <v>CUMPLE</v>
      </c>
      <c r="Y148" s="10">
        <f>MAX(MAX(1.4/'Parametros'!$B$3,0.25*SQRT('Parametros'!$B$2)/'Parametros'!$B$3)*H148*AB148,(0.85*'Parametros'!$B$2/'Parametros'!$B$3)*(1-SQRT(1-2*(L148*1000000/('Parametros'!$B$5*H148*AB148^2))/(0.85*'Parametros'!$B$2)))*H148*AB148)</f>
        <v>734.025</v>
      </c>
      <c r="Z148" s="31" t="n">
        <v>4</v>
      </c>
      <c r="AA148" s="32" t="n">
        <v>1</v>
      </c>
      <c r="AB148" s="10">
        <f>IF(AA148=1,I148-('Parametros'!$B$7+'Parametros'!$B$9+'Parametros'!$B$12/2),I148-(ROUNDUP(Z148/2,0)*('Parametros'!$B$7+'Parametros'!$B$9+'Parametros'!$B$12/2)+ROUNDDOWN(Z148/2,0)*('Parametros'!$B$7+'Parametros'!$B$9+'Parametros'!$B$12/2+'Parametros'!$B$12+'Parametros'!$B$10))/Z148)</f>
        <v>489.35</v>
      </c>
      <c r="AC148" s="10">
        <f>Z148*'Parametros'!$B$8</f>
        <v>796</v>
      </c>
      <c r="AD148" s="10">
        <f>'Parametros'!$B$5*AC148*'Parametros'!$B$3*(AB148-(AC148*'Parametros'!$B$3/(0.85*'Parametros'!$B$2*H148))/2)/1000000</f>
        <v>142.543330094118</v>
      </c>
      <c r="AE148" s="10" t="str">
        <f>IF(AD148&gt;=L148,"CUMPLE","NO CUMPLE")</f>
        <v>CUMPLE</v>
      </c>
      <c r="AF148" s="10">
        <f>V148*1.25*'Parametros'!$B$3*(U148-(V148*1.25*'Parametros'!$B$3/(0.85*'Parametros'!$B$2*H148))/2)/1000000</f>
        <v>196.346217941176</v>
      </c>
      <c r="AG148" s="10">
        <f>AC148*1.25*'Parametros'!$B$3*(AB148-(AC148*1.25*'Parametros'!$B$3/(0.85*'Parametros'!$B$2*H148))/2)/1000000</f>
        <v>196.346217941176</v>
      </c>
      <c r="AH148" s="10">
        <f>N148+(AF148+AG148)/D148</f>
        <v>181.579441809955</v>
      </c>
      <c r="AI148" s="10">
        <f>MAX(O148,AH148)</f>
        <v>197.011</v>
      </c>
      <c r="AJ148" s="10">
        <f>0.17*SQRT('Parametros'!$B$2)*H148*MIN(U148,AB148)/1000</f>
        <v>198.088855822627</v>
      </c>
      <c r="AK148" s="10">
        <f>MAX(AI148/'Parametros'!$B$6-AJ148,0)</f>
        <v>64.5924775107063</v>
      </c>
      <c r="AL148" s="10">
        <f>0.66*SQRT('Parametros'!$B$2)*H148*MIN(U148,AB148)/1000</f>
        <v>769.050852017258</v>
      </c>
      <c r="AM148" s="10" t="str">
        <f>IF(AK148&lt;=AL148,"CUMPLE","NO CUMPLE")</f>
        <v>CUMPLE</v>
      </c>
      <c r="AN148" s="17" t="inlineStr">
        <is>
          <t>Nº3 cerrado</t>
        </is>
      </c>
      <c r="AO148" s="31" t="n">
        <v>2</v>
      </c>
      <c r="AP148" s="10">
        <f>ROUNDDOWN(MIN(IF(BC148+BD148=0,1000000000,AO148*BB148/(BC148+BD148)),MIN(U148,AB148)/4,8*'Parametros'!$B$12,24*BA148,300,IF(AV148=0,1000000000,2*((H148-2*('Parametros'!$B$7+'Parametros'!$B$9/2))+(I148-2*('Parametros'!$B$7+'Parametros'!$B$9/2)))/8))/10,0)*10</f>
        <v>120</v>
      </c>
      <c r="AQ148" s="10">
        <f>ROUNDDOWN(MIN(IF(BC148+BD148=0,1000000000,AO148*BB148/(BC148+BD148)),IF(AK148&gt;0.33*SQRT('Parametros'!$B$2)*H148*MIN(U148,AB148)/1000,MIN(U148,AB148)/4,MIN(U148,AB148)/2),600,IF(AV148=0,1000000000,2*((H148-2*('Parametros'!$B$7+'Parametros'!$B$9/2))+(I148-2*('Parametros'!$B$7+'Parametros'!$B$9/2)))/8))/10,0)*10</f>
        <v>120</v>
      </c>
      <c r="AR148" s="10">
        <f>'Parametros'!$B$6*(AJ148+MAX(BE148-BD148,0)*'Parametros'!$B$4*MIN(U148,AB148)/1000)</f>
        <v>220.323263797193</v>
      </c>
      <c r="AS148" s="10" t="str">
        <f>IF(AND(ISERROR(SEARCH("referencia",AN148)),AM148="CUMPLE",AR148&gt;=AI148),"CUMPLE","NO CUMPLE")</f>
        <v>CUMPLE</v>
      </c>
      <c r="AT148" s="10">
        <f>'Parametros'!$B$6*0.083*SQRT('Parametros'!$B$2)*(H148*I148)^2/(2*(H148+I148))/1000000</f>
        <v>10.0887830333379</v>
      </c>
      <c r="AU148" s="10" t="str">
        <f>IF(Q148&lt;=AT148,"DESPRECIABLE","DISEÑAR")</f>
        <v>DISEÑAR</v>
      </c>
      <c r="AV148" s="10">
        <f>IF(Q148&lt;=AT148,0,Q148*1000000/('Parametros'!$B$6*2*0.85*(H148-2*('Parametros'!$B$7+'Parametros'!$B$9/2))*(I148-2*('Parametros'!$B$7+'Parametros'!$B$9/2))*'Parametros'!$B$4))</f>
        <v>0.358910153150282</v>
      </c>
      <c r="AW148" s="10">
        <f>AV148*2*((H148-2*('Parametros'!$B$7+'Parametros'!$B$9/2))+(I148-2*('Parametros'!$B$7+'Parametros'!$B$9/2)))*'Parametros'!$B$4/'Parametros'!$B$3</f>
        <v>584.736421512439</v>
      </c>
      <c r="AX148" s="31" t="n">
        <v>8</v>
      </c>
      <c r="AY148" s="10" t="str">
        <f>IF(AV148=0,"DESPRECIABLE",IF(AND(ISERROR(SEARCH("referencia",AN148)),BB148/AP148&gt;=AV148,BI148&gt;=AW148,BH148="CUMPLE"),"CUMPLE","NO CUMPLE"))</f>
        <v>CUMPLE</v>
      </c>
      <c r="AZ148" s="10" t="str">
        <f>IF(AND(X148="CUMPLE",AE148="CUMPLE",AS148="CUMPLE",OR(AY148="CUMPLE",AY148="DESPRECIABLE"),BH148="CUMPLE",BJ148="CUMPLE"),"CUMPLE","NO CUMPLE")</f>
        <v>CUMPLE</v>
      </c>
      <c r="BA148" s="32" t="n">
        <v>9.5</v>
      </c>
      <c r="BB148" s="32" t="n">
        <v>71</v>
      </c>
      <c r="BC148" s="10">
        <f>MAX(IF(AK148=0,0,AK148*1000/('Parametros'!$B$4*MIN(U148,AB148))),MAX(0.062*SQRT('Parametros'!$B$2)*H148/'Parametros'!$B$4,0.35*H148/'Parametros'!$B$4))</f>
        <v>0.375</v>
      </c>
      <c r="BD148" s="10">
        <f>2*AV148</f>
        <v>0.717820306300563</v>
      </c>
      <c r="BE148" s="10">
        <f>AO148*BB148/AP148</f>
        <v>1.18333333333333</v>
      </c>
      <c r="BF148" s="10">
        <f>SQRT((AI148*1000/(H148*MIN(U148,AB148)))^2+(Q148*1000000*2*((H148-2*('Parametros'!$B$7+'Parametros'!$B$9/2))+(I148-2*('Parametros'!$B$7+'Parametros'!$B$9/2)))/(1.7*((H148-2*('Parametros'!$B$7+'Parametros'!$B$9/2))*(I148-2*('Parametros'!$B$7+'Parametros'!$B$9/2)))^2))^2)</f>
        <v>1.43916829653112</v>
      </c>
      <c r="BG148" s="10">
        <f>'Parametros'!$B$6*(AJ148*1000/(H148*MIN(U148,AB148))+0.66*SQRT('Parametros'!$B$2))</f>
        <v>3.29396038227542</v>
      </c>
      <c r="BH148" s="10" t="str">
        <f>IF(BF148&lt;=BG148,"CUMPLE","NO CUMPLE")</f>
        <v>CUMPLE</v>
      </c>
      <c r="BI148" s="10">
        <f>AX148*'Parametros'!$B$8</f>
        <v>1592</v>
      </c>
      <c r="BJ148" s="10" t="str">
        <f>IF(BI148&gt;=AW148,"CUMPLE","NO CUMPLE")</f>
        <v>CUMPLE</v>
      </c>
    </row>
    <row r="149">
      <c r="A149" s="15" t="inlineStr">
        <is>
          <t>VC5</t>
        </is>
      </c>
      <c r="B149" s="15" t="inlineStr">
        <is>
          <t>916</t>
        </is>
      </c>
      <c r="C149" s="10" t="n">
        <v>1</v>
      </c>
      <c r="D149" s="10" t="n">
        <v>3.3</v>
      </c>
      <c r="E149" s="10" t="n">
        <v>3.3</v>
      </c>
      <c r="F149" s="10" t="n">
        <v>450</v>
      </c>
      <c r="G149" s="10" t="n">
        <v>550</v>
      </c>
      <c r="H149" s="17" t="n">
        <v>450</v>
      </c>
      <c r="I149" s="17" t="n">
        <v>550</v>
      </c>
      <c r="J149" s="30" t="n">
        <v>130.4829</v>
      </c>
      <c r="K149" s="10" t="inlineStr">
        <is>
          <t>916</t>
        </is>
      </c>
      <c r="L149" s="30" t="n">
        <v>66.1032</v>
      </c>
      <c r="M149" s="10" t="inlineStr">
        <is>
          <t>916</t>
        </is>
      </c>
      <c r="N149" s="30" t="n">
        <v>105.092</v>
      </c>
      <c r="O149" s="30" t="n">
        <v>272.61</v>
      </c>
      <c r="P149" s="10" t="inlineStr">
        <is>
          <t>916</t>
        </is>
      </c>
      <c r="Q149" s="30" t="n">
        <v>45.7206</v>
      </c>
      <c r="R149" s="10">
        <f>MAX(MAX(1.4/'Parametros'!$B$3,0.25*SQRT('Parametros'!$B$2)/'Parametros'!$B$3)*H149*U149,(0.85*'Parametros'!$B$2/'Parametros'!$B$3)*(1-SQRT(1-2*(J149*1000000/('Parametros'!$B$5*H149*U149^2))/(0.85*'Parametros'!$B$2)))*H149*U149)</f>
        <v>734.025</v>
      </c>
      <c r="S149" s="31" t="n">
        <v>4</v>
      </c>
      <c r="T149" s="32" t="n">
        <v>1</v>
      </c>
      <c r="U149" s="10">
        <f>IF(T149=1,I149-('Parametros'!$B$7+'Parametros'!$B$9+'Parametros'!$B$12/2),I149-(ROUNDUP(S149/2,0)*('Parametros'!$B$7+'Parametros'!$B$9+'Parametros'!$B$12/2)+ROUNDDOWN(S149/2,0)*('Parametros'!$B$7+'Parametros'!$B$9+'Parametros'!$B$12/2+'Parametros'!$B$12+'Parametros'!$B$10))/S149)</f>
        <v>489.35</v>
      </c>
      <c r="V149" s="10">
        <f>S149*'Parametros'!$B$8</f>
        <v>796</v>
      </c>
      <c r="W149" s="10">
        <f>'Parametros'!$B$5*V149*'Parametros'!$B$3*(U149-(V149*'Parametros'!$B$3/(0.85*'Parametros'!$B$2*H149))/2)/1000000</f>
        <v>142.543330094118</v>
      </c>
      <c r="X149" s="10" t="str">
        <f>IF(W149&gt;=J149,"CUMPLE","NO CUMPLE")</f>
        <v>CUMPLE</v>
      </c>
      <c r="Y149" s="10">
        <f>MAX(MAX(1.4/'Parametros'!$B$3,0.25*SQRT('Parametros'!$B$2)/'Parametros'!$B$3)*H149*AB149,(0.85*'Parametros'!$B$2/'Parametros'!$B$3)*(1-SQRT(1-2*(L149*1000000/('Parametros'!$B$5*H149*AB149^2))/(0.85*'Parametros'!$B$2)))*H149*AB149)</f>
        <v>734.025</v>
      </c>
      <c r="Z149" s="31" t="n">
        <v>4</v>
      </c>
      <c r="AA149" s="32" t="n">
        <v>1</v>
      </c>
      <c r="AB149" s="10">
        <f>IF(AA149=1,I149-('Parametros'!$B$7+'Parametros'!$B$9+'Parametros'!$B$12/2),I149-(ROUNDUP(Z149/2,0)*('Parametros'!$B$7+'Parametros'!$B$9+'Parametros'!$B$12/2)+ROUNDDOWN(Z149/2,0)*('Parametros'!$B$7+'Parametros'!$B$9+'Parametros'!$B$12/2+'Parametros'!$B$12+'Parametros'!$B$10))/Z149)</f>
        <v>489.35</v>
      </c>
      <c r="AC149" s="10">
        <f>Z149*'Parametros'!$B$8</f>
        <v>796</v>
      </c>
      <c r="AD149" s="10">
        <f>'Parametros'!$B$5*AC149*'Parametros'!$B$3*(AB149-(AC149*'Parametros'!$B$3/(0.85*'Parametros'!$B$2*H149))/2)/1000000</f>
        <v>142.543330094118</v>
      </c>
      <c r="AE149" s="10" t="str">
        <f>IF(AD149&gt;=L149,"CUMPLE","NO CUMPLE")</f>
        <v>CUMPLE</v>
      </c>
      <c r="AF149" s="10">
        <f>V149*1.25*'Parametros'!$B$3*(U149-(V149*1.25*'Parametros'!$B$3/(0.85*'Parametros'!$B$2*H149))/2)/1000000</f>
        <v>196.346217941176</v>
      </c>
      <c r="AG149" s="10">
        <f>AC149*1.25*'Parametros'!$B$3*(AB149-(AC149*1.25*'Parametros'!$B$3/(0.85*'Parametros'!$B$2*H149))/2)/1000000</f>
        <v>196.346217941176</v>
      </c>
      <c r="AH149" s="10">
        <f>N149+(AF149+AG149)/D149</f>
        <v>224.089707843137</v>
      </c>
      <c r="AI149" s="10">
        <f>MAX(O149,AH149)</f>
        <v>272.61</v>
      </c>
      <c r="AJ149" s="10">
        <f>0.17*SQRT('Parametros'!$B$2)*H149*MIN(U149,AB149)/1000</f>
        <v>198.088855822627</v>
      </c>
      <c r="AK149" s="10">
        <f>MAX(AI149/'Parametros'!$B$6-AJ149,0)</f>
        <v>165.391144177373</v>
      </c>
      <c r="AL149" s="10">
        <f>0.66*SQRT('Parametros'!$B$2)*H149*MIN(U149,AB149)/1000</f>
        <v>769.050852017258</v>
      </c>
      <c r="AM149" s="10" t="str">
        <f>IF(AK149&lt;=AL149,"CUMPLE","NO CUMPLE")</f>
        <v>CUMPLE</v>
      </c>
      <c r="AN149" s="17" t="inlineStr">
        <is>
          <t>Nº4 cerrado</t>
        </is>
      </c>
      <c r="AO149" s="31" t="n">
        <v>2</v>
      </c>
      <c r="AP149" s="10">
        <f>ROUNDDOWN(MIN(IF(BC149+BD149=0,1000000000,AO149*BB149/(BC149+BD149)),MIN(U149,AB149)/4,8*'Parametros'!$B$12,24*BA149,300,IF(AV149=0,1000000000,2*((H149-2*('Parametros'!$B$7+'Parametros'!$B$9/2))+(I149-2*('Parametros'!$B$7+'Parametros'!$B$9/2)))/8))/10,0)*10</f>
        <v>120</v>
      </c>
      <c r="AQ149" s="10">
        <f>ROUNDDOWN(MIN(IF(BC149+BD149=0,1000000000,AO149*BB149/(BC149+BD149)),IF(AK149&gt;0.33*SQRT('Parametros'!$B$2)*H149*MIN(U149,AB149)/1000,MIN(U149,AB149)/4,MIN(U149,AB149)/2),600,IF(AV149=0,1000000000,2*((H149-2*('Parametros'!$B$7+'Parametros'!$B$9/2))+(I149-2*('Parametros'!$B$7+'Parametros'!$B$9/2)))/8))/10,0)*10</f>
        <v>130</v>
      </c>
      <c r="AR149" s="10">
        <f>'Parametros'!$B$6*(AJ149+MAX(BE149-BD149,0)*'Parametros'!$B$4*MIN(U149,AB149)/1000)</f>
        <v>318.885298381843</v>
      </c>
      <c r="AS149" s="10" t="str">
        <f>IF(AND(ISERROR(SEARCH("referencia",AN149)),AM149="CUMPLE",AR149&gt;=AI149),"CUMPLE","NO CUMPLE")</f>
        <v>CUMPLE</v>
      </c>
      <c r="AT149" s="10">
        <f>'Parametros'!$B$6*0.083*SQRT('Parametros'!$B$2)*(H149*I149)^2/(2*(H149+I149))/1000000</f>
        <v>10.0887830333379</v>
      </c>
      <c r="AU149" s="10" t="str">
        <f>IF(Q149&lt;=AT149,"DESPRECIABLE","DISEÑAR")</f>
        <v>DISEÑAR</v>
      </c>
      <c r="AV149" s="10">
        <f>IF(Q149&lt;=AT149,0,Q149*1000000/('Parametros'!$B$6*2*0.85*(H149-2*('Parametros'!$B$7+'Parametros'!$B$9/2))*(I149-2*('Parametros'!$B$7+'Parametros'!$B$9/2))*'Parametros'!$B$4))</f>
        <v>0.522538420694531</v>
      </c>
      <c r="AW149" s="10">
        <f>AV149*2*((H149-2*('Parametros'!$B$7+'Parametros'!$B$9/2))+(I149-2*('Parametros'!$B$7+'Parametros'!$B$9/2)))*'Parametros'!$B$4/'Parametros'!$B$3</f>
        <v>851.31959499553</v>
      </c>
      <c r="AX149" s="31" t="n">
        <v>8</v>
      </c>
      <c r="AY149" s="10" t="str">
        <f>IF(AV149=0,"DESPRECIABLE",IF(AND(ISERROR(SEARCH("referencia",AN149)),BB149/AP149&gt;=AV149,BI149&gt;=AW149,BH149="CUMPLE"),"CUMPLE","NO CUMPLE"))</f>
        <v>CUMPLE</v>
      </c>
      <c r="AZ149" s="10" t="str">
        <f>IF(AND(X149="CUMPLE",AE149="CUMPLE",AS149="CUMPLE",OR(AY149="CUMPLE",AY149="DESPRECIABLE"),BH149="CUMPLE",BJ149="CUMPLE"),"CUMPLE","NO CUMPLE")</f>
        <v>CUMPLE</v>
      </c>
      <c r="BA149" s="32" t="n">
        <v>12.7</v>
      </c>
      <c r="BB149" s="32" t="n">
        <v>129</v>
      </c>
      <c r="BC149" s="10">
        <f>MAX(IF(AK149=0,0,AK149*1000/('Parametros'!$B$4*MIN(U149,AB149))),MAX(0.062*SQRT('Parametros'!$B$2)*H149/'Parametros'!$B$4,0.35*H149/'Parametros'!$B$4))</f>
        <v>0.804717356733534</v>
      </c>
      <c r="BD149" s="10">
        <f>2*AV149</f>
        <v>1.04507684138906</v>
      </c>
      <c r="BE149" s="10">
        <f>AO149*BB149/AP149</f>
        <v>2.15</v>
      </c>
      <c r="BF149" s="10">
        <f>SQRT((AI149*1000/(H149*MIN(U149,AB149)))^2+(Q149*1000000*2*((H149-2*('Parametros'!$B$7+'Parametros'!$B$9/2))+(I149-2*('Parametros'!$B$7+'Parametros'!$B$9/2)))/(1.7*((H149-2*('Parametros'!$B$7+'Parametros'!$B$9/2))*(I149-2*('Parametros'!$B$7+'Parametros'!$B$9/2)))^2))^2)</f>
        <v>2.05577151803604</v>
      </c>
      <c r="BG149" s="10">
        <f>'Parametros'!$B$6*(AJ149*1000/(H149*MIN(U149,AB149))+0.66*SQRT('Parametros'!$B$2))</f>
        <v>3.29396038227542</v>
      </c>
      <c r="BH149" s="10" t="str">
        <f>IF(BF149&lt;=BG149,"CUMPLE","NO CUMPLE")</f>
        <v>CUMPLE</v>
      </c>
      <c r="BI149" s="10">
        <f>AX149*'Parametros'!$B$8</f>
        <v>1592</v>
      </c>
      <c r="BJ149" s="10" t="str">
        <f>IF(BI149&gt;=AW149,"CUMPLE","NO CUMPLE")</f>
        <v>CUMPLE</v>
      </c>
    </row>
    <row r="150">
      <c r="A150" s="15" t="inlineStr">
        <is>
          <t>VC5</t>
        </is>
      </c>
      <c r="B150" s="15" t="inlineStr">
        <is>
          <t>917</t>
        </is>
      </c>
      <c r="C150" s="10" t="n">
        <v>1</v>
      </c>
      <c r="D150" s="10" t="n">
        <v>3.3</v>
      </c>
      <c r="E150" s="10" t="n">
        <v>3.3</v>
      </c>
      <c r="F150" s="10" t="n">
        <v>450</v>
      </c>
      <c r="G150" s="10" t="n">
        <v>550</v>
      </c>
      <c r="H150" s="17" t="n">
        <v>450</v>
      </c>
      <c r="I150" s="17" t="n">
        <v>550</v>
      </c>
      <c r="J150" s="30" t="n">
        <v>130.6029</v>
      </c>
      <c r="K150" s="10" t="inlineStr">
        <is>
          <t>917</t>
        </is>
      </c>
      <c r="L150" s="30" t="n">
        <v>66.1382</v>
      </c>
      <c r="M150" s="10" t="inlineStr">
        <is>
          <t>917</t>
        </is>
      </c>
      <c r="N150" s="30" t="n">
        <v>105.176</v>
      </c>
      <c r="O150" s="30" t="n">
        <v>272.708</v>
      </c>
      <c r="P150" s="10" t="inlineStr">
        <is>
          <t>917</t>
        </is>
      </c>
      <c r="Q150" s="30" t="n">
        <v>45.7755</v>
      </c>
      <c r="R150" s="10">
        <f>MAX(MAX(1.4/'Parametros'!$B$3,0.25*SQRT('Parametros'!$B$2)/'Parametros'!$B$3)*H150*U150,(0.85*'Parametros'!$B$2/'Parametros'!$B$3)*(1-SQRT(1-2*(J150*1000000/('Parametros'!$B$5*H150*U150^2))/(0.85*'Parametros'!$B$2)))*H150*U150)</f>
        <v>734.025</v>
      </c>
      <c r="S150" s="31" t="n">
        <v>4</v>
      </c>
      <c r="T150" s="32" t="n">
        <v>1</v>
      </c>
      <c r="U150" s="10">
        <f>IF(T150=1,I150-('Parametros'!$B$7+'Parametros'!$B$9+'Parametros'!$B$12/2),I150-(ROUNDUP(S150/2,0)*('Parametros'!$B$7+'Parametros'!$B$9+'Parametros'!$B$12/2)+ROUNDDOWN(S150/2,0)*('Parametros'!$B$7+'Parametros'!$B$9+'Parametros'!$B$12/2+'Parametros'!$B$12+'Parametros'!$B$10))/S150)</f>
        <v>489.35</v>
      </c>
      <c r="V150" s="10">
        <f>S150*'Parametros'!$B$8</f>
        <v>796</v>
      </c>
      <c r="W150" s="10">
        <f>'Parametros'!$B$5*V150*'Parametros'!$B$3*(U150-(V150*'Parametros'!$B$3/(0.85*'Parametros'!$B$2*H150))/2)/1000000</f>
        <v>142.543330094118</v>
      </c>
      <c r="X150" s="10" t="str">
        <f>IF(W150&gt;=J150,"CUMPLE","NO CUMPLE")</f>
        <v>CUMPLE</v>
      </c>
      <c r="Y150" s="10">
        <f>MAX(MAX(1.4/'Parametros'!$B$3,0.25*SQRT('Parametros'!$B$2)/'Parametros'!$B$3)*H150*AB150,(0.85*'Parametros'!$B$2/'Parametros'!$B$3)*(1-SQRT(1-2*(L150*1000000/('Parametros'!$B$5*H150*AB150^2))/(0.85*'Parametros'!$B$2)))*H150*AB150)</f>
        <v>734.025</v>
      </c>
      <c r="Z150" s="31" t="n">
        <v>4</v>
      </c>
      <c r="AA150" s="32" t="n">
        <v>1</v>
      </c>
      <c r="AB150" s="10">
        <f>IF(AA150=1,I150-('Parametros'!$B$7+'Parametros'!$B$9+'Parametros'!$B$12/2),I150-(ROUNDUP(Z150/2,0)*('Parametros'!$B$7+'Parametros'!$B$9+'Parametros'!$B$12/2)+ROUNDDOWN(Z150/2,0)*('Parametros'!$B$7+'Parametros'!$B$9+'Parametros'!$B$12/2+'Parametros'!$B$12+'Parametros'!$B$10))/Z150)</f>
        <v>489.35</v>
      </c>
      <c r="AC150" s="10">
        <f>Z150*'Parametros'!$B$8</f>
        <v>796</v>
      </c>
      <c r="AD150" s="10">
        <f>'Parametros'!$B$5*AC150*'Parametros'!$B$3*(AB150-(AC150*'Parametros'!$B$3/(0.85*'Parametros'!$B$2*H150))/2)/1000000</f>
        <v>142.543330094118</v>
      </c>
      <c r="AE150" s="10" t="str">
        <f>IF(AD150&gt;=L150,"CUMPLE","NO CUMPLE")</f>
        <v>CUMPLE</v>
      </c>
      <c r="AF150" s="10">
        <f>V150*1.25*'Parametros'!$B$3*(U150-(V150*1.25*'Parametros'!$B$3/(0.85*'Parametros'!$B$2*H150))/2)/1000000</f>
        <v>196.346217941176</v>
      </c>
      <c r="AG150" s="10">
        <f>AC150*1.25*'Parametros'!$B$3*(AB150-(AC150*1.25*'Parametros'!$B$3/(0.85*'Parametros'!$B$2*H150))/2)/1000000</f>
        <v>196.346217941176</v>
      </c>
      <c r="AH150" s="10">
        <f>N150+(AF150+AG150)/D150</f>
        <v>224.173707843137</v>
      </c>
      <c r="AI150" s="10">
        <f>MAX(O150,AH150)</f>
        <v>272.708</v>
      </c>
      <c r="AJ150" s="10">
        <f>0.17*SQRT('Parametros'!$B$2)*H150*MIN(U150,AB150)/1000</f>
        <v>198.088855822627</v>
      </c>
      <c r="AK150" s="10">
        <f>MAX(AI150/'Parametros'!$B$6-AJ150,0)</f>
        <v>165.52181084404</v>
      </c>
      <c r="AL150" s="10">
        <f>0.66*SQRT('Parametros'!$B$2)*H150*MIN(U150,AB150)/1000</f>
        <v>769.050852017258</v>
      </c>
      <c r="AM150" s="10" t="str">
        <f>IF(AK150&lt;=AL150,"CUMPLE","NO CUMPLE")</f>
        <v>CUMPLE</v>
      </c>
      <c r="AN150" s="17" t="inlineStr">
        <is>
          <t>Nº4 cerrado</t>
        </is>
      </c>
      <c r="AO150" s="31" t="n">
        <v>2</v>
      </c>
      <c r="AP150" s="10">
        <f>ROUNDDOWN(MIN(IF(BC150+BD150=0,1000000000,AO150*BB150/(BC150+BD150)),MIN(U150,AB150)/4,8*'Parametros'!$B$12,24*BA150,300,IF(AV150=0,1000000000,2*((H150-2*('Parametros'!$B$7+'Parametros'!$B$9/2))+(I150-2*('Parametros'!$B$7+'Parametros'!$B$9/2)))/8))/10,0)*10</f>
        <v>120</v>
      </c>
      <c r="AQ150" s="10">
        <f>ROUNDDOWN(MIN(IF(BC150+BD150=0,1000000000,AO150*BB150/(BC150+BD150)),IF(AK150&gt;0.33*SQRT('Parametros'!$B$2)*H150*MIN(U150,AB150)/1000,MIN(U150,AB150)/4,MIN(U150,AB150)/2),600,IF(AV150=0,1000000000,2*((H150-2*('Parametros'!$B$7+'Parametros'!$B$9/2))+(I150-2*('Parametros'!$B$7+'Parametros'!$B$9/2)))/8))/10,0)*10</f>
        <v>130</v>
      </c>
      <c r="AR150" s="10">
        <f>'Parametros'!$B$6*(AJ150+MAX(BE150-BD150,0)*'Parametros'!$B$4*MIN(U150,AB150)/1000)</f>
        <v>318.691861717821</v>
      </c>
      <c r="AS150" s="10" t="str">
        <f>IF(AND(ISERROR(SEARCH("referencia",AN150)),AM150="CUMPLE",AR150&gt;=AI150),"CUMPLE","NO CUMPLE")</f>
        <v>CUMPLE</v>
      </c>
      <c r="AT150" s="10">
        <f>'Parametros'!$B$6*0.083*SQRT('Parametros'!$B$2)*(H150*I150)^2/(2*(H150+I150))/1000000</f>
        <v>10.0887830333379</v>
      </c>
      <c r="AU150" s="10" t="str">
        <f>IF(Q150&lt;=AT150,"DESPRECIABLE","DISEÑAR")</f>
        <v>DISEÑAR</v>
      </c>
      <c r="AV150" s="10">
        <f>IF(Q150&lt;=AT150,0,Q150*1000000/('Parametros'!$B$6*2*0.85*(H150-2*('Parametros'!$B$7+'Parametros'!$B$9/2))*(I150-2*('Parametros'!$B$7+'Parametros'!$B$9/2))*'Parametros'!$B$4))</f>
        <v>0.523165870012697</v>
      </c>
      <c r="AW150" s="10">
        <f>AV150*2*((H150-2*('Parametros'!$B$7+'Parametros'!$B$9/2))+(I150-2*('Parametros'!$B$7+'Parametros'!$B$9/2)))*'Parametros'!$B$4/'Parametros'!$B$3</f>
        <v>852.341835424685</v>
      </c>
      <c r="AX150" s="31" t="n">
        <v>8</v>
      </c>
      <c r="AY150" s="10" t="str">
        <f>IF(AV150=0,"DESPRECIABLE",IF(AND(ISERROR(SEARCH("referencia",AN150)),BB150/AP150&gt;=AV150,BI150&gt;=AW150,BH150="CUMPLE"),"CUMPLE","NO CUMPLE"))</f>
        <v>CUMPLE</v>
      </c>
      <c r="AZ150" s="10" t="str">
        <f>IF(AND(X150="CUMPLE",AE150="CUMPLE",AS150="CUMPLE",OR(AY150="CUMPLE",AY150="DESPRECIABLE"),BH150="CUMPLE",BJ150="CUMPLE"),"CUMPLE","NO CUMPLE")</f>
        <v>CUMPLE</v>
      </c>
      <c r="BA150" s="32" t="n">
        <v>12.7</v>
      </c>
      <c r="BB150" s="32" t="n">
        <v>129</v>
      </c>
      <c r="BC150" s="10">
        <f>MAX(IF(AK150=0,0,AK150*1000/('Parametros'!$B$4*MIN(U150,AB150))),MAX(0.062*SQRT('Parametros'!$B$2)*H150/'Parametros'!$B$4,0.35*H150/'Parametros'!$B$4))</f>
        <v>0.805353120728857</v>
      </c>
      <c r="BD150" s="10">
        <f>2*AV150</f>
        <v>1.04633174002539</v>
      </c>
      <c r="BE150" s="10">
        <f>AO150*BB150/AP150</f>
        <v>2.15</v>
      </c>
      <c r="BF150" s="10">
        <f>SQRT((AI150*1000/(H150*MIN(U150,AB150)))^2+(Q150*1000000*2*((H150-2*('Parametros'!$B$7+'Parametros'!$B$9/2))+(I150-2*('Parametros'!$B$7+'Parametros'!$B$9/2)))/(1.7*((H150-2*('Parametros'!$B$7+'Parametros'!$B$9/2))*(I150-2*('Parametros'!$B$7+'Parametros'!$B$9/2)))^2))^2)</f>
        <v>2.05761302568967</v>
      </c>
      <c r="BG150" s="10">
        <f>'Parametros'!$B$6*(AJ150*1000/(H150*MIN(U150,AB150))+0.66*SQRT('Parametros'!$B$2))</f>
        <v>3.29396038227542</v>
      </c>
      <c r="BH150" s="10" t="str">
        <f>IF(BF150&lt;=BG150,"CUMPLE","NO CUMPLE")</f>
        <v>CUMPLE</v>
      </c>
      <c r="BI150" s="10">
        <f>AX150*'Parametros'!$B$8</f>
        <v>1592</v>
      </c>
      <c r="BJ150" s="10" t="str">
        <f>IF(BI150&gt;=AW150,"CUMPLE","NO CUMPLE")</f>
        <v>CUMPLE</v>
      </c>
    </row>
    <row r="151">
      <c r="A151" s="15" t="inlineStr">
        <is>
          <t>VC5</t>
        </is>
      </c>
      <c r="B151" s="15" t="inlineStr">
        <is>
          <t>918</t>
        </is>
      </c>
      <c r="C151" s="10" t="n">
        <v>1</v>
      </c>
      <c r="D151" s="10" t="n">
        <v>3.25</v>
      </c>
      <c r="E151" s="10" t="n">
        <v>3.25</v>
      </c>
      <c r="F151" s="10" t="n">
        <v>450</v>
      </c>
      <c r="G151" s="10" t="n">
        <v>550</v>
      </c>
      <c r="H151" s="17" t="n">
        <v>450</v>
      </c>
      <c r="I151" s="17" t="n">
        <v>550</v>
      </c>
      <c r="J151" s="30" t="n">
        <v>89.2924</v>
      </c>
      <c r="K151" s="10" t="inlineStr">
        <is>
          <t>918</t>
        </is>
      </c>
      <c r="L151" s="30" t="n">
        <v>53.5959</v>
      </c>
      <c r="M151" s="10" t="inlineStr">
        <is>
          <t>918</t>
        </is>
      </c>
      <c r="N151" s="30" t="n">
        <v>60.768</v>
      </c>
      <c r="O151" s="30" t="n">
        <v>197.028</v>
      </c>
      <c r="P151" s="10" t="inlineStr">
        <is>
          <t>918</t>
        </is>
      </c>
      <c r="Q151" s="30" t="n">
        <v>31.4002</v>
      </c>
      <c r="R151" s="10">
        <f>MAX(MAX(1.4/'Parametros'!$B$3,0.25*SQRT('Parametros'!$B$2)/'Parametros'!$B$3)*H151*U151,(0.85*'Parametros'!$B$2/'Parametros'!$B$3)*(1-SQRT(1-2*(J151*1000000/('Parametros'!$B$5*H151*U151^2))/(0.85*'Parametros'!$B$2)))*H151*U151)</f>
        <v>734.025</v>
      </c>
      <c r="S151" s="31" t="n">
        <v>4</v>
      </c>
      <c r="T151" s="32" t="n">
        <v>1</v>
      </c>
      <c r="U151" s="10">
        <f>IF(T151=1,I151-('Parametros'!$B$7+'Parametros'!$B$9+'Parametros'!$B$12/2),I151-(ROUNDUP(S151/2,0)*('Parametros'!$B$7+'Parametros'!$B$9+'Parametros'!$B$12/2)+ROUNDDOWN(S151/2,0)*('Parametros'!$B$7+'Parametros'!$B$9+'Parametros'!$B$12/2+'Parametros'!$B$12+'Parametros'!$B$10))/S151)</f>
        <v>489.35</v>
      </c>
      <c r="V151" s="10">
        <f>S151*'Parametros'!$B$8</f>
        <v>796</v>
      </c>
      <c r="W151" s="10">
        <f>'Parametros'!$B$5*V151*'Parametros'!$B$3*(U151-(V151*'Parametros'!$B$3/(0.85*'Parametros'!$B$2*H151))/2)/1000000</f>
        <v>142.543330094118</v>
      </c>
      <c r="X151" s="10" t="str">
        <f>IF(W151&gt;=J151,"CUMPLE","NO CUMPLE")</f>
        <v>CUMPLE</v>
      </c>
      <c r="Y151" s="10">
        <f>MAX(MAX(1.4/'Parametros'!$B$3,0.25*SQRT('Parametros'!$B$2)/'Parametros'!$B$3)*H151*AB151,(0.85*'Parametros'!$B$2/'Parametros'!$B$3)*(1-SQRT(1-2*(L151*1000000/('Parametros'!$B$5*H151*AB151^2))/(0.85*'Parametros'!$B$2)))*H151*AB151)</f>
        <v>734.025</v>
      </c>
      <c r="Z151" s="31" t="n">
        <v>4</v>
      </c>
      <c r="AA151" s="32" t="n">
        <v>1</v>
      </c>
      <c r="AB151" s="10">
        <f>IF(AA151=1,I151-('Parametros'!$B$7+'Parametros'!$B$9+'Parametros'!$B$12/2),I151-(ROUNDUP(Z151/2,0)*('Parametros'!$B$7+'Parametros'!$B$9+'Parametros'!$B$12/2)+ROUNDDOWN(Z151/2,0)*('Parametros'!$B$7+'Parametros'!$B$9+'Parametros'!$B$12/2+'Parametros'!$B$12+'Parametros'!$B$10))/Z151)</f>
        <v>489.35</v>
      </c>
      <c r="AC151" s="10">
        <f>Z151*'Parametros'!$B$8</f>
        <v>796</v>
      </c>
      <c r="AD151" s="10">
        <f>'Parametros'!$B$5*AC151*'Parametros'!$B$3*(AB151-(AC151*'Parametros'!$B$3/(0.85*'Parametros'!$B$2*H151))/2)/1000000</f>
        <v>142.543330094118</v>
      </c>
      <c r="AE151" s="10" t="str">
        <f>IF(AD151&gt;=L151,"CUMPLE","NO CUMPLE")</f>
        <v>CUMPLE</v>
      </c>
      <c r="AF151" s="10">
        <f>V151*1.25*'Parametros'!$B$3*(U151-(V151*1.25*'Parametros'!$B$3/(0.85*'Parametros'!$B$2*H151))/2)/1000000</f>
        <v>196.346217941176</v>
      </c>
      <c r="AG151" s="10">
        <f>AC151*1.25*'Parametros'!$B$3*(AB151-(AC151*1.25*'Parametros'!$B$3/(0.85*'Parametros'!$B$2*H151))/2)/1000000</f>
        <v>196.346217941176</v>
      </c>
      <c r="AH151" s="10">
        <f>N151+(AF151+AG151)/D151</f>
        <v>181.596441809955</v>
      </c>
      <c r="AI151" s="10">
        <f>MAX(O151,AH151)</f>
        <v>197.028</v>
      </c>
      <c r="AJ151" s="10">
        <f>0.17*SQRT('Parametros'!$B$2)*H151*MIN(U151,AB151)/1000</f>
        <v>198.088855822627</v>
      </c>
      <c r="AK151" s="10">
        <f>MAX(AI151/'Parametros'!$B$6-AJ151,0)</f>
        <v>64.615144177373</v>
      </c>
      <c r="AL151" s="10">
        <f>0.66*SQRT('Parametros'!$B$2)*H151*MIN(U151,AB151)/1000</f>
        <v>769.050852017258</v>
      </c>
      <c r="AM151" s="10" t="str">
        <f>IF(AK151&lt;=AL151,"CUMPLE","NO CUMPLE")</f>
        <v>CUMPLE</v>
      </c>
      <c r="AN151" s="17" t="inlineStr">
        <is>
          <t>Nº3 cerrado</t>
        </is>
      </c>
      <c r="AO151" s="31" t="n">
        <v>2</v>
      </c>
      <c r="AP151" s="10">
        <f>ROUNDDOWN(MIN(IF(BC151+BD151=0,1000000000,AO151*BB151/(BC151+BD151)),MIN(U151,AB151)/4,8*'Parametros'!$B$12,24*BA151,300,IF(AV151=0,1000000000,2*((H151-2*('Parametros'!$B$7+'Parametros'!$B$9/2))+(I151-2*('Parametros'!$B$7+'Parametros'!$B$9/2)))/8))/10,0)*10</f>
        <v>120</v>
      </c>
      <c r="AQ151" s="10">
        <f>ROUNDDOWN(MIN(IF(BC151+BD151=0,1000000000,AO151*BB151/(BC151+BD151)),IF(AK151&gt;0.33*SQRT('Parametros'!$B$2)*H151*MIN(U151,AB151)/1000,MIN(U151,AB151)/4,MIN(U151,AB151)/2),600,IF(AV151=0,1000000000,2*((H151-2*('Parametros'!$B$7+'Parametros'!$B$9/2))+(I151-2*('Parametros'!$B$7+'Parametros'!$B$9/2)))/8))/10,0)*10</f>
        <v>120</v>
      </c>
      <c r="AR151" s="10">
        <f>'Parametros'!$B$6*(AJ151+MAX(BE151-BD151,0)*'Parametros'!$B$4*MIN(U151,AB151)/1000)</f>
        <v>220.335243481304</v>
      </c>
      <c r="AS151" s="10" t="str">
        <f>IF(AND(ISERROR(SEARCH("referencia",AN151)),AM151="CUMPLE",AR151&gt;=AI151),"CUMPLE","NO CUMPLE")</f>
        <v>CUMPLE</v>
      </c>
      <c r="AT151" s="10">
        <f>'Parametros'!$B$6*0.083*SQRT('Parametros'!$B$2)*(H151*I151)^2/(2*(H151+I151))/1000000</f>
        <v>10.0887830333379</v>
      </c>
      <c r="AU151" s="10" t="str">
        <f>IF(Q151&lt;=AT151,"DESPRECIABLE","DISEÑAR")</f>
        <v>DISEÑAR</v>
      </c>
      <c r="AV151" s="10">
        <f>IF(Q151&lt;=AT151,0,Q151*1000000/('Parametros'!$B$6*2*0.85*(H151-2*('Parametros'!$B$7+'Parametros'!$B$9/2))*(I151-2*('Parametros'!$B$7+'Parametros'!$B$9/2))*'Parametros'!$B$4))</f>
        <v>0.358871294722563</v>
      </c>
      <c r="AW151" s="10">
        <f>AV151*2*((H151-2*('Parametros'!$B$7+'Parametros'!$B$9/2))+(I151-2*('Parametros'!$B$7+'Parametros'!$B$9/2)))*'Parametros'!$B$4/'Parametros'!$B$3</f>
        <v>584.673113361999</v>
      </c>
      <c r="AX151" s="31" t="n">
        <v>8</v>
      </c>
      <c r="AY151" s="10" t="str">
        <f>IF(AV151=0,"DESPRECIABLE",IF(AND(ISERROR(SEARCH("referencia",AN151)),BB151/AP151&gt;=AV151,BI151&gt;=AW151,BH151="CUMPLE"),"CUMPLE","NO CUMPLE"))</f>
        <v>CUMPLE</v>
      </c>
      <c r="AZ151" s="10" t="str">
        <f>IF(AND(X151="CUMPLE",AE151="CUMPLE",AS151="CUMPLE",OR(AY151="CUMPLE",AY151="DESPRECIABLE"),BH151="CUMPLE",BJ151="CUMPLE"),"CUMPLE","NO CUMPLE")</f>
        <v>CUMPLE</v>
      </c>
      <c r="BA151" s="32" t="n">
        <v>9.5</v>
      </c>
      <c r="BB151" s="32" t="n">
        <v>71</v>
      </c>
      <c r="BC151" s="10">
        <f>MAX(IF(AK151=0,0,AK151*1000/('Parametros'!$B$4*MIN(U151,AB151))),MAX(0.062*SQRT('Parametros'!$B$2)*H151/'Parametros'!$B$4,0.35*H151/'Parametros'!$B$4))</f>
        <v>0.375</v>
      </c>
      <c r="BD151" s="10">
        <f>2*AV151</f>
        <v>0.717742589445126</v>
      </c>
      <c r="BE151" s="10">
        <f>AO151*BB151/AP151</f>
        <v>1.18333333333333</v>
      </c>
      <c r="BF151" s="10">
        <f>SQRT((AI151*1000/(H151*MIN(U151,AB151)))^2+(Q151*1000000*2*((H151-2*('Parametros'!$B$7+'Parametros'!$B$9/2))+(I151-2*('Parametros'!$B$7+'Parametros'!$B$9/2)))/(1.7*((H151-2*('Parametros'!$B$7+'Parametros'!$B$9/2))*(I151-2*('Parametros'!$B$7+'Parametros'!$B$9/2)))^2))^2)</f>
        <v>1.43912069375634</v>
      </c>
      <c r="BG151" s="10">
        <f>'Parametros'!$B$6*(AJ151*1000/(H151*MIN(U151,AB151))+0.66*SQRT('Parametros'!$B$2))</f>
        <v>3.29396038227542</v>
      </c>
      <c r="BH151" s="10" t="str">
        <f>IF(BF151&lt;=BG151,"CUMPLE","NO CUMPLE")</f>
        <v>CUMPLE</v>
      </c>
      <c r="BI151" s="10">
        <f>AX151*'Parametros'!$B$8</f>
        <v>1592</v>
      </c>
      <c r="BJ151" s="10" t="str">
        <f>IF(BI151&gt;=AW151,"CUMPLE","NO CUMPLE")</f>
        <v>CUMPLE</v>
      </c>
    </row>
    <row r="152">
      <c r="A152" s="15" t="inlineStr">
        <is>
          <t>VC5</t>
        </is>
      </c>
      <c r="B152" s="15" t="inlineStr">
        <is>
          <t>935</t>
        </is>
      </c>
      <c r="C152" s="10" t="n">
        <v>1</v>
      </c>
      <c r="D152" s="10" t="n">
        <v>3.25</v>
      </c>
      <c r="E152" s="10" t="n">
        <v>3.25</v>
      </c>
      <c r="F152" s="10" t="n">
        <v>450</v>
      </c>
      <c r="G152" s="10" t="n">
        <v>550</v>
      </c>
      <c r="H152" s="17" t="n">
        <v>450</v>
      </c>
      <c r="I152" s="17" t="n">
        <v>550</v>
      </c>
      <c r="J152" s="30" t="n">
        <v>89.2821</v>
      </c>
      <c r="K152" s="10" t="inlineStr">
        <is>
          <t>935</t>
        </is>
      </c>
      <c r="L152" s="30" t="n">
        <v>53.6018</v>
      </c>
      <c r="M152" s="10" t="inlineStr">
        <is>
          <t>935</t>
        </is>
      </c>
      <c r="N152" s="30" t="n">
        <v>60.753</v>
      </c>
      <c r="O152" s="30" t="n">
        <v>197.023</v>
      </c>
      <c r="P152" s="10" t="inlineStr">
        <is>
          <t>935</t>
        </is>
      </c>
      <c r="Q152" s="30" t="n">
        <v>31.387</v>
      </c>
      <c r="R152" s="10">
        <f>MAX(MAX(1.4/'Parametros'!$B$3,0.25*SQRT('Parametros'!$B$2)/'Parametros'!$B$3)*H152*U152,(0.85*'Parametros'!$B$2/'Parametros'!$B$3)*(1-SQRT(1-2*(J152*1000000/('Parametros'!$B$5*H152*U152^2))/(0.85*'Parametros'!$B$2)))*H152*U152)</f>
        <v>734.025</v>
      </c>
      <c r="S152" s="31" t="n">
        <v>4</v>
      </c>
      <c r="T152" s="32" t="n">
        <v>1</v>
      </c>
      <c r="U152" s="10">
        <f>IF(T152=1,I152-('Parametros'!$B$7+'Parametros'!$B$9+'Parametros'!$B$12/2),I152-(ROUNDUP(S152/2,0)*('Parametros'!$B$7+'Parametros'!$B$9+'Parametros'!$B$12/2)+ROUNDDOWN(S152/2,0)*('Parametros'!$B$7+'Parametros'!$B$9+'Parametros'!$B$12/2+'Parametros'!$B$12+'Parametros'!$B$10))/S152)</f>
        <v>489.35</v>
      </c>
      <c r="V152" s="10">
        <f>S152*'Parametros'!$B$8</f>
        <v>796</v>
      </c>
      <c r="W152" s="10">
        <f>'Parametros'!$B$5*V152*'Parametros'!$B$3*(U152-(V152*'Parametros'!$B$3/(0.85*'Parametros'!$B$2*H152))/2)/1000000</f>
        <v>142.543330094118</v>
      </c>
      <c r="X152" s="10" t="str">
        <f>IF(W152&gt;=J152,"CUMPLE","NO CUMPLE")</f>
        <v>CUMPLE</v>
      </c>
      <c r="Y152" s="10">
        <f>MAX(MAX(1.4/'Parametros'!$B$3,0.25*SQRT('Parametros'!$B$2)/'Parametros'!$B$3)*H152*AB152,(0.85*'Parametros'!$B$2/'Parametros'!$B$3)*(1-SQRT(1-2*(L152*1000000/('Parametros'!$B$5*H152*AB152^2))/(0.85*'Parametros'!$B$2)))*H152*AB152)</f>
        <v>734.025</v>
      </c>
      <c r="Z152" s="31" t="n">
        <v>4</v>
      </c>
      <c r="AA152" s="32" t="n">
        <v>1</v>
      </c>
      <c r="AB152" s="10">
        <f>IF(AA152=1,I152-('Parametros'!$B$7+'Parametros'!$B$9+'Parametros'!$B$12/2),I152-(ROUNDUP(Z152/2,0)*('Parametros'!$B$7+'Parametros'!$B$9+'Parametros'!$B$12/2)+ROUNDDOWN(Z152/2,0)*('Parametros'!$B$7+'Parametros'!$B$9+'Parametros'!$B$12/2+'Parametros'!$B$12+'Parametros'!$B$10))/Z152)</f>
        <v>489.35</v>
      </c>
      <c r="AC152" s="10">
        <f>Z152*'Parametros'!$B$8</f>
        <v>796</v>
      </c>
      <c r="AD152" s="10">
        <f>'Parametros'!$B$5*AC152*'Parametros'!$B$3*(AB152-(AC152*'Parametros'!$B$3/(0.85*'Parametros'!$B$2*H152))/2)/1000000</f>
        <v>142.543330094118</v>
      </c>
      <c r="AE152" s="10" t="str">
        <f>IF(AD152&gt;=L152,"CUMPLE","NO CUMPLE")</f>
        <v>CUMPLE</v>
      </c>
      <c r="AF152" s="10">
        <f>V152*1.25*'Parametros'!$B$3*(U152-(V152*1.25*'Parametros'!$B$3/(0.85*'Parametros'!$B$2*H152))/2)/1000000</f>
        <v>196.346217941176</v>
      </c>
      <c r="AG152" s="10">
        <f>AC152*1.25*'Parametros'!$B$3*(AB152-(AC152*1.25*'Parametros'!$B$3/(0.85*'Parametros'!$B$2*H152))/2)/1000000</f>
        <v>196.346217941176</v>
      </c>
      <c r="AH152" s="10">
        <f>N152+(AF152+AG152)/D152</f>
        <v>181.581441809955</v>
      </c>
      <c r="AI152" s="10">
        <f>MAX(O152,AH152)</f>
        <v>197.023</v>
      </c>
      <c r="AJ152" s="10">
        <f>0.17*SQRT('Parametros'!$B$2)*H152*MIN(U152,AB152)/1000</f>
        <v>198.088855822627</v>
      </c>
      <c r="AK152" s="10">
        <f>MAX(AI152/'Parametros'!$B$6-AJ152,0)</f>
        <v>64.6084775107064</v>
      </c>
      <c r="AL152" s="10">
        <f>0.66*SQRT('Parametros'!$B$2)*H152*MIN(U152,AB152)/1000</f>
        <v>769.050852017258</v>
      </c>
      <c r="AM152" s="10" t="str">
        <f>IF(AK152&lt;=AL152,"CUMPLE","NO CUMPLE")</f>
        <v>CUMPLE</v>
      </c>
      <c r="AN152" s="17" t="inlineStr">
        <is>
          <t>Nº3 cerrado</t>
        </is>
      </c>
      <c r="AO152" s="31" t="n">
        <v>2</v>
      </c>
      <c r="AP152" s="10">
        <f>ROUNDDOWN(MIN(IF(BC152+BD152=0,1000000000,AO152*BB152/(BC152+BD152)),MIN(U152,AB152)/4,8*'Parametros'!$B$12,24*BA152,300,IF(AV152=0,1000000000,2*((H152-2*('Parametros'!$B$7+'Parametros'!$B$9/2))+(I152-2*('Parametros'!$B$7+'Parametros'!$B$9/2)))/8))/10,0)*10</f>
        <v>120</v>
      </c>
      <c r="AQ152" s="10">
        <f>ROUNDDOWN(MIN(IF(BC152+BD152=0,1000000000,AO152*BB152/(BC152+BD152)),IF(AK152&gt;0.33*SQRT('Parametros'!$B$2)*H152*MIN(U152,AB152)/1000,MIN(U152,AB152)/4,MIN(U152,AB152)/2),600,IF(AV152=0,1000000000,2*((H152-2*('Parametros'!$B$7+'Parametros'!$B$9/2))+(I152-2*('Parametros'!$B$7+'Parametros'!$B$9/2)))/8))/10,0)*10</f>
        <v>120</v>
      </c>
      <c r="AR152" s="10">
        <f>'Parametros'!$B$6*(AJ152+MAX(BE152-BD152,0)*'Parametros'!$B$4*MIN(U152,AB152)/1000)</f>
        <v>220.381752843145</v>
      </c>
      <c r="AS152" s="10" t="str">
        <f>IF(AND(ISERROR(SEARCH("referencia",AN152)),AM152="CUMPLE",AR152&gt;=AI152),"CUMPLE","NO CUMPLE")</f>
        <v>CUMPLE</v>
      </c>
      <c r="AT152" s="10">
        <f>'Parametros'!$B$6*0.083*SQRT('Parametros'!$B$2)*(H152*I152)^2/(2*(H152+I152))/1000000</f>
        <v>10.0887830333379</v>
      </c>
      <c r="AU152" s="10" t="str">
        <f>IF(Q152&lt;=AT152,"DESPRECIABLE","DISEÑAR")</f>
        <v>DISEÑAR</v>
      </c>
      <c r="AV152" s="10">
        <f>IF(Q152&lt;=AT152,0,Q152*1000000/('Parametros'!$B$6*2*0.85*(H152-2*('Parametros'!$B$7+'Parametros'!$B$9/2))*(I152-2*('Parametros'!$B$7+'Parametros'!$B$9/2))*'Parametros'!$B$4))</f>
        <v>0.358720432591419</v>
      </c>
      <c r="AW152" s="10">
        <f>AV152*2*((H152-2*('Parametros'!$B$7+'Parametros'!$B$9/2))+(I152-2*('Parametros'!$B$7+'Parametros'!$B$9/2)))*'Parametros'!$B$4/'Parametros'!$B$3</f>
        <v>584.42732877794</v>
      </c>
      <c r="AX152" s="31" t="n">
        <v>8</v>
      </c>
      <c r="AY152" s="10" t="str">
        <f>IF(AV152=0,"DESPRECIABLE",IF(AND(ISERROR(SEARCH("referencia",AN152)),BB152/AP152&gt;=AV152,BI152&gt;=AW152,BH152="CUMPLE"),"CUMPLE","NO CUMPLE"))</f>
        <v>CUMPLE</v>
      </c>
      <c r="AZ152" s="10" t="str">
        <f>IF(AND(X152="CUMPLE",AE152="CUMPLE",AS152="CUMPLE",OR(AY152="CUMPLE",AY152="DESPRECIABLE"),BH152="CUMPLE",BJ152="CUMPLE"),"CUMPLE","NO CUMPLE")</f>
        <v>CUMPLE</v>
      </c>
      <c r="BA152" s="32" t="n">
        <v>9.5</v>
      </c>
      <c r="BB152" s="32" t="n">
        <v>71</v>
      </c>
      <c r="BC152" s="10">
        <f>MAX(IF(AK152=0,0,AK152*1000/('Parametros'!$B$4*MIN(U152,AB152))),MAX(0.062*SQRT('Parametros'!$B$2)*H152/'Parametros'!$B$4,0.35*H152/'Parametros'!$B$4))</f>
        <v>0.375</v>
      </c>
      <c r="BD152" s="10">
        <f>2*AV152</f>
        <v>0.717440865182838</v>
      </c>
      <c r="BE152" s="10">
        <f>AO152*BB152/AP152</f>
        <v>1.18333333333333</v>
      </c>
      <c r="BF152" s="10">
        <f>SQRT((AI152*1000/(H152*MIN(U152,AB152)))^2+(Q152*1000000*2*((H152-2*('Parametros'!$B$7+'Parametros'!$B$9/2))+(I152-2*('Parametros'!$B$7+'Parametros'!$B$9/2)))/(1.7*((H152-2*('Parametros'!$B$7+'Parametros'!$B$9/2))*(I152-2*('Parametros'!$B$7+'Parametros'!$B$9/2)))^2))^2)</f>
        <v>1.4387354760083</v>
      </c>
      <c r="BG152" s="10">
        <f>'Parametros'!$B$6*(AJ152*1000/(H152*MIN(U152,AB152))+0.66*SQRT('Parametros'!$B$2))</f>
        <v>3.29396038227542</v>
      </c>
      <c r="BH152" s="10" t="str">
        <f>IF(BF152&lt;=BG152,"CUMPLE","NO CUMPLE")</f>
        <v>CUMPLE</v>
      </c>
      <c r="BI152" s="10">
        <f>AX152*'Parametros'!$B$8</f>
        <v>1592</v>
      </c>
      <c r="BJ152" s="10" t="str">
        <f>IF(BI152&gt;=AW152,"CUMPLE","NO CUMPLE")</f>
        <v>CUMPLE</v>
      </c>
    </row>
    <row r="153">
      <c r="A153" s="15" t="inlineStr">
        <is>
          <t>VC5</t>
        </is>
      </c>
      <c r="B153" s="15" t="inlineStr">
        <is>
          <t>936</t>
        </is>
      </c>
      <c r="C153" s="10" t="n">
        <v>1</v>
      </c>
      <c r="D153" s="10" t="n">
        <v>3.3</v>
      </c>
      <c r="E153" s="10" t="n">
        <v>3.3</v>
      </c>
      <c r="F153" s="10" t="n">
        <v>450</v>
      </c>
      <c r="G153" s="10" t="n">
        <v>550</v>
      </c>
      <c r="H153" s="17" t="n">
        <v>450</v>
      </c>
      <c r="I153" s="17" t="n">
        <v>550</v>
      </c>
      <c r="J153" s="30" t="n">
        <v>130.6276</v>
      </c>
      <c r="K153" s="10" t="inlineStr">
        <is>
          <t>936</t>
        </is>
      </c>
      <c r="L153" s="30" t="n">
        <v>66.1301</v>
      </c>
      <c r="M153" s="10" t="inlineStr">
        <is>
          <t>936</t>
        </is>
      </c>
      <c r="N153" s="30" t="n">
        <v>105.229</v>
      </c>
      <c r="O153" s="30" t="n">
        <v>272.782</v>
      </c>
      <c r="P153" s="10" t="inlineStr">
        <is>
          <t>936</t>
        </is>
      </c>
      <c r="Q153" s="30" t="n">
        <v>45.8267</v>
      </c>
      <c r="R153" s="10">
        <f>MAX(MAX(1.4/'Parametros'!$B$3,0.25*SQRT('Parametros'!$B$2)/'Parametros'!$B$3)*H153*U153,(0.85*'Parametros'!$B$2/'Parametros'!$B$3)*(1-SQRT(1-2*(J153*1000000/('Parametros'!$B$5*H153*U153^2))/(0.85*'Parametros'!$B$2)))*H153*U153)</f>
        <v>734.025</v>
      </c>
      <c r="S153" s="31" t="n">
        <v>4</v>
      </c>
      <c r="T153" s="32" t="n">
        <v>1</v>
      </c>
      <c r="U153" s="10">
        <f>IF(T153=1,I153-('Parametros'!$B$7+'Parametros'!$B$9+'Parametros'!$B$12/2),I153-(ROUNDUP(S153/2,0)*('Parametros'!$B$7+'Parametros'!$B$9+'Parametros'!$B$12/2)+ROUNDDOWN(S153/2,0)*('Parametros'!$B$7+'Parametros'!$B$9+'Parametros'!$B$12/2+'Parametros'!$B$12+'Parametros'!$B$10))/S153)</f>
        <v>489.35</v>
      </c>
      <c r="V153" s="10">
        <f>S153*'Parametros'!$B$8</f>
        <v>796</v>
      </c>
      <c r="W153" s="10">
        <f>'Parametros'!$B$5*V153*'Parametros'!$B$3*(U153-(V153*'Parametros'!$B$3/(0.85*'Parametros'!$B$2*H153))/2)/1000000</f>
        <v>142.543330094118</v>
      </c>
      <c r="X153" s="10" t="str">
        <f>IF(W153&gt;=J153,"CUMPLE","NO CUMPLE")</f>
        <v>CUMPLE</v>
      </c>
      <c r="Y153" s="10">
        <f>MAX(MAX(1.4/'Parametros'!$B$3,0.25*SQRT('Parametros'!$B$2)/'Parametros'!$B$3)*H153*AB153,(0.85*'Parametros'!$B$2/'Parametros'!$B$3)*(1-SQRT(1-2*(L153*1000000/('Parametros'!$B$5*H153*AB153^2))/(0.85*'Parametros'!$B$2)))*H153*AB153)</f>
        <v>734.025</v>
      </c>
      <c r="Z153" s="31" t="n">
        <v>4</v>
      </c>
      <c r="AA153" s="32" t="n">
        <v>1</v>
      </c>
      <c r="AB153" s="10">
        <f>IF(AA153=1,I153-('Parametros'!$B$7+'Parametros'!$B$9+'Parametros'!$B$12/2),I153-(ROUNDUP(Z153/2,0)*('Parametros'!$B$7+'Parametros'!$B$9+'Parametros'!$B$12/2)+ROUNDDOWN(Z153/2,0)*('Parametros'!$B$7+'Parametros'!$B$9+'Parametros'!$B$12/2+'Parametros'!$B$12+'Parametros'!$B$10))/Z153)</f>
        <v>489.35</v>
      </c>
      <c r="AC153" s="10">
        <f>Z153*'Parametros'!$B$8</f>
        <v>796</v>
      </c>
      <c r="AD153" s="10">
        <f>'Parametros'!$B$5*AC153*'Parametros'!$B$3*(AB153-(AC153*'Parametros'!$B$3/(0.85*'Parametros'!$B$2*H153))/2)/1000000</f>
        <v>142.543330094118</v>
      </c>
      <c r="AE153" s="10" t="str">
        <f>IF(AD153&gt;=L153,"CUMPLE","NO CUMPLE")</f>
        <v>CUMPLE</v>
      </c>
      <c r="AF153" s="10">
        <f>V153*1.25*'Parametros'!$B$3*(U153-(V153*1.25*'Parametros'!$B$3/(0.85*'Parametros'!$B$2*H153))/2)/1000000</f>
        <v>196.346217941176</v>
      </c>
      <c r="AG153" s="10">
        <f>AC153*1.25*'Parametros'!$B$3*(AB153-(AC153*1.25*'Parametros'!$B$3/(0.85*'Parametros'!$B$2*H153))/2)/1000000</f>
        <v>196.346217941176</v>
      </c>
      <c r="AH153" s="10">
        <f>N153+(AF153+AG153)/D153</f>
        <v>224.226707843137</v>
      </c>
      <c r="AI153" s="10">
        <f>MAX(O153,AH153)</f>
        <v>272.782</v>
      </c>
      <c r="AJ153" s="10">
        <f>0.17*SQRT('Parametros'!$B$2)*H153*MIN(U153,AB153)/1000</f>
        <v>198.088855822627</v>
      </c>
      <c r="AK153" s="10">
        <f>MAX(AI153/'Parametros'!$B$6-AJ153,0)</f>
        <v>165.620477510706</v>
      </c>
      <c r="AL153" s="10">
        <f>0.66*SQRT('Parametros'!$B$2)*H153*MIN(U153,AB153)/1000</f>
        <v>769.050852017258</v>
      </c>
      <c r="AM153" s="10" t="str">
        <f>IF(AK153&lt;=AL153,"CUMPLE","NO CUMPLE")</f>
        <v>CUMPLE</v>
      </c>
      <c r="AN153" s="17" t="inlineStr">
        <is>
          <t>Nº4 cerrado</t>
        </is>
      </c>
      <c r="AO153" s="31" t="n">
        <v>2</v>
      </c>
      <c r="AP153" s="10">
        <f>ROUNDDOWN(MIN(IF(BC153+BD153=0,1000000000,AO153*BB153/(BC153+BD153)),MIN(U153,AB153)/4,8*'Parametros'!$B$12,24*BA153,300,IF(AV153=0,1000000000,2*((H153-2*('Parametros'!$B$7+'Parametros'!$B$9/2))+(I153-2*('Parametros'!$B$7+'Parametros'!$B$9/2)))/8))/10,0)*10</f>
        <v>120</v>
      </c>
      <c r="AQ153" s="10">
        <f>ROUNDDOWN(MIN(IF(BC153+BD153=0,1000000000,AO153*BB153/(BC153+BD153)),IF(AK153&gt;0.33*SQRT('Parametros'!$B$2)*H153*MIN(U153,AB153)/1000,MIN(U153,AB153)/4,MIN(U153,AB153)/2),600,IF(AV153=0,1000000000,2*((H153-2*('Parametros'!$B$7+'Parametros'!$B$9/2))+(I153-2*('Parametros'!$B$7+'Parametros'!$B$9/2)))/8))/10,0)*10</f>
        <v>130</v>
      </c>
      <c r="AR153" s="10">
        <f>'Parametros'!$B$6*(AJ153+MAX(BE153-BD153,0)*'Parametros'!$B$4*MIN(U153,AB153)/1000)</f>
        <v>318.511461768861</v>
      </c>
      <c r="AS153" s="10" t="str">
        <f>IF(AND(ISERROR(SEARCH("referencia",AN153)),AM153="CUMPLE",AR153&gt;=AI153),"CUMPLE","NO CUMPLE")</f>
        <v>CUMPLE</v>
      </c>
      <c r="AT153" s="10">
        <f>'Parametros'!$B$6*0.083*SQRT('Parametros'!$B$2)*(H153*I153)^2/(2*(H153+I153))/1000000</f>
        <v>10.0887830333379</v>
      </c>
      <c r="AU153" s="10" t="str">
        <f>IF(Q153&lt;=AT153,"DESPRECIABLE","DISEÑAR")</f>
        <v>DISEÑAR</v>
      </c>
      <c r="AV153" s="10">
        <f>IF(Q153&lt;=AT153,0,Q153*1000000/('Parametros'!$B$6*2*0.85*(H153-2*('Parametros'!$B$7+'Parametros'!$B$9/2))*(I153-2*('Parametros'!$B$7+'Parametros'!$B$9/2))*'Parametros'!$B$4))</f>
        <v>0.523751032218345</v>
      </c>
      <c r="AW153" s="10">
        <f>AV153*2*((H153-2*('Parametros'!$B$7+'Parametros'!$B$9/2))+(I153-2*('Parametros'!$B$7+'Parametros'!$B$9/2)))*'Parametros'!$B$4/'Parametros'!$B$3</f>
        <v>853.295181690127</v>
      </c>
      <c r="AX153" s="31" t="n">
        <v>8</v>
      </c>
      <c r="AY153" s="10" t="str">
        <f>IF(AV153=0,"DESPRECIABLE",IF(AND(ISERROR(SEARCH("referencia",AN153)),BB153/AP153&gt;=AV153,BI153&gt;=AW153,BH153="CUMPLE"),"CUMPLE","NO CUMPLE"))</f>
        <v>CUMPLE</v>
      </c>
      <c r="AZ153" s="10" t="str">
        <f>IF(AND(X153="CUMPLE",AE153="CUMPLE",AS153="CUMPLE",OR(AY153="CUMPLE",AY153="DESPRECIABLE"),BH153="CUMPLE",BJ153="CUMPLE"),"CUMPLE","NO CUMPLE")</f>
        <v>CUMPLE</v>
      </c>
      <c r="BA153" s="32" t="n">
        <v>12.7</v>
      </c>
      <c r="BB153" s="32" t="n">
        <v>129</v>
      </c>
      <c r="BC153" s="10">
        <f>MAX(IF(AK153=0,0,AK153*1000/('Parametros'!$B$4*MIN(U153,AB153))),MAX(0.062*SQRT('Parametros'!$B$2)*H153/'Parametros'!$B$4,0.35*H153/'Parametros'!$B$4))</f>
        <v>0.805833187419202</v>
      </c>
      <c r="BD153" s="10">
        <f>2*AV153</f>
        <v>1.04750206443669</v>
      </c>
      <c r="BE153" s="10">
        <f>AO153*BB153/AP153</f>
        <v>2.15</v>
      </c>
      <c r="BF153" s="10">
        <f>SQRT((AI153*1000/(H153*MIN(U153,AB153)))^2+(Q153*1000000*2*((H153-2*('Parametros'!$B$7+'Parametros'!$B$9/2))+(I153-2*('Parametros'!$B$7+'Parametros'!$B$9/2)))/(1.7*((H153-2*('Parametros'!$B$7+'Parametros'!$B$9/2))*(I153-2*('Parametros'!$B$7+'Parametros'!$B$9/2)))^2))^2)</f>
        <v>2.05928320683977</v>
      </c>
      <c r="BG153" s="10">
        <f>'Parametros'!$B$6*(AJ153*1000/(H153*MIN(U153,AB153))+0.66*SQRT('Parametros'!$B$2))</f>
        <v>3.29396038227542</v>
      </c>
      <c r="BH153" s="10" t="str">
        <f>IF(BF153&lt;=BG153,"CUMPLE","NO CUMPLE")</f>
        <v>CUMPLE</v>
      </c>
      <c r="BI153" s="10">
        <f>AX153*'Parametros'!$B$8</f>
        <v>1592</v>
      </c>
      <c r="BJ153" s="10" t="str">
        <f>IF(BI153&gt;=AW153,"CUMPLE","NO CUMPLE")</f>
        <v>CUMPLE</v>
      </c>
    </row>
    <row r="154">
      <c r="A154" s="15" t="inlineStr">
        <is>
          <t>VC5</t>
        </is>
      </c>
      <c r="B154" s="15" t="inlineStr">
        <is>
          <t>937</t>
        </is>
      </c>
      <c r="C154" s="10" t="n">
        <v>1</v>
      </c>
      <c r="D154" s="10" t="n">
        <v>3.3</v>
      </c>
      <c r="E154" s="10" t="n">
        <v>3.3</v>
      </c>
      <c r="F154" s="10" t="n">
        <v>450</v>
      </c>
      <c r="G154" s="10" t="n">
        <v>550</v>
      </c>
      <c r="H154" s="17" t="n">
        <v>450</v>
      </c>
      <c r="I154" s="17" t="n">
        <v>550</v>
      </c>
      <c r="J154" s="30" t="n">
        <v>130.517</v>
      </c>
      <c r="K154" s="10" t="inlineStr">
        <is>
          <t>937</t>
        </is>
      </c>
      <c r="L154" s="30" t="n">
        <v>66.11839999999999</v>
      </c>
      <c r="M154" s="10" t="inlineStr">
        <is>
          <t>937</t>
        </is>
      </c>
      <c r="N154" s="30" t="n">
        <v>105.129</v>
      </c>
      <c r="O154" s="30" t="n">
        <v>272.667</v>
      </c>
      <c r="P154" s="10" t="inlineStr">
        <is>
          <t>937</t>
        </is>
      </c>
      <c r="Q154" s="30" t="n">
        <v>45.7599</v>
      </c>
      <c r="R154" s="10">
        <f>MAX(MAX(1.4/'Parametros'!$B$3,0.25*SQRT('Parametros'!$B$2)/'Parametros'!$B$3)*H154*U154,(0.85*'Parametros'!$B$2/'Parametros'!$B$3)*(1-SQRT(1-2*(J154*1000000/('Parametros'!$B$5*H154*U154^2))/(0.85*'Parametros'!$B$2)))*H154*U154)</f>
        <v>734.025</v>
      </c>
      <c r="S154" s="31" t="n">
        <v>4</v>
      </c>
      <c r="T154" s="32" t="n">
        <v>1</v>
      </c>
      <c r="U154" s="10">
        <f>IF(T154=1,I154-('Parametros'!$B$7+'Parametros'!$B$9+'Parametros'!$B$12/2),I154-(ROUNDUP(S154/2,0)*('Parametros'!$B$7+'Parametros'!$B$9+'Parametros'!$B$12/2)+ROUNDDOWN(S154/2,0)*('Parametros'!$B$7+'Parametros'!$B$9+'Parametros'!$B$12/2+'Parametros'!$B$12+'Parametros'!$B$10))/S154)</f>
        <v>489.35</v>
      </c>
      <c r="V154" s="10">
        <f>S154*'Parametros'!$B$8</f>
        <v>796</v>
      </c>
      <c r="W154" s="10">
        <f>'Parametros'!$B$5*V154*'Parametros'!$B$3*(U154-(V154*'Parametros'!$B$3/(0.85*'Parametros'!$B$2*H154))/2)/1000000</f>
        <v>142.543330094118</v>
      </c>
      <c r="X154" s="10" t="str">
        <f>IF(W154&gt;=J154,"CUMPLE","NO CUMPLE")</f>
        <v>CUMPLE</v>
      </c>
      <c r="Y154" s="10">
        <f>MAX(MAX(1.4/'Parametros'!$B$3,0.25*SQRT('Parametros'!$B$2)/'Parametros'!$B$3)*H154*AB154,(0.85*'Parametros'!$B$2/'Parametros'!$B$3)*(1-SQRT(1-2*(L154*1000000/('Parametros'!$B$5*H154*AB154^2))/(0.85*'Parametros'!$B$2)))*H154*AB154)</f>
        <v>734.025</v>
      </c>
      <c r="Z154" s="31" t="n">
        <v>4</v>
      </c>
      <c r="AA154" s="32" t="n">
        <v>1</v>
      </c>
      <c r="AB154" s="10">
        <f>IF(AA154=1,I154-('Parametros'!$B$7+'Parametros'!$B$9+'Parametros'!$B$12/2),I154-(ROUNDUP(Z154/2,0)*('Parametros'!$B$7+'Parametros'!$B$9+'Parametros'!$B$12/2)+ROUNDDOWN(Z154/2,0)*('Parametros'!$B$7+'Parametros'!$B$9+'Parametros'!$B$12/2+'Parametros'!$B$12+'Parametros'!$B$10))/Z154)</f>
        <v>489.35</v>
      </c>
      <c r="AC154" s="10">
        <f>Z154*'Parametros'!$B$8</f>
        <v>796</v>
      </c>
      <c r="AD154" s="10">
        <f>'Parametros'!$B$5*AC154*'Parametros'!$B$3*(AB154-(AC154*'Parametros'!$B$3/(0.85*'Parametros'!$B$2*H154))/2)/1000000</f>
        <v>142.543330094118</v>
      </c>
      <c r="AE154" s="10" t="str">
        <f>IF(AD154&gt;=L154,"CUMPLE","NO CUMPLE")</f>
        <v>CUMPLE</v>
      </c>
      <c r="AF154" s="10">
        <f>V154*1.25*'Parametros'!$B$3*(U154-(V154*1.25*'Parametros'!$B$3/(0.85*'Parametros'!$B$2*H154))/2)/1000000</f>
        <v>196.346217941176</v>
      </c>
      <c r="AG154" s="10">
        <f>AC154*1.25*'Parametros'!$B$3*(AB154-(AC154*1.25*'Parametros'!$B$3/(0.85*'Parametros'!$B$2*H154))/2)/1000000</f>
        <v>196.346217941176</v>
      </c>
      <c r="AH154" s="10">
        <f>N154+(AF154+AG154)/D154</f>
        <v>224.126707843137</v>
      </c>
      <c r="AI154" s="10">
        <f>MAX(O154,AH154)</f>
        <v>272.667</v>
      </c>
      <c r="AJ154" s="10">
        <f>0.17*SQRT('Parametros'!$B$2)*H154*MIN(U154,AB154)/1000</f>
        <v>198.088855822627</v>
      </c>
      <c r="AK154" s="10">
        <f>MAX(AI154/'Parametros'!$B$6-AJ154,0)</f>
        <v>165.467144177373</v>
      </c>
      <c r="AL154" s="10">
        <f>0.66*SQRT('Parametros'!$B$2)*H154*MIN(U154,AB154)/1000</f>
        <v>769.050852017258</v>
      </c>
      <c r="AM154" s="10" t="str">
        <f>IF(AK154&lt;=AL154,"CUMPLE","NO CUMPLE")</f>
        <v>CUMPLE</v>
      </c>
      <c r="AN154" s="17" t="inlineStr">
        <is>
          <t>Nº4 cerrado</t>
        </is>
      </c>
      <c r="AO154" s="31" t="n">
        <v>2</v>
      </c>
      <c r="AP154" s="10">
        <f>ROUNDDOWN(MIN(IF(BC154+BD154=0,1000000000,AO154*BB154/(BC154+BD154)),MIN(U154,AB154)/4,8*'Parametros'!$B$12,24*BA154,300,IF(AV154=0,1000000000,2*((H154-2*('Parametros'!$B$7+'Parametros'!$B$9/2))+(I154-2*('Parametros'!$B$7+'Parametros'!$B$9/2)))/8))/10,0)*10</f>
        <v>120</v>
      </c>
      <c r="AQ154" s="10">
        <f>ROUNDDOWN(MIN(IF(BC154+BD154=0,1000000000,AO154*BB154/(BC154+BD154)),IF(AK154&gt;0.33*SQRT('Parametros'!$B$2)*H154*MIN(U154,AB154)/1000,MIN(U154,AB154)/4,MIN(U154,AB154)/2),600,IF(AV154=0,1000000000,2*((H154-2*('Parametros'!$B$7+'Parametros'!$B$9/2))+(I154-2*('Parametros'!$B$7+'Parametros'!$B$9/2)))/8))/10,0)*10</f>
        <v>130</v>
      </c>
      <c r="AR154" s="10">
        <f>'Parametros'!$B$6*(AJ154+MAX(BE154-BD154,0)*'Parametros'!$B$4*MIN(U154,AB154)/1000)</f>
        <v>318.74682732727</v>
      </c>
      <c r="AS154" s="10" t="str">
        <f>IF(AND(ISERROR(SEARCH("referencia",AN154)),AM154="CUMPLE",AR154&gt;=AI154),"CUMPLE","NO CUMPLE")</f>
        <v>CUMPLE</v>
      </c>
      <c r="AT154" s="10">
        <f>'Parametros'!$B$6*0.083*SQRT('Parametros'!$B$2)*(H154*I154)^2/(2*(H154+I154))/1000000</f>
        <v>10.0887830333379</v>
      </c>
      <c r="AU154" s="10" t="str">
        <f>IF(Q154&lt;=AT154,"DESPRECIABLE","DISEÑAR")</f>
        <v>DISEÑAR</v>
      </c>
      <c r="AV154" s="10">
        <f>IF(Q154&lt;=AT154,0,Q154*1000000/('Parametros'!$B$6*2*0.85*(H154-2*('Parametros'!$B$7+'Parametros'!$B$9/2))*(I154-2*('Parametros'!$B$7+'Parametros'!$B$9/2))*'Parametros'!$B$4))</f>
        <v>0.522987578403163</v>
      </c>
      <c r="AW154" s="10">
        <f>AV154*2*((H154-2*('Parametros'!$B$7+'Parametros'!$B$9/2))+(I154-2*('Parametros'!$B$7+'Parametros'!$B$9/2)))*'Parametros'!$B$4/'Parametros'!$B$3</f>
        <v>852.051362734433</v>
      </c>
      <c r="AX154" s="31" t="n">
        <v>8</v>
      </c>
      <c r="AY154" s="10" t="str">
        <f>IF(AV154=0,"DESPRECIABLE",IF(AND(ISERROR(SEARCH("referencia",AN154)),BB154/AP154&gt;=AV154,BI154&gt;=AW154,BH154="CUMPLE"),"CUMPLE","NO CUMPLE"))</f>
        <v>CUMPLE</v>
      </c>
      <c r="AZ154" s="10" t="str">
        <f>IF(AND(X154="CUMPLE",AE154="CUMPLE",AS154="CUMPLE",OR(AY154="CUMPLE",AY154="DESPRECIABLE"),BH154="CUMPLE",BJ154="CUMPLE"),"CUMPLE","NO CUMPLE")</f>
        <v>CUMPLE</v>
      </c>
      <c r="BA154" s="32" t="n">
        <v>12.7</v>
      </c>
      <c r="BB154" s="32" t="n">
        <v>129</v>
      </c>
      <c r="BC154" s="10">
        <f>MAX(IF(AK154=0,0,AK154*1000/('Parametros'!$B$4*MIN(U154,AB154))),MAX(0.062*SQRT('Parametros'!$B$2)*H154/'Parametros'!$B$4,0.35*H154/'Parametros'!$B$4))</f>
        <v>0.805087137832854</v>
      </c>
      <c r="BD154" s="10">
        <f>2*AV154</f>
        <v>1.04597515680633</v>
      </c>
      <c r="BE154" s="10">
        <f>AO154*BB154/AP154</f>
        <v>2.15</v>
      </c>
      <c r="BF154" s="10">
        <f>SQRT((AI154*1000/(H154*MIN(U154,AB154)))^2+(Q154*1000000*2*((H154-2*('Parametros'!$B$7+'Parametros'!$B$9/2))+(I154-2*('Parametros'!$B$7+'Parametros'!$B$9/2)))/(1.7*((H154-2*('Parametros'!$B$7+'Parametros'!$B$9/2))*(I154-2*('Parametros'!$B$7+'Parametros'!$B$9/2)))^2))^2)</f>
        <v>2.05705376700994</v>
      </c>
      <c r="BG154" s="10">
        <f>'Parametros'!$B$6*(AJ154*1000/(H154*MIN(U154,AB154))+0.66*SQRT('Parametros'!$B$2))</f>
        <v>3.29396038227542</v>
      </c>
      <c r="BH154" s="10" t="str">
        <f>IF(BF154&lt;=BG154,"CUMPLE","NO CUMPLE")</f>
        <v>CUMPLE</v>
      </c>
      <c r="BI154" s="10">
        <f>AX154*'Parametros'!$B$8</f>
        <v>1592</v>
      </c>
      <c r="BJ154" s="10" t="str">
        <f>IF(BI154&gt;=AW154,"CUMPLE","NO CUMPLE")</f>
        <v>CUMPLE</v>
      </c>
    </row>
    <row r="155">
      <c r="A155" s="15" t="inlineStr">
        <is>
          <t>VC5</t>
        </is>
      </c>
      <c r="B155" s="15" t="inlineStr">
        <is>
          <t>938</t>
        </is>
      </c>
      <c r="C155" s="10" t="n">
        <v>1</v>
      </c>
      <c r="D155" s="10" t="n">
        <v>3.25</v>
      </c>
      <c r="E155" s="10" t="n">
        <v>3.25</v>
      </c>
      <c r="F155" s="10" t="n">
        <v>450</v>
      </c>
      <c r="G155" s="10" t="n">
        <v>550</v>
      </c>
      <c r="H155" s="17" t="n">
        <v>450</v>
      </c>
      <c r="I155" s="17" t="n">
        <v>550</v>
      </c>
      <c r="J155" s="30" t="n">
        <v>89.26430000000001</v>
      </c>
      <c r="K155" s="10" t="inlineStr">
        <is>
          <t>938</t>
        </is>
      </c>
      <c r="L155" s="30" t="n">
        <v>53.5938</v>
      </c>
      <c r="M155" s="10" t="inlineStr">
        <is>
          <t>938</t>
        </is>
      </c>
      <c r="N155" s="30" t="n">
        <v>60.743</v>
      </c>
      <c r="O155" s="30" t="n">
        <v>197.014</v>
      </c>
      <c r="P155" s="10" t="inlineStr">
        <is>
          <t>938</t>
        </is>
      </c>
      <c r="Q155" s="30" t="n">
        <v>31.3893</v>
      </c>
      <c r="R155" s="10">
        <f>MAX(MAX(1.4/'Parametros'!$B$3,0.25*SQRT('Parametros'!$B$2)/'Parametros'!$B$3)*H155*U155,(0.85*'Parametros'!$B$2/'Parametros'!$B$3)*(1-SQRT(1-2*(J155*1000000/('Parametros'!$B$5*H155*U155^2))/(0.85*'Parametros'!$B$2)))*H155*U155)</f>
        <v>734.025</v>
      </c>
      <c r="S155" s="31" t="n">
        <v>4</v>
      </c>
      <c r="T155" s="32" t="n">
        <v>1</v>
      </c>
      <c r="U155" s="10">
        <f>IF(T155=1,I155-('Parametros'!$B$7+'Parametros'!$B$9+'Parametros'!$B$12/2),I155-(ROUNDUP(S155/2,0)*('Parametros'!$B$7+'Parametros'!$B$9+'Parametros'!$B$12/2)+ROUNDDOWN(S155/2,0)*('Parametros'!$B$7+'Parametros'!$B$9+'Parametros'!$B$12/2+'Parametros'!$B$12+'Parametros'!$B$10))/S155)</f>
        <v>489.35</v>
      </c>
      <c r="V155" s="10">
        <f>S155*'Parametros'!$B$8</f>
        <v>796</v>
      </c>
      <c r="W155" s="10">
        <f>'Parametros'!$B$5*V155*'Parametros'!$B$3*(U155-(V155*'Parametros'!$B$3/(0.85*'Parametros'!$B$2*H155))/2)/1000000</f>
        <v>142.543330094118</v>
      </c>
      <c r="X155" s="10" t="str">
        <f>IF(W155&gt;=J155,"CUMPLE","NO CUMPLE")</f>
        <v>CUMPLE</v>
      </c>
      <c r="Y155" s="10">
        <f>MAX(MAX(1.4/'Parametros'!$B$3,0.25*SQRT('Parametros'!$B$2)/'Parametros'!$B$3)*H155*AB155,(0.85*'Parametros'!$B$2/'Parametros'!$B$3)*(1-SQRT(1-2*(L155*1000000/('Parametros'!$B$5*H155*AB155^2))/(0.85*'Parametros'!$B$2)))*H155*AB155)</f>
        <v>734.025</v>
      </c>
      <c r="Z155" s="31" t="n">
        <v>4</v>
      </c>
      <c r="AA155" s="32" t="n">
        <v>1</v>
      </c>
      <c r="AB155" s="10">
        <f>IF(AA155=1,I155-('Parametros'!$B$7+'Parametros'!$B$9+'Parametros'!$B$12/2),I155-(ROUNDUP(Z155/2,0)*('Parametros'!$B$7+'Parametros'!$B$9+'Parametros'!$B$12/2)+ROUNDDOWN(Z155/2,0)*('Parametros'!$B$7+'Parametros'!$B$9+'Parametros'!$B$12/2+'Parametros'!$B$12+'Parametros'!$B$10))/Z155)</f>
        <v>489.35</v>
      </c>
      <c r="AC155" s="10">
        <f>Z155*'Parametros'!$B$8</f>
        <v>796</v>
      </c>
      <c r="AD155" s="10">
        <f>'Parametros'!$B$5*AC155*'Parametros'!$B$3*(AB155-(AC155*'Parametros'!$B$3/(0.85*'Parametros'!$B$2*H155))/2)/1000000</f>
        <v>142.543330094118</v>
      </c>
      <c r="AE155" s="10" t="str">
        <f>IF(AD155&gt;=L155,"CUMPLE","NO CUMPLE")</f>
        <v>CUMPLE</v>
      </c>
      <c r="AF155" s="10">
        <f>V155*1.25*'Parametros'!$B$3*(U155-(V155*1.25*'Parametros'!$B$3/(0.85*'Parametros'!$B$2*H155))/2)/1000000</f>
        <v>196.346217941176</v>
      </c>
      <c r="AG155" s="10">
        <f>AC155*1.25*'Parametros'!$B$3*(AB155-(AC155*1.25*'Parametros'!$B$3/(0.85*'Parametros'!$B$2*H155))/2)/1000000</f>
        <v>196.346217941176</v>
      </c>
      <c r="AH155" s="10">
        <f>N155+(AF155+AG155)/D155</f>
        <v>181.571441809955</v>
      </c>
      <c r="AI155" s="10">
        <f>MAX(O155,AH155)</f>
        <v>197.014</v>
      </c>
      <c r="AJ155" s="10">
        <f>0.17*SQRT('Parametros'!$B$2)*H155*MIN(U155,AB155)/1000</f>
        <v>198.088855822627</v>
      </c>
      <c r="AK155" s="10">
        <f>MAX(AI155/'Parametros'!$B$6-AJ155,0)</f>
        <v>64.5964775107064</v>
      </c>
      <c r="AL155" s="10">
        <f>0.66*SQRT('Parametros'!$B$2)*H155*MIN(U155,AB155)/1000</f>
        <v>769.050852017258</v>
      </c>
      <c r="AM155" s="10" t="str">
        <f>IF(AK155&lt;=AL155,"CUMPLE","NO CUMPLE")</f>
        <v>CUMPLE</v>
      </c>
      <c r="AN155" s="17" t="inlineStr">
        <is>
          <t>Nº3 cerrado</t>
        </is>
      </c>
      <c r="AO155" s="31" t="n">
        <v>2</v>
      </c>
      <c r="AP155" s="10">
        <f>ROUNDDOWN(MIN(IF(BC155+BD155=0,1000000000,AO155*BB155/(BC155+BD155)),MIN(U155,AB155)/4,8*'Parametros'!$B$12,24*BA155,300,IF(AV155=0,1000000000,2*((H155-2*('Parametros'!$B$7+'Parametros'!$B$9/2))+(I155-2*('Parametros'!$B$7+'Parametros'!$B$9/2)))/8))/10,0)*10</f>
        <v>120</v>
      </c>
      <c r="AQ155" s="10">
        <f>ROUNDDOWN(MIN(IF(BC155+BD155=0,1000000000,AO155*BB155/(BC155+BD155)),IF(AK155&gt;0.33*SQRT('Parametros'!$B$2)*H155*MIN(U155,AB155)/1000,MIN(U155,AB155)/4,MIN(U155,AB155)/2),600,IF(AV155=0,1000000000,2*((H155-2*('Parametros'!$B$7+'Parametros'!$B$9/2))+(I155-2*('Parametros'!$B$7+'Parametros'!$B$9/2)))/8))/10,0)*10</f>
        <v>120</v>
      </c>
      <c r="AR155" s="10">
        <f>'Parametros'!$B$6*(AJ155+MAX(BE155-BD155,0)*'Parametros'!$B$4*MIN(U155,AB155)/1000)</f>
        <v>220.373648939188</v>
      </c>
      <c r="AS155" s="10" t="str">
        <f>IF(AND(ISERROR(SEARCH("referencia",AN155)),AM155="CUMPLE",AR155&gt;=AI155),"CUMPLE","NO CUMPLE")</f>
        <v>CUMPLE</v>
      </c>
      <c r="AT155" s="10">
        <f>'Parametros'!$B$6*0.083*SQRT('Parametros'!$B$2)*(H155*I155)^2/(2*(H155+I155))/1000000</f>
        <v>10.0887830333379</v>
      </c>
      <c r="AU155" s="10" t="str">
        <f>IF(Q155&lt;=AT155,"DESPRECIABLE","DISEÑAR")</f>
        <v>DISEÑAR</v>
      </c>
      <c r="AV155" s="10">
        <f>IF(Q155&lt;=AT155,0,Q155*1000000/('Parametros'!$B$6*2*0.85*(H155-2*('Parametros'!$B$7+'Parametros'!$B$9/2))*(I155-2*('Parametros'!$B$7+'Parametros'!$B$9/2))*'Parametros'!$B$4))</f>
        <v>0.358746719174876</v>
      </c>
      <c r="AW155" s="10">
        <f>AV155*2*((H155-2*('Parametros'!$B$7+'Parametros'!$B$9/2))+(I155-2*('Parametros'!$B$7+'Parametros'!$B$9/2)))*'Parametros'!$B$4/'Parametros'!$B$3</f>
        <v>584.470154879708</v>
      </c>
      <c r="AX155" s="31" t="n">
        <v>8</v>
      </c>
      <c r="AY155" s="10" t="str">
        <f>IF(AV155=0,"DESPRECIABLE",IF(AND(ISERROR(SEARCH("referencia",AN155)),BB155/AP155&gt;=AV155,BI155&gt;=AW155,BH155="CUMPLE"),"CUMPLE","NO CUMPLE"))</f>
        <v>CUMPLE</v>
      </c>
      <c r="AZ155" s="10" t="str">
        <f>IF(AND(X155="CUMPLE",AE155="CUMPLE",AS155="CUMPLE",OR(AY155="CUMPLE",AY155="DESPRECIABLE"),BH155="CUMPLE",BJ155="CUMPLE"),"CUMPLE","NO CUMPLE")</f>
        <v>CUMPLE</v>
      </c>
      <c r="BA155" s="32" t="n">
        <v>9.5</v>
      </c>
      <c r="BB155" s="32" t="n">
        <v>71</v>
      </c>
      <c r="BC155" s="10">
        <f>MAX(IF(AK155=0,0,AK155*1000/('Parametros'!$B$4*MIN(U155,AB155))),MAX(0.062*SQRT('Parametros'!$B$2)*H155/'Parametros'!$B$4,0.35*H155/'Parametros'!$B$4))</f>
        <v>0.375</v>
      </c>
      <c r="BD155" s="10">
        <f>2*AV155</f>
        <v>0.717493438349752</v>
      </c>
      <c r="BE155" s="10">
        <f>AO155*BB155/AP155</f>
        <v>1.18333333333333</v>
      </c>
      <c r="BF155" s="10">
        <f>SQRT((AI155*1000/(H155*MIN(U155,AB155)))^2+(Q155*1000000*2*((H155-2*('Parametros'!$B$7+'Parametros'!$B$9/2))+(I155-2*('Parametros'!$B$7+'Parametros'!$B$9/2)))/(1.7*((H155-2*('Parametros'!$B$7+'Parametros'!$B$9/2))*(I155-2*('Parametros'!$B$7+'Parametros'!$B$9/2)))^2))^2)</f>
        <v>1.4387747182988</v>
      </c>
      <c r="BG155" s="10">
        <f>'Parametros'!$B$6*(AJ155*1000/(H155*MIN(U155,AB155))+0.66*SQRT('Parametros'!$B$2))</f>
        <v>3.29396038227542</v>
      </c>
      <c r="BH155" s="10" t="str">
        <f>IF(BF155&lt;=BG155,"CUMPLE","NO CUMPLE")</f>
        <v>CUMPLE</v>
      </c>
      <c r="BI155" s="10">
        <f>AX155*'Parametros'!$B$8</f>
        <v>1592</v>
      </c>
      <c r="BJ155" s="10" t="str">
        <f>IF(BI155&gt;=AW155,"CUMPLE","NO CUMPLE")</f>
        <v>CUMPLE</v>
      </c>
    </row>
    <row r="156">
      <c r="A156" s="15" t="inlineStr">
        <is>
          <t>VC5</t>
        </is>
      </c>
      <c r="B156" s="15" t="inlineStr">
        <is>
          <t>1009</t>
        </is>
      </c>
      <c r="C156" s="10" t="n">
        <v>1</v>
      </c>
      <c r="D156" s="10" t="n">
        <v>3.25</v>
      </c>
      <c r="E156" s="10" t="n">
        <v>3.25</v>
      </c>
      <c r="F156" s="10" t="n">
        <v>450</v>
      </c>
      <c r="G156" s="10" t="n">
        <v>550</v>
      </c>
      <c r="H156" s="17" t="n">
        <v>450</v>
      </c>
      <c r="I156" s="17" t="n">
        <v>550</v>
      </c>
      <c r="J156" s="30" t="n">
        <v>42.0621</v>
      </c>
      <c r="K156" s="10" t="inlineStr">
        <is>
          <t>1009</t>
        </is>
      </c>
      <c r="L156" s="30" t="n">
        <v>19.4657</v>
      </c>
      <c r="M156" s="10" t="inlineStr">
        <is>
          <t>1009</t>
        </is>
      </c>
      <c r="N156" s="30" t="n">
        <v>35.483</v>
      </c>
      <c r="O156" s="30" t="n">
        <v>87.02</v>
      </c>
      <c r="P156" s="10" t="inlineStr">
        <is>
          <t>1009</t>
        </is>
      </c>
      <c r="Q156" s="30" t="n">
        <v>13.7011</v>
      </c>
      <c r="R156" s="10">
        <f>MAX(MAX(1.4/'Parametros'!$B$3,0.25*SQRT('Parametros'!$B$2)/'Parametros'!$B$3)*H156*U156,(0.85*'Parametros'!$B$2/'Parametros'!$B$3)*(1-SQRT(1-2*(J156*1000000/('Parametros'!$B$5*H156*U156^2))/(0.85*'Parametros'!$B$2)))*H156*U156)</f>
        <v>734.025</v>
      </c>
      <c r="S156" s="31" t="n">
        <v>4</v>
      </c>
      <c r="T156" s="32" t="n">
        <v>1</v>
      </c>
      <c r="U156" s="10">
        <f>IF(T156=1,I156-('Parametros'!$B$7+'Parametros'!$B$9+'Parametros'!$B$12/2),I156-(ROUNDUP(S156/2,0)*('Parametros'!$B$7+'Parametros'!$B$9+'Parametros'!$B$12/2)+ROUNDDOWN(S156/2,0)*('Parametros'!$B$7+'Parametros'!$B$9+'Parametros'!$B$12/2+'Parametros'!$B$12+'Parametros'!$B$10))/S156)</f>
        <v>489.35</v>
      </c>
      <c r="V156" s="10">
        <f>S156*'Parametros'!$B$8</f>
        <v>796</v>
      </c>
      <c r="W156" s="10">
        <f>'Parametros'!$B$5*V156*'Parametros'!$B$3*(U156-(V156*'Parametros'!$B$3/(0.85*'Parametros'!$B$2*H156))/2)/1000000</f>
        <v>142.543330094118</v>
      </c>
      <c r="X156" s="10" t="str">
        <f>IF(W156&gt;=J156,"CUMPLE","NO CUMPLE")</f>
        <v>CUMPLE</v>
      </c>
      <c r="Y156" s="10">
        <f>MAX(MAX(1.4/'Parametros'!$B$3,0.25*SQRT('Parametros'!$B$2)/'Parametros'!$B$3)*H156*AB156,(0.85*'Parametros'!$B$2/'Parametros'!$B$3)*(1-SQRT(1-2*(L156*1000000/('Parametros'!$B$5*H156*AB156^2))/(0.85*'Parametros'!$B$2)))*H156*AB156)</f>
        <v>734.025</v>
      </c>
      <c r="Z156" s="31" t="n">
        <v>4</v>
      </c>
      <c r="AA156" s="32" t="n">
        <v>1</v>
      </c>
      <c r="AB156" s="10">
        <f>IF(AA156=1,I156-('Parametros'!$B$7+'Parametros'!$B$9+'Parametros'!$B$12/2),I156-(ROUNDUP(Z156/2,0)*('Parametros'!$B$7+'Parametros'!$B$9+'Parametros'!$B$12/2)+ROUNDDOWN(Z156/2,0)*('Parametros'!$B$7+'Parametros'!$B$9+'Parametros'!$B$12/2+'Parametros'!$B$12+'Parametros'!$B$10))/Z156)</f>
        <v>489.35</v>
      </c>
      <c r="AC156" s="10">
        <f>Z156*'Parametros'!$B$8</f>
        <v>796</v>
      </c>
      <c r="AD156" s="10">
        <f>'Parametros'!$B$5*AC156*'Parametros'!$B$3*(AB156-(AC156*'Parametros'!$B$3/(0.85*'Parametros'!$B$2*H156))/2)/1000000</f>
        <v>142.543330094118</v>
      </c>
      <c r="AE156" s="10" t="str">
        <f>IF(AD156&gt;=L156,"CUMPLE","NO CUMPLE")</f>
        <v>CUMPLE</v>
      </c>
      <c r="AF156" s="10">
        <f>V156*1.25*'Parametros'!$B$3*(U156-(V156*1.25*'Parametros'!$B$3/(0.85*'Parametros'!$B$2*H156))/2)/1000000</f>
        <v>196.346217941176</v>
      </c>
      <c r="AG156" s="10">
        <f>AC156*1.25*'Parametros'!$B$3*(AB156-(AC156*1.25*'Parametros'!$B$3/(0.85*'Parametros'!$B$2*H156))/2)/1000000</f>
        <v>196.346217941176</v>
      </c>
      <c r="AH156" s="10">
        <f>N156+(AF156+AG156)/D156</f>
        <v>156.311441809955</v>
      </c>
      <c r="AI156" s="10">
        <f>MAX(O156,AH156)</f>
        <v>156.311441809955</v>
      </c>
      <c r="AJ156" s="10">
        <f>0.17*SQRT('Parametros'!$B$2)*H156*MIN(U156,AB156)/1000</f>
        <v>198.088855822627</v>
      </c>
      <c r="AK156" s="10">
        <f>MAX(AI156/'Parametros'!$B$6-AJ156,0)</f>
        <v>10.3263999239794</v>
      </c>
      <c r="AL156" s="10">
        <f>0.66*SQRT('Parametros'!$B$2)*H156*MIN(U156,AB156)/1000</f>
        <v>769.050852017258</v>
      </c>
      <c r="AM156" s="10" t="str">
        <f>IF(AK156&lt;=AL156,"CUMPLE","NO CUMPLE")</f>
        <v>CUMPLE</v>
      </c>
      <c r="AN156" s="17" t="inlineStr">
        <is>
          <t>Nº3 cerrado</t>
        </is>
      </c>
      <c r="AO156" s="31" t="n">
        <v>2</v>
      </c>
      <c r="AP156" s="10">
        <f>ROUNDDOWN(MIN(IF(BC156+BD156=0,1000000000,AO156*BB156/(BC156+BD156)),MIN(U156,AB156)/4,8*'Parametros'!$B$12,24*BA156,300,IF(AV156=0,1000000000,2*((H156-2*('Parametros'!$B$7+'Parametros'!$B$9/2))+(I156-2*('Parametros'!$B$7+'Parametros'!$B$9/2)))/8))/10,0)*10</f>
        <v>120</v>
      </c>
      <c r="AQ156" s="10">
        <f>ROUNDDOWN(MIN(IF(BC156+BD156=0,1000000000,AO156*BB156/(BC156+BD156)),IF(AK156&gt;0.33*SQRT('Parametros'!$B$2)*H156*MIN(U156,AB156)/1000,MIN(U156,AB156)/4,MIN(U156,AB156)/2),600,IF(AV156=0,1000000000,2*((H156-2*('Parametros'!$B$7+'Parametros'!$B$9/2))+(I156-2*('Parametros'!$B$7+'Parametros'!$B$9/2)))/8))/10,0)*10</f>
        <v>200</v>
      </c>
      <c r="AR156" s="10">
        <f>'Parametros'!$B$6*(AJ156+MAX(BE156-BD156,0)*'Parametros'!$B$4*MIN(U156,AB156)/1000)</f>
        <v>282.696898493899</v>
      </c>
      <c r="AS156" s="10" t="str">
        <f>IF(AND(ISERROR(SEARCH("referencia",AN156)),AM156="CUMPLE",AR156&gt;=AI156),"CUMPLE","NO CUMPLE")</f>
        <v>CUMPLE</v>
      </c>
      <c r="AT156" s="10">
        <f>'Parametros'!$B$6*0.083*SQRT('Parametros'!$B$2)*(H156*I156)^2/(2*(H156+I156))/1000000</f>
        <v>10.0887830333379</v>
      </c>
      <c r="AU156" s="10" t="str">
        <f>IF(Q156&lt;=AT156,"DESPRECIABLE","DISEÑAR")</f>
        <v>DISEÑAR</v>
      </c>
      <c r="AV156" s="10">
        <f>IF(Q156&lt;=AT156,0,Q156*1000000/('Parametros'!$B$6*2*0.85*(H156-2*('Parametros'!$B$7+'Parametros'!$B$9/2))*(I156-2*('Parametros'!$B$7+'Parametros'!$B$9/2))*'Parametros'!$B$4))</f>
        <v>0.156589177652477</v>
      </c>
      <c r="AW156" s="10">
        <f>AV156*2*((H156-2*('Parametros'!$B$7+'Parametros'!$B$9/2))+(I156-2*('Parametros'!$B$7+'Parametros'!$B$9/2)))*'Parametros'!$B$4/'Parametros'!$B$3</f>
        <v>255.115088231415</v>
      </c>
      <c r="AX156" s="31" t="n">
        <v>8</v>
      </c>
      <c r="AY156" s="10" t="str">
        <f>IF(AV156=0,"DESPRECIABLE",IF(AND(ISERROR(SEARCH("referencia",AN156)),BB156/AP156&gt;=AV156,BI156&gt;=AW156,BH156="CUMPLE"),"CUMPLE","NO CUMPLE"))</f>
        <v>CUMPLE</v>
      </c>
      <c r="AZ156" s="10" t="str">
        <f>IF(AND(X156="CUMPLE",AE156="CUMPLE",AS156="CUMPLE",OR(AY156="CUMPLE",AY156="DESPRECIABLE"),BH156="CUMPLE",BJ156="CUMPLE"),"CUMPLE","NO CUMPLE")</f>
        <v>CUMPLE</v>
      </c>
      <c r="BA156" s="32" t="n">
        <v>9.5</v>
      </c>
      <c r="BB156" s="32" t="n">
        <v>71</v>
      </c>
      <c r="BC156" s="10">
        <f>MAX(IF(AK156=0,0,AK156*1000/('Parametros'!$B$4*MIN(U156,AB156))),MAX(0.062*SQRT('Parametros'!$B$2)*H156/'Parametros'!$B$4,0.35*H156/'Parametros'!$B$4))</f>
        <v>0.375</v>
      </c>
      <c r="BD156" s="10">
        <f>2*AV156</f>
        <v>0.313178355304954</v>
      </c>
      <c r="BE156" s="10">
        <f>AO156*BB156/AP156</f>
        <v>1.18333333333333</v>
      </c>
      <c r="BF156" s="10">
        <f>SQRT((AI156*1000/(H156*MIN(U156,AB156)))^2+(Q156*1000000*2*((H156-2*('Parametros'!$B$7+'Parametros'!$B$9/2))+(I156-2*('Parametros'!$B$7+'Parametros'!$B$9/2)))/(1.7*((H156-2*('Parametros'!$B$7+'Parametros'!$B$9/2))*(I156-2*('Parametros'!$B$7+'Parametros'!$B$9/2)))^2))^2)</f>
        <v>0.863575451471455</v>
      </c>
      <c r="BG156" s="10">
        <f>'Parametros'!$B$6*(AJ156*1000/(H156*MIN(U156,AB156))+0.66*SQRT('Parametros'!$B$2))</f>
        <v>3.29396038227542</v>
      </c>
      <c r="BH156" s="10" t="str">
        <f>IF(BF156&lt;=BG156,"CUMPLE","NO CUMPLE")</f>
        <v>CUMPLE</v>
      </c>
      <c r="BI156" s="10">
        <f>AX156*'Parametros'!$B$8</f>
        <v>1592</v>
      </c>
      <c r="BJ156" s="10" t="str">
        <f>IF(BI156&gt;=AW156,"CUMPLE","NO CUMPLE")</f>
        <v>CUMPLE</v>
      </c>
    </row>
    <row r="157">
      <c r="A157" s="15" t="inlineStr">
        <is>
          <t>VC5</t>
        </is>
      </c>
      <c r="B157" s="15" t="inlineStr">
        <is>
          <t>1010</t>
        </is>
      </c>
      <c r="C157" s="10" t="n">
        <v>1</v>
      </c>
      <c r="D157" s="10" t="n">
        <v>3.3</v>
      </c>
      <c r="E157" s="10" t="n">
        <v>3.3</v>
      </c>
      <c r="F157" s="10" t="n">
        <v>450</v>
      </c>
      <c r="G157" s="10" t="n">
        <v>550</v>
      </c>
      <c r="H157" s="17" t="n">
        <v>450</v>
      </c>
      <c r="I157" s="17" t="n">
        <v>550</v>
      </c>
      <c r="J157" s="30" t="n">
        <v>82.4498</v>
      </c>
      <c r="K157" s="10" t="inlineStr">
        <is>
          <t>1010</t>
        </is>
      </c>
      <c r="L157" s="30" t="n">
        <v>29.6486</v>
      </c>
      <c r="M157" s="10" t="inlineStr">
        <is>
          <t>1010</t>
        </is>
      </c>
      <c r="N157" s="30" t="n">
        <v>77.39700000000001</v>
      </c>
      <c r="O157" s="30" t="n">
        <v>152.929</v>
      </c>
      <c r="P157" s="10" t="inlineStr">
        <is>
          <t>1010</t>
        </is>
      </c>
      <c r="Q157" s="30" t="n">
        <v>18.9069</v>
      </c>
      <c r="R157" s="10">
        <f>MAX(MAX(1.4/'Parametros'!$B$3,0.25*SQRT('Parametros'!$B$2)/'Parametros'!$B$3)*H157*U157,(0.85*'Parametros'!$B$2/'Parametros'!$B$3)*(1-SQRT(1-2*(J157*1000000/('Parametros'!$B$5*H157*U157^2))/(0.85*'Parametros'!$B$2)))*H157*U157)</f>
        <v>734.025</v>
      </c>
      <c r="S157" s="31" t="n">
        <v>4</v>
      </c>
      <c r="T157" s="32" t="n">
        <v>1</v>
      </c>
      <c r="U157" s="10">
        <f>IF(T157=1,I157-('Parametros'!$B$7+'Parametros'!$B$9+'Parametros'!$B$12/2),I157-(ROUNDUP(S157/2,0)*('Parametros'!$B$7+'Parametros'!$B$9+'Parametros'!$B$12/2)+ROUNDDOWN(S157/2,0)*('Parametros'!$B$7+'Parametros'!$B$9+'Parametros'!$B$12/2+'Parametros'!$B$12+'Parametros'!$B$10))/S157)</f>
        <v>489.35</v>
      </c>
      <c r="V157" s="10">
        <f>S157*'Parametros'!$B$8</f>
        <v>796</v>
      </c>
      <c r="W157" s="10">
        <f>'Parametros'!$B$5*V157*'Parametros'!$B$3*(U157-(V157*'Parametros'!$B$3/(0.85*'Parametros'!$B$2*H157))/2)/1000000</f>
        <v>142.543330094118</v>
      </c>
      <c r="X157" s="10" t="str">
        <f>IF(W157&gt;=J157,"CUMPLE","NO CUMPLE")</f>
        <v>CUMPLE</v>
      </c>
      <c r="Y157" s="10">
        <f>MAX(MAX(1.4/'Parametros'!$B$3,0.25*SQRT('Parametros'!$B$2)/'Parametros'!$B$3)*H157*AB157,(0.85*'Parametros'!$B$2/'Parametros'!$B$3)*(1-SQRT(1-2*(L157*1000000/('Parametros'!$B$5*H157*AB157^2))/(0.85*'Parametros'!$B$2)))*H157*AB157)</f>
        <v>734.025</v>
      </c>
      <c r="Z157" s="31" t="n">
        <v>4</v>
      </c>
      <c r="AA157" s="32" t="n">
        <v>1</v>
      </c>
      <c r="AB157" s="10">
        <f>IF(AA157=1,I157-('Parametros'!$B$7+'Parametros'!$B$9+'Parametros'!$B$12/2),I157-(ROUNDUP(Z157/2,0)*('Parametros'!$B$7+'Parametros'!$B$9+'Parametros'!$B$12/2)+ROUNDDOWN(Z157/2,0)*('Parametros'!$B$7+'Parametros'!$B$9+'Parametros'!$B$12/2+'Parametros'!$B$12+'Parametros'!$B$10))/Z157)</f>
        <v>489.35</v>
      </c>
      <c r="AC157" s="10">
        <f>Z157*'Parametros'!$B$8</f>
        <v>796</v>
      </c>
      <c r="AD157" s="10">
        <f>'Parametros'!$B$5*AC157*'Parametros'!$B$3*(AB157-(AC157*'Parametros'!$B$3/(0.85*'Parametros'!$B$2*H157))/2)/1000000</f>
        <v>142.543330094118</v>
      </c>
      <c r="AE157" s="10" t="str">
        <f>IF(AD157&gt;=L157,"CUMPLE","NO CUMPLE")</f>
        <v>CUMPLE</v>
      </c>
      <c r="AF157" s="10">
        <f>V157*1.25*'Parametros'!$B$3*(U157-(V157*1.25*'Parametros'!$B$3/(0.85*'Parametros'!$B$2*H157))/2)/1000000</f>
        <v>196.346217941176</v>
      </c>
      <c r="AG157" s="10">
        <f>AC157*1.25*'Parametros'!$B$3*(AB157-(AC157*1.25*'Parametros'!$B$3/(0.85*'Parametros'!$B$2*H157))/2)/1000000</f>
        <v>196.346217941176</v>
      </c>
      <c r="AH157" s="10">
        <f>N157+(AF157+AG157)/D157</f>
        <v>196.394707843137</v>
      </c>
      <c r="AI157" s="10">
        <f>MAX(O157,AH157)</f>
        <v>196.394707843137</v>
      </c>
      <c r="AJ157" s="10">
        <f>0.17*SQRT('Parametros'!$B$2)*H157*MIN(U157,AB157)/1000</f>
        <v>198.088855822627</v>
      </c>
      <c r="AK157" s="10">
        <f>MAX(AI157/'Parametros'!$B$6-AJ157,0)</f>
        <v>63.7707546348894</v>
      </c>
      <c r="AL157" s="10">
        <f>0.66*SQRT('Parametros'!$B$2)*H157*MIN(U157,AB157)/1000</f>
        <v>769.050852017258</v>
      </c>
      <c r="AM157" s="10" t="str">
        <f>IF(AK157&lt;=AL157,"CUMPLE","NO CUMPLE")</f>
        <v>CUMPLE</v>
      </c>
      <c r="AN157" s="17" t="inlineStr">
        <is>
          <t>Nº3 cerrado</t>
        </is>
      </c>
      <c r="AO157" s="31" t="n">
        <v>2</v>
      </c>
      <c r="AP157" s="10">
        <f>ROUNDDOWN(MIN(IF(BC157+BD157=0,1000000000,AO157*BB157/(BC157+BD157)),MIN(U157,AB157)/4,8*'Parametros'!$B$12,24*BA157,300,IF(AV157=0,1000000000,2*((H157-2*('Parametros'!$B$7+'Parametros'!$B$9/2))+(I157-2*('Parametros'!$B$7+'Parametros'!$B$9/2)))/8))/10,0)*10</f>
        <v>120</v>
      </c>
      <c r="AQ157" s="10">
        <f>ROUNDDOWN(MIN(IF(BC157+BD157=0,1000000000,AO157*BB157/(BC157+BD157)),IF(AK157&gt;0.33*SQRT('Parametros'!$B$2)*H157*MIN(U157,AB157)/1000,MIN(U157,AB157)/4,MIN(U157,AB157)/2),600,IF(AV157=0,1000000000,2*((H157-2*('Parametros'!$B$7+'Parametros'!$B$9/2))+(I157-2*('Parametros'!$B$7+'Parametros'!$B$9/2)))/8))/10,0)*10</f>
        <v>170</v>
      </c>
      <c r="AR157" s="10">
        <f>'Parametros'!$B$6*(AJ157+MAX(BE157-BD157,0)*'Parametros'!$B$4*MIN(U157,AB157)/1000)</f>
        <v>264.354592745891</v>
      </c>
      <c r="AS157" s="10" t="str">
        <f>IF(AND(ISERROR(SEARCH("referencia",AN157)),AM157="CUMPLE",AR157&gt;=AI157),"CUMPLE","NO CUMPLE")</f>
        <v>CUMPLE</v>
      </c>
      <c r="AT157" s="10">
        <f>'Parametros'!$B$6*0.083*SQRT('Parametros'!$B$2)*(H157*I157)^2/(2*(H157+I157))/1000000</f>
        <v>10.0887830333379</v>
      </c>
      <c r="AU157" s="10" t="str">
        <f>IF(Q157&lt;=AT157,"DESPRECIABLE","DISEÑAR")</f>
        <v>DISEÑAR</v>
      </c>
      <c r="AV157" s="10">
        <f>IF(Q157&lt;=AT157,0,Q157*1000000/('Parametros'!$B$6*2*0.85*(H157-2*('Parametros'!$B$7+'Parametros'!$B$9/2))*(I157-2*('Parametros'!$B$7+'Parametros'!$B$9/2))*'Parametros'!$B$4))</f>
        <v>0.216086002069733</v>
      </c>
      <c r="AW157" s="10">
        <f>AV157*2*((H157-2*('Parametros'!$B$7+'Parametros'!$B$9/2))+(I157-2*('Parametros'!$B$7+'Parametros'!$B$9/2)))*'Parametros'!$B$4/'Parametros'!$B$3</f>
        <v>352.047314572009</v>
      </c>
      <c r="AX157" s="31" t="n">
        <v>8</v>
      </c>
      <c r="AY157" s="10" t="str">
        <f>IF(AV157=0,"DESPRECIABLE",IF(AND(ISERROR(SEARCH("referencia",AN157)),BB157/AP157&gt;=AV157,BI157&gt;=AW157,BH157="CUMPLE"),"CUMPLE","NO CUMPLE"))</f>
        <v>CUMPLE</v>
      </c>
      <c r="AZ157" s="10" t="str">
        <f>IF(AND(X157="CUMPLE",AE157="CUMPLE",AS157="CUMPLE",OR(AY157="CUMPLE",AY157="DESPRECIABLE"),BH157="CUMPLE",BJ157="CUMPLE"),"CUMPLE","NO CUMPLE")</f>
        <v>CUMPLE</v>
      </c>
      <c r="BA157" s="32" t="n">
        <v>9.5</v>
      </c>
      <c r="BB157" s="32" t="n">
        <v>71</v>
      </c>
      <c r="BC157" s="10">
        <f>MAX(IF(AK157=0,0,AK157*1000/('Parametros'!$B$4*MIN(U157,AB157))),MAX(0.062*SQRT('Parametros'!$B$2)*H157/'Parametros'!$B$4,0.35*H157/'Parametros'!$B$4))</f>
        <v>0.375</v>
      </c>
      <c r="BD157" s="10">
        <f>2*AV157</f>
        <v>0.432172004139466</v>
      </c>
      <c r="BE157" s="10">
        <f>AO157*BB157/AP157</f>
        <v>1.18333333333333</v>
      </c>
      <c r="BF157" s="10">
        <f>SQRT((AI157*1000/(H157*MIN(U157,AB157)))^2+(Q157*1000000*2*((H157-2*('Parametros'!$B$7+'Parametros'!$B$9/2))+(I157-2*('Parametros'!$B$7+'Parametros'!$B$9/2)))/(1.7*((H157-2*('Parametros'!$B$7+'Parametros'!$B$9/2))*(I157-2*('Parametros'!$B$7+'Parametros'!$B$9/2)))^2))^2)</f>
        <v>1.12073661374338</v>
      </c>
      <c r="BG157" s="10">
        <f>'Parametros'!$B$6*(AJ157*1000/(H157*MIN(U157,AB157))+0.66*SQRT('Parametros'!$B$2))</f>
        <v>3.29396038227542</v>
      </c>
      <c r="BH157" s="10" t="str">
        <f>IF(BF157&lt;=BG157,"CUMPLE","NO CUMPLE")</f>
        <v>CUMPLE</v>
      </c>
      <c r="BI157" s="10">
        <f>AX157*'Parametros'!$B$8</f>
        <v>1592</v>
      </c>
      <c r="BJ157" s="10" t="str">
        <f>IF(BI157&gt;=AW157,"CUMPLE","NO CUMPLE")</f>
        <v>CUMPLE</v>
      </c>
    </row>
    <row r="158">
      <c r="A158" s="15" t="inlineStr">
        <is>
          <t>VC5</t>
        </is>
      </c>
      <c r="B158" s="15" t="inlineStr">
        <is>
          <t>1011</t>
        </is>
      </c>
      <c r="C158" s="10" t="n">
        <v>1</v>
      </c>
      <c r="D158" s="10" t="n">
        <v>3.3</v>
      </c>
      <c r="E158" s="10" t="n">
        <v>3.3</v>
      </c>
      <c r="F158" s="10" t="n">
        <v>450</v>
      </c>
      <c r="G158" s="10" t="n">
        <v>550</v>
      </c>
      <c r="H158" s="17" t="n">
        <v>450</v>
      </c>
      <c r="I158" s="17" t="n">
        <v>550</v>
      </c>
      <c r="J158" s="30" t="n">
        <v>82.57470000000001</v>
      </c>
      <c r="K158" s="10" t="inlineStr">
        <is>
          <t>1011</t>
        </is>
      </c>
      <c r="L158" s="30" t="n">
        <v>29.6205</v>
      </c>
      <c r="M158" s="10" t="inlineStr">
        <is>
          <t>1011</t>
        </is>
      </c>
      <c r="N158" s="30" t="n">
        <v>77.48999999999999</v>
      </c>
      <c r="O158" s="30" t="n">
        <v>153.029</v>
      </c>
      <c r="P158" s="10" t="inlineStr">
        <is>
          <t>1011</t>
        </is>
      </c>
      <c r="Q158" s="30" t="n">
        <v>18.9167</v>
      </c>
      <c r="R158" s="10">
        <f>MAX(MAX(1.4/'Parametros'!$B$3,0.25*SQRT('Parametros'!$B$2)/'Parametros'!$B$3)*H158*U158,(0.85*'Parametros'!$B$2/'Parametros'!$B$3)*(1-SQRT(1-2*(J158*1000000/('Parametros'!$B$5*H158*U158^2))/(0.85*'Parametros'!$B$2)))*H158*U158)</f>
        <v>734.025</v>
      </c>
      <c r="S158" s="31" t="n">
        <v>4</v>
      </c>
      <c r="T158" s="32" t="n">
        <v>1</v>
      </c>
      <c r="U158" s="10">
        <f>IF(T158=1,I158-('Parametros'!$B$7+'Parametros'!$B$9+'Parametros'!$B$12/2),I158-(ROUNDUP(S158/2,0)*('Parametros'!$B$7+'Parametros'!$B$9+'Parametros'!$B$12/2)+ROUNDDOWN(S158/2,0)*('Parametros'!$B$7+'Parametros'!$B$9+'Parametros'!$B$12/2+'Parametros'!$B$12+'Parametros'!$B$10))/S158)</f>
        <v>489.35</v>
      </c>
      <c r="V158" s="10">
        <f>S158*'Parametros'!$B$8</f>
        <v>796</v>
      </c>
      <c r="W158" s="10">
        <f>'Parametros'!$B$5*V158*'Parametros'!$B$3*(U158-(V158*'Parametros'!$B$3/(0.85*'Parametros'!$B$2*H158))/2)/1000000</f>
        <v>142.543330094118</v>
      </c>
      <c r="X158" s="10" t="str">
        <f>IF(W158&gt;=J158,"CUMPLE","NO CUMPLE")</f>
        <v>CUMPLE</v>
      </c>
      <c r="Y158" s="10">
        <f>MAX(MAX(1.4/'Parametros'!$B$3,0.25*SQRT('Parametros'!$B$2)/'Parametros'!$B$3)*H158*AB158,(0.85*'Parametros'!$B$2/'Parametros'!$B$3)*(1-SQRT(1-2*(L158*1000000/('Parametros'!$B$5*H158*AB158^2))/(0.85*'Parametros'!$B$2)))*H158*AB158)</f>
        <v>734.025</v>
      </c>
      <c r="Z158" s="31" t="n">
        <v>4</v>
      </c>
      <c r="AA158" s="32" t="n">
        <v>1</v>
      </c>
      <c r="AB158" s="10">
        <f>IF(AA158=1,I158-('Parametros'!$B$7+'Parametros'!$B$9+'Parametros'!$B$12/2),I158-(ROUNDUP(Z158/2,0)*('Parametros'!$B$7+'Parametros'!$B$9+'Parametros'!$B$12/2)+ROUNDDOWN(Z158/2,0)*('Parametros'!$B$7+'Parametros'!$B$9+'Parametros'!$B$12/2+'Parametros'!$B$12+'Parametros'!$B$10))/Z158)</f>
        <v>489.35</v>
      </c>
      <c r="AC158" s="10">
        <f>Z158*'Parametros'!$B$8</f>
        <v>796</v>
      </c>
      <c r="AD158" s="10">
        <f>'Parametros'!$B$5*AC158*'Parametros'!$B$3*(AB158-(AC158*'Parametros'!$B$3/(0.85*'Parametros'!$B$2*H158))/2)/1000000</f>
        <v>142.543330094118</v>
      </c>
      <c r="AE158" s="10" t="str">
        <f>IF(AD158&gt;=L158,"CUMPLE","NO CUMPLE")</f>
        <v>CUMPLE</v>
      </c>
      <c r="AF158" s="10">
        <f>V158*1.25*'Parametros'!$B$3*(U158-(V158*1.25*'Parametros'!$B$3/(0.85*'Parametros'!$B$2*H158))/2)/1000000</f>
        <v>196.346217941176</v>
      </c>
      <c r="AG158" s="10">
        <f>AC158*1.25*'Parametros'!$B$3*(AB158-(AC158*1.25*'Parametros'!$B$3/(0.85*'Parametros'!$B$2*H158))/2)/1000000</f>
        <v>196.346217941176</v>
      </c>
      <c r="AH158" s="10">
        <f>N158+(AF158+AG158)/D158</f>
        <v>196.487707843137</v>
      </c>
      <c r="AI158" s="10">
        <f>MAX(O158,AH158)</f>
        <v>196.487707843137</v>
      </c>
      <c r="AJ158" s="10">
        <f>0.17*SQRT('Parametros'!$B$2)*H158*MIN(U158,AB158)/1000</f>
        <v>198.088855822627</v>
      </c>
      <c r="AK158" s="10">
        <f>MAX(AI158/'Parametros'!$B$6-AJ158,0)</f>
        <v>63.8947546348894</v>
      </c>
      <c r="AL158" s="10">
        <f>0.66*SQRT('Parametros'!$B$2)*H158*MIN(U158,AB158)/1000</f>
        <v>769.050852017258</v>
      </c>
      <c r="AM158" s="10" t="str">
        <f>IF(AK158&lt;=AL158,"CUMPLE","NO CUMPLE")</f>
        <v>CUMPLE</v>
      </c>
      <c r="AN158" s="17" t="inlineStr">
        <is>
          <t>Nº3 cerrado</t>
        </is>
      </c>
      <c r="AO158" s="31" t="n">
        <v>2</v>
      </c>
      <c r="AP158" s="10">
        <f>ROUNDDOWN(MIN(IF(BC158+BD158=0,1000000000,AO158*BB158/(BC158+BD158)),MIN(U158,AB158)/4,8*'Parametros'!$B$12,24*BA158,300,IF(AV158=0,1000000000,2*((H158-2*('Parametros'!$B$7+'Parametros'!$B$9/2))+(I158-2*('Parametros'!$B$7+'Parametros'!$B$9/2)))/8))/10,0)*10</f>
        <v>120</v>
      </c>
      <c r="AQ158" s="10">
        <f>ROUNDDOWN(MIN(IF(BC158+BD158=0,1000000000,AO158*BB158/(BC158+BD158)),IF(AK158&gt;0.33*SQRT('Parametros'!$B$2)*H158*MIN(U158,AB158)/1000,MIN(U158,AB158)/4,MIN(U158,AB158)/2),600,IF(AV158=0,1000000000,2*((H158-2*('Parametros'!$B$7+'Parametros'!$B$9/2))+(I158-2*('Parametros'!$B$7+'Parametros'!$B$9/2)))/8))/10,0)*10</f>
        <v>170</v>
      </c>
      <c r="AR158" s="10">
        <f>'Parametros'!$B$6*(AJ158+MAX(BE158-BD158,0)*'Parametros'!$B$4*MIN(U158,AB158)/1000)</f>
        <v>264.320063068161</v>
      </c>
      <c r="AS158" s="10" t="str">
        <f>IF(AND(ISERROR(SEARCH("referencia",AN158)),AM158="CUMPLE",AR158&gt;=AI158),"CUMPLE","NO CUMPLE")</f>
        <v>CUMPLE</v>
      </c>
      <c r="AT158" s="10">
        <f>'Parametros'!$B$6*0.083*SQRT('Parametros'!$B$2)*(H158*I158)^2/(2*(H158+I158))/1000000</f>
        <v>10.0887830333379</v>
      </c>
      <c r="AU158" s="10" t="str">
        <f>IF(Q158&lt;=AT158,"DESPRECIABLE","DISEÑAR")</f>
        <v>DISEÑAR</v>
      </c>
      <c r="AV158" s="10">
        <f>IF(Q158&lt;=AT158,0,Q158*1000000/('Parametros'!$B$6*2*0.85*(H158-2*('Parametros'!$B$7+'Parametros'!$B$9/2))*(I158-2*('Parametros'!$B$7+'Parametros'!$B$9/2))*'Parametros'!$B$4))</f>
        <v>0.216198005773158</v>
      </c>
      <c r="AW158" s="10">
        <f>AV158*2*((H158-2*('Parametros'!$B$7+'Parametros'!$B$9/2))+(I158-2*('Parametros'!$B$7+'Parametros'!$B$9/2)))*'Parametros'!$B$4/'Parametros'!$B$3</f>
        <v>352.229791005628</v>
      </c>
      <c r="AX158" s="31" t="n">
        <v>8</v>
      </c>
      <c r="AY158" s="10" t="str">
        <f>IF(AV158=0,"DESPRECIABLE",IF(AND(ISERROR(SEARCH("referencia",AN158)),BB158/AP158&gt;=AV158,BI158&gt;=AW158,BH158="CUMPLE"),"CUMPLE","NO CUMPLE"))</f>
        <v>CUMPLE</v>
      </c>
      <c r="AZ158" s="10" t="str">
        <f>IF(AND(X158="CUMPLE",AE158="CUMPLE",AS158="CUMPLE",OR(AY158="CUMPLE",AY158="DESPRECIABLE"),BH158="CUMPLE",BJ158="CUMPLE"),"CUMPLE","NO CUMPLE")</f>
        <v>CUMPLE</v>
      </c>
      <c r="BA158" s="32" t="n">
        <v>9.5</v>
      </c>
      <c r="BB158" s="32" t="n">
        <v>71</v>
      </c>
      <c r="BC158" s="10">
        <f>MAX(IF(AK158=0,0,AK158*1000/('Parametros'!$B$4*MIN(U158,AB158))),MAX(0.062*SQRT('Parametros'!$B$2)*H158/'Parametros'!$B$4,0.35*H158/'Parametros'!$B$4))</f>
        <v>0.375</v>
      </c>
      <c r="BD158" s="10">
        <f>2*AV158</f>
        <v>0.432396011546315</v>
      </c>
      <c r="BE158" s="10">
        <f>AO158*BB158/AP158</f>
        <v>1.18333333333333</v>
      </c>
      <c r="BF158" s="10">
        <f>SQRT((AI158*1000/(H158*MIN(U158,AB158)))^2+(Q158*1000000*2*((H158-2*('Parametros'!$B$7+'Parametros'!$B$9/2))+(I158-2*('Parametros'!$B$7+'Parametros'!$B$9/2)))/(1.7*((H158-2*('Parametros'!$B$7+'Parametros'!$B$9/2))*(I158-2*('Parametros'!$B$7+'Parametros'!$B$9/2)))^2))^2)</f>
        <v>1.12128573370414</v>
      </c>
      <c r="BG158" s="10">
        <f>'Parametros'!$B$6*(AJ158*1000/(H158*MIN(U158,AB158))+0.66*SQRT('Parametros'!$B$2))</f>
        <v>3.29396038227542</v>
      </c>
      <c r="BH158" s="10" t="str">
        <f>IF(BF158&lt;=BG158,"CUMPLE","NO CUMPLE")</f>
        <v>CUMPLE</v>
      </c>
      <c r="BI158" s="10">
        <f>AX158*'Parametros'!$B$8</f>
        <v>1592</v>
      </c>
      <c r="BJ158" s="10" t="str">
        <f>IF(BI158&gt;=AW158,"CUMPLE","NO CUMPLE")</f>
        <v>CUMPLE</v>
      </c>
    </row>
    <row r="159">
      <c r="A159" s="15" t="inlineStr">
        <is>
          <t>VC5</t>
        </is>
      </c>
      <c r="B159" s="15" t="inlineStr">
        <is>
          <t>1012</t>
        </is>
      </c>
      <c r="C159" s="10" t="n">
        <v>1</v>
      </c>
      <c r="D159" s="10" t="n">
        <v>3.25</v>
      </c>
      <c r="E159" s="10" t="n">
        <v>3.25</v>
      </c>
      <c r="F159" s="10" t="n">
        <v>450</v>
      </c>
      <c r="G159" s="10" t="n">
        <v>550</v>
      </c>
      <c r="H159" s="17" t="n">
        <v>450</v>
      </c>
      <c r="I159" s="17" t="n">
        <v>550</v>
      </c>
      <c r="J159" s="30" t="n">
        <v>42.0459</v>
      </c>
      <c r="K159" s="10" t="inlineStr">
        <is>
          <t>1012</t>
        </is>
      </c>
      <c r="L159" s="30" t="n">
        <v>19.4572</v>
      </c>
      <c r="M159" s="10" t="inlineStr">
        <is>
          <t>1012</t>
        </is>
      </c>
      <c r="N159" s="30" t="n">
        <v>35.472</v>
      </c>
      <c r="O159" s="30" t="n">
        <v>87.009</v>
      </c>
      <c r="P159" s="10" t="inlineStr">
        <is>
          <t>1012</t>
        </is>
      </c>
      <c r="Q159" s="30" t="n">
        <v>13.6981</v>
      </c>
      <c r="R159" s="10">
        <f>MAX(MAX(1.4/'Parametros'!$B$3,0.25*SQRT('Parametros'!$B$2)/'Parametros'!$B$3)*H159*U159,(0.85*'Parametros'!$B$2/'Parametros'!$B$3)*(1-SQRT(1-2*(J159*1000000/('Parametros'!$B$5*H159*U159^2))/(0.85*'Parametros'!$B$2)))*H159*U159)</f>
        <v>734.025</v>
      </c>
      <c r="S159" s="31" t="n">
        <v>4</v>
      </c>
      <c r="T159" s="32" t="n">
        <v>1</v>
      </c>
      <c r="U159" s="10">
        <f>IF(T159=1,I159-('Parametros'!$B$7+'Parametros'!$B$9+'Parametros'!$B$12/2),I159-(ROUNDUP(S159/2,0)*('Parametros'!$B$7+'Parametros'!$B$9+'Parametros'!$B$12/2)+ROUNDDOWN(S159/2,0)*('Parametros'!$B$7+'Parametros'!$B$9+'Parametros'!$B$12/2+'Parametros'!$B$12+'Parametros'!$B$10))/S159)</f>
        <v>489.35</v>
      </c>
      <c r="V159" s="10">
        <f>S159*'Parametros'!$B$8</f>
        <v>796</v>
      </c>
      <c r="W159" s="10">
        <f>'Parametros'!$B$5*V159*'Parametros'!$B$3*(U159-(V159*'Parametros'!$B$3/(0.85*'Parametros'!$B$2*H159))/2)/1000000</f>
        <v>142.543330094118</v>
      </c>
      <c r="X159" s="10" t="str">
        <f>IF(W159&gt;=J159,"CUMPLE","NO CUMPLE")</f>
        <v>CUMPLE</v>
      </c>
      <c r="Y159" s="10">
        <f>MAX(MAX(1.4/'Parametros'!$B$3,0.25*SQRT('Parametros'!$B$2)/'Parametros'!$B$3)*H159*AB159,(0.85*'Parametros'!$B$2/'Parametros'!$B$3)*(1-SQRT(1-2*(L159*1000000/('Parametros'!$B$5*H159*AB159^2))/(0.85*'Parametros'!$B$2)))*H159*AB159)</f>
        <v>734.025</v>
      </c>
      <c r="Z159" s="31" t="n">
        <v>4</v>
      </c>
      <c r="AA159" s="32" t="n">
        <v>1</v>
      </c>
      <c r="AB159" s="10">
        <f>IF(AA159=1,I159-('Parametros'!$B$7+'Parametros'!$B$9+'Parametros'!$B$12/2),I159-(ROUNDUP(Z159/2,0)*('Parametros'!$B$7+'Parametros'!$B$9+'Parametros'!$B$12/2)+ROUNDDOWN(Z159/2,0)*('Parametros'!$B$7+'Parametros'!$B$9+'Parametros'!$B$12/2+'Parametros'!$B$12+'Parametros'!$B$10))/Z159)</f>
        <v>489.35</v>
      </c>
      <c r="AC159" s="10">
        <f>Z159*'Parametros'!$B$8</f>
        <v>796</v>
      </c>
      <c r="AD159" s="10">
        <f>'Parametros'!$B$5*AC159*'Parametros'!$B$3*(AB159-(AC159*'Parametros'!$B$3/(0.85*'Parametros'!$B$2*H159))/2)/1000000</f>
        <v>142.543330094118</v>
      </c>
      <c r="AE159" s="10" t="str">
        <f>IF(AD159&gt;=L159,"CUMPLE","NO CUMPLE")</f>
        <v>CUMPLE</v>
      </c>
      <c r="AF159" s="10">
        <f>V159*1.25*'Parametros'!$B$3*(U159-(V159*1.25*'Parametros'!$B$3/(0.85*'Parametros'!$B$2*H159))/2)/1000000</f>
        <v>196.346217941176</v>
      </c>
      <c r="AG159" s="10">
        <f>AC159*1.25*'Parametros'!$B$3*(AB159-(AC159*1.25*'Parametros'!$B$3/(0.85*'Parametros'!$B$2*H159))/2)/1000000</f>
        <v>196.346217941176</v>
      </c>
      <c r="AH159" s="10">
        <f>N159+(AF159+AG159)/D159</f>
        <v>156.300441809955</v>
      </c>
      <c r="AI159" s="10">
        <f>MAX(O159,AH159)</f>
        <v>156.300441809955</v>
      </c>
      <c r="AJ159" s="10">
        <f>0.17*SQRT('Parametros'!$B$2)*H159*MIN(U159,AB159)/1000</f>
        <v>198.088855822627</v>
      </c>
      <c r="AK159" s="10">
        <f>MAX(AI159/'Parametros'!$B$6-AJ159,0)</f>
        <v>10.3117332573127</v>
      </c>
      <c r="AL159" s="10">
        <f>0.66*SQRT('Parametros'!$B$2)*H159*MIN(U159,AB159)/1000</f>
        <v>769.050852017258</v>
      </c>
      <c r="AM159" s="10" t="str">
        <f>IF(AK159&lt;=AL159,"CUMPLE","NO CUMPLE")</f>
        <v>CUMPLE</v>
      </c>
      <c r="AN159" s="17" t="inlineStr">
        <is>
          <t>Nº3 cerrado</t>
        </is>
      </c>
      <c r="AO159" s="31" t="n">
        <v>2</v>
      </c>
      <c r="AP159" s="10">
        <f>ROUNDDOWN(MIN(IF(BC159+BD159=0,1000000000,AO159*BB159/(BC159+BD159)),MIN(U159,AB159)/4,8*'Parametros'!$B$12,24*BA159,300,IF(AV159=0,1000000000,2*((H159-2*('Parametros'!$B$7+'Parametros'!$B$9/2))+(I159-2*('Parametros'!$B$7+'Parametros'!$B$9/2)))/8))/10,0)*10</f>
        <v>120</v>
      </c>
      <c r="AQ159" s="10">
        <f>ROUNDDOWN(MIN(IF(BC159+BD159=0,1000000000,AO159*BB159/(BC159+BD159)),IF(AK159&gt;0.33*SQRT('Parametros'!$B$2)*H159*MIN(U159,AB159)/1000,MIN(U159,AB159)/4,MIN(U159,AB159)/2),600,IF(AV159=0,1000000000,2*((H159-2*('Parametros'!$B$7+'Parametros'!$B$9/2))+(I159-2*('Parametros'!$B$7+'Parametros'!$B$9/2)))/8))/10,0)*10</f>
        <v>200</v>
      </c>
      <c r="AR159" s="10">
        <f>'Parametros'!$B$6*(AJ159+MAX(BE159-BD159,0)*'Parametros'!$B$4*MIN(U159,AB159)/1000)</f>
        <v>282.707468803409</v>
      </c>
      <c r="AS159" s="10" t="str">
        <f>IF(AND(ISERROR(SEARCH("referencia",AN159)),AM159="CUMPLE",AR159&gt;=AI159),"CUMPLE","NO CUMPLE")</f>
        <v>CUMPLE</v>
      </c>
      <c r="AT159" s="10">
        <f>'Parametros'!$B$6*0.083*SQRT('Parametros'!$B$2)*(H159*I159)^2/(2*(H159+I159))/1000000</f>
        <v>10.0887830333379</v>
      </c>
      <c r="AU159" s="10" t="str">
        <f>IF(Q159&lt;=AT159,"DESPRECIABLE","DISEÑAR")</f>
        <v>DISEÑAR</v>
      </c>
      <c r="AV159" s="10">
        <f>IF(Q159&lt;=AT159,0,Q159*1000000/('Parametros'!$B$6*2*0.85*(H159-2*('Parametros'!$B$7+'Parametros'!$B$9/2))*(I159-2*('Parametros'!$B$7+'Parametros'!$B$9/2))*'Parametros'!$B$4))</f>
        <v>0.15655489080449</v>
      </c>
      <c r="AW159" s="10">
        <f>AV159*2*((H159-2*('Parametros'!$B$7+'Parametros'!$B$9/2))+(I159-2*('Parametros'!$B$7+'Parametros'!$B$9/2)))*'Parametros'!$B$4/'Parametros'!$B$3</f>
        <v>255.059228098675</v>
      </c>
      <c r="AX159" s="31" t="n">
        <v>8</v>
      </c>
      <c r="AY159" s="10" t="str">
        <f>IF(AV159=0,"DESPRECIABLE",IF(AND(ISERROR(SEARCH("referencia",AN159)),BB159/AP159&gt;=AV159,BI159&gt;=AW159,BH159="CUMPLE"),"CUMPLE","NO CUMPLE"))</f>
        <v>CUMPLE</v>
      </c>
      <c r="AZ159" s="10" t="str">
        <f>IF(AND(X159="CUMPLE",AE159="CUMPLE",AS159="CUMPLE",OR(AY159="CUMPLE",AY159="DESPRECIABLE"),BH159="CUMPLE",BJ159="CUMPLE"),"CUMPLE","NO CUMPLE")</f>
        <v>CUMPLE</v>
      </c>
      <c r="BA159" s="32" t="n">
        <v>9.5</v>
      </c>
      <c r="BB159" s="32" t="n">
        <v>71</v>
      </c>
      <c r="BC159" s="10">
        <f>MAX(IF(AK159=0,0,AK159*1000/('Parametros'!$B$4*MIN(U159,AB159))),MAX(0.062*SQRT('Parametros'!$B$2)*H159/'Parametros'!$B$4,0.35*H159/'Parametros'!$B$4))</f>
        <v>0.375</v>
      </c>
      <c r="BD159" s="10">
        <f>2*AV159</f>
        <v>0.313109781608979</v>
      </c>
      <c r="BE159" s="10">
        <f>AO159*BB159/AP159</f>
        <v>1.18333333333333</v>
      </c>
      <c r="BF159" s="10">
        <f>SQRT((AI159*1000/(H159*MIN(U159,AB159)))^2+(Q159*1000000*2*((H159-2*('Parametros'!$B$7+'Parametros'!$B$9/2))+(I159-2*('Parametros'!$B$7+'Parametros'!$B$9/2)))/(1.7*((H159-2*('Parametros'!$B$7+'Parametros'!$B$9/2))*(I159-2*('Parametros'!$B$7+'Parametros'!$B$9/2)))^2))^2)</f>
        <v>0.863473061084899</v>
      </c>
      <c r="BG159" s="10">
        <f>'Parametros'!$B$6*(AJ159*1000/(H159*MIN(U159,AB159))+0.66*SQRT('Parametros'!$B$2))</f>
        <v>3.29396038227542</v>
      </c>
      <c r="BH159" s="10" t="str">
        <f>IF(BF159&lt;=BG159,"CUMPLE","NO CUMPLE")</f>
        <v>CUMPLE</v>
      </c>
      <c r="BI159" s="10">
        <f>AX159*'Parametros'!$B$8</f>
        <v>1592</v>
      </c>
      <c r="BJ159" s="10" t="str">
        <f>IF(BI159&gt;=AW159,"CUMPLE","NO CUMPLE")</f>
        <v>CUMPLE</v>
      </c>
    </row>
    <row r="160">
      <c r="A160" s="15" t="inlineStr">
        <is>
          <t>VC5</t>
        </is>
      </c>
      <c r="B160" s="15" t="inlineStr">
        <is>
          <t>1029</t>
        </is>
      </c>
      <c r="C160" s="10" t="n">
        <v>1</v>
      </c>
      <c r="D160" s="10" t="n">
        <v>3.25</v>
      </c>
      <c r="E160" s="10" t="n">
        <v>3.25</v>
      </c>
      <c r="F160" s="10" t="n">
        <v>450</v>
      </c>
      <c r="G160" s="10" t="n">
        <v>550</v>
      </c>
      <c r="H160" s="17" t="n">
        <v>450</v>
      </c>
      <c r="I160" s="17" t="n">
        <v>550</v>
      </c>
      <c r="J160" s="30" t="n">
        <v>42.0523</v>
      </c>
      <c r="K160" s="10" t="inlineStr">
        <is>
          <t>1029</t>
        </is>
      </c>
      <c r="L160" s="30" t="n">
        <v>19.4452</v>
      </c>
      <c r="M160" s="10" t="inlineStr">
        <is>
          <t>1029</t>
        </is>
      </c>
      <c r="N160" s="30" t="n">
        <v>35.47</v>
      </c>
      <c r="O160" s="30" t="n">
        <v>87.01300000000001</v>
      </c>
      <c r="P160" s="10" t="inlineStr">
        <is>
          <t>1029</t>
        </is>
      </c>
      <c r="Q160" s="30" t="n">
        <v>13.6919</v>
      </c>
      <c r="R160" s="10">
        <f>MAX(MAX(1.4/'Parametros'!$B$3,0.25*SQRT('Parametros'!$B$2)/'Parametros'!$B$3)*H160*U160,(0.85*'Parametros'!$B$2/'Parametros'!$B$3)*(1-SQRT(1-2*(J160*1000000/('Parametros'!$B$5*H160*U160^2))/(0.85*'Parametros'!$B$2)))*H160*U160)</f>
        <v>734.025</v>
      </c>
      <c r="S160" s="31" t="n">
        <v>4</v>
      </c>
      <c r="T160" s="32" t="n">
        <v>1</v>
      </c>
      <c r="U160" s="10">
        <f>IF(T160=1,I160-('Parametros'!$B$7+'Parametros'!$B$9+'Parametros'!$B$12/2),I160-(ROUNDUP(S160/2,0)*('Parametros'!$B$7+'Parametros'!$B$9+'Parametros'!$B$12/2)+ROUNDDOWN(S160/2,0)*('Parametros'!$B$7+'Parametros'!$B$9+'Parametros'!$B$12/2+'Parametros'!$B$12+'Parametros'!$B$10))/S160)</f>
        <v>489.35</v>
      </c>
      <c r="V160" s="10">
        <f>S160*'Parametros'!$B$8</f>
        <v>796</v>
      </c>
      <c r="W160" s="10">
        <f>'Parametros'!$B$5*V160*'Parametros'!$B$3*(U160-(V160*'Parametros'!$B$3/(0.85*'Parametros'!$B$2*H160))/2)/1000000</f>
        <v>142.543330094118</v>
      </c>
      <c r="X160" s="10" t="str">
        <f>IF(W160&gt;=J160,"CUMPLE","NO CUMPLE")</f>
        <v>CUMPLE</v>
      </c>
      <c r="Y160" s="10">
        <f>MAX(MAX(1.4/'Parametros'!$B$3,0.25*SQRT('Parametros'!$B$2)/'Parametros'!$B$3)*H160*AB160,(0.85*'Parametros'!$B$2/'Parametros'!$B$3)*(1-SQRT(1-2*(L160*1000000/('Parametros'!$B$5*H160*AB160^2))/(0.85*'Parametros'!$B$2)))*H160*AB160)</f>
        <v>734.025</v>
      </c>
      <c r="Z160" s="31" t="n">
        <v>4</v>
      </c>
      <c r="AA160" s="32" t="n">
        <v>1</v>
      </c>
      <c r="AB160" s="10">
        <f>IF(AA160=1,I160-('Parametros'!$B$7+'Parametros'!$B$9+'Parametros'!$B$12/2),I160-(ROUNDUP(Z160/2,0)*('Parametros'!$B$7+'Parametros'!$B$9+'Parametros'!$B$12/2)+ROUNDDOWN(Z160/2,0)*('Parametros'!$B$7+'Parametros'!$B$9+'Parametros'!$B$12/2+'Parametros'!$B$12+'Parametros'!$B$10))/Z160)</f>
        <v>489.35</v>
      </c>
      <c r="AC160" s="10">
        <f>Z160*'Parametros'!$B$8</f>
        <v>796</v>
      </c>
      <c r="AD160" s="10">
        <f>'Parametros'!$B$5*AC160*'Parametros'!$B$3*(AB160-(AC160*'Parametros'!$B$3/(0.85*'Parametros'!$B$2*H160))/2)/1000000</f>
        <v>142.543330094118</v>
      </c>
      <c r="AE160" s="10" t="str">
        <f>IF(AD160&gt;=L160,"CUMPLE","NO CUMPLE")</f>
        <v>CUMPLE</v>
      </c>
      <c r="AF160" s="10">
        <f>V160*1.25*'Parametros'!$B$3*(U160-(V160*1.25*'Parametros'!$B$3/(0.85*'Parametros'!$B$2*H160))/2)/1000000</f>
        <v>196.346217941176</v>
      </c>
      <c r="AG160" s="10">
        <f>AC160*1.25*'Parametros'!$B$3*(AB160-(AC160*1.25*'Parametros'!$B$3/(0.85*'Parametros'!$B$2*H160))/2)/1000000</f>
        <v>196.346217941176</v>
      </c>
      <c r="AH160" s="10">
        <f>N160+(AF160+AG160)/D160</f>
        <v>156.298441809955</v>
      </c>
      <c r="AI160" s="10">
        <f>MAX(O160,AH160)</f>
        <v>156.298441809955</v>
      </c>
      <c r="AJ160" s="10">
        <f>0.17*SQRT('Parametros'!$B$2)*H160*MIN(U160,AB160)/1000</f>
        <v>198.088855822627</v>
      </c>
      <c r="AK160" s="10">
        <f>MAX(AI160/'Parametros'!$B$6-AJ160,0)</f>
        <v>10.309066590646</v>
      </c>
      <c r="AL160" s="10">
        <f>0.66*SQRT('Parametros'!$B$2)*H160*MIN(U160,AB160)/1000</f>
        <v>769.050852017258</v>
      </c>
      <c r="AM160" s="10" t="str">
        <f>IF(AK160&lt;=AL160,"CUMPLE","NO CUMPLE")</f>
        <v>CUMPLE</v>
      </c>
      <c r="AN160" s="17" t="inlineStr">
        <is>
          <t>Nº3 cerrado</t>
        </is>
      </c>
      <c r="AO160" s="31" t="n">
        <v>2</v>
      </c>
      <c r="AP160" s="10">
        <f>ROUNDDOWN(MIN(IF(BC160+BD160=0,1000000000,AO160*BB160/(BC160+BD160)),MIN(U160,AB160)/4,8*'Parametros'!$B$12,24*BA160,300,IF(AV160=0,1000000000,2*((H160-2*('Parametros'!$B$7+'Parametros'!$B$9/2))+(I160-2*('Parametros'!$B$7+'Parametros'!$B$9/2)))/8))/10,0)*10</f>
        <v>120</v>
      </c>
      <c r="AQ160" s="10">
        <f>ROUNDDOWN(MIN(IF(BC160+BD160=0,1000000000,AO160*BB160/(BC160+BD160)),IF(AK160&gt;0.33*SQRT('Parametros'!$B$2)*H160*MIN(U160,AB160)/1000,MIN(U160,AB160)/4,MIN(U160,AB160)/2),600,IF(AV160=0,1000000000,2*((H160-2*('Parametros'!$B$7+'Parametros'!$B$9/2))+(I160-2*('Parametros'!$B$7+'Parametros'!$B$9/2)))/8))/10,0)*10</f>
        <v>200</v>
      </c>
      <c r="AR160" s="10">
        <f>'Parametros'!$B$6*(AJ160+MAX(BE160-BD160,0)*'Parametros'!$B$4*MIN(U160,AB160)/1000)</f>
        <v>282.729314109728</v>
      </c>
      <c r="AS160" s="10" t="str">
        <f>IF(AND(ISERROR(SEARCH("referencia",AN160)),AM160="CUMPLE",AR160&gt;=AI160),"CUMPLE","NO CUMPLE")</f>
        <v>CUMPLE</v>
      </c>
      <c r="AT160" s="10">
        <f>'Parametros'!$B$6*0.083*SQRT('Parametros'!$B$2)*(H160*I160)^2/(2*(H160+I160))/1000000</f>
        <v>10.0887830333379</v>
      </c>
      <c r="AU160" s="10" t="str">
        <f>IF(Q160&lt;=AT160,"DESPRECIABLE","DISEÑAR")</f>
        <v>DISEÑAR</v>
      </c>
      <c r="AV160" s="10">
        <f>IF(Q160&lt;=AT160,0,Q160*1000000/('Parametros'!$B$6*2*0.85*(H160-2*('Parametros'!$B$7+'Parametros'!$B$9/2))*(I160-2*('Parametros'!$B$7+'Parametros'!$B$9/2))*'Parametros'!$B$4))</f>
        <v>0.156484031318649</v>
      </c>
      <c r="AW160" s="10">
        <f>AV160*2*((H160-2*('Parametros'!$B$7+'Parametros'!$B$9/2))+(I160-2*('Parametros'!$B$7+'Parametros'!$B$9/2)))*'Parametros'!$B$4/'Parametros'!$B$3</f>
        <v>254.943783824344</v>
      </c>
      <c r="AX160" s="31" t="n">
        <v>8</v>
      </c>
      <c r="AY160" s="10" t="str">
        <f>IF(AV160=0,"DESPRECIABLE",IF(AND(ISERROR(SEARCH("referencia",AN160)),BB160/AP160&gt;=AV160,BI160&gt;=AW160,BH160="CUMPLE"),"CUMPLE","NO CUMPLE"))</f>
        <v>CUMPLE</v>
      </c>
      <c r="AZ160" s="10" t="str">
        <f>IF(AND(X160="CUMPLE",AE160="CUMPLE",AS160="CUMPLE",OR(AY160="CUMPLE",AY160="DESPRECIABLE"),BH160="CUMPLE",BJ160="CUMPLE"),"CUMPLE","NO CUMPLE")</f>
        <v>CUMPLE</v>
      </c>
      <c r="BA160" s="32" t="n">
        <v>9.5</v>
      </c>
      <c r="BB160" s="32" t="n">
        <v>71</v>
      </c>
      <c r="BC160" s="10">
        <f>MAX(IF(AK160=0,0,AK160*1000/('Parametros'!$B$4*MIN(U160,AB160))),MAX(0.062*SQRT('Parametros'!$B$2)*H160/'Parametros'!$B$4,0.35*H160/'Parametros'!$B$4))</f>
        <v>0.375</v>
      </c>
      <c r="BD160" s="10">
        <f>2*AV160</f>
        <v>0.312968062637299</v>
      </c>
      <c r="BE160" s="10">
        <f>AO160*BB160/AP160</f>
        <v>1.18333333333333</v>
      </c>
      <c r="BF160" s="10">
        <f>SQRT((AI160*1000/(H160*MIN(U160,AB160)))^2+(Q160*1000000*2*((H160-2*('Parametros'!$B$7+'Parametros'!$B$9/2))+(I160-2*('Parametros'!$B$7+'Parametros'!$B$9/2)))/(1.7*((H160-2*('Parametros'!$B$7+'Parametros'!$B$9/2))*(I160-2*('Parametros'!$B$7+'Parametros'!$B$9/2)))^2))^2)</f>
        <v>0.86333887251869</v>
      </c>
      <c r="BG160" s="10">
        <f>'Parametros'!$B$6*(AJ160*1000/(H160*MIN(U160,AB160))+0.66*SQRT('Parametros'!$B$2))</f>
        <v>3.29396038227542</v>
      </c>
      <c r="BH160" s="10" t="str">
        <f>IF(BF160&lt;=BG160,"CUMPLE","NO CUMPLE")</f>
        <v>CUMPLE</v>
      </c>
      <c r="BI160" s="10">
        <f>AX160*'Parametros'!$B$8</f>
        <v>1592</v>
      </c>
      <c r="BJ160" s="10" t="str">
        <f>IF(BI160&gt;=AW160,"CUMPLE","NO CUMPLE")</f>
        <v>CUMPLE</v>
      </c>
    </row>
    <row r="161">
      <c r="A161" s="15" t="inlineStr">
        <is>
          <t>VC5</t>
        </is>
      </c>
      <c r="B161" s="15" t="inlineStr">
        <is>
          <t>1030</t>
        </is>
      </c>
      <c r="C161" s="10" t="n">
        <v>1</v>
      </c>
      <c r="D161" s="10" t="n">
        <v>3.3</v>
      </c>
      <c r="E161" s="10" t="n">
        <v>3.3</v>
      </c>
      <c r="F161" s="10" t="n">
        <v>450</v>
      </c>
      <c r="G161" s="10" t="n">
        <v>550</v>
      </c>
      <c r="H161" s="17" t="n">
        <v>450</v>
      </c>
      <c r="I161" s="17" t="n">
        <v>550</v>
      </c>
      <c r="J161" s="30" t="n">
        <v>82.58369999999999</v>
      </c>
      <c r="K161" s="10" t="inlineStr">
        <is>
          <t>1030</t>
        </is>
      </c>
      <c r="L161" s="30" t="n">
        <v>29.6495</v>
      </c>
      <c r="M161" s="10" t="inlineStr">
        <is>
          <t>1030</t>
        </is>
      </c>
      <c r="N161" s="30" t="n">
        <v>77.52500000000001</v>
      </c>
      <c r="O161" s="30" t="n">
        <v>153.064</v>
      </c>
      <c r="P161" s="10" t="inlineStr">
        <is>
          <t>1030</t>
        </is>
      </c>
      <c r="Q161" s="30" t="n">
        <v>18.9505</v>
      </c>
      <c r="R161" s="10">
        <f>MAX(MAX(1.4/'Parametros'!$B$3,0.25*SQRT('Parametros'!$B$2)/'Parametros'!$B$3)*H161*U161,(0.85*'Parametros'!$B$2/'Parametros'!$B$3)*(1-SQRT(1-2*(J161*1000000/('Parametros'!$B$5*H161*U161^2))/(0.85*'Parametros'!$B$2)))*H161*U161)</f>
        <v>734.025</v>
      </c>
      <c r="S161" s="31" t="n">
        <v>4</v>
      </c>
      <c r="T161" s="32" t="n">
        <v>1</v>
      </c>
      <c r="U161" s="10">
        <f>IF(T161=1,I161-('Parametros'!$B$7+'Parametros'!$B$9+'Parametros'!$B$12/2),I161-(ROUNDUP(S161/2,0)*('Parametros'!$B$7+'Parametros'!$B$9+'Parametros'!$B$12/2)+ROUNDDOWN(S161/2,0)*('Parametros'!$B$7+'Parametros'!$B$9+'Parametros'!$B$12/2+'Parametros'!$B$12+'Parametros'!$B$10))/S161)</f>
        <v>489.35</v>
      </c>
      <c r="V161" s="10">
        <f>S161*'Parametros'!$B$8</f>
        <v>796</v>
      </c>
      <c r="W161" s="10">
        <f>'Parametros'!$B$5*V161*'Parametros'!$B$3*(U161-(V161*'Parametros'!$B$3/(0.85*'Parametros'!$B$2*H161))/2)/1000000</f>
        <v>142.543330094118</v>
      </c>
      <c r="X161" s="10" t="str">
        <f>IF(W161&gt;=J161,"CUMPLE","NO CUMPLE")</f>
        <v>CUMPLE</v>
      </c>
      <c r="Y161" s="10">
        <f>MAX(MAX(1.4/'Parametros'!$B$3,0.25*SQRT('Parametros'!$B$2)/'Parametros'!$B$3)*H161*AB161,(0.85*'Parametros'!$B$2/'Parametros'!$B$3)*(1-SQRT(1-2*(L161*1000000/('Parametros'!$B$5*H161*AB161^2))/(0.85*'Parametros'!$B$2)))*H161*AB161)</f>
        <v>734.025</v>
      </c>
      <c r="Z161" s="31" t="n">
        <v>4</v>
      </c>
      <c r="AA161" s="32" t="n">
        <v>1</v>
      </c>
      <c r="AB161" s="10">
        <f>IF(AA161=1,I161-('Parametros'!$B$7+'Parametros'!$B$9+'Parametros'!$B$12/2),I161-(ROUNDUP(Z161/2,0)*('Parametros'!$B$7+'Parametros'!$B$9+'Parametros'!$B$12/2)+ROUNDDOWN(Z161/2,0)*('Parametros'!$B$7+'Parametros'!$B$9+'Parametros'!$B$12/2+'Parametros'!$B$12+'Parametros'!$B$10))/Z161)</f>
        <v>489.35</v>
      </c>
      <c r="AC161" s="10">
        <f>Z161*'Parametros'!$B$8</f>
        <v>796</v>
      </c>
      <c r="AD161" s="10">
        <f>'Parametros'!$B$5*AC161*'Parametros'!$B$3*(AB161-(AC161*'Parametros'!$B$3/(0.85*'Parametros'!$B$2*H161))/2)/1000000</f>
        <v>142.543330094118</v>
      </c>
      <c r="AE161" s="10" t="str">
        <f>IF(AD161&gt;=L161,"CUMPLE","NO CUMPLE")</f>
        <v>CUMPLE</v>
      </c>
      <c r="AF161" s="10">
        <f>V161*1.25*'Parametros'!$B$3*(U161-(V161*1.25*'Parametros'!$B$3/(0.85*'Parametros'!$B$2*H161))/2)/1000000</f>
        <v>196.346217941176</v>
      </c>
      <c r="AG161" s="10">
        <f>AC161*1.25*'Parametros'!$B$3*(AB161-(AC161*1.25*'Parametros'!$B$3/(0.85*'Parametros'!$B$2*H161))/2)/1000000</f>
        <v>196.346217941176</v>
      </c>
      <c r="AH161" s="10">
        <f>N161+(AF161+AG161)/D161</f>
        <v>196.522707843137</v>
      </c>
      <c r="AI161" s="10">
        <f>MAX(O161,AH161)</f>
        <v>196.522707843137</v>
      </c>
      <c r="AJ161" s="10">
        <f>0.17*SQRT('Parametros'!$B$2)*H161*MIN(U161,AB161)/1000</f>
        <v>198.088855822627</v>
      </c>
      <c r="AK161" s="10">
        <f>MAX(AI161/'Parametros'!$B$6-AJ161,0)</f>
        <v>63.941421301556</v>
      </c>
      <c r="AL161" s="10">
        <f>0.66*SQRT('Parametros'!$B$2)*H161*MIN(U161,AB161)/1000</f>
        <v>769.050852017258</v>
      </c>
      <c r="AM161" s="10" t="str">
        <f>IF(AK161&lt;=AL161,"CUMPLE","NO CUMPLE")</f>
        <v>CUMPLE</v>
      </c>
      <c r="AN161" s="17" t="inlineStr">
        <is>
          <t>Nº3 cerrado</t>
        </is>
      </c>
      <c r="AO161" s="31" t="n">
        <v>2</v>
      </c>
      <c r="AP161" s="10">
        <f>ROUNDDOWN(MIN(IF(BC161+BD161=0,1000000000,AO161*BB161/(BC161+BD161)),MIN(U161,AB161)/4,8*'Parametros'!$B$12,24*BA161,300,IF(AV161=0,1000000000,2*((H161-2*('Parametros'!$B$7+'Parametros'!$B$9/2))+(I161-2*('Parametros'!$B$7+'Parametros'!$B$9/2)))/8))/10,0)*10</f>
        <v>120</v>
      </c>
      <c r="AQ161" s="10">
        <f>ROUNDDOWN(MIN(IF(BC161+BD161=0,1000000000,AO161*BB161/(BC161+BD161)),IF(AK161&gt;0.33*SQRT('Parametros'!$B$2)*H161*MIN(U161,AB161)/1000,MIN(U161,AB161)/4,MIN(U161,AB161)/2),600,IF(AV161=0,1000000000,2*((H161-2*('Parametros'!$B$7+'Parametros'!$B$9/2))+(I161-2*('Parametros'!$B$7+'Parametros'!$B$9/2)))/8))/10,0)*10</f>
        <v>170</v>
      </c>
      <c r="AR161" s="10">
        <f>'Parametros'!$B$6*(AJ161+MAX(BE161-BD161,0)*'Parametros'!$B$4*MIN(U161,AB161)/1000)</f>
        <v>264.200970914355</v>
      </c>
      <c r="AS161" s="10" t="str">
        <f>IF(AND(ISERROR(SEARCH("referencia",AN161)),AM161="CUMPLE",AR161&gt;=AI161),"CUMPLE","NO CUMPLE")</f>
        <v>CUMPLE</v>
      </c>
      <c r="AT161" s="10">
        <f>'Parametros'!$B$6*0.083*SQRT('Parametros'!$B$2)*(H161*I161)^2/(2*(H161+I161))/1000000</f>
        <v>10.0887830333379</v>
      </c>
      <c r="AU161" s="10" t="str">
        <f>IF(Q161&lt;=AT161,"DESPRECIABLE","DISEÑAR")</f>
        <v>DISEÑAR</v>
      </c>
      <c r="AV161" s="10">
        <f>IF(Q161&lt;=AT161,0,Q161*1000000/('Parametros'!$B$6*2*0.85*(H161-2*('Parametros'!$B$7+'Parametros'!$B$9/2))*(I161-2*('Parametros'!$B$7+'Parametros'!$B$9/2))*'Parametros'!$B$4))</f>
        <v>0.21658430426048</v>
      </c>
      <c r="AW161" s="10">
        <f>AV161*2*((H161-2*('Parametros'!$B$7+'Parametros'!$B$9/2))+(I161-2*('Parametros'!$B$7+'Parametros'!$B$9/2)))*'Parametros'!$B$4/'Parametros'!$B$3</f>
        <v>352.859148501174</v>
      </c>
      <c r="AX161" s="31" t="n">
        <v>8</v>
      </c>
      <c r="AY161" s="10" t="str">
        <f>IF(AV161=0,"DESPRECIABLE",IF(AND(ISERROR(SEARCH("referencia",AN161)),BB161/AP161&gt;=AV161,BI161&gt;=AW161,BH161="CUMPLE"),"CUMPLE","NO CUMPLE"))</f>
        <v>CUMPLE</v>
      </c>
      <c r="AZ161" s="10" t="str">
        <f>IF(AND(X161="CUMPLE",AE161="CUMPLE",AS161="CUMPLE",OR(AY161="CUMPLE",AY161="DESPRECIABLE"),BH161="CUMPLE",BJ161="CUMPLE"),"CUMPLE","NO CUMPLE")</f>
        <v>CUMPLE</v>
      </c>
      <c r="BA161" s="32" t="n">
        <v>9.5</v>
      </c>
      <c r="BB161" s="32" t="n">
        <v>71</v>
      </c>
      <c r="BC161" s="10">
        <f>MAX(IF(AK161=0,0,AK161*1000/('Parametros'!$B$4*MIN(U161,AB161))),MAX(0.062*SQRT('Parametros'!$B$2)*H161/'Parametros'!$B$4,0.35*H161/'Parametros'!$B$4))</f>
        <v>0.375</v>
      </c>
      <c r="BD161" s="10">
        <f>2*AV161</f>
        <v>0.43316860852096</v>
      </c>
      <c r="BE161" s="10">
        <f>AO161*BB161/AP161</f>
        <v>1.18333333333333</v>
      </c>
      <c r="BF161" s="10">
        <f>SQRT((AI161*1000/(H161*MIN(U161,AB161)))^2+(Q161*1000000*2*((H161-2*('Parametros'!$B$7+'Parametros'!$B$9/2))+(I161-2*('Parametros'!$B$7+'Parametros'!$B$9/2)))/(1.7*((H161-2*('Parametros'!$B$7+'Parametros'!$B$9/2))*(I161-2*('Parametros'!$B$7+'Parametros'!$B$9/2)))^2))^2)</f>
        <v>1.12214733500172</v>
      </c>
      <c r="BG161" s="10">
        <f>'Parametros'!$B$6*(AJ161*1000/(H161*MIN(U161,AB161))+0.66*SQRT('Parametros'!$B$2))</f>
        <v>3.29396038227542</v>
      </c>
      <c r="BH161" s="10" t="str">
        <f>IF(BF161&lt;=BG161,"CUMPLE","NO CUMPLE")</f>
        <v>CUMPLE</v>
      </c>
      <c r="BI161" s="10">
        <f>AX161*'Parametros'!$B$8</f>
        <v>1592</v>
      </c>
      <c r="BJ161" s="10" t="str">
        <f>IF(BI161&gt;=AW161,"CUMPLE","NO CUMPLE")</f>
        <v>CUMPLE</v>
      </c>
    </row>
    <row r="162">
      <c r="A162" s="15" t="inlineStr">
        <is>
          <t>VC5</t>
        </is>
      </c>
      <c r="B162" s="15" t="inlineStr">
        <is>
          <t>1031</t>
        </is>
      </c>
      <c r="C162" s="10" t="n">
        <v>1</v>
      </c>
      <c r="D162" s="10" t="n">
        <v>3.3</v>
      </c>
      <c r="E162" s="10" t="n">
        <v>3.3</v>
      </c>
      <c r="F162" s="10" t="n">
        <v>450</v>
      </c>
      <c r="G162" s="10" t="n">
        <v>550</v>
      </c>
      <c r="H162" s="17" t="n">
        <v>450</v>
      </c>
      <c r="I162" s="17" t="n">
        <v>550</v>
      </c>
      <c r="J162" s="30" t="n">
        <v>82.4742</v>
      </c>
      <c r="K162" s="10" t="inlineStr">
        <is>
          <t>1031</t>
        </is>
      </c>
      <c r="L162" s="30" t="n">
        <v>29.6663</v>
      </c>
      <c r="M162" s="10" t="inlineStr">
        <is>
          <t>1031</t>
        </is>
      </c>
      <c r="N162" s="30" t="n">
        <v>77.42400000000001</v>
      </c>
      <c r="O162" s="30" t="n">
        <v>152.956</v>
      </c>
      <c r="P162" s="10" t="inlineStr">
        <is>
          <t>1031</t>
        </is>
      </c>
      <c r="Q162" s="30" t="n">
        <v>18.9237</v>
      </c>
      <c r="R162" s="10">
        <f>MAX(MAX(1.4/'Parametros'!$B$3,0.25*SQRT('Parametros'!$B$2)/'Parametros'!$B$3)*H162*U162,(0.85*'Parametros'!$B$2/'Parametros'!$B$3)*(1-SQRT(1-2*(J162*1000000/('Parametros'!$B$5*H162*U162^2))/(0.85*'Parametros'!$B$2)))*H162*U162)</f>
        <v>734.025</v>
      </c>
      <c r="S162" s="31" t="n">
        <v>4</v>
      </c>
      <c r="T162" s="32" t="n">
        <v>1</v>
      </c>
      <c r="U162" s="10">
        <f>IF(T162=1,I162-('Parametros'!$B$7+'Parametros'!$B$9+'Parametros'!$B$12/2),I162-(ROUNDUP(S162/2,0)*('Parametros'!$B$7+'Parametros'!$B$9+'Parametros'!$B$12/2)+ROUNDDOWN(S162/2,0)*('Parametros'!$B$7+'Parametros'!$B$9+'Parametros'!$B$12/2+'Parametros'!$B$12+'Parametros'!$B$10))/S162)</f>
        <v>489.35</v>
      </c>
      <c r="V162" s="10">
        <f>S162*'Parametros'!$B$8</f>
        <v>796</v>
      </c>
      <c r="W162" s="10">
        <f>'Parametros'!$B$5*V162*'Parametros'!$B$3*(U162-(V162*'Parametros'!$B$3/(0.85*'Parametros'!$B$2*H162))/2)/1000000</f>
        <v>142.543330094118</v>
      </c>
      <c r="X162" s="10" t="str">
        <f>IF(W162&gt;=J162,"CUMPLE","NO CUMPLE")</f>
        <v>CUMPLE</v>
      </c>
      <c r="Y162" s="10">
        <f>MAX(MAX(1.4/'Parametros'!$B$3,0.25*SQRT('Parametros'!$B$2)/'Parametros'!$B$3)*H162*AB162,(0.85*'Parametros'!$B$2/'Parametros'!$B$3)*(1-SQRT(1-2*(L162*1000000/('Parametros'!$B$5*H162*AB162^2))/(0.85*'Parametros'!$B$2)))*H162*AB162)</f>
        <v>734.025</v>
      </c>
      <c r="Z162" s="31" t="n">
        <v>4</v>
      </c>
      <c r="AA162" s="32" t="n">
        <v>1</v>
      </c>
      <c r="AB162" s="10">
        <f>IF(AA162=1,I162-('Parametros'!$B$7+'Parametros'!$B$9+'Parametros'!$B$12/2),I162-(ROUNDUP(Z162/2,0)*('Parametros'!$B$7+'Parametros'!$B$9+'Parametros'!$B$12/2)+ROUNDDOWN(Z162/2,0)*('Parametros'!$B$7+'Parametros'!$B$9+'Parametros'!$B$12/2+'Parametros'!$B$12+'Parametros'!$B$10))/Z162)</f>
        <v>489.35</v>
      </c>
      <c r="AC162" s="10">
        <f>Z162*'Parametros'!$B$8</f>
        <v>796</v>
      </c>
      <c r="AD162" s="10">
        <f>'Parametros'!$B$5*AC162*'Parametros'!$B$3*(AB162-(AC162*'Parametros'!$B$3/(0.85*'Parametros'!$B$2*H162))/2)/1000000</f>
        <v>142.543330094118</v>
      </c>
      <c r="AE162" s="10" t="str">
        <f>IF(AD162&gt;=L162,"CUMPLE","NO CUMPLE")</f>
        <v>CUMPLE</v>
      </c>
      <c r="AF162" s="10">
        <f>V162*1.25*'Parametros'!$B$3*(U162-(V162*1.25*'Parametros'!$B$3/(0.85*'Parametros'!$B$2*H162))/2)/1000000</f>
        <v>196.346217941176</v>
      </c>
      <c r="AG162" s="10">
        <f>AC162*1.25*'Parametros'!$B$3*(AB162-(AC162*1.25*'Parametros'!$B$3/(0.85*'Parametros'!$B$2*H162))/2)/1000000</f>
        <v>196.346217941176</v>
      </c>
      <c r="AH162" s="10">
        <f>N162+(AF162+AG162)/D162</f>
        <v>196.421707843137</v>
      </c>
      <c r="AI162" s="10">
        <f>MAX(O162,AH162)</f>
        <v>196.421707843137</v>
      </c>
      <c r="AJ162" s="10">
        <f>0.17*SQRT('Parametros'!$B$2)*H162*MIN(U162,AB162)/1000</f>
        <v>198.088855822627</v>
      </c>
      <c r="AK162" s="10">
        <f>MAX(AI162/'Parametros'!$B$6-AJ162,0)</f>
        <v>63.8067546348894</v>
      </c>
      <c r="AL162" s="10">
        <f>0.66*SQRT('Parametros'!$B$2)*H162*MIN(U162,AB162)/1000</f>
        <v>769.050852017258</v>
      </c>
      <c r="AM162" s="10" t="str">
        <f>IF(AK162&lt;=AL162,"CUMPLE","NO CUMPLE")</f>
        <v>CUMPLE</v>
      </c>
      <c r="AN162" s="17" t="inlineStr">
        <is>
          <t>Nº3 cerrado</t>
        </is>
      </c>
      <c r="AO162" s="31" t="n">
        <v>2</v>
      </c>
      <c r="AP162" s="10">
        <f>ROUNDDOWN(MIN(IF(BC162+BD162=0,1000000000,AO162*BB162/(BC162+BD162)),MIN(U162,AB162)/4,8*'Parametros'!$B$12,24*BA162,300,IF(AV162=0,1000000000,2*((H162-2*('Parametros'!$B$7+'Parametros'!$B$9/2))+(I162-2*('Parametros'!$B$7+'Parametros'!$B$9/2)))/8))/10,0)*10</f>
        <v>120</v>
      </c>
      <c r="AQ162" s="10">
        <f>ROUNDDOWN(MIN(IF(BC162+BD162=0,1000000000,AO162*BB162/(BC162+BD162)),IF(AK162&gt;0.33*SQRT('Parametros'!$B$2)*H162*MIN(U162,AB162)/1000,MIN(U162,AB162)/4,MIN(U162,AB162)/2),600,IF(AV162=0,1000000000,2*((H162-2*('Parametros'!$B$7+'Parametros'!$B$9/2))+(I162-2*('Parametros'!$B$7+'Parametros'!$B$9/2)))/8))/10,0)*10</f>
        <v>170</v>
      </c>
      <c r="AR162" s="10">
        <f>'Parametros'!$B$6*(AJ162+MAX(BE162-BD162,0)*'Parametros'!$B$4*MIN(U162,AB162)/1000)</f>
        <v>264.295399012639</v>
      </c>
      <c r="AS162" s="10" t="str">
        <f>IF(AND(ISERROR(SEARCH("referencia",AN162)),AM162="CUMPLE",AR162&gt;=AI162),"CUMPLE","NO CUMPLE")</f>
        <v>CUMPLE</v>
      </c>
      <c r="AT162" s="10">
        <f>'Parametros'!$B$6*0.083*SQRT('Parametros'!$B$2)*(H162*I162)^2/(2*(H162+I162))/1000000</f>
        <v>10.0887830333379</v>
      </c>
      <c r="AU162" s="10" t="str">
        <f>IF(Q162&lt;=AT162,"DESPRECIABLE","DISEÑAR")</f>
        <v>DISEÑAR</v>
      </c>
      <c r="AV162" s="10">
        <f>IF(Q162&lt;=AT162,0,Q162*1000000/('Parametros'!$B$6*2*0.85*(H162-2*('Parametros'!$B$7+'Parametros'!$B$9/2))*(I162-2*('Parametros'!$B$7+'Parametros'!$B$9/2))*'Parametros'!$B$4))</f>
        <v>0.216278008418461</v>
      </c>
      <c r="AW162" s="10">
        <f>AV162*2*((H162-2*('Parametros'!$B$7+'Parametros'!$B$9/2))+(I162-2*('Parametros'!$B$7+'Parametros'!$B$9/2)))*'Parametros'!$B$4/'Parametros'!$B$3</f>
        <v>352.360131315357</v>
      </c>
      <c r="AX162" s="31" t="n">
        <v>8</v>
      </c>
      <c r="AY162" s="10" t="str">
        <f>IF(AV162=0,"DESPRECIABLE",IF(AND(ISERROR(SEARCH("referencia",AN162)),BB162/AP162&gt;=AV162,BI162&gt;=AW162,BH162="CUMPLE"),"CUMPLE","NO CUMPLE"))</f>
        <v>CUMPLE</v>
      </c>
      <c r="AZ162" s="10" t="str">
        <f>IF(AND(X162="CUMPLE",AE162="CUMPLE",AS162="CUMPLE",OR(AY162="CUMPLE",AY162="DESPRECIABLE"),BH162="CUMPLE",BJ162="CUMPLE"),"CUMPLE","NO CUMPLE")</f>
        <v>CUMPLE</v>
      </c>
      <c r="BA162" s="32" t="n">
        <v>9.5</v>
      </c>
      <c r="BB162" s="32" t="n">
        <v>71</v>
      </c>
      <c r="BC162" s="10">
        <f>MAX(IF(AK162=0,0,AK162*1000/('Parametros'!$B$4*MIN(U162,AB162))),MAX(0.062*SQRT('Parametros'!$B$2)*H162/'Parametros'!$B$4,0.35*H162/'Parametros'!$B$4))</f>
        <v>0.375</v>
      </c>
      <c r="BD162" s="10">
        <f>2*AV162</f>
        <v>0.432556016836922</v>
      </c>
      <c r="BE162" s="10">
        <f>AO162*BB162/AP162</f>
        <v>1.18333333333333</v>
      </c>
      <c r="BF162" s="10">
        <f>SQRT((AI162*1000/(H162*MIN(U162,AB162)))^2+(Q162*1000000*2*((H162-2*('Parametros'!$B$7+'Parametros'!$B$9/2))+(I162-2*('Parametros'!$B$7+'Parametros'!$B$9/2)))/(1.7*((H162-2*('Parametros'!$B$7+'Parametros'!$B$9/2))*(I162-2*('Parametros'!$B$7+'Parametros'!$B$9/2)))^2))^2)</f>
        <v>1.12119946713462</v>
      </c>
      <c r="BG162" s="10">
        <f>'Parametros'!$B$6*(AJ162*1000/(H162*MIN(U162,AB162))+0.66*SQRT('Parametros'!$B$2))</f>
        <v>3.29396038227542</v>
      </c>
      <c r="BH162" s="10" t="str">
        <f>IF(BF162&lt;=BG162,"CUMPLE","NO CUMPLE")</f>
        <v>CUMPLE</v>
      </c>
      <c r="BI162" s="10">
        <f>AX162*'Parametros'!$B$8</f>
        <v>1592</v>
      </c>
      <c r="BJ162" s="10" t="str">
        <f>IF(BI162&gt;=AW162,"CUMPLE","NO CUMPLE")</f>
        <v>CUMPLE</v>
      </c>
    </row>
    <row r="163">
      <c r="A163" s="15" t="inlineStr">
        <is>
          <t>VC5</t>
        </is>
      </c>
      <c r="B163" s="15" t="inlineStr">
        <is>
          <t>1032</t>
        </is>
      </c>
      <c r="C163" s="10" t="n">
        <v>1</v>
      </c>
      <c r="D163" s="10" t="n">
        <v>3.25</v>
      </c>
      <c r="E163" s="10" t="n">
        <v>3.25</v>
      </c>
      <c r="F163" s="10" t="n">
        <v>450</v>
      </c>
      <c r="G163" s="10" t="n">
        <v>550</v>
      </c>
      <c r="H163" s="17" t="n">
        <v>450</v>
      </c>
      <c r="I163" s="17" t="n">
        <v>550</v>
      </c>
      <c r="J163" s="30" t="n">
        <v>42.057</v>
      </c>
      <c r="K163" s="10" t="inlineStr">
        <is>
          <t>1032</t>
        </is>
      </c>
      <c r="L163" s="30" t="n">
        <v>19.4526</v>
      </c>
      <c r="M163" s="10" t="inlineStr">
        <is>
          <t>1032</t>
        </is>
      </c>
      <c r="N163" s="30" t="n">
        <v>35.475</v>
      </c>
      <c r="O163" s="30" t="n">
        <v>87.01900000000001</v>
      </c>
      <c r="P163" s="10" t="inlineStr">
        <is>
          <t>1032</t>
        </is>
      </c>
      <c r="Q163" s="30" t="n">
        <v>13.6941</v>
      </c>
      <c r="R163" s="10">
        <f>MAX(MAX(1.4/'Parametros'!$B$3,0.25*SQRT('Parametros'!$B$2)/'Parametros'!$B$3)*H163*U163,(0.85*'Parametros'!$B$2/'Parametros'!$B$3)*(1-SQRT(1-2*(J163*1000000/('Parametros'!$B$5*H163*U163^2))/(0.85*'Parametros'!$B$2)))*H163*U163)</f>
        <v>734.025</v>
      </c>
      <c r="S163" s="31" t="n">
        <v>4</v>
      </c>
      <c r="T163" s="32" t="n">
        <v>1</v>
      </c>
      <c r="U163" s="10">
        <f>IF(T163=1,I163-('Parametros'!$B$7+'Parametros'!$B$9+'Parametros'!$B$12/2),I163-(ROUNDUP(S163/2,0)*('Parametros'!$B$7+'Parametros'!$B$9+'Parametros'!$B$12/2)+ROUNDDOWN(S163/2,0)*('Parametros'!$B$7+'Parametros'!$B$9+'Parametros'!$B$12/2+'Parametros'!$B$12+'Parametros'!$B$10))/S163)</f>
        <v>489.35</v>
      </c>
      <c r="V163" s="10">
        <f>S163*'Parametros'!$B$8</f>
        <v>796</v>
      </c>
      <c r="W163" s="10">
        <f>'Parametros'!$B$5*V163*'Parametros'!$B$3*(U163-(V163*'Parametros'!$B$3/(0.85*'Parametros'!$B$2*H163))/2)/1000000</f>
        <v>142.543330094118</v>
      </c>
      <c r="X163" s="10" t="str">
        <f>IF(W163&gt;=J163,"CUMPLE","NO CUMPLE")</f>
        <v>CUMPLE</v>
      </c>
      <c r="Y163" s="10">
        <f>MAX(MAX(1.4/'Parametros'!$B$3,0.25*SQRT('Parametros'!$B$2)/'Parametros'!$B$3)*H163*AB163,(0.85*'Parametros'!$B$2/'Parametros'!$B$3)*(1-SQRT(1-2*(L163*1000000/('Parametros'!$B$5*H163*AB163^2))/(0.85*'Parametros'!$B$2)))*H163*AB163)</f>
        <v>734.025</v>
      </c>
      <c r="Z163" s="31" t="n">
        <v>4</v>
      </c>
      <c r="AA163" s="32" t="n">
        <v>1</v>
      </c>
      <c r="AB163" s="10">
        <f>IF(AA163=1,I163-('Parametros'!$B$7+'Parametros'!$B$9+'Parametros'!$B$12/2),I163-(ROUNDUP(Z163/2,0)*('Parametros'!$B$7+'Parametros'!$B$9+'Parametros'!$B$12/2)+ROUNDDOWN(Z163/2,0)*('Parametros'!$B$7+'Parametros'!$B$9+'Parametros'!$B$12/2+'Parametros'!$B$12+'Parametros'!$B$10))/Z163)</f>
        <v>489.35</v>
      </c>
      <c r="AC163" s="10">
        <f>Z163*'Parametros'!$B$8</f>
        <v>796</v>
      </c>
      <c r="AD163" s="10">
        <f>'Parametros'!$B$5*AC163*'Parametros'!$B$3*(AB163-(AC163*'Parametros'!$B$3/(0.85*'Parametros'!$B$2*H163))/2)/1000000</f>
        <v>142.543330094118</v>
      </c>
      <c r="AE163" s="10" t="str">
        <f>IF(AD163&gt;=L163,"CUMPLE","NO CUMPLE")</f>
        <v>CUMPLE</v>
      </c>
      <c r="AF163" s="10">
        <f>V163*1.25*'Parametros'!$B$3*(U163-(V163*1.25*'Parametros'!$B$3/(0.85*'Parametros'!$B$2*H163))/2)/1000000</f>
        <v>196.346217941176</v>
      </c>
      <c r="AG163" s="10">
        <f>AC163*1.25*'Parametros'!$B$3*(AB163-(AC163*1.25*'Parametros'!$B$3/(0.85*'Parametros'!$B$2*H163))/2)/1000000</f>
        <v>196.346217941176</v>
      </c>
      <c r="AH163" s="10">
        <f>N163+(AF163+AG163)/D163</f>
        <v>156.303441809955</v>
      </c>
      <c r="AI163" s="10">
        <f>MAX(O163,AH163)</f>
        <v>156.303441809955</v>
      </c>
      <c r="AJ163" s="10">
        <f>0.17*SQRT('Parametros'!$B$2)*H163*MIN(U163,AB163)/1000</f>
        <v>198.088855822627</v>
      </c>
      <c r="AK163" s="10">
        <f>MAX(AI163/'Parametros'!$B$6-AJ163,0)</f>
        <v>10.3157332573127</v>
      </c>
      <c r="AL163" s="10">
        <f>0.66*SQRT('Parametros'!$B$2)*H163*MIN(U163,AB163)/1000</f>
        <v>769.050852017258</v>
      </c>
      <c r="AM163" s="10" t="str">
        <f>IF(AK163&lt;=AL163,"CUMPLE","NO CUMPLE")</f>
        <v>CUMPLE</v>
      </c>
      <c r="AN163" s="17" t="inlineStr">
        <is>
          <t>Nº3 cerrado</t>
        </is>
      </c>
      <c r="AO163" s="31" t="n">
        <v>2</v>
      </c>
      <c r="AP163" s="10">
        <f>ROUNDDOWN(MIN(IF(BC163+BD163=0,1000000000,AO163*BB163/(BC163+BD163)),MIN(U163,AB163)/4,8*'Parametros'!$B$12,24*BA163,300,IF(AV163=0,1000000000,2*((H163-2*('Parametros'!$B$7+'Parametros'!$B$9/2))+(I163-2*('Parametros'!$B$7+'Parametros'!$B$9/2)))/8))/10,0)*10</f>
        <v>120</v>
      </c>
      <c r="AQ163" s="10">
        <f>ROUNDDOWN(MIN(IF(BC163+BD163=0,1000000000,AO163*BB163/(BC163+BD163)),IF(AK163&gt;0.33*SQRT('Parametros'!$B$2)*H163*MIN(U163,AB163)/1000,MIN(U163,AB163)/4,MIN(U163,AB163)/2),600,IF(AV163=0,1000000000,2*((H163-2*('Parametros'!$B$7+'Parametros'!$B$9/2))+(I163-2*('Parametros'!$B$7+'Parametros'!$B$9/2)))/8))/10,0)*10</f>
        <v>200</v>
      </c>
      <c r="AR163" s="10">
        <f>'Parametros'!$B$6*(AJ163+MAX(BE163-BD163,0)*'Parametros'!$B$4*MIN(U163,AB163)/1000)</f>
        <v>282.721562549421</v>
      </c>
      <c r="AS163" s="10" t="str">
        <f>IF(AND(ISERROR(SEARCH("referencia",AN163)),AM163="CUMPLE",AR163&gt;=AI163),"CUMPLE","NO CUMPLE")</f>
        <v>CUMPLE</v>
      </c>
      <c r="AT163" s="10">
        <f>'Parametros'!$B$6*0.083*SQRT('Parametros'!$B$2)*(H163*I163)^2/(2*(H163+I163))/1000000</f>
        <v>10.0887830333379</v>
      </c>
      <c r="AU163" s="10" t="str">
        <f>IF(Q163&lt;=AT163,"DESPRECIABLE","DISEÑAR")</f>
        <v>DISEÑAR</v>
      </c>
      <c r="AV163" s="10">
        <f>IF(Q163&lt;=AT163,0,Q163*1000000/('Parametros'!$B$6*2*0.85*(H163-2*('Parametros'!$B$7+'Parametros'!$B$9/2))*(I163-2*('Parametros'!$B$7+'Parametros'!$B$9/2))*'Parametros'!$B$4))</f>
        <v>0.156509175007173</v>
      </c>
      <c r="AW163" s="10">
        <f>AV163*2*((H163-2*('Parametros'!$B$7+'Parametros'!$B$9/2))+(I163-2*('Parametros'!$B$7+'Parametros'!$B$9/2)))*'Parametros'!$B$4/'Parametros'!$B$3</f>
        <v>254.984747921687</v>
      </c>
      <c r="AX163" s="31" t="n">
        <v>8</v>
      </c>
      <c r="AY163" s="10" t="str">
        <f>IF(AV163=0,"DESPRECIABLE",IF(AND(ISERROR(SEARCH("referencia",AN163)),BB163/AP163&gt;=AV163,BI163&gt;=AW163,BH163="CUMPLE"),"CUMPLE","NO CUMPLE"))</f>
        <v>CUMPLE</v>
      </c>
      <c r="AZ163" s="10" t="str">
        <f>IF(AND(X163="CUMPLE",AE163="CUMPLE",AS163="CUMPLE",OR(AY163="CUMPLE",AY163="DESPRECIABLE"),BH163="CUMPLE",BJ163="CUMPLE"),"CUMPLE","NO CUMPLE")</f>
        <v>CUMPLE</v>
      </c>
      <c r="BA163" s="32" t="n">
        <v>9.5</v>
      </c>
      <c r="BB163" s="32" t="n">
        <v>71</v>
      </c>
      <c r="BC163" s="10">
        <f>MAX(IF(AK163=0,0,AK163*1000/('Parametros'!$B$4*MIN(U163,AB163))),MAX(0.062*SQRT('Parametros'!$B$2)*H163/'Parametros'!$B$4,0.35*H163/'Parametros'!$B$4))</f>
        <v>0.375</v>
      </c>
      <c r="BD163" s="10">
        <f>2*AV163</f>
        <v>0.313018350014347</v>
      </c>
      <c r="BE163" s="10">
        <f>AO163*BB163/AP163</f>
        <v>1.18333333333333</v>
      </c>
      <c r="BF163" s="10">
        <f>SQRT((AI163*1000/(H163*MIN(U163,AB163)))^2+(Q163*1000000*2*((H163-2*('Parametros'!$B$7+'Parametros'!$B$9/2))+(I163-2*('Parametros'!$B$7+'Parametros'!$B$9/2)))/(1.7*((H163-2*('Parametros'!$B$7+'Parametros'!$B$9/2))*(I163-2*('Parametros'!$B$7+'Parametros'!$B$9/2)))^2))^2)</f>
        <v>0.863402500547047</v>
      </c>
      <c r="BG163" s="10">
        <f>'Parametros'!$B$6*(AJ163*1000/(H163*MIN(U163,AB163))+0.66*SQRT('Parametros'!$B$2))</f>
        <v>3.29396038227542</v>
      </c>
      <c r="BH163" s="10" t="str">
        <f>IF(BF163&lt;=BG163,"CUMPLE","NO CUMPLE")</f>
        <v>CUMPLE</v>
      </c>
      <c r="BI163" s="10">
        <f>AX163*'Parametros'!$B$8</f>
        <v>1592</v>
      </c>
      <c r="BJ163" s="10" t="str">
        <f>IF(BI163&gt;=AW163,"CUMPLE","NO CUMPLE")</f>
        <v>CUMPLE</v>
      </c>
    </row>
    <row r="164">
      <c r="A164" s="20" t="inlineStr">
        <is>
          <t>VC6</t>
        </is>
      </c>
      <c r="B164" s="20" t="inlineStr">
        <is>
          <t>67</t>
        </is>
      </c>
      <c r="C164" s="10" t="n">
        <v>1</v>
      </c>
      <c r="D164" s="10" t="n">
        <v>3.25</v>
      </c>
      <c r="E164" s="10" t="n">
        <v>3.25</v>
      </c>
      <c r="F164" s="10" t="n">
        <v>450</v>
      </c>
      <c r="G164" s="10" t="n">
        <v>550</v>
      </c>
      <c r="H164" s="17" t="n">
        <v>450</v>
      </c>
      <c r="I164" s="17" t="n">
        <v>550</v>
      </c>
      <c r="J164" s="30" t="n">
        <v>180.7204</v>
      </c>
      <c r="K164" s="10" t="inlineStr">
        <is>
          <t>67</t>
        </is>
      </c>
      <c r="L164" s="30" t="n">
        <v>161.3057</v>
      </c>
      <c r="M164" s="10" t="inlineStr">
        <is>
          <t>67</t>
        </is>
      </c>
      <c r="N164" s="30" t="n">
        <v>100.13</v>
      </c>
      <c r="O164" s="30" t="n">
        <v>439.483</v>
      </c>
      <c r="P164" s="10" t="inlineStr">
        <is>
          <t>67</t>
        </is>
      </c>
      <c r="Q164" s="30" t="n">
        <v>6.1765</v>
      </c>
      <c r="R164" s="10">
        <f>MAX(MAX(1.4/'Parametros'!$B$3,0.25*SQRT('Parametros'!$B$2)/'Parametros'!$B$3)*H164*U164,(0.85*'Parametros'!$B$2/'Parametros'!$B$3)*(1-SQRT(1-2*(J164*1000000/('Parametros'!$B$5*H164*U164^2))/(0.85*'Parametros'!$B$2)))*H164*U164)</f>
        <v>1018.5742431396</v>
      </c>
      <c r="S164" s="31" t="n">
        <v>6</v>
      </c>
      <c r="T164" s="32" t="n">
        <v>1</v>
      </c>
      <c r="U164" s="10">
        <f>IF(T164=1,I164-('Parametros'!$B$7+'Parametros'!$B$9+'Parametros'!$B$12/2),I164-(ROUNDUP(S164/2,0)*('Parametros'!$B$7+'Parametros'!$B$9+'Parametros'!$B$12/2)+ROUNDDOWN(S164/2,0)*('Parametros'!$B$7+'Parametros'!$B$9+'Parametros'!$B$12/2+'Parametros'!$B$12+'Parametros'!$B$10))/S164)</f>
        <v>489.35</v>
      </c>
      <c r="V164" s="10">
        <f>S164*'Parametros'!$B$8</f>
        <v>1194</v>
      </c>
      <c r="W164" s="10">
        <f>'Parametros'!$B$5*V164*'Parametros'!$B$3*(U164-(V164*'Parametros'!$B$3/(0.85*'Parametros'!$B$2*H164))/2)/1000000</f>
        <v>210.292835611765</v>
      </c>
      <c r="X164" s="10" t="str">
        <f>IF(W164&gt;=J164,"CUMPLE","NO CUMPLE")</f>
        <v>CUMPLE</v>
      </c>
      <c r="Y164" s="10">
        <f>MAX(MAX(1.4/'Parametros'!$B$3,0.25*SQRT('Parametros'!$B$2)/'Parametros'!$B$3)*H164*AB164,(0.85*'Parametros'!$B$2/'Parametros'!$B$3)*(1-SQRT(1-2*(L164*1000000/('Parametros'!$B$5*H164*AB164^2))/(0.85*'Parametros'!$B$2)))*H164*AB164)</f>
        <v>904.850659274162</v>
      </c>
      <c r="Z164" s="31" t="n">
        <v>5</v>
      </c>
      <c r="AA164" s="32" t="n">
        <v>1</v>
      </c>
      <c r="AB164" s="10">
        <f>IF(AA164=1,I164-('Parametros'!$B$7+'Parametros'!$B$9+'Parametros'!$B$12/2),I164-(ROUNDUP(Z164/2,0)*('Parametros'!$B$7+'Parametros'!$B$9+'Parametros'!$B$12/2)+ROUNDDOWN(Z164/2,0)*('Parametros'!$B$7+'Parametros'!$B$9+'Parametros'!$B$12/2+'Parametros'!$B$12+'Parametros'!$B$10))/Z164)</f>
        <v>489.35</v>
      </c>
      <c r="AC164" s="10">
        <f>Z164*'Parametros'!$B$8</f>
        <v>995</v>
      </c>
      <c r="AD164" s="10">
        <f>'Parametros'!$B$5*AC164*'Parametros'!$B$3*(AB164-(AC164*'Parametros'!$B$3/(0.85*'Parametros'!$B$2*H164))/2)/1000000</f>
        <v>176.711596147059</v>
      </c>
      <c r="AE164" s="10" t="str">
        <f>IF(AD164&gt;=L164,"CUMPLE","NO CUMPLE")</f>
        <v>CUMPLE</v>
      </c>
      <c r="AF164" s="10">
        <f>V164*1.25*'Parametros'!$B$3*(U164-(V164*1.25*'Parametros'!$B$3/(0.85*'Parametros'!$B$2*H164))/2)/1000000</f>
        <v>288.404466617647</v>
      </c>
      <c r="AG164" s="10">
        <f>AC164*1.25*'Parametros'!$B$3*(AB164-(AC164*1.25*'Parametros'!$B$3/(0.85*'Parametros'!$B$2*H164))/2)/1000000</f>
        <v>242.884913970588</v>
      </c>
      <c r="AH164" s="10">
        <f>N164+(AF164+AG164)/D164</f>
        <v>263.603655565611</v>
      </c>
      <c r="AI164" s="10">
        <f>MAX(O164,AH164)</f>
        <v>439.483</v>
      </c>
      <c r="AJ164" s="10">
        <f>0.17*SQRT('Parametros'!$B$2)*H164*MIN(U164,AB164)/1000</f>
        <v>198.088855822627</v>
      </c>
      <c r="AK164" s="10">
        <f>MAX(AI164/'Parametros'!$B$6-AJ164,0)</f>
        <v>387.888477510706</v>
      </c>
      <c r="AL164" s="10">
        <f>0.66*SQRT('Parametros'!$B$2)*H164*MIN(U164,AB164)/1000</f>
        <v>769.050852017258</v>
      </c>
      <c r="AM164" s="10" t="str">
        <f>IF(AK164&lt;=AL164,"CUMPLE","NO CUMPLE")</f>
        <v>CUMPLE</v>
      </c>
      <c r="AN164" s="17" t="inlineStr">
        <is>
          <t>Nº4 cerrado</t>
        </is>
      </c>
      <c r="AO164" s="31" t="n">
        <v>2</v>
      </c>
      <c r="AP164" s="10">
        <f>ROUNDDOWN(MIN(IF(BC164+BD164=0,1000000000,AO164*BB164/(BC164+BD164)),MIN(U164,AB164)/4,8*'Parametros'!$B$12,24*BA164,300,IF(AV164=0,1000000000,2*((H164-2*('Parametros'!$B$7+'Parametros'!$B$9/2))+(I164-2*('Parametros'!$B$7+'Parametros'!$B$9/2)))/8))/10,0)*10</f>
        <v>120</v>
      </c>
      <c r="AQ164" s="10">
        <f>ROUNDDOWN(MIN(IF(BC164+BD164=0,1000000000,AO164*BB164/(BC164+BD164)),IF(AK164&gt;0.33*SQRT('Parametros'!$B$2)*H164*MIN(U164,AB164)/1000,MIN(U164,AB164)/4,MIN(U164,AB164)/2),600,IF(AV164=0,1000000000,2*((H164-2*('Parametros'!$B$7+'Parametros'!$B$9/2))+(I164-2*('Parametros'!$B$7+'Parametros'!$B$9/2)))/8))/10,0)*10</f>
        <v>120</v>
      </c>
      <c r="AR164" s="10">
        <f>'Parametros'!$B$6*(AJ164+MAX(BE164-BD164,0)*'Parametros'!$B$4*MIN(U164,AB164)/1000)</f>
        <v>479.97892936697</v>
      </c>
      <c r="AS164" s="10" t="str">
        <f>IF(AND(ISERROR(SEARCH("referencia",AN164)),AM164="CUMPLE",AR164&gt;=AI164),"CUMPLE","NO CUMPLE")</f>
        <v>CUMPLE</v>
      </c>
      <c r="AT164" s="10">
        <f>'Parametros'!$B$6*0.083*SQRT('Parametros'!$B$2)*(H164*I164)^2/(2*(H164+I164))/1000000</f>
        <v>10.0887830333379</v>
      </c>
      <c r="AU164" s="10" t="str">
        <f>IF(Q164&lt;=AT164,"DESPRECIABLE","DISEÑAR")</f>
        <v>DESPRECIABLE</v>
      </c>
      <c r="AV164" s="10">
        <f>IF(Q164&lt;=AT164,0,Q164*1000000/('Parametros'!$B$6*2*0.85*(H164-2*('Parametros'!$B$7+'Parametros'!$B$9/2))*(I164-2*('Parametros'!$B$7+'Parametros'!$B$9/2))*'Parametros'!$B$4))</f>
        <v>0</v>
      </c>
      <c r="AW164" s="10">
        <f>AV164*2*((H164-2*('Parametros'!$B$7+'Parametros'!$B$9/2))+(I164-2*('Parametros'!$B$7+'Parametros'!$B$9/2)))*'Parametros'!$B$4/'Parametros'!$B$3</f>
        <v>0</v>
      </c>
      <c r="AX164" s="31" t="n">
        <v>0</v>
      </c>
      <c r="AY164" s="10" t="str">
        <f>IF(AV164=0,"DESPRECIABLE",IF(AND(ISERROR(SEARCH("referencia",AN164)),BB164/AP164&gt;=AV164,BI164&gt;=AW164,BH164="CUMPLE"),"CUMPLE","NO CUMPLE"))</f>
        <v>DESPRECIABLE</v>
      </c>
      <c r="AZ164" s="10" t="str">
        <f>IF(AND(X164="CUMPLE",AE164="CUMPLE",AS164="CUMPLE",OR(AY164="CUMPLE",AY164="DESPRECIABLE"),BH164="CUMPLE",BJ164="CUMPLE"),"CUMPLE","NO CUMPLE")</f>
        <v>CUMPLE</v>
      </c>
      <c r="BA164" s="32" t="n">
        <v>12.7</v>
      </c>
      <c r="BB164" s="32" t="n">
        <v>129</v>
      </c>
      <c r="BC164" s="10">
        <f>MAX(IF(AK164=0,0,AK164*1000/('Parametros'!$B$4*MIN(U164,AB164))),MAX(0.062*SQRT('Parametros'!$B$2)*H164/'Parametros'!$B$4,0.35*H164/'Parametros'!$B$4))</f>
        <v>1.88728720562606</v>
      </c>
      <c r="BD164" s="10">
        <f>2*AV164</f>
        <v>0</v>
      </c>
      <c r="BE164" s="10">
        <f>AO164*BB164/AP164</f>
        <v>2.15</v>
      </c>
      <c r="BF164" s="10">
        <f>SQRT((AI164*1000/(H164*MIN(U164,AB164)))^2+(Q164*1000000*2*((H164-2*('Parametros'!$B$7+'Parametros'!$B$9/2))+(I164-2*('Parametros'!$B$7+'Parametros'!$B$9/2)))/(1.7*((H164-2*('Parametros'!$B$7+'Parametros'!$B$9/2))*(I164-2*('Parametros'!$B$7+'Parametros'!$B$9/2)))^2))^2)</f>
        <v>2.00804555889823</v>
      </c>
      <c r="BG164" s="10">
        <f>'Parametros'!$B$6*(AJ164*1000/(H164*MIN(U164,AB164))+0.66*SQRT('Parametros'!$B$2))</f>
        <v>3.29396038227542</v>
      </c>
      <c r="BH164" s="10" t="str">
        <f>IF(BF164&lt;=BG164,"CUMPLE","NO CUMPLE")</f>
        <v>CUMPLE</v>
      </c>
      <c r="BI164" s="10">
        <f>AX164*'Parametros'!$B$8</f>
        <v>0</v>
      </c>
      <c r="BJ164" s="10" t="str">
        <f>IF(BI164&gt;=AW164,"CUMPLE","NO CUMPLE")</f>
        <v>CUMPLE</v>
      </c>
    </row>
    <row r="165">
      <c r="A165" s="20" t="inlineStr">
        <is>
          <t>VC6</t>
        </is>
      </c>
      <c r="B165" s="20" t="inlineStr">
        <is>
          <t>68</t>
        </is>
      </c>
      <c r="C165" s="10" t="n">
        <v>1</v>
      </c>
      <c r="D165" s="10" t="n">
        <v>3.3</v>
      </c>
      <c r="E165" s="10" t="n">
        <v>3.3</v>
      </c>
      <c r="F165" s="10" t="n">
        <v>450</v>
      </c>
      <c r="G165" s="10" t="n">
        <v>550</v>
      </c>
      <c r="H165" s="17" t="n">
        <v>450</v>
      </c>
      <c r="I165" s="17" t="n">
        <v>550</v>
      </c>
      <c r="J165" s="30" t="n">
        <v>171.1078</v>
      </c>
      <c r="K165" s="10" t="inlineStr">
        <is>
          <t>68</t>
        </is>
      </c>
      <c r="L165" s="30" t="n">
        <v>149.0354</v>
      </c>
      <c r="M165" s="10" t="inlineStr">
        <is>
          <t>68</t>
        </is>
      </c>
      <c r="N165" s="30" t="n">
        <v>98.25</v>
      </c>
      <c r="O165" s="30" t="n">
        <v>424.499</v>
      </c>
      <c r="P165" s="10" t="inlineStr">
        <is>
          <t>68</t>
        </is>
      </c>
      <c r="Q165" s="30" t="n">
        <v>123.1367</v>
      </c>
      <c r="R165" s="10">
        <f>MAX(MAX(1.4/'Parametros'!$B$3,0.25*SQRT('Parametros'!$B$2)/'Parametros'!$B$3)*H165*U165,(0.85*'Parametros'!$B$2/'Parametros'!$B$3)*(1-SQRT(1-2*(J165*1000000/('Parametros'!$B$5*H165*U165^2))/(0.85*'Parametros'!$B$2)))*H165*U165)</f>
        <v>962.127093782395</v>
      </c>
      <c r="S165" s="31" t="n">
        <v>5</v>
      </c>
      <c r="T165" s="32" t="n">
        <v>1</v>
      </c>
      <c r="U165" s="10">
        <f>IF(T165=1,I165-('Parametros'!$B$7+'Parametros'!$B$9+'Parametros'!$B$12/2),I165-(ROUNDUP(S165/2,0)*('Parametros'!$B$7+'Parametros'!$B$9+'Parametros'!$B$12/2)+ROUNDDOWN(S165/2,0)*('Parametros'!$B$7+'Parametros'!$B$9+'Parametros'!$B$12/2+'Parametros'!$B$12+'Parametros'!$B$10))/S165)</f>
        <v>489.35</v>
      </c>
      <c r="V165" s="10">
        <f>S165*'Parametros'!$B$8</f>
        <v>995</v>
      </c>
      <c r="W165" s="10">
        <f>'Parametros'!$B$5*V165*'Parametros'!$B$3*(U165-(V165*'Parametros'!$B$3/(0.85*'Parametros'!$B$2*H165))/2)/1000000</f>
        <v>176.711596147059</v>
      </c>
      <c r="X165" s="10" t="str">
        <f>IF(W165&gt;=J165,"CUMPLE","NO CUMPLE")</f>
        <v>CUMPLE</v>
      </c>
      <c r="Y165" s="10">
        <f>MAX(MAX(1.4/'Parametros'!$B$3,0.25*SQRT('Parametros'!$B$2)/'Parametros'!$B$3)*H165*AB165,(0.85*'Parametros'!$B$2/'Parametros'!$B$3)*(1-SQRT(1-2*(L165*1000000/('Parametros'!$B$5*H165*AB165^2))/(0.85*'Parametros'!$B$2)))*H165*AB165)</f>
        <v>833.548887006173</v>
      </c>
      <c r="Z165" s="31" t="n">
        <v>5</v>
      </c>
      <c r="AA165" s="32" t="n">
        <v>1</v>
      </c>
      <c r="AB165" s="10">
        <f>IF(AA165=1,I165-('Parametros'!$B$7+'Parametros'!$B$9+'Parametros'!$B$12/2),I165-(ROUNDUP(Z165/2,0)*('Parametros'!$B$7+'Parametros'!$B$9+'Parametros'!$B$12/2)+ROUNDDOWN(Z165/2,0)*('Parametros'!$B$7+'Parametros'!$B$9+'Parametros'!$B$12/2+'Parametros'!$B$12+'Parametros'!$B$10))/Z165)</f>
        <v>489.35</v>
      </c>
      <c r="AC165" s="10">
        <f>Z165*'Parametros'!$B$8</f>
        <v>995</v>
      </c>
      <c r="AD165" s="10">
        <f>'Parametros'!$B$5*AC165*'Parametros'!$B$3*(AB165-(AC165*'Parametros'!$B$3/(0.85*'Parametros'!$B$2*H165))/2)/1000000</f>
        <v>176.711596147059</v>
      </c>
      <c r="AE165" s="10" t="str">
        <f>IF(AD165&gt;=L165,"CUMPLE","NO CUMPLE")</f>
        <v>CUMPLE</v>
      </c>
      <c r="AF165" s="10">
        <f>V165*1.25*'Parametros'!$B$3*(U165-(V165*1.25*'Parametros'!$B$3/(0.85*'Parametros'!$B$2*H165))/2)/1000000</f>
        <v>242.884913970588</v>
      </c>
      <c r="AG165" s="10">
        <f>AC165*1.25*'Parametros'!$B$3*(AB165-(AC165*1.25*'Parametros'!$B$3/(0.85*'Parametros'!$B$2*H165))/2)/1000000</f>
        <v>242.884913970588</v>
      </c>
      <c r="AH165" s="10">
        <f>N165+(AF165+AG165)/D165</f>
        <v>245.452978163993</v>
      </c>
      <c r="AI165" s="10">
        <f>MAX(O165,AH165)</f>
        <v>424.499</v>
      </c>
      <c r="AJ165" s="10">
        <f>0.17*SQRT('Parametros'!$B$2)*H165*MIN(U165,AB165)/1000</f>
        <v>198.088855822627</v>
      </c>
      <c r="AK165" s="10">
        <f>MAX(AI165/'Parametros'!$B$6-AJ165,0)</f>
        <v>367.90981084404</v>
      </c>
      <c r="AL165" s="10">
        <f>0.66*SQRT('Parametros'!$B$2)*H165*MIN(U165,AB165)/1000</f>
        <v>769.050852017258</v>
      </c>
      <c r="AM165" s="10" t="str">
        <f>IF(AK165&lt;=AL165,"CUMPLE","NO CUMPLE")</f>
        <v>CUMPLE</v>
      </c>
      <c r="AN165" s="17" t="inlineStr">
        <is>
          <t>Nº4 cerrado (referencia)</t>
        </is>
      </c>
      <c r="AO165" s="31" t="n">
        <v>4</v>
      </c>
      <c r="AP165" s="10">
        <f>ROUNDDOWN(MIN(IF(BC165+BD165=0,1000000000,AO165*BB165/(BC165+BD165)),MIN(U165,AB165)/4,8*'Parametros'!$B$12,24*BA165,300,IF(AV165=0,1000000000,2*((H165-2*('Parametros'!$B$7+'Parametros'!$B$9/2))+(I165-2*('Parametros'!$B$7+'Parametros'!$B$9/2)))/8))/10,0)*10</f>
        <v>110</v>
      </c>
      <c r="AQ165" s="10">
        <f>ROUNDDOWN(MIN(IF(BC165+BD165=0,1000000000,AO165*BB165/(BC165+BD165)),IF(AK165&gt;0.33*SQRT('Parametros'!$B$2)*H165*MIN(U165,AB165)/1000,MIN(U165,AB165)/4,MIN(U165,AB165)/2),600,IF(AV165=0,1000000000,2*((H165-2*('Parametros'!$B$7+'Parametros'!$B$9/2))+(I165-2*('Parametros'!$B$7+'Parametros'!$B$9/2)))/8))/10,0)*10</f>
        <v>110</v>
      </c>
      <c r="AR165" s="10">
        <f>'Parametros'!$B$6*(AJ165+MAX(BE165-BD165,0)*'Parametros'!$B$4*MIN(U165,AB165)/1000)</f>
        <v>437.783652757129</v>
      </c>
      <c r="AS165" s="10" t="str">
        <f>IF(AND(ISERROR(SEARCH("referencia",AN165)),AM165="CUMPLE",AR165&gt;=AI165),"CUMPLE","NO CUMPLE")</f>
        <v>NO CUMPLE</v>
      </c>
      <c r="AT165" s="10">
        <f>'Parametros'!$B$6*0.083*SQRT('Parametros'!$B$2)*(H165*I165)^2/(2*(H165+I165))/1000000</f>
        <v>10.0887830333379</v>
      </c>
      <c r="AU165" s="10" t="str">
        <f>IF(Q165&lt;=AT165,"DESPRECIABLE","DISEÑAR")</f>
        <v>DISEÑAR</v>
      </c>
      <c r="AV165" s="10">
        <f>IF(Q165&lt;=AT165,0,Q165*1000000/('Parametros'!$B$6*2*0.85*(H165-2*('Parametros'!$B$7+'Parametros'!$B$9/2))*(I165-2*('Parametros'!$B$7+'Parametros'!$B$9/2))*'Parametros'!$B$4))</f>
        <v>1.4073231048485</v>
      </c>
      <c r="AW165" s="10">
        <f>AV165*2*((H165-2*('Parametros'!$B$7+'Parametros'!$B$9/2))+(I165-2*('Parametros'!$B$7+'Parametros'!$B$9/2)))*'Parametros'!$B$4/'Parametros'!$B$3</f>
        <v>2292.81080241917</v>
      </c>
      <c r="AX165" s="31" t="n">
        <v>12</v>
      </c>
      <c r="AY165" s="10" t="str">
        <f>IF(AV165=0,"DESPRECIABLE",IF(AND(ISERROR(SEARCH("referencia",AN165)),BB165/AP165&gt;=AV165,BI165&gt;=AW165,BH165="CUMPLE"),"CUMPLE","NO CUMPLE"))</f>
        <v>NO CUMPLE</v>
      </c>
      <c r="AZ165" s="10" t="str">
        <f>IF(AND(X165="CUMPLE",AE165="CUMPLE",AS165="CUMPLE",OR(AY165="CUMPLE",AY165="DESPRECIABLE"),BH165="CUMPLE",BJ165="CUMPLE"),"CUMPLE","NO CUMPLE")</f>
        <v>NO CUMPLE</v>
      </c>
      <c r="BA165" s="32" t="n">
        <v>12.7</v>
      </c>
      <c r="BB165" s="32" t="n">
        <v>129</v>
      </c>
      <c r="BC165" s="10">
        <f>MAX(IF(AK165=0,0,AK165*1000/('Parametros'!$B$4*MIN(U165,AB165))),MAX(0.062*SQRT('Parametros'!$B$2)*H165/'Parametros'!$B$4,0.35*H165/'Parametros'!$B$4))</f>
        <v>1.79008018821877</v>
      </c>
      <c r="BD165" s="10">
        <f>2*AV165</f>
        <v>2.814646209697</v>
      </c>
      <c r="BE165" s="10">
        <f>AO165*BB165/AP165</f>
        <v>4.69090909090909</v>
      </c>
      <c r="BF165" s="10">
        <f>SQRT((AI165*1000/(H165*MIN(U165,AB165)))^2+(Q165*1000000*2*((H165-2*('Parametros'!$B$7+'Parametros'!$B$9/2))+(I165-2*('Parametros'!$B$7+'Parametros'!$B$9/2)))/(1.7*((H165-2*('Parametros'!$B$7+'Parametros'!$B$9/2))*(I165-2*('Parametros'!$B$7+'Parametros'!$B$9/2)))^2))^2)</f>
        <v>4.8222940614931</v>
      </c>
      <c r="BG165" s="10">
        <f>'Parametros'!$B$6*(AJ165*1000/(H165*MIN(U165,AB165))+0.66*SQRT('Parametros'!$B$2))</f>
        <v>3.29396038227542</v>
      </c>
      <c r="BH165" s="10" t="str">
        <f>IF(BF165&lt;=BG165,"CUMPLE","NO CUMPLE")</f>
        <v>NO CUMPLE</v>
      </c>
      <c r="BI165" s="10">
        <f>AX165*'Parametros'!$B$8</f>
        <v>2388</v>
      </c>
      <c r="BJ165" s="10" t="str">
        <f>IF(BI165&gt;=AW165,"CUMPLE","NO CUMPLE")</f>
        <v>CUMPLE</v>
      </c>
    </row>
    <row r="166">
      <c r="A166" s="20" t="inlineStr">
        <is>
          <t>VC6</t>
        </is>
      </c>
      <c r="B166" s="20" t="inlineStr">
        <is>
          <t>69</t>
        </is>
      </c>
      <c r="C166" s="10" t="n">
        <v>1</v>
      </c>
      <c r="D166" s="10" t="n">
        <v>3.3</v>
      </c>
      <c r="E166" s="10" t="n">
        <v>3.3</v>
      </c>
      <c r="F166" s="10" t="n">
        <v>450</v>
      </c>
      <c r="G166" s="10" t="n">
        <v>550</v>
      </c>
      <c r="H166" s="17" t="n">
        <v>450</v>
      </c>
      <c r="I166" s="17" t="n">
        <v>550</v>
      </c>
      <c r="J166" s="30" t="n">
        <v>171.093</v>
      </c>
      <c r="K166" s="10" t="inlineStr">
        <is>
          <t>69</t>
        </is>
      </c>
      <c r="L166" s="30" t="n">
        <v>149.0457</v>
      </c>
      <c r="M166" s="10" t="inlineStr">
        <is>
          <t>69</t>
        </is>
      </c>
      <c r="N166" s="30" t="n">
        <v>98.244</v>
      </c>
      <c r="O166" s="30" t="n">
        <v>424.494</v>
      </c>
      <c r="P166" s="10" t="inlineStr">
        <is>
          <t>69</t>
        </is>
      </c>
      <c r="Q166" s="30" t="n">
        <v>123.1377</v>
      </c>
      <c r="R166" s="10">
        <f>MAX(MAX(1.4/'Parametros'!$B$3,0.25*SQRT('Parametros'!$B$2)/'Parametros'!$B$3)*H166*U166,(0.85*'Parametros'!$B$2/'Parametros'!$B$3)*(1-SQRT(1-2*(J166*1000000/('Parametros'!$B$5*H166*U166^2))/(0.85*'Parametros'!$B$2)))*H166*U166)</f>
        <v>962.040398479052</v>
      </c>
      <c r="S166" s="31" t="n">
        <v>5</v>
      </c>
      <c r="T166" s="32" t="n">
        <v>1</v>
      </c>
      <c r="U166" s="10">
        <f>IF(T166=1,I166-('Parametros'!$B$7+'Parametros'!$B$9+'Parametros'!$B$12/2),I166-(ROUNDUP(S166/2,0)*('Parametros'!$B$7+'Parametros'!$B$9+'Parametros'!$B$12/2)+ROUNDDOWN(S166/2,0)*('Parametros'!$B$7+'Parametros'!$B$9+'Parametros'!$B$12/2+'Parametros'!$B$12+'Parametros'!$B$10))/S166)</f>
        <v>489.35</v>
      </c>
      <c r="V166" s="10">
        <f>S166*'Parametros'!$B$8</f>
        <v>995</v>
      </c>
      <c r="W166" s="10">
        <f>'Parametros'!$B$5*V166*'Parametros'!$B$3*(U166-(V166*'Parametros'!$B$3/(0.85*'Parametros'!$B$2*H166))/2)/1000000</f>
        <v>176.711596147059</v>
      </c>
      <c r="X166" s="10" t="str">
        <f>IF(W166&gt;=J166,"CUMPLE","NO CUMPLE")</f>
        <v>CUMPLE</v>
      </c>
      <c r="Y166" s="10">
        <f>MAX(MAX(1.4/'Parametros'!$B$3,0.25*SQRT('Parametros'!$B$2)/'Parametros'!$B$3)*H166*AB166,(0.85*'Parametros'!$B$2/'Parametros'!$B$3)*(1-SQRT(1-2*(L166*1000000/('Parametros'!$B$5*H166*AB166^2))/(0.85*'Parametros'!$B$2)))*H166*AB166)</f>
        <v>833.608556430161</v>
      </c>
      <c r="Z166" s="31" t="n">
        <v>5</v>
      </c>
      <c r="AA166" s="32" t="n">
        <v>1</v>
      </c>
      <c r="AB166" s="10">
        <f>IF(AA166=1,I166-('Parametros'!$B$7+'Parametros'!$B$9+'Parametros'!$B$12/2),I166-(ROUNDUP(Z166/2,0)*('Parametros'!$B$7+'Parametros'!$B$9+'Parametros'!$B$12/2)+ROUNDDOWN(Z166/2,0)*('Parametros'!$B$7+'Parametros'!$B$9+'Parametros'!$B$12/2+'Parametros'!$B$12+'Parametros'!$B$10))/Z166)</f>
        <v>489.35</v>
      </c>
      <c r="AC166" s="10">
        <f>Z166*'Parametros'!$B$8</f>
        <v>995</v>
      </c>
      <c r="AD166" s="10">
        <f>'Parametros'!$B$5*AC166*'Parametros'!$B$3*(AB166-(AC166*'Parametros'!$B$3/(0.85*'Parametros'!$B$2*H166))/2)/1000000</f>
        <v>176.711596147059</v>
      </c>
      <c r="AE166" s="10" t="str">
        <f>IF(AD166&gt;=L166,"CUMPLE","NO CUMPLE")</f>
        <v>CUMPLE</v>
      </c>
      <c r="AF166" s="10">
        <f>V166*1.25*'Parametros'!$B$3*(U166-(V166*1.25*'Parametros'!$B$3/(0.85*'Parametros'!$B$2*H166))/2)/1000000</f>
        <v>242.884913970588</v>
      </c>
      <c r="AG166" s="10">
        <f>AC166*1.25*'Parametros'!$B$3*(AB166-(AC166*1.25*'Parametros'!$B$3/(0.85*'Parametros'!$B$2*H166))/2)/1000000</f>
        <v>242.884913970588</v>
      </c>
      <c r="AH166" s="10">
        <f>N166+(AF166+AG166)/D166</f>
        <v>245.446978163993</v>
      </c>
      <c r="AI166" s="10">
        <f>MAX(O166,AH166)</f>
        <v>424.494</v>
      </c>
      <c r="AJ166" s="10">
        <f>0.17*SQRT('Parametros'!$B$2)*H166*MIN(U166,AB166)/1000</f>
        <v>198.088855822627</v>
      </c>
      <c r="AK166" s="10">
        <f>MAX(AI166/'Parametros'!$B$6-AJ166,0)</f>
        <v>367.903144177373</v>
      </c>
      <c r="AL166" s="10">
        <f>0.66*SQRT('Parametros'!$B$2)*H166*MIN(U166,AB166)/1000</f>
        <v>769.050852017258</v>
      </c>
      <c r="AM166" s="10" t="str">
        <f>IF(AK166&lt;=AL166,"CUMPLE","NO CUMPLE")</f>
        <v>CUMPLE</v>
      </c>
      <c r="AN166" s="17" t="inlineStr">
        <is>
          <t>Nº4 cerrado (referencia)</t>
        </is>
      </c>
      <c r="AO166" s="31" t="n">
        <v>4</v>
      </c>
      <c r="AP166" s="10">
        <f>ROUNDDOWN(MIN(IF(BC166+BD166=0,1000000000,AO166*BB166/(BC166+BD166)),MIN(U166,AB166)/4,8*'Parametros'!$B$12,24*BA166,300,IF(AV166=0,1000000000,2*((H166-2*('Parametros'!$B$7+'Parametros'!$B$9/2))+(I166-2*('Parametros'!$B$7+'Parametros'!$B$9/2)))/8))/10,0)*10</f>
        <v>110</v>
      </c>
      <c r="AQ166" s="10">
        <f>ROUNDDOWN(MIN(IF(BC166+BD166=0,1000000000,AO166*BB166/(BC166+BD166)),IF(AK166&gt;0.33*SQRT('Parametros'!$B$2)*H166*MIN(U166,AB166)/1000,MIN(U166,AB166)/4,MIN(U166,AB166)/2),600,IF(AV166=0,1000000000,2*((H166-2*('Parametros'!$B$7+'Parametros'!$B$9/2))+(I166-2*('Parametros'!$B$7+'Parametros'!$B$9/2)))/8))/10,0)*10</f>
        <v>110</v>
      </c>
      <c r="AR166" s="10">
        <f>'Parametros'!$B$6*(AJ166+MAX(BE166-BD166,0)*'Parametros'!$B$4*MIN(U166,AB166)/1000)</f>
        <v>437.780129320626</v>
      </c>
      <c r="AS166" s="10" t="str">
        <f>IF(AND(ISERROR(SEARCH("referencia",AN166)),AM166="CUMPLE",AR166&gt;=AI166),"CUMPLE","NO CUMPLE")</f>
        <v>NO CUMPLE</v>
      </c>
      <c r="AT166" s="10">
        <f>'Parametros'!$B$6*0.083*SQRT('Parametros'!$B$2)*(H166*I166)^2/(2*(H166+I166))/1000000</f>
        <v>10.0887830333379</v>
      </c>
      <c r="AU166" s="10" t="str">
        <f>IF(Q166&lt;=AT166,"DESPRECIABLE","DISEÑAR")</f>
        <v>DISEÑAR</v>
      </c>
      <c r="AV166" s="10">
        <f>IF(Q166&lt;=AT166,0,Q166*1000000/('Parametros'!$B$6*2*0.85*(H166-2*('Parametros'!$B$7+'Parametros'!$B$9/2))*(I166-2*('Parametros'!$B$7+'Parametros'!$B$9/2))*'Parametros'!$B$4))</f>
        <v>1.40733453379783</v>
      </c>
      <c r="AW166" s="10">
        <f>AV166*2*((H166-2*('Parametros'!$B$7+'Parametros'!$B$9/2))+(I166-2*('Parametros'!$B$7+'Parametros'!$B$9/2)))*'Parametros'!$B$4/'Parametros'!$B$3</f>
        <v>2292.82942246342</v>
      </c>
      <c r="AX166" s="31" t="n">
        <v>12</v>
      </c>
      <c r="AY166" s="10" t="str">
        <f>IF(AV166=0,"DESPRECIABLE",IF(AND(ISERROR(SEARCH("referencia",AN166)),BB166/AP166&gt;=AV166,BI166&gt;=AW166,BH166="CUMPLE"),"CUMPLE","NO CUMPLE"))</f>
        <v>NO CUMPLE</v>
      </c>
      <c r="AZ166" s="10" t="str">
        <f>IF(AND(X166="CUMPLE",AE166="CUMPLE",AS166="CUMPLE",OR(AY166="CUMPLE",AY166="DESPRECIABLE"),BH166="CUMPLE",BJ166="CUMPLE"),"CUMPLE","NO CUMPLE")</f>
        <v>NO CUMPLE</v>
      </c>
      <c r="BA166" s="32" t="n">
        <v>12.7</v>
      </c>
      <c r="BB166" s="32" t="n">
        <v>129</v>
      </c>
      <c r="BC166" s="10">
        <f>MAX(IF(AK166=0,0,AK166*1000/('Parametros'!$B$4*MIN(U166,AB166))),MAX(0.062*SQRT('Parametros'!$B$2)*H166/'Parametros'!$B$4,0.35*H166/'Parametros'!$B$4))</f>
        <v>1.79004775128024</v>
      </c>
      <c r="BD166" s="10">
        <f>2*AV166</f>
        <v>2.81466906759565</v>
      </c>
      <c r="BE166" s="10">
        <f>AO166*BB166/AP166</f>
        <v>4.69090909090909</v>
      </c>
      <c r="BF166" s="10">
        <f>SQRT((AI166*1000/(H166*MIN(U166,AB166)))^2+(Q166*1000000*2*((H166-2*('Parametros'!$B$7+'Parametros'!$B$9/2))+(I166-2*('Parametros'!$B$7+'Parametros'!$B$9/2)))/(1.7*((H166-2*('Parametros'!$B$7+'Parametros'!$B$9/2))*(I166-2*('Parametros'!$B$7+'Parametros'!$B$9/2)))^2))^2)</f>
        <v>4.82231788884519</v>
      </c>
      <c r="BG166" s="10">
        <f>'Parametros'!$B$6*(AJ166*1000/(H166*MIN(U166,AB166))+0.66*SQRT('Parametros'!$B$2))</f>
        <v>3.29396038227542</v>
      </c>
      <c r="BH166" s="10" t="str">
        <f>IF(BF166&lt;=BG166,"CUMPLE","NO CUMPLE")</f>
        <v>NO CUMPLE</v>
      </c>
      <c r="BI166" s="10">
        <f>AX166*'Parametros'!$B$8</f>
        <v>2388</v>
      </c>
      <c r="BJ166" s="10" t="str">
        <f>IF(BI166&gt;=AW166,"CUMPLE","NO CUMPLE")</f>
        <v>CUMPLE</v>
      </c>
    </row>
    <row r="167">
      <c r="A167" s="20" t="inlineStr">
        <is>
          <t>VC6</t>
        </is>
      </c>
      <c r="B167" s="20" t="inlineStr">
        <is>
          <t>70</t>
        </is>
      </c>
      <c r="C167" s="10" t="n">
        <v>1</v>
      </c>
      <c r="D167" s="10" t="n">
        <v>3.25</v>
      </c>
      <c r="E167" s="10" t="n">
        <v>3.25</v>
      </c>
      <c r="F167" s="10" t="n">
        <v>450</v>
      </c>
      <c r="G167" s="10" t="n">
        <v>550</v>
      </c>
      <c r="H167" s="17" t="n">
        <v>450</v>
      </c>
      <c r="I167" s="17" t="n">
        <v>550</v>
      </c>
      <c r="J167" s="30" t="n">
        <v>180.7286</v>
      </c>
      <c r="K167" s="10" t="inlineStr">
        <is>
          <t>70</t>
        </is>
      </c>
      <c r="L167" s="30" t="n">
        <v>161.3005</v>
      </c>
      <c r="M167" s="10" t="inlineStr">
        <is>
          <t>70</t>
        </is>
      </c>
      <c r="N167" s="30" t="n">
        <v>100.134</v>
      </c>
      <c r="O167" s="30" t="n">
        <v>439.488</v>
      </c>
      <c r="P167" s="10" t="inlineStr">
        <is>
          <t>70</t>
        </is>
      </c>
      <c r="Q167" s="30" t="n">
        <v>6.1758</v>
      </c>
      <c r="R167" s="10">
        <f>MAX(MAX(1.4/'Parametros'!$B$3,0.25*SQRT('Parametros'!$B$2)/'Parametros'!$B$3)*H167*U167,(0.85*'Parametros'!$B$2/'Parametros'!$B$3)*(1-SQRT(1-2*(J167*1000000/('Parametros'!$B$5*H167*U167^2))/(0.85*'Parametros'!$B$2)))*H167*U167)</f>
        <v>1018.62251390507</v>
      </c>
      <c r="S167" s="31" t="n">
        <v>6</v>
      </c>
      <c r="T167" s="32" t="n">
        <v>1</v>
      </c>
      <c r="U167" s="10">
        <f>IF(T167=1,I167-('Parametros'!$B$7+'Parametros'!$B$9+'Parametros'!$B$12/2),I167-(ROUNDUP(S167/2,0)*('Parametros'!$B$7+'Parametros'!$B$9+'Parametros'!$B$12/2)+ROUNDDOWN(S167/2,0)*('Parametros'!$B$7+'Parametros'!$B$9+'Parametros'!$B$12/2+'Parametros'!$B$12+'Parametros'!$B$10))/S167)</f>
        <v>489.35</v>
      </c>
      <c r="V167" s="10">
        <f>S167*'Parametros'!$B$8</f>
        <v>1194</v>
      </c>
      <c r="W167" s="10">
        <f>'Parametros'!$B$5*V167*'Parametros'!$B$3*(U167-(V167*'Parametros'!$B$3/(0.85*'Parametros'!$B$2*H167))/2)/1000000</f>
        <v>210.292835611765</v>
      </c>
      <c r="X167" s="10" t="str">
        <f>IF(W167&gt;=J167,"CUMPLE","NO CUMPLE")</f>
        <v>CUMPLE</v>
      </c>
      <c r="Y167" s="10">
        <f>MAX(MAX(1.4/'Parametros'!$B$3,0.25*SQRT('Parametros'!$B$2)/'Parametros'!$B$3)*H167*AB167,(0.85*'Parametros'!$B$2/'Parametros'!$B$3)*(1-SQRT(1-2*(L167*1000000/('Parametros'!$B$5*H167*AB167^2))/(0.85*'Parametros'!$B$2)))*H167*AB167)</f>
        <v>904.820349433733</v>
      </c>
      <c r="Z167" s="31" t="n">
        <v>5</v>
      </c>
      <c r="AA167" s="32" t="n">
        <v>1</v>
      </c>
      <c r="AB167" s="10">
        <f>IF(AA167=1,I167-('Parametros'!$B$7+'Parametros'!$B$9+'Parametros'!$B$12/2),I167-(ROUNDUP(Z167/2,0)*('Parametros'!$B$7+'Parametros'!$B$9+'Parametros'!$B$12/2)+ROUNDDOWN(Z167/2,0)*('Parametros'!$B$7+'Parametros'!$B$9+'Parametros'!$B$12/2+'Parametros'!$B$12+'Parametros'!$B$10))/Z167)</f>
        <v>489.35</v>
      </c>
      <c r="AC167" s="10">
        <f>Z167*'Parametros'!$B$8</f>
        <v>995</v>
      </c>
      <c r="AD167" s="10">
        <f>'Parametros'!$B$5*AC167*'Parametros'!$B$3*(AB167-(AC167*'Parametros'!$B$3/(0.85*'Parametros'!$B$2*H167))/2)/1000000</f>
        <v>176.711596147059</v>
      </c>
      <c r="AE167" s="10" t="str">
        <f>IF(AD167&gt;=L167,"CUMPLE","NO CUMPLE")</f>
        <v>CUMPLE</v>
      </c>
      <c r="AF167" s="10">
        <f>V167*1.25*'Parametros'!$B$3*(U167-(V167*1.25*'Parametros'!$B$3/(0.85*'Parametros'!$B$2*H167))/2)/1000000</f>
        <v>288.404466617647</v>
      </c>
      <c r="AG167" s="10">
        <f>AC167*1.25*'Parametros'!$B$3*(AB167-(AC167*1.25*'Parametros'!$B$3/(0.85*'Parametros'!$B$2*H167))/2)/1000000</f>
        <v>242.884913970588</v>
      </c>
      <c r="AH167" s="10">
        <f>N167+(AF167+AG167)/D167</f>
        <v>263.607655565611</v>
      </c>
      <c r="AI167" s="10">
        <f>MAX(O167,AH167)</f>
        <v>439.488</v>
      </c>
      <c r="AJ167" s="10">
        <f>0.17*SQRT('Parametros'!$B$2)*H167*MIN(U167,AB167)/1000</f>
        <v>198.088855822627</v>
      </c>
      <c r="AK167" s="10">
        <f>MAX(AI167/'Parametros'!$B$6-AJ167,0)</f>
        <v>387.895144177373</v>
      </c>
      <c r="AL167" s="10">
        <f>0.66*SQRT('Parametros'!$B$2)*H167*MIN(U167,AB167)/1000</f>
        <v>769.050852017258</v>
      </c>
      <c r="AM167" s="10" t="str">
        <f>IF(AK167&lt;=AL167,"CUMPLE","NO CUMPLE")</f>
        <v>CUMPLE</v>
      </c>
      <c r="AN167" s="17" t="inlineStr">
        <is>
          <t>Nº4 cerrado</t>
        </is>
      </c>
      <c r="AO167" s="31" t="n">
        <v>2</v>
      </c>
      <c r="AP167" s="10">
        <f>ROUNDDOWN(MIN(IF(BC167+BD167=0,1000000000,AO167*BB167/(BC167+BD167)),MIN(U167,AB167)/4,8*'Parametros'!$B$12,24*BA167,300,IF(AV167=0,1000000000,2*((H167-2*('Parametros'!$B$7+'Parametros'!$B$9/2))+(I167-2*('Parametros'!$B$7+'Parametros'!$B$9/2)))/8))/10,0)*10</f>
        <v>120</v>
      </c>
      <c r="AQ167" s="10">
        <f>ROUNDDOWN(MIN(IF(BC167+BD167=0,1000000000,AO167*BB167/(BC167+BD167)),IF(AK167&gt;0.33*SQRT('Parametros'!$B$2)*H167*MIN(U167,AB167)/1000,MIN(U167,AB167)/4,MIN(U167,AB167)/2),600,IF(AV167=0,1000000000,2*((H167-2*('Parametros'!$B$7+'Parametros'!$B$9/2))+(I167-2*('Parametros'!$B$7+'Parametros'!$B$9/2)))/8))/10,0)*10</f>
        <v>120</v>
      </c>
      <c r="AR167" s="10">
        <f>'Parametros'!$B$6*(AJ167+MAX(BE167-BD167,0)*'Parametros'!$B$4*MIN(U167,AB167)/1000)</f>
        <v>479.97892936697</v>
      </c>
      <c r="AS167" s="10" t="str">
        <f>IF(AND(ISERROR(SEARCH("referencia",AN167)),AM167="CUMPLE",AR167&gt;=AI167),"CUMPLE","NO CUMPLE")</f>
        <v>CUMPLE</v>
      </c>
      <c r="AT167" s="10">
        <f>'Parametros'!$B$6*0.083*SQRT('Parametros'!$B$2)*(H167*I167)^2/(2*(H167+I167))/1000000</f>
        <v>10.0887830333379</v>
      </c>
      <c r="AU167" s="10" t="str">
        <f>IF(Q167&lt;=AT167,"DESPRECIABLE","DISEÑAR")</f>
        <v>DESPRECIABLE</v>
      </c>
      <c r="AV167" s="10">
        <f>IF(Q167&lt;=AT167,0,Q167*1000000/('Parametros'!$B$6*2*0.85*(H167-2*('Parametros'!$B$7+'Parametros'!$B$9/2))*(I167-2*('Parametros'!$B$7+'Parametros'!$B$9/2))*'Parametros'!$B$4))</f>
        <v>0</v>
      </c>
      <c r="AW167" s="10">
        <f>AV167*2*((H167-2*('Parametros'!$B$7+'Parametros'!$B$9/2))+(I167-2*('Parametros'!$B$7+'Parametros'!$B$9/2)))*'Parametros'!$B$4/'Parametros'!$B$3</f>
        <v>0</v>
      </c>
      <c r="AX167" s="31" t="n">
        <v>0</v>
      </c>
      <c r="AY167" s="10" t="str">
        <f>IF(AV167=0,"DESPRECIABLE",IF(AND(ISERROR(SEARCH("referencia",AN167)),BB167/AP167&gt;=AV167,BI167&gt;=AW167,BH167="CUMPLE"),"CUMPLE","NO CUMPLE"))</f>
        <v>DESPRECIABLE</v>
      </c>
      <c r="AZ167" s="10" t="str">
        <f>IF(AND(X167="CUMPLE",AE167="CUMPLE",AS167="CUMPLE",OR(AY167="CUMPLE",AY167="DESPRECIABLE"),BH167="CUMPLE",BJ167="CUMPLE"),"CUMPLE","NO CUMPLE")</f>
        <v>CUMPLE</v>
      </c>
      <c r="BA167" s="32" t="n">
        <v>12.7</v>
      </c>
      <c r="BB167" s="32" t="n">
        <v>129</v>
      </c>
      <c r="BC167" s="10">
        <f>MAX(IF(AK167=0,0,AK167*1000/('Parametros'!$B$4*MIN(U167,AB167))),MAX(0.062*SQRT('Parametros'!$B$2)*H167/'Parametros'!$B$4,0.35*H167/'Parametros'!$B$4))</f>
        <v>1.88731964256459</v>
      </c>
      <c r="BD167" s="10">
        <f>2*AV167</f>
        <v>0</v>
      </c>
      <c r="BE167" s="10">
        <f>AO167*BB167/AP167</f>
        <v>2.15</v>
      </c>
      <c r="BF167" s="10">
        <f>SQRT((AI167*1000/(H167*MIN(U167,AB167)))^2+(Q167*1000000*2*((H167-2*('Parametros'!$B$7+'Parametros'!$B$9/2))+(I167-2*('Parametros'!$B$7+'Parametros'!$B$9/2)))/(1.7*((H167-2*('Parametros'!$B$7+'Parametros'!$B$9/2))*(I167-2*('Parametros'!$B$7+'Parametros'!$B$9/2)))^2))^2)</f>
        <v>2.00806535163501</v>
      </c>
      <c r="BG167" s="10">
        <f>'Parametros'!$B$6*(AJ167*1000/(H167*MIN(U167,AB167))+0.66*SQRT('Parametros'!$B$2))</f>
        <v>3.29396038227542</v>
      </c>
      <c r="BH167" s="10" t="str">
        <f>IF(BF167&lt;=BG167,"CUMPLE","NO CUMPLE")</f>
        <v>CUMPLE</v>
      </c>
      <c r="BI167" s="10">
        <f>AX167*'Parametros'!$B$8</f>
        <v>0</v>
      </c>
      <c r="BJ167" s="10" t="str">
        <f>IF(BI167&gt;=AW167,"CUMPLE","NO CUMPLE")</f>
        <v>CUMPLE</v>
      </c>
    </row>
    <row r="168">
      <c r="A168" s="20" t="inlineStr">
        <is>
          <t>VC6</t>
        </is>
      </c>
      <c r="B168" s="20" t="inlineStr">
        <is>
          <t>79</t>
        </is>
      </c>
      <c r="C168" s="10" t="n">
        <v>1</v>
      </c>
      <c r="D168" s="10" t="n">
        <v>3.25</v>
      </c>
      <c r="E168" s="10" t="n">
        <v>3.25</v>
      </c>
      <c r="F168" s="10" t="n">
        <v>450</v>
      </c>
      <c r="G168" s="10" t="n">
        <v>550</v>
      </c>
      <c r="H168" s="17" t="n">
        <v>450</v>
      </c>
      <c r="I168" s="17" t="n">
        <v>550</v>
      </c>
      <c r="J168" s="30" t="n">
        <v>180.7246</v>
      </c>
      <c r="K168" s="10" t="inlineStr">
        <is>
          <t>79</t>
        </is>
      </c>
      <c r="L168" s="30" t="n">
        <v>161.2973</v>
      </c>
      <c r="M168" s="10" t="inlineStr">
        <is>
          <t>79</t>
        </is>
      </c>
      <c r="N168" s="30" t="n">
        <v>100.133</v>
      </c>
      <c r="O168" s="30" t="n">
        <v>439.483</v>
      </c>
      <c r="P168" s="10" t="inlineStr">
        <is>
          <t>79</t>
        </is>
      </c>
      <c r="Q168" s="30" t="n">
        <v>6.1812</v>
      </c>
      <c r="R168" s="10">
        <f>MAX(MAX(1.4/'Parametros'!$B$3,0.25*SQRT('Parametros'!$B$2)/'Parametros'!$B$3)*H168*U168,(0.85*'Parametros'!$B$2/'Parametros'!$B$3)*(1-SQRT(1-2*(J168*1000000/('Parametros'!$B$5*H168*U168^2))/(0.85*'Parametros'!$B$2)))*H168*U168)</f>
        <v>1018.59896716481</v>
      </c>
      <c r="S168" s="31" t="n">
        <v>6</v>
      </c>
      <c r="T168" s="32" t="n">
        <v>1</v>
      </c>
      <c r="U168" s="10">
        <f>IF(T168=1,I168-('Parametros'!$B$7+'Parametros'!$B$9+'Parametros'!$B$12/2),I168-(ROUNDUP(S168/2,0)*('Parametros'!$B$7+'Parametros'!$B$9+'Parametros'!$B$12/2)+ROUNDDOWN(S168/2,0)*('Parametros'!$B$7+'Parametros'!$B$9+'Parametros'!$B$12/2+'Parametros'!$B$12+'Parametros'!$B$10))/S168)</f>
        <v>489.35</v>
      </c>
      <c r="V168" s="10">
        <f>S168*'Parametros'!$B$8</f>
        <v>1194</v>
      </c>
      <c r="W168" s="10">
        <f>'Parametros'!$B$5*V168*'Parametros'!$B$3*(U168-(V168*'Parametros'!$B$3/(0.85*'Parametros'!$B$2*H168))/2)/1000000</f>
        <v>210.292835611765</v>
      </c>
      <c r="X168" s="10" t="str">
        <f>IF(W168&gt;=J168,"CUMPLE","NO CUMPLE")</f>
        <v>CUMPLE</v>
      </c>
      <c r="Y168" s="10">
        <f>MAX(MAX(1.4/'Parametros'!$B$3,0.25*SQRT('Parametros'!$B$2)/'Parametros'!$B$3)*H168*AB168,(0.85*'Parametros'!$B$2/'Parametros'!$B$3)*(1-SQRT(1-2*(L168*1000000/('Parametros'!$B$5*H168*AB168^2))/(0.85*'Parametros'!$B$2)))*H168*AB168)</f>
        <v>904.801697263693</v>
      </c>
      <c r="Z168" s="31" t="n">
        <v>5</v>
      </c>
      <c r="AA168" s="32" t="n">
        <v>1</v>
      </c>
      <c r="AB168" s="10">
        <f>IF(AA168=1,I168-('Parametros'!$B$7+'Parametros'!$B$9+'Parametros'!$B$12/2),I168-(ROUNDUP(Z168/2,0)*('Parametros'!$B$7+'Parametros'!$B$9+'Parametros'!$B$12/2)+ROUNDDOWN(Z168/2,0)*('Parametros'!$B$7+'Parametros'!$B$9+'Parametros'!$B$12/2+'Parametros'!$B$12+'Parametros'!$B$10))/Z168)</f>
        <v>489.35</v>
      </c>
      <c r="AC168" s="10">
        <f>Z168*'Parametros'!$B$8</f>
        <v>995</v>
      </c>
      <c r="AD168" s="10">
        <f>'Parametros'!$B$5*AC168*'Parametros'!$B$3*(AB168-(AC168*'Parametros'!$B$3/(0.85*'Parametros'!$B$2*H168))/2)/1000000</f>
        <v>176.711596147059</v>
      </c>
      <c r="AE168" s="10" t="str">
        <f>IF(AD168&gt;=L168,"CUMPLE","NO CUMPLE")</f>
        <v>CUMPLE</v>
      </c>
      <c r="AF168" s="10">
        <f>V168*1.25*'Parametros'!$B$3*(U168-(V168*1.25*'Parametros'!$B$3/(0.85*'Parametros'!$B$2*H168))/2)/1000000</f>
        <v>288.404466617647</v>
      </c>
      <c r="AG168" s="10">
        <f>AC168*1.25*'Parametros'!$B$3*(AB168-(AC168*1.25*'Parametros'!$B$3/(0.85*'Parametros'!$B$2*H168))/2)/1000000</f>
        <v>242.884913970588</v>
      </c>
      <c r="AH168" s="10">
        <f>N168+(AF168+AG168)/D168</f>
        <v>263.606655565611</v>
      </c>
      <c r="AI168" s="10">
        <f>MAX(O168,AH168)</f>
        <v>439.483</v>
      </c>
      <c r="AJ168" s="10">
        <f>0.17*SQRT('Parametros'!$B$2)*H168*MIN(U168,AB168)/1000</f>
        <v>198.088855822627</v>
      </c>
      <c r="AK168" s="10">
        <f>MAX(AI168/'Parametros'!$B$6-AJ168,0)</f>
        <v>387.888477510706</v>
      </c>
      <c r="AL168" s="10">
        <f>0.66*SQRT('Parametros'!$B$2)*H168*MIN(U168,AB168)/1000</f>
        <v>769.050852017258</v>
      </c>
      <c r="AM168" s="10" t="str">
        <f>IF(AK168&lt;=AL168,"CUMPLE","NO CUMPLE")</f>
        <v>CUMPLE</v>
      </c>
      <c r="AN168" s="17" t="inlineStr">
        <is>
          <t>Nº4 cerrado</t>
        </is>
      </c>
      <c r="AO168" s="31" t="n">
        <v>2</v>
      </c>
      <c r="AP168" s="10">
        <f>ROUNDDOWN(MIN(IF(BC168+BD168=0,1000000000,AO168*BB168/(BC168+BD168)),MIN(U168,AB168)/4,8*'Parametros'!$B$12,24*BA168,300,IF(AV168=0,1000000000,2*((H168-2*('Parametros'!$B$7+'Parametros'!$B$9/2))+(I168-2*('Parametros'!$B$7+'Parametros'!$B$9/2)))/8))/10,0)*10</f>
        <v>120</v>
      </c>
      <c r="AQ168" s="10">
        <f>ROUNDDOWN(MIN(IF(BC168+BD168=0,1000000000,AO168*BB168/(BC168+BD168)),IF(AK168&gt;0.33*SQRT('Parametros'!$B$2)*H168*MIN(U168,AB168)/1000,MIN(U168,AB168)/4,MIN(U168,AB168)/2),600,IF(AV168=0,1000000000,2*((H168-2*('Parametros'!$B$7+'Parametros'!$B$9/2))+(I168-2*('Parametros'!$B$7+'Parametros'!$B$9/2)))/8))/10,0)*10</f>
        <v>120</v>
      </c>
      <c r="AR168" s="10">
        <f>'Parametros'!$B$6*(AJ168+MAX(BE168-BD168,0)*'Parametros'!$B$4*MIN(U168,AB168)/1000)</f>
        <v>479.97892936697</v>
      </c>
      <c r="AS168" s="10" t="str">
        <f>IF(AND(ISERROR(SEARCH("referencia",AN168)),AM168="CUMPLE",AR168&gt;=AI168),"CUMPLE","NO CUMPLE")</f>
        <v>CUMPLE</v>
      </c>
      <c r="AT168" s="10">
        <f>'Parametros'!$B$6*0.083*SQRT('Parametros'!$B$2)*(H168*I168)^2/(2*(H168+I168))/1000000</f>
        <v>10.0887830333379</v>
      </c>
      <c r="AU168" s="10" t="str">
        <f>IF(Q168&lt;=AT168,"DESPRECIABLE","DISEÑAR")</f>
        <v>DESPRECIABLE</v>
      </c>
      <c r="AV168" s="10">
        <f>IF(Q168&lt;=AT168,0,Q168*1000000/('Parametros'!$B$6*2*0.85*(H168-2*('Parametros'!$B$7+'Parametros'!$B$9/2))*(I168-2*('Parametros'!$B$7+'Parametros'!$B$9/2))*'Parametros'!$B$4))</f>
        <v>0</v>
      </c>
      <c r="AW168" s="10">
        <f>AV168*2*((H168-2*('Parametros'!$B$7+'Parametros'!$B$9/2))+(I168-2*('Parametros'!$B$7+'Parametros'!$B$9/2)))*'Parametros'!$B$4/'Parametros'!$B$3</f>
        <v>0</v>
      </c>
      <c r="AX168" s="31" t="n">
        <v>0</v>
      </c>
      <c r="AY168" s="10" t="str">
        <f>IF(AV168=0,"DESPRECIABLE",IF(AND(ISERROR(SEARCH("referencia",AN168)),BB168/AP168&gt;=AV168,BI168&gt;=AW168,BH168="CUMPLE"),"CUMPLE","NO CUMPLE"))</f>
        <v>DESPRECIABLE</v>
      </c>
      <c r="AZ168" s="10" t="str">
        <f>IF(AND(X168="CUMPLE",AE168="CUMPLE",AS168="CUMPLE",OR(AY168="CUMPLE",AY168="DESPRECIABLE"),BH168="CUMPLE",BJ168="CUMPLE"),"CUMPLE","NO CUMPLE")</f>
        <v>CUMPLE</v>
      </c>
      <c r="BA168" s="32" t="n">
        <v>12.7</v>
      </c>
      <c r="BB168" s="32" t="n">
        <v>129</v>
      </c>
      <c r="BC168" s="10">
        <f>MAX(IF(AK168=0,0,AK168*1000/('Parametros'!$B$4*MIN(U168,AB168))),MAX(0.062*SQRT('Parametros'!$B$2)*H168/'Parametros'!$B$4,0.35*H168/'Parametros'!$B$4))</f>
        <v>1.88728720562606</v>
      </c>
      <c r="BD168" s="10">
        <f>2*AV168</f>
        <v>0</v>
      </c>
      <c r="BE168" s="10">
        <f>AO168*BB168/AP168</f>
        <v>2.15</v>
      </c>
      <c r="BF168" s="10">
        <f>SQRT((AI168*1000/(H168*MIN(U168,AB168)))^2+(Q168*1000000*2*((H168-2*('Parametros'!$B$7+'Parametros'!$B$9/2))+(I168-2*('Parametros'!$B$7+'Parametros'!$B$9/2)))/(1.7*((H168-2*('Parametros'!$B$7+'Parametros'!$B$9/2))*(I168-2*('Parametros'!$B$7+'Parametros'!$B$9/2)))^2))^2)</f>
        <v>2.00806419452581</v>
      </c>
      <c r="BG168" s="10">
        <f>'Parametros'!$B$6*(AJ168*1000/(H168*MIN(U168,AB168))+0.66*SQRT('Parametros'!$B$2))</f>
        <v>3.29396038227542</v>
      </c>
      <c r="BH168" s="10" t="str">
        <f>IF(BF168&lt;=BG168,"CUMPLE","NO CUMPLE")</f>
        <v>CUMPLE</v>
      </c>
      <c r="BI168" s="10">
        <f>AX168*'Parametros'!$B$8</f>
        <v>0</v>
      </c>
      <c r="BJ168" s="10" t="str">
        <f>IF(BI168&gt;=AW168,"CUMPLE","NO CUMPLE")</f>
        <v>CUMPLE</v>
      </c>
    </row>
    <row r="169">
      <c r="A169" s="20" t="inlineStr">
        <is>
          <t>VC6</t>
        </is>
      </c>
      <c r="B169" s="20" t="inlineStr">
        <is>
          <t>80</t>
        </is>
      </c>
      <c r="C169" s="10" t="n">
        <v>1</v>
      </c>
      <c r="D169" s="10" t="n">
        <v>3.3</v>
      </c>
      <c r="E169" s="10" t="n">
        <v>3.3</v>
      </c>
      <c r="F169" s="10" t="n">
        <v>450</v>
      </c>
      <c r="G169" s="10" t="n">
        <v>550</v>
      </c>
      <c r="H169" s="17" t="n">
        <v>450</v>
      </c>
      <c r="I169" s="17" t="n">
        <v>550</v>
      </c>
      <c r="J169" s="30" t="n">
        <v>171.0736</v>
      </c>
      <c r="K169" s="10" t="inlineStr">
        <is>
          <t>80</t>
        </is>
      </c>
      <c r="L169" s="30" t="n">
        <v>149.0487</v>
      </c>
      <c r="M169" s="10" t="inlineStr">
        <is>
          <t>80</t>
        </is>
      </c>
      <c r="N169" s="30" t="n">
        <v>98.233</v>
      </c>
      <c r="O169" s="30" t="n">
        <v>424.474</v>
      </c>
      <c r="P169" s="10" t="inlineStr">
        <is>
          <t>80</t>
        </is>
      </c>
      <c r="Q169" s="30" t="n">
        <v>123.1427</v>
      </c>
      <c r="R169" s="10">
        <f>MAX(MAX(1.4/'Parametros'!$B$3,0.25*SQRT('Parametros'!$B$2)/'Parametros'!$B$3)*H169*U169,(0.85*'Parametros'!$B$2/'Parametros'!$B$3)*(1-SQRT(1-2*(J169*1000000/('Parametros'!$B$5*H169*U169^2))/(0.85*'Parametros'!$B$2)))*H169*U169)</f>
        <v>961.926758326611</v>
      </c>
      <c r="S169" s="31" t="n">
        <v>5</v>
      </c>
      <c r="T169" s="32" t="n">
        <v>1</v>
      </c>
      <c r="U169" s="10">
        <f>IF(T169=1,I169-('Parametros'!$B$7+'Parametros'!$B$9+'Parametros'!$B$12/2),I169-(ROUNDUP(S169/2,0)*('Parametros'!$B$7+'Parametros'!$B$9+'Parametros'!$B$12/2)+ROUNDDOWN(S169/2,0)*('Parametros'!$B$7+'Parametros'!$B$9+'Parametros'!$B$12/2+'Parametros'!$B$12+'Parametros'!$B$10))/S169)</f>
        <v>489.35</v>
      </c>
      <c r="V169" s="10">
        <f>S169*'Parametros'!$B$8</f>
        <v>995</v>
      </c>
      <c r="W169" s="10">
        <f>'Parametros'!$B$5*V169*'Parametros'!$B$3*(U169-(V169*'Parametros'!$B$3/(0.85*'Parametros'!$B$2*H169))/2)/1000000</f>
        <v>176.711596147059</v>
      </c>
      <c r="X169" s="10" t="str">
        <f>IF(W169&gt;=J169,"CUMPLE","NO CUMPLE")</f>
        <v>CUMPLE</v>
      </c>
      <c r="Y169" s="10">
        <f>MAX(MAX(1.4/'Parametros'!$B$3,0.25*SQRT('Parametros'!$B$2)/'Parametros'!$B$3)*H169*AB169,(0.85*'Parametros'!$B$2/'Parametros'!$B$3)*(1-SQRT(1-2*(L169*1000000/('Parametros'!$B$5*H169*AB169^2))/(0.85*'Parametros'!$B$2)))*H169*AB169)</f>
        <v>833.625935931537</v>
      </c>
      <c r="Z169" s="31" t="n">
        <v>5</v>
      </c>
      <c r="AA169" s="32" t="n">
        <v>1</v>
      </c>
      <c r="AB169" s="10">
        <f>IF(AA169=1,I169-('Parametros'!$B$7+'Parametros'!$B$9+'Parametros'!$B$12/2),I169-(ROUNDUP(Z169/2,0)*('Parametros'!$B$7+'Parametros'!$B$9+'Parametros'!$B$12/2)+ROUNDDOWN(Z169/2,0)*('Parametros'!$B$7+'Parametros'!$B$9+'Parametros'!$B$12/2+'Parametros'!$B$12+'Parametros'!$B$10))/Z169)</f>
        <v>489.35</v>
      </c>
      <c r="AC169" s="10">
        <f>Z169*'Parametros'!$B$8</f>
        <v>995</v>
      </c>
      <c r="AD169" s="10">
        <f>'Parametros'!$B$5*AC169*'Parametros'!$B$3*(AB169-(AC169*'Parametros'!$B$3/(0.85*'Parametros'!$B$2*H169))/2)/1000000</f>
        <v>176.711596147059</v>
      </c>
      <c r="AE169" s="10" t="str">
        <f>IF(AD169&gt;=L169,"CUMPLE","NO CUMPLE")</f>
        <v>CUMPLE</v>
      </c>
      <c r="AF169" s="10">
        <f>V169*1.25*'Parametros'!$B$3*(U169-(V169*1.25*'Parametros'!$B$3/(0.85*'Parametros'!$B$2*H169))/2)/1000000</f>
        <v>242.884913970588</v>
      </c>
      <c r="AG169" s="10">
        <f>AC169*1.25*'Parametros'!$B$3*(AB169-(AC169*1.25*'Parametros'!$B$3/(0.85*'Parametros'!$B$2*H169))/2)/1000000</f>
        <v>242.884913970588</v>
      </c>
      <c r="AH169" s="10">
        <f>N169+(AF169+AG169)/D169</f>
        <v>245.435978163993</v>
      </c>
      <c r="AI169" s="10">
        <f>MAX(O169,AH169)</f>
        <v>424.474</v>
      </c>
      <c r="AJ169" s="10">
        <f>0.17*SQRT('Parametros'!$B$2)*H169*MIN(U169,AB169)/1000</f>
        <v>198.088855822627</v>
      </c>
      <c r="AK169" s="10">
        <f>MAX(AI169/'Parametros'!$B$6-AJ169,0)</f>
        <v>367.876477510706</v>
      </c>
      <c r="AL169" s="10">
        <f>0.66*SQRT('Parametros'!$B$2)*H169*MIN(U169,AB169)/1000</f>
        <v>769.050852017258</v>
      </c>
      <c r="AM169" s="10" t="str">
        <f>IF(AK169&lt;=AL169,"CUMPLE","NO CUMPLE")</f>
        <v>CUMPLE</v>
      </c>
      <c r="AN169" s="17" t="inlineStr">
        <is>
          <t>Nº4 cerrado (referencia)</t>
        </is>
      </c>
      <c r="AO169" s="31" t="n">
        <v>4</v>
      </c>
      <c r="AP169" s="10">
        <f>ROUNDDOWN(MIN(IF(BC169+BD169=0,1000000000,AO169*BB169/(BC169+BD169)),MIN(U169,AB169)/4,8*'Parametros'!$B$12,24*BA169,300,IF(AV169=0,1000000000,2*((H169-2*('Parametros'!$B$7+'Parametros'!$B$9/2))+(I169-2*('Parametros'!$B$7+'Parametros'!$B$9/2)))/8))/10,0)*10</f>
        <v>110</v>
      </c>
      <c r="AQ169" s="10">
        <f>ROUNDDOWN(MIN(IF(BC169+BD169=0,1000000000,AO169*BB169/(BC169+BD169)),IF(AK169&gt;0.33*SQRT('Parametros'!$B$2)*H169*MIN(U169,AB169)/1000,MIN(U169,AB169)/4,MIN(U169,AB169)/2),600,IF(AV169=0,1000000000,2*((H169-2*('Parametros'!$B$7+'Parametros'!$B$9/2))+(I169-2*('Parametros'!$B$7+'Parametros'!$B$9/2)))/8))/10,0)*10</f>
        <v>110</v>
      </c>
      <c r="AR169" s="10">
        <f>'Parametros'!$B$6*(AJ169+MAX(BE169-BD169,0)*'Parametros'!$B$4*MIN(U169,AB169)/1000)</f>
        <v>437.76251213811</v>
      </c>
      <c r="AS169" s="10" t="str">
        <f>IF(AND(ISERROR(SEARCH("referencia",AN169)),AM169="CUMPLE",AR169&gt;=AI169),"CUMPLE","NO CUMPLE")</f>
        <v>NO CUMPLE</v>
      </c>
      <c r="AT169" s="10">
        <f>'Parametros'!$B$6*0.083*SQRT('Parametros'!$B$2)*(H169*I169)^2/(2*(H169+I169))/1000000</f>
        <v>10.0887830333379</v>
      </c>
      <c r="AU169" s="10" t="str">
        <f>IF(Q169&lt;=AT169,"DESPRECIABLE","DISEÑAR")</f>
        <v>DISEÑAR</v>
      </c>
      <c r="AV169" s="10">
        <f>IF(Q169&lt;=AT169,0,Q169*1000000/('Parametros'!$B$6*2*0.85*(H169-2*('Parametros'!$B$7+'Parametros'!$B$9/2))*(I169-2*('Parametros'!$B$7+'Parametros'!$B$9/2))*'Parametros'!$B$4))</f>
        <v>1.40739167854447</v>
      </c>
      <c r="AW169" s="10">
        <f>AV169*2*((H169-2*('Parametros'!$B$7+'Parametros'!$B$9/2))+(I169-2*('Parametros'!$B$7+'Parametros'!$B$9/2)))*'Parametros'!$B$4/'Parametros'!$B$3</f>
        <v>2292.92252268465</v>
      </c>
      <c r="AX169" s="31" t="n">
        <v>12</v>
      </c>
      <c r="AY169" s="10" t="str">
        <f>IF(AV169=0,"DESPRECIABLE",IF(AND(ISERROR(SEARCH("referencia",AN169)),BB169/AP169&gt;=AV169,BI169&gt;=AW169,BH169="CUMPLE"),"CUMPLE","NO CUMPLE"))</f>
        <v>NO CUMPLE</v>
      </c>
      <c r="AZ169" s="10" t="str">
        <f>IF(AND(X169="CUMPLE",AE169="CUMPLE",AS169="CUMPLE",OR(AY169="CUMPLE",AY169="DESPRECIABLE"),BH169="CUMPLE",BJ169="CUMPLE"),"CUMPLE","NO CUMPLE")</f>
        <v>NO CUMPLE</v>
      </c>
      <c r="BA169" s="32" t="n">
        <v>12.7</v>
      </c>
      <c r="BB169" s="32" t="n">
        <v>129</v>
      </c>
      <c r="BC169" s="10">
        <f>MAX(IF(AK169=0,0,AK169*1000/('Parametros'!$B$4*MIN(U169,AB169))),MAX(0.062*SQRT('Parametros'!$B$2)*H169/'Parametros'!$B$4,0.35*H169/'Parametros'!$B$4))</f>
        <v>1.78991800352609</v>
      </c>
      <c r="BD169" s="10">
        <f>2*AV169</f>
        <v>2.81478335708894</v>
      </c>
      <c r="BE169" s="10">
        <f>AO169*BB169/AP169</f>
        <v>4.69090909090909</v>
      </c>
      <c r="BF169" s="10">
        <f>SQRT((AI169*1000/(H169*MIN(U169,AB169)))^2+(Q169*1000000*2*((H169-2*('Parametros'!$B$7+'Parametros'!$B$9/2))+(I169-2*('Parametros'!$B$7+'Parametros'!$B$9/2)))/(1.7*((H169-2*('Parametros'!$B$7+'Parametros'!$B$9/2))*(I169-2*('Parametros'!$B$7+'Parametros'!$B$9/2)))^2))^2)</f>
        <v>4.82244610530234</v>
      </c>
      <c r="BG169" s="10">
        <f>'Parametros'!$B$6*(AJ169*1000/(H169*MIN(U169,AB169))+0.66*SQRT('Parametros'!$B$2))</f>
        <v>3.29396038227542</v>
      </c>
      <c r="BH169" s="10" t="str">
        <f>IF(BF169&lt;=BG169,"CUMPLE","NO CUMPLE")</f>
        <v>NO CUMPLE</v>
      </c>
      <c r="BI169" s="10">
        <f>AX169*'Parametros'!$B$8</f>
        <v>2388</v>
      </c>
      <c r="BJ169" s="10" t="str">
        <f>IF(BI169&gt;=AW169,"CUMPLE","NO CUMPLE")</f>
        <v>CUMPLE</v>
      </c>
    </row>
    <row r="170">
      <c r="A170" s="20" t="inlineStr">
        <is>
          <t>VC6</t>
        </is>
      </c>
      <c r="B170" s="20" t="inlineStr">
        <is>
          <t>81</t>
        </is>
      </c>
      <c r="C170" s="10" t="n">
        <v>1</v>
      </c>
      <c r="D170" s="10" t="n">
        <v>3.3</v>
      </c>
      <c r="E170" s="10" t="n">
        <v>3.3</v>
      </c>
      <c r="F170" s="10" t="n">
        <v>450</v>
      </c>
      <c r="G170" s="10" t="n">
        <v>550</v>
      </c>
      <c r="H170" s="17" t="n">
        <v>450</v>
      </c>
      <c r="I170" s="17" t="n">
        <v>550</v>
      </c>
      <c r="J170" s="30" t="n">
        <v>171.0864</v>
      </c>
      <c r="K170" s="10" t="inlineStr">
        <is>
          <t>81</t>
        </is>
      </c>
      <c r="L170" s="30" t="n">
        <v>149.0401</v>
      </c>
      <c r="M170" s="10" t="inlineStr">
        <is>
          <t>81</t>
        </is>
      </c>
      <c r="N170" s="30" t="n">
        <v>98.239</v>
      </c>
      <c r="O170" s="30" t="n">
        <v>424.48</v>
      </c>
      <c r="P170" s="10" t="inlineStr">
        <is>
          <t>81</t>
        </is>
      </c>
      <c r="Q170" s="30" t="n">
        <v>123.143</v>
      </c>
      <c r="R170" s="10">
        <f>MAX(MAX(1.4/'Parametros'!$B$3,0.25*SQRT('Parametros'!$B$2)/'Parametros'!$B$3)*H170*U170,(0.85*'Parametros'!$B$2/'Parametros'!$B$3)*(1-SQRT(1-2*(J170*1000000/('Parametros'!$B$5*H170*U170^2))/(0.85*'Parametros'!$B$2)))*H170*U170)</f>
        <v>962.001737270409</v>
      </c>
      <c r="S170" s="31" t="n">
        <v>5</v>
      </c>
      <c r="T170" s="32" t="n">
        <v>1</v>
      </c>
      <c r="U170" s="10">
        <f>IF(T170=1,I170-('Parametros'!$B$7+'Parametros'!$B$9+'Parametros'!$B$12/2),I170-(ROUNDUP(S170/2,0)*('Parametros'!$B$7+'Parametros'!$B$9+'Parametros'!$B$12/2)+ROUNDDOWN(S170/2,0)*('Parametros'!$B$7+'Parametros'!$B$9+'Parametros'!$B$12/2+'Parametros'!$B$12+'Parametros'!$B$10))/S170)</f>
        <v>489.35</v>
      </c>
      <c r="V170" s="10">
        <f>S170*'Parametros'!$B$8</f>
        <v>995</v>
      </c>
      <c r="W170" s="10">
        <f>'Parametros'!$B$5*V170*'Parametros'!$B$3*(U170-(V170*'Parametros'!$B$3/(0.85*'Parametros'!$B$2*H170))/2)/1000000</f>
        <v>176.711596147059</v>
      </c>
      <c r="X170" s="10" t="str">
        <f>IF(W170&gt;=J170,"CUMPLE","NO CUMPLE")</f>
        <v>CUMPLE</v>
      </c>
      <c r="Y170" s="10">
        <f>MAX(MAX(1.4/'Parametros'!$B$3,0.25*SQRT('Parametros'!$B$2)/'Parametros'!$B$3)*H170*AB170,(0.85*'Parametros'!$B$2/'Parametros'!$B$3)*(1-SQRT(1-2*(L170*1000000/('Parametros'!$B$5*H170*AB170^2))/(0.85*'Parametros'!$B$2)))*H170*AB170)</f>
        <v>833.576114763658</v>
      </c>
      <c r="Z170" s="31" t="n">
        <v>5</v>
      </c>
      <c r="AA170" s="32" t="n">
        <v>1</v>
      </c>
      <c r="AB170" s="10">
        <f>IF(AA170=1,I170-('Parametros'!$B$7+'Parametros'!$B$9+'Parametros'!$B$12/2),I170-(ROUNDUP(Z170/2,0)*('Parametros'!$B$7+'Parametros'!$B$9+'Parametros'!$B$12/2)+ROUNDDOWN(Z170/2,0)*('Parametros'!$B$7+'Parametros'!$B$9+'Parametros'!$B$12/2+'Parametros'!$B$12+'Parametros'!$B$10))/Z170)</f>
        <v>489.35</v>
      </c>
      <c r="AC170" s="10">
        <f>Z170*'Parametros'!$B$8</f>
        <v>995</v>
      </c>
      <c r="AD170" s="10">
        <f>'Parametros'!$B$5*AC170*'Parametros'!$B$3*(AB170-(AC170*'Parametros'!$B$3/(0.85*'Parametros'!$B$2*H170))/2)/1000000</f>
        <v>176.711596147059</v>
      </c>
      <c r="AE170" s="10" t="str">
        <f>IF(AD170&gt;=L170,"CUMPLE","NO CUMPLE")</f>
        <v>CUMPLE</v>
      </c>
      <c r="AF170" s="10">
        <f>V170*1.25*'Parametros'!$B$3*(U170-(V170*1.25*'Parametros'!$B$3/(0.85*'Parametros'!$B$2*H170))/2)/1000000</f>
        <v>242.884913970588</v>
      </c>
      <c r="AG170" s="10">
        <f>AC170*1.25*'Parametros'!$B$3*(AB170-(AC170*1.25*'Parametros'!$B$3/(0.85*'Parametros'!$B$2*H170))/2)/1000000</f>
        <v>242.884913970588</v>
      </c>
      <c r="AH170" s="10">
        <f>N170+(AF170+AG170)/D170</f>
        <v>245.441978163993</v>
      </c>
      <c r="AI170" s="10">
        <f>MAX(O170,AH170)</f>
        <v>424.48</v>
      </c>
      <c r="AJ170" s="10">
        <f>0.17*SQRT('Parametros'!$B$2)*H170*MIN(U170,AB170)/1000</f>
        <v>198.088855822627</v>
      </c>
      <c r="AK170" s="10">
        <f>MAX(AI170/'Parametros'!$B$6-AJ170,0)</f>
        <v>367.884477510706</v>
      </c>
      <c r="AL170" s="10">
        <f>0.66*SQRT('Parametros'!$B$2)*H170*MIN(U170,AB170)/1000</f>
        <v>769.050852017258</v>
      </c>
      <c r="AM170" s="10" t="str">
        <f>IF(AK170&lt;=AL170,"CUMPLE","NO CUMPLE")</f>
        <v>CUMPLE</v>
      </c>
      <c r="AN170" s="17" t="inlineStr">
        <is>
          <t>Nº4 cerrado (referencia)</t>
        </is>
      </c>
      <c r="AO170" s="31" t="n">
        <v>4</v>
      </c>
      <c r="AP170" s="10">
        <f>ROUNDDOWN(MIN(IF(BC170+BD170=0,1000000000,AO170*BB170/(BC170+BD170)),MIN(U170,AB170)/4,8*'Parametros'!$B$12,24*BA170,300,IF(AV170=0,1000000000,2*((H170-2*('Parametros'!$B$7+'Parametros'!$B$9/2))+(I170-2*('Parametros'!$B$7+'Parametros'!$B$9/2)))/8))/10,0)*10</f>
        <v>110</v>
      </c>
      <c r="AQ170" s="10">
        <f>ROUNDDOWN(MIN(IF(BC170+BD170=0,1000000000,AO170*BB170/(BC170+BD170)),IF(AK170&gt;0.33*SQRT('Parametros'!$B$2)*H170*MIN(U170,AB170)/1000,MIN(U170,AB170)/4,MIN(U170,AB170)/2),600,IF(AV170=0,1000000000,2*((H170-2*('Parametros'!$B$7+'Parametros'!$B$9/2))+(I170-2*('Parametros'!$B$7+'Parametros'!$B$9/2)))/8))/10,0)*10</f>
        <v>110</v>
      </c>
      <c r="AR170" s="10">
        <f>'Parametros'!$B$6*(AJ170+MAX(BE170-BD170,0)*'Parametros'!$B$4*MIN(U170,AB170)/1000)</f>
        <v>437.761455107159</v>
      </c>
      <c r="AS170" s="10" t="str">
        <f>IF(AND(ISERROR(SEARCH("referencia",AN170)),AM170="CUMPLE",AR170&gt;=AI170),"CUMPLE","NO CUMPLE")</f>
        <v>NO CUMPLE</v>
      </c>
      <c r="AT170" s="10">
        <f>'Parametros'!$B$6*0.083*SQRT('Parametros'!$B$2)*(H170*I170)^2/(2*(H170+I170))/1000000</f>
        <v>10.0887830333379</v>
      </c>
      <c r="AU170" s="10" t="str">
        <f>IF(Q170&lt;=AT170,"DESPRECIABLE","DISEÑAR")</f>
        <v>DISEÑAR</v>
      </c>
      <c r="AV170" s="10">
        <f>IF(Q170&lt;=AT170,0,Q170*1000000/('Parametros'!$B$6*2*0.85*(H170-2*('Parametros'!$B$7+'Parametros'!$B$9/2))*(I170-2*('Parametros'!$B$7+'Parametros'!$B$9/2))*'Parametros'!$B$4))</f>
        <v>1.40739510722927</v>
      </c>
      <c r="AW170" s="10">
        <f>AV170*2*((H170-2*('Parametros'!$B$7+'Parametros'!$B$9/2))+(I170-2*('Parametros'!$B$7+'Parametros'!$B$9/2)))*'Parametros'!$B$4/'Parametros'!$B$3</f>
        <v>2292.92810869793</v>
      </c>
      <c r="AX170" s="31" t="n">
        <v>12</v>
      </c>
      <c r="AY170" s="10" t="str">
        <f>IF(AV170=0,"DESPRECIABLE",IF(AND(ISERROR(SEARCH("referencia",AN170)),BB170/AP170&gt;=AV170,BI170&gt;=AW170,BH170="CUMPLE"),"CUMPLE","NO CUMPLE"))</f>
        <v>NO CUMPLE</v>
      </c>
      <c r="AZ170" s="10" t="str">
        <f>IF(AND(X170="CUMPLE",AE170="CUMPLE",AS170="CUMPLE",OR(AY170="CUMPLE",AY170="DESPRECIABLE"),BH170="CUMPLE",BJ170="CUMPLE"),"CUMPLE","NO CUMPLE")</f>
        <v>NO CUMPLE</v>
      </c>
      <c r="BA170" s="32" t="n">
        <v>12.7</v>
      </c>
      <c r="BB170" s="32" t="n">
        <v>129</v>
      </c>
      <c r="BC170" s="10">
        <f>MAX(IF(AK170=0,0,AK170*1000/('Parametros'!$B$4*MIN(U170,AB170))),MAX(0.062*SQRT('Parametros'!$B$2)*H170/'Parametros'!$B$4,0.35*H170/'Parametros'!$B$4))</f>
        <v>1.78995692785233</v>
      </c>
      <c r="BD170" s="10">
        <f>2*AV170</f>
        <v>2.81479021445854</v>
      </c>
      <c r="BE170" s="10">
        <f>AO170*BB170/AP170</f>
        <v>4.69090909090909</v>
      </c>
      <c r="BF170" s="10">
        <f>SQRT((AI170*1000/(H170*MIN(U170,AB170)))^2+(Q170*1000000*2*((H170-2*('Parametros'!$B$7+'Parametros'!$B$9/2))+(I170-2*('Parametros'!$B$7+'Parametros'!$B$9/2)))/(1.7*((H170-2*('Parametros'!$B$7+'Parametros'!$B$9/2))*(I170-2*('Parametros'!$B$7+'Parametros'!$B$9/2)))^2))^2)</f>
        <v>4.82246686777352</v>
      </c>
      <c r="BG170" s="10">
        <f>'Parametros'!$B$6*(AJ170*1000/(H170*MIN(U170,AB170))+0.66*SQRT('Parametros'!$B$2))</f>
        <v>3.29396038227542</v>
      </c>
      <c r="BH170" s="10" t="str">
        <f>IF(BF170&lt;=BG170,"CUMPLE","NO CUMPLE")</f>
        <v>NO CUMPLE</v>
      </c>
      <c r="BI170" s="10">
        <f>AX170*'Parametros'!$B$8</f>
        <v>2388</v>
      </c>
      <c r="BJ170" s="10" t="str">
        <f>IF(BI170&gt;=AW170,"CUMPLE","NO CUMPLE")</f>
        <v>CUMPLE</v>
      </c>
    </row>
    <row r="171">
      <c r="A171" s="20" t="inlineStr">
        <is>
          <t>VC6</t>
        </is>
      </c>
      <c r="B171" s="20" t="inlineStr">
        <is>
          <t>82</t>
        </is>
      </c>
      <c r="C171" s="10" t="n">
        <v>1</v>
      </c>
      <c r="D171" s="10" t="n">
        <v>3.25</v>
      </c>
      <c r="E171" s="10" t="n">
        <v>3.25</v>
      </c>
      <c r="F171" s="10" t="n">
        <v>450</v>
      </c>
      <c r="G171" s="10" t="n">
        <v>550</v>
      </c>
      <c r="H171" s="17" t="n">
        <v>450</v>
      </c>
      <c r="I171" s="17" t="n">
        <v>550</v>
      </c>
      <c r="J171" s="30" t="n">
        <v>180.7167</v>
      </c>
      <c r="K171" s="10" t="inlineStr">
        <is>
          <t>82</t>
        </is>
      </c>
      <c r="L171" s="30" t="n">
        <v>161.302</v>
      </c>
      <c r="M171" s="10" t="inlineStr">
        <is>
          <t>82</t>
        </is>
      </c>
      <c r="N171" s="30" t="n">
        <v>100.129</v>
      </c>
      <c r="O171" s="30" t="n">
        <v>439.479</v>
      </c>
      <c r="P171" s="10" t="inlineStr">
        <is>
          <t>82</t>
        </is>
      </c>
      <c r="Q171" s="30" t="n">
        <v>6.1819</v>
      </c>
      <c r="R171" s="10">
        <f>MAX(MAX(1.4/'Parametros'!$B$3,0.25*SQRT('Parametros'!$B$2)/'Parametros'!$B$3)*H171*U171,(0.85*'Parametros'!$B$2/'Parametros'!$B$3)*(1-SQRT(1-2*(J171*1000000/('Parametros'!$B$5*H171*U171^2))/(0.85*'Parametros'!$B$2)))*H171*U171)</f>
        <v>1018.55246249492</v>
      </c>
      <c r="S171" s="31" t="n">
        <v>6</v>
      </c>
      <c r="T171" s="32" t="n">
        <v>1</v>
      </c>
      <c r="U171" s="10">
        <f>IF(T171=1,I171-('Parametros'!$B$7+'Parametros'!$B$9+'Parametros'!$B$12/2),I171-(ROUNDUP(S171/2,0)*('Parametros'!$B$7+'Parametros'!$B$9+'Parametros'!$B$12/2)+ROUNDDOWN(S171/2,0)*('Parametros'!$B$7+'Parametros'!$B$9+'Parametros'!$B$12/2+'Parametros'!$B$12+'Parametros'!$B$10))/S171)</f>
        <v>489.35</v>
      </c>
      <c r="V171" s="10">
        <f>S171*'Parametros'!$B$8</f>
        <v>1194</v>
      </c>
      <c r="W171" s="10">
        <f>'Parametros'!$B$5*V171*'Parametros'!$B$3*(U171-(V171*'Parametros'!$B$3/(0.85*'Parametros'!$B$2*H171))/2)/1000000</f>
        <v>210.292835611765</v>
      </c>
      <c r="X171" s="10" t="str">
        <f>IF(W171&gt;=J171,"CUMPLE","NO CUMPLE")</f>
        <v>CUMPLE</v>
      </c>
      <c r="Y171" s="10">
        <f>MAX(MAX(1.4/'Parametros'!$B$3,0.25*SQRT('Parametros'!$B$2)/'Parametros'!$B$3)*H171*AB171,(0.85*'Parametros'!$B$2/'Parametros'!$B$3)*(1-SQRT(1-2*(L171*1000000/('Parametros'!$B$5*H171*AB171^2))/(0.85*'Parametros'!$B$2)))*H171*AB171)</f>
        <v>904.829092648787</v>
      </c>
      <c r="Z171" s="31" t="n">
        <v>5</v>
      </c>
      <c r="AA171" s="32" t="n">
        <v>1</v>
      </c>
      <c r="AB171" s="10">
        <f>IF(AA171=1,I171-('Parametros'!$B$7+'Parametros'!$B$9+'Parametros'!$B$12/2),I171-(ROUNDUP(Z171/2,0)*('Parametros'!$B$7+'Parametros'!$B$9+'Parametros'!$B$12/2)+ROUNDDOWN(Z171/2,0)*('Parametros'!$B$7+'Parametros'!$B$9+'Parametros'!$B$12/2+'Parametros'!$B$12+'Parametros'!$B$10))/Z171)</f>
        <v>489.35</v>
      </c>
      <c r="AC171" s="10">
        <f>Z171*'Parametros'!$B$8</f>
        <v>995</v>
      </c>
      <c r="AD171" s="10">
        <f>'Parametros'!$B$5*AC171*'Parametros'!$B$3*(AB171-(AC171*'Parametros'!$B$3/(0.85*'Parametros'!$B$2*H171))/2)/1000000</f>
        <v>176.711596147059</v>
      </c>
      <c r="AE171" s="10" t="str">
        <f>IF(AD171&gt;=L171,"CUMPLE","NO CUMPLE")</f>
        <v>CUMPLE</v>
      </c>
      <c r="AF171" s="10">
        <f>V171*1.25*'Parametros'!$B$3*(U171-(V171*1.25*'Parametros'!$B$3/(0.85*'Parametros'!$B$2*H171))/2)/1000000</f>
        <v>288.404466617647</v>
      </c>
      <c r="AG171" s="10">
        <f>AC171*1.25*'Parametros'!$B$3*(AB171-(AC171*1.25*'Parametros'!$B$3/(0.85*'Parametros'!$B$2*H171))/2)/1000000</f>
        <v>242.884913970588</v>
      </c>
      <c r="AH171" s="10">
        <f>N171+(AF171+AG171)/D171</f>
        <v>263.602655565611</v>
      </c>
      <c r="AI171" s="10">
        <f>MAX(O171,AH171)</f>
        <v>439.479</v>
      </c>
      <c r="AJ171" s="10">
        <f>0.17*SQRT('Parametros'!$B$2)*H171*MIN(U171,AB171)/1000</f>
        <v>198.088855822627</v>
      </c>
      <c r="AK171" s="10">
        <f>MAX(AI171/'Parametros'!$B$6-AJ171,0)</f>
        <v>387.883144177373</v>
      </c>
      <c r="AL171" s="10">
        <f>0.66*SQRT('Parametros'!$B$2)*H171*MIN(U171,AB171)/1000</f>
        <v>769.050852017258</v>
      </c>
      <c r="AM171" s="10" t="str">
        <f>IF(AK171&lt;=AL171,"CUMPLE","NO CUMPLE")</f>
        <v>CUMPLE</v>
      </c>
      <c r="AN171" s="17" t="inlineStr">
        <is>
          <t>Nº4 cerrado</t>
        </is>
      </c>
      <c r="AO171" s="31" t="n">
        <v>2</v>
      </c>
      <c r="AP171" s="10">
        <f>ROUNDDOWN(MIN(IF(BC171+BD171=0,1000000000,AO171*BB171/(BC171+BD171)),MIN(U171,AB171)/4,8*'Parametros'!$B$12,24*BA171,300,IF(AV171=0,1000000000,2*((H171-2*('Parametros'!$B$7+'Parametros'!$B$9/2))+(I171-2*('Parametros'!$B$7+'Parametros'!$B$9/2)))/8))/10,0)*10</f>
        <v>120</v>
      </c>
      <c r="AQ171" s="10">
        <f>ROUNDDOWN(MIN(IF(BC171+BD171=0,1000000000,AO171*BB171/(BC171+BD171)),IF(AK171&gt;0.33*SQRT('Parametros'!$B$2)*H171*MIN(U171,AB171)/1000,MIN(U171,AB171)/4,MIN(U171,AB171)/2),600,IF(AV171=0,1000000000,2*((H171-2*('Parametros'!$B$7+'Parametros'!$B$9/2))+(I171-2*('Parametros'!$B$7+'Parametros'!$B$9/2)))/8))/10,0)*10</f>
        <v>120</v>
      </c>
      <c r="AR171" s="10">
        <f>'Parametros'!$B$6*(AJ171+MAX(BE171-BD171,0)*'Parametros'!$B$4*MIN(U171,AB171)/1000)</f>
        <v>479.97892936697</v>
      </c>
      <c r="AS171" s="10" t="str">
        <f>IF(AND(ISERROR(SEARCH("referencia",AN171)),AM171="CUMPLE",AR171&gt;=AI171),"CUMPLE","NO CUMPLE")</f>
        <v>CUMPLE</v>
      </c>
      <c r="AT171" s="10">
        <f>'Parametros'!$B$6*0.083*SQRT('Parametros'!$B$2)*(H171*I171)^2/(2*(H171+I171))/1000000</f>
        <v>10.0887830333379</v>
      </c>
      <c r="AU171" s="10" t="str">
        <f>IF(Q171&lt;=AT171,"DESPRECIABLE","DISEÑAR")</f>
        <v>DESPRECIABLE</v>
      </c>
      <c r="AV171" s="10">
        <f>IF(Q171&lt;=AT171,0,Q171*1000000/('Parametros'!$B$6*2*0.85*(H171-2*('Parametros'!$B$7+'Parametros'!$B$9/2))*(I171-2*('Parametros'!$B$7+'Parametros'!$B$9/2))*'Parametros'!$B$4))</f>
        <v>0</v>
      </c>
      <c r="AW171" s="10">
        <f>AV171*2*((H171-2*('Parametros'!$B$7+'Parametros'!$B$9/2))+(I171-2*('Parametros'!$B$7+'Parametros'!$B$9/2)))*'Parametros'!$B$4/'Parametros'!$B$3</f>
        <v>0</v>
      </c>
      <c r="AX171" s="31" t="n">
        <v>0</v>
      </c>
      <c r="AY171" s="10" t="str">
        <f>IF(AV171=0,"DESPRECIABLE",IF(AND(ISERROR(SEARCH("referencia",AN171)),BB171/AP171&gt;=AV171,BI171&gt;=AW171,BH171="CUMPLE"),"CUMPLE","NO CUMPLE"))</f>
        <v>DESPRECIABLE</v>
      </c>
      <c r="AZ171" s="10" t="str">
        <f>IF(AND(X171="CUMPLE",AE171="CUMPLE",AS171="CUMPLE",OR(AY171="CUMPLE",AY171="DESPRECIABLE"),BH171="CUMPLE",BJ171="CUMPLE"),"CUMPLE","NO CUMPLE")</f>
        <v>CUMPLE</v>
      </c>
      <c r="BA171" s="32" t="n">
        <v>12.7</v>
      </c>
      <c r="BB171" s="32" t="n">
        <v>129</v>
      </c>
      <c r="BC171" s="10">
        <f>MAX(IF(AK171=0,0,AK171*1000/('Parametros'!$B$4*MIN(U171,AB171))),MAX(0.062*SQRT('Parametros'!$B$2)*H171/'Parametros'!$B$4,0.35*H171/'Parametros'!$B$4))</f>
        <v>1.88726125607523</v>
      </c>
      <c r="BD171" s="10">
        <f>2*AV171</f>
        <v>0</v>
      </c>
      <c r="BE171" s="10">
        <f>AO171*BB171/AP171</f>
        <v>2.15</v>
      </c>
      <c r="BF171" s="10">
        <f>SQRT((AI171*1000/(H171*MIN(U171,AB171)))^2+(Q171*1000000*2*((H171-2*('Parametros'!$B$7+'Parametros'!$B$9/2))+(I171-2*('Parametros'!$B$7+'Parametros'!$B$9/2)))/(1.7*((H171-2*('Parametros'!$B$7+'Parametros'!$B$9/2))*(I171-2*('Parametros'!$B$7+'Parametros'!$B$9/2)))^2))^2)</f>
        <v>2.00804891781635</v>
      </c>
      <c r="BG171" s="10">
        <f>'Parametros'!$B$6*(AJ171*1000/(H171*MIN(U171,AB171))+0.66*SQRT('Parametros'!$B$2))</f>
        <v>3.29396038227542</v>
      </c>
      <c r="BH171" s="10" t="str">
        <f>IF(BF171&lt;=BG171,"CUMPLE","NO CUMPLE")</f>
        <v>CUMPLE</v>
      </c>
      <c r="BI171" s="10">
        <f>AX171*'Parametros'!$B$8</f>
        <v>0</v>
      </c>
      <c r="BJ171" s="10" t="str">
        <f>IF(BI171&gt;=AW171,"CUMPLE","NO CUMPLE")</f>
        <v>CUMPLE</v>
      </c>
    </row>
    <row r="172">
      <c r="A172" s="20" t="inlineStr">
        <is>
          <t>VC6</t>
        </is>
      </c>
      <c r="B172" s="20" t="inlineStr">
        <is>
          <t>267</t>
        </is>
      </c>
      <c r="C172" s="10" t="n">
        <v>1</v>
      </c>
      <c r="D172" s="10" t="n">
        <v>3.25</v>
      </c>
      <c r="E172" s="10" t="n">
        <v>3.25</v>
      </c>
      <c r="F172" s="10" t="n">
        <v>450</v>
      </c>
      <c r="G172" s="10" t="n">
        <v>550</v>
      </c>
      <c r="H172" s="17" t="n">
        <v>450</v>
      </c>
      <c r="I172" s="17" t="n">
        <v>550</v>
      </c>
      <c r="J172" s="30" t="n">
        <v>164.3398</v>
      </c>
      <c r="K172" s="10" t="inlineStr">
        <is>
          <t>267</t>
        </is>
      </c>
      <c r="L172" s="30" t="n">
        <v>139.1396</v>
      </c>
      <c r="M172" s="10" t="inlineStr">
        <is>
          <t>267</t>
        </is>
      </c>
      <c r="N172" s="30" t="n">
        <v>92.297</v>
      </c>
      <c r="O172" s="30" t="n">
        <v>392.448</v>
      </c>
      <c r="P172" s="10" t="inlineStr">
        <is>
          <t>267</t>
        </is>
      </c>
      <c r="Q172" s="30" t="n">
        <v>5.9497</v>
      </c>
      <c r="R172" s="10">
        <f>MAX(MAX(1.4/'Parametros'!$B$3,0.25*SQRT('Parametros'!$B$2)/'Parametros'!$B$3)*H172*U172,(0.85*'Parametros'!$B$2/'Parametros'!$B$3)*(1-SQRT(1-2*(J172*1000000/('Parametros'!$B$5*H172*U172^2))/(0.85*'Parametros'!$B$2)))*H172*U172)</f>
        <v>922.54942426387</v>
      </c>
      <c r="S172" s="31" t="n">
        <v>5</v>
      </c>
      <c r="T172" s="32" t="n">
        <v>1</v>
      </c>
      <c r="U172" s="10">
        <f>IF(T172=1,I172-('Parametros'!$B$7+'Parametros'!$B$9+'Parametros'!$B$12/2),I172-(ROUNDUP(S172/2,0)*('Parametros'!$B$7+'Parametros'!$B$9+'Parametros'!$B$12/2)+ROUNDDOWN(S172/2,0)*('Parametros'!$B$7+'Parametros'!$B$9+'Parametros'!$B$12/2+'Parametros'!$B$12+'Parametros'!$B$10))/S172)</f>
        <v>489.35</v>
      </c>
      <c r="V172" s="10">
        <f>S172*'Parametros'!$B$8</f>
        <v>995</v>
      </c>
      <c r="W172" s="10">
        <f>'Parametros'!$B$5*V172*'Parametros'!$B$3*(U172-(V172*'Parametros'!$B$3/(0.85*'Parametros'!$B$2*H172))/2)/1000000</f>
        <v>176.711596147059</v>
      </c>
      <c r="X172" s="10" t="str">
        <f>IF(W172&gt;=J172,"CUMPLE","NO CUMPLE")</f>
        <v>CUMPLE</v>
      </c>
      <c r="Y172" s="10">
        <f>MAX(MAX(1.4/'Parametros'!$B$3,0.25*SQRT('Parametros'!$B$2)/'Parametros'!$B$3)*H172*AB172,(0.85*'Parametros'!$B$2/'Parametros'!$B$3)*(1-SQRT(1-2*(L172*1000000/('Parametros'!$B$5*H172*AB172^2))/(0.85*'Parametros'!$B$2)))*H172*AB172)</f>
        <v>776.361621859296</v>
      </c>
      <c r="Z172" s="31" t="n">
        <v>4</v>
      </c>
      <c r="AA172" s="32" t="n">
        <v>1</v>
      </c>
      <c r="AB172" s="10">
        <f>IF(AA172=1,I172-('Parametros'!$B$7+'Parametros'!$B$9+'Parametros'!$B$12/2),I172-(ROUNDUP(Z172/2,0)*('Parametros'!$B$7+'Parametros'!$B$9+'Parametros'!$B$12/2)+ROUNDDOWN(Z172/2,0)*('Parametros'!$B$7+'Parametros'!$B$9+'Parametros'!$B$12/2+'Parametros'!$B$12+'Parametros'!$B$10))/Z172)</f>
        <v>489.35</v>
      </c>
      <c r="AC172" s="10">
        <f>Z172*'Parametros'!$B$8</f>
        <v>796</v>
      </c>
      <c r="AD172" s="10">
        <f>'Parametros'!$B$5*AC172*'Parametros'!$B$3*(AB172-(AC172*'Parametros'!$B$3/(0.85*'Parametros'!$B$2*H172))/2)/1000000</f>
        <v>142.543330094118</v>
      </c>
      <c r="AE172" s="10" t="str">
        <f>IF(AD172&gt;=L172,"CUMPLE","NO CUMPLE")</f>
        <v>CUMPLE</v>
      </c>
      <c r="AF172" s="10">
        <f>V172*1.25*'Parametros'!$B$3*(U172-(V172*1.25*'Parametros'!$B$3/(0.85*'Parametros'!$B$2*H172))/2)/1000000</f>
        <v>242.884913970588</v>
      </c>
      <c r="AG172" s="10">
        <f>AC172*1.25*'Parametros'!$B$3*(AB172-(AC172*1.25*'Parametros'!$B$3/(0.85*'Parametros'!$B$2*H172))/2)/1000000</f>
        <v>196.346217941176</v>
      </c>
      <c r="AH172" s="10">
        <f>N172+(AF172+AG172)/D172</f>
        <v>227.445040588235</v>
      </c>
      <c r="AI172" s="10">
        <f>MAX(O172,AH172)</f>
        <v>392.448</v>
      </c>
      <c r="AJ172" s="10">
        <f>0.17*SQRT('Parametros'!$B$2)*H172*MIN(U172,AB172)/1000</f>
        <v>198.088855822627</v>
      </c>
      <c r="AK172" s="10">
        <f>MAX(AI172/'Parametros'!$B$6-AJ172,0)</f>
        <v>325.175144177373</v>
      </c>
      <c r="AL172" s="10">
        <f>0.66*SQRT('Parametros'!$B$2)*H172*MIN(U172,AB172)/1000</f>
        <v>769.050852017258</v>
      </c>
      <c r="AM172" s="10" t="str">
        <f>IF(AK172&lt;=AL172,"CUMPLE","NO CUMPLE")</f>
        <v>CUMPLE</v>
      </c>
      <c r="AN172" s="17" t="inlineStr">
        <is>
          <t>Nº3 cerrado</t>
        </is>
      </c>
      <c r="AO172" s="31" t="n">
        <v>2</v>
      </c>
      <c r="AP172" s="10">
        <f>ROUNDDOWN(MIN(IF(BC172+BD172=0,1000000000,AO172*BB172/(BC172+BD172)),MIN(U172,AB172)/4,8*'Parametros'!$B$12,24*BA172,300,IF(AV172=0,1000000000,2*((H172-2*('Parametros'!$B$7+'Parametros'!$B$9/2))+(I172-2*('Parametros'!$B$7+'Parametros'!$B$9/2)))/8))/10,0)*10</f>
        <v>80</v>
      </c>
      <c r="AQ172" s="10">
        <f>ROUNDDOWN(MIN(IF(BC172+BD172=0,1000000000,AO172*BB172/(BC172+BD172)),IF(AK172&gt;0.33*SQRT('Parametros'!$B$2)*H172*MIN(U172,AB172)/1000,MIN(U172,AB172)/4,MIN(U172,AB172)/2),600,IF(AV172=0,1000000000,2*((H172-2*('Parametros'!$B$7+'Parametros'!$B$9/2))+(I172-2*('Parametros'!$B$7+'Parametros'!$B$9/2)))/8))/10,0)*10</f>
        <v>80</v>
      </c>
      <c r="AR172" s="10">
        <f>'Parametros'!$B$6*(AJ172+MAX(BE172-BD172,0)*'Parametros'!$B$4*MIN(U172,AB172)/1000)</f>
        <v>422.17446061697</v>
      </c>
      <c r="AS172" s="10" t="str">
        <f>IF(AND(ISERROR(SEARCH("referencia",AN172)),AM172="CUMPLE",AR172&gt;=AI172),"CUMPLE","NO CUMPLE")</f>
        <v>CUMPLE</v>
      </c>
      <c r="AT172" s="10">
        <f>'Parametros'!$B$6*0.083*SQRT('Parametros'!$B$2)*(H172*I172)^2/(2*(H172+I172))/1000000</f>
        <v>10.0887830333379</v>
      </c>
      <c r="AU172" s="10" t="str">
        <f>IF(Q172&lt;=AT172,"DESPRECIABLE","DISEÑAR")</f>
        <v>DESPRECIABLE</v>
      </c>
      <c r="AV172" s="10">
        <f>IF(Q172&lt;=AT172,0,Q172*1000000/('Parametros'!$B$6*2*0.85*(H172-2*('Parametros'!$B$7+'Parametros'!$B$9/2))*(I172-2*('Parametros'!$B$7+'Parametros'!$B$9/2))*'Parametros'!$B$4))</f>
        <v>0</v>
      </c>
      <c r="AW172" s="10">
        <f>AV172*2*((H172-2*('Parametros'!$B$7+'Parametros'!$B$9/2))+(I172-2*('Parametros'!$B$7+'Parametros'!$B$9/2)))*'Parametros'!$B$4/'Parametros'!$B$3</f>
        <v>0</v>
      </c>
      <c r="AX172" s="31" t="n">
        <v>0</v>
      </c>
      <c r="AY172" s="10" t="str">
        <f>IF(AV172=0,"DESPRECIABLE",IF(AND(ISERROR(SEARCH("referencia",AN172)),BB172/AP172&gt;=AV172,BI172&gt;=AW172,BH172="CUMPLE"),"CUMPLE","NO CUMPLE"))</f>
        <v>DESPRECIABLE</v>
      </c>
      <c r="AZ172" s="10" t="str">
        <f>IF(AND(X172="CUMPLE",AE172="CUMPLE",AS172="CUMPLE",OR(AY172="CUMPLE",AY172="DESPRECIABLE"),BH172="CUMPLE",BJ172="CUMPLE"),"CUMPLE","NO CUMPLE")</f>
        <v>CUMPLE</v>
      </c>
      <c r="BA172" s="32" t="n">
        <v>9.5</v>
      </c>
      <c r="BB172" s="32" t="n">
        <v>71</v>
      </c>
      <c r="BC172" s="10">
        <f>MAX(IF(AK172=0,0,AK172*1000/('Parametros'!$B$4*MIN(U172,AB172))),MAX(0.062*SQRT('Parametros'!$B$2)*H172/'Parametros'!$B$4,0.35*H172/'Parametros'!$B$4))</f>
        <v>1.58215292480975</v>
      </c>
      <c r="BD172" s="10">
        <f>2*AV172</f>
        <v>0</v>
      </c>
      <c r="BE172" s="10">
        <f>AO172*BB172/AP172</f>
        <v>1.775</v>
      </c>
      <c r="BF172" s="10">
        <f>SQRT((AI172*1000/(H172*MIN(U172,AB172)))^2+(Q172*1000000*2*((H172-2*('Parametros'!$B$7+'Parametros'!$B$9/2))+(I172-2*('Parametros'!$B$7+'Parametros'!$B$9/2)))/(1.7*((H172-2*('Parametros'!$B$7+'Parametros'!$B$9/2))*(I172-2*('Parametros'!$B$7+'Parametros'!$B$9/2)))^2))^2)</f>
        <v>1.79492548334354</v>
      </c>
      <c r="BG172" s="10">
        <f>'Parametros'!$B$6*(AJ172*1000/(H172*MIN(U172,AB172))+0.66*SQRT('Parametros'!$B$2))</f>
        <v>3.29396038227542</v>
      </c>
      <c r="BH172" s="10" t="str">
        <f>IF(BF172&lt;=BG172,"CUMPLE","NO CUMPLE")</f>
        <v>CUMPLE</v>
      </c>
      <c r="BI172" s="10">
        <f>AX172*'Parametros'!$B$8</f>
        <v>0</v>
      </c>
      <c r="BJ172" s="10" t="str">
        <f>IF(BI172&gt;=AW172,"CUMPLE","NO CUMPLE")</f>
        <v>CUMPLE</v>
      </c>
    </row>
    <row r="173">
      <c r="A173" s="20" t="inlineStr">
        <is>
          <t>VC6</t>
        </is>
      </c>
      <c r="B173" s="20" t="inlineStr">
        <is>
          <t>268</t>
        </is>
      </c>
      <c r="C173" s="10" t="n">
        <v>1</v>
      </c>
      <c r="D173" s="10" t="n">
        <v>3.3</v>
      </c>
      <c r="E173" s="10" t="n">
        <v>3.3</v>
      </c>
      <c r="F173" s="10" t="n">
        <v>450</v>
      </c>
      <c r="G173" s="10" t="n">
        <v>550</v>
      </c>
      <c r="H173" s="17" t="n">
        <v>450</v>
      </c>
      <c r="I173" s="17" t="n">
        <v>550</v>
      </c>
      <c r="J173" s="30" t="n">
        <v>162.012</v>
      </c>
      <c r="K173" s="10" t="inlineStr">
        <is>
          <t>268</t>
        </is>
      </c>
      <c r="L173" s="30" t="n">
        <v>138.8914</v>
      </c>
      <c r="M173" s="10" t="inlineStr">
        <is>
          <t>268</t>
        </is>
      </c>
      <c r="N173" s="30" t="n">
        <v>93.941</v>
      </c>
      <c r="O173" s="30" t="n">
        <v>400.607</v>
      </c>
      <c r="P173" s="10" t="inlineStr">
        <is>
          <t>268</t>
        </is>
      </c>
      <c r="Q173" s="30" t="n">
        <v>102.113</v>
      </c>
      <c r="R173" s="10">
        <f>MAX(MAX(1.4/'Parametros'!$B$3,0.25*SQRT('Parametros'!$B$2)/'Parametros'!$B$3)*H173*U173,(0.85*'Parametros'!$B$2/'Parametros'!$B$3)*(1-SQRT(1-2*(J173*1000000/('Parametros'!$B$5*H173*U173^2))/(0.85*'Parametros'!$B$2)))*H173*U173)</f>
        <v>908.968289511686</v>
      </c>
      <c r="S173" s="31" t="n">
        <v>5</v>
      </c>
      <c r="T173" s="32" t="n">
        <v>1</v>
      </c>
      <c r="U173" s="10">
        <f>IF(T173=1,I173-('Parametros'!$B$7+'Parametros'!$B$9+'Parametros'!$B$12/2),I173-(ROUNDUP(S173/2,0)*('Parametros'!$B$7+'Parametros'!$B$9+'Parametros'!$B$12/2)+ROUNDDOWN(S173/2,0)*('Parametros'!$B$7+'Parametros'!$B$9+'Parametros'!$B$12/2+'Parametros'!$B$12+'Parametros'!$B$10))/S173)</f>
        <v>489.35</v>
      </c>
      <c r="V173" s="10">
        <f>S173*'Parametros'!$B$8</f>
        <v>995</v>
      </c>
      <c r="W173" s="10">
        <f>'Parametros'!$B$5*V173*'Parametros'!$B$3*(U173-(V173*'Parametros'!$B$3/(0.85*'Parametros'!$B$2*H173))/2)/1000000</f>
        <v>176.711596147059</v>
      </c>
      <c r="X173" s="10" t="str">
        <f>IF(W173&gt;=J173,"CUMPLE","NO CUMPLE")</f>
        <v>CUMPLE</v>
      </c>
      <c r="Y173" s="10">
        <f>MAX(MAX(1.4/'Parametros'!$B$3,0.25*SQRT('Parametros'!$B$2)/'Parametros'!$B$3)*H173*AB173,(0.85*'Parametros'!$B$2/'Parametros'!$B$3)*(1-SQRT(1-2*(L173*1000000/('Parametros'!$B$5*H173*AB173^2))/(0.85*'Parametros'!$B$2)))*H173*AB173)</f>
        <v>774.930880395841</v>
      </c>
      <c r="Z173" s="31" t="n">
        <v>4</v>
      </c>
      <c r="AA173" s="32" t="n">
        <v>1</v>
      </c>
      <c r="AB173" s="10">
        <f>IF(AA173=1,I173-('Parametros'!$B$7+'Parametros'!$B$9+'Parametros'!$B$12/2),I173-(ROUNDUP(Z173/2,0)*('Parametros'!$B$7+'Parametros'!$B$9+'Parametros'!$B$12/2)+ROUNDDOWN(Z173/2,0)*('Parametros'!$B$7+'Parametros'!$B$9+'Parametros'!$B$12/2+'Parametros'!$B$12+'Parametros'!$B$10))/Z173)</f>
        <v>489.35</v>
      </c>
      <c r="AC173" s="10">
        <f>Z173*'Parametros'!$B$8</f>
        <v>796</v>
      </c>
      <c r="AD173" s="10">
        <f>'Parametros'!$B$5*AC173*'Parametros'!$B$3*(AB173-(AC173*'Parametros'!$B$3/(0.85*'Parametros'!$B$2*H173))/2)/1000000</f>
        <v>142.543330094118</v>
      </c>
      <c r="AE173" s="10" t="str">
        <f>IF(AD173&gt;=L173,"CUMPLE","NO CUMPLE")</f>
        <v>CUMPLE</v>
      </c>
      <c r="AF173" s="10">
        <f>V173*1.25*'Parametros'!$B$3*(U173-(V173*1.25*'Parametros'!$B$3/(0.85*'Parametros'!$B$2*H173))/2)/1000000</f>
        <v>242.884913970588</v>
      </c>
      <c r="AG173" s="10">
        <f>AC173*1.25*'Parametros'!$B$3*(AB173-(AC173*1.25*'Parametros'!$B$3/(0.85*'Parametros'!$B$2*H173))/2)/1000000</f>
        <v>196.346217941176</v>
      </c>
      <c r="AH173" s="10">
        <f>N173+(AF173+AG173)/D173</f>
        <v>227.041343003565</v>
      </c>
      <c r="AI173" s="10">
        <f>MAX(O173,AH173)</f>
        <v>400.607</v>
      </c>
      <c r="AJ173" s="10">
        <f>0.17*SQRT('Parametros'!$B$2)*H173*MIN(U173,AB173)/1000</f>
        <v>198.088855822627</v>
      </c>
      <c r="AK173" s="10">
        <f>MAX(AI173/'Parametros'!$B$6-AJ173,0)</f>
        <v>336.05381084404</v>
      </c>
      <c r="AL173" s="10">
        <f>0.66*SQRT('Parametros'!$B$2)*H173*MIN(U173,AB173)/1000</f>
        <v>769.050852017258</v>
      </c>
      <c r="AM173" s="10" t="str">
        <f>IF(AK173&lt;=AL173,"CUMPLE","NO CUMPLE")</f>
        <v>CUMPLE</v>
      </c>
      <c r="AN173" s="17" t="inlineStr">
        <is>
          <t>Nº4 cerrado (referencia)</t>
        </is>
      </c>
      <c r="AO173" s="31" t="n">
        <v>4</v>
      </c>
      <c r="AP173" s="10">
        <f>ROUNDDOWN(MIN(IF(BC173+BD173=0,1000000000,AO173*BB173/(BC173+BD173)),MIN(U173,AB173)/4,8*'Parametros'!$B$12,24*BA173,300,IF(AV173=0,1000000000,2*((H173-2*('Parametros'!$B$7+'Parametros'!$B$9/2))+(I173-2*('Parametros'!$B$7+'Parametros'!$B$9/2)))/8))/10,0)*10</f>
        <v>120</v>
      </c>
      <c r="AQ173" s="10">
        <f>ROUNDDOWN(MIN(IF(BC173+BD173=0,1000000000,AO173*BB173/(BC173+BD173)),IF(AK173&gt;0.33*SQRT('Parametros'!$B$2)*H173*MIN(U173,AB173)/1000,MIN(U173,AB173)/4,MIN(U173,AB173)/2),600,IF(AV173=0,1000000000,2*((H173-2*('Parametros'!$B$7+'Parametros'!$B$9/2))+(I173-2*('Parametros'!$B$7+'Parametros'!$B$9/2)))/8))/10,0)*10</f>
        <v>130</v>
      </c>
      <c r="AR173" s="10">
        <f>'Parametros'!$B$6*(AJ173+MAX(BE173-BD173,0)*'Parametros'!$B$4*MIN(U173,AB173)/1000)</f>
        <v>451.602545222585</v>
      </c>
      <c r="AS173" s="10" t="str">
        <f>IF(AND(ISERROR(SEARCH("referencia",AN173)),AM173="CUMPLE",AR173&gt;=AI173),"CUMPLE","NO CUMPLE")</f>
        <v>NO CUMPLE</v>
      </c>
      <c r="AT173" s="10">
        <f>'Parametros'!$B$6*0.083*SQRT('Parametros'!$B$2)*(H173*I173)^2/(2*(H173+I173))/1000000</f>
        <v>10.0887830333379</v>
      </c>
      <c r="AU173" s="10" t="str">
        <f>IF(Q173&lt;=AT173,"DESPRECIABLE","DISEÑAR")</f>
        <v>DISEÑAR</v>
      </c>
      <c r="AV173" s="10">
        <f>IF(Q173&lt;=AT173,0,Q173*1000000/('Parametros'!$B$6*2*0.85*(H173-2*('Parametros'!$B$7+'Parametros'!$B$9/2))*(I173-2*('Parametros'!$B$7+'Parametros'!$B$9/2))*'Parametros'!$B$4))</f>
        <v>1.167044302839</v>
      </c>
      <c r="AW173" s="10">
        <f>AV173*2*((H173-2*('Parametros'!$B$7+'Parametros'!$B$9/2))+(I173-2*('Parametros'!$B$7+'Parametros'!$B$9/2)))*'Parametros'!$B$4/'Parametros'!$B$3</f>
        <v>1901.34857818529</v>
      </c>
      <c r="AX173" s="31" t="n">
        <v>12</v>
      </c>
      <c r="AY173" s="10" t="str">
        <f>IF(AV173=0,"DESPRECIABLE",IF(AND(ISERROR(SEARCH("referencia",AN173)),BB173/AP173&gt;=AV173,BI173&gt;=AW173,BH173="CUMPLE"),"CUMPLE","NO CUMPLE"))</f>
        <v>NO CUMPLE</v>
      </c>
      <c r="AZ173" s="10" t="str">
        <f>IF(AND(X173="CUMPLE",AE173="CUMPLE",AS173="CUMPLE",OR(AY173="CUMPLE",AY173="DESPRECIABLE"),BH173="CUMPLE",BJ173="CUMPLE"),"CUMPLE","NO CUMPLE")</f>
        <v>NO CUMPLE</v>
      </c>
      <c r="BA173" s="32" t="n">
        <v>12.7</v>
      </c>
      <c r="BB173" s="32" t="n">
        <v>129</v>
      </c>
      <c r="BC173" s="10">
        <f>MAX(IF(AK173=0,0,AK173*1000/('Parametros'!$B$4*MIN(U173,AB173))),MAX(0.062*SQRT('Parametros'!$B$2)*H173/'Parametros'!$B$4,0.35*H173/'Parametros'!$B$4))</f>
        <v>1.63508352111421</v>
      </c>
      <c r="BD173" s="10">
        <f>2*AV173</f>
        <v>2.33408860567799</v>
      </c>
      <c r="BE173" s="10">
        <f>AO173*BB173/AP173</f>
        <v>4.3</v>
      </c>
      <c r="BF173" s="10">
        <f>SQRT((AI173*1000/(H173*MIN(U173,AB173)))^2+(Q173*1000000*2*((H173-2*('Parametros'!$B$7+'Parametros'!$B$9/2))+(I173-2*('Parametros'!$B$7+'Parametros'!$B$9/2)))/(1.7*((H173-2*('Parametros'!$B$7+'Parametros'!$B$9/2))*(I173-2*('Parametros'!$B$7+'Parametros'!$B$9/2)))^2))^2)</f>
        <v>4.09215964192966</v>
      </c>
      <c r="BG173" s="10">
        <f>'Parametros'!$B$6*(AJ173*1000/(H173*MIN(U173,AB173))+0.66*SQRT('Parametros'!$B$2))</f>
        <v>3.29396038227542</v>
      </c>
      <c r="BH173" s="10" t="str">
        <f>IF(BF173&lt;=BG173,"CUMPLE","NO CUMPLE")</f>
        <v>NO CUMPLE</v>
      </c>
      <c r="BI173" s="10">
        <f>AX173*'Parametros'!$B$8</f>
        <v>2388</v>
      </c>
      <c r="BJ173" s="10" t="str">
        <f>IF(BI173&gt;=AW173,"CUMPLE","NO CUMPLE")</f>
        <v>CUMPLE</v>
      </c>
    </row>
    <row r="174">
      <c r="A174" s="20" t="inlineStr">
        <is>
          <t>VC6</t>
        </is>
      </c>
      <c r="B174" s="20" t="inlineStr">
        <is>
          <t>269</t>
        </is>
      </c>
      <c r="C174" s="10" t="n">
        <v>1</v>
      </c>
      <c r="D174" s="10" t="n">
        <v>3.3</v>
      </c>
      <c r="E174" s="10" t="n">
        <v>3.3</v>
      </c>
      <c r="F174" s="10" t="n">
        <v>450</v>
      </c>
      <c r="G174" s="10" t="n">
        <v>550</v>
      </c>
      <c r="H174" s="17" t="n">
        <v>450</v>
      </c>
      <c r="I174" s="17" t="n">
        <v>550</v>
      </c>
      <c r="J174" s="30" t="n">
        <v>162.0085</v>
      </c>
      <c r="K174" s="10" t="inlineStr">
        <is>
          <t>269</t>
        </is>
      </c>
      <c r="L174" s="30" t="n">
        <v>138.8937</v>
      </c>
      <c r="M174" s="10" t="inlineStr">
        <is>
          <t>269</t>
        </is>
      </c>
      <c r="N174" s="30" t="n">
        <v>93.93899999999999</v>
      </c>
      <c r="O174" s="30" t="n">
        <v>400.604</v>
      </c>
      <c r="P174" s="10" t="inlineStr">
        <is>
          <t>269</t>
        </is>
      </c>
      <c r="Q174" s="30" t="n">
        <v>102.1133</v>
      </c>
      <c r="R174" s="10">
        <f>MAX(MAX(1.4/'Parametros'!$B$3,0.25*SQRT('Parametros'!$B$2)/'Parametros'!$B$3)*H174*U174,(0.85*'Parametros'!$B$2/'Parametros'!$B$3)*(1-SQRT(1-2*(J174*1000000/('Parametros'!$B$5*H174*U174^2))/(0.85*'Parametros'!$B$2)))*H174*U174)</f>
        <v>908.947881388056</v>
      </c>
      <c r="S174" s="31" t="n">
        <v>5</v>
      </c>
      <c r="T174" s="32" t="n">
        <v>1</v>
      </c>
      <c r="U174" s="10">
        <f>IF(T174=1,I174-('Parametros'!$B$7+'Parametros'!$B$9+'Parametros'!$B$12/2),I174-(ROUNDUP(S174/2,0)*('Parametros'!$B$7+'Parametros'!$B$9+'Parametros'!$B$12/2)+ROUNDDOWN(S174/2,0)*('Parametros'!$B$7+'Parametros'!$B$9+'Parametros'!$B$12/2+'Parametros'!$B$12+'Parametros'!$B$10))/S174)</f>
        <v>489.35</v>
      </c>
      <c r="V174" s="10">
        <f>S174*'Parametros'!$B$8</f>
        <v>995</v>
      </c>
      <c r="W174" s="10">
        <f>'Parametros'!$B$5*V174*'Parametros'!$B$3*(U174-(V174*'Parametros'!$B$3/(0.85*'Parametros'!$B$2*H174))/2)/1000000</f>
        <v>176.711596147059</v>
      </c>
      <c r="X174" s="10" t="str">
        <f>IF(W174&gt;=J174,"CUMPLE","NO CUMPLE")</f>
        <v>CUMPLE</v>
      </c>
      <c r="Y174" s="10">
        <f>MAX(MAX(1.4/'Parametros'!$B$3,0.25*SQRT('Parametros'!$B$2)/'Parametros'!$B$3)*H174*AB174,(0.85*'Parametros'!$B$2/'Parametros'!$B$3)*(1-SQRT(1-2*(L174*1000000/('Parametros'!$B$5*H174*AB174^2))/(0.85*'Parametros'!$B$2)))*H174*AB174)</f>
        <v>774.944137874032</v>
      </c>
      <c r="Z174" s="31" t="n">
        <v>4</v>
      </c>
      <c r="AA174" s="32" t="n">
        <v>1</v>
      </c>
      <c r="AB174" s="10">
        <f>IF(AA174=1,I174-('Parametros'!$B$7+'Parametros'!$B$9+'Parametros'!$B$12/2),I174-(ROUNDUP(Z174/2,0)*('Parametros'!$B$7+'Parametros'!$B$9+'Parametros'!$B$12/2)+ROUNDDOWN(Z174/2,0)*('Parametros'!$B$7+'Parametros'!$B$9+'Parametros'!$B$12/2+'Parametros'!$B$12+'Parametros'!$B$10))/Z174)</f>
        <v>489.35</v>
      </c>
      <c r="AC174" s="10">
        <f>Z174*'Parametros'!$B$8</f>
        <v>796</v>
      </c>
      <c r="AD174" s="10">
        <f>'Parametros'!$B$5*AC174*'Parametros'!$B$3*(AB174-(AC174*'Parametros'!$B$3/(0.85*'Parametros'!$B$2*H174))/2)/1000000</f>
        <v>142.543330094118</v>
      </c>
      <c r="AE174" s="10" t="str">
        <f>IF(AD174&gt;=L174,"CUMPLE","NO CUMPLE")</f>
        <v>CUMPLE</v>
      </c>
      <c r="AF174" s="10">
        <f>V174*1.25*'Parametros'!$B$3*(U174-(V174*1.25*'Parametros'!$B$3/(0.85*'Parametros'!$B$2*H174))/2)/1000000</f>
        <v>242.884913970588</v>
      </c>
      <c r="AG174" s="10">
        <f>AC174*1.25*'Parametros'!$B$3*(AB174-(AC174*1.25*'Parametros'!$B$3/(0.85*'Parametros'!$B$2*H174))/2)/1000000</f>
        <v>196.346217941176</v>
      </c>
      <c r="AH174" s="10">
        <f>N174+(AF174+AG174)/D174</f>
        <v>227.039343003565</v>
      </c>
      <c r="AI174" s="10">
        <f>MAX(O174,AH174)</f>
        <v>400.604</v>
      </c>
      <c r="AJ174" s="10">
        <f>0.17*SQRT('Parametros'!$B$2)*H174*MIN(U174,AB174)/1000</f>
        <v>198.088855822627</v>
      </c>
      <c r="AK174" s="10">
        <f>MAX(AI174/'Parametros'!$B$6-AJ174,0)</f>
        <v>336.04981084404</v>
      </c>
      <c r="AL174" s="10">
        <f>0.66*SQRT('Parametros'!$B$2)*H174*MIN(U174,AB174)/1000</f>
        <v>769.050852017258</v>
      </c>
      <c r="AM174" s="10" t="str">
        <f>IF(AK174&lt;=AL174,"CUMPLE","NO CUMPLE")</f>
        <v>CUMPLE</v>
      </c>
      <c r="AN174" s="17" t="inlineStr">
        <is>
          <t>Nº4 cerrado (referencia)</t>
        </is>
      </c>
      <c r="AO174" s="31" t="n">
        <v>4</v>
      </c>
      <c r="AP174" s="10">
        <f>ROUNDDOWN(MIN(IF(BC174+BD174=0,1000000000,AO174*BB174/(BC174+BD174)),MIN(U174,AB174)/4,8*'Parametros'!$B$12,24*BA174,300,IF(AV174=0,1000000000,2*((H174-2*('Parametros'!$B$7+'Parametros'!$B$9/2))+(I174-2*('Parametros'!$B$7+'Parametros'!$B$9/2)))/8))/10,0)*10</f>
        <v>120</v>
      </c>
      <c r="AQ174" s="10">
        <f>ROUNDDOWN(MIN(IF(BC174+BD174=0,1000000000,AO174*BB174/(BC174+BD174)),IF(AK174&gt;0.33*SQRT('Parametros'!$B$2)*H174*MIN(U174,AB174)/1000,MIN(U174,AB174)/4,MIN(U174,AB174)/2),600,IF(AV174=0,1000000000,2*((H174-2*('Parametros'!$B$7+'Parametros'!$B$9/2))+(I174-2*('Parametros'!$B$7+'Parametros'!$B$9/2)))/8))/10,0)*10</f>
        <v>130</v>
      </c>
      <c r="AR174" s="10">
        <f>'Parametros'!$B$6*(AJ174+MAX(BE174-BD174,0)*'Parametros'!$B$4*MIN(U174,AB174)/1000)</f>
        <v>451.601488191634</v>
      </c>
      <c r="AS174" s="10" t="str">
        <f>IF(AND(ISERROR(SEARCH("referencia",AN174)),AM174="CUMPLE",AR174&gt;=AI174),"CUMPLE","NO CUMPLE")</f>
        <v>NO CUMPLE</v>
      </c>
      <c r="AT174" s="10">
        <f>'Parametros'!$B$6*0.083*SQRT('Parametros'!$B$2)*(H174*I174)^2/(2*(H174+I174))/1000000</f>
        <v>10.0887830333379</v>
      </c>
      <c r="AU174" s="10" t="str">
        <f>IF(Q174&lt;=AT174,"DESPRECIABLE","DISEÑAR")</f>
        <v>DISEÑAR</v>
      </c>
      <c r="AV174" s="10">
        <f>IF(Q174&lt;=AT174,0,Q174*1000000/('Parametros'!$B$6*2*0.85*(H174-2*('Parametros'!$B$7+'Parametros'!$B$9/2))*(I174-2*('Parametros'!$B$7+'Parametros'!$B$9/2))*'Parametros'!$B$4))</f>
        <v>1.1670477315238</v>
      </c>
      <c r="AW174" s="10">
        <f>AV174*2*((H174-2*('Parametros'!$B$7+'Parametros'!$B$9/2))+(I174-2*('Parametros'!$B$7+'Parametros'!$B$9/2)))*'Parametros'!$B$4/'Parametros'!$B$3</f>
        <v>1901.35416419857</v>
      </c>
      <c r="AX174" s="31" t="n">
        <v>12</v>
      </c>
      <c r="AY174" s="10" t="str">
        <f>IF(AV174=0,"DESPRECIABLE",IF(AND(ISERROR(SEARCH("referencia",AN174)),BB174/AP174&gt;=AV174,BI174&gt;=AW174,BH174="CUMPLE"),"CUMPLE","NO CUMPLE"))</f>
        <v>NO CUMPLE</v>
      </c>
      <c r="AZ174" s="10" t="str">
        <f>IF(AND(X174="CUMPLE",AE174="CUMPLE",AS174="CUMPLE",OR(AY174="CUMPLE",AY174="DESPRECIABLE"),BH174="CUMPLE",BJ174="CUMPLE"),"CUMPLE","NO CUMPLE")</f>
        <v>NO CUMPLE</v>
      </c>
      <c r="BA174" s="32" t="n">
        <v>12.7</v>
      </c>
      <c r="BB174" s="32" t="n">
        <v>129</v>
      </c>
      <c r="BC174" s="10">
        <f>MAX(IF(AK174=0,0,AK174*1000/('Parametros'!$B$4*MIN(U174,AB174))),MAX(0.062*SQRT('Parametros'!$B$2)*H174/'Parametros'!$B$4,0.35*H174/'Parametros'!$B$4))</f>
        <v>1.63506405895108</v>
      </c>
      <c r="BD174" s="10">
        <f>2*AV174</f>
        <v>2.33409546304759</v>
      </c>
      <c r="BE174" s="10">
        <f>AO174*BB174/AP174</f>
        <v>4.3</v>
      </c>
      <c r="BF174" s="10">
        <f>SQRT((AI174*1000/(H174*MIN(U174,AB174)))^2+(Q174*1000000*2*((H174-2*('Parametros'!$B$7+'Parametros'!$B$9/2))+(I174-2*('Parametros'!$B$7+'Parametros'!$B$9/2)))/(1.7*((H174-2*('Parametros'!$B$7+'Parametros'!$B$9/2))*(I174-2*('Parametros'!$B$7+'Parametros'!$B$9/2)))^2))^2)</f>
        <v>4.09216323181469</v>
      </c>
      <c r="BG174" s="10">
        <f>'Parametros'!$B$6*(AJ174*1000/(H174*MIN(U174,AB174))+0.66*SQRT('Parametros'!$B$2))</f>
        <v>3.29396038227542</v>
      </c>
      <c r="BH174" s="10" t="str">
        <f>IF(BF174&lt;=BG174,"CUMPLE","NO CUMPLE")</f>
        <v>NO CUMPLE</v>
      </c>
      <c r="BI174" s="10">
        <f>AX174*'Parametros'!$B$8</f>
        <v>2388</v>
      </c>
      <c r="BJ174" s="10" t="str">
        <f>IF(BI174&gt;=AW174,"CUMPLE","NO CUMPLE")</f>
        <v>CUMPLE</v>
      </c>
    </row>
    <row r="175">
      <c r="A175" s="20" t="inlineStr">
        <is>
          <t>VC6</t>
        </is>
      </c>
      <c r="B175" s="20" t="inlineStr">
        <is>
          <t>270</t>
        </is>
      </c>
      <c r="C175" s="10" t="n">
        <v>1</v>
      </c>
      <c r="D175" s="10" t="n">
        <v>3.25</v>
      </c>
      <c r="E175" s="10" t="n">
        <v>3.25</v>
      </c>
      <c r="F175" s="10" t="n">
        <v>450</v>
      </c>
      <c r="G175" s="10" t="n">
        <v>550</v>
      </c>
      <c r="H175" s="17" t="n">
        <v>450</v>
      </c>
      <c r="I175" s="17" t="n">
        <v>550</v>
      </c>
      <c r="J175" s="30" t="n">
        <v>164.3473</v>
      </c>
      <c r="K175" s="10" t="inlineStr">
        <is>
          <t>270</t>
        </is>
      </c>
      <c r="L175" s="30" t="n">
        <v>139.1465</v>
      </c>
      <c r="M175" s="10" t="inlineStr">
        <is>
          <t>270</t>
        </is>
      </c>
      <c r="N175" s="30" t="n">
        <v>92.301</v>
      </c>
      <c r="O175" s="30" t="n">
        <v>392.452</v>
      </c>
      <c r="P175" s="10" t="inlineStr">
        <is>
          <t>270</t>
        </is>
      </c>
      <c r="Q175" s="30" t="n">
        <v>5.9493</v>
      </c>
      <c r="R175" s="10">
        <f>MAX(MAX(1.4/'Parametros'!$B$3,0.25*SQRT('Parametros'!$B$2)/'Parametros'!$B$3)*H175*U175,(0.85*'Parametros'!$B$2/'Parametros'!$B$3)*(1-SQRT(1-2*(J175*1000000/('Parametros'!$B$5*H175*U175^2))/(0.85*'Parametros'!$B$2)))*H175*U175)</f>
        <v>922.59320747494</v>
      </c>
      <c r="S175" s="31" t="n">
        <v>5</v>
      </c>
      <c r="T175" s="32" t="n">
        <v>1</v>
      </c>
      <c r="U175" s="10">
        <f>IF(T175=1,I175-('Parametros'!$B$7+'Parametros'!$B$9+'Parametros'!$B$12/2),I175-(ROUNDUP(S175/2,0)*('Parametros'!$B$7+'Parametros'!$B$9+'Parametros'!$B$12/2)+ROUNDDOWN(S175/2,0)*('Parametros'!$B$7+'Parametros'!$B$9+'Parametros'!$B$12/2+'Parametros'!$B$12+'Parametros'!$B$10))/S175)</f>
        <v>489.35</v>
      </c>
      <c r="V175" s="10">
        <f>S175*'Parametros'!$B$8</f>
        <v>995</v>
      </c>
      <c r="W175" s="10">
        <f>'Parametros'!$B$5*V175*'Parametros'!$B$3*(U175-(V175*'Parametros'!$B$3/(0.85*'Parametros'!$B$2*H175))/2)/1000000</f>
        <v>176.711596147059</v>
      </c>
      <c r="X175" s="10" t="str">
        <f>IF(W175&gt;=J175,"CUMPLE","NO CUMPLE")</f>
        <v>CUMPLE</v>
      </c>
      <c r="Y175" s="10">
        <f>MAX(MAX(1.4/'Parametros'!$B$3,0.25*SQRT('Parametros'!$B$2)/'Parametros'!$B$3)*H175*AB175,(0.85*'Parametros'!$B$2/'Parametros'!$B$3)*(1-SQRT(1-2*(L175*1000000/('Parametros'!$B$5*H175*AB175^2))/(0.85*'Parametros'!$B$2)))*H175*AB175)</f>
        <v>776.401399201681</v>
      </c>
      <c r="Z175" s="31" t="n">
        <v>4</v>
      </c>
      <c r="AA175" s="32" t="n">
        <v>1</v>
      </c>
      <c r="AB175" s="10">
        <f>IF(AA175=1,I175-('Parametros'!$B$7+'Parametros'!$B$9+'Parametros'!$B$12/2),I175-(ROUNDUP(Z175/2,0)*('Parametros'!$B$7+'Parametros'!$B$9+'Parametros'!$B$12/2)+ROUNDDOWN(Z175/2,0)*('Parametros'!$B$7+'Parametros'!$B$9+'Parametros'!$B$12/2+'Parametros'!$B$12+'Parametros'!$B$10))/Z175)</f>
        <v>489.35</v>
      </c>
      <c r="AC175" s="10">
        <f>Z175*'Parametros'!$B$8</f>
        <v>796</v>
      </c>
      <c r="AD175" s="10">
        <f>'Parametros'!$B$5*AC175*'Parametros'!$B$3*(AB175-(AC175*'Parametros'!$B$3/(0.85*'Parametros'!$B$2*H175))/2)/1000000</f>
        <v>142.543330094118</v>
      </c>
      <c r="AE175" s="10" t="str">
        <f>IF(AD175&gt;=L175,"CUMPLE","NO CUMPLE")</f>
        <v>CUMPLE</v>
      </c>
      <c r="AF175" s="10">
        <f>V175*1.25*'Parametros'!$B$3*(U175-(V175*1.25*'Parametros'!$B$3/(0.85*'Parametros'!$B$2*H175))/2)/1000000</f>
        <v>242.884913970588</v>
      </c>
      <c r="AG175" s="10">
        <f>AC175*1.25*'Parametros'!$B$3*(AB175-(AC175*1.25*'Parametros'!$B$3/(0.85*'Parametros'!$B$2*H175))/2)/1000000</f>
        <v>196.346217941176</v>
      </c>
      <c r="AH175" s="10">
        <f>N175+(AF175+AG175)/D175</f>
        <v>227.449040588235</v>
      </c>
      <c r="AI175" s="10">
        <f>MAX(O175,AH175)</f>
        <v>392.452</v>
      </c>
      <c r="AJ175" s="10">
        <f>0.17*SQRT('Parametros'!$B$2)*H175*MIN(U175,AB175)/1000</f>
        <v>198.088855822627</v>
      </c>
      <c r="AK175" s="10">
        <f>MAX(AI175/'Parametros'!$B$6-AJ175,0)</f>
        <v>325.180477510706</v>
      </c>
      <c r="AL175" s="10">
        <f>0.66*SQRT('Parametros'!$B$2)*H175*MIN(U175,AB175)/1000</f>
        <v>769.050852017258</v>
      </c>
      <c r="AM175" s="10" t="str">
        <f>IF(AK175&lt;=AL175,"CUMPLE","NO CUMPLE")</f>
        <v>CUMPLE</v>
      </c>
      <c r="AN175" s="17" t="inlineStr">
        <is>
          <t>Nº3 cerrado</t>
        </is>
      </c>
      <c r="AO175" s="31" t="n">
        <v>2</v>
      </c>
      <c r="AP175" s="10">
        <f>ROUNDDOWN(MIN(IF(BC175+BD175=0,1000000000,AO175*BB175/(BC175+BD175)),MIN(U175,AB175)/4,8*'Parametros'!$B$12,24*BA175,300,IF(AV175=0,1000000000,2*((H175-2*('Parametros'!$B$7+'Parametros'!$B$9/2))+(I175-2*('Parametros'!$B$7+'Parametros'!$B$9/2)))/8))/10,0)*10</f>
        <v>80</v>
      </c>
      <c r="AQ175" s="10">
        <f>ROUNDDOWN(MIN(IF(BC175+BD175=0,1000000000,AO175*BB175/(BC175+BD175)),IF(AK175&gt;0.33*SQRT('Parametros'!$B$2)*H175*MIN(U175,AB175)/1000,MIN(U175,AB175)/4,MIN(U175,AB175)/2),600,IF(AV175=0,1000000000,2*((H175-2*('Parametros'!$B$7+'Parametros'!$B$9/2))+(I175-2*('Parametros'!$B$7+'Parametros'!$B$9/2)))/8))/10,0)*10</f>
        <v>80</v>
      </c>
      <c r="AR175" s="10">
        <f>'Parametros'!$B$6*(AJ175+MAX(BE175-BD175,0)*'Parametros'!$B$4*MIN(U175,AB175)/1000)</f>
        <v>422.17446061697</v>
      </c>
      <c r="AS175" s="10" t="str">
        <f>IF(AND(ISERROR(SEARCH("referencia",AN175)),AM175="CUMPLE",AR175&gt;=AI175),"CUMPLE","NO CUMPLE")</f>
        <v>CUMPLE</v>
      </c>
      <c r="AT175" s="10">
        <f>'Parametros'!$B$6*0.083*SQRT('Parametros'!$B$2)*(H175*I175)^2/(2*(H175+I175))/1000000</f>
        <v>10.0887830333379</v>
      </c>
      <c r="AU175" s="10" t="str">
        <f>IF(Q175&lt;=AT175,"DESPRECIABLE","DISEÑAR")</f>
        <v>DESPRECIABLE</v>
      </c>
      <c r="AV175" s="10">
        <f>IF(Q175&lt;=AT175,0,Q175*1000000/('Parametros'!$B$6*2*0.85*(H175-2*('Parametros'!$B$7+'Parametros'!$B$9/2))*(I175-2*('Parametros'!$B$7+'Parametros'!$B$9/2))*'Parametros'!$B$4))</f>
        <v>0</v>
      </c>
      <c r="AW175" s="10">
        <f>AV175*2*((H175-2*('Parametros'!$B$7+'Parametros'!$B$9/2))+(I175-2*('Parametros'!$B$7+'Parametros'!$B$9/2)))*'Parametros'!$B$4/'Parametros'!$B$3</f>
        <v>0</v>
      </c>
      <c r="AX175" s="31" t="n">
        <v>0</v>
      </c>
      <c r="AY175" s="10" t="str">
        <f>IF(AV175=0,"DESPRECIABLE",IF(AND(ISERROR(SEARCH("referencia",AN175)),BB175/AP175&gt;=AV175,BI175&gt;=AW175,BH175="CUMPLE"),"CUMPLE","NO CUMPLE"))</f>
        <v>DESPRECIABLE</v>
      </c>
      <c r="AZ175" s="10" t="str">
        <f>IF(AND(X175="CUMPLE",AE175="CUMPLE",AS175="CUMPLE",OR(AY175="CUMPLE",AY175="DESPRECIABLE"),BH175="CUMPLE",BJ175="CUMPLE"),"CUMPLE","NO CUMPLE")</f>
        <v>CUMPLE</v>
      </c>
      <c r="BA175" s="32" t="n">
        <v>9.5</v>
      </c>
      <c r="BB175" s="32" t="n">
        <v>71</v>
      </c>
      <c r="BC175" s="10">
        <f>MAX(IF(AK175=0,0,AK175*1000/('Parametros'!$B$4*MIN(U175,AB175))),MAX(0.062*SQRT('Parametros'!$B$2)*H175/'Parametros'!$B$4,0.35*H175/'Parametros'!$B$4))</f>
        <v>1.58217887436058</v>
      </c>
      <c r="BD175" s="10">
        <f>2*AV175</f>
        <v>0</v>
      </c>
      <c r="BE175" s="10">
        <f>AO175*BB175/AP175</f>
        <v>1.775</v>
      </c>
      <c r="BF175" s="10">
        <f>SQRT((AI175*1000/(H175*MIN(U175,AB175)))^2+(Q175*1000000*2*((H175-2*('Parametros'!$B$7+'Parametros'!$B$9/2))+(I175-2*('Parametros'!$B$7+'Parametros'!$B$9/2)))/(1.7*((H175-2*('Parametros'!$B$7+'Parametros'!$B$9/2))*(I175-2*('Parametros'!$B$7+'Parametros'!$B$9/2)))^2))^2)</f>
        <v>1.79494181052473</v>
      </c>
      <c r="BG175" s="10">
        <f>'Parametros'!$B$6*(AJ175*1000/(H175*MIN(U175,AB175))+0.66*SQRT('Parametros'!$B$2))</f>
        <v>3.29396038227542</v>
      </c>
      <c r="BH175" s="10" t="str">
        <f>IF(BF175&lt;=BG175,"CUMPLE","NO CUMPLE")</f>
        <v>CUMPLE</v>
      </c>
      <c r="BI175" s="10">
        <f>AX175*'Parametros'!$B$8</f>
        <v>0</v>
      </c>
      <c r="BJ175" s="10" t="str">
        <f>IF(BI175&gt;=AW175,"CUMPLE","NO CUMPLE")</f>
        <v>CUMPLE</v>
      </c>
    </row>
    <row r="176">
      <c r="A176" s="20" t="inlineStr">
        <is>
          <t>VC6</t>
        </is>
      </c>
      <c r="B176" s="20" t="inlineStr">
        <is>
          <t>279</t>
        </is>
      </c>
      <c r="C176" s="10" t="n">
        <v>1</v>
      </c>
      <c r="D176" s="10" t="n">
        <v>3.25</v>
      </c>
      <c r="E176" s="10" t="n">
        <v>3.25</v>
      </c>
      <c r="F176" s="10" t="n">
        <v>450</v>
      </c>
      <c r="G176" s="10" t="n">
        <v>550</v>
      </c>
      <c r="H176" s="17" t="n">
        <v>450</v>
      </c>
      <c r="I176" s="17" t="n">
        <v>550</v>
      </c>
      <c r="J176" s="30" t="n">
        <v>164.352</v>
      </c>
      <c r="K176" s="10" t="inlineStr">
        <is>
          <t>279</t>
        </is>
      </c>
      <c r="L176" s="30" t="n">
        <v>139.1486</v>
      </c>
      <c r="M176" s="10" t="inlineStr">
        <is>
          <t>279</t>
        </is>
      </c>
      <c r="N176" s="30" t="n">
        <v>92.303</v>
      </c>
      <c r="O176" s="30" t="n">
        <v>392.477</v>
      </c>
      <c r="P176" s="10" t="inlineStr">
        <is>
          <t>279</t>
        </is>
      </c>
      <c r="Q176" s="30" t="n">
        <v>5.9391</v>
      </c>
      <c r="R176" s="10">
        <f>MAX(MAX(1.4/'Parametros'!$B$3,0.25*SQRT('Parametros'!$B$2)/'Parametros'!$B$3)*H176*U176,(0.85*'Parametros'!$B$2/'Parametros'!$B$3)*(1-SQRT(1-2*(J176*1000000/('Parametros'!$B$5*H176*U176^2))/(0.85*'Parametros'!$B$2)))*H176*U176)</f>
        <v>922.620645038428</v>
      </c>
      <c r="S176" s="31" t="n">
        <v>5</v>
      </c>
      <c r="T176" s="32" t="n">
        <v>1</v>
      </c>
      <c r="U176" s="10">
        <f>IF(T176=1,I176-('Parametros'!$B$7+'Parametros'!$B$9+'Parametros'!$B$12/2),I176-(ROUNDUP(S176/2,0)*('Parametros'!$B$7+'Parametros'!$B$9+'Parametros'!$B$12/2)+ROUNDDOWN(S176/2,0)*('Parametros'!$B$7+'Parametros'!$B$9+'Parametros'!$B$12/2+'Parametros'!$B$12+'Parametros'!$B$10))/S176)</f>
        <v>489.35</v>
      </c>
      <c r="V176" s="10">
        <f>S176*'Parametros'!$B$8</f>
        <v>995</v>
      </c>
      <c r="W176" s="10">
        <f>'Parametros'!$B$5*V176*'Parametros'!$B$3*(U176-(V176*'Parametros'!$B$3/(0.85*'Parametros'!$B$2*H176))/2)/1000000</f>
        <v>176.711596147059</v>
      </c>
      <c r="X176" s="10" t="str">
        <f>IF(W176&gt;=J176,"CUMPLE","NO CUMPLE")</f>
        <v>CUMPLE</v>
      </c>
      <c r="Y176" s="10">
        <f>MAX(MAX(1.4/'Parametros'!$B$3,0.25*SQRT('Parametros'!$B$2)/'Parametros'!$B$3)*H176*AB176,(0.85*'Parametros'!$B$2/'Parametros'!$B$3)*(1-SQRT(1-2*(L176*1000000/('Parametros'!$B$5*H176*AB176^2))/(0.85*'Parametros'!$B$2)))*H176*AB176)</f>
        <v>776.4135053762</v>
      </c>
      <c r="Z176" s="31" t="n">
        <v>4</v>
      </c>
      <c r="AA176" s="32" t="n">
        <v>1</v>
      </c>
      <c r="AB176" s="10">
        <f>IF(AA176=1,I176-('Parametros'!$B$7+'Parametros'!$B$9+'Parametros'!$B$12/2),I176-(ROUNDUP(Z176/2,0)*('Parametros'!$B$7+'Parametros'!$B$9+'Parametros'!$B$12/2)+ROUNDDOWN(Z176/2,0)*('Parametros'!$B$7+'Parametros'!$B$9+'Parametros'!$B$12/2+'Parametros'!$B$12+'Parametros'!$B$10))/Z176)</f>
        <v>489.35</v>
      </c>
      <c r="AC176" s="10">
        <f>Z176*'Parametros'!$B$8</f>
        <v>796</v>
      </c>
      <c r="AD176" s="10">
        <f>'Parametros'!$B$5*AC176*'Parametros'!$B$3*(AB176-(AC176*'Parametros'!$B$3/(0.85*'Parametros'!$B$2*H176))/2)/1000000</f>
        <v>142.543330094118</v>
      </c>
      <c r="AE176" s="10" t="str">
        <f>IF(AD176&gt;=L176,"CUMPLE","NO CUMPLE")</f>
        <v>CUMPLE</v>
      </c>
      <c r="AF176" s="10">
        <f>V176*1.25*'Parametros'!$B$3*(U176-(V176*1.25*'Parametros'!$B$3/(0.85*'Parametros'!$B$2*H176))/2)/1000000</f>
        <v>242.884913970588</v>
      </c>
      <c r="AG176" s="10">
        <f>AC176*1.25*'Parametros'!$B$3*(AB176-(AC176*1.25*'Parametros'!$B$3/(0.85*'Parametros'!$B$2*H176))/2)/1000000</f>
        <v>196.346217941176</v>
      </c>
      <c r="AH176" s="10">
        <f>N176+(AF176+AG176)/D176</f>
        <v>227.451040588235</v>
      </c>
      <c r="AI176" s="10">
        <f>MAX(O176,AH176)</f>
        <v>392.477</v>
      </c>
      <c r="AJ176" s="10">
        <f>0.17*SQRT('Parametros'!$B$2)*H176*MIN(U176,AB176)/1000</f>
        <v>198.088855822627</v>
      </c>
      <c r="AK176" s="10">
        <f>MAX(AI176/'Parametros'!$B$6-AJ176,0)</f>
        <v>325.21381084404</v>
      </c>
      <c r="AL176" s="10">
        <f>0.66*SQRT('Parametros'!$B$2)*H176*MIN(U176,AB176)/1000</f>
        <v>769.050852017258</v>
      </c>
      <c r="AM176" s="10" t="str">
        <f>IF(AK176&lt;=AL176,"CUMPLE","NO CUMPLE")</f>
        <v>CUMPLE</v>
      </c>
      <c r="AN176" s="17" t="inlineStr">
        <is>
          <t>Nº3 cerrado</t>
        </is>
      </c>
      <c r="AO176" s="31" t="n">
        <v>2</v>
      </c>
      <c r="AP176" s="10">
        <f>ROUNDDOWN(MIN(IF(BC176+BD176=0,1000000000,AO176*BB176/(BC176+BD176)),MIN(U176,AB176)/4,8*'Parametros'!$B$12,24*BA176,300,IF(AV176=0,1000000000,2*((H176-2*('Parametros'!$B$7+'Parametros'!$B$9/2))+(I176-2*('Parametros'!$B$7+'Parametros'!$B$9/2)))/8))/10,0)*10</f>
        <v>80</v>
      </c>
      <c r="AQ176" s="10">
        <f>ROUNDDOWN(MIN(IF(BC176+BD176=0,1000000000,AO176*BB176/(BC176+BD176)),IF(AK176&gt;0.33*SQRT('Parametros'!$B$2)*H176*MIN(U176,AB176)/1000,MIN(U176,AB176)/4,MIN(U176,AB176)/2),600,IF(AV176=0,1000000000,2*((H176-2*('Parametros'!$B$7+'Parametros'!$B$9/2))+(I176-2*('Parametros'!$B$7+'Parametros'!$B$9/2)))/8))/10,0)*10</f>
        <v>80</v>
      </c>
      <c r="AR176" s="10">
        <f>'Parametros'!$B$6*(AJ176+MAX(BE176-BD176,0)*'Parametros'!$B$4*MIN(U176,AB176)/1000)</f>
        <v>422.17446061697</v>
      </c>
      <c r="AS176" s="10" t="str">
        <f>IF(AND(ISERROR(SEARCH("referencia",AN176)),AM176="CUMPLE",AR176&gt;=AI176),"CUMPLE","NO CUMPLE")</f>
        <v>CUMPLE</v>
      </c>
      <c r="AT176" s="10">
        <f>'Parametros'!$B$6*0.083*SQRT('Parametros'!$B$2)*(H176*I176)^2/(2*(H176+I176))/1000000</f>
        <v>10.0887830333379</v>
      </c>
      <c r="AU176" s="10" t="str">
        <f>IF(Q176&lt;=AT176,"DESPRECIABLE","DISEÑAR")</f>
        <v>DESPRECIABLE</v>
      </c>
      <c r="AV176" s="10">
        <f>IF(Q176&lt;=AT176,0,Q176*1000000/('Parametros'!$B$6*2*0.85*(H176-2*('Parametros'!$B$7+'Parametros'!$B$9/2))*(I176-2*('Parametros'!$B$7+'Parametros'!$B$9/2))*'Parametros'!$B$4))</f>
        <v>0</v>
      </c>
      <c r="AW176" s="10">
        <f>AV176*2*((H176-2*('Parametros'!$B$7+'Parametros'!$B$9/2))+(I176-2*('Parametros'!$B$7+'Parametros'!$B$9/2)))*'Parametros'!$B$4/'Parametros'!$B$3</f>
        <v>0</v>
      </c>
      <c r="AX176" s="31" t="n">
        <v>0</v>
      </c>
      <c r="AY176" s="10" t="str">
        <f>IF(AV176=0,"DESPRECIABLE",IF(AND(ISERROR(SEARCH("referencia",AN176)),BB176/AP176&gt;=AV176,BI176&gt;=AW176,BH176="CUMPLE"),"CUMPLE","NO CUMPLE"))</f>
        <v>DESPRECIABLE</v>
      </c>
      <c r="AZ176" s="10" t="str">
        <f>IF(AND(X176="CUMPLE",AE176="CUMPLE",AS176="CUMPLE",OR(AY176="CUMPLE",AY176="DESPRECIABLE"),BH176="CUMPLE",BJ176="CUMPLE"),"CUMPLE","NO CUMPLE")</f>
        <v>CUMPLE</v>
      </c>
      <c r="BA176" s="32" t="n">
        <v>9.5</v>
      </c>
      <c r="BB176" s="32" t="n">
        <v>71</v>
      </c>
      <c r="BC176" s="10">
        <f>MAX(IF(AK176=0,0,AK176*1000/('Parametros'!$B$4*MIN(U176,AB176))),MAX(0.062*SQRT('Parametros'!$B$2)*H176/'Parametros'!$B$4,0.35*H176/'Parametros'!$B$4))</f>
        <v>1.58234105905326</v>
      </c>
      <c r="BD176" s="10">
        <f>2*AV176</f>
        <v>0</v>
      </c>
      <c r="BE176" s="10">
        <f>AO176*BB176/AP176</f>
        <v>1.775</v>
      </c>
      <c r="BF176" s="10">
        <f>SQRT((AI176*1000/(H176*MIN(U176,AB176)))^2+(Q176*1000000*2*((H176-2*('Parametros'!$B$7+'Parametros'!$B$9/2))+(I176-2*('Parametros'!$B$7+'Parametros'!$B$9/2)))/(1.7*((H176-2*('Parametros'!$B$7+'Parametros'!$B$9/2))*(I176-2*('Parametros'!$B$7+'Parametros'!$B$9/2)))^2))^2)</f>
        <v>1.79501100877703</v>
      </c>
      <c r="BG176" s="10">
        <f>'Parametros'!$B$6*(AJ176*1000/(H176*MIN(U176,AB176))+0.66*SQRT('Parametros'!$B$2))</f>
        <v>3.29396038227542</v>
      </c>
      <c r="BH176" s="10" t="str">
        <f>IF(BF176&lt;=BG176,"CUMPLE","NO CUMPLE")</f>
        <v>CUMPLE</v>
      </c>
      <c r="BI176" s="10">
        <f>AX176*'Parametros'!$B$8</f>
        <v>0</v>
      </c>
      <c r="BJ176" s="10" t="str">
        <f>IF(BI176&gt;=AW176,"CUMPLE","NO CUMPLE")</f>
        <v>CUMPLE</v>
      </c>
    </row>
    <row r="177">
      <c r="A177" s="20" t="inlineStr">
        <is>
          <t>VC6</t>
        </is>
      </c>
      <c r="B177" s="20" t="inlineStr">
        <is>
          <t>280</t>
        </is>
      </c>
      <c r="C177" s="10" t="n">
        <v>1</v>
      </c>
      <c r="D177" s="10" t="n">
        <v>3.3</v>
      </c>
      <c r="E177" s="10" t="n">
        <v>3.3</v>
      </c>
      <c r="F177" s="10" t="n">
        <v>450</v>
      </c>
      <c r="G177" s="10" t="n">
        <v>550</v>
      </c>
      <c r="H177" s="17" t="n">
        <v>450</v>
      </c>
      <c r="I177" s="17" t="n">
        <v>550</v>
      </c>
      <c r="J177" s="30" t="n">
        <v>161.9743</v>
      </c>
      <c r="K177" s="10" t="inlineStr">
        <is>
          <t>280</t>
        </is>
      </c>
      <c r="L177" s="30" t="n">
        <v>138.9131</v>
      </c>
      <c r="M177" s="10" t="inlineStr">
        <is>
          <t>280</t>
        </is>
      </c>
      <c r="N177" s="30" t="n">
        <v>93.92</v>
      </c>
      <c r="O177" s="30" t="n">
        <v>400.587</v>
      </c>
      <c r="P177" s="10" t="inlineStr">
        <is>
          <t>280</t>
        </is>
      </c>
      <c r="Q177" s="30" t="n">
        <v>102.0279</v>
      </c>
      <c r="R177" s="10">
        <f>MAX(MAX(1.4/'Parametros'!$B$3,0.25*SQRT('Parametros'!$B$2)/'Parametros'!$B$3)*H177*U177,(0.85*'Parametros'!$B$2/'Parametros'!$B$3)*(1-SQRT(1-2*(J177*1000000/('Parametros'!$B$5*H177*U177^2))/(0.85*'Parametros'!$B$2)))*H177*U177)</f>
        <v>908.748466760205</v>
      </c>
      <c r="S177" s="31" t="n">
        <v>5</v>
      </c>
      <c r="T177" s="32" t="n">
        <v>1</v>
      </c>
      <c r="U177" s="10">
        <f>IF(T177=1,I177-('Parametros'!$B$7+'Parametros'!$B$9+'Parametros'!$B$12/2),I177-(ROUNDUP(S177/2,0)*('Parametros'!$B$7+'Parametros'!$B$9+'Parametros'!$B$12/2)+ROUNDDOWN(S177/2,0)*('Parametros'!$B$7+'Parametros'!$B$9+'Parametros'!$B$12/2+'Parametros'!$B$12+'Parametros'!$B$10))/S177)</f>
        <v>489.35</v>
      </c>
      <c r="V177" s="10">
        <f>S177*'Parametros'!$B$8</f>
        <v>995</v>
      </c>
      <c r="W177" s="10">
        <f>'Parametros'!$B$5*V177*'Parametros'!$B$3*(U177-(V177*'Parametros'!$B$3/(0.85*'Parametros'!$B$2*H177))/2)/1000000</f>
        <v>176.711596147059</v>
      </c>
      <c r="X177" s="10" t="str">
        <f>IF(W177&gt;=J177,"CUMPLE","NO CUMPLE")</f>
        <v>CUMPLE</v>
      </c>
      <c r="Y177" s="10">
        <f>MAX(MAX(1.4/'Parametros'!$B$3,0.25*SQRT('Parametros'!$B$2)/'Parametros'!$B$3)*H177*AB177,(0.85*'Parametros'!$B$2/'Parametros'!$B$3)*(1-SQRT(1-2*(L177*1000000/('Parametros'!$B$5*H177*AB177^2))/(0.85*'Parametros'!$B$2)))*H177*AB177)</f>
        <v>775.055962418072</v>
      </c>
      <c r="Z177" s="31" t="n">
        <v>4</v>
      </c>
      <c r="AA177" s="32" t="n">
        <v>1</v>
      </c>
      <c r="AB177" s="10">
        <f>IF(AA177=1,I177-('Parametros'!$B$7+'Parametros'!$B$9+'Parametros'!$B$12/2),I177-(ROUNDUP(Z177/2,0)*('Parametros'!$B$7+'Parametros'!$B$9+'Parametros'!$B$12/2)+ROUNDDOWN(Z177/2,0)*('Parametros'!$B$7+'Parametros'!$B$9+'Parametros'!$B$12/2+'Parametros'!$B$12+'Parametros'!$B$10))/Z177)</f>
        <v>489.35</v>
      </c>
      <c r="AC177" s="10">
        <f>Z177*'Parametros'!$B$8</f>
        <v>796</v>
      </c>
      <c r="AD177" s="10">
        <f>'Parametros'!$B$5*AC177*'Parametros'!$B$3*(AB177-(AC177*'Parametros'!$B$3/(0.85*'Parametros'!$B$2*H177))/2)/1000000</f>
        <v>142.543330094118</v>
      </c>
      <c r="AE177" s="10" t="str">
        <f>IF(AD177&gt;=L177,"CUMPLE","NO CUMPLE")</f>
        <v>CUMPLE</v>
      </c>
      <c r="AF177" s="10">
        <f>V177*1.25*'Parametros'!$B$3*(U177-(V177*1.25*'Parametros'!$B$3/(0.85*'Parametros'!$B$2*H177))/2)/1000000</f>
        <v>242.884913970588</v>
      </c>
      <c r="AG177" s="10">
        <f>AC177*1.25*'Parametros'!$B$3*(AB177-(AC177*1.25*'Parametros'!$B$3/(0.85*'Parametros'!$B$2*H177))/2)/1000000</f>
        <v>196.346217941176</v>
      </c>
      <c r="AH177" s="10">
        <f>N177+(AF177+AG177)/D177</f>
        <v>227.020343003565</v>
      </c>
      <c r="AI177" s="10">
        <f>MAX(O177,AH177)</f>
        <v>400.587</v>
      </c>
      <c r="AJ177" s="10">
        <f>0.17*SQRT('Parametros'!$B$2)*H177*MIN(U177,AB177)/1000</f>
        <v>198.088855822627</v>
      </c>
      <c r="AK177" s="10">
        <f>MAX(AI177/'Parametros'!$B$6-AJ177,0)</f>
        <v>336.027144177373</v>
      </c>
      <c r="AL177" s="10">
        <f>0.66*SQRT('Parametros'!$B$2)*H177*MIN(U177,AB177)/1000</f>
        <v>769.050852017258</v>
      </c>
      <c r="AM177" s="10" t="str">
        <f>IF(AK177&lt;=AL177,"CUMPLE","NO CUMPLE")</f>
        <v>CUMPLE</v>
      </c>
      <c r="AN177" s="17" t="inlineStr">
        <is>
          <t>Nº4 cerrado (referencia)</t>
        </is>
      </c>
      <c r="AO177" s="31" t="n">
        <v>4</v>
      </c>
      <c r="AP177" s="10">
        <f>ROUNDDOWN(MIN(IF(BC177+BD177=0,1000000000,AO177*BB177/(BC177+BD177)),MIN(U177,AB177)/4,8*'Parametros'!$B$12,24*BA177,300,IF(AV177=0,1000000000,2*((H177-2*('Parametros'!$B$7+'Parametros'!$B$9/2))+(I177-2*('Parametros'!$B$7+'Parametros'!$B$9/2)))/8))/10,0)*10</f>
        <v>120</v>
      </c>
      <c r="AQ177" s="10">
        <f>ROUNDDOWN(MIN(IF(BC177+BD177=0,1000000000,AO177*BB177/(BC177+BD177)),IF(AK177&gt;0.33*SQRT('Parametros'!$B$2)*H177*MIN(U177,AB177)/1000,MIN(U177,AB177)/4,MIN(U177,AB177)/2),600,IF(AV177=0,1000000000,2*((H177-2*('Parametros'!$B$7+'Parametros'!$B$9/2))+(I177-2*('Parametros'!$B$7+'Parametros'!$B$9/2)))/8))/10,0)*10</f>
        <v>130</v>
      </c>
      <c r="AR177" s="10">
        <f>'Parametros'!$B$6*(AJ177+MAX(BE177-BD177,0)*'Parametros'!$B$4*MIN(U177,AB177)/1000)</f>
        <v>451.902389669001</v>
      </c>
      <c r="AS177" s="10" t="str">
        <f>IF(AND(ISERROR(SEARCH("referencia",AN177)),AM177="CUMPLE",AR177&gt;=AI177),"CUMPLE","NO CUMPLE")</f>
        <v>NO CUMPLE</v>
      </c>
      <c r="AT177" s="10">
        <f>'Parametros'!$B$6*0.083*SQRT('Parametros'!$B$2)*(H177*I177)^2/(2*(H177+I177))/1000000</f>
        <v>10.0887830333379</v>
      </c>
      <c r="AU177" s="10" t="str">
        <f>IF(Q177&lt;=AT177,"DESPRECIABLE","DISEÑAR")</f>
        <v>DISEÑAR</v>
      </c>
      <c r="AV177" s="10">
        <f>IF(Q177&lt;=AT177,0,Q177*1000000/('Parametros'!$B$6*2*0.85*(H177-2*('Parametros'!$B$7+'Parametros'!$B$9/2))*(I177-2*('Parametros'!$B$7+'Parametros'!$B$9/2))*'Parametros'!$B$4))</f>
        <v>1.16607169925109</v>
      </c>
      <c r="AW177" s="10">
        <f>AV177*2*((H177-2*('Parametros'!$B$7+'Parametros'!$B$9/2))+(I177-2*('Parametros'!$B$7+'Parametros'!$B$9/2)))*'Parametros'!$B$4/'Parametros'!$B$3</f>
        <v>1899.76401241988</v>
      </c>
      <c r="AX177" s="31" t="n">
        <v>12</v>
      </c>
      <c r="AY177" s="10" t="str">
        <f>IF(AV177=0,"DESPRECIABLE",IF(AND(ISERROR(SEARCH("referencia",AN177)),BB177/AP177&gt;=AV177,BI177&gt;=AW177,BH177="CUMPLE"),"CUMPLE","NO CUMPLE"))</f>
        <v>NO CUMPLE</v>
      </c>
      <c r="AZ177" s="10" t="str">
        <f>IF(AND(X177="CUMPLE",AE177="CUMPLE",AS177="CUMPLE",OR(AY177="CUMPLE",AY177="DESPRECIABLE"),BH177="CUMPLE",BJ177="CUMPLE"),"CUMPLE","NO CUMPLE")</f>
        <v>NO CUMPLE</v>
      </c>
      <c r="BA177" s="32" t="n">
        <v>12.7</v>
      </c>
      <c r="BB177" s="32" t="n">
        <v>129</v>
      </c>
      <c r="BC177" s="10">
        <f>MAX(IF(AK177=0,0,AK177*1000/('Parametros'!$B$4*MIN(U177,AB177))),MAX(0.062*SQRT('Parametros'!$B$2)*H177/'Parametros'!$B$4,0.35*H177/'Parametros'!$B$4))</f>
        <v>1.63495377336006</v>
      </c>
      <c r="BD177" s="10">
        <f>2*AV177</f>
        <v>2.33214339850219</v>
      </c>
      <c r="BE177" s="10">
        <f>AO177*BB177/AP177</f>
        <v>4.3</v>
      </c>
      <c r="BF177" s="10">
        <f>SQRT((AI177*1000/(H177*MIN(U177,AB177)))^2+(Q177*1000000*2*((H177-2*('Parametros'!$B$7+'Parametros'!$B$9/2))+(I177-2*('Parametros'!$B$7+'Parametros'!$B$9/2)))/(1.7*((H177-2*('Parametros'!$B$7+'Parametros'!$B$9/2))*(I177-2*('Parametros'!$B$7+'Parametros'!$B$9/2)))^2))^2)</f>
        <v>4.08938311146874</v>
      </c>
      <c r="BG177" s="10">
        <f>'Parametros'!$B$6*(AJ177*1000/(H177*MIN(U177,AB177))+0.66*SQRT('Parametros'!$B$2))</f>
        <v>3.29396038227542</v>
      </c>
      <c r="BH177" s="10" t="str">
        <f>IF(BF177&lt;=BG177,"CUMPLE","NO CUMPLE")</f>
        <v>NO CUMPLE</v>
      </c>
      <c r="BI177" s="10">
        <f>AX177*'Parametros'!$B$8</f>
        <v>2388</v>
      </c>
      <c r="BJ177" s="10" t="str">
        <f>IF(BI177&gt;=AW177,"CUMPLE","NO CUMPLE")</f>
        <v>CUMPLE</v>
      </c>
    </row>
    <row r="178">
      <c r="A178" s="20" t="inlineStr">
        <is>
          <t>VC6</t>
        </is>
      </c>
      <c r="B178" s="20" t="inlineStr">
        <is>
          <t>281</t>
        </is>
      </c>
      <c r="C178" s="10" t="n">
        <v>1</v>
      </c>
      <c r="D178" s="10" t="n">
        <v>3.3</v>
      </c>
      <c r="E178" s="10" t="n">
        <v>3.3</v>
      </c>
      <c r="F178" s="10" t="n">
        <v>450</v>
      </c>
      <c r="G178" s="10" t="n">
        <v>550</v>
      </c>
      <c r="H178" s="17" t="n">
        <v>450</v>
      </c>
      <c r="I178" s="17" t="n">
        <v>550</v>
      </c>
      <c r="J178" s="30" t="n">
        <v>161.9909</v>
      </c>
      <c r="K178" s="10" t="inlineStr">
        <is>
          <t>281</t>
        </is>
      </c>
      <c r="L178" s="30" t="n">
        <v>138.9029</v>
      </c>
      <c r="M178" s="10" t="inlineStr">
        <is>
          <t>281</t>
        </is>
      </c>
      <c r="N178" s="30" t="n">
        <v>93.929</v>
      </c>
      <c r="O178" s="30" t="n">
        <v>400.595</v>
      </c>
      <c r="P178" s="10" t="inlineStr">
        <is>
          <t>281</t>
        </is>
      </c>
      <c r="Q178" s="30" t="n">
        <v>102.0283</v>
      </c>
      <c r="R178" s="10">
        <f>MAX(MAX(1.4/'Parametros'!$B$3,0.25*SQRT('Parametros'!$B$2)/'Parametros'!$B$3)*H178*U178,(0.85*'Parametros'!$B$2/'Parametros'!$B$3)*(1-SQRT(1-2*(J178*1000000/('Parametros'!$B$5*H178*U178^2))/(0.85*'Parametros'!$B$2)))*H178*U178)</f>
        <v>908.845258226321</v>
      </c>
      <c r="S178" s="31" t="n">
        <v>5</v>
      </c>
      <c r="T178" s="32" t="n">
        <v>1</v>
      </c>
      <c r="U178" s="10">
        <f>IF(T178=1,I178-('Parametros'!$B$7+'Parametros'!$B$9+'Parametros'!$B$12/2),I178-(ROUNDUP(S178/2,0)*('Parametros'!$B$7+'Parametros'!$B$9+'Parametros'!$B$12/2)+ROUNDDOWN(S178/2,0)*('Parametros'!$B$7+'Parametros'!$B$9+'Parametros'!$B$12/2+'Parametros'!$B$12+'Parametros'!$B$10))/S178)</f>
        <v>489.35</v>
      </c>
      <c r="V178" s="10">
        <f>S178*'Parametros'!$B$8</f>
        <v>995</v>
      </c>
      <c r="W178" s="10">
        <f>'Parametros'!$B$5*V178*'Parametros'!$B$3*(U178-(V178*'Parametros'!$B$3/(0.85*'Parametros'!$B$2*H178))/2)/1000000</f>
        <v>176.711596147059</v>
      </c>
      <c r="X178" s="10" t="str">
        <f>IF(W178&gt;=J178,"CUMPLE","NO CUMPLE")</f>
        <v>CUMPLE</v>
      </c>
      <c r="Y178" s="10">
        <f>MAX(MAX(1.4/'Parametros'!$B$3,0.25*SQRT('Parametros'!$B$2)/'Parametros'!$B$3)*H178*AB178,(0.85*'Parametros'!$B$2/'Parametros'!$B$3)*(1-SQRT(1-2*(L178*1000000/('Parametros'!$B$5*H178*AB178^2))/(0.85*'Parametros'!$B$2)))*H178*AB178)</f>
        <v>774.99716793697</v>
      </c>
      <c r="Z178" s="31" t="n">
        <v>4</v>
      </c>
      <c r="AA178" s="32" t="n">
        <v>1</v>
      </c>
      <c r="AB178" s="10">
        <f>IF(AA178=1,I178-('Parametros'!$B$7+'Parametros'!$B$9+'Parametros'!$B$12/2),I178-(ROUNDUP(Z178/2,0)*('Parametros'!$B$7+'Parametros'!$B$9+'Parametros'!$B$12/2)+ROUNDDOWN(Z178/2,0)*('Parametros'!$B$7+'Parametros'!$B$9+'Parametros'!$B$12/2+'Parametros'!$B$12+'Parametros'!$B$10))/Z178)</f>
        <v>489.35</v>
      </c>
      <c r="AC178" s="10">
        <f>Z178*'Parametros'!$B$8</f>
        <v>796</v>
      </c>
      <c r="AD178" s="10">
        <f>'Parametros'!$B$5*AC178*'Parametros'!$B$3*(AB178-(AC178*'Parametros'!$B$3/(0.85*'Parametros'!$B$2*H178))/2)/1000000</f>
        <v>142.543330094118</v>
      </c>
      <c r="AE178" s="10" t="str">
        <f>IF(AD178&gt;=L178,"CUMPLE","NO CUMPLE")</f>
        <v>CUMPLE</v>
      </c>
      <c r="AF178" s="10">
        <f>V178*1.25*'Parametros'!$B$3*(U178-(V178*1.25*'Parametros'!$B$3/(0.85*'Parametros'!$B$2*H178))/2)/1000000</f>
        <v>242.884913970588</v>
      </c>
      <c r="AG178" s="10">
        <f>AC178*1.25*'Parametros'!$B$3*(AB178-(AC178*1.25*'Parametros'!$B$3/(0.85*'Parametros'!$B$2*H178))/2)/1000000</f>
        <v>196.346217941176</v>
      </c>
      <c r="AH178" s="10">
        <f>N178+(AF178+AG178)/D178</f>
        <v>227.029343003565</v>
      </c>
      <c r="AI178" s="10">
        <f>MAX(O178,AH178)</f>
        <v>400.595</v>
      </c>
      <c r="AJ178" s="10">
        <f>0.17*SQRT('Parametros'!$B$2)*H178*MIN(U178,AB178)/1000</f>
        <v>198.088855822627</v>
      </c>
      <c r="AK178" s="10">
        <f>MAX(AI178/'Parametros'!$B$6-AJ178,0)</f>
        <v>336.03781084404</v>
      </c>
      <c r="AL178" s="10">
        <f>0.66*SQRT('Parametros'!$B$2)*H178*MIN(U178,AB178)/1000</f>
        <v>769.050852017258</v>
      </c>
      <c r="AM178" s="10" t="str">
        <f>IF(AK178&lt;=AL178,"CUMPLE","NO CUMPLE")</f>
        <v>CUMPLE</v>
      </c>
      <c r="AN178" s="17" t="inlineStr">
        <is>
          <t>Nº4 cerrado (referencia)</t>
        </is>
      </c>
      <c r="AO178" s="31" t="n">
        <v>4</v>
      </c>
      <c r="AP178" s="10">
        <f>ROUNDDOWN(MIN(IF(BC178+BD178=0,1000000000,AO178*BB178/(BC178+BD178)),MIN(U178,AB178)/4,8*'Parametros'!$B$12,24*BA178,300,IF(AV178=0,1000000000,2*((H178-2*('Parametros'!$B$7+'Parametros'!$B$9/2))+(I178-2*('Parametros'!$B$7+'Parametros'!$B$9/2)))/8))/10,0)*10</f>
        <v>120</v>
      </c>
      <c r="AQ178" s="10">
        <f>ROUNDDOWN(MIN(IF(BC178+BD178=0,1000000000,AO178*BB178/(BC178+BD178)),IF(AK178&gt;0.33*SQRT('Parametros'!$B$2)*H178*MIN(U178,AB178)/1000,MIN(U178,AB178)/4,MIN(U178,AB178)/2),600,IF(AV178=0,1000000000,2*((H178-2*('Parametros'!$B$7+'Parametros'!$B$9/2))+(I178-2*('Parametros'!$B$7+'Parametros'!$B$9/2)))/8))/10,0)*10</f>
        <v>130</v>
      </c>
      <c r="AR178" s="10">
        <f>'Parametros'!$B$6*(AJ178+MAX(BE178-BD178,0)*'Parametros'!$B$4*MIN(U178,AB178)/1000)</f>
        <v>451.9009802944</v>
      </c>
      <c r="AS178" s="10" t="str">
        <f>IF(AND(ISERROR(SEARCH("referencia",AN178)),AM178="CUMPLE",AR178&gt;=AI178),"CUMPLE","NO CUMPLE")</f>
        <v>NO CUMPLE</v>
      </c>
      <c r="AT178" s="10">
        <f>'Parametros'!$B$6*0.083*SQRT('Parametros'!$B$2)*(H178*I178)^2/(2*(H178+I178))/1000000</f>
        <v>10.0887830333379</v>
      </c>
      <c r="AU178" s="10" t="str">
        <f>IF(Q178&lt;=AT178,"DESPRECIABLE","DISEÑAR")</f>
        <v>DISEÑAR</v>
      </c>
      <c r="AV178" s="10">
        <f>IF(Q178&lt;=AT178,0,Q178*1000000/('Parametros'!$B$6*2*0.85*(H178-2*('Parametros'!$B$7+'Parametros'!$B$9/2))*(I178-2*('Parametros'!$B$7+'Parametros'!$B$9/2))*'Parametros'!$B$4))</f>
        <v>1.16607627083082</v>
      </c>
      <c r="AW178" s="10">
        <f>AV178*2*((H178-2*('Parametros'!$B$7+'Parametros'!$B$9/2))+(I178-2*('Parametros'!$B$7+'Parametros'!$B$9/2)))*'Parametros'!$B$4/'Parametros'!$B$3</f>
        <v>1899.77146043758</v>
      </c>
      <c r="AX178" s="31" t="n">
        <v>12</v>
      </c>
      <c r="AY178" s="10" t="str">
        <f>IF(AV178=0,"DESPRECIABLE",IF(AND(ISERROR(SEARCH("referencia",AN178)),BB178/AP178&gt;=AV178,BI178&gt;=AW178,BH178="CUMPLE"),"CUMPLE","NO CUMPLE"))</f>
        <v>NO CUMPLE</v>
      </c>
      <c r="AZ178" s="10" t="str">
        <f>IF(AND(X178="CUMPLE",AE178="CUMPLE",AS178="CUMPLE",OR(AY178="CUMPLE",AY178="DESPRECIABLE"),BH178="CUMPLE",BJ178="CUMPLE"),"CUMPLE","NO CUMPLE")</f>
        <v>NO CUMPLE</v>
      </c>
      <c r="BA178" s="32" t="n">
        <v>12.7</v>
      </c>
      <c r="BB178" s="32" t="n">
        <v>129</v>
      </c>
      <c r="BC178" s="10">
        <f>MAX(IF(AK178=0,0,AK178*1000/('Parametros'!$B$4*MIN(U178,AB178))),MAX(0.062*SQRT('Parametros'!$B$2)*H178/'Parametros'!$B$4,0.35*H178/'Parametros'!$B$4))</f>
        <v>1.63500567246172</v>
      </c>
      <c r="BD178" s="10">
        <f>2*AV178</f>
        <v>2.33215254166165</v>
      </c>
      <c r="BE178" s="10">
        <f>AO178*BB178/AP178</f>
        <v>4.3</v>
      </c>
      <c r="BF178" s="10">
        <f>SQRT((AI178*1000/(H178*MIN(U178,AB178)))^2+(Q178*1000000*2*((H178-2*('Parametros'!$B$7+'Parametros'!$B$9/2))+(I178-2*('Parametros'!$B$7+'Parametros'!$B$9/2)))/(1.7*((H178-2*('Parametros'!$B$7+'Parametros'!$B$9/2))*(I178-2*('Parametros'!$B$7+'Parametros'!$B$9/2)))^2))^2)</f>
        <v>4.08941213225575</v>
      </c>
      <c r="BG178" s="10">
        <f>'Parametros'!$B$6*(AJ178*1000/(H178*MIN(U178,AB178))+0.66*SQRT('Parametros'!$B$2))</f>
        <v>3.29396038227542</v>
      </c>
      <c r="BH178" s="10" t="str">
        <f>IF(BF178&lt;=BG178,"CUMPLE","NO CUMPLE")</f>
        <v>NO CUMPLE</v>
      </c>
      <c r="BI178" s="10">
        <f>AX178*'Parametros'!$B$8</f>
        <v>2388</v>
      </c>
      <c r="BJ178" s="10" t="str">
        <f>IF(BI178&gt;=AW178,"CUMPLE","NO CUMPLE")</f>
        <v>CUMPLE</v>
      </c>
    </row>
    <row r="179">
      <c r="A179" s="20" t="inlineStr">
        <is>
          <t>VC6</t>
        </is>
      </c>
      <c r="B179" s="20" t="inlineStr">
        <is>
          <t>282</t>
        </is>
      </c>
      <c r="C179" s="10" t="n">
        <v>1</v>
      </c>
      <c r="D179" s="10" t="n">
        <v>3.25</v>
      </c>
      <c r="E179" s="10" t="n">
        <v>3.25</v>
      </c>
      <c r="F179" s="10" t="n">
        <v>450</v>
      </c>
      <c r="G179" s="10" t="n">
        <v>550</v>
      </c>
      <c r="H179" s="17" t="n">
        <v>450</v>
      </c>
      <c r="I179" s="17" t="n">
        <v>550</v>
      </c>
      <c r="J179" s="30" t="n">
        <v>164.3398</v>
      </c>
      <c r="K179" s="10" t="inlineStr">
        <is>
          <t>282</t>
        </is>
      </c>
      <c r="L179" s="30" t="n">
        <v>139.1366</v>
      </c>
      <c r="M179" s="10" t="inlineStr">
        <is>
          <t>282</t>
        </is>
      </c>
      <c r="N179" s="30" t="n">
        <v>92.297</v>
      </c>
      <c r="O179" s="30" t="n">
        <v>392.47</v>
      </c>
      <c r="P179" s="10" t="inlineStr">
        <is>
          <t>282</t>
        </is>
      </c>
      <c r="Q179" s="30" t="n">
        <v>5.9396</v>
      </c>
      <c r="R179" s="10">
        <f>MAX(MAX(1.4/'Parametros'!$B$3,0.25*SQRT('Parametros'!$B$2)/'Parametros'!$B$3)*H179*U179,(0.85*'Parametros'!$B$2/'Parametros'!$B$3)*(1-SQRT(1-2*(J179*1000000/('Parametros'!$B$5*H179*U179^2))/(0.85*'Parametros'!$B$2)))*H179*U179)</f>
        <v>922.54942426387</v>
      </c>
      <c r="S179" s="31" t="n">
        <v>5</v>
      </c>
      <c r="T179" s="32" t="n">
        <v>1</v>
      </c>
      <c r="U179" s="10">
        <f>IF(T179=1,I179-('Parametros'!$B$7+'Parametros'!$B$9+'Parametros'!$B$12/2),I179-(ROUNDUP(S179/2,0)*('Parametros'!$B$7+'Parametros'!$B$9+'Parametros'!$B$12/2)+ROUNDDOWN(S179/2,0)*('Parametros'!$B$7+'Parametros'!$B$9+'Parametros'!$B$12/2+'Parametros'!$B$12+'Parametros'!$B$10))/S179)</f>
        <v>489.35</v>
      </c>
      <c r="V179" s="10">
        <f>S179*'Parametros'!$B$8</f>
        <v>995</v>
      </c>
      <c r="W179" s="10">
        <f>'Parametros'!$B$5*V179*'Parametros'!$B$3*(U179-(V179*'Parametros'!$B$3/(0.85*'Parametros'!$B$2*H179))/2)/1000000</f>
        <v>176.711596147059</v>
      </c>
      <c r="X179" s="10" t="str">
        <f>IF(W179&gt;=J179,"CUMPLE","NO CUMPLE")</f>
        <v>CUMPLE</v>
      </c>
      <c r="Y179" s="10">
        <f>MAX(MAX(1.4/'Parametros'!$B$3,0.25*SQRT('Parametros'!$B$2)/'Parametros'!$B$3)*H179*AB179,(0.85*'Parametros'!$B$2/'Parametros'!$B$3)*(1-SQRT(1-2*(L179*1000000/('Parametros'!$B$5*H179*AB179^2))/(0.85*'Parametros'!$B$2)))*H179*AB179)</f>
        <v>776.344327404781</v>
      </c>
      <c r="Z179" s="31" t="n">
        <v>4</v>
      </c>
      <c r="AA179" s="32" t="n">
        <v>1</v>
      </c>
      <c r="AB179" s="10">
        <f>IF(AA179=1,I179-('Parametros'!$B$7+'Parametros'!$B$9+'Parametros'!$B$12/2),I179-(ROUNDUP(Z179/2,0)*('Parametros'!$B$7+'Parametros'!$B$9+'Parametros'!$B$12/2)+ROUNDDOWN(Z179/2,0)*('Parametros'!$B$7+'Parametros'!$B$9+'Parametros'!$B$12/2+'Parametros'!$B$12+'Parametros'!$B$10))/Z179)</f>
        <v>489.35</v>
      </c>
      <c r="AC179" s="10">
        <f>Z179*'Parametros'!$B$8</f>
        <v>796</v>
      </c>
      <c r="AD179" s="10">
        <f>'Parametros'!$B$5*AC179*'Parametros'!$B$3*(AB179-(AC179*'Parametros'!$B$3/(0.85*'Parametros'!$B$2*H179))/2)/1000000</f>
        <v>142.543330094118</v>
      </c>
      <c r="AE179" s="10" t="str">
        <f>IF(AD179&gt;=L179,"CUMPLE","NO CUMPLE")</f>
        <v>CUMPLE</v>
      </c>
      <c r="AF179" s="10">
        <f>V179*1.25*'Parametros'!$B$3*(U179-(V179*1.25*'Parametros'!$B$3/(0.85*'Parametros'!$B$2*H179))/2)/1000000</f>
        <v>242.884913970588</v>
      </c>
      <c r="AG179" s="10">
        <f>AC179*1.25*'Parametros'!$B$3*(AB179-(AC179*1.25*'Parametros'!$B$3/(0.85*'Parametros'!$B$2*H179))/2)/1000000</f>
        <v>196.346217941176</v>
      </c>
      <c r="AH179" s="10">
        <f>N179+(AF179+AG179)/D179</f>
        <v>227.445040588235</v>
      </c>
      <c r="AI179" s="10">
        <f>MAX(O179,AH179)</f>
        <v>392.47</v>
      </c>
      <c r="AJ179" s="10">
        <f>0.17*SQRT('Parametros'!$B$2)*H179*MIN(U179,AB179)/1000</f>
        <v>198.088855822627</v>
      </c>
      <c r="AK179" s="10">
        <f>MAX(AI179/'Parametros'!$B$6-AJ179,0)</f>
        <v>325.204477510706</v>
      </c>
      <c r="AL179" s="10">
        <f>0.66*SQRT('Parametros'!$B$2)*H179*MIN(U179,AB179)/1000</f>
        <v>769.050852017258</v>
      </c>
      <c r="AM179" s="10" t="str">
        <f>IF(AK179&lt;=AL179,"CUMPLE","NO CUMPLE")</f>
        <v>CUMPLE</v>
      </c>
      <c r="AN179" s="17" t="inlineStr">
        <is>
          <t>Nº3 cerrado</t>
        </is>
      </c>
      <c r="AO179" s="31" t="n">
        <v>2</v>
      </c>
      <c r="AP179" s="10">
        <f>ROUNDDOWN(MIN(IF(BC179+BD179=0,1000000000,AO179*BB179/(BC179+BD179)),MIN(U179,AB179)/4,8*'Parametros'!$B$12,24*BA179,300,IF(AV179=0,1000000000,2*((H179-2*('Parametros'!$B$7+'Parametros'!$B$9/2))+(I179-2*('Parametros'!$B$7+'Parametros'!$B$9/2)))/8))/10,0)*10</f>
        <v>80</v>
      </c>
      <c r="AQ179" s="10">
        <f>ROUNDDOWN(MIN(IF(BC179+BD179=0,1000000000,AO179*BB179/(BC179+BD179)),IF(AK179&gt;0.33*SQRT('Parametros'!$B$2)*H179*MIN(U179,AB179)/1000,MIN(U179,AB179)/4,MIN(U179,AB179)/2),600,IF(AV179=0,1000000000,2*((H179-2*('Parametros'!$B$7+'Parametros'!$B$9/2))+(I179-2*('Parametros'!$B$7+'Parametros'!$B$9/2)))/8))/10,0)*10</f>
        <v>80</v>
      </c>
      <c r="AR179" s="10">
        <f>'Parametros'!$B$6*(AJ179+MAX(BE179-BD179,0)*'Parametros'!$B$4*MIN(U179,AB179)/1000)</f>
        <v>422.17446061697</v>
      </c>
      <c r="AS179" s="10" t="str">
        <f>IF(AND(ISERROR(SEARCH("referencia",AN179)),AM179="CUMPLE",AR179&gt;=AI179),"CUMPLE","NO CUMPLE")</f>
        <v>CUMPLE</v>
      </c>
      <c r="AT179" s="10">
        <f>'Parametros'!$B$6*0.083*SQRT('Parametros'!$B$2)*(H179*I179)^2/(2*(H179+I179))/1000000</f>
        <v>10.0887830333379</v>
      </c>
      <c r="AU179" s="10" t="str">
        <f>IF(Q179&lt;=AT179,"DESPRECIABLE","DISEÑAR")</f>
        <v>DESPRECIABLE</v>
      </c>
      <c r="AV179" s="10">
        <f>IF(Q179&lt;=AT179,0,Q179*1000000/('Parametros'!$B$6*2*0.85*(H179-2*('Parametros'!$B$7+'Parametros'!$B$9/2))*(I179-2*('Parametros'!$B$7+'Parametros'!$B$9/2))*'Parametros'!$B$4))</f>
        <v>0</v>
      </c>
      <c r="AW179" s="10">
        <f>AV179*2*((H179-2*('Parametros'!$B$7+'Parametros'!$B$9/2))+(I179-2*('Parametros'!$B$7+'Parametros'!$B$9/2)))*'Parametros'!$B$4/'Parametros'!$B$3</f>
        <v>0</v>
      </c>
      <c r="AX179" s="31" t="n">
        <v>0</v>
      </c>
      <c r="AY179" s="10" t="str">
        <f>IF(AV179=0,"DESPRECIABLE",IF(AND(ISERROR(SEARCH("referencia",AN179)),BB179/AP179&gt;=AV179,BI179&gt;=AW179,BH179="CUMPLE"),"CUMPLE","NO CUMPLE"))</f>
        <v>DESPRECIABLE</v>
      </c>
      <c r="AZ179" s="10" t="str">
        <f>IF(AND(X179="CUMPLE",AE179="CUMPLE",AS179="CUMPLE",OR(AY179="CUMPLE",AY179="DESPRECIABLE"),BH179="CUMPLE",BJ179="CUMPLE"),"CUMPLE","NO CUMPLE")</f>
        <v>CUMPLE</v>
      </c>
      <c r="BA179" s="32" t="n">
        <v>9.5</v>
      </c>
      <c r="BB179" s="32" t="n">
        <v>71</v>
      </c>
      <c r="BC179" s="10">
        <f>MAX(IF(AK179=0,0,AK179*1000/('Parametros'!$B$4*MIN(U179,AB179))),MAX(0.062*SQRT('Parametros'!$B$2)*H179/'Parametros'!$B$4,0.35*H179/'Parametros'!$B$4))</f>
        <v>1.58229564733931</v>
      </c>
      <c r="BD179" s="10">
        <f>2*AV179</f>
        <v>0</v>
      </c>
      <c r="BE179" s="10">
        <f>AO179*BB179/AP179</f>
        <v>1.775</v>
      </c>
      <c r="BF179" s="10">
        <f>SQRT((AI179*1000/(H179*MIN(U179,AB179)))^2+(Q179*1000000*2*((H179-2*('Parametros'!$B$7+'Parametros'!$B$9/2))+(I179-2*('Parametros'!$B$7+'Parametros'!$B$9/2)))/(1.7*((H179-2*('Parametros'!$B$7+'Parametros'!$B$9/2))*(I179-2*('Parametros'!$B$7+'Parametros'!$B$9/2)))^2))^2)</f>
        <v>1.79498157747121</v>
      </c>
      <c r="BG179" s="10">
        <f>'Parametros'!$B$6*(AJ179*1000/(H179*MIN(U179,AB179))+0.66*SQRT('Parametros'!$B$2))</f>
        <v>3.29396038227542</v>
      </c>
      <c r="BH179" s="10" t="str">
        <f>IF(BF179&lt;=BG179,"CUMPLE","NO CUMPLE")</f>
        <v>CUMPLE</v>
      </c>
      <c r="BI179" s="10">
        <f>AX179*'Parametros'!$B$8</f>
        <v>0</v>
      </c>
      <c r="BJ179" s="10" t="str">
        <f>IF(BI179&gt;=AW179,"CUMPLE","NO CUMPLE")</f>
        <v>CUMPLE</v>
      </c>
    </row>
    <row r="180">
      <c r="A180" s="20" t="inlineStr">
        <is>
          <t>VC6</t>
        </is>
      </c>
      <c r="B180" s="20" t="inlineStr">
        <is>
          <t>825</t>
        </is>
      </c>
      <c r="C180" s="10" t="n">
        <v>1</v>
      </c>
      <c r="D180" s="10" t="n">
        <v>3.25</v>
      </c>
      <c r="E180" s="10" t="n">
        <v>3.25</v>
      </c>
      <c r="F180" s="10" t="n">
        <v>450</v>
      </c>
      <c r="G180" s="10" t="n">
        <v>550</v>
      </c>
      <c r="H180" s="17" t="n">
        <v>450</v>
      </c>
      <c r="I180" s="17" t="n">
        <v>550</v>
      </c>
      <c r="J180" s="30" t="n">
        <v>129.6324</v>
      </c>
      <c r="K180" s="10" t="inlineStr">
        <is>
          <t>825</t>
        </is>
      </c>
      <c r="L180" s="30" t="n">
        <v>106.1259</v>
      </c>
      <c r="M180" s="10" t="inlineStr">
        <is>
          <t>825</t>
        </is>
      </c>
      <c r="N180" s="30" t="n">
        <v>74.708</v>
      </c>
      <c r="O180" s="30" t="n">
        <v>299.594</v>
      </c>
      <c r="P180" s="10" t="inlineStr">
        <is>
          <t>825</t>
        </is>
      </c>
      <c r="Q180" s="30" t="n">
        <v>5.2883</v>
      </c>
      <c r="R180" s="10">
        <f>MAX(MAX(1.4/'Parametros'!$B$3,0.25*SQRT('Parametros'!$B$2)/'Parametros'!$B$3)*H180*U180,(0.85*'Parametros'!$B$2/'Parametros'!$B$3)*(1-SQRT(1-2*(J180*1000000/('Parametros'!$B$5*H180*U180^2))/(0.85*'Parametros'!$B$2)))*H180*U180)</f>
        <v>734.025</v>
      </c>
      <c r="S180" s="31" t="n">
        <v>4</v>
      </c>
      <c r="T180" s="32" t="n">
        <v>1</v>
      </c>
      <c r="U180" s="10">
        <f>IF(T180=1,I180-('Parametros'!$B$7+'Parametros'!$B$9+'Parametros'!$B$12/2),I180-(ROUNDUP(S180/2,0)*('Parametros'!$B$7+'Parametros'!$B$9+'Parametros'!$B$12/2)+ROUNDDOWN(S180/2,0)*('Parametros'!$B$7+'Parametros'!$B$9+'Parametros'!$B$12/2+'Parametros'!$B$12+'Parametros'!$B$10))/S180)</f>
        <v>489.35</v>
      </c>
      <c r="V180" s="10">
        <f>S180*'Parametros'!$B$8</f>
        <v>796</v>
      </c>
      <c r="W180" s="10">
        <f>'Parametros'!$B$5*V180*'Parametros'!$B$3*(U180-(V180*'Parametros'!$B$3/(0.85*'Parametros'!$B$2*H180))/2)/1000000</f>
        <v>142.543330094118</v>
      </c>
      <c r="X180" s="10" t="str">
        <f>IF(W180&gt;=J180,"CUMPLE","NO CUMPLE")</f>
        <v>CUMPLE</v>
      </c>
      <c r="Y180" s="10">
        <f>MAX(MAX(1.4/'Parametros'!$B$3,0.25*SQRT('Parametros'!$B$2)/'Parametros'!$B$3)*H180*AB180,(0.85*'Parametros'!$B$2/'Parametros'!$B$3)*(1-SQRT(1-2*(L180*1000000/('Parametros'!$B$5*H180*AB180^2))/(0.85*'Parametros'!$B$2)))*H180*AB180)</f>
        <v>734.025</v>
      </c>
      <c r="Z180" s="31" t="n">
        <v>4</v>
      </c>
      <c r="AA180" s="32" t="n">
        <v>1</v>
      </c>
      <c r="AB180" s="10">
        <f>IF(AA180=1,I180-('Parametros'!$B$7+'Parametros'!$B$9+'Parametros'!$B$12/2),I180-(ROUNDUP(Z180/2,0)*('Parametros'!$B$7+'Parametros'!$B$9+'Parametros'!$B$12/2)+ROUNDDOWN(Z180/2,0)*('Parametros'!$B$7+'Parametros'!$B$9+'Parametros'!$B$12/2+'Parametros'!$B$12+'Parametros'!$B$10))/Z180)</f>
        <v>489.35</v>
      </c>
      <c r="AC180" s="10">
        <f>Z180*'Parametros'!$B$8</f>
        <v>796</v>
      </c>
      <c r="AD180" s="10">
        <f>'Parametros'!$B$5*AC180*'Parametros'!$B$3*(AB180-(AC180*'Parametros'!$B$3/(0.85*'Parametros'!$B$2*H180))/2)/1000000</f>
        <v>142.543330094118</v>
      </c>
      <c r="AE180" s="10" t="str">
        <f>IF(AD180&gt;=L180,"CUMPLE","NO CUMPLE")</f>
        <v>CUMPLE</v>
      </c>
      <c r="AF180" s="10">
        <f>V180*1.25*'Parametros'!$B$3*(U180-(V180*1.25*'Parametros'!$B$3/(0.85*'Parametros'!$B$2*H180))/2)/1000000</f>
        <v>196.346217941176</v>
      </c>
      <c r="AG180" s="10">
        <f>AC180*1.25*'Parametros'!$B$3*(AB180-(AC180*1.25*'Parametros'!$B$3/(0.85*'Parametros'!$B$2*H180))/2)/1000000</f>
        <v>196.346217941176</v>
      </c>
      <c r="AH180" s="10">
        <f>N180+(AF180+AG180)/D180</f>
        <v>195.536441809955</v>
      </c>
      <c r="AI180" s="10">
        <f>MAX(O180,AH180)</f>
        <v>299.594</v>
      </c>
      <c r="AJ180" s="10">
        <f>0.17*SQRT('Parametros'!$B$2)*H180*MIN(U180,AB180)/1000</f>
        <v>198.088855822627</v>
      </c>
      <c r="AK180" s="10">
        <f>MAX(AI180/'Parametros'!$B$6-AJ180,0)</f>
        <v>201.36981084404</v>
      </c>
      <c r="AL180" s="10">
        <f>0.66*SQRT('Parametros'!$B$2)*H180*MIN(U180,AB180)/1000</f>
        <v>769.050852017258</v>
      </c>
      <c r="AM180" s="10" t="str">
        <f>IF(AK180&lt;=AL180,"CUMPLE","NO CUMPLE")</f>
        <v>CUMPLE</v>
      </c>
      <c r="AN180" s="17" t="inlineStr">
        <is>
          <t>Nº3 cerrado</t>
        </is>
      </c>
      <c r="AO180" s="31" t="n">
        <v>2</v>
      </c>
      <c r="AP180" s="10">
        <f>ROUNDDOWN(MIN(IF(BC180+BD180=0,1000000000,AO180*BB180/(BC180+BD180)),MIN(U180,AB180)/4,8*'Parametros'!$B$12,24*BA180,300,IF(AV180=0,1000000000,2*((H180-2*('Parametros'!$B$7+'Parametros'!$B$9/2))+(I180-2*('Parametros'!$B$7+'Parametros'!$B$9/2)))/8))/10,0)*10</f>
        <v>120</v>
      </c>
      <c r="AQ180" s="10">
        <f>ROUNDDOWN(MIN(IF(BC180+BD180=0,1000000000,AO180*BB180/(BC180+BD180)),IF(AK180&gt;0.33*SQRT('Parametros'!$B$2)*H180*MIN(U180,AB180)/1000,MIN(U180,AB180)/4,MIN(U180,AB180)/2),600,IF(AV180=0,1000000000,2*((H180-2*('Parametros'!$B$7+'Parametros'!$B$9/2))+(I180-2*('Parametros'!$B$7+'Parametros'!$B$9/2)))/8))/10,0)*10</f>
        <v>140</v>
      </c>
      <c r="AR180" s="10">
        <f>'Parametros'!$B$6*(AJ180+MAX(BE180-BD180,0)*'Parametros'!$B$4*MIN(U180,AB180)/1000)</f>
        <v>330.97185436697</v>
      </c>
      <c r="AS180" s="10" t="str">
        <f>IF(AND(ISERROR(SEARCH("referencia",AN180)),AM180="CUMPLE",AR180&gt;=AI180),"CUMPLE","NO CUMPLE")</f>
        <v>CUMPLE</v>
      </c>
      <c r="AT180" s="10">
        <f>'Parametros'!$B$6*0.083*SQRT('Parametros'!$B$2)*(H180*I180)^2/(2*(H180+I180))/1000000</f>
        <v>10.0887830333379</v>
      </c>
      <c r="AU180" s="10" t="str">
        <f>IF(Q180&lt;=AT180,"DESPRECIABLE","DISEÑAR")</f>
        <v>DESPRECIABLE</v>
      </c>
      <c r="AV180" s="10">
        <f>IF(Q180&lt;=AT180,0,Q180*1000000/('Parametros'!$B$6*2*0.85*(H180-2*('Parametros'!$B$7+'Parametros'!$B$9/2))*(I180-2*('Parametros'!$B$7+'Parametros'!$B$9/2))*'Parametros'!$B$4))</f>
        <v>0</v>
      </c>
      <c r="AW180" s="10">
        <f>AV180*2*((H180-2*('Parametros'!$B$7+'Parametros'!$B$9/2))+(I180-2*('Parametros'!$B$7+'Parametros'!$B$9/2)))*'Parametros'!$B$4/'Parametros'!$B$3</f>
        <v>0</v>
      </c>
      <c r="AX180" s="31" t="n">
        <v>0</v>
      </c>
      <c r="AY180" s="10" t="str">
        <f>IF(AV180=0,"DESPRECIABLE",IF(AND(ISERROR(SEARCH("referencia",AN180)),BB180/AP180&gt;=AV180,BI180&gt;=AW180,BH180="CUMPLE"),"CUMPLE","NO CUMPLE"))</f>
        <v>DESPRECIABLE</v>
      </c>
      <c r="AZ180" s="10" t="str">
        <f>IF(AND(X180="CUMPLE",AE180="CUMPLE",AS180="CUMPLE",OR(AY180="CUMPLE",AY180="DESPRECIABLE"),BH180="CUMPLE",BJ180="CUMPLE"),"CUMPLE","NO CUMPLE")</f>
        <v>CUMPLE</v>
      </c>
      <c r="BA180" s="32" t="n">
        <v>9.5</v>
      </c>
      <c r="BB180" s="32" t="n">
        <v>71</v>
      </c>
      <c r="BC180" s="10">
        <f>MAX(IF(AK180=0,0,AK180*1000/('Parametros'!$B$4*MIN(U180,AB180))),MAX(0.062*SQRT('Parametros'!$B$2)*H180/'Parametros'!$B$4,0.35*H180/'Parametros'!$B$4))</f>
        <v>0.979773026629298</v>
      </c>
      <c r="BD180" s="10">
        <f>2*AV180</f>
        <v>0</v>
      </c>
      <c r="BE180" s="10">
        <f>AO180*BB180/AP180</f>
        <v>1.18333333333333</v>
      </c>
      <c r="BF180" s="10">
        <f>SQRT((AI180*1000/(H180*MIN(U180,AB180)))^2+(Q180*1000000*2*((H180-2*('Parametros'!$B$7+'Parametros'!$B$9/2))+(I180-2*('Parametros'!$B$7+'Parametros'!$B$9/2)))/(1.7*((H180-2*('Parametros'!$B$7+'Parametros'!$B$9/2))*(I180-2*('Parametros'!$B$7+'Parametros'!$B$9/2)))^2))^2)</f>
        <v>1.3736877421881</v>
      </c>
      <c r="BG180" s="10">
        <f>'Parametros'!$B$6*(AJ180*1000/(H180*MIN(U180,AB180))+0.66*SQRT('Parametros'!$B$2))</f>
        <v>3.29396038227542</v>
      </c>
      <c r="BH180" s="10" t="str">
        <f>IF(BF180&lt;=BG180,"CUMPLE","NO CUMPLE")</f>
        <v>CUMPLE</v>
      </c>
      <c r="BI180" s="10">
        <f>AX180*'Parametros'!$B$8</f>
        <v>0</v>
      </c>
      <c r="BJ180" s="10" t="str">
        <f>IF(BI180&gt;=AW180,"CUMPLE","NO CUMPLE")</f>
        <v>CUMPLE</v>
      </c>
    </row>
    <row r="181">
      <c r="A181" s="20" t="inlineStr">
        <is>
          <t>VC6</t>
        </is>
      </c>
      <c r="B181" s="20" t="inlineStr">
        <is>
          <t>826</t>
        </is>
      </c>
      <c r="C181" s="10" t="n">
        <v>1</v>
      </c>
      <c r="D181" s="10" t="n">
        <v>3.3</v>
      </c>
      <c r="E181" s="10" t="n">
        <v>3.3</v>
      </c>
      <c r="F181" s="10" t="n">
        <v>450</v>
      </c>
      <c r="G181" s="10" t="n">
        <v>550</v>
      </c>
      <c r="H181" s="17" t="n">
        <v>450</v>
      </c>
      <c r="I181" s="17" t="n">
        <v>550</v>
      </c>
      <c r="J181" s="30" t="n">
        <v>130.8903</v>
      </c>
      <c r="K181" s="10" t="inlineStr">
        <is>
          <t>826</t>
        </is>
      </c>
      <c r="L181" s="30" t="n">
        <v>107.527</v>
      </c>
      <c r="M181" s="10" t="inlineStr">
        <is>
          <t>826</t>
        </is>
      </c>
      <c r="N181" s="30" t="n">
        <v>78.09099999999999</v>
      </c>
      <c r="O181" s="30" t="n">
        <v>320.535</v>
      </c>
      <c r="P181" s="10" t="inlineStr">
        <is>
          <t>826</t>
        </is>
      </c>
      <c r="Q181" s="30" t="n">
        <v>73.6656</v>
      </c>
      <c r="R181" s="10">
        <f>MAX(MAX(1.4/'Parametros'!$B$3,0.25*SQRT('Parametros'!$B$2)/'Parametros'!$B$3)*H181*U181,(0.85*'Parametros'!$B$2/'Parametros'!$B$3)*(1-SQRT(1-2*(J181*1000000/('Parametros'!$B$5*H181*U181^2))/(0.85*'Parametros'!$B$2)))*H181*U181)</f>
        <v>734.025</v>
      </c>
      <c r="S181" s="31" t="n">
        <v>4</v>
      </c>
      <c r="T181" s="32" t="n">
        <v>1</v>
      </c>
      <c r="U181" s="10">
        <f>IF(T181=1,I181-('Parametros'!$B$7+'Parametros'!$B$9+'Parametros'!$B$12/2),I181-(ROUNDUP(S181/2,0)*('Parametros'!$B$7+'Parametros'!$B$9+'Parametros'!$B$12/2)+ROUNDDOWN(S181/2,0)*('Parametros'!$B$7+'Parametros'!$B$9+'Parametros'!$B$12/2+'Parametros'!$B$12+'Parametros'!$B$10))/S181)</f>
        <v>489.35</v>
      </c>
      <c r="V181" s="10">
        <f>S181*'Parametros'!$B$8</f>
        <v>796</v>
      </c>
      <c r="W181" s="10">
        <f>'Parametros'!$B$5*V181*'Parametros'!$B$3*(U181-(V181*'Parametros'!$B$3/(0.85*'Parametros'!$B$2*H181))/2)/1000000</f>
        <v>142.543330094118</v>
      </c>
      <c r="X181" s="10" t="str">
        <f>IF(W181&gt;=J181,"CUMPLE","NO CUMPLE")</f>
        <v>CUMPLE</v>
      </c>
      <c r="Y181" s="10">
        <f>MAX(MAX(1.4/'Parametros'!$B$3,0.25*SQRT('Parametros'!$B$2)/'Parametros'!$B$3)*H181*AB181,(0.85*'Parametros'!$B$2/'Parametros'!$B$3)*(1-SQRT(1-2*(L181*1000000/('Parametros'!$B$5*H181*AB181^2))/(0.85*'Parametros'!$B$2)))*H181*AB181)</f>
        <v>734.025</v>
      </c>
      <c r="Z181" s="31" t="n">
        <v>4</v>
      </c>
      <c r="AA181" s="32" t="n">
        <v>1</v>
      </c>
      <c r="AB181" s="10">
        <f>IF(AA181=1,I181-('Parametros'!$B$7+'Parametros'!$B$9+'Parametros'!$B$12/2),I181-(ROUNDUP(Z181/2,0)*('Parametros'!$B$7+'Parametros'!$B$9+'Parametros'!$B$12/2)+ROUNDDOWN(Z181/2,0)*('Parametros'!$B$7+'Parametros'!$B$9+'Parametros'!$B$12/2+'Parametros'!$B$12+'Parametros'!$B$10))/Z181)</f>
        <v>489.35</v>
      </c>
      <c r="AC181" s="10">
        <f>Z181*'Parametros'!$B$8</f>
        <v>796</v>
      </c>
      <c r="AD181" s="10">
        <f>'Parametros'!$B$5*AC181*'Parametros'!$B$3*(AB181-(AC181*'Parametros'!$B$3/(0.85*'Parametros'!$B$2*H181))/2)/1000000</f>
        <v>142.543330094118</v>
      </c>
      <c r="AE181" s="10" t="str">
        <f>IF(AD181&gt;=L181,"CUMPLE","NO CUMPLE")</f>
        <v>CUMPLE</v>
      </c>
      <c r="AF181" s="10">
        <f>V181*1.25*'Parametros'!$B$3*(U181-(V181*1.25*'Parametros'!$B$3/(0.85*'Parametros'!$B$2*H181))/2)/1000000</f>
        <v>196.346217941176</v>
      </c>
      <c r="AG181" s="10">
        <f>AC181*1.25*'Parametros'!$B$3*(AB181-(AC181*1.25*'Parametros'!$B$3/(0.85*'Parametros'!$B$2*H181))/2)/1000000</f>
        <v>196.346217941176</v>
      </c>
      <c r="AH181" s="10">
        <f>N181+(AF181+AG181)/D181</f>
        <v>197.088707843137</v>
      </c>
      <c r="AI181" s="10">
        <f>MAX(O181,AH181)</f>
        <v>320.535</v>
      </c>
      <c r="AJ181" s="10">
        <f>0.17*SQRT('Parametros'!$B$2)*H181*MIN(U181,AB181)/1000</f>
        <v>198.088855822627</v>
      </c>
      <c r="AK181" s="10">
        <f>MAX(AI181/'Parametros'!$B$6-AJ181,0)</f>
        <v>229.291144177373</v>
      </c>
      <c r="AL181" s="10">
        <f>0.66*SQRT('Parametros'!$B$2)*H181*MIN(U181,AB181)/1000</f>
        <v>769.050852017258</v>
      </c>
      <c r="AM181" s="10" t="str">
        <f>IF(AK181&lt;=AL181,"CUMPLE","NO CUMPLE")</f>
        <v>CUMPLE</v>
      </c>
      <c r="AN181" s="17" t="inlineStr">
        <is>
          <t>Nº4 cerrado</t>
        </is>
      </c>
      <c r="AO181" s="31" t="n">
        <v>2</v>
      </c>
      <c r="AP181" s="10">
        <f>ROUNDDOWN(MIN(IF(BC181+BD181=0,1000000000,AO181*BB181/(BC181+BD181)),MIN(U181,AB181)/4,8*'Parametros'!$B$12,24*BA181,300,IF(AV181=0,1000000000,2*((H181-2*('Parametros'!$B$7+'Parametros'!$B$9/2))+(I181-2*('Parametros'!$B$7+'Parametros'!$B$9/2)))/8))/10,0)*10</f>
        <v>90</v>
      </c>
      <c r="AQ181" s="10">
        <f>ROUNDDOWN(MIN(IF(BC181+BD181=0,1000000000,AO181*BB181/(BC181+BD181)),IF(AK181&gt;0.33*SQRT('Parametros'!$B$2)*H181*MIN(U181,AB181)/1000,MIN(U181,AB181)/4,MIN(U181,AB181)/2),600,IF(AV181=0,1000000000,2*((H181-2*('Parametros'!$B$7+'Parametros'!$B$9/2))+(I181-2*('Parametros'!$B$7+'Parametros'!$B$9/2)))/8))/10,0)*10</f>
        <v>90</v>
      </c>
      <c r="AR181" s="10">
        <f>'Parametros'!$B$6*(AJ181+MAX(BE181-BD181,0)*'Parametros'!$B$4*MIN(U181,AB181)/1000)</f>
        <v>330.893627801801</v>
      </c>
      <c r="AS181" s="10" t="str">
        <f>IF(AND(ISERROR(SEARCH("referencia",AN181)),AM181="CUMPLE",AR181&gt;=AI181),"CUMPLE","NO CUMPLE")</f>
        <v>CUMPLE</v>
      </c>
      <c r="AT181" s="10">
        <f>'Parametros'!$B$6*0.083*SQRT('Parametros'!$B$2)*(H181*I181)^2/(2*(H181+I181))/1000000</f>
        <v>10.0887830333379</v>
      </c>
      <c r="AU181" s="10" t="str">
        <f>IF(Q181&lt;=AT181,"DESPRECIABLE","DISEÑAR")</f>
        <v>DISEÑAR</v>
      </c>
      <c r="AV181" s="10">
        <f>IF(Q181&lt;=AT181,0,Q181*1000000/('Parametros'!$B$6*2*0.85*(H181-2*('Parametros'!$B$7+'Parametros'!$B$9/2))*(I181-2*('Parametros'!$B$7+'Parametros'!$B$9/2))*'Parametros'!$B$4))</f>
        <v>0.841920409695302</v>
      </c>
      <c r="AW181" s="10">
        <f>AV181*2*((H181-2*('Parametros'!$B$7+'Parametros'!$B$9/2))+(I181-2*('Parametros'!$B$7+'Parametros'!$B$9/2)))*'Parametros'!$B$4/'Parametros'!$B$3</f>
        <v>1371.65673147559</v>
      </c>
      <c r="AX181" s="31" t="n">
        <v>8</v>
      </c>
      <c r="AY181" s="10" t="str">
        <f>IF(AV181=0,"DESPRECIABLE",IF(AND(ISERROR(SEARCH("referencia",AN181)),BB181/AP181&gt;=AV181,BI181&gt;=AW181,BH181="CUMPLE"),"CUMPLE","NO CUMPLE"))</f>
        <v>CUMPLE</v>
      </c>
      <c r="AZ181" s="10" t="str">
        <f>IF(AND(X181="CUMPLE",AE181="CUMPLE",AS181="CUMPLE",OR(AY181="CUMPLE",AY181="DESPRECIABLE"),BH181="CUMPLE",BJ181="CUMPLE"),"CUMPLE","NO CUMPLE")</f>
        <v>CUMPLE</v>
      </c>
      <c r="BA181" s="32" t="n">
        <v>12.7</v>
      </c>
      <c r="BB181" s="32" t="n">
        <v>129</v>
      </c>
      <c r="BC181" s="10">
        <f>MAX(IF(AK181=0,0,AK181*1000/('Parametros'!$B$4*MIN(U181,AB181))),MAX(0.062*SQRT('Parametros'!$B$2)*H181/'Parametros'!$B$4,0.35*H181/'Parametros'!$B$4))</f>
        <v>1.1156254126094</v>
      </c>
      <c r="BD181" s="10">
        <f>2*AV181</f>
        <v>1.6838408193906</v>
      </c>
      <c r="BE181" s="10">
        <f>AO181*BB181/AP181</f>
        <v>2.86666666666667</v>
      </c>
      <c r="BF181" s="10">
        <f>SQRT((AI181*1000/(H181*MIN(U181,AB181)))^2+(Q181*1000000*2*((H181-2*('Parametros'!$B$7+'Parametros'!$B$9/2))+(I181-2*('Parametros'!$B$7+'Parametros'!$B$9/2)))/(1.7*((H181-2*('Parametros'!$B$7+'Parametros'!$B$9/2))*(I181-2*('Parametros'!$B$7+'Parametros'!$B$9/2)))^2))^2)</f>
        <v>3.01851990568613</v>
      </c>
      <c r="BG181" s="10">
        <f>'Parametros'!$B$6*(AJ181*1000/(H181*MIN(U181,AB181))+0.66*SQRT('Parametros'!$B$2))</f>
        <v>3.29396038227542</v>
      </c>
      <c r="BH181" s="10" t="str">
        <f>IF(BF181&lt;=BG181,"CUMPLE","NO CUMPLE")</f>
        <v>CUMPLE</v>
      </c>
      <c r="BI181" s="10">
        <f>AX181*'Parametros'!$B$8</f>
        <v>1592</v>
      </c>
      <c r="BJ181" s="10" t="str">
        <f>IF(BI181&gt;=AW181,"CUMPLE","NO CUMPLE")</f>
        <v>CUMPLE</v>
      </c>
    </row>
    <row r="182">
      <c r="A182" s="20" t="inlineStr">
        <is>
          <t>VC6</t>
        </is>
      </c>
      <c r="B182" s="20" t="inlineStr">
        <is>
          <t>827</t>
        </is>
      </c>
      <c r="C182" s="10" t="n">
        <v>1</v>
      </c>
      <c r="D182" s="10" t="n">
        <v>3.3</v>
      </c>
      <c r="E182" s="10" t="n">
        <v>3.3</v>
      </c>
      <c r="F182" s="10" t="n">
        <v>450</v>
      </c>
      <c r="G182" s="10" t="n">
        <v>550</v>
      </c>
      <c r="H182" s="17" t="n">
        <v>450</v>
      </c>
      <c r="I182" s="17" t="n">
        <v>550</v>
      </c>
      <c r="J182" s="30" t="n">
        <v>130.8697</v>
      </c>
      <c r="K182" s="10" t="inlineStr">
        <is>
          <t>827</t>
        </is>
      </c>
      <c r="L182" s="30" t="n">
        <v>107.5395</v>
      </c>
      <c r="M182" s="10" t="inlineStr">
        <is>
          <t>827</t>
        </is>
      </c>
      <c r="N182" s="30" t="n">
        <v>78.081</v>
      </c>
      <c r="O182" s="30" t="n">
        <v>320.527</v>
      </c>
      <c r="P182" s="10" t="inlineStr">
        <is>
          <t>827</t>
        </is>
      </c>
      <c r="Q182" s="30" t="n">
        <v>73.6664</v>
      </c>
      <c r="R182" s="10">
        <f>MAX(MAX(1.4/'Parametros'!$B$3,0.25*SQRT('Parametros'!$B$2)/'Parametros'!$B$3)*H182*U182,(0.85*'Parametros'!$B$2/'Parametros'!$B$3)*(1-SQRT(1-2*(J182*1000000/('Parametros'!$B$5*H182*U182^2))/(0.85*'Parametros'!$B$2)))*H182*U182)</f>
        <v>734.025</v>
      </c>
      <c r="S182" s="31" t="n">
        <v>4</v>
      </c>
      <c r="T182" s="32" t="n">
        <v>1</v>
      </c>
      <c r="U182" s="10">
        <f>IF(T182=1,I182-('Parametros'!$B$7+'Parametros'!$B$9+'Parametros'!$B$12/2),I182-(ROUNDUP(S182/2,0)*('Parametros'!$B$7+'Parametros'!$B$9+'Parametros'!$B$12/2)+ROUNDDOWN(S182/2,0)*('Parametros'!$B$7+'Parametros'!$B$9+'Parametros'!$B$12/2+'Parametros'!$B$12+'Parametros'!$B$10))/S182)</f>
        <v>489.35</v>
      </c>
      <c r="V182" s="10">
        <f>S182*'Parametros'!$B$8</f>
        <v>796</v>
      </c>
      <c r="W182" s="10">
        <f>'Parametros'!$B$5*V182*'Parametros'!$B$3*(U182-(V182*'Parametros'!$B$3/(0.85*'Parametros'!$B$2*H182))/2)/1000000</f>
        <v>142.543330094118</v>
      </c>
      <c r="X182" s="10" t="str">
        <f>IF(W182&gt;=J182,"CUMPLE","NO CUMPLE")</f>
        <v>CUMPLE</v>
      </c>
      <c r="Y182" s="10">
        <f>MAX(MAX(1.4/'Parametros'!$B$3,0.25*SQRT('Parametros'!$B$2)/'Parametros'!$B$3)*H182*AB182,(0.85*'Parametros'!$B$2/'Parametros'!$B$3)*(1-SQRT(1-2*(L182*1000000/('Parametros'!$B$5*H182*AB182^2))/(0.85*'Parametros'!$B$2)))*H182*AB182)</f>
        <v>734.025</v>
      </c>
      <c r="Z182" s="31" t="n">
        <v>4</v>
      </c>
      <c r="AA182" s="32" t="n">
        <v>1</v>
      </c>
      <c r="AB182" s="10">
        <f>IF(AA182=1,I182-('Parametros'!$B$7+'Parametros'!$B$9+'Parametros'!$B$12/2),I182-(ROUNDUP(Z182/2,0)*('Parametros'!$B$7+'Parametros'!$B$9+'Parametros'!$B$12/2)+ROUNDDOWN(Z182/2,0)*('Parametros'!$B$7+'Parametros'!$B$9+'Parametros'!$B$12/2+'Parametros'!$B$12+'Parametros'!$B$10))/Z182)</f>
        <v>489.35</v>
      </c>
      <c r="AC182" s="10">
        <f>Z182*'Parametros'!$B$8</f>
        <v>796</v>
      </c>
      <c r="AD182" s="10">
        <f>'Parametros'!$B$5*AC182*'Parametros'!$B$3*(AB182-(AC182*'Parametros'!$B$3/(0.85*'Parametros'!$B$2*H182))/2)/1000000</f>
        <v>142.543330094118</v>
      </c>
      <c r="AE182" s="10" t="str">
        <f>IF(AD182&gt;=L182,"CUMPLE","NO CUMPLE")</f>
        <v>CUMPLE</v>
      </c>
      <c r="AF182" s="10">
        <f>V182*1.25*'Parametros'!$B$3*(U182-(V182*1.25*'Parametros'!$B$3/(0.85*'Parametros'!$B$2*H182))/2)/1000000</f>
        <v>196.346217941176</v>
      </c>
      <c r="AG182" s="10">
        <f>AC182*1.25*'Parametros'!$B$3*(AB182-(AC182*1.25*'Parametros'!$B$3/(0.85*'Parametros'!$B$2*H182))/2)/1000000</f>
        <v>196.346217941176</v>
      </c>
      <c r="AH182" s="10">
        <f>N182+(AF182+AG182)/D182</f>
        <v>197.078707843137</v>
      </c>
      <c r="AI182" s="10">
        <f>MAX(O182,AH182)</f>
        <v>320.527</v>
      </c>
      <c r="AJ182" s="10">
        <f>0.17*SQRT('Parametros'!$B$2)*H182*MIN(U182,AB182)/1000</f>
        <v>198.088855822627</v>
      </c>
      <c r="AK182" s="10">
        <f>MAX(AI182/'Parametros'!$B$6-AJ182,0)</f>
        <v>229.280477510706</v>
      </c>
      <c r="AL182" s="10">
        <f>0.66*SQRT('Parametros'!$B$2)*H182*MIN(U182,AB182)/1000</f>
        <v>769.050852017258</v>
      </c>
      <c r="AM182" s="10" t="str">
        <f>IF(AK182&lt;=AL182,"CUMPLE","NO CUMPLE")</f>
        <v>CUMPLE</v>
      </c>
      <c r="AN182" s="17" t="inlineStr">
        <is>
          <t>Nº4 cerrado</t>
        </is>
      </c>
      <c r="AO182" s="31" t="n">
        <v>2</v>
      </c>
      <c r="AP182" s="10">
        <f>ROUNDDOWN(MIN(IF(BC182+BD182=0,1000000000,AO182*BB182/(BC182+BD182)),MIN(U182,AB182)/4,8*'Parametros'!$B$12,24*BA182,300,IF(AV182=0,1000000000,2*((H182-2*('Parametros'!$B$7+'Parametros'!$B$9/2))+(I182-2*('Parametros'!$B$7+'Parametros'!$B$9/2)))/8))/10,0)*10</f>
        <v>90</v>
      </c>
      <c r="AQ182" s="10">
        <f>ROUNDDOWN(MIN(IF(BC182+BD182=0,1000000000,AO182*BB182/(BC182+BD182)),IF(AK182&gt;0.33*SQRT('Parametros'!$B$2)*H182*MIN(U182,AB182)/1000,MIN(U182,AB182)/4,MIN(U182,AB182)/2),600,IF(AV182=0,1000000000,2*((H182-2*('Parametros'!$B$7+'Parametros'!$B$9/2))+(I182-2*('Parametros'!$B$7+'Parametros'!$B$9/2)))/8))/10,0)*10</f>
        <v>90</v>
      </c>
      <c r="AR182" s="10">
        <f>'Parametros'!$B$6*(AJ182+MAX(BE182-BD182,0)*'Parametros'!$B$4*MIN(U182,AB182)/1000)</f>
        <v>330.890809052598</v>
      </c>
      <c r="AS182" s="10" t="str">
        <f>IF(AND(ISERROR(SEARCH("referencia",AN182)),AM182="CUMPLE",AR182&gt;=AI182),"CUMPLE","NO CUMPLE")</f>
        <v>CUMPLE</v>
      </c>
      <c r="AT182" s="10">
        <f>'Parametros'!$B$6*0.083*SQRT('Parametros'!$B$2)*(H182*I182)^2/(2*(H182+I182))/1000000</f>
        <v>10.0887830333379</v>
      </c>
      <c r="AU182" s="10" t="str">
        <f>IF(Q182&lt;=AT182,"DESPRECIABLE","DISEÑAR")</f>
        <v>DISEÑAR</v>
      </c>
      <c r="AV182" s="10">
        <f>IF(Q182&lt;=AT182,0,Q182*1000000/('Parametros'!$B$6*2*0.85*(H182-2*('Parametros'!$B$7+'Parametros'!$B$9/2))*(I182-2*('Parametros'!$B$7+'Parametros'!$B$9/2))*'Parametros'!$B$4))</f>
        <v>0.841929552854765</v>
      </c>
      <c r="AW182" s="10">
        <f>AV182*2*((H182-2*('Parametros'!$B$7+'Parametros'!$B$9/2))+(I182-2*('Parametros'!$B$7+'Parametros'!$B$9/2)))*'Parametros'!$B$4/'Parametros'!$B$3</f>
        <v>1371.67162751098</v>
      </c>
      <c r="AX182" s="31" t="n">
        <v>8</v>
      </c>
      <c r="AY182" s="10" t="str">
        <f>IF(AV182=0,"DESPRECIABLE",IF(AND(ISERROR(SEARCH("referencia",AN182)),BB182/AP182&gt;=AV182,BI182&gt;=AW182,BH182="CUMPLE"),"CUMPLE","NO CUMPLE"))</f>
        <v>CUMPLE</v>
      </c>
      <c r="AZ182" s="10" t="str">
        <f>IF(AND(X182="CUMPLE",AE182="CUMPLE",AS182="CUMPLE",OR(AY182="CUMPLE",AY182="DESPRECIABLE"),BH182="CUMPLE",BJ182="CUMPLE"),"CUMPLE","NO CUMPLE")</f>
        <v>CUMPLE</v>
      </c>
      <c r="BA182" s="32" t="n">
        <v>12.7</v>
      </c>
      <c r="BB182" s="32" t="n">
        <v>129</v>
      </c>
      <c r="BC182" s="10">
        <f>MAX(IF(AK182=0,0,AK182*1000/('Parametros'!$B$4*MIN(U182,AB182))),MAX(0.062*SQRT('Parametros'!$B$2)*H182/'Parametros'!$B$4,0.35*H182/'Parametros'!$B$4))</f>
        <v>1.11557351350775</v>
      </c>
      <c r="BD182" s="10">
        <f>2*AV182</f>
        <v>1.68385910570953</v>
      </c>
      <c r="BE182" s="10">
        <f>AO182*BB182/AP182</f>
        <v>2.86666666666667</v>
      </c>
      <c r="BF182" s="10">
        <f>SQRT((AI182*1000/(H182*MIN(U182,AB182)))^2+(Q182*1000000*2*((H182-2*('Parametros'!$B$7+'Parametros'!$B$9/2))+(I182-2*('Parametros'!$B$7+'Parametros'!$B$9/2)))/(1.7*((H182-2*('Parametros'!$B$7+'Parametros'!$B$9/2))*(I182-2*('Parametros'!$B$7+'Parametros'!$B$9/2)))^2))^2)</f>
        <v>3.01852754503921</v>
      </c>
      <c r="BG182" s="10">
        <f>'Parametros'!$B$6*(AJ182*1000/(H182*MIN(U182,AB182))+0.66*SQRT('Parametros'!$B$2))</f>
        <v>3.29396038227542</v>
      </c>
      <c r="BH182" s="10" t="str">
        <f>IF(BF182&lt;=BG182,"CUMPLE","NO CUMPLE")</f>
        <v>CUMPLE</v>
      </c>
      <c r="BI182" s="10">
        <f>AX182*'Parametros'!$B$8</f>
        <v>1592</v>
      </c>
      <c r="BJ182" s="10" t="str">
        <f>IF(BI182&gt;=AW182,"CUMPLE","NO CUMPLE")</f>
        <v>CUMPLE</v>
      </c>
    </row>
    <row r="183">
      <c r="A183" s="20" t="inlineStr">
        <is>
          <t>VC6</t>
        </is>
      </c>
      <c r="B183" s="20" t="inlineStr">
        <is>
          <t>828</t>
        </is>
      </c>
      <c r="C183" s="10" t="n">
        <v>1</v>
      </c>
      <c r="D183" s="10" t="n">
        <v>3.25</v>
      </c>
      <c r="E183" s="10" t="n">
        <v>3.25</v>
      </c>
      <c r="F183" s="10" t="n">
        <v>450</v>
      </c>
      <c r="G183" s="10" t="n">
        <v>550</v>
      </c>
      <c r="H183" s="17" t="n">
        <v>450</v>
      </c>
      <c r="I183" s="17" t="n">
        <v>550</v>
      </c>
      <c r="J183" s="30" t="n">
        <v>129.6475</v>
      </c>
      <c r="K183" s="10" t="inlineStr">
        <is>
          <t>828</t>
        </is>
      </c>
      <c r="L183" s="30" t="n">
        <v>106.1403</v>
      </c>
      <c r="M183" s="10" t="inlineStr">
        <is>
          <t>828</t>
        </is>
      </c>
      <c r="N183" s="30" t="n">
        <v>74.715</v>
      </c>
      <c r="O183" s="30" t="n">
        <v>299.602</v>
      </c>
      <c r="P183" s="10" t="inlineStr">
        <is>
          <t>828</t>
        </is>
      </c>
      <c r="Q183" s="30" t="n">
        <v>5.2872</v>
      </c>
      <c r="R183" s="10">
        <f>MAX(MAX(1.4/'Parametros'!$B$3,0.25*SQRT('Parametros'!$B$2)/'Parametros'!$B$3)*H183*U183,(0.85*'Parametros'!$B$2/'Parametros'!$B$3)*(1-SQRT(1-2*(J183*1000000/('Parametros'!$B$5*H183*U183^2))/(0.85*'Parametros'!$B$2)))*H183*U183)</f>
        <v>734.025</v>
      </c>
      <c r="S183" s="31" t="n">
        <v>4</v>
      </c>
      <c r="T183" s="32" t="n">
        <v>1</v>
      </c>
      <c r="U183" s="10">
        <f>IF(T183=1,I183-('Parametros'!$B$7+'Parametros'!$B$9+'Parametros'!$B$12/2),I183-(ROUNDUP(S183/2,0)*('Parametros'!$B$7+'Parametros'!$B$9+'Parametros'!$B$12/2)+ROUNDDOWN(S183/2,0)*('Parametros'!$B$7+'Parametros'!$B$9+'Parametros'!$B$12/2+'Parametros'!$B$12+'Parametros'!$B$10))/S183)</f>
        <v>489.35</v>
      </c>
      <c r="V183" s="10">
        <f>S183*'Parametros'!$B$8</f>
        <v>796</v>
      </c>
      <c r="W183" s="10">
        <f>'Parametros'!$B$5*V183*'Parametros'!$B$3*(U183-(V183*'Parametros'!$B$3/(0.85*'Parametros'!$B$2*H183))/2)/1000000</f>
        <v>142.543330094118</v>
      </c>
      <c r="X183" s="10" t="str">
        <f>IF(W183&gt;=J183,"CUMPLE","NO CUMPLE")</f>
        <v>CUMPLE</v>
      </c>
      <c r="Y183" s="10">
        <f>MAX(MAX(1.4/'Parametros'!$B$3,0.25*SQRT('Parametros'!$B$2)/'Parametros'!$B$3)*H183*AB183,(0.85*'Parametros'!$B$2/'Parametros'!$B$3)*(1-SQRT(1-2*(L183*1000000/('Parametros'!$B$5*H183*AB183^2))/(0.85*'Parametros'!$B$2)))*H183*AB183)</f>
        <v>734.025</v>
      </c>
      <c r="Z183" s="31" t="n">
        <v>4</v>
      </c>
      <c r="AA183" s="32" t="n">
        <v>1</v>
      </c>
      <c r="AB183" s="10">
        <f>IF(AA183=1,I183-('Parametros'!$B$7+'Parametros'!$B$9+'Parametros'!$B$12/2),I183-(ROUNDUP(Z183/2,0)*('Parametros'!$B$7+'Parametros'!$B$9+'Parametros'!$B$12/2)+ROUNDDOWN(Z183/2,0)*('Parametros'!$B$7+'Parametros'!$B$9+'Parametros'!$B$12/2+'Parametros'!$B$12+'Parametros'!$B$10))/Z183)</f>
        <v>489.35</v>
      </c>
      <c r="AC183" s="10">
        <f>Z183*'Parametros'!$B$8</f>
        <v>796</v>
      </c>
      <c r="AD183" s="10">
        <f>'Parametros'!$B$5*AC183*'Parametros'!$B$3*(AB183-(AC183*'Parametros'!$B$3/(0.85*'Parametros'!$B$2*H183))/2)/1000000</f>
        <v>142.543330094118</v>
      </c>
      <c r="AE183" s="10" t="str">
        <f>IF(AD183&gt;=L183,"CUMPLE","NO CUMPLE")</f>
        <v>CUMPLE</v>
      </c>
      <c r="AF183" s="10">
        <f>V183*1.25*'Parametros'!$B$3*(U183-(V183*1.25*'Parametros'!$B$3/(0.85*'Parametros'!$B$2*H183))/2)/1000000</f>
        <v>196.346217941176</v>
      </c>
      <c r="AG183" s="10">
        <f>AC183*1.25*'Parametros'!$B$3*(AB183-(AC183*1.25*'Parametros'!$B$3/(0.85*'Parametros'!$B$2*H183))/2)/1000000</f>
        <v>196.346217941176</v>
      </c>
      <c r="AH183" s="10">
        <f>N183+(AF183+AG183)/D183</f>
        <v>195.543441809955</v>
      </c>
      <c r="AI183" s="10">
        <f>MAX(O183,AH183)</f>
        <v>299.602</v>
      </c>
      <c r="AJ183" s="10">
        <f>0.17*SQRT('Parametros'!$B$2)*H183*MIN(U183,AB183)/1000</f>
        <v>198.088855822627</v>
      </c>
      <c r="AK183" s="10">
        <f>MAX(AI183/'Parametros'!$B$6-AJ183,0)</f>
        <v>201.380477510706</v>
      </c>
      <c r="AL183" s="10">
        <f>0.66*SQRT('Parametros'!$B$2)*H183*MIN(U183,AB183)/1000</f>
        <v>769.050852017258</v>
      </c>
      <c r="AM183" s="10" t="str">
        <f>IF(AK183&lt;=AL183,"CUMPLE","NO CUMPLE")</f>
        <v>CUMPLE</v>
      </c>
      <c r="AN183" s="17" t="inlineStr">
        <is>
          <t>Nº3 cerrado</t>
        </is>
      </c>
      <c r="AO183" s="31" t="n">
        <v>2</v>
      </c>
      <c r="AP183" s="10">
        <f>ROUNDDOWN(MIN(IF(BC183+BD183=0,1000000000,AO183*BB183/(BC183+BD183)),MIN(U183,AB183)/4,8*'Parametros'!$B$12,24*BA183,300,IF(AV183=0,1000000000,2*((H183-2*('Parametros'!$B$7+'Parametros'!$B$9/2))+(I183-2*('Parametros'!$B$7+'Parametros'!$B$9/2)))/8))/10,0)*10</f>
        <v>120</v>
      </c>
      <c r="AQ183" s="10">
        <f>ROUNDDOWN(MIN(IF(BC183+BD183=0,1000000000,AO183*BB183/(BC183+BD183)),IF(AK183&gt;0.33*SQRT('Parametros'!$B$2)*H183*MIN(U183,AB183)/1000,MIN(U183,AB183)/4,MIN(U183,AB183)/2),600,IF(AV183=0,1000000000,2*((H183-2*('Parametros'!$B$7+'Parametros'!$B$9/2))+(I183-2*('Parametros'!$B$7+'Parametros'!$B$9/2)))/8))/10,0)*10</f>
        <v>140</v>
      </c>
      <c r="AR183" s="10">
        <f>'Parametros'!$B$6*(AJ183+MAX(BE183-BD183,0)*'Parametros'!$B$4*MIN(U183,AB183)/1000)</f>
        <v>330.97185436697</v>
      </c>
      <c r="AS183" s="10" t="str">
        <f>IF(AND(ISERROR(SEARCH("referencia",AN183)),AM183="CUMPLE",AR183&gt;=AI183),"CUMPLE","NO CUMPLE")</f>
        <v>CUMPLE</v>
      </c>
      <c r="AT183" s="10">
        <f>'Parametros'!$B$6*0.083*SQRT('Parametros'!$B$2)*(H183*I183)^2/(2*(H183+I183))/1000000</f>
        <v>10.0887830333379</v>
      </c>
      <c r="AU183" s="10" t="str">
        <f>IF(Q183&lt;=AT183,"DESPRECIABLE","DISEÑAR")</f>
        <v>DESPRECIABLE</v>
      </c>
      <c r="AV183" s="10">
        <f>IF(Q183&lt;=AT183,0,Q183*1000000/('Parametros'!$B$6*2*0.85*(H183-2*('Parametros'!$B$7+'Parametros'!$B$9/2))*(I183-2*('Parametros'!$B$7+'Parametros'!$B$9/2))*'Parametros'!$B$4))</f>
        <v>0</v>
      </c>
      <c r="AW183" s="10">
        <f>AV183*2*((H183-2*('Parametros'!$B$7+'Parametros'!$B$9/2))+(I183-2*('Parametros'!$B$7+'Parametros'!$B$9/2)))*'Parametros'!$B$4/'Parametros'!$B$3</f>
        <v>0</v>
      </c>
      <c r="AX183" s="31" t="n">
        <v>0</v>
      </c>
      <c r="AY183" s="10" t="str">
        <f>IF(AV183=0,"DESPRECIABLE",IF(AND(ISERROR(SEARCH("referencia",AN183)),BB183/AP183&gt;=AV183,BI183&gt;=AW183,BH183="CUMPLE"),"CUMPLE","NO CUMPLE"))</f>
        <v>DESPRECIABLE</v>
      </c>
      <c r="AZ183" s="10" t="str">
        <f>IF(AND(X183="CUMPLE",AE183="CUMPLE",AS183="CUMPLE",OR(AY183="CUMPLE",AY183="DESPRECIABLE"),BH183="CUMPLE",BJ183="CUMPLE"),"CUMPLE","NO CUMPLE")</f>
        <v>CUMPLE</v>
      </c>
      <c r="BA183" s="32" t="n">
        <v>9.5</v>
      </c>
      <c r="BB183" s="32" t="n">
        <v>71</v>
      </c>
      <c r="BC183" s="10">
        <f>MAX(IF(AK183=0,0,AK183*1000/('Parametros'!$B$4*MIN(U183,AB183))),MAX(0.062*SQRT('Parametros'!$B$2)*H183/'Parametros'!$B$4,0.35*H183/'Parametros'!$B$4))</f>
        <v>0.979824925730956</v>
      </c>
      <c r="BD183" s="10">
        <f>2*AV183</f>
        <v>0</v>
      </c>
      <c r="BE183" s="10">
        <f>AO183*BB183/AP183</f>
        <v>1.18333333333333</v>
      </c>
      <c r="BF183" s="10">
        <f>SQRT((AI183*1000/(H183*MIN(U183,AB183)))^2+(Q183*1000000*2*((H183-2*('Parametros'!$B$7+'Parametros'!$B$9/2))+(I183-2*('Parametros'!$B$7+'Parametros'!$B$9/2)))/(1.7*((H183-2*('Parametros'!$B$7+'Parametros'!$B$9/2))*(I183-2*('Parametros'!$B$7+'Parametros'!$B$9/2)))^2))^2)</f>
        <v>1.37371826694101</v>
      </c>
      <c r="BG183" s="10">
        <f>'Parametros'!$B$6*(AJ183*1000/(H183*MIN(U183,AB183))+0.66*SQRT('Parametros'!$B$2))</f>
        <v>3.29396038227542</v>
      </c>
      <c r="BH183" s="10" t="str">
        <f>IF(BF183&lt;=BG183,"CUMPLE","NO CUMPLE")</f>
        <v>CUMPLE</v>
      </c>
      <c r="BI183" s="10">
        <f>AX183*'Parametros'!$B$8</f>
        <v>0</v>
      </c>
      <c r="BJ183" s="10" t="str">
        <f>IF(BI183&gt;=AW183,"CUMPLE","NO CUMPLE")</f>
        <v>CUMPLE</v>
      </c>
    </row>
    <row r="184">
      <c r="A184" s="20" t="inlineStr">
        <is>
          <t>VC6</t>
        </is>
      </c>
      <c r="B184" s="20" t="inlineStr">
        <is>
          <t>837</t>
        </is>
      </c>
      <c r="C184" s="10" t="n">
        <v>1</v>
      </c>
      <c r="D184" s="10" t="n">
        <v>3.25</v>
      </c>
      <c r="E184" s="10" t="n">
        <v>3.25</v>
      </c>
      <c r="F184" s="10" t="n">
        <v>450</v>
      </c>
      <c r="G184" s="10" t="n">
        <v>550</v>
      </c>
      <c r="H184" s="17" t="n">
        <v>450</v>
      </c>
      <c r="I184" s="17" t="n">
        <v>550</v>
      </c>
      <c r="J184" s="30" t="n">
        <v>129.6447</v>
      </c>
      <c r="K184" s="10" t="inlineStr">
        <is>
          <t>837</t>
        </is>
      </c>
      <c r="L184" s="30" t="n">
        <v>106.1316</v>
      </c>
      <c r="M184" s="10" t="inlineStr">
        <is>
          <t>837</t>
        </is>
      </c>
      <c r="N184" s="30" t="n">
        <v>74.712</v>
      </c>
      <c r="O184" s="30" t="n">
        <v>299.628</v>
      </c>
      <c r="P184" s="10" t="inlineStr">
        <is>
          <t>837</t>
        </is>
      </c>
      <c r="Q184" s="30" t="n">
        <v>5.2701</v>
      </c>
      <c r="R184" s="10">
        <f>MAX(MAX(1.4/'Parametros'!$B$3,0.25*SQRT('Parametros'!$B$2)/'Parametros'!$B$3)*H184*U184,(0.85*'Parametros'!$B$2/'Parametros'!$B$3)*(1-SQRT(1-2*(J184*1000000/('Parametros'!$B$5*H184*U184^2))/(0.85*'Parametros'!$B$2)))*H184*U184)</f>
        <v>734.025</v>
      </c>
      <c r="S184" s="31" t="n">
        <v>4</v>
      </c>
      <c r="T184" s="32" t="n">
        <v>1</v>
      </c>
      <c r="U184" s="10">
        <f>IF(T184=1,I184-('Parametros'!$B$7+'Parametros'!$B$9+'Parametros'!$B$12/2),I184-(ROUNDUP(S184/2,0)*('Parametros'!$B$7+'Parametros'!$B$9+'Parametros'!$B$12/2)+ROUNDDOWN(S184/2,0)*('Parametros'!$B$7+'Parametros'!$B$9+'Parametros'!$B$12/2+'Parametros'!$B$12+'Parametros'!$B$10))/S184)</f>
        <v>489.35</v>
      </c>
      <c r="V184" s="10">
        <f>S184*'Parametros'!$B$8</f>
        <v>796</v>
      </c>
      <c r="W184" s="10">
        <f>'Parametros'!$B$5*V184*'Parametros'!$B$3*(U184-(V184*'Parametros'!$B$3/(0.85*'Parametros'!$B$2*H184))/2)/1000000</f>
        <v>142.543330094118</v>
      </c>
      <c r="X184" s="10" t="str">
        <f>IF(W184&gt;=J184,"CUMPLE","NO CUMPLE")</f>
        <v>CUMPLE</v>
      </c>
      <c r="Y184" s="10">
        <f>MAX(MAX(1.4/'Parametros'!$B$3,0.25*SQRT('Parametros'!$B$2)/'Parametros'!$B$3)*H184*AB184,(0.85*'Parametros'!$B$2/'Parametros'!$B$3)*(1-SQRT(1-2*(L184*1000000/('Parametros'!$B$5*H184*AB184^2))/(0.85*'Parametros'!$B$2)))*H184*AB184)</f>
        <v>734.025</v>
      </c>
      <c r="Z184" s="31" t="n">
        <v>4</v>
      </c>
      <c r="AA184" s="32" t="n">
        <v>1</v>
      </c>
      <c r="AB184" s="10">
        <f>IF(AA184=1,I184-('Parametros'!$B$7+'Parametros'!$B$9+'Parametros'!$B$12/2),I184-(ROUNDUP(Z184/2,0)*('Parametros'!$B$7+'Parametros'!$B$9+'Parametros'!$B$12/2)+ROUNDDOWN(Z184/2,0)*('Parametros'!$B$7+'Parametros'!$B$9+'Parametros'!$B$12/2+'Parametros'!$B$12+'Parametros'!$B$10))/Z184)</f>
        <v>489.35</v>
      </c>
      <c r="AC184" s="10">
        <f>Z184*'Parametros'!$B$8</f>
        <v>796</v>
      </c>
      <c r="AD184" s="10">
        <f>'Parametros'!$B$5*AC184*'Parametros'!$B$3*(AB184-(AC184*'Parametros'!$B$3/(0.85*'Parametros'!$B$2*H184))/2)/1000000</f>
        <v>142.543330094118</v>
      </c>
      <c r="AE184" s="10" t="str">
        <f>IF(AD184&gt;=L184,"CUMPLE","NO CUMPLE")</f>
        <v>CUMPLE</v>
      </c>
      <c r="AF184" s="10">
        <f>V184*1.25*'Parametros'!$B$3*(U184-(V184*1.25*'Parametros'!$B$3/(0.85*'Parametros'!$B$2*H184))/2)/1000000</f>
        <v>196.346217941176</v>
      </c>
      <c r="AG184" s="10">
        <f>AC184*1.25*'Parametros'!$B$3*(AB184-(AC184*1.25*'Parametros'!$B$3/(0.85*'Parametros'!$B$2*H184))/2)/1000000</f>
        <v>196.346217941176</v>
      </c>
      <c r="AH184" s="10">
        <f>N184+(AF184+AG184)/D184</f>
        <v>195.540441809955</v>
      </c>
      <c r="AI184" s="10">
        <f>MAX(O184,AH184)</f>
        <v>299.628</v>
      </c>
      <c r="AJ184" s="10">
        <f>0.17*SQRT('Parametros'!$B$2)*H184*MIN(U184,AB184)/1000</f>
        <v>198.088855822627</v>
      </c>
      <c r="AK184" s="10">
        <f>MAX(AI184/'Parametros'!$B$6-AJ184,0)</f>
        <v>201.415144177373</v>
      </c>
      <c r="AL184" s="10">
        <f>0.66*SQRT('Parametros'!$B$2)*H184*MIN(U184,AB184)/1000</f>
        <v>769.050852017258</v>
      </c>
      <c r="AM184" s="10" t="str">
        <f>IF(AK184&lt;=AL184,"CUMPLE","NO CUMPLE")</f>
        <v>CUMPLE</v>
      </c>
      <c r="AN184" s="17" t="inlineStr">
        <is>
          <t>Nº3 cerrado</t>
        </is>
      </c>
      <c r="AO184" s="31" t="n">
        <v>2</v>
      </c>
      <c r="AP184" s="10">
        <f>ROUNDDOWN(MIN(IF(BC184+BD184=0,1000000000,AO184*BB184/(BC184+BD184)),MIN(U184,AB184)/4,8*'Parametros'!$B$12,24*BA184,300,IF(AV184=0,1000000000,2*((H184-2*('Parametros'!$B$7+'Parametros'!$B$9/2))+(I184-2*('Parametros'!$B$7+'Parametros'!$B$9/2)))/8))/10,0)*10</f>
        <v>120</v>
      </c>
      <c r="AQ184" s="10">
        <f>ROUNDDOWN(MIN(IF(BC184+BD184=0,1000000000,AO184*BB184/(BC184+BD184)),IF(AK184&gt;0.33*SQRT('Parametros'!$B$2)*H184*MIN(U184,AB184)/1000,MIN(U184,AB184)/4,MIN(U184,AB184)/2),600,IF(AV184=0,1000000000,2*((H184-2*('Parametros'!$B$7+'Parametros'!$B$9/2))+(I184-2*('Parametros'!$B$7+'Parametros'!$B$9/2)))/8))/10,0)*10</f>
        <v>140</v>
      </c>
      <c r="AR184" s="10">
        <f>'Parametros'!$B$6*(AJ184+MAX(BE184-BD184,0)*'Parametros'!$B$4*MIN(U184,AB184)/1000)</f>
        <v>330.97185436697</v>
      </c>
      <c r="AS184" s="10" t="str">
        <f>IF(AND(ISERROR(SEARCH("referencia",AN184)),AM184="CUMPLE",AR184&gt;=AI184),"CUMPLE","NO CUMPLE")</f>
        <v>CUMPLE</v>
      </c>
      <c r="AT184" s="10">
        <f>'Parametros'!$B$6*0.083*SQRT('Parametros'!$B$2)*(H184*I184)^2/(2*(H184+I184))/1000000</f>
        <v>10.0887830333379</v>
      </c>
      <c r="AU184" s="10" t="str">
        <f>IF(Q184&lt;=AT184,"DESPRECIABLE","DISEÑAR")</f>
        <v>DESPRECIABLE</v>
      </c>
      <c r="AV184" s="10">
        <f>IF(Q184&lt;=AT184,0,Q184*1000000/('Parametros'!$B$6*2*0.85*(H184-2*('Parametros'!$B$7+'Parametros'!$B$9/2))*(I184-2*('Parametros'!$B$7+'Parametros'!$B$9/2))*'Parametros'!$B$4))</f>
        <v>0</v>
      </c>
      <c r="AW184" s="10">
        <f>AV184*2*((H184-2*('Parametros'!$B$7+'Parametros'!$B$9/2))+(I184-2*('Parametros'!$B$7+'Parametros'!$B$9/2)))*'Parametros'!$B$4/'Parametros'!$B$3</f>
        <v>0</v>
      </c>
      <c r="AX184" s="31" t="n">
        <v>0</v>
      </c>
      <c r="AY184" s="10" t="str">
        <f>IF(AV184=0,"DESPRECIABLE",IF(AND(ISERROR(SEARCH("referencia",AN184)),BB184/AP184&gt;=AV184,BI184&gt;=AW184,BH184="CUMPLE"),"CUMPLE","NO CUMPLE"))</f>
        <v>DESPRECIABLE</v>
      </c>
      <c r="AZ184" s="10" t="str">
        <f>IF(AND(X184="CUMPLE",AE184="CUMPLE",AS184="CUMPLE",OR(AY184="CUMPLE",AY184="DESPRECIABLE"),BH184="CUMPLE",BJ184="CUMPLE"),"CUMPLE","NO CUMPLE")</f>
        <v>CUMPLE</v>
      </c>
      <c r="BA184" s="32" t="n">
        <v>9.5</v>
      </c>
      <c r="BB184" s="32" t="n">
        <v>71</v>
      </c>
      <c r="BC184" s="10">
        <f>MAX(IF(AK184=0,0,AK184*1000/('Parametros'!$B$4*MIN(U184,AB184))),MAX(0.062*SQRT('Parametros'!$B$2)*H184/'Parametros'!$B$4,0.35*H184/'Parametros'!$B$4))</f>
        <v>0.979993597811348</v>
      </c>
      <c r="BD184" s="10">
        <f>2*AV184</f>
        <v>0</v>
      </c>
      <c r="BE184" s="10">
        <f>AO184*BB184/AP184</f>
        <v>1.18333333333333</v>
      </c>
      <c r="BF184" s="10">
        <f>SQRT((AI184*1000/(H184*MIN(U184,AB184)))^2+(Q184*1000000*2*((H184-2*('Parametros'!$B$7+'Parametros'!$B$9/2))+(I184-2*('Parametros'!$B$7+'Parametros'!$B$9/2)))/(1.7*((H184-2*('Parametros'!$B$7+'Parametros'!$B$9/2))*(I184-2*('Parametros'!$B$7+'Parametros'!$B$9/2)))^2))^2)</f>
        <v>1.37375053863539</v>
      </c>
      <c r="BG184" s="10">
        <f>'Parametros'!$B$6*(AJ184*1000/(H184*MIN(U184,AB184))+0.66*SQRT('Parametros'!$B$2))</f>
        <v>3.29396038227542</v>
      </c>
      <c r="BH184" s="10" t="str">
        <f>IF(BF184&lt;=BG184,"CUMPLE","NO CUMPLE")</f>
        <v>CUMPLE</v>
      </c>
      <c r="BI184" s="10">
        <f>AX184*'Parametros'!$B$8</f>
        <v>0</v>
      </c>
      <c r="BJ184" s="10" t="str">
        <f>IF(BI184&gt;=AW184,"CUMPLE","NO CUMPLE")</f>
        <v>CUMPLE</v>
      </c>
    </row>
    <row r="185">
      <c r="A185" s="20" t="inlineStr">
        <is>
          <t>VC6</t>
        </is>
      </c>
      <c r="B185" s="20" t="inlineStr">
        <is>
          <t>838</t>
        </is>
      </c>
      <c r="C185" s="10" t="n">
        <v>1</v>
      </c>
      <c r="D185" s="10" t="n">
        <v>3.3</v>
      </c>
      <c r="E185" s="10" t="n">
        <v>3.3</v>
      </c>
      <c r="F185" s="10" t="n">
        <v>450</v>
      </c>
      <c r="G185" s="10" t="n">
        <v>550</v>
      </c>
      <c r="H185" s="17" t="n">
        <v>450</v>
      </c>
      <c r="I185" s="17" t="n">
        <v>550</v>
      </c>
      <c r="J185" s="30" t="n">
        <v>130.8359</v>
      </c>
      <c r="K185" s="10" t="inlineStr">
        <is>
          <t>838</t>
        </is>
      </c>
      <c r="L185" s="30" t="n">
        <v>107.5524</v>
      </c>
      <c r="M185" s="10" t="inlineStr">
        <is>
          <t>838</t>
        </is>
      </c>
      <c r="N185" s="30" t="n">
        <v>78.063</v>
      </c>
      <c r="O185" s="30" t="n">
        <v>320.503</v>
      </c>
      <c r="P185" s="10" t="inlineStr">
        <is>
          <t>838</t>
        </is>
      </c>
      <c r="Q185" s="30" t="n">
        <v>73.5684</v>
      </c>
      <c r="R185" s="10">
        <f>MAX(MAX(1.4/'Parametros'!$B$3,0.25*SQRT('Parametros'!$B$2)/'Parametros'!$B$3)*H185*U185,(0.85*'Parametros'!$B$2/'Parametros'!$B$3)*(1-SQRT(1-2*(J185*1000000/('Parametros'!$B$5*H185*U185^2))/(0.85*'Parametros'!$B$2)))*H185*U185)</f>
        <v>734.025</v>
      </c>
      <c r="S185" s="31" t="n">
        <v>4</v>
      </c>
      <c r="T185" s="32" t="n">
        <v>1</v>
      </c>
      <c r="U185" s="10">
        <f>IF(T185=1,I185-('Parametros'!$B$7+'Parametros'!$B$9+'Parametros'!$B$12/2),I185-(ROUNDUP(S185/2,0)*('Parametros'!$B$7+'Parametros'!$B$9+'Parametros'!$B$12/2)+ROUNDDOWN(S185/2,0)*('Parametros'!$B$7+'Parametros'!$B$9+'Parametros'!$B$12/2+'Parametros'!$B$12+'Parametros'!$B$10))/S185)</f>
        <v>489.35</v>
      </c>
      <c r="V185" s="10">
        <f>S185*'Parametros'!$B$8</f>
        <v>796</v>
      </c>
      <c r="W185" s="10">
        <f>'Parametros'!$B$5*V185*'Parametros'!$B$3*(U185-(V185*'Parametros'!$B$3/(0.85*'Parametros'!$B$2*H185))/2)/1000000</f>
        <v>142.543330094118</v>
      </c>
      <c r="X185" s="10" t="str">
        <f>IF(W185&gt;=J185,"CUMPLE","NO CUMPLE")</f>
        <v>CUMPLE</v>
      </c>
      <c r="Y185" s="10">
        <f>MAX(MAX(1.4/'Parametros'!$B$3,0.25*SQRT('Parametros'!$B$2)/'Parametros'!$B$3)*H185*AB185,(0.85*'Parametros'!$B$2/'Parametros'!$B$3)*(1-SQRT(1-2*(L185*1000000/('Parametros'!$B$5*H185*AB185^2))/(0.85*'Parametros'!$B$2)))*H185*AB185)</f>
        <v>734.025</v>
      </c>
      <c r="Z185" s="31" t="n">
        <v>4</v>
      </c>
      <c r="AA185" s="32" t="n">
        <v>1</v>
      </c>
      <c r="AB185" s="10">
        <f>IF(AA185=1,I185-('Parametros'!$B$7+'Parametros'!$B$9+'Parametros'!$B$12/2),I185-(ROUNDUP(Z185/2,0)*('Parametros'!$B$7+'Parametros'!$B$9+'Parametros'!$B$12/2)+ROUNDDOWN(Z185/2,0)*('Parametros'!$B$7+'Parametros'!$B$9+'Parametros'!$B$12/2+'Parametros'!$B$12+'Parametros'!$B$10))/Z185)</f>
        <v>489.35</v>
      </c>
      <c r="AC185" s="10">
        <f>Z185*'Parametros'!$B$8</f>
        <v>796</v>
      </c>
      <c r="AD185" s="10">
        <f>'Parametros'!$B$5*AC185*'Parametros'!$B$3*(AB185-(AC185*'Parametros'!$B$3/(0.85*'Parametros'!$B$2*H185))/2)/1000000</f>
        <v>142.543330094118</v>
      </c>
      <c r="AE185" s="10" t="str">
        <f>IF(AD185&gt;=L185,"CUMPLE","NO CUMPLE")</f>
        <v>CUMPLE</v>
      </c>
      <c r="AF185" s="10">
        <f>V185*1.25*'Parametros'!$B$3*(U185-(V185*1.25*'Parametros'!$B$3/(0.85*'Parametros'!$B$2*H185))/2)/1000000</f>
        <v>196.346217941176</v>
      </c>
      <c r="AG185" s="10">
        <f>AC185*1.25*'Parametros'!$B$3*(AB185-(AC185*1.25*'Parametros'!$B$3/(0.85*'Parametros'!$B$2*H185))/2)/1000000</f>
        <v>196.346217941176</v>
      </c>
      <c r="AH185" s="10">
        <f>N185+(AF185+AG185)/D185</f>
        <v>197.060707843137</v>
      </c>
      <c r="AI185" s="10">
        <f>MAX(O185,AH185)</f>
        <v>320.503</v>
      </c>
      <c r="AJ185" s="10">
        <f>0.17*SQRT('Parametros'!$B$2)*H185*MIN(U185,AB185)/1000</f>
        <v>198.088855822627</v>
      </c>
      <c r="AK185" s="10">
        <f>MAX(AI185/'Parametros'!$B$6-AJ185,0)</f>
        <v>229.248477510706</v>
      </c>
      <c r="AL185" s="10">
        <f>0.66*SQRT('Parametros'!$B$2)*H185*MIN(U185,AB185)/1000</f>
        <v>769.050852017258</v>
      </c>
      <c r="AM185" s="10" t="str">
        <f>IF(AK185&lt;=AL185,"CUMPLE","NO CUMPLE")</f>
        <v>CUMPLE</v>
      </c>
      <c r="AN185" s="17" t="inlineStr">
        <is>
          <t>Nº4 cerrado</t>
        </is>
      </c>
      <c r="AO185" s="31" t="n">
        <v>2</v>
      </c>
      <c r="AP185" s="10">
        <f>ROUNDDOWN(MIN(IF(BC185+BD185=0,1000000000,AO185*BB185/(BC185+BD185)),MIN(U185,AB185)/4,8*'Parametros'!$B$12,24*BA185,300,IF(AV185=0,1000000000,2*((H185-2*('Parametros'!$B$7+'Parametros'!$B$9/2))+(I185-2*('Parametros'!$B$7+'Parametros'!$B$9/2)))/8))/10,0)*10</f>
        <v>90</v>
      </c>
      <c r="AQ185" s="10">
        <f>ROUNDDOWN(MIN(IF(BC185+BD185=0,1000000000,AO185*BB185/(BC185+BD185)),IF(AK185&gt;0.33*SQRT('Parametros'!$B$2)*H185*MIN(U185,AB185)/1000,MIN(U185,AB185)/4,MIN(U185,AB185)/2),600,IF(AV185=0,1000000000,2*((H185-2*('Parametros'!$B$7+'Parametros'!$B$9/2))+(I185-2*('Parametros'!$B$7+'Parametros'!$B$9/2)))/8))/10,0)*10</f>
        <v>90</v>
      </c>
      <c r="AR185" s="10">
        <f>'Parametros'!$B$6*(AJ185+MAX(BE185-BD185,0)*'Parametros'!$B$4*MIN(U185,AB185)/1000)</f>
        <v>331.236105829905</v>
      </c>
      <c r="AS185" s="10" t="str">
        <f>IF(AND(ISERROR(SEARCH("referencia",AN185)),AM185="CUMPLE",AR185&gt;=AI185),"CUMPLE","NO CUMPLE")</f>
        <v>CUMPLE</v>
      </c>
      <c r="AT185" s="10">
        <f>'Parametros'!$B$6*0.083*SQRT('Parametros'!$B$2)*(H185*I185)^2/(2*(H185+I185))/1000000</f>
        <v>10.0887830333379</v>
      </c>
      <c r="AU185" s="10" t="str">
        <f>IF(Q185&lt;=AT185,"DESPRECIABLE","DISEÑAR")</f>
        <v>DISEÑAR</v>
      </c>
      <c r="AV185" s="10">
        <f>IF(Q185&lt;=AT185,0,Q185*1000000/('Parametros'!$B$6*2*0.85*(H185-2*('Parametros'!$B$7+'Parametros'!$B$9/2))*(I185-2*('Parametros'!$B$7+'Parametros'!$B$9/2))*'Parametros'!$B$4))</f>
        <v>0.840809515820517</v>
      </c>
      <c r="AW185" s="10">
        <f>AV185*2*((H185-2*('Parametros'!$B$7+'Parametros'!$B$9/2))+(I185-2*('Parametros'!$B$7+'Parametros'!$B$9/2)))*'Parametros'!$B$4/'Parametros'!$B$3</f>
        <v>1369.84686317479</v>
      </c>
      <c r="AX185" s="31" t="n">
        <v>8</v>
      </c>
      <c r="AY185" s="10" t="str">
        <f>IF(AV185=0,"DESPRECIABLE",IF(AND(ISERROR(SEARCH("referencia",AN185)),BB185/AP185&gt;=AV185,BI185&gt;=AW185,BH185="CUMPLE"),"CUMPLE","NO CUMPLE"))</f>
        <v>CUMPLE</v>
      </c>
      <c r="AZ185" s="10" t="str">
        <f>IF(AND(X185="CUMPLE",AE185="CUMPLE",AS185="CUMPLE",OR(AY185="CUMPLE",AY185="DESPRECIABLE"),BH185="CUMPLE",BJ185="CUMPLE"),"CUMPLE","NO CUMPLE")</f>
        <v>CUMPLE</v>
      </c>
      <c r="BA185" s="32" t="n">
        <v>12.7</v>
      </c>
      <c r="BB185" s="32" t="n">
        <v>129</v>
      </c>
      <c r="BC185" s="10">
        <f>MAX(IF(AK185=0,0,AK185*1000/('Parametros'!$B$4*MIN(U185,AB185))),MAX(0.062*SQRT('Parametros'!$B$2)*H185/'Parametros'!$B$4,0.35*H185/'Parametros'!$B$4))</f>
        <v>1.11541781620277</v>
      </c>
      <c r="BD185" s="10">
        <f>2*AV185</f>
        <v>1.68161903164103</v>
      </c>
      <c r="BE185" s="10">
        <f>AO185*BB185/AP185</f>
        <v>2.86666666666667</v>
      </c>
      <c r="BF185" s="10">
        <f>SQRT((AI185*1000/(H185*MIN(U185,AB185)))^2+(Q185*1000000*2*((H185-2*('Parametros'!$B$7+'Parametros'!$B$9/2))+(I185-2*('Parametros'!$B$7+'Parametros'!$B$9/2)))/(1.7*((H185-2*('Parametros'!$B$7+'Parametros'!$B$9/2))*(I185-2*('Parametros'!$B$7+'Parametros'!$B$9/2)))^2))^2)</f>
        <v>3.01539354361117</v>
      </c>
      <c r="BG185" s="10">
        <f>'Parametros'!$B$6*(AJ185*1000/(H185*MIN(U185,AB185))+0.66*SQRT('Parametros'!$B$2))</f>
        <v>3.29396038227542</v>
      </c>
      <c r="BH185" s="10" t="str">
        <f>IF(BF185&lt;=BG185,"CUMPLE","NO CUMPLE")</f>
        <v>CUMPLE</v>
      </c>
      <c r="BI185" s="10">
        <f>AX185*'Parametros'!$B$8</f>
        <v>1592</v>
      </c>
      <c r="BJ185" s="10" t="str">
        <f>IF(BI185&gt;=AW185,"CUMPLE","NO CUMPLE")</f>
        <v>CUMPLE</v>
      </c>
    </row>
    <row r="186">
      <c r="A186" s="20" t="inlineStr">
        <is>
          <t>VC6</t>
        </is>
      </c>
      <c r="B186" s="20" t="inlineStr">
        <is>
          <t>839</t>
        </is>
      </c>
      <c r="C186" s="10" t="n">
        <v>1</v>
      </c>
      <c r="D186" s="10" t="n">
        <v>3.3</v>
      </c>
      <c r="E186" s="10" t="n">
        <v>3.3</v>
      </c>
      <c r="F186" s="10" t="n">
        <v>450</v>
      </c>
      <c r="G186" s="10" t="n">
        <v>550</v>
      </c>
      <c r="H186" s="17" t="n">
        <v>450</v>
      </c>
      <c r="I186" s="17" t="n">
        <v>550</v>
      </c>
      <c r="J186" s="30" t="n">
        <v>130.8508</v>
      </c>
      <c r="K186" s="10" t="inlineStr">
        <is>
          <t>839</t>
        </is>
      </c>
      <c r="L186" s="30" t="n">
        <v>107.5433</v>
      </c>
      <c r="M186" s="10" t="inlineStr">
        <is>
          <t>839</t>
        </is>
      </c>
      <c r="N186" s="30" t="n">
        <v>78.071</v>
      </c>
      <c r="O186" s="30" t="n">
        <v>320.51</v>
      </c>
      <c r="P186" s="10" t="inlineStr">
        <is>
          <t>839</t>
        </is>
      </c>
      <c r="Q186" s="30" t="n">
        <v>73.5684</v>
      </c>
      <c r="R186" s="10">
        <f>MAX(MAX(1.4/'Parametros'!$B$3,0.25*SQRT('Parametros'!$B$2)/'Parametros'!$B$3)*H186*U186,(0.85*'Parametros'!$B$2/'Parametros'!$B$3)*(1-SQRT(1-2*(J186*1000000/('Parametros'!$B$5*H186*U186^2))/(0.85*'Parametros'!$B$2)))*H186*U186)</f>
        <v>734.025</v>
      </c>
      <c r="S186" s="31" t="n">
        <v>4</v>
      </c>
      <c r="T186" s="32" t="n">
        <v>1</v>
      </c>
      <c r="U186" s="10">
        <f>IF(T186=1,I186-('Parametros'!$B$7+'Parametros'!$B$9+'Parametros'!$B$12/2),I186-(ROUNDUP(S186/2,0)*('Parametros'!$B$7+'Parametros'!$B$9+'Parametros'!$B$12/2)+ROUNDDOWN(S186/2,0)*('Parametros'!$B$7+'Parametros'!$B$9+'Parametros'!$B$12/2+'Parametros'!$B$12+'Parametros'!$B$10))/S186)</f>
        <v>489.35</v>
      </c>
      <c r="V186" s="10">
        <f>S186*'Parametros'!$B$8</f>
        <v>796</v>
      </c>
      <c r="W186" s="10">
        <f>'Parametros'!$B$5*V186*'Parametros'!$B$3*(U186-(V186*'Parametros'!$B$3/(0.85*'Parametros'!$B$2*H186))/2)/1000000</f>
        <v>142.543330094118</v>
      </c>
      <c r="X186" s="10" t="str">
        <f>IF(W186&gt;=J186,"CUMPLE","NO CUMPLE")</f>
        <v>CUMPLE</v>
      </c>
      <c r="Y186" s="10">
        <f>MAX(MAX(1.4/'Parametros'!$B$3,0.25*SQRT('Parametros'!$B$2)/'Parametros'!$B$3)*H186*AB186,(0.85*'Parametros'!$B$2/'Parametros'!$B$3)*(1-SQRT(1-2*(L186*1000000/('Parametros'!$B$5*H186*AB186^2))/(0.85*'Parametros'!$B$2)))*H186*AB186)</f>
        <v>734.025</v>
      </c>
      <c r="Z186" s="31" t="n">
        <v>4</v>
      </c>
      <c r="AA186" s="32" t="n">
        <v>1</v>
      </c>
      <c r="AB186" s="10">
        <f>IF(AA186=1,I186-('Parametros'!$B$7+'Parametros'!$B$9+'Parametros'!$B$12/2),I186-(ROUNDUP(Z186/2,0)*('Parametros'!$B$7+'Parametros'!$B$9+'Parametros'!$B$12/2)+ROUNDDOWN(Z186/2,0)*('Parametros'!$B$7+'Parametros'!$B$9+'Parametros'!$B$12/2+'Parametros'!$B$12+'Parametros'!$B$10))/Z186)</f>
        <v>489.35</v>
      </c>
      <c r="AC186" s="10">
        <f>Z186*'Parametros'!$B$8</f>
        <v>796</v>
      </c>
      <c r="AD186" s="10">
        <f>'Parametros'!$B$5*AC186*'Parametros'!$B$3*(AB186-(AC186*'Parametros'!$B$3/(0.85*'Parametros'!$B$2*H186))/2)/1000000</f>
        <v>142.543330094118</v>
      </c>
      <c r="AE186" s="10" t="str">
        <f>IF(AD186&gt;=L186,"CUMPLE","NO CUMPLE")</f>
        <v>CUMPLE</v>
      </c>
      <c r="AF186" s="10">
        <f>V186*1.25*'Parametros'!$B$3*(U186-(V186*1.25*'Parametros'!$B$3/(0.85*'Parametros'!$B$2*H186))/2)/1000000</f>
        <v>196.346217941176</v>
      </c>
      <c r="AG186" s="10">
        <f>AC186*1.25*'Parametros'!$B$3*(AB186-(AC186*1.25*'Parametros'!$B$3/(0.85*'Parametros'!$B$2*H186))/2)/1000000</f>
        <v>196.346217941176</v>
      </c>
      <c r="AH186" s="10">
        <f>N186+(AF186+AG186)/D186</f>
        <v>197.068707843137</v>
      </c>
      <c r="AI186" s="10">
        <f>MAX(O186,AH186)</f>
        <v>320.51</v>
      </c>
      <c r="AJ186" s="10">
        <f>0.17*SQRT('Parametros'!$B$2)*H186*MIN(U186,AB186)/1000</f>
        <v>198.088855822627</v>
      </c>
      <c r="AK186" s="10">
        <f>MAX(AI186/'Parametros'!$B$6-AJ186,0)</f>
        <v>229.25781084404</v>
      </c>
      <c r="AL186" s="10">
        <f>0.66*SQRT('Parametros'!$B$2)*H186*MIN(U186,AB186)/1000</f>
        <v>769.050852017258</v>
      </c>
      <c r="AM186" s="10" t="str">
        <f>IF(AK186&lt;=AL186,"CUMPLE","NO CUMPLE")</f>
        <v>CUMPLE</v>
      </c>
      <c r="AN186" s="17" t="inlineStr">
        <is>
          <t>Nº4 cerrado</t>
        </is>
      </c>
      <c r="AO186" s="31" t="n">
        <v>2</v>
      </c>
      <c r="AP186" s="10">
        <f>ROUNDDOWN(MIN(IF(BC186+BD186=0,1000000000,AO186*BB186/(BC186+BD186)),MIN(U186,AB186)/4,8*'Parametros'!$B$12,24*BA186,300,IF(AV186=0,1000000000,2*((H186-2*('Parametros'!$B$7+'Parametros'!$B$9/2))+(I186-2*('Parametros'!$B$7+'Parametros'!$B$9/2)))/8))/10,0)*10</f>
        <v>90</v>
      </c>
      <c r="AQ186" s="10">
        <f>ROUNDDOWN(MIN(IF(BC186+BD186=0,1000000000,AO186*BB186/(BC186+BD186)),IF(AK186&gt;0.33*SQRT('Parametros'!$B$2)*H186*MIN(U186,AB186)/1000,MIN(U186,AB186)/4,MIN(U186,AB186)/2),600,IF(AV186=0,1000000000,2*((H186-2*('Parametros'!$B$7+'Parametros'!$B$9/2))+(I186-2*('Parametros'!$B$7+'Parametros'!$B$9/2)))/8))/10,0)*10</f>
        <v>90</v>
      </c>
      <c r="AR186" s="10">
        <f>'Parametros'!$B$6*(AJ186+MAX(BE186-BD186,0)*'Parametros'!$B$4*MIN(U186,AB186)/1000)</f>
        <v>331.236105829905</v>
      </c>
      <c r="AS186" s="10" t="str">
        <f>IF(AND(ISERROR(SEARCH("referencia",AN186)),AM186="CUMPLE",AR186&gt;=AI186),"CUMPLE","NO CUMPLE")</f>
        <v>CUMPLE</v>
      </c>
      <c r="AT186" s="10">
        <f>'Parametros'!$B$6*0.083*SQRT('Parametros'!$B$2)*(H186*I186)^2/(2*(H186+I186))/1000000</f>
        <v>10.0887830333379</v>
      </c>
      <c r="AU186" s="10" t="str">
        <f>IF(Q186&lt;=AT186,"DESPRECIABLE","DISEÑAR")</f>
        <v>DISEÑAR</v>
      </c>
      <c r="AV186" s="10">
        <f>IF(Q186&lt;=AT186,0,Q186*1000000/('Parametros'!$B$6*2*0.85*(H186-2*('Parametros'!$B$7+'Parametros'!$B$9/2))*(I186-2*('Parametros'!$B$7+'Parametros'!$B$9/2))*'Parametros'!$B$4))</f>
        <v>0.840809515820517</v>
      </c>
      <c r="AW186" s="10">
        <f>AV186*2*((H186-2*('Parametros'!$B$7+'Parametros'!$B$9/2))+(I186-2*('Parametros'!$B$7+'Parametros'!$B$9/2)))*'Parametros'!$B$4/'Parametros'!$B$3</f>
        <v>1369.84686317479</v>
      </c>
      <c r="AX186" s="31" t="n">
        <v>8</v>
      </c>
      <c r="AY186" s="10" t="str">
        <f>IF(AV186=0,"DESPRECIABLE",IF(AND(ISERROR(SEARCH("referencia",AN186)),BB186/AP186&gt;=AV186,BI186&gt;=AW186,BH186="CUMPLE"),"CUMPLE","NO CUMPLE"))</f>
        <v>CUMPLE</v>
      </c>
      <c r="AZ186" s="10" t="str">
        <f>IF(AND(X186="CUMPLE",AE186="CUMPLE",AS186="CUMPLE",OR(AY186="CUMPLE",AY186="DESPRECIABLE"),BH186="CUMPLE",BJ186="CUMPLE"),"CUMPLE","NO CUMPLE")</f>
        <v>CUMPLE</v>
      </c>
      <c r="BA186" s="32" t="n">
        <v>12.7</v>
      </c>
      <c r="BB186" s="32" t="n">
        <v>129</v>
      </c>
      <c r="BC186" s="10">
        <f>MAX(IF(AK186=0,0,AK186*1000/('Parametros'!$B$4*MIN(U186,AB186))),MAX(0.062*SQRT('Parametros'!$B$2)*H186/'Parametros'!$B$4,0.35*H186/'Parametros'!$B$4))</f>
        <v>1.11546322791672</v>
      </c>
      <c r="BD186" s="10">
        <f>2*AV186</f>
        <v>1.68161903164103</v>
      </c>
      <c r="BE186" s="10">
        <f>AO186*BB186/AP186</f>
        <v>2.86666666666667</v>
      </c>
      <c r="BF186" s="10">
        <f>SQRT((AI186*1000/(H186*MIN(U186,AB186)))^2+(Q186*1000000*2*((H186-2*('Parametros'!$B$7+'Parametros'!$B$9/2))+(I186-2*('Parametros'!$B$7+'Parametros'!$B$9/2)))/(1.7*((H186-2*('Parametros'!$B$7+'Parametros'!$B$9/2))*(I186-2*('Parametros'!$B$7+'Parametros'!$B$9/2)))^2))^2)</f>
        <v>3.01540888715093</v>
      </c>
      <c r="BG186" s="10">
        <f>'Parametros'!$B$6*(AJ186*1000/(H186*MIN(U186,AB186))+0.66*SQRT('Parametros'!$B$2))</f>
        <v>3.29396038227542</v>
      </c>
      <c r="BH186" s="10" t="str">
        <f>IF(BF186&lt;=BG186,"CUMPLE","NO CUMPLE")</f>
        <v>CUMPLE</v>
      </c>
      <c r="BI186" s="10">
        <f>AX186*'Parametros'!$B$8</f>
        <v>1592</v>
      </c>
      <c r="BJ186" s="10" t="str">
        <f>IF(BI186&gt;=AW186,"CUMPLE","NO CUMPLE")</f>
        <v>CUMPLE</v>
      </c>
    </row>
    <row r="187">
      <c r="A187" s="20" t="inlineStr">
        <is>
          <t>VC6</t>
        </is>
      </c>
      <c r="B187" s="20" t="inlineStr">
        <is>
          <t>840</t>
        </is>
      </c>
      <c r="C187" s="10" t="n">
        <v>1</v>
      </c>
      <c r="D187" s="10" t="n">
        <v>3.25</v>
      </c>
      <c r="E187" s="10" t="n">
        <v>3.25</v>
      </c>
      <c r="F187" s="10" t="n">
        <v>450</v>
      </c>
      <c r="G187" s="10" t="n">
        <v>550</v>
      </c>
      <c r="H187" s="17" t="n">
        <v>450</v>
      </c>
      <c r="I187" s="17" t="n">
        <v>550</v>
      </c>
      <c r="J187" s="30" t="n">
        <v>129.635</v>
      </c>
      <c r="K187" s="10" t="inlineStr">
        <is>
          <t>840</t>
        </is>
      </c>
      <c r="L187" s="30" t="n">
        <v>106.122</v>
      </c>
      <c r="M187" s="10" t="inlineStr">
        <is>
          <t>840</t>
        </is>
      </c>
      <c r="N187" s="30" t="n">
        <v>74.70699999999999</v>
      </c>
      <c r="O187" s="30" t="n">
        <v>299.623</v>
      </c>
      <c r="P187" s="10" t="inlineStr">
        <is>
          <t>840</t>
        </is>
      </c>
      <c r="Q187" s="30" t="n">
        <v>5.2711</v>
      </c>
      <c r="R187" s="10">
        <f>MAX(MAX(1.4/'Parametros'!$B$3,0.25*SQRT('Parametros'!$B$2)/'Parametros'!$B$3)*H187*U187,(0.85*'Parametros'!$B$2/'Parametros'!$B$3)*(1-SQRT(1-2*(J187*1000000/('Parametros'!$B$5*H187*U187^2))/(0.85*'Parametros'!$B$2)))*H187*U187)</f>
        <v>734.025</v>
      </c>
      <c r="S187" s="31" t="n">
        <v>4</v>
      </c>
      <c r="T187" s="32" t="n">
        <v>1</v>
      </c>
      <c r="U187" s="10">
        <f>IF(T187=1,I187-('Parametros'!$B$7+'Parametros'!$B$9+'Parametros'!$B$12/2),I187-(ROUNDUP(S187/2,0)*('Parametros'!$B$7+'Parametros'!$B$9+'Parametros'!$B$12/2)+ROUNDDOWN(S187/2,0)*('Parametros'!$B$7+'Parametros'!$B$9+'Parametros'!$B$12/2+'Parametros'!$B$12+'Parametros'!$B$10))/S187)</f>
        <v>489.35</v>
      </c>
      <c r="V187" s="10">
        <f>S187*'Parametros'!$B$8</f>
        <v>796</v>
      </c>
      <c r="W187" s="10">
        <f>'Parametros'!$B$5*V187*'Parametros'!$B$3*(U187-(V187*'Parametros'!$B$3/(0.85*'Parametros'!$B$2*H187))/2)/1000000</f>
        <v>142.543330094118</v>
      </c>
      <c r="X187" s="10" t="str">
        <f>IF(W187&gt;=J187,"CUMPLE","NO CUMPLE")</f>
        <v>CUMPLE</v>
      </c>
      <c r="Y187" s="10">
        <f>MAX(MAX(1.4/'Parametros'!$B$3,0.25*SQRT('Parametros'!$B$2)/'Parametros'!$B$3)*H187*AB187,(0.85*'Parametros'!$B$2/'Parametros'!$B$3)*(1-SQRT(1-2*(L187*1000000/('Parametros'!$B$5*H187*AB187^2))/(0.85*'Parametros'!$B$2)))*H187*AB187)</f>
        <v>734.025</v>
      </c>
      <c r="Z187" s="31" t="n">
        <v>4</v>
      </c>
      <c r="AA187" s="32" t="n">
        <v>1</v>
      </c>
      <c r="AB187" s="10">
        <f>IF(AA187=1,I187-('Parametros'!$B$7+'Parametros'!$B$9+'Parametros'!$B$12/2),I187-(ROUNDUP(Z187/2,0)*('Parametros'!$B$7+'Parametros'!$B$9+'Parametros'!$B$12/2)+ROUNDDOWN(Z187/2,0)*('Parametros'!$B$7+'Parametros'!$B$9+'Parametros'!$B$12/2+'Parametros'!$B$12+'Parametros'!$B$10))/Z187)</f>
        <v>489.35</v>
      </c>
      <c r="AC187" s="10">
        <f>Z187*'Parametros'!$B$8</f>
        <v>796</v>
      </c>
      <c r="AD187" s="10">
        <f>'Parametros'!$B$5*AC187*'Parametros'!$B$3*(AB187-(AC187*'Parametros'!$B$3/(0.85*'Parametros'!$B$2*H187))/2)/1000000</f>
        <v>142.543330094118</v>
      </c>
      <c r="AE187" s="10" t="str">
        <f>IF(AD187&gt;=L187,"CUMPLE","NO CUMPLE")</f>
        <v>CUMPLE</v>
      </c>
      <c r="AF187" s="10">
        <f>V187*1.25*'Parametros'!$B$3*(U187-(V187*1.25*'Parametros'!$B$3/(0.85*'Parametros'!$B$2*H187))/2)/1000000</f>
        <v>196.346217941176</v>
      </c>
      <c r="AG187" s="10">
        <f>AC187*1.25*'Parametros'!$B$3*(AB187-(AC187*1.25*'Parametros'!$B$3/(0.85*'Parametros'!$B$2*H187))/2)/1000000</f>
        <v>196.346217941176</v>
      </c>
      <c r="AH187" s="10">
        <f>N187+(AF187+AG187)/D187</f>
        <v>195.535441809955</v>
      </c>
      <c r="AI187" s="10">
        <f>MAX(O187,AH187)</f>
        <v>299.623</v>
      </c>
      <c r="AJ187" s="10">
        <f>0.17*SQRT('Parametros'!$B$2)*H187*MIN(U187,AB187)/1000</f>
        <v>198.088855822627</v>
      </c>
      <c r="AK187" s="10">
        <f>MAX(AI187/'Parametros'!$B$6-AJ187,0)</f>
        <v>201.408477510706</v>
      </c>
      <c r="AL187" s="10">
        <f>0.66*SQRT('Parametros'!$B$2)*H187*MIN(U187,AB187)/1000</f>
        <v>769.050852017258</v>
      </c>
      <c r="AM187" s="10" t="str">
        <f>IF(AK187&lt;=AL187,"CUMPLE","NO CUMPLE")</f>
        <v>CUMPLE</v>
      </c>
      <c r="AN187" s="17" t="inlineStr">
        <is>
          <t>Nº3 cerrado</t>
        </is>
      </c>
      <c r="AO187" s="31" t="n">
        <v>2</v>
      </c>
      <c r="AP187" s="10">
        <f>ROUNDDOWN(MIN(IF(BC187+BD187=0,1000000000,AO187*BB187/(BC187+BD187)),MIN(U187,AB187)/4,8*'Parametros'!$B$12,24*BA187,300,IF(AV187=0,1000000000,2*((H187-2*('Parametros'!$B$7+'Parametros'!$B$9/2))+(I187-2*('Parametros'!$B$7+'Parametros'!$B$9/2)))/8))/10,0)*10</f>
        <v>120</v>
      </c>
      <c r="AQ187" s="10">
        <f>ROUNDDOWN(MIN(IF(BC187+BD187=0,1000000000,AO187*BB187/(BC187+BD187)),IF(AK187&gt;0.33*SQRT('Parametros'!$B$2)*H187*MIN(U187,AB187)/1000,MIN(U187,AB187)/4,MIN(U187,AB187)/2),600,IF(AV187=0,1000000000,2*((H187-2*('Parametros'!$B$7+'Parametros'!$B$9/2))+(I187-2*('Parametros'!$B$7+'Parametros'!$B$9/2)))/8))/10,0)*10</f>
        <v>140</v>
      </c>
      <c r="AR187" s="10">
        <f>'Parametros'!$B$6*(AJ187+MAX(BE187-BD187,0)*'Parametros'!$B$4*MIN(U187,AB187)/1000)</f>
        <v>330.97185436697</v>
      </c>
      <c r="AS187" s="10" t="str">
        <f>IF(AND(ISERROR(SEARCH("referencia",AN187)),AM187="CUMPLE",AR187&gt;=AI187),"CUMPLE","NO CUMPLE")</f>
        <v>CUMPLE</v>
      </c>
      <c r="AT187" s="10">
        <f>'Parametros'!$B$6*0.083*SQRT('Parametros'!$B$2)*(H187*I187)^2/(2*(H187+I187))/1000000</f>
        <v>10.0887830333379</v>
      </c>
      <c r="AU187" s="10" t="str">
        <f>IF(Q187&lt;=AT187,"DESPRECIABLE","DISEÑAR")</f>
        <v>DESPRECIABLE</v>
      </c>
      <c r="AV187" s="10">
        <f>IF(Q187&lt;=AT187,0,Q187*1000000/('Parametros'!$B$6*2*0.85*(H187-2*('Parametros'!$B$7+'Parametros'!$B$9/2))*(I187-2*('Parametros'!$B$7+'Parametros'!$B$9/2))*'Parametros'!$B$4))</f>
        <v>0</v>
      </c>
      <c r="AW187" s="10">
        <f>AV187*2*((H187-2*('Parametros'!$B$7+'Parametros'!$B$9/2))+(I187-2*('Parametros'!$B$7+'Parametros'!$B$9/2)))*'Parametros'!$B$4/'Parametros'!$B$3</f>
        <v>0</v>
      </c>
      <c r="AX187" s="31" t="n">
        <v>0</v>
      </c>
      <c r="AY187" s="10" t="str">
        <f>IF(AV187=0,"DESPRECIABLE",IF(AND(ISERROR(SEARCH("referencia",AN187)),BB187/AP187&gt;=AV187,BI187&gt;=AW187,BH187="CUMPLE"),"CUMPLE","NO CUMPLE"))</f>
        <v>DESPRECIABLE</v>
      </c>
      <c r="AZ187" s="10" t="str">
        <f>IF(AND(X187="CUMPLE",AE187="CUMPLE",AS187="CUMPLE",OR(AY187="CUMPLE",AY187="DESPRECIABLE"),BH187="CUMPLE",BJ187="CUMPLE"),"CUMPLE","NO CUMPLE")</f>
        <v>CUMPLE</v>
      </c>
      <c r="BA187" s="32" t="n">
        <v>9.5</v>
      </c>
      <c r="BB187" s="32" t="n">
        <v>71</v>
      </c>
      <c r="BC187" s="10">
        <f>MAX(IF(AK187=0,0,AK187*1000/('Parametros'!$B$4*MIN(U187,AB187))),MAX(0.062*SQRT('Parametros'!$B$2)*H187/'Parametros'!$B$4,0.35*H187/'Parametros'!$B$4))</f>
        <v>0.979961160872811</v>
      </c>
      <c r="BD187" s="10">
        <f>2*AV187</f>
        <v>0</v>
      </c>
      <c r="BE187" s="10">
        <f>AO187*BB187/AP187</f>
        <v>1.18333333333333</v>
      </c>
      <c r="BF187" s="10">
        <f>SQRT((AI187*1000/(H187*MIN(U187,AB187)))^2+(Q187*1000000*2*((H187-2*('Parametros'!$B$7+'Parametros'!$B$9/2))+(I187-2*('Parametros'!$B$7+'Parametros'!$B$9/2)))/(1.7*((H187-2*('Parametros'!$B$7+'Parametros'!$B$9/2))*(I187-2*('Parametros'!$B$7+'Parametros'!$B$9/2)))^2))^2)</f>
        <v>1.37373299304575</v>
      </c>
      <c r="BG187" s="10">
        <f>'Parametros'!$B$6*(AJ187*1000/(H187*MIN(U187,AB187))+0.66*SQRT('Parametros'!$B$2))</f>
        <v>3.29396038227542</v>
      </c>
      <c r="BH187" s="10" t="str">
        <f>IF(BF187&lt;=BG187,"CUMPLE","NO CUMPLE")</f>
        <v>CUMPLE</v>
      </c>
      <c r="BI187" s="10">
        <f>AX187*'Parametros'!$B$8</f>
        <v>0</v>
      </c>
      <c r="BJ187" s="10" t="str">
        <f>IF(BI187&gt;=AW187,"CUMPLE","NO CUMPLE")</f>
        <v>CUMPLE</v>
      </c>
    </row>
    <row r="188">
      <c r="A188" s="20" t="inlineStr">
        <is>
          <t>VC6</t>
        </is>
      </c>
      <c r="B188" s="20" t="inlineStr">
        <is>
          <t>919</t>
        </is>
      </c>
      <c r="C188" s="10" t="n">
        <v>1</v>
      </c>
      <c r="D188" s="10" t="n">
        <v>3.25</v>
      </c>
      <c r="E188" s="10" t="n">
        <v>3.25</v>
      </c>
      <c r="F188" s="10" t="n">
        <v>450</v>
      </c>
      <c r="G188" s="10" t="n">
        <v>550</v>
      </c>
      <c r="H188" s="17" t="n">
        <v>450</v>
      </c>
      <c r="I188" s="17" t="n">
        <v>550</v>
      </c>
      <c r="J188" s="30" t="n">
        <v>85.00700000000001</v>
      </c>
      <c r="K188" s="10" t="inlineStr">
        <is>
          <t>919</t>
        </is>
      </c>
      <c r="L188" s="30" t="n">
        <v>64.1669</v>
      </c>
      <c r="M188" s="10" t="inlineStr">
        <is>
          <t>919</t>
        </is>
      </c>
      <c r="N188" s="30" t="n">
        <v>52.193</v>
      </c>
      <c r="O188" s="30" t="n">
        <v>181.611</v>
      </c>
      <c r="P188" s="10" t="inlineStr">
        <is>
          <t>919</t>
        </is>
      </c>
      <c r="Q188" s="30" t="n">
        <v>3.8661</v>
      </c>
      <c r="R188" s="10">
        <f>MAX(MAX(1.4/'Parametros'!$B$3,0.25*SQRT('Parametros'!$B$2)/'Parametros'!$B$3)*H188*U188,(0.85*'Parametros'!$B$2/'Parametros'!$B$3)*(1-SQRT(1-2*(J188*1000000/('Parametros'!$B$5*H188*U188^2))/(0.85*'Parametros'!$B$2)))*H188*U188)</f>
        <v>734.025</v>
      </c>
      <c r="S188" s="31" t="n">
        <v>4</v>
      </c>
      <c r="T188" s="32" t="n">
        <v>1</v>
      </c>
      <c r="U188" s="10">
        <f>IF(T188=1,I188-('Parametros'!$B$7+'Parametros'!$B$9+'Parametros'!$B$12/2),I188-(ROUNDUP(S188/2,0)*('Parametros'!$B$7+'Parametros'!$B$9+'Parametros'!$B$12/2)+ROUNDDOWN(S188/2,0)*('Parametros'!$B$7+'Parametros'!$B$9+'Parametros'!$B$12/2+'Parametros'!$B$12+'Parametros'!$B$10))/S188)</f>
        <v>489.35</v>
      </c>
      <c r="V188" s="10">
        <f>S188*'Parametros'!$B$8</f>
        <v>796</v>
      </c>
      <c r="W188" s="10">
        <f>'Parametros'!$B$5*V188*'Parametros'!$B$3*(U188-(V188*'Parametros'!$B$3/(0.85*'Parametros'!$B$2*H188))/2)/1000000</f>
        <v>142.543330094118</v>
      </c>
      <c r="X188" s="10" t="str">
        <f>IF(W188&gt;=J188,"CUMPLE","NO CUMPLE")</f>
        <v>CUMPLE</v>
      </c>
      <c r="Y188" s="10">
        <f>MAX(MAX(1.4/'Parametros'!$B$3,0.25*SQRT('Parametros'!$B$2)/'Parametros'!$B$3)*H188*AB188,(0.85*'Parametros'!$B$2/'Parametros'!$B$3)*(1-SQRT(1-2*(L188*1000000/('Parametros'!$B$5*H188*AB188^2))/(0.85*'Parametros'!$B$2)))*H188*AB188)</f>
        <v>734.025</v>
      </c>
      <c r="Z188" s="31" t="n">
        <v>4</v>
      </c>
      <c r="AA188" s="32" t="n">
        <v>1</v>
      </c>
      <c r="AB188" s="10">
        <f>IF(AA188=1,I188-('Parametros'!$B$7+'Parametros'!$B$9+'Parametros'!$B$12/2),I188-(ROUNDUP(Z188/2,0)*('Parametros'!$B$7+'Parametros'!$B$9+'Parametros'!$B$12/2)+ROUNDDOWN(Z188/2,0)*('Parametros'!$B$7+'Parametros'!$B$9+'Parametros'!$B$12/2+'Parametros'!$B$12+'Parametros'!$B$10))/Z188)</f>
        <v>489.35</v>
      </c>
      <c r="AC188" s="10">
        <f>Z188*'Parametros'!$B$8</f>
        <v>796</v>
      </c>
      <c r="AD188" s="10">
        <f>'Parametros'!$B$5*AC188*'Parametros'!$B$3*(AB188-(AC188*'Parametros'!$B$3/(0.85*'Parametros'!$B$2*H188))/2)/1000000</f>
        <v>142.543330094118</v>
      </c>
      <c r="AE188" s="10" t="str">
        <f>IF(AD188&gt;=L188,"CUMPLE","NO CUMPLE")</f>
        <v>CUMPLE</v>
      </c>
      <c r="AF188" s="10">
        <f>V188*1.25*'Parametros'!$B$3*(U188-(V188*1.25*'Parametros'!$B$3/(0.85*'Parametros'!$B$2*H188))/2)/1000000</f>
        <v>196.346217941176</v>
      </c>
      <c r="AG188" s="10">
        <f>AC188*1.25*'Parametros'!$B$3*(AB188-(AC188*1.25*'Parametros'!$B$3/(0.85*'Parametros'!$B$2*H188))/2)/1000000</f>
        <v>196.346217941176</v>
      </c>
      <c r="AH188" s="10">
        <f>N188+(AF188+AG188)/D188</f>
        <v>173.021441809955</v>
      </c>
      <c r="AI188" s="10">
        <f>MAX(O188,AH188)</f>
        <v>181.611</v>
      </c>
      <c r="AJ188" s="10">
        <f>0.17*SQRT('Parametros'!$B$2)*H188*MIN(U188,AB188)/1000</f>
        <v>198.088855822627</v>
      </c>
      <c r="AK188" s="10">
        <f>MAX(AI188/'Parametros'!$B$6-AJ188,0)</f>
        <v>44.059144177373</v>
      </c>
      <c r="AL188" s="10">
        <f>0.66*SQRT('Parametros'!$B$2)*H188*MIN(U188,AB188)/1000</f>
        <v>769.050852017258</v>
      </c>
      <c r="AM188" s="10" t="str">
        <f>IF(AK188&lt;=AL188,"CUMPLE","NO CUMPLE")</f>
        <v>CUMPLE</v>
      </c>
      <c r="AN188" s="17" t="inlineStr">
        <is>
          <t>Nº3 cerrado</t>
        </is>
      </c>
      <c r="AO188" s="31" t="n">
        <v>2</v>
      </c>
      <c r="AP188" s="10">
        <f>ROUNDDOWN(MIN(IF(BC188+BD188=0,1000000000,AO188*BB188/(BC188+BD188)),MIN(U188,AB188)/4,8*'Parametros'!$B$12,24*BA188,300,IF(AV188=0,1000000000,2*((H188-2*('Parametros'!$B$7+'Parametros'!$B$9/2))+(I188-2*('Parametros'!$B$7+'Parametros'!$B$9/2)))/8))/10,0)*10</f>
        <v>120</v>
      </c>
      <c r="AQ188" s="10">
        <f>ROUNDDOWN(MIN(IF(BC188+BD188=0,1000000000,AO188*BB188/(BC188+BD188)),IF(AK188&gt;0.33*SQRT('Parametros'!$B$2)*H188*MIN(U188,AB188)/1000,MIN(U188,AB188)/4,MIN(U188,AB188)/2),600,IF(AV188=0,1000000000,2*((H188-2*('Parametros'!$B$7+'Parametros'!$B$9/2))+(I188-2*('Parametros'!$B$7+'Parametros'!$B$9/2)))/8))/10,0)*10</f>
        <v>240</v>
      </c>
      <c r="AR188" s="10">
        <f>'Parametros'!$B$6*(AJ188+MAX(BE188-BD188,0)*'Parametros'!$B$4*MIN(U188,AB188)/1000)</f>
        <v>330.97185436697</v>
      </c>
      <c r="AS188" s="10" t="str">
        <f>IF(AND(ISERROR(SEARCH("referencia",AN188)),AM188="CUMPLE",AR188&gt;=AI188),"CUMPLE","NO CUMPLE")</f>
        <v>CUMPLE</v>
      </c>
      <c r="AT188" s="10">
        <f>'Parametros'!$B$6*0.083*SQRT('Parametros'!$B$2)*(H188*I188)^2/(2*(H188+I188))/1000000</f>
        <v>10.0887830333379</v>
      </c>
      <c r="AU188" s="10" t="str">
        <f>IF(Q188&lt;=AT188,"DESPRECIABLE","DISEÑAR")</f>
        <v>DESPRECIABLE</v>
      </c>
      <c r="AV188" s="10">
        <f>IF(Q188&lt;=AT188,0,Q188*1000000/('Parametros'!$B$6*2*0.85*(H188-2*('Parametros'!$B$7+'Parametros'!$B$9/2))*(I188-2*('Parametros'!$B$7+'Parametros'!$B$9/2))*'Parametros'!$B$4))</f>
        <v>0</v>
      </c>
      <c r="AW188" s="10">
        <f>AV188*2*((H188-2*('Parametros'!$B$7+'Parametros'!$B$9/2))+(I188-2*('Parametros'!$B$7+'Parametros'!$B$9/2)))*'Parametros'!$B$4/'Parametros'!$B$3</f>
        <v>0</v>
      </c>
      <c r="AX188" s="31" t="n">
        <v>0</v>
      </c>
      <c r="AY188" s="10" t="str">
        <f>IF(AV188=0,"DESPRECIABLE",IF(AND(ISERROR(SEARCH("referencia",AN188)),BB188/AP188&gt;=AV188,BI188&gt;=AW188,BH188="CUMPLE"),"CUMPLE","NO CUMPLE"))</f>
        <v>DESPRECIABLE</v>
      </c>
      <c r="AZ188" s="10" t="str">
        <f>IF(AND(X188="CUMPLE",AE188="CUMPLE",AS188="CUMPLE",OR(AY188="CUMPLE",AY188="DESPRECIABLE"),BH188="CUMPLE",BJ188="CUMPLE"),"CUMPLE","NO CUMPLE")</f>
        <v>CUMPLE</v>
      </c>
      <c r="BA188" s="32" t="n">
        <v>9.5</v>
      </c>
      <c r="BB188" s="32" t="n">
        <v>71</v>
      </c>
      <c r="BC188" s="10">
        <f>MAX(IF(AK188=0,0,AK188*1000/('Parametros'!$B$4*MIN(U188,AB188))),MAX(0.062*SQRT('Parametros'!$B$2)*H188/'Parametros'!$B$4,0.35*H188/'Parametros'!$B$4))</f>
        <v>0.375</v>
      </c>
      <c r="BD188" s="10">
        <f>2*AV188</f>
        <v>0</v>
      </c>
      <c r="BE188" s="10">
        <f>AO188*BB188/AP188</f>
        <v>1.18333333333333</v>
      </c>
      <c r="BF188" s="10">
        <f>SQRT((AI188*1000/(H188*MIN(U188,AB188)))^2+(Q188*1000000*2*((H188-2*('Parametros'!$B$7+'Parametros'!$B$9/2))+(I188-2*('Parametros'!$B$7+'Parametros'!$B$9/2)))/(1.7*((H188-2*('Parametros'!$B$7+'Parametros'!$B$9/2))*(I188-2*('Parametros'!$B$7+'Parametros'!$B$9/2)))^2))^2)</f>
        <v>0.836321869871423</v>
      </c>
      <c r="BG188" s="10">
        <f>'Parametros'!$B$6*(AJ188*1000/(H188*MIN(U188,AB188))+0.66*SQRT('Parametros'!$B$2))</f>
        <v>3.29396038227542</v>
      </c>
      <c r="BH188" s="10" t="str">
        <f>IF(BF188&lt;=BG188,"CUMPLE","NO CUMPLE")</f>
        <v>CUMPLE</v>
      </c>
      <c r="BI188" s="10">
        <f>AX188*'Parametros'!$B$8</f>
        <v>0</v>
      </c>
      <c r="BJ188" s="10" t="str">
        <f>IF(BI188&gt;=AW188,"CUMPLE","NO CUMPLE")</f>
        <v>CUMPLE</v>
      </c>
    </row>
    <row r="189">
      <c r="A189" s="20" t="inlineStr">
        <is>
          <t>VC6</t>
        </is>
      </c>
      <c r="B189" s="20" t="inlineStr">
        <is>
          <t>920</t>
        </is>
      </c>
      <c r="C189" s="10" t="n">
        <v>1</v>
      </c>
      <c r="D189" s="10" t="n">
        <v>3.3</v>
      </c>
      <c r="E189" s="10" t="n">
        <v>3.3</v>
      </c>
      <c r="F189" s="10" t="n">
        <v>450</v>
      </c>
      <c r="G189" s="10" t="n">
        <v>550</v>
      </c>
      <c r="H189" s="17" t="n">
        <v>450</v>
      </c>
      <c r="I189" s="17" t="n">
        <v>550</v>
      </c>
      <c r="J189" s="30" t="n">
        <v>90.2847</v>
      </c>
      <c r="K189" s="10" t="inlineStr">
        <is>
          <t>920</t>
        </is>
      </c>
      <c r="L189" s="30" t="n">
        <v>67.1096</v>
      </c>
      <c r="M189" s="10" t="inlineStr">
        <is>
          <t>920</t>
        </is>
      </c>
      <c r="N189" s="30" t="n">
        <v>57.235</v>
      </c>
      <c r="O189" s="30" t="n">
        <v>216.169</v>
      </c>
      <c r="P189" s="10" t="inlineStr">
        <is>
          <t>920</t>
        </is>
      </c>
      <c r="Q189" s="30" t="n">
        <v>38.8315</v>
      </c>
      <c r="R189" s="10">
        <f>MAX(MAX(1.4/'Parametros'!$B$3,0.25*SQRT('Parametros'!$B$2)/'Parametros'!$B$3)*H189*U189,(0.85*'Parametros'!$B$2/'Parametros'!$B$3)*(1-SQRT(1-2*(J189*1000000/('Parametros'!$B$5*H189*U189^2))/(0.85*'Parametros'!$B$2)))*H189*U189)</f>
        <v>734.025</v>
      </c>
      <c r="S189" s="31" t="n">
        <v>4</v>
      </c>
      <c r="T189" s="32" t="n">
        <v>1</v>
      </c>
      <c r="U189" s="10">
        <f>IF(T189=1,I189-('Parametros'!$B$7+'Parametros'!$B$9+'Parametros'!$B$12/2),I189-(ROUNDUP(S189/2,0)*('Parametros'!$B$7+'Parametros'!$B$9+'Parametros'!$B$12/2)+ROUNDDOWN(S189/2,0)*('Parametros'!$B$7+'Parametros'!$B$9+'Parametros'!$B$12/2+'Parametros'!$B$12+'Parametros'!$B$10))/S189)</f>
        <v>489.35</v>
      </c>
      <c r="V189" s="10">
        <f>S189*'Parametros'!$B$8</f>
        <v>796</v>
      </c>
      <c r="W189" s="10">
        <f>'Parametros'!$B$5*V189*'Parametros'!$B$3*(U189-(V189*'Parametros'!$B$3/(0.85*'Parametros'!$B$2*H189))/2)/1000000</f>
        <v>142.543330094118</v>
      </c>
      <c r="X189" s="10" t="str">
        <f>IF(W189&gt;=J189,"CUMPLE","NO CUMPLE")</f>
        <v>CUMPLE</v>
      </c>
      <c r="Y189" s="10">
        <f>MAX(MAX(1.4/'Parametros'!$B$3,0.25*SQRT('Parametros'!$B$2)/'Parametros'!$B$3)*H189*AB189,(0.85*'Parametros'!$B$2/'Parametros'!$B$3)*(1-SQRT(1-2*(L189*1000000/('Parametros'!$B$5*H189*AB189^2))/(0.85*'Parametros'!$B$2)))*H189*AB189)</f>
        <v>734.025</v>
      </c>
      <c r="Z189" s="31" t="n">
        <v>4</v>
      </c>
      <c r="AA189" s="32" t="n">
        <v>1</v>
      </c>
      <c r="AB189" s="10">
        <f>IF(AA189=1,I189-('Parametros'!$B$7+'Parametros'!$B$9+'Parametros'!$B$12/2),I189-(ROUNDUP(Z189/2,0)*('Parametros'!$B$7+'Parametros'!$B$9+'Parametros'!$B$12/2)+ROUNDDOWN(Z189/2,0)*('Parametros'!$B$7+'Parametros'!$B$9+'Parametros'!$B$12/2+'Parametros'!$B$12+'Parametros'!$B$10))/Z189)</f>
        <v>489.35</v>
      </c>
      <c r="AC189" s="10">
        <f>Z189*'Parametros'!$B$8</f>
        <v>796</v>
      </c>
      <c r="AD189" s="10">
        <f>'Parametros'!$B$5*AC189*'Parametros'!$B$3*(AB189-(AC189*'Parametros'!$B$3/(0.85*'Parametros'!$B$2*H189))/2)/1000000</f>
        <v>142.543330094118</v>
      </c>
      <c r="AE189" s="10" t="str">
        <f>IF(AD189&gt;=L189,"CUMPLE","NO CUMPLE")</f>
        <v>CUMPLE</v>
      </c>
      <c r="AF189" s="10">
        <f>V189*1.25*'Parametros'!$B$3*(U189-(V189*1.25*'Parametros'!$B$3/(0.85*'Parametros'!$B$2*H189))/2)/1000000</f>
        <v>196.346217941176</v>
      </c>
      <c r="AG189" s="10">
        <f>AC189*1.25*'Parametros'!$B$3*(AB189-(AC189*1.25*'Parametros'!$B$3/(0.85*'Parametros'!$B$2*H189))/2)/1000000</f>
        <v>196.346217941176</v>
      </c>
      <c r="AH189" s="10">
        <f>N189+(AF189+AG189)/D189</f>
        <v>176.232707843137</v>
      </c>
      <c r="AI189" s="10">
        <f>MAX(O189,AH189)</f>
        <v>216.169</v>
      </c>
      <c r="AJ189" s="10">
        <f>0.17*SQRT('Parametros'!$B$2)*H189*MIN(U189,AB189)/1000</f>
        <v>198.088855822627</v>
      </c>
      <c r="AK189" s="10">
        <f>MAX(AI189/'Parametros'!$B$6-AJ189,0)</f>
        <v>90.1364775107064</v>
      </c>
      <c r="AL189" s="10">
        <f>0.66*SQRT('Parametros'!$B$2)*H189*MIN(U189,AB189)/1000</f>
        <v>769.050852017258</v>
      </c>
      <c r="AM189" s="10" t="str">
        <f>IF(AK189&lt;=AL189,"CUMPLE","NO CUMPLE")</f>
        <v>CUMPLE</v>
      </c>
      <c r="AN189" s="17" t="inlineStr">
        <is>
          <t>Nº3 cerrado</t>
        </is>
      </c>
      <c r="AO189" s="31" t="n">
        <v>2</v>
      </c>
      <c r="AP189" s="10">
        <f>ROUNDDOWN(MIN(IF(BC189+BD189=0,1000000000,AO189*BB189/(BC189+BD189)),MIN(U189,AB189)/4,8*'Parametros'!$B$12,24*BA189,300,IF(AV189=0,1000000000,2*((H189-2*('Parametros'!$B$7+'Parametros'!$B$9/2))+(I189-2*('Parametros'!$B$7+'Parametros'!$B$9/2)))/8))/10,0)*10</f>
        <v>100</v>
      </c>
      <c r="AQ189" s="10">
        <f>ROUNDDOWN(MIN(IF(BC189+BD189=0,1000000000,AO189*BB189/(BC189+BD189)),IF(AK189&gt;0.33*SQRT('Parametros'!$B$2)*H189*MIN(U189,AB189)/1000,MIN(U189,AB189)/4,MIN(U189,AB189)/2),600,IF(AV189=0,1000000000,2*((H189-2*('Parametros'!$B$7+'Parametros'!$B$9/2))+(I189-2*('Parametros'!$B$7+'Parametros'!$B$9/2)))/8))/10,0)*10</f>
        <v>100</v>
      </c>
      <c r="AR189" s="10">
        <f>'Parametros'!$B$6*(AJ189+MAX(BE189-BD189,0)*'Parametros'!$B$4*MIN(U189,AB189)/1000)</f>
        <v>230.632572295574</v>
      </c>
      <c r="AS189" s="10" t="str">
        <f>IF(AND(ISERROR(SEARCH("referencia",AN189)),AM189="CUMPLE",AR189&gt;=AI189),"CUMPLE","NO CUMPLE")</f>
        <v>CUMPLE</v>
      </c>
      <c r="AT189" s="10">
        <f>'Parametros'!$B$6*0.083*SQRT('Parametros'!$B$2)*(H189*I189)^2/(2*(H189+I189))/1000000</f>
        <v>10.0887830333379</v>
      </c>
      <c r="AU189" s="10" t="str">
        <f>IF(Q189&lt;=AT189,"DESPRECIABLE","DISEÑAR")</f>
        <v>DISEÑAR</v>
      </c>
      <c r="AV189" s="10">
        <f>IF(Q189&lt;=AT189,0,Q189*1000000/('Parametros'!$B$6*2*0.85*(H189-2*('Parametros'!$B$7+'Parametros'!$B$9/2))*(I189-2*('Parametros'!$B$7+'Parametros'!$B$9/2))*'Parametros'!$B$4))</f>
        <v>0.443803245871657</v>
      </c>
      <c r="AW189" s="10">
        <f>AV189*2*((H189-2*('Parametros'!$B$7+'Parametros'!$B$9/2))+(I189-2*('Parametros'!$B$7+'Parametros'!$B$9/2)))*'Parametros'!$B$4/'Parametros'!$B$3</f>
        <v>723.044248174103</v>
      </c>
      <c r="AX189" s="31" t="n">
        <v>8</v>
      </c>
      <c r="AY189" s="10" t="str">
        <f>IF(AV189=0,"DESPRECIABLE",IF(AND(ISERROR(SEARCH("referencia",AN189)),BB189/AP189&gt;=AV189,BI189&gt;=AW189,BH189="CUMPLE"),"CUMPLE","NO CUMPLE"))</f>
        <v>CUMPLE</v>
      </c>
      <c r="AZ189" s="10" t="str">
        <f>IF(AND(X189="CUMPLE",AE189="CUMPLE",AS189="CUMPLE",OR(AY189="CUMPLE",AY189="DESPRECIABLE"),BH189="CUMPLE",BJ189="CUMPLE"),"CUMPLE","NO CUMPLE")</f>
        <v>CUMPLE</v>
      </c>
      <c r="BA189" s="32" t="n">
        <v>9.5</v>
      </c>
      <c r="BB189" s="32" t="n">
        <v>71</v>
      </c>
      <c r="BC189" s="10">
        <f>MAX(IF(AK189=0,0,AK189*1000/('Parametros'!$B$4*MIN(U189,AB189))),MAX(0.062*SQRT('Parametros'!$B$2)*H189/'Parametros'!$B$4,0.35*H189/'Parametros'!$B$4))</f>
        <v>0.438562707141672</v>
      </c>
      <c r="BD189" s="10">
        <f>2*AV189</f>
        <v>0.887606491743314</v>
      </c>
      <c r="BE189" s="10">
        <f>AO189*BB189/AP189</f>
        <v>1.42</v>
      </c>
      <c r="BF189" s="10">
        <f>SQRT((AI189*1000/(H189*MIN(U189,AB189)))^2+(Q189*1000000*2*((H189-2*('Parametros'!$B$7+'Parametros'!$B$9/2))+(I189-2*('Parametros'!$B$7+'Parametros'!$B$9/2)))/(1.7*((H189-2*('Parametros'!$B$7+'Parametros'!$B$9/2))*(I189-2*('Parametros'!$B$7+'Parametros'!$B$9/2)))^2))^2)</f>
        <v>1.7049047921184</v>
      </c>
      <c r="BG189" s="10">
        <f>'Parametros'!$B$6*(AJ189*1000/(H189*MIN(U189,AB189))+0.66*SQRT('Parametros'!$B$2))</f>
        <v>3.29396038227542</v>
      </c>
      <c r="BH189" s="10" t="str">
        <f>IF(BF189&lt;=BG189,"CUMPLE","NO CUMPLE")</f>
        <v>CUMPLE</v>
      </c>
      <c r="BI189" s="10">
        <f>AX189*'Parametros'!$B$8</f>
        <v>1592</v>
      </c>
      <c r="BJ189" s="10" t="str">
        <f>IF(BI189&gt;=AW189,"CUMPLE","NO CUMPLE")</f>
        <v>CUMPLE</v>
      </c>
    </row>
    <row r="190">
      <c r="A190" s="20" t="inlineStr">
        <is>
          <t>VC6</t>
        </is>
      </c>
      <c r="B190" s="20" t="inlineStr">
        <is>
          <t>921</t>
        </is>
      </c>
      <c r="C190" s="10" t="n">
        <v>1</v>
      </c>
      <c r="D190" s="10" t="n">
        <v>3.3</v>
      </c>
      <c r="E190" s="10" t="n">
        <v>3.3</v>
      </c>
      <c r="F190" s="10" t="n">
        <v>450</v>
      </c>
      <c r="G190" s="10" t="n">
        <v>550</v>
      </c>
      <c r="H190" s="17" t="n">
        <v>450</v>
      </c>
      <c r="I190" s="17" t="n">
        <v>550</v>
      </c>
      <c r="J190" s="30" t="n">
        <v>90.2606</v>
      </c>
      <c r="K190" s="10" t="inlineStr">
        <is>
          <t>921</t>
        </is>
      </c>
      <c r="L190" s="30" t="n">
        <v>67.1237</v>
      </c>
      <c r="M190" s="10" t="inlineStr">
        <is>
          <t>921</t>
        </is>
      </c>
      <c r="N190" s="30" t="n">
        <v>57.223</v>
      </c>
      <c r="O190" s="30" t="n">
        <v>216.158</v>
      </c>
      <c r="P190" s="10" t="inlineStr">
        <is>
          <t>921</t>
        </is>
      </c>
      <c r="Q190" s="30" t="n">
        <v>38.8319</v>
      </c>
      <c r="R190" s="10">
        <f>MAX(MAX(1.4/'Parametros'!$B$3,0.25*SQRT('Parametros'!$B$2)/'Parametros'!$B$3)*H190*U190,(0.85*'Parametros'!$B$2/'Parametros'!$B$3)*(1-SQRT(1-2*(J190*1000000/('Parametros'!$B$5*H190*U190^2))/(0.85*'Parametros'!$B$2)))*H190*U190)</f>
        <v>734.025</v>
      </c>
      <c r="S190" s="31" t="n">
        <v>4</v>
      </c>
      <c r="T190" s="32" t="n">
        <v>1</v>
      </c>
      <c r="U190" s="10">
        <f>IF(T190=1,I190-('Parametros'!$B$7+'Parametros'!$B$9+'Parametros'!$B$12/2),I190-(ROUNDUP(S190/2,0)*('Parametros'!$B$7+'Parametros'!$B$9+'Parametros'!$B$12/2)+ROUNDDOWN(S190/2,0)*('Parametros'!$B$7+'Parametros'!$B$9+'Parametros'!$B$12/2+'Parametros'!$B$12+'Parametros'!$B$10))/S190)</f>
        <v>489.35</v>
      </c>
      <c r="V190" s="10">
        <f>S190*'Parametros'!$B$8</f>
        <v>796</v>
      </c>
      <c r="W190" s="10">
        <f>'Parametros'!$B$5*V190*'Parametros'!$B$3*(U190-(V190*'Parametros'!$B$3/(0.85*'Parametros'!$B$2*H190))/2)/1000000</f>
        <v>142.543330094118</v>
      </c>
      <c r="X190" s="10" t="str">
        <f>IF(W190&gt;=J190,"CUMPLE","NO CUMPLE")</f>
        <v>CUMPLE</v>
      </c>
      <c r="Y190" s="10">
        <f>MAX(MAX(1.4/'Parametros'!$B$3,0.25*SQRT('Parametros'!$B$2)/'Parametros'!$B$3)*H190*AB190,(0.85*'Parametros'!$B$2/'Parametros'!$B$3)*(1-SQRT(1-2*(L190*1000000/('Parametros'!$B$5*H190*AB190^2))/(0.85*'Parametros'!$B$2)))*H190*AB190)</f>
        <v>734.025</v>
      </c>
      <c r="Z190" s="31" t="n">
        <v>4</v>
      </c>
      <c r="AA190" s="32" t="n">
        <v>1</v>
      </c>
      <c r="AB190" s="10">
        <f>IF(AA190=1,I190-('Parametros'!$B$7+'Parametros'!$B$9+'Parametros'!$B$12/2),I190-(ROUNDUP(Z190/2,0)*('Parametros'!$B$7+'Parametros'!$B$9+'Parametros'!$B$12/2)+ROUNDDOWN(Z190/2,0)*('Parametros'!$B$7+'Parametros'!$B$9+'Parametros'!$B$12/2+'Parametros'!$B$12+'Parametros'!$B$10))/Z190)</f>
        <v>489.35</v>
      </c>
      <c r="AC190" s="10">
        <f>Z190*'Parametros'!$B$8</f>
        <v>796</v>
      </c>
      <c r="AD190" s="10">
        <f>'Parametros'!$B$5*AC190*'Parametros'!$B$3*(AB190-(AC190*'Parametros'!$B$3/(0.85*'Parametros'!$B$2*H190))/2)/1000000</f>
        <v>142.543330094118</v>
      </c>
      <c r="AE190" s="10" t="str">
        <f>IF(AD190&gt;=L190,"CUMPLE","NO CUMPLE")</f>
        <v>CUMPLE</v>
      </c>
      <c r="AF190" s="10">
        <f>V190*1.25*'Parametros'!$B$3*(U190-(V190*1.25*'Parametros'!$B$3/(0.85*'Parametros'!$B$2*H190))/2)/1000000</f>
        <v>196.346217941176</v>
      </c>
      <c r="AG190" s="10">
        <f>AC190*1.25*'Parametros'!$B$3*(AB190-(AC190*1.25*'Parametros'!$B$3/(0.85*'Parametros'!$B$2*H190))/2)/1000000</f>
        <v>196.346217941176</v>
      </c>
      <c r="AH190" s="10">
        <f>N190+(AF190+AG190)/D190</f>
        <v>176.220707843137</v>
      </c>
      <c r="AI190" s="10">
        <f>MAX(O190,AH190)</f>
        <v>216.158</v>
      </c>
      <c r="AJ190" s="10">
        <f>0.17*SQRT('Parametros'!$B$2)*H190*MIN(U190,AB190)/1000</f>
        <v>198.088855822627</v>
      </c>
      <c r="AK190" s="10">
        <f>MAX(AI190/'Parametros'!$B$6-AJ190,0)</f>
        <v>90.1218108440397</v>
      </c>
      <c r="AL190" s="10">
        <f>0.66*SQRT('Parametros'!$B$2)*H190*MIN(U190,AB190)/1000</f>
        <v>769.050852017258</v>
      </c>
      <c r="AM190" s="10" t="str">
        <f>IF(AK190&lt;=AL190,"CUMPLE","NO CUMPLE")</f>
        <v>CUMPLE</v>
      </c>
      <c r="AN190" s="17" t="inlineStr">
        <is>
          <t>Nº3 cerrado</t>
        </is>
      </c>
      <c r="AO190" s="31" t="n">
        <v>2</v>
      </c>
      <c r="AP190" s="10">
        <f>ROUNDDOWN(MIN(IF(BC190+BD190=0,1000000000,AO190*BB190/(BC190+BD190)),MIN(U190,AB190)/4,8*'Parametros'!$B$12,24*BA190,300,IF(AV190=0,1000000000,2*((H190-2*('Parametros'!$B$7+'Parametros'!$B$9/2))+(I190-2*('Parametros'!$B$7+'Parametros'!$B$9/2)))/8))/10,0)*10</f>
        <v>100</v>
      </c>
      <c r="AQ190" s="10">
        <f>ROUNDDOWN(MIN(IF(BC190+BD190=0,1000000000,AO190*BB190/(BC190+BD190)),IF(AK190&gt;0.33*SQRT('Parametros'!$B$2)*H190*MIN(U190,AB190)/1000,MIN(U190,AB190)/4,MIN(U190,AB190)/2),600,IF(AV190=0,1000000000,2*((H190-2*('Parametros'!$B$7+'Parametros'!$B$9/2))+(I190-2*('Parametros'!$B$7+'Parametros'!$B$9/2)))/8))/10,0)*10</f>
        <v>100</v>
      </c>
      <c r="AR190" s="10">
        <f>'Parametros'!$B$6*(AJ190+MAX(BE190-BD190,0)*'Parametros'!$B$4*MIN(U190,AB190)/1000)</f>
        <v>230.631162920973</v>
      </c>
      <c r="AS190" s="10" t="str">
        <f>IF(AND(ISERROR(SEARCH("referencia",AN190)),AM190="CUMPLE",AR190&gt;=AI190),"CUMPLE","NO CUMPLE")</f>
        <v>CUMPLE</v>
      </c>
      <c r="AT190" s="10">
        <f>'Parametros'!$B$6*0.083*SQRT('Parametros'!$B$2)*(H190*I190)^2/(2*(H190+I190))/1000000</f>
        <v>10.0887830333379</v>
      </c>
      <c r="AU190" s="10" t="str">
        <f>IF(Q190&lt;=AT190,"DESPRECIABLE","DISEÑAR")</f>
        <v>DISEÑAR</v>
      </c>
      <c r="AV190" s="10">
        <f>IF(Q190&lt;=AT190,0,Q190*1000000/('Parametros'!$B$6*2*0.85*(H190-2*('Parametros'!$B$7+'Parametros'!$B$9/2))*(I190-2*('Parametros'!$B$7+'Parametros'!$B$9/2))*'Parametros'!$B$4))</f>
        <v>0.443807817451388</v>
      </c>
      <c r="AW190" s="10">
        <f>AV190*2*((H190-2*('Parametros'!$B$7+'Parametros'!$B$9/2))+(I190-2*('Parametros'!$B$7+'Parametros'!$B$9/2)))*'Parametros'!$B$4/'Parametros'!$B$3</f>
        <v>723.051696191802</v>
      </c>
      <c r="AX190" s="31" t="n">
        <v>8</v>
      </c>
      <c r="AY190" s="10" t="str">
        <f>IF(AV190=0,"DESPRECIABLE",IF(AND(ISERROR(SEARCH("referencia",AN190)),BB190/AP190&gt;=AV190,BI190&gt;=AW190,BH190="CUMPLE"),"CUMPLE","NO CUMPLE"))</f>
        <v>CUMPLE</v>
      </c>
      <c r="AZ190" s="10" t="str">
        <f>IF(AND(X190="CUMPLE",AE190="CUMPLE",AS190="CUMPLE",OR(AY190="CUMPLE",AY190="DESPRECIABLE"),BH190="CUMPLE",BJ190="CUMPLE"),"CUMPLE","NO CUMPLE")</f>
        <v>CUMPLE</v>
      </c>
      <c r="BA190" s="32" t="n">
        <v>9.5</v>
      </c>
      <c r="BB190" s="32" t="n">
        <v>71</v>
      </c>
      <c r="BC190" s="10">
        <f>MAX(IF(AK190=0,0,AK190*1000/('Parametros'!$B$4*MIN(U190,AB190))),MAX(0.062*SQRT('Parametros'!$B$2)*H190/'Parametros'!$B$4,0.35*H190/'Parametros'!$B$4))</f>
        <v>0.438491345876891</v>
      </c>
      <c r="BD190" s="10">
        <f>2*AV190</f>
        <v>0.887615634902777</v>
      </c>
      <c r="BE190" s="10">
        <f>AO190*BB190/AP190</f>
        <v>1.42</v>
      </c>
      <c r="BF190" s="10">
        <f>SQRT((AI190*1000/(H190*MIN(U190,AB190)))^2+(Q190*1000000*2*((H190-2*('Parametros'!$B$7+'Parametros'!$B$9/2))+(I190-2*('Parametros'!$B$7+'Parametros'!$B$9/2)))/(1.7*((H190-2*('Parametros'!$B$7+'Parametros'!$B$9/2))*(I190-2*('Parametros'!$B$7+'Parametros'!$B$9/2)))^2))^2)</f>
        <v>1.70488777037892</v>
      </c>
      <c r="BG190" s="10">
        <f>'Parametros'!$B$6*(AJ190*1000/(H190*MIN(U190,AB190))+0.66*SQRT('Parametros'!$B$2))</f>
        <v>3.29396038227542</v>
      </c>
      <c r="BH190" s="10" t="str">
        <f>IF(BF190&lt;=BG190,"CUMPLE","NO CUMPLE")</f>
        <v>CUMPLE</v>
      </c>
      <c r="BI190" s="10">
        <f>AX190*'Parametros'!$B$8</f>
        <v>1592</v>
      </c>
      <c r="BJ190" s="10" t="str">
        <f>IF(BI190&gt;=AW190,"CUMPLE","NO CUMPLE")</f>
        <v>CUMPLE</v>
      </c>
    </row>
    <row r="191">
      <c r="A191" s="20" t="inlineStr">
        <is>
          <t>VC6</t>
        </is>
      </c>
      <c r="B191" s="20" t="inlineStr">
        <is>
          <t>922</t>
        </is>
      </c>
      <c r="C191" s="10" t="n">
        <v>1</v>
      </c>
      <c r="D191" s="10" t="n">
        <v>3.25</v>
      </c>
      <c r="E191" s="10" t="n">
        <v>3.25</v>
      </c>
      <c r="F191" s="10" t="n">
        <v>450</v>
      </c>
      <c r="G191" s="10" t="n">
        <v>550</v>
      </c>
      <c r="H191" s="17" t="n">
        <v>450</v>
      </c>
      <c r="I191" s="17" t="n">
        <v>550</v>
      </c>
      <c r="J191" s="30" t="n">
        <v>85.0303</v>
      </c>
      <c r="K191" s="10" t="inlineStr">
        <is>
          <t>922</t>
        </is>
      </c>
      <c r="L191" s="30" t="n">
        <v>64.1891</v>
      </c>
      <c r="M191" s="10" t="inlineStr">
        <is>
          <t>922</t>
        </is>
      </c>
      <c r="N191" s="30" t="n">
        <v>52.204</v>
      </c>
      <c r="O191" s="30" t="n">
        <v>181.623</v>
      </c>
      <c r="P191" s="10" t="inlineStr">
        <is>
          <t>922</t>
        </is>
      </c>
      <c r="Q191" s="30" t="n">
        <v>3.8649</v>
      </c>
      <c r="R191" s="10">
        <f>MAX(MAX(1.4/'Parametros'!$B$3,0.25*SQRT('Parametros'!$B$2)/'Parametros'!$B$3)*H191*U191,(0.85*'Parametros'!$B$2/'Parametros'!$B$3)*(1-SQRT(1-2*(J191*1000000/('Parametros'!$B$5*H191*U191^2))/(0.85*'Parametros'!$B$2)))*H191*U191)</f>
        <v>734.025</v>
      </c>
      <c r="S191" s="31" t="n">
        <v>4</v>
      </c>
      <c r="T191" s="32" t="n">
        <v>1</v>
      </c>
      <c r="U191" s="10">
        <f>IF(T191=1,I191-('Parametros'!$B$7+'Parametros'!$B$9+'Parametros'!$B$12/2),I191-(ROUNDUP(S191/2,0)*('Parametros'!$B$7+'Parametros'!$B$9+'Parametros'!$B$12/2)+ROUNDDOWN(S191/2,0)*('Parametros'!$B$7+'Parametros'!$B$9+'Parametros'!$B$12/2+'Parametros'!$B$12+'Parametros'!$B$10))/S191)</f>
        <v>489.35</v>
      </c>
      <c r="V191" s="10">
        <f>S191*'Parametros'!$B$8</f>
        <v>796</v>
      </c>
      <c r="W191" s="10">
        <f>'Parametros'!$B$5*V191*'Parametros'!$B$3*(U191-(V191*'Parametros'!$B$3/(0.85*'Parametros'!$B$2*H191))/2)/1000000</f>
        <v>142.543330094118</v>
      </c>
      <c r="X191" s="10" t="str">
        <f>IF(W191&gt;=J191,"CUMPLE","NO CUMPLE")</f>
        <v>CUMPLE</v>
      </c>
      <c r="Y191" s="10">
        <f>MAX(MAX(1.4/'Parametros'!$B$3,0.25*SQRT('Parametros'!$B$2)/'Parametros'!$B$3)*H191*AB191,(0.85*'Parametros'!$B$2/'Parametros'!$B$3)*(1-SQRT(1-2*(L191*1000000/('Parametros'!$B$5*H191*AB191^2))/(0.85*'Parametros'!$B$2)))*H191*AB191)</f>
        <v>734.025</v>
      </c>
      <c r="Z191" s="31" t="n">
        <v>4</v>
      </c>
      <c r="AA191" s="32" t="n">
        <v>1</v>
      </c>
      <c r="AB191" s="10">
        <f>IF(AA191=1,I191-('Parametros'!$B$7+'Parametros'!$B$9+'Parametros'!$B$12/2),I191-(ROUNDUP(Z191/2,0)*('Parametros'!$B$7+'Parametros'!$B$9+'Parametros'!$B$12/2)+ROUNDDOWN(Z191/2,0)*('Parametros'!$B$7+'Parametros'!$B$9+'Parametros'!$B$12/2+'Parametros'!$B$12+'Parametros'!$B$10))/Z191)</f>
        <v>489.35</v>
      </c>
      <c r="AC191" s="10">
        <f>Z191*'Parametros'!$B$8</f>
        <v>796</v>
      </c>
      <c r="AD191" s="10">
        <f>'Parametros'!$B$5*AC191*'Parametros'!$B$3*(AB191-(AC191*'Parametros'!$B$3/(0.85*'Parametros'!$B$2*H191))/2)/1000000</f>
        <v>142.543330094118</v>
      </c>
      <c r="AE191" s="10" t="str">
        <f>IF(AD191&gt;=L191,"CUMPLE","NO CUMPLE")</f>
        <v>CUMPLE</v>
      </c>
      <c r="AF191" s="10">
        <f>V191*1.25*'Parametros'!$B$3*(U191-(V191*1.25*'Parametros'!$B$3/(0.85*'Parametros'!$B$2*H191))/2)/1000000</f>
        <v>196.346217941176</v>
      </c>
      <c r="AG191" s="10">
        <f>AC191*1.25*'Parametros'!$B$3*(AB191-(AC191*1.25*'Parametros'!$B$3/(0.85*'Parametros'!$B$2*H191))/2)/1000000</f>
        <v>196.346217941176</v>
      </c>
      <c r="AH191" s="10">
        <f>N191+(AF191+AG191)/D191</f>
        <v>173.032441809955</v>
      </c>
      <c r="AI191" s="10">
        <f>MAX(O191,AH191)</f>
        <v>181.623</v>
      </c>
      <c r="AJ191" s="10">
        <f>0.17*SQRT('Parametros'!$B$2)*H191*MIN(U191,AB191)/1000</f>
        <v>198.088855822627</v>
      </c>
      <c r="AK191" s="10">
        <f>MAX(AI191/'Parametros'!$B$6-AJ191,0)</f>
        <v>44.075144177373</v>
      </c>
      <c r="AL191" s="10">
        <f>0.66*SQRT('Parametros'!$B$2)*H191*MIN(U191,AB191)/1000</f>
        <v>769.050852017258</v>
      </c>
      <c r="AM191" s="10" t="str">
        <f>IF(AK191&lt;=AL191,"CUMPLE","NO CUMPLE")</f>
        <v>CUMPLE</v>
      </c>
      <c r="AN191" s="17" t="inlineStr">
        <is>
          <t>Nº3 cerrado</t>
        </is>
      </c>
      <c r="AO191" s="31" t="n">
        <v>2</v>
      </c>
      <c r="AP191" s="10">
        <f>ROUNDDOWN(MIN(IF(BC191+BD191=0,1000000000,AO191*BB191/(BC191+BD191)),MIN(U191,AB191)/4,8*'Parametros'!$B$12,24*BA191,300,IF(AV191=0,1000000000,2*((H191-2*('Parametros'!$B$7+'Parametros'!$B$9/2))+(I191-2*('Parametros'!$B$7+'Parametros'!$B$9/2)))/8))/10,0)*10</f>
        <v>120</v>
      </c>
      <c r="AQ191" s="10">
        <f>ROUNDDOWN(MIN(IF(BC191+BD191=0,1000000000,AO191*BB191/(BC191+BD191)),IF(AK191&gt;0.33*SQRT('Parametros'!$B$2)*H191*MIN(U191,AB191)/1000,MIN(U191,AB191)/4,MIN(U191,AB191)/2),600,IF(AV191=0,1000000000,2*((H191-2*('Parametros'!$B$7+'Parametros'!$B$9/2))+(I191-2*('Parametros'!$B$7+'Parametros'!$B$9/2)))/8))/10,0)*10</f>
        <v>240</v>
      </c>
      <c r="AR191" s="10">
        <f>'Parametros'!$B$6*(AJ191+MAX(BE191-BD191,0)*'Parametros'!$B$4*MIN(U191,AB191)/1000)</f>
        <v>330.97185436697</v>
      </c>
      <c r="AS191" s="10" t="str">
        <f>IF(AND(ISERROR(SEARCH("referencia",AN191)),AM191="CUMPLE",AR191&gt;=AI191),"CUMPLE","NO CUMPLE")</f>
        <v>CUMPLE</v>
      </c>
      <c r="AT191" s="10">
        <f>'Parametros'!$B$6*0.083*SQRT('Parametros'!$B$2)*(H191*I191)^2/(2*(H191+I191))/1000000</f>
        <v>10.0887830333379</v>
      </c>
      <c r="AU191" s="10" t="str">
        <f>IF(Q191&lt;=AT191,"DESPRECIABLE","DISEÑAR")</f>
        <v>DESPRECIABLE</v>
      </c>
      <c r="AV191" s="10">
        <f>IF(Q191&lt;=AT191,0,Q191*1000000/('Parametros'!$B$6*2*0.85*(H191-2*('Parametros'!$B$7+'Parametros'!$B$9/2))*(I191-2*('Parametros'!$B$7+'Parametros'!$B$9/2))*'Parametros'!$B$4))</f>
        <v>0</v>
      </c>
      <c r="AW191" s="10">
        <f>AV191*2*((H191-2*('Parametros'!$B$7+'Parametros'!$B$9/2))+(I191-2*('Parametros'!$B$7+'Parametros'!$B$9/2)))*'Parametros'!$B$4/'Parametros'!$B$3</f>
        <v>0</v>
      </c>
      <c r="AX191" s="31" t="n">
        <v>0</v>
      </c>
      <c r="AY191" s="10" t="str">
        <f>IF(AV191=0,"DESPRECIABLE",IF(AND(ISERROR(SEARCH("referencia",AN191)),BB191/AP191&gt;=AV191,BI191&gt;=AW191,BH191="CUMPLE"),"CUMPLE","NO CUMPLE"))</f>
        <v>DESPRECIABLE</v>
      </c>
      <c r="AZ191" s="10" t="str">
        <f>IF(AND(X191="CUMPLE",AE191="CUMPLE",AS191="CUMPLE",OR(AY191="CUMPLE",AY191="DESPRECIABLE"),BH191="CUMPLE",BJ191="CUMPLE"),"CUMPLE","NO CUMPLE")</f>
        <v>CUMPLE</v>
      </c>
      <c r="BA191" s="32" t="n">
        <v>9.5</v>
      </c>
      <c r="BB191" s="32" t="n">
        <v>71</v>
      </c>
      <c r="BC191" s="10">
        <f>MAX(IF(AK191=0,0,AK191*1000/('Parametros'!$B$4*MIN(U191,AB191))),MAX(0.062*SQRT('Parametros'!$B$2)*H191/'Parametros'!$B$4,0.35*H191/'Parametros'!$B$4))</f>
        <v>0.375</v>
      </c>
      <c r="BD191" s="10">
        <f>2*AV191</f>
        <v>0</v>
      </c>
      <c r="BE191" s="10">
        <f>AO191*BB191/AP191</f>
        <v>1.18333333333333</v>
      </c>
      <c r="BF191" s="10">
        <f>SQRT((AI191*1000/(H191*MIN(U191,AB191)))^2+(Q191*1000000*2*((H191-2*('Parametros'!$B$7+'Parametros'!$B$9/2))+(I191-2*('Parametros'!$B$7+'Parametros'!$B$9/2)))/(1.7*((H191-2*('Parametros'!$B$7+'Parametros'!$B$9/2))*(I191-2*('Parametros'!$B$7+'Parametros'!$B$9/2)))^2))^2)</f>
        <v>0.836368461810253</v>
      </c>
      <c r="BG191" s="10">
        <f>'Parametros'!$B$6*(AJ191*1000/(H191*MIN(U191,AB191))+0.66*SQRT('Parametros'!$B$2))</f>
        <v>3.29396038227542</v>
      </c>
      <c r="BH191" s="10" t="str">
        <f>IF(BF191&lt;=BG191,"CUMPLE","NO CUMPLE")</f>
        <v>CUMPLE</v>
      </c>
      <c r="BI191" s="10">
        <f>AX191*'Parametros'!$B$8</f>
        <v>0</v>
      </c>
      <c r="BJ191" s="10" t="str">
        <f>IF(BI191&gt;=AW191,"CUMPLE","NO CUMPLE")</f>
        <v>CUMPLE</v>
      </c>
    </row>
    <row r="192">
      <c r="A192" s="20" t="inlineStr">
        <is>
          <t>VC6</t>
        </is>
      </c>
      <c r="B192" s="20" t="inlineStr">
        <is>
          <t>931</t>
        </is>
      </c>
      <c r="C192" s="10" t="n">
        <v>1</v>
      </c>
      <c r="D192" s="10" t="n">
        <v>3.25</v>
      </c>
      <c r="E192" s="10" t="n">
        <v>3.25</v>
      </c>
      <c r="F192" s="10" t="n">
        <v>450</v>
      </c>
      <c r="G192" s="10" t="n">
        <v>550</v>
      </c>
      <c r="H192" s="17" t="n">
        <v>450</v>
      </c>
      <c r="I192" s="17" t="n">
        <v>550</v>
      </c>
      <c r="J192" s="30" t="n">
        <v>84.99590000000001</v>
      </c>
      <c r="K192" s="10" t="inlineStr">
        <is>
          <t>931</t>
        </is>
      </c>
      <c r="L192" s="30" t="n">
        <v>64.1695</v>
      </c>
      <c r="M192" s="10" t="inlineStr">
        <is>
          <t>931</t>
        </is>
      </c>
      <c r="N192" s="30" t="n">
        <v>52.196</v>
      </c>
      <c r="O192" s="30" t="n">
        <v>181.649</v>
      </c>
      <c r="P192" s="10" t="inlineStr">
        <is>
          <t>931</t>
        </is>
      </c>
      <c r="Q192" s="30" t="n">
        <v>3.8452</v>
      </c>
      <c r="R192" s="10">
        <f>MAX(MAX(1.4/'Parametros'!$B$3,0.25*SQRT('Parametros'!$B$2)/'Parametros'!$B$3)*H192*U192,(0.85*'Parametros'!$B$2/'Parametros'!$B$3)*(1-SQRT(1-2*(J192*1000000/('Parametros'!$B$5*H192*U192^2))/(0.85*'Parametros'!$B$2)))*H192*U192)</f>
        <v>734.025</v>
      </c>
      <c r="S192" s="31" t="n">
        <v>4</v>
      </c>
      <c r="T192" s="32" t="n">
        <v>1</v>
      </c>
      <c r="U192" s="10">
        <f>IF(T192=1,I192-('Parametros'!$B$7+'Parametros'!$B$9+'Parametros'!$B$12/2),I192-(ROUNDUP(S192/2,0)*('Parametros'!$B$7+'Parametros'!$B$9+'Parametros'!$B$12/2)+ROUNDDOWN(S192/2,0)*('Parametros'!$B$7+'Parametros'!$B$9+'Parametros'!$B$12/2+'Parametros'!$B$12+'Parametros'!$B$10))/S192)</f>
        <v>489.35</v>
      </c>
      <c r="V192" s="10">
        <f>S192*'Parametros'!$B$8</f>
        <v>796</v>
      </c>
      <c r="W192" s="10">
        <f>'Parametros'!$B$5*V192*'Parametros'!$B$3*(U192-(V192*'Parametros'!$B$3/(0.85*'Parametros'!$B$2*H192))/2)/1000000</f>
        <v>142.543330094118</v>
      </c>
      <c r="X192" s="10" t="str">
        <f>IF(W192&gt;=J192,"CUMPLE","NO CUMPLE")</f>
        <v>CUMPLE</v>
      </c>
      <c r="Y192" s="10">
        <f>MAX(MAX(1.4/'Parametros'!$B$3,0.25*SQRT('Parametros'!$B$2)/'Parametros'!$B$3)*H192*AB192,(0.85*'Parametros'!$B$2/'Parametros'!$B$3)*(1-SQRT(1-2*(L192*1000000/('Parametros'!$B$5*H192*AB192^2))/(0.85*'Parametros'!$B$2)))*H192*AB192)</f>
        <v>734.025</v>
      </c>
      <c r="Z192" s="31" t="n">
        <v>4</v>
      </c>
      <c r="AA192" s="32" t="n">
        <v>1</v>
      </c>
      <c r="AB192" s="10">
        <f>IF(AA192=1,I192-('Parametros'!$B$7+'Parametros'!$B$9+'Parametros'!$B$12/2),I192-(ROUNDUP(Z192/2,0)*('Parametros'!$B$7+'Parametros'!$B$9+'Parametros'!$B$12/2)+ROUNDDOWN(Z192/2,0)*('Parametros'!$B$7+'Parametros'!$B$9+'Parametros'!$B$12/2+'Parametros'!$B$12+'Parametros'!$B$10))/Z192)</f>
        <v>489.35</v>
      </c>
      <c r="AC192" s="10">
        <f>Z192*'Parametros'!$B$8</f>
        <v>796</v>
      </c>
      <c r="AD192" s="10">
        <f>'Parametros'!$B$5*AC192*'Parametros'!$B$3*(AB192-(AC192*'Parametros'!$B$3/(0.85*'Parametros'!$B$2*H192))/2)/1000000</f>
        <v>142.543330094118</v>
      </c>
      <c r="AE192" s="10" t="str">
        <f>IF(AD192&gt;=L192,"CUMPLE","NO CUMPLE")</f>
        <v>CUMPLE</v>
      </c>
      <c r="AF192" s="10">
        <f>V192*1.25*'Parametros'!$B$3*(U192-(V192*1.25*'Parametros'!$B$3/(0.85*'Parametros'!$B$2*H192))/2)/1000000</f>
        <v>196.346217941176</v>
      </c>
      <c r="AG192" s="10">
        <f>AC192*1.25*'Parametros'!$B$3*(AB192-(AC192*1.25*'Parametros'!$B$3/(0.85*'Parametros'!$B$2*H192))/2)/1000000</f>
        <v>196.346217941176</v>
      </c>
      <c r="AH192" s="10">
        <f>N192+(AF192+AG192)/D192</f>
        <v>173.024441809955</v>
      </c>
      <c r="AI192" s="10">
        <f>MAX(O192,AH192)</f>
        <v>181.649</v>
      </c>
      <c r="AJ192" s="10">
        <f>0.17*SQRT('Parametros'!$B$2)*H192*MIN(U192,AB192)/1000</f>
        <v>198.088855822627</v>
      </c>
      <c r="AK192" s="10">
        <f>MAX(AI192/'Parametros'!$B$6-AJ192,0)</f>
        <v>44.1098108440397</v>
      </c>
      <c r="AL192" s="10">
        <f>0.66*SQRT('Parametros'!$B$2)*H192*MIN(U192,AB192)/1000</f>
        <v>769.050852017258</v>
      </c>
      <c r="AM192" s="10" t="str">
        <f>IF(AK192&lt;=AL192,"CUMPLE","NO CUMPLE")</f>
        <v>CUMPLE</v>
      </c>
      <c r="AN192" s="17" t="inlineStr">
        <is>
          <t>Nº3 cerrado</t>
        </is>
      </c>
      <c r="AO192" s="31" t="n">
        <v>2</v>
      </c>
      <c r="AP192" s="10">
        <f>ROUNDDOWN(MIN(IF(BC192+BD192=0,1000000000,AO192*BB192/(BC192+BD192)),MIN(U192,AB192)/4,8*'Parametros'!$B$12,24*BA192,300,IF(AV192=0,1000000000,2*((H192-2*('Parametros'!$B$7+'Parametros'!$B$9/2))+(I192-2*('Parametros'!$B$7+'Parametros'!$B$9/2)))/8))/10,0)*10</f>
        <v>120</v>
      </c>
      <c r="AQ192" s="10">
        <f>ROUNDDOWN(MIN(IF(BC192+BD192=0,1000000000,AO192*BB192/(BC192+BD192)),IF(AK192&gt;0.33*SQRT('Parametros'!$B$2)*H192*MIN(U192,AB192)/1000,MIN(U192,AB192)/4,MIN(U192,AB192)/2),600,IF(AV192=0,1000000000,2*((H192-2*('Parametros'!$B$7+'Parametros'!$B$9/2))+(I192-2*('Parametros'!$B$7+'Parametros'!$B$9/2)))/8))/10,0)*10</f>
        <v>240</v>
      </c>
      <c r="AR192" s="10">
        <f>'Parametros'!$B$6*(AJ192+MAX(BE192-BD192,0)*'Parametros'!$B$4*MIN(U192,AB192)/1000)</f>
        <v>330.97185436697</v>
      </c>
      <c r="AS192" s="10" t="str">
        <f>IF(AND(ISERROR(SEARCH("referencia",AN192)),AM192="CUMPLE",AR192&gt;=AI192),"CUMPLE","NO CUMPLE")</f>
        <v>CUMPLE</v>
      </c>
      <c r="AT192" s="10">
        <f>'Parametros'!$B$6*0.083*SQRT('Parametros'!$B$2)*(H192*I192)^2/(2*(H192+I192))/1000000</f>
        <v>10.0887830333379</v>
      </c>
      <c r="AU192" s="10" t="str">
        <f>IF(Q192&lt;=AT192,"DESPRECIABLE","DISEÑAR")</f>
        <v>DESPRECIABLE</v>
      </c>
      <c r="AV192" s="10">
        <f>IF(Q192&lt;=AT192,0,Q192*1000000/('Parametros'!$B$6*2*0.85*(H192-2*('Parametros'!$B$7+'Parametros'!$B$9/2))*(I192-2*('Parametros'!$B$7+'Parametros'!$B$9/2))*'Parametros'!$B$4))</f>
        <v>0</v>
      </c>
      <c r="AW192" s="10">
        <f>AV192*2*((H192-2*('Parametros'!$B$7+'Parametros'!$B$9/2))+(I192-2*('Parametros'!$B$7+'Parametros'!$B$9/2)))*'Parametros'!$B$4/'Parametros'!$B$3</f>
        <v>0</v>
      </c>
      <c r="AX192" s="31" t="n">
        <v>0</v>
      </c>
      <c r="AY192" s="10" t="str">
        <f>IF(AV192=0,"DESPRECIABLE",IF(AND(ISERROR(SEARCH("referencia",AN192)),BB192/AP192&gt;=AV192,BI192&gt;=AW192,BH192="CUMPLE"),"CUMPLE","NO CUMPLE"))</f>
        <v>DESPRECIABLE</v>
      </c>
      <c r="AZ192" s="10" t="str">
        <f>IF(AND(X192="CUMPLE",AE192="CUMPLE",AS192="CUMPLE",OR(AY192="CUMPLE",AY192="DESPRECIABLE"),BH192="CUMPLE",BJ192="CUMPLE"),"CUMPLE","NO CUMPLE")</f>
        <v>CUMPLE</v>
      </c>
      <c r="BA192" s="32" t="n">
        <v>9.5</v>
      </c>
      <c r="BB192" s="32" t="n">
        <v>71</v>
      </c>
      <c r="BC192" s="10">
        <f>MAX(IF(AK192=0,0,AK192*1000/('Parametros'!$B$4*MIN(U192,AB192))),MAX(0.062*SQRT('Parametros'!$B$2)*H192/'Parametros'!$B$4,0.35*H192/'Parametros'!$B$4))</f>
        <v>0.375</v>
      </c>
      <c r="BD192" s="10">
        <f>2*AV192</f>
        <v>0</v>
      </c>
      <c r="BE192" s="10">
        <f>AO192*BB192/AP192</f>
        <v>1.18333333333333</v>
      </c>
      <c r="BF192" s="10">
        <f>SQRT((AI192*1000/(H192*MIN(U192,AB192)))^2+(Q192*1000000*2*((H192-2*('Parametros'!$B$7+'Parametros'!$B$9/2))+(I192-2*('Parametros'!$B$7+'Parametros'!$B$9/2)))/(1.7*((H192-2*('Parametros'!$B$7+'Parametros'!$B$9/2))*(I192-2*('Parametros'!$B$7+'Parametros'!$B$9/2)))^2))^2)</f>
        <v>0.836367897592258</v>
      </c>
      <c r="BG192" s="10">
        <f>'Parametros'!$B$6*(AJ192*1000/(H192*MIN(U192,AB192))+0.66*SQRT('Parametros'!$B$2))</f>
        <v>3.29396038227542</v>
      </c>
      <c r="BH192" s="10" t="str">
        <f>IF(BF192&lt;=BG192,"CUMPLE","NO CUMPLE")</f>
        <v>CUMPLE</v>
      </c>
      <c r="BI192" s="10">
        <f>AX192*'Parametros'!$B$8</f>
        <v>0</v>
      </c>
      <c r="BJ192" s="10" t="str">
        <f>IF(BI192&gt;=AW192,"CUMPLE","NO CUMPLE")</f>
        <v>CUMPLE</v>
      </c>
    </row>
    <row r="193">
      <c r="A193" s="20" t="inlineStr">
        <is>
          <t>VC6</t>
        </is>
      </c>
      <c r="B193" s="20" t="inlineStr">
        <is>
          <t>932</t>
        </is>
      </c>
      <c r="C193" s="10" t="n">
        <v>1</v>
      </c>
      <c r="D193" s="10" t="n">
        <v>3.3</v>
      </c>
      <c r="E193" s="10" t="n">
        <v>3.3</v>
      </c>
      <c r="F193" s="10" t="n">
        <v>450</v>
      </c>
      <c r="G193" s="10" t="n">
        <v>550</v>
      </c>
      <c r="H193" s="17" t="n">
        <v>450</v>
      </c>
      <c r="I193" s="17" t="n">
        <v>550</v>
      </c>
      <c r="J193" s="30" t="n">
        <v>90.22</v>
      </c>
      <c r="K193" s="10" t="inlineStr">
        <is>
          <t>932</t>
        </is>
      </c>
      <c r="L193" s="30" t="n">
        <v>67.13549999999999</v>
      </c>
      <c r="M193" s="10" t="inlineStr">
        <is>
          <t>932</t>
        </is>
      </c>
      <c r="N193" s="30" t="n">
        <v>57.201</v>
      </c>
      <c r="O193" s="30" t="n">
        <v>216.122</v>
      </c>
      <c r="P193" s="10" t="inlineStr">
        <is>
          <t>932</t>
        </is>
      </c>
      <c r="Q193" s="30" t="n">
        <v>38.7483</v>
      </c>
      <c r="R193" s="10">
        <f>MAX(MAX(1.4/'Parametros'!$B$3,0.25*SQRT('Parametros'!$B$2)/'Parametros'!$B$3)*H193*U193,(0.85*'Parametros'!$B$2/'Parametros'!$B$3)*(1-SQRT(1-2*(J193*1000000/('Parametros'!$B$5*H193*U193^2))/(0.85*'Parametros'!$B$2)))*H193*U193)</f>
        <v>734.025</v>
      </c>
      <c r="S193" s="31" t="n">
        <v>4</v>
      </c>
      <c r="T193" s="32" t="n">
        <v>1</v>
      </c>
      <c r="U193" s="10">
        <f>IF(T193=1,I193-('Parametros'!$B$7+'Parametros'!$B$9+'Parametros'!$B$12/2),I193-(ROUNDUP(S193/2,0)*('Parametros'!$B$7+'Parametros'!$B$9+'Parametros'!$B$12/2)+ROUNDDOWN(S193/2,0)*('Parametros'!$B$7+'Parametros'!$B$9+'Parametros'!$B$12/2+'Parametros'!$B$12+'Parametros'!$B$10))/S193)</f>
        <v>489.35</v>
      </c>
      <c r="V193" s="10">
        <f>S193*'Parametros'!$B$8</f>
        <v>796</v>
      </c>
      <c r="W193" s="10">
        <f>'Parametros'!$B$5*V193*'Parametros'!$B$3*(U193-(V193*'Parametros'!$B$3/(0.85*'Parametros'!$B$2*H193))/2)/1000000</f>
        <v>142.543330094118</v>
      </c>
      <c r="X193" s="10" t="str">
        <f>IF(W193&gt;=J193,"CUMPLE","NO CUMPLE")</f>
        <v>CUMPLE</v>
      </c>
      <c r="Y193" s="10">
        <f>MAX(MAX(1.4/'Parametros'!$B$3,0.25*SQRT('Parametros'!$B$2)/'Parametros'!$B$3)*H193*AB193,(0.85*'Parametros'!$B$2/'Parametros'!$B$3)*(1-SQRT(1-2*(L193*1000000/('Parametros'!$B$5*H193*AB193^2))/(0.85*'Parametros'!$B$2)))*H193*AB193)</f>
        <v>734.025</v>
      </c>
      <c r="Z193" s="31" t="n">
        <v>4</v>
      </c>
      <c r="AA193" s="32" t="n">
        <v>1</v>
      </c>
      <c r="AB193" s="10">
        <f>IF(AA193=1,I193-('Parametros'!$B$7+'Parametros'!$B$9+'Parametros'!$B$12/2),I193-(ROUNDUP(Z193/2,0)*('Parametros'!$B$7+'Parametros'!$B$9+'Parametros'!$B$12/2)+ROUNDDOWN(Z193/2,0)*('Parametros'!$B$7+'Parametros'!$B$9+'Parametros'!$B$12/2+'Parametros'!$B$12+'Parametros'!$B$10))/Z193)</f>
        <v>489.35</v>
      </c>
      <c r="AC193" s="10">
        <f>Z193*'Parametros'!$B$8</f>
        <v>796</v>
      </c>
      <c r="AD193" s="10">
        <f>'Parametros'!$B$5*AC193*'Parametros'!$B$3*(AB193-(AC193*'Parametros'!$B$3/(0.85*'Parametros'!$B$2*H193))/2)/1000000</f>
        <v>142.543330094118</v>
      </c>
      <c r="AE193" s="10" t="str">
        <f>IF(AD193&gt;=L193,"CUMPLE","NO CUMPLE")</f>
        <v>CUMPLE</v>
      </c>
      <c r="AF193" s="10">
        <f>V193*1.25*'Parametros'!$B$3*(U193-(V193*1.25*'Parametros'!$B$3/(0.85*'Parametros'!$B$2*H193))/2)/1000000</f>
        <v>196.346217941176</v>
      </c>
      <c r="AG193" s="10">
        <f>AC193*1.25*'Parametros'!$B$3*(AB193-(AC193*1.25*'Parametros'!$B$3/(0.85*'Parametros'!$B$2*H193))/2)/1000000</f>
        <v>196.346217941176</v>
      </c>
      <c r="AH193" s="10">
        <f>N193+(AF193+AG193)/D193</f>
        <v>176.198707843137</v>
      </c>
      <c r="AI193" s="10">
        <f>MAX(O193,AH193)</f>
        <v>216.122</v>
      </c>
      <c r="AJ193" s="10">
        <f>0.17*SQRT('Parametros'!$B$2)*H193*MIN(U193,AB193)/1000</f>
        <v>198.088855822627</v>
      </c>
      <c r="AK193" s="10">
        <f>MAX(AI193/'Parametros'!$B$6-AJ193,0)</f>
        <v>90.0738108440397</v>
      </c>
      <c r="AL193" s="10">
        <f>0.66*SQRT('Parametros'!$B$2)*H193*MIN(U193,AB193)/1000</f>
        <v>769.050852017258</v>
      </c>
      <c r="AM193" s="10" t="str">
        <f>IF(AK193&lt;=AL193,"CUMPLE","NO CUMPLE")</f>
        <v>CUMPLE</v>
      </c>
      <c r="AN193" s="17" t="inlineStr">
        <is>
          <t>Nº3 cerrado</t>
        </is>
      </c>
      <c r="AO193" s="31" t="n">
        <v>2</v>
      </c>
      <c r="AP193" s="10">
        <f>ROUNDDOWN(MIN(IF(BC193+BD193=0,1000000000,AO193*BB193/(BC193+BD193)),MIN(U193,AB193)/4,8*'Parametros'!$B$12,24*BA193,300,IF(AV193=0,1000000000,2*((H193-2*('Parametros'!$B$7+'Parametros'!$B$9/2))+(I193-2*('Parametros'!$B$7+'Parametros'!$B$9/2)))/8))/10,0)*10</f>
        <v>100</v>
      </c>
      <c r="AQ193" s="10">
        <f>ROUNDDOWN(MIN(IF(BC193+BD193=0,1000000000,AO193*BB193/(BC193+BD193)),IF(AK193&gt;0.33*SQRT('Parametros'!$B$2)*H193*MIN(U193,AB193)/1000,MIN(U193,AB193)/4,MIN(U193,AB193)/2),600,IF(AV193=0,1000000000,2*((H193-2*('Parametros'!$B$7+'Parametros'!$B$9/2))+(I193-2*('Parametros'!$B$7+'Parametros'!$B$9/2)))/8))/10,0)*10</f>
        <v>100</v>
      </c>
      <c r="AR193" s="10">
        <f>'Parametros'!$B$6*(AJ193+MAX(BE193-BD193,0)*'Parametros'!$B$4*MIN(U193,AB193)/1000)</f>
        <v>230.925722212635</v>
      </c>
      <c r="AS193" s="10" t="str">
        <f>IF(AND(ISERROR(SEARCH("referencia",AN193)),AM193="CUMPLE",AR193&gt;=AI193),"CUMPLE","NO CUMPLE")</f>
        <v>CUMPLE</v>
      </c>
      <c r="AT193" s="10">
        <f>'Parametros'!$B$6*0.083*SQRT('Parametros'!$B$2)*(H193*I193)^2/(2*(H193+I193))/1000000</f>
        <v>10.0887830333379</v>
      </c>
      <c r="AU193" s="10" t="str">
        <f>IF(Q193&lt;=AT193,"DESPRECIABLE","DISEÑAR")</f>
        <v>DISEÑAR</v>
      </c>
      <c r="AV193" s="10">
        <f>IF(Q193&lt;=AT193,0,Q193*1000000/('Parametros'!$B$6*2*0.85*(H193-2*('Parametros'!$B$7+'Parametros'!$B$9/2))*(I193-2*('Parametros'!$B$7+'Parametros'!$B$9/2))*'Parametros'!$B$4))</f>
        <v>0.442852357287478</v>
      </c>
      <c r="AW193" s="10">
        <f>AV193*2*((H193-2*('Parametros'!$B$7+'Parametros'!$B$9/2))+(I193-2*('Parametros'!$B$7+'Parametros'!$B$9/2)))*'Parametros'!$B$4/'Parametros'!$B$3</f>
        <v>721.49506049276</v>
      </c>
      <c r="AX193" s="31" t="n">
        <v>8</v>
      </c>
      <c r="AY193" s="10" t="str">
        <f>IF(AV193=0,"DESPRECIABLE",IF(AND(ISERROR(SEARCH("referencia",AN193)),BB193/AP193&gt;=AV193,BI193&gt;=AW193,BH193="CUMPLE"),"CUMPLE","NO CUMPLE"))</f>
        <v>CUMPLE</v>
      </c>
      <c r="AZ193" s="10" t="str">
        <f>IF(AND(X193="CUMPLE",AE193="CUMPLE",AS193="CUMPLE",OR(AY193="CUMPLE",AY193="DESPRECIABLE"),BH193="CUMPLE",BJ193="CUMPLE"),"CUMPLE","NO CUMPLE")</f>
        <v>CUMPLE</v>
      </c>
      <c r="BA193" s="32" t="n">
        <v>9.5</v>
      </c>
      <c r="BB193" s="32" t="n">
        <v>71</v>
      </c>
      <c r="BC193" s="10">
        <f>MAX(IF(AK193=0,0,AK193*1000/('Parametros'!$B$4*MIN(U193,AB193))),MAX(0.062*SQRT('Parametros'!$B$2)*H193/'Parametros'!$B$4,0.35*H193/'Parametros'!$B$4))</f>
        <v>0.438257799919425</v>
      </c>
      <c r="BD193" s="10">
        <f>2*AV193</f>
        <v>0.885704714574957</v>
      </c>
      <c r="BE193" s="10">
        <f>AO193*BB193/AP193</f>
        <v>1.42</v>
      </c>
      <c r="BF193" s="10">
        <f>SQRT((AI193*1000/(H193*MIN(U193,AB193)))^2+(Q193*1000000*2*((H193-2*('Parametros'!$B$7+'Parametros'!$B$9/2))+(I193-2*('Parametros'!$B$7+'Parametros'!$B$9/2)))/(1.7*((H193-2*('Parametros'!$B$7+'Parametros'!$B$9/2))*(I193-2*('Parametros'!$B$7+'Parametros'!$B$9/2)))^2))^2)</f>
        <v>1.70234073653472</v>
      </c>
      <c r="BG193" s="10">
        <f>'Parametros'!$B$6*(AJ193*1000/(H193*MIN(U193,AB193))+0.66*SQRT('Parametros'!$B$2))</f>
        <v>3.29396038227542</v>
      </c>
      <c r="BH193" s="10" t="str">
        <f>IF(BF193&lt;=BG193,"CUMPLE","NO CUMPLE")</f>
        <v>CUMPLE</v>
      </c>
      <c r="BI193" s="10">
        <f>AX193*'Parametros'!$B$8</f>
        <v>1592</v>
      </c>
      <c r="BJ193" s="10" t="str">
        <f>IF(BI193&gt;=AW193,"CUMPLE","NO CUMPLE")</f>
        <v>CUMPLE</v>
      </c>
    </row>
    <row r="194">
      <c r="A194" s="20" t="inlineStr">
        <is>
          <t>VC6</t>
        </is>
      </c>
      <c r="B194" s="20" t="inlineStr">
        <is>
          <t>933</t>
        </is>
      </c>
      <c r="C194" s="10" t="n">
        <v>1</v>
      </c>
      <c r="D194" s="10" t="n">
        <v>3.3</v>
      </c>
      <c r="E194" s="10" t="n">
        <v>3.3</v>
      </c>
      <c r="F194" s="10" t="n">
        <v>450</v>
      </c>
      <c r="G194" s="10" t="n">
        <v>550</v>
      </c>
      <c r="H194" s="17" t="n">
        <v>450</v>
      </c>
      <c r="I194" s="17" t="n">
        <v>550</v>
      </c>
      <c r="J194" s="30" t="n">
        <v>90.2321</v>
      </c>
      <c r="K194" s="10" t="inlineStr">
        <is>
          <t>933</t>
        </is>
      </c>
      <c r="L194" s="30" t="n">
        <v>67.128</v>
      </c>
      <c r="M194" s="10" t="inlineStr">
        <is>
          <t>933</t>
        </is>
      </c>
      <c r="N194" s="30" t="n">
        <v>57.208</v>
      </c>
      <c r="O194" s="30" t="n">
        <v>216.128</v>
      </c>
      <c r="P194" s="10" t="inlineStr">
        <is>
          <t>933</t>
        </is>
      </c>
      <c r="Q194" s="30" t="n">
        <v>38.7479</v>
      </c>
      <c r="R194" s="10">
        <f>MAX(MAX(1.4/'Parametros'!$B$3,0.25*SQRT('Parametros'!$B$2)/'Parametros'!$B$3)*H194*U194,(0.85*'Parametros'!$B$2/'Parametros'!$B$3)*(1-SQRT(1-2*(J194*1000000/('Parametros'!$B$5*H194*U194^2))/(0.85*'Parametros'!$B$2)))*H194*U194)</f>
        <v>734.025</v>
      </c>
      <c r="S194" s="31" t="n">
        <v>4</v>
      </c>
      <c r="T194" s="32" t="n">
        <v>1</v>
      </c>
      <c r="U194" s="10">
        <f>IF(T194=1,I194-('Parametros'!$B$7+'Parametros'!$B$9+'Parametros'!$B$12/2),I194-(ROUNDUP(S194/2,0)*('Parametros'!$B$7+'Parametros'!$B$9+'Parametros'!$B$12/2)+ROUNDDOWN(S194/2,0)*('Parametros'!$B$7+'Parametros'!$B$9+'Parametros'!$B$12/2+'Parametros'!$B$12+'Parametros'!$B$10))/S194)</f>
        <v>489.35</v>
      </c>
      <c r="V194" s="10">
        <f>S194*'Parametros'!$B$8</f>
        <v>796</v>
      </c>
      <c r="W194" s="10">
        <f>'Parametros'!$B$5*V194*'Parametros'!$B$3*(U194-(V194*'Parametros'!$B$3/(0.85*'Parametros'!$B$2*H194))/2)/1000000</f>
        <v>142.543330094118</v>
      </c>
      <c r="X194" s="10" t="str">
        <f>IF(W194&gt;=J194,"CUMPLE","NO CUMPLE")</f>
        <v>CUMPLE</v>
      </c>
      <c r="Y194" s="10">
        <f>MAX(MAX(1.4/'Parametros'!$B$3,0.25*SQRT('Parametros'!$B$2)/'Parametros'!$B$3)*H194*AB194,(0.85*'Parametros'!$B$2/'Parametros'!$B$3)*(1-SQRT(1-2*(L194*1000000/('Parametros'!$B$5*H194*AB194^2))/(0.85*'Parametros'!$B$2)))*H194*AB194)</f>
        <v>734.025</v>
      </c>
      <c r="Z194" s="31" t="n">
        <v>4</v>
      </c>
      <c r="AA194" s="32" t="n">
        <v>1</v>
      </c>
      <c r="AB194" s="10">
        <f>IF(AA194=1,I194-('Parametros'!$B$7+'Parametros'!$B$9+'Parametros'!$B$12/2),I194-(ROUNDUP(Z194/2,0)*('Parametros'!$B$7+'Parametros'!$B$9+'Parametros'!$B$12/2)+ROUNDDOWN(Z194/2,0)*('Parametros'!$B$7+'Parametros'!$B$9+'Parametros'!$B$12/2+'Parametros'!$B$12+'Parametros'!$B$10))/Z194)</f>
        <v>489.35</v>
      </c>
      <c r="AC194" s="10">
        <f>Z194*'Parametros'!$B$8</f>
        <v>796</v>
      </c>
      <c r="AD194" s="10">
        <f>'Parametros'!$B$5*AC194*'Parametros'!$B$3*(AB194-(AC194*'Parametros'!$B$3/(0.85*'Parametros'!$B$2*H194))/2)/1000000</f>
        <v>142.543330094118</v>
      </c>
      <c r="AE194" s="10" t="str">
        <f>IF(AD194&gt;=L194,"CUMPLE","NO CUMPLE")</f>
        <v>CUMPLE</v>
      </c>
      <c r="AF194" s="10">
        <f>V194*1.25*'Parametros'!$B$3*(U194-(V194*1.25*'Parametros'!$B$3/(0.85*'Parametros'!$B$2*H194))/2)/1000000</f>
        <v>196.346217941176</v>
      </c>
      <c r="AG194" s="10">
        <f>AC194*1.25*'Parametros'!$B$3*(AB194-(AC194*1.25*'Parametros'!$B$3/(0.85*'Parametros'!$B$2*H194))/2)/1000000</f>
        <v>196.346217941176</v>
      </c>
      <c r="AH194" s="10">
        <f>N194+(AF194+AG194)/D194</f>
        <v>176.205707843137</v>
      </c>
      <c r="AI194" s="10">
        <f>MAX(O194,AH194)</f>
        <v>216.128</v>
      </c>
      <c r="AJ194" s="10">
        <f>0.17*SQRT('Parametros'!$B$2)*H194*MIN(U194,AB194)/1000</f>
        <v>198.088855822627</v>
      </c>
      <c r="AK194" s="10">
        <f>MAX(AI194/'Parametros'!$B$6-AJ194,0)</f>
        <v>90.0818108440397</v>
      </c>
      <c r="AL194" s="10">
        <f>0.66*SQRT('Parametros'!$B$2)*H194*MIN(U194,AB194)/1000</f>
        <v>769.050852017258</v>
      </c>
      <c r="AM194" s="10" t="str">
        <f>IF(AK194&lt;=AL194,"CUMPLE","NO CUMPLE")</f>
        <v>CUMPLE</v>
      </c>
      <c r="AN194" s="17" t="inlineStr">
        <is>
          <t>Nº3 cerrado</t>
        </is>
      </c>
      <c r="AO194" s="31" t="n">
        <v>2</v>
      </c>
      <c r="AP194" s="10">
        <f>ROUNDDOWN(MIN(IF(BC194+BD194=0,1000000000,AO194*BB194/(BC194+BD194)),MIN(U194,AB194)/4,8*'Parametros'!$B$12,24*BA194,300,IF(AV194=0,1000000000,2*((H194-2*('Parametros'!$B$7+'Parametros'!$B$9/2))+(I194-2*('Parametros'!$B$7+'Parametros'!$B$9/2)))/8))/10,0)*10</f>
        <v>100</v>
      </c>
      <c r="AQ194" s="10">
        <f>ROUNDDOWN(MIN(IF(BC194+BD194=0,1000000000,AO194*BB194/(BC194+BD194)),IF(AK194&gt;0.33*SQRT('Parametros'!$B$2)*H194*MIN(U194,AB194)/1000,MIN(U194,AB194)/4,MIN(U194,AB194)/2),600,IF(AV194=0,1000000000,2*((H194-2*('Parametros'!$B$7+'Parametros'!$B$9/2))+(I194-2*('Parametros'!$B$7+'Parametros'!$B$9/2)))/8))/10,0)*10</f>
        <v>100</v>
      </c>
      <c r="AR194" s="10">
        <f>'Parametros'!$B$6*(AJ194+MAX(BE194-BD194,0)*'Parametros'!$B$4*MIN(U194,AB194)/1000)</f>
        <v>230.927131587236</v>
      </c>
      <c r="AS194" s="10" t="str">
        <f>IF(AND(ISERROR(SEARCH("referencia",AN194)),AM194="CUMPLE",AR194&gt;=AI194),"CUMPLE","NO CUMPLE")</f>
        <v>CUMPLE</v>
      </c>
      <c r="AT194" s="10">
        <f>'Parametros'!$B$6*0.083*SQRT('Parametros'!$B$2)*(H194*I194)^2/(2*(H194+I194))/1000000</f>
        <v>10.0887830333379</v>
      </c>
      <c r="AU194" s="10" t="str">
        <f>IF(Q194&lt;=AT194,"DESPRECIABLE","DISEÑAR")</f>
        <v>DISEÑAR</v>
      </c>
      <c r="AV194" s="10">
        <f>IF(Q194&lt;=AT194,0,Q194*1000000/('Parametros'!$B$6*2*0.85*(H194-2*('Parametros'!$B$7+'Parametros'!$B$9/2))*(I194-2*('Parametros'!$B$7+'Parametros'!$B$9/2))*'Parametros'!$B$4))</f>
        <v>0.442847785707747</v>
      </c>
      <c r="AW194" s="10">
        <f>AV194*2*((H194-2*('Parametros'!$B$7+'Parametros'!$B$9/2))+(I194-2*('Parametros'!$B$7+'Parametros'!$B$9/2)))*'Parametros'!$B$4/'Parametros'!$B$3</f>
        <v>721.487612475061</v>
      </c>
      <c r="AX194" s="31" t="n">
        <v>8</v>
      </c>
      <c r="AY194" s="10" t="str">
        <f>IF(AV194=0,"DESPRECIABLE",IF(AND(ISERROR(SEARCH("referencia",AN194)),BB194/AP194&gt;=AV194,BI194&gt;=AW194,BH194="CUMPLE"),"CUMPLE","NO CUMPLE"))</f>
        <v>CUMPLE</v>
      </c>
      <c r="AZ194" s="10" t="str">
        <f>IF(AND(X194="CUMPLE",AE194="CUMPLE",AS194="CUMPLE",OR(AY194="CUMPLE",AY194="DESPRECIABLE"),BH194="CUMPLE",BJ194="CUMPLE"),"CUMPLE","NO CUMPLE")</f>
        <v>CUMPLE</v>
      </c>
      <c r="BA194" s="32" t="n">
        <v>9.5</v>
      </c>
      <c r="BB194" s="32" t="n">
        <v>71</v>
      </c>
      <c r="BC194" s="10">
        <f>MAX(IF(AK194=0,0,AK194*1000/('Parametros'!$B$4*MIN(U194,AB194))),MAX(0.062*SQRT('Parametros'!$B$2)*H194/'Parametros'!$B$4,0.35*H194/'Parametros'!$B$4))</f>
        <v>0.438296724245669</v>
      </c>
      <c r="BD194" s="10">
        <f>2*AV194</f>
        <v>0.885695571415494</v>
      </c>
      <c r="BE194" s="10">
        <f>AO194*BB194/AP194</f>
        <v>1.42</v>
      </c>
      <c r="BF194" s="10">
        <f>SQRT((AI194*1000/(H194*MIN(U194,AB194)))^2+(Q194*1000000*2*((H194-2*('Parametros'!$B$7+'Parametros'!$B$9/2))+(I194-2*('Parametros'!$B$7+'Parametros'!$B$9/2)))/(1.7*((H194-2*('Parametros'!$B$7+'Parametros'!$B$9/2))*(I194-2*('Parametros'!$B$7+'Parametros'!$B$9/2)))^2))^2)</f>
        <v>1.70234471326136</v>
      </c>
      <c r="BG194" s="10">
        <f>'Parametros'!$B$6*(AJ194*1000/(H194*MIN(U194,AB194))+0.66*SQRT('Parametros'!$B$2))</f>
        <v>3.29396038227542</v>
      </c>
      <c r="BH194" s="10" t="str">
        <f>IF(BF194&lt;=BG194,"CUMPLE","NO CUMPLE")</f>
        <v>CUMPLE</v>
      </c>
      <c r="BI194" s="10">
        <f>AX194*'Parametros'!$B$8</f>
        <v>1592</v>
      </c>
      <c r="BJ194" s="10" t="str">
        <f>IF(BI194&gt;=AW194,"CUMPLE","NO CUMPLE")</f>
        <v>CUMPLE</v>
      </c>
    </row>
    <row r="195">
      <c r="A195" s="20" t="inlineStr">
        <is>
          <t>VC6</t>
        </is>
      </c>
      <c r="B195" s="20" t="inlineStr">
        <is>
          <t>934</t>
        </is>
      </c>
      <c r="C195" s="10" t="n">
        <v>1</v>
      </c>
      <c r="D195" s="10" t="n">
        <v>3.25</v>
      </c>
      <c r="E195" s="10" t="n">
        <v>3.25</v>
      </c>
      <c r="F195" s="10" t="n">
        <v>450</v>
      </c>
      <c r="G195" s="10" t="n">
        <v>550</v>
      </c>
      <c r="H195" s="17" t="n">
        <v>450</v>
      </c>
      <c r="I195" s="17" t="n">
        <v>550</v>
      </c>
      <c r="J195" s="30" t="n">
        <v>84.9881</v>
      </c>
      <c r="K195" s="10" t="inlineStr">
        <is>
          <t>934</t>
        </is>
      </c>
      <c r="L195" s="30" t="n">
        <v>64.16160000000001</v>
      </c>
      <c r="M195" s="10" t="inlineStr">
        <is>
          <t>934</t>
        </is>
      </c>
      <c r="N195" s="30" t="n">
        <v>52.192</v>
      </c>
      <c r="O195" s="30" t="n">
        <v>181.645</v>
      </c>
      <c r="P195" s="10" t="inlineStr">
        <is>
          <t>934</t>
        </is>
      </c>
      <c r="Q195" s="30" t="n">
        <v>3.8463</v>
      </c>
      <c r="R195" s="10">
        <f>MAX(MAX(1.4/'Parametros'!$B$3,0.25*SQRT('Parametros'!$B$2)/'Parametros'!$B$3)*H195*U195,(0.85*'Parametros'!$B$2/'Parametros'!$B$3)*(1-SQRT(1-2*(J195*1000000/('Parametros'!$B$5*H195*U195^2))/(0.85*'Parametros'!$B$2)))*H195*U195)</f>
        <v>734.025</v>
      </c>
      <c r="S195" s="31" t="n">
        <v>4</v>
      </c>
      <c r="T195" s="32" t="n">
        <v>1</v>
      </c>
      <c r="U195" s="10">
        <f>IF(T195=1,I195-('Parametros'!$B$7+'Parametros'!$B$9+'Parametros'!$B$12/2),I195-(ROUNDUP(S195/2,0)*('Parametros'!$B$7+'Parametros'!$B$9+'Parametros'!$B$12/2)+ROUNDDOWN(S195/2,0)*('Parametros'!$B$7+'Parametros'!$B$9+'Parametros'!$B$12/2+'Parametros'!$B$12+'Parametros'!$B$10))/S195)</f>
        <v>489.35</v>
      </c>
      <c r="V195" s="10">
        <f>S195*'Parametros'!$B$8</f>
        <v>796</v>
      </c>
      <c r="W195" s="10">
        <f>'Parametros'!$B$5*V195*'Parametros'!$B$3*(U195-(V195*'Parametros'!$B$3/(0.85*'Parametros'!$B$2*H195))/2)/1000000</f>
        <v>142.543330094118</v>
      </c>
      <c r="X195" s="10" t="str">
        <f>IF(W195&gt;=J195,"CUMPLE","NO CUMPLE")</f>
        <v>CUMPLE</v>
      </c>
      <c r="Y195" s="10">
        <f>MAX(MAX(1.4/'Parametros'!$B$3,0.25*SQRT('Parametros'!$B$2)/'Parametros'!$B$3)*H195*AB195,(0.85*'Parametros'!$B$2/'Parametros'!$B$3)*(1-SQRT(1-2*(L195*1000000/('Parametros'!$B$5*H195*AB195^2))/(0.85*'Parametros'!$B$2)))*H195*AB195)</f>
        <v>734.025</v>
      </c>
      <c r="Z195" s="31" t="n">
        <v>4</v>
      </c>
      <c r="AA195" s="32" t="n">
        <v>1</v>
      </c>
      <c r="AB195" s="10">
        <f>IF(AA195=1,I195-('Parametros'!$B$7+'Parametros'!$B$9+'Parametros'!$B$12/2),I195-(ROUNDUP(Z195/2,0)*('Parametros'!$B$7+'Parametros'!$B$9+'Parametros'!$B$12/2)+ROUNDDOWN(Z195/2,0)*('Parametros'!$B$7+'Parametros'!$B$9+'Parametros'!$B$12/2+'Parametros'!$B$12+'Parametros'!$B$10))/Z195)</f>
        <v>489.35</v>
      </c>
      <c r="AC195" s="10">
        <f>Z195*'Parametros'!$B$8</f>
        <v>796</v>
      </c>
      <c r="AD195" s="10">
        <f>'Parametros'!$B$5*AC195*'Parametros'!$B$3*(AB195-(AC195*'Parametros'!$B$3/(0.85*'Parametros'!$B$2*H195))/2)/1000000</f>
        <v>142.543330094118</v>
      </c>
      <c r="AE195" s="10" t="str">
        <f>IF(AD195&gt;=L195,"CUMPLE","NO CUMPLE")</f>
        <v>CUMPLE</v>
      </c>
      <c r="AF195" s="10">
        <f>V195*1.25*'Parametros'!$B$3*(U195-(V195*1.25*'Parametros'!$B$3/(0.85*'Parametros'!$B$2*H195))/2)/1000000</f>
        <v>196.346217941176</v>
      </c>
      <c r="AG195" s="10">
        <f>AC195*1.25*'Parametros'!$B$3*(AB195-(AC195*1.25*'Parametros'!$B$3/(0.85*'Parametros'!$B$2*H195))/2)/1000000</f>
        <v>196.346217941176</v>
      </c>
      <c r="AH195" s="10">
        <f>N195+(AF195+AG195)/D195</f>
        <v>173.020441809955</v>
      </c>
      <c r="AI195" s="10">
        <f>MAX(O195,AH195)</f>
        <v>181.645</v>
      </c>
      <c r="AJ195" s="10">
        <f>0.17*SQRT('Parametros'!$B$2)*H195*MIN(U195,AB195)/1000</f>
        <v>198.088855822627</v>
      </c>
      <c r="AK195" s="10">
        <f>MAX(AI195/'Parametros'!$B$6-AJ195,0)</f>
        <v>44.1044775107064</v>
      </c>
      <c r="AL195" s="10">
        <f>0.66*SQRT('Parametros'!$B$2)*H195*MIN(U195,AB195)/1000</f>
        <v>769.050852017258</v>
      </c>
      <c r="AM195" s="10" t="str">
        <f>IF(AK195&lt;=AL195,"CUMPLE","NO CUMPLE")</f>
        <v>CUMPLE</v>
      </c>
      <c r="AN195" s="17" t="inlineStr">
        <is>
          <t>Nº3 cerrado</t>
        </is>
      </c>
      <c r="AO195" s="31" t="n">
        <v>2</v>
      </c>
      <c r="AP195" s="10">
        <f>ROUNDDOWN(MIN(IF(BC195+BD195=0,1000000000,AO195*BB195/(BC195+BD195)),MIN(U195,AB195)/4,8*'Parametros'!$B$12,24*BA195,300,IF(AV195=0,1000000000,2*((H195-2*('Parametros'!$B$7+'Parametros'!$B$9/2))+(I195-2*('Parametros'!$B$7+'Parametros'!$B$9/2)))/8))/10,0)*10</f>
        <v>120</v>
      </c>
      <c r="AQ195" s="10">
        <f>ROUNDDOWN(MIN(IF(BC195+BD195=0,1000000000,AO195*BB195/(BC195+BD195)),IF(AK195&gt;0.33*SQRT('Parametros'!$B$2)*H195*MIN(U195,AB195)/1000,MIN(U195,AB195)/4,MIN(U195,AB195)/2),600,IF(AV195=0,1000000000,2*((H195-2*('Parametros'!$B$7+'Parametros'!$B$9/2))+(I195-2*('Parametros'!$B$7+'Parametros'!$B$9/2)))/8))/10,0)*10</f>
        <v>240</v>
      </c>
      <c r="AR195" s="10">
        <f>'Parametros'!$B$6*(AJ195+MAX(BE195-BD195,0)*'Parametros'!$B$4*MIN(U195,AB195)/1000)</f>
        <v>330.97185436697</v>
      </c>
      <c r="AS195" s="10" t="str">
        <f>IF(AND(ISERROR(SEARCH("referencia",AN195)),AM195="CUMPLE",AR195&gt;=AI195),"CUMPLE","NO CUMPLE")</f>
        <v>CUMPLE</v>
      </c>
      <c r="AT195" s="10">
        <f>'Parametros'!$B$6*0.083*SQRT('Parametros'!$B$2)*(H195*I195)^2/(2*(H195+I195))/1000000</f>
        <v>10.0887830333379</v>
      </c>
      <c r="AU195" s="10" t="str">
        <f>IF(Q195&lt;=AT195,"DESPRECIABLE","DISEÑAR")</f>
        <v>DESPRECIABLE</v>
      </c>
      <c r="AV195" s="10">
        <f>IF(Q195&lt;=AT195,0,Q195*1000000/('Parametros'!$B$6*2*0.85*(H195-2*('Parametros'!$B$7+'Parametros'!$B$9/2))*(I195-2*('Parametros'!$B$7+'Parametros'!$B$9/2))*'Parametros'!$B$4))</f>
        <v>0</v>
      </c>
      <c r="AW195" s="10">
        <f>AV195*2*((H195-2*('Parametros'!$B$7+'Parametros'!$B$9/2))+(I195-2*('Parametros'!$B$7+'Parametros'!$B$9/2)))*'Parametros'!$B$4/'Parametros'!$B$3</f>
        <v>0</v>
      </c>
      <c r="AX195" s="31" t="n">
        <v>0</v>
      </c>
      <c r="AY195" s="10" t="str">
        <f>IF(AV195=0,"DESPRECIABLE",IF(AND(ISERROR(SEARCH("referencia",AN195)),BB195/AP195&gt;=AV195,BI195&gt;=AW195,BH195="CUMPLE"),"CUMPLE","NO CUMPLE"))</f>
        <v>DESPRECIABLE</v>
      </c>
      <c r="AZ195" s="10" t="str">
        <f>IF(AND(X195="CUMPLE",AE195="CUMPLE",AS195="CUMPLE",OR(AY195="CUMPLE",AY195="DESPRECIABLE"),BH195="CUMPLE",BJ195="CUMPLE"),"CUMPLE","NO CUMPLE")</f>
        <v>CUMPLE</v>
      </c>
      <c r="BA195" s="32" t="n">
        <v>9.5</v>
      </c>
      <c r="BB195" s="32" t="n">
        <v>71</v>
      </c>
      <c r="BC195" s="10">
        <f>MAX(IF(AK195=0,0,AK195*1000/('Parametros'!$B$4*MIN(U195,AB195))),MAX(0.062*SQRT('Parametros'!$B$2)*H195/'Parametros'!$B$4,0.35*H195/'Parametros'!$B$4))</f>
        <v>0.375</v>
      </c>
      <c r="BD195" s="10">
        <f>2*AV195</f>
        <v>0</v>
      </c>
      <c r="BE195" s="10">
        <f>AO195*BB195/AP195</f>
        <v>1.18333333333333</v>
      </c>
      <c r="BF195" s="10">
        <f>SQRT((AI195*1000/(H195*MIN(U195,AB195)))^2+(Q195*1000000*2*((H195-2*('Parametros'!$B$7+'Parametros'!$B$9/2))+(I195-2*('Parametros'!$B$7+'Parametros'!$B$9/2)))/(1.7*((H195-2*('Parametros'!$B$7+'Parametros'!$B$9/2))*(I195-2*('Parametros'!$B$7+'Parametros'!$B$9/2)))^2))^2)</f>
        <v>0.836356499750154</v>
      </c>
      <c r="BG195" s="10">
        <f>'Parametros'!$B$6*(AJ195*1000/(H195*MIN(U195,AB195))+0.66*SQRT('Parametros'!$B$2))</f>
        <v>3.29396038227542</v>
      </c>
      <c r="BH195" s="10" t="str">
        <f>IF(BF195&lt;=BG195,"CUMPLE","NO CUMPLE")</f>
        <v>CUMPLE</v>
      </c>
      <c r="BI195" s="10">
        <f>AX195*'Parametros'!$B$8</f>
        <v>0</v>
      </c>
      <c r="BJ195" s="10" t="str">
        <f>IF(BI195&gt;=AW195,"CUMPLE","NO CUMPLE")</f>
        <v>CUMPLE</v>
      </c>
    </row>
    <row r="196">
      <c r="A196" s="20" t="inlineStr">
        <is>
          <t>VC6</t>
        </is>
      </c>
      <c r="B196" s="20" t="inlineStr">
        <is>
          <t>1013</t>
        </is>
      </c>
      <c r="C196" s="10" t="n">
        <v>1</v>
      </c>
      <c r="D196" s="10" t="n">
        <v>3.25</v>
      </c>
      <c r="E196" s="10" t="n">
        <v>3.25</v>
      </c>
      <c r="F196" s="10" t="n">
        <v>450</v>
      </c>
      <c r="G196" s="10" t="n">
        <v>550</v>
      </c>
      <c r="H196" s="17" t="n">
        <v>450</v>
      </c>
      <c r="I196" s="17" t="n">
        <v>550</v>
      </c>
      <c r="J196" s="30" t="n">
        <v>40.0728</v>
      </c>
      <c r="K196" s="10" t="inlineStr">
        <is>
          <t>1013</t>
        </is>
      </c>
      <c r="L196" s="30" t="n">
        <v>20.9002</v>
      </c>
      <c r="M196" s="10" t="inlineStr">
        <is>
          <t>1013</t>
        </is>
      </c>
      <c r="N196" s="30" t="n">
        <v>29.27</v>
      </c>
      <c r="O196" s="30" t="n">
        <v>76.30500000000001</v>
      </c>
      <c r="P196" s="10" t="inlineStr">
        <is>
          <t>1013</t>
        </is>
      </c>
      <c r="Q196" s="30" t="n">
        <v>4.3046</v>
      </c>
      <c r="R196" s="10">
        <f>MAX(MAX(1.4/'Parametros'!$B$3,0.25*SQRT('Parametros'!$B$2)/'Parametros'!$B$3)*H196*U196,(0.85*'Parametros'!$B$2/'Parametros'!$B$3)*(1-SQRT(1-2*(J196*1000000/('Parametros'!$B$5*H196*U196^2))/(0.85*'Parametros'!$B$2)))*H196*U196)</f>
        <v>734.025</v>
      </c>
      <c r="S196" s="31" t="n">
        <v>4</v>
      </c>
      <c r="T196" s="32" t="n">
        <v>1</v>
      </c>
      <c r="U196" s="10">
        <f>IF(T196=1,I196-('Parametros'!$B$7+'Parametros'!$B$9+'Parametros'!$B$12/2),I196-(ROUNDUP(S196/2,0)*('Parametros'!$B$7+'Parametros'!$B$9+'Parametros'!$B$12/2)+ROUNDDOWN(S196/2,0)*('Parametros'!$B$7+'Parametros'!$B$9+'Parametros'!$B$12/2+'Parametros'!$B$12+'Parametros'!$B$10))/S196)</f>
        <v>489.35</v>
      </c>
      <c r="V196" s="10">
        <f>S196*'Parametros'!$B$8</f>
        <v>796</v>
      </c>
      <c r="W196" s="10">
        <f>'Parametros'!$B$5*V196*'Parametros'!$B$3*(U196-(V196*'Parametros'!$B$3/(0.85*'Parametros'!$B$2*H196))/2)/1000000</f>
        <v>142.543330094118</v>
      </c>
      <c r="X196" s="10" t="str">
        <f>IF(W196&gt;=J196,"CUMPLE","NO CUMPLE")</f>
        <v>CUMPLE</v>
      </c>
      <c r="Y196" s="10">
        <f>MAX(MAX(1.4/'Parametros'!$B$3,0.25*SQRT('Parametros'!$B$2)/'Parametros'!$B$3)*H196*AB196,(0.85*'Parametros'!$B$2/'Parametros'!$B$3)*(1-SQRT(1-2*(L196*1000000/('Parametros'!$B$5*H196*AB196^2))/(0.85*'Parametros'!$B$2)))*H196*AB196)</f>
        <v>734.025</v>
      </c>
      <c r="Z196" s="31" t="n">
        <v>4</v>
      </c>
      <c r="AA196" s="32" t="n">
        <v>1</v>
      </c>
      <c r="AB196" s="10">
        <f>IF(AA196=1,I196-('Parametros'!$B$7+'Parametros'!$B$9+'Parametros'!$B$12/2),I196-(ROUNDUP(Z196/2,0)*('Parametros'!$B$7+'Parametros'!$B$9+'Parametros'!$B$12/2)+ROUNDDOWN(Z196/2,0)*('Parametros'!$B$7+'Parametros'!$B$9+'Parametros'!$B$12/2+'Parametros'!$B$12+'Parametros'!$B$10))/Z196)</f>
        <v>489.35</v>
      </c>
      <c r="AC196" s="10">
        <f>Z196*'Parametros'!$B$8</f>
        <v>796</v>
      </c>
      <c r="AD196" s="10">
        <f>'Parametros'!$B$5*AC196*'Parametros'!$B$3*(AB196-(AC196*'Parametros'!$B$3/(0.85*'Parametros'!$B$2*H196))/2)/1000000</f>
        <v>142.543330094118</v>
      </c>
      <c r="AE196" s="10" t="str">
        <f>IF(AD196&gt;=L196,"CUMPLE","NO CUMPLE")</f>
        <v>CUMPLE</v>
      </c>
      <c r="AF196" s="10">
        <f>V196*1.25*'Parametros'!$B$3*(U196-(V196*1.25*'Parametros'!$B$3/(0.85*'Parametros'!$B$2*H196))/2)/1000000</f>
        <v>196.346217941176</v>
      </c>
      <c r="AG196" s="10">
        <f>AC196*1.25*'Parametros'!$B$3*(AB196-(AC196*1.25*'Parametros'!$B$3/(0.85*'Parametros'!$B$2*H196))/2)/1000000</f>
        <v>196.346217941176</v>
      </c>
      <c r="AH196" s="10">
        <f>N196+(AF196+AG196)/D196</f>
        <v>150.098441809955</v>
      </c>
      <c r="AI196" s="10">
        <f>MAX(O196,AH196)</f>
        <v>150.098441809955</v>
      </c>
      <c r="AJ196" s="10">
        <f>0.17*SQRT('Parametros'!$B$2)*H196*MIN(U196,AB196)/1000</f>
        <v>198.088855822627</v>
      </c>
      <c r="AK196" s="10">
        <f>MAX(AI196/'Parametros'!$B$6-AJ196,0)</f>
        <v>2.04239992397936</v>
      </c>
      <c r="AL196" s="10">
        <f>0.66*SQRT('Parametros'!$B$2)*H196*MIN(U196,AB196)/1000</f>
        <v>769.050852017258</v>
      </c>
      <c r="AM196" s="10" t="str">
        <f>IF(AK196&lt;=AL196,"CUMPLE","NO CUMPLE")</f>
        <v>CUMPLE</v>
      </c>
      <c r="AN196" s="17" t="inlineStr">
        <is>
          <t>Nº3 cerrado</t>
        </is>
      </c>
      <c r="AO196" s="31" t="n">
        <v>2</v>
      </c>
      <c r="AP196" s="10">
        <f>ROUNDDOWN(MIN(IF(BC196+BD196=0,1000000000,AO196*BB196/(BC196+BD196)),MIN(U196,AB196)/4,8*'Parametros'!$B$12,24*BA196,300,IF(AV196=0,1000000000,2*((H196-2*('Parametros'!$B$7+'Parametros'!$B$9/2))+(I196-2*('Parametros'!$B$7+'Parametros'!$B$9/2)))/8))/10,0)*10</f>
        <v>120</v>
      </c>
      <c r="AQ196" s="10">
        <f>ROUNDDOWN(MIN(IF(BC196+BD196=0,1000000000,AO196*BB196/(BC196+BD196)),IF(AK196&gt;0.33*SQRT('Parametros'!$B$2)*H196*MIN(U196,AB196)/1000,MIN(U196,AB196)/4,MIN(U196,AB196)/2),600,IF(AV196=0,1000000000,2*((H196-2*('Parametros'!$B$7+'Parametros'!$B$9/2))+(I196-2*('Parametros'!$B$7+'Parametros'!$B$9/2)))/8))/10,0)*10</f>
        <v>240</v>
      </c>
      <c r="AR196" s="10">
        <f>'Parametros'!$B$6*(AJ196+MAX(BE196-BD196,0)*'Parametros'!$B$4*MIN(U196,AB196)/1000)</f>
        <v>330.97185436697</v>
      </c>
      <c r="AS196" s="10" t="str">
        <f>IF(AND(ISERROR(SEARCH("referencia",AN196)),AM196="CUMPLE",AR196&gt;=AI196),"CUMPLE","NO CUMPLE")</f>
        <v>CUMPLE</v>
      </c>
      <c r="AT196" s="10">
        <f>'Parametros'!$B$6*0.083*SQRT('Parametros'!$B$2)*(H196*I196)^2/(2*(H196+I196))/1000000</f>
        <v>10.0887830333379</v>
      </c>
      <c r="AU196" s="10" t="str">
        <f>IF(Q196&lt;=AT196,"DESPRECIABLE","DISEÑAR")</f>
        <v>DESPRECIABLE</v>
      </c>
      <c r="AV196" s="10">
        <f>IF(Q196&lt;=AT196,0,Q196*1000000/('Parametros'!$B$6*2*0.85*(H196-2*('Parametros'!$B$7+'Parametros'!$B$9/2))*(I196-2*('Parametros'!$B$7+'Parametros'!$B$9/2))*'Parametros'!$B$4))</f>
        <v>0</v>
      </c>
      <c r="AW196" s="10">
        <f>AV196*2*((H196-2*('Parametros'!$B$7+'Parametros'!$B$9/2))+(I196-2*('Parametros'!$B$7+'Parametros'!$B$9/2)))*'Parametros'!$B$4/'Parametros'!$B$3</f>
        <v>0</v>
      </c>
      <c r="AX196" s="31" t="n">
        <v>0</v>
      </c>
      <c r="AY196" s="10" t="str">
        <f>IF(AV196=0,"DESPRECIABLE",IF(AND(ISERROR(SEARCH("referencia",AN196)),BB196/AP196&gt;=AV196,BI196&gt;=AW196,BH196="CUMPLE"),"CUMPLE","NO CUMPLE"))</f>
        <v>DESPRECIABLE</v>
      </c>
      <c r="AZ196" s="10" t="str">
        <f>IF(AND(X196="CUMPLE",AE196="CUMPLE",AS196="CUMPLE",OR(AY196="CUMPLE",AY196="DESPRECIABLE"),BH196="CUMPLE",BJ196="CUMPLE"),"CUMPLE","NO CUMPLE")</f>
        <v>CUMPLE</v>
      </c>
      <c r="BA196" s="32" t="n">
        <v>9.5</v>
      </c>
      <c r="BB196" s="32" t="n">
        <v>71</v>
      </c>
      <c r="BC196" s="10">
        <f>MAX(IF(AK196=0,0,AK196*1000/('Parametros'!$B$4*MIN(U196,AB196))),MAX(0.062*SQRT('Parametros'!$B$2)*H196/'Parametros'!$B$4,0.35*H196/'Parametros'!$B$4))</f>
        <v>0.375</v>
      </c>
      <c r="BD196" s="10">
        <f>2*AV196</f>
        <v>0</v>
      </c>
      <c r="BE196" s="10">
        <f>AO196*BB196/AP196</f>
        <v>1.18333333333333</v>
      </c>
      <c r="BF196" s="10">
        <f>SQRT((AI196*1000/(H196*MIN(U196,AB196)))^2+(Q196*1000000*2*((H196-2*('Parametros'!$B$7+'Parametros'!$B$9/2))+(I196-2*('Parametros'!$B$7+'Parametros'!$B$9/2)))/(1.7*((H196-2*('Parametros'!$B$7+'Parametros'!$B$9/2))*(I196-2*('Parametros'!$B$7+'Parametros'!$B$9/2)))^2))^2)</f>
        <v>0.69891814269478</v>
      </c>
      <c r="BG196" s="10">
        <f>'Parametros'!$B$6*(AJ196*1000/(H196*MIN(U196,AB196))+0.66*SQRT('Parametros'!$B$2))</f>
        <v>3.29396038227542</v>
      </c>
      <c r="BH196" s="10" t="str">
        <f>IF(BF196&lt;=BG196,"CUMPLE","NO CUMPLE")</f>
        <v>CUMPLE</v>
      </c>
      <c r="BI196" s="10">
        <f>AX196*'Parametros'!$B$8</f>
        <v>0</v>
      </c>
      <c r="BJ196" s="10" t="str">
        <f>IF(BI196&gt;=AW196,"CUMPLE","NO CUMPLE")</f>
        <v>CUMPLE</v>
      </c>
    </row>
    <row r="197">
      <c r="A197" s="20" t="inlineStr">
        <is>
          <t>VC6</t>
        </is>
      </c>
      <c r="B197" s="20" t="inlineStr">
        <is>
          <t>1014</t>
        </is>
      </c>
      <c r="C197" s="10" t="n">
        <v>1</v>
      </c>
      <c r="D197" s="10" t="n">
        <v>3.3</v>
      </c>
      <c r="E197" s="10" t="n">
        <v>3.3</v>
      </c>
      <c r="F197" s="10" t="n">
        <v>450</v>
      </c>
      <c r="G197" s="10" t="n">
        <v>550</v>
      </c>
      <c r="H197" s="17" t="n">
        <v>450</v>
      </c>
      <c r="I197" s="17" t="n">
        <v>550</v>
      </c>
      <c r="J197" s="30" t="n">
        <v>48.867</v>
      </c>
      <c r="K197" s="10" t="inlineStr">
        <is>
          <t>1014</t>
        </is>
      </c>
      <c r="L197" s="30" t="n">
        <v>29.2076</v>
      </c>
      <c r="M197" s="10" t="inlineStr">
        <is>
          <t>1014</t>
        </is>
      </c>
      <c r="N197" s="30" t="n">
        <v>36.568</v>
      </c>
      <c r="O197" s="30" t="n">
        <v>109.421</v>
      </c>
      <c r="P197" s="10" t="inlineStr">
        <is>
          <t>1014</t>
        </is>
      </c>
      <c r="Q197" s="30" t="n">
        <v>7.7313</v>
      </c>
      <c r="R197" s="10">
        <f>MAX(MAX(1.4/'Parametros'!$B$3,0.25*SQRT('Parametros'!$B$2)/'Parametros'!$B$3)*H197*U197,(0.85*'Parametros'!$B$2/'Parametros'!$B$3)*(1-SQRT(1-2*(J197*1000000/('Parametros'!$B$5*H197*U197^2))/(0.85*'Parametros'!$B$2)))*H197*U197)</f>
        <v>734.025</v>
      </c>
      <c r="S197" s="31" t="n">
        <v>4</v>
      </c>
      <c r="T197" s="32" t="n">
        <v>1</v>
      </c>
      <c r="U197" s="10">
        <f>IF(T197=1,I197-('Parametros'!$B$7+'Parametros'!$B$9+'Parametros'!$B$12/2),I197-(ROUNDUP(S197/2,0)*('Parametros'!$B$7+'Parametros'!$B$9+'Parametros'!$B$12/2)+ROUNDDOWN(S197/2,0)*('Parametros'!$B$7+'Parametros'!$B$9+'Parametros'!$B$12/2+'Parametros'!$B$12+'Parametros'!$B$10))/S197)</f>
        <v>489.35</v>
      </c>
      <c r="V197" s="10">
        <f>S197*'Parametros'!$B$8</f>
        <v>796</v>
      </c>
      <c r="W197" s="10">
        <f>'Parametros'!$B$5*V197*'Parametros'!$B$3*(U197-(V197*'Parametros'!$B$3/(0.85*'Parametros'!$B$2*H197))/2)/1000000</f>
        <v>142.543330094118</v>
      </c>
      <c r="X197" s="10" t="str">
        <f>IF(W197&gt;=J197,"CUMPLE","NO CUMPLE")</f>
        <v>CUMPLE</v>
      </c>
      <c r="Y197" s="10">
        <f>MAX(MAX(1.4/'Parametros'!$B$3,0.25*SQRT('Parametros'!$B$2)/'Parametros'!$B$3)*H197*AB197,(0.85*'Parametros'!$B$2/'Parametros'!$B$3)*(1-SQRT(1-2*(L197*1000000/('Parametros'!$B$5*H197*AB197^2))/(0.85*'Parametros'!$B$2)))*H197*AB197)</f>
        <v>734.025</v>
      </c>
      <c r="Z197" s="31" t="n">
        <v>4</v>
      </c>
      <c r="AA197" s="32" t="n">
        <v>1</v>
      </c>
      <c r="AB197" s="10">
        <f>IF(AA197=1,I197-('Parametros'!$B$7+'Parametros'!$B$9+'Parametros'!$B$12/2),I197-(ROUNDUP(Z197/2,0)*('Parametros'!$B$7+'Parametros'!$B$9+'Parametros'!$B$12/2)+ROUNDDOWN(Z197/2,0)*('Parametros'!$B$7+'Parametros'!$B$9+'Parametros'!$B$12/2+'Parametros'!$B$12+'Parametros'!$B$10))/Z197)</f>
        <v>489.35</v>
      </c>
      <c r="AC197" s="10">
        <f>Z197*'Parametros'!$B$8</f>
        <v>796</v>
      </c>
      <c r="AD197" s="10">
        <f>'Parametros'!$B$5*AC197*'Parametros'!$B$3*(AB197-(AC197*'Parametros'!$B$3/(0.85*'Parametros'!$B$2*H197))/2)/1000000</f>
        <v>142.543330094118</v>
      </c>
      <c r="AE197" s="10" t="str">
        <f>IF(AD197&gt;=L197,"CUMPLE","NO CUMPLE")</f>
        <v>CUMPLE</v>
      </c>
      <c r="AF197" s="10">
        <f>V197*1.25*'Parametros'!$B$3*(U197-(V197*1.25*'Parametros'!$B$3/(0.85*'Parametros'!$B$2*H197))/2)/1000000</f>
        <v>196.346217941176</v>
      </c>
      <c r="AG197" s="10">
        <f>AC197*1.25*'Parametros'!$B$3*(AB197-(AC197*1.25*'Parametros'!$B$3/(0.85*'Parametros'!$B$2*H197))/2)/1000000</f>
        <v>196.346217941176</v>
      </c>
      <c r="AH197" s="10">
        <f>N197+(AF197+AG197)/D197</f>
        <v>155.565707843137</v>
      </c>
      <c r="AI197" s="10">
        <f>MAX(O197,AH197)</f>
        <v>155.565707843137</v>
      </c>
      <c r="AJ197" s="10">
        <f>0.17*SQRT('Parametros'!$B$2)*H197*MIN(U197,AB197)/1000</f>
        <v>198.088855822627</v>
      </c>
      <c r="AK197" s="10">
        <f>MAX(AI197/'Parametros'!$B$6-AJ197,0)</f>
        <v>9.33208796822271</v>
      </c>
      <c r="AL197" s="10">
        <f>0.66*SQRT('Parametros'!$B$2)*H197*MIN(U197,AB197)/1000</f>
        <v>769.050852017258</v>
      </c>
      <c r="AM197" s="10" t="str">
        <f>IF(AK197&lt;=AL197,"CUMPLE","NO CUMPLE")</f>
        <v>CUMPLE</v>
      </c>
      <c r="AN197" s="17" t="inlineStr">
        <is>
          <t>Nº3 cerrado</t>
        </is>
      </c>
      <c r="AO197" s="31" t="n">
        <v>2</v>
      </c>
      <c r="AP197" s="10">
        <f>ROUNDDOWN(MIN(IF(BC197+BD197=0,1000000000,AO197*BB197/(BC197+BD197)),MIN(U197,AB197)/4,8*'Parametros'!$B$12,24*BA197,300,IF(AV197=0,1000000000,2*((H197-2*('Parametros'!$B$7+'Parametros'!$B$9/2))+(I197-2*('Parametros'!$B$7+'Parametros'!$B$9/2)))/8))/10,0)*10</f>
        <v>120</v>
      </c>
      <c r="AQ197" s="10">
        <f>ROUNDDOWN(MIN(IF(BC197+BD197=0,1000000000,AO197*BB197/(BC197+BD197)),IF(AK197&gt;0.33*SQRT('Parametros'!$B$2)*H197*MIN(U197,AB197)/1000,MIN(U197,AB197)/4,MIN(U197,AB197)/2),600,IF(AV197=0,1000000000,2*((H197-2*('Parametros'!$B$7+'Parametros'!$B$9/2))+(I197-2*('Parametros'!$B$7+'Parametros'!$B$9/2)))/8))/10,0)*10</f>
        <v>240</v>
      </c>
      <c r="AR197" s="10">
        <f>'Parametros'!$B$6*(AJ197+MAX(BE197-BD197,0)*'Parametros'!$B$4*MIN(U197,AB197)/1000)</f>
        <v>330.97185436697</v>
      </c>
      <c r="AS197" s="10" t="str">
        <f>IF(AND(ISERROR(SEARCH("referencia",AN197)),AM197="CUMPLE",AR197&gt;=AI197),"CUMPLE","NO CUMPLE")</f>
        <v>CUMPLE</v>
      </c>
      <c r="AT197" s="10">
        <f>'Parametros'!$B$6*0.083*SQRT('Parametros'!$B$2)*(H197*I197)^2/(2*(H197+I197))/1000000</f>
        <v>10.0887830333379</v>
      </c>
      <c r="AU197" s="10" t="str">
        <f>IF(Q197&lt;=AT197,"DESPRECIABLE","DISEÑAR")</f>
        <v>DESPRECIABLE</v>
      </c>
      <c r="AV197" s="10">
        <f>IF(Q197&lt;=AT197,0,Q197*1000000/('Parametros'!$B$6*2*0.85*(H197-2*('Parametros'!$B$7+'Parametros'!$B$9/2))*(I197-2*('Parametros'!$B$7+'Parametros'!$B$9/2))*'Parametros'!$B$4))</f>
        <v>0</v>
      </c>
      <c r="AW197" s="10">
        <f>AV197*2*((H197-2*('Parametros'!$B$7+'Parametros'!$B$9/2))+(I197-2*('Parametros'!$B$7+'Parametros'!$B$9/2)))*'Parametros'!$B$4/'Parametros'!$B$3</f>
        <v>0</v>
      </c>
      <c r="AX197" s="31" t="n">
        <v>0</v>
      </c>
      <c r="AY197" s="10" t="str">
        <f>IF(AV197=0,"DESPRECIABLE",IF(AND(ISERROR(SEARCH("referencia",AN197)),BB197/AP197&gt;=AV197,BI197&gt;=AW197,BH197="CUMPLE"),"CUMPLE","NO CUMPLE"))</f>
        <v>DESPRECIABLE</v>
      </c>
      <c r="AZ197" s="10" t="str">
        <f>IF(AND(X197="CUMPLE",AE197="CUMPLE",AS197="CUMPLE",OR(AY197="CUMPLE",AY197="DESPRECIABLE"),BH197="CUMPLE",BJ197="CUMPLE"),"CUMPLE","NO CUMPLE")</f>
        <v>CUMPLE</v>
      </c>
      <c r="BA197" s="32" t="n">
        <v>9.5</v>
      </c>
      <c r="BB197" s="32" t="n">
        <v>71</v>
      </c>
      <c r="BC197" s="10">
        <f>MAX(IF(AK197=0,0,AK197*1000/('Parametros'!$B$4*MIN(U197,AB197))),MAX(0.062*SQRT('Parametros'!$B$2)*H197/'Parametros'!$B$4,0.35*H197/'Parametros'!$B$4))</f>
        <v>0.375</v>
      </c>
      <c r="BD197" s="10">
        <f>2*AV197</f>
        <v>0</v>
      </c>
      <c r="BE197" s="10">
        <f>AO197*BB197/AP197</f>
        <v>1.18333333333333</v>
      </c>
      <c r="BF197" s="10">
        <f>SQRT((AI197*1000/(H197*MIN(U197,AB197)))^2+(Q197*1000000*2*((H197-2*('Parametros'!$B$7+'Parametros'!$B$9/2))+(I197-2*('Parametros'!$B$7+'Parametros'!$B$9/2)))/(1.7*((H197-2*('Parametros'!$B$7+'Parametros'!$B$9/2))*(I197-2*('Parametros'!$B$7+'Parametros'!$B$9/2)))^2))^2)</f>
        <v>0.759009315104494</v>
      </c>
      <c r="BG197" s="10">
        <f>'Parametros'!$B$6*(AJ197*1000/(H197*MIN(U197,AB197))+0.66*SQRT('Parametros'!$B$2))</f>
        <v>3.29396038227542</v>
      </c>
      <c r="BH197" s="10" t="str">
        <f>IF(BF197&lt;=BG197,"CUMPLE","NO CUMPLE")</f>
        <v>CUMPLE</v>
      </c>
      <c r="BI197" s="10">
        <f>AX197*'Parametros'!$B$8</f>
        <v>0</v>
      </c>
      <c r="BJ197" s="10" t="str">
        <f>IF(BI197&gt;=AW197,"CUMPLE","NO CUMPLE")</f>
        <v>CUMPLE</v>
      </c>
    </row>
    <row r="198">
      <c r="A198" s="20" t="inlineStr">
        <is>
          <t>VC6</t>
        </is>
      </c>
      <c r="B198" s="20" t="inlineStr">
        <is>
          <t>1015</t>
        </is>
      </c>
      <c r="C198" s="10" t="n">
        <v>1</v>
      </c>
      <c r="D198" s="10" t="n">
        <v>3.3</v>
      </c>
      <c r="E198" s="10" t="n">
        <v>3.3</v>
      </c>
      <c r="F198" s="10" t="n">
        <v>450</v>
      </c>
      <c r="G198" s="10" t="n">
        <v>550</v>
      </c>
      <c r="H198" s="17" t="n">
        <v>450</v>
      </c>
      <c r="I198" s="17" t="n">
        <v>550</v>
      </c>
      <c r="J198" s="30" t="n">
        <v>48.8437</v>
      </c>
      <c r="K198" s="10" t="inlineStr">
        <is>
          <t>1015</t>
        </is>
      </c>
      <c r="L198" s="30" t="n">
        <v>29.2016</v>
      </c>
      <c r="M198" s="10" t="inlineStr">
        <is>
          <t>1015</t>
        </is>
      </c>
      <c r="N198" s="30" t="n">
        <v>36.558</v>
      </c>
      <c r="O198" s="30" t="n">
        <v>109.412</v>
      </c>
      <c r="P198" s="10" t="inlineStr">
        <is>
          <t>1015</t>
        </is>
      </c>
      <c r="Q198" s="30" t="n">
        <v>7.7313</v>
      </c>
      <c r="R198" s="10">
        <f>MAX(MAX(1.4/'Parametros'!$B$3,0.25*SQRT('Parametros'!$B$2)/'Parametros'!$B$3)*H198*U198,(0.85*'Parametros'!$B$2/'Parametros'!$B$3)*(1-SQRT(1-2*(J198*1000000/('Parametros'!$B$5*H198*U198^2))/(0.85*'Parametros'!$B$2)))*H198*U198)</f>
        <v>734.025</v>
      </c>
      <c r="S198" s="31" t="n">
        <v>4</v>
      </c>
      <c r="T198" s="32" t="n">
        <v>1</v>
      </c>
      <c r="U198" s="10">
        <f>IF(T198=1,I198-('Parametros'!$B$7+'Parametros'!$B$9+'Parametros'!$B$12/2),I198-(ROUNDUP(S198/2,0)*('Parametros'!$B$7+'Parametros'!$B$9+'Parametros'!$B$12/2)+ROUNDDOWN(S198/2,0)*('Parametros'!$B$7+'Parametros'!$B$9+'Parametros'!$B$12/2+'Parametros'!$B$12+'Parametros'!$B$10))/S198)</f>
        <v>489.35</v>
      </c>
      <c r="V198" s="10">
        <f>S198*'Parametros'!$B$8</f>
        <v>796</v>
      </c>
      <c r="W198" s="10">
        <f>'Parametros'!$B$5*V198*'Parametros'!$B$3*(U198-(V198*'Parametros'!$B$3/(0.85*'Parametros'!$B$2*H198))/2)/1000000</f>
        <v>142.543330094118</v>
      </c>
      <c r="X198" s="10" t="str">
        <f>IF(W198&gt;=J198,"CUMPLE","NO CUMPLE")</f>
        <v>CUMPLE</v>
      </c>
      <c r="Y198" s="10">
        <f>MAX(MAX(1.4/'Parametros'!$B$3,0.25*SQRT('Parametros'!$B$2)/'Parametros'!$B$3)*H198*AB198,(0.85*'Parametros'!$B$2/'Parametros'!$B$3)*(1-SQRT(1-2*(L198*1000000/('Parametros'!$B$5*H198*AB198^2))/(0.85*'Parametros'!$B$2)))*H198*AB198)</f>
        <v>734.025</v>
      </c>
      <c r="Z198" s="31" t="n">
        <v>4</v>
      </c>
      <c r="AA198" s="32" t="n">
        <v>1</v>
      </c>
      <c r="AB198" s="10">
        <f>IF(AA198=1,I198-('Parametros'!$B$7+'Parametros'!$B$9+'Parametros'!$B$12/2),I198-(ROUNDUP(Z198/2,0)*('Parametros'!$B$7+'Parametros'!$B$9+'Parametros'!$B$12/2)+ROUNDDOWN(Z198/2,0)*('Parametros'!$B$7+'Parametros'!$B$9+'Parametros'!$B$12/2+'Parametros'!$B$12+'Parametros'!$B$10))/Z198)</f>
        <v>489.35</v>
      </c>
      <c r="AC198" s="10">
        <f>Z198*'Parametros'!$B$8</f>
        <v>796</v>
      </c>
      <c r="AD198" s="10">
        <f>'Parametros'!$B$5*AC198*'Parametros'!$B$3*(AB198-(AC198*'Parametros'!$B$3/(0.85*'Parametros'!$B$2*H198))/2)/1000000</f>
        <v>142.543330094118</v>
      </c>
      <c r="AE198" s="10" t="str">
        <f>IF(AD198&gt;=L198,"CUMPLE","NO CUMPLE")</f>
        <v>CUMPLE</v>
      </c>
      <c r="AF198" s="10">
        <f>V198*1.25*'Parametros'!$B$3*(U198-(V198*1.25*'Parametros'!$B$3/(0.85*'Parametros'!$B$2*H198))/2)/1000000</f>
        <v>196.346217941176</v>
      </c>
      <c r="AG198" s="10">
        <f>AC198*1.25*'Parametros'!$B$3*(AB198-(AC198*1.25*'Parametros'!$B$3/(0.85*'Parametros'!$B$2*H198))/2)/1000000</f>
        <v>196.346217941176</v>
      </c>
      <c r="AH198" s="10">
        <f>N198+(AF198+AG198)/D198</f>
        <v>155.555707843137</v>
      </c>
      <c r="AI198" s="10">
        <f>MAX(O198,AH198)</f>
        <v>155.555707843137</v>
      </c>
      <c r="AJ198" s="10">
        <f>0.17*SQRT('Parametros'!$B$2)*H198*MIN(U198,AB198)/1000</f>
        <v>198.088855822627</v>
      </c>
      <c r="AK198" s="10">
        <f>MAX(AI198/'Parametros'!$B$6-AJ198,0)</f>
        <v>9.31875463488939</v>
      </c>
      <c r="AL198" s="10">
        <f>0.66*SQRT('Parametros'!$B$2)*H198*MIN(U198,AB198)/1000</f>
        <v>769.050852017258</v>
      </c>
      <c r="AM198" s="10" t="str">
        <f>IF(AK198&lt;=AL198,"CUMPLE","NO CUMPLE")</f>
        <v>CUMPLE</v>
      </c>
      <c r="AN198" s="17" t="inlineStr">
        <is>
          <t>Nº3 cerrado</t>
        </is>
      </c>
      <c r="AO198" s="31" t="n">
        <v>2</v>
      </c>
      <c r="AP198" s="10">
        <f>ROUNDDOWN(MIN(IF(BC198+BD198=0,1000000000,AO198*BB198/(BC198+BD198)),MIN(U198,AB198)/4,8*'Parametros'!$B$12,24*BA198,300,IF(AV198=0,1000000000,2*((H198-2*('Parametros'!$B$7+'Parametros'!$B$9/2))+(I198-2*('Parametros'!$B$7+'Parametros'!$B$9/2)))/8))/10,0)*10</f>
        <v>120</v>
      </c>
      <c r="AQ198" s="10">
        <f>ROUNDDOWN(MIN(IF(BC198+BD198=0,1000000000,AO198*BB198/(BC198+BD198)),IF(AK198&gt;0.33*SQRT('Parametros'!$B$2)*H198*MIN(U198,AB198)/1000,MIN(U198,AB198)/4,MIN(U198,AB198)/2),600,IF(AV198=0,1000000000,2*((H198-2*('Parametros'!$B$7+'Parametros'!$B$9/2))+(I198-2*('Parametros'!$B$7+'Parametros'!$B$9/2)))/8))/10,0)*10</f>
        <v>240</v>
      </c>
      <c r="AR198" s="10">
        <f>'Parametros'!$B$6*(AJ198+MAX(BE198-BD198,0)*'Parametros'!$B$4*MIN(U198,AB198)/1000)</f>
        <v>330.97185436697</v>
      </c>
      <c r="AS198" s="10" t="str">
        <f>IF(AND(ISERROR(SEARCH("referencia",AN198)),AM198="CUMPLE",AR198&gt;=AI198),"CUMPLE","NO CUMPLE")</f>
        <v>CUMPLE</v>
      </c>
      <c r="AT198" s="10">
        <f>'Parametros'!$B$6*0.083*SQRT('Parametros'!$B$2)*(H198*I198)^2/(2*(H198+I198))/1000000</f>
        <v>10.0887830333379</v>
      </c>
      <c r="AU198" s="10" t="str">
        <f>IF(Q198&lt;=AT198,"DESPRECIABLE","DISEÑAR")</f>
        <v>DESPRECIABLE</v>
      </c>
      <c r="AV198" s="10">
        <f>IF(Q198&lt;=AT198,0,Q198*1000000/('Parametros'!$B$6*2*0.85*(H198-2*('Parametros'!$B$7+'Parametros'!$B$9/2))*(I198-2*('Parametros'!$B$7+'Parametros'!$B$9/2))*'Parametros'!$B$4))</f>
        <v>0</v>
      </c>
      <c r="AW198" s="10">
        <f>AV198*2*((H198-2*('Parametros'!$B$7+'Parametros'!$B$9/2))+(I198-2*('Parametros'!$B$7+'Parametros'!$B$9/2)))*'Parametros'!$B$4/'Parametros'!$B$3</f>
        <v>0</v>
      </c>
      <c r="AX198" s="31" t="n">
        <v>0</v>
      </c>
      <c r="AY198" s="10" t="str">
        <f>IF(AV198=0,"DESPRECIABLE",IF(AND(ISERROR(SEARCH("referencia",AN198)),BB198/AP198&gt;=AV198,BI198&gt;=AW198,BH198="CUMPLE"),"CUMPLE","NO CUMPLE"))</f>
        <v>DESPRECIABLE</v>
      </c>
      <c r="AZ198" s="10" t="str">
        <f>IF(AND(X198="CUMPLE",AE198="CUMPLE",AS198="CUMPLE",OR(AY198="CUMPLE",AY198="DESPRECIABLE"),BH198="CUMPLE",BJ198="CUMPLE"),"CUMPLE","NO CUMPLE")</f>
        <v>CUMPLE</v>
      </c>
      <c r="BA198" s="32" t="n">
        <v>9.5</v>
      </c>
      <c r="BB198" s="32" t="n">
        <v>71</v>
      </c>
      <c r="BC198" s="10">
        <f>MAX(IF(AK198=0,0,AK198*1000/('Parametros'!$B$4*MIN(U198,AB198))),MAX(0.062*SQRT('Parametros'!$B$2)*H198/'Parametros'!$B$4,0.35*H198/'Parametros'!$B$4))</f>
        <v>0.375</v>
      </c>
      <c r="BD198" s="10">
        <f>2*AV198</f>
        <v>0</v>
      </c>
      <c r="BE198" s="10">
        <f>AO198*BB198/AP198</f>
        <v>1.18333333333333</v>
      </c>
      <c r="BF198" s="10">
        <f>SQRT((AI198*1000/(H198*MIN(U198,AB198)))^2+(Q198*1000000*2*((H198-2*('Parametros'!$B$7+'Parametros'!$B$9/2))+(I198-2*('Parametros'!$B$7+'Parametros'!$B$9/2)))/(1.7*((H198-2*('Parametros'!$B$7+'Parametros'!$B$9/2))*(I198-2*('Parametros'!$B$7+'Parametros'!$B$9/2)))^2))^2)</f>
        <v>0.758967048176467</v>
      </c>
      <c r="BG198" s="10">
        <f>'Parametros'!$B$6*(AJ198*1000/(H198*MIN(U198,AB198))+0.66*SQRT('Parametros'!$B$2))</f>
        <v>3.29396038227542</v>
      </c>
      <c r="BH198" s="10" t="str">
        <f>IF(BF198&lt;=BG198,"CUMPLE","NO CUMPLE")</f>
        <v>CUMPLE</v>
      </c>
      <c r="BI198" s="10">
        <f>AX198*'Parametros'!$B$8</f>
        <v>0</v>
      </c>
      <c r="BJ198" s="10" t="str">
        <f>IF(BI198&gt;=AW198,"CUMPLE","NO CUMPLE")</f>
        <v>CUMPLE</v>
      </c>
    </row>
    <row r="199">
      <c r="A199" s="20" t="inlineStr">
        <is>
          <t>VC6</t>
        </is>
      </c>
      <c r="B199" s="20" t="inlineStr">
        <is>
          <t>1016</t>
        </is>
      </c>
      <c r="C199" s="10" t="n">
        <v>1</v>
      </c>
      <c r="D199" s="10" t="n">
        <v>3.25</v>
      </c>
      <c r="E199" s="10" t="n">
        <v>3.25</v>
      </c>
      <c r="F199" s="10" t="n">
        <v>450</v>
      </c>
      <c r="G199" s="10" t="n">
        <v>550</v>
      </c>
      <c r="H199" s="17" t="n">
        <v>450</v>
      </c>
      <c r="I199" s="17" t="n">
        <v>550</v>
      </c>
      <c r="J199" s="30" t="n">
        <v>40.0882</v>
      </c>
      <c r="K199" s="10" t="inlineStr">
        <is>
          <t>1016</t>
        </is>
      </c>
      <c r="L199" s="30" t="n">
        <v>20.9135</v>
      </c>
      <c r="M199" s="10" t="inlineStr">
        <is>
          <t>1016</t>
        </is>
      </c>
      <c r="N199" s="30" t="n">
        <v>29.277</v>
      </c>
      <c r="O199" s="30" t="n">
        <v>76.312</v>
      </c>
      <c r="P199" s="10" t="inlineStr">
        <is>
          <t>1016</t>
        </is>
      </c>
      <c r="Q199" s="30" t="n">
        <v>4.3031</v>
      </c>
      <c r="R199" s="10">
        <f>MAX(MAX(1.4/'Parametros'!$B$3,0.25*SQRT('Parametros'!$B$2)/'Parametros'!$B$3)*H199*U199,(0.85*'Parametros'!$B$2/'Parametros'!$B$3)*(1-SQRT(1-2*(J199*1000000/('Parametros'!$B$5*H199*U199^2))/(0.85*'Parametros'!$B$2)))*H199*U199)</f>
        <v>734.025</v>
      </c>
      <c r="S199" s="31" t="n">
        <v>4</v>
      </c>
      <c r="T199" s="32" t="n">
        <v>1</v>
      </c>
      <c r="U199" s="10">
        <f>IF(T199=1,I199-('Parametros'!$B$7+'Parametros'!$B$9+'Parametros'!$B$12/2),I199-(ROUNDUP(S199/2,0)*('Parametros'!$B$7+'Parametros'!$B$9+'Parametros'!$B$12/2)+ROUNDDOWN(S199/2,0)*('Parametros'!$B$7+'Parametros'!$B$9+'Parametros'!$B$12/2+'Parametros'!$B$12+'Parametros'!$B$10))/S199)</f>
        <v>489.35</v>
      </c>
      <c r="V199" s="10">
        <f>S199*'Parametros'!$B$8</f>
        <v>796</v>
      </c>
      <c r="W199" s="10">
        <f>'Parametros'!$B$5*V199*'Parametros'!$B$3*(U199-(V199*'Parametros'!$B$3/(0.85*'Parametros'!$B$2*H199))/2)/1000000</f>
        <v>142.543330094118</v>
      </c>
      <c r="X199" s="10" t="str">
        <f>IF(W199&gt;=J199,"CUMPLE","NO CUMPLE")</f>
        <v>CUMPLE</v>
      </c>
      <c r="Y199" s="10">
        <f>MAX(MAX(1.4/'Parametros'!$B$3,0.25*SQRT('Parametros'!$B$2)/'Parametros'!$B$3)*H199*AB199,(0.85*'Parametros'!$B$2/'Parametros'!$B$3)*(1-SQRT(1-2*(L199*1000000/('Parametros'!$B$5*H199*AB199^2))/(0.85*'Parametros'!$B$2)))*H199*AB199)</f>
        <v>734.025</v>
      </c>
      <c r="Z199" s="31" t="n">
        <v>4</v>
      </c>
      <c r="AA199" s="32" t="n">
        <v>1</v>
      </c>
      <c r="AB199" s="10">
        <f>IF(AA199=1,I199-('Parametros'!$B$7+'Parametros'!$B$9+'Parametros'!$B$12/2),I199-(ROUNDUP(Z199/2,0)*('Parametros'!$B$7+'Parametros'!$B$9+'Parametros'!$B$12/2)+ROUNDDOWN(Z199/2,0)*('Parametros'!$B$7+'Parametros'!$B$9+'Parametros'!$B$12/2+'Parametros'!$B$12+'Parametros'!$B$10))/Z199)</f>
        <v>489.35</v>
      </c>
      <c r="AC199" s="10">
        <f>Z199*'Parametros'!$B$8</f>
        <v>796</v>
      </c>
      <c r="AD199" s="10">
        <f>'Parametros'!$B$5*AC199*'Parametros'!$B$3*(AB199-(AC199*'Parametros'!$B$3/(0.85*'Parametros'!$B$2*H199))/2)/1000000</f>
        <v>142.543330094118</v>
      </c>
      <c r="AE199" s="10" t="str">
        <f>IF(AD199&gt;=L199,"CUMPLE","NO CUMPLE")</f>
        <v>CUMPLE</v>
      </c>
      <c r="AF199" s="10">
        <f>V199*1.25*'Parametros'!$B$3*(U199-(V199*1.25*'Parametros'!$B$3/(0.85*'Parametros'!$B$2*H199))/2)/1000000</f>
        <v>196.346217941176</v>
      </c>
      <c r="AG199" s="10">
        <f>AC199*1.25*'Parametros'!$B$3*(AB199-(AC199*1.25*'Parametros'!$B$3/(0.85*'Parametros'!$B$2*H199))/2)/1000000</f>
        <v>196.346217941176</v>
      </c>
      <c r="AH199" s="10">
        <f>N199+(AF199+AG199)/D199</f>
        <v>150.105441809955</v>
      </c>
      <c r="AI199" s="10">
        <f>MAX(O199,AH199)</f>
        <v>150.105441809955</v>
      </c>
      <c r="AJ199" s="10">
        <f>0.17*SQRT('Parametros'!$B$2)*H199*MIN(U199,AB199)/1000</f>
        <v>198.088855822627</v>
      </c>
      <c r="AK199" s="10">
        <f>MAX(AI199/'Parametros'!$B$6-AJ199,0)</f>
        <v>2.05173325731269</v>
      </c>
      <c r="AL199" s="10">
        <f>0.66*SQRT('Parametros'!$B$2)*H199*MIN(U199,AB199)/1000</f>
        <v>769.050852017258</v>
      </c>
      <c r="AM199" s="10" t="str">
        <f>IF(AK199&lt;=AL199,"CUMPLE","NO CUMPLE")</f>
        <v>CUMPLE</v>
      </c>
      <c r="AN199" s="17" t="inlineStr">
        <is>
          <t>Nº3 cerrado</t>
        </is>
      </c>
      <c r="AO199" s="31" t="n">
        <v>2</v>
      </c>
      <c r="AP199" s="10">
        <f>ROUNDDOWN(MIN(IF(BC199+BD199=0,1000000000,AO199*BB199/(BC199+BD199)),MIN(U199,AB199)/4,8*'Parametros'!$B$12,24*BA199,300,IF(AV199=0,1000000000,2*((H199-2*('Parametros'!$B$7+'Parametros'!$B$9/2))+(I199-2*('Parametros'!$B$7+'Parametros'!$B$9/2)))/8))/10,0)*10</f>
        <v>120</v>
      </c>
      <c r="AQ199" s="10">
        <f>ROUNDDOWN(MIN(IF(BC199+BD199=0,1000000000,AO199*BB199/(BC199+BD199)),IF(AK199&gt;0.33*SQRT('Parametros'!$B$2)*H199*MIN(U199,AB199)/1000,MIN(U199,AB199)/4,MIN(U199,AB199)/2),600,IF(AV199=0,1000000000,2*((H199-2*('Parametros'!$B$7+'Parametros'!$B$9/2))+(I199-2*('Parametros'!$B$7+'Parametros'!$B$9/2)))/8))/10,0)*10</f>
        <v>240</v>
      </c>
      <c r="AR199" s="10">
        <f>'Parametros'!$B$6*(AJ199+MAX(BE199-BD199,0)*'Parametros'!$B$4*MIN(U199,AB199)/1000)</f>
        <v>330.97185436697</v>
      </c>
      <c r="AS199" s="10" t="str">
        <f>IF(AND(ISERROR(SEARCH("referencia",AN199)),AM199="CUMPLE",AR199&gt;=AI199),"CUMPLE","NO CUMPLE")</f>
        <v>CUMPLE</v>
      </c>
      <c r="AT199" s="10">
        <f>'Parametros'!$B$6*0.083*SQRT('Parametros'!$B$2)*(H199*I199)^2/(2*(H199+I199))/1000000</f>
        <v>10.0887830333379</v>
      </c>
      <c r="AU199" s="10" t="str">
        <f>IF(Q199&lt;=AT199,"DESPRECIABLE","DISEÑAR")</f>
        <v>DESPRECIABLE</v>
      </c>
      <c r="AV199" s="10">
        <f>IF(Q199&lt;=AT199,0,Q199*1000000/('Parametros'!$B$6*2*0.85*(H199-2*('Parametros'!$B$7+'Parametros'!$B$9/2))*(I199-2*('Parametros'!$B$7+'Parametros'!$B$9/2))*'Parametros'!$B$4))</f>
        <v>0</v>
      </c>
      <c r="AW199" s="10">
        <f>AV199*2*((H199-2*('Parametros'!$B$7+'Parametros'!$B$9/2))+(I199-2*('Parametros'!$B$7+'Parametros'!$B$9/2)))*'Parametros'!$B$4/'Parametros'!$B$3</f>
        <v>0</v>
      </c>
      <c r="AX199" s="31" t="n">
        <v>0</v>
      </c>
      <c r="AY199" s="10" t="str">
        <f>IF(AV199=0,"DESPRECIABLE",IF(AND(ISERROR(SEARCH("referencia",AN199)),BB199/AP199&gt;=AV199,BI199&gt;=AW199,BH199="CUMPLE"),"CUMPLE","NO CUMPLE"))</f>
        <v>DESPRECIABLE</v>
      </c>
      <c r="AZ199" s="10" t="str">
        <f>IF(AND(X199="CUMPLE",AE199="CUMPLE",AS199="CUMPLE",OR(AY199="CUMPLE",AY199="DESPRECIABLE"),BH199="CUMPLE",BJ199="CUMPLE"),"CUMPLE","NO CUMPLE")</f>
        <v>CUMPLE</v>
      </c>
      <c r="BA199" s="32" t="n">
        <v>9.5</v>
      </c>
      <c r="BB199" s="32" t="n">
        <v>71</v>
      </c>
      <c r="BC199" s="10">
        <f>MAX(IF(AK199=0,0,AK199*1000/('Parametros'!$B$4*MIN(U199,AB199))),MAX(0.062*SQRT('Parametros'!$B$2)*H199/'Parametros'!$B$4,0.35*H199/'Parametros'!$B$4))</f>
        <v>0.375</v>
      </c>
      <c r="BD199" s="10">
        <f>2*AV199</f>
        <v>0</v>
      </c>
      <c r="BE199" s="10">
        <f>AO199*BB199/AP199</f>
        <v>1.18333333333333</v>
      </c>
      <c r="BF199" s="10">
        <f>SQRT((AI199*1000/(H199*MIN(U199,AB199)))^2+(Q199*1000000*2*((H199-2*('Parametros'!$B$7+'Parametros'!$B$9/2))+(I199-2*('Parametros'!$B$7+'Parametros'!$B$9/2)))/(1.7*((H199-2*('Parametros'!$B$7+'Parametros'!$B$9/2))*(I199-2*('Parametros'!$B$7+'Parametros'!$B$9/2)))^2))^2)</f>
        <v>0.698937242282923</v>
      </c>
      <c r="BG199" s="10">
        <f>'Parametros'!$B$6*(AJ199*1000/(H199*MIN(U199,AB199))+0.66*SQRT('Parametros'!$B$2))</f>
        <v>3.29396038227542</v>
      </c>
      <c r="BH199" s="10" t="str">
        <f>IF(BF199&lt;=BG199,"CUMPLE","NO CUMPLE")</f>
        <v>CUMPLE</v>
      </c>
      <c r="BI199" s="10">
        <f>AX199*'Parametros'!$B$8</f>
        <v>0</v>
      </c>
      <c r="BJ199" s="10" t="str">
        <f>IF(BI199&gt;=AW199,"CUMPLE","NO CUMPLE")</f>
        <v>CUMPLE</v>
      </c>
    </row>
    <row r="200">
      <c r="A200" s="20" t="inlineStr">
        <is>
          <t>VC6</t>
        </is>
      </c>
      <c r="B200" s="20" t="inlineStr">
        <is>
          <t>1025</t>
        </is>
      </c>
      <c r="C200" s="10" t="n">
        <v>1</v>
      </c>
      <c r="D200" s="10" t="n">
        <v>3.25</v>
      </c>
      <c r="E200" s="10" t="n">
        <v>3.25</v>
      </c>
      <c r="F200" s="10" t="n">
        <v>450</v>
      </c>
      <c r="G200" s="10" t="n">
        <v>550</v>
      </c>
      <c r="H200" s="17" t="n">
        <v>450</v>
      </c>
      <c r="I200" s="17" t="n">
        <v>550</v>
      </c>
      <c r="J200" s="30" t="n">
        <v>40.0833</v>
      </c>
      <c r="K200" s="10" t="inlineStr">
        <is>
          <t>1025</t>
        </is>
      </c>
      <c r="L200" s="30" t="n">
        <v>20.9119</v>
      </c>
      <c r="M200" s="10" t="inlineStr">
        <is>
          <t>1025</t>
        </is>
      </c>
      <c r="N200" s="30" t="n">
        <v>29.264</v>
      </c>
      <c r="O200" s="30" t="n">
        <v>76.273</v>
      </c>
      <c r="P200" s="10" t="inlineStr">
        <is>
          <t>1025</t>
        </is>
      </c>
      <c r="Q200" s="30" t="n">
        <v>4.2635</v>
      </c>
      <c r="R200" s="10">
        <f>MAX(MAX(1.4/'Parametros'!$B$3,0.25*SQRT('Parametros'!$B$2)/'Parametros'!$B$3)*H200*U200,(0.85*'Parametros'!$B$2/'Parametros'!$B$3)*(1-SQRT(1-2*(J200*1000000/('Parametros'!$B$5*H200*U200^2))/(0.85*'Parametros'!$B$2)))*H200*U200)</f>
        <v>734.025</v>
      </c>
      <c r="S200" s="31" t="n">
        <v>4</v>
      </c>
      <c r="T200" s="32" t="n">
        <v>1</v>
      </c>
      <c r="U200" s="10">
        <f>IF(T200=1,I200-('Parametros'!$B$7+'Parametros'!$B$9+'Parametros'!$B$12/2),I200-(ROUNDUP(S200/2,0)*('Parametros'!$B$7+'Parametros'!$B$9+'Parametros'!$B$12/2)+ROUNDDOWN(S200/2,0)*('Parametros'!$B$7+'Parametros'!$B$9+'Parametros'!$B$12/2+'Parametros'!$B$12+'Parametros'!$B$10))/S200)</f>
        <v>489.35</v>
      </c>
      <c r="V200" s="10">
        <f>S200*'Parametros'!$B$8</f>
        <v>796</v>
      </c>
      <c r="W200" s="10">
        <f>'Parametros'!$B$5*V200*'Parametros'!$B$3*(U200-(V200*'Parametros'!$B$3/(0.85*'Parametros'!$B$2*H200))/2)/1000000</f>
        <v>142.543330094118</v>
      </c>
      <c r="X200" s="10" t="str">
        <f>IF(W200&gt;=J200,"CUMPLE","NO CUMPLE")</f>
        <v>CUMPLE</v>
      </c>
      <c r="Y200" s="10">
        <f>MAX(MAX(1.4/'Parametros'!$B$3,0.25*SQRT('Parametros'!$B$2)/'Parametros'!$B$3)*H200*AB200,(0.85*'Parametros'!$B$2/'Parametros'!$B$3)*(1-SQRT(1-2*(L200*1000000/('Parametros'!$B$5*H200*AB200^2))/(0.85*'Parametros'!$B$2)))*H200*AB200)</f>
        <v>734.025</v>
      </c>
      <c r="Z200" s="31" t="n">
        <v>4</v>
      </c>
      <c r="AA200" s="32" t="n">
        <v>1</v>
      </c>
      <c r="AB200" s="10">
        <f>IF(AA200=1,I200-('Parametros'!$B$7+'Parametros'!$B$9+'Parametros'!$B$12/2),I200-(ROUNDUP(Z200/2,0)*('Parametros'!$B$7+'Parametros'!$B$9+'Parametros'!$B$12/2)+ROUNDDOWN(Z200/2,0)*('Parametros'!$B$7+'Parametros'!$B$9+'Parametros'!$B$12/2+'Parametros'!$B$12+'Parametros'!$B$10))/Z200)</f>
        <v>489.35</v>
      </c>
      <c r="AC200" s="10">
        <f>Z200*'Parametros'!$B$8</f>
        <v>796</v>
      </c>
      <c r="AD200" s="10">
        <f>'Parametros'!$B$5*AC200*'Parametros'!$B$3*(AB200-(AC200*'Parametros'!$B$3/(0.85*'Parametros'!$B$2*H200))/2)/1000000</f>
        <v>142.543330094118</v>
      </c>
      <c r="AE200" s="10" t="str">
        <f>IF(AD200&gt;=L200,"CUMPLE","NO CUMPLE")</f>
        <v>CUMPLE</v>
      </c>
      <c r="AF200" s="10">
        <f>V200*1.25*'Parametros'!$B$3*(U200-(V200*1.25*'Parametros'!$B$3/(0.85*'Parametros'!$B$2*H200))/2)/1000000</f>
        <v>196.346217941176</v>
      </c>
      <c r="AG200" s="10">
        <f>AC200*1.25*'Parametros'!$B$3*(AB200-(AC200*1.25*'Parametros'!$B$3/(0.85*'Parametros'!$B$2*H200))/2)/1000000</f>
        <v>196.346217941176</v>
      </c>
      <c r="AH200" s="10">
        <f>N200+(AF200+AG200)/D200</f>
        <v>150.092441809955</v>
      </c>
      <c r="AI200" s="10">
        <f>MAX(O200,AH200)</f>
        <v>150.092441809955</v>
      </c>
      <c r="AJ200" s="10">
        <f>0.17*SQRT('Parametros'!$B$2)*H200*MIN(U200,AB200)/1000</f>
        <v>198.088855822627</v>
      </c>
      <c r="AK200" s="10">
        <f>MAX(AI200/'Parametros'!$B$6-AJ200,0)</f>
        <v>2.03439992397935</v>
      </c>
      <c r="AL200" s="10">
        <f>0.66*SQRT('Parametros'!$B$2)*H200*MIN(U200,AB200)/1000</f>
        <v>769.050852017258</v>
      </c>
      <c r="AM200" s="10" t="str">
        <f>IF(AK200&lt;=AL200,"CUMPLE","NO CUMPLE")</f>
        <v>CUMPLE</v>
      </c>
      <c r="AN200" s="17" t="inlineStr">
        <is>
          <t>Nº3 cerrado</t>
        </is>
      </c>
      <c r="AO200" s="31" t="n">
        <v>2</v>
      </c>
      <c r="AP200" s="10">
        <f>ROUNDDOWN(MIN(IF(BC200+BD200=0,1000000000,AO200*BB200/(BC200+BD200)),MIN(U200,AB200)/4,8*'Parametros'!$B$12,24*BA200,300,IF(AV200=0,1000000000,2*((H200-2*('Parametros'!$B$7+'Parametros'!$B$9/2))+(I200-2*('Parametros'!$B$7+'Parametros'!$B$9/2)))/8))/10,0)*10</f>
        <v>120</v>
      </c>
      <c r="AQ200" s="10">
        <f>ROUNDDOWN(MIN(IF(BC200+BD200=0,1000000000,AO200*BB200/(BC200+BD200)),IF(AK200&gt;0.33*SQRT('Parametros'!$B$2)*H200*MIN(U200,AB200)/1000,MIN(U200,AB200)/4,MIN(U200,AB200)/2),600,IF(AV200=0,1000000000,2*((H200-2*('Parametros'!$B$7+'Parametros'!$B$9/2))+(I200-2*('Parametros'!$B$7+'Parametros'!$B$9/2)))/8))/10,0)*10</f>
        <v>240</v>
      </c>
      <c r="AR200" s="10">
        <f>'Parametros'!$B$6*(AJ200+MAX(BE200-BD200,0)*'Parametros'!$B$4*MIN(U200,AB200)/1000)</f>
        <v>330.97185436697</v>
      </c>
      <c r="AS200" s="10" t="str">
        <f>IF(AND(ISERROR(SEARCH("referencia",AN200)),AM200="CUMPLE",AR200&gt;=AI200),"CUMPLE","NO CUMPLE")</f>
        <v>CUMPLE</v>
      </c>
      <c r="AT200" s="10">
        <f>'Parametros'!$B$6*0.083*SQRT('Parametros'!$B$2)*(H200*I200)^2/(2*(H200+I200))/1000000</f>
        <v>10.0887830333379</v>
      </c>
      <c r="AU200" s="10" t="str">
        <f>IF(Q200&lt;=AT200,"DESPRECIABLE","DISEÑAR")</f>
        <v>DESPRECIABLE</v>
      </c>
      <c r="AV200" s="10">
        <f>IF(Q200&lt;=AT200,0,Q200*1000000/('Parametros'!$B$6*2*0.85*(H200-2*('Parametros'!$B$7+'Parametros'!$B$9/2))*(I200-2*('Parametros'!$B$7+'Parametros'!$B$9/2))*'Parametros'!$B$4))</f>
        <v>0</v>
      </c>
      <c r="AW200" s="10">
        <f>AV200*2*((H200-2*('Parametros'!$B$7+'Parametros'!$B$9/2))+(I200-2*('Parametros'!$B$7+'Parametros'!$B$9/2)))*'Parametros'!$B$4/'Parametros'!$B$3</f>
        <v>0</v>
      </c>
      <c r="AX200" s="31" t="n">
        <v>0</v>
      </c>
      <c r="AY200" s="10" t="str">
        <f>IF(AV200=0,"DESPRECIABLE",IF(AND(ISERROR(SEARCH("referencia",AN200)),BB200/AP200&gt;=AV200,BI200&gt;=AW200,BH200="CUMPLE"),"CUMPLE","NO CUMPLE"))</f>
        <v>DESPRECIABLE</v>
      </c>
      <c r="AZ200" s="10" t="str">
        <f>IF(AND(X200="CUMPLE",AE200="CUMPLE",AS200="CUMPLE",OR(AY200="CUMPLE",AY200="DESPRECIABLE"),BH200="CUMPLE",BJ200="CUMPLE"),"CUMPLE","NO CUMPLE")</f>
        <v>CUMPLE</v>
      </c>
      <c r="BA200" s="32" t="n">
        <v>9.5</v>
      </c>
      <c r="BB200" s="32" t="n">
        <v>71</v>
      </c>
      <c r="BC200" s="10">
        <f>MAX(IF(AK200=0,0,AK200*1000/('Parametros'!$B$4*MIN(U200,AB200))),MAX(0.062*SQRT('Parametros'!$B$2)*H200/'Parametros'!$B$4,0.35*H200/'Parametros'!$B$4))</f>
        <v>0.375</v>
      </c>
      <c r="BD200" s="10">
        <f>2*AV200</f>
        <v>0</v>
      </c>
      <c r="BE200" s="10">
        <f>AO200*BB200/AP200</f>
        <v>1.18333333333333</v>
      </c>
      <c r="BF200" s="10">
        <f>SQRT((AI200*1000/(H200*MIN(U200,AB200)))^2+(Q200*1000000*2*((H200-2*('Parametros'!$B$7+'Parametros'!$B$9/2))+(I200-2*('Parametros'!$B$7+'Parametros'!$B$9/2)))/(1.7*((H200-2*('Parametros'!$B$7+'Parametros'!$B$9/2))*(I200-2*('Parametros'!$B$7+'Parametros'!$B$9/2)))^2))^2)</f>
        <v>0.698566855551021</v>
      </c>
      <c r="BG200" s="10">
        <f>'Parametros'!$B$6*(AJ200*1000/(H200*MIN(U200,AB200))+0.66*SQRT('Parametros'!$B$2))</f>
        <v>3.29396038227542</v>
      </c>
      <c r="BH200" s="10" t="str">
        <f>IF(BF200&lt;=BG200,"CUMPLE","NO CUMPLE")</f>
        <v>CUMPLE</v>
      </c>
      <c r="BI200" s="10">
        <f>AX200*'Parametros'!$B$8</f>
        <v>0</v>
      </c>
      <c r="BJ200" s="10" t="str">
        <f>IF(BI200&gt;=AW200,"CUMPLE","NO CUMPLE")</f>
        <v>CUMPLE</v>
      </c>
    </row>
    <row r="201">
      <c r="A201" s="20" t="inlineStr">
        <is>
          <t>VC6</t>
        </is>
      </c>
      <c r="B201" s="20" t="inlineStr">
        <is>
          <t>1026</t>
        </is>
      </c>
      <c r="C201" s="10" t="n">
        <v>1</v>
      </c>
      <c r="D201" s="10" t="n">
        <v>3.3</v>
      </c>
      <c r="E201" s="10" t="n">
        <v>3.3</v>
      </c>
      <c r="F201" s="10" t="n">
        <v>450</v>
      </c>
      <c r="G201" s="10" t="n">
        <v>550</v>
      </c>
      <c r="H201" s="17" t="n">
        <v>450</v>
      </c>
      <c r="I201" s="17" t="n">
        <v>550</v>
      </c>
      <c r="J201" s="30" t="n">
        <v>48.8028</v>
      </c>
      <c r="K201" s="10" t="inlineStr">
        <is>
          <t>1026</t>
        </is>
      </c>
      <c r="L201" s="30" t="n">
        <v>29.2034</v>
      </c>
      <c r="M201" s="10" t="inlineStr">
        <is>
          <t>1026</t>
        </is>
      </c>
      <c r="N201" s="30" t="n">
        <v>36.538</v>
      </c>
      <c r="O201" s="30" t="n">
        <v>109.383</v>
      </c>
      <c r="P201" s="10" t="inlineStr">
        <is>
          <t>1026</t>
        </is>
      </c>
      <c r="Q201" s="30" t="n">
        <v>7.6136</v>
      </c>
      <c r="R201" s="10">
        <f>MAX(MAX(1.4/'Parametros'!$B$3,0.25*SQRT('Parametros'!$B$2)/'Parametros'!$B$3)*H201*U201,(0.85*'Parametros'!$B$2/'Parametros'!$B$3)*(1-SQRT(1-2*(J201*1000000/('Parametros'!$B$5*H201*U201^2))/(0.85*'Parametros'!$B$2)))*H201*U201)</f>
        <v>734.025</v>
      </c>
      <c r="S201" s="31" t="n">
        <v>4</v>
      </c>
      <c r="T201" s="32" t="n">
        <v>1</v>
      </c>
      <c r="U201" s="10">
        <f>IF(T201=1,I201-('Parametros'!$B$7+'Parametros'!$B$9+'Parametros'!$B$12/2),I201-(ROUNDUP(S201/2,0)*('Parametros'!$B$7+'Parametros'!$B$9+'Parametros'!$B$12/2)+ROUNDDOWN(S201/2,0)*('Parametros'!$B$7+'Parametros'!$B$9+'Parametros'!$B$12/2+'Parametros'!$B$12+'Parametros'!$B$10))/S201)</f>
        <v>489.35</v>
      </c>
      <c r="V201" s="10">
        <f>S201*'Parametros'!$B$8</f>
        <v>796</v>
      </c>
      <c r="W201" s="10">
        <f>'Parametros'!$B$5*V201*'Parametros'!$B$3*(U201-(V201*'Parametros'!$B$3/(0.85*'Parametros'!$B$2*H201))/2)/1000000</f>
        <v>142.543330094118</v>
      </c>
      <c r="X201" s="10" t="str">
        <f>IF(W201&gt;=J201,"CUMPLE","NO CUMPLE")</f>
        <v>CUMPLE</v>
      </c>
      <c r="Y201" s="10">
        <f>MAX(MAX(1.4/'Parametros'!$B$3,0.25*SQRT('Parametros'!$B$2)/'Parametros'!$B$3)*H201*AB201,(0.85*'Parametros'!$B$2/'Parametros'!$B$3)*(1-SQRT(1-2*(L201*1000000/('Parametros'!$B$5*H201*AB201^2))/(0.85*'Parametros'!$B$2)))*H201*AB201)</f>
        <v>734.025</v>
      </c>
      <c r="Z201" s="31" t="n">
        <v>4</v>
      </c>
      <c r="AA201" s="32" t="n">
        <v>1</v>
      </c>
      <c r="AB201" s="10">
        <f>IF(AA201=1,I201-('Parametros'!$B$7+'Parametros'!$B$9+'Parametros'!$B$12/2),I201-(ROUNDUP(Z201/2,0)*('Parametros'!$B$7+'Parametros'!$B$9+'Parametros'!$B$12/2)+ROUNDDOWN(Z201/2,0)*('Parametros'!$B$7+'Parametros'!$B$9+'Parametros'!$B$12/2+'Parametros'!$B$12+'Parametros'!$B$10))/Z201)</f>
        <v>489.35</v>
      </c>
      <c r="AC201" s="10">
        <f>Z201*'Parametros'!$B$8</f>
        <v>796</v>
      </c>
      <c r="AD201" s="10">
        <f>'Parametros'!$B$5*AC201*'Parametros'!$B$3*(AB201-(AC201*'Parametros'!$B$3/(0.85*'Parametros'!$B$2*H201))/2)/1000000</f>
        <v>142.543330094118</v>
      </c>
      <c r="AE201" s="10" t="str">
        <f>IF(AD201&gt;=L201,"CUMPLE","NO CUMPLE")</f>
        <v>CUMPLE</v>
      </c>
      <c r="AF201" s="10">
        <f>V201*1.25*'Parametros'!$B$3*(U201-(V201*1.25*'Parametros'!$B$3/(0.85*'Parametros'!$B$2*H201))/2)/1000000</f>
        <v>196.346217941176</v>
      </c>
      <c r="AG201" s="10">
        <f>AC201*1.25*'Parametros'!$B$3*(AB201-(AC201*1.25*'Parametros'!$B$3/(0.85*'Parametros'!$B$2*H201))/2)/1000000</f>
        <v>196.346217941176</v>
      </c>
      <c r="AH201" s="10">
        <f>N201+(AF201+AG201)/D201</f>
        <v>155.535707843137</v>
      </c>
      <c r="AI201" s="10">
        <f>MAX(O201,AH201)</f>
        <v>155.535707843137</v>
      </c>
      <c r="AJ201" s="10">
        <f>0.17*SQRT('Parametros'!$B$2)*H201*MIN(U201,AB201)/1000</f>
        <v>198.088855822627</v>
      </c>
      <c r="AK201" s="10">
        <f>MAX(AI201/'Parametros'!$B$6-AJ201,0)</f>
        <v>9.29208796822269</v>
      </c>
      <c r="AL201" s="10">
        <f>0.66*SQRT('Parametros'!$B$2)*H201*MIN(U201,AB201)/1000</f>
        <v>769.050852017258</v>
      </c>
      <c r="AM201" s="10" t="str">
        <f>IF(AK201&lt;=AL201,"CUMPLE","NO CUMPLE")</f>
        <v>CUMPLE</v>
      </c>
      <c r="AN201" s="17" t="inlineStr">
        <is>
          <t>Nº3 cerrado</t>
        </is>
      </c>
      <c r="AO201" s="31" t="n">
        <v>2</v>
      </c>
      <c r="AP201" s="10">
        <f>ROUNDDOWN(MIN(IF(BC201+BD201=0,1000000000,AO201*BB201/(BC201+BD201)),MIN(U201,AB201)/4,8*'Parametros'!$B$12,24*BA201,300,IF(AV201=0,1000000000,2*((H201-2*('Parametros'!$B$7+'Parametros'!$B$9/2))+(I201-2*('Parametros'!$B$7+'Parametros'!$B$9/2)))/8))/10,0)*10</f>
        <v>120</v>
      </c>
      <c r="AQ201" s="10">
        <f>ROUNDDOWN(MIN(IF(BC201+BD201=0,1000000000,AO201*BB201/(BC201+BD201)),IF(AK201&gt;0.33*SQRT('Parametros'!$B$2)*H201*MIN(U201,AB201)/1000,MIN(U201,AB201)/4,MIN(U201,AB201)/2),600,IF(AV201=0,1000000000,2*((H201-2*('Parametros'!$B$7+'Parametros'!$B$9/2))+(I201-2*('Parametros'!$B$7+'Parametros'!$B$9/2)))/8))/10,0)*10</f>
        <v>240</v>
      </c>
      <c r="AR201" s="10">
        <f>'Parametros'!$B$6*(AJ201+MAX(BE201-BD201,0)*'Parametros'!$B$4*MIN(U201,AB201)/1000)</f>
        <v>330.97185436697</v>
      </c>
      <c r="AS201" s="10" t="str">
        <f>IF(AND(ISERROR(SEARCH("referencia",AN201)),AM201="CUMPLE",AR201&gt;=AI201),"CUMPLE","NO CUMPLE")</f>
        <v>CUMPLE</v>
      </c>
      <c r="AT201" s="10">
        <f>'Parametros'!$B$6*0.083*SQRT('Parametros'!$B$2)*(H201*I201)^2/(2*(H201+I201))/1000000</f>
        <v>10.0887830333379</v>
      </c>
      <c r="AU201" s="10" t="str">
        <f>IF(Q201&lt;=AT201,"DESPRECIABLE","DISEÑAR")</f>
        <v>DESPRECIABLE</v>
      </c>
      <c r="AV201" s="10">
        <f>IF(Q201&lt;=AT201,0,Q201*1000000/('Parametros'!$B$6*2*0.85*(H201-2*('Parametros'!$B$7+'Parametros'!$B$9/2))*(I201-2*('Parametros'!$B$7+'Parametros'!$B$9/2))*'Parametros'!$B$4))</f>
        <v>0</v>
      </c>
      <c r="AW201" s="10">
        <f>AV201*2*((H201-2*('Parametros'!$B$7+'Parametros'!$B$9/2))+(I201-2*('Parametros'!$B$7+'Parametros'!$B$9/2)))*'Parametros'!$B$4/'Parametros'!$B$3</f>
        <v>0</v>
      </c>
      <c r="AX201" s="31" t="n">
        <v>0</v>
      </c>
      <c r="AY201" s="10" t="str">
        <f>IF(AV201=0,"DESPRECIABLE",IF(AND(ISERROR(SEARCH("referencia",AN201)),BB201/AP201&gt;=AV201,BI201&gt;=AW201,BH201="CUMPLE"),"CUMPLE","NO CUMPLE"))</f>
        <v>DESPRECIABLE</v>
      </c>
      <c r="AZ201" s="10" t="str">
        <f>IF(AND(X201="CUMPLE",AE201="CUMPLE",AS201="CUMPLE",OR(AY201="CUMPLE",AY201="DESPRECIABLE"),BH201="CUMPLE",BJ201="CUMPLE"),"CUMPLE","NO CUMPLE")</f>
        <v>CUMPLE</v>
      </c>
      <c r="BA201" s="32" t="n">
        <v>9.5</v>
      </c>
      <c r="BB201" s="32" t="n">
        <v>71</v>
      </c>
      <c r="BC201" s="10">
        <f>MAX(IF(AK201=0,0,AK201*1000/('Parametros'!$B$4*MIN(U201,AB201))),MAX(0.062*SQRT('Parametros'!$B$2)*H201/'Parametros'!$B$4,0.35*H201/'Parametros'!$B$4))</f>
        <v>0.375</v>
      </c>
      <c r="BD201" s="10">
        <f>2*AV201</f>
        <v>0</v>
      </c>
      <c r="BE201" s="10">
        <f>AO201*BB201/AP201</f>
        <v>1.18333333333333</v>
      </c>
      <c r="BF201" s="10">
        <f>SQRT((AI201*1000/(H201*MIN(U201,AB201)))^2+(Q201*1000000*2*((H201-2*('Parametros'!$B$7+'Parametros'!$B$9/2))+(I201-2*('Parametros'!$B$7+'Parametros'!$B$9/2)))/(1.7*((H201-2*('Parametros'!$B$7+'Parametros'!$B$9/2))*(I201-2*('Parametros'!$B$7+'Parametros'!$B$9/2)))^2))^2)</f>
        <v>0.757347582132371</v>
      </c>
      <c r="BG201" s="10">
        <f>'Parametros'!$B$6*(AJ201*1000/(H201*MIN(U201,AB201))+0.66*SQRT('Parametros'!$B$2))</f>
        <v>3.29396038227542</v>
      </c>
      <c r="BH201" s="10" t="str">
        <f>IF(BF201&lt;=BG201,"CUMPLE","NO CUMPLE")</f>
        <v>CUMPLE</v>
      </c>
      <c r="BI201" s="10">
        <f>AX201*'Parametros'!$B$8</f>
        <v>0</v>
      </c>
      <c r="BJ201" s="10" t="str">
        <f>IF(BI201&gt;=AW201,"CUMPLE","NO CUMPLE")</f>
        <v>CUMPLE</v>
      </c>
    </row>
    <row r="202">
      <c r="A202" s="20" t="inlineStr">
        <is>
          <t>VC6</t>
        </is>
      </c>
      <c r="B202" s="20" t="inlineStr">
        <is>
          <t>1027</t>
        </is>
      </c>
      <c r="C202" s="10" t="n">
        <v>1</v>
      </c>
      <c r="D202" s="10" t="n">
        <v>3.3</v>
      </c>
      <c r="E202" s="10" t="n">
        <v>3.3</v>
      </c>
      <c r="F202" s="10" t="n">
        <v>450</v>
      </c>
      <c r="G202" s="10" t="n">
        <v>550</v>
      </c>
      <c r="H202" s="17" t="n">
        <v>450</v>
      </c>
      <c r="I202" s="17" t="n">
        <v>550</v>
      </c>
      <c r="J202" s="30" t="n">
        <v>48.8161</v>
      </c>
      <c r="K202" s="10" t="inlineStr">
        <is>
          <t>1027</t>
        </is>
      </c>
      <c r="L202" s="30" t="n">
        <v>29.204</v>
      </c>
      <c r="M202" s="10" t="inlineStr">
        <is>
          <t>1027</t>
        </is>
      </c>
      <c r="N202" s="30" t="n">
        <v>36.544</v>
      </c>
      <c r="O202" s="30" t="n">
        <v>109.389</v>
      </c>
      <c r="P202" s="10" t="inlineStr">
        <is>
          <t>1027</t>
        </is>
      </c>
      <c r="Q202" s="30" t="n">
        <v>7.6138</v>
      </c>
      <c r="R202" s="10">
        <f>MAX(MAX(1.4/'Parametros'!$B$3,0.25*SQRT('Parametros'!$B$2)/'Parametros'!$B$3)*H202*U202,(0.85*'Parametros'!$B$2/'Parametros'!$B$3)*(1-SQRT(1-2*(J202*1000000/('Parametros'!$B$5*H202*U202^2))/(0.85*'Parametros'!$B$2)))*H202*U202)</f>
        <v>734.025</v>
      </c>
      <c r="S202" s="31" t="n">
        <v>4</v>
      </c>
      <c r="T202" s="32" t="n">
        <v>1</v>
      </c>
      <c r="U202" s="10">
        <f>IF(T202=1,I202-('Parametros'!$B$7+'Parametros'!$B$9+'Parametros'!$B$12/2),I202-(ROUNDUP(S202/2,0)*('Parametros'!$B$7+'Parametros'!$B$9+'Parametros'!$B$12/2)+ROUNDDOWN(S202/2,0)*('Parametros'!$B$7+'Parametros'!$B$9+'Parametros'!$B$12/2+'Parametros'!$B$12+'Parametros'!$B$10))/S202)</f>
        <v>489.35</v>
      </c>
      <c r="V202" s="10">
        <f>S202*'Parametros'!$B$8</f>
        <v>796</v>
      </c>
      <c r="W202" s="10">
        <f>'Parametros'!$B$5*V202*'Parametros'!$B$3*(U202-(V202*'Parametros'!$B$3/(0.85*'Parametros'!$B$2*H202))/2)/1000000</f>
        <v>142.543330094118</v>
      </c>
      <c r="X202" s="10" t="str">
        <f>IF(W202&gt;=J202,"CUMPLE","NO CUMPLE")</f>
        <v>CUMPLE</v>
      </c>
      <c r="Y202" s="10">
        <f>MAX(MAX(1.4/'Parametros'!$B$3,0.25*SQRT('Parametros'!$B$2)/'Parametros'!$B$3)*H202*AB202,(0.85*'Parametros'!$B$2/'Parametros'!$B$3)*(1-SQRT(1-2*(L202*1000000/('Parametros'!$B$5*H202*AB202^2))/(0.85*'Parametros'!$B$2)))*H202*AB202)</f>
        <v>734.025</v>
      </c>
      <c r="Z202" s="31" t="n">
        <v>4</v>
      </c>
      <c r="AA202" s="32" t="n">
        <v>1</v>
      </c>
      <c r="AB202" s="10">
        <f>IF(AA202=1,I202-('Parametros'!$B$7+'Parametros'!$B$9+'Parametros'!$B$12/2),I202-(ROUNDUP(Z202/2,0)*('Parametros'!$B$7+'Parametros'!$B$9+'Parametros'!$B$12/2)+ROUNDDOWN(Z202/2,0)*('Parametros'!$B$7+'Parametros'!$B$9+'Parametros'!$B$12/2+'Parametros'!$B$12+'Parametros'!$B$10))/Z202)</f>
        <v>489.35</v>
      </c>
      <c r="AC202" s="10">
        <f>Z202*'Parametros'!$B$8</f>
        <v>796</v>
      </c>
      <c r="AD202" s="10">
        <f>'Parametros'!$B$5*AC202*'Parametros'!$B$3*(AB202-(AC202*'Parametros'!$B$3/(0.85*'Parametros'!$B$2*H202))/2)/1000000</f>
        <v>142.543330094118</v>
      </c>
      <c r="AE202" s="10" t="str">
        <f>IF(AD202&gt;=L202,"CUMPLE","NO CUMPLE")</f>
        <v>CUMPLE</v>
      </c>
      <c r="AF202" s="10">
        <f>V202*1.25*'Parametros'!$B$3*(U202-(V202*1.25*'Parametros'!$B$3/(0.85*'Parametros'!$B$2*H202))/2)/1000000</f>
        <v>196.346217941176</v>
      </c>
      <c r="AG202" s="10">
        <f>AC202*1.25*'Parametros'!$B$3*(AB202-(AC202*1.25*'Parametros'!$B$3/(0.85*'Parametros'!$B$2*H202))/2)/1000000</f>
        <v>196.346217941176</v>
      </c>
      <c r="AH202" s="10">
        <f>N202+(AF202+AG202)/D202</f>
        <v>155.541707843137</v>
      </c>
      <c r="AI202" s="10">
        <f>MAX(O202,AH202)</f>
        <v>155.541707843137</v>
      </c>
      <c r="AJ202" s="10">
        <f>0.17*SQRT('Parametros'!$B$2)*H202*MIN(U202,AB202)/1000</f>
        <v>198.088855822627</v>
      </c>
      <c r="AK202" s="10">
        <f>MAX(AI202/'Parametros'!$B$6-AJ202,0)</f>
        <v>9.3000879682227</v>
      </c>
      <c r="AL202" s="10">
        <f>0.66*SQRT('Parametros'!$B$2)*H202*MIN(U202,AB202)/1000</f>
        <v>769.050852017258</v>
      </c>
      <c r="AM202" s="10" t="str">
        <f>IF(AK202&lt;=AL202,"CUMPLE","NO CUMPLE")</f>
        <v>CUMPLE</v>
      </c>
      <c r="AN202" s="17" t="inlineStr">
        <is>
          <t>Nº3 cerrado</t>
        </is>
      </c>
      <c r="AO202" s="31" t="n">
        <v>2</v>
      </c>
      <c r="AP202" s="10">
        <f>ROUNDDOWN(MIN(IF(BC202+BD202=0,1000000000,AO202*BB202/(BC202+BD202)),MIN(U202,AB202)/4,8*'Parametros'!$B$12,24*BA202,300,IF(AV202=0,1000000000,2*((H202-2*('Parametros'!$B$7+'Parametros'!$B$9/2))+(I202-2*('Parametros'!$B$7+'Parametros'!$B$9/2)))/8))/10,0)*10</f>
        <v>120</v>
      </c>
      <c r="AQ202" s="10">
        <f>ROUNDDOWN(MIN(IF(BC202+BD202=0,1000000000,AO202*BB202/(BC202+BD202)),IF(AK202&gt;0.33*SQRT('Parametros'!$B$2)*H202*MIN(U202,AB202)/1000,MIN(U202,AB202)/4,MIN(U202,AB202)/2),600,IF(AV202=0,1000000000,2*((H202-2*('Parametros'!$B$7+'Parametros'!$B$9/2))+(I202-2*('Parametros'!$B$7+'Parametros'!$B$9/2)))/8))/10,0)*10</f>
        <v>240</v>
      </c>
      <c r="AR202" s="10">
        <f>'Parametros'!$B$6*(AJ202+MAX(BE202-BD202,0)*'Parametros'!$B$4*MIN(U202,AB202)/1000)</f>
        <v>330.97185436697</v>
      </c>
      <c r="AS202" s="10" t="str">
        <f>IF(AND(ISERROR(SEARCH("referencia",AN202)),AM202="CUMPLE",AR202&gt;=AI202),"CUMPLE","NO CUMPLE")</f>
        <v>CUMPLE</v>
      </c>
      <c r="AT202" s="10">
        <f>'Parametros'!$B$6*0.083*SQRT('Parametros'!$B$2)*(H202*I202)^2/(2*(H202+I202))/1000000</f>
        <v>10.0887830333379</v>
      </c>
      <c r="AU202" s="10" t="str">
        <f>IF(Q202&lt;=AT202,"DESPRECIABLE","DISEÑAR")</f>
        <v>DESPRECIABLE</v>
      </c>
      <c r="AV202" s="10">
        <f>IF(Q202&lt;=AT202,0,Q202*1000000/('Parametros'!$B$6*2*0.85*(H202-2*('Parametros'!$B$7+'Parametros'!$B$9/2))*(I202-2*('Parametros'!$B$7+'Parametros'!$B$9/2))*'Parametros'!$B$4))</f>
        <v>0</v>
      </c>
      <c r="AW202" s="10">
        <f>AV202*2*((H202-2*('Parametros'!$B$7+'Parametros'!$B$9/2))+(I202-2*('Parametros'!$B$7+'Parametros'!$B$9/2)))*'Parametros'!$B$4/'Parametros'!$B$3</f>
        <v>0</v>
      </c>
      <c r="AX202" s="31" t="n">
        <v>0</v>
      </c>
      <c r="AY202" s="10" t="str">
        <f>IF(AV202=0,"DESPRECIABLE",IF(AND(ISERROR(SEARCH("referencia",AN202)),BB202/AP202&gt;=AV202,BI202&gt;=AW202,BH202="CUMPLE"),"CUMPLE","NO CUMPLE"))</f>
        <v>DESPRECIABLE</v>
      </c>
      <c r="AZ202" s="10" t="str">
        <f>IF(AND(X202="CUMPLE",AE202="CUMPLE",AS202="CUMPLE",OR(AY202="CUMPLE",AY202="DESPRECIABLE"),BH202="CUMPLE",BJ202="CUMPLE"),"CUMPLE","NO CUMPLE")</f>
        <v>CUMPLE</v>
      </c>
      <c r="BA202" s="32" t="n">
        <v>9.5</v>
      </c>
      <c r="BB202" s="32" t="n">
        <v>71</v>
      </c>
      <c r="BC202" s="10">
        <f>MAX(IF(AK202=0,0,AK202*1000/('Parametros'!$B$4*MIN(U202,AB202))),MAX(0.062*SQRT('Parametros'!$B$2)*H202/'Parametros'!$B$4,0.35*H202/'Parametros'!$B$4))</f>
        <v>0.375</v>
      </c>
      <c r="BD202" s="10">
        <f>2*AV202</f>
        <v>0</v>
      </c>
      <c r="BE202" s="10">
        <f>AO202*BB202/AP202</f>
        <v>1.18333333333333</v>
      </c>
      <c r="BF202" s="10">
        <f>SQRT((AI202*1000/(H202*MIN(U202,AB202)))^2+(Q202*1000000*2*((H202-2*('Parametros'!$B$7+'Parametros'!$B$9/2))+(I202-2*('Parametros'!$B$7+'Parametros'!$B$9/2)))/(1.7*((H202-2*('Parametros'!$B$7+'Parametros'!$B$9/2))*(I202-2*('Parametros'!$B$7+'Parametros'!$B$9/2)))^2))^2)</f>
        <v>0.75737558397742</v>
      </c>
      <c r="BG202" s="10">
        <f>'Parametros'!$B$6*(AJ202*1000/(H202*MIN(U202,AB202))+0.66*SQRT('Parametros'!$B$2))</f>
        <v>3.29396038227542</v>
      </c>
      <c r="BH202" s="10" t="str">
        <f>IF(BF202&lt;=BG202,"CUMPLE","NO CUMPLE")</f>
        <v>CUMPLE</v>
      </c>
      <c r="BI202" s="10">
        <f>AX202*'Parametros'!$B$8</f>
        <v>0</v>
      </c>
      <c r="BJ202" s="10" t="str">
        <f>IF(BI202&gt;=AW202,"CUMPLE","NO CUMPLE")</f>
        <v>CUMPLE</v>
      </c>
    </row>
    <row r="203">
      <c r="A203" s="20" t="inlineStr">
        <is>
          <t>VC6</t>
        </is>
      </c>
      <c r="B203" s="20" t="inlineStr">
        <is>
          <t>1028</t>
        </is>
      </c>
      <c r="C203" s="10" t="n">
        <v>1</v>
      </c>
      <c r="D203" s="10" t="n">
        <v>3.25</v>
      </c>
      <c r="E203" s="10" t="n">
        <v>3.25</v>
      </c>
      <c r="F203" s="10" t="n">
        <v>450</v>
      </c>
      <c r="G203" s="10" t="n">
        <v>550</v>
      </c>
      <c r="H203" s="17" t="n">
        <v>450</v>
      </c>
      <c r="I203" s="17" t="n">
        <v>550</v>
      </c>
      <c r="J203" s="30" t="n">
        <v>40.0781</v>
      </c>
      <c r="K203" s="10" t="inlineStr">
        <is>
          <t>1028</t>
        </is>
      </c>
      <c r="L203" s="30" t="n">
        <v>20.9073</v>
      </c>
      <c r="M203" s="10" t="inlineStr">
        <is>
          <t>1028</t>
        </is>
      </c>
      <c r="N203" s="30" t="n">
        <v>29.262</v>
      </c>
      <c r="O203" s="30" t="n">
        <v>76.271</v>
      </c>
      <c r="P203" s="10" t="inlineStr">
        <is>
          <t>1028</t>
        </is>
      </c>
      <c r="Q203" s="30" t="n">
        <v>4.2649</v>
      </c>
      <c r="R203" s="10">
        <f>MAX(MAX(1.4/'Parametros'!$B$3,0.25*SQRT('Parametros'!$B$2)/'Parametros'!$B$3)*H203*U203,(0.85*'Parametros'!$B$2/'Parametros'!$B$3)*(1-SQRT(1-2*(J203*1000000/('Parametros'!$B$5*H203*U203^2))/(0.85*'Parametros'!$B$2)))*H203*U203)</f>
        <v>734.025</v>
      </c>
      <c r="S203" s="31" t="n">
        <v>4</v>
      </c>
      <c r="T203" s="32" t="n">
        <v>1</v>
      </c>
      <c r="U203" s="10">
        <f>IF(T203=1,I203-('Parametros'!$B$7+'Parametros'!$B$9+'Parametros'!$B$12/2),I203-(ROUNDUP(S203/2,0)*('Parametros'!$B$7+'Parametros'!$B$9+'Parametros'!$B$12/2)+ROUNDDOWN(S203/2,0)*('Parametros'!$B$7+'Parametros'!$B$9+'Parametros'!$B$12/2+'Parametros'!$B$12+'Parametros'!$B$10))/S203)</f>
        <v>489.35</v>
      </c>
      <c r="V203" s="10">
        <f>S203*'Parametros'!$B$8</f>
        <v>796</v>
      </c>
      <c r="W203" s="10">
        <f>'Parametros'!$B$5*V203*'Parametros'!$B$3*(U203-(V203*'Parametros'!$B$3/(0.85*'Parametros'!$B$2*H203))/2)/1000000</f>
        <v>142.543330094118</v>
      </c>
      <c r="X203" s="10" t="str">
        <f>IF(W203&gt;=J203,"CUMPLE","NO CUMPLE")</f>
        <v>CUMPLE</v>
      </c>
      <c r="Y203" s="10">
        <f>MAX(MAX(1.4/'Parametros'!$B$3,0.25*SQRT('Parametros'!$B$2)/'Parametros'!$B$3)*H203*AB203,(0.85*'Parametros'!$B$2/'Parametros'!$B$3)*(1-SQRT(1-2*(L203*1000000/('Parametros'!$B$5*H203*AB203^2))/(0.85*'Parametros'!$B$2)))*H203*AB203)</f>
        <v>734.025</v>
      </c>
      <c r="Z203" s="31" t="n">
        <v>4</v>
      </c>
      <c r="AA203" s="32" t="n">
        <v>1</v>
      </c>
      <c r="AB203" s="10">
        <f>IF(AA203=1,I203-('Parametros'!$B$7+'Parametros'!$B$9+'Parametros'!$B$12/2),I203-(ROUNDUP(Z203/2,0)*('Parametros'!$B$7+'Parametros'!$B$9+'Parametros'!$B$12/2)+ROUNDDOWN(Z203/2,0)*('Parametros'!$B$7+'Parametros'!$B$9+'Parametros'!$B$12/2+'Parametros'!$B$12+'Parametros'!$B$10))/Z203)</f>
        <v>489.35</v>
      </c>
      <c r="AC203" s="10">
        <f>Z203*'Parametros'!$B$8</f>
        <v>796</v>
      </c>
      <c r="AD203" s="10">
        <f>'Parametros'!$B$5*AC203*'Parametros'!$B$3*(AB203-(AC203*'Parametros'!$B$3/(0.85*'Parametros'!$B$2*H203))/2)/1000000</f>
        <v>142.543330094118</v>
      </c>
      <c r="AE203" s="10" t="str">
        <f>IF(AD203&gt;=L203,"CUMPLE","NO CUMPLE")</f>
        <v>CUMPLE</v>
      </c>
      <c r="AF203" s="10">
        <f>V203*1.25*'Parametros'!$B$3*(U203-(V203*1.25*'Parametros'!$B$3/(0.85*'Parametros'!$B$2*H203))/2)/1000000</f>
        <v>196.346217941176</v>
      </c>
      <c r="AG203" s="10">
        <f>AC203*1.25*'Parametros'!$B$3*(AB203-(AC203*1.25*'Parametros'!$B$3/(0.85*'Parametros'!$B$2*H203))/2)/1000000</f>
        <v>196.346217941176</v>
      </c>
      <c r="AH203" s="10">
        <f>N203+(AF203+AG203)/D203</f>
        <v>150.090441809955</v>
      </c>
      <c r="AI203" s="10">
        <f>MAX(O203,AH203)</f>
        <v>150.090441809955</v>
      </c>
      <c r="AJ203" s="10">
        <f>0.17*SQRT('Parametros'!$B$2)*H203*MIN(U203,AB203)/1000</f>
        <v>198.088855822627</v>
      </c>
      <c r="AK203" s="10">
        <f>MAX(AI203/'Parametros'!$B$6-AJ203,0)</f>
        <v>2.03173325731268</v>
      </c>
      <c r="AL203" s="10">
        <f>0.66*SQRT('Parametros'!$B$2)*H203*MIN(U203,AB203)/1000</f>
        <v>769.050852017258</v>
      </c>
      <c r="AM203" s="10" t="str">
        <f>IF(AK203&lt;=AL203,"CUMPLE","NO CUMPLE")</f>
        <v>CUMPLE</v>
      </c>
      <c r="AN203" s="17" t="inlineStr">
        <is>
          <t>Nº3 cerrado</t>
        </is>
      </c>
      <c r="AO203" s="31" t="n">
        <v>2</v>
      </c>
      <c r="AP203" s="10">
        <f>ROUNDDOWN(MIN(IF(BC203+BD203=0,1000000000,AO203*BB203/(BC203+BD203)),MIN(U203,AB203)/4,8*'Parametros'!$B$12,24*BA203,300,IF(AV203=0,1000000000,2*((H203-2*('Parametros'!$B$7+'Parametros'!$B$9/2))+(I203-2*('Parametros'!$B$7+'Parametros'!$B$9/2)))/8))/10,0)*10</f>
        <v>120</v>
      </c>
      <c r="AQ203" s="10">
        <f>ROUNDDOWN(MIN(IF(BC203+BD203=0,1000000000,AO203*BB203/(BC203+BD203)),IF(AK203&gt;0.33*SQRT('Parametros'!$B$2)*H203*MIN(U203,AB203)/1000,MIN(U203,AB203)/4,MIN(U203,AB203)/2),600,IF(AV203=0,1000000000,2*((H203-2*('Parametros'!$B$7+'Parametros'!$B$9/2))+(I203-2*('Parametros'!$B$7+'Parametros'!$B$9/2)))/8))/10,0)*10</f>
        <v>240</v>
      </c>
      <c r="AR203" s="10">
        <f>'Parametros'!$B$6*(AJ203+MAX(BE203-BD203,0)*'Parametros'!$B$4*MIN(U203,AB203)/1000)</f>
        <v>330.97185436697</v>
      </c>
      <c r="AS203" s="10" t="str">
        <f>IF(AND(ISERROR(SEARCH("referencia",AN203)),AM203="CUMPLE",AR203&gt;=AI203),"CUMPLE","NO CUMPLE")</f>
        <v>CUMPLE</v>
      </c>
      <c r="AT203" s="10">
        <f>'Parametros'!$B$6*0.083*SQRT('Parametros'!$B$2)*(H203*I203)^2/(2*(H203+I203))/1000000</f>
        <v>10.0887830333379</v>
      </c>
      <c r="AU203" s="10" t="str">
        <f>IF(Q203&lt;=AT203,"DESPRECIABLE","DISEÑAR")</f>
        <v>DESPRECIABLE</v>
      </c>
      <c r="AV203" s="10">
        <f>IF(Q203&lt;=AT203,0,Q203*1000000/('Parametros'!$B$6*2*0.85*(H203-2*('Parametros'!$B$7+'Parametros'!$B$9/2))*(I203-2*('Parametros'!$B$7+'Parametros'!$B$9/2))*'Parametros'!$B$4))</f>
        <v>0</v>
      </c>
      <c r="AW203" s="10">
        <f>AV203*2*((H203-2*('Parametros'!$B$7+'Parametros'!$B$9/2))+(I203-2*('Parametros'!$B$7+'Parametros'!$B$9/2)))*'Parametros'!$B$4/'Parametros'!$B$3</f>
        <v>0</v>
      </c>
      <c r="AX203" s="31" t="n">
        <v>0</v>
      </c>
      <c r="AY203" s="10" t="str">
        <f>IF(AV203=0,"DESPRECIABLE",IF(AND(ISERROR(SEARCH("referencia",AN203)),BB203/AP203&gt;=AV203,BI203&gt;=AW203,BH203="CUMPLE"),"CUMPLE","NO CUMPLE"))</f>
        <v>DESPRECIABLE</v>
      </c>
      <c r="AZ203" s="10" t="str">
        <f>IF(AND(X203="CUMPLE",AE203="CUMPLE",AS203="CUMPLE",OR(AY203="CUMPLE",AY203="DESPRECIABLE"),BH203="CUMPLE",BJ203="CUMPLE"),"CUMPLE","NO CUMPLE")</f>
        <v>CUMPLE</v>
      </c>
      <c r="BA203" s="32" t="n">
        <v>9.5</v>
      </c>
      <c r="BB203" s="32" t="n">
        <v>71</v>
      </c>
      <c r="BC203" s="10">
        <f>MAX(IF(AK203=0,0,AK203*1000/('Parametros'!$B$4*MIN(U203,AB203))),MAX(0.062*SQRT('Parametros'!$B$2)*H203/'Parametros'!$B$4,0.35*H203/'Parametros'!$B$4))</f>
        <v>0.375</v>
      </c>
      <c r="BD203" s="10">
        <f>2*AV203</f>
        <v>0</v>
      </c>
      <c r="BE203" s="10">
        <f>AO203*BB203/AP203</f>
        <v>1.18333333333333</v>
      </c>
      <c r="BF203" s="10">
        <f>SQRT((AI203*1000/(H203*MIN(U203,AB203)))^2+(Q203*1000000*2*((H203-2*('Parametros'!$B$7+'Parametros'!$B$9/2))+(I203-2*('Parametros'!$B$7+'Parametros'!$B$9/2)))/(1.7*((H203-2*('Parametros'!$B$7+'Parametros'!$B$9/2))*(I203-2*('Parametros'!$B$7+'Parametros'!$B$9/2)))^2))^2)</f>
        <v>0.69856900605497</v>
      </c>
      <c r="BG203" s="10">
        <f>'Parametros'!$B$6*(AJ203*1000/(H203*MIN(U203,AB203))+0.66*SQRT('Parametros'!$B$2))</f>
        <v>3.29396038227542</v>
      </c>
      <c r="BH203" s="10" t="str">
        <f>IF(BF203&lt;=BG203,"CUMPLE","NO CUMPLE")</f>
        <v>CUMPLE</v>
      </c>
      <c r="BI203" s="10">
        <f>AX203*'Parametros'!$B$8</f>
        <v>0</v>
      </c>
      <c r="BJ203" s="10" t="str">
        <f>IF(BI203&gt;=AW203,"CUMPLE","NO CUMPLE")</f>
        <v>CUMPLE</v>
      </c>
    </row>
    <row r="204">
      <c r="A204" s="21" t="inlineStr">
        <is>
          <t>VC7</t>
        </is>
      </c>
      <c r="B204" s="21" t="inlineStr">
        <is>
          <t>71</t>
        </is>
      </c>
      <c r="C204" s="10" t="n">
        <v>1</v>
      </c>
      <c r="D204" s="10" t="n">
        <v>2.05</v>
      </c>
      <c r="E204" s="10" t="n">
        <v>2.05</v>
      </c>
      <c r="F204" s="10" t="n">
        <v>450</v>
      </c>
      <c r="G204" s="10" t="n">
        <v>550</v>
      </c>
      <c r="H204" s="17" t="n">
        <v>450</v>
      </c>
      <c r="I204" s="17" t="n">
        <v>550</v>
      </c>
      <c r="J204" s="30" t="n">
        <v>210.4147</v>
      </c>
      <c r="K204" s="10" t="inlineStr">
        <is>
          <t>71</t>
        </is>
      </c>
      <c r="L204" s="30" t="n">
        <v>197.3007</v>
      </c>
      <c r="M204" s="10" t="inlineStr">
        <is>
          <t>71</t>
        </is>
      </c>
      <c r="N204" s="30" t="n">
        <v>163.128</v>
      </c>
      <c r="O204" s="30" t="n">
        <v>753.812</v>
      </c>
      <c r="P204" s="10" t="inlineStr">
        <is>
          <t>71</t>
        </is>
      </c>
      <c r="Q204" s="30" t="n">
        <v>14.6794</v>
      </c>
      <c r="R204" s="10">
        <f>MAX(MAX(1.4/'Parametros'!$B$3,0.25*SQRT('Parametros'!$B$2)/'Parametros'!$B$3)*H204*U204,(0.85*'Parametros'!$B$2/'Parametros'!$B$3)*(1-SQRT(1-2*(J204*1000000/('Parametros'!$B$5*H204*U204^2))/(0.85*'Parametros'!$B$2)))*H204*U204)</f>
        <v>1194.72855069802</v>
      </c>
      <c r="S204" s="31" t="n">
        <v>7</v>
      </c>
      <c r="T204" s="32" t="n">
        <v>1</v>
      </c>
      <c r="U204" s="10">
        <f>IF(T204=1,I204-('Parametros'!$B$7+'Parametros'!$B$9+'Parametros'!$B$12/2),I204-(ROUNDUP(S204/2,0)*('Parametros'!$B$7+'Parametros'!$B$9+'Parametros'!$B$12/2)+ROUNDDOWN(S204/2,0)*('Parametros'!$B$7+'Parametros'!$B$9+'Parametros'!$B$12/2+'Parametros'!$B$12+'Parametros'!$B$10))/S204)</f>
        <v>489.35</v>
      </c>
      <c r="V204" s="10">
        <f>S204*'Parametros'!$B$8</f>
        <v>1393</v>
      </c>
      <c r="W204" s="10">
        <f>'Parametros'!$B$5*V204*'Parametros'!$B$3*(U204-(V204*'Parametros'!$B$3/(0.85*'Parametros'!$B$2*H204))/2)/1000000</f>
        <v>243.287048488235</v>
      </c>
      <c r="X204" s="10" t="str">
        <f>IF(W204&gt;=J204,"CUMPLE","NO CUMPLE")</f>
        <v>CUMPLE</v>
      </c>
      <c r="Y204" s="10">
        <f>MAX(MAX(1.4/'Parametros'!$B$3,0.25*SQRT('Parametros'!$B$2)/'Parametros'!$B$3)*H204*AB204,(0.85*'Parametros'!$B$2/'Parametros'!$B$3)*(1-SQRT(1-2*(L204*1000000/('Parametros'!$B$5*H204*AB204^2))/(0.85*'Parametros'!$B$2)))*H204*AB204)</f>
        <v>1116.59615221589</v>
      </c>
      <c r="Z204" s="31" t="n">
        <v>6</v>
      </c>
      <c r="AA204" s="32" t="n">
        <v>1</v>
      </c>
      <c r="AB204" s="10">
        <f>IF(AA204=1,I204-('Parametros'!$B$7+'Parametros'!$B$9+'Parametros'!$B$12/2),I204-(ROUNDUP(Z204/2,0)*('Parametros'!$B$7+'Parametros'!$B$9+'Parametros'!$B$12/2)+ROUNDDOWN(Z204/2,0)*('Parametros'!$B$7+'Parametros'!$B$9+'Parametros'!$B$12/2+'Parametros'!$B$12+'Parametros'!$B$10))/Z204)</f>
        <v>489.35</v>
      </c>
      <c r="AC204" s="10">
        <f>Z204*'Parametros'!$B$8</f>
        <v>1194</v>
      </c>
      <c r="AD204" s="10">
        <f>'Parametros'!$B$5*AC204*'Parametros'!$B$3*(AB204-(AC204*'Parametros'!$B$3/(0.85*'Parametros'!$B$2*H204))/2)/1000000</f>
        <v>210.292835611765</v>
      </c>
      <c r="AE204" s="10" t="str">
        <f>IF(AD204&gt;=L204,"CUMPLE","NO CUMPLE")</f>
        <v>CUMPLE</v>
      </c>
      <c r="AF204" s="10">
        <f>V204*1.25*'Parametros'!$B$3*(U204-(V204*1.25*'Parametros'!$B$3/(0.85*'Parametros'!$B$2*H204))/2)/1000000</f>
        <v>332.904875882353</v>
      </c>
      <c r="AG204" s="10">
        <f>AC204*1.25*'Parametros'!$B$3*(AB204-(AC204*1.25*'Parametros'!$B$3/(0.85*'Parametros'!$B$2*H204))/2)/1000000</f>
        <v>288.404466617647</v>
      </c>
      <c r="AH204" s="10">
        <f>N204+(AF204+AG204)/D204</f>
        <v>466.20572804878</v>
      </c>
      <c r="AI204" s="10">
        <f>MAX(O204,AH204)</f>
        <v>753.812</v>
      </c>
      <c r="AJ204" s="10">
        <f>0.17*SQRT('Parametros'!$B$2)*H204*MIN(U204,AB204)/1000</f>
        <v>198.088855822627</v>
      </c>
      <c r="AK204" s="10">
        <f>MAX(AI204/'Parametros'!$B$6-AJ204,0)</f>
        <v>806.99381084404</v>
      </c>
      <c r="AL204" s="10">
        <f>0.66*SQRT('Parametros'!$B$2)*H204*MIN(U204,AB204)/1000</f>
        <v>769.050852017258</v>
      </c>
      <c r="AM204" s="10" t="str">
        <f>IF(AK204&lt;=AL204,"CUMPLE","NO CUMPLE")</f>
        <v>NO CUMPLE</v>
      </c>
      <c r="AN204" s="17" t="inlineStr">
        <is>
          <t>Nº4 cerrado</t>
        </is>
      </c>
      <c r="AO204" s="31" t="n">
        <v>4</v>
      </c>
      <c r="AP204" s="10">
        <f>ROUNDDOWN(MIN(IF(BC204+BD204=0,1000000000,AO204*BB204/(BC204+BD204)),MIN(U204,AB204)/4,8*'Parametros'!$B$12,24*BA204,300,IF(AV204=0,1000000000,2*((H204-2*('Parametros'!$B$7+'Parametros'!$B$9/2))+(I204-2*('Parametros'!$B$7+'Parametros'!$B$9/2)))/8))/10,0)*10</f>
        <v>120</v>
      </c>
      <c r="AQ204" s="10">
        <f>ROUNDDOWN(MIN(IF(BC204+BD204=0,1000000000,AO204*BB204/(BC204+BD204)),IF(AK204&gt;0.33*SQRT('Parametros'!$B$2)*H204*MIN(U204,AB204)/1000,MIN(U204,AB204)/4,MIN(U204,AB204)/2),600,IF(AV204=0,1000000000,2*((H204-2*('Parametros'!$B$7+'Parametros'!$B$9/2))+(I204-2*('Parametros'!$B$7+'Parametros'!$B$9/2)))/8))/10,0)*10</f>
        <v>120</v>
      </c>
      <c r="AR204" s="10">
        <f>'Parametros'!$B$6*(AJ204+MAX(BE204-BD204,0)*'Parametros'!$B$4*MIN(U204,AB204)/1000)</f>
        <v>759.669283062885</v>
      </c>
      <c r="AS204" s="10" t="str">
        <f>IF(AND(ISERROR(SEARCH("referencia",AN204)),AM204="CUMPLE",AR204&gt;=AI204),"CUMPLE","NO CUMPLE")</f>
        <v>NO CUMPLE</v>
      </c>
      <c r="AT204" s="10">
        <f>'Parametros'!$B$6*0.083*SQRT('Parametros'!$B$2)*(H204*I204)^2/(2*(H204+I204))/1000000</f>
        <v>10.0887830333379</v>
      </c>
      <c r="AU204" s="10" t="str">
        <f>IF(Q204&lt;=AT204,"DESPRECIABLE","DISEÑAR")</f>
        <v>DISEÑAR</v>
      </c>
      <c r="AV204" s="10">
        <f>IF(Q204&lt;=AT204,0,Q204*1000000/('Parametros'!$B$6*2*0.85*(H204-2*('Parametros'!$B$7+'Parametros'!$B$9/2))*(I204-2*('Parametros'!$B$7+'Parametros'!$B$9/2))*'Parametros'!$B$4))</f>
        <v>0.167770118781103</v>
      </c>
      <c r="AW204" s="10">
        <f>AV204*2*((H204-2*('Parametros'!$B$7+'Parametros'!$B$9/2))+(I204-2*('Parametros'!$B$7+'Parametros'!$B$9/2)))*'Parametros'!$B$4/'Parametros'!$B$3</f>
        <v>273.331077518173</v>
      </c>
      <c r="AX204" s="31" t="n">
        <v>8</v>
      </c>
      <c r="AY204" s="10" t="str">
        <f>IF(AV204=0,"DESPRECIABLE",IF(AND(ISERROR(SEARCH("referencia",AN204)),BB204/AP204&gt;=AV204,BI204&gt;=AW204,BH204="CUMPLE"),"CUMPLE","NO CUMPLE"))</f>
        <v>NO CUMPLE</v>
      </c>
      <c r="AZ204" s="10" t="str">
        <f>IF(AND(X204="CUMPLE",AE204="CUMPLE",AS204="CUMPLE",OR(AY204="CUMPLE",AY204="DESPRECIABLE"),BH204="CUMPLE",BJ204="CUMPLE"),"CUMPLE","NO CUMPLE")</f>
        <v>NO CUMPLE</v>
      </c>
      <c r="BA204" s="32" t="n">
        <v>12.7</v>
      </c>
      <c r="BB204" s="32" t="n">
        <v>129</v>
      </c>
      <c r="BC204" s="10">
        <f>MAX(IF(AK204=0,0,AK204*1000/('Parametros'!$B$4*MIN(U204,AB204))),MAX(0.062*SQRT('Parametros'!$B$2)*H204/'Parametros'!$B$4,0.35*H204/'Parametros'!$B$4))</f>
        <v>3.92646129629703</v>
      </c>
      <c r="BD204" s="10">
        <f>2*AV204</f>
        <v>0.335540237562206</v>
      </c>
      <c r="BE204" s="10">
        <f>AO204*BB204/AP204</f>
        <v>4.3</v>
      </c>
      <c r="BF204" s="10">
        <f>SQRT((AI204*1000/(H204*MIN(U204,AB204)))^2+(Q204*1000000*2*((H204-2*('Parametros'!$B$7+'Parametros'!$B$9/2))+(I204-2*('Parametros'!$B$7+'Parametros'!$B$9/2)))/(1.7*((H204-2*('Parametros'!$B$7+'Parametros'!$B$9/2))*(I204-2*('Parametros'!$B$7+'Parametros'!$B$9/2)))^2))^2)</f>
        <v>3.46350940638617</v>
      </c>
      <c r="BG204" s="10">
        <f>'Parametros'!$B$6*(AJ204*1000/(H204*MIN(U204,AB204))+0.66*SQRT('Parametros'!$B$2))</f>
        <v>3.29396038227542</v>
      </c>
      <c r="BH204" s="10" t="str">
        <f>IF(BF204&lt;=BG204,"CUMPLE","NO CUMPLE")</f>
        <v>NO CUMPLE</v>
      </c>
      <c r="BI204" s="10">
        <f>AX204*'Parametros'!$B$8</f>
        <v>1592</v>
      </c>
      <c r="BJ204" s="10" t="str">
        <f>IF(BI204&gt;=AW204,"CUMPLE","NO CUMPLE")</f>
        <v>CUMPLE</v>
      </c>
    </row>
    <row r="205">
      <c r="A205" s="21" t="inlineStr">
        <is>
          <t>VC7</t>
        </is>
      </c>
      <c r="B205" s="21" t="inlineStr">
        <is>
          <t>72</t>
        </is>
      </c>
      <c r="C205" s="10" t="n">
        <v>1</v>
      </c>
      <c r="D205" s="10" t="n">
        <v>4.5</v>
      </c>
      <c r="E205" s="10" t="n">
        <v>4.5</v>
      </c>
      <c r="F205" s="10" t="n">
        <v>450</v>
      </c>
      <c r="G205" s="10" t="n">
        <v>550</v>
      </c>
      <c r="H205" s="17" t="n">
        <v>450</v>
      </c>
      <c r="I205" s="17" t="n">
        <v>550</v>
      </c>
      <c r="J205" s="30" t="n">
        <v>151.4734</v>
      </c>
      <c r="K205" s="10" t="inlineStr">
        <is>
          <t>72</t>
        </is>
      </c>
      <c r="L205" s="30" t="n">
        <v>128.1634</v>
      </c>
      <c r="M205" s="10" t="inlineStr">
        <is>
          <t>72</t>
        </is>
      </c>
      <c r="N205" s="30" t="n">
        <v>72.596</v>
      </c>
      <c r="O205" s="30" t="n">
        <v>278.244</v>
      </c>
      <c r="P205" s="10" t="inlineStr">
        <is>
          <t>72</t>
        </is>
      </c>
      <c r="Q205" s="30" t="n">
        <v>9.7189</v>
      </c>
      <c r="R205" s="10">
        <f>MAX(MAX(1.4/'Parametros'!$B$3,0.25*SQRT('Parametros'!$B$2)/'Parametros'!$B$3)*H205*U205,(0.85*'Parametros'!$B$2/'Parametros'!$B$3)*(1-SQRT(1-2*(J205*1000000/('Parametros'!$B$5*H205*U205^2))/(0.85*'Parametros'!$B$2)))*H205*U205)</f>
        <v>847.681120993907</v>
      </c>
      <c r="S205" s="31" t="n">
        <v>5</v>
      </c>
      <c r="T205" s="32" t="n">
        <v>1</v>
      </c>
      <c r="U205" s="10">
        <f>IF(T205=1,I205-('Parametros'!$B$7+'Parametros'!$B$9+'Parametros'!$B$12/2),I205-(ROUNDUP(S205/2,0)*('Parametros'!$B$7+'Parametros'!$B$9+'Parametros'!$B$12/2)+ROUNDDOWN(S205/2,0)*('Parametros'!$B$7+'Parametros'!$B$9+'Parametros'!$B$12/2+'Parametros'!$B$12+'Parametros'!$B$10))/S205)</f>
        <v>489.35</v>
      </c>
      <c r="V205" s="10">
        <f>S205*'Parametros'!$B$8</f>
        <v>995</v>
      </c>
      <c r="W205" s="10">
        <f>'Parametros'!$B$5*V205*'Parametros'!$B$3*(U205-(V205*'Parametros'!$B$3/(0.85*'Parametros'!$B$2*H205))/2)/1000000</f>
        <v>176.711596147059</v>
      </c>
      <c r="X205" s="10" t="str">
        <f>IF(W205&gt;=J205,"CUMPLE","NO CUMPLE")</f>
        <v>CUMPLE</v>
      </c>
      <c r="Y205" s="10">
        <f>MAX(MAX(1.4/'Parametros'!$B$3,0.25*SQRT('Parametros'!$B$2)/'Parametros'!$B$3)*H205*AB205,(0.85*'Parametros'!$B$2/'Parametros'!$B$3)*(1-SQRT(1-2*(L205*1000000/('Parametros'!$B$5*H205*AB205^2))/(0.85*'Parametros'!$B$2)))*H205*AB205)</f>
        <v>734.025</v>
      </c>
      <c r="Z205" s="31" t="n">
        <v>4</v>
      </c>
      <c r="AA205" s="32" t="n">
        <v>1</v>
      </c>
      <c r="AB205" s="10">
        <f>IF(AA205=1,I205-('Parametros'!$B$7+'Parametros'!$B$9+'Parametros'!$B$12/2),I205-(ROUNDUP(Z205/2,0)*('Parametros'!$B$7+'Parametros'!$B$9+'Parametros'!$B$12/2)+ROUNDDOWN(Z205/2,0)*('Parametros'!$B$7+'Parametros'!$B$9+'Parametros'!$B$12/2+'Parametros'!$B$12+'Parametros'!$B$10))/Z205)</f>
        <v>489.35</v>
      </c>
      <c r="AC205" s="10">
        <f>Z205*'Parametros'!$B$8</f>
        <v>796</v>
      </c>
      <c r="AD205" s="10">
        <f>'Parametros'!$B$5*AC205*'Parametros'!$B$3*(AB205-(AC205*'Parametros'!$B$3/(0.85*'Parametros'!$B$2*H205))/2)/1000000</f>
        <v>142.543330094118</v>
      </c>
      <c r="AE205" s="10" t="str">
        <f>IF(AD205&gt;=L205,"CUMPLE","NO CUMPLE")</f>
        <v>CUMPLE</v>
      </c>
      <c r="AF205" s="10">
        <f>V205*1.25*'Parametros'!$B$3*(U205-(V205*1.25*'Parametros'!$B$3/(0.85*'Parametros'!$B$2*H205))/2)/1000000</f>
        <v>242.884913970588</v>
      </c>
      <c r="AG205" s="10">
        <f>AC205*1.25*'Parametros'!$B$3*(AB205-(AC205*1.25*'Parametros'!$B$3/(0.85*'Parametros'!$B$2*H205))/2)/1000000</f>
        <v>196.346217941176</v>
      </c>
      <c r="AH205" s="10">
        <f>N205+(AF205+AG205)/D205</f>
        <v>170.202918202614</v>
      </c>
      <c r="AI205" s="10">
        <f>MAX(O205,AH205)</f>
        <v>278.244</v>
      </c>
      <c r="AJ205" s="10">
        <f>0.17*SQRT('Parametros'!$B$2)*H205*MIN(U205,AB205)/1000</f>
        <v>198.088855822627</v>
      </c>
      <c r="AK205" s="10">
        <f>MAX(AI205/'Parametros'!$B$6-AJ205,0)</f>
        <v>172.903144177373</v>
      </c>
      <c r="AL205" s="10">
        <f>0.66*SQRT('Parametros'!$B$2)*H205*MIN(U205,AB205)/1000</f>
        <v>769.050852017258</v>
      </c>
      <c r="AM205" s="10" t="str">
        <f>IF(AK205&lt;=AL205,"CUMPLE","NO CUMPLE")</f>
        <v>CUMPLE</v>
      </c>
      <c r="AN205" s="17" t="inlineStr">
        <is>
          <t>Nº3 cerrado</t>
        </is>
      </c>
      <c r="AO205" s="31" t="n">
        <v>2</v>
      </c>
      <c r="AP205" s="10">
        <f>ROUNDDOWN(MIN(IF(BC205+BD205=0,1000000000,AO205*BB205/(BC205+BD205)),MIN(U205,AB205)/4,8*'Parametros'!$B$12,24*BA205,300,IF(AV205=0,1000000000,2*((H205-2*('Parametros'!$B$7+'Parametros'!$B$9/2))+(I205-2*('Parametros'!$B$7+'Parametros'!$B$9/2)))/8))/10,0)*10</f>
        <v>120</v>
      </c>
      <c r="AQ205" s="10">
        <f>ROUNDDOWN(MIN(IF(BC205+BD205=0,1000000000,AO205*BB205/(BC205+BD205)),IF(AK205&gt;0.33*SQRT('Parametros'!$B$2)*H205*MIN(U205,AB205)/1000,MIN(U205,AB205)/4,MIN(U205,AB205)/2),600,IF(AV205=0,1000000000,2*((H205-2*('Parametros'!$B$7+'Parametros'!$B$9/2))+(I205-2*('Parametros'!$B$7+'Parametros'!$B$9/2)))/8))/10,0)*10</f>
        <v>160</v>
      </c>
      <c r="AR205" s="10">
        <f>'Parametros'!$B$6*(AJ205+MAX(BE205-BD205,0)*'Parametros'!$B$4*MIN(U205,AB205)/1000)</f>
        <v>330.97185436697</v>
      </c>
      <c r="AS205" s="10" t="str">
        <f>IF(AND(ISERROR(SEARCH("referencia",AN205)),AM205="CUMPLE",AR205&gt;=AI205),"CUMPLE","NO CUMPLE")</f>
        <v>CUMPLE</v>
      </c>
      <c r="AT205" s="10">
        <f>'Parametros'!$B$6*0.083*SQRT('Parametros'!$B$2)*(H205*I205)^2/(2*(H205+I205))/1000000</f>
        <v>10.0887830333379</v>
      </c>
      <c r="AU205" s="10" t="str">
        <f>IF(Q205&lt;=AT205,"DESPRECIABLE","DISEÑAR")</f>
        <v>DESPRECIABLE</v>
      </c>
      <c r="AV205" s="10">
        <f>IF(Q205&lt;=AT205,0,Q205*1000000/('Parametros'!$B$6*2*0.85*(H205-2*('Parametros'!$B$7+'Parametros'!$B$9/2))*(I205-2*('Parametros'!$B$7+'Parametros'!$B$9/2))*'Parametros'!$B$4))</f>
        <v>0</v>
      </c>
      <c r="AW205" s="10">
        <f>AV205*2*((H205-2*('Parametros'!$B$7+'Parametros'!$B$9/2))+(I205-2*('Parametros'!$B$7+'Parametros'!$B$9/2)))*'Parametros'!$B$4/'Parametros'!$B$3</f>
        <v>0</v>
      </c>
      <c r="AX205" s="31" t="n">
        <v>0</v>
      </c>
      <c r="AY205" s="10" t="str">
        <f>IF(AV205=0,"DESPRECIABLE",IF(AND(ISERROR(SEARCH("referencia",AN205)),BB205/AP205&gt;=AV205,BI205&gt;=AW205,BH205="CUMPLE"),"CUMPLE","NO CUMPLE"))</f>
        <v>DESPRECIABLE</v>
      </c>
      <c r="AZ205" s="10" t="str">
        <f>IF(AND(X205="CUMPLE",AE205="CUMPLE",AS205="CUMPLE",OR(AY205="CUMPLE",AY205="DESPRECIABLE"),BH205="CUMPLE",BJ205="CUMPLE"),"CUMPLE","NO CUMPLE")</f>
        <v>CUMPLE</v>
      </c>
      <c r="BA205" s="32" t="n">
        <v>9.5</v>
      </c>
      <c r="BB205" s="32" t="n">
        <v>71</v>
      </c>
      <c r="BC205" s="10">
        <f>MAX(IF(AK205=0,0,AK205*1000/('Parametros'!$B$4*MIN(U205,AB205))),MAX(0.062*SQRT('Parametros'!$B$2)*H205/'Parametros'!$B$4,0.35*H205/'Parametros'!$B$4))</f>
        <v>0.841267299076876</v>
      </c>
      <c r="BD205" s="10">
        <f>2*AV205</f>
        <v>0</v>
      </c>
      <c r="BE205" s="10">
        <f>AO205*BB205/AP205</f>
        <v>1.18333333333333</v>
      </c>
      <c r="BF205" s="10">
        <f>SQRT((AI205*1000/(H205*MIN(U205,AB205)))^2+(Q205*1000000*2*((H205-2*('Parametros'!$B$7+'Parametros'!$B$9/2))+(I205-2*('Parametros'!$B$7+'Parametros'!$B$9/2)))/(1.7*((H205-2*('Parametros'!$B$7+'Parametros'!$B$9/2))*(I205-2*('Parametros'!$B$7+'Parametros'!$B$9/2)))^2))^2)</f>
        <v>1.31083336762488</v>
      </c>
      <c r="BG205" s="10">
        <f>'Parametros'!$B$6*(AJ205*1000/(H205*MIN(U205,AB205))+0.66*SQRT('Parametros'!$B$2))</f>
        <v>3.29396038227542</v>
      </c>
      <c r="BH205" s="10" t="str">
        <f>IF(BF205&lt;=BG205,"CUMPLE","NO CUMPLE")</f>
        <v>CUMPLE</v>
      </c>
      <c r="BI205" s="10">
        <f>AX205*'Parametros'!$B$8</f>
        <v>0</v>
      </c>
      <c r="BJ205" s="10" t="str">
        <f>IF(BI205&gt;=AW205,"CUMPLE","NO CUMPLE")</f>
        <v>CUMPLE</v>
      </c>
    </row>
    <row r="206">
      <c r="A206" s="21" t="inlineStr">
        <is>
          <t>VC7</t>
        </is>
      </c>
      <c r="B206" s="21" t="inlineStr">
        <is>
          <t>73</t>
        </is>
      </c>
      <c r="C206" s="10" t="n">
        <v>1</v>
      </c>
      <c r="D206" s="10" t="n">
        <v>4.5</v>
      </c>
      <c r="E206" s="10" t="n">
        <v>4.5</v>
      </c>
      <c r="F206" s="10" t="n">
        <v>450</v>
      </c>
      <c r="G206" s="10" t="n">
        <v>550</v>
      </c>
      <c r="H206" s="17" t="n">
        <v>450</v>
      </c>
      <c r="I206" s="17" t="n">
        <v>550</v>
      </c>
      <c r="J206" s="30" t="n">
        <v>151.4764</v>
      </c>
      <c r="K206" s="10" t="inlineStr">
        <is>
          <t>73</t>
        </is>
      </c>
      <c r="L206" s="30" t="n">
        <v>128.1666</v>
      </c>
      <c r="M206" s="10" t="inlineStr">
        <is>
          <t>73</t>
        </is>
      </c>
      <c r="N206" s="30" t="n">
        <v>72.59699999999999</v>
      </c>
      <c r="O206" s="30" t="n">
        <v>278.246</v>
      </c>
      <c r="P206" s="10" t="inlineStr">
        <is>
          <t>73</t>
        </is>
      </c>
      <c r="Q206" s="30" t="n">
        <v>9.718500000000001</v>
      </c>
      <c r="R206" s="10">
        <f>MAX(MAX(1.4/'Parametros'!$B$3,0.25*SQRT('Parametros'!$B$2)/'Parametros'!$B$3)*H206*U206,(0.85*'Parametros'!$B$2/'Parametros'!$B$3)*(1-SQRT(1-2*(J206*1000000/('Parametros'!$B$5*H206*U206^2))/(0.85*'Parametros'!$B$2)))*H206*U206)</f>
        <v>847.698521523561</v>
      </c>
      <c r="S206" s="31" t="n">
        <v>5</v>
      </c>
      <c r="T206" s="32" t="n">
        <v>1</v>
      </c>
      <c r="U206" s="10">
        <f>IF(T206=1,I206-('Parametros'!$B$7+'Parametros'!$B$9+'Parametros'!$B$12/2),I206-(ROUNDUP(S206/2,0)*('Parametros'!$B$7+'Parametros'!$B$9+'Parametros'!$B$12/2)+ROUNDDOWN(S206/2,0)*('Parametros'!$B$7+'Parametros'!$B$9+'Parametros'!$B$12/2+'Parametros'!$B$12+'Parametros'!$B$10))/S206)</f>
        <v>489.35</v>
      </c>
      <c r="V206" s="10">
        <f>S206*'Parametros'!$B$8</f>
        <v>995</v>
      </c>
      <c r="W206" s="10">
        <f>'Parametros'!$B$5*V206*'Parametros'!$B$3*(U206-(V206*'Parametros'!$B$3/(0.85*'Parametros'!$B$2*H206))/2)/1000000</f>
        <v>176.711596147059</v>
      </c>
      <c r="X206" s="10" t="str">
        <f>IF(W206&gt;=J206,"CUMPLE","NO CUMPLE")</f>
        <v>CUMPLE</v>
      </c>
      <c r="Y206" s="10">
        <f>MAX(MAX(1.4/'Parametros'!$B$3,0.25*SQRT('Parametros'!$B$2)/'Parametros'!$B$3)*H206*AB206,(0.85*'Parametros'!$B$2/'Parametros'!$B$3)*(1-SQRT(1-2*(L206*1000000/('Parametros'!$B$5*H206*AB206^2))/(0.85*'Parametros'!$B$2)))*H206*AB206)</f>
        <v>734.025</v>
      </c>
      <c r="Z206" s="31" t="n">
        <v>4</v>
      </c>
      <c r="AA206" s="32" t="n">
        <v>1</v>
      </c>
      <c r="AB206" s="10">
        <f>IF(AA206=1,I206-('Parametros'!$B$7+'Parametros'!$B$9+'Parametros'!$B$12/2),I206-(ROUNDUP(Z206/2,0)*('Parametros'!$B$7+'Parametros'!$B$9+'Parametros'!$B$12/2)+ROUNDDOWN(Z206/2,0)*('Parametros'!$B$7+'Parametros'!$B$9+'Parametros'!$B$12/2+'Parametros'!$B$12+'Parametros'!$B$10))/Z206)</f>
        <v>489.35</v>
      </c>
      <c r="AC206" s="10">
        <f>Z206*'Parametros'!$B$8</f>
        <v>796</v>
      </c>
      <c r="AD206" s="10">
        <f>'Parametros'!$B$5*AC206*'Parametros'!$B$3*(AB206-(AC206*'Parametros'!$B$3/(0.85*'Parametros'!$B$2*H206))/2)/1000000</f>
        <v>142.543330094118</v>
      </c>
      <c r="AE206" s="10" t="str">
        <f>IF(AD206&gt;=L206,"CUMPLE","NO CUMPLE")</f>
        <v>CUMPLE</v>
      </c>
      <c r="AF206" s="10">
        <f>V206*1.25*'Parametros'!$B$3*(U206-(V206*1.25*'Parametros'!$B$3/(0.85*'Parametros'!$B$2*H206))/2)/1000000</f>
        <v>242.884913970588</v>
      </c>
      <c r="AG206" s="10">
        <f>AC206*1.25*'Parametros'!$B$3*(AB206-(AC206*1.25*'Parametros'!$B$3/(0.85*'Parametros'!$B$2*H206))/2)/1000000</f>
        <v>196.346217941176</v>
      </c>
      <c r="AH206" s="10">
        <f>N206+(AF206+AG206)/D206</f>
        <v>170.203918202614</v>
      </c>
      <c r="AI206" s="10">
        <f>MAX(O206,AH206)</f>
        <v>278.246</v>
      </c>
      <c r="AJ206" s="10">
        <f>0.17*SQRT('Parametros'!$B$2)*H206*MIN(U206,AB206)/1000</f>
        <v>198.088855822627</v>
      </c>
      <c r="AK206" s="10">
        <f>MAX(AI206/'Parametros'!$B$6-AJ206,0)</f>
        <v>172.90581084404</v>
      </c>
      <c r="AL206" s="10">
        <f>0.66*SQRT('Parametros'!$B$2)*H206*MIN(U206,AB206)/1000</f>
        <v>769.050852017258</v>
      </c>
      <c r="AM206" s="10" t="str">
        <f>IF(AK206&lt;=AL206,"CUMPLE","NO CUMPLE")</f>
        <v>CUMPLE</v>
      </c>
      <c r="AN206" s="17" t="inlineStr">
        <is>
          <t>Nº3 cerrado</t>
        </is>
      </c>
      <c r="AO206" s="31" t="n">
        <v>2</v>
      </c>
      <c r="AP206" s="10">
        <f>ROUNDDOWN(MIN(IF(BC206+BD206=0,1000000000,AO206*BB206/(BC206+BD206)),MIN(U206,AB206)/4,8*'Parametros'!$B$12,24*BA206,300,IF(AV206=0,1000000000,2*((H206-2*('Parametros'!$B$7+'Parametros'!$B$9/2))+(I206-2*('Parametros'!$B$7+'Parametros'!$B$9/2)))/8))/10,0)*10</f>
        <v>120</v>
      </c>
      <c r="AQ206" s="10">
        <f>ROUNDDOWN(MIN(IF(BC206+BD206=0,1000000000,AO206*BB206/(BC206+BD206)),IF(AK206&gt;0.33*SQRT('Parametros'!$B$2)*H206*MIN(U206,AB206)/1000,MIN(U206,AB206)/4,MIN(U206,AB206)/2),600,IF(AV206=0,1000000000,2*((H206-2*('Parametros'!$B$7+'Parametros'!$B$9/2))+(I206-2*('Parametros'!$B$7+'Parametros'!$B$9/2)))/8))/10,0)*10</f>
        <v>160</v>
      </c>
      <c r="AR206" s="10">
        <f>'Parametros'!$B$6*(AJ206+MAX(BE206-BD206,0)*'Parametros'!$B$4*MIN(U206,AB206)/1000)</f>
        <v>330.97185436697</v>
      </c>
      <c r="AS206" s="10" t="str">
        <f>IF(AND(ISERROR(SEARCH("referencia",AN206)),AM206="CUMPLE",AR206&gt;=AI206),"CUMPLE","NO CUMPLE")</f>
        <v>CUMPLE</v>
      </c>
      <c r="AT206" s="10">
        <f>'Parametros'!$B$6*0.083*SQRT('Parametros'!$B$2)*(H206*I206)^2/(2*(H206+I206))/1000000</f>
        <v>10.0887830333379</v>
      </c>
      <c r="AU206" s="10" t="str">
        <f>IF(Q206&lt;=AT206,"DESPRECIABLE","DISEÑAR")</f>
        <v>DESPRECIABLE</v>
      </c>
      <c r="AV206" s="10">
        <f>IF(Q206&lt;=AT206,0,Q206*1000000/('Parametros'!$B$6*2*0.85*(H206-2*('Parametros'!$B$7+'Parametros'!$B$9/2))*(I206-2*('Parametros'!$B$7+'Parametros'!$B$9/2))*'Parametros'!$B$4))</f>
        <v>0</v>
      </c>
      <c r="AW206" s="10">
        <f>AV206*2*((H206-2*('Parametros'!$B$7+'Parametros'!$B$9/2))+(I206-2*('Parametros'!$B$7+'Parametros'!$B$9/2)))*'Parametros'!$B$4/'Parametros'!$B$3</f>
        <v>0</v>
      </c>
      <c r="AX206" s="31" t="n">
        <v>0</v>
      </c>
      <c r="AY206" s="10" t="str">
        <f>IF(AV206=0,"DESPRECIABLE",IF(AND(ISERROR(SEARCH("referencia",AN206)),BB206/AP206&gt;=AV206,BI206&gt;=AW206,BH206="CUMPLE"),"CUMPLE","NO CUMPLE"))</f>
        <v>DESPRECIABLE</v>
      </c>
      <c r="AZ206" s="10" t="str">
        <f>IF(AND(X206="CUMPLE",AE206="CUMPLE",AS206="CUMPLE",OR(AY206="CUMPLE",AY206="DESPRECIABLE"),BH206="CUMPLE",BJ206="CUMPLE"),"CUMPLE","NO CUMPLE")</f>
        <v>CUMPLE</v>
      </c>
      <c r="BA206" s="32" t="n">
        <v>9.5</v>
      </c>
      <c r="BB206" s="32" t="n">
        <v>71</v>
      </c>
      <c r="BC206" s="10">
        <f>MAX(IF(AK206=0,0,AK206*1000/('Parametros'!$B$4*MIN(U206,AB206))),MAX(0.062*SQRT('Parametros'!$B$2)*H206/'Parametros'!$B$4,0.35*H206/'Parametros'!$B$4))</f>
        <v>0.84128027385229</v>
      </c>
      <c r="BD206" s="10">
        <f>2*AV206</f>
        <v>0</v>
      </c>
      <c r="BE206" s="10">
        <f>AO206*BB206/AP206</f>
        <v>1.18333333333333</v>
      </c>
      <c r="BF206" s="10">
        <f>SQRT((AI206*1000/(H206*MIN(U206,AB206)))^2+(Q206*1000000*2*((H206-2*('Parametros'!$B$7+'Parametros'!$B$9/2))+(I206-2*('Parametros'!$B$7+'Parametros'!$B$9/2)))/(1.7*((H206-2*('Parametros'!$B$7+'Parametros'!$B$9/2))*(I206-2*('Parametros'!$B$7+'Parametros'!$B$9/2)))^2))^2)</f>
        <v>1.31083830089623</v>
      </c>
      <c r="BG206" s="10">
        <f>'Parametros'!$B$6*(AJ206*1000/(H206*MIN(U206,AB206))+0.66*SQRT('Parametros'!$B$2))</f>
        <v>3.29396038227542</v>
      </c>
      <c r="BH206" s="10" t="str">
        <f>IF(BF206&lt;=BG206,"CUMPLE","NO CUMPLE")</f>
        <v>CUMPLE</v>
      </c>
      <c r="BI206" s="10">
        <f>AX206*'Parametros'!$B$8</f>
        <v>0</v>
      </c>
      <c r="BJ206" s="10" t="str">
        <f>IF(BI206&gt;=AW206,"CUMPLE","NO CUMPLE")</f>
        <v>CUMPLE</v>
      </c>
    </row>
    <row r="207">
      <c r="A207" s="21" t="inlineStr">
        <is>
          <t>VC7</t>
        </is>
      </c>
      <c r="B207" s="21" t="inlineStr">
        <is>
          <t>74</t>
        </is>
      </c>
      <c r="C207" s="10" t="n">
        <v>1</v>
      </c>
      <c r="D207" s="10" t="n">
        <v>2.05</v>
      </c>
      <c r="E207" s="10" t="n">
        <v>2.05</v>
      </c>
      <c r="F207" s="10" t="n">
        <v>450</v>
      </c>
      <c r="G207" s="10" t="n">
        <v>550</v>
      </c>
      <c r="H207" s="17" t="n">
        <v>450</v>
      </c>
      <c r="I207" s="17" t="n">
        <v>550</v>
      </c>
      <c r="J207" s="30" t="n">
        <v>210.4166</v>
      </c>
      <c r="K207" s="10" t="inlineStr">
        <is>
          <t>74</t>
        </is>
      </c>
      <c r="L207" s="30" t="n">
        <v>197.3021</v>
      </c>
      <c r="M207" s="10" t="inlineStr">
        <is>
          <t>74</t>
        </is>
      </c>
      <c r="N207" s="30" t="n">
        <v>163.129</v>
      </c>
      <c r="O207" s="30" t="n">
        <v>753.813</v>
      </c>
      <c r="P207" s="10" t="inlineStr">
        <is>
          <t>74</t>
        </is>
      </c>
      <c r="Q207" s="30" t="n">
        <v>14.6796</v>
      </c>
      <c r="R207" s="10">
        <f>MAX(MAX(1.4/'Parametros'!$B$3,0.25*SQRT('Parametros'!$B$2)/'Parametros'!$B$3)*H207*U207,(0.85*'Parametros'!$B$2/'Parametros'!$B$3)*(1-SQRT(1-2*(J207*1000000/('Parametros'!$B$5*H207*U207^2))/(0.85*'Parametros'!$B$2)))*H207*U207)</f>
        <v>1194.73990997805</v>
      </c>
      <c r="S207" s="31" t="n">
        <v>7</v>
      </c>
      <c r="T207" s="32" t="n">
        <v>1</v>
      </c>
      <c r="U207" s="10">
        <f>IF(T207=1,I207-('Parametros'!$B$7+'Parametros'!$B$9+'Parametros'!$B$12/2),I207-(ROUNDUP(S207/2,0)*('Parametros'!$B$7+'Parametros'!$B$9+'Parametros'!$B$12/2)+ROUNDDOWN(S207/2,0)*('Parametros'!$B$7+'Parametros'!$B$9+'Parametros'!$B$12/2+'Parametros'!$B$12+'Parametros'!$B$10))/S207)</f>
        <v>489.35</v>
      </c>
      <c r="V207" s="10">
        <f>S207*'Parametros'!$B$8</f>
        <v>1393</v>
      </c>
      <c r="W207" s="10">
        <f>'Parametros'!$B$5*V207*'Parametros'!$B$3*(U207-(V207*'Parametros'!$B$3/(0.85*'Parametros'!$B$2*H207))/2)/1000000</f>
        <v>243.287048488235</v>
      </c>
      <c r="X207" s="10" t="str">
        <f>IF(W207&gt;=J207,"CUMPLE","NO CUMPLE")</f>
        <v>CUMPLE</v>
      </c>
      <c r="Y207" s="10">
        <f>MAX(MAX(1.4/'Parametros'!$B$3,0.25*SQRT('Parametros'!$B$2)/'Parametros'!$B$3)*H207*AB207,(0.85*'Parametros'!$B$2/'Parametros'!$B$3)*(1-SQRT(1-2*(L207*1000000/('Parametros'!$B$5*H207*AB207^2))/(0.85*'Parametros'!$B$2)))*H207*AB207)</f>
        <v>1116.60446465223</v>
      </c>
      <c r="Z207" s="31" t="n">
        <v>6</v>
      </c>
      <c r="AA207" s="32" t="n">
        <v>1</v>
      </c>
      <c r="AB207" s="10">
        <f>IF(AA207=1,I207-('Parametros'!$B$7+'Parametros'!$B$9+'Parametros'!$B$12/2),I207-(ROUNDUP(Z207/2,0)*('Parametros'!$B$7+'Parametros'!$B$9+'Parametros'!$B$12/2)+ROUNDDOWN(Z207/2,0)*('Parametros'!$B$7+'Parametros'!$B$9+'Parametros'!$B$12/2+'Parametros'!$B$12+'Parametros'!$B$10))/Z207)</f>
        <v>489.35</v>
      </c>
      <c r="AC207" s="10">
        <f>Z207*'Parametros'!$B$8</f>
        <v>1194</v>
      </c>
      <c r="AD207" s="10">
        <f>'Parametros'!$B$5*AC207*'Parametros'!$B$3*(AB207-(AC207*'Parametros'!$B$3/(0.85*'Parametros'!$B$2*H207))/2)/1000000</f>
        <v>210.292835611765</v>
      </c>
      <c r="AE207" s="10" t="str">
        <f>IF(AD207&gt;=L207,"CUMPLE","NO CUMPLE")</f>
        <v>CUMPLE</v>
      </c>
      <c r="AF207" s="10">
        <f>V207*1.25*'Parametros'!$B$3*(U207-(V207*1.25*'Parametros'!$B$3/(0.85*'Parametros'!$B$2*H207))/2)/1000000</f>
        <v>332.904875882353</v>
      </c>
      <c r="AG207" s="10">
        <f>AC207*1.25*'Parametros'!$B$3*(AB207-(AC207*1.25*'Parametros'!$B$3/(0.85*'Parametros'!$B$2*H207))/2)/1000000</f>
        <v>288.404466617647</v>
      </c>
      <c r="AH207" s="10">
        <f>N207+(AF207+AG207)/D207</f>
        <v>466.206728048781</v>
      </c>
      <c r="AI207" s="10">
        <f>MAX(O207,AH207)</f>
        <v>753.813</v>
      </c>
      <c r="AJ207" s="10">
        <f>0.17*SQRT('Parametros'!$B$2)*H207*MIN(U207,AB207)/1000</f>
        <v>198.088855822627</v>
      </c>
      <c r="AK207" s="10">
        <f>MAX(AI207/'Parametros'!$B$6-AJ207,0)</f>
        <v>806.995144177373</v>
      </c>
      <c r="AL207" s="10">
        <f>0.66*SQRT('Parametros'!$B$2)*H207*MIN(U207,AB207)/1000</f>
        <v>769.050852017258</v>
      </c>
      <c r="AM207" s="10" t="str">
        <f>IF(AK207&lt;=AL207,"CUMPLE","NO CUMPLE")</f>
        <v>NO CUMPLE</v>
      </c>
      <c r="AN207" s="17" t="inlineStr">
        <is>
          <t>Nº4 cerrado</t>
        </is>
      </c>
      <c r="AO207" s="31" t="n">
        <v>4</v>
      </c>
      <c r="AP207" s="10">
        <f>ROUNDDOWN(MIN(IF(BC207+BD207=0,1000000000,AO207*BB207/(BC207+BD207)),MIN(U207,AB207)/4,8*'Parametros'!$B$12,24*BA207,300,IF(AV207=0,1000000000,2*((H207-2*('Parametros'!$B$7+'Parametros'!$B$9/2))+(I207-2*('Parametros'!$B$7+'Parametros'!$B$9/2)))/8))/10,0)*10</f>
        <v>120</v>
      </c>
      <c r="AQ207" s="10">
        <f>ROUNDDOWN(MIN(IF(BC207+BD207=0,1000000000,AO207*BB207/(BC207+BD207)),IF(AK207&gt;0.33*SQRT('Parametros'!$B$2)*H207*MIN(U207,AB207)/1000,MIN(U207,AB207)/4,MIN(U207,AB207)/2),600,IF(AV207=0,1000000000,2*((H207-2*('Parametros'!$B$7+'Parametros'!$B$9/2))+(I207-2*('Parametros'!$B$7+'Parametros'!$B$9/2)))/8))/10,0)*10</f>
        <v>120</v>
      </c>
      <c r="AR207" s="10">
        <f>'Parametros'!$B$6*(AJ207+MAX(BE207-BD207,0)*'Parametros'!$B$4*MIN(U207,AB207)/1000)</f>
        <v>759.668578375584</v>
      </c>
      <c r="AS207" s="10" t="str">
        <f>IF(AND(ISERROR(SEARCH("referencia",AN207)),AM207="CUMPLE",AR207&gt;=AI207),"CUMPLE","NO CUMPLE")</f>
        <v>NO CUMPLE</v>
      </c>
      <c r="AT207" s="10">
        <f>'Parametros'!$B$6*0.083*SQRT('Parametros'!$B$2)*(H207*I207)^2/(2*(H207+I207))/1000000</f>
        <v>10.0887830333379</v>
      </c>
      <c r="AU207" s="10" t="str">
        <f>IF(Q207&lt;=AT207,"DESPRECIABLE","DISEÑAR")</f>
        <v>DISEÑAR</v>
      </c>
      <c r="AV207" s="10">
        <f>IF(Q207&lt;=AT207,0,Q207*1000000/('Parametros'!$B$6*2*0.85*(H207-2*('Parametros'!$B$7+'Parametros'!$B$9/2))*(I207-2*('Parametros'!$B$7+'Parametros'!$B$9/2))*'Parametros'!$B$4))</f>
        <v>0.167772404570969</v>
      </c>
      <c r="AW207" s="10">
        <f>AV207*2*((H207-2*('Parametros'!$B$7+'Parametros'!$B$9/2))+(I207-2*('Parametros'!$B$7+'Parametros'!$B$9/2)))*'Parametros'!$B$4/'Parametros'!$B$3</f>
        <v>273.334801527022</v>
      </c>
      <c r="AX207" s="31" t="n">
        <v>8</v>
      </c>
      <c r="AY207" s="10" t="str">
        <f>IF(AV207=0,"DESPRECIABLE",IF(AND(ISERROR(SEARCH("referencia",AN207)),BB207/AP207&gt;=AV207,BI207&gt;=AW207,BH207="CUMPLE"),"CUMPLE","NO CUMPLE"))</f>
        <v>NO CUMPLE</v>
      </c>
      <c r="AZ207" s="10" t="str">
        <f>IF(AND(X207="CUMPLE",AE207="CUMPLE",AS207="CUMPLE",OR(AY207="CUMPLE",AY207="DESPRECIABLE"),BH207="CUMPLE",BJ207="CUMPLE"),"CUMPLE","NO CUMPLE")</f>
        <v>NO CUMPLE</v>
      </c>
      <c r="BA207" s="32" t="n">
        <v>12.7</v>
      </c>
      <c r="BB207" s="32" t="n">
        <v>129</v>
      </c>
      <c r="BC207" s="10">
        <f>MAX(IF(AK207=0,0,AK207*1000/('Parametros'!$B$4*MIN(U207,AB207))),MAX(0.062*SQRT('Parametros'!$B$2)*H207/'Parametros'!$B$4,0.35*H207/'Parametros'!$B$4))</f>
        <v>3.92646778368474</v>
      </c>
      <c r="BD207" s="10">
        <f>2*AV207</f>
        <v>0.335544809141938</v>
      </c>
      <c r="BE207" s="10">
        <f>AO207*BB207/AP207</f>
        <v>4.3</v>
      </c>
      <c r="BF207" s="10">
        <f>SQRT((AI207*1000/(H207*MIN(U207,AB207)))^2+(Q207*1000000*2*((H207-2*('Parametros'!$B$7+'Parametros'!$B$9/2))+(I207-2*('Parametros'!$B$7+'Parametros'!$B$9/2)))/(1.7*((H207-2*('Parametros'!$B$7+'Parametros'!$B$9/2))*(I207-2*('Parametros'!$B$7+'Parametros'!$B$9/2)))^2))^2)</f>
        <v>3.46351498698326</v>
      </c>
      <c r="BG207" s="10">
        <f>'Parametros'!$B$6*(AJ207*1000/(H207*MIN(U207,AB207))+0.66*SQRT('Parametros'!$B$2))</f>
        <v>3.29396038227542</v>
      </c>
      <c r="BH207" s="10" t="str">
        <f>IF(BF207&lt;=BG207,"CUMPLE","NO CUMPLE")</f>
        <v>NO CUMPLE</v>
      </c>
      <c r="BI207" s="10">
        <f>AX207*'Parametros'!$B$8</f>
        <v>1592</v>
      </c>
      <c r="BJ207" s="10" t="str">
        <f>IF(BI207&gt;=AW207,"CUMPLE","NO CUMPLE")</f>
        <v>CUMPLE</v>
      </c>
    </row>
    <row r="208">
      <c r="A208" s="21" t="inlineStr">
        <is>
          <t>VC7</t>
        </is>
      </c>
      <c r="B208" s="21" t="inlineStr">
        <is>
          <t>75</t>
        </is>
      </c>
      <c r="C208" s="10" t="n">
        <v>1</v>
      </c>
      <c r="D208" s="10" t="n">
        <v>2.05</v>
      </c>
      <c r="E208" s="10" t="n">
        <v>2.05</v>
      </c>
      <c r="F208" s="10" t="n">
        <v>450</v>
      </c>
      <c r="G208" s="10" t="n">
        <v>550</v>
      </c>
      <c r="H208" s="17" t="n">
        <v>450</v>
      </c>
      <c r="I208" s="17" t="n">
        <v>550</v>
      </c>
      <c r="J208" s="30" t="n">
        <v>210.2525</v>
      </c>
      <c r="K208" s="10" t="inlineStr">
        <is>
          <t>75</t>
        </is>
      </c>
      <c r="L208" s="30" t="n">
        <v>197.3101</v>
      </c>
      <c r="M208" s="10" t="inlineStr">
        <is>
          <t>75</t>
        </is>
      </c>
      <c r="N208" s="30" t="n">
        <v>163.07</v>
      </c>
      <c r="O208" s="30" t="n">
        <v>754.708</v>
      </c>
      <c r="P208" s="10" t="inlineStr">
        <is>
          <t>75</t>
        </is>
      </c>
      <c r="Q208" s="30" t="n">
        <v>14.1874</v>
      </c>
      <c r="R208" s="10">
        <f>MAX(MAX(1.4/'Parametros'!$B$3,0.25*SQRT('Parametros'!$B$2)/'Parametros'!$B$3)*H208*U208,(0.85*'Parametros'!$B$2/'Parametros'!$B$3)*(1-SQRT(1-2*(J208*1000000/('Parametros'!$B$5*H208*U208^2))/(0.85*'Parametros'!$B$2)))*H208*U208)</f>
        <v>1193.75886905159</v>
      </c>
      <c r="S208" s="31" t="n">
        <v>6</v>
      </c>
      <c r="T208" s="32" t="n">
        <v>1</v>
      </c>
      <c r="U208" s="10">
        <f>IF(T208=1,I208-('Parametros'!$B$7+'Parametros'!$B$9+'Parametros'!$B$12/2),I208-(ROUNDUP(S208/2,0)*('Parametros'!$B$7+'Parametros'!$B$9+'Parametros'!$B$12/2)+ROUNDDOWN(S208/2,0)*('Parametros'!$B$7+'Parametros'!$B$9+'Parametros'!$B$12/2+'Parametros'!$B$12+'Parametros'!$B$10))/S208)</f>
        <v>489.35</v>
      </c>
      <c r="V208" s="10">
        <f>S208*'Parametros'!$B$8</f>
        <v>1194</v>
      </c>
      <c r="W208" s="10">
        <f>'Parametros'!$B$5*V208*'Parametros'!$B$3*(U208-(V208*'Parametros'!$B$3/(0.85*'Parametros'!$B$2*H208))/2)/1000000</f>
        <v>210.292835611765</v>
      </c>
      <c r="X208" s="10" t="str">
        <f>IF(W208&gt;=J208,"CUMPLE","NO CUMPLE")</f>
        <v>CUMPLE</v>
      </c>
      <c r="Y208" s="10">
        <f>MAX(MAX(1.4/'Parametros'!$B$3,0.25*SQRT('Parametros'!$B$2)/'Parametros'!$B$3)*H208*AB208,(0.85*'Parametros'!$B$2/'Parametros'!$B$3)*(1-SQRT(1-2*(L208*1000000/('Parametros'!$B$5*H208*AB208^2))/(0.85*'Parametros'!$B$2)))*H208*AB208)</f>
        <v>1116.65196440511</v>
      </c>
      <c r="Z208" s="31" t="n">
        <v>6</v>
      </c>
      <c r="AA208" s="32" t="n">
        <v>1</v>
      </c>
      <c r="AB208" s="10">
        <f>IF(AA208=1,I208-('Parametros'!$B$7+'Parametros'!$B$9+'Parametros'!$B$12/2),I208-(ROUNDUP(Z208/2,0)*('Parametros'!$B$7+'Parametros'!$B$9+'Parametros'!$B$12/2)+ROUNDDOWN(Z208/2,0)*('Parametros'!$B$7+'Parametros'!$B$9+'Parametros'!$B$12/2+'Parametros'!$B$12+'Parametros'!$B$10))/Z208)</f>
        <v>489.35</v>
      </c>
      <c r="AC208" s="10">
        <f>Z208*'Parametros'!$B$8</f>
        <v>1194</v>
      </c>
      <c r="AD208" s="10">
        <f>'Parametros'!$B$5*AC208*'Parametros'!$B$3*(AB208-(AC208*'Parametros'!$B$3/(0.85*'Parametros'!$B$2*H208))/2)/1000000</f>
        <v>210.292835611765</v>
      </c>
      <c r="AE208" s="10" t="str">
        <f>IF(AD208&gt;=L208,"CUMPLE","NO CUMPLE")</f>
        <v>CUMPLE</v>
      </c>
      <c r="AF208" s="10">
        <f>V208*1.25*'Parametros'!$B$3*(U208-(V208*1.25*'Parametros'!$B$3/(0.85*'Parametros'!$B$2*H208))/2)/1000000</f>
        <v>288.404466617647</v>
      </c>
      <c r="AG208" s="10">
        <f>AC208*1.25*'Parametros'!$B$3*(AB208-(AC208*1.25*'Parametros'!$B$3/(0.85*'Parametros'!$B$2*H208))/2)/1000000</f>
        <v>288.404466617647</v>
      </c>
      <c r="AH208" s="10">
        <f>N208+(AF208+AG208)/D208</f>
        <v>444.44021133429</v>
      </c>
      <c r="AI208" s="10">
        <f>MAX(O208,AH208)</f>
        <v>754.708</v>
      </c>
      <c r="AJ208" s="10">
        <f>0.17*SQRT('Parametros'!$B$2)*H208*MIN(U208,AB208)/1000</f>
        <v>198.088855822627</v>
      </c>
      <c r="AK208" s="10">
        <f>MAX(AI208/'Parametros'!$B$6-AJ208,0)</f>
        <v>808.188477510706</v>
      </c>
      <c r="AL208" s="10">
        <f>0.66*SQRT('Parametros'!$B$2)*H208*MIN(U208,AB208)/1000</f>
        <v>769.050852017258</v>
      </c>
      <c r="AM208" s="10" t="str">
        <f>IF(AK208&lt;=AL208,"CUMPLE","NO CUMPLE")</f>
        <v>NO CUMPLE</v>
      </c>
      <c r="AN208" s="17" t="inlineStr">
        <is>
          <t>Nº4 cerrado</t>
        </is>
      </c>
      <c r="AO208" s="31" t="n">
        <v>4</v>
      </c>
      <c r="AP208" s="10">
        <f>ROUNDDOWN(MIN(IF(BC208+BD208=0,1000000000,AO208*BB208/(BC208+BD208)),MIN(U208,AB208)/4,8*'Parametros'!$B$12,24*BA208,300,IF(AV208=0,1000000000,2*((H208-2*('Parametros'!$B$7+'Parametros'!$B$9/2))+(I208-2*('Parametros'!$B$7+'Parametros'!$B$9/2)))/8))/10,0)*10</f>
        <v>120</v>
      </c>
      <c r="AQ208" s="10">
        <f>ROUNDDOWN(MIN(IF(BC208+BD208=0,1000000000,AO208*BB208/(BC208+BD208)),IF(AK208&gt;0.33*SQRT('Parametros'!$B$2)*H208*MIN(U208,AB208)/1000,MIN(U208,AB208)/4,MIN(U208,AB208)/2),600,IF(AV208=0,1000000000,2*((H208-2*('Parametros'!$B$7+'Parametros'!$B$9/2))+(I208-2*('Parametros'!$B$7+'Parametros'!$B$9/2)))/8))/10,0)*10</f>
        <v>120</v>
      </c>
      <c r="AR208" s="10">
        <f>'Parametros'!$B$6*(AJ208+MAX(BE208-BD208,0)*'Parametros'!$B$4*MIN(U208,AB208)/1000)</f>
        <v>761.402813822426</v>
      </c>
      <c r="AS208" s="10" t="str">
        <f>IF(AND(ISERROR(SEARCH("referencia",AN208)),AM208="CUMPLE",AR208&gt;=AI208),"CUMPLE","NO CUMPLE")</f>
        <v>NO CUMPLE</v>
      </c>
      <c r="AT208" s="10">
        <f>'Parametros'!$B$6*0.083*SQRT('Parametros'!$B$2)*(H208*I208)^2/(2*(H208+I208))/1000000</f>
        <v>10.0887830333379</v>
      </c>
      <c r="AU208" s="10" t="str">
        <f>IF(Q208&lt;=AT208,"DESPRECIABLE","DISEÑAR")</f>
        <v>DISEÑAR</v>
      </c>
      <c r="AV208" s="10">
        <f>IF(Q208&lt;=AT208,0,Q208*1000000/('Parametros'!$B$6*2*0.85*(H208-2*('Parametros'!$B$7+'Parametros'!$B$9/2))*(I208-2*('Parametros'!$B$7+'Parametros'!$B$9/2))*'Parametros'!$B$4))</f>
        <v>0.162147075711202</v>
      </c>
      <c r="AW208" s="10">
        <f>AV208*2*((H208-2*('Parametros'!$B$7+'Parametros'!$B$9/2))+(I208-2*('Parametros'!$B$7+'Parametros'!$B$9/2)))*'Parametros'!$B$4/'Parametros'!$B$3</f>
        <v>264.17001574869</v>
      </c>
      <c r="AX208" s="31" t="n">
        <v>8</v>
      </c>
      <c r="AY208" s="10" t="str">
        <f>IF(AV208=0,"DESPRECIABLE",IF(AND(ISERROR(SEARCH("referencia",AN208)),BB208/AP208&gt;=AV208,BI208&gt;=AW208,BH208="CUMPLE"),"CUMPLE","NO CUMPLE"))</f>
        <v>NO CUMPLE</v>
      </c>
      <c r="AZ208" s="10" t="str">
        <f>IF(AND(X208="CUMPLE",AE208="CUMPLE",AS208="CUMPLE",OR(AY208="CUMPLE",AY208="DESPRECIABLE"),BH208="CUMPLE",BJ208="CUMPLE"),"CUMPLE","NO CUMPLE")</f>
        <v>NO CUMPLE</v>
      </c>
      <c r="BA208" s="32" t="n">
        <v>12.7</v>
      </c>
      <c r="BB208" s="32" t="n">
        <v>129</v>
      </c>
      <c r="BC208" s="10">
        <f>MAX(IF(AK208=0,0,AK208*1000/('Parametros'!$B$4*MIN(U208,AB208))),MAX(0.062*SQRT('Parametros'!$B$2)*H208/'Parametros'!$B$4,0.35*H208/'Parametros'!$B$4))</f>
        <v>3.93227399568284</v>
      </c>
      <c r="BD208" s="10">
        <f>2*AV208</f>
        <v>0.324294151422404</v>
      </c>
      <c r="BE208" s="10">
        <f>AO208*BB208/AP208</f>
        <v>4.3</v>
      </c>
      <c r="BF208" s="10">
        <f>SQRT((AI208*1000/(H208*MIN(U208,AB208)))^2+(Q208*1000000*2*((H208-2*('Parametros'!$B$7+'Parametros'!$B$9/2))+(I208-2*('Parametros'!$B$7+'Parametros'!$B$9/2)))/(1.7*((H208-2*('Parametros'!$B$7+'Parametros'!$B$9/2))*(I208-2*('Parametros'!$B$7+'Parametros'!$B$9/2)))^2))^2)</f>
        <v>3.46489105124319</v>
      </c>
      <c r="BG208" s="10">
        <f>'Parametros'!$B$6*(AJ208*1000/(H208*MIN(U208,AB208))+0.66*SQRT('Parametros'!$B$2))</f>
        <v>3.29396038227542</v>
      </c>
      <c r="BH208" s="10" t="str">
        <f>IF(BF208&lt;=BG208,"CUMPLE","NO CUMPLE")</f>
        <v>NO CUMPLE</v>
      </c>
      <c r="BI208" s="10">
        <f>AX208*'Parametros'!$B$8</f>
        <v>1592</v>
      </c>
      <c r="BJ208" s="10" t="str">
        <f>IF(BI208&gt;=AW208,"CUMPLE","NO CUMPLE")</f>
        <v>CUMPLE</v>
      </c>
    </row>
    <row r="209">
      <c r="A209" s="21" t="inlineStr">
        <is>
          <t>VC7</t>
        </is>
      </c>
      <c r="B209" s="21" t="inlineStr">
        <is>
          <t>76</t>
        </is>
      </c>
      <c r="C209" s="10" t="n">
        <v>1</v>
      </c>
      <c r="D209" s="10" t="n">
        <v>4.5</v>
      </c>
      <c r="E209" s="10" t="n">
        <v>4.5</v>
      </c>
      <c r="F209" s="10" t="n">
        <v>450</v>
      </c>
      <c r="G209" s="10" t="n">
        <v>550</v>
      </c>
      <c r="H209" s="17" t="n">
        <v>450</v>
      </c>
      <c r="I209" s="17" t="n">
        <v>550</v>
      </c>
      <c r="J209" s="30" t="n">
        <v>151.7981</v>
      </c>
      <c r="K209" s="10" t="inlineStr">
        <is>
          <t>76</t>
        </is>
      </c>
      <c r="L209" s="30" t="n">
        <v>128.4933</v>
      </c>
      <c r="M209" s="10" t="inlineStr">
        <is>
          <t>76</t>
        </is>
      </c>
      <c r="N209" s="30" t="n">
        <v>72.751</v>
      </c>
      <c r="O209" s="30" t="n">
        <v>278.632</v>
      </c>
      <c r="P209" s="10" t="inlineStr">
        <is>
          <t>76</t>
        </is>
      </c>
      <c r="Q209" s="30" t="n">
        <v>10.0602</v>
      </c>
      <c r="R209" s="10">
        <f>MAX(MAX(1.4/'Parametros'!$B$3,0.25*SQRT('Parametros'!$B$2)/'Parametros'!$B$3)*H209*U209,(0.85*'Parametros'!$B$2/'Parametros'!$B$3)*(1-SQRT(1-2*(J209*1000000/('Parametros'!$B$5*H209*U209^2))/(0.85*'Parametros'!$B$2)))*H209*U209)</f>
        <v>849.564589414664</v>
      </c>
      <c r="S209" s="31" t="n">
        <v>5</v>
      </c>
      <c r="T209" s="32" t="n">
        <v>1</v>
      </c>
      <c r="U209" s="10">
        <f>IF(T209=1,I209-('Parametros'!$B$7+'Parametros'!$B$9+'Parametros'!$B$12/2),I209-(ROUNDUP(S209/2,0)*('Parametros'!$B$7+'Parametros'!$B$9+'Parametros'!$B$12/2)+ROUNDDOWN(S209/2,0)*('Parametros'!$B$7+'Parametros'!$B$9+'Parametros'!$B$12/2+'Parametros'!$B$12+'Parametros'!$B$10))/S209)</f>
        <v>489.35</v>
      </c>
      <c r="V209" s="10">
        <f>S209*'Parametros'!$B$8</f>
        <v>995</v>
      </c>
      <c r="W209" s="10">
        <f>'Parametros'!$B$5*V209*'Parametros'!$B$3*(U209-(V209*'Parametros'!$B$3/(0.85*'Parametros'!$B$2*H209))/2)/1000000</f>
        <v>176.711596147059</v>
      </c>
      <c r="X209" s="10" t="str">
        <f>IF(W209&gt;=J209,"CUMPLE","NO CUMPLE")</f>
        <v>CUMPLE</v>
      </c>
      <c r="Y209" s="10">
        <f>MAX(MAX(1.4/'Parametros'!$B$3,0.25*SQRT('Parametros'!$B$2)/'Parametros'!$B$3)*H209*AB209,(0.85*'Parametros'!$B$2/'Parametros'!$B$3)*(1-SQRT(1-2*(L209*1000000/('Parametros'!$B$5*H209*AB209^2))/(0.85*'Parametros'!$B$2)))*H209*AB209)</f>
        <v>734.025</v>
      </c>
      <c r="Z209" s="31" t="n">
        <v>4</v>
      </c>
      <c r="AA209" s="32" t="n">
        <v>1</v>
      </c>
      <c r="AB209" s="10">
        <f>IF(AA209=1,I209-('Parametros'!$B$7+'Parametros'!$B$9+'Parametros'!$B$12/2),I209-(ROUNDUP(Z209/2,0)*('Parametros'!$B$7+'Parametros'!$B$9+'Parametros'!$B$12/2)+ROUNDDOWN(Z209/2,0)*('Parametros'!$B$7+'Parametros'!$B$9+'Parametros'!$B$12/2+'Parametros'!$B$12+'Parametros'!$B$10))/Z209)</f>
        <v>489.35</v>
      </c>
      <c r="AC209" s="10">
        <f>Z209*'Parametros'!$B$8</f>
        <v>796</v>
      </c>
      <c r="AD209" s="10">
        <f>'Parametros'!$B$5*AC209*'Parametros'!$B$3*(AB209-(AC209*'Parametros'!$B$3/(0.85*'Parametros'!$B$2*H209))/2)/1000000</f>
        <v>142.543330094118</v>
      </c>
      <c r="AE209" s="10" t="str">
        <f>IF(AD209&gt;=L209,"CUMPLE","NO CUMPLE")</f>
        <v>CUMPLE</v>
      </c>
      <c r="AF209" s="10">
        <f>V209*1.25*'Parametros'!$B$3*(U209-(V209*1.25*'Parametros'!$B$3/(0.85*'Parametros'!$B$2*H209))/2)/1000000</f>
        <v>242.884913970588</v>
      </c>
      <c r="AG209" s="10">
        <f>AC209*1.25*'Parametros'!$B$3*(AB209-(AC209*1.25*'Parametros'!$B$3/(0.85*'Parametros'!$B$2*H209))/2)/1000000</f>
        <v>196.346217941176</v>
      </c>
      <c r="AH209" s="10">
        <f>N209+(AF209+AG209)/D209</f>
        <v>170.357918202614</v>
      </c>
      <c r="AI209" s="10">
        <f>MAX(O209,AH209)</f>
        <v>278.632</v>
      </c>
      <c r="AJ209" s="10">
        <f>0.17*SQRT('Parametros'!$B$2)*H209*MIN(U209,AB209)/1000</f>
        <v>198.088855822627</v>
      </c>
      <c r="AK209" s="10">
        <f>MAX(AI209/'Parametros'!$B$6-AJ209,0)</f>
        <v>173.420477510706</v>
      </c>
      <c r="AL209" s="10">
        <f>0.66*SQRT('Parametros'!$B$2)*H209*MIN(U209,AB209)/1000</f>
        <v>769.050852017258</v>
      </c>
      <c r="AM209" s="10" t="str">
        <f>IF(AK209&lt;=AL209,"CUMPLE","NO CUMPLE")</f>
        <v>CUMPLE</v>
      </c>
      <c r="AN209" s="17" t="inlineStr">
        <is>
          <t>Nº3 cerrado</t>
        </is>
      </c>
      <c r="AO209" s="31" t="n">
        <v>2</v>
      </c>
      <c r="AP209" s="10">
        <f>ROUNDDOWN(MIN(IF(BC209+BD209=0,1000000000,AO209*BB209/(BC209+BD209)),MIN(U209,AB209)/4,8*'Parametros'!$B$12,24*BA209,300,IF(AV209=0,1000000000,2*((H209-2*('Parametros'!$B$7+'Parametros'!$B$9/2))+(I209-2*('Parametros'!$B$7+'Parametros'!$B$9/2)))/8))/10,0)*10</f>
        <v>120</v>
      </c>
      <c r="AQ209" s="10">
        <f>ROUNDDOWN(MIN(IF(BC209+BD209=0,1000000000,AO209*BB209/(BC209+BD209)),IF(AK209&gt;0.33*SQRT('Parametros'!$B$2)*H209*MIN(U209,AB209)/1000,MIN(U209,AB209)/4,MIN(U209,AB209)/2),600,IF(AV209=0,1000000000,2*((H209-2*('Parametros'!$B$7+'Parametros'!$B$9/2))+(I209-2*('Parametros'!$B$7+'Parametros'!$B$9/2)))/8))/10,0)*10</f>
        <v>160</v>
      </c>
      <c r="AR209" s="10">
        <f>'Parametros'!$B$6*(AJ209+MAX(BE209-BD209,0)*'Parametros'!$B$4*MIN(U209,AB209)/1000)</f>
        <v>330.97185436697</v>
      </c>
      <c r="AS209" s="10" t="str">
        <f>IF(AND(ISERROR(SEARCH("referencia",AN209)),AM209="CUMPLE",AR209&gt;=AI209),"CUMPLE","NO CUMPLE")</f>
        <v>CUMPLE</v>
      </c>
      <c r="AT209" s="10">
        <f>'Parametros'!$B$6*0.083*SQRT('Parametros'!$B$2)*(H209*I209)^2/(2*(H209+I209))/1000000</f>
        <v>10.0887830333379</v>
      </c>
      <c r="AU209" s="10" t="str">
        <f>IF(Q209&lt;=AT209,"DESPRECIABLE","DISEÑAR")</f>
        <v>DESPRECIABLE</v>
      </c>
      <c r="AV209" s="10">
        <f>IF(Q209&lt;=AT209,0,Q209*1000000/('Parametros'!$B$6*2*0.85*(H209-2*('Parametros'!$B$7+'Parametros'!$B$9/2))*(I209-2*('Parametros'!$B$7+'Parametros'!$B$9/2))*'Parametros'!$B$4))</f>
        <v>0</v>
      </c>
      <c r="AW209" s="10">
        <f>AV209*2*((H209-2*('Parametros'!$B$7+'Parametros'!$B$9/2))+(I209-2*('Parametros'!$B$7+'Parametros'!$B$9/2)))*'Parametros'!$B$4/'Parametros'!$B$3</f>
        <v>0</v>
      </c>
      <c r="AX209" s="31" t="n">
        <v>0</v>
      </c>
      <c r="AY209" s="10" t="str">
        <f>IF(AV209=0,"DESPRECIABLE",IF(AND(ISERROR(SEARCH("referencia",AN209)),BB209/AP209&gt;=AV209,BI209&gt;=AW209,BH209="CUMPLE"),"CUMPLE","NO CUMPLE"))</f>
        <v>DESPRECIABLE</v>
      </c>
      <c r="AZ209" s="10" t="str">
        <f>IF(AND(X209="CUMPLE",AE209="CUMPLE",AS209="CUMPLE",OR(AY209="CUMPLE",AY209="DESPRECIABLE"),BH209="CUMPLE",BJ209="CUMPLE"),"CUMPLE","NO CUMPLE")</f>
        <v>CUMPLE</v>
      </c>
      <c r="BA209" s="32" t="n">
        <v>9.5</v>
      </c>
      <c r="BB209" s="32" t="n">
        <v>71</v>
      </c>
      <c r="BC209" s="10">
        <f>MAX(IF(AK209=0,0,AK209*1000/('Parametros'!$B$4*MIN(U209,AB209))),MAX(0.062*SQRT('Parametros'!$B$2)*H209/'Parametros'!$B$4,0.35*H209/'Parametros'!$B$4))</f>
        <v>0.843784405507337</v>
      </c>
      <c r="BD209" s="10">
        <f>2*AV209</f>
        <v>0</v>
      </c>
      <c r="BE209" s="10">
        <f>AO209*BB209/AP209</f>
        <v>1.18333333333333</v>
      </c>
      <c r="BF209" s="10">
        <f>SQRT((AI209*1000/(H209*MIN(U209,AB209)))^2+(Q209*1000000*2*((H209-2*('Parametros'!$B$7+'Parametros'!$B$9/2))+(I209-2*('Parametros'!$B$7+'Parametros'!$B$9/2)))/(1.7*((H209-2*('Parametros'!$B$7+'Parametros'!$B$9/2))*(I209-2*('Parametros'!$B$7+'Parametros'!$B$9/2)))^2))^2)</f>
        <v>1.31584143121704</v>
      </c>
      <c r="BG209" s="10">
        <f>'Parametros'!$B$6*(AJ209*1000/(H209*MIN(U209,AB209))+0.66*SQRT('Parametros'!$B$2))</f>
        <v>3.29396038227542</v>
      </c>
      <c r="BH209" s="10" t="str">
        <f>IF(BF209&lt;=BG209,"CUMPLE","NO CUMPLE")</f>
        <v>CUMPLE</v>
      </c>
      <c r="BI209" s="10">
        <f>AX209*'Parametros'!$B$8</f>
        <v>0</v>
      </c>
      <c r="BJ209" s="10" t="str">
        <f>IF(BI209&gt;=AW209,"CUMPLE","NO CUMPLE")</f>
        <v>CUMPLE</v>
      </c>
    </row>
    <row r="210">
      <c r="A210" s="21" t="inlineStr">
        <is>
          <t>VC7</t>
        </is>
      </c>
      <c r="B210" s="21" t="inlineStr">
        <is>
          <t>77</t>
        </is>
      </c>
      <c r="C210" s="10" t="n">
        <v>1</v>
      </c>
      <c r="D210" s="10" t="n">
        <v>4.5</v>
      </c>
      <c r="E210" s="10" t="n">
        <v>4.5</v>
      </c>
      <c r="F210" s="10" t="n">
        <v>450</v>
      </c>
      <c r="G210" s="10" t="n">
        <v>550</v>
      </c>
      <c r="H210" s="17" t="n">
        <v>450</v>
      </c>
      <c r="I210" s="17" t="n">
        <v>550</v>
      </c>
      <c r="J210" s="30" t="n">
        <v>151.7954</v>
      </c>
      <c r="K210" s="10" t="inlineStr">
        <is>
          <t>77</t>
        </is>
      </c>
      <c r="L210" s="30" t="n">
        <v>128.4905</v>
      </c>
      <c r="M210" s="10" t="inlineStr">
        <is>
          <t>77</t>
        </is>
      </c>
      <c r="N210" s="30" t="n">
        <v>72.75</v>
      </c>
      <c r="O210" s="30" t="n">
        <v>278.631</v>
      </c>
      <c r="P210" s="10" t="inlineStr">
        <is>
          <t>77</t>
        </is>
      </c>
      <c r="Q210" s="30" t="n">
        <v>10.0606</v>
      </c>
      <c r="R210" s="10">
        <f>MAX(MAX(1.4/'Parametros'!$B$3,0.25*SQRT('Parametros'!$B$2)/'Parametros'!$B$3)*H210*U210,(0.85*'Parametros'!$B$2/'Parametros'!$B$3)*(1-SQRT(1-2*(J210*1000000/('Parametros'!$B$5*H210*U210^2))/(0.85*'Parametros'!$B$2)))*H210*U210)</f>
        <v>849.548926423789</v>
      </c>
      <c r="S210" s="31" t="n">
        <v>5</v>
      </c>
      <c r="T210" s="32" t="n">
        <v>1</v>
      </c>
      <c r="U210" s="10">
        <f>IF(T210=1,I210-('Parametros'!$B$7+'Parametros'!$B$9+'Parametros'!$B$12/2),I210-(ROUNDUP(S210/2,0)*('Parametros'!$B$7+'Parametros'!$B$9+'Parametros'!$B$12/2)+ROUNDDOWN(S210/2,0)*('Parametros'!$B$7+'Parametros'!$B$9+'Parametros'!$B$12/2+'Parametros'!$B$12+'Parametros'!$B$10))/S210)</f>
        <v>489.35</v>
      </c>
      <c r="V210" s="10">
        <f>S210*'Parametros'!$B$8</f>
        <v>995</v>
      </c>
      <c r="W210" s="10">
        <f>'Parametros'!$B$5*V210*'Parametros'!$B$3*(U210-(V210*'Parametros'!$B$3/(0.85*'Parametros'!$B$2*H210))/2)/1000000</f>
        <v>176.711596147059</v>
      </c>
      <c r="X210" s="10" t="str">
        <f>IF(W210&gt;=J210,"CUMPLE","NO CUMPLE")</f>
        <v>CUMPLE</v>
      </c>
      <c r="Y210" s="10">
        <f>MAX(MAX(1.4/'Parametros'!$B$3,0.25*SQRT('Parametros'!$B$2)/'Parametros'!$B$3)*H210*AB210,(0.85*'Parametros'!$B$2/'Parametros'!$B$3)*(1-SQRT(1-2*(L210*1000000/('Parametros'!$B$5*H210*AB210^2))/(0.85*'Parametros'!$B$2)))*H210*AB210)</f>
        <v>734.025</v>
      </c>
      <c r="Z210" s="31" t="n">
        <v>4</v>
      </c>
      <c r="AA210" s="32" t="n">
        <v>1</v>
      </c>
      <c r="AB210" s="10">
        <f>IF(AA210=1,I210-('Parametros'!$B$7+'Parametros'!$B$9+'Parametros'!$B$12/2),I210-(ROUNDUP(Z210/2,0)*('Parametros'!$B$7+'Parametros'!$B$9+'Parametros'!$B$12/2)+ROUNDDOWN(Z210/2,0)*('Parametros'!$B$7+'Parametros'!$B$9+'Parametros'!$B$12/2+'Parametros'!$B$12+'Parametros'!$B$10))/Z210)</f>
        <v>489.35</v>
      </c>
      <c r="AC210" s="10">
        <f>Z210*'Parametros'!$B$8</f>
        <v>796</v>
      </c>
      <c r="AD210" s="10">
        <f>'Parametros'!$B$5*AC210*'Parametros'!$B$3*(AB210-(AC210*'Parametros'!$B$3/(0.85*'Parametros'!$B$2*H210))/2)/1000000</f>
        <v>142.543330094118</v>
      </c>
      <c r="AE210" s="10" t="str">
        <f>IF(AD210&gt;=L210,"CUMPLE","NO CUMPLE")</f>
        <v>CUMPLE</v>
      </c>
      <c r="AF210" s="10">
        <f>V210*1.25*'Parametros'!$B$3*(U210-(V210*1.25*'Parametros'!$B$3/(0.85*'Parametros'!$B$2*H210))/2)/1000000</f>
        <v>242.884913970588</v>
      </c>
      <c r="AG210" s="10">
        <f>AC210*1.25*'Parametros'!$B$3*(AB210-(AC210*1.25*'Parametros'!$B$3/(0.85*'Parametros'!$B$2*H210))/2)/1000000</f>
        <v>196.346217941176</v>
      </c>
      <c r="AH210" s="10">
        <f>N210+(AF210+AG210)/D210</f>
        <v>170.356918202614</v>
      </c>
      <c r="AI210" s="10">
        <f>MAX(O210,AH210)</f>
        <v>278.631</v>
      </c>
      <c r="AJ210" s="10">
        <f>0.17*SQRT('Parametros'!$B$2)*H210*MIN(U210,AB210)/1000</f>
        <v>198.088855822627</v>
      </c>
      <c r="AK210" s="10">
        <f>MAX(AI210/'Parametros'!$B$6-AJ210,0)</f>
        <v>173.419144177373</v>
      </c>
      <c r="AL210" s="10">
        <f>0.66*SQRT('Parametros'!$B$2)*H210*MIN(U210,AB210)/1000</f>
        <v>769.050852017258</v>
      </c>
      <c r="AM210" s="10" t="str">
        <f>IF(AK210&lt;=AL210,"CUMPLE","NO CUMPLE")</f>
        <v>CUMPLE</v>
      </c>
      <c r="AN210" s="17" t="inlineStr">
        <is>
          <t>Nº3 cerrado</t>
        </is>
      </c>
      <c r="AO210" s="31" t="n">
        <v>2</v>
      </c>
      <c r="AP210" s="10">
        <f>ROUNDDOWN(MIN(IF(BC210+BD210=0,1000000000,AO210*BB210/(BC210+BD210)),MIN(U210,AB210)/4,8*'Parametros'!$B$12,24*BA210,300,IF(AV210=0,1000000000,2*((H210-2*('Parametros'!$B$7+'Parametros'!$B$9/2))+(I210-2*('Parametros'!$B$7+'Parametros'!$B$9/2)))/8))/10,0)*10</f>
        <v>120</v>
      </c>
      <c r="AQ210" s="10">
        <f>ROUNDDOWN(MIN(IF(BC210+BD210=0,1000000000,AO210*BB210/(BC210+BD210)),IF(AK210&gt;0.33*SQRT('Parametros'!$B$2)*H210*MIN(U210,AB210)/1000,MIN(U210,AB210)/4,MIN(U210,AB210)/2),600,IF(AV210=0,1000000000,2*((H210-2*('Parametros'!$B$7+'Parametros'!$B$9/2))+(I210-2*('Parametros'!$B$7+'Parametros'!$B$9/2)))/8))/10,0)*10</f>
        <v>160</v>
      </c>
      <c r="AR210" s="10">
        <f>'Parametros'!$B$6*(AJ210+MAX(BE210-BD210,0)*'Parametros'!$B$4*MIN(U210,AB210)/1000)</f>
        <v>330.97185436697</v>
      </c>
      <c r="AS210" s="10" t="str">
        <f>IF(AND(ISERROR(SEARCH("referencia",AN210)),AM210="CUMPLE",AR210&gt;=AI210),"CUMPLE","NO CUMPLE")</f>
        <v>CUMPLE</v>
      </c>
      <c r="AT210" s="10">
        <f>'Parametros'!$B$6*0.083*SQRT('Parametros'!$B$2)*(H210*I210)^2/(2*(H210+I210))/1000000</f>
        <v>10.0887830333379</v>
      </c>
      <c r="AU210" s="10" t="str">
        <f>IF(Q210&lt;=AT210,"DESPRECIABLE","DISEÑAR")</f>
        <v>DESPRECIABLE</v>
      </c>
      <c r="AV210" s="10">
        <f>IF(Q210&lt;=AT210,0,Q210*1000000/('Parametros'!$B$6*2*0.85*(H210-2*('Parametros'!$B$7+'Parametros'!$B$9/2))*(I210-2*('Parametros'!$B$7+'Parametros'!$B$9/2))*'Parametros'!$B$4))</f>
        <v>0</v>
      </c>
      <c r="AW210" s="10">
        <f>AV210*2*((H210-2*('Parametros'!$B$7+'Parametros'!$B$9/2))+(I210-2*('Parametros'!$B$7+'Parametros'!$B$9/2)))*'Parametros'!$B$4/'Parametros'!$B$3</f>
        <v>0</v>
      </c>
      <c r="AX210" s="31" t="n">
        <v>0</v>
      </c>
      <c r="AY210" s="10" t="str">
        <f>IF(AV210=0,"DESPRECIABLE",IF(AND(ISERROR(SEARCH("referencia",AN210)),BB210/AP210&gt;=AV210,BI210&gt;=AW210,BH210="CUMPLE"),"CUMPLE","NO CUMPLE"))</f>
        <v>DESPRECIABLE</v>
      </c>
      <c r="AZ210" s="10" t="str">
        <f>IF(AND(X210="CUMPLE",AE210="CUMPLE",AS210="CUMPLE",OR(AY210="CUMPLE",AY210="DESPRECIABLE"),BH210="CUMPLE",BJ210="CUMPLE"),"CUMPLE","NO CUMPLE")</f>
        <v>CUMPLE</v>
      </c>
      <c r="BA210" s="32" t="n">
        <v>9.5</v>
      </c>
      <c r="BB210" s="32" t="n">
        <v>71</v>
      </c>
      <c r="BC210" s="10">
        <f>MAX(IF(AK210=0,0,AK210*1000/('Parametros'!$B$4*MIN(U210,AB210))),MAX(0.062*SQRT('Parametros'!$B$2)*H210/'Parametros'!$B$4,0.35*H210/'Parametros'!$B$4))</f>
        <v>0.843777918119629</v>
      </c>
      <c r="BD210" s="10">
        <f>2*AV210</f>
        <v>0</v>
      </c>
      <c r="BE210" s="10">
        <f>AO210*BB210/AP210</f>
        <v>1.18333333333333</v>
      </c>
      <c r="BF210" s="10">
        <f>SQRT((AI210*1000/(H210*MIN(U210,AB210)))^2+(Q210*1000000*2*((H210-2*('Parametros'!$B$7+'Parametros'!$B$9/2))+(I210-2*('Parametros'!$B$7+'Parametros'!$B$9/2)))/(1.7*((H210-2*('Parametros'!$B$7+'Parametros'!$B$9/2))*(I210-2*('Parametros'!$B$7+'Parametros'!$B$9/2)))^2))^2)</f>
        <v>1.31584100523811</v>
      </c>
      <c r="BG210" s="10">
        <f>'Parametros'!$B$6*(AJ210*1000/(H210*MIN(U210,AB210))+0.66*SQRT('Parametros'!$B$2))</f>
        <v>3.29396038227542</v>
      </c>
      <c r="BH210" s="10" t="str">
        <f>IF(BF210&lt;=BG210,"CUMPLE","NO CUMPLE")</f>
        <v>CUMPLE</v>
      </c>
      <c r="BI210" s="10">
        <f>AX210*'Parametros'!$B$8</f>
        <v>0</v>
      </c>
      <c r="BJ210" s="10" t="str">
        <f>IF(BI210&gt;=AW210,"CUMPLE","NO CUMPLE")</f>
        <v>CUMPLE</v>
      </c>
    </row>
    <row r="211">
      <c r="A211" s="21" t="inlineStr">
        <is>
          <t>VC7</t>
        </is>
      </c>
      <c r="B211" s="21" t="inlineStr">
        <is>
          <t>78</t>
        </is>
      </c>
      <c r="C211" s="10" t="n">
        <v>1</v>
      </c>
      <c r="D211" s="10" t="n">
        <v>2.05</v>
      </c>
      <c r="E211" s="10" t="n">
        <v>2.05</v>
      </c>
      <c r="F211" s="10" t="n">
        <v>450</v>
      </c>
      <c r="G211" s="10" t="n">
        <v>550</v>
      </c>
      <c r="H211" s="17" t="n">
        <v>450</v>
      </c>
      <c r="I211" s="17" t="n">
        <v>550</v>
      </c>
      <c r="J211" s="30" t="n">
        <v>210.2503</v>
      </c>
      <c r="K211" s="10" t="inlineStr">
        <is>
          <t>78</t>
        </is>
      </c>
      <c r="L211" s="30" t="n">
        <v>197.3083</v>
      </c>
      <c r="M211" s="10" t="inlineStr">
        <is>
          <t>78</t>
        </is>
      </c>
      <c r="N211" s="30" t="n">
        <v>163.068</v>
      </c>
      <c r="O211" s="30" t="n">
        <v>754.707</v>
      </c>
      <c r="P211" s="10" t="inlineStr">
        <is>
          <t>78</t>
        </is>
      </c>
      <c r="Q211" s="30" t="n">
        <v>14.1872</v>
      </c>
      <c r="R211" s="10">
        <f>MAX(MAX(1.4/'Parametros'!$B$3,0.25*SQRT('Parametros'!$B$2)/'Parametros'!$B$3)*H211*U211,(0.85*'Parametros'!$B$2/'Parametros'!$B$3)*(1-SQRT(1-2*(J211*1000000/('Parametros'!$B$5*H211*U211^2))/(0.85*'Parametros'!$B$2)))*H211*U211)</f>
        <v>1193.74571734553</v>
      </c>
      <c r="S211" s="31" t="n">
        <v>6</v>
      </c>
      <c r="T211" s="32" t="n">
        <v>1</v>
      </c>
      <c r="U211" s="10">
        <f>IF(T211=1,I211-('Parametros'!$B$7+'Parametros'!$B$9+'Parametros'!$B$12/2),I211-(ROUNDUP(S211/2,0)*('Parametros'!$B$7+'Parametros'!$B$9+'Parametros'!$B$12/2)+ROUNDDOWN(S211/2,0)*('Parametros'!$B$7+'Parametros'!$B$9+'Parametros'!$B$12/2+'Parametros'!$B$12+'Parametros'!$B$10))/S211)</f>
        <v>489.35</v>
      </c>
      <c r="V211" s="10">
        <f>S211*'Parametros'!$B$8</f>
        <v>1194</v>
      </c>
      <c r="W211" s="10">
        <f>'Parametros'!$B$5*V211*'Parametros'!$B$3*(U211-(V211*'Parametros'!$B$3/(0.85*'Parametros'!$B$2*H211))/2)/1000000</f>
        <v>210.292835611765</v>
      </c>
      <c r="X211" s="10" t="str">
        <f>IF(W211&gt;=J211,"CUMPLE","NO CUMPLE")</f>
        <v>CUMPLE</v>
      </c>
      <c r="Y211" s="10">
        <f>MAX(MAX(1.4/'Parametros'!$B$3,0.25*SQRT('Parametros'!$B$2)/'Parametros'!$B$3)*H211*AB211,(0.85*'Parametros'!$B$2/'Parametros'!$B$3)*(1-SQRT(1-2*(L211*1000000/('Parametros'!$B$5*H211*AB211^2))/(0.85*'Parametros'!$B$2)))*H211*AB211)</f>
        <v>1116.6412769434</v>
      </c>
      <c r="Z211" s="31" t="n">
        <v>6</v>
      </c>
      <c r="AA211" s="32" t="n">
        <v>1</v>
      </c>
      <c r="AB211" s="10">
        <f>IF(AA211=1,I211-('Parametros'!$B$7+'Parametros'!$B$9+'Parametros'!$B$12/2),I211-(ROUNDUP(Z211/2,0)*('Parametros'!$B$7+'Parametros'!$B$9+'Parametros'!$B$12/2)+ROUNDDOWN(Z211/2,0)*('Parametros'!$B$7+'Parametros'!$B$9+'Parametros'!$B$12/2+'Parametros'!$B$12+'Parametros'!$B$10))/Z211)</f>
        <v>489.35</v>
      </c>
      <c r="AC211" s="10">
        <f>Z211*'Parametros'!$B$8</f>
        <v>1194</v>
      </c>
      <c r="AD211" s="10">
        <f>'Parametros'!$B$5*AC211*'Parametros'!$B$3*(AB211-(AC211*'Parametros'!$B$3/(0.85*'Parametros'!$B$2*H211))/2)/1000000</f>
        <v>210.292835611765</v>
      </c>
      <c r="AE211" s="10" t="str">
        <f>IF(AD211&gt;=L211,"CUMPLE","NO CUMPLE")</f>
        <v>CUMPLE</v>
      </c>
      <c r="AF211" s="10">
        <f>V211*1.25*'Parametros'!$B$3*(U211-(V211*1.25*'Parametros'!$B$3/(0.85*'Parametros'!$B$2*H211))/2)/1000000</f>
        <v>288.404466617647</v>
      </c>
      <c r="AG211" s="10">
        <f>AC211*1.25*'Parametros'!$B$3*(AB211-(AC211*1.25*'Parametros'!$B$3/(0.85*'Parametros'!$B$2*H211))/2)/1000000</f>
        <v>288.404466617647</v>
      </c>
      <c r="AH211" s="10">
        <f>N211+(AF211+AG211)/D211</f>
        <v>444.43821133429</v>
      </c>
      <c r="AI211" s="10">
        <f>MAX(O211,AH211)</f>
        <v>754.707</v>
      </c>
      <c r="AJ211" s="10">
        <f>0.17*SQRT('Parametros'!$B$2)*H211*MIN(U211,AB211)/1000</f>
        <v>198.088855822627</v>
      </c>
      <c r="AK211" s="10">
        <f>MAX(AI211/'Parametros'!$B$6-AJ211,0)</f>
        <v>808.187144177373</v>
      </c>
      <c r="AL211" s="10">
        <f>0.66*SQRT('Parametros'!$B$2)*H211*MIN(U211,AB211)/1000</f>
        <v>769.050852017258</v>
      </c>
      <c r="AM211" s="10" t="str">
        <f>IF(AK211&lt;=AL211,"CUMPLE","NO CUMPLE")</f>
        <v>NO CUMPLE</v>
      </c>
      <c r="AN211" s="17" t="inlineStr">
        <is>
          <t>Nº4 cerrado</t>
        </is>
      </c>
      <c r="AO211" s="31" t="n">
        <v>4</v>
      </c>
      <c r="AP211" s="10">
        <f>ROUNDDOWN(MIN(IF(BC211+BD211=0,1000000000,AO211*BB211/(BC211+BD211)),MIN(U211,AB211)/4,8*'Parametros'!$B$12,24*BA211,300,IF(AV211=0,1000000000,2*((H211-2*('Parametros'!$B$7+'Parametros'!$B$9/2))+(I211-2*('Parametros'!$B$7+'Parametros'!$B$9/2)))/8))/10,0)*10</f>
        <v>120</v>
      </c>
      <c r="AQ211" s="10">
        <f>ROUNDDOWN(MIN(IF(BC211+BD211=0,1000000000,AO211*BB211/(BC211+BD211)),IF(AK211&gt;0.33*SQRT('Parametros'!$B$2)*H211*MIN(U211,AB211)/1000,MIN(U211,AB211)/4,MIN(U211,AB211)/2),600,IF(AV211=0,1000000000,2*((H211-2*('Parametros'!$B$7+'Parametros'!$B$9/2))+(I211-2*('Parametros'!$B$7+'Parametros'!$B$9/2)))/8))/10,0)*10</f>
        <v>120</v>
      </c>
      <c r="AR211" s="10">
        <f>'Parametros'!$B$6*(AJ211+MAX(BE211-BD211,0)*'Parametros'!$B$4*MIN(U211,AB211)/1000)</f>
        <v>761.403518509727</v>
      </c>
      <c r="AS211" s="10" t="str">
        <f>IF(AND(ISERROR(SEARCH("referencia",AN211)),AM211="CUMPLE",AR211&gt;=AI211),"CUMPLE","NO CUMPLE")</f>
        <v>NO CUMPLE</v>
      </c>
      <c r="AT211" s="10">
        <f>'Parametros'!$B$6*0.083*SQRT('Parametros'!$B$2)*(H211*I211)^2/(2*(H211+I211))/1000000</f>
        <v>10.0887830333379</v>
      </c>
      <c r="AU211" s="10" t="str">
        <f>IF(Q211&lt;=AT211,"DESPRECIABLE","DISEÑAR")</f>
        <v>DISEÑAR</v>
      </c>
      <c r="AV211" s="10">
        <f>IF(Q211&lt;=AT211,0,Q211*1000000/('Parametros'!$B$6*2*0.85*(H211-2*('Parametros'!$B$7+'Parametros'!$B$9/2))*(I211-2*('Parametros'!$B$7+'Parametros'!$B$9/2))*'Parametros'!$B$4))</f>
        <v>0.162144789921336</v>
      </c>
      <c r="AW211" s="10">
        <f>AV211*2*((H211-2*('Parametros'!$B$7+'Parametros'!$B$9/2))+(I211-2*('Parametros'!$B$7+'Parametros'!$B$9/2)))*'Parametros'!$B$4/'Parametros'!$B$3</f>
        <v>264.166291739841</v>
      </c>
      <c r="AX211" s="31" t="n">
        <v>8</v>
      </c>
      <c r="AY211" s="10" t="str">
        <f>IF(AV211=0,"DESPRECIABLE",IF(AND(ISERROR(SEARCH("referencia",AN211)),BB211/AP211&gt;=AV211,BI211&gt;=AW211,BH211="CUMPLE"),"CUMPLE","NO CUMPLE"))</f>
        <v>NO CUMPLE</v>
      </c>
      <c r="AZ211" s="10" t="str">
        <f>IF(AND(X211="CUMPLE",AE211="CUMPLE",AS211="CUMPLE",OR(AY211="CUMPLE",AY211="DESPRECIABLE"),BH211="CUMPLE",BJ211="CUMPLE"),"CUMPLE","NO CUMPLE")</f>
        <v>NO CUMPLE</v>
      </c>
      <c r="BA211" s="32" t="n">
        <v>12.7</v>
      </c>
      <c r="BB211" s="32" t="n">
        <v>129</v>
      </c>
      <c r="BC211" s="10">
        <f>MAX(IF(AK211=0,0,AK211*1000/('Parametros'!$B$4*MIN(U211,AB211))),MAX(0.062*SQRT('Parametros'!$B$2)*H211/'Parametros'!$B$4,0.35*H211/'Parametros'!$B$4))</f>
        <v>3.93226750829513</v>
      </c>
      <c r="BD211" s="10">
        <f>2*AV211</f>
        <v>0.324289579842673</v>
      </c>
      <c r="BE211" s="10">
        <f>AO211*BB211/AP211</f>
        <v>4.3</v>
      </c>
      <c r="BF211" s="10">
        <f>SQRT((AI211*1000/(H211*MIN(U211,AB211)))^2+(Q211*1000000*2*((H211-2*('Parametros'!$B$7+'Parametros'!$B$9/2))+(I211-2*('Parametros'!$B$7+'Parametros'!$B$9/2)))/(1.7*((H211-2*('Parametros'!$B$7+'Parametros'!$B$9/2))*(I211-2*('Parametros'!$B$7+'Parametros'!$B$9/2)))^2))^2)</f>
        <v>3.46488550414532</v>
      </c>
      <c r="BG211" s="10">
        <f>'Parametros'!$B$6*(AJ211*1000/(H211*MIN(U211,AB211))+0.66*SQRT('Parametros'!$B$2))</f>
        <v>3.29396038227542</v>
      </c>
      <c r="BH211" s="10" t="str">
        <f>IF(BF211&lt;=BG211,"CUMPLE","NO CUMPLE")</f>
        <v>NO CUMPLE</v>
      </c>
      <c r="BI211" s="10">
        <f>AX211*'Parametros'!$B$8</f>
        <v>1592</v>
      </c>
      <c r="BJ211" s="10" t="str">
        <f>IF(BI211&gt;=AW211,"CUMPLE","NO CUMPLE")</f>
        <v>CUMPLE</v>
      </c>
    </row>
    <row r="212">
      <c r="A212" s="21" t="inlineStr">
        <is>
          <t>VC7</t>
        </is>
      </c>
      <c r="B212" s="21" t="inlineStr">
        <is>
          <t>271</t>
        </is>
      </c>
      <c r="C212" s="10" t="n">
        <v>1</v>
      </c>
      <c r="D212" s="10" t="n">
        <v>2.05</v>
      </c>
      <c r="E212" s="10" t="n">
        <v>2.05</v>
      </c>
      <c r="F212" s="10" t="n">
        <v>450</v>
      </c>
      <c r="G212" s="10" t="n">
        <v>550</v>
      </c>
      <c r="H212" s="17" t="n">
        <v>450</v>
      </c>
      <c r="I212" s="17" t="n">
        <v>550</v>
      </c>
      <c r="J212" s="30" t="n">
        <v>197.006</v>
      </c>
      <c r="K212" s="10" t="inlineStr">
        <is>
          <t>271</t>
        </is>
      </c>
      <c r="L212" s="30" t="n">
        <v>181.8118</v>
      </c>
      <c r="M212" s="10" t="inlineStr">
        <is>
          <t>271</t>
        </is>
      </c>
      <c r="N212" s="30" t="n">
        <v>152.223</v>
      </c>
      <c r="O212" s="30" t="n">
        <v>662.449</v>
      </c>
      <c r="P212" s="10" t="inlineStr">
        <is>
          <t>271</t>
        </is>
      </c>
      <c r="Q212" s="30" t="n">
        <v>24.6548</v>
      </c>
      <c r="R212" s="10">
        <f>MAX(MAX(1.4/'Parametros'!$B$3,0.25*SQRT('Parametros'!$B$2)/'Parametros'!$B$3)*H212*U212,(0.85*'Parametros'!$B$2/'Parametros'!$B$3)*(1-SQRT(1-2*(J212*1000000/('Parametros'!$B$5*H212*U212^2))/(0.85*'Parametros'!$B$2)))*H212*U212)</f>
        <v>1114.84651972142</v>
      </c>
      <c r="S212" s="31" t="n">
        <v>6</v>
      </c>
      <c r="T212" s="32" t="n">
        <v>1</v>
      </c>
      <c r="U212" s="10">
        <f>IF(T212=1,I212-('Parametros'!$B$7+'Parametros'!$B$9+'Parametros'!$B$12/2),I212-(ROUNDUP(S212/2,0)*('Parametros'!$B$7+'Parametros'!$B$9+'Parametros'!$B$12/2)+ROUNDDOWN(S212/2,0)*('Parametros'!$B$7+'Parametros'!$B$9+'Parametros'!$B$12/2+'Parametros'!$B$12+'Parametros'!$B$10))/S212)</f>
        <v>489.35</v>
      </c>
      <c r="V212" s="10">
        <f>S212*'Parametros'!$B$8</f>
        <v>1194</v>
      </c>
      <c r="W212" s="10">
        <f>'Parametros'!$B$5*V212*'Parametros'!$B$3*(U212-(V212*'Parametros'!$B$3/(0.85*'Parametros'!$B$2*H212))/2)/1000000</f>
        <v>210.292835611765</v>
      </c>
      <c r="X212" s="10" t="str">
        <f>IF(W212&gt;=J212,"CUMPLE","NO CUMPLE")</f>
        <v>CUMPLE</v>
      </c>
      <c r="Y212" s="10">
        <f>MAX(MAX(1.4/'Parametros'!$B$3,0.25*SQRT('Parametros'!$B$2)/'Parametros'!$B$3)*H212*AB212,(0.85*'Parametros'!$B$2/'Parametros'!$B$3)*(1-SQRT(1-2*(L212*1000000/('Parametros'!$B$5*H212*AB212^2))/(0.85*'Parametros'!$B$2)))*H212*AB212)</f>
        <v>1025.00075270341</v>
      </c>
      <c r="Z212" s="31" t="n">
        <v>6</v>
      </c>
      <c r="AA212" s="32" t="n">
        <v>1</v>
      </c>
      <c r="AB212" s="10">
        <f>IF(AA212=1,I212-('Parametros'!$B$7+'Parametros'!$B$9+'Parametros'!$B$12/2),I212-(ROUNDUP(Z212/2,0)*('Parametros'!$B$7+'Parametros'!$B$9+'Parametros'!$B$12/2)+ROUNDDOWN(Z212/2,0)*('Parametros'!$B$7+'Parametros'!$B$9+'Parametros'!$B$12/2+'Parametros'!$B$12+'Parametros'!$B$10))/Z212)</f>
        <v>489.35</v>
      </c>
      <c r="AC212" s="10">
        <f>Z212*'Parametros'!$B$8</f>
        <v>1194</v>
      </c>
      <c r="AD212" s="10">
        <f>'Parametros'!$B$5*AC212*'Parametros'!$B$3*(AB212-(AC212*'Parametros'!$B$3/(0.85*'Parametros'!$B$2*H212))/2)/1000000</f>
        <v>210.292835611765</v>
      </c>
      <c r="AE212" s="10" t="str">
        <f>IF(AD212&gt;=L212,"CUMPLE","NO CUMPLE")</f>
        <v>CUMPLE</v>
      </c>
      <c r="AF212" s="10">
        <f>V212*1.25*'Parametros'!$B$3*(U212-(V212*1.25*'Parametros'!$B$3/(0.85*'Parametros'!$B$2*H212))/2)/1000000</f>
        <v>288.404466617647</v>
      </c>
      <c r="AG212" s="10">
        <f>AC212*1.25*'Parametros'!$B$3*(AB212-(AC212*1.25*'Parametros'!$B$3/(0.85*'Parametros'!$B$2*H212))/2)/1000000</f>
        <v>288.404466617647</v>
      </c>
      <c r="AH212" s="10">
        <f>N212+(AF212+AG212)/D212</f>
        <v>433.59321133429</v>
      </c>
      <c r="AI212" s="10">
        <f>MAX(O212,AH212)</f>
        <v>662.449</v>
      </c>
      <c r="AJ212" s="10">
        <f>0.17*SQRT('Parametros'!$B$2)*H212*MIN(U212,AB212)/1000</f>
        <v>198.088855822627</v>
      </c>
      <c r="AK212" s="10">
        <f>MAX(AI212/'Parametros'!$B$6-AJ212,0)</f>
        <v>685.176477510706</v>
      </c>
      <c r="AL212" s="10">
        <f>0.66*SQRT('Parametros'!$B$2)*H212*MIN(U212,AB212)/1000</f>
        <v>769.050852017258</v>
      </c>
      <c r="AM212" s="10" t="str">
        <f>IF(AK212&lt;=AL212,"CUMPLE","NO CUMPLE")</f>
        <v>CUMPLE</v>
      </c>
      <c r="AN212" s="17" t="inlineStr">
        <is>
          <t>Nº4 cerrado</t>
        </is>
      </c>
      <c r="AO212" s="31" t="n">
        <v>4</v>
      </c>
      <c r="AP212" s="10">
        <f>ROUNDDOWN(MIN(IF(BC212+BD212=0,1000000000,AO212*BB212/(BC212+BD212)),MIN(U212,AB212)/4,8*'Parametros'!$B$12,24*BA212,300,IF(AV212=0,1000000000,2*((H212-2*('Parametros'!$B$7+'Parametros'!$B$9/2))+(I212-2*('Parametros'!$B$7+'Parametros'!$B$9/2)))/8))/10,0)*10</f>
        <v>120</v>
      </c>
      <c r="AQ212" s="10">
        <f>ROUNDDOWN(MIN(IF(BC212+BD212=0,1000000000,AO212*BB212/(BC212+BD212)),IF(AK212&gt;0.33*SQRT('Parametros'!$B$2)*H212*MIN(U212,AB212)/1000,MIN(U212,AB212)/4,MIN(U212,AB212)/2),600,IF(AV212=0,1000000000,2*((H212-2*('Parametros'!$B$7+'Parametros'!$B$9/2))+(I212-2*('Parametros'!$B$7+'Parametros'!$B$9/2)))/8))/10,0)*10</f>
        <v>120</v>
      </c>
      <c r="AR212" s="10">
        <f>'Parametros'!$B$6*(AJ212+MAX(BE212-BD212,0)*'Parametros'!$B$4*MIN(U212,AB212)/1000)</f>
        <v>724.521594569535</v>
      </c>
      <c r="AS212" s="10" t="str">
        <f>IF(AND(ISERROR(SEARCH("referencia",AN212)),AM212="CUMPLE",AR212&gt;=AI212),"CUMPLE","NO CUMPLE")</f>
        <v>CUMPLE</v>
      </c>
      <c r="AT212" s="10">
        <f>'Parametros'!$B$6*0.083*SQRT('Parametros'!$B$2)*(H212*I212)^2/(2*(H212+I212))/1000000</f>
        <v>10.0887830333379</v>
      </c>
      <c r="AU212" s="10" t="str">
        <f>IF(Q212&lt;=AT212,"DESPRECIABLE","DISEÑAR")</f>
        <v>DISEÑAR</v>
      </c>
      <c r="AV212" s="10">
        <f>IF(Q212&lt;=AT212,0,Q212*1000000/('Parametros'!$B$6*2*0.85*(H212-2*('Parametros'!$B$7+'Parametros'!$B$9/2))*(I212-2*('Parametros'!$B$7+'Parametros'!$B$9/2))*'Parametros'!$B$4))</f>
        <v>0.281778459918276</v>
      </c>
      <c r="AW212" s="10">
        <f>AV212*2*((H212-2*('Parametros'!$B$7+'Parametros'!$B$9/2))+(I212-2*('Parametros'!$B$7+'Parametros'!$B$9/2)))*'Parametros'!$B$4/'Parametros'!$B$3</f>
        <v>459.073466898855</v>
      </c>
      <c r="AX212" s="31" t="n">
        <v>8</v>
      </c>
      <c r="AY212" s="10" t="str">
        <f>IF(AV212=0,"DESPRECIABLE",IF(AND(ISERROR(SEARCH("referencia",AN212)),BB212/AP212&gt;=AV212,BI212&gt;=AW212,BH212="CUMPLE"),"CUMPLE","NO CUMPLE"))</f>
        <v>CUMPLE</v>
      </c>
      <c r="AZ212" s="10" t="str">
        <f>IF(AND(X212="CUMPLE",AE212="CUMPLE",AS212="CUMPLE",OR(AY212="CUMPLE",AY212="DESPRECIABLE"),BH212="CUMPLE",BJ212="CUMPLE"),"CUMPLE","NO CUMPLE")</f>
        <v>CUMPLE</v>
      </c>
      <c r="BA212" s="32" t="n">
        <v>12.7</v>
      </c>
      <c r="BB212" s="32" t="n">
        <v>129</v>
      </c>
      <c r="BC212" s="10">
        <f>MAX(IF(AK212=0,0,AK212*1000/('Parametros'!$B$4*MIN(U212,AB212))),MAX(0.062*SQRT('Parametros'!$B$2)*H212/'Parametros'!$B$4,0.35*H212/'Parametros'!$B$4))</f>
        <v>3.33375409318827</v>
      </c>
      <c r="BD212" s="10">
        <f>2*AV212</f>
        <v>0.563556919836551</v>
      </c>
      <c r="BE212" s="10">
        <f>AO212*BB212/AP212</f>
        <v>4.3</v>
      </c>
      <c r="BF212" s="10">
        <f>SQRT((AI212*1000/(H212*MIN(U212,AB212)))^2+(Q212*1000000*2*((H212-2*('Parametros'!$B$7+'Parametros'!$B$9/2))+(I212-2*('Parametros'!$B$7+'Parametros'!$B$9/2)))/(1.7*((H212-2*('Parametros'!$B$7+'Parametros'!$B$9/2))*(I212-2*('Parametros'!$B$7+'Parametros'!$B$9/2)))^2))^2)</f>
        <v>3.13577989201652</v>
      </c>
      <c r="BG212" s="10">
        <f>'Parametros'!$B$6*(AJ212*1000/(H212*MIN(U212,AB212))+0.66*SQRT('Parametros'!$B$2))</f>
        <v>3.29396038227542</v>
      </c>
      <c r="BH212" s="10" t="str">
        <f>IF(BF212&lt;=BG212,"CUMPLE","NO CUMPLE")</f>
        <v>CUMPLE</v>
      </c>
      <c r="BI212" s="10">
        <f>AX212*'Parametros'!$B$8</f>
        <v>1592</v>
      </c>
      <c r="BJ212" s="10" t="str">
        <f>IF(BI212&gt;=AW212,"CUMPLE","NO CUMPLE")</f>
        <v>CUMPLE</v>
      </c>
    </row>
    <row r="213">
      <c r="A213" s="21" t="inlineStr">
        <is>
          <t>VC7</t>
        </is>
      </c>
      <c r="B213" s="21" t="inlineStr">
        <is>
          <t>272</t>
        </is>
      </c>
      <c r="C213" s="10" t="n">
        <v>1</v>
      </c>
      <c r="D213" s="10" t="n">
        <v>4.5</v>
      </c>
      <c r="E213" s="10" t="n">
        <v>4.5</v>
      </c>
      <c r="F213" s="10" t="n">
        <v>450</v>
      </c>
      <c r="G213" s="10" t="n">
        <v>550</v>
      </c>
      <c r="H213" s="17" t="n">
        <v>450</v>
      </c>
      <c r="I213" s="17" t="n">
        <v>550</v>
      </c>
      <c r="J213" s="30" t="n">
        <v>151.2521</v>
      </c>
      <c r="K213" s="10" t="inlineStr">
        <is>
          <t>272</t>
        </is>
      </c>
      <c r="L213" s="30" t="n">
        <v>127.8077</v>
      </c>
      <c r="M213" s="10" t="inlineStr">
        <is>
          <t>272</t>
        </is>
      </c>
      <c r="N213" s="30" t="n">
        <v>72.563</v>
      </c>
      <c r="O213" s="30" t="n">
        <v>265.573</v>
      </c>
      <c r="P213" s="10" t="inlineStr">
        <is>
          <t>272</t>
        </is>
      </c>
      <c r="Q213" s="30" t="n">
        <v>7.2524</v>
      </c>
      <c r="R213" s="10">
        <f>MAX(MAX(1.4/'Parametros'!$B$3,0.25*SQRT('Parametros'!$B$2)/'Parametros'!$B$3)*H213*U213,(0.85*'Parametros'!$B$2/'Parametros'!$B$3)*(1-SQRT(1-2*(J213*1000000/('Parametros'!$B$5*H213*U213^2))/(0.85*'Parametros'!$B$2)))*H213*U213)</f>
        <v>846.397613703764</v>
      </c>
      <c r="S213" s="31" t="n">
        <v>5</v>
      </c>
      <c r="T213" s="32" t="n">
        <v>1</v>
      </c>
      <c r="U213" s="10">
        <f>IF(T213=1,I213-('Parametros'!$B$7+'Parametros'!$B$9+'Parametros'!$B$12/2),I213-(ROUNDUP(S213/2,0)*('Parametros'!$B$7+'Parametros'!$B$9+'Parametros'!$B$12/2)+ROUNDDOWN(S213/2,0)*('Parametros'!$B$7+'Parametros'!$B$9+'Parametros'!$B$12/2+'Parametros'!$B$12+'Parametros'!$B$10))/S213)</f>
        <v>489.35</v>
      </c>
      <c r="V213" s="10">
        <f>S213*'Parametros'!$B$8</f>
        <v>995</v>
      </c>
      <c r="W213" s="10">
        <f>'Parametros'!$B$5*V213*'Parametros'!$B$3*(U213-(V213*'Parametros'!$B$3/(0.85*'Parametros'!$B$2*H213))/2)/1000000</f>
        <v>176.711596147059</v>
      </c>
      <c r="X213" s="10" t="str">
        <f>IF(W213&gt;=J213,"CUMPLE","NO CUMPLE")</f>
        <v>CUMPLE</v>
      </c>
      <c r="Y213" s="10">
        <f>MAX(MAX(1.4/'Parametros'!$B$3,0.25*SQRT('Parametros'!$B$2)/'Parametros'!$B$3)*H213*AB213,(0.85*'Parametros'!$B$2/'Parametros'!$B$3)*(1-SQRT(1-2*(L213*1000000/('Parametros'!$B$5*H213*AB213^2))/(0.85*'Parametros'!$B$2)))*H213*AB213)</f>
        <v>734.025</v>
      </c>
      <c r="Z213" s="31" t="n">
        <v>4</v>
      </c>
      <c r="AA213" s="32" t="n">
        <v>1</v>
      </c>
      <c r="AB213" s="10">
        <f>IF(AA213=1,I213-('Parametros'!$B$7+'Parametros'!$B$9+'Parametros'!$B$12/2),I213-(ROUNDUP(Z213/2,0)*('Parametros'!$B$7+'Parametros'!$B$9+'Parametros'!$B$12/2)+ROUNDDOWN(Z213/2,0)*('Parametros'!$B$7+'Parametros'!$B$9+'Parametros'!$B$12/2+'Parametros'!$B$12+'Parametros'!$B$10))/Z213)</f>
        <v>489.35</v>
      </c>
      <c r="AC213" s="10">
        <f>Z213*'Parametros'!$B$8</f>
        <v>796</v>
      </c>
      <c r="AD213" s="10">
        <f>'Parametros'!$B$5*AC213*'Parametros'!$B$3*(AB213-(AC213*'Parametros'!$B$3/(0.85*'Parametros'!$B$2*H213))/2)/1000000</f>
        <v>142.543330094118</v>
      </c>
      <c r="AE213" s="10" t="str">
        <f>IF(AD213&gt;=L213,"CUMPLE","NO CUMPLE")</f>
        <v>CUMPLE</v>
      </c>
      <c r="AF213" s="10">
        <f>V213*1.25*'Parametros'!$B$3*(U213-(V213*1.25*'Parametros'!$B$3/(0.85*'Parametros'!$B$2*H213))/2)/1000000</f>
        <v>242.884913970588</v>
      </c>
      <c r="AG213" s="10">
        <f>AC213*1.25*'Parametros'!$B$3*(AB213-(AC213*1.25*'Parametros'!$B$3/(0.85*'Parametros'!$B$2*H213))/2)/1000000</f>
        <v>196.346217941176</v>
      </c>
      <c r="AH213" s="10">
        <f>N213+(AF213+AG213)/D213</f>
        <v>170.169918202614</v>
      </c>
      <c r="AI213" s="10">
        <f>MAX(O213,AH213)</f>
        <v>265.573</v>
      </c>
      <c r="AJ213" s="10">
        <f>0.17*SQRT('Parametros'!$B$2)*H213*MIN(U213,AB213)/1000</f>
        <v>198.088855822627</v>
      </c>
      <c r="AK213" s="10">
        <f>MAX(AI213/'Parametros'!$B$6-AJ213,0)</f>
        <v>156.008477510706</v>
      </c>
      <c r="AL213" s="10">
        <f>0.66*SQRT('Parametros'!$B$2)*H213*MIN(U213,AB213)/1000</f>
        <v>769.050852017258</v>
      </c>
      <c r="AM213" s="10" t="str">
        <f>IF(AK213&lt;=AL213,"CUMPLE","NO CUMPLE")</f>
        <v>CUMPLE</v>
      </c>
      <c r="AN213" s="17" t="inlineStr">
        <is>
          <t>Nº3 cerrado</t>
        </is>
      </c>
      <c r="AO213" s="31" t="n">
        <v>2</v>
      </c>
      <c r="AP213" s="10">
        <f>ROUNDDOWN(MIN(IF(BC213+BD213=0,1000000000,AO213*BB213/(BC213+BD213)),MIN(U213,AB213)/4,8*'Parametros'!$B$12,24*BA213,300,IF(AV213=0,1000000000,2*((H213-2*('Parametros'!$B$7+'Parametros'!$B$9/2))+(I213-2*('Parametros'!$B$7+'Parametros'!$B$9/2)))/8))/10,0)*10</f>
        <v>120</v>
      </c>
      <c r="AQ213" s="10">
        <f>ROUNDDOWN(MIN(IF(BC213+BD213=0,1000000000,AO213*BB213/(BC213+BD213)),IF(AK213&gt;0.33*SQRT('Parametros'!$B$2)*H213*MIN(U213,AB213)/1000,MIN(U213,AB213)/4,MIN(U213,AB213)/2),600,IF(AV213=0,1000000000,2*((H213-2*('Parametros'!$B$7+'Parametros'!$B$9/2))+(I213-2*('Parametros'!$B$7+'Parametros'!$B$9/2)))/8))/10,0)*10</f>
        <v>180</v>
      </c>
      <c r="AR213" s="10">
        <f>'Parametros'!$B$6*(AJ213+MAX(BE213-BD213,0)*'Parametros'!$B$4*MIN(U213,AB213)/1000)</f>
        <v>330.97185436697</v>
      </c>
      <c r="AS213" s="10" t="str">
        <f>IF(AND(ISERROR(SEARCH("referencia",AN213)),AM213="CUMPLE",AR213&gt;=AI213),"CUMPLE","NO CUMPLE")</f>
        <v>CUMPLE</v>
      </c>
      <c r="AT213" s="10">
        <f>'Parametros'!$B$6*0.083*SQRT('Parametros'!$B$2)*(H213*I213)^2/(2*(H213+I213))/1000000</f>
        <v>10.0887830333379</v>
      </c>
      <c r="AU213" s="10" t="str">
        <f>IF(Q213&lt;=AT213,"DESPRECIABLE","DISEÑAR")</f>
        <v>DESPRECIABLE</v>
      </c>
      <c r="AV213" s="10">
        <f>IF(Q213&lt;=AT213,0,Q213*1000000/('Parametros'!$B$6*2*0.85*(H213-2*('Parametros'!$B$7+'Parametros'!$B$9/2))*(I213-2*('Parametros'!$B$7+'Parametros'!$B$9/2))*'Parametros'!$B$4))</f>
        <v>0</v>
      </c>
      <c r="AW213" s="10">
        <f>AV213*2*((H213-2*('Parametros'!$B$7+'Parametros'!$B$9/2))+(I213-2*('Parametros'!$B$7+'Parametros'!$B$9/2)))*'Parametros'!$B$4/'Parametros'!$B$3</f>
        <v>0</v>
      </c>
      <c r="AX213" s="31" t="n">
        <v>0</v>
      </c>
      <c r="AY213" s="10" t="str">
        <f>IF(AV213=0,"DESPRECIABLE",IF(AND(ISERROR(SEARCH("referencia",AN213)),BB213/AP213&gt;=AV213,BI213&gt;=AW213,BH213="CUMPLE"),"CUMPLE","NO CUMPLE"))</f>
        <v>DESPRECIABLE</v>
      </c>
      <c r="AZ213" s="10" t="str">
        <f>IF(AND(X213="CUMPLE",AE213="CUMPLE",AS213="CUMPLE",OR(AY213="CUMPLE",AY213="DESPRECIABLE"),BH213="CUMPLE",BJ213="CUMPLE"),"CUMPLE","NO CUMPLE")</f>
        <v>CUMPLE</v>
      </c>
      <c r="BA213" s="32" t="n">
        <v>9.5</v>
      </c>
      <c r="BB213" s="32" t="n">
        <v>71</v>
      </c>
      <c r="BC213" s="10">
        <f>MAX(IF(AK213=0,0,AK213*1000/('Parametros'!$B$4*MIN(U213,AB213))),MAX(0.062*SQRT('Parametros'!$B$2)*H213/'Parametros'!$B$4,0.35*H213/'Parametros'!$B$4))</f>
        <v>0.759065609436747</v>
      </c>
      <c r="BD213" s="10">
        <f>2*AV213</f>
        <v>0</v>
      </c>
      <c r="BE213" s="10">
        <f>AO213*BB213/AP213</f>
        <v>1.18333333333333</v>
      </c>
      <c r="BF213" s="10">
        <f>SQRT((AI213*1000/(H213*MIN(U213,AB213)))^2+(Q213*1000000*2*((H213-2*('Parametros'!$B$7+'Parametros'!$B$9/2))+(I213-2*('Parametros'!$B$7+'Parametros'!$B$9/2)))/(1.7*((H213-2*('Parametros'!$B$7+'Parametros'!$B$9/2))*(I213-2*('Parametros'!$B$7+'Parametros'!$B$9/2)))^2))^2)</f>
        <v>1.23379189276527</v>
      </c>
      <c r="BG213" s="10">
        <f>'Parametros'!$B$6*(AJ213*1000/(H213*MIN(U213,AB213))+0.66*SQRT('Parametros'!$B$2))</f>
        <v>3.29396038227542</v>
      </c>
      <c r="BH213" s="10" t="str">
        <f>IF(BF213&lt;=BG213,"CUMPLE","NO CUMPLE")</f>
        <v>CUMPLE</v>
      </c>
      <c r="BI213" s="10">
        <f>AX213*'Parametros'!$B$8</f>
        <v>0</v>
      </c>
      <c r="BJ213" s="10" t="str">
        <f>IF(BI213&gt;=AW213,"CUMPLE","NO CUMPLE")</f>
        <v>CUMPLE</v>
      </c>
    </row>
    <row r="214">
      <c r="A214" s="21" t="inlineStr">
        <is>
          <t>VC7</t>
        </is>
      </c>
      <c r="B214" s="21" t="inlineStr">
        <is>
          <t>273</t>
        </is>
      </c>
      <c r="C214" s="10" t="n">
        <v>1</v>
      </c>
      <c r="D214" s="10" t="n">
        <v>4.5</v>
      </c>
      <c r="E214" s="10" t="n">
        <v>4.5</v>
      </c>
      <c r="F214" s="10" t="n">
        <v>450</v>
      </c>
      <c r="G214" s="10" t="n">
        <v>550</v>
      </c>
      <c r="H214" s="17" t="n">
        <v>450</v>
      </c>
      <c r="I214" s="17" t="n">
        <v>550</v>
      </c>
      <c r="J214" s="30" t="n">
        <v>151.2542</v>
      </c>
      <c r="K214" s="10" t="inlineStr">
        <is>
          <t>273</t>
        </is>
      </c>
      <c r="L214" s="30" t="n">
        <v>127.8096</v>
      </c>
      <c r="M214" s="10" t="inlineStr">
        <is>
          <t>273</t>
        </is>
      </c>
      <c r="N214" s="30" t="n">
        <v>72.56399999999999</v>
      </c>
      <c r="O214" s="30" t="n">
        <v>265.574</v>
      </c>
      <c r="P214" s="10" t="inlineStr">
        <is>
          <t>273</t>
        </is>
      </c>
      <c r="Q214" s="30" t="n">
        <v>7.2519</v>
      </c>
      <c r="R214" s="10">
        <f>MAX(MAX(1.4/'Parametros'!$B$3,0.25*SQRT('Parametros'!$B$2)/'Parametros'!$B$3)*H214*U214,(0.85*'Parametros'!$B$2/'Parametros'!$B$3)*(1-SQRT(1-2*(J214*1000000/('Parametros'!$B$5*H214*U214^2))/(0.85*'Parametros'!$B$2)))*H214*U214)</f>
        <v>846.409792727775</v>
      </c>
      <c r="S214" s="31" t="n">
        <v>5</v>
      </c>
      <c r="T214" s="32" t="n">
        <v>1</v>
      </c>
      <c r="U214" s="10">
        <f>IF(T214=1,I214-('Parametros'!$B$7+'Parametros'!$B$9+'Parametros'!$B$12/2),I214-(ROUNDUP(S214/2,0)*('Parametros'!$B$7+'Parametros'!$B$9+'Parametros'!$B$12/2)+ROUNDDOWN(S214/2,0)*('Parametros'!$B$7+'Parametros'!$B$9+'Parametros'!$B$12/2+'Parametros'!$B$12+'Parametros'!$B$10))/S214)</f>
        <v>489.35</v>
      </c>
      <c r="V214" s="10">
        <f>S214*'Parametros'!$B$8</f>
        <v>995</v>
      </c>
      <c r="W214" s="10">
        <f>'Parametros'!$B$5*V214*'Parametros'!$B$3*(U214-(V214*'Parametros'!$B$3/(0.85*'Parametros'!$B$2*H214))/2)/1000000</f>
        <v>176.711596147059</v>
      </c>
      <c r="X214" s="10" t="str">
        <f>IF(W214&gt;=J214,"CUMPLE","NO CUMPLE")</f>
        <v>CUMPLE</v>
      </c>
      <c r="Y214" s="10">
        <f>MAX(MAX(1.4/'Parametros'!$B$3,0.25*SQRT('Parametros'!$B$2)/'Parametros'!$B$3)*H214*AB214,(0.85*'Parametros'!$B$2/'Parametros'!$B$3)*(1-SQRT(1-2*(L214*1000000/('Parametros'!$B$5*H214*AB214^2))/(0.85*'Parametros'!$B$2)))*H214*AB214)</f>
        <v>734.025</v>
      </c>
      <c r="Z214" s="31" t="n">
        <v>4</v>
      </c>
      <c r="AA214" s="32" t="n">
        <v>1</v>
      </c>
      <c r="AB214" s="10">
        <f>IF(AA214=1,I214-('Parametros'!$B$7+'Parametros'!$B$9+'Parametros'!$B$12/2),I214-(ROUNDUP(Z214/2,0)*('Parametros'!$B$7+'Parametros'!$B$9+'Parametros'!$B$12/2)+ROUNDDOWN(Z214/2,0)*('Parametros'!$B$7+'Parametros'!$B$9+'Parametros'!$B$12/2+'Parametros'!$B$12+'Parametros'!$B$10))/Z214)</f>
        <v>489.35</v>
      </c>
      <c r="AC214" s="10">
        <f>Z214*'Parametros'!$B$8</f>
        <v>796</v>
      </c>
      <c r="AD214" s="10">
        <f>'Parametros'!$B$5*AC214*'Parametros'!$B$3*(AB214-(AC214*'Parametros'!$B$3/(0.85*'Parametros'!$B$2*H214))/2)/1000000</f>
        <v>142.543330094118</v>
      </c>
      <c r="AE214" s="10" t="str">
        <f>IF(AD214&gt;=L214,"CUMPLE","NO CUMPLE")</f>
        <v>CUMPLE</v>
      </c>
      <c r="AF214" s="10">
        <f>V214*1.25*'Parametros'!$B$3*(U214-(V214*1.25*'Parametros'!$B$3/(0.85*'Parametros'!$B$2*H214))/2)/1000000</f>
        <v>242.884913970588</v>
      </c>
      <c r="AG214" s="10">
        <f>AC214*1.25*'Parametros'!$B$3*(AB214-(AC214*1.25*'Parametros'!$B$3/(0.85*'Parametros'!$B$2*H214))/2)/1000000</f>
        <v>196.346217941176</v>
      </c>
      <c r="AH214" s="10">
        <f>N214+(AF214+AG214)/D214</f>
        <v>170.170918202614</v>
      </c>
      <c r="AI214" s="10">
        <f>MAX(O214,AH214)</f>
        <v>265.574</v>
      </c>
      <c r="AJ214" s="10">
        <f>0.17*SQRT('Parametros'!$B$2)*H214*MIN(U214,AB214)/1000</f>
        <v>198.088855822627</v>
      </c>
      <c r="AK214" s="10">
        <f>MAX(AI214/'Parametros'!$B$6-AJ214,0)</f>
        <v>156.00981084404</v>
      </c>
      <c r="AL214" s="10">
        <f>0.66*SQRT('Parametros'!$B$2)*H214*MIN(U214,AB214)/1000</f>
        <v>769.050852017258</v>
      </c>
      <c r="AM214" s="10" t="str">
        <f>IF(AK214&lt;=AL214,"CUMPLE","NO CUMPLE")</f>
        <v>CUMPLE</v>
      </c>
      <c r="AN214" s="17" t="inlineStr">
        <is>
          <t>Nº3 cerrado</t>
        </is>
      </c>
      <c r="AO214" s="31" t="n">
        <v>2</v>
      </c>
      <c r="AP214" s="10">
        <f>ROUNDDOWN(MIN(IF(BC214+BD214=0,1000000000,AO214*BB214/(BC214+BD214)),MIN(U214,AB214)/4,8*'Parametros'!$B$12,24*BA214,300,IF(AV214=0,1000000000,2*((H214-2*('Parametros'!$B$7+'Parametros'!$B$9/2))+(I214-2*('Parametros'!$B$7+'Parametros'!$B$9/2)))/8))/10,0)*10</f>
        <v>120</v>
      </c>
      <c r="AQ214" s="10">
        <f>ROUNDDOWN(MIN(IF(BC214+BD214=0,1000000000,AO214*BB214/(BC214+BD214)),IF(AK214&gt;0.33*SQRT('Parametros'!$B$2)*H214*MIN(U214,AB214)/1000,MIN(U214,AB214)/4,MIN(U214,AB214)/2),600,IF(AV214=0,1000000000,2*((H214-2*('Parametros'!$B$7+'Parametros'!$B$9/2))+(I214-2*('Parametros'!$B$7+'Parametros'!$B$9/2)))/8))/10,0)*10</f>
        <v>180</v>
      </c>
      <c r="AR214" s="10">
        <f>'Parametros'!$B$6*(AJ214+MAX(BE214-BD214,0)*'Parametros'!$B$4*MIN(U214,AB214)/1000)</f>
        <v>330.97185436697</v>
      </c>
      <c r="AS214" s="10" t="str">
        <f>IF(AND(ISERROR(SEARCH("referencia",AN214)),AM214="CUMPLE",AR214&gt;=AI214),"CUMPLE","NO CUMPLE")</f>
        <v>CUMPLE</v>
      </c>
      <c r="AT214" s="10">
        <f>'Parametros'!$B$6*0.083*SQRT('Parametros'!$B$2)*(H214*I214)^2/(2*(H214+I214))/1000000</f>
        <v>10.0887830333379</v>
      </c>
      <c r="AU214" s="10" t="str">
        <f>IF(Q214&lt;=AT214,"DESPRECIABLE","DISEÑAR")</f>
        <v>DESPRECIABLE</v>
      </c>
      <c r="AV214" s="10">
        <f>IF(Q214&lt;=AT214,0,Q214*1000000/('Parametros'!$B$6*2*0.85*(H214-2*('Parametros'!$B$7+'Parametros'!$B$9/2))*(I214-2*('Parametros'!$B$7+'Parametros'!$B$9/2))*'Parametros'!$B$4))</f>
        <v>0</v>
      </c>
      <c r="AW214" s="10">
        <f>AV214*2*((H214-2*('Parametros'!$B$7+'Parametros'!$B$9/2))+(I214-2*('Parametros'!$B$7+'Parametros'!$B$9/2)))*'Parametros'!$B$4/'Parametros'!$B$3</f>
        <v>0</v>
      </c>
      <c r="AX214" s="31" t="n">
        <v>0</v>
      </c>
      <c r="AY214" s="10" t="str">
        <f>IF(AV214=0,"DESPRECIABLE",IF(AND(ISERROR(SEARCH("referencia",AN214)),BB214/AP214&gt;=AV214,BI214&gt;=AW214,BH214="CUMPLE"),"CUMPLE","NO CUMPLE"))</f>
        <v>DESPRECIABLE</v>
      </c>
      <c r="AZ214" s="10" t="str">
        <f>IF(AND(X214="CUMPLE",AE214="CUMPLE",AS214="CUMPLE",OR(AY214="CUMPLE",AY214="DESPRECIABLE"),BH214="CUMPLE",BJ214="CUMPLE"),"CUMPLE","NO CUMPLE")</f>
        <v>CUMPLE</v>
      </c>
      <c r="BA214" s="32" t="n">
        <v>9.5</v>
      </c>
      <c r="BB214" s="32" t="n">
        <v>71</v>
      </c>
      <c r="BC214" s="10">
        <f>MAX(IF(AK214=0,0,AK214*1000/('Parametros'!$B$4*MIN(U214,AB214))),MAX(0.062*SQRT('Parametros'!$B$2)*H214/'Parametros'!$B$4,0.35*H214/'Parametros'!$B$4))</f>
        <v>0.759072096824455</v>
      </c>
      <c r="BD214" s="10">
        <f>2*AV214</f>
        <v>0</v>
      </c>
      <c r="BE214" s="10">
        <f>AO214*BB214/AP214</f>
        <v>1.18333333333333</v>
      </c>
      <c r="BF214" s="10">
        <f>SQRT((AI214*1000/(H214*MIN(U214,AB214)))^2+(Q214*1000000*2*((H214-2*('Parametros'!$B$7+'Parametros'!$B$9/2))+(I214-2*('Parametros'!$B$7+'Parametros'!$B$9/2)))/(1.7*((H214-2*('Parametros'!$B$7+'Parametros'!$B$9/2))*(I214-2*('Parametros'!$B$7+'Parametros'!$B$9/2)))^2))^2)</f>
        <v>1.23379254457925</v>
      </c>
      <c r="BG214" s="10">
        <f>'Parametros'!$B$6*(AJ214*1000/(H214*MIN(U214,AB214))+0.66*SQRT('Parametros'!$B$2))</f>
        <v>3.29396038227542</v>
      </c>
      <c r="BH214" s="10" t="str">
        <f>IF(BF214&lt;=BG214,"CUMPLE","NO CUMPLE")</f>
        <v>CUMPLE</v>
      </c>
      <c r="BI214" s="10">
        <f>AX214*'Parametros'!$B$8</f>
        <v>0</v>
      </c>
      <c r="BJ214" s="10" t="str">
        <f>IF(BI214&gt;=AW214,"CUMPLE","NO CUMPLE")</f>
        <v>CUMPLE</v>
      </c>
    </row>
    <row r="215">
      <c r="A215" s="21" t="inlineStr">
        <is>
          <t>VC7</t>
        </is>
      </c>
      <c r="B215" s="21" t="inlineStr">
        <is>
          <t>274</t>
        </is>
      </c>
      <c r="C215" s="10" t="n">
        <v>1</v>
      </c>
      <c r="D215" s="10" t="n">
        <v>2.05</v>
      </c>
      <c r="E215" s="10" t="n">
        <v>2.05</v>
      </c>
      <c r="F215" s="10" t="n">
        <v>450</v>
      </c>
      <c r="G215" s="10" t="n">
        <v>550</v>
      </c>
      <c r="H215" s="17" t="n">
        <v>450</v>
      </c>
      <c r="I215" s="17" t="n">
        <v>550</v>
      </c>
      <c r="J215" s="30" t="n">
        <v>197.0045</v>
      </c>
      <c r="K215" s="10" t="inlineStr">
        <is>
          <t>274</t>
        </is>
      </c>
      <c r="L215" s="30" t="n">
        <v>181.8093</v>
      </c>
      <c r="M215" s="10" t="inlineStr">
        <is>
          <t>274</t>
        </is>
      </c>
      <c r="N215" s="30" t="n">
        <v>152.221</v>
      </c>
      <c r="O215" s="30" t="n">
        <v>662.448</v>
      </c>
      <c r="P215" s="10" t="inlineStr">
        <is>
          <t>274</t>
        </is>
      </c>
      <c r="Q215" s="30" t="n">
        <v>24.6539</v>
      </c>
      <c r="R215" s="10">
        <f>MAX(MAX(1.4/'Parametros'!$B$3,0.25*SQRT('Parametros'!$B$2)/'Parametros'!$B$3)*H215*U215,(0.85*'Parametros'!$B$2/'Parametros'!$B$3)*(1-SQRT(1-2*(J215*1000000/('Parametros'!$B$5*H215*U215^2))/(0.85*'Parametros'!$B$2)))*H215*U215)</f>
        <v>1114.83761491765</v>
      </c>
      <c r="S215" s="31" t="n">
        <v>6</v>
      </c>
      <c r="T215" s="32" t="n">
        <v>1</v>
      </c>
      <c r="U215" s="10">
        <f>IF(T215=1,I215-('Parametros'!$B$7+'Parametros'!$B$9+'Parametros'!$B$12/2),I215-(ROUNDUP(S215/2,0)*('Parametros'!$B$7+'Parametros'!$B$9+'Parametros'!$B$12/2)+ROUNDDOWN(S215/2,0)*('Parametros'!$B$7+'Parametros'!$B$9+'Parametros'!$B$12/2+'Parametros'!$B$12+'Parametros'!$B$10))/S215)</f>
        <v>489.35</v>
      </c>
      <c r="V215" s="10">
        <f>S215*'Parametros'!$B$8</f>
        <v>1194</v>
      </c>
      <c r="W215" s="10">
        <f>'Parametros'!$B$5*V215*'Parametros'!$B$3*(U215-(V215*'Parametros'!$B$3/(0.85*'Parametros'!$B$2*H215))/2)/1000000</f>
        <v>210.292835611765</v>
      </c>
      <c r="X215" s="10" t="str">
        <f>IF(W215&gt;=J215,"CUMPLE","NO CUMPLE")</f>
        <v>CUMPLE</v>
      </c>
      <c r="Y215" s="10">
        <f>MAX(MAX(1.4/'Parametros'!$B$3,0.25*SQRT('Parametros'!$B$2)/'Parametros'!$B$3)*H215*AB215,(0.85*'Parametros'!$B$2/'Parametros'!$B$3)*(1-SQRT(1-2*(L215*1000000/('Parametros'!$B$5*H215*AB215^2))/(0.85*'Parametros'!$B$2)))*H215*AB215)</f>
        <v>1024.98602778957</v>
      </c>
      <c r="Z215" s="31" t="n">
        <v>6</v>
      </c>
      <c r="AA215" s="32" t="n">
        <v>1</v>
      </c>
      <c r="AB215" s="10">
        <f>IF(AA215=1,I215-('Parametros'!$B$7+'Parametros'!$B$9+'Parametros'!$B$12/2),I215-(ROUNDUP(Z215/2,0)*('Parametros'!$B$7+'Parametros'!$B$9+'Parametros'!$B$12/2)+ROUNDDOWN(Z215/2,0)*('Parametros'!$B$7+'Parametros'!$B$9+'Parametros'!$B$12/2+'Parametros'!$B$12+'Parametros'!$B$10))/Z215)</f>
        <v>489.35</v>
      </c>
      <c r="AC215" s="10">
        <f>Z215*'Parametros'!$B$8</f>
        <v>1194</v>
      </c>
      <c r="AD215" s="10">
        <f>'Parametros'!$B$5*AC215*'Parametros'!$B$3*(AB215-(AC215*'Parametros'!$B$3/(0.85*'Parametros'!$B$2*H215))/2)/1000000</f>
        <v>210.292835611765</v>
      </c>
      <c r="AE215" s="10" t="str">
        <f>IF(AD215&gt;=L215,"CUMPLE","NO CUMPLE")</f>
        <v>CUMPLE</v>
      </c>
      <c r="AF215" s="10">
        <f>V215*1.25*'Parametros'!$B$3*(U215-(V215*1.25*'Parametros'!$B$3/(0.85*'Parametros'!$B$2*H215))/2)/1000000</f>
        <v>288.404466617647</v>
      </c>
      <c r="AG215" s="10">
        <f>AC215*1.25*'Parametros'!$B$3*(AB215-(AC215*1.25*'Parametros'!$B$3/(0.85*'Parametros'!$B$2*H215))/2)/1000000</f>
        <v>288.404466617647</v>
      </c>
      <c r="AH215" s="10">
        <f>N215+(AF215+AG215)/D215</f>
        <v>433.59121133429</v>
      </c>
      <c r="AI215" s="10">
        <f>MAX(O215,AH215)</f>
        <v>662.448</v>
      </c>
      <c r="AJ215" s="10">
        <f>0.17*SQRT('Parametros'!$B$2)*H215*MIN(U215,AB215)/1000</f>
        <v>198.088855822627</v>
      </c>
      <c r="AK215" s="10">
        <f>MAX(AI215/'Parametros'!$B$6-AJ215,0)</f>
        <v>685.175144177373</v>
      </c>
      <c r="AL215" s="10">
        <f>0.66*SQRT('Parametros'!$B$2)*H215*MIN(U215,AB215)/1000</f>
        <v>769.050852017258</v>
      </c>
      <c r="AM215" s="10" t="str">
        <f>IF(AK215&lt;=AL215,"CUMPLE","NO CUMPLE")</f>
        <v>CUMPLE</v>
      </c>
      <c r="AN215" s="17" t="inlineStr">
        <is>
          <t>Nº4 cerrado</t>
        </is>
      </c>
      <c r="AO215" s="31" t="n">
        <v>4</v>
      </c>
      <c r="AP215" s="10">
        <f>ROUNDDOWN(MIN(IF(BC215+BD215=0,1000000000,AO215*BB215/(BC215+BD215)),MIN(U215,AB215)/4,8*'Parametros'!$B$12,24*BA215,300,IF(AV215=0,1000000000,2*((H215-2*('Parametros'!$B$7+'Parametros'!$B$9/2))+(I215-2*('Parametros'!$B$7+'Parametros'!$B$9/2)))/8))/10,0)*10</f>
        <v>120</v>
      </c>
      <c r="AQ215" s="10">
        <f>ROUNDDOWN(MIN(IF(BC215+BD215=0,1000000000,AO215*BB215/(BC215+BD215)),IF(AK215&gt;0.33*SQRT('Parametros'!$B$2)*H215*MIN(U215,AB215)/1000,MIN(U215,AB215)/4,MIN(U215,AB215)/2),600,IF(AV215=0,1000000000,2*((H215-2*('Parametros'!$B$7+'Parametros'!$B$9/2))+(I215-2*('Parametros'!$B$7+'Parametros'!$B$9/2)))/8))/10,0)*10</f>
        <v>120</v>
      </c>
      <c r="AR215" s="10">
        <f>'Parametros'!$B$6*(AJ215+MAX(BE215-BD215,0)*'Parametros'!$B$4*MIN(U215,AB215)/1000)</f>
        <v>724.524765662388</v>
      </c>
      <c r="AS215" s="10" t="str">
        <f>IF(AND(ISERROR(SEARCH("referencia",AN215)),AM215="CUMPLE",AR215&gt;=AI215),"CUMPLE","NO CUMPLE")</f>
        <v>CUMPLE</v>
      </c>
      <c r="AT215" s="10">
        <f>'Parametros'!$B$6*0.083*SQRT('Parametros'!$B$2)*(H215*I215)^2/(2*(H215+I215))/1000000</f>
        <v>10.0887830333379</v>
      </c>
      <c r="AU215" s="10" t="str">
        <f>IF(Q215&lt;=AT215,"DESPRECIABLE","DISEÑAR")</f>
        <v>DISEÑAR</v>
      </c>
      <c r="AV215" s="10">
        <f>IF(Q215&lt;=AT215,0,Q215*1000000/('Parametros'!$B$6*2*0.85*(H215-2*('Parametros'!$B$7+'Parametros'!$B$9/2))*(I215-2*('Parametros'!$B$7+'Parametros'!$B$9/2))*'Parametros'!$B$4))</f>
        <v>0.28176817386388</v>
      </c>
      <c r="AW215" s="10">
        <f>AV215*2*((H215-2*('Parametros'!$B$7+'Parametros'!$B$9/2))+(I215-2*('Parametros'!$B$7+'Parametros'!$B$9/2)))*'Parametros'!$B$4/'Parametros'!$B$3</f>
        <v>459.056708859033</v>
      </c>
      <c r="AX215" s="31" t="n">
        <v>8</v>
      </c>
      <c r="AY215" s="10" t="str">
        <f>IF(AV215=0,"DESPRECIABLE",IF(AND(ISERROR(SEARCH("referencia",AN215)),BB215/AP215&gt;=AV215,BI215&gt;=AW215,BH215="CUMPLE"),"CUMPLE","NO CUMPLE"))</f>
        <v>CUMPLE</v>
      </c>
      <c r="AZ215" s="10" t="str">
        <f>IF(AND(X215="CUMPLE",AE215="CUMPLE",AS215="CUMPLE",OR(AY215="CUMPLE",AY215="DESPRECIABLE"),BH215="CUMPLE",BJ215="CUMPLE"),"CUMPLE","NO CUMPLE")</f>
        <v>CUMPLE</v>
      </c>
      <c r="BA215" s="32" t="n">
        <v>12.7</v>
      </c>
      <c r="BB215" s="32" t="n">
        <v>129</v>
      </c>
      <c r="BC215" s="10">
        <f>MAX(IF(AK215=0,0,AK215*1000/('Parametros'!$B$4*MIN(U215,AB215))),MAX(0.062*SQRT('Parametros'!$B$2)*H215/'Parametros'!$B$4,0.35*H215/'Parametros'!$B$4))</f>
        <v>3.33374760580057</v>
      </c>
      <c r="BD215" s="10">
        <f>2*AV215</f>
        <v>0.563536347727759</v>
      </c>
      <c r="BE215" s="10">
        <f>AO215*BB215/AP215</f>
        <v>4.3</v>
      </c>
      <c r="BF215" s="10">
        <f>SQRT((AI215*1000/(H215*MIN(U215,AB215)))^2+(Q215*1000000*2*((H215-2*('Parametros'!$B$7+'Parametros'!$B$9/2))+(I215-2*('Parametros'!$B$7+'Parametros'!$B$9/2)))/(1.7*((H215-2*('Parametros'!$B$7+'Parametros'!$B$9/2))*(I215-2*('Parametros'!$B$7+'Parametros'!$B$9/2)))^2))^2)</f>
        <v>3.13576641733631</v>
      </c>
      <c r="BG215" s="10">
        <f>'Parametros'!$B$6*(AJ215*1000/(H215*MIN(U215,AB215))+0.66*SQRT('Parametros'!$B$2))</f>
        <v>3.29396038227542</v>
      </c>
      <c r="BH215" s="10" t="str">
        <f>IF(BF215&lt;=BG215,"CUMPLE","NO CUMPLE")</f>
        <v>CUMPLE</v>
      </c>
      <c r="BI215" s="10">
        <f>AX215*'Parametros'!$B$8</f>
        <v>1592</v>
      </c>
      <c r="BJ215" s="10" t="str">
        <f>IF(BI215&gt;=AW215,"CUMPLE","NO CUMPLE")</f>
        <v>CUMPLE</v>
      </c>
    </row>
    <row r="216">
      <c r="A216" s="21" t="inlineStr">
        <is>
          <t>VC7</t>
        </is>
      </c>
      <c r="B216" s="21" t="inlineStr">
        <is>
          <t>275</t>
        </is>
      </c>
      <c r="C216" s="10" t="n">
        <v>1</v>
      </c>
      <c r="D216" s="10" t="n">
        <v>2.05</v>
      </c>
      <c r="E216" s="10" t="n">
        <v>2.05</v>
      </c>
      <c r="F216" s="10" t="n">
        <v>450</v>
      </c>
      <c r="G216" s="10" t="n">
        <v>550</v>
      </c>
      <c r="H216" s="17" t="n">
        <v>450</v>
      </c>
      <c r="I216" s="17" t="n">
        <v>550</v>
      </c>
      <c r="J216" s="30" t="n">
        <v>196.595</v>
      </c>
      <c r="K216" s="10" t="inlineStr">
        <is>
          <t>275</t>
        </is>
      </c>
      <c r="L216" s="30" t="n">
        <v>181.4172</v>
      </c>
      <c r="M216" s="10" t="inlineStr">
        <is>
          <t>275</t>
        </is>
      </c>
      <c r="N216" s="30" t="n">
        <v>151.919</v>
      </c>
      <c r="O216" s="30" t="n">
        <v>662.998</v>
      </c>
      <c r="P216" s="10" t="inlineStr">
        <is>
          <t>275</t>
        </is>
      </c>
      <c r="Q216" s="30" t="n">
        <v>24.6965</v>
      </c>
      <c r="R216" s="10">
        <f>MAX(MAX(1.4/'Parametros'!$B$3,0.25*SQRT('Parametros'!$B$2)/'Parametros'!$B$3)*H216*U216,(0.85*'Parametros'!$B$2/'Parametros'!$B$3)*(1-SQRT(1-2*(J216*1000000/('Parametros'!$B$5*H216*U216^2))/(0.85*'Parametros'!$B$2)))*H216*U216)</f>
        <v>1112.40686441695</v>
      </c>
      <c r="S216" s="31" t="n">
        <v>6</v>
      </c>
      <c r="T216" s="32" t="n">
        <v>1</v>
      </c>
      <c r="U216" s="10">
        <f>IF(T216=1,I216-('Parametros'!$B$7+'Parametros'!$B$9+'Parametros'!$B$12/2),I216-(ROUNDUP(S216/2,0)*('Parametros'!$B$7+'Parametros'!$B$9+'Parametros'!$B$12/2)+ROUNDDOWN(S216/2,0)*('Parametros'!$B$7+'Parametros'!$B$9+'Parametros'!$B$12/2+'Parametros'!$B$12+'Parametros'!$B$10))/S216)</f>
        <v>489.35</v>
      </c>
      <c r="V216" s="10">
        <f>S216*'Parametros'!$B$8</f>
        <v>1194</v>
      </c>
      <c r="W216" s="10">
        <f>'Parametros'!$B$5*V216*'Parametros'!$B$3*(U216-(V216*'Parametros'!$B$3/(0.85*'Parametros'!$B$2*H216))/2)/1000000</f>
        <v>210.292835611765</v>
      </c>
      <c r="X216" s="10" t="str">
        <f>IF(W216&gt;=J216,"CUMPLE","NO CUMPLE")</f>
        <v>CUMPLE</v>
      </c>
      <c r="Y216" s="10">
        <f>MAX(MAX(1.4/'Parametros'!$B$3,0.25*SQRT('Parametros'!$B$2)/'Parametros'!$B$3)*H216*AB216,(0.85*'Parametros'!$B$2/'Parametros'!$B$3)*(1-SQRT(1-2*(L216*1000000/('Parametros'!$B$5*H216*AB216^2))/(0.85*'Parametros'!$B$2)))*H216*AB216)</f>
        <v>1022.67680657757</v>
      </c>
      <c r="Z216" s="31" t="n">
        <v>6</v>
      </c>
      <c r="AA216" s="32" t="n">
        <v>1</v>
      </c>
      <c r="AB216" s="10">
        <f>IF(AA216=1,I216-('Parametros'!$B$7+'Parametros'!$B$9+'Parametros'!$B$12/2),I216-(ROUNDUP(Z216/2,0)*('Parametros'!$B$7+'Parametros'!$B$9+'Parametros'!$B$12/2)+ROUNDDOWN(Z216/2,0)*('Parametros'!$B$7+'Parametros'!$B$9+'Parametros'!$B$12/2+'Parametros'!$B$12+'Parametros'!$B$10))/Z216)</f>
        <v>489.35</v>
      </c>
      <c r="AC216" s="10">
        <f>Z216*'Parametros'!$B$8</f>
        <v>1194</v>
      </c>
      <c r="AD216" s="10">
        <f>'Parametros'!$B$5*AC216*'Parametros'!$B$3*(AB216-(AC216*'Parametros'!$B$3/(0.85*'Parametros'!$B$2*H216))/2)/1000000</f>
        <v>210.292835611765</v>
      </c>
      <c r="AE216" s="10" t="str">
        <f>IF(AD216&gt;=L216,"CUMPLE","NO CUMPLE")</f>
        <v>CUMPLE</v>
      </c>
      <c r="AF216" s="10">
        <f>V216*1.25*'Parametros'!$B$3*(U216-(V216*1.25*'Parametros'!$B$3/(0.85*'Parametros'!$B$2*H216))/2)/1000000</f>
        <v>288.404466617647</v>
      </c>
      <c r="AG216" s="10">
        <f>AC216*1.25*'Parametros'!$B$3*(AB216-(AC216*1.25*'Parametros'!$B$3/(0.85*'Parametros'!$B$2*H216))/2)/1000000</f>
        <v>288.404466617647</v>
      </c>
      <c r="AH216" s="10">
        <f>N216+(AF216+AG216)/D216</f>
        <v>433.28921133429</v>
      </c>
      <c r="AI216" s="10">
        <f>MAX(O216,AH216)</f>
        <v>662.998</v>
      </c>
      <c r="AJ216" s="10">
        <f>0.17*SQRT('Parametros'!$B$2)*H216*MIN(U216,AB216)/1000</f>
        <v>198.088855822627</v>
      </c>
      <c r="AK216" s="10">
        <f>MAX(AI216/'Parametros'!$B$6-AJ216,0)</f>
        <v>685.908477510706</v>
      </c>
      <c r="AL216" s="10">
        <f>0.66*SQRT('Parametros'!$B$2)*H216*MIN(U216,AB216)/1000</f>
        <v>769.050852017258</v>
      </c>
      <c r="AM216" s="10" t="str">
        <f>IF(AK216&lt;=AL216,"CUMPLE","NO CUMPLE")</f>
        <v>CUMPLE</v>
      </c>
      <c r="AN216" s="17" t="inlineStr">
        <is>
          <t>Nº4 cerrado</t>
        </is>
      </c>
      <c r="AO216" s="31" t="n">
        <v>4</v>
      </c>
      <c r="AP216" s="10">
        <f>ROUNDDOWN(MIN(IF(BC216+BD216=0,1000000000,AO216*BB216/(BC216+BD216)),MIN(U216,AB216)/4,8*'Parametros'!$B$12,24*BA216,300,IF(AV216=0,1000000000,2*((H216-2*('Parametros'!$B$7+'Parametros'!$B$9/2))+(I216-2*('Parametros'!$B$7+'Parametros'!$B$9/2)))/8))/10,0)*10</f>
        <v>120</v>
      </c>
      <c r="AQ216" s="10">
        <f>ROUNDDOWN(MIN(IF(BC216+BD216=0,1000000000,AO216*BB216/(BC216+BD216)),IF(AK216&gt;0.33*SQRT('Parametros'!$B$2)*H216*MIN(U216,AB216)/1000,MIN(U216,AB216)/4,MIN(U216,AB216)/2),600,IF(AV216=0,1000000000,2*((H216-2*('Parametros'!$B$7+'Parametros'!$B$9/2))+(I216-2*('Parametros'!$B$7+'Parametros'!$B$9/2)))/8))/10,0)*10</f>
        <v>120</v>
      </c>
      <c r="AR216" s="10">
        <f>'Parametros'!$B$6*(AJ216+MAX(BE216-BD216,0)*'Parametros'!$B$4*MIN(U216,AB216)/1000)</f>
        <v>724.374667267354</v>
      </c>
      <c r="AS216" s="10" t="str">
        <f>IF(AND(ISERROR(SEARCH("referencia",AN216)),AM216="CUMPLE",AR216&gt;=AI216),"CUMPLE","NO CUMPLE")</f>
        <v>CUMPLE</v>
      </c>
      <c r="AT216" s="10">
        <f>'Parametros'!$B$6*0.083*SQRT('Parametros'!$B$2)*(H216*I216)^2/(2*(H216+I216))/1000000</f>
        <v>10.0887830333379</v>
      </c>
      <c r="AU216" s="10" t="str">
        <f>IF(Q216&lt;=AT216,"DESPRECIABLE","DISEÑAR")</f>
        <v>DISEÑAR</v>
      </c>
      <c r="AV216" s="10">
        <f>IF(Q216&lt;=AT216,0,Q216*1000000/('Parametros'!$B$6*2*0.85*(H216-2*('Parametros'!$B$7+'Parametros'!$B$9/2))*(I216-2*('Parametros'!$B$7+'Parametros'!$B$9/2))*'Parametros'!$B$4))</f>
        <v>0.282255047105298</v>
      </c>
      <c r="AW216" s="10">
        <f>AV216*2*((H216-2*('Parametros'!$B$7+'Parametros'!$B$9/2))+(I216-2*('Parametros'!$B$7+'Parametros'!$B$9/2)))*'Parametros'!$B$4/'Parametros'!$B$3</f>
        <v>459.849922743951</v>
      </c>
      <c r="AX216" s="31" t="n">
        <v>8</v>
      </c>
      <c r="AY216" s="10" t="str">
        <f>IF(AV216=0,"DESPRECIABLE",IF(AND(ISERROR(SEARCH("referencia",AN216)),BB216/AP216&gt;=AV216,BI216&gt;=AW216,BH216="CUMPLE"),"CUMPLE","NO CUMPLE"))</f>
        <v>CUMPLE</v>
      </c>
      <c r="AZ216" s="10" t="str">
        <f>IF(AND(X216="CUMPLE",AE216="CUMPLE",AS216="CUMPLE",OR(AY216="CUMPLE",AY216="DESPRECIABLE"),BH216="CUMPLE",BJ216="CUMPLE"),"CUMPLE","NO CUMPLE")</f>
        <v>CUMPLE</v>
      </c>
      <c r="BA216" s="32" t="n">
        <v>12.7</v>
      </c>
      <c r="BB216" s="32" t="n">
        <v>129</v>
      </c>
      <c r="BC216" s="10">
        <f>MAX(IF(AK216=0,0,AK216*1000/('Parametros'!$B$4*MIN(U216,AB216))),MAX(0.062*SQRT('Parametros'!$B$2)*H216/'Parametros'!$B$4,0.35*H216/'Parametros'!$B$4))</f>
        <v>3.33731566903962</v>
      </c>
      <c r="BD216" s="10">
        <f>2*AV216</f>
        <v>0.564510094210596</v>
      </c>
      <c r="BE216" s="10">
        <f>AO216*BB216/AP216</f>
        <v>4.3</v>
      </c>
      <c r="BF216" s="10">
        <f>SQRT((AI216*1000/(H216*MIN(U216,AB216)))^2+(Q216*1000000*2*((H216-2*('Parametros'!$B$7+'Parametros'!$B$9/2))+(I216-2*('Parametros'!$B$7+'Parametros'!$B$9/2)))/(1.7*((H216-2*('Parametros'!$B$7+'Parametros'!$B$9/2))*(I216-2*('Parametros'!$B$7+'Parametros'!$B$9/2)))^2))^2)</f>
        <v>3.13859420311856</v>
      </c>
      <c r="BG216" s="10">
        <f>'Parametros'!$B$6*(AJ216*1000/(H216*MIN(U216,AB216))+0.66*SQRT('Parametros'!$B$2))</f>
        <v>3.29396038227542</v>
      </c>
      <c r="BH216" s="10" t="str">
        <f>IF(BF216&lt;=BG216,"CUMPLE","NO CUMPLE")</f>
        <v>CUMPLE</v>
      </c>
      <c r="BI216" s="10">
        <f>AX216*'Parametros'!$B$8</f>
        <v>1592</v>
      </c>
      <c r="BJ216" s="10" t="str">
        <f>IF(BI216&gt;=AW216,"CUMPLE","NO CUMPLE")</f>
        <v>CUMPLE</v>
      </c>
    </row>
    <row r="217">
      <c r="A217" s="21" t="inlineStr">
        <is>
          <t>VC7</t>
        </is>
      </c>
      <c r="B217" s="21" t="inlineStr">
        <is>
          <t>276</t>
        </is>
      </c>
      <c r="C217" s="10" t="n">
        <v>1</v>
      </c>
      <c r="D217" s="10" t="n">
        <v>4.5</v>
      </c>
      <c r="E217" s="10" t="n">
        <v>4.5</v>
      </c>
      <c r="F217" s="10" t="n">
        <v>450</v>
      </c>
      <c r="G217" s="10" t="n">
        <v>550</v>
      </c>
      <c r="H217" s="17" t="n">
        <v>450</v>
      </c>
      <c r="I217" s="17" t="n">
        <v>550</v>
      </c>
      <c r="J217" s="30" t="n">
        <v>151.7793</v>
      </c>
      <c r="K217" s="10" t="inlineStr">
        <is>
          <t>276</t>
        </is>
      </c>
      <c r="L217" s="30" t="n">
        <v>128.2637</v>
      </c>
      <c r="M217" s="10" t="inlineStr">
        <is>
          <t>276</t>
        </is>
      </c>
      <c r="N217" s="30" t="n">
        <v>72.756</v>
      </c>
      <c r="O217" s="30" t="n">
        <v>265.917</v>
      </c>
      <c r="P217" s="10" t="inlineStr">
        <is>
          <t>276</t>
        </is>
      </c>
      <c r="Q217" s="30" t="n">
        <v>7.3827</v>
      </c>
      <c r="R217" s="10">
        <f>MAX(MAX(1.4/'Parametros'!$B$3,0.25*SQRT('Parametros'!$B$2)/'Parametros'!$B$3)*H217*U217,(0.85*'Parametros'!$B$2/'Parametros'!$B$3)*(1-SQRT(1-2*(J217*1000000/('Parametros'!$B$5*H217*U217^2))/(0.85*'Parametros'!$B$2)))*H217*U217)</f>
        <v>849.455529027283</v>
      </c>
      <c r="S217" s="31" t="n">
        <v>5</v>
      </c>
      <c r="T217" s="32" t="n">
        <v>1</v>
      </c>
      <c r="U217" s="10">
        <f>IF(T217=1,I217-('Parametros'!$B$7+'Parametros'!$B$9+'Parametros'!$B$12/2),I217-(ROUNDUP(S217/2,0)*('Parametros'!$B$7+'Parametros'!$B$9+'Parametros'!$B$12/2)+ROUNDDOWN(S217/2,0)*('Parametros'!$B$7+'Parametros'!$B$9+'Parametros'!$B$12/2+'Parametros'!$B$12+'Parametros'!$B$10))/S217)</f>
        <v>489.35</v>
      </c>
      <c r="V217" s="10">
        <f>S217*'Parametros'!$B$8</f>
        <v>995</v>
      </c>
      <c r="W217" s="10">
        <f>'Parametros'!$B$5*V217*'Parametros'!$B$3*(U217-(V217*'Parametros'!$B$3/(0.85*'Parametros'!$B$2*H217))/2)/1000000</f>
        <v>176.711596147059</v>
      </c>
      <c r="X217" s="10" t="str">
        <f>IF(W217&gt;=J217,"CUMPLE","NO CUMPLE")</f>
        <v>CUMPLE</v>
      </c>
      <c r="Y217" s="10">
        <f>MAX(MAX(1.4/'Parametros'!$B$3,0.25*SQRT('Parametros'!$B$2)/'Parametros'!$B$3)*H217*AB217,(0.85*'Parametros'!$B$2/'Parametros'!$B$3)*(1-SQRT(1-2*(L217*1000000/('Parametros'!$B$5*H217*AB217^2))/(0.85*'Parametros'!$B$2)))*H217*AB217)</f>
        <v>734.025</v>
      </c>
      <c r="Z217" s="31" t="n">
        <v>4</v>
      </c>
      <c r="AA217" s="32" t="n">
        <v>1</v>
      </c>
      <c r="AB217" s="10">
        <f>IF(AA217=1,I217-('Parametros'!$B$7+'Parametros'!$B$9+'Parametros'!$B$12/2),I217-(ROUNDUP(Z217/2,0)*('Parametros'!$B$7+'Parametros'!$B$9+'Parametros'!$B$12/2)+ROUNDDOWN(Z217/2,0)*('Parametros'!$B$7+'Parametros'!$B$9+'Parametros'!$B$12/2+'Parametros'!$B$12+'Parametros'!$B$10))/Z217)</f>
        <v>489.35</v>
      </c>
      <c r="AC217" s="10">
        <f>Z217*'Parametros'!$B$8</f>
        <v>796</v>
      </c>
      <c r="AD217" s="10">
        <f>'Parametros'!$B$5*AC217*'Parametros'!$B$3*(AB217-(AC217*'Parametros'!$B$3/(0.85*'Parametros'!$B$2*H217))/2)/1000000</f>
        <v>142.543330094118</v>
      </c>
      <c r="AE217" s="10" t="str">
        <f>IF(AD217&gt;=L217,"CUMPLE","NO CUMPLE")</f>
        <v>CUMPLE</v>
      </c>
      <c r="AF217" s="10">
        <f>V217*1.25*'Parametros'!$B$3*(U217-(V217*1.25*'Parametros'!$B$3/(0.85*'Parametros'!$B$2*H217))/2)/1000000</f>
        <v>242.884913970588</v>
      </c>
      <c r="AG217" s="10">
        <f>AC217*1.25*'Parametros'!$B$3*(AB217-(AC217*1.25*'Parametros'!$B$3/(0.85*'Parametros'!$B$2*H217))/2)/1000000</f>
        <v>196.346217941176</v>
      </c>
      <c r="AH217" s="10">
        <f>N217+(AF217+AG217)/D217</f>
        <v>170.362918202614</v>
      </c>
      <c r="AI217" s="10">
        <f>MAX(O217,AH217)</f>
        <v>265.917</v>
      </c>
      <c r="AJ217" s="10">
        <f>0.17*SQRT('Parametros'!$B$2)*H217*MIN(U217,AB217)/1000</f>
        <v>198.088855822627</v>
      </c>
      <c r="AK217" s="10">
        <f>MAX(AI217/'Parametros'!$B$6-AJ217,0)</f>
        <v>156.467144177373</v>
      </c>
      <c r="AL217" s="10">
        <f>0.66*SQRT('Parametros'!$B$2)*H217*MIN(U217,AB217)/1000</f>
        <v>769.050852017258</v>
      </c>
      <c r="AM217" s="10" t="str">
        <f>IF(AK217&lt;=AL217,"CUMPLE","NO CUMPLE")</f>
        <v>CUMPLE</v>
      </c>
      <c r="AN217" s="17" t="inlineStr">
        <is>
          <t>Nº3 cerrado</t>
        </is>
      </c>
      <c r="AO217" s="31" t="n">
        <v>2</v>
      </c>
      <c r="AP217" s="10">
        <f>ROUNDDOWN(MIN(IF(BC217+BD217=0,1000000000,AO217*BB217/(BC217+BD217)),MIN(U217,AB217)/4,8*'Parametros'!$B$12,24*BA217,300,IF(AV217=0,1000000000,2*((H217-2*('Parametros'!$B$7+'Parametros'!$B$9/2))+(I217-2*('Parametros'!$B$7+'Parametros'!$B$9/2)))/8))/10,0)*10</f>
        <v>120</v>
      </c>
      <c r="AQ217" s="10">
        <f>ROUNDDOWN(MIN(IF(BC217+BD217=0,1000000000,AO217*BB217/(BC217+BD217)),IF(AK217&gt;0.33*SQRT('Parametros'!$B$2)*H217*MIN(U217,AB217)/1000,MIN(U217,AB217)/4,MIN(U217,AB217)/2),600,IF(AV217=0,1000000000,2*((H217-2*('Parametros'!$B$7+'Parametros'!$B$9/2))+(I217-2*('Parametros'!$B$7+'Parametros'!$B$9/2)))/8))/10,0)*10</f>
        <v>180</v>
      </c>
      <c r="AR217" s="10">
        <f>'Parametros'!$B$6*(AJ217+MAX(BE217-BD217,0)*'Parametros'!$B$4*MIN(U217,AB217)/1000)</f>
        <v>330.97185436697</v>
      </c>
      <c r="AS217" s="10" t="str">
        <f>IF(AND(ISERROR(SEARCH("referencia",AN217)),AM217="CUMPLE",AR217&gt;=AI217),"CUMPLE","NO CUMPLE")</f>
        <v>CUMPLE</v>
      </c>
      <c r="AT217" s="10">
        <f>'Parametros'!$B$6*0.083*SQRT('Parametros'!$B$2)*(H217*I217)^2/(2*(H217+I217))/1000000</f>
        <v>10.0887830333379</v>
      </c>
      <c r="AU217" s="10" t="str">
        <f>IF(Q217&lt;=AT217,"DESPRECIABLE","DISEÑAR")</f>
        <v>DESPRECIABLE</v>
      </c>
      <c r="AV217" s="10">
        <f>IF(Q217&lt;=AT217,0,Q217*1000000/('Parametros'!$B$6*2*0.85*(H217-2*('Parametros'!$B$7+'Parametros'!$B$9/2))*(I217-2*('Parametros'!$B$7+'Parametros'!$B$9/2))*'Parametros'!$B$4))</f>
        <v>0</v>
      </c>
      <c r="AW217" s="10">
        <f>AV217*2*((H217-2*('Parametros'!$B$7+'Parametros'!$B$9/2))+(I217-2*('Parametros'!$B$7+'Parametros'!$B$9/2)))*'Parametros'!$B$4/'Parametros'!$B$3</f>
        <v>0</v>
      </c>
      <c r="AX217" s="31" t="n">
        <v>0</v>
      </c>
      <c r="AY217" s="10" t="str">
        <f>IF(AV217=0,"DESPRECIABLE",IF(AND(ISERROR(SEARCH("referencia",AN217)),BB217/AP217&gt;=AV217,BI217&gt;=AW217,BH217="CUMPLE"),"CUMPLE","NO CUMPLE"))</f>
        <v>DESPRECIABLE</v>
      </c>
      <c r="AZ217" s="10" t="str">
        <f>IF(AND(X217="CUMPLE",AE217="CUMPLE",AS217="CUMPLE",OR(AY217="CUMPLE",AY217="DESPRECIABLE"),BH217="CUMPLE",BJ217="CUMPLE"),"CUMPLE","NO CUMPLE")</f>
        <v>CUMPLE</v>
      </c>
      <c r="BA217" s="32" t="n">
        <v>9.5</v>
      </c>
      <c r="BB217" s="32" t="n">
        <v>71</v>
      </c>
      <c r="BC217" s="10">
        <f>MAX(IF(AK217=0,0,AK217*1000/('Parametros'!$B$4*MIN(U217,AB217))),MAX(0.062*SQRT('Parametros'!$B$2)*H217/'Parametros'!$B$4,0.35*H217/'Parametros'!$B$4))</f>
        <v>0.761297270808084</v>
      </c>
      <c r="BD217" s="10">
        <f>2*AV217</f>
        <v>0</v>
      </c>
      <c r="BE217" s="10">
        <f>AO217*BB217/AP217</f>
        <v>1.18333333333333</v>
      </c>
      <c r="BF217" s="10">
        <f>SQRT((AI217*1000/(H217*MIN(U217,AB217)))^2+(Q217*1000000*2*((H217-2*('Parametros'!$B$7+'Parametros'!$B$9/2))+(I217-2*('Parametros'!$B$7+'Parametros'!$B$9/2)))/(1.7*((H217-2*('Parametros'!$B$7+'Parametros'!$B$9/2))*(I217-2*('Parametros'!$B$7+'Parametros'!$B$9/2)))^2))^2)</f>
        <v>1.23631311916901</v>
      </c>
      <c r="BG217" s="10">
        <f>'Parametros'!$B$6*(AJ217*1000/(H217*MIN(U217,AB217))+0.66*SQRT('Parametros'!$B$2))</f>
        <v>3.29396038227542</v>
      </c>
      <c r="BH217" s="10" t="str">
        <f>IF(BF217&lt;=BG217,"CUMPLE","NO CUMPLE")</f>
        <v>CUMPLE</v>
      </c>
      <c r="BI217" s="10">
        <f>AX217*'Parametros'!$B$8</f>
        <v>0</v>
      </c>
      <c r="BJ217" s="10" t="str">
        <f>IF(BI217&gt;=AW217,"CUMPLE","NO CUMPLE")</f>
        <v>CUMPLE</v>
      </c>
    </row>
    <row r="218">
      <c r="A218" s="21" t="inlineStr">
        <is>
          <t>VC7</t>
        </is>
      </c>
      <c r="B218" s="21" t="inlineStr">
        <is>
          <t>277</t>
        </is>
      </c>
      <c r="C218" s="10" t="n">
        <v>1</v>
      </c>
      <c r="D218" s="10" t="n">
        <v>4.5</v>
      </c>
      <c r="E218" s="10" t="n">
        <v>4.5</v>
      </c>
      <c r="F218" s="10" t="n">
        <v>450</v>
      </c>
      <c r="G218" s="10" t="n">
        <v>550</v>
      </c>
      <c r="H218" s="17" t="n">
        <v>450</v>
      </c>
      <c r="I218" s="17" t="n">
        <v>550</v>
      </c>
      <c r="J218" s="30" t="n">
        <v>151.7739</v>
      </c>
      <c r="K218" s="10" t="inlineStr">
        <is>
          <t>277</t>
        </is>
      </c>
      <c r="L218" s="30" t="n">
        <v>128.2582</v>
      </c>
      <c r="M218" s="10" t="inlineStr">
        <is>
          <t>277</t>
        </is>
      </c>
      <c r="N218" s="30" t="n">
        <v>72.754</v>
      </c>
      <c r="O218" s="30" t="n">
        <v>265.914</v>
      </c>
      <c r="P218" s="10" t="inlineStr">
        <is>
          <t>277</t>
        </is>
      </c>
      <c r="Q218" s="30" t="n">
        <v>7.3832</v>
      </c>
      <c r="R218" s="10">
        <f>MAX(MAX(1.4/'Parametros'!$B$3,0.25*SQRT('Parametros'!$B$2)/'Parametros'!$B$3)*H218*U218,(0.85*'Parametros'!$B$2/'Parametros'!$B$3)*(1-SQRT(1-2*(J218*1000000/('Parametros'!$B$5*H218*U218^2))/(0.85*'Parametros'!$B$2)))*H218*U218)</f>
        <v>849.424203360417</v>
      </c>
      <c r="S218" s="31" t="n">
        <v>5</v>
      </c>
      <c r="T218" s="32" t="n">
        <v>1</v>
      </c>
      <c r="U218" s="10">
        <f>IF(T218=1,I218-('Parametros'!$B$7+'Parametros'!$B$9+'Parametros'!$B$12/2),I218-(ROUNDUP(S218/2,0)*('Parametros'!$B$7+'Parametros'!$B$9+'Parametros'!$B$12/2)+ROUNDDOWN(S218/2,0)*('Parametros'!$B$7+'Parametros'!$B$9+'Parametros'!$B$12/2+'Parametros'!$B$12+'Parametros'!$B$10))/S218)</f>
        <v>489.35</v>
      </c>
      <c r="V218" s="10">
        <f>S218*'Parametros'!$B$8</f>
        <v>995</v>
      </c>
      <c r="W218" s="10">
        <f>'Parametros'!$B$5*V218*'Parametros'!$B$3*(U218-(V218*'Parametros'!$B$3/(0.85*'Parametros'!$B$2*H218))/2)/1000000</f>
        <v>176.711596147059</v>
      </c>
      <c r="X218" s="10" t="str">
        <f>IF(W218&gt;=J218,"CUMPLE","NO CUMPLE")</f>
        <v>CUMPLE</v>
      </c>
      <c r="Y218" s="10">
        <f>MAX(MAX(1.4/'Parametros'!$B$3,0.25*SQRT('Parametros'!$B$2)/'Parametros'!$B$3)*H218*AB218,(0.85*'Parametros'!$B$2/'Parametros'!$B$3)*(1-SQRT(1-2*(L218*1000000/('Parametros'!$B$5*H218*AB218^2))/(0.85*'Parametros'!$B$2)))*H218*AB218)</f>
        <v>734.025</v>
      </c>
      <c r="Z218" s="31" t="n">
        <v>4</v>
      </c>
      <c r="AA218" s="32" t="n">
        <v>1</v>
      </c>
      <c r="AB218" s="10">
        <f>IF(AA218=1,I218-('Parametros'!$B$7+'Parametros'!$B$9+'Parametros'!$B$12/2),I218-(ROUNDUP(Z218/2,0)*('Parametros'!$B$7+'Parametros'!$B$9+'Parametros'!$B$12/2)+ROUNDDOWN(Z218/2,0)*('Parametros'!$B$7+'Parametros'!$B$9+'Parametros'!$B$12/2+'Parametros'!$B$12+'Parametros'!$B$10))/Z218)</f>
        <v>489.35</v>
      </c>
      <c r="AC218" s="10">
        <f>Z218*'Parametros'!$B$8</f>
        <v>796</v>
      </c>
      <c r="AD218" s="10">
        <f>'Parametros'!$B$5*AC218*'Parametros'!$B$3*(AB218-(AC218*'Parametros'!$B$3/(0.85*'Parametros'!$B$2*H218))/2)/1000000</f>
        <v>142.543330094118</v>
      </c>
      <c r="AE218" s="10" t="str">
        <f>IF(AD218&gt;=L218,"CUMPLE","NO CUMPLE")</f>
        <v>CUMPLE</v>
      </c>
      <c r="AF218" s="10">
        <f>V218*1.25*'Parametros'!$B$3*(U218-(V218*1.25*'Parametros'!$B$3/(0.85*'Parametros'!$B$2*H218))/2)/1000000</f>
        <v>242.884913970588</v>
      </c>
      <c r="AG218" s="10">
        <f>AC218*1.25*'Parametros'!$B$3*(AB218-(AC218*1.25*'Parametros'!$B$3/(0.85*'Parametros'!$B$2*H218))/2)/1000000</f>
        <v>196.346217941176</v>
      </c>
      <c r="AH218" s="10">
        <f>N218+(AF218+AG218)/D218</f>
        <v>170.360918202614</v>
      </c>
      <c r="AI218" s="10">
        <f>MAX(O218,AH218)</f>
        <v>265.914</v>
      </c>
      <c r="AJ218" s="10">
        <f>0.17*SQRT('Parametros'!$B$2)*H218*MIN(U218,AB218)/1000</f>
        <v>198.088855822627</v>
      </c>
      <c r="AK218" s="10">
        <f>MAX(AI218/'Parametros'!$B$6-AJ218,0)</f>
        <v>156.463144177373</v>
      </c>
      <c r="AL218" s="10">
        <f>0.66*SQRT('Parametros'!$B$2)*H218*MIN(U218,AB218)/1000</f>
        <v>769.050852017258</v>
      </c>
      <c r="AM218" s="10" t="str">
        <f>IF(AK218&lt;=AL218,"CUMPLE","NO CUMPLE")</f>
        <v>CUMPLE</v>
      </c>
      <c r="AN218" s="17" t="inlineStr">
        <is>
          <t>Nº3 cerrado</t>
        </is>
      </c>
      <c r="AO218" s="31" t="n">
        <v>2</v>
      </c>
      <c r="AP218" s="10">
        <f>ROUNDDOWN(MIN(IF(BC218+BD218=0,1000000000,AO218*BB218/(BC218+BD218)),MIN(U218,AB218)/4,8*'Parametros'!$B$12,24*BA218,300,IF(AV218=0,1000000000,2*((H218-2*('Parametros'!$B$7+'Parametros'!$B$9/2))+(I218-2*('Parametros'!$B$7+'Parametros'!$B$9/2)))/8))/10,0)*10</f>
        <v>120</v>
      </c>
      <c r="AQ218" s="10">
        <f>ROUNDDOWN(MIN(IF(BC218+BD218=0,1000000000,AO218*BB218/(BC218+BD218)),IF(AK218&gt;0.33*SQRT('Parametros'!$B$2)*H218*MIN(U218,AB218)/1000,MIN(U218,AB218)/4,MIN(U218,AB218)/2),600,IF(AV218=0,1000000000,2*((H218-2*('Parametros'!$B$7+'Parametros'!$B$9/2))+(I218-2*('Parametros'!$B$7+'Parametros'!$B$9/2)))/8))/10,0)*10</f>
        <v>180</v>
      </c>
      <c r="AR218" s="10">
        <f>'Parametros'!$B$6*(AJ218+MAX(BE218-BD218,0)*'Parametros'!$B$4*MIN(U218,AB218)/1000)</f>
        <v>330.97185436697</v>
      </c>
      <c r="AS218" s="10" t="str">
        <f>IF(AND(ISERROR(SEARCH("referencia",AN218)),AM218="CUMPLE",AR218&gt;=AI218),"CUMPLE","NO CUMPLE")</f>
        <v>CUMPLE</v>
      </c>
      <c r="AT218" s="10">
        <f>'Parametros'!$B$6*0.083*SQRT('Parametros'!$B$2)*(H218*I218)^2/(2*(H218+I218))/1000000</f>
        <v>10.0887830333379</v>
      </c>
      <c r="AU218" s="10" t="str">
        <f>IF(Q218&lt;=AT218,"DESPRECIABLE","DISEÑAR")</f>
        <v>DESPRECIABLE</v>
      </c>
      <c r="AV218" s="10">
        <f>IF(Q218&lt;=AT218,0,Q218*1000000/('Parametros'!$B$6*2*0.85*(H218-2*('Parametros'!$B$7+'Parametros'!$B$9/2))*(I218-2*('Parametros'!$B$7+'Parametros'!$B$9/2))*'Parametros'!$B$4))</f>
        <v>0</v>
      </c>
      <c r="AW218" s="10">
        <f>AV218*2*((H218-2*('Parametros'!$B$7+'Parametros'!$B$9/2))+(I218-2*('Parametros'!$B$7+'Parametros'!$B$9/2)))*'Parametros'!$B$4/'Parametros'!$B$3</f>
        <v>0</v>
      </c>
      <c r="AX218" s="31" t="n">
        <v>0</v>
      </c>
      <c r="AY218" s="10" t="str">
        <f>IF(AV218=0,"DESPRECIABLE",IF(AND(ISERROR(SEARCH("referencia",AN218)),BB218/AP218&gt;=AV218,BI218&gt;=AW218,BH218="CUMPLE"),"CUMPLE","NO CUMPLE"))</f>
        <v>DESPRECIABLE</v>
      </c>
      <c r="AZ218" s="10" t="str">
        <f>IF(AND(X218="CUMPLE",AE218="CUMPLE",AS218="CUMPLE",OR(AY218="CUMPLE",AY218="DESPRECIABLE"),BH218="CUMPLE",BJ218="CUMPLE"),"CUMPLE","NO CUMPLE")</f>
        <v>CUMPLE</v>
      </c>
      <c r="BA218" s="32" t="n">
        <v>9.5</v>
      </c>
      <c r="BB218" s="32" t="n">
        <v>71</v>
      </c>
      <c r="BC218" s="10">
        <f>MAX(IF(AK218=0,0,AK218*1000/('Parametros'!$B$4*MIN(U218,AB218))),MAX(0.062*SQRT('Parametros'!$B$2)*H218/'Parametros'!$B$4,0.35*H218/'Parametros'!$B$4))</f>
        <v>0.761277808644961</v>
      </c>
      <c r="BD218" s="10">
        <f>2*AV218</f>
        <v>0</v>
      </c>
      <c r="BE218" s="10">
        <f>AO218*BB218/AP218</f>
        <v>1.18333333333333</v>
      </c>
      <c r="BF218" s="10">
        <f>SQRT((AI218*1000/(H218*MIN(U218,AB218)))^2+(Q218*1000000*2*((H218-2*('Parametros'!$B$7+'Parametros'!$B$9/2))+(I218-2*('Parametros'!$B$7+'Parametros'!$B$9/2)))/(1.7*((H218-2*('Parametros'!$B$7+'Parametros'!$B$9/2))*(I218-2*('Parametros'!$B$7+'Parametros'!$B$9/2)))^2))^2)</f>
        <v>1.23630365993737</v>
      </c>
      <c r="BG218" s="10">
        <f>'Parametros'!$B$6*(AJ218*1000/(H218*MIN(U218,AB218))+0.66*SQRT('Parametros'!$B$2))</f>
        <v>3.29396038227542</v>
      </c>
      <c r="BH218" s="10" t="str">
        <f>IF(BF218&lt;=BG218,"CUMPLE","NO CUMPLE")</f>
        <v>CUMPLE</v>
      </c>
      <c r="BI218" s="10">
        <f>AX218*'Parametros'!$B$8</f>
        <v>0</v>
      </c>
      <c r="BJ218" s="10" t="str">
        <f>IF(BI218&gt;=AW218,"CUMPLE","NO CUMPLE")</f>
        <v>CUMPLE</v>
      </c>
    </row>
    <row r="219">
      <c r="A219" s="21" t="inlineStr">
        <is>
          <t>VC7</t>
        </is>
      </c>
      <c r="B219" s="21" t="inlineStr">
        <is>
          <t>278</t>
        </is>
      </c>
      <c r="C219" s="10" t="n">
        <v>1</v>
      </c>
      <c r="D219" s="10" t="n">
        <v>2.05</v>
      </c>
      <c r="E219" s="10" t="n">
        <v>2.05</v>
      </c>
      <c r="F219" s="10" t="n">
        <v>450</v>
      </c>
      <c r="G219" s="10" t="n">
        <v>550</v>
      </c>
      <c r="H219" s="17" t="n">
        <v>450</v>
      </c>
      <c r="I219" s="17" t="n">
        <v>550</v>
      </c>
      <c r="J219" s="30" t="n">
        <v>196.5897</v>
      </c>
      <c r="K219" s="10" t="inlineStr">
        <is>
          <t>278</t>
        </is>
      </c>
      <c r="L219" s="30" t="n">
        <v>181.4127</v>
      </c>
      <c r="M219" s="10" t="inlineStr">
        <is>
          <t>278</t>
        </is>
      </c>
      <c r="N219" s="30" t="n">
        <v>151.915</v>
      </c>
      <c r="O219" s="30" t="n">
        <v>662.994</v>
      </c>
      <c r="P219" s="10" t="inlineStr">
        <is>
          <t>278</t>
        </is>
      </c>
      <c r="Q219" s="30" t="n">
        <v>24.6974</v>
      </c>
      <c r="R219" s="10">
        <f>MAX(MAX(1.4/'Parametros'!$B$3,0.25*SQRT('Parametros'!$B$2)/'Parametros'!$B$3)*H219*U219,(0.85*'Parametros'!$B$2/'Parametros'!$B$3)*(1-SQRT(1-2*(J219*1000000/('Parametros'!$B$5*H219*U219^2))/(0.85*'Parametros'!$B$2)))*H219*U219)</f>
        <v>1112.37540756165</v>
      </c>
      <c r="S219" s="31" t="n">
        <v>6</v>
      </c>
      <c r="T219" s="32" t="n">
        <v>1</v>
      </c>
      <c r="U219" s="10">
        <f>IF(T219=1,I219-('Parametros'!$B$7+'Parametros'!$B$9+'Parametros'!$B$12/2),I219-(ROUNDUP(S219/2,0)*('Parametros'!$B$7+'Parametros'!$B$9+'Parametros'!$B$12/2)+ROUNDDOWN(S219/2,0)*('Parametros'!$B$7+'Parametros'!$B$9+'Parametros'!$B$12/2+'Parametros'!$B$12+'Parametros'!$B$10))/S219)</f>
        <v>489.35</v>
      </c>
      <c r="V219" s="10">
        <f>S219*'Parametros'!$B$8</f>
        <v>1194</v>
      </c>
      <c r="W219" s="10">
        <f>'Parametros'!$B$5*V219*'Parametros'!$B$3*(U219-(V219*'Parametros'!$B$3/(0.85*'Parametros'!$B$2*H219))/2)/1000000</f>
        <v>210.292835611765</v>
      </c>
      <c r="X219" s="10" t="str">
        <f>IF(W219&gt;=J219,"CUMPLE","NO CUMPLE")</f>
        <v>CUMPLE</v>
      </c>
      <c r="Y219" s="10">
        <f>MAX(MAX(1.4/'Parametros'!$B$3,0.25*SQRT('Parametros'!$B$2)/'Parametros'!$B$3)*H219*AB219,(0.85*'Parametros'!$B$2/'Parametros'!$B$3)*(1-SQRT(1-2*(L219*1000000/('Parametros'!$B$5*H219*AB219^2))/(0.85*'Parametros'!$B$2)))*H219*AB219)</f>
        <v>1022.65030712312</v>
      </c>
      <c r="Z219" s="31" t="n">
        <v>6</v>
      </c>
      <c r="AA219" s="32" t="n">
        <v>1</v>
      </c>
      <c r="AB219" s="10">
        <f>IF(AA219=1,I219-('Parametros'!$B$7+'Parametros'!$B$9+'Parametros'!$B$12/2),I219-(ROUNDUP(Z219/2,0)*('Parametros'!$B$7+'Parametros'!$B$9+'Parametros'!$B$12/2)+ROUNDDOWN(Z219/2,0)*('Parametros'!$B$7+'Parametros'!$B$9+'Parametros'!$B$12/2+'Parametros'!$B$12+'Parametros'!$B$10))/Z219)</f>
        <v>489.35</v>
      </c>
      <c r="AC219" s="10">
        <f>Z219*'Parametros'!$B$8</f>
        <v>1194</v>
      </c>
      <c r="AD219" s="10">
        <f>'Parametros'!$B$5*AC219*'Parametros'!$B$3*(AB219-(AC219*'Parametros'!$B$3/(0.85*'Parametros'!$B$2*H219))/2)/1000000</f>
        <v>210.292835611765</v>
      </c>
      <c r="AE219" s="10" t="str">
        <f>IF(AD219&gt;=L219,"CUMPLE","NO CUMPLE")</f>
        <v>CUMPLE</v>
      </c>
      <c r="AF219" s="10">
        <f>V219*1.25*'Parametros'!$B$3*(U219-(V219*1.25*'Parametros'!$B$3/(0.85*'Parametros'!$B$2*H219))/2)/1000000</f>
        <v>288.404466617647</v>
      </c>
      <c r="AG219" s="10">
        <f>AC219*1.25*'Parametros'!$B$3*(AB219-(AC219*1.25*'Parametros'!$B$3/(0.85*'Parametros'!$B$2*H219))/2)/1000000</f>
        <v>288.404466617647</v>
      </c>
      <c r="AH219" s="10">
        <f>N219+(AF219+AG219)/D219</f>
        <v>433.28521133429</v>
      </c>
      <c r="AI219" s="10">
        <f>MAX(O219,AH219)</f>
        <v>662.994</v>
      </c>
      <c r="AJ219" s="10">
        <f>0.17*SQRT('Parametros'!$B$2)*H219*MIN(U219,AB219)/1000</f>
        <v>198.088855822627</v>
      </c>
      <c r="AK219" s="10">
        <f>MAX(AI219/'Parametros'!$B$6-AJ219,0)</f>
        <v>685.903144177373</v>
      </c>
      <c r="AL219" s="10">
        <f>0.66*SQRT('Parametros'!$B$2)*H219*MIN(U219,AB219)/1000</f>
        <v>769.050852017258</v>
      </c>
      <c r="AM219" s="10" t="str">
        <f>IF(AK219&lt;=AL219,"CUMPLE","NO CUMPLE")</f>
        <v>CUMPLE</v>
      </c>
      <c r="AN219" s="17" t="inlineStr">
        <is>
          <t>Nº4 cerrado</t>
        </is>
      </c>
      <c r="AO219" s="31" t="n">
        <v>4</v>
      </c>
      <c r="AP219" s="10">
        <f>ROUNDDOWN(MIN(IF(BC219+BD219=0,1000000000,AO219*BB219/(BC219+BD219)),MIN(U219,AB219)/4,8*'Parametros'!$B$12,24*BA219,300,IF(AV219=0,1000000000,2*((H219-2*('Parametros'!$B$7+'Parametros'!$B$9/2))+(I219-2*('Parametros'!$B$7+'Parametros'!$B$9/2)))/8))/10,0)*10</f>
        <v>120</v>
      </c>
      <c r="AQ219" s="10">
        <f>ROUNDDOWN(MIN(IF(BC219+BD219=0,1000000000,AO219*BB219/(BC219+BD219)),IF(AK219&gt;0.33*SQRT('Parametros'!$B$2)*H219*MIN(U219,AB219)/1000,MIN(U219,AB219)/4,MIN(U219,AB219)/2),600,IF(AV219=0,1000000000,2*((H219-2*('Parametros'!$B$7+'Parametros'!$B$9/2))+(I219-2*('Parametros'!$B$7+'Parametros'!$B$9/2)))/8))/10,0)*10</f>
        <v>120</v>
      </c>
      <c r="AR219" s="10">
        <f>'Parametros'!$B$6*(AJ219+MAX(BE219-BD219,0)*'Parametros'!$B$4*MIN(U219,AB219)/1000)</f>
        <v>724.371496174502</v>
      </c>
      <c r="AS219" s="10" t="str">
        <f>IF(AND(ISERROR(SEARCH("referencia",AN219)),AM219="CUMPLE",AR219&gt;=AI219),"CUMPLE","NO CUMPLE")</f>
        <v>CUMPLE</v>
      </c>
      <c r="AT219" s="10">
        <f>'Parametros'!$B$6*0.083*SQRT('Parametros'!$B$2)*(H219*I219)^2/(2*(H219+I219))/1000000</f>
        <v>10.0887830333379</v>
      </c>
      <c r="AU219" s="10" t="str">
        <f>IF(Q219&lt;=AT219,"DESPRECIABLE","DISEÑAR")</f>
        <v>DISEÑAR</v>
      </c>
      <c r="AV219" s="10">
        <f>IF(Q219&lt;=AT219,0,Q219*1000000/('Parametros'!$B$6*2*0.85*(H219-2*('Parametros'!$B$7+'Parametros'!$B$9/2))*(I219-2*('Parametros'!$B$7+'Parametros'!$B$9/2))*'Parametros'!$B$4))</f>
        <v>0.282265333159694</v>
      </c>
      <c r="AW219" s="10">
        <f>AV219*2*((H219-2*('Parametros'!$B$7+'Parametros'!$B$9/2))+(I219-2*('Parametros'!$B$7+'Parametros'!$B$9/2)))*'Parametros'!$B$4/'Parametros'!$B$3</f>
        <v>459.866680783773</v>
      </c>
      <c r="AX219" s="31" t="n">
        <v>8</v>
      </c>
      <c r="AY219" s="10" t="str">
        <f>IF(AV219=0,"DESPRECIABLE",IF(AND(ISERROR(SEARCH("referencia",AN219)),BB219/AP219&gt;=AV219,BI219&gt;=AW219,BH219="CUMPLE"),"CUMPLE","NO CUMPLE"))</f>
        <v>CUMPLE</v>
      </c>
      <c r="AZ219" s="10" t="str">
        <f>IF(AND(X219="CUMPLE",AE219="CUMPLE",AS219="CUMPLE",OR(AY219="CUMPLE",AY219="DESPRECIABLE"),BH219="CUMPLE",BJ219="CUMPLE"),"CUMPLE","NO CUMPLE")</f>
        <v>CUMPLE</v>
      </c>
      <c r="BA219" s="32" t="n">
        <v>12.7</v>
      </c>
      <c r="BB219" s="32" t="n">
        <v>129</v>
      </c>
      <c r="BC219" s="10">
        <f>MAX(IF(AK219=0,0,AK219*1000/('Parametros'!$B$4*MIN(U219,AB219))),MAX(0.062*SQRT('Parametros'!$B$2)*H219/'Parametros'!$B$4,0.35*H219/'Parametros'!$B$4))</f>
        <v>3.33728971948879</v>
      </c>
      <c r="BD219" s="10">
        <f>2*AV219</f>
        <v>0.564530666319388</v>
      </c>
      <c r="BE219" s="10">
        <f>AO219*BB219/AP219</f>
        <v>4.3</v>
      </c>
      <c r="BF219" s="10">
        <f>SQRT((AI219*1000/(H219*MIN(U219,AB219)))^2+(Q219*1000000*2*((H219-2*('Parametros'!$B$7+'Parametros'!$B$9/2))+(I219-2*('Parametros'!$B$7+'Parametros'!$B$9/2)))/(1.7*((H219-2*('Parametros'!$B$7+'Parametros'!$B$9/2))*(I219-2*('Parametros'!$B$7+'Parametros'!$B$9/2)))^2))^2)</f>
        <v>3.13858590382834</v>
      </c>
      <c r="BG219" s="10">
        <f>'Parametros'!$B$6*(AJ219*1000/(H219*MIN(U219,AB219))+0.66*SQRT('Parametros'!$B$2))</f>
        <v>3.29396038227542</v>
      </c>
      <c r="BH219" s="10" t="str">
        <f>IF(BF219&lt;=BG219,"CUMPLE","NO CUMPLE")</f>
        <v>CUMPLE</v>
      </c>
      <c r="BI219" s="10">
        <f>AX219*'Parametros'!$B$8</f>
        <v>1592</v>
      </c>
      <c r="BJ219" s="10" t="str">
        <f>IF(BI219&gt;=AW219,"CUMPLE","NO CUMPLE")</f>
        <v>CUMPLE</v>
      </c>
    </row>
    <row r="220">
      <c r="A220" s="21" t="inlineStr">
        <is>
          <t>VC7</t>
        </is>
      </c>
      <c r="B220" s="21" t="inlineStr">
        <is>
          <t>829</t>
        </is>
      </c>
      <c r="C220" s="10" t="n">
        <v>1</v>
      </c>
      <c r="D220" s="10" t="n">
        <v>2.05</v>
      </c>
      <c r="E220" s="10" t="n">
        <v>2.05</v>
      </c>
      <c r="F220" s="10" t="n">
        <v>450</v>
      </c>
      <c r="G220" s="10" t="n">
        <v>550</v>
      </c>
      <c r="H220" s="17" t="n">
        <v>450</v>
      </c>
      <c r="I220" s="17" t="n">
        <v>550</v>
      </c>
      <c r="J220" s="30" t="n">
        <v>156.7475</v>
      </c>
      <c r="K220" s="10" t="inlineStr">
        <is>
          <t>829</t>
        </is>
      </c>
      <c r="L220" s="30" t="n">
        <v>141.705</v>
      </c>
      <c r="M220" s="10" t="inlineStr">
        <is>
          <t>829</t>
        </is>
      </c>
      <c r="N220" s="30" t="n">
        <v>121.896</v>
      </c>
      <c r="O220" s="30" t="n">
        <v>488.172</v>
      </c>
      <c r="P220" s="10" t="inlineStr">
        <is>
          <t>829</t>
        </is>
      </c>
      <c r="Q220" s="30" t="n">
        <v>15.1206</v>
      </c>
      <c r="R220" s="10">
        <f>MAX(MAX(1.4/'Parametros'!$B$3,0.25*SQRT('Parametros'!$B$2)/'Parametros'!$B$3)*H220*U220,(0.85*'Parametros'!$B$2/'Parametros'!$B$3)*(1-SQRT(1-2*(J220*1000000/('Parametros'!$B$5*H220*U220^2))/(0.85*'Parametros'!$B$2)))*H220*U220)</f>
        <v>878.312144583344</v>
      </c>
      <c r="S220" s="31" t="n">
        <v>5</v>
      </c>
      <c r="T220" s="32" t="n">
        <v>1</v>
      </c>
      <c r="U220" s="10">
        <f>IF(T220=1,I220-('Parametros'!$B$7+'Parametros'!$B$9+'Parametros'!$B$12/2),I220-(ROUNDUP(S220/2,0)*('Parametros'!$B$7+'Parametros'!$B$9+'Parametros'!$B$12/2)+ROUNDDOWN(S220/2,0)*('Parametros'!$B$7+'Parametros'!$B$9+'Parametros'!$B$12/2+'Parametros'!$B$12+'Parametros'!$B$10))/S220)</f>
        <v>489.35</v>
      </c>
      <c r="V220" s="10">
        <f>S220*'Parametros'!$B$8</f>
        <v>995</v>
      </c>
      <c r="W220" s="10">
        <f>'Parametros'!$B$5*V220*'Parametros'!$B$3*(U220-(V220*'Parametros'!$B$3/(0.85*'Parametros'!$B$2*H220))/2)/1000000</f>
        <v>176.711596147059</v>
      </c>
      <c r="X220" s="10" t="str">
        <f>IF(W220&gt;=J220,"CUMPLE","NO CUMPLE")</f>
        <v>CUMPLE</v>
      </c>
      <c r="Y220" s="10">
        <f>MAX(MAX(1.4/'Parametros'!$B$3,0.25*SQRT('Parametros'!$B$2)/'Parametros'!$B$3)*H220*AB220,(0.85*'Parametros'!$B$2/'Parametros'!$B$3)*(1-SQRT(1-2*(L220*1000000/('Parametros'!$B$5*H220*AB220^2))/(0.85*'Parametros'!$B$2)))*H220*AB220)</f>
        <v>791.160054376648</v>
      </c>
      <c r="Z220" s="31" t="n">
        <v>4</v>
      </c>
      <c r="AA220" s="32" t="n">
        <v>1</v>
      </c>
      <c r="AB220" s="10">
        <f>IF(AA220=1,I220-('Parametros'!$B$7+'Parametros'!$B$9+'Parametros'!$B$12/2),I220-(ROUNDUP(Z220/2,0)*('Parametros'!$B$7+'Parametros'!$B$9+'Parametros'!$B$12/2)+ROUNDDOWN(Z220/2,0)*('Parametros'!$B$7+'Parametros'!$B$9+'Parametros'!$B$12/2+'Parametros'!$B$12+'Parametros'!$B$10))/Z220)</f>
        <v>489.35</v>
      </c>
      <c r="AC220" s="10">
        <f>Z220*'Parametros'!$B$8</f>
        <v>796</v>
      </c>
      <c r="AD220" s="10">
        <f>'Parametros'!$B$5*AC220*'Parametros'!$B$3*(AB220-(AC220*'Parametros'!$B$3/(0.85*'Parametros'!$B$2*H220))/2)/1000000</f>
        <v>142.543330094118</v>
      </c>
      <c r="AE220" s="10" t="str">
        <f>IF(AD220&gt;=L220,"CUMPLE","NO CUMPLE")</f>
        <v>CUMPLE</v>
      </c>
      <c r="AF220" s="10">
        <f>V220*1.25*'Parametros'!$B$3*(U220-(V220*1.25*'Parametros'!$B$3/(0.85*'Parametros'!$B$2*H220))/2)/1000000</f>
        <v>242.884913970588</v>
      </c>
      <c r="AG220" s="10">
        <f>AC220*1.25*'Parametros'!$B$3*(AB220-(AC220*1.25*'Parametros'!$B$3/(0.85*'Parametros'!$B$2*H220))/2)/1000000</f>
        <v>196.346217941176</v>
      </c>
      <c r="AH220" s="10">
        <f>N220+(AF220+AG220)/D220</f>
        <v>336.155088737446</v>
      </c>
      <c r="AI220" s="10">
        <f>MAX(O220,AH220)</f>
        <v>488.172</v>
      </c>
      <c r="AJ220" s="10">
        <f>0.17*SQRT('Parametros'!$B$2)*H220*MIN(U220,AB220)/1000</f>
        <v>198.088855822627</v>
      </c>
      <c r="AK220" s="10">
        <f>MAX(AI220/'Parametros'!$B$6-AJ220,0)</f>
        <v>452.807144177373</v>
      </c>
      <c r="AL220" s="10">
        <f>0.66*SQRT('Parametros'!$B$2)*H220*MIN(U220,AB220)/1000</f>
        <v>769.050852017258</v>
      </c>
      <c r="AM220" s="10" t="str">
        <f>IF(AK220&lt;=AL220,"CUMPLE","NO CUMPLE")</f>
        <v>CUMPLE</v>
      </c>
      <c r="AN220" s="17" t="inlineStr">
        <is>
          <t>Nº4 cerrado</t>
        </is>
      </c>
      <c r="AO220" s="31" t="n">
        <v>2</v>
      </c>
      <c r="AP220" s="10">
        <f>ROUNDDOWN(MIN(IF(BC220+BD220=0,1000000000,AO220*BB220/(BC220+BD220)),MIN(U220,AB220)/4,8*'Parametros'!$B$12,24*BA220,300,IF(AV220=0,1000000000,2*((H220-2*('Parametros'!$B$7+'Parametros'!$B$9/2))+(I220-2*('Parametros'!$B$7+'Parametros'!$B$9/2)))/8))/10,0)*10</f>
        <v>100</v>
      </c>
      <c r="AQ220" s="10">
        <f>ROUNDDOWN(MIN(IF(BC220+BD220=0,1000000000,AO220*BB220/(BC220+BD220)),IF(AK220&gt;0.33*SQRT('Parametros'!$B$2)*H220*MIN(U220,AB220)/1000,MIN(U220,AB220)/4,MIN(U220,AB220)/2),600,IF(AV220=0,1000000000,2*((H220-2*('Parametros'!$B$7+'Parametros'!$B$9/2))+(I220-2*('Parametros'!$B$7+'Parametros'!$B$9/2)))/8))/10,0)*10</f>
        <v>100</v>
      </c>
      <c r="AR220" s="10">
        <f>'Parametros'!$B$6*(AJ220+MAX(BE220-BD220,0)*'Parametros'!$B$4*MIN(U220,AB220)/1000)</f>
        <v>492.984912877703</v>
      </c>
      <c r="AS220" s="10" t="str">
        <f>IF(AND(ISERROR(SEARCH("referencia",AN220)),AM220="CUMPLE",AR220&gt;=AI220),"CUMPLE","NO CUMPLE")</f>
        <v>CUMPLE</v>
      </c>
      <c r="AT220" s="10">
        <f>'Parametros'!$B$6*0.083*SQRT('Parametros'!$B$2)*(H220*I220)^2/(2*(H220+I220))/1000000</f>
        <v>10.0887830333379</v>
      </c>
      <c r="AU220" s="10" t="str">
        <f>IF(Q220&lt;=AT220,"DESPRECIABLE","DISEÑAR")</f>
        <v>DISEÑAR</v>
      </c>
      <c r="AV220" s="10">
        <f>IF(Q220&lt;=AT220,0,Q220*1000000/('Parametros'!$B$6*2*0.85*(H220-2*('Parametros'!$B$7+'Parametros'!$B$9/2))*(I220-2*('Parametros'!$B$7+'Parametros'!$B$9/2))*'Parametros'!$B$4))</f>
        <v>0.172812571225087</v>
      </c>
      <c r="AW220" s="10">
        <f>AV220*2*((H220-2*('Parametros'!$B$7+'Parametros'!$B$9/2))+(I220-2*('Parametros'!$B$7+'Parametros'!$B$9/2)))*'Parametros'!$B$4/'Parametros'!$B$3</f>
        <v>281.546241039912</v>
      </c>
      <c r="AX220" s="31" t="n">
        <v>8</v>
      </c>
      <c r="AY220" s="10" t="str">
        <f>IF(AV220=0,"DESPRECIABLE",IF(AND(ISERROR(SEARCH("referencia",AN220)),BB220/AP220&gt;=AV220,BI220&gt;=AW220,BH220="CUMPLE"),"CUMPLE","NO CUMPLE"))</f>
        <v>CUMPLE</v>
      </c>
      <c r="AZ220" s="10" t="str">
        <f>IF(AND(X220="CUMPLE",AE220="CUMPLE",AS220="CUMPLE",OR(AY220="CUMPLE",AY220="DESPRECIABLE"),BH220="CUMPLE",BJ220="CUMPLE"),"CUMPLE","NO CUMPLE")</f>
        <v>CUMPLE</v>
      </c>
      <c r="BA220" s="32" t="n">
        <v>12.7</v>
      </c>
      <c r="BB220" s="32" t="n">
        <v>129</v>
      </c>
      <c r="BC220" s="10">
        <f>MAX(IF(AK220=0,0,AK220*1000/('Parametros'!$B$4*MIN(U220,AB220))),MAX(0.062*SQRT('Parametros'!$B$2)*H220/'Parametros'!$B$4,0.35*H220/'Parametros'!$B$4))</f>
        <v>2.20315162571036</v>
      </c>
      <c r="BD220" s="10">
        <f>2*AV220</f>
        <v>0.345625142450174</v>
      </c>
      <c r="BE220" s="10">
        <f>AO220*BB220/AP220</f>
        <v>2.58</v>
      </c>
      <c r="BF220" s="10">
        <f>SQRT((AI220*1000/(H220*MIN(U220,AB220)))^2+(Q220*1000000*2*((H220-2*('Parametros'!$B$7+'Parametros'!$B$9/2))+(I220-2*('Parametros'!$B$7+'Parametros'!$B$9/2)))/(1.7*((H220-2*('Parametros'!$B$7+'Parametros'!$B$9/2))*(I220-2*('Parametros'!$B$7+'Parametros'!$B$9/2)))^2))^2)</f>
        <v>2.28235357139051</v>
      </c>
      <c r="BG220" s="10">
        <f>'Parametros'!$B$6*(AJ220*1000/(H220*MIN(U220,AB220))+0.66*SQRT('Parametros'!$B$2))</f>
        <v>3.29396038227542</v>
      </c>
      <c r="BH220" s="10" t="str">
        <f>IF(BF220&lt;=BG220,"CUMPLE","NO CUMPLE")</f>
        <v>CUMPLE</v>
      </c>
      <c r="BI220" s="10">
        <f>AX220*'Parametros'!$B$8</f>
        <v>1592</v>
      </c>
      <c r="BJ220" s="10" t="str">
        <f>IF(BI220&gt;=AW220,"CUMPLE","NO CUMPLE")</f>
        <v>CUMPLE</v>
      </c>
    </row>
    <row r="221">
      <c r="A221" s="21" t="inlineStr">
        <is>
          <t>VC7</t>
        </is>
      </c>
      <c r="B221" s="21" t="inlineStr">
        <is>
          <t>830</t>
        </is>
      </c>
      <c r="C221" s="10" t="n">
        <v>1</v>
      </c>
      <c r="D221" s="10" t="n">
        <v>4.5</v>
      </c>
      <c r="E221" s="10" t="n">
        <v>4.5</v>
      </c>
      <c r="F221" s="10" t="n">
        <v>450</v>
      </c>
      <c r="G221" s="10" t="n">
        <v>550</v>
      </c>
      <c r="H221" s="17" t="n">
        <v>450</v>
      </c>
      <c r="I221" s="17" t="n">
        <v>550</v>
      </c>
      <c r="J221" s="30" t="n">
        <v>133.1238</v>
      </c>
      <c r="K221" s="10" t="inlineStr">
        <is>
          <t>830</t>
        </is>
      </c>
      <c r="L221" s="30" t="n">
        <v>108.9163</v>
      </c>
      <c r="M221" s="10" t="inlineStr">
        <is>
          <t>830</t>
        </is>
      </c>
      <c r="N221" s="30" t="n">
        <v>65.304</v>
      </c>
      <c r="O221" s="30" t="n">
        <v>220.489</v>
      </c>
      <c r="P221" s="10" t="inlineStr">
        <is>
          <t>830</t>
        </is>
      </c>
      <c r="Q221" s="30" t="n">
        <v>6.8564</v>
      </c>
      <c r="R221" s="10">
        <f>MAX(MAX(1.4/'Parametros'!$B$3,0.25*SQRT('Parametros'!$B$2)/'Parametros'!$B$3)*H221*U221,(0.85*'Parametros'!$B$2/'Parametros'!$B$3)*(1-SQRT(1-2*(J221*1000000/('Parametros'!$B$5*H221*U221^2))/(0.85*'Parametros'!$B$2)))*H221*U221)</f>
        <v>741.732839873392</v>
      </c>
      <c r="S221" s="31" t="n">
        <v>4</v>
      </c>
      <c r="T221" s="32" t="n">
        <v>1</v>
      </c>
      <c r="U221" s="10">
        <f>IF(T221=1,I221-('Parametros'!$B$7+'Parametros'!$B$9+'Parametros'!$B$12/2),I221-(ROUNDUP(S221/2,0)*('Parametros'!$B$7+'Parametros'!$B$9+'Parametros'!$B$12/2)+ROUNDDOWN(S221/2,0)*('Parametros'!$B$7+'Parametros'!$B$9+'Parametros'!$B$12/2+'Parametros'!$B$12+'Parametros'!$B$10))/S221)</f>
        <v>489.35</v>
      </c>
      <c r="V221" s="10">
        <f>S221*'Parametros'!$B$8</f>
        <v>796</v>
      </c>
      <c r="W221" s="10">
        <f>'Parametros'!$B$5*V221*'Parametros'!$B$3*(U221-(V221*'Parametros'!$B$3/(0.85*'Parametros'!$B$2*H221))/2)/1000000</f>
        <v>142.543330094118</v>
      </c>
      <c r="X221" s="10" t="str">
        <f>IF(W221&gt;=J221,"CUMPLE","NO CUMPLE")</f>
        <v>CUMPLE</v>
      </c>
      <c r="Y221" s="10">
        <f>MAX(MAX(1.4/'Parametros'!$B$3,0.25*SQRT('Parametros'!$B$2)/'Parametros'!$B$3)*H221*AB221,(0.85*'Parametros'!$B$2/'Parametros'!$B$3)*(1-SQRT(1-2*(L221*1000000/('Parametros'!$B$5*H221*AB221^2))/(0.85*'Parametros'!$B$2)))*H221*AB221)</f>
        <v>734.025</v>
      </c>
      <c r="Z221" s="31" t="n">
        <v>4</v>
      </c>
      <c r="AA221" s="32" t="n">
        <v>1</v>
      </c>
      <c r="AB221" s="10">
        <f>IF(AA221=1,I221-('Parametros'!$B$7+'Parametros'!$B$9+'Parametros'!$B$12/2),I221-(ROUNDUP(Z221/2,0)*('Parametros'!$B$7+'Parametros'!$B$9+'Parametros'!$B$12/2)+ROUNDDOWN(Z221/2,0)*('Parametros'!$B$7+'Parametros'!$B$9+'Parametros'!$B$12/2+'Parametros'!$B$12+'Parametros'!$B$10))/Z221)</f>
        <v>489.35</v>
      </c>
      <c r="AC221" s="10">
        <f>Z221*'Parametros'!$B$8</f>
        <v>796</v>
      </c>
      <c r="AD221" s="10">
        <f>'Parametros'!$B$5*AC221*'Parametros'!$B$3*(AB221-(AC221*'Parametros'!$B$3/(0.85*'Parametros'!$B$2*H221))/2)/1000000</f>
        <v>142.543330094118</v>
      </c>
      <c r="AE221" s="10" t="str">
        <f>IF(AD221&gt;=L221,"CUMPLE","NO CUMPLE")</f>
        <v>CUMPLE</v>
      </c>
      <c r="AF221" s="10">
        <f>V221*1.25*'Parametros'!$B$3*(U221-(V221*1.25*'Parametros'!$B$3/(0.85*'Parametros'!$B$2*H221))/2)/1000000</f>
        <v>196.346217941176</v>
      </c>
      <c r="AG221" s="10">
        <f>AC221*1.25*'Parametros'!$B$3*(AB221-(AC221*1.25*'Parametros'!$B$3/(0.85*'Parametros'!$B$2*H221))/2)/1000000</f>
        <v>196.346217941176</v>
      </c>
      <c r="AH221" s="10">
        <f>N221+(AF221+AG221)/D221</f>
        <v>152.568985751634</v>
      </c>
      <c r="AI221" s="10">
        <f>MAX(O221,AH221)</f>
        <v>220.489</v>
      </c>
      <c r="AJ221" s="10">
        <f>0.17*SQRT('Parametros'!$B$2)*H221*MIN(U221,AB221)/1000</f>
        <v>198.088855822627</v>
      </c>
      <c r="AK221" s="10">
        <f>MAX(AI221/'Parametros'!$B$6-AJ221,0)</f>
        <v>95.8964775107064</v>
      </c>
      <c r="AL221" s="10">
        <f>0.66*SQRT('Parametros'!$B$2)*H221*MIN(U221,AB221)/1000</f>
        <v>769.050852017258</v>
      </c>
      <c r="AM221" s="10" t="str">
        <f>IF(AK221&lt;=AL221,"CUMPLE","NO CUMPLE")</f>
        <v>CUMPLE</v>
      </c>
      <c r="AN221" s="17" t="inlineStr">
        <is>
          <t>Nº3 cerrado</t>
        </is>
      </c>
      <c r="AO221" s="31" t="n">
        <v>2</v>
      </c>
      <c r="AP221" s="10">
        <f>ROUNDDOWN(MIN(IF(BC221+BD221=0,1000000000,AO221*BB221/(BC221+BD221)),MIN(U221,AB221)/4,8*'Parametros'!$B$12,24*BA221,300,IF(AV221=0,1000000000,2*((H221-2*('Parametros'!$B$7+'Parametros'!$B$9/2))+(I221-2*('Parametros'!$B$7+'Parametros'!$B$9/2)))/8))/10,0)*10</f>
        <v>120</v>
      </c>
      <c r="AQ221" s="10">
        <f>ROUNDDOWN(MIN(IF(BC221+BD221=0,1000000000,AO221*BB221/(BC221+BD221)),IF(AK221&gt;0.33*SQRT('Parametros'!$B$2)*H221*MIN(U221,AB221)/1000,MIN(U221,AB221)/4,MIN(U221,AB221)/2),600,IF(AV221=0,1000000000,2*((H221-2*('Parametros'!$B$7+'Parametros'!$B$9/2))+(I221-2*('Parametros'!$B$7+'Parametros'!$B$9/2)))/8))/10,0)*10</f>
        <v>240</v>
      </c>
      <c r="AR221" s="10">
        <f>'Parametros'!$B$6*(AJ221+MAX(BE221-BD221,0)*'Parametros'!$B$4*MIN(U221,AB221)/1000)</f>
        <v>330.97185436697</v>
      </c>
      <c r="AS221" s="10" t="str">
        <f>IF(AND(ISERROR(SEARCH("referencia",AN221)),AM221="CUMPLE",AR221&gt;=AI221),"CUMPLE","NO CUMPLE")</f>
        <v>CUMPLE</v>
      </c>
      <c r="AT221" s="10">
        <f>'Parametros'!$B$6*0.083*SQRT('Parametros'!$B$2)*(H221*I221)^2/(2*(H221+I221))/1000000</f>
        <v>10.0887830333379</v>
      </c>
      <c r="AU221" s="10" t="str">
        <f>IF(Q221&lt;=AT221,"DESPRECIABLE","DISEÑAR")</f>
        <v>DESPRECIABLE</v>
      </c>
      <c r="AV221" s="10">
        <f>IF(Q221&lt;=AT221,0,Q221*1000000/('Parametros'!$B$6*2*0.85*(H221-2*('Parametros'!$B$7+'Parametros'!$B$9/2))*(I221-2*('Parametros'!$B$7+'Parametros'!$B$9/2))*'Parametros'!$B$4))</f>
        <v>0</v>
      </c>
      <c r="AW221" s="10">
        <f>AV221*2*((H221-2*('Parametros'!$B$7+'Parametros'!$B$9/2))+(I221-2*('Parametros'!$B$7+'Parametros'!$B$9/2)))*'Parametros'!$B$4/'Parametros'!$B$3</f>
        <v>0</v>
      </c>
      <c r="AX221" s="31" t="n">
        <v>0</v>
      </c>
      <c r="AY221" s="10" t="str">
        <f>IF(AV221=0,"DESPRECIABLE",IF(AND(ISERROR(SEARCH("referencia",AN221)),BB221/AP221&gt;=AV221,BI221&gt;=AW221,BH221="CUMPLE"),"CUMPLE","NO CUMPLE"))</f>
        <v>DESPRECIABLE</v>
      </c>
      <c r="AZ221" s="10" t="str">
        <f>IF(AND(X221="CUMPLE",AE221="CUMPLE",AS221="CUMPLE",OR(AY221="CUMPLE",AY221="DESPRECIABLE"),BH221="CUMPLE",BJ221="CUMPLE"),"CUMPLE","NO CUMPLE")</f>
        <v>CUMPLE</v>
      </c>
      <c r="BA221" s="32" t="n">
        <v>9.5</v>
      </c>
      <c r="BB221" s="32" t="n">
        <v>71</v>
      </c>
      <c r="BC221" s="10">
        <f>MAX(IF(AK221=0,0,AK221*1000/('Parametros'!$B$4*MIN(U221,AB221))),MAX(0.062*SQRT('Parametros'!$B$2)*H221/'Parametros'!$B$4,0.35*H221/'Parametros'!$B$4))</f>
        <v>0.466588222037525</v>
      </c>
      <c r="BD221" s="10">
        <f>2*AV221</f>
        <v>0</v>
      </c>
      <c r="BE221" s="10">
        <f>AO221*BB221/AP221</f>
        <v>1.18333333333333</v>
      </c>
      <c r="BF221" s="10">
        <f>SQRT((AI221*1000/(H221*MIN(U221,AB221)))^2+(Q221*1000000*2*((H221-2*('Parametros'!$B$7+'Parametros'!$B$9/2))+(I221-2*('Parametros'!$B$7+'Parametros'!$B$9/2)))/(1.7*((H221-2*('Parametros'!$B$7+'Parametros'!$B$9/2))*(I221-2*('Parametros'!$B$7+'Parametros'!$B$9/2)))^2))^2)</f>
        <v>1.03108443943387</v>
      </c>
      <c r="BG221" s="10">
        <f>'Parametros'!$B$6*(AJ221*1000/(H221*MIN(U221,AB221))+0.66*SQRT('Parametros'!$B$2))</f>
        <v>3.29396038227542</v>
      </c>
      <c r="BH221" s="10" t="str">
        <f>IF(BF221&lt;=BG221,"CUMPLE","NO CUMPLE")</f>
        <v>CUMPLE</v>
      </c>
      <c r="BI221" s="10">
        <f>AX221*'Parametros'!$B$8</f>
        <v>0</v>
      </c>
      <c r="BJ221" s="10" t="str">
        <f>IF(BI221&gt;=AW221,"CUMPLE","NO CUMPLE")</f>
        <v>CUMPLE</v>
      </c>
    </row>
    <row r="222">
      <c r="A222" s="21" t="inlineStr">
        <is>
          <t>VC7</t>
        </is>
      </c>
      <c r="B222" s="21" t="inlineStr">
        <is>
          <t>831</t>
        </is>
      </c>
      <c r="C222" s="10" t="n">
        <v>1</v>
      </c>
      <c r="D222" s="10" t="n">
        <v>4.5</v>
      </c>
      <c r="E222" s="10" t="n">
        <v>4.5</v>
      </c>
      <c r="F222" s="10" t="n">
        <v>450</v>
      </c>
      <c r="G222" s="10" t="n">
        <v>550</v>
      </c>
      <c r="H222" s="17" t="n">
        <v>450</v>
      </c>
      <c r="I222" s="17" t="n">
        <v>550</v>
      </c>
      <c r="J222" s="30" t="n">
        <v>133.1308</v>
      </c>
      <c r="K222" s="10" t="inlineStr">
        <is>
          <t>831</t>
        </is>
      </c>
      <c r="L222" s="30" t="n">
        <v>108.9233</v>
      </c>
      <c r="M222" s="10" t="inlineStr">
        <is>
          <t>831</t>
        </is>
      </c>
      <c r="N222" s="30" t="n">
        <v>65.307</v>
      </c>
      <c r="O222" s="30" t="n">
        <v>220.492</v>
      </c>
      <c r="P222" s="10" t="inlineStr">
        <is>
          <t>831</t>
        </is>
      </c>
      <c r="Q222" s="30" t="n">
        <v>6.8558</v>
      </c>
      <c r="R222" s="10">
        <f>MAX(MAX(1.4/'Parametros'!$B$3,0.25*SQRT('Parametros'!$B$2)/'Parametros'!$B$3)*H222*U222,(0.85*'Parametros'!$B$2/'Parametros'!$B$3)*(1-SQRT(1-2*(J222*1000000/('Parametros'!$B$5*H222*U222^2))/(0.85*'Parametros'!$B$2)))*H222*U222)</f>
        <v>741.773074636748</v>
      </c>
      <c r="S222" s="31" t="n">
        <v>4</v>
      </c>
      <c r="T222" s="32" t="n">
        <v>1</v>
      </c>
      <c r="U222" s="10">
        <f>IF(T222=1,I222-('Parametros'!$B$7+'Parametros'!$B$9+'Parametros'!$B$12/2),I222-(ROUNDUP(S222/2,0)*('Parametros'!$B$7+'Parametros'!$B$9+'Parametros'!$B$12/2)+ROUNDDOWN(S222/2,0)*('Parametros'!$B$7+'Parametros'!$B$9+'Parametros'!$B$12/2+'Parametros'!$B$12+'Parametros'!$B$10))/S222)</f>
        <v>489.35</v>
      </c>
      <c r="V222" s="10">
        <f>S222*'Parametros'!$B$8</f>
        <v>796</v>
      </c>
      <c r="W222" s="10">
        <f>'Parametros'!$B$5*V222*'Parametros'!$B$3*(U222-(V222*'Parametros'!$B$3/(0.85*'Parametros'!$B$2*H222))/2)/1000000</f>
        <v>142.543330094118</v>
      </c>
      <c r="X222" s="10" t="str">
        <f>IF(W222&gt;=J222,"CUMPLE","NO CUMPLE")</f>
        <v>CUMPLE</v>
      </c>
      <c r="Y222" s="10">
        <f>MAX(MAX(1.4/'Parametros'!$B$3,0.25*SQRT('Parametros'!$B$2)/'Parametros'!$B$3)*H222*AB222,(0.85*'Parametros'!$B$2/'Parametros'!$B$3)*(1-SQRT(1-2*(L222*1000000/('Parametros'!$B$5*H222*AB222^2))/(0.85*'Parametros'!$B$2)))*H222*AB222)</f>
        <v>734.025</v>
      </c>
      <c r="Z222" s="31" t="n">
        <v>4</v>
      </c>
      <c r="AA222" s="32" t="n">
        <v>1</v>
      </c>
      <c r="AB222" s="10">
        <f>IF(AA222=1,I222-('Parametros'!$B$7+'Parametros'!$B$9+'Parametros'!$B$12/2),I222-(ROUNDUP(Z222/2,0)*('Parametros'!$B$7+'Parametros'!$B$9+'Parametros'!$B$12/2)+ROUNDDOWN(Z222/2,0)*('Parametros'!$B$7+'Parametros'!$B$9+'Parametros'!$B$12/2+'Parametros'!$B$12+'Parametros'!$B$10))/Z222)</f>
        <v>489.35</v>
      </c>
      <c r="AC222" s="10">
        <f>Z222*'Parametros'!$B$8</f>
        <v>796</v>
      </c>
      <c r="AD222" s="10">
        <f>'Parametros'!$B$5*AC222*'Parametros'!$B$3*(AB222-(AC222*'Parametros'!$B$3/(0.85*'Parametros'!$B$2*H222))/2)/1000000</f>
        <v>142.543330094118</v>
      </c>
      <c r="AE222" s="10" t="str">
        <f>IF(AD222&gt;=L222,"CUMPLE","NO CUMPLE")</f>
        <v>CUMPLE</v>
      </c>
      <c r="AF222" s="10">
        <f>V222*1.25*'Parametros'!$B$3*(U222-(V222*1.25*'Parametros'!$B$3/(0.85*'Parametros'!$B$2*H222))/2)/1000000</f>
        <v>196.346217941176</v>
      </c>
      <c r="AG222" s="10">
        <f>AC222*1.25*'Parametros'!$B$3*(AB222-(AC222*1.25*'Parametros'!$B$3/(0.85*'Parametros'!$B$2*H222))/2)/1000000</f>
        <v>196.346217941176</v>
      </c>
      <c r="AH222" s="10">
        <f>N222+(AF222+AG222)/D222</f>
        <v>152.571985751634</v>
      </c>
      <c r="AI222" s="10">
        <f>MAX(O222,AH222)</f>
        <v>220.492</v>
      </c>
      <c r="AJ222" s="10">
        <f>0.17*SQRT('Parametros'!$B$2)*H222*MIN(U222,AB222)/1000</f>
        <v>198.088855822627</v>
      </c>
      <c r="AK222" s="10">
        <f>MAX(AI222/'Parametros'!$B$6-AJ222,0)</f>
        <v>95.9004775107063</v>
      </c>
      <c r="AL222" s="10">
        <f>0.66*SQRT('Parametros'!$B$2)*H222*MIN(U222,AB222)/1000</f>
        <v>769.050852017258</v>
      </c>
      <c r="AM222" s="10" t="str">
        <f>IF(AK222&lt;=AL222,"CUMPLE","NO CUMPLE")</f>
        <v>CUMPLE</v>
      </c>
      <c r="AN222" s="17" t="inlineStr">
        <is>
          <t>Nº3 cerrado</t>
        </is>
      </c>
      <c r="AO222" s="31" t="n">
        <v>2</v>
      </c>
      <c r="AP222" s="10">
        <f>ROUNDDOWN(MIN(IF(BC222+BD222=0,1000000000,AO222*BB222/(BC222+BD222)),MIN(U222,AB222)/4,8*'Parametros'!$B$12,24*BA222,300,IF(AV222=0,1000000000,2*((H222-2*('Parametros'!$B$7+'Parametros'!$B$9/2))+(I222-2*('Parametros'!$B$7+'Parametros'!$B$9/2)))/8))/10,0)*10</f>
        <v>120</v>
      </c>
      <c r="AQ222" s="10">
        <f>ROUNDDOWN(MIN(IF(BC222+BD222=0,1000000000,AO222*BB222/(BC222+BD222)),IF(AK222&gt;0.33*SQRT('Parametros'!$B$2)*H222*MIN(U222,AB222)/1000,MIN(U222,AB222)/4,MIN(U222,AB222)/2),600,IF(AV222=0,1000000000,2*((H222-2*('Parametros'!$B$7+'Parametros'!$B$9/2))+(I222-2*('Parametros'!$B$7+'Parametros'!$B$9/2)))/8))/10,0)*10</f>
        <v>240</v>
      </c>
      <c r="AR222" s="10">
        <f>'Parametros'!$B$6*(AJ222+MAX(BE222-BD222,0)*'Parametros'!$B$4*MIN(U222,AB222)/1000)</f>
        <v>330.97185436697</v>
      </c>
      <c r="AS222" s="10" t="str">
        <f>IF(AND(ISERROR(SEARCH("referencia",AN222)),AM222="CUMPLE",AR222&gt;=AI222),"CUMPLE","NO CUMPLE")</f>
        <v>CUMPLE</v>
      </c>
      <c r="AT222" s="10">
        <f>'Parametros'!$B$6*0.083*SQRT('Parametros'!$B$2)*(H222*I222)^2/(2*(H222+I222))/1000000</f>
        <v>10.0887830333379</v>
      </c>
      <c r="AU222" s="10" t="str">
        <f>IF(Q222&lt;=AT222,"DESPRECIABLE","DISEÑAR")</f>
        <v>DESPRECIABLE</v>
      </c>
      <c r="AV222" s="10">
        <f>IF(Q222&lt;=AT222,0,Q222*1000000/('Parametros'!$B$6*2*0.85*(H222-2*('Parametros'!$B$7+'Parametros'!$B$9/2))*(I222-2*('Parametros'!$B$7+'Parametros'!$B$9/2))*'Parametros'!$B$4))</f>
        <v>0</v>
      </c>
      <c r="AW222" s="10">
        <f>AV222*2*((H222-2*('Parametros'!$B$7+'Parametros'!$B$9/2))+(I222-2*('Parametros'!$B$7+'Parametros'!$B$9/2)))*'Parametros'!$B$4/'Parametros'!$B$3</f>
        <v>0</v>
      </c>
      <c r="AX222" s="31" t="n">
        <v>0</v>
      </c>
      <c r="AY222" s="10" t="str">
        <f>IF(AV222=0,"DESPRECIABLE",IF(AND(ISERROR(SEARCH("referencia",AN222)),BB222/AP222&gt;=AV222,BI222&gt;=AW222,BH222="CUMPLE"),"CUMPLE","NO CUMPLE"))</f>
        <v>DESPRECIABLE</v>
      </c>
      <c r="AZ222" s="10" t="str">
        <f>IF(AND(X222="CUMPLE",AE222="CUMPLE",AS222="CUMPLE",OR(AY222="CUMPLE",AY222="DESPRECIABLE"),BH222="CUMPLE",BJ222="CUMPLE"),"CUMPLE","NO CUMPLE")</f>
        <v>CUMPLE</v>
      </c>
      <c r="BA222" s="32" t="n">
        <v>9.5</v>
      </c>
      <c r="BB222" s="32" t="n">
        <v>71</v>
      </c>
      <c r="BC222" s="10">
        <f>MAX(IF(AK222=0,0,AK222*1000/('Parametros'!$B$4*MIN(U222,AB222))),MAX(0.062*SQRT('Parametros'!$B$2)*H222/'Parametros'!$B$4,0.35*H222/'Parametros'!$B$4))</f>
        <v>0.466607684200647</v>
      </c>
      <c r="BD222" s="10">
        <f>2*AV222</f>
        <v>0</v>
      </c>
      <c r="BE222" s="10">
        <f>AO222*BB222/AP222</f>
        <v>1.18333333333333</v>
      </c>
      <c r="BF222" s="10">
        <f>SQRT((AI222*1000/(H222*MIN(U222,AB222)))^2+(Q222*1000000*2*((H222-2*('Parametros'!$B$7+'Parametros'!$B$9/2))+(I222-2*('Parametros'!$B$7+'Parametros'!$B$9/2)))/(1.7*((H222-2*('Parametros'!$B$7+'Parametros'!$B$9/2))*(I222-2*('Parametros'!$B$7+'Parametros'!$B$9/2)))^2))^2)</f>
        <v>1.03109252817659</v>
      </c>
      <c r="BG222" s="10">
        <f>'Parametros'!$B$6*(AJ222*1000/(H222*MIN(U222,AB222))+0.66*SQRT('Parametros'!$B$2))</f>
        <v>3.29396038227542</v>
      </c>
      <c r="BH222" s="10" t="str">
        <f>IF(BF222&lt;=BG222,"CUMPLE","NO CUMPLE")</f>
        <v>CUMPLE</v>
      </c>
      <c r="BI222" s="10">
        <f>AX222*'Parametros'!$B$8</f>
        <v>0</v>
      </c>
      <c r="BJ222" s="10" t="str">
        <f>IF(BI222&gt;=AW222,"CUMPLE","NO CUMPLE")</f>
        <v>CUMPLE</v>
      </c>
    </row>
    <row r="223">
      <c r="A223" s="21" t="inlineStr">
        <is>
          <t>VC7</t>
        </is>
      </c>
      <c r="B223" s="21" t="inlineStr">
        <is>
          <t>832</t>
        </is>
      </c>
      <c r="C223" s="10" t="n">
        <v>1</v>
      </c>
      <c r="D223" s="10" t="n">
        <v>2.05</v>
      </c>
      <c r="E223" s="10" t="n">
        <v>2.05</v>
      </c>
      <c r="F223" s="10" t="n">
        <v>450</v>
      </c>
      <c r="G223" s="10" t="n">
        <v>550</v>
      </c>
      <c r="H223" s="17" t="n">
        <v>450</v>
      </c>
      <c r="I223" s="17" t="n">
        <v>550</v>
      </c>
      <c r="J223" s="30" t="n">
        <v>156.7519</v>
      </c>
      <c r="K223" s="10" t="inlineStr">
        <is>
          <t>832</t>
        </is>
      </c>
      <c r="L223" s="30" t="n">
        <v>141.7079</v>
      </c>
      <c r="M223" s="10" t="inlineStr">
        <is>
          <t>832</t>
        </is>
      </c>
      <c r="N223" s="30" t="n">
        <v>121.899</v>
      </c>
      <c r="O223" s="30" t="n">
        <v>488.174</v>
      </c>
      <c r="P223" s="10" t="inlineStr">
        <is>
          <t>832</t>
        </is>
      </c>
      <c r="Q223" s="30" t="n">
        <v>15.1196</v>
      </c>
      <c r="R223" s="10">
        <f>MAX(MAX(1.4/'Parametros'!$B$3,0.25*SQRT('Parametros'!$B$2)/'Parametros'!$B$3)*H223*U223,(0.85*'Parametros'!$B$2/'Parametros'!$B$3)*(1-SQRT(1-2*(J223*1000000/('Parametros'!$B$5*H223*U223^2))/(0.85*'Parametros'!$B$2)))*H223*U223)</f>
        <v>878.337732758898</v>
      </c>
      <c r="S223" s="31" t="n">
        <v>5</v>
      </c>
      <c r="T223" s="32" t="n">
        <v>1</v>
      </c>
      <c r="U223" s="10">
        <f>IF(T223=1,I223-('Parametros'!$B$7+'Parametros'!$B$9+'Parametros'!$B$12/2),I223-(ROUNDUP(S223/2,0)*('Parametros'!$B$7+'Parametros'!$B$9+'Parametros'!$B$12/2)+ROUNDDOWN(S223/2,0)*('Parametros'!$B$7+'Parametros'!$B$9+'Parametros'!$B$12/2+'Parametros'!$B$12+'Parametros'!$B$10))/S223)</f>
        <v>489.35</v>
      </c>
      <c r="V223" s="10">
        <f>S223*'Parametros'!$B$8</f>
        <v>995</v>
      </c>
      <c r="W223" s="10">
        <f>'Parametros'!$B$5*V223*'Parametros'!$B$3*(U223-(V223*'Parametros'!$B$3/(0.85*'Parametros'!$B$2*H223))/2)/1000000</f>
        <v>176.711596147059</v>
      </c>
      <c r="X223" s="10" t="str">
        <f>IF(W223&gt;=J223,"CUMPLE","NO CUMPLE")</f>
        <v>CUMPLE</v>
      </c>
      <c r="Y223" s="10">
        <f>MAX(MAX(1.4/'Parametros'!$B$3,0.25*SQRT('Parametros'!$B$2)/'Parametros'!$B$3)*H223*AB223,(0.85*'Parametros'!$B$2/'Parametros'!$B$3)*(1-SQRT(1-2*(L223*1000000/('Parametros'!$B$5*H223*AB223^2))/(0.85*'Parametros'!$B$2)))*H223*AB223)</f>
        <v>791.176793542024</v>
      </c>
      <c r="Z223" s="31" t="n">
        <v>4</v>
      </c>
      <c r="AA223" s="32" t="n">
        <v>1</v>
      </c>
      <c r="AB223" s="10">
        <f>IF(AA223=1,I223-('Parametros'!$B$7+'Parametros'!$B$9+'Parametros'!$B$12/2),I223-(ROUNDUP(Z223/2,0)*('Parametros'!$B$7+'Parametros'!$B$9+'Parametros'!$B$12/2)+ROUNDDOWN(Z223/2,0)*('Parametros'!$B$7+'Parametros'!$B$9+'Parametros'!$B$12/2+'Parametros'!$B$12+'Parametros'!$B$10))/Z223)</f>
        <v>489.35</v>
      </c>
      <c r="AC223" s="10">
        <f>Z223*'Parametros'!$B$8</f>
        <v>796</v>
      </c>
      <c r="AD223" s="10">
        <f>'Parametros'!$B$5*AC223*'Parametros'!$B$3*(AB223-(AC223*'Parametros'!$B$3/(0.85*'Parametros'!$B$2*H223))/2)/1000000</f>
        <v>142.543330094118</v>
      </c>
      <c r="AE223" s="10" t="str">
        <f>IF(AD223&gt;=L223,"CUMPLE","NO CUMPLE")</f>
        <v>CUMPLE</v>
      </c>
      <c r="AF223" s="10">
        <f>V223*1.25*'Parametros'!$B$3*(U223-(V223*1.25*'Parametros'!$B$3/(0.85*'Parametros'!$B$2*H223))/2)/1000000</f>
        <v>242.884913970588</v>
      </c>
      <c r="AG223" s="10">
        <f>AC223*1.25*'Parametros'!$B$3*(AB223-(AC223*1.25*'Parametros'!$B$3/(0.85*'Parametros'!$B$2*H223))/2)/1000000</f>
        <v>196.346217941176</v>
      </c>
      <c r="AH223" s="10">
        <f>N223+(AF223+AG223)/D223</f>
        <v>336.158088737446</v>
      </c>
      <c r="AI223" s="10">
        <f>MAX(O223,AH223)</f>
        <v>488.174</v>
      </c>
      <c r="AJ223" s="10">
        <f>0.17*SQRT('Parametros'!$B$2)*H223*MIN(U223,AB223)/1000</f>
        <v>198.088855822627</v>
      </c>
      <c r="AK223" s="10">
        <f>MAX(AI223/'Parametros'!$B$6-AJ223,0)</f>
        <v>452.80981084404</v>
      </c>
      <c r="AL223" s="10">
        <f>0.66*SQRT('Parametros'!$B$2)*H223*MIN(U223,AB223)/1000</f>
        <v>769.050852017258</v>
      </c>
      <c r="AM223" s="10" t="str">
        <f>IF(AK223&lt;=AL223,"CUMPLE","NO CUMPLE")</f>
        <v>CUMPLE</v>
      </c>
      <c r="AN223" s="17" t="inlineStr">
        <is>
          <t>Nº4 cerrado</t>
        </is>
      </c>
      <c r="AO223" s="31" t="n">
        <v>2</v>
      </c>
      <c r="AP223" s="10">
        <f>ROUNDDOWN(MIN(IF(BC223+BD223=0,1000000000,AO223*BB223/(BC223+BD223)),MIN(U223,AB223)/4,8*'Parametros'!$B$12,24*BA223,300,IF(AV223=0,1000000000,2*((H223-2*('Parametros'!$B$7+'Parametros'!$B$9/2))+(I223-2*('Parametros'!$B$7+'Parametros'!$B$9/2)))/8))/10,0)*10</f>
        <v>100</v>
      </c>
      <c r="AQ223" s="10">
        <f>ROUNDDOWN(MIN(IF(BC223+BD223=0,1000000000,AO223*BB223/(BC223+BD223)),IF(AK223&gt;0.33*SQRT('Parametros'!$B$2)*H223*MIN(U223,AB223)/1000,MIN(U223,AB223)/4,MIN(U223,AB223)/2),600,IF(AV223=0,1000000000,2*((H223-2*('Parametros'!$B$7+'Parametros'!$B$9/2))+(I223-2*('Parametros'!$B$7+'Parametros'!$B$9/2)))/8))/10,0)*10</f>
        <v>100</v>
      </c>
      <c r="AR223" s="10">
        <f>'Parametros'!$B$6*(AJ223+MAX(BE223-BD223,0)*'Parametros'!$B$4*MIN(U223,AB223)/1000)</f>
        <v>492.988436314206</v>
      </c>
      <c r="AS223" s="10" t="str">
        <f>IF(AND(ISERROR(SEARCH("referencia",AN223)),AM223="CUMPLE",AR223&gt;=AI223),"CUMPLE","NO CUMPLE")</f>
        <v>CUMPLE</v>
      </c>
      <c r="AT223" s="10">
        <f>'Parametros'!$B$6*0.083*SQRT('Parametros'!$B$2)*(H223*I223)^2/(2*(H223+I223))/1000000</f>
        <v>10.0887830333379</v>
      </c>
      <c r="AU223" s="10" t="str">
        <f>IF(Q223&lt;=AT223,"DESPRECIABLE","DISEÑAR")</f>
        <v>DISEÑAR</v>
      </c>
      <c r="AV223" s="10">
        <f>IF(Q223&lt;=AT223,0,Q223*1000000/('Parametros'!$B$6*2*0.85*(H223-2*('Parametros'!$B$7+'Parametros'!$B$9/2))*(I223-2*('Parametros'!$B$7+'Parametros'!$B$9/2))*'Parametros'!$B$4))</f>
        <v>0.172801142275758</v>
      </c>
      <c r="AW223" s="10">
        <f>AV223*2*((H223-2*('Parametros'!$B$7+'Parametros'!$B$9/2))+(I223-2*('Parametros'!$B$7+'Parametros'!$B$9/2)))*'Parametros'!$B$4/'Parametros'!$B$3</f>
        <v>281.527620995665</v>
      </c>
      <c r="AX223" s="31" t="n">
        <v>8</v>
      </c>
      <c r="AY223" s="10" t="str">
        <f>IF(AV223=0,"DESPRECIABLE",IF(AND(ISERROR(SEARCH("referencia",AN223)),BB223/AP223&gt;=AV223,BI223&gt;=AW223,BH223="CUMPLE"),"CUMPLE","NO CUMPLE"))</f>
        <v>CUMPLE</v>
      </c>
      <c r="AZ223" s="10" t="str">
        <f>IF(AND(X223="CUMPLE",AE223="CUMPLE",AS223="CUMPLE",OR(AY223="CUMPLE",AY223="DESPRECIABLE"),BH223="CUMPLE",BJ223="CUMPLE"),"CUMPLE","NO CUMPLE")</f>
        <v>CUMPLE</v>
      </c>
      <c r="BA223" s="32" t="n">
        <v>12.7</v>
      </c>
      <c r="BB223" s="32" t="n">
        <v>129</v>
      </c>
      <c r="BC223" s="10">
        <f>MAX(IF(AK223=0,0,AK223*1000/('Parametros'!$B$4*MIN(U223,AB223))),MAX(0.062*SQRT('Parametros'!$B$2)*H223/'Parametros'!$B$4,0.35*H223/'Parametros'!$B$4))</f>
        <v>2.20316460048577</v>
      </c>
      <c r="BD223" s="10">
        <f>2*AV223</f>
        <v>0.345602284551516</v>
      </c>
      <c r="BE223" s="10">
        <f>AO223*BB223/AP223</f>
        <v>2.58</v>
      </c>
      <c r="BF223" s="10">
        <f>SQRT((AI223*1000/(H223*MIN(U223,AB223)))^2+(Q223*1000000*2*((H223-2*('Parametros'!$B$7+'Parametros'!$B$9/2))+(I223-2*('Parametros'!$B$7+'Parametros'!$B$9/2)))/(1.7*((H223-2*('Parametros'!$B$7+'Parametros'!$B$9/2))*(I223-2*('Parametros'!$B$7+'Parametros'!$B$9/2)))^2))^2)</f>
        <v>2.28235385656081</v>
      </c>
      <c r="BG223" s="10">
        <f>'Parametros'!$B$6*(AJ223*1000/(H223*MIN(U223,AB223))+0.66*SQRT('Parametros'!$B$2))</f>
        <v>3.29396038227542</v>
      </c>
      <c r="BH223" s="10" t="str">
        <f>IF(BF223&lt;=BG223,"CUMPLE","NO CUMPLE")</f>
        <v>CUMPLE</v>
      </c>
      <c r="BI223" s="10">
        <f>AX223*'Parametros'!$B$8</f>
        <v>1592</v>
      </c>
      <c r="BJ223" s="10" t="str">
        <f>IF(BI223&gt;=AW223,"CUMPLE","NO CUMPLE")</f>
        <v>CUMPLE</v>
      </c>
    </row>
    <row r="224">
      <c r="A224" s="21" t="inlineStr">
        <is>
          <t>VC7</t>
        </is>
      </c>
      <c r="B224" s="21" t="inlineStr">
        <is>
          <t>833</t>
        </is>
      </c>
      <c r="C224" s="10" t="n">
        <v>1</v>
      </c>
      <c r="D224" s="10" t="n">
        <v>2.05</v>
      </c>
      <c r="E224" s="10" t="n">
        <v>2.05</v>
      </c>
      <c r="F224" s="10" t="n">
        <v>450</v>
      </c>
      <c r="G224" s="10" t="n">
        <v>550</v>
      </c>
      <c r="H224" s="17" t="n">
        <v>450</v>
      </c>
      <c r="I224" s="17" t="n">
        <v>550</v>
      </c>
      <c r="J224" s="30" t="n">
        <v>156.1445</v>
      </c>
      <c r="K224" s="10" t="inlineStr">
        <is>
          <t>833</t>
        </is>
      </c>
      <c r="L224" s="30" t="n">
        <v>141.0908</v>
      </c>
      <c r="M224" s="10" t="inlineStr">
        <is>
          <t>833</t>
        </is>
      </c>
      <c r="N224" s="30" t="n">
        <v>121.437</v>
      </c>
      <c r="O224" s="30" t="n">
        <v>488.556</v>
      </c>
      <c r="P224" s="10" t="inlineStr">
        <is>
          <t>833</t>
        </is>
      </c>
      <c r="Q224" s="30" t="n">
        <v>14.942</v>
      </c>
      <c r="R224" s="10">
        <f>MAX(MAX(1.4/'Parametros'!$B$3,0.25*SQRT('Parametros'!$B$2)/'Parametros'!$B$3)*H224*U224,(0.85*'Parametros'!$B$2/'Parametros'!$B$3)*(1-SQRT(1-2*(J224*1000000/('Parametros'!$B$5*H224*U224^2))/(0.85*'Parametros'!$B$2)))*H224*U224)</f>
        <v>874.805935188371</v>
      </c>
      <c r="S224" s="31" t="n">
        <v>5</v>
      </c>
      <c r="T224" s="32" t="n">
        <v>1</v>
      </c>
      <c r="U224" s="10">
        <f>IF(T224=1,I224-('Parametros'!$B$7+'Parametros'!$B$9+'Parametros'!$B$12/2),I224-(ROUNDUP(S224/2,0)*('Parametros'!$B$7+'Parametros'!$B$9+'Parametros'!$B$12/2)+ROUNDDOWN(S224/2,0)*('Parametros'!$B$7+'Parametros'!$B$9+'Parametros'!$B$12/2+'Parametros'!$B$12+'Parametros'!$B$10))/S224)</f>
        <v>489.35</v>
      </c>
      <c r="V224" s="10">
        <f>S224*'Parametros'!$B$8</f>
        <v>995</v>
      </c>
      <c r="W224" s="10">
        <f>'Parametros'!$B$5*V224*'Parametros'!$B$3*(U224-(V224*'Parametros'!$B$3/(0.85*'Parametros'!$B$2*H224))/2)/1000000</f>
        <v>176.711596147059</v>
      </c>
      <c r="X224" s="10" t="str">
        <f>IF(W224&gt;=J224,"CUMPLE","NO CUMPLE")</f>
        <v>CUMPLE</v>
      </c>
      <c r="Y224" s="10">
        <f>MAX(MAX(1.4/'Parametros'!$B$3,0.25*SQRT('Parametros'!$B$2)/'Parametros'!$B$3)*H224*AB224,(0.85*'Parametros'!$B$2/'Parametros'!$B$3)*(1-SQRT(1-2*(L224*1000000/('Parametros'!$B$5*H224*AB224^2))/(0.85*'Parametros'!$B$2)))*H224*AB224)</f>
        <v>787.615354677539</v>
      </c>
      <c r="Z224" s="31" t="n">
        <v>4</v>
      </c>
      <c r="AA224" s="32" t="n">
        <v>1</v>
      </c>
      <c r="AB224" s="10">
        <f>IF(AA224=1,I224-('Parametros'!$B$7+'Parametros'!$B$9+'Parametros'!$B$12/2),I224-(ROUNDUP(Z224/2,0)*('Parametros'!$B$7+'Parametros'!$B$9+'Parametros'!$B$12/2)+ROUNDDOWN(Z224/2,0)*('Parametros'!$B$7+'Parametros'!$B$9+'Parametros'!$B$12/2+'Parametros'!$B$12+'Parametros'!$B$10))/Z224)</f>
        <v>489.35</v>
      </c>
      <c r="AC224" s="10">
        <f>Z224*'Parametros'!$B$8</f>
        <v>796</v>
      </c>
      <c r="AD224" s="10">
        <f>'Parametros'!$B$5*AC224*'Parametros'!$B$3*(AB224-(AC224*'Parametros'!$B$3/(0.85*'Parametros'!$B$2*H224))/2)/1000000</f>
        <v>142.543330094118</v>
      </c>
      <c r="AE224" s="10" t="str">
        <f>IF(AD224&gt;=L224,"CUMPLE","NO CUMPLE")</f>
        <v>CUMPLE</v>
      </c>
      <c r="AF224" s="10">
        <f>V224*1.25*'Parametros'!$B$3*(U224-(V224*1.25*'Parametros'!$B$3/(0.85*'Parametros'!$B$2*H224))/2)/1000000</f>
        <v>242.884913970588</v>
      </c>
      <c r="AG224" s="10">
        <f>AC224*1.25*'Parametros'!$B$3*(AB224-(AC224*1.25*'Parametros'!$B$3/(0.85*'Parametros'!$B$2*H224))/2)/1000000</f>
        <v>196.346217941176</v>
      </c>
      <c r="AH224" s="10">
        <f>N224+(AF224+AG224)/D224</f>
        <v>335.696088737446</v>
      </c>
      <c r="AI224" s="10">
        <f>MAX(O224,AH224)</f>
        <v>488.556</v>
      </c>
      <c r="AJ224" s="10">
        <f>0.17*SQRT('Parametros'!$B$2)*H224*MIN(U224,AB224)/1000</f>
        <v>198.088855822627</v>
      </c>
      <c r="AK224" s="10">
        <f>MAX(AI224/'Parametros'!$B$6-AJ224,0)</f>
        <v>453.319144177373</v>
      </c>
      <c r="AL224" s="10">
        <f>0.66*SQRT('Parametros'!$B$2)*H224*MIN(U224,AB224)/1000</f>
        <v>769.050852017258</v>
      </c>
      <c r="AM224" s="10" t="str">
        <f>IF(AK224&lt;=AL224,"CUMPLE","NO CUMPLE")</f>
        <v>CUMPLE</v>
      </c>
      <c r="AN224" s="17" t="inlineStr">
        <is>
          <t>Nº4 cerrado</t>
        </is>
      </c>
      <c r="AO224" s="31" t="n">
        <v>2</v>
      </c>
      <c r="AP224" s="10">
        <f>ROUNDDOWN(MIN(IF(BC224+BD224=0,1000000000,AO224*BB224/(BC224+BD224)),MIN(U224,AB224)/4,8*'Parametros'!$B$12,24*BA224,300,IF(AV224=0,1000000000,2*((H224-2*('Parametros'!$B$7+'Parametros'!$B$9/2))+(I224-2*('Parametros'!$B$7+'Parametros'!$B$9/2)))/8))/10,0)*10</f>
        <v>100</v>
      </c>
      <c r="AQ224" s="10">
        <f>ROUNDDOWN(MIN(IF(BC224+BD224=0,1000000000,AO224*BB224/(BC224+BD224)),IF(AK224&gt;0.33*SQRT('Parametros'!$B$2)*H224*MIN(U224,AB224)/1000,MIN(U224,AB224)/4,MIN(U224,AB224)/2),600,IF(AV224=0,1000000000,2*((H224-2*('Parametros'!$B$7+'Parametros'!$B$9/2))+(I224-2*('Parametros'!$B$7+'Parametros'!$B$9/2)))/8))/10,0)*10</f>
        <v>100</v>
      </c>
      <c r="AR224" s="10">
        <f>'Parametros'!$B$6*(AJ224+MAX(BE224-BD224,0)*'Parametros'!$B$4*MIN(U224,AB224)/1000)</f>
        <v>493.614198637162</v>
      </c>
      <c r="AS224" s="10" t="str">
        <f>IF(AND(ISERROR(SEARCH("referencia",AN224)),AM224="CUMPLE",AR224&gt;=AI224),"CUMPLE","NO CUMPLE")</f>
        <v>CUMPLE</v>
      </c>
      <c r="AT224" s="10">
        <f>'Parametros'!$B$6*0.083*SQRT('Parametros'!$B$2)*(H224*I224)^2/(2*(H224+I224))/1000000</f>
        <v>10.0887830333379</v>
      </c>
      <c r="AU224" s="10" t="str">
        <f>IF(Q224&lt;=AT224,"DESPRECIABLE","DISEÑAR")</f>
        <v>DISEÑAR</v>
      </c>
      <c r="AV224" s="10">
        <f>IF(Q224&lt;=AT224,0,Q224*1000000/('Parametros'!$B$6*2*0.85*(H224-2*('Parametros'!$B$7+'Parametros'!$B$9/2))*(I224-2*('Parametros'!$B$7+'Parametros'!$B$9/2))*'Parametros'!$B$4))</f>
        <v>0.170771360874916</v>
      </c>
      <c r="AW224" s="10">
        <f>AV224*2*((H224-2*('Parametros'!$B$7+'Parametros'!$B$9/2))+(I224-2*('Parametros'!$B$7+'Parametros'!$B$9/2)))*'Parametros'!$B$4/'Parametros'!$B$3</f>
        <v>278.220701137413</v>
      </c>
      <c r="AX224" s="31" t="n">
        <v>8</v>
      </c>
      <c r="AY224" s="10" t="str">
        <f>IF(AV224=0,"DESPRECIABLE",IF(AND(ISERROR(SEARCH("referencia",AN224)),BB224/AP224&gt;=AV224,BI224&gt;=AW224,BH224="CUMPLE"),"CUMPLE","NO CUMPLE"))</f>
        <v>CUMPLE</v>
      </c>
      <c r="AZ224" s="10" t="str">
        <f>IF(AND(X224="CUMPLE",AE224="CUMPLE",AS224="CUMPLE",OR(AY224="CUMPLE",AY224="DESPRECIABLE"),BH224="CUMPLE",BJ224="CUMPLE"),"CUMPLE","NO CUMPLE")</f>
        <v>CUMPLE</v>
      </c>
      <c r="BA224" s="32" t="n">
        <v>12.7</v>
      </c>
      <c r="BB224" s="32" t="n">
        <v>129</v>
      </c>
      <c r="BC224" s="10">
        <f>MAX(IF(AK224=0,0,AK224*1000/('Parametros'!$B$4*MIN(U224,AB224))),MAX(0.062*SQRT('Parametros'!$B$2)*H224/'Parametros'!$B$4,0.35*H224/'Parametros'!$B$4))</f>
        <v>2.20564278258999</v>
      </c>
      <c r="BD224" s="10">
        <f>2*AV224</f>
        <v>0.341542721749832</v>
      </c>
      <c r="BE224" s="10">
        <f>AO224*BB224/AP224</f>
        <v>2.58</v>
      </c>
      <c r="BF224" s="10">
        <f>SQRT((AI224*1000/(H224*MIN(U224,AB224)))^2+(Q224*1000000*2*((H224-2*('Parametros'!$B$7+'Parametros'!$B$9/2))+(I224-2*('Parametros'!$B$7+'Parametros'!$B$9/2)))/(1.7*((H224-2*('Parametros'!$B$7+'Parametros'!$B$9/2))*(I224-2*('Parametros'!$B$7+'Parametros'!$B$9/2)))^2))^2)</f>
        <v>2.28253232464383</v>
      </c>
      <c r="BG224" s="10">
        <f>'Parametros'!$B$6*(AJ224*1000/(H224*MIN(U224,AB224))+0.66*SQRT('Parametros'!$B$2))</f>
        <v>3.29396038227542</v>
      </c>
      <c r="BH224" s="10" t="str">
        <f>IF(BF224&lt;=BG224,"CUMPLE","NO CUMPLE")</f>
        <v>CUMPLE</v>
      </c>
      <c r="BI224" s="10">
        <f>AX224*'Parametros'!$B$8</f>
        <v>1592</v>
      </c>
      <c r="BJ224" s="10" t="str">
        <f>IF(BI224&gt;=AW224,"CUMPLE","NO CUMPLE")</f>
        <v>CUMPLE</v>
      </c>
    </row>
    <row r="225">
      <c r="A225" s="21" t="inlineStr">
        <is>
          <t>VC7</t>
        </is>
      </c>
      <c r="B225" s="21" t="inlineStr">
        <is>
          <t>834</t>
        </is>
      </c>
      <c r="C225" s="10" t="n">
        <v>1</v>
      </c>
      <c r="D225" s="10" t="n">
        <v>4.5</v>
      </c>
      <c r="E225" s="10" t="n">
        <v>4.5</v>
      </c>
      <c r="F225" s="10" t="n">
        <v>450</v>
      </c>
      <c r="G225" s="10" t="n">
        <v>550</v>
      </c>
      <c r="H225" s="17" t="n">
        <v>450</v>
      </c>
      <c r="I225" s="17" t="n">
        <v>550</v>
      </c>
      <c r="J225" s="30" t="n">
        <v>133.7608</v>
      </c>
      <c r="K225" s="10" t="inlineStr">
        <is>
          <t>834</t>
        </is>
      </c>
      <c r="L225" s="30" t="n">
        <v>109.4758</v>
      </c>
      <c r="M225" s="10" t="inlineStr">
        <is>
          <t>834</t>
        </is>
      </c>
      <c r="N225" s="30" t="n">
        <v>65.539</v>
      </c>
      <c r="O225" s="30" t="n">
        <v>220.856</v>
      </c>
      <c r="P225" s="10" t="inlineStr">
        <is>
          <t>834</t>
        </is>
      </c>
      <c r="Q225" s="30" t="n">
        <v>6.8874</v>
      </c>
      <c r="R225" s="10">
        <f>MAX(MAX(1.4/'Parametros'!$B$3,0.25*SQRT('Parametros'!$B$2)/'Parametros'!$B$3)*H225*U225,(0.85*'Parametros'!$B$2/'Parametros'!$B$3)*(1-SQRT(1-2*(J225*1000000/('Parametros'!$B$5*H225*U225^2))/(0.85*'Parametros'!$B$2)))*H225*U225)</f>
        <v>745.394768336359</v>
      </c>
      <c r="S225" s="31" t="n">
        <v>4</v>
      </c>
      <c r="T225" s="32" t="n">
        <v>1</v>
      </c>
      <c r="U225" s="10">
        <f>IF(T225=1,I225-('Parametros'!$B$7+'Parametros'!$B$9+'Parametros'!$B$12/2),I225-(ROUNDUP(S225/2,0)*('Parametros'!$B$7+'Parametros'!$B$9+'Parametros'!$B$12/2)+ROUNDDOWN(S225/2,0)*('Parametros'!$B$7+'Parametros'!$B$9+'Parametros'!$B$12/2+'Parametros'!$B$12+'Parametros'!$B$10))/S225)</f>
        <v>489.35</v>
      </c>
      <c r="V225" s="10">
        <f>S225*'Parametros'!$B$8</f>
        <v>796</v>
      </c>
      <c r="W225" s="10">
        <f>'Parametros'!$B$5*V225*'Parametros'!$B$3*(U225-(V225*'Parametros'!$B$3/(0.85*'Parametros'!$B$2*H225))/2)/1000000</f>
        <v>142.543330094118</v>
      </c>
      <c r="X225" s="10" t="str">
        <f>IF(W225&gt;=J225,"CUMPLE","NO CUMPLE")</f>
        <v>CUMPLE</v>
      </c>
      <c r="Y225" s="10">
        <f>MAX(MAX(1.4/'Parametros'!$B$3,0.25*SQRT('Parametros'!$B$2)/'Parametros'!$B$3)*H225*AB225,(0.85*'Parametros'!$B$2/'Parametros'!$B$3)*(1-SQRT(1-2*(L225*1000000/('Parametros'!$B$5*H225*AB225^2))/(0.85*'Parametros'!$B$2)))*H225*AB225)</f>
        <v>734.025</v>
      </c>
      <c r="Z225" s="31" t="n">
        <v>4</v>
      </c>
      <c r="AA225" s="32" t="n">
        <v>1</v>
      </c>
      <c r="AB225" s="10">
        <f>IF(AA225=1,I225-('Parametros'!$B$7+'Parametros'!$B$9+'Parametros'!$B$12/2),I225-(ROUNDUP(Z225/2,0)*('Parametros'!$B$7+'Parametros'!$B$9+'Parametros'!$B$12/2)+ROUNDDOWN(Z225/2,0)*('Parametros'!$B$7+'Parametros'!$B$9+'Parametros'!$B$12/2+'Parametros'!$B$12+'Parametros'!$B$10))/Z225)</f>
        <v>489.35</v>
      </c>
      <c r="AC225" s="10">
        <f>Z225*'Parametros'!$B$8</f>
        <v>796</v>
      </c>
      <c r="AD225" s="10">
        <f>'Parametros'!$B$5*AC225*'Parametros'!$B$3*(AB225-(AC225*'Parametros'!$B$3/(0.85*'Parametros'!$B$2*H225))/2)/1000000</f>
        <v>142.543330094118</v>
      </c>
      <c r="AE225" s="10" t="str">
        <f>IF(AD225&gt;=L225,"CUMPLE","NO CUMPLE")</f>
        <v>CUMPLE</v>
      </c>
      <c r="AF225" s="10">
        <f>V225*1.25*'Parametros'!$B$3*(U225-(V225*1.25*'Parametros'!$B$3/(0.85*'Parametros'!$B$2*H225))/2)/1000000</f>
        <v>196.346217941176</v>
      </c>
      <c r="AG225" s="10">
        <f>AC225*1.25*'Parametros'!$B$3*(AB225-(AC225*1.25*'Parametros'!$B$3/(0.85*'Parametros'!$B$2*H225))/2)/1000000</f>
        <v>196.346217941176</v>
      </c>
      <c r="AH225" s="10">
        <f>N225+(AF225+AG225)/D225</f>
        <v>152.803985751634</v>
      </c>
      <c r="AI225" s="10">
        <f>MAX(O225,AH225)</f>
        <v>220.856</v>
      </c>
      <c r="AJ225" s="10">
        <f>0.17*SQRT('Parametros'!$B$2)*H225*MIN(U225,AB225)/1000</f>
        <v>198.088855822627</v>
      </c>
      <c r="AK225" s="10">
        <f>MAX(AI225/'Parametros'!$B$6-AJ225,0)</f>
        <v>96.3858108440397</v>
      </c>
      <c r="AL225" s="10">
        <f>0.66*SQRT('Parametros'!$B$2)*H225*MIN(U225,AB225)/1000</f>
        <v>769.050852017258</v>
      </c>
      <c r="AM225" s="10" t="str">
        <f>IF(AK225&lt;=AL225,"CUMPLE","NO CUMPLE")</f>
        <v>CUMPLE</v>
      </c>
      <c r="AN225" s="17" t="inlineStr">
        <is>
          <t>Nº3 cerrado</t>
        </is>
      </c>
      <c r="AO225" s="31" t="n">
        <v>2</v>
      </c>
      <c r="AP225" s="10">
        <f>ROUNDDOWN(MIN(IF(BC225+BD225=0,1000000000,AO225*BB225/(BC225+BD225)),MIN(U225,AB225)/4,8*'Parametros'!$B$12,24*BA225,300,IF(AV225=0,1000000000,2*((H225-2*('Parametros'!$B$7+'Parametros'!$B$9/2))+(I225-2*('Parametros'!$B$7+'Parametros'!$B$9/2)))/8))/10,0)*10</f>
        <v>120</v>
      </c>
      <c r="AQ225" s="10">
        <f>ROUNDDOWN(MIN(IF(BC225+BD225=0,1000000000,AO225*BB225/(BC225+BD225)),IF(AK225&gt;0.33*SQRT('Parametros'!$B$2)*H225*MIN(U225,AB225)/1000,MIN(U225,AB225)/4,MIN(U225,AB225)/2),600,IF(AV225=0,1000000000,2*((H225-2*('Parametros'!$B$7+'Parametros'!$B$9/2))+(I225-2*('Parametros'!$B$7+'Parametros'!$B$9/2)))/8))/10,0)*10</f>
        <v>240</v>
      </c>
      <c r="AR225" s="10">
        <f>'Parametros'!$B$6*(AJ225+MAX(BE225-BD225,0)*'Parametros'!$B$4*MIN(U225,AB225)/1000)</f>
        <v>330.97185436697</v>
      </c>
      <c r="AS225" s="10" t="str">
        <f>IF(AND(ISERROR(SEARCH("referencia",AN225)),AM225="CUMPLE",AR225&gt;=AI225),"CUMPLE","NO CUMPLE")</f>
        <v>CUMPLE</v>
      </c>
      <c r="AT225" s="10">
        <f>'Parametros'!$B$6*0.083*SQRT('Parametros'!$B$2)*(H225*I225)^2/(2*(H225+I225))/1000000</f>
        <v>10.0887830333379</v>
      </c>
      <c r="AU225" s="10" t="str">
        <f>IF(Q225&lt;=AT225,"DESPRECIABLE","DISEÑAR")</f>
        <v>DESPRECIABLE</v>
      </c>
      <c r="AV225" s="10">
        <f>IF(Q225&lt;=AT225,0,Q225*1000000/('Parametros'!$B$6*2*0.85*(H225-2*('Parametros'!$B$7+'Parametros'!$B$9/2))*(I225-2*('Parametros'!$B$7+'Parametros'!$B$9/2))*'Parametros'!$B$4))</f>
        <v>0</v>
      </c>
      <c r="AW225" s="10">
        <f>AV225*2*((H225-2*('Parametros'!$B$7+'Parametros'!$B$9/2))+(I225-2*('Parametros'!$B$7+'Parametros'!$B$9/2)))*'Parametros'!$B$4/'Parametros'!$B$3</f>
        <v>0</v>
      </c>
      <c r="AX225" s="31" t="n">
        <v>0</v>
      </c>
      <c r="AY225" s="10" t="str">
        <f>IF(AV225=0,"DESPRECIABLE",IF(AND(ISERROR(SEARCH("referencia",AN225)),BB225/AP225&gt;=AV225,BI225&gt;=AW225,BH225="CUMPLE"),"CUMPLE","NO CUMPLE"))</f>
        <v>DESPRECIABLE</v>
      </c>
      <c r="AZ225" s="10" t="str">
        <f>IF(AND(X225="CUMPLE",AE225="CUMPLE",AS225="CUMPLE",OR(AY225="CUMPLE",AY225="DESPRECIABLE"),BH225="CUMPLE",BJ225="CUMPLE"),"CUMPLE","NO CUMPLE")</f>
        <v>CUMPLE</v>
      </c>
      <c r="BA225" s="32" t="n">
        <v>9.5</v>
      </c>
      <c r="BB225" s="32" t="n">
        <v>71</v>
      </c>
      <c r="BC225" s="10">
        <f>MAX(IF(AK225=0,0,AK225*1000/('Parametros'!$B$4*MIN(U225,AB225))),MAX(0.062*SQRT('Parametros'!$B$2)*H225/'Parametros'!$B$4,0.35*H225/'Parametros'!$B$4))</f>
        <v>0.468969093326131</v>
      </c>
      <c r="BD225" s="10">
        <f>2*AV225</f>
        <v>0</v>
      </c>
      <c r="BE225" s="10">
        <f>AO225*BB225/AP225</f>
        <v>1.18333333333333</v>
      </c>
      <c r="BF225" s="10">
        <f>SQRT((AI225*1000/(H225*MIN(U225,AB225)))^2+(Q225*1000000*2*((H225-2*('Parametros'!$B$7+'Parametros'!$B$9/2))+(I225-2*('Parametros'!$B$7+'Parametros'!$B$9/2)))/(1.7*((H225-2*('Parametros'!$B$7+'Parametros'!$B$9/2))*(I225-2*('Parametros'!$B$7+'Parametros'!$B$9/2)))^2))^2)</f>
        <v>1.03296872779382</v>
      </c>
      <c r="BG225" s="10">
        <f>'Parametros'!$B$6*(AJ225*1000/(H225*MIN(U225,AB225))+0.66*SQRT('Parametros'!$B$2))</f>
        <v>3.29396038227542</v>
      </c>
      <c r="BH225" s="10" t="str">
        <f>IF(BF225&lt;=BG225,"CUMPLE","NO CUMPLE")</f>
        <v>CUMPLE</v>
      </c>
      <c r="BI225" s="10">
        <f>AX225*'Parametros'!$B$8</f>
        <v>0</v>
      </c>
      <c r="BJ225" s="10" t="str">
        <f>IF(BI225&gt;=AW225,"CUMPLE","NO CUMPLE")</f>
        <v>CUMPLE</v>
      </c>
    </row>
    <row r="226">
      <c r="A226" s="21" t="inlineStr">
        <is>
          <t>VC7</t>
        </is>
      </c>
      <c r="B226" s="21" t="inlineStr">
        <is>
          <t>835</t>
        </is>
      </c>
      <c r="C226" s="10" t="n">
        <v>1</v>
      </c>
      <c r="D226" s="10" t="n">
        <v>4.5</v>
      </c>
      <c r="E226" s="10" t="n">
        <v>4.5</v>
      </c>
      <c r="F226" s="10" t="n">
        <v>450</v>
      </c>
      <c r="G226" s="10" t="n">
        <v>550</v>
      </c>
      <c r="H226" s="17" t="n">
        <v>450</v>
      </c>
      <c r="I226" s="17" t="n">
        <v>550</v>
      </c>
      <c r="J226" s="30" t="n">
        <v>133.758</v>
      </c>
      <c r="K226" s="10" t="inlineStr">
        <is>
          <t>835</t>
        </is>
      </c>
      <c r="L226" s="30" t="n">
        <v>109.473</v>
      </c>
      <c r="M226" s="10" t="inlineStr">
        <is>
          <t>835</t>
        </is>
      </c>
      <c r="N226" s="30" t="n">
        <v>65.538</v>
      </c>
      <c r="O226" s="30" t="n">
        <v>220.855</v>
      </c>
      <c r="P226" s="10" t="inlineStr">
        <is>
          <t>835</t>
        </is>
      </c>
      <c r="Q226" s="30" t="n">
        <v>6.8881</v>
      </c>
      <c r="R226" s="10">
        <f>MAX(MAX(1.4/'Parametros'!$B$3,0.25*SQRT('Parametros'!$B$2)/'Parametros'!$B$3)*H226*U226,(0.85*'Parametros'!$B$2/'Parametros'!$B$3)*(1-SQRT(1-2*(J226*1000000/('Parametros'!$B$5*H226*U226^2))/(0.85*'Parametros'!$B$2)))*H226*U226)</f>
        <v>745.378669446681</v>
      </c>
      <c r="S226" s="31" t="n">
        <v>4</v>
      </c>
      <c r="T226" s="32" t="n">
        <v>1</v>
      </c>
      <c r="U226" s="10">
        <f>IF(T226=1,I226-('Parametros'!$B$7+'Parametros'!$B$9+'Parametros'!$B$12/2),I226-(ROUNDUP(S226/2,0)*('Parametros'!$B$7+'Parametros'!$B$9+'Parametros'!$B$12/2)+ROUNDDOWN(S226/2,0)*('Parametros'!$B$7+'Parametros'!$B$9+'Parametros'!$B$12/2+'Parametros'!$B$12+'Parametros'!$B$10))/S226)</f>
        <v>489.35</v>
      </c>
      <c r="V226" s="10">
        <f>S226*'Parametros'!$B$8</f>
        <v>796</v>
      </c>
      <c r="W226" s="10">
        <f>'Parametros'!$B$5*V226*'Parametros'!$B$3*(U226-(V226*'Parametros'!$B$3/(0.85*'Parametros'!$B$2*H226))/2)/1000000</f>
        <v>142.543330094118</v>
      </c>
      <c r="X226" s="10" t="str">
        <f>IF(W226&gt;=J226,"CUMPLE","NO CUMPLE")</f>
        <v>CUMPLE</v>
      </c>
      <c r="Y226" s="10">
        <f>MAX(MAX(1.4/'Parametros'!$B$3,0.25*SQRT('Parametros'!$B$2)/'Parametros'!$B$3)*H226*AB226,(0.85*'Parametros'!$B$2/'Parametros'!$B$3)*(1-SQRT(1-2*(L226*1000000/('Parametros'!$B$5*H226*AB226^2))/(0.85*'Parametros'!$B$2)))*H226*AB226)</f>
        <v>734.025</v>
      </c>
      <c r="Z226" s="31" t="n">
        <v>4</v>
      </c>
      <c r="AA226" s="32" t="n">
        <v>1</v>
      </c>
      <c r="AB226" s="10">
        <f>IF(AA226=1,I226-('Parametros'!$B$7+'Parametros'!$B$9+'Parametros'!$B$12/2),I226-(ROUNDUP(Z226/2,0)*('Parametros'!$B$7+'Parametros'!$B$9+'Parametros'!$B$12/2)+ROUNDDOWN(Z226/2,0)*('Parametros'!$B$7+'Parametros'!$B$9+'Parametros'!$B$12/2+'Parametros'!$B$12+'Parametros'!$B$10))/Z226)</f>
        <v>489.35</v>
      </c>
      <c r="AC226" s="10">
        <f>Z226*'Parametros'!$B$8</f>
        <v>796</v>
      </c>
      <c r="AD226" s="10">
        <f>'Parametros'!$B$5*AC226*'Parametros'!$B$3*(AB226-(AC226*'Parametros'!$B$3/(0.85*'Parametros'!$B$2*H226))/2)/1000000</f>
        <v>142.543330094118</v>
      </c>
      <c r="AE226" s="10" t="str">
        <f>IF(AD226&gt;=L226,"CUMPLE","NO CUMPLE")</f>
        <v>CUMPLE</v>
      </c>
      <c r="AF226" s="10">
        <f>V226*1.25*'Parametros'!$B$3*(U226-(V226*1.25*'Parametros'!$B$3/(0.85*'Parametros'!$B$2*H226))/2)/1000000</f>
        <v>196.346217941176</v>
      </c>
      <c r="AG226" s="10">
        <f>AC226*1.25*'Parametros'!$B$3*(AB226-(AC226*1.25*'Parametros'!$B$3/(0.85*'Parametros'!$B$2*H226))/2)/1000000</f>
        <v>196.346217941176</v>
      </c>
      <c r="AH226" s="10">
        <f>N226+(AF226+AG226)/D226</f>
        <v>152.802985751634</v>
      </c>
      <c r="AI226" s="10">
        <f>MAX(O226,AH226)</f>
        <v>220.855</v>
      </c>
      <c r="AJ226" s="10">
        <f>0.17*SQRT('Parametros'!$B$2)*H226*MIN(U226,AB226)/1000</f>
        <v>198.088855822627</v>
      </c>
      <c r="AK226" s="10">
        <f>MAX(AI226/'Parametros'!$B$6-AJ226,0)</f>
        <v>96.3844775107063</v>
      </c>
      <c r="AL226" s="10">
        <f>0.66*SQRT('Parametros'!$B$2)*H226*MIN(U226,AB226)/1000</f>
        <v>769.050852017258</v>
      </c>
      <c r="AM226" s="10" t="str">
        <f>IF(AK226&lt;=AL226,"CUMPLE","NO CUMPLE")</f>
        <v>CUMPLE</v>
      </c>
      <c r="AN226" s="17" t="inlineStr">
        <is>
          <t>Nº3 cerrado</t>
        </is>
      </c>
      <c r="AO226" s="31" t="n">
        <v>2</v>
      </c>
      <c r="AP226" s="10">
        <f>ROUNDDOWN(MIN(IF(BC226+BD226=0,1000000000,AO226*BB226/(BC226+BD226)),MIN(U226,AB226)/4,8*'Parametros'!$B$12,24*BA226,300,IF(AV226=0,1000000000,2*((H226-2*('Parametros'!$B$7+'Parametros'!$B$9/2))+(I226-2*('Parametros'!$B$7+'Parametros'!$B$9/2)))/8))/10,0)*10</f>
        <v>120</v>
      </c>
      <c r="AQ226" s="10">
        <f>ROUNDDOWN(MIN(IF(BC226+BD226=0,1000000000,AO226*BB226/(BC226+BD226)),IF(AK226&gt;0.33*SQRT('Parametros'!$B$2)*H226*MIN(U226,AB226)/1000,MIN(U226,AB226)/4,MIN(U226,AB226)/2),600,IF(AV226=0,1000000000,2*((H226-2*('Parametros'!$B$7+'Parametros'!$B$9/2))+(I226-2*('Parametros'!$B$7+'Parametros'!$B$9/2)))/8))/10,0)*10</f>
        <v>240</v>
      </c>
      <c r="AR226" s="10">
        <f>'Parametros'!$B$6*(AJ226+MAX(BE226-BD226,0)*'Parametros'!$B$4*MIN(U226,AB226)/1000)</f>
        <v>330.97185436697</v>
      </c>
      <c r="AS226" s="10" t="str">
        <f>IF(AND(ISERROR(SEARCH("referencia",AN226)),AM226="CUMPLE",AR226&gt;=AI226),"CUMPLE","NO CUMPLE")</f>
        <v>CUMPLE</v>
      </c>
      <c r="AT226" s="10">
        <f>'Parametros'!$B$6*0.083*SQRT('Parametros'!$B$2)*(H226*I226)^2/(2*(H226+I226))/1000000</f>
        <v>10.0887830333379</v>
      </c>
      <c r="AU226" s="10" t="str">
        <f>IF(Q226&lt;=AT226,"DESPRECIABLE","DISEÑAR")</f>
        <v>DESPRECIABLE</v>
      </c>
      <c r="AV226" s="10">
        <f>IF(Q226&lt;=AT226,0,Q226*1000000/('Parametros'!$B$6*2*0.85*(H226-2*('Parametros'!$B$7+'Parametros'!$B$9/2))*(I226-2*('Parametros'!$B$7+'Parametros'!$B$9/2))*'Parametros'!$B$4))</f>
        <v>0</v>
      </c>
      <c r="AW226" s="10">
        <f>AV226*2*((H226-2*('Parametros'!$B$7+'Parametros'!$B$9/2))+(I226-2*('Parametros'!$B$7+'Parametros'!$B$9/2)))*'Parametros'!$B$4/'Parametros'!$B$3</f>
        <v>0</v>
      </c>
      <c r="AX226" s="31" t="n">
        <v>0</v>
      </c>
      <c r="AY226" s="10" t="str">
        <f>IF(AV226=0,"DESPRECIABLE",IF(AND(ISERROR(SEARCH("referencia",AN226)),BB226/AP226&gt;=AV226,BI226&gt;=AW226,BH226="CUMPLE"),"CUMPLE","NO CUMPLE"))</f>
        <v>DESPRECIABLE</v>
      </c>
      <c r="AZ226" s="10" t="str">
        <f>IF(AND(X226="CUMPLE",AE226="CUMPLE",AS226="CUMPLE",OR(AY226="CUMPLE",AY226="DESPRECIABLE"),BH226="CUMPLE",BJ226="CUMPLE"),"CUMPLE","NO CUMPLE")</f>
        <v>CUMPLE</v>
      </c>
      <c r="BA226" s="32" t="n">
        <v>9.5</v>
      </c>
      <c r="BB226" s="32" t="n">
        <v>71</v>
      </c>
      <c r="BC226" s="10">
        <f>MAX(IF(AK226=0,0,AK226*1000/('Parametros'!$B$4*MIN(U226,AB226))),MAX(0.062*SQRT('Parametros'!$B$2)*H226/'Parametros'!$B$4,0.35*H226/'Parametros'!$B$4))</f>
        <v>0.468962605938423</v>
      </c>
      <c r="BD226" s="10">
        <f>2*AV226</f>
        <v>0</v>
      </c>
      <c r="BE226" s="10">
        <f>AO226*BB226/AP226</f>
        <v>1.18333333333333</v>
      </c>
      <c r="BF226" s="10">
        <f>SQRT((AI226*1000/(H226*MIN(U226,AB226)))^2+(Q226*1000000*2*((H226-2*('Parametros'!$B$7+'Parametros'!$B$9/2))+(I226-2*('Parametros'!$B$7+'Parametros'!$B$9/2)))/(1.7*((H226-2*('Parametros'!$B$7+'Parametros'!$B$9/2))*(I226-2*('Parametros'!$B$7+'Parametros'!$B$9/2)))^2))^2)</f>
        <v>1.0329703331615</v>
      </c>
      <c r="BG226" s="10">
        <f>'Parametros'!$B$6*(AJ226*1000/(H226*MIN(U226,AB226))+0.66*SQRT('Parametros'!$B$2))</f>
        <v>3.29396038227542</v>
      </c>
      <c r="BH226" s="10" t="str">
        <f>IF(BF226&lt;=BG226,"CUMPLE","NO CUMPLE")</f>
        <v>CUMPLE</v>
      </c>
      <c r="BI226" s="10">
        <f>AX226*'Parametros'!$B$8</f>
        <v>0</v>
      </c>
      <c r="BJ226" s="10" t="str">
        <f>IF(BI226&gt;=AW226,"CUMPLE","NO CUMPLE")</f>
        <v>CUMPLE</v>
      </c>
    </row>
    <row r="227">
      <c r="A227" s="21" t="inlineStr">
        <is>
          <t>VC7</t>
        </is>
      </c>
      <c r="B227" s="21" t="inlineStr">
        <is>
          <t>836</t>
        </is>
      </c>
      <c r="C227" s="10" t="n">
        <v>1</v>
      </c>
      <c r="D227" s="10" t="n">
        <v>2.05</v>
      </c>
      <c r="E227" s="10" t="n">
        <v>2.05</v>
      </c>
      <c r="F227" s="10" t="n">
        <v>450</v>
      </c>
      <c r="G227" s="10" t="n">
        <v>550</v>
      </c>
      <c r="H227" s="17" t="n">
        <v>450</v>
      </c>
      <c r="I227" s="17" t="n">
        <v>550</v>
      </c>
      <c r="J227" s="30" t="n">
        <v>156.1446</v>
      </c>
      <c r="K227" s="10" t="inlineStr">
        <is>
          <t>836</t>
        </is>
      </c>
      <c r="L227" s="30" t="n">
        <v>141.0919</v>
      </c>
      <c r="M227" s="10" t="inlineStr">
        <is>
          <t>836</t>
        </is>
      </c>
      <c r="N227" s="30" t="n">
        <v>121.437</v>
      </c>
      <c r="O227" s="30" t="n">
        <v>488.556</v>
      </c>
      <c r="P227" s="10" t="inlineStr">
        <is>
          <t>836</t>
        </is>
      </c>
      <c r="Q227" s="30" t="n">
        <v>14.943</v>
      </c>
      <c r="R227" s="10">
        <f>MAX(MAX(1.4/'Parametros'!$B$3,0.25*SQRT('Parametros'!$B$2)/'Parametros'!$B$3)*H227*U227,(0.85*'Parametros'!$B$2/'Parametros'!$B$3)*(1-SQRT(1-2*(J227*1000000/('Parametros'!$B$5*H227*U227^2))/(0.85*'Parametros'!$B$2)))*H227*U227)</f>
        <v>874.806516561463</v>
      </c>
      <c r="S227" s="31" t="n">
        <v>5</v>
      </c>
      <c r="T227" s="32" t="n">
        <v>1</v>
      </c>
      <c r="U227" s="10">
        <f>IF(T227=1,I227-('Parametros'!$B$7+'Parametros'!$B$9+'Parametros'!$B$12/2),I227-(ROUNDUP(S227/2,0)*('Parametros'!$B$7+'Parametros'!$B$9+'Parametros'!$B$12/2)+ROUNDDOWN(S227/2,0)*('Parametros'!$B$7+'Parametros'!$B$9+'Parametros'!$B$12/2+'Parametros'!$B$12+'Parametros'!$B$10))/S227)</f>
        <v>489.35</v>
      </c>
      <c r="V227" s="10">
        <f>S227*'Parametros'!$B$8</f>
        <v>995</v>
      </c>
      <c r="W227" s="10">
        <f>'Parametros'!$B$5*V227*'Parametros'!$B$3*(U227-(V227*'Parametros'!$B$3/(0.85*'Parametros'!$B$2*H227))/2)/1000000</f>
        <v>176.711596147059</v>
      </c>
      <c r="X227" s="10" t="str">
        <f>IF(W227&gt;=J227,"CUMPLE","NO CUMPLE")</f>
        <v>CUMPLE</v>
      </c>
      <c r="Y227" s="10">
        <f>MAX(MAX(1.4/'Parametros'!$B$3,0.25*SQRT('Parametros'!$B$2)/'Parametros'!$B$3)*H227*AB227,(0.85*'Parametros'!$B$2/'Parametros'!$B$3)*(1-SQRT(1-2*(L227*1000000/('Parametros'!$B$5*H227*AB227^2))/(0.85*'Parametros'!$B$2)))*H227*AB227)</f>
        <v>787.621702088163</v>
      </c>
      <c r="Z227" s="31" t="n">
        <v>4</v>
      </c>
      <c r="AA227" s="32" t="n">
        <v>1</v>
      </c>
      <c r="AB227" s="10">
        <f>IF(AA227=1,I227-('Parametros'!$B$7+'Parametros'!$B$9+'Parametros'!$B$12/2),I227-(ROUNDUP(Z227/2,0)*('Parametros'!$B$7+'Parametros'!$B$9+'Parametros'!$B$12/2)+ROUNDDOWN(Z227/2,0)*('Parametros'!$B$7+'Parametros'!$B$9+'Parametros'!$B$12/2+'Parametros'!$B$12+'Parametros'!$B$10))/Z227)</f>
        <v>489.35</v>
      </c>
      <c r="AC227" s="10">
        <f>Z227*'Parametros'!$B$8</f>
        <v>796</v>
      </c>
      <c r="AD227" s="10">
        <f>'Parametros'!$B$5*AC227*'Parametros'!$B$3*(AB227-(AC227*'Parametros'!$B$3/(0.85*'Parametros'!$B$2*H227))/2)/1000000</f>
        <v>142.543330094118</v>
      </c>
      <c r="AE227" s="10" t="str">
        <f>IF(AD227&gt;=L227,"CUMPLE","NO CUMPLE")</f>
        <v>CUMPLE</v>
      </c>
      <c r="AF227" s="10">
        <f>V227*1.25*'Parametros'!$B$3*(U227-(V227*1.25*'Parametros'!$B$3/(0.85*'Parametros'!$B$2*H227))/2)/1000000</f>
        <v>242.884913970588</v>
      </c>
      <c r="AG227" s="10">
        <f>AC227*1.25*'Parametros'!$B$3*(AB227-(AC227*1.25*'Parametros'!$B$3/(0.85*'Parametros'!$B$2*H227))/2)/1000000</f>
        <v>196.346217941176</v>
      </c>
      <c r="AH227" s="10">
        <f>N227+(AF227+AG227)/D227</f>
        <v>335.696088737446</v>
      </c>
      <c r="AI227" s="10">
        <f>MAX(O227,AH227)</f>
        <v>488.556</v>
      </c>
      <c r="AJ227" s="10">
        <f>0.17*SQRT('Parametros'!$B$2)*H227*MIN(U227,AB227)/1000</f>
        <v>198.088855822627</v>
      </c>
      <c r="AK227" s="10">
        <f>MAX(AI227/'Parametros'!$B$6-AJ227,0)</f>
        <v>453.319144177373</v>
      </c>
      <c r="AL227" s="10">
        <f>0.66*SQRT('Parametros'!$B$2)*H227*MIN(U227,AB227)/1000</f>
        <v>769.050852017258</v>
      </c>
      <c r="AM227" s="10" t="str">
        <f>IF(AK227&lt;=AL227,"CUMPLE","NO CUMPLE")</f>
        <v>CUMPLE</v>
      </c>
      <c r="AN227" s="17" t="inlineStr">
        <is>
          <t>Nº4 cerrado</t>
        </is>
      </c>
      <c r="AO227" s="31" t="n">
        <v>2</v>
      </c>
      <c r="AP227" s="10">
        <f>ROUNDDOWN(MIN(IF(BC227+BD227=0,1000000000,AO227*BB227/(BC227+BD227)),MIN(U227,AB227)/4,8*'Parametros'!$B$12,24*BA227,300,IF(AV227=0,1000000000,2*((H227-2*('Parametros'!$B$7+'Parametros'!$B$9/2))+(I227-2*('Parametros'!$B$7+'Parametros'!$B$9/2)))/8))/10,0)*10</f>
        <v>100</v>
      </c>
      <c r="AQ227" s="10">
        <f>ROUNDDOWN(MIN(IF(BC227+BD227=0,1000000000,AO227*BB227/(BC227+BD227)),IF(AK227&gt;0.33*SQRT('Parametros'!$B$2)*H227*MIN(U227,AB227)/1000,MIN(U227,AB227)/4,MIN(U227,AB227)/2),600,IF(AV227=0,1000000000,2*((H227-2*('Parametros'!$B$7+'Parametros'!$B$9/2))+(I227-2*('Parametros'!$B$7+'Parametros'!$B$9/2)))/8))/10,0)*10</f>
        <v>100</v>
      </c>
      <c r="AR227" s="10">
        <f>'Parametros'!$B$6*(AJ227+MAX(BE227-BD227,0)*'Parametros'!$B$4*MIN(U227,AB227)/1000)</f>
        <v>493.610675200659</v>
      </c>
      <c r="AS227" s="10" t="str">
        <f>IF(AND(ISERROR(SEARCH("referencia",AN227)),AM227="CUMPLE",AR227&gt;=AI227),"CUMPLE","NO CUMPLE")</f>
        <v>CUMPLE</v>
      </c>
      <c r="AT227" s="10">
        <f>'Parametros'!$B$6*0.083*SQRT('Parametros'!$B$2)*(H227*I227)^2/(2*(H227+I227))/1000000</f>
        <v>10.0887830333379</v>
      </c>
      <c r="AU227" s="10" t="str">
        <f>IF(Q227&lt;=AT227,"DESPRECIABLE","DISEÑAR")</f>
        <v>DISEÑAR</v>
      </c>
      <c r="AV227" s="10">
        <f>IF(Q227&lt;=AT227,0,Q227*1000000/('Parametros'!$B$6*2*0.85*(H227-2*('Parametros'!$B$7+'Parametros'!$B$9/2))*(I227-2*('Parametros'!$B$7+'Parametros'!$B$9/2))*'Parametros'!$B$4))</f>
        <v>0.170782789824245</v>
      </c>
      <c r="AW227" s="10">
        <f>AV227*2*((H227-2*('Parametros'!$B$7+'Parametros'!$B$9/2))+(I227-2*('Parametros'!$B$7+'Parametros'!$B$9/2)))*'Parametros'!$B$4/'Parametros'!$B$3</f>
        <v>278.23932118166</v>
      </c>
      <c r="AX227" s="31" t="n">
        <v>8</v>
      </c>
      <c r="AY227" s="10" t="str">
        <f>IF(AV227=0,"DESPRECIABLE",IF(AND(ISERROR(SEARCH("referencia",AN227)),BB227/AP227&gt;=AV227,BI227&gt;=AW227,BH227="CUMPLE"),"CUMPLE","NO CUMPLE"))</f>
        <v>CUMPLE</v>
      </c>
      <c r="AZ227" s="10" t="str">
        <f>IF(AND(X227="CUMPLE",AE227="CUMPLE",AS227="CUMPLE",OR(AY227="CUMPLE",AY227="DESPRECIABLE"),BH227="CUMPLE",BJ227="CUMPLE"),"CUMPLE","NO CUMPLE")</f>
        <v>CUMPLE</v>
      </c>
      <c r="BA227" s="32" t="n">
        <v>12.7</v>
      </c>
      <c r="BB227" s="32" t="n">
        <v>129</v>
      </c>
      <c r="BC227" s="10">
        <f>MAX(IF(AK227=0,0,AK227*1000/('Parametros'!$B$4*MIN(U227,AB227))),MAX(0.062*SQRT('Parametros'!$B$2)*H227/'Parametros'!$B$4,0.35*H227/'Parametros'!$B$4))</f>
        <v>2.20564278258999</v>
      </c>
      <c r="BD227" s="10">
        <f>2*AV227</f>
        <v>0.34156557964849</v>
      </c>
      <c r="BE227" s="10">
        <f>AO227*BB227/AP227</f>
        <v>2.58</v>
      </c>
      <c r="BF227" s="10">
        <f>SQRT((AI227*1000/(H227*MIN(U227,AB227)))^2+(Q227*1000000*2*((H227-2*('Parametros'!$B$7+'Parametros'!$B$9/2))+(I227-2*('Parametros'!$B$7+'Parametros'!$B$9/2)))/(1.7*((H227-2*('Parametros'!$B$7+'Parametros'!$B$9/2))*(I227-2*('Parametros'!$B$7+'Parametros'!$B$9/2)))^2))^2)</f>
        <v>2.28254076031447</v>
      </c>
      <c r="BG227" s="10">
        <f>'Parametros'!$B$6*(AJ227*1000/(H227*MIN(U227,AB227))+0.66*SQRT('Parametros'!$B$2))</f>
        <v>3.29396038227542</v>
      </c>
      <c r="BH227" s="10" t="str">
        <f>IF(BF227&lt;=BG227,"CUMPLE","NO CUMPLE")</f>
        <v>CUMPLE</v>
      </c>
      <c r="BI227" s="10">
        <f>AX227*'Parametros'!$B$8</f>
        <v>1592</v>
      </c>
      <c r="BJ227" s="10" t="str">
        <f>IF(BI227&gt;=AW227,"CUMPLE","NO CUMPLE")</f>
        <v>CUMPLE</v>
      </c>
    </row>
    <row r="228">
      <c r="A228" s="21" t="inlineStr">
        <is>
          <t>VC7</t>
        </is>
      </c>
      <c r="B228" s="21" t="inlineStr">
        <is>
          <t>923</t>
        </is>
      </c>
      <c r="C228" s="10" t="n">
        <v>1</v>
      </c>
      <c r="D228" s="10" t="n">
        <v>2.05</v>
      </c>
      <c r="E228" s="10" t="n">
        <v>2.05</v>
      </c>
      <c r="F228" s="10" t="n">
        <v>450</v>
      </c>
      <c r="G228" s="10" t="n">
        <v>550</v>
      </c>
      <c r="H228" s="17" t="n">
        <v>450</v>
      </c>
      <c r="I228" s="17" t="n">
        <v>550</v>
      </c>
      <c r="J228" s="30" t="n">
        <v>104.6651</v>
      </c>
      <c r="K228" s="10" t="inlineStr">
        <is>
          <t>923</t>
        </is>
      </c>
      <c r="L228" s="30" t="n">
        <v>90.27200000000001</v>
      </c>
      <c r="M228" s="10" t="inlineStr">
        <is>
          <t>923</t>
        </is>
      </c>
      <c r="N228" s="30" t="n">
        <v>82.834</v>
      </c>
      <c r="O228" s="30" t="n">
        <v>271.896</v>
      </c>
      <c r="P228" s="10" t="inlineStr">
        <is>
          <t>923</t>
        </is>
      </c>
      <c r="Q228" s="30" t="n">
        <v>10.3889</v>
      </c>
      <c r="R228" s="10">
        <f>MAX(MAX(1.4/'Parametros'!$B$3,0.25*SQRT('Parametros'!$B$2)/'Parametros'!$B$3)*H228*U228,(0.85*'Parametros'!$B$2/'Parametros'!$B$3)*(1-SQRT(1-2*(J228*1000000/('Parametros'!$B$5*H228*U228^2))/(0.85*'Parametros'!$B$2)))*H228*U228)</f>
        <v>734.025</v>
      </c>
      <c r="S228" s="31" t="n">
        <v>4</v>
      </c>
      <c r="T228" s="32" t="n">
        <v>1</v>
      </c>
      <c r="U228" s="10">
        <f>IF(T228=1,I228-('Parametros'!$B$7+'Parametros'!$B$9+'Parametros'!$B$12/2),I228-(ROUNDUP(S228/2,0)*('Parametros'!$B$7+'Parametros'!$B$9+'Parametros'!$B$12/2)+ROUNDDOWN(S228/2,0)*('Parametros'!$B$7+'Parametros'!$B$9+'Parametros'!$B$12/2+'Parametros'!$B$12+'Parametros'!$B$10))/S228)</f>
        <v>489.35</v>
      </c>
      <c r="V228" s="10">
        <f>S228*'Parametros'!$B$8</f>
        <v>796</v>
      </c>
      <c r="W228" s="10">
        <f>'Parametros'!$B$5*V228*'Parametros'!$B$3*(U228-(V228*'Parametros'!$B$3/(0.85*'Parametros'!$B$2*H228))/2)/1000000</f>
        <v>142.543330094118</v>
      </c>
      <c r="X228" s="10" t="str">
        <f>IF(W228&gt;=J228,"CUMPLE","NO CUMPLE")</f>
        <v>CUMPLE</v>
      </c>
      <c r="Y228" s="10">
        <f>MAX(MAX(1.4/'Parametros'!$B$3,0.25*SQRT('Parametros'!$B$2)/'Parametros'!$B$3)*H228*AB228,(0.85*'Parametros'!$B$2/'Parametros'!$B$3)*(1-SQRT(1-2*(L228*1000000/('Parametros'!$B$5*H228*AB228^2))/(0.85*'Parametros'!$B$2)))*H228*AB228)</f>
        <v>734.025</v>
      </c>
      <c r="Z228" s="31" t="n">
        <v>4</v>
      </c>
      <c r="AA228" s="32" t="n">
        <v>1</v>
      </c>
      <c r="AB228" s="10">
        <f>IF(AA228=1,I228-('Parametros'!$B$7+'Parametros'!$B$9+'Parametros'!$B$12/2),I228-(ROUNDUP(Z228/2,0)*('Parametros'!$B$7+'Parametros'!$B$9+'Parametros'!$B$12/2)+ROUNDDOWN(Z228/2,0)*('Parametros'!$B$7+'Parametros'!$B$9+'Parametros'!$B$12/2+'Parametros'!$B$12+'Parametros'!$B$10))/Z228)</f>
        <v>489.35</v>
      </c>
      <c r="AC228" s="10">
        <f>Z228*'Parametros'!$B$8</f>
        <v>796</v>
      </c>
      <c r="AD228" s="10">
        <f>'Parametros'!$B$5*AC228*'Parametros'!$B$3*(AB228-(AC228*'Parametros'!$B$3/(0.85*'Parametros'!$B$2*H228))/2)/1000000</f>
        <v>142.543330094118</v>
      </c>
      <c r="AE228" s="10" t="str">
        <f>IF(AD228&gt;=L228,"CUMPLE","NO CUMPLE")</f>
        <v>CUMPLE</v>
      </c>
      <c r="AF228" s="10">
        <f>V228*1.25*'Parametros'!$B$3*(U228-(V228*1.25*'Parametros'!$B$3/(0.85*'Parametros'!$B$2*H228))/2)/1000000</f>
        <v>196.346217941176</v>
      </c>
      <c r="AG228" s="10">
        <f>AC228*1.25*'Parametros'!$B$3*(AB228-(AC228*1.25*'Parametros'!$B$3/(0.85*'Parametros'!$B$2*H228))/2)/1000000</f>
        <v>196.346217941176</v>
      </c>
      <c r="AH228" s="10">
        <f>N228+(AF228+AG228)/D228</f>
        <v>274.39128579627</v>
      </c>
      <c r="AI228" s="10">
        <f>MAX(O228,AH228)</f>
        <v>274.39128579627</v>
      </c>
      <c r="AJ228" s="10">
        <f>0.17*SQRT('Parametros'!$B$2)*H228*MIN(U228,AB228)/1000</f>
        <v>198.088855822627</v>
      </c>
      <c r="AK228" s="10">
        <f>MAX(AI228/'Parametros'!$B$6-AJ228,0)</f>
        <v>167.766191905733</v>
      </c>
      <c r="AL228" s="10">
        <f>0.66*SQRT('Parametros'!$B$2)*H228*MIN(U228,AB228)/1000</f>
        <v>769.050852017258</v>
      </c>
      <c r="AM228" s="10" t="str">
        <f>IF(AK228&lt;=AL228,"CUMPLE","NO CUMPLE")</f>
        <v>CUMPLE</v>
      </c>
      <c r="AN228" s="17" t="inlineStr">
        <is>
          <t>Nº3 cerrado</t>
        </is>
      </c>
      <c r="AO228" s="31" t="n">
        <v>2</v>
      </c>
      <c r="AP228" s="10">
        <f>ROUNDDOWN(MIN(IF(BC228+BD228=0,1000000000,AO228*BB228/(BC228+BD228)),MIN(U228,AB228)/4,8*'Parametros'!$B$12,24*BA228,300,IF(AV228=0,1000000000,2*((H228-2*('Parametros'!$B$7+'Parametros'!$B$9/2))+(I228-2*('Parametros'!$B$7+'Parametros'!$B$9/2)))/8))/10,0)*10</f>
        <v>120</v>
      </c>
      <c r="AQ228" s="10">
        <f>ROUNDDOWN(MIN(IF(BC228+BD228=0,1000000000,AO228*BB228/(BC228+BD228)),IF(AK228&gt;0.33*SQRT('Parametros'!$B$2)*H228*MIN(U228,AB228)/1000,MIN(U228,AB228)/4,MIN(U228,AB228)/2),600,IF(AV228=0,1000000000,2*((H228-2*('Parametros'!$B$7+'Parametros'!$B$9/2))+(I228-2*('Parametros'!$B$7+'Parametros'!$B$9/2)))/8))/10,0)*10</f>
        <v>130</v>
      </c>
      <c r="AR228" s="10">
        <f>'Parametros'!$B$6*(AJ228+MAX(BE228-BD228,0)*'Parametros'!$B$4*MIN(U228,AB228)/1000)</f>
        <v>294.367224879575</v>
      </c>
      <c r="AS228" s="10" t="str">
        <f>IF(AND(ISERROR(SEARCH("referencia",AN228)),AM228="CUMPLE",AR228&gt;=AI228),"CUMPLE","NO CUMPLE")</f>
        <v>CUMPLE</v>
      </c>
      <c r="AT228" s="10">
        <f>'Parametros'!$B$6*0.083*SQRT('Parametros'!$B$2)*(H228*I228)^2/(2*(H228+I228))/1000000</f>
        <v>10.0887830333379</v>
      </c>
      <c r="AU228" s="10" t="str">
        <f>IF(Q228&lt;=AT228,"DESPRECIABLE","DISEÑAR")</f>
        <v>DISEÑAR</v>
      </c>
      <c r="AV228" s="10">
        <f>IF(Q228&lt;=AT228,0,Q228*1000000/('Parametros'!$B$6*2*0.85*(H228-2*('Parametros'!$B$7+'Parametros'!$B$9/2))*(I228-2*('Parametros'!$B$7+'Parametros'!$B$9/2))*'Parametros'!$B$4))</f>
        <v>0.118734211684742</v>
      </c>
      <c r="AW228" s="10">
        <f>AV228*2*((H228-2*('Parametros'!$B$7+'Parametros'!$B$9/2))+(I228-2*('Parametros'!$B$7+'Parametros'!$B$9/2)))*'Parametros'!$B$4/'Parametros'!$B$3</f>
        <v>193.441777676782</v>
      </c>
      <c r="AX228" s="31" t="n">
        <v>8</v>
      </c>
      <c r="AY228" s="10" t="str">
        <f>IF(AV228=0,"DESPRECIABLE",IF(AND(ISERROR(SEARCH("referencia",AN228)),BB228/AP228&gt;=AV228,BI228&gt;=AW228,BH228="CUMPLE"),"CUMPLE","NO CUMPLE"))</f>
        <v>CUMPLE</v>
      </c>
      <c r="AZ228" s="10" t="str">
        <f>IF(AND(X228="CUMPLE",AE228="CUMPLE",AS228="CUMPLE",OR(AY228="CUMPLE",AY228="DESPRECIABLE"),BH228="CUMPLE",BJ228="CUMPLE"),"CUMPLE","NO CUMPLE")</f>
        <v>CUMPLE</v>
      </c>
      <c r="BA228" s="32" t="n">
        <v>9.5</v>
      </c>
      <c r="BB228" s="32" t="n">
        <v>71</v>
      </c>
      <c r="BC228" s="10">
        <f>MAX(IF(AK228=0,0,AK228*1000/('Parametros'!$B$4*MIN(U228,AB228))),MAX(0.062*SQRT('Parametros'!$B$2)*H228/'Parametros'!$B$4,0.35*H228/'Parametros'!$B$4))</f>
        <v>0.816273248311573</v>
      </c>
      <c r="BD228" s="10">
        <f>2*AV228</f>
        <v>0.237468423369484</v>
      </c>
      <c r="BE228" s="10">
        <f>AO228*BB228/AP228</f>
        <v>1.18333333333333</v>
      </c>
      <c r="BF228" s="10">
        <f>SQRT((AI228*1000/(H228*MIN(U228,AB228)))^2+(Q228*1000000*2*((H228-2*('Parametros'!$B$7+'Parametros'!$B$9/2))+(I228-2*('Parametros'!$B$7+'Parametros'!$B$9/2)))/(1.7*((H228-2*('Parametros'!$B$7+'Parametros'!$B$9/2))*(I228-2*('Parametros'!$B$7+'Parametros'!$B$9/2)))^2))^2)</f>
        <v>1.30066771919265</v>
      </c>
      <c r="BG228" s="10">
        <f>'Parametros'!$B$6*(AJ228*1000/(H228*MIN(U228,AB228))+0.66*SQRT('Parametros'!$B$2))</f>
        <v>3.29396038227542</v>
      </c>
      <c r="BH228" s="10" t="str">
        <f>IF(BF228&lt;=BG228,"CUMPLE","NO CUMPLE")</f>
        <v>CUMPLE</v>
      </c>
      <c r="BI228" s="10">
        <f>AX228*'Parametros'!$B$8</f>
        <v>1592</v>
      </c>
      <c r="BJ228" s="10" t="str">
        <f>IF(BI228&gt;=AW228,"CUMPLE","NO CUMPLE")</f>
        <v>CUMPLE</v>
      </c>
    </row>
    <row r="229">
      <c r="A229" s="21" t="inlineStr">
        <is>
          <t>VC7</t>
        </is>
      </c>
      <c r="B229" s="21" t="inlineStr">
        <is>
          <t>924</t>
        </is>
      </c>
      <c r="C229" s="10" t="n">
        <v>1</v>
      </c>
      <c r="D229" s="10" t="n">
        <v>4.5</v>
      </c>
      <c r="E229" s="10" t="n">
        <v>4.5</v>
      </c>
      <c r="F229" s="10" t="n">
        <v>450</v>
      </c>
      <c r="G229" s="10" t="n">
        <v>550</v>
      </c>
      <c r="H229" s="17" t="n">
        <v>450</v>
      </c>
      <c r="I229" s="17" t="n">
        <v>550</v>
      </c>
      <c r="J229" s="30" t="n">
        <v>105.3918</v>
      </c>
      <c r="K229" s="10" t="inlineStr">
        <is>
          <t>924</t>
        </is>
      </c>
      <c r="L229" s="30" t="n">
        <v>80.08799999999999</v>
      </c>
      <c r="M229" s="10" t="inlineStr">
        <is>
          <t>924</t>
        </is>
      </c>
      <c r="N229" s="30" t="n">
        <v>54.214</v>
      </c>
      <c r="O229" s="30" t="n">
        <v>158.172</v>
      </c>
      <c r="P229" s="10" t="inlineStr">
        <is>
          <t>924</t>
        </is>
      </c>
      <c r="Q229" s="30" t="n">
        <v>5.3361</v>
      </c>
      <c r="R229" s="10">
        <f>MAX(MAX(1.4/'Parametros'!$B$3,0.25*SQRT('Parametros'!$B$2)/'Parametros'!$B$3)*H229*U229,(0.85*'Parametros'!$B$2/'Parametros'!$B$3)*(1-SQRT(1-2*(J229*1000000/('Parametros'!$B$5*H229*U229^2))/(0.85*'Parametros'!$B$2)))*H229*U229)</f>
        <v>734.025</v>
      </c>
      <c r="S229" s="31" t="n">
        <v>4</v>
      </c>
      <c r="T229" s="32" t="n">
        <v>1</v>
      </c>
      <c r="U229" s="10">
        <f>IF(T229=1,I229-('Parametros'!$B$7+'Parametros'!$B$9+'Parametros'!$B$12/2),I229-(ROUNDUP(S229/2,0)*('Parametros'!$B$7+'Parametros'!$B$9+'Parametros'!$B$12/2)+ROUNDDOWN(S229/2,0)*('Parametros'!$B$7+'Parametros'!$B$9+'Parametros'!$B$12/2+'Parametros'!$B$12+'Parametros'!$B$10))/S229)</f>
        <v>489.35</v>
      </c>
      <c r="V229" s="10">
        <f>S229*'Parametros'!$B$8</f>
        <v>796</v>
      </c>
      <c r="W229" s="10">
        <f>'Parametros'!$B$5*V229*'Parametros'!$B$3*(U229-(V229*'Parametros'!$B$3/(0.85*'Parametros'!$B$2*H229))/2)/1000000</f>
        <v>142.543330094118</v>
      </c>
      <c r="X229" s="10" t="str">
        <f>IF(W229&gt;=J229,"CUMPLE","NO CUMPLE")</f>
        <v>CUMPLE</v>
      </c>
      <c r="Y229" s="10">
        <f>MAX(MAX(1.4/'Parametros'!$B$3,0.25*SQRT('Parametros'!$B$2)/'Parametros'!$B$3)*H229*AB229,(0.85*'Parametros'!$B$2/'Parametros'!$B$3)*(1-SQRT(1-2*(L229*1000000/('Parametros'!$B$5*H229*AB229^2))/(0.85*'Parametros'!$B$2)))*H229*AB229)</f>
        <v>734.025</v>
      </c>
      <c r="Z229" s="31" t="n">
        <v>4</v>
      </c>
      <c r="AA229" s="32" t="n">
        <v>1</v>
      </c>
      <c r="AB229" s="10">
        <f>IF(AA229=1,I229-('Parametros'!$B$7+'Parametros'!$B$9+'Parametros'!$B$12/2),I229-(ROUNDUP(Z229/2,0)*('Parametros'!$B$7+'Parametros'!$B$9+'Parametros'!$B$12/2)+ROUNDDOWN(Z229/2,0)*('Parametros'!$B$7+'Parametros'!$B$9+'Parametros'!$B$12/2+'Parametros'!$B$12+'Parametros'!$B$10))/Z229)</f>
        <v>489.35</v>
      </c>
      <c r="AC229" s="10">
        <f>Z229*'Parametros'!$B$8</f>
        <v>796</v>
      </c>
      <c r="AD229" s="10">
        <f>'Parametros'!$B$5*AC229*'Parametros'!$B$3*(AB229-(AC229*'Parametros'!$B$3/(0.85*'Parametros'!$B$2*H229))/2)/1000000</f>
        <v>142.543330094118</v>
      </c>
      <c r="AE229" s="10" t="str">
        <f>IF(AD229&gt;=L229,"CUMPLE","NO CUMPLE")</f>
        <v>CUMPLE</v>
      </c>
      <c r="AF229" s="10">
        <f>V229*1.25*'Parametros'!$B$3*(U229-(V229*1.25*'Parametros'!$B$3/(0.85*'Parametros'!$B$2*H229))/2)/1000000</f>
        <v>196.346217941176</v>
      </c>
      <c r="AG229" s="10">
        <f>AC229*1.25*'Parametros'!$B$3*(AB229-(AC229*1.25*'Parametros'!$B$3/(0.85*'Parametros'!$B$2*H229))/2)/1000000</f>
        <v>196.346217941176</v>
      </c>
      <c r="AH229" s="10">
        <f>N229+(AF229+AG229)/D229</f>
        <v>141.478985751634</v>
      </c>
      <c r="AI229" s="10">
        <f>MAX(O229,AH229)</f>
        <v>158.172</v>
      </c>
      <c r="AJ229" s="10">
        <f>0.17*SQRT('Parametros'!$B$2)*H229*MIN(U229,AB229)/1000</f>
        <v>198.088855822627</v>
      </c>
      <c r="AK229" s="10">
        <f>MAX(AI229/'Parametros'!$B$6-AJ229,0)</f>
        <v>12.807144177373</v>
      </c>
      <c r="AL229" s="10">
        <f>0.66*SQRT('Parametros'!$B$2)*H229*MIN(U229,AB229)/1000</f>
        <v>769.050852017258</v>
      </c>
      <c r="AM229" s="10" t="str">
        <f>IF(AK229&lt;=AL229,"CUMPLE","NO CUMPLE")</f>
        <v>CUMPLE</v>
      </c>
      <c r="AN229" s="17" t="inlineStr">
        <is>
          <t>Nº3 cerrado</t>
        </is>
      </c>
      <c r="AO229" s="31" t="n">
        <v>2</v>
      </c>
      <c r="AP229" s="10">
        <f>ROUNDDOWN(MIN(IF(BC229+BD229=0,1000000000,AO229*BB229/(BC229+BD229)),MIN(U229,AB229)/4,8*'Parametros'!$B$12,24*BA229,300,IF(AV229=0,1000000000,2*((H229-2*('Parametros'!$B$7+'Parametros'!$B$9/2))+(I229-2*('Parametros'!$B$7+'Parametros'!$B$9/2)))/8))/10,0)*10</f>
        <v>120</v>
      </c>
      <c r="AQ229" s="10">
        <f>ROUNDDOWN(MIN(IF(BC229+BD229=0,1000000000,AO229*BB229/(BC229+BD229)),IF(AK229&gt;0.33*SQRT('Parametros'!$B$2)*H229*MIN(U229,AB229)/1000,MIN(U229,AB229)/4,MIN(U229,AB229)/2),600,IF(AV229=0,1000000000,2*((H229-2*('Parametros'!$B$7+'Parametros'!$B$9/2))+(I229-2*('Parametros'!$B$7+'Parametros'!$B$9/2)))/8))/10,0)*10</f>
        <v>240</v>
      </c>
      <c r="AR229" s="10">
        <f>'Parametros'!$B$6*(AJ229+MAX(BE229-BD229,0)*'Parametros'!$B$4*MIN(U229,AB229)/1000)</f>
        <v>330.97185436697</v>
      </c>
      <c r="AS229" s="10" t="str">
        <f>IF(AND(ISERROR(SEARCH("referencia",AN229)),AM229="CUMPLE",AR229&gt;=AI229),"CUMPLE","NO CUMPLE")</f>
        <v>CUMPLE</v>
      </c>
      <c r="AT229" s="10">
        <f>'Parametros'!$B$6*0.083*SQRT('Parametros'!$B$2)*(H229*I229)^2/(2*(H229+I229))/1000000</f>
        <v>10.0887830333379</v>
      </c>
      <c r="AU229" s="10" t="str">
        <f>IF(Q229&lt;=AT229,"DESPRECIABLE","DISEÑAR")</f>
        <v>DESPRECIABLE</v>
      </c>
      <c r="AV229" s="10">
        <f>IF(Q229&lt;=AT229,0,Q229*1000000/('Parametros'!$B$6*2*0.85*(H229-2*('Parametros'!$B$7+'Parametros'!$B$9/2))*(I229-2*('Parametros'!$B$7+'Parametros'!$B$9/2))*'Parametros'!$B$4))</f>
        <v>0</v>
      </c>
      <c r="AW229" s="10">
        <f>AV229*2*((H229-2*('Parametros'!$B$7+'Parametros'!$B$9/2))+(I229-2*('Parametros'!$B$7+'Parametros'!$B$9/2)))*'Parametros'!$B$4/'Parametros'!$B$3</f>
        <v>0</v>
      </c>
      <c r="AX229" s="31" t="n">
        <v>0</v>
      </c>
      <c r="AY229" s="10" t="str">
        <f>IF(AV229=0,"DESPRECIABLE",IF(AND(ISERROR(SEARCH("referencia",AN229)),BB229/AP229&gt;=AV229,BI229&gt;=AW229,BH229="CUMPLE"),"CUMPLE","NO CUMPLE"))</f>
        <v>DESPRECIABLE</v>
      </c>
      <c r="AZ229" s="10" t="str">
        <f>IF(AND(X229="CUMPLE",AE229="CUMPLE",AS229="CUMPLE",OR(AY229="CUMPLE",AY229="DESPRECIABLE"),BH229="CUMPLE",BJ229="CUMPLE"),"CUMPLE","NO CUMPLE")</f>
        <v>CUMPLE</v>
      </c>
      <c r="BA229" s="32" t="n">
        <v>9.5</v>
      </c>
      <c r="BB229" s="32" t="n">
        <v>71</v>
      </c>
      <c r="BC229" s="10">
        <f>MAX(IF(AK229=0,0,AK229*1000/('Parametros'!$B$4*MIN(U229,AB229))),MAX(0.062*SQRT('Parametros'!$B$2)*H229/'Parametros'!$B$4,0.35*H229/'Parametros'!$B$4))</f>
        <v>0.375</v>
      </c>
      <c r="BD229" s="10">
        <f>2*AV229</f>
        <v>0</v>
      </c>
      <c r="BE229" s="10">
        <f>AO229*BB229/AP229</f>
        <v>1.18333333333333</v>
      </c>
      <c r="BF229" s="10">
        <f>SQRT((AI229*1000/(H229*MIN(U229,AB229)))^2+(Q229*1000000*2*((H229-2*('Parametros'!$B$7+'Parametros'!$B$9/2))+(I229-2*('Parametros'!$B$7+'Parametros'!$B$9/2)))/(1.7*((H229-2*('Parametros'!$B$7+'Parametros'!$B$9/2))*(I229-2*('Parametros'!$B$7+'Parametros'!$B$9/2)))^2))^2)</f>
        <v>0.74338833613576</v>
      </c>
      <c r="BG229" s="10">
        <f>'Parametros'!$B$6*(AJ229*1000/(H229*MIN(U229,AB229))+0.66*SQRT('Parametros'!$B$2))</f>
        <v>3.29396038227542</v>
      </c>
      <c r="BH229" s="10" t="str">
        <f>IF(BF229&lt;=BG229,"CUMPLE","NO CUMPLE")</f>
        <v>CUMPLE</v>
      </c>
      <c r="BI229" s="10">
        <f>AX229*'Parametros'!$B$8</f>
        <v>0</v>
      </c>
      <c r="BJ229" s="10" t="str">
        <f>IF(BI229&gt;=AW229,"CUMPLE","NO CUMPLE")</f>
        <v>CUMPLE</v>
      </c>
    </row>
    <row r="230">
      <c r="A230" s="21" t="inlineStr">
        <is>
          <t>VC7</t>
        </is>
      </c>
      <c r="B230" s="21" t="inlineStr">
        <is>
          <t>925</t>
        </is>
      </c>
      <c r="C230" s="10" t="n">
        <v>1</v>
      </c>
      <c r="D230" s="10" t="n">
        <v>4.5</v>
      </c>
      <c r="E230" s="10" t="n">
        <v>4.5</v>
      </c>
      <c r="F230" s="10" t="n">
        <v>450</v>
      </c>
      <c r="G230" s="10" t="n">
        <v>550</v>
      </c>
      <c r="H230" s="17" t="n">
        <v>450</v>
      </c>
      <c r="I230" s="17" t="n">
        <v>550</v>
      </c>
      <c r="J230" s="30" t="n">
        <v>105.4033</v>
      </c>
      <c r="K230" s="10" t="inlineStr">
        <is>
          <t>925</t>
        </is>
      </c>
      <c r="L230" s="30" t="n">
        <v>80.0996</v>
      </c>
      <c r="M230" s="10" t="inlineStr">
        <is>
          <t>925</t>
        </is>
      </c>
      <c r="N230" s="30" t="n">
        <v>54.219</v>
      </c>
      <c r="O230" s="30" t="n">
        <v>158.177</v>
      </c>
      <c r="P230" s="10" t="inlineStr">
        <is>
          <t>925</t>
        </is>
      </c>
      <c r="Q230" s="30" t="n">
        <v>5.3353</v>
      </c>
      <c r="R230" s="10">
        <f>MAX(MAX(1.4/'Parametros'!$B$3,0.25*SQRT('Parametros'!$B$2)/'Parametros'!$B$3)*H230*U230,(0.85*'Parametros'!$B$2/'Parametros'!$B$3)*(1-SQRT(1-2*(J230*1000000/('Parametros'!$B$5*H230*U230^2))/(0.85*'Parametros'!$B$2)))*H230*U230)</f>
        <v>734.025</v>
      </c>
      <c r="S230" s="31" t="n">
        <v>4</v>
      </c>
      <c r="T230" s="32" t="n">
        <v>1</v>
      </c>
      <c r="U230" s="10">
        <f>IF(T230=1,I230-('Parametros'!$B$7+'Parametros'!$B$9+'Parametros'!$B$12/2),I230-(ROUNDUP(S230/2,0)*('Parametros'!$B$7+'Parametros'!$B$9+'Parametros'!$B$12/2)+ROUNDDOWN(S230/2,0)*('Parametros'!$B$7+'Parametros'!$B$9+'Parametros'!$B$12/2+'Parametros'!$B$12+'Parametros'!$B$10))/S230)</f>
        <v>489.35</v>
      </c>
      <c r="V230" s="10">
        <f>S230*'Parametros'!$B$8</f>
        <v>796</v>
      </c>
      <c r="W230" s="10">
        <f>'Parametros'!$B$5*V230*'Parametros'!$B$3*(U230-(V230*'Parametros'!$B$3/(0.85*'Parametros'!$B$2*H230))/2)/1000000</f>
        <v>142.543330094118</v>
      </c>
      <c r="X230" s="10" t="str">
        <f>IF(W230&gt;=J230,"CUMPLE","NO CUMPLE")</f>
        <v>CUMPLE</v>
      </c>
      <c r="Y230" s="10">
        <f>MAX(MAX(1.4/'Parametros'!$B$3,0.25*SQRT('Parametros'!$B$2)/'Parametros'!$B$3)*H230*AB230,(0.85*'Parametros'!$B$2/'Parametros'!$B$3)*(1-SQRT(1-2*(L230*1000000/('Parametros'!$B$5*H230*AB230^2))/(0.85*'Parametros'!$B$2)))*H230*AB230)</f>
        <v>734.025</v>
      </c>
      <c r="Z230" s="31" t="n">
        <v>4</v>
      </c>
      <c r="AA230" s="32" t="n">
        <v>1</v>
      </c>
      <c r="AB230" s="10">
        <f>IF(AA230=1,I230-('Parametros'!$B$7+'Parametros'!$B$9+'Parametros'!$B$12/2),I230-(ROUNDUP(Z230/2,0)*('Parametros'!$B$7+'Parametros'!$B$9+'Parametros'!$B$12/2)+ROUNDDOWN(Z230/2,0)*('Parametros'!$B$7+'Parametros'!$B$9+'Parametros'!$B$12/2+'Parametros'!$B$12+'Parametros'!$B$10))/Z230)</f>
        <v>489.35</v>
      </c>
      <c r="AC230" s="10">
        <f>Z230*'Parametros'!$B$8</f>
        <v>796</v>
      </c>
      <c r="AD230" s="10">
        <f>'Parametros'!$B$5*AC230*'Parametros'!$B$3*(AB230-(AC230*'Parametros'!$B$3/(0.85*'Parametros'!$B$2*H230))/2)/1000000</f>
        <v>142.543330094118</v>
      </c>
      <c r="AE230" s="10" t="str">
        <f>IF(AD230&gt;=L230,"CUMPLE","NO CUMPLE")</f>
        <v>CUMPLE</v>
      </c>
      <c r="AF230" s="10">
        <f>V230*1.25*'Parametros'!$B$3*(U230-(V230*1.25*'Parametros'!$B$3/(0.85*'Parametros'!$B$2*H230))/2)/1000000</f>
        <v>196.346217941176</v>
      </c>
      <c r="AG230" s="10">
        <f>AC230*1.25*'Parametros'!$B$3*(AB230-(AC230*1.25*'Parametros'!$B$3/(0.85*'Parametros'!$B$2*H230))/2)/1000000</f>
        <v>196.346217941176</v>
      </c>
      <c r="AH230" s="10">
        <f>N230+(AF230+AG230)/D230</f>
        <v>141.483985751634</v>
      </c>
      <c r="AI230" s="10">
        <f>MAX(O230,AH230)</f>
        <v>158.177</v>
      </c>
      <c r="AJ230" s="10">
        <f>0.17*SQRT('Parametros'!$B$2)*H230*MIN(U230,AB230)/1000</f>
        <v>198.088855822627</v>
      </c>
      <c r="AK230" s="10">
        <f>MAX(AI230/'Parametros'!$B$6-AJ230,0)</f>
        <v>12.8138108440397</v>
      </c>
      <c r="AL230" s="10">
        <f>0.66*SQRT('Parametros'!$B$2)*H230*MIN(U230,AB230)/1000</f>
        <v>769.050852017258</v>
      </c>
      <c r="AM230" s="10" t="str">
        <f>IF(AK230&lt;=AL230,"CUMPLE","NO CUMPLE")</f>
        <v>CUMPLE</v>
      </c>
      <c r="AN230" s="17" t="inlineStr">
        <is>
          <t>Nº3 cerrado</t>
        </is>
      </c>
      <c r="AO230" s="31" t="n">
        <v>2</v>
      </c>
      <c r="AP230" s="10">
        <f>ROUNDDOWN(MIN(IF(BC230+BD230=0,1000000000,AO230*BB230/(BC230+BD230)),MIN(U230,AB230)/4,8*'Parametros'!$B$12,24*BA230,300,IF(AV230=0,1000000000,2*((H230-2*('Parametros'!$B$7+'Parametros'!$B$9/2))+(I230-2*('Parametros'!$B$7+'Parametros'!$B$9/2)))/8))/10,0)*10</f>
        <v>120</v>
      </c>
      <c r="AQ230" s="10">
        <f>ROUNDDOWN(MIN(IF(BC230+BD230=0,1000000000,AO230*BB230/(BC230+BD230)),IF(AK230&gt;0.33*SQRT('Parametros'!$B$2)*H230*MIN(U230,AB230)/1000,MIN(U230,AB230)/4,MIN(U230,AB230)/2),600,IF(AV230=0,1000000000,2*((H230-2*('Parametros'!$B$7+'Parametros'!$B$9/2))+(I230-2*('Parametros'!$B$7+'Parametros'!$B$9/2)))/8))/10,0)*10</f>
        <v>240</v>
      </c>
      <c r="AR230" s="10">
        <f>'Parametros'!$B$6*(AJ230+MAX(BE230-BD230,0)*'Parametros'!$B$4*MIN(U230,AB230)/1000)</f>
        <v>330.97185436697</v>
      </c>
      <c r="AS230" s="10" t="str">
        <f>IF(AND(ISERROR(SEARCH("referencia",AN230)),AM230="CUMPLE",AR230&gt;=AI230),"CUMPLE","NO CUMPLE")</f>
        <v>CUMPLE</v>
      </c>
      <c r="AT230" s="10">
        <f>'Parametros'!$B$6*0.083*SQRT('Parametros'!$B$2)*(H230*I230)^2/(2*(H230+I230))/1000000</f>
        <v>10.0887830333379</v>
      </c>
      <c r="AU230" s="10" t="str">
        <f>IF(Q230&lt;=AT230,"DESPRECIABLE","DISEÑAR")</f>
        <v>DESPRECIABLE</v>
      </c>
      <c r="AV230" s="10">
        <f>IF(Q230&lt;=AT230,0,Q230*1000000/('Parametros'!$B$6*2*0.85*(H230-2*('Parametros'!$B$7+'Parametros'!$B$9/2))*(I230-2*('Parametros'!$B$7+'Parametros'!$B$9/2))*'Parametros'!$B$4))</f>
        <v>0</v>
      </c>
      <c r="AW230" s="10">
        <f>AV230*2*((H230-2*('Parametros'!$B$7+'Parametros'!$B$9/2))+(I230-2*('Parametros'!$B$7+'Parametros'!$B$9/2)))*'Parametros'!$B$4/'Parametros'!$B$3</f>
        <v>0</v>
      </c>
      <c r="AX230" s="31" t="n">
        <v>0</v>
      </c>
      <c r="AY230" s="10" t="str">
        <f>IF(AV230=0,"DESPRECIABLE",IF(AND(ISERROR(SEARCH("referencia",AN230)),BB230/AP230&gt;=AV230,BI230&gt;=AW230,BH230="CUMPLE"),"CUMPLE","NO CUMPLE"))</f>
        <v>DESPRECIABLE</v>
      </c>
      <c r="AZ230" s="10" t="str">
        <f>IF(AND(X230="CUMPLE",AE230="CUMPLE",AS230="CUMPLE",OR(AY230="CUMPLE",AY230="DESPRECIABLE"),BH230="CUMPLE",BJ230="CUMPLE"),"CUMPLE","NO CUMPLE")</f>
        <v>CUMPLE</v>
      </c>
      <c r="BA230" s="32" t="n">
        <v>9.5</v>
      </c>
      <c r="BB230" s="32" t="n">
        <v>71</v>
      </c>
      <c r="BC230" s="10">
        <f>MAX(IF(AK230=0,0,AK230*1000/('Parametros'!$B$4*MIN(U230,AB230))),MAX(0.062*SQRT('Parametros'!$B$2)*H230/'Parametros'!$B$4,0.35*H230/'Parametros'!$B$4))</f>
        <v>0.375</v>
      </c>
      <c r="BD230" s="10">
        <f>2*AV230</f>
        <v>0</v>
      </c>
      <c r="BE230" s="10">
        <f>AO230*BB230/AP230</f>
        <v>1.18333333333333</v>
      </c>
      <c r="BF230" s="10">
        <f>SQRT((AI230*1000/(H230*MIN(U230,AB230)))^2+(Q230*1000000*2*((H230-2*('Parametros'!$B$7+'Parametros'!$B$9/2))+(I230-2*('Parametros'!$B$7+'Parametros'!$B$9/2)))/(1.7*((H230-2*('Parametros'!$B$7+'Parametros'!$B$9/2))*(I230-2*('Parametros'!$B$7+'Parametros'!$B$9/2)))^2))^2)</f>
        <v>0.743402876368799</v>
      </c>
      <c r="BG230" s="10">
        <f>'Parametros'!$B$6*(AJ230*1000/(H230*MIN(U230,AB230))+0.66*SQRT('Parametros'!$B$2))</f>
        <v>3.29396038227542</v>
      </c>
      <c r="BH230" s="10" t="str">
        <f>IF(BF230&lt;=BG230,"CUMPLE","NO CUMPLE")</f>
        <v>CUMPLE</v>
      </c>
      <c r="BI230" s="10">
        <f>AX230*'Parametros'!$B$8</f>
        <v>0</v>
      </c>
      <c r="BJ230" s="10" t="str">
        <f>IF(BI230&gt;=AW230,"CUMPLE","NO CUMPLE")</f>
        <v>CUMPLE</v>
      </c>
    </row>
    <row r="231">
      <c r="A231" s="21" t="inlineStr">
        <is>
          <t>VC7</t>
        </is>
      </c>
      <c r="B231" s="21" t="inlineStr">
        <is>
          <t>926</t>
        </is>
      </c>
      <c r="C231" s="10" t="n">
        <v>1</v>
      </c>
      <c r="D231" s="10" t="n">
        <v>2.05</v>
      </c>
      <c r="E231" s="10" t="n">
        <v>2.05</v>
      </c>
      <c r="F231" s="10" t="n">
        <v>450</v>
      </c>
      <c r="G231" s="10" t="n">
        <v>550</v>
      </c>
      <c r="H231" s="17" t="n">
        <v>450</v>
      </c>
      <c r="I231" s="17" t="n">
        <v>550</v>
      </c>
      <c r="J231" s="30" t="n">
        <v>104.6757</v>
      </c>
      <c r="K231" s="10" t="inlineStr">
        <is>
          <t>926</t>
        </is>
      </c>
      <c r="L231" s="30" t="n">
        <v>90.28100000000001</v>
      </c>
      <c r="M231" s="10" t="inlineStr">
        <is>
          <t>926</t>
        </is>
      </c>
      <c r="N231" s="30" t="n">
        <v>82.84099999999999</v>
      </c>
      <c r="O231" s="30" t="n">
        <v>271.904</v>
      </c>
      <c r="P231" s="10" t="inlineStr">
        <is>
          <t>926</t>
        </is>
      </c>
      <c r="Q231" s="30" t="n">
        <v>10.3875</v>
      </c>
      <c r="R231" s="10">
        <f>MAX(MAX(1.4/'Parametros'!$B$3,0.25*SQRT('Parametros'!$B$2)/'Parametros'!$B$3)*H231*U231,(0.85*'Parametros'!$B$2/'Parametros'!$B$3)*(1-SQRT(1-2*(J231*1000000/('Parametros'!$B$5*H231*U231^2))/(0.85*'Parametros'!$B$2)))*H231*U231)</f>
        <v>734.025</v>
      </c>
      <c r="S231" s="31" t="n">
        <v>4</v>
      </c>
      <c r="T231" s="32" t="n">
        <v>1</v>
      </c>
      <c r="U231" s="10">
        <f>IF(T231=1,I231-('Parametros'!$B$7+'Parametros'!$B$9+'Parametros'!$B$12/2),I231-(ROUNDUP(S231/2,0)*('Parametros'!$B$7+'Parametros'!$B$9+'Parametros'!$B$12/2)+ROUNDDOWN(S231/2,0)*('Parametros'!$B$7+'Parametros'!$B$9+'Parametros'!$B$12/2+'Parametros'!$B$12+'Parametros'!$B$10))/S231)</f>
        <v>489.35</v>
      </c>
      <c r="V231" s="10">
        <f>S231*'Parametros'!$B$8</f>
        <v>796</v>
      </c>
      <c r="W231" s="10">
        <f>'Parametros'!$B$5*V231*'Parametros'!$B$3*(U231-(V231*'Parametros'!$B$3/(0.85*'Parametros'!$B$2*H231))/2)/1000000</f>
        <v>142.543330094118</v>
      </c>
      <c r="X231" s="10" t="str">
        <f>IF(W231&gt;=J231,"CUMPLE","NO CUMPLE")</f>
        <v>CUMPLE</v>
      </c>
      <c r="Y231" s="10">
        <f>MAX(MAX(1.4/'Parametros'!$B$3,0.25*SQRT('Parametros'!$B$2)/'Parametros'!$B$3)*H231*AB231,(0.85*'Parametros'!$B$2/'Parametros'!$B$3)*(1-SQRT(1-2*(L231*1000000/('Parametros'!$B$5*H231*AB231^2))/(0.85*'Parametros'!$B$2)))*H231*AB231)</f>
        <v>734.025</v>
      </c>
      <c r="Z231" s="31" t="n">
        <v>4</v>
      </c>
      <c r="AA231" s="32" t="n">
        <v>1</v>
      </c>
      <c r="AB231" s="10">
        <f>IF(AA231=1,I231-('Parametros'!$B$7+'Parametros'!$B$9+'Parametros'!$B$12/2),I231-(ROUNDUP(Z231/2,0)*('Parametros'!$B$7+'Parametros'!$B$9+'Parametros'!$B$12/2)+ROUNDDOWN(Z231/2,0)*('Parametros'!$B$7+'Parametros'!$B$9+'Parametros'!$B$12/2+'Parametros'!$B$12+'Parametros'!$B$10))/Z231)</f>
        <v>489.35</v>
      </c>
      <c r="AC231" s="10">
        <f>Z231*'Parametros'!$B$8</f>
        <v>796</v>
      </c>
      <c r="AD231" s="10">
        <f>'Parametros'!$B$5*AC231*'Parametros'!$B$3*(AB231-(AC231*'Parametros'!$B$3/(0.85*'Parametros'!$B$2*H231))/2)/1000000</f>
        <v>142.543330094118</v>
      </c>
      <c r="AE231" s="10" t="str">
        <f>IF(AD231&gt;=L231,"CUMPLE","NO CUMPLE")</f>
        <v>CUMPLE</v>
      </c>
      <c r="AF231" s="10">
        <f>V231*1.25*'Parametros'!$B$3*(U231-(V231*1.25*'Parametros'!$B$3/(0.85*'Parametros'!$B$2*H231))/2)/1000000</f>
        <v>196.346217941176</v>
      </c>
      <c r="AG231" s="10">
        <f>AC231*1.25*'Parametros'!$B$3*(AB231-(AC231*1.25*'Parametros'!$B$3/(0.85*'Parametros'!$B$2*H231))/2)/1000000</f>
        <v>196.346217941176</v>
      </c>
      <c r="AH231" s="10">
        <f>N231+(AF231+AG231)/D231</f>
        <v>274.39828579627</v>
      </c>
      <c r="AI231" s="10">
        <f>MAX(O231,AH231)</f>
        <v>274.39828579627</v>
      </c>
      <c r="AJ231" s="10">
        <f>0.17*SQRT('Parametros'!$B$2)*H231*MIN(U231,AB231)/1000</f>
        <v>198.088855822627</v>
      </c>
      <c r="AK231" s="10">
        <f>MAX(AI231/'Parametros'!$B$6-AJ231,0)</f>
        <v>167.775525239066</v>
      </c>
      <c r="AL231" s="10">
        <f>0.66*SQRT('Parametros'!$B$2)*H231*MIN(U231,AB231)/1000</f>
        <v>769.050852017258</v>
      </c>
      <c r="AM231" s="10" t="str">
        <f>IF(AK231&lt;=AL231,"CUMPLE","NO CUMPLE")</f>
        <v>CUMPLE</v>
      </c>
      <c r="AN231" s="17" t="inlineStr">
        <is>
          <t>Nº3 cerrado</t>
        </is>
      </c>
      <c r="AO231" s="31" t="n">
        <v>2</v>
      </c>
      <c r="AP231" s="10">
        <f>ROUNDDOWN(MIN(IF(BC231+BD231=0,1000000000,AO231*BB231/(BC231+BD231)),MIN(U231,AB231)/4,8*'Parametros'!$B$12,24*BA231,300,IF(AV231=0,1000000000,2*((H231-2*('Parametros'!$B$7+'Parametros'!$B$9/2))+(I231-2*('Parametros'!$B$7+'Parametros'!$B$9/2)))/8))/10,0)*10</f>
        <v>120</v>
      </c>
      <c r="AQ231" s="10">
        <f>ROUNDDOWN(MIN(IF(BC231+BD231=0,1000000000,AO231*BB231/(BC231+BD231)),IF(AK231&gt;0.33*SQRT('Parametros'!$B$2)*H231*MIN(U231,AB231)/1000,MIN(U231,AB231)/4,MIN(U231,AB231)/2),600,IF(AV231=0,1000000000,2*((H231-2*('Parametros'!$B$7+'Parametros'!$B$9/2))+(I231-2*('Parametros'!$B$7+'Parametros'!$B$9/2)))/8))/10,0)*10</f>
        <v>130</v>
      </c>
      <c r="AR231" s="10">
        <f>'Parametros'!$B$6*(AJ231+MAX(BE231-BD231,0)*'Parametros'!$B$4*MIN(U231,AB231)/1000)</f>
        <v>294.37215769068</v>
      </c>
      <c r="AS231" s="10" t="str">
        <f>IF(AND(ISERROR(SEARCH("referencia",AN231)),AM231="CUMPLE",AR231&gt;=AI231),"CUMPLE","NO CUMPLE")</f>
        <v>CUMPLE</v>
      </c>
      <c r="AT231" s="10">
        <f>'Parametros'!$B$6*0.083*SQRT('Parametros'!$B$2)*(H231*I231)^2/(2*(H231+I231))/1000000</f>
        <v>10.0887830333379</v>
      </c>
      <c r="AU231" s="10" t="str">
        <f>IF(Q231&lt;=AT231,"DESPRECIABLE","DISEÑAR")</f>
        <v>DISEÑAR</v>
      </c>
      <c r="AV231" s="10">
        <f>IF(Q231&lt;=AT231,0,Q231*1000000/('Parametros'!$B$6*2*0.85*(H231-2*('Parametros'!$B$7+'Parametros'!$B$9/2))*(I231-2*('Parametros'!$B$7+'Parametros'!$B$9/2))*'Parametros'!$B$4))</f>
        <v>0.118718211155681</v>
      </c>
      <c r="AW231" s="10">
        <f>AV231*2*((H231-2*('Parametros'!$B$7+'Parametros'!$B$9/2))+(I231-2*('Parametros'!$B$7+'Parametros'!$B$9/2)))*'Parametros'!$B$4/'Parametros'!$B$3</f>
        <v>193.415709614836</v>
      </c>
      <c r="AX231" s="31" t="n">
        <v>8</v>
      </c>
      <c r="AY231" s="10" t="str">
        <f>IF(AV231=0,"DESPRECIABLE",IF(AND(ISERROR(SEARCH("referencia",AN231)),BB231/AP231&gt;=AV231,BI231&gt;=AW231,BH231="CUMPLE"),"CUMPLE","NO CUMPLE"))</f>
        <v>CUMPLE</v>
      </c>
      <c r="AZ231" s="10" t="str">
        <f>IF(AND(X231="CUMPLE",AE231="CUMPLE",AS231="CUMPLE",OR(AY231="CUMPLE",AY231="DESPRECIABLE"),BH231="CUMPLE",BJ231="CUMPLE"),"CUMPLE","NO CUMPLE")</f>
        <v>CUMPLE</v>
      </c>
      <c r="BA231" s="32" t="n">
        <v>9.5</v>
      </c>
      <c r="BB231" s="32" t="n">
        <v>71</v>
      </c>
      <c r="BC231" s="10">
        <f>MAX(IF(AK231=0,0,AK231*1000/('Parametros'!$B$4*MIN(U231,AB231))),MAX(0.062*SQRT('Parametros'!$B$2)*H231/'Parametros'!$B$4,0.35*H231/'Parametros'!$B$4))</f>
        <v>0.816318660025524</v>
      </c>
      <c r="BD231" s="10">
        <f>2*AV231</f>
        <v>0.237436422311362</v>
      </c>
      <c r="BE231" s="10">
        <f>AO231*BB231/AP231</f>
        <v>1.18333333333333</v>
      </c>
      <c r="BF231" s="10">
        <f>SQRT((AI231*1000/(H231*MIN(U231,AB231)))^2+(Q231*1000000*2*((H231-2*('Parametros'!$B$7+'Parametros'!$B$9/2))+(I231-2*('Parametros'!$B$7+'Parametros'!$B$9/2)))/(1.7*((H231-2*('Parametros'!$B$7+'Parametros'!$B$9/2))*(I231-2*('Parametros'!$B$7+'Parametros'!$B$9/2)))^2))^2)</f>
        <v>1.30068376461164</v>
      </c>
      <c r="BG231" s="10">
        <f>'Parametros'!$B$6*(AJ231*1000/(H231*MIN(U231,AB231))+0.66*SQRT('Parametros'!$B$2))</f>
        <v>3.29396038227542</v>
      </c>
      <c r="BH231" s="10" t="str">
        <f>IF(BF231&lt;=BG231,"CUMPLE","NO CUMPLE")</f>
        <v>CUMPLE</v>
      </c>
      <c r="BI231" s="10">
        <f>AX231*'Parametros'!$B$8</f>
        <v>1592</v>
      </c>
      <c r="BJ231" s="10" t="str">
        <f>IF(BI231&gt;=AW231,"CUMPLE","NO CUMPLE")</f>
        <v>CUMPLE</v>
      </c>
    </row>
    <row r="232">
      <c r="A232" s="21" t="inlineStr">
        <is>
          <t>VC7</t>
        </is>
      </c>
      <c r="B232" s="21" t="inlineStr">
        <is>
          <t>927</t>
        </is>
      </c>
      <c r="C232" s="10" t="n">
        <v>1</v>
      </c>
      <c r="D232" s="10" t="n">
        <v>2.05</v>
      </c>
      <c r="E232" s="10" t="n">
        <v>2.05</v>
      </c>
      <c r="F232" s="10" t="n">
        <v>450</v>
      </c>
      <c r="G232" s="10" t="n">
        <v>550</v>
      </c>
      <c r="H232" s="17" t="n">
        <v>450</v>
      </c>
      <c r="I232" s="17" t="n">
        <v>550</v>
      </c>
      <c r="J232" s="30" t="n">
        <v>103.8721</v>
      </c>
      <c r="K232" s="10" t="inlineStr">
        <is>
          <t>927</t>
        </is>
      </c>
      <c r="L232" s="30" t="n">
        <v>89.41930000000001</v>
      </c>
      <c r="M232" s="10" t="inlineStr">
        <is>
          <t>927</t>
        </is>
      </c>
      <c r="N232" s="30" t="n">
        <v>82.21299999999999</v>
      </c>
      <c r="O232" s="30" t="n">
        <v>271.967</v>
      </c>
      <c r="P232" s="10" t="inlineStr">
        <is>
          <t>927</t>
        </is>
      </c>
      <c r="Q232" s="30" t="n">
        <v>10.0394</v>
      </c>
      <c r="R232" s="10">
        <f>MAX(MAX(1.4/'Parametros'!$B$3,0.25*SQRT('Parametros'!$B$2)/'Parametros'!$B$3)*H232*U232,(0.85*'Parametros'!$B$2/'Parametros'!$B$3)*(1-SQRT(1-2*(J232*1000000/('Parametros'!$B$5*H232*U232^2))/(0.85*'Parametros'!$B$2)))*H232*U232)</f>
        <v>734.025</v>
      </c>
      <c r="S232" s="31" t="n">
        <v>4</v>
      </c>
      <c r="T232" s="32" t="n">
        <v>1</v>
      </c>
      <c r="U232" s="10">
        <f>IF(T232=1,I232-('Parametros'!$B$7+'Parametros'!$B$9+'Parametros'!$B$12/2),I232-(ROUNDUP(S232/2,0)*('Parametros'!$B$7+'Parametros'!$B$9+'Parametros'!$B$12/2)+ROUNDDOWN(S232/2,0)*('Parametros'!$B$7+'Parametros'!$B$9+'Parametros'!$B$12/2+'Parametros'!$B$12+'Parametros'!$B$10))/S232)</f>
        <v>489.35</v>
      </c>
      <c r="V232" s="10">
        <f>S232*'Parametros'!$B$8</f>
        <v>796</v>
      </c>
      <c r="W232" s="10">
        <f>'Parametros'!$B$5*V232*'Parametros'!$B$3*(U232-(V232*'Parametros'!$B$3/(0.85*'Parametros'!$B$2*H232))/2)/1000000</f>
        <v>142.543330094118</v>
      </c>
      <c r="X232" s="10" t="str">
        <f>IF(W232&gt;=J232,"CUMPLE","NO CUMPLE")</f>
        <v>CUMPLE</v>
      </c>
      <c r="Y232" s="10">
        <f>MAX(MAX(1.4/'Parametros'!$B$3,0.25*SQRT('Parametros'!$B$2)/'Parametros'!$B$3)*H232*AB232,(0.85*'Parametros'!$B$2/'Parametros'!$B$3)*(1-SQRT(1-2*(L232*1000000/('Parametros'!$B$5*H232*AB232^2))/(0.85*'Parametros'!$B$2)))*H232*AB232)</f>
        <v>734.025</v>
      </c>
      <c r="Z232" s="31" t="n">
        <v>4</v>
      </c>
      <c r="AA232" s="32" t="n">
        <v>1</v>
      </c>
      <c r="AB232" s="10">
        <f>IF(AA232=1,I232-('Parametros'!$B$7+'Parametros'!$B$9+'Parametros'!$B$12/2),I232-(ROUNDUP(Z232/2,0)*('Parametros'!$B$7+'Parametros'!$B$9+'Parametros'!$B$12/2)+ROUNDDOWN(Z232/2,0)*('Parametros'!$B$7+'Parametros'!$B$9+'Parametros'!$B$12/2+'Parametros'!$B$12+'Parametros'!$B$10))/Z232)</f>
        <v>489.35</v>
      </c>
      <c r="AC232" s="10">
        <f>Z232*'Parametros'!$B$8</f>
        <v>796</v>
      </c>
      <c r="AD232" s="10">
        <f>'Parametros'!$B$5*AC232*'Parametros'!$B$3*(AB232-(AC232*'Parametros'!$B$3/(0.85*'Parametros'!$B$2*H232))/2)/1000000</f>
        <v>142.543330094118</v>
      </c>
      <c r="AE232" s="10" t="str">
        <f>IF(AD232&gt;=L232,"CUMPLE","NO CUMPLE")</f>
        <v>CUMPLE</v>
      </c>
      <c r="AF232" s="10">
        <f>V232*1.25*'Parametros'!$B$3*(U232-(V232*1.25*'Parametros'!$B$3/(0.85*'Parametros'!$B$2*H232))/2)/1000000</f>
        <v>196.346217941176</v>
      </c>
      <c r="AG232" s="10">
        <f>AC232*1.25*'Parametros'!$B$3*(AB232-(AC232*1.25*'Parametros'!$B$3/(0.85*'Parametros'!$B$2*H232))/2)/1000000</f>
        <v>196.346217941176</v>
      </c>
      <c r="AH232" s="10">
        <f>N232+(AF232+AG232)/D232</f>
        <v>273.77028579627</v>
      </c>
      <c r="AI232" s="10">
        <f>MAX(O232,AH232)</f>
        <v>273.77028579627</v>
      </c>
      <c r="AJ232" s="10">
        <f>0.17*SQRT('Parametros'!$B$2)*H232*MIN(U232,AB232)/1000</f>
        <v>198.088855822627</v>
      </c>
      <c r="AK232" s="10">
        <f>MAX(AI232/'Parametros'!$B$6-AJ232,0)</f>
        <v>166.938191905733</v>
      </c>
      <c r="AL232" s="10">
        <f>0.66*SQRT('Parametros'!$B$2)*H232*MIN(U232,AB232)/1000</f>
        <v>769.050852017258</v>
      </c>
      <c r="AM232" s="10" t="str">
        <f>IF(AK232&lt;=AL232,"CUMPLE","NO CUMPLE")</f>
        <v>CUMPLE</v>
      </c>
      <c r="AN232" s="17" t="inlineStr">
        <is>
          <t>Nº3 cerrado</t>
        </is>
      </c>
      <c r="AO232" s="31" t="n">
        <v>2</v>
      </c>
      <c r="AP232" s="10">
        <f>ROUNDDOWN(MIN(IF(BC232+BD232=0,1000000000,AO232*BB232/(BC232+BD232)),MIN(U232,AB232)/4,8*'Parametros'!$B$12,24*BA232,300,IF(AV232=0,1000000000,2*((H232-2*('Parametros'!$B$7+'Parametros'!$B$9/2))+(I232-2*('Parametros'!$B$7+'Parametros'!$B$9/2)))/8))/10,0)*10</f>
        <v>120</v>
      </c>
      <c r="AQ232" s="10">
        <f>ROUNDDOWN(MIN(IF(BC232+BD232=0,1000000000,AO232*BB232/(BC232+BD232)),IF(AK232&gt;0.33*SQRT('Parametros'!$B$2)*H232*MIN(U232,AB232)/1000,MIN(U232,AB232)/4,MIN(U232,AB232)/2),600,IF(AV232=0,1000000000,2*((H232-2*('Parametros'!$B$7+'Parametros'!$B$9/2))+(I232-2*('Parametros'!$B$7+'Parametros'!$B$9/2)))/8))/10,0)*10</f>
        <v>170</v>
      </c>
      <c r="AR232" s="10">
        <f>'Parametros'!$B$6*(AJ232+MAX(BE232-BD232,0)*'Parametros'!$B$4*MIN(U232,AB232)/1000)</f>
        <v>330.97185436697</v>
      </c>
      <c r="AS232" s="10" t="str">
        <f>IF(AND(ISERROR(SEARCH("referencia",AN232)),AM232="CUMPLE",AR232&gt;=AI232),"CUMPLE","NO CUMPLE")</f>
        <v>CUMPLE</v>
      </c>
      <c r="AT232" s="10">
        <f>'Parametros'!$B$6*0.083*SQRT('Parametros'!$B$2)*(H232*I232)^2/(2*(H232+I232))/1000000</f>
        <v>10.0887830333379</v>
      </c>
      <c r="AU232" s="10" t="str">
        <f>IF(Q232&lt;=AT232,"DESPRECIABLE","DISEÑAR")</f>
        <v>DESPRECIABLE</v>
      </c>
      <c r="AV232" s="10">
        <f>IF(Q232&lt;=AT232,0,Q232*1000000/('Parametros'!$B$6*2*0.85*(H232-2*('Parametros'!$B$7+'Parametros'!$B$9/2))*(I232-2*('Parametros'!$B$7+'Parametros'!$B$9/2))*'Parametros'!$B$4))</f>
        <v>0</v>
      </c>
      <c r="AW232" s="10">
        <f>AV232*2*((H232-2*('Parametros'!$B$7+'Parametros'!$B$9/2))+(I232-2*('Parametros'!$B$7+'Parametros'!$B$9/2)))*'Parametros'!$B$4/'Parametros'!$B$3</f>
        <v>0</v>
      </c>
      <c r="AX232" s="31" t="n">
        <v>0</v>
      </c>
      <c r="AY232" s="10" t="str">
        <f>IF(AV232=0,"DESPRECIABLE",IF(AND(ISERROR(SEARCH("referencia",AN232)),BB232/AP232&gt;=AV232,BI232&gt;=AW232,BH232="CUMPLE"),"CUMPLE","NO CUMPLE"))</f>
        <v>DESPRECIABLE</v>
      </c>
      <c r="AZ232" s="10" t="str">
        <f>IF(AND(X232="CUMPLE",AE232="CUMPLE",AS232="CUMPLE",OR(AY232="CUMPLE",AY232="DESPRECIABLE"),BH232="CUMPLE",BJ232="CUMPLE"),"CUMPLE","NO CUMPLE")</f>
        <v>CUMPLE</v>
      </c>
      <c r="BA232" s="32" t="n">
        <v>9.5</v>
      </c>
      <c r="BB232" s="32" t="n">
        <v>71</v>
      </c>
      <c r="BC232" s="10">
        <f>MAX(IF(AK232=0,0,AK232*1000/('Parametros'!$B$4*MIN(U232,AB232))),MAX(0.062*SQRT('Parametros'!$B$2)*H232/'Parametros'!$B$4,0.35*H232/'Parametros'!$B$4))</f>
        <v>0.812244580545294</v>
      </c>
      <c r="BD232" s="10">
        <f>2*AV232</f>
        <v>0</v>
      </c>
      <c r="BE232" s="10">
        <f>AO232*BB232/AP232</f>
        <v>1.18333333333333</v>
      </c>
      <c r="BF232" s="10">
        <f>SQRT((AI232*1000/(H232*MIN(U232,AB232)))^2+(Q232*1000000*2*((H232-2*('Parametros'!$B$7+'Parametros'!$B$9/2))+(I232-2*('Parametros'!$B$7+'Parametros'!$B$9/2)))/(1.7*((H232-2*('Parametros'!$B$7+'Parametros'!$B$9/2))*(I232-2*('Parametros'!$B$7+'Parametros'!$B$9/2)))^2))^2)</f>
        <v>1.29441740333164</v>
      </c>
      <c r="BG232" s="10">
        <f>'Parametros'!$B$6*(AJ232*1000/(H232*MIN(U232,AB232))+0.66*SQRT('Parametros'!$B$2))</f>
        <v>3.29396038227542</v>
      </c>
      <c r="BH232" s="10" t="str">
        <f>IF(BF232&lt;=BG232,"CUMPLE","NO CUMPLE")</f>
        <v>CUMPLE</v>
      </c>
      <c r="BI232" s="10">
        <f>AX232*'Parametros'!$B$8</f>
        <v>0</v>
      </c>
      <c r="BJ232" s="10" t="str">
        <f>IF(BI232&gt;=AW232,"CUMPLE","NO CUMPLE")</f>
        <v>CUMPLE</v>
      </c>
    </row>
    <row r="233">
      <c r="A233" s="21" t="inlineStr">
        <is>
          <t>VC7</t>
        </is>
      </c>
      <c r="B233" s="21" t="inlineStr">
        <is>
          <t>928</t>
        </is>
      </c>
      <c r="C233" s="10" t="n">
        <v>1</v>
      </c>
      <c r="D233" s="10" t="n">
        <v>4.5</v>
      </c>
      <c r="E233" s="10" t="n">
        <v>4.5</v>
      </c>
      <c r="F233" s="10" t="n">
        <v>450</v>
      </c>
      <c r="G233" s="10" t="n">
        <v>550</v>
      </c>
      <c r="H233" s="17" t="n">
        <v>450</v>
      </c>
      <c r="I233" s="17" t="n">
        <v>550</v>
      </c>
      <c r="J233" s="30" t="n">
        <v>106.0588</v>
      </c>
      <c r="K233" s="10" t="inlineStr">
        <is>
          <t>928</t>
        </is>
      </c>
      <c r="L233" s="30" t="n">
        <v>80.6955</v>
      </c>
      <c r="M233" s="10" t="inlineStr">
        <is>
          <t>928</t>
        </is>
      </c>
      <c r="N233" s="30" t="n">
        <v>54.464</v>
      </c>
      <c r="O233" s="30" t="n">
        <v>158.502</v>
      </c>
      <c r="P233" s="10" t="inlineStr">
        <is>
          <t>928</t>
        </is>
      </c>
      <c r="Q233" s="30" t="n">
        <v>5.2843</v>
      </c>
      <c r="R233" s="10">
        <f>MAX(MAX(1.4/'Parametros'!$B$3,0.25*SQRT('Parametros'!$B$2)/'Parametros'!$B$3)*H233*U233,(0.85*'Parametros'!$B$2/'Parametros'!$B$3)*(1-SQRT(1-2*(J233*1000000/('Parametros'!$B$5*H233*U233^2))/(0.85*'Parametros'!$B$2)))*H233*U233)</f>
        <v>734.025</v>
      </c>
      <c r="S233" s="31" t="n">
        <v>4</v>
      </c>
      <c r="T233" s="32" t="n">
        <v>1</v>
      </c>
      <c r="U233" s="10">
        <f>IF(T233=1,I233-('Parametros'!$B$7+'Parametros'!$B$9+'Parametros'!$B$12/2),I233-(ROUNDUP(S233/2,0)*('Parametros'!$B$7+'Parametros'!$B$9+'Parametros'!$B$12/2)+ROUNDDOWN(S233/2,0)*('Parametros'!$B$7+'Parametros'!$B$9+'Parametros'!$B$12/2+'Parametros'!$B$12+'Parametros'!$B$10))/S233)</f>
        <v>489.35</v>
      </c>
      <c r="V233" s="10">
        <f>S233*'Parametros'!$B$8</f>
        <v>796</v>
      </c>
      <c r="W233" s="10">
        <f>'Parametros'!$B$5*V233*'Parametros'!$B$3*(U233-(V233*'Parametros'!$B$3/(0.85*'Parametros'!$B$2*H233))/2)/1000000</f>
        <v>142.543330094118</v>
      </c>
      <c r="X233" s="10" t="str">
        <f>IF(W233&gt;=J233,"CUMPLE","NO CUMPLE")</f>
        <v>CUMPLE</v>
      </c>
      <c r="Y233" s="10">
        <f>MAX(MAX(1.4/'Parametros'!$B$3,0.25*SQRT('Parametros'!$B$2)/'Parametros'!$B$3)*H233*AB233,(0.85*'Parametros'!$B$2/'Parametros'!$B$3)*(1-SQRT(1-2*(L233*1000000/('Parametros'!$B$5*H233*AB233^2))/(0.85*'Parametros'!$B$2)))*H233*AB233)</f>
        <v>734.025</v>
      </c>
      <c r="Z233" s="31" t="n">
        <v>4</v>
      </c>
      <c r="AA233" s="32" t="n">
        <v>1</v>
      </c>
      <c r="AB233" s="10">
        <f>IF(AA233=1,I233-('Parametros'!$B$7+'Parametros'!$B$9+'Parametros'!$B$12/2),I233-(ROUNDUP(Z233/2,0)*('Parametros'!$B$7+'Parametros'!$B$9+'Parametros'!$B$12/2)+ROUNDDOWN(Z233/2,0)*('Parametros'!$B$7+'Parametros'!$B$9+'Parametros'!$B$12/2+'Parametros'!$B$12+'Parametros'!$B$10))/Z233)</f>
        <v>489.35</v>
      </c>
      <c r="AC233" s="10">
        <f>Z233*'Parametros'!$B$8</f>
        <v>796</v>
      </c>
      <c r="AD233" s="10">
        <f>'Parametros'!$B$5*AC233*'Parametros'!$B$3*(AB233-(AC233*'Parametros'!$B$3/(0.85*'Parametros'!$B$2*H233))/2)/1000000</f>
        <v>142.543330094118</v>
      </c>
      <c r="AE233" s="10" t="str">
        <f>IF(AD233&gt;=L233,"CUMPLE","NO CUMPLE")</f>
        <v>CUMPLE</v>
      </c>
      <c r="AF233" s="10">
        <f>V233*1.25*'Parametros'!$B$3*(U233-(V233*1.25*'Parametros'!$B$3/(0.85*'Parametros'!$B$2*H233))/2)/1000000</f>
        <v>196.346217941176</v>
      </c>
      <c r="AG233" s="10">
        <f>AC233*1.25*'Parametros'!$B$3*(AB233-(AC233*1.25*'Parametros'!$B$3/(0.85*'Parametros'!$B$2*H233))/2)/1000000</f>
        <v>196.346217941176</v>
      </c>
      <c r="AH233" s="10">
        <f>N233+(AF233+AG233)/D233</f>
        <v>141.728985751634</v>
      </c>
      <c r="AI233" s="10">
        <f>MAX(O233,AH233)</f>
        <v>158.502</v>
      </c>
      <c r="AJ233" s="10">
        <f>0.17*SQRT('Parametros'!$B$2)*H233*MIN(U233,AB233)/1000</f>
        <v>198.088855822627</v>
      </c>
      <c r="AK233" s="10">
        <f>MAX(AI233/'Parametros'!$B$6-AJ233,0)</f>
        <v>13.247144177373</v>
      </c>
      <c r="AL233" s="10">
        <f>0.66*SQRT('Parametros'!$B$2)*H233*MIN(U233,AB233)/1000</f>
        <v>769.050852017258</v>
      </c>
      <c r="AM233" s="10" t="str">
        <f>IF(AK233&lt;=AL233,"CUMPLE","NO CUMPLE")</f>
        <v>CUMPLE</v>
      </c>
      <c r="AN233" s="17" t="inlineStr">
        <is>
          <t>Nº3 cerrado</t>
        </is>
      </c>
      <c r="AO233" s="31" t="n">
        <v>2</v>
      </c>
      <c r="AP233" s="10">
        <f>ROUNDDOWN(MIN(IF(BC233+BD233=0,1000000000,AO233*BB233/(BC233+BD233)),MIN(U233,AB233)/4,8*'Parametros'!$B$12,24*BA233,300,IF(AV233=0,1000000000,2*((H233-2*('Parametros'!$B$7+'Parametros'!$B$9/2))+(I233-2*('Parametros'!$B$7+'Parametros'!$B$9/2)))/8))/10,0)*10</f>
        <v>120</v>
      </c>
      <c r="AQ233" s="10">
        <f>ROUNDDOWN(MIN(IF(BC233+BD233=0,1000000000,AO233*BB233/(BC233+BD233)),IF(AK233&gt;0.33*SQRT('Parametros'!$B$2)*H233*MIN(U233,AB233)/1000,MIN(U233,AB233)/4,MIN(U233,AB233)/2),600,IF(AV233=0,1000000000,2*((H233-2*('Parametros'!$B$7+'Parametros'!$B$9/2))+(I233-2*('Parametros'!$B$7+'Parametros'!$B$9/2)))/8))/10,0)*10</f>
        <v>240</v>
      </c>
      <c r="AR233" s="10">
        <f>'Parametros'!$B$6*(AJ233+MAX(BE233-BD233,0)*'Parametros'!$B$4*MIN(U233,AB233)/1000)</f>
        <v>330.97185436697</v>
      </c>
      <c r="AS233" s="10" t="str">
        <f>IF(AND(ISERROR(SEARCH("referencia",AN233)),AM233="CUMPLE",AR233&gt;=AI233),"CUMPLE","NO CUMPLE")</f>
        <v>CUMPLE</v>
      </c>
      <c r="AT233" s="10">
        <f>'Parametros'!$B$6*0.083*SQRT('Parametros'!$B$2)*(H233*I233)^2/(2*(H233+I233))/1000000</f>
        <v>10.0887830333379</v>
      </c>
      <c r="AU233" s="10" t="str">
        <f>IF(Q233&lt;=AT233,"DESPRECIABLE","DISEÑAR")</f>
        <v>DESPRECIABLE</v>
      </c>
      <c r="AV233" s="10">
        <f>IF(Q233&lt;=AT233,0,Q233*1000000/('Parametros'!$B$6*2*0.85*(H233-2*('Parametros'!$B$7+'Parametros'!$B$9/2))*(I233-2*('Parametros'!$B$7+'Parametros'!$B$9/2))*'Parametros'!$B$4))</f>
        <v>0</v>
      </c>
      <c r="AW233" s="10">
        <f>AV233*2*((H233-2*('Parametros'!$B$7+'Parametros'!$B$9/2))+(I233-2*('Parametros'!$B$7+'Parametros'!$B$9/2)))*'Parametros'!$B$4/'Parametros'!$B$3</f>
        <v>0</v>
      </c>
      <c r="AX233" s="31" t="n">
        <v>0</v>
      </c>
      <c r="AY233" s="10" t="str">
        <f>IF(AV233=0,"DESPRECIABLE",IF(AND(ISERROR(SEARCH("referencia",AN233)),BB233/AP233&gt;=AV233,BI233&gt;=AW233,BH233="CUMPLE"),"CUMPLE","NO CUMPLE"))</f>
        <v>DESPRECIABLE</v>
      </c>
      <c r="AZ233" s="10" t="str">
        <f>IF(AND(X233="CUMPLE",AE233="CUMPLE",AS233="CUMPLE",OR(AY233="CUMPLE",AY233="DESPRECIABLE"),BH233="CUMPLE",BJ233="CUMPLE"),"CUMPLE","NO CUMPLE")</f>
        <v>CUMPLE</v>
      </c>
      <c r="BA233" s="32" t="n">
        <v>9.5</v>
      </c>
      <c r="BB233" s="32" t="n">
        <v>71</v>
      </c>
      <c r="BC233" s="10">
        <f>MAX(IF(AK233=0,0,AK233*1000/('Parametros'!$B$4*MIN(U233,AB233))),MAX(0.062*SQRT('Parametros'!$B$2)*H233/'Parametros'!$B$4,0.35*H233/'Parametros'!$B$4))</f>
        <v>0.375</v>
      </c>
      <c r="BD233" s="10">
        <f>2*AV233</f>
        <v>0</v>
      </c>
      <c r="BE233" s="10">
        <f>AO233*BB233/AP233</f>
        <v>1.18333333333333</v>
      </c>
      <c r="BF233" s="10">
        <f>SQRT((AI233*1000/(H233*MIN(U233,AB233)))^2+(Q233*1000000*2*((H233-2*('Parametros'!$B$7+'Parametros'!$B$9/2))+(I233-2*('Parametros'!$B$7+'Parametros'!$B$9/2)))/(1.7*((H233-2*('Parametros'!$B$7+'Parametros'!$B$9/2))*(I233-2*('Parametros'!$B$7+'Parametros'!$B$9/2)))^2))^2)</f>
        <v>0.744360391513813</v>
      </c>
      <c r="BG233" s="10">
        <f>'Parametros'!$B$6*(AJ233*1000/(H233*MIN(U233,AB233))+0.66*SQRT('Parametros'!$B$2))</f>
        <v>3.29396038227542</v>
      </c>
      <c r="BH233" s="10" t="str">
        <f>IF(BF233&lt;=BG233,"CUMPLE","NO CUMPLE")</f>
        <v>CUMPLE</v>
      </c>
      <c r="BI233" s="10">
        <f>AX233*'Parametros'!$B$8</f>
        <v>0</v>
      </c>
      <c r="BJ233" s="10" t="str">
        <f>IF(BI233&gt;=AW233,"CUMPLE","NO CUMPLE")</f>
        <v>CUMPLE</v>
      </c>
    </row>
    <row r="234">
      <c r="A234" s="21" t="inlineStr">
        <is>
          <t>VC7</t>
        </is>
      </c>
      <c r="B234" s="21" t="inlineStr">
        <is>
          <t>929</t>
        </is>
      </c>
      <c r="C234" s="10" t="n">
        <v>1</v>
      </c>
      <c r="D234" s="10" t="n">
        <v>4.5</v>
      </c>
      <c r="E234" s="10" t="n">
        <v>4.5</v>
      </c>
      <c r="F234" s="10" t="n">
        <v>450</v>
      </c>
      <c r="G234" s="10" t="n">
        <v>550</v>
      </c>
      <c r="H234" s="17" t="n">
        <v>450</v>
      </c>
      <c r="I234" s="17" t="n">
        <v>550</v>
      </c>
      <c r="J234" s="30" t="n">
        <v>106.0586</v>
      </c>
      <c r="K234" s="10" t="inlineStr">
        <is>
          <t>929</t>
        </is>
      </c>
      <c r="L234" s="30" t="n">
        <v>80.6955</v>
      </c>
      <c r="M234" s="10" t="inlineStr">
        <is>
          <t>929</t>
        </is>
      </c>
      <c r="N234" s="30" t="n">
        <v>54.464</v>
      </c>
      <c r="O234" s="30" t="n">
        <v>158.502</v>
      </c>
      <c r="P234" s="10" t="inlineStr">
        <is>
          <t>929</t>
        </is>
      </c>
      <c r="Q234" s="30" t="n">
        <v>5.2851</v>
      </c>
      <c r="R234" s="10">
        <f>MAX(MAX(1.4/'Parametros'!$B$3,0.25*SQRT('Parametros'!$B$2)/'Parametros'!$B$3)*H234*U234,(0.85*'Parametros'!$B$2/'Parametros'!$B$3)*(1-SQRT(1-2*(J234*1000000/('Parametros'!$B$5*H234*U234^2))/(0.85*'Parametros'!$B$2)))*H234*U234)</f>
        <v>734.025</v>
      </c>
      <c r="S234" s="31" t="n">
        <v>4</v>
      </c>
      <c r="T234" s="32" t="n">
        <v>1</v>
      </c>
      <c r="U234" s="10">
        <f>IF(T234=1,I234-('Parametros'!$B$7+'Parametros'!$B$9+'Parametros'!$B$12/2),I234-(ROUNDUP(S234/2,0)*('Parametros'!$B$7+'Parametros'!$B$9+'Parametros'!$B$12/2)+ROUNDDOWN(S234/2,0)*('Parametros'!$B$7+'Parametros'!$B$9+'Parametros'!$B$12/2+'Parametros'!$B$12+'Parametros'!$B$10))/S234)</f>
        <v>489.35</v>
      </c>
      <c r="V234" s="10">
        <f>S234*'Parametros'!$B$8</f>
        <v>796</v>
      </c>
      <c r="W234" s="10">
        <f>'Parametros'!$B$5*V234*'Parametros'!$B$3*(U234-(V234*'Parametros'!$B$3/(0.85*'Parametros'!$B$2*H234))/2)/1000000</f>
        <v>142.543330094118</v>
      </c>
      <c r="X234" s="10" t="str">
        <f>IF(W234&gt;=J234,"CUMPLE","NO CUMPLE")</f>
        <v>CUMPLE</v>
      </c>
      <c r="Y234" s="10">
        <f>MAX(MAX(1.4/'Parametros'!$B$3,0.25*SQRT('Parametros'!$B$2)/'Parametros'!$B$3)*H234*AB234,(0.85*'Parametros'!$B$2/'Parametros'!$B$3)*(1-SQRT(1-2*(L234*1000000/('Parametros'!$B$5*H234*AB234^2))/(0.85*'Parametros'!$B$2)))*H234*AB234)</f>
        <v>734.025</v>
      </c>
      <c r="Z234" s="31" t="n">
        <v>4</v>
      </c>
      <c r="AA234" s="32" t="n">
        <v>1</v>
      </c>
      <c r="AB234" s="10">
        <f>IF(AA234=1,I234-('Parametros'!$B$7+'Parametros'!$B$9+'Parametros'!$B$12/2),I234-(ROUNDUP(Z234/2,0)*('Parametros'!$B$7+'Parametros'!$B$9+'Parametros'!$B$12/2)+ROUNDDOWN(Z234/2,0)*('Parametros'!$B$7+'Parametros'!$B$9+'Parametros'!$B$12/2+'Parametros'!$B$12+'Parametros'!$B$10))/Z234)</f>
        <v>489.35</v>
      </c>
      <c r="AC234" s="10">
        <f>Z234*'Parametros'!$B$8</f>
        <v>796</v>
      </c>
      <c r="AD234" s="10">
        <f>'Parametros'!$B$5*AC234*'Parametros'!$B$3*(AB234-(AC234*'Parametros'!$B$3/(0.85*'Parametros'!$B$2*H234))/2)/1000000</f>
        <v>142.543330094118</v>
      </c>
      <c r="AE234" s="10" t="str">
        <f>IF(AD234&gt;=L234,"CUMPLE","NO CUMPLE")</f>
        <v>CUMPLE</v>
      </c>
      <c r="AF234" s="10">
        <f>V234*1.25*'Parametros'!$B$3*(U234-(V234*1.25*'Parametros'!$B$3/(0.85*'Parametros'!$B$2*H234))/2)/1000000</f>
        <v>196.346217941176</v>
      </c>
      <c r="AG234" s="10">
        <f>AC234*1.25*'Parametros'!$B$3*(AB234-(AC234*1.25*'Parametros'!$B$3/(0.85*'Parametros'!$B$2*H234))/2)/1000000</f>
        <v>196.346217941176</v>
      </c>
      <c r="AH234" s="10">
        <f>N234+(AF234+AG234)/D234</f>
        <v>141.728985751634</v>
      </c>
      <c r="AI234" s="10">
        <f>MAX(O234,AH234)</f>
        <v>158.502</v>
      </c>
      <c r="AJ234" s="10">
        <f>0.17*SQRT('Parametros'!$B$2)*H234*MIN(U234,AB234)/1000</f>
        <v>198.088855822627</v>
      </c>
      <c r="AK234" s="10">
        <f>MAX(AI234/'Parametros'!$B$6-AJ234,0)</f>
        <v>13.247144177373</v>
      </c>
      <c r="AL234" s="10">
        <f>0.66*SQRT('Parametros'!$B$2)*H234*MIN(U234,AB234)/1000</f>
        <v>769.050852017258</v>
      </c>
      <c r="AM234" s="10" t="str">
        <f>IF(AK234&lt;=AL234,"CUMPLE","NO CUMPLE")</f>
        <v>CUMPLE</v>
      </c>
      <c r="AN234" s="17" t="inlineStr">
        <is>
          <t>Nº3 cerrado</t>
        </is>
      </c>
      <c r="AO234" s="31" t="n">
        <v>2</v>
      </c>
      <c r="AP234" s="10">
        <f>ROUNDDOWN(MIN(IF(BC234+BD234=0,1000000000,AO234*BB234/(BC234+BD234)),MIN(U234,AB234)/4,8*'Parametros'!$B$12,24*BA234,300,IF(AV234=0,1000000000,2*((H234-2*('Parametros'!$B$7+'Parametros'!$B$9/2))+(I234-2*('Parametros'!$B$7+'Parametros'!$B$9/2)))/8))/10,0)*10</f>
        <v>120</v>
      </c>
      <c r="AQ234" s="10">
        <f>ROUNDDOWN(MIN(IF(BC234+BD234=0,1000000000,AO234*BB234/(BC234+BD234)),IF(AK234&gt;0.33*SQRT('Parametros'!$B$2)*H234*MIN(U234,AB234)/1000,MIN(U234,AB234)/4,MIN(U234,AB234)/2),600,IF(AV234=0,1000000000,2*((H234-2*('Parametros'!$B$7+'Parametros'!$B$9/2))+(I234-2*('Parametros'!$B$7+'Parametros'!$B$9/2)))/8))/10,0)*10</f>
        <v>240</v>
      </c>
      <c r="AR234" s="10">
        <f>'Parametros'!$B$6*(AJ234+MAX(BE234-BD234,0)*'Parametros'!$B$4*MIN(U234,AB234)/1000)</f>
        <v>330.97185436697</v>
      </c>
      <c r="AS234" s="10" t="str">
        <f>IF(AND(ISERROR(SEARCH("referencia",AN234)),AM234="CUMPLE",AR234&gt;=AI234),"CUMPLE","NO CUMPLE")</f>
        <v>CUMPLE</v>
      </c>
      <c r="AT234" s="10">
        <f>'Parametros'!$B$6*0.083*SQRT('Parametros'!$B$2)*(H234*I234)^2/(2*(H234+I234))/1000000</f>
        <v>10.0887830333379</v>
      </c>
      <c r="AU234" s="10" t="str">
        <f>IF(Q234&lt;=AT234,"DESPRECIABLE","DISEÑAR")</f>
        <v>DESPRECIABLE</v>
      </c>
      <c r="AV234" s="10">
        <f>IF(Q234&lt;=AT234,0,Q234*1000000/('Parametros'!$B$6*2*0.85*(H234-2*('Parametros'!$B$7+'Parametros'!$B$9/2))*(I234-2*('Parametros'!$B$7+'Parametros'!$B$9/2))*'Parametros'!$B$4))</f>
        <v>0</v>
      </c>
      <c r="AW234" s="10">
        <f>AV234*2*((H234-2*('Parametros'!$B$7+'Parametros'!$B$9/2))+(I234-2*('Parametros'!$B$7+'Parametros'!$B$9/2)))*'Parametros'!$B$4/'Parametros'!$B$3</f>
        <v>0</v>
      </c>
      <c r="AX234" s="31" t="n">
        <v>0</v>
      </c>
      <c r="AY234" s="10" t="str">
        <f>IF(AV234=0,"DESPRECIABLE",IF(AND(ISERROR(SEARCH("referencia",AN234)),BB234/AP234&gt;=AV234,BI234&gt;=AW234,BH234="CUMPLE"),"CUMPLE","NO CUMPLE"))</f>
        <v>DESPRECIABLE</v>
      </c>
      <c r="AZ234" s="10" t="str">
        <f>IF(AND(X234="CUMPLE",AE234="CUMPLE",AS234="CUMPLE",OR(AY234="CUMPLE",AY234="DESPRECIABLE"),BH234="CUMPLE",BJ234="CUMPLE"),"CUMPLE","NO CUMPLE")</f>
        <v>CUMPLE</v>
      </c>
      <c r="BA234" s="32" t="n">
        <v>9.5</v>
      </c>
      <c r="BB234" s="32" t="n">
        <v>71</v>
      </c>
      <c r="BC234" s="10">
        <f>MAX(IF(AK234=0,0,AK234*1000/('Parametros'!$B$4*MIN(U234,AB234))),MAX(0.062*SQRT('Parametros'!$B$2)*H234/'Parametros'!$B$4,0.35*H234/'Parametros'!$B$4))</f>
        <v>0.375</v>
      </c>
      <c r="BD234" s="10">
        <f>2*AV234</f>
        <v>0</v>
      </c>
      <c r="BE234" s="10">
        <f>AO234*BB234/AP234</f>
        <v>1.18333333333333</v>
      </c>
      <c r="BF234" s="10">
        <f>SQRT((AI234*1000/(H234*MIN(U234,AB234)))^2+(Q234*1000000*2*((H234-2*('Parametros'!$B$7+'Parametros'!$B$9/2))+(I234-2*('Parametros'!$B$7+'Parametros'!$B$9/2)))/(1.7*((H234-2*('Parametros'!$B$7+'Parametros'!$B$9/2))*(I234-2*('Parametros'!$B$7+'Parametros'!$B$9/2)))^2))^2)</f>
        <v>0.744367710299406</v>
      </c>
      <c r="BG234" s="10">
        <f>'Parametros'!$B$6*(AJ234*1000/(H234*MIN(U234,AB234))+0.66*SQRT('Parametros'!$B$2))</f>
        <v>3.29396038227542</v>
      </c>
      <c r="BH234" s="10" t="str">
        <f>IF(BF234&lt;=BG234,"CUMPLE","NO CUMPLE")</f>
        <v>CUMPLE</v>
      </c>
      <c r="BI234" s="10">
        <f>AX234*'Parametros'!$B$8</f>
        <v>0</v>
      </c>
      <c r="BJ234" s="10" t="str">
        <f>IF(BI234&gt;=AW234,"CUMPLE","NO CUMPLE")</f>
        <v>CUMPLE</v>
      </c>
    </row>
    <row r="235">
      <c r="A235" s="21" t="inlineStr">
        <is>
          <t>VC7</t>
        </is>
      </c>
      <c r="B235" s="21" t="inlineStr">
        <is>
          <t>930</t>
        </is>
      </c>
      <c r="C235" s="10" t="n">
        <v>1</v>
      </c>
      <c r="D235" s="10" t="n">
        <v>2.05</v>
      </c>
      <c r="E235" s="10" t="n">
        <v>2.05</v>
      </c>
      <c r="F235" s="10" t="n">
        <v>450</v>
      </c>
      <c r="G235" s="10" t="n">
        <v>550</v>
      </c>
      <c r="H235" s="17" t="n">
        <v>450</v>
      </c>
      <c r="I235" s="17" t="n">
        <v>550</v>
      </c>
      <c r="J235" s="30" t="n">
        <v>103.8773</v>
      </c>
      <c r="K235" s="10" t="inlineStr">
        <is>
          <t>930</t>
        </is>
      </c>
      <c r="L235" s="30" t="n">
        <v>89.4256</v>
      </c>
      <c r="M235" s="10" t="inlineStr">
        <is>
          <t>930</t>
        </is>
      </c>
      <c r="N235" s="30" t="n">
        <v>82.217</v>
      </c>
      <c r="O235" s="30" t="n">
        <v>271.971</v>
      </c>
      <c r="P235" s="10" t="inlineStr">
        <is>
          <t>930</t>
        </is>
      </c>
      <c r="Q235" s="30" t="n">
        <v>10.0406</v>
      </c>
      <c r="R235" s="10">
        <f>MAX(MAX(1.4/'Parametros'!$B$3,0.25*SQRT('Parametros'!$B$2)/'Parametros'!$B$3)*H235*U235,(0.85*'Parametros'!$B$2/'Parametros'!$B$3)*(1-SQRT(1-2*(J235*1000000/('Parametros'!$B$5*H235*U235^2))/(0.85*'Parametros'!$B$2)))*H235*U235)</f>
        <v>734.025</v>
      </c>
      <c r="S235" s="31" t="n">
        <v>4</v>
      </c>
      <c r="T235" s="32" t="n">
        <v>1</v>
      </c>
      <c r="U235" s="10">
        <f>IF(T235=1,I235-('Parametros'!$B$7+'Parametros'!$B$9+'Parametros'!$B$12/2),I235-(ROUNDUP(S235/2,0)*('Parametros'!$B$7+'Parametros'!$B$9+'Parametros'!$B$12/2)+ROUNDDOWN(S235/2,0)*('Parametros'!$B$7+'Parametros'!$B$9+'Parametros'!$B$12/2+'Parametros'!$B$12+'Parametros'!$B$10))/S235)</f>
        <v>489.35</v>
      </c>
      <c r="V235" s="10">
        <f>S235*'Parametros'!$B$8</f>
        <v>796</v>
      </c>
      <c r="W235" s="10">
        <f>'Parametros'!$B$5*V235*'Parametros'!$B$3*(U235-(V235*'Parametros'!$B$3/(0.85*'Parametros'!$B$2*H235))/2)/1000000</f>
        <v>142.543330094118</v>
      </c>
      <c r="X235" s="10" t="str">
        <f>IF(W235&gt;=J235,"CUMPLE","NO CUMPLE")</f>
        <v>CUMPLE</v>
      </c>
      <c r="Y235" s="10">
        <f>MAX(MAX(1.4/'Parametros'!$B$3,0.25*SQRT('Parametros'!$B$2)/'Parametros'!$B$3)*H235*AB235,(0.85*'Parametros'!$B$2/'Parametros'!$B$3)*(1-SQRT(1-2*(L235*1000000/('Parametros'!$B$5*H235*AB235^2))/(0.85*'Parametros'!$B$2)))*H235*AB235)</f>
        <v>734.025</v>
      </c>
      <c r="Z235" s="31" t="n">
        <v>4</v>
      </c>
      <c r="AA235" s="32" t="n">
        <v>1</v>
      </c>
      <c r="AB235" s="10">
        <f>IF(AA235=1,I235-('Parametros'!$B$7+'Parametros'!$B$9+'Parametros'!$B$12/2),I235-(ROUNDUP(Z235/2,0)*('Parametros'!$B$7+'Parametros'!$B$9+'Parametros'!$B$12/2)+ROUNDDOWN(Z235/2,0)*('Parametros'!$B$7+'Parametros'!$B$9+'Parametros'!$B$12/2+'Parametros'!$B$12+'Parametros'!$B$10))/Z235)</f>
        <v>489.35</v>
      </c>
      <c r="AC235" s="10">
        <f>Z235*'Parametros'!$B$8</f>
        <v>796</v>
      </c>
      <c r="AD235" s="10">
        <f>'Parametros'!$B$5*AC235*'Parametros'!$B$3*(AB235-(AC235*'Parametros'!$B$3/(0.85*'Parametros'!$B$2*H235))/2)/1000000</f>
        <v>142.543330094118</v>
      </c>
      <c r="AE235" s="10" t="str">
        <f>IF(AD235&gt;=L235,"CUMPLE","NO CUMPLE")</f>
        <v>CUMPLE</v>
      </c>
      <c r="AF235" s="10">
        <f>V235*1.25*'Parametros'!$B$3*(U235-(V235*1.25*'Parametros'!$B$3/(0.85*'Parametros'!$B$2*H235))/2)/1000000</f>
        <v>196.346217941176</v>
      </c>
      <c r="AG235" s="10">
        <f>AC235*1.25*'Parametros'!$B$3*(AB235-(AC235*1.25*'Parametros'!$B$3/(0.85*'Parametros'!$B$2*H235))/2)/1000000</f>
        <v>196.346217941176</v>
      </c>
      <c r="AH235" s="10">
        <f>N235+(AF235+AG235)/D235</f>
        <v>273.77428579627</v>
      </c>
      <c r="AI235" s="10">
        <f>MAX(O235,AH235)</f>
        <v>273.77428579627</v>
      </c>
      <c r="AJ235" s="10">
        <f>0.17*SQRT('Parametros'!$B$2)*H235*MIN(U235,AB235)/1000</f>
        <v>198.088855822627</v>
      </c>
      <c r="AK235" s="10">
        <f>MAX(AI235/'Parametros'!$B$6-AJ235,0)</f>
        <v>166.943525239066</v>
      </c>
      <c r="AL235" s="10">
        <f>0.66*SQRT('Parametros'!$B$2)*H235*MIN(U235,AB235)/1000</f>
        <v>769.050852017258</v>
      </c>
      <c r="AM235" s="10" t="str">
        <f>IF(AK235&lt;=AL235,"CUMPLE","NO CUMPLE")</f>
        <v>CUMPLE</v>
      </c>
      <c r="AN235" s="17" t="inlineStr">
        <is>
          <t>Nº3 cerrado</t>
        </is>
      </c>
      <c r="AO235" s="31" t="n">
        <v>2</v>
      </c>
      <c r="AP235" s="10">
        <f>ROUNDDOWN(MIN(IF(BC235+BD235=0,1000000000,AO235*BB235/(BC235+BD235)),MIN(U235,AB235)/4,8*'Parametros'!$B$12,24*BA235,300,IF(AV235=0,1000000000,2*((H235-2*('Parametros'!$B$7+'Parametros'!$B$9/2))+(I235-2*('Parametros'!$B$7+'Parametros'!$B$9/2)))/8))/10,0)*10</f>
        <v>120</v>
      </c>
      <c r="AQ235" s="10">
        <f>ROUNDDOWN(MIN(IF(BC235+BD235=0,1000000000,AO235*BB235/(BC235+BD235)),IF(AK235&gt;0.33*SQRT('Parametros'!$B$2)*H235*MIN(U235,AB235)/1000,MIN(U235,AB235)/4,MIN(U235,AB235)/2),600,IF(AV235=0,1000000000,2*((H235-2*('Parametros'!$B$7+'Parametros'!$B$9/2))+(I235-2*('Parametros'!$B$7+'Parametros'!$B$9/2)))/8))/10,0)*10</f>
        <v>170</v>
      </c>
      <c r="AR235" s="10">
        <f>'Parametros'!$B$6*(AJ235+MAX(BE235-BD235,0)*'Parametros'!$B$4*MIN(U235,AB235)/1000)</f>
        <v>330.97185436697</v>
      </c>
      <c r="AS235" s="10" t="str">
        <f>IF(AND(ISERROR(SEARCH("referencia",AN235)),AM235="CUMPLE",AR235&gt;=AI235),"CUMPLE","NO CUMPLE")</f>
        <v>CUMPLE</v>
      </c>
      <c r="AT235" s="10">
        <f>'Parametros'!$B$6*0.083*SQRT('Parametros'!$B$2)*(H235*I235)^2/(2*(H235+I235))/1000000</f>
        <v>10.0887830333379</v>
      </c>
      <c r="AU235" s="10" t="str">
        <f>IF(Q235&lt;=AT235,"DESPRECIABLE","DISEÑAR")</f>
        <v>DESPRECIABLE</v>
      </c>
      <c r="AV235" s="10">
        <f>IF(Q235&lt;=AT235,0,Q235*1000000/('Parametros'!$B$6*2*0.85*(H235-2*('Parametros'!$B$7+'Parametros'!$B$9/2))*(I235-2*('Parametros'!$B$7+'Parametros'!$B$9/2))*'Parametros'!$B$4))</f>
        <v>0</v>
      </c>
      <c r="AW235" s="10">
        <f>AV235*2*((H235-2*('Parametros'!$B$7+'Parametros'!$B$9/2))+(I235-2*('Parametros'!$B$7+'Parametros'!$B$9/2)))*'Parametros'!$B$4/'Parametros'!$B$3</f>
        <v>0</v>
      </c>
      <c r="AX235" s="31" t="n">
        <v>0</v>
      </c>
      <c r="AY235" s="10" t="str">
        <f>IF(AV235=0,"DESPRECIABLE",IF(AND(ISERROR(SEARCH("referencia",AN235)),BB235/AP235&gt;=AV235,BI235&gt;=AW235,BH235="CUMPLE"),"CUMPLE","NO CUMPLE"))</f>
        <v>DESPRECIABLE</v>
      </c>
      <c r="AZ235" s="10" t="str">
        <f>IF(AND(X235="CUMPLE",AE235="CUMPLE",AS235="CUMPLE",OR(AY235="CUMPLE",AY235="DESPRECIABLE"),BH235="CUMPLE",BJ235="CUMPLE"),"CUMPLE","NO CUMPLE")</f>
        <v>CUMPLE</v>
      </c>
      <c r="BA235" s="32" t="n">
        <v>9.5</v>
      </c>
      <c r="BB235" s="32" t="n">
        <v>71</v>
      </c>
      <c r="BC235" s="10">
        <f>MAX(IF(AK235=0,0,AK235*1000/('Parametros'!$B$4*MIN(U235,AB235))),MAX(0.062*SQRT('Parametros'!$B$2)*H235/'Parametros'!$B$4,0.35*H235/'Parametros'!$B$4))</f>
        <v>0.812270530096124</v>
      </c>
      <c r="BD235" s="10">
        <f>2*AV235</f>
        <v>0</v>
      </c>
      <c r="BE235" s="10">
        <f>AO235*BB235/AP235</f>
        <v>1.18333333333333</v>
      </c>
      <c r="BF235" s="10">
        <f>SQRT((AI235*1000/(H235*MIN(U235,AB235)))^2+(Q235*1000000*2*((H235-2*('Parametros'!$B$7+'Parametros'!$B$9/2))+(I235-2*('Parametros'!$B$7+'Parametros'!$B$9/2)))/(1.7*((H235-2*('Parametros'!$B$7+'Parametros'!$B$9/2))*(I235-2*('Parametros'!$B$7+'Parametros'!$B$9/2)))^2))^2)</f>
        <v>1.29444684334348</v>
      </c>
      <c r="BG235" s="10">
        <f>'Parametros'!$B$6*(AJ235*1000/(H235*MIN(U235,AB235))+0.66*SQRT('Parametros'!$B$2))</f>
        <v>3.29396038227542</v>
      </c>
      <c r="BH235" s="10" t="str">
        <f>IF(BF235&lt;=BG235,"CUMPLE","NO CUMPLE")</f>
        <v>CUMPLE</v>
      </c>
      <c r="BI235" s="10">
        <f>AX235*'Parametros'!$B$8</f>
        <v>0</v>
      </c>
      <c r="BJ235" s="10" t="str">
        <f>IF(BI235&gt;=AW235,"CUMPLE","NO CUMPLE")</f>
        <v>CUMPLE</v>
      </c>
    </row>
    <row r="236">
      <c r="A236" s="21" t="inlineStr">
        <is>
          <t>VC7</t>
        </is>
      </c>
      <c r="B236" s="21" t="inlineStr">
        <is>
          <t>1017</t>
        </is>
      </c>
      <c r="C236" s="10" t="n">
        <v>1</v>
      </c>
      <c r="D236" s="10" t="n">
        <v>2.05</v>
      </c>
      <c r="E236" s="10" t="n">
        <v>2.05</v>
      </c>
      <c r="F236" s="10" t="n">
        <v>450</v>
      </c>
      <c r="G236" s="10" t="n">
        <v>550</v>
      </c>
      <c r="H236" s="17" t="n">
        <v>450</v>
      </c>
      <c r="I236" s="17" t="n">
        <v>550</v>
      </c>
      <c r="J236" s="30" t="n">
        <v>46.7842</v>
      </c>
      <c r="K236" s="10" t="inlineStr">
        <is>
          <t>1017</t>
        </is>
      </c>
      <c r="L236" s="30" t="n">
        <v>37.8488</v>
      </c>
      <c r="M236" s="10" t="inlineStr">
        <is>
          <t>1017</t>
        </is>
      </c>
      <c r="N236" s="30" t="n">
        <v>40.749</v>
      </c>
      <c r="O236" s="30" t="n">
        <v>100.475</v>
      </c>
      <c r="P236" s="10" t="inlineStr">
        <is>
          <t>1017</t>
        </is>
      </c>
      <c r="Q236" s="30" t="n">
        <v>7.6404</v>
      </c>
      <c r="R236" s="10">
        <f>MAX(MAX(1.4/'Parametros'!$B$3,0.25*SQRT('Parametros'!$B$2)/'Parametros'!$B$3)*H236*U236,(0.85*'Parametros'!$B$2/'Parametros'!$B$3)*(1-SQRT(1-2*(J236*1000000/('Parametros'!$B$5*H236*U236^2))/(0.85*'Parametros'!$B$2)))*H236*U236)</f>
        <v>734.025</v>
      </c>
      <c r="S236" s="31" t="n">
        <v>4</v>
      </c>
      <c r="T236" s="32" t="n">
        <v>1</v>
      </c>
      <c r="U236" s="10">
        <f>IF(T236=1,I236-('Parametros'!$B$7+'Parametros'!$B$9+'Parametros'!$B$12/2),I236-(ROUNDUP(S236/2,0)*('Parametros'!$B$7+'Parametros'!$B$9+'Parametros'!$B$12/2)+ROUNDDOWN(S236/2,0)*('Parametros'!$B$7+'Parametros'!$B$9+'Parametros'!$B$12/2+'Parametros'!$B$12+'Parametros'!$B$10))/S236)</f>
        <v>489.35</v>
      </c>
      <c r="V236" s="10">
        <f>S236*'Parametros'!$B$8</f>
        <v>796</v>
      </c>
      <c r="W236" s="10">
        <f>'Parametros'!$B$5*V236*'Parametros'!$B$3*(U236-(V236*'Parametros'!$B$3/(0.85*'Parametros'!$B$2*H236))/2)/1000000</f>
        <v>142.543330094118</v>
      </c>
      <c r="X236" s="10" t="str">
        <f>IF(W236&gt;=J236,"CUMPLE","NO CUMPLE")</f>
        <v>CUMPLE</v>
      </c>
      <c r="Y236" s="10">
        <f>MAX(MAX(1.4/'Parametros'!$B$3,0.25*SQRT('Parametros'!$B$2)/'Parametros'!$B$3)*H236*AB236,(0.85*'Parametros'!$B$2/'Parametros'!$B$3)*(1-SQRT(1-2*(L236*1000000/('Parametros'!$B$5*H236*AB236^2))/(0.85*'Parametros'!$B$2)))*H236*AB236)</f>
        <v>734.025</v>
      </c>
      <c r="Z236" s="31" t="n">
        <v>4</v>
      </c>
      <c r="AA236" s="32" t="n">
        <v>1</v>
      </c>
      <c r="AB236" s="10">
        <f>IF(AA236=1,I236-('Parametros'!$B$7+'Parametros'!$B$9+'Parametros'!$B$12/2),I236-(ROUNDUP(Z236/2,0)*('Parametros'!$B$7+'Parametros'!$B$9+'Parametros'!$B$12/2)+ROUNDDOWN(Z236/2,0)*('Parametros'!$B$7+'Parametros'!$B$9+'Parametros'!$B$12/2+'Parametros'!$B$12+'Parametros'!$B$10))/Z236)</f>
        <v>489.35</v>
      </c>
      <c r="AC236" s="10">
        <f>Z236*'Parametros'!$B$8</f>
        <v>796</v>
      </c>
      <c r="AD236" s="10">
        <f>'Parametros'!$B$5*AC236*'Parametros'!$B$3*(AB236-(AC236*'Parametros'!$B$3/(0.85*'Parametros'!$B$2*H236))/2)/1000000</f>
        <v>142.543330094118</v>
      </c>
      <c r="AE236" s="10" t="str">
        <f>IF(AD236&gt;=L236,"CUMPLE","NO CUMPLE")</f>
        <v>CUMPLE</v>
      </c>
      <c r="AF236" s="10">
        <f>V236*1.25*'Parametros'!$B$3*(U236-(V236*1.25*'Parametros'!$B$3/(0.85*'Parametros'!$B$2*H236))/2)/1000000</f>
        <v>196.346217941176</v>
      </c>
      <c r="AG236" s="10">
        <f>AC236*1.25*'Parametros'!$B$3*(AB236-(AC236*1.25*'Parametros'!$B$3/(0.85*'Parametros'!$B$2*H236))/2)/1000000</f>
        <v>196.346217941176</v>
      </c>
      <c r="AH236" s="10">
        <f>N236+(AF236+AG236)/D236</f>
        <v>232.30628579627</v>
      </c>
      <c r="AI236" s="10">
        <f>MAX(O236,AH236)</f>
        <v>232.30628579627</v>
      </c>
      <c r="AJ236" s="10">
        <f>0.17*SQRT('Parametros'!$B$2)*H236*MIN(U236,AB236)/1000</f>
        <v>198.088855822627</v>
      </c>
      <c r="AK236" s="10">
        <f>MAX(AI236/'Parametros'!$B$6-AJ236,0)</f>
        <v>111.652858572399</v>
      </c>
      <c r="AL236" s="10">
        <f>0.66*SQRT('Parametros'!$B$2)*H236*MIN(U236,AB236)/1000</f>
        <v>769.050852017258</v>
      </c>
      <c r="AM236" s="10" t="str">
        <f>IF(AK236&lt;=AL236,"CUMPLE","NO CUMPLE")</f>
        <v>CUMPLE</v>
      </c>
      <c r="AN236" s="17" t="inlineStr">
        <is>
          <t>Nº3 cerrado</t>
        </is>
      </c>
      <c r="AO236" s="31" t="n">
        <v>2</v>
      </c>
      <c r="AP236" s="10">
        <f>ROUNDDOWN(MIN(IF(BC236+BD236=0,1000000000,AO236*BB236/(BC236+BD236)),MIN(U236,AB236)/4,8*'Parametros'!$B$12,24*BA236,300,IF(AV236=0,1000000000,2*((H236-2*('Parametros'!$B$7+'Parametros'!$B$9/2))+(I236-2*('Parametros'!$B$7+'Parametros'!$B$9/2)))/8))/10,0)*10</f>
        <v>120</v>
      </c>
      <c r="AQ236" s="10">
        <f>ROUNDDOWN(MIN(IF(BC236+BD236=0,1000000000,AO236*BB236/(BC236+BD236)),IF(AK236&gt;0.33*SQRT('Parametros'!$B$2)*H236*MIN(U236,AB236)/1000,MIN(U236,AB236)/4,MIN(U236,AB236)/2),600,IF(AV236=0,1000000000,2*((H236-2*('Parametros'!$B$7+'Parametros'!$B$9/2))+(I236-2*('Parametros'!$B$7+'Parametros'!$B$9/2)))/8))/10,0)*10</f>
        <v>240</v>
      </c>
      <c r="AR236" s="10">
        <f>'Parametros'!$B$6*(AJ236+MAX(BE236-BD236,0)*'Parametros'!$B$4*MIN(U236,AB236)/1000)</f>
        <v>330.97185436697</v>
      </c>
      <c r="AS236" s="10" t="str">
        <f>IF(AND(ISERROR(SEARCH("referencia",AN236)),AM236="CUMPLE",AR236&gt;=AI236),"CUMPLE","NO CUMPLE")</f>
        <v>CUMPLE</v>
      </c>
      <c r="AT236" s="10">
        <f>'Parametros'!$B$6*0.083*SQRT('Parametros'!$B$2)*(H236*I236)^2/(2*(H236+I236))/1000000</f>
        <v>10.0887830333379</v>
      </c>
      <c r="AU236" s="10" t="str">
        <f>IF(Q236&lt;=AT236,"DESPRECIABLE","DISEÑAR")</f>
        <v>DESPRECIABLE</v>
      </c>
      <c r="AV236" s="10">
        <f>IF(Q236&lt;=AT236,0,Q236*1000000/('Parametros'!$B$6*2*0.85*(H236-2*('Parametros'!$B$7+'Parametros'!$B$9/2))*(I236-2*('Parametros'!$B$7+'Parametros'!$B$9/2))*'Parametros'!$B$4))</f>
        <v>0</v>
      </c>
      <c r="AW236" s="10">
        <f>AV236*2*((H236-2*('Parametros'!$B$7+'Parametros'!$B$9/2))+(I236-2*('Parametros'!$B$7+'Parametros'!$B$9/2)))*'Parametros'!$B$4/'Parametros'!$B$3</f>
        <v>0</v>
      </c>
      <c r="AX236" s="31" t="n">
        <v>0</v>
      </c>
      <c r="AY236" s="10" t="str">
        <f>IF(AV236=0,"DESPRECIABLE",IF(AND(ISERROR(SEARCH("referencia",AN236)),BB236/AP236&gt;=AV236,BI236&gt;=AW236,BH236="CUMPLE"),"CUMPLE","NO CUMPLE"))</f>
        <v>DESPRECIABLE</v>
      </c>
      <c r="AZ236" s="10" t="str">
        <f>IF(AND(X236="CUMPLE",AE236="CUMPLE",AS236="CUMPLE",OR(AY236="CUMPLE",AY236="DESPRECIABLE"),BH236="CUMPLE",BJ236="CUMPLE"),"CUMPLE","NO CUMPLE")</f>
        <v>CUMPLE</v>
      </c>
      <c r="BA236" s="32" t="n">
        <v>9.5</v>
      </c>
      <c r="BB236" s="32" t="n">
        <v>71</v>
      </c>
      <c r="BC236" s="10">
        <f>MAX(IF(AK236=0,0,AK236*1000/('Parametros'!$B$4*MIN(U236,AB236))),MAX(0.062*SQRT('Parametros'!$B$2)*H236/'Parametros'!$B$4,0.35*H236/'Parametros'!$B$4))</f>
        <v>0.543251536646763</v>
      </c>
      <c r="BD236" s="10">
        <f>2*AV236</f>
        <v>0</v>
      </c>
      <c r="BE236" s="10">
        <f>AO236*BB236/AP236</f>
        <v>1.18333333333333</v>
      </c>
      <c r="BF236" s="10">
        <f>SQRT((AI236*1000/(H236*MIN(U236,AB236)))^2+(Q236*1000000*2*((H236-2*('Parametros'!$B$7+'Parametros'!$B$9/2))+(I236-2*('Parametros'!$B$7+'Parametros'!$B$9/2)))/(1.7*((H236-2*('Parametros'!$B$7+'Parametros'!$B$9/2))*(I236-2*('Parametros'!$B$7+'Parametros'!$B$9/2)))^2))^2)</f>
        <v>1.09001204545706</v>
      </c>
      <c r="BG236" s="10">
        <f>'Parametros'!$B$6*(AJ236*1000/(H236*MIN(U236,AB236))+0.66*SQRT('Parametros'!$B$2))</f>
        <v>3.29396038227542</v>
      </c>
      <c r="BH236" s="10" t="str">
        <f>IF(BF236&lt;=BG236,"CUMPLE","NO CUMPLE")</f>
        <v>CUMPLE</v>
      </c>
      <c r="BI236" s="10">
        <f>AX236*'Parametros'!$B$8</f>
        <v>0</v>
      </c>
      <c r="BJ236" s="10" t="str">
        <f>IF(BI236&gt;=AW236,"CUMPLE","NO CUMPLE")</f>
        <v>CUMPLE</v>
      </c>
    </row>
    <row r="237">
      <c r="A237" s="21" t="inlineStr">
        <is>
          <t>VC7</t>
        </is>
      </c>
      <c r="B237" s="21" t="inlineStr">
        <is>
          <t>1018</t>
        </is>
      </c>
      <c r="C237" s="10" t="n">
        <v>1</v>
      </c>
      <c r="D237" s="10" t="n">
        <v>4.5</v>
      </c>
      <c r="E237" s="10" t="n">
        <v>4.5</v>
      </c>
      <c r="F237" s="10" t="n">
        <v>450</v>
      </c>
      <c r="G237" s="10" t="n">
        <v>550</v>
      </c>
      <c r="H237" s="17" t="n">
        <v>450</v>
      </c>
      <c r="I237" s="17" t="n">
        <v>550</v>
      </c>
      <c r="J237" s="30" t="n">
        <v>70.42100000000001</v>
      </c>
      <c r="K237" s="10" t="inlineStr">
        <is>
          <t>1018</t>
        </is>
      </c>
      <c r="L237" s="30" t="n">
        <v>44.8346</v>
      </c>
      <c r="M237" s="10" t="inlineStr">
        <is>
          <t>1018</t>
        </is>
      </c>
      <c r="N237" s="30" t="n">
        <v>40.445</v>
      </c>
      <c r="O237" s="30" t="n">
        <v>94.05</v>
      </c>
      <c r="P237" s="10" t="inlineStr">
        <is>
          <t>1018</t>
        </is>
      </c>
      <c r="Q237" s="30" t="n">
        <v>6.0736</v>
      </c>
      <c r="R237" s="10">
        <f>MAX(MAX(1.4/'Parametros'!$B$3,0.25*SQRT('Parametros'!$B$2)/'Parametros'!$B$3)*H237*U237,(0.85*'Parametros'!$B$2/'Parametros'!$B$3)*(1-SQRT(1-2*(J237*1000000/('Parametros'!$B$5*H237*U237^2))/(0.85*'Parametros'!$B$2)))*H237*U237)</f>
        <v>734.025</v>
      </c>
      <c r="S237" s="31" t="n">
        <v>4</v>
      </c>
      <c r="T237" s="32" t="n">
        <v>1</v>
      </c>
      <c r="U237" s="10">
        <f>IF(T237=1,I237-('Parametros'!$B$7+'Parametros'!$B$9+'Parametros'!$B$12/2),I237-(ROUNDUP(S237/2,0)*('Parametros'!$B$7+'Parametros'!$B$9+'Parametros'!$B$12/2)+ROUNDDOWN(S237/2,0)*('Parametros'!$B$7+'Parametros'!$B$9+'Parametros'!$B$12/2+'Parametros'!$B$12+'Parametros'!$B$10))/S237)</f>
        <v>489.35</v>
      </c>
      <c r="V237" s="10">
        <f>S237*'Parametros'!$B$8</f>
        <v>796</v>
      </c>
      <c r="W237" s="10">
        <f>'Parametros'!$B$5*V237*'Parametros'!$B$3*(U237-(V237*'Parametros'!$B$3/(0.85*'Parametros'!$B$2*H237))/2)/1000000</f>
        <v>142.543330094118</v>
      </c>
      <c r="X237" s="10" t="str">
        <f>IF(W237&gt;=J237,"CUMPLE","NO CUMPLE")</f>
        <v>CUMPLE</v>
      </c>
      <c r="Y237" s="10">
        <f>MAX(MAX(1.4/'Parametros'!$B$3,0.25*SQRT('Parametros'!$B$2)/'Parametros'!$B$3)*H237*AB237,(0.85*'Parametros'!$B$2/'Parametros'!$B$3)*(1-SQRT(1-2*(L237*1000000/('Parametros'!$B$5*H237*AB237^2))/(0.85*'Parametros'!$B$2)))*H237*AB237)</f>
        <v>734.025</v>
      </c>
      <c r="Z237" s="31" t="n">
        <v>4</v>
      </c>
      <c r="AA237" s="32" t="n">
        <v>1</v>
      </c>
      <c r="AB237" s="10">
        <f>IF(AA237=1,I237-('Parametros'!$B$7+'Parametros'!$B$9+'Parametros'!$B$12/2),I237-(ROUNDUP(Z237/2,0)*('Parametros'!$B$7+'Parametros'!$B$9+'Parametros'!$B$12/2)+ROUNDDOWN(Z237/2,0)*('Parametros'!$B$7+'Parametros'!$B$9+'Parametros'!$B$12/2+'Parametros'!$B$12+'Parametros'!$B$10))/Z237)</f>
        <v>489.35</v>
      </c>
      <c r="AC237" s="10">
        <f>Z237*'Parametros'!$B$8</f>
        <v>796</v>
      </c>
      <c r="AD237" s="10">
        <f>'Parametros'!$B$5*AC237*'Parametros'!$B$3*(AB237-(AC237*'Parametros'!$B$3/(0.85*'Parametros'!$B$2*H237))/2)/1000000</f>
        <v>142.543330094118</v>
      </c>
      <c r="AE237" s="10" t="str">
        <f>IF(AD237&gt;=L237,"CUMPLE","NO CUMPLE")</f>
        <v>CUMPLE</v>
      </c>
      <c r="AF237" s="10">
        <f>V237*1.25*'Parametros'!$B$3*(U237-(V237*1.25*'Parametros'!$B$3/(0.85*'Parametros'!$B$2*H237))/2)/1000000</f>
        <v>196.346217941176</v>
      </c>
      <c r="AG237" s="10">
        <f>AC237*1.25*'Parametros'!$B$3*(AB237-(AC237*1.25*'Parametros'!$B$3/(0.85*'Parametros'!$B$2*H237))/2)/1000000</f>
        <v>196.346217941176</v>
      </c>
      <c r="AH237" s="10">
        <f>N237+(AF237+AG237)/D237</f>
        <v>127.709985751634</v>
      </c>
      <c r="AI237" s="10">
        <f>MAX(O237,AH237)</f>
        <v>127.709985751634</v>
      </c>
      <c r="AJ237" s="10">
        <f>0.17*SQRT('Parametros'!$B$2)*H237*MIN(U237,AB237)/1000</f>
        <v>198.088855822627</v>
      </c>
      <c r="AK237" s="10">
        <f>MAX(AI237/'Parametros'!$B$6-AJ237,0)</f>
        <v>0</v>
      </c>
      <c r="AL237" s="10">
        <f>0.66*SQRT('Parametros'!$B$2)*H237*MIN(U237,AB237)/1000</f>
        <v>769.050852017258</v>
      </c>
      <c r="AM237" s="10" t="str">
        <f>IF(AK237&lt;=AL237,"CUMPLE","NO CUMPLE")</f>
        <v>CUMPLE</v>
      </c>
      <c r="AN237" s="17" t="inlineStr">
        <is>
          <t>Nº3 cerrado</t>
        </is>
      </c>
      <c r="AO237" s="31" t="n">
        <v>2</v>
      </c>
      <c r="AP237" s="10">
        <f>ROUNDDOWN(MIN(IF(BC237+BD237=0,1000000000,AO237*BB237/(BC237+BD237)),MIN(U237,AB237)/4,8*'Parametros'!$B$12,24*BA237,300,IF(AV237=0,1000000000,2*((H237-2*('Parametros'!$B$7+'Parametros'!$B$9/2))+(I237-2*('Parametros'!$B$7+'Parametros'!$B$9/2)))/8))/10,0)*10</f>
        <v>120</v>
      </c>
      <c r="AQ237" s="10">
        <f>ROUNDDOWN(MIN(IF(BC237+BD237=0,1000000000,AO237*BB237/(BC237+BD237)),IF(AK237&gt;0.33*SQRT('Parametros'!$B$2)*H237*MIN(U237,AB237)/1000,MIN(U237,AB237)/4,MIN(U237,AB237)/2),600,IF(AV237=0,1000000000,2*((H237-2*('Parametros'!$B$7+'Parametros'!$B$9/2))+(I237-2*('Parametros'!$B$7+'Parametros'!$B$9/2)))/8))/10,0)*10</f>
        <v>240</v>
      </c>
      <c r="AR237" s="10">
        <f>'Parametros'!$B$6*(AJ237+MAX(BE237-BD237,0)*'Parametros'!$B$4*MIN(U237,AB237)/1000)</f>
        <v>330.97185436697</v>
      </c>
      <c r="AS237" s="10" t="str">
        <f>IF(AND(ISERROR(SEARCH("referencia",AN237)),AM237="CUMPLE",AR237&gt;=AI237),"CUMPLE","NO CUMPLE")</f>
        <v>CUMPLE</v>
      </c>
      <c r="AT237" s="10">
        <f>'Parametros'!$B$6*0.083*SQRT('Parametros'!$B$2)*(H237*I237)^2/(2*(H237+I237))/1000000</f>
        <v>10.0887830333379</v>
      </c>
      <c r="AU237" s="10" t="str">
        <f>IF(Q237&lt;=AT237,"DESPRECIABLE","DISEÑAR")</f>
        <v>DESPRECIABLE</v>
      </c>
      <c r="AV237" s="10">
        <f>IF(Q237&lt;=AT237,0,Q237*1000000/('Parametros'!$B$6*2*0.85*(H237-2*('Parametros'!$B$7+'Parametros'!$B$9/2))*(I237-2*('Parametros'!$B$7+'Parametros'!$B$9/2))*'Parametros'!$B$4))</f>
        <v>0</v>
      </c>
      <c r="AW237" s="10">
        <f>AV237*2*((H237-2*('Parametros'!$B$7+'Parametros'!$B$9/2))+(I237-2*('Parametros'!$B$7+'Parametros'!$B$9/2)))*'Parametros'!$B$4/'Parametros'!$B$3</f>
        <v>0</v>
      </c>
      <c r="AX237" s="31" t="n">
        <v>0</v>
      </c>
      <c r="AY237" s="10" t="str">
        <f>IF(AV237=0,"DESPRECIABLE",IF(AND(ISERROR(SEARCH("referencia",AN237)),BB237/AP237&gt;=AV237,BI237&gt;=AW237,BH237="CUMPLE"),"CUMPLE","NO CUMPLE"))</f>
        <v>DESPRECIABLE</v>
      </c>
      <c r="AZ237" s="10" t="str">
        <f>IF(AND(X237="CUMPLE",AE237="CUMPLE",AS237="CUMPLE",OR(AY237="CUMPLE",AY237="DESPRECIABLE"),BH237="CUMPLE",BJ237="CUMPLE"),"CUMPLE","NO CUMPLE")</f>
        <v>CUMPLE</v>
      </c>
      <c r="BA237" s="32" t="n">
        <v>9.5</v>
      </c>
      <c r="BB237" s="32" t="n">
        <v>71</v>
      </c>
      <c r="BC237" s="10">
        <f>MAX(IF(AK237=0,0,AK237*1000/('Parametros'!$B$4*MIN(U237,AB237))),MAX(0.062*SQRT('Parametros'!$B$2)*H237/'Parametros'!$B$4,0.35*H237/'Parametros'!$B$4))</f>
        <v>0.375</v>
      </c>
      <c r="BD237" s="10">
        <f>2*AV237</f>
        <v>0</v>
      </c>
      <c r="BE237" s="10">
        <f>AO237*BB237/AP237</f>
        <v>1.18333333333333</v>
      </c>
      <c r="BF237" s="10">
        <f>SQRT((AI237*1000/(H237*MIN(U237,AB237)))^2+(Q237*1000000*2*((H237-2*('Parametros'!$B$7+'Parametros'!$B$9/2))+(I237-2*('Parametros'!$B$7+'Parametros'!$B$9/2)))/(1.7*((H237-2*('Parametros'!$B$7+'Parametros'!$B$9/2))*(I237-2*('Parametros'!$B$7+'Parametros'!$B$9/2)))^2))^2)</f>
        <v>0.619580209320159</v>
      </c>
      <c r="BG237" s="10">
        <f>'Parametros'!$B$6*(AJ237*1000/(H237*MIN(U237,AB237))+0.66*SQRT('Parametros'!$B$2))</f>
        <v>3.29396038227542</v>
      </c>
      <c r="BH237" s="10" t="str">
        <f>IF(BF237&lt;=BG237,"CUMPLE","NO CUMPLE")</f>
        <v>CUMPLE</v>
      </c>
      <c r="BI237" s="10">
        <f>AX237*'Parametros'!$B$8</f>
        <v>0</v>
      </c>
      <c r="BJ237" s="10" t="str">
        <f>IF(BI237&gt;=AW237,"CUMPLE","NO CUMPLE")</f>
        <v>CUMPLE</v>
      </c>
    </row>
    <row r="238">
      <c r="A238" s="21" t="inlineStr">
        <is>
          <t>VC7</t>
        </is>
      </c>
      <c r="B238" s="21" t="inlineStr">
        <is>
          <t>1019</t>
        </is>
      </c>
      <c r="C238" s="10" t="n">
        <v>1</v>
      </c>
      <c r="D238" s="10" t="n">
        <v>4.5</v>
      </c>
      <c r="E238" s="10" t="n">
        <v>4.5</v>
      </c>
      <c r="F238" s="10" t="n">
        <v>450</v>
      </c>
      <c r="G238" s="10" t="n">
        <v>550</v>
      </c>
      <c r="H238" s="17" t="n">
        <v>450</v>
      </c>
      <c r="I238" s="17" t="n">
        <v>550</v>
      </c>
      <c r="J238" s="30" t="n">
        <v>70.4297</v>
      </c>
      <c r="K238" s="10" t="inlineStr">
        <is>
          <t>1019</t>
        </is>
      </c>
      <c r="L238" s="30" t="n">
        <v>44.843</v>
      </c>
      <c r="M238" s="10" t="inlineStr">
        <is>
          <t>1019</t>
        </is>
      </c>
      <c r="N238" s="30" t="n">
        <v>40.448</v>
      </c>
      <c r="O238" s="30" t="n">
        <v>94.054</v>
      </c>
      <c r="P238" s="10" t="inlineStr">
        <is>
          <t>1019</t>
        </is>
      </c>
      <c r="Q238" s="30" t="n">
        <v>6.0731</v>
      </c>
      <c r="R238" s="10">
        <f>MAX(MAX(1.4/'Parametros'!$B$3,0.25*SQRT('Parametros'!$B$2)/'Parametros'!$B$3)*H238*U238,(0.85*'Parametros'!$B$2/'Parametros'!$B$3)*(1-SQRT(1-2*(J238*1000000/('Parametros'!$B$5*H238*U238^2))/(0.85*'Parametros'!$B$2)))*H238*U238)</f>
        <v>734.025</v>
      </c>
      <c r="S238" s="31" t="n">
        <v>4</v>
      </c>
      <c r="T238" s="32" t="n">
        <v>1</v>
      </c>
      <c r="U238" s="10">
        <f>IF(T238=1,I238-('Parametros'!$B$7+'Parametros'!$B$9+'Parametros'!$B$12/2),I238-(ROUNDUP(S238/2,0)*('Parametros'!$B$7+'Parametros'!$B$9+'Parametros'!$B$12/2)+ROUNDDOWN(S238/2,0)*('Parametros'!$B$7+'Parametros'!$B$9+'Parametros'!$B$12/2+'Parametros'!$B$12+'Parametros'!$B$10))/S238)</f>
        <v>489.35</v>
      </c>
      <c r="V238" s="10">
        <f>S238*'Parametros'!$B$8</f>
        <v>796</v>
      </c>
      <c r="W238" s="10">
        <f>'Parametros'!$B$5*V238*'Parametros'!$B$3*(U238-(V238*'Parametros'!$B$3/(0.85*'Parametros'!$B$2*H238))/2)/1000000</f>
        <v>142.543330094118</v>
      </c>
      <c r="X238" s="10" t="str">
        <f>IF(W238&gt;=J238,"CUMPLE","NO CUMPLE")</f>
        <v>CUMPLE</v>
      </c>
      <c r="Y238" s="10">
        <f>MAX(MAX(1.4/'Parametros'!$B$3,0.25*SQRT('Parametros'!$B$2)/'Parametros'!$B$3)*H238*AB238,(0.85*'Parametros'!$B$2/'Parametros'!$B$3)*(1-SQRT(1-2*(L238*1000000/('Parametros'!$B$5*H238*AB238^2))/(0.85*'Parametros'!$B$2)))*H238*AB238)</f>
        <v>734.025</v>
      </c>
      <c r="Z238" s="31" t="n">
        <v>4</v>
      </c>
      <c r="AA238" s="32" t="n">
        <v>1</v>
      </c>
      <c r="AB238" s="10">
        <f>IF(AA238=1,I238-('Parametros'!$B$7+'Parametros'!$B$9+'Parametros'!$B$12/2),I238-(ROUNDUP(Z238/2,0)*('Parametros'!$B$7+'Parametros'!$B$9+'Parametros'!$B$12/2)+ROUNDDOWN(Z238/2,0)*('Parametros'!$B$7+'Parametros'!$B$9+'Parametros'!$B$12/2+'Parametros'!$B$12+'Parametros'!$B$10))/Z238)</f>
        <v>489.35</v>
      </c>
      <c r="AC238" s="10">
        <f>Z238*'Parametros'!$B$8</f>
        <v>796</v>
      </c>
      <c r="AD238" s="10">
        <f>'Parametros'!$B$5*AC238*'Parametros'!$B$3*(AB238-(AC238*'Parametros'!$B$3/(0.85*'Parametros'!$B$2*H238))/2)/1000000</f>
        <v>142.543330094118</v>
      </c>
      <c r="AE238" s="10" t="str">
        <f>IF(AD238&gt;=L238,"CUMPLE","NO CUMPLE")</f>
        <v>CUMPLE</v>
      </c>
      <c r="AF238" s="10">
        <f>V238*1.25*'Parametros'!$B$3*(U238-(V238*1.25*'Parametros'!$B$3/(0.85*'Parametros'!$B$2*H238))/2)/1000000</f>
        <v>196.346217941176</v>
      </c>
      <c r="AG238" s="10">
        <f>AC238*1.25*'Parametros'!$B$3*(AB238-(AC238*1.25*'Parametros'!$B$3/(0.85*'Parametros'!$B$2*H238))/2)/1000000</f>
        <v>196.346217941176</v>
      </c>
      <c r="AH238" s="10">
        <f>N238+(AF238+AG238)/D238</f>
        <v>127.712985751634</v>
      </c>
      <c r="AI238" s="10">
        <f>MAX(O238,AH238)</f>
        <v>127.712985751634</v>
      </c>
      <c r="AJ238" s="10">
        <f>0.17*SQRT('Parametros'!$B$2)*H238*MIN(U238,AB238)/1000</f>
        <v>198.088855822627</v>
      </c>
      <c r="AK238" s="10">
        <f>MAX(AI238/'Parametros'!$B$6-AJ238,0)</f>
        <v>0</v>
      </c>
      <c r="AL238" s="10">
        <f>0.66*SQRT('Parametros'!$B$2)*H238*MIN(U238,AB238)/1000</f>
        <v>769.050852017258</v>
      </c>
      <c r="AM238" s="10" t="str">
        <f>IF(AK238&lt;=AL238,"CUMPLE","NO CUMPLE")</f>
        <v>CUMPLE</v>
      </c>
      <c r="AN238" s="17" t="inlineStr">
        <is>
          <t>Nº3 cerrado</t>
        </is>
      </c>
      <c r="AO238" s="31" t="n">
        <v>2</v>
      </c>
      <c r="AP238" s="10">
        <f>ROUNDDOWN(MIN(IF(BC238+BD238=0,1000000000,AO238*BB238/(BC238+BD238)),MIN(U238,AB238)/4,8*'Parametros'!$B$12,24*BA238,300,IF(AV238=0,1000000000,2*((H238-2*('Parametros'!$B$7+'Parametros'!$B$9/2))+(I238-2*('Parametros'!$B$7+'Parametros'!$B$9/2)))/8))/10,0)*10</f>
        <v>120</v>
      </c>
      <c r="AQ238" s="10">
        <f>ROUNDDOWN(MIN(IF(BC238+BD238=0,1000000000,AO238*BB238/(BC238+BD238)),IF(AK238&gt;0.33*SQRT('Parametros'!$B$2)*H238*MIN(U238,AB238)/1000,MIN(U238,AB238)/4,MIN(U238,AB238)/2),600,IF(AV238=0,1000000000,2*((H238-2*('Parametros'!$B$7+'Parametros'!$B$9/2))+(I238-2*('Parametros'!$B$7+'Parametros'!$B$9/2)))/8))/10,0)*10</f>
        <v>240</v>
      </c>
      <c r="AR238" s="10">
        <f>'Parametros'!$B$6*(AJ238+MAX(BE238-BD238,0)*'Parametros'!$B$4*MIN(U238,AB238)/1000)</f>
        <v>330.97185436697</v>
      </c>
      <c r="AS238" s="10" t="str">
        <f>IF(AND(ISERROR(SEARCH("referencia",AN238)),AM238="CUMPLE",AR238&gt;=AI238),"CUMPLE","NO CUMPLE")</f>
        <v>CUMPLE</v>
      </c>
      <c r="AT238" s="10">
        <f>'Parametros'!$B$6*0.083*SQRT('Parametros'!$B$2)*(H238*I238)^2/(2*(H238+I238))/1000000</f>
        <v>10.0887830333379</v>
      </c>
      <c r="AU238" s="10" t="str">
        <f>IF(Q238&lt;=AT238,"DESPRECIABLE","DISEÑAR")</f>
        <v>DESPRECIABLE</v>
      </c>
      <c r="AV238" s="10">
        <f>IF(Q238&lt;=AT238,0,Q238*1000000/('Parametros'!$B$6*2*0.85*(H238-2*('Parametros'!$B$7+'Parametros'!$B$9/2))*(I238-2*('Parametros'!$B$7+'Parametros'!$B$9/2))*'Parametros'!$B$4))</f>
        <v>0</v>
      </c>
      <c r="AW238" s="10">
        <f>AV238*2*((H238-2*('Parametros'!$B$7+'Parametros'!$B$9/2))+(I238-2*('Parametros'!$B$7+'Parametros'!$B$9/2)))*'Parametros'!$B$4/'Parametros'!$B$3</f>
        <v>0</v>
      </c>
      <c r="AX238" s="31" t="n">
        <v>0</v>
      </c>
      <c r="AY238" s="10" t="str">
        <f>IF(AV238=0,"DESPRECIABLE",IF(AND(ISERROR(SEARCH("referencia",AN238)),BB238/AP238&gt;=AV238,BI238&gt;=AW238,BH238="CUMPLE"),"CUMPLE","NO CUMPLE"))</f>
        <v>DESPRECIABLE</v>
      </c>
      <c r="AZ238" s="10" t="str">
        <f>IF(AND(X238="CUMPLE",AE238="CUMPLE",AS238="CUMPLE",OR(AY238="CUMPLE",AY238="DESPRECIABLE"),BH238="CUMPLE",BJ238="CUMPLE"),"CUMPLE","NO CUMPLE")</f>
        <v>CUMPLE</v>
      </c>
      <c r="BA238" s="32" t="n">
        <v>9.5</v>
      </c>
      <c r="BB238" s="32" t="n">
        <v>71</v>
      </c>
      <c r="BC238" s="10">
        <f>MAX(IF(AK238=0,0,AK238*1000/('Parametros'!$B$4*MIN(U238,AB238))),MAX(0.062*SQRT('Parametros'!$B$2)*H238/'Parametros'!$B$4,0.35*H238/'Parametros'!$B$4))</f>
        <v>0.375</v>
      </c>
      <c r="BD238" s="10">
        <f>2*AV238</f>
        <v>0</v>
      </c>
      <c r="BE238" s="10">
        <f>AO238*BB238/AP238</f>
        <v>1.18333333333333</v>
      </c>
      <c r="BF238" s="10">
        <f>SQRT((AI238*1000/(H238*MIN(U238,AB238)))^2+(Q238*1000000*2*((H238-2*('Parametros'!$B$7+'Parametros'!$B$9/2))+(I238-2*('Parametros'!$B$7+'Parametros'!$B$9/2)))/(1.7*((H238-2*('Parametros'!$B$7+'Parametros'!$B$9/2))*(I238-2*('Parametros'!$B$7+'Parametros'!$B$9/2)))^2))^2)</f>
        <v>0.619586646010714</v>
      </c>
      <c r="BG238" s="10">
        <f>'Parametros'!$B$6*(AJ238*1000/(H238*MIN(U238,AB238))+0.66*SQRT('Parametros'!$B$2))</f>
        <v>3.29396038227542</v>
      </c>
      <c r="BH238" s="10" t="str">
        <f>IF(BF238&lt;=BG238,"CUMPLE","NO CUMPLE")</f>
        <v>CUMPLE</v>
      </c>
      <c r="BI238" s="10">
        <f>AX238*'Parametros'!$B$8</f>
        <v>0</v>
      </c>
      <c r="BJ238" s="10" t="str">
        <f>IF(BI238&gt;=AW238,"CUMPLE","NO CUMPLE")</f>
        <v>CUMPLE</v>
      </c>
    </row>
    <row r="239">
      <c r="A239" s="21" t="inlineStr">
        <is>
          <t>VC7</t>
        </is>
      </c>
      <c r="B239" s="21" t="inlineStr">
        <is>
          <t>1020</t>
        </is>
      </c>
      <c r="C239" s="10" t="n">
        <v>1</v>
      </c>
      <c r="D239" s="10" t="n">
        <v>2.05</v>
      </c>
      <c r="E239" s="10" t="n">
        <v>2.05</v>
      </c>
      <c r="F239" s="10" t="n">
        <v>450</v>
      </c>
      <c r="G239" s="10" t="n">
        <v>550</v>
      </c>
      <c r="H239" s="17" t="n">
        <v>450</v>
      </c>
      <c r="I239" s="17" t="n">
        <v>550</v>
      </c>
      <c r="J239" s="30" t="n">
        <v>46.7906</v>
      </c>
      <c r="K239" s="10" t="inlineStr">
        <is>
          <t>1020</t>
        </is>
      </c>
      <c r="L239" s="30" t="n">
        <v>37.8529</v>
      </c>
      <c r="M239" s="10" t="inlineStr">
        <is>
          <t>1020</t>
        </is>
      </c>
      <c r="N239" s="30" t="n">
        <v>40.753</v>
      </c>
      <c r="O239" s="30" t="n">
        <v>100.479</v>
      </c>
      <c r="P239" s="10" t="inlineStr">
        <is>
          <t>1020</t>
        </is>
      </c>
      <c r="Q239" s="30" t="n">
        <v>7.6409</v>
      </c>
      <c r="R239" s="10">
        <f>MAX(MAX(1.4/'Parametros'!$B$3,0.25*SQRT('Parametros'!$B$2)/'Parametros'!$B$3)*H239*U239,(0.85*'Parametros'!$B$2/'Parametros'!$B$3)*(1-SQRT(1-2*(J239*1000000/('Parametros'!$B$5*H239*U239^2))/(0.85*'Parametros'!$B$2)))*H239*U239)</f>
        <v>734.025</v>
      </c>
      <c r="S239" s="31" t="n">
        <v>4</v>
      </c>
      <c r="T239" s="32" t="n">
        <v>1</v>
      </c>
      <c r="U239" s="10">
        <f>IF(T239=1,I239-('Parametros'!$B$7+'Parametros'!$B$9+'Parametros'!$B$12/2),I239-(ROUNDUP(S239/2,0)*('Parametros'!$B$7+'Parametros'!$B$9+'Parametros'!$B$12/2)+ROUNDDOWN(S239/2,0)*('Parametros'!$B$7+'Parametros'!$B$9+'Parametros'!$B$12/2+'Parametros'!$B$12+'Parametros'!$B$10))/S239)</f>
        <v>489.35</v>
      </c>
      <c r="V239" s="10">
        <f>S239*'Parametros'!$B$8</f>
        <v>796</v>
      </c>
      <c r="W239" s="10">
        <f>'Parametros'!$B$5*V239*'Parametros'!$B$3*(U239-(V239*'Parametros'!$B$3/(0.85*'Parametros'!$B$2*H239))/2)/1000000</f>
        <v>142.543330094118</v>
      </c>
      <c r="X239" s="10" t="str">
        <f>IF(W239&gt;=J239,"CUMPLE","NO CUMPLE")</f>
        <v>CUMPLE</v>
      </c>
      <c r="Y239" s="10">
        <f>MAX(MAX(1.4/'Parametros'!$B$3,0.25*SQRT('Parametros'!$B$2)/'Parametros'!$B$3)*H239*AB239,(0.85*'Parametros'!$B$2/'Parametros'!$B$3)*(1-SQRT(1-2*(L239*1000000/('Parametros'!$B$5*H239*AB239^2))/(0.85*'Parametros'!$B$2)))*H239*AB239)</f>
        <v>734.025</v>
      </c>
      <c r="Z239" s="31" t="n">
        <v>4</v>
      </c>
      <c r="AA239" s="32" t="n">
        <v>1</v>
      </c>
      <c r="AB239" s="10">
        <f>IF(AA239=1,I239-('Parametros'!$B$7+'Parametros'!$B$9+'Parametros'!$B$12/2),I239-(ROUNDUP(Z239/2,0)*('Parametros'!$B$7+'Parametros'!$B$9+'Parametros'!$B$12/2)+ROUNDDOWN(Z239/2,0)*('Parametros'!$B$7+'Parametros'!$B$9+'Parametros'!$B$12/2+'Parametros'!$B$12+'Parametros'!$B$10))/Z239)</f>
        <v>489.35</v>
      </c>
      <c r="AC239" s="10">
        <f>Z239*'Parametros'!$B$8</f>
        <v>796</v>
      </c>
      <c r="AD239" s="10">
        <f>'Parametros'!$B$5*AC239*'Parametros'!$B$3*(AB239-(AC239*'Parametros'!$B$3/(0.85*'Parametros'!$B$2*H239))/2)/1000000</f>
        <v>142.543330094118</v>
      </c>
      <c r="AE239" s="10" t="str">
        <f>IF(AD239&gt;=L239,"CUMPLE","NO CUMPLE")</f>
        <v>CUMPLE</v>
      </c>
      <c r="AF239" s="10">
        <f>V239*1.25*'Parametros'!$B$3*(U239-(V239*1.25*'Parametros'!$B$3/(0.85*'Parametros'!$B$2*H239))/2)/1000000</f>
        <v>196.346217941176</v>
      </c>
      <c r="AG239" s="10">
        <f>AC239*1.25*'Parametros'!$B$3*(AB239-(AC239*1.25*'Parametros'!$B$3/(0.85*'Parametros'!$B$2*H239))/2)/1000000</f>
        <v>196.346217941176</v>
      </c>
      <c r="AH239" s="10">
        <f>N239+(AF239+AG239)/D239</f>
        <v>232.31028579627</v>
      </c>
      <c r="AI239" s="10">
        <f>MAX(O239,AH239)</f>
        <v>232.31028579627</v>
      </c>
      <c r="AJ239" s="10">
        <f>0.17*SQRT('Parametros'!$B$2)*H239*MIN(U239,AB239)/1000</f>
        <v>198.088855822627</v>
      </c>
      <c r="AK239" s="10">
        <f>MAX(AI239/'Parametros'!$B$6-AJ239,0)</f>
        <v>111.658191905733</v>
      </c>
      <c r="AL239" s="10">
        <f>0.66*SQRT('Parametros'!$B$2)*H239*MIN(U239,AB239)/1000</f>
        <v>769.050852017258</v>
      </c>
      <c r="AM239" s="10" t="str">
        <f>IF(AK239&lt;=AL239,"CUMPLE","NO CUMPLE")</f>
        <v>CUMPLE</v>
      </c>
      <c r="AN239" s="17" t="inlineStr">
        <is>
          <t>Nº3 cerrado</t>
        </is>
      </c>
      <c r="AO239" s="31" t="n">
        <v>2</v>
      </c>
      <c r="AP239" s="10">
        <f>ROUNDDOWN(MIN(IF(BC239+BD239=0,1000000000,AO239*BB239/(BC239+BD239)),MIN(U239,AB239)/4,8*'Parametros'!$B$12,24*BA239,300,IF(AV239=0,1000000000,2*((H239-2*('Parametros'!$B$7+'Parametros'!$B$9/2))+(I239-2*('Parametros'!$B$7+'Parametros'!$B$9/2)))/8))/10,0)*10</f>
        <v>120</v>
      </c>
      <c r="AQ239" s="10">
        <f>ROUNDDOWN(MIN(IF(BC239+BD239=0,1000000000,AO239*BB239/(BC239+BD239)),IF(AK239&gt;0.33*SQRT('Parametros'!$B$2)*H239*MIN(U239,AB239)/1000,MIN(U239,AB239)/4,MIN(U239,AB239)/2),600,IF(AV239=0,1000000000,2*((H239-2*('Parametros'!$B$7+'Parametros'!$B$9/2))+(I239-2*('Parametros'!$B$7+'Parametros'!$B$9/2)))/8))/10,0)*10</f>
        <v>240</v>
      </c>
      <c r="AR239" s="10">
        <f>'Parametros'!$B$6*(AJ239+MAX(BE239-BD239,0)*'Parametros'!$B$4*MIN(U239,AB239)/1000)</f>
        <v>330.97185436697</v>
      </c>
      <c r="AS239" s="10" t="str">
        <f>IF(AND(ISERROR(SEARCH("referencia",AN239)),AM239="CUMPLE",AR239&gt;=AI239),"CUMPLE","NO CUMPLE")</f>
        <v>CUMPLE</v>
      </c>
      <c r="AT239" s="10">
        <f>'Parametros'!$B$6*0.083*SQRT('Parametros'!$B$2)*(H239*I239)^2/(2*(H239+I239))/1000000</f>
        <v>10.0887830333379</v>
      </c>
      <c r="AU239" s="10" t="str">
        <f>IF(Q239&lt;=AT239,"DESPRECIABLE","DISEÑAR")</f>
        <v>DESPRECIABLE</v>
      </c>
      <c r="AV239" s="10">
        <f>IF(Q239&lt;=AT239,0,Q239*1000000/('Parametros'!$B$6*2*0.85*(H239-2*('Parametros'!$B$7+'Parametros'!$B$9/2))*(I239-2*('Parametros'!$B$7+'Parametros'!$B$9/2))*'Parametros'!$B$4))</f>
        <v>0</v>
      </c>
      <c r="AW239" s="10">
        <f>AV239*2*((H239-2*('Parametros'!$B$7+'Parametros'!$B$9/2))+(I239-2*('Parametros'!$B$7+'Parametros'!$B$9/2)))*'Parametros'!$B$4/'Parametros'!$B$3</f>
        <v>0</v>
      </c>
      <c r="AX239" s="31" t="n">
        <v>0</v>
      </c>
      <c r="AY239" s="10" t="str">
        <f>IF(AV239=0,"DESPRECIABLE",IF(AND(ISERROR(SEARCH("referencia",AN239)),BB239/AP239&gt;=AV239,BI239&gt;=AW239,BH239="CUMPLE"),"CUMPLE","NO CUMPLE"))</f>
        <v>DESPRECIABLE</v>
      </c>
      <c r="AZ239" s="10" t="str">
        <f>IF(AND(X239="CUMPLE",AE239="CUMPLE",AS239="CUMPLE",OR(AY239="CUMPLE",AY239="DESPRECIABLE"),BH239="CUMPLE",BJ239="CUMPLE"),"CUMPLE","NO CUMPLE")</f>
        <v>CUMPLE</v>
      </c>
      <c r="BA239" s="32" t="n">
        <v>9.5</v>
      </c>
      <c r="BB239" s="32" t="n">
        <v>71</v>
      </c>
      <c r="BC239" s="10">
        <f>MAX(IF(AK239=0,0,AK239*1000/('Parametros'!$B$4*MIN(U239,AB239))),MAX(0.062*SQRT('Parametros'!$B$2)*H239/'Parametros'!$B$4,0.35*H239/'Parametros'!$B$4))</f>
        <v>0.543277486197593</v>
      </c>
      <c r="BD239" s="10">
        <f>2*AV239</f>
        <v>0</v>
      </c>
      <c r="BE239" s="10">
        <f>AO239*BB239/AP239</f>
        <v>1.18333333333333</v>
      </c>
      <c r="BF239" s="10">
        <f>SQRT((AI239*1000/(H239*MIN(U239,AB239)))^2+(Q239*1000000*2*((H239-2*('Parametros'!$B$7+'Parametros'!$B$9/2))+(I239-2*('Parametros'!$B$7+'Parametros'!$B$9/2)))/(1.7*((H239-2*('Parametros'!$B$7+'Parametros'!$B$9/2))*(I239-2*('Parametros'!$B$7+'Parametros'!$B$9/2)))^2))^2)</f>
        <v>1.0900341419538</v>
      </c>
      <c r="BG239" s="10">
        <f>'Parametros'!$B$6*(AJ239*1000/(H239*MIN(U239,AB239))+0.66*SQRT('Parametros'!$B$2))</f>
        <v>3.29396038227542</v>
      </c>
      <c r="BH239" s="10" t="str">
        <f>IF(BF239&lt;=BG239,"CUMPLE","NO CUMPLE")</f>
        <v>CUMPLE</v>
      </c>
      <c r="BI239" s="10">
        <f>AX239*'Parametros'!$B$8</f>
        <v>0</v>
      </c>
      <c r="BJ239" s="10" t="str">
        <f>IF(BI239&gt;=AW239,"CUMPLE","NO CUMPLE")</f>
        <v>CUMPLE</v>
      </c>
    </row>
    <row r="240">
      <c r="A240" s="21" t="inlineStr">
        <is>
          <t>VC7</t>
        </is>
      </c>
      <c r="B240" s="21" t="inlineStr">
        <is>
          <t>1021</t>
        </is>
      </c>
      <c r="C240" s="10" t="n">
        <v>1</v>
      </c>
      <c r="D240" s="10" t="n">
        <v>2.05</v>
      </c>
      <c r="E240" s="10" t="n">
        <v>2.05</v>
      </c>
      <c r="F240" s="10" t="n">
        <v>450</v>
      </c>
      <c r="G240" s="10" t="n">
        <v>550</v>
      </c>
      <c r="H240" s="17" t="n">
        <v>450</v>
      </c>
      <c r="I240" s="17" t="n">
        <v>550</v>
      </c>
      <c r="J240" s="30" t="n">
        <v>46.1858</v>
      </c>
      <c r="K240" s="10" t="inlineStr">
        <is>
          <t>1021</t>
        </is>
      </c>
      <c r="L240" s="30" t="n">
        <v>37.3175</v>
      </c>
      <c r="M240" s="10" t="inlineStr">
        <is>
          <t>1021</t>
        </is>
      </c>
      <c r="N240" s="30" t="n">
        <v>40.377</v>
      </c>
      <c r="O240" s="30" t="n">
        <v>101.169</v>
      </c>
      <c r="P240" s="10" t="inlineStr">
        <is>
          <t>1021</t>
        </is>
      </c>
      <c r="Q240" s="30" t="n">
        <v>7.0153</v>
      </c>
      <c r="R240" s="10">
        <f>MAX(MAX(1.4/'Parametros'!$B$3,0.25*SQRT('Parametros'!$B$2)/'Parametros'!$B$3)*H240*U240,(0.85*'Parametros'!$B$2/'Parametros'!$B$3)*(1-SQRT(1-2*(J240*1000000/('Parametros'!$B$5*H240*U240^2))/(0.85*'Parametros'!$B$2)))*H240*U240)</f>
        <v>734.025</v>
      </c>
      <c r="S240" s="31" t="n">
        <v>4</v>
      </c>
      <c r="T240" s="32" t="n">
        <v>1</v>
      </c>
      <c r="U240" s="10">
        <f>IF(T240=1,I240-('Parametros'!$B$7+'Parametros'!$B$9+'Parametros'!$B$12/2),I240-(ROUNDUP(S240/2,0)*('Parametros'!$B$7+'Parametros'!$B$9+'Parametros'!$B$12/2)+ROUNDDOWN(S240/2,0)*('Parametros'!$B$7+'Parametros'!$B$9+'Parametros'!$B$12/2+'Parametros'!$B$12+'Parametros'!$B$10))/S240)</f>
        <v>489.35</v>
      </c>
      <c r="V240" s="10">
        <f>S240*'Parametros'!$B$8</f>
        <v>796</v>
      </c>
      <c r="W240" s="10">
        <f>'Parametros'!$B$5*V240*'Parametros'!$B$3*(U240-(V240*'Parametros'!$B$3/(0.85*'Parametros'!$B$2*H240))/2)/1000000</f>
        <v>142.543330094118</v>
      </c>
      <c r="X240" s="10" t="str">
        <f>IF(W240&gt;=J240,"CUMPLE","NO CUMPLE")</f>
        <v>CUMPLE</v>
      </c>
      <c r="Y240" s="10">
        <f>MAX(MAX(1.4/'Parametros'!$B$3,0.25*SQRT('Parametros'!$B$2)/'Parametros'!$B$3)*H240*AB240,(0.85*'Parametros'!$B$2/'Parametros'!$B$3)*(1-SQRT(1-2*(L240*1000000/('Parametros'!$B$5*H240*AB240^2))/(0.85*'Parametros'!$B$2)))*H240*AB240)</f>
        <v>734.025</v>
      </c>
      <c r="Z240" s="31" t="n">
        <v>4</v>
      </c>
      <c r="AA240" s="32" t="n">
        <v>1</v>
      </c>
      <c r="AB240" s="10">
        <f>IF(AA240=1,I240-('Parametros'!$B$7+'Parametros'!$B$9+'Parametros'!$B$12/2),I240-(ROUNDUP(Z240/2,0)*('Parametros'!$B$7+'Parametros'!$B$9+'Parametros'!$B$12/2)+ROUNDDOWN(Z240/2,0)*('Parametros'!$B$7+'Parametros'!$B$9+'Parametros'!$B$12/2+'Parametros'!$B$12+'Parametros'!$B$10))/Z240)</f>
        <v>489.35</v>
      </c>
      <c r="AC240" s="10">
        <f>Z240*'Parametros'!$B$8</f>
        <v>796</v>
      </c>
      <c r="AD240" s="10">
        <f>'Parametros'!$B$5*AC240*'Parametros'!$B$3*(AB240-(AC240*'Parametros'!$B$3/(0.85*'Parametros'!$B$2*H240))/2)/1000000</f>
        <v>142.543330094118</v>
      </c>
      <c r="AE240" s="10" t="str">
        <f>IF(AD240&gt;=L240,"CUMPLE","NO CUMPLE")</f>
        <v>CUMPLE</v>
      </c>
      <c r="AF240" s="10">
        <f>V240*1.25*'Parametros'!$B$3*(U240-(V240*1.25*'Parametros'!$B$3/(0.85*'Parametros'!$B$2*H240))/2)/1000000</f>
        <v>196.346217941176</v>
      </c>
      <c r="AG240" s="10">
        <f>AC240*1.25*'Parametros'!$B$3*(AB240-(AC240*1.25*'Parametros'!$B$3/(0.85*'Parametros'!$B$2*H240))/2)/1000000</f>
        <v>196.346217941176</v>
      </c>
      <c r="AH240" s="10">
        <f>N240+(AF240+AG240)/D240</f>
        <v>231.93428579627</v>
      </c>
      <c r="AI240" s="10">
        <f>MAX(O240,AH240)</f>
        <v>231.93428579627</v>
      </c>
      <c r="AJ240" s="10">
        <f>0.17*SQRT('Parametros'!$B$2)*H240*MIN(U240,AB240)/1000</f>
        <v>198.088855822627</v>
      </c>
      <c r="AK240" s="10">
        <f>MAX(AI240/'Parametros'!$B$6-AJ240,0)</f>
        <v>111.156858572399</v>
      </c>
      <c r="AL240" s="10">
        <f>0.66*SQRT('Parametros'!$B$2)*H240*MIN(U240,AB240)/1000</f>
        <v>769.050852017258</v>
      </c>
      <c r="AM240" s="10" t="str">
        <f>IF(AK240&lt;=AL240,"CUMPLE","NO CUMPLE")</f>
        <v>CUMPLE</v>
      </c>
      <c r="AN240" s="17" t="inlineStr">
        <is>
          <t>Nº3 cerrado</t>
        </is>
      </c>
      <c r="AO240" s="31" t="n">
        <v>2</v>
      </c>
      <c r="AP240" s="10">
        <f>ROUNDDOWN(MIN(IF(BC240+BD240=0,1000000000,AO240*BB240/(BC240+BD240)),MIN(U240,AB240)/4,8*'Parametros'!$B$12,24*BA240,300,IF(AV240=0,1000000000,2*((H240-2*('Parametros'!$B$7+'Parametros'!$B$9/2))+(I240-2*('Parametros'!$B$7+'Parametros'!$B$9/2)))/8))/10,0)*10</f>
        <v>120</v>
      </c>
      <c r="AQ240" s="10">
        <f>ROUNDDOWN(MIN(IF(BC240+BD240=0,1000000000,AO240*BB240/(BC240+BD240)),IF(AK240&gt;0.33*SQRT('Parametros'!$B$2)*H240*MIN(U240,AB240)/1000,MIN(U240,AB240)/4,MIN(U240,AB240)/2),600,IF(AV240=0,1000000000,2*((H240-2*('Parametros'!$B$7+'Parametros'!$B$9/2))+(I240-2*('Parametros'!$B$7+'Parametros'!$B$9/2)))/8))/10,0)*10</f>
        <v>240</v>
      </c>
      <c r="AR240" s="10">
        <f>'Parametros'!$B$6*(AJ240+MAX(BE240-BD240,0)*'Parametros'!$B$4*MIN(U240,AB240)/1000)</f>
        <v>330.97185436697</v>
      </c>
      <c r="AS240" s="10" t="str">
        <f>IF(AND(ISERROR(SEARCH("referencia",AN240)),AM240="CUMPLE",AR240&gt;=AI240),"CUMPLE","NO CUMPLE")</f>
        <v>CUMPLE</v>
      </c>
      <c r="AT240" s="10">
        <f>'Parametros'!$B$6*0.083*SQRT('Parametros'!$B$2)*(H240*I240)^2/(2*(H240+I240))/1000000</f>
        <v>10.0887830333379</v>
      </c>
      <c r="AU240" s="10" t="str">
        <f>IF(Q240&lt;=AT240,"DESPRECIABLE","DISEÑAR")</f>
        <v>DESPRECIABLE</v>
      </c>
      <c r="AV240" s="10">
        <f>IF(Q240&lt;=AT240,0,Q240*1000000/('Parametros'!$B$6*2*0.85*(H240-2*('Parametros'!$B$7+'Parametros'!$B$9/2))*(I240-2*('Parametros'!$B$7+'Parametros'!$B$9/2))*'Parametros'!$B$4))</f>
        <v>0</v>
      </c>
      <c r="AW240" s="10">
        <f>AV240*2*((H240-2*('Parametros'!$B$7+'Parametros'!$B$9/2))+(I240-2*('Parametros'!$B$7+'Parametros'!$B$9/2)))*'Parametros'!$B$4/'Parametros'!$B$3</f>
        <v>0</v>
      </c>
      <c r="AX240" s="31" t="n">
        <v>0</v>
      </c>
      <c r="AY240" s="10" t="str">
        <f>IF(AV240=0,"DESPRECIABLE",IF(AND(ISERROR(SEARCH("referencia",AN240)),BB240/AP240&gt;=AV240,BI240&gt;=AW240,BH240="CUMPLE"),"CUMPLE","NO CUMPLE"))</f>
        <v>DESPRECIABLE</v>
      </c>
      <c r="AZ240" s="10" t="str">
        <f>IF(AND(X240="CUMPLE",AE240="CUMPLE",AS240="CUMPLE",OR(AY240="CUMPLE",AY240="DESPRECIABLE"),BH240="CUMPLE",BJ240="CUMPLE"),"CUMPLE","NO CUMPLE")</f>
        <v>CUMPLE</v>
      </c>
      <c r="BA240" s="32" t="n">
        <v>9.5</v>
      </c>
      <c r="BB240" s="32" t="n">
        <v>71</v>
      </c>
      <c r="BC240" s="10">
        <f>MAX(IF(AK240=0,0,AK240*1000/('Parametros'!$B$4*MIN(U240,AB240))),MAX(0.062*SQRT('Parametros'!$B$2)*H240/'Parametros'!$B$4,0.35*H240/'Parametros'!$B$4))</f>
        <v>0.54083822841962</v>
      </c>
      <c r="BD240" s="10">
        <f>2*AV240</f>
        <v>0</v>
      </c>
      <c r="BE240" s="10">
        <f>AO240*BB240/AP240</f>
        <v>1.18333333333333</v>
      </c>
      <c r="BF240" s="10">
        <f>SQRT((AI240*1000/(H240*MIN(U240,AB240)))^2+(Q240*1000000*2*((H240-2*('Parametros'!$B$7+'Parametros'!$B$9/2))+(I240-2*('Parametros'!$B$7+'Parametros'!$B$9/2)))/(1.7*((H240-2*('Parametros'!$B$7+'Parametros'!$B$9/2))*(I240-2*('Parametros'!$B$7+'Parametros'!$B$9/2)))^2))^2)</f>
        <v>1.08294032029946</v>
      </c>
      <c r="BG240" s="10">
        <f>'Parametros'!$B$6*(AJ240*1000/(H240*MIN(U240,AB240))+0.66*SQRT('Parametros'!$B$2))</f>
        <v>3.29396038227542</v>
      </c>
      <c r="BH240" s="10" t="str">
        <f>IF(BF240&lt;=BG240,"CUMPLE","NO CUMPLE")</f>
        <v>CUMPLE</v>
      </c>
      <c r="BI240" s="10">
        <f>AX240*'Parametros'!$B$8</f>
        <v>0</v>
      </c>
      <c r="BJ240" s="10" t="str">
        <f>IF(BI240&gt;=AW240,"CUMPLE","NO CUMPLE")</f>
        <v>CUMPLE</v>
      </c>
    </row>
    <row r="241">
      <c r="A241" s="21" t="inlineStr">
        <is>
          <t>VC7</t>
        </is>
      </c>
      <c r="B241" s="21" t="inlineStr">
        <is>
          <t>1022</t>
        </is>
      </c>
      <c r="C241" s="10" t="n">
        <v>1</v>
      </c>
      <c r="D241" s="10" t="n">
        <v>4.5</v>
      </c>
      <c r="E241" s="10" t="n">
        <v>4.5</v>
      </c>
      <c r="F241" s="10" t="n">
        <v>450</v>
      </c>
      <c r="G241" s="10" t="n">
        <v>550</v>
      </c>
      <c r="H241" s="17" t="n">
        <v>450</v>
      </c>
      <c r="I241" s="17" t="n">
        <v>550</v>
      </c>
      <c r="J241" s="30" t="n">
        <v>71.15000000000001</v>
      </c>
      <c r="K241" s="10" t="inlineStr">
        <is>
          <t>1022</t>
        </is>
      </c>
      <c r="L241" s="30" t="n">
        <v>45.4855</v>
      </c>
      <c r="M241" s="10" t="inlineStr">
        <is>
          <t>1022</t>
        </is>
      </c>
      <c r="N241" s="30" t="n">
        <v>40.715</v>
      </c>
      <c r="O241" s="30" t="n">
        <v>94.38</v>
      </c>
      <c r="P241" s="10" t="inlineStr">
        <is>
          <t>1022</t>
        </is>
      </c>
      <c r="Q241" s="30" t="n">
        <v>6.0368</v>
      </c>
      <c r="R241" s="10">
        <f>MAX(MAX(1.4/'Parametros'!$B$3,0.25*SQRT('Parametros'!$B$2)/'Parametros'!$B$3)*H241*U241,(0.85*'Parametros'!$B$2/'Parametros'!$B$3)*(1-SQRT(1-2*(J241*1000000/('Parametros'!$B$5*H241*U241^2))/(0.85*'Parametros'!$B$2)))*H241*U241)</f>
        <v>734.025</v>
      </c>
      <c r="S241" s="31" t="n">
        <v>4</v>
      </c>
      <c r="T241" s="32" t="n">
        <v>1</v>
      </c>
      <c r="U241" s="10">
        <f>IF(T241=1,I241-('Parametros'!$B$7+'Parametros'!$B$9+'Parametros'!$B$12/2),I241-(ROUNDUP(S241/2,0)*('Parametros'!$B$7+'Parametros'!$B$9+'Parametros'!$B$12/2)+ROUNDDOWN(S241/2,0)*('Parametros'!$B$7+'Parametros'!$B$9+'Parametros'!$B$12/2+'Parametros'!$B$12+'Parametros'!$B$10))/S241)</f>
        <v>489.35</v>
      </c>
      <c r="V241" s="10">
        <f>S241*'Parametros'!$B$8</f>
        <v>796</v>
      </c>
      <c r="W241" s="10">
        <f>'Parametros'!$B$5*V241*'Parametros'!$B$3*(U241-(V241*'Parametros'!$B$3/(0.85*'Parametros'!$B$2*H241))/2)/1000000</f>
        <v>142.543330094118</v>
      </c>
      <c r="X241" s="10" t="str">
        <f>IF(W241&gt;=J241,"CUMPLE","NO CUMPLE")</f>
        <v>CUMPLE</v>
      </c>
      <c r="Y241" s="10">
        <f>MAX(MAX(1.4/'Parametros'!$B$3,0.25*SQRT('Parametros'!$B$2)/'Parametros'!$B$3)*H241*AB241,(0.85*'Parametros'!$B$2/'Parametros'!$B$3)*(1-SQRT(1-2*(L241*1000000/('Parametros'!$B$5*H241*AB241^2))/(0.85*'Parametros'!$B$2)))*H241*AB241)</f>
        <v>734.025</v>
      </c>
      <c r="Z241" s="31" t="n">
        <v>4</v>
      </c>
      <c r="AA241" s="32" t="n">
        <v>1</v>
      </c>
      <c r="AB241" s="10">
        <f>IF(AA241=1,I241-('Parametros'!$B$7+'Parametros'!$B$9+'Parametros'!$B$12/2),I241-(ROUNDUP(Z241/2,0)*('Parametros'!$B$7+'Parametros'!$B$9+'Parametros'!$B$12/2)+ROUNDDOWN(Z241/2,0)*('Parametros'!$B$7+'Parametros'!$B$9+'Parametros'!$B$12/2+'Parametros'!$B$12+'Parametros'!$B$10))/Z241)</f>
        <v>489.35</v>
      </c>
      <c r="AC241" s="10">
        <f>Z241*'Parametros'!$B$8</f>
        <v>796</v>
      </c>
      <c r="AD241" s="10">
        <f>'Parametros'!$B$5*AC241*'Parametros'!$B$3*(AB241-(AC241*'Parametros'!$B$3/(0.85*'Parametros'!$B$2*H241))/2)/1000000</f>
        <v>142.543330094118</v>
      </c>
      <c r="AE241" s="10" t="str">
        <f>IF(AD241&gt;=L241,"CUMPLE","NO CUMPLE")</f>
        <v>CUMPLE</v>
      </c>
      <c r="AF241" s="10">
        <f>V241*1.25*'Parametros'!$B$3*(U241-(V241*1.25*'Parametros'!$B$3/(0.85*'Parametros'!$B$2*H241))/2)/1000000</f>
        <v>196.346217941176</v>
      </c>
      <c r="AG241" s="10">
        <f>AC241*1.25*'Parametros'!$B$3*(AB241-(AC241*1.25*'Parametros'!$B$3/(0.85*'Parametros'!$B$2*H241))/2)/1000000</f>
        <v>196.346217941176</v>
      </c>
      <c r="AH241" s="10">
        <f>N241+(AF241+AG241)/D241</f>
        <v>127.979985751634</v>
      </c>
      <c r="AI241" s="10">
        <f>MAX(O241,AH241)</f>
        <v>127.979985751634</v>
      </c>
      <c r="AJ241" s="10">
        <f>0.17*SQRT('Parametros'!$B$2)*H241*MIN(U241,AB241)/1000</f>
        <v>198.088855822627</v>
      </c>
      <c r="AK241" s="10">
        <f>MAX(AI241/'Parametros'!$B$6-AJ241,0)</f>
        <v>0</v>
      </c>
      <c r="AL241" s="10">
        <f>0.66*SQRT('Parametros'!$B$2)*H241*MIN(U241,AB241)/1000</f>
        <v>769.050852017258</v>
      </c>
      <c r="AM241" s="10" t="str">
        <f>IF(AK241&lt;=AL241,"CUMPLE","NO CUMPLE")</f>
        <v>CUMPLE</v>
      </c>
      <c r="AN241" s="17" t="inlineStr">
        <is>
          <t>Nº3 cerrado</t>
        </is>
      </c>
      <c r="AO241" s="31" t="n">
        <v>2</v>
      </c>
      <c r="AP241" s="10">
        <f>ROUNDDOWN(MIN(IF(BC241+BD241=0,1000000000,AO241*BB241/(BC241+BD241)),MIN(U241,AB241)/4,8*'Parametros'!$B$12,24*BA241,300,IF(AV241=0,1000000000,2*((H241-2*('Parametros'!$B$7+'Parametros'!$B$9/2))+(I241-2*('Parametros'!$B$7+'Parametros'!$B$9/2)))/8))/10,0)*10</f>
        <v>120</v>
      </c>
      <c r="AQ241" s="10">
        <f>ROUNDDOWN(MIN(IF(BC241+BD241=0,1000000000,AO241*BB241/(BC241+BD241)),IF(AK241&gt;0.33*SQRT('Parametros'!$B$2)*H241*MIN(U241,AB241)/1000,MIN(U241,AB241)/4,MIN(U241,AB241)/2),600,IF(AV241=0,1000000000,2*((H241-2*('Parametros'!$B$7+'Parametros'!$B$9/2))+(I241-2*('Parametros'!$B$7+'Parametros'!$B$9/2)))/8))/10,0)*10</f>
        <v>240</v>
      </c>
      <c r="AR241" s="10">
        <f>'Parametros'!$B$6*(AJ241+MAX(BE241-BD241,0)*'Parametros'!$B$4*MIN(U241,AB241)/1000)</f>
        <v>330.97185436697</v>
      </c>
      <c r="AS241" s="10" t="str">
        <f>IF(AND(ISERROR(SEARCH("referencia",AN241)),AM241="CUMPLE",AR241&gt;=AI241),"CUMPLE","NO CUMPLE")</f>
        <v>CUMPLE</v>
      </c>
      <c r="AT241" s="10">
        <f>'Parametros'!$B$6*0.083*SQRT('Parametros'!$B$2)*(H241*I241)^2/(2*(H241+I241))/1000000</f>
        <v>10.0887830333379</v>
      </c>
      <c r="AU241" s="10" t="str">
        <f>IF(Q241&lt;=AT241,"DESPRECIABLE","DISEÑAR")</f>
        <v>DESPRECIABLE</v>
      </c>
      <c r="AV241" s="10">
        <f>IF(Q241&lt;=AT241,0,Q241*1000000/('Parametros'!$B$6*2*0.85*(H241-2*('Parametros'!$B$7+'Parametros'!$B$9/2))*(I241-2*('Parametros'!$B$7+'Parametros'!$B$9/2))*'Parametros'!$B$4))</f>
        <v>0</v>
      </c>
      <c r="AW241" s="10">
        <f>AV241*2*((H241-2*('Parametros'!$B$7+'Parametros'!$B$9/2))+(I241-2*('Parametros'!$B$7+'Parametros'!$B$9/2)))*'Parametros'!$B$4/'Parametros'!$B$3</f>
        <v>0</v>
      </c>
      <c r="AX241" s="31" t="n">
        <v>0</v>
      </c>
      <c r="AY241" s="10" t="str">
        <f>IF(AV241=0,"DESPRECIABLE",IF(AND(ISERROR(SEARCH("referencia",AN241)),BB241/AP241&gt;=AV241,BI241&gt;=AW241,BH241="CUMPLE"),"CUMPLE","NO CUMPLE"))</f>
        <v>DESPRECIABLE</v>
      </c>
      <c r="AZ241" s="10" t="str">
        <f>IF(AND(X241="CUMPLE",AE241="CUMPLE",AS241="CUMPLE",OR(AY241="CUMPLE",AY241="DESPRECIABLE"),BH241="CUMPLE",BJ241="CUMPLE"),"CUMPLE","NO CUMPLE")</f>
        <v>CUMPLE</v>
      </c>
      <c r="BA241" s="32" t="n">
        <v>9.5</v>
      </c>
      <c r="BB241" s="32" t="n">
        <v>71</v>
      </c>
      <c r="BC241" s="10">
        <f>MAX(IF(AK241=0,0,AK241*1000/('Parametros'!$B$4*MIN(U241,AB241))),MAX(0.062*SQRT('Parametros'!$B$2)*H241/'Parametros'!$B$4,0.35*H241/'Parametros'!$B$4))</f>
        <v>0.375</v>
      </c>
      <c r="BD241" s="10">
        <f>2*AV241</f>
        <v>0</v>
      </c>
      <c r="BE241" s="10">
        <f>AO241*BB241/AP241</f>
        <v>1.18333333333333</v>
      </c>
      <c r="BF241" s="10">
        <f>SQRT((AI241*1000/(H241*MIN(U241,AB241)))^2+(Q241*1000000*2*((H241-2*('Parametros'!$B$7+'Parametros'!$B$9/2))+(I241-2*('Parametros'!$B$7+'Parametros'!$B$9/2)))/(1.7*((H241-2*('Parametros'!$B$7+'Parametros'!$B$9/2))*(I241-2*('Parametros'!$B$7+'Parametros'!$B$9/2)))^2))^2)</f>
        <v>0.620265300467901</v>
      </c>
      <c r="BG241" s="10">
        <f>'Parametros'!$B$6*(AJ241*1000/(H241*MIN(U241,AB241))+0.66*SQRT('Parametros'!$B$2))</f>
        <v>3.29396038227542</v>
      </c>
      <c r="BH241" s="10" t="str">
        <f>IF(BF241&lt;=BG241,"CUMPLE","NO CUMPLE")</f>
        <v>CUMPLE</v>
      </c>
      <c r="BI241" s="10">
        <f>AX241*'Parametros'!$B$8</f>
        <v>0</v>
      </c>
      <c r="BJ241" s="10" t="str">
        <f>IF(BI241&gt;=AW241,"CUMPLE","NO CUMPLE")</f>
        <v>CUMPLE</v>
      </c>
    </row>
    <row r="242">
      <c r="A242" s="21" t="inlineStr">
        <is>
          <t>VC7</t>
        </is>
      </c>
      <c r="B242" s="21" t="inlineStr">
        <is>
          <t>1023</t>
        </is>
      </c>
      <c r="C242" s="10" t="n">
        <v>1</v>
      </c>
      <c r="D242" s="10" t="n">
        <v>4.5</v>
      </c>
      <c r="E242" s="10" t="n">
        <v>4.5</v>
      </c>
      <c r="F242" s="10" t="n">
        <v>450</v>
      </c>
      <c r="G242" s="10" t="n">
        <v>550</v>
      </c>
      <c r="H242" s="17" t="n">
        <v>450</v>
      </c>
      <c r="I242" s="17" t="n">
        <v>550</v>
      </c>
      <c r="J242" s="30" t="n">
        <v>71.1493</v>
      </c>
      <c r="K242" s="10" t="inlineStr">
        <is>
          <t>1023</t>
        </is>
      </c>
      <c r="L242" s="30" t="n">
        <v>45.4851</v>
      </c>
      <c r="M242" s="10" t="inlineStr">
        <is>
          <t>1023</t>
        </is>
      </c>
      <c r="N242" s="30" t="n">
        <v>40.715</v>
      </c>
      <c r="O242" s="30" t="n">
        <v>94.38</v>
      </c>
      <c r="P242" s="10" t="inlineStr">
        <is>
          <t>1023</t>
        </is>
      </c>
      <c r="Q242" s="30" t="n">
        <v>6.0374</v>
      </c>
      <c r="R242" s="10">
        <f>MAX(MAX(1.4/'Parametros'!$B$3,0.25*SQRT('Parametros'!$B$2)/'Parametros'!$B$3)*H242*U242,(0.85*'Parametros'!$B$2/'Parametros'!$B$3)*(1-SQRT(1-2*(J242*1000000/('Parametros'!$B$5*H242*U242^2))/(0.85*'Parametros'!$B$2)))*H242*U242)</f>
        <v>734.025</v>
      </c>
      <c r="S242" s="31" t="n">
        <v>4</v>
      </c>
      <c r="T242" s="32" t="n">
        <v>1</v>
      </c>
      <c r="U242" s="10">
        <f>IF(T242=1,I242-('Parametros'!$B$7+'Parametros'!$B$9+'Parametros'!$B$12/2),I242-(ROUNDUP(S242/2,0)*('Parametros'!$B$7+'Parametros'!$B$9+'Parametros'!$B$12/2)+ROUNDDOWN(S242/2,0)*('Parametros'!$B$7+'Parametros'!$B$9+'Parametros'!$B$12/2+'Parametros'!$B$12+'Parametros'!$B$10))/S242)</f>
        <v>489.35</v>
      </c>
      <c r="V242" s="10">
        <f>S242*'Parametros'!$B$8</f>
        <v>796</v>
      </c>
      <c r="W242" s="10">
        <f>'Parametros'!$B$5*V242*'Parametros'!$B$3*(U242-(V242*'Parametros'!$B$3/(0.85*'Parametros'!$B$2*H242))/2)/1000000</f>
        <v>142.543330094118</v>
      </c>
      <c r="X242" s="10" t="str">
        <f>IF(W242&gt;=J242,"CUMPLE","NO CUMPLE")</f>
        <v>CUMPLE</v>
      </c>
      <c r="Y242" s="10">
        <f>MAX(MAX(1.4/'Parametros'!$B$3,0.25*SQRT('Parametros'!$B$2)/'Parametros'!$B$3)*H242*AB242,(0.85*'Parametros'!$B$2/'Parametros'!$B$3)*(1-SQRT(1-2*(L242*1000000/('Parametros'!$B$5*H242*AB242^2))/(0.85*'Parametros'!$B$2)))*H242*AB242)</f>
        <v>734.025</v>
      </c>
      <c r="Z242" s="31" t="n">
        <v>4</v>
      </c>
      <c r="AA242" s="32" t="n">
        <v>1</v>
      </c>
      <c r="AB242" s="10">
        <f>IF(AA242=1,I242-('Parametros'!$B$7+'Parametros'!$B$9+'Parametros'!$B$12/2),I242-(ROUNDUP(Z242/2,0)*('Parametros'!$B$7+'Parametros'!$B$9+'Parametros'!$B$12/2)+ROUNDDOWN(Z242/2,0)*('Parametros'!$B$7+'Parametros'!$B$9+'Parametros'!$B$12/2+'Parametros'!$B$12+'Parametros'!$B$10))/Z242)</f>
        <v>489.35</v>
      </c>
      <c r="AC242" s="10">
        <f>Z242*'Parametros'!$B$8</f>
        <v>796</v>
      </c>
      <c r="AD242" s="10">
        <f>'Parametros'!$B$5*AC242*'Parametros'!$B$3*(AB242-(AC242*'Parametros'!$B$3/(0.85*'Parametros'!$B$2*H242))/2)/1000000</f>
        <v>142.543330094118</v>
      </c>
      <c r="AE242" s="10" t="str">
        <f>IF(AD242&gt;=L242,"CUMPLE","NO CUMPLE")</f>
        <v>CUMPLE</v>
      </c>
      <c r="AF242" s="10">
        <f>V242*1.25*'Parametros'!$B$3*(U242-(V242*1.25*'Parametros'!$B$3/(0.85*'Parametros'!$B$2*H242))/2)/1000000</f>
        <v>196.346217941176</v>
      </c>
      <c r="AG242" s="10">
        <f>AC242*1.25*'Parametros'!$B$3*(AB242-(AC242*1.25*'Parametros'!$B$3/(0.85*'Parametros'!$B$2*H242))/2)/1000000</f>
        <v>196.346217941176</v>
      </c>
      <c r="AH242" s="10">
        <f>N242+(AF242+AG242)/D242</f>
        <v>127.979985751634</v>
      </c>
      <c r="AI242" s="10">
        <f>MAX(O242,AH242)</f>
        <v>127.979985751634</v>
      </c>
      <c r="AJ242" s="10">
        <f>0.17*SQRT('Parametros'!$B$2)*H242*MIN(U242,AB242)/1000</f>
        <v>198.088855822627</v>
      </c>
      <c r="AK242" s="10">
        <f>MAX(AI242/'Parametros'!$B$6-AJ242,0)</f>
        <v>0</v>
      </c>
      <c r="AL242" s="10">
        <f>0.66*SQRT('Parametros'!$B$2)*H242*MIN(U242,AB242)/1000</f>
        <v>769.050852017258</v>
      </c>
      <c r="AM242" s="10" t="str">
        <f>IF(AK242&lt;=AL242,"CUMPLE","NO CUMPLE")</f>
        <v>CUMPLE</v>
      </c>
      <c r="AN242" s="17" t="inlineStr">
        <is>
          <t>Nº3 cerrado</t>
        </is>
      </c>
      <c r="AO242" s="31" t="n">
        <v>2</v>
      </c>
      <c r="AP242" s="10">
        <f>ROUNDDOWN(MIN(IF(BC242+BD242=0,1000000000,AO242*BB242/(BC242+BD242)),MIN(U242,AB242)/4,8*'Parametros'!$B$12,24*BA242,300,IF(AV242=0,1000000000,2*((H242-2*('Parametros'!$B$7+'Parametros'!$B$9/2))+(I242-2*('Parametros'!$B$7+'Parametros'!$B$9/2)))/8))/10,0)*10</f>
        <v>120</v>
      </c>
      <c r="AQ242" s="10">
        <f>ROUNDDOWN(MIN(IF(BC242+BD242=0,1000000000,AO242*BB242/(BC242+BD242)),IF(AK242&gt;0.33*SQRT('Parametros'!$B$2)*H242*MIN(U242,AB242)/1000,MIN(U242,AB242)/4,MIN(U242,AB242)/2),600,IF(AV242=0,1000000000,2*((H242-2*('Parametros'!$B$7+'Parametros'!$B$9/2))+(I242-2*('Parametros'!$B$7+'Parametros'!$B$9/2)))/8))/10,0)*10</f>
        <v>240</v>
      </c>
      <c r="AR242" s="10">
        <f>'Parametros'!$B$6*(AJ242+MAX(BE242-BD242,0)*'Parametros'!$B$4*MIN(U242,AB242)/1000)</f>
        <v>330.97185436697</v>
      </c>
      <c r="AS242" s="10" t="str">
        <f>IF(AND(ISERROR(SEARCH("referencia",AN242)),AM242="CUMPLE",AR242&gt;=AI242),"CUMPLE","NO CUMPLE")</f>
        <v>CUMPLE</v>
      </c>
      <c r="AT242" s="10">
        <f>'Parametros'!$B$6*0.083*SQRT('Parametros'!$B$2)*(H242*I242)^2/(2*(H242+I242))/1000000</f>
        <v>10.0887830333379</v>
      </c>
      <c r="AU242" s="10" t="str">
        <f>IF(Q242&lt;=AT242,"DESPRECIABLE","DISEÑAR")</f>
        <v>DESPRECIABLE</v>
      </c>
      <c r="AV242" s="10">
        <f>IF(Q242&lt;=AT242,0,Q242*1000000/('Parametros'!$B$6*2*0.85*(H242-2*('Parametros'!$B$7+'Parametros'!$B$9/2))*(I242-2*('Parametros'!$B$7+'Parametros'!$B$9/2))*'Parametros'!$B$4))</f>
        <v>0</v>
      </c>
      <c r="AW242" s="10">
        <f>AV242*2*((H242-2*('Parametros'!$B$7+'Parametros'!$B$9/2))+(I242-2*('Parametros'!$B$7+'Parametros'!$B$9/2)))*'Parametros'!$B$4/'Parametros'!$B$3</f>
        <v>0</v>
      </c>
      <c r="AX242" s="31" t="n">
        <v>0</v>
      </c>
      <c r="AY242" s="10" t="str">
        <f>IF(AV242=0,"DESPRECIABLE",IF(AND(ISERROR(SEARCH("referencia",AN242)),BB242/AP242&gt;=AV242,BI242&gt;=AW242,BH242="CUMPLE"),"CUMPLE","NO CUMPLE"))</f>
        <v>DESPRECIABLE</v>
      </c>
      <c r="AZ242" s="10" t="str">
        <f>IF(AND(X242="CUMPLE",AE242="CUMPLE",AS242="CUMPLE",OR(AY242="CUMPLE",AY242="DESPRECIABLE"),BH242="CUMPLE",BJ242="CUMPLE"),"CUMPLE","NO CUMPLE")</f>
        <v>CUMPLE</v>
      </c>
      <c r="BA242" s="32" t="n">
        <v>9.5</v>
      </c>
      <c r="BB242" s="32" t="n">
        <v>71</v>
      </c>
      <c r="BC242" s="10">
        <f>MAX(IF(AK242=0,0,AK242*1000/('Parametros'!$B$4*MIN(U242,AB242))),MAX(0.062*SQRT('Parametros'!$B$2)*H242/'Parametros'!$B$4,0.35*H242/'Parametros'!$B$4))</f>
        <v>0.375</v>
      </c>
      <c r="BD242" s="10">
        <f>2*AV242</f>
        <v>0</v>
      </c>
      <c r="BE242" s="10">
        <f>AO242*BB242/AP242</f>
        <v>1.18333333333333</v>
      </c>
      <c r="BF242" s="10">
        <f>SQRT((AI242*1000/(H242*MIN(U242,AB242)))^2+(Q242*1000000*2*((H242-2*('Parametros'!$B$7+'Parametros'!$B$9/2))+(I242-2*('Parametros'!$B$7+'Parametros'!$B$9/2)))/(1.7*((H242-2*('Parametros'!$B$7+'Parametros'!$B$9/2))*(I242-2*('Parametros'!$B$7+'Parametros'!$B$9/2)))^2))^2)</f>
        <v>0.620272825590664</v>
      </c>
      <c r="BG242" s="10">
        <f>'Parametros'!$B$6*(AJ242*1000/(H242*MIN(U242,AB242))+0.66*SQRT('Parametros'!$B$2))</f>
        <v>3.29396038227542</v>
      </c>
      <c r="BH242" s="10" t="str">
        <f>IF(BF242&lt;=BG242,"CUMPLE","NO CUMPLE")</f>
        <v>CUMPLE</v>
      </c>
      <c r="BI242" s="10">
        <f>AX242*'Parametros'!$B$8</f>
        <v>0</v>
      </c>
      <c r="BJ242" s="10" t="str">
        <f>IF(BI242&gt;=AW242,"CUMPLE","NO CUMPLE")</f>
        <v>CUMPLE</v>
      </c>
    </row>
    <row r="243">
      <c r="A243" s="21" t="inlineStr">
        <is>
          <t>VC7</t>
        </is>
      </c>
      <c r="B243" s="21" t="inlineStr">
        <is>
          <t>1024</t>
        </is>
      </c>
      <c r="C243" s="10" t="n">
        <v>1</v>
      </c>
      <c r="D243" s="10" t="n">
        <v>2.05</v>
      </c>
      <c r="E243" s="10" t="n">
        <v>2.05</v>
      </c>
      <c r="F243" s="10" t="n">
        <v>450</v>
      </c>
      <c r="G243" s="10" t="n">
        <v>550</v>
      </c>
      <c r="H243" s="17" t="n">
        <v>450</v>
      </c>
      <c r="I243" s="17" t="n">
        <v>550</v>
      </c>
      <c r="J243" s="30" t="n">
        <v>46.1892</v>
      </c>
      <c r="K243" s="10" t="inlineStr">
        <is>
          <t>1024</t>
        </is>
      </c>
      <c r="L243" s="30" t="n">
        <v>37.3225</v>
      </c>
      <c r="M243" s="10" t="inlineStr">
        <is>
          <t>1024</t>
        </is>
      </c>
      <c r="N243" s="30" t="n">
        <v>40.38</v>
      </c>
      <c r="O243" s="30" t="n">
        <v>101.172</v>
      </c>
      <c r="P243" s="10" t="inlineStr">
        <is>
          <t>1024</t>
        </is>
      </c>
      <c r="Q243" s="30" t="n">
        <v>7.015</v>
      </c>
      <c r="R243" s="10">
        <f>MAX(MAX(1.4/'Parametros'!$B$3,0.25*SQRT('Parametros'!$B$2)/'Parametros'!$B$3)*H243*U243,(0.85*'Parametros'!$B$2/'Parametros'!$B$3)*(1-SQRT(1-2*(J243*1000000/('Parametros'!$B$5*H243*U243^2))/(0.85*'Parametros'!$B$2)))*H243*U243)</f>
        <v>734.025</v>
      </c>
      <c r="S243" s="31" t="n">
        <v>4</v>
      </c>
      <c r="T243" s="32" t="n">
        <v>1</v>
      </c>
      <c r="U243" s="10">
        <f>IF(T243=1,I243-('Parametros'!$B$7+'Parametros'!$B$9+'Parametros'!$B$12/2),I243-(ROUNDUP(S243/2,0)*('Parametros'!$B$7+'Parametros'!$B$9+'Parametros'!$B$12/2)+ROUNDDOWN(S243/2,0)*('Parametros'!$B$7+'Parametros'!$B$9+'Parametros'!$B$12/2+'Parametros'!$B$12+'Parametros'!$B$10))/S243)</f>
        <v>489.35</v>
      </c>
      <c r="V243" s="10">
        <f>S243*'Parametros'!$B$8</f>
        <v>796</v>
      </c>
      <c r="W243" s="10">
        <f>'Parametros'!$B$5*V243*'Parametros'!$B$3*(U243-(V243*'Parametros'!$B$3/(0.85*'Parametros'!$B$2*H243))/2)/1000000</f>
        <v>142.543330094118</v>
      </c>
      <c r="X243" s="10" t="str">
        <f>IF(W243&gt;=J243,"CUMPLE","NO CUMPLE")</f>
        <v>CUMPLE</v>
      </c>
      <c r="Y243" s="10">
        <f>MAX(MAX(1.4/'Parametros'!$B$3,0.25*SQRT('Parametros'!$B$2)/'Parametros'!$B$3)*H243*AB243,(0.85*'Parametros'!$B$2/'Parametros'!$B$3)*(1-SQRT(1-2*(L243*1000000/('Parametros'!$B$5*H243*AB243^2))/(0.85*'Parametros'!$B$2)))*H243*AB243)</f>
        <v>734.025</v>
      </c>
      <c r="Z243" s="31" t="n">
        <v>4</v>
      </c>
      <c r="AA243" s="32" t="n">
        <v>1</v>
      </c>
      <c r="AB243" s="10">
        <f>IF(AA243=1,I243-('Parametros'!$B$7+'Parametros'!$B$9+'Parametros'!$B$12/2),I243-(ROUNDUP(Z243/2,0)*('Parametros'!$B$7+'Parametros'!$B$9+'Parametros'!$B$12/2)+ROUNDDOWN(Z243/2,0)*('Parametros'!$B$7+'Parametros'!$B$9+'Parametros'!$B$12/2+'Parametros'!$B$12+'Parametros'!$B$10))/Z243)</f>
        <v>489.35</v>
      </c>
      <c r="AC243" s="10">
        <f>Z243*'Parametros'!$B$8</f>
        <v>796</v>
      </c>
      <c r="AD243" s="10">
        <f>'Parametros'!$B$5*AC243*'Parametros'!$B$3*(AB243-(AC243*'Parametros'!$B$3/(0.85*'Parametros'!$B$2*H243))/2)/1000000</f>
        <v>142.543330094118</v>
      </c>
      <c r="AE243" s="10" t="str">
        <f>IF(AD243&gt;=L243,"CUMPLE","NO CUMPLE")</f>
        <v>CUMPLE</v>
      </c>
      <c r="AF243" s="10">
        <f>V243*1.25*'Parametros'!$B$3*(U243-(V243*1.25*'Parametros'!$B$3/(0.85*'Parametros'!$B$2*H243))/2)/1000000</f>
        <v>196.346217941176</v>
      </c>
      <c r="AG243" s="10">
        <f>AC243*1.25*'Parametros'!$B$3*(AB243-(AC243*1.25*'Parametros'!$B$3/(0.85*'Parametros'!$B$2*H243))/2)/1000000</f>
        <v>196.346217941176</v>
      </c>
      <c r="AH243" s="10">
        <f>N243+(AF243+AG243)/D243</f>
        <v>231.93728579627</v>
      </c>
      <c r="AI243" s="10">
        <f>MAX(O243,AH243)</f>
        <v>231.93728579627</v>
      </c>
      <c r="AJ243" s="10">
        <f>0.17*SQRT('Parametros'!$B$2)*H243*MIN(U243,AB243)/1000</f>
        <v>198.088855822627</v>
      </c>
      <c r="AK243" s="10">
        <f>MAX(AI243/'Parametros'!$B$6-AJ243,0)</f>
        <v>111.160858572399</v>
      </c>
      <c r="AL243" s="10">
        <f>0.66*SQRT('Parametros'!$B$2)*H243*MIN(U243,AB243)/1000</f>
        <v>769.050852017258</v>
      </c>
      <c r="AM243" s="10" t="str">
        <f>IF(AK243&lt;=AL243,"CUMPLE","NO CUMPLE")</f>
        <v>CUMPLE</v>
      </c>
      <c r="AN243" s="17" t="inlineStr">
        <is>
          <t>Nº3 cerrado</t>
        </is>
      </c>
      <c r="AO243" s="31" t="n">
        <v>2</v>
      </c>
      <c r="AP243" s="10">
        <f>ROUNDDOWN(MIN(IF(BC243+BD243=0,1000000000,AO243*BB243/(BC243+BD243)),MIN(U243,AB243)/4,8*'Parametros'!$B$12,24*BA243,300,IF(AV243=0,1000000000,2*((H243-2*('Parametros'!$B$7+'Parametros'!$B$9/2))+(I243-2*('Parametros'!$B$7+'Parametros'!$B$9/2)))/8))/10,0)*10</f>
        <v>120</v>
      </c>
      <c r="AQ243" s="10">
        <f>ROUNDDOWN(MIN(IF(BC243+BD243=0,1000000000,AO243*BB243/(BC243+BD243)),IF(AK243&gt;0.33*SQRT('Parametros'!$B$2)*H243*MIN(U243,AB243)/1000,MIN(U243,AB243)/4,MIN(U243,AB243)/2),600,IF(AV243=0,1000000000,2*((H243-2*('Parametros'!$B$7+'Parametros'!$B$9/2))+(I243-2*('Parametros'!$B$7+'Parametros'!$B$9/2)))/8))/10,0)*10</f>
        <v>240</v>
      </c>
      <c r="AR243" s="10">
        <f>'Parametros'!$B$6*(AJ243+MAX(BE243-BD243,0)*'Parametros'!$B$4*MIN(U243,AB243)/1000)</f>
        <v>330.97185436697</v>
      </c>
      <c r="AS243" s="10" t="str">
        <f>IF(AND(ISERROR(SEARCH("referencia",AN243)),AM243="CUMPLE",AR243&gt;=AI243),"CUMPLE","NO CUMPLE")</f>
        <v>CUMPLE</v>
      </c>
      <c r="AT243" s="10">
        <f>'Parametros'!$B$6*0.083*SQRT('Parametros'!$B$2)*(H243*I243)^2/(2*(H243+I243))/1000000</f>
        <v>10.0887830333379</v>
      </c>
      <c r="AU243" s="10" t="str">
        <f>IF(Q243&lt;=AT243,"DESPRECIABLE","DISEÑAR")</f>
        <v>DESPRECIABLE</v>
      </c>
      <c r="AV243" s="10">
        <f>IF(Q243&lt;=AT243,0,Q243*1000000/('Parametros'!$B$6*2*0.85*(H243-2*('Parametros'!$B$7+'Parametros'!$B$9/2))*(I243-2*('Parametros'!$B$7+'Parametros'!$B$9/2))*'Parametros'!$B$4))</f>
        <v>0</v>
      </c>
      <c r="AW243" s="10">
        <f>AV243*2*((H243-2*('Parametros'!$B$7+'Parametros'!$B$9/2))+(I243-2*('Parametros'!$B$7+'Parametros'!$B$9/2)))*'Parametros'!$B$4/'Parametros'!$B$3</f>
        <v>0</v>
      </c>
      <c r="AX243" s="31" t="n">
        <v>0</v>
      </c>
      <c r="AY243" s="10" t="str">
        <f>IF(AV243=0,"DESPRECIABLE",IF(AND(ISERROR(SEARCH("referencia",AN243)),BB243/AP243&gt;=AV243,BI243&gt;=AW243,BH243="CUMPLE"),"CUMPLE","NO CUMPLE"))</f>
        <v>DESPRECIABLE</v>
      </c>
      <c r="AZ243" s="10" t="str">
        <f>IF(AND(X243="CUMPLE",AE243="CUMPLE",AS243="CUMPLE",OR(AY243="CUMPLE",AY243="DESPRECIABLE"),BH243="CUMPLE",BJ243="CUMPLE"),"CUMPLE","NO CUMPLE")</f>
        <v>CUMPLE</v>
      </c>
      <c r="BA243" s="32" t="n">
        <v>9.5</v>
      </c>
      <c r="BB243" s="32" t="n">
        <v>71</v>
      </c>
      <c r="BC243" s="10">
        <f>MAX(IF(AK243=0,0,AK243*1000/('Parametros'!$B$4*MIN(U243,AB243))),MAX(0.062*SQRT('Parametros'!$B$2)*H243/'Parametros'!$B$4,0.35*H243/'Parametros'!$B$4))</f>
        <v>0.540857690582742</v>
      </c>
      <c r="BD243" s="10">
        <f>2*AV243</f>
        <v>0</v>
      </c>
      <c r="BE243" s="10">
        <f>AO243*BB243/AP243</f>
        <v>1.18333333333333</v>
      </c>
      <c r="BF243" s="10">
        <f>SQRT((AI243*1000/(H243*MIN(U243,AB243)))^2+(Q243*1000000*2*((H243-2*('Parametros'!$B$7+'Parametros'!$B$9/2))+(I243-2*('Parametros'!$B$7+'Parametros'!$B$9/2)))/(1.7*((H243-2*('Parametros'!$B$7+'Parametros'!$B$9/2))*(I243-2*('Parametros'!$B$7+'Parametros'!$B$9/2)))^2))^2)</f>
        <v>1.08295106618752</v>
      </c>
      <c r="BG243" s="10">
        <f>'Parametros'!$B$6*(AJ243*1000/(H243*MIN(U243,AB243))+0.66*SQRT('Parametros'!$B$2))</f>
        <v>3.29396038227542</v>
      </c>
      <c r="BH243" s="10" t="str">
        <f>IF(BF243&lt;=BG243,"CUMPLE","NO CUMPLE")</f>
        <v>CUMPLE</v>
      </c>
      <c r="BI243" s="10">
        <f>AX243*'Parametros'!$B$8</f>
        <v>0</v>
      </c>
      <c r="BJ243" s="10" t="str">
        <f>IF(BI243&gt;=AW243,"CUMPLE","NO CUMPLE")</f>
        <v>CUMPLE</v>
      </c>
    </row>
    <row r="244">
      <c r="A244" s="23" t="inlineStr">
        <is>
          <t>VR1</t>
        </is>
      </c>
      <c r="B244" s="23" t="inlineStr">
        <is>
          <t>201</t>
        </is>
      </c>
      <c r="C244" s="10" t="n">
        <v>1</v>
      </c>
      <c r="D244" s="10" t="n">
        <v>2</v>
      </c>
      <c r="E244" s="10" t="n">
        <v>2</v>
      </c>
      <c r="F244" s="10" t="n">
        <v>500</v>
      </c>
      <c r="G244" s="10" t="n">
        <v>550</v>
      </c>
      <c r="H244" s="17" t="n">
        <v>500</v>
      </c>
      <c r="I244" s="17" t="n">
        <v>550</v>
      </c>
      <c r="J244" s="30" t="n">
        <v>179.2751</v>
      </c>
      <c r="K244" s="10" t="inlineStr">
        <is>
          <t>201</t>
        </is>
      </c>
      <c r="L244" s="30" t="n">
        <v>127.225</v>
      </c>
      <c r="M244" s="10" t="inlineStr">
        <is>
          <t>201</t>
        </is>
      </c>
      <c r="N244" s="30" t="n">
        <v>162.622</v>
      </c>
      <c r="O244" s="30" t="n">
        <v>583.929</v>
      </c>
      <c r="P244" s="10" t="inlineStr">
        <is>
          <t>201</t>
        </is>
      </c>
      <c r="Q244" s="30" t="n">
        <v>3.8815</v>
      </c>
      <c r="R244" s="10">
        <f>MAX(MAX(1.4/'Parametros'!$B$3,0.25*SQRT('Parametros'!$B$2)/'Parametros'!$B$3)*H244*U244,(0.85*'Parametros'!$B$2/'Parametros'!$B$3)*(1-SQRT(1-2*(J244*1000000/('Parametros'!$B$5*H244*U244^2))/(0.85*'Parametros'!$B$2)))*H244*U244)</f>
        <v>1005.66092361054</v>
      </c>
      <c r="S244" s="31" t="n">
        <v>6</v>
      </c>
      <c r="T244" s="32" t="n">
        <v>1</v>
      </c>
      <c r="U244" s="10">
        <f>IF(T244=1,I244-('Parametros'!$B$7+'Parametros'!$B$9+'Parametros'!$B$12/2),I244-(ROUNDUP(S244/2,0)*('Parametros'!$B$7+'Parametros'!$B$9+'Parametros'!$B$12/2)+ROUNDDOWN(S244/2,0)*('Parametros'!$B$7+'Parametros'!$B$9+'Parametros'!$B$12/2+'Parametros'!$B$12+'Parametros'!$B$10))/S244)</f>
        <v>489.35</v>
      </c>
      <c r="V244" s="10">
        <f>S244*'Parametros'!$B$8</f>
        <v>1194</v>
      </c>
      <c r="W244" s="10">
        <f>'Parametros'!$B$5*V244*'Parametros'!$B$3*(U244-(V244*'Parametros'!$B$3/(0.85*'Parametros'!$B$2*H244))/2)/1000000</f>
        <v>211.349483470588</v>
      </c>
      <c r="X244" s="10" t="str">
        <f>IF(W244&gt;=J244,"CUMPLE","NO CUMPLE")</f>
        <v>CUMPLE</v>
      </c>
      <c r="Y244" s="10">
        <f>MAX(MAX(1.4/'Parametros'!$B$3,0.25*SQRT('Parametros'!$B$2)/'Parametros'!$B$3)*H244*AB244,(0.85*'Parametros'!$B$2/'Parametros'!$B$3)*(1-SQRT(1-2*(L244*1000000/('Parametros'!$B$5*H244*AB244^2))/(0.85*'Parametros'!$B$2)))*H244*AB244)</f>
        <v>815.583333333333</v>
      </c>
      <c r="Z244" s="31" t="n">
        <v>5</v>
      </c>
      <c r="AA244" s="32" t="n">
        <v>1</v>
      </c>
      <c r="AB244" s="10">
        <f>IF(AA244=1,I244-('Parametros'!$B$7+'Parametros'!$B$9+'Parametros'!$B$12/2),I244-(ROUNDUP(Z244/2,0)*('Parametros'!$B$7+'Parametros'!$B$9+'Parametros'!$B$12/2)+ROUNDDOWN(Z244/2,0)*('Parametros'!$B$7+'Parametros'!$B$9+'Parametros'!$B$12/2+'Parametros'!$B$12+'Parametros'!$B$10))/Z244)</f>
        <v>489.35</v>
      </c>
      <c r="AC244" s="10">
        <f>Z244*'Parametros'!$B$8</f>
        <v>995</v>
      </c>
      <c r="AD244" s="10">
        <f>'Parametros'!$B$5*AC244*'Parametros'!$B$3*(AB244-(AC244*'Parametros'!$B$3/(0.85*'Parametros'!$B$2*H244))/2)/1000000</f>
        <v>177.445379382353</v>
      </c>
      <c r="AE244" s="10" t="str">
        <f>IF(AD244&gt;=L244,"CUMPLE","NO CUMPLE")</f>
        <v>CUMPLE</v>
      </c>
      <c r="AF244" s="10">
        <f>V244*1.25*'Parametros'!$B$3*(U244-(V244*1.25*'Parametros'!$B$3/(0.85*'Parametros'!$B$2*H244))/2)/1000000</f>
        <v>290.238924705882</v>
      </c>
      <c r="AG244" s="10">
        <f>AC244*1.25*'Parametros'!$B$3*(AB244-(AC244*1.25*'Parametros'!$B$3/(0.85*'Parametros'!$B$2*H244))/2)/1000000</f>
        <v>244.158843198529</v>
      </c>
      <c r="AH244" s="10">
        <f>N244+(AF244+AG244)/D244</f>
        <v>429.820883952206</v>
      </c>
      <c r="AI244" s="10">
        <f>MAX(O244,AH244)</f>
        <v>583.929</v>
      </c>
      <c r="AJ244" s="10">
        <f>0.17*SQRT('Parametros'!$B$2)*H244*MIN(U244,AB244)/1000</f>
        <v>220.098728691808</v>
      </c>
      <c r="AK244" s="10">
        <f>MAX(AI244/'Parametros'!$B$6-AJ244,0)</f>
        <v>558.473271308192</v>
      </c>
      <c r="AL244" s="10">
        <f>0.66*SQRT('Parametros'!$B$2)*H244*MIN(U244,AB244)/1000</f>
        <v>854.500946685842</v>
      </c>
      <c r="AM244" s="10" t="str">
        <f>IF(AK244&lt;=AL244,"CUMPLE","NO CUMPLE")</f>
        <v>CUMPLE</v>
      </c>
      <c r="AN244" s="17" t="inlineStr">
        <is>
          <t>Nº4 cerrado</t>
        </is>
      </c>
      <c r="AO244" s="31" t="n">
        <v>2</v>
      </c>
      <c r="AP244" s="10">
        <f>ROUNDDOWN(MIN(IF(BC244+BD244=0,1000000000,AO244*BB244/(BC244+BD244)),MIN(U244,AB244)/4,8*'Parametros'!$B$12,24*BA244,300,IF(AV244=0,1000000000,2*((H244-2*('Parametros'!$B$7+'Parametros'!$B$9/2))+(I244-2*('Parametros'!$B$7+'Parametros'!$B$9/2)))/8))/10,0)*10</f>
        <v>90</v>
      </c>
      <c r="AQ244" s="10">
        <f>ROUNDDOWN(MIN(IF(BC244+BD244=0,1000000000,AO244*BB244/(BC244+BD244)),IF(AK244&gt;0.33*SQRT('Parametros'!$B$2)*H244*MIN(U244,AB244)/1000,MIN(U244,AB244)/4,MIN(U244,AB244)/2),600,IF(AV244=0,1000000000,2*((H244-2*('Parametros'!$B$7+'Parametros'!$B$9/2))+(I244-2*('Parametros'!$B$7+'Parametros'!$B$9/2)))/8))/10,0)*10</f>
        <v>90</v>
      </c>
      <c r="AR244" s="10">
        <f>'Parametros'!$B$6*(AJ244+MAX(BE244-BD244,0)*'Parametros'!$B$4*MIN(U244,AB244)/1000)</f>
        <v>606.957096518856</v>
      </c>
      <c r="AS244" s="10" t="str">
        <f>IF(AND(ISERROR(SEARCH("referencia",AN244)),AM244="CUMPLE",AR244&gt;=AI244),"CUMPLE","NO CUMPLE")</f>
        <v>CUMPLE</v>
      </c>
      <c r="AT244" s="10">
        <f>'Parametros'!$B$6*0.083*SQRT('Parametros'!$B$2)*(H244*I244)^2/(2*(H244+I244))/1000000</f>
        <v>11.862178757599</v>
      </c>
      <c r="AU244" s="10" t="str">
        <f>IF(Q244&lt;=AT244,"DESPRECIABLE","DISEÑAR")</f>
        <v>DESPRECIABLE</v>
      </c>
      <c r="AV244" s="10">
        <f>IF(Q244&lt;=AT244,0,Q244*1000000/('Parametros'!$B$6*2*0.85*(H244-2*('Parametros'!$B$7+'Parametros'!$B$9/2))*(I244-2*('Parametros'!$B$7+'Parametros'!$B$9/2))*'Parametros'!$B$4))</f>
        <v>0</v>
      </c>
      <c r="AW244" s="10">
        <f>AV244*2*((H244-2*('Parametros'!$B$7+'Parametros'!$B$9/2))+(I244-2*('Parametros'!$B$7+'Parametros'!$B$9/2)))*'Parametros'!$B$4/'Parametros'!$B$3</f>
        <v>0</v>
      </c>
      <c r="AX244" s="31" t="n">
        <v>0</v>
      </c>
      <c r="AY244" s="10" t="str">
        <f>IF(AV244=0,"DESPRECIABLE",IF(AND(ISERROR(SEARCH("referencia",AN244)),BB244/AP244&gt;=AV244,BI244&gt;=AW244,BH244="CUMPLE"),"CUMPLE","NO CUMPLE"))</f>
        <v>DESPRECIABLE</v>
      </c>
      <c r="AZ244" s="10" t="str">
        <f>IF(AND(X244="CUMPLE",AE244="CUMPLE",AS244="CUMPLE",OR(AY244="CUMPLE",AY244="DESPRECIABLE"),BH244="CUMPLE",BJ244="CUMPLE"),"CUMPLE","NO CUMPLE")</f>
        <v>CUMPLE</v>
      </c>
      <c r="BA244" s="32" t="n">
        <v>12.7</v>
      </c>
      <c r="BB244" s="32" t="n">
        <v>129</v>
      </c>
      <c r="BC244" s="10">
        <f>MAX(IF(AK244=0,0,AK244*1000/('Parametros'!$B$4*MIN(U244,AB244))),MAX(0.062*SQRT('Parametros'!$B$2)*H244/'Parametros'!$B$4,0.35*H244/'Parametros'!$B$4))</f>
        <v>2.71727447638603</v>
      </c>
      <c r="BD244" s="10">
        <f>2*AV244</f>
        <v>0</v>
      </c>
      <c r="BE244" s="10">
        <f>AO244*BB244/AP244</f>
        <v>2.86666666666667</v>
      </c>
      <c r="BF244" s="10">
        <f>SQRT((AI244*1000/(H244*MIN(U244,AB244)))^2+(Q244*1000000*2*((H244-2*('Parametros'!$B$7+'Parametros'!$B$9/2))+(I244-2*('Parametros'!$B$7+'Parametros'!$B$9/2)))/(1.7*((H244-2*('Parametros'!$B$7+'Parametros'!$B$9/2))*(I244-2*('Parametros'!$B$7+'Parametros'!$B$9/2)))^2))^2)</f>
        <v>2.38926145781551</v>
      </c>
      <c r="BG244" s="10">
        <f>'Parametros'!$B$6*(AJ244*1000/(H244*MIN(U244,AB244))+0.66*SQRT('Parametros'!$B$2))</f>
        <v>3.29396038227542</v>
      </c>
      <c r="BH244" s="10" t="str">
        <f>IF(BF244&lt;=BG244,"CUMPLE","NO CUMPLE")</f>
        <v>CUMPLE</v>
      </c>
      <c r="BI244" s="10">
        <f>AX244*'Parametros'!$B$8</f>
        <v>0</v>
      </c>
      <c r="BJ244" s="10" t="str">
        <f>IF(BI244&gt;=AW244,"CUMPLE","NO CUMPLE")</f>
        <v>CUMPLE</v>
      </c>
    </row>
    <row r="245">
      <c r="A245" s="23" t="inlineStr">
        <is>
          <t>VR1</t>
        </is>
      </c>
      <c r="B245" s="23" t="inlineStr">
        <is>
          <t>202</t>
        </is>
      </c>
      <c r="C245" s="10" t="n">
        <v>1</v>
      </c>
      <c r="D245" s="10" t="n">
        <v>3.05</v>
      </c>
      <c r="E245" s="10" t="n">
        <v>3.05</v>
      </c>
      <c r="F245" s="10" t="n">
        <v>500</v>
      </c>
      <c r="G245" s="10" t="n">
        <v>550</v>
      </c>
      <c r="H245" s="17" t="n">
        <v>500</v>
      </c>
      <c r="I245" s="17" t="n">
        <v>550</v>
      </c>
      <c r="J245" s="30" t="n">
        <v>170.2081</v>
      </c>
      <c r="K245" s="10" t="inlineStr">
        <is>
          <t>202</t>
        </is>
      </c>
      <c r="L245" s="30" t="n">
        <v>111.809</v>
      </c>
      <c r="M245" s="10" t="inlineStr">
        <is>
          <t>202</t>
        </is>
      </c>
      <c r="N245" s="30" t="n">
        <v>136.459</v>
      </c>
      <c r="O245" s="30" t="n">
        <v>425.533</v>
      </c>
      <c r="P245" s="10" t="inlineStr">
        <is>
          <t>202</t>
        </is>
      </c>
      <c r="Q245" s="30" t="n">
        <v>3.4737</v>
      </c>
      <c r="R245" s="10">
        <f>MAX(MAX(1.4/'Parametros'!$B$3,0.25*SQRT('Parametros'!$B$2)/'Parametros'!$B$3)*H245*U245,(0.85*'Parametros'!$B$2/'Parametros'!$B$3)*(1-SQRT(1-2*(J245*1000000/('Parametros'!$B$5*H245*U245^2))/(0.85*'Parametros'!$B$2)))*H245*U245)</f>
        <v>952.91803337062</v>
      </c>
      <c r="S245" s="31" t="n">
        <v>5</v>
      </c>
      <c r="T245" s="32" t="n">
        <v>1</v>
      </c>
      <c r="U245" s="10">
        <f>IF(T245=1,I245-('Parametros'!$B$7+'Parametros'!$B$9+'Parametros'!$B$12/2),I245-(ROUNDUP(S245/2,0)*('Parametros'!$B$7+'Parametros'!$B$9+'Parametros'!$B$12/2)+ROUNDDOWN(S245/2,0)*('Parametros'!$B$7+'Parametros'!$B$9+'Parametros'!$B$12/2+'Parametros'!$B$12+'Parametros'!$B$10))/S245)</f>
        <v>489.35</v>
      </c>
      <c r="V245" s="10">
        <f>S245*'Parametros'!$B$8</f>
        <v>995</v>
      </c>
      <c r="W245" s="10">
        <f>'Parametros'!$B$5*V245*'Parametros'!$B$3*(U245-(V245*'Parametros'!$B$3/(0.85*'Parametros'!$B$2*H245))/2)/1000000</f>
        <v>177.445379382353</v>
      </c>
      <c r="X245" s="10" t="str">
        <f>IF(W245&gt;=J245,"CUMPLE","NO CUMPLE")</f>
        <v>CUMPLE</v>
      </c>
      <c r="Y245" s="10">
        <f>MAX(MAX(1.4/'Parametros'!$B$3,0.25*SQRT('Parametros'!$B$2)/'Parametros'!$B$3)*H245*AB245,(0.85*'Parametros'!$B$2/'Parametros'!$B$3)*(1-SQRT(1-2*(L245*1000000/('Parametros'!$B$5*H245*AB245^2))/(0.85*'Parametros'!$B$2)))*H245*AB245)</f>
        <v>815.583333333333</v>
      </c>
      <c r="Z245" s="31" t="n">
        <v>5</v>
      </c>
      <c r="AA245" s="32" t="n">
        <v>1</v>
      </c>
      <c r="AB245" s="10">
        <f>IF(AA245=1,I245-('Parametros'!$B$7+'Parametros'!$B$9+'Parametros'!$B$12/2),I245-(ROUNDUP(Z245/2,0)*('Parametros'!$B$7+'Parametros'!$B$9+'Parametros'!$B$12/2)+ROUNDDOWN(Z245/2,0)*('Parametros'!$B$7+'Parametros'!$B$9+'Parametros'!$B$12/2+'Parametros'!$B$12+'Parametros'!$B$10))/Z245)</f>
        <v>489.35</v>
      </c>
      <c r="AC245" s="10">
        <f>Z245*'Parametros'!$B$8</f>
        <v>995</v>
      </c>
      <c r="AD245" s="10">
        <f>'Parametros'!$B$5*AC245*'Parametros'!$B$3*(AB245-(AC245*'Parametros'!$B$3/(0.85*'Parametros'!$B$2*H245))/2)/1000000</f>
        <v>177.445379382353</v>
      </c>
      <c r="AE245" s="10" t="str">
        <f>IF(AD245&gt;=L245,"CUMPLE","NO CUMPLE")</f>
        <v>CUMPLE</v>
      </c>
      <c r="AF245" s="10">
        <f>V245*1.25*'Parametros'!$B$3*(U245-(V245*1.25*'Parametros'!$B$3/(0.85*'Parametros'!$B$2*H245))/2)/1000000</f>
        <v>244.158843198529</v>
      </c>
      <c r="AG245" s="10">
        <f>AC245*1.25*'Parametros'!$B$3*(AB245-(AC245*1.25*'Parametros'!$B$3/(0.85*'Parametros'!$B$2*H245))/2)/1000000</f>
        <v>244.158843198529</v>
      </c>
      <c r="AH245" s="10">
        <f>N245+(AF245+AG245)/D245</f>
        <v>296.563159474446</v>
      </c>
      <c r="AI245" s="10">
        <f>MAX(O245,AH245)</f>
        <v>425.533</v>
      </c>
      <c r="AJ245" s="10">
        <f>0.17*SQRT('Parametros'!$B$2)*H245*MIN(U245,AB245)/1000</f>
        <v>220.098728691808</v>
      </c>
      <c r="AK245" s="10">
        <f>MAX(AI245/'Parametros'!$B$6-AJ245,0)</f>
        <v>347.278604641526</v>
      </c>
      <c r="AL245" s="10">
        <f>0.66*SQRT('Parametros'!$B$2)*H245*MIN(U245,AB245)/1000</f>
        <v>854.500946685842</v>
      </c>
      <c r="AM245" s="10" t="str">
        <f>IF(AK245&lt;=AL245,"CUMPLE","NO CUMPLE")</f>
        <v>CUMPLE</v>
      </c>
      <c r="AN245" s="17" t="inlineStr">
        <is>
          <t>Nº3 cerrado</t>
        </is>
      </c>
      <c r="AO245" s="31" t="n">
        <v>2</v>
      </c>
      <c r="AP245" s="10">
        <f>ROUNDDOWN(MIN(IF(BC245+BD245=0,1000000000,AO245*BB245/(BC245+BD245)),MIN(U245,AB245)/4,8*'Parametros'!$B$12,24*BA245,300,IF(AV245=0,1000000000,2*((H245-2*('Parametros'!$B$7+'Parametros'!$B$9/2))+(I245-2*('Parametros'!$B$7+'Parametros'!$B$9/2)))/8))/10,0)*10</f>
        <v>80</v>
      </c>
      <c r="AQ245" s="10">
        <f>ROUNDDOWN(MIN(IF(BC245+BD245=0,1000000000,AO245*BB245/(BC245+BD245)),IF(AK245&gt;0.33*SQRT('Parametros'!$B$2)*H245*MIN(U245,AB245)/1000,MIN(U245,AB245)/4,MIN(U245,AB245)/2),600,IF(AV245=0,1000000000,2*((H245-2*('Parametros'!$B$7+'Parametros'!$B$9/2))+(I245-2*('Parametros'!$B$7+'Parametros'!$B$9/2)))/8))/10,0)*10</f>
        <v>80</v>
      </c>
      <c r="AR245" s="10">
        <f>'Parametros'!$B$6*(AJ245+MAX(BE245-BD245,0)*'Parametros'!$B$4*MIN(U245,AB245)/1000)</f>
        <v>438.681865268856</v>
      </c>
      <c r="AS245" s="10" t="str">
        <f>IF(AND(ISERROR(SEARCH("referencia",AN245)),AM245="CUMPLE",AR245&gt;=AI245),"CUMPLE","NO CUMPLE")</f>
        <v>CUMPLE</v>
      </c>
      <c r="AT245" s="10">
        <f>'Parametros'!$B$6*0.083*SQRT('Parametros'!$B$2)*(H245*I245)^2/(2*(H245+I245))/1000000</f>
        <v>11.862178757599</v>
      </c>
      <c r="AU245" s="10" t="str">
        <f>IF(Q245&lt;=AT245,"DESPRECIABLE","DISEÑAR")</f>
        <v>DESPRECIABLE</v>
      </c>
      <c r="AV245" s="10">
        <f>IF(Q245&lt;=AT245,0,Q245*1000000/('Parametros'!$B$6*2*0.85*(H245-2*('Parametros'!$B$7+'Parametros'!$B$9/2))*(I245-2*('Parametros'!$B$7+'Parametros'!$B$9/2))*'Parametros'!$B$4))</f>
        <v>0</v>
      </c>
      <c r="AW245" s="10">
        <f>AV245*2*((H245-2*('Parametros'!$B$7+'Parametros'!$B$9/2))+(I245-2*('Parametros'!$B$7+'Parametros'!$B$9/2)))*'Parametros'!$B$4/'Parametros'!$B$3</f>
        <v>0</v>
      </c>
      <c r="AX245" s="31" t="n">
        <v>0</v>
      </c>
      <c r="AY245" s="10" t="str">
        <f>IF(AV245=0,"DESPRECIABLE",IF(AND(ISERROR(SEARCH("referencia",AN245)),BB245/AP245&gt;=AV245,BI245&gt;=AW245,BH245="CUMPLE"),"CUMPLE","NO CUMPLE"))</f>
        <v>DESPRECIABLE</v>
      </c>
      <c r="AZ245" s="10" t="str">
        <f>IF(AND(X245="CUMPLE",AE245="CUMPLE",AS245="CUMPLE",OR(AY245="CUMPLE",AY245="DESPRECIABLE"),BH245="CUMPLE",BJ245="CUMPLE"),"CUMPLE","NO CUMPLE")</f>
        <v>CUMPLE</v>
      </c>
      <c r="BA245" s="32" t="n">
        <v>9.5</v>
      </c>
      <c r="BB245" s="32" t="n">
        <v>71</v>
      </c>
      <c r="BC245" s="10">
        <f>MAX(IF(AK245=0,0,AK245*1000/('Parametros'!$B$4*MIN(U245,AB245))),MAX(0.062*SQRT('Parametros'!$B$2)*H245/'Parametros'!$B$4,0.35*H245/'Parametros'!$B$4))</f>
        <v>1.68969821308892</v>
      </c>
      <c r="BD245" s="10">
        <f>2*AV245</f>
        <v>0</v>
      </c>
      <c r="BE245" s="10">
        <f>AO245*BB245/AP245</f>
        <v>1.775</v>
      </c>
      <c r="BF245" s="10">
        <f>SQRT((AI245*1000/(H245*MIN(U245,AB245)))^2+(Q245*1000000*2*((H245-2*('Parametros'!$B$7+'Parametros'!$B$9/2))+(I245-2*('Parametros'!$B$7+'Parametros'!$B$9/2)))/(1.7*((H245-2*('Parametros'!$B$7+'Parametros'!$B$9/2))*(I245-2*('Parametros'!$B$7+'Parametros'!$B$9/2)))^2))^2)</f>
        <v>1.74215613609888</v>
      </c>
      <c r="BG245" s="10">
        <f>'Parametros'!$B$6*(AJ245*1000/(H245*MIN(U245,AB245))+0.66*SQRT('Parametros'!$B$2))</f>
        <v>3.29396038227542</v>
      </c>
      <c r="BH245" s="10" t="str">
        <f>IF(BF245&lt;=BG245,"CUMPLE","NO CUMPLE")</f>
        <v>CUMPLE</v>
      </c>
      <c r="BI245" s="10">
        <f>AX245*'Parametros'!$B$8</f>
        <v>0</v>
      </c>
      <c r="BJ245" s="10" t="str">
        <f>IF(BI245&gt;=AW245,"CUMPLE","NO CUMPLE")</f>
        <v>CUMPLE</v>
      </c>
    </row>
    <row r="246">
      <c r="A246" s="23" t="inlineStr">
        <is>
          <t>VR1</t>
        </is>
      </c>
      <c r="B246" s="23" t="inlineStr">
        <is>
          <t>203</t>
        </is>
      </c>
      <c r="C246" s="10" t="n">
        <v>1</v>
      </c>
      <c r="D246" s="10" t="n">
        <v>2</v>
      </c>
      <c r="E246" s="10" t="n">
        <v>2</v>
      </c>
      <c r="F246" s="10" t="n">
        <v>500</v>
      </c>
      <c r="G246" s="10" t="n">
        <v>550</v>
      </c>
      <c r="H246" s="17" t="n">
        <v>500</v>
      </c>
      <c r="I246" s="17" t="n">
        <v>550</v>
      </c>
      <c r="J246" s="30" t="n">
        <v>159.8805</v>
      </c>
      <c r="K246" s="10" t="inlineStr">
        <is>
          <t>203</t>
        </is>
      </c>
      <c r="L246" s="30" t="n">
        <v>125.9905</v>
      </c>
      <c r="M246" s="10" t="inlineStr">
        <is>
          <t>203</t>
        </is>
      </c>
      <c r="N246" s="30" t="n">
        <v>152.319</v>
      </c>
      <c r="O246" s="30" t="n">
        <v>567.2619999999999</v>
      </c>
      <c r="P246" s="10" t="inlineStr">
        <is>
          <t>203</t>
        </is>
      </c>
      <c r="Q246" s="30" t="n">
        <v>7.3369</v>
      </c>
      <c r="R246" s="10">
        <f>MAX(MAX(1.4/'Parametros'!$B$3,0.25*SQRT('Parametros'!$B$2)/'Parametros'!$B$3)*H246*U246,(0.85*'Parametros'!$B$2/'Parametros'!$B$3)*(1-SQRT(1-2*(J246*1000000/('Parametros'!$B$5*H246*U246^2))/(0.85*'Parametros'!$B$2)))*H246*U246)</f>
        <v>893.103455587234</v>
      </c>
      <c r="S246" s="31" t="n">
        <v>5</v>
      </c>
      <c r="T246" s="32" t="n">
        <v>1</v>
      </c>
      <c r="U246" s="10">
        <f>IF(T246=1,I246-('Parametros'!$B$7+'Parametros'!$B$9+'Parametros'!$B$12/2),I246-(ROUNDUP(S246/2,0)*('Parametros'!$B$7+'Parametros'!$B$9+'Parametros'!$B$12/2)+ROUNDDOWN(S246/2,0)*('Parametros'!$B$7+'Parametros'!$B$9+'Parametros'!$B$12/2+'Parametros'!$B$12+'Parametros'!$B$10))/S246)</f>
        <v>489.35</v>
      </c>
      <c r="V246" s="10">
        <f>S246*'Parametros'!$B$8</f>
        <v>995</v>
      </c>
      <c r="W246" s="10">
        <f>'Parametros'!$B$5*V246*'Parametros'!$B$3*(U246-(V246*'Parametros'!$B$3/(0.85*'Parametros'!$B$2*H246))/2)/1000000</f>
        <v>177.445379382353</v>
      </c>
      <c r="X246" s="10" t="str">
        <f>IF(W246&gt;=J246,"CUMPLE","NO CUMPLE")</f>
        <v>CUMPLE</v>
      </c>
      <c r="Y246" s="10">
        <f>MAX(MAX(1.4/'Parametros'!$B$3,0.25*SQRT('Parametros'!$B$2)/'Parametros'!$B$3)*H246*AB246,(0.85*'Parametros'!$B$2/'Parametros'!$B$3)*(1-SQRT(1-2*(L246*1000000/('Parametros'!$B$5*H246*AB246^2))/(0.85*'Parametros'!$B$2)))*H246*AB246)</f>
        <v>815.583333333333</v>
      </c>
      <c r="Z246" s="31" t="n">
        <v>5</v>
      </c>
      <c r="AA246" s="32" t="n">
        <v>1</v>
      </c>
      <c r="AB246" s="10">
        <f>IF(AA246=1,I246-('Parametros'!$B$7+'Parametros'!$B$9+'Parametros'!$B$12/2),I246-(ROUNDUP(Z246/2,0)*('Parametros'!$B$7+'Parametros'!$B$9+'Parametros'!$B$12/2)+ROUNDDOWN(Z246/2,0)*('Parametros'!$B$7+'Parametros'!$B$9+'Parametros'!$B$12/2+'Parametros'!$B$12+'Parametros'!$B$10))/Z246)</f>
        <v>489.35</v>
      </c>
      <c r="AC246" s="10">
        <f>Z246*'Parametros'!$B$8</f>
        <v>995</v>
      </c>
      <c r="AD246" s="10">
        <f>'Parametros'!$B$5*AC246*'Parametros'!$B$3*(AB246-(AC246*'Parametros'!$B$3/(0.85*'Parametros'!$B$2*H246))/2)/1000000</f>
        <v>177.445379382353</v>
      </c>
      <c r="AE246" s="10" t="str">
        <f>IF(AD246&gt;=L246,"CUMPLE","NO CUMPLE")</f>
        <v>CUMPLE</v>
      </c>
      <c r="AF246" s="10">
        <f>V246*1.25*'Parametros'!$B$3*(U246-(V246*1.25*'Parametros'!$B$3/(0.85*'Parametros'!$B$2*H246))/2)/1000000</f>
        <v>244.158843198529</v>
      </c>
      <c r="AG246" s="10">
        <f>AC246*1.25*'Parametros'!$B$3*(AB246-(AC246*1.25*'Parametros'!$B$3/(0.85*'Parametros'!$B$2*H246))/2)/1000000</f>
        <v>244.158843198529</v>
      </c>
      <c r="AH246" s="10">
        <f>N246+(AF246+AG246)/D246</f>
        <v>396.477843198529</v>
      </c>
      <c r="AI246" s="10">
        <f>MAX(O246,AH246)</f>
        <v>567.262</v>
      </c>
      <c r="AJ246" s="10">
        <f>0.17*SQRT('Parametros'!$B$2)*H246*MIN(U246,AB246)/1000</f>
        <v>220.098728691808</v>
      </c>
      <c r="AK246" s="10">
        <f>MAX(AI246/'Parametros'!$B$6-AJ246,0)</f>
        <v>536.250604641525</v>
      </c>
      <c r="AL246" s="10">
        <f>0.66*SQRT('Parametros'!$B$2)*H246*MIN(U246,AB246)/1000</f>
        <v>854.500946685842</v>
      </c>
      <c r="AM246" s="10" t="str">
        <f>IF(AK246&lt;=AL246,"CUMPLE","NO CUMPLE")</f>
        <v>CUMPLE</v>
      </c>
      <c r="AN246" s="17" t="inlineStr">
        <is>
          <t>Nº4 cerrado</t>
        </is>
      </c>
      <c r="AO246" s="31" t="n">
        <v>2</v>
      </c>
      <c r="AP246" s="10">
        <f>ROUNDDOWN(MIN(IF(BC246+BD246=0,1000000000,AO246*BB246/(BC246+BD246)),MIN(U246,AB246)/4,8*'Parametros'!$B$12,24*BA246,300,IF(AV246=0,1000000000,2*((H246-2*('Parametros'!$B$7+'Parametros'!$B$9/2))+(I246-2*('Parametros'!$B$7+'Parametros'!$B$9/2)))/8))/10,0)*10</f>
        <v>90</v>
      </c>
      <c r="AQ246" s="10">
        <f>ROUNDDOWN(MIN(IF(BC246+BD246=0,1000000000,AO246*BB246/(BC246+BD246)),IF(AK246&gt;0.33*SQRT('Parametros'!$B$2)*H246*MIN(U246,AB246)/1000,MIN(U246,AB246)/4,MIN(U246,AB246)/2),600,IF(AV246=0,1000000000,2*((H246-2*('Parametros'!$B$7+'Parametros'!$B$9/2))+(I246-2*('Parametros'!$B$7+'Parametros'!$B$9/2)))/8))/10,0)*10</f>
        <v>90</v>
      </c>
      <c r="AR246" s="10">
        <f>'Parametros'!$B$6*(AJ246+MAX(BE246-BD246,0)*'Parametros'!$B$4*MIN(U246,AB246)/1000)</f>
        <v>606.957096518856</v>
      </c>
      <c r="AS246" s="10" t="str">
        <f>IF(AND(ISERROR(SEARCH("referencia",AN246)),AM246="CUMPLE",AR246&gt;=AI246),"CUMPLE","NO CUMPLE")</f>
        <v>CUMPLE</v>
      </c>
      <c r="AT246" s="10">
        <f>'Parametros'!$B$6*0.083*SQRT('Parametros'!$B$2)*(H246*I246)^2/(2*(H246+I246))/1000000</f>
        <v>11.862178757599</v>
      </c>
      <c r="AU246" s="10" t="str">
        <f>IF(Q246&lt;=AT246,"DESPRECIABLE","DISEÑAR")</f>
        <v>DESPRECIABLE</v>
      </c>
      <c r="AV246" s="10">
        <f>IF(Q246&lt;=AT246,0,Q246*1000000/('Parametros'!$B$6*2*0.85*(H246-2*('Parametros'!$B$7+'Parametros'!$B$9/2))*(I246-2*('Parametros'!$B$7+'Parametros'!$B$9/2))*'Parametros'!$B$4))</f>
        <v>0</v>
      </c>
      <c r="AW246" s="10">
        <f>AV246*2*((H246-2*('Parametros'!$B$7+'Parametros'!$B$9/2))+(I246-2*('Parametros'!$B$7+'Parametros'!$B$9/2)))*'Parametros'!$B$4/'Parametros'!$B$3</f>
        <v>0</v>
      </c>
      <c r="AX246" s="31" t="n">
        <v>0</v>
      </c>
      <c r="AY246" s="10" t="str">
        <f>IF(AV246=0,"DESPRECIABLE",IF(AND(ISERROR(SEARCH("referencia",AN246)),BB246/AP246&gt;=AV246,BI246&gt;=AW246,BH246="CUMPLE"),"CUMPLE","NO CUMPLE"))</f>
        <v>DESPRECIABLE</v>
      </c>
      <c r="AZ246" s="10" t="str">
        <f>IF(AND(X246="CUMPLE",AE246="CUMPLE",AS246="CUMPLE",OR(AY246="CUMPLE",AY246="DESPRECIABLE"),BH246="CUMPLE",BJ246="CUMPLE"),"CUMPLE","NO CUMPLE")</f>
        <v>CUMPLE</v>
      </c>
      <c r="BA246" s="32" t="n">
        <v>12.7</v>
      </c>
      <c r="BB246" s="32" t="n">
        <v>129</v>
      </c>
      <c r="BC246" s="10">
        <f>MAX(IF(AK246=0,0,AK246*1000/('Parametros'!$B$4*MIN(U246,AB246))),MAX(0.062*SQRT('Parametros'!$B$2)*H246/'Parametros'!$B$4,0.35*H246/'Parametros'!$B$4))</f>
        <v>2.60914918546724</v>
      </c>
      <c r="BD246" s="10">
        <f>2*AV246</f>
        <v>0</v>
      </c>
      <c r="BE246" s="10">
        <f>AO246*BB246/AP246</f>
        <v>2.86666666666667</v>
      </c>
      <c r="BF246" s="10">
        <f>SQRT((AI246*1000/(H246*MIN(U246,AB246)))^2+(Q246*1000000*2*((H246-2*('Parametros'!$B$7+'Parametros'!$B$9/2))+(I246-2*('Parametros'!$B$7+'Parametros'!$B$9/2)))/(1.7*((H246-2*('Parametros'!$B$7+'Parametros'!$B$9/2))*(I246-2*('Parametros'!$B$7+'Parametros'!$B$9/2)))^2))^2)</f>
        <v>2.32838919977117</v>
      </c>
      <c r="BG246" s="10">
        <f>'Parametros'!$B$6*(AJ246*1000/(H246*MIN(U246,AB246))+0.66*SQRT('Parametros'!$B$2))</f>
        <v>3.29396038227542</v>
      </c>
      <c r="BH246" s="10" t="str">
        <f>IF(BF246&lt;=BG246,"CUMPLE","NO CUMPLE")</f>
        <v>CUMPLE</v>
      </c>
      <c r="BI246" s="10">
        <f>AX246*'Parametros'!$B$8</f>
        <v>0</v>
      </c>
      <c r="BJ246" s="10" t="str">
        <f>IF(BI246&gt;=AW246,"CUMPLE","NO CUMPLE")</f>
        <v>CUMPLE</v>
      </c>
    </row>
    <row r="247">
      <c r="A247" s="23" t="inlineStr">
        <is>
          <t>VR1</t>
        </is>
      </c>
      <c r="B247" s="23" t="inlineStr">
        <is>
          <t>204</t>
        </is>
      </c>
      <c r="C247" s="10" t="n">
        <v>1</v>
      </c>
      <c r="D247" s="10" t="n">
        <v>1.9</v>
      </c>
      <c r="E247" s="10" t="n">
        <v>1.9</v>
      </c>
      <c r="F247" s="10" t="n">
        <v>500</v>
      </c>
      <c r="G247" s="10" t="n">
        <v>550</v>
      </c>
      <c r="H247" s="17" t="n">
        <v>500</v>
      </c>
      <c r="I247" s="17" t="n">
        <v>550</v>
      </c>
      <c r="J247" s="30" t="n">
        <v>166.9333</v>
      </c>
      <c r="K247" s="10" t="inlineStr">
        <is>
          <t>204</t>
        </is>
      </c>
      <c r="L247" s="30" t="n">
        <v>134.6094</v>
      </c>
      <c r="M247" s="10" t="inlineStr">
        <is>
          <t>204</t>
        </is>
      </c>
      <c r="N247" s="30" t="n">
        <v>161.443</v>
      </c>
      <c r="O247" s="30" t="n">
        <v>614.326</v>
      </c>
      <c r="P247" s="10" t="inlineStr">
        <is>
          <t>204</t>
        </is>
      </c>
      <c r="Q247" s="30" t="n">
        <v>4.3205</v>
      </c>
      <c r="R247" s="10">
        <f>MAX(MAX(1.4/'Parametros'!$B$3,0.25*SQRT('Parametros'!$B$2)/'Parametros'!$B$3)*H247*U247,(0.85*'Parametros'!$B$2/'Parametros'!$B$3)*(1-SQRT(1-2*(J247*1000000/('Parametros'!$B$5*H247*U247^2))/(0.85*'Parametros'!$B$2)))*H247*U247)</f>
        <v>933.921348317417</v>
      </c>
      <c r="S247" s="31" t="n">
        <v>5</v>
      </c>
      <c r="T247" s="32" t="n">
        <v>1</v>
      </c>
      <c r="U247" s="10">
        <f>IF(T247=1,I247-('Parametros'!$B$7+'Parametros'!$B$9+'Parametros'!$B$12/2),I247-(ROUNDUP(S247/2,0)*('Parametros'!$B$7+'Parametros'!$B$9+'Parametros'!$B$12/2)+ROUNDDOWN(S247/2,0)*('Parametros'!$B$7+'Parametros'!$B$9+'Parametros'!$B$12/2+'Parametros'!$B$12+'Parametros'!$B$10))/S247)</f>
        <v>489.35</v>
      </c>
      <c r="V247" s="10">
        <f>S247*'Parametros'!$B$8</f>
        <v>995</v>
      </c>
      <c r="W247" s="10">
        <f>'Parametros'!$B$5*V247*'Parametros'!$B$3*(U247-(V247*'Parametros'!$B$3/(0.85*'Parametros'!$B$2*H247))/2)/1000000</f>
        <v>177.445379382353</v>
      </c>
      <c r="X247" s="10" t="str">
        <f>IF(W247&gt;=J247,"CUMPLE","NO CUMPLE")</f>
        <v>CUMPLE</v>
      </c>
      <c r="Y247" s="10">
        <f>MAX(MAX(1.4/'Parametros'!$B$3,0.25*SQRT('Parametros'!$B$2)/'Parametros'!$B$3)*H247*AB247,(0.85*'Parametros'!$B$2/'Parametros'!$B$3)*(1-SQRT(1-2*(L247*1000000/('Parametros'!$B$5*H247*AB247^2))/(0.85*'Parametros'!$B$2)))*H247*AB247)</f>
        <v>815.583333333333</v>
      </c>
      <c r="Z247" s="31" t="n">
        <v>5</v>
      </c>
      <c r="AA247" s="32" t="n">
        <v>1</v>
      </c>
      <c r="AB247" s="10">
        <f>IF(AA247=1,I247-('Parametros'!$B$7+'Parametros'!$B$9+'Parametros'!$B$12/2),I247-(ROUNDUP(Z247/2,0)*('Parametros'!$B$7+'Parametros'!$B$9+'Parametros'!$B$12/2)+ROUNDDOWN(Z247/2,0)*('Parametros'!$B$7+'Parametros'!$B$9+'Parametros'!$B$12/2+'Parametros'!$B$12+'Parametros'!$B$10))/Z247)</f>
        <v>489.35</v>
      </c>
      <c r="AC247" s="10">
        <f>Z247*'Parametros'!$B$8</f>
        <v>995</v>
      </c>
      <c r="AD247" s="10">
        <f>'Parametros'!$B$5*AC247*'Parametros'!$B$3*(AB247-(AC247*'Parametros'!$B$3/(0.85*'Parametros'!$B$2*H247))/2)/1000000</f>
        <v>177.445379382353</v>
      </c>
      <c r="AE247" s="10" t="str">
        <f>IF(AD247&gt;=L247,"CUMPLE","NO CUMPLE")</f>
        <v>CUMPLE</v>
      </c>
      <c r="AF247" s="10">
        <f>V247*1.25*'Parametros'!$B$3*(U247-(V247*1.25*'Parametros'!$B$3/(0.85*'Parametros'!$B$2*H247))/2)/1000000</f>
        <v>244.158843198529</v>
      </c>
      <c r="AG247" s="10">
        <f>AC247*1.25*'Parametros'!$B$3*(AB247-(AC247*1.25*'Parametros'!$B$3/(0.85*'Parametros'!$B$2*H247))/2)/1000000</f>
        <v>244.158843198529</v>
      </c>
      <c r="AH247" s="10">
        <f>N247+(AF247+AG247)/D247</f>
        <v>418.452308630031</v>
      </c>
      <c r="AI247" s="10">
        <f>MAX(O247,AH247)</f>
        <v>614.326</v>
      </c>
      <c r="AJ247" s="10">
        <f>0.17*SQRT('Parametros'!$B$2)*H247*MIN(U247,AB247)/1000</f>
        <v>220.098728691808</v>
      </c>
      <c r="AK247" s="10">
        <f>MAX(AI247/'Parametros'!$B$6-AJ247,0)</f>
        <v>599.002604641526</v>
      </c>
      <c r="AL247" s="10">
        <f>0.66*SQRT('Parametros'!$B$2)*H247*MIN(U247,AB247)/1000</f>
        <v>854.500946685842</v>
      </c>
      <c r="AM247" s="10" t="str">
        <f>IF(AK247&lt;=AL247,"CUMPLE","NO CUMPLE")</f>
        <v>CUMPLE</v>
      </c>
      <c r="AN247" s="17" t="inlineStr">
        <is>
          <t>Nº4 cerrado</t>
        </is>
      </c>
      <c r="AO247" s="31" t="n">
        <v>2</v>
      </c>
      <c r="AP247" s="10">
        <f>ROUNDDOWN(MIN(IF(BC247+BD247=0,1000000000,AO247*BB247/(BC247+BD247)),MIN(U247,AB247)/4,8*'Parametros'!$B$12,24*BA247,300,IF(AV247=0,1000000000,2*((H247-2*('Parametros'!$B$7+'Parametros'!$B$9/2))+(I247-2*('Parametros'!$B$7+'Parametros'!$B$9/2)))/8))/10,0)*10</f>
        <v>80</v>
      </c>
      <c r="AQ247" s="10">
        <f>ROUNDDOWN(MIN(IF(BC247+BD247=0,1000000000,AO247*BB247/(BC247+BD247)),IF(AK247&gt;0.33*SQRT('Parametros'!$B$2)*H247*MIN(U247,AB247)/1000,MIN(U247,AB247)/4,MIN(U247,AB247)/2),600,IF(AV247=0,1000000000,2*((H247-2*('Parametros'!$B$7+'Parametros'!$B$9/2))+(I247-2*('Parametros'!$B$7+'Parametros'!$B$9/2)))/8))/10,0)*10</f>
        <v>80</v>
      </c>
      <c r="AR247" s="10">
        <f>'Parametros'!$B$6*(AJ247+MAX(BE247-BD247,0)*'Parametros'!$B$4*MIN(U247,AB247)/1000)</f>
        <v>662.192477768856</v>
      </c>
      <c r="AS247" s="10" t="str">
        <f>IF(AND(ISERROR(SEARCH("referencia",AN247)),AM247="CUMPLE",AR247&gt;=AI247),"CUMPLE","NO CUMPLE")</f>
        <v>CUMPLE</v>
      </c>
      <c r="AT247" s="10">
        <f>'Parametros'!$B$6*0.083*SQRT('Parametros'!$B$2)*(H247*I247)^2/(2*(H247+I247))/1000000</f>
        <v>11.862178757599</v>
      </c>
      <c r="AU247" s="10" t="str">
        <f>IF(Q247&lt;=AT247,"DESPRECIABLE","DISEÑAR")</f>
        <v>DESPRECIABLE</v>
      </c>
      <c r="AV247" s="10">
        <f>IF(Q247&lt;=AT247,0,Q247*1000000/('Parametros'!$B$6*2*0.85*(H247-2*('Parametros'!$B$7+'Parametros'!$B$9/2))*(I247-2*('Parametros'!$B$7+'Parametros'!$B$9/2))*'Parametros'!$B$4))</f>
        <v>0</v>
      </c>
      <c r="AW247" s="10">
        <f>AV247*2*((H247-2*('Parametros'!$B$7+'Parametros'!$B$9/2))+(I247-2*('Parametros'!$B$7+'Parametros'!$B$9/2)))*'Parametros'!$B$4/'Parametros'!$B$3</f>
        <v>0</v>
      </c>
      <c r="AX247" s="31" t="n">
        <v>0</v>
      </c>
      <c r="AY247" s="10" t="str">
        <f>IF(AV247=0,"DESPRECIABLE",IF(AND(ISERROR(SEARCH("referencia",AN247)),BB247/AP247&gt;=AV247,BI247&gt;=AW247,BH247="CUMPLE"),"CUMPLE","NO CUMPLE"))</f>
        <v>DESPRECIABLE</v>
      </c>
      <c r="AZ247" s="10" t="str">
        <f>IF(AND(X247="CUMPLE",AE247="CUMPLE",AS247="CUMPLE",OR(AY247="CUMPLE",AY247="DESPRECIABLE"),BH247="CUMPLE",BJ247="CUMPLE"),"CUMPLE","NO CUMPLE")</f>
        <v>CUMPLE</v>
      </c>
      <c r="BA247" s="32" t="n">
        <v>12.7</v>
      </c>
      <c r="BB247" s="32" t="n">
        <v>129</v>
      </c>
      <c r="BC247" s="10">
        <f>MAX(IF(AK247=0,0,AK247*1000/('Parametros'!$B$4*MIN(U247,AB247))),MAX(0.062*SQRT('Parametros'!$B$2)*H247/'Parametros'!$B$4,0.35*H247/'Parametros'!$B$4))</f>
        <v>2.91447160052706</v>
      </c>
      <c r="BD247" s="10">
        <f>2*AV247</f>
        <v>0</v>
      </c>
      <c r="BE247" s="10">
        <f>AO247*BB247/AP247</f>
        <v>3.225</v>
      </c>
      <c r="BF247" s="10">
        <f>SQRT((AI247*1000/(H247*MIN(U247,AB247)))^2+(Q247*1000000*2*((H247-2*('Parametros'!$B$7+'Parametros'!$B$9/2))+(I247-2*('Parametros'!$B$7+'Parametros'!$B$9/2)))/(1.7*((H247-2*('Parametros'!$B$7+'Parametros'!$B$9/2))*(I247-2*('Parametros'!$B$7+'Parametros'!$B$9/2)))^2))^2)</f>
        <v>2.51397730923334</v>
      </c>
      <c r="BG247" s="10">
        <f>'Parametros'!$B$6*(AJ247*1000/(H247*MIN(U247,AB247))+0.66*SQRT('Parametros'!$B$2))</f>
        <v>3.29396038227542</v>
      </c>
      <c r="BH247" s="10" t="str">
        <f>IF(BF247&lt;=BG247,"CUMPLE","NO CUMPLE")</f>
        <v>CUMPLE</v>
      </c>
      <c r="BI247" s="10">
        <f>AX247*'Parametros'!$B$8</f>
        <v>0</v>
      </c>
      <c r="BJ247" s="10" t="str">
        <f>IF(BI247&gt;=AW247,"CUMPLE","NO CUMPLE")</f>
        <v>CUMPLE</v>
      </c>
    </row>
    <row r="248">
      <c r="A248" s="23" t="inlineStr">
        <is>
          <t>VR1</t>
        </is>
      </c>
      <c r="B248" s="23" t="inlineStr">
        <is>
          <t>205</t>
        </is>
      </c>
      <c r="C248" s="10" t="n">
        <v>1</v>
      </c>
      <c r="D248" s="10" t="n">
        <v>3.4</v>
      </c>
      <c r="E248" s="10" t="n">
        <v>3.4</v>
      </c>
      <c r="F248" s="10" t="n">
        <v>500</v>
      </c>
      <c r="G248" s="10" t="n">
        <v>550</v>
      </c>
      <c r="H248" s="17" t="n">
        <v>500</v>
      </c>
      <c r="I248" s="17" t="n">
        <v>550</v>
      </c>
      <c r="J248" s="30" t="n">
        <v>179.0895</v>
      </c>
      <c r="K248" s="10" t="inlineStr">
        <is>
          <t>205</t>
        </is>
      </c>
      <c r="L248" s="30" t="n">
        <v>119.2604</v>
      </c>
      <c r="M248" s="10" t="inlineStr">
        <is>
          <t>205</t>
        </is>
      </c>
      <c r="N248" s="30" t="n">
        <v>136.959</v>
      </c>
      <c r="O248" s="30" t="n">
        <v>405.07</v>
      </c>
      <c r="P248" s="10" t="inlineStr">
        <is>
          <t>205</t>
        </is>
      </c>
      <c r="Q248" s="30" t="n">
        <v>9.223100000000001</v>
      </c>
      <c r="R248" s="10">
        <f>MAX(MAX(1.4/'Parametros'!$B$3,0.25*SQRT('Parametros'!$B$2)/'Parametros'!$B$3)*H248*U248,(0.85*'Parametros'!$B$2/'Parametros'!$B$3)*(1-SQRT(1-2*(J248*1000000/('Parametros'!$B$5*H248*U248^2))/(0.85*'Parametros'!$B$2)))*H248*U248)</f>
        <v>1004.57911672348</v>
      </c>
      <c r="S248" s="31" t="n">
        <v>6</v>
      </c>
      <c r="T248" s="32" t="n">
        <v>1</v>
      </c>
      <c r="U248" s="10">
        <f>IF(T248=1,I248-('Parametros'!$B$7+'Parametros'!$B$9+'Parametros'!$B$12/2),I248-(ROUNDUP(S248/2,0)*('Parametros'!$B$7+'Parametros'!$B$9+'Parametros'!$B$12/2)+ROUNDDOWN(S248/2,0)*('Parametros'!$B$7+'Parametros'!$B$9+'Parametros'!$B$12/2+'Parametros'!$B$12+'Parametros'!$B$10))/S248)</f>
        <v>489.35</v>
      </c>
      <c r="V248" s="10">
        <f>S248*'Parametros'!$B$8</f>
        <v>1194</v>
      </c>
      <c r="W248" s="10">
        <f>'Parametros'!$B$5*V248*'Parametros'!$B$3*(U248-(V248*'Parametros'!$B$3/(0.85*'Parametros'!$B$2*H248))/2)/1000000</f>
        <v>211.349483470588</v>
      </c>
      <c r="X248" s="10" t="str">
        <f>IF(W248&gt;=J248,"CUMPLE","NO CUMPLE")</f>
        <v>CUMPLE</v>
      </c>
      <c r="Y248" s="10">
        <f>MAX(MAX(1.4/'Parametros'!$B$3,0.25*SQRT('Parametros'!$B$2)/'Parametros'!$B$3)*H248*AB248,(0.85*'Parametros'!$B$2/'Parametros'!$B$3)*(1-SQRT(1-2*(L248*1000000/('Parametros'!$B$5*H248*AB248^2))/(0.85*'Parametros'!$B$2)))*H248*AB248)</f>
        <v>815.583333333333</v>
      </c>
      <c r="Z248" s="31" t="n">
        <v>5</v>
      </c>
      <c r="AA248" s="32" t="n">
        <v>1</v>
      </c>
      <c r="AB248" s="10">
        <f>IF(AA248=1,I248-('Parametros'!$B$7+'Parametros'!$B$9+'Parametros'!$B$12/2),I248-(ROUNDUP(Z248/2,0)*('Parametros'!$B$7+'Parametros'!$B$9+'Parametros'!$B$12/2)+ROUNDDOWN(Z248/2,0)*('Parametros'!$B$7+'Parametros'!$B$9+'Parametros'!$B$12/2+'Parametros'!$B$12+'Parametros'!$B$10))/Z248)</f>
        <v>489.35</v>
      </c>
      <c r="AC248" s="10">
        <f>Z248*'Parametros'!$B$8</f>
        <v>995</v>
      </c>
      <c r="AD248" s="10">
        <f>'Parametros'!$B$5*AC248*'Parametros'!$B$3*(AB248-(AC248*'Parametros'!$B$3/(0.85*'Parametros'!$B$2*H248))/2)/1000000</f>
        <v>177.445379382353</v>
      </c>
      <c r="AE248" s="10" t="str">
        <f>IF(AD248&gt;=L248,"CUMPLE","NO CUMPLE")</f>
        <v>CUMPLE</v>
      </c>
      <c r="AF248" s="10">
        <f>V248*1.25*'Parametros'!$B$3*(U248-(V248*1.25*'Parametros'!$B$3/(0.85*'Parametros'!$B$2*H248))/2)/1000000</f>
        <v>290.238924705882</v>
      </c>
      <c r="AG248" s="10">
        <f>AC248*1.25*'Parametros'!$B$3*(AB248-(AC248*1.25*'Parametros'!$B$3/(0.85*'Parametros'!$B$2*H248))/2)/1000000</f>
        <v>244.158843198529</v>
      </c>
      <c r="AH248" s="10">
        <f>N248+(AF248+AG248)/D248</f>
        <v>294.134814089533</v>
      </c>
      <c r="AI248" s="10">
        <f>MAX(O248,AH248)</f>
        <v>405.07</v>
      </c>
      <c r="AJ248" s="10">
        <f>0.17*SQRT('Parametros'!$B$2)*H248*MIN(U248,AB248)/1000</f>
        <v>220.098728691808</v>
      </c>
      <c r="AK248" s="10">
        <f>MAX(AI248/'Parametros'!$B$6-AJ248,0)</f>
        <v>319.994604641526</v>
      </c>
      <c r="AL248" s="10">
        <f>0.66*SQRT('Parametros'!$B$2)*H248*MIN(U248,AB248)/1000</f>
        <v>854.500946685842</v>
      </c>
      <c r="AM248" s="10" t="str">
        <f>IF(AK248&lt;=AL248,"CUMPLE","NO CUMPLE")</f>
        <v>CUMPLE</v>
      </c>
      <c r="AN248" s="17" t="inlineStr">
        <is>
          <t>Nº3 cerrado</t>
        </is>
      </c>
      <c r="AO248" s="31" t="n">
        <v>2</v>
      </c>
      <c r="AP248" s="10">
        <f>ROUNDDOWN(MIN(IF(BC248+BD248=0,1000000000,AO248*BB248/(BC248+BD248)),MIN(U248,AB248)/4,8*'Parametros'!$B$12,24*BA248,300,IF(AV248=0,1000000000,2*((H248-2*('Parametros'!$B$7+'Parametros'!$B$9/2))+(I248-2*('Parametros'!$B$7+'Parametros'!$B$9/2)))/8))/10,0)*10</f>
        <v>90</v>
      </c>
      <c r="AQ248" s="10">
        <f>ROUNDDOWN(MIN(IF(BC248+BD248=0,1000000000,AO248*BB248/(BC248+BD248)),IF(AK248&gt;0.33*SQRT('Parametros'!$B$2)*H248*MIN(U248,AB248)/1000,MIN(U248,AB248)/4,MIN(U248,AB248)/2),600,IF(AV248=0,1000000000,2*((H248-2*('Parametros'!$B$7+'Parametros'!$B$9/2))+(I248-2*('Parametros'!$B$7+'Parametros'!$B$9/2)))/8))/10,0)*10</f>
        <v>90</v>
      </c>
      <c r="AR248" s="10">
        <f>'Parametros'!$B$6*(AJ248+MAX(BE248-BD248,0)*'Parametros'!$B$4*MIN(U248,AB248)/1000)</f>
        <v>408.280996518856</v>
      </c>
      <c r="AS248" s="10" t="str">
        <f>IF(AND(ISERROR(SEARCH("referencia",AN248)),AM248="CUMPLE",AR248&gt;=AI248),"CUMPLE","NO CUMPLE")</f>
        <v>CUMPLE</v>
      </c>
      <c r="AT248" s="10">
        <f>'Parametros'!$B$6*0.083*SQRT('Parametros'!$B$2)*(H248*I248)^2/(2*(H248+I248))/1000000</f>
        <v>11.862178757599</v>
      </c>
      <c r="AU248" s="10" t="str">
        <f>IF(Q248&lt;=AT248,"DESPRECIABLE","DISEÑAR")</f>
        <v>DESPRECIABLE</v>
      </c>
      <c r="AV248" s="10">
        <f>IF(Q248&lt;=AT248,0,Q248*1000000/('Parametros'!$B$6*2*0.85*(H248-2*('Parametros'!$B$7+'Parametros'!$B$9/2))*(I248-2*('Parametros'!$B$7+'Parametros'!$B$9/2))*'Parametros'!$B$4))</f>
        <v>0</v>
      </c>
      <c r="AW248" s="10">
        <f>AV248*2*((H248-2*('Parametros'!$B$7+'Parametros'!$B$9/2))+(I248-2*('Parametros'!$B$7+'Parametros'!$B$9/2)))*'Parametros'!$B$4/'Parametros'!$B$3</f>
        <v>0</v>
      </c>
      <c r="AX248" s="31" t="n">
        <v>0</v>
      </c>
      <c r="AY248" s="10" t="str">
        <f>IF(AV248=0,"DESPRECIABLE",IF(AND(ISERROR(SEARCH("referencia",AN248)),BB248/AP248&gt;=AV248,BI248&gt;=AW248,BH248="CUMPLE"),"CUMPLE","NO CUMPLE"))</f>
        <v>DESPRECIABLE</v>
      </c>
      <c r="AZ248" s="10" t="str">
        <f>IF(AND(X248="CUMPLE",AE248="CUMPLE",AS248="CUMPLE",OR(AY248="CUMPLE",AY248="DESPRECIABLE"),BH248="CUMPLE",BJ248="CUMPLE"),"CUMPLE","NO CUMPLE")</f>
        <v>CUMPLE</v>
      </c>
      <c r="BA248" s="32" t="n">
        <v>9.5</v>
      </c>
      <c r="BB248" s="32" t="n">
        <v>71</v>
      </c>
      <c r="BC248" s="10">
        <f>MAX(IF(AK248=0,0,AK248*1000/('Parametros'!$B$4*MIN(U248,AB248))),MAX(0.062*SQRT('Parametros'!$B$2)*H248/'Parametros'!$B$4,0.35*H248/'Parametros'!$B$4))</f>
        <v>1.55694679843293</v>
      </c>
      <c r="BD248" s="10">
        <f>2*AV248</f>
        <v>0</v>
      </c>
      <c r="BE248" s="10">
        <f>AO248*BB248/AP248</f>
        <v>1.57777777777778</v>
      </c>
      <c r="BF248" s="10">
        <f>SQRT((AI248*1000/(H248*MIN(U248,AB248)))^2+(Q248*1000000*2*((H248-2*('Parametros'!$B$7+'Parametros'!$B$9/2))+(I248-2*('Parametros'!$B$7+'Parametros'!$B$9/2)))/(1.7*((H248-2*('Parametros'!$B$7+'Parametros'!$B$9/2))*(I248-2*('Parametros'!$B$7+'Parametros'!$B$9/2)))^2))^2)</f>
        <v>1.67748350185393</v>
      </c>
      <c r="BG248" s="10">
        <f>'Parametros'!$B$6*(AJ248*1000/(H248*MIN(U248,AB248))+0.66*SQRT('Parametros'!$B$2))</f>
        <v>3.29396038227542</v>
      </c>
      <c r="BH248" s="10" t="str">
        <f>IF(BF248&lt;=BG248,"CUMPLE","NO CUMPLE")</f>
        <v>CUMPLE</v>
      </c>
      <c r="BI248" s="10">
        <f>AX248*'Parametros'!$B$8</f>
        <v>0</v>
      </c>
      <c r="BJ248" s="10" t="str">
        <f>IF(BI248&gt;=AW248,"CUMPLE","NO CUMPLE")</f>
        <v>CUMPLE</v>
      </c>
    </row>
    <row r="249">
      <c r="A249" s="23" t="inlineStr">
        <is>
          <t>VR1</t>
        </is>
      </c>
      <c r="B249" s="23" t="inlineStr">
        <is>
          <t>206</t>
        </is>
      </c>
      <c r="C249" s="10" t="n">
        <v>1</v>
      </c>
      <c r="D249" s="10" t="n">
        <v>3.4</v>
      </c>
      <c r="E249" s="10" t="n">
        <v>3.4</v>
      </c>
      <c r="F249" s="10" t="n">
        <v>500</v>
      </c>
      <c r="G249" s="10" t="n">
        <v>550</v>
      </c>
      <c r="H249" s="17" t="n">
        <v>500</v>
      </c>
      <c r="I249" s="17" t="n">
        <v>550</v>
      </c>
      <c r="J249" s="30" t="n">
        <v>179.1069</v>
      </c>
      <c r="K249" s="10" t="inlineStr">
        <is>
          <t>206</t>
        </is>
      </c>
      <c r="L249" s="30" t="n">
        <v>119.3236</v>
      </c>
      <c r="M249" s="10" t="inlineStr">
        <is>
          <t>206</t>
        </is>
      </c>
      <c r="N249" s="30" t="n">
        <v>136.989</v>
      </c>
      <c r="O249" s="30" t="n">
        <v>405.197</v>
      </c>
      <c r="P249" s="10" t="inlineStr">
        <is>
          <t>206</t>
        </is>
      </c>
      <c r="Q249" s="30" t="n">
        <v>9.248699999999999</v>
      </c>
      <c r="R249" s="10">
        <f>MAX(MAX(1.4/'Parametros'!$B$3,0.25*SQRT('Parametros'!$B$2)/'Parametros'!$B$3)*H249*U249,(0.85*'Parametros'!$B$2/'Parametros'!$B$3)*(1-SQRT(1-2*(J249*1000000/('Parametros'!$B$5*H249*U249^2))/(0.85*'Parametros'!$B$2)))*H249*U249)</f>
        <v>1004.68053225333</v>
      </c>
      <c r="S249" s="31" t="n">
        <v>6</v>
      </c>
      <c r="T249" s="32" t="n">
        <v>1</v>
      </c>
      <c r="U249" s="10">
        <f>IF(T249=1,I249-('Parametros'!$B$7+'Parametros'!$B$9+'Parametros'!$B$12/2),I249-(ROUNDUP(S249/2,0)*('Parametros'!$B$7+'Parametros'!$B$9+'Parametros'!$B$12/2)+ROUNDDOWN(S249/2,0)*('Parametros'!$B$7+'Parametros'!$B$9+'Parametros'!$B$12/2+'Parametros'!$B$12+'Parametros'!$B$10))/S249)</f>
        <v>489.35</v>
      </c>
      <c r="V249" s="10">
        <f>S249*'Parametros'!$B$8</f>
        <v>1194</v>
      </c>
      <c r="W249" s="10">
        <f>'Parametros'!$B$5*V249*'Parametros'!$B$3*(U249-(V249*'Parametros'!$B$3/(0.85*'Parametros'!$B$2*H249))/2)/1000000</f>
        <v>211.349483470588</v>
      </c>
      <c r="X249" s="10" t="str">
        <f>IF(W249&gt;=J249,"CUMPLE","NO CUMPLE")</f>
        <v>CUMPLE</v>
      </c>
      <c r="Y249" s="10">
        <f>MAX(MAX(1.4/'Parametros'!$B$3,0.25*SQRT('Parametros'!$B$2)/'Parametros'!$B$3)*H249*AB249,(0.85*'Parametros'!$B$2/'Parametros'!$B$3)*(1-SQRT(1-2*(L249*1000000/('Parametros'!$B$5*H249*AB249^2))/(0.85*'Parametros'!$B$2)))*H249*AB249)</f>
        <v>815.583333333333</v>
      </c>
      <c r="Z249" s="31" t="n">
        <v>5</v>
      </c>
      <c r="AA249" s="32" t="n">
        <v>1</v>
      </c>
      <c r="AB249" s="10">
        <f>IF(AA249=1,I249-('Parametros'!$B$7+'Parametros'!$B$9+'Parametros'!$B$12/2),I249-(ROUNDUP(Z249/2,0)*('Parametros'!$B$7+'Parametros'!$B$9+'Parametros'!$B$12/2)+ROUNDDOWN(Z249/2,0)*('Parametros'!$B$7+'Parametros'!$B$9+'Parametros'!$B$12/2+'Parametros'!$B$12+'Parametros'!$B$10))/Z249)</f>
        <v>489.35</v>
      </c>
      <c r="AC249" s="10">
        <f>Z249*'Parametros'!$B$8</f>
        <v>995</v>
      </c>
      <c r="AD249" s="10">
        <f>'Parametros'!$B$5*AC249*'Parametros'!$B$3*(AB249-(AC249*'Parametros'!$B$3/(0.85*'Parametros'!$B$2*H249))/2)/1000000</f>
        <v>177.445379382353</v>
      </c>
      <c r="AE249" s="10" t="str">
        <f>IF(AD249&gt;=L249,"CUMPLE","NO CUMPLE")</f>
        <v>CUMPLE</v>
      </c>
      <c r="AF249" s="10">
        <f>V249*1.25*'Parametros'!$B$3*(U249-(V249*1.25*'Parametros'!$B$3/(0.85*'Parametros'!$B$2*H249))/2)/1000000</f>
        <v>290.238924705882</v>
      </c>
      <c r="AG249" s="10">
        <f>AC249*1.25*'Parametros'!$B$3*(AB249-(AC249*1.25*'Parametros'!$B$3/(0.85*'Parametros'!$B$2*H249))/2)/1000000</f>
        <v>244.158843198529</v>
      </c>
      <c r="AH249" s="10">
        <f>N249+(AF249+AG249)/D249</f>
        <v>294.164814089533</v>
      </c>
      <c r="AI249" s="10">
        <f>MAX(O249,AH249)</f>
        <v>405.197</v>
      </c>
      <c r="AJ249" s="10">
        <f>0.17*SQRT('Parametros'!$B$2)*H249*MIN(U249,AB249)/1000</f>
        <v>220.098728691808</v>
      </c>
      <c r="AK249" s="10">
        <f>MAX(AI249/'Parametros'!$B$6-AJ249,0)</f>
        <v>320.163937974859</v>
      </c>
      <c r="AL249" s="10">
        <f>0.66*SQRT('Parametros'!$B$2)*H249*MIN(U249,AB249)/1000</f>
        <v>854.500946685842</v>
      </c>
      <c r="AM249" s="10" t="str">
        <f>IF(AK249&lt;=AL249,"CUMPLE","NO CUMPLE")</f>
        <v>CUMPLE</v>
      </c>
      <c r="AN249" s="17" t="inlineStr">
        <is>
          <t>Nº3 cerrado</t>
        </is>
      </c>
      <c r="AO249" s="31" t="n">
        <v>2</v>
      </c>
      <c r="AP249" s="10">
        <f>ROUNDDOWN(MIN(IF(BC249+BD249=0,1000000000,AO249*BB249/(BC249+BD249)),MIN(U249,AB249)/4,8*'Parametros'!$B$12,24*BA249,300,IF(AV249=0,1000000000,2*((H249-2*('Parametros'!$B$7+'Parametros'!$B$9/2))+(I249-2*('Parametros'!$B$7+'Parametros'!$B$9/2)))/8))/10,0)*10</f>
        <v>90</v>
      </c>
      <c r="AQ249" s="10">
        <f>ROUNDDOWN(MIN(IF(BC249+BD249=0,1000000000,AO249*BB249/(BC249+BD249)),IF(AK249&gt;0.33*SQRT('Parametros'!$B$2)*H249*MIN(U249,AB249)/1000,MIN(U249,AB249)/4,MIN(U249,AB249)/2),600,IF(AV249=0,1000000000,2*((H249-2*('Parametros'!$B$7+'Parametros'!$B$9/2))+(I249-2*('Parametros'!$B$7+'Parametros'!$B$9/2)))/8))/10,0)*10</f>
        <v>90</v>
      </c>
      <c r="AR249" s="10">
        <f>'Parametros'!$B$6*(AJ249+MAX(BE249-BD249,0)*'Parametros'!$B$4*MIN(U249,AB249)/1000)</f>
        <v>408.280996518856</v>
      </c>
      <c r="AS249" s="10" t="str">
        <f>IF(AND(ISERROR(SEARCH("referencia",AN249)),AM249="CUMPLE",AR249&gt;=AI249),"CUMPLE","NO CUMPLE")</f>
        <v>CUMPLE</v>
      </c>
      <c r="AT249" s="10">
        <f>'Parametros'!$B$6*0.083*SQRT('Parametros'!$B$2)*(H249*I249)^2/(2*(H249+I249))/1000000</f>
        <v>11.862178757599</v>
      </c>
      <c r="AU249" s="10" t="str">
        <f>IF(Q249&lt;=AT249,"DESPRECIABLE","DISEÑAR")</f>
        <v>DESPRECIABLE</v>
      </c>
      <c r="AV249" s="10">
        <f>IF(Q249&lt;=AT249,0,Q249*1000000/('Parametros'!$B$6*2*0.85*(H249-2*('Parametros'!$B$7+'Parametros'!$B$9/2))*(I249-2*('Parametros'!$B$7+'Parametros'!$B$9/2))*'Parametros'!$B$4))</f>
        <v>0</v>
      </c>
      <c r="AW249" s="10">
        <f>AV249*2*((H249-2*('Parametros'!$B$7+'Parametros'!$B$9/2))+(I249-2*('Parametros'!$B$7+'Parametros'!$B$9/2)))*'Parametros'!$B$4/'Parametros'!$B$3</f>
        <v>0</v>
      </c>
      <c r="AX249" s="31" t="n">
        <v>0</v>
      </c>
      <c r="AY249" s="10" t="str">
        <f>IF(AV249=0,"DESPRECIABLE",IF(AND(ISERROR(SEARCH("referencia",AN249)),BB249/AP249&gt;=AV249,BI249&gt;=AW249,BH249="CUMPLE"),"CUMPLE","NO CUMPLE"))</f>
        <v>DESPRECIABLE</v>
      </c>
      <c r="AZ249" s="10" t="str">
        <f>IF(AND(X249="CUMPLE",AE249="CUMPLE",AS249="CUMPLE",OR(AY249="CUMPLE",AY249="DESPRECIABLE"),BH249="CUMPLE",BJ249="CUMPLE"),"CUMPLE","NO CUMPLE")</f>
        <v>CUMPLE</v>
      </c>
      <c r="BA249" s="32" t="n">
        <v>9.5</v>
      </c>
      <c r="BB249" s="32" t="n">
        <v>71</v>
      </c>
      <c r="BC249" s="10">
        <f>MAX(IF(AK249=0,0,AK249*1000/('Parametros'!$B$4*MIN(U249,AB249))),MAX(0.062*SQRT('Parametros'!$B$2)*H249/'Parametros'!$B$4,0.35*H249/'Parametros'!$B$4))</f>
        <v>1.55777069667177</v>
      </c>
      <c r="BD249" s="10">
        <f>2*AV249</f>
        <v>0</v>
      </c>
      <c r="BE249" s="10">
        <f>AO249*BB249/AP249</f>
        <v>1.57777777777778</v>
      </c>
      <c r="BF249" s="10">
        <f>SQRT((AI249*1000/(H249*MIN(U249,AB249)))^2+(Q249*1000000*2*((H249-2*('Parametros'!$B$7+'Parametros'!$B$9/2))+(I249-2*('Parametros'!$B$7+'Parametros'!$B$9/2)))/(1.7*((H249-2*('Parametros'!$B$7+'Parametros'!$B$9/2))*(I249-2*('Parametros'!$B$7+'Parametros'!$B$9/2)))^2))^2)</f>
        <v>1.67811689842176</v>
      </c>
      <c r="BG249" s="10">
        <f>'Parametros'!$B$6*(AJ249*1000/(H249*MIN(U249,AB249))+0.66*SQRT('Parametros'!$B$2))</f>
        <v>3.29396038227542</v>
      </c>
      <c r="BH249" s="10" t="str">
        <f>IF(BF249&lt;=BG249,"CUMPLE","NO CUMPLE")</f>
        <v>CUMPLE</v>
      </c>
      <c r="BI249" s="10">
        <f>AX249*'Parametros'!$B$8</f>
        <v>0</v>
      </c>
      <c r="BJ249" s="10" t="str">
        <f>IF(BI249&gt;=AW249,"CUMPLE","NO CUMPLE")</f>
        <v>CUMPLE</v>
      </c>
    </row>
    <row r="250">
      <c r="A250" s="23" t="inlineStr">
        <is>
          <t>VR1</t>
        </is>
      </c>
      <c r="B250" s="23" t="inlineStr">
        <is>
          <t>207</t>
        </is>
      </c>
      <c r="C250" s="10" t="n">
        <v>1</v>
      </c>
      <c r="D250" s="10" t="n">
        <v>1.9</v>
      </c>
      <c r="E250" s="10" t="n">
        <v>1.9</v>
      </c>
      <c r="F250" s="10" t="n">
        <v>500</v>
      </c>
      <c r="G250" s="10" t="n">
        <v>550</v>
      </c>
      <c r="H250" s="17" t="n">
        <v>500</v>
      </c>
      <c r="I250" s="17" t="n">
        <v>550</v>
      </c>
      <c r="J250" s="30" t="n">
        <v>167.0277</v>
      </c>
      <c r="K250" s="10" t="inlineStr">
        <is>
          <t>207</t>
        </is>
      </c>
      <c r="L250" s="30" t="n">
        <v>134.6756</v>
      </c>
      <c r="M250" s="10" t="inlineStr">
        <is>
          <t>207</t>
        </is>
      </c>
      <c r="N250" s="30" t="n">
        <v>161.525</v>
      </c>
      <c r="O250" s="30" t="n">
        <v>614.432</v>
      </c>
      <c r="P250" s="10" t="inlineStr">
        <is>
          <t>207</t>
        </is>
      </c>
      <c r="Q250" s="30" t="n">
        <v>4.3364</v>
      </c>
      <c r="R250" s="10">
        <f>MAX(MAX(1.4/'Parametros'!$B$3,0.25*SQRT('Parametros'!$B$2)/'Parametros'!$B$3)*H250*U250,(0.85*'Parametros'!$B$2/'Parametros'!$B$3)*(1-SQRT(1-2*(J250*1000000/('Parametros'!$B$5*H250*U250^2))/(0.85*'Parametros'!$B$2)))*H250*U250)</f>
        <v>934.468559671875</v>
      </c>
      <c r="S250" s="31" t="n">
        <v>5</v>
      </c>
      <c r="T250" s="32" t="n">
        <v>1</v>
      </c>
      <c r="U250" s="10">
        <f>IF(T250=1,I250-('Parametros'!$B$7+'Parametros'!$B$9+'Parametros'!$B$12/2),I250-(ROUNDUP(S250/2,0)*('Parametros'!$B$7+'Parametros'!$B$9+'Parametros'!$B$12/2)+ROUNDDOWN(S250/2,0)*('Parametros'!$B$7+'Parametros'!$B$9+'Parametros'!$B$12/2+'Parametros'!$B$12+'Parametros'!$B$10))/S250)</f>
        <v>489.35</v>
      </c>
      <c r="V250" s="10">
        <f>S250*'Parametros'!$B$8</f>
        <v>995</v>
      </c>
      <c r="W250" s="10">
        <f>'Parametros'!$B$5*V250*'Parametros'!$B$3*(U250-(V250*'Parametros'!$B$3/(0.85*'Parametros'!$B$2*H250))/2)/1000000</f>
        <v>177.445379382353</v>
      </c>
      <c r="X250" s="10" t="str">
        <f>IF(W250&gt;=J250,"CUMPLE","NO CUMPLE")</f>
        <v>CUMPLE</v>
      </c>
      <c r="Y250" s="10">
        <f>MAX(MAX(1.4/'Parametros'!$B$3,0.25*SQRT('Parametros'!$B$2)/'Parametros'!$B$3)*H250*AB250,(0.85*'Parametros'!$B$2/'Parametros'!$B$3)*(1-SQRT(1-2*(L250*1000000/('Parametros'!$B$5*H250*AB250^2))/(0.85*'Parametros'!$B$2)))*H250*AB250)</f>
        <v>815.583333333333</v>
      </c>
      <c r="Z250" s="31" t="n">
        <v>5</v>
      </c>
      <c r="AA250" s="32" t="n">
        <v>1</v>
      </c>
      <c r="AB250" s="10">
        <f>IF(AA250=1,I250-('Parametros'!$B$7+'Parametros'!$B$9+'Parametros'!$B$12/2),I250-(ROUNDUP(Z250/2,0)*('Parametros'!$B$7+'Parametros'!$B$9+'Parametros'!$B$12/2)+ROUNDDOWN(Z250/2,0)*('Parametros'!$B$7+'Parametros'!$B$9+'Parametros'!$B$12/2+'Parametros'!$B$12+'Parametros'!$B$10))/Z250)</f>
        <v>489.35</v>
      </c>
      <c r="AC250" s="10">
        <f>Z250*'Parametros'!$B$8</f>
        <v>995</v>
      </c>
      <c r="AD250" s="10">
        <f>'Parametros'!$B$5*AC250*'Parametros'!$B$3*(AB250-(AC250*'Parametros'!$B$3/(0.85*'Parametros'!$B$2*H250))/2)/1000000</f>
        <v>177.445379382353</v>
      </c>
      <c r="AE250" s="10" t="str">
        <f>IF(AD250&gt;=L250,"CUMPLE","NO CUMPLE")</f>
        <v>CUMPLE</v>
      </c>
      <c r="AF250" s="10">
        <f>V250*1.25*'Parametros'!$B$3*(U250-(V250*1.25*'Parametros'!$B$3/(0.85*'Parametros'!$B$2*H250))/2)/1000000</f>
        <v>244.158843198529</v>
      </c>
      <c r="AG250" s="10">
        <f>AC250*1.25*'Parametros'!$B$3*(AB250-(AC250*1.25*'Parametros'!$B$3/(0.85*'Parametros'!$B$2*H250))/2)/1000000</f>
        <v>244.158843198529</v>
      </c>
      <c r="AH250" s="10">
        <f>N250+(AF250+AG250)/D250</f>
        <v>418.534308630031</v>
      </c>
      <c r="AI250" s="10">
        <f>MAX(O250,AH250)</f>
        <v>614.432</v>
      </c>
      <c r="AJ250" s="10">
        <f>0.17*SQRT('Parametros'!$B$2)*H250*MIN(U250,AB250)/1000</f>
        <v>220.098728691808</v>
      </c>
      <c r="AK250" s="10">
        <f>MAX(AI250/'Parametros'!$B$6-AJ250,0)</f>
        <v>599.143937974859</v>
      </c>
      <c r="AL250" s="10">
        <f>0.66*SQRT('Parametros'!$B$2)*H250*MIN(U250,AB250)/1000</f>
        <v>854.500946685842</v>
      </c>
      <c r="AM250" s="10" t="str">
        <f>IF(AK250&lt;=AL250,"CUMPLE","NO CUMPLE")</f>
        <v>CUMPLE</v>
      </c>
      <c r="AN250" s="17" t="inlineStr">
        <is>
          <t>Nº4 cerrado</t>
        </is>
      </c>
      <c r="AO250" s="31" t="n">
        <v>2</v>
      </c>
      <c r="AP250" s="10">
        <f>ROUNDDOWN(MIN(IF(BC250+BD250=0,1000000000,AO250*BB250/(BC250+BD250)),MIN(U250,AB250)/4,8*'Parametros'!$B$12,24*BA250,300,IF(AV250=0,1000000000,2*((H250-2*('Parametros'!$B$7+'Parametros'!$B$9/2))+(I250-2*('Parametros'!$B$7+'Parametros'!$B$9/2)))/8))/10,0)*10</f>
        <v>80</v>
      </c>
      <c r="AQ250" s="10">
        <f>ROUNDDOWN(MIN(IF(BC250+BD250=0,1000000000,AO250*BB250/(BC250+BD250)),IF(AK250&gt;0.33*SQRT('Parametros'!$B$2)*H250*MIN(U250,AB250)/1000,MIN(U250,AB250)/4,MIN(U250,AB250)/2),600,IF(AV250=0,1000000000,2*((H250-2*('Parametros'!$B$7+'Parametros'!$B$9/2))+(I250-2*('Parametros'!$B$7+'Parametros'!$B$9/2)))/8))/10,0)*10</f>
        <v>80</v>
      </c>
      <c r="AR250" s="10">
        <f>'Parametros'!$B$6*(AJ250+MAX(BE250-BD250,0)*'Parametros'!$B$4*MIN(U250,AB250)/1000)</f>
        <v>662.192477768856</v>
      </c>
      <c r="AS250" s="10" t="str">
        <f>IF(AND(ISERROR(SEARCH("referencia",AN250)),AM250="CUMPLE",AR250&gt;=AI250),"CUMPLE","NO CUMPLE")</f>
        <v>CUMPLE</v>
      </c>
      <c r="AT250" s="10">
        <f>'Parametros'!$B$6*0.083*SQRT('Parametros'!$B$2)*(H250*I250)^2/(2*(H250+I250))/1000000</f>
        <v>11.862178757599</v>
      </c>
      <c r="AU250" s="10" t="str">
        <f>IF(Q250&lt;=AT250,"DESPRECIABLE","DISEÑAR")</f>
        <v>DESPRECIABLE</v>
      </c>
      <c r="AV250" s="10">
        <f>IF(Q250&lt;=AT250,0,Q250*1000000/('Parametros'!$B$6*2*0.85*(H250-2*('Parametros'!$B$7+'Parametros'!$B$9/2))*(I250-2*('Parametros'!$B$7+'Parametros'!$B$9/2))*'Parametros'!$B$4))</f>
        <v>0</v>
      </c>
      <c r="AW250" s="10">
        <f>AV250*2*((H250-2*('Parametros'!$B$7+'Parametros'!$B$9/2))+(I250-2*('Parametros'!$B$7+'Parametros'!$B$9/2)))*'Parametros'!$B$4/'Parametros'!$B$3</f>
        <v>0</v>
      </c>
      <c r="AX250" s="31" t="n">
        <v>0</v>
      </c>
      <c r="AY250" s="10" t="str">
        <f>IF(AV250=0,"DESPRECIABLE",IF(AND(ISERROR(SEARCH("referencia",AN250)),BB250/AP250&gt;=AV250,BI250&gt;=AW250,BH250="CUMPLE"),"CUMPLE","NO CUMPLE"))</f>
        <v>DESPRECIABLE</v>
      </c>
      <c r="AZ250" s="10" t="str">
        <f>IF(AND(X250="CUMPLE",AE250="CUMPLE",AS250="CUMPLE",OR(AY250="CUMPLE",AY250="DESPRECIABLE"),BH250="CUMPLE",BJ250="CUMPLE"),"CUMPLE","NO CUMPLE")</f>
        <v>CUMPLE</v>
      </c>
      <c r="BA250" s="32" t="n">
        <v>12.7</v>
      </c>
      <c r="BB250" s="32" t="n">
        <v>129</v>
      </c>
      <c r="BC250" s="10">
        <f>MAX(IF(AK250=0,0,AK250*1000/('Parametros'!$B$4*MIN(U250,AB250))),MAX(0.062*SQRT('Parametros'!$B$2)*H250/'Parametros'!$B$4,0.35*H250/'Parametros'!$B$4))</f>
        <v>2.91515926362404</v>
      </c>
      <c r="BD250" s="10">
        <f>2*AV250</f>
        <v>0</v>
      </c>
      <c r="BE250" s="10">
        <f>AO250*BB250/AP250</f>
        <v>3.225</v>
      </c>
      <c r="BF250" s="10">
        <f>SQRT((AI250*1000/(H250*MIN(U250,AB250)))^2+(Q250*1000000*2*((H250-2*('Parametros'!$B$7+'Parametros'!$B$9/2))+(I250-2*('Parametros'!$B$7+'Parametros'!$B$9/2)))/(1.7*((H250-2*('Parametros'!$B$7+'Parametros'!$B$9/2))*(I250-2*('Parametros'!$B$7+'Parametros'!$B$9/2)))^2))^2)</f>
        <v>2.51443351671145</v>
      </c>
      <c r="BG250" s="10">
        <f>'Parametros'!$B$6*(AJ250*1000/(H250*MIN(U250,AB250))+0.66*SQRT('Parametros'!$B$2))</f>
        <v>3.29396038227542</v>
      </c>
      <c r="BH250" s="10" t="str">
        <f>IF(BF250&lt;=BG250,"CUMPLE","NO CUMPLE")</f>
        <v>CUMPLE</v>
      </c>
      <c r="BI250" s="10">
        <f>AX250*'Parametros'!$B$8</f>
        <v>0</v>
      </c>
      <c r="BJ250" s="10" t="str">
        <f>IF(BI250&gt;=AW250,"CUMPLE","NO CUMPLE")</f>
        <v>CUMPLE</v>
      </c>
    </row>
    <row r="251">
      <c r="A251" s="23" t="inlineStr">
        <is>
          <t>VR1</t>
        </is>
      </c>
      <c r="B251" s="23" t="inlineStr">
        <is>
          <t>208</t>
        </is>
      </c>
      <c r="C251" s="10" t="n">
        <v>1</v>
      </c>
      <c r="D251" s="10" t="n">
        <v>2</v>
      </c>
      <c r="E251" s="10" t="n">
        <v>2</v>
      </c>
      <c r="F251" s="10" t="n">
        <v>500</v>
      </c>
      <c r="G251" s="10" t="n">
        <v>550</v>
      </c>
      <c r="H251" s="17" t="n">
        <v>500</v>
      </c>
      <c r="I251" s="17" t="n">
        <v>550</v>
      </c>
      <c r="J251" s="30" t="n">
        <v>159.7838</v>
      </c>
      <c r="K251" s="10" t="inlineStr">
        <is>
          <t>208</t>
        </is>
      </c>
      <c r="L251" s="30" t="n">
        <v>125.9367</v>
      </c>
      <c r="M251" s="10" t="inlineStr">
        <is>
          <t>208</t>
        </is>
      </c>
      <c r="N251" s="30" t="n">
        <v>152.246</v>
      </c>
      <c r="O251" s="30" t="n">
        <v>567.196</v>
      </c>
      <c r="P251" s="10" t="inlineStr">
        <is>
          <t>208</t>
        </is>
      </c>
      <c r="Q251" s="30" t="n">
        <v>7.3355</v>
      </c>
      <c r="R251" s="10">
        <f>MAX(MAX(1.4/'Parametros'!$B$3,0.25*SQRT('Parametros'!$B$2)/'Parametros'!$B$3)*H251*U251,(0.85*'Parametros'!$B$2/'Parametros'!$B$3)*(1-SQRT(1-2*(J251*1000000/('Parametros'!$B$5*H251*U251^2))/(0.85*'Parametros'!$B$2)))*H251*U251)</f>
        <v>892.544699451186</v>
      </c>
      <c r="S251" s="31" t="n">
        <v>5</v>
      </c>
      <c r="T251" s="32" t="n">
        <v>1</v>
      </c>
      <c r="U251" s="10">
        <f>IF(T251=1,I251-('Parametros'!$B$7+'Parametros'!$B$9+'Parametros'!$B$12/2),I251-(ROUNDUP(S251/2,0)*('Parametros'!$B$7+'Parametros'!$B$9+'Parametros'!$B$12/2)+ROUNDDOWN(S251/2,0)*('Parametros'!$B$7+'Parametros'!$B$9+'Parametros'!$B$12/2+'Parametros'!$B$12+'Parametros'!$B$10))/S251)</f>
        <v>489.35</v>
      </c>
      <c r="V251" s="10">
        <f>S251*'Parametros'!$B$8</f>
        <v>995</v>
      </c>
      <c r="W251" s="10">
        <f>'Parametros'!$B$5*V251*'Parametros'!$B$3*(U251-(V251*'Parametros'!$B$3/(0.85*'Parametros'!$B$2*H251))/2)/1000000</f>
        <v>177.445379382353</v>
      </c>
      <c r="X251" s="10" t="str">
        <f>IF(W251&gt;=J251,"CUMPLE","NO CUMPLE")</f>
        <v>CUMPLE</v>
      </c>
      <c r="Y251" s="10">
        <f>MAX(MAX(1.4/'Parametros'!$B$3,0.25*SQRT('Parametros'!$B$2)/'Parametros'!$B$3)*H251*AB251,(0.85*'Parametros'!$B$2/'Parametros'!$B$3)*(1-SQRT(1-2*(L251*1000000/('Parametros'!$B$5*H251*AB251^2))/(0.85*'Parametros'!$B$2)))*H251*AB251)</f>
        <v>815.583333333333</v>
      </c>
      <c r="Z251" s="31" t="n">
        <v>5</v>
      </c>
      <c r="AA251" s="32" t="n">
        <v>1</v>
      </c>
      <c r="AB251" s="10">
        <f>IF(AA251=1,I251-('Parametros'!$B$7+'Parametros'!$B$9+'Parametros'!$B$12/2),I251-(ROUNDUP(Z251/2,0)*('Parametros'!$B$7+'Parametros'!$B$9+'Parametros'!$B$12/2)+ROUNDDOWN(Z251/2,0)*('Parametros'!$B$7+'Parametros'!$B$9+'Parametros'!$B$12/2+'Parametros'!$B$12+'Parametros'!$B$10))/Z251)</f>
        <v>489.35</v>
      </c>
      <c r="AC251" s="10">
        <f>Z251*'Parametros'!$B$8</f>
        <v>995</v>
      </c>
      <c r="AD251" s="10">
        <f>'Parametros'!$B$5*AC251*'Parametros'!$B$3*(AB251-(AC251*'Parametros'!$B$3/(0.85*'Parametros'!$B$2*H251))/2)/1000000</f>
        <v>177.445379382353</v>
      </c>
      <c r="AE251" s="10" t="str">
        <f>IF(AD251&gt;=L251,"CUMPLE","NO CUMPLE")</f>
        <v>CUMPLE</v>
      </c>
      <c r="AF251" s="10">
        <f>V251*1.25*'Parametros'!$B$3*(U251-(V251*1.25*'Parametros'!$B$3/(0.85*'Parametros'!$B$2*H251))/2)/1000000</f>
        <v>244.158843198529</v>
      </c>
      <c r="AG251" s="10">
        <f>AC251*1.25*'Parametros'!$B$3*(AB251-(AC251*1.25*'Parametros'!$B$3/(0.85*'Parametros'!$B$2*H251))/2)/1000000</f>
        <v>244.158843198529</v>
      </c>
      <c r="AH251" s="10">
        <f>N251+(AF251+AG251)/D251</f>
        <v>396.404843198529</v>
      </c>
      <c r="AI251" s="10">
        <f>MAX(O251,AH251)</f>
        <v>567.196</v>
      </c>
      <c r="AJ251" s="10">
        <f>0.17*SQRT('Parametros'!$B$2)*H251*MIN(U251,AB251)/1000</f>
        <v>220.098728691808</v>
      </c>
      <c r="AK251" s="10">
        <f>MAX(AI251/'Parametros'!$B$6-AJ251,0)</f>
        <v>536.162604641526</v>
      </c>
      <c r="AL251" s="10">
        <f>0.66*SQRT('Parametros'!$B$2)*H251*MIN(U251,AB251)/1000</f>
        <v>854.500946685842</v>
      </c>
      <c r="AM251" s="10" t="str">
        <f>IF(AK251&lt;=AL251,"CUMPLE","NO CUMPLE")</f>
        <v>CUMPLE</v>
      </c>
      <c r="AN251" s="17" t="inlineStr">
        <is>
          <t>Nº4 cerrado</t>
        </is>
      </c>
      <c r="AO251" s="31" t="n">
        <v>2</v>
      </c>
      <c r="AP251" s="10">
        <f>ROUNDDOWN(MIN(IF(BC251+BD251=0,1000000000,AO251*BB251/(BC251+BD251)),MIN(U251,AB251)/4,8*'Parametros'!$B$12,24*BA251,300,IF(AV251=0,1000000000,2*((H251-2*('Parametros'!$B$7+'Parametros'!$B$9/2))+(I251-2*('Parametros'!$B$7+'Parametros'!$B$9/2)))/8))/10,0)*10</f>
        <v>90</v>
      </c>
      <c r="AQ251" s="10">
        <f>ROUNDDOWN(MIN(IF(BC251+BD251=0,1000000000,AO251*BB251/(BC251+BD251)),IF(AK251&gt;0.33*SQRT('Parametros'!$B$2)*H251*MIN(U251,AB251)/1000,MIN(U251,AB251)/4,MIN(U251,AB251)/2),600,IF(AV251=0,1000000000,2*((H251-2*('Parametros'!$B$7+'Parametros'!$B$9/2))+(I251-2*('Parametros'!$B$7+'Parametros'!$B$9/2)))/8))/10,0)*10</f>
        <v>90</v>
      </c>
      <c r="AR251" s="10">
        <f>'Parametros'!$B$6*(AJ251+MAX(BE251-BD251,0)*'Parametros'!$B$4*MIN(U251,AB251)/1000)</f>
        <v>606.957096518856</v>
      </c>
      <c r="AS251" s="10" t="str">
        <f>IF(AND(ISERROR(SEARCH("referencia",AN251)),AM251="CUMPLE",AR251&gt;=AI251),"CUMPLE","NO CUMPLE")</f>
        <v>CUMPLE</v>
      </c>
      <c r="AT251" s="10">
        <f>'Parametros'!$B$6*0.083*SQRT('Parametros'!$B$2)*(H251*I251)^2/(2*(H251+I251))/1000000</f>
        <v>11.862178757599</v>
      </c>
      <c r="AU251" s="10" t="str">
        <f>IF(Q251&lt;=AT251,"DESPRECIABLE","DISEÑAR")</f>
        <v>DESPRECIABLE</v>
      </c>
      <c r="AV251" s="10">
        <f>IF(Q251&lt;=AT251,0,Q251*1000000/('Parametros'!$B$6*2*0.85*(H251-2*('Parametros'!$B$7+'Parametros'!$B$9/2))*(I251-2*('Parametros'!$B$7+'Parametros'!$B$9/2))*'Parametros'!$B$4))</f>
        <v>0</v>
      </c>
      <c r="AW251" s="10">
        <f>AV251*2*((H251-2*('Parametros'!$B$7+'Parametros'!$B$9/2))+(I251-2*('Parametros'!$B$7+'Parametros'!$B$9/2)))*'Parametros'!$B$4/'Parametros'!$B$3</f>
        <v>0</v>
      </c>
      <c r="AX251" s="31" t="n">
        <v>0</v>
      </c>
      <c r="AY251" s="10" t="str">
        <f>IF(AV251=0,"DESPRECIABLE",IF(AND(ISERROR(SEARCH("referencia",AN251)),BB251/AP251&gt;=AV251,BI251&gt;=AW251,BH251="CUMPLE"),"CUMPLE","NO CUMPLE"))</f>
        <v>DESPRECIABLE</v>
      </c>
      <c r="AZ251" s="10" t="str">
        <f>IF(AND(X251="CUMPLE",AE251="CUMPLE",AS251="CUMPLE",OR(AY251="CUMPLE",AY251="DESPRECIABLE"),BH251="CUMPLE",BJ251="CUMPLE"),"CUMPLE","NO CUMPLE")</f>
        <v>CUMPLE</v>
      </c>
      <c r="BA251" s="32" t="n">
        <v>12.7</v>
      </c>
      <c r="BB251" s="32" t="n">
        <v>129</v>
      </c>
      <c r="BC251" s="10">
        <f>MAX(IF(AK251=0,0,AK251*1000/('Parametros'!$B$4*MIN(U251,AB251))),MAX(0.062*SQRT('Parametros'!$B$2)*H251/'Parametros'!$B$4,0.35*H251/'Parametros'!$B$4))</f>
        <v>2.60872101787855</v>
      </c>
      <c r="BD251" s="10">
        <f>2*AV251</f>
        <v>0</v>
      </c>
      <c r="BE251" s="10">
        <f>AO251*BB251/AP251</f>
        <v>2.86666666666667</v>
      </c>
      <c r="BF251" s="10">
        <f>SQRT((AI251*1000/(H251*MIN(U251,AB251)))^2+(Q251*1000000*2*((H251-2*('Parametros'!$B$7+'Parametros'!$B$9/2))+(I251-2*('Parametros'!$B$7+'Parametros'!$B$9/2)))/(1.7*((H251-2*('Parametros'!$B$7+'Parametros'!$B$9/2))*(I251-2*('Parametros'!$B$7+'Parametros'!$B$9/2)))^2))^2)</f>
        <v>2.32811681554982</v>
      </c>
      <c r="BG251" s="10">
        <f>'Parametros'!$B$6*(AJ251*1000/(H251*MIN(U251,AB251))+0.66*SQRT('Parametros'!$B$2))</f>
        <v>3.29396038227542</v>
      </c>
      <c r="BH251" s="10" t="str">
        <f>IF(BF251&lt;=BG251,"CUMPLE","NO CUMPLE")</f>
        <v>CUMPLE</v>
      </c>
      <c r="BI251" s="10">
        <f>AX251*'Parametros'!$B$8</f>
        <v>0</v>
      </c>
      <c r="BJ251" s="10" t="str">
        <f>IF(BI251&gt;=AW251,"CUMPLE","NO CUMPLE")</f>
        <v>CUMPLE</v>
      </c>
    </row>
    <row r="252">
      <c r="A252" s="23" t="inlineStr">
        <is>
          <t>VR1</t>
        </is>
      </c>
      <c r="B252" s="23" t="inlineStr">
        <is>
          <t>209</t>
        </is>
      </c>
      <c r="C252" s="10" t="n">
        <v>1</v>
      </c>
      <c r="D252" s="10" t="n">
        <v>3.05</v>
      </c>
      <c r="E252" s="10" t="n">
        <v>3.05</v>
      </c>
      <c r="F252" s="10" t="n">
        <v>500</v>
      </c>
      <c r="G252" s="10" t="n">
        <v>550</v>
      </c>
      <c r="H252" s="17" t="n">
        <v>500</v>
      </c>
      <c r="I252" s="17" t="n">
        <v>550</v>
      </c>
      <c r="J252" s="30" t="n">
        <v>170.3107</v>
      </c>
      <c r="K252" s="10" t="inlineStr">
        <is>
          <t>209</t>
        </is>
      </c>
      <c r="L252" s="30" t="n">
        <v>111.7449</v>
      </c>
      <c r="M252" s="10" t="inlineStr">
        <is>
          <t>209</t>
        </is>
      </c>
      <c r="N252" s="30" t="n">
        <v>136.514</v>
      </c>
      <c r="O252" s="30" t="n">
        <v>425.583</v>
      </c>
      <c r="P252" s="10" t="inlineStr">
        <is>
          <t>209</t>
        </is>
      </c>
      <c r="Q252" s="30" t="n">
        <v>3.4752</v>
      </c>
      <c r="R252" s="10">
        <f>MAX(MAX(1.4/'Parametros'!$B$3,0.25*SQRT('Parametros'!$B$2)/'Parametros'!$B$3)*H252*U252,(0.85*'Parametros'!$B$2/'Parametros'!$B$3)*(1-SQRT(1-2*(J252*1000000/('Parametros'!$B$5*H252*U252^2))/(0.85*'Parametros'!$B$2)))*H252*U252)</f>
        <v>953.513654063504</v>
      </c>
      <c r="S252" s="31" t="n">
        <v>5</v>
      </c>
      <c r="T252" s="32" t="n">
        <v>1</v>
      </c>
      <c r="U252" s="10">
        <f>IF(T252=1,I252-('Parametros'!$B$7+'Parametros'!$B$9+'Parametros'!$B$12/2),I252-(ROUNDUP(S252/2,0)*('Parametros'!$B$7+'Parametros'!$B$9+'Parametros'!$B$12/2)+ROUNDDOWN(S252/2,0)*('Parametros'!$B$7+'Parametros'!$B$9+'Parametros'!$B$12/2+'Parametros'!$B$12+'Parametros'!$B$10))/S252)</f>
        <v>489.35</v>
      </c>
      <c r="V252" s="10">
        <f>S252*'Parametros'!$B$8</f>
        <v>995</v>
      </c>
      <c r="W252" s="10">
        <f>'Parametros'!$B$5*V252*'Parametros'!$B$3*(U252-(V252*'Parametros'!$B$3/(0.85*'Parametros'!$B$2*H252))/2)/1000000</f>
        <v>177.445379382353</v>
      </c>
      <c r="X252" s="10" t="str">
        <f>IF(W252&gt;=J252,"CUMPLE","NO CUMPLE")</f>
        <v>CUMPLE</v>
      </c>
      <c r="Y252" s="10">
        <f>MAX(MAX(1.4/'Parametros'!$B$3,0.25*SQRT('Parametros'!$B$2)/'Parametros'!$B$3)*H252*AB252,(0.85*'Parametros'!$B$2/'Parametros'!$B$3)*(1-SQRT(1-2*(L252*1000000/('Parametros'!$B$5*H252*AB252^2))/(0.85*'Parametros'!$B$2)))*H252*AB252)</f>
        <v>815.583333333333</v>
      </c>
      <c r="Z252" s="31" t="n">
        <v>5</v>
      </c>
      <c r="AA252" s="32" t="n">
        <v>1</v>
      </c>
      <c r="AB252" s="10">
        <f>IF(AA252=1,I252-('Parametros'!$B$7+'Parametros'!$B$9+'Parametros'!$B$12/2),I252-(ROUNDUP(Z252/2,0)*('Parametros'!$B$7+'Parametros'!$B$9+'Parametros'!$B$12/2)+ROUNDDOWN(Z252/2,0)*('Parametros'!$B$7+'Parametros'!$B$9+'Parametros'!$B$12/2+'Parametros'!$B$12+'Parametros'!$B$10))/Z252)</f>
        <v>489.35</v>
      </c>
      <c r="AC252" s="10">
        <f>Z252*'Parametros'!$B$8</f>
        <v>995</v>
      </c>
      <c r="AD252" s="10">
        <f>'Parametros'!$B$5*AC252*'Parametros'!$B$3*(AB252-(AC252*'Parametros'!$B$3/(0.85*'Parametros'!$B$2*H252))/2)/1000000</f>
        <v>177.445379382353</v>
      </c>
      <c r="AE252" s="10" t="str">
        <f>IF(AD252&gt;=L252,"CUMPLE","NO CUMPLE")</f>
        <v>CUMPLE</v>
      </c>
      <c r="AF252" s="10">
        <f>V252*1.25*'Parametros'!$B$3*(U252-(V252*1.25*'Parametros'!$B$3/(0.85*'Parametros'!$B$2*H252))/2)/1000000</f>
        <v>244.158843198529</v>
      </c>
      <c r="AG252" s="10">
        <f>AC252*1.25*'Parametros'!$B$3*(AB252-(AC252*1.25*'Parametros'!$B$3/(0.85*'Parametros'!$B$2*H252))/2)/1000000</f>
        <v>244.158843198529</v>
      </c>
      <c r="AH252" s="10">
        <f>N252+(AF252+AG252)/D252</f>
        <v>296.618159474446</v>
      </c>
      <c r="AI252" s="10">
        <f>MAX(O252,AH252)</f>
        <v>425.583</v>
      </c>
      <c r="AJ252" s="10">
        <f>0.17*SQRT('Parametros'!$B$2)*H252*MIN(U252,AB252)/1000</f>
        <v>220.098728691808</v>
      </c>
      <c r="AK252" s="10">
        <f>MAX(AI252/'Parametros'!$B$6-AJ252,0)</f>
        <v>347.345271308192</v>
      </c>
      <c r="AL252" s="10">
        <f>0.66*SQRT('Parametros'!$B$2)*H252*MIN(U252,AB252)/1000</f>
        <v>854.500946685842</v>
      </c>
      <c r="AM252" s="10" t="str">
        <f>IF(AK252&lt;=AL252,"CUMPLE","NO CUMPLE")</f>
        <v>CUMPLE</v>
      </c>
      <c r="AN252" s="17" t="inlineStr">
        <is>
          <t>Nº3 cerrado</t>
        </is>
      </c>
      <c r="AO252" s="31" t="n">
        <v>2</v>
      </c>
      <c r="AP252" s="10">
        <f>ROUNDDOWN(MIN(IF(BC252+BD252=0,1000000000,AO252*BB252/(BC252+BD252)),MIN(U252,AB252)/4,8*'Parametros'!$B$12,24*BA252,300,IF(AV252=0,1000000000,2*((H252-2*('Parametros'!$B$7+'Parametros'!$B$9/2))+(I252-2*('Parametros'!$B$7+'Parametros'!$B$9/2)))/8))/10,0)*10</f>
        <v>80</v>
      </c>
      <c r="AQ252" s="10">
        <f>ROUNDDOWN(MIN(IF(BC252+BD252=0,1000000000,AO252*BB252/(BC252+BD252)),IF(AK252&gt;0.33*SQRT('Parametros'!$B$2)*H252*MIN(U252,AB252)/1000,MIN(U252,AB252)/4,MIN(U252,AB252)/2),600,IF(AV252=0,1000000000,2*((H252-2*('Parametros'!$B$7+'Parametros'!$B$9/2))+(I252-2*('Parametros'!$B$7+'Parametros'!$B$9/2)))/8))/10,0)*10</f>
        <v>80</v>
      </c>
      <c r="AR252" s="10">
        <f>'Parametros'!$B$6*(AJ252+MAX(BE252-BD252,0)*'Parametros'!$B$4*MIN(U252,AB252)/1000)</f>
        <v>438.681865268856</v>
      </c>
      <c r="AS252" s="10" t="str">
        <f>IF(AND(ISERROR(SEARCH("referencia",AN252)),AM252="CUMPLE",AR252&gt;=AI252),"CUMPLE","NO CUMPLE")</f>
        <v>CUMPLE</v>
      </c>
      <c r="AT252" s="10">
        <f>'Parametros'!$B$6*0.083*SQRT('Parametros'!$B$2)*(H252*I252)^2/(2*(H252+I252))/1000000</f>
        <v>11.862178757599</v>
      </c>
      <c r="AU252" s="10" t="str">
        <f>IF(Q252&lt;=AT252,"DESPRECIABLE","DISEÑAR")</f>
        <v>DESPRECIABLE</v>
      </c>
      <c r="AV252" s="10">
        <f>IF(Q252&lt;=AT252,0,Q252*1000000/('Parametros'!$B$6*2*0.85*(H252-2*('Parametros'!$B$7+'Parametros'!$B$9/2))*(I252-2*('Parametros'!$B$7+'Parametros'!$B$9/2))*'Parametros'!$B$4))</f>
        <v>0</v>
      </c>
      <c r="AW252" s="10">
        <f>AV252*2*((H252-2*('Parametros'!$B$7+'Parametros'!$B$9/2))+(I252-2*('Parametros'!$B$7+'Parametros'!$B$9/2)))*'Parametros'!$B$4/'Parametros'!$B$3</f>
        <v>0</v>
      </c>
      <c r="AX252" s="31" t="n">
        <v>0</v>
      </c>
      <c r="AY252" s="10" t="str">
        <f>IF(AV252=0,"DESPRECIABLE",IF(AND(ISERROR(SEARCH("referencia",AN252)),BB252/AP252&gt;=AV252,BI252&gt;=AW252,BH252="CUMPLE"),"CUMPLE","NO CUMPLE"))</f>
        <v>DESPRECIABLE</v>
      </c>
      <c r="AZ252" s="10" t="str">
        <f>IF(AND(X252="CUMPLE",AE252="CUMPLE",AS252="CUMPLE",OR(AY252="CUMPLE",AY252="DESPRECIABLE"),BH252="CUMPLE",BJ252="CUMPLE"),"CUMPLE","NO CUMPLE")</f>
        <v>CUMPLE</v>
      </c>
      <c r="BA252" s="32" t="n">
        <v>9.5</v>
      </c>
      <c r="BB252" s="32" t="n">
        <v>71</v>
      </c>
      <c r="BC252" s="10">
        <f>MAX(IF(AK252=0,0,AK252*1000/('Parametros'!$B$4*MIN(U252,AB252))),MAX(0.062*SQRT('Parametros'!$B$2)*H252/'Parametros'!$B$4,0.35*H252/'Parametros'!$B$4))</f>
        <v>1.69002258247428</v>
      </c>
      <c r="BD252" s="10">
        <f>2*AV252</f>
        <v>0</v>
      </c>
      <c r="BE252" s="10">
        <f>AO252*BB252/AP252</f>
        <v>1.775</v>
      </c>
      <c r="BF252" s="10">
        <f>SQRT((AI252*1000/(H252*MIN(U252,AB252)))^2+(Q252*1000000*2*((H252-2*('Parametros'!$B$7+'Parametros'!$B$9/2))+(I252-2*('Parametros'!$B$7+'Parametros'!$B$9/2)))/(1.7*((H252-2*('Parametros'!$B$7+'Parametros'!$B$9/2))*(I252-2*('Parametros'!$B$7+'Parametros'!$B$9/2)))^2))^2)</f>
        <v>1.74236271073786</v>
      </c>
      <c r="BG252" s="10">
        <f>'Parametros'!$B$6*(AJ252*1000/(H252*MIN(U252,AB252))+0.66*SQRT('Parametros'!$B$2))</f>
        <v>3.29396038227542</v>
      </c>
      <c r="BH252" s="10" t="str">
        <f>IF(BF252&lt;=BG252,"CUMPLE","NO CUMPLE")</f>
        <v>CUMPLE</v>
      </c>
      <c r="BI252" s="10">
        <f>AX252*'Parametros'!$B$8</f>
        <v>0</v>
      </c>
      <c r="BJ252" s="10" t="str">
        <f>IF(BI252&gt;=AW252,"CUMPLE","NO CUMPLE")</f>
        <v>CUMPLE</v>
      </c>
    </row>
    <row r="253">
      <c r="A253" s="23" t="inlineStr">
        <is>
          <t>VR1</t>
        </is>
      </c>
      <c r="B253" s="23" t="inlineStr">
        <is>
          <t>210</t>
        </is>
      </c>
      <c r="C253" s="10" t="n">
        <v>1</v>
      </c>
      <c r="D253" s="10" t="n">
        <v>2</v>
      </c>
      <c r="E253" s="10" t="n">
        <v>2</v>
      </c>
      <c r="F253" s="10" t="n">
        <v>500</v>
      </c>
      <c r="G253" s="10" t="n">
        <v>550</v>
      </c>
      <c r="H253" s="17" t="n">
        <v>500</v>
      </c>
      <c r="I253" s="17" t="n">
        <v>550</v>
      </c>
      <c r="J253" s="30" t="n">
        <v>179.3747</v>
      </c>
      <c r="K253" s="10" t="inlineStr">
        <is>
          <t>210</t>
        </is>
      </c>
      <c r="L253" s="30" t="n">
        <v>127.2774</v>
      </c>
      <c r="M253" s="10" t="inlineStr">
        <is>
          <t>210</t>
        </is>
      </c>
      <c r="N253" s="30" t="n">
        <v>162.694</v>
      </c>
      <c r="O253" s="30" t="n">
        <v>584.006</v>
      </c>
      <c r="P253" s="10" t="inlineStr">
        <is>
          <t>210</t>
        </is>
      </c>
      <c r="Q253" s="30" t="n">
        <v>3.879</v>
      </c>
      <c r="R253" s="10">
        <f>MAX(MAX(1.4/'Parametros'!$B$3,0.25*SQRT('Parametros'!$B$2)/'Parametros'!$B$3)*H253*U253,(0.85*'Parametros'!$B$2/'Parametros'!$B$3)*(1-SQRT(1-2*(J253*1000000/('Parametros'!$B$5*H253*U253^2))/(0.85*'Parametros'!$B$2)))*H253*U253)</f>
        <v>1006.24149974567</v>
      </c>
      <c r="S253" s="31" t="n">
        <v>6</v>
      </c>
      <c r="T253" s="32" t="n">
        <v>1</v>
      </c>
      <c r="U253" s="10">
        <f>IF(T253=1,I253-('Parametros'!$B$7+'Parametros'!$B$9+'Parametros'!$B$12/2),I253-(ROUNDUP(S253/2,0)*('Parametros'!$B$7+'Parametros'!$B$9+'Parametros'!$B$12/2)+ROUNDDOWN(S253/2,0)*('Parametros'!$B$7+'Parametros'!$B$9+'Parametros'!$B$12/2+'Parametros'!$B$12+'Parametros'!$B$10))/S253)</f>
        <v>489.35</v>
      </c>
      <c r="V253" s="10">
        <f>S253*'Parametros'!$B$8</f>
        <v>1194</v>
      </c>
      <c r="W253" s="10">
        <f>'Parametros'!$B$5*V253*'Parametros'!$B$3*(U253-(V253*'Parametros'!$B$3/(0.85*'Parametros'!$B$2*H253))/2)/1000000</f>
        <v>211.349483470588</v>
      </c>
      <c r="X253" s="10" t="str">
        <f>IF(W253&gt;=J253,"CUMPLE","NO CUMPLE")</f>
        <v>CUMPLE</v>
      </c>
      <c r="Y253" s="10">
        <f>MAX(MAX(1.4/'Parametros'!$B$3,0.25*SQRT('Parametros'!$B$2)/'Parametros'!$B$3)*H253*AB253,(0.85*'Parametros'!$B$2/'Parametros'!$B$3)*(1-SQRT(1-2*(L253*1000000/('Parametros'!$B$5*H253*AB253^2))/(0.85*'Parametros'!$B$2)))*H253*AB253)</f>
        <v>815.583333333333</v>
      </c>
      <c r="Z253" s="31" t="n">
        <v>5</v>
      </c>
      <c r="AA253" s="32" t="n">
        <v>1</v>
      </c>
      <c r="AB253" s="10">
        <f>IF(AA253=1,I253-('Parametros'!$B$7+'Parametros'!$B$9+'Parametros'!$B$12/2),I253-(ROUNDUP(Z253/2,0)*('Parametros'!$B$7+'Parametros'!$B$9+'Parametros'!$B$12/2)+ROUNDDOWN(Z253/2,0)*('Parametros'!$B$7+'Parametros'!$B$9+'Parametros'!$B$12/2+'Parametros'!$B$12+'Parametros'!$B$10))/Z253)</f>
        <v>489.35</v>
      </c>
      <c r="AC253" s="10">
        <f>Z253*'Parametros'!$B$8</f>
        <v>995</v>
      </c>
      <c r="AD253" s="10">
        <f>'Parametros'!$B$5*AC253*'Parametros'!$B$3*(AB253-(AC253*'Parametros'!$B$3/(0.85*'Parametros'!$B$2*H253))/2)/1000000</f>
        <v>177.445379382353</v>
      </c>
      <c r="AE253" s="10" t="str">
        <f>IF(AD253&gt;=L253,"CUMPLE","NO CUMPLE")</f>
        <v>CUMPLE</v>
      </c>
      <c r="AF253" s="10">
        <f>V253*1.25*'Parametros'!$B$3*(U253-(V253*1.25*'Parametros'!$B$3/(0.85*'Parametros'!$B$2*H253))/2)/1000000</f>
        <v>290.238924705882</v>
      </c>
      <c r="AG253" s="10">
        <f>AC253*1.25*'Parametros'!$B$3*(AB253-(AC253*1.25*'Parametros'!$B$3/(0.85*'Parametros'!$B$2*H253))/2)/1000000</f>
        <v>244.158843198529</v>
      </c>
      <c r="AH253" s="10">
        <f>N253+(AF253+AG253)/D253</f>
        <v>429.892883952206</v>
      </c>
      <c r="AI253" s="10">
        <f>MAX(O253,AH253)</f>
        <v>584.006</v>
      </c>
      <c r="AJ253" s="10">
        <f>0.17*SQRT('Parametros'!$B$2)*H253*MIN(U253,AB253)/1000</f>
        <v>220.098728691808</v>
      </c>
      <c r="AK253" s="10">
        <f>MAX(AI253/'Parametros'!$B$6-AJ253,0)</f>
        <v>558.575937974859</v>
      </c>
      <c r="AL253" s="10">
        <f>0.66*SQRT('Parametros'!$B$2)*H253*MIN(U253,AB253)/1000</f>
        <v>854.500946685842</v>
      </c>
      <c r="AM253" s="10" t="str">
        <f>IF(AK253&lt;=AL253,"CUMPLE","NO CUMPLE")</f>
        <v>CUMPLE</v>
      </c>
      <c r="AN253" s="17" t="inlineStr">
        <is>
          <t>Nº4 cerrado</t>
        </is>
      </c>
      <c r="AO253" s="31" t="n">
        <v>2</v>
      </c>
      <c r="AP253" s="10">
        <f>ROUNDDOWN(MIN(IF(BC253+BD253=0,1000000000,AO253*BB253/(BC253+BD253)),MIN(U253,AB253)/4,8*'Parametros'!$B$12,24*BA253,300,IF(AV253=0,1000000000,2*((H253-2*('Parametros'!$B$7+'Parametros'!$B$9/2))+(I253-2*('Parametros'!$B$7+'Parametros'!$B$9/2)))/8))/10,0)*10</f>
        <v>90</v>
      </c>
      <c r="AQ253" s="10">
        <f>ROUNDDOWN(MIN(IF(BC253+BD253=0,1000000000,AO253*BB253/(BC253+BD253)),IF(AK253&gt;0.33*SQRT('Parametros'!$B$2)*H253*MIN(U253,AB253)/1000,MIN(U253,AB253)/4,MIN(U253,AB253)/2),600,IF(AV253=0,1000000000,2*((H253-2*('Parametros'!$B$7+'Parametros'!$B$9/2))+(I253-2*('Parametros'!$B$7+'Parametros'!$B$9/2)))/8))/10,0)*10</f>
        <v>90</v>
      </c>
      <c r="AR253" s="10">
        <f>'Parametros'!$B$6*(AJ253+MAX(BE253-BD253,0)*'Parametros'!$B$4*MIN(U253,AB253)/1000)</f>
        <v>606.957096518856</v>
      </c>
      <c r="AS253" s="10" t="str">
        <f>IF(AND(ISERROR(SEARCH("referencia",AN253)),AM253="CUMPLE",AR253&gt;=AI253),"CUMPLE","NO CUMPLE")</f>
        <v>CUMPLE</v>
      </c>
      <c r="AT253" s="10">
        <f>'Parametros'!$B$6*0.083*SQRT('Parametros'!$B$2)*(H253*I253)^2/(2*(H253+I253))/1000000</f>
        <v>11.862178757599</v>
      </c>
      <c r="AU253" s="10" t="str">
        <f>IF(Q253&lt;=AT253,"DESPRECIABLE","DISEÑAR")</f>
        <v>DESPRECIABLE</v>
      </c>
      <c r="AV253" s="10">
        <f>IF(Q253&lt;=AT253,0,Q253*1000000/('Parametros'!$B$6*2*0.85*(H253-2*('Parametros'!$B$7+'Parametros'!$B$9/2))*(I253-2*('Parametros'!$B$7+'Parametros'!$B$9/2))*'Parametros'!$B$4))</f>
        <v>0</v>
      </c>
      <c r="AW253" s="10">
        <f>AV253*2*((H253-2*('Parametros'!$B$7+'Parametros'!$B$9/2))+(I253-2*('Parametros'!$B$7+'Parametros'!$B$9/2)))*'Parametros'!$B$4/'Parametros'!$B$3</f>
        <v>0</v>
      </c>
      <c r="AX253" s="31" t="n">
        <v>0</v>
      </c>
      <c r="AY253" s="10" t="str">
        <f>IF(AV253=0,"DESPRECIABLE",IF(AND(ISERROR(SEARCH("referencia",AN253)),BB253/AP253&gt;=AV253,BI253&gt;=AW253,BH253="CUMPLE"),"CUMPLE","NO CUMPLE"))</f>
        <v>DESPRECIABLE</v>
      </c>
      <c r="AZ253" s="10" t="str">
        <f>IF(AND(X253="CUMPLE",AE253="CUMPLE",AS253="CUMPLE",OR(AY253="CUMPLE",AY253="DESPRECIABLE"),BH253="CUMPLE",BJ253="CUMPLE"),"CUMPLE","NO CUMPLE")</f>
        <v>CUMPLE</v>
      </c>
      <c r="BA253" s="32" t="n">
        <v>12.7</v>
      </c>
      <c r="BB253" s="32" t="n">
        <v>129</v>
      </c>
      <c r="BC253" s="10">
        <f>MAX(IF(AK253=0,0,AK253*1000/('Parametros'!$B$4*MIN(U253,AB253))),MAX(0.062*SQRT('Parametros'!$B$2)*H253/'Parametros'!$B$4,0.35*H253/'Parametros'!$B$4))</f>
        <v>2.7177740052395</v>
      </c>
      <c r="BD253" s="10">
        <f>2*AV253</f>
        <v>0</v>
      </c>
      <c r="BE253" s="10">
        <f>AO253*BB253/AP253</f>
        <v>2.86666666666667</v>
      </c>
      <c r="BF253" s="10">
        <f>SQRT((AI253*1000/(H253*MIN(U253,AB253)))^2+(Q253*1000000*2*((H253-2*('Parametros'!$B$7+'Parametros'!$B$9/2))+(I253-2*('Parametros'!$B$7+'Parametros'!$B$9/2)))/(1.7*((H253-2*('Parametros'!$B$7+'Parametros'!$B$9/2))*(I253-2*('Parametros'!$B$7+'Parametros'!$B$9/2)))^2))^2)</f>
        <v>2.38957231396235</v>
      </c>
      <c r="BG253" s="10">
        <f>'Parametros'!$B$6*(AJ253*1000/(H253*MIN(U253,AB253))+0.66*SQRT('Parametros'!$B$2))</f>
        <v>3.29396038227542</v>
      </c>
      <c r="BH253" s="10" t="str">
        <f>IF(BF253&lt;=BG253,"CUMPLE","NO CUMPLE")</f>
        <v>CUMPLE</v>
      </c>
      <c r="BI253" s="10">
        <f>AX253*'Parametros'!$B$8</f>
        <v>0</v>
      </c>
      <c r="BJ253" s="10" t="str">
        <f>IF(BI253&gt;=AW253,"CUMPLE","NO CUMPLE")</f>
        <v>CUMPLE</v>
      </c>
    </row>
    <row r="254">
      <c r="A254" s="23" t="inlineStr">
        <is>
          <t>VR1</t>
        </is>
      </c>
      <c r="B254" s="23" t="inlineStr">
        <is>
          <t>245</t>
        </is>
      </c>
      <c r="C254" s="10" t="n">
        <v>1</v>
      </c>
      <c r="D254" s="10" t="n">
        <v>2</v>
      </c>
      <c r="E254" s="10" t="n">
        <v>2</v>
      </c>
      <c r="F254" s="10" t="n">
        <v>500</v>
      </c>
      <c r="G254" s="10" t="n">
        <v>550</v>
      </c>
      <c r="H254" s="17" t="n">
        <v>500</v>
      </c>
      <c r="I254" s="17" t="n">
        <v>550</v>
      </c>
      <c r="J254" s="30" t="n">
        <v>179.2623</v>
      </c>
      <c r="K254" s="10" t="inlineStr">
        <is>
          <t>245</t>
        </is>
      </c>
      <c r="L254" s="30" t="n">
        <v>127.2185</v>
      </c>
      <c r="M254" s="10" t="inlineStr">
        <is>
          <t>245</t>
        </is>
      </c>
      <c r="N254" s="30" t="n">
        <v>162.613</v>
      </c>
      <c r="O254" s="30" t="n">
        <v>583.92</v>
      </c>
      <c r="P254" s="10" t="inlineStr">
        <is>
          <t>245</t>
        </is>
      </c>
      <c r="Q254" s="30" t="n">
        <v>3.8814</v>
      </c>
      <c r="R254" s="10">
        <f>MAX(MAX(1.4/'Parametros'!$B$3,0.25*SQRT('Parametros'!$B$2)/'Parametros'!$B$3)*H254*U254,(0.85*'Parametros'!$B$2/'Parametros'!$B$3)*(1-SQRT(1-2*(J254*1000000/('Parametros'!$B$5*H254*U254^2))/(0.85*'Parametros'!$B$2)))*H254*U254)</f>
        <v>1005.58631331723</v>
      </c>
      <c r="S254" s="31" t="n">
        <v>6</v>
      </c>
      <c r="T254" s="32" t="n">
        <v>1</v>
      </c>
      <c r="U254" s="10">
        <f>IF(T254=1,I254-('Parametros'!$B$7+'Parametros'!$B$9+'Parametros'!$B$12/2),I254-(ROUNDUP(S254/2,0)*('Parametros'!$B$7+'Parametros'!$B$9+'Parametros'!$B$12/2)+ROUNDDOWN(S254/2,0)*('Parametros'!$B$7+'Parametros'!$B$9+'Parametros'!$B$12/2+'Parametros'!$B$12+'Parametros'!$B$10))/S254)</f>
        <v>489.35</v>
      </c>
      <c r="V254" s="10">
        <f>S254*'Parametros'!$B$8</f>
        <v>1194</v>
      </c>
      <c r="W254" s="10">
        <f>'Parametros'!$B$5*V254*'Parametros'!$B$3*(U254-(V254*'Parametros'!$B$3/(0.85*'Parametros'!$B$2*H254))/2)/1000000</f>
        <v>211.349483470588</v>
      </c>
      <c r="X254" s="10" t="str">
        <f>IF(W254&gt;=J254,"CUMPLE","NO CUMPLE")</f>
        <v>CUMPLE</v>
      </c>
      <c r="Y254" s="10">
        <f>MAX(MAX(1.4/'Parametros'!$B$3,0.25*SQRT('Parametros'!$B$2)/'Parametros'!$B$3)*H254*AB254,(0.85*'Parametros'!$B$2/'Parametros'!$B$3)*(1-SQRT(1-2*(L254*1000000/('Parametros'!$B$5*H254*AB254^2))/(0.85*'Parametros'!$B$2)))*H254*AB254)</f>
        <v>815.583333333333</v>
      </c>
      <c r="Z254" s="31" t="n">
        <v>5</v>
      </c>
      <c r="AA254" s="32" t="n">
        <v>1</v>
      </c>
      <c r="AB254" s="10">
        <f>IF(AA254=1,I254-('Parametros'!$B$7+'Parametros'!$B$9+'Parametros'!$B$12/2),I254-(ROUNDUP(Z254/2,0)*('Parametros'!$B$7+'Parametros'!$B$9+'Parametros'!$B$12/2)+ROUNDDOWN(Z254/2,0)*('Parametros'!$B$7+'Parametros'!$B$9+'Parametros'!$B$12/2+'Parametros'!$B$12+'Parametros'!$B$10))/Z254)</f>
        <v>489.35</v>
      </c>
      <c r="AC254" s="10">
        <f>Z254*'Parametros'!$B$8</f>
        <v>995</v>
      </c>
      <c r="AD254" s="10">
        <f>'Parametros'!$B$5*AC254*'Parametros'!$B$3*(AB254-(AC254*'Parametros'!$B$3/(0.85*'Parametros'!$B$2*H254))/2)/1000000</f>
        <v>177.445379382353</v>
      </c>
      <c r="AE254" s="10" t="str">
        <f>IF(AD254&gt;=L254,"CUMPLE","NO CUMPLE")</f>
        <v>CUMPLE</v>
      </c>
      <c r="AF254" s="10">
        <f>V254*1.25*'Parametros'!$B$3*(U254-(V254*1.25*'Parametros'!$B$3/(0.85*'Parametros'!$B$2*H254))/2)/1000000</f>
        <v>290.238924705882</v>
      </c>
      <c r="AG254" s="10">
        <f>AC254*1.25*'Parametros'!$B$3*(AB254-(AC254*1.25*'Parametros'!$B$3/(0.85*'Parametros'!$B$2*H254))/2)/1000000</f>
        <v>244.158843198529</v>
      </c>
      <c r="AH254" s="10">
        <f>N254+(AF254+AG254)/D254</f>
        <v>429.811883952206</v>
      </c>
      <c r="AI254" s="10">
        <f>MAX(O254,AH254)</f>
        <v>583.92</v>
      </c>
      <c r="AJ254" s="10">
        <f>0.17*SQRT('Parametros'!$B$2)*H254*MIN(U254,AB254)/1000</f>
        <v>220.098728691808</v>
      </c>
      <c r="AK254" s="10">
        <f>MAX(AI254/'Parametros'!$B$6-AJ254,0)</f>
        <v>558.461271308192</v>
      </c>
      <c r="AL254" s="10">
        <f>0.66*SQRT('Parametros'!$B$2)*H254*MIN(U254,AB254)/1000</f>
        <v>854.500946685842</v>
      </c>
      <c r="AM254" s="10" t="str">
        <f>IF(AK254&lt;=AL254,"CUMPLE","NO CUMPLE")</f>
        <v>CUMPLE</v>
      </c>
      <c r="AN254" s="17" t="inlineStr">
        <is>
          <t>Nº4 cerrado</t>
        </is>
      </c>
      <c r="AO254" s="31" t="n">
        <v>2</v>
      </c>
      <c r="AP254" s="10">
        <f>ROUNDDOWN(MIN(IF(BC254+BD254=0,1000000000,AO254*BB254/(BC254+BD254)),MIN(U254,AB254)/4,8*'Parametros'!$B$12,24*BA254,300,IF(AV254=0,1000000000,2*((H254-2*('Parametros'!$B$7+'Parametros'!$B$9/2))+(I254-2*('Parametros'!$B$7+'Parametros'!$B$9/2)))/8))/10,0)*10</f>
        <v>90</v>
      </c>
      <c r="AQ254" s="10">
        <f>ROUNDDOWN(MIN(IF(BC254+BD254=0,1000000000,AO254*BB254/(BC254+BD254)),IF(AK254&gt;0.33*SQRT('Parametros'!$B$2)*H254*MIN(U254,AB254)/1000,MIN(U254,AB254)/4,MIN(U254,AB254)/2),600,IF(AV254=0,1000000000,2*((H254-2*('Parametros'!$B$7+'Parametros'!$B$9/2))+(I254-2*('Parametros'!$B$7+'Parametros'!$B$9/2)))/8))/10,0)*10</f>
        <v>90</v>
      </c>
      <c r="AR254" s="10">
        <f>'Parametros'!$B$6*(AJ254+MAX(BE254-BD254,0)*'Parametros'!$B$4*MIN(U254,AB254)/1000)</f>
        <v>606.957096518856</v>
      </c>
      <c r="AS254" s="10" t="str">
        <f>IF(AND(ISERROR(SEARCH("referencia",AN254)),AM254="CUMPLE",AR254&gt;=AI254),"CUMPLE","NO CUMPLE")</f>
        <v>CUMPLE</v>
      </c>
      <c r="AT254" s="10">
        <f>'Parametros'!$B$6*0.083*SQRT('Parametros'!$B$2)*(H254*I254)^2/(2*(H254+I254))/1000000</f>
        <v>11.862178757599</v>
      </c>
      <c r="AU254" s="10" t="str">
        <f>IF(Q254&lt;=AT254,"DESPRECIABLE","DISEÑAR")</f>
        <v>DESPRECIABLE</v>
      </c>
      <c r="AV254" s="10">
        <f>IF(Q254&lt;=AT254,0,Q254*1000000/('Parametros'!$B$6*2*0.85*(H254-2*('Parametros'!$B$7+'Parametros'!$B$9/2))*(I254-2*('Parametros'!$B$7+'Parametros'!$B$9/2))*'Parametros'!$B$4))</f>
        <v>0</v>
      </c>
      <c r="AW254" s="10">
        <f>AV254*2*((H254-2*('Parametros'!$B$7+'Parametros'!$B$9/2))+(I254-2*('Parametros'!$B$7+'Parametros'!$B$9/2)))*'Parametros'!$B$4/'Parametros'!$B$3</f>
        <v>0</v>
      </c>
      <c r="AX254" s="31" t="n">
        <v>0</v>
      </c>
      <c r="AY254" s="10" t="str">
        <f>IF(AV254=0,"DESPRECIABLE",IF(AND(ISERROR(SEARCH("referencia",AN254)),BB254/AP254&gt;=AV254,BI254&gt;=AW254,BH254="CUMPLE"),"CUMPLE","NO CUMPLE"))</f>
        <v>DESPRECIABLE</v>
      </c>
      <c r="AZ254" s="10" t="str">
        <f>IF(AND(X254="CUMPLE",AE254="CUMPLE",AS254="CUMPLE",OR(AY254="CUMPLE",AY254="DESPRECIABLE"),BH254="CUMPLE",BJ254="CUMPLE"),"CUMPLE","NO CUMPLE")</f>
        <v>CUMPLE</v>
      </c>
      <c r="BA254" s="32" t="n">
        <v>12.7</v>
      </c>
      <c r="BB254" s="32" t="n">
        <v>129</v>
      </c>
      <c r="BC254" s="10">
        <f>MAX(IF(AK254=0,0,AK254*1000/('Parametros'!$B$4*MIN(U254,AB254))),MAX(0.062*SQRT('Parametros'!$B$2)*H254/'Parametros'!$B$4,0.35*H254/'Parametros'!$B$4))</f>
        <v>2.71721608989667</v>
      </c>
      <c r="BD254" s="10">
        <f>2*AV254</f>
        <v>0</v>
      </c>
      <c r="BE254" s="10">
        <f>AO254*BB254/AP254</f>
        <v>2.86666666666667</v>
      </c>
      <c r="BF254" s="10">
        <f>SQRT((AI254*1000/(H254*MIN(U254,AB254)))^2+(Q254*1000000*2*((H254-2*('Parametros'!$B$7+'Parametros'!$B$9/2))+(I254-2*('Parametros'!$B$7+'Parametros'!$B$9/2)))/(1.7*((H254-2*('Parametros'!$B$7+'Parametros'!$B$9/2))*(I254-2*('Parametros'!$B$7+'Parametros'!$B$9/2)))^2))^2)</f>
        <v>2.38922457642085</v>
      </c>
      <c r="BG254" s="10">
        <f>'Parametros'!$B$6*(AJ254*1000/(H254*MIN(U254,AB254))+0.66*SQRT('Parametros'!$B$2))</f>
        <v>3.29396038227542</v>
      </c>
      <c r="BH254" s="10" t="str">
        <f>IF(BF254&lt;=BG254,"CUMPLE","NO CUMPLE")</f>
        <v>CUMPLE</v>
      </c>
      <c r="BI254" s="10">
        <f>AX254*'Parametros'!$B$8</f>
        <v>0</v>
      </c>
      <c r="BJ254" s="10" t="str">
        <f>IF(BI254&gt;=AW254,"CUMPLE","NO CUMPLE")</f>
        <v>CUMPLE</v>
      </c>
    </row>
    <row r="255">
      <c r="A255" s="23" t="inlineStr">
        <is>
          <t>VR1</t>
        </is>
      </c>
      <c r="B255" s="23" t="inlineStr">
        <is>
          <t>246</t>
        </is>
      </c>
      <c r="C255" s="10" t="n">
        <v>1</v>
      </c>
      <c r="D255" s="10" t="n">
        <v>3.05</v>
      </c>
      <c r="E255" s="10" t="n">
        <v>3.05</v>
      </c>
      <c r="F255" s="10" t="n">
        <v>500</v>
      </c>
      <c r="G255" s="10" t="n">
        <v>550</v>
      </c>
      <c r="H255" s="17" t="n">
        <v>500</v>
      </c>
      <c r="I255" s="17" t="n">
        <v>550</v>
      </c>
      <c r="J255" s="30" t="n">
        <v>170.1938</v>
      </c>
      <c r="K255" s="10" t="inlineStr">
        <is>
          <t>246</t>
        </is>
      </c>
      <c r="L255" s="30" t="n">
        <v>111.8174</v>
      </c>
      <c r="M255" s="10" t="inlineStr">
        <is>
          <t>246</t>
        </is>
      </c>
      <c r="N255" s="30" t="n">
        <v>136.451</v>
      </c>
      <c r="O255" s="30" t="n">
        <v>425.525</v>
      </c>
      <c r="P255" s="10" t="inlineStr">
        <is>
          <t>246</t>
        </is>
      </c>
      <c r="Q255" s="30" t="n">
        <v>3.472</v>
      </c>
      <c r="R255" s="10">
        <f>MAX(MAX(1.4/'Parametros'!$B$3,0.25*SQRT('Parametros'!$B$2)/'Parametros'!$B$3)*H255*U255,(0.85*'Parametros'!$B$2/'Parametros'!$B$3)*(1-SQRT(1-2*(J255*1000000/('Parametros'!$B$5*H255*U255^2))/(0.85*'Parametros'!$B$2)))*H255*U255)</f>
        <v>952.835020192461</v>
      </c>
      <c r="S255" s="31" t="n">
        <v>5</v>
      </c>
      <c r="T255" s="32" t="n">
        <v>1</v>
      </c>
      <c r="U255" s="10">
        <f>IF(T255=1,I255-('Parametros'!$B$7+'Parametros'!$B$9+'Parametros'!$B$12/2),I255-(ROUNDUP(S255/2,0)*('Parametros'!$B$7+'Parametros'!$B$9+'Parametros'!$B$12/2)+ROUNDDOWN(S255/2,0)*('Parametros'!$B$7+'Parametros'!$B$9+'Parametros'!$B$12/2+'Parametros'!$B$12+'Parametros'!$B$10))/S255)</f>
        <v>489.35</v>
      </c>
      <c r="V255" s="10">
        <f>S255*'Parametros'!$B$8</f>
        <v>995</v>
      </c>
      <c r="W255" s="10">
        <f>'Parametros'!$B$5*V255*'Parametros'!$B$3*(U255-(V255*'Parametros'!$B$3/(0.85*'Parametros'!$B$2*H255))/2)/1000000</f>
        <v>177.445379382353</v>
      </c>
      <c r="X255" s="10" t="str">
        <f>IF(W255&gt;=J255,"CUMPLE","NO CUMPLE")</f>
        <v>CUMPLE</v>
      </c>
      <c r="Y255" s="10">
        <f>MAX(MAX(1.4/'Parametros'!$B$3,0.25*SQRT('Parametros'!$B$2)/'Parametros'!$B$3)*H255*AB255,(0.85*'Parametros'!$B$2/'Parametros'!$B$3)*(1-SQRT(1-2*(L255*1000000/('Parametros'!$B$5*H255*AB255^2))/(0.85*'Parametros'!$B$2)))*H255*AB255)</f>
        <v>815.583333333333</v>
      </c>
      <c r="Z255" s="31" t="n">
        <v>5</v>
      </c>
      <c r="AA255" s="32" t="n">
        <v>1</v>
      </c>
      <c r="AB255" s="10">
        <f>IF(AA255=1,I255-('Parametros'!$B$7+'Parametros'!$B$9+'Parametros'!$B$12/2),I255-(ROUNDUP(Z255/2,0)*('Parametros'!$B$7+'Parametros'!$B$9+'Parametros'!$B$12/2)+ROUNDDOWN(Z255/2,0)*('Parametros'!$B$7+'Parametros'!$B$9+'Parametros'!$B$12/2+'Parametros'!$B$12+'Parametros'!$B$10))/Z255)</f>
        <v>489.35</v>
      </c>
      <c r="AC255" s="10">
        <f>Z255*'Parametros'!$B$8</f>
        <v>995</v>
      </c>
      <c r="AD255" s="10">
        <f>'Parametros'!$B$5*AC255*'Parametros'!$B$3*(AB255-(AC255*'Parametros'!$B$3/(0.85*'Parametros'!$B$2*H255))/2)/1000000</f>
        <v>177.445379382353</v>
      </c>
      <c r="AE255" s="10" t="str">
        <f>IF(AD255&gt;=L255,"CUMPLE","NO CUMPLE")</f>
        <v>CUMPLE</v>
      </c>
      <c r="AF255" s="10">
        <f>V255*1.25*'Parametros'!$B$3*(U255-(V255*1.25*'Parametros'!$B$3/(0.85*'Parametros'!$B$2*H255))/2)/1000000</f>
        <v>244.158843198529</v>
      </c>
      <c r="AG255" s="10">
        <f>AC255*1.25*'Parametros'!$B$3*(AB255-(AC255*1.25*'Parametros'!$B$3/(0.85*'Parametros'!$B$2*H255))/2)/1000000</f>
        <v>244.158843198529</v>
      </c>
      <c r="AH255" s="10">
        <f>N255+(AF255+AG255)/D255</f>
        <v>296.555159474446</v>
      </c>
      <c r="AI255" s="10">
        <f>MAX(O255,AH255)</f>
        <v>425.525</v>
      </c>
      <c r="AJ255" s="10">
        <f>0.17*SQRT('Parametros'!$B$2)*H255*MIN(U255,AB255)/1000</f>
        <v>220.098728691808</v>
      </c>
      <c r="AK255" s="10">
        <f>MAX(AI255/'Parametros'!$B$6-AJ255,0)</f>
        <v>347.267937974859</v>
      </c>
      <c r="AL255" s="10">
        <f>0.66*SQRT('Parametros'!$B$2)*H255*MIN(U255,AB255)/1000</f>
        <v>854.500946685842</v>
      </c>
      <c r="AM255" s="10" t="str">
        <f>IF(AK255&lt;=AL255,"CUMPLE","NO CUMPLE")</f>
        <v>CUMPLE</v>
      </c>
      <c r="AN255" s="17" t="inlineStr">
        <is>
          <t>Nº3 cerrado</t>
        </is>
      </c>
      <c r="AO255" s="31" t="n">
        <v>2</v>
      </c>
      <c r="AP255" s="10">
        <f>ROUNDDOWN(MIN(IF(BC255+BD255=0,1000000000,AO255*BB255/(BC255+BD255)),MIN(U255,AB255)/4,8*'Parametros'!$B$12,24*BA255,300,IF(AV255=0,1000000000,2*((H255-2*('Parametros'!$B$7+'Parametros'!$B$9/2))+(I255-2*('Parametros'!$B$7+'Parametros'!$B$9/2)))/8))/10,0)*10</f>
        <v>80</v>
      </c>
      <c r="AQ255" s="10">
        <f>ROUNDDOWN(MIN(IF(BC255+BD255=0,1000000000,AO255*BB255/(BC255+BD255)),IF(AK255&gt;0.33*SQRT('Parametros'!$B$2)*H255*MIN(U255,AB255)/1000,MIN(U255,AB255)/4,MIN(U255,AB255)/2),600,IF(AV255=0,1000000000,2*((H255-2*('Parametros'!$B$7+'Parametros'!$B$9/2))+(I255-2*('Parametros'!$B$7+'Parametros'!$B$9/2)))/8))/10,0)*10</f>
        <v>80</v>
      </c>
      <c r="AR255" s="10">
        <f>'Parametros'!$B$6*(AJ255+MAX(BE255-BD255,0)*'Parametros'!$B$4*MIN(U255,AB255)/1000)</f>
        <v>438.681865268856</v>
      </c>
      <c r="AS255" s="10" t="str">
        <f>IF(AND(ISERROR(SEARCH("referencia",AN255)),AM255="CUMPLE",AR255&gt;=AI255),"CUMPLE","NO CUMPLE")</f>
        <v>CUMPLE</v>
      </c>
      <c r="AT255" s="10">
        <f>'Parametros'!$B$6*0.083*SQRT('Parametros'!$B$2)*(H255*I255)^2/(2*(H255+I255))/1000000</f>
        <v>11.862178757599</v>
      </c>
      <c r="AU255" s="10" t="str">
        <f>IF(Q255&lt;=AT255,"DESPRECIABLE","DISEÑAR")</f>
        <v>DESPRECIABLE</v>
      </c>
      <c r="AV255" s="10">
        <f>IF(Q255&lt;=AT255,0,Q255*1000000/('Parametros'!$B$6*2*0.85*(H255-2*('Parametros'!$B$7+'Parametros'!$B$9/2))*(I255-2*('Parametros'!$B$7+'Parametros'!$B$9/2))*'Parametros'!$B$4))</f>
        <v>0</v>
      </c>
      <c r="AW255" s="10">
        <f>AV255*2*((H255-2*('Parametros'!$B$7+'Parametros'!$B$9/2))+(I255-2*('Parametros'!$B$7+'Parametros'!$B$9/2)))*'Parametros'!$B$4/'Parametros'!$B$3</f>
        <v>0</v>
      </c>
      <c r="AX255" s="31" t="n">
        <v>0</v>
      </c>
      <c r="AY255" s="10" t="str">
        <f>IF(AV255=0,"DESPRECIABLE",IF(AND(ISERROR(SEARCH("referencia",AN255)),BB255/AP255&gt;=AV255,BI255&gt;=AW255,BH255="CUMPLE"),"CUMPLE","NO CUMPLE"))</f>
        <v>DESPRECIABLE</v>
      </c>
      <c r="AZ255" s="10" t="str">
        <f>IF(AND(X255="CUMPLE",AE255="CUMPLE",AS255="CUMPLE",OR(AY255="CUMPLE",AY255="DESPRECIABLE"),BH255="CUMPLE",BJ255="CUMPLE"),"CUMPLE","NO CUMPLE")</f>
        <v>CUMPLE</v>
      </c>
      <c r="BA255" s="32" t="n">
        <v>9.5</v>
      </c>
      <c r="BB255" s="32" t="n">
        <v>71</v>
      </c>
      <c r="BC255" s="10">
        <f>MAX(IF(AK255=0,0,AK255*1000/('Parametros'!$B$4*MIN(U255,AB255))),MAX(0.062*SQRT('Parametros'!$B$2)*H255/'Parametros'!$B$4,0.35*H255/'Parametros'!$B$4))</f>
        <v>1.68964631398726</v>
      </c>
      <c r="BD255" s="10">
        <f>2*AV255</f>
        <v>0</v>
      </c>
      <c r="BE255" s="10">
        <f>AO255*BB255/AP255</f>
        <v>1.775</v>
      </c>
      <c r="BF255" s="10">
        <f>SQRT((AI255*1000/(H255*MIN(U255,AB255)))^2+(Q255*1000000*2*((H255-2*('Parametros'!$B$7+'Parametros'!$B$9/2))+(I255-2*('Parametros'!$B$7+'Parametros'!$B$9/2)))/(1.7*((H255-2*('Parametros'!$B$7+'Parametros'!$B$9/2))*(I255-2*('Parametros'!$B$7+'Parametros'!$B$9/2)))^2))^2)</f>
        <v>1.74212058227895</v>
      </c>
      <c r="BG255" s="10">
        <f>'Parametros'!$B$6*(AJ255*1000/(H255*MIN(U255,AB255))+0.66*SQRT('Parametros'!$B$2))</f>
        <v>3.29396038227542</v>
      </c>
      <c r="BH255" s="10" t="str">
        <f>IF(BF255&lt;=BG255,"CUMPLE","NO CUMPLE")</f>
        <v>CUMPLE</v>
      </c>
      <c r="BI255" s="10">
        <f>AX255*'Parametros'!$B$8</f>
        <v>0</v>
      </c>
      <c r="BJ255" s="10" t="str">
        <f>IF(BI255&gt;=AW255,"CUMPLE","NO CUMPLE")</f>
        <v>CUMPLE</v>
      </c>
    </row>
    <row r="256">
      <c r="A256" s="23" t="inlineStr">
        <is>
          <t>VR1</t>
        </is>
      </c>
      <c r="B256" s="23" t="inlineStr">
        <is>
          <t>247</t>
        </is>
      </c>
      <c r="C256" s="10" t="n">
        <v>1</v>
      </c>
      <c r="D256" s="10" t="n">
        <v>2</v>
      </c>
      <c r="E256" s="10" t="n">
        <v>2</v>
      </c>
      <c r="F256" s="10" t="n">
        <v>500</v>
      </c>
      <c r="G256" s="10" t="n">
        <v>550</v>
      </c>
      <c r="H256" s="17" t="n">
        <v>500</v>
      </c>
      <c r="I256" s="17" t="n">
        <v>550</v>
      </c>
      <c r="J256" s="30" t="n">
        <v>159.8951</v>
      </c>
      <c r="K256" s="10" t="inlineStr">
        <is>
          <t>247</t>
        </is>
      </c>
      <c r="L256" s="30" t="n">
        <v>125.9991</v>
      </c>
      <c r="M256" s="10" t="inlineStr">
        <is>
          <t>247</t>
        </is>
      </c>
      <c r="N256" s="30" t="n">
        <v>152.33</v>
      </c>
      <c r="O256" s="30" t="n">
        <v>567.273</v>
      </c>
      <c r="P256" s="10" t="inlineStr">
        <is>
          <t>247</t>
        </is>
      </c>
      <c r="Q256" s="30" t="n">
        <v>7.3414</v>
      </c>
      <c r="R256" s="10">
        <f>MAX(MAX(1.4/'Parametros'!$B$3,0.25*SQRT('Parametros'!$B$2)/'Parametros'!$B$3)*H256*U256,(0.85*'Parametros'!$B$2/'Parametros'!$B$3)*(1-SQRT(1-2*(J256*1000000/('Parametros'!$B$5*H256*U256^2))/(0.85*'Parametros'!$B$2)))*H256*U256)</f>
        <v>893.187820032041</v>
      </c>
      <c r="S256" s="31" t="n">
        <v>5</v>
      </c>
      <c r="T256" s="32" t="n">
        <v>1</v>
      </c>
      <c r="U256" s="10">
        <f>IF(T256=1,I256-('Parametros'!$B$7+'Parametros'!$B$9+'Parametros'!$B$12/2),I256-(ROUNDUP(S256/2,0)*('Parametros'!$B$7+'Parametros'!$B$9+'Parametros'!$B$12/2)+ROUNDDOWN(S256/2,0)*('Parametros'!$B$7+'Parametros'!$B$9+'Parametros'!$B$12/2+'Parametros'!$B$12+'Parametros'!$B$10))/S256)</f>
        <v>489.35</v>
      </c>
      <c r="V256" s="10">
        <f>S256*'Parametros'!$B$8</f>
        <v>995</v>
      </c>
      <c r="W256" s="10">
        <f>'Parametros'!$B$5*V256*'Parametros'!$B$3*(U256-(V256*'Parametros'!$B$3/(0.85*'Parametros'!$B$2*H256))/2)/1000000</f>
        <v>177.445379382353</v>
      </c>
      <c r="X256" s="10" t="str">
        <f>IF(W256&gt;=J256,"CUMPLE","NO CUMPLE")</f>
        <v>CUMPLE</v>
      </c>
      <c r="Y256" s="10">
        <f>MAX(MAX(1.4/'Parametros'!$B$3,0.25*SQRT('Parametros'!$B$2)/'Parametros'!$B$3)*H256*AB256,(0.85*'Parametros'!$B$2/'Parametros'!$B$3)*(1-SQRT(1-2*(L256*1000000/('Parametros'!$B$5*H256*AB256^2))/(0.85*'Parametros'!$B$2)))*H256*AB256)</f>
        <v>815.583333333333</v>
      </c>
      <c r="Z256" s="31" t="n">
        <v>5</v>
      </c>
      <c r="AA256" s="32" t="n">
        <v>1</v>
      </c>
      <c r="AB256" s="10">
        <f>IF(AA256=1,I256-('Parametros'!$B$7+'Parametros'!$B$9+'Parametros'!$B$12/2),I256-(ROUNDUP(Z256/2,0)*('Parametros'!$B$7+'Parametros'!$B$9+'Parametros'!$B$12/2)+ROUNDDOWN(Z256/2,0)*('Parametros'!$B$7+'Parametros'!$B$9+'Parametros'!$B$12/2+'Parametros'!$B$12+'Parametros'!$B$10))/Z256)</f>
        <v>489.35</v>
      </c>
      <c r="AC256" s="10">
        <f>Z256*'Parametros'!$B$8</f>
        <v>995</v>
      </c>
      <c r="AD256" s="10">
        <f>'Parametros'!$B$5*AC256*'Parametros'!$B$3*(AB256-(AC256*'Parametros'!$B$3/(0.85*'Parametros'!$B$2*H256))/2)/1000000</f>
        <v>177.445379382353</v>
      </c>
      <c r="AE256" s="10" t="str">
        <f>IF(AD256&gt;=L256,"CUMPLE","NO CUMPLE")</f>
        <v>CUMPLE</v>
      </c>
      <c r="AF256" s="10">
        <f>V256*1.25*'Parametros'!$B$3*(U256-(V256*1.25*'Parametros'!$B$3/(0.85*'Parametros'!$B$2*H256))/2)/1000000</f>
        <v>244.158843198529</v>
      </c>
      <c r="AG256" s="10">
        <f>AC256*1.25*'Parametros'!$B$3*(AB256-(AC256*1.25*'Parametros'!$B$3/(0.85*'Parametros'!$B$2*H256))/2)/1000000</f>
        <v>244.158843198529</v>
      </c>
      <c r="AH256" s="10">
        <f>N256+(AF256+AG256)/D256</f>
        <v>396.488843198529</v>
      </c>
      <c r="AI256" s="10">
        <f>MAX(O256,AH256)</f>
        <v>567.273</v>
      </c>
      <c r="AJ256" s="10">
        <f>0.17*SQRT('Parametros'!$B$2)*H256*MIN(U256,AB256)/1000</f>
        <v>220.098728691808</v>
      </c>
      <c r="AK256" s="10">
        <f>MAX(AI256/'Parametros'!$B$6-AJ256,0)</f>
        <v>536.265271308192</v>
      </c>
      <c r="AL256" s="10">
        <f>0.66*SQRT('Parametros'!$B$2)*H256*MIN(U256,AB256)/1000</f>
        <v>854.500946685842</v>
      </c>
      <c r="AM256" s="10" t="str">
        <f>IF(AK256&lt;=AL256,"CUMPLE","NO CUMPLE")</f>
        <v>CUMPLE</v>
      </c>
      <c r="AN256" s="17" t="inlineStr">
        <is>
          <t>Nº4 cerrado</t>
        </is>
      </c>
      <c r="AO256" s="31" t="n">
        <v>2</v>
      </c>
      <c r="AP256" s="10">
        <f>ROUNDDOWN(MIN(IF(BC256+BD256=0,1000000000,AO256*BB256/(BC256+BD256)),MIN(U256,AB256)/4,8*'Parametros'!$B$12,24*BA256,300,IF(AV256=0,1000000000,2*((H256-2*('Parametros'!$B$7+'Parametros'!$B$9/2))+(I256-2*('Parametros'!$B$7+'Parametros'!$B$9/2)))/8))/10,0)*10</f>
        <v>90</v>
      </c>
      <c r="AQ256" s="10">
        <f>ROUNDDOWN(MIN(IF(BC256+BD256=0,1000000000,AO256*BB256/(BC256+BD256)),IF(AK256&gt;0.33*SQRT('Parametros'!$B$2)*H256*MIN(U256,AB256)/1000,MIN(U256,AB256)/4,MIN(U256,AB256)/2),600,IF(AV256=0,1000000000,2*((H256-2*('Parametros'!$B$7+'Parametros'!$B$9/2))+(I256-2*('Parametros'!$B$7+'Parametros'!$B$9/2)))/8))/10,0)*10</f>
        <v>90</v>
      </c>
      <c r="AR256" s="10">
        <f>'Parametros'!$B$6*(AJ256+MAX(BE256-BD256,0)*'Parametros'!$B$4*MIN(U256,AB256)/1000)</f>
        <v>606.957096518856</v>
      </c>
      <c r="AS256" s="10" t="str">
        <f>IF(AND(ISERROR(SEARCH("referencia",AN256)),AM256="CUMPLE",AR256&gt;=AI256),"CUMPLE","NO CUMPLE")</f>
        <v>CUMPLE</v>
      </c>
      <c r="AT256" s="10">
        <f>'Parametros'!$B$6*0.083*SQRT('Parametros'!$B$2)*(H256*I256)^2/(2*(H256+I256))/1000000</f>
        <v>11.862178757599</v>
      </c>
      <c r="AU256" s="10" t="str">
        <f>IF(Q256&lt;=AT256,"DESPRECIABLE","DISEÑAR")</f>
        <v>DESPRECIABLE</v>
      </c>
      <c r="AV256" s="10">
        <f>IF(Q256&lt;=AT256,0,Q256*1000000/('Parametros'!$B$6*2*0.85*(H256-2*('Parametros'!$B$7+'Parametros'!$B$9/2))*(I256-2*('Parametros'!$B$7+'Parametros'!$B$9/2))*'Parametros'!$B$4))</f>
        <v>0</v>
      </c>
      <c r="AW256" s="10">
        <f>AV256*2*((H256-2*('Parametros'!$B$7+'Parametros'!$B$9/2))+(I256-2*('Parametros'!$B$7+'Parametros'!$B$9/2)))*'Parametros'!$B$4/'Parametros'!$B$3</f>
        <v>0</v>
      </c>
      <c r="AX256" s="31" t="n">
        <v>0</v>
      </c>
      <c r="AY256" s="10" t="str">
        <f>IF(AV256=0,"DESPRECIABLE",IF(AND(ISERROR(SEARCH("referencia",AN256)),BB256/AP256&gt;=AV256,BI256&gt;=AW256,BH256="CUMPLE"),"CUMPLE","NO CUMPLE"))</f>
        <v>DESPRECIABLE</v>
      </c>
      <c r="AZ256" s="10" t="str">
        <f>IF(AND(X256="CUMPLE",AE256="CUMPLE",AS256="CUMPLE",OR(AY256="CUMPLE",AY256="DESPRECIABLE"),BH256="CUMPLE",BJ256="CUMPLE"),"CUMPLE","NO CUMPLE")</f>
        <v>CUMPLE</v>
      </c>
      <c r="BA256" s="32" t="n">
        <v>12.7</v>
      </c>
      <c r="BB256" s="32" t="n">
        <v>129</v>
      </c>
      <c r="BC256" s="10">
        <f>MAX(IF(AK256=0,0,AK256*1000/('Parametros'!$B$4*MIN(U256,AB256))),MAX(0.062*SQRT('Parametros'!$B$2)*H256/'Parametros'!$B$4,0.35*H256/'Parametros'!$B$4))</f>
        <v>2.60922054673202</v>
      </c>
      <c r="BD256" s="10">
        <f>2*AV256</f>
        <v>0</v>
      </c>
      <c r="BE256" s="10">
        <f>AO256*BB256/AP256</f>
        <v>2.86666666666667</v>
      </c>
      <c r="BF256" s="10">
        <f>SQRT((AI256*1000/(H256*MIN(U256,AB256)))^2+(Q256*1000000*2*((H256-2*('Parametros'!$B$7+'Parametros'!$B$9/2))+(I256-2*('Parametros'!$B$7+'Parametros'!$B$9/2)))/(1.7*((H256-2*('Parametros'!$B$7+'Parametros'!$B$9/2))*(I256-2*('Parametros'!$B$7+'Parametros'!$B$9/2)))^2))^2)</f>
        <v>2.32844615844551</v>
      </c>
      <c r="BG256" s="10">
        <f>'Parametros'!$B$6*(AJ256*1000/(H256*MIN(U256,AB256))+0.66*SQRT('Parametros'!$B$2))</f>
        <v>3.29396038227542</v>
      </c>
      <c r="BH256" s="10" t="str">
        <f>IF(BF256&lt;=BG256,"CUMPLE","NO CUMPLE")</f>
        <v>CUMPLE</v>
      </c>
      <c r="BI256" s="10">
        <f>AX256*'Parametros'!$B$8</f>
        <v>0</v>
      </c>
      <c r="BJ256" s="10" t="str">
        <f>IF(BI256&gt;=AW256,"CUMPLE","NO CUMPLE")</f>
        <v>CUMPLE</v>
      </c>
    </row>
    <row r="257">
      <c r="A257" s="23" t="inlineStr">
        <is>
          <t>VR1</t>
        </is>
      </c>
      <c r="B257" s="23" t="inlineStr">
        <is>
          <t>248</t>
        </is>
      </c>
      <c r="C257" s="10" t="n">
        <v>1</v>
      </c>
      <c r="D257" s="10" t="n">
        <v>1.9</v>
      </c>
      <c r="E257" s="10" t="n">
        <v>1.9</v>
      </c>
      <c r="F257" s="10" t="n">
        <v>500</v>
      </c>
      <c r="G257" s="10" t="n">
        <v>550</v>
      </c>
      <c r="H257" s="17" t="n">
        <v>500</v>
      </c>
      <c r="I257" s="17" t="n">
        <v>550</v>
      </c>
      <c r="J257" s="30" t="n">
        <v>166.9179</v>
      </c>
      <c r="K257" s="10" t="inlineStr">
        <is>
          <t>248</t>
        </is>
      </c>
      <c r="L257" s="30" t="n">
        <v>134.601</v>
      </c>
      <c r="M257" s="10" t="inlineStr">
        <is>
          <t>248</t>
        </is>
      </c>
      <c r="N257" s="30" t="n">
        <v>161.431</v>
      </c>
      <c r="O257" s="30" t="n">
        <v>614.314</v>
      </c>
      <c r="P257" s="10" t="inlineStr">
        <is>
          <t>248</t>
        </is>
      </c>
      <c r="Q257" s="30" t="n">
        <v>4.3195</v>
      </c>
      <c r="R257" s="10">
        <f>MAX(MAX(1.4/'Parametros'!$B$3,0.25*SQRT('Parametros'!$B$2)/'Parametros'!$B$3)*H257*U257,(0.85*'Parametros'!$B$2/'Parametros'!$B$3)*(1-SQRT(1-2*(J257*1000000/('Parametros'!$B$5*H257*U257^2))/(0.85*'Parametros'!$B$2)))*H257*U257)</f>
        <v>933.832080865462</v>
      </c>
      <c r="S257" s="31" t="n">
        <v>5</v>
      </c>
      <c r="T257" s="32" t="n">
        <v>1</v>
      </c>
      <c r="U257" s="10">
        <f>IF(T257=1,I257-('Parametros'!$B$7+'Parametros'!$B$9+'Parametros'!$B$12/2),I257-(ROUNDUP(S257/2,0)*('Parametros'!$B$7+'Parametros'!$B$9+'Parametros'!$B$12/2)+ROUNDDOWN(S257/2,0)*('Parametros'!$B$7+'Parametros'!$B$9+'Parametros'!$B$12/2+'Parametros'!$B$12+'Parametros'!$B$10))/S257)</f>
        <v>489.35</v>
      </c>
      <c r="V257" s="10">
        <f>S257*'Parametros'!$B$8</f>
        <v>995</v>
      </c>
      <c r="W257" s="10">
        <f>'Parametros'!$B$5*V257*'Parametros'!$B$3*(U257-(V257*'Parametros'!$B$3/(0.85*'Parametros'!$B$2*H257))/2)/1000000</f>
        <v>177.445379382353</v>
      </c>
      <c r="X257" s="10" t="str">
        <f>IF(W257&gt;=J257,"CUMPLE","NO CUMPLE")</f>
        <v>CUMPLE</v>
      </c>
      <c r="Y257" s="10">
        <f>MAX(MAX(1.4/'Parametros'!$B$3,0.25*SQRT('Parametros'!$B$2)/'Parametros'!$B$3)*H257*AB257,(0.85*'Parametros'!$B$2/'Parametros'!$B$3)*(1-SQRT(1-2*(L257*1000000/('Parametros'!$B$5*H257*AB257^2))/(0.85*'Parametros'!$B$2)))*H257*AB257)</f>
        <v>815.583333333333</v>
      </c>
      <c r="Z257" s="31" t="n">
        <v>5</v>
      </c>
      <c r="AA257" s="32" t="n">
        <v>1</v>
      </c>
      <c r="AB257" s="10">
        <f>IF(AA257=1,I257-('Parametros'!$B$7+'Parametros'!$B$9+'Parametros'!$B$12/2),I257-(ROUNDUP(Z257/2,0)*('Parametros'!$B$7+'Parametros'!$B$9+'Parametros'!$B$12/2)+ROUNDDOWN(Z257/2,0)*('Parametros'!$B$7+'Parametros'!$B$9+'Parametros'!$B$12/2+'Parametros'!$B$12+'Parametros'!$B$10))/Z257)</f>
        <v>489.35</v>
      </c>
      <c r="AC257" s="10">
        <f>Z257*'Parametros'!$B$8</f>
        <v>995</v>
      </c>
      <c r="AD257" s="10">
        <f>'Parametros'!$B$5*AC257*'Parametros'!$B$3*(AB257-(AC257*'Parametros'!$B$3/(0.85*'Parametros'!$B$2*H257))/2)/1000000</f>
        <v>177.445379382353</v>
      </c>
      <c r="AE257" s="10" t="str">
        <f>IF(AD257&gt;=L257,"CUMPLE","NO CUMPLE")</f>
        <v>CUMPLE</v>
      </c>
      <c r="AF257" s="10">
        <f>V257*1.25*'Parametros'!$B$3*(U257-(V257*1.25*'Parametros'!$B$3/(0.85*'Parametros'!$B$2*H257))/2)/1000000</f>
        <v>244.158843198529</v>
      </c>
      <c r="AG257" s="10">
        <f>AC257*1.25*'Parametros'!$B$3*(AB257-(AC257*1.25*'Parametros'!$B$3/(0.85*'Parametros'!$B$2*H257))/2)/1000000</f>
        <v>244.158843198529</v>
      </c>
      <c r="AH257" s="10">
        <f>N257+(AF257+AG257)/D257</f>
        <v>418.440308630031</v>
      </c>
      <c r="AI257" s="10">
        <f>MAX(O257,AH257)</f>
        <v>614.314</v>
      </c>
      <c r="AJ257" s="10">
        <f>0.17*SQRT('Parametros'!$B$2)*H257*MIN(U257,AB257)/1000</f>
        <v>220.098728691808</v>
      </c>
      <c r="AK257" s="10">
        <f>MAX(AI257/'Parametros'!$B$6-AJ257,0)</f>
        <v>598.986604641526</v>
      </c>
      <c r="AL257" s="10">
        <f>0.66*SQRT('Parametros'!$B$2)*H257*MIN(U257,AB257)/1000</f>
        <v>854.500946685842</v>
      </c>
      <c r="AM257" s="10" t="str">
        <f>IF(AK257&lt;=AL257,"CUMPLE","NO CUMPLE")</f>
        <v>CUMPLE</v>
      </c>
      <c r="AN257" s="17" t="inlineStr">
        <is>
          <t>Nº4 cerrado</t>
        </is>
      </c>
      <c r="AO257" s="31" t="n">
        <v>2</v>
      </c>
      <c r="AP257" s="10">
        <f>ROUNDDOWN(MIN(IF(BC257+BD257=0,1000000000,AO257*BB257/(BC257+BD257)),MIN(U257,AB257)/4,8*'Parametros'!$B$12,24*BA257,300,IF(AV257=0,1000000000,2*((H257-2*('Parametros'!$B$7+'Parametros'!$B$9/2))+(I257-2*('Parametros'!$B$7+'Parametros'!$B$9/2)))/8))/10,0)*10</f>
        <v>80</v>
      </c>
      <c r="AQ257" s="10">
        <f>ROUNDDOWN(MIN(IF(BC257+BD257=0,1000000000,AO257*BB257/(BC257+BD257)),IF(AK257&gt;0.33*SQRT('Parametros'!$B$2)*H257*MIN(U257,AB257)/1000,MIN(U257,AB257)/4,MIN(U257,AB257)/2),600,IF(AV257=0,1000000000,2*((H257-2*('Parametros'!$B$7+'Parametros'!$B$9/2))+(I257-2*('Parametros'!$B$7+'Parametros'!$B$9/2)))/8))/10,0)*10</f>
        <v>80</v>
      </c>
      <c r="AR257" s="10">
        <f>'Parametros'!$B$6*(AJ257+MAX(BE257-BD257,0)*'Parametros'!$B$4*MIN(U257,AB257)/1000)</f>
        <v>662.192477768856</v>
      </c>
      <c r="AS257" s="10" t="str">
        <f>IF(AND(ISERROR(SEARCH("referencia",AN257)),AM257="CUMPLE",AR257&gt;=AI257),"CUMPLE","NO CUMPLE")</f>
        <v>CUMPLE</v>
      </c>
      <c r="AT257" s="10">
        <f>'Parametros'!$B$6*0.083*SQRT('Parametros'!$B$2)*(H257*I257)^2/(2*(H257+I257))/1000000</f>
        <v>11.862178757599</v>
      </c>
      <c r="AU257" s="10" t="str">
        <f>IF(Q257&lt;=AT257,"DESPRECIABLE","DISEÑAR")</f>
        <v>DESPRECIABLE</v>
      </c>
      <c r="AV257" s="10">
        <f>IF(Q257&lt;=AT257,0,Q257*1000000/('Parametros'!$B$6*2*0.85*(H257-2*('Parametros'!$B$7+'Parametros'!$B$9/2))*(I257-2*('Parametros'!$B$7+'Parametros'!$B$9/2))*'Parametros'!$B$4))</f>
        <v>0</v>
      </c>
      <c r="AW257" s="10">
        <f>AV257*2*((H257-2*('Parametros'!$B$7+'Parametros'!$B$9/2))+(I257-2*('Parametros'!$B$7+'Parametros'!$B$9/2)))*'Parametros'!$B$4/'Parametros'!$B$3</f>
        <v>0</v>
      </c>
      <c r="AX257" s="31" t="n">
        <v>0</v>
      </c>
      <c r="AY257" s="10" t="str">
        <f>IF(AV257=0,"DESPRECIABLE",IF(AND(ISERROR(SEARCH("referencia",AN257)),BB257/AP257&gt;=AV257,BI257&gt;=AW257,BH257="CUMPLE"),"CUMPLE","NO CUMPLE"))</f>
        <v>DESPRECIABLE</v>
      </c>
      <c r="AZ257" s="10" t="str">
        <f>IF(AND(X257="CUMPLE",AE257="CUMPLE",AS257="CUMPLE",OR(AY257="CUMPLE",AY257="DESPRECIABLE"),BH257="CUMPLE",BJ257="CUMPLE"),"CUMPLE","NO CUMPLE")</f>
        <v>CUMPLE</v>
      </c>
      <c r="BA257" s="32" t="n">
        <v>12.7</v>
      </c>
      <c r="BB257" s="32" t="n">
        <v>129</v>
      </c>
      <c r="BC257" s="10">
        <f>MAX(IF(AK257=0,0,AK257*1000/('Parametros'!$B$4*MIN(U257,AB257))),MAX(0.062*SQRT('Parametros'!$B$2)*H257/'Parametros'!$B$4,0.35*H257/'Parametros'!$B$4))</f>
        <v>2.91439375187457</v>
      </c>
      <c r="BD257" s="10">
        <f>2*AV257</f>
        <v>0</v>
      </c>
      <c r="BE257" s="10">
        <f>AO257*BB257/AP257</f>
        <v>3.225</v>
      </c>
      <c r="BF257" s="10">
        <f>SQRT((AI257*1000/(H257*MIN(U257,AB257)))^2+(Q257*1000000*2*((H257-2*('Parametros'!$B$7+'Parametros'!$B$9/2))+(I257-2*('Parametros'!$B$7+'Parametros'!$B$9/2)))/(1.7*((H257-2*('Parametros'!$B$7+'Parametros'!$B$9/2))*(I257-2*('Parametros'!$B$7+'Parametros'!$B$9/2)))^2))^2)</f>
        <v>2.51392684961276</v>
      </c>
      <c r="BG257" s="10">
        <f>'Parametros'!$B$6*(AJ257*1000/(H257*MIN(U257,AB257))+0.66*SQRT('Parametros'!$B$2))</f>
        <v>3.29396038227542</v>
      </c>
      <c r="BH257" s="10" t="str">
        <f>IF(BF257&lt;=BG257,"CUMPLE","NO CUMPLE")</f>
        <v>CUMPLE</v>
      </c>
      <c r="BI257" s="10">
        <f>AX257*'Parametros'!$B$8</f>
        <v>0</v>
      </c>
      <c r="BJ257" s="10" t="str">
        <f>IF(BI257&gt;=AW257,"CUMPLE","NO CUMPLE")</f>
        <v>CUMPLE</v>
      </c>
    </row>
    <row r="258">
      <c r="A258" s="23" t="inlineStr">
        <is>
          <t>VR1</t>
        </is>
      </c>
      <c r="B258" s="23" t="inlineStr">
        <is>
          <t>249</t>
        </is>
      </c>
      <c r="C258" s="10" t="n">
        <v>1</v>
      </c>
      <c r="D258" s="10" t="n">
        <v>3.4</v>
      </c>
      <c r="E258" s="10" t="n">
        <v>3.4</v>
      </c>
      <c r="F258" s="10" t="n">
        <v>500</v>
      </c>
      <c r="G258" s="10" t="n">
        <v>550</v>
      </c>
      <c r="H258" s="17" t="n">
        <v>500</v>
      </c>
      <c r="I258" s="17" t="n">
        <v>550</v>
      </c>
      <c r="J258" s="30" t="n">
        <v>179.1028</v>
      </c>
      <c r="K258" s="10" t="inlineStr">
        <is>
          <t>249</t>
        </is>
      </c>
      <c r="L258" s="30" t="n">
        <v>119.2526</v>
      </c>
      <c r="M258" s="10" t="inlineStr">
        <is>
          <t>249</t>
        </is>
      </c>
      <c r="N258" s="30" t="n">
        <v>136.953</v>
      </c>
      <c r="O258" s="30" t="n">
        <v>405.064</v>
      </c>
      <c r="P258" s="10" t="inlineStr">
        <is>
          <t>249</t>
        </is>
      </c>
      <c r="Q258" s="30" t="n">
        <v>9.223699999999999</v>
      </c>
      <c r="R258" s="10">
        <f>MAX(MAX(1.4/'Parametros'!$B$3,0.25*SQRT('Parametros'!$B$2)/'Parametros'!$B$3)*H258*U258,(0.85*'Parametros'!$B$2/'Parametros'!$B$3)*(1-SQRT(1-2*(J258*1000000/('Parametros'!$B$5*H258*U258^2))/(0.85*'Parametros'!$B$2)))*H258*U258)</f>
        <v>1004.65663541853</v>
      </c>
      <c r="S258" s="31" t="n">
        <v>6</v>
      </c>
      <c r="T258" s="32" t="n">
        <v>1</v>
      </c>
      <c r="U258" s="10">
        <f>IF(T258=1,I258-('Parametros'!$B$7+'Parametros'!$B$9+'Parametros'!$B$12/2),I258-(ROUNDUP(S258/2,0)*('Parametros'!$B$7+'Parametros'!$B$9+'Parametros'!$B$12/2)+ROUNDDOWN(S258/2,0)*('Parametros'!$B$7+'Parametros'!$B$9+'Parametros'!$B$12/2+'Parametros'!$B$12+'Parametros'!$B$10))/S258)</f>
        <v>489.35</v>
      </c>
      <c r="V258" s="10">
        <f>S258*'Parametros'!$B$8</f>
        <v>1194</v>
      </c>
      <c r="W258" s="10">
        <f>'Parametros'!$B$5*V258*'Parametros'!$B$3*(U258-(V258*'Parametros'!$B$3/(0.85*'Parametros'!$B$2*H258))/2)/1000000</f>
        <v>211.349483470588</v>
      </c>
      <c r="X258" s="10" t="str">
        <f>IF(W258&gt;=J258,"CUMPLE","NO CUMPLE")</f>
        <v>CUMPLE</v>
      </c>
      <c r="Y258" s="10">
        <f>MAX(MAX(1.4/'Parametros'!$B$3,0.25*SQRT('Parametros'!$B$2)/'Parametros'!$B$3)*H258*AB258,(0.85*'Parametros'!$B$2/'Parametros'!$B$3)*(1-SQRT(1-2*(L258*1000000/('Parametros'!$B$5*H258*AB258^2))/(0.85*'Parametros'!$B$2)))*H258*AB258)</f>
        <v>815.583333333333</v>
      </c>
      <c r="Z258" s="31" t="n">
        <v>5</v>
      </c>
      <c r="AA258" s="32" t="n">
        <v>1</v>
      </c>
      <c r="AB258" s="10">
        <f>IF(AA258=1,I258-('Parametros'!$B$7+'Parametros'!$B$9+'Parametros'!$B$12/2),I258-(ROUNDUP(Z258/2,0)*('Parametros'!$B$7+'Parametros'!$B$9+'Parametros'!$B$12/2)+ROUNDDOWN(Z258/2,0)*('Parametros'!$B$7+'Parametros'!$B$9+'Parametros'!$B$12/2+'Parametros'!$B$12+'Parametros'!$B$10))/Z258)</f>
        <v>489.35</v>
      </c>
      <c r="AC258" s="10">
        <f>Z258*'Parametros'!$B$8</f>
        <v>995</v>
      </c>
      <c r="AD258" s="10">
        <f>'Parametros'!$B$5*AC258*'Parametros'!$B$3*(AB258-(AC258*'Parametros'!$B$3/(0.85*'Parametros'!$B$2*H258))/2)/1000000</f>
        <v>177.445379382353</v>
      </c>
      <c r="AE258" s="10" t="str">
        <f>IF(AD258&gt;=L258,"CUMPLE","NO CUMPLE")</f>
        <v>CUMPLE</v>
      </c>
      <c r="AF258" s="10">
        <f>V258*1.25*'Parametros'!$B$3*(U258-(V258*1.25*'Parametros'!$B$3/(0.85*'Parametros'!$B$2*H258))/2)/1000000</f>
        <v>290.238924705882</v>
      </c>
      <c r="AG258" s="10">
        <f>AC258*1.25*'Parametros'!$B$3*(AB258-(AC258*1.25*'Parametros'!$B$3/(0.85*'Parametros'!$B$2*H258))/2)/1000000</f>
        <v>244.158843198529</v>
      </c>
      <c r="AH258" s="10">
        <f>N258+(AF258+AG258)/D258</f>
        <v>294.128814089533</v>
      </c>
      <c r="AI258" s="10">
        <f>MAX(O258,AH258)</f>
        <v>405.064</v>
      </c>
      <c r="AJ258" s="10">
        <f>0.17*SQRT('Parametros'!$B$2)*H258*MIN(U258,AB258)/1000</f>
        <v>220.098728691808</v>
      </c>
      <c r="AK258" s="10">
        <f>MAX(AI258/'Parametros'!$B$6-AJ258,0)</f>
        <v>319.986604641526</v>
      </c>
      <c r="AL258" s="10">
        <f>0.66*SQRT('Parametros'!$B$2)*H258*MIN(U258,AB258)/1000</f>
        <v>854.500946685842</v>
      </c>
      <c r="AM258" s="10" t="str">
        <f>IF(AK258&lt;=AL258,"CUMPLE","NO CUMPLE")</f>
        <v>CUMPLE</v>
      </c>
      <c r="AN258" s="17" t="inlineStr">
        <is>
          <t>Nº3 cerrado</t>
        </is>
      </c>
      <c r="AO258" s="31" t="n">
        <v>2</v>
      </c>
      <c r="AP258" s="10">
        <f>ROUNDDOWN(MIN(IF(BC258+BD258=0,1000000000,AO258*BB258/(BC258+BD258)),MIN(U258,AB258)/4,8*'Parametros'!$B$12,24*BA258,300,IF(AV258=0,1000000000,2*((H258-2*('Parametros'!$B$7+'Parametros'!$B$9/2))+(I258-2*('Parametros'!$B$7+'Parametros'!$B$9/2)))/8))/10,0)*10</f>
        <v>90</v>
      </c>
      <c r="AQ258" s="10">
        <f>ROUNDDOWN(MIN(IF(BC258+BD258=0,1000000000,AO258*BB258/(BC258+BD258)),IF(AK258&gt;0.33*SQRT('Parametros'!$B$2)*H258*MIN(U258,AB258)/1000,MIN(U258,AB258)/4,MIN(U258,AB258)/2),600,IF(AV258=0,1000000000,2*((H258-2*('Parametros'!$B$7+'Parametros'!$B$9/2))+(I258-2*('Parametros'!$B$7+'Parametros'!$B$9/2)))/8))/10,0)*10</f>
        <v>90</v>
      </c>
      <c r="AR258" s="10">
        <f>'Parametros'!$B$6*(AJ258+MAX(BE258-BD258,0)*'Parametros'!$B$4*MIN(U258,AB258)/1000)</f>
        <v>408.280996518856</v>
      </c>
      <c r="AS258" s="10" t="str">
        <f>IF(AND(ISERROR(SEARCH("referencia",AN258)),AM258="CUMPLE",AR258&gt;=AI258),"CUMPLE","NO CUMPLE")</f>
        <v>CUMPLE</v>
      </c>
      <c r="AT258" s="10">
        <f>'Parametros'!$B$6*0.083*SQRT('Parametros'!$B$2)*(H258*I258)^2/(2*(H258+I258))/1000000</f>
        <v>11.862178757599</v>
      </c>
      <c r="AU258" s="10" t="str">
        <f>IF(Q258&lt;=AT258,"DESPRECIABLE","DISEÑAR")</f>
        <v>DESPRECIABLE</v>
      </c>
      <c r="AV258" s="10">
        <f>IF(Q258&lt;=AT258,0,Q258*1000000/('Parametros'!$B$6*2*0.85*(H258-2*('Parametros'!$B$7+'Parametros'!$B$9/2))*(I258-2*('Parametros'!$B$7+'Parametros'!$B$9/2))*'Parametros'!$B$4))</f>
        <v>0</v>
      </c>
      <c r="AW258" s="10">
        <f>AV258*2*((H258-2*('Parametros'!$B$7+'Parametros'!$B$9/2))+(I258-2*('Parametros'!$B$7+'Parametros'!$B$9/2)))*'Parametros'!$B$4/'Parametros'!$B$3</f>
        <v>0</v>
      </c>
      <c r="AX258" s="31" t="n">
        <v>0</v>
      </c>
      <c r="AY258" s="10" t="str">
        <f>IF(AV258=0,"DESPRECIABLE",IF(AND(ISERROR(SEARCH("referencia",AN258)),BB258/AP258&gt;=AV258,BI258&gt;=AW258,BH258="CUMPLE"),"CUMPLE","NO CUMPLE"))</f>
        <v>DESPRECIABLE</v>
      </c>
      <c r="AZ258" s="10" t="str">
        <f>IF(AND(X258="CUMPLE",AE258="CUMPLE",AS258="CUMPLE",OR(AY258="CUMPLE",AY258="DESPRECIABLE"),BH258="CUMPLE",BJ258="CUMPLE"),"CUMPLE","NO CUMPLE")</f>
        <v>CUMPLE</v>
      </c>
      <c r="BA258" s="32" t="n">
        <v>9.5</v>
      </c>
      <c r="BB258" s="32" t="n">
        <v>71</v>
      </c>
      <c r="BC258" s="10">
        <f>MAX(IF(AK258=0,0,AK258*1000/('Parametros'!$B$4*MIN(U258,AB258))),MAX(0.062*SQRT('Parametros'!$B$2)*H258/'Parametros'!$B$4,0.35*H258/'Parametros'!$B$4))</f>
        <v>1.55690787410669</v>
      </c>
      <c r="BD258" s="10">
        <f>2*AV258</f>
        <v>0</v>
      </c>
      <c r="BE258" s="10">
        <f>AO258*BB258/AP258</f>
        <v>1.57777777777778</v>
      </c>
      <c r="BF258" s="10">
        <f>SQRT((AI258*1000/(H258*MIN(U258,AB258)))^2+(Q258*1000000*2*((H258-2*('Parametros'!$B$7+'Parametros'!$B$9/2))+(I258-2*('Parametros'!$B$7+'Parametros'!$B$9/2)))/(1.7*((H258-2*('Parametros'!$B$7+'Parametros'!$B$9/2))*(I258-2*('Parametros'!$B$7+'Parametros'!$B$9/2)))^2))^2)</f>
        <v>1.67746213636032</v>
      </c>
      <c r="BG258" s="10">
        <f>'Parametros'!$B$6*(AJ258*1000/(H258*MIN(U258,AB258))+0.66*SQRT('Parametros'!$B$2))</f>
        <v>3.29396038227542</v>
      </c>
      <c r="BH258" s="10" t="str">
        <f>IF(BF258&lt;=BG258,"CUMPLE","NO CUMPLE")</f>
        <v>CUMPLE</v>
      </c>
      <c r="BI258" s="10">
        <f>AX258*'Parametros'!$B$8</f>
        <v>0</v>
      </c>
      <c r="BJ258" s="10" t="str">
        <f>IF(BI258&gt;=AW258,"CUMPLE","NO CUMPLE")</f>
        <v>CUMPLE</v>
      </c>
    </row>
    <row r="259">
      <c r="A259" s="23" t="inlineStr">
        <is>
          <t>VR1</t>
        </is>
      </c>
      <c r="B259" s="23" t="inlineStr">
        <is>
          <t>250</t>
        </is>
      </c>
      <c r="C259" s="10" t="n">
        <v>1</v>
      </c>
      <c r="D259" s="10" t="n">
        <v>3.4</v>
      </c>
      <c r="E259" s="10" t="n">
        <v>3.4</v>
      </c>
      <c r="F259" s="10" t="n">
        <v>500</v>
      </c>
      <c r="G259" s="10" t="n">
        <v>550</v>
      </c>
      <c r="H259" s="17" t="n">
        <v>500</v>
      </c>
      <c r="I259" s="17" t="n">
        <v>550</v>
      </c>
      <c r="J259" s="30" t="n">
        <v>179.0934</v>
      </c>
      <c r="K259" s="10" t="inlineStr">
        <is>
          <t>250</t>
        </is>
      </c>
      <c r="L259" s="30" t="n">
        <v>119.3315</v>
      </c>
      <c r="M259" s="10" t="inlineStr">
        <is>
          <t>250</t>
        </is>
      </c>
      <c r="N259" s="30" t="n">
        <v>136.996</v>
      </c>
      <c r="O259" s="30" t="n">
        <v>405.204</v>
      </c>
      <c r="P259" s="10" t="inlineStr">
        <is>
          <t>250</t>
        </is>
      </c>
      <c r="Q259" s="30" t="n">
        <v>9.2478</v>
      </c>
      <c r="R259" s="10">
        <f>MAX(MAX(1.4/'Parametros'!$B$3,0.25*SQRT('Parametros'!$B$2)/'Parametros'!$B$3)*H259*U259,(0.85*'Parametros'!$B$2/'Parametros'!$B$3)*(1-SQRT(1-2*(J259*1000000/('Parametros'!$B$5*H259*U259^2))/(0.85*'Parametros'!$B$2)))*H259*U259)</f>
        <v>1004.60184772097</v>
      </c>
      <c r="S259" s="31" t="n">
        <v>6</v>
      </c>
      <c r="T259" s="32" t="n">
        <v>1</v>
      </c>
      <c r="U259" s="10">
        <f>IF(T259=1,I259-('Parametros'!$B$7+'Parametros'!$B$9+'Parametros'!$B$12/2),I259-(ROUNDUP(S259/2,0)*('Parametros'!$B$7+'Parametros'!$B$9+'Parametros'!$B$12/2)+ROUNDDOWN(S259/2,0)*('Parametros'!$B$7+'Parametros'!$B$9+'Parametros'!$B$12/2+'Parametros'!$B$12+'Parametros'!$B$10))/S259)</f>
        <v>489.35</v>
      </c>
      <c r="V259" s="10">
        <f>S259*'Parametros'!$B$8</f>
        <v>1194</v>
      </c>
      <c r="W259" s="10">
        <f>'Parametros'!$B$5*V259*'Parametros'!$B$3*(U259-(V259*'Parametros'!$B$3/(0.85*'Parametros'!$B$2*H259))/2)/1000000</f>
        <v>211.349483470588</v>
      </c>
      <c r="X259" s="10" t="str">
        <f>IF(W259&gt;=J259,"CUMPLE","NO CUMPLE")</f>
        <v>CUMPLE</v>
      </c>
      <c r="Y259" s="10">
        <f>MAX(MAX(1.4/'Parametros'!$B$3,0.25*SQRT('Parametros'!$B$2)/'Parametros'!$B$3)*H259*AB259,(0.85*'Parametros'!$B$2/'Parametros'!$B$3)*(1-SQRT(1-2*(L259*1000000/('Parametros'!$B$5*H259*AB259^2))/(0.85*'Parametros'!$B$2)))*H259*AB259)</f>
        <v>815.583333333333</v>
      </c>
      <c r="Z259" s="31" t="n">
        <v>5</v>
      </c>
      <c r="AA259" s="32" t="n">
        <v>1</v>
      </c>
      <c r="AB259" s="10">
        <f>IF(AA259=1,I259-('Parametros'!$B$7+'Parametros'!$B$9+'Parametros'!$B$12/2),I259-(ROUNDUP(Z259/2,0)*('Parametros'!$B$7+'Parametros'!$B$9+'Parametros'!$B$12/2)+ROUNDDOWN(Z259/2,0)*('Parametros'!$B$7+'Parametros'!$B$9+'Parametros'!$B$12/2+'Parametros'!$B$12+'Parametros'!$B$10))/Z259)</f>
        <v>489.35</v>
      </c>
      <c r="AC259" s="10">
        <f>Z259*'Parametros'!$B$8</f>
        <v>995</v>
      </c>
      <c r="AD259" s="10">
        <f>'Parametros'!$B$5*AC259*'Parametros'!$B$3*(AB259-(AC259*'Parametros'!$B$3/(0.85*'Parametros'!$B$2*H259))/2)/1000000</f>
        <v>177.445379382353</v>
      </c>
      <c r="AE259" s="10" t="str">
        <f>IF(AD259&gt;=L259,"CUMPLE","NO CUMPLE")</f>
        <v>CUMPLE</v>
      </c>
      <c r="AF259" s="10">
        <f>V259*1.25*'Parametros'!$B$3*(U259-(V259*1.25*'Parametros'!$B$3/(0.85*'Parametros'!$B$2*H259))/2)/1000000</f>
        <v>290.238924705882</v>
      </c>
      <c r="AG259" s="10">
        <f>AC259*1.25*'Parametros'!$B$3*(AB259-(AC259*1.25*'Parametros'!$B$3/(0.85*'Parametros'!$B$2*H259))/2)/1000000</f>
        <v>244.158843198529</v>
      </c>
      <c r="AH259" s="10">
        <f>N259+(AF259+AG259)/D259</f>
        <v>294.171814089533</v>
      </c>
      <c r="AI259" s="10">
        <f>MAX(O259,AH259)</f>
        <v>405.204</v>
      </c>
      <c r="AJ259" s="10">
        <f>0.17*SQRT('Parametros'!$B$2)*H259*MIN(U259,AB259)/1000</f>
        <v>220.098728691808</v>
      </c>
      <c r="AK259" s="10">
        <f>MAX(AI259/'Parametros'!$B$6-AJ259,0)</f>
        <v>320.173271308192</v>
      </c>
      <c r="AL259" s="10">
        <f>0.66*SQRT('Parametros'!$B$2)*H259*MIN(U259,AB259)/1000</f>
        <v>854.500946685842</v>
      </c>
      <c r="AM259" s="10" t="str">
        <f>IF(AK259&lt;=AL259,"CUMPLE","NO CUMPLE")</f>
        <v>CUMPLE</v>
      </c>
      <c r="AN259" s="17" t="inlineStr">
        <is>
          <t>Nº3 cerrado</t>
        </is>
      </c>
      <c r="AO259" s="31" t="n">
        <v>2</v>
      </c>
      <c r="AP259" s="10">
        <f>ROUNDDOWN(MIN(IF(BC259+BD259=0,1000000000,AO259*BB259/(BC259+BD259)),MIN(U259,AB259)/4,8*'Parametros'!$B$12,24*BA259,300,IF(AV259=0,1000000000,2*((H259-2*('Parametros'!$B$7+'Parametros'!$B$9/2))+(I259-2*('Parametros'!$B$7+'Parametros'!$B$9/2)))/8))/10,0)*10</f>
        <v>90</v>
      </c>
      <c r="AQ259" s="10">
        <f>ROUNDDOWN(MIN(IF(BC259+BD259=0,1000000000,AO259*BB259/(BC259+BD259)),IF(AK259&gt;0.33*SQRT('Parametros'!$B$2)*H259*MIN(U259,AB259)/1000,MIN(U259,AB259)/4,MIN(U259,AB259)/2),600,IF(AV259=0,1000000000,2*((H259-2*('Parametros'!$B$7+'Parametros'!$B$9/2))+(I259-2*('Parametros'!$B$7+'Parametros'!$B$9/2)))/8))/10,0)*10</f>
        <v>90</v>
      </c>
      <c r="AR259" s="10">
        <f>'Parametros'!$B$6*(AJ259+MAX(BE259-BD259,0)*'Parametros'!$B$4*MIN(U259,AB259)/1000)</f>
        <v>408.280996518856</v>
      </c>
      <c r="AS259" s="10" t="str">
        <f>IF(AND(ISERROR(SEARCH("referencia",AN259)),AM259="CUMPLE",AR259&gt;=AI259),"CUMPLE","NO CUMPLE")</f>
        <v>CUMPLE</v>
      </c>
      <c r="AT259" s="10">
        <f>'Parametros'!$B$6*0.083*SQRT('Parametros'!$B$2)*(H259*I259)^2/(2*(H259+I259))/1000000</f>
        <v>11.862178757599</v>
      </c>
      <c r="AU259" s="10" t="str">
        <f>IF(Q259&lt;=AT259,"DESPRECIABLE","DISEÑAR")</f>
        <v>DESPRECIABLE</v>
      </c>
      <c r="AV259" s="10">
        <f>IF(Q259&lt;=AT259,0,Q259*1000000/('Parametros'!$B$6*2*0.85*(H259-2*('Parametros'!$B$7+'Parametros'!$B$9/2))*(I259-2*('Parametros'!$B$7+'Parametros'!$B$9/2))*'Parametros'!$B$4))</f>
        <v>0</v>
      </c>
      <c r="AW259" s="10">
        <f>AV259*2*((H259-2*('Parametros'!$B$7+'Parametros'!$B$9/2))+(I259-2*('Parametros'!$B$7+'Parametros'!$B$9/2)))*'Parametros'!$B$4/'Parametros'!$B$3</f>
        <v>0</v>
      </c>
      <c r="AX259" s="31" t="n">
        <v>0</v>
      </c>
      <c r="AY259" s="10" t="str">
        <f>IF(AV259=0,"DESPRECIABLE",IF(AND(ISERROR(SEARCH("referencia",AN259)),BB259/AP259&gt;=AV259,BI259&gt;=AW259,BH259="CUMPLE"),"CUMPLE","NO CUMPLE"))</f>
        <v>DESPRECIABLE</v>
      </c>
      <c r="AZ259" s="10" t="str">
        <f>IF(AND(X259="CUMPLE",AE259="CUMPLE",AS259="CUMPLE",OR(AY259="CUMPLE",AY259="DESPRECIABLE"),BH259="CUMPLE",BJ259="CUMPLE"),"CUMPLE","NO CUMPLE")</f>
        <v>CUMPLE</v>
      </c>
      <c r="BA259" s="32" t="n">
        <v>9.5</v>
      </c>
      <c r="BB259" s="32" t="n">
        <v>71</v>
      </c>
      <c r="BC259" s="10">
        <f>MAX(IF(AK259=0,0,AK259*1000/('Parametros'!$B$4*MIN(U259,AB259))),MAX(0.062*SQRT('Parametros'!$B$2)*H259/'Parametros'!$B$4,0.35*H259/'Parametros'!$B$4))</f>
        <v>1.55781610838572</v>
      </c>
      <c r="BD259" s="10">
        <f>2*AV259</f>
        <v>0</v>
      </c>
      <c r="BE259" s="10">
        <f>AO259*BB259/AP259</f>
        <v>1.57777777777778</v>
      </c>
      <c r="BF259" s="10">
        <f>SQRT((AI259*1000/(H259*MIN(U259,AB259)))^2+(Q259*1000000*2*((H259-2*('Parametros'!$B$7+'Parametros'!$B$9/2))+(I259-2*('Parametros'!$B$7+'Parametros'!$B$9/2)))/(1.7*((H259-2*('Parametros'!$B$7+'Parametros'!$B$9/2))*(I259-2*('Parametros'!$B$7+'Parametros'!$B$9/2)))^2))^2)</f>
        <v>1.67814086794376</v>
      </c>
      <c r="BG259" s="10">
        <f>'Parametros'!$B$6*(AJ259*1000/(H259*MIN(U259,AB259))+0.66*SQRT('Parametros'!$B$2))</f>
        <v>3.29396038227542</v>
      </c>
      <c r="BH259" s="10" t="str">
        <f>IF(BF259&lt;=BG259,"CUMPLE","NO CUMPLE")</f>
        <v>CUMPLE</v>
      </c>
      <c r="BI259" s="10">
        <f>AX259*'Parametros'!$B$8</f>
        <v>0</v>
      </c>
      <c r="BJ259" s="10" t="str">
        <f>IF(BI259&gt;=AW259,"CUMPLE","NO CUMPLE")</f>
        <v>CUMPLE</v>
      </c>
    </row>
    <row r="260">
      <c r="A260" s="23" t="inlineStr">
        <is>
          <t>VR1</t>
        </is>
      </c>
      <c r="B260" s="23" t="inlineStr">
        <is>
          <t>251</t>
        </is>
      </c>
      <c r="C260" s="10" t="n">
        <v>1</v>
      </c>
      <c r="D260" s="10" t="n">
        <v>1.9</v>
      </c>
      <c r="E260" s="10" t="n">
        <v>1.9</v>
      </c>
      <c r="F260" s="10" t="n">
        <v>500</v>
      </c>
      <c r="G260" s="10" t="n">
        <v>550</v>
      </c>
      <c r="H260" s="17" t="n">
        <v>500</v>
      </c>
      <c r="I260" s="17" t="n">
        <v>550</v>
      </c>
      <c r="J260" s="30" t="n">
        <v>167.0416</v>
      </c>
      <c r="K260" s="10" t="inlineStr">
        <is>
          <t>251</t>
        </is>
      </c>
      <c r="L260" s="30" t="n">
        <v>134.6837</v>
      </c>
      <c r="M260" s="10" t="inlineStr">
        <is>
          <t>251</t>
        </is>
      </c>
      <c r="N260" s="30" t="n">
        <v>161.536</v>
      </c>
      <c r="O260" s="30" t="n">
        <v>614.443</v>
      </c>
      <c r="P260" s="10" t="inlineStr">
        <is>
          <t>251</t>
        </is>
      </c>
      <c r="Q260" s="30" t="n">
        <v>4.337</v>
      </c>
      <c r="R260" s="10">
        <f>MAX(MAX(1.4/'Parametros'!$B$3,0.25*SQRT('Parametros'!$B$2)/'Parametros'!$B$3)*H260*U260,(0.85*'Parametros'!$B$2/'Parametros'!$B$3)*(1-SQRT(1-2*(J260*1000000/('Parametros'!$B$5*H260*U260^2))/(0.85*'Parametros'!$B$2)))*H260*U260)</f>
        <v>934.549136181127</v>
      </c>
      <c r="S260" s="31" t="n">
        <v>5</v>
      </c>
      <c r="T260" s="32" t="n">
        <v>1</v>
      </c>
      <c r="U260" s="10">
        <f>IF(T260=1,I260-('Parametros'!$B$7+'Parametros'!$B$9+'Parametros'!$B$12/2),I260-(ROUNDUP(S260/2,0)*('Parametros'!$B$7+'Parametros'!$B$9+'Parametros'!$B$12/2)+ROUNDDOWN(S260/2,0)*('Parametros'!$B$7+'Parametros'!$B$9+'Parametros'!$B$12/2+'Parametros'!$B$12+'Parametros'!$B$10))/S260)</f>
        <v>489.35</v>
      </c>
      <c r="V260" s="10">
        <f>S260*'Parametros'!$B$8</f>
        <v>995</v>
      </c>
      <c r="W260" s="10">
        <f>'Parametros'!$B$5*V260*'Parametros'!$B$3*(U260-(V260*'Parametros'!$B$3/(0.85*'Parametros'!$B$2*H260))/2)/1000000</f>
        <v>177.445379382353</v>
      </c>
      <c r="X260" s="10" t="str">
        <f>IF(W260&gt;=J260,"CUMPLE","NO CUMPLE")</f>
        <v>CUMPLE</v>
      </c>
      <c r="Y260" s="10">
        <f>MAX(MAX(1.4/'Parametros'!$B$3,0.25*SQRT('Parametros'!$B$2)/'Parametros'!$B$3)*H260*AB260,(0.85*'Parametros'!$B$2/'Parametros'!$B$3)*(1-SQRT(1-2*(L260*1000000/('Parametros'!$B$5*H260*AB260^2))/(0.85*'Parametros'!$B$2)))*H260*AB260)</f>
        <v>815.583333333333</v>
      </c>
      <c r="Z260" s="31" t="n">
        <v>5</v>
      </c>
      <c r="AA260" s="32" t="n">
        <v>1</v>
      </c>
      <c r="AB260" s="10">
        <f>IF(AA260=1,I260-('Parametros'!$B$7+'Parametros'!$B$9+'Parametros'!$B$12/2),I260-(ROUNDUP(Z260/2,0)*('Parametros'!$B$7+'Parametros'!$B$9+'Parametros'!$B$12/2)+ROUNDDOWN(Z260/2,0)*('Parametros'!$B$7+'Parametros'!$B$9+'Parametros'!$B$12/2+'Parametros'!$B$12+'Parametros'!$B$10))/Z260)</f>
        <v>489.35</v>
      </c>
      <c r="AC260" s="10">
        <f>Z260*'Parametros'!$B$8</f>
        <v>995</v>
      </c>
      <c r="AD260" s="10">
        <f>'Parametros'!$B$5*AC260*'Parametros'!$B$3*(AB260-(AC260*'Parametros'!$B$3/(0.85*'Parametros'!$B$2*H260))/2)/1000000</f>
        <v>177.445379382353</v>
      </c>
      <c r="AE260" s="10" t="str">
        <f>IF(AD260&gt;=L260,"CUMPLE","NO CUMPLE")</f>
        <v>CUMPLE</v>
      </c>
      <c r="AF260" s="10">
        <f>V260*1.25*'Parametros'!$B$3*(U260-(V260*1.25*'Parametros'!$B$3/(0.85*'Parametros'!$B$2*H260))/2)/1000000</f>
        <v>244.158843198529</v>
      </c>
      <c r="AG260" s="10">
        <f>AC260*1.25*'Parametros'!$B$3*(AB260-(AC260*1.25*'Parametros'!$B$3/(0.85*'Parametros'!$B$2*H260))/2)/1000000</f>
        <v>244.158843198529</v>
      </c>
      <c r="AH260" s="10">
        <f>N260+(AF260+AG260)/D260</f>
        <v>418.545308630031</v>
      </c>
      <c r="AI260" s="10">
        <f>MAX(O260,AH260)</f>
        <v>614.443</v>
      </c>
      <c r="AJ260" s="10">
        <f>0.17*SQRT('Parametros'!$B$2)*H260*MIN(U260,AB260)/1000</f>
        <v>220.098728691808</v>
      </c>
      <c r="AK260" s="10">
        <f>MAX(AI260/'Parametros'!$B$6-AJ260,0)</f>
        <v>599.158604641526</v>
      </c>
      <c r="AL260" s="10">
        <f>0.66*SQRT('Parametros'!$B$2)*H260*MIN(U260,AB260)/1000</f>
        <v>854.500946685842</v>
      </c>
      <c r="AM260" s="10" t="str">
        <f>IF(AK260&lt;=AL260,"CUMPLE","NO CUMPLE")</f>
        <v>CUMPLE</v>
      </c>
      <c r="AN260" s="17" t="inlineStr">
        <is>
          <t>Nº4 cerrado</t>
        </is>
      </c>
      <c r="AO260" s="31" t="n">
        <v>2</v>
      </c>
      <c r="AP260" s="10">
        <f>ROUNDDOWN(MIN(IF(BC260+BD260=0,1000000000,AO260*BB260/(BC260+BD260)),MIN(U260,AB260)/4,8*'Parametros'!$B$12,24*BA260,300,IF(AV260=0,1000000000,2*((H260-2*('Parametros'!$B$7+'Parametros'!$B$9/2))+(I260-2*('Parametros'!$B$7+'Parametros'!$B$9/2)))/8))/10,0)*10</f>
        <v>80</v>
      </c>
      <c r="AQ260" s="10">
        <f>ROUNDDOWN(MIN(IF(BC260+BD260=0,1000000000,AO260*BB260/(BC260+BD260)),IF(AK260&gt;0.33*SQRT('Parametros'!$B$2)*H260*MIN(U260,AB260)/1000,MIN(U260,AB260)/4,MIN(U260,AB260)/2),600,IF(AV260=0,1000000000,2*((H260-2*('Parametros'!$B$7+'Parametros'!$B$9/2))+(I260-2*('Parametros'!$B$7+'Parametros'!$B$9/2)))/8))/10,0)*10</f>
        <v>80</v>
      </c>
      <c r="AR260" s="10">
        <f>'Parametros'!$B$6*(AJ260+MAX(BE260-BD260,0)*'Parametros'!$B$4*MIN(U260,AB260)/1000)</f>
        <v>662.192477768856</v>
      </c>
      <c r="AS260" s="10" t="str">
        <f>IF(AND(ISERROR(SEARCH("referencia",AN260)),AM260="CUMPLE",AR260&gt;=AI260),"CUMPLE","NO CUMPLE")</f>
        <v>CUMPLE</v>
      </c>
      <c r="AT260" s="10">
        <f>'Parametros'!$B$6*0.083*SQRT('Parametros'!$B$2)*(H260*I260)^2/(2*(H260+I260))/1000000</f>
        <v>11.862178757599</v>
      </c>
      <c r="AU260" s="10" t="str">
        <f>IF(Q260&lt;=AT260,"DESPRECIABLE","DISEÑAR")</f>
        <v>DESPRECIABLE</v>
      </c>
      <c r="AV260" s="10">
        <f>IF(Q260&lt;=AT260,0,Q260*1000000/('Parametros'!$B$6*2*0.85*(H260-2*('Parametros'!$B$7+'Parametros'!$B$9/2))*(I260-2*('Parametros'!$B$7+'Parametros'!$B$9/2))*'Parametros'!$B$4))</f>
        <v>0</v>
      </c>
      <c r="AW260" s="10">
        <f>AV260*2*((H260-2*('Parametros'!$B$7+'Parametros'!$B$9/2))+(I260-2*('Parametros'!$B$7+'Parametros'!$B$9/2)))*'Parametros'!$B$4/'Parametros'!$B$3</f>
        <v>0</v>
      </c>
      <c r="AX260" s="31" t="n">
        <v>0</v>
      </c>
      <c r="AY260" s="10" t="str">
        <f>IF(AV260=0,"DESPRECIABLE",IF(AND(ISERROR(SEARCH("referencia",AN260)),BB260/AP260&gt;=AV260,BI260&gt;=AW260,BH260="CUMPLE"),"CUMPLE","NO CUMPLE"))</f>
        <v>DESPRECIABLE</v>
      </c>
      <c r="AZ260" s="10" t="str">
        <f>IF(AND(X260="CUMPLE",AE260="CUMPLE",AS260="CUMPLE",OR(AY260="CUMPLE",AY260="DESPRECIABLE"),BH260="CUMPLE",BJ260="CUMPLE"),"CUMPLE","NO CUMPLE")</f>
        <v>CUMPLE</v>
      </c>
      <c r="BA260" s="32" t="n">
        <v>12.7</v>
      </c>
      <c r="BB260" s="32" t="n">
        <v>129</v>
      </c>
      <c r="BC260" s="10">
        <f>MAX(IF(AK260=0,0,AK260*1000/('Parametros'!$B$4*MIN(U260,AB260))),MAX(0.062*SQRT('Parametros'!$B$2)*H260/'Parametros'!$B$4,0.35*H260/'Parametros'!$B$4))</f>
        <v>2.91523062488882</v>
      </c>
      <c r="BD260" s="10">
        <f>2*AV260</f>
        <v>0</v>
      </c>
      <c r="BE260" s="10">
        <f>AO260*BB260/AP260</f>
        <v>3.225</v>
      </c>
      <c r="BF260" s="10">
        <f>SQRT((AI260*1000/(H260*MIN(U260,AB260)))^2+(Q260*1000000*2*((H260-2*('Parametros'!$B$7+'Parametros'!$B$9/2))+(I260-2*('Parametros'!$B$7+'Parametros'!$B$9/2)))/(1.7*((H260-2*('Parametros'!$B$7+'Parametros'!$B$9/2))*(I260-2*('Parametros'!$B$7+'Parametros'!$B$9/2)))^2))^2)</f>
        <v>2.51447930639312</v>
      </c>
      <c r="BG260" s="10">
        <f>'Parametros'!$B$6*(AJ260*1000/(H260*MIN(U260,AB260))+0.66*SQRT('Parametros'!$B$2))</f>
        <v>3.29396038227542</v>
      </c>
      <c r="BH260" s="10" t="str">
        <f>IF(BF260&lt;=BG260,"CUMPLE","NO CUMPLE")</f>
        <v>CUMPLE</v>
      </c>
      <c r="BI260" s="10">
        <f>AX260*'Parametros'!$B$8</f>
        <v>0</v>
      </c>
      <c r="BJ260" s="10" t="str">
        <f>IF(BI260&gt;=AW260,"CUMPLE","NO CUMPLE")</f>
        <v>CUMPLE</v>
      </c>
    </row>
    <row r="261">
      <c r="A261" s="23" t="inlineStr">
        <is>
          <t>VR1</t>
        </is>
      </c>
      <c r="B261" s="23" t="inlineStr">
        <is>
          <t>252</t>
        </is>
      </c>
      <c r="C261" s="10" t="n">
        <v>1</v>
      </c>
      <c r="D261" s="10" t="n">
        <v>2</v>
      </c>
      <c r="E261" s="10" t="n">
        <v>2</v>
      </c>
      <c r="F261" s="10" t="n">
        <v>500</v>
      </c>
      <c r="G261" s="10" t="n">
        <v>550</v>
      </c>
      <c r="H261" s="17" t="n">
        <v>500</v>
      </c>
      <c r="I261" s="17" t="n">
        <v>550</v>
      </c>
      <c r="J261" s="30" t="n">
        <v>159.7702</v>
      </c>
      <c r="K261" s="10" t="inlineStr">
        <is>
          <t>252</t>
        </is>
      </c>
      <c r="L261" s="30" t="n">
        <v>125.9286</v>
      </c>
      <c r="M261" s="10" t="inlineStr">
        <is>
          <t>252</t>
        </is>
      </c>
      <c r="N261" s="30" t="n">
        <v>152.236</v>
      </c>
      <c r="O261" s="30" t="n">
        <v>567.1849999999999</v>
      </c>
      <c r="P261" s="10" t="inlineStr">
        <is>
          <t>252</t>
        </is>
      </c>
      <c r="Q261" s="30" t="n">
        <v>7.3337</v>
      </c>
      <c r="R261" s="10">
        <f>MAX(MAX(1.4/'Parametros'!$B$3,0.25*SQRT('Parametros'!$B$2)/'Parametros'!$B$3)*H261*U261,(0.85*'Parametros'!$B$2/'Parametros'!$B$3)*(1-SQRT(1-2*(J261*1000000/('Parametros'!$B$5*H261*U261^2))/(0.85*'Parametros'!$B$2)))*H261*U261)</f>
        <v>892.466117271479</v>
      </c>
      <c r="S261" s="31" t="n">
        <v>5</v>
      </c>
      <c r="T261" s="32" t="n">
        <v>1</v>
      </c>
      <c r="U261" s="10">
        <f>IF(T261=1,I261-('Parametros'!$B$7+'Parametros'!$B$9+'Parametros'!$B$12/2),I261-(ROUNDUP(S261/2,0)*('Parametros'!$B$7+'Parametros'!$B$9+'Parametros'!$B$12/2)+ROUNDDOWN(S261/2,0)*('Parametros'!$B$7+'Parametros'!$B$9+'Parametros'!$B$12/2+'Parametros'!$B$12+'Parametros'!$B$10))/S261)</f>
        <v>489.35</v>
      </c>
      <c r="V261" s="10">
        <f>S261*'Parametros'!$B$8</f>
        <v>995</v>
      </c>
      <c r="W261" s="10">
        <f>'Parametros'!$B$5*V261*'Parametros'!$B$3*(U261-(V261*'Parametros'!$B$3/(0.85*'Parametros'!$B$2*H261))/2)/1000000</f>
        <v>177.445379382353</v>
      </c>
      <c r="X261" s="10" t="str">
        <f>IF(W261&gt;=J261,"CUMPLE","NO CUMPLE")</f>
        <v>CUMPLE</v>
      </c>
      <c r="Y261" s="10">
        <f>MAX(MAX(1.4/'Parametros'!$B$3,0.25*SQRT('Parametros'!$B$2)/'Parametros'!$B$3)*H261*AB261,(0.85*'Parametros'!$B$2/'Parametros'!$B$3)*(1-SQRT(1-2*(L261*1000000/('Parametros'!$B$5*H261*AB261^2))/(0.85*'Parametros'!$B$2)))*H261*AB261)</f>
        <v>815.583333333333</v>
      </c>
      <c r="Z261" s="31" t="n">
        <v>5</v>
      </c>
      <c r="AA261" s="32" t="n">
        <v>1</v>
      </c>
      <c r="AB261" s="10">
        <f>IF(AA261=1,I261-('Parametros'!$B$7+'Parametros'!$B$9+'Parametros'!$B$12/2),I261-(ROUNDUP(Z261/2,0)*('Parametros'!$B$7+'Parametros'!$B$9+'Parametros'!$B$12/2)+ROUNDDOWN(Z261/2,0)*('Parametros'!$B$7+'Parametros'!$B$9+'Parametros'!$B$12/2+'Parametros'!$B$12+'Parametros'!$B$10))/Z261)</f>
        <v>489.35</v>
      </c>
      <c r="AC261" s="10">
        <f>Z261*'Parametros'!$B$8</f>
        <v>995</v>
      </c>
      <c r="AD261" s="10">
        <f>'Parametros'!$B$5*AC261*'Parametros'!$B$3*(AB261-(AC261*'Parametros'!$B$3/(0.85*'Parametros'!$B$2*H261))/2)/1000000</f>
        <v>177.445379382353</v>
      </c>
      <c r="AE261" s="10" t="str">
        <f>IF(AD261&gt;=L261,"CUMPLE","NO CUMPLE")</f>
        <v>CUMPLE</v>
      </c>
      <c r="AF261" s="10">
        <f>V261*1.25*'Parametros'!$B$3*(U261-(V261*1.25*'Parametros'!$B$3/(0.85*'Parametros'!$B$2*H261))/2)/1000000</f>
        <v>244.158843198529</v>
      </c>
      <c r="AG261" s="10">
        <f>AC261*1.25*'Parametros'!$B$3*(AB261-(AC261*1.25*'Parametros'!$B$3/(0.85*'Parametros'!$B$2*H261))/2)/1000000</f>
        <v>244.158843198529</v>
      </c>
      <c r="AH261" s="10">
        <f>N261+(AF261+AG261)/D261</f>
        <v>396.394843198529</v>
      </c>
      <c r="AI261" s="10">
        <f>MAX(O261,AH261)</f>
        <v>567.185</v>
      </c>
      <c r="AJ261" s="10">
        <f>0.17*SQRT('Parametros'!$B$2)*H261*MIN(U261,AB261)/1000</f>
        <v>220.098728691808</v>
      </c>
      <c r="AK261" s="10">
        <f>MAX(AI261/'Parametros'!$B$6-AJ261,0)</f>
        <v>536.147937974859</v>
      </c>
      <c r="AL261" s="10">
        <f>0.66*SQRT('Parametros'!$B$2)*H261*MIN(U261,AB261)/1000</f>
        <v>854.500946685842</v>
      </c>
      <c r="AM261" s="10" t="str">
        <f>IF(AK261&lt;=AL261,"CUMPLE","NO CUMPLE")</f>
        <v>CUMPLE</v>
      </c>
      <c r="AN261" s="17" t="inlineStr">
        <is>
          <t>Nº4 cerrado</t>
        </is>
      </c>
      <c r="AO261" s="31" t="n">
        <v>2</v>
      </c>
      <c r="AP261" s="10">
        <f>ROUNDDOWN(MIN(IF(BC261+BD261=0,1000000000,AO261*BB261/(BC261+BD261)),MIN(U261,AB261)/4,8*'Parametros'!$B$12,24*BA261,300,IF(AV261=0,1000000000,2*((H261-2*('Parametros'!$B$7+'Parametros'!$B$9/2))+(I261-2*('Parametros'!$B$7+'Parametros'!$B$9/2)))/8))/10,0)*10</f>
        <v>90</v>
      </c>
      <c r="AQ261" s="10">
        <f>ROUNDDOWN(MIN(IF(BC261+BD261=0,1000000000,AO261*BB261/(BC261+BD261)),IF(AK261&gt;0.33*SQRT('Parametros'!$B$2)*H261*MIN(U261,AB261)/1000,MIN(U261,AB261)/4,MIN(U261,AB261)/2),600,IF(AV261=0,1000000000,2*((H261-2*('Parametros'!$B$7+'Parametros'!$B$9/2))+(I261-2*('Parametros'!$B$7+'Parametros'!$B$9/2)))/8))/10,0)*10</f>
        <v>90</v>
      </c>
      <c r="AR261" s="10">
        <f>'Parametros'!$B$6*(AJ261+MAX(BE261-BD261,0)*'Parametros'!$B$4*MIN(U261,AB261)/1000)</f>
        <v>606.957096518856</v>
      </c>
      <c r="AS261" s="10" t="str">
        <f>IF(AND(ISERROR(SEARCH("referencia",AN261)),AM261="CUMPLE",AR261&gt;=AI261),"CUMPLE","NO CUMPLE")</f>
        <v>CUMPLE</v>
      </c>
      <c r="AT261" s="10">
        <f>'Parametros'!$B$6*0.083*SQRT('Parametros'!$B$2)*(H261*I261)^2/(2*(H261+I261))/1000000</f>
        <v>11.862178757599</v>
      </c>
      <c r="AU261" s="10" t="str">
        <f>IF(Q261&lt;=AT261,"DESPRECIABLE","DISEÑAR")</f>
        <v>DESPRECIABLE</v>
      </c>
      <c r="AV261" s="10">
        <f>IF(Q261&lt;=AT261,0,Q261*1000000/('Parametros'!$B$6*2*0.85*(H261-2*('Parametros'!$B$7+'Parametros'!$B$9/2))*(I261-2*('Parametros'!$B$7+'Parametros'!$B$9/2))*'Parametros'!$B$4))</f>
        <v>0</v>
      </c>
      <c r="AW261" s="10">
        <f>AV261*2*((H261-2*('Parametros'!$B$7+'Parametros'!$B$9/2))+(I261-2*('Parametros'!$B$7+'Parametros'!$B$9/2)))*'Parametros'!$B$4/'Parametros'!$B$3</f>
        <v>0</v>
      </c>
      <c r="AX261" s="31" t="n">
        <v>0</v>
      </c>
      <c r="AY261" s="10" t="str">
        <f>IF(AV261=0,"DESPRECIABLE",IF(AND(ISERROR(SEARCH("referencia",AN261)),BB261/AP261&gt;=AV261,BI261&gt;=AW261,BH261="CUMPLE"),"CUMPLE","NO CUMPLE"))</f>
        <v>DESPRECIABLE</v>
      </c>
      <c r="AZ261" s="10" t="str">
        <f>IF(AND(X261="CUMPLE",AE261="CUMPLE",AS261="CUMPLE",OR(AY261="CUMPLE",AY261="DESPRECIABLE"),BH261="CUMPLE",BJ261="CUMPLE"),"CUMPLE","NO CUMPLE")</f>
        <v>CUMPLE</v>
      </c>
      <c r="BA261" s="32" t="n">
        <v>12.7</v>
      </c>
      <c r="BB261" s="32" t="n">
        <v>129</v>
      </c>
      <c r="BC261" s="10">
        <f>MAX(IF(AK261=0,0,AK261*1000/('Parametros'!$B$4*MIN(U261,AB261))),MAX(0.062*SQRT('Parametros'!$B$2)*H261/'Parametros'!$B$4,0.35*H261/'Parametros'!$B$4))</f>
        <v>2.60864965661377</v>
      </c>
      <c r="BD261" s="10">
        <f>2*AV261</f>
        <v>0</v>
      </c>
      <c r="BE261" s="10">
        <f>AO261*BB261/AP261</f>
        <v>2.86666666666667</v>
      </c>
      <c r="BF261" s="10">
        <f>SQRT((AI261*1000/(H261*MIN(U261,AB261)))^2+(Q261*1000000*2*((H261-2*('Parametros'!$B$7+'Parametros'!$B$9/2))+(I261-2*('Parametros'!$B$7+'Parametros'!$B$9/2)))/(1.7*((H261-2*('Parametros'!$B$7+'Parametros'!$B$9/2))*(I261-2*('Parametros'!$B$7+'Parametros'!$B$9/2)))^2))^2)</f>
        <v>2.32806717511832</v>
      </c>
      <c r="BG261" s="10">
        <f>'Parametros'!$B$6*(AJ261*1000/(H261*MIN(U261,AB261))+0.66*SQRT('Parametros'!$B$2))</f>
        <v>3.29396038227542</v>
      </c>
      <c r="BH261" s="10" t="str">
        <f>IF(BF261&lt;=BG261,"CUMPLE","NO CUMPLE")</f>
        <v>CUMPLE</v>
      </c>
      <c r="BI261" s="10">
        <f>AX261*'Parametros'!$B$8</f>
        <v>0</v>
      </c>
      <c r="BJ261" s="10" t="str">
        <f>IF(BI261&gt;=AW261,"CUMPLE","NO CUMPLE")</f>
        <v>CUMPLE</v>
      </c>
    </row>
    <row r="262">
      <c r="A262" s="23" t="inlineStr">
        <is>
          <t>VR1</t>
        </is>
      </c>
      <c r="B262" s="23" t="inlineStr">
        <is>
          <t>253</t>
        </is>
      </c>
      <c r="C262" s="10" t="n">
        <v>1</v>
      </c>
      <c r="D262" s="10" t="n">
        <v>3.05</v>
      </c>
      <c r="E262" s="10" t="n">
        <v>3.05</v>
      </c>
      <c r="F262" s="10" t="n">
        <v>500</v>
      </c>
      <c r="G262" s="10" t="n">
        <v>550</v>
      </c>
      <c r="H262" s="17" t="n">
        <v>500</v>
      </c>
      <c r="I262" s="17" t="n">
        <v>550</v>
      </c>
      <c r="J262" s="30" t="n">
        <v>170.324</v>
      </c>
      <c r="K262" s="10" t="inlineStr">
        <is>
          <t>253</t>
        </is>
      </c>
      <c r="L262" s="30" t="n">
        <v>111.737</v>
      </c>
      <c r="M262" s="10" t="inlineStr">
        <is>
          <t>253</t>
        </is>
      </c>
      <c r="N262" s="30" t="n">
        <v>136.521</v>
      </c>
      <c r="O262" s="30" t="n">
        <v>425.59</v>
      </c>
      <c r="P262" s="10" t="inlineStr">
        <is>
          <t>253</t>
        </is>
      </c>
      <c r="Q262" s="30" t="n">
        <v>3.4748</v>
      </c>
      <c r="R262" s="10">
        <f>MAX(MAX(1.4/'Parametros'!$B$3,0.25*SQRT('Parametros'!$B$2)/'Parametros'!$B$3)*H262*U262,(0.85*'Parametros'!$B$2/'Parametros'!$B$3)*(1-SQRT(1-2*(J262*1000000/('Parametros'!$B$5*H262*U262^2))/(0.85*'Parametros'!$B$2)))*H262*U262)</f>
        <v>953.590866165095</v>
      </c>
      <c r="S262" s="31" t="n">
        <v>5</v>
      </c>
      <c r="T262" s="32" t="n">
        <v>1</v>
      </c>
      <c r="U262" s="10">
        <f>IF(T262=1,I262-('Parametros'!$B$7+'Parametros'!$B$9+'Parametros'!$B$12/2),I262-(ROUNDUP(S262/2,0)*('Parametros'!$B$7+'Parametros'!$B$9+'Parametros'!$B$12/2)+ROUNDDOWN(S262/2,0)*('Parametros'!$B$7+'Parametros'!$B$9+'Parametros'!$B$12/2+'Parametros'!$B$12+'Parametros'!$B$10))/S262)</f>
        <v>489.35</v>
      </c>
      <c r="V262" s="10">
        <f>S262*'Parametros'!$B$8</f>
        <v>995</v>
      </c>
      <c r="W262" s="10">
        <f>'Parametros'!$B$5*V262*'Parametros'!$B$3*(U262-(V262*'Parametros'!$B$3/(0.85*'Parametros'!$B$2*H262))/2)/1000000</f>
        <v>177.445379382353</v>
      </c>
      <c r="X262" s="10" t="str">
        <f>IF(W262&gt;=J262,"CUMPLE","NO CUMPLE")</f>
        <v>CUMPLE</v>
      </c>
      <c r="Y262" s="10">
        <f>MAX(MAX(1.4/'Parametros'!$B$3,0.25*SQRT('Parametros'!$B$2)/'Parametros'!$B$3)*H262*AB262,(0.85*'Parametros'!$B$2/'Parametros'!$B$3)*(1-SQRT(1-2*(L262*1000000/('Parametros'!$B$5*H262*AB262^2))/(0.85*'Parametros'!$B$2)))*H262*AB262)</f>
        <v>815.583333333333</v>
      </c>
      <c r="Z262" s="31" t="n">
        <v>5</v>
      </c>
      <c r="AA262" s="32" t="n">
        <v>1</v>
      </c>
      <c r="AB262" s="10">
        <f>IF(AA262=1,I262-('Parametros'!$B$7+'Parametros'!$B$9+'Parametros'!$B$12/2),I262-(ROUNDUP(Z262/2,0)*('Parametros'!$B$7+'Parametros'!$B$9+'Parametros'!$B$12/2)+ROUNDDOWN(Z262/2,0)*('Parametros'!$B$7+'Parametros'!$B$9+'Parametros'!$B$12/2+'Parametros'!$B$12+'Parametros'!$B$10))/Z262)</f>
        <v>489.35</v>
      </c>
      <c r="AC262" s="10">
        <f>Z262*'Parametros'!$B$8</f>
        <v>995</v>
      </c>
      <c r="AD262" s="10">
        <f>'Parametros'!$B$5*AC262*'Parametros'!$B$3*(AB262-(AC262*'Parametros'!$B$3/(0.85*'Parametros'!$B$2*H262))/2)/1000000</f>
        <v>177.445379382353</v>
      </c>
      <c r="AE262" s="10" t="str">
        <f>IF(AD262&gt;=L262,"CUMPLE","NO CUMPLE")</f>
        <v>CUMPLE</v>
      </c>
      <c r="AF262" s="10">
        <f>V262*1.25*'Parametros'!$B$3*(U262-(V262*1.25*'Parametros'!$B$3/(0.85*'Parametros'!$B$2*H262))/2)/1000000</f>
        <v>244.158843198529</v>
      </c>
      <c r="AG262" s="10">
        <f>AC262*1.25*'Parametros'!$B$3*(AB262-(AC262*1.25*'Parametros'!$B$3/(0.85*'Parametros'!$B$2*H262))/2)/1000000</f>
        <v>244.158843198529</v>
      </c>
      <c r="AH262" s="10">
        <f>N262+(AF262+AG262)/D262</f>
        <v>296.625159474446</v>
      </c>
      <c r="AI262" s="10">
        <f>MAX(O262,AH262)</f>
        <v>425.59</v>
      </c>
      <c r="AJ262" s="10">
        <f>0.17*SQRT('Parametros'!$B$2)*H262*MIN(U262,AB262)/1000</f>
        <v>220.098728691808</v>
      </c>
      <c r="AK262" s="10">
        <f>MAX(AI262/'Parametros'!$B$6-AJ262,0)</f>
        <v>347.354604641525</v>
      </c>
      <c r="AL262" s="10">
        <f>0.66*SQRT('Parametros'!$B$2)*H262*MIN(U262,AB262)/1000</f>
        <v>854.500946685842</v>
      </c>
      <c r="AM262" s="10" t="str">
        <f>IF(AK262&lt;=AL262,"CUMPLE","NO CUMPLE")</f>
        <v>CUMPLE</v>
      </c>
      <c r="AN262" s="17" t="inlineStr">
        <is>
          <t>Nº3 cerrado</t>
        </is>
      </c>
      <c r="AO262" s="31" t="n">
        <v>2</v>
      </c>
      <c r="AP262" s="10">
        <f>ROUNDDOWN(MIN(IF(BC262+BD262=0,1000000000,AO262*BB262/(BC262+BD262)),MIN(U262,AB262)/4,8*'Parametros'!$B$12,24*BA262,300,IF(AV262=0,1000000000,2*((H262-2*('Parametros'!$B$7+'Parametros'!$B$9/2))+(I262-2*('Parametros'!$B$7+'Parametros'!$B$9/2)))/8))/10,0)*10</f>
        <v>80</v>
      </c>
      <c r="AQ262" s="10">
        <f>ROUNDDOWN(MIN(IF(BC262+BD262=0,1000000000,AO262*BB262/(BC262+BD262)),IF(AK262&gt;0.33*SQRT('Parametros'!$B$2)*H262*MIN(U262,AB262)/1000,MIN(U262,AB262)/4,MIN(U262,AB262)/2),600,IF(AV262=0,1000000000,2*((H262-2*('Parametros'!$B$7+'Parametros'!$B$9/2))+(I262-2*('Parametros'!$B$7+'Parametros'!$B$9/2)))/8))/10,0)*10</f>
        <v>80</v>
      </c>
      <c r="AR262" s="10">
        <f>'Parametros'!$B$6*(AJ262+MAX(BE262-BD262,0)*'Parametros'!$B$4*MIN(U262,AB262)/1000)</f>
        <v>438.681865268856</v>
      </c>
      <c r="AS262" s="10" t="str">
        <f>IF(AND(ISERROR(SEARCH("referencia",AN262)),AM262="CUMPLE",AR262&gt;=AI262),"CUMPLE","NO CUMPLE")</f>
        <v>CUMPLE</v>
      </c>
      <c r="AT262" s="10">
        <f>'Parametros'!$B$6*0.083*SQRT('Parametros'!$B$2)*(H262*I262)^2/(2*(H262+I262))/1000000</f>
        <v>11.862178757599</v>
      </c>
      <c r="AU262" s="10" t="str">
        <f>IF(Q262&lt;=AT262,"DESPRECIABLE","DISEÑAR")</f>
        <v>DESPRECIABLE</v>
      </c>
      <c r="AV262" s="10">
        <f>IF(Q262&lt;=AT262,0,Q262*1000000/('Parametros'!$B$6*2*0.85*(H262-2*('Parametros'!$B$7+'Parametros'!$B$9/2))*(I262-2*('Parametros'!$B$7+'Parametros'!$B$9/2))*'Parametros'!$B$4))</f>
        <v>0</v>
      </c>
      <c r="AW262" s="10">
        <f>AV262*2*((H262-2*('Parametros'!$B$7+'Parametros'!$B$9/2))+(I262-2*('Parametros'!$B$7+'Parametros'!$B$9/2)))*'Parametros'!$B$4/'Parametros'!$B$3</f>
        <v>0</v>
      </c>
      <c r="AX262" s="31" t="n">
        <v>0</v>
      </c>
      <c r="AY262" s="10" t="str">
        <f>IF(AV262=0,"DESPRECIABLE",IF(AND(ISERROR(SEARCH("referencia",AN262)),BB262/AP262&gt;=AV262,BI262&gt;=AW262,BH262="CUMPLE"),"CUMPLE","NO CUMPLE"))</f>
        <v>DESPRECIABLE</v>
      </c>
      <c r="AZ262" s="10" t="str">
        <f>IF(AND(X262="CUMPLE",AE262="CUMPLE",AS262="CUMPLE",OR(AY262="CUMPLE",AY262="DESPRECIABLE"),BH262="CUMPLE",BJ262="CUMPLE"),"CUMPLE","NO CUMPLE")</f>
        <v>CUMPLE</v>
      </c>
      <c r="BA262" s="32" t="n">
        <v>9.5</v>
      </c>
      <c r="BB262" s="32" t="n">
        <v>71</v>
      </c>
      <c r="BC262" s="10">
        <f>MAX(IF(AK262=0,0,AK262*1000/('Parametros'!$B$4*MIN(U262,AB262))),MAX(0.062*SQRT('Parametros'!$B$2)*H262/'Parametros'!$B$4,0.35*H262/'Parametros'!$B$4))</f>
        <v>1.69006799418824</v>
      </c>
      <c r="BD262" s="10">
        <f>2*AV262</f>
        <v>0</v>
      </c>
      <c r="BE262" s="10">
        <f>AO262*BB262/AP262</f>
        <v>1.775</v>
      </c>
      <c r="BF262" s="10">
        <f>SQRT((AI262*1000/(H262*MIN(U262,AB262)))^2+(Q262*1000000*2*((H262-2*('Parametros'!$B$7+'Parametros'!$B$9/2))+(I262-2*('Parametros'!$B$7+'Parametros'!$B$9/2)))/(1.7*((H262-2*('Parametros'!$B$7+'Parametros'!$B$9/2))*(I262-2*('Parametros'!$B$7+'Parametros'!$B$9/2)))^2))^2)</f>
        <v>1.74239058535306</v>
      </c>
      <c r="BG262" s="10">
        <f>'Parametros'!$B$6*(AJ262*1000/(H262*MIN(U262,AB262))+0.66*SQRT('Parametros'!$B$2))</f>
        <v>3.29396038227542</v>
      </c>
      <c r="BH262" s="10" t="str">
        <f>IF(BF262&lt;=BG262,"CUMPLE","NO CUMPLE")</f>
        <v>CUMPLE</v>
      </c>
      <c r="BI262" s="10">
        <f>AX262*'Parametros'!$B$8</f>
        <v>0</v>
      </c>
      <c r="BJ262" s="10" t="str">
        <f>IF(BI262&gt;=AW262,"CUMPLE","NO CUMPLE")</f>
        <v>CUMPLE</v>
      </c>
    </row>
    <row r="263">
      <c r="A263" s="23" t="inlineStr">
        <is>
          <t>VR1</t>
        </is>
      </c>
      <c r="B263" s="23" t="inlineStr">
        <is>
          <t>254</t>
        </is>
      </c>
      <c r="C263" s="10" t="n">
        <v>1</v>
      </c>
      <c r="D263" s="10" t="n">
        <v>2</v>
      </c>
      <c r="E263" s="10" t="n">
        <v>2</v>
      </c>
      <c r="F263" s="10" t="n">
        <v>500</v>
      </c>
      <c r="G263" s="10" t="n">
        <v>550</v>
      </c>
      <c r="H263" s="17" t="n">
        <v>500</v>
      </c>
      <c r="I263" s="17" t="n">
        <v>550</v>
      </c>
      <c r="J263" s="30" t="n">
        <v>179.3875</v>
      </c>
      <c r="K263" s="10" t="inlineStr">
        <is>
          <t>254</t>
        </is>
      </c>
      <c r="L263" s="30" t="n">
        <v>127.284</v>
      </c>
      <c r="M263" s="10" t="inlineStr">
        <is>
          <t>254</t>
        </is>
      </c>
      <c r="N263" s="30" t="n">
        <v>162.703</v>
      </c>
      <c r="O263" s="30" t="n">
        <v>584.016</v>
      </c>
      <c r="P263" s="10" t="inlineStr">
        <is>
          <t>254</t>
        </is>
      </c>
      <c r="Q263" s="30" t="n">
        <v>3.8795</v>
      </c>
      <c r="R263" s="10">
        <f>MAX(MAX(1.4/'Parametros'!$B$3,0.25*SQRT('Parametros'!$B$2)/'Parametros'!$B$3)*H263*U263,(0.85*'Parametros'!$B$2/'Parametros'!$B$3)*(1-SQRT(1-2*(J263*1000000/('Parametros'!$B$5*H263*U263^2))/(0.85*'Parametros'!$B$2)))*H263*U263)</f>
        <v>1006.31611384061</v>
      </c>
      <c r="S263" s="31" t="n">
        <v>6</v>
      </c>
      <c r="T263" s="32" t="n">
        <v>1</v>
      </c>
      <c r="U263" s="10">
        <f>IF(T263=1,I263-('Parametros'!$B$7+'Parametros'!$B$9+'Parametros'!$B$12/2),I263-(ROUNDUP(S263/2,0)*('Parametros'!$B$7+'Parametros'!$B$9+'Parametros'!$B$12/2)+ROUNDDOWN(S263/2,0)*('Parametros'!$B$7+'Parametros'!$B$9+'Parametros'!$B$12/2+'Parametros'!$B$12+'Parametros'!$B$10))/S263)</f>
        <v>489.35</v>
      </c>
      <c r="V263" s="10">
        <f>S263*'Parametros'!$B$8</f>
        <v>1194</v>
      </c>
      <c r="W263" s="10">
        <f>'Parametros'!$B$5*V263*'Parametros'!$B$3*(U263-(V263*'Parametros'!$B$3/(0.85*'Parametros'!$B$2*H263))/2)/1000000</f>
        <v>211.349483470588</v>
      </c>
      <c r="X263" s="10" t="str">
        <f>IF(W263&gt;=J263,"CUMPLE","NO CUMPLE")</f>
        <v>CUMPLE</v>
      </c>
      <c r="Y263" s="10">
        <f>MAX(MAX(1.4/'Parametros'!$B$3,0.25*SQRT('Parametros'!$B$2)/'Parametros'!$B$3)*H263*AB263,(0.85*'Parametros'!$B$2/'Parametros'!$B$3)*(1-SQRT(1-2*(L263*1000000/('Parametros'!$B$5*H263*AB263^2))/(0.85*'Parametros'!$B$2)))*H263*AB263)</f>
        <v>815.583333333333</v>
      </c>
      <c r="Z263" s="31" t="n">
        <v>5</v>
      </c>
      <c r="AA263" s="32" t="n">
        <v>1</v>
      </c>
      <c r="AB263" s="10">
        <f>IF(AA263=1,I263-('Parametros'!$B$7+'Parametros'!$B$9+'Parametros'!$B$12/2),I263-(ROUNDUP(Z263/2,0)*('Parametros'!$B$7+'Parametros'!$B$9+'Parametros'!$B$12/2)+ROUNDDOWN(Z263/2,0)*('Parametros'!$B$7+'Parametros'!$B$9+'Parametros'!$B$12/2+'Parametros'!$B$12+'Parametros'!$B$10))/Z263)</f>
        <v>489.35</v>
      </c>
      <c r="AC263" s="10">
        <f>Z263*'Parametros'!$B$8</f>
        <v>995</v>
      </c>
      <c r="AD263" s="10">
        <f>'Parametros'!$B$5*AC263*'Parametros'!$B$3*(AB263-(AC263*'Parametros'!$B$3/(0.85*'Parametros'!$B$2*H263))/2)/1000000</f>
        <v>177.445379382353</v>
      </c>
      <c r="AE263" s="10" t="str">
        <f>IF(AD263&gt;=L263,"CUMPLE","NO CUMPLE")</f>
        <v>CUMPLE</v>
      </c>
      <c r="AF263" s="10">
        <f>V263*1.25*'Parametros'!$B$3*(U263-(V263*1.25*'Parametros'!$B$3/(0.85*'Parametros'!$B$2*H263))/2)/1000000</f>
        <v>290.238924705882</v>
      </c>
      <c r="AG263" s="10">
        <f>AC263*1.25*'Parametros'!$B$3*(AB263-(AC263*1.25*'Parametros'!$B$3/(0.85*'Parametros'!$B$2*H263))/2)/1000000</f>
        <v>244.158843198529</v>
      </c>
      <c r="AH263" s="10">
        <f>N263+(AF263+AG263)/D263</f>
        <v>429.901883952206</v>
      </c>
      <c r="AI263" s="10">
        <f>MAX(O263,AH263)</f>
        <v>584.016</v>
      </c>
      <c r="AJ263" s="10">
        <f>0.17*SQRT('Parametros'!$B$2)*H263*MIN(U263,AB263)/1000</f>
        <v>220.098728691808</v>
      </c>
      <c r="AK263" s="10">
        <f>MAX(AI263/'Parametros'!$B$6-AJ263,0)</f>
        <v>558.589271308192</v>
      </c>
      <c r="AL263" s="10">
        <f>0.66*SQRT('Parametros'!$B$2)*H263*MIN(U263,AB263)/1000</f>
        <v>854.500946685842</v>
      </c>
      <c r="AM263" s="10" t="str">
        <f>IF(AK263&lt;=AL263,"CUMPLE","NO CUMPLE")</f>
        <v>CUMPLE</v>
      </c>
      <c r="AN263" s="17" t="inlineStr">
        <is>
          <t>Nº4 cerrado</t>
        </is>
      </c>
      <c r="AO263" s="31" t="n">
        <v>2</v>
      </c>
      <c r="AP263" s="10">
        <f>ROUNDDOWN(MIN(IF(BC263+BD263=0,1000000000,AO263*BB263/(BC263+BD263)),MIN(U263,AB263)/4,8*'Parametros'!$B$12,24*BA263,300,IF(AV263=0,1000000000,2*((H263-2*('Parametros'!$B$7+'Parametros'!$B$9/2))+(I263-2*('Parametros'!$B$7+'Parametros'!$B$9/2)))/8))/10,0)*10</f>
        <v>90</v>
      </c>
      <c r="AQ263" s="10">
        <f>ROUNDDOWN(MIN(IF(BC263+BD263=0,1000000000,AO263*BB263/(BC263+BD263)),IF(AK263&gt;0.33*SQRT('Parametros'!$B$2)*H263*MIN(U263,AB263)/1000,MIN(U263,AB263)/4,MIN(U263,AB263)/2),600,IF(AV263=0,1000000000,2*((H263-2*('Parametros'!$B$7+'Parametros'!$B$9/2))+(I263-2*('Parametros'!$B$7+'Parametros'!$B$9/2)))/8))/10,0)*10</f>
        <v>90</v>
      </c>
      <c r="AR263" s="10">
        <f>'Parametros'!$B$6*(AJ263+MAX(BE263-BD263,0)*'Parametros'!$B$4*MIN(U263,AB263)/1000)</f>
        <v>606.957096518856</v>
      </c>
      <c r="AS263" s="10" t="str">
        <f>IF(AND(ISERROR(SEARCH("referencia",AN263)),AM263="CUMPLE",AR263&gt;=AI263),"CUMPLE","NO CUMPLE")</f>
        <v>CUMPLE</v>
      </c>
      <c r="AT263" s="10">
        <f>'Parametros'!$B$6*0.083*SQRT('Parametros'!$B$2)*(H263*I263)^2/(2*(H263+I263))/1000000</f>
        <v>11.862178757599</v>
      </c>
      <c r="AU263" s="10" t="str">
        <f>IF(Q263&lt;=AT263,"DESPRECIABLE","DISEÑAR")</f>
        <v>DESPRECIABLE</v>
      </c>
      <c r="AV263" s="10">
        <f>IF(Q263&lt;=AT263,0,Q263*1000000/('Parametros'!$B$6*2*0.85*(H263-2*('Parametros'!$B$7+'Parametros'!$B$9/2))*(I263-2*('Parametros'!$B$7+'Parametros'!$B$9/2))*'Parametros'!$B$4))</f>
        <v>0</v>
      </c>
      <c r="AW263" s="10">
        <f>AV263*2*((H263-2*('Parametros'!$B$7+'Parametros'!$B$9/2))+(I263-2*('Parametros'!$B$7+'Parametros'!$B$9/2)))*'Parametros'!$B$4/'Parametros'!$B$3</f>
        <v>0</v>
      </c>
      <c r="AX263" s="31" t="n">
        <v>0</v>
      </c>
      <c r="AY263" s="10" t="str">
        <f>IF(AV263=0,"DESPRECIABLE",IF(AND(ISERROR(SEARCH("referencia",AN263)),BB263/AP263&gt;=AV263,BI263&gt;=AW263,BH263="CUMPLE"),"CUMPLE","NO CUMPLE"))</f>
        <v>DESPRECIABLE</v>
      </c>
      <c r="AZ263" s="10" t="str">
        <f>IF(AND(X263="CUMPLE",AE263="CUMPLE",AS263="CUMPLE",OR(AY263="CUMPLE",AY263="DESPRECIABLE"),BH263="CUMPLE",BJ263="CUMPLE"),"CUMPLE","NO CUMPLE")</f>
        <v>CUMPLE</v>
      </c>
      <c r="BA263" s="32" t="n">
        <v>12.7</v>
      </c>
      <c r="BB263" s="32" t="n">
        <v>129</v>
      </c>
      <c r="BC263" s="10">
        <f>MAX(IF(AK263=0,0,AK263*1000/('Parametros'!$B$4*MIN(U263,AB263))),MAX(0.062*SQRT('Parametros'!$B$2)*H263/'Parametros'!$B$4,0.35*H263/'Parametros'!$B$4))</f>
        <v>2.71783887911657</v>
      </c>
      <c r="BD263" s="10">
        <f>2*AV263</f>
        <v>0</v>
      </c>
      <c r="BE263" s="10">
        <f>AO263*BB263/AP263</f>
        <v>2.86666666666667</v>
      </c>
      <c r="BF263" s="10">
        <f>SQRT((AI263*1000/(H263*MIN(U263,AB263)))^2+(Q263*1000000*2*((H263-2*('Parametros'!$B$7+'Parametros'!$B$9/2))+(I263-2*('Parametros'!$B$7+'Parametros'!$B$9/2)))/(1.7*((H263-2*('Parametros'!$B$7+'Parametros'!$B$9/2))*(I263-2*('Parametros'!$B$7+'Parametros'!$B$9/2)))^2))^2)</f>
        <v>2.38961383596987</v>
      </c>
      <c r="BG263" s="10">
        <f>'Parametros'!$B$6*(AJ263*1000/(H263*MIN(U263,AB263))+0.66*SQRT('Parametros'!$B$2))</f>
        <v>3.29396038227542</v>
      </c>
      <c r="BH263" s="10" t="str">
        <f>IF(BF263&lt;=BG263,"CUMPLE","NO CUMPLE")</f>
        <v>CUMPLE</v>
      </c>
      <c r="BI263" s="10">
        <f>AX263*'Parametros'!$B$8</f>
        <v>0</v>
      </c>
      <c r="BJ263" s="10" t="str">
        <f>IF(BI263&gt;=AW263,"CUMPLE","NO CUMPLE")</f>
        <v>CUMPLE</v>
      </c>
    </row>
    <row r="264">
      <c r="A264" s="23" t="inlineStr">
        <is>
          <t>VR1</t>
        </is>
      </c>
      <c r="B264" s="23" t="inlineStr">
        <is>
          <t>759</t>
        </is>
      </c>
      <c r="C264" s="10" t="n">
        <v>1</v>
      </c>
      <c r="D264" s="10" t="n">
        <v>2</v>
      </c>
      <c r="E264" s="10" t="n">
        <v>2</v>
      </c>
      <c r="F264" s="10" t="n">
        <v>500</v>
      </c>
      <c r="G264" s="10" t="n">
        <v>550</v>
      </c>
      <c r="H264" s="17" t="n">
        <v>500</v>
      </c>
      <c r="I264" s="17" t="n">
        <v>550</v>
      </c>
      <c r="J264" s="30" t="n">
        <v>142.9341</v>
      </c>
      <c r="K264" s="10" t="inlineStr">
        <is>
          <t>759</t>
        </is>
      </c>
      <c r="L264" s="30" t="n">
        <v>92.0788</v>
      </c>
      <c r="M264" s="10" t="inlineStr">
        <is>
          <t>759</t>
        </is>
      </c>
      <c r="N264" s="30" t="n">
        <v>135.302</v>
      </c>
      <c r="O264" s="30" t="n">
        <v>429.593</v>
      </c>
      <c r="P264" s="10" t="inlineStr">
        <is>
          <t>759</t>
        </is>
      </c>
      <c r="Q264" s="30" t="n">
        <v>3.5014</v>
      </c>
      <c r="R264" s="10">
        <f>MAX(MAX(1.4/'Parametros'!$B$3,0.25*SQRT('Parametros'!$B$2)/'Parametros'!$B$3)*H264*U264,(0.85*'Parametros'!$B$2/'Parametros'!$B$3)*(1-SQRT(1-2*(J264*1000000/('Parametros'!$B$5*H264*U264^2))/(0.85*'Parametros'!$B$2)))*H264*U264)</f>
        <v>815.583333333333</v>
      </c>
      <c r="S264" s="31" t="n">
        <v>5</v>
      </c>
      <c r="T264" s="32" t="n">
        <v>1</v>
      </c>
      <c r="U264" s="10">
        <f>IF(T264=1,I264-('Parametros'!$B$7+'Parametros'!$B$9+'Parametros'!$B$12/2),I264-(ROUNDUP(S264/2,0)*('Parametros'!$B$7+'Parametros'!$B$9+'Parametros'!$B$12/2)+ROUNDDOWN(S264/2,0)*('Parametros'!$B$7+'Parametros'!$B$9+'Parametros'!$B$12/2+'Parametros'!$B$12+'Parametros'!$B$10))/S264)</f>
        <v>489.35</v>
      </c>
      <c r="V264" s="10">
        <f>S264*'Parametros'!$B$8</f>
        <v>995</v>
      </c>
      <c r="W264" s="10">
        <f>'Parametros'!$B$5*V264*'Parametros'!$B$3*(U264-(V264*'Parametros'!$B$3/(0.85*'Parametros'!$B$2*H264))/2)/1000000</f>
        <v>177.445379382353</v>
      </c>
      <c r="X264" s="10" t="str">
        <f>IF(W264&gt;=J264,"CUMPLE","NO CUMPLE")</f>
        <v>CUMPLE</v>
      </c>
      <c r="Y264" s="10">
        <f>MAX(MAX(1.4/'Parametros'!$B$3,0.25*SQRT('Parametros'!$B$2)/'Parametros'!$B$3)*H264*AB264,(0.85*'Parametros'!$B$2/'Parametros'!$B$3)*(1-SQRT(1-2*(L264*1000000/('Parametros'!$B$5*H264*AB264^2))/(0.85*'Parametros'!$B$2)))*H264*AB264)</f>
        <v>815.583333333333</v>
      </c>
      <c r="Z264" s="31" t="n">
        <v>5</v>
      </c>
      <c r="AA264" s="32" t="n">
        <v>1</v>
      </c>
      <c r="AB264" s="10">
        <f>IF(AA264=1,I264-('Parametros'!$B$7+'Parametros'!$B$9+'Parametros'!$B$12/2),I264-(ROUNDUP(Z264/2,0)*('Parametros'!$B$7+'Parametros'!$B$9+'Parametros'!$B$12/2)+ROUNDDOWN(Z264/2,0)*('Parametros'!$B$7+'Parametros'!$B$9+'Parametros'!$B$12/2+'Parametros'!$B$12+'Parametros'!$B$10))/Z264)</f>
        <v>489.35</v>
      </c>
      <c r="AC264" s="10">
        <f>Z264*'Parametros'!$B$8</f>
        <v>995</v>
      </c>
      <c r="AD264" s="10">
        <f>'Parametros'!$B$5*AC264*'Parametros'!$B$3*(AB264-(AC264*'Parametros'!$B$3/(0.85*'Parametros'!$B$2*H264))/2)/1000000</f>
        <v>177.445379382353</v>
      </c>
      <c r="AE264" s="10" t="str">
        <f>IF(AD264&gt;=L264,"CUMPLE","NO CUMPLE")</f>
        <v>CUMPLE</v>
      </c>
      <c r="AF264" s="10">
        <f>V264*1.25*'Parametros'!$B$3*(U264-(V264*1.25*'Parametros'!$B$3/(0.85*'Parametros'!$B$2*H264))/2)/1000000</f>
        <v>244.158843198529</v>
      </c>
      <c r="AG264" s="10">
        <f>AC264*1.25*'Parametros'!$B$3*(AB264-(AC264*1.25*'Parametros'!$B$3/(0.85*'Parametros'!$B$2*H264))/2)/1000000</f>
        <v>244.158843198529</v>
      </c>
      <c r="AH264" s="10">
        <f>N264+(AF264+AG264)/D264</f>
        <v>379.460843198529</v>
      </c>
      <c r="AI264" s="10">
        <f>MAX(O264,AH264)</f>
        <v>429.593</v>
      </c>
      <c r="AJ264" s="10">
        <f>0.17*SQRT('Parametros'!$B$2)*H264*MIN(U264,AB264)/1000</f>
        <v>220.098728691808</v>
      </c>
      <c r="AK264" s="10">
        <f>MAX(AI264/'Parametros'!$B$6-AJ264,0)</f>
        <v>352.691937974859</v>
      </c>
      <c r="AL264" s="10">
        <f>0.66*SQRT('Parametros'!$B$2)*H264*MIN(U264,AB264)/1000</f>
        <v>854.500946685842</v>
      </c>
      <c r="AM264" s="10" t="str">
        <f>IF(AK264&lt;=AL264,"CUMPLE","NO CUMPLE")</f>
        <v>CUMPLE</v>
      </c>
      <c r="AN264" s="17" t="inlineStr">
        <is>
          <t>Nº3 cerrado</t>
        </is>
      </c>
      <c r="AO264" s="31" t="n">
        <v>2</v>
      </c>
      <c r="AP264" s="10">
        <f>ROUNDDOWN(MIN(IF(BC264+BD264=0,1000000000,AO264*BB264/(BC264+BD264)),MIN(U264,AB264)/4,8*'Parametros'!$B$12,24*BA264,300,IF(AV264=0,1000000000,2*((H264-2*('Parametros'!$B$7+'Parametros'!$B$9/2))+(I264-2*('Parametros'!$B$7+'Parametros'!$B$9/2)))/8))/10,0)*10</f>
        <v>80</v>
      </c>
      <c r="AQ264" s="10">
        <f>ROUNDDOWN(MIN(IF(BC264+BD264=0,1000000000,AO264*BB264/(BC264+BD264)),IF(AK264&gt;0.33*SQRT('Parametros'!$B$2)*H264*MIN(U264,AB264)/1000,MIN(U264,AB264)/4,MIN(U264,AB264)/2),600,IF(AV264=0,1000000000,2*((H264-2*('Parametros'!$B$7+'Parametros'!$B$9/2))+(I264-2*('Parametros'!$B$7+'Parametros'!$B$9/2)))/8))/10,0)*10</f>
        <v>80</v>
      </c>
      <c r="AR264" s="10">
        <f>'Parametros'!$B$6*(AJ264+MAX(BE264-BD264,0)*'Parametros'!$B$4*MIN(U264,AB264)/1000)</f>
        <v>438.681865268856</v>
      </c>
      <c r="AS264" s="10" t="str">
        <f>IF(AND(ISERROR(SEARCH("referencia",AN264)),AM264="CUMPLE",AR264&gt;=AI264),"CUMPLE","NO CUMPLE")</f>
        <v>CUMPLE</v>
      </c>
      <c r="AT264" s="10">
        <f>'Parametros'!$B$6*0.083*SQRT('Parametros'!$B$2)*(H264*I264)^2/(2*(H264+I264))/1000000</f>
        <v>11.862178757599</v>
      </c>
      <c r="AU264" s="10" t="str">
        <f>IF(Q264&lt;=AT264,"DESPRECIABLE","DISEÑAR")</f>
        <v>DESPRECIABLE</v>
      </c>
      <c r="AV264" s="10">
        <f>IF(Q264&lt;=AT264,0,Q264*1000000/('Parametros'!$B$6*2*0.85*(H264-2*('Parametros'!$B$7+'Parametros'!$B$9/2))*(I264-2*('Parametros'!$B$7+'Parametros'!$B$9/2))*'Parametros'!$B$4))</f>
        <v>0</v>
      </c>
      <c r="AW264" s="10">
        <f>AV264*2*((H264-2*('Parametros'!$B$7+'Parametros'!$B$9/2))+(I264-2*('Parametros'!$B$7+'Parametros'!$B$9/2)))*'Parametros'!$B$4/'Parametros'!$B$3</f>
        <v>0</v>
      </c>
      <c r="AX264" s="31" t="n">
        <v>0</v>
      </c>
      <c r="AY264" s="10" t="str">
        <f>IF(AV264=0,"DESPRECIABLE",IF(AND(ISERROR(SEARCH("referencia",AN264)),BB264/AP264&gt;=AV264,BI264&gt;=AW264,BH264="CUMPLE"),"CUMPLE","NO CUMPLE"))</f>
        <v>DESPRECIABLE</v>
      </c>
      <c r="AZ264" s="10" t="str">
        <f>IF(AND(X264="CUMPLE",AE264="CUMPLE",AS264="CUMPLE",OR(AY264="CUMPLE",AY264="DESPRECIABLE"),BH264="CUMPLE",BJ264="CUMPLE"),"CUMPLE","NO CUMPLE")</f>
        <v>CUMPLE</v>
      </c>
      <c r="BA264" s="32" t="n">
        <v>9.5</v>
      </c>
      <c r="BB264" s="32" t="n">
        <v>71</v>
      </c>
      <c r="BC264" s="10">
        <f>MAX(IF(AK264=0,0,AK264*1000/('Parametros'!$B$4*MIN(U264,AB264))),MAX(0.062*SQRT('Parametros'!$B$2)*H264/'Parametros'!$B$4,0.35*H264/'Parametros'!$B$4))</f>
        <v>1.71603700718085</v>
      </c>
      <c r="BD264" s="10">
        <f>2*AV264</f>
        <v>0</v>
      </c>
      <c r="BE264" s="10">
        <f>AO264*BB264/AP264</f>
        <v>1.775</v>
      </c>
      <c r="BF264" s="10">
        <f>SQRT((AI264*1000/(H264*MIN(U264,AB264)))^2+(Q264*1000000*2*((H264-2*('Parametros'!$B$7+'Parametros'!$B$9/2))+(I264-2*('Parametros'!$B$7+'Parametros'!$B$9/2)))/(1.7*((H264-2*('Parametros'!$B$7+'Parametros'!$B$9/2))*(I264-2*('Parametros'!$B$7+'Parametros'!$B$9/2)))^2))^2)</f>
        <v>1.75876868367097</v>
      </c>
      <c r="BG264" s="10">
        <f>'Parametros'!$B$6*(AJ264*1000/(H264*MIN(U264,AB264))+0.66*SQRT('Parametros'!$B$2))</f>
        <v>3.29396038227542</v>
      </c>
      <c r="BH264" s="10" t="str">
        <f>IF(BF264&lt;=BG264,"CUMPLE","NO CUMPLE")</f>
        <v>CUMPLE</v>
      </c>
      <c r="BI264" s="10">
        <f>AX264*'Parametros'!$B$8</f>
        <v>0</v>
      </c>
      <c r="BJ264" s="10" t="str">
        <f>IF(BI264&gt;=AW264,"CUMPLE","NO CUMPLE")</f>
        <v>CUMPLE</v>
      </c>
    </row>
    <row r="265">
      <c r="A265" s="23" t="inlineStr">
        <is>
          <t>VR1</t>
        </is>
      </c>
      <c r="B265" s="23" t="inlineStr">
        <is>
          <t>760</t>
        </is>
      </c>
      <c r="C265" s="10" t="n">
        <v>1</v>
      </c>
      <c r="D265" s="10" t="n">
        <v>3.05</v>
      </c>
      <c r="E265" s="10" t="n">
        <v>3.05</v>
      </c>
      <c r="F265" s="10" t="n">
        <v>500</v>
      </c>
      <c r="G265" s="10" t="n">
        <v>550</v>
      </c>
      <c r="H265" s="17" t="n">
        <v>500</v>
      </c>
      <c r="I265" s="17" t="n">
        <v>550</v>
      </c>
      <c r="J265" s="30" t="n">
        <v>146.3497</v>
      </c>
      <c r="K265" s="10" t="inlineStr">
        <is>
          <t>760</t>
        </is>
      </c>
      <c r="L265" s="30" t="n">
        <v>87.9358</v>
      </c>
      <c r="M265" s="10" t="inlineStr">
        <is>
          <t>760</t>
        </is>
      </c>
      <c r="N265" s="30" t="n">
        <v>123.678</v>
      </c>
      <c r="O265" s="30" t="n">
        <v>360.352</v>
      </c>
      <c r="P265" s="10" t="inlineStr">
        <is>
          <t>760</t>
        </is>
      </c>
      <c r="Q265" s="30" t="n">
        <v>2.5875</v>
      </c>
      <c r="R265" s="10">
        <f>MAX(MAX(1.4/'Parametros'!$B$3,0.25*SQRT('Parametros'!$B$2)/'Parametros'!$B$3)*H265*U265,(0.85*'Parametros'!$B$2/'Parametros'!$B$3)*(1-SQRT(1-2*(J265*1000000/('Parametros'!$B$5*H265*U265^2))/(0.85*'Parametros'!$B$2)))*H265*U265)</f>
        <v>815.583333333333</v>
      </c>
      <c r="S265" s="31" t="n">
        <v>5</v>
      </c>
      <c r="T265" s="32" t="n">
        <v>1</v>
      </c>
      <c r="U265" s="10">
        <f>IF(T265=1,I265-('Parametros'!$B$7+'Parametros'!$B$9+'Parametros'!$B$12/2),I265-(ROUNDUP(S265/2,0)*('Parametros'!$B$7+'Parametros'!$B$9+'Parametros'!$B$12/2)+ROUNDDOWN(S265/2,0)*('Parametros'!$B$7+'Parametros'!$B$9+'Parametros'!$B$12/2+'Parametros'!$B$12+'Parametros'!$B$10))/S265)</f>
        <v>489.35</v>
      </c>
      <c r="V265" s="10">
        <f>S265*'Parametros'!$B$8</f>
        <v>995</v>
      </c>
      <c r="W265" s="10">
        <f>'Parametros'!$B$5*V265*'Parametros'!$B$3*(U265-(V265*'Parametros'!$B$3/(0.85*'Parametros'!$B$2*H265))/2)/1000000</f>
        <v>177.445379382353</v>
      </c>
      <c r="X265" s="10" t="str">
        <f>IF(W265&gt;=J265,"CUMPLE","NO CUMPLE")</f>
        <v>CUMPLE</v>
      </c>
      <c r="Y265" s="10">
        <f>MAX(MAX(1.4/'Parametros'!$B$3,0.25*SQRT('Parametros'!$B$2)/'Parametros'!$B$3)*H265*AB265,(0.85*'Parametros'!$B$2/'Parametros'!$B$3)*(1-SQRT(1-2*(L265*1000000/('Parametros'!$B$5*H265*AB265^2))/(0.85*'Parametros'!$B$2)))*H265*AB265)</f>
        <v>815.583333333333</v>
      </c>
      <c r="Z265" s="31" t="n">
        <v>5</v>
      </c>
      <c r="AA265" s="32" t="n">
        <v>1</v>
      </c>
      <c r="AB265" s="10">
        <f>IF(AA265=1,I265-('Parametros'!$B$7+'Parametros'!$B$9+'Parametros'!$B$12/2),I265-(ROUNDUP(Z265/2,0)*('Parametros'!$B$7+'Parametros'!$B$9+'Parametros'!$B$12/2)+ROUNDDOWN(Z265/2,0)*('Parametros'!$B$7+'Parametros'!$B$9+'Parametros'!$B$12/2+'Parametros'!$B$12+'Parametros'!$B$10))/Z265)</f>
        <v>489.35</v>
      </c>
      <c r="AC265" s="10">
        <f>Z265*'Parametros'!$B$8</f>
        <v>995</v>
      </c>
      <c r="AD265" s="10">
        <f>'Parametros'!$B$5*AC265*'Parametros'!$B$3*(AB265-(AC265*'Parametros'!$B$3/(0.85*'Parametros'!$B$2*H265))/2)/1000000</f>
        <v>177.445379382353</v>
      </c>
      <c r="AE265" s="10" t="str">
        <f>IF(AD265&gt;=L265,"CUMPLE","NO CUMPLE")</f>
        <v>CUMPLE</v>
      </c>
      <c r="AF265" s="10">
        <f>V265*1.25*'Parametros'!$B$3*(U265-(V265*1.25*'Parametros'!$B$3/(0.85*'Parametros'!$B$2*H265))/2)/1000000</f>
        <v>244.158843198529</v>
      </c>
      <c r="AG265" s="10">
        <f>AC265*1.25*'Parametros'!$B$3*(AB265-(AC265*1.25*'Parametros'!$B$3/(0.85*'Parametros'!$B$2*H265))/2)/1000000</f>
        <v>244.158843198529</v>
      </c>
      <c r="AH265" s="10">
        <f>N265+(AF265+AG265)/D265</f>
        <v>283.782159474446</v>
      </c>
      <c r="AI265" s="10">
        <f>MAX(O265,AH265)</f>
        <v>360.352</v>
      </c>
      <c r="AJ265" s="10">
        <f>0.17*SQRT('Parametros'!$B$2)*H265*MIN(U265,AB265)/1000</f>
        <v>220.098728691808</v>
      </c>
      <c r="AK265" s="10">
        <f>MAX(AI265/'Parametros'!$B$6-AJ265,0)</f>
        <v>260.370604641526</v>
      </c>
      <c r="AL265" s="10">
        <f>0.66*SQRT('Parametros'!$B$2)*H265*MIN(U265,AB265)/1000</f>
        <v>854.500946685842</v>
      </c>
      <c r="AM265" s="10" t="str">
        <f>IF(AK265&lt;=AL265,"CUMPLE","NO CUMPLE")</f>
        <v>CUMPLE</v>
      </c>
      <c r="AN265" s="17" t="inlineStr">
        <is>
          <t>Nº3 cerrado</t>
        </is>
      </c>
      <c r="AO265" s="31" t="n">
        <v>2</v>
      </c>
      <c r="AP265" s="10">
        <f>ROUNDDOWN(MIN(IF(BC265+BD265=0,1000000000,AO265*BB265/(BC265+BD265)),MIN(U265,AB265)/4,8*'Parametros'!$B$12,24*BA265,300,IF(AV265=0,1000000000,2*((H265-2*('Parametros'!$B$7+'Parametros'!$B$9/2))+(I265-2*('Parametros'!$B$7+'Parametros'!$B$9/2)))/8))/10,0)*10</f>
        <v>110</v>
      </c>
      <c r="AQ265" s="10">
        <f>ROUNDDOWN(MIN(IF(BC265+BD265=0,1000000000,AO265*BB265/(BC265+BD265)),IF(AK265&gt;0.33*SQRT('Parametros'!$B$2)*H265*MIN(U265,AB265)/1000,MIN(U265,AB265)/4,MIN(U265,AB265)/2),600,IF(AV265=0,1000000000,2*((H265-2*('Parametros'!$B$7+'Parametros'!$B$9/2))+(I265-2*('Parametros'!$B$7+'Parametros'!$B$9/2)))/8))/10,0)*10</f>
        <v>110</v>
      </c>
      <c r="AR265" s="10">
        <f>'Parametros'!$B$6*(AJ265+MAX(BE265-BD265,0)*'Parametros'!$B$4*MIN(U265,AB265)/1000)</f>
        <v>364.06155106431</v>
      </c>
      <c r="AS265" s="10" t="str">
        <f>IF(AND(ISERROR(SEARCH("referencia",AN265)),AM265="CUMPLE",AR265&gt;=AI265),"CUMPLE","NO CUMPLE")</f>
        <v>CUMPLE</v>
      </c>
      <c r="AT265" s="10">
        <f>'Parametros'!$B$6*0.083*SQRT('Parametros'!$B$2)*(H265*I265)^2/(2*(H265+I265))/1000000</f>
        <v>11.862178757599</v>
      </c>
      <c r="AU265" s="10" t="str">
        <f>IF(Q265&lt;=AT265,"DESPRECIABLE","DISEÑAR")</f>
        <v>DESPRECIABLE</v>
      </c>
      <c r="AV265" s="10">
        <f>IF(Q265&lt;=AT265,0,Q265*1000000/('Parametros'!$B$6*2*0.85*(H265-2*('Parametros'!$B$7+'Parametros'!$B$9/2))*(I265-2*('Parametros'!$B$7+'Parametros'!$B$9/2))*'Parametros'!$B$4))</f>
        <v>0</v>
      </c>
      <c r="AW265" s="10">
        <f>AV265*2*((H265-2*('Parametros'!$B$7+'Parametros'!$B$9/2))+(I265-2*('Parametros'!$B$7+'Parametros'!$B$9/2)))*'Parametros'!$B$4/'Parametros'!$B$3</f>
        <v>0</v>
      </c>
      <c r="AX265" s="31" t="n">
        <v>0</v>
      </c>
      <c r="AY265" s="10" t="str">
        <f>IF(AV265=0,"DESPRECIABLE",IF(AND(ISERROR(SEARCH("referencia",AN265)),BB265/AP265&gt;=AV265,BI265&gt;=AW265,BH265="CUMPLE"),"CUMPLE","NO CUMPLE"))</f>
        <v>DESPRECIABLE</v>
      </c>
      <c r="AZ265" s="10" t="str">
        <f>IF(AND(X265="CUMPLE",AE265="CUMPLE",AS265="CUMPLE",OR(AY265="CUMPLE",AY265="DESPRECIABLE"),BH265="CUMPLE",BJ265="CUMPLE"),"CUMPLE","NO CUMPLE")</f>
        <v>CUMPLE</v>
      </c>
      <c r="BA265" s="32" t="n">
        <v>9.5</v>
      </c>
      <c r="BB265" s="32" t="n">
        <v>71</v>
      </c>
      <c r="BC265" s="10">
        <f>MAX(IF(AK265=0,0,AK265*1000/('Parametros'!$B$4*MIN(U265,AB265))),MAX(0.062*SQRT('Parametros'!$B$2)*H265/'Parametros'!$B$4,0.35*H265/'Parametros'!$B$4))</f>
        <v>1.26684379493461</v>
      </c>
      <c r="BD265" s="10">
        <f>2*AV265</f>
        <v>0</v>
      </c>
      <c r="BE265" s="10">
        <f>AO265*BB265/AP265</f>
        <v>1.29090909090909</v>
      </c>
      <c r="BF265" s="10">
        <f>SQRT((AI265*1000/(H265*MIN(U265,AB265)))^2+(Q265*1000000*2*((H265-2*('Parametros'!$B$7+'Parametros'!$B$9/2))+(I265-2*('Parametros'!$B$7+'Parametros'!$B$9/2)))/(1.7*((H265-2*('Parametros'!$B$7+'Parametros'!$B$9/2))*(I265-2*('Parametros'!$B$7+'Parametros'!$B$9/2)))^2))^2)</f>
        <v>1.47473087606716</v>
      </c>
      <c r="BG265" s="10">
        <f>'Parametros'!$B$6*(AJ265*1000/(H265*MIN(U265,AB265))+0.66*SQRT('Parametros'!$B$2))</f>
        <v>3.29396038227542</v>
      </c>
      <c r="BH265" s="10" t="str">
        <f>IF(BF265&lt;=BG265,"CUMPLE","NO CUMPLE")</f>
        <v>CUMPLE</v>
      </c>
      <c r="BI265" s="10">
        <f>AX265*'Parametros'!$B$8</f>
        <v>0</v>
      </c>
      <c r="BJ265" s="10" t="str">
        <f>IF(BI265&gt;=AW265,"CUMPLE","NO CUMPLE")</f>
        <v>CUMPLE</v>
      </c>
    </row>
    <row r="266">
      <c r="A266" s="23" t="inlineStr">
        <is>
          <t>VR1</t>
        </is>
      </c>
      <c r="B266" s="23" t="inlineStr">
        <is>
          <t>761</t>
        </is>
      </c>
      <c r="C266" s="10" t="n">
        <v>1</v>
      </c>
      <c r="D266" s="10" t="n">
        <v>2</v>
      </c>
      <c r="E266" s="10" t="n">
        <v>2</v>
      </c>
      <c r="F266" s="10" t="n">
        <v>500</v>
      </c>
      <c r="G266" s="10" t="n">
        <v>550</v>
      </c>
      <c r="H266" s="17" t="n">
        <v>500</v>
      </c>
      <c r="I266" s="17" t="n">
        <v>550</v>
      </c>
      <c r="J266" s="30" t="n">
        <v>129.2013</v>
      </c>
      <c r="K266" s="10" t="inlineStr">
        <is>
          <t>761</t>
        </is>
      </c>
      <c r="L266" s="30" t="n">
        <v>92.5853</v>
      </c>
      <c r="M266" s="10" t="inlineStr">
        <is>
          <t>761</t>
        </is>
      </c>
      <c r="N266" s="30" t="n">
        <v>127.946</v>
      </c>
      <c r="O266" s="30" t="n">
        <v>439.508</v>
      </c>
      <c r="P266" s="10" t="inlineStr">
        <is>
          <t>761</t>
        </is>
      </c>
      <c r="Q266" s="30" t="n">
        <v>5.589</v>
      </c>
      <c r="R266" s="10">
        <f>MAX(MAX(1.4/'Parametros'!$B$3,0.25*SQRT('Parametros'!$B$2)/'Parametros'!$B$3)*H266*U266,(0.85*'Parametros'!$B$2/'Parametros'!$B$3)*(1-SQRT(1-2*(J266*1000000/('Parametros'!$B$5*H266*U266^2))/(0.85*'Parametros'!$B$2)))*H266*U266)</f>
        <v>815.583333333333</v>
      </c>
      <c r="S266" s="31" t="n">
        <v>5</v>
      </c>
      <c r="T266" s="32" t="n">
        <v>1</v>
      </c>
      <c r="U266" s="10">
        <f>IF(T266=1,I266-('Parametros'!$B$7+'Parametros'!$B$9+'Parametros'!$B$12/2),I266-(ROUNDUP(S266/2,0)*('Parametros'!$B$7+'Parametros'!$B$9+'Parametros'!$B$12/2)+ROUNDDOWN(S266/2,0)*('Parametros'!$B$7+'Parametros'!$B$9+'Parametros'!$B$12/2+'Parametros'!$B$12+'Parametros'!$B$10))/S266)</f>
        <v>489.35</v>
      </c>
      <c r="V266" s="10">
        <f>S266*'Parametros'!$B$8</f>
        <v>995</v>
      </c>
      <c r="W266" s="10">
        <f>'Parametros'!$B$5*V266*'Parametros'!$B$3*(U266-(V266*'Parametros'!$B$3/(0.85*'Parametros'!$B$2*H266))/2)/1000000</f>
        <v>177.445379382353</v>
      </c>
      <c r="X266" s="10" t="str">
        <f>IF(W266&gt;=J266,"CUMPLE","NO CUMPLE")</f>
        <v>CUMPLE</v>
      </c>
      <c r="Y266" s="10">
        <f>MAX(MAX(1.4/'Parametros'!$B$3,0.25*SQRT('Parametros'!$B$2)/'Parametros'!$B$3)*H266*AB266,(0.85*'Parametros'!$B$2/'Parametros'!$B$3)*(1-SQRT(1-2*(L266*1000000/('Parametros'!$B$5*H266*AB266^2))/(0.85*'Parametros'!$B$2)))*H266*AB266)</f>
        <v>815.583333333333</v>
      </c>
      <c r="Z266" s="31" t="n">
        <v>5</v>
      </c>
      <c r="AA266" s="32" t="n">
        <v>1</v>
      </c>
      <c r="AB266" s="10">
        <f>IF(AA266=1,I266-('Parametros'!$B$7+'Parametros'!$B$9+'Parametros'!$B$12/2),I266-(ROUNDUP(Z266/2,0)*('Parametros'!$B$7+'Parametros'!$B$9+'Parametros'!$B$12/2)+ROUNDDOWN(Z266/2,0)*('Parametros'!$B$7+'Parametros'!$B$9+'Parametros'!$B$12/2+'Parametros'!$B$12+'Parametros'!$B$10))/Z266)</f>
        <v>489.35</v>
      </c>
      <c r="AC266" s="10">
        <f>Z266*'Parametros'!$B$8</f>
        <v>995</v>
      </c>
      <c r="AD266" s="10">
        <f>'Parametros'!$B$5*AC266*'Parametros'!$B$3*(AB266-(AC266*'Parametros'!$B$3/(0.85*'Parametros'!$B$2*H266))/2)/1000000</f>
        <v>177.445379382353</v>
      </c>
      <c r="AE266" s="10" t="str">
        <f>IF(AD266&gt;=L266,"CUMPLE","NO CUMPLE")</f>
        <v>CUMPLE</v>
      </c>
      <c r="AF266" s="10">
        <f>V266*1.25*'Parametros'!$B$3*(U266-(V266*1.25*'Parametros'!$B$3/(0.85*'Parametros'!$B$2*H266))/2)/1000000</f>
        <v>244.158843198529</v>
      </c>
      <c r="AG266" s="10">
        <f>AC266*1.25*'Parametros'!$B$3*(AB266-(AC266*1.25*'Parametros'!$B$3/(0.85*'Parametros'!$B$2*H266))/2)/1000000</f>
        <v>244.158843198529</v>
      </c>
      <c r="AH266" s="10">
        <f>N266+(AF266+AG266)/D266</f>
        <v>372.104843198529</v>
      </c>
      <c r="AI266" s="10">
        <f>MAX(O266,AH266)</f>
        <v>439.508</v>
      </c>
      <c r="AJ266" s="10">
        <f>0.17*SQRT('Parametros'!$B$2)*H266*MIN(U266,AB266)/1000</f>
        <v>220.098728691808</v>
      </c>
      <c r="AK266" s="10">
        <f>MAX(AI266/'Parametros'!$B$6-AJ266,0)</f>
        <v>365.911937974859</v>
      </c>
      <c r="AL266" s="10">
        <f>0.66*SQRT('Parametros'!$B$2)*H266*MIN(U266,AB266)/1000</f>
        <v>854.500946685842</v>
      </c>
      <c r="AM266" s="10" t="str">
        <f>IF(AK266&lt;=AL266,"CUMPLE","NO CUMPLE")</f>
        <v>CUMPLE</v>
      </c>
      <c r="AN266" s="17" t="inlineStr">
        <is>
          <t>Nº4 cerrado</t>
        </is>
      </c>
      <c r="AO266" s="31" t="n">
        <v>2</v>
      </c>
      <c r="AP266" s="10">
        <f>ROUNDDOWN(MIN(IF(BC266+BD266=0,1000000000,AO266*BB266/(BC266+BD266)),MIN(U266,AB266)/4,8*'Parametros'!$B$12,24*BA266,300,IF(AV266=0,1000000000,2*((H266-2*('Parametros'!$B$7+'Parametros'!$B$9/2))+(I266-2*('Parametros'!$B$7+'Parametros'!$B$9/2)))/8))/10,0)*10</f>
        <v>120</v>
      </c>
      <c r="AQ266" s="10">
        <f>ROUNDDOWN(MIN(IF(BC266+BD266=0,1000000000,AO266*BB266/(BC266+BD266)),IF(AK266&gt;0.33*SQRT('Parametros'!$B$2)*H266*MIN(U266,AB266)/1000,MIN(U266,AB266)/4,MIN(U266,AB266)/2),600,IF(AV266=0,1000000000,2*((H266-2*('Parametros'!$B$7+'Parametros'!$B$9/2))+(I266-2*('Parametros'!$B$7+'Parametros'!$B$9/2)))/8))/10,0)*10</f>
        <v>140</v>
      </c>
      <c r="AR266" s="10">
        <f>'Parametros'!$B$6*(AJ266+MAX(BE266-BD266,0)*'Parametros'!$B$4*MIN(U266,AB266)/1000)</f>
        <v>496.486334018856</v>
      </c>
      <c r="AS266" s="10" t="str">
        <f>IF(AND(ISERROR(SEARCH("referencia",AN266)),AM266="CUMPLE",AR266&gt;=AI266),"CUMPLE","NO CUMPLE")</f>
        <v>CUMPLE</v>
      </c>
      <c r="AT266" s="10">
        <f>'Parametros'!$B$6*0.083*SQRT('Parametros'!$B$2)*(H266*I266)^2/(2*(H266+I266))/1000000</f>
        <v>11.862178757599</v>
      </c>
      <c r="AU266" s="10" t="str">
        <f>IF(Q266&lt;=AT266,"DESPRECIABLE","DISEÑAR")</f>
        <v>DESPRECIABLE</v>
      </c>
      <c r="AV266" s="10">
        <f>IF(Q266&lt;=AT266,0,Q266*1000000/('Parametros'!$B$6*2*0.85*(H266-2*('Parametros'!$B$7+'Parametros'!$B$9/2))*(I266-2*('Parametros'!$B$7+'Parametros'!$B$9/2))*'Parametros'!$B$4))</f>
        <v>0</v>
      </c>
      <c r="AW266" s="10">
        <f>AV266*2*((H266-2*('Parametros'!$B$7+'Parametros'!$B$9/2))+(I266-2*('Parametros'!$B$7+'Parametros'!$B$9/2)))*'Parametros'!$B$4/'Parametros'!$B$3</f>
        <v>0</v>
      </c>
      <c r="AX266" s="31" t="n">
        <v>0</v>
      </c>
      <c r="AY266" s="10" t="str">
        <f>IF(AV266=0,"DESPRECIABLE",IF(AND(ISERROR(SEARCH("referencia",AN266)),BB266/AP266&gt;=AV266,BI266&gt;=AW266,BH266="CUMPLE"),"CUMPLE","NO CUMPLE"))</f>
        <v>DESPRECIABLE</v>
      </c>
      <c r="AZ266" s="10" t="str">
        <f>IF(AND(X266="CUMPLE",AE266="CUMPLE",AS266="CUMPLE",OR(AY266="CUMPLE",AY266="DESPRECIABLE"),BH266="CUMPLE",BJ266="CUMPLE"),"CUMPLE","NO CUMPLE")</f>
        <v>CUMPLE</v>
      </c>
      <c r="BA266" s="32" t="n">
        <v>12.7</v>
      </c>
      <c r="BB266" s="32" t="n">
        <v>129</v>
      </c>
      <c r="BC266" s="10">
        <f>MAX(IF(AK266=0,0,AK266*1000/('Parametros'!$B$4*MIN(U266,AB266))),MAX(0.062*SQRT('Parametros'!$B$2)*H266/'Parametros'!$B$4,0.35*H266/'Parametros'!$B$4))</f>
        <v>1.78035945629946</v>
      </c>
      <c r="BD266" s="10">
        <f>2*AV266</f>
        <v>0</v>
      </c>
      <c r="BE266" s="10">
        <f>AO266*BB266/AP266</f>
        <v>2.15</v>
      </c>
      <c r="BF266" s="10">
        <f>SQRT((AI266*1000/(H266*MIN(U266,AB266)))^2+(Q266*1000000*2*((H266-2*('Parametros'!$B$7+'Parametros'!$B$9/2))+(I266-2*('Parametros'!$B$7+'Parametros'!$B$9/2)))/(1.7*((H266-2*('Parametros'!$B$7+'Parametros'!$B$9/2))*(I266-2*('Parametros'!$B$7+'Parametros'!$B$9/2)))^2))^2)</f>
        <v>1.80375221040471</v>
      </c>
      <c r="BG266" s="10">
        <f>'Parametros'!$B$6*(AJ266*1000/(H266*MIN(U266,AB266))+0.66*SQRT('Parametros'!$B$2))</f>
        <v>3.29396038227542</v>
      </c>
      <c r="BH266" s="10" t="str">
        <f>IF(BF266&lt;=BG266,"CUMPLE","NO CUMPLE")</f>
        <v>CUMPLE</v>
      </c>
      <c r="BI266" s="10">
        <f>AX266*'Parametros'!$B$8</f>
        <v>0</v>
      </c>
      <c r="BJ266" s="10" t="str">
        <f>IF(BI266&gt;=AW266,"CUMPLE","NO CUMPLE")</f>
        <v>CUMPLE</v>
      </c>
    </row>
    <row r="267">
      <c r="A267" s="23" t="inlineStr">
        <is>
          <t>VR1</t>
        </is>
      </c>
      <c r="B267" s="23" t="inlineStr">
        <is>
          <t>762</t>
        </is>
      </c>
      <c r="C267" s="10" t="n">
        <v>1</v>
      </c>
      <c r="D267" s="10" t="n">
        <v>1.9</v>
      </c>
      <c r="E267" s="10" t="n">
        <v>1.9</v>
      </c>
      <c r="F267" s="10" t="n">
        <v>500</v>
      </c>
      <c r="G267" s="10" t="n">
        <v>550</v>
      </c>
      <c r="H267" s="17" t="n">
        <v>500</v>
      </c>
      <c r="I267" s="17" t="n">
        <v>550</v>
      </c>
      <c r="J267" s="30" t="n">
        <v>136.2337</v>
      </c>
      <c r="K267" s="10" t="inlineStr">
        <is>
          <t>762</t>
        </is>
      </c>
      <c r="L267" s="30" t="n">
        <v>101.8648</v>
      </c>
      <c r="M267" s="10" t="inlineStr">
        <is>
          <t>762</t>
        </is>
      </c>
      <c r="N267" s="30" t="n">
        <v>136.761</v>
      </c>
      <c r="O267" s="30" t="n">
        <v>479.243</v>
      </c>
      <c r="P267" s="10" t="inlineStr">
        <is>
          <t>762</t>
        </is>
      </c>
      <c r="Q267" s="30" t="n">
        <v>3.366</v>
      </c>
      <c r="R267" s="10">
        <f>MAX(MAX(1.4/'Parametros'!$B$3,0.25*SQRT('Parametros'!$B$2)/'Parametros'!$B$3)*H267*U267,(0.85*'Parametros'!$B$2/'Parametros'!$B$3)*(1-SQRT(1-2*(J267*1000000/('Parametros'!$B$5*H267*U267^2))/(0.85*'Parametros'!$B$2)))*H267*U267)</f>
        <v>815.583333333333</v>
      </c>
      <c r="S267" s="31" t="n">
        <v>5</v>
      </c>
      <c r="T267" s="32" t="n">
        <v>1</v>
      </c>
      <c r="U267" s="10">
        <f>IF(T267=1,I267-('Parametros'!$B$7+'Parametros'!$B$9+'Parametros'!$B$12/2),I267-(ROUNDUP(S267/2,0)*('Parametros'!$B$7+'Parametros'!$B$9+'Parametros'!$B$12/2)+ROUNDDOWN(S267/2,0)*('Parametros'!$B$7+'Parametros'!$B$9+'Parametros'!$B$12/2+'Parametros'!$B$12+'Parametros'!$B$10))/S267)</f>
        <v>489.35</v>
      </c>
      <c r="V267" s="10">
        <f>S267*'Parametros'!$B$8</f>
        <v>995</v>
      </c>
      <c r="W267" s="10">
        <f>'Parametros'!$B$5*V267*'Parametros'!$B$3*(U267-(V267*'Parametros'!$B$3/(0.85*'Parametros'!$B$2*H267))/2)/1000000</f>
        <v>177.445379382353</v>
      </c>
      <c r="X267" s="10" t="str">
        <f>IF(W267&gt;=J267,"CUMPLE","NO CUMPLE")</f>
        <v>CUMPLE</v>
      </c>
      <c r="Y267" s="10">
        <f>MAX(MAX(1.4/'Parametros'!$B$3,0.25*SQRT('Parametros'!$B$2)/'Parametros'!$B$3)*H267*AB267,(0.85*'Parametros'!$B$2/'Parametros'!$B$3)*(1-SQRT(1-2*(L267*1000000/('Parametros'!$B$5*H267*AB267^2))/(0.85*'Parametros'!$B$2)))*H267*AB267)</f>
        <v>815.583333333333</v>
      </c>
      <c r="Z267" s="31" t="n">
        <v>5</v>
      </c>
      <c r="AA267" s="32" t="n">
        <v>1</v>
      </c>
      <c r="AB267" s="10">
        <f>IF(AA267=1,I267-('Parametros'!$B$7+'Parametros'!$B$9+'Parametros'!$B$12/2),I267-(ROUNDUP(Z267/2,0)*('Parametros'!$B$7+'Parametros'!$B$9+'Parametros'!$B$12/2)+ROUNDDOWN(Z267/2,0)*('Parametros'!$B$7+'Parametros'!$B$9+'Parametros'!$B$12/2+'Parametros'!$B$12+'Parametros'!$B$10))/Z267)</f>
        <v>489.35</v>
      </c>
      <c r="AC267" s="10">
        <f>Z267*'Parametros'!$B$8</f>
        <v>995</v>
      </c>
      <c r="AD267" s="10">
        <f>'Parametros'!$B$5*AC267*'Parametros'!$B$3*(AB267-(AC267*'Parametros'!$B$3/(0.85*'Parametros'!$B$2*H267))/2)/1000000</f>
        <v>177.445379382353</v>
      </c>
      <c r="AE267" s="10" t="str">
        <f>IF(AD267&gt;=L267,"CUMPLE","NO CUMPLE")</f>
        <v>CUMPLE</v>
      </c>
      <c r="AF267" s="10">
        <f>V267*1.25*'Parametros'!$B$3*(U267-(V267*1.25*'Parametros'!$B$3/(0.85*'Parametros'!$B$2*H267))/2)/1000000</f>
        <v>244.158843198529</v>
      </c>
      <c r="AG267" s="10">
        <f>AC267*1.25*'Parametros'!$B$3*(AB267-(AC267*1.25*'Parametros'!$B$3/(0.85*'Parametros'!$B$2*H267))/2)/1000000</f>
        <v>244.158843198529</v>
      </c>
      <c r="AH267" s="10">
        <f>N267+(AF267+AG267)/D267</f>
        <v>393.770308630031</v>
      </c>
      <c r="AI267" s="10">
        <f>MAX(O267,AH267)</f>
        <v>479.243</v>
      </c>
      <c r="AJ267" s="10">
        <f>0.17*SQRT('Parametros'!$B$2)*H267*MIN(U267,AB267)/1000</f>
        <v>220.098728691808</v>
      </c>
      <c r="AK267" s="10">
        <f>MAX(AI267/'Parametros'!$B$6-AJ267,0)</f>
        <v>418.891937974859</v>
      </c>
      <c r="AL267" s="10">
        <f>0.66*SQRT('Parametros'!$B$2)*H267*MIN(U267,AB267)/1000</f>
        <v>854.500946685842</v>
      </c>
      <c r="AM267" s="10" t="str">
        <f>IF(AK267&lt;=AL267,"CUMPLE","NO CUMPLE")</f>
        <v>CUMPLE</v>
      </c>
      <c r="AN267" s="17" t="inlineStr">
        <is>
          <t>Nº4 cerrado</t>
        </is>
      </c>
      <c r="AO267" s="31" t="n">
        <v>2</v>
      </c>
      <c r="AP267" s="10">
        <f>ROUNDDOWN(MIN(IF(BC267+BD267=0,1000000000,AO267*BB267/(BC267+BD267)),MIN(U267,AB267)/4,8*'Parametros'!$B$12,24*BA267,300,IF(AV267=0,1000000000,2*((H267-2*('Parametros'!$B$7+'Parametros'!$B$9/2))+(I267-2*('Parametros'!$B$7+'Parametros'!$B$9/2)))/8))/10,0)*10</f>
        <v>120</v>
      </c>
      <c r="AQ267" s="10">
        <f>ROUNDDOWN(MIN(IF(BC267+BD267=0,1000000000,AO267*BB267/(BC267+BD267)),IF(AK267&gt;0.33*SQRT('Parametros'!$B$2)*H267*MIN(U267,AB267)/1000,MIN(U267,AB267)/4,MIN(U267,AB267)/2),600,IF(AV267=0,1000000000,2*((H267-2*('Parametros'!$B$7+'Parametros'!$B$9/2))+(I267-2*('Parametros'!$B$7+'Parametros'!$B$9/2)))/8))/10,0)*10</f>
        <v>120</v>
      </c>
      <c r="AR267" s="10">
        <f>'Parametros'!$B$6*(AJ267+MAX(BE267-BD267,0)*'Parametros'!$B$4*MIN(U267,AB267)/1000)</f>
        <v>496.486334018856</v>
      </c>
      <c r="AS267" s="10" t="str">
        <f>IF(AND(ISERROR(SEARCH("referencia",AN267)),AM267="CUMPLE",AR267&gt;=AI267),"CUMPLE","NO CUMPLE")</f>
        <v>CUMPLE</v>
      </c>
      <c r="AT267" s="10">
        <f>'Parametros'!$B$6*0.083*SQRT('Parametros'!$B$2)*(H267*I267)^2/(2*(H267+I267))/1000000</f>
        <v>11.862178757599</v>
      </c>
      <c r="AU267" s="10" t="str">
        <f>IF(Q267&lt;=AT267,"DESPRECIABLE","DISEÑAR")</f>
        <v>DESPRECIABLE</v>
      </c>
      <c r="AV267" s="10">
        <f>IF(Q267&lt;=AT267,0,Q267*1000000/('Parametros'!$B$6*2*0.85*(H267-2*('Parametros'!$B$7+'Parametros'!$B$9/2))*(I267-2*('Parametros'!$B$7+'Parametros'!$B$9/2))*'Parametros'!$B$4))</f>
        <v>0</v>
      </c>
      <c r="AW267" s="10">
        <f>AV267*2*((H267-2*('Parametros'!$B$7+'Parametros'!$B$9/2))+(I267-2*('Parametros'!$B$7+'Parametros'!$B$9/2)))*'Parametros'!$B$4/'Parametros'!$B$3</f>
        <v>0</v>
      </c>
      <c r="AX267" s="31" t="n">
        <v>0</v>
      </c>
      <c r="AY267" s="10" t="str">
        <f>IF(AV267=0,"DESPRECIABLE",IF(AND(ISERROR(SEARCH("referencia",AN267)),BB267/AP267&gt;=AV267,BI267&gt;=AW267,BH267="CUMPLE"),"CUMPLE","NO CUMPLE"))</f>
        <v>DESPRECIABLE</v>
      </c>
      <c r="AZ267" s="10" t="str">
        <f>IF(AND(X267="CUMPLE",AE267="CUMPLE",AS267="CUMPLE",OR(AY267="CUMPLE",AY267="DESPRECIABLE"),BH267="CUMPLE",BJ267="CUMPLE"),"CUMPLE","NO CUMPLE")</f>
        <v>CUMPLE</v>
      </c>
      <c r="BA267" s="32" t="n">
        <v>12.7</v>
      </c>
      <c r="BB267" s="32" t="n">
        <v>129</v>
      </c>
      <c r="BC267" s="10">
        <f>MAX(IF(AK267=0,0,AK267*1000/('Parametros'!$B$4*MIN(U267,AB267))),MAX(0.062*SQRT('Parametros'!$B$2)*H267/'Parametros'!$B$4,0.35*H267/'Parametros'!$B$4))</f>
        <v>2.03813580685194</v>
      </c>
      <c r="BD267" s="10">
        <f>2*AV267</f>
        <v>0</v>
      </c>
      <c r="BE267" s="10">
        <f>AO267*BB267/AP267</f>
        <v>2.15</v>
      </c>
      <c r="BF267" s="10">
        <f>SQRT((AI267*1000/(H267*MIN(U267,AB267)))^2+(Q267*1000000*2*((H267-2*('Parametros'!$B$7+'Parametros'!$B$9/2))+(I267-2*('Parametros'!$B$7+'Parametros'!$B$9/2)))/(1.7*((H267-2*('Parametros'!$B$7+'Parametros'!$B$9/2))*(I267-2*('Parametros'!$B$7+'Parametros'!$B$9/2)))^2))^2)</f>
        <v>1.96117691626298</v>
      </c>
      <c r="BG267" s="10">
        <f>'Parametros'!$B$6*(AJ267*1000/(H267*MIN(U267,AB267))+0.66*SQRT('Parametros'!$B$2))</f>
        <v>3.29396038227542</v>
      </c>
      <c r="BH267" s="10" t="str">
        <f>IF(BF267&lt;=BG267,"CUMPLE","NO CUMPLE")</f>
        <v>CUMPLE</v>
      </c>
      <c r="BI267" s="10">
        <f>AX267*'Parametros'!$B$8</f>
        <v>0</v>
      </c>
      <c r="BJ267" s="10" t="str">
        <f>IF(BI267&gt;=AW267,"CUMPLE","NO CUMPLE")</f>
        <v>CUMPLE</v>
      </c>
    </row>
    <row r="268">
      <c r="A268" s="23" t="inlineStr">
        <is>
          <t>VR1</t>
        </is>
      </c>
      <c r="B268" s="23" t="inlineStr">
        <is>
          <t>763</t>
        </is>
      </c>
      <c r="C268" s="10" t="n">
        <v>1</v>
      </c>
      <c r="D268" s="10" t="n">
        <v>3.4</v>
      </c>
      <c r="E268" s="10" t="n">
        <v>3.4</v>
      </c>
      <c r="F268" s="10" t="n">
        <v>500</v>
      </c>
      <c r="G268" s="10" t="n">
        <v>550</v>
      </c>
      <c r="H268" s="17" t="n">
        <v>500</v>
      </c>
      <c r="I268" s="17" t="n">
        <v>550</v>
      </c>
      <c r="J268" s="30" t="n">
        <v>151.5787</v>
      </c>
      <c r="K268" s="10" t="inlineStr">
        <is>
          <t>763</t>
        </is>
      </c>
      <c r="L268" s="30" t="n">
        <v>81.7732</v>
      </c>
      <c r="M268" s="10" t="inlineStr">
        <is>
          <t>763</t>
        </is>
      </c>
      <c r="N268" s="30" t="n">
        <v>122.569</v>
      </c>
      <c r="O268" s="30" t="n">
        <v>329.245</v>
      </c>
      <c r="P268" s="10" t="inlineStr">
        <is>
          <t>763</t>
        </is>
      </c>
      <c r="Q268" s="30" t="n">
        <v>7.1802</v>
      </c>
      <c r="R268" s="10">
        <f>MAX(MAX(1.4/'Parametros'!$B$3,0.25*SQRT('Parametros'!$B$2)/'Parametros'!$B$3)*H268*U268,(0.85*'Parametros'!$B$2/'Parametros'!$B$3)*(1-SQRT(1-2*(J268*1000000/('Parametros'!$B$5*H268*U268^2))/(0.85*'Parametros'!$B$2)))*H268*U268)</f>
        <v>845.220975061345</v>
      </c>
      <c r="S268" s="31" t="n">
        <v>5</v>
      </c>
      <c r="T268" s="32" t="n">
        <v>1</v>
      </c>
      <c r="U268" s="10">
        <f>IF(T268=1,I268-('Parametros'!$B$7+'Parametros'!$B$9+'Parametros'!$B$12/2),I268-(ROUNDUP(S268/2,0)*('Parametros'!$B$7+'Parametros'!$B$9+'Parametros'!$B$12/2)+ROUNDDOWN(S268/2,0)*('Parametros'!$B$7+'Parametros'!$B$9+'Parametros'!$B$12/2+'Parametros'!$B$12+'Parametros'!$B$10))/S268)</f>
        <v>489.35</v>
      </c>
      <c r="V268" s="10">
        <f>S268*'Parametros'!$B$8</f>
        <v>995</v>
      </c>
      <c r="W268" s="10">
        <f>'Parametros'!$B$5*V268*'Parametros'!$B$3*(U268-(V268*'Parametros'!$B$3/(0.85*'Parametros'!$B$2*H268))/2)/1000000</f>
        <v>177.445379382353</v>
      </c>
      <c r="X268" s="10" t="str">
        <f>IF(W268&gt;=J268,"CUMPLE","NO CUMPLE")</f>
        <v>CUMPLE</v>
      </c>
      <c r="Y268" s="10">
        <f>MAX(MAX(1.4/'Parametros'!$B$3,0.25*SQRT('Parametros'!$B$2)/'Parametros'!$B$3)*H268*AB268,(0.85*'Parametros'!$B$2/'Parametros'!$B$3)*(1-SQRT(1-2*(L268*1000000/('Parametros'!$B$5*H268*AB268^2))/(0.85*'Parametros'!$B$2)))*H268*AB268)</f>
        <v>815.583333333333</v>
      </c>
      <c r="Z268" s="31" t="n">
        <v>5</v>
      </c>
      <c r="AA268" s="32" t="n">
        <v>1</v>
      </c>
      <c r="AB268" s="10">
        <f>IF(AA268=1,I268-('Parametros'!$B$7+'Parametros'!$B$9+'Parametros'!$B$12/2),I268-(ROUNDUP(Z268/2,0)*('Parametros'!$B$7+'Parametros'!$B$9+'Parametros'!$B$12/2)+ROUNDDOWN(Z268/2,0)*('Parametros'!$B$7+'Parametros'!$B$9+'Parametros'!$B$12/2+'Parametros'!$B$12+'Parametros'!$B$10))/Z268)</f>
        <v>489.35</v>
      </c>
      <c r="AC268" s="10">
        <f>Z268*'Parametros'!$B$8</f>
        <v>995</v>
      </c>
      <c r="AD268" s="10">
        <f>'Parametros'!$B$5*AC268*'Parametros'!$B$3*(AB268-(AC268*'Parametros'!$B$3/(0.85*'Parametros'!$B$2*H268))/2)/1000000</f>
        <v>177.445379382353</v>
      </c>
      <c r="AE268" s="10" t="str">
        <f>IF(AD268&gt;=L268,"CUMPLE","NO CUMPLE")</f>
        <v>CUMPLE</v>
      </c>
      <c r="AF268" s="10">
        <f>V268*1.25*'Parametros'!$B$3*(U268-(V268*1.25*'Parametros'!$B$3/(0.85*'Parametros'!$B$2*H268))/2)/1000000</f>
        <v>244.158843198529</v>
      </c>
      <c r="AG268" s="10">
        <f>AC268*1.25*'Parametros'!$B$3*(AB268-(AC268*1.25*'Parametros'!$B$3/(0.85*'Parametros'!$B$2*H268))/2)/1000000</f>
        <v>244.158843198529</v>
      </c>
      <c r="AH268" s="10">
        <f>N268+(AF268+AG268)/D268</f>
        <v>266.191848940311</v>
      </c>
      <c r="AI268" s="10">
        <f>MAX(O268,AH268)</f>
        <v>329.245</v>
      </c>
      <c r="AJ268" s="10">
        <f>0.17*SQRT('Parametros'!$B$2)*H268*MIN(U268,AB268)/1000</f>
        <v>220.098728691808</v>
      </c>
      <c r="AK268" s="10">
        <f>MAX(AI268/'Parametros'!$B$6-AJ268,0)</f>
        <v>218.894604641526</v>
      </c>
      <c r="AL268" s="10">
        <f>0.66*SQRT('Parametros'!$B$2)*H268*MIN(U268,AB268)/1000</f>
        <v>854.500946685842</v>
      </c>
      <c r="AM268" s="10" t="str">
        <f>IF(AK268&lt;=AL268,"CUMPLE","NO CUMPLE")</f>
        <v>CUMPLE</v>
      </c>
      <c r="AN268" s="17" t="inlineStr">
        <is>
          <t>Nº3 cerrado</t>
        </is>
      </c>
      <c r="AO268" s="31" t="n">
        <v>2</v>
      </c>
      <c r="AP268" s="10">
        <f>ROUNDDOWN(MIN(IF(BC268+BD268=0,1000000000,AO268*BB268/(BC268+BD268)),MIN(U268,AB268)/4,8*'Parametros'!$B$12,24*BA268,300,IF(AV268=0,1000000000,2*((H268-2*('Parametros'!$B$7+'Parametros'!$B$9/2))+(I268-2*('Parametros'!$B$7+'Parametros'!$B$9/2)))/8))/10,0)*10</f>
        <v>120</v>
      </c>
      <c r="AQ268" s="10">
        <f>ROUNDDOWN(MIN(IF(BC268+BD268=0,1000000000,AO268*BB268/(BC268+BD268)),IF(AK268&gt;0.33*SQRT('Parametros'!$B$2)*H268*MIN(U268,AB268)/1000,MIN(U268,AB268)/4,MIN(U268,AB268)/2),600,IF(AV268=0,1000000000,2*((H268-2*('Parametros'!$B$7+'Parametros'!$B$9/2))+(I268-2*('Parametros'!$B$7+'Parametros'!$B$9/2)))/8))/10,0)*10</f>
        <v>130</v>
      </c>
      <c r="AR268" s="10">
        <f>'Parametros'!$B$6*(AJ268+MAX(BE268-BD268,0)*'Parametros'!$B$4*MIN(U268,AB268)/1000)</f>
        <v>347.479259018856</v>
      </c>
      <c r="AS268" s="10" t="str">
        <f>IF(AND(ISERROR(SEARCH("referencia",AN268)),AM268="CUMPLE",AR268&gt;=AI268),"CUMPLE","NO CUMPLE")</f>
        <v>CUMPLE</v>
      </c>
      <c r="AT268" s="10">
        <f>'Parametros'!$B$6*0.083*SQRT('Parametros'!$B$2)*(H268*I268)^2/(2*(H268+I268))/1000000</f>
        <v>11.862178757599</v>
      </c>
      <c r="AU268" s="10" t="str">
        <f>IF(Q268&lt;=AT268,"DESPRECIABLE","DISEÑAR")</f>
        <v>DESPRECIABLE</v>
      </c>
      <c r="AV268" s="10">
        <f>IF(Q268&lt;=AT268,0,Q268*1000000/('Parametros'!$B$6*2*0.85*(H268-2*('Parametros'!$B$7+'Parametros'!$B$9/2))*(I268-2*('Parametros'!$B$7+'Parametros'!$B$9/2))*'Parametros'!$B$4))</f>
        <v>0</v>
      </c>
      <c r="AW268" s="10">
        <f>AV268*2*((H268-2*('Parametros'!$B$7+'Parametros'!$B$9/2))+(I268-2*('Parametros'!$B$7+'Parametros'!$B$9/2)))*'Parametros'!$B$4/'Parametros'!$B$3</f>
        <v>0</v>
      </c>
      <c r="AX268" s="31" t="n">
        <v>0</v>
      </c>
      <c r="AY268" s="10" t="str">
        <f>IF(AV268=0,"DESPRECIABLE",IF(AND(ISERROR(SEARCH("referencia",AN268)),BB268/AP268&gt;=AV268,BI268&gt;=AW268,BH268="CUMPLE"),"CUMPLE","NO CUMPLE"))</f>
        <v>DESPRECIABLE</v>
      </c>
      <c r="AZ268" s="10" t="str">
        <f>IF(AND(X268="CUMPLE",AE268="CUMPLE",AS268="CUMPLE",OR(AY268="CUMPLE",AY268="DESPRECIABLE"),BH268="CUMPLE",BJ268="CUMPLE"),"CUMPLE","NO CUMPLE")</f>
        <v>CUMPLE</v>
      </c>
      <c r="BA268" s="32" t="n">
        <v>9.5</v>
      </c>
      <c r="BB268" s="32" t="n">
        <v>71</v>
      </c>
      <c r="BC268" s="10">
        <f>MAX(IF(AK268=0,0,AK268*1000/('Parametros'!$B$4*MIN(U268,AB268))),MAX(0.062*SQRT('Parametros'!$B$2)*H268/'Parametros'!$B$4,0.35*H268/'Parametros'!$B$4))</f>
        <v>1.06504062552135</v>
      </c>
      <c r="BD268" s="10">
        <f>2*AV268</f>
        <v>0</v>
      </c>
      <c r="BE268" s="10">
        <f>AO268*BB268/AP268</f>
        <v>1.18333333333333</v>
      </c>
      <c r="BF268" s="10">
        <f>SQRT((AI268*1000/(H268*MIN(U268,AB268)))^2+(Q268*1000000*2*((H268-2*('Parametros'!$B$7+'Parametros'!$B$9/2))+(I268-2*('Parametros'!$B$7+'Parametros'!$B$9/2)))/(1.7*((H268-2*('Parametros'!$B$7+'Parametros'!$B$9/2))*(I268-2*('Parametros'!$B$7+'Parametros'!$B$9/2)))^2))^2)</f>
        <v>1.36201073016336</v>
      </c>
      <c r="BG268" s="10">
        <f>'Parametros'!$B$6*(AJ268*1000/(H268*MIN(U268,AB268))+0.66*SQRT('Parametros'!$B$2))</f>
        <v>3.29396038227542</v>
      </c>
      <c r="BH268" s="10" t="str">
        <f>IF(BF268&lt;=BG268,"CUMPLE","NO CUMPLE")</f>
        <v>CUMPLE</v>
      </c>
      <c r="BI268" s="10">
        <f>AX268*'Parametros'!$B$8</f>
        <v>0</v>
      </c>
      <c r="BJ268" s="10" t="str">
        <f>IF(BI268&gt;=AW268,"CUMPLE","NO CUMPLE")</f>
        <v>CUMPLE</v>
      </c>
    </row>
    <row r="269">
      <c r="A269" s="23" t="inlineStr">
        <is>
          <t>VR1</t>
        </is>
      </c>
      <c r="B269" s="23" t="inlineStr">
        <is>
          <t>764</t>
        </is>
      </c>
      <c r="C269" s="10" t="n">
        <v>1</v>
      </c>
      <c r="D269" s="10" t="n">
        <v>3.4</v>
      </c>
      <c r="E269" s="10" t="n">
        <v>3.4</v>
      </c>
      <c r="F269" s="10" t="n">
        <v>500</v>
      </c>
      <c r="G269" s="10" t="n">
        <v>550</v>
      </c>
      <c r="H269" s="17" t="n">
        <v>500</v>
      </c>
      <c r="I269" s="17" t="n">
        <v>550</v>
      </c>
      <c r="J269" s="30" t="n">
        <v>151.6354</v>
      </c>
      <c r="K269" s="10" t="inlineStr">
        <is>
          <t>764</t>
        </is>
      </c>
      <c r="L269" s="30" t="n">
        <v>81.8505</v>
      </c>
      <c r="M269" s="10" t="inlineStr">
        <is>
          <t>764</t>
        </is>
      </c>
      <c r="N269" s="30" t="n">
        <v>122.605</v>
      </c>
      <c r="O269" s="30" t="n">
        <v>329.42</v>
      </c>
      <c r="P269" s="10" t="inlineStr">
        <is>
          <t>764</t>
        </is>
      </c>
      <c r="Q269" s="30" t="n">
        <v>7.2618</v>
      </c>
      <c r="R269" s="10">
        <f>MAX(MAX(1.4/'Parametros'!$B$3,0.25*SQRT('Parametros'!$B$2)/'Parametros'!$B$3)*H269*U269,(0.85*'Parametros'!$B$2/'Parametros'!$B$3)*(1-SQRT(1-2*(J269*1000000/('Parametros'!$B$5*H269*U269^2))/(0.85*'Parametros'!$B$2)))*H269*U269)</f>
        <v>845.547407673889</v>
      </c>
      <c r="S269" s="31" t="n">
        <v>5</v>
      </c>
      <c r="T269" s="32" t="n">
        <v>1</v>
      </c>
      <c r="U269" s="10">
        <f>IF(T269=1,I269-('Parametros'!$B$7+'Parametros'!$B$9+'Parametros'!$B$12/2),I269-(ROUNDUP(S269/2,0)*('Parametros'!$B$7+'Parametros'!$B$9+'Parametros'!$B$12/2)+ROUNDDOWN(S269/2,0)*('Parametros'!$B$7+'Parametros'!$B$9+'Parametros'!$B$12/2+'Parametros'!$B$12+'Parametros'!$B$10))/S269)</f>
        <v>489.35</v>
      </c>
      <c r="V269" s="10">
        <f>S269*'Parametros'!$B$8</f>
        <v>995</v>
      </c>
      <c r="W269" s="10">
        <f>'Parametros'!$B$5*V269*'Parametros'!$B$3*(U269-(V269*'Parametros'!$B$3/(0.85*'Parametros'!$B$2*H269))/2)/1000000</f>
        <v>177.445379382353</v>
      </c>
      <c r="X269" s="10" t="str">
        <f>IF(W269&gt;=J269,"CUMPLE","NO CUMPLE")</f>
        <v>CUMPLE</v>
      </c>
      <c r="Y269" s="10">
        <f>MAX(MAX(1.4/'Parametros'!$B$3,0.25*SQRT('Parametros'!$B$2)/'Parametros'!$B$3)*H269*AB269,(0.85*'Parametros'!$B$2/'Parametros'!$B$3)*(1-SQRT(1-2*(L269*1000000/('Parametros'!$B$5*H269*AB269^2))/(0.85*'Parametros'!$B$2)))*H269*AB269)</f>
        <v>815.583333333333</v>
      </c>
      <c r="Z269" s="31" t="n">
        <v>5</v>
      </c>
      <c r="AA269" s="32" t="n">
        <v>1</v>
      </c>
      <c r="AB269" s="10">
        <f>IF(AA269=1,I269-('Parametros'!$B$7+'Parametros'!$B$9+'Parametros'!$B$12/2),I269-(ROUNDUP(Z269/2,0)*('Parametros'!$B$7+'Parametros'!$B$9+'Parametros'!$B$12/2)+ROUNDDOWN(Z269/2,0)*('Parametros'!$B$7+'Parametros'!$B$9+'Parametros'!$B$12/2+'Parametros'!$B$12+'Parametros'!$B$10))/Z269)</f>
        <v>489.35</v>
      </c>
      <c r="AC269" s="10">
        <f>Z269*'Parametros'!$B$8</f>
        <v>995</v>
      </c>
      <c r="AD269" s="10">
        <f>'Parametros'!$B$5*AC269*'Parametros'!$B$3*(AB269-(AC269*'Parametros'!$B$3/(0.85*'Parametros'!$B$2*H269))/2)/1000000</f>
        <v>177.445379382353</v>
      </c>
      <c r="AE269" s="10" t="str">
        <f>IF(AD269&gt;=L269,"CUMPLE","NO CUMPLE")</f>
        <v>CUMPLE</v>
      </c>
      <c r="AF269" s="10">
        <f>V269*1.25*'Parametros'!$B$3*(U269-(V269*1.25*'Parametros'!$B$3/(0.85*'Parametros'!$B$2*H269))/2)/1000000</f>
        <v>244.158843198529</v>
      </c>
      <c r="AG269" s="10">
        <f>AC269*1.25*'Parametros'!$B$3*(AB269-(AC269*1.25*'Parametros'!$B$3/(0.85*'Parametros'!$B$2*H269))/2)/1000000</f>
        <v>244.158843198529</v>
      </c>
      <c r="AH269" s="10">
        <f>N269+(AF269+AG269)/D269</f>
        <v>266.227848940311</v>
      </c>
      <c r="AI269" s="10">
        <f>MAX(O269,AH269)</f>
        <v>329.42</v>
      </c>
      <c r="AJ269" s="10">
        <f>0.17*SQRT('Parametros'!$B$2)*H269*MIN(U269,AB269)/1000</f>
        <v>220.098728691808</v>
      </c>
      <c r="AK269" s="10">
        <f>MAX(AI269/'Parametros'!$B$6-AJ269,0)</f>
        <v>219.127937974859</v>
      </c>
      <c r="AL269" s="10">
        <f>0.66*SQRT('Parametros'!$B$2)*H269*MIN(U269,AB269)/1000</f>
        <v>854.500946685842</v>
      </c>
      <c r="AM269" s="10" t="str">
        <f>IF(AK269&lt;=AL269,"CUMPLE","NO CUMPLE")</f>
        <v>CUMPLE</v>
      </c>
      <c r="AN269" s="17" t="inlineStr">
        <is>
          <t>Nº3 cerrado</t>
        </is>
      </c>
      <c r="AO269" s="31" t="n">
        <v>2</v>
      </c>
      <c r="AP269" s="10">
        <f>ROUNDDOWN(MIN(IF(BC269+BD269=0,1000000000,AO269*BB269/(BC269+BD269)),MIN(U269,AB269)/4,8*'Parametros'!$B$12,24*BA269,300,IF(AV269=0,1000000000,2*((H269-2*('Parametros'!$B$7+'Parametros'!$B$9/2))+(I269-2*('Parametros'!$B$7+'Parametros'!$B$9/2)))/8))/10,0)*10</f>
        <v>120</v>
      </c>
      <c r="AQ269" s="10">
        <f>ROUNDDOWN(MIN(IF(BC269+BD269=0,1000000000,AO269*BB269/(BC269+BD269)),IF(AK269&gt;0.33*SQRT('Parametros'!$B$2)*H269*MIN(U269,AB269)/1000,MIN(U269,AB269)/4,MIN(U269,AB269)/2),600,IF(AV269=0,1000000000,2*((H269-2*('Parametros'!$B$7+'Parametros'!$B$9/2))+(I269-2*('Parametros'!$B$7+'Parametros'!$B$9/2)))/8))/10,0)*10</f>
        <v>130</v>
      </c>
      <c r="AR269" s="10">
        <f>'Parametros'!$B$6*(AJ269+MAX(BE269-BD269,0)*'Parametros'!$B$4*MIN(U269,AB269)/1000)</f>
        <v>347.479259018856</v>
      </c>
      <c r="AS269" s="10" t="str">
        <f>IF(AND(ISERROR(SEARCH("referencia",AN269)),AM269="CUMPLE",AR269&gt;=AI269),"CUMPLE","NO CUMPLE")</f>
        <v>CUMPLE</v>
      </c>
      <c r="AT269" s="10">
        <f>'Parametros'!$B$6*0.083*SQRT('Parametros'!$B$2)*(H269*I269)^2/(2*(H269+I269))/1000000</f>
        <v>11.862178757599</v>
      </c>
      <c r="AU269" s="10" t="str">
        <f>IF(Q269&lt;=AT269,"DESPRECIABLE","DISEÑAR")</f>
        <v>DESPRECIABLE</v>
      </c>
      <c r="AV269" s="10">
        <f>IF(Q269&lt;=AT269,0,Q269*1000000/('Parametros'!$B$6*2*0.85*(H269-2*('Parametros'!$B$7+'Parametros'!$B$9/2))*(I269-2*('Parametros'!$B$7+'Parametros'!$B$9/2))*'Parametros'!$B$4))</f>
        <v>0</v>
      </c>
      <c r="AW269" s="10">
        <f>AV269*2*((H269-2*('Parametros'!$B$7+'Parametros'!$B$9/2))+(I269-2*('Parametros'!$B$7+'Parametros'!$B$9/2)))*'Parametros'!$B$4/'Parametros'!$B$3</f>
        <v>0</v>
      </c>
      <c r="AX269" s="31" t="n">
        <v>0</v>
      </c>
      <c r="AY269" s="10" t="str">
        <f>IF(AV269=0,"DESPRECIABLE",IF(AND(ISERROR(SEARCH("referencia",AN269)),BB269/AP269&gt;=AV269,BI269&gt;=AW269,BH269="CUMPLE"),"CUMPLE","NO CUMPLE"))</f>
        <v>DESPRECIABLE</v>
      </c>
      <c r="AZ269" s="10" t="str">
        <f>IF(AND(X269="CUMPLE",AE269="CUMPLE",AS269="CUMPLE",OR(AY269="CUMPLE",AY269="DESPRECIABLE"),BH269="CUMPLE",BJ269="CUMPLE"),"CUMPLE","NO CUMPLE")</f>
        <v>CUMPLE</v>
      </c>
      <c r="BA269" s="32" t="n">
        <v>9.5</v>
      </c>
      <c r="BB269" s="32" t="n">
        <v>71</v>
      </c>
      <c r="BC269" s="10">
        <f>MAX(IF(AK269=0,0,AK269*1000/('Parametros'!$B$4*MIN(U269,AB269))),MAX(0.062*SQRT('Parametros'!$B$2)*H269/'Parametros'!$B$4,0.35*H269/'Parametros'!$B$4))</f>
        <v>1.06617591837014</v>
      </c>
      <c r="BD269" s="10">
        <f>2*AV269</f>
        <v>0</v>
      </c>
      <c r="BE269" s="10">
        <f>AO269*BB269/AP269</f>
        <v>1.18333333333333</v>
      </c>
      <c r="BF269" s="10">
        <f>SQRT((AI269*1000/(H269*MIN(U269,AB269)))^2+(Q269*1000000*2*((H269-2*('Parametros'!$B$7+'Parametros'!$B$9/2))+(I269-2*('Parametros'!$B$7+'Parametros'!$B$9/2)))/(1.7*((H269-2*('Parametros'!$B$7+'Parametros'!$B$9/2))*(I269-2*('Parametros'!$B$7+'Parametros'!$B$9/2)))^2))^2)</f>
        <v>1.36308903935086</v>
      </c>
      <c r="BG269" s="10">
        <f>'Parametros'!$B$6*(AJ269*1000/(H269*MIN(U269,AB269))+0.66*SQRT('Parametros'!$B$2))</f>
        <v>3.29396038227542</v>
      </c>
      <c r="BH269" s="10" t="str">
        <f>IF(BF269&lt;=BG269,"CUMPLE","NO CUMPLE")</f>
        <v>CUMPLE</v>
      </c>
      <c r="BI269" s="10">
        <f>AX269*'Parametros'!$B$8</f>
        <v>0</v>
      </c>
      <c r="BJ269" s="10" t="str">
        <f>IF(BI269&gt;=AW269,"CUMPLE","NO CUMPLE")</f>
        <v>CUMPLE</v>
      </c>
    </row>
    <row r="270">
      <c r="A270" s="23" t="inlineStr">
        <is>
          <t>VR1</t>
        </is>
      </c>
      <c r="B270" s="23" t="inlineStr">
        <is>
          <t>765</t>
        </is>
      </c>
      <c r="C270" s="10" t="n">
        <v>1</v>
      </c>
      <c r="D270" s="10" t="n">
        <v>1.9</v>
      </c>
      <c r="E270" s="10" t="n">
        <v>1.9</v>
      </c>
      <c r="F270" s="10" t="n">
        <v>500</v>
      </c>
      <c r="G270" s="10" t="n">
        <v>550</v>
      </c>
      <c r="H270" s="17" t="n">
        <v>500</v>
      </c>
      <c r="I270" s="17" t="n">
        <v>550</v>
      </c>
      <c r="J270" s="30" t="n">
        <v>136.3512</v>
      </c>
      <c r="K270" s="10" t="inlineStr">
        <is>
          <t>765</t>
        </is>
      </c>
      <c r="L270" s="30" t="n">
        <v>101.947</v>
      </c>
      <c r="M270" s="10" t="inlineStr">
        <is>
          <t>765</t>
        </is>
      </c>
      <c r="N270" s="30" t="n">
        <v>136.864</v>
      </c>
      <c r="O270" s="30" t="n">
        <v>479.378</v>
      </c>
      <c r="P270" s="10" t="inlineStr">
        <is>
          <t>765</t>
        </is>
      </c>
      <c r="Q270" s="30" t="n">
        <v>3.3859</v>
      </c>
      <c r="R270" s="10">
        <f>MAX(MAX(1.4/'Parametros'!$B$3,0.25*SQRT('Parametros'!$B$2)/'Parametros'!$B$3)*H270*U270,(0.85*'Parametros'!$B$2/'Parametros'!$B$3)*(1-SQRT(1-2*(J270*1000000/('Parametros'!$B$5*H270*U270^2))/(0.85*'Parametros'!$B$2)))*H270*U270)</f>
        <v>815.583333333333</v>
      </c>
      <c r="S270" s="31" t="n">
        <v>5</v>
      </c>
      <c r="T270" s="32" t="n">
        <v>1</v>
      </c>
      <c r="U270" s="10">
        <f>IF(T270=1,I270-('Parametros'!$B$7+'Parametros'!$B$9+'Parametros'!$B$12/2),I270-(ROUNDUP(S270/2,0)*('Parametros'!$B$7+'Parametros'!$B$9+'Parametros'!$B$12/2)+ROUNDDOWN(S270/2,0)*('Parametros'!$B$7+'Parametros'!$B$9+'Parametros'!$B$12/2+'Parametros'!$B$12+'Parametros'!$B$10))/S270)</f>
        <v>489.35</v>
      </c>
      <c r="V270" s="10">
        <f>S270*'Parametros'!$B$8</f>
        <v>995</v>
      </c>
      <c r="W270" s="10">
        <f>'Parametros'!$B$5*V270*'Parametros'!$B$3*(U270-(V270*'Parametros'!$B$3/(0.85*'Parametros'!$B$2*H270))/2)/1000000</f>
        <v>177.445379382353</v>
      </c>
      <c r="X270" s="10" t="str">
        <f>IF(W270&gt;=J270,"CUMPLE","NO CUMPLE")</f>
        <v>CUMPLE</v>
      </c>
      <c r="Y270" s="10">
        <f>MAX(MAX(1.4/'Parametros'!$B$3,0.25*SQRT('Parametros'!$B$2)/'Parametros'!$B$3)*H270*AB270,(0.85*'Parametros'!$B$2/'Parametros'!$B$3)*(1-SQRT(1-2*(L270*1000000/('Parametros'!$B$5*H270*AB270^2))/(0.85*'Parametros'!$B$2)))*H270*AB270)</f>
        <v>815.583333333333</v>
      </c>
      <c r="Z270" s="31" t="n">
        <v>5</v>
      </c>
      <c r="AA270" s="32" t="n">
        <v>1</v>
      </c>
      <c r="AB270" s="10">
        <f>IF(AA270=1,I270-('Parametros'!$B$7+'Parametros'!$B$9+'Parametros'!$B$12/2),I270-(ROUNDUP(Z270/2,0)*('Parametros'!$B$7+'Parametros'!$B$9+'Parametros'!$B$12/2)+ROUNDDOWN(Z270/2,0)*('Parametros'!$B$7+'Parametros'!$B$9+'Parametros'!$B$12/2+'Parametros'!$B$12+'Parametros'!$B$10))/Z270)</f>
        <v>489.35</v>
      </c>
      <c r="AC270" s="10">
        <f>Z270*'Parametros'!$B$8</f>
        <v>995</v>
      </c>
      <c r="AD270" s="10">
        <f>'Parametros'!$B$5*AC270*'Parametros'!$B$3*(AB270-(AC270*'Parametros'!$B$3/(0.85*'Parametros'!$B$2*H270))/2)/1000000</f>
        <v>177.445379382353</v>
      </c>
      <c r="AE270" s="10" t="str">
        <f>IF(AD270&gt;=L270,"CUMPLE","NO CUMPLE")</f>
        <v>CUMPLE</v>
      </c>
      <c r="AF270" s="10">
        <f>V270*1.25*'Parametros'!$B$3*(U270-(V270*1.25*'Parametros'!$B$3/(0.85*'Parametros'!$B$2*H270))/2)/1000000</f>
        <v>244.158843198529</v>
      </c>
      <c r="AG270" s="10">
        <f>AC270*1.25*'Parametros'!$B$3*(AB270-(AC270*1.25*'Parametros'!$B$3/(0.85*'Parametros'!$B$2*H270))/2)/1000000</f>
        <v>244.158843198529</v>
      </c>
      <c r="AH270" s="10">
        <f>N270+(AF270+AG270)/D270</f>
        <v>393.873308630031</v>
      </c>
      <c r="AI270" s="10">
        <f>MAX(O270,AH270)</f>
        <v>479.378</v>
      </c>
      <c r="AJ270" s="10">
        <f>0.17*SQRT('Parametros'!$B$2)*H270*MIN(U270,AB270)/1000</f>
        <v>220.098728691808</v>
      </c>
      <c r="AK270" s="10">
        <f>MAX(AI270/'Parametros'!$B$6-AJ270,0)</f>
        <v>419.071937974859</v>
      </c>
      <c r="AL270" s="10">
        <f>0.66*SQRT('Parametros'!$B$2)*H270*MIN(U270,AB270)/1000</f>
        <v>854.500946685842</v>
      </c>
      <c r="AM270" s="10" t="str">
        <f>IF(AK270&lt;=AL270,"CUMPLE","NO CUMPLE")</f>
        <v>CUMPLE</v>
      </c>
      <c r="AN270" s="17" t="inlineStr">
        <is>
          <t>Nº4 cerrado</t>
        </is>
      </c>
      <c r="AO270" s="31" t="n">
        <v>2</v>
      </c>
      <c r="AP270" s="10">
        <f>ROUNDDOWN(MIN(IF(BC270+BD270=0,1000000000,AO270*BB270/(BC270+BD270)),MIN(U270,AB270)/4,8*'Parametros'!$B$12,24*BA270,300,IF(AV270=0,1000000000,2*((H270-2*('Parametros'!$B$7+'Parametros'!$B$9/2))+(I270-2*('Parametros'!$B$7+'Parametros'!$B$9/2)))/8))/10,0)*10</f>
        <v>120</v>
      </c>
      <c r="AQ270" s="10">
        <f>ROUNDDOWN(MIN(IF(BC270+BD270=0,1000000000,AO270*BB270/(BC270+BD270)),IF(AK270&gt;0.33*SQRT('Parametros'!$B$2)*H270*MIN(U270,AB270)/1000,MIN(U270,AB270)/4,MIN(U270,AB270)/2),600,IF(AV270=0,1000000000,2*((H270-2*('Parametros'!$B$7+'Parametros'!$B$9/2))+(I270-2*('Parametros'!$B$7+'Parametros'!$B$9/2)))/8))/10,0)*10</f>
        <v>120</v>
      </c>
      <c r="AR270" s="10">
        <f>'Parametros'!$B$6*(AJ270+MAX(BE270-BD270,0)*'Parametros'!$B$4*MIN(U270,AB270)/1000)</f>
        <v>496.486334018856</v>
      </c>
      <c r="AS270" s="10" t="str">
        <f>IF(AND(ISERROR(SEARCH("referencia",AN270)),AM270="CUMPLE",AR270&gt;=AI270),"CUMPLE","NO CUMPLE")</f>
        <v>CUMPLE</v>
      </c>
      <c r="AT270" s="10">
        <f>'Parametros'!$B$6*0.083*SQRT('Parametros'!$B$2)*(H270*I270)^2/(2*(H270+I270))/1000000</f>
        <v>11.862178757599</v>
      </c>
      <c r="AU270" s="10" t="str">
        <f>IF(Q270&lt;=AT270,"DESPRECIABLE","DISEÑAR")</f>
        <v>DESPRECIABLE</v>
      </c>
      <c r="AV270" s="10">
        <f>IF(Q270&lt;=AT270,0,Q270*1000000/('Parametros'!$B$6*2*0.85*(H270-2*('Parametros'!$B$7+'Parametros'!$B$9/2))*(I270-2*('Parametros'!$B$7+'Parametros'!$B$9/2))*'Parametros'!$B$4))</f>
        <v>0</v>
      </c>
      <c r="AW270" s="10">
        <f>AV270*2*((H270-2*('Parametros'!$B$7+'Parametros'!$B$9/2))+(I270-2*('Parametros'!$B$7+'Parametros'!$B$9/2)))*'Parametros'!$B$4/'Parametros'!$B$3</f>
        <v>0</v>
      </c>
      <c r="AX270" s="31" t="n">
        <v>0</v>
      </c>
      <c r="AY270" s="10" t="str">
        <f>IF(AV270=0,"DESPRECIABLE",IF(AND(ISERROR(SEARCH("referencia",AN270)),BB270/AP270&gt;=AV270,BI270&gt;=AW270,BH270="CUMPLE"),"CUMPLE","NO CUMPLE"))</f>
        <v>DESPRECIABLE</v>
      </c>
      <c r="AZ270" s="10" t="str">
        <f>IF(AND(X270="CUMPLE",AE270="CUMPLE",AS270="CUMPLE",OR(AY270="CUMPLE",AY270="DESPRECIABLE"),BH270="CUMPLE",BJ270="CUMPLE"),"CUMPLE","NO CUMPLE")</f>
        <v>CUMPLE</v>
      </c>
      <c r="BA270" s="32" t="n">
        <v>12.7</v>
      </c>
      <c r="BB270" s="32" t="n">
        <v>129</v>
      </c>
      <c r="BC270" s="10">
        <f>MAX(IF(AK270=0,0,AK270*1000/('Parametros'!$B$4*MIN(U270,AB270))),MAX(0.062*SQRT('Parametros'!$B$2)*H270/'Parametros'!$B$4,0.35*H270/'Parametros'!$B$4))</f>
        <v>2.03901160419244</v>
      </c>
      <c r="BD270" s="10">
        <f>2*AV270</f>
        <v>0</v>
      </c>
      <c r="BE270" s="10">
        <f>AO270*BB270/AP270</f>
        <v>2.15</v>
      </c>
      <c r="BF270" s="10">
        <f>SQRT((AI270*1000/(H270*MIN(U270,AB270)))^2+(Q270*1000000*2*((H270-2*('Parametros'!$B$7+'Parametros'!$B$9/2))+(I270-2*('Parametros'!$B$7+'Parametros'!$B$9/2)))/(1.7*((H270-2*('Parametros'!$B$7+'Parametros'!$B$9/2))*(I270-2*('Parametros'!$B$7+'Parametros'!$B$9/2)))^2))^2)</f>
        <v>1.96175740968359</v>
      </c>
      <c r="BG270" s="10">
        <f>'Parametros'!$B$6*(AJ270*1000/(H270*MIN(U270,AB270))+0.66*SQRT('Parametros'!$B$2))</f>
        <v>3.29396038227542</v>
      </c>
      <c r="BH270" s="10" t="str">
        <f>IF(BF270&lt;=BG270,"CUMPLE","NO CUMPLE")</f>
        <v>CUMPLE</v>
      </c>
      <c r="BI270" s="10">
        <f>AX270*'Parametros'!$B$8</f>
        <v>0</v>
      </c>
      <c r="BJ270" s="10" t="str">
        <f>IF(BI270&gt;=AW270,"CUMPLE","NO CUMPLE")</f>
        <v>CUMPLE</v>
      </c>
    </row>
    <row r="271">
      <c r="A271" s="23" t="inlineStr">
        <is>
          <t>VR1</t>
        </is>
      </c>
      <c r="B271" s="23" t="inlineStr">
        <is>
          <t>766</t>
        </is>
      </c>
      <c r="C271" s="10" t="n">
        <v>1</v>
      </c>
      <c r="D271" s="10" t="n">
        <v>2</v>
      </c>
      <c r="E271" s="10" t="n">
        <v>2</v>
      </c>
      <c r="F271" s="10" t="n">
        <v>500</v>
      </c>
      <c r="G271" s="10" t="n">
        <v>550</v>
      </c>
      <c r="H271" s="17" t="n">
        <v>500</v>
      </c>
      <c r="I271" s="17" t="n">
        <v>550</v>
      </c>
      <c r="J271" s="30" t="n">
        <v>129.0816</v>
      </c>
      <c r="K271" s="10" t="inlineStr">
        <is>
          <t>766</t>
        </is>
      </c>
      <c r="L271" s="30" t="n">
        <v>92.52</v>
      </c>
      <c r="M271" s="10" t="inlineStr">
        <is>
          <t>766</t>
        </is>
      </c>
      <c r="N271" s="30" t="n">
        <v>127.857</v>
      </c>
      <c r="O271" s="30" t="n">
        <v>439.424</v>
      </c>
      <c r="P271" s="10" t="inlineStr">
        <is>
          <t>766</t>
        </is>
      </c>
      <c r="Q271" s="30" t="n">
        <v>5.5873</v>
      </c>
      <c r="R271" s="10">
        <f>MAX(MAX(1.4/'Parametros'!$B$3,0.25*SQRT('Parametros'!$B$2)/'Parametros'!$B$3)*H271*U271,(0.85*'Parametros'!$B$2/'Parametros'!$B$3)*(1-SQRT(1-2*(J271*1000000/('Parametros'!$B$5*H271*U271^2))/(0.85*'Parametros'!$B$2)))*H271*U271)</f>
        <v>815.583333333333</v>
      </c>
      <c r="S271" s="31" t="n">
        <v>5</v>
      </c>
      <c r="T271" s="32" t="n">
        <v>1</v>
      </c>
      <c r="U271" s="10">
        <f>IF(T271=1,I271-('Parametros'!$B$7+'Parametros'!$B$9+'Parametros'!$B$12/2),I271-(ROUNDUP(S271/2,0)*('Parametros'!$B$7+'Parametros'!$B$9+'Parametros'!$B$12/2)+ROUNDDOWN(S271/2,0)*('Parametros'!$B$7+'Parametros'!$B$9+'Parametros'!$B$12/2+'Parametros'!$B$12+'Parametros'!$B$10))/S271)</f>
        <v>489.35</v>
      </c>
      <c r="V271" s="10">
        <f>S271*'Parametros'!$B$8</f>
        <v>995</v>
      </c>
      <c r="W271" s="10">
        <f>'Parametros'!$B$5*V271*'Parametros'!$B$3*(U271-(V271*'Parametros'!$B$3/(0.85*'Parametros'!$B$2*H271))/2)/1000000</f>
        <v>177.445379382353</v>
      </c>
      <c r="X271" s="10" t="str">
        <f>IF(W271&gt;=J271,"CUMPLE","NO CUMPLE")</f>
        <v>CUMPLE</v>
      </c>
      <c r="Y271" s="10">
        <f>MAX(MAX(1.4/'Parametros'!$B$3,0.25*SQRT('Parametros'!$B$2)/'Parametros'!$B$3)*H271*AB271,(0.85*'Parametros'!$B$2/'Parametros'!$B$3)*(1-SQRT(1-2*(L271*1000000/('Parametros'!$B$5*H271*AB271^2))/(0.85*'Parametros'!$B$2)))*H271*AB271)</f>
        <v>815.583333333333</v>
      </c>
      <c r="Z271" s="31" t="n">
        <v>5</v>
      </c>
      <c r="AA271" s="32" t="n">
        <v>1</v>
      </c>
      <c r="AB271" s="10">
        <f>IF(AA271=1,I271-('Parametros'!$B$7+'Parametros'!$B$9+'Parametros'!$B$12/2),I271-(ROUNDUP(Z271/2,0)*('Parametros'!$B$7+'Parametros'!$B$9+'Parametros'!$B$12/2)+ROUNDDOWN(Z271/2,0)*('Parametros'!$B$7+'Parametros'!$B$9+'Parametros'!$B$12/2+'Parametros'!$B$12+'Parametros'!$B$10))/Z271)</f>
        <v>489.35</v>
      </c>
      <c r="AC271" s="10">
        <f>Z271*'Parametros'!$B$8</f>
        <v>995</v>
      </c>
      <c r="AD271" s="10">
        <f>'Parametros'!$B$5*AC271*'Parametros'!$B$3*(AB271-(AC271*'Parametros'!$B$3/(0.85*'Parametros'!$B$2*H271))/2)/1000000</f>
        <v>177.445379382353</v>
      </c>
      <c r="AE271" s="10" t="str">
        <f>IF(AD271&gt;=L271,"CUMPLE","NO CUMPLE")</f>
        <v>CUMPLE</v>
      </c>
      <c r="AF271" s="10">
        <f>V271*1.25*'Parametros'!$B$3*(U271-(V271*1.25*'Parametros'!$B$3/(0.85*'Parametros'!$B$2*H271))/2)/1000000</f>
        <v>244.158843198529</v>
      </c>
      <c r="AG271" s="10">
        <f>AC271*1.25*'Parametros'!$B$3*(AB271-(AC271*1.25*'Parametros'!$B$3/(0.85*'Parametros'!$B$2*H271))/2)/1000000</f>
        <v>244.158843198529</v>
      </c>
      <c r="AH271" s="10">
        <f>N271+(AF271+AG271)/D271</f>
        <v>372.015843198529</v>
      </c>
      <c r="AI271" s="10">
        <f>MAX(O271,AH271)</f>
        <v>439.424</v>
      </c>
      <c r="AJ271" s="10">
        <f>0.17*SQRT('Parametros'!$B$2)*H271*MIN(U271,AB271)/1000</f>
        <v>220.098728691808</v>
      </c>
      <c r="AK271" s="10">
        <f>MAX(AI271/'Parametros'!$B$6-AJ271,0)</f>
        <v>365.799937974859</v>
      </c>
      <c r="AL271" s="10">
        <f>0.66*SQRT('Parametros'!$B$2)*H271*MIN(U271,AB271)/1000</f>
        <v>854.500946685842</v>
      </c>
      <c r="AM271" s="10" t="str">
        <f>IF(AK271&lt;=AL271,"CUMPLE","NO CUMPLE")</f>
        <v>CUMPLE</v>
      </c>
      <c r="AN271" s="17" t="inlineStr">
        <is>
          <t>Nº4 cerrado</t>
        </is>
      </c>
      <c r="AO271" s="31" t="n">
        <v>2</v>
      </c>
      <c r="AP271" s="10">
        <f>ROUNDDOWN(MIN(IF(BC271+BD271=0,1000000000,AO271*BB271/(BC271+BD271)),MIN(U271,AB271)/4,8*'Parametros'!$B$12,24*BA271,300,IF(AV271=0,1000000000,2*((H271-2*('Parametros'!$B$7+'Parametros'!$B$9/2))+(I271-2*('Parametros'!$B$7+'Parametros'!$B$9/2)))/8))/10,0)*10</f>
        <v>120</v>
      </c>
      <c r="AQ271" s="10">
        <f>ROUNDDOWN(MIN(IF(BC271+BD271=0,1000000000,AO271*BB271/(BC271+BD271)),IF(AK271&gt;0.33*SQRT('Parametros'!$B$2)*H271*MIN(U271,AB271)/1000,MIN(U271,AB271)/4,MIN(U271,AB271)/2),600,IF(AV271=0,1000000000,2*((H271-2*('Parametros'!$B$7+'Parametros'!$B$9/2))+(I271-2*('Parametros'!$B$7+'Parametros'!$B$9/2)))/8))/10,0)*10</f>
        <v>140</v>
      </c>
      <c r="AR271" s="10">
        <f>'Parametros'!$B$6*(AJ271+MAX(BE271-BD271,0)*'Parametros'!$B$4*MIN(U271,AB271)/1000)</f>
        <v>496.486334018856</v>
      </c>
      <c r="AS271" s="10" t="str">
        <f>IF(AND(ISERROR(SEARCH("referencia",AN271)),AM271="CUMPLE",AR271&gt;=AI271),"CUMPLE","NO CUMPLE")</f>
        <v>CUMPLE</v>
      </c>
      <c r="AT271" s="10">
        <f>'Parametros'!$B$6*0.083*SQRT('Parametros'!$B$2)*(H271*I271)^2/(2*(H271+I271))/1000000</f>
        <v>11.862178757599</v>
      </c>
      <c r="AU271" s="10" t="str">
        <f>IF(Q271&lt;=AT271,"DESPRECIABLE","DISEÑAR")</f>
        <v>DESPRECIABLE</v>
      </c>
      <c r="AV271" s="10">
        <f>IF(Q271&lt;=AT271,0,Q271*1000000/('Parametros'!$B$6*2*0.85*(H271-2*('Parametros'!$B$7+'Parametros'!$B$9/2))*(I271-2*('Parametros'!$B$7+'Parametros'!$B$9/2))*'Parametros'!$B$4))</f>
        <v>0</v>
      </c>
      <c r="AW271" s="10">
        <f>AV271*2*((H271-2*('Parametros'!$B$7+'Parametros'!$B$9/2))+(I271-2*('Parametros'!$B$7+'Parametros'!$B$9/2)))*'Parametros'!$B$4/'Parametros'!$B$3</f>
        <v>0</v>
      </c>
      <c r="AX271" s="31" t="n">
        <v>0</v>
      </c>
      <c r="AY271" s="10" t="str">
        <f>IF(AV271=0,"DESPRECIABLE",IF(AND(ISERROR(SEARCH("referencia",AN271)),BB271/AP271&gt;=AV271,BI271&gt;=AW271,BH271="CUMPLE"),"CUMPLE","NO CUMPLE"))</f>
        <v>DESPRECIABLE</v>
      </c>
      <c r="AZ271" s="10" t="str">
        <f>IF(AND(X271="CUMPLE",AE271="CUMPLE",AS271="CUMPLE",OR(AY271="CUMPLE",AY271="DESPRECIABLE"),BH271="CUMPLE",BJ271="CUMPLE"),"CUMPLE","NO CUMPLE")</f>
        <v>CUMPLE</v>
      </c>
      <c r="BA271" s="32" t="n">
        <v>12.7</v>
      </c>
      <c r="BB271" s="32" t="n">
        <v>129</v>
      </c>
      <c r="BC271" s="10">
        <f>MAX(IF(AK271=0,0,AK271*1000/('Parametros'!$B$4*MIN(U271,AB271))),MAX(0.062*SQRT('Parametros'!$B$2)*H271/'Parametros'!$B$4,0.35*H271/'Parametros'!$B$4))</f>
        <v>1.77981451573204</v>
      </c>
      <c r="BD271" s="10">
        <f>2*AV271</f>
        <v>0</v>
      </c>
      <c r="BE271" s="10">
        <f>AO271*BB271/AP271</f>
        <v>2.15</v>
      </c>
      <c r="BF271" s="10">
        <f>SQRT((AI271*1000/(H271*MIN(U271,AB271)))^2+(Q271*1000000*2*((H271-2*('Parametros'!$B$7+'Parametros'!$B$9/2))+(I271-2*('Parametros'!$B$7+'Parametros'!$B$9/2)))/(1.7*((H271-2*('Parametros'!$B$7+'Parametros'!$B$9/2))*(I271-2*('Parametros'!$B$7+'Parametros'!$B$9/2)))^2))^2)</f>
        <v>1.80340578935158</v>
      </c>
      <c r="BG271" s="10">
        <f>'Parametros'!$B$6*(AJ271*1000/(H271*MIN(U271,AB271))+0.66*SQRT('Parametros'!$B$2))</f>
        <v>3.29396038227542</v>
      </c>
      <c r="BH271" s="10" t="str">
        <f>IF(BF271&lt;=BG271,"CUMPLE","NO CUMPLE")</f>
        <v>CUMPLE</v>
      </c>
      <c r="BI271" s="10">
        <f>AX271*'Parametros'!$B$8</f>
        <v>0</v>
      </c>
      <c r="BJ271" s="10" t="str">
        <f>IF(BI271&gt;=AW271,"CUMPLE","NO CUMPLE")</f>
        <v>CUMPLE</v>
      </c>
    </row>
    <row r="272">
      <c r="A272" s="23" t="inlineStr">
        <is>
          <t>VR1</t>
        </is>
      </c>
      <c r="B272" s="23" t="inlineStr">
        <is>
          <t>767</t>
        </is>
      </c>
      <c r="C272" s="10" t="n">
        <v>1</v>
      </c>
      <c r="D272" s="10" t="n">
        <v>3.05</v>
      </c>
      <c r="E272" s="10" t="n">
        <v>3.05</v>
      </c>
      <c r="F272" s="10" t="n">
        <v>500</v>
      </c>
      <c r="G272" s="10" t="n">
        <v>550</v>
      </c>
      <c r="H272" s="17" t="n">
        <v>500</v>
      </c>
      <c r="I272" s="17" t="n">
        <v>550</v>
      </c>
      <c r="J272" s="30" t="n">
        <v>146.478</v>
      </c>
      <c r="K272" s="10" t="inlineStr">
        <is>
          <t>767</t>
        </is>
      </c>
      <c r="L272" s="30" t="n">
        <v>87.9935</v>
      </c>
      <c r="M272" s="10" t="inlineStr">
        <is>
          <t>767</t>
        </is>
      </c>
      <c r="N272" s="30" t="n">
        <v>123.747</v>
      </c>
      <c r="O272" s="30" t="n">
        <v>360.416</v>
      </c>
      <c r="P272" s="10" t="inlineStr">
        <is>
          <t>767</t>
        </is>
      </c>
      <c r="Q272" s="30" t="n">
        <v>2.5892</v>
      </c>
      <c r="R272" s="10">
        <f>MAX(MAX(1.4/'Parametros'!$B$3,0.25*SQRT('Parametros'!$B$2)/'Parametros'!$B$3)*H272*U272,(0.85*'Parametros'!$B$2/'Parametros'!$B$3)*(1-SQRT(1-2*(J272*1000000/('Parametros'!$B$5*H272*U272^2))/(0.85*'Parametros'!$B$2)))*H272*U272)</f>
        <v>815.888691187879</v>
      </c>
      <c r="S272" s="31" t="n">
        <v>5</v>
      </c>
      <c r="T272" s="32" t="n">
        <v>1</v>
      </c>
      <c r="U272" s="10">
        <f>IF(T272=1,I272-('Parametros'!$B$7+'Parametros'!$B$9+'Parametros'!$B$12/2),I272-(ROUNDUP(S272/2,0)*('Parametros'!$B$7+'Parametros'!$B$9+'Parametros'!$B$12/2)+ROUNDDOWN(S272/2,0)*('Parametros'!$B$7+'Parametros'!$B$9+'Parametros'!$B$12/2+'Parametros'!$B$12+'Parametros'!$B$10))/S272)</f>
        <v>489.35</v>
      </c>
      <c r="V272" s="10">
        <f>S272*'Parametros'!$B$8</f>
        <v>995</v>
      </c>
      <c r="W272" s="10">
        <f>'Parametros'!$B$5*V272*'Parametros'!$B$3*(U272-(V272*'Parametros'!$B$3/(0.85*'Parametros'!$B$2*H272))/2)/1000000</f>
        <v>177.445379382353</v>
      </c>
      <c r="X272" s="10" t="str">
        <f>IF(W272&gt;=J272,"CUMPLE","NO CUMPLE")</f>
        <v>CUMPLE</v>
      </c>
      <c r="Y272" s="10">
        <f>MAX(MAX(1.4/'Parametros'!$B$3,0.25*SQRT('Parametros'!$B$2)/'Parametros'!$B$3)*H272*AB272,(0.85*'Parametros'!$B$2/'Parametros'!$B$3)*(1-SQRT(1-2*(L272*1000000/('Parametros'!$B$5*H272*AB272^2))/(0.85*'Parametros'!$B$2)))*H272*AB272)</f>
        <v>815.583333333333</v>
      </c>
      <c r="Z272" s="31" t="n">
        <v>5</v>
      </c>
      <c r="AA272" s="32" t="n">
        <v>1</v>
      </c>
      <c r="AB272" s="10">
        <f>IF(AA272=1,I272-('Parametros'!$B$7+'Parametros'!$B$9+'Parametros'!$B$12/2),I272-(ROUNDUP(Z272/2,0)*('Parametros'!$B$7+'Parametros'!$B$9+'Parametros'!$B$12/2)+ROUNDDOWN(Z272/2,0)*('Parametros'!$B$7+'Parametros'!$B$9+'Parametros'!$B$12/2+'Parametros'!$B$12+'Parametros'!$B$10))/Z272)</f>
        <v>489.35</v>
      </c>
      <c r="AC272" s="10">
        <f>Z272*'Parametros'!$B$8</f>
        <v>995</v>
      </c>
      <c r="AD272" s="10">
        <f>'Parametros'!$B$5*AC272*'Parametros'!$B$3*(AB272-(AC272*'Parametros'!$B$3/(0.85*'Parametros'!$B$2*H272))/2)/1000000</f>
        <v>177.445379382353</v>
      </c>
      <c r="AE272" s="10" t="str">
        <f>IF(AD272&gt;=L272,"CUMPLE","NO CUMPLE")</f>
        <v>CUMPLE</v>
      </c>
      <c r="AF272" s="10">
        <f>V272*1.25*'Parametros'!$B$3*(U272-(V272*1.25*'Parametros'!$B$3/(0.85*'Parametros'!$B$2*H272))/2)/1000000</f>
        <v>244.158843198529</v>
      </c>
      <c r="AG272" s="10">
        <f>AC272*1.25*'Parametros'!$B$3*(AB272-(AC272*1.25*'Parametros'!$B$3/(0.85*'Parametros'!$B$2*H272))/2)/1000000</f>
        <v>244.158843198529</v>
      </c>
      <c r="AH272" s="10">
        <f>N272+(AF272+AG272)/D272</f>
        <v>283.851159474446</v>
      </c>
      <c r="AI272" s="10">
        <f>MAX(O272,AH272)</f>
        <v>360.416</v>
      </c>
      <c r="AJ272" s="10">
        <f>0.17*SQRT('Parametros'!$B$2)*H272*MIN(U272,AB272)/1000</f>
        <v>220.098728691808</v>
      </c>
      <c r="AK272" s="10">
        <f>MAX(AI272/'Parametros'!$B$6-AJ272,0)</f>
        <v>260.455937974859</v>
      </c>
      <c r="AL272" s="10">
        <f>0.66*SQRT('Parametros'!$B$2)*H272*MIN(U272,AB272)/1000</f>
        <v>854.500946685842</v>
      </c>
      <c r="AM272" s="10" t="str">
        <f>IF(AK272&lt;=AL272,"CUMPLE","NO CUMPLE")</f>
        <v>CUMPLE</v>
      </c>
      <c r="AN272" s="17" t="inlineStr">
        <is>
          <t>Nº3 cerrado</t>
        </is>
      </c>
      <c r="AO272" s="31" t="n">
        <v>2</v>
      </c>
      <c r="AP272" s="10">
        <f>ROUNDDOWN(MIN(IF(BC272+BD272=0,1000000000,AO272*BB272/(BC272+BD272)),MIN(U272,AB272)/4,8*'Parametros'!$B$12,24*BA272,300,IF(AV272=0,1000000000,2*((H272-2*('Parametros'!$B$7+'Parametros'!$B$9/2))+(I272-2*('Parametros'!$B$7+'Parametros'!$B$9/2)))/8))/10,0)*10</f>
        <v>110</v>
      </c>
      <c r="AQ272" s="10">
        <f>ROUNDDOWN(MIN(IF(BC272+BD272=0,1000000000,AO272*BB272/(BC272+BD272)),IF(AK272&gt;0.33*SQRT('Parametros'!$B$2)*H272*MIN(U272,AB272)/1000,MIN(U272,AB272)/4,MIN(U272,AB272)/2),600,IF(AV272=0,1000000000,2*((H272-2*('Parametros'!$B$7+'Parametros'!$B$9/2))+(I272-2*('Parametros'!$B$7+'Parametros'!$B$9/2)))/8))/10,0)*10</f>
        <v>110</v>
      </c>
      <c r="AR272" s="10">
        <f>'Parametros'!$B$6*(AJ272+MAX(BE272-BD272,0)*'Parametros'!$B$4*MIN(U272,AB272)/1000)</f>
        <v>364.06155106431</v>
      </c>
      <c r="AS272" s="10" t="str">
        <f>IF(AND(ISERROR(SEARCH("referencia",AN272)),AM272="CUMPLE",AR272&gt;=AI272),"CUMPLE","NO CUMPLE")</f>
        <v>CUMPLE</v>
      </c>
      <c r="AT272" s="10">
        <f>'Parametros'!$B$6*0.083*SQRT('Parametros'!$B$2)*(H272*I272)^2/(2*(H272+I272))/1000000</f>
        <v>11.862178757599</v>
      </c>
      <c r="AU272" s="10" t="str">
        <f>IF(Q272&lt;=AT272,"DESPRECIABLE","DISEÑAR")</f>
        <v>DESPRECIABLE</v>
      </c>
      <c r="AV272" s="10">
        <f>IF(Q272&lt;=AT272,0,Q272*1000000/('Parametros'!$B$6*2*0.85*(H272-2*('Parametros'!$B$7+'Parametros'!$B$9/2))*(I272-2*('Parametros'!$B$7+'Parametros'!$B$9/2))*'Parametros'!$B$4))</f>
        <v>0</v>
      </c>
      <c r="AW272" s="10">
        <f>AV272*2*((H272-2*('Parametros'!$B$7+'Parametros'!$B$9/2))+(I272-2*('Parametros'!$B$7+'Parametros'!$B$9/2)))*'Parametros'!$B$4/'Parametros'!$B$3</f>
        <v>0</v>
      </c>
      <c r="AX272" s="31" t="n">
        <v>0</v>
      </c>
      <c r="AY272" s="10" t="str">
        <f>IF(AV272=0,"DESPRECIABLE",IF(AND(ISERROR(SEARCH("referencia",AN272)),BB272/AP272&gt;=AV272,BI272&gt;=AW272,BH272="CUMPLE"),"CUMPLE","NO CUMPLE"))</f>
        <v>DESPRECIABLE</v>
      </c>
      <c r="AZ272" s="10" t="str">
        <f>IF(AND(X272="CUMPLE",AE272="CUMPLE",AS272="CUMPLE",OR(AY272="CUMPLE",AY272="DESPRECIABLE"),BH272="CUMPLE",BJ272="CUMPLE"),"CUMPLE","NO CUMPLE")</f>
        <v>CUMPLE</v>
      </c>
      <c r="BA272" s="32" t="n">
        <v>9.5</v>
      </c>
      <c r="BB272" s="32" t="n">
        <v>71</v>
      </c>
      <c r="BC272" s="10">
        <f>MAX(IF(AK272=0,0,AK272*1000/('Parametros'!$B$4*MIN(U272,AB272))),MAX(0.062*SQRT('Parametros'!$B$2)*H272/'Parametros'!$B$4,0.35*H272/'Parametros'!$B$4))</f>
        <v>1.26725898774788</v>
      </c>
      <c r="BD272" s="10">
        <f>2*AV272</f>
        <v>0</v>
      </c>
      <c r="BE272" s="10">
        <f>AO272*BB272/AP272</f>
        <v>1.29090909090909</v>
      </c>
      <c r="BF272" s="10">
        <f>SQRT((AI272*1000/(H272*MIN(U272,AB272)))^2+(Q272*1000000*2*((H272-2*('Parametros'!$B$7+'Parametros'!$B$9/2))+(I272-2*('Parametros'!$B$7+'Parametros'!$B$9/2)))/(1.7*((H272-2*('Parametros'!$B$7+'Parametros'!$B$9/2))*(I272-2*('Parametros'!$B$7+'Parametros'!$B$9/2)))^2))^2)</f>
        <v>1.47499466580737</v>
      </c>
      <c r="BG272" s="10">
        <f>'Parametros'!$B$6*(AJ272*1000/(H272*MIN(U272,AB272))+0.66*SQRT('Parametros'!$B$2))</f>
        <v>3.29396038227542</v>
      </c>
      <c r="BH272" s="10" t="str">
        <f>IF(BF272&lt;=BG272,"CUMPLE","NO CUMPLE")</f>
        <v>CUMPLE</v>
      </c>
      <c r="BI272" s="10">
        <f>AX272*'Parametros'!$B$8</f>
        <v>0</v>
      </c>
      <c r="BJ272" s="10" t="str">
        <f>IF(BI272&gt;=AW272,"CUMPLE","NO CUMPLE")</f>
        <v>CUMPLE</v>
      </c>
    </row>
    <row r="273">
      <c r="A273" s="23" t="inlineStr">
        <is>
          <t>VR1</t>
        </is>
      </c>
      <c r="B273" s="23" t="inlineStr">
        <is>
          <t>768</t>
        </is>
      </c>
      <c r="C273" s="10" t="n">
        <v>1</v>
      </c>
      <c r="D273" s="10" t="n">
        <v>2</v>
      </c>
      <c r="E273" s="10" t="n">
        <v>2</v>
      </c>
      <c r="F273" s="10" t="n">
        <v>500</v>
      </c>
      <c r="G273" s="10" t="n">
        <v>550</v>
      </c>
      <c r="H273" s="17" t="n">
        <v>500</v>
      </c>
      <c r="I273" s="17" t="n">
        <v>550</v>
      </c>
      <c r="J273" s="30" t="n">
        <v>143.0525</v>
      </c>
      <c r="K273" s="10" t="inlineStr">
        <is>
          <t>768</t>
        </is>
      </c>
      <c r="L273" s="30" t="n">
        <v>92.18040000000001</v>
      </c>
      <c r="M273" s="10" t="inlineStr">
        <is>
          <t>768</t>
        </is>
      </c>
      <c r="N273" s="30" t="n">
        <v>135.386</v>
      </c>
      <c r="O273" s="30" t="n">
        <v>429.683</v>
      </c>
      <c r="P273" s="10" t="inlineStr">
        <is>
          <t>768</t>
        </is>
      </c>
      <c r="Q273" s="30" t="n">
        <v>3.4995</v>
      </c>
      <c r="R273" s="10">
        <f>MAX(MAX(1.4/'Parametros'!$B$3,0.25*SQRT('Parametros'!$B$2)/'Parametros'!$B$3)*H273*U273,(0.85*'Parametros'!$B$2/'Parametros'!$B$3)*(1-SQRT(1-2*(J273*1000000/('Parametros'!$B$5*H273*U273^2))/(0.85*'Parametros'!$B$2)))*H273*U273)</f>
        <v>815.583333333333</v>
      </c>
      <c r="S273" s="31" t="n">
        <v>5</v>
      </c>
      <c r="T273" s="32" t="n">
        <v>1</v>
      </c>
      <c r="U273" s="10">
        <f>IF(T273=1,I273-('Parametros'!$B$7+'Parametros'!$B$9+'Parametros'!$B$12/2),I273-(ROUNDUP(S273/2,0)*('Parametros'!$B$7+'Parametros'!$B$9+'Parametros'!$B$12/2)+ROUNDDOWN(S273/2,0)*('Parametros'!$B$7+'Parametros'!$B$9+'Parametros'!$B$12/2+'Parametros'!$B$12+'Parametros'!$B$10))/S273)</f>
        <v>489.35</v>
      </c>
      <c r="V273" s="10">
        <f>S273*'Parametros'!$B$8</f>
        <v>995</v>
      </c>
      <c r="W273" s="10">
        <f>'Parametros'!$B$5*V273*'Parametros'!$B$3*(U273-(V273*'Parametros'!$B$3/(0.85*'Parametros'!$B$2*H273))/2)/1000000</f>
        <v>177.445379382353</v>
      </c>
      <c r="X273" s="10" t="str">
        <f>IF(W273&gt;=J273,"CUMPLE","NO CUMPLE")</f>
        <v>CUMPLE</v>
      </c>
      <c r="Y273" s="10">
        <f>MAX(MAX(1.4/'Parametros'!$B$3,0.25*SQRT('Parametros'!$B$2)/'Parametros'!$B$3)*H273*AB273,(0.85*'Parametros'!$B$2/'Parametros'!$B$3)*(1-SQRT(1-2*(L273*1000000/('Parametros'!$B$5*H273*AB273^2))/(0.85*'Parametros'!$B$2)))*H273*AB273)</f>
        <v>815.583333333333</v>
      </c>
      <c r="Z273" s="31" t="n">
        <v>5</v>
      </c>
      <c r="AA273" s="32" t="n">
        <v>1</v>
      </c>
      <c r="AB273" s="10">
        <f>IF(AA273=1,I273-('Parametros'!$B$7+'Parametros'!$B$9+'Parametros'!$B$12/2),I273-(ROUNDUP(Z273/2,0)*('Parametros'!$B$7+'Parametros'!$B$9+'Parametros'!$B$12/2)+ROUNDDOWN(Z273/2,0)*('Parametros'!$B$7+'Parametros'!$B$9+'Parametros'!$B$12/2+'Parametros'!$B$12+'Parametros'!$B$10))/Z273)</f>
        <v>489.35</v>
      </c>
      <c r="AC273" s="10">
        <f>Z273*'Parametros'!$B$8</f>
        <v>995</v>
      </c>
      <c r="AD273" s="10">
        <f>'Parametros'!$B$5*AC273*'Parametros'!$B$3*(AB273-(AC273*'Parametros'!$B$3/(0.85*'Parametros'!$B$2*H273))/2)/1000000</f>
        <v>177.445379382353</v>
      </c>
      <c r="AE273" s="10" t="str">
        <f>IF(AD273&gt;=L273,"CUMPLE","NO CUMPLE")</f>
        <v>CUMPLE</v>
      </c>
      <c r="AF273" s="10">
        <f>V273*1.25*'Parametros'!$B$3*(U273-(V273*1.25*'Parametros'!$B$3/(0.85*'Parametros'!$B$2*H273))/2)/1000000</f>
        <v>244.158843198529</v>
      </c>
      <c r="AG273" s="10">
        <f>AC273*1.25*'Parametros'!$B$3*(AB273-(AC273*1.25*'Parametros'!$B$3/(0.85*'Parametros'!$B$2*H273))/2)/1000000</f>
        <v>244.158843198529</v>
      </c>
      <c r="AH273" s="10">
        <f>N273+(AF273+AG273)/D273</f>
        <v>379.544843198529</v>
      </c>
      <c r="AI273" s="10">
        <f>MAX(O273,AH273)</f>
        <v>429.683</v>
      </c>
      <c r="AJ273" s="10">
        <f>0.17*SQRT('Parametros'!$B$2)*H273*MIN(U273,AB273)/1000</f>
        <v>220.098728691808</v>
      </c>
      <c r="AK273" s="10">
        <f>MAX(AI273/'Parametros'!$B$6-AJ273,0)</f>
        <v>352.811937974859</v>
      </c>
      <c r="AL273" s="10">
        <f>0.66*SQRT('Parametros'!$B$2)*H273*MIN(U273,AB273)/1000</f>
        <v>854.500946685842</v>
      </c>
      <c r="AM273" s="10" t="str">
        <f>IF(AK273&lt;=AL273,"CUMPLE","NO CUMPLE")</f>
        <v>CUMPLE</v>
      </c>
      <c r="AN273" s="17" t="inlineStr">
        <is>
          <t>Nº3 cerrado</t>
        </is>
      </c>
      <c r="AO273" s="31" t="n">
        <v>2</v>
      </c>
      <c r="AP273" s="10">
        <f>ROUNDDOWN(MIN(IF(BC273+BD273=0,1000000000,AO273*BB273/(BC273+BD273)),MIN(U273,AB273)/4,8*'Parametros'!$B$12,24*BA273,300,IF(AV273=0,1000000000,2*((H273-2*('Parametros'!$B$7+'Parametros'!$B$9/2))+(I273-2*('Parametros'!$B$7+'Parametros'!$B$9/2)))/8))/10,0)*10</f>
        <v>80</v>
      </c>
      <c r="AQ273" s="10">
        <f>ROUNDDOWN(MIN(IF(BC273+BD273=0,1000000000,AO273*BB273/(BC273+BD273)),IF(AK273&gt;0.33*SQRT('Parametros'!$B$2)*H273*MIN(U273,AB273)/1000,MIN(U273,AB273)/4,MIN(U273,AB273)/2),600,IF(AV273=0,1000000000,2*((H273-2*('Parametros'!$B$7+'Parametros'!$B$9/2))+(I273-2*('Parametros'!$B$7+'Parametros'!$B$9/2)))/8))/10,0)*10</f>
        <v>80</v>
      </c>
      <c r="AR273" s="10">
        <f>'Parametros'!$B$6*(AJ273+MAX(BE273-BD273,0)*'Parametros'!$B$4*MIN(U273,AB273)/1000)</f>
        <v>438.681865268856</v>
      </c>
      <c r="AS273" s="10" t="str">
        <f>IF(AND(ISERROR(SEARCH("referencia",AN273)),AM273="CUMPLE",AR273&gt;=AI273),"CUMPLE","NO CUMPLE")</f>
        <v>CUMPLE</v>
      </c>
      <c r="AT273" s="10">
        <f>'Parametros'!$B$6*0.083*SQRT('Parametros'!$B$2)*(H273*I273)^2/(2*(H273+I273))/1000000</f>
        <v>11.862178757599</v>
      </c>
      <c r="AU273" s="10" t="str">
        <f>IF(Q273&lt;=AT273,"DESPRECIABLE","DISEÑAR")</f>
        <v>DESPRECIABLE</v>
      </c>
      <c r="AV273" s="10">
        <f>IF(Q273&lt;=AT273,0,Q273*1000000/('Parametros'!$B$6*2*0.85*(H273-2*('Parametros'!$B$7+'Parametros'!$B$9/2))*(I273-2*('Parametros'!$B$7+'Parametros'!$B$9/2))*'Parametros'!$B$4))</f>
        <v>0</v>
      </c>
      <c r="AW273" s="10">
        <f>AV273*2*((H273-2*('Parametros'!$B$7+'Parametros'!$B$9/2))+(I273-2*('Parametros'!$B$7+'Parametros'!$B$9/2)))*'Parametros'!$B$4/'Parametros'!$B$3</f>
        <v>0</v>
      </c>
      <c r="AX273" s="31" t="n">
        <v>0</v>
      </c>
      <c r="AY273" s="10" t="str">
        <f>IF(AV273=0,"DESPRECIABLE",IF(AND(ISERROR(SEARCH("referencia",AN273)),BB273/AP273&gt;=AV273,BI273&gt;=AW273,BH273="CUMPLE"),"CUMPLE","NO CUMPLE"))</f>
        <v>DESPRECIABLE</v>
      </c>
      <c r="AZ273" s="10" t="str">
        <f>IF(AND(X273="CUMPLE",AE273="CUMPLE",AS273="CUMPLE",OR(AY273="CUMPLE",AY273="DESPRECIABLE"),BH273="CUMPLE",BJ273="CUMPLE"),"CUMPLE","NO CUMPLE")</f>
        <v>CUMPLE</v>
      </c>
      <c r="BA273" s="32" t="n">
        <v>9.5</v>
      </c>
      <c r="BB273" s="32" t="n">
        <v>71</v>
      </c>
      <c r="BC273" s="10">
        <f>MAX(IF(AK273=0,0,AK273*1000/('Parametros'!$B$4*MIN(U273,AB273))),MAX(0.062*SQRT('Parametros'!$B$2)*H273/'Parametros'!$B$4,0.35*H273/'Parametros'!$B$4))</f>
        <v>1.71662087207452</v>
      </c>
      <c r="BD273" s="10">
        <f>2*AV273</f>
        <v>0</v>
      </c>
      <c r="BE273" s="10">
        <f>AO273*BB273/AP273</f>
        <v>1.775</v>
      </c>
      <c r="BF273" s="10">
        <f>SQRT((AI273*1000/(H273*MIN(U273,AB273)))^2+(Q273*1000000*2*((H273-2*('Parametros'!$B$7+'Parametros'!$B$9/2))+(I273-2*('Parametros'!$B$7+'Parametros'!$B$9/2)))/(1.7*((H273-2*('Parametros'!$B$7+'Parametros'!$B$9/2))*(I273-2*('Parametros'!$B$7+'Parametros'!$B$9/2)))^2))^2)</f>
        <v>1.75913264131962</v>
      </c>
      <c r="BG273" s="10">
        <f>'Parametros'!$B$6*(AJ273*1000/(H273*MIN(U273,AB273))+0.66*SQRT('Parametros'!$B$2))</f>
        <v>3.29396038227542</v>
      </c>
      <c r="BH273" s="10" t="str">
        <f>IF(BF273&lt;=BG273,"CUMPLE","NO CUMPLE")</f>
        <v>CUMPLE</v>
      </c>
      <c r="BI273" s="10">
        <f>AX273*'Parametros'!$B$8</f>
        <v>0</v>
      </c>
      <c r="BJ273" s="10" t="str">
        <f>IF(BI273&gt;=AW273,"CUMPLE","NO CUMPLE")</f>
        <v>CUMPLE</v>
      </c>
    </row>
    <row r="274">
      <c r="A274" s="23" t="inlineStr">
        <is>
          <t>VR1</t>
        </is>
      </c>
      <c r="B274" s="23" t="inlineStr">
        <is>
          <t>803</t>
        </is>
      </c>
      <c r="C274" s="10" t="n">
        <v>1</v>
      </c>
      <c r="D274" s="10" t="n">
        <v>2</v>
      </c>
      <c r="E274" s="10" t="n">
        <v>2</v>
      </c>
      <c r="F274" s="10" t="n">
        <v>500</v>
      </c>
      <c r="G274" s="10" t="n">
        <v>550</v>
      </c>
      <c r="H274" s="17" t="n">
        <v>500</v>
      </c>
      <c r="I274" s="17" t="n">
        <v>550</v>
      </c>
      <c r="J274" s="30" t="n">
        <v>142.9181</v>
      </c>
      <c r="K274" s="10" t="inlineStr">
        <is>
          <t>803</t>
        </is>
      </c>
      <c r="L274" s="30" t="n">
        <v>92.06529999999999</v>
      </c>
      <c r="M274" s="10" t="inlineStr">
        <is>
          <t>803</t>
        </is>
      </c>
      <c r="N274" s="30" t="n">
        <v>135.29</v>
      </c>
      <c r="O274" s="30" t="n">
        <v>429.582</v>
      </c>
      <c r="P274" s="10" t="inlineStr">
        <is>
          <t>803</t>
        </is>
      </c>
      <c r="Q274" s="30" t="n">
        <v>3.5006</v>
      </c>
      <c r="R274" s="10">
        <f>MAX(MAX(1.4/'Parametros'!$B$3,0.25*SQRT('Parametros'!$B$2)/'Parametros'!$B$3)*H274*U274,(0.85*'Parametros'!$B$2/'Parametros'!$B$3)*(1-SQRT(1-2*(J274*1000000/('Parametros'!$B$5*H274*U274^2))/(0.85*'Parametros'!$B$2)))*H274*U274)</f>
        <v>815.583333333333</v>
      </c>
      <c r="S274" s="31" t="n">
        <v>5</v>
      </c>
      <c r="T274" s="32" t="n">
        <v>1</v>
      </c>
      <c r="U274" s="10">
        <f>IF(T274=1,I274-('Parametros'!$B$7+'Parametros'!$B$9+'Parametros'!$B$12/2),I274-(ROUNDUP(S274/2,0)*('Parametros'!$B$7+'Parametros'!$B$9+'Parametros'!$B$12/2)+ROUNDDOWN(S274/2,0)*('Parametros'!$B$7+'Parametros'!$B$9+'Parametros'!$B$12/2+'Parametros'!$B$12+'Parametros'!$B$10))/S274)</f>
        <v>489.35</v>
      </c>
      <c r="V274" s="10">
        <f>S274*'Parametros'!$B$8</f>
        <v>995</v>
      </c>
      <c r="W274" s="10">
        <f>'Parametros'!$B$5*V274*'Parametros'!$B$3*(U274-(V274*'Parametros'!$B$3/(0.85*'Parametros'!$B$2*H274))/2)/1000000</f>
        <v>177.445379382353</v>
      </c>
      <c r="X274" s="10" t="str">
        <f>IF(W274&gt;=J274,"CUMPLE","NO CUMPLE")</f>
        <v>CUMPLE</v>
      </c>
      <c r="Y274" s="10">
        <f>MAX(MAX(1.4/'Parametros'!$B$3,0.25*SQRT('Parametros'!$B$2)/'Parametros'!$B$3)*H274*AB274,(0.85*'Parametros'!$B$2/'Parametros'!$B$3)*(1-SQRT(1-2*(L274*1000000/('Parametros'!$B$5*H274*AB274^2))/(0.85*'Parametros'!$B$2)))*H274*AB274)</f>
        <v>815.583333333333</v>
      </c>
      <c r="Z274" s="31" t="n">
        <v>5</v>
      </c>
      <c r="AA274" s="32" t="n">
        <v>1</v>
      </c>
      <c r="AB274" s="10">
        <f>IF(AA274=1,I274-('Parametros'!$B$7+'Parametros'!$B$9+'Parametros'!$B$12/2),I274-(ROUNDUP(Z274/2,0)*('Parametros'!$B$7+'Parametros'!$B$9+'Parametros'!$B$12/2)+ROUNDDOWN(Z274/2,0)*('Parametros'!$B$7+'Parametros'!$B$9+'Parametros'!$B$12/2+'Parametros'!$B$12+'Parametros'!$B$10))/Z274)</f>
        <v>489.35</v>
      </c>
      <c r="AC274" s="10">
        <f>Z274*'Parametros'!$B$8</f>
        <v>995</v>
      </c>
      <c r="AD274" s="10">
        <f>'Parametros'!$B$5*AC274*'Parametros'!$B$3*(AB274-(AC274*'Parametros'!$B$3/(0.85*'Parametros'!$B$2*H274))/2)/1000000</f>
        <v>177.445379382353</v>
      </c>
      <c r="AE274" s="10" t="str">
        <f>IF(AD274&gt;=L274,"CUMPLE","NO CUMPLE")</f>
        <v>CUMPLE</v>
      </c>
      <c r="AF274" s="10">
        <f>V274*1.25*'Parametros'!$B$3*(U274-(V274*1.25*'Parametros'!$B$3/(0.85*'Parametros'!$B$2*H274))/2)/1000000</f>
        <v>244.158843198529</v>
      </c>
      <c r="AG274" s="10">
        <f>AC274*1.25*'Parametros'!$B$3*(AB274-(AC274*1.25*'Parametros'!$B$3/(0.85*'Parametros'!$B$2*H274))/2)/1000000</f>
        <v>244.158843198529</v>
      </c>
      <c r="AH274" s="10">
        <f>N274+(AF274+AG274)/D274</f>
        <v>379.448843198529</v>
      </c>
      <c r="AI274" s="10">
        <f>MAX(O274,AH274)</f>
        <v>429.582</v>
      </c>
      <c r="AJ274" s="10">
        <f>0.17*SQRT('Parametros'!$B$2)*H274*MIN(U274,AB274)/1000</f>
        <v>220.098728691808</v>
      </c>
      <c r="AK274" s="10">
        <f>MAX(AI274/'Parametros'!$B$6-AJ274,0)</f>
        <v>352.677271308192</v>
      </c>
      <c r="AL274" s="10">
        <f>0.66*SQRT('Parametros'!$B$2)*H274*MIN(U274,AB274)/1000</f>
        <v>854.500946685842</v>
      </c>
      <c r="AM274" s="10" t="str">
        <f>IF(AK274&lt;=AL274,"CUMPLE","NO CUMPLE")</f>
        <v>CUMPLE</v>
      </c>
      <c r="AN274" s="17" t="inlineStr">
        <is>
          <t>Nº3 cerrado</t>
        </is>
      </c>
      <c r="AO274" s="31" t="n">
        <v>2</v>
      </c>
      <c r="AP274" s="10">
        <f>ROUNDDOWN(MIN(IF(BC274+BD274=0,1000000000,AO274*BB274/(BC274+BD274)),MIN(U274,AB274)/4,8*'Parametros'!$B$12,24*BA274,300,IF(AV274=0,1000000000,2*((H274-2*('Parametros'!$B$7+'Parametros'!$B$9/2))+(I274-2*('Parametros'!$B$7+'Parametros'!$B$9/2)))/8))/10,0)*10</f>
        <v>80</v>
      </c>
      <c r="AQ274" s="10">
        <f>ROUNDDOWN(MIN(IF(BC274+BD274=0,1000000000,AO274*BB274/(BC274+BD274)),IF(AK274&gt;0.33*SQRT('Parametros'!$B$2)*H274*MIN(U274,AB274)/1000,MIN(U274,AB274)/4,MIN(U274,AB274)/2),600,IF(AV274=0,1000000000,2*((H274-2*('Parametros'!$B$7+'Parametros'!$B$9/2))+(I274-2*('Parametros'!$B$7+'Parametros'!$B$9/2)))/8))/10,0)*10</f>
        <v>80</v>
      </c>
      <c r="AR274" s="10">
        <f>'Parametros'!$B$6*(AJ274+MAX(BE274-BD274,0)*'Parametros'!$B$4*MIN(U274,AB274)/1000)</f>
        <v>438.681865268856</v>
      </c>
      <c r="AS274" s="10" t="str">
        <f>IF(AND(ISERROR(SEARCH("referencia",AN274)),AM274="CUMPLE",AR274&gt;=AI274),"CUMPLE","NO CUMPLE")</f>
        <v>CUMPLE</v>
      </c>
      <c r="AT274" s="10">
        <f>'Parametros'!$B$6*0.083*SQRT('Parametros'!$B$2)*(H274*I274)^2/(2*(H274+I274))/1000000</f>
        <v>11.862178757599</v>
      </c>
      <c r="AU274" s="10" t="str">
        <f>IF(Q274&lt;=AT274,"DESPRECIABLE","DISEÑAR")</f>
        <v>DESPRECIABLE</v>
      </c>
      <c r="AV274" s="10">
        <f>IF(Q274&lt;=AT274,0,Q274*1000000/('Parametros'!$B$6*2*0.85*(H274-2*('Parametros'!$B$7+'Parametros'!$B$9/2))*(I274-2*('Parametros'!$B$7+'Parametros'!$B$9/2))*'Parametros'!$B$4))</f>
        <v>0</v>
      </c>
      <c r="AW274" s="10">
        <f>AV274*2*((H274-2*('Parametros'!$B$7+'Parametros'!$B$9/2))+(I274-2*('Parametros'!$B$7+'Parametros'!$B$9/2)))*'Parametros'!$B$4/'Parametros'!$B$3</f>
        <v>0</v>
      </c>
      <c r="AX274" s="31" t="n">
        <v>0</v>
      </c>
      <c r="AY274" s="10" t="str">
        <f>IF(AV274=0,"DESPRECIABLE",IF(AND(ISERROR(SEARCH("referencia",AN274)),BB274/AP274&gt;=AV274,BI274&gt;=AW274,BH274="CUMPLE"),"CUMPLE","NO CUMPLE"))</f>
        <v>DESPRECIABLE</v>
      </c>
      <c r="AZ274" s="10" t="str">
        <f>IF(AND(X274="CUMPLE",AE274="CUMPLE",AS274="CUMPLE",OR(AY274="CUMPLE",AY274="DESPRECIABLE"),BH274="CUMPLE",BJ274="CUMPLE"),"CUMPLE","NO CUMPLE")</f>
        <v>CUMPLE</v>
      </c>
      <c r="BA274" s="32" t="n">
        <v>9.5</v>
      </c>
      <c r="BB274" s="32" t="n">
        <v>71</v>
      </c>
      <c r="BC274" s="10">
        <f>MAX(IF(AK274=0,0,AK274*1000/('Parametros'!$B$4*MIN(U274,AB274))),MAX(0.062*SQRT('Parametros'!$B$2)*H274/'Parametros'!$B$4,0.35*H274/'Parametros'!$B$4))</f>
        <v>1.71596564591607</v>
      </c>
      <c r="BD274" s="10">
        <f>2*AV274</f>
        <v>0</v>
      </c>
      <c r="BE274" s="10">
        <f>AO274*BB274/AP274</f>
        <v>1.775</v>
      </c>
      <c r="BF274" s="10">
        <f>SQRT((AI274*1000/(H274*MIN(U274,AB274)))^2+(Q274*1000000*2*((H274-2*('Parametros'!$B$7+'Parametros'!$B$9/2))+(I274-2*('Parametros'!$B$7+'Parametros'!$B$9/2)))/(1.7*((H274-2*('Parametros'!$B$7+'Parametros'!$B$9/2))*(I274-2*('Parametros'!$B$7+'Parametros'!$B$9/2)))^2))^2)</f>
        <v>1.75872243369522</v>
      </c>
      <c r="BG274" s="10">
        <f>'Parametros'!$B$6*(AJ274*1000/(H274*MIN(U274,AB274))+0.66*SQRT('Parametros'!$B$2))</f>
        <v>3.29396038227542</v>
      </c>
      <c r="BH274" s="10" t="str">
        <f>IF(BF274&lt;=BG274,"CUMPLE","NO CUMPLE")</f>
        <v>CUMPLE</v>
      </c>
      <c r="BI274" s="10">
        <f>AX274*'Parametros'!$B$8</f>
        <v>0</v>
      </c>
      <c r="BJ274" s="10" t="str">
        <f>IF(BI274&gt;=AW274,"CUMPLE","NO CUMPLE")</f>
        <v>CUMPLE</v>
      </c>
    </row>
    <row r="275">
      <c r="A275" s="23" t="inlineStr">
        <is>
          <t>VR1</t>
        </is>
      </c>
      <c r="B275" s="23" t="inlineStr">
        <is>
          <t>804</t>
        </is>
      </c>
      <c r="C275" s="10" t="n">
        <v>1</v>
      </c>
      <c r="D275" s="10" t="n">
        <v>3.05</v>
      </c>
      <c r="E275" s="10" t="n">
        <v>3.05</v>
      </c>
      <c r="F275" s="10" t="n">
        <v>500</v>
      </c>
      <c r="G275" s="10" t="n">
        <v>550</v>
      </c>
      <c r="H275" s="17" t="n">
        <v>500</v>
      </c>
      <c r="I275" s="17" t="n">
        <v>550</v>
      </c>
      <c r="J275" s="30" t="n">
        <v>146.3326</v>
      </c>
      <c r="K275" s="10" t="inlineStr">
        <is>
          <t>804</t>
        </is>
      </c>
      <c r="L275" s="30" t="n">
        <v>87.9455</v>
      </c>
      <c r="M275" s="10" t="inlineStr">
        <is>
          <t>804</t>
        </is>
      </c>
      <c r="N275" s="30" t="n">
        <v>123.669</v>
      </c>
      <c r="O275" s="30" t="n">
        <v>360.342</v>
      </c>
      <c r="P275" s="10" t="inlineStr">
        <is>
          <t>804</t>
        </is>
      </c>
      <c r="Q275" s="30" t="n">
        <v>2.5886</v>
      </c>
      <c r="R275" s="10">
        <f>MAX(MAX(1.4/'Parametros'!$B$3,0.25*SQRT('Parametros'!$B$2)/'Parametros'!$B$3)*H275*U275,(0.85*'Parametros'!$B$2/'Parametros'!$B$3)*(1-SQRT(1-2*(J275*1000000/('Parametros'!$B$5*H275*U275^2))/(0.85*'Parametros'!$B$2)))*H275*U275)</f>
        <v>815.583333333333</v>
      </c>
      <c r="S275" s="31" t="n">
        <v>5</v>
      </c>
      <c r="T275" s="32" t="n">
        <v>1</v>
      </c>
      <c r="U275" s="10">
        <f>IF(T275=1,I275-('Parametros'!$B$7+'Parametros'!$B$9+'Parametros'!$B$12/2),I275-(ROUNDUP(S275/2,0)*('Parametros'!$B$7+'Parametros'!$B$9+'Parametros'!$B$12/2)+ROUNDDOWN(S275/2,0)*('Parametros'!$B$7+'Parametros'!$B$9+'Parametros'!$B$12/2+'Parametros'!$B$12+'Parametros'!$B$10))/S275)</f>
        <v>489.35</v>
      </c>
      <c r="V275" s="10">
        <f>S275*'Parametros'!$B$8</f>
        <v>995</v>
      </c>
      <c r="W275" s="10">
        <f>'Parametros'!$B$5*V275*'Parametros'!$B$3*(U275-(V275*'Parametros'!$B$3/(0.85*'Parametros'!$B$2*H275))/2)/1000000</f>
        <v>177.445379382353</v>
      </c>
      <c r="X275" s="10" t="str">
        <f>IF(W275&gt;=J275,"CUMPLE","NO CUMPLE")</f>
        <v>CUMPLE</v>
      </c>
      <c r="Y275" s="10">
        <f>MAX(MAX(1.4/'Parametros'!$B$3,0.25*SQRT('Parametros'!$B$2)/'Parametros'!$B$3)*H275*AB275,(0.85*'Parametros'!$B$2/'Parametros'!$B$3)*(1-SQRT(1-2*(L275*1000000/('Parametros'!$B$5*H275*AB275^2))/(0.85*'Parametros'!$B$2)))*H275*AB275)</f>
        <v>815.583333333333</v>
      </c>
      <c r="Z275" s="31" t="n">
        <v>5</v>
      </c>
      <c r="AA275" s="32" t="n">
        <v>1</v>
      </c>
      <c r="AB275" s="10">
        <f>IF(AA275=1,I275-('Parametros'!$B$7+'Parametros'!$B$9+'Parametros'!$B$12/2),I275-(ROUNDUP(Z275/2,0)*('Parametros'!$B$7+'Parametros'!$B$9+'Parametros'!$B$12/2)+ROUNDDOWN(Z275/2,0)*('Parametros'!$B$7+'Parametros'!$B$9+'Parametros'!$B$12/2+'Parametros'!$B$12+'Parametros'!$B$10))/Z275)</f>
        <v>489.35</v>
      </c>
      <c r="AC275" s="10">
        <f>Z275*'Parametros'!$B$8</f>
        <v>995</v>
      </c>
      <c r="AD275" s="10">
        <f>'Parametros'!$B$5*AC275*'Parametros'!$B$3*(AB275-(AC275*'Parametros'!$B$3/(0.85*'Parametros'!$B$2*H275))/2)/1000000</f>
        <v>177.445379382353</v>
      </c>
      <c r="AE275" s="10" t="str">
        <f>IF(AD275&gt;=L275,"CUMPLE","NO CUMPLE")</f>
        <v>CUMPLE</v>
      </c>
      <c r="AF275" s="10">
        <f>V275*1.25*'Parametros'!$B$3*(U275-(V275*1.25*'Parametros'!$B$3/(0.85*'Parametros'!$B$2*H275))/2)/1000000</f>
        <v>244.158843198529</v>
      </c>
      <c r="AG275" s="10">
        <f>AC275*1.25*'Parametros'!$B$3*(AB275-(AC275*1.25*'Parametros'!$B$3/(0.85*'Parametros'!$B$2*H275))/2)/1000000</f>
        <v>244.158843198529</v>
      </c>
      <c r="AH275" s="10">
        <f>N275+(AF275+AG275)/D275</f>
        <v>283.773159474446</v>
      </c>
      <c r="AI275" s="10">
        <f>MAX(O275,AH275)</f>
        <v>360.342</v>
      </c>
      <c r="AJ275" s="10">
        <f>0.17*SQRT('Parametros'!$B$2)*H275*MIN(U275,AB275)/1000</f>
        <v>220.098728691808</v>
      </c>
      <c r="AK275" s="10">
        <f>MAX(AI275/'Parametros'!$B$6-AJ275,0)</f>
        <v>260.357271308192</v>
      </c>
      <c r="AL275" s="10">
        <f>0.66*SQRT('Parametros'!$B$2)*H275*MIN(U275,AB275)/1000</f>
        <v>854.500946685842</v>
      </c>
      <c r="AM275" s="10" t="str">
        <f>IF(AK275&lt;=AL275,"CUMPLE","NO CUMPLE")</f>
        <v>CUMPLE</v>
      </c>
      <c r="AN275" s="17" t="inlineStr">
        <is>
          <t>Nº3 cerrado</t>
        </is>
      </c>
      <c r="AO275" s="31" t="n">
        <v>2</v>
      </c>
      <c r="AP275" s="10">
        <f>ROUNDDOWN(MIN(IF(BC275+BD275=0,1000000000,AO275*BB275/(BC275+BD275)),MIN(U275,AB275)/4,8*'Parametros'!$B$12,24*BA275,300,IF(AV275=0,1000000000,2*((H275-2*('Parametros'!$B$7+'Parametros'!$B$9/2))+(I275-2*('Parametros'!$B$7+'Parametros'!$B$9/2)))/8))/10,0)*10</f>
        <v>110</v>
      </c>
      <c r="AQ275" s="10">
        <f>ROUNDDOWN(MIN(IF(BC275+BD275=0,1000000000,AO275*BB275/(BC275+BD275)),IF(AK275&gt;0.33*SQRT('Parametros'!$B$2)*H275*MIN(U275,AB275)/1000,MIN(U275,AB275)/4,MIN(U275,AB275)/2),600,IF(AV275=0,1000000000,2*((H275-2*('Parametros'!$B$7+'Parametros'!$B$9/2))+(I275-2*('Parametros'!$B$7+'Parametros'!$B$9/2)))/8))/10,0)*10</f>
        <v>110</v>
      </c>
      <c r="AR275" s="10">
        <f>'Parametros'!$B$6*(AJ275+MAX(BE275-BD275,0)*'Parametros'!$B$4*MIN(U275,AB275)/1000)</f>
        <v>364.06155106431</v>
      </c>
      <c r="AS275" s="10" t="str">
        <f>IF(AND(ISERROR(SEARCH("referencia",AN275)),AM275="CUMPLE",AR275&gt;=AI275),"CUMPLE","NO CUMPLE")</f>
        <v>CUMPLE</v>
      </c>
      <c r="AT275" s="10">
        <f>'Parametros'!$B$6*0.083*SQRT('Parametros'!$B$2)*(H275*I275)^2/(2*(H275+I275))/1000000</f>
        <v>11.862178757599</v>
      </c>
      <c r="AU275" s="10" t="str">
        <f>IF(Q275&lt;=AT275,"DESPRECIABLE","DISEÑAR")</f>
        <v>DESPRECIABLE</v>
      </c>
      <c r="AV275" s="10">
        <f>IF(Q275&lt;=AT275,0,Q275*1000000/('Parametros'!$B$6*2*0.85*(H275-2*('Parametros'!$B$7+'Parametros'!$B$9/2))*(I275-2*('Parametros'!$B$7+'Parametros'!$B$9/2))*'Parametros'!$B$4))</f>
        <v>0</v>
      </c>
      <c r="AW275" s="10">
        <f>AV275*2*((H275-2*('Parametros'!$B$7+'Parametros'!$B$9/2))+(I275-2*('Parametros'!$B$7+'Parametros'!$B$9/2)))*'Parametros'!$B$4/'Parametros'!$B$3</f>
        <v>0</v>
      </c>
      <c r="AX275" s="31" t="n">
        <v>0</v>
      </c>
      <c r="AY275" s="10" t="str">
        <f>IF(AV275=0,"DESPRECIABLE",IF(AND(ISERROR(SEARCH("referencia",AN275)),BB275/AP275&gt;=AV275,BI275&gt;=AW275,BH275="CUMPLE"),"CUMPLE","NO CUMPLE"))</f>
        <v>DESPRECIABLE</v>
      </c>
      <c r="AZ275" s="10" t="str">
        <f>IF(AND(X275="CUMPLE",AE275="CUMPLE",AS275="CUMPLE",OR(AY275="CUMPLE",AY275="DESPRECIABLE"),BH275="CUMPLE",BJ275="CUMPLE"),"CUMPLE","NO CUMPLE")</f>
        <v>CUMPLE</v>
      </c>
      <c r="BA275" s="32" t="n">
        <v>9.5</v>
      </c>
      <c r="BB275" s="32" t="n">
        <v>71</v>
      </c>
      <c r="BC275" s="10">
        <f>MAX(IF(AK275=0,0,AK275*1000/('Parametros'!$B$4*MIN(U275,AB275))),MAX(0.062*SQRT('Parametros'!$B$2)*H275/'Parametros'!$B$4,0.35*H275/'Parametros'!$B$4))</f>
        <v>1.26677892105754</v>
      </c>
      <c r="BD275" s="10">
        <f>2*AV275</f>
        <v>0</v>
      </c>
      <c r="BE275" s="10">
        <f>AO275*BB275/AP275</f>
        <v>1.29090909090909</v>
      </c>
      <c r="BF275" s="10">
        <f>SQRT((AI275*1000/(H275*MIN(U275,AB275)))^2+(Q275*1000000*2*((H275-2*('Parametros'!$B$7+'Parametros'!$B$9/2))+(I275-2*('Parametros'!$B$7+'Parametros'!$B$9/2)))/(1.7*((H275-2*('Parametros'!$B$7+'Parametros'!$B$9/2))*(I275-2*('Parametros'!$B$7+'Parametros'!$B$9/2)))^2))^2)</f>
        <v>1.47469171920901</v>
      </c>
      <c r="BG275" s="10">
        <f>'Parametros'!$B$6*(AJ275*1000/(H275*MIN(U275,AB275))+0.66*SQRT('Parametros'!$B$2))</f>
        <v>3.29396038227542</v>
      </c>
      <c r="BH275" s="10" t="str">
        <f>IF(BF275&lt;=BG275,"CUMPLE","NO CUMPLE")</f>
        <v>CUMPLE</v>
      </c>
      <c r="BI275" s="10">
        <f>AX275*'Parametros'!$B$8</f>
        <v>0</v>
      </c>
      <c r="BJ275" s="10" t="str">
        <f>IF(BI275&gt;=AW275,"CUMPLE","NO CUMPLE")</f>
        <v>CUMPLE</v>
      </c>
    </row>
    <row r="276">
      <c r="A276" s="23" t="inlineStr">
        <is>
          <t>VR1</t>
        </is>
      </c>
      <c r="B276" s="23" t="inlineStr">
        <is>
          <t>805</t>
        </is>
      </c>
      <c r="C276" s="10" t="n">
        <v>1</v>
      </c>
      <c r="D276" s="10" t="n">
        <v>2</v>
      </c>
      <c r="E276" s="10" t="n">
        <v>2</v>
      </c>
      <c r="F276" s="10" t="n">
        <v>500</v>
      </c>
      <c r="G276" s="10" t="n">
        <v>550</v>
      </c>
      <c r="H276" s="17" t="n">
        <v>500</v>
      </c>
      <c r="I276" s="17" t="n">
        <v>550</v>
      </c>
      <c r="J276" s="30" t="n">
        <v>129.2173</v>
      </c>
      <c r="K276" s="10" t="inlineStr">
        <is>
          <t>805</t>
        </is>
      </c>
      <c r="L276" s="30" t="n">
        <v>92.59439999999999</v>
      </c>
      <c r="M276" s="10" t="inlineStr">
        <is>
          <t>805</t>
        </is>
      </c>
      <c r="N276" s="30" t="n">
        <v>127.959</v>
      </c>
      <c r="O276" s="30" t="n">
        <v>439.52</v>
      </c>
      <c r="P276" s="10" t="inlineStr">
        <is>
          <t>805</t>
        </is>
      </c>
      <c r="Q276" s="30" t="n">
        <v>5.5906</v>
      </c>
      <c r="R276" s="10">
        <f>MAX(MAX(1.4/'Parametros'!$B$3,0.25*SQRT('Parametros'!$B$2)/'Parametros'!$B$3)*H276*U276,(0.85*'Parametros'!$B$2/'Parametros'!$B$3)*(1-SQRT(1-2*(J276*1000000/('Parametros'!$B$5*H276*U276^2))/(0.85*'Parametros'!$B$2)))*H276*U276)</f>
        <v>815.583333333333</v>
      </c>
      <c r="S276" s="31" t="n">
        <v>5</v>
      </c>
      <c r="T276" s="32" t="n">
        <v>1</v>
      </c>
      <c r="U276" s="10">
        <f>IF(T276=1,I276-('Parametros'!$B$7+'Parametros'!$B$9+'Parametros'!$B$12/2),I276-(ROUNDUP(S276/2,0)*('Parametros'!$B$7+'Parametros'!$B$9+'Parametros'!$B$12/2)+ROUNDDOWN(S276/2,0)*('Parametros'!$B$7+'Parametros'!$B$9+'Parametros'!$B$12/2+'Parametros'!$B$12+'Parametros'!$B$10))/S276)</f>
        <v>489.35</v>
      </c>
      <c r="V276" s="10">
        <f>S276*'Parametros'!$B$8</f>
        <v>995</v>
      </c>
      <c r="W276" s="10">
        <f>'Parametros'!$B$5*V276*'Parametros'!$B$3*(U276-(V276*'Parametros'!$B$3/(0.85*'Parametros'!$B$2*H276))/2)/1000000</f>
        <v>177.445379382353</v>
      </c>
      <c r="X276" s="10" t="str">
        <f>IF(W276&gt;=J276,"CUMPLE","NO CUMPLE")</f>
        <v>CUMPLE</v>
      </c>
      <c r="Y276" s="10">
        <f>MAX(MAX(1.4/'Parametros'!$B$3,0.25*SQRT('Parametros'!$B$2)/'Parametros'!$B$3)*H276*AB276,(0.85*'Parametros'!$B$2/'Parametros'!$B$3)*(1-SQRT(1-2*(L276*1000000/('Parametros'!$B$5*H276*AB276^2))/(0.85*'Parametros'!$B$2)))*H276*AB276)</f>
        <v>815.583333333333</v>
      </c>
      <c r="Z276" s="31" t="n">
        <v>5</v>
      </c>
      <c r="AA276" s="32" t="n">
        <v>1</v>
      </c>
      <c r="AB276" s="10">
        <f>IF(AA276=1,I276-('Parametros'!$B$7+'Parametros'!$B$9+'Parametros'!$B$12/2),I276-(ROUNDUP(Z276/2,0)*('Parametros'!$B$7+'Parametros'!$B$9+'Parametros'!$B$12/2)+ROUNDDOWN(Z276/2,0)*('Parametros'!$B$7+'Parametros'!$B$9+'Parametros'!$B$12/2+'Parametros'!$B$12+'Parametros'!$B$10))/Z276)</f>
        <v>489.35</v>
      </c>
      <c r="AC276" s="10">
        <f>Z276*'Parametros'!$B$8</f>
        <v>995</v>
      </c>
      <c r="AD276" s="10">
        <f>'Parametros'!$B$5*AC276*'Parametros'!$B$3*(AB276-(AC276*'Parametros'!$B$3/(0.85*'Parametros'!$B$2*H276))/2)/1000000</f>
        <v>177.445379382353</v>
      </c>
      <c r="AE276" s="10" t="str">
        <f>IF(AD276&gt;=L276,"CUMPLE","NO CUMPLE")</f>
        <v>CUMPLE</v>
      </c>
      <c r="AF276" s="10">
        <f>V276*1.25*'Parametros'!$B$3*(U276-(V276*1.25*'Parametros'!$B$3/(0.85*'Parametros'!$B$2*H276))/2)/1000000</f>
        <v>244.158843198529</v>
      </c>
      <c r="AG276" s="10">
        <f>AC276*1.25*'Parametros'!$B$3*(AB276-(AC276*1.25*'Parametros'!$B$3/(0.85*'Parametros'!$B$2*H276))/2)/1000000</f>
        <v>244.158843198529</v>
      </c>
      <c r="AH276" s="10">
        <f>N276+(AF276+AG276)/D276</f>
        <v>372.117843198529</v>
      </c>
      <c r="AI276" s="10">
        <f>MAX(O276,AH276)</f>
        <v>439.52</v>
      </c>
      <c r="AJ276" s="10">
        <f>0.17*SQRT('Parametros'!$B$2)*H276*MIN(U276,AB276)/1000</f>
        <v>220.098728691808</v>
      </c>
      <c r="AK276" s="10">
        <f>MAX(AI276/'Parametros'!$B$6-AJ276,0)</f>
        <v>365.927937974859</v>
      </c>
      <c r="AL276" s="10">
        <f>0.66*SQRT('Parametros'!$B$2)*H276*MIN(U276,AB276)/1000</f>
        <v>854.500946685842</v>
      </c>
      <c r="AM276" s="10" t="str">
        <f>IF(AK276&lt;=AL276,"CUMPLE","NO CUMPLE")</f>
        <v>CUMPLE</v>
      </c>
      <c r="AN276" s="17" t="inlineStr">
        <is>
          <t>Nº4 cerrado</t>
        </is>
      </c>
      <c r="AO276" s="31" t="n">
        <v>2</v>
      </c>
      <c r="AP276" s="10">
        <f>ROUNDDOWN(MIN(IF(BC276+BD276=0,1000000000,AO276*BB276/(BC276+BD276)),MIN(U276,AB276)/4,8*'Parametros'!$B$12,24*BA276,300,IF(AV276=0,1000000000,2*((H276-2*('Parametros'!$B$7+'Parametros'!$B$9/2))+(I276-2*('Parametros'!$B$7+'Parametros'!$B$9/2)))/8))/10,0)*10</f>
        <v>120</v>
      </c>
      <c r="AQ276" s="10">
        <f>ROUNDDOWN(MIN(IF(BC276+BD276=0,1000000000,AO276*BB276/(BC276+BD276)),IF(AK276&gt;0.33*SQRT('Parametros'!$B$2)*H276*MIN(U276,AB276)/1000,MIN(U276,AB276)/4,MIN(U276,AB276)/2),600,IF(AV276=0,1000000000,2*((H276-2*('Parametros'!$B$7+'Parametros'!$B$9/2))+(I276-2*('Parametros'!$B$7+'Parametros'!$B$9/2)))/8))/10,0)*10</f>
        <v>140</v>
      </c>
      <c r="AR276" s="10">
        <f>'Parametros'!$B$6*(AJ276+MAX(BE276-BD276,0)*'Parametros'!$B$4*MIN(U276,AB276)/1000)</f>
        <v>496.486334018856</v>
      </c>
      <c r="AS276" s="10" t="str">
        <f>IF(AND(ISERROR(SEARCH("referencia",AN276)),AM276="CUMPLE",AR276&gt;=AI276),"CUMPLE","NO CUMPLE")</f>
        <v>CUMPLE</v>
      </c>
      <c r="AT276" s="10">
        <f>'Parametros'!$B$6*0.083*SQRT('Parametros'!$B$2)*(H276*I276)^2/(2*(H276+I276))/1000000</f>
        <v>11.862178757599</v>
      </c>
      <c r="AU276" s="10" t="str">
        <f>IF(Q276&lt;=AT276,"DESPRECIABLE","DISEÑAR")</f>
        <v>DESPRECIABLE</v>
      </c>
      <c r="AV276" s="10">
        <f>IF(Q276&lt;=AT276,0,Q276*1000000/('Parametros'!$B$6*2*0.85*(H276-2*('Parametros'!$B$7+'Parametros'!$B$9/2))*(I276-2*('Parametros'!$B$7+'Parametros'!$B$9/2))*'Parametros'!$B$4))</f>
        <v>0</v>
      </c>
      <c r="AW276" s="10">
        <f>AV276*2*((H276-2*('Parametros'!$B$7+'Parametros'!$B$9/2))+(I276-2*('Parametros'!$B$7+'Parametros'!$B$9/2)))*'Parametros'!$B$4/'Parametros'!$B$3</f>
        <v>0</v>
      </c>
      <c r="AX276" s="31" t="n">
        <v>0</v>
      </c>
      <c r="AY276" s="10" t="str">
        <f>IF(AV276=0,"DESPRECIABLE",IF(AND(ISERROR(SEARCH("referencia",AN276)),BB276/AP276&gt;=AV276,BI276&gt;=AW276,BH276="CUMPLE"),"CUMPLE","NO CUMPLE"))</f>
        <v>DESPRECIABLE</v>
      </c>
      <c r="AZ276" s="10" t="str">
        <f>IF(AND(X276="CUMPLE",AE276="CUMPLE",AS276="CUMPLE",OR(AY276="CUMPLE",AY276="DESPRECIABLE"),BH276="CUMPLE",BJ276="CUMPLE"),"CUMPLE","NO CUMPLE")</f>
        <v>CUMPLE</v>
      </c>
      <c r="BA276" s="32" t="n">
        <v>12.7</v>
      </c>
      <c r="BB276" s="32" t="n">
        <v>129</v>
      </c>
      <c r="BC276" s="10">
        <f>MAX(IF(AK276=0,0,AK276*1000/('Parametros'!$B$4*MIN(U276,AB276))),MAX(0.062*SQRT('Parametros'!$B$2)*H276/'Parametros'!$B$4,0.35*H276/'Parametros'!$B$4))</f>
        <v>1.78043730495195</v>
      </c>
      <c r="BD276" s="10">
        <f>2*AV276</f>
        <v>0</v>
      </c>
      <c r="BE276" s="10">
        <f>AO276*BB276/AP276</f>
        <v>2.15</v>
      </c>
      <c r="BF276" s="10">
        <f>SQRT((AI276*1000/(H276*MIN(U276,AB276)))^2+(Q276*1000000*2*((H276-2*('Parametros'!$B$7+'Parametros'!$B$9/2))+(I276-2*('Parametros'!$B$7+'Parametros'!$B$9/2)))/(1.7*((H276-2*('Parametros'!$B$7+'Parametros'!$B$9/2))*(I276-2*('Parametros'!$B$7+'Parametros'!$B$9/2)))^2))^2)</f>
        <v>1.80380531467396</v>
      </c>
      <c r="BG276" s="10">
        <f>'Parametros'!$B$6*(AJ276*1000/(H276*MIN(U276,AB276))+0.66*SQRT('Parametros'!$B$2))</f>
        <v>3.29396038227542</v>
      </c>
      <c r="BH276" s="10" t="str">
        <f>IF(BF276&lt;=BG276,"CUMPLE","NO CUMPLE")</f>
        <v>CUMPLE</v>
      </c>
      <c r="BI276" s="10">
        <f>AX276*'Parametros'!$B$8</f>
        <v>0</v>
      </c>
      <c r="BJ276" s="10" t="str">
        <f>IF(BI276&gt;=AW276,"CUMPLE","NO CUMPLE")</f>
        <v>CUMPLE</v>
      </c>
    </row>
    <row r="277">
      <c r="A277" s="23" t="inlineStr">
        <is>
          <t>VR1</t>
        </is>
      </c>
      <c r="B277" s="23" t="inlineStr">
        <is>
          <t>806</t>
        </is>
      </c>
      <c r="C277" s="10" t="n">
        <v>1</v>
      </c>
      <c r="D277" s="10" t="n">
        <v>1.9</v>
      </c>
      <c r="E277" s="10" t="n">
        <v>1.9</v>
      </c>
      <c r="F277" s="10" t="n">
        <v>500</v>
      </c>
      <c r="G277" s="10" t="n">
        <v>550</v>
      </c>
      <c r="H277" s="17" t="n">
        <v>500</v>
      </c>
      <c r="I277" s="17" t="n">
        <v>550</v>
      </c>
      <c r="J277" s="30" t="n">
        <v>136.2162</v>
      </c>
      <c r="K277" s="10" t="inlineStr">
        <is>
          <t>806</t>
        </is>
      </c>
      <c r="L277" s="30" t="n">
        <v>101.8548</v>
      </c>
      <c r="M277" s="10" t="inlineStr">
        <is>
          <t>806</t>
        </is>
      </c>
      <c r="N277" s="30" t="n">
        <v>136.747</v>
      </c>
      <c r="O277" s="30" t="n">
        <v>479.229</v>
      </c>
      <c r="P277" s="10" t="inlineStr">
        <is>
          <t>806</t>
        </is>
      </c>
      <c r="Q277" s="30" t="n">
        <v>3.3652</v>
      </c>
      <c r="R277" s="10">
        <f>MAX(MAX(1.4/'Parametros'!$B$3,0.25*SQRT('Parametros'!$B$2)/'Parametros'!$B$3)*H277*U277,(0.85*'Parametros'!$B$2/'Parametros'!$B$3)*(1-SQRT(1-2*(J277*1000000/('Parametros'!$B$5*H277*U277^2))/(0.85*'Parametros'!$B$2)))*H277*U277)</f>
        <v>815.583333333333</v>
      </c>
      <c r="S277" s="31" t="n">
        <v>5</v>
      </c>
      <c r="T277" s="32" t="n">
        <v>1</v>
      </c>
      <c r="U277" s="10">
        <f>IF(T277=1,I277-('Parametros'!$B$7+'Parametros'!$B$9+'Parametros'!$B$12/2),I277-(ROUNDUP(S277/2,0)*('Parametros'!$B$7+'Parametros'!$B$9+'Parametros'!$B$12/2)+ROUNDDOWN(S277/2,0)*('Parametros'!$B$7+'Parametros'!$B$9+'Parametros'!$B$12/2+'Parametros'!$B$12+'Parametros'!$B$10))/S277)</f>
        <v>489.35</v>
      </c>
      <c r="V277" s="10">
        <f>S277*'Parametros'!$B$8</f>
        <v>995</v>
      </c>
      <c r="W277" s="10">
        <f>'Parametros'!$B$5*V277*'Parametros'!$B$3*(U277-(V277*'Parametros'!$B$3/(0.85*'Parametros'!$B$2*H277))/2)/1000000</f>
        <v>177.445379382353</v>
      </c>
      <c r="X277" s="10" t="str">
        <f>IF(W277&gt;=J277,"CUMPLE","NO CUMPLE")</f>
        <v>CUMPLE</v>
      </c>
      <c r="Y277" s="10">
        <f>MAX(MAX(1.4/'Parametros'!$B$3,0.25*SQRT('Parametros'!$B$2)/'Parametros'!$B$3)*H277*AB277,(0.85*'Parametros'!$B$2/'Parametros'!$B$3)*(1-SQRT(1-2*(L277*1000000/('Parametros'!$B$5*H277*AB277^2))/(0.85*'Parametros'!$B$2)))*H277*AB277)</f>
        <v>815.583333333333</v>
      </c>
      <c r="Z277" s="31" t="n">
        <v>5</v>
      </c>
      <c r="AA277" s="32" t="n">
        <v>1</v>
      </c>
      <c r="AB277" s="10">
        <f>IF(AA277=1,I277-('Parametros'!$B$7+'Parametros'!$B$9+'Parametros'!$B$12/2),I277-(ROUNDUP(Z277/2,0)*('Parametros'!$B$7+'Parametros'!$B$9+'Parametros'!$B$12/2)+ROUNDDOWN(Z277/2,0)*('Parametros'!$B$7+'Parametros'!$B$9+'Parametros'!$B$12/2+'Parametros'!$B$12+'Parametros'!$B$10))/Z277)</f>
        <v>489.35</v>
      </c>
      <c r="AC277" s="10">
        <f>Z277*'Parametros'!$B$8</f>
        <v>995</v>
      </c>
      <c r="AD277" s="10">
        <f>'Parametros'!$B$5*AC277*'Parametros'!$B$3*(AB277-(AC277*'Parametros'!$B$3/(0.85*'Parametros'!$B$2*H277))/2)/1000000</f>
        <v>177.445379382353</v>
      </c>
      <c r="AE277" s="10" t="str">
        <f>IF(AD277&gt;=L277,"CUMPLE","NO CUMPLE")</f>
        <v>CUMPLE</v>
      </c>
      <c r="AF277" s="10">
        <f>V277*1.25*'Parametros'!$B$3*(U277-(V277*1.25*'Parametros'!$B$3/(0.85*'Parametros'!$B$2*H277))/2)/1000000</f>
        <v>244.158843198529</v>
      </c>
      <c r="AG277" s="10">
        <f>AC277*1.25*'Parametros'!$B$3*(AB277-(AC277*1.25*'Parametros'!$B$3/(0.85*'Parametros'!$B$2*H277))/2)/1000000</f>
        <v>244.158843198529</v>
      </c>
      <c r="AH277" s="10">
        <f>N277+(AF277+AG277)/D277</f>
        <v>393.756308630031</v>
      </c>
      <c r="AI277" s="10">
        <f>MAX(O277,AH277)</f>
        <v>479.229</v>
      </c>
      <c r="AJ277" s="10">
        <f>0.17*SQRT('Parametros'!$B$2)*H277*MIN(U277,AB277)/1000</f>
        <v>220.098728691808</v>
      </c>
      <c r="AK277" s="10">
        <f>MAX(AI277/'Parametros'!$B$6-AJ277,0)</f>
        <v>418.873271308192</v>
      </c>
      <c r="AL277" s="10">
        <f>0.66*SQRT('Parametros'!$B$2)*H277*MIN(U277,AB277)/1000</f>
        <v>854.500946685842</v>
      </c>
      <c r="AM277" s="10" t="str">
        <f>IF(AK277&lt;=AL277,"CUMPLE","NO CUMPLE")</f>
        <v>CUMPLE</v>
      </c>
      <c r="AN277" s="17" t="inlineStr">
        <is>
          <t>Nº4 cerrado</t>
        </is>
      </c>
      <c r="AO277" s="31" t="n">
        <v>2</v>
      </c>
      <c r="AP277" s="10">
        <f>ROUNDDOWN(MIN(IF(BC277+BD277=0,1000000000,AO277*BB277/(BC277+BD277)),MIN(U277,AB277)/4,8*'Parametros'!$B$12,24*BA277,300,IF(AV277=0,1000000000,2*((H277-2*('Parametros'!$B$7+'Parametros'!$B$9/2))+(I277-2*('Parametros'!$B$7+'Parametros'!$B$9/2)))/8))/10,0)*10</f>
        <v>120</v>
      </c>
      <c r="AQ277" s="10">
        <f>ROUNDDOWN(MIN(IF(BC277+BD277=0,1000000000,AO277*BB277/(BC277+BD277)),IF(AK277&gt;0.33*SQRT('Parametros'!$B$2)*H277*MIN(U277,AB277)/1000,MIN(U277,AB277)/4,MIN(U277,AB277)/2),600,IF(AV277=0,1000000000,2*((H277-2*('Parametros'!$B$7+'Parametros'!$B$9/2))+(I277-2*('Parametros'!$B$7+'Parametros'!$B$9/2)))/8))/10,0)*10</f>
        <v>120</v>
      </c>
      <c r="AR277" s="10">
        <f>'Parametros'!$B$6*(AJ277+MAX(BE277-BD277,0)*'Parametros'!$B$4*MIN(U277,AB277)/1000)</f>
        <v>496.486334018856</v>
      </c>
      <c r="AS277" s="10" t="str">
        <f>IF(AND(ISERROR(SEARCH("referencia",AN277)),AM277="CUMPLE",AR277&gt;=AI277),"CUMPLE","NO CUMPLE")</f>
        <v>CUMPLE</v>
      </c>
      <c r="AT277" s="10">
        <f>'Parametros'!$B$6*0.083*SQRT('Parametros'!$B$2)*(H277*I277)^2/(2*(H277+I277))/1000000</f>
        <v>11.862178757599</v>
      </c>
      <c r="AU277" s="10" t="str">
        <f>IF(Q277&lt;=AT277,"DESPRECIABLE","DISEÑAR")</f>
        <v>DESPRECIABLE</v>
      </c>
      <c r="AV277" s="10">
        <f>IF(Q277&lt;=AT277,0,Q277*1000000/('Parametros'!$B$6*2*0.85*(H277-2*('Parametros'!$B$7+'Parametros'!$B$9/2))*(I277-2*('Parametros'!$B$7+'Parametros'!$B$9/2))*'Parametros'!$B$4))</f>
        <v>0</v>
      </c>
      <c r="AW277" s="10">
        <f>AV277*2*((H277-2*('Parametros'!$B$7+'Parametros'!$B$9/2))+(I277-2*('Parametros'!$B$7+'Parametros'!$B$9/2)))*'Parametros'!$B$4/'Parametros'!$B$3</f>
        <v>0</v>
      </c>
      <c r="AX277" s="31" t="n">
        <v>0</v>
      </c>
      <c r="AY277" s="10" t="str">
        <f>IF(AV277=0,"DESPRECIABLE",IF(AND(ISERROR(SEARCH("referencia",AN277)),BB277/AP277&gt;=AV277,BI277&gt;=AW277,BH277="CUMPLE"),"CUMPLE","NO CUMPLE"))</f>
        <v>DESPRECIABLE</v>
      </c>
      <c r="AZ277" s="10" t="str">
        <f>IF(AND(X277="CUMPLE",AE277="CUMPLE",AS277="CUMPLE",OR(AY277="CUMPLE",AY277="DESPRECIABLE"),BH277="CUMPLE",BJ277="CUMPLE"),"CUMPLE","NO CUMPLE")</f>
        <v>CUMPLE</v>
      </c>
      <c r="BA277" s="32" t="n">
        <v>12.7</v>
      </c>
      <c r="BB277" s="32" t="n">
        <v>129</v>
      </c>
      <c r="BC277" s="10">
        <f>MAX(IF(AK277=0,0,AK277*1000/('Parametros'!$B$4*MIN(U277,AB277))),MAX(0.062*SQRT('Parametros'!$B$2)*H277/'Parametros'!$B$4,0.35*H277/'Parametros'!$B$4))</f>
        <v>2.03804498342404</v>
      </c>
      <c r="BD277" s="10">
        <f>2*AV277</f>
        <v>0</v>
      </c>
      <c r="BE277" s="10">
        <f>AO277*BB277/AP277</f>
        <v>2.15</v>
      </c>
      <c r="BF277" s="10">
        <f>SQRT((AI277*1000/(H277*MIN(U277,AB277)))^2+(Q277*1000000*2*((H277-2*('Parametros'!$B$7+'Parametros'!$B$9/2))+(I277-2*('Parametros'!$B$7+'Parametros'!$B$9/2)))/(1.7*((H277-2*('Parametros'!$B$7+'Parametros'!$B$9/2))*(I277-2*('Parametros'!$B$7+'Parametros'!$B$9/2)))^2))^2)</f>
        <v>1.96111858973794</v>
      </c>
      <c r="BG277" s="10">
        <f>'Parametros'!$B$6*(AJ277*1000/(H277*MIN(U277,AB277))+0.66*SQRT('Parametros'!$B$2))</f>
        <v>3.29396038227542</v>
      </c>
      <c r="BH277" s="10" t="str">
        <f>IF(BF277&lt;=BG277,"CUMPLE","NO CUMPLE")</f>
        <v>CUMPLE</v>
      </c>
      <c r="BI277" s="10">
        <f>AX277*'Parametros'!$B$8</f>
        <v>0</v>
      </c>
      <c r="BJ277" s="10" t="str">
        <f>IF(BI277&gt;=AW277,"CUMPLE","NO CUMPLE")</f>
        <v>CUMPLE</v>
      </c>
    </row>
    <row r="278">
      <c r="A278" s="23" t="inlineStr">
        <is>
          <t>VR1</t>
        </is>
      </c>
      <c r="B278" s="23" t="inlineStr">
        <is>
          <t>807</t>
        </is>
      </c>
      <c r="C278" s="10" t="n">
        <v>1</v>
      </c>
      <c r="D278" s="10" t="n">
        <v>3.4</v>
      </c>
      <c r="E278" s="10" t="n">
        <v>3.4</v>
      </c>
      <c r="F278" s="10" t="n">
        <v>500</v>
      </c>
      <c r="G278" s="10" t="n">
        <v>550</v>
      </c>
      <c r="H278" s="17" t="n">
        <v>500</v>
      </c>
      <c r="I278" s="17" t="n">
        <v>550</v>
      </c>
      <c r="J278" s="30" t="n">
        <v>151.595</v>
      </c>
      <c r="K278" s="10" t="inlineStr">
        <is>
          <t>807</t>
        </is>
      </c>
      <c r="L278" s="30" t="n">
        <v>81.76390000000001</v>
      </c>
      <c r="M278" s="10" t="inlineStr">
        <is>
          <t>807</t>
        </is>
      </c>
      <c r="N278" s="30" t="n">
        <v>122.576</v>
      </c>
      <c r="O278" s="30" t="n">
        <v>329.252</v>
      </c>
      <c r="P278" s="10" t="inlineStr">
        <is>
          <t>807</t>
        </is>
      </c>
      <c r="Q278" s="30" t="n">
        <v>7.1811</v>
      </c>
      <c r="R278" s="10">
        <f>MAX(MAX(1.4/'Parametros'!$B$3,0.25*SQRT('Parametros'!$B$2)/'Parametros'!$B$3)*H278*U278,(0.85*'Parametros'!$B$2/'Parametros'!$B$3)*(1-SQRT(1-2*(J278*1000000/('Parametros'!$B$5*H278*U278^2))/(0.85*'Parametros'!$B$2)))*H278*U278)</f>
        <v>845.314816402736</v>
      </c>
      <c r="S278" s="31" t="n">
        <v>5</v>
      </c>
      <c r="T278" s="32" t="n">
        <v>1</v>
      </c>
      <c r="U278" s="10">
        <f>IF(T278=1,I278-('Parametros'!$B$7+'Parametros'!$B$9+'Parametros'!$B$12/2),I278-(ROUNDUP(S278/2,0)*('Parametros'!$B$7+'Parametros'!$B$9+'Parametros'!$B$12/2)+ROUNDDOWN(S278/2,0)*('Parametros'!$B$7+'Parametros'!$B$9+'Parametros'!$B$12/2+'Parametros'!$B$12+'Parametros'!$B$10))/S278)</f>
        <v>489.35</v>
      </c>
      <c r="V278" s="10">
        <f>S278*'Parametros'!$B$8</f>
        <v>995</v>
      </c>
      <c r="W278" s="10">
        <f>'Parametros'!$B$5*V278*'Parametros'!$B$3*(U278-(V278*'Parametros'!$B$3/(0.85*'Parametros'!$B$2*H278))/2)/1000000</f>
        <v>177.445379382353</v>
      </c>
      <c r="X278" s="10" t="str">
        <f>IF(W278&gt;=J278,"CUMPLE","NO CUMPLE")</f>
        <v>CUMPLE</v>
      </c>
      <c r="Y278" s="10">
        <f>MAX(MAX(1.4/'Parametros'!$B$3,0.25*SQRT('Parametros'!$B$2)/'Parametros'!$B$3)*H278*AB278,(0.85*'Parametros'!$B$2/'Parametros'!$B$3)*(1-SQRT(1-2*(L278*1000000/('Parametros'!$B$5*H278*AB278^2))/(0.85*'Parametros'!$B$2)))*H278*AB278)</f>
        <v>815.583333333333</v>
      </c>
      <c r="Z278" s="31" t="n">
        <v>5</v>
      </c>
      <c r="AA278" s="32" t="n">
        <v>1</v>
      </c>
      <c r="AB278" s="10">
        <f>IF(AA278=1,I278-('Parametros'!$B$7+'Parametros'!$B$9+'Parametros'!$B$12/2),I278-(ROUNDUP(Z278/2,0)*('Parametros'!$B$7+'Parametros'!$B$9+'Parametros'!$B$12/2)+ROUNDDOWN(Z278/2,0)*('Parametros'!$B$7+'Parametros'!$B$9+'Parametros'!$B$12/2+'Parametros'!$B$12+'Parametros'!$B$10))/Z278)</f>
        <v>489.35</v>
      </c>
      <c r="AC278" s="10">
        <f>Z278*'Parametros'!$B$8</f>
        <v>995</v>
      </c>
      <c r="AD278" s="10">
        <f>'Parametros'!$B$5*AC278*'Parametros'!$B$3*(AB278-(AC278*'Parametros'!$B$3/(0.85*'Parametros'!$B$2*H278))/2)/1000000</f>
        <v>177.445379382353</v>
      </c>
      <c r="AE278" s="10" t="str">
        <f>IF(AD278&gt;=L278,"CUMPLE","NO CUMPLE")</f>
        <v>CUMPLE</v>
      </c>
      <c r="AF278" s="10">
        <f>V278*1.25*'Parametros'!$B$3*(U278-(V278*1.25*'Parametros'!$B$3/(0.85*'Parametros'!$B$2*H278))/2)/1000000</f>
        <v>244.158843198529</v>
      </c>
      <c r="AG278" s="10">
        <f>AC278*1.25*'Parametros'!$B$3*(AB278-(AC278*1.25*'Parametros'!$B$3/(0.85*'Parametros'!$B$2*H278))/2)/1000000</f>
        <v>244.158843198529</v>
      </c>
      <c r="AH278" s="10">
        <f>N278+(AF278+AG278)/D278</f>
        <v>266.198848940311</v>
      </c>
      <c r="AI278" s="10">
        <f>MAX(O278,AH278)</f>
        <v>329.252</v>
      </c>
      <c r="AJ278" s="10">
        <f>0.17*SQRT('Parametros'!$B$2)*H278*MIN(U278,AB278)/1000</f>
        <v>220.098728691808</v>
      </c>
      <c r="AK278" s="10">
        <f>MAX(AI278/'Parametros'!$B$6-AJ278,0)</f>
        <v>218.903937974859</v>
      </c>
      <c r="AL278" s="10">
        <f>0.66*SQRT('Parametros'!$B$2)*H278*MIN(U278,AB278)/1000</f>
        <v>854.500946685842</v>
      </c>
      <c r="AM278" s="10" t="str">
        <f>IF(AK278&lt;=AL278,"CUMPLE","NO CUMPLE")</f>
        <v>CUMPLE</v>
      </c>
      <c r="AN278" s="17" t="inlineStr">
        <is>
          <t>Nº3 cerrado</t>
        </is>
      </c>
      <c r="AO278" s="31" t="n">
        <v>2</v>
      </c>
      <c r="AP278" s="10">
        <f>ROUNDDOWN(MIN(IF(BC278+BD278=0,1000000000,AO278*BB278/(BC278+BD278)),MIN(U278,AB278)/4,8*'Parametros'!$B$12,24*BA278,300,IF(AV278=0,1000000000,2*((H278-2*('Parametros'!$B$7+'Parametros'!$B$9/2))+(I278-2*('Parametros'!$B$7+'Parametros'!$B$9/2)))/8))/10,0)*10</f>
        <v>120</v>
      </c>
      <c r="AQ278" s="10">
        <f>ROUNDDOWN(MIN(IF(BC278+BD278=0,1000000000,AO278*BB278/(BC278+BD278)),IF(AK278&gt;0.33*SQRT('Parametros'!$B$2)*H278*MIN(U278,AB278)/1000,MIN(U278,AB278)/4,MIN(U278,AB278)/2),600,IF(AV278=0,1000000000,2*((H278-2*('Parametros'!$B$7+'Parametros'!$B$9/2))+(I278-2*('Parametros'!$B$7+'Parametros'!$B$9/2)))/8))/10,0)*10</f>
        <v>130</v>
      </c>
      <c r="AR278" s="10">
        <f>'Parametros'!$B$6*(AJ278+MAX(BE278-BD278,0)*'Parametros'!$B$4*MIN(U278,AB278)/1000)</f>
        <v>347.479259018856</v>
      </c>
      <c r="AS278" s="10" t="str">
        <f>IF(AND(ISERROR(SEARCH("referencia",AN278)),AM278="CUMPLE",AR278&gt;=AI278),"CUMPLE","NO CUMPLE")</f>
        <v>CUMPLE</v>
      </c>
      <c r="AT278" s="10">
        <f>'Parametros'!$B$6*0.083*SQRT('Parametros'!$B$2)*(H278*I278)^2/(2*(H278+I278))/1000000</f>
        <v>11.862178757599</v>
      </c>
      <c r="AU278" s="10" t="str">
        <f>IF(Q278&lt;=AT278,"DESPRECIABLE","DISEÑAR")</f>
        <v>DESPRECIABLE</v>
      </c>
      <c r="AV278" s="10">
        <f>IF(Q278&lt;=AT278,0,Q278*1000000/('Parametros'!$B$6*2*0.85*(H278-2*('Parametros'!$B$7+'Parametros'!$B$9/2))*(I278-2*('Parametros'!$B$7+'Parametros'!$B$9/2))*'Parametros'!$B$4))</f>
        <v>0</v>
      </c>
      <c r="AW278" s="10">
        <f>AV278*2*((H278-2*('Parametros'!$B$7+'Parametros'!$B$9/2))+(I278-2*('Parametros'!$B$7+'Parametros'!$B$9/2)))*'Parametros'!$B$4/'Parametros'!$B$3</f>
        <v>0</v>
      </c>
      <c r="AX278" s="31" t="n">
        <v>0</v>
      </c>
      <c r="AY278" s="10" t="str">
        <f>IF(AV278=0,"DESPRECIABLE",IF(AND(ISERROR(SEARCH("referencia",AN278)),BB278/AP278&gt;=AV278,BI278&gt;=AW278,BH278="CUMPLE"),"CUMPLE","NO CUMPLE"))</f>
        <v>DESPRECIABLE</v>
      </c>
      <c r="AZ278" s="10" t="str">
        <f>IF(AND(X278="CUMPLE",AE278="CUMPLE",AS278="CUMPLE",OR(AY278="CUMPLE",AY278="DESPRECIABLE"),BH278="CUMPLE",BJ278="CUMPLE"),"CUMPLE","NO CUMPLE")</f>
        <v>CUMPLE</v>
      </c>
      <c r="BA278" s="32" t="n">
        <v>9.5</v>
      </c>
      <c r="BB278" s="32" t="n">
        <v>71</v>
      </c>
      <c r="BC278" s="10">
        <f>MAX(IF(AK278=0,0,AK278*1000/('Parametros'!$B$4*MIN(U278,AB278))),MAX(0.062*SQRT('Parametros'!$B$2)*H278/'Parametros'!$B$4,0.35*H278/'Parametros'!$B$4))</f>
        <v>1.0650860372353</v>
      </c>
      <c r="BD278" s="10">
        <f>2*AV278</f>
        <v>0</v>
      </c>
      <c r="BE278" s="10">
        <f>AO278*BB278/AP278</f>
        <v>1.18333333333333</v>
      </c>
      <c r="BF278" s="10">
        <f>SQRT((AI278*1000/(H278*MIN(U278,AB278)))^2+(Q278*1000000*2*((H278-2*('Parametros'!$B$7+'Parametros'!$B$9/2))+(I278-2*('Parametros'!$B$7+'Parametros'!$B$9/2)))/(1.7*((H278-2*('Parametros'!$B$7+'Parametros'!$B$9/2))*(I278-2*('Parametros'!$B$7+'Parametros'!$B$9/2)))^2))^2)</f>
        <v>1.36204307465465</v>
      </c>
      <c r="BG278" s="10">
        <f>'Parametros'!$B$6*(AJ278*1000/(H278*MIN(U278,AB278))+0.66*SQRT('Parametros'!$B$2))</f>
        <v>3.29396038227542</v>
      </c>
      <c r="BH278" s="10" t="str">
        <f>IF(BF278&lt;=BG278,"CUMPLE","NO CUMPLE")</f>
        <v>CUMPLE</v>
      </c>
      <c r="BI278" s="10">
        <f>AX278*'Parametros'!$B$8</f>
        <v>0</v>
      </c>
      <c r="BJ278" s="10" t="str">
        <f>IF(BI278&gt;=AW278,"CUMPLE","NO CUMPLE")</f>
        <v>CUMPLE</v>
      </c>
    </row>
    <row r="279">
      <c r="A279" s="23" t="inlineStr">
        <is>
          <t>VR1</t>
        </is>
      </c>
      <c r="B279" s="23" t="inlineStr">
        <is>
          <t>808</t>
        </is>
      </c>
      <c r="C279" s="10" t="n">
        <v>1</v>
      </c>
      <c r="D279" s="10" t="n">
        <v>3.4</v>
      </c>
      <c r="E279" s="10" t="n">
        <v>3.4</v>
      </c>
      <c r="F279" s="10" t="n">
        <v>500</v>
      </c>
      <c r="G279" s="10" t="n">
        <v>550</v>
      </c>
      <c r="H279" s="17" t="n">
        <v>500</v>
      </c>
      <c r="I279" s="17" t="n">
        <v>550</v>
      </c>
      <c r="J279" s="30" t="n">
        <v>151.6188</v>
      </c>
      <c r="K279" s="10" t="inlineStr">
        <is>
          <t>808</t>
        </is>
      </c>
      <c r="L279" s="30" t="n">
        <v>81.86</v>
      </c>
      <c r="M279" s="10" t="inlineStr">
        <is>
          <t>808</t>
        </is>
      </c>
      <c r="N279" s="30" t="n">
        <v>122.597</v>
      </c>
      <c r="O279" s="30" t="n">
        <v>329.412</v>
      </c>
      <c r="P279" s="10" t="inlineStr">
        <is>
          <t>808</t>
        </is>
      </c>
      <c r="Q279" s="30" t="n">
        <v>7.2608</v>
      </c>
      <c r="R279" s="10">
        <f>MAX(MAX(1.4/'Parametros'!$B$3,0.25*SQRT('Parametros'!$B$2)/'Parametros'!$B$3)*H279*U279,(0.85*'Parametros'!$B$2/'Parametros'!$B$3)*(1-SQRT(1-2*(J279*1000000/('Parametros'!$B$5*H279*U279^2))/(0.85*'Parametros'!$B$2)))*H279*U279)</f>
        <v>845.451837490262</v>
      </c>
      <c r="S279" s="31" t="n">
        <v>5</v>
      </c>
      <c r="T279" s="32" t="n">
        <v>1</v>
      </c>
      <c r="U279" s="10">
        <f>IF(T279=1,I279-('Parametros'!$B$7+'Parametros'!$B$9+'Parametros'!$B$12/2),I279-(ROUNDUP(S279/2,0)*('Parametros'!$B$7+'Parametros'!$B$9+'Parametros'!$B$12/2)+ROUNDDOWN(S279/2,0)*('Parametros'!$B$7+'Parametros'!$B$9+'Parametros'!$B$12/2+'Parametros'!$B$12+'Parametros'!$B$10))/S279)</f>
        <v>489.35</v>
      </c>
      <c r="V279" s="10">
        <f>S279*'Parametros'!$B$8</f>
        <v>995</v>
      </c>
      <c r="W279" s="10">
        <f>'Parametros'!$B$5*V279*'Parametros'!$B$3*(U279-(V279*'Parametros'!$B$3/(0.85*'Parametros'!$B$2*H279))/2)/1000000</f>
        <v>177.445379382353</v>
      </c>
      <c r="X279" s="10" t="str">
        <f>IF(W279&gt;=J279,"CUMPLE","NO CUMPLE")</f>
        <v>CUMPLE</v>
      </c>
      <c r="Y279" s="10">
        <f>MAX(MAX(1.4/'Parametros'!$B$3,0.25*SQRT('Parametros'!$B$2)/'Parametros'!$B$3)*H279*AB279,(0.85*'Parametros'!$B$2/'Parametros'!$B$3)*(1-SQRT(1-2*(L279*1000000/('Parametros'!$B$5*H279*AB279^2))/(0.85*'Parametros'!$B$2)))*H279*AB279)</f>
        <v>815.583333333333</v>
      </c>
      <c r="Z279" s="31" t="n">
        <v>5</v>
      </c>
      <c r="AA279" s="32" t="n">
        <v>1</v>
      </c>
      <c r="AB279" s="10">
        <f>IF(AA279=1,I279-('Parametros'!$B$7+'Parametros'!$B$9+'Parametros'!$B$12/2),I279-(ROUNDUP(Z279/2,0)*('Parametros'!$B$7+'Parametros'!$B$9+'Parametros'!$B$12/2)+ROUNDDOWN(Z279/2,0)*('Parametros'!$B$7+'Parametros'!$B$9+'Parametros'!$B$12/2+'Parametros'!$B$12+'Parametros'!$B$10))/Z279)</f>
        <v>489.35</v>
      </c>
      <c r="AC279" s="10">
        <f>Z279*'Parametros'!$B$8</f>
        <v>995</v>
      </c>
      <c r="AD279" s="10">
        <f>'Parametros'!$B$5*AC279*'Parametros'!$B$3*(AB279-(AC279*'Parametros'!$B$3/(0.85*'Parametros'!$B$2*H279))/2)/1000000</f>
        <v>177.445379382353</v>
      </c>
      <c r="AE279" s="10" t="str">
        <f>IF(AD279&gt;=L279,"CUMPLE","NO CUMPLE")</f>
        <v>CUMPLE</v>
      </c>
      <c r="AF279" s="10">
        <f>V279*1.25*'Parametros'!$B$3*(U279-(V279*1.25*'Parametros'!$B$3/(0.85*'Parametros'!$B$2*H279))/2)/1000000</f>
        <v>244.158843198529</v>
      </c>
      <c r="AG279" s="10">
        <f>AC279*1.25*'Parametros'!$B$3*(AB279-(AC279*1.25*'Parametros'!$B$3/(0.85*'Parametros'!$B$2*H279))/2)/1000000</f>
        <v>244.158843198529</v>
      </c>
      <c r="AH279" s="10">
        <f>N279+(AF279+AG279)/D279</f>
        <v>266.219848940311</v>
      </c>
      <c r="AI279" s="10">
        <f>MAX(O279,AH279)</f>
        <v>329.412</v>
      </c>
      <c r="AJ279" s="10">
        <f>0.17*SQRT('Parametros'!$B$2)*H279*MIN(U279,AB279)/1000</f>
        <v>220.098728691808</v>
      </c>
      <c r="AK279" s="10">
        <f>MAX(AI279/'Parametros'!$B$6-AJ279,0)</f>
        <v>219.117271308192</v>
      </c>
      <c r="AL279" s="10">
        <f>0.66*SQRT('Parametros'!$B$2)*H279*MIN(U279,AB279)/1000</f>
        <v>854.500946685842</v>
      </c>
      <c r="AM279" s="10" t="str">
        <f>IF(AK279&lt;=AL279,"CUMPLE","NO CUMPLE")</f>
        <v>CUMPLE</v>
      </c>
      <c r="AN279" s="17" t="inlineStr">
        <is>
          <t>Nº3 cerrado</t>
        </is>
      </c>
      <c r="AO279" s="31" t="n">
        <v>2</v>
      </c>
      <c r="AP279" s="10">
        <f>ROUNDDOWN(MIN(IF(BC279+BD279=0,1000000000,AO279*BB279/(BC279+BD279)),MIN(U279,AB279)/4,8*'Parametros'!$B$12,24*BA279,300,IF(AV279=0,1000000000,2*((H279-2*('Parametros'!$B$7+'Parametros'!$B$9/2))+(I279-2*('Parametros'!$B$7+'Parametros'!$B$9/2)))/8))/10,0)*10</f>
        <v>120</v>
      </c>
      <c r="AQ279" s="10">
        <f>ROUNDDOWN(MIN(IF(BC279+BD279=0,1000000000,AO279*BB279/(BC279+BD279)),IF(AK279&gt;0.33*SQRT('Parametros'!$B$2)*H279*MIN(U279,AB279)/1000,MIN(U279,AB279)/4,MIN(U279,AB279)/2),600,IF(AV279=0,1000000000,2*((H279-2*('Parametros'!$B$7+'Parametros'!$B$9/2))+(I279-2*('Parametros'!$B$7+'Parametros'!$B$9/2)))/8))/10,0)*10</f>
        <v>130</v>
      </c>
      <c r="AR279" s="10">
        <f>'Parametros'!$B$6*(AJ279+MAX(BE279-BD279,0)*'Parametros'!$B$4*MIN(U279,AB279)/1000)</f>
        <v>347.479259018856</v>
      </c>
      <c r="AS279" s="10" t="str">
        <f>IF(AND(ISERROR(SEARCH("referencia",AN279)),AM279="CUMPLE",AR279&gt;=AI279),"CUMPLE","NO CUMPLE")</f>
        <v>CUMPLE</v>
      </c>
      <c r="AT279" s="10">
        <f>'Parametros'!$B$6*0.083*SQRT('Parametros'!$B$2)*(H279*I279)^2/(2*(H279+I279))/1000000</f>
        <v>11.862178757599</v>
      </c>
      <c r="AU279" s="10" t="str">
        <f>IF(Q279&lt;=AT279,"DESPRECIABLE","DISEÑAR")</f>
        <v>DESPRECIABLE</v>
      </c>
      <c r="AV279" s="10">
        <f>IF(Q279&lt;=AT279,0,Q279*1000000/('Parametros'!$B$6*2*0.85*(H279-2*('Parametros'!$B$7+'Parametros'!$B$9/2))*(I279-2*('Parametros'!$B$7+'Parametros'!$B$9/2))*'Parametros'!$B$4))</f>
        <v>0</v>
      </c>
      <c r="AW279" s="10">
        <f>AV279*2*((H279-2*('Parametros'!$B$7+'Parametros'!$B$9/2))+(I279-2*('Parametros'!$B$7+'Parametros'!$B$9/2)))*'Parametros'!$B$4/'Parametros'!$B$3</f>
        <v>0</v>
      </c>
      <c r="AX279" s="31" t="n">
        <v>0</v>
      </c>
      <c r="AY279" s="10" t="str">
        <f>IF(AV279=0,"DESPRECIABLE",IF(AND(ISERROR(SEARCH("referencia",AN279)),BB279/AP279&gt;=AV279,BI279&gt;=AW279,BH279="CUMPLE"),"CUMPLE","NO CUMPLE"))</f>
        <v>DESPRECIABLE</v>
      </c>
      <c r="AZ279" s="10" t="str">
        <f>IF(AND(X279="CUMPLE",AE279="CUMPLE",AS279="CUMPLE",OR(AY279="CUMPLE",AY279="DESPRECIABLE"),BH279="CUMPLE",BJ279="CUMPLE"),"CUMPLE","NO CUMPLE")</f>
        <v>CUMPLE</v>
      </c>
      <c r="BA279" s="32" t="n">
        <v>9.5</v>
      </c>
      <c r="BB279" s="32" t="n">
        <v>71</v>
      </c>
      <c r="BC279" s="10">
        <f>MAX(IF(AK279=0,0,AK279*1000/('Parametros'!$B$4*MIN(U279,AB279))),MAX(0.062*SQRT('Parametros'!$B$2)*H279/'Parametros'!$B$4,0.35*H279/'Parametros'!$B$4))</f>
        <v>1.06612401926848</v>
      </c>
      <c r="BD279" s="10">
        <f>2*AV279</f>
        <v>0</v>
      </c>
      <c r="BE279" s="10">
        <f>AO279*BB279/AP279</f>
        <v>1.18333333333333</v>
      </c>
      <c r="BF279" s="10">
        <f>SQRT((AI279*1000/(H279*MIN(U279,AB279)))^2+(Q279*1000000*2*((H279-2*('Parametros'!$B$7+'Parametros'!$B$9/2))+(I279-2*('Parametros'!$B$7+'Parametros'!$B$9/2)))/(1.7*((H279-2*('Parametros'!$B$7+'Parametros'!$B$9/2))*(I279-2*('Parametros'!$B$7+'Parametros'!$B$9/2)))^2))^2)</f>
        <v>1.36305216462813</v>
      </c>
      <c r="BG279" s="10">
        <f>'Parametros'!$B$6*(AJ279*1000/(H279*MIN(U279,AB279))+0.66*SQRT('Parametros'!$B$2))</f>
        <v>3.29396038227542</v>
      </c>
      <c r="BH279" s="10" t="str">
        <f>IF(BF279&lt;=BG279,"CUMPLE","NO CUMPLE")</f>
        <v>CUMPLE</v>
      </c>
      <c r="BI279" s="10">
        <f>AX279*'Parametros'!$B$8</f>
        <v>0</v>
      </c>
      <c r="BJ279" s="10" t="str">
        <f>IF(BI279&gt;=AW279,"CUMPLE","NO CUMPLE")</f>
        <v>CUMPLE</v>
      </c>
    </row>
    <row r="280">
      <c r="A280" s="23" t="inlineStr">
        <is>
          <t>VR1</t>
        </is>
      </c>
      <c r="B280" s="23" t="inlineStr">
        <is>
          <t>809</t>
        </is>
      </c>
      <c r="C280" s="10" t="n">
        <v>1</v>
      </c>
      <c r="D280" s="10" t="n">
        <v>1.9</v>
      </c>
      <c r="E280" s="10" t="n">
        <v>1.9</v>
      </c>
      <c r="F280" s="10" t="n">
        <v>500</v>
      </c>
      <c r="G280" s="10" t="n">
        <v>550</v>
      </c>
      <c r="H280" s="17" t="n">
        <v>500</v>
      </c>
      <c r="I280" s="17" t="n">
        <v>550</v>
      </c>
      <c r="J280" s="30" t="n">
        <v>136.3688</v>
      </c>
      <c r="K280" s="10" t="inlineStr">
        <is>
          <t>809</t>
        </is>
      </c>
      <c r="L280" s="30" t="n">
        <v>101.957</v>
      </c>
      <c r="M280" s="10" t="inlineStr">
        <is>
          <t>809</t>
        </is>
      </c>
      <c r="N280" s="30" t="n">
        <v>136.878</v>
      </c>
      <c r="O280" s="30" t="n">
        <v>479.392</v>
      </c>
      <c r="P280" s="10" t="inlineStr">
        <is>
          <t>809</t>
        </is>
      </c>
      <c r="Q280" s="30" t="n">
        <v>3.3867</v>
      </c>
      <c r="R280" s="10">
        <f>MAX(MAX(1.4/'Parametros'!$B$3,0.25*SQRT('Parametros'!$B$2)/'Parametros'!$B$3)*H280*U280,(0.85*'Parametros'!$B$2/'Parametros'!$B$3)*(1-SQRT(1-2*(J280*1000000/('Parametros'!$B$5*H280*U280^2))/(0.85*'Parametros'!$B$2)))*H280*U280)</f>
        <v>815.583333333333</v>
      </c>
      <c r="S280" s="31" t="n">
        <v>5</v>
      </c>
      <c r="T280" s="32" t="n">
        <v>1</v>
      </c>
      <c r="U280" s="10">
        <f>IF(T280=1,I280-('Parametros'!$B$7+'Parametros'!$B$9+'Parametros'!$B$12/2),I280-(ROUNDUP(S280/2,0)*('Parametros'!$B$7+'Parametros'!$B$9+'Parametros'!$B$12/2)+ROUNDDOWN(S280/2,0)*('Parametros'!$B$7+'Parametros'!$B$9+'Parametros'!$B$12/2+'Parametros'!$B$12+'Parametros'!$B$10))/S280)</f>
        <v>489.35</v>
      </c>
      <c r="V280" s="10">
        <f>S280*'Parametros'!$B$8</f>
        <v>995</v>
      </c>
      <c r="W280" s="10">
        <f>'Parametros'!$B$5*V280*'Parametros'!$B$3*(U280-(V280*'Parametros'!$B$3/(0.85*'Parametros'!$B$2*H280))/2)/1000000</f>
        <v>177.445379382353</v>
      </c>
      <c r="X280" s="10" t="str">
        <f>IF(W280&gt;=J280,"CUMPLE","NO CUMPLE")</f>
        <v>CUMPLE</v>
      </c>
      <c r="Y280" s="10">
        <f>MAX(MAX(1.4/'Parametros'!$B$3,0.25*SQRT('Parametros'!$B$2)/'Parametros'!$B$3)*H280*AB280,(0.85*'Parametros'!$B$2/'Parametros'!$B$3)*(1-SQRT(1-2*(L280*1000000/('Parametros'!$B$5*H280*AB280^2))/(0.85*'Parametros'!$B$2)))*H280*AB280)</f>
        <v>815.583333333333</v>
      </c>
      <c r="Z280" s="31" t="n">
        <v>5</v>
      </c>
      <c r="AA280" s="32" t="n">
        <v>1</v>
      </c>
      <c r="AB280" s="10">
        <f>IF(AA280=1,I280-('Parametros'!$B$7+'Parametros'!$B$9+'Parametros'!$B$12/2),I280-(ROUNDUP(Z280/2,0)*('Parametros'!$B$7+'Parametros'!$B$9+'Parametros'!$B$12/2)+ROUNDDOWN(Z280/2,0)*('Parametros'!$B$7+'Parametros'!$B$9+'Parametros'!$B$12/2+'Parametros'!$B$12+'Parametros'!$B$10))/Z280)</f>
        <v>489.35</v>
      </c>
      <c r="AC280" s="10">
        <f>Z280*'Parametros'!$B$8</f>
        <v>995</v>
      </c>
      <c r="AD280" s="10">
        <f>'Parametros'!$B$5*AC280*'Parametros'!$B$3*(AB280-(AC280*'Parametros'!$B$3/(0.85*'Parametros'!$B$2*H280))/2)/1000000</f>
        <v>177.445379382353</v>
      </c>
      <c r="AE280" s="10" t="str">
        <f>IF(AD280&gt;=L280,"CUMPLE","NO CUMPLE")</f>
        <v>CUMPLE</v>
      </c>
      <c r="AF280" s="10">
        <f>V280*1.25*'Parametros'!$B$3*(U280-(V280*1.25*'Parametros'!$B$3/(0.85*'Parametros'!$B$2*H280))/2)/1000000</f>
        <v>244.158843198529</v>
      </c>
      <c r="AG280" s="10">
        <f>AC280*1.25*'Parametros'!$B$3*(AB280-(AC280*1.25*'Parametros'!$B$3/(0.85*'Parametros'!$B$2*H280))/2)/1000000</f>
        <v>244.158843198529</v>
      </c>
      <c r="AH280" s="10">
        <f>N280+(AF280+AG280)/D280</f>
        <v>393.887308630031</v>
      </c>
      <c r="AI280" s="10">
        <f>MAX(O280,AH280)</f>
        <v>479.392</v>
      </c>
      <c r="AJ280" s="10">
        <f>0.17*SQRT('Parametros'!$B$2)*H280*MIN(U280,AB280)/1000</f>
        <v>220.098728691808</v>
      </c>
      <c r="AK280" s="10">
        <f>MAX(AI280/'Parametros'!$B$6-AJ280,0)</f>
        <v>419.090604641526</v>
      </c>
      <c r="AL280" s="10">
        <f>0.66*SQRT('Parametros'!$B$2)*H280*MIN(U280,AB280)/1000</f>
        <v>854.500946685842</v>
      </c>
      <c r="AM280" s="10" t="str">
        <f>IF(AK280&lt;=AL280,"CUMPLE","NO CUMPLE")</f>
        <v>CUMPLE</v>
      </c>
      <c r="AN280" s="17" t="inlineStr">
        <is>
          <t>Nº4 cerrado</t>
        </is>
      </c>
      <c r="AO280" s="31" t="n">
        <v>2</v>
      </c>
      <c r="AP280" s="10">
        <f>ROUNDDOWN(MIN(IF(BC280+BD280=0,1000000000,AO280*BB280/(BC280+BD280)),MIN(U280,AB280)/4,8*'Parametros'!$B$12,24*BA280,300,IF(AV280=0,1000000000,2*((H280-2*('Parametros'!$B$7+'Parametros'!$B$9/2))+(I280-2*('Parametros'!$B$7+'Parametros'!$B$9/2)))/8))/10,0)*10</f>
        <v>120</v>
      </c>
      <c r="AQ280" s="10">
        <f>ROUNDDOWN(MIN(IF(BC280+BD280=0,1000000000,AO280*BB280/(BC280+BD280)),IF(AK280&gt;0.33*SQRT('Parametros'!$B$2)*H280*MIN(U280,AB280)/1000,MIN(U280,AB280)/4,MIN(U280,AB280)/2),600,IF(AV280=0,1000000000,2*((H280-2*('Parametros'!$B$7+'Parametros'!$B$9/2))+(I280-2*('Parametros'!$B$7+'Parametros'!$B$9/2)))/8))/10,0)*10</f>
        <v>120</v>
      </c>
      <c r="AR280" s="10">
        <f>'Parametros'!$B$6*(AJ280+MAX(BE280-BD280,0)*'Parametros'!$B$4*MIN(U280,AB280)/1000)</f>
        <v>496.486334018856</v>
      </c>
      <c r="AS280" s="10" t="str">
        <f>IF(AND(ISERROR(SEARCH("referencia",AN280)),AM280="CUMPLE",AR280&gt;=AI280),"CUMPLE","NO CUMPLE")</f>
        <v>CUMPLE</v>
      </c>
      <c r="AT280" s="10">
        <f>'Parametros'!$B$6*0.083*SQRT('Parametros'!$B$2)*(H280*I280)^2/(2*(H280+I280))/1000000</f>
        <v>11.862178757599</v>
      </c>
      <c r="AU280" s="10" t="str">
        <f>IF(Q280&lt;=AT280,"DESPRECIABLE","DISEÑAR")</f>
        <v>DESPRECIABLE</v>
      </c>
      <c r="AV280" s="10">
        <f>IF(Q280&lt;=AT280,0,Q280*1000000/('Parametros'!$B$6*2*0.85*(H280-2*('Parametros'!$B$7+'Parametros'!$B$9/2))*(I280-2*('Parametros'!$B$7+'Parametros'!$B$9/2))*'Parametros'!$B$4))</f>
        <v>0</v>
      </c>
      <c r="AW280" s="10">
        <f>AV280*2*((H280-2*('Parametros'!$B$7+'Parametros'!$B$9/2))+(I280-2*('Parametros'!$B$7+'Parametros'!$B$9/2)))*'Parametros'!$B$4/'Parametros'!$B$3</f>
        <v>0</v>
      </c>
      <c r="AX280" s="31" t="n">
        <v>0</v>
      </c>
      <c r="AY280" s="10" t="str">
        <f>IF(AV280=0,"DESPRECIABLE",IF(AND(ISERROR(SEARCH("referencia",AN280)),BB280/AP280&gt;=AV280,BI280&gt;=AW280,BH280="CUMPLE"),"CUMPLE","NO CUMPLE"))</f>
        <v>DESPRECIABLE</v>
      </c>
      <c r="AZ280" s="10" t="str">
        <f>IF(AND(X280="CUMPLE",AE280="CUMPLE",AS280="CUMPLE",OR(AY280="CUMPLE",AY280="DESPRECIABLE"),BH280="CUMPLE",BJ280="CUMPLE"),"CUMPLE","NO CUMPLE")</f>
        <v>CUMPLE</v>
      </c>
      <c r="BA280" s="32" t="n">
        <v>12.7</v>
      </c>
      <c r="BB280" s="32" t="n">
        <v>129</v>
      </c>
      <c r="BC280" s="10">
        <f>MAX(IF(AK280=0,0,AK280*1000/('Parametros'!$B$4*MIN(U280,AB280))),MAX(0.062*SQRT('Parametros'!$B$2)*H280/'Parametros'!$B$4,0.35*H280/'Parametros'!$B$4))</f>
        <v>2.03910242762034</v>
      </c>
      <c r="BD280" s="10">
        <f>2*AV280</f>
        <v>0</v>
      </c>
      <c r="BE280" s="10">
        <f>AO280*BB280/AP280</f>
        <v>2.15</v>
      </c>
      <c r="BF280" s="10">
        <f>SQRT((AI280*1000/(H280*MIN(U280,AB280)))^2+(Q280*1000000*2*((H280-2*('Parametros'!$B$7+'Parametros'!$B$9/2))+(I280-2*('Parametros'!$B$7+'Parametros'!$B$9/2)))/(1.7*((H280-2*('Parametros'!$B$7+'Parametros'!$B$9/2))*(I280-2*('Parametros'!$B$7+'Parametros'!$B$9/2)))^2))^2)</f>
        <v>1.96181574223392</v>
      </c>
      <c r="BG280" s="10">
        <f>'Parametros'!$B$6*(AJ280*1000/(H280*MIN(U280,AB280))+0.66*SQRT('Parametros'!$B$2))</f>
        <v>3.29396038227542</v>
      </c>
      <c r="BH280" s="10" t="str">
        <f>IF(BF280&lt;=BG280,"CUMPLE","NO CUMPLE")</f>
        <v>CUMPLE</v>
      </c>
      <c r="BI280" s="10">
        <f>AX280*'Parametros'!$B$8</f>
        <v>0</v>
      </c>
      <c r="BJ280" s="10" t="str">
        <f>IF(BI280&gt;=AW280,"CUMPLE","NO CUMPLE")</f>
        <v>CUMPLE</v>
      </c>
    </row>
    <row r="281">
      <c r="A281" s="23" t="inlineStr">
        <is>
          <t>VR1</t>
        </is>
      </c>
      <c r="B281" s="23" t="inlineStr">
        <is>
          <t>810</t>
        </is>
      </c>
      <c r="C281" s="10" t="n">
        <v>1</v>
      </c>
      <c r="D281" s="10" t="n">
        <v>2</v>
      </c>
      <c r="E281" s="10" t="n">
        <v>2</v>
      </c>
      <c r="F281" s="10" t="n">
        <v>500</v>
      </c>
      <c r="G281" s="10" t="n">
        <v>550</v>
      </c>
      <c r="H281" s="17" t="n">
        <v>500</v>
      </c>
      <c r="I281" s="17" t="n">
        <v>550</v>
      </c>
      <c r="J281" s="30" t="n">
        <v>129.0646</v>
      </c>
      <c r="K281" s="10" t="inlineStr">
        <is>
          <t>810</t>
        </is>
      </c>
      <c r="L281" s="30" t="n">
        <v>92.5103</v>
      </c>
      <c r="M281" s="10" t="inlineStr">
        <is>
          <t>810</t>
        </is>
      </c>
      <c r="N281" s="30" t="n">
        <v>127.844</v>
      </c>
      <c r="O281" s="30" t="n">
        <v>439.411</v>
      </c>
      <c r="P281" s="10" t="inlineStr">
        <is>
          <t>810</t>
        </is>
      </c>
      <c r="Q281" s="30" t="n">
        <v>5.5849</v>
      </c>
      <c r="R281" s="10">
        <f>MAX(MAX(1.4/'Parametros'!$B$3,0.25*SQRT('Parametros'!$B$2)/'Parametros'!$B$3)*H281*U281,(0.85*'Parametros'!$B$2/'Parametros'!$B$3)*(1-SQRT(1-2*(J281*1000000/('Parametros'!$B$5*H281*U281^2))/(0.85*'Parametros'!$B$2)))*H281*U281)</f>
        <v>815.583333333333</v>
      </c>
      <c r="S281" s="31" t="n">
        <v>5</v>
      </c>
      <c r="T281" s="32" t="n">
        <v>1</v>
      </c>
      <c r="U281" s="10">
        <f>IF(T281=1,I281-('Parametros'!$B$7+'Parametros'!$B$9+'Parametros'!$B$12/2),I281-(ROUNDUP(S281/2,0)*('Parametros'!$B$7+'Parametros'!$B$9+'Parametros'!$B$12/2)+ROUNDDOWN(S281/2,0)*('Parametros'!$B$7+'Parametros'!$B$9+'Parametros'!$B$12/2+'Parametros'!$B$12+'Parametros'!$B$10))/S281)</f>
        <v>489.35</v>
      </c>
      <c r="V281" s="10">
        <f>S281*'Parametros'!$B$8</f>
        <v>995</v>
      </c>
      <c r="W281" s="10">
        <f>'Parametros'!$B$5*V281*'Parametros'!$B$3*(U281-(V281*'Parametros'!$B$3/(0.85*'Parametros'!$B$2*H281))/2)/1000000</f>
        <v>177.445379382353</v>
      </c>
      <c r="X281" s="10" t="str">
        <f>IF(W281&gt;=J281,"CUMPLE","NO CUMPLE")</f>
        <v>CUMPLE</v>
      </c>
      <c r="Y281" s="10">
        <f>MAX(MAX(1.4/'Parametros'!$B$3,0.25*SQRT('Parametros'!$B$2)/'Parametros'!$B$3)*H281*AB281,(0.85*'Parametros'!$B$2/'Parametros'!$B$3)*(1-SQRT(1-2*(L281*1000000/('Parametros'!$B$5*H281*AB281^2))/(0.85*'Parametros'!$B$2)))*H281*AB281)</f>
        <v>815.583333333333</v>
      </c>
      <c r="Z281" s="31" t="n">
        <v>5</v>
      </c>
      <c r="AA281" s="32" t="n">
        <v>1</v>
      </c>
      <c r="AB281" s="10">
        <f>IF(AA281=1,I281-('Parametros'!$B$7+'Parametros'!$B$9+'Parametros'!$B$12/2),I281-(ROUNDUP(Z281/2,0)*('Parametros'!$B$7+'Parametros'!$B$9+'Parametros'!$B$12/2)+ROUNDDOWN(Z281/2,0)*('Parametros'!$B$7+'Parametros'!$B$9+'Parametros'!$B$12/2+'Parametros'!$B$12+'Parametros'!$B$10))/Z281)</f>
        <v>489.35</v>
      </c>
      <c r="AC281" s="10">
        <f>Z281*'Parametros'!$B$8</f>
        <v>995</v>
      </c>
      <c r="AD281" s="10">
        <f>'Parametros'!$B$5*AC281*'Parametros'!$B$3*(AB281-(AC281*'Parametros'!$B$3/(0.85*'Parametros'!$B$2*H281))/2)/1000000</f>
        <v>177.445379382353</v>
      </c>
      <c r="AE281" s="10" t="str">
        <f>IF(AD281&gt;=L281,"CUMPLE","NO CUMPLE")</f>
        <v>CUMPLE</v>
      </c>
      <c r="AF281" s="10">
        <f>V281*1.25*'Parametros'!$B$3*(U281-(V281*1.25*'Parametros'!$B$3/(0.85*'Parametros'!$B$2*H281))/2)/1000000</f>
        <v>244.158843198529</v>
      </c>
      <c r="AG281" s="10">
        <f>AC281*1.25*'Parametros'!$B$3*(AB281-(AC281*1.25*'Parametros'!$B$3/(0.85*'Parametros'!$B$2*H281))/2)/1000000</f>
        <v>244.158843198529</v>
      </c>
      <c r="AH281" s="10">
        <f>N281+(AF281+AG281)/D281</f>
        <v>372.002843198529</v>
      </c>
      <c r="AI281" s="10">
        <f>MAX(O281,AH281)</f>
        <v>439.411</v>
      </c>
      <c r="AJ281" s="10">
        <f>0.17*SQRT('Parametros'!$B$2)*H281*MIN(U281,AB281)/1000</f>
        <v>220.098728691808</v>
      </c>
      <c r="AK281" s="10">
        <f>MAX(AI281/'Parametros'!$B$6-AJ281,0)</f>
        <v>365.782604641526</v>
      </c>
      <c r="AL281" s="10">
        <f>0.66*SQRT('Parametros'!$B$2)*H281*MIN(U281,AB281)/1000</f>
        <v>854.500946685842</v>
      </c>
      <c r="AM281" s="10" t="str">
        <f>IF(AK281&lt;=AL281,"CUMPLE","NO CUMPLE")</f>
        <v>CUMPLE</v>
      </c>
      <c r="AN281" s="17" t="inlineStr">
        <is>
          <t>Nº4 cerrado</t>
        </is>
      </c>
      <c r="AO281" s="31" t="n">
        <v>2</v>
      </c>
      <c r="AP281" s="10">
        <f>ROUNDDOWN(MIN(IF(BC281+BD281=0,1000000000,AO281*BB281/(BC281+BD281)),MIN(U281,AB281)/4,8*'Parametros'!$B$12,24*BA281,300,IF(AV281=0,1000000000,2*((H281-2*('Parametros'!$B$7+'Parametros'!$B$9/2))+(I281-2*('Parametros'!$B$7+'Parametros'!$B$9/2)))/8))/10,0)*10</f>
        <v>120</v>
      </c>
      <c r="AQ281" s="10">
        <f>ROUNDDOWN(MIN(IF(BC281+BD281=0,1000000000,AO281*BB281/(BC281+BD281)),IF(AK281&gt;0.33*SQRT('Parametros'!$B$2)*H281*MIN(U281,AB281)/1000,MIN(U281,AB281)/4,MIN(U281,AB281)/2),600,IF(AV281=0,1000000000,2*((H281-2*('Parametros'!$B$7+'Parametros'!$B$9/2))+(I281-2*('Parametros'!$B$7+'Parametros'!$B$9/2)))/8))/10,0)*10</f>
        <v>140</v>
      </c>
      <c r="AR281" s="10">
        <f>'Parametros'!$B$6*(AJ281+MAX(BE281-BD281,0)*'Parametros'!$B$4*MIN(U281,AB281)/1000)</f>
        <v>496.486334018856</v>
      </c>
      <c r="AS281" s="10" t="str">
        <f>IF(AND(ISERROR(SEARCH("referencia",AN281)),AM281="CUMPLE",AR281&gt;=AI281),"CUMPLE","NO CUMPLE")</f>
        <v>CUMPLE</v>
      </c>
      <c r="AT281" s="10">
        <f>'Parametros'!$B$6*0.083*SQRT('Parametros'!$B$2)*(H281*I281)^2/(2*(H281+I281))/1000000</f>
        <v>11.862178757599</v>
      </c>
      <c r="AU281" s="10" t="str">
        <f>IF(Q281&lt;=AT281,"DESPRECIABLE","DISEÑAR")</f>
        <v>DESPRECIABLE</v>
      </c>
      <c r="AV281" s="10">
        <f>IF(Q281&lt;=AT281,0,Q281*1000000/('Parametros'!$B$6*2*0.85*(H281-2*('Parametros'!$B$7+'Parametros'!$B$9/2))*(I281-2*('Parametros'!$B$7+'Parametros'!$B$9/2))*'Parametros'!$B$4))</f>
        <v>0</v>
      </c>
      <c r="AW281" s="10">
        <f>AV281*2*((H281-2*('Parametros'!$B$7+'Parametros'!$B$9/2))+(I281-2*('Parametros'!$B$7+'Parametros'!$B$9/2)))*'Parametros'!$B$4/'Parametros'!$B$3</f>
        <v>0</v>
      </c>
      <c r="AX281" s="31" t="n">
        <v>0</v>
      </c>
      <c r="AY281" s="10" t="str">
        <f>IF(AV281=0,"DESPRECIABLE",IF(AND(ISERROR(SEARCH("referencia",AN281)),BB281/AP281&gt;=AV281,BI281&gt;=AW281,BH281="CUMPLE"),"CUMPLE","NO CUMPLE"))</f>
        <v>DESPRECIABLE</v>
      </c>
      <c r="AZ281" s="10" t="str">
        <f>IF(AND(X281="CUMPLE",AE281="CUMPLE",AS281="CUMPLE",OR(AY281="CUMPLE",AY281="DESPRECIABLE"),BH281="CUMPLE",BJ281="CUMPLE"),"CUMPLE","NO CUMPLE")</f>
        <v>CUMPLE</v>
      </c>
      <c r="BA281" s="32" t="n">
        <v>12.7</v>
      </c>
      <c r="BB281" s="32" t="n">
        <v>129</v>
      </c>
      <c r="BC281" s="10">
        <f>MAX(IF(AK281=0,0,AK281*1000/('Parametros'!$B$4*MIN(U281,AB281))),MAX(0.062*SQRT('Parametros'!$B$2)*H281/'Parametros'!$B$4,0.35*H281/'Parametros'!$B$4))</f>
        <v>1.77973017969184</v>
      </c>
      <c r="BD281" s="10">
        <f>2*AV281</f>
        <v>0</v>
      </c>
      <c r="BE281" s="10">
        <f>AO281*BB281/AP281</f>
        <v>2.15</v>
      </c>
      <c r="BF281" s="10">
        <f>SQRT((AI281*1000/(H281*MIN(U281,AB281)))^2+(Q281*1000000*2*((H281-2*('Parametros'!$B$7+'Parametros'!$B$9/2))+(I281-2*('Parametros'!$B$7+'Parametros'!$B$9/2)))/(1.7*((H281-2*('Parametros'!$B$7+'Parametros'!$B$9/2))*(I281-2*('Parametros'!$B$7+'Parametros'!$B$9/2)))^2))^2)</f>
        <v>1.80334648630235</v>
      </c>
      <c r="BG281" s="10">
        <f>'Parametros'!$B$6*(AJ281*1000/(H281*MIN(U281,AB281))+0.66*SQRT('Parametros'!$B$2))</f>
        <v>3.29396038227542</v>
      </c>
      <c r="BH281" s="10" t="str">
        <f>IF(BF281&lt;=BG281,"CUMPLE","NO CUMPLE")</f>
        <v>CUMPLE</v>
      </c>
      <c r="BI281" s="10">
        <f>AX281*'Parametros'!$B$8</f>
        <v>0</v>
      </c>
      <c r="BJ281" s="10" t="str">
        <f>IF(BI281&gt;=AW281,"CUMPLE","NO CUMPLE")</f>
        <v>CUMPLE</v>
      </c>
    </row>
    <row r="282">
      <c r="A282" s="23" t="inlineStr">
        <is>
          <t>VR1</t>
        </is>
      </c>
      <c r="B282" s="23" t="inlineStr">
        <is>
          <t>811</t>
        </is>
      </c>
      <c r="C282" s="10" t="n">
        <v>1</v>
      </c>
      <c r="D282" s="10" t="n">
        <v>3.05</v>
      </c>
      <c r="E282" s="10" t="n">
        <v>3.05</v>
      </c>
      <c r="F282" s="10" t="n">
        <v>500</v>
      </c>
      <c r="G282" s="10" t="n">
        <v>550</v>
      </c>
      <c r="H282" s="17" t="n">
        <v>500</v>
      </c>
      <c r="I282" s="17" t="n">
        <v>550</v>
      </c>
      <c r="J282" s="30" t="n">
        <v>146.4951</v>
      </c>
      <c r="K282" s="10" t="inlineStr">
        <is>
          <t>811</t>
        </is>
      </c>
      <c r="L282" s="30" t="n">
        <v>88.0033</v>
      </c>
      <c r="M282" s="10" t="inlineStr">
        <is>
          <t>811</t>
        </is>
      </c>
      <c r="N282" s="30" t="n">
        <v>123.757</v>
      </c>
      <c r="O282" s="30" t="n">
        <v>360.425</v>
      </c>
      <c r="P282" s="10" t="inlineStr">
        <is>
          <t>811</t>
        </is>
      </c>
      <c r="Q282" s="30" t="n">
        <v>2.5888</v>
      </c>
      <c r="R282" s="10">
        <f>MAX(MAX(1.4/'Parametros'!$B$3,0.25*SQRT('Parametros'!$B$2)/'Parametros'!$B$3)*H282*U282,(0.85*'Parametros'!$B$2/'Parametros'!$B$3)*(1-SQRT(1-2*(J282*1000000/('Parametros'!$B$5*H282*U282^2))/(0.85*'Parametros'!$B$2)))*H282*U282)</f>
        <v>815.98691696058</v>
      </c>
      <c r="S282" s="31" t="n">
        <v>5</v>
      </c>
      <c r="T282" s="32" t="n">
        <v>1</v>
      </c>
      <c r="U282" s="10">
        <f>IF(T282=1,I282-('Parametros'!$B$7+'Parametros'!$B$9+'Parametros'!$B$12/2),I282-(ROUNDUP(S282/2,0)*('Parametros'!$B$7+'Parametros'!$B$9+'Parametros'!$B$12/2)+ROUNDDOWN(S282/2,0)*('Parametros'!$B$7+'Parametros'!$B$9+'Parametros'!$B$12/2+'Parametros'!$B$12+'Parametros'!$B$10))/S282)</f>
        <v>489.35</v>
      </c>
      <c r="V282" s="10">
        <f>S282*'Parametros'!$B$8</f>
        <v>995</v>
      </c>
      <c r="W282" s="10">
        <f>'Parametros'!$B$5*V282*'Parametros'!$B$3*(U282-(V282*'Parametros'!$B$3/(0.85*'Parametros'!$B$2*H282))/2)/1000000</f>
        <v>177.445379382353</v>
      </c>
      <c r="X282" s="10" t="str">
        <f>IF(W282&gt;=J282,"CUMPLE","NO CUMPLE")</f>
        <v>CUMPLE</v>
      </c>
      <c r="Y282" s="10">
        <f>MAX(MAX(1.4/'Parametros'!$B$3,0.25*SQRT('Parametros'!$B$2)/'Parametros'!$B$3)*H282*AB282,(0.85*'Parametros'!$B$2/'Parametros'!$B$3)*(1-SQRT(1-2*(L282*1000000/('Parametros'!$B$5*H282*AB282^2))/(0.85*'Parametros'!$B$2)))*H282*AB282)</f>
        <v>815.583333333333</v>
      </c>
      <c r="Z282" s="31" t="n">
        <v>5</v>
      </c>
      <c r="AA282" s="32" t="n">
        <v>1</v>
      </c>
      <c r="AB282" s="10">
        <f>IF(AA282=1,I282-('Parametros'!$B$7+'Parametros'!$B$9+'Parametros'!$B$12/2),I282-(ROUNDUP(Z282/2,0)*('Parametros'!$B$7+'Parametros'!$B$9+'Parametros'!$B$12/2)+ROUNDDOWN(Z282/2,0)*('Parametros'!$B$7+'Parametros'!$B$9+'Parametros'!$B$12/2+'Parametros'!$B$12+'Parametros'!$B$10))/Z282)</f>
        <v>489.35</v>
      </c>
      <c r="AC282" s="10">
        <f>Z282*'Parametros'!$B$8</f>
        <v>995</v>
      </c>
      <c r="AD282" s="10">
        <f>'Parametros'!$B$5*AC282*'Parametros'!$B$3*(AB282-(AC282*'Parametros'!$B$3/(0.85*'Parametros'!$B$2*H282))/2)/1000000</f>
        <v>177.445379382353</v>
      </c>
      <c r="AE282" s="10" t="str">
        <f>IF(AD282&gt;=L282,"CUMPLE","NO CUMPLE")</f>
        <v>CUMPLE</v>
      </c>
      <c r="AF282" s="10">
        <f>V282*1.25*'Parametros'!$B$3*(U282-(V282*1.25*'Parametros'!$B$3/(0.85*'Parametros'!$B$2*H282))/2)/1000000</f>
        <v>244.158843198529</v>
      </c>
      <c r="AG282" s="10">
        <f>AC282*1.25*'Parametros'!$B$3*(AB282-(AC282*1.25*'Parametros'!$B$3/(0.85*'Parametros'!$B$2*H282))/2)/1000000</f>
        <v>244.158843198529</v>
      </c>
      <c r="AH282" s="10">
        <f>N282+(AF282+AG282)/D282</f>
        <v>283.861159474446</v>
      </c>
      <c r="AI282" s="10">
        <f>MAX(O282,AH282)</f>
        <v>360.425</v>
      </c>
      <c r="AJ282" s="10">
        <f>0.17*SQRT('Parametros'!$B$2)*H282*MIN(U282,AB282)/1000</f>
        <v>220.098728691808</v>
      </c>
      <c r="AK282" s="10">
        <f>MAX(AI282/'Parametros'!$B$6-AJ282,0)</f>
        <v>260.467937974859</v>
      </c>
      <c r="AL282" s="10">
        <f>0.66*SQRT('Parametros'!$B$2)*H282*MIN(U282,AB282)/1000</f>
        <v>854.500946685842</v>
      </c>
      <c r="AM282" s="10" t="str">
        <f>IF(AK282&lt;=AL282,"CUMPLE","NO CUMPLE")</f>
        <v>CUMPLE</v>
      </c>
      <c r="AN282" s="17" t="inlineStr">
        <is>
          <t>Nº3 cerrado</t>
        </is>
      </c>
      <c r="AO282" s="31" t="n">
        <v>2</v>
      </c>
      <c r="AP282" s="10">
        <f>ROUNDDOWN(MIN(IF(BC282+BD282=0,1000000000,AO282*BB282/(BC282+BD282)),MIN(U282,AB282)/4,8*'Parametros'!$B$12,24*BA282,300,IF(AV282=0,1000000000,2*((H282-2*('Parametros'!$B$7+'Parametros'!$B$9/2))+(I282-2*('Parametros'!$B$7+'Parametros'!$B$9/2)))/8))/10,0)*10</f>
        <v>110</v>
      </c>
      <c r="AQ282" s="10">
        <f>ROUNDDOWN(MIN(IF(BC282+BD282=0,1000000000,AO282*BB282/(BC282+BD282)),IF(AK282&gt;0.33*SQRT('Parametros'!$B$2)*H282*MIN(U282,AB282)/1000,MIN(U282,AB282)/4,MIN(U282,AB282)/2),600,IF(AV282=0,1000000000,2*((H282-2*('Parametros'!$B$7+'Parametros'!$B$9/2))+(I282-2*('Parametros'!$B$7+'Parametros'!$B$9/2)))/8))/10,0)*10</f>
        <v>110</v>
      </c>
      <c r="AR282" s="10">
        <f>'Parametros'!$B$6*(AJ282+MAX(BE282-BD282,0)*'Parametros'!$B$4*MIN(U282,AB282)/1000)</f>
        <v>364.06155106431</v>
      </c>
      <c r="AS282" s="10" t="str">
        <f>IF(AND(ISERROR(SEARCH("referencia",AN282)),AM282="CUMPLE",AR282&gt;=AI282),"CUMPLE","NO CUMPLE")</f>
        <v>CUMPLE</v>
      </c>
      <c r="AT282" s="10">
        <f>'Parametros'!$B$6*0.083*SQRT('Parametros'!$B$2)*(H282*I282)^2/(2*(H282+I282))/1000000</f>
        <v>11.862178757599</v>
      </c>
      <c r="AU282" s="10" t="str">
        <f>IF(Q282&lt;=AT282,"DESPRECIABLE","DISEÑAR")</f>
        <v>DESPRECIABLE</v>
      </c>
      <c r="AV282" s="10">
        <f>IF(Q282&lt;=AT282,0,Q282*1000000/('Parametros'!$B$6*2*0.85*(H282-2*('Parametros'!$B$7+'Parametros'!$B$9/2))*(I282-2*('Parametros'!$B$7+'Parametros'!$B$9/2))*'Parametros'!$B$4))</f>
        <v>0</v>
      </c>
      <c r="AW282" s="10">
        <f>AV282*2*((H282-2*('Parametros'!$B$7+'Parametros'!$B$9/2))+(I282-2*('Parametros'!$B$7+'Parametros'!$B$9/2)))*'Parametros'!$B$4/'Parametros'!$B$3</f>
        <v>0</v>
      </c>
      <c r="AX282" s="31" t="n">
        <v>0</v>
      </c>
      <c r="AY282" s="10" t="str">
        <f>IF(AV282=0,"DESPRECIABLE",IF(AND(ISERROR(SEARCH("referencia",AN282)),BB282/AP282&gt;=AV282,BI282&gt;=AW282,BH282="CUMPLE"),"CUMPLE","NO CUMPLE"))</f>
        <v>DESPRECIABLE</v>
      </c>
      <c r="AZ282" s="10" t="str">
        <f>IF(AND(X282="CUMPLE",AE282="CUMPLE",AS282="CUMPLE",OR(AY282="CUMPLE",AY282="DESPRECIABLE"),BH282="CUMPLE",BJ282="CUMPLE"),"CUMPLE","NO CUMPLE")</f>
        <v>CUMPLE</v>
      </c>
      <c r="BA282" s="32" t="n">
        <v>9.5</v>
      </c>
      <c r="BB282" s="32" t="n">
        <v>71</v>
      </c>
      <c r="BC282" s="10">
        <f>MAX(IF(AK282=0,0,AK282*1000/('Parametros'!$B$4*MIN(U282,AB282))),MAX(0.062*SQRT('Parametros'!$B$2)*H282/'Parametros'!$B$4,0.35*H282/'Parametros'!$B$4))</f>
        <v>1.26731737423725</v>
      </c>
      <c r="BD282" s="10">
        <f>2*AV282</f>
        <v>0</v>
      </c>
      <c r="BE282" s="10">
        <f>AO282*BB282/AP282</f>
        <v>1.29090909090909</v>
      </c>
      <c r="BF282" s="10">
        <f>SQRT((AI282*1000/(H282*MIN(U282,AB282)))^2+(Q282*1000000*2*((H282-2*('Parametros'!$B$7+'Parametros'!$B$9/2))+(I282-2*('Parametros'!$B$7+'Parametros'!$B$9/2)))/(1.7*((H282-2*('Parametros'!$B$7+'Parametros'!$B$9/2))*(I282-2*('Parametros'!$B$7+'Parametros'!$B$9/2)))^2))^2)</f>
        <v>1.47503079698421</v>
      </c>
      <c r="BG282" s="10">
        <f>'Parametros'!$B$6*(AJ282*1000/(H282*MIN(U282,AB282))+0.66*SQRT('Parametros'!$B$2))</f>
        <v>3.29396038227542</v>
      </c>
      <c r="BH282" s="10" t="str">
        <f>IF(BF282&lt;=BG282,"CUMPLE","NO CUMPLE")</f>
        <v>CUMPLE</v>
      </c>
      <c r="BI282" s="10">
        <f>AX282*'Parametros'!$B$8</f>
        <v>0</v>
      </c>
      <c r="BJ282" s="10" t="str">
        <f>IF(BI282&gt;=AW282,"CUMPLE","NO CUMPLE")</f>
        <v>CUMPLE</v>
      </c>
    </row>
    <row r="283">
      <c r="A283" s="23" t="inlineStr">
        <is>
          <t>VR1</t>
        </is>
      </c>
      <c r="B283" s="23" t="inlineStr">
        <is>
          <t>812</t>
        </is>
      </c>
      <c r="C283" s="10" t="n">
        <v>1</v>
      </c>
      <c r="D283" s="10" t="n">
        <v>2</v>
      </c>
      <c r="E283" s="10" t="n">
        <v>2</v>
      </c>
      <c r="F283" s="10" t="n">
        <v>500</v>
      </c>
      <c r="G283" s="10" t="n">
        <v>550</v>
      </c>
      <c r="H283" s="17" t="n">
        <v>500</v>
      </c>
      <c r="I283" s="17" t="n">
        <v>550</v>
      </c>
      <c r="J283" s="30" t="n">
        <v>143.0686</v>
      </c>
      <c r="K283" s="10" t="inlineStr">
        <is>
          <t>812</t>
        </is>
      </c>
      <c r="L283" s="30" t="n">
        <v>92.194</v>
      </c>
      <c r="M283" s="10" t="inlineStr">
        <is>
          <t>812</t>
        </is>
      </c>
      <c r="N283" s="30" t="n">
        <v>135.398</v>
      </c>
      <c r="O283" s="30" t="n">
        <v>429.694</v>
      </c>
      <c r="P283" s="10" t="inlineStr">
        <is>
          <t>812</t>
        </is>
      </c>
      <c r="Q283" s="30" t="n">
        <v>3.5001</v>
      </c>
      <c r="R283" s="10">
        <f>MAX(MAX(1.4/'Parametros'!$B$3,0.25*SQRT('Parametros'!$B$2)/'Parametros'!$B$3)*H283*U283,(0.85*'Parametros'!$B$2/'Parametros'!$B$3)*(1-SQRT(1-2*(J283*1000000/('Parametros'!$B$5*H283*U283^2))/(0.85*'Parametros'!$B$2)))*H283*U283)</f>
        <v>815.583333333333</v>
      </c>
      <c r="S283" s="31" t="n">
        <v>5</v>
      </c>
      <c r="T283" s="32" t="n">
        <v>1</v>
      </c>
      <c r="U283" s="10">
        <f>IF(T283=1,I283-('Parametros'!$B$7+'Parametros'!$B$9+'Parametros'!$B$12/2),I283-(ROUNDUP(S283/2,0)*('Parametros'!$B$7+'Parametros'!$B$9+'Parametros'!$B$12/2)+ROUNDDOWN(S283/2,0)*('Parametros'!$B$7+'Parametros'!$B$9+'Parametros'!$B$12/2+'Parametros'!$B$12+'Parametros'!$B$10))/S283)</f>
        <v>489.35</v>
      </c>
      <c r="V283" s="10">
        <f>S283*'Parametros'!$B$8</f>
        <v>995</v>
      </c>
      <c r="W283" s="10">
        <f>'Parametros'!$B$5*V283*'Parametros'!$B$3*(U283-(V283*'Parametros'!$B$3/(0.85*'Parametros'!$B$2*H283))/2)/1000000</f>
        <v>177.445379382353</v>
      </c>
      <c r="X283" s="10" t="str">
        <f>IF(W283&gt;=J283,"CUMPLE","NO CUMPLE")</f>
        <v>CUMPLE</v>
      </c>
      <c r="Y283" s="10">
        <f>MAX(MAX(1.4/'Parametros'!$B$3,0.25*SQRT('Parametros'!$B$2)/'Parametros'!$B$3)*H283*AB283,(0.85*'Parametros'!$B$2/'Parametros'!$B$3)*(1-SQRT(1-2*(L283*1000000/('Parametros'!$B$5*H283*AB283^2))/(0.85*'Parametros'!$B$2)))*H283*AB283)</f>
        <v>815.583333333333</v>
      </c>
      <c r="Z283" s="31" t="n">
        <v>5</v>
      </c>
      <c r="AA283" s="32" t="n">
        <v>1</v>
      </c>
      <c r="AB283" s="10">
        <f>IF(AA283=1,I283-('Parametros'!$B$7+'Parametros'!$B$9+'Parametros'!$B$12/2),I283-(ROUNDUP(Z283/2,0)*('Parametros'!$B$7+'Parametros'!$B$9+'Parametros'!$B$12/2)+ROUNDDOWN(Z283/2,0)*('Parametros'!$B$7+'Parametros'!$B$9+'Parametros'!$B$12/2+'Parametros'!$B$12+'Parametros'!$B$10))/Z283)</f>
        <v>489.35</v>
      </c>
      <c r="AC283" s="10">
        <f>Z283*'Parametros'!$B$8</f>
        <v>995</v>
      </c>
      <c r="AD283" s="10">
        <f>'Parametros'!$B$5*AC283*'Parametros'!$B$3*(AB283-(AC283*'Parametros'!$B$3/(0.85*'Parametros'!$B$2*H283))/2)/1000000</f>
        <v>177.445379382353</v>
      </c>
      <c r="AE283" s="10" t="str">
        <f>IF(AD283&gt;=L283,"CUMPLE","NO CUMPLE")</f>
        <v>CUMPLE</v>
      </c>
      <c r="AF283" s="10">
        <f>V283*1.25*'Parametros'!$B$3*(U283-(V283*1.25*'Parametros'!$B$3/(0.85*'Parametros'!$B$2*H283))/2)/1000000</f>
        <v>244.158843198529</v>
      </c>
      <c r="AG283" s="10">
        <f>AC283*1.25*'Parametros'!$B$3*(AB283-(AC283*1.25*'Parametros'!$B$3/(0.85*'Parametros'!$B$2*H283))/2)/1000000</f>
        <v>244.158843198529</v>
      </c>
      <c r="AH283" s="10">
        <f>N283+(AF283+AG283)/D283</f>
        <v>379.556843198529</v>
      </c>
      <c r="AI283" s="10">
        <f>MAX(O283,AH283)</f>
        <v>429.694</v>
      </c>
      <c r="AJ283" s="10">
        <f>0.17*SQRT('Parametros'!$B$2)*H283*MIN(U283,AB283)/1000</f>
        <v>220.098728691808</v>
      </c>
      <c r="AK283" s="10">
        <f>MAX(AI283/'Parametros'!$B$6-AJ283,0)</f>
        <v>352.826604641526</v>
      </c>
      <c r="AL283" s="10">
        <f>0.66*SQRT('Parametros'!$B$2)*H283*MIN(U283,AB283)/1000</f>
        <v>854.500946685842</v>
      </c>
      <c r="AM283" s="10" t="str">
        <f>IF(AK283&lt;=AL283,"CUMPLE","NO CUMPLE")</f>
        <v>CUMPLE</v>
      </c>
      <c r="AN283" s="17" t="inlineStr">
        <is>
          <t>Nº3 cerrado</t>
        </is>
      </c>
      <c r="AO283" s="31" t="n">
        <v>2</v>
      </c>
      <c r="AP283" s="10">
        <f>ROUNDDOWN(MIN(IF(BC283+BD283=0,1000000000,AO283*BB283/(BC283+BD283)),MIN(U283,AB283)/4,8*'Parametros'!$B$12,24*BA283,300,IF(AV283=0,1000000000,2*((H283-2*('Parametros'!$B$7+'Parametros'!$B$9/2))+(I283-2*('Parametros'!$B$7+'Parametros'!$B$9/2)))/8))/10,0)*10</f>
        <v>80</v>
      </c>
      <c r="AQ283" s="10">
        <f>ROUNDDOWN(MIN(IF(BC283+BD283=0,1000000000,AO283*BB283/(BC283+BD283)),IF(AK283&gt;0.33*SQRT('Parametros'!$B$2)*H283*MIN(U283,AB283)/1000,MIN(U283,AB283)/4,MIN(U283,AB283)/2),600,IF(AV283=0,1000000000,2*((H283-2*('Parametros'!$B$7+'Parametros'!$B$9/2))+(I283-2*('Parametros'!$B$7+'Parametros'!$B$9/2)))/8))/10,0)*10</f>
        <v>80</v>
      </c>
      <c r="AR283" s="10">
        <f>'Parametros'!$B$6*(AJ283+MAX(BE283-BD283,0)*'Parametros'!$B$4*MIN(U283,AB283)/1000)</f>
        <v>438.681865268856</v>
      </c>
      <c r="AS283" s="10" t="str">
        <f>IF(AND(ISERROR(SEARCH("referencia",AN283)),AM283="CUMPLE",AR283&gt;=AI283),"CUMPLE","NO CUMPLE")</f>
        <v>CUMPLE</v>
      </c>
      <c r="AT283" s="10">
        <f>'Parametros'!$B$6*0.083*SQRT('Parametros'!$B$2)*(H283*I283)^2/(2*(H283+I283))/1000000</f>
        <v>11.862178757599</v>
      </c>
      <c r="AU283" s="10" t="str">
        <f>IF(Q283&lt;=AT283,"DESPRECIABLE","DISEÑAR")</f>
        <v>DESPRECIABLE</v>
      </c>
      <c r="AV283" s="10">
        <f>IF(Q283&lt;=AT283,0,Q283*1000000/('Parametros'!$B$6*2*0.85*(H283-2*('Parametros'!$B$7+'Parametros'!$B$9/2))*(I283-2*('Parametros'!$B$7+'Parametros'!$B$9/2))*'Parametros'!$B$4))</f>
        <v>0</v>
      </c>
      <c r="AW283" s="10">
        <f>AV283*2*((H283-2*('Parametros'!$B$7+'Parametros'!$B$9/2))+(I283-2*('Parametros'!$B$7+'Parametros'!$B$9/2)))*'Parametros'!$B$4/'Parametros'!$B$3</f>
        <v>0</v>
      </c>
      <c r="AX283" s="31" t="n">
        <v>0</v>
      </c>
      <c r="AY283" s="10" t="str">
        <f>IF(AV283=0,"DESPRECIABLE",IF(AND(ISERROR(SEARCH("referencia",AN283)),BB283/AP283&gt;=AV283,BI283&gt;=AW283,BH283="CUMPLE"),"CUMPLE","NO CUMPLE"))</f>
        <v>DESPRECIABLE</v>
      </c>
      <c r="AZ283" s="10" t="str">
        <f>IF(AND(X283="CUMPLE",AE283="CUMPLE",AS283="CUMPLE",OR(AY283="CUMPLE",AY283="DESPRECIABLE"),BH283="CUMPLE",BJ283="CUMPLE"),"CUMPLE","NO CUMPLE")</f>
        <v>CUMPLE</v>
      </c>
      <c r="BA283" s="32" t="n">
        <v>9.5</v>
      </c>
      <c r="BB283" s="32" t="n">
        <v>71</v>
      </c>
      <c r="BC283" s="10">
        <f>MAX(IF(AK283=0,0,AK283*1000/('Parametros'!$B$4*MIN(U283,AB283))),MAX(0.062*SQRT('Parametros'!$B$2)*H283/'Parametros'!$B$4,0.35*H283/'Parametros'!$B$4))</f>
        <v>1.7166922333393</v>
      </c>
      <c r="BD283" s="10">
        <f>2*AV283</f>
        <v>0</v>
      </c>
      <c r="BE283" s="10">
        <f>AO283*BB283/AP283</f>
        <v>1.775</v>
      </c>
      <c r="BF283" s="10">
        <f>SQRT((AI283*1000/(H283*MIN(U283,AB283)))^2+(Q283*1000000*2*((H283-2*('Parametros'!$B$7+'Parametros'!$B$9/2))+(I283-2*('Parametros'!$B$7+'Parametros'!$B$9/2)))/(1.7*((H283-2*('Parametros'!$B$7+'Parametros'!$B$9/2))*(I283-2*('Parametros'!$B$7+'Parametros'!$B$9/2)))^2))^2)</f>
        <v>1.75917854853793</v>
      </c>
      <c r="BG283" s="10">
        <f>'Parametros'!$B$6*(AJ283*1000/(H283*MIN(U283,AB283))+0.66*SQRT('Parametros'!$B$2))</f>
        <v>3.29396038227542</v>
      </c>
      <c r="BH283" s="10" t="str">
        <f>IF(BF283&lt;=BG283,"CUMPLE","NO CUMPLE")</f>
        <v>CUMPLE</v>
      </c>
      <c r="BI283" s="10">
        <f>AX283*'Parametros'!$B$8</f>
        <v>0</v>
      </c>
      <c r="BJ283" s="10" t="str">
        <f>IF(BI283&gt;=AW283,"CUMPLE","NO CUMPLE")</f>
        <v>CUMPLE</v>
      </c>
    </row>
    <row r="284">
      <c r="A284" s="23" t="inlineStr">
        <is>
          <t>VR1</t>
        </is>
      </c>
      <c r="B284" s="23" t="inlineStr">
        <is>
          <t>853</t>
        </is>
      </c>
      <c r="C284" s="10" t="n">
        <v>1</v>
      </c>
      <c r="D284" s="10" t="n">
        <v>2</v>
      </c>
      <c r="E284" s="10" t="n">
        <v>2</v>
      </c>
      <c r="F284" s="10" t="n">
        <v>500</v>
      </c>
      <c r="G284" s="10" t="n">
        <v>550</v>
      </c>
      <c r="H284" s="17" t="n">
        <v>500</v>
      </c>
      <c r="I284" s="17" t="n">
        <v>550</v>
      </c>
      <c r="J284" s="30" t="n">
        <v>95.26349999999999</v>
      </c>
      <c r="K284" s="10" t="inlineStr">
        <is>
          <t>853</t>
        </is>
      </c>
      <c r="L284" s="30" t="n">
        <v>48.6814</v>
      </c>
      <c r="M284" s="10" t="inlineStr">
        <is>
          <t>853</t>
        </is>
      </c>
      <c r="N284" s="30" t="n">
        <v>100.276</v>
      </c>
      <c r="O284" s="30" t="n">
        <v>238.803</v>
      </c>
      <c r="P284" s="10" t="inlineStr">
        <is>
          <t>853</t>
        </is>
      </c>
      <c r="Q284" s="30" t="n">
        <v>2.5662</v>
      </c>
      <c r="R284" s="10">
        <f>MAX(MAX(1.4/'Parametros'!$B$3,0.25*SQRT('Parametros'!$B$2)/'Parametros'!$B$3)*H284*U284,(0.85*'Parametros'!$B$2/'Parametros'!$B$3)*(1-SQRT(1-2*(J284*1000000/('Parametros'!$B$5*H284*U284^2))/(0.85*'Parametros'!$B$2)))*H284*U284)</f>
        <v>815.583333333333</v>
      </c>
      <c r="S284" s="31" t="n">
        <v>5</v>
      </c>
      <c r="T284" s="32" t="n">
        <v>1</v>
      </c>
      <c r="U284" s="10">
        <f>IF(T284=1,I284-('Parametros'!$B$7+'Parametros'!$B$9+'Parametros'!$B$12/2),I284-(ROUNDUP(S284/2,0)*('Parametros'!$B$7+'Parametros'!$B$9+'Parametros'!$B$12/2)+ROUNDDOWN(S284/2,0)*('Parametros'!$B$7+'Parametros'!$B$9+'Parametros'!$B$12/2+'Parametros'!$B$12+'Parametros'!$B$10))/S284)</f>
        <v>489.35</v>
      </c>
      <c r="V284" s="10">
        <f>S284*'Parametros'!$B$8</f>
        <v>995</v>
      </c>
      <c r="W284" s="10">
        <f>'Parametros'!$B$5*V284*'Parametros'!$B$3*(U284-(V284*'Parametros'!$B$3/(0.85*'Parametros'!$B$2*H284))/2)/1000000</f>
        <v>177.445379382353</v>
      </c>
      <c r="X284" s="10" t="str">
        <f>IF(W284&gt;=J284,"CUMPLE","NO CUMPLE")</f>
        <v>CUMPLE</v>
      </c>
      <c r="Y284" s="10">
        <f>MAX(MAX(1.4/'Parametros'!$B$3,0.25*SQRT('Parametros'!$B$2)/'Parametros'!$B$3)*H284*AB284,(0.85*'Parametros'!$B$2/'Parametros'!$B$3)*(1-SQRT(1-2*(L284*1000000/('Parametros'!$B$5*H284*AB284^2))/(0.85*'Parametros'!$B$2)))*H284*AB284)</f>
        <v>815.583333333333</v>
      </c>
      <c r="Z284" s="31" t="n">
        <v>5</v>
      </c>
      <c r="AA284" s="32" t="n">
        <v>1</v>
      </c>
      <c r="AB284" s="10">
        <f>IF(AA284=1,I284-('Parametros'!$B$7+'Parametros'!$B$9+'Parametros'!$B$12/2),I284-(ROUNDUP(Z284/2,0)*('Parametros'!$B$7+'Parametros'!$B$9+'Parametros'!$B$12/2)+ROUNDDOWN(Z284/2,0)*('Parametros'!$B$7+'Parametros'!$B$9+'Parametros'!$B$12/2+'Parametros'!$B$12+'Parametros'!$B$10))/Z284)</f>
        <v>489.35</v>
      </c>
      <c r="AC284" s="10">
        <f>Z284*'Parametros'!$B$8</f>
        <v>995</v>
      </c>
      <c r="AD284" s="10">
        <f>'Parametros'!$B$5*AC284*'Parametros'!$B$3*(AB284-(AC284*'Parametros'!$B$3/(0.85*'Parametros'!$B$2*H284))/2)/1000000</f>
        <v>177.445379382353</v>
      </c>
      <c r="AE284" s="10" t="str">
        <f>IF(AD284&gt;=L284,"CUMPLE","NO CUMPLE")</f>
        <v>CUMPLE</v>
      </c>
      <c r="AF284" s="10">
        <f>V284*1.25*'Parametros'!$B$3*(U284-(V284*1.25*'Parametros'!$B$3/(0.85*'Parametros'!$B$2*H284))/2)/1000000</f>
        <v>244.158843198529</v>
      </c>
      <c r="AG284" s="10">
        <f>AC284*1.25*'Parametros'!$B$3*(AB284-(AC284*1.25*'Parametros'!$B$3/(0.85*'Parametros'!$B$2*H284))/2)/1000000</f>
        <v>244.158843198529</v>
      </c>
      <c r="AH284" s="10">
        <f>N284+(AF284+AG284)/D284</f>
        <v>344.434843198529</v>
      </c>
      <c r="AI284" s="10">
        <f>MAX(O284,AH284)</f>
        <v>344.434843198529</v>
      </c>
      <c r="AJ284" s="10">
        <f>0.17*SQRT('Parametros'!$B$2)*H284*MIN(U284,AB284)/1000</f>
        <v>220.098728691808</v>
      </c>
      <c r="AK284" s="10">
        <f>MAX(AI284/'Parametros'!$B$6-AJ284,0)</f>
        <v>239.147728906231</v>
      </c>
      <c r="AL284" s="10">
        <f>0.66*SQRT('Parametros'!$B$2)*H284*MIN(U284,AB284)/1000</f>
        <v>854.500946685842</v>
      </c>
      <c r="AM284" s="10" t="str">
        <f>IF(AK284&lt;=AL284,"CUMPLE","NO CUMPLE")</f>
        <v>CUMPLE</v>
      </c>
      <c r="AN284" s="17" t="inlineStr">
        <is>
          <t>Nº3 cerrado</t>
        </is>
      </c>
      <c r="AO284" s="31" t="n">
        <v>2</v>
      </c>
      <c r="AP284" s="10">
        <f>ROUNDDOWN(MIN(IF(BC284+BD284=0,1000000000,AO284*BB284/(BC284+BD284)),MIN(U284,AB284)/4,8*'Parametros'!$B$12,24*BA284,300,IF(AV284=0,1000000000,2*((H284-2*('Parametros'!$B$7+'Parametros'!$B$9/2))+(I284-2*('Parametros'!$B$7+'Parametros'!$B$9/2)))/8))/10,0)*10</f>
        <v>120</v>
      </c>
      <c r="AQ284" s="10">
        <f>ROUNDDOWN(MIN(IF(BC284+BD284=0,1000000000,AO284*BB284/(BC284+BD284)),IF(AK284&gt;0.33*SQRT('Parametros'!$B$2)*H284*MIN(U284,AB284)/1000,MIN(U284,AB284)/4,MIN(U284,AB284)/2),600,IF(AV284=0,1000000000,2*((H284-2*('Parametros'!$B$7+'Parametros'!$B$9/2))+(I284-2*('Parametros'!$B$7+'Parametros'!$B$9/2)))/8))/10,0)*10</f>
        <v>120</v>
      </c>
      <c r="AR284" s="10">
        <f>'Parametros'!$B$6*(AJ284+MAX(BE284-BD284,0)*'Parametros'!$B$4*MIN(U284,AB284)/1000)</f>
        <v>347.479259018856</v>
      </c>
      <c r="AS284" s="10" t="str">
        <f>IF(AND(ISERROR(SEARCH("referencia",AN284)),AM284="CUMPLE",AR284&gt;=AI284),"CUMPLE","NO CUMPLE")</f>
        <v>CUMPLE</v>
      </c>
      <c r="AT284" s="10">
        <f>'Parametros'!$B$6*0.083*SQRT('Parametros'!$B$2)*(H284*I284)^2/(2*(H284+I284))/1000000</f>
        <v>11.862178757599</v>
      </c>
      <c r="AU284" s="10" t="str">
        <f>IF(Q284&lt;=AT284,"DESPRECIABLE","DISEÑAR")</f>
        <v>DESPRECIABLE</v>
      </c>
      <c r="AV284" s="10">
        <f>IF(Q284&lt;=AT284,0,Q284*1000000/('Parametros'!$B$6*2*0.85*(H284-2*('Parametros'!$B$7+'Parametros'!$B$9/2))*(I284-2*('Parametros'!$B$7+'Parametros'!$B$9/2))*'Parametros'!$B$4))</f>
        <v>0</v>
      </c>
      <c r="AW284" s="10">
        <f>AV284*2*((H284-2*('Parametros'!$B$7+'Parametros'!$B$9/2))+(I284-2*('Parametros'!$B$7+'Parametros'!$B$9/2)))*'Parametros'!$B$4/'Parametros'!$B$3</f>
        <v>0</v>
      </c>
      <c r="AX284" s="31" t="n">
        <v>0</v>
      </c>
      <c r="AY284" s="10" t="str">
        <f>IF(AV284=0,"DESPRECIABLE",IF(AND(ISERROR(SEARCH("referencia",AN284)),BB284/AP284&gt;=AV284,BI284&gt;=AW284,BH284="CUMPLE"),"CUMPLE","NO CUMPLE"))</f>
        <v>DESPRECIABLE</v>
      </c>
      <c r="AZ284" s="10" t="str">
        <f>IF(AND(X284="CUMPLE",AE284="CUMPLE",AS284="CUMPLE",OR(AY284="CUMPLE",AY284="DESPRECIABLE"),BH284="CUMPLE",BJ284="CUMPLE"),"CUMPLE","NO CUMPLE")</f>
        <v>CUMPLE</v>
      </c>
      <c r="BA284" s="32" t="n">
        <v>9.5</v>
      </c>
      <c r="BB284" s="32" t="n">
        <v>71</v>
      </c>
      <c r="BC284" s="10">
        <f>MAX(IF(AK284=0,0,AK284*1000/('Parametros'!$B$4*MIN(U284,AB284))),MAX(0.062*SQRT('Parametros'!$B$2)*H284/'Parametros'!$B$4,0.35*H284/'Parametros'!$B$4))</f>
        <v>1.16358302756441</v>
      </c>
      <c r="BD284" s="10">
        <f>2*AV284</f>
        <v>0</v>
      </c>
      <c r="BE284" s="10">
        <f>AO284*BB284/AP284</f>
        <v>1.18333333333333</v>
      </c>
      <c r="BF284" s="10">
        <f>SQRT((AI284*1000/(H284*MIN(U284,AB284)))^2+(Q284*1000000*2*((H284-2*('Parametros'!$B$7+'Parametros'!$B$9/2))+(I284-2*('Parametros'!$B$7+'Parametros'!$B$9/2)))/(1.7*((H284-2*('Parametros'!$B$7+'Parametros'!$B$9/2))*(I284-2*('Parametros'!$B$7+'Parametros'!$B$9/2)))^2))^2)</f>
        <v>1.40973323363326</v>
      </c>
      <c r="BG284" s="10">
        <f>'Parametros'!$B$6*(AJ284*1000/(H284*MIN(U284,AB284))+0.66*SQRT('Parametros'!$B$2))</f>
        <v>3.29396038227542</v>
      </c>
      <c r="BH284" s="10" t="str">
        <f>IF(BF284&lt;=BG284,"CUMPLE","NO CUMPLE")</f>
        <v>CUMPLE</v>
      </c>
      <c r="BI284" s="10">
        <f>AX284*'Parametros'!$B$8</f>
        <v>0</v>
      </c>
      <c r="BJ284" s="10" t="str">
        <f>IF(BI284&gt;=AW284,"CUMPLE","NO CUMPLE")</f>
        <v>CUMPLE</v>
      </c>
    </row>
    <row r="285">
      <c r="A285" s="23" t="inlineStr">
        <is>
          <t>VR1</t>
        </is>
      </c>
      <c r="B285" s="23" t="inlineStr">
        <is>
          <t>854</t>
        </is>
      </c>
      <c r="C285" s="10" t="n">
        <v>1</v>
      </c>
      <c r="D285" s="10" t="n">
        <v>3.05</v>
      </c>
      <c r="E285" s="10" t="n">
        <v>3.05</v>
      </c>
      <c r="F285" s="10" t="n">
        <v>500</v>
      </c>
      <c r="G285" s="10" t="n">
        <v>550</v>
      </c>
      <c r="H285" s="17" t="n">
        <v>500</v>
      </c>
      <c r="I285" s="17" t="n">
        <v>550</v>
      </c>
      <c r="J285" s="30" t="n">
        <v>113.2004</v>
      </c>
      <c r="K285" s="10" t="inlineStr">
        <is>
          <t>854</t>
        </is>
      </c>
      <c r="L285" s="30" t="n">
        <v>54.9809</v>
      </c>
      <c r="M285" s="10" t="inlineStr">
        <is>
          <t>854</t>
        </is>
      </c>
      <c r="N285" s="30" t="n">
        <v>105.609</v>
      </c>
      <c r="O285" s="30" t="n">
        <v>269.176</v>
      </c>
      <c r="P285" s="10" t="inlineStr">
        <is>
          <t>854</t>
        </is>
      </c>
      <c r="Q285" s="30" t="n">
        <v>1.2948</v>
      </c>
      <c r="R285" s="10">
        <f>MAX(MAX(1.4/'Parametros'!$B$3,0.25*SQRT('Parametros'!$B$2)/'Parametros'!$B$3)*H285*U285,(0.85*'Parametros'!$B$2/'Parametros'!$B$3)*(1-SQRT(1-2*(J285*1000000/('Parametros'!$B$5*H285*U285^2))/(0.85*'Parametros'!$B$2)))*H285*U285)</f>
        <v>815.583333333333</v>
      </c>
      <c r="S285" s="31" t="n">
        <v>5</v>
      </c>
      <c r="T285" s="32" t="n">
        <v>1</v>
      </c>
      <c r="U285" s="10">
        <f>IF(T285=1,I285-('Parametros'!$B$7+'Parametros'!$B$9+'Parametros'!$B$12/2),I285-(ROUNDUP(S285/2,0)*('Parametros'!$B$7+'Parametros'!$B$9+'Parametros'!$B$12/2)+ROUNDDOWN(S285/2,0)*('Parametros'!$B$7+'Parametros'!$B$9+'Parametros'!$B$12/2+'Parametros'!$B$12+'Parametros'!$B$10))/S285)</f>
        <v>489.35</v>
      </c>
      <c r="V285" s="10">
        <f>S285*'Parametros'!$B$8</f>
        <v>995</v>
      </c>
      <c r="W285" s="10">
        <f>'Parametros'!$B$5*V285*'Parametros'!$B$3*(U285-(V285*'Parametros'!$B$3/(0.85*'Parametros'!$B$2*H285))/2)/1000000</f>
        <v>177.445379382353</v>
      </c>
      <c r="X285" s="10" t="str">
        <f>IF(W285&gt;=J285,"CUMPLE","NO CUMPLE")</f>
        <v>CUMPLE</v>
      </c>
      <c r="Y285" s="10">
        <f>MAX(MAX(1.4/'Parametros'!$B$3,0.25*SQRT('Parametros'!$B$2)/'Parametros'!$B$3)*H285*AB285,(0.85*'Parametros'!$B$2/'Parametros'!$B$3)*(1-SQRT(1-2*(L285*1000000/('Parametros'!$B$5*H285*AB285^2))/(0.85*'Parametros'!$B$2)))*H285*AB285)</f>
        <v>815.583333333333</v>
      </c>
      <c r="Z285" s="31" t="n">
        <v>5</v>
      </c>
      <c r="AA285" s="32" t="n">
        <v>1</v>
      </c>
      <c r="AB285" s="10">
        <f>IF(AA285=1,I285-('Parametros'!$B$7+'Parametros'!$B$9+'Parametros'!$B$12/2),I285-(ROUNDUP(Z285/2,0)*('Parametros'!$B$7+'Parametros'!$B$9+'Parametros'!$B$12/2)+ROUNDDOWN(Z285/2,0)*('Parametros'!$B$7+'Parametros'!$B$9+'Parametros'!$B$12/2+'Parametros'!$B$12+'Parametros'!$B$10))/Z285)</f>
        <v>489.35</v>
      </c>
      <c r="AC285" s="10">
        <f>Z285*'Parametros'!$B$8</f>
        <v>995</v>
      </c>
      <c r="AD285" s="10">
        <f>'Parametros'!$B$5*AC285*'Parametros'!$B$3*(AB285-(AC285*'Parametros'!$B$3/(0.85*'Parametros'!$B$2*H285))/2)/1000000</f>
        <v>177.445379382353</v>
      </c>
      <c r="AE285" s="10" t="str">
        <f>IF(AD285&gt;=L285,"CUMPLE","NO CUMPLE")</f>
        <v>CUMPLE</v>
      </c>
      <c r="AF285" s="10">
        <f>V285*1.25*'Parametros'!$B$3*(U285-(V285*1.25*'Parametros'!$B$3/(0.85*'Parametros'!$B$2*H285))/2)/1000000</f>
        <v>244.158843198529</v>
      </c>
      <c r="AG285" s="10">
        <f>AC285*1.25*'Parametros'!$B$3*(AB285-(AC285*1.25*'Parametros'!$B$3/(0.85*'Parametros'!$B$2*H285))/2)/1000000</f>
        <v>244.158843198529</v>
      </c>
      <c r="AH285" s="10">
        <f>N285+(AF285+AG285)/D285</f>
        <v>265.713159474446</v>
      </c>
      <c r="AI285" s="10">
        <f>MAX(O285,AH285)</f>
        <v>269.176</v>
      </c>
      <c r="AJ285" s="10">
        <f>0.17*SQRT('Parametros'!$B$2)*H285*MIN(U285,AB285)/1000</f>
        <v>220.098728691808</v>
      </c>
      <c r="AK285" s="10">
        <f>MAX(AI285/'Parametros'!$B$6-AJ285,0)</f>
        <v>138.802604641526</v>
      </c>
      <c r="AL285" s="10">
        <f>0.66*SQRT('Parametros'!$B$2)*H285*MIN(U285,AB285)/1000</f>
        <v>854.500946685842</v>
      </c>
      <c r="AM285" s="10" t="str">
        <f>IF(AK285&lt;=AL285,"CUMPLE","NO CUMPLE")</f>
        <v>CUMPLE</v>
      </c>
      <c r="AN285" s="17" t="inlineStr">
        <is>
          <t>Nº3 cerrado</t>
        </is>
      </c>
      <c r="AO285" s="31" t="n">
        <v>2</v>
      </c>
      <c r="AP285" s="10">
        <f>ROUNDDOWN(MIN(IF(BC285+BD285=0,1000000000,AO285*BB285/(BC285+BD285)),MIN(U285,AB285)/4,8*'Parametros'!$B$12,24*BA285,300,IF(AV285=0,1000000000,2*((H285-2*('Parametros'!$B$7+'Parametros'!$B$9/2))+(I285-2*('Parametros'!$B$7+'Parametros'!$B$9/2)))/8))/10,0)*10</f>
        <v>120</v>
      </c>
      <c r="AQ285" s="10">
        <f>ROUNDDOWN(MIN(IF(BC285+BD285=0,1000000000,AO285*BB285/(BC285+BD285)),IF(AK285&gt;0.33*SQRT('Parametros'!$B$2)*H285*MIN(U285,AB285)/1000,MIN(U285,AB285)/4,MIN(U285,AB285)/2),600,IF(AV285=0,1000000000,2*((H285-2*('Parametros'!$B$7+'Parametros'!$B$9/2))+(I285-2*('Parametros'!$B$7+'Parametros'!$B$9/2)))/8))/10,0)*10</f>
        <v>210</v>
      </c>
      <c r="AR285" s="10">
        <f>'Parametros'!$B$6*(AJ285+MAX(BE285-BD285,0)*'Parametros'!$B$4*MIN(U285,AB285)/1000)</f>
        <v>347.479259018856</v>
      </c>
      <c r="AS285" s="10" t="str">
        <f>IF(AND(ISERROR(SEARCH("referencia",AN285)),AM285="CUMPLE",AR285&gt;=AI285),"CUMPLE","NO CUMPLE")</f>
        <v>CUMPLE</v>
      </c>
      <c r="AT285" s="10">
        <f>'Parametros'!$B$6*0.083*SQRT('Parametros'!$B$2)*(H285*I285)^2/(2*(H285+I285))/1000000</f>
        <v>11.862178757599</v>
      </c>
      <c r="AU285" s="10" t="str">
        <f>IF(Q285&lt;=AT285,"DESPRECIABLE","DISEÑAR")</f>
        <v>DESPRECIABLE</v>
      </c>
      <c r="AV285" s="10">
        <f>IF(Q285&lt;=AT285,0,Q285*1000000/('Parametros'!$B$6*2*0.85*(H285-2*('Parametros'!$B$7+'Parametros'!$B$9/2))*(I285-2*('Parametros'!$B$7+'Parametros'!$B$9/2))*'Parametros'!$B$4))</f>
        <v>0</v>
      </c>
      <c r="AW285" s="10">
        <f>AV285*2*((H285-2*('Parametros'!$B$7+'Parametros'!$B$9/2))+(I285-2*('Parametros'!$B$7+'Parametros'!$B$9/2)))*'Parametros'!$B$4/'Parametros'!$B$3</f>
        <v>0</v>
      </c>
      <c r="AX285" s="31" t="n">
        <v>0</v>
      </c>
      <c r="AY285" s="10" t="str">
        <f>IF(AV285=0,"DESPRECIABLE",IF(AND(ISERROR(SEARCH("referencia",AN285)),BB285/AP285&gt;=AV285,BI285&gt;=AW285,BH285="CUMPLE"),"CUMPLE","NO CUMPLE"))</f>
        <v>DESPRECIABLE</v>
      </c>
      <c r="AZ285" s="10" t="str">
        <f>IF(AND(X285="CUMPLE",AE285="CUMPLE",AS285="CUMPLE",OR(AY285="CUMPLE",AY285="DESPRECIABLE"),BH285="CUMPLE",BJ285="CUMPLE"),"CUMPLE","NO CUMPLE")</f>
        <v>CUMPLE</v>
      </c>
      <c r="BA285" s="32" t="n">
        <v>9.5</v>
      </c>
      <c r="BB285" s="32" t="n">
        <v>71</v>
      </c>
      <c r="BC285" s="10">
        <f>MAX(IF(AK285=0,0,AK285*1000/('Parametros'!$B$4*MIN(U285,AB285))),MAX(0.062*SQRT('Parametros'!$B$2)*H285/'Parametros'!$B$4,0.35*H285/'Parametros'!$B$4))</f>
        <v>0.675349733327132</v>
      </c>
      <c r="BD285" s="10">
        <f>2*AV285</f>
        <v>0</v>
      </c>
      <c r="BE285" s="10">
        <f>AO285*BB285/AP285</f>
        <v>1.18333333333333</v>
      </c>
      <c r="BF285" s="10">
        <f>SQRT((AI285*1000/(H285*MIN(U285,AB285)))^2+(Q285*1000000*2*((H285-2*('Parametros'!$B$7+'Parametros'!$B$9/2))+(I285-2*('Parametros'!$B$7+'Parametros'!$B$9/2)))/(1.7*((H285-2*('Parametros'!$B$7+'Parametros'!$B$9/2))*(I285-2*('Parametros'!$B$7+'Parametros'!$B$9/2)))^2))^2)</f>
        <v>1.1007917478439</v>
      </c>
      <c r="BG285" s="10">
        <f>'Parametros'!$B$6*(AJ285*1000/(H285*MIN(U285,AB285))+0.66*SQRT('Parametros'!$B$2))</f>
        <v>3.29396038227542</v>
      </c>
      <c r="BH285" s="10" t="str">
        <f>IF(BF285&lt;=BG285,"CUMPLE","NO CUMPLE")</f>
        <v>CUMPLE</v>
      </c>
      <c r="BI285" s="10">
        <f>AX285*'Parametros'!$B$8</f>
        <v>0</v>
      </c>
      <c r="BJ285" s="10" t="str">
        <f>IF(BI285&gt;=AW285,"CUMPLE","NO CUMPLE")</f>
        <v>CUMPLE</v>
      </c>
    </row>
    <row r="286">
      <c r="A286" s="23" t="inlineStr">
        <is>
          <t>VR1</t>
        </is>
      </c>
      <c r="B286" s="23" t="inlineStr">
        <is>
          <t>855</t>
        </is>
      </c>
      <c r="C286" s="10" t="n">
        <v>1</v>
      </c>
      <c r="D286" s="10" t="n">
        <v>2</v>
      </c>
      <c r="E286" s="10" t="n">
        <v>2</v>
      </c>
      <c r="F286" s="10" t="n">
        <v>500</v>
      </c>
      <c r="G286" s="10" t="n">
        <v>550</v>
      </c>
      <c r="H286" s="17" t="n">
        <v>500</v>
      </c>
      <c r="I286" s="17" t="n">
        <v>550</v>
      </c>
      <c r="J286" s="30" t="n">
        <v>89.4862</v>
      </c>
      <c r="K286" s="10" t="inlineStr">
        <is>
          <t>855</t>
        </is>
      </c>
      <c r="L286" s="30" t="n">
        <v>50.7061</v>
      </c>
      <c r="M286" s="10" t="inlineStr">
        <is>
          <t>855</t>
        </is>
      </c>
      <c r="N286" s="30" t="n">
        <v>96.83499999999999</v>
      </c>
      <c r="O286" s="30" t="n">
        <v>279.94</v>
      </c>
      <c r="P286" s="10" t="inlineStr">
        <is>
          <t>855</t>
        </is>
      </c>
      <c r="Q286" s="30" t="n">
        <v>3.1327</v>
      </c>
      <c r="R286" s="10">
        <f>MAX(MAX(1.4/'Parametros'!$B$3,0.25*SQRT('Parametros'!$B$2)/'Parametros'!$B$3)*H286*U286,(0.85*'Parametros'!$B$2/'Parametros'!$B$3)*(1-SQRT(1-2*(J286*1000000/('Parametros'!$B$5*H286*U286^2))/(0.85*'Parametros'!$B$2)))*H286*U286)</f>
        <v>815.583333333333</v>
      </c>
      <c r="S286" s="31" t="n">
        <v>5</v>
      </c>
      <c r="T286" s="32" t="n">
        <v>1</v>
      </c>
      <c r="U286" s="10">
        <f>IF(T286=1,I286-('Parametros'!$B$7+'Parametros'!$B$9+'Parametros'!$B$12/2),I286-(ROUNDUP(S286/2,0)*('Parametros'!$B$7+'Parametros'!$B$9+'Parametros'!$B$12/2)+ROUNDDOWN(S286/2,0)*('Parametros'!$B$7+'Parametros'!$B$9+'Parametros'!$B$12/2+'Parametros'!$B$12+'Parametros'!$B$10))/S286)</f>
        <v>489.35</v>
      </c>
      <c r="V286" s="10">
        <f>S286*'Parametros'!$B$8</f>
        <v>995</v>
      </c>
      <c r="W286" s="10">
        <f>'Parametros'!$B$5*V286*'Parametros'!$B$3*(U286-(V286*'Parametros'!$B$3/(0.85*'Parametros'!$B$2*H286))/2)/1000000</f>
        <v>177.445379382353</v>
      </c>
      <c r="X286" s="10" t="str">
        <f>IF(W286&gt;=J286,"CUMPLE","NO CUMPLE")</f>
        <v>CUMPLE</v>
      </c>
      <c r="Y286" s="10">
        <f>MAX(MAX(1.4/'Parametros'!$B$3,0.25*SQRT('Parametros'!$B$2)/'Parametros'!$B$3)*H286*AB286,(0.85*'Parametros'!$B$2/'Parametros'!$B$3)*(1-SQRT(1-2*(L286*1000000/('Parametros'!$B$5*H286*AB286^2))/(0.85*'Parametros'!$B$2)))*H286*AB286)</f>
        <v>815.583333333333</v>
      </c>
      <c r="Z286" s="31" t="n">
        <v>5</v>
      </c>
      <c r="AA286" s="32" t="n">
        <v>1</v>
      </c>
      <c r="AB286" s="10">
        <f>IF(AA286=1,I286-('Parametros'!$B$7+'Parametros'!$B$9+'Parametros'!$B$12/2),I286-(ROUNDUP(Z286/2,0)*('Parametros'!$B$7+'Parametros'!$B$9+'Parametros'!$B$12/2)+ROUNDDOWN(Z286/2,0)*('Parametros'!$B$7+'Parametros'!$B$9+'Parametros'!$B$12/2+'Parametros'!$B$12+'Parametros'!$B$10))/Z286)</f>
        <v>489.35</v>
      </c>
      <c r="AC286" s="10">
        <f>Z286*'Parametros'!$B$8</f>
        <v>995</v>
      </c>
      <c r="AD286" s="10">
        <f>'Parametros'!$B$5*AC286*'Parametros'!$B$3*(AB286-(AC286*'Parametros'!$B$3/(0.85*'Parametros'!$B$2*H286))/2)/1000000</f>
        <v>177.445379382353</v>
      </c>
      <c r="AE286" s="10" t="str">
        <f>IF(AD286&gt;=L286,"CUMPLE","NO CUMPLE")</f>
        <v>CUMPLE</v>
      </c>
      <c r="AF286" s="10">
        <f>V286*1.25*'Parametros'!$B$3*(U286-(V286*1.25*'Parametros'!$B$3/(0.85*'Parametros'!$B$2*H286))/2)/1000000</f>
        <v>244.158843198529</v>
      </c>
      <c r="AG286" s="10">
        <f>AC286*1.25*'Parametros'!$B$3*(AB286-(AC286*1.25*'Parametros'!$B$3/(0.85*'Parametros'!$B$2*H286))/2)/1000000</f>
        <v>244.158843198529</v>
      </c>
      <c r="AH286" s="10">
        <f>N286+(AF286+AG286)/D286</f>
        <v>340.993843198529</v>
      </c>
      <c r="AI286" s="10">
        <f>MAX(O286,AH286)</f>
        <v>340.993843198529</v>
      </c>
      <c r="AJ286" s="10">
        <f>0.17*SQRT('Parametros'!$B$2)*H286*MIN(U286,AB286)/1000</f>
        <v>220.098728691808</v>
      </c>
      <c r="AK286" s="10">
        <f>MAX(AI286/'Parametros'!$B$6-AJ286,0)</f>
        <v>234.559728906231</v>
      </c>
      <c r="AL286" s="10">
        <f>0.66*SQRT('Parametros'!$B$2)*H286*MIN(U286,AB286)/1000</f>
        <v>854.500946685842</v>
      </c>
      <c r="AM286" s="10" t="str">
        <f>IF(AK286&lt;=AL286,"CUMPLE","NO CUMPLE")</f>
        <v>CUMPLE</v>
      </c>
      <c r="AN286" s="17" t="inlineStr">
        <is>
          <t>Nº3 cerrado</t>
        </is>
      </c>
      <c r="AO286" s="31" t="n">
        <v>2</v>
      </c>
      <c r="AP286" s="10">
        <f>ROUNDDOWN(MIN(IF(BC286+BD286=0,1000000000,AO286*BB286/(BC286+BD286)),MIN(U286,AB286)/4,8*'Parametros'!$B$12,24*BA286,300,IF(AV286=0,1000000000,2*((H286-2*('Parametros'!$B$7+'Parametros'!$B$9/2))+(I286-2*('Parametros'!$B$7+'Parametros'!$B$9/2)))/8))/10,0)*10</f>
        <v>120</v>
      </c>
      <c r="AQ286" s="10">
        <f>ROUNDDOWN(MIN(IF(BC286+BD286=0,1000000000,AO286*BB286/(BC286+BD286)),IF(AK286&gt;0.33*SQRT('Parametros'!$B$2)*H286*MIN(U286,AB286)/1000,MIN(U286,AB286)/4,MIN(U286,AB286)/2),600,IF(AV286=0,1000000000,2*((H286-2*('Parametros'!$B$7+'Parametros'!$B$9/2))+(I286-2*('Parametros'!$B$7+'Parametros'!$B$9/2)))/8))/10,0)*10</f>
        <v>120</v>
      </c>
      <c r="AR286" s="10">
        <f>'Parametros'!$B$6*(AJ286+MAX(BE286-BD286,0)*'Parametros'!$B$4*MIN(U286,AB286)/1000)</f>
        <v>347.479259018856</v>
      </c>
      <c r="AS286" s="10" t="str">
        <f>IF(AND(ISERROR(SEARCH("referencia",AN286)),AM286="CUMPLE",AR286&gt;=AI286),"CUMPLE","NO CUMPLE")</f>
        <v>CUMPLE</v>
      </c>
      <c r="AT286" s="10">
        <f>'Parametros'!$B$6*0.083*SQRT('Parametros'!$B$2)*(H286*I286)^2/(2*(H286+I286))/1000000</f>
        <v>11.862178757599</v>
      </c>
      <c r="AU286" s="10" t="str">
        <f>IF(Q286&lt;=AT286,"DESPRECIABLE","DISEÑAR")</f>
        <v>DESPRECIABLE</v>
      </c>
      <c r="AV286" s="10">
        <f>IF(Q286&lt;=AT286,0,Q286*1000000/('Parametros'!$B$6*2*0.85*(H286-2*('Parametros'!$B$7+'Parametros'!$B$9/2))*(I286-2*('Parametros'!$B$7+'Parametros'!$B$9/2))*'Parametros'!$B$4))</f>
        <v>0</v>
      </c>
      <c r="AW286" s="10">
        <f>AV286*2*((H286-2*('Parametros'!$B$7+'Parametros'!$B$9/2))+(I286-2*('Parametros'!$B$7+'Parametros'!$B$9/2)))*'Parametros'!$B$4/'Parametros'!$B$3</f>
        <v>0</v>
      </c>
      <c r="AX286" s="31" t="n">
        <v>0</v>
      </c>
      <c r="AY286" s="10" t="str">
        <f>IF(AV286=0,"DESPRECIABLE",IF(AND(ISERROR(SEARCH("referencia",AN286)),BB286/AP286&gt;=AV286,BI286&gt;=AW286,BH286="CUMPLE"),"CUMPLE","NO CUMPLE"))</f>
        <v>DESPRECIABLE</v>
      </c>
      <c r="AZ286" s="10" t="str">
        <f>IF(AND(X286="CUMPLE",AE286="CUMPLE",AS286="CUMPLE",OR(AY286="CUMPLE",AY286="DESPRECIABLE"),BH286="CUMPLE",BJ286="CUMPLE"),"CUMPLE","NO CUMPLE")</f>
        <v>CUMPLE</v>
      </c>
      <c r="BA286" s="32" t="n">
        <v>9.5</v>
      </c>
      <c r="BB286" s="32" t="n">
        <v>71</v>
      </c>
      <c r="BC286" s="10">
        <f>MAX(IF(AK286=0,0,AK286*1000/('Parametros'!$B$4*MIN(U286,AB286))),MAX(0.062*SQRT('Parametros'!$B$2)*H286/'Parametros'!$B$4,0.35*H286/'Parametros'!$B$4))</f>
        <v>1.14125992646334</v>
      </c>
      <c r="BD286" s="10">
        <f>2*AV286</f>
        <v>0</v>
      </c>
      <c r="BE286" s="10">
        <f>AO286*BB286/AP286</f>
        <v>1.18333333333333</v>
      </c>
      <c r="BF286" s="10">
        <f>SQRT((AI286*1000/(H286*MIN(U286,AB286)))^2+(Q286*1000000*2*((H286-2*('Parametros'!$B$7+'Parametros'!$B$9/2))+(I286-2*('Parametros'!$B$7+'Parametros'!$B$9/2)))/(1.7*((H286-2*('Parametros'!$B$7+'Parametros'!$B$9/2))*(I286-2*('Parametros'!$B$7+'Parametros'!$B$9/2)))^2))^2)</f>
        <v>1.39668383821268</v>
      </c>
      <c r="BG286" s="10">
        <f>'Parametros'!$B$6*(AJ286*1000/(H286*MIN(U286,AB286))+0.66*SQRT('Parametros'!$B$2))</f>
        <v>3.29396038227542</v>
      </c>
      <c r="BH286" s="10" t="str">
        <f>IF(BF286&lt;=BG286,"CUMPLE","NO CUMPLE")</f>
        <v>CUMPLE</v>
      </c>
      <c r="BI286" s="10">
        <f>AX286*'Parametros'!$B$8</f>
        <v>0</v>
      </c>
      <c r="BJ286" s="10" t="str">
        <f>IF(BI286&gt;=AW286,"CUMPLE","NO CUMPLE")</f>
        <v>CUMPLE</v>
      </c>
    </row>
    <row r="287">
      <c r="A287" s="23" t="inlineStr">
        <is>
          <t>VR1</t>
        </is>
      </c>
      <c r="B287" s="23" t="inlineStr">
        <is>
          <t>856</t>
        </is>
      </c>
      <c r="C287" s="10" t="n">
        <v>1</v>
      </c>
      <c r="D287" s="10" t="n">
        <v>1.9</v>
      </c>
      <c r="E287" s="10" t="n">
        <v>1.9</v>
      </c>
      <c r="F287" s="10" t="n">
        <v>500</v>
      </c>
      <c r="G287" s="10" t="n">
        <v>550</v>
      </c>
      <c r="H287" s="17" t="n">
        <v>500</v>
      </c>
      <c r="I287" s="17" t="n">
        <v>550</v>
      </c>
      <c r="J287" s="30" t="n">
        <v>94.6841</v>
      </c>
      <c r="K287" s="10" t="inlineStr">
        <is>
          <t>856</t>
        </is>
      </c>
      <c r="L287" s="30" t="n">
        <v>56.9745</v>
      </c>
      <c r="M287" s="10" t="inlineStr">
        <is>
          <t>856</t>
        </is>
      </c>
      <c r="N287" s="30" t="n">
        <v>102.713</v>
      </c>
      <c r="O287" s="30" t="n">
        <v>302.194</v>
      </c>
      <c r="P287" s="10" t="inlineStr">
        <is>
          <t>856</t>
        </is>
      </c>
      <c r="Q287" s="30" t="n">
        <v>1.7617</v>
      </c>
      <c r="R287" s="10">
        <f>MAX(MAX(1.4/'Parametros'!$B$3,0.25*SQRT('Parametros'!$B$2)/'Parametros'!$B$3)*H287*U287,(0.85*'Parametros'!$B$2/'Parametros'!$B$3)*(1-SQRT(1-2*(J287*1000000/('Parametros'!$B$5*H287*U287^2))/(0.85*'Parametros'!$B$2)))*H287*U287)</f>
        <v>815.583333333333</v>
      </c>
      <c r="S287" s="31" t="n">
        <v>5</v>
      </c>
      <c r="T287" s="32" t="n">
        <v>1</v>
      </c>
      <c r="U287" s="10">
        <f>IF(T287=1,I287-('Parametros'!$B$7+'Parametros'!$B$9+'Parametros'!$B$12/2),I287-(ROUNDUP(S287/2,0)*('Parametros'!$B$7+'Parametros'!$B$9+'Parametros'!$B$12/2)+ROUNDDOWN(S287/2,0)*('Parametros'!$B$7+'Parametros'!$B$9+'Parametros'!$B$12/2+'Parametros'!$B$12+'Parametros'!$B$10))/S287)</f>
        <v>489.35</v>
      </c>
      <c r="V287" s="10">
        <f>S287*'Parametros'!$B$8</f>
        <v>995</v>
      </c>
      <c r="W287" s="10">
        <f>'Parametros'!$B$5*V287*'Parametros'!$B$3*(U287-(V287*'Parametros'!$B$3/(0.85*'Parametros'!$B$2*H287))/2)/1000000</f>
        <v>177.445379382353</v>
      </c>
      <c r="X287" s="10" t="str">
        <f>IF(W287&gt;=J287,"CUMPLE","NO CUMPLE")</f>
        <v>CUMPLE</v>
      </c>
      <c r="Y287" s="10">
        <f>MAX(MAX(1.4/'Parametros'!$B$3,0.25*SQRT('Parametros'!$B$2)/'Parametros'!$B$3)*H287*AB287,(0.85*'Parametros'!$B$2/'Parametros'!$B$3)*(1-SQRT(1-2*(L287*1000000/('Parametros'!$B$5*H287*AB287^2))/(0.85*'Parametros'!$B$2)))*H287*AB287)</f>
        <v>815.583333333333</v>
      </c>
      <c r="Z287" s="31" t="n">
        <v>5</v>
      </c>
      <c r="AA287" s="32" t="n">
        <v>1</v>
      </c>
      <c r="AB287" s="10">
        <f>IF(AA287=1,I287-('Parametros'!$B$7+'Parametros'!$B$9+'Parametros'!$B$12/2),I287-(ROUNDUP(Z287/2,0)*('Parametros'!$B$7+'Parametros'!$B$9+'Parametros'!$B$12/2)+ROUNDDOWN(Z287/2,0)*('Parametros'!$B$7+'Parametros'!$B$9+'Parametros'!$B$12/2+'Parametros'!$B$12+'Parametros'!$B$10))/Z287)</f>
        <v>489.35</v>
      </c>
      <c r="AC287" s="10">
        <f>Z287*'Parametros'!$B$8</f>
        <v>995</v>
      </c>
      <c r="AD287" s="10">
        <f>'Parametros'!$B$5*AC287*'Parametros'!$B$3*(AB287-(AC287*'Parametros'!$B$3/(0.85*'Parametros'!$B$2*H287))/2)/1000000</f>
        <v>177.445379382353</v>
      </c>
      <c r="AE287" s="10" t="str">
        <f>IF(AD287&gt;=L287,"CUMPLE","NO CUMPLE")</f>
        <v>CUMPLE</v>
      </c>
      <c r="AF287" s="10">
        <f>V287*1.25*'Parametros'!$B$3*(U287-(V287*1.25*'Parametros'!$B$3/(0.85*'Parametros'!$B$2*H287))/2)/1000000</f>
        <v>244.158843198529</v>
      </c>
      <c r="AG287" s="10">
        <f>AC287*1.25*'Parametros'!$B$3*(AB287-(AC287*1.25*'Parametros'!$B$3/(0.85*'Parametros'!$B$2*H287))/2)/1000000</f>
        <v>244.158843198529</v>
      </c>
      <c r="AH287" s="10">
        <f>N287+(AF287+AG287)/D287</f>
        <v>359.722308630031</v>
      </c>
      <c r="AI287" s="10">
        <f>MAX(O287,AH287)</f>
        <v>359.722308630031</v>
      </c>
      <c r="AJ287" s="10">
        <f>0.17*SQRT('Parametros'!$B$2)*H287*MIN(U287,AB287)/1000</f>
        <v>220.098728691808</v>
      </c>
      <c r="AK287" s="10">
        <f>MAX(AI287/'Parametros'!$B$6-AJ287,0)</f>
        <v>259.531016148234</v>
      </c>
      <c r="AL287" s="10">
        <f>0.66*SQRT('Parametros'!$B$2)*H287*MIN(U287,AB287)/1000</f>
        <v>854.500946685842</v>
      </c>
      <c r="AM287" s="10" t="str">
        <f>IF(AK287&lt;=AL287,"CUMPLE","NO CUMPLE")</f>
        <v>CUMPLE</v>
      </c>
      <c r="AN287" s="17" t="inlineStr">
        <is>
          <t>Nº3 cerrado</t>
        </is>
      </c>
      <c r="AO287" s="31" t="n">
        <v>2</v>
      </c>
      <c r="AP287" s="10">
        <f>ROUNDDOWN(MIN(IF(BC287+BD287=0,1000000000,AO287*BB287/(BC287+BD287)),MIN(U287,AB287)/4,8*'Parametros'!$B$12,24*BA287,300,IF(AV287=0,1000000000,2*((H287-2*('Parametros'!$B$7+'Parametros'!$B$9/2))+(I287-2*('Parametros'!$B$7+'Parametros'!$B$9/2)))/8))/10,0)*10</f>
        <v>110</v>
      </c>
      <c r="AQ287" s="10">
        <f>ROUNDDOWN(MIN(IF(BC287+BD287=0,1000000000,AO287*BB287/(BC287+BD287)),IF(AK287&gt;0.33*SQRT('Parametros'!$B$2)*H287*MIN(U287,AB287)/1000,MIN(U287,AB287)/4,MIN(U287,AB287)/2),600,IF(AV287=0,1000000000,2*((H287-2*('Parametros'!$B$7+'Parametros'!$B$9/2))+(I287-2*('Parametros'!$B$7+'Parametros'!$B$9/2)))/8))/10,0)*10</f>
        <v>110</v>
      </c>
      <c r="AR287" s="10">
        <f>'Parametros'!$B$6*(AJ287+MAX(BE287-BD287,0)*'Parametros'!$B$4*MIN(U287,AB287)/1000)</f>
        <v>364.06155106431</v>
      </c>
      <c r="AS287" s="10" t="str">
        <f>IF(AND(ISERROR(SEARCH("referencia",AN287)),AM287="CUMPLE",AR287&gt;=AI287),"CUMPLE","NO CUMPLE")</f>
        <v>CUMPLE</v>
      </c>
      <c r="AT287" s="10">
        <f>'Parametros'!$B$6*0.083*SQRT('Parametros'!$B$2)*(H287*I287)^2/(2*(H287+I287))/1000000</f>
        <v>11.862178757599</v>
      </c>
      <c r="AU287" s="10" t="str">
        <f>IF(Q287&lt;=AT287,"DESPRECIABLE","DISEÑAR")</f>
        <v>DESPRECIABLE</v>
      </c>
      <c r="AV287" s="10">
        <f>IF(Q287&lt;=AT287,0,Q287*1000000/('Parametros'!$B$6*2*0.85*(H287-2*('Parametros'!$B$7+'Parametros'!$B$9/2))*(I287-2*('Parametros'!$B$7+'Parametros'!$B$9/2))*'Parametros'!$B$4))</f>
        <v>0</v>
      </c>
      <c r="AW287" s="10">
        <f>AV287*2*((H287-2*('Parametros'!$B$7+'Parametros'!$B$9/2))+(I287-2*('Parametros'!$B$7+'Parametros'!$B$9/2)))*'Parametros'!$B$4/'Parametros'!$B$3</f>
        <v>0</v>
      </c>
      <c r="AX287" s="31" t="n">
        <v>0</v>
      </c>
      <c r="AY287" s="10" t="str">
        <f>IF(AV287=0,"DESPRECIABLE",IF(AND(ISERROR(SEARCH("referencia",AN287)),BB287/AP287&gt;=AV287,BI287&gt;=AW287,BH287="CUMPLE"),"CUMPLE","NO CUMPLE"))</f>
        <v>DESPRECIABLE</v>
      </c>
      <c r="AZ287" s="10" t="str">
        <f>IF(AND(X287="CUMPLE",AE287="CUMPLE",AS287="CUMPLE",OR(AY287="CUMPLE",AY287="DESPRECIABLE"),BH287="CUMPLE",BJ287="CUMPLE"),"CUMPLE","NO CUMPLE")</f>
        <v>CUMPLE</v>
      </c>
      <c r="BA287" s="32" t="n">
        <v>9.5</v>
      </c>
      <c r="BB287" s="32" t="n">
        <v>71</v>
      </c>
      <c r="BC287" s="10">
        <f>MAX(IF(AK287=0,0,AK287*1000/('Parametros'!$B$4*MIN(U287,AB287))),MAX(0.062*SQRT('Parametros'!$B$2)*H287/'Parametros'!$B$4,0.35*H287/'Parametros'!$B$4))</f>
        <v>1.26275874288163</v>
      </c>
      <c r="BD287" s="10">
        <f>2*AV287</f>
        <v>0</v>
      </c>
      <c r="BE287" s="10">
        <f>AO287*BB287/AP287</f>
        <v>1.29090909090909</v>
      </c>
      <c r="BF287" s="10">
        <f>SQRT((AI287*1000/(H287*MIN(U287,AB287)))^2+(Q287*1000000*2*((H287-2*('Parametros'!$B$7+'Parametros'!$B$9/2))+(I287-2*('Parametros'!$B$7+'Parametros'!$B$9/2)))/(1.7*((H287-2*('Parametros'!$B$7+'Parametros'!$B$9/2))*(I287-2*('Parametros'!$B$7+'Parametros'!$B$9/2)))^2))^2)</f>
        <v>1.47111168644742</v>
      </c>
      <c r="BG287" s="10">
        <f>'Parametros'!$B$6*(AJ287*1000/(H287*MIN(U287,AB287))+0.66*SQRT('Parametros'!$B$2))</f>
        <v>3.29396038227542</v>
      </c>
      <c r="BH287" s="10" t="str">
        <f>IF(BF287&lt;=BG287,"CUMPLE","NO CUMPLE")</f>
        <v>CUMPLE</v>
      </c>
      <c r="BI287" s="10">
        <f>AX287*'Parametros'!$B$8</f>
        <v>0</v>
      </c>
      <c r="BJ287" s="10" t="str">
        <f>IF(BI287&gt;=AW287,"CUMPLE","NO CUMPLE")</f>
        <v>CUMPLE</v>
      </c>
    </row>
    <row r="288">
      <c r="A288" s="23" t="inlineStr">
        <is>
          <t>VR1</t>
        </is>
      </c>
      <c r="B288" s="23" t="inlineStr">
        <is>
          <t>857</t>
        </is>
      </c>
      <c r="C288" s="10" t="n">
        <v>1</v>
      </c>
      <c r="D288" s="10" t="n">
        <v>3.4</v>
      </c>
      <c r="E288" s="10" t="n">
        <v>3.4</v>
      </c>
      <c r="F288" s="10" t="n">
        <v>500</v>
      </c>
      <c r="G288" s="10" t="n">
        <v>550</v>
      </c>
      <c r="H288" s="17" t="n">
        <v>500</v>
      </c>
      <c r="I288" s="17" t="n">
        <v>550</v>
      </c>
      <c r="J288" s="30" t="n">
        <v>115.0799</v>
      </c>
      <c r="K288" s="10" t="inlineStr">
        <is>
          <t>857</t>
        </is>
      </c>
      <c r="L288" s="30" t="n">
        <v>45.0394</v>
      </c>
      <c r="M288" s="10" t="inlineStr">
        <is>
          <t>857</t>
        </is>
      </c>
      <c r="N288" s="30" t="n">
        <v>105.195</v>
      </c>
      <c r="O288" s="30" t="n">
        <v>239.236</v>
      </c>
      <c r="P288" s="10" t="inlineStr">
        <is>
          <t>857</t>
        </is>
      </c>
      <c r="Q288" s="30" t="n">
        <v>5.7816</v>
      </c>
      <c r="R288" s="10">
        <f>MAX(MAX(1.4/'Parametros'!$B$3,0.25*SQRT('Parametros'!$B$2)/'Parametros'!$B$3)*H288*U288,(0.85*'Parametros'!$B$2/'Parametros'!$B$3)*(1-SQRT(1-2*(J288*1000000/('Parametros'!$B$5*H288*U288^2))/(0.85*'Parametros'!$B$2)))*H288*U288)</f>
        <v>815.583333333333</v>
      </c>
      <c r="S288" s="31" t="n">
        <v>5</v>
      </c>
      <c r="T288" s="32" t="n">
        <v>1</v>
      </c>
      <c r="U288" s="10">
        <f>IF(T288=1,I288-('Parametros'!$B$7+'Parametros'!$B$9+'Parametros'!$B$12/2),I288-(ROUNDUP(S288/2,0)*('Parametros'!$B$7+'Parametros'!$B$9+'Parametros'!$B$12/2)+ROUNDDOWN(S288/2,0)*('Parametros'!$B$7+'Parametros'!$B$9+'Parametros'!$B$12/2+'Parametros'!$B$12+'Parametros'!$B$10))/S288)</f>
        <v>489.35</v>
      </c>
      <c r="V288" s="10">
        <f>S288*'Parametros'!$B$8</f>
        <v>995</v>
      </c>
      <c r="W288" s="10">
        <f>'Parametros'!$B$5*V288*'Parametros'!$B$3*(U288-(V288*'Parametros'!$B$3/(0.85*'Parametros'!$B$2*H288))/2)/1000000</f>
        <v>177.445379382353</v>
      </c>
      <c r="X288" s="10" t="str">
        <f>IF(W288&gt;=J288,"CUMPLE","NO CUMPLE")</f>
        <v>CUMPLE</v>
      </c>
      <c r="Y288" s="10">
        <f>MAX(MAX(1.4/'Parametros'!$B$3,0.25*SQRT('Parametros'!$B$2)/'Parametros'!$B$3)*H288*AB288,(0.85*'Parametros'!$B$2/'Parametros'!$B$3)*(1-SQRT(1-2*(L288*1000000/('Parametros'!$B$5*H288*AB288^2))/(0.85*'Parametros'!$B$2)))*H288*AB288)</f>
        <v>815.583333333333</v>
      </c>
      <c r="Z288" s="31" t="n">
        <v>5</v>
      </c>
      <c r="AA288" s="32" t="n">
        <v>1</v>
      </c>
      <c r="AB288" s="10">
        <f>IF(AA288=1,I288-('Parametros'!$B$7+'Parametros'!$B$9+'Parametros'!$B$12/2),I288-(ROUNDUP(Z288/2,0)*('Parametros'!$B$7+'Parametros'!$B$9+'Parametros'!$B$12/2)+ROUNDDOWN(Z288/2,0)*('Parametros'!$B$7+'Parametros'!$B$9+'Parametros'!$B$12/2+'Parametros'!$B$12+'Parametros'!$B$10))/Z288)</f>
        <v>489.35</v>
      </c>
      <c r="AC288" s="10">
        <f>Z288*'Parametros'!$B$8</f>
        <v>995</v>
      </c>
      <c r="AD288" s="10">
        <f>'Parametros'!$B$5*AC288*'Parametros'!$B$3*(AB288-(AC288*'Parametros'!$B$3/(0.85*'Parametros'!$B$2*H288))/2)/1000000</f>
        <v>177.445379382353</v>
      </c>
      <c r="AE288" s="10" t="str">
        <f>IF(AD288&gt;=L288,"CUMPLE","NO CUMPLE")</f>
        <v>CUMPLE</v>
      </c>
      <c r="AF288" s="10">
        <f>V288*1.25*'Parametros'!$B$3*(U288-(V288*1.25*'Parametros'!$B$3/(0.85*'Parametros'!$B$2*H288))/2)/1000000</f>
        <v>244.158843198529</v>
      </c>
      <c r="AG288" s="10">
        <f>AC288*1.25*'Parametros'!$B$3*(AB288-(AC288*1.25*'Parametros'!$B$3/(0.85*'Parametros'!$B$2*H288))/2)/1000000</f>
        <v>244.158843198529</v>
      </c>
      <c r="AH288" s="10">
        <f>N288+(AF288+AG288)/D288</f>
        <v>248.817848940311</v>
      </c>
      <c r="AI288" s="10">
        <f>MAX(O288,AH288)</f>
        <v>248.817848940311</v>
      </c>
      <c r="AJ288" s="10">
        <f>0.17*SQRT('Parametros'!$B$2)*H288*MIN(U288,AB288)/1000</f>
        <v>220.098728691808</v>
      </c>
      <c r="AK288" s="10">
        <f>MAX(AI288/'Parametros'!$B$6-AJ288,0)</f>
        <v>111.658403228607</v>
      </c>
      <c r="AL288" s="10">
        <f>0.66*SQRT('Parametros'!$B$2)*H288*MIN(U288,AB288)/1000</f>
        <v>854.500946685842</v>
      </c>
      <c r="AM288" s="10" t="str">
        <f>IF(AK288&lt;=AL288,"CUMPLE","NO CUMPLE")</f>
        <v>CUMPLE</v>
      </c>
      <c r="AN288" s="17" t="inlineStr">
        <is>
          <t>Nº3 cerrado</t>
        </is>
      </c>
      <c r="AO288" s="31" t="n">
        <v>2</v>
      </c>
      <c r="AP288" s="10">
        <f>ROUNDDOWN(MIN(IF(BC288+BD288=0,1000000000,AO288*BB288/(BC288+BD288)),MIN(U288,AB288)/4,8*'Parametros'!$B$12,24*BA288,300,IF(AV288=0,1000000000,2*((H288-2*('Parametros'!$B$7+'Parametros'!$B$9/2))+(I288-2*('Parametros'!$B$7+'Parametros'!$B$9/2)))/8))/10,0)*10</f>
        <v>120</v>
      </c>
      <c r="AQ288" s="10">
        <f>ROUNDDOWN(MIN(IF(BC288+BD288=0,1000000000,AO288*BB288/(BC288+BD288)),IF(AK288&gt;0.33*SQRT('Parametros'!$B$2)*H288*MIN(U288,AB288)/1000,MIN(U288,AB288)/4,MIN(U288,AB288)/2),600,IF(AV288=0,1000000000,2*((H288-2*('Parametros'!$B$7+'Parametros'!$B$9/2))+(I288-2*('Parametros'!$B$7+'Parametros'!$B$9/2)))/8))/10,0)*10</f>
        <v>240</v>
      </c>
      <c r="AR288" s="10">
        <f>'Parametros'!$B$6*(AJ288+MAX(BE288-BD288,0)*'Parametros'!$B$4*MIN(U288,AB288)/1000)</f>
        <v>347.479259018856</v>
      </c>
      <c r="AS288" s="10" t="str">
        <f>IF(AND(ISERROR(SEARCH("referencia",AN288)),AM288="CUMPLE",AR288&gt;=AI288),"CUMPLE","NO CUMPLE")</f>
        <v>CUMPLE</v>
      </c>
      <c r="AT288" s="10">
        <f>'Parametros'!$B$6*0.083*SQRT('Parametros'!$B$2)*(H288*I288)^2/(2*(H288+I288))/1000000</f>
        <v>11.862178757599</v>
      </c>
      <c r="AU288" s="10" t="str">
        <f>IF(Q288&lt;=AT288,"DESPRECIABLE","DISEÑAR")</f>
        <v>DESPRECIABLE</v>
      </c>
      <c r="AV288" s="10">
        <f>IF(Q288&lt;=AT288,0,Q288*1000000/('Parametros'!$B$6*2*0.85*(H288-2*('Parametros'!$B$7+'Parametros'!$B$9/2))*(I288-2*('Parametros'!$B$7+'Parametros'!$B$9/2))*'Parametros'!$B$4))</f>
        <v>0</v>
      </c>
      <c r="AW288" s="10">
        <f>AV288*2*((H288-2*('Parametros'!$B$7+'Parametros'!$B$9/2))+(I288-2*('Parametros'!$B$7+'Parametros'!$B$9/2)))*'Parametros'!$B$4/'Parametros'!$B$3</f>
        <v>0</v>
      </c>
      <c r="AX288" s="31" t="n">
        <v>0</v>
      </c>
      <c r="AY288" s="10" t="str">
        <f>IF(AV288=0,"DESPRECIABLE",IF(AND(ISERROR(SEARCH("referencia",AN288)),BB288/AP288&gt;=AV288,BI288&gt;=AW288,BH288="CUMPLE"),"CUMPLE","NO CUMPLE"))</f>
        <v>DESPRECIABLE</v>
      </c>
      <c r="AZ288" s="10" t="str">
        <f>IF(AND(X288="CUMPLE",AE288="CUMPLE",AS288="CUMPLE",OR(AY288="CUMPLE",AY288="DESPRECIABLE"),BH288="CUMPLE",BJ288="CUMPLE"),"CUMPLE","NO CUMPLE")</f>
        <v>CUMPLE</v>
      </c>
      <c r="BA288" s="32" t="n">
        <v>9.5</v>
      </c>
      <c r="BB288" s="32" t="n">
        <v>71</v>
      </c>
      <c r="BC288" s="10">
        <f>MAX(IF(AK288=0,0,AK288*1000/('Parametros'!$B$4*MIN(U288,AB288))),MAX(0.062*SQRT('Parametros'!$B$2)*H288/'Parametros'!$B$4,0.35*H288/'Parametros'!$B$4))</f>
        <v>0.543278514397658</v>
      </c>
      <c r="BD288" s="10">
        <f>2*AV288</f>
        <v>0</v>
      </c>
      <c r="BE288" s="10">
        <f>AO288*BB288/AP288</f>
        <v>1.18333333333333</v>
      </c>
      <c r="BF288" s="10">
        <f>SQRT((AI288*1000/(H288*MIN(U288,AB288)))^2+(Q288*1000000*2*((H288-2*('Parametros'!$B$7+'Parametros'!$B$9/2))+(I288-2*('Parametros'!$B$7+'Parametros'!$B$9/2)))/(1.7*((H288-2*('Parametros'!$B$7+'Parametros'!$B$9/2))*(I288-2*('Parametros'!$B$7+'Parametros'!$B$9/2)))^2))^2)</f>
        <v>1.03096400841581</v>
      </c>
      <c r="BG288" s="10">
        <f>'Parametros'!$B$6*(AJ288*1000/(H288*MIN(U288,AB288))+0.66*SQRT('Parametros'!$B$2))</f>
        <v>3.29396038227542</v>
      </c>
      <c r="BH288" s="10" t="str">
        <f>IF(BF288&lt;=BG288,"CUMPLE","NO CUMPLE")</f>
        <v>CUMPLE</v>
      </c>
      <c r="BI288" s="10">
        <f>AX288*'Parametros'!$B$8</f>
        <v>0</v>
      </c>
      <c r="BJ288" s="10" t="str">
        <f>IF(BI288&gt;=AW288,"CUMPLE","NO CUMPLE")</f>
        <v>CUMPLE</v>
      </c>
    </row>
    <row r="289">
      <c r="A289" s="23" t="inlineStr">
        <is>
          <t>VR1</t>
        </is>
      </c>
      <c r="B289" s="23" t="inlineStr">
        <is>
          <t>858</t>
        </is>
      </c>
      <c r="C289" s="10" t="n">
        <v>1</v>
      </c>
      <c r="D289" s="10" t="n">
        <v>3.4</v>
      </c>
      <c r="E289" s="10" t="n">
        <v>3.4</v>
      </c>
      <c r="F289" s="10" t="n">
        <v>500</v>
      </c>
      <c r="G289" s="10" t="n">
        <v>550</v>
      </c>
      <c r="H289" s="17" t="n">
        <v>500</v>
      </c>
      <c r="I289" s="17" t="n">
        <v>550</v>
      </c>
      <c r="J289" s="30" t="n">
        <v>115.1664</v>
      </c>
      <c r="K289" s="10" t="inlineStr">
        <is>
          <t>858</t>
        </is>
      </c>
      <c r="L289" s="30" t="n">
        <v>45.1046</v>
      </c>
      <c r="M289" s="10" t="inlineStr">
        <is>
          <t>858</t>
        </is>
      </c>
      <c r="N289" s="30" t="n">
        <v>105.245</v>
      </c>
      <c r="O289" s="30" t="n">
        <v>239.451</v>
      </c>
      <c r="P289" s="10" t="inlineStr">
        <is>
          <t>858</t>
        </is>
      </c>
      <c r="Q289" s="30" t="n">
        <v>5.825</v>
      </c>
      <c r="R289" s="10">
        <f>MAX(MAX(1.4/'Parametros'!$B$3,0.25*SQRT('Parametros'!$B$2)/'Parametros'!$B$3)*H289*U289,(0.85*'Parametros'!$B$2/'Parametros'!$B$3)*(1-SQRT(1-2*(J289*1000000/('Parametros'!$B$5*H289*U289^2))/(0.85*'Parametros'!$B$2)))*H289*U289)</f>
        <v>815.583333333333</v>
      </c>
      <c r="S289" s="31" t="n">
        <v>5</v>
      </c>
      <c r="T289" s="32" t="n">
        <v>1</v>
      </c>
      <c r="U289" s="10">
        <f>IF(T289=1,I289-('Parametros'!$B$7+'Parametros'!$B$9+'Parametros'!$B$12/2),I289-(ROUNDUP(S289/2,0)*('Parametros'!$B$7+'Parametros'!$B$9+'Parametros'!$B$12/2)+ROUNDDOWN(S289/2,0)*('Parametros'!$B$7+'Parametros'!$B$9+'Parametros'!$B$12/2+'Parametros'!$B$12+'Parametros'!$B$10))/S289)</f>
        <v>489.35</v>
      </c>
      <c r="V289" s="10">
        <f>S289*'Parametros'!$B$8</f>
        <v>995</v>
      </c>
      <c r="W289" s="10">
        <f>'Parametros'!$B$5*V289*'Parametros'!$B$3*(U289-(V289*'Parametros'!$B$3/(0.85*'Parametros'!$B$2*H289))/2)/1000000</f>
        <v>177.445379382353</v>
      </c>
      <c r="X289" s="10" t="str">
        <f>IF(W289&gt;=J289,"CUMPLE","NO CUMPLE")</f>
        <v>CUMPLE</v>
      </c>
      <c r="Y289" s="10">
        <f>MAX(MAX(1.4/'Parametros'!$B$3,0.25*SQRT('Parametros'!$B$2)/'Parametros'!$B$3)*H289*AB289,(0.85*'Parametros'!$B$2/'Parametros'!$B$3)*(1-SQRT(1-2*(L289*1000000/('Parametros'!$B$5*H289*AB289^2))/(0.85*'Parametros'!$B$2)))*H289*AB289)</f>
        <v>815.583333333333</v>
      </c>
      <c r="Z289" s="31" t="n">
        <v>5</v>
      </c>
      <c r="AA289" s="32" t="n">
        <v>1</v>
      </c>
      <c r="AB289" s="10">
        <f>IF(AA289=1,I289-('Parametros'!$B$7+'Parametros'!$B$9+'Parametros'!$B$12/2),I289-(ROUNDUP(Z289/2,0)*('Parametros'!$B$7+'Parametros'!$B$9+'Parametros'!$B$12/2)+ROUNDDOWN(Z289/2,0)*('Parametros'!$B$7+'Parametros'!$B$9+'Parametros'!$B$12/2+'Parametros'!$B$12+'Parametros'!$B$10))/Z289)</f>
        <v>489.35</v>
      </c>
      <c r="AC289" s="10">
        <f>Z289*'Parametros'!$B$8</f>
        <v>995</v>
      </c>
      <c r="AD289" s="10">
        <f>'Parametros'!$B$5*AC289*'Parametros'!$B$3*(AB289-(AC289*'Parametros'!$B$3/(0.85*'Parametros'!$B$2*H289))/2)/1000000</f>
        <v>177.445379382353</v>
      </c>
      <c r="AE289" s="10" t="str">
        <f>IF(AD289&gt;=L289,"CUMPLE","NO CUMPLE")</f>
        <v>CUMPLE</v>
      </c>
      <c r="AF289" s="10">
        <f>V289*1.25*'Parametros'!$B$3*(U289-(V289*1.25*'Parametros'!$B$3/(0.85*'Parametros'!$B$2*H289))/2)/1000000</f>
        <v>244.158843198529</v>
      </c>
      <c r="AG289" s="10">
        <f>AC289*1.25*'Parametros'!$B$3*(AB289-(AC289*1.25*'Parametros'!$B$3/(0.85*'Parametros'!$B$2*H289))/2)/1000000</f>
        <v>244.158843198529</v>
      </c>
      <c r="AH289" s="10">
        <f>N289+(AF289+AG289)/D289</f>
        <v>248.867848940311</v>
      </c>
      <c r="AI289" s="10">
        <f>MAX(O289,AH289)</f>
        <v>248.867848940311</v>
      </c>
      <c r="AJ289" s="10">
        <f>0.17*SQRT('Parametros'!$B$2)*H289*MIN(U289,AB289)/1000</f>
        <v>220.098728691808</v>
      </c>
      <c r="AK289" s="10">
        <f>MAX(AI289/'Parametros'!$B$6-AJ289,0)</f>
        <v>111.725069895274</v>
      </c>
      <c r="AL289" s="10">
        <f>0.66*SQRT('Parametros'!$B$2)*H289*MIN(U289,AB289)/1000</f>
        <v>854.500946685842</v>
      </c>
      <c r="AM289" s="10" t="str">
        <f>IF(AK289&lt;=AL289,"CUMPLE","NO CUMPLE")</f>
        <v>CUMPLE</v>
      </c>
      <c r="AN289" s="17" t="inlineStr">
        <is>
          <t>Nº3 cerrado</t>
        </is>
      </c>
      <c r="AO289" s="31" t="n">
        <v>2</v>
      </c>
      <c r="AP289" s="10">
        <f>ROUNDDOWN(MIN(IF(BC289+BD289=0,1000000000,AO289*BB289/(BC289+BD289)),MIN(U289,AB289)/4,8*'Parametros'!$B$12,24*BA289,300,IF(AV289=0,1000000000,2*((H289-2*('Parametros'!$B$7+'Parametros'!$B$9/2))+(I289-2*('Parametros'!$B$7+'Parametros'!$B$9/2)))/8))/10,0)*10</f>
        <v>120</v>
      </c>
      <c r="AQ289" s="10">
        <f>ROUNDDOWN(MIN(IF(BC289+BD289=0,1000000000,AO289*BB289/(BC289+BD289)),IF(AK289&gt;0.33*SQRT('Parametros'!$B$2)*H289*MIN(U289,AB289)/1000,MIN(U289,AB289)/4,MIN(U289,AB289)/2),600,IF(AV289=0,1000000000,2*((H289-2*('Parametros'!$B$7+'Parametros'!$B$9/2))+(I289-2*('Parametros'!$B$7+'Parametros'!$B$9/2)))/8))/10,0)*10</f>
        <v>240</v>
      </c>
      <c r="AR289" s="10">
        <f>'Parametros'!$B$6*(AJ289+MAX(BE289-BD289,0)*'Parametros'!$B$4*MIN(U289,AB289)/1000)</f>
        <v>347.479259018856</v>
      </c>
      <c r="AS289" s="10" t="str">
        <f>IF(AND(ISERROR(SEARCH("referencia",AN289)),AM289="CUMPLE",AR289&gt;=AI289),"CUMPLE","NO CUMPLE")</f>
        <v>CUMPLE</v>
      </c>
      <c r="AT289" s="10">
        <f>'Parametros'!$B$6*0.083*SQRT('Parametros'!$B$2)*(H289*I289)^2/(2*(H289+I289))/1000000</f>
        <v>11.862178757599</v>
      </c>
      <c r="AU289" s="10" t="str">
        <f>IF(Q289&lt;=AT289,"DESPRECIABLE","DISEÑAR")</f>
        <v>DESPRECIABLE</v>
      </c>
      <c r="AV289" s="10">
        <f>IF(Q289&lt;=AT289,0,Q289*1000000/('Parametros'!$B$6*2*0.85*(H289-2*('Parametros'!$B$7+'Parametros'!$B$9/2))*(I289-2*('Parametros'!$B$7+'Parametros'!$B$9/2))*'Parametros'!$B$4))</f>
        <v>0</v>
      </c>
      <c r="AW289" s="10">
        <f>AV289*2*((H289-2*('Parametros'!$B$7+'Parametros'!$B$9/2))+(I289-2*('Parametros'!$B$7+'Parametros'!$B$9/2)))*'Parametros'!$B$4/'Parametros'!$B$3</f>
        <v>0</v>
      </c>
      <c r="AX289" s="31" t="n">
        <v>0</v>
      </c>
      <c r="AY289" s="10" t="str">
        <f>IF(AV289=0,"DESPRECIABLE",IF(AND(ISERROR(SEARCH("referencia",AN289)),BB289/AP289&gt;=AV289,BI289&gt;=AW289,BH289="CUMPLE"),"CUMPLE","NO CUMPLE"))</f>
        <v>DESPRECIABLE</v>
      </c>
      <c r="AZ289" s="10" t="str">
        <f>IF(AND(X289="CUMPLE",AE289="CUMPLE",AS289="CUMPLE",OR(AY289="CUMPLE",AY289="DESPRECIABLE"),BH289="CUMPLE",BJ289="CUMPLE"),"CUMPLE","NO CUMPLE")</f>
        <v>CUMPLE</v>
      </c>
      <c r="BA289" s="32" t="n">
        <v>9.5</v>
      </c>
      <c r="BB289" s="32" t="n">
        <v>71</v>
      </c>
      <c r="BC289" s="10">
        <f>MAX(IF(AK289=0,0,AK289*1000/('Parametros'!$B$4*MIN(U289,AB289))),MAX(0.062*SQRT('Parametros'!$B$2)*H289/'Parametros'!$B$4,0.35*H289/'Parametros'!$B$4))</f>
        <v>0.543602883783027</v>
      </c>
      <c r="BD289" s="10">
        <f>2*AV289</f>
        <v>0</v>
      </c>
      <c r="BE289" s="10">
        <f>AO289*BB289/AP289</f>
        <v>1.18333333333333</v>
      </c>
      <c r="BF289" s="10">
        <f>SQRT((AI289*1000/(H289*MIN(U289,AB289)))^2+(Q289*1000000*2*((H289-2*('Parametros'!$B$7+'Parametros'!$B$9/2))+(I289-2*('Parametros'!$B$7+'Parametros'!$B$9/2)))/(1.7*((H289-2*('Parametros'!$B$7+'Parametros'!$B$9/2))*(I289-2*('Parametros'!$B$7+'Parametros'!$B$9/2)))^2))^2)</f>
        <v>1.03137553343167</v>
      </c>
      <c r="BG289" s="10">
        <f>'Parametros'!$B$6*(AJ289*1000/(H289*MIN(U289,AB289))+0.66*SQRT('Parametros'!$B$2))</f>
        <v>3.29396038227542</v>
      </c>
      <c r="BH289" s="10" t="str">
        <f>IF(BF289&lt;=BG289,"CUMPLE","NO CUMPLE")</f>
        <v>CUMPLE</v>
      </c>
      <c r="BI289" s="10">
        <f>AX289*'Parametros'!$B$8</f>
        <v>0</v>
      </c>
      <c r="BJ289" s="10" t="str">
        <f>IF(BI289&gt;=AW289,"CUMPLE","NO CUMPLE")</f>
        <v>CUMPLE</v>
      </c>
    </row>
    <row r="290">
      <c r="A290" s="23" t="inlineStr">
        <is>
          <t>VR1</t>
        </is>
      </c>
      <c r="B290" s="23" t="inlineStr">
        <is>
          <t>859</t>
        </is>
      </c>
      <c r="C290" s="10" t="n">
        <v>1</v>
      </c>
      <c r="D290" s="10" t="n">
        <v>1.9</v>
      </c>
      <c r="E290" s="10" t="n">
        <v>1.9</v>
      </c>
      <c r="F290" s="10" t="n">
        <v>500</v>
      </c>
      <c r="G290" s="10" t="n">
        <v>550</v>
      </c>
      <c r="H290" s="17" t="n">
        <v>500</v>
      </c>
      <c r="I290" s="17" t="n">
        <v>550</v>
      </c>
      <c r="J290" s="30" t="n">
        <v>94.81999999999999</v>
      </c>
      <c r="K290" s="10" t="inlineStr">
        <is>
          <t>859</t>
        </is>
      </c>
      <c r="L290" s="30" t="n">
        <v>57.0723</v>
      </c>
      <c r="M290" s="10" t="inlineStr">
        <is>
          <t>859</t>
        </is>
      </c>
      <c r="N290" s="30" t="n">
        <v>102.833</v>
      </c>
      <c r="O290" s="30" t="n">
        <v>302.364</v>
      </c>
      <c r="P290" s="10" t="inlineStr">
        <is>
          <t>859</t>
        </is>
      </c>
      <c r="Q290" s="30" t="n">
        <v>1.7771</v>
      </c>
      <c r="R290" s="10">
        <f>MAX(MAX(1.4/'Parametros'!$B$3,0.25*SQRT('Parametros'!$B$2)/'Parametros'!$B$3)*H290*U290,(0.85*'Parametros'!$B$2/'Parametros'!$B$3)*(1-SQRT(1-2*(J290*1000000/('Parametros'!$B$5*H290*U290^2))/(0.85*'Parametros'!$B$2)))*H290*U290)</f>
        <v>815.583333333333</v>
      </c>
      <c r="S290" s="31" t="n">
        <v>5</v>
      </c>
      <c r="T290" s="32" t="n">
        <v>1</v>
      </c>
      <c r="U290" s="10">
        <f>IF(T290=1,I290-('Parametros'!$B$7+'Parametros'!$B$9+'Parametros'!$B$12/2),I290-(ROUNDUP(S290/2,0)*('Parametros'!$B$7+'Parametros'!$B$9+'Parametros'!$B$12/2)+ROUNDDOWN(S290/2,0)*('Parametros'!$B$7+'Parametros'!$B$9+'Parametros'!$B$12/2+'Parametros'!$B$12+'Parametros'!$B$10))/S290)</f>
        <v>489.35</v>
      </c>
      <c r="V290" s="10">
        <f>S290*'Parametros'!$B$8</f>
        <v>995</v>
      </c>
      <c r="W290" s="10">
        <f>'Parametros'!$B$5*V290*'Parametros'!$B$3*(U290-(V290*'Parametros'!$B$3/(0.85*'Parametros'!$B$2*H290))/2)/1000000</f>
        <v>177.445379382353</v>
      </c>
      <c r="X290" s="10" t="str">
        <f>IF(W290&gt;=J290,"CUMPLE","NO CUMPLE")</f>
        <v>CUMPLE</v>
      </c>
      <c r="Y290" s="10">
        <f>MAX(MAX(1.4/'Parametros'!$B$3,0.25*SQRT('Parametros'!$B$2)/'Parametros'!$B$3)*H290*AB290,(0.85*'Parametros'!$B$2/'Parametros'!$B$3)*(1-SQRT(1-2*(L290*1000000/('Parametros'!$B$5*H290*AB290^2))/(0.85*'Parametros'!$B$2)))*H290*AB290)</f>
        <v>815.583333333333</v>
      </c>
      <c r="Z290" s="31" t="n">
        <v>5</v>
      </c>
      <c r="AA290" s="32" t="n">
        <v>1</v>
      </c>
      <c r="AB290" s="10">
        <f>IF(AA290=1,I290-('Parametros'!$B$7+'Parametros'!$B$9+'Parametros'!$B$12/2),I290-(ROUNDUP(Z290/2,0)*('Parametros'!$B$7+'Parametros'!$B$9+'Parametros'!$B$12/2)+ROUNDDOWN(Z290/2,0)*('Parametros'!$B$7+'Parametros'!$B$9+'Parametros'!$B$12/2+'Parametros'!$B$12+'Parametros'!$B$10))/Z290)</f>
        <v>489.35</v>
      </c>
      <c r="AC290" s="10">
        <f>Z290*'Parametros'!$B$8</f>
        <v>995</v>
      </c>
      <c r="AD290" s="10">
        <f>'Parametros'!$B$5*AC290*'Parametros'!$B$3*(AB290-(AC290*'Parametros'!$B$3/(0.85*'Parametros'!$B$2*H290))/2)/1000000</f>
        <v>177.445379382353</v>
      </c>
      <c r="AE290" s="10" t="str">
        <f>IF(AD290&gt;=L290,"CUMPLE","NO CUMPLE")</f>
        <v>CUMPLE</v>
      </c>
      <c r="AF290" s="10">
        <f>V290*1.25*'Parametros'!$B$3*(U290-(V290*1.25*'Parametros'!$B$3/(0.85*'Parametros'!$B$2*H290))/2)/1000000</f>
        <v>244.158843198529</v>
      </c>
      <c r="AG290" s="10">
        <f>AC290*1.25*'Parametros'!$B$3*(AB290-(AC290*1.25*'Parametros'!$B$3/(0.85*'Parametros'!$B$2*H290))/2)/1000000</f>
        <v>244.158843198529</v>
      </c>
      <c r="AH290" s="10">
        <f>N290+(AF290+AG290)/D290</f>
        <v>359.842308630031</v>
      </c>
      <c r="AI290" s="10">
        <f>MAX(O290,AH290)</f>
        <v>359.842308630031</v>
      </c>
      <c r="AJ290" s="10">
        <f>0.17*SQRT('Parametros'!$B$2)*H290*MIN(U290,AB290)/1000</f>
        <v>220.098728691808</v>
      </c>
      <c r="AK290" s="10">
        <f>MAX(AI290/'Parametros'!$B$6-AJ290,0)</f>
        <v>259.691016148234</v>
      </c>
      <c r="AL290" s="10">
        <f>0.66*SQRT('Parametros'!$B$2)*H290*MIN(U290,AB290)/1000</f>
        <v>854.500946685842</v>
      </c>
      <c r="AM290" s="10" t="str">
        <f>IF(AK290&lt;=AL290,"CUMPLE","NO CUMPLE")</f>
        <v>CUMPLE</v>
      </c>
      <c r="AN290" s="17" t="inlineStr">
        <is>
          <t>Nº3 cerrado</t>
        </is>
      </c>
      <c r="AO290" s="31" t="n">
        <v>2</v>
      </c>
      <c r="AP290" s="10">
        <f>ROUNDDOWN(MIN(IF(BC290+BD290=0,1000000000,AO290*BB290/(BC290+BD290)),MIN(U290,AB290)/4,8*'Parametros'!$B$12,24*BA290,300,IF(AV290=0,1000000000,2*((H290-2*('Parametros'!$B$7+'Parametros'!$B$9/2))+(I290-2*('Parametros'!$B$7+'Parametros'!$B$9/2)))/8))/10,0)*10</f>
        <v>110</v>
      </c>
      <c r="AQ290" s="10">
        <f>ROUNDDOWN(MIN(IF(BC290+BD290=0,1000000000,AO290*BB290/(BC290+BD290)),IF(AK290&gt;0.33*SQRT('Parametros'!$B$2)*H290*MIN(U290,AB290)/1000,MIN(U290,AB290)/4,MIN(U290,AB290)/2),600,IF(AV290=0,1000000000,2*((H290-2*('Parametros'!$B$7+'Parametros'!$B$9/2))+(I290-2*('Parametros'!$B$7+'Parametros'!$B$9/2)))/8))/10,0)*10</f>
        <v>110</v>
      </c>
      <c r="AR290" s="10">
        <f>'Parametros'!$B$6*(AJ290+MAX(BE290-BD290,0)*'Parametros'!$B$4*MIN(U290,AB290)/1000)</f>
        <v>364.06155106431</v>
      </c>
      <c r="AS290" s="10" t="str">
        <f>IF(AND(ISERROR(SEARCH("referencia",AN290)),AM290="CUMPLE",AR290&gt;=AI290),"CUMPLE","NO CUMPLE")</f>
        <v>CUMPLE</v>
      </c>
      <c r="AT290" s="10">
        <f>'Parametros'!$B$6*0.083*SQRT('Parametros'!$B$2)*(H290*I290)^2/(2*(H290+I290))/1000000</f>
        <v>11.862178757599</v>
      </c>
      <c r="AU290" s="10" t="str">
        <f>IF(Q290&lt;=AT290,"DESPRECIABLE","DISEÑAR")</f>
        <v>DESPRECIABLE</v>
      </c>
      <c r="AV290" s="10">
        <f>IF(Q290&lt;=AT290,0,Q290*1000000/('Parametros'!$B$6*2*0.85*(H290-2*('Parametros'!$B$7+'Parametros'!$B$9/2))*(I290-2*('Parametros'!$B$7+'Parametros'!$B$9/2))*'Parametros'!$B$4))</f>
        <v>0</v>
      </c>
      <c r="AW290" s="10">
        <f>AV290*2*((H290-2*('Parametros'!$B$7+'Parametros'!$B$9/2))+(I290-2*('Parametros'!$B$7+'Parametros'!$B$9/2)))*'Parametros'!$B$4/'Parametros'!$B$3</f>
        <v>0</v>
      </c>
      <c r="AX290" s="31" t="n">
        <v>0</v>
      </c>
      <c r="AY290" s="10" t="str">
        <f>IF(AV290=0,"DESPRECIABLE",IF(AND(ISERROR(SEARCH("referencia",AN290)),BB290/AP290&gt;=AV290,BI290&gt;=AW290,BH290="CUMPLE"),"CUMPLE","NO CUMPLE"))</f>
        <v>DESPRECIABLE</v>
      </c>
      <c r="AZ290" s="10" t="str">
        <f>IF(AND(X290="CUMPLE",AE290="CUMPLE",AS290="CUMPLE",OR(AY290="CUMPLE",AY290="DESPRECIABLE"),BH290="CUMPLE",BJ290="CUMPLE"),"CUMPLE","NO CUMPLE")</f>
        <v>CUMPLE</v>
      </c>
      <c r="BA290" s="32" t="n">
        <v>9.5</v>
      </c>
      <c r="BB290" s="32" t="n">
        <v>71</v>
      </c>
      <c r="BC290" s="10">
        <f>MAX(IF(AK290=0,0,AK290*1000/('Parametros'!$B$4*MIN(U290,AB290))),MAX(0.062*SQRT('Parametros'!$B$2)*H290/'Parametros'!$B$4,0.35*H290/'Parametros'!$B$4))</f>
        <v>1.26353722940652</v>
      </c>
      <c r="BD290" s="10">
        <f>2*AV290</f>
        <v>0</v>
      </c>
      <c r="BE290" s="10">
        <f>AO290*BB290/AP290</f>
        <v>1.29090909090909</v>
      </c>
      <c r="BF290" s="10">
        <f>SQRT((AI290*1000/(H290*MIN(U290,AB290)))^2+(Q290*1000000*2*((H290-2*('Parametros'!$B$7+'Parametros'!$B$9/2))+(I290-2*('Parametros'!$B$7+'Parametros'!$B$9/2)))/(1.7*((H290-2*('Parametros'!$B$7+'Parametros'!$B$9/2))*(I290-2*('Parametros'!$B$7+'Parametros'!$B$9/2)))^2))^2)</f>
        <v>1.47161774849119</v>
      </c>
      <c r="BG290" s="10">
        <f>'Parametros'!$B$6*(AJ290*1000/(H290*MIN(U290,AB290))+0.66*SQRT('Parametros'!$B$2))</f>
        <v>3.29396038227542</v>
      </c>
      <c r="BH290" s="10" t="str">
        <f>IF(BF290&lt;=BG290,"CUMPLE","NO CUMPLE")</f>
        <v>CUMPLE</v>
      </c>
      <c r="BI290" s="10">
        <f>AX290*'Parametros'!$B$8</f>
        <v>0</v>
      </c>
      <c r="BJ290" s="10" t="str">
        <f>IF(BI290&gt;=AW290,"CUMPLE","NO CUMPLE")</f>
        <v>CUMPLE</v>
      </c>
    </row>
    <row r="291">
      <c r="A291" s="23" t="inlineStr">
        <is>
          <t>VR1</t>
        </is>
      </c>
      <c r="B291" s="23" t="inlineStr">
        <is>
          <t>860</t>
        </is>
      </c>
      <c r="C291" s="10" t="n">
        <v>1</v>
      </c>
      <c r="D291" s="10" t="n">
        <v>2</v>
      </c>
      <c r="E291" s="10" t="n">
        <v>2</v>
      </c>
      <c r="F291" s="10" t="n">
        <v>500</v>
      </c>
      <c r="G291" s="10" t="n">
        <v>550</v>
      </c>
      <c r="H291" s="17" t="n">
        <v>500</v>
      </c>
      <c r="I291" s="17" t="n">
        <v>550</v>
      </c>
      <c r="J291" s="30" t="n">
        <v>89.3481</v>
      </c>
      <c r="K291" s="10" t="inlineStr">
        <is>
          <t>860</t>
        </is>
      </c>
      <c r="L291" s="30" t="n">
        <v>50.6315</v>
      </c>
      <c r="M291" s="10" t="inlineStr">
        <is>
          <t>860</t>
        </is>
      </c>
      <c r="N291" s="30" t="n">
        <v>96.732</v>
      </c>
      <c r="O291" s="30" t="n">
        <v>279.839</v>
      </c>
      <c r="P291" s="10" t="inlineStr">
        <is>
          <t>860</t>
        </is>
      </c>
      <c r="Q291" s="30" t="n">
        <v>3.1341</v>
      </c>
      <c r="R291" s="10">
        <f>MAX(MAX(1.4/'Parametros'!$B$3,0.25*SQRT('Parametros'!$B$2)/'Parametros'!$B$3)*H291*U291,(0.85*'Parametros'!$B$2/'Parametros'!$B$3)*(1-SQRT(1-2*(J291*1000000/('Parametros'!$B$5*H291*U291^2))/(0.85*'Parametros'!$B$2)))*H291*U291)</f>
        <v>815.583333333333</v>
      </c>
      <c r="S291" s="31" t="n">
        <v>5</v>
      </c>
      <c r="T291" s="32" t="n">
        <v>1</v>
      </c>
      <c r="U291" s="10">
        <f>IF(T291=1,I291-('Parametros'!$B$7+'Parametros'!$B$9+'Parametros'!$B$12/2),I291-(ROUNDUP(S291/2,0)*('Parametros'!$B$7+'Parametros'!$B$9+'Parametros'!$B$12/2)+ROUNDDOWN(S291/2,0)*('Parametros'!$B$7+'Parametros'!$B$9+'Parametros'!$B$12/2+'Parametros'!$B$12+'Parametros'!$B$10))/S291)</f>
        <v>489.35</v>
      </c>
      <c r="V291" s="10">
        <f>S291*'Parametros'!$B$8</f>
        <v>995</v>
      </c>
      <c r="W291" s="10">
        <f>'Parametros'!$B$5*V291*'Parametros'!$B$3*(U291-(V291*'Parametros'!$B$3/(0.85*'Parametros'!$B$2*H291))/2)/1000000</f>
        <v>177.445379382353</v>
      </c>
      <c r="X291" s="10" t="str">
        <f>IF(W291&gt;=J291,"CUMPLE","NO CUMPLE")</f>
        <v>CUMPLE</v>
      </c>
      <c r="Y291" s="10">
        <f>MAX(MAX(1.4/'Parametros'!$B$3,0.25*SQRT('Parametros'!$B$2)/'Parametros'!$B$3)*H291*AB291,(0.85*'Parametros'!$B$2/'Parametros'!$B$3)*(1-SQRT(1-2*(L291*1000000/('Parametros'!$B$5*H291*AB291^2))/(0.85*'Parametros'!$B$2)))*H291*AB291)</f>
        <v>815.583333333333</v>
      </c>
      <c r="Z291" s="31" t="n">
        <v>5</v>
      </c>
      <c r="AA291" s="32" t="n">
        <v>1</v>
      </c>
      <c r="AB291" s="10">
        <f>IF(AA291=1,I291-('Parametros'!$B$7+'Parametros'!$B$9+'Parametros'!$B$12/2),I291-(ROUNDUP(Z291/2,0)*('Parametros'!$B$7+'Parametros'!$B$9+'Parametros'!$B$12/2)+ROUNDDOWN(Z291/2,0)*('Parametros'!$B$7+'Parametros'!$B$9+'Parametros'!$B$12/2+'Parametros'!$B$12+'Parametros'!$B$10))/Z291)</f>
        <v>489.35</v>
      </c>
      <c r="AC291" s="10">
        <f>Z291*'Parametros'!$B$8</f>
        <v>995</v>
      </c>
      <c r="AD291" s="10">
        <f>'Parametros'!$B$5*AC291*'Parametros'!$B$3*(AB291-(AC291*'Parametros'!$B$3/(0.85*'Parametros'!$B$2*H291))/2)/1000000</f>
        <v>177.445379382353</v>
      </c>
      <c r="AE291" s="10" t="str">
        <f>IF(AD291&gt;=L291,"CUMPLE","NO CUMPLE")</f>
        <v>CUMPLE</v>
      </c>
      <c r="AF291" s="10">
        <f>V291*1.25*'Parametros'!$B$3*(U291-(V291*1.25*'Parametros'!$B$3/(0.85*'Parametros'!$B$2*H291))/2)/1000000</f>
        <v>244.158843198529</v>
      </c>
      <c r="AG291" s="10">
        <f>AC291*1.25*'Parametros'!$B$3*(AB291-(AC291*1.25*'Parametros'!$B$3/(0.85*'Parametros'!$B$2*H291))/2)/1000000</f>
        <v>244.158843198529</v>
      </c>
      <c r="AH291" s="10">
        <f>N291+(AF291+AG291)/D291</f>
        <v>340.890843198529</v>
      </c>
      <c r="AI291" s="10">
        <f>MAX(O291,AH291)</f>
        <v>340.890843198529</v>
      </c>
      <c r="AJ291" s="10">
        <f>0.17*SQRT('Parametros'!$B$2)*H291*MIN(U291,AB291)/1000</f>
        <v>220.098728691808</v>
      </c>
      <c r="AK291" s="10">
        <f>MAX(AI291/'Parametros'!$B$6-AJ291,0)</f>
        <v>234.422395572898</v>
      </c>
      <c r="AL291" s="10">
        <f>0.66*SQRT('Parametros'!$B$2)*H291*MIN(U291,AB291)/1000</f>
        <v>854.500946685842</v>
      </c>
      <c r="AM291" s="10" t="str">
        <f>IF(AK291&lt;=AL291,"CUMPLE","NO CUMPLE")</f>
        <v>CUMPLE</v>
      </c>
      <c r="AN291" s="17" t="inlineStr">
        <is>
          <t>Nº3 cerrado</t>
        </is>
      </c>
      <c r="AO291" s="31" t="n">
        <v>2</v>
      </c>
      <c r="AP291" s="10">
        <f>ROUNDDOWN(MIN(IF(BC291+BD291=0,1000000000,AO291*BB291/(BC291+BD291)),MIN(U291,AB291)/4,8*'Parametros'!$B$12,24*BA291,300,IF(AV291=0,1000000000,2*((H291-2*('Parametros'!$B$7+'Parametros'!$B$9/2))+(I291-2*('Parametros'!$B$7+'Parametros'!$B$9/2)))/8))/10,0)*10</f>
        <v>120</v>
      </c>
      <c r="AQ291" s="10">
        <f>ROUNDDOWN(MIN(IF(BC291+BD291=0,1000000000,AO291*BB291/(BC291+BD291)),IF(AK291&gt;0.33*SQRT('Parametros'!$B$2)*H291*MIN(U291,AB291)/1000,MIN(U291,AB291)/4,MIN(U291,AB291)/2),600,IF(AV291=0,1000000000,2*((H291-2*('Parametros'!$B$7+'Parametros'!$B$9/2))+(I291-2*('Parametros'!$B$7+'Parametros'!$B$9/2)))/8))/10,0)*10</f>
        <v>120</v>
      </c>
      <c r="AR291" s="10">
        <f>'Parametros'!$B$6*(AJ291+MAX(BE291-BD291,0)*'Parametros'!$B$4*MIN(U291,AB291)/1000)</f>
        <v>347.479259018856</v>
      </c>
      <c r="AS291" s="10" t="str">
        <f>IF(AND(ISERROR(SEARCH("referencia",AN291)),AM291="CUMPLE",AR291&gt;=AI291),"CUMPLE","NO CUMPLE")</f>
        <v>CUMPLE</v>
      </c>
      <c r="AT291" s="10">
        <f>'Parametros'!$B$6*0.083*SQRT('Parametros'!$B$2)*(H291*I291)^2/(2*(H291+I291))/1000000</f>
        <v>11.862178757599</v>
      </c>
      <c r="AU291" s="10" t="str">
        <f>IF(Q291&lt;=AT291,"DESPRECIABLE","DISEÑAR")</f>
        <v>DESPRECIABLE</v>
      </c>
      <c r="AV291" s="10">
        <f>IF(Q291&lt;=AT291,0,Q291*1000000/('Parametros'!$B$6*2*0.85*(H291-2*('Parametros'!$B$7+'Parametros'!$B$9/2))*(I291-2*('Parametros'!$B$7+'Parametros'!$B$9/2))*'Parametros'!$B$4))</f>
        <v>0</v>
      </c>
      <c r="AW291" s="10">
        <f>AV291*2*((H291-2*('Parametros'!$B$7+'Parametros'!$B$9/2))+(I291-2*('Parametros'!$B$7+'Parametros'!$B$9/2)))*'Parametros'!$B$4/'Parametros'!$B$3</f>
        <v>0</v>
      </c>
      <c r="AX291" s="31" t="n">
        <v>0</v>
      </c>
      <c r="AY291" s="10" t="str">
        <f>IF(AV291=0,"DESPRECIABLE",IF(AND(ISERROR(SEARCH("referencia",AN291)),BB291/AP291&gt;=AV291,BI291&gt;=AW291,BH291="CUMPLE"),"CUMPLE","NO CUMPLE"))</f>
        <v>DESPRECIABLE</v>
      </c>
      <c r="AZ291" s="10" t="str">
        <f>IF(AND(X291="CUMPLE",AE291="CUMPLE",AS291="CUMPLE",OR(AY291="CUMPLE",AY291="DESPRECIABLE"),BH291="CUMPLE",BJ291="CUMPLE"),"CUMPLE","NO CUMPLE")</f>
        <v>CUMPLE</v>
      </c>
      <c r="BA291" s="32" t="n">
        <v>9.5</v>
      </c>
      <c r="BB291" s="32" t="n">
        <v>71</v>
      </c>
      <c r="BC291" s="10">
        <f>MAX(IF(AK291=0,0,AK291*1000/('Parametros'!$B$4*MIN(U291,AB291))),MAX(0.062*SQRT('Parametros'!$B$2)*H291/'Parametros'!$B$4,0.35*H291/'Parametros'!$B$4))</f>
        <v>1.14059172552948</v>
      </c>
      <c r="BD291" s="10">
        <f>2*AV291</f>
        <v>0</v>
      </c>
      <c r="BE291" s="10">
        <f>AO291*BB291/AP291</f>
        <v>1.18333333333333</v>
      </c>
      <c r="BF291" s="10">
        <f>SQRT((AI291*1000/(H291*MIN(U291,AB291)))^2+(Q291*1000000*2*((H291-2*('Parametros'!$B$7+'Parametros'!$B$9/2))+(I291-2*('Parametros'!$B$7+'Parametros'!$B$9/2)))/(1.7*((H291-2*('Parametros'!$B$7+'Parametros'!$B$9/2))*(I291-2*('Parametros'!$B$7+'Parametros'!$B$9/2)))^2))^2)</f>
        <v>1.39626648408026</v>
      </c>
      <c r="BG291" s="10">
        <f>'Parametros'!$B$6*(AJ291*1000/(H291*MIN(U291,AB291))+0.66*SQRT('Parametros'!$B$2))</f>
        <v>3.29396038227542</v>
      </c>
      <c r="BH291" s="10" t="str">
        <f>IF(BF291&lt;=BG291,"CUMPLE","NO CUMPLE")</f>
        <v>CUMPLE</v>
      </c>
      <c r="BI291" s="10">
        <f>AX291*'Parametros'!$B$8</f>
        <v>0</v>
      </c>
      <c r="BJ291" s="10" t="str">
        <f>IF(BI291&gt;=AW291,"CUMPLE","NO CUMPLE")</f>
        <v>CUMPLE</v>
      </c>
    </row>
    <row r="292">
      <c r="A292" s="23" t="inlineStr">
        <is>
          <t>VR1</t>
        </is>
      </c>
      <c r="B292" s="23" t="inlineStr">
        <is>
          <t>861</t>
        </is>
      </c>
      <c r="C292" s="10" t="n">
        <v>1</v>
      </c>
      <c r="D292" s="10" t="n">
        <v>3.05</v>
      </c>
      <c r="E292" s="10" t="n">
        <v>3.05</v>
      </c>
      <c r="F292" s="10" t="n">
        <v>500</v>
      </c>
      <c r="G292" s="10" t="n">
        <v>550</v>
      </c>
      <c r="H292" s="17" t="n">
        <v>500</v>
      </c>
      <c r="I292" s="17" t="n">
        <v>550</v>
      </c>
      <c r="J292" s="30" t="n">
        <v>113.3476</v>
      </c>
      <c r="K292" s="10" t="inlineStr">
        <is>
          <t>861</t>
        </is>
      </c>
      <c r="L292" s="30" t="n">
        <v>55.0622</v>
      </c>
      <c r="M292" s="10" t="inlineStr">
        <is>
          <t>861</t>
        </is>
      </c>
      <c r="N292" s="30" t="n">
        <v>105.688</v>
      </c>
      <c r="O292" s="30" t="n">
        <v>269.251</v>
      </c>
      <c r="P292" s="10" t="inlineStr">
        <is>
          <t>861</t>
        </is>
      </c>
      <c r="Q292" s="30" t="n">
        <v>1.2949</v>
      </c>
      <c r="R292" s="10">
        <f>MAX(MAX(1.4/'Parametros'!$B$3,0.25*SQRT('Parametros'!$B$2)/'Parametros'!$B$3)*H292*U292,(0.85*'Parametros'!$B$2/'Parametros'!$B$3)*(1-SQRT(1-2*(J292*1000000/('Parametros'!$B$5*H292*U292^2))/(0.85*'Parametros'!$B$2)))*H292*U292)</f>
        <v>815.583333333333</v>
      </c>
      <c r="S292" s="31" t="n">
        <v>5</v>
      </c>
      <c r="T292" s="32" t="n">
        <v>1</v>
      </c>
      <c r="U292" s="10">
        <f>IF(T292=1,I292-('Parametros'!$B$7+'Parametros'!$B$9+'Parametros'!$B$12/2),I292-(ROUNDUP(S292/2,0)*('Parametros'!$B$7+'Parametros'!$B$9+'Parametros'!$B$12/2)+ROUNDDOWN(S292/2,0)*('Parametros'!$B$7+'Parametros'!$B$9+'Parametros'!$B$12/2+'Parametros'!$B$12+'Parametros'!$B$10))/S292)</f>
        <v>489.35</v>
      </c>
      <c r="V292" s="10">
        <f>S292*'Parametros'!$B$8</f>
        <v>995</v>
      </c>
      <c r="W292" s="10">
        <f>'Parametros'!$B$5*V292*'Parametros'!$B$3*(U292-(V292*'Parametros'!$B$3/(0.85*'Parametros'!$B$2*H292))/2)/1000000</f>
        <v>177.445379382353</v>
      </c>
      <c r="X292" s="10" t="str">
        <f>IF(W292&gt;=J292,"CUMPLE","NO CUMPLE")</f>
        <v>CUMPLE</v>
      </c>
      <c r="Y292" s="10">
        <f>MAX(MAX(1.4/'Parametros'!$B$3,0.25*SQRT('Parametros'!$B$2)/'Parametros'!$B$3)*H292*AB292,(0.85*'Parametros'!$B$2/'Parametros'!$B$3)*(1-SQRT(1-2*(L292*1000000/('Parametros'!$B$5*H292*AB292^2))/(0.85*'Parametros'!$B$2)))*H292*AB292)</f>
        <v>815.583333333333</v>
      </c>
      <c r="Z292" s="31" t="n">
        <v>5</v>
      </c>
      <c r="AA292" s="32" t="n">
        <v>1</v>
      </c>
      <c r="AB292" s="10">
        <f>IF(AA292=1,I292-('Parametros'!$B$7+'Parametros'!$B$9+'Parametros'!$B$12/2),I292-(ROUNDUP(Z292/2,0)*('Parametros'!$B$7+'Parametros'!$B$9+'Parametros'!$B$12/2)+ROUNDDOWN(Z292/2,0)*('Parametros'!$B$7+'Parametros'!$B$9+'Parametros'!$B$12/2+'Parametros'!$B$12+'Parametros'!$B$10))/Z292)</f>
        <v>489.35</v>
      </c>
      <c r="AC292" s="10">
        <f>Z292*'Parametros'!$B$8</f>
        <v>995</v>
      </c>
      <c r="AD292" s="10">
        <f>'Parametros'!$B$5*AC292*'Parametros'!$B$3*(AB292-(AC292*'Parametros'!$B$3/(0.85*'Parametros'!$B$2*H292))/2)/1000000</f>
        <v>177.445379382353</v>
      </c>
      <c r="AE292" s="10" t="str">
        <f>IF(AD292&gt;=L292,"CUMPLE","NO CUMPLE")</f>
        <v>CUMPLE</v>
      </c>
      <c r="AF292" s="10">
        <f>V292*1.25*'Parametros'!$B$3*(U292-(V292*1.25*'Parametros'!$B$3/(0.85*'Parametros'!$B$2*H292))/2)/1000000</f>
        <v>244.158843198529</v>
      </c>
      <c r="AG292" s="10">
        <f>AC292*1.25*'Parametros'!$B$3*(AB292-(AC292*1.25*'Parametros'!$B$3/(0.85*'Parametros'!$B$2*H292))/2)/1000000</f>
        <v>244.158843198529</v>
      </c>
      <c r="AH292" s="10">
        <f>N292+(AF292+AG292)/D292</f>
        <v>265.792159474446</v>
      </c>
      <c r="AI292" s="10">
        <f>MAX(O292,AH292)</f>
        <v>269.251</v>
      </c>
      <c r="AJ292" s="10">
        <f>0.17*SQRT('Parametros'!$B$2)*H292*MIN(U292,AB292)/1000</f>
        <v>220.098728691808</v>
      </c>
      <c r="AK292" s="10">
        <f>MAX(AI292/'Parametros'!$B$6-AJ292,0)</f>
        <v>138.902604641526</v>
      </c>
      <c r="AL292" s="10">
        <f>0.66*SQRT('Parametros'!$B$2)*H292*MIN(U292,AB292)/1000</f>
        <v>854.500946685842</v>
      </c>
      <c r="AM292" s="10" t="str">
        <f>IF(AK292&lt;=AL292,"CUMPLE","NO CUMPLE")</f>
        <v>CUMPLE</v>
      </c>
      <c r="AN292" s="17" t="inlineStr">
        <is>
          <t>Nº3 cerrado</t>
        </is>
      </c>
      <c r="AO292" s="31" t="n">
        <v>2</v>
      </c>
      <c r="AP292" s="10">
        <f>ROUNDDOWN(MIN(IF(BC292+BD292=0,1000000000,AO292*BB292/(BC292+BD292)),MIN(U292,AB292)/4,8*'Parametros'!$B$12,24*BA292,300,IF(AV292=0,1000000000,2*((H292-2*('Parametros'!$B$7+'Parametros'!$B$9/2))+(I292-2*('Parametros'!$B$7+'Parametros'!$B$9/2)))/8))/10,0)*10</f>
        <v>120</v>
      </c>
      <c r="AQ292" s="10">
        <f>ROUNDDOWN(MIN(IF(BC292+BD292=0,1000000000,AO292*BB292/(BC292+BD292)),IF(AK292&gt;0.33*SQRT('Parametros'!$B$2)*H292*MIN(U292,AB292)/1000,MIN(U292,AB292)/4,MIN(U292,AB292)/2),600,IF(AV292=0,1000000000,2*((H292-2*('Parametros'!$B$7+'Parametros'!$B$9/2))+(I292-2*('Parametros'!$B$7+'Parametros'!$B$9/2)))/8))/10,0)*10</f>
        <v>210</v>
      </c>
      <c r="AR292" s="10">
        <f>'Parametros'!$B$6*(AJ292+MAX(BE292-BD292,0)*'Parametros'!$B$4*MIN(U292,AB292)/1000)</f>
        <v>347.479259018856</v>
      </c>
      <c r="AS292" s="10" t="str">
        <f>IF(AND(ISERROR(SEARCH("referencia",AN292)),AM292="CUMPLE",AR292&gt;=AI292),"CUMPLE","NO CUMPLE")</f>
        <v>CUMPLE</v>
      </c>
      <c r="AT292" s="10">
        <f>'Parametros'!$B$6*0.083*SQRT('Parametros'!$B$2)*(H292*I292)^2/(2*(H292+I292))/1000000</f>
        <v>11.862178757599</v>
      </c>
      <c r="AU292" s="10" t="str">
        <f>IF(Q292&lt;=AT292,"DESPRECIABLE","DISEÑAR")</f>
        <v>DESPRECIABLE</v>
      </c>
      <c r="AV292" s="10">
        <f>IF(Q292&lt;=AT292,0,Q292*1000000/('Parametros'!$B$6*2*0.85*(H292-2*('Parametros'!$B$7+'Parametros'!$B$9/2))*(I292-2*('Parametros'!$B$7+'Parametros'!$B$9/2))*'Parametros'!$B$4))</f>
        <v>0</v>
      </c>
      <c r="AW292" s="10">
        <f>AV292*2*((H292-2*('Parametros'!$B$7+'Parametros'!$B$9/2))+(I292-2*('Parametros'!$B$7+'Parametros'!$B$9/2)))*'Parametros'!$B$4/'Parametros'!$B$3</f>
        <v>0</v>
      </c>
      <c r="AX292" s="31" t="n">
        <v>0</v>
      </c>
      <c r="AY292" s="10" t="str">
        <f>IF(AV292=0,"DESPRECIABLE",IF(AND(ISERROR(SEARCH("referencia",AN292)),BB292/AP292&gt;=AV292,BI292&gt;=AW292,BH292="CUMPLE"),"CUMPLE","NO CUMPLE"))</f>
        <v>DESPRECIABLE</v>
      </c>
      <c r="AZ292" s="10" t="str">
        <f>IF(AND(X292="CUMPLE",AE292="CUMPLE",AS292="CUMPLE",OR(AY292="CUMPLE",AY292="DESPRECIABLE"),BH292="CUMPLE",BJ292="CUMPLE"),"CUMPLE","NO CUMPLE")</f>
        <v>CUMPLE</v>
      </c>
      <c r="BA292" s="32" t="n">
        <v>9.5</v>
      </c>
      <c r="BB292" s="32" t="n">
        <v>71</v>
      </c>
      <c r="BC292" s="10">
        <f>MAX(IF(AK292=0,0,AK292*1000/('Parametros'!$B$4*MIN(U292,AB292))),MAX(0.062*SQRT('Parametros'!$B$2)*H292/'Parametros'!$B$4,0.35*H292/'Parametros'!$B$4))</f>
        <v>0.675836287405186</v>
      </c>
      <c r="BD292" s="10">
        <f>2*AV292</f>
        <v>0</v>
      </c>
      <c r="BE292" s="10">
        <f>AO292*BB292/AP292</f>
        <v>1.18333333333333</v>
      </c>
      <c r="BF292" s="10">
        <f>SQRT((AI292*1000/(H292*MIN(U292,AB292)))^2+(Q292*1000000*2*((H292-2*('Parametros'!$B$7+'Parametros'!$B$9/2))+(I292-2*('Parametros'!$B$7+'Parametros'!$B$9/2)))/(1.7*((H292-2*('Parametros'!$B$7+'Parametros'!$B$9/2))*(I292-2*('Parametros'!$B$7+'Parametros'!$B$9/2)))^2))^2)</f>
        <v>1.10109819571147</v>
      </c>
      <c r="BG292" s="10">
        <f>'Parametros'!$B$6*(AJ292*1000/(H292*MIN(U292,AB292))+0.66*SQRT('Parametros'!$B$2))</f>
        <v>3.29396038227542</v>
      </c>
      <c r="BH292" s="10" t="str">
        <f>IF(BF292&lt;=BG292,"CUMPLE","NO CUMPLE")</f>
        <v>CUMPLE</v>
      </c>
      <c r="BI292" s="10">
        <f>AX292*'Parametros'!$B$8</f>
        <v>0</v>
      </c>
      <c r="BJ292" s="10" t="str">
        <f>IF(BI292&gt;=AW292,"CUMPLE","NO CUMPLE")</f>
        <v>CUMPLE</v>
      </c>
    </row>
    <row r="293">
      <c r="A293" s="23" t="inlineStr">
        <is>
          <t>VR1</t>
        </is>
      </c>
      <c r="B293" s="23" t="inlineStr">
        <is>
          <t>862</t>
        </is>
      </c>
      <c r="C293" s="10" t="n">
        <v>1</v>
      </c>
      <c r="D293" s="10" t="n">
        <v>2</v>
      </c>
      <c r="E293" s="10" t="n">
        <v>2</v>
      </c>
      <c r="F293" s="10" t="n">
        <v>500</v>
      </c>
      <c r="G293" s="10" t="n">
        <v>550</v>
      </c>
      <c r="H293" s="17" t="n">
        <v>500</v>
      </c>
      <c r="I293" s="17" t="n">
        <v>550</v>
      </c>
      <c r="J293" s="30" t="n">
        <v>95.39660000000001</v>
      </c>
      <c r="K293" s="10" t="inlineStr">
        <is>
          <t>862</t>
        </is>
      </c>
      <c r="L293" s="30" t="n">
        <v>48.7959</v>
      </c>
      <c r="M293" s="10" t="inlineStr">
        <is>
          <t>862</t>
        </is>
      </c>
      <c r="N293" s="30" t="n">
        <v>100.371</v>
      </c>
      <c r="O293" s="30" t="n">
        <v>238.903</v>
      </c>
      <c r="P293" s="10" t="inlineStr">
        <is>
          <t>862</t>
        </is>
      </c>
      <c r="Q293" s="30" t="n">
        <v>2.5641</v>
      </c>
      <c r="R293" s="10">
        <f>MAX(MAX(1.4/'Parametros'!$B$3,0.25*SQRT('Parametros'!$B$2)/'Parametros'!$B$3)*H293*U293,(0.85*'Parametros'!$B$2/'Parametros'!$B$3)*(1-SQRT(1-2*(J293*1000000/('Parametros'!$B$5*H293*U293^2))/(0.85*'Parametros'!$B$2)))*H293*U293)</f>
        <v>815.583333333333</v>
      </c>
      <c r="S293" s="31" t="n">
        <v>5</v>
      </c>
      <c r="T293" s="32" t="n">
        <v>1</v>
      </c>
      <c r="U293" s="10">
        <f>IF(T293=1,I293-('Parametros'!$B$7+'Parametros'!$B$9+'Parametros'!$B$12/2),I293-(ROUNDUP(S293/2,0)*('Parametros'!$B$7+'Parametros'!$B$9+'Parametros'!$B$12/2)+ROUNDDOWN(S293/2,0)*('Parametros'!$B$7+'Parametros'!$B$9+'Parametros'!$B$12/2+'Parametros'!$B$12+'Parametros'!$B$10))/S293)</f>
        <v>489.35</v>
      </c>
      <c r="V293" s="10">
        <f>S293*'Parametros'!$B$8</f>
        <v>995</v>
      </c>
      <c r="W293" s="10">
        <f>'Parametros'!$B$5*V293*'Parametros'!$B$3*(U293-(V293*'Parametros'!$B$3/(0.85*'Parametros'!$B$2*H293))/2)/1000000</f>
        <v>177.445379382353</v>
      </c>
      <c r="X293" s="10" t="str">
        <f>IF(W293&gt;=J293,"CUMPLE","NO CUMPLE")</f>
        <v>CUMPLE</v>
      </c>
      <c r="Y293" s="10">
        <f>MAX(MAX(1.4/'Parametros'!$B$3,0.25*SQRT('Parametros'!$B$2)/'Parametros'!$B$3)*H293*AB293,(0.85*'Parametros'!$B$2/'Parametros'!$B$3)*(1-SQRT(1-2*(L293*1000000/('Parametros'!$B$5*H293*AB293^2))/(0.85*'Parametros'!$B$2)))*H293*AB293)</f>
        <v>815.583333333333</v>
      </c>
      <c r="Z293" s="31" t="n">
        <v>5</v>
      </c>
      <c r="AA293" s="32" t="n">
        <v>1</v>
      </c>
      <c r="AB293" s="10">
        <f>IF(AA293=1,I293-('Parametros'!$B$7+'Parametros'!$B$9+'Parametros'!$B$12/2),I293-(ROUNDUP(Z293/2,0)*('Parametros'!$B$7+'Parametros'!$B$9+'Parametros'!$B$12/2)+ROUNDDOWN(Z293/2,0)*('Parametros'!$B$7+'Parametros'!$B$9+'Parametros'!$B$12/2+'Parametros'!$B$12+'Parametros'!$B$10))/Z293)</f>
        <v>489.35</v>
      </c>
      <c r="AC293" s="10">
        <f>Z293*'Parametros'!$B$8</f>
        <v>995</v>
      </c>
      <c r="AD293" s="10">
        <f>'Parametros'!$B$5*AC293*'Parametros'!$B$3*(AB293-(AC293*'Parametros'!$B$3/(0.85*'Parametros'!$B$2*H293))/2)/1000000</f>
        <v>177.445379382353</v>
      </c>
      <c r="AE293" s="10" t="str">
        <f>IF(AD293&gt;=L293,"CUMPLE","NO CUMPLE")</f>
        <v>CUMPLE</v>
      </c>
      <c r="AF293" s="10">
        <f>V293*1.25*'Parametros'!$B$3*(U293-(V293*1.25*'Parametros'!$B$3/(0.85*'Parametros'!$B$2*H293))/2)/1000000</f>
        <v>244.158843198529</v>
      </c>
      <c r="AG293" s="10">
        <f>AC293*1.25*'Parametros'!$B$3*(AB293-(AC293*1.25*'Parametros'!$B$3/(0.85*'Parametros'!$B$2*H293))/2)/1000000</f>
        <v>244.158843198529</v>
      </c>
      <c r="AH293" s="10">
        <f>N293+(AF293+AG293)/D293</f>
        <v>344.529843198529</v>
      </c>
      <c r="AI293" s="10">
        <f>MAX(O293,AH293)</f>
        <v>344.529843198529</v>
      </c>
      <c r="AJ293" s="10">
        <f>0.17*SQRT('Parametros'!$B$2)*H293*MIN(U293,AB293)/1000</f>
        <v>220.098728691808</v>
      </c>
      <c r="AK293" s="10">
        <f>MAX(AI293/'Parametros'!$B$6-AJ293,0)</f>
        <v>239.274395572898</v>
      </c>
      <c r="AL293" s="10">
        <f>0.66*SQRT('Parametros'!$B$2)*H293*MIN(U293,AB293)/1000</f>
        <v>854.500946685842</v>
      </c>
      <c r="AM293" s="10" t="str">
        <f>IF(AK293&lt;=AL293,"CUMPLE","NO CUMPLE")</f>
        <v>CUMPLE</v>
      </c>
      <c r="AN293" s="17" t="inlineStr">
        <is>
          <t>Nº3 cerrado</t>
        </is>
      </c>
      <c r="AO293" s="31" t="n">
        <v>2</v>
      </c>
      <c r="AP293" s="10">
        <f>ROUNDDOWN(MIN(IF(BC293+BD293=0,1000000000,AO293*BB293/(BC293+BD293)),MIN(U293,AB293)/4,8*'Parametros'!$B$12,24*BA293,300,IF(AV293=0,1000000000,2*((H293-2*('Parametros'!$B$7+'Parametros'!$B$9/2))+(I293-2*('Parametros'!$B$7+'Parametros'!$B$9/2)))/8))/10,0)*10</f>
        <v>120</v>
      </c>
      <c r="AQ293" s="10">
        <f>ROUNDDOWN(MIN(IF(BC293+BD293=0,1000000000,AO293*BB293/(BC293+BD293)),IF(AK293&gt;0.33*SQRT('Parametros'!$B$2)*H293*MIN(U293,AB293)/1000,MIN(U293,AB293)/4,MIN(U293,AB293)/2),600,IF(AV293=0,1000000000,2*((H293-2*('Parametros'!$B$7+'Parametros'!$B$9/2))+(I293-2*('Parametros'!$B$7+'Parametros'!$B$9/2)))/8))/10,0)*10</f>
        <v>120</v>
      </c>
      <c r="AR293" s="10">
        <f>'Parametros'!$B$6*(AJ293+MAX(BE293-BD293,0)*'Parametros'!$B$4*MIN(U293,AB293)/1000)</f>
        <v>347.479259018856</v>
      </c>
      <c r="AS293" s="10" t="str">
        <f>IF(AND(ISERROR(SEARCH("referencia",AN293)),AM293="CUMPLE",AR293&gt;=AI293),"CUMPLE","NO CUMPLE")</f>
        <v>CUMPLE</v>
      </c>
      <c r="AT293" s="10">
        <f>'Parametros'!$B$6*0.083*SQRT('Parametros'!$B$2)*(H293*I293)^2/(2*(H293+I293))/1000000</f>
        <v>11.862178757599</v>
      </c>
      <c r="AU293" s="10" t="str">
        <f>IF(Q293&lt;=AT293,"DESPRECIABLE","DISEÑAR")</f>
        <v>DESPRECIABLE</v>
      </c>
      <c r="AV293" s="10">
        <f>IF(Q293&lt;=AT293,0,Q293*1000000/('Parametros'!$B$6*2*0.85*(H293-2*('Parametros'!$B$7+'Parametros'!$B$9/2))*(I293-2*('Parametros'!$B$7+'Parametros'!$B$9/2))*'Parametros'!$B$4))</f>
        <v>0</v>
      </c>
      <c r="AW293" s="10">
        <f>AV293*2*((H293-2*('Parametros'!$B$7+'Parametros'!$B$9/2))+(I293-2*('Parametros'!$B$7+'Parametros'!$B$9/2)))*'Parametros'!$B$4/'Parametros'!$B$3</f>
        <v>0</v>
      </c>
      <c r="AX293" s="31" t="n">
        <v>0</v>
      </c>
      <c r="AY293" s="10" t="str">
        <f>IF(AV293=0,"DESPRECIABLE",IF(AND(ISERROR(SEARCH("referencia",AN293)),BB293/AP293&gt;=AV293,BI293&gt;=AW293,BH293="CUMPLE"),"CUMPLE","NO CUMPLE"))</f>
        <v>DESPRECIABLE</v>
      </c>
      <c r="AZ293" s="10" t="str">
        <f>IF(AND(X293="CUMPLE",AE293="CUMPLE",AS293="CUMPLE",OR(AY293="CUMPLE",AY293="DESPRECIABLE"),BH293="CUMPLE",BJ293="CUMPLE"),"CUMPLE","NO CUMPLE")</f>
        <v>CUMPLE</v>
      </c>
      <c r="BA293" s="32" t="n">
        <v>9.5</v>
      </c>
      <c r="BB293" s="32" t="n">
        <v>71</v>
      </c>
      <c r="BC293" s="10">
        <f>MAX(IF(AK293=0,0,AK293*1000/('Parametros'!$B$4*MIN(U293,AB293))),MAX(0.062*SQRT('Parametros'!$B$2)*H293/'Parametros'!$B$4,0.35*H293/'Parametros'!$B$4))</f>
        <v>1.16419932939662</v>
      </c>
      <c r="BD293" s="10">
        <f>2*AV293</f>
        <v>0</v>
      </c>
      <c r="BE293" s="10">
        <f>AO293*BB293/AP293</f>
        <v>1.18333333333333</v>
      </c>
      <c r="BF293" s="10">
        <f>SQRT((AI293*1000/(H293*MIN(U293,AB293)))^2+(Q293*1000000*2*((H293-2*('Parametros'!$B$7+'Parametros'!$B$9/2))+(I293-2*('Parametros'!$B$7+'Parametros'!$B$9/2)))/(1.7*((H293-2*('Parametros'!$B$7+'Parametros'!$B$9/2))*(I293-2*('Parametros'!$B$7+'Parametros'!$B$9/2)))^2))^2)</f>
        <v>1.41011766650049</v>
      </c>
      <c r="BG293" s="10">
        <f>'Parametros'!$B$6*(AJ293*1000/(H293*MIN(U293,AB293))+0.66*SQRT('Parametros'!$B$2))</f>
        <v>3.29396038227542</v>
      </c>
      <c r="BH293" s="10" t="str">
        <f>IF(BF293&lt;=BG293,"CUMPLE","NO CUMPLE")</f>
        <v>CUMPLE</v>
      </c>
      <c r="BI293" s="10">
        <f>AX293*'Parametros'!$B$8</f>
        <v>0</v>
      </c>
      <c r="BJ293" s="10" t="str">
        <f>IF(BI293&gt;=AW293,"CUMPLE","NO CUMPLE")</f>
        <v>CUMPLE</v>
      </c>
    </row>
    <row r="294">
      <c r="A294" s="23" t="inlineStr">
        <is>
          <t>VR1</t>
        </is>
      </c>
      <c r="B294" s="23" t="inlineStr">
        <is>
          <t>897</t>
        </is>
      </c>
      <c r="C294" s="10" t="n">
        <v>1</v>
      </c>
      <c r="D294" s="10" t="n">
        <v>2</v>
      </c>
      <c r="E294" s="10" t="n">
        <v>2</v>
      </c>
      <c r="F294" s="10" t="n">
        <v>500</v>
      </c>
      <c r="G294" s="10" t="n">
        <v>550</v>
      </c>
      <c r="H294" s="17" t="n">
        <v>500</v>
      </c>
      <c r="I294" s="17" t="n">
        <v>550</v>
      </c>
      <c r="J294" s="30" t="n">
        <v>95.24379999999999</v>
      </c>
      <c r="K294" s="10" t="inlineStr">
        <is>
          <t>897</t>
        </is>
      </c>
      <c r="L294" s="30" t="n">
        <v>48.6645</v>
      </c>
      <c r="M294" s="10" t="inlineStr">
        <is>
          <t>897</t>
        </is>
      </c>
      <c r="N294" s="30" t="n">
        <v>100.262</v>
      </c>
      <c r="O294" s="30" t="n">
        <v>238.789</v>
      </c>
      <c r="P294" s="10" t="inlineStr">
        <is>
          <t>897</t>
        </is>
      </c>
      <c r="Q294" s="30" t="n">
        <v>2.5654</v>
      </c>
      <c r="R294" s="10">
        <f>MAX(MAX(1.4/'Parametros'!$B$3,0.25*SQRT('Parametros'!$B$2)/'Parametros'!$B$3)*H294*U294,(0.85*'Parametros'!$B$2/'Parametros'!$B$3)*(1-SQRT(1-2*(J294*1000000/('Parametros'!$B$5*H294*U294^2))/(0.85*'Parametros'!$B$2)))*H294*U294)</f>
        <v>815.583333333333</v>
      </c>
      <c r="S294" s="31" t="n">
        <v>5</v>
      </c>
      <c r="T294" s="32" t="n">
        <v>1</v>
      </c>
      <c r="U294" s="10">
        <f>IF(T294=1,I294-('Parametros'!$B$7+'Parametros'!$B$9+'Parametros'!$B$12/2),I294-(ROUNDUP(S294/2,0)*('Parametros'!$B$7+'Parametros'!$B$9+'Parametros'!$B$12/2)+ROUNDDOWN(S294/2,0)*('Parametros'!$B$7+'Parametros'!$B$9+'Parametros'!$B$12/2+'Parametros'!$B$12+'Parametros'!$B$10))/S294)</f>
        <v>489.35</v>
      </c>
      <c r="V294" s="10">
        <f>S294*'Parametros'!$B$8</f>
        <v>995</v>
      </c>
      <c r="W294" s="10">
        <f>'Parametros'!$B$5*V294*'Parametros'!$B$3*(U294-(V294*'Parametros'!$B$3/(0.85*'Parametros'!$B$2*H294))/2)/1000000</f>
        <v>177.445379382353</v>
      </c>
      <c r="X294" s="10" t="str">
        <f>IF(W294&gt;=J294,"CUMPLE","NO CUMPLE")</f>
        <v>CUMPLE</v>
      </c>
      <c r="Y294" s="10">
        <f>MAX(MAX(1.4/'Parametros'!$B$3,0.25*SQRT('Parametros'!$B$2)/'Parametros'!$B$3)*H294*AB294,(0.85*'Parametros'!$B$2/'Parametros'!$B$3)*(1-SQRT(1-2*(L294*1000000/('Parametros'!$B$5*H294*AB294^2))/(0.85*'Parametros'!$B$2)))*H294*AB294)</f>
        <v>815.583333333333</v>
      </c>
      <c r="Z294" s="31" t="n">
        <v>5</v>
      </c>
      <c r="AA294" s="32" t="n">
        <v>1</v>
      </c>
      <c r="AB294" s="10">
        <f>IF(AA294=1,I294-('Parametros'!$B$7+'Parametros'!$B$9+'Parametros'!$B$12/2),I294-(ROUNDUP(Z294/2,0)*('Parametros'!$B$7+'Parametros'!$B$9+'Parametros'!$B$12/2)+ROUNDDOWN(Z294/2,0)*('Parametros'!$B$7+'Parametros'!$B$9+'Parametros'!$B$12/2+'Parametros'!$B$12+'Parametros'!$B$10))/Z294)</f>
        <v>489.35</v>
      </c>
      <c r="AC294" s="10">
        <f>Z294*'Parametros'!$B$8</f>
        <v>995</v>
      </c>
      <c r="AD294" s="10">
        <f>'Parametros'!$B$5*AC294*'Parametros'!$B$3*(AB294-(AC294*'Parametros'!$B$3/(0.85*'Parametros'!$B$2*H294))/2)/1000000</f>
        <v>177.445379382353</v>
      </c>
      <c r="AE294" s="10" t="str">
        <f>IF(AD294&gt;=L294,"CUMPLE","NO CUMPLE")</f>
        <v>CUMPLE</v>
      </c>
      <c r="AF294" s="10">
        <f>V294*1.25*'Parametros'!$B$3*(U294-(V294*1.25*'Parametros'!$B$3/(0.85*'Parametros'!$B$2*H294))/2)/1000000</f>
        <v>244.158843198529</v>
      </c>
      <c r="AG294" s="10">
        <f>AC294*1.25*'Parametros'!$B$3*(AB294-(AC294*1.25*'Parametros'!$B$3/(0.85*'Parametros'!$B$2*H294))/2)/1000000</f>
        <v>244.158843198529</v>
      </c>
      <c r="AH294" s="10">
        <f>N294+(AF294+AG294)/D294</f>
        <v>344.420843198529</v>
      </c>
      <c r="AI294" s="10">
        <f>MAX(O294,AH294)</f>
        <v>344.420843198529</v>
      </c>
      <c r="AJ294" s="10">
        <f>0.17*SQRT('Parametros'!$B$2)*H294*MIN(U294,AB294)/1000</f>
        <v>220.098728691808</v>
      </c>
      <c r="AK294" s="10">
        <f>MAX(AI294/'Parametros'!$B$6-AJ294,0)</f>
        <v>239.129062239565</v>
      </c>
      <c r="AL294" s="10">
        <f>0.66*SQRT('Parametros'!$B$2)*H294*MIN(U294,AB294)/1000</f>
        <v>854.500946685842</v>
      </c>
      <c r="AM294" s="10" t="str">
        <f>IF(AK294&lt;=AL294,"CUMPLE","NO CUMPLE")</f>
        <v>CUMPLE</v>
      </c>
      <c r="AN294" s="17" t="inlineStr">
        <is>
          <t>Nº3 cerrado</t>
        </is>
      </c>
      <c r="AO294" s="31" t="n">
        <v>2</v>
      </c>
      <c r="AP294" s="10">
        <f>ROUNDDOWN(MIN(IF(BC294+BD294=0,1000000000,AO294*BB294/(BC294+BD294)),MIN(U294,AB294)/4,8*'Parametros'!$B$12,24*BA294,300,IF(AV294=0,1000000000,2*((H294-2*('Parametros'!$B$7+'Parametros'!$B$9/2))+(I294-2*('Parametros'!$B$7+'Parametros'!$B$9/2)))/8))/10,0)*10</f>
        <v>120</v>
      </c>
      <c r="AQ294" s="10">
        <f>ROUNDDOWN(MIN(IF(BC294+BD294=0,1000000000,AO294*BB294/(BC294+BD294)),IF(AK294&gt;0.33*SQRT('Parametros'!$B$2)*H294*MIN(U294,AB294)/1000,MIN(U294,AB294)/4,MIN(U294,AB294)/2),600,IF(AV294=0,1000000000,2*((H294-2*('Parametros'!$B$7+'Parametros'!$B$9/2))+(I294-2*('Parametros'!$B$7+'Parametros'!$B$9/2)))/8))/10,0)*10</f>
        <v>120</v>
      </c>
      <c r="AR294" s="10">
        <f>'Parametros'!$B$6*(AJ294+MAX(BE294-BD294,0)*'Parametros'!$B$4*MIN(U294,AB294)/1000)</f>
        <v>347.479259018856</v>
      </c>
      <c r="AS294" s="10" t="str">
        <f>IF(AND(ISERROR(SEARCH("referencia",AN294)),AM294="CUMPLE",AR294&gt;=AI294),"CUMPLE","NO CUMPLE")</f>
        <v>CUMPLE</v>
      </c>
      <c r="AT294" s="10">
        <f>'Parametros'!$B$6*0.083*SQRT('Parametros'!$B$2)*(H294*I294)^2/(2*(H294+I294))/1000000</f>
        <v>11.862178757599</v>
      </c>
      <c r="AU294" s="10" t="str">
        <f>IF(Q294&lt;=AT294,"DESPRECIABLE","DISEÑAR")</f>
        <v>DESPRECIABLE</v>
      </c>
      <c r="AV294" s="10">
        <f>IF(Q294&lt;=AT294,0,Q294*1000000/('Parametros'!$B$6*2*0.85*(H294-2*('Parametros'!$B$7+'Parametros'!$B$9/2))*(I294-2*('Parametros'!$B$7+'Parametros'!$B$9/2))*'Parametros'!$B$4))</f>
        <v>0</v>
      </c>
      <c r="AW294" s="10">
        <f>AV294*2*((H294-2*('Parametros'!$B$7+'Parametros'!$B$9/2))+(I294-2*('Parametros'!$B$7+'Parametros'!$B$9/2)))*'Parametros'!$B$4/'Parametros'!$B$3</f>
        <v>0</v>
      </c>
      <c r="AX294" s="31" t="n">
        <v>0</v>
      </c>
      <c r="AY294" s="10" t="str">
        <f>IF(AV294=0,"DESPRECIABLE",IF(AND(ISERROR(SEARCH("referencia",AN294)),BB294/AP294&gt;=AV294,BI294&gt;=AW294,BH294="CUMPLE"),"CUMPLE","NO CUMPLE"))</f>
        <v>DESPRECIABLE</v>
      </c>
      <c r="AZ294" s="10" t="str">
        <f>IF(AND(X294="CUMPLE",AE294="CUMPLE",AS294="CUMPLE",OR(AY294="CUMPLE",AY294="DESPRECIABLE"),BH294="CUMPLE",BJ294="CUMPLE"),"CUMPLE","NO CUMPLE")</f>
        <v>CUMPLE</v>
      </c>
      <c r="BA294" s="32" t="n">
        <v>9.5</v>
      </c>
      <c r="BB294" s="32" t="n">
        <v>71</v>
      </c>
      <c r="BC294" s="10">
        <f>MAX(IF(AK294=0,0,AK294*1000/('Parametros'!$B$4*MIN(U294,AB294))),MAX(0.062*SQRT('Parametros'!$B$2)*H294/'Parametros'!$B$4,0.35*H294/'Parametros'!$B$4))</f>
        <v>1.16349220413651</v>
      </c>
      <c r="BD294" s="10">
        <f>2*AV294</f>
        <v>0</v>
      </c>
      <c r="BE294" s="10">
        <f>AO294*BB294/AP294</f>
        <v>1.18333333333333</v>
      </c>
      <c r="BF294" s="10">
        <f>SQRT((AI294*1000/(H294*MIN(U294,AB294)))^2+(Q294*1000000*2*((H294-2*('Parametros'!$B$7+'Parametros'!$B$9/2))+(I294-2*('Parametros'!$B$7+'Parametros'!$B$9/2)))/(1.7*((H294-2*('Parametros'!$B$7+'Parametros'!$B$9/2))*(I294-2*('Parametros'!$B$7+'Parametros'!$B$9/2)))^2))^2)</f>
        <v>1.40967484466498</v>
      </c>
      <c r="BG294" s="10">
        <f>'Parametros'!$B$6*(AJ294*1000/(H294*MIN(U294,AB294))+0.66*SQRT('Parametros'!$B$2))</f>
        <v>3.29396038227542</v>
      </c>
      <c r="BH294" s="10" t="str">
        <f>IF(BF294&lt;=BG294,"CUMPLE","NO CUMPLE")</f>
        <v>CUMPLE</v>
      </c>
      <c r="BI294" s="10">
        <f>AX294*'Parametros'!$B$8</f>
        <v>0</v>
      </c>
      <c r="BJ294" s="10" t="str">
        <f>IF(BI294&gt;=AW294,"CUMPLE","NO CUMPLE")</f>
        <v>CUMPLE</v>
      </c>
    </row>
    <row r="295">
      <c r="A295" s="23" t="inlineStr">
        <is>
          <t>VR1</t>
        </is>
      </c>
      <c r="B295" s="23" t="inlineStr">
        <is>
          <t>898</t>
        </is>
      </c>
      <c r="C295" s="10" t="n">
        <v>1</v>
      </c>
      <c r="D295" s="10" t="n">
        <v>3.05</v>
      </c>
      <c r="E295" s="10" t="n">
        <v>3.05</v>
      </c>
      <c r="F295" s="10" t="n">
        <v>500</v>
      </c>
      <c r="G295" s="10" t="n">
        <v>550</v>
      </c>
      <c r="H295" s="17" t="n">
        <v>500</v>
      </c>
      <c r="I295" s="17" t="n">
        <v>550</v>
      </c>
      <c r="J295" s="30" t="n">
        <v>113.1795</v>
      </c>
      <c r="K295" s="10" t="inlineStr">
        <is>
          <t>898</t>
        </is>
      </c>
      <c r="L295" s="30" t="n">
        <v>54.9693</v>
      </c>
      <c r="M295" s="10" t="inlineStr">
        <is>
          <t>898</t>
        </is>
      </c>
      <c r="N295" s="30" t="n">
        <v>105.597</v>
      </c>
      <c r="O295" s="30" t="n">
        <v>269.165</v>
      </c>
      <c r="P295" s="10" t="inlineStr">
        <is>
          <t>898</t>
        </is>
      </c>
      <c r="Q295" s="30" t="n">
        <v>1.2945</v>
      </c>
      <c r="R295" s="10">
        <f>MAX(MAX(1.4/'Parametros'!$B$3,0.25*SQRT('Parametros'!$B$2)/'Parametros'!$B$3)*H295*U295,(0.85*'Parametros'!$B$2/'Parametros'!$B$3)*(1-SQRT(1-2*(J295*1000000/('Parametros'!$B$5*H295*U295^2))/(0.85*'Parametros'!$B$2)))*H295*U295)</f>
        <v>815.583333333333</v>
      </c>
      <c r="S295" s="31" t="n">
        <v>5</v>
      </c>
      <c r="T295" s="32" t="n">
        <v>1</v>
      </c>
      <c r="U295" s="10">
        <f>IF(T295=1,I295-('Parametros'!$B$7+'Parametros'!$B$9+'Parametros'!$B$12/2),I295-(ROUNDUP(S295/2,0)*('Parametros'!$B$7+'Parametros'!$B$9+'Parametros'!$B$12/2)+ROUNDDOWN(S295/2,0)*('Parametros'!$B$7+'Parametros'!$B$9+'Parametros'!$B$12/2+'Parametros'!$B$12+'Parametros'!$B$10))/S295)</f>
        <v>489.35</v>
      </c>
      <c r="V295" s="10">
        <f>S295*'Parametros'!$B$8</f>
        <v>995</v>
      </c>
      <c r="W295" s="10">
        <f>'Parametros'!$B$5*V295*'Parametros'!$B$3*(U295-(V295*'Parametros'!$B$3/(0.85*'Parametros'!$B$2*H295))/2)/1000000</f>
        <v>177.445379382353</v>
      </c>
      <c r="X295" s="10" t="str">
        <f>IF(W295&gt;=J295,"CUMPLE","NO CUMPLE")</f>
        <v>CUMPLE</v>
      </c>
      <c r="Y295" s="10">
        <f>MAX(MAX(1.4/'Parametros'!$B$3,0.25*SQRT('Parametros'!$B$2)/'Parametros'!$B$3)*H295*AB295,(0.85*'Parametros'!$B$2/'Parametros'!$B$3)*(1-SQRT(1-2*(L295*1000000/('Parametros'!$B$5*H295*AB295^2))/(0.85*'Parametros'!$B$2)))*H295*AB295)</f>
        <v>815.583333333333</v>
      </c>
      <c r="Z295" s="31" t="n">
        <v>5</v>
      </c>
      <c r="AA295" s="32" t="n">
        <v>1</v>
      </c>
      <c r="AB295" s="10">
        <f>IF(AA295=1,I295-('Parametros'!$B$7+'Parametros'!$B$9+'Parametros'!$B$12/2),I295-(ROUNDUP(Z295/2,0)*('Parametros'!$B$7+'Parametros'!$B$9+'Parametros'!$B$12/2)+ROUNDDOWN(Z295/2,0)*('Parametros'!$B$7+'Parametros'!$B$9+'Parametros'!$B$12/2+'Parametros'!$B$12+'Parametros'!$B$10))/Z295)</f>
        <v>489.35</v>
      </c>
      <c r="AC295" s="10">
        <f>Z295*'Parametros'!$B$8</f>
        <v>995</v>
      </c>
      <c r="AD295" s="10">
        <f>'Parametros'!$B$5*AC295*'Parametros'!$B$3*(AB295-(AC295*'Parametros'!$B$3/(0.85*'Parametros'!$B$2*H295))/2)/1000000</f>
        <v>177.445379382353</v>
      </c>
      <c r="AE295" s="10" t="str">
        <f>IF(AD295&gt;=L295,"CUMPLE","NO CUMPLE")</f>
        <v>CUMPLE</v>
      </c>
      <c r="AF295" s="10">
        <f>V295*1.25*'Parametros'!$B$3*(U295-(V295*1.25*'Parametros'!$B$3/(0.85*'Parametros'!$B$2*H295))/2)/1000000</f>
        <v>244.158843198529</v>
      </c>
      <c r="AG295" s="10">
        <f>AC295*1.25*'Parametros'!$B$3*(AB295-(AC295*1.25*'Parametros'!$B$3/(0.85*'Parametros'!$B$2*H295))/2)/1000000</f>
        <v>244.158843198529</v>
      </c>
      <c r="AH295" s="10">
        <f>N295+(AF295+AG295)/D295</f>
        <v>265.701159474446</v>
      </c>
      <c r="AI295" s="10">
        <f>MAX(O295,AH295)</f>
        <v>269.165</v>
      </c>
      <c r="AJ295" s="10">
        <f>0.17*SQRT('Parametros'!$B$2)*H295*MIN(U295,AB295)/1000</f>
        <v>220.098728691808</v>
      </c>
      <c r="AK295" s="10">
        <f>MAX(AI295/'Parametros'!$B$6-AJ295,0)</f>
        <v>138.787937974859</v>
      </c>
      <c r="AL295" s="10">
        <f>0.66*SQRT('Parametros'!$B$2)*H295*MIN(U295,AB295)/1000</f>
        <v>854.500946685842</v>
      </c>
      <c r="AM295" s="10" t="str">
        <f>IF(AK295&lt;=AL295,"CUMPLE","NO CUMPLE")</f>
        <v>CUMPLE</v>
      </c>
      <c r="AN295" s="17" t="inlineStr">
        <is>
          <t>Nº3 cerrado</t>
        </is>
      </c>
      <c r="AO295" s="31" t="n">
        <v>2</v>
      </c>
      <c r="AP295" s="10">
        <f>ROUNDDOWN(MIN(IF(BC295+BD295=0,1000000000,AO295*BB295/(BC295+BD295)),MIN(U295,AB295)/4,8*'Parametros'!$B$12,24*BA295,300,IF(AV295=0,1000000000,2*((H295-2*('Parametros'!$B$7+'Parametros'!$B$9/2))+(I295-2*('Parametros'!$B$7+'Parametros'!$B$9/2)))/8))/10,0)*10</f>
        <v>120</v>
      </c>
      <c r="AQ295" s="10">
        <f>ROUNDDOWN(MIN(IF(BC295+BD295=0,1000000000,AO295*BB295/(BC295+BD295)),IF(AK295&gt;0.33*SQRT('Parametros'!$B$2)*H295*MIN(U295,AB295)/1000,MIN(U295,AB295)/4,MIN(U295,AB295)/2),600,IF(AV295=0,1000000000,2*((H295-2*('Parametros'!$B$7+'Parametros'!$B$9/2))+(I295-2*('Parametros'!$B$7+'Parametros'!$B$9/2)))/8))/10,0)*10</f>
        <v>210</v>
      </c>
      <c r="AR295" s="10">
        <f>'Parametros'!$B$6*(AJ295+MAX(BE295-BD295,0)*'Parametros'!$B$4*MIN(U295,AB295)/1000)</f>
        <v>347.479259018856</v>
      </c>
      <c r="AS295" s="10" t="str">
        <f>IF(AND(ISERROR(SEARCH("referencia",AN295)),AM295="CUMPLE",AR295&gt;=AI295),"CUMPLE","NO CUMPLE")</f>
        <v>CUMPLE</v>
      </c>
      <c r="AT295" s="10">
        <f>'Parametros'!$B$6*0.083*SQRT('Parametros'!$B$2)*(H295*I295)^2/(2*(H295+I295))/1000000</f>
        <v>11.862178757599</v>
      </c>
      <c r="AU295" s="10" t="str">
        <f>IF(Q295&lt;=AT295,"DESPRECIABLE","DISEÑAR")</f>
        <v>DESPRECIABLE</v>
      </c>
      <c r="AV295" s="10">
        <f>IF(Q295&lt;=AT295,0,Q295*1000000/('Parametros'!$B$6*2*0.85*(H295-2*('Parametros'!$B$7+'Parametros'!$B$9/2))*(I295-2*('Parametros'!$B$7+'Parametros'!$B$9/2))*'Parametros'!$B$4))</f>
        <v>0</v>
      </c>
      <c r="AW295" s="10">
        <f>AV295*2*((H295-2*('Parametros'!$B$7+'Parametros'!$B$9/2))+(I295-2*('Parametros'!$B$7+'Parametros'!$B$9/2)))*'Parametros'!$B$4/'Parametros'!$B$3</f>
        <v>0</v>
      </c>
      <c r="AX295" s="31" t="n">
        <v>0</v>
      </c>
      <c r="AY295" s="10" t="str">
        <f>IF(AV295=0,"DESPRECIABLE",IF(AND(ISERROR(SEARCH("referencia",AN295)),BB295/AP295&gt;=AV295,BI295&gt;=AW295,BH295="CUMPLE"),"CUMPLE","NO CUMPLE"))</f>
        <v>DESPRECIABLE</v>
      </c>
      <c r="AZ295" s="10" t="str">
        <f>IF(AND(X295="CUMPLE",AE295="CUMPLE",AS295="CUMPLE",OR(AY295="CUMPLE",AY295="DESPRECIABLE"),BH295="CUMPLE",BJ295="CUMPLE"),"CUMPLE","NO CUMPLE")</f>
        <v>CUMPLE</v>
      </c>
      <c r="BA295" s="32" t="n">
        <v>9.5</v>
      </c>
      <c r="BB295" s="32" t="n">
        <v>71</v>
      </c>
      <c r="BC295" s="10">
        <f>MAX(IF(AK295=0,0,AK295*1000/('Parametros'!$B$4*MIN(U295,AB295))),MAX(0.062*SQRT('Parametros'!$B$2)*H295/'Parametros'!$B$4,0.35*H295/'Parametros'!$B$4))</f>
        <v>0.675278372062352</v>
      </c>
      <c r="BD295" s="10">
        <f>2*AV295</f>
        <v>0</v>
      </c>
      <c r="BE295" s="10">
        <f>AO295*BB295/AP295</f>
        <v>1.18333333333333</v>
      </c>
      <c r="BF295" s="10">
        <f>SQRT((AI295*1000/(H295*MIN(U295,AB295)))^2+(Q295*1000000*2*((H295-2*('Parametros'!$B$7+'Parametros'!$B$9/2))+(I295-2*('Parametros'!$B$7+'Parametros'!$B$9/2)))/(1.7*((H295-2*('Parametros'!$B$7+'Parametros'!$B$9/2))*(I295-2*('Parametros'!$B$7+'Parametros'!$B$9/2)))^2))^2)</f>
        <v>1.10074651366152</v>
      </c>
      <c r="BG295" s="10">
        <f>'Parametros'!$B$6*(AJ295*1000/(H295*MIN(U295,AB295))+0.66*SQRT('Parametros'!$B$2))</f>
        <v>3.29396038227542</v>
      </c>
      <c r="BH295" s="10" t="str">
        <f>IF(BF295&lt;=BG295,"CUMPLE","NO CUMPLE")</f>
        <v>CUMPLE</v>
      </c>
      <c r="BI295" s="10">
        <f>AX295*'Parametros'!$B$8</f>
        <v>0</v>
      </c>
      <c r="BJ295" s="10" t="str">
        <f>IF(BI295&gt;=AW295,"CUMPLE","NO CUMPLE")</f>
        <v>CUMPLE</v>
      </c>
    </row>
    <row r="296">
      <c r="A296" s="23" t="inlineStr">
        <is>
          <t>VR1</t>
        </is>
      </c>
      <c r="B296" s="23" t="inlineStr">
        <is>
          <t>899</t>
        </is>
      </c>
      <c r="C296" s="10" t="n">
        <v>1</v>
      </c>
      <c r="D296" s="10" t="n">
        <v>2</v>
      </c>
      <c r="E296" s="10" t="n">
        <v>2</v>
      </c>
      <c r="F296" s="10" t="n">
        <v>500</v>
      </c>
      <c r="G296" s="10" t="n">
        <v>550</v>
      </c>
      <c r="H296" s="17" t="n">
        <v>500</v>
      </c>
      <c r="I296" s="17" t="n">
        <v>550</v>
      </c>
      <c r="J296" s="30" t="n">
        <v>89.50709999999999</v>
      </c>
      <c r="K296" s="10" t="inlineStr">
        <is>
          <t>899</t>
        </is>
      </c>
      <c r="L296" s="30" t="n">
        <v>50.7172</v>
      </c>
      <c r="M296" s="10" t="inlineStr">
        <is>
          <t>899</t>
        </is>
      </c>
      <c r="N296" s="30" t="n">
        <v>96.851</v>
      </c>
      <c r="O296" s="30" t="n">
        <v>279.956</v>
      </c>
      <c r="P296" s="10" t="inlineStr">
        <is>
          <t>899</t>
        </is>
      </c>
      <c r="Q296" s="30" t="n">
        <v>3.1367</v>
      </c>
      <c r="R296" s="10">
        <f>MAX(MAX(1.4/'Parametros'!$B$3,0.25*SQRT('Parametros'!$B$2)/'Parametros'!$B$3)*H296*U296,(0.85*'Parametros'!$B$2/'Parametros'!$B$3)*(1-SQRT(1-2*(J296*1000000/('Parametros'!$B$5*H296*U296^2))/(0.85*'Parametros'!$B$2)))*H296*U296)</f>
        <v>815.583333333333</v>
      </c>
      <c r="S296" s="31" t="n">
        <v>5</v>
      </c>
      <c r="T296" s="32" t="n">
        <v>1</v>
      </c>
      <c r="U296" s="10">
        <f>IF(T296=1,I296-('Parametros'!$B$7+'Parametros'!$B$9+'Parametros'!$B$12/2),I296-(ROUNDUP(S296/2,0)*('Parametros'!$B$7+'Parametros'!$B$9+'Parametros'!$B$12/2)+ROUNDDOWN(S296/2,0)*('Parametros'!$B$7+'Parametros'!$B$9+'Parametros'!$B$12/2+'Parametros'!$B$12+'Parametros'!$B$10))/S296)</f>
        <v>489.35</v>
      </c>
      <c r="V296" s="10">
        <f>S296*'Parametros'!$B$8</f>
        <v>995</v>
      </c>
      <c r="W296" s="10">
        <f>'Parametros'!$B$5*V296*'Parametros'!$B$3*(U296-(V296*'Parametros'!$B$3/(0.85*'Parametros'!$B$2*H296))/2)/1000000</f>
        <v>177.445379382353</v>
      </c>
      <c r="X296" s="10" t="str">
        <f>IF(W296&gt;=J296,"CUMPLE","NO CUMPLE")</f>
        <v>CUMPLE</v>
      </c>
      <c r="Y296" s="10">
        <f>MAX(MAX(1.4/'Parametros'!$B$3,0.25*SQRT('Parametros'!$B$2)/'Parametros'!$B$3)*H296*AB296,(0.85*'Parametros'!$B$2/'Parametros'!$B$3)*(1-SQRT(1-2*(L296*1000000/('Parametros'!$B$5*H296*AB296^2))/(0.85*'Parametros'!$B$2)))*H296*AB296)</f>
        <v>815.583333333333</v>
      </c>
      <c r="Z296" s="31" t="n">
        <v>5</v>
      </c>
      <c r="AA296" s="32" t="n">
        <v>1</v>
      </c>
      <c r="AB296" s="10">
        <f>IF(AA296=1,I296-('Parametros'!$B$7+'Parametros'!$B$9+'Parametros'!$B$12/2),I296-(ROUNDUP(Z296/2,0)*('Parametros'!$B$7+'Parametros'!$B$9+'Parametros'!$B$12/2)+ROUNDDOWN(Z296/2,0)*('Parametros'!$B$7+'Parametros'!$B$9+'Parametros'!$B$12/2+'Parametros'!$B$12+'Parametros'!$B$10))/Z296)</f>
        <v>489.35</v>
      </c>
      <c r="AC296" s="10">
        <f>Z296*'Parametros'!$B$8</f>
        <v>995</v>
      </c>
      <c r="AD296" s="10">
        <f>'Parametros'!$B$5*AC296*'Parametros'!$B$3*(AB296-(AC296*'Parametros'!$B$3/(0.85*'Parametros'!$B$2*H296))/2)/1000000</f>
        <v>177.445379382353</v>
      </c>
      <c r="AE296" s="10" t="str">
        <f>IF(AD296&gt;=L296,"CUMPLE","NO CUMPLE")</f>
        <v>CUMPLE</v>
      </c>
      <c r="AF296" s="10">
        <f>V296*1.25*'Parametros'!$B$3*(U296-(V296*1.25*'Parametros'!$B$3/(0.85*'Parametros'!$B$2*H296))/2)/1000000</f>
        <v>244.158843198529</v>
      </c>
      <c r="AG296" s="10">
        <f>AC296*1.25*'Parametros'!$B$3*(AB296-(AC296*1.25*'Parametros'!$B$3/(0.85*'Parametros'!$B$2*H296))/2)/1000000</f>
        <v>244.158843198529</v>
      </c>
      <c r="AH296" s="10">
        <f>N296+(AF296+AG296)/D296</f>
        <v>341.009843198529</v>
      </c>
      <c r="AI296" s="10">
        <f>MAX(O296,AH296)</f>
        <v>341.009843198529</v>
      </c>
      <c r="AJ296" s="10">
        <f>0.17*SQRT('Parametros'!$B$2)*H296*MIN(U296,AB296)/1000</f>
        <v>220.098728691808</v>
      </c>
      <c r="AK296" s="10">
        <f>MAX(AI296/'Parametros'!$B$6-AJ296,0)</f>
        <v>234.581062239565</v>
      </c>
      <c r="AL296" s="10">
        <f>0.66*SQRT('Parametros'!$B$2)*H296*MIN(U296,AB296)/1000</f>
        <v>854.500946685842</v>
      </c>
      <c r="AM296" s="10" t="str">
        <f>IF(AK296&lt;=AL296,"CUMPLE","NO CUMPLE")</f>
        <v>CUMPLE</v>
      </c>
      <c r="AN296" s="17" t="inlineStr">
        <is>
          <t>Nº3 cerrado</t>
        </is>
      </c>
      <c r="AO296" s="31" t="n">
        <v>2</v>
      </c>
      <c r="AP296" s="10">
        <f>ROUNDDOWN(MIN(IF(BC296+BD296=0,1000000000,AO296*BB296/(BC296+BD296)),MIN(U296,AB296)/4,8*'Parametros'!$B$12,24*BA296,300,IF(AV296=0,1000000000,2*((H296-2*('Parametros'!$B$7+'Parametros'!$B$9/2))+(I296-2*('Parametros'!$B$7+'Parametros'!$B$9/2)))/8))/10,0)*10</f>
        <v>120</v>
      </c>
      <c r="AQ296" s="10">
        <f>ROUNDDOWN(MIN(IF(BC296+BD296=0,1000000000,AO296*BB296/(BC296+BD296)),IF(AK296&gt;0.33*SQRT('Parametros'!$B$2)*H296*MIN(U296,AB296)/1000,MIN(U296,AB296)/4,MIN(U296,AB296)/2),600,IF(AV296=0,1000000000,2*((H296-2*('Parametros'!$B$7+'Parametros'!$B$9/2))+(I296-2*('Parametros'!$B$7+'Parametros'!$B$9/2)))/8))/10,0)*10</f>
        <v>120</v>
      </c>
      <c r="AR296" s="10">
        <f>'Parametros'!$B$6*(AJ296+MAX(BE296-BD296,0)*'Parametros'!$B$4*MIN(U296,AB296)/1000)</f>
        <v>347.479259018856</v>
      </c>
      <c r="AS296" s="10" t="str">
        <f>IF(AND(ISERROR(SEARCH("referencia",AN296)),AM296="CUMPLE",AR296&gt;=AI296),"CUMPLE","NO CUMPLE")</f>
        <v>CUMPLE</v>
      </c>
      <c r="AT296" s="10">
        <f>'Parametros'!$B$6*0.083*SQRT('Parametros'!$B$2)*(H296*I296)^2/(2*(H296+I296))/1000000</f>
        <v>11.862178757599</v>
      </c>
      <c r="AU296" s="10" t="str">
        <f>IF(Q296&lt;=AT296,"DESPRECIABLE","DISEÑAR")</f>
        <v>DESPRECIABLE</v>
      </c>
      <c r="AV296" s="10">
        <f>IF(Q296&lt;=AT296,0,Q296*1000000/('Parametros'!$B$6*2*0.85*(H296-2*('Parametros'!$B$7+'Parametros'!$B$9/2))*(I296-2*('Parametros'!$B$7+'Parametros'!$B$9/2))*'Parametros'!$B$4))</f>
        <v>0</v>
      </c>
      <c r="AW296" s="10">
        <f>AV296*2*((H296-2*('Parametros'!$B$7+'Parametros'!$B$9/2))+(I296-2*('Parametros'!$B$7+'Parametros'!$B$9/2)))*'Parametros'!$B$4/'Parametros'!$B$3</f>
        <v>0</v>
      </c>
      <c r="AX296" s="31" t="n">
        <v>0</v>
      </c>
      <c r="AY296" s="10" t="str">
        <f>IF(AV296=0,"DESPRECIABLE",IF(AND(ISERROR(SEARCH("referencia",AN296)),BB296/AP296&gt;=AV296,BI296&gt;=AW296,BH296="CUMPLE"),"CUMPLE","NO CUMPLE"))</f>
        <v>DESPRECIABLE</v>
      </c>
      <c r="AZ296" s="10" t="str">
        <f>IF(AND(X296="CUMPLE",AE296="CUMPLE",AS296="CUMPLE",OR(AY296="CUMPLE",AY296="DESPRECIABLE"),BH296="CUMPLE",BJ296="CUMPLE"),"CUMPLE","NO CUMPLE")</f>
        <v>CUMPLE</v>
      </c>
      <c r="BA296" s="32" t="n">
        <v>9.5</v>
      </c>
      <c r="BB296" s="32" t="n">
        <v>71</v>
      </c>
      <c r="BC296" s="10">
        <f>MAX(IF(AK296=0,0,AK296*1000/('Parametros'!$B$4*MIN(U296,AB296))),MAX(0.062*SQRT('Parametros'!$B$2)*H296/'Parametros'!$B$4,0.35*H296/'Parametros'!$B$4))</f>
        <v>1.14136372466666</v>
      </c>
      <c r="BD296" s="10">
        <f>2*AV296</f>
        <v>0</v>
      </c>
      <c r="BE296" s="10">
        <f>AO296*BB296/AP296</f>
        <v>1.18333333333333</v>
      </c>
      <c r="BF296" s="10">
        <f>SQRT((AI296*1000/(H296*MIN(U296,AB296)))^2+(Q296*1000000*2*((H296-2*('Parametros'!$B$7+'Parametros'!$B$9/2))+(I296-2*('Parametros'!$B$7+'Parametros'!$B$9/2)))/(1.7*((H296-2*('Parametros'!$B$7+'Parametros'!$B$9/2))*(I296-2*('Parametros'!$B$7+'Parametros'!$B$9/2)))^2))^2)</f>
        <v>1.39675680684744</v>
      </c>
      <c r="BG296" s="10">
        <f>'Parametros'!$B$6*(AJ296*1000/(H296*MIN(U296,AB296))+0.66*SQRT('Parametros'!$B$2))</f>
        <v>3.29396038227542</v>
      </c>
      <c r="BH296" s="10" t="str">
        <f>IF(BF296&lt;=BG296,"CUMPLE","NO CUMPLE")</f>
        <v>CUMPLE</v>
      </c>
      <c r="BI296" s="10">
        <f>AX296*'Parametros'!$B$8</f>
        <v>0</v>
      </c>
      <c r="BJ296" s="10" t="str">
        <f>IF(BI296&gt;=AW296,"CUMPLE","NO CUMPLE")</f>
        <v>CUMPLE</v>
      </c>
    </row>
    <row r="297">
      <c r="A297" s="23" t="inlineStr">
        <is>
          <t>VR1</t>
        </is>
      </c>
      <c r="B297" s="23" t="inlineStr">
        <is>
          <t>900</t>
        </is>
      </c>
      <c r="C297" s="10" t="n">
        <v>1</v>
      </c>
      <c r="D297" s="10" t="n">
        <v>1.9</v>
      </c>
      <c r="E297" s="10" t="n">
        <v>1.9</v>
      </c>
      <c r="F297" s="10" t="n">
        <v>500</v>
      </c>
      <c r="G297" s="10" t="n">
        <v>550</v>
      </c>
      <c r="H297" s="17" t="n">
        <v>500</v>
      </c>
      <c r="I297" s="17" t="n">
        <v>550</v>
      </c>
      <c r="J297" s="30" t="n">
        <v>94.66200000000001</v>
      </c>
      <c r="K297" s="10" t="inlineStr">
        <is>
          <t>900</t>
        </is>
      </c>
      <c r="L297" s="30" t="n">
        <v>56.9629</v>
      </c>
      <c r="M297" s="10" t="inlineStr">
        <is>
          <t>900</t>
        </is>
      </c>
      <c r="N297" s="30" t="n">
        <v>102.696</v>
      </c>
      <c r="O297" s="30" t="n">
        <v>302.177</v>
      </c>
      <c r="P297" s="10" t="inlineStr">
        <is>
          <t>900</t>
        </is>
      </c>
      <c r="Q297" s="30" t="n">
        <v>1.7604</v>
      </c>
      <c r="R297" s="10">
        <f>MAX(MAX(1.4/'Parametros'!$B$3,0.25*SQRT('Parametros'!$B$2)/'Parametros'!$B$3)*H297*U297,(0.85*'Parametros'!$B$2/'Parametros'!$B$3)*(1-SQRT(1-2*(J297*1000000/('Parametros'!$B$5*H297*U297^2))/(0.85*'Parametros'!$B$2)))*H297*U297)</f>
        <v>815.583333333333</v>
      </c>
      <c r="S297" s="31" t="n">
        <v>5</v>
      </c>
      <c r="T297" s="32" t="n">
        <v>1</v>
      </c>
      <c r="U297" s="10">
        <f>IF(T297=1,I297-('Parametros'!$B$7+'Parametros'!$B$9+'Parametros'!$B$12/2),I297-(ROUNDUP(S297/2,0)*('Parametros'!$B$7+'Parametros'!$B$9+'Parametros'!$B$12/2)+ROUNDDOWN(S297/2,0)*('Parametros'!$B$7+'Parametros'!$B$9+'Parametros'!$B$12/2+'Parametros'!$B$12+'Parametros'!$B$10))/S297)</f>
        <v>489.35</v>
      </c>
      <c r="V297" s="10">
        <f>S297*'Parametros'!$B$8</f>
        <v>995</v>
      </c>
      <c r="W297" s="10">
        <f>'Parametros'!$B$5*V297*'Parametros'!$B$3*(U297-(V297*'Parametros'!$B$3/(0.85*'Parametros'!$B$2*H297))/2)/1000000</f>
        <v>177.445379382353</v>
      </c>
      <c r="X297" s="10" t="str">
        <f>IF(W297&gt;=J297,"CUMPLE","NO CUMPLE")</f>
        <v>CUMPLE</v>
      </c>
      <c r="Y297" s="10">
        <f>MAX(MAX(1.4/'Parametros'!$B$3,0.25*SQRT('Parametros'!$B$2)/'Parametros'!$B$3)*H297*AB297,(0.85*'Parametros'!$B$2/'Parametros'!$B$3)*(1-SQRT(1-2*(L297*1000000/('Parametros'!$B$5*H297*AB297^2))/(0.85*'Parametros'!$B$2)))*H297*AB297)</f>
        <v>815.583333333333</v>
      </c>
      <c r="Z297" s="31" t="n">
        <v>5</v>
      </c>
      <c r="AA297" s="32" t="n">
        <v>1</v>
      </c>
      <c r="AB297" s="10">
        <f>IF(AA297=1,I297-('Parametros'!$B$7+'Parametros'!$B$9+'Parametros'!$B$12/2),I297-(ROUNDUP(Z297/2,0)*('Parametros'!$B$7+'Parametros'!$B$9+'Parametros'!$B$12/2)+ROUNDDOWN(Z297/2,0)*('Parametros'!$B$7+'Parametros'!$B$9+'Parametros'!$B$12/2+'Parametros'!$B$12+'Parametros'!$B$10))/Z297)</f>
        <v>489.35</v>
      </c>
      <c r="AC297" s="10">
        <f>Z297*'Parametros'!$B$8</f>
        <v>995</v>
      </c>
      <c r="AD297" s="10">
        <f>'Parametros'!$B$5*AC297*'Parametros'!$B$3*(AB297-(AC297*'Parametros'!$B$3/(0.85*'Parametros'!$B$2*H297))/2)/1000000</f>
        <v>177.445379382353</v>
      </c>
      <c r="AE297" s="10" t="str">
        <f>IF(AD297&gt;=L297,"CUMPLE","NO CUMPLE")</f>
        <v>CUMPLE</v>
      </c>
      <c r="AF297" s="10">
        <f>V297*1.25*'Parametros'!$B$3*(U297-(V297*1.25*'Parametros'!$B$3/(0.85*'Parametros'!$B$2*H297))/2)/1000000</f>
        <v>244.158843198529</v>
      </c>
      <c r="AG297" s="10">
        <f>AC297*1.25*'Parametros'!$B$3*(AB297-(AC297*1.25*'Parametros'!$B$3/(0.85*'Parametros'!$B$2*H297))/2)/1000000</f>
        <v>244.158843198529</v>
      </c>
      <c r="AH297" s="10">
        <f>N297+(AF297+AG297)/D297</f>
        <v>359.705308630031</v>
      </c>
      <c r="AI297" s="10">
        <f>MAX(O297,AH297)</f>
        <v>359.705308630031</v>
      </c>
      <c r="AJ297" s="10">
        <f>0.17*SQRT('Parametros'!$B$2)*H297*MIN(U297,AB297)/1000</f>
        <v>220.098728691808</v>
      </c>
      <c r="AK297" s="10">
        <f>MAX(AI297/'Parametros'!$B$6-AJ297,0)</f>
        <v>259.508349481567</v>
      </c>
      <c r="AL297" s="10">
        <f>0.66*SQRT('Parametros'!$B$2)*H297*MIN(U297,AB297)/1000</f>
        <v>854.500946685842</v>
      </c>
      <c r="AM297" s="10" t="str">
        <f>IF(AK297&lt;=AL297,"CUMPLE","NO CUMPLE")</f>
        <v>CUMPLE</v>
      </c>
      <c r="AN297" s="17" t="inlineStr">
        <is>
          <t>Nº3 cerrado</t>
        </is>
      </c>
      <c r="AO297" s="31" t="n">
        <v>2</v>
      </c>
      <c r="AP297" s="10">
        <f>ROUNDDOWN(MIN(IF(BC297+BD297=0,1000000000,AO297*BB297/(BC297+BD297)),MIN(U297,AB297)/4,8*'Parametros'!$B$12,24*BA297,300,IF(AV297=0,1000000000,2*((H297-2*('Parametros'!$B$7+'Parametros'!$B$9/2))+(I297-2*('Parametros'!$B$7+'Parametros'!$B$9/2)))/8))/10,0)*10</f>
        <v>110</v>
      </c>
      <c r="AQ297" s="10">
        <f>ROUNDDOWN(MIN(IF(BC297+BD297=0,1000000000,AO297*BB297/(BC297+BD297)),IF(AK297&gt;0.33*SQRT('Parametros'!$B$2)*H297*MIN(U297,AB297)/1000,MIN(U297,AB297)/4,MIN(U297,AB297)/2),600,IF(AV297=0,1000000000,2*((H297-2*('Parametros'!$B$7+'Parametros'!$B$9/2))+(I297-2*('Parametros'!$B$7+'Parametros'!$B$9/2)))/8))/10,0)*10</f>
        <v>110</v>
      </c>
      <c r="AR297" s="10">
        <f>'Parametros'!$B$6*(AJ297+MAX(BE297-BD297,0)*'Parametros'!$B$4*MIN(U297,AB297)/1000)</f>
        <v>364.06155106431</v>
      </c>
      <c r="AS297" s="10" t="str">
        <f>IF(AND(ISERROR(SEARCH("referencia",AN297)),AM297="CUMPLE",AR297&gt;=AI297),"CUMPLE","NO CUMPLE")</f>
        <v>CUMPLE</v>
      </c>
      <c r="AT297" s="10">
        <f>'Parametros'!$B$6*0.083*SQRT('Parametros'!$B$2)*(H297*I297)^2/(2*(H297+I297))/1000000</f>
        <v>11.862178757599</v>
      </c>
      <c r="AU297" s="10" t="str">
        <f>IF(Q297&lt;=AT297,"DESPRECIABLE","DISEÑAR")</f>
        <v>DESPRECIABLE</v>
      </c>
      <c r="AV297" s="10">
        <f>IF(Q297&lt;=AT297,0,Q297*1000000/('Parametros'!$B$6*2*0.85*(H297-2*('Parametros'!$B$7+'Parametros'!$B$9/2))*(I297-2*('Parametros'!$B$7+'Parametros'!$B$9/2))*'Parametros'!$B$4))</f>
        <v>0</v>
      </c>
      <c r="AW297" s="10">
        <f>AV297*2*((H297-2*('Parametros'!$B$7+'Parametros'!$B$9/2))+(I297-2*('Parametros'!$B$7+'Parametros'!$B$9/2)))*'Parametros'!$B$4/'Parametros'!$B$3</f>
        <v>0</v>
      </c>
      <c r="AX297" s="31" t="n">
        <v>0</v>
      </c>
      <c r="AY297" s="10" t="str">
        <f>IF(AV297=0,"DESPRECIABLE",IF(AND(ISERROR(SEARCH("referencia",AN297)),BB297/AP297&gt;=AV297,BI297&gt;=AW297,BH297="CUMPLE"),"CUMPLE","NO CUMPLE"))</f>
        <v>DESPRECIABLE</v>
      </c>
      <c r="AZ297" s="10" t="str">
        <f>IF(AND(X297="CUMPLE",AE297="CUMPLE",AS297="CUMPLE",OR(AY297="CUMPLE",AY297="DESPRECIABLE"),BH297="CUMPLE",BJ297="CUMPLE"),"CUMPLE","NO CUMPLE")</f>
        <v>CUMPLE</v>
      </c>
      <c r="BA297" s="32" t="n">
        <v>9.5</v>
      </c>
      <c r="BB297" s="32" t="n">
        <v>71</v>
      </c>
      <c r="BC297" s="10">
        <f>MAX(IF(AK297=0,0,AK297*1000/('Parametros'!$B$4*MIN(U297,AB297))),MAX(0.062*SQRT('Parametros'!$B$2)*H297/'Parametros'!$B$4,0.35*H297/'Parametros'!$B$4))</f>
        <v>1.26264845729061</v>
      </c>
      <c r="BD297" s="10">
        <f>2*AV297</f>
        <v>0</v>
      </c>
      <c r="BE297" s="10">
        <f>AO297*BB297/AP297</f>
        <v>1.29090909090909</v>
      </c>
      <c r="BF297" s="10">
        <f>SQRT((AI297*1000/(H297*MIN(U297,AB297)))^2+(Q297*1000000*2*((H297-2*('Parametros'!$B$7+'Parametros'!$B$9/2))+(I297-2*('Parametros'!$B$7+'Parametros'!$B$9/2)))/(1.7*((H297-2*('Parametros'!$B$7+'Parametros'!$B$9/2))*(I297-2*('Parametros'!$B$7+'Parametros'!$B$9/2)))^2))^2)</f>
        <v>1.4710409114792</v>
      </c>
      <c r="BG297" s="10">
        <f>'Parametros'!$B$6*(AJ297*1000/(H297*MIN(U297,AB297))+0.66*SQRT('Parametros'!$B$2))</f>
        <v>3.29396038227542</v>
      </c>
      <c r="BH297" s="10" t="str">
        <f>IF(BF297&lt;=BG297,"CUMPLE","NO CUMPLE")</f>
        <v>CUMPLE</v>
      </c>
      <c r="BI297" s="10">
        <f>AX297*'Parametros'!$B$8</f>
        <v>0</v>
      </c>
      <c r="BJ297" s="10" t="str">
        <f>IF(BI297&gt;=AW297,"CUMPLE","NO CUMPLE")</f>
        <v>CUMPLE</v>
      </c>
    </row>
    <row r="298">
      <c r="A298" s="23" t="inlineStr">
        <is>
          <t>VR1</t>
        </is>
      </c>
      <c r="B298" s="23" t="inlineStr">
        <is>
          <t>901</t>
        </is>
      </c>
      <c r="C298" s="10" t="n">
        <v>1</v>
      </c>
      <c r="D298" s="10" t="n">
        <v>3.4</v>
      </c>
      <c r="E298" s="10" t="n">
        <v>3.4</v>
      </c>
      <c r="F298" s="10" t="n">
        <v>500</v>
      </c>
      <c r="G298" s="10" t="n">
        <v>550</v>
      </c>
      <c r="H298" s="17" t="n">
        <v>500</v>
      </c>
      <c r="I298" s="17" t="n">
        <v>550</v>
      </c>
      <c r="J298" s="30" t="n">
        <v>115.1</v>
      </c>
      <c r="K298" s="10" t="inlineStr">
        <is>
          <t>901</t>
        </is>
      </c>
      <c r="L298" s="30" t="n">
        <v>45.0481</v>
      </c>
      <c r="M298" s="10" t="inlineStr">
        <is>
          <t>901</t>
        </is>
      </c>
      <c r="N298" s="30" t="n">
        <v>105.204</v>
      </c>
      <c r="O298" s="30" t="n">
        <v>239.246</v>
      </c>
      <c r="P298" s="10" t="inlineStr">
        <is>
          <t>901</t>
        </is>
      </c>
      <c r="Q298" s="30" t="n">
        <v>5.7828</v>
      </c>
      <c r="R298" s="10">
        <f>MAX(MAX(1.4/'Parametros'!$B$3,0.25*SQRT('Parametros'!$B$2)/'Parametros'!$B$3)*H298*U298,(0.85*'Parametros'!$B$2/'Parametros'!$B$3)*(1-SQRT(1-2*(J298*1000000/('Parametros'!$B$5*H298*U298^2))/(0.85*'Parametros'!$B$2)))*H298*U298)</f>
        <v>815.583333333333</v>
      </c>
      <c r="S298" s="31" t="n">
        <v>5</v>
      </c>
      <c r="T298" s="32" t="n">
        <v>1</v>
      </c>
      <c r="U298" s="10">
        <f>IF(T298=1,I298-('Parametros'!$B$7+'Parametros'!$B$9+'Parametros'!$B$12/2),I298-(ROUNDUP(S298/2,0)*('Parametros'!$B$7+'Parametros'!$B$9+'Parametros'!$B$12/2)+ROUNDDOWN(S298/2,0)*('Parametros'!$B$7+'Parametros'!$B$9+'Parametros'!$B$12/2+'Parametros'!$B$12+'Parametros'!$B$10))/S298)</f>
        <v>489.35</v>
      </c>
      <c r="V298" s="10">
        <f>S298*'Parametros'!$B$8</f>
        <v>995</v>
      </c>
      <c r="W298" s="10">
        <f>'Parametros'!$B$5*V298*'Parametros'!$B$3*(U298-(V298*'Parametros'!$B$3/(0.85*'Parametros'!$B$2*H298))/2)/1000000</f>
        <v>177.445379382353</v>
      </c>
      <c r="X298" s="10" t="str">
        <f>IF(W298&gt;=J298,"CUMPLE","NO CUMPLE")</f>
        <v>CUMPLE</v>
      </c>
      <c r="Y298" s="10">
        <f>MAX(MAX(1.4/'Parametros'!$B$3,0.25*SQRT('Parametros'!$B$2)/'Parametros'!$B$3)*H298*AB298,(0.85*'Parametros'!$B$2/'Parametros'!$B$3)*(1-SQRT(1-2*(L298*1000000/('Parametros'!$B$5*H298*AB298^2))/(0.85*'Parametros'!$B$2)))*H298*AB298)</f>
        <v>815.583333333333</v>
      </c>
      <c r="Z298" s="31" t="n">
        <v>5</v>
      </c>
      <c r="AA298" s="32" t="n">
        <v>1</v>
      </c>
      <c r="AB298" s="10">
        <f>IF(AA298=1,I298-('Parametros'!$B$7+'Parametros'!$B$9+'Parametros'!$B$12/2),I298-(ROUNDUP(Z298/2,0)*('Parametros'!$B$7+'Parametros'!$B$9+'Parametros'!$B$12/2)+ROUNDDOWN(Z298/2,0)*('Parametros'!$B$7+'Parametros'!$B$9+'Parametros'!$B$12/2+'Parametros'!$B$12+'Parametros'!$B$10))/Z298)</f>
        <v>489.35</v>
      </c>
      <c r="AC298" s="10">
        <f>Z298*'Parametros'!$B$8</f>
        <v>995</v>
      </c>
      <c r="AD298" s="10">
        <f>'Parametros'!$B$5*AC298*'Parametros'!$B$3*(AB298-(AC298*'Parametros'!$B$3/(0.85*'Parametros'!$B$2*H298))/2)/1000000</f>
        <v>177.445379382353</v>
      </c>
      <c r="AE298" s="10" t="str">
        <f>IF(AD298&gt;=L298,"CUMPLE","NO CUMPLE")</f>
        <v>CUMPLE</v>
      </c>
      <c r="AF298" s="10">
        <f>V298*1.25*'Parametros'!$B$3*(U298-(V298*1.25*'Parametros'!$B$3/(0.85*'Parametros'!$B$2*H298))/2)/1000000</f>
        <v>244.158843198529</v>
      </c>
      <c r="AG298" s="10">
        <f>AC298*1.25*'Parametros'!$B$3*(AB298-(AC298*1.25*'Parametros'!$B$3/(0.85*'Parametros'!$B$2*H298))/2)/1000000</f>
        <v>244.158843198529</v>
      </c>
      <c r="AH298" s="10">
        <f>N298+(AF298+AG298)/D298</f>
        <v>248.826848940311</v>
      </c>
      <c r="AI298" s="10">
        <f>MAX(O298,AH298)</f>
        <v>248.826848940311</v>
      </c>
      <c r="AJ298" s="10">
        <f>0.17*SQRT('Parametros'!$B$2)*H298*MIN(U298,AB298)/1000</f>
        <v>220.098728691808</v>
      </c>
      <c r="AK298" s="10">
        <f>MAX(AI298/'Parametros'!$B$6-AJ298,0)</f>
        <v>111.670403228607</v>
      </c>
      <c r="AL298" s="10">
        <f>0.66*SQRT('Parametros'!$B$2)*H298*MIN(U298,AB298)/1000</f>
        <v>854.500946685842</v>
      </c>
      <c r="AM298" s="10" t="str">
        <f>IF(AK298&lt;=AL298,"CUMPLE","NO CUMPLE")</f>
        <v>CUMPLE</v>
      </c>
      <c r="AN298" s="17" t="inlineStr">
        <is>
          <t>Nº3 cerrado</t>
        </is>
      </c>
      <c r="AO298" s="31" t="n">
        <v>2</v>
      </c>
      <c r="AP298" s="10">
        <f>ROUNDDOWN(MIN(IF(BC298+BD298=0,1000000000,AO298*BB298/(BC298+BD298)),MIN(U298,AB298)/4,8*'Parametros'!$B$12,24*BA298,300,IF(AV298=0,1000000000,2*((H298-2*('Parametros'!$B$7+'Parametros'!$B$9/2))+(I298-2*('Parametros'!$B$7+'Parametros'!$B$9/2)))/8))/10,0)*10</f>
        <v>120</v>
      </c>
      <c r="AQ298" s="10">
        <f>ROUNDDOWN(MIN(IF(BC298+BD298=0,1000000000,AO298*BB298/(BC298+BD298)),IF(AK298&gt;0.33*SQRT('Parametros'!$B$2)*H298*MIN(U298,AB298)/1000,MIN(U298,AB298)/4,MIN(U298,AB298)/2),600,IF(AV298=0,1000000000,2*((H298-2*('Parametros'!$B$7+'Parametros'!$B$9/2))+(I298-2*('Parametros'!$B$7+'Parametros'!$B$9/2)))/8))/10,0)*10</f>
        <v>240</v>
      </c>
      <c r="AR298" s="10">
        <f>'Parametros'!$B$6*(AJ298+MAX(BE298-BD298,0)*'Parametros'!$B$4*MIN(U298,AB298)/1000)</f>
        <v>347.479259018856</v>
      </c>
      <c r="AS298" s="10" t="str">
        <f>IF(AND(ISERROR(SEARCH("referencia",AN298)),AM298="CUMPLE",AR298&gt;=AI298),"CUMPLE","NO CUMPLE")</f>
        <v>CUMPLE</v>
      </c>
      <c r="AT298" s="10">
        <f>'Parametros'!$B$6*0.083*SQRT('Parametros'!$B$2)*(H298*I298)^2/(2*(H298+I298))/1000000</f>
        <v>11.862178757599</v>
      </c>
      <c r="AU298" s="10" t="str">
        <f>IF(Q298&lt;=AT298,"DESPRECIABLE","DISEÑAR")</f>
        <v>DESPRECIABLE</v>
      </c>
      <c r="AV298" s="10">
        <f>IF(Q298&lt;=AT298,0,Q298*1000000/('Parametros'!$B$6*2*0.85*(H298-2*('Parametros'!$B$7+'Parametros'!$B$9/2))*(I298-2*('Parametros'!$B$7+'Parametros'!$B$9/2))*'Parametros'!$B$4))</f>
        <v>0</v>
      </c>
      <c r="AW298" s="10">
        <f>AV298*2*((H298-2*('Parametros'!$B$7+'Parametros'!$B$9/2))+(I298-2*('Parametros'!$B$7+'Parametros'!$B$9/2)))*'Parametros'!$B$4/'Parametros'!$B$3</f>
        <v>0</v>
      </c>
      <c r="AX298" s="31" t="n">
        <v>0</v>
      </c>
      <c r="AY298" s="10" t="str">
        <f>IF(AV298=0,"DESPRECIABLE",IF(AND(ISERROR(SEARCH("referencia",AN298)),BB298/AP298&gt;=AV298,BI298&gt;=AW298,BH298="CUMPLE"),"CUMPLE","NO CUMPLE"))</f>
        <v>DESPRECIABLE</v>
      </c>
      <c r="AZ298" s="10" t="str">
        <f>IF(AND(X298="CUMPLE",AE298="CUMPLE",AS298="CUMPLE",OR(AY298="CUMPLE",AY298="DESPRECIABLE"),BH298="CUMPLE",BJ298="CUMPLE"),"CUMPLE","NO CUMPLE")</f>
        <v>CUMPLE</v>
      </c>
      <c r="BA298" s="32" t="n">
        <v>9.5</v>
      </c>
      <c r="BB298" s="32" t="n">
        <v>71</v>
      </c>
      <c r="BC298" s="10">
        <f>MAX(IF(AK298=0,0,AK298*1000/('Parametros'!$B$4*MIN(U298,AB298))),MAX(0.062*SQRT('Parametros'!$B$2)*H298/'Parametros'!$B$4,0.35*H298/'Parametros'!$B$4))</f>
        <v>0.543336900887024</v>
      </c>
      <c r="BD298" s="10">
        <f>2*AV298</f>
        <v>0</v>
      </c>
      <c r="BE298" s="10">
        <f>AO298*BB298/AP298</f>
        <v>1.18333333333333</v>
      </c>
      <c r="BF298" s="10">
        <f>SQRT((AI298*1000/(H298*MIN(U298,AB298)))^2+(Q298*1000000*2*((H298-2*('Parametros'!$B$7+'Parametros'!$B$9/2))+(I298-2*('Parametros'!$B$7+'Parametros'!$B$9/2)))/(1.7*((H298-2*('Parametros'!$B$7+'Parametros'!$B$9/2))*(I298-2*('Parametros'!$B$7+'Parametros'!$B$9/2)))^2))^2)</f>
        <v>1.03100607682748</v>
      </c>
      <c r="BG298" s="10">
        <f>'Parametros'!$B$6*(AJ298*1000/(H298*MIN(U298,AB298))+0.66*SQRT('Parametros'!$B$2))</f>
        <v>3.29396038227542</v>
      </c>
      <c r="BH298" s="10" t="str">
        <f>IF(BF298&lt;=BG298,"CUMPLE","NO CUMPLE")</f>
        <v>CUMPLE</v>
      </c>
      <c r="BI298" s="10">
        <f>AX298*'Parametros'!$B$8</f>
        <v>0</v>
      </c>
      <c r="BJ298" s="10" t="str">
        <f>IF(BI298&gt;=AW298,"CUMPLE","NO CUMPLE")</f>
        <v>CUMPLE</v>
      </c>
    </row>
    <row r="299">
      <c r="A299" s="23" t="inlineStr">
        <is>
          <t>VR1</t>
        </is>
      </c>
      <c r="B299" s="23" t="inlineStr">
        <is>
          <t>902</t>
        </is>
      </c>
      <c r="C299" s="10" t="n">
        <v>1</v>
      </c>
      <c r="D299" s="10" t="n">
        <v>3.4</v>
      </c>
      <c r="E299" s="10" t="n">
        <v>3.4</v>
      </c>
      <c r="F299" s="10" t="n">
        <v>500</v>
      </c>
      <c r="G299" s="10" t="n">
        <v>550</v>
      </c>
      <c r="H299" s="17" t="n">
        <v>500</v>
      </c>
      <c r="I299" s="17" t="n">
        <v>550</v>
      </c>
      <c r="J299" s="30" t="n">
        <v>115.1458</v>
      </c>
      <c r="K299" s="10" t="inlineStr">
        <is>
          <t>902</t>
        </is>
      </c>
      <c r="L299" s="30" t="n">
        <v>45.0957</v>
      </c>
      <c r="M299" s="10" t="inlineStr">
        <is>
          <t>902</t>
        </is>
      </c>
      <c r="N299" s="30" t="n">
        <v>105.236</v>
      </c>
      <c r="O299" s="30" t="n">
        <v>239.441</v>
      </c>
      <c r="P299" s="10" t="inlineStr">
        <is>
          <t>902</t>
        </is>
      </c>
      <c r="Q299" s="30" t="n">
        <v>5.8238</v>
      </c>
      <c r="R299" s="10">
        <f>MAX(MAX(1.4/'Parametros'!$B$3,0.25*SQRT('Parametros'!$B$2)/'Parametros'!$B$3)*H299*U299,(0.85*'Parametros'!$B$2/'Parametros'!$B$3)*(1-SQRT(1-2*(J299*1000000/('Parametros'!$B$5*H299*U299^2))/(0.85*'Parametros'!$B$2)))*H299*U299)</f>
        <v>815.583333333333</v>
      </c>
      <c r="S299" s="31" t="n">
        <v>5</v>
      </c>
      <c r="T299" s="32" t="n">
        <v>1</v>
      </c>
      <c r="U299" s="10">
        <f>IF(T299=1,I299-('Parametros'!$B$7+'Parametros'!$B$9+'Parametros'!$B$12/2),I299-(ROUNDUP(S299/2,0)*('Parametros'!$B$7+'Parametros'!$B$9+'Parametros'!$B$12/2)+ROUNDDOWN(S299/2,0)*('Parametros'!$B$7+'Parametros'!$B$9+'Parametros'!$B$12/2+'Parametros'!$B$12+'Parametros'!$B$10))/S299)</f>
        <v>489.35</v>
      </c>
      <c r="V299" s="10">
        <f>S299*'Parametros'!$B$8</f>
        <v>995</v>
      </c>
      <c r="W299" s="10">
        <f>'Parametros'!$B$5*V299*'Parametros'!$B$3*(U299-(V299*'Parametros'!$B$3/(0.85*'Parametros'!$B$2*H299))/2)/1000000</f>
        <v>177.445379382353</v>
      </c>
      <c r="X299" s="10" t="str">
        <f>IF(W299&gt;=J299,"CUMPLE","NO CUMPLE")</f>
        <v>CUMPLE</v>
      </c>
      <c r="Y299" s="10">
        <f>MAX(MAX(1.4/'Parametros'!$B$3,0.25*SQRT('Parametros'!$B$2)/'Parametros'!$B$3)*H299*AB299,(0.85*'Parametros'!$B$2/'Parametros'!$B$3)*(1-SQRT(1-2*(L299*1000000/('Parametros'!$B$5*H299*AB299^2))/(0.85*'Parametros'!$B$2)))*H299*AB299)</f>
        <v>815.583333333333</v>
      </c>
      <c r="Z299" s="31" t="n">
        <v>5</v>
      </c>
      <c r="AA299" s="32" t="n">
        <v>1</v>
      </c>
      <c r="AB299" s="10">
        <f>IF(AA299=1,I299-('Parametros'!$B$7+'Parametros'!$B$9+'Parametros'!$B$12/2),I299-(ROUNDUP(Z299/2,0)*('Parametros'!$B$7+'Parametros'!$B$9+'Parametros'!$B$12/2)+ROUNDDOWN(Z299/2,0)*('Parametros'!$B$7+'Parametros'!$B$9+'Parametros'!$B$12/2+'Parametros'!$B$12+'Parametros'!$B$10))/Z299)</f>
        <v>489.35</v>
      </c>
      <c r="AC299" s="10">
        <f>Z299*'Parametros'!$B$8</f>
        <v>995</v>
      </c>
      <c r="AD299" s="10">
        <f>'Parametros'!$B$5*AC299*'Parametros'!$B$3*(AB299-(AC299*'Parametros'!$B$3/(0.85*'Parametros'!$B$2*H299))/2)/1000000</f>
        <v>177.445379382353</v>
      </c>
      <c r="AE299" s="10" t="str">
        <f>IF(AD299&gt;=L299,"CUMPLE","NO CUMPLE")</f>
        <v>CUMPLE</v>
      </c>
      <c r="AF299" s="10">
        <f>V299*1.25*'Parametros'!$B$3*(U299-(V299*1.25*'Parametros'!$B$3/(0.85*'Parametros'!$B$2*H299))/2)/1000000</f>
        <v>244.158843198529</v>
      </c>
      <c r="AG299" s="10">
        <f>AC299*1.25*'Parametros'!$B$3*(AB299-(AC299*1.25*'Parametros'!$B$3/(0.85*'Parametros'!$B$2*H299))/2)/1000000</f>
        <v>244.158843198529</v>
      </c>
      <c r="AH299" s="10">
        <f>N299+(AF299+AG299)/D299</f>
        <v>248.858848940311</v>
      </c>
      <c r="AI299" s="10">
        <f>MAX(O299,AH299)</f>
        <v>248.858848940311</v>
      </c>
      <c r="AJ299" s="10">
        <f>0.17*SQRT('Parametros'!$B$2)*H299*MIN(U299,AB299)/1000</f>
        <v>220.098728691808</v>
      </c>
      <c r="AK299" s="10">
        <f>MAX(AI299/'Parametros'!$B$6-AJ299,0)</f>
        <v>111.713069895274</v>
      </c>
      <c r="AL299" s="10">
        <f>0.66*SQRT('Parametros'!$B$2)*H299*MIN(U299,AB299)/1000</f>
        <v>854.500946685842</v>
      </c>
      <c r="AM299" s="10" t="str">
        <f>IF(AK299&lt;=AL299,"CUMPLE","NO CUMPLE")</f>
        <v>CUMPLE</v>
      </c>
      <c r="AN299" s="17" t="inlineStr">
        <is>
          <t>Nº3 cerrado</t>
        </is>
      </c>
      <c r="AO299" s="31" t="n">
        <v>2</v>
      </c>
      <c r="AP299" s="10">
        <f>ROUNDDOWN(MIN(IF(BC299+BD299=0,1000000000,AO299*BB299/(BC299+BD299)),MIN(U299,AB299)/4,8*'Parametros'!$B$12,24*BA299,300,IF(AV299=0,1000000000,2*((H299-2*('Parametros'!$B$7+'Parametros'!$B$9/2))+(I299-2*('Parametros'!$B$7+'Parametros'!$B$9/2)))/8))/10,0)*10</f>
        <v>120</v>
      </c>
      <c r="AQ299" s="10">
        <f>ROUNDDOWN(MIN(IF(BC299+BD299=0,1000000000,AO299*BB299/(BC299+BD299)),IF(AK299&gt;0.33*SQRT('Parametros'!$B$2)*H299*MIN(U299,AB299)/1000,MIN(U299,AB299)/4,MIN(U299,AB299)/2),600,IF(AV299=0,1000000000,2*((H299-2*('Parametros'!$B$7+'Parametros'!$B$9/2))+(I299-2*('Parametros'!$B$7+'Parametros'!$B$9/2)))/8))/10,0)*10</f>
        <v>240</v>
      </c>
      <c r="AR299" s="10">
        <f>'Parametros'!$B$6*(AJ299+MAX(BE299-BD299,0)*'Parametros'!$B$4*MIN(U299,AB299)/1000)</f>
        <v>347.479259018856</v>
      </c>
      <c r="AS299" s="10" t="str">
        <f>IF(AND(ISERROR(SEARCH("referencia",AN299)),AM299="CUMPLE",AR299&gt;=AI299),"CUMPLE","NO CUMPLE")</f>
        <v>CUMPLE</v>
      </c>
      <c r="AT299" s="10">
        <f>'Parametros'!$B$6*0.083*SQRT('Parametros'!$B$2)*(H299*I299)^2/(2*(H299+I299))/1000000</f>
        <v>11.862178757599</v>
      </c>
      <c r="AU299" s="10" t="str">
        <f>IF(Q299&lt;=AT299,"DESPRECIABLE","DISEÑAR")</f>
        <v>DESPRECIABLE</v>
      </c>
      <c r="AV299" s="10">
        <f>IF(Q299&lt;=AT299,0,Q299*1000000/('Parametros'!$B$6*2*0.85*(H299-2*('Parametros'!$B$7+'Parametros'!$B$9/2))*(I299-2*('Parametros'!$B$7+'Parametros'!$B$9/2))*'Parametros'!$B$4))</f>
        <v>0</v>
      </c>
      <c r="AW299" s="10">
        <f>AV299*2*((H299-2*('Parametros'!$B$7+'Parametros'!$B$9/2))+(I299-2*('Parametros'!$B$7+'Parametros'!$B$9/2)))*'Parametros'!$B$4/'Parametros'!$B$3</f>
        <v>0</v>
      </c>
      <c r="AX299" s="31" t="n">
        <v>0</v>
      </c>
      <c r="AY299" s="10" t="str">
        <f>IF(AV299=0,"DESPRECIABLE",IF(AND(ISERROR(SEARCH("referencia",AN299)),BB299/AP299&gt;=AV299,BI299&gt;=AW299,BH299="CUMPLE"),"CUMPLE","NO CUMPLE"))</f>
        <v>DESPRECIABLE</v>
      </c>
      <c r="AZ299" s="10" t="str">
        <f>IF(AND(X299="CUMPLE",AE299="CUMPLE",AS299="CUMPLE",OR(AY299="CUMPLE",AY299="DESPRECIABLE"),BH299="CUMPLE",BJ299="CUMPLE"),"CUMPLE","NO CUMPLE")</f>
        <v>CUMPLE</v>
      </c>
      <c r="BA299" s="32" t="n">
        <v>9.5</v>
      </c>
      <c r="BB299" s="32" t="n">
        <v>71</v>
      </c>
      <c r="BC299" s="10">
        <f>MAX(IF(AK299=0,0,AK299*1000/('Parametros'!$B$4*MIN(U299,AB299))),MAX(0.062*SQRT('Parametros'!$B$2)*H299/'Parametros'!$B$4,0.35*H299/'Parametros'!$B$4))</f>
        <v>0.543544497293661</v>
      </c>
      <c r="BD299" s="10">
        <f>2*AV299</f>
        <v>0</v>
      </c>
      <c r="BE299" s="10">
        <f>AO299*BB299/AP299</f>
        <v>1.18333333333333</v>
      </c>
      <c r="BF299" s="10">
        <f>SQRT((AI299*1000/(H299*MIN(U299,AB299)))^2+(Q299*1000000*2*((H299-2*('Parametros'!$B$7+'Parametros'!$B$9/2))+(I299-2*('Parametros'!$B$7+'Parametros'!$B$9/2)))/(1.7*((H299-2*('Parametros'!$B$7+'Parametros'!$B$9/2))*(I299-2*('Parametros'!$B$7+'Parametros'!$B$9/2)))^2))^2)</f>
        <v>1.03133343190282</v>
      </c>
      <c r="BG299" s="10">
        <f>'Parametros'!$B$6*(AJ299*1000/(H299*MIN(U299,AB299))+0.66*SQRT('Parametros'!$B$2))</f>
        <v>3.29396038227542</v>
      </c>
      <c r="BH299" s="10" t="str">
        <f>IF(BF299&lt;=BG299,"CUMPLE","NO CUMPLE")</f>
        <v>CUMPLE</v>
      </c>
      <c r="BI299" s="10">
        <f>AX299*'Parametros'!$B$8</f>
        <v>0</v>
      </c>
      <c r="BJ299" s="10" t="str">
        <f>IF(BI299&gt;=AW299,"CUMPLE","NO CUMPLE")</f>
        <v>CUMPLE</v>
      </c>
    </row>
    <row r="300">
      <c r="A300" s="23" t="inlineStr">
        <is>
          <t>VR1</t>
        </is>
      </c>
      <c r="B300" s="23" t="inlineStr">
        <is>
          <t>903</t>
        </is>
      </c>
      <c r="C300" s="10" t="n">
        <v>1</v>
      </c>
      <c r="D300" s="10" t="n">
        <v>1.9</v>
      </c>
      <c r="E300" s="10" t="n">
        <v>1.9</v>
      </c>
      <c r="F300" s="10" t="n">
        <v>500</v>
      </c>
      <c r="G300" s="10" t="n">
        <v>550</v>
      </c>
      <c r="H300" s="17" t="n">
        <v>500</v>
      </c>
      <c r="I300" s="17" t="n">
        <v>550</v>
      </c>
      <c r="J300" s="30" t="n">
        <v>94.8417</v>
      </c>
      <c r="K300" s="10" t="inlineStr">
        <is>
          <t>903</t>
        </is>
      </c>
      <c r="L300" s="30" t="n">
        <v>57.0838</v>
      </c>
      <c r="M300" s="10" t="inlineStr">
        <is>
          <t>903</t>
        </is>
      </c>
      <c r="N300" s="30" t="n">
        <v>102.85</v>
      </c>
      <c r="O300" s="30" t="n">
        <v>302.381</v>
      </c>
      <c r="P300" s="10" t="inlineStr">
        <is>
          <t>903</t>
        </is>
      </c>
      <c r="Q300" s="30" t="n">
        <v>1.7783</v>
      </c>
      <c r="R300" s="10">
        <f>MAX(MAX(1.4/'Parametros'!$B$3,0.25*SQRT('Parametros'!$B$2)/'Parametros'!$B$3)*H300*U300,(0.85*'Parametros'!$B$2/'Parametros'!$B$3)*(1-SQRT(1-2*(J300*1000000/('Parametros'!$B$5*H300*U300^2))/(0.85*'Parametros'!$B$2)))*H300*U300)</f>
        <v>815.583333333333</v>
      </c>
      <c r="S300" s="31" t="n">
        <v>5</v>
      </c>
      <c r="T300" s="32" t="n">
        <v>1</v>
      </c>
      <c r="U300" s="10">
        <f>IF(T300=1,I300-('Parametros'!$B$7+'Parametros'!$B$9+'Parametros'!$B$12/2),I300-(ROUNDUP(S300/2,0)*('Parametros'!$B$7+'Parametros'!$B$9+'Parametros'!$B$12/2)+ROUNDDOWN(S300/2,0)*('Parametros'!$B$7+'Parametros'!$B$9+'Parametros'!$B$12/2+'Parametros'!$B$12+'Parametros'!$B$10))/S300)</f>
        <v>489.35</v>
      </c>
      <c r="V300" s="10">
        <f>S300*'Parametros'!$B$8</f>
        <v>995</v>
      </c>
      <c r="W300" s="10">
        <f>'Parametros'!$B$5*V300*'Parametros'!$B$3*(U300-(V300*'Parametros'!$B$3/(0.85*'Parametros'!$B$2*H300))/2)/1000000</f>
        <v>177.445379382353</v>
      </c>
      <c r="X300" s="10" t="str">
        <f>IF(W300&gt;=J300,"CUMPLE","NO CUMPLE")</f>
        <v>CUMPLE</v>
      </c>
      <c r="Y300" s="10">
        <f>MAX(MAX(1.4/'Parametros'!$B$3,0.25*SQRT('Parametros'!$B$2)/'Parametros'!$B$3)*H300*AB300,(0.85*'Parametros'!$B$2/'Parametros'!$B$3)*(1-SQRT(1-2*(L300*1000000/('Parametros'!$B$5*H300*AB300^2))/(0.85*'Parametros'!$B$2)))*H300*AB300)</f>
        <v>815.583333333333</v>
      </c>
      <c r="Z300" s="31" t="n">
        <v>5</v>
      </c>
      <c r="AA300" s="32" t="n">
        <v>1</v>
      </c>
      <c r="AB300" s="10">
        <f>IF(AA300=1,I300-('Parametros'!$B$7+'Parametros'!$B$9+'Parametros'!$B$12/2),I300-(ROUNDUP(Z300/2,0)*('Parametros'!$B$7+'Parametros'!$B$9+'Parametros'!$B$12/2)+ROUNDDOWN(Z300/2,0)*('Parametros'!$B$7+'Parametros'!$B$9+'Parametros'!$B$12/2+'Parametros'!$B$12+'Parametros'!$B$10))/Z300)</f>
        <v>489.35</v>
      </c>
      <c r="AC300" s="10">
        <f>Z300*'Parametros'!$B$8</f>
        <v>995</v>
      </c>
      <c r="AD300" s="10">
        <f>'Parametros'!$B$5*AC300*'Parametros'!$B$3*(AB300-(AC300*'Parametros'!$B$3/(0.85*'Parametros'!$B$2*H300))/2)/1000000</f>
        <v>177.445379382353</v>
      </c>
      <c r="AE300" s="10" t="str">
        <f>IF(AD300&gt;=L300,"CUMPLE","NO CUMPLE")</f>
        <v>CUMPLE</v>
      </c>
      <c r="AF300" s="10">
        <f>V300*1.25*'Parametros'!$B$3*(U300-(V300*1.25*'Parametros'!$B$3/(0.85*'Parametros'!$B$2*H300))/2)/1000000</f>
        <v>244.158843198529</v>
      </c>
      <c r="AG300" s="10">
        <f>AC300*1.25*'Parametros'!$B$3*(AB300-(AC300*1.25*'Parametros'!$B$3/(0.85*'Parametros'!$B$2*H300))/2)/1000000</f>
        <v>244.158843198529</v>
      </c>
      <c r="AH300" s="10">
        <f>N300+(AF300+AG300)/D300</f>
        <v>359.859308630031</v>
      </c>
      <c r="AI300" s="10">
        <f>MAX(O300,AH300)</f>
        <v>359.859308630031</v>
      </c>
      <c r="AJ300" s="10">
        <f>0.17*SQRT('Parametros'!$B$2)*H300*MIN(U300,AB300)/1000</f>
        <v>220.098728691808</v>
      </c>
      <c r="AK300" s="10">
        <f>MAX(AI300/'Parametros'!$B$6-AJ300,0)</f>
        <v>259.7136828149</v>
      </c>
      <c r="AL300" s="10">
        <f>0.66*SQRT('Parametros'!$B$2)*H300*MIN(U300,AB300)/1000</f>
        <v>854.500946685842</v>
      </c>
      <c r="AM300" s="10" t="str">
        <f>IF(AK300&lt;=AL300,"CUMPLE","NO CUMPLE")</f>
        <v>CUMPLE</v>
      </c>
      <c r="AN300" s="17" t="inlineStr">
        <is>
          <t>Nº3 cerrado</t>
        </is>
      </c>
      <c r="AO300" s="31" t="n">
        <v>2</v>
      </c>
      <c r="AP300" s="10">
        <f>ROUNDDOWN(MIN(IF(BC300+BD300=0,1000000000,AO300*BB300/(BC300+BD300)),MIN(U300,AB300)/4,8*'Parametros'!$B$12,24*BA300,300,IF(AV300=0,1000000000,2*((H300-2*('Parametros'!$B$7+'Parametros'!$B$9/2))+(I300-2*('Parametros'!$B$7+'Parametros'!$B$9/2)))/8))/10,0)*10</f>
        <v>110</v>
      </c>
      <c r="AQ300" s="10">
        <f>ROUNDDOWN(MIN(IF(BC300+BD300=0,1000000000,AO300*BB300/(BC300+BD300)),IF(AK300&gt;0.33*SQRT('Parametros'!$B$2)*H300*MIN(U300,AB300)/1000,MIN(U300,AB300)/4,MIN(U300,AB300)/2),600,IF(AV300=0,1000000000,2*((H300-2*('Parametros'!$B$7+'Parametros'!$B$9/2))+(I300-2*('Parametros'!$B$7+'Parametros'!$B$9/2)))/8))/10,0)*10</f>
        <v>110</v>
      </c>
      <c r="AR300" s="10">
        <f>'Parametros'!$B$6*(AJ300+MAX(BE300-BD300,0)*'Parametros'!$B$4*MIN(U300,AB300)/1000)</f>
        <v>364.06155106431</v>
      </c>
      <c r="AS300" s="10" t="str">
        <f>IF(AND(ISERROR(SEARCH("referencia",AN300)),AM300="CUMPLE",AR300&gt;=AI300),"CUMPLE","NO CUMPLE")</f>
        <v>CUMPLE</v>
      </c>
      <c r="AT300" s="10">
        <f>'Parametros'!$B$6*0.083*SQRT('Parametros'!$B$2)*(H300*I300)^2/(2*(H300+I300))/1000000</f>
        <v>11.862178757599</v>
      </c>
      <c r="AU300" s="10" t="str">
        <f>IF(Q300&lt;=AT300,"DESPRECIABLE","DISEÑAR")</f>
        <v>DESPRECIABLE</v>
      </c>
      <c r="AV300" s="10">
        <f>IF(Q300&lt;=AT300,0,Q300*1000000/('Parametros'!$B$6*2*0.85*(H300-2*('Parametros'!$B$7+'Parametros'!$B$9/2))*(I300-2*('Parametros'!$B$7+'Parametros'!$B$9/2))*'Parametros'!$B$4))</f>
        <v>0</v>
      </c>
      <c r="AW300" s="10">
        <f>AV300*2*((H300-2*('Parametros'!$B$7+'Parametros'!$B$9/2))+(I300-2*('Parametros'!$B$7+'Parametros'!$B$9/2)))*'Parametros'!$B$4/'Parametros'!$B$3</f>
        <v>0</v>
      </c>
      <c r="AX300" s="31" t="n">
        <v>0</v>
      </c>
      <c r="AY300" s="10" t="str">
        <f>IF(AV300=0,"DESPRECIABLE",IF(AND(ISERROR(SEARCH("referencia",AN300)),BB300/AP300&gt;=AV300,BI300&gt;=AW300,BH300="CUMPLE"),"CUMPLE","NO CUMPLE"))</f>
        <v>DESPRECIABLE</v>
      </c>
      <c r="AZ300" s="10" t="str">
        <f>IF(AND(X300="CUMPLE",AE300="CUMPLE",AS300="CUMPLE",OR(AY300="CUMPLE",AY300="DESPRECIABLE"),BH300="CUMPLE",BJ300="CUMPLE"),"CUMPLE","NO CUMPLE")</f>
        <v>CUMPLE</v>
      </c>
      <c r="BA300" s="32" t="n">
        <v>9.5</v>
      </c>
      <c r="BB300" s="32" t="n">
        <v>71</v>
      </c>
      <c r="BC300" s="10">
        <f>MAX(IF(AK300=0,0,AK300*1000/('Parametros'!$B$4*MIN(U300,AB300))),MAX(0.062*SQRT('Parametros'!$B$2)*H300/'Parametros'!$B$4,0.35*H300/'Parametros'!$B$4))</f>
        <v>1.26364751499754</v>
      </c>
      <c r="BD300" s="10">
        <f>2*AV300</f>
        <v>0</v>
      </c>
      <c r="BE300" s="10">
        <f>AO300*BB300/AP300</f>
        <v>1.29090909090909</v>
      </c>
      <c r="BF300" s="10">
        <f>SQRT((AI300*1000/(H300*MIN(U300,AB300)))^2+(Q300*1000000*2*((H300-2*('Parametros'!$B$7+'Parametros'!$B$9/2))+(I300-2*('Parametros'!$B$7+'Parametros'!$B$9/2)))/(1.7*((H300-2*('Parametros'!$B$7+'Parametros'!$B$9/2))*(I300-2*('Parametros'!$B$7+'Parametros'!$B$9/2)))^2))^2)</f>
        <v>1.47168843095515</v>
      </c>
      <c r="BG300" s="10">
        <f>'Parametros'!$B$6*(AJ300*1000/(H300*MIN(U300,AB300))+0.66*SQRT('Parametros'!$B$2))</f>
        <v>3.29396038227542</v>
      </c>
      <c r="BH300" s="10" t="str">
        <f>IF(BF300&lt;=BG300,"CUMPLE","NO CUMPLE")</f>
        <v>CUMPLE</v>
      </c>
      <c r="BI300" s="10">
        <f>AX300*'Parametros'!$B$8</f>
        <v>0</v>
      </c>
      <c r="BJ300" s="10" t="str">
        <f>IF(BI300&gt;=AW300,"CUMPLE","NO CUMPLE")</f>
        <v>CUMPLE</v>
      </c>
    </row>
    <row r="301">
      <c r="A301" s="23" t="inlineStr">
        <is>
          <t>VR1</t>
        </is>
      </c>
      <c r="B301" s="23" t="inlineStr">
        <is>
          <t>904</t>
        </is>
      </c>
      <c r="C301" s="10" t="n">
        <v>1</v>
      </c>
      <c r="D301" s="10" t="n">
        <v>2</v>
      </c>
      <c r="E301" s="10" t="n">
        <v>2</v>
      </c>
      <c r="F301" s="10" t="n">
        <v>500</v>
      </c>
      <c r="G301" s="10" t="n">
        <v>550</v>
      </c>
      <c r="H301" s="17" t="n">
        <v>500</v>
      </c>
      <c r="I301" s="17" t="n">
        <v>550</v>
      </c>
      <c r="J301" s="30" t="n">
        <v>89.3274</v>
      </c>
      <c r="K301" s="10" t="inlineStr">
        <is>
          <t>904</t>
        </is>
      </c>
      <c r="L301" s="30" t="n">
        <v>50.6205</v>
      </c>
      <c r="M301" s="10" t="inlineStr">
        <is>
          <t>904</t>
        </is>
      </c>
      <c r="N301" s="30" t="n">
        <v>96.71599999999999</v>
      </c>
      <c r="O301" s="30" t="n">
        <v>279.823</v>
      </c>
      <c r="P301" s="10" t="inlineStr">
        <is>
          <t>904</t>
        </is>
      </c>
      <c r="Q301" s="30" t="n">
        <v>3.1307</v>
      </c>
      <c r="R301" s="10">
        <f>MAX(MAX(1.4/'Parametros'!$B$3,0.25*SQRT('Parametros'!$B$2)/'Parametros'!$B$3)*H301*U301,(0.85*'Parametros'!$B$2/'Parametros'!$B$3)*(1-SQRT(1-2*(J301*1000000/('Parametros'!$B$5*H301*U301^2))/(0.85*'Parametros'!$B$2)))*H301*U301)</f>
        <v>815.583333333333</v>
      </c>
      <c r="S301" s="31" t="n">
        <v>5</v>
      </c>
      <c r="T301" s="32" t="n">
        <v>1</v>
      </c>
      <c r="U301" s="10">
        <f>IF(T301=1,I301-('Parametros'!$B$7+'Parametros'!$B$9+'Parametros'!$B$12/2),I301-(ROUNDUP(S301/2,0)*('Parametros'!$B$7+'Parametros'!$B$9+'Parametros'!$B$12/2)+ROUNDDOWN(S301/2,0)*('Parametros'!$B$7+'Parametros'!$B$9+'Parametros'!$B$12/2+'Parametros'!$B$12+'Parametros'!$B$10))/S301)</f>
        <v>489.35</v>
      </c>
      <c r="V301" s="10">
        <f>S301*'Parametros'!$B$8</f>
        <v>995</v>
      </c>
      <c r="W301" s="10">
        <f>'Parametros'!$B$5*V301*'Parametros'!$B$3*(U301-(V301*'Parametros'!$B$3/(0.85*'Parametros'!$B$2*H301))/2)/1000000</f>
        <v>177.445379382353</v>
      </c>
      <c r="X301" s="10" t="str">
        <f>IF(W301&gt;=J301,"CUMPLE","NO CUMPLE")</f>
        <v>CUMPLE</v>
      </c>
      <c r="Y301" s="10">
        <f>MAX(MAX(1.4/'Parametros'!$B$3,0.25*SQRT('Parametros'!$B$2)/'Parametros'!$B$3)*H301*AB301,(0.85*'Parametros'!$B$2/'Parametros'!$B$3)*(1-SQRT(1-2*(L301*1000000/('Parametros'!$B$5*H301*AB301^2))/(0.85*'Parametros'!$B$2)))*H301*AB301)</f>
        <v>815.583333333333</v>
      </c>
      <c r="Z301" s="31" t="n">
        <v>5</v>
      </c>
      <c r="AA301" s="32" t="n">
        <v>1</v>
      </c>
      <c r="AB301" s="10">
        <f>IF(AA301=1,I301-('Parametros'!$B$7+'Parametros'!$B$9+'Parametros'!$B$12/2),I301-(ROUNDUP(Z301/2,0)*('Parametros'!$B$7+'Parametros'!$B$9+'Parametros'!$B$12/2)+ROUNDDOWN(Z301/2,0)*('Parametros'!$B$7+'Parametros'!$B$9+'Parametros'!$B$12/2+'Parametros'!$B$12+'Parametros'!$B$10))/Z301)</f>
        <v>489.35</v>
      </c>
      <c r="AC301" s="10">
        <f>Z301*'Parametros'!$B$8</f>
        <v>995</v>
      </c>
      <c r="AD301" s="10">
        <f>'Parametros'!$B$5*AC301*'Parametros'!$B$3*(AB301-(AC301*'Parametros'!$B$3/(0.85*'Parametros'!$B$2*H301))/2)/1000000</f>
        <v>177.445379382353</v>
      </c>
      <c r="AE301" s="10" t="str">
        <f>IF(AD301&gt;=L301,"CUMPLE","NO CUMPLE")</f>
        <v>CUMPLE</v>
      </c>
      <c r="AF301" s="10">
        <f>V301*1.25*'Parametros'!$B$3*(U301-(V301*1.25*'Parametros'!$B$3/(0.85*'Parametros'!$B$2*H301))/2)/1000000</f>
        <v>244.158843198529</v>
      </c>
      <c r="AG301" s="10">
        <f>AC301*1.25*'Parametros'!$B$3*(AB301-(AC301*1.25*'Parametros'!$B$3/(0.85*'Parametros'!$B$2*H301))/2)/1000000</f>
        <v>244.158843198529</v>
      </c>
      <c r="AH301" s="10">
        <f>N301+(AF301+AG301)/D301</f>
        <v>340.874843198529</v>
      </c>
      <c r="AI301" s="10">
        <f>MAX(O301,AH301)</f>
        <v>340.874843198529</v>
      </c>
      <c r="AJ301" s="10">
        <f>0.17*SQRT('Parametros'!$B$2)*H301*MIN(U301,AB301)/1000</f>
        <v>220.098728691808</v>
      </c>
      <c r="AK301" s="10">
        <f>MAX(AI301/'Parametros'!$B$6-AJ301,0)</f>
        <v>234.401062239565</v>
      </c>
      <c r="AL301" s="10">
        <f>0.66*SQRT('Parametros'!$B$2)*H301*MIN(U301,AB301)/1000</f>
        <v>854.500946685842</v>
      </c>
      <c r="AM301" s="10" t="str">
        <f>IF(AK301&lt;=AL301,"CUMPLE","NO CUMPLE")</f>
        <v>CUMPLE</v>
      </c>
      <c r="AN301" s="17" t="inlineStr">
        <is>
          <t>Nº3 cerrado</t>
        </is>
      </c>
      <c r="AO301" s="31" t="n">
        <v>2</v>
      </c>
      <c r="AP301" s="10">
        <f>ROUNDDOWN(MIN(IF(BC301+BD301=0,1000000000,AO301*BB301/(BC301+BD301)),MIN(U301,AB301)/4,8*'Parametros'!$B$12,24*BA301,300,IF(AV301=0,1000000000,2*((H301-2*('Parametros'!$B$7+'Parametros'!$B$9/2))+(I301-2*('Parametros'!$B$7+'Parametros'!$B$9/2)))/8))/10,0)*10</f>
        <v>120</v>
      </c>
      <c r="AQ301" s="10">
        <f>ROUNDDOWN(MIN(IF(BC301+BD301=0,1000000000,AO301*BB301/(BC301+BD301)),IF(AK301&gt;0.33*SQRT('Parametros'!$B$2)*H301*MIN(U301,AB301)/1000,MIN(U301,AB301)/4,MIN(U301,AB301)/2),600,IF(AV301=0,1000000000,2*((H301-2*('Parametros'!$B$7+'Parametros'!$B$9/2))+(I301-2*('Parametros'!$B$7+'Parametros'!$B$9/2)))/8))/10,0)*10</f>
        <v>120</v>
      </c>
      <c r="AR301" s="10">
        <f>'Parametros'!$B$6*(AJ301+MAX(BE301-BD301,0)*'Parametros'!$B$4*MIN(U301,AB301)/1000)</f>
        <v>347.479259018856</v>
      </c>
      <c r="AS301" s="10" t="str">
        <f>IF(AND(ISERROR(SEARCH("referencia",AN301)),AM301="CUMPLE",AR301&gt;=AI301),"CUMPLE","NO CUMPLE")</f>
        <v>CUMPLE</v>
      </c>
      <c r="AT301" s="10">
        <f>'Parametros'!$B$6*0.083*SQRT('Parametros'!$B$2)*(H301*I301)^2/(2*(H301+I301))/1000000</f>
        <v>11.862178757599</v>
      </c>
      <c r="AU301" s="10" t="str">
        <f>IF(Q301&lt;=AT301,"DESPRECIABLE","DISEÑAR")</f>
        <v>DESPRECIABLE</v>
      </c>
      <c r="AV301" s="10">
        <f>IF(Q301&lt;=AT301,0,Q301*1000000/('Parametros'!$B$6*2*0.85*(H301-2*('Parametros'!$B$7+'Parametros'!$B$9/2))*(I301-2*('Parametros'!$B$7+'Parametros'!$B$9/2))*'Parametros'!$B$4))</f>
        <v>0</v>
      </c>
      <c r="AW301" s="10">
        <f>AV301*2*((H301-2*('Parametros'!$B$7+'Parametros'!$B$9/2))+(I301-2*('Parametros'!$B$7+'Parametros'!$B$9/2)))*'Parametros'!$B$4/'Parametros'!$B$3</f>
        <v>0</v>
      </c>
      <c r="AX301" s="31" t="n">
        <v>0</v>
      </c>
      <c r="AY301" s="10" t="str">
        <f>IF(AV301=0,"DESPRECIABLE",IF(AND(ISERROR(SEARCH("referencia",AN301)),BB301/AP301&gt;=AV301,BI301&gt;=AW301,BH301="CUMPLE"),"CUMPLE","NO CUMPLE"))</f>
        <v>DESPRECIABLE</v>
      </c>
      <c r="AZ301" s="10" t="str">
        <f>IF(AND(X301="CUMPLE",AE301="CUMPLE",AS301="CUMPLE",OR(AY301="CUMPLE",AY301="DESPRECIABLE"),BH301="CUMPLE",BJ301="CUMPLE"),"CUMPLE","NO CUMPLE")</f>
        <v>CUMPLE</v>
      </c>
      <c r="BA301" s="32" t="n">
        <v>9.5</v>
      </c>
      <c r="BB301" s="32" t="n">
        <v>71</v>
      </c>
      <c r="BC301" s="10">
        <f>MAX(IF(AK301=0,0,AK301*1000/('Parametros'!$B$4*MIN(U301,AB301))),MAX(0.062*SQRT('Parametros'!$B$2)*H301/'Parametros'!$B$4,0.35*H301/'Parametros'!$B$4))</f>
        <v>1.14048792732617</v>
      </c>
      <c r="BD301" s="10">
        <f>2*AV301</f>
        <v>0</v>
      </c>
      <c r="BE301" s="10">
        <f>AO301*BB301/AP301</f>
        <v>1.18333333333333</v>
      </c>
      <c r="BF301" s="10">
        <f>SQRT((AI301*1000/(H301*MIN(U301,AB301)))^2+(Q301*1000000*2*((H301-2*('Parametros'!$B$7+'Parametros'!$B$9/2))+(I301-2*('Parametros'!$B$7+'Parametros'!$B$9/2)))/(1.7*((H301-2*('Parametros'!$B$7+'Parametros'!$B$9/2))*(I301-2*('Parametros'!$B$7+'Parametros'!$B$9/2)))^2))^2)</f>
        <v>1.39619467547575</v>
      </c>
      <c r="BG301" s="10">
        <f>'Parametros'!$B$6*(AJ301*1000/(H301*MIN(U301,AB301))+0.66*SQRT('Parametros'!$B$2))</f>
        <v>3.29396038227542</v>
      </c>
      <c r="BH301" s="10" t="str">
        <f>IF(BF301&lt;=BG301,"CUMPLE","NO CUMPLE")</f>
        <v>CUMPLE</v>
      </c>
      <c r="BI301" s="10">
        <f>AX301*'Parametros'!$B$8</f>
        <v>0</v>
      </c>
      <c r="BJ301" s="10" t="str">
        <f>IF(BI301&gt;=AW301,"CUMPLE","NO CUMPLE")</f>
        <v>CUMPLE</v>
      </c>
    </row>
    <row r="302">
      <c r="A302" s="23" t="inlineStr">
        <is>
          <t>VR1</t>
        </is>
      </c>
      <c r="B302" s="23" t="inlineStr">
        <is>
          <t>905</t>
        </is>
      </c>
      <c r="C302" s="10" t="n">
        <v>1</v>
      </c>
      <c r="D302" s="10" t="n">
        <v>3.05</v>
      </c>
      <c r="E302" s="10" t="n">
        <v>3.05</v>
      </c>
      <c r="F302" s="10" t="n">
        <v>500</v>
      </c>
      <c r="G302" s="10" t="n">
        <v>550</v>
      </c>
      <c r="H302" s="17" t="n">
        <v>500</v>
      </c>
      <c r="I302" s="17" t="n">
        <v>550</v>
      </c>
      <c r="J302" s="30" t="n">
        <v>113.3685</v>
      </c>
      <c r="K302" s="10" t="inlineStr">
        <is>
          <t>905</t>
        </is>
      </c>
      <c r="L302" s="30" t="n">
        <v>55.0736</v>
      </c>
      <c r="M302" s="10" t="inlineStr">
        <is>
          <t>905</t>
        </is>
      </c>
      <c r="N302" s="30" t="n">
        <v>105.699</v>
      </c>
      <c r="O302" s="30" t="n">
        <v>269.263</v>
      </c>
      <c r="P302" s="10" t="inlineStr">
        <is>
          <t>905</t>
        </is>
      </c>
      <c r="Q302" s="30" t="n">
        <v>1.2947</v>
      </c>
      <c r="R302" s="10">
        <f>MAX(MAX(1.4/'Parametros'!$B$3,0.25*SQRT('Parametros'!$B$2)/'Parametros'!$B$3)*H302*U302,(0.85*'Parametros'!$B$2/'Parametros'!$B$3)*(1-SQRT(1-2*(J302*1000000/('Parametros'!$B$5*H302*U302^2))/(0.85*'Parametros'!$B$2)))*H302*U302)</f>
        <v>815.583333333333</v>
      </c>
      <c r="S302" s="31" t="n">
        <v>5</v>
      </c>
      <c r="T302" s="32" t="n">
        <v>1</v>
      </c>
      <c r="U302" s="10">
        <f>IF(T302=1,I302-('Parametros'!$B$7+'Parametros'!$B$9+'Parametros'!$B$12/2),I302-(ROUNDUP(S302/2,0)*('Parametros'!$B$7+'Parametros'!$B$9+'Parametros'!$B$12/2)+ROUNDDOWN(S302/2,0)*('Parametros'!$B$7+'Parametros'!$B$9+'Parametros'!$B$12/2+'Parametros'!$B$12+'Parametros'!$B$10))/S302)</f>
        <v>489.35</v>
      </c>
      <c r="V302" s="10">
        <f>S302*'Parametros'!$B$8</f>
        <v>995</v>
      </c>
      <c r="W302" s="10">
        <f>'Parametros'!$B$5*V302*'Parametros'!$B$3*(U302-(V302*'Parametros'!$B$3/(0.85*'Parametros'!$B$2*H302))/2)/1000000</f>
        <v>177.445379382353</v>
      </c>
      <c r="X302" s="10" t="str">
        <f>IF(W302&gt;=J302,"CUMPLE","NO CUMPLE")</f>
        <v>CUMPLE</v>
      </c>
      <c r="Y302" s="10">
        <f>MAX(MAX(1.4/'Parametros'!$B$3,0.25*SQRT('Parametros'!$B$2)/'Parametros'!$B$3)*H302*AB302,(0.85*'Parametros'!$B$2/'Parametros'!$B$3)*(1-SQRT(1-2*(L302*1000000/('Parametros'!$B$5*H302*AB302^2))/(0.85*'Parametros'!$B$2)))*H302*AB302)</f>
        <v>815.583333333333</v>
      </c>
      <c r="Z302" s="31" t="n">
        <v>5</v>
      </c>
      <c r="AA302" s="32" t="n">
        <v>1</v>
      </c>
      <c r="AB302" s="10">
        <f>IF(AA302=1,I302-('Parametros'!$B$7+'Parametros'!$B$9+'Parametros'!$B$12/2),I302-(ROUNDUP(Z302/2,0)*('Parametros'!$B$7+'Parametros'!$B$9+'Parametros'!$B$12/2)+ROUNDDOWN(Z302/2,0)*('Parametros'!$B$7+'Parametros'!$B$9+'Parametros'!$B$12/2+'Parametros'!$B$12+'Parametros'!$B$10))/Z302)</f>
        <v>489.35</v>
      </c>
      <c r="AC302" s="10">
        <f>Z302*'Parametros'!$B$8</f>
        <v>995</v>
      </c>
      <c r="AD302" s="10">
        <f>'Parametros'!$B$5*AC302*'Parametros'!$B$3*(AB302-(AC302*'Parametros'!$B$3/(0.85*'Parametros'!$B$2*H302))/2)/1000000</f>
        <v>177.445379382353</v>
      </c>
      <c r="AE302" s="10" t="str">
        <f>IF(AD302&gt;=L302,"CUMPLE","NO CUMPLE")</f>
        <v>CUMPLE</v>
      </c>
      <c r="AF302" s="10">
        <f>V302*1.25*'Parametros'!$B$3*(U302-(V302*1.25*'Parametros'!$B$3/(0.85*'Parametros'!$B$2*H302))/2)/1000000</f>
        <v>244.158843198529</v>
      </c>
      <c r="AG302" s="10">
        <f>AC302*1.25*'Parametros'!$B$3*(AB302-(AC302*1.25*'Parametros'!$B$3/(0.85*'Parametros'!$B$2*H302))/2)/1000000</f>
        <v>244.158843198529</v>
      </c>
      <c r="AH302" s="10">
        <f>N302+(AF302+AG302)/D302</f>
        <v>265.803159474446</v>
      </c>
      <c r="AI302" s="10">
        <f>MAX(O302,AH302)</f>
        <v>269.263</v>
      </c>
      <c r="AJ302" s="10">
        <f>0.17*SQRT('Parametros'!$B$2)*H302*MIN(U302,AB302)/1000</f>
        <v>220.098728691808</v>
      </c>
      <c r="AK302" s="10">
        <f>MAX(AI302/'Parametros'!$B$6-AJ302,0)</f>
        <v>138.918604641526</v>
      </c>
      <c r="AL302" s="10">
        <f>0.66*SQRT('Parametros'!$B$2)*H302*MIN(U302,AB302)/1000</f>
        <v>854.500946685842</v>
      </c>
      <c r="AM302" s="10" t="str">
        <f>IF(AK302&lt;=AL302,"CUMPLE","NO CUMPLE")</f>
        <v>CUMPLE</v>
      </c>
      <c r="AN302" s="17" t="inlineStr">
        <is>
          <t>Nº3 cerrado</t>
        </is>
      </c>
      <c r="AO302" s="31" t="n">
        <v>2</v>
      </c>
      <c r="AP302" s="10">
        <f>ROUNDDOWN(MIN(IF(BC302+BD302=0,1000000000,AO302*BB302/(BC302+BD302)),MIN(U302,AB302)/4,8*'Parametros'!$B$12,24*BA302,300,IF(AV302=0,1000000000,2*((H302-2*('Parametros'!$B$7+'Parametros'!$B$9/2))+(I302-2*('Parametros'!$B$7+'Parametros'!$B$9/2)))/8))/10,0)*10</f>
        <v>120</v>
      </c>
      <c r="AQ302" s="10">
        <f>ROUNDDOWN(MIN(IF(BC302+BD302=0,1000000000,AO302*BB302/(BC302+BD302)),IF(AK302&gt;0.33*SQRT('Parametros'!$B$2)*H302*MIN(U302,AB302)/1000,MIN(U302,AB302)/4,MIN(U302,AB302)/2),600,IF(AV302=0,1000000000,2*((H302-2*('Parametros'!$B$7+'Parametros'!$B$9/2))+(I302-2*('Parametros'!$B$7+'Parametros'!$B$9/2)))/8))/10,0)*10</f>
        <v>210</v>
      </c>
      <c r="AR302" s="10">
        <f>'Parametros'!$B$6*(AJ302+MAX(BE302-BD302,0)*'Parametros'!$B$4*MIN(U302,AB302)/1000)</f>
        <v>347.479259018856</v>
      </c>
      <c r="AS302" s="10" t="str">
        <f>IF(AND(ISERROR(SEARCH("referencia",AN302)),AM302="CUMPLE",AR302&gt;=AI302),"CUMPLE","NO CUMPLE")</f>
        <v>CUMPLE</v>
      </c>
      <c r="AT302" s="10">
        <f>'Parametros'!$B$6*0.083*SQRT('Parametros'!$B$2)*(H302*I302)^2/(2*(H302+I302))/1000000</f>
        <v>11.862178757599</v>
      </c>
      <c r="AU302" s="10" t="str">
        <f>IF(Q302&lt;=AT302,"DESPRECIABLE","DISEÑAR")</f>
        <v>DESPRECIABLE</v>
      </c>
      <c r="AV302" s="10">
        <f>IF(Q302&lt;=AT302,0,Q302*1000000/('Parametros'!$B$6*2*0.85*(H302-2*('Parametros'!$B$7+'Parametros'!$B$9/2))*(I302-2*('Parametros'!$B$7+'Parametros'!$B$9/2))*'Parametros'!$B$4))</f>
        <v>0</v>
      </c>
      <c r="AW302" s="10">
        <f>AV302*2*((H302-2*('Parametros'!$B$7+'Parametros'!$B$9/2))+(I302-2*('Parametros'!$B$7+'Parametros'!$B$9/2)))*'Parametros'!$B$4/'Parametros'!$B$3</f>
        <v>0</v>
      </c>
      <c r="AX302" s="31" t="n">
        <v>0</v>
      </c>
      <c r="AY302" s="10" t="str">
        <f>IF(AV302=0,"DESPRECIABLE",IF(AND(ISERROR(SEARCH("referencia",AN302)),BB302/AP302&gt;=AV302,BI302&gt;=AW302,BH302="CUMPLE"),"CUMPLE","NO CUMPLE"))</f>
        <v>DESPRECIABLE</v>
      </c>
      <c r="AZ302" s="10" t="str">
        <f>IF(AND(X302="CUMPLE",AE302="CUMPLE",AS302="CUMPLE",OR(AY302="CUMPLE",AY302="DESPRECIABLE"),BH302="CUMPLE",BJ302="CUMPLE"),"CUMPLE","NO CUMPLE")</f>
        <v>CUMPLE</v>
      </c>
      <c r="BA302" s="32" t="n">
        <v>9.5</v>
      </c>
      <c r="BB302" s="32" t="n">
        <v>71</v>
      </c>
      <c r="BC302" s="10">
        <f>MAX(IF(AK302=0,0,AK302*1000/('Parametros'!$B$4*MIN(U302,AB302))),MAX(0.062*SQRT('Parametros'!$B$2)*H302/'Parametros'!$B$4,0.35*H302/'Parametros'!$B$4))</f>
        <v>0.675914136057674</v>
      </c>
      <c r="BD302" s="10">
        <f>2*AV302</f>
        <v>0</v>
      </c>
      <c r="BE302" s="10">
        <f>AO302*BB302/AP302</f>
        <v>1.18333333333333</v>
      </c>
      <c r="BF302" s="10">
        <f>SQRT((AI302*1000/(H302*MIN(U302,AB302)))^2+(Q302*1000000*2*((H302-2*('Parametros'!$B$7+'Parametros'!$B$9/2))+(I302-2*('Parametros'!$B$7+'Parametros'!$B$9/2)))/(1.7*((H302-2*('Parametros'!$B$7+'Parametros'!$B$9/2))*(I302-2*('Parametros'!$B$7+'Parametros'!$B$9/2)))^2))^2)</f>
        <v>1.10114700902986</v>
      </c>
      <c r="BG302" s="10">
        <f>'Parametros'!$B$6*(AJ302*1000/(H302*MIN(U302,AB302))+0.66*SQRT('Parametros'!$B$2))</f>
        <v>3.29396038227542</v>
      </c>
      <c r="BH302" s="10" t="str">
        <f>IF(BF302&lt;=BG302,"CUMPLE","NO CUMPLE")</f>
        <v>CUMPLE</v>
      </c>
      <c r="BI302" s="10">
        <f>AX302*'Parametros'!$B$8</f>
        <v>0</v>
      </c>
      <c r="BJ302" s="10" t="str">
        <f>IF(BI302&gt;=AW302,"CUMPLE","NO CUMPLE")</f>
        <v>CUMPLE</v>
      </c>
    </row>
    <row r="303">
      <c r="A303" s="23" t="inlineStr">
        <is>
          <t>VR1</t>
        </is>
      </c>
      <c r="B303" s="23" t="inlineStr">
        <is>
          <t>906</t>
        </is>
      </c>
      <c r="C303" s="10" t="n">
        <v>1</v>
      </c>
      <c r="D303" s="10" t="n">
        <v>2</v>
      </c>
      <c r="E303" s="10" t="n">
        <v>2</v>
      </c>
      <c r="F303" s="10" t="n">
        <v>500</v>
      </c>
      <c r="G303" s="10" t="n">
        <v>550</v>
      </c>
      <c r="H303" s="17" t="n">
        <v>500</v>
      </c>
      <c r="I303" s="17" t="n">
        <v>550</v>
      </c>
      <c r="J303" s="30" t="n">
        <v>95.41630000000001</v>
      </c>
      <c r="K303" s="10" t="inlineStr">
        <is>
          <t>906</t>
        </is>
      </c>
      <c r="L303" s="30" t="n">
        <v>48.8129</v>
      </c>
      <c r="M303" s="10" t="inlineStr">
        <is>
          <t>906</t>
        </is>
      </c>
      <c r="N303" s="30" t="n">
        <v>100.385</v>
      </c>
      <c r="O303" s="30" t="n">
        <v>238.917</v>
      </c>
      <c r="P303" s="10" t="inlineStr">
        <is>
          <t>906</t>
        </is>
      </c>
      <c r="Q303" s="30" t="n">
        <v>2.5649</v>
      </c>
      <c r="R303" s="10">
        <f>MAX(MAX(1.4/'Parametros'!$B$3,0.25*SQRT('Parametros'!$B$2)/'Parametros'!$B$3)*H303*U303,(0.85*'Parametros'!$B$2/'Parametros'!$B$3)*(1-SQRT(1-2*(J303*1000000/('Parametros'!$B$5*H303*U303^2))/(0.85*'Parametros'!$B$2)))*H303*U303)</f>
        <v>815.583333333333</v>
      </c>
      <c r="S303" s="31" t="n">
        <v>5</v>
      </c>
      <c r="T303" s="32" t="n">
        <v>1</v>
      </c>
      <c r="U303" s="10">
        <f>IF(T303=1,I303-('Parametros'!$B$7+'Parametros'!$B$9+'Parametros'!$B$12/2),I303-(ROUNDUP(S303/2,0)*('Parametros'!$B$7+'Parametros'!$B$9+'Parametros'!$B$12/2)+ROUNDDOWN(S303/2,0)*('Parametros'!$B$7+'Parametros'!$B$9+'Parametros'!$B$12/2+'Parametros'!$B$12+'Parametros'!$B$10))/S303)</f>
        <v>489.35</v>
      </c>
      <c r="V303" s="10">
        <f>S303*'Parametros'!$B$8</f>
        <v>995</v>
      </c>
      <c r="W303" s="10">
        <f>'Parametros'!$B$5*V303*'Parametros'!$B$3*(U303-(V303*'Parametros'!$B$3/(0.85*'Parametros'!$B$2*H303))/2)/1000000</f>
        <v>177.445379382353</v>
      </c>
      <c r="X303" s="10" t="str">
        <f>IF(W303&gt;=J303,"CUMPLE","NO CUMPLE")</f>
        <v>CUMPLE</v>
      </c>
      <c r="Y303" s="10">
        <f>MAX(MAX(1.4/'Parametros'!$B$3,0.25*SQRT('Parametros'!$B$2)/'Parametros'!$B$3)*H303*AB303,(0.85*'Parametros'!$B$2/'Parametros'!$B$3)*(1-SQRT(1-2*(L303*1000000/('Parametros'!$B$5*H303*AB303^2))/(0.85*'Parametros'!$B$2)))*H303*AB303)</f>
        <v>815.583333333333</v>
      </c>
      <c r="Z303" s="31" t="n">
        <v>5</v>
      </c>
      <c r="AA303" s="32" t="n">
        <v>1</v>
      </c>
      <c r="AB303" s="10">
        <f>IF(AA303=1,I303-('Parametros'!$B$7+'Parametros'!$B$9+'Parametros'!$B$12/2),I303-(ROUNDUP(Z303/2,0)*('Parametros'!$B$7+'Parametros'!$B$9+'Parametros'!$B$12/2)+ROUNDDOWN(Z303/2,0)*('Parametros'!$B$7+'Parametros'!$B$9+'Parametros'!$B$12/2+'Parametros'!$B$12+'Parametros'!$B$10))/Z303)</f>
        <v>489.35</v>
      </c>
      <c r="AC303" s="10">
        <f>Z303*'Parametros'!$B$8</f>
        <v>995</v>
      </c>
      <c r="AD303" s="10">
        <f>'Parametros'!$B$5*AC303*'Parametros'!$B$3*(AB303-(AC303*'Parametros'!$B$3/(0.85*'Parametros'!$B$2*H303))/2)/1000000</f>
        <v>177.445379382353</v>
      </c>
      <c r="AE303" s="10" t="str">
        <f>IF(AD303&gt;=L303,"CUMPLE","NO CUMPLE")</f>
        <v>CUMPLE</v>
      </c>
      <c r="AF303" s="10">
        <f>V303*1.25*'Parametros'!$B$3*(U303-(V303*1.25*'Parametros'!$B$3/(0.85*'Parametros'!$B$2*H303))/2)/1000000</f>
        <v>244.158843198529</v>
      </c>
      <c r="AG303" s="10">
        <f>AC303*1.25*'Parametros'!$B$3*(AB303-(AC303*1.25*'Parametros'!$B$3/(0.85*'Parametros'!$B$2*H303))/2)/1000000</f>
        <v>244.158843198529</v>
      </c>
      <c r="AH303" s="10">
        <f>N303+(AF303+AG303)/D303</f>
        <v>344.543843198529</v>
      </c>
      <c r="AI303" s="10">
        <f>MAX(O303,AH303)</f>
        <v>344.543843198529</v>
      </c>
      <c r="AJ303" s="10">
        <f>0.17*SQRT('Parametros'!$B$2)*H303*MIN(U303,AB303)/1000</f>
        <v>220.098728691808</v>
      </c>
      <c r="AK303" s="10">
        <f>MAX(AI303/'Parametros'!$B$6-AJ303,0)</f>
        <v>239.293062239565</v>
      </c>
      <c r="AL303" s="10">
        <f>0.66*SQRT('Parametros'!$B$2)*H303*MIN(U303,AB303)/1000</f>
        <v>854.500946685842</v>
      </c>
      <c r="AM303" s="10" t="str">
        <f>IF(AK303&lt;=AL303,"CUMPLE","NO CUMPLE")</f>
        <v>CUMPLE</v>
      </c>
      <c r="AN303" s="17" t="inlineStr">
        <is>
          <t>Nº3 cerrado</t>
        </is>
      </c>
      <c r="AO303" s="31" t="n">
        <v>2</v>
      </c>
      <c r="AP303" s="10">
        <f>ROUNDDOWN(MIN(IF(BC303+BD303=0,1000000000,AO303*BB303/(BC303+BD303)),MIN(U303,AB303)/4,8*'Parametros'!$B$12,24*BA303,300,IF(AV303=0,1000000000,2*((H303-2*('Parametros'!$B$7+'Parametros'!$B$9/2))+(I303-2*('Parametros'!$B$7+'Parametros'!$B$9/2)))/8))/10,0)*10</f>
        <v>120</v>
      </c>
      <c r="AQ303" s="10">
        <f>ROUNDDOWN(MIN(IF(BC303+BD303=0,1000000000,AO303*BB303/(BC303+BD303)),IF(AK303&gt;0.33*SQRT('Parametros'!$B$2)*H303*MIN(U303,AB303)/1000,MIN(U303,AB303)/4,MIN(U303,AB303)/2),600,IF(AV303=0,1000000000,2*((H303-2*('Parametros'!$B$7+'Parametros'!$B$9/2))+(I303-2*('Parametros'!$B$7+'Parametros'!$B$9/2)))/8))/10,0)*10</f>
        <v>120</v>
      </c>
      <c r="AR303" s="10">
        <f>'Parametros'!$B$6*(AJ303+MAX(BE303-BD303,0)*'Parametros'!$B$4*MIN(U303,AB303)/1000)</f>
        <v>347.479259018856</v>
      </c>
      <c r="AS303" s="10" t="str">
        <f>IF(AND(ISERROR(SEARCH("referencia",AN303)),AM303="CUMPLE",AR303&gt;=AI303),"CUMPLE","NO CUMPLE")</f>
        <v>CUMPLE</v>
      </c>
      <c r="AT303" s="10">
        <f>'Parametros'!$B$6*0.083*SQRT('Parametros'!$B$2)*(H303*I303)^2/(2*(H303+I303))/1000000</f>
        <v>11.862178757599</v>
      </c>
      <c r="AU303" s="10" t="str">
        <f>IF(Q303&lt;=AT303,"DESPRECIABLE","DISEÑAR")</f>
        <v>DESPRECIABLE</v>
      </c>
      <c r="AV303" s="10">
        <f>IF(Q303&lt;=AT303,0,Q303*1000000/('Parametros'!$B$6*2*0.85*(H303-2*('Parametros'!$B$7+'Parametros'!$B$9/2))*(I303-2*('Parametros'!$B$7+'Parametros'!$B$9/2))*'Parametros'!$B$4))</f>
        <v>0</v>
      </c>
      <c r="AW303" s="10">
        <f>AV303*2*((H303-2*('Parametros'!$B$7+'Parametros'!$B$9/2))+(I303-2*('Parametros'!$B$7+'Parametros'!$B$9/2)))*'Parametros'!$B$4/'Parametros'!$B$3</f>
        <v>0</v>
      </c>
      <c r="AX303" s="31" t="n">
        <v>0</v>
      </c>
      <c r="AY303" s="10" t="str">
        <f>IF(AV303=0,"DESPRECIABLE",IF(AND(ISERROR(SEARCH("referencia",AN303)),BB303/AP303&gt;=AV303,BI303&gt;=AW303,BH303="CUMPLE"),"CUMPLE","NO CUMPLE"))</f>
        <v>DESPRECIABLE</v>
      </c>
      <c r="AZ303" s="10" t="str">
        <f>IF(AND(X303="CUMPLE",AE303="CUMPLE",AS303="CUMPLE",OR(AY303="CUMPLE",AY303="DESPRECIABLE"),BH303="CUMPLE",BJ303="CUMPLE"),"CUMPLE","NO CUMPLE")</f>
        <v>CUMPLE</v>
      </c>
      <c r="BA303" s="32" t="n">
        <v>9.5</v>
      </c>
      <c r="BB303" s="32" t="n">
        <v>71</v>
      </c>
      <c r="BC303" s="10">
        <f>MAX(IF(AK303=0,0,AK303*1000/('Parametros'!$B$4*MIN(U303,AB303))),MAX(0.062*SQRT('Parametros'!$B$2)*H303/'Parametros'!$B$4,0.35*H303/'Parametros'!$B$4))</f>
        <v>1.16429015282452</v>
      </c>
      <c r="BD303" s="10">
        <f>2*AV303</f>
        <v>0</v>
      </c>
      <c r="BE303" s="10">
        <f>AO303*BB303/AP303</f>
        <v>1.18333333333333</v>
      </c>
      <c r="BF303" s="10">
        <f>SQRT((AI303*1000/(H303*MIN(U303,AB303)))^2+(Q303*1000000*2*((H303-2*('Parametros'!$B$7+'Parametros'!$B$9/2))+(I303-2*('Parametros'!$B$7+'Parametros'!$B$9/2)))/(1.7*((H303-2*('Parametros'!$B$7+'Parametros'!$B$9/2))*(I303-2*('Parametros'!$B$7+'Parametros'!$B$9/2)))^2))^2)</f>
        <v>1.41017605457551</v>
      </c>
      <c r="BG303" s="10">
        <f>'Parametros'!$B$6*(AJ303*1000/(H303*MIN(U303,AB303))+0.66*SQRT('Parametros'!$B$2))</f>
        <v>3.29396038227542</v>
      </c>
      <c r="BH303" s="10" t="str">
        <f>IF(BF303&lt;=BG303,"CUMPLE","NO CUMPLE")</f>
        <v>CUMPLE</v>
      </c>
      <c r="BI303" s="10">
        <f>AX303*'Parametros'!$B$8</f>
        <v>0</v>
      </c>
      <c r="BJ303" s="10" t="str">
        <f>IF(BI303&gt;=AW303,"CUMPLE","NO CUMPLE")</f>
        <v>CUMPLE</v>
      </c>
    </row>
    <row r="304">
      <c r="A304" s="23" t="inlineStr">
        <is>
          <t>VR1</t>
        </is>
      </c>
      <c r="B304" s="23" t="inlineStr">
        <is>
          <t>947</t>
        </is>
      </c>
      <c r="C304" s="10" t="n">
        <v>1</v>
      </c>
      <c r="D304" s="10" t="n">
        <v>2</v>
      </c>
      <c r="E304" s="10" t="n">
        <v>2</v>
      </c>
      <c r="F304" s="10" t="n">
        <v>500</v>
      </c>
      <c r="G304" s="10" t="n">
        <v>550</v>
      </c>
      <c r="H304" s="17" t="n">
        <v>500</v>
      </c>
      <c r="I304" s="17" t="n">
        <v>550</v>
      </c>
      <c r="J304" s="30" t="n">
        <v>41.7896</v>
      </c>
      <c r="K304" s="10" t="inlineStr">
        <is>
          <t>947</t>
        </is>
      </c>
      <c r="L304" s="30" t="n">
        <v>16.3006</v>
      </c>
      <c r="M304" s="10" t="inlineStr">
        <is>
          <t>947</t>
        </is>
      </c>
      <c r="N304" s="30" t="n">
        <v>53.181</v>
      </c>
      <c r="O304" s="30" t="n">
        <v>68.255</v>
      </c>
      <c r="P304" s="10" t="inlineStr">
        <is>
          <t>947</t>
        </is>
      </c>
      <c r="Q304" s="30" t="n">
        <v>3.0967</v>
      </c>
      <c r="R304" s="10">
        <f>MAX(MAX(1.4/'Parametros'!$B$3,0.25*SQRT('Parametros'!$B$2)/'Parametros'!$B$3)*H304*U304,(0.85*'Parametros'!$B$2/'Parametros'!$B$3)*(1-SQRT(1-2*(J304*1000000/('Parametros'!$B$5*H304*U304^2))/(0.85*'Parametros'!$B$2)))*H304*U304)</f>
        <v>815.583333333333</v>
      </c>
      <c r="S304" s="31" t="n">
        <v>5</v>
      </c>
      <c r="T304" s="32" t="n">
        <v>1</v>
      </c>
      <c r="U304" s="10">
        <f>IF(T304=1,I304-('Parametros'!$B$7+'Parametros'!$B$9+'Parametros'!$B$12/2),I304-(ROUNDUP(S304/2,0)*('Parametros'!$B$7+'Parametros'!$B$9+'Parametros'!$B$12/2)+ROUNDDOWN(S304/2,0)*('Parametros'!$B$7+'Parametros'!$B$9+'Parametros'!$B$12/2+'Parametros'!$B$12+'Parametros'!$B$10))/S304)</f>
        <v>489.35</v>
      </c>
      <c r="V304" s="10">
        <f>S304*'Parametros'!$B$8</f>
        <v>995</v>
      </c>
      <c r="W304" s="10">
        <f>'Parametros'!$B$5*V304*'Parametros'!$B$3*(U304-(V304*'Parametros'!$B$3/(0.85*'Parametros'!$B$2*H304))/2)/1000000</f>
        <v>177.445379382353</v>
      </c>
      <c r="X304" s="10" t="str">
        <f>IF(W304&gt;=J304,"CUMPLE","NO CUMPLE")</f>
        <v>CUMPLE</v>
      </c>
      <c r="Y304" s="10">
        <f>MAX(MAX(1.4/'Parametros'!$B$3,0.25*SQRT('Parametros'!$B$2)/'Parametros'!$B$3)*H304*AB304,(0.85*'Parametros'!$B$2/'Parametros'!$B$3)*(1-SQRT(1-2*(L304*1000000/('Parametros'!$B$5*H304*AB304^2))/(0.85*'Parametros'!$B$2)))*H304*AB304)</f>
        <v>815.583333333333</v>
      </c>
      <c r="Z304" s="31" t="n">
        <v>5</v>
      </c>
      <c r="AA304" s="32" t="n">
        <v>1</v>
      </c>
      <c r="AB304" s="10">
        <f>IF(AA304=1,I304-('Parametros'!$B$7+'Parametros'!$B$9+'Parametros'!$B$12/2),I304-(ROUNDUP(Z304/2,0)*('Parametros'!$B$7+'Parametros'!$B$9+'Parametros'!$B$12/2)+ROUNDDOWN(Z304/2,0)*('Parametros'!$B$7+'Parametros'!$B$9+'Parametros'!$B$12/2+'Parametros'!$B$12+'Parametros'!$B$10))/Z304)</f>
        <v>489.35</v>
      </c>
      <c r="AC304" s="10">
        <f>Z304*'Parametros'!$B$8</f>
        <v>995</v>
      </c>
      <c r="AD304" s="10">
        <f>'Parametros'!$B$5*AC304*'Parametros'!$B$3*(AB304-(AC304*'Parametros'!$B$3/(0.85*'Parametros'!$B$2*H304))/2)/1000000</f>
        <v>177.445379382353</v>
      </c>
      <c r="AE304" s="10" t="str">
        <f>IF(AD304&gt;=L304,"CUMPLE","NO CUMPLE")</f>
        <v>CUMPLE</v>
      </c>
      <c r="AF304" s="10">
        <f>V304*1.25*'Parametros'!$B$3*(U304-(V304*1.25*'Parametros'!$B$3/(0.85*'Parametros'!$B$2*H304))/2)/1000000</f>
        <v>244.158843198529</v>
      </c>
      <c r="AG304" s="10">
        <f>AC304*1.25*'Parametros'!$B$3*(AB304-(AC304*1.25*'Parametros'!$B$3/(0.85*'Parametros'!$B$2*H304))/2)/1000000</f>
        <v>244.158843198529</v>
      </c>
      <c r="AH304" s="10">
        <f>N304+(AF304+AG304)/D304</f>
        <v>297.339843198529</v>
      </c>
      <c r="AI304" s="10">
        <f>MAX(O304,AH304)</f>
        <v>297.339843198529</v>
      </c>
      <c r="AJ304" s="10">
        <f>0.17*SQRT('Parametros'!$B$2)*H304*MIN(U304,AB304)/1000</f>
        <v>220.098728691808</v>
      </c>
      <c r="AK304" s="10">
        <f>MAX(AI304/'Parametros'!$B$6-AJ304,0)</f>
        <v>176.354395572898</v>
      </c>
      <c r="AL304" s="10">
        <f>0.66*SQRT('Parametros'!$B$2)*H304*MIN(U304,AB304)/1000</f>
        <v>854.500946685842</v>
      </c>
      <c r="AM304" s="10" t="str">
        <f>IF(AK304&lt;=AL304,"CUMPLE","NO CUMPLE")</f>
        <v>CUMPLE</v>
      </c>
      <c r="AN304" s="17" t="inlineStr">
        <is>
          <t>Nº3 cerrado</t>
        </is>
      </c>
      <c r="AO304" s="31" t="n">
        <v>2</v>
      </c>
      <c r="AP304" s="10">
        <f>ROUNDDOWN(MIN(IF(BC304+BD304=0,1000000000,AO304*BB304/(BC304+BD304)),MIN(U304,AB304)/4,8*'Parametros'!$B$12,24*BA304,300,IF(AV304=0,1000000000,2*((H304-2*('Parametros'!$B$7+'Parametros'!$B$9/2))+(I304-2*('Parametros'!$B$7+'Parametros'!$B$9/2)))/8))/10,0)*10</f>
        <v>120</v>
      </c>
      <c r="AQ304" s="10">
        <f>ROUNDDOWN(MIN(IF(BC304+BD304=0,1000000000,AO304*BB304/(BC304+BD304)),IF(AK304&gt;0.33*SQRT('Parametros'!$B$2)*H304*MIN(U304,AB304)/1000,MIN(U304,AB304)/4,MIN(U304,AB304)/2),600,IF(AV304=0,1000000000,2*((H304-2*('Parametros'!$B$7+'Parametros'!$B$9/2))+(I304-2*('Parametros'!$B$7+'Parametros'!$B$9/2)))/8))/10,0)*10</f>
        <v>160</v>
      </c>
      <c r="AR304" s="10">
        <f>'Parametros'!$B$6*(AJ304+MAX(BE304-BD304,0)*'Parametros'!$B$4*MIN(U304,AB304)/1000)</f>
        <v>347.479259018856</v>
      </c>
      <c r="AS304" s="10" t="str">
        <f>IF(AND(ISERROR(SEARCH("referencia",AN304)),AM304="CUMPLE",AR304&gt;=AI304),"CUMPLE","NO CUMPLE")</f>
        <v>CUMPLE</v>
      </c>
      <c r="AT304" s="10">
        <f>'Parametros'!$B$6*0.083*SQRT('Parametros'!$B$2)*(H304*I304)^2/(2*(H304+I304))/1000000</f>
        <v>11.862178757599</v>
      </c>
      <c r="AU304" s="10" t="str">
        <f>IF(Q304&lt;=AT304,"DESPRECIABLE","DISEÑAR")</f>
        <v>DESPRECIABLE</v>
      </c>
      <c r="AV304" s="10">
        <f>IF(Q304&lt;=AT304,0,Q304*1000000/('Parametros'!$B$6*2*0.85*(H304-2*('Parametros'!$B$7+'Parametros'!$B$9/2))*(I304-2*('Parametros'!$B$7+'Parametros'!$B$9/2))*'Parametros'!$B$4))</f>
        <v>0</v>
      </c>
      <c r="AW304" s="10">
        <f>AV304*2*((H304-2*('Parametros'!$B$7+'Parametros'!$B$9/2))+(I304-2*('Parametros'!$B$7+'Parametros'!$B$9/2)))*'Parametros'!$B$4/'Parametros'!$B$3</f>
        <v>0</v>
      </c>
      <c r="AX304" s="31" t="n">
        <v>0</v>
      </c>
      <c r="AY304" s="10" t="str">
        <f>IF(AV304=0,"DESPRECIABLE",IF(AND(ISERROR(SEARCH("referencia",AN304)),BB304/AP304&gt;=AV304,BI304&gt;=AW304,BH304="CUMPLE"),"CUMPLE","NO CUMPLE"))</f>
        <v>DESPRECIABLE</v>
      </c>
      <c r="AZ304" s="10" t="str">
        <f>IF(AND(X304="CUMPLE",AE304="CUMPLE",AS304="CUMPLE",OR(AY304="CUMPLE",AY304="DESPRECIABLE"),BH304="CUMPLE",BJ304="CUMPLE"),"CUMPLE","NO CUMPLE")</f>
        <v>CUMPLE</v>
      </c>
      <c r="BA304" s="32" t="n">
        <v>9.5</v>
      </c>
      <c r="BB304" s="32" t="n">
        <v>71</v>
      </c>
      <c r="BC304" s="10">
        <f>MAX(IF(AK304=0,0,AK304*1000/('Parametros'!$B$4*MIN(U304,AB304))),MAX(0.062*SQRT('Parametros'!$B$2)*H304/'Parametros'!$B$4,0.35*H304/'Parametros'!$B$4))</f>
        <v>0.858059503485664</v>
      </c>
      <c r="BD304" s="10">
        <f>2*AV304</f>
        <v>0</v>
      </c>
      <c r="BE304" s="10">
        <f>AO304*BB304/AP304</f>
        <v>1.18333333333333</v>
      </c>
      <c r="BF304" s="10">
        <f>SQRT((AI304*1000/(H304*MIN(U304,AB304)))^2+(Q304*1000000*2*((H304-2*('Parametros'!$B$7+'Parametros'!$B$9/2))+(I304-2*('Parametros'!$B$7+'Parametros'!$B$9/2)))/(1.7*((H304-2*('Parametros'!$B$7+'Parametros'!$B$9/2))*(I304-2*('Parametros'!$B$7+'Parametros'!$B$9/2)))^2))^2)</f>
        <v>1.21863118788306</v>
      </c>
      <c r="BG304" s="10">
        <f>'Parametros'!$B$6*(AJ304*1000/(H304*MIN(U304,AB304))+0.66*SQRT('Parametros'!$B$2))</f>
        <v>3.29396038227542</v>
      </c>
      <c r="BH304" s="10" t="str">
        <f>IF(BF304&lt;=BG304,"CUMPLE","NO CUMPLE")</f>
        <v>CUMPLE</v>
      </c>
      <c r="BI304" s="10">
        <f>AX304*'Parametros'!$B$8</f>
        <v>0</v>
      </c>
      <c r="BJ304" s="10" t="str">
        <f>IF(BI304&gt;=AW304,"CUMPLE","NO CUMPLE")</f>
        <v>CUMPLE</v>
      </c>
    </row>
    <row r="305">
      <c r="A305" s="23" t="inlineStr">
        <is>
          <t>VR1</t>
        </is>
      </c>
      <c r="B305" s="23" t="inlineStr">
        <is>
          <t>948</t>
        </is>
      </c>
      <c r="C305" s="10" t="n">
        <v>1</v>
      </c>
      <c r="D305" s="10" t="n">
        <v>3.05</v>
      </c>
      <c r="E305" s="10" t="n">
        <v>3.05</v>
      </c>
      <c r="F305" s="10" t="n">
        <v>500</v>
      </c>
      <c r="G305" s="10" t="n">
        <v>550</v>
      </c>
      <c r="H305" s="17" t="n">
        <v>500</v>
      </c>
      <c r="I305" s="17" t="n">
        <v>550</v>
      </c>
      <c r="J305" s="30" t="n">
        <v>63.4041</v>
      </c>
      <c r="K305" s="10" t="inlineStr">
        <is>
          <t>948</t>
        </is>
      </c>
      <c r="L305" s="30" t="n">
        <v>31.7287</v>
      </c>
      <c r="M305" s="10" t="inlineStr">
        <is>
          <t>948</t>
        </is>
      </c>
      <c r="N305" s="30" t="n">
        <v>66.212</v>
      </c>
      <c r="O305" s="30" t="n">
        <v>154.567</v>
      </c>
      <c r="P305" s="10" t="inlineStr">
        <is>
          <t>948</t>
        </is>
      </c>
      <c r="Q305" s="30" t="n">
        <v>1.5086</v>
      </c>
      <c r="R305" s="10">
        <f>MAX(MAX(1.4/'Parametros'!$B$3,0.25*SQRT('Parametros'!$B$2)/'Parametros'!$B$3)*H305*U305,(0.85*'Parametros'!$B$2/'Parametros'!$B$3)*(1-SQRT(1-2*(J305*1000000/('Parametros'!$B$5*H305*U305^2))/(0.85*'Parametros'!$B$2)))*H305*U305)</f>
        <v>815.583333333333</v>
      </c>
      <c r="S305" s="31" t="n">
        <v>5</v>
      </c>
      <c r="T305" s="32" t="n">
        <v>1</v>
      </c>
      <c r="U305" s="10">
        <f>IF(T305=1,I305-('Parametros'!$B$7+'Parametros'!$B$9+'Parametros'!$B$12/2),I305-(ROUNDUP(S305/2,0)*('Parametros'!$B$7+'Parametros'!$B$9+'Parametros'!$B$12/2)+ROUNDDOWN(S305/2,0)*('Parametros'!$B$7+'Parametros'!$B$9+'Parametros'!$B$12/2+'Parametros'!$B$12+'Parametros'!$B$10))/S305)</f>
        <v>489.35</v>
      </c>
      <c r="V305" s="10">
        <f>S305*'Parametros'!$B$8</f>
        <v>995</v>
      </c>
      <c r="W305" s="10">
        <f>'Parametros'!$B$5*V305*'Parametros'!$B$3*(U305-(V305*'Parametros'!$B$3/(0.85*'Parametros'!$B$2*H305))/2)/1000000</f>
        <v>177.445379382353</v>
      </c>
      <c r="X305" s="10" t="str">
        <f>IF(W305&gt;=J305,"CUMPLE","NO CUMPLE")</f>
        <v>CUMPLE</v>
      </c>
      <c r="Y305" s="10">
        <f>MAX(MAX(1.4/'Parametros'!$B$3,0.25*SQRT('Parametros'!$B$2)/'Parametros'!$B$3)*H305*AB305,(0.85*'Parametros'!$B$2/'Parametros'!$B$3)*(1-SQRT(1-2*(L305*1000000/('Parametros'!$B$5*H305*AB305^2))/(0.85*'Parametros'!$B$2)))*H305*AB305)</f>
        <v>815.583333333333</v>
      </c>
      <c r="Z305" s="31" t="n">
        <v>5</v>
      </c>
      <c r="AA305" s="32" t="n">
        <v>1</v>
      </c>
      <c r="AB305" s="10">
        <f>IF(AA305=1,I305-('Parametros'!$B$7+'Parametros'!$B$9+'Parametros'!$B$12/2),I305-(ROUNDUP(Z305/2,0)*('Parametros'!$B$7+'Parametros'!$B$9+'Parametros'!$B$12/2)+ROUNDDOWN(Z305/2,0)*('Parametros'!$B$7+'Parametros'!$B$9+'Parametros'!$B$12/2+'Parametros'!$B$12+'Parametros'!$B$10))/Z305)</f>
        <v>489.35</v>
      </c>
      <c r="AC305" s="10">
        <f>Z305*'Parametros'!$B$8</f>
        <v>995</v>
      </c>
      <c r="AD305" s="10">
        <f>'Parametros'!$B$5*AC305*'Parametros'!$B$3*(AB305-(AC305*'Parametros'!$B$3/(0.85*'Parametros'!$B$2*H305))/2)/1000000</f>
        <v>177.445379382353</v>
      </c>
      <c r="AE305" s="10" t="str">
        <f>IF(AD305&gt;=L305,"CUMPLE","NO CUMPLE")</f>
        <v>CUMPLE</v>
      </c>
      <c r="AF305" s="10">
        <f>V305*1.25*'Parametros'!$B$3*(U305-(V305*1.25*'Parametros'!$B$3/(0.85*'Parametros'!$B$2*H305))/2)/1000000</f>
        <v>244.158843198529</v>
      </c>
      <c r="AG305" s="10">
        <f>AC305*1.25*'Parametros'!$B$3*(AB305-(AC305*1.25*'Parametros'!$B$3/(0.85*'Parametros'!$B$2*H305))/2)/1000000</f>
        <v>244.158843198529</v>
      </c>
      <c r="AH305" s="10">
        <f>N305+(AF305+AG305)/D305</f>
        <v>226.316159474446</v>
      </c>
      <c r="AI305" s="10">
        <f>MAX(O305,AH305)</f>
        <v>226.316159474446</v>
      </c>
      <c r="AJ305" s="10">
        <f>0.17*SQRT('Parametros'!$B$2)*H305*MIN(U305,AB305)/1000</f>
        <v>220.098728691808</v>
      </c>
      <c r="AK305" s="10">
        <f>MAX(AI305/'Parametros'!$B$6-AJ305,0)</f>
        <v>81.656150607453</v>
      </c>
      <c r="AL305" s="10">
        <f>0.66*SQRT('Parametros'!$B$2)*H305*MIN(U305,AB305)/1000</f>
        <v>854.500946685842</v>
      </c>
      <c r="AM305" s="10" t="str">
        <f>IF(AK305&lt;=AL305,"CUMPLE","NO CUMPLE")</f>
        <v>CUMPLE</v>
      </c>
      <c r="AN305" s="17" t="inlineStr">
        <is>
          <t>Nº3 cerrado</t>
        </is>
      </c>
      <c r="AO305" s="31" t="n">
        <v>2</v>
      </c>
      <c r="AP305" s="10">
        <f>ROUNDDOWN(MIN(IF(BC305+BD305=0,1000000000,AO305*BB305/(BC305+BD305)),MIN(U305,AB305)/4,8*'Parametros'!$B$12,24*BA305,300,IF(AV305=0,1000000000,2*((H305-2*('Parametros'!$B$7+'Parametros'!$B$9/2))+(I305-2*('Parametros'!$B$7+'Parametros'!$B$9/2)))/8))/10,0)*10</f>
        <v>120</v>
      </c>
      <c r="AQ305" s="10">
        <f>ROUNDDOWN(MIN(IF(BC305+BD305=0,1000000000,AO305*BB305/(BC305+BD305)),IF(AK305&gt;0.33*SQRT('Parametros'!$B$2)*H305*MIN(U305,AB305)/1000,MIN(U305,AB305)/4,MIN(U305,AB305)/2),600,IF(AV305=0,1000000000,2*((H305-2*('Parametros'!$B$7+'Parametros'!$B$9/2))+(I305-2*('Parametros'!$B$7+'Parametros'!$B$9/2)))/8))/10,0)*10</f>
        <v>240</v>
      </c>
      <c r="AR305" s="10">
        <f>'Parametros'!$B$6*(AJ305+MAX(BE305-BD305,0)*'Parametros'!$B$4*MIN(U305,AB305)/1000)</f>
        <v>347.479259018856</v>
      </c>
      <c r="AS305" s="10" t="str">
        <f>IF(AND(ISERROR(SEARCH("referencia",AN305)),AM305="CUMPLE",AR305&gt;=AI305),"CUMPLE","NO CUMPLE")</f>
        <v>CUMPLE</v>
      </c>
      <c r="AT305" s="10">
        <f>'Parametros'!$B$6*0.083*SQRT('Parametros'!$B$2)*(H305*I305)^2/(2*(H305+I305))/1000000</f>
        <v>11.862178757599</v>
      </c>
      <c r="AU305" s="10" t="str">
        <f>IF(Q305&lt;=AT305,"DESPRECIABLE","DISEÑAR")</f>
        <v>DESPRECIABLE</v>
      </c>
      <c r="AV305" s="10">
        <f>IF(Q305&lt;=AT305,0,Q305*1000000/('Parametros'!$B$6*2*0.85*(H305-2*('Parametros'!$B$7+'Parametros'!$B$9/2))*(I305-2*('Parametros'!$B$7+'Parametros'!$B$9/2))*'Parametros'!$B$4))</f>
        <v>0</v>
      </c>
      <c r="AW305" s="10">
        <f>AV305*2*((H305-2*('Parametros'!$B$7+'Parametros'!$B$9/2))+(I305-2*('Parametros'!$B$7+'Parametros'!$B$9/2)))*'Parametros'!$B$4/'Parametros'!$B$3</f>
        <v>0</v>
      </c>
      <c r="AX305" s="31" t="n">
        <v>0</v>
      </c>
      <c r="AY305" s="10" t="str">
        <f>IF(AV305=0,"DESPRECIABLE",IF(AND(ISERROR(SEARCH("referencia",AN305)),BB305/AP305&gt;=AV305,BI305&gt;=AW305,BH305="CUMPLE"),"CUMPLE","NO CUMPLE"))</f>
        <v>DESPRECIABLE</v>
      </c>
      <c r="AZ305" s="10" t="str">
        <f>IF(AND(X305="CUMPLE",AE305="CUMPLE",AS305="CUMPLE",OR(AY305="CUMPLE",AY305="DESPRECIABLE"),BH305="CUMPLE",BJ305="CUMPLE"),"CUMPLE","NO CUMPLE")</f>
        <v>CUMPLE</v>
      </c>
      <c r="BA305" s="32" t="n">
        <v>9.5</v>
      </c>
      <c r="BB305" s="32" t="n">
        <v>71</v>
      </c>
      <c r="BC305" s="10">
        <f>MAX(IF(AK305=0,0,AK305*1000/('Parametros'!$B$4*MIN(U305,AB305))),MAX(0.062*SQRT('Parametros'!$B$2)*H305/'Parametros'!$B$4,0.35*H305/'Parametros'!$B$4))</f>
        <v>0.416666666666667</v>
      </c>
      <c r="BD305" s="10">
        <f>2*AV305</f>
        <v>0</v>
      </c>
      <c r="BE305" s="10">
        <f>AO305*BB305/AP305</f>
        <v>1.18333333333333</v>
      </c>
      <c r="BF305" s="10">
        <f>SQRT((AI305*1000/(H305*MIN(U305,AB305)))^2+(Q305*1000000*2*((H305-2*('Parametros'!$B$7+'Parametros'!$B$9/2))+(I305-2*('Parametros'!$B$7+'Parametros'!$B$9/2)))/(1.7*((H305-2*('Parametros'!$B$7+'Parametros'!$B$9/2))*(I305-2*('Parametros'!$B$7+'Parametros'!$B$9/2)))^2))^2)</f>
        <v>0.926023421116215</v>
      </c>
      <c r="BG305" s="10">
        <f>'Parametros'!$B$6*(AJ305*1000/(H305*MIN(U305,AB305))+0.66*SQRT('Parametros'!$B$2))</f>
        <v>3.29396038227542</v>
      </c>
      <c r="BH305" s="10" t="str">
        <f>IF(BF305&lt;=BG305,"CUMPLE","NO CUMPLE")</f>
        <v>CUMPLE</v>
      </c>
      <c r="BI305" s="10">
        <f>AX305*'Parametros'!$B$8</f>
        <v>0</v>
      </c>
      <c r="BJ305" s="10" t="str">
        <f>IF(BI305&gt;=AW305,"CUMPLE","NO CUMPLE")</f>
        <v>CUMPLE</v>
      </c>
    </row>
    <row r="306">
      <c r="A306" s="23" t="inlineStr">
        <is>
          <t>VR1</t>
        </is>
      </c>
      <c r="B306" s="23" t="inlineStr">
        <is>
          <t>949</t>
        </is>
      </c>
      <c r="C306" s="10" t="n">
        <v>1</v>
      </c>
      <c r="D306" s="10" t="n">
        <v>2</v>
      </c>
      <c r="E306" s="10" t="n">
        <v>2</v>
      </c>
      <c r="F306" s="10" t="n">
        <v>500</v>
      </c>
      <c r="G306" s="10" t="n">
        <v>550</v>
      </c>
      <c r="H306" s="17" t="n">
        <v>500</v>
      </c>
      <c r="I306" s="17" t="n">
        <v>550</v>
      </c>
      <c r="J306" s="30" t="n">
        <v>44.0829</v>
      </c>
      <c r="K306" s="10" t="inlineStr">
        <is>
          <t>949</t>
        </is>
      </c>
      <c r="L306" s="30" t="n">
        <v>11.9688</v>
      </c>
      <c r="M306" s="10" t="inlineStr">
        <is>
          <t>949</t>
        </is>
      </c>
      <c r="N306" s="30" t="n">
        <v>50.811</v>
      </c>
      <c r="O306" s="30" t="n">
        <v>107.749</v>
      </c>
      <c r="P306" s="10" t="inlineStr">
        <is>
          <t>949</t>
        </is>
      </c>
      <c r="Q306" s="30" t="n">
        <v>1.2385</v>
      </c>
      <c r="R306" s="10">
        <f>MAX(MAX(1.4/'Parametros'!$B$3,0.25*SQRT('Parametros'!$B$2)/'Parametros'!$B$3)*H306*U306,(0.85*'Parametros'!$B$2/'Parametros'!$B$3)*(1-SQRT(1-2*(J306*1000000/('Parametros'!$B$5*H306*U306^2))/(0.85*'Parametros'!$B$2)))*H306*U306)</f>
        <v>815.583333333333</v>
      </c>
      <c r="S306" s="31" t="n">
        <v>5</v>
      </c>
      <c r="T306" s="32" t="n">
        <v>1</v>
      </c>
      <c r="U306" s="10">
        <f>IF(T306=1,I306-('Parametros'!$B$7+'Parametros'!$B$9+'Parametros'!$B$12/2),I306-(ROUNDUP(S306/2,0)*('Parametros'!$B$7+'Parametros'!$B$9+'Parametros'!$B$12/2)+ROUNDDOWN(S306/2,0)*('Parametros'!$B$7+'Parametros'!$B$9+'Parametros'!$B$12/2+'Parametros'!$B$12+'Parametros'!$B$10))/S306)</f>
        <v>489.35</v>
      </c>
      <c r="V306" s="10">
        <f>S306*'Parametros'!$B$8</f>
        <v>995</v>
      </c>
      <c r="W306" s="10">
        <f>'Parametros'!$B$5*V306*'Parametros'!$B$3*(U306-(V306*'Parametros'!$B$3/(0.85*'Parametros'!$B$2*H306))/2)/1000000</f>
        <v>177.445379382353</v>
      </c>
      <c r="X306" s="10" t="str">
        <f>IF(W306&gt;=J306,"CUMPLE","NO CUMPLE")</f>
        <v>CUMPLE</v>
      </c>
      <c r="Y306" s="10">
        <f>MAX(MAX(1.4/'Parametros'!$B$3,0.25*SQRT('Parametros'!$B$2)/'Parametros'!$B$3)*H306*AB306,(0.85*'Parametros'!$B$2/'Parametros'!$B$3)*(1-SQRT(1-2*(L306*1000000/('Parametros'!$B$5*H306*AB306^2))/(0.85*'Parametros'!$B$2)))*H306*AB306)</f>
        <v>815.583333333333</v>
      </c>
      <c r="Z306" s="31" t="n">
        <v>5</v>
      </c>
      <c r="AA306" s="32" t="n">
        <v>1</v>
      </c>
      <c r="AB306" s="10">
        <f>IF(AA306=1,I306-('Parametros'!$B$7+'Parametros'!$B$9+'Parametros'!$B$12/2),I306-(ROUNDUP(Z306/2,0)*('Parametros'!$B$7+'Parametros'!$B$9+'Parametros'!$B$12/2)+ROUNDDOWN(Z306/2,0)*('Parametros'!$B$7+'Parametros'!$B$9+'Parametros'!$B$12/2+'Parametros'!$B$12+'Parametros'!$B$10))/Z306)</f>
        <v>489.35</v>
      </c>
      <c r="AC306" s="10">
        <f>Z306*'Parametros'!$B$8</f>
        <v>995</v>
      </c>
      <c r="AD306" s="10">
        <f>'Parametros'!$B$5*AC306*'Parametros'!$B$3*(AB306-(AC306*'Parametros'!$B$3/(0.85*'Parametros'!$B$2*H306))/2)/1000000</f>
        <v>177.445379382353</v>
      </c>
      <c r="AE306" s="10" t="str">
        <f>IF(AD306&gt;=L306,"CUMPLE","NO CUMPLE")</f>
        <v>CUMPLE</v>
      </c>
      <c r="AF306" s="10">
        <f>V306*1.25*'Parametros'!$B$3*(U306-(V306*1.25*'Parametros'!$B$3/(0.85*'Parametros'!$B$2*H306))/2)/1000000</f>
        <v>244.158843198529</v>
      </c>
      <c r="AG306" s="10">
        <f>AC306*1.25*'Parametros'!$B$3*(AB306-(AC306*1.25*'Parametros'!$B$3/(0.85*'Parametros'!$B$2*H306))/2)/1000000</f>
        <v>244.158843198529</v>
      </c>
      <c r="AH306" s="10">
        <f>N306+(AF306+AG306)/D306</f>
        <v>294.969843198529</v>
      </c>
      <c r="AI306" s="10">
        <f>MAX(O306,AH306)</f>
        <v>294.969843198529</v>
      </c>
      <c r="AJ306" s="10">
        <f>0.17*SQRT('Parametros'!$B$2)*H306*MIN(U306,AB306)/1000</f>
        <v>220.098728691808</v>
      </c>
      <c r="AK306" s="10">
        <f>MAX(AI306/'Parametros'!$B$6-AJ306,0)</f>
        <v>173.194395572898</v>
      </c>
      <c r="AL306" s="10">
        <f>0.66*SQRT('Parametros'!$B$2)*H306*MIN(U306,AB306)/1000</f>
        <v>854.500946685842</v>
      </c>
      <c r="AM306" s="10" t="str">
        <f>IF(AK306&lt;=AL306,"CUMPLE","NO CUMPLE")</f>
        <v>CUMPLE</v>
      </c>
      <c r="AN306" s="17" t="inlineStr">
        <is>
          <t>Nº3 cerrado</t>
        </is>
      </c>
      <c r="AO306" s="31" t="n">
        <v>2</v>
      </c>
      <c r="AP306" s="10">
        <f>ROUNDDOWN(MIN(IF(BC306+BD306=0,1000000000,AO306*BB306/(BC306+BD306)),MIN(U306,AB306)/4,8*'Parametros'!$B$12,24*BA306,300,IF(AV306=0,1000000000,2*((H306-2*('Parametros'!$B$7+'Parametros'!$B$9/2))+(I306-2*('Parametros'!$B$7+'Parametros'!$B$9/2)))/8))/10,0)*10</f>
        <v>120</v>
      </c>
      <c r="AQ306" s="10">
        <f>ROUNDDOWN(MIN(IF(BC306+BD306=0,1000000000,AO306*BB306/(BC306+BD306)),IF(AK306&gt;0.33*SQRT('Parametros'!$B$2)*H306*MIN(U306,AB306)/1000,MIN(U306,AB306)/4,MIN(U306,AB306)/2),600,IF(AV306=0,1000000000,2*((H306-2*('Parametros'!$B$7+'Parametros'!$B$9/2))+(I306-2*('Parametros'!$B$7+'Parametros'!$B$9/2)))/8))/10,0)*10</f>
        <v>160</v>
      </c>
      <c r="AR306" s="10">
        <f>'Parametros'!$B$6*(AJ306+MAX(BE306-BD306,0)*'Parametros'!$B$4*MIN(U306,AB306)/1000)</f>
        <v>347.479259018856</v>
      </c>
      <c r="AS306" s="10" t="str">
        <f>IF(AND(ISERROR(SEARCH("referencia",AN306)),AM306="CUMPLE",AR306&gt;=AI306),"CUMPLE","NO CUMPLE")</f>
        <v>CUMPLE</v>
      </c>
      <c r="AT306" s="10">
        <f>'Parametros'!$B$6*0.083*SQRT('Parametros'!$B$2)*(H306*I306)^2/(2*(H306+I306))/1000000</f>
        <v>11.862178757599</v>
      </c>
      <c r="AU306" s="10" t="str">
        <f>IF(Q306&lt;=AT306,"DESPRECIABLE","DISEÑAR")</f>
        <v>DESPRECIABLE</v>
      </c>
      <c r="AV306" s="10">
        <f>IF(Q306&lt;=AT306,0,Q306*1000000/('Parametros'!$B$6*2*0.85*(H306-2*('Parametros'!$B$7+'Parametros'!$B$9/2))*(I306-2*('Parametros'!$B$7+'Parametros'!$B$9/2))*'Parametros'!$B$4))</f>
        <v>0</v>
      </c>
      <c r="AW306" s="10">
        <f>AV306*2*((H306-2*('Parametros'!$B$7+'Parametros'!$B$9/2))+(I306-2*('Parametros'!$B$7+'Parametros'!$B$9/2)))*'Parametros'!$B$4/'Parametros'!$B$3</f>
        <v>0</v>
      </c>
      <c r="AX306" s="31" t="n">
        <v>0</v>
      </c>
      <c r="AY306" s="10" t="str">
        <f>IF(AV306=0,"DESPRECIABLE",IF(AND(ISERROR(SEARCH("referencia",AN306)),BB306/AP306&gt;=AV306,BI306&gt;=AW306,BH306="CUMPLE"),"CUMPLE","NO CUMPLE"))</f>
        <v>DESPRECIABLE</v>
      </c>
      <c r="AZ306" s="10" t="str">
        <f>IF(AND(X306="CUMPLE",AE306="CUMPLE",AS306="CUMPLE",OR(AY306="CUMPLE",AY306="DESPRECIABLE"),BH306="CUMPLE",BJ306="CUMPLE"),"CUMPLE","NO CUMPLE")</f>
        <v>CUMPLE</v>
      </c>
      <c r="BA306" s="32" t="n">
        <v>9.5</v>
      </c>
      <c r="BB306" s="32" t="n">
        <v>71</v>
      </c>
      <c r="BC306" s="10">
        <f>MAX(IF(AK306=0,0,AK306*1000/('Parametros'!$B$4*MIN(U306,AB306))),MAX(0.062*SQRT('Parametros'!$B$2)*H306/'Parametros'!$B$4,0.35*H306/'Parametros'!$B$4))</f>
        <v>0.842684394619189</v>
      </c>
      <c r="BD306" s="10">
        <f>2*AV306</f>
        <v>0</v>
      </c>
      <c r="BE306" s="10">
        <f>AO306*BB306/AP306</f>
        <v>1.18333333333333</v>
      </c>
      <c r="BF306" s="10">
        <f>SQRT((AI306*1000/(H306*MIN(U306,AB306)))^2+(Q306*1000000*2*((H306-2*('Parametros'!$B$7+'Parametros'!$B$9/2))+(I306-2*('Parametros'!$B$7+'Parametros'!$B$9/2)))/(1.7*((H306-2*('Parametros'!$B$7+'Parametros'!$B$9/2))*(I306-2*('Parametros'!$B$7+'Parametros'!$B$9/2)))^2))^2)</f>
        <v>1.20610452421429</v>
      </c>
      <c r="BG306" s="10">
        <f>'Parametros'!$B$6*(AJ306*1000/(H306*MIN(U306,AB306))+0.66*SQRT('Parametros'!$B$2))</f>
        <v>3.29396038227542</v>
      </c>
      <c r="BH306" s="10" t="str">
        <f>IF(BF306&lt;=BG306,"CUMPLE","NO CUMPLE")</f>
        <v>CUMPLE</v>
      </c>
      <c r="BI306" s="10">
        <f>AX306*'Parametros'!$B$8</f>
        <v>0</v>
      </c>
      <c r="BJ306" s="10" t="str">
        <f>IF(BI306&gt;=AW306,"CUMPLE","NO CUMPLE")</f>
        <v>CUMPLE</v>
      </c>
    </row>
    <row r="307">
      <c r="A307" s="23" t="inlineStr">
        <is>
          <t>VR1</t>
        </is>
      </c>
      <c r="B307" s="23" t="inlineStr">
        <is>
          <t>950</t>
        </is>
      </c>
      <c r="C307" s="10" t="n">
        <v>1</v>
      </c>
      <c r="D307" s="10" t="n">
        <v>1.9</v>
      </c>
      <c r="E307" s="10" t="n">
        <v>1.9</v>
      </c>
      <c r="F307" s="10" t="n">
        <v>500</v>
      </c>
      <c r="G307" s="10" t="n">
        <v>550</v>
      </c>
      <c r="H307" s="17" t="n">
        <v>500</v>
      </c>
      <c r="I307" s="17" t="n">
        <v>550</v>
      </c>
      <c r="J307" s="30" t="n">
        <v>47.9519</v>
      </c>
      <c r="K307" s="10" t="inlineStr">
        <is>
          <t>950</t>
        </is>
      </c>
      <c r="L307" s="30" t="n">
        <v>17.4731</v>
      </c>
      <c r="M307" s="10" t="inlineStr">
        <is>
          <t>950</t>
        </is>
      </c>
      <c r="N307" s="30" t="n">
        <v>54.738</v>
      </c>
      <c r="O307" s="30" t="n">
        <v>121.076</v>
      </c>
      <c r="P307" s="10" t="inlineStr">
        <is>
          <t>950</t>
        </is>
      </c>
      <c r="Q307" s="30" t="n">
        <v>1.4361</v>
      </c>
      <c r="R307" s="10">
        <f>MAX(MAX(1.4/'Parametros'!$B$3,0.25*SQRT('Parametros'!$B$2)/'Parametros'!$B$3)*H307*U307,(0.85*'Parametros'!$B$2/'Parametros'!$B$3)*(1-SQRT(1-2*(J307*1000000/('Parametros'!$B$5*H307*U307^2))/(0.85*'Parametros'!$B$2)))*H307*U307)</f>
        <v>815.583333333333</v>
      </c>
      <c r="S307" s="31" t="n">
        <v>5</v>
      </c>
      <c r="T307" s="32" t="n">
        <v>1</v>
      </c>
      <c r="U307" s="10">
        <f>IF(T307=1,I307-('Parametros'!$B$7+'Parametros'!$B$9+'Parametros'!$B$12/2),I307-(ROUNDUP(S307/2,0)*('Parametros'!$B$7+'Parametros'!$B$9+'Parametros'!$B$12/2)+ROUNDDOWN(S307/2,0)*('Parametros'!$B$7+'Parametros'!$B$9+'Parametros'!$B$12/2+'Parametros'!$B$12+'Parametros'!$B$10))/S307)</f>
        <v>489.35</v>
      </c>
      <c r="V307" s="10">
        <f>S307*'Parametros'!$B$8</f>
        <v>995</v>
      </c>
      <c r="W307" s="10">
        <f>'Parametros'!$B$5*V307*'Parametros'!$B$3*(U307-(V307*'Parametros'!$B$3/(0.85*'Parametros'!$B$2*H307))/2)/1000000</f>
        <v>177.445379382353</v>
      </c>
      <c r="X307" s="10" t="str">
        <f>IF(W307&gt;=J307,"CUMPLE","NO CUMPLE")</f>
        <v>CUMPLE</v>
      </c>
      <c r="Y307" s="10">
        <f>MAX(MAX(1.4/'Parametros'!$B$3,0.25*SQRT('Parametros'!$B$2)/'Parametros'!$B$3)*H307*AB307,(0.85*'Parametros'!$B$2/'Parametros'!$B$3)*(1-SQRT(1-2*(L307*1000000/('Parametros'!$B$5*H307*AB307^2))/(0.85*'Parametros'!$B$2)))*H307*AB307)</f>
        <v>815.583333333333</v>
      </c>
      <c r="Z307" s="31" t="n">
        <v>5</v>
      </c>
      <c r="AA307" s="32" t="n">
        <v>1</v>
      </c>
      <c r="AB307" s="10">
        <f>IF(AA307=1,I307-('Parametros'!$B$7+'Parametros'!$B$9+'Parametros'!$B$12/2),I307-(ROUNDUP(Z307/2,0)*('Parametros'!$B$7+'Parametros'!$B$9+'Parametros'!$B$12/2)+ROUNDDOWN(Z307/2,0)*('Parametros'!$B$7+'Parametros'!$B$9+'Parametros'!$B$12/2+'Parametros'!$B$12+'Parametros'!$B$10))/Z307)</f>
        <v>489.35</v>
      </c>
      <c r="AC307" s="10">
        <f>Z307*'Parametros'!$B$8</f>
        <v>995</v>
      </c>
      <c r="AD307" s="10">
        <f>'Parametros'!$B$5*AC307*'Parametros'!$B$3*(AB307-(AC307*'Parametros'!$B$3/(0.85*'Parametros'!$B$2*H307))/2)/1000000</f>
        <v>177.445379382353</v>
      </c>
      <c r="AE307" s="10" t="str">
        <f>IF(AD307&gt;=L307,"CUMPLE","NO CUMPLE")</f>
        <v>CUMPLE</v>
      </c>
      <c r="AF307" s="10">
        <f>V307*1.25*'Parametros'!$B$3*(U307-(V307*1.25*'Parametros'!$B$3/(0.85*'Parametros'!$B$2*H307))/2)/1000000</f>
        <v>244.158843198529</v>
      </c>
      <c r="AG307" s="10">
        <f>AC307*1.25*'Parametros'!$B$3*(AB307-(AC307*1.25*'Parametros'!$B$3/(0.85*'Parametros'!$B$2*H307))/2)/1000000</f>
        <v>244.158843198529</v>
      </c>
      <c r="AH307" s="10">
        <f>N307+(AF307+AG307)/D307</f>
        <v>311.747308630031</v>
      </c>
      <c r="AI307" s="10">
        <f>MAX(O307,AH307)</f>
        <v>311.747308630031</v>
      </c>
      <c r="AJ307" s="10">
        <f>0.17*SQRT('Parametros'!$B$2)*H307*MIN(U307,AB307)/1000</f>
        <v>220.098728691808</v>
      </c>
      <c r="AK307" s="10">
        <f>MAX(AI307/'Parametros'!$B$6-AJ307,0)</f>
        <v>195.564349481567</v>
      </c>
      <c r="AL307" s="10">
        <f>0.66*SQRT('Parametros'!$B$2)*H307*MIN(U307,AB307)/1000</f>
        <v>854.500946685842</v>
      </c>
      <c r="AM307" s="10" t="str">
        <f>IF(AK307&lt;=AL307,"CUMPLE","NO CUMPLE")</f>
        <v>CUMPLE</v>
      </c>
      <c r="AN307" s="17" t="inlineStr">
        <is>
          <t>Nº3 cerrado</t>
        </is>
      </c>
      <c r="AO307" s="31" t="n">
        <v>2</v>
      </c>
      <c r="AP307" s="10">
        <f>ROUNDDOWN(MIN(IF(BC307+BD307=0,1000000000,AO307*BB307/(BC307+BD307)),MIN(U307,AB307)/4,8*'Parametros'!$B$12,24*BA307,300,IF(AV307=0,1000000000,2*((H307-2*('Parametros'!$B$7+'Parametros'!$B$9/2))+(I307-2*('Parametros'!$B$7+'Parametros'!$B$9/2)))/8))/10,0)*10</f>
        <v>120</v>
      </c>
      <c r="AQ307" s="10">
        <f>ROUNDDOWN(MIN(IF(BC307+BD307=0,1000000000,AO307*BB307/(BC307+BD307)),IF(AK307&gt;0.33*SQRT('Parametros'!$B$2)*H307*MIN(U307,AB307)/1000,MIN(U307,AB307)/4,MIN(U307,AB307)/2),600,IF(AV307=0,1000000000,2*((H307-2*('Parametros'!$B$7+'Parametros'!$B$9/2))+(I307-2*('Parametros'!$B$7+'Parametros'!$B$9/2)))/8))/10,0)*10</f>
        <v>140</v>
      </c>
      <c r="AR307" s="10">
        <f>'Parametros'!$B$6*(AJ307+MAX(BE307-BD307,0)*'Parametros'!$B$4*MIN(U307,AB307)/1000)</f>
        <v>347.479259018856</v>
      </c>
      <c r="AS307" s="10" t="str">
        <f>IF(AND(ISERROR(SEARCH("referencia",AN307)),AM307="CUMPLE",AR307&gt;=AI307),"CUMPLE","NO CUMPLE")</f>
        <v>CUMPLE</v>
      </c>
      <c r="AT307" s="10">
        <f>'Parametros'!$B$6*0.083*SQRT('Parametros'!$B$2)*(H307*I307)^2/(2*(H307+I307))/1000000</f>
        <v>11.862178757599</v>
      </c>
      <c r="AU307" s="10" t="str">
        <f>IF(Q307&lt;=AT307,"DESPRECIABLE","DISEÑAR")</f>
        <v>DESPRECIABLE</v>
      </c>
      <c r="AV307" s="10">
        <f>IF(Q307&lt;=AT307,0,Q307*1000000/('Parametros'!$B$6*2*0.85*(H307-2*('Parametros'!$B$7+'Parametros'!$B$9/2))*(I307-2*('Parametros'!$B$7+'Parametros'!$B$9/2))*'Parametros'!$B$4))</f>
        <v>0</v>
      </c>
      <c r="AW307" s="10">
        <f>AV307*2*((H307-2*('Parametros'!$B$7+'Parametros'!$B$9/2))+(I307-2*('Parametros'!$B$7+'Parametros'!$B$9/2)))*'Parametros'!$B$4/'Parametros'!$B$3</f>
        <v>0</v>
      </c>
      <c r="AX307" s="31" t="n">
        <v>0</v>
      </c>
      <c r="AY307" s="10" t="str">
        <f>IF(AV307=0,"DESPRECIABLE",IF(AND(ISERROR(SEARCH("referencia",AN307)),BB307/AP307&gt;=AV307,BI307&gt;=AW307,BH307="CUMPLE"),"CUMPLE","NO CUMPLE"))</f>
        <v>DESPRECIABLE</v>
      </c>
      <c r="AZ307" s="10" t="str">
        <f>IF(AND(X307="CUMPLE",AE307="CUMPLE",AS307="CUMPLE",OR(AY307="CUMPLE",AY307="DESPRECIABLE"),BH307="CUMPLE",BJ307="CUMPLE"),"CUMPLE","NO CUMPLE")</f>
        <v>CUMPLE</v>
      </c>
      <c r="BA307" s="32" t="n">
        <v>9.5</v>
      </c>
      <c r="BB307" s="32" t="n">
        <v>71</v>
      </c>
      <c r="BC307" s="10">
        <f>MAX(IF(AK307=0,0,AK307*1000/('Parametros'!$B$4*MIN(U307,AB307))),MAX(0.062*SQRT('Parametros'!$B$2)*H307/'Parametros'!$B$4,0.35*H307/'Parametros'!$B$4))</f>
        <v>0.951526317620394</v>
      </c>
      <c r="BD307" s="10">
        <f>2*AV307</f>
        <v>0</v>
      </c>
      <c r="BE307" s="10">
        <f>AO307*BB307/AP307</f>
        <v>1.18333333333333</v>
      </c>
      <c r="BF307" s="10">
        <f>SQRT((AI307*1000/(H307*MIN(U307,AB307)))^2+(Q307*1000000*2*((H307-2*('Parametros'!$B$7+'Parametros'!$B$9/2))+(I307-2*('Parametros'!$B$7+'Parametros'!$B$9/2)))/(1.7*((H307-2*('Parametros'!$B$7+'Parametros'!$B$9/2))*(I307-2*('Parametros'!$B$7+'Parametros'!$B$9/2)))^2))^2)</f>
        <v>1.27482372969397</v>
      </c>
      <c r="BG307" s="10">
        <f>'Parametros'!$B$6*(AJ307*1000/(H307*MIN(U307,AB307))+0.66*SQRT('Parametros'!$B$2))</f>
        <v>3.29396038227542</v>
      </c>
      <c r="BH307" s="10" t="str">
        <f>IF(BF307&lt;=BG307,"CUMPLE","NO CUMPLE")</f>
        <v>CUMPLE</v>
      </c>
      <c r="BI307" s="10">
        <f>AX307*'Parametros'!$B$8</f>
        <v>0</v>
      </c>
      <c r="BJ307" s="10" t="str">
        <f>IF(BI307&gt;=AW307,"CUMPLE","NO CUMPLE")</f>
        <v>CUMPLE</v>
      </c>
    </row>
    <row r="308">
      <c r="A308" s="23" t="inlineStr">
        <is>
          <t>VR1</t>
        </is>
      </c>
      <c r="B308" s="23" t="inlineStr">
        <is>
          <t>951</t>
        </is>
      </c>
      <c r="C308" s="10" t="n">
        <v>1</v>
      </c>
      <c r="D308" s="10" t="n">
        <v>3.4</v>
      </c>
      <c r="E308" s="10" t="n">
        <v>3.4</v>
      </c>
      <c r="F308" s="10" t="n">
        <v>500</v>
      </c>
      <c r="G308" s="10" t="n">
        <v>550</v>
      </c>
      <c r="H308" s="17" t="n">
        <v>500</v>
      </c>
      <c r="I308" s="17" t="n">
        <v>550</v>
      </c>
      <c r="J308" s="30" t="n">
        <v>57.9139</v>
      </c>
      <c r="K308" s="10" t="inlineStr">
        <is>
          <t>951</t>
        </is>
      </c>
      <c r="L308" s="30" t="n">
        <v>28.8299</v>
      </c>
      <c r="M308" s="10" t="inlineStr">
        <is>
          <t>951</t>
        </is>
      </c>
      <c r="N308" s="30" t="n">
        <v>64.73</v>
      </c>
      <c r="O308" s="30" t="n">
        <v>125.157</v>
      </c>
      <c r="P308" s="10" t="inlineStr">
        <is>
          <t>951</t>
        </is>
      </c>
      <c r="Q308" s="30" t="n">
        <v>10.4541</v>
      </c>
      <c r="R308" s="10">
        <f>MAX(MAX(1.4/'Parametros'!$B$3,0.25*SQRT('Parametros'!$B$2)/'Parametros'!$B$3)*H308*U308,(0.85*'Parametros'!$B$2/'Parametros'!$B$3)*(1-SQRT(1-2*(J308*1000000/('Parametros'!$B$5*H308*U308^2))/(0.85*'Parametros'!$B$2)))*H308*U308)</f>
        <v>815.583333333333</v>
      </c>
      <c r="S308" s="31" t="n">
        <v>5</v>
      </c>
      <c r="T308" s="32" t="n">
        <v>1</v>
      </c>
      <c r="U308" s="10">
        <f>IF(T308=1,I308-('Parametros'!$B$7+'Parametros'!$B$9+'Parametros'!$B$12/2),I308-(ROUNDUP(S308/2,0)*('Parametros'!$B$7+'Parametros'!$B$9+'Parametros'!$B$12/2)+ROUNDDOWN(S308/2,0)*('Parametros'!$B$7+'Parametros'!$B$9+'Parametros'!$B$12/2+'Parametros'!$B$12+'Parametros'!$B$10))/S308)</f>
        <v>489.35</v>
      </c>
      <c r="V308" s="10">
        <f>S308*'Parametros'!$B$8</f>
        <v>995</v>
      </c>
      <c r="W308" s="10">
        <f>'Parametros'!$B$5*V308*'Parametros'!$B$3*(U308-(V308*'Parametros'!$B$3/(0.85*'Parametros'!$B$2*H308))/2)/1000000</f>
        <v>177.445379382353</v>
      </c>
      <c r="X308" s="10" t="str">
        <f>IF(W308&gt;=J308,"CUMPLE","NO CUMPLE")</f>
        <v>CUMPLE</v>
      </c>
      <c r="Y308" s="10">
        <f>MAX(MAX(1.4/'Parametros'!$B$3,0.25*SQRT('Parametros'!$B$2)/'Parametros'!$B$3)*H308*AB308,(0.85*'Parametros'!$B$2/'Parametros'!$B$3)*(1-SQRT(1-2*(L308*1000000/('Parametros'!$B$5*H308*AB308^2))/(0.85*'Parametros'!$B$2)))*H308*AB308)</f>
        <v>815.583333333333</v>
      </c>
      <c r="Z308" s="31" t="n">
        <v>5</v>
      </c>
      <c r="AA308" s="32" t="n">
        <v>1</v>
      </c>
      <c r="AB308" s="10">
        <f>IF(AA308=1,I308-('Parametros'!$B$7+'Parametros'!$B$9+'Parametros'!$B$12/2),I308-(ROUNDUP(Z308/2,0)*('Parametros'!$B$7+'Parametros'!$B$9+'Parametros'!$B$12/2)+ROUNDDOWN(Z308/2,0)*('Parametros'!$B$7+'Parametros'!$B$9+'Parametros'!$B$12/2+'Parametros'!$B$12+'Parametros'!$B$10))/Z308)</f>
        <v>489.35</v>
      </c>
      <c r="AC308" s="10">
        <f>Z308*'Parametros'!$B$8</f>
        <v>995</v>
      </c>
      <c r="AD308" s="10">
        <f>'Parametros'!$B$5*AC308*'Parametros'!$B$3*(AB308-(AC308*'Parametros'!$B$3/(0.85*'Parametros'!$B$2*H308))/2)/1000000</f>
        <v>177.445379382353</v>
      </c>
      <c r="AE308" s="10" t="str">
        <f>IF(AD308&gt;=L308,"CUMPLE","NO CUMPLE")</f>
        <v>CUMPLE</v>
      </c>
      <c r="AF308" s="10">
        <f>V308*1.25*'Parametros'!$B$3*(U308-(V308*1.25*'Parametros'!$B$3/(0.85*'Parametros'!$B$2*H308))/2)/1000000</f>
        <v>244.158843198529</v>
      </c>
      <c r="AG308" s="10">
        <f>AC308*1.25*'Parametros'!$B$3*(AB308-(AC308*1.25*'Parametros'!$B$3/(0.85*'Parametros'!$B$2*H308))/2)/1000000</f>
        <v>244.158843198529</v>
      </c>
      <c r="AH308" s="10">
        <f>N308+(AF308+AG308)/D308</f>
        <v>208.352848940311</v>
      </c>
      <c r="AI308" s="10">
        <f>MAX(O308,AH308)</f>
        <v>208.352848940311</v>
      </c>
      <c r="AJ308" s="10">
        <f>0.17*SQRT('Parametros'!$B$2)*H308*MIN(U308,AB308)/1000</f>
        <v>220.098728691808</v>
      </c>
      <c r="AK308" s="10">
        <f>MAX(AI308/'Parametros'!$B$6-AJ308,0)</f>
        <v>57.7050698952742</v>
      </c>
      <c r="AL308" s="10">
        <f>0.66*SQRT('Parametros'!$B$2)*H308*MIN(U308,AB308)/1000</f>
        <v>854.500946685842</v>
      </c>
      <c r="AM308" s="10" t="str">
        <f>IF(AK308&lt;=AL308,"CUMPLE","NO CUMPLE")</f>
        <v>CUMPLE</v>
      </c>
      <c r="AN308" s="17" t="inlineStr">
        <is>
          <t>Nº3 cerrado</t>
        </is>
      </c>
      <c r="AO308" s="31" t="n">
        <v>2</v>
      </c>
      <c r="AP308" s="10">
        <f>ROUNDDOWN(MIN(IF(BC308+BD308=0,1000000000,AO308*BB308/(BC308+BD308)),MIN(U308,AB308)/4,8*'Parametros'!$B$12,24*BA308,300,IF(AV308=0,1000000000,2*((H308-2*('Parametros'!$B$7+'Parametros'!$B$9/2))+(I308-2*('Parametros'!$B$7+'Parametros'!$B$9/2)))/8))/10,0)*10</f>
        <v>120</v>
      </c>
      <c r="AQ308" s="10">
        <f>ROUNDDOWN(MIN(IF(BC308+BD308=0,1000000000,AO308*BB308/(BC308+BD308)),IF(AK308&gt;0.33*SQRT('Parametros'!$B$2)*H308*MIN(U308,AB308)/1000,MIN(U308,AB308)/4,MIN(U308,AB308)/2),600,IF(AV308=0,1000000000,2*((H308-2*('Parametros'!$B$7+'Parametros'!$B$9/2))+(I308-2*('Parametros'!$B$7+'Parametros'!$B$9/2)))/8))/10,0)*10</f>
        <v>240</v>
      </c>
      <c r="AR308" s="10">
        <f>'Parametros'!$B$6*(AJ308+MAX(BE308-BD308,0)*'Parametros'!$B$4*MIN(U308,AB308)/1000)</f>
        <v>347.479259018856</v>
      </c>
      <c r="AS308" s="10" t="str">
        <f>IF(AND(ISERROR(SEARCH("referencia",AN308)),AM308="CUMPLE",AR308&gt;=AI308),"CUMPLE","NO CUMPLE")</f>
        <v>CUMPLE</v>
      </c>
      <c r="AT308" s="10">
        <f>'Parametros'!$B$6*0.083*SQRT('Parametros'!$B$2)*(H308*I308)^2/(2*(H308+I308))/1000000</f>
        <v>11.862178757599</v>
      </c>
      <c r="AU308" s="10" t="str">
        <f>IF(Q308&lt;=AT308,"DESPRECIABLE","DISEÑAR")</f>
        <v>DESPRECIABLE</v>
      </c>
      <c r="AV308" s="10">
        <f>IF(Q308&lt;=AT308,0,Q308*1000000/('Parametros'!$B$6*2*0.85*(H308-2*('Parametros'!$B$7+'Parametros'!$B$9/2))*(I308-2*('Parametros'!$B$7+'Parametros'!$B$9/2))*'Parametros'!$B$4))</f>
        <v>0</v>
      </c>
      <c r="AW308" s="10">
        <f>AV308*2*((H308-2*('Parametros'!$B$7+'Parametros'!$B$9/2))+(I308-2*('Parametros'!$B$7+'Parametros'!$B$9/2)))*'Parametros'!$B$4/'Parametros'!$B$3</f>
        <v>0</v>
      </c>
      <c r="AX308" s="31" t="n">
        <v>0</v>
      </c>
      <c r="AY308" s="10" t="str">
        <f>IF(AV308=0,"DESPRECIABLE",IF(AND(ISERROR(SEARCH("referencia",AN308)),BB308/AP308&gt;=AV308,BI308&gt;=AW308,BH308="CUMPLE"),"CUMPLE","NO CUMPLE"))</f>
        <v>DESPRECIABLE</v>
      </c>
      <c r="AZ308" s="10" t="str">
        <f>IF(AND(X308="CUMPLE",AE308="CUMPLE",AS308="CUMPLE",OR(AY308="CUMPLE",AY308="DESPRECIABLE"),BH308="CUMPLE",BJ308="CUMPLE"),"CUMPLE","NO CUMPLE")</f>
        <v>CUMPLE</v>
      </c>
      <c r="BA308" s="32" t="n">
        <v>9.5</v>
      </c>
      <c r="BB308" s="32" t="n">
        <v>71</v>
      </c>
      <c r="BC308" s="10">
        <f>MAX(IF(AK308=0,0,AK308*1000/('Parametros'!$B$4*MIN(U308,AB308))),MAX(0.062*SQRT('Parametros'!$B$2)*H308/'Parametros'!$B$4,0.35*H308/'Parametros'!$B$4))</f>
        <v>0.416666666666667</v>
      </c>
      <c r="BD308" s="10">
        <f>2*AV308</f>
        <v>0</v>
      </c>
      <c r="BE308" s="10">
        <f>AO308*BB308/AP308</f>
        <v>1.18333333333333</v>
      </c>
      <c r="BF308" s="10">
        <f>SQRT((AI308*1000/(H308*MIN(U308,AB308)))^2+(Q308*1000000*2*((H308-2*('Parametros'!$B$7+'Parametros'!$B$9/2))+(I308-2*('Parametros'!$B$7+'Parametros'!$B$9/2)))/(1.7*((H308-2*('Parametros'!$B$7+'Parametros'!$B$9/2))*(I308-2*('Parametros'!$B$7+'Parametros'!$B$9/2)))^2))^2)</f>
        <v>0.905034707835394</v>
      </c>
      <c r="BG308" s="10">
        <f>'Parametros'!$B$6*(AJ308*1000/(H308*MIN(U308,AB308))+0.66*SQRT('Parametros'!$B$2))</f>
        <v>3.29396038227542</v>
      </c>
      <c r="BH308" s="10" t="str">
        <f>IF(BF308&lt;=BG308,"CUMPLE","NO CUMPLE")</f>
        <v>CUMPLE</v>
      </c>
      <c r="BI308" s="10">
        <f>AX308*'Parametros'!$B$8</f>
        <v>0</v>
      </c>
      <c r="BJ308" s="10" t="str">
        <f>IF(BI308&gt;=AW308,"CUMPLE","NO CUMPLE")</f>
        <v>CUMPLE</v>
      </c>
    </row>
    <row r="309">
      <c r="A309" s="23" t="inlineStr">
        <is>
          <t>VR1</t>
        </is>
      </c>
      <c r="B309" s="23" t="inlineStr">
        <is>
          <t>952</t>
        </is>
      </c>
      <c r="C309" s="10" t="n">
        <v>1</v>
      </c>
      <c r="D309" s="10" t="n">
        <v>3.4</v>
      </c>
      <c r="E309" s="10" t="n">
        <v>3.4</v>
      </c>
      <c r="F309" s="10" t="n">
        <v>500</v>
      </c>
      <c r="G309" s="10" t="n">
        <v>550</v>
      </c>
      <c r="H309" s="17" t="n">
        <v>500</v>
      </c>
      <c r="I309" s="17" t="n">
        <v>550</v>
      </c>
      <c r="J309" s="30" t="n">
        <v>58.0002</v>
      </c>
      <c r="K309" s="10" t="inlineStr">
        <is>
          <t>952</t>
        </is>
      </c>
      <c r="L309" s="30" t="n">
        <v>28.8692</v>
      </c>
      <c r="M309" s="10" t="inlineStr">
        <is>
          <t>952</t>
        </is>
      </c>
      <c r="N309" s="30" t="n">
        <v>64.78</v>
      </c>
      <c r="O309" s="30" t="n">
        <v>125.41</v>
      </c>
      <c r="P309" s="10" t="inlineStr">
        <is>
          <t>952</t>
        </is>
      </c>
      <c r="Q309" s="30" t="n">
        <v>10.4878</v>
      </c>
      <c r="R309" s="10">
        <f>MAX(MAX(1.4/'Parametros'!$B$3,0.25*SQRT('Parametros'!$B$2)/'Parametros'!$B$3)*H309*U309,(0.85*'Parametros'!$B$2/'Parametros'!$B$3)*(1-SQRT(1-2*(J309*1000000/('Parametros'!$B$5*H309*U309^2))/(0.85*'Parametros'!$B$2)))*H309*U309)</f>
        <v>815.583333333333</v>
      </c>
      <c r="S309" s="31" t="n">
        <v>5</v>
      </c>
      <c r="T309" s="32" t="n">
        <v>1</v>
      </c>
      <c r="U309" s="10">
        <f>IF(T309=1,I309-('Parametros'!$B$7+'Parametros'!$B$9+'Parametros'!$B$12/2),I309-(ROUNDUP(S309/2,0)*('Parametros'!$B$7+'Parametros'!$B$9+'Parametros'!$B$12/2)+ROUNDDOWN(S309/2,0)*('Parametros'!$B$7+'Parametros'!$B$9+'Parametros'!$B$12/2+'Parametros'!$B$12+'Parametros'!$B$10))/S309)</f>
        <v>489.35</v>
      </c>
      <c r="V309" s="10">
        <f>S309*'Parametros'!$B$8</f>
        <v>995</v>
      </c>
      <c r="W309" s="10">
        <f>'Parametros'!$B$5*V309*'Parametros'!$B$3*(U309-(V309*'Parametros'!$B$3/(0.85*'Parametros'!$B$2*H309))/2)/1000000</f>
        <v>177.445379382353</v>
      </c>
      <c r="X309" s="10" t="str">
        <f>IF(W309&gt;=J309,"CUMPLE","NO CUMPLE")</f>
        <v>CUMPLE</v>
      </c>
      <c r="Y309" s="10">
        <f>MAX(MAX(1.4/'Parametros'!$B$3,0.25*SQRT('Parametros'!$B$2)/'Parametros'!$B$3)*H309*AB309,(0.85*'Parametros'!$B$2/'Parametros'!$B$3)*(1-SQRT(1-2*(L309*1000000/('Parametros'!$B$5*H309*AB309^2))/(0.85*'Parametros'!$B$2)))*H309*AB309)</f>
        <v>815.583333333333</v>
      </c>
      <c r="Z309" s="31" t="n">
        <v>5</v>
      </c>
      <c r="AA309" s="32" t="n">
        <v>1</v>
      </c>
      <c r="AB309" s="10">
        <f>IF(AA309=1,I309-('Parametros'!$B$7+'Parametros'!$B$9+'Parametros'!$B$12/2),I309-(ROUNDUP(Z309/2,0)*('Parametros'!$B$7+'Parametros'!$B$9+'Parametros'!$B$12/2)+ROUNDDOWN(Z309/2,0)*('Parametros'!$B$7+'Parametros'!$B$9+'Parametros'!$B$12/2+'Parametros'!$B$12+'Parametros'!$B$10))/Z309)</f>
        <v>489.35</v>
      </c>
      <c r="AC309" s="10">
        <f>Z309*'Parametros'!$B$8</f>
        <v>995</v>
      </c>
      <c r="AD309" s="10">
        <f>'Parametros'!$B$5*AC309*'Parametros'!$B$3*(AB309-(AC309*'Parametros'!$B$3/(0.85*'Parametros'!$B$2*H309))/2)/1000000</f>
        <v>177.445379382353</v>
      </c>
      <c r="AE309" s="10" t="str">
        <f>IF(AD309&gt;=L309,"CUMPLE","NO CUMPLE")</f>
        <v>CUMPLE</v>
      </c>
      <c r="AF309" s="10">
        <f>V309*1.25*'Parametros'!$B$3*(U309-(V309*1.25*'Parametros'!$B$3/(0.85*'Parametros'!$B$2*H309))/2)/1000000</f>
        <v>244.158843198529</v>
      </c>
      <c r="AG309" s="10">
        <f>AC309*1.25*'Parametros'!$B$3*(AB309-(AC309*1.25*'Parametros'!$B$3/(0.85*'Parametros'!$B$2*H309))/2)/1000000</f>
        <v>244.158843198529</v>
      </c>
      <c r="AH309" s="10">
        <f>N309+(AF309+AG309)/D309</f>
        <v>208.402848940311</v>
      </c>
      <c r="AI309" s="10">
        <f>MAX(O309,AH309)</f>
        <v>208.402848940311</v>
      </c>
      <c r="AJ309" s="10">
        <f>0.17*SQRT('Parametros'!$B$2)*H309*MIN(U309,AB309)/1000</f>
        <v>220.098728691808</v>
      </c>
      <c r="AK309" s="10">
        <f>MAX(AI309/'Parametros'!$B$6-AJ309,0)</f>
        <v>57.7717365619408</v>
      </c>
      <c r="AL309" s="10">
        <f>0.66*SQRT('Parametros'!$B$2)*H309*MIN(U309,AB309)/1000</f>
        <v>854.500946685842</v>
      </c>
      <c r="AM309" s="10" t="str">
        <f>IF(AK309&lt;=AL309,"CUMPLE","NO CUMPLE")</f>
        <v>CUMPLE</v>
      </c>
      <c r="AN309" s="17" t="inlineStr">
        <is>
          <t>Nº3 cerrado</t>
        </is>
      </c>
      <c r="AO309" s="31" t="n">
        <v>2</v>
      </c>
      <c r="AP309" s="10">
        <f>ROUNDDOWN(MIN(IF(BC309+BD309=0,1000000000,AO309*BB309/(BC309+BD309)),MIN(U309,AB309)/4,8*'Parametros'!$B$12,24*BA309,300,IF(AV309=0,1000000000,2*((H309-2*('Parametros'!$B$7+'Parametros'!$B$9/2))+(I309-2*('Parametros'!$B$7+'Parametros'!$B$9/2)))/8))/10,0)*10</f>
        <v>120</v>
      </c>
      <c r="AQ309" s="10">
        <f>ROUNDDOWN(MIN(IF(BC309+BD309=0,1000000000,AO309*BB309/(BC309+BD309)),IF(AK309&gt;0.33*SQRT('Parametros'!$B$2)*H309*MIN(U309,AB309)/1000,MIN(U309,AB309)/4,MIN(U309,AB309)/2),600,IF(AV309=0,1000000000,2*((H309-2*('Parametros'!$B$7+'Parametros'!$B$9/2))+(I309-2*('Parametros'!$B$7+'Parametros'!$B$9/2)))/8))/10,0)*10</f>
        <v>240</v>
      </c>
      <c r="AR309" s="10">
        <f>'Parametros'!$B$6*(AJ309+MAX(BE309-BD309,0)*'Parametros'!$B$4*MIN(U309,AB309)/1000)</f>
        <v>347.479259018856</v>
      </c>
      <c r="AS309" s="10" t="str">
        <f>IF(AND(ISERROR(SEARCH("referencia",AN309)),AM309="CUMPLE",AR309&gt;=AI309),"CUMPLE","NO CUMPLE")</f>
        <v>CUMPLE</v>
      </c>
      <c r="AT309" s="10">
        <f>'Parametros'!$B$6*0.083*SQRT('Parametros'!$B$2)*(H309*I309)^2/(2*(H309+I309))/1000000</f>
        <v>11.862178757599</v>
      </c>
      <c r="AU309" s="10" t="str">
        <f>IF(Q309&lt;=AT309,"DESPRECIABLE","DISEÑAR")</f>
        <v>DESPRECIABLE</v>
      </c>
      <c r="AV309" s="10">
        <f>IF(Q309&lt;=AT309,0,Q309*1000000/('Parametros'!$B$6*2*0.85*(H309-2*('Parametros'!$B$7+'Parametros'!$B$9/2))*(I309-2*('Parametros'!$B$7+'Parametros'!$B$9/2))*'Parametros'!$B$4))</f>
        <v>0</v>
      </c>
      <c r="AW309" s="10">
        <f>AV309*2*((H309-2*('Parametros'!$B$7+'Parametros'!$B$9/2))+(I309-2*('Parametros'!$B$7+'Parametros'!$B$9/2)))*'Parametros'!$B$4/'Parametros'!$B$3</f>
        <v>0</v>
      </c>
      <c r="AX309" s="31" t="n">
        <v>0</v>
      </c>
      <c r="AY309" s="10" t="str">
        <f>IF(AV309=0,"DESPRECIABLE",IF(AND(ISERROR(SEARCH("referencia",AN309)),BB309/AP309&gt;=AV309,BI309&gt;=AW309,BH309="CUMPLE"),"CUMPLE","NO CUMPLE"))</f>
        <v>DESPRECIABLE</v>
      </c>
      <c r="AZ309" s="10" t="str">
        <f>IF(AND(X309="CUMPLE",AE309="CUMPLE",AS309="CUMPLE",OR(AY309="CUMPLE",AY309="DESPRECIABLE"),BH309="CUMPLE",BJ309="CUMPLE"),"CUMPLE","NO CUMPLE")</f>
        <v>CUMPLE</v>
      </c>
      <c r="BA309" s="32" t="n">
        <v>9.5</v>
      </c>
      <c r="BB309" s="32" t="n">
        <v>71</v>
      </c>
      <c r="BC309" s="10">
        <f>MAX(IF(AK309=0,0,AK309*1000/('Parametros'!$B$4*MIN(U309,AB309))),MAX(0.062*SQRT('Parametros'!$B$2)*H309/'Parametros'!$B$4,0.35*H309/'Parametros'!$B$4))</f>
        <v>0.416666666666667</v>
      </c>
      <c r="BD309" s="10">
        <f>2*AV309</f>
        <v>0</v>
      </c>
      <c r="BE309" s="10">
        <f>AO309*BB309/AP309</f>
        <v>1.18333333333333</v>
      </c>
      <c r="BF309" s="10">
        <f>SQRT((AI309*1000/(H309*MIN(U309,AB309)))^2+(Q309*1000000*2*((H309-2*('Parametros'!$B$7+'Parametros'!$B$9/2))+(I309-2*('Parametros'!$B$7+'Parametros'!$B$9/2)))/(1.7*((H309-2*('Parametros'!$B$7+'Parametros'!$B$9/2))*(I309-2*('Parametros'!$B$7+'Parametros'!$B$9/2)))^2))^2)</f>
        <v>0.905562035430361</v>
      </c>
      <c r="BG309" s="10">
        <f>'Parametros'!$B$6*(AJ309*1000/(H309*MIN(U309,AB309))+0.66*SQRT('Parametros'!$B$2))</f>
        <v>3.29396038227542</v>
      </c>
      <c r="BH309" s="10" t="str">
        <f>IF(BF309&lt;=BG309,"CUMPLE","NO CUMPLE")</f>
        <v>CUMPLE</v>
      </c>
      <c r="BI309" s="10">
        <f>AX309*'Parametros'!$B$8</f>
        <v>0</v>
      </c>
      <c r="BJ309" s="10" t="str">
        <f>IF(BI309&gt;=AW309,"CUMPLE","NO CUMPLE")</f>
        <v>CUMPLE</v>
      </c>
    </row>
    <row r="310">
      <c r="A310" s="23" t="inlineStr">
        <is>
          <t>VR1</t>
        </is>
      </c>
      <c r="B310" s="23" t="inlineStr">
        <is>
          <t>953</t>
        </is>
      </c>
      <c r="C310" s="10" t="n">
        <v>1</v>
      </c>
      <c r="D310" s="10" t="n">
        <v>1.9</v>
      </c>
      <c r="E310" s="10" t="n">
        <v>1.9</v>
      </c>
      <c r="F310" s="10" t="n">
        <v>500</v>
      </c>
      <c r="G310" s="10" t="n">
        <v>550</v>
      </c>
      <c r="H310" s="17" t="n">
        <v>500</v>
      </c>
      <c r="I310" s="17" t="n">
        <v>550</v>
      </c>
      <c r="J310" s="30" t="n">
        <v>48.0308</v>
      </c>
      <c r="K310" s="10" t="inlineStr">
        <is>
          <t>953</t>
        </is>
      </c>
      <c r="L310" s="30" t="n">
        <v>17.5198</v>
      </c>
      <c r="M310" s="10" t="inlineStr">
        <is>
          <t>953</t>
        </is>
      </c>
      <c r="N310" s="30" t="n">
        <v>54.807</v>
      </c>
      <c r="O310" s="30" t="n">
        <v>121.129</v>
      </c>
      <c r="P310" s="10" t="inlineStr">
        <is>
          <t>953</t>
        </is>
      </c>
      <c r="Q310" s="30" t="n">
        <v>1.455</v>
      </c>
      <c r="R310" s="10">
        <f>MAX(MAX(1.4/'Parametros'!$B$3,0.25*SQRT('Parametros'!$B$2)/'Parametros'!$B$3)*H310*U310,(0.85*'Parametros'!$B$2/'Parametros'!$B$3)*(1-SQRT(1-2*(J310*1000000/('Parametros'!$B$5*H310*U310^2))/(0.85*'Parametros'!$B$2)))*H310*U310)</f>
        <v>815.583333333333</v>
      </c>
      <c r="S310" s="31" t="n">
        <v>5</v>
      </c>
      <c r="T310" s="32" t="n">
        <v>1</v>
      </c>
      <c r="U310" s="10">
        <f>IF(T310=1,I310-('Parametros'!$B$7+'Parametros'!$B$9+'Parametros'!$B$12/2),I310-(ROUNDUP(S310/2,0)*('Parametros'!$B$7+'Parametros'!$B$9+'Parametros'!$B$12/2)+ROUNDDOWN(S310/2,0)*('Parametros'!$B$7+'Parametros'!$B$9+'Parametros'!$B$12/2+'Parametros'!$B$12+'Parametros'!$B$10))/S310)</f>
        <v>489.35</v>
      </c>
      <c r="V310" s="10">
        <f>S310*'Parametros'!$B$8</f>
        <v>995</v>
      </c>
      <c r="W310" s="10">
        <f>'Parametros'!$B$5*V310*'Parametros'!$B$3*(U310-(V310*'Parametros'!$B$3/(0.85*'Parametros'!$B$2*H310))/2)/1000000</f>
        <v>177.445379382353</v>
      </c>
      <c r="X310" s="10" t="str">
        <f>IF(W310&gt;=J310,"CUMPLE","NO CUMPLE")</f>
        <v>CUMPLE</v>
      </c>
      <c r="Y310" s="10">
        <f>MAX(MAX(1.4/'Parametros'!$B$3,0.25*SQRT('Parametros'!$B$2)/'Parametros'!$B$3)*H310*AB310,(0.85*'Parametros'!$B$2/'Parametros'!$B$3)*(1-SQRT(1-2*(L310*1000000/('Parametros'!$B$5*H310*AB310^2))/(0.85*'Parametros'!$B$2)))*H310*AB310)</f>
        <v>815.583333333333</v>
      </c>
      <c r="Z310" s="31" t="n">
        <v>5</v>
      </c>
      <c r="AA310" s="32" t="n">
        <v>1</v>
      </c>
      <c r="AB310" s="10">
        <f>IF(AA310=1,I310-('Parametros'!$B$7+'Parametros'!$B$9+'Parametros'!$B$12/2),I310-(ROUNDUP(Z310/2,0)*('Parametros'!$B$7+'Parametros'!$B$9+'Parametros'!$B$12/2)+ROUNDDOWN(Z310/2,0)*('Parametros'!$B$7+'Parametros'!$B$9+'Parametros'!$B$12/2+'Parametros'!$B$12+'Parametros'!$B$10))/Z310)</f>
        <v>489.35</v>
      </c>
      <c r="AC310" s="10">
        <f>Z310*'Parametros'!$B$8</f>
        <v>995</v>
      </c>
      <c r="AD310" s="10">
        <f>'Parametros'!$B$5*AC310*'Parametros'!$B$3*(AB310-(AC310*'Parametros'!$B$3/(0.85*'Parametros'!$B$2*H310))/2)/1000000</f>
        <v>177.445379382353</v>
      </c>
      <c r="AE310" s="10" t="str">
        <f>IF(AD310&gt;=L310,"CUMPLE","NO CUMPLE")</f>
        <v>CUMPLE</v>
      </c>
      <c r="AF310" s="10">
        <f>V310*1.25*'Parametros'!$B$3*(U310-(V310*1.25*'Parametros'!$B$3/(0.85*'Parametros'!$B$2*H310))/2)/1000000</f>
        <v>244.158843198529</v>
      </c>
      <c r="AG310" s="10">
        <f>AC310*1.25*'Parametros'!$B$3*(AB310-(AC310*1.25*'Parametros'!$B$3/(0.85*'Parametros'!$B$2*H310))/2)/1000000</f>
        <v>244.158843198529</v>
      </c>
      <c r="AH310" s="10">
        <f>N310+(AF310+AG310)/D310</f>
        <v>311.816308630031</v>
      </c>
      <c r="AI310" s="10">
        <f>MAX(O310,AH310)</f>
        <v>311.816308630031</v>
      </c>
      <c r="AJ310" s="10">
        <f>0.17*SQRT('Parametros'!$B$2)*H310*MIN(U310,AB310)/1000</f>
        <v>220.098728691808</v>
      </c>
      <c r="AK310" s="10">
        <f>MAX(AI310/'Parametros'!$B$6-AJ310,0)</f>
        <v>195.656349481567</v>
      </c>
      <c r="AL310" s="10">
        <f>0.66*SQRT('Parametros'!$B$2)*H310*MIN(U310,AB310)/1000</f>
        <v>854.500946685842</v>
      </c>
      <c r="AM310" s="10" t="str">
        <f>IF(AK310&lt;=AL310,"CUMPLE","NO CUMPLE")</f>
        <v>CUMPLE</v>
      </c>
      <c r="AN310" s="17" t="inlineStr">
        <is>
          <t>Nº3 cerrado</t>
        </is>
      </c>
      <c r="AO310" s="31" t="n">
        <v>2</v>
      </c>
      <c r="AP310" s="10">
        <f>ROUNDDOWN(MIN(IF(BC310+BD310=0,1000000000,AO310*BB310/(BC310+BD310)),MIN(U310,AB310)/4,8*'Parametros'!$B$12,24*BA310,300,IF(AV310=0,1000000000,2*((H310-2*('Parametros'!$B$7+'Parametros'!$B$9/2))+(I310-2*('Parametros'!$B$7+'Parametros'!$B$9/2)))/8))/10,0)*10</f>
        <v>120</v>
      </c>
      <c r="AQ310" s="10">
        <f>ROUNDDOWN(MIN(IF(BC310+BD310=0,1000000000,AO310*BB310/(BC310+BD310)),IF(AK310&gt;0.33*SQRT('Parametros'!$B$2)*H310*MIN(U310,AB310)/1000,MIN(U310,AB310)/4,MIN(U310,AB310)/2),600,IF(AV310=0,1000000000,2*((H310-2*('Parametros'!$B$7+'Parametros'!$B$9/2))+(I310-2*('Parametros'!$B$7+'Parametros'!$B$9/2)))/8))/10,0)*10</f>
        <v>140</v>
      </c>
      <c r="AR310" s="10">
        <f>'Parametros'!$B$6*(AJ310+MAX(BE310-BD310,0)*'Parametros'!$B$4*MIN(U310,AB310)/1000)</f>
        <v>347.479259018856</v>
      </c>
      <c r="AS310" s="10" t="str">
        <f>IF(AND(ISERROR(SEARCH("referencia",AN310)),AM310="CUMPLE",AR310&gt;=AI310),"CUMPLE","NO CUMPLE")</f>
        <v>CUMPLE</v>
      </c>
      <c r="AT310" s="10">
        <f>'Parametros'!$B$6*0.083*SQRT('Parametros'!$B$2)*(H310*I310)^2/(2*(H310+I310))/1000000</f>
        <v>11.862178757599</v>
      </c>
      <c r="AU310" s="10" t="str">
        <f>IF(Q310&lt;=AT310,"DESPRECIABLE","DISEÑAR")</f>
        <v>DESPRECIABLE</v>
      </c>
      <c r="AV310" s="10">
        <f>IF(Q310&lt;=AT310,0,Q310*1000000/('Parametros'!$B$6*2*0.85*(H310-2*('Parametros'!$B$7+'Parametros'!$B$9/2))*(I310-2*('Parametros'!$B$7+'Parametros'!$B$9/2))*'Parametros'!$B$4))</f>
        <v>0</v>
      </c>
      <c r="AW310" s="10">
        <f>AV310*2*((H310-2*('Parametros'!$B$7+'Parametros'!$B$9/2))+(I310-2*('Parametros'!$B$7+'Parametros'!$B$9/2)))*'Parametros'!$B$4/'Parametros'!$B$3</f>
        <v>0</v>
      </c>
      <c r="AX310" s="31" t="n">
        <v>0</v>
      </c>
      <c r="AY310" s="10" t="str">
        <f>IF(AV310=0,"DESPRECIABLE",IF(AND(ISERROR(SEARCH("referencia",AN310)),BB310/AP310&gt;=AV310,BI310&gt;=AW310,BH310="CUMPLE"),"CUMPLE","NO CUMPLE"))</f>
        <v>DESPRECIABLE</v>
      </c>
      <c r="AZ310" s="10" t="str">
        <f>IF(AND(X310="CUMPLE",AE310="CUMPLE",AS310="CUMPLE",OR(AY310="CUMPLE",AY310="DESPRECIABLE"),BH310="CUMPLE",BJ310="CUMPLE"),"CUMPLE","NO CUMPLE")</f>
        <v>CUMPLE</v>
      </c>
      <c r="BA310" s="32" t="n">
        <v>9.5</v>
      </c>
      <c r="BB310" s="32" t="n">
        <v>71</v>
      </c>
      <c r="BC310" s="10">
        <f>MAX(IF(AK310=0,0,AK310*1000/('Parametros'!$B$4*MIN(U310,AB310))),MAX(0.062*SQRT('Parametros'!$B$2)*H310/'Parametros'!$B$4,0.35*H310/'Parametros'!$B$4))</f>
        <v>0.951973947372203</v>
      </c>
      <c r="BD310" s="10">
        <f>2*AV310</f>
        <v>0</v>
      </c>
      <c r="BE310" s="10">
        <f>AO310*BB310/AP310</f>
        <v>1.18333333333333</v>
      </c>
      <c r="BF310" s="10">
        <f>SQRT((AI310*1000/(H310*MIN(U310,AB310)))^2+(Q310*1000000*2*((H310-2*('Parametros'!$B$7+'Parametros'!$B$9/2))+(I310-2*('Parametros'!$B$7+'Parametros'!$B$9/2)))/(1.7*((H310-2*('Parametros'!$B$7+'Parametros'!$B$9/2))*(I310-2*('Parametros'!$B$7+'Parametros'!$B$9/2)))^2))^2)</f>
        <v>1.27512400201776</v>
      </c>
      <c r="BG310" s="10">
        <f>'Parametros'!$B$6*(AJ310*1000/(H310*MIN(U310,AB310))+0.66*SQRT('Parametros'!$B$2))</f>
        <v>3.29396038227542</v>
      </c>
      <c r="BH310" s="10" t="str">
        <f>IF(BF310&lt;=BG310,"CUMPLE","NO CUMPLE")</f>
        <v>CUMPLE</v>
      </c>
      <c r="BI310" s="10">
        <f>AX310*'Parametros'!$B$8</f>
        <v>0</v>
      </c>
      <c r="BJ310" s="10" t="str">
        <f>IF(BI310&gt;=AW310,"CUMPLE","NO CUMPLE")</f>
        <v>CUMPLE</v>
      </c>
    </row>
    <row r="311">
      <c r="A311" s="23" t="inlineStr">
        <is>
          <t>VR1</t>
        </is>
      </c>
      <c r="B311" s="23" t="inlineStr">
        <is>
          <t>954</t>
        </is>
      </c>
      <c r="C311" s="10" t="n">
        <v>1</v>
      </c>
      <c r="D311" s="10" t="n">
        <v>2</v>
      </c>
      <c r="E311" s="10" t="n">
        <v>2</v>
      </c>
      <c r="F311" s="10" t="n">
        <v>500</v>
      </c>
      <c r="G311" s="10" t="n">
        <v>550</v>
      </c>
      <c r="H311" s="17" t="n">
        <v>500</v>
      </c>
      <c r="I311" s="17" t="n">
        <v>550</v>
      </c>
      <c r="J311" s="30" t="n">
        <v>43.9985</v>
      </c>
      <c r="K311" s="10" t="inlineStr">
        <is>
          <t>954</t>
        </is>
      </c>
      <c r="L311" s="30" t="n">
        <v>11.928</v>
      </c>
      <c r="M311" s="10" t="inlineStr">
        <is>
          <t>954</t>
        </is>
      </c>
      <c r="N311" s="30" t="n">
        <v>50.751</v>
      </c>
      <c r="O311" s="30" t="n">
        <v>107.69</v>
      </c>
      <c r="P311" s="10" t="inlineStr">
        <is>
          <t>954</t>
        </is>
      </c>
      <c r="Q311" s="30" t="n">
        <v>1.2334</v>
      </c>
      <c r="R311" s="10">
        <f>MAX(MAX(1.4/'Parametros'!$B$3,0.25*SQRT('Parametros'!$B$2)/'Parametros'!$B$3)*H311*U311,(0.85*'Parametros'!$B$2/'Parametros'!$B$3)*(1-SQRT(1-2*(J311*1000000/('Parametros'!$B$5*H311*U311^2))/(0.85*'Parametros'!$B$2)))*H311*U311)</f>
        <v>815.583333333333</v>
      </c>
      <c r="S311" s="31" t="n">
        <v>5</v>
      </c>
      <c r="T311" s="32" t="n">
        <v>1</v>
      </c>
      <c r="U311" s="10">
        <f>IF(T311=1,I311-('Parametros'!$B$7+'Parametros'!$B$9+'Parametros'!$B$12/2),I311-(ROUNDUP(S311/2,0)*('Parametros'!$B$7+'Parametros'!$B$9+'Parametros'!$B$12/2)+ROUNDDOWN(S311/2,0)*('Parametros'!$B$7+'Parametros'!$B$9+'Parametros'!$B$12/2+'Parametros'!$B$12+'Parametros'!$B$10))/S311)</f>
        <v>489.35</v>
      </c>
      <c r="V311" s="10">
        <f>S311*'Parametros'!$B$8</f>
        <v>995</v>
      </c>
      <c r="W311" s="10">
        <f>'Parametros'!$B$5*V311*'Parametros'!$B$3*(U311-(V311*'Parametros'!$B$3/(0.85*'Parametros'!$B$2*H311))/2)/1000000</f>
        <v>177.445379382353</v>
      </c>
      <c r="X311" s="10" t="str">
        <f>IF(W311&gt;=J311,"CUMPLE","NO CUMPLE")</f>
        <v>CUMPLE</v>
      </c>
      <c r="Y311" s="10">
        <f>MAX(MAX(1.4/'Parametros'!$B$3,0.25*SQRT('Parametros'!$B$2)/'Parametros'!$B$3)*H311*AB311,(0.85*'Parametros'!$B$2/'Parametros'!$B$3)*(1-SQRT(1-2*(L311*1000000/('Parametros'!$B$5*H311*AB311^2))/(0.85*'Parametros'!$B$2)))*H311*AB311)</f>
        <v>815.583333333333</v>
      </c>
      <c r="Z311" s="31" t="n">
        <v>5</v>
      </c>
      <c r="AA311" s="32" t="n">
        <v>1</v>
      </c>
      <c r="AB311" s="10">
        <f>IF(AA311=1,I311-('Parametros'!$B$7+'Parametros'!$B$9+'Parametros'!$B$12/2),I311-(ROUNDUP(Z311/2,0)*('Parametros'!$B$7+'Parametros'!$B$9+'Parametros'!$B$12/2)+ROUNDDOWN(Z311/2,0)*('Parametros'!$B$7+'Parametros'!$B$9+'Parametros'!$B$12/2+'Parametros'!$B$12+'Parametros'!$B$10))/Z311)</f>
        <v>489.35</v>
      </c>
      <c r="AC311" s="10">
        <f>Z311*'Parametros'!$B$8</f>
        <v>995</v>
      </c>
      <c r="AD311" s="10">
        <f>'Parametros'!$B$5*AC311*'Parametros'!$B$3*(AB311-(AC311*'Parametros'!$B$3/(0.85*'Parametros'!$B$2*H311))/2)/1000000</f>
        <v>177.445379382353</v>
      </c>
      <c r="AE311" s="10" t="str">
        <f>IF(AD311&gt;=L311,"CUMPLE","NO CUMPLE")</f>
        <v>CUMPLE</v>
      </c>
      <c r="AF311" s="10">
        <f>V311*1.25*'Parametros'!$B$3*(U311-(V311*1.25*'Parametros'!$B$3/(0.85*'Parametros'!$B$2*H311))/2)/1000000</f>
        <v>244.158843198529</v>
      </c>
      <c r="AG311" s="10">
        <f>AC311*1.25*'Parametros'!$B$3*(AB311-(AC311*1.25*'Parametros'!$B$3/(0.85*'Parametros'!$B$2*H311))/2)/1000000</f>
        <v>244.158843198529</v>
      </c>
      <c r="AH311" s="10">
        <f>N311+(AF311+AG311)/D311</f>
        <v>294.909843198529</v>
      </c>
      <c r="AI311" s="10">
        <f>MAX(O311,AH311)</f>
        <v>294.909843198529</v>
      </c>
      <c r="AJ311" s="10">
        <f>0.17*SQRT('Parametros'!$B$2)*H311*MIN(U311,AB311)/1000</f>
        <v>220.098728691808</v>
      </c>
      <c r="AK311" s="10">
        <f>MAX(AI311/'Parametros'!$B$6-AJ311,0)</f>
        <v>173.114395572898</v>
      </c>
      <c r="AL311" s="10">
        <f>0.66*SQRT('Parametros'!$B$2)*H311*MIN(U311,AB311)/1000</f>
        <v>854.500946685842</v>
      </c>
      <c r="AM311" s="10" t="str">
        <f>IF(AK311&lt;=AL311,"CUMPLE","NO CUMPLE")</f>
        <v>CUMPLE</v>
      </c>
      <c r="AN311" s="17" t="inlineStr">
        <is>
          <t>Nº3 cerrado</t>
        </is>
      </c>
      <c r="AO311" s="31" t="n">
        <v>2</v>
      </c>
      <c r="AP311" s="10">
        <f>ROUNDDOWN(MIN(IF(BC311+BD311=0,1000000000,AO311*BB311/(BC311+BD311)),MIN(U311,AB311)/4,8*'Parametros'!$B$12,24*BA311,300,IF(AV311=0,1000000000,2*((H311-2*('Parametros'!$B$7+'Parametros'!$B$9/2))+(I311-2*('Parametros'!$B$7+'Parametros'!$B$9/2)))/8))/10,0)*10</f>
        <v>120</v>
      </c>
      <c r="AQ311" s="10">
        <f>ROUNDDOWN(MIN(IF(BC311+BD311=0,1000000000,AO311*BB311/(BC311+BD311)),IF(AK311&gt;0.33*SQRT('Parametros'!$B$2)*H311*MIN(U311,AB311)/1000,MIN(U311,AB311)/4,MIN(U311,AB311)/2),600,IF(AV311=0,1000000000,2*((H311-2*('Parametros'!$B$7+'Parametros'!$B$9/2))+(I311-2*('Parametros'!$B$7+'Parametros'!$B$9/2)))/8))/10,0)*10</f>
        <v>160</v>
      </c>
      <c r="AR311" s="10">
        <f>'Parametros'!$B$6*(AJ311+MAX(BE311-BD311,0)*'Parametros'!$B$4*MIN(U311,AB311)/1000)</f>
        <v>347.479259018856</v>
      </c>
      <c r="AS311" s="10" t="str">
        <f>IF(AND(ISERROR(SEARCH("referencia",AN311)),AM311="CUMPLE",AR311&gt;=AI311),"CUMPLE","NO CUMPLE")</f>
        <v>CUMPLE</v>
      </c>
      <c r="AT311" s="10">
        <f>'Parametros'!$B$6*0.083*SQRT('Parametros'!$B$2)*(H311*I311)^2/(2*(H311+I311))/1000000</f>
        <v>11.862178757599</v>
      </c>
      <c r="AU311" s="10" t="str">
        <f>IF(Q311&lt;=AT311,"DESPRECIABLE","DISEÑAR")</f>
        <v>DESPRECIABLE</v>
      </c>
      <c r="AV311" s="10">
        <f>IF(Q311&lt;=AT311,0,Q311*1000000/('Parametros'!$B$6*2*0.85*(H311-2*('Parametros'!$B$7+'Parametros'!$B$9/2))*(I311-2*('Parametros'!$B$7+'Parametros'!$B$9/2))*'Parametros'!$B$4))</f>
        <v>0</v>
      </c>
      <c r="AW311" s="10">
        <f>AV311*2*((H311-2*('Parametros'!$B$7+'Parametros'!$B$9/2))+(I311-2*('Parametros'!$B$7+'Parametros'!$B$9/2)))*'Parametros'!$B$4/'Parametros'!$B$3</f>
        <v>0</v>
      </c>
      <c r="AX311" s="31" t="n">
        <v>0</v>
      </c>
      <c r="AY311" s="10" t="str">
        <f>IF(AV311=0,"DESPRECIABLE",IF(AND(ISERROR(SEARCH("referencia",AN311)),BB311/AP311&gt;=AV311,BI311&gt;=AW311,BH311="CUMPLE"),"CUMPLE","NO CUMPLE"))</f>
        <v>DESPRECIABLE</v>
      </c>
      <c r="AZ311" s="10" t="str">
        <f>IF(AND(X311="CUMPLE",AE311="CUMPLE",AS311="CUMPLE",OR(AY311="CUMPLE",AY311="DESPRECIABLE"),BH311="CUMPLE",BJ311="CUMPLE"),"CUMPLE","NO CUMPLE")</f>
        <v>CUMPLE</v>
      </c>
      <c r="BA311" s="32" t="n">
        <v>9.5</v>
      </c>
      <c r="BB311" s="32" t="n">
        <v>71</v>
      </c>
      <c r="BC311" s="10">
        <f>MAX(IF(AK311=0,0,AK311*1000/('Parametros'!$B$4*MIN(U311,AB311))),MAX(0.062*SQRT('Parametros'!$B$2)*H311/'Parametros'!$B$4,0.35*H311/'Parametros'!$B$4))</f>
        <v>0.842295151356747</v>
      </c>
      <c r="BD311" s="10">
        <f>2*AV311</f>
        <v>0</v>
      </c>
      <c r="BE311" s="10">
        <f>AO311*BB311/AP311</f>
        <v>1.18333333333333</v>
      </c>
      <c r="BF311" s="10">
        <f>SQRT((AI311*1000/(H311*MIN(U311,AB311)))^2+(Q311*1000000*2*((H311-2*('Parametros'!$B$7+'Parametros'!$B$9/2))+(I311-2*('Parametros'!$B$7+'Parametros'!$B$9/2)))/(1.7*((H311-2*('Parametros'!$B$7+'Parametros'!$B$9/2))*(I311-2*('Parametros'!$B$7+'Parametros'!$B$9/2)))^2))^2)</f>
        <v>1.20585491843677</v>
      </c>
      <c r="BG311" s="10">
        <f>'Parametros'!$B$6*(AJ311*1000/(H311*MIN(U311,AB311))+0.66*SQRT('Parametros'!$B$2))</f>
        <v>3.29396038227542</v>
      </c>
      <c r="BH311" s="10" t="str">
        <f>IF(BF311&lt;=BG311,"CUMPLE","NO CUMPLE")</f>
        <v>CUMPLE</v>
      </c>
      <c r="BI311" s="10">
        <f>AX311*'Parametros'!$B$8</f>
        <v>0</v>
      </c>
      <c r="BJ311" s="10" t="str">
        <f>IF(BI311&gt;=AW311,"CUMPLE","NO CUMPLE")</f>
        <v>CUMPLE</v>
      </c>
    </row>
    <row r="312">
      <c r="A312" s="23" t="inlineStr">
        <is>
          <t>VR1</t>
        </is>
      </c>
      <c r="B312" s="23" t="inlineStr">
        <is>
          <t>955</t>
        </is>
      </c>
      <c r="C312" s="10" t="n">
        <v>1</v>
      </c>
      <c r="D312" s="10" t="n">
        <v>3.05</v>
      </c>
      <c r="E312" s="10" t="n">
        <v>3.05</v>
      </c>
      <c r="F312" s="10" t="n">
        <v>500</v>
      </c>
      <c r="G312" s="10" t="n">
        <v>550</v>
      </c>
      <c r="H312" s="17" t="n">
        <v>500</v>
      </c>
      <c r="I312" s="17" t="n">
        <v>550</v>
      </c>
      <c r="J312" s="30" t="n">
        <v>63.5086</v>
      </c>
      <c r="K312" s="10" t="inlineStr">
        <is>
          <t>955</t>
        </is>
      </c>
      <c r="L312" s="30" t="n">
        <v>31.6662</v>
      </c>
      <c r="M312" s="10" t="inlineStr">
        <is>
          <t>955</t>
        </is>
      </c>
      <c r="N312" s="30" t="n">
        <v>66.267</v>
      </c>
      <c r="O312" s="30" t="n">
        <v>154.619</v>
      </c>
      <c r="P312" s="10" t="inlineStr">
        <is>
          <t>955</t>
        </is>
      </c>
      <c r="Q312" s="30" t="n">
        <v>1.5084</v>
      </c>
      <c r="R312" s="10">
        <f>MAX(MAX(1.4/'Parametros'!$B$3,0.25*SQRT('Parametros'!$B$2)/'Parametros'!$B$3)*H312*U312,(0.85*'Parametros'!$B$2/'Parametros'!$B$3)*(1-SQRT(1-2*(J312*1000000/('Parametros'!$B$5*H312*U312^2))/(0.85*'Parametros'!$B$2)))*H312*U312)</f>
        <v>815.583333333333</v>
      </c>
      <c r="S312" s="31" t="n">
        <v>5</v>
      </c>
      <c r="T312" s="32" t="n">
        <v>1</v>
      </c>
      <c r="U312" s="10">
        <f>IF(T312=1,I312-('Parametros'!$B$7+'Parametros'!$B$9+'Parametros'!$B$12/2),I312-(ROUNDUP(S312/2,0)*('Parametros'!$B$7+'Parametros'!$B$9+'Parametros'!$B$12/2)+ROUNDDOWN(S312/2,0)*('Parametros'!$B$7+'Parametros'!$B$9+'Parametros'!$B$12/2+'Parametros'!$B$12+'Parametros'!$B$10))/S312)</f>
        <v>489.35</v>
      </c>
      <c r="V312" s="10">
        <f>S312*'Parametros'!$B$8</f>
        <v>995</v>
      </c>
      <c r="W312" s="10">
        <f>'Parametros'!$B$5*V312*'Parametros'!$B$3*(U312-(V312*'Parametros'!$B$3/(0.85*'Parametros'!$B$2*H312))/2)/1000000</f>
        <v>177.445379382353</v>
      </c>
      <c r="X312" s="10" t="str">
        <f>IF(W312&gt;=J312,"CUMPLE","NO CUMPLE")</f>
        <v>CUMPLE</v>
      </c>
      <c r="Y312" s="10">
        <f>MAX(MAX(1.4/'Parametros'!$B$3,0.25*SQRT('Parametros'!$B$2)/'Parametros'!$B$3)*H312*AB312,(0.85*'Parametros'!$B$2/'Parametros'!$B$3)*(1-SQRT(1-2*(L312*1000000/('Parametros'!$B$5*H312*AB312^2))/(0.85*'Parametros'!$B$2)))*H312*AB312)</f>
        <v>815.583333333333</v>
      </c>
      <c r="Z312" s="31" t="n">
        <v>5</v>
      </c>
      <c r="AA312" s="32" t="n">
        <v>1</v>
      </c>
      <c r="AB312" s="10">
        <f>IF(AA312=1,I312-('Parametros'!$B$7+'Parametros'!$B$9+'Parametros'!$B$12/2),I312-(ROUNDUP(Z312/2,0)*('Parametros'!$B$7+'Parametros'!$B$9+'Parametros'!$B$12/2)+ROUNDDOWN(Z312/2,0)*('Parametros'!$B$7+'Parametros'!$B$9+'Parametros'!$B$12/2+'Parametros'!$B$12+'Parametros'!$B$10))/Z312)</f>
        <v>489.35</v>
      </c>
      <c r="AC312" s="10">
        <f>Z312*'Parametros'!$B$8</f>
        <v>995</v>
      </c>
      <c r="AD312" s="10">
        <f>'Parametros'!$B$5*AC312*'Parametros'!$B$3*(AB312-(AC312*'Parametros'!$B$3/(0.85*'Parametros'!$B$2*H312))/2)/1000000</f>
        <v>177.445379382353</v>
      </c>
      <c r="AE312" s="10" t="str">
        <f>IF(AD312&gt;=L312,"CUMPLE","NO CUMPLE")</f>
        <v>CUMPLE</v>
      </c>
      <c r="AF312" s="10">
        <f>V312*1.25*'Parametros'!$B$3*(U312-(V312*1.25*'Parametros'!$B$3/(0.85*'Parametros'!$B$2*H312))/2)/1000000</f>
        <v>244.158843198529</v>
      </c>
      <c r="AG312" s="10">
        <f>AC312*1.25*'Parametros'!$B$3*(AB312-(AC312*1.25*'Parametros'!$B$3/(0.85*'Parametros'!$B$2*H312))/2)/1000000</f>
        <v>244.158843198529</v>
      </c>
      <c r="AH312" s="10">
        <f>N312+(AF312+AG312)/D312</f>
        <v>226.371159474446</v>
      </c>
      <c r="AI312" s="10">
        <f>MAX(O312,AH312)</f>
        <v>226.371159474446</v>
      </c>
      <c r="AJ312" s="10">
        <f>0.17*SQRT('Parametros'!$B$2)*H312*MIN(U312,AB312)/1000</f>
        <v>220.098728691808</v>
      </c>
      <c r="AK312" s="10">
        <f>MAX(AI312/'Parametros'!$B$6-AJ312,0)</f>
        <v>81.7294839407863</v>
      </c>
      <c r="AL312" s="10">
        <f>0.66*SQRT('Parametros'!$B$2)*H312*MIN(U312,AB312)/1000</f>
        <v>854.500946685842</v>
      </c>
      <c r="AM312" s="10" t="str">
        <f>IF(AK312&lt;=AL312,"CUMPLE","NO CUMPLE")</f>
        <v>CUMPLE</v>
      </c>
      <c r="AN312" s="17" t="inlineStr">
        <is>
          <t>Nº3 cerrado</t>
        </is>
      </c>
      <c r="AO312" s="31" t="n">
        <v>2</v>
      </c>
      <c r="AP312" s="10">
        <f>ROUNDDOWN(MIN(IF(BC312+BD312=0,1000000000,AO312*BB312/(BC312+BD312)),MIN(U312,AB312)/4,8*'Parametros'!$B$12,24*BA312,300,IF(AV312=0,1000000000,2*((H312-2*('Parametros'!$B$7+'Parametros'!$B$9/2))+(I312-2*('Parametros'!$B$7+'Parametros'!$B$9/2)))/8))/10,0)*10</f>
        <v>120</v>
      </c>
      <c r="AQ312" s="10">
        <f>ROUNDDOWN(MIN(IF(BC312+BD312=0,1000000000,AO312*BB312/(BC312+BD312)),IF(AK312&gt;0.33*SQRT('Parametros'!$B$2)*H312*MIN(U312,AB312)/1000,MIN(U312,AB312)/4,MIN(U312,AB312)/2),600,IF(AV312=0,1000000000,2*((H312-2*('Parametros'!$B$7+'Parametros'!$B$9/2))+(I312-2*('Parametros'!$B$7+'Parametros'!$B$9/2)))/8))/10,0)*10</f>
        <v>240</v>
      </c>
      <c r="AR312" s="10">
        <f>'Parametros'!$B$6*(AJ312+MAX(BE312-BD312,0)*'Parametros'!$B$4*MIN(U312,AB312)/1000)</f>
        <v>347.479259018856</v>
      </c>
      <c r="AS312" s="10" t="str">
        <f>IF(AND(ISERROR(SEARCH("referencia",AN312)),AM312="CUMPLE",AR312&gt;=AI312),"CUMPLE","NO CUMPLE")</f>
        <v>CUMPLE</v>
      </c>
      <c r="AT312" s="10">
        <f>'Parametros'!$B$6*0.083*SQRT('Parametros'!$B$2)*(H312*I312)^2/(2*(H312+I312))/1000000</f>
        <v>11.862178757599</v>
      </c>
      <c r="AU312" s="10" t="str">
        <f>IF(Q312&lt;=AT312,"DESPRECIABLE","DISEÑAR")</f>
        <v>DESPRECIABLE</v>
      </c>
      <c r="AV312" s="10">
        <f>IF(Q312&lt;=AT312,0,Q312*1000000/('Parametros'!$B$6*2*0.85*(H312-2*('Parametros'!$B$7+'Parametros'!$B$9/2))*(I312-2*('Parametros'!$B$7+'Parametros'!$B$9/2))*'Parametros'!$B$4))</f>
        <v>0</v>
      </c>
      <c r="AW312" s="10">
        <f>AV312*2*((H312-2*('Parametros'!$B$7+'Parametros'!$B$9/2))+(I312-2*('Parametros'!$B$7+'Parametros'!$B$9/2)))*'Parametros'!$B$4/'Parametros'!$B$3</f>
        <v>0</v>
      </c>
      <c r="AX312" s="31" t="n">
        <v>0</v>
      </c>
      <c r="AY312" s="10" t="str">
        <f>IF(AV312=0,"DESPRECIABLE",IF(AND(ISERROR(SEARCH("referencia",AN312)),BB312/AP312&gt;=AV312,BI312&gt;=AW312,BH312="CUMPLE"),"CUMPLE","NO CUMPLE"))</f>
        <v>DESPRECIABLE</v>
      </c>
      <c r="AZ312" s="10" t="str">
        <f>IF(AND(X312="CUMPLE",AE312="CUMPLE",AS312="CUMPLE",OR(AY312="CUMPLE",AY312="DESPRECIABLE"),BH312="CUMPLE",BJ312="CUMPLE"),"CUMPLE","NO CUMPLE")</f>
        <v>CUMPLE</v>
      </c>
      <c r="BA312" s="32" t="n">
        <v>9.5</v>
      </c>
      <c r="BB312" s="32" t="n">
        <v>71</v>
      </c>
      <c r="BC312" s="10">
        <f>MAX(IF(AK312=0,0,AK312*1000/('Parametros'!$B$4*MIN(U312,AB312))),MAX(0.062*SQRT('Parametros'!$B$2)*H312/'Parametros'!$B$4,0.35*H312/'Parametros'!$B$4))</f>
        <v>0.416666666666667</v>
      </c>
      <c r="BD312" s="10">
        <f>2*AV312</f>
        <v>0</v>
      </c>
      <c r="BE312" s="10">
        <f>AO312*BB312/AP312</f>
        <v>1.18333333333333</v>
      </c>
      <c r="BF312" s="10">
        <f>SQRT((AI312*1000/(H312*MIN(U312,AB312)))^2+(Q312*1000000*2*((H312-2*('Parametros'!$B$7+'Parametros'!$B$9/2))+(I312-2*('Parametros'!$B$7+'Parametros'!$B$9/2)))/(1.7*((H312-2*('Parametros'!$B$7+'Parametros'!$B$9/2))*(I312-2*('Parametros'!$B$7+'Parametros'!$B$9/2)))^2))^2)</f>
        <v>0.926247672567885</v>
      </c>
      <c r="BG312" s="10">
        <f>'Parametros'!$B$6*(AJ312*1000/(H312*MIN(U312,AB312))+0.66*SQRT('Parametros'!$B$2))</f>
        <v>3.29396038227542</v>
      </c>
      <c r="BH312" s="10" t="str">
        <f>IF(BF312&lt;=BG312,"CUMPLE","NO CUMPLE")</f>
        <v>CUMPLE</v>
      </c>
      <c r="BI312" s="10">
        <f>AX312*'Parametros'!$B$8</f>
        <v>0</v>
      </c>
      <c r="BJ312" s="10" t="str">
        <f>IF(BI312&gt;=AW312,"CUMPLE","NO CUMPLE")</f>
        <v>CUMPLE</v>
      </c>
    </row>
    <row r="313">
      <c r="A313" s="23" t="inlineStr">
        <is>
          <t>VR1</t>
        </is>
      </c>
      <c r="B313" s="23" t="inlineStr">
        <is>
          <t>956</t>
        </is>
      </c>
      <c r="C313" s="10" t="n">
        <v>1</v>
      </c>
      <c r="D313" s="10" t="n">
        <v>2</v>
      </c>
      <c r="E313" s="10" t="n">
        <v>2</v>
      </c>
      <c r="F313" s="10" t="n">
        <v>500</v>
      </c>
      <c r="G313" s="10" t="n">
        <v>550</v>
      </c>
      <c r="H313" s="17" t="n">
        <v>500</v>
      </c>
      <c r="I313" s="17" t="n">
        <v>550</v>
      </c>
      <c r="J313" s="30" t="n">
        <v>41.8741</v>
      </c>
      <c r="K313" s="10" t="inlineStr">
        <is>
          <t>956</t>
        </is>
      </c>
      <c r="L313" s="30" t="n">
        <v>16.3121</v>
      </c>
      <c r="M313" s="10" t="inlineStr">
        <is>
          <t>956</t>
        </is>
      </c>
      <c r="N313" s="30" t="n">
        <v>53.243</v>
      </c>
      <c r="O313" s="30" t="n">
        <v>68.313</v>
      </c>
      <c r="P313" s="10" t="inlineStr">
        <is>
          <t>956</t>
        </is>
      </c>
      <c r="Q313" s="30" t="n">
        <v>3.0961</v>
      </c>
      <c r="R313" s="10">
        <f>MAX(MAX(1.4/'Parametros'!$B$3,0.25*SQRT('Parametros'!$B$2)/'Parametros'!$B$3)*H313*U313,(0.85*'Parametros'!$B$2/'Parametros'!$B$3)*(1-SQRT(1-2*(J313*1000000/('Parametros'!$B$5*H313*U313^2))/(0.85*'Parametros'!$B$2)))*H313*U313)</f>
        <v>815.583333333333</v>
      </c>
      <c r="S313" s="31" t="n">
        <v>5</v>
      </c>
      <c r="T313" s="32" t="n">
        <v>1</v>
      </c>
      <c r="U313" s="10">
        <f>IF(T313=1,I313-('Parametros'!$B$7+'Parametros'!$B$9+'Parametros'!$B$12/2),I313-(ROUNDUP(S313/2,0)*('Parametros'!$B$7+'Parametros'!$B$9+'Parametros'!$B$12/2)+ROUNDDOWN(S313/2,0)*('Parametros'!$B$7+'Parametros'!$B$9+'Parametros'!$B$12/2+'Parametros'!$B$12+'Parametros'!$B$10))/S313)</f>
        <v>489.35</v>
      </c>
      <c r="V313" s="10">
        <f>S313*'Parametros'!$B$8</f>
        <v>995</v>
      </c>
      <c r="W313" s="10">
        <f>'Parametros'!$B$5*V313*'Parametros'!$B$3*(U313-(V313*'Parametros'!$B$3/(0.85*'Parametros'!$B$2*H313))/2)/1000000</f>
        <v>177.445379382353</v>
      </c>
      <c r="X313" s="10" t="str">
        <f>IF(W313&gt;=J313,"CUMPLE","NO CUMPLE")</f>
        <v>CUMPLE</v>
      </c>
      <c r="Y313" s="10">
        <f>MAX(MAX(1.4/'Parametros'!$B$3,0.25*SQRT('Parametros'!$B$2)/'Parametros'!$B$3)*H313*AB313,(0.85*'Parametros'!$B$2/'Parametros'!$B$3)*(1-SQRT(1-2*(L313*1000000/('Parametros'!$B$5*H313*AB313^2))/(0.85*'Parametros'!$B$2)))*H313*AB313)</f>
        <v>815.583333333333</v>
      </c>
      <c r="Z313" s="31" t="n">
        <v>5</v>
      </c>
      <c r="AA313" s="32" t="n">
        <v>1</v>
      </c>
      <c r="AB313" s="10">
        <f>IF(AA313=1,I313-('Parametros'!$B$7+'Parametros'!$B$9+'Parametros'!$B$12/2),I313-(ROUNDUP(Z313/2,0)*('Parametros'!$B$7+'Parametros'!$B$9+'Parametros'!$B$12/2)+ROUNDDOWN(Z313/2,0)*('Parametros'!$B$7+'Parametros'!$B$9+'Parametros'!$B$12/2+'Parametros'!$B$12+'Parametros'!$B$10))/Z313)</f>
        <v>489.35</v>
      </c>
      <c r="AC313" s="10">
        <f>Z313*'Parametros'!$B$8</f>
        <v>995</v>
      </c>
      <c r="AD313" s="10">
        <f>'Parametros'!$B$5*AC313*'Parametros'!$B$3*(AB313-(AC313*'Parametros'!$B$3/(0.85*'Parametros'!$B$2*H313))/2)/1000000</f>
        <v>177.445379382353</v>
      </c>
      <c r="AE313" s="10" t="str">
        <f>IF(AD313&gt;=L313,"CUMPLE","NO CUMPLE")</f>
        <v>CUMPLE</v>
      </c>
      <c r="AF313" s="10">
        <f>V313*1.25*'Parametros'!$B$3*(U313-(V313*1.25*'Parametros'!$B$3/(0.85*'Parametros'!$B$2*H313))/2)/1000000</f>
        <v>244.158843198529</v>
      </c>
      <c r="AG313" s="10">
        <f>AC313*1.25*'Parametros'!$B$3*(AB313-(AC313*1.25*'Parametros'!$B$3/(0.85*'Parametros'!$B$2*H313))/2)/1000000</f>
        <v>244.158843198529</v>
      </c>
      <c r="AH313" s="10">
        <f>N313+(AF313+AG313)/D313</f>
        <v>297.401843198529</v>
      </c>
      <c r="AI313" s="10">
        <f>MAX(O313,AH313)</f>
        <v>297.401843198529</v>
      </c>
      <c r="AJ313" s="10">
        <f>0.17*SQRT('Parametros'!$B$2)*H313*MIN(U313,AB313)/1000</f>
        <v>220.098728691808</v>
      </c>
      <c r="AK313" s="10">
        <f>MAX(AI313/'Parametros'!$B$6-AJ313,0)</f>
        <v>176.437062239565</v>
      </c>
      <c r="AL313" s="10">
        <f>0.66*SQRT('Parametros'!$B$2)*H313*MIN(U313,AB313)/1000</f>
        <v>854.500946685842</v>
      </c>
      <c r="AM313" s="10" t="str">
        <f>IF(AK313&lt;=AL313,"CUMPLE","NO CUMPLE")</f>
        <v>CUMPLE</v>
      </c>
      <c r="AN313" s="17" t="inlineStr">
        <is>
          <t>Nº3 cerrado</t>
        </is>
      </c>
      <c r="AO313" s="31" t="n">
        <v>2</v>
      </c>
      <c r="AP313" s="10">
        <f>ROUNDDOWN(MIN(IF(BC313+BD313=0,1000000000,AO313*BB313/(BC313+BD313)),MIN(U313,AB313)/4,8*'Parametros'!$B$12,24*BA313,300,IF(AV313=0,1000000000,2*((H313-2*('Parametros'!$B$7+'Parametros'!$B$9/2))+(I313-2*('Parametros'!$B$7+'Parametros'!$B$9/2)))/8))/10,0)*10</f>
        <v>120</v>
      </c>
      <c r="AQ313" s="10">
        <f>ROUNDDOWN(MIN(IF(BC313+BD313=0,1000000000,AO313*BB313/(BC313+BD313)),IF(AK313&gt;0.33*SQRT('Parametros'!$B$2)*H313*MIN(U313,AB313)/1000,MIN(U313,AB313)/4,MIN(U313,AB313)/2),600,IF(AV313=0,1000000000,2*((H313-2*('Parametros'!$B$7+'Parametros'!$B$9/2))+(I313-2*('Parametros'!$B$7+'Parametros'!$B$9/2)))/8))/10,0)*10</f>
        <v>160</v>
      </c>
      <c r="AR313" s="10">
        <f>'Parametros'!$B$6*(AJ313+MAX(BE313-BD313,0)*'Parametros'!$B$4*MIN(U313,AB313)/1000)</f>
        <v>347.479259018856</v>
      </c>
      <c r="AS313" s="10" t="str">
        <f>IF(AND(ISERROR(SEARCH("referencia",AN313)),AM313="CUMPLE",AR313&gt;=AI313),"CUMPLE","NO CUMPLE")</f>
        <v>CUMPLE</v>
      </c>
      <c r="AT313" s="10">
        <f>'Parametros'!$B$6*0.083*SQRT('Parametros'!$B$2)*(H313*I313)^2/(2*(H313+I313))/1000000</f>
        <v>11.862178757599</v>
      </c>
      <c r="AU313" s="10" t="str">
        <f>IF(Q313&lt;=AT313,"DESPRECIABLE","DISEÑAR")</f>
        <v>DESPRECIABLE</v>
      </c>
      <c r="AV313" s="10">
        <f>IF(Q313&lt;=AT313,0,Q313*1000000/('Parametros'!$B$6*2*0.85*(H313-2*('Parametros'!$B$7+'Parametros'!$B$9/2))*(I313-2*('Parametros'!$B$7+'Parametros'!$B$9/2))*'Parametros'!$B$4))</f>
        <v>0</v>
      </c>
      <c r="AW313" s="10">
        <f>AV313*2*((H313-2*('Parametros'!$B$7+'Parametros'!$B$9/2))+(I313-2*('Parametros'!$B$7+'Parametros'!$B$9/2)))*'Parametros'!$B$4/'Parametros'!$B$3</f>
        <v>0</v>
      </c>
      <c r="AX313" s="31" t="n">
        <v>0</v>
      </c>
      <c r="AY313" s="10" t="str">
        <f>IF(AV313=0,"DESPRECIABLE",IF(AND(ISERROR(SEARCH("referencia",AN313)),BB313/AP313&gt;=AV313,BI313&gt;=AW313,BH313="CUMPLE"),"CUMPLE","NO CUMPLE"))</f>
        <v>DESPRECIABLE</v>
      </c>
      <c r="AZ313" s="10" t="str">
        <f>IF(AND(X313="CUMPLE",AE313="CUMPLE",AS313="CUMPLE",OR(AY313="CUMPLE",AY313="DESPRECIABLE"),BH313="CUMPLE",BJ313="CUMPLE"),"CUMPLE","NO CUMPLE")</f>
        <v>CUMPLE</v>
      </c>
      <c r="BA313" s="32" t="n">
        <v>9.5</v>
      </c>
      <c r="BB313" s="32" t="n">
        <v>71</v>
      </c>
      <c r="BC313" s="10">
        <f>MAX(IF(AK313=0,0,AK313*1000/('Parametros'!$B$4*MIN(U313,AB313))),MAX(0.062*SQRT('Parametros'!$B$2)*H313/'Parametros'!$B$4,0.35*H313/'Parametros'!$B$4))</f>
        <v>0.858461721523522</v>
      </c>
      <c r="BD313" s="10">
        <f>2*AV313</f>
        <v>0</v>
      </c>
      <c r="BE313" s="10">
        <f>AO313*BB313/AP313</f>
        <v>1.18333333333333</v>
      </c>
      <c r="BF313" s="10">
        <f>SQRT((AI313*1000/(H313*MIN(U313,AB313)))^2+(Q313*1000000*2*((H313-2*('Parametros'!$B$7+'Parametros'!$B$9/2))+(I313-2*('Parametros'!$B$7+'Parametros'!$B$9/2)))/(1.7*((H313-2*('Parametros'!$B$7+'Parametros'!$B$9/2))*(I313-2*('Parametros'!$B$7+'Parametros'!$B$9/2)))^2))^2)</f>
        <v>1.21888257077251</v>
      </c>
      <c r="BG313" s="10">
        <f>'Parametros'!$B$6*(AJ313*1000/(H313*MIN(U313,AB313))+0.66*SQRT('Parametros'!$B$2))</f>
        <v>3.29396038227542</v>
      </c>
      <c r="BH313" s="10" t="str">
        <f>IF(BF313&lt;=BG313,"CUMPLE","NO CUMPLE")</f>
        <v>CUMPLE</v>
      </c>
      <c r="BI313" s="10">
        <f>AX313*'Parametros'!$B$8</f>
        <v>0</v>
      </c>
      <c r="BJ313" s="10" t="str">
        <f>IF(BI313&gt;=AW313,"CUMPLE","NO CUMPLE")</f>
        <v>CUMPLE</v>
      </c>
    </row>
    <row r="314">
      <c r="A314" s="23" t="inlineStr">
        <is>
          <t>VR1</t>
        </is>
      </c>
      <c r="B314" s="23" t="inlineStr">
        <is>
          <t>991</t>
        </is>
      </c>
      <c r="C314" s="10" t="n">
        <v>1</v>
      </c>
      <c r="D314" s="10" t="n">
        <v>2</v>
      </c>
      <c r="E314" s="10" t="n">
        <v>2</v>
      </c>
      <c r="F314" s="10" t="n">
        <v>500</v>
      </c>
      <c r="G314" s="10" t="n">
        <v>550</v>
      </c>
      <c r="H314" s="17" t="n">
        <v>500</v>
      </c>
      <c r="I314" s="17" t="n">
        <v>550</v>
      </c>
      <c r="J314" s="30" t="n">
        <v>41.7777</v>
      </c>
      <c r="K314" s="10" t="inlineStr">
        <is>
          <t>991</t>
        </is>
      </c>
      <c r="L314" s="30" t="n">
        <v>16.2995</v>
      </c>
      <c r="M314" s="10" t="inlineStr">
        <is>
          <t>991</t>
        </is>
      </c>
      <c r="N314" s="30" t="n">
        <v>53.172</v>
      </c>
      <c r="O314" s="30" t="n">
        <v>68.248</v>
      </c>
      <c r="P314" s="10" t="inlineStr">
        <is>
          <t>991</t>
        </is>
      </c>
      <c r="Q314" s="30" t="n">
        <v>3.0965</v>
      </c>
      <c r="R314" s="10">
        <f>MAX(MAX(1.4/'Parametros'!$B$3,0.25*SQRT('Parametros'!$B$2)/'Parametros'!$B$3)*H314*U314,(0.85*'Parametros'!$B$2/'Parametros'!$B$3)*(1-SQRT(1-2*(J314*1000000/('Parametros'!$B$5*H314*U314^2))/(0.85*'Parametros'!$B$2)))*H314*U314)</f>
        <v>815.583333333333</v>
      </c>
      <c r="S314" s="31" t="n">
        <v>5</v>
      </c>
      <c r="T314" s="32" t="n">
        <v>1</v>
      </c>
      <c r="U314" s="10">
        <f>IF(T314=1,I314-('Parametros'!$B$7+'Parametros'!$B$9+'Parametros'!$B$12/2),I314-(ROUNDUP(S314/2,0)*('Parametros'!$B$7+'Parametros'!$B$9+'Parametros'!$B$12/2)+ROUNDDOWN(S314/2,0)*('Parametros'!$B$7+'Parametros'!$B$9+'Parametros'!$B$12/2+'Parametros'!$B$12+'Parametros'!$B$10))/S314)</f>
        <v>489.35</v>
      </c>
      <c r="V314" s="10">
        <f>S314*'Parametros'!$B$8</f>
        <v>995</v>
      </c>
      <c r="W314" s="10">
        <f>'Parametros'!$B$5*V314*'Parametros'!$B$3*(U314-(V314*'Parametros'!$B$3/(0.85*'Parametros'!$B$2*H314))/2)/1000000</f>
        <v>177.445379382353</v>
      </c>
      <c r="X314" s="10" t="str">
        <f>IF(W314&gt;=J314,"CUMPLE","NO CUMPLE")</f>
        <v>CUMPLE</v>
      </c>
      <c r="Y314" s="10">
        <f>MAX(MAX(1.4/'Parametros'!$B$3,0.25*SQRT('Parametros'!$B$2)/'Parametros'!$B$3)*H314*AB314,(0.85*'Parametros'!$B$2/'Parametros'!$B$3)*(1-SQRT(1-2*(L314*1000000/('Parametros'!$B$5*H314*AB314^2))/(0.85*'Parametros'!$B$2)))*H314*AB314)</f>
        <v>815.583333333333</v>
      </c>
      <c r="Z314" s="31" t="n">
        <v>5</v>
      </c>
      <c r="AA314" s="32" t="n">
        <v>1</v>
      </c>
      <c r="AB314" s="10">
        <f>IF(AA314=1,I314-('Parametros'!$B$7+'Parametros'!$B$9+'Parametros'!$B$12/2),I314-(ROUNDUP(Z314/2,0)*('Parametros'!$B$7+'Parametros'!$B$9+'Parametros'!$B$12/2)+ROUNDDOWN(Z314/2,0)*('Parametros'!$B$7+'Parametros'!$B$9+'Parametros'!$B$12/2+'Parametros'!$B$12+'Parametros'!$B$10))/Z314)</f>
        <v>489.35</v>
      </c>
      <c r="AC314" s="10">
        <f>Z314*'Parametros'!$B$8</f>
        <v>995</v>
      </c>
      <c r="AD314" s="10">
        <f>'Parametros'!$B$5*AC314*'Parametros'!$B$3*(AB314-(AC314*'Parametros'!$B$3/(0.85*'Parametros'!$B$2*H314))/2)/1000000</f>
        <v>177.445379382353</v>
      </c>
      <c r="AE314" s="10" t="str">
        <f>IF(AD314&gt;=L314,"CUMPLE","NO CUMPLE")</f>
        <v>CUMPLE</v>
      </c>
      <c r="AF314" s="10">
        <f>V314*1.25*'Parametros'!$B$3*(U314-(V314*1.25*'Parametros'!$B$3/(0.85*'Parametros'!$B$2*H314))/2)/1000000</f>
        <v>244.158843198529</v>
      </c>
      <c r="AG314" s="10">
        <f>AC314*1.25*'Parametros'!$B$3*(AB314-(AC314*1.25*'Parametros'!$B$3/(0.85*'Parametros'!$B$2*H314))/2)/1000000</f>
        <v>244.158843198529</v>
      </c>
      <c r="AH314" s="10">
        <f>N314+(AF314+AG314)/D314</f>
        <v>297.330843198529</v>
      </c>
      <c r="AI314" s="10">
        <f>MAX(O314,AH314)</f>
        <v>297.330843198529</v>
      </c>
      <c r="AJ314" s="10">
        <f>0.17*SQRT('Parametros'!$B$2)*H314*MIN(U314,AB314)/1000</f>
        <v>220.098728691808</v>
      </c>
      <c r="AK314" s="10">
        <f>MAX(AI314/'Parametros'!$B$6-AJ314,0)</f>
        <v>176.342395572898</v>
      </c>
      <c r="AL314" s="10">
        <f>0.66*SQRT('Parametros'!$B$2)*H314*MIN(U314,AB314)/1000</f>
        <v>854.500946685842</v>
      </c>
      <c r="AM314" s="10" t="str">
        <f>IF(AK314&lt;=AL314,"CUMPLE","NO CUMPLE")</f>
        <v>CUMPLE</v>
      </c>
      <c r="AN314" s="17" t="inlineStr">
        <is>
          <t>Nº3 cerrado</t>
        </is>
      </c>
      <c r="AO314" s="31" t="n">
        <v>2</v>
      </c>
      <c r="AP314" s="10">
        <f>ROUNDDOWN(MIN(IF(BC314+BD314=0,1000000000,AO314*BB314/(BC314+BD314)),MIN(U314,AB314)/4,8*'Parametros'!$B$12,24*BA314,300,IF(AV314=0,1000000000,2*((H314-2*('Parametros'!$B$7+'Parametros'!$B$9/2))+(I314-2*('Parametros'!$B$7+'Parametros'!$B$9/2)))/8))/10,0)*10</f>
        <v>120</v>
      </c>
      <c r="AQ314" s="10">
        <f>ROUNDDOWN(MIN(IF(BC314+BD314=0,1000000000,AO314*BB314/(BC314+BD314)),IF(AK314&gt;0.33*SQRT('Parametros'!$B$2)*H314*MIN(U314,AB314)/1000,MIN(U314,AB314)/4,MIN(U314,AB314)/2),600,IF(AV314=0,1000000000,2*((H314-2*('Parametros'!$B$7+'Parametros'!$B$9/2))+(I314-2*('Parametros'!$B$7+'Parametros'!$B$9/2)))/8))/10,0)*10</f>
        <v>160</v>
      </c>
      <c r="AR314" s="10">
        <f>'Parametros'!$B$6*(AJ314+MAX(BE314-BD314,0)*'Parametros'!$B$4*MIN(U314,AB314)/1000)</f>
        <v>347.479259018856</v>
      </c>
      <c r="AS314" s="10" t="str">
        <f>IF(AND(ISERROR(SEARCH("referencia",AN314)),AM314="CUMPLE",AR314&gt;=AI314),"CUMPLE","NO CUMPLE")</f>
        <v>CUMPLE</v>
      </c>
      <c r="AT314" s="10">
        <f>'Parametros'!$B$6*0.083*SQRT('Parametros'!$B$2)*(H314*I314)^2/(2*(H314+I314))/1000000</f>
        <v>11.862178757599</v>
      </c>
      <c r="AU314" s="10" t="str">
        <f>IF(Q314&lt;=AT314,"DESPRECIABLE","DISEÑAR")</f>
        <v>DESPRECIABLE</v>
      </c>
      <c r="AV314" s="10">
        <f>IF(Q314&lt;=AT314,0,Q314*1000000/('Parametros'!$B$6*2*0.85*(H314-2*('Parametros'!$B$7+'Parametros'!$B$9/2))*(I314-2*('Parametros'!$B$7+'Parametros'!$B$9/2))*'Parametros'!$B$4))</f>
        <v>0</v>
      </c>
      <c r="AW314" s="10">
        <f>AV314*2*((H314-2*('Parametros'!$B$7+'Parametros'!$B$9/2))+(I314-2*('Parametros'!$B$7+'Parametros'!$B$9/2)))*'Parametros'!$B$4/'Parametros'!$B$3</f>
        <v>0</v>
      </c>
      <c r="AX314" s="31" t="n">
        <v>0</v>
      </c>
      <c r="AY314" s="10" t="str">
        <f>IF(AV314=0,"DESPRECIABLE",IF(AND(ISERROR(SEARCH("referencia",AN314)),BB314/AP314&gt;=AV314,BI314&gt;=AW314,BH314="CUMPLE"),"CUMPLE","NO CUMPLE"))</f>
        <v>DESPRECIABLE</v>
      </c>
      <c r="AZ314" s="10" t="str">
        <f>IF(AND(X314="CUMPLE",AE314="CUMPLE",AS314="CUMPLE",OR(AY314="CUMPLE",AY314="DESPRECIABLE"),BH314="CUMPLE",BJ314="CUMPLE"),"CUMPLE","NO CUMPLE")</f>
        <v>CUMPLE</v>
      </c>
      <c r="BA314" s="32" t="n">
        <v>9.5</v>
      </c>
      <c r="BB314" s="32" t="n">
        <v>71</v>
      </c>
      <c r="BC314" s="10">
        <f>MAX(IF(AK314=0,0,AK314*1000/('Parametros'!$B$4*MIN(U314,AB314))),MAX(0.062*SQRT('Parametros'!$B$2)*H314/'Parametros'!$B$4,0.35*H314/'Parametros'!$B$4))</f>
        <v>0.858001116996298</v>
      </c>
      <c r="BD314" s="10">
        <f>2*AV314</f>
        <v>0</v>
      </c>
      <c r="BE314" s="10">
        <f>AO314*BB314/AP314</f>
        <v>1.18333333333333</v>
      </c>
      <c r="BF314" s="10">
        <f>SQRT((AI314*1000/(H314*MIN(U314,AB314)))^2+(Q314*1000000*2*((H314-2*('Parametros'!$B$7+'Parametros'!$B$9/2))+(I314-2*('Parametros'!$B$7+'Parametros'!$B$9/2)))/(1.7*((H314-2*('Parametros'!$B$7+'Parametros'!$B$9/2))*(I314-2*('Parametros'!$B$7+'Parametros'!$B$9/2)))^2))^2)</f>
        <v>1.21859406973135</v>
      </c>
      <c r="BG314" s="10">
        <f>'Parametros'!$B$6*(AJ314*1000/(H314*MIN(U314,AB314))+0.66*SQRT('Parametros'!$B$2))</f>
        <v>3.29396038227542</v>
      </c>
      <c r="BH314" s="10" t="str">
        <f>IF(BF314&lt;=BG314,"CUMPLE","NO CUMPLE")</f>
        <v>CUMPLE</v>
      </c>
      <c r="BI314" s="10">
        <f>AX314*'Parametros'!$B$8</f>
        <v>0</v>
      </c>
      <c r="BJ314" s="10" t="str">
        <f>IF(BI314&gt;=AW314,"CUMPLE","NO CUMPLE")</f>
        <v>CUMPLE</v>
      </c>
    </row>
    <row r="315">
      <c r="A315" s="23" t="inlineStr">
        <is>
          <t>VR1</t>
        </is>
      </c>
      <c r="B315" s="23" t="inlineStr">
        <is>
          <t>992</t>
        </is>
      </c>
      <c r="C315" s="10" t="n">
        <v>1</v>
      </c>
      <c r="D315" s="10" t="n">
        <v>3.05</v>
      </c>
      <c r="E315" s="10" t="n">
        <v>3.05</v>
      </c>
      <c r="F315" s="10" t="n">
        <v>500</v>
      </c>
      <c r="G315" s="10" t="n">
        <v>550</v>
      </c>
      <c r="H315" s="17" t="n">
        <v>500</v>
      </c>
      <c r="I315" s="17" t="n">
        <v>550</v>
      </c>
      <c r="J315" s="30" t="n">
        <v>63.391</v>
      </c>
      <c r="K315" s="10" t="inlineStr">
        <is>
          <t>992</t>
        </is>
      </c>
      <c r="L315" s="30" t="n">
        <v>31.7358</v>
      </c>
      <c r="M315" s="10" t="inlineStr">
        <is>
          <t>992</t>
        </is>
      </c>
      <c r="N315" s="30" t="n">
        <v>66.20399999999999</v>
      </c>
      <c r="O315" s="30" t="n">
        <v>154.56</v>
      </c>
      <c r="P315" s="10" t="inlineStr">
        <is>
          <t>992</t>
        </is>
      </c>
      <c r="Q315" s="30" t="n">
        <v>1.509</v>
      </c>
      <c r="R315" s="10">
        <f>MAX(MAX(1.4/'Parametros'!$B$3,0.25*SQRT('Parametros'!$B$2)/'Parametros'!$B$3)*H315*U315,(0.85*'Parametros'!$B$2/'Parametros'!$B$3)*(1-SQRT(1-2*(J315*1000000/('Parametros'!$B$5*H315*U315^2))/(0.85*'Parametros'!$B$2)))*H315*U315)</f>
        <v>815.583333333333</v>
      </c>
      <c r="S315" s="31" t="n">
        <v>5</v>
      </c>
      <c r="T315" s="32" t="n">
        <v>1</v>
      </c>
      <c r="U315" s="10">
        <f>IF(T315=1,I315-('Parametros'!$B$7+'Parametros'!$B$9+'Parametros'!$B$12/2),I315-(ROUNDUP(S315/2,0)*('Parametros'!$B$7+'Parametros'!$B$9+'Parametros'!$B$12/2)+ROUNDDOWN(S315/2,0)*('Parametros'!$B$7+'Parametros'!$B$9+'Parametros'!$B$12/2+'Parametros'!$B$12+'Parametros'!$B$10))/S315)</f>
        <v>489.35</v>
      </c>
      <c r="V315" s="10">
        <f>S315*'Parametros'!$B$8</f>
        <v>995</v>
      </c>
      <c r="W315" s="10">
        <f>'Parametros'!$B$5*V315*'Parametros'!$B$3*(U315-(V315*'Parametros'!$B$3/(0.85*'Parametros'!$B$2*H315))/2)/1000000</f>
        <v>177.445379382353</v>
      </c>
      <c r="X315" s="10" t="str">
        <f>IF(W315&gt;=J315,"CUMPLE","NO CUMPLE")</f>
        <v>CUMPLE</v>
      </c>
      <c r="Y315" s="10">
        <f>MAX(MAX(1.4/'Parametros'!$B$3,0.25*SQRT('Parametros'!$B$2)/'Parametros'!$B$3)*H315*AB315,(0.85*'Parametros'!$B$2/'Parametros'!$B$3)*(1-SQRT(1-2*(L315*1000000/('Parametros'!$B$5*H315*AB315^2))/(0.85*'Parametros'!$B$2)))*H315*AB315)</f>
        <v>815.583333333333</v>
      </c>
      <c r="Z315" s="31" t="n">
        <v>5</v>
      </c>
      <c r="AA315" s="32" t="n">
        <v>1</v>
      </c>
      <c r="AB315" s="10">
        <f>IF(AA315=1,I315-('Parametros'!$B$7+'Parametros'!$B$9+'Parametros'!$B$12/2),I315-(ROUNDUP(Z315/2,0)*('Parametros'!$B$7+'Parametros'!$B$9+'Parametros'!$B$12/2)+ROUNDDOWN(Z315/2,0)*('Parametros'!$B$7+'Parametros'!$B$9+'Parametros'!$B$12/2+'Parametros'!$B$12+'Parametros'!$B$10))/Z315)</f>
        <v>489.35</v>
      </c>
      <c r="AC315" s="10">
        <f>Z315*'Parametros'!$B$8</f>
        <v>995</v>
      </c>
      <c r="AD315" s="10">
        <f>'Parametros'!$B$5*AC315*'Parametros'!$B$3*(AB315-(AC315*'Parametros'!$B$3/(0.85*'Parametros'!$B$2*H315))/2)/1000000</f>
        <v>177.445379382353</v>
      </c>
      <c r="AE315" s="10" t="str">
        <f>IF(AD315&gt;=L315,"CUMPLE","NO CUMPLE")</f>
        <v>CUMPLE</v>
      </c>
      <c r="AF315" s="10">
        <f>V315*1.25*'Parametros'!$B$3*(U315-(V315*1.25*'Parametros'!$B$3/(0.85*'Parametros'!$B$2*H315))/2)/1000000</f>
        <v>244.158843198529</v>
      </c>
      <c r="AG315" s="10">
        <f>AC315*1.25*'Parametros'!$B$3*(AB315-(AC315*1.25*'Parametros'!$B$3/(0.85*'Parametros'!$B$2*H315))/2)/1000000</f>
        <v>244.158843198529</v>
      </c>
      <c r="AH315" s="10">
        <f>N315+(AF315+AG315)/D315</f>
        <v>226.308159474446</v>
      </c>
      <c r="AI315" s="10">
        <f>MAX(O315,AH315)</f>
        <v>226.308159474446</v>
      </c>
      <c r="AJ315" s="10">
        <f>0.17*SQRT('Parametros'!$B$2)*H315*MIN(U315,AB315)/1000</f>
        <v>220.098728691808</v>
      </c>
      <c r="AK315" s="10">
        <f>MAX(AI315/'Parametros'!$B$6-AJ315,0)</f>
        <v>81.6454839407863</v>
      </c>
      <c r="AL315" s="10">
        <f>0.66*SQRT('Parametros'!$B$2)*H315*MIN(U315,AB315)/1000</f>
        <v>854.500946685842</v>
      </c>
      <c r="AM315" s="10" t="str">
        <f>IF(AK315&lt;=AL315,"CUMPLE","NO CUMPLE")</f>
        <v>CUMPLE</v>
      </c>
      <c r="AN315" s="17" t="inlineStr">
        <is>
          <t>Nº3 cerrado</t>
        </is>
      </c>
      <c r="AO315" s="31" t="n">
        <v>2</v>
      </c>
      <c r="AP315" s="10">
        <f>ROUNDDOWN(MIN(IF(BC315+BD315=0,1000000000,AO315*BB315/(BC315+BD315)),MIN(U315,AB315)/4,8*'Parametros'!$B$12,24*BA315,300,IF(AV315=0,1000000000,2*((H315-2*('Parametros'!$B$7+'Parametros'!$B$9/2))+(I315-2*('Parametros'!$B$7+'Parametros'!$B$9/2)))/8))/10,0)*10</f>
        <v>120</v>
      </c>
      <c r="AQ315" s="10">
        <f>ROUNDDOWN(MIN(IF(BC315+BD315=0,1000000000,AO315*BB315/(BC315+BD315)),IF(AK315&gt;0.33*SQRT('Parametros'!$B$2)*H315*MIN(U315,AB315)/1000,MIN(U315,AB315)/4,MIN(U315,AB315)/2),600,IF(AV315=0,1000000000,2*((H315-2*('Parametros'!$B$7+'Parametros'!$B$9/2))+(I315-2*('Parametros'!$B$7+'Parametros'!$B$9/2)))/8))/10,0)*10</f>
        <v>240</v>
      </c>
      <c r="AR315" s="10">
        <f>'Parametros'!$B$6*(AJ315+MAX(BE315-BD315,0)*'Parametros'!$B$4*MIN(U315,AB315)/1000)</f>
        <v>347.479259018856</v>
      </c>
      <c r="AS315" s="10" t="str">
        <f>IF(AND(ISERROR(SEARCH("referencia",AN315)),AM315="CUMPLE",AR315&gt;=AI315),"CUMPLE","NO CUMPLE")</f>
        <v>CUMPLE</v>
      </c>
      <c r="AT315" s="10">
        <f>'Parametros'!$B$6*0.083*SQRT('Parametros'!$B$2)*(H315*I315)^2/(2*(H315+I315))/1000000</f>
        <v>11.862178757599</v>
      </c>
      <c r="AU315" s="10" t="str">
        <f>IF(Q315&lt;=AT315,"DESPRECIABLE","DISEÑAR")</f>
        <v>DESPRECIABLE</v>
      </c>
      <c r="AV315" s="10">
        <f>IF(Q315&lt;=AT315,0,Q315*1000000/('Parametros'!$B$6*2*0.85*(H315-2*('Parametros'!$B$7+'Parametros'!$B$9/2))*(I315-2*('Parametros'!$B$7+'Parametros'!$B$9/2))*'Parametros'!$B$4))</f>
        <v>0</v>
      </c>
      <c r="AW315" s="10">
        <f>AV315*2*((H315-2*('Parametros'!$B$7+'Parametros'!$B$9/2))+(I315-2*('Parametros'!$B$7+'Parametros'!$B$9/2)))*'Parametros'!$B$4/'Parametros'!$B$3</f>
        <v>0</v>
      </c>
      <c r="AX315" s="31" t="n">
        <v>0</v>
      </c>
      <c r="AY315" s="10" t="str">
        <f>IF(AV315=0,"DESPRECIABLE",IF(AND(ISERROR(SEARCH("referencia",AN315)),BB315/AP315&gt;=AV315,BI315&gt;=AW315,BH315="CUMPLE"),"CUMPLE","NO CUMPLE"))</f>
        <v>DESPRECIABLE</v>
      </c>
      <c r="AZ315" s="10" t="str">
        <f>IF(AND(X315="CUMPLE",AE315="CUMPLE",AS315="CUMPLE",OR(AY315="CUMPLE",AY315="DESPRECIABLE"),BH315="CUMPLE",BJ315="CUMPLE"),"CUMPLE","NO CUMPLE")</f>
        <v>CUMPLE</v>
      </c>
      <c r="BA315" s="32" t="n">
        <v>9.5</v>
      </c>
      <c r="BB315" s="32" t="n">
        <v>71</v>
      </c>
      <c r="BC315" s="10">
        <f>MAX(IF(AK315=0,0,AK315*1000/('Parametros'!$B$4*MIN(U315,AB315))),MAX(0.062*SQRT('Parametros'!$B$2)*H315/'Parametros'!$B$4,0.35*H315/'Parametros'!$B$4))</f>
        <v>0.416666666666667</v>
      </c>
      <c r="BD315" s="10">
        <f>2*AV315</f>
        <v>0</v>
      </c>
      <c r="BE315" s="10">
        <f>AO315*BB315/AP315</f>
        <v>1.18333333333333</v>
      </c>
      <c r="BF315" s="10">
        <f>SQRT((AI315*1000/(H315*MIN(U315,AB315)))^2+(Q315*1000000*2*((H315-2*('Parametros'!$B$7+'Parametros'!$B$9/2))+(I315-2*('Parametros'!$B$7+'Parametros'!$B$9/2)))/(1.7*((H315-2*('Parametros'!$B$7+'Parametros'!$B$9/2))*(I315-2*('Parametros'!$B$7+'Parametros'!$B$9/2)))^2))^2)</f>
        <v>0.925991322297249</v>
      </c>
      <c r="BG315" s="10">
        <f>'Parametros'!$B$6*(AJ315*1000/(H315*MIN(U315,AB315))+0.66*SQRT('Parametros'!$B$2))</f>
        <v>3.29396038227542</v>
      </c>
      <c r="BH315" s="10" t="str">
        <f>IF(BF315&lt;=BG315,"CUMPLE","NO CUMPLE")</f>
        <v>CUMPLE</v>
      </c>
      <c r="BI315" s="10">
        <f>AX315*'Parametros'!$B$8</f>
        <v>0</v>
      </c>
      <c r="BJ315" s="10" t="str">
        <f>IF(BI315&gt;=AW315,"CUMPLE","NO CUMPLE")</f>
        <v>CUMPLE</v>
      </c>
    </row>
    <row r="316">
      <c r="A316" s="23" t="inlineStr">
        <is>
          <t>VR1</t>
        </is>
      </c>
      <c r="B316" s="23" t="inlineStr">
        <is>
          <t>993</t>
        </is>
      </c>
      <c r="C316" s="10" t="n">
        <v>1</v>
      </c>
      <c r="D316" s="10" t="n">
        <v>2</v>
      </c>
      <c r="E316" s="10" t="n">
        <v>2</v>
      </c>
      <c r="F316" s="10" t="n">
        <v>500</v>
      </c>
      <c r="G316" s="10" t="n">
        <v>550</v>
      </c>
      <c r="H316" s="17" t="n">
        <v>500</v>
      </c>
      <c r="I316" s="17" t="n">
        <v>550</v>
      </c>
      <c r="J316" s="30" t="n">
        <v>44.0955</v>
      </c>
      <c r="K316" s="10" t="inlineStr">
        <is>
          <t>993</t>
        </is>
      </c>
      <c r="L316" s="30" t="n">
        <v>11.9752</v>
      </c>
      <c r="M316" s="10" t="inlineStr">
        <is>
          <t>993</t>
        </is>
      </c>
      <c r="N316" s="30" t="n">
        <v>50.821</v>
      </c>
      <c r="O316" s="30" t="n">
        <v>107.758</v>
      </c>
      <c r="P316" s="10" t="inlineStr">
        <is>
          <t>993</t>
        </is>
      </c>
      <c r="Q316" s="30" t="n">
        <v>1.2403</v>
      </c>
      <c r="R316" s="10">
        <f>MAX(MAX(1.4/'Parametros'!$B$3,0.25*SQRT('Parametros'!$B$2)/'Parametros'!$B$3)*H316*U316,(0.85*'Parametros'!$B$2/'Parametros'!$B$3)*(1-SQRT(1-2*(J316*1000000/('Parametros'!$B$5*H316*U316^2))/(0.85*'Parametros'!$B$2)))*H316*U316)</f>
        <v>815.583333333333</v>
      </c>
      <c r="S316" s="31" t="n">
        <v>5</v>
      </c>
      <c r="T316" s="32" t="n">
        <v>1</v>
      </c>
      <c r="U316" s="10">
        <f>IF(T316=1,I316-('Parametros'!$B$7+'Parametros'!$B$9+'Parametros'!$B$12/2),I316-(ROUNDUP(S316/2,0)*('Parametros'!$B$7+'Parametros'!$B$9+'Parametros'!$B$12/2)+ROUNDDOWN(S316/2,0)*('Parametros'!$B$7+'Parametros'!$B$9+'Parametros'!$B$12/2+'Parametros'!$B$12+'Parametros'!$B$10))/S316)</f>
        <v>489.35</v>
      </c>
      <c r="V316" s="10">
        <f>S316*'Parametros'!$B$8</f>
        <v>995</v>
      </c>
      <c r="W316" s="10">
        <f>'Parametros'!$B$5*V316*'Parametros'!$B$3*(U316-(V316*'Parametros'!$B$3/(0.85*'Parametros'!$B$2*H316))/2)/1000000</f>
        <v>177.445379382353</v>
      </c>
      <c r="X316" s="10" t="str">
        <f>IF(W316&gt;=J316,"CUMPLE","NO CUMPLE")</f>
        <v>CUMPLE</v>
      </c>
      <c r="Y316" s="10">
        <f>MAX(MAX(1.4/'Parametros'!$B$3,0.25*SQRT('Parametros'!$B$2)/'Parametros'!$B$3)*H316*AB316,(0.85*'Parametros'!$B$2/'Parametros'!$B$3)*(1-SQRT(1-2*(L316*1000000/('Parametros'!$B$5*H316*AB316^2))/(0.85*'Parametros'!$B$2)))*H316*AB316)</f>
        <v>815.583333333333</v>
      </c>
      <c r="Z316" s="31" t="n">
        <v>5</v>
      </c>
      <c r="AA316" s="32" t="n">
        <v>1</v>
      </c>
      <c r="AB316" s="10">
        <f>IF(AA316=1,I316-('Parametros'!$B$7+'Parametros'!$B$9+'Parametros'!$B$12/2),I316-(ROUNDUP(Z316/2,0)*('Parametros'!$B$7+'Parametros'!$B$9+'Parametros'!$B$12/2)+ROUNDDOWN(Z316/2,0)*('Parametros'!$B$7+'Parametros'!$B$9+'Parametros'!$B$12/2+'Parametros'!$B$12+'Parametros'!$B$10))/Z316)</f>
        <v>489.35</v>
      </c>
      <c r="AC316" s="10">
        <f>Z316*'Parametros'!$B$8</f>
        <v>995</v>
      </c>
      <c r="AD316" s="10">
        <f>'Parametros'!$B$5*AC316*'Parametros'!$B$3*(AB316-(AC316*'Parametros'!$B$3/(0.85*'Parametros'!$B$2*H316))/2)/1000000</f>
        <v>177.445379382353</v>
      </c>
      <c r="AE316" s="10" t="str">
        <f>IF(AD316&gt;=L316,"CUMPLE","NO CUMPLE")</f>
        <v>CUMPLE</v>
      </c>
      <c r="AF316" s="10">
        <f>V316*1.25*'Parametros'!$B$3*(U316-(V316*1.25*'Parametros'!$B$3/(0.85*'Parametros'!$B$2*H316))/2)/1000000</f>
        <v>244.158843198529</v>
      </c>
      <c r="AG316" s="10">
        <f>AC316*1.25*'Parametros'!$B$3*(AB316-(AC316*1.25*'Parametros'!$B$3/(0.85*'Parametros'!$B$2*H316))/2)/1000000</f>
        <v>244.158843198529</v>
      </c>
      <c r="AH316" s="10">
        <f>N316+(AF316+AG316)/D316</f>
        <v>294.979843198529</v>
      </c>
      <c r="AI316" s="10">
        <f>MAX(O316,AH316)</f>
        <v>294.979843198529</v>
      </c>
      <c r="AJ316" s="10">
        <f>0.17*SQRT('Parametros'!$B$2)*H316*MIN(U316,AB316)/1000</f>
        <v>220.098728691808</v>
      </c>
      <c r="AK316" s="10">
        <f>MAX(AI316/'Parametros'!$B$6-AJ316,0)</f>
        <v>173.207728906231</v>
      </c>
      <c r="AL316" s="10">
        <f>0.66*SQRT('Parametros'!$B$2)*H316*MIN(U316,AB316)/1000</f>
        <v>854.500946685842</v>
      </c>
      <c r="AM316" s="10" t="str">
        <f>IF(AK316&lt;=AL316,"CUMPLE","NO CUMPLE")</f>
        <v>CUMPLE</v>
      </c>
      <c r="AN316" s="17" t="inlineStr">
        <is>
          <t>Nº3 cerrado</t>
        </is>
      </c>
      <c r="AO316" s="31" t="n">
        <v>2</v>
      </c>
      <c r="AP316" s="10">
        <f>ROUNDDOWN(MIN(IF(BC316+BD316=0,1000000000,AO316*BB316/(BC316+BD316)),MIN(U316,AB316)/4,8*'Parametros'!$B$12,24*BA316,300,IF(AV316=0,1000000000,2*((H316-2*('Parametros'!$B$7+'Parametros'!$B$9/2))+(I316-2*('Parametros'!$B$7+'Parametros'!$B$9/2)))/8))/10,0)*10</f>
        <v>120</v>
      </c>
      <c r="AQ316" s="10">
        <f>ROUNDDOWN(MIN(IF(BC316+BD316=0,1000000000,AO316*BB316/(BC316+BD316)),IF(AK316&gt;0.33*SQRT('Parametros'!$B$2)*H316*MIN(U316,AB316)/1000,MIN(U316,AB316)/4,MIN(U316,AB316)/2),600,IF(AV316=0,1000000000,2*((H316-2*('Parametros'!$B$7+'Parametros'!$B$9/2))+(I316-2*('Parametros'!$B$7+'Parametros'!$B$9/2)))/8))/10,0)*10</f>
        <v>160</v>
      </c>
      <c r="AR316" s="10">
        <f>'Parametros'!$B$6*(AJ316+MAX(BE316-BD316,0)*'Parametros'!$B$4*MIN(U316,AB316)/1000)</f>
        <v>347.479259018856</v>
      </c>
      <c r="AS316" s="10" t="str">
        <f>IF(AND(ISERROR(SEARCH("referencia",AN316)),AM316="CUMPLE",AR316&gt;=AI316),"CUMPLE","NO CUMPLE")</f>
        <v>CUMPLE</v>
      </c>
      <c r="AT316" s="10">
        <f>'Parametros'!$B$6*0.083*SQRT('Parametros'!$B$2)*(H316*I316)^2/(2*(H316+I316))/1000000</f>
        <v>11.862178757599</v>
      </c>
      <c r="AU316" s="10" t="str">
        <f>IF(Q316&lt;=AT316,"DESPRECIABLE","DISEÑAR")</f>
        <v>DESPRECIABLE</v>
      </c>
      <c r="AV316" s="10">
        <f>IF(Q316&lt;=AT316,0,Q316*1000000/('Parametros'!$B$6*2*0.85*(H316-2*('Parametros'!$B$7+'Parametros'!$B$9/2))*(I316-2*('Parametros'!$B$7+'Parametros'!$B$9/2))*'Parametros'!$B$4))</f>
        <v>0</v>
      </c>
      <c r="AW316" s="10">
        <f>AV316*2*((H316-2*('Parametros'!$B$7+'Parametros'!$B$9/2))+(I316-2*('Parametros'!$B$7+'Parametros'!$B$9/2)))*'Parametros'!$B$4/'Parametros'!$B$3</f>
        <v>0</v>
      </c>
      <c r="AX316" s="31" t="n">
        <v>0</v>
      </c>
      <c r="AY316" s="10" t="str">
        <f>IF(AV316=0,"DESPRECIABLE",IF(AND(ISERROR(SEARCH("referencia",AN316)),BB316/AP316&gt;=AV316,BI316&gt;=AW316,BH316="CUMPLE"),"CUMPLE","NO CUMPLE"))</f>
        <v>DESPRECIABLE</v>
      </c>
      <c r="AZ316" s="10" t="str">
        <f>IF(AND(X316="CUMPLE",AE316="CUMPLE",AS316="CUMPLE",OR(AY316="CUMPLE",AY316="DESPRECIABLE"),BH316="CUMPLE",BJ316="CUMPLE"),"CUMPLE","NO CUMPLE")</f>
        <v>CUMPLE</v>
      </c>
      <c r="BA316" s="32" t="n">
        <v>9.5</v>
      </c>
      <c r="BB316" s="32" t="n">
        <v>71</v>
      </c>
      <c r="BC316" s="10">
        <f>MAX(IF(AK316=0,0,AK316*1000/('Parametros'!$B$4*MIN(U316,AB316))),MAX(0.062*SQRT('Parametros'!$B$2)*H316/'Parametros'!$B$4,0.35*H316/'Parametros'!$B$4))</f>
        <v>0.842749268496263</v>
      </c>
      <c r="BD316" s="10">
        <f>2*AV316</f>
        <v>0</v>
      </c>
      <c r="BE316" s="10">
        <f>AO316*BB316/AP316</f>
        <v>1.18333333333333</v>
      </c>
      <c r="BF316" s="10">
        <f>SQRT((AI316*1000/(H316*MIN(U316,AB316)))^2+(Q316*1000000*2*((H316-2*('Parametros'!$B$7+'Parametros'!$B$9/2))+(I316-2*('Parametros'!$B$7+'Parametros'!$B$9/2)))/(1.7*((H316-2*('Parametros'!$B$7+'Parametros'!$B$9/2))*(I316-2*('Parametros'!$B$7+'Parametros'!$B$9/2)))^2))^2)</f>
        <v>1.20614696629195</v>
      </c>
      <c r="BG316" s="10">
        <f>'Parametros'!$B$6*(AJ316*1000/(H316*MIN(U316,AB316))+0.66*SQRT('Parametros'!$B$2))</f>
        <v>3.29396038227542</v>
      </c>
      <c r="BH316" s="10" t="str">
        <f>IF(BF316&lt;=BG316,"CUMPLE","NO CUMPLE")</f>
        <v>CUMPLE</v>
      </c>
      <c r="BI316" s="10">
        <f>AX316*'Parametros'!$B$8</f>
        <v>0</v>
      </c>
      <c r="BJ316" s="10" t="str">
        <f>IF(BI316&gt;=AW316,"CUMPLE","NO CUMPLE")</f>
        <v>CUMPLE</v>
      </c>
    </row>
    <row r="317">
      <c r="A317" s="23" t="inlineStr">
        <is>
          <t>VR1</t>
        </is>
      </c>
      <c r="B317" s="23" t="inlineStr">
        <is>
          <t>994</t>
        </is>
      </c>
      <c r="C317" s="10" t="n">
        <v>1</v>
      </c>
      <c r="D317" s="10" t="n">
        <v>1.9</v>
      </c>
      <c r="E317" s="10" t="n">
        <v>1.9</v>
      </c>
      <c r="F317" s="10" t="n">
        <v>500</v>
      </c>
      <c r="G317" s="10" t="n">
        <v>550</v>
      </c>
      <c r="H317" s="17" t="n">
        <v>500</v>
      </c>
      <c r="I317" s="17" t="n">
        <v>550</v>
      </c>
      <c r="J317" s="30" t="n">
        <v>47.9387</v>
      </c>
      <c r="K317" s="10" t="inlineStr">
        <is>
          <t>994</t>
        </is>
      </c>
      <c r="L317" s="30" t="n">
        <v>17.4669</v>
      </c>
      <c r="M317" s="10" t="inlineStr">
        <is>
          <t>994</t>
        </is>
      </c>
      <c r="N317" s="30" t="n">
        <v>54.727</v>
      </c>
      <c r="O317" s="30" t="n">
        <v>121.066</v>
      </c>
      <c r="P317" s="10" t="inlineStr">
        <is>
          <t>994</t>
        </is>
      </c>
      <c r="Q317" s="30" t="n">
        <v>1.4352</v>
      </c>
      <c r="R317" s="10">
        <f>MAX(MAX(1.4/'Parametros'!$B$3,0.25*SQRT('Parametros'!$B$2)/'Parametros'!$B$3)*H317*U317,(0.85*'Parametros'!$B$2/'Parametros'!$B$3)*(1-SQRT(1-2*(J317*1000000/('Parametros'!$B$5*H317*U317^2))/(0.85*'Parametros'!$B$2)))*H317*U317)</f>
        <v>815.583333333333</v>
      </c>
      <c r="S317" s="31" t="n">
        <v>5</v>
      </c>
      <c r="T317" s="32" t="n">
        <v>1</v>
      </c>
      <c r="U317" s="10">
        <f>IF(T317=1,I317-('Parametros'!$B$7+'Parametros'!$B$9+'Parametros'!$B$12/2),I317-(ROUNDUP(S317/2,0)*('Parametros'!$B$7+'Parametros'!$B$9+'Parametros'!$B$12/2)+ROUNDDOWN(S317/2,0)*('Parametros'!$B$7+'Parametros'!$B$9+'Parametros'!$B$12/2+'Parametros'!$B$12+'Parametros'!$B$10))/S317)</f>
        <v>489.35</v>
      </c>
      <c r="V317" s="10">
        <f>S317*'Parametros'!$B$8</f>
        <v>995</v>
      </c>
      <c r="W317" s="10">
        <f>'Parametros'!$B$5*V317*'Parametros'!$B$3*(U317-(V317*'Parametros'!$B$3/(0.85*'Parametros'!$B$2*H317))/2)/1000000</f>
        <v>177.445379382353</v>
      </c>
      <c r="X317" s="10" t="str">
        <f>IF(W317&gt;=J317,"CUMPLE","NO CUMPLE")</f>
        <v>CUMPLE</v>
      </c>
      <c r="Y317" s="10">
        <f>MAX(MAX(1.4/'Parametros'!$B$3,0.25*SQRT('Parametros'!$B$2)/'Parametros'!$B$3)*H317*AB317,(0.85*'Parametros'!$B$2/'Parametros'!$B$3)*(1-SQRT(1-2*(L317*1000000/('Parametros'!$B$5*H317*AB317^2))/(0.85*'Parametros'!$B$2)))*H317*AB317)</f>
        <v>815.583333333333</v>
      </c>
      <c r="Z317" s="31" t="n">
        <v>5</v>
      </c>
      <c r="AA317" s="32" t="n">
        <v>1</v>
      </c>
      <c r="AB317" s="10">
        <f>IF(AA317=1,I317-('Parametros'!$B$7+'Parametros'!$B$9+'Parametros'!$B$12/2),I317-(ROUNDUP(Z317/2,0)*('Parametros'!$B$7+'Parametros'!$B$9+'Parametros'!$B$12/2)+ROUNDDOWN(Z317/2,0)*('Parametros'!$B$7+'Parametros'!$B$9+'Parametros'!$B$12/2+'Parametros'!$B$12+'Parametros'!$B$10))/Z317)</f>
        <v>489.35</v>
      </c>
      <c r="AC317" s="10">
        <f>Z317*'Parametros'!$B$8</f>
        <v>995</v>
      </c>
      <c r="AD317" s="10">
        <f>'Parametros'!$B$5*AC317*'Parametros'!$B$3*(AB317-(AC317*'Parametros'!$B$3/(0.85*'Parametros'!$B$2*H317))/2)/1000000</f>
        <v>177.445379382353</v>
      </c>
      <c r="AE317" s="10" t="str">
        <f>IF(AD317&gt;=L317,"CUMPLE","NO CUMPLE")</f>
        <v>CUMPLE</v>
      </c>
      <c r="AF317" s="10">
        <f>V317*1.25*'Parametros'!$B$3*(U317-(V317*1.25*'Parametros'!$B$3/(0.85*'Parametros'!$B$2*H317))/2)/1000000</f>
        <v>244.158843198529</v>
      </c>
      <c r="AG317" s="10">
        <f>AC317*1.25*'Parametros'!$B$3*(AB317-(AC317*1.25*'Parametros'!$B$3/(0.85*'Parametros'!$B$2*H317))/2)/1000000</f>
        <v>244.158843198529</v>
      </c>
      <c r="AH317" s="10">
        <f>N317+(AF317+AG317)/D317</f>
        <v>311.736308630031</v>
      </c>
      <c r="AI317" s="10">
        <f>MAX(O317,AH317)</f>
        <v>311.736308630031</v>
      </c>
      <c r="AJ317" s="10">
        <f>0.17*SQRT('Parametros'!$B$2)*H317*MIN(U317,AB317)/1000</f>
        <v>220.098728691808</v>
      </c>
      <c r="AK317" s="10">
        <f>MAX(AI317/'Parametros'!$B$6-AJ317,0)</f>
        <v>195.5496828149</v>
      </c>
      <c r="AL317" s="10">
        <f>0.66*SQRT('Parametros'!$B$2)*H317*MIN(U317,AB317)/1000</f>
        <v>854.500946685842</v>
      </c>
      <c r="AM317" s="10" t="str">
        <f>IF(AK317&lt;=AL317,"CUMPLE","NO CUMPLE")</f>
        <v>CUMPLE</v>
      </c>
      <c r="AN317" s="17" t="inlineStr">
        <is>
          <t>Nº3 cerrado</t>
        </is>
      </c>
      <c r="AO317" s="31" t="n">
        <v>2</v>
      </c>
      <c r="AP317" s="10">
        <f>ROUNDDOWN(MIN(IF(BC317+BD317=0,1000000000,AO317*BB317/(BC317+BD317)),MIN(U317,AB317)/4,8*'Parametros'!$B$12,24*BA317,300,IF(AV317=0,1000000000,2*((H317-2*('Parametros'!$B$7+'Parametros'!$B$9/2))+(I317-2*('Parametros'!$B$7+'Parametros'!$B$9/2)))/8))/10,0)*10</f>
        <v>120</v>
      </c>
      <c r="AQ317" s="10">
        <f>ROUNDDOWN(MIN(IF(BC317+BD317=0,1000000000,AO317*BB317/(BC317+BD317)),IF(AK317&gt;0.33*SQRT('Parametros'!$B$2)*H317*MIN(U317,AB317)/1000,MIN(U317,AB317)/4,MIN(U317,AB317)/2),600,IF(AV317=0,1000000000,2*((H317-2*('Parametros'!$B$7+'Parametros'!$B$9/2))+(I317-2*('Parametros'!$B$7+'Parametros'!$B$9/2)))/8))/10,0)*10</f>
        <v>140</v>
      </c>
      <c r="AR317" s="10">
        <f>'Parametros'!$B$6*(AJ317+MAX(BE317-BD317,0)*'Parametros'!$B$4*MIN(U317,AB317)/1000)</f>
        <v>347.479259018856</v>
      </c>
      <c r="AS317" s="10" t="str">
        <f>IF(AND(ISERROR(SEARCH("referencia",AN317)),AM317="CUMPLE",AR317&gt;=AI317),"CUMPLE","NO CUMPLE")</f>
        <v>CUMPLE</v>
      </c>
      <c r="AT317" s="10">
        <f>'Parametros'!$B$6*0.083*SQRT('Parametros'!$B$2)*(H317*I317)^2/(2*(H317+I317))/1000000</f>
        <v>11.862178757599</v>
      </c>
      <c r="AU317" s="10" t="str">
        <f>IF(Q317&lt;=AT317,"DESPRECIABLE","DISEÑAR")</f>
        <v>DESPRECIABLE</v>
      </c>
      <c r="AV317" s="10">
        <f>IF(Q317&lt;=AT317,0,Q317*1000000/('Parametros'!$B$6*2*0.85*(H317-2*('Parametros'!$B$7+'Parametros'!$B$9/2))*(I317-2*('Parametros'!$B$7+'Parametros'!$B$9/2))*'Parametros'!$B$4))</f>
        <v>0</v>
      </c>
      <c r="AW317" s="10">
        <f>AV317*2*((H317-2*('Parametros'!$B$7+'Parametros'!$B$9/2))+(I317-2*('Parametros'!$B$7+'Parametros'!$B$9/2)))*'Parametros'!$B$4/'Parametros'!$B$3</f>
        <v>0</v>
      </c>
      <c r="AX317" s="31" t="n">
        <v>0</v>
      </c>
      <c r="AY317" s="10" t="str">
        <f>IF(AV317=0,"DESPRECIABLE",IF(AND(ISERROR(SEARCH("referencia",AN317)),BB317/AP317&gt;=AV317,BI317&gt;=AW317,BH317="CUMPLE"),"CUMPLE","NO CUMPLE"))</f>
        <v>DESPRECIABLE</v>
      </c>
      <c r="AZ317" s="10" t="str">
        <f>IF(AND(X317="CUMPLE",AE317="CUMPLE",AS317="CUMPLE",OR(AY317="CUMPLE",AY317="DESPRECIABLE"),BH317="CUMPLE",BJ317="CUMPLE"),"CUMPLE","NO CUMPLE")</f>
        <v>CUMPLE</v>
      </c>
      <c r="BA317" s="32" t="n">
        <v>9.5</v>
      </c>
      <c r="BB317" s="32" t="n">
        <v>71</v>
      </c>
      <c r="BC317" s="10">
        <f>MAX(IF(AK317=0,0,AK317*1000/('Parametros'!$B$4*MIN(U317,AB317))),MAX(0.062*SQRT('Parametros'!$B$2)*H317/'Parametros'!$B$4,0.35*H317/'Parametros'!$B$4))</f>
        <v>0.951454956355613</v>
      </c>
      <c r="BD317" s="10">
        <f>2*AV317</f>
        <v>0</v>
      </c>
      <c r="BE317" s="10">
        <f>AO317*BB317/AP317</f>
        <v>1.18333333333333</v>
      </c>
      <c r="BF317" s="10">
        <f>SQRT((AI317*1000/(H317*MIN(U317,AB317)))^2+(Q317*1000000*2*((H317-2*('Parametros'!$B$7+'Parametros'!$B$9/2))+(I317-2*('Parametros'!$B$7+'Parametros'!$B$9/2)))/(1.7*((H317-2*('Parametros'!$B$7+'Parametros'!$B$9/2))*(I317-2*('Parametros'!$B$7+'Parametros'!$B$9/2)))^2))^2)</f>
        <v>1.27477792528982</v>
      </c>
      <c r="BG317" s="10">
        <f>'Parametros'!$B$6*(AJ317*1000/(H317*MIN(U317,AB317))+0.66*SQRT('Parametros'!$B$2))</f>
        <v>3.29396038227542</v>
      </c>
      <c r="BH317" s="10" t="str">
        <f>IF(BF317&lt;=BG317,"CUMPLE","NO CUMPLE")</f>
        <v>CUMPLE</v>
      </c>
      <c r="BI317" s="10">
        <f>AX317*'Parametros'!$B$8</f>
        <v>0</v>
      </c>
      <c r="BJ317" s="10" t="str">
        <f>IF(BI317&gt;=AW317,"CUMPLE","NO CUMPLE")</f>
        <v>CUMPLE</v>
      </c>
    </row>
    <row r="318">
      <c r="A318" s="23" t="inlineStr">
        <is>
          <t>VR1</t>
        </is>
      </c>
      <c r="B318" s="23" t="inlineStr">
        <is>
          <t>995</t>
        </is>
      </c>
      <c r="C318" s="10" t="n">
        <v>1</v>
      </c>
      <c r="D318" s="10" t="n">
        <v>3.4</v>
      </c>
      <c r="E318" s="10" t="n">
        <v>3.4</v>
      </c>
      <c r="F318" s="10" t="n">
        <v>500</v>
      </c>
      <c r="G318" s="10" t="n">
        <v>550</v>
      </c>
      <c r="H318" s="17" t="n">
        <v>500</v>
      </c>
      <c r="I318" s="17" t="n">
        <v>550</v>
      </c>
      <c r="J318" s="30" t="n">
        <v>57.9271</v>
      </c>
      <c r="K318" s="10" t="inlineStr">
        <is>
          <t>995</t>
        </is>
      </c>
      <c r="L318" s="30" t="n">
        <v>28.832</v>
      </c>
      <c r="M318" s="10" t="inlineStr">
        <is>
          <t>995</t>
        </is>
      </c>
      <c r="N318" s="30" t="n">
        <v>64.736</v>
      </c>
      <c r="O318" s="30" t="n">
        <v>125.163</v>
      </c>
      <c r="P318" s="10" t="inlineStr">
        <is>
          <t>995</t>
        </is>
      </c>
      <c r="Q318" s="30" t="n">
        <v>10.4547</v>
      </c>
      <c r="R318" s="10">
        <f>MAX(MAX(1.4/'Parametros'!$B$3,0.25*SQRT('Parametros'!$B$2)/'Parametros'!$B$3)*H318*U318,(0.85*'Parametros'!$B$2/'Parametros'!$B$3)*(1-SQRT(1-2*(J318*1000000/('Parametros'!$B$5*H318*U318^2))/(0.85*'Parametros'!$B$2)))*H318*U318)</f>
        <v>815.583333333333</v>
      </c>
      <c r="S318" s="31" t="n">
        <v>5</v>
      </c>
      <c r="T318" s="32" t="n">
        <v>1</v>
      </c>
      <c r="U318" s="10">
        <f>IF(T318=1,I318-('Parametros'!$B$7+'Parametros'!$B$9+'Parametros'!$B$12/2),I318-(ROUNDUP(S318/2,0)*('Parametros'!$B$7+'Parametros'!$B$9+'Parametros'!$B$12/2)+ROUNDDOWN(S318/2,0)*('Parametros'!$B$7+'Parametros'!$B$9+'Parametros'!$B$12/2+'Parametros'!$B$12+'Parametros'!$B$10))/S318)</f>
        <v>489.35</v>
      </c>
      <c r="V318" s="10">
        <f>S318*'Parametros'!$B$8</f>
        <v>995</v>
      </c>
      <c r="W318" s="10">
        <f>'Parametros'!$B$5*V318*'Parametros'!$B$3*(U318-(V318*'Parametros'!$B$3/(0.85*'Parametros'!$B$2*H318))/2)/1000000</f>
        <v>177.445379382353</v>
      </c>
      <c r="X318" s="10" t="str">
        <f>IF(W318&gt;=J318,"CUMPLE","NO CUMPLE")</f>
        <v>CUMPLE</v>
      </c>
      <c r="Y318" s="10">
        <f>MAX(MAX(1.4/'Parametros'!$B$3,0.25*SQRT('Parametros'!$B$2)/'Parametros'!$B$3)*H318*AB318,(0.85*'Parametros'!$B$2/'Parametros'!$B$3)*(1-SQRT(1-2*(L318*1000000/('Parametros'!$B$5*H318*AB318^2))/(0.85*'Parametros'!$B$2)))*H318*AB318)</f>
        <v>815.583333333333</v>
      </c>
      <c r="Z318" s="31" t="n">
        <v>5</v>
      </c>
      <c r="AA318" s="32" t="n">
        <v>1</v>
      </c>
      <c r="AB318" s="10">
        <f>IF(AA318=1,I318-('Parametros'!$B$7+'Parametros'!$B$9+'Parametros'!$B$12/2),I318-(ROUNDUP(Z318/2,0)*('Parametros'!$B$7+'Parametros'!$B$9+'Parametros'!$B$12/2)+ROUNDDOWN(Z318/2,0)*('Parametros'!$B$7+'Parametros'!$B$9+'Parametros'!$B$12/2+'Parametros'!$B$12+'Parametros'!$B$10))/Z318)</f>
        <v>489.35</v>
      </c>
      <c r="AC318" s="10">
        <f>Z318*'Parametros'!$B$8</f>
        <v>995</v>
      </c>
      <c r="AD318" s="10">
        <f>'Parametros'!$B$5*AC318*'Parametros'!$B$3*(AB318-(AC318*'Parametros'!$B$3/(0.85*'Parametros'!$B$2*H318))/2)/1000000</f>
        <v>177.445379382353</v>
      </c>
      <c r="AE318" s="10" t="str">
        <f>IF(AD318&gt;=L318,"CUMPLE","NO CUMPLE")</f>
        <v>CUMPLE</v>
      </c>
      <c r="AF318" s="10">
        <f>V318*1.25*'Parametros'!$B$3*(U318-(V318*1.25*'Parametros'!$B$3/(0.85*'Parametros'!$B$2*H318))/2)/1000000</f>
        <v>244.158843198529</v>
      </c>
      <c r="AG318" s="10">
        <f>AC318*1.25*'Parametros'!$B$3*(AB318-(AC318*1.25*'Parametros'!$B$3/(0.85*'Parametros'!$B$2*H318))/2)/1000000</f>
        <v>244.158843198529</v>
      </c>
      <c r="AH318" s="10">
        <f>N318+(AF318+AG318)/D318</f>
        <v>208.358848940311</v>
      </c>
      <c r="AI318" s="10">
        <f>MAX(O318,AH318)</f>
        <v>208.358848940311</v>
      </c>
      <c r="AJ318" s="10">
        <f>0.17*SQRT('Parametros'!$B$2)*H318*MIN(U318,AB318)/1000</f>
        <v>220.098728691808</v>
      </c>
      <c r="AK318" s="10">
        <f>MAX(AI318/'Parametros'!$B$6-AJ318,0)</f>
        <v>57.7130698952741</v>
      </c>
      <c r="AL318" s="10">
        <f>0.66*SQRT('Parametros'!$B$2)*H318*MIN(U318,AB318)/1000</f>
        <v>854.500946685842</v>
      </c>
      <c r="AM318" s="10" t="str">
        <f>IF(AK318&lt;=AL318,"CUMPLE","NO CUMPLE")</f>
        <v>CUMPLE</v>
      </c>
      <c r="AN318" s="17" t="inlineStr">
        <is>
          <t>Nº3 cerrado</t>
        </is>
      </c>
      <c r="AO318" s="31" t="n">
        <v>2</v>
      </c>
      <c r="AP318" s="10">
        <f>ROUNDDOWN(MIN(IF(BC318+BD318=0,1000000000,AO318*BB318/(BC318+BD318)),MIN(U318,AB318)/4,8*'Parametros'!$B$12,24*BA318,300,IF(AV318=0,1000000000,2*((H318-2*('Parametros'!$B$7+'Parametros'!$B$9/2))+(I318-2*('Parametros'!$B$7+'Parametros'!$B$9/2)))/8))/10,0)*10</f>
        <v>120</v>
      </c>
      <c r="AQ318" s="10">
        <f>ROUNDDOWN(MIN(IF(BC318+BD318=0,1000000000,AO318*BB318/(BC318+BD318)),IF(AK318&gt;0.33*SQRT('Parametros'!$B$2)*H318*MIN(U318,AB318)/1000,MIN(U318,AB318)/4,MIN(U318,AB318)/2),600,IF(AV318=0,1000000000,2*((H318-2*('Parametros'!$B$7+'Parametros'!$B$9/2))+(I318-2*('Parametros'!$B$7+'Parametros'!$B$9/2)))/8))/10,0)*10</f>
        <v>240</v>
      </c>
      <c r="AR318" s="10">
        <f>'Parametros'!$B$6*(AJ318+MAX(BE318-BD318,0)*'Parametros'!$B$4*MIN(U318,AB318)/1000)</f>
        <v>347.479259018856</v>
      </c>
      <c r="AS318" s="10" t="str">
        <f>IF(AND(ISERROR(SEARCH("referencia",AN318)),AM318="CUMPLE",AR318&gt;=AI318),"CUMPLE","NO CUMPLE")</f>
        <v>CUMPLE</v>
      </c>
      <c r="AT318" s="10">
        <f>'Parametros'!$B$6*0.083*SQRT('Parametros'!$B$2)*(H318*I318)^2/(2*(H318+I318))/1000000</f>
        <v>11.862178757599</v>
      </c>
      <c r="AU318" s="10" t="str">
        <f>IF(Q318&lt;=AT318,"DESPRECIABLE","DISEÑAR")</f>
        <v>DESPRECIABLE</v>
      </c>
      <c r="AV318" s="10">
        <f>IF(Q318&lt;=AT318,0,Q318*1000000/('Parametros'!$B$6*2*0.85*(H318-2*('Parametros'!$B$7+'Parametros'!$B$9/2))*(I318-2*('Parametros'!$B$7+'Parametros'!$B$9/2))*'Parametros'!$B$4))</f>
        <v>0</v>
      </c>
      <c r="AW318" s="10">
        <f>AV318*2*((H318-2*('Parametros'!$B$7+'Parametros'!$B$9/2))+(I318-2*('Parametros'!$B$7+'Parametros'!$B$9/2)))*'Parametros'!$B$4/'Parametros'!$B$3</f>
        <v>0</v>
      </c>
      <c r="AX318" s="31" t="n">
        <v>0</v>
      </c>
      <c r="AY318" s="10" t="str">
        <f>IF(AV318=0,"DESPRECIABLE",IF(AND(ISERROR(SEARCH("referencia",AN318)),BB318/AP318&gt;=AV318,BI318&gt;=AW318,BH318="CUMPLE"),"CUMPLE","NO CUMPLE"))</f>
        <v>DESPRECIABLE</v>
      </c>
      <c r="AZ318" s="10" t="str">
        <f>IF(AND(X318="CUMPLE",AE318="CUMPLE",AS318="CUMPLE",OR(AY318="CUMPLE",AY318="DESPRECIABLE"),BH318="CUMPLE",BJ318="CUMPLE"),"CUMPLE","NO CUMPLE")</f>
        <v>CUMPLE</v>
      </c>
      <c r="BA318" s="32" t="n">
        <v>9.5</v>
      </c>
      <c r="BB318" s="32" t="n">
        <v>71</v>
      </c>
      <c r="BC318" s="10">
        <f>MAX(IF(AK318=0,0,AK318*1000/('Parametros'!$B$4*MIN(U318,AB318))),MAX(0.062*SQRT('Parametros'!$B$2)*H318/'Parametros'!$B$4,0.35*H318/'Parametros'!$B$4))</f>
        <v>0.416666666666667</v>
      </c>
      <c r="BD318" s="10">
        <f>2*AV318</f>
        <v>0</v>
      </c>
      <c r="BE318" s="10">
        <f>AO318*BB318/AP318</f>
        <v>1.18333333333333</v>
      </c>
      <c r="BF318" s="10">
        <f>SQRT((AI318*1000/(H318*MIN(U318,AB318)))^2+(Q318*1000000*2*((H318-2*('Parametros'!$B$7+'Parametros'!$B$9/2))+(I318-2*('Parametros'!$B$7+'Parametros'!$B$9/2)))/(1.7*((H318-2*('Parametros'!$B$7+'Parametros'!$B$9/2))*(I318-2*('Parametros'!$B$7+'Parametros'!$B$9/2)))^2))^2)</f>
        <v>0.905063739021788</v>
      </c>
      <c r="BG318" s="10">
        <f>'Parametros'!$B$6*(AJ318*1000/(H318*MIN(U318,AB318))+0.66*SQRT('Parametros'!$B$2))</f>
        <v>3.29396038227542</v>
      </c>
      <c r="BH318" s="10" t="str">
        <f>IF(BF318&lt;=BG318,"CUMPLE","NO CUMPLE")</f>
        <v>CUMPLE</v>
      </c>
      <c r="BI318" s="10">
        <f>AX318*'Parametros'!$B$8</f>
        <v>0</v>
      </c>
      <c r="BJ318" s="10" t="str">
        <f>IF(BI318&gt;=AW318,"CUMPLE","NO CUMPLE")</f>
        <v>CUMPLE</v>
      </c>
    </row>
    <row r="319">
      <c r="A319" s="23" t="inlineStr">
        <is>
          <t>VR1</t>
        </is>
      </c>
      <c r="B319" s="23" t="inlineStr">
        <is>
          <t>996</t>
        </is>
      </c>
      <c r="C319" s="10" t="n">
        <v>1</v>
      </c>
      <c r="D319" s="10" t="n">
        <v>3.4</v>
      </c>
      <c r="E319" s="10" t="n">
        <v>3.4</v>
      </c>
      <c r="F319" s="10" t="n">
        <v>500</v>
      </c>
      <c r="G319" s="10" t="n">
        <v>550</v>
      </c>
      <c r="H319" s="17" t="n">
        <v>500</v>
      </c>
      <c r="I319" s="17" t="n">
        <v>550</v>
      </c>
      <c r="J319" s="30" t="n">
        <v>57.9866</v>
      </c>
      <c r="K319" s="10" t="inlineStr">
        <is>
          <t>996</t>
        </is>
      </c>
      <c r="L319" s="30" t="n">
        <v>28.8669</v>
      </c>
      <c r="M319" s="10" t="inlineStr">
        <is>
          <t>996</t>
        </is>
      </c>
      <c r="N319" s="30" t="n">
        <v>64.774</v>
      </c>
      <c r="O319" s="30" t="n">
        <v>125.403</v>
      </c>
      <c r="P319" s="10" t="inlineStr">
        <is>
          <t>996</t>
        </is>
      </c>
      <c r="Q319" s="30" t="n">
        <v>10.4872</v>
      </c>
      <c r="R319" s="10">
        <f>MAX(MAX(1.4/'Parametros'!$B$3,0.25*SQRT('Parametros'!$B$2)/'Parametros'!$B$3)*H319*U319,(0.85*'Parametros'!$B$2/'Parametros'!$B$3)*(1-SQRT(1-2*(J319*1000000/('Parametros'!$B$5*H319*U319^2))/(0.85*'Parametros'!$B$2)))*H319*U319)</f>
        <v>815.583333333333</v>
      </c>
      <c r="S319" s="31" t="n">
        <v>5</v>
      </c>
      <c r="T319" s="32" t="n">
        <v>1</v>
      </c>
      <c r="U319" s="10">
        <f>IF(T319=1,I319-('Parametros'!$B$7+'Parametros'!$B$9+'Parametros'!$B$12/2),I319-(ROUNDUP(S319/2,0)*('Parametros'!$B$7+'Parametros'!$B$9+'Parametros'!$B$12/2)+ROUNDDOWN(S319/2,0)*('Parametros'!$B$7+'Parametros'!$B$9+'Parametros'!$B$12/2+'Parametros'!$B$12+'Parametros'!$B$10))/S319)</f>
        <v>489.35</v>
      </c>
      <c r="V319" s="10">
        <f>S319*'Parametros'!$B$8</f>
        <v>995</v>
      </c>
      <c r="W319" s="10">
        <f>'Parametros'!$B$5*V319*'Parametros'!$B$3*(U319-(V319*'Parametros'!$B$3/(0.85*'Parametros'!$B$2*H319))/2)/1000000</f>
        <v>177.445379382353</v>
      </c>
      <c r="X319" s="10" t="str">
        <f>IF(W319&gt;=J319,"CUMPLE","NO CUMPLE")</f>
        <v>CUMPLE</v>
      </c>
      <c r="Y319" s="10">
        <f>MAX(MAX(1.4/'Parametros'!$B$3,0.25*SQRT('Parametros'!$B$2)/'Parametros'!$B$3)*H319*AB319,(0.85*'Parametros'!$B$2/'Parametros'!$B$3)*(1-SQRT(1-2*(L319*1000000/('Parametros'!$B$5*H319*AB319^2))/(0.85*'Parametros'!$B$2)))*H319*AB319)</f>
        <v>815.583333333333</v>
      </c>
      <c r="Z319" s="31" t="n">
        <v>5</v>
      </c>
      <c r="AA319" s="32" t="n">
        <v>1</v>
      </c>
      <c r="AB319" s="10">
        <f>IF(AA319=1,I319-('Parametros'!$B$7+'Parametros'!$B$9+'Parametros'!$B$12/2),I319-(ROUNDUP(Z319/2,0)*('Parametros'!$B$7+'Parametros'!$B$9+'Parametros'!$B$12/2)+ROUNDDOWN(Z319/2,0)*('Parametros'!$B$7+'Parametros'!$B$9+'Parametros'!$B$12/2+'Parametros'!$B$12+'Parametros'!$B$10))/Z319)</f>
        <v>489.35</v>
      </c>
      <c r="AC319" s="10">
        <f>Z319*'Parametros'!$B$8</f>
        <v>995</v>
      </c>
      <c r="AD319" s="10">
        <f>'Parametros'!$B$5*AC319*'Parametros'!$B$3*(AB319-(AC319*'Parametros'!$B$3/(0.85*'Parametros'!$B$2*H319))/2)/1000000</f>
        <v>177.445379382353</v>
      </c>
      <c r="AE319" s="10" t="str">
        <f>IF(AD319&gt;=L319,"CUMPLE","NO CUMPLE")</f>
        <v>CUMPLE</v>
      </c>
      <c r="AF319" s="10">
        <f>V319*1.25*'Parametros'!$B$3*(U319-(V319*1.25*'Parametros'!$B$3/(0.85*'Parametros'!$B$2*H319))/2)/1000000</f>
        <v>244.158843198529</v>
      </c>
      <c r="AG319" s="10">
        <f>AC319*1.25*'Parametros'!$B$3*(AB319-(AC319*1.25*'Parametros'!$B$3/(0.85*'Parametros'!$B$2*H319))/2)/1000000</f>
        <v>244.158843198529</v>
      </c>
      <c r="AH319" s="10">
        <f>N319+(AF319+AG319)/D319</f>
        <v>208.396848940311</v>
      </c>
      <c r="AI319" s="10">
        <f>MAX(O319,AH319)</f>
        <v>208.396848940311</v>
      </c>
      <c r="AJ319" s="10">
        <f>0.17*SQRT('Parametros'!$B$2)*H319*MIN(U319,AB319)/1000</f>
        <v>220.098728691808</v>
      </c>
      <c r="AK319" s="10">
        <f>MAX(AI319/'Parametros'!$B$6-AJ319,0)</f>
        <v>57.7637365619408</v>
      </c>
      <c r="AL319" s="10">
        <f>0.66*SQRT('Parametros'!$B$2)*H319*MIN(U319,AB319)/1000</f>
        <v>854.500946685842</v>
      </c>
      <c r="AM319" s="10" t="str">
        <f>IF(AK319&lt;=AL319,"CUMPLE","NO CUMPLE")</f>
        <v>CUMPLE</v>
      </c>
      <c r="AN319" s="17" t="inlineStr">
        <is>
          <t>Nº3 cerrado</t>
        </is>
      </c>
      <c r="AO319" s="31" t="n">
        <v>2</v>
      </c>
      <c r="AP319" s="10">
        <f>ROUNDDOWN(MIN(IF(BC319+BD319=0,1000000000,AO319*BB319/(BC319+BD319)),MIN(U319,AB319)/4,8*'Parametros'!$B$12,24*BA319,300,IF(AV319=0,1000000000,2*((H319-2*('Parametros'!$B$7+'Parametros'!$B$9/2))+(I319-2*('Parametros'!$B$7+'Parametros'!$B$9/2)))/8))/10,0)*10</f>
        <v>120</v>
      </c>
      <c r="AQ319" s="10">
        <f>ROUNDDOWN(MIN(IF(BC319+BD319=0,1000000000,AO319*BB319/(BC319+BD319)),IF(AK319&gt;0.33*SQRT('Parametros'!$B$2)*H319*MIN(U319,AB319)/1000,MIN(U319,AB319)/4,MIN(U319,AB319)/2),600,IF(AV319=0,1000000000,2*((H319-2*('Parametros'!$B$7+'Parametros'!$B$9/2))+(I319-2*('Parametros'!$B$7+'Parametros'!$B$9/2)))/8))/10,0)*10</f>
        <v>240</v>
      </c>
      <c r="AR319" s="10">
        <f>'Parametros'!$B$6*(AJ319+MAX(BE319-BD319,0)*'Parametros'!$B$4*MIN(U319,AB319)/1000)</f>
        <v>347.479259018856</v>
      </c>
      <c r="AS319" s="10" t="str">
        <f>IF(AND(ISERROR(SEARCH("referencia",AN319)),AM319="CUMPLE",AR319&gt;=AI319),"CUMPLE","NO CUMPLE")</f>
        <v>CUMPLE</v>
      </c>
      <c r="AT319" s="10">
        <f>'Parametros'!$B$6*0.083*SQRT('Parametros'!$B$2)*(H319*I319)^2/(2*(H319+I319))/1000000</f>
        <v>11.862178757599</v>
      </c>
      <c r="AU319" s="10" t="str">
        <f>IF(Q319&lt;=AT319,"DESPRECIABLE","DISEÑAR")</f>
        <v>DESPRECIABLE</v>
      </c>
      <c r="AV319" s="10">
        <f>IF(Q319&lt;=AT319,0,Q319*1000000/('Parametros'!$B$6*2*0.85*(H319-2*('Parametros'!$B$7+'Parametros'!$B$9/2))*(I319-2*('Parametros'!$B$7+'Parametros'!$B$9/2))*'Parametros'!$B$4))</f>
        <v>0</v>
      </c>
      <c r="AW319" s="10">
        <f>AV319*2*((H319-2*('Parametros'!$B$7+'Parametros'!$B$9/2))+(I319-2*('Parametros'!$B$7+'Parametros'!$B$9/2)))*'Parametros'!$B$4/'Parametros'!$B$3</f>
        <v>0</v>
      </c>
      <c r="AX319" s="31" t="n">
        <v>0</v>
      </c>
      <c r="AY319" s="10" t="str">
        <f>IF(AV319=0,"DESPRECIABLE",IF(AND(ISERROR(SEARCH("referencia",AN319)),BB319/AP319&gt;=AV319,BI319&gt;=AW319,BH319="CUMPLE"),"CUMPLE","NO CUMPLE"))</f>
        <v>DESPRECIABLE</v>
      </c>
      <c r="AZ319" s="10" t="str">
        <f>IF(AND(X319="CUMPLE",AE319="CUMPLE",AS319="CUMPLE",OR(AY319="CUMPLE",AY319="DESPRECIABLE"),BH319="CUMPLE",BJ319="CUMPLE"),"CUMPLE","NO CUMPLE")</f>
        <v>CUMPLE</v>
      </c>
      <c r="BA319" s="32" t="n">
        <v>9.5</v>
      </c>
      <c r="BB319" s="32" t="n">
        <v>71</v>
      </c>
      <c r="BC319" s="10">
        <f>MAX(IF(AK319=0,0,AK319*1000/('Parametros'!$B$4*MIN(U319,AB319))),MAX(0.062*SQRT('Parametros'!$B$2)*H319/'Parametros'!$B$4,0.35*H319/'Parametros'!$B$4))</f>
        <v>0.416666666666667</v>
      </c>
      <c r="BD319" s="10">
        <f>2*AV319</f>
        <v>0</v>
      </c>
      <c r="BE319" s="10">
        <f>AO319*BB319/AP319</f>
        <v>1.18333333333333</v>
      </c>
      <c r="BF319" s="10">
        <f>SQRT((AI319*1000/(H319*MIN(U319,AB319)))^2+(Q319*1000000*2*((H319-2*('Parametros'!$B$7+'Parametros'!$B$9/2))+(I319-2*('Parametros'!$B$7+'Parametros'!$B$9/2)))/(1.7*((H319-2*('Parametros'!$B$7+'Parametros'!$B$9/2))*(I319-2*('Parametros'!$B$7+'Parametros'!$B$9/2)))^2))^2)</f>
        <v>0.905532996495264</v>
      </c>
      <c r="BG319" s="10">
        <f>'Parametros'!$B$6*(AJ319*1000/(H319*MIN(U319,AB319))+0.66*SQRT('Parametros'!$B$2))</f>
        <v>3.29396038227542</v>
      </c>
      <c r="BH319" s="10" t="str">
        <f>IF(BF319&lt;=BG319,"CUMPLE","NO CUMPLE")</f>
        <v>CUMPLE</v>
      </c>
      <c r="BI319" s="10">
        <f>AX319*'Parametros'!$B$8</f>
        <v>0</v>
      </c>
      <c r="BJ319" s="10" t="str">
        <f>IF(BI319&gt;=AW319,"CUMPLE","NO CUMPLE")</f>
        <v>CUMPLE</v>
      </c>
    </row>
    <row r="320">
      <c r="A320" s="23" t="inlineStr">
        <is>
          <t>VR1</t>
        </is>
      </c>
      <c r="B320" s="23" t="inlineStr">
        <is>
          <t>997</t>
        </is>
      </c>
      <c r="C320" s="10" t="n">
        <v>1</v>
      </c>
      <c r="D320" s="10" t="n">
        <v>1.9</v>
      </c>
      <c r="E320" s="10" t="n">
        <v>1.9</v>
      </c>
      <c r="F320" s="10" t="n">
        <v>500</v>
      </c>
      <c r="G320" s="10" t="n">
        <v>550</v>
      </c>
      <c r="H320" s="17" t="n">
        <v>500</v>
      </c>
      <c r="I320" s="17" t="n">
        <v>550</v>
      </c>
      <c r="J320" s="30" t="n">
        <v>48.0437</v>
      </c>
      <c r="K320" s="10" t="inlineStr">
        <is>
          <t>997</t>
        </is>
      </c>
      <c r="L320" s="30" t="n">
        <v>17.5259</v>
      </c>
      <c r="M320" s="10" t="inlineStr">
        <is>
          <t>997</t>
        </is>
      </c>
      <c r="N320" s="30" t="n">
        <v>54.817</v>
      </c>
      <c r="O320" s="30" t="n">
        <v>121.139</v>
      </c>
      <c r="P320" s="10" t="inlineStr">
        <is>
          <t>997</t>
        </is>
      </c>
      <c r="Q320" s="30" t="n">
        <v>1.4555</v>
      </c>
      <c r="R320" s="10">
        <f>MAX(MAX(1.4/'Parametros'!$B$3,0.25*SQRT('Parametros'!$B$2)/'Parametros'!$B$3)*H320*U320,(0.85*'Parametros'!$B$2/'Parametros'!$B$3)*(1-SQRT(1-2*(J320*1000000/('Parametros'!$B$5*H320*U320^2))/(0.85*'Parametros'!$B$2)))*H320*U320)</f>
        <v>815.583333333333</v>
      </c>
      <c r="S320" s="31" t="n">
        <v>5</v>
      </c>
      <c r="T320" s="32" t="n">
        <v>1</v>
      </c>
      <c r="U320" s="10">
        <f>IF(T320=1,I320-('Parametros'!$B$7+'Parametros'!$B$9+'Parametros'!$B$12/2),I320-(ROUNDUP(S320/2,0)*('Parametros'!$B$7+'Parametros'!$B$9+'Parametros'!$B$12/2)+ROUNDDOWN(S320/2,0)*('Parametros'!$B$7+'Parametros'!$B$9+'Parametros'!$B$12/2+'Parametros'!$B$12+'Parametros'!$B$10))/S320)</f>
        <v>489.35</v>
      </c>
      <c r="V320" s="10">
        <f>S320*'Parametros'!$B$8</f>
        <v>995</v>
      </c>
      <c r="W320" s="10">
        <f>'Parametros'!$B$5*V320*'Parametros'!$B$3*(U320-(V320*'Parametros'!$B$3/(0.85*'Parametros'!$B$2*H320))/2)/1000000</f>
        <v>177.445379382353</v>
      </c>
      <c r="X320" s="10" t="str">
        <f>IF(W320&gt;=J320,"CUMPLE","NO CUMPLE")</f>
        <v>CUMPLE</v>
      </c>
      <c r="Y320" s="10">
        <f>MAX(MAX(1.4/'Parametros'!$B$3,0.25*SQRT('Parametros'!$B$2)/'Parametros'!$B$3)*H320*AB320,(0.85*'Parametros'!$B$2/'Parametros'!$B$3)*(1-SQRT(1-2*(L320*1000000/('Parametros'!$B$5*H320*AB320^2))/(0.85*'Parametros'!$B$2)))*H320*AB320)</f>
        <v>815.583333333333</v>
      </c>
      <c r="Z320" s="31" t="n">
        <v>5</v>
      </c>
      <c r="AA320" s="32" t="n">
        <v>1</v>
      </c>
      <c r="AB320" s="10">
        <f>IF(AA320=1,I320-('Parametros'!$B$7+'Parametros'!$B$9+'Parametros'!$B$12/2),I320-(ROUNDUP(Z320/2,0)*('Parametros'!$B$7+'Parametros'!$B$9+'Parametros'!$B$12/2)+ROUNDDOWN(Z320/2,0)*('Parametros'!$B$7+'Parametros'!$B$9+'Parametros'!$B$12/2+'Parametros'!$B$12+'Parametros'!$B$10))/Z320)</f>
        <v>489.35</v>
      </c>
      <c r="AC320" s="10">
        <f>Z320*'Parametros'!$B$8</f>
        <v>995</v>
      </c>
      <c r="AD320" s="10">
        <f>'Parametros'!$B$5*AC320*'Parametros'!$B$3*(AB320-(AC320*'Parametros'!$B$3/(0.85*'Parametros'!$B$2*H320))/2)/1000000</f>
        <v>177.445379382353</v>
      </c>
      <c r="AE320" s="10" t="str">
        <f>IF(AD320&gt;=L320,"CUMPLE","NO CUMPLE")</f>
        <v>CUMPLE</v>
      </c>
      <c r="AF320" s="10">
        <f>V320*1.25*'Parametros'!$B$3*(U320-(V320*1.25*'Parametros'!$B$3/(0.85*'Parametros'!$B$2*H320))/2)/1000000</f>
        <v>244.158843198529</v>
      </c>
      <c r="AG320" s="10">
        <f>AC320*1.25*'Parametros'!$B$3*(AB320-(AC320*1.25*'Parametros'!$B$3/(0.85*'Parametros'!$B$2*H320))/2)/1000000</f>
        <v>244.158843198529</v>
      </c>
      <c r="AH320" s="10">
        <f>N320+(AF320+AG320)/D320</f>
        <v>311.826308630031</v>
      </c>
      <c r="AI320" s="10">
        <f>MAX(O320,AH320)</f>
        <v>311.826308630031</v>
      </c>
      <c r="AJ320" s="10">
        <f>0.17*SQRT('Parametros'!$B$2)*H320*MIN(U320,AB320)/1000</f>
        <v>220.098728691808</v>
      </c>
      <c r="AK320" s="10">
        <f>MAX(AI320/'Parametros'!$B$6-AJ320,0)</f>
        <v>195.6696828149</v>
      </c>
      <c r="AL320" s="10">
        <f>0.66*SQRT('Parametros'!$B$2)*H320*MIN(U320,AB320)/1000</f>
        <v>854.500946685842</v>
      </c>
      <c r="AM320" s="10" t="str">
        <f>IF(AK320&lt;=AL320,"CUMPLE","NO CUMPLE")</f>
        <v>CUMPLE</v>
      </c>
      <c r="AN320" s="17" t="inlineStr">
        <is>
          <t>Nº3 cerrado</t>
        </is>
      </c>
      <c r="AO320" s="31" t="n">
        <v>2</v>
      </c>
      <c r="AP320" s="10">
        <f>ROUNDDOWN(MIN(IF(BC320+BD320=0,1000000000,AO320*BB320/(BC320+BD320)),MIN(U320,AB320)/4,8*'Parametros'!$B$12,24*BA320,300,IF(AV320=0,1000000000,2*((H320-2*('Parametros'!$B$7+'Parametros'!$B$9/2))+(I320-2*('Parametros'!$B$7+'Parametros'!$B$9/2)))/8))/10,0)*10</f>
        <v>120</v>
      </c>
      <c r="AQ320" s="10">
        <f>ROUNDDOWN(MIN(IF(BC320+BD320=0,1000000000,AO320*BB320/(BC320+BD320)),IF(AK320&gt;0.33*SQRT('Parametros'!$B$2)*H320*MIN(U320,AB320)/1000,MIN(U320,AB320)/4,MIN(U320,AB320)/2),600,IF(AV320=0,1000000000,2*((H320-2*('Parametros'!$B$7+'Parametros'!$B$9/2))+(I320-2*('Parametros'!$B$7+'Parametros'!$B$9/2)))/8))/10,0)*10</f>
        <v>140</v>
      </c>
      <c r="AR320" s="10">
        <f>'Parametros'!$B$6*(AJ320+MAX(BE320-BD320,0)*'Parametros'!$B$4*MIN(U320,AB320)/1000)</f>
        <v>347.479259018856</v>
      </c>
      <c r="AS320" s="10" t="str">
        <f>IF(AND(ISERROR(SEARCH("referencia",AN320)),AM320="CUMPLE",AR320&gt;=AI320),"CUMPLE","NO CUMPLE")</f>
        <v>CUMPLE</v>
      </c>
      <c r="AT320" s="10">
        <f>'Parametros'!$B$6*0.083*SQRT('Parametros'!$B$2)*(H320*I320)^2/(2*(H320+I320))/1000000</f>
        <v>11.862178757599</v>
      </c>
      <c r="AU320" s="10" t="str">
        <f>IF(Q320&lt;=AT320,"DESPRECIABLE","DISEÑAR")</f>
        <v>DESPRECIABLE</v>
      </c>
      <c r="AV320" s="10">
        <f>IF(Q320&lt;=AT320,0,Q320*1000000/('Parametros'!$B$6*2*0.85*(H320-2*('Parametros'!$B$7+'Parametros'!$B$9/2))*(I320-2*('Parametros'!$B$7+'Parametros'!$B$9/2))*'Parametros'!$B$4))</f>
        <v>0</v>
      </c>
      <c r="AW320" s="10">
        <f>AV320*2*((H320-2*('Parametros'!$B$7+'Parametros'!$B$9/2))+(I320-2*('Parametros'!$B$7+'Parametros'!$B$9/2)))*'Parametros'!$B$4/'Parametros'!$B$3</f>
        <v>0</v>
      </c>
      <c r="AX320" s="31" t="n">
        <v>0</v>
      </c>
      <c r="AY320" s="10" t="str">
        <f>IF(AV320=0,"DESPRECIABLE",IF(AND(ISERROR(SEARCH("referencia",AN320)),BB320/AP320&gt;=AV320,BI320&gt;=AW320,BH320="CUMPLE"),"CUMPLE","NO CUMPLE"))</f>
        <v>DESPRECIABLE</v>
      </c>
      <c r="AZ320" s="10" t="str">
        <f>IF(AND(X320="CUMPLE",AE320="CUMPLE",AS320="CUMPLE",OR(AY320="CUMPLE",AY320="DESPRECIABLE"),BH320="CUMPLE",BJ320="CUMPLE"),"CUMPLE","NO CUMPLE")</f>
        <v>CUMPLE</v>
      </c>
      <c r="BA320" s="32" t="n">
        <v>9.5</v>
      </c>
      <c r="BB320" s="32" t="n">
        <v>71</v>
      </c>
      <c r="BC320" s="10">
        <f>MAX(IF(AK320=0,0,AK320*1000/('Parametros'!$B$4*MIN(U320,AB320))),MAX(0.062*SQRT('Parametros'!$B$2)*H320/'Parametros'!$B$4,0.35*H320/'Parametros'!$B$4))</f>
        <v>0.952038821249277</v>
      </c>
      <c r="BD320" s="10">
        <f>2*AV320</f>
        <v>0</v>
      </c>
      <c r="BE320" s="10">
        <f>AO320*BB320/AP320</f>
        <v>1.18333333333333</v>
      </c>
      <c r="BF320" s="10">
        <f>SQRT((AI320*1000/(H320*MIN(U320,AB320)))^2+(Q320*1000000*2*((H320-2*('Parametros'!$B$7+'Parametros'!$B$9/2))+(I320-2*('Parametros'!$B$7+'Parametros'!$B$9/2)))/(1.7*((H320-2*('Parametros'!$B$7+'Parametros'!$B$9/2))*(I320-2*('Parametros'!$B$7+'Parametros'!$B$9/2)))^2))^2)</f>
        <v>1.27516534021773</v>
      </c>
      <c r="BG320" s="10">
        <f>'Parametros'!$B$6*(AJ320*1000/(H320*MIN(U320,AB320))+0.66*SQRT('Parametros'!$B$2))</f>
        <v>3.29396038227542</v>
      </c>
      <c r="BH320" s="10" t="str">
        <f>IF(BF320&lt;=BG320,"CUMPLE","NO CUMPLE")</f>
        <v>CUMPLE</v>
      </c>
      <c r="BI320" s="10">
        <f>AX320*'Parametros'!$B$8</f>
        <v>0</v>
      </c>
      <c r="BJ320" s="10" t="str">
        <f>IF(BI320&gt;=AW320,"CUMPLE","NO CUMPLE")</f>
        <v>CUMPLE</v>
      </c>
    </row>
    <row r="321">
      <c r="A321" s="23" t="inlineStr">
        <is>
          <t>VR1</t>
        </is>
      </c>
      <c r="B321" s="23" t="inlineStr">
        <is>
          <t>998</t>
        </is>
      </c>
      <c r="C321" s="10" t="n">
        <v>1</v>
      </c>
      <c r="D321" s="10" t="n">
        <v>2</v>
      </c>
      <c r="E321" s="10" t="n">
        <v>2</v>
      </c>
      <c r="F321" s="10" t="n">
        <v>500</v>
      </c>
      <c r="G321" s="10" t="n">
        <v>550</v>
      </c>
      <c r="H321" s="17" t="n">
        <v>500</v>
      </c>
      <c r="I321" s="17" t="n">
        <v>550</v>
      </c>
      <c r="J321" s="30" t="n">
        <v>43.986</v>
      </c>
      <c r="K321" s="10" t="inlineStr">
        <is>
          <t>998</t>
        </is>
      </c>
      <c r="L321" s="30" t="n">
        <v>11.9218</v>
      </c>
      <c r="M321" s="10" t="inlineStr">
        <is>
          <t>998</t>
        </is>
      </c>
      <c r="N321" s="30" t="n">
        <v>50.742</v>
      </c>
      <c r="O321" s="30" t="n">
        <v>107.68</v>
      </c>
      <c r="P321" s="10" t="inlineStr">
        <is>
          <t>998</t>
        </is>
      </c>
      <c r="Q321" s="30" t="n">
        <v>1.2317</v>
      </c>
      <c r="R321" s="10">
        <f>MAX(MAX(1.4/'Parametros'!$B$3,0.25*SQRT('Parametros'!$B$2)/'Parametros'!$B$3)*H321*U321,(0.85*'Parametros'!$B$2/'Parametros'!$B$3)*(1-SQRT(1-2*(J321*1000000/('Parametros'!$B$5*H321*U321^2))/(0.85*'Parametros'!$B$2)))*H321*U321)</f>
        <v>815.583333333333</v>
      </c>
      <c r="S321" s="31" t="n">
        <v>5</v>
      </c>
      <c r="T321" s="32" t="n">
        <v>1</v>
      </c>
      <c r="U321" s="10">
        <f>IF(T321=1,I321-('Parametros'!$B$7+'Parametros'!$B$9+'Parametros'!$B$12/2),I321-(ROUNDUP(S321/2,0)*('Parametros'!$B$7+'Parametros'!$B$9+'Parametros'!$B$12/2)+ROUNDDOWN(S321/2,0)*('Parametros'!$B$7+'Parametros'!$B$9+'Parametros'!$B$12/2+'Parametros'!$B$12+'Parametros'!$B$10))/S321)</f>
        <v>489.35</v>
      </c>
      <c r="V321" s="10">
        <f>S321*'Parametros'!$B$8</f>
        <v>995</v>
      </c>
      <c r="W321" s="10">
        <f>'Parametros'!$B$5*V321*'Parametros'!$B$3*(U321-(V321*'Parametros'!$B$3/(0.85*'Parametros'!$B$2*H321))/2)/1000000</f>
        <v>177.445379382353</v>
      </c>
      <c r="X321" s="10" t="str">
        <f>IF(W321&gt;=J321,"CUMPLE","NO CUMPLE")</f>
        <v>CUMPLE</v>
      </c>
      <c r="Y321" s="10">
        <f>MAX(MAX(1.4/'Parametros'!$B$3,0.25*SQRT('Parametros'!$B$2)/'Parametros'!$B$3)*H321*AB321,(0.85*'Parametros'!$B$2/'Parametros'!$B$3)*(1-SQRT(1-2*(L321*1000000/('Parametros'!$B$5*H321*AB321^2))/(0.85*'Parametros'!$B$2)))*H321*AB321)</f>
        <v>815.583333333333</v>
      </c>
      <c r="Z321" s="31" t="n">
        <v>5</v>
      </c>
      <c r="AA321" s="32" t="n">
        <v>1</v>
      </c>
      <c r="AB321" s="10">
        <f>IF(AA321=1,I321-('Parametros'!$B$7+'Parametros'!$B$9+'Parametros'!$B$12/2),I321-(ROUNDUP(Z321/2,0)*('Parametros'!$B$7+'Parametros'!$B$9+'Parametros'!$B$12/2)+ROUNDDOWN(Z321/2,0)*('Parametros'!$B$7+'Parametros'!$B$9+'Parametros'!$B$12/2+'Parametros'!$B$12+'Parametros'!$B$10))/Z321)</f>
        <v>489.35</v>
      </c>
      <c r="AC321" s="10">
        <f>Z321*'Parametros'!$B$8</f>
        <v>995</v>
      </c>
      <c r="AD321" s="10">
        <f>'Parametros'!$B$5*AC321*'Parametros'!$B$3*(AB321-(AC321*'Parametros'!$B$3/(0.85*'Parametros'!$B$2*H321))/2)/1000000</f>
        <v>177.445379382353</v>
      </c>
      <c r="AE321" s="10" t="str">
        <f>IF(AD321&gt;=L321,"CUMPLE","NO CUMPLE")</f>
        <v>CUMPLE</v>
      </c>
      <c r="AF321" s="10">
        <f>V321*1.25*'Parametros'!$B$3*(U321-(V321*1.25*'Parametros'!$B$3/(0.85*'Parametros'!$B$2*H321))/2)/1000000</f>
        <v>244.158843198529</v>
      </c>
      <c r="AG321" s="10">
        <f>AC321*1.25*'Parametros'!$B$3*(AB321-(AC321*1.25*'Parametros'!$B$3/(0.85*'Parametros'!$B$2*H321))/2)/1000000</f>
        <v>244.158843198529</v>
      </c>
      <c r="AH321" s="10">
        <f>N321+(AF321+AG321)/D321</f>
        <v>294.900843198529</v>
      </c>
      <c r="AI321" s="10">
        <f>MAX(O321,AH321)</f>
        <v>294.900843198529</v>
      </c>
      <c r="AJ321" s="10">
        <f>0.17*SQRT('Parametros'!$B$2)*H321*MIN(U321,AB321)/1000</f>
        <v>220.098728691808</v>
      </c>
      <c r="AK321" s="10">
        <f>MAX(AI321/'Parametros'!$B$6-AJ321,0)</f>
        <v>173.102395572898</v>
      </c>
      <c r="AL321" s="10">
        <f>0.66*SQRT('Parametros'!$B$2)*H321*MIN(U321,AB321)/1000</f>
        <v>854.500946685842</v>
      </c>
      <c r="AM321" s="10" t="str">
        <f>IF(AK321&lt;=AL321,"CUMPLE","NO CUMPLE")</f>
        <v>CUMPLE</v>
      </c>
      <c r="AN321" s="17" t="inlineStr">
        <is>
          <t>Nº3 cerrado</t>
        </is>
      </c>
      <c r="AO321" s="31" t="n">
        <v>2</v>
      </c>
      <c r="AP321" s="10">
        <f>ROUNDDOWN(MIN(IF(BC321+BD321=0,1000000000,AO321*BB321/(BC321+BD321)),MIN(U321,AB321)/4,8*'Parametros'!$B$12,24*BA321,300,IF(AV321=0,1000000000,2*((H321-2*('Parametros'!$B$7+'Parametros'!$B$9/2))+(I321-2*('Parametros'!$B$7+'Parametros'!$B$9/2)))/8))/10,0)*10</f>
        <v>120</v>
      </c>
      <c r="AQ321" s="10">
        <f>ROUNDDOWN(MIN(IF(BC321+BD321=0,1000000000,AO321*BB321/(BC321+BD321)),IF(AK321&gt;0.33*SQRT('Parametros'!$B$2)*H321*MIN(U321,AB321)/1000,MIN(U321,AB321)/4,MIN(U321,AB321)/2),600,IF(AV321=0,1000000000,2*((H321-2*('Parametros'!$B$7+'Parametros'!$B$9/2))+(I321-2*('Parametros'!$B$7+'Parametros'!$B$9/2)))/8))/10,0)*10</f>
        <v>160</v>
      </c>
      <c r="AR321" s="10">
        <f>'Parametros'!$B$6*(AJ321+MAX(BE321-BD321,0)*'Parametros'!$B$4*MIN(U321,AB321)/1000)</f>
        <v>347.479259018856</v>
      </c>
      <c r="AS321" s="10" t="str">
        <f>IF(AND(ISERROR(SEARCH("referencia",AN321)),AM321="CUMPLE",AR321&gt;=AI321),"CUMPLE","NO CUMPLE")</f>
        <v>CUMPLE</v>
      </c>
      <c r="AT321" s="10">
        <f>'Parametros'!$B$6*0.083*SQRT('Parametros'!$B$2)*(H321*I321)^2/(2*(H321+I321))/1000000</f>
        <v>11.862178757599</v>
      </c>
      <c r="AU321" s="10" t="str">
        <f>IF(Q321&lt;=AT321,"DESPRECIABLE","DISEÑAR")</f>
        <v>DESPRECIABLE</v>
      </c>
      <c r="AV321" s="10">
        <f>IF(Q321&lt;=AT321,0,Q321*1000000/('Parametros'!$B$6*2*0.85*(H321-2*('Parametros'!$B$7+'Parametros'!$B$9/2))*(I321-2*('Parametros'!$B$7+'Parametros'!$B$9/2))*'Parametros'!$B$4))</f>
        <v>0</v>
      </c>
      <c r="AW321" s="10">
        <f>AV321*2*((H321-2*('Parametros'!$B$7+'Parametros'!$B$9/2))+(I321-2*('Parametros'!$B$7+'Parametros'!$B$9/2)))*'Parametros'!$B$4/'Parametros'!$B$3</f>
        <v>0</v>
      </c>
      <c r="AX321" s="31" t="n">
        <v>0</v>
      </c>
      <c r="AY321" s="10" t="str">
        <f>IF(AV321=0,"DESPRECIABLE",IF(AND(ISERROR(SEARCH("referencia",AN321)),BB321/AP321&gt;=AV321,BI321&gt;=AW321,BH321="CUMPLE"),"CUMPLE","NO CUMPLE"))</f>
        <v>DESPRECIABLE</v>
      </c>
      <c r="AZ321" s="10" t="str">
        <f>IF(AND(X321="CUMPLE",AE321="CUMPLE",AS321="CUMPLE",OR(AY321="CUMPLE",AY321="DESPRECIABLE"),BH321="CUMPLE",BJ321="CUMPLE"),"CUMPLE","NO CUMPLE")</f>
        <v>CUMPLE</v>
      </c>
      <c r="BA321" s="32" t="n">
        <v>9.5</v>
      </c>
      <c r="BB321" s="32" t="n">
        <v>71</v>
      </c>
      <c r="BC321" s="10">
        <f>MAX(IF(AK321=0,0,AK321*1000/('Parametros'!$B$4*MIN(U321,AB321))),MAX(0.062*SQRT('Parametros'!$B$2)*H321/'Parametros'!$B$4,0.35*H321/'Parametros'!$B$4))</f>
        <v>0.84223676486738</v>
      </c>
      <c r="BD321" s="10">
        <f>2*AV321</f>
        <v>0</v>
      </c>
      <c r="BE321" s="10">
        <f>AO321*BB321/AP321</f>
        <v>1.18333333333333</v>
      </c>
      <c r="BF321" s="10">
        <f>SQRT((AI321*1000/(H321*MIN(U321,AB321)))^2+(Q321*1000000*2*((H321-2*('Parametros'!$B$7+'Parametros'!$B$9/2))+(I321-2*('Parametros'!$B$7+'Parametros'!$B$9/2)))/(1.7*((H321-2*('Parametros'!$B$7+'Parametros'!$B$9/2))*(I321-2*('Parametros'!$B$7+'Parametros'!$B$9/2)))^2))^2)</f>
        <v>1.20581665766092</v>
      </c>
      <c r="BG321" s="10">
        <f>'Parametros'!$B$6*(AJ321*1000/(H321*MIN(U321,AB321))+0.66*SQRT('Parametros'!$B$2))</f>
        <v>3.29396038227542</v>
      </c>
      <c r="BH321" s="10" t="str">
        <f>IF(BF321&lt;=BG321,"CUMPLE","NO CUMPLE")</f>
        <v>CUMPLE</v>
      </c>
      <c r="BI321" s="10">
        <f>AX321*'Parametros'!$B$8</f>
        <v>0</v>
      </c>
      <c r="BJ321" s="10" t="str">
        <f>IF(BI321&gt;=AW321,"CUMPLE","NO CUMPLE")</f>
        <v>CUMPLE</v>
      </c>
    </row>
    <row r="322">
      <c r="A322" s="23" t="inlineStr">
        <is>
          <t>VR1</t>
        </is>
      </c>
      <c r="B322" s="23" t="inlineStr">
        <is>
          <t>999</t>
        </is>
      </c>
      <c r="C322" s="10" t="n">
        <v>1</v>
      </c>
      <c r="D322" s="10" t="n">
        <v>3.05</v>
      </c>
      <c r="E322" s="10" t="n">
        <v>3.05</v>
      </c>
      <c r="F322" s="10" t="n">
        <v>500</v>
      </c>
      <c r="G322" s="10" t="n">
        <v>550</v>
      </c>
      <c r="H322" s="17" t="n">
        <v>500</v>
      </c>
      <c r="I322" s="17" t="n">
        <v>550</v>
      </c>
      <c r="J322" s="30" t="n">
        <v>63.5221</v>
      </c>
      <c r="K322" s="10" t="inlineStr">
        <is>
          <t>999</t>
        </is>
      </c>
      <c r="L322" s="30" t="n">
        <v>31.6591</v>
      </c>
      <c r="M322" s="10" t="inlineStr">
        <is>
          <t>999</t>
        </is>
      </c>
      <c r="N322" s="30" t="n">
        <v>66.274</v>
      </c>
      <c r="O322" s="30" t="n">
        <v>154.626</v>
      </c>
      <c r="P322" s="10" t="inlineStr">
        <is>
          <t>999</t>
        </is>
      </c>
      <c r="Q322" s="30" t="n">
        <v>1.5079</v>
      </c>
      <c r="R322" s="10">
        <f>MAX(MAX(1.4/'Parametros'!$B$3,0.25*SQRT('Parametros'!$B$2)/'Parametros'!$B$3)*H322*U322,(0.85*'Parametros'!$B$2/'Parametros'!$B$3)*(1-SQRT(1-2*(J322*1000000/('Parametros'!$B$5*H322*U322^2))/(0.85*'Parametros'!$B$2)))*H322*U322)</f>
        <v>815.583333333333</v>
      </c>
      <c r="S322" s="31" t="n">
        <v>5</v>
      </c>
      <c r="T322" s="32" t="n">
        <v>1</v>
      </c>
      <c r="U322" s="10">
        <f>IF(T322=1,I322-('Parametros'!$B$7+'Parametros'!$B$9+'Parametros'!$B$12/2),I322-(ROUNDUP(S322/2,0)*('Parametros'!$B$7+'Parametros'!$B$9+'Parametros'!$B$12/2)+ROUNDDOWN(S322/2,0)*('Parametros'!$B$7+'Parametros'!$B$9+'Parametros'!$B$12/2+'Parametros'!$B$12+'Parametros'!$B$10))/S322)</f>
        <v>489.35</v>
      </c>
      <c r="V322" s="10">
        <f>S322*'Parametros'!$B$8</f>
        <v>995</v>
      </c>
      <c r="W322" s="10">
        <f>'Parametros'!$B$5*V322*'Parametros'!$B$3*(U322-(V322*'Parametros'!$B$3/(0.85*'Parametros'!$B$2*H322))/2)/1000000</f>
        <v>177.445379382353</v>
      </c>
      <c r="X322" s="10" t="str">
        <f>IF(W322&gt;=J322,"CUMPLE","NO CUMPLE")</f>
        <v>CUMPLE</v>
      </c>
      <c r="Y322" s="10">
        <f>MAX(MAX(1.4/'Parametros'!$B$3,0.25*SQRT('Parametros'!$B$2)/'Parametros'!$B$3)*H322*AB322,(0.85*'Parametros'!$B$2/'Parametros'!$B$3)*(1-SQRT(1-2*(L322*1000000/('Parametros'!$B$5*H322*AB322^2))/(0.85*'Parametros'!$B$2)))*H322*AB322)</f>
        <v>815.583333333333</v>
      </c>
      <c r="Z322" s="31" t="n">
        <v>5</v>
      </c>
      <c r="AA322" s="32" t="n">
        <v>1</v>
      </c>
      <c r="AB322" s="10">
        <f>IF(AA322=1,I322-('Parametros'!$B$7+'Parametros'!$B$9+'Parametros'!$B$12/2),I322-(ROUNDUP(Z322/2,0)*('Parametros'!$B$7+'Parametros'!$B$9+'Parametros'!$B$12/2)+ROUNDDOWN(Z322/2,0)*('Parametros'!$B$7+'Parametros'!$B$9+'Parametros'!$B$12/2+'Parametros'!$B$12+'Parametros'!$B$10))/Z322)</f>
        <v>489.35</v>
      </c>
      <c r="AC322" s="10">
        <f>Z322*'Parametros'!$B$8</f>
        <v>995</v>
      </c>
      <c r="AD322" s="10">
        <f>'Parametros'!$B$5*AC322*'Parametros'!$B$3*(AB322-(AC322*'Parametros'!$B$3/(0.85*'Parametros'!$B$2*H322))/2)/1000000</f>
        <v>177.445379382353</v>
      </c>
      <c r="AE322" s="10" t="str">
        <f>IF(AD322&gt;=L322,"CUMPLE","NO CUMPLE")</f>
        <v>CUMPLE</v>
      </c>
      <c r="AF322" s="10">
        <f>V322*1.25*'Parametros'!$B$3*(U322-(V322*1.25*'Parametros'!$B$3/(0.85*'Parametros'!$B$2*H322))/2)/1000000</f>
        <v>244.158843198529</v>
      </c>
      <c r="AG322" s="10">
        <f>AC322*1.25*'Parametros'!$B$3*(AB322-(AC322*1.25*'Parametros'!$B$3/(0.85*'Parametros'!$B$2*H322))/2)/1000000</f>
        <v>244.158843198529</v>
      </c>
      <c r="AH322" s="10">
        <f>N322+(AF322+AG322)/D322</f>
        <v>226.378159474446</v>
      </c>
      <c r="AI322" s="10">
        <f>MAX(O322,AH322)</f>
        <v>226.378159474446</v>
      </c>
      <c r="AJ322" s="10">
        <f>0.17*SQRT('Parametros'!$B$2)*H322*MIN(U322,AB322)/1000</f>
        <v>220.098728691808</v>
      </c>
      <c r="AK322" s="10">
        <f>MAX(AI322/'Parametros'!$B$6-AJ322,0)</f>
        <v>81.7388172741196</v>
      </c>
      <c r="AL322" s="10">
        <f>0.66*SQRT('Parametros'!$B$2)*H322*MIN(U322,AB322)/1000</f>
        <v>854.500946685842</v>
      </c>
      <c r="AM322" s="10" t="str">
        <f>IF(AK322&lt;=AL322,"CUMPLE","NO CUMPLE")</f>
        <v>CUMPLE</v>
      </c>
      <c r="AN322" s="17" t="inlineStr">
        <is>
          <t>Nº3 cerrado</t>
        </is>
      </c>
      <c r="AO322" s="31" t="n">
        <v>2</v>
      </c>
      <c r="AP322" s="10">
        <f>ROUNDDOWN(MIN(IF(BC322+BD322=0,1000000000,AO322*BB322/(BC322+BD322)),MIN(U322,AB322)/4,8*'Parametros'!$B$12,24*BA322,300,IF(AV322=0,1000000000,2*((H322-2*('Parametros'!$B$7+'Parametros'!$B$9/2))+(I322-2*('Parametros'!$B$7+'Parametros'!$B$9/2)))/8))/10,0)*10</f>
        <v>120</v>
      </c>
      <c r="AQ322" s="10">
        <f>ROUNDDOWN(MIN(IF(BC322+BD322=0,1000000000,AO322*BB322/(BC322+BD322)),IF(AK322&gt;0.33*SQRT('Parametros'!$B$2)*H322*MIN(U322,AB322)/1000,MIN(U322,AB322)/4,MIN(U322,AB322)/2),600,IF(AV322=0,1000000000,2*((H322-2*('Parametros'!$B$7+'Parametros'!$B$9/2))+(I322-2*('Parametros'!$B$7+'Parametros'!$B$9/2)))/8))/10,0)*10</f>
        <v>240</v>
      </c>
      <c r="AR322" s="10">
        <f>'Parametros'!$B$6*(AJ322+MAX(BE322-BD322,0)*'Parametros'!$B$4*MIN(U322,AB322)/1000)</f>
        <v>347.479259018856</v>
      </c>
      <c r="AS322" s="10" t="str">
        <f>IF(AND(ISERROR(SEARCH("referencia",AN322)),AM322="CUMPLE",AR322&gt;=AI322),"CUMPLE","NO CUMPLE")</f>
        <v>CUMPLE</v>
      </c>
      <c r="AT322" s="10">
        <f>'Parametros'!$B$6*0.083*SQRT('Parametros'!$B$2)*(H322*I322)^2/(2*(H322+I322))/1000000</f>
        <v>11.862178757599</v>
      </c>
      <c r="AU322" s="10" t="str">
        <f>IF(Q322&lt;=AT322,"DESPRECIABLE","DISEÑAR")</f>
        <v>DESPRECIABLE</v>
      </c>
      <c r="AV322" s="10">
        <f>IF(Q322&lt;=AT322,0,Q322*1000000/('Parametros'!$B$6*2*0.85*(H322-2*('Parametros'!$B$7+'Parametros'!$B$9/2))*(I322-2*('Parametros'!$B$7+'Parametros'!$B$9/2))*'Parametros'!$B$4))</f>
        <v>0</v>
      </c>
      <c r="AW322" s="10">
        <f>AV322*2*((H322-2*('Parametros'!$B$7+'Parametros'!$B$9/2))+(I322-2*('Parametros'!$B$7+'Parametros'!$B$9/2)))*'Parametros'!$B$4/'Parametros'!$B$3</f>
        <v>0</v>
      </c>
      <c r="AX322" s="31" t="n">
        <v>0</v>
      </c>
      <c r="AY322" s="10" t="str">
        <f>IF(AV322=0,"DESPRECIABLE",IF(AND(ISERROR(SEARCH("referencia",AN322)),BB322/AP322&gt;=AV322,BI322&gt;=AW322,BH322="CUMPLE"),"CUMPLE","NO CUMPLE"))</f>
        <v>DESPRECIABLE</v>
      </c>
      <c r="AZ322" s="10" t="str">
        <f>IF(AND(X322="CUMPLE",AE322="CUMPLE",AS322="CUMPLE",OR(AY322="CUMPLE",AY322="DESPRECIABLE"),BH322="CUMPLE",BJ322="CUMPLE"),"CUMPLE","NO CUMPLE")</f>
        <v>CUMPLE</v>
      </c>
      <c r="BA322" s="32" t="n">
        <v>9.5</v>
      </c>
      <c r="BB322" s="32" t="n">
        <v>71</v>
      </c>
      <c r="BC322" s="10">
        <f>MAX(IF(AK322=0,0,AK322*1000/('Parametros'!$B$4*MIN(U322,AB322))),MAX(0.062*SQRT('Parametros'!$B$2)*H322/'Parametros'!$B$4,0.35*H322/'Parametros'!$B$4))</f>
        <v>0.416666666666667</v>
      </c>
      <c r="BD322" s="10">
        <f>2*AV322</f>
        <v>0</v>
      </c>
      <c r="BE322" s="10">
        <f>AO322*BB322/AP322</f>
        <v>1.18333333333333</v>
      </c>
      <c r="BF322" s="10">
        <f>SQRT((AI322*1000/(H322*MIN(U322,AB322)))^2+(Q322*1000000*2*((H322-2*('Parametros'!$B$7+'Parametros'!$B$9/2))+(I322-2*('Parametros'!$B$7+'Parametros'!$B$9/2)))/(1.7*((H322-2*('Parametros'!$B$7+'Parametros'!$B$9/2))*(I322-2*('Parametros'!$B$7+'Parametros'!$B$9/2)))^2))^2)</f>
        <v>0.926275549468328</v>
      </c>
      <c r="BG322" s="10">
        <f>'Parametros'!$B$6*(AJ322*1000/(H322*MIN(U322,AB322))+0.66*SQRT('Parametros'!$B$2))</f>
        <v>3.29396038227542</v>
      </c>
      <c r="BH322" s="10" t="str">
        <f>IF(BF322&lt;=BG322,"CUMPLE","NO CUMPLE")</f>
        <v>CUMPLE</v>
      </c>
      <c r="BI322" s="10">
        <f>AX322*'Parametros'!$B$8</f>
        <v>0</v>
      </c>
      <c r="BJ322" s="10" t="str">
        <f>IF(BI322&gt;=AW322,"CUMPLE","NO CUMPLE")</f>
        <v>CUMPLE</v>
      </c>
    </row>
    <row r="323">
      <c r="A323" s="23" t="inlineStr">
        <is>
          <t>VR1</t>
        </is>
      </c>
      <c r="B323" s="23" t="inlineStr">
        <is>
          <t>1000</t>
        </is>
      </c>
      <c r="C323" s="10" t="n">
        <v>1</v>
      </c>
      <c r="D323" s="10" t="n">
        <v>2</v>
      </c>
      <c r="E323" s="10" t="n">
        <v>2</v>
      </c>
      <c r="F323" s="10" t="n">
        <v>500</v>
      </c>
      <c r="G323" s="10" t="n">
        <v>550</v>
      </c>
      <c r="H323" s="17" t="n">
        <v>500</v>
      </c>
      <c r="I323" s="17" t="n">
        <v>550</v>
      </c>
      <c r="J323" s="30" t="n">
        <v>41.886</v>
      </c>
      <c r="K323" s="10" t="inlineStr">
        <is>
          <t>1000</t>
        </is>
      </c>
      <c r="L323" s="30" t="n">
        <v>16.3133</v>
      </c>
      <c r="M323" s="10" t="inlineStr">
        <is>
          <t>1000</t>
        </is>
      </c>
      <c r="N323" s="30" t="n">
        <v>53.253</v>
      </c>
      <c r="O323" s="30" t="n">
        <v>68.321</v>
      </c>
      <c r="P323" s="10" t="inlineStr">
        <is>
          <t>1000</t>
        </is>
      </c>
      <c r="Q323" s="30" t="n">
        <v>3.0962</v>
      </c>
      <c r="R323" s="10">
        <f>MAX(MAX(1.4/'Parametros'!$B$3,0.25*SQRT('Parametros'!$B$2)/'Parametros'!$B$3)*H323*U323,(0.85*'Parametros'!$B$2/'Parametros'!$B$3)*(1-SQRT(1-2*(J323*1000000/('Parametros'!$B$5*H323*U323^2))/(0.85*'Parametros'!$B$2)))*H323*U323)</f>
        <v>815.583333333333</v>
      </c>
      <c r="S323" s="31" t="n">
        <v>5</v>
      </c>
      <c r="T323" s="32" t="n">
        <v>1</v>
      </c>
      <c r="U323" s="10">
        <f>IF(T323=1,I323-('Parametros'!$B$7+'Parametros'!$B$9+'Parametros'!$B$12/2),I323-(ROUNDUP(S323/2,0)*('Parametros'!$B$7+'Parametros'!$B$9+'Parametros'!$B$12/2)+ROUNDDOWN(S323/2,0)*('Parametros'!$B$7+'Parametros'!$B$9+'Parametros'!$B$12/2+'Parametros'!$B$12+'Parametros'!$B$10))/S323)</f>
        <v>489.35</v>
      </c>
      <c r="V323" s="10">
        <f>S323*'Parametros'!$B$8</f>
        <v>995</v>
      </c>
      <c r="W323" s="10">
        <f>'Parametros'!$B$5*V323*'Parametros'!$B$3*(U323-(V323*'Parametros'!$B$3/(0.85*'Parametros'!$B$2*H323))/2)/1000000</f>
        <v>177.445379382353</v>
      </c>
      <c r="X323" s="10" t="str">
        <f>IF(W323&gt;=J323,"CUMPLE","NO CUMPLE")</f>
        <v>CUMPLE</v>
      </c>
      <c r="Y323" s="10">
        <f>MAX(MAX(1.4/'Parametros'!$B$3,0.25*SQRT('Parametros'!$B$2)/'Parametros'!$B$3)*H323*AB323,(0.85*'Parametros'!$B$2/'Parametros'!$B$3)*(1-SQRT(1-2*(L323*1000000/('Parametros'!$B$5*H323*AB323^2))/(0.85*'Parametros'!$B$2)))*H323*AB323)</f>
        <v>815.583333333333</v>
      </c>
      <c r="Z323" s="31" t="n">
        <v>5</v>
      </c>
      <c r="AA323" s="32" t="n">
        <v>1</v>
      </c>
      <c r="AB323" s="10">
        <f>IF(AA323=1,I323-('Parametros'!$B$7+'Parametros'!$B$9+'Parametros'!$B$12/2),I323-(ROUNDUP(Z323/2,0)*('Parametros'!$B$7+'Parametros'!$B$9+'Parametros'!$B$12/2)+ROUNDDOWN(Z323/2,0)*('Parametros'!$B$7+'Parametros'!$B$9+'Parametros'!$B$12/2+'Parametros'!$B$12+'Parametros'!$B$10))/Z323)</f>
        <v>489.35</v>
      </c>
      <c r="AC323" s="10">
        <f>Z323*'Parametros'!$B$8</f>
        <v>995</v>
      </c>
      <c r="AD323" s="10">
        <f>'Parametros'!$B$5*AC323*'Parametros'!$B$3*(AB323-(AC323*'Parametros'!$B$3/(0.85*'Parametros'!$B$2*H323))/2)/1000000</f>
        <v>177.445379382353</v>
      </c>
      <c r="AE323" s="10" t="str">
        <f>IF(AD323&gt;=L323,"CUMPLE","NO CUMPLE")</f>
        <v>CUMPLE</v>
      </c>
      <c r="AF323" s="10">
        <f>V323*1.25*'Parametros'!$B$3*(U323-(V323*1.25*'Parametros'!$B$3/(0.85*'Parametros'!$B$2*H323))/2)/1000000</f>
        <v>244.158843198529</v>
      </c>
      <c r="AG323" s="10">
        <f>AC323*1.25*'Parametros'!$B$3*(AB323-(AC323*1.25*'Parametros'!$B$3/(0.85*'Parametros'!$B$2*H323))/2)/1000000</f>
        <v>244.158843198529</v>
      </c>
      <c r="AH323" s="10">
        <f>N323+(AF323+AG323)/D323</f>
        <v>297.411843198529</v>
      </c>
      <c r="AI323" s="10">
        <f>MAX(O323,AH323)</f>
        <v>297.411843198529</v>
      </c>
      <c r="AJ323" s="10">
        <f>0.17*SQRT('Parametros'!$B$2)*H323*MIN(U323,AB323)/1000</f>
        <v>220.098728691808</v>
      </c>
      <c r="AK323" s="10">
        <f>MAX(AI323/'Parametros'!$B$6-AJ323,0)</f>
        <v>176.450395572898</v>
      </c>
      <c r="AL323" s="10">
        <f>0.66*SQRT('Parametros'!$B$2)*H323*MIN(U323,AB323)/1000</f>
        <v>854.500946685842</v>
      </c>
      <c r="AM323" s="10" t="str">
        <f>IF(AK323&lt;=AL323,"CUMPLE","NO CUMPLE")</f>
        <v>CUMPLE</v>
      </c>
      <c r="AN323" s="17" t="inlineStr">
        <is>
          <t>Nº3 cerrado</t>
        </is>
      </c>
      <c r="AO323" s="31" t="n">
        <v>2</v>
      </c>
      <c r="AP323" s="10">
        <f>ROUNDDOWN(MIN(IF(BC323+BD323=0,1000000000,AO323*BB323/(BC323+BD323)),MIN(U323,AB323)/4,8*'Parametros'!$B$12,24*BA323,300,IF(AV323=0,1000000000,2*((H323-2*('Parametros'!$B$7+'Parametros'!$B$9/2))+(I323-2*('Parametros'!$B$7+'Parametros'!$B$9/2)))/8))/10,0)*10</f>
        <v>120</v>
      </c>
      <c r="AQ323" s="10">
        <f>ROUNDDOWN(MIN(IF(BC323+BD323=0,1000000000,AO323*BB323/(BC323+BD323)),IF(AK323&gt;0.33*SQRT('Parametros'!$B$2)*H323*MIN(U323,AB323)/1000,MIN(U323,AB323)/4,MIN(U323,AB323)/2),600,IF(AV323=0,1000000000,2*((H323-2*('Parametros'!$B$7+'Parametros'!$B$9/2))+(I323-2*('Parametros'!$B$7+'Parametros'!$B$9/2)))/8))/10,0)*10</f>
        <v>160</v>
      </c>
      <c r="AR323" s="10">
        <f>'Parametros'!$B$6*(AJ323+MAX(BE323-BD323,0)*'Parametros'!$B$4*MIN(U323,AB323)/1000)</f>
        <v>347.479259018856</v>
      </c>
      <c r="AS323" s="10" t="str">
        <f>IF(AND(ISERROR(SEARCH("referencia",AN323)),AM323="CUMPLE",AR323&gt;=AI323),"CUMPLE","NO CUMPLE")</f>
        <v>CUMPLE</v>
      </c>
      <c r="AT323" s="10">
        <f>'Parametros'!$B$6*0.083*SQRT('Parametros'!$B$2)*(H323*I323)^2/(2*(H323+I323))/1000000</f>
        <v>11.862178757599</v>
      </c>
      <c r="AU323" s="10" t="str">
        <f>IF(Q323&lt;=AT323,"DESPRECIABLE","DISEÑAR")</f>
        <v>DESPRECIABLE</v>
      </c>
      <c r="AV323" s="10">
        <f>IF(Q323&lt;=AT323,0,Q323*1000000/('Parametros'!$B$6*2*0.85*(H323-2*('Parametros'!$B$7+'Parametros'!$B$9/2))*(I323-2*('Parametros'!$B$7+'Parametros'!$B$9/2))*'Parametros'!$B$4))</f>
        <v>0</v>
      </c>
      <c r="AW323" s="10">
        <f>AV323*2*((H323-2*('Parametros'!$B$7+'Parametros'!$B$9/2))+(I323-2*('Parametros'!$B$7+'Parametros'!$B$9/2)))*'Parametros'!$B$4/'Parametros'!$B$3</f>
        <v>0</v>
      </c>
      <c r="AX323" s="31" t="n">
        <v>0</v>
      </c>
      <c r="AY323" s="10" t="str">
        <f>IF(AV323=0,"DESPRECIABLE",IF(AND(ISERROR(SEARCH("referencia",AN323)),BB323/AP323&gt;=AV323,BI323&gt;=AW323,BH323="CUMPLE"),"CUMPLE","NO CUMPLE"))</f>
        <v>DESPRECIABLE</v>
      </c>
      <c r="AZ323" s="10" t="str">
        <f>IF(AND(X323="CUMPLE",AE323="CUMPLE",AS323="CUMPLE",OR(AY323="CUMPLE",AY323="DESPRECIABLE"),BH323="CUMPLE",BJ323="CUMPLE"),"CUMPLE","NO CUMPLE")</f>
        <v>CUMPLE</v>
      </c>
      <c r="BA323" s="32" t="n">
        <v>9.5</v>
      </c>
      <c r="BB323" s="32" t="n">
        <v>71</v>
      </c>
      <c r="BC323" s="10">
        <f>MAX(IF(AK323=0,0,AK323*1000/('Parametros'!$B$4*MIN(U323,AB323))),MAX(0.062*SQRT('Parametros'!$B$2)*H323/'Parametros'!$B$4,0.35*H323/'Parametros'!$B$4))</f>
        <v>0.858526595400595</v>
      </c>
      <c r="BD323" s="10">
        <f>2*AV323</f>
        <v>0</v>
      </c>
      <c r="BE323" s="10">
        <f>AO323*BB323/AP323</f>
        <v>1.18333333333333</v>
      </c>
      <c r="BF323" s="10">
        <f>SQRT((AI323*1000/(H323*MIN(U323,AB323)))^2+(Q323*1000000*2*((H323-2*('Parametros'!$B$7+'Parametros'!$B$9/2))+(I323-2*('Parametros'!$B$7+'Parametros'!$B$9/2)))/(1.7*((H323-2*('Parametros'!$B$7+'Parametros'!$B$9/2))*(I323-2*('Parametros'!$B$7+'Parametros'!$B$9/2)))^2))^2)</f>
        <v>1.21892354617382</v>
      </c>
      <c r="BG323" s="10">
        <f>'Parametros'!$B$6*(AJ323*1000/(H323*MIN(U323,AB323))+0.66*SQRT('Parametros'!$B$2))</f>
        <v>3.29396038227542</v>
      </c>
      <c r="BH323" s="10" t="str">
        <f>IF(BF323&lt;=BG323,"CUMPLE","NO CUMPLE")</f>
        <v>CUMPLE</v>
      </c>
      <c r="BI323" s="10">
        <f>AX323*'Parametros'!$B$8</f>
        <v>0</v>
      </c>
      <c r="BJ323" s="10" t="str">
        <f>IF(BI323&gt;=AW323,"CUMPLE","NO CUMPLE")</f>
        <v>CUMPLE</v>
      </c>
    </row>
    <row r="324">
      <c r="A324" s="24" t="inlineStr">
        <is>
          <t>VR N1</t>
        </is>
      </c>
      <c r="B324" s="24" t="inlineStr">
        <is>
          <t>1</t>
        </is>
      </c>
      <c r="C324" s="10" t="n">
        <v>1</v>
      </c>
      <c r="D324" s="10" t="n">
        <v>2</v>
      </c>
      <c r="E324" s="10" t="n">
        <v>2</v>
      </c>
      <c r="F324" s="10" t="n">
        <v>500</v>
      </c>
      <c r="G324" s="10" t="n">
        <v>550</v>
      </c>
      <c r="H324" s="17" t="n">
        <v>500</v>
      </c>
      <c r="I324" s="17" t="n">
        <v>550</v>
      </c>
      <c r="J324" s="30" t="n">
        <v>203.6755</v>
      </c>
      <c r="K324" s="10" t="inlineStr">
        <is>
          <t>1</t>
        </is>
      </c>
      <c r="L324" s="30" t="n">
        <v>164.9295</v>
      </c>
      <c r="M324" s="10" t="inlineStr">
        <is>
          <t>1</t>
        </is>
      </c>
      <c r="N324" s="30" t="n">
        <v>181.086</v>
      </c>
      <c r="O324" s="30" t="n">
        <v>703.232</v>
      </c>
      <c r="P324" s="10" t="inlineStr">
        <is>
          <t>1</t>
        </is>
      </c>
      <c r="Q324" s="30" t="n">
        <v>4.4013</v>
      </c>
      <c r="R324" s="10">
        <f>MAX(MAX(1.4/'Parametros'!$B$3,0.25*SQRT('Parametros'!$B$2)/'Parametros'!$B$3)*H324*U324,(0.85*'Parametros'!$B$2/'Parametros'!$B$3)*(1-SQRT(1-2*(J324*1000000/('Parametros'!$B$5*H324*U324^2))/(0.85*'Parametros'!$B$2)))*H324*U324)</f>
        <v>1148.68491445012</v>
      </c>
      <c r="S324" s="31" t="n">
        <v>6</v>
      </c>
      <c r="T324" s="32" t="n">
        <v>1</v>
      </c>
      <c r="U324" s="10">
        <f>IF(T324=1,I324-('Parametros'!$B$7+'Parametros'!$B$9+'Parametros'!$B$12/2),I324-(ROUNDUP(S324/2,0)*('Parametros'!$B$7+'Parametros'!$B$9+'Parametros'!$B$12/2)+ROUNDDOWN(S324/2,0)*('Parametros'!$B$7+'Parametros'!$B$9+'Parametros'!$B$12/2+'Parametros'!$B$12+'Parametros'!$B$10))/S324)</f>
        <v>489.35</v>
      </c>
      <c r="V324" s="10">
        <f>S324*'Parametros'!$B$8</f>
        <v>1194</v>
      </c>
      <c r="W324" s="10">
        <f>'Parametros'!$B$5*V324*'Parametros'!$B$3*(U324-(V324*'Parametros'!$B$3/(0.85*'Parametros'!$B$2*H324))/2)/1000000</f>
        <v>211.349483470588</v>
      </c>
      <c r="X324" s="10" t="str">
        <f>IF(W324&gt;=J324,"CUMPLE","NO CUMPLE")</f>
        <v>CUMPLE</v>
      </c>
      <c r="Y324" s="10">
        <f>MAX(MAX(1.4/'Parametros'!$B$3,0.25*SQRT('Parametros'!$B$2)/'Parametros'!$B$3)*H324*AB324,(0.85*'Parametros'!$B$2/'Parametros'!$B$3)*(1-SQRT(1-2*(L324*1000000/('Parametros'!$B$5*H324*AB324^2))/(0.85*'Parametros'!$B$2)))*H324*AB324)</f>
        <v>922.31131761773</v>
      </c>
      <c r="Z324" s="31" t="n">
        <v>5</v>
      </c>
      <c r="AA324" s="32" t="n">
        <v>1</v>
      </c>
      <c r="AB324" s="10">
        <f>IF(AA324=1,I324-('Parametros'!$B$7+'Parametros'!$B$9+'Parametros'!$B$12/2),I324-(ROUNDUP(Z324/2,0)*('Parametros'!$B$7+'Parametros'!$B$9+'Parametros'!$B$12/2)+ROUNDDOWN(Z324/2,0)*('Parametros'!$B$7+'Parametros'!$B$9+'Parametros'!$B$12/2+'Parametros'!$B$12+'Parametros'!$B$10))/Z324)</f>
        <v>489.35</v>
      </c>
      <c r="AC324" s="10">
        <f>Z324*'Parametros'!$B$8</f>
        <v>995</v>
      </c>
      <c r="AD324" s="10">
        <f>'Parametros'!$B$5*AC324*'Parametros'!$B$3*(AB324-(AC324*'Parametros'!$B$3/(0.85*'Parametros'!$B$2*H324))/2)/1000000</f>
        <v>177.445379382353</v>
      </c>
      <c r="AE324" s="10" t="str">
        <f>IF(AD324&gt;=L324,"CUMPLE","NO CUMPLE")</f>
        <v>CUMPLE</v>
      </c>
      <c r="AF324" s="10">
        <f>V324*1.25*'Parametros'!$B$3*(U324-(V324*1.25*'Parametros'!$B$3/(0.85*'Parametros'!$B$2*H324))/2)/1000000</f>
        <v>290.238924705882</v>
      </c>
      <c r="AG324" s="10">
        <f>AC324*1.25*'Parametros'!$B$3*(AB324-(AC324*1.25*'Parametros'!$B$3/(0.85*'Parametros'!$B$2*H324))/2)/1000000</f>
        <v>244.158843198529</v>
      </c>
      <c r="AH324" s="10">
        <f>N324+(AF324+AG324)/D324</f>
        <v>448.284883952206</v>
      </c>
      <c r="AI324" s="10">
        <f>MAX(O324,AH324)</f>
        <v>703.232</v>
      </c>
      <c r="AJ324" s="10">
        <f>0.17*SQRT('Parametros'!$B$2)*H324*MIN(U324,AB324)/1000</f>
        <v>220.098728691808</v>
      </c>
      <c r="AK324" s="10">
        <f>MAX(AI324/'Parametros'!$B$6-AJ324,0)</f>
        <v>717.543937974859</v>
      </c>
      <c r="AL324" s="10">
        <f>0.66*SQRT('Parametros'!$B$2)*H324*MIN(U324,AB324)/1000</f>
        <v>854.500946685842</v>
      </c>
      <c r="AM324" s="10" t="str">
        <f>IF(AK324&lt;=AL324,"CUMPLE","NO CUMPLE")</f>
        <v>CUMPLE</v>
      </c>
      <c r="AN324" s="17" t="inlineStr">
        <is>
          <t>Nº3 cerrado</t>
        </is>
      </c>
      <c r="AO324" s="31" t="n">
        <v>4</v>
      </c>
      <c r="AP324" s="10">
        <f>ROUNDDOWN(MIN(IF(BC324+BD324=0,1000000000,AO324*BB324/(BC324+BD324)),MIN(U324,AB324)/4,8*'Parametros'!$B$12,24*BA324,300,IF(AV324=0,1000000000,2*((H324-2*('Parametros'!$B$7+'Parametros'!$B$9/2))+(I324-2*('Parametros'!$B$7+'Parametros'!$B$9/2)))/8))/10,0)*10</f>
        <v>80</v>
      </c>
      <c r="AQ324" s="10">
        <f>ROUNDDOWN(MIN(IF(BC324+BD324=0,1000000000,AO324*BB324/(BC324+BD324)),IF(AK324&gt;0.33*SQRT('Parametros'!$B$2)*H324*MIN(U324,AB324)/1000,MIN(U324,AB324)/4,MIN(U324,AB324)/2),600,IF(AV324=0,1000000000,2*((H324-2*('Parametros'!$B$7+'Parametros'!$B$9/2))+(I324-2*('Parametros'!$B$7+'Parametros'!$B$9/2)))/8))/10,0)*10</f>
        <v>80</v>
      </c>
      <c r="AR324" s="10">
        <f>'Parametros'!$B$6*(AJ324+MAX(BE324-BD324,0)*'Parametros'!$B$4*MIN(U324,AB324)/1000)</f>
        <v>712.289684018856</v>
      </c>
      <c r="AS324" s="10" t="str">
        <f>IF(AND(ISERROR(SEARCH("referencia",AN324)),AM324="CUMPLE",AR324&gt;=AI324),"CUMPLE","NO CUMPLE")</f>
        <v>CUMPLE</v>
      </c>
      <c r="AT324" s="10">
        <f>'Parametros'!$B$6*0.083*SQRT('Parametros'!$B$2)*(H324*I324)^2/(2*(H324+I324))/1000000</f>
        <v>11.862178757599</v>
      </c>
      <c r="AU324" s="10" t="str">
        <f>IF(Q324&lt;=AT324,"DESPRECIABLE","DISEÑAR")</f>
        <v>DESPRECIABLE</v>
      </c>
      <c r="AV324" s="10">
        <f>IF(Q324&lt;=AT324,0,Q324*1000000/('Parametros'!$B$6*2*0.85*(H324-2*('Parametros'!$B$7+'Parametros'!$B$9/2))*(I324-2*('Parametros'!$B$7+'Parametros'!$B$9/2))*'Parametros'!$B$4))</f>
        <v>0</v>
      </c>
      <c r="AW324" s="10">
        <f>AV324*2*((H324-2*('Parametros'!$B$7+'Parametros'!$B$9/2))+(I324-2*('Parametros'!$B$7+'Parametros'!$B$9/2)))*'Parametros'!$B$4/'Parametros'!$B$3</f>
        <v>0</v>
      </c>
      <c r="AX324" s="31" t="n">
        <v>0</v>
      </c>
      <c r="AY324" s="10" t="str">
        <f>IF(AV324=0,"DESPRECIABLE",IF(AND(ISERROR(SEARCH("referencia",AN324)),BB324/AP324&gt;=AV324,BI324&gt;=AW324,BH324="CUMPLE"),"CUMPLE","NO CUMPLE"))</f>
        <v>DESPRECIABLE</v>
      </c>
      <c r="AZ324" s="10" t="str">
        <f>IF(AND(X324="CUMPLE",AE324="CUMPLE",AS324="CUMPLE",OR(AY324="CUMPLE",AY324="DESPRECIABLE"),BH324="CUMPLE",BJ324="CUMPLE"),"CUMPLE","NO CUMPLE")</f>
        <v>CUMPLE</v>
      </c>
      <c r="BA324" s="32" t="n">
        <v>9.5</v>
      </c>
      <c r="BB324" s="32" t="n">
        <v>71</v>
      </c>
      <c r="BC324" s="10">
        <f>MAX(IF(AK324=0,0,AK324*1000/('Parametros'!$B$4*MIN(U324,AB324))),MAX(0.062*SQRT('Parametros'!$B$2)*H324/'Parametros'!$B$4,0.35*H324/'Parametros'!$B$4))</f>
        <v>3.4912392920388</v>
      </c>
      <c r="BD324" s="10">
        <f>2*AV324</f>
        <v>0</v>
      </c>
      <c r="BE324" s="10">
        <f>AO324*BB324/AP324</f>
        <v>3.55</v>
      </c>
      <c r="BF324" s="10">
        <f>SQRT((AI324*1000/(H324*MIN(U324,AB324)))^2+(Q324*1000000*2*((H324-2*('Parametros'!$B$7+'Parametros'!$B$9/2))+(I324-2*('Parametros'!$B$7+'Parametros'!$B$9/2)))/(1.7*((H324-2*('Parametros'!$B$7+'Parametros'!$B$9/2))*(I324-2*('Parametros'!$B$7+'Parametros'!$B$9/2)))^2))^2)</f>
        <v>2.87704291034664</v>
      </c>
      <c r="BG324" s="10">
        <f>'Parametros'!$B$6*(AJ324*1000/(H324*MIN(U324,AB324))+0.66*SQRT('Parametros'!$B$2))</f>
        <v>3.29396038227542</v>
      </c>
      <c r="BH324" s="10" t="str">
        <f>IF(BF324&lt;=BG324,"CUMPLE","NO CUMPLE")</f>
        <v>CUMPLE</v>
      </c>
      <c r="BI324" s="10">
        <f>AX324*'Parametros'!$B$8</f>
        <v>0</v>
      </c>
      <c r="BJ324" s="10" t="str">
        <f>IF(BI324&gt;=AW324,"CUMPLE","NO CUMPLE")</f>
        <v>CUMPLE</v>
      </c>
    </row>
    <row r="325">
      <c r="A325" s="24" t="inlineStr">
        <is>
          <t>VR N1</t>
        </is>
      </c>
      <c r="B325" s="24" t="inlineStr">
        <is>
          <t>2</t>
        </is>
      </c>
      <c r="C325" s="10" t="n">
        <v>1</v>
      </c>
      <c r="D325" s="10" t="n">
        <v>3.05</v>
      </c>
      <c r="E325" s="10" t="n">
        <v>3.05</v>
      </c>
      <c r="F325" s="10" t="n">
        <v>500</v>
      </c>
      <c r="G325" s="10" t="n">
        <v>550</v>
      </c>
      <c r="H325" s="17" t="n">
        <v>500</v>
      </c>
      <c r="I325" s="17" t="n">
        <v>550</v>
      </c>
      <c r="J325" s="30" t="n">
        <v>177.8172</v>
      </c>
      <c r="K325" s="10" t="inlineStr">
        <is>
          <t>2</t>
        </is>
      </c>
      <c r="L325" s="30" t="n">
        <v>119.1067</v>
      </c>
      <c r="M325" s="10" t="inlineStr">
        <is>
          <t>2</t>
        </is>
      </c>
      <c r="N325" s="30" t="n">
        <v>142.305</v>
      </c>
      <c r="O325" s="30" t="n">
        <v>447.749</v>
      </c>
      <c r="P325" s="10" t="inlineStr">
        <is>
          <t>2</t>
        </is>
      </c>
      <c r="Q325" s="30" t="n">
        <v>6.4505</v>
      </c>
      <c r="R325" s="10">
        <f>MAX(MAX(1.4/'Parametros'!$B$3,0.25*SQRT('Parametros'!$B$2)/'Parametros'!$B$3)*H325*U325,(0.85*'Parametros'!$B$2/'Parametros'!$B$3)*(1-SQRT(1-2*(J325*1000000/('Parametros'!$B$5*H325*U325^2))/(0.85*'Parametros'!$B$2)))*H325*U325)</f>
        <v>997.165709226138</v>
      </c>
      <c r="S325" s="31" t="n">
        <v>6</v>
      </c>
      <c r="T325" s="32" t="n">
        <v>1</v>
      </c>
      <c r="U325" s="10">
        <f>IF(T325=1,I325-('Parametros'!$B$7+'Parametros'!$B$9+'Parametros'!$B$12/2),I325-(ROUNDUP(S325/2,0)*('Parametros'!$B$7+'Parametros'!$B$9+'Parametros'!$B$12/2)+ROUNDDOWN(S325/2,0)*('Parametros'!$B$7+'Parametros'!$B$9+'Parametros'!$B$12/2+'Parametros'!$B$12+'Parametros'!$B$10))/S325)</f>
        <v>489.35</v>
      </c>
      <c r="V325" s="10">
        <f>S325*'Parametros'!$B$8</f>
        <v>1194</v>
      </c>
      <c r="W325" s="10">
        <f>'Parametros'!$B$5*V325*'Parametros'!$B$3*(U325-(V325*'Parametros'!$B$3/(0.85*'Parametros'!$B$2*H325))/2)/1000000</f>
        <v>211.349483470588</v>
      </c>
      <c r="X325" s="10" t="str">
        <f>IF(W325&gt;=J325,"CUMPLE","NO CUMPLE")</f>
        <v>CUMPLE</v>
      </c>
      <c r="Y325" s="10">
        <f>MAX(MAX(1.4/'Parametros'!$B$3,0.25*SQRT('Parametros'!$B$2)/'Parametros'!$B$3)*H325*AB325,(0.85*'Parametros'!$B$2/'Parametros'!$B$3)*(1-SQRT(1-2*(L325*1000000/('Parametros'!$B$5*H325*AB325^2))/(0.85*'Parametros'!$B$2)))*H325*AB325)</f>
        <v>815.583333333333</v>
      </c>
      <c r="Z325" s="31" t="n">
        <v>5</v>
      </c>
      <c r="AA325" s="32" t="n">
        <v>1</v>
      </c>
      <c r="AB325" s="10">
        <f>IF(AA325=1,I325-('Parametros'!$B$7+'Parametros'!$B$9+'Parametros'!$B$12/2),I325-(ROUNDUP(Z325/2,0)*('Parametros'!$B$7+'Parametros'!$B$9+'Parametros'!$B$12/2)+ROUNDDOWN(Z325/2,0)*('Parametros'!$B$7+'Parametros'!$B$9+'Parametros'!$B$12/2+'Parametros'!$B$12+'Parametros'!$B$10))/Z325)</f>
        <v>489.35</v>
      </c>
      <c r="AC325" s="10">
        <f>Z325*'Parametros'!$B$8</f>
        <v>995</v>
      </c>
      <c r="AD325" s="10">
        <f>'Parametros'!$B$5*AC325*'Parametros'!$B$3*(AB325-(AC325*'Parametros'!$B$3/(0.85*'Parametros'!$B$2*H325))/2)/1000000</f>
        <v>177.445379382353</v>
      </c>
      <c r="AE325" s="10" t="str">
        <f>IF(AD325&gt;=L325,"CUMPLE","NO CUMPLE")</f>
        <v>CUMPLE</v>
      </c>
      <c r="AF325" s="10">
        <f>V325*1.25*'Parametros'!$B$3*(U325-(V325*1.25*'Parametros'!$B$3/(0.85*'Parametros'!$B$2*H325))/2)/1000000</f>
        <v>290.238924705882</v>
      </c>
      <c r="AG325" s="10">
        <f>AC325*1.25*'Parametros'!$B$3*(AB325-(AC325*1.25*'Parametros'!$B$3/(0.85*'Parametros'!$B$2*H325))/2)/1000000</f>
        <v>244.158843198529</v>
      </c>
      <c r="AH325" s="10">
        <f>N325+(AF325+AG325)/D325</f>
        <v>317.517382919479</v>
      </c>
      <c r="AI325" s="10">
        <f>MAX(O325,AH325)</f>
        <v>447.749</v>
      </c>
      <c r="AJ325" s="10">
        <f>0.17*SQRT('Parametros'!$B$2)*H325*MIN(U325,AB325)/1000</f>
        <v>220.098728691808</v>
      </c>
      <c r="AK325" s="10">
        <f>MAX(AI325/'Parametros'!$B$6-AJ325,0)</f>
        <v>376.899937974859</v>
      </c>
      <c r="AL325" s="10">
        <f>0.66*SQRT('Parametros'!$B$2)*H325*MIN(U325,AB325)/1000</f>
        <v>854.500946685842</v>
      </c>
      <c r="AM325" s="10" t="str">
        <f>IF(AK325&lt;=AL325,"CUMPLE","NO CUMPLE")</f>
        <v>CUMPLE</v>
      </c>
      <c r="AN325" s="17" t="inlineStr">
        <is>
          <t>Nº4 cerrado</t>
        </is>
      </c>
      <c r="AO325" s="31" t="n">
        <v>2</v>
      </c>
      <c r="AP325" s="10">
        <f>ROUNDDOWN(MIN(IF(BC325+BD325=0,1000000000,AO325*BB325/(BC325+BD325)),MIN(U325,AB325)/4,8*'Parametros'!$B$12,24*BA325,300,IF(AV325=0,1000000000,2*((H325-2*('Parametros'!$B$7+'Parametros'!$B$9/2))+(I325-2*('Parametros'!$B$7+'Parametros'!$B$9/2)))/8))/10,0)*10</f>
        <v>120</v>
      </c>
      <c r="AQ325" s="10">
        <f>ROUNDDOWN(MIN(IF(BC325+BD325=0,1000000000,AO325*BB325/(BC325+BD325)),IF(AK325&gt;0.33*SQRT('Parametros'!$B$2)*H325*MIN(U325,AB325)/1000,MIN(U325,AB325)/4,MIN(U325,AB325)/2),600,IF(AV325=0,1000000000,2*((H325-2*('Parametros'!$B$7+'Parametros'!$B$9/2))+(I325-2*('Parametros'!$B$7+'Parametros'!$B$9/2)))/8))/10,0)*10</f>
        <v>140</v>
      </c>
      <c r="AR325" s="10">
        <f>'Parametros'!$B$6*(AJ325+MAX(BE325-BD325,0)*'Parametros'!$B$4*MIN(U325,AB325)/1000)</f>
        <v>496.486334018856</v>
      </c>
      <c r="AS325" s="10" t="str">
        <f>IF(AND(ISERROR(SEARCH("referencia",AN325)),AM325="CUMPLE",AR325&gt;=AI325),"CUMPLE","NO CUMPLE")</f>
        <v>CUMPLE</v>
      </c>
      <c r="AT325" s="10">
        <f>'Parametros'!$B$6*0.083*SQRT('Parametros'!$B$2)*(H325*I325)^2/(2*(H325+I325))/1000000</f>
        <v>11.862178757599</v>
      </c>
      <c r="AU325" s="10" t="str">
        <f>IF(Q325&lt;=AT325,"DESPRECIABLE","DISEÑAR")</f>
        <v>DESPRECIABLE</v>
      </c>
      <c r="AV325" s="10">
        <f>IF(Q325&lt;=AT325,0,Q325*1000000/('Parametros'!$B$6*2*0.85*(H325-2*('Parametros'!$B$7+'Parametros'!$B$9/2))*(I325-2*('Parametros'!$B$7+'Parametros'!$B$9/2))*'Parametros'!$B$4))</f>
        <v>0</v>
      </c>
      <c r="AW325" s="10">
        <f>AV325*2*((H325-2*('Parametros'!$B$7+'Parametros'!$B$9/2))+(I325-2*('Parametros'!$B$7+'Parametros'!$B$9/2)))*'Parametros'!$B$4/'Parametros'!$B$3</f>
        <v>0</v>
      </c>
      <c r="AX325" s="31" t="n">
        <v>0</v>
      </c>
      <c r="AY325" s="10" t="str">
        <f>IF(AV325=0,"DESPRECIABLE",IF(AND(ISERROR(SEARCH("referencia",AN325)),BB325/AP325&gt;=AV325,BI325&gt;=AW325,BH325="CUMPLE"),"CUMPLE","NO CUMPLE"))</f>
        <v>DESPRECIABLE</v>
      </c>
      <c r="AZ325" s="10" t="str">
        <f>IF(AND(X325="CUMPLE",AE325="CUMPLE",AS325="CUMPLE",OR(AY325="CUMPLE",AY325="DESPRECIABLE"),BH325="CUMPLE",BJ325="CUMPLE"),"CUMPLE","NO CUMPLE")</f>
        <v>CUMPLE</v>
      </c>
      <c r="BA325" s="32" t="n">
        <v>12.7</v>
      </c>
      <c r="BB325" s="32" t="n">
        <v>129</v>
      </c>
      <c r="BC325" s="10">
        <f>MAX(IF(AK325=0,0,AK325*1000/('Parametros'!$B$4*MIN(U325,AB325))),MAX(0.062*SQRT('Parametros'!$B$2)*H325/'Parametros'!$B$4,0.35*H325/'Parametros'!$B$4))</f>
        <v>1.83382201839592</v>
      </c>
      <c r="BD325" s="10">
        <f>2*AV325</f>
        <v>0</v>
      </c>
      <c r="BE325" s="10">
        <f>AO325*BB325/AP325</f>
        <v>2.15</v>
      </c>
      <c r="BF325" s="10">
        <f>SQRT((AI325*1000/(H325*MIN(U325,AB325)))^2+(Q325*1000000*2*((H325-2*('Parametros'!$B$7+'Parametros'!$B$9/2))+(I325-2*('Parametros'!$B$7+'Parametros'!$B$9/2)))/(1.7*((H325-2*('Parametros'!$B$7+'Parametros'!$B$9/2))*(I325-2*('Parametros'!$B$7+'Parametros'!$B$9/2)))^2))^2)</f>
        <v>1.83972181137514</v>
      </c>
      <c r="BG325" s="10">
        <f>'Parametros'!$B$6*(AJ325*1000/(H325*MIN(U325,AB325))+0.66*SQRT('Parametros'!$B$2))</f>
        <v>3.29396038227542</v>
      </c>
      <c r="BH325" s="10" t="str">
        <f>IF(BF325&lt;=BG325,"CUMPLE","NO CUMPLE")</f>
        <v>CUMPLE</v>
      </c>
      <c r="BI325" s="10">
        <f>AX325*'Parametros'!$B$8</f>
        <v>0</v>
      </c>
      <c r="BJ325" s="10" t="str">
        <f>IF(BI325&gt;=AW325,"CUMPLE","NO CUMPLE")</f>
        <v>CUMPLE</v>
      </c>
    </row>
    <row r="326">
      <c r="A326" s="24" t="inlineStr">
        <is>
          <t>VR N1</t>
        </is>
      </c>
      <c r="B326" s="24" t="inlineStr">
        <is>
          <t>3</t>
        </is>
      </c>
      <c r="C326" s="10" t="n">
        <v>1</v>
      </c>
      <c r="D326" s="10" t="n">
        <v>2</v>
      </c>
      <c r="E326" s="10" t="n">
        <v>2</v>
      </c>
      <c r="F326" s="10" t="n">
        <v>500</v>
      </c>
      <c r="G326" s="10" t="n">
        <v>550</v>
      </c>
      <c r="H326" s="17" t="n">
        <v>500</v>
      </c>
      <c r="I326" s="17" t="n">
        <v>550</v>
      </c>
      <c r="J326" s="30" t="n">
        <v>175.8295</v>
      </c>
      <c r="K326" s="10" t="inlineStr">
        <is>
          <t>3</t>
        </is>
      </c>
      <c r="L326" s="30" t="n">
        <v>143.3405</v>
      </c>
      <c r="M326" s="10" t="inlineStr">
        <is>
          <t>3</t>
        </is>
      </c>
      <c r="N326" s="30" t="n">
        <v>164.794</v>
      </c>
      <c r="O326" s="30" t="n">
        <v>634.627</v>
      </c>
      <c r="P326" s="10" t="inlineStr">
        <is>
          <t>3</t>
        </is>
      </c>
      <c r="Q326" s="30" t="n">
        <v>10.9365</v>
      </c>
      <c r="R326" s="10">
        <f>MAX(MAX(1.4/'Parametros'!$B$3,0.25*SQRT('Parametros'!$B$2)/'Parametros'!$B$3)*H326*U326,(0.85*'Parametros'!$B$2/'Parametros'!$B$3)*(1-SQRT(1-2*(J326*1000000/('Parametros'!$B$5*H326*U326^2))/(0.85*'Parametros'!$B$2)))*H326*U326)</f>
        <v>985.592366823731</v>
      </c>
      <c r="S326" s="31" t="n">
        <v>5</v>
      </c>
      <c r="T326" s="32" t="n">
        <v>1</v>
      </c>
      <c r="U326" s="10">
        <f>IF(T326=1,I326-('Parametros'!$B$7+'Parametros'!$B$9+'Parametros'!$B$12/2),I326-(ROUNDUP(S326/2,0)*('Parametros'!$B$7+'Parametros'!$B$9+'Parametros'!$B$12/2)+ROUNDDOWN(S326/2,0)*('Parametros'!$B$7+'Parametros'!$B$9+'Parametros'!$B$12/2+'Parametros'!$B$12+'Parametros'!$B$10))/S326)</f>
        <v>489.35</v>
      </c>
      <c r="V326" s="10">
        <f>S326*'Parametros'!$B$8</f>
        <v>995</v>
      </c>
      <c r="W326" s="10">
        <f>'Parametros'!$B$5*V326*'Parametros'!$B$3*(U326-(V326*'Parametros'!$B$3/(0.85*'Parametros'!$B$2*H326))/2)/1000000</f>
        <v>177.445379382353</v>
      </c>
      <c r="X326" s="10" t="str">
        <f>IF(W326&gt;=J326,"CUMPLE","NO CUMPLE")</f>
        <v>CUMPLE</v>
      </c>
      <c r="Y326" s="10">
        <f>MAX(MAX(1.4/'Parametros'!$B$3,0.25*SQRT('Parametros'!$B$2)/'Parametros'!$B$3)*H326*AB326,(0.85*'Parametros'!$B$2/'Parametros'!$B$3)*(1-SQRT(1-2*(L326*1000000/('Parametros'!$B$5*H326*AB326^2))/(0.85*'Parametros'!$B$2)))*H326*AB326)</f>
        <v>815.583333333333</v>
      </c>
      <c r="Z326" s="31" t="n">
        <v>5</v>
      </c>
      <c r="AA326" s="32" t="n">
        <v>1</v>
      </c>
      <c r="AB326" s="10">
        <f>IF(AA326=1,I326-('Parametros'!$B$7+'Parametros'!$B$9+'Parametros'!$B$12/2),I326-(ROUNDUP(Z326/2,0)*('Parametros'!$B$7+'Parametros'!$B$9+'Parametros'!$B$12/2)+ROUNDDOWN(Z326/2,0)*('Parametros'!$B$7+'Parametros'!$B$9+'Parametros'!$B$12/2+'Parametros'!$B$12+'Parametros'!$B$10))/Z326)</f>
        <v>489.35</v>
      </c>
      <c r="AC326" s="10">
        <f>Z326*'Parametros'!$B$8</f>
        <v>995</v>
      </c>
      <c r="AD326" s="10">
        <f>'Parametros'!$B$5*AC326*'Parametros'!$B$3*(AB326-(AC326*'Parametros'!$B$3/(0.85*'Parametros'!$B$2*H326))/2)/1000000</f>
        <v>177.445379382353</v>
      </c>
      <c r="AE326" s="10" t="str">
        <f>IF(AD326&gt;=L326,"CUMPLE","NO CUMPLE")</f>
        <v>CUMPLE</v>
      </c>
      <c r="AF326" s="10">
        <f>V326*1.25*'Parametros'!$B$3*(U326-(V326*1.25*'Parametros'!$B$3/(0.85*'Parametros'!$B$2*H326))/2)/1000000</f>
        <v>244.158843198529</v>
      </c>
      <c r="AG326" s="10">
        <f>AC326*1.25*'Parametros'!$B$3*(AB326-(AC326*1.25*'Parametros'!$B$3/(0.85*'Parametros'!$B$2*H326))/2)/1000000</f>
        <v>244.158843198529</v>
      </c>
      <c r="AH326" s="10">
        <f>N326+(AF326+AG326)/D326</f>
        <v>408.952843198529</v>
      </c>
      <c r="AI326" s="10">
        <f>MAX(O326,AH326)</f>
        <v>634.627</v>
      </c>
      <c r="AJ326" s="10">
        <f>0.17*SQRT('Parametros'!$B$2)*H326*MIN(U326,AB326)/1000</f>
        <v>220.098728691808</v>
      </c>
      <c r="AK326" s="10">
        <f>MAX(AI326/'Parametros'!$B$6-AJ326,0)</f>
        <v>626.070604641526</v>
      </c>
      <c r="AL326" s="10">
        <f>0.66*SQRT('Parametros'!$B$2)*H326*MIN(U326,AB326)/1000</f>
        <v>854.500946685842</v>
      </c>
      <c r="AM326" s="10" t="str">
        <f>IF(AK326&lt;=AL326,"CUMPLE","NO CUMPLE")</f>
        <v>CUMPLE</v>
      </c>
      <c r="AN326" s="17" t="inlineStr">
        <is>
          <t>Nº4 cerrado</t>
        </is>
      </c>
      <c r="AO326" s="31" t="n">
        <v>2</v>
      </c>
      <c r="AP326" s="10">
        <f>ROUNDDOWN(MIN(IF(BC326+BD326=0,1000000000,AO326*BB326/(BC326+BD326)),MIN(U326,AB326)/4,8*'Parametros'!$B$12,24*BA326,300,IF(AV326=0,1000000000,2*((H326-2*('Parametros'!$B$7+'Parametros'!$B$9/2))+(I326-2*('Parametros'!$B$7+'Parametros'!$B$9/2)))/8))/10,0)*10</f>
        <v>80</v>
      </c>
      <c r="AQ326" s="10">
        <f>ROUNDDOWN(MIN(IF(BC326+BD326=0,1000000000,AO326*BB326/(BC326+BD326)),IF(AK326&gt;0.33*SQRT('Parametros'!$B$2)*H326*MIN(U326,AB326)/1000,MIN(U326,AB326)/4,MIN(U326,AB326)/2),600,IF(AV326=0,1000000000,2*((H326-2*('Parametros'!$B$7+'Parametros'!$B$9/2))+(I326-2*('Parametros'!$B$7+'Parametros'!$B$9/2)))/8))/10,0)*10</f>
        <v>80</v>
      </c>
      <c r="AR326" s="10">
        <f>'Parametros'!$B$6*(AJ326+MAX(BE326-BD326,0)*'Parametros'!$B$4*MIN(U326,AB326)/1000)</f>
        <v>662.192477768856</v>
      </c>
      <c r="AS326" s="10" t="str">
        <f>IF(AND(ISERROR(SEARCH("referencia",AN326)),AM326="CUMPLE",AR326&gt;=AI326),"CUMPLE","NO CUMPLE")</f>
        <v>CUMPLE</v>
      </c>
      <c r="AT326" s="10">
        <f>'Parametros'!$B$6*0.083*SQRT('Parametros'!$B$2)*(H326*I326)^2/(2*(H326+I326))/1000000</f>
        <v>11.862178757599</v>
      </c>
      <c r="AU326" s="10" t="str">
        <f>IF(Q326&lt;=AT326,"DESPRECIABLE","DISEÑAR")</f>
        <v>DESPRECIABLE</v>
      </c>
      <c r="AV326" s="10">
        <f>IF(Q326&lt;=AT326,0,Q326*1000000/('Parametros'!$B$6*2*0.85*(H326-2*('Parametros'!$B$7+'Parametros'!$B$9/2))*(I326-2*('Parametros'!$B$7+'Parametros'!$B$9/2))*'Parametros'!$B$4))</f>
        <v>0</v>
      </c>
      <c r="AW326" s="10">
        <f>AV326*2*((H326-2*('Parametros'!$B$7+'Parametros'!$B$9/2))+(I326-2*('Parametros'!$B$7+'Parametros'!$B$9/2)))*'Parametros'!$B$4/'Parametros'!$B$3</f>
        <v>0</v>
      </c>
      <c r="AX326" s="31" t="n">
        <v>0</v>
      </c>
      <c r="AY326" s="10" t="str">
        <f>IF(AV326=0,"DESPRECIABLE",IF(AND(ISERROR(SEARCH("referencia",AN326)),BB326/AP326&gt;=AV326,BI326&gt;=AW326,BH326="CUMPLE"),"CUMPLE","NO CUMPLE"))</f>
        <v>DESPRECIABLE</v>
      </c>
      <c r="AZ326" s="10" t="str">
        <f>IF(AND(X326="CUMPLE",AE326="CUMPLE",AS326="CUMPLE",OR(AY326="CUMPLE",AY326="DESPRECIABLE"),BH326="CUMPLE",BJ326="CUMPLE"),"CUMPLE","NO CUMPLE")</f>
        <v>CUMPLE</v>
      </c>
      <c r="BA326" s="32" t="n">
        <v>12.7</v>
      </c>
      <c r="BB326" s="32" t="n">
        <v>129</v>
      </c>
      <c r="BC326" s="10">
        <f>MAX(IF(AK326=0,0,AK326*1000/('Parametros'!$B$4*MIN(U326,AB326))),MAX(0.062*SQRT('Parametros'!$B$2)*H326/'Parametros'!$B$4,0.35*H326/'Parametros'!$B$4))</f>
        <v>3.04617205837445</v>
      </c>
      <c r="BD326" s="10">
        <f>2*AV326</f>
        <v>0</v>
      </c>
      <c r="BE326" s="10">
        <f>AO326*BB326/AP326</f>
        <v>3.225</v>
      </c>
      <c r="BF326" s="10">
        <f>SQRT((AI326*1000/(H326*MIN(U326,AB326)))^2+(Q326*1000000*2*((H326-2*('Parametros'!$B$7+'Parametros'!$B$9/2))+(I326-2*('Parametros'!$B$7+'Parametros'!$B$9/2)))/(1.7*((H326-2*('Parametros'!$B$7+'Parametros'!$B$9/2))*(I326-2*('Parametros'!$B$7+'Parametros'!$B$9/2)))^2))^2)</f>
        <v>2.61350092769897</v>
      </c>
      <c r="BG326" s="10">
        <f>'Parametros'!$B$6*(AJ326*1000/(H326*MIN(U326,AB326))+0.66*SQRT('Parametros'!$B$2))</f>
        <v>3.29396038227542</v>
      </c>
      <c r="BH326" s="10" t="str">
        <f>IF(BF326&lt;=BG326,"CUMPLE","NO CUMPLE")</f>
        <v>CUMPLE</v>
      </c>
      <c r="BI326" s="10">
        <f>AX326*'Parametros'!$B$8</f>
        <v>0</v>
      </c>
      <c r="BJ326" s="10" t="str">
        <f>IF(BI326&gt;=AW326,"CUMPLE","NO CUMPLE")</f>
        <v>CUMPLE</v>
      </c>
    </row>
    <row r="327">
      <c r="A327" s="24" t="inlineStr">
        <is>
          <t>VR N1</t>
        </is>
      </c>
      <c r="B327" s="24" t="inlineStr">
        <is>
          <t>4</t>
        </is>
      </c>
      <c r="C327" s="10" t="n">
        <v>1</v>
      </c>
      <c r="D327" s="10" t="n">
        <v>1.9</v>
      </c>
      <c r="E327" s="10" t="n">
        <v>1.9</v>
      </c>
      <c r="F327" s="10" t="n">
        <v>500</v>
      </c>
      <c r="G327" s="10" t="n">
        <v>550</v>
      </c>
      <c r="H327" s="17" t="n">
        <v>500</v>
      </c>
      <c r="I327" s="17" t="n">
        <v>550</v>
      </c>
      <c r="J327" s="30" t="n">
        <v>186.6358</v>
      </c>
      <c r="K327" s="10" t="inlineStr">
        <is>
          <t>4</t>
        </is>
      </c>
      <c r="L327" s="30" t="n">
        <v>158.8671</v>
      </c>
      <c r="M327" s="10" t="inlineStr">
        <is>
          <t>4</t>
        </is>
      </c>
      <c r="N327" s="30" t="n">
        <v>178.294</v>
      </c>
      <c r="O327" s="30" t="n">
        <v>702.263</v>
      </c>
      <c r="P327" s="10" t="inlineStr">
        <is>
          <t>4</t>
        </is>
      </c>
      <c r="Q327" s="30" t="n">
        <v>6.5964</v>
      </c>
      <c r="R327" s="10">
        <f>MAX(MAX(1.4/'Parametros'!$B$3,0.25*SQRT('Parametros'!$B$2)/'Parametros'!$B$3)*H327*U327,(0.85*'Parametros'!$B$2/'Parametros'!$B$3)*(1-SQRT(1-2*(J327*1000000/('Parametros'!$B$5*H327*U327^2))/(0.85*'Parametros'!$B$2)))*H327*U327)</f>
        <v>1048.63786363524</v>
      </c>
      <c r="S327" s="31" t="n">
        <v>6</v>
      </c>
      <c r="T327" s="32" t="n">
        <v>1</v>
      </c>
      <c r="U327" s="10">
        <f>IF(T327=1,I327-('Parametros'!$B$7+'Parametros'!$B$9+'Parametros'!$B$12/2),I327-(ROUNDUP(S327/2,0)*('Parametros'!$B$7+'Parametros'!$B$9+'Parametros'!$B$12/2)+ROUNDDOWN(S327/2,0)*('Parametros'!$B$7+'Parametros'!$B$9+'Parametros'!$B$12/2+'Parametros'!$B$12+'Parametros'!$B$10))/S327)</f>
        <v>489.35</v>
      </c>
      <c r="V327" s="10">
        <f>S327*'Parametros'!$B$8</f>
        <v>1194</v>
      </c>
      <c r="W327" s="10">
        <f>'Parametros'!$B$5*V327*'Parametros'!$B$3*(U327-(V327*'Parametros'!$B$3/(0.85*'Parametros'!$B$2*H327))/2)/1000000</f>
        <v>211.349483470588</v>
      </c>
      <c r="X327" s="10" t="str">
        <f>IF(W327&gt;=J327,"CUMPLE","NO CUMPLE")</f>
        <v>CUMPLE</v>
      </c>
      <c r="Y327" s="10">
        <f>MAX(MAX(1.4/'Parametros'!$B$3,0.25*SQRT('Parametros'!$B$2)/'Parametros'!$B$3)*H327*AB327,(0.85*'Parametros'!$B$2/'Parametros'!$B$3)*(1-SQRT(1-2*(L327*1000000/('Parametros'!$B$5*H327*AB327^2))/(0.85*'Parametros'!$B$2)))*H327*AB327)</f>
        <v>887.248978747718</v>
      </c>
      <c r="Z327" s="31" t="n">
        <v>5</v>
      </c>
      <c r="AA327" s="32" t="n">
        <v>1</v>
      </c>
      <c r="AB327" s="10">
        <f>IF(AA327=1,I327-('Parametros'!$B$7+'Parametros'!$B$9+'Parametros'!$B$12/2),I327-(ROUNDUP(Z327/2,0)*('Parametros'!$B$7+'Parametros'!$B$9+'Parametros'!$B$12/2)+ROUNDDOWN(Z327/2,0)*('Parametros'!$B$7+'Parametros'!$B$9+'Parametros'!$B$12/2+'Parametros'!$B$12+'Parametros'!$B$10))/Z327)</f>
        <v>489.35</v>
      </c>
      <c r="AC327" s="10">
        <f>Z327*'Parametros'!$B$8</f>
        <v>995</v>
      </c>
      <c r="AD327" s="10">
        <f>'Parametros'!$B$5*AC327*'Parametros'!$B$3*(AB327-(AC327*'Parametros'!$B$3/(0.85*'Parametros'!$B$2*H327))/2)/1000000</f>
        <v>177.445379382353</v>
      </c>
      <c r="AE327" s="10" t="str">
        <f>IF(AD327&gt;=L327,"CUMPLE","NO CUMPLE")</f>
        <v>CUMPLE</v>
      </c>
      <c r="AF327" s="10">
        <f>V327*1.25*'Parametros'!$B$3*(U327-(V327*1.25*'Parametros'!$B$3/(0.85*'Parametros'!$B$2*H327))/2)/1000000</f>
        <v>290.238924705882</v>
      </c>
      <c r="AG327" s="10">
        <f>AC327*1.25*'Parametros'!$B$3*(AB327-(AC327*1.25*'Parametros'!$B$3/(0.85*'Parametros'!$B$2*H327))/2)/1000000</f>
        <v>244.158843198529</v>
      </c>
      <c r="AH327" s="10">
        <f>N327+(AF327+AG327)/D327</f>
        <v>459.555983107585</v>
      </c>
      <c r="AI327" s="10">
        <f>MAX(O327,AH327)</f>
        <v>702.263</v>
      </c>
      <c r="AJ327" s="10">
        <f>0.17*SQRT('Parametros'!$B$2)*H327*MIN(U327,AB327)/1000</f>
        <v>220.098728691808</v>
      </c>
      <c r="AK327" s="10">
        <f>MAX(AI327/'Parametros'!$B$6-AJ327,0)</f>
        <v>716.251937974859</v>
      </c>
      <c r="AL327" s="10">
        <f>0.66*SQRT('Parametros'!$B$2)*H327*MIN(U327,AB327)/1000</f>
        <v>854.500946685842</v>
      </c>
      <c r="AM327" s="10" t="str">
        <f>IF(AK327&lt;=AL327,"CUMPLE","NO CUMPLE")</f>
        <v>CUMPLE</v>
      </c>
      <c r="AN327" s="17" t="inlineStr">
        <is>
          <t>Nº3 cerrado</t>
        </is>
      </c>
      <c r="AO327" s="31" t="n">
        <v>4</v>
      </c>
      <c r="AP327" s="10">
        <f>ROUNDDOWN(MIN(IF(BC327+BD327=0,1000000000,AO327*BB327/(BC327+BD327)),MIN(U327,AB327)/4,8*'Parametros'!$B$12,24*BA327,300,IF(AV327=0,1000000000,2*((H327-2*('Parametros'!$B$7+'Parametros'!$B$9/2))+(I327-2*('Parametros'!$B$7+'Parametros'!$B$9/2)))/8))/10,0)*10</f>
        <v>80</v>
      </c>
      <c r="AQ327" s="10">
        <f>ROUNDDOWN(MIN(IF(BC327+BD327=0,1000000000,AO327*BB327/(BC327+BD327)),IF(AK327&gt;0.33*SQRT('Parametros'!$B$2)*H327*MIN(U327,AB327)/1000,MIN(U327,AB327)/4,MIN(U327,AB327)/2),600,IF(AV327=0,1000000000,2*((H327-2*('Parametros'!$B$7+'Parametros'!$B$9/2))+(I327-2*('Parametros'!$B$7+'Parametros'!$B$9/2)))/8))/10,0)*10</f>
        <v>80</v>
      </c>
      <c r="AR327" s="10">
        <f>'Parametros'!$B$6*(AJ327+MAX(BE327-BD327,0)*'Parametros'!$B$4*MIN(U327,AB327)/1000)</f>
        <v>712.289684018856</v>
      </c>
      <c r="AS327" s="10" t="str">
        <f>IF(AND(ISERROR(SEARCH("referencia",AN327)),AM327="CUMPLE",AR327&gt;=AI327),"CUMPLE","NO CUMPLE")</f>
        <v>CUMPLE</v>
      </c>
      <c r="AT327" s="10">
        <f>'Parametros'!$B$6*0.083*SQRT('Parametros'!$B$2)*(H327*I327)^2/(2*(H327+I327))/1000000</f>
        <v>11.862178757599</v>
      </c>
      <c r="AU327" s="10" t="str">
        <f>IF(Q327&lt;=AT327,"DESPRECIABLE","DISEÑAR")</f>
        <v>DESPRECIABLE</v>
      </c>
      <c r="AV327" s="10">
        <f>IF(Q327&lt;=AT327,0,Q327*1000000/('Parametros'!$B$6*2*0.85*(H327-2*('Parametros'!$B$7+'Parametros'!$B$9/2))*(I327-2*('Parametros'!$B$7+'Parametros'!$B$9/2))*'Parametros'!$B$4))</f>
        <v>0</v>
      </c>
      <c r="AW327" s="10">
        <f>AV327*2*((H327-2*('Parametros'!$B$7+'Parametros'!$B$9/2))+(I327-2*('Parametros'!$B$7+'Parametros'!$B$9/2)))*'Parametros'!$B$4/'Parametros'!$B$3</f>
        <v>0</v>
      </c>
      <c r="AX327" s="31" t="n">
        <v>0</v>
      </c>
      <c r="AY327" s="10" t="str">
        <f>IF(AV327=0,"DESPRECIABLE",IF(AND(ISERROR(SEARCH("referencia",AN327)),BB327/AP327&gt;=AV327,BI327&gt;=AW327,BH327="CUMPLE"),"CUMPLE","NO CUMPLE"))</f>
        <v>DESPRECIABLE</v>
      </c>
      <c r="AZ327" s="10" t="str">
        <f>IF(AND(X327="CUMPLE",AE327="CUMPLE",AS327="CUMPLE",OR(AY327="CUMPLE",AY327="DESPRECIABLE"),BH327="CUMPLE",BJ327="CUMPLE"),"CUMPLE","NO CUMPLE")</f>
        <v>CUMPLE</v>
      </c>
      <c r="BA327" s="32" t="n">
        <v>9.5</v>
      </c>
      <c r="BB327" s="32" t="n">
        <v>71</v>
      </c>
      <c r="BC327" s="10">
        <f>MAX(IF(AK327=0,0,AK327*1000/('Parametros'!$B$4*MIN(U327,AB327))),MAX(0.062*SQRT('Parametros'!$B$2)*H327/'Parametros'!$B$4,0.35*H327/'Parametros'!$B$4))</f>
        <v>3.48495301335036</v>
      </c>
      <c r="BD327" s="10">
        <f>2*AV327</f>
        <v>0</v>
      </c>
      <c r="BE327" s="10">
        <f>AO327*BB327/AP327</f>
        <v>3.55</v>
      </c>
      <c r="BF327" s="10">
        <f>SQRT((AI327*1000/(H327*MIN(U327,AB327)))^2+(Q327*1000000*2*((H327-2*('Parametros'!$B$7+'Parametros'!$B$9/2))+(I327-2*('Parametros'!$B$7+'Parametros'!$B$9/2)))/(1.7*((H327-2*('Parametros'!$B$7+'Parametros'!$B$9/2))*(I327-2*('Parametros'!$B$7+'Parametros'!$B$9/2)))^2))^2)</f>
        <v>2.87669594540637</v>
      </c>
      <c r="BG327" s="10">
        <f>'Parametros'!$B$6*(AJ327*1000/(H327*MIN(U327,AB327))+0.66*SQRT('Parametros'!$B$2))</f>
        <v>3.29396038227542</v>
      </c>
      <c r="BH327" s="10" t="str">
        <f>IF(BF327&lt;=BG327,"CUMPLE","NO CUMPLE")</f>
        <v>CUMPLE</v>
      </c>
      <c r="BI327" s="10">
        <f>AX327*'Parametros'!$B$8</f>
        <v>0</v>
      </c>
      <c r="BJ327" s="10" t="str">
        <f>IF(BI327&gt;=AW327,"CUMPLE","NO CUMPLE")</f>
        <v>CUMPLE</v>
      </c>
    </row>
    <row r="328">
      <c r="A328" s="24" t="inlineStr">
        <is>
          <t>VR N1</t>
        </is>
      </c>
      <c r="B328" s="24" t="inlineStr">
        <is>
          <t>5</t>
        </is>
      </c>
      <c r="C328" s="10" t="n">
        <v>1</v>
      </c>
      <c r="D328" s="10" t="n">
        <v>3.4</v>
      </c>
      <c r="E328" s="10" t="n">
        <v>3.4</v>
      </c>
      <c r="F328" s="10" t="n">
        <v>500</v>
      </c>
      <c r="G328" s="10" t="n">
        <v>550</v>
      </c>
      <c r="H328" s="17" t="n">
        <v>500</v>
      </c>
      <c r="I328" s="17" t="n">
        <v>550</v>
      </c>
      <c r="J328" s="30" t="n">
        <v>191.2234</v>
      </c>
      <c r="K328" s="10" t="inlineStr">
        <is>
          <t>5</t>
        </is>
      </c>
      <c r="L328" s="30" t="n">
        <v>108.4164</v>
      </c>
      <c r="M328" s="10" t="inlineStr">
        <is>
          <t>5</t>
        </is>
      </c>
      <c r="N328" s="30" t="n">
        <v>142.776</v>
      </c>
      <c r="O328" s="30" t="n">
        <v>396.846</v>
      </c>
      <c r="P328" s="10" t="inlineStr">
        <is>
          <t>5</t>
        </is>
      </c>
      <c r="Q328" s="30" t="n">
        <v>15.0721</v>
      </c>
      <c r="R328" s="10">
        <f>MAX(MAX(1.4/'Parametros'!$B$3,0.25*SQRT('Parametros'!$B$2)/'Parametros'!$B$3)*H328*U328,(0.85*'Parametros'!$B$2/'Parametros'!$B$3)*(1-SQRT(1-2*(J328*1000000/('Parametros'!$B$5*H328*U328^2))/(0.85*'Parametros'!$B$2)))*H328*U328)</f>
        <v>1075.49655051999</v>
      </c>
      <c r="S328" s="31" t="n">
        <v>6</v>
      </c>
      <c r="T328" s="32" t="n">
        <v>1</v>
      </c>
      <c r="U328" s="10">
        <f>IF(T328=1,I328-('Parametros'!$B$7+'Parametros'!$B$9+'Parametros'!$B$12/2),I328-(ROUNDUP(S328/2,0)*('Parametros'!$B$7+'Parametros'!$B$9+'Parametros'!$B$12/2)+ROUNDDOWN(S328/2,0)*('Parametros'!$B$7+'Parametros'!$B$9+'Parametros'!$B$12/2+'Parametros'!$B$12+'Parametros'!$B$10))/S328)</f>
        <v>489.35</v>
      </c>
      <c r="V328" s="10">
        <f>S328*'Parametros'!$B$8</f>
        <v>1194</v>
      </c>
      <c r="W328" s="10">
        <f>'Parametros'!$B$5*V328*'Parametros'!$B$3*(U328-(V328*'Parametros'!$B$3/(0.85*'Parametros'!$B$2*H328))/2)/1000000</f>
        <v>211.349483470588</v>
      </c>
      <c r="X328" s="10" t="str">
        <f>IF(W328&gt;=J328,"CUMPLE","NO CUMPLE")</f>
        <v>CUMPLE</v>
      </c>
      <c r="Y328" s="10">
        <f>MAX(MAX(1.4/'Parametros'!$B$3,0.25*SQRT('Parametros'!$B$2)/'Parametros'!$B$3)*H328*AB328,(0.85*'Parametros'!$B$2/'Parametros'!$B$3)*(1-SQRT(1-2*(L328*1000000/('Parametros'!$B$5*H328*AB328^2))/(0.85*'Parametros'!$B$2)))*H328*AB328)</f>
        <v>815.583333333333</v>
      </c>
      <c r="Z328" s="31" t="n">
        <v>5</v>
      </c>
      <c r="AA328" s="32" t="n">
        <v>1</v>
      </c>
      <c r="AB328" s="10">
        <f>IF(AA328=1,I328-('Parametros'!$B$7+'Parametros'!$B$9+'Parametros'!$B$12/2),I328-(ROUNDUP(Z328/2,0)*('Parametros'!$B$7+'Parametros'!$B$9+'Parametros'!$B$12/2)+ROUNDDOWN(Z328/2,0)*('Parametros'!$B$7+'Parametros'!$B$9+'Parametros'!$B$12/2+'Parametros'!$B$12+'Parametros'!$B$10))/Z328)</f>
        <v>489.35</v>
      </c>
      <c r="AC328" s="10">
        <f>Z328*'Parametros'!$B$8</f>
        <v>995</v>
      </c>
      <c r="AD328" s="10">
        <f>'Parametros'!$B$5*AC328*'Parametros'!$B$3*(AB328-(AC328*'Parametros'!$B$3/(0.85*'Parametros'!$B$2*H328))/2)/1000000</f>
        <v>177.445379382353</v>
      </c>
      <c r="AE328" s="10" t="str">
        <f>IF(AD328&gt;=L328,"CUMPLE","NO CUMPLE")</f>
        <v>CUMPLE</v>
      </c>
      <c r="AF328" s="10">
        <f>V328*1.25*'Parametros'!$B$3*(U328-(V328*1.25*'Parametros'!$B$3/(0.85*'Parametros'!$B$2*H328))/2)/1000000</f>
        <v>290.238924705882</v>
      </c>
      <c r="AG328" s="10">
        <f>AC328*1.25*'Parametros'!$B$3*(AB328-(AC328*1.25*'Parametros'!$B$3/(0.85*'Parametros'!$B$2*H328))/2)/1000000</f>
        <v>244.158843198529</v>
      </c>
      <c r="AH328" s="10">
        <f>N328+(AF328+AG328)/D328</f>
        <v>299.951814089533</v>
      </c>
      <c r="AI328" s="10">
        <f>MAX(O328,AH328)</f>
        <v>396.846</v>
      </c>
      <c r="AJ328" s="10">
        <f>0.17*SQRT('Parametros'!$B$2)*H328*MIN(U328,AB328)/1000</f>
        <v>220.098728691808</v>
      </c>
      <c r="AK328" s="10">
        <f>MAX(AI328/'Parametros'!$B$6-AJ328,0)</f>
        <v>309.029271308192</v>
      </c>
      <c r="AL328" s="10">
        <f>0.66*SQRT('Parametros'!$B$2)*H328*MIN(U328,AB328)/1000</f>
        <v>854.500946685842</v>
      </c>
      <c r="AM328" s="10" t="str">
        <f>IF(AK328&lt;=AL328,"CUMPLE","NO CUMPLE")</f>
        <v>CUMPLE</v>
      </c>
      <c r="AN328" s="17" t="inlineStr">
        <is>
          <t>Nº4 cerrado</t>
        </is>
      </c>
      <c r="AO328" s="31" t="n">
        <v>2</v>
      </c>
      <c r="AP328" s="10">
        <f>ROUNDDOWN(MIN(IF(BC328+BD328=0,1000000000,AO328*BB328/(BC328+BD328)),MIN(U328,AB328)/4,8*'Parametros'!$B$12,24*BA328,300,IF(AV328=0,1000000000,2*((H328-2*('Parametros'!$B$7+'Parametros'!$B$9/2))+(I328-2*('Parametros'!$B$7+'Parametros'!$B$9/2)))/8))/10,0)*10</f>
        <v>120</v>
      </c>
      <c r="AQ328" s="10">
        <f>ROUNDDOWN(MIN(IF(BC328+BD328=0,1000000000,AO328*BB328/(BC328+BD328)),IF(AK328&gt;0.33*SQRT('Parametros'!$B$2)*H328*MIN(U328,AB328)/1000,MIN(U328,AB328)/4,MIN(U328,AB328)/2),600,IF(AV328=0,1000000000,2*((H328-2*('Parametros'!$B$7+'Parametros'!$B$9/2))+(I328-2*('Parametros'!$B$7+'Parametros'!$B$9/2)))/8))/10,0)*10</f>
        <v>140</v>
      </c>
      <c r="AR328" s="10">
        <f>'Parametros'!$B$6*(AJ328+MAX(BE328-BD328,0)*'Parametros'!$B$4*MIN(U328,AB328)/1000)</f>
        <v>449.899969302355</v>
      </c>
      <c r="AS328" s="10" t="str">
        <f>IF(AND(ISERROR(SEARCH("referencia",AN328)),AM328="CUMPLE",AR328&gt;=AI328),"CUMPLE","NO CUMPLE")</f>
        <v>CUMPLE</v>
      </c>
      <c r="AT328" s="10">
        <f>'Parametros'!$B$6*0.083*SQRT('Parametros'!$B$2)*(H328*I328)^2/(2*(H328+I328))/1000000</f>
        <v>11.862178757599</v>
      </c>
      <c r="AU328" s="10" t="str">
        <f>IF(Q328&lt;=AT328,"DESPRECIABLE","DISEÑAR")</f>
        <v>DISEÑAR</v>
      </c>
      <c r="AV328" s="10">
        <f>IF(Q328&lt;=AT328,0,Q328*1000000/('Parametros'!$B$6*2*0.85*(H328-2*('Parametros'!$B$7+'Parametros'!$B$9/2))*(I328-2*('Parametros'!$B$7+'Parametros'!$B$9/2))*'Parametros'!$B$4))</f>
        <v>0.15111190489652</v>
      </c>
      <c r="AW328" s="10">
        <f>AV328*2*((H328-2*('Parametros'!$B$7+'Parametros'!$B$9/2))+(I328-2*('Parametros'!$B$7+'Parametros'!$B$9/2)))*'Parametros'!$B$4/'Parametros'!$B$3</f>
        <v>261.302705947063</v>
      </c>
      <c r="AX328" s="31" t="n">
        <v>8</v>
      </c>
      <c r="AY328" s="10" t="str">
        <f>IF(AV328=0,"DESPRECIABLE",IF(AND(ISERROR(SEARCH("referencia",AN328)),BB328/AP328&gt;=AV328,BI328&gt;=AW328,BH328="CUMPLE"),"CUMPLE","NO CUMPLE"))</f>
        <v>CUMPLE</v>
      </c>
      <c r="AZ328" s="10" t="str">
        <f>IF(AND(X328="CUMPLE",AE328="CUMPLE",AS328="CUMPLE",OR(AY328="CUMPLE",AY328="DESPRECIABLE"),BH328="CUMPLE",BJ328="CUMPLE"),"CUMPLE","NO CUMPLE")</f>
        <v>CUMPLE</v>
      </c>
      <c r="BA328" s="32" t="n">
        <v>12.7</v>
      </c>
      <c r="BB328" s="32" t="n">
        <v>129</v>
      </c>
      <c r="BC328" s="10">
        <f>MAX(IF(AK328=0,0,AK328*1000/('Parametros'!$B$4*MIN(U328,AB328))),MAX(0.062*SQRT('Parametros'!$B$2)*H328/'Parametros'!$B$4,0.35*H328/'Parametros'!$B$4))</f>
        <v>1.5035945219275</v>
      </c>
      <c r="BD328" s="10">
        <f>2*AV328</f>
        <v>0.302223809793041</v>
      </c>
      <c r="BE328" s="10">
        <f>AO328*BB328/AP328</f>
        <v>2.15</v>
      </c>
      <c r="BF328" s="10">
        <f>SQRT((AI328*1000/(H328*MIN(U328,AB328)))^2+(Q328*1000000*2*((H328-2*('Parametros'!$B$7+'Parametros'!$B$9/2))+(I328-2*('Parametros'!$B$7+'Parametros'!$B$9/2)))/(1.7*((H328-2*('Parametros'!$B$7+'Parametros'!$B$9/2))*(I328-2*('Parametros'!$B$7+'Parametros'!$B$9/2)))^2))^2)</f>
        <v>1.6810560857586</v>
      </c>
      <c r="BG328" s="10">
        <f>'Parametros'!$B$6*(AJ328*1000/(H328*MIN(U328,AB328))+0.66*SQRT('Parametros'!$B$2))</f>
        <v>3.29396038227542</v>
      </c>
      <c r="BH328" s="10" t="str">
        <f>IF(BF328&lt;=BG328,"CUMPLE","NO CUMPLE")</f>
        <v>CUMPLE</v>
      </c>
      <c r="BI328" s="10">
        <f>AX328*'Parametros'!$B$8</f>
        <v>1592</v>
      </c>
      <c r="BJ328" s="10" t="str">
        <f>IF(BI328&gt;=AW328,"CUMPLE","NO CUMPLE")</f>
        <v>CUMPLE</v>
      </c>
    </row>
    <row r="329">
      <c r="A329" s="24" t="inlineStr">
        <is>
          <t>VR N1</t>
        </is>
      </c>
      <c r="B329" s="24" t="inlineStr">
        <is>
          <t>6</t>
        </is>
      </c>
      <c r="C329" s="10" t="n">
        <v>1</v>
      </c>
      <c r="D329" s="10" t="n">
        <v>3.4</v>
      </c>
      <c r="E329" s="10" t="n">
        <v>3.4</v>
      </c>
      <c r="F329" s="10" t="n">
        <v>500</v>
      </c>
      <c r="G329" s="10" t="n">
        <v>550</v>
      </c>
      <c r="H329" s="17" t="n">
        <v>500</v>
      </c>
      <c r="I329" s="17" t="n">
        <v>550</v>
      </c>
      <c r="J329" s="30" t="n">
        <v>191.2439</v>
      </c>
      <c r="K329" s="10" t="inlineStr">
        <is>
          <t>6</t>
        </is>
      </c>
      <c r="L329" s="30" t="n">
        <v>108.4454</v>
      </c>
      <c r="M329" s="10" t="inlineStr">
        <is>
          <t>6</t>
        </is>
      </c>
      <c r="N329" s="30" t="n">
        <v>142.79</v>
      </c>
      <c r="O329" s="30" t="n">
        <v>396.882</v>
      </c>
      <c r="P329" s="10" t="inlineStr">
        <is>
          <t>6</t>
        </is>
      </c>
      <c r="Q329" s="30" t="n">
        <v>15.1193</v>
      </c>
      <c r="R329" s="10">
        <f>MAX(MAX(1.4/'Parametros'!$B$3,0.25*SQRT('Parametros'!$B$2)/'Parametros'!$B$3)*H329*U329,(0.85*'Parametros'!$B$2/'Parametros'!$B$3)*(1-SQRT(1-2*(J329*1000000/('Parametros'!$B$5*H329*U329^2))/(0.85*'Parametros'!$B$2)))*H329*U329)</f>
        <v>1075.61669696319</v>
      </c>
      <c r="S329" s="31" t="n">
        <v>6</v>
      </c>
      <c r="T329" s="32" t="n">
        <v>1</v>
      </c>
      <c r="U329" s="10">
        <f>IF(T329=1,I329-('Parametros'!$B$7+'Parametros'!$B$9+'Parametros'!$B$12/2),I329-(ROUNDUP(S329/2,0)*('Parametros'!$B$7+'Parametros'!$B$9+'Parametros'!$B$12/2)+ROUNDDOWN(S329/2,0)*('Parametros'!$B$7+'Parametros'!$B$9+'Parametros'!$B$12/2+'Parametros'!$B$12+'Parametros'!$B$10))/S329)</f>
        <v>489.35</v>
      </c>
      <c r="V329" s="10">
        <f>S329*'Parametros'!$B$8</f>
        <v>1194</v>
      </c>
      <c r="W329" s="10">
        <f>'Parametros'!$B$5*V329*'Parametros'!$B$3*(U329-(V329*'Parametros'!$B$3/(0.85*'Parametros'!$B$2*H329))/2)/1000000</f>
        <v>211.349483470588</v>
      </c>
      <c r="X329" s="10" t="str">
        <f>IF(W329&gt;=J329,"CUMPLE","NO CUMPLE")</f>
        <v>CUMPLE</v>
      </c>
      <c r="Y329" s="10">
        <f>MAX(MAX(1.4/'Parametros'!$B$3,0.25*SQRT('Parametros'!$B$2)/'Parametros'!$B$3)*H329*AB329,(0.85*'Parametros'!$B$2/'Parametros'!$B$3)*(1-SQRT(1-2*(L329*1000000/('Parametros'!$B$5*H329*AB329^2))/(0.85*'Parametros'!$B$2)))*H329*AB329)</f>
        <v>815.583333333333</v>
      </c>
      <c r="Z329" s="31" t="n">
        <v>5</v>
      </c>
      <c r="AA329" s="32" t="n">
        <v>1</v>
      </c>
      <c r="AB329" s="10">
        <f>IF(AA329=1,I329-('Parametros'!$B$7+'Parametros'!$B$9+'Parametros'!$B$12/2),I329-(ROUNDUP(Z329/2,0)*('Parametros'!$B$7+'Parametros'!$B$9+'Parametros'!$B$12/2)+ROUNDDOWN(Z329/2,0)*('Parametros'!$B$7+'Parametros'!$B$9+'Parametros'!$B$12/2+'Parametros'!$B$12+'Parametros'!$B$10))/Z329)</f>
        <v>489.35</v>
      </c>
      <c r="AC329" s="10">
        <f>Z329*'Parametros'!$B$8</f>
        <v>995</v>
      </c>
      <c r="AD329" s="10">
        <f>'Parametros'!$B$5*AC329*'Parametros'!$B$3*(AB329-(AC329*'Parametros'!$B$3/(0.85*'Parametros'!$B$2*H329))/2)/1000000</f>
        <v>177.445379382353</v>
      </c>
      <c r="AE329" s="10" t="str">
        <f>IF(AD329&gt;=L329,"CUMPLE","NO CUMPLE")</f>
        <v>CUMPLE</v>
      </c>
      <c r="AF329" s="10">
        <f>V329*1.25*'Parametros'!$B$3*(U329-(V329*1.25*'Parametros'!$B$3/(0.85*'Parametros'!$B$2*H329))/2)/1000000</f>
        <v>290.238924705882</v>
      </c>
      <c r="AG329" s="10">
        <f>AC329*1.25*'Parametros'!$B$3*(AB329-(AC329*1.25*'Parametros'!$B$3/(0.85*'Parametros'!$B$2*H329))/2)/1000000</f>
        <v>244.158843198529</v>
      </c>
      <c r="AH329" s="10">
        <f>N329+(AF329+AG329)/D329</f>
        <v>299.965814089533</v>
      </c>
      <c r="AI329" s="10">
        <f>MAX(O329,AH329)</f>
        <v>396.882</v>
      </c>
      <c r="AJ329" s="10">
        <f>0.17*SQRT('Parametros'!$B$2)*H329*MIN(U329,AB329)/1000</f>
        <v>220.098728691808</v>
      </c>
      <c r="AK329" s="10">
        <f>MAX(AI329/'Parametros'!$B$6-AJ329,0)</f>
        <v>309.077271308192</v>
      </c>
      <c r="AL329" s="10">
        <f>0.66*SQRT('Parametros'!$B$2)*H329*MIN(U329,AB329)/1000</f>
        <v>854.500946685842</v>
      </c>
      <c r="AM329" s="10" t="str">
        <f>IF(AK329&lt;=AL329,"CUMPLE","NO CUMPLE")</f>
        <v>CUMPLE</v>
      </c>
      <c r="AN329" s="17" t="inlineStr">
        <is>
          <t>Nº4 cerrado</t>
        </is>
      </c>
      <c r="AO329" s="31" t="n">
        <v>2</v>
      </c>
      <c r="AP329" s="10">
        <f>ROUNDDOWN(MIN(IF(BC329+BD329=0,1000000000,AO329*BB329/(BC329+BD329)),MIN(U329,AB329)/4,8*'Parametros'!$B$12,24*BA329,300,IF(AV329=0,1000000000,2*((H329-2*('Parametros'!$B$7+'Parametros'!$B$9/2))+(I329-2*('Parametros'!$B$7+'Parametros'!$B$9/2)))/8))/10,0)*10</f>
        <v>120</v>
      </c>
      <c r="AQ329" s="10">
        <f>ROUNDDOWN(MIN(IF(BC329+BD329=0,1000000000,AO329*BB329/(BC329+BD329)),IF(AK329&gt;0.33*SQRT('Parametros'!$B$2)*H329*MIN(U329,AB329)/1000,MIN(U329,AB329)/4,MIN(U329,AB329)/2),600,IF(AV329=0,1000000000,2*((H329-2*('Parametros'!$B$7+'Parametros'!$B$9/2))+(I329-2*('Parametros'!$B$7+'Parametros'!$B$9/2)))/8))/10,0)*10</f>
        <v>140</v>
      </c>
      <c r="AR329" s="10">
        <f>'Parametros'!$B$6*(AJ329+MAX(BE329-BD329,0)*'Parametros'!$B$4*MIN(U329,AB329)/1000)</f>
        <v>449.754078788451</v>
      </c>
      <c r="AS329" s="10" t="str">
        <f>IF(AND(ISERROR(SEARCH("referencia",AN329)),AM329="CUMPLE",AR329&gt;=AI329),"CUMPLE","NO CUMPLE")</f>
        <v>CUMPLE</v>
      </c>
      <c r="AT329" s="10">
        <f>'Parametros'!$B$6*0.083*SQRT('Parametros'!$B$2)*(H329*I329)^2/(2*(H329+I329))/1000000</f>
        <v>11.862178757599</v>
      </c>
      <c r="AU329" s="10" t="str">
        <f>IF(Q329&lt;=AT329,"DESPRECIABLE","DISEÑAR")</f>
        <v>DISEÑAR</v>
      </c>
      <c r="AV329" s="10">
        <f>IF(Q329&lt;=AT329,0,Q329*1000000/('Parametros'!$B$6*2*0.85*(H329-2*('Parametros'!$B$7+'Parametros'!$B$9/2))*(I329-2*('Parametros'!$B$7+'Parametros'!$B$9/2))*'Parametros'!$B$4))</f>
        <v>0.151585129059783</v>
      </c>
      <c r="AW329" s="10">
        <f>AV329*2*((H329-2*('Parametros'!$B$7+'Parametros'!$B$9/2))+(I329-2*('Parametros'!$B$7+'Parametros'!$B$9/2)))*'Parametros'!$B$4/'Parametros'!$B$3</f>
        <v>262.121005170178</v>
      </c>
      <c r="AX329" s="31" t="n">
        <v>8</v>
      </c>
      <c r="AY329" s="10" t="str">
        <f>IF(AV329=0,"DESPRECIABLE",IF(AND(ISERROR(SEARCH("referencia",AN329)),BB329/AP329&gt;=AV329,BI329&gt;=AW329,BH329="CUMPLE"),"CUMPLE","NO CUMPLE"))</f>
        <v>CUMPLE</v>
      </c>
      <c r="AZ329" s="10" t="str">
        <f>IF(AND(X329="CUMPLE",AE329="CUMPLE",AS329="CUMPLE",OR(AY329="CUMPLE",AY329="DESPRECIABLE"),BH329="CUMPLE",BJ329="CUMPLE"),"CUMPLE","NO CUMPLE")</f>
        <v>CUMPLE</v>
      </c>
      <c r="BA329" s="32" t="n">
        <v>12.7</v>
      </c>
      <c r="BB329" s="32" t="n">
        <v>129</v>
      </c>
      <c r="BC329" s="10">
        <f>MAX(IF(AK329=0,0,AK329*1000/('Parametros'!$B$4*MIN(U329,AB329))),MAX(0.062*SQRT('Parametros'!$B$2)*H329/'Parametros'!$B$4,0.35*H329/'Parametros'!$B$4))</f>
        <v>1.50382806788496</v>
      </c>
      <c r="BD329" s="10">
        <f>2*AV329</f>
        <v>0.303170258119567</v>
      </c>
      <c r="BE329" s="10">
        <f>AO329*BB329/AP329</f>
        <v>2.15</v>
      </c>
      <c r="BF329" s="10">
        <f>SQRT((AI329*1000/(H329*MIN(U329,AB329)))^2+(Q329*1000000*2*((H329-2*('Parametros'!$B$7+'Parametros'!$B$9/2))+(I329-2*('Parametros'!$B$7+'Parametros'!$B$9/2)))/(1.7*((H329-2*('Parametros'!$B$7+'Parametros'!$B$9/2))*(I329-2*('Parametros'!$B$7+'Parametros'!$B$9/2)))^2))^2)</f>
        <v>1.68156234553164</v>
      </c>
      <c r="BG329" s="10">
        <f>'Parametros'!$B$6*(AJ329*1000/(H329*MIN(U329,AB329))+0.66*SQRT('Parametros'!$B$2))</f>
        <v>3.29396038227542</v>
      </c>
      <c r="BH329" s="10" t="str">
        <f>IF(BF329&lt;=BG329,"CUMPLE","NO CUMPLE")</f>
        <v>CUMPLE</v>
      </c>
      <c r="BI329" s="10">
        <f>AX329*'Parametros'!$B$8</f>
        <v>1592</v>
      </c>
      <c r="BJ329" s="10" t="str">
        <f>IF(BI329&gt;=AW329,"CUMPLE","NO CUMPLE")</f>
        <v>CUMPLE</v>
      </c>
    </row>
    <row r="330">
      <c r="A330" s="24" t="inlineStr">
        <is>
          <t>VR N1</t>
        </is>
      </c>
      <c r="B330" s="24" t="inlineStr">
        <is>
          <t>7</t>
        </is>
      </c>
      <c r="C330" s="10" t="n">
        <v>1</v>
      </c>
      <c r="D330" s="10" t="n">
        <v>1.9</v>
      </c>
      <c r="E330" s="10" t="n">
        <v>1.9</v>
      </c>
      <c r="F330" s="10" t="n">
        <v>500</v>
      </c>
      <c r="G330" s="10" t="n">
        <v>550</v>
      </c>
      <c r="H330" s="17" t="n">
        <v>500</v>
      </c>
      <c r="I330" s="17" t="n">
        <v>550</v>
      </c>
      <c r="J330" s="30" t="n">
        <v>186.5723</v>
      </c>
      <c r="K330" s="10" t="inlineStr">
        <is>
          <t>7</t>
        </is>
      </c>
      <c r="L330" s="30" t="n">
        <v>158.9112</v>
      </c>
      <c r="M330" s="10" t="inlineStr">
        <is>
          <t>7</t>
        </is>
      </c>
      <c r="N330" s="30" t="n">
        <v>178.346</v>
      </c>
      <c r="O330" s="30" t="n">
        <v>702.331</v>
      </c>
      <c r="P330" s="10" t="inlineStr">
        <is>
          <t>7</t>
        </is>
      </c>
      <c r="Q330" s="30" t="n">
        <v>6.6045</v>
      </c>
      <c r="R330" s="10">
        <f>MAX(MAX(1.4/'Parametros'!$B$3,0.25*SQRT('Parametros'!$B$2)/'Parametros'!$B$3)*H330*U330,(0.85*'Parametros'!$B$2/'Parametros'!$B$3)*(1-SQRT(1-2*(J330*1000000/('Parametros'!$B$5*H330*U330^2))/(0.85*'Parametros'!$B$2)))*H330*U330)</f>
        <v>1048.26648975284</v>
      </c>
      <c r="S330" s="31" t="n">
        <v>6</v>
      </c>
      <c r="T330" s="32" t="n">
        <v>1</v>
      </c>
      <c r="U330" s="10">
        <f>IF(T330=1,I330-('Parametros'!$B$7+'Parametros'!$B$9+'Parametros'!$B$12/2),I330-(ROUNDUP(S330/2,0)*('Parametros'!$B$7+'Parametros'!$B$9+'Parametros'!$B$12/2)+ROUNDDOWN(S330/2,0)*('Parametros'!$B$7+'Parametros'!$B$9+'Parametros'!$B$12/2+'Parametros'!$B$12+'Parametros'!$B$10))/S330)</f>
        <v>489.35</v>
      </c>
      <c r="V330" s="10">
        <f>S330*'Parametros'!$B$8</f>
        <v>1194</v>
      </c>
      <c r="W330" s="10">
        <f>'Parametros'!$B$5*V330*'Parametros'!$B$3*(U330-(V330*'Parametros'!$B$3/(0.85*'Parametros'!$B$2*H330))/2)/1000000</f>
        <v>211.349483470588</v>
      </c>
      <c r="X330" s="10" t="str">
        <f>IF(W330&gt;=J330,"CUMPLE","NO CUMPLE")</f>
        <v>CUMPLE</v>
      </c>
      <c r="Y330" s="10">
        <f>MAX(MAX(1.4/'Parametros'!$B$3,0.25*SQRT('Parametros'!$B$2)/'Parametros'!$B$3)*H330*AB330,(0.85*'Parametros'!$B$2/'Parametros'!$B$3)*(1-SQRT(1-2*(L330*1000000/('Parametros'!$B$5*H330*AB330^2))/(0.85*'Parametros'!$B$2)))*H330*AB330)</f>
        <v>887.50369231217</v>
      </c>
      <c r="Z330" s="31" t="n">
        <v>5</v>
      </c>
      <c r="AA330" s="32" t="n">
        <v>1</v>
      </c>
      <c r="AB330" s="10">
        <f>IF(AA330=1,I330-('Parametros'!$B$7+'Parametros'!$B$9+'Parametros'!$B$12/2),I330-(ROUNDUP(Z330/2,0)*('Parametros'!$B$7+'Parametros'!$B$9+'Parametros'!$B$12/2)+ROUNDDOWN(Z330/2,0)*('Parametros'!$B$7+'Parametros'!$B$9+'Parametros'!$B$12/2+'Parametros'!$B$12+'Parametros'!$B$10))/Z330)</f>
        <v>489.35</v>
      </c>
      <c r="AC330" s="10">
        <f>Z330*'Parametros'!$B$8</f>
        <v>995</v>
      </c>
      <c r="AD330" s="10">
        <f>'Parametros'!$B$5*AC330*'Parametros'!$B$3*(AB330-(AC330*'Parametros'!$B$3/(0.85*'Parametros'!$B$2*H330))/2)/1000000</f>
        <v>177.445379382353</v>
      </c>
      <c r="AE330" s="10" t="str">
        <f>IF(AD330&gt;=L330,"CUMPLE","NO CUMPLE")</f>
        <v>CUMPLE</v>
      </c>
      <c r="AF330" s="10">
        <f>V330*1.25*'Parametros'!$B$3*(U330-(V330*1.25*'Parametros'!$B$3/(0.85*'Parametros'!$B$2*H330))/2)/1000000</f>
        <v>290.238924705882</v>
      </c>
      <c r="AG330" s="10">
        <f>AC330*1.25*'Parametros'!$B$3*(AB330-(AC330*1.25*'Parametros'!$B$3/(0.85*'Parametros'!$B$2*H330))/2)/1000000</f>
        <v>244.158843198529</v>
      </c>
      <c r="AH330" s="10">
        <f>N330+(AF330+AG330)/D330</f>
        <v>459.607983107585</v>
      </c>
      <c r="AI330" s="10">
        <f>MAX(O330,AH330)</f>
        <v>702.331</v>
      </c>
      <c r="AJ330" s="10">
        <f>0.17*SQRT('Parametros'!$B$2)*H330*MIN(U330,AB330)/1000</f>
        <v>220.098728691808</v>
      </c>
      <c r="AK330" s="10">
        <f>MAX(AI330/'Parametros'!$B$6-AJ330,0)</f>
        <v>716.342604641526</v>
      </c>
      <c r="AL330" s="10">
        <f>0.66*SQRT('Parametros'!$B$2)*H330*MIN(U330,AB330)/1000</f>
        <v>854.500946685842</v>
      </c>
      <c r="AM330" s="10" t="str">
        <f>IF(AK330&lt;=AL330,"CUMPLE","NO CUMPLE")</f>
        <v>CUMPLE</v>
      </c>
      <c r="AN330" s="17" t="inlineStr">
        <is>
          <t>Nº3 cerrado</t>
        </is>
      </c>
      <c r="AO330" s="31" t="n">
        <v>4</v>
      </c>
      <c r="AP330" s="10">
        <f>ROUNDDOWN(MIN(IF(BC330+BD330=0,1000000000,AO330*BB330/(BC330+BD330)),MIN(U330,AB330)/4,8*'Parametros'!$B$12,24*BA330,300,IF(AV330=0,1000000000,2*((H330-2*('Parametros'!$B$7+'Parametros'!$B$9/2))+(I330-2*('Parametros'!$B$7+'Parametros'!$B$9/2)))/8))/10,0)*10</f>
        <v>80</v>
      </c>
      <c r="AQ330" s="10">
        <f>ROUNDDOWN(MIN(IF(BC330+BD330=0,1000000000,AO330*BB330/(BC330+BD330)),IF(AK330&gt;0.33*SQRT('Parametros'!$B$2)*H330*MIN(U330,AB330)/1000,MIN(U330,AB330)/4,MIN(U330,AB330)/2),600,IF(AV330=0,1000000000,2*((H330-2*('Parametros'!$B$7+'Parametros'!$B$9/2))+(I330-2*('Parametros'!$B$7+'Parametros'!$B$9/2)))/8))/10,0)*10</f>
        <v>80</v>
      </c>
      <c r="AR330" s="10">
        <f>'Parametros'!$B$6*(AJ330+MAX(BE330-BD330,0)*'Parametros'!$B$4*MIN(U330,AB330)/1000)</f>
        <v>712.289684018856</v>
      </c>
      <c r="AS330" s="10" t="str">
        <f>IF(AND(ISERROR(SEARCH("referencia",AN330)),AM330="CUMPLE",AR330&gt;=AI330),"CUMPLE","NO CUMPLE")</f>
        <v>CUMPLE</v>
      </c>
      <c r="AT330" s="10">
        <f>'Parametros'!$B$6*0.083*SQRT('Parametros'!$B$2)*(H330*I330)^2/(2*(H330+I330))/1000000</f>
        <v>11.862178757599</v>
      </c>
      <c r="AU330" s="10" t="str">
        <f>IF(Q330&lt;=AT330,"DESPRECIABLE","DISEÑAR")</f>
        <v>DESPRECIABLE</v>
      </c>
      <c r="AV330" s="10">
        <f>IF(Q330&lt;=AT330,0,Q330*1000000/('Parametros'!$B$6*2*0.85*(H330-2*('Parametros'!$B$7+'Parametros'!$B$9/2))*(I330-2*('Parametros'!$B$7+'Parametros'!$B$9/2))*'Parametros'!$B$4))</f>
        <v>0</v>
      </c>
      <c r="AW330" s="10">
        <f>AV330*2*((H330-2*('Parametros'!$B$7+'Parametros'!$B$9/2))+(I330-2*('Parametros'!$B$7+'Parametros'!$B$9/2)))*'Parametros'!$B$4/'Parametros'!$B$3</f>
        <v>0</v>
      </c>
      <c r="AX330" s="31" t="n">
        <v>0</v>
      </c>
      <c r="AY330" s="10" t="str">
        <f>IF(AV330=0,"DESPRECIABLE",IF(AND(ISERROR(SEARCH("referencia",AN330)),BB330/AP330&gt;=AV330,BI330&gt;=AW330,BH330="CUMPLE"),"CUMPLE","NO CUMPLE"))</f>
        <v>DESPRECIABLE</v>
      </c>
      <c r="AZ330" s="10" t="str">
        <f>IF(AND(X330="CUMPLE",AE330="CUMPLE",AS330="CUMPLE",OR(AY330="CUMPLE",AY330="DESPRECIABLE"),BH330="CUMPLE",BJ330="CUMPLE"),"CUMPLE","NO CUMPLE")</f>
        <v>CUMPLE</v>
      </c>
      <c r="BA330" s="32" t="n">
        <v>9.5</v>
      </c>
      <c r="BB330" s="32" t="n">
        <v>71</v>
      </c>
      <c r="BC330" s="10">
        <f>MAX(IF(AK330=0,0,AK330*1000/('Parametros'!$B$4*MIN(U330,AB330))),MAX(0.062*SQRT('Parametros'!$B$2)*H330/'Parametros'!$B$4,0.35*H330/'Parametros'!$B$4))</f>
        <v>3.48539415571446</v>
      </c>
      <c r="BD330" s="10">
        <f>2*AV330</f>
        <v>0</v>
      </c>
      <c r="BE330" s="10">
        <f>AO330*BB330/AP330</f>
        <v>3.55</v>
      </c>
      <c r="BF330" s="10">
        <f>SQRT((AI330*1000/(H330*MIN(U330,AB330)))^2+(Q330*1000000*2*((H330-2*('Parametros'!$B$7+'Parametros'!$B$9/2))+(I330-2*('Parametros'!$B$7+'Parametros'!$B$9/2)))/(1.7*((H330-2*('Parametros'!$B$7+'Parametros'!$B$9/2))*(I330-2*('Parametros'!$B$7+'Parametros'!$B$9/2)))^2))^2)</f>
        <v>2.87698921171937</v>
      </c>
      <c r="BG330" s="10">
        <f>'Parametros'!$B$6*(AJ330*1000/(H330*MIN(U330,AB330))+0.66*SQRT('Parametros'!$B$2))</f>
        <v>3.29396038227542</v>
      </c>
      <c r="BH330" s="10" t="str">
        <f>IF(BF330&lt;=BG330,"CUMPLE","NO CUMPLE")</f>
        <v>CUMPLE</v>
      </c>
      <c r="BI330" s="10">
        <f>AX330*'Parametros'!$B$8</f>
        <v>0</v>
      </c>
      <c r="BJ330" s="10" t="str">
        <f>IF(BI330&gt;=AW330,"CUMPLE","NO CUMPLE")</f>
        <v>CUMPLE</v>
      </c>
    </row>
    <row r="331">
      <c r="A331" s="24" t="inlineStr">
        <is>
          <t>VR N1</t>
        </is>
      </c>
      <c r="B331" s="24" t="inlineStr">
        <is>
          <t>8</t>
        </is>
      </c>
      <c r="C331" s="10" t="n">
        <v>1</v>
      </c>
      <c r="D331" s="10" t="n">
        <v>2</v>
      </c>
      <c r="E331" s="10" t="n">
        <v>2</v>
      </c>
      <c r="F331" s="10" t="n">
        <v>500</v>
      </c>
      <c r="G331" s="10" t="n">
        <v>550</v>
      </c>
      <c r="H331" s="17" t="n">
        <v>500</v>
      </c>
      <c r="I331" s="17" t="n">
        <v>550</v>
      </c>
      <c r="J331" s="30" t="n">
        <v>175.8838</v>
      </c>
      <c r="K331" s="10" t="inlineStr">
        <is>
          <t>8</t>
        </is>
      </c>
      <c r="L331" s="30" t="n">
        <v>143.3077</v>
      </c>
      <c r="M331" s="10" t="inlineStr">
        <is>
          <t>8</t>
        </is>
      </c>
      <c r="N331" s="30" t="n">
        <v>164.752</v>
      </c>
      <c r="O331" s="30" t="n">
        <v>634.582</v>
      </c>
      <c r="P331" s="10" t="inlineStr">
        <is>
          <t>8</t>
        </is>
      </c>
      <c r="Q331" s="30" t="n">
        <v>10.9364</v>
      </c>
      <c r="R331" s="10">
        <f>MAX(MAX(1.4/'Parametros'!$B$3,0.25*SQRT('Parametros'!$B$2)/'Parametros'!$B$3)*H331*U331,(0.85*'Parametros'!$B$2/'Parametros'!$B$3)*(1-SQRT(1-2*(J331*1000000/('Parametros'!$B$5*H331*U331^2))/(0.85*'Parametros'!$B$2)))*H331*U331)</f>
        <v>985.908389284262</v>
      </c>
      <c r="S331" s="31" t="n">
        <v>5</v>
      </c>
      <c r="T331" s="32" t="n">
        <v>1</v>
      </c>
      <c r="U331" s="10">
        <f>IF(T331=1,I331-('Parametros'!$B$7+'Parametros'!$B$9+'Parametros'!$B$12/2),I331-(ROUNDUP(S331/2,0)*('Parametros'!$B$7+'Parametros'!$B$9+'Parametros'!$B$12/2)+ROUNDDOWN(S331/2,0)*('Parametros'!$B$7+'Parametros'!$B$9+'Parametros'!$B$12/2+'Parametros'!$B$12+'Parametros'!$B$10))/S331)</f>
        <v>489.35</v>
      </c>
      <c r="V331" s="10">
        <f>S331*'Parametros'!$B$8</f>
        <v>995</v>
      </c>
      <c r="W331" s="10">
        <f>'Parametros'!$B$5*V331*'Parametros'!$B$3*(U331-(V331*'Parametros'!$B$3/(0.85*'Parametros'!$B$2*H331))/2)/1000000</f>
        <v>177.445379382353</v>
      </c>
      <c r="X331" s="10" t="str">
        <f>IF(W331&gt;=J331,"CUMPLE","NO CUMPLE")</f>
        <v>CUMPLE</v>
      </c>
      <c r="Y331" s="10">
        <f>MAX(MAX(1.4/'Parametros'!$B$3,0.25*SQRT('Parametros'!$B$2)/'Parametros'!$B$3)*H331*AB331,(0.85*'Parametros'!$B$2/'Parametros'!$B$3)*(1-SQRT(1-2*(L331*1000000/('Parametros'!$B$5*H331*AB331^2))/(0.85*'Parametros'!$B$2)))*H331*AB331)</f>
        <v>815.583333333333</v>
      </c>
      <c r="Z331" s="31" t="n">
        <v>5</v>
      </c>
      <c r="AA331" s="32" t="n">
        <v>1</v>
      </c>
      <c r="AB331" s="10">
        <f>IF(AA331=1,I331-('Parametros'!$B$7+'Parametros'!$B$9+'Parametros'!$B$12/2),I331-(ROUNDUP(Z331/2,0)*('Parametros'!$B$7+'Parametros'!$B$9+'Parametros'!$B$12/2)+ROUNDDOWN(Z331/2,0)*('Parametros'!$B$7+'Parametros'!$B$9+'Parametros'!$B$12/2+'Parametros'!$B$12+'Parametros'!$B$10))/Z331)</f>
        <v>489.35</v>
      </c>
      <c r="AC331" s="10">
        <f>Z331*'Parametros'!$B$8</f>
        <v>995</v>
      </c>
      <c r="AD331" s="10">
        <f>'Parametros'!$B$5*AC331*'Parametros'!$B$3*(AB331-(AC331*'Parametros'!$B$3/(0.85*'Parametros'!$B$2*H331))/2)/1000000</f>
        <v>177.445379382353</v>
      </c>
      <c r="AE331" s="10" t="str">
        <f>IF(AD331&gt;=L331,"CUMPLE","NO CUMPLE")</f>
        <v>CUMPLE</v>
      </c>
      <c r="AF331" s="10">
        <f>V331*1.25*'Parametros'!$B$3*(U331-(V331*1.25*'Parametros'!$B$3/(0.85*'Parametros'!$B$2*H331))/2)/1000000</f>
        <v>244.158843198529</v>
      </c>
      <c r="AG331" s="10">
        <f>AC331*1.25*'Parametros'!$B$3*(AB331-(AC331*1.25*'Parametros'!$B$3/(0.85*'Parametros'!$B$2*H331))/2)/1000000</f>
        <v>244.158843198529</v>
      </c>
      <c r="AH331" s="10">
        <f>N331+(AF331+AG331)/D331</f>
        <v>408.910843198529</v>
      </c>
      <c r="AI331" s="10">
        <f>MAX(O331,AH331)</f>
        <v>634.582</v>
      </c>
      <c r="AJ331" s="10">
        <f>0.17*SQRT('Parametros'!$B$2)*H331*MIN(U331,AB331)/1000</f>
        <v>220.098728691808</v>
      </c>
      <c r="AK331" s="10">
        <f>MAX(AI331/'Parametros'!$B$6-AJ331,0)</f>
        <v>626.010604641526</v>
      </c>
      <c r="AL331" s="10">
        <f>0.66*SQRT('Parametros'!$B$2)*H331*MIN(U331,AB331)/1000</f>
        <v>854.500946685842</v>
      </c>
      <c r="AM331" s="10" t="str">
        <f>IF(AK331&lt;=AL331,"CUMPLE","NO CUMPLE")</f>
        <v>CUMPLE</v>
      </c>
      <c r="AN331" s="17" t="inlineStr">
        <is>
          <t>Nº4 cerrado</t>
        </is>
      </c>
      <c r="AO331" s="31" t="n">
        <v>2</v>
      </c>
      <c r="AP331" s="10">
        <f>ROUNDDOWN(MIN(IF(BC331+BD331=0,1000000000,AO331*BB331/(BC331+BD331)),MIN(U331,AB331)/4,8*'Parametros'!$B$12,24*BA331,300,IF(AV331=0,1000000000,2*((H331-2*('Parametros'!$B$7+'Parametros'!$B$9/2))+(I331-2*('Parametros'!$B$7+'Parametros'!$B$9/2)))/8))/10,0)*10</f>
        <v>80</v>
      </c>
      <c r="AQ331" s="10">
        <f>ROUNDDOWN(MIN(IF(BC331+BD331=0,1000000000,AO331*BB331/(BC331+BD331)),IF(AK331&gt;0.33*SQRT('Parametros'!$B$2)*H331*MIN(U331,AB331)/1000,MIN(U331,AB331)/4,MIN(U331,AB331)/2),600,IF(AV331=0,1000000000,2*((H331-2*('Parametros'!$B$7+'Parametros'!$B$9/2))+(I331-2*('Parametros'!$B$7+'Parametros'!$B$9/2)))/8))/10,0)*10</f>
        <v>80</v>
      </c>
      <c r="AR331" s="10">
        <f>'Parametros'!$B$6*(AJ331+MAX(BE331-BD331,0)*'Parametros'!$B$4*MIN(U331,AB331)/1000)</f>
        <v>662.192477768856</v>
      </c>
      <c r="AS331" s="10" t="str">
        <f>IF(AND(ISERROR(SEARCH("referencia",AN331)),AM331="CUMPLE",AR331&gt;=AI331),"CUMPLE","NO CUMPLE")</f>
        <v>CUMPLE</v>
      </c>
      <c r="AT331" s="10">
        <f>'Parametros'!$B$6*0.083*SQRT('Parametros'!$B$2)*(H331*I331)^2/(2*(H331+I331))/1000000</f>
        <v>11.862178757599</v>
      </c>
      <c r="AU331" s="10" t="str">
        <f>IF(Q331&lt;=AT331,"DESPRECIABLE","DISEÑAR")</f>
        <v>DESPRECIABLE</v>
      </c>
      <c r="AV331" s="10">
        <f>IF(Q331&lt;=AT331,0,Q331*1000000/('Parametros'!$B$6*2*0.85*(H331-2*('Parametros'!$B$7+'Parametros'!$B$9/2))*(I331-2*('Parametros'!$B$7+'Parametros'!$B$9/2))*'Parametros'!$B$4))</f>
        <v>0</v>
      </c>
      <c r="AW331" s="10">
        <f>AV331*2*((H331-2*('Parametros'!$B$7+'Parametros'!$B$9/2))+(I331-2*('Parametros'!$B$7+'Parametros'!$B$9/2)))*'Parametros'!$B$4/'Parametros'!$B$3</f>
        <v>0</v>
      </c>
      <c r="AX331" s="31" t="n">
        <v>0</v>
      </c>
      <c r="AY331" s="10" t="str">
        <f>IF(AV331=0,"DESPRECIABLE",IF(AND(ISERROR(SEARCH("referencia",AN331)),BB331/AP331&gt;=AV331,BI331&gt;=AW331,BH331="CUMPLE"),"CUMPLE","NO CUMPLE"))</f>
        <v>DESPRECIABLE</v>
      </c>
      <c r="AZ331" s="10" t="str">
        <f>IF(AND(X331="CUMPLE",AE331="CUMPLE",AS331="CUMPLE",OR(AY331="CUMPLE",AY331="DESPRECIABLE"),BH331="CUMPLE",BJ331="CUMPLE"),"CUMPLE","NO CUMPLE")</f>
        <v>CUMPLE</v>
      </c>
      <c r="BA331" s="32" t="n">
        <v>12.7</v>
      </c>
      <c r="BB331" s="32" t="n">
        <v>129</v>
      </c>
      <c r="BC331" s="10">
        <f>MAX(IF(AK331=0,0,AK331*1000/('Parametros'!$B$4*MIN(U331,AB331))),MAX(0.062*SQRT('Parametros'!$B$2)*H331/'Parametros'!$B$4,0.35*H331/'Parametros'!$B$4))</f>
        <v>3.04588012592762</v>
      </c>
      <c r="BD331" s="10">
        <f>2*AV331</f>
        <v>0</v>
      </c>
      <c r="BE331" s="10">
        <f>AO331*BB331/AP331</f>
        <v>3.225</v>
      </c>
      <c r="BF331" s="10">
        <f>SQRT((AI331*1000/(H331*MIN(U331,AB331)))^2+(Q331*1000000*2*((H331-2*('Parametros'!$B$7+'Parametros'!$B$9/2))+(I331-2*('Parametros'!$B$7+'Parametros'!$B$9/2)))/(1.7*((H331-2*('Parametros'!$B$7+'Parametros'!$B$9/2))*(I331-2*('Parametros'!$B$7+'Parametros'!$B$9/2)))^2))^2)</f>
        <v>2.61331804015667</v>
      </c>
      <c r="BG331" s="10">
        <f>'Parametros'!$B$6*(AJ331*1000/(H331*MIN(U331,AB331))+0.66*SQRT('Parametros'!$B$2))</f>
        <v>3.29396038227542</v>
      </c>
      <c r="BH331" s="10" t="str">
        <f>IF(BF331&lt;=BG331,"CUMPLE","NO CUMPLE")</f>
        <v>CUMPLE</v>
      </c>
      <c r="BI331" s="10">
        <f>AX331*'Parametros'!$B$8</f>
        <v>0</v>
      </c>
      <c r="BJ331" s="10" t="str">
        <f>IF(BI331&gt;=AW331,"CUMPLE","NO CUMPLE")</f>
        <v>CUMPLE</v>
      </c>
    </row>
    <row r="332">
      <c r="A332" s="24" t="inlineStr">
        <is>
          <t>VR N1</t>
        </is>
      </c>
      <c r="B332" s="24" t="inlineStr">
        <is>
          <t>9</t>
        </is>
      </c>
      <c r="C332" s="10" t="n">
        <v>1</v>
      </c>
      <c r="D332" s="10" t="n">
        <v>3.05</v>
      </c>
      <c r="E332" s="10" t="n">
        <v>3.05</v>
      </c>
      <c r="F332" s="10" t="n">
        <v>500</v>
      </c>
      <c r="G332" s="10" t="n">
        <v>550</v>
      </c>
      <c r="H332" s="17" t="n">
        <v>500</v>
      </c>
      <c r="I332" s="17" t="n">
        <v>550</v>
      </c>
      <c r="J332" s="30" t="n">
        <v>177.8775</v>
      </c>
      <c r="K332" s="10" t="inlineStr">
        <is>
          <t>9</t>
        </is>
      </c>
      <c r="L332" s="30" t="n">
        <v>119.0709</v>
      </c>
      <c r="M332" s="10" t="inlineStr">
        <is>
          <t>9</t>
        </is>
      </c>
      <c r="N332" s="30" t="n">
        <v>142.337</v>
      </c>
      <c r="O332" s="30" t="n">
        <v>447.782</v>
      </c>
      <c r="P332" s="10" t="inlineStr">
        <is>
          <t>9</t>
        </is>
      </c>
      <c r="Q332" s="30" t="n">
        <v>6.4509</v>
      </c>
      <c r="R332" s="10">
        <f>MAX(MAX(1.4/'Parametros'!$B$3,0.25*SQRT('Parametros'!$B$2)/'Parametros'!$B$3)*H332*U332,(0.85*'Parametros'!$B$2/'Parametros'!$B$3)*(1-SQRT(1-2*(J332*1000000/('Parametros'!$B$5*H332*U332^2))/(0.85*'Parametros'!$B$2)))*H332*U332)</f>
        <v>997.516967420049</v>
      </c>
      <c r="S332" s="31" t="n">
        <v>6</v>
      </c>
      <c r="T332" s="32" t="n">
        <v>1</v>
      </c>
      <c r="U332" s="10">
        <f>IF(T332=1,I332-('Parametros'!$B$7+'Parametros'!$B$9+'Parametros'!$B$12/2),I332-(ROUNDUP(S332/2,0)*('Parametros'!$B$7+'Parametros'!$B$9+'Parametros'!$B$12/2)+ROUNDDOWN(S332/2,0)*('Parametros'!$B$7+'Parametros'!$B$9+'Parametros'!$B$12/2+'Parametros'!$B$12+'Parametros'!$B$10))/S332)</f>
        <v>489.35</v>
      </c>
      <c r="V332" s="10">
        <f>S332*'Parametros'!$B$8</f>
        <v>1194</v>
      </c>
      <c r="W332" s="10">
        <f>'Parametros'!$B$5*V332*'Parametros'!$B$3*(U332-(V332*'Parametros'!$B$3/(0.85*'Parametros'!$B$2*H332))/2)/1000000</f>
        <v>211.349483470588</v>
      </c>
      <c r="X332" s="10" t="str">
        <f>IF(W332&gt;=J332,"CUMPLE","NO CUMPLE")</f>
        <v>CUMPLE</v>
      </c>
      <c r="Y332" s="10">
        <f>MAX(MAX(1.4/'Parametros'!$B$3,0.25*SQRT('Parametros'!$B$2)/'Parametros'!$B$3)*H332*AB332,(0.85*'Parametros'!$B$2/'Parametros'!$B$3)*(1-SQRT(1-2*(L332*1000000/('Parametros'!$B$5*H332*AB332^2))/(0.85*'Parametros'!$B$2)))*H332*AB332)</f>
        <v>815.583333333333</v>
      </c>
      <c r="Z332" s="31" t="n">
        <v>5</v>
      </c>
      <c r="AA332" s="32" t="n">
        <v>1</v>
      </c>
      <c r="AB332" s="10">
        <f>IF(AA332=1,I332-('Parametros'!$B$7+'Parametros'!$B$9+'Parametros'!$B$12/2),I332-(ROUNDUP(Z332/2,0)*('Parametros'!$B$7+'Parametros'!$B$9+'Parametros'!$B$12/2)+ROUNDDOWN(Z332/2,0)*('Parametros'!$B$7+'Parametros'!$B$9+'Parametros'!$B$12/2+'Parametros'!$B$12+'Parametros'!$B$10))/Z332)</f>
        <v>489.35</v>
      </c>
      <c r="AC332" s="10">
        <f>Z332*'Parametros'!$B$8</f>
        <v>995</v>
      </c>
      <c r="AD332" s="10">
        <f>'Parametros'!$B$5*AC332*'Parametros'!$B$3*(AB332-(AC332*'Parametros'!$B$3/(0.85*'Parametros'!$B$2*H332))/2)/1000000</f>
        <v>177.445379382353</v>
      </c>
      <c r="AE332" s="10" t="str">
        <f>IF(AD332&gt;=L332,"CUMPLE","NO CUMPLE")</f>
        <v>CUMPLE</v>
      </c>
      <c r="AF332" s="10">
        <f>V332*1.25*'Parametros'!$B$3*(U332-(V332*1.25*'Parametros'!$B$3/(0.85*'Parametros'!$B$2*H332))/2)/1000000</f>
        <v>290.238924705882</v>
      </c>
      <c r="AG332" s="10">
        <f>AC332*1.25*'Parametros'!$B$3*(AB332-(AC332*1.25*'Parametros'!$B$3/(0.85*'Parametros'!$B$2*H332))/2)/1000000</f>
        <v>244.158843198529</v>
      </c>
      <c r="AH332" s="10">
        <f>N332+(AF332+AG332)/D332</f>
        <v>317.549382919479</v>
      </c>
      <c r="AI332" s="10">
        <f>MAX(O332,AH332)</f>
        <v>447.782</v>
      </c>
      <c r="AJ332" s="10">
        <f>0.17*SQRT('Parametros'!$B$2)*H332*MIN(U332,AB332)/1000</f>
        <v>220.098728691808</v>
      </c>
      <c r="AK332" s="10">
        <f>MAX(AI332/'Parametros'!$B$6-AJ332,0)</f>
        <v>376.943937974859</v>
      </c>
      <c r="AL332" s="10">
        <f>0.66*SQRT('Parametros'!$B$2)*H332*MIN(U332,AB332)/1000</f>
        <v>854.500946685842</v>
      </c>
      <c r="AM332" s="10" t="str">
        <f>IF(AK332&lt;=AL332,"CUMPLE","NO CUMPLE")</f>
        <v>CUMPLE</v>
      </c>
      <c r="AN332" s="17" t="inlineStr">
        <is>
          <t>Nº4 cerrado</t>
        </is>
      </c>
      <c r="AO332" s="31" t="n">
        <v>2</v>
      </c>
      <c r="AP332" s="10">
        <f>ROUNDDOWN(MIN(IF(BC332+BD332=0,1000000000,AO332*BB332/(BC332+BD332)),MIN(U332,AB332)/4,8*'Parametros'!$B$12,24*BA332,300,IF(AV332=0,1000000000,2*((H332-2*('Parametros'!$B$7+'Parametros'!$B$9/2))+(I332-2*('Parametros'!$B$7+'Parametros'!$B$9/2)))/8))/10,0)*10</f>
        <v>120</v>
      </c>
      <c r="AQ332" s="10">
        <f>ROUNDDOWN(MIN(IF(BC332+BD332=0,1000000000,AO332*BB332/(BC332+BD332)),IF(AK332&gt;0.33*SQRT('Parametros'!$B$2)*H332*MIN(U332,AB332)/1000,MIN(U332,AB332)/4,MIN(U332,AB332)/2),600,IF(AV332=0,1000000000,2*((H332-2*('Parametros'!$B$7+'Parametros'!$B$9/2))+(I332-2*('Parametros'!$B$7+'Parametros'!$B$9/2)))/8))/10,0)*10</f>
        <v>140</v>
      </c>
      <c r="AR332" s="10">
        <f>'Parametros'!$B$6*(AJ332+MAX(BE332-BD332,0)*'Parametros'!$B$4*MIN(U332,AB332)/1000)</f>
        <v>496.486334018856</v>
      </c>
      <c r="AS332" s="10" t="str">
        <f>IF(AND(ISERROR(SEARCH("referencia",AN332)),AM332="CUMPLE",AR332&gt;=AI332),"CUMPLE","NO CUMPLE")</f>
        <v>CUMPLE</v>
      </c>
      <c r="AT332" s="10">
        <f>'Parametros'!$B$6*0.083*SQRT('Parametros'!$B$2)*(H332*I332)^2/(2*(H332+I332))/1000000</f>
        <v>11.862178757599</v>
      </c>
      <c r="AU332" s="10" t="str">
        <f>IF(Q332&lt;=AT332,"DESPRECIABLE","DISEÑAR")</f>
        <v>DESPRECIABLE</v>
      </c>
      <c r="AV332" s="10">
        <f>IF(Q332&lt;=AT332,0,Q332*1000000/('Parametros'!$B$6*2*0.85*(H332-2*('Parametros'!$B$7+'Parametros'!$B$9/2))*(I332-2*('Parametros'!$B$7+'Parametros'!$B$9/2))*'Parametros'!$B$4))</f>
        <v>0</v>
      </c>
      <c r="AW332" s="10">
        <f>AV332*2*((H332-2*('Parametros'!$B$7+'Parametros'!$B$9/2))+(I332-2*('Parametros'!$B$7+'Parametros'!$B$9/2)))*'Parametros'!$B$4/'Parametros'!$B$3</f>
        <v>0</v>
      </c>
      <c r="AX332" s="31" t="n">
        <v>0</v>
      </c>
      <c r="AY332" s="10" t="str">
        <f>IF(AV332=0,"DESPRECIABLE",IF(AND(ISERROR(SEARCH("referencia",AN332)),BB332/AP332&gt;=AV332,BI332&gt;=AW332,BH332="CUMPLE"),"CUMPLE","NO CUMPLE"))</f>
        <v>DESPRECIABLE</v>
      </c>
      <c r="AZ332" s="10" t="str">
        <f>IF(AND(X332="CUMPLE",AE332="CUMPLE",AS332="CUMPLE",OR(AY332="CUMPLE",AY332="DESPRECIABLE"),BH332="CUMPLE",BJ332="CUMPLE"),"CUMPLE","NO CUMPLE")</f>
        <v>CUMPLE</v>
      </c>
      <c r="BA332" s="32" t="n">
        <v>12.7</v>
      </c>
      <c r="BB332" s="32" t="n">
        <v>129</v>
      </c>
      <c r="BC332" s="10">
        <f>MAX(IF(AK332=0,0,AK332*1000/('Parametros'!$B$4*MIN(U332,AB332))),MAX(0.062*SQRT('Parametros'!$B$2)*H332/'Parametros'!$B$4,0.35*H332/'Parametros'!$B$4))</f>
        <v>1.83403610219027</v>
      </c>
      <c r="BD332" s="10">
        <f>2*AV332</f>
        <v>0</v>
      </c>
      <c r="BE332" s="10">
        <f>AO332*BB332/AP332</f>
        <v>2.15</v>
      </c>
      <c r="BF332" s="10">
        <f>SQRT((AI332*1000/(H332*MIN(U332,AB332)))^2+(Q332*1000000*2*((H332-2*('Parametros'!$B$7+'Parametros'!$B$9/2))+(I332-2*('Parametros'!$B$7+'Parametros'!$B$9/2)))/(1.7*((H332-2*('Parametros'!$B$7+'Parametros'!$B$9/2))*(I332-2*('Parametros'!$B$7+'Parametros'!$B$9/2)))^2))^2)</f>
        <v>1.83985717525163</v>
      </c>
      <c r="BG332" s="10">
        <f>'Parametros'!$B$6*(AJ332*1000/(H332*MIN(U332,AB332))+0.66*SQRT('Parametros'!$B$2))</f>
        <v>3.29396038227542</v>
      </c>
      <c r="BH332" s="10" t="str">
        <f>IF(BF332&lt;=BG332,"CUMPLE","NO CUMPLE")</f>
        <v>CUMPLE</v>
      </c>
      <c r="BI332" s="10">
        <f>AX332*'Parametros'!$B$8</f>
        <v>0</v>
      </c>
      <c r="BJ332" s="10" t="str">
        <f>IF(BI332&gt;=AW332,"CUMPLE","NO CUMPLE")</f>
        <v>CUMPLE</v>
      </c>
    </row>
    <row r="333">
      <c r="A333" s="24" t="inlineStr">
        <is>
          <t>VR N1</t>
        </is>
      </c>
      <c r="B333" s="24" t="inlineStr">
        <is>
          <t>10</t>
        </is>
      </c>
      <c r="C333" s="10" t="n">
        <v>1</v>
      </c>
      <c r="D333" s="10" t="n">
        <v>2</v>
      </c>
      <c r="E333" s="10" t="n">
        <v>2</v>
      </c>
      <c r="F333" s="10" t="n">
        <v>500</v>
      </c>
      <c r="G333" s="10" t="n">
        <v>550</v>
      </c>
      <c r="H333" s="17" t="n">
        <v>500</v>
      </c>
      <c r="I333" s="17" t="n">
        <v>550</v>
      </c>
      <c r="J333" s="30" t="n">
        <v>203.7311</v>
      </c>
      <c r="K333" s="10" t="inlineStr">
        <is>
          <t>10</t>
        </is>
      </c>
      <c r="L333" s="30" t="n">
        <v>164.8945</v>
      </c>
      <c r="M333" s="10" t="inlineStr">
        <is>
          <t>10</t>
        </is>
      </c>
      <c r="N333" s="30" t="n">
        <v>181.125</v>
      </c>
      <c r="O333" s="30" t="n">
        <v>703.269</v>
      </c>
      <c r="P333" s="10" t="inlineStr">
        <is>
          <t>10</t>
        </is>
      </c>
      <c r="Q333" s="30" t="n">
        <v>4.4015</v>
      </c>
      <c r="R333" s="10">
        <f>MAX(MAX(1.4/'Parametros'!$B$3,0.25*SQRT('Parametros'!$B$2)/'Parametros'!$B$3)*H333*U333,(0.85*'Parametros'!$B$2/'Parametros'!$B$3)*(1-SQRT(1-2*(J333*1000000/('Parametros'!$B$5*H333*U333^2))/(0.85*'Parametros'!$B$2)))*H333*U333)</f>
        <v>1149.01265322435</v>
      </c>
      <c r="S333" s="31" t="n">
        <v>6</v>
      </c>
      <c r="T333" s="32" t="n">
        <v>1</v>
      </c>
      <c r="U333" s="10">
        <f>IF(T333=1,I333-('Parametros'!$B$7+'Parametros'!$B$9+'Parametros'!$B$12/2),I333-(ROUNDUP(S333/2,0)*('Parametros'!$B$7+'Parametros'!$B$9+'Parametros'!$B$12/2)+ROUNDDOWN(S333/2,0)*('Parametros'!$B$7+'Parametros'!$B$9+'Parametros'!$B$12/2+'Parametros'!$B$12+'Parametros'!$B$10))/S333)</f>
        <v>489.35</v>
      </c>
      <c r="V333" s="10">
        <f>S333*'Parametros'!$B$8</f>
        <v>1194</v>
      </c>
      <c r="W333" s="10">
        <f>'Parametros'!$B$5*V333*'Parametros'!$B$3*(U333-(V333*'Parametros'!$B$3/(0.85*'Parametros'!$B$2*H333))/2)/1000000</f>
        <v>211.349483470588</v>
      </c>
      <c r="X333" s="10" t="str">
        <f>IF(W333&gt;=J333,"CUMPLE","NO CUMPLE")</f>
        <v>CUMPLE</v>
      </c>
      <c r="Y333" s="10">
        <f>MAX(MAX(1.4/'Parametros'!$B$3,0.25*SQRT('Parametros'!$B$2)/'Parametros'!$B$3)*H333*AB333,(0.85*'Parametros'!$B$2/'Parametros'!$B$3)*(1-SQRT(1-2*(L333*1000000/('Parametros'!$B$5*H333*AB333^2))/(0.85*'Parametros'!$B$2)))*H333*AB333)</f>
        <v>922.108619924631</v>
      </c>
      <c r="Z333" s="31" t="n">
        <v>5</v>
      </c>
      <c r="AA333" s="32" t="n">
        <v>1</v>
      </c>
      <c r="AB333" s="10">
        <f>IF(AA333=1,I333-('Parametros'!$B$7+'Parametros'!$B$9+'Parametros'!$B$12/2),I333-(ROUNDUP(Z333/2,0)*('Parametros'!$B$7+'Parametros'!$B$9+'Parametros'!$B$12/2)+ROUNDDOWN(Z333/2,0)*('Parametros'!$B$7+'Parametros'!$B$9+'Parametros'!$B$12/2+'Parametros'!$B$12+'Parametros'!$B$10))/Z333)</f>
        <v>489.35</v>
      </c>
      <c r="AC333" s="10">
        <f>Z333*'Parametros'!$B$8</f>
        <v>995</v>
      </c>
      <c r="AD333" s="10">
        <f>'Parametros'!$B$5*AC333*'Parametros'!$B$3*(AB333-(AC333*'Parametros'!$B$3/(0.85*'Parametros'!$B$2*H333))/2)/1000000</f>
        <v>177.445379382353</v>
      </c>
      <c r="AE333" s="10" t="str">
        <f>IF(AD333&gt;=L333,"CUMPLE","NO CUMPLE")</f>
        <v>CUMPLE</v>
      </c>
      <c r="AF333" s="10">
        <f>V333*1.25*'Parametros'!$B$3*(U333-(V333*1.25*'Parametros'!$B$3/(0.85*'Parametros'!$B$2*H333))/2)/1000000</f>
        <v>290.238924705882</v>
      </c>
      <c r="AG333" s="10">
        <f>AC333*1.25*'Parametros'!$B$3*(AB333-(AC333*1.25*'Parametros'!$B$3/(0.85*'Parametros'!$B$2*H333))/2)/1000000</f>
        <v>244.158843198529</v>
      </c>
      <c r="AH333" s="10">
        <f>N333+(AF333+AG333)/D333</f>
        <v>448.323883952206</v>
      </c>
      <c r="AI333" s="10">
        <f>MAX(O333,AH333)</f>
        <v>703.269</v>
      </c>
      <c r="AJ333" s="10">
        <f>0.17*SQRT('Parametros'!$B$2)*H333*MIN(U333,AB333)/1000</f>
        <v>220.098728691808</v>
      </c>
      <c r="AK333" s="10">
        <f>MAX(AI333/'Parametros'!$B$6-AJ333,0)</f>
        <v>717.593271308192</v>
      </c>
      <c r="AL333" s="10">
        <f>0.66*SQRT('Parametros'!$B$2)*H333*MIN(U333,AB333)/1000</f>
        <v>854.500946685842</v>
      </c>
      <c r="AM333" s="10" t="str">
        <f>IF(AK333&lt;=AL333,"CUMPLE","NO CUMPLE")</f>
        <v>CUMPLE</v>
      </c>
      <c r="AN333" s="17" t="inlineStr">
        <is>
          <t>Nº3 cerrado</t>
        </is>
      </c>
      <c r="AO333" s="31" t="n">
        <v>4</v>
      </c>
      <c r="AP333" s="10">
        <f>ROUNDDOWN(MIN(IF(BC333+BD333=0,1000000000,AO333*BB333/(BC333+BD333)),MIN(U333,AB333)/4,8*'Parametros'!$B$12,24*BA333,300,IF(AV333=0,1000000000,2*((H333-2*('Parametros'!$B$7+'Parametros'!$B$9/2))+(I333-2*('Parametros'!$B$7+'Parametros'!$B$9/2)))/8))/10,0)*10</f>
        <v>80</v>
      </c>
      <c r="AQ333" s="10">
        <f>ROUNDDOWN(MIN(IF(BC333+BD333=0,1000000000,AO333*BB333/(BC333+BD333)),IF(AK333&gt;0.33*SQRT('Parametros'!$B$2)*H333*MIN(U333,AB333)/1000,MIN(U333,AB333)/4,MIN(U333,AB333)/2),600,IF(AV333=0,1000000000,2*((H333-2*('Parametros'!$B$7+'Parametros'!$B$9/2))+(I333-2*('Parametros'!$B$7+'Parametros'!$B$9/2)))/8))/10,0)*10</f>
        <v>80</v>
      </c>
      <c r="AR333" s="10">
        <f>'Parametros'!$B$6*(AJ333+MAX(BE333-BD333,0)*'Parametros'!$B$4*MIN(U333,AB333)/1000)</f>
        <v>712.289684018856</v>
      </c>
      <c r="AS333" s="10" t="str">
        <f>IF(AND(ISERROR(SEARCH("referencia",AN333)),AM333="CUMPLE",AR333&gt;=AI333),"CUMPLE","NO CUMPLE")</f>
        <v>CUMPLE</v>
      </c>
      <c r="AT333" s="10">
        <f>'Parametros'!$B$6*0.083*SQRT('Parametros'!$B$2)*(H333*I333)^2/(2*(H333+I333))/1000000</f>
        <v>11.862178757599</v>
      </c>
      <c r="AU333" s="10" t="str">
        <f>IF(Q333&lt;=AT333,"DESPRECIABLE","DISEÑAR")</f>
        <v>DESPRECIABLE</v>
      </c>
      <c r="AV333" s="10">
        <f>IF(Q333&lt;=AT333,0,Q333*1000000/('Parametros'!$B$6*2*0.85*(H333-2*('Parametros'!$B$7+'Parametros'!$B$9/2))*(I333-2*('Parametros'!$B$7+'Parametros'!$B$9/2))*'Parametros'!$B$4))</f>
        <v>0</v>
      </c>
      <c r="AW333" s="10">
        <f>AV333*2*((H333-2*('Parametros'!$B$7+'Parametros'!$B$9/2))+(I333-2*('Parametros'!$B$7+'Parametros'!$B$9/2)))*'Parametros'!$B$4/'Parametros'!$B$3</f>
        <v>0</v>
      </c>
      <c r="AX333" s="31" t="n">
        <v>0</v>
      </c>
      <c r="AY333" s="10" t="str">
        <f>IF(AV333=0,"DESPRECIABLE",IF(AND(ISERROR(SEARCH("referencia",AN333)),BB333/AP333&gt;=AV333,BI333&gt;=AW333,BH333="CUMPLE"),"CUMPLE","NO CUMPLE"))</f>
        <v>DESPRECIABLE</v>
      </c>
      <c r="AZ333" s="10" t="str">
        <f>IF(AND(X333="CUMPLE",AE333="CUMPLE",AS333="CUMPLE",OR(AY333="CUMPLE",AY333="DESPRECIABLE"),BH333="CUMPLE",BJ333="CUMPLE"),"CUMPLE","NO CUMPLE")</f>
        <v>CUMPLE</v>
      </c>
      <c r="BA333" s="32" t="n">
        <v>9.5</v>
      </c>
      <c r="BB333" s="32" t="n">
        <v>71</v>
      </c>
      <c r="BC333" s="10">
        <f>MAX(IF(AK333=0,0,AK333*1000/('Parametros'!$B$4*MIN(U333,AB333))),MAX(0.062*SQRT('Parametros'!$B$2)*H333/'Parametros'!$B$4,0.35*H333/'Parametros'!$B$4))</f>
        <v>3.49147932538398</v>
      </c>
      <c r="BD333" s="10">
        <f>2*AV333</f>
        <v>0</v>
      </c>
      <c r="BE333" s="10">
        <f>AO333*BB333/AP333</f>
        <v>3.55</v>
      </c>
      <c r="BF333" s="10">
        <f>SQRT((AI333*1000/(H333*MIN(U333,AB333)))^2+(Q333*1000000*2*((H333-2*('Parametros'!$B$7+'Parametros'!$B$9/2))+(I333-2*('Parametros'!$B$7+'Parametros'!$B$9/2)))/(1.7*((H333-2*('Parametros'!$B$7+'Parametros'!$B$9/2))*(I333-2*('Parametros'!$B$7+'Parametros'!$B$9/2)))^2))^2)</f>
        <v>2.87719424218297</v>
      </c>
      <c r="BG333" s="10">
        <f>'Parametros'!$B$6*(AJ333*1000/(H333*MIN(U333,AB333))+0.66*SQRT('Parametros'!$B$2))</f>
        <v>3.29396038227542</v>
      </c>
      <c r="BH333" s="10" t="str">
        <f>IF(BF333&lt;=BG333,"CUMPLE","NO CUMPLE")</f>
        <v>CUMPLE</v>
      </c>
      <c r="BI333" s="10">
        <f>AX333*'Parametros'!$B$8</f>
        <v>0</v>
      </c>
      <c r="BJ333" s="10" t="str">
        <f>IF(BI333&gt;=AW333,"CUMPLE","NO CUMPLE")</f>
        <v>CUMPLE</v>
      </c>
    </row>
    <row r="334">
      <c r="A334" s="24" t="inlineStr">
        <is>
          <t>VR N1</t>
        </is>
      </c>
      <c r="B334" s="24" t="inlineStr">
        <is>
          <t>45</t>
        </is>
      </c>
      <c r="C334" s="10" t="n">
        <v>1</v>
      </c>
      <c r="D334" s="10" t="n">
        <v>2</v>
      </c>
      <c r="E334" s="10" t="n">
        <v>2</v>
      </c>
      <c r="F334" s="10" t="n">
        <v>500</v>
      </c>
      <c r="G334" s="10" t="n">
        <v>550</v>
      </c>
      <c r="H334" s="17" t="n">
        <v>500</v>
      </c>
      <c r="I334" s="17" t="n">
        <v>550</v>
      </c>
      <c r="J334" s="30" t="n">
        <v>203.665</v>
      </c>
      <c r="K334" s="10" t="inlineStr">
        <is>
          <t>45</t>
        </is>
      </c>
      <c r="L334" s="30" t="n">
        <v>164.9361</v>
      </c>
      <c r="M334" s="10" t="inlineStr">
        <is>
          <t>45</t>
        </is>
      </c>
      <c r="N334" s="30" t="n">
        <v>181.078</v>
      </c>
      <c r="O334" s="30" t="n">
        <v>703.224</v>
      </c>
      <c r="P334" s="10" t="inlineStr">
        <is>
          <t>45</t>
        </is>
      </c>
      <c r="Q334" s="30" t="n">
        <v>4.4005</v>
      </c>
      <c r="R334" s="10">
        <f>MAX(MAX(1.4/'Parametros'!$B$3,0.25*SQRT('Parametros'!$B$2)/'Parametros'!$B$3)*H334*U334,(0.85*'Parametros'!$B$2/'Parametros'!$B$3)*(1-SQRT(1-2*(J334*1000000/('Parametros'!$B$5*H334*U334^2))/(0.85*'Parametros'!$B$2)))*H334*U334)</f>
        <v>1148.6230222845</v>
      </c>
      <c r="S334" s="31" t="n">
        <v>6</v>
      </c>
      <c r="T334" s="32" t="n">
        <v>1</v>
      </c>
      <c r="U334" s="10">
        <f>IF(T334=1,I334-('Parametros'!$B$7+'Parametros'!$B$9+'Parametros'!$B$12/2),I334-(ROUNDUP(S334/2,0)*('Parametros'!$B$7+'Parametros'!$B$9+'Parametros'!$B$12/2)+ROUNDDOWN(S334/2,0)*('Parametros'!$B$7+'Parametros'!$B$9+'Parametros'!$B$12/2+'Parametros'!$B$12+'Parametros'!$B$10))/S334)</f>
        <v>489.35</v>
      </c>
      <c r="V334" s="10">
        <f>S334*'Parametros'!$B$8</f>
        <v>1194</v>
      </c>
      <c r="W334" s="10">
        <f>'Parametros'!$B$5*V334*'Parametros'!$B$3*(U334-(V334*'Parametros'!$B$3/(0.85*'Parametros'!$B$2*H334))/2)/1000000</f>
        <v>211.349483470588</v>
      </c>
      <c r="X334" s="10" t="str">
        <f>IF(W334&gt;=J334,"CUMPLE","NO CUMPLE")</f>
        <v>CUMPLE</v>
      </c>
      <c r="Y334" s="10">
        <f>MAX(MAX(1.4/'Parametros'!$B$3,0.25*SQRT('Parametros'!$B$2)/'Parametros'!$B$3)*H334*AB334,(0.85*'Parametros'!$B$2/'Parametros'!$B$3)*(1-SQRT(1-2*(L334*1000000/('Parametros'!$B$5*H334*AB334^2))/(0.85*'Parametros'!$B$2)))*H334*AB334)</f>
        <v>922.349540967039</v>
      </c>
      <c r="Z334" s="31" t="n">
        <v>5</v>
      </c>
      <c r="AA334" s="32" t="n">
        <v>1</v>
      </c>
      <c r="AB334" s="10">
        <f>IF(AA334=1,I334-('Parametros'!$B$7+'Parametros'!$B$9+'Parametros'!$B$12/2),I334-(ROUNDUP(Z334/2,0)*('Parametros'!$B$7+'Parametros'!$B$9+'Parametros'!$B$12/2)+ROUNDDOWN(Z334/2,0)*('Parametros'!$B$7+'Parametros'!$B$9+'Parametros'!$B$12/2+'Parametros'!$B$12+'Parametros'!$B$10))/Z334)</f>
        <v>489.35</v>
      </c>
      <c r="AC334" s="10">
        <f>Z334*'Parametros'!$B$8</f>
        <v>995</v>
      </c>
      <c r="AD334" s="10">
        <f>'Parametros'!$B$5*AC334*'Parametros'!$B$3*(AB334-(AC334*'Parametros'!$B$3/(0.85*'Parametros'!$B$2*H334))/2)/1000000</f>
        <v>177.445379382353</v>
      </c>
      <c r="AE334" s="10" t="str">
        <f>IF(AD334&gt;=L334,"CUMPLE","NO CUMPLE")</f>
        <v>CUMPLE</v>
      </c>
      <c r="AF334" s="10">
        <f>V334*1.25*'Parametros'!$B$3*(U334-(V334*1.25*'Parametros'!$B$3/(0.85*'Parametros'!$B$2*H334))/2)/1000000</f>
        <v>290.238924705882</v>
      </c>
      <c r="AG334" s="10">
        <f>AC334*1.25*'Parametros'!$B$3*(AB334-(AC334*1.25*'Parametros'!$B$3/(0.85*'Parametros'!$B$2*H334))/2)/1000000</f>
        <v>244.158843198529</v>
      </c>
      <c r="AH334" s="10">
        <f>N334+(AF334+AG334)/D334</f>
        <v>448.276883952206</v>
      </c>
      <c r="AI334" s="10">
        <f>MAX(O334,AH334)</f>
        <v>703.224</v>
      </c>
      <c r="AJ334" s="10">
        <f>0.17*SQRT('Parametros'!$B$2)*H334*MIN(U334,AB334)/1000</f>
        <v>220.098728691808</v>
      </c>
      <c r="AK334" s="10">
        <f>MAX(AI334/'Parametros'!$B$6-AJ334,0)</f>
        <v>717.533271308192</v>
      </c>
      <c r="AL334" s="10">
        <f>0.66*SQRT('Parametros'!$B$2)*H334*MIN(U334,AB334)/1000</f>
        <v>854.500946685842</v>
      </c>
      <c r="AM334" s="10" t="str">
        <f>IF(AK334&lt;=AL334,"CUMPLE","NO CUMPLE")</f>
        <v>CUMPLE</v>
      </c>
      <c r="AN334" s="17" t="inlineStr">
        <is>
          <t>Nº3 cerrado</t>
        </is>
      </c>
      <c r="AO334" s="31" t="n">
        <v>4</v>
      </c>
      <c r="AP334" s="10">
        <f>ROUNDDOWN(MIN(IF(BC334+BD334=0,1000000000,AO334*BB334/(BC334+BD334)),MIN(U334,AB334)/4,8*'Parametros'!$B$12,24*BA334,300,IF(AV334=0,1000000000,2*((H334-2*('Parametros'!$B$7+'Parametros'!$B$9/2))+(I334-2*('Parametros'!$B$7+'Parametros'!$B$9/2)))/8))/10,0)*10</f>
        <v>80</v>
      </c>
      <c r="AQ334" s="10">
        <f>ROUNDDOWN(MIN(IF(BC334+BD334=0,1000000000,AO334*BB334/(BC334+BD334)),IF(AK334&gt;0.33*SQRT('Parametros'!$B$2)*H334*MIN(U334,AB334)/1000,MIN(U334,AB334)/4,MIN(U334,AB334)/2),600,IF(AV334=0,1000000000,2*((H334-2*('Parametros'!$B$7+'Parametros'!$B$9/2))+(I334-2*('Parametros'!$B$7+'Parametros'!$B$9/2)))/8))/10,0)*10</f>
        <v>80</v>
      </c>
      <c r="AR334" s="10">
        <f>'Parametros'!$B$6*(AJ334+MAX(BE334-BD334,0)*'Parametros'!$B$4*MIN(U334,AB334)/1000)</f>
        <v>712.289684018856</v>
      </c>
      <c r="AS334" s="10" t="str">
        <f>IF(AND(ISERROR(SEARCH("referencia",AN334)),AM334="CUMPLE",AR334&gt;=AI334),"CUMPLE","NO CUMPLE")</f>
        <v>CUMPLE</v>
      </c>
      <c r="AT334" s="10">
        <f>'Parametros'!$B$6*0.083*SQRT('Parametros'!$B$2)*(H334*I334)^2/(2*(H334+I334))/1000000</f>
        <v>11.862178757599</v>
      </c>
      <c r="AU334" s="10" t="str">
        <f>IF(Q334&lt;=AT334,"DESPRECIABLE","DISEÑAR")</f>
        <v>DESPRECIABLE</v>
      </c>
      <c r="AV334" s="10">
        <f>IF(Q334&lt;=AT334,0,Q334*1000000/('Parametros'!$B$6*2*0.85*(H334-2*('Parametros'!$B$7+'Parametros'!$B$9/2))*(I334-2*('Parametros'!$B$7+'Parametros'!$B$9/2))*'Parametros'!$B$4))</f>
        <v>0</v>
      </c>
      <c r="AW334" s="10">
        <f>AV334*2*((H334-2*('Parametros'!$B$7+'Parametros'!$B$9/2))+(I334-2*('Parametros'!$B$7+'Parametros'!$B$9/2)))*'Parametros'!$B$4/'Parametros'!$B$3</f>
        <v>0</v>
      </c>
      <c r="AX334" s="31" t="n">
        <v>0</v>
      </c>
      <c r="AY334" s="10" t="str">
        <f>IF(AV334=0,"DESPRECIABLE",IF(AND(ISERROR(SEARCH("referencia",AN334)),BB334/AP334&gt;=AV334,BI334&gt;=AW334,BH334="CUMPLE"),"CUMPLE","NO CUMPLE"))</f>
        <v>DESPRECIABLE</v>
      </c>
      <c r="AZ334" s="10" t="str">
        <f>IF(AND(X334="CUMPLE",AE334="CUMPLE",AS334="CUMPLE",OR(AY334="CUMPLE",AY334="DESPRECIABLE"),BH334="CUMPLE",BJ334="CUMPLE"),"CUMPLE","NO CUMPLE")</f>
        <v>CUMPLE</v>
      </c>
      <c r="BA334" s="32" t="n">
        <v>9.5</v>
      </c>
      <c r="BB334" s="32" t="n">
        <v>71</v>
      </c>
      <c r="BC334" s="10">
        <f>MAX(IF(AK334=0,0,AK334*1000/('Parametros'!$B$4*MIN(U334,AB334))),MAX(0.062*SQRT('Parametros'!$B$2)*H334/'Parametros'!$B$4,0.35*H334/'Parametros'!$B$4))</f>
        <v>3.49118739293714</v>
      </c>
      <c r="BD334" s="10">
        <f>2*AV334</f>
        <v>0</v>
      </c>
      <c r="BE334" s="10">
        <f>AO334*BB334/AP334</f>
        <v>3.55</v>
      </c>
      <c r="BF334" s="10">
        <f>SQRT((AI334*1000/(H334*MIN(U334,AB334)))^2+(Q334*1000000*2*((H334-2*('Parametros'!$B$7+'Parametros'!$B$9/2))+(I334-2*('Parametros'!$B$7+'Parametros'!$B$9/2)))/(1.7*((H334-2*('Parametros'!$B$7+'Parametros'!$B$9/2))*(I334-2*('Parametros'!$B$7+'Parametros'!$B$9/2)))^2))^2)</f>
        <v>2.87700919480887</v>
      </c>
      <c r="BG334" s="10">
        <f>'Parametros'!$B$6*(AJ334*1000/(H334*MIN(U334,AB334))+0.66*SQRT('Parametros'!$B$2))</f>
        <v>3.29396038227542</v>
      </c>
      <c r="BH334" s="10" t="str">
        <f>IF(BF334&lt;=BG334,"CUMPLE","NO CUMPLE")</f>
        <v>CUMPLE</v>
      </c>
      <c r="BI334" s="10">
        <f>AX334*'Parametros'!$B$8</f>
        <v>0</v>
      </c>
      <c r="BJ334" s="10" t="str">
        <f>IF(BI334&gt;=AW334,"CUMPLE","NO CUMPLE")</f>
        <v>CUMPLE</v>
      </c>
    </row>
    <row r="335">
      <c r="A335" s="24" t="inlineStr">
        <is>
          <t>VR N1</t>
        </is>
      </c>
      <c r="B335" s="24" t="inlineStr">
        <is>
          <t>46</t>
        </is>
      </c>
      <c r="C335" s="10" t="n">
        <v>1</v>
      </c>
      <c r="D335" s="10" t="n">
        <v>3.05</v>
      </c>
      <c r="E335" s="10" t="n">
        <v>3.05</v>
      </c>
      <c r="F335" s="10" t="n">
        <v>500</v>
      </c>
      <c r="G335" s="10" t="n">
        <v>550</v>
      </c>
      <c r="H335" s="17" t="n">
        <v>500</v>
      </c>
      <c r="I335" s="17" t="n">
        <v>550</v>
      </c>
      <c r="J335" s="30" t="n">
        <v>177.808</v>
      </c>
      <c r="K335" s="10" t="inlineStr">
        <is>
          <t>46</t>
        </is>
      </c>
      <c r="L335" s="30" t="n">
        <v>119.1122</v>
      </c>
      <c r="M335" s="10" t="inlineStr">
        <is>
          <t>46</t>
        </is>
      </c>
      <c r="N335" s="30" t="n">
        <v>142.3</v>
      </c>
      <c r="O335" s="30" t="n">
        <v>447.744</v>
      </c>
      <c r="P335" s="10" t="inlineStr">
        <is>
          <t>46</t>
        </is>
      </c>
      <c r="Q335" s="30" t="n">
        <v>6.4525</v>
      </c>
      <c r="R335" s="10">
        <f>MAX(MAX(1.4/'Parametros'!$B$3,0.25*SQRT('Parametros'!$B$2)/'Parametros'!$B$3)*H335*U335,(0.85*'Parametros'!$B$2/'Parametros'!$B$3)*(1-SQRT(1-2*(J335*1000000/('Parametros'!$B$5*H335*U335^2))/(0.85*'Parametros'!$B$2)))*H335*U335)</f>
        <v>997.112118437619</v>
      </c>
      <c r="S335" s="31" t="n">
        <v>6</v>
      </c>
      <c r="T335" s="32" t="n">
        <v>1</v>
      </c>
      <c r="U335" s="10">
        <f>IF(T335=1,I335-('Parametros'!$B$7+'Parametros'!$B$9+'Parametros'!$B$12/2),I335-(ROUNDUP(S335/2,0)*('Parametros'!$B$7+'Parametros'!$B$9+'Parametros'!$B$12/2)+ROUNDDOWN(S335/2,0)*('Parametros'!$B$7+'Parametros'!$B$9+'Parametros'!$B$12/2+'Parametros'!$B$12+'Parametros'!$B$10))/S335)</f>
        <v>489.35</v>
      </c>
      <c r="V335" s="10">
        <f>S335*'Parametros'!$B$8</f>
        <v>1194</v>
      </c>
      <c r="W335" s="10">
        <f>'Parametros'!$B$5*V335*'Parametros'!$B$3*(U335-(V335*'Parametros'!$B$3/(0.85*'Parametros'!$B$2*H335))/2)/1000000</f>
        <v>211.349483470588</v>
      </c>
      <c r="X335" s="10" t="str">
        <f>IF(W335&gt;=J335,"CUMPLE","NO CUMPLE")</f>
        <v>CUMPLE</v>
      </c>
      <c r="Y335" s="10">
        <f>MAX(MAX(1.4/'Parametros'!$B$3,0.25*SQRT('Parametros'!$B$2)/'Parametros'!$B$3)*H335*AB335,(0.85*'Parametros'!$B$2/'Parametros'!$B$3)*(1-SQRT(1-2*(L335*1000000/('Parametros'!$B$5*H335*AB335^2))/(0.85*'Parametros'!$B$2)))*H335*AB335)</f>
        <v>815.583333333333</v>
      </c>
      <c r="Z335" s="31" t="n">
        <v>5</v>
      </c>
      <c r="AA335" s="32" t="n">
        <v>1</v>
      </c>
      <c r="AB335" s="10">
        <f>IF(AA335=1,I335-('Parametros'!$B$7+'Parametros'!$B$9+'Parametros'!$B$12/2),I335-(ROUNDUP(Z335/2,0)*('Parametros'!$B$7+'Parametros'!$B$9+'Parametros'!$B$12/2)+ROUNDDOWN(Z335/2,0)*('Parametros'!$B$7+'Parametros'!$B$9+'Parametros'!$B$12/2+'Parametros'!$B$12+'Parametros'!$B$10))/Z335)</f>
        <v>489.35</v>
      </c>
      <c r="AC335" s="10">
        <f>Z335*'Parametros'!$B$8</f>
        <v>995</v>
      </c>
      <c r="AD335" s="10">
        <f>'Parametros'!$B$5*AC335*'Parametros'!$B$3*(AB335-(AC335*'Parametros'!$B$3/(0.85*'Parametros'!$B$2*H335))/2)/1000000</f>
        <v>177.445379382353</v>
      </c>
      <c r="AE335" s="10" t="str">
        <f>IF(AD335&gt;=L335,"CUMPLE","NO CUMPLE")</f>
        <v>CUMPLE</v>
      </c>
      <c r="AF335" s="10">
        <f>V335*1.25*'Parametros'!$B$3*(U335-(V335*1.25*'Parametros'!$B$3/(0.85*'Parametros'!$B$2*H335))/2)/1000000</f>
        <v>290.238924705882</v>
      </c>
      <c r="AG335" s="10">
        <f>AC335*1.25*'Parametros'!$B$3*(AB335-(AC335*1.25*'Parametros'!$B$3/(0.85*'Parametros'!$B$2*H335))/2)/1000000</f>
        <v>244.158843198529</v>
      </c>
      <c r="AH335" s="10">
        <f>N335+(AF335+AG335)/D335</f>
        <v>317.512382919479</v>
      </c>
      <c r="AI335" s="10">
        <f>MAX(O335,AH335)</f>
        <v>447.744</v>
      </c>
      <c r="AJ335" s="10">
        <f>0.17*SQRT('Parametros'!$B$2)*H335*MIN(U335,AB335)/1000</f>
        <v>220.098728691808</v>
      </c>
      <c r="AK335" s="10">
        <f>MAX(AI335/'Parametros'!$B$6-AJ335,0)</f>
        <v>376.893271308192</v>
      </c>
      <c r="AL335" s="10">
        <f>0.66*SQRT('Parametros'!$B$2)*H335*MIN(U335,AB335)/1000</f>
        <v>854.500946685842</v>
      </c>
      <c r="AM335" s="10" t="str">
        <f>IF(AK335&lt;=AL335,"CUMPLE","NO CUMPLE")</f>
        <v>CUMPLE</v>
      </c>
      <c r="AN335" s="17" t="inlineStr">
        <is>
          <t>Nº4 cerrado</t>
        </is>
      </c>
      <c r="AO335" s="31" t="n">
        <v>2</v>
      </c>
      <c r="AP335" s="10">
        <f>ROUNDDOWN(MIN(IF(BC335+BD335=0,1000000000,AO335*BB335/(BC335+BD335)),MIN(U335,AB335)/4,8*'Parametros'!$B$12,24*BA335,300,IF(AV335=0,1000000000,2*((H335-2*('Parametros'!$B$7+'Parametros'!$B$9/2))+(I335-2*('Parametros'!$B$7+'Parametros'!$B$9/2)))/8))/10,0)*10</f>
        <v>120</v>
      </c>
      <c r="AQ335" s="10">
        <f>ROUNDDOWN(MIN(IF(BC335+BD335=0,1000000000,AO335*BB335/(BC335+BD335)),IF(AK335&gt;0.33*SQRT('Parametros'!$B$2)*H335*MIN(U335,AB335)/1000,MIN(U335,AB335)/4,MIN(U335,AB335)/2),600,IF(AV335=0,1000000000,2*((H335-2*('Parametros'!$B$7+'Parametros'!$B$9/2))+(I335-2*('Parametros'!$B$7+'Parametros'!$B$9/2)))/8))/10,0)*10</f>
        <v>140</v>
      </c>
      <c r="AR335" s="10">
        <f>'Parametros'!$B$6*(AJ335+MAX(BE335-BD335,0)*'Parametros'!$B$4*MIN(U335,AB335)/1000)</f>
        <v>496.486334018856</v>
      </c>
      <c r="AS335" s="10" t="str">
        <f>IF(AND(ISERROR(SEARCH("referencia",AN335)),AM335="CUMPLE",AR335&gt;=AI335),"CUMPLE","NO CUMPLE")</f>
        <v>CUMPLE</v>
      </c>
      <c r="AT335" s="10">
        <f>'Parametros'!$B$6*0.083*SQRT('Parametros'!$B$2)*(H335*I335)^2/(2*(H335+I335))/1000000</f>
        <v>11.862178757599</v>
      </c>
      <c r="AU335" s="10" t="str">
        <f>IF(Q335&lt;=AT335,"DESPRECIABLE","DISEÑAR")</f>
        <v>DESPRECIABLE</v>
      </c>
      <c r="AV335" s="10">
        <f>IF(Q335&lt;=AT335,0,Q335*1000000/('Parametros'!$B$6*2*0.85*(H335-2*('Parametros'!$B$7+'Parametros'!$B$9/2))*(I335-2*('Parametros'!$B$7+'Parametros'!$B$9/2))*'Parametros'!$B$4))</f>
        <v>0</v>
      </c>
      <c r="AW335" s="10">
        <f>AV335*2*((H335-2*('Parametros'!$B$7+'Parametros'!$B$9/2))+(I335-2*('Parametros'!$B$7+'Parametros'!$B$9/2)))*'Parametros'!$B$4/'Parametros'!$B$3</f>
        <v>0</v>
      </c>
      <c r="AX335" s="31" t="n">
        <v>0</v>
      </c>
      <c r="AY335" s="10" t="str">
        <f>IF(AV335=0,"DESPRECIABLE",IF(AND(ISERROR(SEARCH("referencia",AN335)),BB335/AP335&gt;=AV335,BI335&gt;=AW335,BH335="CUMPLE"),"CUMPLE","NO CUMPLE"))</f>
        <v>DESPRECIABLE</v>
      </c>
      <c r="AZ335" s="10" t="str">
        <f>IF(AND(X335="CUMPLE",AE335="CUMPLE",AS335="CUMPLE",OR(AY335="CUMPLE",AY335="DESPRECIABLE"),BH335="CUMPLE",BJ335="CUMPLE"),"CUMPLE","NO CUMPLE")</f>
        <v>CUMPLE</v>
      </c>
      <c r="BA335" s="32" t="n">
        <v>12.7</v>
      </c>
      <c r="BB335" s="32" t="n">
        <v>129</v>
      </c>
      <c r="BC335" s="10">
        <f>MAX(IF(AK335=0,0,AK335*1000/('Parametros'!$B$4*MIN(U335,AB335))),MAX(0.062*SQRT('Parametros'!$B$2)*H335/'Parametros'!$B$4,0.35*H335/'Parametros'!$B$4))</f>
        <v>1.83378958145739</v>
      </c>
      <c r="BD335" s="10">
        <f>2*AV335</f>
        <v>0</v>
      </c>
      <c r="BE335" s="10">
        <f>AO335*BB335/AP335</f>
        <v>2.15</v>
      </c>
      <c r="BF335" s="10">
        <f>SQRT((AI335*1000/(H335*MIN(U335,AB335)))^2+(Q335*1000000*2*((H335-2*('Parametros'!$B$7+'Parametros'!$B$9/2))+(I335-2*('Parametros'!$B$7+'Parametros'!$B$9/2)))/(1.7*((H335-2*('Parametros'!$B$7+'Parametros'!$B$9/2))*(I335-2*('Parametros'!$B$7+'Parametros'!$B$9/2)))^2))^2)</f>
        <v>1.83970751375867</v>
      </c>
      <c r="BG335" s="10">
        <f>'Parametros'!$B$6*(AJ335*1000/(H335*MIN(U335,AB335))+0.66*SQRT('Parametros'!$B$2))</f>
        <v>3.29396038227542</v>
      </c>
      <c r="BH335" s="10" t="str">
        <f>IF(BF335&lt;=BG335,"CUMPLE","NO CUMPLE")</f>
        <v>CUMPLE</v>
      </c>
      <c r="BI335" s="10">
        <f>AX335*'Parametros'!$B$8</f>
        <v>0</v>
      </c>
      <c r="BJ335" s="10" t="str">
        <f>IF(BI335&gt;=AW335,"CUMPLE","NO CUMPLE")</f>
        <v>CUMPLE</v>
      </c>
    </row>
    <row r="336">
      <c r="A336" s="24" t="inlineStr">
        <is>
          <t>VR N1</t>
        </is>
      </c>
      <c r="B336" s="24" t="inlineStr">
        <is>
          <t>47</t>
        </is>
      </c>
      <c r="C336" s="10" t="n">
        <v>1</v>
      </c>
      <c r="D336" s="10" t="n">
        <v>2</v>
      </c>
      <c r="E336" s="10" t="n">
        <v>2</v>
      </c>
      <c r="F336" s="10" t="n">
        <v>500</v>
      </c>
      <c r="G336" s="10" t="n">
        <v>550</v>
      </c>
      <c r="H336" s="17" t="n">
        <v>500</v>
      </c>
      <c r="I336" s="17" t="n">
        <v>550</v>
      </c>
      <c r="J336" s="30" t="n">
        <v>175.8205</v>
      </c>
      <c r="K336" s="10" t="inlineStr">
        <is>
          <t>47</t>
        </is>
      </c>
      <c r="L336" s="30" t="n">
        <v>143.346</v>
      </c>
      <c r="M336" s="10" t="inlineStr">
        <is>
          <t>47</t>
        </is>
      </c>
      <c r="N336" s="30" t="n">
        <v>164.801</v>
      </c>
      <c r="O336" s="30" t="n">
        <v>634.633</v>
      </c>
      <c r="P336" s="10" t="inlineStr">
        <is>
          <t>47</t>
        </is>
      </c>
      <c r="Q336" s="30" t="n">
        <v>10.9375</v>
      </c>
      <c r="R336" s="10">
        <f>MAX(MAX(1.4/'Parametros'!$B$3,0.25*SQRT('Parametros'!$B$2)/'Parametros'!$B$3)*H336*U336,(0.85*'Parametros'!$B$2/'Parametros'!$B$3)*(1-SQRT(1-2*(J336*1000000/('Parametros'!$B$5*H336*U336^2))/(0.85*'Parametros'!$B$2)))*H336*U336)</f>
        <v>985.539988159514</v>
      </c>
      <c r="S336" s="31" t="n">
        <v>5</v>
      </c>
      <c r="T336" s="32" t="n">
        <v>1</v>
      </c>
      <c r="U336" s="10">
        <f>IF(T336=1,I336-('Parametros'!$B$7+'Parametros'!$B$9+'Parametros'!$B$12/2),I336-(ROUNDUP(S336/2,0)*('Parametros'!$B$7+'Parametros'!$B$9+'Parametros'!$B$12/2)+ROUNDDOWN(S336/2,0)*('Parametros'!$B$7+'Parametros'!$B$9+'Parametros'!$B$12/2+'Parametros'!$B$12+'Parametros'!$B$10))/S336)</f>
        <v>489.35</v>
      </c>
      <c r="V336" s="10">
        <f>S336*'Parametros'!$B$8</f>
        <v>995</v>
      </c>
      <c r="W336" s="10">
        <f>'Parametros'!$B$5*V336*'Parametros'!$B$3*(U336-(V336*'Parametros'!$B$3/(0.85*'Parametros'!$B$2*H336))/2)/1000000</f>
        <v>177.445379382353</v>
      </c>
      <c r="X336" s="10" t="str">
        <f>IF(W336&gt;=J336,"CUMPLE","NO CUMPLE")</f>
        <v>CUMPLE</v>
      </c>
      <c r="Y336" s="10">
        <f>MAX(MAX(1.4/'Parametros'!$B$3,0.25*SQRT('Parametros'!$B$2)/'Parametros'!$B$3)*H336*AB336,(0.85*'Parametros'!$B$2/'Parametros'!$B$3)*(1-SQRT(1-2*(L336*1000000/('Parametros'!$B$5*H336*AB336^2))/(0.85*'Parametros'!$B$2)))*H336*AB336)</f>
        <v>815.583333333333</v>
      </c>
      <c r="Z336" s="31" t="n">
        <v>5</v>
      </c>
      <c r="AA336" s="32" t="n">
        <v>1</v>
      </c>
      <c r="AB336" s="10">
        <f>IF(AA336=1,I336-('Parametros'!$B$7+'Parametros'!$B$9+'Parametros'!$B$12/2),I336-(ROUNDUP(Z336/2,0)*('Parametros'!$B$7+'Parametros'!$B$9+'Parametros'!$B$12/2)+ROUNDDOWN(Z336/2,0)*('Parametros'!$B$7+'Parametros'!$B$9+'Parametros'!$B$12/2+'Parametros'!$B$12+'Parametros'!$B$10))/Z336)</f>
        <v>489.35</v>
      </c>
      <c r="AC336" s="10">
        <f>Z336*'Parametros'!$B$8</f>
        <v>995</v>
      </c>
      <c r="AD336" s="10">
        <f>'Parametros'!$B$5*AC336*'Parametros'!$B$3*(AB336-(AC336*'Parametros'!$B$3/(0.85*'Parametros'!$B$2*H336))/2)/1000000</f>
        <v>177.445379382353</v>
      </c>
      <c r="AE336" s="10" t="str">
        <f>IF(AD336&gt;=L336,"CUMPLE","NO CUMPLE")</f>
        <v>CUMPLE</v>
      </c>
      <c r="AF336" s="10">
        <f>V336*1.25*'Parametros'!$B$3*(U336-(V336*1.25*'Parametros'!$B$3/(0.85*'Parametros'!$B$2*H336))/2)/1000000</f>
        <v>244.158843198529</v>
      </c>
      <c r="AG336" s="10">
        <f>AC336*1.25*'Parametros'!$B$3*(AB336-(AC336*1.25*'Parametros'!$B$3/(0.85*'Parametros'!$B$2*H336))/2)/1000000</f>
        <v>244.158843198529</v>
      </c>
      <c r="AH336" s="10">
        <f>N336+(AF336+AG336)/D336</f>
        <v>408.959843198529</v>
      </c>
      <c r="AI336" s="10">
        <f>MAX(O336,AH336)</f>
        <v>634.633</v>
      </c>
      <c r="AJ336" s="10">
        <f>0.17*SQRT('Parametros'!$B$2)*H336*MIN(U336,AB336)/1000</f>
        <v>220.098728691808</v>
      </c>
      <c r="AK336" s="10">
        <f>MAX(AI336/'Parametros'!$B$6-AJ336,0)</f>
        <v>626.078604641526</v>
      </c>
      <c r="AL336" s="10">
        <f>0.66*SQRT('Parametros'!$B$2)*H336*MIN(U336,AB336)/1000</f>
        <v>854.500946685842</v>
      </c>
      <c r="AM336" s="10" t="str">
        <f>IF(AK336&lt;=AL336,"CUMPLE","NO CUMPLE")</f>
        <v>CUMPLE</v>
      </c>
      <c r="AN336" s="17" t="inlineStr">
        <is>
          <t>Nº4 cerrado</t>
        </is>
      </c>
      <c r="AO336" s="31" t="n">
        <v>2</v>
      </c>
      <c r="AP336" s="10">
        <f>ROUNDDOWN(MIN(IF(BC336+BD336=0,1000000000,AO336*BB336/(BC336+BD336)),MIN(U336,AB336)/4,8*'Parametros'!$B$12,24*BA336,300,IF(AV336=0,1000000000,2*((H336-2*('Parametros'!$B$7+'Parametros'!$B$9/2))+(I336-2*('Parametros'!$B$7+'Parametros'!$B$9/2)))/8))/10,0)*10</f>
        <v>80</v>
      </c>
      <c r="AQ336" s="10">
        <f>ROUNDDOWN(MIN(IF(BC336+BD336=0,1000000000,AO336*BB336/(BC336+BD336)),IF(AK336&gt;0.33*SQRT('Parametros'!$B$2)*H336*MIN(U336,AB336)/1000,MIN(U336,AB336)/4,MIN(U336,AB336)/2),600,IF(AV336=0,1000000000,2*((H336-2*('Parametros'!$B$7+'Parametros'!$B$9/2))+(I336-2*('Parametros'!$B$7+'Parametros'!$B$9/2)))/8))/10,0)*10</f>
        <v>80</v>
      </c>
      <c r="AR336" s="10">
        <f>'Parametros'!$B$6*(AJ336+MAX(BE336-BD336,0)*'Parametros'!$B$4*MIN(U336,AB336)/1000)</f>
        <v>662.192477768856</v>
      </c>
      <c r="AS336" s="10" t="str">
        <f>IF(AND(ISERROR(SEARCH("referencia",AN336)),AM336="CUMPLE",AR336&gt;=AI336),"CUMPLE","NO CUMPLE")</f>
        <v>CUMPLE</v>
      </c>
      <c r="AT336" s="10">
        <f>'Parametros'!$B$6*0.083*SQRT('Parametros'!$B$2)*(H336*I336)^2/(2*(H336+I336))/1000000</f>
        <v>11.862178757599</v>
      </c>
      <c r="AU336" s="10" t="str">
        <f>IF(Q336&lt;=AT336,"DESPRECIABLE","DISEÑAR")</f>
        <v>DESPRECIABLE</v>
      </c>
      <c r="AV336" s="10">
        <f>IF(Q336&lt;=AT336,0,Q336*1000000/('Parametros'!$B$6*2*0.85*(H336-2*('Parametros'!$B$7+'Parametros'!$B$9/2))*(I336-2*('Parametros'!$B$7+'Parametros'!$B$9/2))*'Parametros'!$B$4))</f>
        <v>0</v>
      </c>
      <c r="AW336" s="10">
        <f>AV336*2*((H336-2*('Parametros'!$B$7+'Parametros'!$B$9/2))+(I336-2*('Parametros'!$B$7+'Parametros'!$B$9/2)))*'Parametros'!$B$4/'Parametros'!$B$3</f>
        <v>0</v>
      </c>
      <c r="AX336" s="31" t="n">
        <v>0</v>
      </c>
      <c r="AY336" s="10" t="str">
        <f>IF(AV336=0,"DESPRECIABLE",IF(AND(ISERROR(SEARCH("referencia",AN336)),BB336/AP336&gt;=AV336,BI336&gt;=AW336,BH336="CUMPLE"),"CUMPLE","NO CUMPLE"))</f>
        <v>DESPRECIABLE</v>
      </c>
      <c r="AZ336" s="10" t="str">
        <f>IF(AND(X336="CUMPLE",AE336="CUMPLE",AS336="CUMPLE",OR(AY336="CUMPLE",AY336="DESPRECIABLE"),BH336="CUMPLE",BJ336="CUMPLE"),"CUMPLE","NO CUMPLE")</f>
        <v>CUMPLE</v>
      </c>
      <c r="BA336" s="32" t="n">
        <v>12.7</v>
      </c>
      <c r="BB336" s="32" t="n">
        <v>129</v>
      </c>
      <c r="BC336" s="10">
        <f>MAX(IF(AK336=0,0,AK336*1000/('Parametros'!$B$4*MIN(U336,AB336))),MAX(0.062*SQRT('Parametros'!$B$2)*H336/'Parametros'!$B$4,0.35*H336/'Parametros'!$B$4))</f>
        <v>3.04621098270069</v>
      </c>
      <c r="BD336" s="10">
        <f>2*AV336</f>
        <v>0</v>
      </c>
      <c r="BE336" s="10">
        <f>AO336*BB336/AP336</f>
        <v>3.225</v>
      </c>
      <c r="BF336" s="10">
        <f>SQRT((AI336*1000/(H336*MIN(U336,AB336)))^2+(Q336*1000000*2*((H336-2*('Parametros'!$B$7+'Parametros'!$B$9/2))+(I336-2*('Parametros'!$B$7+'Parametros'!$B$9/2)))/(1.7*((H336-2*('Parametros'!$B$7+'Parametros'!$B$9/2))*(I336-2*('Parametros'!$B$7+'Parametros'!$B$9/2)))^2))^2)</f>
        <v>2.61352886225592</v>
      </c>
      <c r="BG336" s="10">
        <f>'Parametros'!$B$6*(AJ336*1000/(H336*MIN(U336,AB336))+0.66*SQRT('Parametros'!$B$2))</f>
        <v>3.29396038227542</v>
      </c>
      <c r="BH336" s="10" t="str">
        <f>IF(BF336&lt;=BG336,"CUMPLE","NO CUMPLE")</f>
        <v>CUMPLE</v>
      </c>
      <c r="BI336" s="10">
        <f>AX336*'Parametros'!$B$8</f>
        <v>0</v>
      </c>
      <c r="BJ336" s="10" t="str">
        <f>IF(BI336&gt;=AW336,"CUMPLE","NO CUMPLE")</f>
        <v>CUMPLE</v>
      </c>
    </row>
    <row r="337">
      <c r="A337" s="24" t="inlineStr">
        <is>
          <t>VR N1</t>
        </is>
      </c>
      <c r="B337" s="24" t="inlineStr">
        <is>
          <t>48</t>
        </is>
      </c>
      <c r="C337" s="10" t="n">
        <v>1</v>
      </c>
      <c r="D337" s="10" t="n">
        <v>1.9</v>
      </c>
      <c r="E337" s="10" t="n">
        <v>1.9</v>
      </c>
      <c r="F337" s="10" t="n">
        <v>500</v>
      </c>
      <c r="G337" s="10" t="n">
        <v>550</v>
      </c>
      <c r="H337" s="17" t="n">
        <v>500</v>
      </c>
      <c r="I337" s="17" t="n">
        <v>550</v>
      </c>
      <c r="J337" s="30" t="n">
        <v>186.6463</v>
      </c>
      <c r="K337" s="10" t="inlineStr">
        <is>
          <t>48</t>
        </is>
      </c>
      <c r="L337" s="30" t="n">
        <v>158.8606</v>
      </c>
      <c r="M337" s="10" t="inlineStr">
        <is>
          <t>48</t>
        </is>
      </c>
      <c r="N337" s="30" t="n">
        <v>178.286</v>
      </c>
      <c r="O337" s="30" t="n">
        <v>702.255</v>
      </c>
      <c r="P337" s="10" t="inlineStr">
        <is>
          <t>48</t>
        </is>
      </c>
      <c r="Q337" s="30" t="n">
        <v>6.5961</v>
      </c>
      <c r="R337" s="10">
        <f>MAX(MAX(1.4/'Parametros'!$B$3,0.25*SQRT('Parametros'!$B$2)/'Parametros'!$B$3)*H337*U337,(0.85*'Parametros'!$B$2/'Parametros'!$B$3)*(1-SQRT(1-2*(J337*1000000/('Parametros'!$B$5*H337*U337^2))/(0.85*'Parametros'!$B$2)))*H337*U337)</f>
        <v>1048.69927295184</v>
      </c>
      <c r="S337" s="31" t="n">
        <v>6</v>
      </c>
      <c r="T337" s="32" t="n">
        <v>1</v>
      </c>
      <c r="U337" s="10">
        <f>IF(T337=1,I337-('Parametros'!$B$7+'Parametros'!$B$9+'Parametros'!$B$12/2),I337-(ROUNDUP(S337/2,0)*('Parametros'!$B$7+'Parametros'!$B$9+'Parametros'!$B$12/2)+ROUNDDOWN(S337/2,0)*('Parametros'!$B$7+'Parametros'!$B$9+'Parametros'!$B$12/2+'Parametros'!$B$12+'Parametros'!$B$10))/S337)</f>
        <v>489.35</v>
      </c>
      <c r="V337" s="10">
        <f>S337*'Parametros'!$B$8</f>
        <v>1194</v>
      </c>
      <c r="W337" s="10">
        <f>'Parametros'!$B$5*V337*'Parametros'!$B$3*(U337-(V337*'Parametros'!$B$3/(0.85*'Parametros'!$B$2*H337))/2)/1000000</f>
        <v>211.349483470588</v>
      </c>
      <c r="X337" s="10" t="str">
        <f>IF(W337&gt;=J337,"CUMPLE","NO CUMPLE")</f>
        <v>CUMPLE</v>
      </c>
      <c r="Y337" s="10">
        <f>MAX(MAX(1.4/'Parametros'!$B$3,0.25*SQRT('Parametros'!$B$2)/'Parametros'!$B$3)*H337*AB337,(0.85*'Parametros'!$B$2/'Parametros'!$B$3)*(1-SQRT(1-2*(L337*1000000/('Parametros'!$B$5*H337*AB337^2))/(0.85*'Parametros'!$B$2)))*H337*AB337)</f>
        <v>887.211436354826</v>
      </c>
      <c r="Z337" s="31" t="n">
        <v>5</v>
      </c>
      <c r="AA337" s="32" t="n">
        <v>1</v>
      </c>
      <c r="AB337" s="10">
        <f>IF(AA337=1,I337-('Parametros'!$B$7+'Parametros'!$B$9+'Parametros'!$B$12/2),I337-(ROUNDUP(Z337/2,0)*('Parametros'!$B$7+'Parametros'!$B$9+'Parametros'!$B$12/2)+ROUNDDOWN(Z337/2,0)*('Parametros'!$B$7+'Parametros'!$B$9+'Parametros'!$B$12/2+'Parametros'!$B$12+'Parametros'!$B$10))/Z337)</f>
        <v>489.35</v>
      </c>
      <c r="AC337" s="10">
        <f>Z337*'Parametros'!$B$8</f>
        <v>995</v>
      </c>
      <c r="AD337" s="10">
        <f>'Parametros'!$B$5*AC337*'Parametros'!$B$3*(AB337-(AC337*'Parametros'!$B$3/(0.85*'Parametros'!$B$2*H337))/2)/1000000</f>
        <v>177.445379382353</v>
      </c>
      <c r="AE337" s="10" t="str">
        <f>IF(AD337&gt;=L337,"CUMPLE","NO CUMPLE")</f>
        <v>CUMPLE</v>
      </c>
      <c r="AF337" s="10">
        <f>V337*1.25*'Parametros'!$B$3*(U337-(V337*1.25*'Parametros'!$B$3/(0.85*'Parametros'!$B$2*H337))/2)/1000000</f>
        <v>290.238924705882</v>
      </c>
      <c r="AG337" s="10">
        <f>AC337*1.25*'Parametros'!$B$3*(AB337-(AC337*1.25*'Parametros'!$B$3/(0.85*'Parametros'!$B$2*H337))/2)/1000000</f>
        <v>244.158843198529</v>
      </c>
      <c r="AH337" s="10">
        <f>N337+(AF337+AG337)/D337</f>
        <v>459.547983107585</v>
      </c>
      <c r="AI337" s="10">
        <f>MAX(O337,AH337)</f>
        <v>702.255</v>
      </c>
      <c r="AJ337" s="10">
        <f>0.17*SQRT('Parametros'!$B$2)*H337*MIN(U337,AB337)/1000</f>
        <v>220.098728691808</v>
      </c>
      <c r="AK337" s="10">
        <f>MAX(AI337/'Parametros'!$B$6-AJ337,0)</f>
        <v>716.241271308192</v>
      </c>
      <c r="AL337" s="10">
        <f>0.66*SQRT('Parametros'!$B$2)*H337*MIN(U337,AB337)/1000</f>
        <v>854.500946685842</v>
      </c>
      <c r="AM337" s="10" t="str">
        <f>IF(AK337&lt;=AL337,"CUMPLE","NO CUMPLE")</f>
        <v>CUMPLE</v>
      </c>
      <c r="AN337" s="17" t="inlineStr">
        <is>
          <t>Nº3 cerrado</t>
        </is>
      </c>
      <c r="AO337" s="31" t="n">
        <v>4</v>
      </c>
      <c r="AP337" s="10">
        <f>ROUNDDOWN(MIN(IF(BC337+BD337=0,1000000000,AO337*BB337/(BC337+BD337)),MIN(U337,AB337)/4,8*'Parametros'!$B$12,24*BA337,300,IF(AV337=0,1000000000,2*((H337-2*('Parametros'!$B$7+'Parametros'!$B$9/2))+(I337-2*('Parametros'!$B$7+'Parametros'!$B$9/2)))/8))/10,0)*10</f>
        <v>80</v>
      </c>
      <c r="AQ337" s="10">
        <f>ROUNDDOWN(MIN(IF(BC337+BD337=0,1000000000,AO337*BB337/(BC337+BD337)),IF(AK337&gt;0.33*SQRT('Parametros'!$B$2)*H337*MIN(U337,AB337)/1000,MIN(U337,AB337)/4,MIN(U337,AB337)/2),600,IF(AV337=0,1000000000,2*((H337-2*('Parametros'!$B$7+'Parametros'!$B$9/2))+(I337-2*('Parametros'!$B$7+'Parametros'!$B$9/2)))/8))/10,0)*10</f>
        <v>80</v>
      </c>
      <c r="AR337" s="10">
        <f>'Parametros'!$B$6*(AJ337+MAX(BE337-BD337,0)*'Parametros'!$B$4*MIN(U337,AB337)/1000)</f>
        <v>712.289684018856</v>
      </c>
      <c r="AS337" s="10" t="str">
        <f>IF(AND(ISERROR(SEARCH("referencia",AN337)),AM337="CUMPLE",AR337&gt;=AI337),"CUMPLE","NO CUMPLE")</f>
        <v>CUMPLE</v>
      </c>
      <c r="AT337" s="10">
        <f>'Parametros'!$B$6*0.083*SQRT('Parametros'!$B$2)*(H337*I337)^2/(2*(H337+I337))/1000000</f>
        <v>11.862178757599</v>
      </c>
      <c r="AU337" s="10" t="str">
        <f>IF(Q337&lt;=AT337,"DESPRECIABLE","DISEÑAR")</f>
        <v>DESPRECIABLE</v>
      </c>
      <c r="AV337" s="10">
        <f>IF(Q337&lt;=AT337,0,Q337*1000000/('Parametros'!$B$6*2*0.85*(H337-2*('Parametros'!$B$7+'Parametros'!$B$9/2))*(I337-2*('Parametros'!$B$7+'Parametros'!$B$9/2))*'Parametros'!$B$4))</f>
        <v>0</v>
      </c>
      <c r="AW337" s="10">
        <f>AV337*2*((H337-2*('Parametros'!$B$7+'Parametros'!$B$9/2))+(I337-2*('Parametros'!$B$7+'Parametros'!$B$9/2)))*'Parametros'!$B$4/'Parametros'!$B$3</f>
        <v>0</v>
      </c>
      <c r="AX337" s="31" t="n">
        <v>0</v>
      </c>
      <c r="AY337" s="10" t="str">
        <f>IF(AV337=0,"DESPRECIABLE",IF(AND(ISERROR(SEARCH("referencia",AN337)),BB337/AP337&gt;=AV337,BI337&gt;=AW337,BH337="CUMPLE"),"CUMPLE","NO CUMPLE"))</f>
        <v>DESPRECIABLE</v>
      </c>
      <c r="AZ337" s="10" t="str">
        <f>IF(AND(X337="CUMPLE",AE337="CUMPLE",AS337="CUMPLE",OR(AY337="CUMPLE",AY337="DESPRECIABLE"),BH337="CUMPLE",BJ337="CUMPLE"),"CUMPLE","NO CUMPLE")</f>
        <v>CUMPLE</v>
      </c>
      <c r="BA337" s="32" t="n">
        <v>9.5</v>
      </c>
      <c r="BB337" s="32" t="n">
        <v>71</v>
      </c>
      <c r="BC337" s="10">
        <f>MAX(IF(AK337=0,0,AK337*1000/('Parametros'!$B$4*MIN(U337,AB337))),MAX(0.062*SQRT('Parametros'!$B$2)*H337/'Parametros'!$B$4,0.35*H337/'Parametros'!$B$4))</f>
        <v>3.4849011142487</v>
      </c>
      <c r="BD337" s="10">
        <f>2*AV337</f>
        <v>0</v>
      </c>
      <c r="BE337" s="10">
        <f>AO337*BB337/AP337</f>
        <v>3.55</v>
      </c>
      <c r="BF337" s="10">
        <f>SQRT((AI337*1000/(H337*MIN(U337,AB337)))^2+(Q337*1000000*2*((H337-2*('Parametros'!$B$7+'Parametros'!$B$9/2))+(I337-2*('Parametros'!$B$7+'Parametros'!$B$9/2)))/(1.7*((H337-2*('Parametros'!$B$7+'Parametros'!$B$9/2))*(I337-2*('Parametros'!$B$7+'Parametros'!$B$9/2)))^2))^2)</f>
        <v>2.87666273158349</v>
      </c>
      <c r="BG337" s="10">
        <f>'Parametros'!$B$6*(AJ337*1000/(H337*MIN(U337,AB337))+0.66*SQRT('Parametros'!$B$2))</f>
        <v>3.29396038227542</v>
      </c>
      <c r="BH337" s="10" t="str">
        <f>IF(BF337&lt;=BG337,"CUMPLE","NO CUMPLE")</f>
        <v>CUMPLE</v>
      </c>
      <c r="BI337" s="10">
        <f>AX337*'Parametros'!$B$8</f>
        <v>0</v>
      </c>
      <c r="BJ337" s="10" t="str">
        <f>IF(BI337&gt;=AW337,"CUMPLE","NO CUMPLE")</f>
        <v>CUMPLE</v>
      </c>
    </row>
    <row r="338">
      <c r="A338" s="24" t="inlineStr">
        <is>
          <t>VR N1</t>
        </is>
      </c>
      <c r="B338" s="24" t="inlineStr">
        <is>
          <t>49</t>
        </is>
      </c>
      <c r="C338" s="10" t="n">
        <v>1</v>
      </c>
      <c r="D338" s="10" t="n">
        <v>3.4</v>
      </c>
      <c r="E338" s="10" t="n">
        <v>3.4</v>
      </c>
      <c r="F338" s="10" t="n">
        <v>500</v>
      </c>
      <c r="G338" s="10" t="n">
        <v>550</v>
      </c>
      <c r="H338" s="17" t="n">
        <v>500</v>
      </c>
      <c r="I338" s="17" t="n">
        <v>550</v>
      </c>
      <c r="J338" s="30" t="n">
        <v>191.2313</v>
      </c>
      <c r="K338" s="10" t="inlineStr">
        <is>
          <t>49</t>
        </is>
      </c>
      <c r="L338" s="30" t="n">
        <v>108.4215</v>
      </c>
      <c r="M338" s="10" t="inlineStr">
        <is>
          <t>49</t>
        </is>
      </c>
      <c r="N338" s="30" t="n">
        <v>142.78</v>
      </c>
      <c r="O338" s="30" t="n">
        <v>396.85</v>
      </c>
      <c r="P338" s="10" t="inlineStr">
        <is>
          <t>49</t>
        </is>
      </c>
      <c r="Q338" s="30" t="n">
        <v>15.0727</v>
      </c>
      <c r="R338" s="10">
        <f>MAX(MAX(1.4/'Parametros'!$B$3,0.25*SQRT('Parametros'!$B$2)/'Parametros'!$B$3)*H338*U338,(0.85*'Parametros'!$B$2/'Parametros'!$B$3)*(1-SQRT(1-2*(J338*1000000/('Parametros'!$B$5*H338*U338^2))/(0.85*'Parametros'!$B$2)))*H338*U338)</f>
        <v>1075.54285072297</v>
      </c>
      <c r="S338" s="31" t="n">
        <v>6</v>
      </c>
      <c r="T338" s="32" t="n">
        <v>1</v>
      </c>
      <c r="U338" s="10">
        <f>IF(T338=1,I338-('Parametros'!$B$7+'Parametros'!$B$9+'Parametros'!$B$12/2),I338-(ROUNDUP(S338/2,0)*('Parametros'!$B$7+'Parametros'!$B$9+'Parametros'!$B$12/2)+ROUNDDOWN(S338/2,0)*('Parametros'!$B$7+'Parametros'!$B$9+'Parametros'!$B$12/2+'Parametros'!$B$12+'Parametros'!$B$10))/S338)</f>
        <v>489.35</v>
      </c>
      <c r="V338" s="10">
        <f>S338*'Parametros'!$B$8</f>
        <v>1194</v>
      </c>
      <c r="W338" s="10">
        <f>'Parametros'!$B$5*V338*'Parametros'!$B$3*(U338-(V338*'Parametros'!$B$3/(0.85*'Parametros'!$B$2*H338))/2)/1000000</f>
        <v>211.349483470588</v>
      </c>
      <c r="X338" s="10" t="str">
        <f>IF(W338&gt;=J338,"CUMPLE","NO CUMPLE")</f>
        <v>CUMPLE</v>
      </c>
      <c r="Y338" s="10">
        <f>MAX(MAX(1.4/'Parametros'!$B$3,0.25*SQRT('Parametros'!$B$2)/'Parametros'!$B$3)*H338*AB338,(0.85*'Parametros'!$B$2/'Parametros'!$B$3)*(1-SQRT(1-2*(L338*1000000/('Parametros'!$B$5*H338*AB338^2))/(0.85*'Parametros'!$B$2)))*H338*AB338)</f>
        <v>815.583333333333</v>
      </c>
      <c r="Z338" s="31" t="n">
        <v>5</v>
      </c>
      <c r="AA338" s="32" t="n">
        <v>1</v>
      </c>
      <c r="AB338" s="10">
        <f>IF(AA338=1,I338-('Parametros'!$B$7+'Parametros'!$B$9+'Parametros'!$B$12/2),I338-(ROUNDUP(Z338/2,0)*('Parametros'!$B$7+'Parametros'!$B$9+'Parametros'!$B$12/2)+ROUNDDOWN(Z338/2,0)*('Parametros'!$B$7+'Parametros'!$B$9+'Parametros'!$B$12/2+'Parametros'!$B$12+'Parametros'!$B$10))/Z338)</f>
        <v>489.35</v>
      </c>
      <c r="AC338" s="10">
        <f>Z338*'Parametros'!$B$8</f>
        <v>995</v>
      </c>
      <c r="AD338" s="10">
        <f>'Parametros'!$B$5*AC338*'Parametros'!$B$3*(AB338-(AC338*'Parametros'!$B$3/(0.85*'Parametros'!$B$2*H338))/2)/1000000</f>
        <v>177.445379382353</v>
      </c>
      <c r="AE338" s="10" t="str">
        <f>IF(AD338&gt;=L338,"CUMPLE","NO CUMPLE")</f>
        <v>CUMPLE</v>
      </c>
      <c r="AF338" s="10">
        <f>V338*1.25*'Parametros'!$B$3*(U338-(V338*1.25*'Parametros'!$B$3/(0.85*'Parametros'!$B$2*H338))/2)/1000000</f>
        <v>290.238924705882</v>
      </c>
      <c r="AG338" s="10">
        <f>AC338*1.25*'Parametros'!$B$3*(AB338-(AC338*1.25*'Parametros'!$B$3/(0.85*'Parametros'!$B$2*H338))/2)/1000000</f>
        <v>244.158843198529</v>
      </c>
      <c r="AH338" s="10">
        <f>N338+(AF338+AG338)/D338</f>
        <v>299.955814089533</v>
      </c>
      <c r="AI338" s="10">
        <f>MAX(O338,AH338)</f>
        <v>396.85</v>
      </c>
      <c r="AJ338" s="10">
        <f>0.17*SQRT('Parametros'!$B$2)*H338*MIN(U338,AB338)/1000</f>
        <v>220.098728691808</v>
      </c>
      <c r="AK338" s="10">
        <f>MAX(AI338/'Parametros'!$B$6-AJ338,0)</f>
        <v>309.034604641526</v>
      </c>
      <c r="AL338" s="10">
        <f>0.66*SQRT('Parametros'!$B$2)*H338*MIN(U338,AB338)/1000</f>
        <v>854.500946685842</v>
      </c>
      <c r="AM338" s="10" t="str">
        <f>IF(AK338&lt;=AL338,"CUMPLE","NO CUMPLE")</f>
        <v>CUMPLE</v>
      </c>
      <c r="AN338" s="17" t="inlineStr">
        <is>
          <t>Nº4 cerrado</t>
        </is>
      </c>
      <c r="AO338" s="31" t="n">
        <v>2</v>
      </c>
      <c r="AP338" s="10">
        <f>ROUNDDOWN(MIN(IF(BC338+BD338=0,1000000000,AO338*BB338/(BC338+BD338)),MIN(U338,AB338)/4,8*'Parametros'!$B$12,24*BA338,300,IF(AV338=0,1000000000,2*((H338-2*('Parametros'!$B$7+'Parametros'!$B$9/2))+(I338-2*('Parametros'!$B$7+'Parametros'!$B$9/2)))/8))/10,0)*10</f>
        <v>120</v>
      </c>
      <c r="AQ338" s="10">
        <f>ROUNDDOWN(MIN(IF(BC338+BD338=0,1000000000,AO338*BB338/(BC338+BD338)),IF(AK338&gt;0.33*SQRT('Parametros'!$B$2)*H338*MIN(U338,AB338)/1000,MIN(U338,AB338)/4,MIN(U338,AB338)/2),600,IF(AV338=0,1000000000,2*((H338-2*('Parametros'!$B$7+'Parametros'!$B$9/2))+(I338-2*('Parametros'!$B$7+'Parametros'!$B$9/2)))/8))/10,0)*10</f>
        <v>140</v>
      </c>
      <c r="AR338" s="10">
        <f>'Parametros'!$B$6*(AJ338+MAX(BE338-BD338,0)*'Parametros'!$B$4*MIN(U338,AB338)/1000)</f>
        <v>449.898114761924</v>
      </c>
      <c r="AS338" s="10" t="str">
        <f>IF(AND(ISERROR(SEARCH("referencia",AN338)),AM338="CUMPLE",AR338&gt;=AI338),"CUMPLE","NO CUMPLE")</f>
        <v>CUMPLE</v>
      </c>
      <c r="AT338" s="10">
        <f>'Parametros'!$B$6*0.083*SQRT('Parametros'!$B$2)*(H338*I338)^2/(2*(H338+I338))/1000000</f>
        <v>11.862178757599</v>
      </c>
      <c r="AU338" s="10" t="str">
        <f>IF(Q338&lt;=AT338,"DESPRECIABLE","DISEÑAR")</f>
        <v>DISEÑAR</v>
      </c>
      <c r="AV338" s="10">
        <f>IF(Q338&lt;=AT338,0,Q338*1000000/('Parametros'!$B$6*2*0.85*(H338-2*('Parametros'!$B$7+'Parametros'!$B$9/2))*(I338-2*('Parametros'!$B$7+'Parametros'!$B$9/2))*'Parametros'!$B$4))</f>
        <v>0.151117920457918</v>
      </c>
      <c r="AW338" s="10">
        <f>AV338*2*((H338-2*('Parametros'!$B$7+'Parametros'!$B$9/2))+(I338-2*('Parametros'!$B$7+'Parametros'!$B$9/2)))*'Parametros'!$B$4/'Parametros'!$B$3</f>
        <v>261.313108055832</v>
      </c>
      <c r="AX338" s="31" t="n">
        <v>8</v>
      </c>
      <c r="AY338" s="10" t="str">
        <f>IF(AV338=0,"DESPRECIABLE",IF(AND(ISERROR(SEARCH("referencia",AN338)),BB338/AP338&gt;=AV338,BI338&gt;=AW338,BH338="CUMPLE"),"CUMPLE","NO CUMPLE"))</f>
        <v>CUMPLE</v>
      </c>
      <c r="AZ338" s="10" t="str">
        <f>IF(AND(X338="CUMPLE",AE338="CUMPLE",AS338="CUMPLE",OR(AY338="CUMPLE",AY338="DESPRECIABLE"),BH338="CUMPLE",BJ338="CUMPLE"),"CUMPLE","NO CUMPLE")</f>
        <v>CUMPLE</v>
      </c>
      <c r="BA338" s="32" t="n">
        <v>12.7</v>
      </c>
      <c r="BB338" s="32" t="n">
        <v>129</v>
      </c>
      <c r="BC338" s="10">
        <f>MAX(IF(AK338=0,0,AK338*1000/('Parametros'!$B$4*MIN(U338,AB338))),MAX(0.062*SQRT('Parametros'!$B$2)*H338/'Parametros'!$B$4,0.35*H338/'Parametros'!$B$4))</f>
        <v>1.50362047147832</v>
      </c>
      <c r="BD338" s="10">
        <f>2*AV338</f>
        <v>0.302235840915836</v>
      </c>
      <c r="BE338" s="10">
        <f>AO338*BB338/AP338</f>
        <v>2.15</v>
      </c>
      <c r="BF338" s="10">
        <f>SQRT((AI338*1000/(H338*MIN(U338,AB338)))^2+(Q338*1000000*2*((H338-2*('Parametros'!$B$7+'Parametros'!$B$9/2))+(I338-2*('Parametros'!$B$7+'Parametros'!$B$9/2)))/(1.7*((H338-2*('Parametros'!$B$7+'Parametros'!$B$9/2))*(I338-2*('Parametros'!$B$7+'Parametros'!$B$9/2)))^2))^2)</f>
        <v>1.6810764836224</v>
      </c>
      <c r="BG338" s="10">
        <f>'Parametros'!$B$6*(AJ338*1000/(H338*MIN(U338,AB338))+0.66*SQRT('Parametros'!$B$2))</f>
        <v>3.29396038227542</v>
      </c>
      <c r="BH338" s="10" t="str">
        <f>IF(BF338&lt;=BG338,"CUMPLE","NO CUMPLE")</f>
        <v>CUMPLE</v>
      </c>
      <c r="BI338" s="10">
        <f>AX338*'Parametros'!$B$8</f>
        <v>1592</v>
      </c>
      <c r="BJ338" s="10" t="str">
        <f>IF(BI338&gt;=AW338,"CUMPLE","NO CUMPLE")</f>
        <v>CUMPLE</v>
      </c>
    </row>
    <row r="339">
      <c r="A339" s="24" t="inlineStr">
        <is>
          <t>VR N1</t>
        </is>
      </c>
      <c r="B339" s="24" t="inlineStr">
        <is>
          <t>50</t>
        </is>
      </c>
      <c r="C339" s="10" t="n">
        <v>1</v>
      </c>
      <c r="D339" s="10" t="n">
        <v>3.4</v>
      </c>
      <c r="E339" s="10" t="n">
        <v>3.4</v>
      </c>
      <c r="F339" s="10" t="n">
        <v>500</v>
      </c>
      <c r="G339" s="10" t="n">
        <v>550</v>
      </c>
      <c r="H339" s="17" t="n">
        <v>500</v>
      </c>
      <c r="I339" s="17" t="n">
        <v>550</v>
      </c>
      <c r="J339" s="30" t="n">
        <v>191.236</v>
      </c>
      <c r="K339" s="10" t="inlineStr">
        <is>
          <t>50</t>
        </is>
      </c>
      <c r="L339" s="30" t="n">
        <v>108.4403</v>
      </c>
      <c r="M339" s="10" t="inlineStr">
        <is>
          <t>50</t>
        </is>
      </c>
      <c r="N339" s="30" t="n">
        <v>142.786</v>
      </c>
      <c r="O339" s="30" t="n">
        <v>396.878</v>
      </c>
      <c r="P339" s="10" t="inlineStr">
        <is>
          <t>50</t>
        </is>
      </c>
      <c r="Q339" s="30" t="n">
        <v>15.1187</v>
      </c>
      <c r="R339" s="10">
        <f>MAX(MAX(1.4/'Parametros'!$B$3,0.25*SQRT('Parametros'!$B$2)/'Parametros'!$B$3)*H339*U339,(0.85*'Parametros'!$B$2/'Parametros'!$B$3)*(1-SQRT(1-2*(J339*1000000/('Parametros'!$B$5*H339*U339^2))/(0.85*'Parametros'!$B$2)))*H339*U339)</f>
        <v>1075.57039649287</v>
      </c>
      <c r="S339" s="31" t="n">
        <v>6</v>
      </c>
      <c r="T339" s="32" t="n">
        <v>1</v>
      </c>
      <c r="U339" s="10">
        <f>IF(T339=1,I339-('Parametros'!$B$7+'Parametros'!$B$9+'Parametros'!$B$12/2),I339-(ROUNDUP(S339/2,0)*('Parametros'!$B$7+'Parametros'!$B$9+'Parametros'!$B$12/2)+ROUNDDOWN(S339/2,0)*('Parametros'!$B$7+'Parametros'!$B$9+'Parametros'!$B$12/2+'Parametros'!$B$12+'Parametros'!$B$10))/S339)</f>
        <v>489.35</v>
      </c>
      <c r="V339" s="10">
        <f>S339*'Parametros'!$B$8</f>
        <v>1194</v>
      </c>
      <c r="W339" s="10">
        <f>'Parametros'!$B$5*V339*'Parametros'!$B$3*(U339-(V339*'Parametros'!$B$3/(0.85*'Parametros'!$B$2*H339))/2)/1000000</f>
        <v>211.349483470588</v>
      </c>
      <c r="X339" s="10" t="str">
        <f>IF(W339&gt;=J339,"CUMPLE","NO CUMPLE")</f>
        <v>CUMPLE</v>
      </c>
      <c r="Y339" s="10">
        <f>MAX(MAX(1.4/'Parametros'!$B$3,0.25*SQRT('Parametros'!$B$2)/'Parametros'!$B$3)*H339*AB339,(0.85*'Parametros'!$B$2/'Parametros'!$B$3)*(1-SQRT(1-2*(L339*1000000/('Parametros'!$B$5*H339*AB339^2))/(0.85*'Parametros'!$B$2)))*H339*AB339)</f>
        <v>815.583333333333</v>
      </c>
      <c r="Z339" s="31" t="n">
        <v>5</v>
      </c>
      <c r="AA339" s="32" t="n">
        <v>1</v>
      </c>
      <c r="AB339" s="10">
        <f>IF(AA339=1,I339-('Parametros'!$B$7+'Parametros'!$B$9+'Parametros'!$B$12/2),I339-(ROUNDUP(Z339/2,0)*('Parametros'!$B$7+'Parametros'!$B$9+'Parametros'!$B$12/2)+ROUNDDOWN(Z339/2,0)*('Parametros'!$B$7+'Parametros'!$B$9+'Parametros'!$B$12/2+'Parametros'!$B$12+'Parametros'!$B$10))/Z339)</f>
        <v>489.35</v>
      </c>
      <c r="AC339" s="10">
        <f>Z339*'Parametros'!$B$8</f>
        <v>995</v>
      </c>
      <c r="AD339" s="10">
        <f>'Parametros'!$B$5*AC339*'Parametros'!$B$3*(AB339-(AC339*'Parametros'!$B$3/(0.85*'Parametros'!$B$2*H339))/2)/1000000</f>
        <v>177.445379382353</v>
      </c>
      <c r="AE339" s="10" t="str">
        <f>IF(AD339&gt;=L339,"CUMPLE","NO CUMPLE")</f>
        <v>CUMPLE</v>
      </c>
      <c r="AF339" s="10">
        <f>V339*1.25*'Parametros'!$B$3*(U339-(V339*1.25*'Parametros'!$B$3/(0.85*'Parametros'!$B$2*H339))/2)/1000000</f>
        <v>290.238924705882</v>
      </c>
      <c r="AG339" s="10">
        <f>AC339*1.25*'Parametros'!$B$3*(AB339-(AC339*1.25*'Parametros'!$B$3/(0.85*'Parametros'!$B$2*H339))/2)/1000000</f>
        <v>244.158843198529</v>
      </c>
      <c r="AH339" s="10">
        <f>N339+(AF339+AG339)/D339</f>
        <v>299.961814089533</v>
      </c>
      <c r="AI339" s="10">
        <f>MAX(O339,AH339)</f>
        <v>396.878</v>
      </c>
      <c r="AJ339" s="10">
        <f>0.17*SQRT('Parametros'!$B$2)*H339*MIN(U339,AB339)/1000</f>
        <v>220.098728691808</v>
      </c>
      <c r="AK339" s="10">
        <f>MAX(AI339/'Parametros'!$B$6-AJ339,0)</f>
        <v>309.071937974859</v>
      </c>
      <c r="AL339" s="10">
        <f>0.66*SQRT('Parametros'!$B$2)*H339*MIN(U339,AB339)/1000</f>
        <v>854.500946685842</v>
      </c>
      <c r="AM339" s="10" t="str">
        <f>IF(AK339&lt;=AL339,"CUMPLE","NO CUMPLE")</f>
        <v>CUMPLE</v>
      </c>
      <c r="AN339" s="17" t="inlineStr">
        <is>
          <t>Nº4 cerrado</t>
        </is>
      </c>
      <c r="AO339" s="31" t="n">
        <v>2</v>
      </c>
      <c r="AP339" s="10">
        <f>ROUNDDOWN(MIN(IF(BC339+BD339=0,1000000000,AO339*BB339/(BC339+BD339)),MIN(U339,AB339)/4,8*'Parametros'!$B$12,24*BA339,300,IF(AV339=0,1000000000,2*((H339-2*('Parametros'!$B$7+'Parametros'!$B$9/2))+(I339-2*('Parametros'!$B$7+'Parametros'!$B$9/2)))/8))/10,0)*10</f>
        <v>120</v>
      </c>
      <c r="AQ339" s="10">
        <f>ROUNDDOWN(MIN(IF(BC339+BD339=0,1000000000,AO339*BB339/(BC339+BD339)),IF(AK339&gt;0.33*SQRT('Parametros'!$B$2)*H339*MIN(U339,AB339)/1000,MIN(U339,AB339)/4,MIN(U339,AB339)/2),600,IF(AV339=0,1000000000,2*((H339-2*('Parametros'!$B$7+'Parametros'!$B$9/2))+(I339-2*('Parametros'!$B$7+'Parametros'!$B$9/2)))/8))/10,0)*10</f>
        <v>140</v>
      </c>
      <c r="AR339" s="10">
        <f>'Parametros'!$B$6*(AJ339+MAX(BE339-BD339,0)*'Parametros'!$B$4*MIN(U339,AB339)/1000)</f>
        <v>449.755933328882</v>
      </c>
      <c r="AS339" s="10" t="str">
        <f>IF(AND(ISERROR(SEARCH("referencia",AN339)),AM339="CUMPLE",AR339&gt;=AI339),"CUMPLE","NO CUMPLE")</f>
        <v>CUMPLE</v>
      </c>
      <c r="AT339" s="10">
        <f>'Parametros'!$B$6*0.083*SQRT('Parametros'!$B$2)*(H339*I339)^2/(2*(H339+I339))/1000000</f>
        <v>11.862178757599</v>
      </c>
      <c r="AU339" s="10" t="str">
        <f>IF(Q339&lt;=AT339,"DESPRECIABLE","DISEÑAR")</f>
        <v>DISEÑAR</v>
      </c>
      <c r="AV339" s="10">
        <f>IF(Q339&lt;=AT339,0,Q339*1000000/('Parametros'!$B$6*2*0.85*(H339-2*('Parametros'!$B$7+'Parametros'!$B$9/2))*(I339-2*('Parametros'!$B$7+'Parametros'!$B$9/2))*'Parametros'!$B$4))</f>
        <v>0.151579113498386</v>
      </c>
      <c r="AW339" s="10">
        <f>AV339*2*((H339-2*('Parametros'!$B$7+'Parametros'!$B$9/2))+(I339-2*('Parametros'!$B$7+'Parametros'!$B$9/2)))*'Parametros'!$B$4/'Parametros'!$B$3</f>
        <v>262.110603061409</v>
      </c>
      <c r="AX339" s="31" t="n">
        <v>8</v>
      </c>
      <c r="AY339" s="10" t="str">
        <f>IF(AV339=0,"DESPRECIABLE",IF(AND(ISERROR(SEARCH("referencia",AN339)),BB339/AP339&gt;=AV339,BI339&gt;=AW339,BH339="CUMPLE"),"CUMPLE","NO CUMPLE"))</f>
        <v>CUMPLE</v>
      </c>
      <c r="AZ339" s="10" t="str">
        <f>IF(AND(X339="CUMPLE",AE339="CUMPLE",AS339="CUMPLE",OR(AY339="CUMPLE",AY339="DESPRECIABLE"),BH339="CUMPLE",BJ339="CUMPLE"),"CUMPLE","NO CUMPLE")</f>
        <v>CUMPLE</v>
      </c>
      <c r="BA339" s="32" t="n">
        <v>12.7</v>
      </c>
      <c r="BB339" s="32" t="n">
        <v>129</v>
      </c>
      <c r="BC339" s="10">
        <f>MAX(IF(AK339=0,0,AK339*1000/('Parametros'!$B$4*MIN(U339,AB339))),MAX(0.062*SQRT('Parametros'!$B$2)*H339/'Parametros'!$B$4,0.35*H339/'Parametros'!$B$4))</f>
        <v>1.50380211833413</v>
      </c>
      <c r="BD339" s="10">
        <f>2*AV339</f>
        <v>0.303158226996772</v>
      </c>
      <c r="BE339" s="10">
        <f>AO339*BB339/AP339</f>
        <v>2.15</v>
      </c>
      <c r="BF339" s="10">
        <f>SQRT((AI339*1000/(H339*MIN(U339,AB339)))^2+(Q339*1000000*2*((H339-2*('Parametros'!$B$7+'Parametros'!$B$9/2))+(I339-2*('Parametros'!$B$7+'Parametros'!$B$9/2)))/(1.7*((H339-2*('Parametros'!$B$7+'Parametros'!$B$9/2))*(I339-2*('Parametros'!$B$7+'Parametros'!$B$9/2)))^2))^2)</f>
        <v>1.68154193799586</v>
      </c>
      <c r="BG339" s="10">
        <f>'Parametros'!$B$6*(AJ339*1000/(H339*MIN(U339,AB339))+0.66*SQRT('Parametros'!$B$2))</f>
        <v>3.29396038227542</v>
      </c>
      <c r="BH339" s="10" t="str">
        <f>IF(BF339&lt;=BG339,"CUMPLE","NO CUMPLE")</f>
        <v>CUMPLE</v>
      </c>
      <c r="BI339" s="10">
        <f>AX339*'Parametros'!$B$8</f>
        <v>1592</v>
      </c>
      <c r="BJ339" s="10" t="str">
        <f>IF(BI339&gt;=AW339,"CUMPLE","NO CUMPLE")</f>
        <v>CUMPLE</v>
      </c>
    </row>
    <row r="340">
      <c r="A340" s="24" t="inlineStr">
        <is>
          <t>VR N1</t>
        </is>
      </c>
      <c r="B340" s="24" t="inlineStr">
        <is>
          <t>51</t>
        </is>
      </c>
      <c r="C340" s="10" t="n">
        <v>1</v>
      </c>
      <c r="D340" s="10" t="n">
        <v>1.9</v>
      </c>
      <c r="E340" s="10" t="n">
        <v>1.9</v>
      </c>
      <c r="F340" s="10" t="n">
        <v>500</v>
      </c>
      <c r="G340" s="10" t="n">
        <v>550</v>
      </c>
      <c r="H340" s="17" t="n">
        <v>500</v>
      </c>
      <c r="I340" s="17" t="n">
        <v>550</v>
      </c>
      <c r="J340" s="30" t="n">
        <v>186.5617</v>
      </c>
      <c r="K340" s="10" t="inlineStr">
        <is>
          <t>51</t>
        </is>
      </c>
      <c r="L340" s="30" t="n">
        <v>158.9178</v>
      </c>
      <c r="M340" s="10" t="inlineStr">
        <is>
          <t>51</t>
        </is>
      </c>
      <c r="N340" s="30" t="n">
        <v>178.354</v>
      </c>
      <c r="O340" s="30" t="n">
        <v>702.3390000000001</v>
      </c>
      <c r="P340" s="10" t="inlineStr">
        <is>
          <t>51</t>
        </is>
      </c>
      <c r="Q340" s="30" t="n">
        <v>6.6051</v>
      </c>
      <c r="R340" s="10">
        <f>MAX(MAX(1.4/'Parametros'!$B$3,0.25*SQRT('Parametros'!$B$2)/'Parametros'!$B$3)*H340*U340,(0.85*'Parametros'!$B$2/'Parametros'!$B$3)*(1-SQRT(1-2*(J340*1000000/('Parametros'!$B$5*H340*U340^2))/(0.85*'Parametros'!$B$2)))*H340*U340)</f>
        <v>1048.20449768038</v>
      </c>
      <c r="S340" s="31" t="n">
        <v>6</v>
      </c>
      <c r="T340" s="32" t="n">
        <v>1</v>
      </c>
      <c r="U340" s="10">
        <f>IF(T340=1,I340-('Parametros'!$B$7+'Parametros'!$B$9+'Parametros'!$B$12/2),I340-(ROUNDUP(S340/2,0)*('Parametros'!$B$7+'Parametros'!$B$9+'Parametros'!$B$12/2)+ROUNDDOWN(S340/2,0)*('Parametros'!$B$7+'Parametros'!$B$9+'Parametros'!$B$12/2+'Parametros'!$B$12+'Parametros'!$B$10))/S340)</f>
        <v>489.35</v>
      </c>
      <c r="V340" s="10">
        <f>S340*'Parametros'!$B$8</f>
        <v>1194</v>
      </c>
      <c r="W340" s="10">
        <f>'Parametros'!$B$5*V340*'Parametros'!$B$3*(U340-(V340*'Parametros'!$B$3/(0.85*'Parametros'!$B$2*H340))/2)/1000000</f>
        <v>211.349483470588</v>
      </c>
      <c r="X340" s="10" t="str">
        <f>IF(W340&gt;=J340,"CUMPLE","NO CUMPLE")</f>
        <v>CUMPLE</v>
      </c>
      <c r="Y340" s="10">
        <f>MAX(MAX(1.4/'Parametros'!$B$3,0.25*SQRT('Parametros'!$B$2)/'Parametros'!$B$3)*H340*AB340,(0.85*'Parametros'!$B$2/'Parametros'!$B$3)*(1-SQRT(1-2*(L340*1000000/('Parametros'!$B$5*H340*AB340^2))/(0.85*'Parametros'!$B$2)))*H340*AB340)</f>
        <v>887.541813139663</v>
      </c>
      <c r="Z340" s="31" t="n">
        <v>5</v>
      </c>
      <c r="AA340" s="32" t="n">
        <v>1</v>
      </c>
      <c r="AB340" s="10">
        <f>IF(AA340=1,I340-('Parametros'!$B$7+'Parametros'!$B$9+'Parametros'!$B$12/2),I340-(ROUNDUP(Z340/2,0)*('Parametros'!$B$7+'Parametros'!$B$9+'Parametros'!$B$12/2)+ROUNDDOWN(Z340/2,0)*('Parametros'!$B$7+'Parametros'!$B$9+'Parametros'!$B$12/2+'Parametros'!$B$12+'Parametros'!$B$10))/Z340)</f>
        <v>489.35</v>
      </c>
      <c r="AC340" s="10">
        <f>Z340*'Parametros'!$B$8</f>
        <v>995</v>
      </c>
      <c r="AD340" s="10">
        <f>'Parametros'!$B$5*AC340*'Parametros'!$B$3*(AB340-(AC340*'Parametros'!$B$3/(0.85*'Parametros'!$B$2*H340))/2)/1000000</f>
        <v>177.445379382353</v>
      </c>
      <c r="AE340" s="10" t="str">
        <f>IF(AD340&gt;=L340,"CUMPLE","NO CUMPLE")</f>
        <v>CUMPLE</v>
      </c>
      <c r="AF340" s="10">
        <f>V340*1.25*'Parametros'!$B$3*(U340-(V340*1.25*'Parametros'!$B$3/(0.85*'Parametros'!$B$2*H340))/2)/1000000</f>
        <v>290.238924705882</v>
      </c>
      <c r="AG340" s="10">
        <f>AC340*1.25*'Parametros'!$B$3*(AB340-(AC340*1.25*'Parametros'!$B$3/(0.85*'Parametros'!$B$2*H340))/2)/1000000</f>
        <v>244.158843198529</v>
      </c>
      <c r="AH340" s="10">
        <f>N340+(AF340+AG340)/D340</f>
        <v>459.615983107585</v>
      </c>
      <c r="AI340" s="10">
        <f>MAX(O340,AH340)</f>
        <v>702.339</v>
      </c>
      <c r="AJ340" s="10">
        <f>0.17*SQRT('Parametros'!$B$2)*H340*MIN(U340,AB340)/1000</f>
        <v>220.098728691808</v>
      </c>
      <c r="AK340" s="10">
        <f>MAX(AI340/'Parametros'!$B$6-AJ340,0)</f>
        <v>716.353271308192</v>
      </c>
      <c r="AL340" s="10">
        <f>0.66*SQRT('Parametros'!$B$2)*H340*MIN(U340,AB340)/1000</f>
        <v>854.500946685842</v>
      </c>
      <c r="AM340" s="10" t="str">
        <f>IF(AK340&lt;=AL340,"CUMPLE","NO CUMPLE")</f>
        <v>CUMPLE</v>
      </c>
      <c r="AN340" s="17" t="inlineStr">
        <is>
          <t>Nº3 cerrado</t>
        </is>
      </c>
      <c r="AO340" s="31" t="n">
        <v>4</v>
      </c>
      <c r="AP340" s="10">
        <f>ROUNDDOWN(MIN(IF(BC340+BD340=0,1000000000,AO340*BB340/(BC340+BD340)),MIN(U340,AB340)/4,8*'Parametros'!$B$12,24*BA340,300,IF(AV340=0,1000000000,2*((H340-2*('Parametros'!$B$7+'Parametros'!$B$9/2))+(I340-2*('Parametros'!$B$7+'Parametros'!$B$9/2)))/8))/10,0)*10</f>
        <v>80</v>
      </c>
      <c r="AQ340" s="10">
        <f>ROUNDDOWN(MIN(IF(BC340+BD340=0,1000000000,AO340*BB340/(BC340+BD340)),IF(AK340&gt;0.33*SQRT('Parametros'!$B$2)*H340*MIN(U340,AB340)/1000,MIN(U340,AB340)/4,MIN(U340,AB340)/2),600,IF(AV340=0,1000000000,2*((H340-2*('Parametros'!$B$7+'Parametros'!$B$9/2))+(I340-2*('Parametros'!$B$7+'Parametros'!$B$9/2)))/8))/10,0)*10</f>
        <v>80</v>
      </c>
      <c r="AR340" s="10">
        <f>'Parametros'!$B$6*(AJ340+MAX(BE340-BD340,0)*'Parametros'!$B$4*MIN(U340,AB340)/1000)</f>
        <v>712.289684018856</v>
      </c>
      <c r="AS340" s="10" t="str">
        <f>IF(AND(ISERROR(SEARCH("referencia",AN340)),AM340="CUMPLE",AR340&gt;=AI340),"CUMPLE","NO CUMPLE")</f>
        <v>CUMPLE</v>
      </c>
      <c r="AT340" s="10">
        <f>'Parametros'!$B$6*0.083*SQRT('Parametros'!$B$2)*(H340*I340)^2/(2*(H340+I340))/1000000</f>
        <v>11.862178757599</v>
      </c>
      <c r="AU340" s="10" t="str">
        <f>IF(Q340&lt;=AT340,"DESPRECIABLE","DISEÑAR")</f>
        <v>DESPRECIABLE</v>
      </c>
      <c r="AV340" s="10">
        <f>IF(Q340&lt;=AT340,0,Q340*1000000/('Parametros'!$B$6*2*0.85*(H340-2*('Parametros'!$B$7+'Parametros'!$B$9/2))*(I340-2*('Parametros'!$B$7+'Parametros'!$B$9/2))*'Parametros'!$B$4))</f>
        <v>0</v>
      </c>
      <c r="AW340" s="10">
        <f>AV340*2*((H340-2*('Parametros'!$B$7+'Parametros'!$B$9/2))+(I340-2*('Parametros'!$B$7+'Parametros'!$B$9/2)))*'Parametros'!$B$4/'Parametros'!$B$3</f>
        <v>0</v>
      </c>
      <c r="AX340" s="31" t="n">
        <v>0</v>
      </c>
      <c r="AY340" s="10" t="str">
        <f>IF(AV340=0,"DESPRECIABLE",IF(AND(ISERROR(SEARCH("referencia",AN340)),BB340/AP340&gt;=AV340,BI340&gt;=AW340,BH340="CUMPLE"),"CUMPLE","NO CUMPLE"))</f>
        <v>DESPRECIABLE</v>
      </c>
      <c r="AZ340" s="10" t="str">
        <f>IF(AND(X340="CUMPLE",AE340="CUMPLE",AS340="CUMPLE",OR(AY340="CUMPLE",AY340="DESPRECIABLE"),BH340="CUMPLE",BJ340="CUMPLE"),"CUMPLE","NO CUMPLE")</f>
        <v>CUMPLE</v>
      </c>
      <c r="BA340" s="32" t="n">
        <v>9.5</v>
      </c>
      <c r="BB340" s="32" t="n">
        <v>71</v>
      </c>
      <c r="BC340" s="10">
        <f>MAX(IF(AK340=0,0,AK340*1000/('Parametros'!$B$4*MIN(U340,AB340))),MAX(0.062*SQRT('Parametros'!$B$2)*H340/'Parametros'!$B$4,0.35*H340/'Parametros'!$B$4))</f>
        <v>3.48544605481612</v>
      </c>
      <c r="BD340" s="10">
        <f>2*AV340</f>
        <v>0</v>
      </c>
      <c r="BE340" s="10">
        <f>AO340*BB340/AP340</f>
        <v>3.55</v>
      </c>
      <c r="BF340" s="10">
        <f>SQRT((AI340*1000/(H340*MIN(U340,AB340)))^2+(Q340*1000000*2*((H340-2*('Parametros'!$B$7+'Parametros'!$B$9/2))+(I340-2*('Parametros'!$B$7+'Parametros'!$B$9/2)))/(1.7*((H340-2*('Parametros'!$B$7+'Parametros'!$B$9/2))*(I340-2*('Parametros'!$B$7+'Parametros'!$B$9/2)))^2))^2)</f>
        <v>2.87702301813251</v>
      </c>
      <c r="BG340" s="10">
        <f>'Parametros'!$B$6*(AJ340*1000/(H340*MIN(U340,AB340))+0.66*SQRT('Parametros'!$B$2))</f>
        <v>3.29396038227542</v>
      </c>
      <c r="BH340" s="10" t="str">
        <f>IF(BF340&lt;=BG340,"CUMPLE","NO CUMPLE")</f>
        <v>CUMPLE</v>
      </c>
      <c r="BI340" s="10">
        <f>AX340*'Parametros'!$B$8</f>
        <v>0</v>
      </c>
      <c r="BJ340" s="10" t="str">
        <f>IF(BI340&gt;=AW340,"CUMPLE","NO CUMPLE")</f>
        <v>CUMPLE</v>
      </c>
    </row>
    <row r="341">
      <c r="A341" s="24" t="inlineStr">
        <is>
          <t>VR N1</t>
        </is>
      </c>
      <c r="B341" s="24" t="inlineStr">
        <is>
          <t>52</t>
        </is>
      </c>
      <c r="C341" s="10" t="n">
        <v>1</v>
      </c>
      <c r="D341" s="10" t="n">
        <v>2</v>
      </c>
      <c r="E341" s="10" t="n">
        <v>2</v>
      </c>
      <c r="F341" s="10" t="n">
        <v>500</v>
      </c>
      <c r="G341" s="10" t="n">
        <v>550</v>
      </c>
      <c r="H341" s="17" t="n">
        <v>500</v>
      </c>
      <c r="I341" s="17" t="n">
        <v>550</v>
      </c>
      <c r="J341" s="30" t="n">
        <v>175.8938</v>
      </c>
      <c r="K341" s="10" t="inlineStr">
        <is>
          <t>52</t>
        </is>
      </c>
      <c r="L341" s="30" t="n">
        <v>143.3015</v>
      </c>
      <c r="M341" s="10" t="inlineStr">
        <is>
          <t>52</t>
        </is>
      </c>
      <c r="N341" s="30" t="n">
        <v>164.744</v>
      </c>
      <c r="O341" s="30" t="n">
        <v>634.574</v>
      </c>
      <c r="P341" s="10" t="inlineStr">
        <is>
          <t>52</t>
        </is>
      </c>
      <c r="Q341" s="30" t="n">
        <v>10.9368</v>
      </c>
      <c r="R341" s="10">
        <f>MAX(MAX(1.4/'Parametros'!$B$3,0.25*SQRT('Parametros'!$B$2)/'Parametros'!$B$3)*H341*U341,(0.85*'Parametros'!$B$2/'Parametros'!$B$3)*(1-SQRT(1-2*(J341*1000000/('Parametros'!$B$5*H341*U341^2))/(0.85*'Parametros'!$B$2)))*H341*U341)</f>
        <v>985.966589477972</v>
      </c>
      <c r="S341" s="31" t="n">
        <v>5</v>
      </c>
      <c r="T341" s="32" t="n">
        <v>1</v>
      </c>
      <c r="U341" s="10">
        <f>IF(T341=1,I341-('Parametros'!$B$7+'Parametros'!$B$9+'Parametros'!$B$12/2),I341-(ROUNDUP(S341/2,0)*('Parametros'!$B$7+'Parametros'!$B$9+'Parametros'!$B$12/2)+ROUNDDOWN(S341/2,0)*('Parametros'!$B$7+'Parametros'!$B$9+'Parametros'!$B$12/2+'Parametros'!$B$12+'Parametros'!$B$10))/S341)</f>
        <v>489.35</v>
      </c>
      <c r="V341" s="10">
        <f>S341*'Parametros'!$B$8</f>
        <v>995</v>
      </c>
      <c r="W341" s="10">
        <f>'Parametros'!$B$5*V341*'Parametros'!$B$3*(U341-(V341*'Parametros'!$B$3/(0.85*'Parametros'!$B$2*H341))/2)/1000000</f>
        <v>177.445379382353</v>
      </c>
      <c r="X341" s="10" t="str">
        <f>IF(W341&gt;=J341,"CUMPLE","NO CUMPLE")</f>
        <v>CUMPLE</v>
      </c>
      <c r="Y341" s="10">
        <f>MAX(MAX(1.4/'Parametros'!$B$3,0.25*SQRT('Parametros'!$B$2)/'Parametros'!$B$3)*H341*AB341,(0.85*'Parametros'!$B$2/'Parametros'!$B$3)*(1-SQRT(1-2*(L341*1000000/('Parametros'!$B$5*H341*AB341^2))/(0.85*'Parametros'!$B$2)))*H341*AB341)</f>
        <v>815.583333333333</v>
      </c>
      <c r="Z341" s="31" t="n">
        <v>5</v>
      </c>
      <c r="AA341" s="32" t="n">
        <v>1</v>
      </c>
      <c r="AB341" s="10">
        <f>IF(AA341=1,I341-('Parametros'!$B$7+'Parametros'!$B$9+'Parametros'!$B$12/2),I341-(ROUNDUP(Z341/2,0)*('Parametros'!$B$7+'Parametros'!$B$9+'Parametros'!$B$12/2)+ROUNDDOWN(Z341/2,0)*('Parametros'!$B$7+'Parametros'!$B$9+'Parametros'!$B$12/2+'Parametros'!$B$12+'Parametros'!$B$10))/Z341)</f>
        <v>489.35</v>
      </c>
      <c r="AC341" s="10">
        <f>Z341*'Parametros'!$B$8</f>
        <v>995</v>
      </c>
      <c r="AD341" s="10">
        <f>'Parametros'!$B$5*AC341*'Parametros'!$B$3*(AB341-(AC341*'Parametros'!$B$3/(0.85*'Parametros'!$B$2*H341))/2)/1000000</f>
        <v>177.445379382353</v>
      </c>
      <c r="AE341" s="10" t="str">
        <f>IF(AD341&gt;=L341,"CUMPLE","NO CUMPLE")</f>
        <v>CUMPLE</v>
      </c>
      <c r="AF341" s="10">
        <f>V341*1.25*'Parametros'!$B$3*(U341-(V341*1.25*'Parametros'!$B$3/(0.85*'Parametros'!$B$2*H341))/2)/1000000</f>
        <v>244.158843198529</v>
      </c>
      <c r="AG341" s="10">
        <f>AC341*1.25*'Parametros'!$B$3*(AB341-(AC341*1.25*'Parametros'!$B$3/(0.85*'Parametros'!$B$2*H341))/2)/1000000</f>
        <v>244.158843198529</v>
      </c>
      <c r="AH341" s="10">
        <f>N341+(AF341+AG341)/D341</f>
        <v>408.902843198529</v>
      </c>
      <c r="AI341" s="10">
        <f>MAX(O341,AH341)</f>
        <v>634.574</v>
      </c>
      <c r="AJ341" s="10">
        <f>0.17*SQRT('Parametros'!$B$2)*H341*MIN(U341,AB341)/1000</f>
        <v>220.098728691808</v>
      </c>
      <c r="AK341" s="10">
        <f>MAX(AI341/'Parametros'!$B$6-AJ341,0)</f>
        <v>625.999937974859</v>
      </c>
      <c r="AL341" s="10">
        <f>0.66*SQRT('Parametros'!$B$2)*H341*MIN(U341,AB341)/1000</f>
        <v>854.500946685842</v>
      </c>
      <c r="AM341" s="10" t="str">
        <f>IF(AK341&lt;=AL341,"CUMPLE","NO CUMPLE")</f>
        <v>CUMPLE</v>
      </c>
      <c r="AN341" s="17" t="inlineStr">
        <is>
          <t>Nº4 cerrado</t>
        </is>
      </c>
      <c r="AO341" s="31" t="n">
        <v>2</v>
      </c>
      <c r="AP341" s="10">
        <f>ROUNDDOWN(MIN(IF(BC341+BD341=0,1000000000,AO341*BB341/(BC341+BD341)),MIN(U341,AB341)/4,8*'Parametros'!$B$12,24*BA341,300,IF(AV341=0,1000000000,2*((H341-2*('Parametros'!$B$7+'Parametros'!$B$9/2))+(I341-2*('Parametros'!$B$7+'Parametros'!$B$9/2)))/8))/10,0)*10</f>
        <v>80</v>
      </c>
      <c r="AQ341" s="10">
        <f>ROUNDDOWN(MIN(IF(BC341+BD341=0,1000000000,AO341*BB341/(BC341+BD341)),IF(AK341&gt;0.33*SQRT('Parametros'!$B$2)*H341*MIN(U341,AB341)/1000,MIN(U341,AB341)/4,MIN(U341,AB341)/2),600,IF(AV341=0,1000000000,2*((H341-2*('Parametros'!$B$7+'Parametros'!$B$9/2))+(I341-2*('Parametros'!$B$7+'Parametros'!$B$9/2)))/8))/10,0)*10</f>
        <v>80</v>
      </c>
      <c r="AR341" s="10">
        <f>'Parametros'!$B$6*(AJ341+MAX(BE341-BD341,0)*'Parametros'!$B$4*MIN(U341,AB341)/1000)</f>
        <v>662.192477768856</v>
      </c>
      <c r="AS341" s="10" t="str">
        <f>IF(AND(ISERROR(SEARCH("referencia",AN341)),AM341="CUMPLE",AR341&gt;=AI341),"CUMPLE","NO CUMPLE")</f>
        <v>CUMPLE</v>
      </c>
      <c r="AT341" s="10">
        <f>'Parametros'!$B$6*0.083*SQRT('Parametros'!$B$2)*(H341*I341)^2/(2*(H341+I341))/1000000</f>
        <v>11.862178757599</v>
      </c>
      <c r="AU341" s="10" t="str">
        <f>IF(Q341&lt;=AT341,"DESPRECIABLE","DISEÑAR")</f>
        <v>DESPRECIABLE</v>
      </c>
      <c r="AV341" s="10">
        <f>IF(Q341&lt;=AT341,0,Q341*1000000/('Parametros'!$B$6*2*0.85*(H341-2*('Parametros'!$B$7+'Parametros'!$B$9/2))*(I341-2*('Parametros'!$B$7+'Parametros'!$B$9/2))*'Parametros'!$B$4))</f>
        <v>0</v>
      </c>
      <c r="AW341" s="10">
        <f>AV341*2*((H341-2*('Parametros'!$B$7+'Parametros'!$B$9/2))+(I341-2*('Parametros'!$B$7+'Parametros'!$B$9/2)))*'Parametros'!$B$4/'Parametros'!$B$3</f>
        <v>0</v>
      </c>
      <c r="AX341" s="31" t="n">
        <v>0</v>
      </c>
      <c r="AY341" s="10" t="str">
        <f>IF(AV341=0,"DESPRECIABLE",IF(AND(ISERROR(SEARCH("referencia",AN341)),BB341/AP341&gt;=AV341,BI341&gt;=AW341,BH341="CUMPLE"),"CUMPLE","NO CUMPLE"))</f>
        <v>DESPRECIABLE</v>
      </c>
      <c r="AZ341" s="10" t="str">
        <f>IF(AND(X341="CUMPLE",AE341="CUMPLE",AS341="CUMPLE",OR(AY341="CUMPLE",AY341="DESPRECIABLE"),BH341="CUMPLE",BJ341="CUMPLE"),"CUMPLE","NO CUMPLE")</f>
        <v>CUMPLE</v>
      </c>
      <c r="BA341" s="32" t="n">
        <v>12.7</v>
      </c>
      <c r="BB341" s="32" t="n">
        <v>129</v>
      </c>
      <c r="BC341" s="10">
        <f>MAX(IF(AK341=0,0,AK341*1000/('Parametros'!$B$4*MIN(U341,AB341))),MAX(0.062*SQRT('Parametros'!$B$2)*H341/'Parametros'!$B$4,0.35*H341/'Parametros'!$B$4))</f>
        <v>3.04582822682596</v>
      </c>
      <c r="BD341" s="10">
        <f>2*AV341</f>
        <v>0</v>
      </c>
      <c r="BE341" s="10">
        <f>AO341*BB341/AP341</f>
        <v>3.225</v>
      </c>
      <c r="BF341" s="10">
        <f>SQRT((AI341*1000/(H341*MIN(U341,AB341)))^2+(Q341*1000000*2*((H341-2*('Parametros'!$B$7+'Parametros'!$B$9/2))+(I341-2*('Parametros'!$B$7+'Parametros'!$B$9/2)))/(1.7*((H341-2*('Parametros'!$B$7+'Parametros'!$B$9/2))*(I341-2*('Parametros'!$B$7+'Parametros'!$B$9/2)))^2))^2)</f>
        <v>2.61328702987113</v>
      </c>
      <c r="BG341" s="10">
        <f>'Parametros'!$B$6*(AJ341*1000/(H341*MIN(U341,AB341))+0.66*SQRT('Parametros'!$B$2))</f>
        <v>3.29396038227542</v>
      </c>
      <c r="BH341" s="10" t="str">
        <f>IF(BF341&lt;=BG341,"CUMPLE","NO CUMPLE")</f>
        <v>CUMPLE</v>
      </c>
      <c r="BI341" s="10">
        <f>AX341*'Parametros'!$B$8</f>
        <v>0</v>
      </c>
      <c r="BJ341" s="10" t="str">
        <f>IF(BI341&gt;=AW341,"CUMPLE","NO CUMPLE")</f>
        <v>CUMPLE</v>
      </c>
    </row>
    <row r="342">
      <c r="A342" s="24" t="inlineStr">
        <is>
          <t>VR N1</t>
        </is>
      </c>
      <c r="B342" s="24" t="inlineStr">
        <is>
          <t>53</t>
        </is>
      </c>
      <c r="C342" s="10" t="n">
        <v>1</v>
      </c>
      <c r="D342" s="10" t="n">
        <v>3.05</v>
      </c>
      <c r="E342" s="10" t="n">
        <v>3.05</v>
      </c>
      <c r="F342" s="10" t="n">
        <v>500</v>
      </c>
      <c r="G342" s="10" t="n">
        <v>550</v>
      </c>
      <c r="H342" s="17" t="n">
        <v>500</v>
      </c>
      <c r="I342" s="17" t="n">
        <v>550</v>
      </c>
      <c r="J342" s="30" t="n">
        <v>177.8868</v>
      </c>
      <c r="K342" s="10" t="inlineStr">
        <is>
          <t>53</t>
        </is>
      </c>
      <c r="L342" s="30" t="n">
        <v>119.0652</v>
      </c>
      <c r="M342" s="10" t="inlineStr">
        <is>
          <t>53</t>
        </is>
      </c>
      <c r="N342" s="30" t="n">
        <v>142.342</v>
      </c>
      <c r="O342" s="30" t="n">
        <v>447.787</v>
      </c>
      <c r="P342" s="10" t="inlineStr">
        <is>
          <t>53</t>
        </is>
      </c>
      <c r="Q342" s="30" t="n">
        <v>6.45</v>
      </c>
      <c r="R342" s="10">
        <f>MAX(MAX(1.4/'Parametros'!$B$3,0.25*SQRT('Parametros'!$B$2)/'Parametros'!$B$3)*H342*U342,(0.85*'Parametros'!$B$2/'Parametros'!$B$3)*(1-SQRT(1-2*(J342*1000000/('Parametros'!$B$5*H342*U342^2))/(0.85*'Parametros'!$B$2)))*H342*U342)</f>
        <v>997.571142422834</v>
      </c>
      <c r="S342" s="31" t="n">
        <v>6</v>
      </c>
      <c r="T342" s="32" t="n">
        <v>1</v>
      </c>
      <c r="U342" s="10">
        <f>IF(T342=1,I342-('Parametros'!$B$7+'Parametros'!$B$9+'Parametros'!$B$12/2),I342-(ROUNDUP(S342/2,0)*('Parametros'!$B$7+'Parametros'!$B$9+'Parametros'!$B$12/2)+ROUNDDOWN(S342/2,0)*('Parametros'!$B$7+'Parametros'!$B$9+'Parametros'!$B$12/2+'Parametros'!$B$12+'Parametros'!$B$10))/S342)</f>
        <v>489.35</v>
      </c>
      <c r="V342" s="10">
        <f>S342*'Parametros'!$B$8</f>
        <v>1194</v>
      </c>
      <c r="W342" s="10">
        <f>'Parametros'!$B$5*V342*'Parametros'!$B$3*(U342-(V342*'Parametros'!$B$3/(0.85*'Parametros'!$B$2*H342))/2)/1000000</f>
        <v>211.349483470588</v>
      </c>
      <c r="X342" s="10" t="str">
        <f>IF(W342&gt;=J342,"CUMPLE","NO CUMPLE")</f>
        <v>CUMPLE</v>
      </c>
      <c r="Y342" s="10">
        <f>MAX(MAX(1.4/'Parametros'!$B$3,0.25*SQRT('Parametros'!$B$2)/'Parametros'!$B$3)*H342*AB342,(0.85*'Parametros'!$B$2/'Parametros'!$B$3)*(1-SQRT(1-2*(L342*1000000/('Parametros'!$B$5*H342*AB342^2))/(0.85*'Parametros'!$B$2)))*H342*AB342)</f>
        <v>815.583333333333</v>
      </c>
      <c r="Z342" s="31" t="n">
        <v>5</v>
      </c>
      <c r="AA342" s="32" t="n">
        <v>1</v>
      </c>
      <c r="AB342" s="10">
        <f>IF(AA342=1,I342-('Parametros'!$B$7+'Parametros'!$B$9+'Parametros'!$B$12/2),I342-(ROUNDUP(Z342/2,0)*('Parametros'!$B$7+'Parametros'!$B$9+'Parametros'!$B$12/2)+ROUNDDOWN(Z342/2,0)*('Parametros'!$B$7+'Parametros'!$B$9+'Parametros'!$B$12/2+'Parametros'!$B$12+'Parametros'!$B$10))/Z342)</f>
        <v>489.35</v>
      </c>
      <c r="AC342" s="10">
        <f>Z342*'Parametros'!$B$8</f>
        <v>995</v>
      </c>
      <c r="AD342" s="10">
        <f>'Parametros'!$B$5*AC342*'Parametros'!$B$3*(AB342-(AC342*'Parametros'!$B$3/(0.85*'Parametros'!$B$2*H342))/2)/1000000</f>
        <v>177.445379382353</v>
      </c>
      <c r="AE342" s="10" t="str">
        <f>IF(AD342&gt;=L342,"CUMPLE","NO CUMPLE")</f>
        <v>CUMPLE</v>
      </c>
      <c r="AF342" s="10">
        <f>V342*1.25*'Parametros'!$B$3*(U342-(V342*1.25*'Parametros'!$B$3/(0.85*'Parametros'!$B$2*H342))/2)/1000000</f>
        <v>290.238924705882</v>
      </c>
      <c r="AG342" s="10">
        <f>AC342*1.25*'Parametros'!$B$3*(AB342-(AC342*1.25*'Parametros'!$B$3/(0.85*'Parametros'!$B$2*H342))/2)/1000000</f>
        <v>244.158843198529</v>
      </c>
      <c r="AH342" s="10">
        <f>N342+(AF342+AG342)/D342</f>
        <v>317.554382919479</v>
      </c>
      <c r="AI342" s="10">
        <f>MAX(O342,AH342)</f>
        <v>447.787</v>
      </c>
      <c r="AJ342" s="10">
        <f>0.17*SQRT('Parametros'!$B$2)*H342*MIN(U342,AB342)/1000</f>
        <v>220.098728691808</v>
      </c>
      <c r="AK342" s="10">
        <f>MAX(AI342/'Parametros'!$B$6-AJ342,0)</f>
        <v>376.950604641526</v>
      </c>
      <c r="AL342" s="10">
        <f>0.66*SQRT('Parametros'!$B$2)*H342*MIN(U342,AB342)/1000</f>
        <v>854.500946685842</v>
      </c>
      <c r="AM342" s="10" t="str">
        <f>IF(AK342&lt;=AL342,"CUMPLE","NO CUMPLE")</f>
        <v>CUMPLE</v>
      </c>
      <c r="AN342" s="17" t="inlineStr">
        <is>
          <t>Nº4 cerrado</t>
        </is>
      </c>
      <c r="AO342" s="31" t="n">
        <v>2</v>
      </c>
      <c r="AP342" s="10">
        <f>ROUNDDOWN(MIN(IF(BC342+BD342=0,1000000000,AO342*BB342/(BC342+BD342)),MIN(U342,AB342)/4,8*'Parametros'!$B$12,24*BA342,300,IF(AV342=0,1000000000,2*((H342-2*('Parametros'!$B$7+'Parametros'!$B$9/2))+(I342-2*('Parametros'!$B$7+'Parametros'!$B$9/2)))/8))/10,0)*10</f>
        <v>120</v>
      </c>
      <c r="AQ342" s="10">
        <f>ROUNDDOWN(MIN(IF(BC342+BD342=0,1000000000,AO342*BB342/(BC342+BD342)),IF(AK342&gt;0.33*SQRT('Parametros'!$B$2)*H342*MIN(U342,AB342)/1000,MIN(U342,AB342)/4,MIN(U342,AB342)/2),600,IF(AV342=0,1000000000,2*((H342-2*('Parametros'!$B$7+'Parametros'!$B$9/2))+(I342-2*('Parametros'!$B$7+'Parametros'!$B$9/2)))/8))/10,0)*10</f>
        <v>140</v>
      </c>
      <c r="AR342" s="10">
        <f>'Parametros'!$B$6*(AJ342+MAX(BE342-BD342,0)*'Parametros'!$B$4*MIN(U342,AB342)/1000)</f>
        <v>496.486334018856</v>
      </c>
      <c r="AS342" s="10" t="str">
        <f>IF(AND(ISERROR(SEARCH("referencia",AN342)),AM342="CUMPLE",AR342&gt;=AI342),"CUMPLE","NO CUMPLE")</f>
        <v>CUMPLE</v>
      </c>
      <c r="AT342" s="10">
        <f>'Parametros'!$B$6*0.083*SQRT('Parametros'!$B$2)*(H342*I342)^2/(2*(H342+I342))/1000000</f>
        <v>11.862178757599</v>
      </c>
      <c r="AU342" s="10" t="str">
        <f>IF(Q342&lt;=AT342,"DESPRECIABLE","DISEÑAR")</f>
        <v>DESPRECIABLE</v>
      </c>
      <c r="AV342" s="10">
        <f>IF(Q342&lt;=AT342,0,Q342*1000000/('Parametros'!$B$6*2*0.85*(H342-2*('Parametros'!$B$7+'Parametros'!$B$9/2))*(I342-2*('Parametros'!$B$7+'Parametros'!$B$9/2))*'Parametros'!$B$4))</f>
        <v>0</v>
      </c>
      <c r="AW342" s="10">
        <f>AV342*2*((H342-2*('Parametros'!$B$7+'Parametros'!$B$9/2))+(I342-2*('Parametros'!$B$7+'Parametros'!$B$9/2)))*'Parametros'!$B$4/'Parametros'!$B$3</f>
        <v>0</v>
      </c>
      <c r="AX342" s="31" t="n">
        <v>0</v>
      </c>
      <c r="AY342" s="10" t="str">
        <f>IF(AV342=0,"DESPRECIABLE",IF(AND(ISERROR(SEARCH("referencia",AN342)),BB342/AP342&gt;=AV342,BI342&gt;=AW342,BH342="CUMPLE"),"CUMPLE","NO CUMPLE"))</f>
        <v>DESPRECIABLE</v>
      </c>
      <c r="AZ342" s="10" t="str">
        <f>IF(AND(X342="CUMPLE",AE342="CUMPLE",AS342="CUMPLE",OR(AY342="CUMPLE",AY342="DESPRECIABLE"),BH342="CUMPLE",BJ342="CUMPLE"),"CUMPLE","NO CUMPLE")</f>
        <v>CUMPLE</v>
      </c>
      <c r="BA342" s="32" t="n">
        <v>12.7</v>
      </c>
      <c r="BB342" s="32" t="n">
        <v>129</v>
      </c>
      <c r="BC342" s="10">
        <f>MAX(IF(AK342=0,0,AK342*1000/('Parametros'!$B$4*MIN(U342,AB342))),MAX(0.062*SQRT('Parametros'!$B$2)*H342/'Parametros'!$B$4,0.35*H342/'Parametros'!$B$4))</f>
        <v>1.8340685391288</v>
      </c>
      <c r="BD342" s="10">
        <f>2*AV342</f>
        <v>0</v>
      </c>
      <c r="BE342" s="10">
        <f>AO342*BB342/AP342</f>
        <v>2.15</v>
      </c>
      <c r="BF342" s="10">
        <f>SQRT((AI342*1000/(H342*MIN(U342,AB342)))^2+(Q342*1000000*2*((H342-2*('Parametros'!$B$7+'Parametros'!$B$9/2))+(I342-2*('Parametros'!$B$7+'Parametros'!$B$9/2)))/(1.7*((H342-2*('Parametros'!$B$7+'Parametros'!$B$9/2))*(I342-2*('Parametros'!$B$7+'Parametros'!$B$9/2)))^2))^2)</f>
        <v>1.83987478972771</v>
      </c>
      <c r="BG342" s="10">
        <f>'Parametros'!$B$6*(AJ342*1000/(H342*MIN(U342,AB342))+0.66*SQRT('Parametros'!$B$2))</f>
        <v>3.29396038227542</v>
      </c>
      <c r="BH342" s="10" t="str">
        <f>IF(BF342&lt;=BG342,"CUMPLE","NO CUMPLE")</f>
        <v>CUMPLE</v>
      </c>
      <c r="BI342" s="10">
        <f>AX342*'Parametros'!$B$8</f>
        <v>0</v>
      </c>
      <c r="BJ342" s="10" t="str">
        <f>IF(BI342&gt;=AW342,"CUMPLE","NO CUMPLE")</f>
        <v>CUMPLE</v>
      </c>
    </row>
    <row r="343">
      <c r="A343" s="24" t="inlineStr">
        <is>
          <t>VR N1</t>
        </is>
      </c>
      <c r="B343" s="24" t="inlineStr">
        <is>
          <t>54</t>
        </is>
      </c>
      <c r="C343" s="10" t="n">
        <v>1</v>
      </c>
      <c r="D343" s="10" t="n">
        <v>2</v>
      </c>
      <c r="E343" s="10" t="n">
        <v>2</v>
      </c>
      <c r="F343" s="10" t="n">
        <v>500</v>
      </c>
      <c r="G343" s="10" t="n">
        <v>550</v>
      </c>
      <c r="H343" s="17" t="n">
        <v>500</v>
      </c>
      <c r="I343" s="17" t="n">
        <v>550</v>
      </c>
      <c r="J343" s="30" t="n">
        <v>203.7416</v>
      </c>
      <c r="K343" s="10" t="inlineStr">
        <is>
          <t>54</t>
        </is>
      </c>
      <c r="L343" s="30" t="n">
        <v>164.8879</v>
      </c>
      <c r="M343" s="10" t="inlineStr">
        <is>
          <t>54</t>
        </is>
      </c>
      <c r="N343" s="30" t="n">
        <v>181.133</v>
      </c>
      <c r="O343" s="30" t="n">
        <v>703.276</v>
      </c>
      <c r="P343" s="10" t="inlineStr">
        <is>
          <t>54</t>
        </is>
      </c>
      <c r="Q343" s="30" t="n">
        <v>4.402</v>
      </c>
      <c r="R343" s="10">
        <f>MAX(MAX(1.4/'Parametros'!$B$3,0.25*SQRT('Parametros'!$B$2)/'Parametros'!$B$3)*H343*U343,(0.85*'Parametros'!$B$2/'Parametros'!$B$3)*(1-SQRT(1-2*(J343*1000000/('Parametros'!$B$5*H343*U343^2))/(0.85*'Parametros'!$B$2)))*H343*U343)</f>
        <v>1149.07454728643</v>
      </c>
      <c r="S343" s="31" t="n">
        <v>6</v>
      </c>
      <c r="T343" s="32" t="n">
        <v>1</v>
      </c>
      <c r="U343" s="10">
        <f>IF(T343=1,I343-('Parametros'!$B$7+'Parametros'!$B$9+'Parametros'!$B$12/2),I343-(ROUNDUP(S343/2,0)*('Parametros'!$B$7+'Parametros'!$B$9+'Parametros'!$B$12/2)+ROUNDDOWN(S343/2,0)*('Parametros'!$B$7+'Parametros'!$B$9+'Parametros'!$B$12/2+'Parametros'!$B$12+'Parametros'!$B$10))/S343)</f>
        <v>489.35</v>
      </c>
      <c r="V343" s="10">
        <f>S343*'Parametros'!$B$8</f>
        <v>1194</v>
      </c>
      <c r="W343" s="10">
        <f>'Parametros'!$B$5*V343*'Parametros'!$B$3*(U343-(V343*'Parametros'!$B$3/(0.85*'Parametros'!$B$2*H343))/2)/1000000</f>
        <v>211.349483470588</v>
      </c>
      <c r="X343" s="10" t="str">
        <f>IF(W343&gt;=J343,"CUMPLE","NO CUMPLE")</f>
        <v>CUMPLE</v>
      </c>
      <c r="Y343" s="10">
        <f>MAX(MAX(1.4/'Parametros'!$B$3,0.25*SQRT('Parametros'!$B$2)/'Parametros'!$B$3)*H343*AB343,(0.85*'Parametros'!$B$2/'Parametros'!$B$3)*(1-SQRT(1-2*(L343*1000000/('Parametros'!$B$5*H343*AB343^2))/(0.85*'Parametros'!$B$2)))*H343*AB343)</f>
        <v>922.070397286819</v>
      </c>
      <c r="Z343" s="31" t="n">
        <v>5</v>
      </c>
      <c r="AA343" s="32" t="n">
        <v>1</v>
      </c>
      <c r="AB343" s="10">
        <f>IF(AA343=1,I343-('Parametros'!$B$7+'Parametros'!$B$9+'Parametros'!$B$12/2),I343-(ROUNDUP(Z343/2,0)*('Parametros'!$B$7+'Parametros'!$B$9+'Parametros'!$B$12/2)+ROUNDDOWN(Z343/2,0)*('Parametros'!$B$7+'Parametros'!$B$9+'Parametros'!$B$12/2+'Parametros'!$B$12+'Parametros'!$B$10))/Z343)</f>
        <v>489.35</v>
      </c>
      <c r="AC343" s="10">
        <f>Z343*'Parametros'!$B$8</f>
        <v>995</v>
      </c>
      <c r="AD343" s="10">
        <f>'Parametros'!$B$5*AC343*'Parametros'!$B$3*(AB343-(AC343*'Parametros'!$B$3/(0.85*'Parametros'!$B$2*H343))/2)/1000000</f>
        <v>177.445379382353</v>
      </c>
      <c r="AE343" s="10" t="str">
        <f>IF(AD343&gt;=L343,"CUMPLE","NO CUMPLE")</f>
        <v>CUMPLE</v>
      </c>
      <c r="AF343" s="10">
        <f>V343*1.25*'Parametros'!$B$3*(U343-(V343*1.25*'Parametros'!$B$3/(0.85*'Parametros'!$B$2*H343))/2)/1000000</f>
        <v>290.238924705882</v>
      </c>
      <c r="AG343" s="10">
        <f>AC343*1.25*'Parametros'!$B$3*(AB343-(AC343*1.25*'Parametros'!$B$3/(0.85*'Parametros'!$B$2*H343))/2)/1000000</f>
        <v>244.158843198529</v>
      </c>
      <c r="AH343" s="10">
        <f>N343+(AF343+AG343)/D343</f>
        <v>448.331883952206</v>
      </c>
      <c r="AI343" s="10">
        <f>MAX(O343,AH343)</f>
        <v>703.276</v>
      </c>
      <c r="AJ343" s="10">
        <f>0.17*SQRT('Parametros'!$B$2)*H343*MIN(U343,AB343)/1000</f>
        <v>220.098728691808</v>
      </c>
      <c r="AK343" s="10">
        <f>MAX(AI343/'Parametros'!$B$6-AJ343,0)</f>
        <v>717.602604641526</v>
      </c>
      <c r="AL343" s="10">
        <f>0.66*SQRT('Parametros'!$B$2)*H343*MIN(U343,AB343)/1000</f>
        <v>854.500946685842</v>
      </c>
      <c r="AM343" s="10" t="str">
        <f>IF(AK343&lt;=AL343,"CUMPLE","NO CUMPLE")</f>
        <v>CUMPLE</v>
      </c>
      <c r="AN343" s="17" t="inlineStr">
        <is>
          <t>Nº3 cerrado</t>
        </is>
      </c>
      <c r="AO343" s="31" t="n">
        <v>4</v>
      </c>
      <c r="AP343" s="10">
        <f>ROUNDDOWN(MIN(IF(BC343+BD343=0,1000000000,AO343*BB343/(BC343+BD343)),MIN(U343,AB343)/4,8*'Parametros'!$B$12,24*BA343,300,IF(AV343=0,1000000000,2*((H343-2*('Parametros'!$B$7+'Parametros'!$B$9/2))+(I343-2*('Parametros'!$B$7+'Parametros'!$B$9/2)))/8))/10,0)*10</f>
        <v>80</v>
      </c>
      <c r="AQ343" s="10">
        <f>ROUNDDOWN(MIN(IF(BC343+BD343=0,1000000000,AO343*BB343/(BC343+BD343)),IF(AK343&gt;0.33*SQRT('Parametros'!$B$2)*H343*MIN(U343,AB343)/1000,MIN(U343,AB343)/4,MIN(U343,AB343)/2),600,IF(AV343=0,1000000000,2*((H343-2*('Parametros'!$B$7+'Parametros'!$B$9/2))+(I343-2*('Parametros'!$B$7+'Parametros'!$B$9/2)))/8))/10,0)*10</f>
        <v>80</v>
      </c>
      <c r="AR343" s="10">
        <f>'Parametros'!$B$6*(AJ343+MAX(BE343-BD343,0)*'Parametros'!$B$4*MIN(U343,AB343)/1000)</f>
        <v>712.289684018856</v>
      </c>
      <c r="AS343" s="10" t="str">
        <f>IF(AND(ISERROR(SEARCH("referencia",AN343)),AM343="CUMPLE",AR343&gt;=AI343),"CUMPLE","NO CUMPLE")</f>
        <v>CUMPLE</v>
      </c>
      <c r="AT343" s="10">
        <f>'Parametros'!$B$6*0.083*SQRT('Parametros'!$B$2)*(H343*I343)^2/(2*(H343+I343))/1000000</f>
        <v>11.862178757599</v>
      </c>
      <c r="AU343" s="10" t="str">
        <f>IF(Q343&lt;=AT343,"DESPRECIABLE","DISEÑAR")</f>
        <v>DESPRECIABLE</v>
      </c>
      <c r="AV343" s="10">
        <f>IF(Q343&lt;=AT343,0,Q343*1000000/('Parametros'!$B$6*2*0.85*(H343-2*('Parametros'!$B$7+'Parametros'!$B$9/2))*(I343-2*('Parametros'!$B$7+'Parametros'!$B$9/2))*'Parametros'!$B$4))</f>
        <v>0</v>
      </c>
      <c r="AW343" s="10">
        <f>AV343*2*((H343-2*('Parametros'!$B$7+'Parametros'!$B$9/2))+(I343-2*('Parametros'!$B$7+'Parametros'!$B$9/2)))*'Parametros'!$B$4/'Parametros'!$B$3</f>
        <v>0</v>
      </c>
      <c r="AX343" s="31" t="n">
        <v>0</v>
      </c>
      <c r="AY343" s="10" t="str">
        <f>IF(AV343=0,"DESPRECIABLE",IF(AND(ISERROR(SEARCH("referencia",AN343)),BB343/AP343&gt;=AV343,BI343&gt;=AW343,BH343="CUMPLE"),"CUMPLE","NO CUMPLE"))</f>
        <v>DESPRECIABLE</v>
      </c>
      <c r="AZ343" s="10" t="str">
        <f>IF(AND(X343="CUMPLE",AE343="CUMPLE",AS343="CUMPLE",OR(AY343="CUMPLE",AY343="DESPRECIABLE"),BH343="CUMPLE",BJ343="CUMPLE"),"CUMPLE","NO CUMPLE")</f>
        <v>CUMPLE</v>
      </c>
      <c r="BA343" s="32" t="n">
        <v>9.5</v>
      </c>
      <c r="BB343" s="32" t="n">
        <v>71</v>
      </c>
      <c r="BC343" s="10">
        <f>MAX(IF(AK343=0,0,AK343*1000/('Parametros'!$B$4*MIN(U343,AB343))),MAX(0.062*SQRT('Parametros'!$B$2)*H343/'Parametros'!$B$4,0.35*H343/'Parametros'!$B$4))</f>
        <v>3.49152473709793</v>
      </c>
      <c r="BD343" s="10">
        <f>2*AV343</f>
        <v>0</v>
      </c>
      <c r="BE343" s="10">
        <f>AO343*BB343/AP343</f>
        <v>3.55</v>
      </c>
      <c r="BF343" s="10">
        <f>SQRT((AI343*1000/(H343*MIN(U343,AB343)))^2+(Q343*1000000*2*((H343-2*('Parametros'!$B$7+'Parametros'!$B$9/2))+(I343-2*('Parametros'!$B$7+'Parametros'!$B$9/2)))/(1.7*((H343-2*('Parametros'!$B$7+'Parametros'!$B$9/2))*(I343-2*('Parametros'!$B$7+'Parametros'!$B$9/2)))^2))^2)</f>
        <v>2.87722348035497</v>
      </c>
      <c r="BG343" s="10">
        <f>'Parametros'!$B$6*(AJ343*1000/(H343*MIN(U343,AB343))+0.66*SQRT('Parametros'!$B$2))</f>
        <v>3.29396038227542</v>
      </c>
      <c r="BH343" s="10" t="str">
        <f>IF(BF343&lt;=BG343,"CUMPLE","NO CUMPLE")</f>
        <v>CUMPLE</v>
      </c>
      <c r="BI343" s="10">
        <f>AX343*'Parametros'!$B$8</f>
        <v>0</v>
      </c>
      <c r="BJ343" s="10" t="str">
        <f>IF(BI343&gt;=AW343,"CUMPLE","NO CUMPLE")</f>
        <v>CUMPLE</v>
      </c>
    </row>
    <row r="344">
      <c r="A344" s="24" t="inlineStr">
        <is>
          <t>VR N1</t>
        </is>
      </c>
      <c r="B344" s="24" t="inlineStr">
        <is>
          <t>99</t>
        </is>
      </c>
      <c r="C344" s="10" t="n">
        <v>1</v>
      </c>
      <c r="D344" s="10" t="n">
        <v>4.9</v>
      </c>
      <c r="E344" s="10" t="n">
        <v>4.9</v>
      </c>
      <c r="F344" s="10" t="n">
        <v>500</v>
      </c>
      <c r="G344" s="10" t="n">
        <v>550</v>
      </c>
      <c r="H344" s="17" t="n">
        <v>500</v>
      </c>
      <c r="I344" s="17" t="n">
        <v>550</v>
      </c>
      <c r="J344" s="30" t="n">
        <v>181.0712</v>
      </c>
      <c r="K344" s="10" t="inlineStr">
        <is>
          <t>99</t>
        </is>
      </c>
      <c r="L344" s="30" t="n">
        <v>66.19029999999999</v>
      </c>
      <c r="M344" s="10" t="inlineStr">
        <is>
          <t>99</t>
        </is>
      </c>
      <c r="N344" s="30" t="n">
        <v>133.241</v>
      </c>
      <c r="O344" s="30" t="n">
        <v>272.318</v>
      </c>
      <c r="P344" s="10" t="inlineStr">
        <is>
          <t>99</t>
        </is>
      </c>
      <c r="Q344" s="30" t="n">
        <v>5.1775</v>
      </c>
      <c r="R344" s="10">
        <f>MAX(MAX(1.4/'Parametros'!$B$3,0.25*SQRT('Parametros'!$B$2)/'Parametros'!$B$3)*H344*U344,(0.85*'Parametros'!$B$2/'Parametros'!$B$3)*(1-SQRT(1-2*(J344*1000000/('Parametros'!$B$5*H344*U344^2))/(0.85*'Parametros'!$B$2)))*H344*U344)</f>
        <v>1016.13455895057</v>
      </c>
      <c r="S344" s="31" t="n">
        <v>6</v>
      </c>
      <c r="T344" s="32" t="n">
        <v>1</v>
      </c>
      <c r="U344" s="10">
        <f>IF(T344=1,I344-('Parametros'!$B$7+'Parametros'!$B$9+'Parametros'!$B$12/2),I344-(ROUNDUP(S344/2,0)*('Parametros'!$B$7+'Parametros'!$B$9+'Parametros'!$B$12/2)+ROUNDDOWN(S344/2,0)*('Parametros'!$B$7+'Parametros'!$B$9+'Parametros'!$B$12/2+'Parametros'!$B$12+'Parametros'!$B$10))/S344)</f>
        <v>489.35</v>
      </c>
      <c r="V344" s="10">
        <f>S344*'Parametros'!$B$8</f>
        <v>1194</v>
      </c>
      <c r="W344" s="10">
        <f>'Parametros'!$B$5*V344*'Parametros'!$B$3*(U344-(V344*'Parametros'!$B$3/(0.85*'Parametros'!$B$2*H344))/2)/1000000</f>
        <v>211.349483470588</v>
      </c>
      <c r="X344" s="10" t="str">
        <f>IF(W344&gt;=J344,"CUMPLE","NO CUMPLE")</f>
        <v>CUMPLE</v>
      </c>
      <c r="Y344" s="10">
        <f>MAX(MAX(1.4/'Parametros'!$B$3,0.25*SQRT('Parametros'!$B$2)/'Parametros'!$B$3)*H344*AB344,(0.85*'Parametros'!$B$2/'Parametros'!$B$3)*(1-SQRT(1-2*(L344*1000000/('Parametros'!$B$5*H344*AB344^2))/(0.85*'Parametros'!$B$2)))*H344*AB344)</f>
        <v>815.583333333333</v>
      </c>
      <c r="Z344" s="31" t="n">
        <v>5</v>
      </c>
      <c r="AA344" s="32" t="n">
        <v>1</v>
      </c>
      <c r="AB344" s="10">
        <f>IF(AA344=1,I344-('Parametros'!$B$7+'Parametros'!$B$9+'Parametros'!$B$12/2),I344-(ROUNDUP(Z344/2,0)*('Parametros'!$B$7+'Parametros'!$B$9+'Parametros'!$B$12/2)+ROUNDDOWN(Z344/2,0)*('Parametros'!$B$7+'Parametros'!$B$9+'Parametros'!$B$12/2+'Parametros'!$B$12+'Parametros'!$B$10))/Z344)</f>
        <v>489.35</v>
      </c>
      <c r="AC344" s="10">
        <f>Z344*'Parametros'!$B$8</f>
        <v>995</v>
      </c>
      <c r="AD344" s="10">
        <f>'Parametros'!$B$5*AC344*'Parametros'!$B$3*(AB344-(AC344*'Parametros'!$B$3/(0.85*'Parametros'!$B$2*H344))/2)/1000000</f>
        <v>177.445379382353</v>
      </c>
      <c r="AE344" s="10" t="str">
        <f>IF(AD344&gt;=L344,"CUMPLE","NO CUMPLE")</f>
        <v>CUMPLE</v>
      </c>
      <c r="AF344" s="10">
        <f>V344*1.25*'Parametros'!$B$3*(U344-(V344*1.25*'Parametros'!$B$3/(0.85*'Parametros'!$B$2*H344))/2)/1000000</f>
        <v>290.238924705882</v>
      </c>
      <c r="AG344" s="10">
        <f>AC344*1.25*'Parametros'!$B$3*(AB344-(AC344*1.25*'Parametros'!$B$3/(0.85*'Parametros'!$B$2*H344))/2)/1000000</f>
        <v>244.158843198529</v>
      </c>
      <c r="AH344" s="10">
        <f>N344+(AF344+AG344)/D344</f>
        <v>242.301768960084</v>
      </c>
      <c r="AI344" s="10">
        <f>MAX(O344,AH344)</f>
        <v>272.318</v>
      </c>
      <c r="AJ344" s="10">
        <f>0.17*SQRT('Parametros'!$B$2)*H344*MIN(U344,AB344)/1000</f>
        <v>220.098728691808</v>
      </c>
      <c r="AK344" s="10">
        <f>MAX(AI344/'Parametros'!$B$6-AJ344,0)</f>
        <v>142.991937974859</v>
      </c>
      <c r="AL344" s="10">
        <f>0.66*SQRT('Parametros'!$B$2)*H344*MIN(U344,AB344)/1000</f>
        <v>854.500946685842</v>
      </c>
      <c r="AM344" s="10" t="str">
        <f>IF(AK344&lt;=AL344,"CUMPLE","NO CUMPLE")</f>
        <v>CUMPLE</v>
      </c>
      <c r="AN344" s="17" t="inlineStr">
        <is>
          <t>Nº3 cerrado</t>
        </is>
      </c>
      <c r="AO344" s="31" t="n">
        <v>2</v>
      </c>
      <c r="AP344" s="10">
        <f>ROUNDDOWN(MIN(IF(BC344+BD344=0,1000000000,AO344*BB344/(BC344+BD344)),MIN(U344,AB344)/4,8*'Parametros'!$B$12,24*BA344,300,IF(AV344=0,1000000000,2*((H344-2*('Parametros'!$B$7+'Parametros'!$B$9/2))+(I344-2*('Parametros'!$B$7+'Parametros'!$B$9/2)))/8))/10,0)*10</f>
        <v>120</v>
      </c>
      <c r="AQ344" s="10">
        <f>ROUNDDOWN(MIN(IF(BC344+BD344=0,1000000000,AO344*BB344/(BC344+BD344)),IF(AK344&gt;0.33*SQRT('Parametros'!$B$2)*H344*MIN(U344,AB344)/1000,MIN(U344,AB344)/4,MIN(U344,AB344)/2),600,IF(AV344=0,1000000000,2*((H344-2*('Parametros'!$B$7+'Parametros'!$B$9/2))+(I344-2*('Parametros'!$B$7+'Parametros'!$B$9/2)))/8))/10,0)*10</f>
        <v>200</v>
      </c>
      <c r="AR344" s="10">
        <f>'Parametros'!$B$6*(AJ344+MAX(BE344-BD344,0)*'Parametros'!$B$4*MIN(U344,AB344)/1000)</f>
        <v>347.479259018856</v>
      </c>
      <c r="AS344" s="10" t="str">
        <f>IF(AND(ISERROR(SEARCH("referencia",AN344)),AM344="CUMPLE",AR344&gt;=AI344),"CUMPLE","NO CUMPLE")</f>
        <v>CUMPLE</v>
      </c>
      <c r="AT344" s="10">
        <f>'Parametros'!$B$6*0.083*SQRT('Parametros'!$B$2)*(H344*I344)^2/(2*(H344+I344))/1000000</f>
        <v>11.862178757599</v>
      </c>
      <c r="AU344" s="10" t="str">
        <f>IF(Q344&lt;=AT344,"DESPRECIABLE","DISEÑAR")</f>
        <v>DESPRECIABLE</v>
      </c>
      <c r="AV344" s="10">
        <f>IF(Q344&lt;=AT344,0,Q344*1000000/('Parametros'!$B$6*2*0.85*(H344-2*('Parametros'!$B$7+'Parametros'!$B$9/2))*(I344-2*('Parametros'!$B$7+'Parametros'!$B$9/2))*'Parametros'!$B$4))</f>
        <v>0</v>
      </c>
      <c r="AW344" s="10">
        <f>AV344*2*((H344-2*('Parametros'!$B$7+'Parametros'!$B$9/2))+(I344-2*('Parametros'!$B$7+'Parametros'!$B$9/2)))*'Parametros'!$B$4/'Parametros'!$B$3</f>
        <v>0</v>
      </c>
      <c r="AX344" s="31" t="n">
        <v>0</v>
      </c>
      <c r="AY344" s="10" t="str">
        <f>IF(AV344=0,"DESPRECIABLE",IF(AND(ISERROR(SEARCH("referencia",AN344)),BB344/AP344&gt;=AV344,BI344&gt;=AW344,BH344="CUMPLE"),"CUMPLE","NO CUMPLE"))</f>
        <v>DESPRECIABLE</v>
      </c>
      <c r="AZ344" s="10" t="str">
        <f>IF(AND(X344="CUMPLE",AE344="CUMPLE",AS344="CUMPLE",OR(AY344="CUMPLE",AY344="DESPRECIABLE"),BH344="CUMPLE",BJ344="CUMPLE"),"CUMPLE","NO CUMPLE")</f>
        <v>CUMPLE</v>
      </c>
      <c r="BA344" s="32" t="n">
        <v>9.5</v>
      </c>
      <c r="BB344" s="32" t="n">
        <v>71</v>
      </c>
      <c r="BC344" s="10">
        <f>MAX(IF(AK344=0,0,AK344*1000/('Parametros'!$B$4*MIN(U344,AB344))),MAX(0.062*SQRT('Parametros'!$B$2)*H344/'Parametros'!$B$4,0.35*H344/'Parametros'!$B$4))</f>
        <v>0.6957331055037</v>
      </c>
      <c r="BD344" s="10">
        <f>2*AV344</f>
        <v>0</v>
      </c>
      <c r="BE344" s="10">
        <f>AO344*BB344/AP344</f>
        <v>1.18333333333333</v>
      </c>
      <c r="BF344" s="10">
        <f>SQRT((AI344*1000/(H344*MIN(U344,AB344)))^2+(Q344*1000000*2*((H344-2*('Parametros'!$B$7+'Parametros'!$B$9/2))+(I344-2*('Parametros'!$B$7+'Parametros'!$B$9/2)))/(1.7*((H344-2*('Parametros'!$B$7+'Parametros'!$B$9/2))*(I344-2*('Parametros'!$B$7+'Parametros'!$B$9/2)))^2))^2)</f>
        <v>1.12328343424781</v>
      </c>
      <c r="BG344" s="10">
        <f>'Parametros'!$B$6*(AJ344*1000/(H344*MIN(U344,AB344))+0.66*SQRT('Parametros'!$B$2))</f>
        <v>3.29396038227542</v>
      </c>
      <c r="BH344" s="10" t="str">
        <f>IF(BF344&lt;=BG344,"CUMPLE","NO CUMPLE")</f>
        <v>CUMPLE</v>
      </c>
      <c r="BI344" s="10">
        <f>AX344*'Parametros'!$B$8</f>
        <v>0</v>
      </c>
      <c r="BJ344" s="10" t="str">
        <f>IF(BI344&gt;=AW344,"CUMPLE","NO CUMPLE")</f>
        <v>CUMPLE</v>
      </c>
    </row>
    <row r="345">
      <c r="A345" s="24" t="inlineStr">
        <is>
          <t>VR N1</t>
        </is>
      </c>
      <c r="B345" s="24" t="inlineStr">
        <is>
          <t>100</t>
        </is>
      </c>
      <c r="C345" s="10" t="n">
        <v>1</v>
      </c>
      <c r="D345" s="10" t="n">
        <v>4.9</v>
      </c>
      <c r="E345" s="10" t="n">
        <v>4.9</v>
      </c>
      <c r="F345" s="10" t="n">
        <v>500</v>
      </c>
      <c r="G345" s="10" t="n">
        <v>550</v>
      </c>
      <c r="H345" s="17" t="n">
        <v>500</v>
      </c>
      <c r="I345" s="17" t="n">
        <v>550</v>
      </c>
      <c r="J345" s="30" t="n">
        <v>181.0779</v>
      </c>
      <c r="K345" s="10" t="inlineStr">
        <is>
          <t>100</t>
        </is>
      </c>
      <c r="L345" s="30" t="n">
        <v>66.1922</v>
      </c>
      <c r="M345" s="10" t="inlineStr">
        <is>
          <t>100</t>
        </is>
      </c>
      <c r="N345" s="30" t="n">
        <v>133.243</v>
      </c>
      <c r="O345" s="30" t="n">
        <v>272.32</v>
      </c>
      <c r="P345" s="10" t="inlineStr">
        <is>
          <t>100</t>
        </is>
      </c>
      <c r="Q345" s="30" t="n">
        <v>5.1768</v>
      </c>
      <c r="R345" s="10">
        <f>MAX(MAX(1.4/'Parametros'!$B$3,0.25*SQRT('Parametros'!$B$2)/'Parametros'!$B$3)*H345*U345,(0.85*'Parametros'!$B$2/'Parametros'!$B$3)*(1-SQRT(1-2*(J345*1000000/('Parametros'!$B$5*H345*U345^2))/(0.85*'Parametros'!$B$2)))*H345*U345)</f>
        <v>1016.17364478339</v>
      </c>
      <c r="S345" s="31" t="n">
        <v>6</v>
      </c>
      <c r="T345" s="32" t="n">
        <v>1</v>
      </c>
      <c r="U345" s="10">
        <f>IF(T345=1,I345-('Parametros'!$B$7+'Parametros'!$B$9+'Parametros'!$B$12/2),I345-(ROUNDUP(S345/2,0)*('Parametros'!$B$7+'Parametros'!$B$9+'Parametros'!$B$12/2)+ROUNDDOWN(S345/2,0)*('Parametros'!$B$7+'Parametros'!$B$9+'Parametros'!$B$12/2+'Parametros'!$B$12+'Parametros'!$B$10))/S345)</f>
        <v>489.35</v>
      </c>
      <c r="V345" s="10">
        <f>S345*'Parametros'!$B$8</f>
        <v>1194</v>
      </c>
      <c r="W345" s="10">
        <f>'Parametros'!$B$5*V345*'Parametros'!$B$3*(U345-(V345*'Parametros'!$B$3/(0.85*'Parametros'!$B$2*H345))/2)/1000000</f>
        <v>211.349483470588</v>
      </c>
      <c r="X345" s="10" t="str">
        <f>IF(W345&gt;=J345,"CUMPLE","NO CUMPLE")</f>
        <v>CUMPLE</v>
      </c>
      <c r="Y345" s="10">
        <f>MAX(MAX(1.4/'Parametros'!$B$3,0.25*SQRT('Parametros'!$B$2)/'Parametros'!$B$3)*H345*AB345,(0.85*'Parametros'!$B$2/'Parametros'!$B$3)*(1-SQRT(1-2*(L345*1000000/('Parametros'!$B$5*H345*AB345^2))/(0.85*'Parametros'!$B$2)))*H345*AB345)</f>
        <v>815.583333333333</v>
      </c>
      <c r="Z345" s="31" t="n">
        <v>5</v>
      </c>
      <c r="AA345" s="32" t="n">
        <v>1</v>
      </c>
      <c r="AB345" s="10">
        <f>IF(AA345=1,I345-('Parametros'!$B$7+'Parametros'!$B$9+'Parametros'!$B$12/2),I345-(ROUNDUP(Z345/2,0)*('Parametros'!$B$7+'Parametros'!$B$9+'Parametros'!$B$12/2)+ROUNDDOWN(Z345/2,0)*('Parametros'!$B$7+'Parametros'!$B$9+'Parametros'!$B$12/2+'Parametros'!$B$12+'Parametros'!$B$10))/Z345)</f>
        <v>489.35</v>
      </c>
      <c r="AC345" s="10">
        <f>Z345*'Parametros'!$B$8</f>
        <v>995</v>
      </c>
      <c r="AD345" s="10">
        <f>'Parametros'!$B$5*AC345*'Parametros'!$B$3*(AB345-(AC345*'Parametros'!$B$3/(0.85*'Parametros'!$B$2*H345))/2)/1000000</f>
        <v>177.445379382353</v>
      </c>
      <c r="AE345" s="10" t="str">
        <f>IF(AD345&gt;=L345,"CUMPLE","NO CUMPLE")</f>
        <v>CUMPLE</v>
      </c>
      <c r="AF345" s="10">
        <f>V345*1.25*'Parametros'!$B$3*(U345-(V345*1.25*'Parametros'!$B$3/(0.85*'Parametros'!$B$2*H345))/2)/1000000</f>
        <v>290.238924705882</v>
      </c>
      <c r="AG345" s="10">
        <f>AC345*1.25*'Parametros'!$B$3*(AB345-(AC345*1.25*'Parametros'!$B$3/(0.85*'Parametros'!$B$2*H345))/2)/1000000</f>
        <v>244.158843198529</v>
      </c>
      <c r="AH345" s="10">
        <f>N345+(AF345+AG345)/D345</f>
        <v>242.303768960084</v>
      </c>
      <c r="AI345" s="10">
        <f>MAX(O345,AH345)</f>
        <v>272.32</v>
      </c>
      <c r="AJ345" s="10">
        <f>0.17*SQRT('Parametros'!$B$2)*H345*MIN(U345,AB345)/1000</f>
        <v>220.098728691808</v>
      </c>
      <c r="AK345" s="10">
        <f>MAX(AI345/'Parametros'!$B$6-AJ345,0)</f>
        <v>142.994604641526</v>
      </c>
      <c r="AL345" s="10">
        <f>0.66*SQRT('Parametros'!$B$2)*H345*MIN(U345,AB345)/1000</f>
        <v>854.500946685842</v>
      </c>
      <c r="AM345" s="10" t="str">
        <f>IF(AK345&lt;=AL345,"CUMPLE","NO CUMPLE")</f>
        <v>CUMPLE</v>
      </c>
      <c r="AN345" s="17" t="inlineStr">
        <is>
          <t>Nº3 cerrado</t>
        </is>
      </c>
      <c r="AO345" s="31" t="n">
        <v>2</v>
      </c>
      <c r="AP345" s="10">
        <f>ROUNDDOWN(MIN(IF(BC345+BD345=0,1000000000,AO345*BB345/(BC345+BD345)),MIN(U345,AB345)/4,8*'Parametros'!$B$12,24*BA345,300,IF(AV345=0,1000000000,2*((H345-2*('Parametros'!$B$7+'Parametros'!$B$9/2))+(I345-2*('Parametros'!$B$7+'Parametros'!$B$9/2)))/8))/10,0)*10</f>
        <v>120</v>
      </c>
      <c r="AQ345" s="10">
        <f>ROUNDDOWN(MIN(IF(BC345+BD345=0,1000000000,AO345*BB345/(BC345+BD345)),IF(AK345&gt;0.33*SQRT('Parametros'!$B$2)*H345*MIN(U345,AB345)/1000,MIN(U345,AB345)/4,MIN(U345,AB345)/2),600,IF(AV345=0,1000000000,2*((H345-2*('Parametros'!$B$7+'Parametros'!$B$9/2))+(I345-2*('Parametros'!$B$7+'Parametros'!$B$9/2)))/8))/10,0)*10</f>
        <v>200</v>
      </c>
      <c r="AR345" s="10">
        <f>'Parametros'!$B$6*(AJ345+MAX(BE345-BD345,0)*'Parametros'!$B$4*MIN(U345,AB345)/1000)</f>
        <v>347.479259018856</v>
      </c>
      <c r="AS345" s="10" t="str">
        <f>IF(AND(ISERROR(SEARCH("referencia",AN345)),AM345="CUMPLE",AR345&gt;=AI345),"CUMPLE","NO CUMPLE")</f>
        <v>CUMPLE</v>
      </c>
      <c r="AT345" s="10">
        <f>'Parametros'!$B$6*0.083*SQRT('Parametros'!$B$2)*(H345*I345)^2/(2*(H345+I345))/1000000</f>
        <v>11.862178757599</v>
      </c>
      <c r="AU345" s="10" t="str">
        <f>IF(Q345&lt;=AT345,"DESPRECIABLE","DISEÑAR")</f>
        <v>DESPRECIABLE</v>
      </c>
      <c r="AV345" s="10">
        <f>IF(Q345&lt;=AT345,0,Q345*1000000/('Parametros'!$B$6*2*0.85*(H345-2*('Parametros'!$B$7+'Parametros'!$B$9/2))*(I345-2*('Parametros'!$B$7+'Parametros'!$B$9/2))*'Parametros'!$B$4))</f>
        <v>0</v>
      </c>
      <c r="AW345" s="10">
        <f>AV345*2*((H345-2*('Parametros'!$B$7+'Parametros'!$B$9/2))+(I345-2*('Parametros'!$B$7+'Parametros'!$B$9/2)))*'Parametros'!$B$4/'Parametros'!$B$3</f>
        <v>0</v>
      </c>
      <c r="AX345" s="31" t="n">
        <v>0</v>
      </c>
      <c r="AY345" s="10" t="str">
        <f>IF(AV345=0,"DESPRECIABLE",IF(AND(ISERROR(SEARCH("referencia",AN345)),BB345/AP345&gt;=AV345,BI345&gt;=AW345,BH345="CUMPLE"),"CUMPLE","NO CUMPLE"))</f>
        <v>DESPRECIABLE</v>
      </c>
      <c r="AZ345" s="10" t="str">
        <f>IF(AND(X345="CUMPLE",AE345="CUMPLE",AS345="CUMPLE",OR(AY345="CUMPLE",AY345="DESPRECIABLE"),BH345="CUMPLE",BJ345="CUMPLE"),"CUMPLE","NO CUMPLE")</f>
        <v>CUMPLE</v>
      </c>
      <c r="BA345" s="32" t="n">
        <v>9.5</v>
      </c>
      <c r="BB345" s="32" t="n">
        <v>71</v>
      </c>
      <c r="BC345" s="10">
        <f>MAX(IF(AK345=0,0,AK345*1000/('Parametros'!$B$4*MIN(U345,AB345))),MAX(0.062*SQRT('Parametros'!$B$2)*H345/'Parametros'!$B$4,0.35*H345/'Parametros'!$B$4))</f>
        <v>0.695746080279114</v>
      </c>
      <c r="BD345" s="10">
        <f>2*AV345</f>
        <v>0</v>
      </c>
      <c r="BE345" s="10">
        <f>AO345*BB345/AP345</f>
        <v>1.18333333333333</v>
      </c>
      <c r="BF345" s="10">
        <f>SQRT((AI345*1000/(H345*MIN(U345,AB345)))^2+(Q345*1000000*2*((H345-2*('Parametros'!$B$7+'Parametros'!$B$9/2))+(I345-2*('Parametros'!$B$7+'Parametros'!$B$9/2)))/(1.7*((H345-2*('Parametros'!$B$7+'Parametros'!$B$9/2))*(I345-2*('Parametros'!$B$7+'Parametros'!$B$9/2)))^2))^2)</f>
        <v>1.12328875987511</v>
      </c>
      <c r="BG345" s="10">
        <f>'Parametros'!$B$6*(AJ345*1000/(H345*MIN(U345,AB345))+0.66*SQRT('Parametros'!$B$2))</f>
        <v>3.29396038227542</v>
      </c>
      <c r="BH345" s="10" t="str">
        <f>IF(BF345&lt;=BG345,"CUMPLE","NO CUMPLE")</f>
        <v>CUMPLE</v>
      </c>
      <c r="BI345" s="10">
        <f>AX345*'Parametros'!$B$8</f>
        <v>0</v>
      </c>
      <c r="BJ345" s="10" t="str">
        <f>IF(BI345&gt;=AW345,"CUMPLE","NO CUMPLE")</f>
        <v>CUMPLE</v>
      </c>
    </row>
    <row r="346">
      <c r="A346" s="25" t="inlineStr">
        <is>
          <t>VR2</t>
        </is>
      </c>
      <c r="B346" s="25" t="inlineStr">
        <is>
          <t>11</t>
        </is>
      </c>
      <c r="C346" s="10" t="n">
        <v>1</v>
      </c>
      <c r="D346" s="10" t="n">
        <v>2</v>
      </c>
      <c r="E346" s="10" t="n">
        <v>2</v>
      </c>
      <c r="F346" s="10" t="n">
        <v>500</v>
      </c>
      <c r="G346" s="10" t="n">
        <v>550</v>
      </c>
      <c r="H346" s="17" t="n">
        <v>500</v>
      </c>
      <c r="I346" s="17" t="n">
        <v>550</v>
      </c>
      <c r="J346" s="30" t="n">
        <v>232.4685</v>
      </c>
      <c r="K346" s="10" t="inlineStr">
        <is>
          <t>11</t>
        </is>
      </c>
      <c r="L346" s="30" t="n">
        <v>173.9418</v>
      </c>
      <c r="M346" s="10" t="inlineStr">
        <is>
          <t>11</t>
        </is>
      </c>
      <c r="N346" s="30" t="n">
        <v>186.61</v>
      </c>
      <c r="O346" s="30" t="n">
        <v>745.663</v>
      </c>
      <c r="P346" s="10" t="inlineStr">
        <is>
          <t>11</t>
        </is>
      </c>
      <c r="Q346" s="30" t="n">
        <v>9.202500000000001</v>
      </c>
      <c r="R346" s="10">
        <f>MAX(MAX(1.4/'Parametros'!$B$3,0.25*SQRT('Parametros'!$B$2)/'Parametros'!$B$3)*H346*U346,(0.85*'Parametros'!$B$2/'Parametros'!$B$3)*(1-SQRT(1-2*(J346*1000000/('Parametros'!$B$5*H346*U346^2))/(0.85*'Parametros'!$B$2)))*H346*U346)</f>
        <v>1319.55341798646</v>
      </c>
      <c r="S346" s="31" t="n">
        <v>7</v>
      </c>
      <c r="T346" s="32" t="n">
        <v>1</v>
      </c>
      <c r="U346" s="10">
        <f>IF(T346=1,I346-('Parametros'!$B$7+'Parametros'!$B$9+'Parametros'!$B$12/2),I346-(ROUNDUP(S346/2,0)*('Parametros'!$B$7+'Parametros'!$B$9+'Parametros'!$B$12/2)+ROUNDDOWN(S346/2,0)*('Parametros'!$B$7+'Parametros'!$B$9+'Parametros'!$B$12/2+'Parametros'!$B$12+'Parametros'!$B$10))/S346)</f>
        <v>489.35</v>
      </c>
      <c r="V346" s="10">
        <f>S346*'Parametros'!$B$8</f>
        <v>1393</v>
      </c>
      <c r="W346" s="10">
        <f>'Parametros'!$B$5*V346*'Parametros'!$B$3*(U346-(V346*'Parametros'!$B$3/(0.85*'Parametros'!$B$2*H346))/2)/1000000</f>
        <v>244.725263629412</v>
      </c>
      <c r="X346" s="10" t="str">
        <f>IF(W346&gt;=J346,"CUMPLE","NO CUMPLE")</f>
        <v>CUMPLE</v>
      </c>
      <c r="Y346" s="10">
        <f>MAX(MAX(1.4/'Parametros'!$B$3,0.25*SQRT('Parametros'!$B$2)/'Parametros'!$B$3)*H346*AB346,(0.85*'Parametros'!$B$2/'Parametros'!$B$3)*(1-SQRT(1-2*(L346*1000000/('Parametros'!$B$5*H346*AB346^2))/(0.85*'Parametros'!$B$2)))*H346*AB346)</f>
        <v>974.610892299641</v>
      </c>
      <c r="Z346" s="31" t="n">
        <v>5</v>
      </c>
      <c r="AA346" s="32" t="n">
        <v>1</v>
      </c>
      <c r="AB346" s="10">
        <f>IF(AA346=1,I346-('Parametros'!$B$7+'Parametros'!$B$9+'Parametros'!$B$12/2),I346-(ROUNDUP(Z346/2,0)*('Parametros'!$B$7+'Parametros'!$B$9+'Parametros'!$B$12/2)+ROUNDDOWN(Z346/2,0)*('Parametros'!$B$7+'Parametros'!$B$9+'Parametros'!$B$12/2+'Parametros'!$B$12+'Parametros'!$B$10))/Z346)</f>
        <v>489.35</v>
      </c>
      <c r="AC346" s="10">
        <f>Z346*'Parametros'!$B$8</f>
        <v>995</v>
      </c>
      <c r="AD346" s="10">
        <f>'Parametros'!$B$5*AC346*'Parametros'!$B$3*(AB346-(AC346*'Parametros'!$B$3/(0.85*'Parametros'!$B$2*H346))/2)/1000000</f>
        <v>177.445379382353</v>
      </c>
      <c r="AE346" s="10" t="str">
        <f>IF(AD346&gt;=L346,"CUMPLE","NO CUMPLE")</f>
        <v>CUMPLE</v>
      </c>
      <c r="AF346" s="10">
        <f>V346*1.25*'Parametros'!$B$3*(U346-(V346*1.25*'Parametros'!$B$3/(0.85*'Parametros'!$B$2*H346))/2)/1000000</f>
        <v>335.401777169118</v>
      </c>
      <c r="AG346" s="10">
        <f>AC346*1.25*'Parametros'!$B$3*(AB346-(AC346*1.25*'Parametros'!$B$3/(0.85*'Parametros'!$B$2*H346))/2)/1000000</f>
        <v>244.158843198529</v>
      </c>
      <c r="AH346" s="10">
        <f>N346+(AF346+AG346)/D346</f>
        <v>476.390310183824</v>
      </c>
      <c r="AI346" s="10">
        <f>MAX(O346,AH346)</f>
        <v>745.663</v>
      </c>
      <c r="AJ346" s="10">
        <f>0.17*SQRT('Parametros'!$B$2)*H346*MIN(U346,AB346)/1000</f>
        <v>220.098728691808</v>
      </c>
      <c r="AK346" s="10">
        <f>MAX(AI346/'Parametros'!$B$6-AJ346,0)</f>
        <v>774.118604641526</v>
      </c>
      <c r="AL346" s="10">
        <f>0.66*SQRT('Parametros'!$B$2)*H346*MIN(U346,AB346)/1000</f>
        <v>854.500946685842</v>
      </c>
      <c r="AM346" s="10" t="str">
        <f>IF(AK346&lt;=AL346,"CUMPLE","NO CUMPLE")</f>
        <v>CUMPLE</v>
      </c>
      <c r="AN346" s="17" t="inlineStr">
        <is>
          <t>Nº4 cerrado</t>
        </is>
      </c>
      <c r="AO346" s="31" t="n">
        <v>4</v>
      </c>
      <c r="AP346" s="10">
        <f>ROUNDDOWN(MIN(IF(BC346+BD346=0,1000000000,AO346*BB346/(BC346+BD346)),MIN(U346,AB346)/4,8*'Parametros'!$B$12,24*BA346,300,IF(AV346=0,1000000000,2*((H346-2*('Parametros'!$B$7+'Parametros'!$B$9/2))+(I346-2*('Parametros'!$B$7+'Parametros'!$B$9/2)))/8))/10,0)*10</f>
        <v>120</v>
      </c>
      <c r="AQ346" s="10">
        <f>ROUNDDOWN(MIN(IF(BC346+BD346=0,1000000000,AO346*BB346/(BC346+BD346)),IF(AK346&gt;0.33*SQRT('Parametros'!$B$2)*H346*MIN(U346,AB346)/1000,MIN(U346,AB346)/4,MIN(U346,AB346)/2),600,IF(AV346=0,1000000000,2*((H346-2*('Parametros'!$B$7+'Parametros'!$B$9/2))+(I346-2*('Parametros'!$B$7+'Parametros'!$B$9/2)))/8))/10,0)*10</f>
        <v>120</v>
      </c>
      <c r="AR346" s="10">
        <f>'Parametros'!$B$6*(AJ346+MAX(BE346-BD346,0)*'Parametros'!$B$4*MIN(U346,AB346)/1000)</f>
        <v>827.898621518856</v>
      </c>
      <c r="AS346" s="10" t="str">
        <f>IF(AND(ISERROR(SEARCH("referencia",AN346)),AM346="CUMPLE",AR346&gt;=AI346),"CUMPLE","NO CUMPLE")</f>
        <v>CUMPLE</v>
      </c>
      <c r="AT346" s="10">
        <f>'Parametros'!$B$6*0.083*SQRT('Parametros'!$B$2)*(H346*I346)^2/(2*(H346+I346))/1000000</f>
        <v>11.862178757599</v>
      </c>
      <c r="AU346" s="10" t="str">
        <f>IF(Q346&lt;=AT346,"DESPRECIABLE","DISEÑAR")</f>
        <v>DESPRECIABLE</v>
      </c>
      <c r="AV346" s="10">
        <f>IF(Q346&lt;=AT346,0,Q346*1000000/('Parametros'!$B$6*2*0.85*(H346-2*('Parametros'!$B$7+'Parametros'!$B$9/2))*(I346-2*('Parametros'!$B$7+'Parametros'!$B$9/2))*'Parametros'!$B$4))</f>
        <v>0</v>
      </c>
      <c r="AW346" s="10">
        <f>AV346*2*((H346-2*('Parametros'!$B$7+'Parametros'!$B$9/2))+(I346-2*('Parametros'!$B$7+'Parametros'!$B$9/2)))*'Parametros'!$B$4/'Parametros'!$B$3</f>
        <v>0</v>
      </c>
      <c r="AX346" s="31" t="n">
        <v>0</v>
      </c>
      <c r="AY346" s="10" t="str">
        <f>IF(AV346=0,"DESPRECIABLE",IF(AND(ISERROR(SEARCH("referencia",AN346)),BB346/AP346&gt;=AV346,BI346&gt;=AW346,BH346="CUMPLE"),"CUMPLE","NO CUMPLE"))</f>
        <v>DESPRECIABLE</v>
      </c>
      <c r="AZ346" s="10" t="str">
        <f>IF(AND(X346="CUMPLE",AE346="CUMPLE",AS346="CUMPLE",OR(AY346="CUMPLE",AY346="DESPRECIABLE"),BH346="CUMPLE",BJ346="CUMPLE"),"CUMPLE","NO CUMPLE")</f>
        <v>CUMPLE</v>
      </c>
      <c r="BA346" s="32" t="n">
        <v>12.7</v>
      </c>
      <c r="BB346" s="32" t="n">
        <v>129</v>
      </c>
      <c r="BC346" s="10">
        <f>MAX(IF(AK346=0,0,AK346*1000/('Parametros'!$B$4*MIN(U346,AB346))),MAX(0.062*SQRT('Parametros'!$B$2)*H346/'Parametros'!$B$4,0.35*H346/'Parametros'!$B$4))</f>
        <v>3.76650563985036</v>
      </c>
      <c r="BD346" s="10">
        <f>2*AV346</f>
        <v>0</v>
      </c>
      <c r="BE346" s="10">
        <f>AO346*BB346/AP346</f>
        <v>4.3</v>
      </c>
      <c r="BF346" s="10">
        <f>SQRT((AI346*1000/(H346*MIN(U346,AB346)))^2+(Q346*1000000*2*((H346-2*('Parametros'!$B$7+'Parametros'!$B$9/2))+(I346-2*('Parametros'!$B$7+'Parametros'!$B$9/2)))/(1.7*((H346-2*('Parametros'!$B$7+'Parametros'!$B$9/2))*(I346-2*('Parametros'!$B$7+'Parametros'!$B$9/2)))^2))^2)</f>
        <v>3.05948607066446</v>
      </c>
      <c r="BG346" s="10">
        <f>'Parametros'!$B$6*(AJ346*1000/(H346*MIN(U346,AB346))+0.66*SQRT('Parametros'!$B$2))</f>
        <v>3.29396038227542</v>
      </c>
      <c r="BH346" s="10" t="str">
        <f>IF(BF346&lt;=BG346,"CUMPLE","NO CUMPLE")</f>
        <v>CUMPLE</v>
      </c>
      <c r="BI346" s="10">
        <f>AX346*'Parametros'!$B$8</f>
        <v>0</v>
      </c>
      <c r="BJ346" s="10" t="str">
        <f>IF(BI346&gt;=AW346,"CUMPLE","NO CUMPLE")</f>
        <v>CUMPLE</v>
      </c>
    </row>
    <row r="347">
      <c r="A347" s="25" t="inlineStr">
        <is>
          <t>VR2</t>
        </is>
      </c>
      <c r="B347" s="25" t="inlineStr">
        <is>
          <t>12</t>
        </is>
      </c>
      <c r="C347" s="10" t="n">
        <v>1</v>
      </c>
      <c r="D347" s="10" t="n">
        <v>3.05308</v>
      </c>
      <c r="E347" s="10" t="n">
        <v>3.05308</v>
      </c>
      <c r="F347" s="10" t="n">
        <v>500</v>
      </c>
      <c r="G347" s="10" t="n">
        <v>550</v>
      </c>
      <c r="H347" s="17" t="n">
        <v>500</v>
      </c>
      <c r="I347" s="17" t="n">
        <v>550</v>
      </c>
      <c r="J347" s="30" t="n">
        <v>186.2557</v>
      </c>
      <c r="K347" s="10" t="inlineStr">
        <is>
          <t>12</t>
        </is>
      </c>
      <c r="L347" s="30" t="n">
        <v>124.4323</v>
      </c>
      <c r="M347" s="10" t="inlineStr">
        <is>
          <t>12</t>
        </is>
      </c>
      <c r="N347" s="30" t="n">
        <v>137.775</v>
      </c>
      <c r="O347" s="30" t="n">
        <v>429.994</v>
      </c>
      <c r="P347" s="10" t="inlineStr">
        <is>
          <t>12</t>
        </is>
      </c>
      <c r="Q347" s="30" t="n">
        <v>59.2162</v>
      </c>
      <c r="R347" s="10">
        <f>MAX(MAX(1.4/'Parametros'!$B$3,0.25*SQRT('Parametros'!$B$2)/'Parametros'!$B$3)*H347*U347,(0.85*'Parametros'!$B$2/'Parametros'!$B$3)*(1-SQRT(1-2*(J347*1000000/('Parametros'!$B$5*H347*U347^2))/(0.85*'Parametros'!$B$2)))*H347*U347)</f>
        <v>1046.41504446003</v>
      </c>
      <c r="S347" s="31" t="n">
        <v>6</v>
      </c>
      <c r="T347" s="32" t="n">
        <v>1</v>
      </c>
      <c r="U347" s="10">
        <f>IF(T347=1,I347-('Parametros'!$B$7+'Parametros'!$B$9+'Parametros'!$B$12/2),I347-(ROUNDUP(S347/2,0)*('Parametros'!$B$7+'Parametros'!$B$9+'Parametros'!$B$12/2)+ROUNDDOWN(S347/2,0)*('Parametros'!$B$7+'Parametros'!$B$9+'Parametros'!$B$12/2+'Parametros'!$B$12+'Parametros'!$B$10))/S347)</f>
        <v>489.35</v>
      </c>
      <c r="V347" s="10">
        <f>S347*'Parametros'!$B$8</f>
        <v>1194</v>
      </c>
      <c r="W347" s="10">
        <f>'Parametros'!$B$5*V347*'Parametros'!$B$3*(U347-(V347*'Parametros'!$B$3/(0.85*'Parametros'!$B$2*H347))/2)/1000000</f>
        <v>211.349483470588</v>
      </c>
      <c r="X347" s="10" t="str">
        <f>IF(W347&gt;=J347,"CUMPLE","NO CUMPLE")</f>
        <v>CUMPLE</v>
      </c>
      <c r="Y347" s="10">
        <f>MAX(MAX(1.4/'Parametros'!$B$3,0.25*SQRT('Parametros'!$B$2)/'Parametros'!$B$3)*H347*AB347,(0.85*'Parametros'!$B$2/'Parametros'!$B$3)*(1-SQRT(1-2*(L347*1000000/('Parametros'!$B$5*H347*AB347^2))/(0.85*'Parametros'!$B$2)))*H347*AB347)</f>
        <v>815.583333333333</v>
      </c>
      <c r="Z347" s="31" t="n">
        <v>5</v>
      </c>
      <c r="AA347" s="32" t="n">
        <v>1</v>
      </c>
      <c r="AB347" s="10">
        <f>IF(AA347=1,I347-('Parametros'!$B$7+'Parametros'!$B$9+'Parametros'!$B$12/2),I347-(ROUNDUP(Z347/2,0)*('Parametros'!$B$7+'Parametros'!$B$9+'Parametros'!$B$12/2)+ROUNDDOWN(Z347/2,0)*('Parametros'!$B$7+'Parametros'!$B$9+'Parametros'!$B$12/2+'Parametros'!$B$12+'Parametros'!$B$10))/Z347)</f>
        <v>489.35</v>
      </c>
      <c r="AC347" s="10">
        <f>Z347*'Parametros'!$B$8</f>
        <v>995</v>
      </c>
      <c r="AD347" s="10">
        <f>'Parametros'!$B$5*AC347*'Parametros'!$B$3*(AB347-(AC347*'Parametros'!$B$3/(0.85*'Parametros'!$B$2*H347))/2)/1000000</f>
        <v>177.445379382353</v>
      </c>
      <c r="AE347" s="10" t="str">
        <f>IF(AD347&gt;=L347,"CUMPLE","NO CUMPLE")</f>
        <v>CUMPLE</v>
      </c>
      <c r="AF347" s="10">
        <f>V347*1.25*'Parametros'!$B$3*(U347-(V347*1.25*'Parametros'!$B$3/(0.85*'Parametros'!$B$2*H347))/2)/1000000</f>
        <v>290.238924705882</v>
      </c>
      <c r="AG347" s="10">
        <f>AC347*1.25*'Parametros'!$B$3*(AB347-(AC347*1.25*'Parametros'!$B$3/(0.85*'Parametros'!$B$2*H347))/2)/1000000</f>
        <v>244.158843198529</v>
      </c>
      <c r="AH347" s="10">
        <f>N347+(AF347+AG347)/D347</f>
        <v>312.810625631956</v>
      </c>
      <c r="AI347" s="10">
        <f>MAX(O347,AH347)</f>
        <v>429.994</v>
      </c>
      <c r="AJ347" s="10">
        <f>0.17*SQRT('Parametros'!$B$2)*H347*MIN(U347,AB347)/1000</f>
        <v>220.098728691808</v>
      </c>
      <c r="AK347" s="10">
        <f>MAX(AI347/'Parametros'!$B$6-AJ347,0)</f>
        <v>353.226604641526</v>
      </c>
      <c r="AL347" s="10">
        <f>0.66*SQRT('Parametros'!$B$2)*H347*MIN(U347,AB347)/1000</f>
        <v>854.500946685842</v>
      </c>
      <c r="AM347" s="10" t="str">
        <f>IF(AK347&lt;=AL347,"CUMPLE","NO CUMPLE")</f>
        <v>CUMPLE</v>
      </c>
      <c r="AN347" s="17" t="inlineStr">
        <is>
          <t>Nº4 cerrado</t>
        </is>
      </c>
      <c r="AO347" s="31" t="n">
        <v>2</v>
      </c>
      <c r="AP347" s="10">
        <f>ROUNDDOWN(MIN(IF(BC347+BD347=0,1000000000,AO347*BB347/(BC347+BD347)),MIN(U347,AB347)/4,8*'Parametros'!$B$12,24*BA347,300,IF(AV347=0,1000000000,2*((H347-2*('Parametros'!$B$7+'Parametros'!$B$9/2))+(I347-2*('Parametros'!$B$7+'Parametros'!$B$9/2)))/8))/10,0)*10</f>
        <v>80</v>
      </c>
      <c r="AQ347" s="10">
        <f>ROUNDDOWN(MIN(IF(BC347+BD347=0,1000000000,AO347*BB347/(BC347+BD347)),IF(AK347&gt;0.33*SQRT('Parametros'!$B$2)*H347*MIN(U347,AB347)/1000,MIN(U347,AB347)/4,MIN(U347,AB347)/2),600,IF(AV347=0,1000000000,2*((H347-2*('Parametros'!$B$7+'Parametros'!$B$9/2))+(I347-2*('Parametros'!$B$7+'Parametros'!$B$9/2)))/8))/10,0)*10</f>
        <v>80</v>
      </c>
      <c r="AR347" s="10">
        <f>'Parametros'!$B$6*(AJ347+MAX(BE347-BD347,0)*'Parametros'!$B$4*MIN(U347,AB347)/1000)</f>
        <v>479.161082653029</v>
      </c>
      <c r="AS347" s="10" t="str">
        <f>IF(AND(ISERROR(SEARCH("referencia",AN347)),AM347="CUMPLE",AR347&gt;=AI347),"CUMPLE","NO CUMPLE")</f>
        <v>CUMPLE</v>
      </c>
      <c r="AT347" s="10">
        <f>'Parametros'!$B$6*0.083*SQRT('Parametros'!$B$2)*(H347*I347)^2/(2*(H347+I347))/1000000</f>
        <v>11.862178757599</v>
      </c>
      <c r="AU347" s="10" t="str">
        <f>IF(Q347&lt;=AT347,"DESPRECIABLE","DISEÑAR")</f>
        <v>DISEÑAR</v>
      </c>
      <c r="AV347" s="10">
        <f>IF(Q347&lt;=AT347,0,Q347*1000000/('Parametros'!$B$6*2*0.85*(H347-2*('Parametros'!$B$7+'Parametros'!$B$9/2))*(I347-2*('Parametros'!$B$7+'Parametros'!$B$9/2))*'Parametros'!$B$4))</f>
        <v>0.593697811368909</v>
      </c>
      <c r="AW347" s="10">
        <f>AV347*2*((H347-2*('Parametros'!$B$7+'Parametros'!$B$9/2))+(I347-2*('Parametros'!$B$7+'Parametros'!$B$9/2)))*'Parametros'!$B$4/'Parametros'!$B$3</f>
        <v>1026.62225541912</v>
      </c>
      <c r="AX347" s="31" t="n">
        <v>8</v>
      </c>
      <c r="AY347" s="10" t="str">
        <f>IF(AV347=0,"DESPRECIABLE",IF(AND(ISERROR(SEARCH("referencia",AN347)),BB347/AP347&gt;=AV347,BI347&gt;=AW347,BH347="CUMPLE"),"CUMPLE","NO CUMPLE"))</f>
        <v>CUMPLE</v>
      </c>
      <c r="AZ347" s="10" t="str">
        <f>IF(AND(X347="CUMPLE",AE347="CUMPLE",AS347="CUMPLE",OR(AY347="CUMPLE",AY347="DESPRECIABLE"),BH347="CUMPLE",BJ347="CUMPLE"),"CUMPLE","NO CUMPLE")</f>
        <v>CUMPLE</v>
      </c>
      <c r="BA347" s="32" t="n">
        <v>12.7</v>
      </c>
      <c r="BB347" s="32" t="n">
        <v>129</v>
      </c>
      <c r="BC347" s="10">
        <f>MAX(IF(AK347=0,0,AK347*1000/('Parametros'!$B$4*MIN(U347,AB347))),MAX(0.062*SQRT('Parametros'!$B$2)*H347/'Parametros'!$B$4,0.35*H347/'Parametros'!$B$4))</f>
        <v>1.71863844965151</v>
      </c>
      <c r="BD347" s="10">
        <f>2*AV347</f>
        <v>1.18739562273782</v>
      </c>
      <c r="BE347" s="10">
        <f>AO347*BB347/AP347</f>
        <v>3.225</v>
      </c>
      <c r="BF347" s="10">
        <f>SQRT((AI347*1000/(H347*MIN(U347,AB347)))^2+(Q347*1000000*2*((H347-2*('Parametros'!$B$7+'Parametros'!$B$9/2))+(I347-2*('Parametros'!$B$7+'Parametros'!$B$9/2)))/(1.7*((H347-2*('Parametros'!$B$7+'Parametros'!$B$9/2))*(I347-2*('Parametros'!$B$7+'Parametros'!$B$9/2)))^2))^2)</f>
        <v>2.47041647864262</v>
      </c>
      <c r="BG347" s="10">
        <f>'Parametros'!$B$6*(AJ347*1000/(H347*MIN(U347,AB347))+0.66*SQRT('Parametros'!$B$2))</f>
        <v>3.29396038227542</v>
      </c>
      <c r="BH347" s="10" t="str">
        <f>IF(BF347&lt;=BG347,"CUMPLE","NO CUMPLE")</f>
        <v>CUMPLE</v>
      </c>
      <c r="BI347" s="10">
        <f>AX347*'Parametros'!$B$8</f>
        <v>1592</v>
      </c>
      <c r="BJ347" s="10" t="str">
        <f>IF(BI347&gt;=AW347,"CUMPLE","NO CUMPLE")</f>
        <v>CUMPLE</v>
      </c>
    </row>
    <row r="348">
      <c r="A348" s="25" t="inlineStr">
        <is>
          <t>VR2</t>
        </is>
      </c>
      <c r="B348" s="25" t="inlineStr">
        <is>
          <t>13</t>
        </is>
      </c>
      <c r="C348" s="10" t="n">
        <v>1</v>
      </c>
      <c r="D348" s="10" t="n">
        <v>2</v>
      </c>
      <c r="E348" s="10" t="n">
        <v>2</v>
      </c>
      <c r="F348" s="10" t="n">
        <v>500</v>
      </c>
      <c r="G348" s="10" t="n">
        <v>550</v>
      </c>
      <c r="H348" s="17" t="n">
        <v>500</v>
      </c>
      <c r="I348" s="17" t="n">
        <v>550</v>
      </c>
      <c r="J348" s="30" t="n">
        <v>200.958</v>
      </c>
      <c r="K348" s="10" t="inlineStr">
        <is>
          <t>13</t>
        </is>
      </c>
      <c r="L348" s="30" t="n">
        <v>150.9968</v>
      </c>
      <c r="M348" s="10" t="inlineStr">
        <is>
          <t>13</t>
        </is>
      </c>
      <c r="N348" s="30" t="n">
        <v>180.521</v>
      </c>
      <c r="O348" s="30" t="n">
        <v>695.162</v>
      </c>
      <c r="P348" s="10" t="inlineStr">
        <is>
          <t>13</t>
        </is>
      </c>
      <c r="Q348" s="30" t="n">
        <v>52.2913</v>
      </c>
      <c r="R348" s="10">
        <f>MAX(MAX(1.4/'Parametros'!$B$3,0.25*SQRT('Parametros'!$B$2)/'Parametros'!$B$3)*H348*U348,(0.85*'Parametros'!$B$2/'Parametros'!$B$3)*(1-SQRT(1-2*(J348*1000000/('Parametros'!$B$5*H348*U348^2))/(0.85*'Parametros'!$B$2)))*H348*U348)</f>
        <v>1132.67666980703</v>
      </c>
      <c r="S348" s="31" t="n">
        <v>6</v>
      </c>
      <c r="T348" s="32" t="n">
        <v>1</v>
      </c>
      <c r="U348" s="10">
        <f>IF(T348=1,I348-('Parametros'!$B$7+'Parametros'!$B$9+'Parametros'!$B$12/2),I348-(ROUNDUP(S348/2,0)*('Parametros'!$B$7+'Parametros'!$B$9+'Parametros'!$B$12/2)+ROUNDDOWN(S348/2,0)*('Parametros'!$B$7+'Parametros'!$B$9+'Parametros'!$B$12/2+'Parametros'!$B$12+'Parametros'!$B$10))/S348)</f>
        <v>489.35</v>
      </c>
      <c r="V348" s="10">
        <f>S348*'Parametros'!$B$8</f>
        <v>1194</v>
      </c>
      <c r="W348" s="10">
        <f>'Parametros'!$B$5*V348*'Parametros'!$B$3*(U348-(V348*'Parametros'!$B$3/(0.85*'Parametros'!$B$2*H348))/2)/1000000</f>
        <v>211.349483470588</v>
      </c>
      <c r="X348" s="10" t="str">
        <f>IF(W348&gt;=J348,"CUMPLE","NO CUMPLE")</f>
        <v>CUMPLE</v>
      </c>
      <c r="Y348" s="10">
        <f>MAX(MAX(1.4/'Parametros'!$B$3,0.25*SQRT('Parametros'!$B$2)/'Parametros'!$B$3)*H348*AB348,(0.85*'Parametros'!$B$2/'Parametros'!$B$3)*(1-SQRT(1-2*(L348*1000000/('Parametros'!$B$5*H348*AB348^2))/(0.85*'Parametros'!$B$2)))*H348*AB348)</f>
        <v>841.871339705957</v>
      </c>
      <c r="Z348" s="31" t="n">
        <v>5</v>
      </c>
      <c r="AA348" s="32" t="n">
        <v>1</v>
      </c>
      <c r="AB348" s="10">
        <f>IF(AA348=1,I348-('Parametros'!$B$7+'Parametros'!$B$9+'Parametros'!$B$12/2),I348-(ROUNDUP(Z348/2,0)*('Parametros'!$B$7+'Parametros'!$B$9+'Parametros'!$B$12/2)+ROUNDDOWN(Z348/2,0)*('Parametros'!$B$7+'Parametros'!$B$9+'Parametros'!$B$12/2+'Parametros'!$B$12+'Parametros'!$B$10))/Z348)</f>
        <v>489.35</v>
      </c>
      <c r="AC348" s="10">
        <f>Z348*'Parametros'!$B$8</f>
        <v>995</v>
      </c>
      <c r="AD348" s="10">
        <f>'Parametros'!$B$5*AC348*'Parametros'!$B$3*(AB348-(AC348*'Parametros'!$B$3/(0.85*'Parametros'!$B$2*H348))/2)/1000000</f>
        <v>177.445379382353</v>
      </c>
      <c r="AE348" s="10" t="str">
        <f>IF(AD348&gt;=L348,"CUMPLE","NO CUMPLE")</f>
        <v>CUMPLE</v>
      </c>
      <c r="AF348" s="10">
        <f>V348*1.25*'Parametros'!$B$3*(U348-(V348*1.25*'Parametros'!$B$3/(0.85*'Parametros'!$B$2*H348))/2)/1000000</f>
        <v>290.238924705882</v>
      </c>
      <c r="AG348" s="10">
        <f>AC348*1.25*'Parametros'!$B$3*(AB348-(AC348*1.25*'Parametros'!$B$3/(0.85*'Parametros'!$B$2*H348))/2)/1000000</f>
        <v>244.158843198529</v>
      </c>
      <c r="AH348" s="10">
        <f>N348+(AF348+AG348)/D348</f>
        <v>447.719883952206</v>
      </c>
      <c r="AI348" s="10">
        <f>MAX(O348,AH348)</f>
        <v>695.162</v>
      </c>
      <c r="AJ348" s="10">
        <f>0.17*SQRT('Parametros'!$B$2)*H348*MIN(U348,AB348)/1000</f>
        <v>220.098728691808</v>
      </c>
      <c r="AK348" s="10">
        <f>MAX(AI348/'Parametros'!$B$6-AJ348,0)</f>
        <v>706.783937974859</v>
      </c>
      <c r="AL348" s="10">
        <f>0.66*SQRT('Parametros'!$B$2)*H348*MIN(U348,AB348)/1000</f>
        <v>854.500946685842</v>
      </c>
      <c r="AM348" s="10" t="str">
        <f>IF(AK348&lt;=AL348,"CUMPLE","NO CUMPLE")</f>
        <v>CUMPLE</v>
      </c>
      <c r="AN348" s="17" t="inlineStr">
        <is>
          <t>Nº4 cerrado</t>
        </is>
      </c>
      <c r="AO348" s="31" t="n">
        <v>4</v>
      </c>
      <c r="AP348" s="10">
        <f>ROUNDDOWN(MIN(IF(BC348+BD348=0,1000000000,AO348*BB348/(BC348+BD348)),MIN(U348,AB348)/4,8*'Parametros'!$B$12,24*BA348,300,IF(AV348=0,1000000000,2*((H348-2*('Parametros'!$B$7+'Parametros'!$B$9/2))+(I348-2*('Parametros'!$B$7+'Parametros'!$B$9/2)))/8))/10,0)*10</f>
        <v>110</v>
      </c>
      <c r="AQ348" s="10">
        <f>ROUNDDOWN(MIN(IF(BC348+BD348=0,1000000000,AO348*BB348/(BC348+BD348)),IF(AK348&gt;0.33*SQRT('Parametros'!$B$2)*H348*MIN(U348,AB348)/1000,MIN(U348,AB348)/4,MIN(U348,AB348)/2),600,IF(AV348=0,1000000000,2*((H348-2*('Parametros'!$B$7+'Parametros'!$B$9/2))+(I348-2*('Parametros'!$B$7+'Parametros'!$B$9/2)))/8))/10,0)*10</f>
        <v>110</v>
      </c>
      <c r="AR348" s="10">
        <f>'Parametros'!$B$6*(AJ348+MAX(BE348-BD348,0)*'Parametros'!$B$4*MIN(U348,AB348)/1000)</f>
        <v>726.528184332736</v>
      </c>
      <c r="AS348" s="10" t="str">
        <f>IF(AND(ISERROR(SEARCH("referencia",AN348)),AM348="CUMPLE",AR348&gt;=AI348),"CUMPLE","NO CUMPLE")</f>
        <v>CUMPLE</v>
      </c>
      <c r="AT348" s="10">
        <f>'Parametros'!$B$6*0.083*SQRT('Parametros'!$B$2)*(H348*I348)^2/(2*(H348+I348))/1000000</f>
        <v>11.862178757599</v>
      </c>
      <c r="AU348" s="10" t="str">
        <f>IF(Q348&lt;=AT348,"DESPRECIABLE","DISEÑAR")</f>
        <v>DISEÑAR</v>
      </c>
      <c r="AV348" s="10">
        <f>IF(Q348&lt;=AT348,0,Q348*1000000/('Parametros'!$B$6*2*0.85*(H348-2*('Parametros'!$B$7+'Parametros'!$B$9/2))*(I348-2*('Parametros'!$B$7+'Parametros'!$B$9/2))*'Parametros'!$B$4))</f>
        <v>0.524269209500695</v>
      </c>
      <c r="AW348" s="10">
        <f>AV348*2*((H348-2*('Parametros'!$B$7+'Parametros'!$B$9/2))+(I348-2*('Parametros'!$B$7+'Parametros'!$B$9/2)))*'Parametros'!$B$4/'Parametros'!$B$3</f>
        <v>906.566317068601</v>
      </c>
      <c r="AX348" s="31" t="n">
        <v>8</v>
      </c>
      <c r="AY348" s="10" t="str">
        <f>IF(AV348=0,"DESPRECIABLE",IF(AND(ISERROR(SEARCH("referencia",AN348)),BB348/AP348&gt;=AV348,BI348&gt;=AW348,BH348="CUMPLE"),"CUMPLE","NO CUMPLE"))</f>
        <v>CUMPLE</v>
      </c>
      <c r="AZ348" s="10" t="str">
        <f>IF(AND(X348="CUMPLE",AE348="CUMPLE",AS348="CUMPLE",OR(AY348="CUMPLE",AY348="DESPRECIABLE"),BH348="CUMPLE",BJ348="CUMPLE"),"CUMPLE","NO CUMPLE")</f>
        <v>CUMPLE</v>
      </c>
      <c r="BA348" s="32" t="n">
        <v>12.7</v>
      </c>
      <c r="BB348" s="32" t="n">
        <v>129</v>
      </c>
      <c r="BC348" s="10">
        <f>MAX(IF(AK348=0,0,AK348*1000/('Parametros'!$B$4*MIN(U348,AB348))),MAX(0.062*SQRT('Parametros'!$B$2)*H348/'Parametros'!$B$4,0.35*H348/'Parametros'!$B$4))</f>
        <v>3.4388860732403</v>
      </c>
      <c r="BD348" s="10">
        <f>2*AV348</f>
        <v>1.04853841900139</v>
      </c>
      <c r="BE348" s="10">
        <f>AO348*BB348/AP348</f>
        <v>4.69090909090909</v>
      </c>
      <c r="BF348" s="10">
        <f>SQRT((AI348*1000/(H348*MIN(U348,AB348)))^2+(Q348*1000000*2*((H348-2*('Parametros'!$B$7+'Parametros'!$B$9/2))+(I348-2*('Parametros'!$B$7+'Parametros'!$B$9/2)))/(1.7*((H348-2*('Parametros'!$B$7+'Parametros'!$B$9/2))*(I348-2*('Parametros'!$B$7+'Parametros'!$B$9/2)))^2))^2)</f>
        <v>3.22844750438132</v>
      </c>
      <c r="BG348" s="10">
        <f>'Parametros'!$B$6*(AJ348*1000/(H348*MIN(U348,AB348))+0.66*SQRT('Parametros'!$B$2))</f>
        <v>3.29396038227542</v>
      </c>
      <c r="BH348" s="10" t="str">
        <f>IF(BF348&lt;=BG348,"CUMPLE","NO CUMPLE")</f>
        <v>CUMPLE</v>
      </c>
      <c r="BI348" s="10">
        <f>AX348*'Parametros'!$B$8</f>
        <v>1592</v>
      </c>
      <c r="BJ348" s="10" t="str">
        <f>IF(BI348&gt;=AW348,"CUMPLE","NO CUMPLE")</f>
        <v>CUMPLE</v>
      </c>
    </row>
    <row r="349">
      <c r="A349" s="25" t="inlineStr">
        <is>
          <t>VR2</t>
        </is>
      </c>
      <c r="B349" s="25" t="inlineStr">
        <is>
          <t>14</t>
        </is>
      </c>
      <c r="C349" s="10" t="n">
        <v>1</v>
      </c>
      <c r="D349" s="10" t="n">
        <v>1.9</v>
      </c>
      <c r="E349" s="10" t="n">
        <v>1.9</v>
      </c>
      <c r="F349" s="10" t="n">
        <v>500</v>
      </c>
      <c r="G349" s="10" t="n">
        <v>550</v>
      </c>
      <c r="H349" s="17" t="n">
        <v>500</v>
      </c>
      <c r="I349" s="17" t="n">
        <v>550</v>
      </c>
      <c r="J349" s="30" t="n">
        <v>180.964</v>
      </c>
      <c r="K349" s="10" t="inlineStr">
        <is>
          <t>14</t>
        </is>
      </c>
      <c r="L349" s="30" t="n">
        <v>158.1272</v>
      </c>
      <c r="M349" s="10" t="inlineStr">
        <is>
          <t>14</t>
        </is>
      </c>
      <c r="N349" s="30" t="n">
        <v>171.469</v>
      </c>
      <c r="O349" s="30" t="n">
        <v>689.265</v>
      </c>
      <c r="P349" s="10" t="inlineStr">
        <is>
          <t>14</t>
        </is>
      </c>
      <c r="Q349" s="30" t="n">
        <v>23.4116</v>
      </c>
      <c r="R349" s="10">
        <f>MAX(MAX(1.4/'Parametros'!$B$3,0.25*SQRT('Parametros'!$B$2)/'Parametros'!$B$3)*H349*U349,(0.85*'Parametros'!$B$2/'Parametros'!$B$3)*(1-SQRT(1-2*(J349*1000000/('Parametros'!$B$5*H349*U349^2))/(0.85*'Parametros'!$B$2)))*H349*U349)</f>
        <v>1015.50920179489</v>
      </c>
      <c r="S349" s="31" t="n">
        <v>6</v>
      </c>
      <c r="T349" s="32" t="n">
        <v>1</v>
      </c>
      <c r="U349" s="10">
        <f>IF(T349=1,I349-('Parametros'!$B$7+'Parametros'!$B$9+'Parametros'!$B$12/2),I349-(ROUNDUP(S349/2,0)*('Parametros'!$B$7+'Parametros'!$B$9+'Parametros'!$B$12/2)+ROUNDDOWN(S349/2,0)*('Parametros'!$B$7+'Parametros'!$B$9+'Parametros'!$B$12/2+'Parametros'!$B$12+'Parametros'!$B$10))/S349)</f>
        <v>489.35</v>
      </c>
      <c r="V349" s="10">
        <f>S349*'Parametros'!$B$8</f>
        <v>1194</v>
      </c>
      <c r="W349" s="10">
        <f>'Parametros'!$B$5*V349*'Parametros'!$B$3*(U349-(V349*'Parametros'!$B$3/(0.85*'Parametros'!$B$2*H349))/2)/1000000</f>
        <v>211.349483470588</v>
      </c>
      <c r="X349" s="10" t="str">
        <f>IF(W349&gt;=J349,"CUMPLE","NO CUMPLE")</f>
        <v>CUMPLE</v>
      </c>
      <c r="Y349" s="10">
        <f>MAX(MAX(1.4/'Parametros'!$B$3,0.25*SQRT('Parametros'!$B$2)/'Parametros'!$B$3)*H349*AB349,(0.85*'Parametros'!$B$2/'Parametros'!$B$3)*(1-SQRT(1-2*(L349*1000000/('Parametros'!$B$5*H349*AB349^2))/(0.85*'Parametros'!$B$2)))*H349*AB349)</f>
        <v>882.97619649265</v>
      </c>
      <c r="Z349" s="31" t="n">
        <v>5</v>
      </c>
      <c r="AA349" s="32" t="n">
        <v>1</v>
      </c>
      <c r="AB349" s="10">
        <f>IF(AA349=1,I349-('Parametros'!$B$7+'Parametros'!$B$9+'Parametros'!$B$12/2),I349-(ROUNDUP(Z349/2,0)*('Parametros'!$B$7+'Parametros'!$B$9+'Parametros'!$B$12/2)+ROUNDDOWN(Z349/2,0)*('Parametros'!$B$7+'Parametros'!$B$9+'Parametros'!$B$12/2+'Parametros'!$B$12+'Parametros'!$B$10))/Z349)</f>
        <v>489.35</v>
      </c>
      <c r="AC349" s="10">
        <f>Z349*'Parametros'!$B$8</f>
        <v>995</v>
      </c>
      <c r="AD349" s="10">
        <f>'Parametros'!$B$5*AC349*'Parametros'!$B$3*(AB349-(AC349*'Parametros'!$B$3/(0.85*'Parametros'!$B$2*H349))/2)/1000000</f>
        <v>177.445379382353</v>
      </c>
      <c r="AE349" s="10" t="str">
        <f>IF(AD349&gt;=L349,"CUMPLE","NO CUMPLE")</f>
        <v>CUMPLE</v>
      </c>
      <c r="AF349" s="10">
        <f>V349*1.25*'Parametros'!$B$3*(U349-(V349*1.25*'Parametros'!$B$3/(0.85*'Parametros'!$B$2*H349))/2)/1000000</f>
        <v>290.238924705882</v>
      </c>
      <c r="AG349" s="10">
        <f>AC349*1.25*'Parametros'!$B$3*(AB349-(AC349*1.25*'Parametros'!$B$3/(0.85*'Parametros'!$B$2*H349))/2)/1000000</f>
        <v>244.158843198529</v>
      </c>
      <c r="AH349" s="10">
        <f>N349+(AF349+AG349)/D349</f>
        <v>452.730983107585</v>
      </c>
      <c r="AI349" s="10">
        <f>MAX(O349,AH349)</f>
        <v>689.265</v>
      </c>
      <c r="AJ349" s="10">
        <f>0.17*SQRT('Parametros'!$B$2)*H349*MIN(U349,AB349)/1000</f>
        <v>220.098728691808</v>
      </c>
      <c r="AK349" s="10">
        <f>MAX(AI349/'Parametros'!$B$6-AJ349,0)</f>
        <v>698.921271308192</v>
      </c>
      <c r="AL349" s="10">
        <f>0.66*SQRT('Parametros'!$B$2)*H349*MIN(U349,AB349)/1000</f>
        <v>854.500946685842</v>
      </c>
      <c r="AM349" s="10" t="str">
        <f>IF(AK349&lt;=AL349,"CUMPLE","NO CUMPLE")</f>
        <v>CUMPLE</v>
      </c>
      <c r="AN349" s="17" t="inlineStr">
        <is>
          <t>Nº4 cerrado</t>
        </is>
      </c>
      <c r="AO349" s="31" t="n">
        <v>4</v>
      </c>
      <c r="AP349" s="10">
        <f>ROUNDDOWN(MIN(IF(BC349+BD349=0,1000000000,AO349*BB349/(BC349+BD349)),MIN(U349,AB349)/4,8*'Parametros'!$B$12,24*BA349,300,IF(AV349=0,1000000000,2*((H349-2*('Parametros'!$B$7+'Parametros'!$B$9/2))+(I349-2*('Parametros'!$B$7+'Parametros'!$B$9/2)))/8))/10,0)*10</f>
        <v>120</v>
      </c>
      <c r="AQ349" s="10">
        <f>ROUNDDOWN(MIN(IF(BC349+BD349=0,1000000000,AO349*BB349/(BC349+BD349)),IF(AK349&gt;0.33*SQRT('Parametros'!$B$2)*H349*MIN(U349,AB349)/1000,MIN(U349,AB349)/4,MIN(U349,AB349)/2),600,IF(AV349=0,1000000000,2*((H349-2*('Parametros'!$B$7+'Parametros'!$B$9/2))+(I349-2*('Parametros'!$B$7+'Parametros'!$B$9/2)))/8))/10,0)*10</f>
        <v>120</v>
      </c>
      <c r="AR349" s="10">
        <f>'Parametros'!$B$6*(AJ349+MAX(BE349-BD349,0)*'Parametros'!$B$4*MIN(U349,AB349)/1000)</f>
        <v>755.535690261975</v>
      </c>
      <c r="AS349" s="10" t="str">
        <f>IF(AND(ISERROR(SEARCH("referencia",AN349)),AM349="CUMPLE",AR349&gt;=AI349),"CUMPLE","NO CUMPLE")</f>
        <v>CUMPLE</v>
      </c>
      <c r="AT349" s="10">
        <f>'Parametros'!$B$6*0.083*SQRT('Parametros'!$B$2)*(H349*I349)^2/(2*(H349+I349))/1000000</f>
        <v>11.862178757599</v>
      </c>
      <c r="AU349" s="10" t="str">
        <f>IF(Q349&lt;=AT349,"DESPRECIABLE","DISEÑAR")</f>
        <v>DISEÑAR</v>
      </c>
      <c r="AV349" s="10">
        <f>IF(Q349&lt;=AT349,0,Q349*1000000/('Parametros'!$B$6*2*0.85*(H349-2*('Parametros'!$B$7+'Parametros'!$B$9/2))*(I349-2*('Parametros'!$B$7+'Parametros'!$B$9/2))*'Parametros'!$B$4))</f>
        <v>0.234723195352697</v>
      </c>
      <c r="AW349" s="10">
        <f>AV349*2*((H349-2*('Parametros'!$B$7+'Parametros'!$B$9/2))+(I349-2*('Parametros'!$B$7+'Parametros'!$B$9/2)))*'Parametros'!$B$4/'Parametros'!$B$3</f>
        <v>405.883349403883</v>
      </c>
      <c r="AX349" s="31" t="n">
        <v>8</v>
      </c>
      <c r="AY349" s="10" t="str">
        <f>IF(AV349=0,"DESPRECIABLE",IF(AND(ISERROR(SEARCH("referencia",AN349)),BB349/AP349&gt;=AV349,BI349&gt;=AW349,BH349="CUMPLE"),"CUMPLE","NO CUMPLE"))</f>
        <v>CUMPLE</v>
      </c>
      <c r="AZ349" s="10" t="str">
        <f>IF(AND(X349="CUMPLE",AE349="CUMPLE",AS349="CUMPLE",OR(AY349="CUMPLE",AY349="DESPRECIABLE"),BH349="CUMPLE",BJ349="CUMPLE"),"CUMPLE","NO CUMPLE")</f>
        <v>CUMPLE</v>
      </c>
      <c r="BA349" s="32" t="n">
        <v>12.7</v>
      </c>
      <c r="BB349" s="32" t="n">
        <v>129</v>
      </c>
      <c r="BC349" s="10">
        <f>MAX(IF(AK349=0,0,AK349*1000/('Parametros'!$B$4*MIN(U349,AB349))),MAX(0.062*SQRT('Parametros'!$B$2)*H349/'Parametros'!$B$4,0.35*H349/'Parametros'!$B$4))</f>
        <v>3.40062994792992</v>
      </c>
      <c r="BD349" s="10">
        <f>2*AV349</f>
        <v>0.469446390705393</v>
      </c>
      <c r="BE349" s="10">
        <f>AO349*BB349/AP349</f>
        <v>4.3</v>
      </c>
      <c r="BF349" s="10">
        <f>SQRT((AI349*1000/(H349*MIN(U349,AB349)))^2+(Q349*1000000*2*((H349-2*('Parametros'!$B$7+'Parametros'!$B$9/2))+(I349-2*('Parametros'!$B$7+'Parametros'!$B$9/2)))/(1.7*((H349-2*('Parametros'!$B$7+'Parametros'!$B$9/2))*(I349-2*('Parametros'!$B$7+'Parametros'!$B$9/2)))^2))^2)</f>
        <v>2.89948831100797</v>
      </c>
      <c r="BG349" s="10">
        <f>'Parametros'!$B$6*(AJ349*1000/(H349*MIN(U349,AB349))+0.66*SQRT('Parametros'!$B$2))</f>
        <v>3.29396038227542</v>
      </c>
      <c r="BH349" s="10" t="str">
        <f>IF(BF349&lt;=BG349,"CUMPLE","NO CUMPLE")</f>
        <v>CUMPLE</v>
      </c>
      <c r="BI349" s="10">
        <f>AX349*'Parametros'!$B$8</f>
        <v>1592</v>
      </c>
      <c r="BJ349" s="10" t="str">
        <f>IF(BI349&gt;=AW349,"CUMPLE","NO CUMPLE")</f>
        <v>CUMPLE</v>
      </c>
    </row>
    <row r="350">
      <c r="A350" s="25" t="inlineStr">
        <is>
          <t>VR2</t>
        </is>
      </c>
      <c r="B350" s="25" t="inlineStr">
        <is>
          <t>15</t>
        </is>
      </c>
      <c r="C350" s="10" t="n">
        <v>1</v>
      </c>
      <c r="D350" s="10" t="n">
        <v>3.57612</v>
      </c>
      <c r="E350" s="10" t="n">
        <v>3.57612</v>
      </c>
      <c r="F350" s="10" t="n">
        <v>500</v>
      </c>
      <c r="G350" s="10" t="n">
        <v>550</v>
      </c>
      <c r="H350" s="17" t="n">
        <v>500</v>
      </c>
      <c r="I350" s="17" t="n">
        <v>550</v>
      </c>
      <c r="J350" s="30" t="n">
        <v>181.3487</v>
      </c>
      <c r="K350" s="10" t="inlineStr">
        <is>
          <t>15</t>
        </is>
      </c>
      <c r="L350" s="30" t="n">
        <v>116.6359</v>
      </c>
      <c r="M350" s="10" t="inlineStr">
        <is>
          <t>15</t>
        </is>
      </c>
      <c r="N350" s="30" t="n">
        <v>131.321</v>
      </c>
      <c r="O350" s="30" t="n">
        <v>397.044</v>
      </c>
      <c r="P350" s="10" t="inlineStr">
        <is>
          <t>15</t>
        </is>
      </c>
      <c r="Q350" s="30" t="n">
        <v>5.4482</v>
      </c>
      <c r="R350" s="10">
        <f>MAX(MAX(1.4/'Parametros'!$B$3,0.25*SQRT('Parametros'!$B$2)/'Parametros'!$B$3)*H350*U350,(0.85*'Parametros'!$B$2/'Parametros'!$B$3)*(1-SQRT(1-2*(J350*1000000/('Parametros'!$B$5*H350*U350^2))/(0.85*'Parametros'!$B$2)))*H350*U350)</f>
        <v>1017.75351200623</v>
      </c>
      <c r="S350" s="31" t="n">
        <v>6</v>
      </c>
      <c r="T350" s="32" t="n">
        <v>1</v>
      </c>
      <c r="U350" s="10">
        <f>IF(T350=1,I350-('Parametros'!$B$7+'Parametros'!$B$9+'Parametros'!$B$12/2),I350-(ROUNDUP(S350/2,0)*('Parametros'!$B$7+'Parametros'!$B$9+'Parametros'!$B$12/2)+ROUNDDOWN(S350/2,0)*('Parametros'!$B$7+'Parametros'!$B$9+'Parametros'!$B$12/2+'Parametros'!$B$12+'Parametros'!$B$10))/S350)</f>
        <v>489.35</v>
      </c>
      <c r="V350" s="10">
        <f>S350*'Parametros'!$B$8</f>
        <v>1194</v>
      </c>
      <c r="W350" s="10">
        <f>'Parametros'!$B$5*V350*'Parametros'!$B$3*(U350-(V350*'Parametros'!$B$3/(0.85*'Parametros'!$B$2*H350))/2)/1000000</f>
        <v>211.349483470588</v>
      </c>
      <c r="X350" s="10" t="str">
        <f>IF(W350&gt;=J350,"CUMPLE","NO CUMPLE")</f>
        <v>CUMPLE</v>
      </c>
      <c r="Y350" s="10">
        <f>MAX(MAX(1.4/'Parametros'!$B$3,0.25*SQRT('Parametros'!$B$2)/'Parametros'!$B$3)*H350*AB350,(0.85*'Parametros'!$B$2/'Parametros'!$B$3)*(1-SQRT(1-2*(L350*1000000/('Parametros'!$B$5*H350*AB350^2))/(0.85*'Parametros'!$B$2)))*H350*AB350)</f>
        <v>815.583333333333</v>
      </c>
      <c r="Z350" s="31" t="n">
        <v>5</v>
      </c>
      <c r="AA350" s="32" t="n">
        <v>1</v>
      </c>
      <c r="AB350" s="10">
        <f>IF(AA350=1,I350-('Parametros'!$B$7+'Parametros'!$B$9+'Parametros'!$B$12/2),I350-(ROUNDUP(Z350/2,0)*('Parametros'!$B$7+'Parametros'!$B$9+'Parametros'!$B$12/2)+ROUNDDOWN(Z350/2,0)*('Parametros'!$B$7+'Parametros'!$B$9+'Parametros'!$B$12/2+'Parametros'!$B$12+'Parametros'!$B$10))/Z350)</f>
        <v>489.35</v>
      </c>
      <c r="AC350" s="10">
        <f>Z350*'Parametros'!$B$8</f>
        <v>995</v>
      </c>
      <c r="AD350" s="10">
        <f>'Parametros'!$B$5*AC350*'Parametros'!$B$3*(AB350-(AC350*'Parametros'!$B$3/(0.85*'Parametros'!$B$2*H350))/2)/1000000</f>
        <v>177.445379382353</v>
      </c>
      <c r="AE350" s="10" t="str">
        <f>IF(AD350&gt;=L350,"CUMPLE","NO CUMPLE")</f>
        <v>CUMPLE</v>
      </c>
      <c r="AF350" s="10">
        <f>V350*1.25*'Parametros'!$B$3*(U350-(V350*1.25*'Parametros'!$B$3/(0.85*'Parametros'!$B$2*H350))/2)/1000000</f>
        <v>290.238924705882</v>
      </c>
      <c r="AG350" s="10">
        <f>AC350*1.25*'Parametros'!$B$3*(AB350-(AC350*1.25*'Parametros'!$B$3/(0.85*'Parametros'!$B$2*H350))/2)/1000000</f>
        <v>244.158843198529</v>
      </c>
      <c r="AH350" s="10">
        <f>N350+(AF350+AG350)/D350</f>
        <v>280.756077095962</v>
      </c>
      <c r="AI350" s="10">
        <f>MAX(O350,AH350)</f>
        <v>397.044</v>
      </c>
      <c r="AJ350" s="10">
        <f>0.17*SQRT('Parametros'!$B$2)*H350*MIN(U350,AB350)/1000</f>
        <v>220.098728691808</v>
      </c>
      <c r="AK350" s="10">
        <f>MAX(AI350/'Parametros'!$B$6-AJ350,0)</f>
        <v>309.293271308192</v>
      </c>
      <c r="AL350" s="10">
        <f>0.66*SQRT('Parametros'!$B$2)*H350*MIN(U350,AB350)/1000</f>
        <v>854.500946685842</v>
      </c>
      <c r="AM350" s="10" t="str">
        <f>IF(AK350&lt;=AL350,"CUMPLE","NO CUMPLE")</f>
        <v>CUMPLE</v>
      </c>
      <c r="AN350" s="17" t="inlineStr">
        <is>
          <t>Nº3 cerrado</t>
        </is>
      </c>
      <c r="AO350" s="31" t="n">
        <v>2</v>
      </c>
      <c r="AP350" s="10">
        <f>ROUNDDOWN(MIN(IF(BC350+BD350=0,1000000000,AO350*BB350/(BC350+BD350)),MIN(U350,AB350)/4,8*'Parametros'!$B$12,24*BA350,300,IF(AV350=0,1000000000,2*((H350-2*('Parametros'!$B$7+'Parametros'!$B$9/2))+(I350-2*('Parametros'!$B$7+'Parametros'!$B$9/2)))/8))/10,0)*10</f>
        <v>90</v>
      </c>
      <c r="AQ350" s="10">
        <f>ROUNDDOWN(MIN(IF(BC350+BD350=0,1000000000,AO350*BB350/(BC350+BD350)),IF(AK350&gt;0.33*SQRT('Parametros'!$B$2)*H350*MIN(U350,AB350)/1000,MIN(U350,AB350)/4,MIN(U350,AB350)/2),600,IF(AV350=0,1000000000,2*((H350-2*('Parametros'!$B$7+'Parametros'!$B$9/2))+(I350-2*('Parametros'!$B$7+'Parametros'!$B$9/2)))/8))/10,0)*10</f>
        <v>90</v>
      </c>
      <c r="AR350" s="10">
        <f>'Parametros'!$B$6*(AJ350+MAX(BE350-BD350,0)*'Parametros'!$B$4*MIN(U350,AB350)/1000)</f>
        <v>408.280996518856</v>
      </c>
      <c r="AS350" s="10" t="str">
        <f>IF(AND(ISERROR(SEARCH("referencia",AN350)),AM350="CUMPLE",AR350&gt;=AI350),"CUMPLE","NO CUMPLE")</f>
        <v>CUMPLE</v>
      </c>
      <c r="AT350" s="10">
        <f>'Parametros'!$B$6*0.083*SQRT('Parametros'!$B$2)*(H350*I350)^2/(2*(H350+I350))/1000000</f>
        <v>11.862178757599</v>
      </c>
      <c r="AU350" s="10" t="str">
        <f>IF(Q350&lt;=AT350,"DESPRECIABLE","DISEÑAR")</f>
        <v>DESPRECIABLE</v>
      </c>
      <c r="AV350" s="10">
        <f>IF(Q350&lt;=AT350,0,Q350*1000000/('Parametros'!$B$6*2*0.85*(H350-2*('Parametros'!$B$7+'Parametros'!$B$9/2))*(I350-2*('Parametros'!$B$7+'Parametros'!$B$9/2))*'Parametros'!$B$4))</f>
        <v>0</v>
      </c>
      <c r="AW350" s="10">
        <f>AV350*2*((H350-2*('Parametros'!$B$7+'Parametros'!$B$9/2))+(I350-2*('Parametros'!$B$7+'Parametros'!$B$9/2)))*'Parametros'!$B$4/'Parametros'!$B$3</f>
        <v>0</v>
      </c>
      <c r="AX350" s="31" t="n">
        <v>0</v>
      </c>
      <c r="AY350" s="10" t="str">
        <f>IF(AV350=0,"DESPRECIABLE",IF(AND(ISERROR(SEARCH("referencia",AN350)),BB350/AP350&gt;=AV350,BI350&gt;=AW350,BH350="CUMPLE"),"CUMPLE","NO CUMPLE"))</f>
        <v>DESPRECIABLE</v>
      </c>
      <c r="AZ350" s="10" t="str">
        <f>IF(AND(X350="CUMPLE",AE350="CUMPLE",AS350="CUMPLE",OR(AY350="CUMPLE",AY350="DESPRECIABLE"),BH350="CUMPLE",BJ350="CUMPLE"),"CUMPLE","NO CUMPLE")</f>
        <v>CUMPLE</v>
      </c>
      <c r="BA350" s="32" t="n">
        <v>9.5</v>
      </c>
      <c r="BB350" s="32" t="n">
        <v>71</v>
      </c>
      <c r="BC350" s="10">
        <f>MAX(IF(AK350=0,0,AK350*1000/('Parametros'!$B$4*MIN(U350,AB350))),MAX(0.062*SQRT('Parametros'!$B$2)*H350/'Parametros'!$B$4,0.35*H350/'Parametros'!$B$4))</f>
        <v>1.50487902469355</v>
      </c>
      <c r="BD350" s="10">
        <f>2*AV350</f>
        <v>0</v>
      </c>
      <c r="BE350" s="10">
        <f>AO350*BB350/AP350</f>
        <v>1.57777777777778</v>
      </c>
      <c r="BF350" s="10">
        <f>SQRT((AI350*1000/(H350*MIN(U350,AB350)))^2+(Q350*1000000*2*((H350-2*('Parametros'!$B$7+'Parametros'!$B$9/2))+(I350-2*('Parametros'!$B$7+'Parametros'!$B$9/2)))/(1.7*((H350-2*('Parametros'!$B$7+'Parametros'!$B$9/2))*(I350-2*('Parametros'!$B$7+'Parametros'!$B$9/2)))^2))^2)</f>
        <v>1.63058385184245</v>
      </c>
      <c r="BG350" s="10">
        <f>'Parametros'!$B$6*(AJ350*1000/(H350*MIN(U350,AB350))+0.66*SQRT('Parametros'!$B$2))</f>
        <v>3.29396038227542</v>
      </c>
      <c r="BH350" s="10" t="str">
        <f>IF(BF350&lt;=BG350,"CUMPLE","NO CUMPLE")</f>
        <v>CUMPLE</v>
      </c>
      <c r="BI350" s="10">
        <f>AX350*'Parametros'!$B$8</f>
        <v>0</v>
      </c>
      <c r="BJ350" s="10" t="str">
        <f>IF(BI350&gt;=AW350,"CUMPLE","NO CUMPLE")</f>
        <v>CUMPLE</v>
      </c>
    </row>
    <row r="351">
      <c r="A351" s="25" t="inlineStr">
        <is>
          <t>VR2</t>
        </is>
      </c>
      <c r="B351" s="25" t="inlineStr">
        <is>
          <t>16</t>
        </is>
      </c>
      <c r="C351" s="10" t="n">
        <v>1</v>
      </c>
      <c r="D351" s="10" t="n">
        <v>2.1</v>
      </c>
      <c r="E351" s="10" t="n">
        <v>2.1</v>
      </c>
      <c r="F351" s="10" t="n">
        <v>500</v>
      </c>
      <c r="G351" s="10" t="n">
        <v>550</v>
      </c>
      <c r="H351" s="17" t="n">
        <v>500</v>
      </c>
      <c r="I351" s="17" t="n">
        <v>550</v>
      </c>
      <c r="J351" s="30" t="n">
        <v>192.645</v>
      </c>
      <c r="K351" s="10" t="inlineStr">
        <is>
          <t>16</t>
        </is>
      </c>
      <c r="L351" s="30" t="n">
        <v>168.1116</v>
      </c>
      <c r="M351" s="10" t="inlineStr">
        <is>
          <t>16</t>
        </is>
      </c>
      <c r="N351" s="30" t="n">
        <v>173.949</v>
      </c>
      <c r="O351" s="30" t="n">
        <v>638.9829999999999</v>
      </c>
      <c r="P351" s="10" t="inlineStr">
        <is>
          <t>16</t>
        </is>
      </c>
      <c r="Q351" s="30" t="n">
        <v>93.7163</v>
      </c>
      <c r="R351" s="10">
        <f>MAX(MAX(1.4/'Parametros'!$B$3,0.25*SQRT('Parametros'!$B$2)/'Parametros'!$B$3)*H351*U351,(0.85*'Parametros'!$B$2/'Parametros'!$B$3)*(1-SQRT(1-2*(J351*1000000/('Parametros'!$B$5*H351*U351^2))/(0.85*'Parametros'!$B$2)))*H351*U351)</f>
        <v>1083.83094326863</v>
      </c>
      <c r="S351" s="31" t="n">
        <v>6</v>
      </c>
      <c r="T351" s="32" t="n">
        <v>1</v>
      </c>
      <c r="U351" s="10">
        <f>IF(T351=1,I351-('Parametros'!$B$7+'Parametros'!$B$9+'Parametros'!$B$12/2),I351-(ROUNDUP(S351/2,0)*('Parametros'!$B$7+'Parametros'!$B$9+'Parametros'!$B$12/2)+ROUNDDOWN(S351/2,0)*('Parametros'!$B$7+'Parametros'!$B$9+'Parametros'!$B$12/2+'Parametros'!$B$12+'Parametros'!$B$10))/S351)</f>
        <v>489.35</v>
      </c>
      <c r="V351" s="10">
        <f>S351*'Parametros'!$B$8</f>
        <v>1194</v>
      </c>
      <c r="W351" s="10">
        <f>'Parametros'!$B$5*V351*'Parametros'!$B$3*(U351-(V351*'Parametros'!$B$3/(0.85*'Parametros'!$B$2*H351))/2)/1000000</f>
        <v>211.349483470588</v>
      </c>
      <c r="X351" s="10" t="str">
        <f>IF(W351&gt;=J351,"CUMPLE","NO CUMPLE")</f>
        <v>CUMPLE</v>
      </c>
      <c r="Y351" s="10">
        <f>MAX(MAX(1.4/'Parametros'!$B$3,0.25*SQRT('Parametros'!$B$2)/'Parametros'!$B$3)*H351*AB351,(0.85*'Parametros'!$B$2/'Parametros'!$B$3)*(1-SQRT(1-2*(L351*1000000/('Parametros'!$B$5*H351*AB351^2))/(0.85*'Parametros'!$B$2)))*H351*AB351)</f>
        <v>940.75329607684</v>
      </c>
      <c r="Z351" s="31" t="n">
        <v>5</v>
      </c>
      <c r="AA351" s="32" t="n">
        <v>1</v>
      </c>
      <c r="AB351" s="10">
        <f>IF(AA351=1,I351-('Parametros'!$B$7+'Parametros'!$B$9+'Parametros'!$B$12/2),I351-(ROUNDUP(Z351/2,0)*('Parametros'!$B$7+'Parametros'!$B$9+'Parametros'!$B$12/2)+ROUNDDOWN(Z351/2,0)*('Parametros'!$B$7+'Parametros'!$B$9+'Parametros'!$B$12/2+'Parametros'!$B$12+'Parametros'!$B$10))/Z351)</f>
        <v>489.35</v>
      </c>
      <c r="AC351" s="10">
        <f>Z351*'Parametros'!$B$8</f>
        <v>995</v>
      </c>
      <c r="AD351" s="10">
        <f>'Parametros'!$B$5*AC351*'Parametros'!$B$3*(AB351-(AC351*'Parametros'!$B$3/(0.85*'Parametros'!$B$2*H351))/2)/1000000</f>
        <v>177.445379382353</v>
      </c>
      <c r="AE351" s="10" t="str">
        <f>IF(AD351&gt;=L351,"CUMPLE","NO CUMPLE")</f>
        <v>CUMPLE</v>
      </c>
      <c r="AF351" s="10">
        <f>V351*1.25*'Parametros'!$B$3*(U351-(V351*1.25*'Parametros'!$B$3/(0.85*'Parametros'!$B$2*H351))/2)/1000000</f>
        <v>290.238924705882</v>
      </c>
      <c r="AG351" s="10">
        <f>AC351*1.25*'Parametros'!$B$3*(AB351-(AC351*1.25*'Parametros'!$B$3/(0.85*'Parametros'!$B$2*H351))/2)/1000000</f>
        <v>244.158843198529</v>
      </c>
      <c r="AH351" s="10">
        <f>N351+(AF351+AG351)/D351</f>
        <v>428.424127573529</v>
      </c>
      <c r="AI351" s="10">
        <f>MAX(O351,AH351)</f>
        <v>638.983</v>
      </c>
      <c r="AJ351" s="10">
        <f>0.17*SQRT('Parametros'!$B$2)*H351*MIN(U351,AB351)/1000</f>
        <v>220.098728691808</v>
      </c>
      <c r="AK351" s="10">
        <f>MAX(AI351/'Parametros'!$B$6-AJ351,0)</f>
        <v>631.878604641525</v>
      </c>
      <c r="AL351" s="10">
        <f>0.66*SQRT('Parametros'!$B$2)*H351*MIN(U351,AB351)/1000</f>
        <v>854.500946685842</v>
      </c>
      <c r="AM351" s="10" t="str">
        <f>IF(AK351&lt;=AL351,"CUMPLE","NO CUMPLE")</f>
        <v>CUMPLE</v>
      </c>
      <c r="AN351" s="17" t="inlineStr">
        <is>
          <t>Nº4 cerrado</t>
        </is>
      </c>
      <c r="AO351" s="31" t="n">
        <v>4</v>
      </c>
      <c r="AP351" s="10">
        <f>ROUNDDOWN(MIN(IF(BC351+BD351=0,1000000000,AO351*BB351/(BC351+BD351)),MIN(U351,AB351)/4,8*'Parametros'!$B$12,24*BA351,300,IF(AV351=0,1000000000,2*((H351-2*('Parametros'!$B$7+'Parametros'!$B$9/2))+(I351-2*('Parametros'!$B$7+'Parametros'!$B$9/2)))/8))/10,0)*10</f>
        <v>100</v>
      </c>
      <c r="AQ351" s="10">
        <f>ROUNDDOWN(MIN(IF(BC351+BD351=0,1000000000,AO351*BB351/(BC351+BD351)),IF(AK351&gt;0.33*SQRT('Parametros'!$B$2)*H351*MIN(U351,AB351)/1000,MIN(U351,AB351)/4,MIN(U351,AB351)/2),600,IF(AV351=0,1000000000,2*((H351-2*('Parametros'!$B$7+'Parametros'!$B$9/2))+(I351-2*('Parametros'!$B$7+'Parametros'!$B$9/2)))/8))/10,0)*10</f>
        <v>100</v>
      </c>
      <c r="AR351" s="10">
        <f>'Parametros'!$B$6*(AJ351+MAX(BE351-BD351,0)*'Parametros'!$B$4*MIN(U351,AB351)/1000)</f>
        <v>670.795757531124</v>
      </c>
      <c r="AS351" s="10" t="str">
        <f>IF(AND(ISERROR(SEARCH("referencia",AN351)),AM351="CUMPLE",AR351&gt;=AI351),"CUMPLE","NO CUMPLE")</f>
        <v>CUMPLE</v>
      </c>
      <c r="AT351" s="10">
        <f>'Parametros'!$B$6*0.083*SQRT('Parametros'!$B$2)*(H351*I351)^2/(2*(H351+I351))/1000000</f>
        <v>11.862178757599</v>
      </c>
      <c r="AU351" s="10" t="str">
        <f>IF(Q351&lt;=AT351,"DESPRECIABLE","DISEÑAR")</f>
        <v>DISEÑAR</v>
      </c>
      <c r="AV351" s="10">
        <f>IF(Q351&lt;=AT351,0,Q351*1000000/('Parametros'!$B$6*2*0.85*(H351-2*('Parametros'!$B$7+'Parametros'!$B$9/2))*(I351-2*('Parametros'!$B$7+'Parametros'!$B$9/2))*'Parametros'!$B$4))</f>
        <v>0.939593594313585</v>
      </c>
      <c r="AW351" s="10">
        <f>AV351*2*((H351-2*('Parametros'!$B$7+'Parametros'!$B$9/2))+(I351-2*('Parametros'!$B$7+'Parametros'!$B$9/2)))*'Parametros'!$B$4/'Parametros'!$B$3</f>
        <v>1624.74524328705</v>
      </c>
      <c r="AX351" s="31" t="n">
        <v>12</v>
      </c>
      <c r="AY351" s="10" t="str">
        <f>IF(AV351=0,"DESPRECIABLE",IF(AND(ISERROR(SEARCH("referencia",AN351)),BB351/AP351&gt;=AV351,BI351&gt;=AW351,BH351="CUMPLE"),"CUMPLE","NO CUMPLE"))</f>
        <v>NO CUMPLE</v>
      </c>
      <c r="AZ351" s="10" t="str">
        <f>IF(AND(X351="CUMPLE",AE351="CUMPLE",AS351="CUMPLE",OR(AY351="CUMPLE",AY351="DESPRECIABLE"),BH351="CUMPLE",BJ351="CUMPLE"),"CUMPLE","NO CUMPLE")</f>
        <v>NO CUMPLE</v>
      </c>
      <c r="BA351" s="32" t="n">
        <v>12.7</v>
      </c>
      <c r="BB351" s="32" t="n">
        <v>129</v>
      </c>
      <c r="BC351" s="10">
        <f>MAX(IF(AK351=0,0,AK351*1000/('Parametros'!$B$4*MIN(U351,AB351))),MAX(0.062*SQRT('Parametros'!$B$2)*H351/'Parametros'!$B$4,0.35*H351/'Parametros'!$B$4))</f>
        <v>3.07443111922777</v>
      </c>
      <c r="BD351" s="10">
        <f>2*AV351</f>
        <v>1.87918718862717</v>
      </c>
      <c r="BE351" s="10">
        <f>AO351*BB351/AP351</f>
        <v>5.16</v>
      </c>
      <c r="BF351" s="10">
        <f>SQRT((AI351*1000/(H351*MIN(U351,AB351)))^2+(Q351*1000000*2*((H351-2*('Parametros'!$B$7+'Parametros'!$B$9/2))+(I351-2*('Parametros'!$B$7+'Parametros'!$B$9/2)))/(1.7*((H351-2*('Parametros'!$B$7+'Parametros'!$B$9/2))*(I351-2*('Parametros'!$B$7+'Parametros'!$B$9/2)))^2))^2)</f>
        <v>3.79084034844124</v>
      </c>
      <c r="BG351" s="10">
        <f>'Parametros'!$B$6*(AJ351*1000/(H351*MIN(U351,AB351))+0.66*SQRT('Parametros'!$B$2))</f>
        <v>3.29396038227542</v>
      </c>
      <c r="BH351" s="10" t="str">
        <f>IF(BF351&lt;=BG351,"CUMPLE","NO CUMPLE")</f>
        <v>NO CUMPLE</v>
      </c>
      <c r="BI351" s="10">
        <f>AX351*'Parametros'!$B$8</f>
        <v>2388</v>
      </c>
      <c r="BJ351" s="10" t="str">
        <f>IF(BI351&gt;=AW351,"CUMPLE","NO CUMPLE")</f>
        <v>CUMPLE</v>
      </c>
    </row>
    <row r="352">
      <c r="A352" s="25" t="inlineStr">
        <is>
          <t>VR2</t>
        </is>
      </c>
      <c r="B352" s="25" t="inlineStr">
        <is>
          <t>17</t>
        </is>
      </c>
      <c r="C352" s="10" t="n">
        <v>1</v>
      </c>
      <c r="D352" s="10" t="n">
        <v>2.2</v>
      </c>
      <c r="E352" s="10" t="n">
        <v>2.2</v>
      </c>
      <c r="F352" s="10" t="n">
        <v>500</v>
      </c>
      <c r="G352" s="10" t="n">
        <v>550</v>
      </c>
      <c r="H352" s="17" t="n">
        <v>500</v>
      </c>
      <c r="I352" s="17" t="n">
        <v>550</v>
      </c>
      <c r="J352" s="30" t="n">
        <v>191.928</v>
      </c>
      <c r="K352" s="10" t="inlineStr">
        <is>
          <t>17</t>
        </is>
      </c>
      <c r="L352" s="30" t="n">
        <v>165.1452</v>
      </c>
      <c r="M352" s="10" t="inlineStr">
        <is>
          <t>17</t>
        </is>
      </c>
      <c r="N352" s="30" t="n">
        <v>169.355</v>
      </c>
      <c r="O352" s="30" t="n">
        <v>614.044</v>
      </c>
      <c r="P352" s="10" t="inlineStr">
        <is>
          <t>17</t>
        </is>
      </c>
      <c r="Q352" s="30" t="n">
        <v>90.6918</v>
      </c>
      <c r="R352" s="10">
        <f>MAX(MAX(1.4/'Parametros'!$B$3,0.25*SQRT('Parametros'!$B$2)/'Parametros'!$B$3)*H352*U352,(0.85*'Parametros'!$B$2/'Parametros'!$B$3)*(1-SQRT(1-2*(J352*1000000/('Parametros'!$B$5*H352*U352^2))/(0.85*'Parametros'!$B$2)))*H352*U352)</f>
        <v>1079.62671917873</v>
      </c>
      <c r="S352" s="31" t="n">
        <v>6</v>
      </c>
      <c r="T352" s="32" t="n">
        <v>1</v>
      </c>
      <c r="U352" s="10">
        <f>IF(T352=1,I352-('Parametros'!$B$7+'Parametros'!$B$9+'Parametros'!$B$12/2),I352-(ROUNDUP(S352/2,0)*('Parametros'!$B$7+'Parametros'!$B$9+'Parametros'!$B$12/2)+ROUNDDOWN(S352/2,0)*('Parametros'!$B$7+'Parametros'!$B$9+'Parametros'!$B$12/2+'Parametros'!$B$12+'Parametros'!$B$10))/S352)</f>
        <v>489.35</v>
      </c>
      <c r="V352" s="10">
        <f>S352*'Parametros'!$B$8</f>
        <v>1194</v>
      </c>
      <c r="W352" s="10">
        <f>'Parametros'!$B$5*V352*'Parametros'!$B$3*(U352-(V352*'Parametros'!$B$3/(0.85*'Parametros'!$B$2*H352))/2)/1000000</f>
        <v>211.349483470588</v>
      </c>
      <c r="X352" s="10" t="str">
        <f>IF(W352&gt;=J352,"CUMPLE","NO CUMPLE")</f>
        <v>CUMPLE</v>
      </c>
      <c r="Y352" s="10">
        <f>MAX(MAX(1.4/'Parametros'!$B$3,0.25*SQRT('Parametros'!$B$2)/'Parametros'!$B$3)*H352*AB352,(0.85*'Parametros'!$B$2/'Parametros'!$B$3)*(1-SQRT(1-2*(L352*1000000/('Parametros'!$B$5*H352*AB352^2))/(0.85*'Parametros'!$B$2)))*H352*AB352)</f>
        <v>923.560584617375</v>
      </c>
      <c r="Z352" s="31" t="n">
        <v>5</v>
      </c>
      <c r="AA352" s="32" t="n">
        <v>1</v>
      </c>
      <c r="AB352" s="10">
        <f>IF(AA352=1,I352-('Parametros'!$B$7+'Parametros'!$B$9+'Parametros'!$B$12/2),I352-(ROUNDUP(Z352/2,0)*('Parametros'!$B$7+'Parametros'!$B$9+'Parametros'!$B$12/2)+ROUNDDOWN(Z352/2,0)*('Parametros'!$B$7+'Parametros'!$B$9+'Parametros'!$B$12/2+'Parametros'!$B$12+'Parametros'!$B$10))/Z352)</f>
        <v>489.35</v>
      </c>
      <c r="AC352" s="10">
        <f>Z352*'Parametros'!$B$8</f>
        <v>995</v>
      </c>
      <c r="AD352" s="10">
        <f>'Parametros'!$B$5*AC352*'Parametros'!$B$3*(AB352-(AC352*'Parametros'!$B$3/(0.85*'Parametros'!$B$2*H352))/2)/1000000</f>
        <v>177.445379382353</v>
      </c>
      <c r="AE352" s="10" t="str">
        <f>IF(AD352&gt;=L352,"CUMPLE","NO CUMPLE")</f>
        <v>CUMPLE</v>
      </c>
      <c r="AF352" s="10">
        <f>V352*1.25*'Parametros'!$B$3*(U352-(V352*1.25*'Parametros'!$B$3/(0.85*'Parametros'!$B$2*H352))/2)/1000000</f>
        <v>290.238924705882</v>
      </c>
      <c r="AG352" s="10">
        <f>AC352*1.25*'Parametros'!$B$3*(AB352-(AC352*1.25*'Parametros'!$B$3/(0.85*'Parametros'!$B$2*H352))/2)/1000000</f>
        <v>244.158843198529</v>
      </c>
      <c r="AH352" s="10">
        <f>N352+(AF352+AG352)/D352</f>
        <v>412.263076320187</v>
      </c>
      <c r="AI352" s="10">
        <f>MAX(O352,AH352)</f>
        <v>614.044</v>
      </c>
      <c r="AJ352" s="10">
        <f>0.17*SQRT('Parametros'!$B$2)*H352*MIN(U352,AB352)/1000</f>
        <v>220.098728691808</v>
      </c>
      <c r="AK352" s="10">
        <f>MAX(AI352/'Parametros'!$B$6-AJ352,0)</f>
        <v>598.626604641526</v>
      </c>
      <c r="AL352" s="10">
        <f>0.66*SQRT('Parametros'!$B$2)*H352*MIN(U352,AB352)/1000</f>
        <v>854.500946685842</v>
      </c>
      <c r="AM352" s="10" t="str">
        <f>IF(AK352&lt;=AL352,"CUMPLE","NO CUMPLE")</f>
        <v>CUMPLE</v>
      </c>
      <c r="AN352" s="17" t="inlineStr">
        <is>
          <t>Nº4 cerrado</t>
        </is>
      </c>
      <c r="AO352" s="31" t="n">
        <v>4</v>
      </c>
      <c r="AP352" s="10">
        <f>ROUNDDOWN(MIN(IF(BC352+BD352=0,1000000000,AO352*BB352/(BC352+BD352)),MIN(U352,AB352)/4,8*'Parametros'!$B$12,24*BA352,300,IF(AV352=0,1000000000,2*((H352-2*('Parametros'!$B$7+'Parametros'!$B$9/2))+(I352-2*('Parametros'!$B$7+'Parametros'!$B$9/2)))/8))/10,0)*10</f>
        <v>100</v>
      </c>
      <c r="AQ352" s="10">
        <f>ROUNDDOWN(MIN(IF(BC352+BD352=0,1000000000,AO352*BB352/(BC352+BD352)),IF(AK352&gt;0.33*SQRT('Parametros'!$B$2)*H352*MIN(U352,AB352)/1000,MIN(U352,AB352)/4,MIN(U352,AB352)/2),600,IF(AV352=0,1000000000,2*((H352-2*('Parametros'!$B$7+'Parametros'!$B$9/2))+(I352-2*('Parametros'!$B$7+'Parametros'!$B$9/2)))/8))/10,0)*10</f>
        <v>100</v>
      </c>
      <c r="AR352" s="10">
        <f>'Parametros'!$B$6*(AJ352+MAX(BE352-BD352,0)*'Parametros'!$B$4*MIN(U352,AB352)/1000)</f>
        <v>680.144186753664</v>
      </c>
      <c r="AS352" s="10" t="str">
        <f>IF(AND(ISERROR(SEARCH("referencia",AN352)),AM352="CUMPLE",AR352&gt;=AI352),"CUMPLE","NO CUMPLE")</f>
        <v>CUMPLE</v>
      </c>
      <c r="AT352" s="10">
        <f>'Parametros'!$B$6*0.083*SQRT('Parametros'!$B$2)*(H352*I352)^2/(2*(H352+I352))/1000000</f>
        <v>11.862178757599</v>
      </c>
      <c r="AU352" s="10" t="str">
        <f>IF(Q352&lt;=AT352,"DESPRECIABLE","DISEÑAR")</f>
        <v>DISEÑAR</v>
      </c>
      <c r="AV352" s="10">
        <f>IF(Q352&lt;=AT352,0,Q352*1000000/('Parametros'!$B$6*2*0.85*(H352-2*('Parametros'!$B$7+'Parametros'!$B$9/2))*(I352-2*('Parametros'!$B$7+'Parametros'!$B$9/2))*'Parametros'!$B$4))</f>
        <v>0.909270151902804</v>
      </c>
      <c r="AW352" s="10">
        <f>AV352*2*((H352-2*('Parametros'!$B$7+'Parametros'!$B$9/2))+(I352-2*('Parametros'!$B$7+'Parametros'!$B$9/2)))*'Parametros'!$B$4/'Parametros'!$B$3</f>
        <v>1572.30994667033</v>
      </c>
      <c r="AX352" s="31" t="n">
        <v>8</v>
      </c>
      <c r="AY352" s="10" t="str">
        <f>IF(AV352=0,"DESPRECIABLE",IF(AND(ISERROR(SEARCH("referencia",AN352)),BB352/AP352&gt;=AV352,BI352&gt;=AW352,BH352="CUMPLE"),"CUMPLE","NO CUMPLE"))</f>
        <v>NO CUMPLE</v>
      </c>
      <c r="AZ352" s="10" t="str">
        <f>IF(AND(X352="CUMPLE",AE352="CUMPLE",AS352="CUMPLE",OR(AY352="CUMPLE",AY352="DESPRECIABLE"),BH352="CUMPLE",BJ352="CUMPLE"),"CUMPLE","NO CUMPLE")</f>
        <v>NO CUMPLE</v>
      </c>
      <c r="BA352" s="32" t="n">
        <v>12.7</v>
      </c>
      <c r="BB352" s="32" t="n">
        <v>129</v>
      </c>
      <c r="BC352" s="10">
        <f>MAX(IF(AK352=0,0,AK352*1000/('Parametros'!$B$4*MIN(U352,AB352))),MAX(0.062*SQRT('Parametros'!$B$2)*H352/'Parametros'!$B$4,0.35*H352/'Parametros'!$B$4))</f>
        <v>2.91264215719358</v>
      </c>
      <c r="BD352" s="10">
        <f>2*AV352</f>
        <v>1.81854030380561</v>
      </c>
      <c r="BE352" s="10">
        <f>AO352*BB352/AP352</f>
        <v>5.16</v>
      </c>
      <c r="BF352" s="10">
        <f>SQRT((AI352*1000/(H352*MIN(U352,AB352)))^2+(Q352*1000000*2*((H352-2*('Parametros'!$B$7+'Parametros'!$B$9/2))+(I352-2*('Parametros'!$B$7+'Parametros'!$B$9/2)))/(1.7*((H352-2*('Parametros'!$B$7+'Parametros'!$B$9/2))*(I352-2*('Parametros'!$B$7+'Parametros'!$B$9/2)))^2))^2)</f>
        <v>3.65636572267116</v>
      </c>
      <c r="BG352" s="10">
        <f>'Parametros'!$B$6*(AJ352*1000/(H352*MIN(U352,AB352))+0.66*SQRT('Parametros'!$B$2))</f>
        <v>3.29396038227542</v>
      </c>
      <c r="BH352" s="10" t="str">
        <f>IF(BF352&lt;=BG352,"CUMPLE","NO CUMPLE")</f>
        <v>NO CUMPLE</v>
      </c>
      <c r="BI352" s="10">
        <f>AX352*'Parametros'!$B$8</f>
        <v>1592</v>
      </c>
      <c r="BJ352" s="10" t="str">
        <f>IF(BI352&gt;=AW352,"CUMPLE","NO CUMPLE")</f>
        <v>CUMPLE</v>
      </c>
    </row>
    <row r="353">
      <c r="A353" s="25" t="inlineStr">
        <is>
          <t>VR2</t>
        </is>
      </c>
      <c r="B353" s="25" t="inlineStr">
        <is>
          <t>18</t>
        </is>
      </c>
      <c r="C353" s="10" t="n">
        <v>1</v>
      </c>
      <c r="D353" s="10" t="n">
        <v>3.57612</v>
      </c>
      <c r="E353" s="10" t="n">
        <v>3.57612</v>
      </c>
      <c r="F353" s="10" t="n">
        <v>500</v>
      </c>
      <c r="G353" s="10" t="n">
        <v>550</v>
      </c>
      <c r="H353" s="17" t="n">
        <v>500</v>
      </c>
      <c r="I353" s="17" t="n">
        <v>550</v>
      </c>
      <c r="J353" s="30" t="n">
        <v>181.3773</v>
      </c>
      <c r="K353" s="10" t="inlineStr">
        <is>
          <t>18</t>
        </is>
      </c>
      <c r="L353" s="30" t="n">
        <v>116.7466</v>
      </c>
      <c r="M353" s="10" t="inlineStr">
        <is>
          <t>18</t>
        </is>
      </c>
      <c r="N353" s="30" t="n">
        <v>131.342</v>
      </c>
      <c r="O353" s="30" t="n">
        <v>397.261</v>
      </c>
      <c r="P353" s="10" t="inlineStr">
        <is>
          <t>18</t>
        </is>
      </c>
      <c r="Q353" s="30" t="n">
        <v>5.2775</v>
      </c>
      <c r="R353" s="10">
        <f>MAX(MAX(1.4/'Parametros'!$B$3,0.25*SQRT('Parametros'!$B$2)/'Parametros'!$B$3)*H353*U353,(0.85*'Parametros'!$B$2/'Parametros'!$B$3)*(1-SQRT(1-2*(J353*1000000/('Parametros'!$B$5*H353*U353^2))/(0.85*'Parametros'!$B$2)))*H353*U353)</f>
        <v>1017.92037786396</v>
      </c>
      <c r="S353" s="31" t="n">
        <v>6</v>
      </c>
      <c r="T353" s="32" t="n">
        <v>1</v>
      </c>
      <c r="U353" s="10">
        <f>IF(T353=1,I353-('Parametros'!$B$7+'Parametros'!$B$9+'Parametros'!$B$12/2),I353-(ROUNDUP(S353/2,0)*('Parametros'!$B$7+'Parametros'!$B$9+'Parametros'!$B$12/2)+ROUNDDOWN(S353/2,0)*('Parametros'!$B$7+'Parametros'!$B$9+'Parametros'!$B$12/2+'Parametros'!$B$12+'Parametros'!$B$10))/S353)</f>
        <v>489.35</v>
      </c>
      <c r="V353" s="10">
        <f>S353*'Parametros'!$B$8</f>
        <v>1194</v>
      </c>
      <c r="W353" s="10">
        <f>'Parametros'!$B$5*V353*'Parametros'!$B$3*(U353-(V353*'Parametros'!$B$3/(0.85*'Parametros'!$B$2*H353))/2)/1000000</f>
        <v>211.349483470588</v>
      </c>
      <c r="X353" s="10" t="str">
        <f>IF(W353&gt;=J353,"CUMPLE","NO CUMPLE")</f>
        <v>CUMPLE</v>
      </c>
      <c r="Y353" s="10">
        <f>MAX(MAX(1.4/'Parametros'!$B$3,0.25*SQRT('Parametros'!$B$2)/'Parametros'!$B$3)*H353*AB353,(0.85*'Parametros'!$B$2/'Parametros'!$B$3)*(1-SQRT(1-2*(L353*1000000/('Parametros'!$B$5*H353*AB353^2))/(0.85*'Parametros'!$B$2)))*H353*AB353)</f>
        <v>815.583333333333</v>
      </c>
      <c r="Z353" s="31" t="n">
        <v>5</v>
      </c>
      <c r="AA353" s="32" t="n">
        <v>1</v>
      </c>
      <c r="AB353" s="10">
        <f>IF(AA353=1,I353-('Parametros'!$B$7+'Parametros'!$B$9+'Parametros'!$B$12/2),I353-(ROUNDUP(Z353/2,0)*('Parametros'!$B$7+'Parametros'!$B$9+'Parametros'!$B$12/2)+ROUNDDOWN(Z353/2,0)*('Parametros'!$B$7+'Parametros'!$B$9+'Parametros'!$B$12/2+'Parametros'!$B$12+'Parametros'!$B$10))/Z353)</f>
        <v>489.35</v>
      </c>
      <c r="AC353" s="10">
        <f>Z353*'Parametros'!$B$8</f>
        <v>995</v>
      </c>
      <c r="AD353" s="10">
        <f>'Parametros'!$B$5*AC353*'Parametros'!$B$3*(AB353-(AC353*'Parametros'!$B$3/(0.85*'Parametros'!$B$2*H353))/2)/1000000</f>
        <v>177.445379382353</v>
      </c>
      <c r="AE353" s="10" t="str">
        <f>IF(AD353&gt;=L353,"CUMPLE","NO CUMPLE")</f>
        <v>CUMPLE</v>
      </c>
      <c r="AF353" s="10">
        <f>V353*1.25*'Parametros'!$B$3*(U353-(V353*1.25*'Parametros'!$B$3/(0.85*'Parametros'!$B$2*H353))/2)/1000000</f>
        <v>290.238924705882</v>
      </c>
      <c r="AG353" s="10">
        <f>AC353*1.25*'Parametros'!$B$3*(AB353-(AC353*1.25*'Parametros'!$B$3/(0.85*'Parametros'!$B$2*H353))/2)/1000000</f>
        <v>244.158843198529</v>
      </c>
      <c r="AH353" s="10">
        <f>N353+(AF353+AG353)/D353</f>
        <v>280.777077095962</v>
      </c>
      <c r="AI353" s="10">
        <f>MAX(O353,AH353)</f>
        <v>397.261</v>
      </c>
      <c r="AJ353" s="10">
        <f>0.17*SQRT('Parametros'!$B$2)*H353*MIN(U353,AB353)/1000</f>
        <v>220.098728691808</v>
      </c>
      <c r="AK353" s="10">
        <f>MAX(AI353/'Parametros'!$B$6-AJ353,0)</f>
        <v>309.582604641526</v>
      </c>
      <c r="AL353" s="10">
        <f>0.66*SQRT('Parametros'!$B$2)*H353*MIN(U353,AB353)/1000</f>
        <v>854.500946685842</v>
      </c>
      <c r="AM353" s="10" t="str">
        <f>IF(AK353&lt;=AL353,"CUMPLE","NO CUMPLE")</f>
        <v>CUMPLE</v>
      </c>
      <c r="AN353" s="17" t="inlineStr">
        <is>
          <t>Nº3 cerrado</t>
        </is>
      </c>
      <c r="AO353" s="31" t="n">
        <v>2</v>
      </c>
      <c r="AP353" s="10">
        <f>ROUNDDOWN(MIN(IF(BC353+BD353=0,1000000000,AO353*BB353/(BC353+BD353)),MIN(U353,AB353)/4,8*'Parametros'!$B$12,24*BA353,300,IF(AV353=0,1000000000,2*((H353-2*('Parametros'!$B$7+'Parametros'!$B$9/2))+(I353-2*('Parametros'!$B$7+'Parametros'!$B$9/2)))/8))/10,0)*10</f>
        <v>90</v>
      </c>
      <c r="AQ353" s="10">
        <f>ROUNDDOWN(MIN(IF(BC353+BD353=0,1000000000,AO353*BB353/(BC353+BD353)),IF(AK353&gt;0.33*SQRT('Parametros'!$B$2)*H353*MIN(U353,AB353)/1000,MIN(U353,AB353)/4,MIN(U353,AB353)/2),600,IF(AV353=0,1000000000,2*((H353-2*('Parametros'!$B$7+'Parametros'!$B$9/2))+(I353-2*('Parametros'!$B$7+'Parametros'!$B$9/2)))/8))/10,0)*10</f>
        <v>90</v>
      </c>
      <c r="AR353" s="10">
        <f>'Parametros'!$B$6*(AJ353+MAX(BE353-BD353,0)*'Parametros'!$B$4*MIN(U353,AB353)/1000)</f>
        <v>408.280996518856</v>
      </c>
      <c r="AS353" s="10" t="str">
        <f>IF(AND(ISERROR(SEARCH("referencia",AN353)),AM353="CUMPLE",AR353&gt;=AI353),"CUMPLE","NO CUMPLE")</f>
        <v>CUMPLE</v>
      </c>
      <c r="AT353" s="10">
        <f>'Parametros'!$B$6*0.083*SQRT('Parametros'!$B$2)*(H353*I353)^2/(2*(H353+I353))/1000000</f>
        <v>11.862178757599</v>
      </c>
      <c r="AU353" s="10" t="str">
        <f>IF(Q353&lt;=AT353,"DESPRECIABLE","DISEÑAR")</f>
        <v>DESPRECIABLE</v>
      </c>
      <c r="AV353" s="10">
        <f>IF(Q353&lt;=AT353,0,Q353*1000000/('Parametros'!$B$6*2*0.85*(H353-2*('Parametros'!$B$7+'Parametros'!$B$9/2))*(I353-2*('Parametros'!$B$7+'Parametros'!$B$9/2))*'Parametros'!$B$4))</f>
        <v>0</v>
      </c>
      <c r="AW353" s="10">
        <f>AV353*2*((H353-2*('Parametros'!$B$7+'Parametros'!$B$9/2))+(I353-2*('Parametros'!$B$7+'Parametros'!$B$9/2)))*'Parametros'!$B$4/'Parametros'!$B$3</f>
        <v>0</v>
      </c>
      <c r="AX353" s="31" t="n">
        <v>0</v>
      </c>
      <c r="AY353" s="10" t="str">
        <f>IF(AV353=0,"DESPRECIABLE",IF(AND(ISERROR(SEARCH("referencia",AN353)),BB353/AP353&gt;=AV353,BI353&gt;=AW353,BH353="CUMPLE"),"CUMPLE","NO CUMPLE"))</f>
        <v>DESPRECIABLE</v>
      </c>
      <c r="AZ353" s="10" t="str">
        <f>IF(AND(X353="CUMPLE",AE353="CUMPLE",AS353="CUMPLE",OR(AY353="CUMPLE",AY353="DESPRECIABLE"),BH353="CUMPLE",BJ353="CUMPLE"),"CUMPLE","NO CUMPLE")</f>
        <v>CUMPLE</v>
      </c>
      <c r="BA353" s="32" t="n">
        <v>9.5</v>
      </c>
      <c r="BB353" s="32" t="n">
        <v>71</v>
      </c>
      <c r="BC353" s="10">
        <f>MAX(IF(AK353=0,0,AK353*1000/('Parametros'!$B$4*MIN(U353,AB353))),MAX(0.062*SQRT('Parametros'!$B$2)*H353/'Parametros'!$B$4,0.35*H353/'Parametros'!$B$4))</f>
        <v>1.50628678782605</v>
      </c>
      <c r="BD353" s="10">
        <f>2*AV353</f>
        <v>0</v>
      </c>
      <c r="BE353" s="10">
        <f>AO353*BB353/AP353</f>
        <v>1.57777777777778</v>
      </c>
      <c r="BF353" s="10">
        <f>SQRT((AI353*1000/(H353*MIN(U353,AB353)))^2+(Q353*1000000*2*((H353-2*('Parametros'!$B$7+'Parametros'!$B$9/2))+(I353-2*('Parametros'!$B$7+'Parametros'!$B$9/2)))/(1.7*((H353-2*('Parametros'!$B$7+'Parametros'!$B$9/2))*(I353-2*('Parametros'!$B$7+'Parametros'!$B$9/2)))^2))^2)</f>
        <v>1.63098403646007</v>
      </c>
      <c r="BG353" s="10">
        <f>'Parametros'!$B$6*(AJ353*1000/(H353*MIN(U353,AB353))+0.66*SQRT('Parametros'!$B$2))</f>
        <v>3.29396038227542</v>
      </c>
      <c r="BH353" s="10" t="str">
        <f>IF(BF353&lt;=BG353,"CUMPLE","NO CUMPLE")</f>
        <v>CUMPLE</v>
      </c>
      <c r="BI353" s="10">
        <f>AX353*'Parametros'!$B$8</f>
        <v>0</v>
      </c>
      <c r="BJ353" s="10" t="str">
        <f>IF(BI353&gt;=AW353,"CUMPLE","NO CUMPLE")</f>
        <v>CUMPLE</v>
      </c>
    </row>
    <row r="354">
      <c r="A354" s="25" t="inlineStr">
        <is>
          <t>VR2</t>
        </is>
      </c>
      <c r="B354" s="25" t="inlineStr">
        <is>
          <t>19</t>
        </is>
      </c>
      <c r="C354" s="10" t="n">
        <v>1</v>
      </c>
      <c r="D354" s="10" t="n">
        <v>1.9</v>
      </c>
      <c r="E354" s="10" t="n">
        <v>1.9</v>
      </c>
      <c r="F354" s="10" t="n">
        <v>500</v>
      </c>
      <c r="G354" s="10" t="n">
        <v>550</v>
      </c>
      <c r="H354" s="17" t="n">
        <v>500</v>
      </c>
      <c r="I354" s="17" t="n">
        <v>550</v>
      </c>
      <c r="J354" s="30" t="n">
        <v>180.9906</v>
      </c>
      <c r="K354" s="10" t="inlineStr">
        <is>
          <t>19</t>
        </is>
      </c>
      <c r="L354" s="30" t="n">
        <v>158.0713</v>
      </c>
      <c r="M354" s="10" t="inlineStr">
        <is>
          <t>19</t>
        </is>
      </c>
      <c r="N354" s="30" t="n">
        <v>171.419</v>
      </c>
      <c r="O354" s="30" t="n">
        <v>689.136</v>
      </c>
      <c r="P354" s="10" t="inlineStr">
        <is>
          <t>19</t>
        </is>
      </c>
      <c r="Q354" s="30" t="n">
        <v>23.4169</v>
      </c>
      <c r="R354" s="10">
        <f>MAX(MAX(1.4/'Parametros'!$B$3,0.25*SQRT('Parametros'!$B$2)/'Parametros'!$B$3)*H354*U354,(0.85*'Parametros'!$B$2/'Parametros'!$B$3)*(1-SQRT(1-2*(J354*1000000/('Parametros'!$B$5*H354*U354^2))/(0.85*'Parametros'!$B$2)))*H354*U354)</f>
        <v>1015.66437153363</v>
      </c>
      <c r="S354" s="31" t="n">
        <v>6</v>
      </c>
      <c r="T354" s="32" t="n">
        <v>1</v>
      </c>
      <c r="U354" s="10">
        <f>IF(T354=1,I354-('Parametros'!$B$7+'Parametros'!$B$9+'Parametros'!$B$12/2),I354-(ROUNDUP(S354/2,0)*('Parametros'!$B$7+'Parametros'!$B$9+'Parametros'!$B$12/2)+ROUNDDOWN(S354/2,0)*('Parametros'!$B$7+'Parametros'!$B$9+'Parametros'!$B$12/2+'Parametros'!$B$12+'Parametros'!$B$10))/S354)</f>
        <v>489.35</v>
      </c>
      <c r="V354" s="10">
        <f>S354*'Parametros'!$B$8</f>
        <v>1194</v>
      </c>
      <c r="W354" s="10">
        <f>'Parametros'!$B$5*V354*'Parametros'!$B$3*(U354-(V354*'Parametros'!$B$3/(0.85*'Parametros'!$B$2*H354))/2)/1000000</f>
        <v>211.349483470588</v>
      </c>
      <c r="X354" s="10" t="str">
        <f>IF(W354&gt;=J354,"CUMPLE","NO CUMPLE")</f>
        <v>CUMPLE</v>
      </c>
      <c r="Y354" s="10">
        <f>MAX(MAX(1.4/'Parametros'!$B$3,0.25*SQRT('Parametros'!$B$2)/'Parametros'!$B$3)*H354*AB354,(0.85*'Parametros'!$B$2/'Parametros'!$B$3)*(1-SQRT(1-2*(L354*1000000/('Parametros'!$B$5*H354*AB354^2))/(0.85*'Parametros'!$B$2)))*H354*AB354)</f>
        <v>882.653441724387</v>
      </c>
      <c r="Z354" s="31" t="n">
        <v>5</v>
      </c>
      <c r="AA354" s="32" t="n">
        <v>1</v>
      </c>
      <c r="AB354" s="10">
        <f>IF(AA354=1,I354-('Parametros'!$B$7+'Parametros'!$B$9+'Parametros'!$B$12/2),I354-(ROUNDUP(Z354/2,0)*('Parametros'!$B$7+'Parametros'!$B$9+'Parametros'!$B$12/2)+ROUNDDOWN(Z354/2,0)*('Parametros'!$B$7+'Parametros'!$B$9+'Parametros'!$B$12/2+'Parametros'!$B$12+'Parametros'!$B$10))/Z354)</f>
        <v>489.35</v>
      </c>
      <c r="AC354" s="10">
        <f>Z354*'Parametros'!$B$8</f>
        <v>995</v>
      </c>
      <c r="AD354" s="10">
        <f>'Parametros'!$B$5*AC354*'Parametros'!$B$3*(AB354-(AC354*'Parametros'!$B$3/(0.85*'Parametros'!$B$2*H354))/2)/1000000</f>
        <v>177.445379382353</v>
      </c>
      <c r="AE354" s="10" t="str">
        <f>IF(AD354&gt;=L354,"CUMPLE","NO CUMPLE")</f>
        <v>CUMPLE</v>
      </c>
      <c r="AF354" s="10">
        <f>V354*1.25*'Parametros'!$B$3*(U354-(V354*1.25*'Parametros'!$B$3/(0.85*'Parametros'!$B$2*H354))/2)/1000000</f>
        <v>290.238924705882</v>
      </c>
      <c r="AG354" s="10">
        <f>AC354*1.25*'Parametros'!$B$3*(AB354-(AC354*1.25*'Parametros'!$B$3/(0.85*'Parametros'!$B$2*H354))/2)/1000000</f>
        <v>244.158843198529</v>
      </c>
      <c r="AH354" s="10">
        <f>N354+(AF354+AG354)/D354</f>
        <v>452.680983107585</v>
      </c>
      <c r="AI354" s="10">
        <f>MAX(O354,AH354)</f>
        <v>689.136</v>
      </c>
      <c r="AJ354" s="10">
        <f>0.17*SQRT('Parametros'!$B$2)*H354*MIN(U354,AB354)/1000</f>
        <v>220.098728691808</v>
      </c>
      <c r="AK354" s="10">
        <f>MAX(AI354/'Parametros'!$B$6-AJ354,0)</f>
        <v>698.749271308192</v>
      </c>
      <c r="AL354" s="10">
        <f>0.66*SQRT('Parametros'!$B$2)*H354*MIN(U354,AB354)/1000</f>
        <v>854.500946685842</v>
      </c>
      <c r="AM354" s="10" t="str">
        <f>IF(AK354&lt;=AL354,"CUMPLE","NO CUMPLE")</f>
        <v>CUMPLE</v>
      </c>
      <c r="AN354" s="17" t="inlineStr">
        <is>
          <t>Nº4 cerrado</t>
        </is>
      </c>
      <c r="AO354" s="31" t="n">
        <v>4</v>
      </c>
      <c r="AP354" s="10">
        <f>ROUNDDOWN(MIN(IF(BC354+BD354=0,1000000000,AO354*BB354/(BC354+BD354)),MIN(U354,AB354)/4,8*'Parametros'!$B$12,24*BA354,300,IF(AV354=0,1000000000,2*((H354-2*('Parametros'!$B$7+'Parametros'!$B$9/2))+(I354-2*('Parametros'!$B$7+'Parametros'!$B$9/2)))/8))/10,0)*10</f>
        <v>120</v>
      </c>
      <c r="AQ354" s="10">
        <f>ROUNDDOWN(MIN(IF(BC354+BD354=0,1000000000,AO354*BB354/(BC354+BD354)),IF(AK354&gt;0.33*SQRT('Parametros'!$B$2)*H354*MIN(U354,AB354)/1000,MIN(U354,AB354)/4,MIN(U354,AB354)/2),600,IF(AV354=0,1000000000,2*((H354-2*('Parametros'!$B$7+'Parametros'!$B$9/2))+(I354-2*('Parametros'!$B$7+'Parametros'!$B$9/2)))/8))/10,0)*10</f>
        <v>120</v>
      </c>
      <c r="AR354" s="10">
        <f>'Parametros'!$B$6*(AJ354+MAX(BE354-BD354,0)*'Parametros'!$B$4*MIN(U354,AB354)/1000)</f>
        <v>755.519308488168</v>
      </c>
      <c r="AS354" s="10" t="str">
        <f>IF(AND(ISERROR(SEARCH("referencia",AN354)),AM354="CUMPLE",AR354&gt;=AI354),"CUMPLE","NO CUMPLE")</f>
        <v>CUMPLE</v>
      </c>
      <c r="AT354" s="10">
        <f>'Parametros'!$B$6*0.083*SQRT('Parametros'!$B$2)*(H354*I354)^2/(2*(H354+I354))/1000000</f>
        <v>11.862178757599</v>
      </c>
      <c r="AU354" s="10" t="str">
        <f>IF(Q354&lt;=AT354,"DESPRECIABLE","DISEÑAR")</f>
        <v>DISEÑAR</v>
      </c>
      <c r="AV354" s="10">
        <f>IF(Q354&lt;=AT354,0,Q354*1000000/('Parametros'!$B$6*2*0.85*(H354-2*('Parametros'!$B$7+'Parametros'!$B$9/2))*(I354-2*('Parametros'!$B$7+'Parametros'!$B$9/2))*'Parametros'!$B$4))</f>
        <v>0.234776332811707</v>
      </c>
      <c r="AW354" s="10">
        <f>AV354*2*((H354-2*('Parametros'!$B$7+'Parametros'!$B$9/2))+(I354-2*('Parametros'!$B$7+'Parametros'!$B$9/2)))*'Parametros'!$B$4/'Parametros'!$B$3</f>
        <v>405.975234698004</v>
      </c>
      <c r="AX354" s="31" t="n">
        <v>8</v>
      </c>
      <c r="AY354" s="10" t="str">
        <f>IF(AV354=0,"DESPRECIABLE",IF(AND(ISERROR(SEARCH("referencia",AN354)),BB354/AP354&gt;=AV354,BI354&gt;=AW354,BH354="CUMPLE"),"CUMPLE","NO CUMPLE"))</f>
        <v>CUMPLE</v>
      </c>
      <c r="AZ354" s="10" t="str">
        <f>IF(AND(X354="CUMPLE",AE354="CUMPLE",AS354="CUMPLE",OR(AY354="CUMPLE",AY354="DESPRECIABLE"),BH354="CUMPLE",BJ354="CUMPLE"),"CUMPLE","NO CUMPLE")</f>
        <v>CUMPLE</v>
      </c>
      <c r="BA354" s="32" t="n">
        <v>12.7</v>
      </c>
      <c r="BB354" s="32" t="n">
        <v>129</v>
      </c>
      <c r="BC354" s="10">
        <f>MAX(IF(AK354=0,0,AK354*1000/('Parametros'!$B$4*MIN(U354,AB354))),MAX(0.062*SQRT('Parametros'!$B$2)*H354/'Parametros'!$B$4,0.35*H354/'Parametros'!$B$4))</f>
        <v>3.39979307491567</v>
      </c>
      <c r="BD354" s="10">
        <f>2*AV354</f>
        <v>0.469552665623414</v>
      </c>
      <c r="BE354" s="10">
        <f>AO354*BB354/AP354</f>
        <v>4.3</v>
      </c>
      <c r="BF354" s="10">
        <f>SQRT((AI354*1000/(H354*MIN(U354,AB354)))^2+(Q354*1000000*2*((H354-2*('Parametros'!$B$7+'Parametros'!$B$9/2))+(I354-2*('Parametros'!$B$7+'Parametros'!$B$9/2)))/(1.7*((H354-2*('Parametros'!$B$7+'Parametros'!$B$9/2))*(I354-2*('Parametros'!$B$7+'Parametros'!$B$9/2)))^2))^2)</f>
        <v>2.89901287070837</v>
      </c>
      <c r="BG354" s="10">
        <f>'Parametros'!$B$6*(AJ354*1000/(H354*MIN(U354,AB354))+0.66*SQRT('Parametros'!$B$2))</f>
        <v>3.29396038227542</v>
      </c>
      <c r="BH354" s="10" t="str">
        <f>IF(BF354&lt;=BG354,"CUMPLE","NO CUMPLE")</f>
        <v>CUMPLE</v>
      </c>
      <c r="BI354" s="10">
        <f>AX354*'Parametros'!$B$8</f>
        <v>1592</v>
      </c>
      <c r="BJ354" s="10" t="str">
        <f>IF(BI354&gt;=AW354,"CUMPLE","NO CUMPLE")</f>
        <v>CUMPLE</v>
      </c>
    </row>
    <row r="355">
      <c r="A355" s="25" t="inlineStr">
        <is>
          <t>VR2</t>
        </is>
      </c>
      <c r="B355" s="25" t="inlineStr">
        <is>
          <t>20</t>
        </is>
      </c>
      <c r="C355" s="10" t="n">
        <v>1</v>
      </c>
      <c r="D355" s="10" t="n">
        <v>2</v>
      </c>
      <c r="E355" s="10" t="n">
        <v>2</v>
      </c>
      <c r="F355" s="10" t="n">
        <v>500</v>
      </c>
      <c r="G355" s="10" t="n">
        <v>550</v>
      </c>
      <c r="H355" s="17" t="n">
        <v>500</v>
      </c>
      <c r="I355" s="17" t="n">
        <v>550</v>
      </c>
      <c r="J355" s="30" t="n">
        <v>200.9386</v>
      </c>
      <c r="K355" s="10" t="inlineStr">
        <is>
          <t>20</t>
        </is>
      </c>
      <c r="L355" s="30" t="n">
        <v>151.0148</v>
      </c>
      <c r="M355" s="10" t="inlineStr">
        <is>
          <t>20</t>
        </is>
      </c>
      <c r="N355" s="30" t="n">
        <v>180.615</v>
      </c>
      <c r="O355" s="30" t="n">
        <v>695.307</v>
      </c>
      <c r="P355" s="10" t="inlineStr">
        <is>
          <t>20</t>
        </is>
      </c>
      <c r="Q355" s="30" t="n">
        <v>52.3323</v>
      </c>
      <c r="R355" s="10">
        <f>MAX(MAX(1.4/'Parametros'!$B$3,0.25*SQRT('Parametros'!$B$2)/'Parametros'!$B$3)*H355*U355,(0.85*'Parametros'!$B$2/'Parametros'!$B$3)*(1-SQRT(1-2*(J355*1000000/('Parametros'!$B$5*H355*U355^2))/(0.85*'Parametros'!$B$2)))*H355*U355)</f>
        <v>1132.56246067342</v>
      </c>
      <c r="S355" s="31" t="n">
        <v>6</v>
      </c>
      <c r="T355" s="32" t="n">
        <v>1</v>
      </c>
      <c r="U355" s="10">
        <f>IF(T355=1,I355-('Parametros'!$B$7+'Parametros'!$B$9+'Parametros'!$B$12/2),I355-(ROUNDUP(S355/2,0)*('Parametros'!$B$7+'Parametros'!$B$9+'Parametros'!$B$12/2)+ROUNDDOWN(S355/2,0)*('Parametros'!$B$7+'Parametros'!$B$9+'Parametros'!$B$12/2+'Parametros'!$B$12+'Parametros'!$B$10))/S355)</f>
        <v>489.35</v>
      </c>
      <c r="V355" s="10">
        <f>S355*'Parametros'!$B$8</f>
        <v>1194</v>
      </c>
      <c r="W355" s="10">
        <f>'Parametros'!$B$5*V355*'Parametros'!$B$3*(U355-(V355*'Parametros'!$B$3/(0.85*'Parametros'!$B$2*H355))/2)/1000000</f>
        <v>211.349483470588</v>
      </c>
      <c r="X355" s="10" t="str">
        <f>IF(W355&gt;=J355,"CUMPLE","NO CUMPLE")</f>
        <v>CUMPLE</v>
      </c>
      <c r="Y355" s="10">
        <f>MAX(MAX(1.4/'Parametros'!$B$3,0.25*SQRT('Parametros'!$B$2)/'Parametros'!$B$3)*H355*AB355,(0.85*'Parametros'!$B$2/'Parametros'!$B$3)*(1-SQRT(1-2*(L355*1000000/('Parametros'!$B$5*H355*AB355^2))/(0.85*'Parametros'!$B$2)))*H355*AB355)</f>
        <v>841.974941565737</v>
      </c>
      <c r="Z355" s="31" t="n">
        <v>5</v>
      </c>
      <c r="AA355" s="32" t="n">
        <v>1</v>
      </c>
      <c r="AB355" s="10">
        <f>IF(AA355=1,I355-('Parametros'!$B$7+'Parametros'!$B$9+'Parametros'!$B$12/2),I355-(ROUNDUP(Z355/2,0)*('Parametros'!$B$7+'Parametros'!$B$9+'Parametros'!$B$12/2)+ROUNDDOWN(Z355/2,0)*('Parametros'!$B$7+'Parametros'!$B$9+'Parametros'!$B$12/2+'Parametros'!$B$12+'Parametros'!$B$10))/Z355)</f>
        <v>489.35</v>
      </c>
      <c r="AC355" s="10">
        <f>Z355*'Parametros'!$B$8</f>
        <v>995</v>
      </c>
      <c r="AD355" s="10">
        <f>'Parametros'!$B$5*AC355*'Parametros'!$B$3*(AB355-(AC355*'Parametros'!$B$3/(0.85*'Parametros'!$B$2*H355))/2)/1000000</f>
        <v>177.445379382353</v>
      </c>
      <c r="AE355" s="10" t="str">
        <f>IF(AD355&gt;=L355,"CUMPLE","NO CUMPLE")</f>
        <v>CUMPLE</v>
      </c>
      <c r="AF355" s="10">
        <f>V355*1.25*'Parametros'!$B$3*(U355-(V355*1.25*'Parametros'!$B$3/(0.85*'Parametros'!$B$2*H355))/2)/1000000</f>
        <v>290.238924705882</v>
      </c>
      <c r="AG355" s="10">
        <f>AC355*1.25*'Parametros'!$B$3*(AB355-(AC355*1.25*'Parametros'!$B$3/(0.85*'Parametros'!$B$2*H355))/2)/1000000</f>
        <v>244.158843198529</v>
      </c>
      <c r="AH355" s="10">
        <f>N355+(AF355+AG355)/D355</f>
        <v>447.813883952206</v>
      </c>
      <c r="AI355" s="10">
        <f>MAX(O355,AH355)</f>
        <v>695.307</v>
      </c>
      <c r="AJ355" s="10">
        <f>0.17*SQRT('Parametros'!$B$2)*H355*MIN(U355,AB355)/1000</f>
        <v>220.098728691808</v>
      </c>
      <c r="AK355" s="10">
        <f>MAX(AI355/'Parametros'!$B$6-AJ355,0)</f>
        <v>706.977271308192</v>
      </c>
      <c r="AL355" s="10">
        <f>0.66*SQRT('Parametros'!$B$2)*H355*MIN(U355,AB355)/1000</f>
        <v>854.500946685842</v>
      </c>
      <c r="AM355" s="10" t="str">
        <f>IF(AK355&lt;=AL355,"CUMPLE","NO CUMPLE")</f>
        <v>CUMPLE</v>
      </c>
      <c r="AN355" s="17" t="inlineStr">
        <is>
          <t>Nº4 cerrado</t>
        </is>
      </c>
      <c r="AO355" s="31" t="n">
        <v>4</v>
      </c>
      <c r="AP355" s="10">
        <f>ROUNDDOWN(MIN(IF(BC355+BD355=0,1000000000,AO355*BB355/(BC355+BD355)),MIN(U355,AB355)/4,8*'Parametros'!$B$12,24*BA355,300,IF(AV355=0,1000000000,2*((H355-2*('Parametros'!$B$7+'Parametros'!$B$9/2))+(I355-2*('Parametros'!$B$7+'Parametros'!$B$9/2)))/8))/10,0)*10</f>
        <v>110</v>
      </c>
      <c r="AQ355" s="10">
        <f>ROUNDDOWN(MIN(IF(BC355+BD355=0,1000000000,AO355*BB355/(BC355+BD355)),IF(AK355&gt;0.33*SQRT('Parametros'!$B$2)*H355*MIN(U355,AB355)/1000,MIN(U355,AB355)/4,MIN(U355,AB355)/2),600,IF(AV355=0,1000000000,2*((H355-2*('Parametros'!$B$7+'Parametros'!$B$9/2))+(I355-2*('Parametros'!$B$7+'Parametros'!$B$9/2)))/8))/10,0)*10</f>
        <v>110</v>
      </c>
      <c r="AR355" s="10">
        <f>'Parametros'!$B$6*(AJ355+MAX(BE355-BD355,0)*'Parametros'!$B$4*MIN(U355,AB355)/1000)</f>
        <v>726.401457403286</v>
      </c>
      <c r="AS355" s="10" t="str">
        <f>IF(AND(ISERROR(SEARCH("referencia",AN355)),AM355="CUMPLE",AR355&gt;=AI355),"CUMPLE","NO CUMPLE")</f>
        <v>CUMPLE</v>
      </c>
      <c r="AT355" s="10">
        <f>'Parametros'!$B$6*0.083*SQRT('Parametros'!$B$2)*(H355*I355)^2/(2*(H355+I355))/1000000</f>
        <v>11.862178757599</v>
      </c>
      <c r="AU355" s="10" t="str">
        <f>IF(Q355&lt;=AT355,"DESPRECIABLE","DISEÑAR")</f>
        <v>DISEÑAR</v>
      </c>
      <c r="AV355" s="10">
        <f>IF(Q355&lt;=AT355,0,Q355*1000000/('Parametros'!$B$6*2*0.85*(H355-2*('Parametros'!$B$7+'Parametros'!$B$9/2))*(I355-2*('Parametros'!$B$7+'Parametros'!$B$9/2))*'Parametros'!$B$4))</f>
        <v>0.524680272862851</v>
      </c>
      <c r="AW355" s="10">
        <f>AV355*2*((H355-2*('Parametros'!$B$7+'Parametros'!$B$9/2))+(I355-2*('Parametros'!$B$7+'Parametros'!$B$9/2)))*'Parametros'!$B$4/'Parametros'!$B$3</f>
        <v>907.277127834442</v>
      </c>
      <c r="AX355" s="31" t="n">
        <v>8</v>
      </c>
      <c r="AY355" s="10" t="str">
        <f>IF(AV355=0,"DESPRECIABLE",IF(AND(ISERROR(SEARCH("referencia",AN355)),BB355/AP355&gt;=AV355,BI355&gt;=AW355,BH355="CUMPLE"),"CUMPLE","NO CUMPLE"))</f>
        <v>CUMPLE</v>
      </c>
      <c r="AZ355" s="10" t="str">
        <f>IF(AND(X355="CUMPLE",AE355="CUMPLE",AS355="CUMPLE",OR(AY355="CUMPLE",AY355="DESPRECIABLE"),BH355="CUMPLE",BJ355="CUMPLE"),"CUMPLE","NO CUMPLE")</f>
        <v>CUMPLE</v>
      </c>
      <c r="BA355" s="32" t="n">
        <v>12.7</v>
      </c>
      <c r="BB355" s="32" t="n">
        <v>129</v>
      </c>
      <c r="BC355" s="10">
        <f>MAX(IF(AK355=0,0,AK355*1000/('Parametros'!$B$4*MIN(U355,AB355))),MAX(0.062*SQRT('Parametros'!$B$2)*H355/'Parametros'!$B$4,0.35*H355/'Parametros'!$B$4))</f>
        <v>3.43982674445787</v>
      </c>
      <c r="BD355" s="10">
        <f>2*AV355</f>
        <v>1.0493605457257</v>
      </c>
      <c r="BE355" s="10">
        <f>AO355*BB355/AP355</f>
        <v>4.69090909090909</v>
      </c>
      <c r="BF355" s="10">
        <f>SQRT((AI355*1000/(H355*MIN(U355,AB355)))^2+(Q355*1000000*2*((H355-2*('Parametros'!$B$7+'Parametros'!$B$9/2))+(I355-2*('Parametros'!$B$7+'Parametros'!$B$9/2)))/(1.7*((H355-2*('Parametros'!$B$7+'Parametros'!$B$9/2))*(I355-2*('Parametros'!$B$7+'Parametros'!$B$9/2)))^2))^2)</f>
        <v>3.22954001634275</v>
      </c>
      <c r="BG355" s="10">
        <f>'Parametros'!$B$6*(AJ355*1000/(H355*MIN(U355,AB355))+0.66*SQRT('Parametros'!$B$2))</f>
        <v>3.29396038227542</v>
      </c>
      <c r="BH355" s="10" t="str">
        <f>IF(BF355&lt;=BG355,"CUMPLE","NO CUMPLE")</f>
        <v>CUMPLE</v>
      </c>
      <c r="BI355" s="10">
        <f>AX355*'Parametros'!$B$8</f>
        <v>1592</v>
      </c>
      <c r="BJ355" s="10" t="str">
        <f>IF(BI355&gt;=AW355,"CUMPLE","NO CUMPLE")</f>
        <v>CUMPLE</v>
      </c>
    </row>
    <row r="356">
      <c r="A356" s="25" t="inlineStr">
        <is>
          <t>VR2</t>
        </is>
      </c>
      <c r="B356" s="25" t="inlineStr">
        <is>
          <t>21</t>
        </is>
      </c>
      <c r="C356" s="10" t="n">
        <v>1</v>
      </c>
      <c r="D356" s="10" t="n">
        <v>3.05308</v>
      </c>
      <c r="E356" s="10" t="n">
        <v>3.05308</v>
      </c>
      <c r="F356" s="10" t="n">
        <v>500</v>
      </c>
      <c r="G356" s="10" t="n">
        <v>550</v>
      </c>
      <c r="H356" s="17" t="n">
        <v>500</v>
      </c>
      <c r="I356" s="17" t="n">
        <v>550</v>
      </c>
      <c r="J356" s="30" t="n">
        <v>186.2296</v>
      </c>
      <c r="K356" s="10" t="inlineStr">
        <is>
          <t>21</t>
        </is>
      </c>
      <c r="L356" s="30" t="n">
        <v>124.4443</v>
      </c>
      <c r="M356" s="10" t="inlineStr">
        <is>
          <t>21</t>
        </is>
      </c>
      <c r="N356" s="30" t="n">
        <v>137.561</v>
      </c>
      <c r="O356" s="30" t="n">
        <v>429.855</v>
      </c>
      <c r="P356" s="10" t="inlineStr">
        <is>
          <t>21</t>
        </is>
      </c>
      <c r="Q356" s="30" t="n">
        <v>59.208</v>
      </c>
      <c r="R356" s="10">
        <f>MAX(MAX(1.4/'Parametros'!$B$3,0.25*SQRT('Parametros'!$B$2)/'Parametros'!$B$3)*H356*U356,(0.85*'Parametros'!$B$2/'Parametros'!$B$3)*(1-SQRT(1-2*(J356*1000000/('Parametros'!$B$5*H356*U356^2))/(0.85*'Parametros'!$B$2)))*H356*U356)</f>
        <v>1046.26242618858</v>
      </c>
      <c r="S356" s="31" t="n">
        <v>6</v>
      </c>
      <c r="T356" s="32" t="n">
        <v>1</v>
      </c>
      <c r="U356" s="10">
        <f>IF(T356=1,I356-('Parametros'!$B$7+'Parametros'!$B$9+'Parametros'!$B$12/2),I356-(ROUNDUP(S356/2,0)*('Parametros'!$B$7+'Parametros'!$B$9+'Parametros'!$B$12/2)+ROUNDDOWN(S356/2,0)*('Parametros'!$B$7+'Parametros'!$B$9+'Parametros'!$B$12/2+'Parametros'!$B$12+'Parametros'!$B$10))/S356)</f>
        <v>489.35</v>
      </c>
      <c r="V356" s="10">
        <f>S356*'Parametros'!$B$8</f>
        <v>1194</v>
      </c>
      <c r="W356" s="10">
        <f>'Parametros'!$B$5*V356*'Parametros'!$B$3*(U356-(V356*'Parametros'!$B$3/(0.85*'Parametros'!$B$2*H356))/2)/1000000</f>
        <v>211.349483470588</v>
      </c>
      <c r="X356" s="10" t="str">
        <f>IF(W356&gt;=J356,"CUMPLE","NO CUMPLE")</f>
        <v>CUMPLE</v>
      </c>
      <c r="Y356" s="10">
        <f>MAX(MAX(1.4/'Parametros'!$B$3,0.25*SQRT('Parametros'!$B$2)/'Parametros'!$B$3)*H356*AB356,(0.85*'Parametros'!$B$2/'Parametros'!$B$3)*(1-SQRT(1-2*(L356*1000000/('Parametros'!$B$5*H356*AB356^2))/(0.85*'Parametros'!$B$2)))*H356*AB356)</f>
        <v>815.583333333333</v>
      </c>
      <c r="Z356" s="31" t="n">
        <v>5</v>
      </c>
      <c r="AA356" s="32" t="n">
        <v>1</v>
      </c>
      <c r="AB356" s="10">
        <f>IF(AA356=1,I356-('Parametros'!$B$7+'Parametros'!$B$9+'Parametros'!$B$12/2),I356-(ROUNDUP(Z356/2,0)*('Parametros'!$B$7+'Parametros'!$B$9+'Parametros'!$B$12/2)+ROUNDDOWN(Z356/2,0)*('Parametros'!$B$7+'Parametros'!$B$9+'Parametros'!$B$12/2+'Parametros'!$B$12+'Parametros'!$B$10))/Z356)</f>
        <v>489.35</v>
      </c>
      <c r="AC356" s="10">
        <f>Z356*'Parametros'!$B$8</f>
        <v>995</v>
      </c>
      <c r="AD356" s="10">
        <f>'Parametros'!$B$5*AC356*'Parametros'!$B$3*(AB356-(AC356*'Parametros'!$B$3/(0.85*'Parametros'!$B$2*H356))/2)/1000000</f>
        <v>177.445379382353</v>
      </c>
      <c r="AE356" s="10" t="str">
        <f>IF(AD356&gt;=L356,"CUMPLE","NO CUMPLE")</f>
        <v>CUMPLE</v>
      </c>
      <c r="AF356" s="10">
        <f>V356*1.25*'Parametros'!$B$3*(U356-(V356*1.25*'Parametros'!$B$3/(0.85*'Parametros'!$B$2*H356))/2)/1000000</f>
        <v>290.238924705882</v>
      </c>
      <c r="AG356" s="10">
        <f>AC356*1.25*'Parametros'!$B$3*(AB356-(AC356*1.25*'Parametros'!$B$3/(0.85*'Parametros'!$B$2*H356))/2)/1000000</f>
        <v>244.158843198529</v>
      </c>
      <c r="AH356" s="10">
        <f>N356+(AF356+AG356)/D356</f>
        <v>312.596625631956</v>
      </c>
      <c r="AI356" s="10">
        <f>MAX(O356,AH356)</f>
        <v>429.855</v>
      </c>
      <c r="AJ356" s="10">
        <f>0.17*SQRT('Parametros'!$B$2)*H356*MIN(U356,AB356)/1000</f>
        <v>220.098728691808</v>
      </c>
      <c r="AK356" s="10">
        <f>MAX(AI356/'Parametros'!$B$6-AJ356,0)</f>
        <v>353.041271308192</v>
      </c>
      <c r="AL356" s="10">
        <f>0.66*SQRT('Parametros'!$B$2)*H356*MIN(U356,AB356)/1000</f>
        <v>854.500946685842</v>
      </c>
      <c r="AM356" s="10" t="str">
        <f>IF(AK356&lt;=AL356,"CUMPLE","NO CUMPLE")</f>
        <v>CUMPLE</v>
      </c>
      <c r="AN356" s="17" t="inlineStr">
        <is>
          <t>Nº4 cerrado</t>
        </is>
      </c>
      <c r="AO356" s="31" t="n">
        <v>2</v>
      </c>
      <c r="AP356" s="10">
        <f>ROUNDDOWN(MIN(IF(BC356+BD356=0,1000000000,AO356*BB356/(BC356+BD356)),MIN(U356,AB356)/4,8*'Parametros'!$B$12,24*BA356,300,IF(AV356=0,1000000000,2*((H356-2*('Parametros'!$B$7+'Parametros'!$B$9/2))+(I356-2*('Parametros'!$B$7+'Parametros'!$B$9/2)))/8))/10,0)*10</f>
        <v>80</v>
      </c>
      <c r="AQ356" s="10">
        <f>ROUNDDOWN(MIN(IF(BC356+BD356=0,1000000000,AO356*BB356/(BC356+BD356)),IF(AK356&gt;0.33*SQRT('Parametros'!$B$2)*H356*MIN(U356,AB356)/1000,MIN(U356,AB356)/4,MIN(U356,AB356)/2),600,IF(AV356=0,1000000000,2*((H356-2*('Parametros'!$B$7+'Parametros'!$B$9/2))+(I356-2*('Parametros'!$B$7+'Parametros'!$B$9/2)))/8))/10,0)*10</f>
        <v>80</v>
      </c>
      <c r="AR356" s="10">
        <f>'Parametros'!$B$6*(AJ356+MAX(BE356-BD356,0)*'Parametros'!$B$4*MIN(U356,AB356)/1000)</f>
        <v>479.186428038919</v>
      </c>
      <c r="AS356" s="10" t="str">
        <f>IF(AND(ISERROR(SEARCH("referencia",AN356)),AM356="CUMPLE",AR356&gt;=AI356),"CUMPLE","NO CUMPLE")</f>
        <v>CUMPLE</v>
      </c>
      <c r="AT356" s="10">
        <f>'Parametros'!$B$6*0.083*SQRT('Parametros'!$B$2)*(H356*I356)^2/(2*(H356+I356))/1000000</f>
        <v>11.862178757599</v>
      </c>
      <c r="AU356" s="10" t="str">
        <f>IF(Q356&lt;=AT356,"DESPRECIABLE","DISEÑAR")</f>
        <v>DISEÑAR</v>
      </c>
      <c r="AV356" s="10">
        <f>IF(Q356&lt;=AT356,0,Q356*1000000/('Parametros'!$B$6*2*0.85*(H356-2*('Parametros'!$B$7+'Parametros'!$B$9/2))*(I356-2*('Parametros'!$B$7+'Parametros'!$B$9/2))*'Parametros'!$B$4))</f>
        <v>0.593615598696478</v>
      </c>
      <c r="AW356" s="10">
        <f>AV356*2*((H356-2*('Parametros'!$B$7+'Parametros'!$B$9/2))+(I356-2*('Parametros'!$B$7+'Parametros'!$B$9/2)))*'Parametros'!$B$4/'Parametros'!$B$3</f>
        <v>1026.48009326595</v>
      </c>
      <c r="AX356" s="31" t="n">
        <v>8</v>
      </c>
      <c r="AY356" s="10" t="str">
        <f>IF(AV356=0,"DESPRECIABLE",IF(AND(ISERROR(SEARCH("referencia",AN356)),BB356/AP356&gt;=AV356,BI356&gt;=AW356,BH356="CUMPLE"),"CUMPLE","NO CUMPLE"))</f>
        <v>CUMPLE</v>
      </c>
      <c r="AZ356" s="10" t="str">
        <f>IF(AND(X356="CUMPLE",AE356="CUMPLE",AS356="CUMPLE",OR(AY356="CUMPLE",AY356="DESPRECIABLE"),BH356="CUMPLE",BJ356="CUMPLE"),"CUMPLE","NO CUMPLE")</f>
        <v>CUMPLE</v>
      </c>
      <c r="BA356" s="32" t="n">
        <v>12.7</v>
      </c>
      <c r="BB356" s="32" t="n">
        <v>129</v>
      </c>
      <c r="BC356" s="10">
        <f>MAX(IF(AK356=0,0,AK356*1000/('Parametros'!$B$4*MIN(U356,AB356))),MAX(0.062*SQRT('Parametros'!$B$2)*H356/'Parametros'!$B$4,0.35*H356/'Parametros'!$B$4))</f>
        <v>1.71773670276018</v>
      </c>
      <c r="BD356" s="10">
        <f>2*AV356</f>
        <v>1.18723119739296</v>
      </c>
      <c r="BE356" s="10">
        <f>AO356*BB356/AP356</f>
        <v>3.225</v>
      </c>
      <c r="BF356" s="10">
        <f>SQRT((AI356*1000/(H356*MIN(U356,AB356)))^2+(Q356*1000000*2*((H356-2*('Parametros'!$B$7+'Parametros'!$B$9/2))+(I356-2*('Parametros'!$B$7+'Parametros'!$B$9/2)))/(1.7*((H356-2*('Parametros'!$B$7+'Parametros'!$B$9/2))*(I356-2*('Parametros'!$B$7+'Parametros'!$B$9/2)))^2))^2)</f>
        <v>2.4698433810632</v>
      </c>
      <c r="BG356" s="10">
        <f>'Parametros'!$B$6*(AJ356*1000/(H356*MIN(U356,AB356))+0.66*SQRT('Parametros'!$B$2))</f>
        <v>3.29396038227542</v>
      </c>
      <c r="BH356" s="10" t="str">
        <f>IF(BF356&lt;=BG356,"CUMPLE","NO CUMPLE")</f>
        <v>CUMPLE</v>
      </c>
      <c r="BI356" s="10">
        <f>AX356*'Parametros'!$B$8</f>
        <v>1592</v>
      </c>
      <c r="BJ356" s="10" t="str">
        <f>IF(BI356&gt;=AW356,"CUMPLE","NO CUMPLE")</f>
        <v>CUMPLE</v>
      </c>
    </row>
    <row r="357">
      <c r="A357" s="25" t="inlineStr">
        <is>
          <t>VR2</t>
        </is>
      </c>
      <c r="B357" s="25" t="inlineStr">
        <is>
          <t>22</t>
        </is>
      </c>
      <c r="C357" s="10" t="n">
        <v>1</v>
      </c>
      <c r="D357" s="10" t="n">
        <v>2</v>
      </c>
      <c r="E357" s="10" t="n">
        <v>2</v>
      </c>
      <c r="F357" s="10" t="n">
        <v>500</v>
      </c>
      <c r="G357" s="10" t="n">
        <v>550</v>
      </c>
      <c r="H357" s="17" t="n">
        <v>500</v>
      </c>
      <c r="I357" s="17" t="n">
        <v>550</v>
      </c>
      <c r="J357" s="30" t="n">
        <v>232.3987</v>
      </c>
      <c r="K357" s="10" t="inlineStr">
        <is>
          <t>22</t>
        </is>
      </c>
      <c r="L357" s="30" t="n">
        <v>173.9838</v>
      </c>
      <c r="M357" s="10" t="inlineStr">
        <is>
          <t>22</t>
        </is>
      </c>
      <c r="N357" s="30" t="n">
        <v>186.558</v>
      </c>
      <c r="O357" s="30" t="n">
        <v>745.6130000000001</v>
      </c>
      <c r="P357" s="10" t="inlineStr">
        <is>
          <t>22</t>
        </is>
      </c>
      <c r="Q357" s="30" t="n">
        <v>9.202</v>
      </c>
      <c r="R357" s="10">
        <f>MAX(MAX(1.4/'Parametros'!$B$3,0.25*SQRT('Parametros'!$B$2)/'Parametros'!$B$3)*H357*U357,(0.85*'Parametros'!$B$2/'Parametros'!$B$3)*(1-SQRT(1-2*(J357*1000000/('Parametros'!$B$5*H357*U357^2))/(0.85*'Parametros'!$B$2)))*H357*U357)</f>
        <v>1319.13638459042</v>
      </c>
      <c r="S357" s="31" t="n">
        <v>7</v>
      </c>
      <c r="T357" s="32" t="n">
        <v>1</v>
      </c>
      <c r="U357" s="10">
        <f>IF(T357=1,I357-('Parametros'!$B$7+'Parametros'!$B$9+'Parametros'!$B$12/2),I357-(ROUNDUP(S357/2,0)*('Parametros'!$B$7+'Parametros'!$B$9+'Parametros'!$B$12/2)+ROUNDDOWN(S357/2,0)*('Parametros'!$B$7+'Parametros'!$B$9+'Parametros'!$B$12/2+'Parametros'!$B$12+'Parametros'!$B$10))/S357)</f>
        <v>489.35</v>
      </c>
      <c r="V357" s="10">
        <f>S357*'Parametros'!$B$8</f>
        <v>1393</v>
      </c>
      <c r="W357" s="10">
        <f>'Parametros'!$B$5*V357*'Parametros'!$B$3*(U357-(V357*'Parametros'!$B$3/(0.85*'Parametros'!$B$2*H357))/2)/1000000</f>
        <v>244.725263629412</v>
      </c>
      <c r="X357" s="10" t="str">
        <f>IF(W357&gt;=J357,"CUMPLE","NO CUMPLE")</f>
        <v>CUMPLE</v>
      </c>
      <c r="Y357" s="10">
        <f>MAX(MAX(1.4/'Parametros'!$B$3,0.25*SQRT('Parametros'!$B$2)/'Parametros'!$B$3)*H357*AB357,(0.85*'Parametros'!$B$2/'Parametros'!$B$3)*(1-SQRT(1-2*(L357*1000000/('Parametros'!$B$5*H357*AB357^2))/(0.85*'Parametros'!$B$2)))*H357*AB357)</f>
        <v>974.855120638905</v>
      </c>
      <c r="Z357" s="31" t="n">
        <v>5</v>
      </c>
      <c r="AA357" s="32" t="n">
        <v>1</v>
      </c>
      <c r="AB357" s="10">
        <f>IF(AA357=1,I357-('Parametros'!$B$7+'Parametros'!$B$9+'Parametros'!$B$12/2),I357-(ROUNDUP(Z357/2,0)*('Parametros'!$B$7+'Parametros'!$B$9+'Parametros'!$B$12/2)+ROUNDDOWN(Z357/2,0)*('Parametros'!$B$7+'Parametros'!$B$9+'Parametros'!$B$12/2+'Parametros'!$B$12+'Parametros'!$B$10))/Z357)</f>
        <v>489.35</v>
      </c>
      <c r="AC357" s="10">
        <f>Z357*'Parametros'!$B$8</f>
        <v>995</v>
      </c>
      <c r="AD357" s="10">
        <f>'Parametros'!$B$5*AC357*'Parametros'!$B$3*(AB357-(AC357*'Parametros'!$B$3/(0.85*'Parametros'!$B$2*H357))/2)/1000000</f>
        <v>177.445379382353</v>
      </c>
      <c r="AE357" s="10" t="str">
        <f>IF(AD357&gt;=L357,"CUMPLE","NO CUMPLE")</f>
        <v>CUMPLE</v>
      </c>
      <c r="AF357" s="10">
        <f>V357*1.25*'Parametros'!$B$3*(U357-(V357*1.25*'Parametros'!$B$3/(0.85*'Parametros'!$B$2*H357))/2)/1000000</f>
        <v>335.401777169118</v>
      </c>
      <c r="AG357" s="10">
        <f>AC357*1.25*'Parametros'!$B$3*(AB357-(AC357*1.25*'Parametros'!$B$3/(0.85*'Parametros'!$B$2*H357))/2)/1000000</f>
        <v>244.158843198529</v>
      </c>
      <c r="AH357" s="10">
        <f>N357+(AF357+AG357)/D357</f>
        <v>476.338310183824</v>
      </c>
      <c r="AI357" s="10">
        <f>MAX(O357,AH357)</f>
        <v>745.613</v>
      </c>
      <c r="AJ357" s="10">
        <f>0.17*SQRT('Parametros'!$B$2)*H357*MIN(U357,AB357)/1000</f>
        <v>220.098728691808</v>
      </c>
      <c r="AK357" s="10">
        <f>MAX(AI357/'Parametros'!$B$6-AJ357,0)</f>
        <v>774.051937974859</v>
      </c>
      <c r="AL357" s="10">
        <f>0.66*SQRT('Parametros'!$B$2)*H357*MIN(U357,AB357)/1000</f>
        <v>854.500946685842</v>
      </c>
      <c r="AM357" s="10" t="str">
        <f>IF(AK357&lt;=AL357,"CUMPLE","NO CUMPLE")</f>
        <v>CUMPLE</v>
      </c>
      <c r="AN357" s="17" t="inlineStr">
        <is>
          <t>Nº4 cerrado</t>
        </is>
      </c>
      <c r="AO357" s="31" t="n">
        <v>4</v>
      </c>
      <c r="AP357" s="10">
        <f>ROUNDDOWN(MIN(IF(BC357+BD357=0,1000000000,AO357*BB357/(BC357+BD357)),MIN(U357,AB357)/4,8*'Parametros'!$B$12,24*BA357,300,IF(AV357=0,1000000000,2*((H357-2*('Parametros'!$B$7+'Parametros'!$B$9/2))+(I357-2*('Parametros'!$B$7+'Parametros'!$B$9/2)))/8))/10,0)*10</f>
        <v>120</v>
      </c>
      <c r="AQ357" s="10">
        <f>ROUNDDOWN(MIN(IF(BC357+BD357=0,1000000000,AO357*BB357/(BC357+BD357)),IF(AK357&gt;0.33*SQRT('Parametros'!$B$2)*H357*MIN(U357,AB357)/1000,MIN(U357,AB357)/4,MIN(U357,AB357)/2),600,IF(AV357=0,1000000000,2*((H357-2*('Parametros'!$B$7+'Parametros'!$B$9/2))+(I357-2*('Parametros'!$B$7+'Parametros'!$B$9/2)))/8))/10,0)*10</f>
        <v>120</v>
      </c>
      <c r="AR357" s="10">
        <f>'Parametros'!$B$6*(AJ357+MAX(BE357-BD357,0)*'Parametros'!$B$4*MIN(U357,AB357)/1000)</f>
        <v>827.898621518856</v>
      </c>
      <c r="AS357" s="10" t="str">
        <f>IF(AND(ISERROR(SEARCH("referencia",AN357)),AM357="CUMPLE",AR357&gt;=AI357),"CUMPLE","NO CUMPLE")</f>
        <v>CUMPLE</v>
      </c>
      <c r="AT357" s="10">
        <f>'Parametros'!$B$6*0.083*SQRT('Parametros'!$B$2)*(H357*I357)^2/(2*(H357+I357))/1000000</f>
        <v>11.862178757599</v>
      </c>
      <c r="AU357" s="10" t="str">
        <f>IF(Q357&lt;=AT357,"DESPRECIABLE","DISEÑAR")</f>
        <v>DESPRECIABLE</v>
      </c>
      <c r="AV357" s="10">
        <f>IF(Q357&lt;=AT357,0,Q357*1000000/('Parametros'!$B$6*2*0.85*(H357-2*('Parametros'!$B$7+'Parametros'!$B$9/2))*(I357-2*('Parametros'!$B$7+'Parametros'!$B$9/2))*'Parametros'!$B$4))</f>
        <v>0</v>
      </c>
      <c r="AW357" s="10">
        <f>AV357*2*((H357-2*('Parametros'!$B$7+'Parametros'!$B$9/2))+(I357-2*('Parametros'!$B$7+'Parametros'!$B$9/2)))*'Parametros'!$B$4/'Parametros'!$B$3</f>
        <v>0</v>
      </c>
      <c r="AX357" s="31" t="n">
        <v>0</v>
      </c>
      <c r="AY357" s="10" t="str">
        <f>IF(AV357=0,"DESPRECIABLE",IF(AND(ISERROR(SEARCH("referencia",AN357)),BB357/AP357&gt;=AV357,BI357&gt;=AW357,BH357="CUMPLE"),"CUMPLE","NO CUMPLE"))</f>
        <v>DESPRECIABLE</v>
      </c>
      <c r="AZ357" s="10" t="str">
        <f>IF(AND(X357="CUMPLE",AE357="CUMPLE",AS357="CUMPLE",OR(AY357="CUMPLE",AY357="DESPRECIABLE"),BH357="CUMPLE",BJ357="CUMPLE"),"CUMPLE","NO CUMPLE")</f>
        <v>CUMPLE</v>
      </c>
      <c r="BA357" s="32" t="n">
        <v>12.7</v>
      </c>
      <c r="BB357" s="32" t="n">
        <v>129</v>
      </c>
      <c r="BC357" s="10">
        <f>MAX(IF(AK357=0,0,AK357*1000/('Parametros'!$B$4*MIN(U357,AB357))),MAX(0.062*SQRT('Parametros'!$B$2)*H357/'Parametros'!$B$4,0.35*H357/'Parametros'!$B$4))</f>
        <v>3.76618127046499</v>
      </c>
      <c r="BD357" s="10">
        <f>2*AV357</f>
        <v>0</v>
      </c>
      <c r="BE357" s="10">
        <f>AO357*BB357/AP357</f>
        <v>4.3</v>
      </c>
      <c r="BF357" s="10">
        <f>SQRT((AI357*1000/(H357*MIN(U357,AB357)))^2+(Q357*1000000*2*((H357-2*('Parametros'!$B$7+'Parametros'!$B$9/2))+(I357-2*('Parametros'!$B$7+'Parametros'!$B$9/2)))/(1.7*((H357-2*('Parametros'!$B$7+'Parametros'!$B$9/2))*(I357-2*('Parametros'!$B$7+'Parametros'!$B$9/2)))^2))^2)</f>
        <v>3.05928122131236</v>
      </c>
      <c r="BG357" s="10">
        <f>'Parametros'!$B$6*(AJ357*1000/(H357*MIN(U357,AB357))+0.66*SQRT('Parametros'!$B$2))</f>
        <v>3.29396038227542</v>
      </c>
      <c r="BH357" s="10" t="str">
        <f>IF(BF357&lt;=BG357,"CUMPLE","NO CUMPLE")</f>
        <v>CUMPLE</v>
      </c>
      <c r="BI357" s="10">
        <f>AX357*'Parametros'!$B$8</f>
        <v>0</v>
      </c>
      <c r="BJ357" s="10" t="str">
        <f>IF(BI357&gt;=AW357,"CUMPLE","NO CUMPLE")</f>
        <v>CUMPLE</v>
      </c>
    </row>
    <row r="358">
      <c r="A358" s="25" t="inlineStr">
        <is>
          <t>VR2</t>
        </is>
      </c>
      <c r="B358" s="25" t="inlineStr">
        <is>
          <t>33</t>
        </is>
      </c>
      <c r="C358" s="10" t="n">
        <v>1</v>
      </c>
      <c r="D358" s="10" t="n">
        <v>2</v>
      </c>
      <c r="E358" s="10" t="n">
        <v>2</v>
      </c>
      <c r="F358" s="10" t="n">
        <v>500</v>
      </c>
      <c r="G358" s="10" t="n">
        <v>550</v>
      </c>
      <c r="H358" s="17" t="n">
        <v>500</v>
      </c>
      <c r="I358" s="17" t="n">
        <v>550</v>
      </c>
      <c r="J358" s="30" t="n">
        <v>232.4719</v>
      </c>
      <c r="K358" s="10" t="inlineStr">
        <is>
          <t>33</t>
        </is>
      </c>
      <c r="L358" s="30" t="n">
        <v>173.9398</v>
      </c>
      <c r="M358" s="10" t="inlineStr">
        <is>
          <t>33</t>
        </is>
      </c>
      <c r="N358" s="30" t="n">
        <v>186.609</v>
      </c>
      <c r="O358" s="30" t="n">
        <v>745.662</v>
      </c>
      <c r="P358" s="10" t="inlineStr">
        <is>
          <t>33</t>
        </is>
      </c>
      <c r="Q358" s="30" t="n">
        <v>9.2035</v>
      </c>
      <c r="R358" s="10">
        <f>MAX(MAX(1.4/'Parametros'!$B$3,0.25*SQRT('Parametros'!$B$2)/'Parametros'!$B$3)*H358*U358,(0.85*'Parametros'!$B$2/'Parametros'!$B$3)*(1-SQRT(1-2*(J358*1000000/('Parametros'!$B$5*H358*U358^2))/(0.85*'Parametros'!$B$2)))*H358*U358)</f>
        <v>1319.5737322882</v>
      </c>
      <c r="S358" s="31" t="n">
        <v>7</v>
      </c>
      <c r="T358" s="32" t="n">
        <v>1</v>
      </c>
      <c r="U358" s="10">
        <f>IF(T358=1,I358-('Parametros'!$B$7+'Parametros'!$B$9+'Parametros'!$B$12/2),I358-(ROUNDUP(S358/2,0)*('Parametros'!$B$7+'Parametros'!$B$9+'Parametros'!$B$12/2)+ROUNDDOWN(S358/2,0)*('Parametros'!$B$7+'Parametros'!$B$9+'Parametros'!$B$12/2+'Parametros'!$B$12+'Parametros'!$B$10))/S358)</f>
        <v>489.35</v>
      </c>
      <c r="V358" s="10">
        <f>S358*'Parametros'!$B$8</f>
        <v>1393</v>
      </c>
      <c r="W358" s="10">
        <f>'Parametros'!$B$5*V358*'Parametros'!$B$3*(U358-(V358*'Parametros'!$B$3/(0.85*'Parametros'!$B$2*H358))/2)/1000000</f>
        <v>244.725263629412</v>
      </c>
      <c r="X358" s="10" t="str">
        <f>IF(W358&gt;=J358,"CUMPLE","NO CUMPLE")</f>
        <v>CUMPLE</v>
      </c>
      <c r="Y358" s="10">
        <f>MAX(MAX(1.4/'Parametros'!$B$3,0.25*SQRT('Parametros'!$B$2)/'Parametros'!$B$3)*H358*AB358,(0.85*'Parametros'!$B$2/'Parametros'!$B$3)*(1-SQRT(1-2*(L358*1000000/('Parametros'!$B$5*H358*AB358^2))/(0.85*'Parametros'!$B$2)))*H358*AB358)</f>
        <v>974.599262494144</v>
      </c>
      <c r="Z358" s="31" t="n">
        <v>5</v>
      </c>
      <c r="AA358" s="32" t="n">
        <v>1</v>
      </c>
      <c r="AB358" s="10">
        <f>IF(AA358=1,I358-('Parametros'!$B$7+'Parametros'!$B$9+'Parametros'!$B$12/2),I358-(ROUNDUP(Z358/2,0)*('Parametros'!$B$7+'Parametros'!$B$9+'Parametros'!$B$12/2)+ROUNDDOWN(Z358/2,0)*('Parametros'!$B$7+'Parametros'!$B$9+'Parametros'!$B$12/2+'Parametros'!$B$12+'Parametros'!$B$10))/Z358)</f>
        <v>489.35</v>
      </c>
      <c r="AC358" s="10">
        <f>Z358*'Parametros'!$B$8</f>
        <v>995</v>
      </c>
      <c r="AD358" s="10">
        <f>'Parametros'!$B$5*AC358*'Parametros'!$B$3*(AB358-(AC358*'Parametros'!$B$3/(0.85*'Parametros'!$B$2*H358))/2)/1000000</f>
        <v>177.445379382353</v>
      </c>
      <c r="AE358" s="10" t="str">
        <f>IF(AD358&gt;=L358,"CUMPLE","NO CUMPLE")</f>
        <v>CUMPLE</v>
      </c>
      <c r="AF358" s="10">
        <f>V358*1.25*'Parametros'!$B$3*(U358-(V358*1.25*'Parametros'!$B$3/(0.85*'Parametros'!$B$2*H358))/2)/1000000</f>
        <v>335.401777169118</v>
      </c>
      <c r="AG358" s="10">
        <f>AC358*1.25*'Parametros'!$B$3*(AB358-(AC358*1.25*'Parametros'!$B$3/(0.85*'Parametros'!$B$2*H358))/2)/1000000</f>
        <v>244.158843198529</v>
      </c>
      <c r="AH358" s="10">
        <f>N358+(AF358+AG358)/D358</f>
        <v>476.389310183824</v>
      </c>
      <c r="AI358" s="10">
        <f>MAX(O358,AH358)</f>
        <v>745.662</v>
      </c>
      <c r="AJ358" s="10">
        <f>0.17*SQRT('Parametros'!$B$2)*H358*MIN(U358,AB358)/1000</f>
        <v>220.098728691808</v>
      </c>
      <c r="AK358" s="10">
        <f>MAX(AI358/'Parametros'!$B$6-AJ358,0)</f>
        <v>774.117271308192</v>
      </c>
      <c r="AL358" s="10">
        <f>0.66*SQRT('Parametros'!$B$2)*H358*MIN(U358,AB358)/1000</f>
        <v>854.500946685842</v>
      </c>
      <c r="AM358" s="10" t="str">
        <f>IF(AK358&lt;=AL358,"CUMPLE","NO CUMPLE")</f>
        <v>CUMPLE</v>
      </c>
      <c r="AN358" s="17" t="inlineStr">
        <is>
          <t>Nº4 cerrado</t>
        </is>
      </c>
      <c r="AO358" s="31" t="n">
        <v>4</v>
      </c>
      <c r="AP358" s="10">
        <f>ROUNDDOWN(MIN(IF(BC358+BD358=0,1000000000,AO358*BB358/(BC358+BD358)),MIN(U358,AB358)/4,8*'Parametros'!$B$12,24*BA358,300,IF(AV358=0,1000000000,2*((H358-2*('Parametros'!$B$7+'Parametros'!$B$9/2))+(I358-2*('Parametros'!$B$7+'Parametros'!$B$9/2)))/8))/10,0)*10</f>
        <v>120</v>
      </c>
      <c r="AQ358" s="10">
        <f>ROUNDDOWN(MIN(IF(BC358+BD358=0,1000000000,AO358*BB358/(BC358+BD358)),IF(AK358&gt;0.33*SQRT('Parametros'!$B$2)*H358*MIN(U358,AB358)/1000,MIN(U358,AB358)/4,MIN(U358,AB358)/2),600,IF(AV358=0,1000000000,2*((H358-2*('Parametros'!$B$7+'Parametros'!$B$9/2))+(I358-2*('Parametros'!$B$7+'Parametros'!$B$9/2)))/8))/10,0)*10</f>
        <v>120</v>
      </c>
      <c r="AR358" s="10">
        <f>'Parametros'!$B$6*(AJ358+MAX(BE358-BD358,0)*'Parametros'!$B$4*MIN(U358,AB358)/1000)</f>
        <v>827.898621518856</v>
      </c>
      <c r="AS358" s="10" t="str">
        <f>IF(AND(ISERROR(SEARCH("referencia",AN358)),AM358="CUMPLE",AR358&gt;=AI358),"CUMPLE","NO CUMPLE")</f>
        <v>CUMPLE</v>
      </c>
      <c r="AT358" s="10">
        <f>'Parametros'!$B$6*0.083*SQRT('Parametros'!$B$2)*(H358*I358)^2/(2*(H358+I358))/1000000</f>
        <v>11.862178757599</v>
      </c>
      <c r="AU358" s="10" t="str">
        <f>IF(Q358&lt;=AT358,"DESPRECIABLE","DISEÑAR")</f>
        <v>DESPRECIABLE</v>
      </c>
      <c r="AV358" s="10">
        <f>IF(Q358&lt;=AT358,0,Q358*1000000/('Parametros'!$B$6*2*0.85*(H358-2*('Parametros'!$B$7+'Parametros'!$B$9/2))*(I358-2*('Parametros'!$B$7+'Parametros'!$B$9/2))*'Parametros'!$B$4))</f>
        <v>0</v>
      </c>
      <c r="AW358" s="10">
        <f>AV358*2*((H358-2*('Parametros'!$B$7+'Parametros'!$B$9/2))+(I358-2*('Parametros'!$B$7+'Parametros'!$B$9/2)))*'Parametros'!$B$4/'Parametros'!$B$3</f>
        <v>0</v>
      </c>
      <c r="AX358" s="31" t="n">
        <v>0</v>
      </c>
      <c r="AY358" s="10" t="str">
        <f>IF(AV358=0,"DESPRECIABLE",IF(AND(ISERROR(SEARCH("referencia",AN358)),BB358/AP358&gt;=AV358,BI358&gt;=AW358,BH358="CUMPLE"),"CUMPLE","NO CUMPLE"))</f>
        <v>DESPRECIABLE</v>
      </c>
      <c r="AZ358" s="10" t="str">
        <f>IF(AND(X358="CUMPLE",AE358="CUMPLE",AS358="CUMPLE",OR(AY358="CUMPLE",AY358="DESPRECIABLE"),BH358="CUMPLE",BJ358="CUMPLE"),"CUMPLE","NO CUMPLE")</f>
        <v>CUMPLE</v>
      </c>
      <c r="BA358" s="32" t="n">
        <v>12.7</v>
      </c>
      <c r="BB358" s="32" t="n">
        <v>129</v>
      </c>
      <c r="BC358" s="10">
        <f>MAX(IF(AK358=0,0,AK358*1000/('Parametros'!$B$4*MIN(U358,AB358))),MAX(0.062*SQRT('Parametros'!$B$2)*H358/'Parametros'!$B$4,0.35*H358/'Parametros'!$B$4))</f>
        <v>3.76649915246266</v>
      </c>
      <c r="BD358" s="10">
        <f>2*AV358</f>
        <v>0</v>
      </c>
      <c r="BE358" s="10">
        <f>AO358*BB358/AP358</f>
        <v>4.3</v>
      </c>
      <c r="BF358" s="10">
        <f>SQRT((AI358*1000/(H358*MIN(U358,AB358)))^2+(Q358*1000000*2*((H358-2*('Parametros'!$B$7+'Parametros'!$B$9/2))+(I358-2*('Parametros'!$B$7+'Parametros'!$B$9/2)))/(1.7*((H358-2*('Parametros'!$B$7+'Parametros'!$B$9/2))*(I358-2*('Parametros'!$B$7+'Parametros'!$B$9/2)))^2))^2)</f>
        <v>3.05948458543362</v>
      </c>
      <c r="BG358" s="10">
        <f>'Parametros'!$B$6*(AJ358*1000/(H358*MIN(U358,AB358))+0.66*SQRT('Parametros'!$B$2))</f>
        <v>3.29396038227542</v>
      </c>
      <c r="BH358" s="10" t="str">
        <f>IF(BF358&lt;=BG358,"CUMPLE","NO CUMPLE")</f>
        <v>CUMPLE</v>
      </c>
      <c r="BI358" s="10">
        <f>AX358*'Parametros'!$B$8</f>
        <v>0</v>
      </c>
      <c r="BJ358" s="10" t="str">
        <f>IF(BI358&gt;=AW358,"CUMPLE","NO CUMPLE")</f>
        <v>CUMPLE</v>
      </c>
    </row>
    <row r="359">
      <c r="A359" s="25" t="inlineStr">
        <is>
          <t>VR2</t>
        </is>
      </c>
      <c r="B359" s="25" t="inlineStr">
        <is>
          <t>34</t>
        </is>
      </c>
      <c r="C359" s="10" t="n">
        <v>1</v>
      </c>
      <c r="D359" s="10" t="n">
        <v>3.05308</v>
      </c>
      <c r="E359" s="10" t="n">
        <v>3.05308</v>
      </c>
      <c r="F359" s="10" t="n">
        <v>500</v>
      </c>
      <c r="G359" s="10" t="n">
        <v>550</v>
      </c>
      <c r="H359" s="17" t="n">
        <v>500</v>
      </c>
      <c r="I359" s="17" t="n">
        <v>550</v>
      </c>
      <c r="J359" s="30" t="n">
        <v>186.162</v>
      </c>
      <c r="K359" s="10" t="inlineStr">
        <is>
          <t>34</t>
        </is>
      </c>
      <c r="L359" s="30" t="n">
        <v>124.4027</v>
      </c>
      <c r="M359" s="10" t="inlineStr">
        <is>
          <t>34</t>
        </is>
      </c>
      <c r="N359" s="30" t="n">
        <v>137.528</v>
      </c>
      <c r="O359" s="30" t="n">
        <v>429.817</v>
      </c>
      <c r="P359" s="10" t="inlineStr">
        <is>
          <t>34</t>
        </is>
      </c>
      <c r="Q359" s="30" t="n">
        <v>59.2081</v>
      </c>
      <c r="R359" s="10">
        <f>MAX(MAX(1.4/'Parametros'!$B$3,0.25*SQRT('Parametros'!$B$2)/'Parametros'!$B$3)*H359*U359,(0.85*'Parametros'!$B$2/'Parametros'!$B$3)*(1-SQRT(1-2*(J359*1000000/('Parametros'!$B$5*H359*U359^2))/(0.85*'Parametros'!$B$2)))*H359*U359)</f>
        <v>1045.86714746566</v>
      </c>
      <c r="S359" s="31" t="n">
        <v>6</v>
      </c>
      <c r="T359" s="32" t="n">
        <v>1</v>
      </c>
      <c r="U359" s="10">
        <f>IF(T359=1,I359-('Parametros'!$B$7+'Parametros'!$B$9+'Parametros'!$B$12/2),I359-(ROUNDUP(S359/2,0)*('Parametros'!$B$7+'Parametros'!$B$9+'Parametros'!$B$12/2)+ROUNDDOWN(S359/2,0)*('Parametros'!$B$7+'Parametros'!$B$9+'Parametros'!$B$12/2+'Parametros'!$B$12+'Parametros'!$B$10))/S359)</f>
        <v>489.35</v>
      </c>
      <c r="V359" s="10">
        <f>S359*'Parametros'!$B$8</f>
        <v>1194</v>
      </c>
      <c r="W359" s="10">
        <f>'Parametros'!$B$5*V359*'Parametros'!$B$3*(U359-(V359*'Parametros'!$B$3/(0.85*'Parametros'!$B$2*H359))/2)/1000000</f>
        <v>211.349483470588</v>
      </c>
      <c r="X359" s="10" t="str">
        <f>IF(W359&gt;=J359,"CUMPLE","NO CUMPLE")</f>
        <v>CUMPLE</v>
      </c>
      <c r="Y359" s="10">
        <f>MAX(MAX(1.4/'Parametros'!$B$3,0.25*SQRT('Parametros'!$B$2)/'Parametros'!$B$3)*H359*AB359,(0.85*'Parametros'!$B$2/'Parametros'!$B$3)*(1-SQRT(1-2*(L359*1000000/('Parametros'!$B$5*H359*AB359^2))/(0.85*'Parametros'!$B$2)))*H359*AB359)</f>
        <v>815.583333333333</v>
      </c>
      <c r="Z359" s="31" t="n">
        <v>5</v>
      </c>
      <c r="AA359" s="32" t="n">
        <v>1</v>
      </c>
      <c r="AB359" s="10">
        <f>IF(AA359=1,I359-('Parametros'!$B$7+'Parametros'!$B$9+'Parametros'!$B$12/2),I359-(ROUNDUP(Z359/2,0)*('Parametros'!$B$7+'Parametros'!$B$9+'Parametros'!$B$12/2)+ROUNDDOWN(Z359/2,0)*('Parametros'!$B$7+'Parametros'!$B$9+'Parametros'!$B$12/2+'Parametros'!$B$12+'Parametros'!$B$10))/Z359)</f>
        <v>489.35</v>
      </c>
      <c r="AC359" s="10">
        <f>Z359*'Parametros'!$B$8</f>
        <v>995</v>
      </c>
      <c r="AD359" s="10">
        <f>'Parametros'!$B$5*AC359*'Parametros'!$B$3*(AB359-(AC359*'Parametros'!$B$3/(0.85*'Parametros'!$B$2*H359))/2)/1000000</f>
        <v>177.445379382353</v>
      </c>
      <c r="AE359" s="10" t="str">
        <f>IF(AD359&gt;=L359,"CUMPLE","NO CUMPLE")</f>
        <v>CUMPLE</v>
      </c>
      <c r="AF359" s="10">
        <f>V359*1.25*'Parametros'!$B$3*(U359-(V359*1.25*'Parametros'!$B$3/(0.85*'Parametros'!$B$2*H359))/2)/1000000</f>
        <v>290.238924705882</v>
      </c>
      <c r="AG359" s="10">
        <f>AC359*1.25*'Parametros'!$B$3*(AB359-(AC359*1.25*'Parametros'!$B$3/(0.85*'Parametros'!$B$2*H359))/2)/1000000</f>
        <v>244.158843198529</v>
      </c>
      <c r="AH359" s="10">
        <f>N359+(AF359+AG359)/D359</f>
        <v>312.563625631956</v>
      </c>
      <c r="AI359" s="10">
        <f>MAX(O359,AH359)</f>
        <v>429.817</v>
      </c>
      <c r="AJ359" s="10">
        <f>0.17*SQRT('Parametros'!$B$2)*H359*MIN(U359,AB359)/1000</f>
        <v>220.098728691808</v>
      </c>
      <c r="AK359" s="10">
        <f>MAX(AI359/'Parametros'!$B$6-AJ359,0)</f>
        <v>352.990604641526</v>
      </c>
      <c r="AL359" s="10">
        <f>0.66*SQRT('Parametros'!$B$2)*H359*MIN(U359,AB359)/1000</f>
        <v>854.500946685842</v>
      </c>
      <c r="AM359" s="10" t="str">
        <f>IF(AK359&lt;=AL359,"CUMPLE","NO CUMPLE")</f>
        <v>CUMPLE</v>
      </c>
      <c r="AN359" s="17" t="inlineStr">
        <is>
          <t>Nº4 cerrado</t>
        </is>
      </c>
      <c r="AO359" s="31" t="n">
        <v>2</v>
      </c>
      <c r="AP359" s="10">
        <f>ROUNDDOWN(MIN(IF(BC359+BD359=0,1000000000,AO359*BB359/(BC359+BD359)),MIN(U359,AB359)/4,8*'Parametros'!$B$12,24*BA359,300,IF(AV359=0,1000000000,2*((H359-2*('Parametros'!$B$7+'Parametros'!$B$9/2))+(I359-2*('Parametros'!$B$7+'Parametros'!$B$9/2)))/8))/10,0)*10</f>
        <v>80</v>
      </c>
      <c r="AQ359" s="10">
        <f>ROUNDDOWN(MIN(IF(BC359+BD359=0,1000000000,AO359*BB359/(BC359+BD359)),IF(AK359&gt;0.33*SQRT('Parametros'!$B$2)*H359*MIN(U359,AB359)/1000,MIN(U359,AB359)/4,MIN(U359,AB359)/2),600,IF(AV359=0,1000000000,2*((H359-2*('Parametros'!$B$7+'Parametros'!$B$9/2))+(I359-2*('Parametros'!$B$7+'Parametros'!$B$9/2)))/8))/10,0)*10</f>
        <v>80</v>
      </c>
      <c r="AR359" s="10">
        <f>'Parametros'!$B$6*(AJ359+MAX(BE359-BD359,0)*'Parametros'!$B$4*MIN(U359,AB359)/1000)</f>
        <v>479.186118948847</v>
      </c>
      <c r="AS359" s="10" t="str">
        <f>IF(AND(ISERROR(SEARCH("referencia",AN359)),AM359="CUMPLE",AR359&gt;=AI359),"CUMPLE","NO CUMPLE")</f>
        <v>CUMPLE</v>
      </c>
      <c r="AT359" s="10">
        <f>'Parametros'!$B$6*0.083*SQRT('Parametros'!$B$2)*(H359*I359)^2/(2*(H359+I359))/1000000</f>
        <v>11.862178757599</v>
      </c>
      <c r="AU359" s="10" t="str">
        <f>IF(Q359&lt;=AT359,"DESPRECIABLE","DISEÑAR")</f>
        <v>DISEÑAR</v>
      </c>
      <c r="AV359" s="10">
        <f>IF(Q359&lt;=AT359,0,Q359*1000000/('Parametros'!$B$6*2*0.85*(H359-2*('Parametros'!$B$7+'Parametros'!$B$9/2))*(I359-2*('Parametros'!$B$7+'Parametros'!$B$9/2))*'Parametros'!$B$4))</f>
        <v>0.593616601290044</v>
      </c>
      <c r="AW359" s="10">
        <f>AV359*2*((H359-2*('Parametros'!$B$7+'Parametros'!$B$9/2))+(I359-2*('Parametros'!$B$7+'Parametros'!$B$9/2)))*'Parametros'!$B$4/'Parametros'!$B$3</f>
        <v>1026.48182695074</v>
      </c>
      <c r="AX359" s="31" t="n">
        <v>8</v>
      </c>
      <c r="AY359" s="10" t="str">
        <f>IF(AV359=0,"DESPRECIABLE",IF(AND(ISERROR(SEARCH("referencia",AN359)),BB359/AP359&gt;=AV359,BI359&gt;=AW359,BH359="CUMPLE"),"CUMPLE","NO CUMPLE"))</f>
        <v>CUMPLE</v>
      </c>
      <c r="AZ359" s="10" t="str">
        <f>IF(AND(X359="CUMPLE",AE359="CUMPLE",AS359="CUMPLE",OR(AY359="CUMPLE",AY359="DESPRECIABLE"),BH359="CUMPLE",BJ359="CUMPLE"),"CUMPLE","NO CUMPLE")</f>
        <v>CUMPLE</v>
      </c>
      <c r="BA359" s="32" t="n">
        <v>12.7</v>
      </c>
      <c r="BB359" s="32" t="n">
        <v>129</v>
      </c>
      <c r="BC359" s="10">
        <f>MAX(IF(AK359=0,0,AK359*1000/('Parametros'!$B$4*MIN(U359,AB359))),MAX(0.062*SQRT('Parametros'!$B$2)*H359/'Parametros'!$B$4,0.35*H359/'Parametros'!$B$4))</f>
        <v>1.7174901820273</v>
      </c>
      <c r="BD359" s="10">
        <f>2*AV359</f>
        <v>1.18723320258009</v>
      </c>
      <c r="BE359" s="10">
        <f>AO359*BB359/AP359</f>
        <v>3.225</v>
      </c>
      <c r="BF359" s="10">
        <f>SQRT((AI359*1000/(H359*MIN(U359,AB359)))^2+(Q359*1000000*2*((H359-2*('Parametros'!$B$7+'Parametros'!$B$9/2))+(I359-2*('Parametros'!$B$7+'Parametros'!$B$9/2)))/(1.7*((H359-2*('Parametros'!$B$7+'Parametros'!$B$9/2))*(I359-2*('Parametros'!$B$7+'Parametros'!$B$9/2)))^2))^2)</f>
        <v>2.46973497118448</v>
      </c>
      <c r="BG359" s="10">
        <f>'Parametros'!$B$6*(AJ359*1000/(H359*MIN(U359,AB359))+0.66*SQRT('Parametros'!$B$2))</f>
        <v>3.29396038227542</v>
      </c>
      <c r="BH359" s="10" t="str">
        <f>IF(BF359&lt;=BG359,"CUMPLE","NO CUMPLE")</f>
        <v>CUMPLE</v>
      </c>
      <c r="BI359" s="10">
        <f>AX359*'Parametros'!$B$8</f>
        <v>1592</v>
      </c>
      <c r="BJ359" s="10" t="str">
        <f>IF(BI359&gt;=AW359,"CUMPLE","NO CUMPLE")</f>
        <v>CUMPLE</v>
      </c>
    </row>
    <row r="360">
      <c r="A360" s="25" t="inlineStr">
        <is>
          <t>VR2</t>
        </is>
      </c>
      <c r="B360" s="25" t="inlineStr">
        <is>
          <t>35</t>
        </is>
      </c>
      <c r="C360" s="10" t="n">
        <v>1</v>
      </c>
      <c r="D360" s="10" t="n">
        <v>2</v>
      </c>
      <c r="E360" s="10" t="n">
        <v>2</v>
      </c>
      <c r="F360" s="10" t="n">
        <v>500</v>
      </c>
      <c r="G360" s="10" t="n">
        <v>550</v>
      </c>
      <c r="H360" s="17" t="n">
        <v>500</v>
      </c>
      <c r="I360" s="17" t="n">
        <v>550</v>
      </c>
      <c r="J360" s="30" t="n">
        <v>201.0117</v>
      </c>
      <c r="K360" s="10" t="inlineStr">
        <is>
          <t>35</t>
        </is>
      </c>
      <c r="L360" s="30" t="n">
        <v>150.9714</v>
      </c>
      <c r="M360" s="10" t="inlineStr">
        <is>
          <t>35</t>
        </is>
      </c>
      <c r="N360" s="30" t="n">
        <v>180.67</v>
      </c>
      <c r="O360" s="30" t="n">
        <v>695.356</v>
      </c>
      <c r="P360" s="10" t="inlineStr">
        <is>
          <t>35</t>
        </is>
      </c>
      <c r="Q360" s="30" t="n">
        <v>52.3326</v>
      </c>
      <c r="R360" s="10">
        <f>MAX(MAX(1.4/'Parametros'!$B$3,0.25*SQRT('Parametros'!$B$2)/'Parametros'!$B$3)*H360*U360,(0.85*'Parametros'!$B$2/'Parametros'!$B$3)*(1-SQRT(1-2*(J360*1000000/('Parametros'!$B$5*H360*U360^2))/(0.85*'Parametros'!$B$2)))*H360*U360)</f>
        <v>1132.99281074128</v>
      </c>
      <c r="S360" s="31" t="n">
        <v>6</v>
      </c>
      <c r="T360" s="32" t="n">
        <v>1</v>
      </c>
      <c r="U360" s="10">
        <f>IF(T360=1,I360-('Parametros'!$B$7+'Parametros'!$B$9+'Parametros'!$B$12/2),I360-(ROUNDUP(S360/2,0)*('Parametros'!$B$7+'Parametros'!$B$9+'Parametros'!$B$12/2)+ROUNDDOWN(S360/2,0)*('Parametros'!$B$7+'Parametros'!$B$9+'Parametros'!$B$12/2+'Parametros'!$B$12+'Parametros'!$B$10))/S360)</f>
        <v>489.35</v>
      </c>
      <c r="V360" s="10">
        <f>S360*'Parametros'!$B$8</f>
        <v>1194</v>
      </c>
      <c r="W360" s="10">
        <f>'Parametros'!$B$5*V360*'Parametros'!$B$3*(U360-(V360*'Parametros'!$B$3/(0.85*'Parametros'!$B$2*H360))/2)/1000000</f>
        <v>211.349483470588</v>
      </c>
      <c r="X360" s="10" t="str">
        <f>IF(W360&gt;=J360,"CUMPLE","NO CUMPLE")</f>
        <v>CUMPLE</v>
      </c>
      <c r="Y360" s="10">
        <f>MAX(MAX(1.4/'Parametros'!$B$3,0.25*SQRT('Parametros'!$B$2)/'Parametros'!$B$3)*H360*AB360,(0.85*'Parametros'!$B$2/'Parametros'!$B$3)*(1-SQRT(1-2*(L360*1000000/('Parametros'!$B$5*H360*AB360^2))/(0.85*'Parametros'!$B$2)))*H360*AB360)</f>
        <v>841.725147372548</v>
      </c>
      <c r="Z360" s="31" t="n">
        <v>5</v>
      </c>
      <c r="AA360" s="32" t="n">
        <v>1</v>
      </c>
      <c r="AB360" s="10">
        <f>IF(AA360=1,I360-('Parametros'!$B$7+'Parametros'!$B$9+'Parametros'!$B$12/2),I360-(ROUNDUP(Z360/2,0)*('Parametros'!$B$7+'Parametros'!$B$9+'Parametros'!$B$12/2)+ROUNDDOWN(Z360/2,0)*('Parametros'!$B$7+'Parametros'!$B$9+'Parametros'!$B$12/2+'Parametros'!$B$12+'Parametros'!$B$10))/Z360)</f>
        <v>489.35</v>
      </c>
      <c r="AC360" s="10">
        <f>Z360*'Parametros'!$B$8</f>
        <v>995</v>
      </c>
      <c r="AD360" s="10">
        <f>'Parametros'!$B$5*AC360*'Parametros'!$B$3*(AB360-(AC360*'Parametros'!$B$3/(0.85*'Parametros'!$B$2*H360))/2)/1000000</f>
        <v>177.445379382353</v>
      </c>
      <c r="AE360" s="10" t="str">
        <f>IF(AD360&gt;=L360,"CUMPLE","NO CUMPLE")</f>
        <v>CUMPLE</v>
      </c>
      <c r="AF360" s="10">
        <f>V360*1.25*'Parametros'!$B$3*(U360-(V360*1.25*'Parametros'!$B$3/(0.85*'Parametros'!$B$2*H360))/2)/1000000</f>
        <v>290.238924705882</v>
      </c>
      <c r="AG360" s="10">
        <f>AC360*1.25*'Parametros'!$B$3*(AB360-(AC360*1.25*'Parametros'!$B$3/(0.85*'Parametros'!$B$2*H360))/2)/1000000</f>
        <v>244.158843198529</v>
      </c>
      <c r="AH360" s="10">
        <f>N360+(AF360+AG360)/D360</f>
        <v>447.868883952206</v>
      </c>
      <c r="AI360" s="10">
        <f>MAX(O360,AH360)</f>
        <v>695.356</v>
      </c>
      <c r="AJ360" s="10">
        <f>0.17*SQRT('Parametros'!$B$2)*H360*MIN(U360,AB360)/1000</f>
        <v>220.098728691808</v>
      </c>
      <c r="AK360" s="10">
        <f>MAX(AI360/'Parametros'!$B$6-AJ360,0)</f>
        <v>707.042604641526</v>
      </c>
      <c r="AL360" s="10">
        <f>0.66*SQRT('Parametros'!$B$2)*H360*MIN(U360,AB360)/1000</f>
        <v>854.500946685842</v>
      </c>
      <c r="AM360" s="10" t="str">
        <f>IF(AK360&lt;=AL360,"CUMPLE","NO CUMPLE")</f>
        <v>CUMPLE</v>
      </c>
      <c r="AN360" s="17" t="inlineStr">
        <is>
          <t>Nº4 cerrado</t>
        </is>
      </c>
      <c r="AO360" s="31" t="n">
        <v>4</v>
      </c>
      <c r="AP360" s="10">
        <f>ROUNDDOWN(MIN(IF(BC360+BD360=0,1000000000,AO360*BB360/(BC360+BD360)),MIN(U360,AB360)/4,8*'Parametros'!$B$12,24*BA360,300,IF(AV360=0,1000000000,2*((H360-2*('Parametros'!$B$7+'Parametros'!$B$9/2))+(I360-2*('Parametros'!$B$7+'Parametros'!$B$9/2)))/8))/10,0)*10</f>
        <v>110</v>
      </c>
      <c r="AQ360" s="10">
        <f>ROUNDDOWN(MIN(IF(BC360+BD360=0,1000000000,AO360*BB360/(BC360+BD360)),IF(AK360&gt;0.33*SQRT('Parametros'!$B$2)*H360*MIN(U360,AB360)/1000,MIN(U360,AB360)/4,MIN(U360,AB360)/2),600,IF(AV360=0,1000000000,2*((H360-2*('Parametros'!$B$7+'Parametros'!$B$9/2))+(I360-2*('Parametros'!$B$7+'Parametros'!$B$9/2)))/8))/10,0)*10</f>
        <v>110</v>
      </c>
      <c r="AR360" s="10">
        <f>'Parametros'!$B$6*(AJ360+MAX(BE360-BD360,0)*'Parametros'!$B$4*MIN(U360,AB360)/1000)</f>
        <v>726.40053013307</v>
      </c>
      <c r="AS360" s="10" t="str">
        <f>IF(AND(ISERROR(SEARCH("referencia",AN360)),AM360="CUMPLE",AR360&gt;=AI360),"CUMPLE","NO CUMPLE")</f>
        <v>CUMPLE</v>
      </c>
      <c r="AT360" s="10">
        <f>'Parametros'!$B$6*0.083*SQRT('Parametros'!$B$2)*(H360*I360)^2/(2*(H360+I360))/1000000</f>
        <v>11.862178757599</v>
      </c>
      <c r="AU360" s="10" t="str">
        <f>IF(Q360&lt;=AT360,"DESPRECIABLE","DISEÑAR")</f>
        <v>DISEÑAR</v>
      </c>
      <c r="AV360" s="10">
        <f>IF(Q360&lt;=AT360,0,Q360*1000000/('Parametros'!$B$6*2*0.85*(H360-2*('Parametros'!$B$7+'Parametros'!$B$9/2))*(I360-2*('Parametros'!$B$7+'Parametros'!$B$9/2))*'Parametros'!$B$4))</f>
        <v>0.52468328064355</v>
      </c>
      <c r="AW360" s="10">
        <f>AV360*2*((H360-2*('Parametros'!$B$7+'Parametros'!$B$9/2))+(I360-2*('Parametros'!$B$7+'Parametros'!$B$9/2)))*'Parametros'!$B$4/'Parametros'!$B$3</f>
        <v>907.282328888826</v>
      </c>
      <c r="AX360" s="31" t="n">
        <v>8</v>
      </c>
      <c r="AY360" s="10" t="str">
        <f>IF(AV360=0,"DESPRECIABLE",IF(AND(ISERROR(SEARCH("referencia",AN360)),BB360/AP360&gt;=AV360,BI360&gt;=AW360,BH360="CUMPLE"),"CUMPLE","NO CUMPLE"))</f>
        <v>CUMPLE</v>
      </c>
      <c r="AZ360" s="10" t="str">
        <f>IF(AND(X360="CUMPLE",AE360="CUMPLE",AS360="CUMPLE",OR(AY360="CUMPLE",AY360="DESPRECIABLE"),BH360="CUMPLE",BJ360="CUMPLE"),"CUMPLE","NO CUMPLE")</f>
        <v>CUMPLE</v>
      </c>
      <c r="BA360" s="32" t="n">
        <v>12.7</v>
      </c>
      <c r="BB360" s="32" t="n">
        <v>129</v>
      </c>
      <c r="BC360" s="10">
        <f>MAX(IF(AK360=0,0,AK360*1000/('Parametros'!$B$4*MIN(U360,AB360))),MAX(0.062*SQRT('Parametros'!$B$2)*H360/'Parametros'!$B$4,0.35*H360/'Parametros'!$B$4))</f>
        <v>3.44014462645553</v>
      </c>
      <c r="BD360" s="10">
        <f>2*AV360</f>
        <v>1.0493665612871</v>
      </c>
      <c r="BE360" s="10">
        <f>AO360*BB360/AP360</f>
        <v>4.69090909090909</v>
      </c>
      <c r="BF360" s="10">
        <f>SQRT((AI360*1000/(H360*MIN(U360,AB360)))^2+(Q360*1000000*2*((H360-2*('Parametros'!$B$7+'Parametros'!$B$9/2))+(I360-2*('Parametros'!$B$7+'Parametros'!$B$9/2)))/(1.7*((H360-2*('Parametros'!$B$7+'Parametros'!$B$9/2))*(I360-2*('Parametros'!$B$7+'Parametros'!$B$9/2)))^2))^2)</f>
        <v>3.22972041563903</v>
      </c>
      <c r="BG360" s="10">
        <f>'Parametros'!$B$6*(AJ360*1000/(H360*MIN(U360,AB360))+0.66*SQRT('Parametros'!$B$2))</f>
        <v>3.29396038227542</v>
      </c>
      <c r="BH360" s="10" t="str">
        <f>IF(BF360&lt;=BG360,"CUMPLE","NO CUMPLE")</f>
        <v>CUMPLE</v>
      </c>
      <c r="BI360" s="10">
        <f>AX360*'Parametros'!$B$8</f>
        <v>1592</v>
      </c>
      <c r="BJ360" s="10" t="str">
        <f>IF(BI360&gt;=AW360,"CUMPLE","NO CUMPLE")</f>
        <v>CUMPLE</v>
      </c>
    </row>
    <row r="361">
      <c r="A361" s="25" t="inlineStr">
        <is>
          <t>VR2</t>
        </is>
      </c>
      <c r="B361" s="25" t="inlineStr">
        <is>
          <t>36</t>
        </is>
      </c>
      <c r="C361" s="10" t="n">
        <v>1</v>
      </c>
      <c r="D361" s="10" t="n">
        <v>1.9</v>
      </c>
      <c r="E361" s="10" t="n">
        <v>1.9</v>
      </c>
      <c r="F361" s="10" t="n">
        <v>500</v>
      </c>
      <c r="G361" s="10" t="n">
        <v>550</v>
      </c>
      <c r="H361" s="17" t="n">
        <v>500</v>
      </c>
      <c r="I361" s="17" t="n">
        <v>550</v>
      </c>
      <c r="J361" s="30" t="n">
        <v>180.9472</v>
      </c>
      <c r="K361" s="10" t="inlineStr">
        <is>
          <t>36</t>
        </is>
      </c>
      <c r="L361" s="30" t="n">
        <v>158.1377</v>
      </c>
      <c r="M361" s="10" t="inlineStr">
        <is>
          <t>36</t>
        </is>
      </c>
      <c r="N361" s="30" t="n">
        <v>171.485</v>
      </c>
      <c r="O361" s="30" t="n">
        <v>689.283</v>
      </c>
      <c r="P361" s="10" t="inlineStr">
        <is>
          <t>36</t>
        </is>
      </c>
      <c r="Q361" s="30" t="n">
        <v>23.4095</v>
      </c>
      <c r="R361" s="10">
        <f>MAX(MAX(1.4/'Parametros'!$B$3,0.25*SQRT('Parametros'!$B$2)/'Parametros'!$B$3)*H361*U361,(0.85*'Parametros'!$B$2/'Parametros'!$B$3)*(1-SQRT(1-2*(J361*1000000/('Parametros'!$B$5*H361*U361^2))/(0.85*'Parametros'!$B$2)))*H361*U361)</f>
        <v>1015.41120082009</v>
      </c>
      <c r="S361" s="31" t="n">
        <v>6</v>
      </c>
      <c r="T361" s="32" t="n">
        <v>1</v>
      </c>
      <c r="U361" s="10">
        <f>IF(T361=1,I361-('Parametros'!$B$7+'Parametros'!$B$9+'Parametros'!$B$12/2),I361-(ROUNDUP(S361/2,0)*('Parametros'!$B$7+'Parametros'!$B$9+'Parametros'!$B$12/2)+ROUNDDOWN(S361/2,0)*('Parametros'!$B$7+'Parametros'!$B$9+'Parametros'!$B$12/2+'Parametros'!$B$12+'Parametros'!$B$10))/S361)</f>
        <v>489.35</v>
      </c>
      <c r="V361" s="10">
        <f>S361*'Parametros'!$B$8</f>
        <v>1194</v>
      </c>
      <c r="W361" s="10">
        <f>'Parametros'!$B$5*V361*'Parametros'!$B$3*(U361-(V361*'Parametros'!$B$3/(0.85*'Parametros'!$B$2*H361))/2)/1000000</f>
        <v>211.349483470588</v>
      </c>
      <c r="X361" s="10" t="str">
        <f>IF(W361&gt;=J361,"CUMPLE","NO CUMPLE")</f>
        <v>CUMPLE</v>
      </c>
      <c r="Y361" s="10">
        <f>MAX(MAX(1.4/'Parametros'!$B$3,0.25*SQRT('Parametros'!$B$2)/'Parametros'!$B$3)*H361*AB361,(0.85*'Parametros'!$B$2/'Parametros'!$B$3)*(1-SQRT(1-2*(L361*1000000/('Parametros'!$B$5*H361*AB361^2))/(0.85*'Parametros'!$B$2)))*H361*AB361)</f>
        <v>883.036822165413</v>
      </c>
      <c r="Z361" s="31" t="n">
        <v>5</v>
      </c>
      <c r="AA361" s="32" t="n">
        <v>1</v>
      </c>
      <c r="AB361" s="10">
        <f>IF(AA361=1,I361-('Parametros'!$B$7+'Parametros'!$B$9+'Parametros'!$B$12/2),I361-(ROUNDUP(Z361/2,0)*('Parametros'!$B$7+'Parametros'!$B$9+'Parametros'!$B$12/2)+ROUNDDOWN(Z361/2,0)*('Parametros'!$B$7+'Parametros'!$B$9+'Parametros'!$B$12/2+'Parametros'!$B$12+'Parametros'!$B$10))/Z361)</f>
        <v>489.35</v>
      </c>
      <c r="AC361" s="10">
        <f>Z361*'Parametros'!$B$8</f>
        <v>995</v>
      </c>
      <c r="AD361" s="10">
        <f>'Parametros'!$B$5*AC361*'Parametros'!$B$3*(AB361-(AC361*'Parametros'!$B$3/(0.85*'Parametros'!$B$2*H361))/2)/1000000</f>
        <v>177.445379382353</v>
      </c>
      <c r="AE361" s="10" t="str">
        <f>IF(AD361&gt;=L361,"CUMPLE","NO CUMPLE")</f>
        <v>CUMPLE</v>
      </c>
      <c r="AF361" s="10">
        <f>V361*1.25*'Parametros'!$B$3*(U361-(V361*1.25*'Parametros'!$B$3/(0.85*'Parametros'!$B$2*H361))/2)/1000000</f>
        <v>290.238924705882</v>
      </c>
      <c r="AG361" s="10">
        <f>AC361*1.25*'Parametros'!$B$3*(AB361-(AC361*1.25*'Parametros'!$B$3/(0.85*'Parametros'!$B$2*H361))/2)/1000000</f>
        <v>244.158843198529</v>
      </c>
      <c r="AH361" s="10">
        <f>N361+(AF361+AG361)/D361</f>
        <v>452.746983107585</v>
      </c>
      <c r="AI361" s="10">
        <f>MAX(O361,AH361)</f>
        <v>689.283</v>
      </c>
      <c r="AJ361" s="10">
        <f>0.17*SQRT('Parametros'!$B$2)*H361*MIN(U361,AB361)/1000</f>
        <v>220.098728691808</v>
      </c>
      <c r="AK361" s="10">
        <f>MAX(AI361/'Parametros'!$B$6-AJ361,0)</f>
        <v>698.945271308192</v>
      </c>
      <c r="AL361" s="10">
        <f>0.66*SQRT('Parametros'!$B$2)*H361*MIN(U361,AB361)/1000</f>
        <v>854.500946685842</v>
      </c>
      <c r="AM361" s="10" t="str">
        <f>IF(AK361&lt;=AL361,"CUMPLE","NO CUMPLE")</f>
        <v>CUMPLE</v>
      </c>
      <c r="AN361" s="17" t="inlineStr">
        <is>
          <t>Nº4 cerrado</t>
        </is>
      </c>
      <c r="AO361" s="31" t="n">
        <v>4</v>
      </c>
      <c r="AP361" s="10">
        <f>ROUNDDOWN(MIN(IF(BC361+BD361=0,1000000000,AO361*BB361/(BC361+BD361)),MIN(U361,AB361)/4,8*'Parametros'!$B$12,24*BA361,300,IF(AV361=0,1000000000,2*((H361-2*('Parametros'!$B$7+'Parametros'!$B$9/2))+(I361-2*('Parametros'!$B$7+'Parametros'!$B$9/2)))/8))/10,0)*10</f>
        <v>120</v>
      </c>
      <c r="AQ361" s="10">
        <f>ROUNDDOWN(MIN(IF(BC361+BD361=0,1000000000,AO361*BB361/(BC361+BD361)),IF(AK361&gt;0.33*SQRT('Parametros'!$B$2)*H361*MIN(U361,AB361)/1000,MIN(U361,AB361)/4,MIN(U361,AB361)/2),600,IF(AV361=0,1000000000,2*((H361-2*('Parametros'!$B$7+'Parametros'!$B$9/2))+(I361-2*('Parametros'!$B$7+'Parametros'!$B$9/2)))/8))/10,0)*10</f>
        <v>120</v>
      </c>
      <c r="AR361" s="10">
        <f>'Parametros'!$B$6*(AJ361+MAX(BE361-BD361,0)*'Parametros'!$B$4*MIN(U361,AB361)/1000)</f>
        <v>755.542181153484</v>
      </c>
      <c r="AS361" s="10" t="str">
        <f>IF(AND(ISERROR(SEARCH("referencia",AN361)),AM361="CUMPLE",AR361&gt;=AI361),"CUMPLE","NO CUMPLE")</f>
        <v>CUMPLE</v>
      </c>
      <c r="AT361" s="10">
        <f>'Parametros'!$B$6*0.083*SQRT('Parametros'!$B$2)*(H361*I361)^2/(2*(H361+I361))/1000000</f>
        <v>11.862178757599</v>
      </c>
      <c r="AU361" s="10" t="str">
        <f>IF(Q361&lt;=AT361,"DESPRECIABLE","DISEÑAR")</f>
        <v>DISEÑAR</v>
      </c>
      <c r="AV361" s="10">
        <f>IF(Q361&lt;=AT361,0,Q361*1000000/('Parametros'!$B$6*2*0.85*(H361-2*('Parametros'!$B$7+'Parametros'!$B$9/2))*(I361-2*('Parametros'!$B$7+'Parametros'!$B$9/2))*'Parametros'!$B$4))</f>
        <v>0.234702140887806</v>
      </c>
      <c r="AW361" s="10">
        <f>AV361*2*((H361-2*('Parametros'!$B$7+'Parametros'!$B$9/2))+(I361-2*('Parametros'!$B$7+'Parametros'!$B$9/2)))*'Parametros'!$B$4/'Parametros'!$B$3</f>
        <v>405.846942023194</v>
      </c>
      <c r="AX361" s="31" t="n">
        <v>8</v>
      </c>
      <c r="AY361" s="10" t="str">
        <f>IF(AV361=0,"DESPRECIABLE",IF(AND(ISERROR(SEARCH("referencia",AN361)),BB361/AP361&gt;=AV361,BI361&gt;=AW361,BH361="CUMPLE"),"CUMPLE","NO CUMPLE"))</f>
        <v>CUMPLE</v>
      </c>
      <c r="AZ361" s="10" t="str">
        <f>IF(AND(X361="CUMPLE",AE361="CUMPLE",AS361="CUMPLE",OR(AY361="CUMPLE",AY361="DESPRECIABLE"),BH361="CUMPLE",BJ361="CUMPLE"),"CUMPLE","NO CUMPLE")</f>
        <v>CUMPLE</v>
      </c>
      <c r="BA361" s="32" t="n">
        <v>12.7</v>
      </c>
      <c r="BB361" s="32" t="n">
        <v>129</v>
      </c>
      <c r="BC361" s="10">
        <f>MAX(IF(AK361=0,0,AK361*1000/('Parametros'!$B$4*MIN(U361,AB361))),MAX(0.062*SQRT('Parametros'!$B$2)*H361/'Parametros'!$B$4,0.35*H361/'Parametros'!$B$4))</f>
        <v>3.40074672090865</v>
      </c>
      <c r="BD361" s="10">
        <f>2*AV361</f>
        <v>0.469404281775611</v>
      </c>
      <c r="BE361" s="10">
        <f>AO361*BB361/AP361</f>
        <v>4.3</v>
      </c>
      <c r="BF361" s="10">
        <f>SQRT((AI361*1000/(H361*MIN(U361,AB361)))^2+(Q361*1000000*2*((H361-2*('Parametros'!$B$7+'Parametros'!$B$9/2))+(I361-2*('Parametros'!$B$7+'Parametros'!$B$9/2)))/(1.7*((H361-2*('Parametros'!$B$7+'Parametros'!$B$9/2))*(I361-2*('Parametros'!$B$7+'Parametros'!$B$9/2)))^2))^2)</f>
        <v>2.89954521099758</v>
      </c>
      <c r="BG361" s="10">
        <f>'Parametros'!$B$6*(AJ361*1000/(H361*MIN(U361,AB361))+0.66*SQRT('Parametros'!$B$2))</f>
        <v>3.29396038227542</v>
      </c>
      <c r="BH361" s="10" t="str">
        <f>IF(BF361&lt;=BG361,"CUMPLE","NO CUMPLE")</f>
        <v>CUMPLE</v>
      </c>
      <c r="BI361" s="10">
        <f>AX361*'Parametros'!$B$8</f>
        <v>1592</v>
      </c>
      <c r="BJ361" s="10" t="str">
        <f>IF(BI361&gt;=AW361,"CUMPLE","NO CUMPLE")</f>
        <v>CUMPLE</v>
      </c>
    </row>
    <row r="362">
      <c r="A362" s="25" t="inlineStr">
        <is>
          <t>VR2</t>
        </is>
      </c>
      <c r="B362" s="25" t="inlineStr">
        <is>
          <t>37</t>
        </is>
      </c>
      <c r="C362" s="10" t="n">
        <v>1</v>
      </c>
      <c r="D362" s="10" t="n">
        <v>3.57612</v>
      </c>
      <c r="E362" s="10" t="n">
        <v>3.57612</v>
      </c>
      <c r="F362" s="10" t="n">
        <v>500</v>
      </c>
      <c r="G362" s="10" t="n">
        <v>550</v>
      </c>
      <c r="H362" s="17" t="n">
        <v>500</v>
      </c>
      <c r="I362" s="17" t="n">
        <v>550</v>
      </c>
      <c r="J362" s="30" t="n">
        <v>181.3531</v>
      </c>
      <c r="K362" s="10" t="inlineStr">
        <is>
          <t>37</t>
        </is>
      </c>
      <c r="L362" s="30" t="n">
        <v>116.6392</v>
      </c>
      <c r="M362" s="10" t="inlineStr">
        <is>
          <t>37</t>
        </is>
      </c>
      <c r="N362" s="30" t="n">
        <v>131.323</v>
      </c>
      <c r="O362" s="30" t="n">
        <v>397.046</v>
      </c>
      <c r="P362" s="10" t="inlineStr">
        <is>
          <t>37</t>
        </is>
      </c>
      <c r="Q362" s="30" t="n">
        <v>5.4474</v>
      </c>
      <c r="R362" s="10">
        <f>MAX(MAX(1.4/'Parametros'!$B$3,0.25*SQRT('Parametros'!$B$2)/'Parametros'!$B$3)*H362*U362,(0.85*'Parametros'!$B$2/'Parametros'!$B$3)*(1-SQRT(1-2*(J362*1000000/('Parametros'!$B$5*H362*U362^2))/(0.85*'Parametros'!$B$2)))*H362*U362)</f>
        <v>1017.77918353558</v>
      </c>
      <c r="S362" s="31" t="n">
        <v>6</v>
      </c>
      <c r="T362" s="32" t="n">
        <v>1</v>
      </c>
      <c r="U362" s="10">
        <f>IF(T362=1,I362-('Parametros'!$B$7+'Parametros'!$B$9+'Parametros'!$B$12/2),I362-(ROUNDUP(S362/2,0)*('Parametros'!$B$7+'Parametros'!$B$9+'Parametros'!$B$12/2)+ROUNDDOWN(S362/2,0)*('Parametros'!$B$7+'Parametros'!$B$9+'Parametros'!$B$12/2+'Parametros'!$B$12+'Parametros'!$B$10))/S362)</f>
        <v>489.35</v>
      </c>
      <c r="V362" s="10">
        <f>S362*'Parametros'!$B$8</f>
        <v>1194</v>
      </c>
      <c r="W362" s="10">
        <f>'Parametros'!$B$5*V362*'Parametros'!$B$3*(U362-(V362*'Parametros'!$B$3/(0.85*'Parametros'!$B$2*H362))/2)/1000000</f>
        <v>211.349483470588</v>
      </c>
      <c r="X362" s="10" t="str">
        <f>IF(W362&gt;=J362,"CUMPLE","NO CUMPLE")</f>
        <v>CUMPLE</v>
      </c>
      <c r="Y362" s="10">
        <f>MAX(MAX(1.4/'Parametros'!$B$3,0.25*SQRT('Parametros'!$B$2)/'Parametros'!$B$3)*H362*AB362,(0.85*'Parametros'!$B$2/'Parametros'!$B$3)*(1-SQRT(1-2*(L362*1000000/('Parametros'!$B$5*H362*AB362^2))/(0.85*'Parametros'!$B$2)))*H362*AB362)</f>
        <v>815.583333333333</v>
      </c>
      <c r="Z362" s="31" t="n">
        <v>5</v>
      </c>
      <c r="AA362" s="32" t="n">
        <v>1</v>
      </c>
      <c r="AB362" s="10">
        <f>IF(AA362=1,I362-('Parametros'!$B$7+'Parametros'!$B$9+'Parametros'!$B$12/2),I362-(ROUNDUP(Z362/2,0)*('Parametros'!$B$7+'Parametros'!$B$9+'Parametros'!$B$12/2)+ROUNDDOWN(Z362/2,0)*('Parametros'!$B$7+'Parametros'!$B$9+'Parametros'!$B$12/2+'Parametros'!$B$12+'Parametros'!$B$10))/Z362)</f>
        <v>489.35</v>
      </c>
      <c r="AC362" s="10">
        <f>Z362*'Parametros'!$B$8</f>
        <v>995</v>
      </c>
      <c r="AD362" s="10">
        <f>'Parametros'!$B$5*AC362*'Parametros'!$B$3*(AB362-(AC362*'Parametros'!$B$3/(0.85*'Parametros'!$B$2*H362))/2)/1000000</f>
        <v>177.445379382353</v>
      </c>
      <c r="AE362" s="10" t="str">
        <f>IF(AD362&gt;=L362,"CUMPLE","NO CUMPLE")</f>
        <v>CUMPLE</v>
      </c>
      <c r="AF362" s="10">
        <f>V362*1.25*'Parametros'!$B$3*(U362-(V362*1.25*'Parametros'!$B$3/(0.85*'Parametros'!$B$2*H362))/2)/1000000</f>
        <v>290.238924705882</v>
      </c>
      <c r="AG362" s="10">
        <f>AC362*1.25*'Parametros'!$B$3*(AB362-(AC362*1.25*'Parametros'!$B$3/(0.85*'Parametros'!$B$2*H362))/2)/1000000</f>
        <v>244.158843198529</v>
      </c>
      <c r="AH362" s="10">
        <f>N362+(AF362+AG362)/D362</f>
        <v>280.758077095962</v>
      </c>
      <c r="AI362" s="10">
        <f>MAX(O362,AH362)</f>
        <v>397.046</v>
      </c>
      <c r="AJ362" s="10">
        <f>0.17*SQRT('Parametros'!$B$2)*H362*MIN(U362,AB362)/1000</f>
        <v>220.098728691808</v>
      </c>
      <c r="AK362" s="10">
        <f>MAX(AI362/'Parametros'!$B$6-AJ362,0)</f>
        <v>309.295937974859</v>
      </c>
      <c r="AL362" s="10">
        <f>0.66*SQRT('Parametros'!$B$2)*H362*MIN(U362,AB362)/1000</f>
        <v>854.500946685842</v>
      </c>
      <c r="AM362" s="10" t="str">
        <f>IF(AK362&lt;=AL362,"CUMPLE","NO CUMPLE")</f>
        <v>CUMPLE</v>
      </c>
      <c r="AN362" s="17" t="inlineStr">
        <is>
          <t>Nº3 cerrado</t>
        </is>
      </c>
      <c r="AO362" s="31" t="n">
        <v>2</v>
      </c>
      <c r="AP362" s="10">
        <f>ROUNDDOWN(MIN(IF(BC362+BD362=0,1000000000,AO362*BB362/(BC362+BD362)),MIN(U362,AB362)/4,8*'Parametros'!$B$12,24*BA362,300,IF(AV362=0,1000000000,2*((H362-2*('Parametros'!$B$7+'Parametros'!$B$9/2))+(I362-2*('Parametros'!$B$7+'Parametros'!$B$9/2)))/8))/10,0)*10</f>
        <v>90</v>
      </c>
      <c r="AQ362" s="10">
        <f>ROUNDDOWN(MIN(IF(BC362+BD362=0,1000000000,AO362*BB362/(BC362+BD362)),IF(AK362&gt;0.33*SQRT('Parametros'!$B$2)*H362*MIN(U362,AB362)/1000,MIN(U362,AB362)/4,MIN(U362,AB362)/2),600,IF(AV362=0,1000000000,2*((H362-2*('Parametros'!$B$7+'Parametros'!$B$9/2))+(I362-2*('Parametros'!$B$7+'Parametros'!$B$9/2)))/8))/10,0)*10</f>
        <v>90</v>
      </c>
      <c r="AR362" s="10">
        <f>'Parametros'!$B$6*(AJ362+MAX(BE362-BD362,0)*'Parametros'!$B$4*MIN(U362,AB362)/1000)</f>
        <v>408.280996518856</v>
      </c>
      <c r="AS362" s="10" t="str">
        <f>IF(AND(ISERROR(SEARCH("referencia",AN362)),AM362="CUMPLE",AR362&gt;=AI362),"CUMPLE","NO CUMPLE")</f>
        <v>CUMPLE</v>
      </c>
      <c r="AT362" s="10">
        <f>'Parametros'!$B$6*0.083*SQRT('Parametros'!$B$2)*(H362*I362)^2/(2*(H362+I362))/1000000</f>
        <v>11.862178757599</v>
      </c>
      <c r="AU362" s="10" t="str">
        <f>IF(Q362&lt;=AT362,"DESPRECIABLE","DISEÑAR")</f>
        <v>DESPRECIABLE</v>
      </c>
      <c r="AV362" s="10">
        <f>IF(Q362&lt;=AT362,0,Q362*1000000/('Parametros'!$B$6*2*0.85*(H362-2*('Parametros'!$B$7+'Parametros'!$B$9/2))*(I362-2*('Parametros'!$B$7+'Parametros'!$B$9/2))*'Parametros'!$B$4))</f>
        <v>0</v>
      </c>
      <c r="AW362" s="10">
        <f>AV362*2*((H362-2*('Parametros'!$B$7+'Parametros'!$B$9/2))+(I362-2*('Parametros'!$B$7+'Parametros'!$B$9/2)))*'Parametros'!$B$4/'Parametros'!$B$3</f>
        <v>0</v>
      </c>
      <c r="AX362" s="31" t="n">
        <v>0</v>
      </c>
      <c r="AY362" s="10" t="str">
        <f>IF(AV362=0,"DESPRECIABLE",IF(AND(ISERROR(SEARCH("referencia",AN362)),BB362/AP362&gt;=AV362,BI362&gt;=AW362,BH362="CUMPLE"),"CUMPLE","NO CUMPLE"))</f>
        <v>DESPRECIABLE</v>
      </c>
      <c r="AZ362" s="10" t="str">
        <f>IF(AND(X362="CUMPLE",AE362="CUMPLE",AS362="CUMPLE",OR(AY362="CUMPLE",AY362="DESPRECIABLE"),BH362="CUMPLE",BJ362="CUMPLE"),"CUMPLE","NO CUMPLE")</f>
        <v>CUMPLE</v>
      </c>
      <c r="BA362" s="32" t="n">
        <v>9.5</v>
      </c>
      <c r="BB362" s="32" t="n">
        <v>71</v>
      </c>
      <c r="BC362" s="10">
        <f>MAX(IF(AK362=0,0,AK362*1000/('Parametros'!$B$4*MIN(U362,AB362))),MAX(0.062*SQRT('Parametros'!$B$2)*H362/'Parametros'!$B$4,0.35*H362/'Parametros'!$B$4))</f>
        <v>1.50489199946897</v>
      </c>
      <c r="BD362" s="10">
        <f>2*AV362</f>
        <v>0</v>
      </c>
      <c r="BE362" s="10">
        <f>AO362*BB362/AP362</f>
        <v>1.57777777777778</v>
      </c>
      <c r="BF362" s="10">
        <f>SQRT((AI362*1000/(H362*MIN(U362,AB362)))^2+(Q362*1000000*2*((H362-2*('Parametros'!$B$7+'Parametros'!$B$9/2))+(I362-2*('Parametros'!$B$7+'Parametros'!$B$9/2)))/(1.7*((H362-2*('Parametros'!$B$7+'Parametros'!$B$9/2))*(I362-2*('Parametros'!$B$7+'Parametros'!$B$9/2)))^2))^2)</f>
        <v>1.63058968891603</v>
      </c>
      <c r="BG362" s="10">
        <f>'Parametros'!$B$6*(AJ362*1000/(H362*MIN(U362,AB362))+0.66*SQRT('Parametros'!$B$2))</f>
        <v>3.29396038227542</v>
      </c>
      <c r="BH362" s="10" t="str">
        <f>IF(BF362&lt;=BG362,"CUMPLE","NO CUMPLE")</f>
        <v>CUMPLE</v>
      </c>
      <c r="BI362" s="10">
        <f>AX362*'Parametros'!$B$8</f>
        <v>0</v>
      </c>
      <c r="BJ362" s="10" t="str">
        <f>IF(BI362&gt;=AW362,"CUMPLE","NO CUMPLE")</f>
        <v>CUMPLE</v>
      </c>
    </row>
    <row r="363">
      <c r="A363" s="25" t="inlineStr">
        <is>
          <t>VR2</t>
        </is>
      </c>
      <c r="B363" s="25" t="inlineStr">
        <is>
          <t>38</t>
        </is>
      </c>
      <c r="C363" s="10" t="n">
        <v>1</v>
      </c>
      <c r="D363" s="10" t="n">
        <v>2.1</v>
      </c>
      <c r="E363" s="10" t="n">
        <v>2.1</v>
      </c>
      <c r="F363" s="10" t="n">
        <v>500</v>
      </c>
      <c r="G363" s="10" t="n">
        <v>550</v>
      </c>
      <c r="H363" s="17" t="n">
        <v>500</v>
      </c>
      <c r="I363" s="17" t="n">
        <v>550</v>
      </c>
      <c r="J363" s="30" t="n">
        <v>192.6392</v>
      </c>
      <c r="K363" s="10" t="inlineStr">
        <is>
          <t>38</t>
        </is>
      </c>
      <c r="L363" s="30" t="n">
        <v>168.1052</v>
      </c>
      <c r="M363" s="10" t="inlineStr">
        <is>
          <t>38</t>
        </is>
      </c>
      <c r="N363" s="30" t="n">
        <v>173.944</v>
      </c>
      <c r="O363" s="30" t="n">
        <v>638.979</v>
      </c>
      <c r="P363" s="10" t="inlineStr">
        <is>
          <t>38</t>
        </is>
      </c>
      <c r="Q363" s="30" t="n">
        <v>93.7169</v>
      </c>
      <c r="R363" s="10">
        <f>MAX(MAX(1.4/'Parametros'!$B$3,0.25*SQRT('Parametros'!$B$2)/'Parametros'!$B$3)*H363*U363,(0.85*'Parametros'!$B$2/'Parametros'!$B$3)*(1-SQRT(1-2*(J363*1000000/('Parametros'!$B$5*H363*U363^2))/(0.85*'Parametros'!$B$2)))*H363*U363)</f>
        <v>1083.79692865524</v>
      </c>
      <c r="S363" s="31" t="n">
        <v>6</v>
      </c>
      <c r="T363" s="32" t="n">
        <v>1</v>
      </c>
      <c r="U363" s="10">
        <f>IF(T363=1,I363-('Parametros'!$B$7+'Parametros'!$B$9+'Parametros'!$B$12/2),I363-(ROUNDUP(S363/2,0)*('Parametros'!$B$7+'Parametros'!$B$9+'Parametros'!$B$12/2)+ROUNDDOWN(S363/2,0)*('Parametros'!$B$7+'Parametros'!$B$9+'Parametros'!$B$12/2+'Parametros'!$B$12+'Parametros'!$B$10))/S363)</f>
        <v>489.35</v>
      </c>
      <c r="V363" s="10">
        <f>S363*'Parametros'!$B$8</f>
        <v>1194</v>
      </c>
      <c r="W363" s="10">
        <f>'Parametros'!$B$5*V363*'Parametros'!$B$3*(U363-(V363*'Parametros'!$B$3/(0.85*'Parametros'!$B$2*H363))/2)/1000000</f>
        <v>211.349483470588</v>
      </c>
      <c r="X363" s="10" t="str">
        <f>IF(W363&gt;=J363,"CUMPLE","NO CUMPLE")</f>
        <v>CUMPLE</v>
      </c>
      <c r="Y363" s="10">
        <f>MAX(MAX(1.4/'Parametros'!$B$3,0.25*SQRT('Parametros'!$B$2)/'Parametros'!$B$3)*H363*AB363,(0.85*'Parametros'!$B$2/'Parametros'!$B$3)*(1-SQRT(1-2*(L363*1000000/('Parametros'!$B$5*H363*AB363^2))/(0.85*'Parametros'!$B$2)))*H363*AB363)</f>
        <v>940.716178229408</v>
      </c>
      <c r="Z363" s="31" t="n">
        <v>5</v>
      </c>
      <c r="AA363" s="32" t="n">
        <v>1</v>
      </c>
      <c r="AB363" s="10">
        <f>IF(AA363=1,I363-('Parametros'!$B$7+'Parametros'!$B$9+'Parametros'!$B$12/2),I363-(ROUNDUP(Z363/2,0)*('Parametros'!$B$7+'Parametros'!$B$9+'Parametros'!$B$12/2)+ROUNDDOWN(Z363/2,0)*('Parametros'!$B$7+'Parametros'!$B$9+'Parametros'!$B$12/2+'Parametros'!$B$12+'Parametros'!$B$10))/Z363)</f>
        <v>489.35</v>
      </c>
      <c r="AC363" s="10">
        <f>Z363*'Parametros'!$B$8</f>
        <v>995</v>
      </c>
      <c r="AD363" s="10">
        <f>'Parametros'!$B$5*AC363*'Parametros'!$B$3*(AB363-(AC363*'Parametros'!$B$3/(0.85*'Parametros'!$B$2*H363))/2)/1000000</f>
        <v>177.445379382353</v>
      </c>
      <c r="AE363" s="10" t="str">
        <f>IF(AD363&gt;=L363,"CUMPLE","NO CUMPLE")</f>
        <v>CUMPLE</v>
      </c>
      <c r="AF363" s="10">
        <f>V363*1.25*'Parametros'!$B$3*(U363-(V363*1.25*'Parametros'!$B$3/(0.85*'Parametros'!$B$2*H363))/2)/1000000</f>
        <v>290.238924705882</v>
      </c>
      <c r="AG363" s="10">
        <f>AC363*1.25*'Parametros'!$B$3*(AB363-(AC363*1.25*'Parametros'!$B$3/(0.85*'Parametros'!$B$2*H363))/2)/1000000</f>
        <v>244.158843198529</v>
      </c>
      <c r="AH363" s="10">
        <f>N363+(AF363+AG363)/D363</f>
        <v>428.419127573529</v>
      </c>
      <c r="AI363" s="10">
        <f>MAX(O363,AH363)</f>
        <v>638.979</v>
      </c>
      <c r="AJ363" s="10">
        <f>0.17*SQRT('Parametros'!$B$2)*H363*MIN(U363,AB363)/1000</f>
        <v>220.098728691808</v>
      </c>
      <c r="AK363" s="10">
        <f>MAX(AI363/'Parametros'!$B$6-AJ363,0)</f>
        <v>631.873271308192</v>
      </c>
      <c r="AL363" s="10">
        <f>0.66*SQRT('Parametros'!$B$2)*H363*MIN(U363,AB363)/1000</f>
        <v>854.500946685842</v>
      </c>
      <c r="AM363" s="10" t="str">
        <f>IF(AK363&lt;=AL363,"CUMPLE","NO CUMPLE")</f>
        <v>CUMPLE</v>
      </c>
      <c r="AN363" s="17" t="inlineStr">
        <is>
          <t>Nº4 cerrado</t>
        </is>
      </c>
      <c r="AO363" s="31" t="n">
        <v>4</v>
      </c>
      <c r="AP363" s="10">
        <f>ROUNDDOWN(MIN(IF(BC363+BD363=0,1000000000,AO363*BB363/(BC363+BD363)),MIN(U363,AB363)/4,8*'Parametros'!$B$12,24*BA363,300,IF(AV363=0,1000000000,2*((H363-2*('Parametros'!$B$7+'Parametros'!$B$9/2))+(I363-2*('Parametros'!$B$7+'Parametros'!$B$9/2)))/8))/10,0)*10</f>
        <v>100</v>
      </c>
      <c r="AQ363" s="10">
        <f>ROUNDDOWN(MIN(IF(BC363+BD363=0,1000000000,AO363*BB363/(BC363+BD363)),IF(AK363&gt;0.33*SQRT('Parametros'!$B$2)*H363*MIN(U363,AB363)/1000,MIN(U363,AB363)/4,MIN(U363,AB363)/2),600,IF(AV363=0,1000000000,2*((H363-2*('Parametros'!$B$7+'Parametros'!$B$9/2))+(I363-2*('Parametros'!$B$7+'Parametros'!$B$9/2)))/8))/10,0)*10</f>
        <v>100</v>
      </c>
      <c r="AR363" s="10">
        <f>'Parametros'!$B$6*(AJ363+MAX(BE363-BD363,0)*'Parametros'!$B$4*MIN(U363,AB363)/1000)</f>
        <v>670.793902990693</v>
      </c>
      <c r="AS363" s="10" t="str">
        <f>IF(AND(ISERROR(SEARCH("referencia",AN363)),AM363="CUMPLE",AR363&gt;=AI363),"CUMPLE","NO CUMPLE")</f>
        <v>CUMPLE</v>
      </c>
      <c r="AT363" s="10">
        <f>'Parametros'!$B$6*0.083*SQRT('Parametros'!$B$2)*(H363*I363)^2/(2*(H363+I363))/1000000</f>
        <v>11.862178757599</v>
      </c>
      <c r="AU363" s="10" t="str">
        <f>IF(Q363&lt;=AT363,"DESPRECIABLE","DISEÑAR")</f>
        <v>DISEÑAR</v>
      </c>
      <c r="AV363" s="10">
        <f>IF(Q363&lt;=AT363,0,Q363*1000000/('Parametros'!$B$6*2*0.85*(H363-2*('Parametros'!$B$7+'Parametros'!$B$9/2))*(I363-2*('Parametros'!$B$7+'Parametros'!$B$9/2))*'Parametros'!$B$4))</f>
        <v>0.939599609874982</v>
      </c>
      <c r="AW363" s="10">
        <f>AV363*2*((H363-2*('Parametros'!$B$7+'Parametros'!$B$9/2))+(I363-2*('Parametros'!$B$7+'Parametros'!$B$9/2)))*'Parametros'!$B$4/'Parametros'!$B$3</f>
        <v>1624.75564539582</v>
      </c>
      <c r="AX363" s="31" t="n">
        <v>12</v>
      </c>
      <c r="AY363" s="10" t="str">
        <f>IF(AV363=0,"DESPRECIABLE",IF(AND(ISERROR(SEARCH("referencia",AN363)),BB363/AP363&gt;=AV363,BI363&gt;=AW363,BH363="CUMPLE"),"CUMPLE","NO CUMPLE"))</f>
        <v>NO CUMPLE</v>
      </c>
      <c r="AZ363" s="10" t="str">
        <f>IF(AND(X363="CUMPLE",AE363="CUMPLE",AS363="CUMPLE",OR(AY363="CUMPLE",AY363="DESPRECIABLE"),BH363="CUMPLE",BJ363="CUMPLE"),"CUMPLE","NO CUMPLE")</f>
        <v>NO CUMPLE</v>
      </c>
      <c r="BA363" s="32" t="n">
        <v>12.7</v>
      </c>
      <c r="BB363" s="32" t="n">
        <v>129</v>
      </c>
      <c r="BC363" s="10">
        <f>MAX(IF(AK363=0,0,AK363*1000/('Parametros'!$B$4*MIN(U363,AB363))),MAX(0.062*SQRT('Parametros'!$B$2)*H363/'Parametros'!$B$4,0.35*H363/'Parametros'!$B$4))</f>
        <v>3.07440516967694</v>
      </c>
      <c r="BD363" s="10">
        <f>2*AV363</f>
        <v>1.87919921974996</v>
      </c>
      <c r="BE363" s="10">
        <f>AO363*BB363/AP363</f>
        <v>5.16</v>
      </c>
      <c r="BF363" s="10">
        <f>SQRT((AI363*1000/(H363*MIN(U363,AB363)))^2+(Q363*1000000*2*((H363-2*('Parametros'!$B$7+'Parametros'!$B$9/2))+(I363-2*('Parametros'!$B$7+'Parametros'!$B$9/2)))/(1.7*((H363-2*('Parametros'!$B$7+'Parametros'!$B$9/2))*(I363-2*('Parametros'!$B$7+'Parametros'!$B$9/2)))^2))^2)</f>
        <v>3.79084183751566</v>
      </c>
      <c r="BG363" s="10">
        <f>'Parametros'!$B$6*(AJ363*1000/(H363*MIN(U363,AB363))+0.66*SQRT('Parametros'!$B$2))</f>
        <v>3.29396038227542</v>
      </c>
      <c r="BH363" s="10" t="str">
        <f>IF(BF363&lt;=BG363,"CUMPLE","NO CUMPLE")</f>
        <v>NO CUMPLE</v>
      </c>
      <c r="BI363" s="10">
        <f>AX363*'Parametros'!$B$8</f>
        <v>2388</v>
      </c>
      <c r="BJ363" s="10" t="str">
        <f>IF(BI363&gt;=AW363,"CUMPLE","NO CUMPLE")</f>
        <v>CUMPLE</v>
      </c>
    </row>
    <row r="364">
      <c r="A364" s="25" t="inlineStr">
        <is>
          <t>VR2</t>
        </is>
      </c>
      <c r="B364" s="25" t="inlineStr">
        <is>
          <t>39</t>
        </is>
      </c>
      <c r="C364" s="10" t="n">
        <v>1</v>
      </c>
      <c r="D364" s="10" t="n">
        <v>2.2</v>
      </c>
      <c r="E364" s="10" t="n">
        <v>2.2</v>
      </c>
      <c r="F364" s="10" t="n">
        <v>500</v>
      </c>
      <c r="G364" s="10" t="n">
        <v>550</v>
      </c>
      <c r="H364" s="17" t="n">
        <v>500</v>
      </c>
      <c r="I364" s="17" t="n">
        <v>550</v>
      </c>
      <c r="J364" s="30" t="n">
        <v>191.9338</v>
      </c>
      <c r="K364" s="10" t="inlineStr">
        <is>
          <t>39</t>
        </is>
      </c>
      <c r="L364" s="30" t="n">
        <v>165.1515</v>
      </c>
      <c r="M364" s="10" t="inlineStr">
        <is>
          <t>39</t>
        </is>
      </c>
      <c r="N364" s="30" t="n">
        <v>169.359</v>
      </c>
      <c r="O364" s="30" t="n">
        <v>614.048</v>
      </c>
      <c r="P364" s="10" t="inlineStr">
        <is>
          <t>39</t>
        </is>
      </c>
      <c r="Q364" s="30" t="n">
        <v>90.6913</v>
      </c>
      <c r="R364" s="10">
        <f>MAX(MAX(1.4/'Parametros'!$B$3,0.25*SQRT('Parametros'!$B$2)/'Parametros'!$B$3)*H364*U364,(0.85*'Parametros'!$B$2/'Parametros'!$B$3)*(1-SQRT(1-2*(J364*1000000/('Parametros'!$B$5*H364*U364^2))/(0.85*'Parametros'!$B$2)))*H364*U364)</f>
        <v>1079.66072269746</v>
      </c>
      <c r="S364" s="31" t="n">
        <v>6</v>
      </c>
      <c r="T364" s="32" t="n">
        <v>1</v>
      </c>
      <c r="U364" s="10">
        <f>IF(T364=1,I364-('Parametros'!$B$7+'Parametros'!$B$9+'Parametros'!$B$12/2),I364-(ROUNDUP(S364/2,0)*('Parametros'!$B$7+'Parametros'!$B$9+'Parametros'!$B$12/2)+ROUNDDOWN(S364/2,0)*('Parametros'!$B$7+'Parametros'!$B$9+'Parametros'!$B$12/2+'Parametros'!$B$12+'Parametros'!$B$10))/S364)</f>
        <v>489.35</v>
      </c>
      <c r="V364" s="10">
        <f>S364*'Parametros'!$B$8</f>
        <v>1194</v>
      </c>
      <c r="W364" s="10">
        <f>'Parametros'!$B$5*V364*'Parametros'!$B$3*(U364-(V364*'Parametros'!$B$3/(0.85*'Parametros'!$B$2*H364))/2)/1000000</f>
        <v>211.349483470588</v>
      </c>
      <c r="X364" s="10" t="str">
        <f>IF(W364&gt;=J364,"CUMPLE","NO CUMPLE")</f>
        <v>CUMPLE</v>
      </c>
      <c r="Y364" s="10">
        <f>MAX(MAX(1.4/'Parametros'!$B$3,0.25*SQRT('Parametros'!$B$2)/'Parametros'!$B$3)*H364*AB364,(0.85*'Parametros'!$B$2/'Parametros'!$B$3)*(1-SQRT(1-2*(L364*1000000/('Parametros'!$B$5*H364*AB364^2))/(0.85*'Parametros'!$B$2)))*H364*AB364)</f>
        <v>923.59707406137</v>
      </c>
      <c r="Z364" s="31" t="n">
        <v>5</v>
      </c>
      <c r="AA364" s="32" t="n">
        <v>1</v>
      </c>
      <c r="AB364" s="10">
        <f>IF(AA364=1,I364-('Parametros'!$B$7+'Parametros'!$B$9+'Parametros'!$B$12/2),I364-(ROUNDUP(Z364/2,0)*('Parametros'!$B$7+'Parametros'!$B$9+'Parametros'!$B$12/2)+ROUNDDOWN(Z364/2,0)*('Parametros'!$B$7+'Parametros'!$B$9+'Parametros'!$B$12/2+'Parametros'!$B$12+'Parametros'!$B$10))/Z364)</f>
        <v>489.35</v>
      </c>
      <c r="AC364" s="10">
        <f>Z364*'Parametros'!$B$8</f>
        <v>995</v>
      </c>
      <c r="AD364" s="10">
        <f>'Parametros'!$B$5*AC364*'Parametros'!$B$3*(AB364-(AC364*'Parametros'!$B$3/(0.85*'Parametros'!$B$2*H364))/2)/1000000</f>
        <v>177.445379382353</v>
      </c>
      <c r="AE364" s="10" t="str">
        <f>IF(AD364&gt;=L364,"CUMPLE","NO CUMPLE")</f>
        <v>CUMPLE</v>
      </c>
      <c r="AF364" s="10">
        <f>V364*1.25*'Parametros'!$B$3*(U364-(V364*1.25*'Parametros'!$B$3/(0.85*'Parametros'!$B$2*H364))/2)/1000000</f>
        <v>290.238924705882</v>
      </c>
      <c r="AG364" s="10">
        <f>AC364*1.25*'Parametros'!$B$3*(AB364-(AC364*1.25*'Parametros'!$B$3/(0.85*'Parametros'!$B$2*H364))/2)/1000000</f>
        <v>244.158843198529</v>
      </c>
      <c r="AH364" s="10">
        <f>N364+(AF364+AG364)/D364</f>
        <v>412.267076320187</v>
      </c>
      <c r="AI364" s="10">
        <f>MAX(O364,AH364)</f>
        <v>614.048</v>
      </c>
      <c r="AJ364" s="10">
        <f>0.17*SQRT('Parametros'!$B$2)*H364*MIN(U364,AB364)/1000</f>
        <v>220.098728691808</v>
      </c>
      <c r="AK364" s="10">
        <f>MAX(AI364/'Parametros'!$B$6-AJ364,0)</f>
        <v>598.631937974859</v>
      </c>
      <c r="AL364" s="10">
        <f>0.66*SQRT('Parametros'!$B$2)*H364*MIN(U364,AB364)/1000</f>
        <v>854.500946685842</v>
      </c>
      <c r="AM364" s="10" t="str">
        <f>IF(AK364&lt;=AL364,"CUMPLE","NO CUMPLE")</f>
        <v>CUMPLE</v>
      </c>
      <c r="AN364" s="17" t="inlineStr">
        <is>
          <t>Nº4 cerrado</t>
        </is>
      </c>
      <c r="AO364" s="31" t="n">
        <v>4</v>
      </c>
      <c r="AP364" s="10">
        <f>ROUNDDOWN(MIN(IF(BC364+BD364=0,1000000000,AO364*BB364/(BC364+BD364)),MIN(U364,AB364)/4,8*'Parametros'!$B$12,24*BA364,300,IF(AV364=0,1000000000,2*((H364-2*('Parametros'!$B$7+'Parametros'!$B$9/2))+(I364-2*('Parametros'!$B$7+'Parametros'!$B$9/2)))/8))/10,0)*10</f>
        <v>100</v>
      </c>
      <c r="AQ364" s="10">
        <f>ROUNDDOWN(MIN(IF(BC364+BD364=0,1000000000,AO364*BB364/(BC364+BD364)),IF(AK364&gt;0.33*SQRT('Parametros'!$B$2)*H364*MIN(U364,AB364)/1000,MIN(U364,AB364)/4,MIN(U364,AB364)/2),600,IF(AV364=0,1000000000,2*((H364-2*('Parametros'!$B$7+'Parametros'!$B$9/2))+(I364-2*('Parametros'!$B$7+'Parametros'!$B$9/2)))/8))/10,0)*10</f>
        <v>100</v>
      </c>
      <c r="AR364" s="10">
        <f>'Parametros'!$B$6*(AJ364+MAX(BE364-BD364,0)*'Parametros'!$B$4*MIN(U364,AB364)/1000)</f>
        <v>680.145732204023</v>
      </c>
      <c r="AS364" s="10" t="str">
        <f>IF(AND(ISERROR(SEARCH("referencia",AN364)),AM364="CUMPLE",AR364&gt;=AI364),"CUMPLE","NO CUMPLE")</f>
        <v>CUMPLE</v>
      </c>
      <c r="AT364" s="10">
        <f>'Parametros'!$B$6*0.083*SQRT('Parametros'!$B$2)*(H364*I364)^2/(2*(H364+I364))/1000000</f>
        <v>11.862178757599</v>
      </c>
      <c r="AU364" s="10" t="str">
        <f>IF(Q364&lt;=AT364,"DESPRECIABLE","DISEÑAR")</f>
        <v>DISEÑAR</v>
      </c>
      <c r="AV364" s="10">
        <f>IF(Q364&lt;=AT364,0,Q364*1000000/('Parametros'!$B$6*2*0.85*(H364-2*('Parametros'!$B$7+'Parametros'!$B$9/2))*(I364-2*('Parametros'!$B$7+'Parametros'!$B$9/2))*'Parametros'!$B$4))</f>
        <v>0.909265138934973</v>
      </c>
      <c r="AW364" s="10">
        <f>AV364*2*((H364-2*('Parametros'!$B$7+'Parametros'!$B$9/2))+(I364-2*('Parametros'!$B$7+'Parametros'!$B$9/2)))*'Parametros'!$B$4/'Parametros'!$B$3</f>
        <v>1572.30127824636</v>
      </c>
      <c r="AX364" s="31" t="n">
        <v>8</v>
      </c>
      <c r="AY364" s="10" t="str">
        <f>IF(AV364=0,"DESPRECIABLE",IF(AND(ISERROR(SEARCH("referencia",AN364)),BB364/AP364&gt;=AV364,BI364&gt;=AW364,BH364="CUMPLE"),"CUMPLE","NO CUMPLE"))</f>
        <v>NO CUMPLE</v>
      </c>
      <c r="AZ364" s="10" t="str">
        <f>IF(AND(X364="CUMPLE",AE364="CUMPLE",AS364="CUMPLE",OR(AY364="CUMPLE",AY364="DESPRECIABLE"),BH364="CUMPLE",BJ364="CUMPLE"),"CUMPLE","NO CUMPLE")</f>
        <v>NO CUMPLE</v>
      </c>
      <c r="BA364" s="32" t="n">
        <v>12.7</v>
      </c>
      <c r="BB364" s="32" t="n">
        <v>129</v>
      </c>
      <c r="BC364" s="10">
        <f>MAX(IF(AK364=0,0,AK364*1000/('Parametros'!$B$4*MIN(U364,AB364))),MAX(0.062*SQRT('Parametros'!$B$2)*H364/'Parametros'!$B$4,0.35*H364/'Parametros'!$B$4))</f>
        <v>2.91266810674441</v>
      </c>
      <c r="BD364" s="10">
        <f>2*AV364</f>
        <v>1.81853027786995</v>
      </c>
      <c r="BE364" s="10">
        <f>AO364*BB364/AP364</f>
        <v>5.16</v>
      </c>
      <c r="BF364" s="10">
        <f>SQRT((AI364*1000/(H364*MIN(U364,AB364)))^2+(Q364*1000000*2*((H364-2*('Parametros'!$B$7+'Parametros'!$B$9/2))+(I364-2*('Parametros'!$B$7+'Parametros'!$B$9/2)))/(1.7*((H364-2*('Parametros'!$B$7+'Parametros'!$B$9/2))*(I364-2*('Parametros'!$B$7+'Parametros'!$B$9/2)))^2))^2)</f>
        <v>3.65636628220759</v>
      </c>
      <c r="BG364" s="10">
        <f>'Parametros'!$B$6*(AJ364*1000/(H364*MIN(U364,AB364))+0.66*SQRT('Parametros'!$B$2))</f>
        <v>3.29396038227542</v>
      </c>
      <c r="BH364" s="10" t="str">
        <f>IF(BF364&lt;=BG364,"CUMPLE","NO CUMPLE")</f>
        <v>NO CUMPLE</v>
      </c>
      <c r="BI364" s="10">
        <f>AX364*'Parametros'!$B$8</f>
        <v>1592</v>
      </c>
      <c r="BJ364" s="10" t="str">
        <f>IF(BI364&gt;=AW364,"CUMPLE","NO CUMPLE")</f>
        <v>CUMPLE</v>
      </c>
    </row>
    <row r="365">
      <c r="A365" s="25" t="inlineStr">
        <is>
          <t>VR2</t>
        </is>
      </c>
      <c r="B365" s="25" t="inlineStr">
        <is>
          <t>40</t>
        </is>
      </c>
      <c r="C365" s="10" t="n">
        <v>1</v>
      </c>
      <c r="D365" s="10" t="n">
        <v>3.57612</v>
      </c>
      <c r="E365" s="10" t="n">
        <v>3.57612</v>
      </c>
      <c r="F365" s="10" t="n">
        <v>500</v>
      </c>
      <c r="G365" s="10" t="n">
        <v>550</v>
      </c>
      <c r="H365" s="17" t="n">
        <v>500</v>
      </c>
      <c r="I365" s="17" t="n">
        <v>550</v>
      </c>
      <c r="J365" s="30" t="n">
        <v>181.3721</v>
      </c>
      <c r="K365" s="10" t="inlineStr">
        <is>
          <t>40</t>
        </is>
      </c>
      <c r="L365" s="30" t="n">
        <v>116.7428</v>
      </c>
      <c r="M365" s="10" t="inlineStr">
        <is>
          <t>40</t>
        </is>
      </c>
      <c r="N365" s="30" t="n">
        <v>131.34</v>
      </c>
      <c r="O365" s="30" t="n">
        <v>397.259</v>
      </c>
      <c r="P365" s="10" t="inlineStr">
        <is>
          <t>40</t>
        </is>
      </c>
      <c r="Q365" s="30" t="n">
        <v>5.278</v>
      </c>
      <c r="R365" s="10">
        <f>MAX(MAX(1.4/'Parametros'!$B$3,0.25*SQRT('Parametros'!$B$2)/'Parametros'!$B$3)*H365*U365,(0.85*'Parametros'!$B$2/'Parametros'!$B$3)*(1-SQRT(1-2*(J365*1000000/('Parametros'!$B$5*H365*U365^2))/(0.85*'Parametros'!$B$2)))*H365*U365)</f>
        <v>1017.89003845589</v>
      </c>
      <c r="S365" s="31" t="n">
        <v>6</v>
      </c>
      <c r="T365" s="32" t="n">
        <v>1</v>
      </c>
      <c r="U365" s="10">
        <f>IF(T365=1,I365-('Parametros'!$B$7+'Parametros'!$B$9+'Parametros'!$B$12/2),I365-(ROUNDUP(S365/2,0)*('Parametros'!$B$7+'Parametros'!$B$9+'Parametros'!$B$12/2)+ROUNDDOWN(S365/2,0)*('Parametros'!$B$7+'Parametros'!$B$9+'Parametros'!$B$12/2+'Parametros'!$B$12+'Parametros'!$B$10))/S365)</f>
        <v>489.35</v>
      </c>
      <c r="V365" s="10">
        <f>S365*'Parametros'!$B$8</f>
        <v>1194</v>
      </c>
      <c r="W365" s="10">
        <f>'Parametros'!$B$5*V365*'Parametros'!$B$3*(U365-(V365*'Parametros'!$B$3/(0.85*'Parametros'!$B$2*H365))/2)/1000000</f>
        <v>211.349483470588</v>
      </c>
      <c r="X365" s="10" t="str">
        <f>IF(W365&gt;=J365,"CUMPLE","NO CUMPLE")</f>
        <v>CUMPLE</v>
      </c>
      <c r="Y365" s="10">
        <f>MAX(MAX(1.4/'Parametros'!$B$3,0.25*SQRT('Parametros'!$B$2)/'Parametros'!$B$3)*H365*AB365,(0.85*'Parametros'!$B$2/'Parametros'!$B$3)*(1-SQRT(1-2*(L365*1000000/('Parametros'!$B$5*H365*AB365^2))/(0.85*'Parametros'!$B$2)))*H365*AB365)</f>
        <v>815.583333333333</v>
      </c>
      <c r="Z365" s="31" t="n">
        <v>5</v>
      </c>
      <c r="AA365" s="32" t="n">
        <v>1</v>
      </c>
      <c r="AB365" s="10">
        <f>IF(AA365=1,I365-('Parametros'!$B$7+'Parametros'!$B$9+'Parametros'!$B$12/2),I365-(ROUNDUP(Z365/2,0)*('Parametros'!$B$7+'Parametros'!$B$9+'Parametros'!$B$12/2)+ROUNDDOWN(Z365/2,0)*('Parametros'!$B$7+'Parametros'!$B$9+'Parametros'!$B$12/2+'Parametros'!$B$12+'Parametros'!$B$10))/Z365)</f>
        <v>489.35</v>
      </c>
      <c r="AC365" s="10">
        <f>Z365*'Parametros'!$B$8</f>
        <v>995</v>
      </c>
      <c r="AD365" s="10">
        <f>'Parametros'!$B$5*AC365*'Parametros'!$B$3*(AB365-(AC365*'Parametros'!$B$3/(0.85*'Parametros'!$B$2*H365))/2)/1000000</f>
        <v>177.445379382353</v>
      </c>
      <c r="AE365" s="10" t="str">
        <f>IF(AD365&gt;=L365,"CUMPLE","NO CUMPLE")</f>
        <v>CUMPLE</v>
      </c>
      <c r="AF365" s="10">
        <f>V365*1.25*'Parametros'!$B$3*(U365-(V365*1.25*'Parametros'!$B$3/(0.85*'Parametros'!$B$2*H365))/2)/1000000</f>
        <v>290.238924705882</v>
      </c>
      <c r="AG365" s="10">
        <f>AC365*1.25*'Parametros'!$B$3*(AB365-(AC365*1.25*'Parametros'!$B$3/(0.85*'Parametros'!$B$2*H365))/2)/1000000</f>
        <v>244.158843198529</v>
      </c>
      <c r="AH365" s="10">
        <f>N365+(AF365+AG365)/D365</f>
        <v>280.775077095962</v>
      </c>
      <c r="AI365" s="10">
        <f>MAX(O365,AH365)</f>
        <v>397.259</v>
      </c>
      <c r="AJ365" s="10">
        <f>0.17*SQRT('Parametros'!$B$2)*H365*MIN(U365,AB365)/1000</f>
        <v>220.098728691808</v>
      </c>
      <c r="AK365" s="10">
        <f>MAX(AI365/'Parametros'!$B$6-AJ365,0)</f>
        <v>309.579937974859</v>
      </c>
      <c r="AL365" s="10">
        <f>0.66*SQRT('Parametros'!$B$2)*H365*MIN(U365,AB365)/1000</f>
        <v>854.500946685842</v>
      </c>
      <c r="AM365" s="10" t="str">
        <f>IF(AK365&lt;=AL365,"CUMPLE","NO CUMPLE")</f>
        <v>CUMPLE</v>
      </c>
      <c r="AN365" s="17" t="inlineStr">
        <is>
          <t>Nº3 cerrado</t>
        </is>
      </c>
      <c r="AO365" s="31" t="n">
        <v>2</v>
      </c>
      <c r="AP365" s="10">
        <f>ROUNDDOWN(MIN(IF(BC365+BD365=0,1000000000,AO365*BB365/(BC365+BD365)),MIN(U365,AB365)/4,8*'Parametros'!$B$12,24*BA365,300,IF(AV365=0,1000000000,2*((H365-2*('Parametros'!$B$7+'Parametros'!$B$9/2))+(I365-2*('Parametros'!$B$7+'Parametros'!$B$9/2)))/8))/10,0)*10</f>
        <v>90</v>
      </c>
      <c r="AQ365" s="10">
        <f>ROUNDDOWN(MIN(IF(BC365+BD365=0,1000000000,AO365*BB365/(BC365+BD365)),IF(AK365&gt;0.33*SQRT('Parametros'!$B$2)*H365*MIN(U365,AB365)/1000,MIN(U365,AB365)/4,MIN(U365,AB365)/2),600,IF(AV365=0,1000000000,2*((H365-2*('Parametros'!$B$7+'Parametros'!$B$9/2))+(I365-2*('Parametros'!$B$7+'Parametros'!$B$9/2)))/8))/10,0)*10</f>
        <v>90</v>
      </c>
      <c r="AR365" s="10">
        <f>'Parametros'!$B$6*(AJ365+MAX(BE365-BD365,0)*'Parametros'!$B$4*MIN(U365,AB365)/1000)</f>
        <v>408.280996518856</v>
      </c>
      <c r="AS365" s="10" t="str">
        <f>IF(AND(ISERROR(SEARCH("referencia",AN365)),AM365="CUMPLE",AR365&gt;=AI365),"CUMPLE","NO CUMPLE")</f>
        <v>CUMPLE</v>
      </c>
      <c r="AT365" s="10">
        <f>'Parametros'!$B$6*0.083*SQRT('Parametros'!$B$2)*(H365*I365)^2/(2*(H365+I365))/1000000</f>
        <v>11.862178757599</v>
      </c>
      <c r="AU365" s="10" t="str">
        <f>IF(Q365&lt;=AT365,"DESPRECIABLE","DISEÑAR")</f>
        <v>DESPRECIABLE</v>
      </c>
      <c r="AV365" s="10">
        <f>IF(Q365&lt;=AT365,0,Q365*1000000/('Parametros'!$B$6*2*0.85*(H365-2*('Parametros'!$B$7+'Parametros'!$B$9/2))*(I365-2*('Parametros'!$B$7+'Parametros'!$B$9/2))*'Parametros'!$B$4))</f>
        <v>0</v>
      </c>
      <c r="AW365" s="10">
        <f>AV365*2*((H365-2*('Parametros'!$B$7+'Parametros'!$B$9/2))+(I365-2*('Parametros'!$B$7+'Parametros'!$B$9/2)))*'Parametros'!$B$4/'Parametros'!$B$3</f>
        <v>0</v>
      </c>
      <c r="AX365" s="31" t="n">
        <v>0</v>
      </c>
      <c r="AY365" s="10" t="str">
        <f>IF(AV365=0,"DESPRECIABLE",IF(AND(ISERROR(SEARCH("referencia",AN365)),BB365/AP365&gt;=AV365,BI365&gt;=AW365,BH365="CUMPLE"),"CUMPLE","NO CUMPLE"))</f>
        <v>DESPRECIABLE</v>
      </c>
      <c r="AZ365" s="10" t="str">
        <f>IF(AND(X365="CUMPLE",AE365="CUMPLE",AS365="CUMPLE",OR(AY365="CUMPLE",AY365="DESPRECIABLE"),BH365="CUMPLE",BJ365="CUMPLE"),"CUMPLE","NO CUMPLE")</f>
        <v>CUMPLE</v>
      </c>
      <c r="BA365" s="32" t="n">
        <v>9.5</v>
      </c>
      <c r="BB365" s="32" t="n">
        <v>71</v>
      </c>
      <c r="BC365" s="10">
        <f>MAX(IF(AK365=0,0,AK365*1000/('Parametros'!$B$4*MIN(U365,AB365))),MAX(0.062*SQRT('Parametros'!$B$2)*H365/'Parametros'!$B$4,0.35*H365/'Parametros'!$B$4))</f>
        <v>1.50627381305064</v>
      </c>
      <c r="BD365" s="10">
        <f>2*AV365</f>
        <v>0</v>
      </c>
      <c r="BE365" s="10">
        <f>AO365*BB365/AP365</f>
        <v>1.57777777777778</v>
      </c>
      <c r="BF365" s="10">
        <f>SQRT((AI365*1000/(H365*MIN(U365,AB365)))^2+(Q365*1000000*2*((H365-2*('Parametros'!$B$7+'Parametros'!$B$9/2))+(I365-2*('Parametros'!$B$7+'Parametros'!$B$9/2)))/(1.7*((H365-2*('Parametros'!$B$7+'Parametros'!$B$9/2))*(I365-2*('Parametros'!$B$7+'Parametros'!$B$9/2)))^2))^2)</f>
        <v>1.63097729013931</v>
      </c>
      <c r="BG365" s="10">
        <f>'Parametros'!$B$6*(AJ365*1000/(H365*MIN(U365,AB365))+0.66*SQRT('Parametros'!$B$2))</f>
        <v>3.29396038227542</v>
      </c>
      <c r="BH365" s="10" t="str">
        <f>IF(BF365&lt;=BG365,"CUMPLE","NO CUMPLE")</f>
        <v>CUMPLE</v>
      </c>
      <c r="BI365" s="10">
        <f>AX365*'Parametros'!$B$8</f>
        <v>0</v>
      </c>
      <c r="BJ365" s="10" t="str">
        <f>IF(BI365&gt;=AW365,"CUMPLE","NO CUMPLE")</f>
        <v>CUMPLE</v>
      </c>
    </row>
    <row r="366">
      <c r="A366" s="25" t="inlineStr">
        <is>
          <t>VR2</t>
        </is>
      </c>
      <c r="B366" s="25" t="inlineStr">
        <is>
          <t>41</t>
        </is>
      </c>
      <c r="C366" s="10" t="n">
        <v>1</v>
      </c>
      <c r="D366" s="10" t="n">
        <v>1.9</v>
      </c>
      <c r="E366" s="10" t="n">
        <v>1.9</v>
      </c>
      <c r="F366" s="10" t="n">
        <v>500</v>
      </c>
      <c r="G366" s="10" t="n">
        <v>550</v>
      </c>
      <c r="H366" s="17" t="n">
        <v>500</v>
      </c>
      <c r="I366" s="17" t="n">
        <v>550</v>
      </c>
      <c r="J366" s="30" t="n">
        <v>181.0031</v>
      </c>
      <c r="K366" s="10" t="inlineStr">
        <is>
          <t>41</t>
        </is>
      </c>
      <c r="L366" s="30" t="n">
        <v>158.0632</v>
      </c>
      <c r="M366" s="10" t="inlineStr">
        <is>
          <t>41</t>
        </is>
      </c>
      <c r="N366" s="30" t="n">
        <v>171.405</v>
      </c>
      <c r="O366" s="30" t="n">
        <v>689.121</v>
      </c>
      <c r="P366" s="10" t="inlineStr">
        <is>
          <t>41</t>
        </is>
      </c>
      <c r="Q366" s="30" t="n">
        <v>23.4182</v>
      </c>
      <c r="R366" s="10">
        <f>MAX(MAX(1.4/'Parametros'!$B$3,0.25*SQRT('Parametros'!$B$2)/'Parametros'!$B$3)*H366*U366,(0.85*'Parametros'!$B$2/'Parametros'!$B$3)*(1-SQRT(1-2*(J366*1000000/('Parametros'!$B$5*H366*U366^2))/(0.85*'Parametros'!$B$2)))*H366*U366)</f>
        <v>1015.73729029114</v>
      </c>
      <c r="S366" s="31" t="n">
        <v>6</v>
      </c>
      <c r="T366" s="32" t="n">
        <v>1</v>
      </c>
      <c r="U366" s="10">
        <f>IF(T366=1,I366-('Parametros'!$B$7+'Parametros'!$B$9+'Parametros'!$B$12/2),I366-(ROUNDUP(S366/2,0)*('Parametros'!$B$7+'Parametros'!$B$9+'Parametros'!$B$12/2)+ROUNDDOWN(S366/2,0)*('Parametros'!$B$7+'Parametros'!$B$9+'Parametros'!$B$12/2+'Parametros'!$B$12+'Parametros'!$B$10))/S366)</f>
        <v>489.35</v>
      </c>
      <c r="V366" s="10">
        <f>S366*'Parametros'!$B$8</f>
        <v>1194</v>
      </c>
      <c r="W366" s="10">
        <f>'Parametros'!$B$5*V366*'Parametros'!$B$3*(U366-(V366*'Parametros'!$B$3/(0.85*'Parametros'!$B$2*H366))/2)/1000000</f>
        <v>211.349483470588</v>
      </c>
      <c r="X366" s="10" t="str">
        <f>IF(W366&gt;=J366,"CUMPLE","NO CUMPLE")</f>
        <v>CUMPLE</v>
      </c>
      <c r="Y366" s="10">
        <f>MAX(MAX(1.4/'Parametros'!$B$3,0.25*SQRT('Parametros'!$B$2)/'Parametros'!$B$3)*H366*AB366,(0.85*'Parametros'!$B$2/'Parametros'!$B$3)*(1-SQRT(1-2*(L366*1000000/('Parametros'!$B$5*H366*AB366^2))/(0.85*'Parametros'!$B$2)))*H366*AB366)</f>
        <v>882.606674704411</v>
      </c>
      <c r="Z366" s="31" t="n">
        <v>5</v>
      </c>
      <c r="AA366" s="32" t="n">
        <v>1</v>
      </c>
      <c r="AB366" s="10">
        <f>IF(AA366=1,I366-('Parametros'!$B$7+'Parametros'!$B$9+'Parametros'!$B$12/2),I366-(ROUNDUP(Z366/2,0)*('Parametros'!$B$7+'Parametros'!$B$9+'Parametros'!$B$12/2)+ROUNDDOWN(Z366/2,0)*('Parametros'!$B$7+'Parametros'!$B$9+'Parametros'!$B$12/2+'Parametros'!$B$12+'Parametros'!$B$10))/Z366)</f>
        <v>489.35</v>
      </c>
      <c r="AC366" s="10">
        <f>Z366*'Parametros'!$B$8</f>
        <v>995</v>
      </c>
      <c r="AD366" s="10">
        <f>'Parametros'!$B$5*AC366*'Parametros'!$B$3*(AB366-(AC366*'Parametros'!$B$3/(0.85*'Parametros'!$B$2*H366))/2)/1000000</f>
        <v>177.445379382353</v>
      </c>
      <c r="AE366" s="10" t="str">
        <f>IF(AD366&gt;=L366,"CUMPLE","NO CUMPLE")</f>
        <v>CUMPLE</v>
      </c>
      <c r="AF366" s="10">
        <f>V366*1.25*'Parametros'!$B$3*(U366-(V366*1.25*'Parametros'!$B$3/(0.85*'Parametros'!$B$2*H366))/2)/1000000</f>
        <v>290.238924705882</v>
      </c>
      <c r="AG366" s="10">
        <f>AC366*1.25*'Parametros'!$B$3*(AB366-(AC366*1.25*'Parametros'!$B$3/(0.85*'Parametros'!$B$2*H366))/2)/1000000</f>
        <v>244.158843198529</v>
      </c>
      <c r="AH366" s="10">
        <f>N366+(AF366+AG366)/D366</f>
        <v>452.666983107585</v>
      </c>
      <c r="AI366" s="10">
        <f>MAX(O366,AH366)</f>
        <v>689.121</v>
      </c>
      <c r="AJ366" s="10">
        <f>0.17*SQRT('Parametros'!$B$2)*H366*MIN(U366,AB366)/1000</f>
        <v>220.098728691808</v>
      </c>
      <c r="AK366" s="10">
        <f>MAX(AI366/'Parametros'!$B$6-AJ366,0)</f>
        <v>698.729271308192</v>
      </c>
      <c r="AL366" s="10">
        <f>0.66*SQRT('Parametros'!$B$2)*H366*MIN(U366,AB366)/1000</f>
        <v>854.500946685842</v>
      </c>
      <c r="AM366" s="10" t="str">
        <f>IF(AK366&lt;=AL366,"CUMPLE","NO CUMPLE")</f>
        <v>CUMPLE</v>
      </c>
      <c r="AN366" s="17" t="inlineStr">
        <is>
          <t>Nº4 cerrado</t>
        </is>
      </c>
      <c r="AO366" s="31" t="n">
        <v>4</v>
      </c>
      <c r="AP366" s="10">
        <f>ROUNDDOWN(MIN(IF(BC366+BD366=0,1000000000,AO366*BB366/(BC366+BD366)),MIN(U366,AB366)/4,8*'Parametros'!$B$12,24*BA366,300,IF(AV366=0,1000000000,2*((H366-2*('Parametros'!$B$7+'Parametros'!$B$9/2))+(I366-2*('Parametros'!$B$7+'Parametros'!$B$9/2)))/8))/10,0)*10</f>
        <v>120</v>
      </c>
      <c r="AQ366" s="10">
        <f>ROUNDDOWN(MIN(IF(BC366+BD366=0,1000000000,AO366*BB366/(BC366+BD366)),IF(AK366&gt;0.33*SQRT('Parametros'!$B$2)*H366*MIN(U366,AB366)/1000,MIN(U366,AB366)/4,MIN(U366,AB366)/2),600,IF(AV366=0,1000000000,2*((H366-2*('Parametros'!$B$7+'Parametros'!$B$9/2))+(I366-2*('Parametros'!$B$7+'Parametros'!$B$9/2)))/8))/10,0)*10</f>
        <v>120</v>
      </c>
      <c r="AR366" s="10">
        <f>'Parametros'!$B$6*(AJ366+MAX(BE366-BD366,0)*'Parametros'!$B$4*MIN(U366,AB366)/1000)</f>
        <v>755.515290317234</v>
      </c>
      <c r="AS366" s="10" t="str">
        <f>IF(AND(ISERROR(SEARCH("referencia",AN366)),AM366="CUMPLE",AR366&gt;=AI366),"CUMPLE","NO CUMPLE")</f>
        <v>CUMPLE</v>
      </c>
      <c r="AT366" s="10">
        <f>'Parametros'!$B$6*0.083*SQRT('Parametros'!$B$2)*(H366*I366)^2/(2*(H366+I366))/1000000</f>
        <v>11.862178757599</v>
      </c>
      <c r="AU366" s="10" t="str">
        <f>IF(Q366&lt;=AT366,"DESPRECIABLE","DISEÑAR")</f>
        <v>DISEÑAR</v>
      </c>
      <c r="AV366" s="10">
        <f>IF(Q366&lt;=AT366,0,Q366*1000000/('Parametros'!$B$6*2*0.85*(H366-2*('Parametros'!$B$7+'Parametros'!$B$9/2))*(I366-2*('Parametros'!$B$7+'Parametros'!$B$9/2))*'Parametros'!$B$4))</f>
        <v>0.234789366528068</v>
      </c>
      <c r="AW366" s="10">
        <f>AV366*2*((H366-2*('Parametros'!$B$7+'Parametros'!$B$9/2))+(I366-2*('Parametros'!$B$7+'Parametros'!$B$9/2)))*'Parametros'!$B$4/'Parametros'!$B$3</f>
        <v>405.997772600336</v>
      </c>
      <c r="AX366" s="31" t="n">
        <v>8</v>
      </c>
      <c r="AY366" s="10" t="str">
        <f>IF(AV366=0,"DESPRECIABLE",IF(AND(ISERROR(SEARCH("referencia",AN366)),BB366/AP366&gt;=AV366,BI366&gt;=AW366,BH366="CUMPLE"),"CUMPLE","NO CUMPLE"))</f>
        <v>CUMPLE</v>
      </c>
      <c r="AZ366" s="10" t="str">
        <f>IF(AND(X366="CUMPLE",AE366="CUMPLE",AS366="CUMPLE",OR(AY366="CUMPLE",AY366="DESPRECIABLE"),BH366="CUMPLE",BJ366="CUMPLE"),"CUMPLE","NO CUMPLE")</f>
        <v>CUMPLE</v>
      </c>
      <c r="BA366" s="32" t="n">
        <v>12.7</v>
      </c>
      <c r="BB366" s="32" t="n">
        <v>129</v>
      </c>
      <c r="BC366" s="10">
        <f>MAX(IF(AK366=0,0,AK366*1000/('Parametros'!$B$4*MIN(U366,AB366))),MAX(0.062*SQRT('Parametros'!$B$2)*H366/'Parametros'!$B$4,0.35*H366/'Parametros'!$B$4))</f>
        <v>3.39969576410006</v>
      </c>
      <c r="BD366" s="10">
        <f>2*AV366</f>
        <v>0.469578733056136</v>
      </c>
      <c r="BE366" s="10">
        <f>AO366*BB366/AP366</f>
        <v>4.3</v>
      </c>
      <c r="BF366" s="10">
        <f>SQRT((AI366*1000/(H366*MIN(U366,AB366)))^2+(Q366*1000000*2*((H366-2*('Parametros'!$B$7+'Parametros'!$B$9/2))+(I366-2*('Parametros'!$B$7+'Parametros'!$B$9/2)))/(1.7*((H366-2*('Parametros'!$B$7+'Parametros'!$B$9/2))*(I366-2*('Parametros'!$B$7+'Parametros'!$B$9/2)))^2))^2)</f>
        <v>2.89896233669164</v>
      </c>
      <c r="BG366" s="10">
        <f>'Parametros'!$B$6*(AJ366*1000/(H366*MIN(U366,AB366))+0.66*SQRT('Parametros'!$B$2))</f>
        <v>3.29396038227542</v>
      </c>
      <c r="BH366" s="10" t="str">
        <f>IF(BF366&lt;=BG366,"CUMPLE","NO CUMPLE")</f>
        <v>CUMPLE</v>
      </c>
      <c r="BI366" s="10">
        <f>AX366*'Parametros'!$B$8</f>
        <v>1592</v>
      </c>
      <c r="BJ366" s="10" t="str">
        <f>IF(BI366&gt;=AW366,"CUMPLE","NO CUMPLE")</f>
        <v>CUMPLE</v>
      </c>
    </row>
    <row r="367">
      <c r="A367" s="25" t="inlineStr">
        <is>
          <t>VR2</t>
        </is>
      </c>
      <c r="B367" s="25" t="inlineStr">
        <is>
          <t>42</t>
        </is>
      </c>
      <c r="C367" s="10" t="n">
        <v>1</v>
      </c>
      <c r="D367" s="10" t="n">
        <v>2</v>
      </c>
      <c r="E367" s="10" t="n">
        <v>2</v>
      </c>
      <c r="F367" s="10" t="n">
        <v>500</v>
      </c>
      <c r="G367" s="10" t="n">
        <v>550</v>
      </c>
      <c r="H367" s="17" t="n">
        <v>500</v>
      </c>
      <c r="I367" s="17" t="n">
        <v>550</v>
      </c>
      <c r="J367" s="30" t="n">
        <v>200.8947</v>
      </c>
      <c r="K367" s="10" t="inlineStr">
        <is>
          <t>42</t>
        </is>
      </c>
      <c r="L367" s="30" t="n">
        <v>151.0336</v>
      </c>
      <c r="M367" s="10" t="inlineStr">
        <is>
          <t>42</t>
        </is>
      </c>
      <c r="N367" s="30" t="n">
        <v>180.48</v>
      </c>
      <c r="O367" s="30" t="n">
        <v>695.124</v>
      </c>
      <c r="P367" s="10" t="inlineStr">
        <is>
          <t>42</t>
        </is>
      </c>
      <c r="Q367" s="30" t="n">
        <v>52.2869</v>
      </c>
      <c r="R367" s="10">
        <f>MAX(MAX(1.4/'Parametros'!$B$3,0.25*SQRT('Parametros'!$B$2)/'Parametros'!$B$3)*H367*U367,(0.85*'Parametros'!$B$2/'Parametros'!$B$3)*(1-SQRT(1-2*(J367*1000000/('Parametros'!$B$5*H367*U367^2))/(0.85*'Parametros'!$B$2)))*H367*U367)</f>
        <v>1132.30402213759</v>
      </c>
      <c r="S367" s="31" t="n">
        <v>6</v>
      </c>
      <c r="T367" s="32" t="n">
        <v>1</v>
      </c>
      <c r="U367" s="10">
        <f>IF(T367=1,I367-('Parametros'!$B$7+'Parametros'!$B$9+'Parametros'!$B$12/2),I367-(ROUNDUP(S367/2,0)*('Parametros'!$B$7+'Parametros'!$B$9+'Parametros'!$B$12/2)+ROUNDDOWN(S367/2,0)*('Parametros'!$B$7+'Parametros'!$B$9+'Parametros'!$B$12/2+'Parametros'!$B$12+'Parametros'!$B$10))/S367)</f>
        <v>489.35</v>
      </c>
      <c r="V367" s="10">
        <f>S367*'Parametros'!$B$8</f>
        <v>1194</v>
      </c>
      <c r="W367" s="10">
        <f>'Parametros'!$B$5*V367*'Parametros'!$B$3*(U367-(V367*'Parametros'!$B$3/(0.85*'Parametros'!$B$2*H367))/2)/1000000</f>
        <v>211.349483470588</v>
      </c>
      <c r="X367" s="10" t="str">
        <f>IF(W367&gt;=J367,"CUMPLE","NO CUMPLE")</f>
        <v>CUMPLE</v>
      </c>
      <c r="Y367" s="10">
        <f>MAX(MAX(1.4/'Parametros'!$B$3,0.25*SQRT('Parametros'!$B$2)/'Parametros'!$B$3)*H367*AB367,(0.85*'Parametros'!$B$2/'Parametros'!$B$3)*(1-SQRT(1-2*(L367*1000000/('Parametros'!$B$5*H367*AB367^2))/(0.85*'Parametros'!$B$2)))*H367*AB367)</f>
        <v>842.083148832574</v>
      </c>
      <c r="Z367" s="31" t="n">
        <v>5</v>
      </c>
      <c r="AA367" s="32" t="n">
        <v>1</v>
      </c>
      <c r="AB367" s="10">
        <f>IF(AA367=1,I367-('Parametros'!$B$7+'Parametros'!$B$9+'Parametros'!$B$12/2),I367-(ROUNDUP(Z367/2,0)*('Parametros'!$B$7+'Parametros'!$B$9+'Parametros'!$B$12/2)+ROUNDDOWN(Z367/2,0)*('Parametros'!$B$7+'Parametros'!$B$9+'Parametros'!$B$12/2+'Parametros'!$B$12+'Parametros'!$B$10))/Z367)</f>
        <v>489.35</v>
      </c>
      <c r="AC367" s="10">
        <f>Z367*'Parametros'!$B$8</f>
        <v>995</v>
      </c>
      <c r="AD367" s="10">
        <f>'Parametros'!$B$5*AC367*'Parametros'!$B$3*(AB367-(AC367*'Parametros'!$B$3/(0.85*'Parametros'!$B$2*H367))/2)/1000000</f>
        <v>177.445379382353</v>
      </c>
      <c r="AE367" s="10" t="str">
        <f>IF(AD367&gt;=L367,"CUMPLE","NO CUMPLE")</f>
        <v>CUMPLE</v>
      </c>
      <c r="AF367" s="10">
        <f>V367*1.25*'Parametros'!$B$3*(U367-(V367*1.25*'Parametros'!$B$3/(0.85*'Parametros'!$B$2*H367))/2)/1000000</f>
        <v>290.238924705882</v>
      </c>
      <c r="AG367" s="10">
        <f>AC367*1.25*'Parametros'!$B$3*(AB367-(AC367*1.25*'Parametros'!$B$3/(0.85*'Parametros'!$B$2*H367))/2)/1000000</f>
        <v>244.158843198529</v>
      </c>
      <c r="AH367" s="10">
        <f>N367+(AF367+AG367)/D367</f>
        <v>447.678883952206</v>
      </c>
      <c r="AI367" s="10">
        <f>MAX(O367,AH367)</f>
        <v>695.124</v>
      </c>
      <c r="AJ367" s="10">
        <f>0.17*SQRT('Parametros'!$B$2)*H367*MIN(U367,AB367)/1000</f>
        <v>220.098728691808</v>
      </c>
      <c r="AK367" s="10">
        <f>MAX(AI367/'Parametros'!$B$6-AJ367,0)</f>
        <v>706.733271308192</v>
      </c>
      <c r="AL367" s="10">
        <f>0.66*SQRT('Parametros'!$B$2)*H367*MIN(U367,AB367)/1000</f>
        <v>854.500946685842</v>
      </c>
      <c r="AM367" s="10" t="str">
        <f>IF(AK367&lt;=AL367,"CUMPLE","NO CUMPLE")</f>
        <v>CUMPLE</v>
      </c>
      <c r="AN367" s="17" t="inlineStr">
        <is>
          <t>Nº4 cerrado</t>
        </is>
      </c>
      <c r="AO367" s="31" t="n">
        <v>4</v>
      </c>
      <c r="AP367" s="10">
        <f>ROUNDDOWN(MIN(IF(BC367+BD367=0,1000000000,AO367*BB367/(BC367+BD367)),MIN(U367,AB367)/4,8*'Parametros'!$B$12,24*BA367,300,IF(AV367=0,1000000000,2*((H367-2*('Parametros'!$B$7+'Parametros'!$B$9/2))+(I367-2*('Parametros'!$B$7+'Parametros'!$B$9/2)))/8))/10,0)*10</f>
        <v>110</v>
      </c>
      <c r="AQ367" s="10">
        <f>ROUNDDOWN(MIN(IF(BC367+BD367=0,1000000000,AO367*BB367/(BC367+BD367)),IF(AK367&gt;0.33*SQRT('Parametros'!$B$2)*H367*MIN(U367,AB367)/1000,MIN(U367,AB367)/4,MIN(U367,AB367)/2),600,IF(AV367=0,1000000000,2*((H367-2*('Parametros'!$B$7+'Parametros'!$B$9/2))+(I367-2*('Parametros'!$B$7+'Parametros'!$B$9/2)))/8))/10,0)*10</f>
        <v>110</v>
      </c>
      <c r="AR367" s="10">
        <f>'Parametros'!$B$6*(AJ367+MAX(BE367-BD367,0)*'Parametros'!$B$4*MIN(U367,AB367)/1000)</f>
        <v>726.541784295897</v>
      </c>
      <c r="AS367" s="10" t="str">
        <f>IF(AND(ISERROR(SEARCH("referencia",AN367)),AM367="CUMPLE",AR367&gt;=AI367),"CUMPLE","NO CUMPLE")</f>
        <v>CUMPLE</v>
      </c>
      <c r="AT367" s="10">
        <f>'Parametros'!$B$6*0.083*SQRT('Parametros'!$B$2)*(H367*I367)^2/(2*(H367+I367))/1000000</f>
        <v>11.862178757599</v>
      </c>
      <c r="AU367" s="10" t="str">
        <f>IF(Q367&lt;=AT367,"DESPRECIABLE","DISEÑAR")</f>
        <v>DISEÑAR</v>
      </c>
      <c r="AV367" s="10">
        <f>IF(Q367&lt;=AT367,0,Q367*1000000/('Parametros'!$B$6*2*0.85*(H367-2*('Parametros'!$B$7+'Parametros'!$B$9/2))*(I367-2*('Parametros'!$B$7+'Parametros'!$B$9/2))*'Parametros'!$B$4))</f>
        <v>0.52422509538378</v>
      </c>
      <c r="AW367" s="10">
        <f>AV367*2*((H367-2*('Parametros'!$B$7+'Parametros'!$B$9/2))+(I367-2*('Parametros'!$B$7+'Parametros'!$B$9/2)))*'Parametros'!$B$4/'Parametros'!$B$3</f>
        <v>906.490034937633</v>
      </c>
      <c r="AX367" s="31" t="n">
        <v>8</v>
      </c>
      <c r="AY367" s="10" t="str">
        <f>IF(AV367=0,"DESPRECIABLE",IF(AND(ISERROR(SEARCH("referencia",AN367)),BB367/AP367&gt;=AV367,BI367&gt;=AW367,BH367="CUMPLE"),"CUMPLE","NO CUMPLE"))</f>
        <v>CUMPLE</v>
      </c>
      <c r="AZ367" s="10" t="str">
        <f>IF(AND(X367="CUMPLE",AE367="CUMPLE",AS367="CUMPLE",OR(AY367="CUMPLE",AY367="DESPRECIABLE"),BH367="CUMPLE",BJ367="CUMPLE"),"CUMPLE","NO CUMPLE")</f>
        <v>CUMPLE</v>
      </c>
      <c r="BA367" s="32" t="n">
        <v>12.7</v>
      </c>
      <c r="BB367" s="32" t="n">
        <v>129</v>
      </c>
      <c r="BC367" s="10">
        <f>MAX(IF(AK367=0,0,AK367*1000/('Parametros'!$B$4*MIN(U367,AB367))),MAX(0.062*SQRT('Parametros'!$B$2)*H367/'Parametros'!$B$4,0.35*H367/'Parametros'!$B$4))</f>
        <v>3.43863955250742</v>
      </c>
      <c r="BD367" s="10">
        <f>2*AV367</f>
        <v>1.04845019076756</v>
      </c>
      <c r="BE367" s="10">
        <f>AO367*BB367/AP367</f>
        <v>4.69090909090909</v>
      </c>
      <c r="BF367" s="10">
        <f>SQRT((AI367*1000/(H367*MIN(U367,AB367)))^2+(Q367*1000000*2*((H367-2*('Parametros'!$B$7+'Parametros'!$B$9/2))+(I367-2*('Parametros'!$B$7+'Parametros'!$B$9/2)))/(1.7*((H367-2*('Parametros'!$B$7+'Parametros'!$B$9/2))*(I367-2*('Parametros'!$B$7+'Parametros'!$B$9/2)))^2))^2)</f>
        <v>3.22824956136742</v>
      </c>
      <c r="BG367" s="10">
        <f>'Parametros'!$B$6*(AJ367*1000/(H367*MIN(U367,AB367))+0.66*SQRT('Parametros'!$B$2))</f>
        <v>3.29396038227542</v>
      </c>
      <c r="BH367" s="10" t="str">
        <f>IF(BF367&lt;=BG367,"CUMPLE","NO CUMPLE")</f>
        <v>CUMPLE</v>
      </c>
      <c r="BI367" s="10">
        <f>AX367*'Parametros'!$B$8</f>
        <v>1592</v>
      </c>
      <c r="BJ367" s="10" t="str">
        <f>IF(BI367&gt;=AW367,"CUMPLE","NO CUMPLE")</f>
        <v>CUMPLE</v>
      </c>
    </row>
    <row r="368">
      <c r="A368" s="25" t="inlineStr">
        <is>
          <t>VR2</t>
        </is>
      </c>
      <c r="B368" s="25" t="inlineStr">
        <is>
          <t>43</t>
        </is>
      </c>
      <c r="C368" s="10" t="n">
        <v>1</v>
      </c>
      <c r="D368" s="10" t="n">
        <v>3.05308</v>
      </c>
      <c r="E368" s="10" t="n">
        <v>3.05308</v>
      </c>
      <c r="F368" s="10" t="n">
        <v>500</v>
      </c>
      <c r="G368" s="10" t="n">
        <v>550</v>
      </c>
      <c r="H368" s="17" t="n">
        <v>500</v>
      </c>
      <c r="I368" s="17" t="n">
        <v>550</v>
      </c>
      <c r="J368" s="30" t="n">
        <v>186.2824</v>
      </c>
      <c r="K368" s="10" t="inlineStr">
        <is>
          <t>43</t>
        </is>
      </c>
      <c r="L368" s="30" t="n">
        <v>124.4825</v>
      </c>
      <c r="M368" s="10" t="inlineStr">
        <is>
          <t>43</t>
        </is>
      </c>
      <c r="N368" s="30" t="n">
        <v>137.693</v>
      </c>
      <c r="O368" s="30" t="n">
        <v>429.989</v>
      </c>
      <c r="P368" s="10" t="inlineStr">
        <is>
          <t>43</t>
        </is>
      </c>
      <c r="Q368" s="30" t="n">
        <v>59.1775</v>
      </c>
      <c r="R368" s="10">
        <f>MAX(MAX(1.4/'Parametros'!$B$3,0.25*SQRT('Parametros'!$B$2)/'Parametros'!$B$3)*H368*U368,(0.85*'Parametros'!$B$2/'Parametros'!$B$3)*(1-SQRT(1-2*(J368*1000000/('Parametros'!$B$5*H368*U368^2))/(0.85*'Parametros'!$B$2)))*H368*U368)</f>
        <v>1046.57117307774</v>
      </c>
      <c r="S368" s="31" t="n">
        <v>6</v>
      </c>
      <c r="T368" s="32" t="n">
        <v>1</v>
      </c>
      <c r="U368" s="10">
        <f>IF(T368=1,I368-('Parametros'!$B$7+'Parametros'!$B$9+'Parametros'!$B$12/2),I368-(ROUNDUP(S368/2,0)*('Parametros'!$B$7+'Parametros'!$B$9+'Parametros'!$B$12/2)+ROUNDDOWN(S368/2,0)*('Parametros'!$B$7+'Parametros'!$B$9+'Parametros'!$B$12/2+'Parametros'!$B$12+'Parametros'!$B$10))/S368)</f>
        <v>489.35</v>
      </c>
      <c r="V368" s="10">
        <f>S368*'Parametros'!$B$8</f>
        <v>1194</v>
      </c>
      <c r="W368" s="10">
        <f>'Parametros'!$B$5*V368*'Parametros'!$B$3*(U368-(V368*'Parametros'!$B$3/(0.85*'Parametros'!$B$2*H368))/2)/1000000</f>
        <v>211.349483470588</v>
      </c>
      <c r="X368" s="10" t="str">
        <f>IF(W368&gt;=J368,"CUMPLE","NO CUMPLE")</f>
        <v>CUMPLE</v>
      </c>
      <c r="Y368" s="10">
        <f>MAX(MAX(1.4/'Parametros'!$B$3,0.25*SQRT('Parametros'!$B$2)/'Parametros'!$B$3)*H368*AB368,(0.85*'Parametros'!$B$2/'Parametros'!$B$3)*(1-SQRT(1-2*(L368*1000000/('Parametros'!$B$5*H368*AB368^2))/(0.85*'Parametros'!$B$2)))*H368*AB368)</f>
        <v>815.583333333333</v>
      </c>
      <c r="Z368" s="31" t="n">
        <v>5</v>
      </c>
      <c r="AA368" s="32" t="n">
        <v>1</v>
      </c>
      <c r="AB368" s="10">
        <f>IF(AA368=1,I368-('Parametros'!$B$7+'Parametros'!$B$9+'Parametros'!$B$12/2),I368-(ROUNDUP(Z368/2,0)*('Parametros'!$B$7+'Parametros'!$B$9+'Parametros'!$B$12/2)+ROUNDDOWN(Z368/2,0)*('Parametros'!$B$7+'Parametros'!$B$9+'Parametros'!$B$12/2+'Parametros'!$B$12+'Parametros'!$B$10))/Z368)</f>
        <v>489.35</v>
      </c>
      <c r="AC368" s="10">
        <f>Z368*'Parametros'!$B$8</f>
        <v>995</v>
      </c>
      <c r="AD368" s="10">
        <f>'Parametros'!$B$5*AC368*'Parametros'!$B$3*(AB368-(AC368*'Parametros'!$B$3/(0.85*'Parametros'!$B$2*H368))/2)/1000000</f>
        <v>177.445379382353</v>
      </c>
      <c r="AE368" s="10" t="str">
        <f>IF(AD368&gt;=L368,"CUMPLE","NO CUMPLE")</f>
        <v>CUMPLE</v>
      </c>
      <c r="AF368" s="10">
        <f>V368*1.25*'Parametros'!$B$3*(U368-(V368*1.25*'Parametros'!$B$3/(0.85*'Parametros'!$B$2*H368))/2)/1000000</f>
        <v>290.238924705882</v>
      </c>
      <c r="AG368" s="10">
        <f>AC368*1.25*'Parametros'!$B$3*(AB368-(AC368*1.25*'Parametros'!$B$3/(0.85*'Parametros'!$B$2*H368))/2)/1000000</f>
        <v>244.158843198529</v>
      </c>
      <c r="AH368" s="10">
        <f>N368+(AF368+AG368)/D368</f>
        <v>312.728625631956</v>
      </c>
      <c r="AI368" s="10">
        <f>MAX(O368,AH368)</f>
        <v>429.989</v>
      </c>
      <c r="AJ368" s="10">
        <f>0.17*SQRT('Parametros'!$B$2)*H368*MIN(U368,AB368)/1000</f>
        <v>220.098728691808</v>
      </c>
      <c r="AK368" s="10">
        <f>MAX(AI368/'Parametros'!$B$6-AJ368,0)</f>
        <v>353.219937974859</v>
      </c>
      <c r="AL368" s="10">
        <f>0.66*SQRT('Parametros'!$B$2)*H368*MIN(U368,AB368)/1000</f>
        <v>854.500946685842</v>
      </c>
      <c r="AM368" s="10" t="str">
        <f>IF(AK368&lt;=AL368,"CUMPLE","NO CUMPLE")</f>
        <v>CUMPLE</v>
      </c>
      <c r="AN368" s="17" t="inlineStr">
        <is>
          <t>Nº4 cerrado</t>
        </is>
      </c>
      <c r="AO368" s="31" t="n">
        <v>2</v>
      </c>
      <c r="AP368" s="10">
        <f>ROUNDDOWN(MIN(IF(BC368+BD368=0,1000000000,AO368*BB368/(BC368+BD368)),MIN(U368,AB368)/4,8*'Parametros'!$B$12,24*BA368,300,IF(AV368=0,1000000000,2*((H368-2*('Parametros'!$B$7+'Parametros'!$B$9/2))+(I368-2*('Parametros'!$B$7+'Parametros'!$B$9/2)))/8))/10,0)*10</f>
        <v>80</v>
      </c>
      <c r="AQ368" s="10">
        <f>ROUNDDOWN(MIN(IF(BC368+BD368=0,1000000000,AO368*BB368/(BC368+BD368)),IF(AK368&gt;0.33*SQRT('Parametros'!$B$2)*H368*MIN(U368,AB368)/1000,MIN(U368,AB368)/4,MIN(U368,AB368)/2),600,IF(AV368=0,1000000000,2*((H368-2*('Parametros'!$B$7+'Parametros'!$B$9/2))+(I368-2*('Parametros'!$B$7+'Parametros'!$B$9/2)))/8))/10,0)*10</f>
        <v>80</v>
      </c>
      <c r="AR368" s="10">
        <f>'Parametros'!$B$6*(AJ368+MAX(BE368-BD368,0)*'Parametros'!$B$4*MIN(U368,AB368)/1000)</f>
        <v>479.280700510828</v>
      </c>
      <c r="AS368" s="10" t="str">
        <f>IF(AND(ISERROR(SEARCH("referencia",AN368)),AM368="CUMPLE",AR368&gt;=AI368),"CUMPLE","NO CUMPLE")</f>
        <v>CUMPLE</v>
      </c>
      <c r="AT368" s="10">
        <f>'Parametros'!$B$6*0.083*SQRT('Parametros'!$B$2)*(H368*I368)^2/(2*(H368+I368))/1000000</f>
        <v>11.862178757599</v>
      </c>
      <c r="AU368" s="10" t="str">
        <f>IF(Q368&lt;=AT368,"DESPRECIABLE","DISEÑAR")</f>
        <v>DISEÑAR</v>
      </c>
      <c r="AV368" s="10">
        <f>IF(Q368&lt;=AT368,0,Q368*1000000/('Parametros'!$B$6*2*0.85*(H368-2*('Parametros'!$B$7+'Parametros'!$B$9/2))*(I368-2*('Parametros'!$B$7+'Parametros'!$B$9/2))*'Parametros'!$B$4))</f>
        <v>0.593309807658776</v>
      </c>
      <c r="AW368" s="10">
        <f>AV368*2*((H368-2*('Parametros'!$B$7+'Parametros'!$B$9/2))+(I368-2*('Parametros'!$B$7+'Parametros'!$B$9/2)))*'Parametros'!$B$4/'Parametros'!$B$3</f>
        <v>1025.95131940356</v>
      </c>
      <c r="AX368" s="31" t="n">
        <v>8</v>
      </c>
      <c r="AY368" s="10" t="str">
        <f>IF(AV368=0,"DESPRECIABLE",IF(AND(ISERROR(SEARCH("referencia",AN368)),BB368/AP368&gt;=AV368,BI368&gt;=AW368,BH368="CUMPLE"),"CUMPLE","NO CUMPLE"))</f>
        <v>CUMPLE</v>
      </c>
      <c r="AZ368" s="10" t="str">
        <f>IF(AND(X368="CUMPLE",AE368="CUMPLE",AS368="CUMPLE",OR(AY368="CUMPLE",AY368="DESPRECIABLE"),BH368="CUMPLE",BJ368="CUMPLE"),"CUMPLE","NO CUMPLE")</f>
        <v>CUMPLE</v>
      </c>
      <c r="BA368" s="32" t="n">
        <v>12.7</v>
      </c>
      <c r="BB368" s="32" t="n">
        <v>129</v>
      </c>
      <c r="BC368" s="10">
        <f>MAX(IF(AK368=0,0,AK368*1000/('Parametros'!$B$4*MIN(U368,AB368))),MAX(0.062*SQRT('Parametros'!$B$2)*H368/'Parametros'!$B$4,0.35*H368/'Parametros'!$B$4))</f>
        <v>1.71860601271297</v>
      </c>
      <c r="BD368" s="10">
        <f>2*AV368</f>
        <v>1.18661961531755</v>
      </c>
      <c r="BE368" s="10">
        <f>AO368*BB368/AP368</f>
        <v>3.225</v>
      </c>
      <c r="BF368" s="10">
        <f>SQRT((AI368*1000/(H368*MIN(U368,AB368)))^2+(Q368*1000000*2*((H368-2*('Parametros'!$B$7+'Parametros'!$B$9/2))+(I368-2*('Parametros'!$B$7+'Parametros'!$B$9/2)))/(1.7*((H368-2*('Parametros'!$B$7+'Parametros'!$B$9/2))*(I368-2*('Parametros'!$B$7+'Parametros'!$B$9/2)))^2))^2)</f>
        <v>2.46960460389228</v>
      </c>
      <c r="BG368" s="10">
        <f>'Parametros'!$B$6*(AJ368*1000/(H368*MIN(U368,AB368))+0.66*SQRT('Parametros'!$B$2))</f>
        <v>3.29396038227542</v>
      </c>
      <c r="BH368" s="10" t="str">
        <f>IF(BF368&lt;=BG368,"CUMPLE","NO CUMPLE")</f>
        <v>CUMPLE</v>
      </c>
      <c r="BI368" s="10">
        <f>AX368*'Parametros'!$B$8</f>
        <v>1592</v>
      </c>
      <c r="BJ368" s="10" t="str">
        <f>IF(BI368&gt;=AW368,"CUMPLE","NO CUMPLE")</f>
        <v>CUMPLE</v>
      </c>
    </row>
    <row r="369">
      <c r="A369" s="25" t="inlineStr">
        <is>
          <t>VR2</t>
        </is>
      </c>
      <c r="B369" s="25" t="inlineStr">
        <is>
          <t>44</t>
        </is>
      </c>
      <c r="C369" s="10" t="n">
        <v>1</v>
      </c>
      <c r="D369" s="10" t="n">
        <v>2</v>
      </c>
      <c r="E369" s="10" t="n">
        <v>2</v>
      </c>
      <c r="F369" s="10" t="n">
        <v>500</v>
      </c>
      <c r="G369" s="10" t="n">
        <v>550</v>
      </c>
      <c r="H369" s="17" t="n">
        <v>500</v>
      </c>
      <c r="I369" s="17" t="n">
        <v>550</v>
      </c>
      <c r="J369" s="30" t="n">
        <v>232.3964</v>
      </c>
      <c r="K369" s="10" t="inlineStr">
        <is>
          <t>44</t>
        </is>
      </c>
      <c r="L369" s="30" t="n">
        <v>173.9849</v>
      </c>
      <c r="M369" s="10" t="inlineStr">
        <is>
          <t>44</t>
        </is>
      </c>
      <c r="N369" s="30" t="n">
        <v>186.561</v>
      </c>
      <c r="O369" s="30" t="n">
        <v>745.615</v>
      </c>
      <c r="P369" s="10" t="inlineStr">
        <is>
          <t>44</t>
        </is>
      </c>
      <c r="Q369" s="30" t="n">
        <v>9.200699999999999</v>
      </c>
      <c r="R369" s="10">
        <f>MAX(MAX(1.4/'Parametros'!$B$3,0.25*SQRT('Parametros'!$B$2)/'Parametros'!$B$3)*H369*U369,(0.85*'Parametros'!$B$2/'Parametros'!$B$3)*(1-SQRT(1-2*(J369*1000000/('Parametros'!$B$5*H369*U369^2))/(0.85*'Parametros'!$B$2)))*H369*U369)</f>
        <v>1319.12264303822</v>
      </c>
      <c r="S369" s="31" t="n">
        <v>7</v>
      </c>
      <c r="T369" s="32" t="n">
        <v>1</v>
      </c>
      <c r="U369" s="10">
        <f>IF(T369=1,I369-('Parametros'!$B$7+'Parametros'!$B$9+'Parametros'!$B$12/2),I369-(ROUNDUP(S369/2,0)*('Parametros'!$B$7+'Parametros'!$B$9+'Parametros'!$B$12/2)+ROUNDDOWN(S369/2,0)*('Parametros'!$B$7+'Parametros'!$B$9+'Parametros'!$B$12/2+'Parametros'!$B$12+'Parametros'!$B$10))/S369)</f>
        <v>489.35</v>
      </c>
      <c r="V369" s="10">
        <f>S369*'Parametros'!$B$8</f>
        <v>1393</v>
      </c>
      <c r="W369" s="10">
        <f>'Parametros'!$B$5*V369*'Parametros'!$B$3*(U369-(V369*'Parametros'!$B$3/(0.85*'Parametros'!$B$2*H369))/2)/1000000</f>
        <v>244.725263629412</v>
      </c>
      <c r="X369" s="10" t="str">
        <f>IF(W369&gt;=J369,"CUMPLE","NO CUMPLE")</f>
        <v>CUMPLE</v>
      </c>
      <c r="Y369" s="10">
        <f>MAX(MAX(1.4/'Parametros'!$B$3,0.25*SQRT('Parametros'!$B$2)/'Parametros'!$B$3)*H369*AB369,(0.85*'Parametros'!$B$2/'Parametros'!$B$3)*(1-SQRT(1-2*(L369*1000000/('Parametros'!$B$5*H369*AB369^2))/(0.85*'Parametros'!$B$2)))*H369*AB369)</f>
        <v>974.861517157594</v>
      </c>
      <c r="Z369" s="31" t="n">
        <v>5</v>
      </c>
      <c r="AA369" s="32" t="n">
        <v>1</v>
      </c>
      <c r="AB369" s="10">
        <f>IF(AA369=1,I369-('Parametros'!$B$7+'Parametros'!$B$9+'Parametros'!$B$12/2),I369-(ROUNDUP(Z369/2,0)*('Parametros'!$B$7+'Parametros'!$B$9+'Parametros'!$B$12/2)+ROUNDDOWN(Z369/2,0)*('Parametros'!$B$7+'Parametros'!$B$9+'Parametros'!$B$12/2+'Parametros'!$B$12+'Parametros'!$B$10))/Z369)</f>
        <v>489.35</v>
      </c>
      <c r="AC369" s="10">
        <f>Z369*'Parametros'!$B$8</f>
        <v>995</v>
      </c>
      <c r="AD369" s="10">
        <f>'Parametros'!$B$5*AC369*'Parametros'!$B$3*(AB369-(AC369*'Parametros'!$B$3/(0.85*'Parametros'!$B$2*H369))/2)/1000000</f>
        <v>177.445379382353</v>
      </c>
      <c r="AE369" s="10" t="str">
        <f>IF(AD369&gt;=L369,"CUMPLE","NO CUMPLE")</f>
        <v>CUMPLE</v>
      </c>
      <c r="AF369" s="10">
        <f>V369*1.25*'Parametros'!$B$3*(U369-(V369*1.25*'Parametros'!$B$3/(0.85*'Parametros'!$B$2*H369))/2)/1000000</f>
        <v>335.401777169118</v>
      </c>
      <c r="AG369" s="10">
        <f>AC369*1.25*'Parametros'!$B$3*(AB369-(AC369*1.25*'Parametros'!$B$3/(0.85*'Parametros'!$B$2*H369))/2)/1000000</f>
        <v>244.158843198529</v>
      </c>
      <c r="AH369" s="10">
        <f>N369+(AF369+AG369)/D369</f>
        <v>476.341310183824</v>
      </c>
      <c r="AI369" s="10">
        <f>MAX(O369,AH369)</f>
        <v>745.615</v>
      </c>
      <c r="AJ369" s="10">
        <f>0.17*SQRT('Parametros'!$B$2)*H369*MIN(U369,AB369)/1000</f>
        <v>220.098728691808</v>
      </c>
      <c r="AK369" s="10">
        <f>MAX(AI369/'Parametros'!$B$6-AJ369,0)</f>
        <v>774.054604641526</v>
      </c>
      <c r="AL369" s="10">
        <f>0.66*SQRT('Parametros'!$B$2)*H369*MIN(U369,AB369)/1000</f>
        <v>854.500946685842</v>
      </c>
      <c r="AM369" s="10" t="str">
        <f>IF(AK369&lt;=AL369,"CUMPLE","NO CUMPLE")</f>
        <v>CUMPLE</v>
      </c>
      <c r="AN369" s="17" t="inlineStr">
        <is>
          <t>Nº4 cerrado</t>
        </is>
      </c>
      <c r="AO369" s="31" t="n">
        <v>4</v>
      </c>
      <c r="AP369" s="10">
        <f>ROUNDDOWN(MIN(IF(BC369+BD369=0,1000000000,AO369*BB369/(BC369+BD369)),MIN(U369,AB369)/4,8*'Parametros'!$B$12,24*BA369,300,IF(AV369=0,1000000000,2*((H369-2*('Parametros'!$B$7+'Parametros'!$B$9/2))+(I369-2*('Parametros'!$B$7+'Parametros'!$B$9/2)))/8))/10,0)*10</f>
        <v>120</v>
      </c>
      <c r="AQ369" s="10">
        <f>ROUNDDOWN(MIN(IF(BC369+BD369=0,1000000000,AO369*BB369/(BC369+BD369)),IF(AK369&gt;0.33*SQRT('Parametros'!$B$2)*H369*MIN(U369,AB369)/1000,MIN(U369,AB369)/4,MIN(U369,AB369)/2),600,IF(AV369=0,1000000000,2*((H369-2*('Parametros'!$B$7+'Parametros'!$B$9/2))+(I369-2*('Parametros'!$B$7+'Parametros'!$B$9/2)))/8))/10,0)*10</f>
        <v>120</v>
      </c>
      <c r="AR369" s="10">
        <f>'Parametros'!$B$6*(AJ369+MAX(BE369-BD369,0)*'Parametros'!$B$4*MIN(U369,AB369)/1000)</f>
        <v>827.898621518856</v>
      </c>
      <c r="AS369" s="10" t="str">
        <f>IF(AND(ISERROR(SEARCH("referencia",AN369)),AM369="CUMPLE",AR369&gt;=AI369),"CUMPLE","NO CUMPLE")</f>
        <v>CUMPLE</v>
      </c>
      <c r="AT369" s="10">
        <f>'Parametros'!$B$6*0.083*SQRT('Parametros'!$B$2)*(H369*I369)^2/(2*(H369+I369))/1000000</f>
        <v>11.862178757599</v>
      </c>
      <c r="AU369" s="10" t="str">
        <f>IF(Q369&lt;=AT369,"DESPRECIABLE","DISEÑAR")</f>
        <v>DESPRECIABLE</v>
      </c>
      <c r="AV369" s="10">
        <f>IF(Q369&lt;=AT369,0,Q369*1000000/('Parametros'!$B$6*2*0.85*(H369-2*('Parametros'!$B$7+'Parametros'!$B$9/2))*(I369-2*('Parametros'!$B$7+'Parametros'!$B$9/2))*'Parametros'!$B$4))</f>
        <v>0</v>
      </c>
      <c r="AW369" s="10">
        <f>AV369*2*((H369-2*('Parametros'!$B$7+'Parametros'!$B$9/2))+(I369-2*('Parametros'!$B$7+'Parametros'!$B$9/2)))*'Parametros'!$B$4/'Parametros'!$B$3</f>
        <v>0</v>
      </c>
      <c r="AX369" s="31" t="n">
        <v>0</v>
      </c>
      <c r="AY369" s="10" t="str">
        <f>IF(AV369=0,"DESPRECIABLE",IF(AND(ISERROR(SEARCH("referencia",AN369)),BB369/AP369&gt;=AV369,BI369&gt;=AW369,BH369="CUMPLE"),"CUMPLE","NO CUMPLE"))</f>
        <v>DESPRECIABLE</v>
      </c>
      <c r="AZ369" s="10" t="str">
        <f>IF(AND(X369="CUMPLE",AE369="CUMPLE",AS369="CUMPLE",OR(AY369="CUMPLE",AY369="DESPRECIABLE"),BH369="CUMPLE",BJ369="CUMPLE"),"CUMPLE","NO CUMPLE")</f>
        <v>CUMPLE</v>
      </c>
      <c r="BA369" s="32" t="n">
        <v>12.7</v>
      </c>
      <c r="BB369" s="32" t="n">
        <v>129</v>
      </c>
      <c r="BC369" s="10">
        <f>MAX(IF(AK369=0,0,AK369*1000/('Parametros'!$B$4*MIN(U369,AB369))),MAX(0.062*SQRT('Parametros'!$B$2)*H369/'Parametros'!$B$4,0.35*H369/'Parametros'!$B$4))</f>
        <v>3.76619424524041</v>
      </c>
      <c r="BD369" s="10">
        <f>2*AV369</f>
        <v>0</v>
      </c>
      <c r="BE369" s="10">
        <f>AO369*BB369/AP369</f>
        <v>4.3</v>
      </c>
      <c r="BF369" s="10">
        <f>SQRT((AI369*1000/(H369*MIN(U369,AB369)))^2+(Q369*1000000*2*((H369-2*('Parametros'!$B$7+'Parametros'!$B$9/2))+(I369-2*('Parametros'!$B$7+'Parametros'!$B$9/2)))/(1.7*((H369-2*('Parametros'!$B$7+'Parametros'!$B$9/2))*(I369-2*('Parametros'!$B$7+'Parametros'!$B$9/2)))^2))^2)</f>
        <v>3.05928600229023</v>
      </c>
      <c r="BG369" s="10">
        <f>'Parametros'!$B$6*(AJ369*1000/(H369*MIN(U369,AB369))+0.66*SQRT('Parametros'!$B$2))</f>
        <v>3.29396038227542</v>
      </c>
      <c r="BH369" s="10" t="str">
        <f>IF(BF369&lt;=BG369,"CUMPLE","NO CUMPLE")</f>
        <v>CUMPLE</v>
      </c>
      <c r="BI369" s="10">
        <f>AX369*'Parametros'!$B$8</f>
        <v>0</v>
      </c>
      <c r="BJ369" s="10" t="str">
        <f>IF(BI369&gt;=AW369,"CUMPLE","NO CUMPLE")</f>
        <v>CUMPLE</v>
      </c>
    </row>
    <row r="370">
      <c r="A370" s="25" t="inlineStr">
        <is>
          <t>VR2</t>
        </is>
      </c>
      <c r="B370" s="25" t="inlineStr">
        <is>
          <t>145</t>
        </is>
      </c>
      <c r="C370" s="10" t="n">
        <v>1</v>
      </c>
      <c r="D370" s="10" t="n">
        <v>0.9</v>
      </c>
      <c r="E370" s="10" t="n">
        <v>0.9</v>
      </c>
      <c r="F370" s="10" t="n">
        <v>500</v>
      </c>
      <c r="G370" s="10" t="n">
        <v>550</v>
      </c>
      <c r="H370" s="17" t="n">
        <v>500</v>
      </c>
      <c r="I370" s="17" t="n">
        <v>550</v>
      </c>
      <c r="J370" s="30" t="n">
        <v>71.2961</v>
      </c>
      <c r="K370" s="10" t="inlineStr">
        <is>
          <t>145</t>
        </is>
      </c>
      <c r="L370" s="30" t="n">
        <v>0.1307</v>
      </c>
      <c r="M370" s="10" t="inlineStr">
        <is>
          <t>145</t>
        </is>
      </c>
      <c r="N370" s="30" t="n">
        <v>52.862</v>
      </c>
      <c r="O370" s="30" t="n">
        <v>101.02</v>
      </c>
      <c r="P370" s="10" t="inlineStr">
        <is>
          <t>145</t>
        </is>
      </c>
      <c r="Q370" s="30" t="n">
        <v>140.6612</v>
      </c>
      <c r="R370" s="10">
        <f>MAX(MAX(1.4/'Parametros'!$B$3,0.25*SQRT('Parametros'!$B$2)/'Parametros'!$B$3)*H370*U370,(0.85*'Parametros'!$B$2/'Parametros'!$B$3)*(1-SQRT(1-2*(J370*1000000/('Parametros'!$B$5*H370*U370^2))/(0.85*'Parametros'!$B$2)))*H370*U370)</f>
        <v>815.583333333333</v>
      </c>
      <c r="S370" s="31" t="n">
        <v>5</v>
      </c>
      <c r="T370" s="32" t="n">
        <v>1</v>
      </c>
      <c r="U370" s="10">
        <f>IF(T370=1,I370-('Parametros'!$B$7+'Parametros'!$B$9+'Parametros'!$B$12/2),I370-(ROUNDUP(S370/2,0)*('Parametros'!$B$7+'Parametros'!$B$9+'Parametros'!$B$12/2)+ROUNDDOWN(S370/2,0)*('Parametros'!$B$7+'Parametros'!$B$9+'Parametros'!$B$12/2+'Parametros'!$B$12+'Parametros'!$B$10))/S370)</f>
        <v>489.35</v>
      </c>
      <c r="V370" s="10">
        <f>S370*'Parametros'!$B$8</f>
        <v>995</v>
      </c>
      <c r="W370" s="10">
        <f>'Parametros'!$B$5*V370*'Parametros'!$B$3*(U370-(V370*'Parametros'!$B$3/(0.85*'Parametros'!$B$2*H370))/2)/1000000</f>
        <v>177.445379382353</v>
      </c>
      <c r="X370" s="10" t="str">
        <f>IF(W370&gt;=J370,"CUMPLE","NO CUMPLE")</f>
        <v>CUMPLE</v>
      </c>
      <c r="Y370" s="10">
        <f>MAX(MAX(1.4/'Parametros'!$B$3,0.25*SQRT('Parametros'!$B$2)/'Parametros'!$B$3)*H370*AB370,(0.85*'Parametros'!$B$2/'Parametros'!$B$3)*(1-SQRT(1-2*(L370*1000000/('Parametros'!$B$5*H370*AB370^2))/(0.85*'Parametros'!$B$2)))*H370*AB370)</f>
        <v>815.583333333333</v>
      </c>
      <c r="Z370" s="31" t="n">
        <v>5</v>
      </c>
      <c r="AA370" s="32" t="n">
        <v>1</v>
      </c>
      <c r="AB370" s="10">
        <f>IF(AA370=1,I370-('Parametros'!$B$7+'Parametros'!$B$9+'Parametros'!$B$12/2),I370-(ROUNDUP(Z370/2,0)*('Parametros'!$B$7+'Parametros'!$B$9+'Parametros'!$B$12/2)+ROUNDDOWN(Z370/2,0)*('Parametros'!$B$7+'Parametros'!$B$9+'Parametros'!$B$12/2+'Parametros'!$B$12+'Parametros'!$B$10))/Z370)</f>
        <v>489.35</v>
      </c>
      <c r="AC370" s="10">
        <f>Z370*'Parametros'!$B$8</f>
        <v>995</v>
      </c>
      <c r="AD370" s="10">
        <f>'Parametros'!$B$5*AC370*'Parametros'!$B$3*(AB370-(AC370*'Parametros'!$B$3/(0.85*'Parametros'!$B$2*H370))/2)/1000000</f>
        <v>177.445379382353</v>
      </c>
      <c r="AE370" s="10" t="str">
        <f>IF(AD370&gt;=L370,"CUMPLE","NO CUMPLE")</f>
        <v>CUMPLE</v>
      </c>
      <c r="AF370" s="10">
        <f>V370*1.25*'Parametros'!$B$3*(U370-(V370*1.25*'Parametros'!$B$3/(0.85*'Parametros'!$B$2*H370))/2)/1000000</f>
        <v>244.158843198529</v>
      </c>
      <c r="AG370" s="10">
        <f>AC370*1.25*'Parametros'!$B$3*(AB370-(AC370*1.25*'Parametros'!$B$3/(0.85*'Parametros'!$B$2*H370))/2)/1000000</f>
        <v>244.158843198529</v>
      </c>
      <c r="AH370" s="10">
        <f>N370+(AF370+AG370)/D370</f>
        <v>595.437207107843</v>
      </c>
      <c r="AI370" s="10">
        <f>MAX(O370,AH370)</f>
        <v>595.437207107843</v>
      </c>
      <c r="AJ370" s="10">
        <f>0.17*SQRT('Parametros'!$B$2)*H370*MIN(U370,AB370)/1000</f>
        <v>220.098728691808</v>
      </c>
      <c r="AK370" s="10">
        <f>MAX(AI370/'Parametros'!$B$6-AJ370,0)</f>
        <v>573.817547451983</v>
      </c>
      <c r="AL370" s="10">
        <f>0.66*SQRT('Parametros'!$B$2)*H370*MIN(U370,AB370)/1000</f>
        <v>854.500946685842</v>
      </c>
      <c r="AM370" s="10" t="str">
        <f>IF(AK370&lt;=AL370,"CUMPLE","NO CUMPLE")</f>
        <v>CUMPLE</v>
      </c>
      <c r="AN370" s="17" t="inlineStr">
        <is>
          <t>Nº4 cerrado</t>
        </is>
      </c>
      <c r="AO370" s="31" t="n">
        <v>4</v>
      </c>
      <c r="AP370" s="10">
        <f>ROUNDDOWN(MIN(IF(BC370+BD370=0,1000000000,AO370*BB370/(BC370+BD370)),MIN(U370,AB370)/4,8*'Parametros'!$B$12,24*BA370,300,IF(AV370=0,1000000000,2*((H370-2*('Parametros'!$B$7+'Parametros'!$B$9/2))+(I370-2*('Parametros'!$B$7+'Parametros'!$B$9/2)))/8))/10,0)*10</f>
        <v>90</v>
      </c>
      <c r="AQ370" s="10">
        <f>ROUNDDOWN(MIN(IF(BC370+BD370=0,1000000000,AO370*BB370/(BC370+BD370)),IF(AK370&gt;0.33*SQRT('Parametros'!$B$2)*H370*MIN(U370,AB370)/1000,MIN(U370,AB370)/4,MIN(U370,AB370)/2),600,IF(AV370=0,1000000000,2*((H370-2*('Parametros'!$B$7+'Parametros'!$B$9/2))+(I370-2*('Parametros'!$B$7+'Parametros'!$B$9/2)))/8))/10,0)*10</f>
        <v>90</v>
      </c>
      <c r="AR370" s="10">
        <f>'Parametros'!$B$6*(AJ370+MAX(BE370-BD370,0)*'Parametros'!$B$4*MIN(U370,AB370)/1000)</f>
        <v>614.070342399944</v>
      </c>
      <c r="AS370" s="10" t="str">
        <f>IF(AND(ISERROR(SEARCH("referencia",AN370)),AM370="CUMPLE",AR370&gt;=AI370),"CUMPLE","NO CUMPLE")</f>
        <v>CUMPLE</v>
      </c>
      <c r="AT370" s="10">
        <f>'Parametros'!$B$6*0.083*SQRT('Parametros'!$B$2)*(H370*I370)^2/(2*(H370+I370))/1000000</f>
        <v>11.862178757599</v>
      </c>
      <c r="AU370" s="10" t="str">
        <f>IF(Q370&lt;=AT370,"DESPRECIABLE","DISEÑAR")</f>
        <v>DISEÑAR</v>
      </c>
      <c r="AV370" s="10">
        <f>IF(Q370&lt;=AT370,0,Q370*1000000/('Parametros'!$B$6*2*0.85*(H370-2*('Parametros'!$B$7+'Parametros'!$B$9/2))*(I370-2*('Parametros'!$B$7+'Parametros'!$B$9/2))*'Parametros'!$B$4))</f>
        <v>1.41026014138909</v>
      </c>
      <c r="AW370" s="10">
        <f>AV370*2*((H370-2*('Parametros'!$B$7+'Parametros'!$B$9/2))+(I370-2*('Parametros'!$B$7+'Parametros'!$B$9/2)))*'Parametros'!$B$4/'Parametros'!$B$3</f>
        <v>2438.62183649001</v>
      </c>
      <c r="AX370" s="31" t="n">
        <v>16</v>
      </c>
      <c r="AY370" s="10" t="str">
        <f>IF(AV370=0,"DESPRECIABLE",IF(AND(ISERROR(SEARCH("referencia",AN370)),BB370/AP370&gt;=AV370,BI370&gt;=AW370,BH370="CUMPLE"),"CUMPLE","NO CUMPLE"))</f>
        <v>NO CUMPLE</v>
      </c>
      <c r="AZ370" s="10" t="str">
        <f>IF(AND(X370="CUMPLE",AE370="CUMPLE",AS370="CUMPLE",OR(AY370="CUMPLE",AY370="DESPRECIABLE"),BH370="CUMPLE",BJ370="CUMPLE"),"CUMPLE","NO CUMPLE")</f>
        <v>NO CUMPLE</v>
      </c>
      <c r="BA370" s="32" t="n">
        <v>12.7</v>
      </c>
      <c r="BB370" s="32" t="n">
        <v>129</v>
      </c>
      <c r="BC370" s="10">
        <f>MAX(IF(AK370=0,0,AK370*1000/('Parametros'!$B$4*MIN(U370,AB370))),MAX(0.062*SQRT('Parametros'!$B$2)*H370/'Parametros'!$B$4,0.35*H370/'Parametros'!$B$4))</f>
        <v>2.79193267771136</v>
      </c>
      <c r="BD370" s="10">
        <f>2*AV370</f>
        <v>2.82052028277817</v>
      </c>
      <c r="BE370" s="10">
        <f>AO370*BB370/AP370</f>
        <v>5.73333333333333</v>
      </c>
      <c r="BF370" s="10">
        <f>SQRT((AI370*1000/(H370*MIN(U370,AB370)))^2+(Q370*1000000*2*((H370-2*('Parametros'!$B$7+'Parametros'!$B$9/2))+(I370-2*('Parametros'!$B$7+'Parametros'!$B$9/2)))/(1.7*((H370-2*('Parametros'!$B$7+'Parametros'!$B$9/2))*(I370-2*('Parametros'!$B$7+'Parametros'!$B$9/2)))^2))^2)</f>
        <v>4.7886671119944</v>
      </c>
      <c r="BG370" s="10">
        <f>'Parametros'!$B$6*(AJ370*1000/(H370*MIN(U370,AB370))+0.66*SQRT('Parametros'!$B$2))</f>
        <v>3.29396038227542</v>
      </c>
      <c r="BH370" s="10" t="str">
        <f>IF(BF370&lt;=BG370,"CUMPLE","NO CUMPLE")</f>
        <v>NO CUMPLE</v>
      </c>
      <c r="BI370" s="10">
        <f>AX370*'Parametros'!$B$8</f>
        <v>3184</v>
      </c>
      <c r="BJ370" s="10" t="str">
        <f>IF(BI370&gt;=AW370,"CUMPLE","NO CUMPLE")</f>
        <v>CUMPLE</v>
      </c>
    </row>
    <row r="371">
      <c r="A371" s="25" t="inlineStr">
        <is>
          <t>VR2</t>
        </is>
      </c>
      <c r="B371" s="25" t="inlineStr">
        <is>
          <t>147</t>
        </is>
      </c>
      <c r="C371" s="10" t="n">
        <v>1</v>
      </c>
      <c r="D371" s="10" t="n">
        <v>0.9</v>
      </c>
      <c r="E371" s="10" t="n">
        <v>0.9</v>
      </c>
      <c r="F371" s="10" t="n">
        <v>500</v>
      </c>
      <c r="G371" s="10" t="n">
        <v>550</v>
      </c>
      <c r="H371" s="17" t="n">
        <v>500</v>
      </c>
      <c r="I371" s="17" t="n">
        <v>550</v>
      </c>
      <c r="J371" s="30" t="n">
        <v>71.2931</v>
      </c>
      <c r="K371" s="10" t="inlineStr">
        <is>
          <t>147</t>
        </is>
      </c>
      <c r="L371" s="30" t="n">
        <v>0.1308</v>
      </c>
      <c r="M371" s="10" t="inlineStr">
        <is>
          <t>147</t>
        </is>
      </c>
      <c r="N371" s="30" t="n">
        <v>52.86</v>
      </c>
      <c r="O371" s="30" t="n">
        <v>101.018</v>
      </c>
      <c r="P371" s="10" t="inlineStr">
        <is>
          <t>147</t>
        </is>
      </c>
      <c r="Q371" s="30" t="n">
        <v>140.6572</v>
      </c>
      <c r="R371" s="10">
        <f>MAX(MAX(1.4/'Parametros'!$B$3,0.25*SQRT('Parametros'!$B$2)/'Parametros'!$B$3)*H371*U371,(0.85*'Parametros'!$B$2/'Parametros'!$B$3)*(1-SQRT(1-2*(J371*1000000/('Parametros'!$B$5*H371*U371^2))/(0.85*'Parametros'!$B$2)))*H371*U371)</f>
        <v>815.583333333333</v>
      </c>
      <c r="S371" s="31" t="n">
        <v>5</v>
      </c>
      <c r="T371" s="32" t="n">
        <v>1</v>
      </c>
      <c r="U371" s="10">
        <f>IF(T371=1,I371-('Parametros'!$B$7+'Parametros'!$B$9+'Parametros'!$B$12/2),I371-(ROUNDUP(S371/2,0)*('Parametros'!$B$7+'Parametros'!$B$9+'Parametros'!$B$12/2)+ROUNDDOWN(S371/2,0)*('Parametros'!$B$7+'Parametros'!$B$9+'Parametros'!$B$12/2+'Parametros'!$B$12+'Parametros'!$B$10))/S371)</f>
        <v>489.35</v>
      </c>
      <c r="V371" s="10">
        <f>S371*'Parametros'!$B$8</f>
        <v>995</v>
      </c>
      <c r="W371" s="10">
        <f>'Parametros'!$B$5*V371*'Parametros'!$B$3*(U371-(V371*'Parametros'!$B$3/(0.85*'Parametros'!$B$2*H371))/2)/1000000</f>
        <v>177.445379382353</v>
      </c>
      <c r="X371" s="10" t="str">
        <f>IF(W371&gt;=J371,"CUMPLE","NO CUMPLE")</f>
        <v>CUMPLE</v>
      </c>
      <c r="Y371" s="10">
        <f>MAX(MAX(1.4/'Parametros'!$B$3,0.25*SQRT('Parametros'!$B$2)/'Parametros'!$B$3)*H371*AB371,(0.85*'Parametros'!$B$2/'Parametros'!$B$3)*(1-SQRT(1-2*(L371*1000000/('Parametros'!$B$5*H371*AB371^2))/(0.85*'Parametros'!$B$2)))*H371*AB371)</f>
        <v>815.583333333333</v>
      </c>
      <c r="Z371" s="31" t="n">
        <v>5</v>
      </c>
      <c r="AA371" s="32" t="n">
        <v>1</v>
      </c>
      <c r="AB371" s="10">
        <f>IF(AA371=1,I371-('Parametros'!$B$7+'Parametros'!$B$9+'Parametros'!$B$12/2),I371-(ROUNDUP(Z371/2,0)*('Parametros'!$B$7+'Parametros'!$B$9+'Parametros'!$B$12/2)+ROUNDDOWN(Z371/2,0)*('Parametros'!$B$7+'Parametros'!$B$9+'Parametros'!$B$12/2+'Parametros'!$B$12+'Parametros'!$B$10))/Z371)</f>
        <v>489.35</v>
      </c>
      <c r="AC371" s="10">
        <f>Z371*'Parametros'!$B$8</f>
        <v>995</v>
      </c>
      <c r="AD371" s="10">
        <f>'Parametros'!$B$5*AC371*'Parametros'!$B$3*(AB371-(AC371*'Parametros'!$B$3/(0.85*'Parametros'!$B$2*H371))/2)/1000000</f>
        <v>177.445379382353</v>
      </c>
      <c r="AE371" s="10" t="str">
        <f>IF(AD371&gt;=L371,"CUMPLE","NO CUMPLE")</f>
        <v>CUMPLE</v>
      </c>
      <c r="AF371" s="10">
        <f>V371*1.25*'Parametros'!$B$3*(U371-(V371*1.25*'Parametros'!$B$3/(0.85*'Parametros'!$B$2*H371))/2)/1000000</f>
        <v>244.158843198529</v>
      </c>
      <c r="AG371" s="10">
        <f>AC371*1.25*'Parametros'!$B$3*(AB371-(AC371*1.25*'Parametros'!$B$3/(0.85*'Parametros'!$B$2*H371))/2)/1000000</f>
        <v>244.158843198529</v>
      </c>
      <c r="AH371" s="10">
        <f>N371+(AF371+AG371)/D371</f>
        <v>595.435207107843</v>
      </c>
      <c r="AI371" s="10">
        <f>MAX(O371,AH371)</f>
        <v>595.435207107843</v>
      </c>
      <c r="AJ371" s="10">
        <f>0.17*SQRT('Parametros'!$B$2)*H371*MIN(U371,AB371)/1000</f>
        <v>220.098728691808</v>
      </c>
      <c r="AK371" s="10">
        <f>MAX(AI371/'Parametros'!$B$6-AJ371,0)</f>
        <v>573.814880785316</v>
      </c>
      <c r="AL371" s="10">
        <f>0.66*SQRT('Parametros'!$B$2)*H371*MIN(U371,AB371)/1000</f>
        <v>854.500946685842</v>
      </c>
      <c r="AM371" s="10" t="str">
        <f>IF(AK371&lt;=AL371,"CUMPLE","NO CUMPLE")</f>
        <v>CUMPLE</v>
      </c>
      <c r="AN371" s="17" t="inlineStr">
        <is>
          <t>Nº4 cerrado</t>
        </is>
      </c>
      <c r="AO371" s="31" t="n">
        <v>4</v>
      </c>
      <c r="AP371" s="10">
        <f>ROUNDDOWN(MIN(IF(BC371+BD371=0,1000000000,AO371*BB371/(BC371+BD371)),MIN(U371,AB371)/4,8*'Parametros'!$B$12,24*BA371,300,IF(AV371=0,1000000000,2*((H371-2*('Parametros'!$B$7+'Parametros'!$B$9/2))+(I371-2*('Parametros'!$B$7+'Parametros'!$B$9/2)))/8))/10,0)*10</f>
        <v>90</v>
      </c>
      <c r="AQ371" s="10">
        <f>ROUNDDOWN(MIN(IF(BC371+BD371=0,1000000000,AO371*BB371/(BC371+BD371)),IF(AK371&gt;0.33*SQRT('Parametros'!$B$2)*H371*MIN(U371,AB371)/1000,MIN(U371,AB371)/4,MIN(U371,AB371)/2),600,IF(AV371=0,1000000000,2*((H371-2*('Parametros'!$B$7+'Parametros'!$B$9/2))+(I371-2*('Parametros'!$B$7+'Parametros'!$B$9/2)))/8))/10,0)*10</f>
        <v>90</v>
      </c>
      <c r="AR371" s="10">
        <f>'Parametros'!$B$6*(AJ371+MAX(BE371-BD371,0)*'Parametros'!$B$4*MIN(U371,AB371)/1000)</f>
        <v>614.082706002817</v>
      </c>
      <c r="AS371" s="10" t="str">
        <f>IF(AND(ISERROR(SEARCH("referencia",AN371)),AM371="CUMPLE",AR371&gt;=AI371),"CUMPLE","NO CUMPLE")</f>
        <v>CUMPLE</v>
      </c>
      <c r="AT371" s="10">
        <f>'Parametros'!$B$6*0.083*SQRT('Parametros'!$B$2)*(H371*I371)^2/(2*(H371+I371))/1000000</f>
        <v>11.862178757599</v>
      </c>
      <c r="AU371" s="10" t="str">
        <f>IF(Q371&lt;=AT371,"DESPRECIABLE","DISEÑAR")</f>
        <v>DISEÑAR</v>
      </c>
      <c r="AV371" s="10">
        <f>IF(Q371&lt;=AT371,0,Q371*1000000/('Parametros'!$B$6*2*0.85*(H371-2*('Parametros'!$B$7+'Parametros'!$B$9/2))*(I371-2*('Parametros'!$B$7+'Parametros'!$B$9/2))*'Parametros'!$B$4))</f>
        <v>1.41022003764644</v>
      </c>
      <c r="AW371" s="10">
        <f>AV371*2*((H371-2*('Parametros'!$B$7+'Parametros'!$B$9/2))+(I371-2*('Parametros'!$B$7+'Parametros'!$B$9/2)))*'Parametros'!$B$4/'Parametros'!$B$3</f>
        <v>2438.55248909822</v>
      </c>
      <c r="AX371" s="31" t="n">
        <v>16</v>
      </c>
      <c r="AY371" s="10" t="str">
        <f>IF(AV371=0,"DESPRECIABLE",IF(AND(ISERROR(SEARCH("referencia",AN371)),BB371/AP371&gt;=AV371,BI371&gt;=AW371,BH371="CUMPLE"),"CUMPLE","NO CUMPLE"))</f>
        <v>NO CUMPLE</v>
      </c>
      <c r="AZ371" s="10" t="str">
        <f>IF(AND(X371="CUMPLE",AE371="CUMPLE",AS371="CUMPLE",OR(AY371="CUMPLE",AY371="DESPRECIABLE"),BH371="CUMPLE",BJ371="CUMPLE"),"CUMPLE","NO CUMPLE")</f>
        <v>NO CUMPLE</v>
      </c>
      <c r="BA371" s="32" t="n">
        <v>12.7</v>
      </c>
      <c r="BB371" s="32" t="n">
        <v>129</v>
      </c>
      <c r="BC371" s="10">
        <f>MAX(IF(AK371=0,0,AK371*1000/('Parametros'!$B$4*MIN(U371,AB371))),MAX(0.062*SQRT('Parametros'!$B$2)*H371/'Parametros'!$B$4,0.35*H371/'Parametros'!$B$4))</f>
        <v>2.79191970293595</v>
      </c>
      <c r="BD371" s="10">
        <f>2*AV371</f>
        <v>2.82044007529287</v>
      </c>
      <c r="BE371" s="10">
        <f>AO371*BB371/AP371</f>
        <v>5.73333333333333</v>
      </c>
      <c r="BF371" s="10">
        <f>SQRT((AI371*1000/(H371*MIN(U371,AB371)))^2+(Q371*1000000*2*((H371-2*('Parametros'!$B$7+'Parametros'!$B$9/2))+(I371-2*('Parametros'!$B$7+'Parametros'!$B$9/2)))/(1.7*((H371-2*('Parametros'!$B$7+'Parametros'!$B$9/2))*(I371-2*('Parametros'!$B$7+'Parametros'!$B$9/2)))^2))^2)</f>
        <v>4.78856195161174</v>
      </c>
      <c r="BG371" s="10">
        <f>'Parametros'!$B$6*(AJ371*1000/(H371*MIN(U371,AB371))+0.66*SQRT('Parametros'!$B$2))</f>
        <v>3.29396038227542</v>
      </c>
      <c r="BH371" s="10" t="str">
        <f>IF(BF371&lt;=BG371,"CUMPLE","NO CUMPLE")</f>
        <v>NO CUMPLE</v>
      </c>
      <c r="BI371" s="10">
        <f>AX371*'Parametros'!$B$8</f>
        <v>3184</v>
      </c>
      <c r="BJ371" s="10" t="str">
        <f>IF(BI371&gt;=AW371,"CUMPLE","NO CUMPLE")</f>
        <v>CUMPLE</v>
      </c>
    </row>
    <row r="372">
      <c r="A372" s="25" t="inlineStr">
        <is>
          <t>VR2</t>
        </is>
      </c>
      <c r="B372" s="25" t="inlineStr">
        <is>
          <t>150</t>
        </is>
      </c>
      <c r="C372" s="10" t="n">
        <v>1</v>
      </c>
      <c r="D372" s="10" t="n">
        <v>0.9</v>
      </c>
      <c r="E372" s="10" t="n">
        <v>0.9</v>
      </c>
      <c r="F372" s="10" t="n">
        <v>500</v>
      </c>
      <c r="G372" s="10" t="n">
        <v>550</v>
      </c>
      <c r="H372" s="17" t="n">
        <v>500</v>
      </c>
      <c r="I372" s="17" t="n">
        <v>550</v>
      </c>
      <c r="J372" s="30" t="n">
        <v>71.2944</v>
      </c>
      <c r="K372" s="10" t="inlineStr">
        <is>
          <t>150</t>
        </is>
      </c>
      <c r="L372" s="30" t="n">
        <v>0.1308</v>
      </c>
      <c r="M372" s="10" t="inlineStr">
        <is>
          <t>150</t>
        </is>
      </c>
      <c r="N372" s="30" t="n">
        <v>52.861</v>
      </c>
      <c r="O372" s="30" t="n">
        <v>101.02</v>
      </c>
      <c r="P372" s="10" t="inlineStr">
        <is>
          <t>150</t>
        </is>
      </c>
      <c r="Q372" s="30" t="n">
        <v>140.6608</v>
      </c>
      <c r="R372" s="10">
        <f>MAX(MAX(1.4/'Parametros'!$B$3,0.25*SQRT('Parametros'!$B$2)/'Parametros'!$B$3)*H372*U372,(0.85*'Parametros'!$B$2/'Parametros'!$B$3)*(1-SQRT(1-2*(J372*1000000/('Parametros'!$B$5*H372*U372^2))/(0.85*'Parametros'!$B$2)))*H372*U372)</f>
        <v>815.583333333333</v>
      </c>
      <c r="S372" s="31" t="n">
        <v>5</v>
      </c>
      <c r="T372" s="32" t="n">
        <v>1</v>
      </c>
      <c r="U372" s="10">
        <f>IF(T372=1,I372-('Parametros'!$B$7+'Parametros'!$B$9+'Parametros'!$B$12/2),I372-(ROUNDUP(S372/2,0)*('Parametros'!$B$7+'Parametros'!$B$9+'Parametros'!$B$12/2)+ROUNDDOWN(S372/2,0)*('Parametros'!$B$7+'Parametros'!$B$9+'Parametros'!$B$12/2+'Parametros'!$B$12+'Parametros'!$B$10))/S372)</f>
        <v>489.35</v>
      </c>
      <c r="V372" s="10">
        <f>S372*'Parametros'!$B$8</f>
        <v>995</v>
      </c>
      <c r="W372" s="10">
        <f>'Parametros'!$B$5*V372*'Parametros'!$B$3*(U372-(V372*'Parametros'!$B$3/(0.85*'Parametros'!$B$2*H372))/2)/1000000</f>
        <v>177.445379382353</v>
      </c>
      <c r="X372" s="10" t="str">
        <f>IF(W372&gt;=J372,"CUMPLE","NO CUMPLE")</f>
        <v>CUMPLE</v>
      </c>
      <c r="Y372" s="10">
        <f>MAX(MAX(1.4/'Parametros'!$B$3,0.25*SQRT('Parametros'!$B$2)/'Parametros'!$B$3)*H372*AB372,(0.85*'Parametros'!$B$2/'Parametros'!$B$3)*(1-SQRT(1-2*(L372*1000000/('Parametros'!$B$5*H372*AB372^2))/(0.85*'Parametros'!$B$2)))*H372*AB372)</f>
        <v>815.583333333333</v>
      </c>
      <c r="Z372" s="31" t="n">
        <v>5</v>
      </c>
      <c r="AA372" s="32" t="n">
        <v>1</v>
      </c>
      <c r="AB372" s="10">
        <f>IF(AA372=1,I372-('Parametros'!$B$7+'Parametros'!$B$9+'Parametros'!$B$12/2),I372-(ROUNDUP(Z372/2,0)*('Parametros'!$B$7+'Parametros'!$B$9+'Parametros'!$B$12/2)+ROUNDDOWN(Z372/2,0)*('Parametros'!$B$7+'Parametros'!$B$9+'Parametros'!$B$12/2+'Parametros'!$B$12+'Parametros'!$B$10))/Z372)</f>
        <v>489.35</v>
      </c>
      <c r="AC372" s="10">
        <f>Z372*'Parametros'!$B$8</f>
        <v>995</v>
      </c>
      <c r="AD372" s="10">
        <f>'Parametros'!$B$5*AC372*'Parametros'!$B$3*(AB372-(AC372*'Parametros'!$B$3/(0.85*'Parametros'!$B$2*H372))/2)/1000000</f>
        <v>177.445379382353</v>
      </c>
      <c r="AE372" s="10" t="str">
        <f>IF(AD372&gt;=L372,"CUMPLE","NO CUMPLE")</f>
        <v>CUMPLE</v>
      </c>
      <c r="AF372" s="10">
        <f>V372*1.25*'Parametros'!$B$3*(U372-(V372*1.25*'Parametros'!$B$3/(0.85*'Parametros'!$B$2*H372))/2)/1000000</f>
        <v>244.158843198529</v>
      </c>
      <c r="AG372" s="10">
        <f>AC372*1.25*'Parametros'!$B$3*(AB372-(AC372*1.25*'Parametros'!$B$3/(0.85*'Parametros'!$B$2*H372))/2)/1000000</f>
        <v>244.158843198529</v>
      </c>
      <c r="AH372" s="10">
        <f>N372+(AF372+AG372)/D372</f>
        <v>595.436207107843</v>
      </c>
      <c r="AI372" s="10">
        <f>MAX(O372,AH372)</f>
        <v>595.436207107843</v>
      </c>
      <c r="AJ372" s="10">
        <f>0.17*SQRT('Parametros'!$B$2)*H372*MIN(U372,AB372)/1000</f>
        <v>220.098728691808</v>
      </c>
      <c r="AK372" s="10">
        <f>MAX(AI372/'Parametros'!$B$6-AJ372,0)</f>
        <v>573.81621411865</v>
      </c>
      <c r="AL372" s="10">
        <f>0.66*SQRT('Parametros'!$B$2)*H372*MIN(U372,AB372)/1000</f>
        <v>854.500946685842</v>
      </c>
      <c r="AM372" s="10" t="str">
        <f>IF(AK372&lt;=AL372,"CUMPLE","NO CUMPLE")</f>
        <v>CUMPLE</v>
      </c>
      <c r="AN372" s="17" t="inlineStr">
        <is>
          <t>Nº4 cerrado</t>
        </is>
      </c>
      <c r="AO372" s="31" t="n">
        <v>4</v>
      </c>
      <c r="AP372" s="10">
        <f>ROUNDDOWN(MIN(IF(BC372+BD372=0,1000000000,AO372*BB372/(BC372+BD372)),MIN(U372,AB372)/4,8*'Parametros'!$B$12,24*BA372,300,IF(AV372=0,1000000000,2*((H372-2*('Parametros'!$B$7+'Parametros'!$B$9/2))+(I372-2*('Parametros'!$B$7+'Parametros'!$B$9/2)))/8))/10,0)*10</f>
        <v>90</v>
      </c>
      <c r="AQ372" s="10">
        <f>ROUNDDOWN(MIN(IF(BC372+BD372=0,1000000000,AO372*BB372/(BC372+BD372)),IF(AK372&gt;0.33*SQRT('Parametros'!$B$2)*H372*MIN(U372,AB372)/1000,MIN(U372,AB372)/4,MIN(U372,AB372)/2),600,IF(AV372=0,1000000000,2*((H372-2*('Parametros'!$B$7+'Parametros'!$B$9/2))+(I372-2*('Parametros'!$B$7+'Parametros'!$B$9/2)))/8))/10,0)*10</f>
        <v>90</v>
      </c>
      <c r="AR372" s="10">
        <f>'Parametros'!$B$6*(AJ372+MAX(BE372-BD372,0)*'Parametros'!$B$4*MIN(U372,AB372)/1000)</f>
        <v>614.071578760231</v>
      </c>
      <c r="AS372" s="10" t="str">
        <f>IF(AND(ISERROR(SEARCH("referencia",AN372)),AM372="CUMPLE",AR372&gt;=AI372),"CUMPLE","NO CUMPLE")</f>
        <v>CUMPLE</v>
      </c>
      <c r="AT372" s="10">
        <f>'Parametros'!$B$6*0.083*SQRT('Parametros'!$B$2)*(H372*I372)^2/(2*(H372+I372))/1000000</f>
        <v>11.862178757599</v>
      </c>
      <c r="AU372" s="10" t="str">
        <f>IF(Q372&lt;=AT372,"DESPRECIABLE","DISEÑAR")</f>
        <v>DISEÑAR</v>
      </c>
      <c r="AV372" s="10">
        <f>IF(Q372&lt;=AT372,0,Q372*1000000/('Parametros'!$B$6*2*0.85*(H372-2*('Parametros'!$B$7+'Parametros'!$B$9/2))*(I372-2*('Parametros'!$B$7+'Parametros'!$B$9/2))*'Parametros'!$B$4))</f>
        <v>1.41025613101482</v>
      </c>
      <c r="AW372" s="10">
        <f>AV372*2*((H372-2*('Parametros'!$B$7+'Parametros'!$B$9/2))+(I372-2*('Parametros'!$B$7+'Parametros'!$B$9/2)))*'Parametros'!$B$4/'Parametros'!$B$3</f>
        <v>2438.61490175083</v>
      </c>
      <c r="AX372" s="31" t="n">
        <v>16</v>
      </c>
      <c r="AY372" s="10" t="str">
        <f>IF(AV372=0,"DESPRECIABLE",IF(AND(ISERROR(SEARCH("referencia",AN372)),BB372/AP372&gt;=AV372,BI372&gt;=AW372,BH372="CUMPLE"),"CUMPLE","NO CUMPLE"))</f>
        <v>NO CUMPLE</v>
      </c>
      <c r="AZ372" s="10" t="str">
        <f>IF(AND(X372="CUMPLE",AE372="CUMPLE",AS372="CUMPLE",OR(AY372="CUMPLE",AY372="DESPRECIABLE"),BH372="CUMPLE",BJ372="CUMPLE"),"CUMPLE","NO CUMPLE")</f>
        <v>NO CUMPLE</v>
      </c>
      <c r="BA372" s="32" t="n">
        <v>12.7</v>
      </c>
      <c r="BB372" s="32" t="n">
        <v>129</v>
      </c>
      <c r="BC372" s="10">
        <f>MAX(IF(AK372=0,0,AK372*1000/('Parametros'!$B$4*MIN(U372,AB372))),MAX(0.062*SQRT('Parametros'!$B$2)*H372/'Parametros'!$B$4,0.35*H372/'Parametros'!$B$4))</f>
        <v>2.79192619032365</v>
      </c>
      <c r="BD372" s="10">
        <f>2*AV372</f>
        <v>2.82051226202964</v>
      </c>
      <c r="BE372" s="10">
        <f>AO372*BB372/AP372</f>
        <v>5.73333333333333</v>
      </c>
      <c r="BF372" s="10">
        <f>SQRT((AI372*1000/(H372*MIN(U372,AB372)))^2+(Q372*1000000*2*((H372-2*('Parametros'!$B$7+'Parametros'!$B$9/2))+(I372-2*('Parametros'!$B$7+'Parametros'!$B$9/2)))/(1.7*((H372-2*('Parametros'!$B$7+'Parametros'!$B$9/2))*(I372-2*('Parametros'!$B$7+'Parametros'!$B$9/2)))^2))^2)</f>
        <v>4.78865493430637</v>
      </c>
      <c r="BG372" s="10">
        <f>'Parametros'!$B$6*(AJ372*1000/(H372*MIN(U372,AB372))+0.66*SQRT('Parametros'!$B$2))</f>
        <v>3.29396038227542</v>
      </c>
      <c r="BH372" s="10" t="str">
        <f>IF(BF372&lt;=BG372,"CUMPLE","NO CUMPLE")</f>
        <v>NO CUMPLE</v>
      </c>
      <c r="BI372" s="10">
        <f>AX372*'Parametros'!$B$8</f>
        <v>3184</v>
      </c>
      <c r="BJ372" s="10" t="str">
        <f>IF(BI372&gt;=AW372,"CUMPLE","NO CUMPLE")</f>
        <v>CUMPLE</v>
      </c>
    </row>
    <row r="373">
      <c r="A373" s="25" t="inlineStr">
        <is>
          <t>VR2</t>
        </is>
      </c>
      <c r="B373" s="25" t="inlineStr">
        <is>
          <t>152</t>
        </is>
      </c>
      <c r="C373" s="10" t="n">
        <v>1</v>
      </c>
      <c r="D373" s="10" t="n">
        <v>0.9</v>
      </c>
      <c r="E373" s="10" t="n">
        <v>0.9</v>
      </c>
      <c r="F373" s="10" t="n">
        <v>500</v>
      </c>
      <c r="G373" s="10" t="n">
        <v>550</v>
      </c>
      <c r="H373" s="17" t="n">
        <v>500</v>
      </c>
      <c r="I373" s="17" t="n">
        <v>550</v>
      </c>
      <c r="J373" s="30" t="n">
        <v>71.29770000000001</v>
      </c>
      <c r="K373" s="10" t="inlineStr">
        <is>
          <t>152</t>
        </is>
      </c>
      <c r="L373" s="30" t="n">
        <v>0.1306</v>
      </c>
      <c r="M373" s="10" t="inlineStr">
        <is>
          <t>152</t>
        </is>
      </c>
      <c r="N373" s="30" t="n">
        <v>52.863</v>
      </c>
      <c r="O373" s="30" t="n">
        <v>101.022</v>
      </c>
      <c r="P373" s="10" t="inlineStr">
        <is>
          <t>152</t>
        </is>
      </c>
      <c r="Q373" s="30" t="n">
        <v>140.6649</v>
      </c>
      <c r="R373" s="10">
        <f>MAX(MAX(1.4/'Parametros'!$B$3,0.25*SQRT('Parametros'!$B$2)/'Parametros'!$B$3)*H373*U373,(0.85*'Parametros'!$B$2/'Parametros'!$B$3)*(1-SQRT(1-2*(J373*1000000/('Parametros'!$B$5*H373*U373^2))/(0.85*'Parametros'!$B$2)))*H373*U373)</f>
        <v>815.583333333333</v>
      </c>
      <c r="S373" s="31" t="n">
        <v>5</v>
      </c>
      <c r="T373" s="32" t="n">
        <v>1</v>
      </c>
      <c r="U373" s="10">
        <f>IF(T373=1,I373-('Parametros'!$B$7+'Parametros'!$B$9+'Parametros'!$B$12/2),I373-(ROUNDUP(S373/2,0)*('Parametros'!$B$7+'Parametros'!$B$9+'Parametros'!$B$12/2)+ROUNDDOWN(S373/2,0)*('Parametros'!$B$7+'Parametros'!$B$9+'Parametros'!$B$12/2+'Parametros'!$B$12+'Parametros'!$B$10))/S373)</f>
        <v>489.35</v>
      </c>
      <c r="V373" s="10">
        <f>S373*'Parametros'!$B$8</f>
        <v>995</v>
      </c>
      <c r="W373" s="10">
        <f>'Parametros'!$B$5*V373*'Parametros'!$B$3*(U373-(V373*'Parametros'!$B$3/(0.85*'Parametros'!$B$2*H373))/2)/1000000</f>
        <v>177.445379382353</v>
      </c>
      <c r="X373" s="10" t="str">
        <f>IF(W373&gt;=J373,"CUMPLE","NO CUMPLE")</f>
        <v>CUMPLE</v>
      </c>
      <c r="Y373" s="10">
        <f>MAX(MAX(1.4/'Parametros'!$B$3,0.25*SQRT('Parametros'!$B$2)/'Parametros'!$B$3)*H373*AB373,(0.85*'Parametros'!$B$2/'Parametros'!$B$3)*(1-SQRT(1-2*(L373*1000000/('Parametros'!$B$5*H373*AB373^2))/(0.85*'Parametros'!$B$2)))*H373*AB373)</f>
        <v>815.583333333333</v>
      </c>
      <c r="Z373" s="31" t="n">
        <v>5</v>
      </c>
      <c r="AA373" s="32" t="n">
        <v>1</v>
      </c>
      <c r="AB373" s="10">
        <f>IF(AA373=1,I373-('Parametros'!$B$7+'Parametros'!$B$9+'Parametros'!$B$12/2),I373-(ROUNDUP(Z373/2,0)*('Parametros'!$B$7+'Parametros'!$B$9+'Parametros'!$B$12/2)+ROUNDDOWN(Z373/2,0)*('Parametros'!$B$7+'Parametros'!$B$9+'Parametros'!$B$12/2+'Parametros'!$B$12+'Parametros'!$B$10))/Z373)</f>
        <v>489.35</v>
      </c>
      <c r="AC373" s="10">
        <f>Z373*'Parametros'!$B$8</f>
        <v>995</v>
      </c>
      <c r="AD373" s="10">
        <f>'Parametros'!$B$5*AC373*'Parametros'!$B$3*(AB373-(AC373*'Parametros'!$B$3/(0.85*'Parametros'!$B$2*H373))/2)/1000000</f>
        <v>177.445379382353</v>
      </c>
      <c r="AE373" s="10" t="str">
        <f>IF(AD373&gt;=L373,"CUMPLE","NO CUMPLE")</f>
        <v>CUMPLE</v>
      </c>
      <c r="AF373" s="10">
        <f>V373*1.25*'Parametros'!$B$3*(U373-(V373*1.25*'Parametros'!$B$3/(0.85*'Parametros'!$B$2*H373))/2)/1000000</f>
        <v>244.158843198529</v>
      </c>
      <c r="AG373" s="10">
        <f>AC373*1.25*'Parametros'!$B$3*(AB373-(AC373*1.25*'Parametros'!$B$3/(0.85*'Parametros'!$B$2*H373))/2)/1000000</f>
        <v>244.158843198529</v>
      </c>
      <c r="AH373" s="10">
        <f>N373+(AF373+AG373)/D373</f>
        <v>595.438207107843</v>
      </c>
      <c r="AI373" s="10">
        <f>MAX(O373,AH373)</f>
        <v>595.438207107843</v>
      </c>
      <c r="AJ373" s="10">
        <f>0.17*SQRT('Parametros'!$B$2)*H373*MIN(U373,AB373)/1000</f>
        <v>220.098728691808</v>
      </c>
      <c r="AK373" s="10">
        <f>MAX(AI373/'Parametros'!$B$6-AJ373,0)</f>
        <v>573.818880785316</v>
      </c>
      <c r="AL373" s="10">
        <f>0.66*SQRT('Parametros'!$B$2)*H373*MIN(U373,AB373)/1000</f>
        <v>854.500946685842</v>
      </c>
      <c r="AM373" s="10" t="str">
        <f>IF(AK373&lt;=AL373,"CUMPLE","NO CUMPLE")</f>
        <v>CUMPLE</v>
      </c>
      <c r="AN373" s="17" t="inlineStr">
        <is>
          <t>Nº4 cerrado</t>
        </is>
      </c>
      <c r="AO373" s="31" t="n">
        <v>4</v>
      </c>
      <c r="AP373" s="10">
        <f>ROUNDDOWN(MIN(IF(BC373+BD373=0,1000000000,AO373*BB373/(BC373+BD373)),MIN(U373,AB373)/4,8*'Parametros'!$B$12,24*BA373,300,IF(AV373=0,1000000000,2*((H373-2*('Parametros'!$B$7+'Parametros'!$B$9/2))+(I373-2*('Parametros'!$B$7+'Parametros'!$B$9/2)))/8))/10,0)*10</f>
        <v>90</v>
      </c>
      <c r="AQ373" s="10">
        <f>ROUNDDOWN(MIN(IF(BC373+BD373=0,1000000000,AO373*BB373/(BC373+BD373)),IF(AK373&gt;0.33*SQRT('Parametros'!$B$2)*H373*MIN(U373,AB373)/1000,MIN(U373,AB373)/4,MIN(U373,AB373)/2),600,IF(AV373=0,1000000000,2*((H373-2*('Parametros'!$B$7+'Parametros'!$B$9/2))+(I373-2*('Parametros'!$B$7+'Parametros'!$B$9/2)))/8))/10,0)*10</f>
        <v>90</v>
      </c>
      <c r="AR373" s="10">
        <f>'Parametros'!$B$6*(AJ373+MAX(BE373-BD373,0)*'Parametros'!$B$4*MIN(U373,AB373)/1000)</f>
        <v>614.058906067286</v>
      </c>
      <c r="AS373" s="10" t="str">
        <f>IF(AND(ISERROR(SEARCH("referencia",AN373)),AM373="CUMPLE",AR373&gt;=AI373),"CUMPLE","NO CUMPLE")</f>
        <v>CUMPLE</v>
      </c>
      <c r="AT373" s="10">
        <f>'Parametros'!$B$6*0.083*SQRT('Parametros'!$B$2)*(H373*I373)^2/(2*(H373+I373))/1000000</f>
        <v>11.862178757599</v>
      </c>
      <c r="AU373" s="10" t="str">
        <f>IF(Q373&lt;=AT373,"DESPRECIABLE","DISEÑAR")</f>
        <v>DISEÑAR</v>
      </c>
      <c r="AV373" s="10">
        <f>IF(Q373&lt;=AT373,0,Q373*1000000/('Parametros'!$B$6*2*0.85*(H373-2*('Parametros'!$B$7+'Parametros'!$B$9/2))*(I373-2*('Parametros'!$B$7+'Parametros'!$B$9/2))*'Parametros'!$B$4))</f>
        <v>1.41029723735104</v>
      </c>
      <c r="AW373" s="10">
        <f>AV373*2*((H373-2*('Parametros'!$B$7+'Parametros'!$B$9/2))+(I373-2*('Parametros'!$B$7+'Parametros'!$B$9/2)))*'Parametros'!$B$4/'Parametros'!$B$3</f>
        <v>2438.68598282741</v>
      </c>
      <c r="AX373" s="31" t="n">
        <v>16</v>
      </c>
      <c r="AY373" s="10" t="str">
        <f>IF(AV373=0,"DESPRECIABLE",IF(AND(ISERROR(SEARCH("referencia",AN373)),BB373/AP373&gt;=AV373,BI373&gt;=AW373,BH373="CUMPLE"),"CUMPLE","NO CUMPLE"))</f>
        <v>NO CUMPLE</v>
      </c>
      <c r="AZ373" s="10" t="str">
        <f>IF(AND(X373="CUMPLE",AE373="CUMPLE",AS373="CUMPLE",OR(AY373="CUMPLE",AY373="DESPRECIABLE"),BH373="CUMPLE",BJ373="CUMPLE"),"CUMPLE","NO CUMPLE")</f>
        <v>NO CUMPLE</v>
      </c>
      <c r="BA373" s="32" t="n">
        <v>12.7</v>
      </c>
      <c r="BB373" s="32" t="n">
        <v>129</v>
      </c>
      <c r="BC373" s="10">
        <f>MAX(IF(AK373=0,0,AK373*1000/('Parametros'!$B$4*MIN(U373,AB373))),MAX(0.062*SQRT('Parametros'!$B$2)*H373/'Parametros'!$B$4,0.35*H373/'Parametros'!$B$4))</f>
        <v>2.79193916509907</v>
      </c>
      <c r="BD373" s="10">
        <f>2*AV373</f>
        <v>2.82059447470207</v>
      </c>
      <c r="BE373" s="10">
        <f>AO373*BB373/AP373</f>
        <v>5.73333333333333</v>
      </c>
      <c r="BF373" s="10">
        <f>SQRT((AI373*1000/(H373*MIN(U373,AB373)))^2+(Q373*1000000*2*((H373-2*('Parametros'!$B$7+'Parametros'!$B$9/2))+(I373-2*('Parametros'!$B$7+'Parametros'!$B$9/2)))/(1.7*((H373-2*('Parametros'!$B$7+'Parametros'!$B$9/2))*(I373-2*('Parametros'!$B$7+'Parametros'!$B$9/2)))^2))^2)</f>
        <v>4.78876262042044</v>
      </c>
      <c r="BG373" s="10">
        <f>'Parametros'!$B$6*(AJ373*1000/(H373*MIN(U373,AB373))+0.66*SQRT('Parametros'!$B$2))</f>
        <v>3.29396038227542</v>
      </c>
      <c r="BH373" s="10" t="str">
        <f>IF(BF373&lt;=BG373,"CUMPLE","NO CUMPLE")</f>
        <v>NO CUMPLE</v>
      </c>
      <c r="BI373" s="10">
        <f>AX373*'Parametros'!$B$8</f>
        <v>3184</v>
      </c>
      <c r="BJ373" s="10" t="str">
        <f>IF(BI373&gt;=AW373,"CUMPLE","NO CUMPLE")</f>
        <v>CUMPLE</v>
      </c>
    </row>
    <row r="374">
      <c r="A374" s="25" t="inlineStr">
        <is>
          <t>VR2</t>
        </is>
      </c>
      <c r="B374" s="25" t="inlineStr">
        <is>
          <t>155</t>
        </is>
      </c>
      <c r="C374" s="10" t="n">
        <v>1</v>
      </c>
      <c r="D374" s="10" t="n">
        <v>0.9</v>
      </c>
      <c r="E374" s="10" t="n">
        <v>0.9</v>
      </c>
      <c r="F374" s="10" t="n">
        <v>500</v>
      </c>
      <c r="G374" s="10" t="n">
        <v>550</v>
      </c>
      <c r="H374" s="17" t="n">
        <v>500</v>
      </c>
      <c r="I374" s="17" t="n">
        <v>550</v>
      </c>
      <c r="J374" s="30" t="n">
        <v>71.3115</v>
      </c>
      <c r="K374" s="10" t="inlineStr">
        <is>
          <t>155</t>
        </is>
      </c>
      <c r="L374" s="30" t="n">
        <v>0.2733</v>
      </c>
      <c r="M374" s="10" t="inlineStr">
        <is>
          <t>155</t>
        </is>
      </c>
      <c r="N374" s="30" t="n">
        <v>53.094</v>
      </c>
      <c r="O374" s="30" t="n">
        <v>99.227</v>
      </c>
      <c r="P374" s="10" t="inlineStr">
        <is>
          <t>155</t>
        </is>
      </c>
      <c r="Q374" s="30" t="n">
        <v>137.5699</v>
      </c>
      <c r="R374" s="10">
        <f>MAX(MAX(1.4/'Parametros'!$B$3,0.25*SQRT('Parametros'!$B$2)/'Parametros'!$B$3)*H374*U374,(0.85*'Parametros'!$B$2/'Parametros'!$B$3)*(1-SQRT(1-2*(J374*1000000/('Parametros'!$B$5*H374*U374^2))/(0.85*'Parametros'!$B$2)))*H374*U374)</f>
        <v>815.583333333333</v>
      </c>
      <c r="S374" s="31" t="n">
        <v>5</v>
      </c>
      <c r="T374" s="32" t="n">
        <v>1</v>
      </c>
      <c r="U374" s="10">
        <f>IF(T374=1,I374-('Parametros'!$B$7+'Parametros'!$B$9+'Parametros'!$B$12/2),I374-(ROUNDUP(S374/2,0)*('Parametros'!$B$7+'Parametros'!$B$9+'Parametros'!$B$12/2)+ROUNDDOWN(S374/2,0)*('Parametros'!$B$7+'Parametros'!$B$9+'Parametros'!$B$12/2+'Parametros'!$B$12+'Parametros'!$B$10))/S374)</f>
        <v>489.35</v>
      </c>
      <c r="V374" s="10">
        <f>S374*'Parametros'!$B$8</f>
        <v>995</v>
      </c>
      <c r="W374" s="10">
        <f>'Parametros'!$B$5*V374*'Parametros'!$B$3*(U374-(V374*'Parametros'!$B$3/(0.85*'Parametros'!$B$2*H374))/2)/1000000</f>
        <v>177.445379382353</v>
      </c>
      <c r="X374" s="10" t="str">
        <f>IF(W374&gt;=J374,"CUMPLE","NO CUMPLE")</f>
        <v>CUMPLE</v>
      </c>
      <c r="Y374" s="10">
        <f>MAX(MAX(1.4/'Parametros'!$B$3,0.25*SQRT('Parametros'!$B$2)/'Parametros'!$B$3)*H374*AB374,(0.85*'Parametros'!$B$2/'Parametros'!$B$3)*(1-SQRT(1-2*(L374*1000000/('Parametros'!$B$5*H374*AB374^2))/(0.85*'Parametros'!$B$2)))*H374*AB374)</f>
        <v>815.583333333333</v>
      </c>
      <c r="Z374" s="31" t="n">
        <v>5</v>
      </c>
      <c r="AA374" s="32" t="n">
        <v>1</v>
      </c>
      <c r="AB374" s="10">
        <f>IF(AA374=1,I374-('Parametros'!$B$7+'Parametros'!$B$9+'Parametros'!$B$12/2),I374-(ROUNDUP(Z374/2,0)*('Parametros'!$B$7+'Parametros'!$B$9+'Parametros'!$B$12/2)+ROUNDDOWN(Z374/2,0)*('Parametros'!$B$7+'Parametros'!$B$9+'Parametros'!$B$12/2+'Parametros'!$B$12+'Parametros'!$B$10))/Z374)</f>
        <v>489.35</v>
      </c>
      <c r="AC374" s="10">
        <f>Z374*'Parametros'!$B$8</f>
        <v>995</v>
      </c>
      <c r="AD374" s="10">
        <f>'Parametros'!$B$5*AC374*'Parametros'!$B$3*(AB374-(AC374*'Parametros'!$B$3/(0.85*'Parametros'!$B$2*H374))/2)/1000000</f>
        <v>177.445379382353</v>
      </c>
      <c r="AE374" s="10" t="str">
        <f>IF(AD374&gt;=L374,"CUMPLE","NO CUMPLE")</f>
        <v>CUMPLE</v>
      </c>
      <c r="AF374" s="10">
        <f>V374*1.25*'Parametros'!$B$3*(U374-(V374*1.25*'Parametros'!$B$3/(0.85*'Parametros'!$B$2*H374))/2)/1000000</f>
        <v>244.158843198529</v>
      </c>
      <c r="AG374" s="10">
        <f>AC374*1.25*'Parametros'!$B$3*(AB374-(AC374*1.25*'Parametros'!$B$3/(0.85*'Parametros'!$B$2*H374))/2)/1000000</f>
        <v>244.158843198529</v>
      </c>
      <c r="AH374" s="10">
        <f>N374+(AF374+AG374)/D374</f>
        <v>595.669207107843</v>
      </c>
      <c r="AI374" s="10">
        <f>MAX(O374,AH374)</f>
        <v>595.669207107843</v>
      </c>
      <c r="AJ374" s="10">
        <f>0.17*SQRT('Parametros'!$B$2)*H374*MIN(U374,AB374)/1000</f>
        <v>220.098728691808</v>
      </c>
      <c r="AK374" s="10">
        <f>MAX(AI374/'Parametros'!$B$6-AJ374,0)</f>
        <v>574.126880785316</v>
      </c>
      <c r="AL374" s="10">
        <f>0.66*SQRT('Parametros'!$B$2)*H374*MIN(U374,AB374)/1000</f>
        <v>854.500946685842</v>
      </c>
      <c r="AM374" s="10" t="str">
        <f>IF(AK374&lt;=AL374,"CUMPLE","NO CUMPLE")</f>
        <v>CUMPLE</v>
      </c>
      <c r="AN374" s="17" t="inlineStr">
        <is>
          <t>Nº4 cerrado</t>
        </is>
      </c>
      <c r="AO374" s="31" t="n">
        <v>4</v>
      </c>
      <c r="AP374" s="10">
        <f>ROUNDDOWN(MIN(IF(BC374+BD374=0,1000000000,AO374*BB374/(BC374+BD374)),MIN(U374,AB374)/4,8*'Parametros'!$B$12,24*BA374,300,IF(AV374=0,1000000000,2*((H374-2*('Parametros'!$B$7+'Parametros'!$B$9/2))+(I374-2*('Parametros'!$B$7+'Parametros'!$B$9/2)))/8))/10,0)*10</f>
        <v>90</v>
      </c>
      <c r="AQ374" s="10">
        <f>ROUNDDOWN(MIN(IF(BC374+BD374=0,1000000000,AO374*BB374/(BC374+BD374)),IF(AK374&gt;0.33*SQRT('Parametros'!$B$2)*H374*MIN(U374,AB374)/1000,MIN(U374,AB374)/4,MIN(U374,AB374)/2),600,IF(AV374=0,1000000000,2*((H374-2*('Parametros'!$B$7+'Parametros'!$B$9/2))+(I374-2*('Parametros'!$B$7+'Parametros'!$B$9/2)))/8))/10,0)*10</f>
        <v>90</v>
      </c>
      <c r="AR374" s="10">
        <f>'Parametros'!$B$6*(AJ374+MAX(BE374-BD374,0)*'Parametros'!$B$4*MIN(U374,AB374)/1000)</f>
        <v>623.625243790468</v>
      </c>
      <c r="AS374" s="10" t="str">
        <f>IF(AND(ISERROR(SEARCH("referencia",AN374)),AM374="CUMPLE",AR374&gt;=AI374),"CUMPLE","NO CUMPLE")</f>
        <v>CUMPLE</v>
      </c>
      <c r="AT374" s="10">
        <f>'Parametros'!$B$6*0.083*SQRT('Parametros'!$B$2)*(H374*I374)^2/(2*(H374+I374))/1000000</f>
        <v>11.862178757599</v>
      </c>
      <c r="AU374" s="10" t="str">
        <f>IF(Q374&lt;=AT374,"DESPRECIABLE","DISEÑAR")</f>
        <v>DISEÑAR</v>
      </c>
      <c r="AV374" s="10">
        <f>IF(Q374&lt;=AT374,0,Q374*1000000/('Parametros'!$B$6*2*0.85*(H374-2*('Parametros'!$B$7+'Parametros'!$B$9/2))*(I374-2*('Parametros'!$B$7+'Parametros'!$B$9/2))*'Parametros'!$B$4))</f>
        <v>1.37926696647606</v>
      </c>
      <c r="AW374" s="10">
        <f>AV374*2*((H374-2*('Parametros'!$B$7+'Parametros'!$B$9/2))+(I374-2*('Parametros'!$B$7+'Parametros'!$B$9/2)))*'Parametros'!$B$4/'Parametros'!$B$3</f>
        <v>2385.0284384304</v>
      </c>
      <c r="AX374" s="31" t="n">
        <v>12</v>
      </c>
      <c r="AY374" s="10" t="str">
        <f>IF(AV374=0,"DESPRECIABLE",IF(AND(ISERROR(SEARCH("referencia",AN374)),BB374/AP374&gt;=AV374,BI374&gt;=AW374,BH374="CUMPLE"),"CUMPLE","NO CUMPLE"))</f>
        <v>NO CUMPLE</v>
      </c>
      <c r="AZ374" s="10" t="str">
        <f>IF(AND(X374="CUMPLE",AE374="CUMPLE",AS374="CUMPLE",OR(AY374="CUMPLE",AY374="DESPRECIABLE"),BH374="CUMPLE",BJ374="CUMPLE"),"CUMPLE","NO CUMPLE")</f>
        <v>NO CUMPLE</v>
      </c>
      <c r="BA374" s="32" t="n">
        <v>12.7</v>
      </c>
      <c r="BB374" s="32" t="n">
        <v>129</v>
      </c>
      <c r="BC374" s="10">
        <f>MAX(IF(AK374=0,0,AK374*1000/('Parametros'!$B$4*MIN(U374,AB374))),MAX(0.062*SQRT('Parametros'!$B$2)*H374/'Parametros'!$B$4,0.35*H374/'Parametros'!$B$4))</f>
        <v>2.79343775165947</v>
      </c>
      <c r="BD374" s="10">
        <f>2*AV374</f>
        <v>2.75853393295212</v>
      </c>
      <c r="BE374" s="10">
        <f>AO374*BB374/AP374</f>
        <v>5.73333333333333</v>
      </c>
      <c r="BF374" s="10">
        <f>SQRT((AI374*1000/(H374*MIN(U374,AB374)))^2+(Q374*1000000*2*((H374-2*('Parametros'!$B$7+'Parametros'!$B$9/2))+(I374-2*('Parametros'!$B$7+'Parametros'!$B$9/2)))/(1.7*((H374-2*('Parametros'!$B$7+'Parametros'!$B$9/2))*(I374-2*('Parametros'!$B$7+'Parametros'!$B$9/2)))^2))^2)</f>
        <v>4.71132176993051</v>
      </c>
      <c r="BG374" s="10">
        <f>'Parametros'!$B$6*(AJ374*1000/(H374*MIN(U374,AB374))+0.66*SQRT('Parametros'!$B$2))</f>
        <v>3.29396038227542</v>
      </c>
      <c r="BH374" s="10" t="str">
        <f>IF(BF374&lt;=BG374,"CUMPLE","NO CUMPLE")</f>
        <v>NO CUMPLE</v>
      </c>
      <c r="BI374" s="10">
        <f>AX374*'Parametros'!$B$8</f>
        <v>2388</v>
      </c>
      <c r="BJ374" s="10" t="str">
        <f>IF(BI374&gt;=AW374,"CUMPLE","NO CUMPLE")</f>
        <v>CUMPLE</v>
      </c>
    </row>
    <row r="375">
      <c r="A375" s="25" t="inlineStr">
        <is>
          <t>VR2</t>
        </is>
      </c>
      <c r="B375" s="25" t="inlineStr">
        <is>
          <t>157</t>
        </is>
      </c>
      <c r="C375" s="10" t="n">
        <v>1</v>
      </c>
      <c r="D375" s="10" t="n">
        <v>0.9</v>
      </c>
      <c r="E375" s="10" t="n">
        <v>0.9</v>
      </c>
      <c r="F375" s="10" t="n">
        <v>500</v>
      </c>
      <c r="G375" s="10" t="n">
        <v>550</v>
      </c>
      <c r="H375" s="17" t="n">
        <v>500</v>
      </c>
      <c r="I375" s="17" t="n">
        <v>550</v>
      </c>
      <c r="J375" s="30" t="n">
        <v>71.3145</v>
      </c>
      <c r="K375" s="10" t="inlineStr">
        <is>
          <t>157</t>
        </is>
      </c>
      <c r="L375" s="30" t="n">
        <v>0.2732</v>
      </c>
      <c r="M375" s="10" t="inlineStr">
        <is>
          <t>157</t>
        </is>
      </c>
      <c r="N375" s="30" t="n">
        <v>53.096</v>
      </c>
      <c r="O375" s="30" t="n">
        <v>99.229</v>
      </c>
      <c r="P375" s="10" t="inlineStr">
        <is>
          <t>157</t>
        </is>
      </c>
      <c r="Q375" s="30" t="n">
        <v>137.5746</v>
      </c>
      <c r="R375" s="10">
        <f>MAX(MAX(1.4/'Parametros'!$B$3,0.25*SQRT('Parametros'!$B$2)/'Parametros'!$B$3)*H375*U375,(0.85*'Parametros'!$B$2/'Parametros'!$B$3)*(1-SQRT(1-2*(J375*1000000/('Parametros'!$B$5*H375*U375^2))/(0.85*'Parametros'!$B$2)))*H375*U375)</f>
        <v>815.583333333333</v>
      </c>
      <c r="S375" s="31" t="n">
        <v>5</v>
      </c>
      <c r="T375" s="32" t="n">
        <v>1</v>
      </c>
      <c r="U375" s="10">
        <f>IF(T375=1,I375-('Parametros'!$B$7+'Parametros'!$B$9+'Parametros'!$B$12/2),I375-(ROUNDUP(S375/2,0)*('Parametros'!$B$7+'Parametros'!$B$9+'Parametros'!$B$12/2)+ROUNDDOWN(S375/2,0)*('Parametros'!$B$7+'Parametros'!$B$9+'Parametros'!$B$12/2+'Parametros'!$B$12+'Parametros'!$B$10))/S375)</f>
        <v>489.35</v>
      </c>
      <c r="V375" s="10">
        <f>S375*'Parametros'!$B$8</f>
        <v>995</v>
      </c>
      <c r="W375" s="10">
        <f>'Parametros'!$B$5*V375*'Parametros'!$B$3*(U375-(V375*'Parametros'!$B$3/(0.85*'Parametros'!$B$2*H375))/2)/1000000</f>
        <v>177.445379382353</v>
      </c>
      <c r="X375" s="10" t="str">
        <f>IF(W375&gt;=J375,"CUMPLE","NO CUMPLE")</f>
        <v>CUMPLE</v>
      </c>
      <c r="Y375" s="10">
        <f>MAX(MAX(1.4/'Parametros'!$B$3,0.25*SQRT('Parametros'!$B$2)/'Parametros'!$B$3)*H375*AB375,(0.85*'Parametros'!$B$2/'Parametros'!$B$3)*(1-SQRT(1-2*(L375*1000000/('Parametros'!$B$5*H375*AB375^2))/(0.85*'Parametros'!$B$2)))*H375*AB375)</f>
        <v>815.583333333333</v>
      </c>
      <c r="Z375" s="31" t="n">
        <v>5</v>
      </c>
      <c r="AA375" s="32" t="n">
        <v>1</v>
      </c>
      <c r="AB375" s="10">
        <f>IF(AA375=1,I375-('Parametros'!$B$7+'Parametros'!$B$9+'Parametros'!$B$12/2),I375-(ROUNDUP(Z375/2,0)*('Parametros'!$B$7+'Parametros'!$B$9+'Parametros'!$B$12/2)+ROUNDDOWN(Z375/2,0)*('Parametros'!$B$7+'Parametros'!$B$9+'Parametros'!$B$12/2+'Parametros'!$B$12+'Parametros'!$B$10))/Z375)</f>
        <v>489.35</v>
      </c>
      <c r="AC375" s="10">
        <f>Z375*'Parametros'!$B$8</f>
        <v>995</v>
      </c>
      <c r="AD375" s="10">
        <f>'Parametros'!$B$5*AC375*'Parametros'!$B$3*(AB375-(AC375*'Parametros'!$B$3/(0.85*'Parametros'!$B$2*H375))/2)/1000000</f>
        <v>177.445379382353</v>
      </c>
      <c r="AE375" s="10" t="str">
        <f>IF(AD375&gt;=L375,"CUMPLE","NO CUMPLE")</f>
        <v>CUMPLE</v>
      </c>
      <c r="AF375" s="10">
        <f>V375*1.25*'Parametros'!$B$3*(U375-(V375*1.25*'Parametros'!$B$3/(0.85*'Parametros'!$B$2*H375))/2)/1000000</f>
        <v>244.158843198529</v>
      </c>
      <c r="AG375" s="10">
        <f>AC375*1.25*'Parametros'!$B$3*(AB375-(AC375*1.25*'Parametros'!$B$3/(0.85*'Parametros'!$B$2*H375))/2)/1000000</f>
        <v>244.158843198529</v>
      </c>
      <c r="AH375" s="10">
        <f>N375+(AF375+AG375)/D375</f>
        <v>595.671207107843</v>
      </c>
      <c r="AI375" s="10">
        <f>MAX(O375,AH375)</f>
        <v>595.671207107843</v>
      </c>
      <c r="AJ375" s="10">
        <f>0.17*SQRT('Parametros'!$B$2)*H375*MIN(U375,AB375)/1000</f>
        <v>220.098728691808</v>
      </c>
      <c r="AK375" s="10">
        <f>MAX(AI375/'Parametros'!$B$6-AJ375,0)</f>
        <v>574.129547451983</v>
      </c>
      <c r="AL375" s="10">
        <f>0.66*SQRT('Parametros'!$B$2)*H375*MIN(U375,AB375)/1000</f>
        <v>854.500946685842</v>
      </c>
      <c r="AM375" s="10" t="str">
        <f>IF(AK375&lt;=AL375,"CUMPLE","NO CUMPLE")</f>
        <v>CUMPLE</v>
      </c>
      <c r="AN375" s="17" t="inlineStr">
        <is>
          <t>Nº4 cerrado</t>
        </is>
      </c>
      <c r="AO375" s="31" t="n">
        <v>4</v>
      </c>
      <c r="AP375" s="10">
        <f>ROUNDDOWN(MIN(IF(BC375+BD375=0,1000000000,AO375*BB375/(BC375+BD375)),MIN(U375,AB375)/4,8*'Parametros'!$B$12,24*BA375,300,IF(AV375=0,1000000000,2*((H375-2*('Parametros'!$B$7+'Parametros'!$B$9/2))+(I375-2*('Parametros'!$B$7+'Parametros'!$B$9/2)))/8))/10,0)*10</f>
        <v>90</v>
      </c>
      <c r="AQ375" s="10">
        <f>ROUNDDOWN(MIN(IF(BC375+BD375=0,1000000000,AO375*BB375/(BC375+BD375)),IF(AK375&gt;0.33*SQRT('Parametros'!$B$2)*H375*MIN(U375,AB375)/1000,MIN(U375,AB375)/4,MIN(U375,AB375)/2),600,IF(AV375=0,1000000000,2*((H375-2*('Parametros'!$B$7+'Parametros'!$B$9/2))+(I375-2*('Parametros'!$B$7+'Parametros'!$B$9/2)))/8))/10,0)*10</f>
        <v>90</v>
      </c>
      <c r="AR375" s="10">
        <f>'Parametros'!$B$6*(AJ375+MAX(BE375-BD375,0)*'Parametros'!$B$4*MIN(U375,AB375)/1000)</f>
        <v>623.610716557092</v>
      </c>
      <c r="AS375" s="10" t="str">
        <f>IF(AND(ISERROR(SEARCH("referencia",AN375)),AM375="CUMPLE",AR375&gt;=AI375),"CUMPLE","NO CUMPLE")</f>
        <v>CUMPLE</v>
      </c>
      <c r="AT375" s="10">
        <f>'Parametros'!$B$6*0.083*SQRT('Parametros'!$B$2)*(H375*I375)^2/(2*(H375+I375))/1000000</f>
        <v>11.862178757599</v>
      </c>
      <c r="AU375" s="10" t="str">
        <f>IF(Q375&lt;=AT375,"DESPRECIABLE","DISEÑAR")</f>
        <v>DISEÑAR</v>
      </c>
      <c r="AV375" s="10">
        <f>IF(Q375&lt;=AT375,0,Q375*1000000/('Parametros'!$B$6*2*0.85*(H375-2*('Parametros'!$B$7+'Parametros'!$B$9/2))*(I375-2*('Parametros'!$B$7+'Parametros'!$B$9/2))*'Parametros'!$B$4))</f>
        <v>1.37931408837367</v>
      </c>
      <c r="AW375" s="10">
        <f>AV375*2*((H375-2*('Parametros'!$B$7+'Parametros'!$B$9/2))+(I375-2*('Parametros'!$B$7+'Parametros'!$B$9/2)))*'Parametros'!$B$4/'Parametros'!$B$3</f>
        <v>2385.10992161576</v>
      </c>
      <c r="AX375" s="31" t="n">
        <v>12</v>
      </c>
      <c r="AY375" s="10" t="str">
        <f>IF(AV375=0,"DESPRECIABLE",IF(AND(ISERROR(SEARCH("referencia",AN375)),BB375/AP375&gt;=AV375,BI375&gt;=AW375,BH375="CUMPLE"),"CUMPLE","NO CUMPLE"))</f>
        <v>NO CUMPLE</v>
      </c>
      <c r="AZ375" s="10" t="str">
        <f>IF(AND(X375="CUMPLE",AE375="CUMPLE",AS375="CUMPLE",OR(AY375="CUMPLE",AY375="DESPRECIABLE"),BH375="CUMPLE",BJ375="CUMPLE"),"CUMPLE","NO CUMPLE")</f>
        <v>NO CUMPLE</v>
      </c>
      <c r="BA375" s="32" t="n">
        <v>12.7</v>
      </c>
      <c r="BB375" s="32" t="n">
        <v>129</v>
      </c>
      <c r="BC375" s="10">
        <f>MAX(IF(AK375=0,0,AK375*1000/('Parametros'!$B$4*MIN(U375,AB375))),MAX(0.062*SQRT('Parametros'!$B$2)*H375/'Parametros'!$B$4,0.35*H375/'Parametros'!$B$4))</f>
        <v>2.79345072643489</v>
      </c>
      <c r="BD375" s="10">
        <f>2*AV375</f>
        <v>2.75862817674735</v>
      </c>
      <c r="BE375" s="10">
        <f>AO375*BB375/AP375</f>
        <v>5.73333333333333</v>
      </c>
      <c r="BF375" s="10">
        <f>SQRT((AI375*1000/(H375*MIN(U375,AB375)))^2+(Q375*1000000*2*((H375-2*('Parametros'!$B$7+'Parametros'!$B$9/2))+(I375-2*('Parametros'!$B$7+'Parametros'!$B$9/2)))/(1.7*((H375-2*('Parametros'!$B$7+'Parametros'!$B$9/2))*(I375-2*('Parametros'!$B$7+'Parametros'!$B$9/2)))^2))^2)</f>
        <v>4.71144397434158</v>
      </c>
      <c r="BG375" s="10">
        <f>'Parametros'!$B$6*(AJ375*1000/(H375*MIN(U375,AB375))+0.66*SQRT('Parametros'!$B$2))</f>
        <v>3.29396038227542</v>
      </c>
      <c r="BH375" s="10" t="str">
        <f>IF(BF375&lt;=BG375,"CUMPLE","NO CUMPLE")</f>
        <v>NO CUMPLE</v>
      </c>
      <c r="BI375" s="10">
        <f>AX375*'Parametros'!$B$8</f>
        <v>2388</v>
      </c>
      <c r="BJ375" s="10" t="str">
        <f>IF(BI375&gt;=AW375,"CUMPLE","NO CUMPLE")</f>
        <v>CUMPLE</v>
      </c>
    </row>
    <row r="376">
      <c r="A376" s="25" t="inlineStr">
        <is>
          <t>VR2</t>
        </is>
      </c>
      <c r="B376" s="25" t="inlineStr">
        <is>
          <t>160</t>
        </is>
      </c>
      <c r="C376" s="10" t="n">
        <v>1</v>
      </c>
      <c r="D376" s="10" t="n">
        <v>0.9</v>
      </c>
      <c r="E376" s="10" t="n">
        <v>0.9</v>
      </c>
      <c r="F376" s="10" t="n">
        <v>500</v>
      </c>
      <c r="G376" s="10" t="n">
        <v>550</v>
      </c>
      <c r="H376" s="17" t="n">
        <v>500</v>
      </c>
      <c r="I376" s="17" t="n">
        <v>550</v>
      </c>
      <c r="J376" s="30" t="n">
        <v>68.52930000000001</v>
      </c>
      <c r="K376" s="10" t="inlineStr">
        <is>
          <t>160</t>
        </is>
      </c>
      <c r="L376" s="30" t="n">
        <v>0</v>
      </c>
      <c r="M376" s="10" t="inlineStr">
        <is>
          <t>160</t>
        </is>
      </c>
      <c r="N376" s="30" t="n">
        <v>51.142</v>
      </c>
      <c r="O376" s="30" t="n">
        <v>86.977</v>
      </c>
      <c r="P376" s="10" t="inlineStr">
        <is>
          <t>160</t>
        </is>
      </c>
      <c r="Q376" s="30" t="n">
        <v>109.5309</v>
      </c>
      <c r="R376" s="10">
        <f>MAX(MAX(1.4/'Parametros'!$B$3,0.25*SQRT('Parametros'!$B$2)/'Parametros'!$B$3)*H376*U376,(0.85*'Parametros'!$B$2/'Parametros'!$B$3)*(1-SQRT(1-2*(J376*1000000/('Parametros'!$B$5*H376*U376^2))/(0.85*'Parametros'!$B$2)))*H376*U376)</f>
        <v>815.583333333333</v>
      </c>
      <c r="S376" s="31" t="n">
        <v>5</v>
      </c>
      <c r="T376" s="32" t="n">
        <v>1</v>
      </c>
      <c r="U376" s="10">
        <f>IF(T376=1,I376-('Parametros'!$B$7+'Parametros'!$B$9+'Parametros'!$B$12/2),I376-(ROUNDUP(S376/2,0)*('Parametros'!$B$7+'Parametros'!$B$9+'Parametros'!$B$12/2)+ROUNDDOWN(S376/2,0)*('Parametros'!$B$7+'Parametros'!$B$9+'Parametros'!$B$12/2+'Parametros'!$B$12+'Parametros'!$B$10))/S376)</f>
        <v>489.35</v>
      </c>
      <c r="V376" s="10">
        <f>S376*'Parametros'!$B$8</f>
        <v>995</v>
      </c>
      <c r="W376" s="10">
        <f>'Parametros'!$B$5*V376*'Parametros'!$B$3*(U376-(V376*'Parametros'!$B$3/(0.85*'Parametros'!$B$2*H376))/2)/1000000</f>
        <v>177.445379382353</v>
      </c>
      <c r="X376" s="10" t="str">
        <f>IF(W376&gt;=J376,"CUMPLE","NO CUMPLE")</f>
        <v>CUMPLE</v>
      </c>
      <c r="Y376" s="10">
        <f>MAX(MAX(1.4/'Parametros'!$B$3,0.25*SQRT('Parametros'!$B$2)/'Parametros'!$B$3)*H376*AB376,(0.85*'Parametros'!$B$2/'Parametros'!$B$3)*(1-SQRT(1-2*(L376*1000000/('Parametros'!$B$5*H376*AB376^2))/(0.85*'Parametros'!$B$2)))*H376*AB376)</f>
        <v>815.583333333333</v>
      </c>
      <c r="Z376" s="31" t="n">
        <v>5</v>
      </c>
      <c r="AA376" s="32" t="n">
        <v>1</v>
      </c>
      <c r="AB376" s="10">
        <f>IF(AA376=1,I376-('Parametros'!$B$7+'Parametros'!$B$9+'Parametros'!$B$12/2),I376-(ROUNDUP(Z376/2,0)*('Parametros'!$B$7+'Parametros'!$B$9+'Parametros'!$B$12/2)+ROUNDDOWN(Z376/2,0)*('Parametros'!$B$7+'Parametros'!$B$9+'Parametros'!$B$12/2+'Parametros'!$B$12+'Parametros'!$B$10))/Z376)</f>
        <v>489.35</v>
      </c>
      <c r="AC376" s="10">
        <f>Z376*'Parametros'!$B$8</f>
        <v>995</v>
      </c>
      <c r="AD376" s="10">
        <f>'Parametros'!$B$5*AC376*'Parametros'!$B$3*(AB376-(AC376*'Parametros'!$B$3/(0.85*'Parametros'!$B$2*H376))/2)/1000000</f>
        <v>177.445379382353</v>
      </c>
      <c r="AE376" s="10" t="str">
        <f>IF(AD376&gt;=L376,"CUMPLE","NO CUMPLE")</f>
        <v>CUMPLE</v>
      </c>
      <c r="AF376" s="10">
        <f>V376*1.25*'Parametros'!$B$3*(U376-(V376*1.25*'Parametros'!$B$3/(0.85*'Parametros'!$B$2*H376))/2)/1000000</f>
        <v>244.158843198529</v>
      </c>
      <c r="AG376" s="10">
        <f>AC376*1.25*'Parametros'!$B$3*(AB376-(AC376*1.25*'Parametros'!$B$3/(0.85*'Parametros'!$B$2*H376))/2)/1000000</f>
        <v>244.158843198529</v>
      </c>
      <c r="AH376" s="10">
        <f>N376+(AF376+AG376)/D376</f>
        <v>593.717207107843</v>
      </c>
      <c r="AI376" s="10">
        <f>MAX(O376,AH376)</f>
        <v>593.717207107843</v>
      </c>
      <c r="AJ376" s="10">
        <f>0.17*SQRT('Parametros'!$B$2)*H376*MIN(U376,AB376)/1000</f>
        <v>220.098728691808</v>
      </c>
      <c r="AK376" s="10">
        <f>MAX(AI376/'Parametros'!$B$6-AJ376,0)</f>
        <v>571.52421411865</v>
      </c>
      <c r="AL376" s="10">
        <f>0.66*SQRT('Parametros'!$B$2)*H376*MIN(U376,AB376)/1000</f>
        <v>854.500946685842</v>
      </c>
      <c r="AM376" s="10" t="str">
        <f>IF(AK376&lt;=AL376,"CUMPLE","NO CUMPLE")</f>
        <v>CUMPLE</v>
      </c>
      <c r="AN376" s="17" t="inlineStr">
        <is>
          <t>Nº4 cerrado</t>
        </is>
      </c>
      <c r="AO376" s="31" t="n">
        <v>4</v>
      </c>
      <c r="AP376" s="10">
        <f>ROUNDDOWN(MIN(IF(BC376+BD376=0,1000000000,AO376*BB376/(BC376+BD376)),MIN(U376,AB376)/4,8*'Parametros'!$B$12,24*BA376,300,IF(AV376=0,1000000000,2*((H376-2*('Parametros'!$B$7+'Parametros'!$B$9/2))+(I376-2*('Parametros'!$B$7+'Parametros'!$B$9/2)))/8))/10,0)*10</f>
        <v>100</v>
      </c>
      <c r="AQ376" s="10">
        <f>ROUNDDOWN(MIN(IF(BC376+BD376=0,1000000000,AO376*BB376/(BC376+BD376)),IF(AK376&gt;0.33*SQRT('Parametros'!$B$2)*H376*MIN(U376,AB376)/1000,MIN(U376,AB376)/4,MIN(U376,AB376)/2),600,IF(AV376=0,1000000000,2*((H376-2*('Parametros'!$B$7+'Parametros'!$B$9/2))+(I376-2*('Parametros'!$B$7+'Parametros'!$B$9/2)))/8))/10,0)*10</f>
        <v>100</v>
      </c>
      <c r="AR376" s="10">
        <f>'Parametros'!$B$6*(AJ376+MAX(BE376-BD376,0)*'Parametros'!$B$4*MIN(U376,AB376)/1000)</f>
        <v>621.914399031275</v>
      </c>
      <c r="AS376" s="10" t="str">
        <f>IF(AND(ISERROR(SEARCH("referencia",AN376)),AM376="CUMPLE",AR376&gt;=AI376),"CUMPLE","NO CUMPLE")</f>
        <v>CUMPLE</v>
      </c>
      <c r="AT376" s="10">
        <f>'Parametros'!$B$6*0.083*SQRT('Parametros'!$B$2)*(H376*I376)^2/(2*(H376+I376))/1000000</f>
        <v>11.862178757599</v>
      </c>
      <c r="AU376" s="10" t="str">
        <f>IF(Q376&lt;=AT376,"DESPRECIABLE","DISEÑAR")</f>
        <v>DISEÑAR</v>
      </c>
      <c r="AV376" s="10">
        <f>IF(Q376&lt;=AT376,0,Q376*1000000/('Parametros'!$B$6*2*0.85*(H376-2*('Parametros'!$B$7+'Parametros'!$B$9/2))*(I376-2*('Parametros'!$B$7+'Parametros'!$B$9/2))*'Parametros'!$B$4))</f>
        <v>1.0981497564394</v>
      </c>
      <c r="AW376" s="10">
        <f>AV376*2*((H376-2*('Parametros'!$B$7+'Parametros'!$B$9/2))+(I376-2*('Parametros'!$B$7+'Parametros'!$B$9/2)))*'Parametros'!$B$4/'Parametros'!$B$3</f>
        <v>1898.92055883501</v>
      </c>
      <c r="AX376" s="31" t="n">
        <v>12</v>
      </c>
      <c r="AY376" s="10" t="str">
        <f>IF(AV376=0,"DESPRECIABLE",IF(AND(ISERROR(SEARCH("referencia",AN376)),BB376/AP376&gt;=AV376,BI376&gt;=AW376,BH376="CUMPLE"),"CUMPLE","NO CUMPLE"))</f>
        <v>NO CUMPLE</v>
      </c>
      <c r="AZ376" s="10" t="str">
        <f>IF(AND(X376="CUMPLE",AE376="CUMPLE",AS376="CUMPLE",OR(AY376="CUMPLE",AY376="DESPRECIABLE"),BH376="CUMPLE",BJ376="CUMPLE"),"CUMPLE","NO CUMPLE")</f>
        <v>NO CUMPLE</v>
      </c>
      <c r="BA376" s="32" t="n">
        <v>12.7</v>
      </c>
      <c r="BB376" s="32" t="n">
        <v>129</v>
      </c>
      <c r="BC376" s="10">
        <f>MAX(IF(AK376=0,0,AK376*1000/('Parametros'!$B$4*MIN(U376,AB376))),MAX(0.062*SQRT('Parametros'!$B$2)*H376/'Parametros'!$B$4,0.35*H376/'Parametros'!$B$4))</f>
        <v>2.78077437085468</v>
      </c>
      <c r="BD376" s="10">
        <f>2*AV376</f>
        <v>2.1962995128788</v>
      </c>
      <c r="BE376" s="10">
        <f>AO376*BB376/AP376</f>
        <v>5.16</v>
      </c>
      <c r="BF376" s="10">
        <f>SQRT((AI376*1000/(H376*MIN(U376,AB376)))^2+(Q376*1000000*2*((H376-2*('Parametros'!$B$7+'Parametros'!$B$9/2))+(I376-2*('Parametros'!$B$7+'Parametros'!$B$9/2)))/(1.7*((H376-2*('Parametros'!$B$7+'Parametros'!$B$9/2))*(I376-2*('Parametros'!$B$7+'Parametros'!$B$9/2)))^2))^2)</f>
        <v>4.02512171322215</v>
      </c>
      <c r="BG376" s="10">
        <f>'Parametros'!$B$6*(AJ376*1000/(H376*MIN(U376,AB376))+0.66*SQRT('Parametros'!$B$2))</f>
        <v>3.29396038227542</v>
      </c>
      <c r="BH376" s="10" t="str">
        <f>IF(BF376&lt;=BG376,"CUMPLE","NO CUMPLE")</f>
        <v>NO CUMPLE</v>
      </c>
      <c r="BI376" s="10">
        <f>AX376*'Parametros'!$B$8</f>
        <v>2388</v>
      </c>
      <c r="BJ376" s="10" t="str">
        <f>IF(BI376&gt;=AW376,"CUMPLE","NO CUMPLE")</f>
        <v>CUMPLE</v>
      </c>
    </row>
    <row r="377">
      <c r="A377" s="25" t="inlineStr">
        <is>
          <t>VR2</t>
        </is>
      </c>
      <c r="B377" s="25" t="inlineStr">
        <is>
          <t>162</t>
        </is>
      </c>
      <c r="C377" s="10" t="n">
        <v>1</v>
      </c>
      <c r="D377" s="10" t="n">
        <v>0.9</v>
      </c>
      <c r="E377" s="10" t="n">
        <v>0.9</v>
      </c>
      <c r="F377" s="10" t="n">
        <v>500</v>
      </c>
      <c r="G377" s="10" t="n">
        <v>550</v>
      </c>
      <c r="H377" s="17" t="n">
        <v>500</v>
      </c>
      <c r="I377" s="17" t="n">
        <v>550</v>
      </c>
      <c r="J377" s="30" t="n">
        <v>68.53449999999999</v>
      </c>
      <c r="K377" s="10" t="inlineStr">
        <is>
          <t>162</t>
        </is>
      </c>
      <c r="L377" s="30" t="n">
        <v>0</v>
      </c>
      <c r="M377" s="10" t="inlineStr">
        <is>
          <t>162</t>
        </is>
      </c>
      <c r="N377" s="30" t="n">
        <v>51.145</v>
      </c>
      <c r="O377" s="30" t="n">
        <v>86.98099999999999</v>
      </c>
      <c r="P377" s="10" t="inlineStr">
        <is>
          <t>162</t>
        </is>
      </c>
      <c r="Q377" s="30" t="n">
        <v>109.5378</v>
      </c>
      <c r="R377" s="10">
        <f>MAX(MAX(1.4/'Parametros'!$B$3,0.25*SQRT('Parametros'!$B$2)/'Parametros'!$B$3)*H377*U377,(0.85*'Parametros'!$B$2/'Parametros'!$B$3)*(1-SQRT(1-2*(J377*1000000/('Parametros'!$B$5*H377*U377^2))/(0.85*'Parametros'!$B$2)))*H377*U377)</f>
        <v>815.583333333333</v>
      </c>
      <c r="S377" s="31" t="n">
        <v>5</v>
      </c>
      <c r="T377" s="32" t="n">
        <v>1</v>
      </c>
      <c r="U377" s="10">
        <f>IF(T377=1,I377-('Parametros'!$B$7+'Parametros'!$B$9+'Parametros'!$B$12/2),I377-(ROUNDUP(S377/2,0)*('Parametros'!$B$7+'Parametros'!$B$9+'Parametros'!$B$12/2)+ROUNDDOWN(S377/2,0)*('Parametros'!$B$7+'Parametros'!$B$9+'Parametros'!$B$12/2+'Parametros'!$B$12+'Parametros'!$B$10))/S377)</f>
        <v>489.35</v>
      </c>
      <c r="V377" s="10">
        <f>S377*'Parametros'!$B$8</f>
        <v>995</v>
      </c>
      <c r="W377" s="10">
        <f>'Parametros'!$B$5*V377*'Parametros'!$B$3*(U377-(V377*'Parametros'!$B$3/(0.85*'Parametros'!$B$2*H377))/2)/1000000</f>
        <v>177.445379382353</v>
      </c>
      <c r="X377" s="10" t="str">
        <f>IF(W377&gt;=J377,"CUMPLE","NO CUMPLE")</f>
        <v>CUMPLE</v>
      </c>
      <c r="Y377" s="10">
        <f>MAX(MAX(1.4/'Parametros'!$B$3,0.25*SQRT('Parametros'!$B$2)/'Parametros'!$B$3)*H377*AB377,(0.85*'Parametros'!$B$2/'Parametros'!$B$3)*(1-SQRT(1-2*(L377*1000000/('Parametros'!$B$5*H377*AB377^2))/(0.85*'Parametros'!$B$2)))*H377*AB377)</f>
        <v>815.583333333333</v>
      </c>
      <c r="Z377" s="31" t="n">
        <v>5</v>
      </c>
      <c r="AA377" s="32" t="n">
        <v>1</v>
      </c>
      <c r="AB377" s="10">
        <f>IF(AA377=1,I377-('Parametros'!$B$7+'Parametros'!$B$9+'Parametros'!$B$12/2),I377-(ROUNDUP(Z377/2,0)*('Parametros'!$B$7+'Parametros'!$B$9+'Parametros'!$B$12/2)+ROUNDDOWN(Z377/2,0)*('Parametros'!$B$7+'Parametros'!$B$9+'Parametros'!$B$12/2+'Parametros'!$B$12+'Parametros'!$B$10))/Z377)</f>
        <v>489.35</v>
      </c>
      <c r="AC377" s="10">
        <f>Z377*'Parametros'!$B$8</f>
        <v>995</v>
      </c>
      <c r="AD377" s="10">
        <f>'Parametros'!$B$5*AC377*'Parametros'!$B$3*(AB377-(AC377*'Parametros'!$B$3/(0.85*'Parametros'!$B$2*H377))/2)/1000000</f>
        <v>177.445379382353</v>
      </c>
      <c r="AE377" s="10" t="str">
        <f>IF(AD377&gt;=L377,"CUMPLE","NO CUMPLE")</f>
        <v>CUMPLE</v>
      </c>
      <c r="AF377" s="10">
        <f>V377*1.25*'Parametros'!$B$3*(U377-(V377*1.25*'Parametros'!$B$3/(0.85*'Parametros'!$B$2*H377))/2)/1000000</f>
        <v>244.158843198529</v>
      </c>
      <c r="AG377" s="10">
        <f>AC377*1.25*'Parametros'!$B$3*(AB377-(AC377*1.25*'Parametros'!$B$3/(0.85*'Parametros'!$B$2*H377))/2)/1000000</f>
        <v>244.158843198529</v>
      </c>
      <c r="AH377" s="10">
        <f>N377+(AF377+AG377)/D377</f>
        <v>593.720207107843</v>
      </c>
      <c r="AI377" s="10">
        <f>MAX(O377,AH377)</f>
        <v>593.720207107843</v>
      </c>
      <c r="AJ377" s="10">
        <f>0.17*SQRT('Parametros'!$B$2)*H377*MIN(U377,AB377)/1000</f>
        <v>220.098728691808</v>
      </c>
      <c r="AK377" s="10">
        <f>MAX(AI377/'Parametros'!$B$6-AJ377,0)</f>
        <v>571.52821411865</v>
      </c>
      <c r="AL377" s="10">
        <f>0.66*SQRT('Parametros'!$B$2)*H377*MIN(U377,AB377)/1000</f>
        <v>854.500946685842</v>
      </c>
      <c r="AM377" s="10" t="str">
        <f>IF(AK377&lt;=AL377,"CUMPLE","NO CUMPLE")</f>
        <v>CUMPLE</v>
      </c>
      <c r="AN377" s="17" t="inlineStr">
        <is>
          <t>Nº4 cerrado</t>
        </is>
      </c>
      <c r="AO377" s="31" t="n">
        <v>4</v>
      </c>
      <c r="AP377" s="10">
        <f>ROUNDDOWN(MIN(IF(BC377+BD377=0,1000000000,AO377*BB377/(BC377+BD377)),MIN(U377,AB377)/4,8*'Parametros'!$B$12,24*BA377,300,IF(AV377=0,1000000000,2*((H377-2*('Parametros'!$B$7+'Parametros'!$B$9/2))+(I377-2*('Parametros'!$B$7+'Parametros'!$B$9/2)))/8))/10,0)*10</f>
        <v>100</v>
      </c>
      <c r="AQ377" s="10">
        <f>ROUNDDOWN(MIN(IF(BC377+BD377=0,1000000000,AO377*BB377/(BC377+BD377)),IF(AK377&gt;0.33*SQRT('Parametros'!$B$2)*H377*MIN(U377,AB377)/1000,MIN(U377,AB377)/4,MIN(U377,AB377)/2),600,IF(AV377=0,1000000000,2*((H377-2*('Parametros'!$B$7+'Parametros'!$B$9/2))+(I377-2*('Parametros'!$B$7+'Parametros'!$B$9/2)))/8))/10,0)*10</f>
        <v>100</v>
      </c>
      <c r="AR377" s="10">
        <f>'Parametros'!$B$6*(AJ377+MAX(BE377-BD377,0)*'Parametros'!$B$4*MIN(U377,AB377)/1000)</f>
        <v>621.893071816318</v>
      </c>
      <c r="AS377" s="10" t="str">
        <f>IF(AND(ISERROR(SEARCH("referencia",AN377)),AM377="CUMPLE",AR377&gt;=AI377),"CUMPLE","NO CUMPLE")</f>
        <v>CUMPLE</v>
      </c>
      <c r="AT377" s="10">
        <f>'Parametros'!$B$6*0.083*SQRT('Parametros'!$B$2)*(H377*I377)^2/(2*(H377+I377))/1000000</f>
        <v>11.862178757599</v>
      </c>
      <c r="AU377" s="10" t="str">
        <f>IF(Q377&lt;=AT377,"DESPRECIABLE","DISEÑAR")</f>
        <v>DISEÑAR</v>
      </c>
      <c r="AV377" s="10">
        <f>IF(Q377&lt;=AT377,0,Q377*1000000/('Parametros'!$B$6*2*0.85*(H377-2*('Parametros'!$B$7+'Parametros'!$B$9/2))*(I377-2*('Parametros'!$B$7+'Parametros'!$B$9/2))*'Parametros'!$B$4))</f>
        <v>1.09821893539547</v>
      </c>
      <c r="AW377" s="10">
        <f>AV377*2*((H377-2*('Parametros'!$B$7+'Parametros'!$B$9/2))+(I377-2*('Parametros'!$B$7+'Parametros'!$B$9/2)))*'Parametros'!$B$4/'Parametros'!$B$3</f>
        <v>1899.04018308585</v>
      </c>
      <c r="AX377" s="31" t="n">
        <v>12</v>
      </c>
      <c r="AY377" s="10" t="str">
        <f>IF(AV377=0,"DESPRECIABLE",IF(AND(ISERROR(SEARCH("referencia",AN377)),BB377/AP377&gt;=AV377,BI377&gt;=AW377,BH377="CUMPLE"),"CUMPLE","NO CUMPLE"))</f>
        <v>NO CUMPLE</v>
      </c>
      <c r="AZ377" s="10" t="str">
        <f>IF(AND(X377="CUMPLE",AE377="CUMPLE",AS377="CUMPLE",OR(AY377="CUMPLE",AY377="DESPRECIABLE"),BH377="CUMPLE",BJ377="CUMPLE"),"CUMPLE","NO CUMPLE")</f>
        <v>NO CUMPLE</v>
      </c>
      <c r="BA377" s="32" t="n">
        <v>12.7</v>
      </c>
      <c r="BB377" s="32" t="n">
        <v>129</v>
      </c>
      <c r="BC377" s="10">
        <f>MAX(IF(AK377=0,0,AK377*1000/('Parametros'!$B$4*MIN(U377,AB377))),MAX(0.062*SQRT('Parametros'!$B$2)*H377/'Parametros'!$B$4,0.35*H377/'Parametros'!$B$4))</f>
        <v>2.7807938330178</v>
      </c>
      <c r="BD377" s="10">
        <f>2*AV377</f>
        <v>2.19643787079094</v>
      </c>
      <c r="BE377" s="10">
        <f>AO377*BB377/AP377</f>
        <v>5.16</v>
      </c>
      <c r="BF377" s="10">
        <f>SQRT((AI377*1000/(H377*MIN(U377,AB377)))^2+(Q377*1000000*2*((H377-2*('Parametros'!$B$7+'Parametros'!$B$9/2))+(I377-2*('Parametros'!$B$7+'Parametros'!$B$9/2)))/(1.7*((H377-2*('Parametros'!$B$7+'Parametros'!$B$9/2))*(I377-2*('Parametros'!$B$7+'Parametros'!$B$9/2)))^2))^2)</f>
        <v>4.02529051885709</v>
      </c>
      <c r="BG377" s="10">
        <f>'Parametros'!$B$6*(AJ377*1000/(H377*MIN(U377,AB377))+0.66*SQRT('Parametros'!$B$2))</f>
        <v>3.29396038227542</v>
      </c>
      <c r="BH377" s="10" t="str">
        <f>IF(BF377&lt;=BG377,"CUMPLE","NO CUMPLE")</f>
        <v>NO CUMPLE</v>
      </c>
      <c r="BI377" s="10">
        <f>AX377*'Parametros'!$B$8</f>
        <v>2388</v>
      </c>
      <c r="BJ377" s="10" t="str">
        <f>IF(BI377&gt;=AW377,"CUMPLE","NO CUMPLE")</f>
        <v>CUMPLE</v>
      </c>
    </row>
    <row r="378">
      <c r="A378" s="25" t="inlineStr">
        <is>
          <t>VR2</t>
        </is>
      </c>
      <c r="B378" s="25" t="inlineStr">
        <is>
          <t>165</t>
        </is>
      </c>
      <c r="C378" s="10" t="n">
        <v>1</v>
      </c>
      <c r="D378" s="10" t="n">
        <v>0.9</v>
      </c>
      <c r="E378" s="10" t="n">
        <v>0.9</v>
      </c>
      <c r="F378" s="10" t="n">
        <v>500</v>
      </c>
      <c r="G378" s="10" t="n">
        <v>550</v>
      </c>
      <c r="H378" s="17" t="n">
        <v>500</v>
      </c>
      <c r="I378" s="17" t="n">
        <v>550</v>
      </c>
      <c r="J378" s="30" t="n">
        <v>76.4753</v>
      </c>
      <c r="K378" s="10" t="inlineStr">
        <is>
          <t>165</t>
        </is>
      </c>
      <c r="L378" s="30" t="n">
        <v>0</v>
      </c>
      <c r="M378" s="10" t="inlineStr">
        <is>
          <t>165</t>
        </is>
      </c>
      <c r="N378" s="30" t="n">
        <v>55.84</v>
      </c>
      <c r="O378" s="30" t="n">
        <v>78.744</v>
      </c>
      <c r="P378" s="10" t="inlineStr">
        <is>
          <t>165</t>
        </is>
      </c>
      <c r="Q378" s="30" t="n">
        <v>75.0496</v>
      </c>
      <c r="R378" s="10">
        <f>MAX(MAX(1.4/'Parametros'!$B$3,0.25*SQRT('Parametros'!$B$2)/'Parametros'!$B$3)*H378*U378,(0.85*'Parametros'!$B$2/'Parametros'!$B$3)*(1-SQRT(1-2*(J378*1000000/('Parametros'!$B$5*H378*U378^2))/(0.85*'Parametros'!$B$2)))*H378*U378)</f>
        <v>815.583333333333</v>
      </c>
      <c r="S378" s="31" t="n">
        <v>5</v>
      </c>
      <c r="T378" s="32" t="n">
        <v>1</v>
      </c>
      <c r="U378" s="10">
        <f>IF(T378=1,I378-('Parametros'!$B$7+'Parametros'!$B$9+'Parametros'!$B$12/2),I378-(ROUNDUP(S378/2,0)*('Parametros'!$B$7+'Parametros'!$B$9+'Parametros'!$B$12/2)+ROUNDDOWN(S378/2,0)*('Parametros'!$B$7+'Parametros'!$B$9+'Parametros'!$B$12/2+'Parametros'!$B$12+'Parametros'!$B$10))/S378)</f>
        <v>489.35</v>
      </c>
      <c r="V378" s="10">
        <f>S378*'Parametros'!$B$8</f>
        <v>995</v>
      </c>
      <c r="W378" s="10">
        <f>'Parametros'!$B$5*V378*'Parametros'!$B$3*(U378-(V378*'Parametros'!$B$3/(0.85*'Parametros'!$B$2*H378))/2)/1000000</f>
        <v>177.445379382353</v>
      </c>
      <c r="X378" s="10" t="str">
        <f>IF(W378&gt;=J378,"CUMPLE","NO CUMPLE")</f>
        <v>CUMPLE</v>
      </c>
      <c r="Y378" s="10">
        <f>MAX(MAX(1.4/'Parametros'!$B$3,0.25*SQRT('Parametros'!$B$2)/'Parametros'!$B$3)*H378*AB378,(0.85*'Parametros'!$B$2/'Parametros'!$B$3)*(1-SQRT(1-2*(L378*1000000/('Parametros'!$B$5*H378*AB378^2))/(0.85*'Parametros'!$B$2)))*H378*AB378)</f>
        <v>815.583333333333</v>
      </c>
      <c r="Z378" s="31" t="n">
        <v>5</v>
      </c>
      <c r="AA378" s="32" t="n">
        <v>1</v>
      </c>
      <c r="AB378" s="10">
        <f>IF(AA378=1,I378-('Parametros'!$B$7+'Parametros'!$B$9+'Parametros'!$B$12/2),I378-(ROUNDUP(Z378/2,0)*('Parametros'!$B$7+'Parametros'!$B$9+'Parametros'!$B$12/2)+ROUNDDOWN(Z378/2,0)*('Parametros'!$B$7+'Parametros'!$B$9+'Parametros'!$B$12/2+'Parametros'!$B$12+'Parametros'!$B$10))/Z378)</f>
        <v>489.35</v>
      </c>
      <c r="AC378" s="10">
        <f>Z378*'Parametros'!$B$8</f>
        <v>995</v>
      </c>
      <c r="AD378" s="10">
        <f>'Parametros'!$B$5*AC378*'Parametros'!$B$3*(AB378-(AC378*'Parametros'!$B$3/(0.85*'Parametros'!$B$2*H378))/2)/1000000</f>
        <v>177.445379382353</v>
      </c>
      <c r="AE378" s="10" t="str">
        <f>IF(AD378&gt;=L378,"CUMPLE","NO CUMPLE")</f>
        <v>CUMPLE</v>
      </c>
      <c r="AF378" s="10">
        <f>V378*1.25*'Parametros'!$B$3*(U378-(V378*1.25*'Parametros'!$B$3/(0.85*'Parametros'!$B$2*H378))/2)/1000000</f>
        <v>244.158843198529</v>
      </c>
      <c r="AG378" s="10">
        <f>AC378*1.25*'Parametros'!$B$3*(AB378-(AC378*1.25*'Parametros'!$B$3/(0.85*'Parametros'!$B$2*H378))/2)/1000000</f>
        <v>244.158843198529</v>
      </c>
      <c r="AH378" s="10">
        <f>N378+(AF378+AG378)/D378</f>
        <v>598.415207107843</v>
      </c>
      <c r="AI378" s="10">
        <f>MAX(O378,AH378)</f>
        <v>598.415207107843</v>
      </c>
      <c r="AJ378" s="10">
        <f>0.17*SQRT('Parametros'!$B$2)*H378*MIN(U378,AB378)/1000</f>
        <v>220.098728691808</v>
      </c>
      <c r="AK378" s="10">
        <f>MAX(AI378/'Parametros'!$B$6-AJ378,0)</f>
        <v>577.78821411865</v>
      </c>
      <c r="AL378" s="10">
        <f>0.66*SQRT('Parametros'!$B$2)*H378*MIN(U378,AB378)/1000</f>
        <v>854.500946685842</v>
      </c>
      <c r="AM378" s="10" t="str">
        <f>IF(AK378&lt;=AL378,"CUMPLE","NO CUMPLE")</f>
        <v>CUMPLE</v>
      </c>
      <c r="AN378" s="17" t="inlineStr">
        <is>
          <t>Nº4 cerrado</t>
        </is>
      </c>
      <c r="AO378" s="31" t="n">
        <v>4</v>
      </c>
      <c r="AP378" s="10">
        <f>ROUNDDOWN(MIN(IF(BC378+BD378=0,1000000000,AO378*BB378/(BC378+BD378)),MIN(U378,AB378)/4,8*'Parametros'!$B$12,24*BA378,300,IF(AV378=0,1000000000,2*((H378-2*('Parametros'!$B$7+'Parametros'!$B$9/2))+(I378-2*('Parametros'!$B$7+'Parametros'!$B$9/2)))/8))/10,0)*10</f>
        <v>110</v>
      </c>
      <c r="AQ378" s="10">
        <f>ROUNDDOWN(MIN(IF(BC378+BD378=0,1000000000,AO378*BB378/(BC378+BD378)),IF(AK378&gt;0.33*SQRT('Parametros'!$B$2)*H378*MIN(U378,AB378)/1000,MIN(U378,AB378)/4,MIN(U378,AB378)/2),600,IF(AV378=0,1000000000,2*((H378-2*('Parametros'!$B$7+'Parametros'!$B$9/2))+(I378-2*('Parametros'!$B$7+'Parametros'!$B$9/2)))/8))/10,0)*10</f>
        <v>110</v>
      </c>
      <c r="AR378" s="10">
        <f>'Parametros'!$B$6*(AJ378+MAX(BE378-BD378,0)*'Parametros'!$B$4*MIN(U378,AB378)/1000)</f>
        <v>656.18453851513</v>
      </c>
      <c r="AS378" s="10" t="str">
        <f>IF(AND(ISERROR(SEARCH("referencia",AN378)),AM378="CUMPLE",AR378&gt;=AI378),"CUMPLE","NO CUMPLE")</f>
        <v>CUMPLE</v>
      </c>
      <c r="AT378" s="10">
        <f>'Parametros'!$B$6*0.083*SQRT('Parametros'!$B$2)*(H378*I378)^2/(2*(H378+I378))/1000000</f>
        <v>11.862178757599</v>
      </c>
      <c r="AU378" s="10" t="str">
        <f>IF(Q378&lt;=AT378,"DESPRECIABLE","DISEÑAR")</f>
        <v>DISEÑAR</v>
      </c>
      <c r="AV378" s="10">
        <f>IF(Q378&lt;=AT378,0,Q378*1000000/('Parametros'!$B$6*2*0.85*(H378-2*('Parametros'!$B$7+'Parametros'!$B$9/2))*(I378-2*('Parametros'!$B$7+'Parametros'!$B$9/2))*'Parametros'!$B$4))</f>
        <v>0.752442461085178</v>
      </c>
      <c r="AW378" s="10">
        <f>AV378*2*((H378-2*('Parametros'!$B$7+'Parametros'!$B$9/2))+(I378-2*('Parametros'!$B$7+'Parametros'!$B$9/2)))*'Parametros'!$B$4/'Parametros'!$B$3</f>
        <v>1301.12350370849</v>
      </c>
      <c r="AX378" s="31" t="n">
        <v>8</v>
      </c>
      <c r="AY378" s="10" t="str">
        <f>IF(AV378=0,"DESPRECIABLE",IF(AND(ISERROR(SEARCH("referencia",AN378)),BB378/AP378&gt;=AV378,BI378&gt;=AW378,BH378="CUMPLE"),"CUMPLE","NO CUMPLE"))</f>
        <v>CUMPLE</v>
      </c>
      <c r="AZ378" s="10" t="str">
        <f>IF(AND(X378="CUMPLE",AE378="CUMPLE",AS378="CUMPLE",OR(AY378="CUMPLE",AY378="DESPRECIABLE"),BH378="CUMPLE",BJ378="CUMPLE"),"CUMPLE","NO CUMPLE")</f>
        <v>CUMPLE</v>
      </c>
      <c r="BA378" s="32" t="n">
        <v>12.7</v>
      </c>
      <c r="BB378" s="32" t="n">
        <v>129</v>
      </c>
      <c r="BC378" s="10">
        <f>MAX(IF(AK378=0,0,AK378*1000/('Parametros'!$B$4*MIN(U378,AB378))),MAX(0.062*SQRT('Parametros'!$B$2)*H378/'Parametros'!$B$4,0.35*H378/'Parametros'!$B$4))</f>
        <v>2.81125211830392</v>
      </c>
      <c r="BD378" s="10">
        <f>2*AV378</f>
        <v>1.50488492217036</v>
      </c>
      <c r="BE378" s="10">
        <f>AO378*BB378/AP378</f>
        <v>4.69090909090909</v>
      </c>
      <c r="BF378" s="10">
        <f>SQRT((AI378*1000/(H378*MIN(U378,AB378)))^2+(Q378*1000000*2*((H378-2*('Parametros'!$B$7+'Parametros'!$B$9/2))+(I378-2*('Parametros'!$B$7+'Parametros'!$B$9/2)))/(1.7*((H378-2*('Parametros'!$B$7+'Parametros'!$B$9/2))*(I378-2*('Parametros'!$B$7+'Parametros'!$B$9/2)))^2))^2)</f>
        <v>3.28994581564081</v>
      </c>
      <c r="BG378" s="10">
        <f>'Parametros'!$B$6*(AJ378*1000/(H378*MIN(U378,AB378))+0.66*SQRT('Parametros'!$B$2))</f>
        <v>3.29396038227542</v>
      </c>
      <c r="BH378" s="10" t="str">
        <f>IF(BF378&lt;=BG378,"CUMPLE","NO CUMPLE")</f>
        <v>CUMPLE</v>
      </c>
      <c r="BI378" s="10">
        <f>AX378*'Parametros'!$B$8</f>
        <v>1592</v>
      </c>
      <c r="BJ378" s="10" t="str">
        <f>IF(BI378&gt;=AW378,"CUMPLE","NO CUMPLE")</f>
        <v>CUMPLE</v>
      </c>
    </row>
    <row r="379">
      <c r="A379" s="25" t="inlineStr">
        <is>
          <t>VR2</t>
        </is>
      </c>
      <c r="B379" s="25" t="inlineStr">
        <is>
          <t>167</t>
        </is>
      </c>
      <c r="C379" s="10" t="n">
        <v>1</v>
      </c>
      <c r="D379" s="10" t="n">
        <v>0.9</v>
      </c>
      <c r="E379" s="10" t="n">
        <v>0.9</v>
      </c>
      <c r="F379" s="10" t="n">
        <v>500</v>
      </c>
      <c r="G379" s="10" t="n">
        <v>550</v>
      </c>
      <c r="H379" s="17" t="n">
        <v>500</v>
      </c>
      <c r="I379" s="17" t="n">
        <v>550</v>
      </c>
      <c r="J379" s="30" t="n">
        <v>76.4816</v>
      </c>
      <c r="K379" s="10" t="inlineStr">
        <is>
          <t>167</t>
        </is>
      </c>
      <c r="L379" s="30" t="n">
        <v>0</v>
      </c>
      <c r="M379" s="10" t="inlineStr">
        <is>
          <t>167</t>
        </is>
      </c>
      <c r="N379" s="30" t="n">
        <v>55.844</v>
      </c>
      <c r="O379" s="30" t="n">
        <v>78.748</v>
      </c>
      <c r="P379" s="10" t="inlineStr">
        <is>
          <t>167</t>
        </is>
      </c>
      <c r="Q379" s="30" t="n">
        <v>75.0587</v>
      </c>
      <c r="R379" s="10">
        <f>MAX(MAX(1.4/'Parametros'!$B$3,0.25*SQRT('Parametros'!$B$2)/'Parametros'!$B$3)*H379*U379,(0.85*'Parametros'!$B$2/'Parametros'!$B$3)*(1-SQRT(1-2*(J379*1000000/('Parametros'!$B$5*H379*U379^2))/(0.85*'Parametros'!$B$2)))*H379*U379)</f>
        <v>815.583333333333</v>
      </c>
      <c r="S379" s="31" t="n">
        <v>5</v>
      </c>
      <c r="T379" s="32" t="n">
        <v>1</v>
      </c>
      <c r="U379" s="10">
        <f>IF(T379=1,I379-('Parametros'!$B$7+'Parametros'!$B$9+'Parametros'!$B$12/2),I379-(ROUNDUP(S379/2,0)*('Parametros'!$B$7+'Parametros'!$B$9+'Parametros'!$B$12/2)+ROUNDDOWN(S379/2,0)*('Parametros'!$B$7+'Parametros'!$B$9+'Parametros'!$B$12/2+'Parametros'!$B$12+'Parametros'!$B$10))/S379)</f>
        <v>489.35</v>
      </c>
      <c r="V379" s="10">
        <f>S379*'Parametros'!$B$8</f>
        <v>995</v>
      </c>
      <c r="W379" s="10">
        <f>'Parametros'!$B$5*V379*'Parametros'!$B$3*(U379-(V379*'Parametros'!$B$3/(0.85*'Parametros'!$B$2*H379))/2)/1000000</f>
        <v>177.445379382353</v>
      </c>
      <c r="X379" s="10" t="str">
        <f>IF(W379&gt;=J379,"CUMPLE","NO CUMPLE")</f>
        <v>CUMPLE</v>
      </c>
      <c r="Y379" s="10">
        <f>MAX(MAX(1.4/'Parametros'!$B$3,0.25*SQRT('Parametros'!$B$2)/'Parametros'!$B$3)*H379*AB379,(0.85*'Parametros'!$B$2/'Parametros'!$B$3)*(1-SQRT(1-2*(L379*1000000/('Parametros'!$B$5*H379*AB379^2))/(0.85*'Parametros'!$B$2)))*H379*AB379)</f>
        <v>815.583333333333</v>
      </c>
      <c r="Z379" s="31" t="n">
        <v>5</v>
      </c>
      <c r="AA379" s="32" t="n">
        <v>1</v>
      </c>
      <c r="AB379" s="10">
        <f>IF(AA379=1,I379-('Parametros'!$B$7+'Parametros'!$B$9+'Parametros'!$B$12/2),I379-(ROUNDUP(Z379/2,0)*('Parametros'!$B$7+'Parametros'!$B$9+'Parametros'!$B$12/2)+ROUNDDOWN(Z379/2,0)*('Parametros'!$B$7+'Parametros'!$B$9+'Parametros'!$B$12/2+'Parametros'!$B$12+'Parametros'!$B$10))/Z379)</f>
        <v>489.35</v>
      </c>
      <c r="AC379" s="10">
        <f>Z379*'Parametros'!$B$8</f>
        <v>995</v>
      </c>
      <c r="AD379" s="10">
        <f>'Parametros'!$B$5*AC379*'Parametros'!$B$3*(AB379-(AC379*'Parametros'!$B$3/(0.85*'Parametros'!$B$2*H379))/2)/1000000</f>
        <v>177.445379382353</v>
      </c>
      <c r="AE379" s="10" t="str">
        <f>IF(AD379&gt;=L379,"CUMPLE","NO CUMPLE")</f>
        <v>CUMPLE</v>
      </c>
      <c r="AF379" s="10">
        <f>V379*1.25*'Parametros'!$B$3*(U379-(V379*1.25*'Parametros'!$B$3/(0.85*'Parametros'!$B$2*H379))/2)/1000000</f>
        <v>244.158843198529</v>
      </c>
      <c r="AG379" s="10">
        <f>AC379*1.25*'Parametros'!$B$3*(AB379-(AC379*1.25*'Parametros'!$B$3/(0.85*'Parametros'!$B$2*H379))/2)/1000000</f>
        <v>244.158843198529</v>
      </c>
      <c r="AH379" s="10">
        <f>N379+(AF379+AG379)/D379</f>
        <v>598.419207107843</v>
      </c>
      <c r="AI379" s="10">
        <f>MAX(O379,AH379)</f>
        <v>598.419207107843</v>
      </c>
      <c r="AJ379" s="10">
        <f>0.17*SQRT('Parametros'!$B$2)*H379*MIN(U379,AB379)/1000</f>
        <v>220.098728691808</v>
      </c>
      <c r="AK379" s="10">
        <f>MAX(AI379/'Parametros'!$B$6-AJ379,0)</f>
        <v>577.793547451983</v>
      </c>
      <c r="AL379" s="10">
        <f>0.66*SQRT('Parametros'!$B$2)*H379*MIN(U379,AB379)/1000</f>
        <v>854.500946685842</v>
      </c>
      <c r="AM379" s="10" t="str">
        <f>IF(AK379&lt;=AL379,"CUMPLE","NO CUMPLE")</f>
        <v>CUMPLE</v>
      </c>
      <c r="AN379" s="17" t="inlineStr">
        <is>
          <t>Nº4 cerrado</t>
        </is>
      </c>
      <c r="AO379" s="31" t="n">
        <v>4</v>
      </c>
      <c r="AP379" s="10">
        <f>ROUNDDOWN(MIN(IF(BC379+BD379=0,1000000000,AO379*BB379/(BC379+BD379)),MIN(U379,AB379)/4,8*'Parametros'!$B$12,24*BA379,300,IF(AV379=0,1000000000,2*((H379-2*('Parametros'!$B$7+'Parametros'!$B$9/2))+(I379-2*('Parametros'!$B$7+'Parametros'!$B$9/2)))/8))/10,0)*10</f>
        <v>110</v>
      </c>
      <c r="AQ379" s="10">
        <f>ROUNDDOWN(MIN(IF(BC379+BD379=0,1000000000,AO379*BB379/(BC379+BD379)),IF(AK379&gt;0.33*SQRT('Parametros'!$B$2)*H379*MIN(U379,AB379)/1000,MIN(U379,AB379)/4,MIN(U379,AB379)/2),600,IF(AV379=0,1000000000,2*((H379-2*('Parametros'!$B$7+'Parametros'!$B$9/2))+(I379-2*('Parametros'!$B$7+'Parametros'!$B$9/2)))/8))/10,0)*10</f>
        <v>110</v>
      </c>
      <c r="AR379" s="10">
        <f>'Parametros'!$B$6*(AJ379+MAX(BE379-BD379,0)*'Parametros'!$B$4*MIN(U379,AB379)/1000)</f>
        <v>656.156411318594</v>
      </c>
      <c r="AS379" s="10" t="str">
        <f>IF(AND(ISERROR(SEARCH("referencia",AN379)),AM379="CUMPLE",AR379&gt;=AI379),"CUMPLE","NO CUMPLE")</f>
        <v>CUMPLE</v>
      </c>
      <c r="AT379" s="10">
        <f>'Parametros'!$B$6*0.083*SQRT('Parametros'!$B$2)*(H379*I379)^2/(2*(H379+I379))/1000000</f>
        <v>11.862178757599</v>
      </c>
      <c r="AU379" s="10" t="str">
        <f>IF(Q379&lt;=AT379,"DESPRECIABLE","DISEÑAR")</f>
        <v>DISEÑAR</v>
      </c>
      <c r="AV379" s="10">
        <f>IF(Q379&lt;=AT379,0,Q379*1000000/('Parametros'!$B$6*2*0.85*(H379-2*('Parametros'!$B$7+'Parametros'!$B$9/2))*(I379-2*('Parametros'!$B$7+'Parametros'!$B$9/2))*'Parametros'!$B$4))</f>
        <v>0.752533697099705</v>
      </c>
      <c r="AW379" s="10">
        <f>AV379*2*((H379-2*('Parametros'!$B$7+'Parametros'!$B$9/2))+(I379-2*('Parametros'!$B$7+'Parametros'!$B$9/2)))*'Parametros'!$B$4/'Parametros'!$B$3</f>
        <v>1301.28126902481</v>
      </c>
      <c r="AX379" s="31" t="n">
        <v>8</v>
      </c>
      <c r="AY379" s="10" t="str">
        <f>IF(AV379=0,"DESPRECIABLE",IF(AND(ISERROR(SEARCH("referencia",AN379)),BB379/AP379&gt;=AV379,BI379&gt;=AW379,BH379="CUMPLE"),"CUMPLE","NO CUMPLE"))</f>
        <v>CUMPLE</v>
      </c>
      <c r="AZ379" s="10" t="str">
        <f>IF(AND(X379="CUMPLE",AE379="CUMPLE",AS379="CUMPLE",OR(AY379="CUMPLE",AY379="DESPRECIABLE"),BH379="CUMPLE",BJ379="CUMPLE"),"CUMPLE","NO CUMPLE")</f>
        <v>CUMPLE</v>
      </c>
      <c r="BA379" s="32" t="n">
        <v>12.7</v>
      </c>
      <c r="BB379" s="32" t="n">
        <v>129</v>
      </c>
      <c r="BC379" s="10">
        <f>MAX(IF(AK379=0,0,AK379*1000/('Parametros'!$B$4*MIN(U379,AB379))),MAX(0.062*SQRT('Parametros'!$B$2)*H379/'Parametros'!$B$4,0.35*H379/'Parametros'!$B$4))</f>
        <v>2.81127806785475</v>
      </c>
      <c r="BD379" s="10">
        <f>2*AV379</f>
        <v>1.50506739419941</v>
      </c>
      <c r="BE379" s="10">
        <f>AO379*BB379/AP379</f>
        <v>4.69090909090909</v>
      </c>
      <c r="BF379" s="10">
        <f>SQRT((AI379*1000/(H379*MIN(U379,AB379)))^2+(Q379*1000000*2*((H379-2*('Parametros'!$B$7+'Parametros'!$B$9/2))+(I379-2*('Parametros'!$B$7+'Parametros'!$B$9/2)))/(1.7*((H379-2*('Parametros'!$B$7+'Parametros'!$B$9/2))*(I379-2*('Parametros'!$B$7+'Parametros'!$B$9/2)))^2))^2)</f>
        <v>3.29013643030769</v>
      </c>
      <c r="BG379" s="10">
        <f>'Parametros'!$B$6*(AJ379*1000/(H379*MIN(U379,AB379))+0.66*SQRT('Parametros'!$B$2))</f>
        <v>3.29396038227542</v>
      </c>
      <c r="BH379" s="10" t="str">
        <f>IF(BF379&lt;=BG379,"CUMPLE","NO CUMPLE")</f>
        <v>CUMPLE</v>
      </c>
      <c r="BI379" s="10">
        <f>AX379*'Parametros'!$B$8</f>
        <v>1592</v>
      </c>
      <c r="BJ379" s="10" t="str">
        <f>IF(BI379&gt;=AW379,"CUMPLE","NO CUMPLE")</f>
        <v>CUMPLE</v>
      </c>
    </row>
    <row r="380">
      <c r="A380" s="25" t="inlineStr">
        <is>
          <t>VR2</t>
        </is>
      </c>
      <c r="B380" s="25" t="inlineStr">
        <is>
          <t>170</t>
        </is>
      </c>
      <c r="C380" s="10" t="n">
        <v>1</v>
      </c>
      <c r="D380" s="10" t="n">
        <v>0.9</v>
      </c>
      <c r="E380" s="10" t="n">
        <v>0.9</v>
      </c>
      <c r="F380" s="10" t="n">
        <v>500</v>
      </c>
      <c r="G380" s="10" t="n">
        <v>550</v>
      </c>
      <c r="H380" s="17" t="n">
        <v>500</v>
      </c>
      <c r="I380" s="17" t="n">
        <v>550</v>
      </c>
      <c r="J380" s="30" t="n">
        <v>69.4272</v>
      </c>
      <c r="K380" s="10" t="inlineStr">
        <is>
          <t>170</t>
        </is>
      </c>
      <c r="L380" s="30" t="n">
        <v>0</v>
      </c>
      <c r="M380" s="10" t="inlineStr">
        <is>
          <t>170</t>
        </is>
      </c>
      <c r="N380" s="30" t="n">
        <v>50.282</v>
      </c>
      <c r="O380" s="30" t="n">
        <v>57.246</v>
      </c>
      <c r="P380" s="10" t="inlineStr">
        <is>
          <t>170</t>
        </is>
      </c>
      <c r="Q380" s="30" t="n">
        <v>35.5334</v>
      </c>
      <c r="R380" s="10">
        <f>MAX(MAX(1.4/'Parametros'!$B$3,0.25*SQRT('Parametros'!$B$2)/'Parametros'!$B$3)*H380*U380,(0.85*'Parametros'!$B$2/'Parametros'!$B$3)*(1-SQRT(1-2*(J380*1000000/('Parametros'!$B$5*H380*U380^2))/(0.85*'Parametros'!$B$2)))*H380*U380)</f>
        <v>815.583333333333</v>
      </c>
      <c r="S380" s="31" t="n">
        <v>5</v>
      </c>
      <c r="T380" s="32" t="n">
        <v>1</v>
      </c>
      <c r="U380" s="10">
        <f>IF(T380=1,I380-('Parametros'!$B$7+'Parametros'!$B$9+'Parametros'!$B$12/2),I380-(ROUNDUP(S380/2,0)*('Parametros'!$B$7+'Parametros'!$B$9+'Parametros'!$B$12/2)+ROUNDDOWN(S380/2,0)*('Parametros'!$B$7+'Parametros'!$B$9+'Parametros'!$B$12/2+'Parametros'!$B$12+'Parametros'!$B$10))/S380)</f>
        <v>489.35</v>
      </c>
      <c r="V380" s="10">
        <f>S380*'Parametros'!$B$8</f>
        <v>995</v>
      </c>
      <c r="W380" s="10">
        <f>'Parametros'!$B$5*V380*'Parametros'!$B$3*(U380-(V380*'Parametros'!$B$3/(0.85*'Parametros'!$B$2*H380))/2)/1000000</f>
        <v>177.445379382353</v>
      </c>
      <c r="X380" s="10" t="str">
        <f>IF(W380&gt;=J380,"CUMPLE","NO CUMPLE")</f>
        <v>CUMPLE</v>
      </c>
      <c r="Y380" s="10">
        <f>MAX(MAX(1.4/'Parametros'!$B$3,0.25*SQRT('Parametros'!$B$2)/'Parametros'!$B$3)*H380*AB380,(0.85*'Parametros'!$B$2/'Parametros'!$B$3)*(1-SQRT(1-2*(L380*1000000/('Parametros'!$B$5*H380*AB380^2))/(0.85*'Parametros'!$B$2)))*H380*AB380)</f>
        <v>815.583333333333</v>
      </c>
      <c r="Z380" s="31" t="n">
        <v>5</v>
      </c>
      <c r="AA380" s="32" t="n">
        <v>1</v>
      </c>
      <c r="AB380" s="10">
        <f>IF(AA380=1,I380-('Parametros'!$B$7+'Parametros'!$B$9+'Parametros'!$B$12/2),I380-(ROUNDUP(Z380/2,0)*('Parametros'!$B$7+'Parametros'!$B$9+'Parametros'!$B$12/2)+ROUNDDOWN(Z380/2,0)*('Parametros'!$B$7+'Parametros'!$B$9+'Parametros'!$B$12/2+'Parametros'!$B$12+'Parametros'!$B$10))/Z380)</f>
        <v>489.35</v>
      </c>
      <c r="AC380" s="10">
        <f>Z380*'Parametros'!$B$8</f>
        <v>995</v>
      </c>
      <c r="AD380" s="10">
        <f>'Parametros'!$B$5*AC380*'Parametros'!$B$3*(AB380-(AC380*'Parametros'!$B$3/(0.85*'Parametros'!$B$2*H380))/2)/1000000</f>
        <v>177.445379382353</v>
      </c>
      <c r="AE380" s="10" t="str">
        <f>IF(AD380&gt;=L380,"CUMPLE","NO CUMPLE")</f>
        <v>CUMPLE</v>
      </c>
      <c r="AF380" s="10">
        <f>V380*1.25*'Parametros'!$B$3*(U380-(V380*1.25*'Parametros'!$B$3/(0.85*'Parametros'!$B$2*H380))/2)/1000000</f>
        <v>244.158843198529</v>
      </c>
      <c r="AG380" s="10">
        <f>AC380*1.25*'Parametros'!$B$3*(AB380-(AC380*1.25*'Parametros'!$B$3/(0.85*'Parametros'!$B$2*H380))/2)/1000000</f>
        <v>244.158843198529</v>
      </c>
      <c r="AH380" s="10">
        <f>N380+(AF380+AG380)/D380</f>
        <v>592.857207107843</v>
      </c>
      <c r="AI380" s="10">
        <f>MAX(O380,AH380)</f>
        <v>592.857207107843</v>
      </c>
      <c r="AJ380" s="10">
        <f>0.17*SQRT('Parametros'!$B$2)*H380*MIN(U380,AB380)/1000</f>
        <v>220.098728691808</v>
      </c>
      <c r="AK380" s="10">
        <f>MAX(AI380/'Parametros'!$B$6-AJ380,0)</f>
        <v>570.377547451983</v>
      </c>
      <c r="AL380" s="10">
        <f>0.66*SQRT('Parametros'!$B$2)*H380*MIN(U380,AB380)/1000</f>
        <v>854.500946685842</v>
      </c>
      <c r="AM380" s="10" t="str">
        <f>IF(AK380&lt;=AL380,"CUMPLE","NO CUMPLE")</f>
        <v>CUMPLE</v>
      </c>
      <c r="AN380" s="17" t="inlineStr">
        <is>
          <t>Nº3 cerrado</t>
        </is>
      </c>
      <c r="AO380" s="31" t="n">
        <v>4</v>
      </c>
      <c r="AP380" s="10">
        <f>ROUNDDOWN(MIN(IF(BC380+BD380=0,1000000000,AO380*BB380/(BC380+BD380)),MIN(U380,AB380)/4,8*'Parametros'!$B$12,24*BA380,300,IF(AV380=0,1000000000,2*((H380-2*('Parametros'!$B$7+'Parametros'!$B$9/2))+(I380-2*('Parametros'!$B$7+'Parametros'!$B$9/2)))/8))/10,0)*10</f>
        <v>80</v>
      </c>
      <c r="AQ380" s="10">
        <f>ROUNDDOWN(MIN(IF(BC380+BD380=0,1000000000,AO380*BB380/(BC380+BD380)),IF(AK380&gt;0.33*SQRT('Parametros'!$B$2)*H380*MIN(U380,AB380)/1000,MIN(U380,AB380)/4,MIN(U380,AB380)/2),600,IF(AV380=0,1000000000,2*((H380-2*('Parametros'!$B$7+'Parametros'!$B$9/2))+(I380-2*('Parametros'!$B$7+'Parametros'!$B$9/2)))/8))/10,0)*10</f>
        <v>80</v>
      </c>
      <c r="AR380" s="10">
        <f>'Parametros'!$B$6*(AJ380+MAX(BE380-BD380,0)*'Parametros'!$B$4*MIN(U380,AB380)/1000)</f>
        <v>602.459472434716</v>
      </c>
      <c r="AS380" s="10" t="str">
        <f>IF(AND(ISERROR(SEARCH("referencia",AN380)),AM380="CUMPLE",AR380&gt;=AI380),"CUMPLE","NO CUMPLE")</f>
        <v>CUMPLE</v>
      </c>
      <c r="AT380" s="10">
        <f>'Parametros'!$B$6*0.083*SQRT('Parametros'!$B$2)*(H380*I380)^2/(2*(H380+I380))/1000000</f>
        <v>11.862178757599</v>
      </c>
      <c r="AU380" s="10" t="str">
        <f>IF(Q380&lt;=AT380,"DESPRECIABLE","DISEÑAR")</f>
        <v>DISEÑAR</v>
      </c>
      <c r="AV380" s="10">
        <f>IF(Q380&lt;=AT380,0,Q380*1000000/('Parametros'!$B$6*2*0.85*(H380-2*('Parametros'!$B$7+'Parametros'!$B$9/2))*(I380-2*('Parametros'!$B$7+'Parametros'!$B$9/2))*'Parametros'!$B$4))</f>
        <v>0.356255582264583</v>
      </c>
      <c r="AW380" s="10">
        <f>AV380*2*((H380-2*('Parametros'!$B$7+'Parametros'!$B$9/2))+(I380-2*('Parametros'!$B$7+'Parametros'!$B$9/2)))*'Parametros'!$B$4/'Parametros'!$B$3</f>
        <v>616.037152851917</v>
      </c>
      <c r="AX380" s="31" t="n">
        <v>8</v>
      </c>
      <c r="AY380" s="10" t="str">
        <f>IF(AV380=0,"DESPRECIABLE",IF(AND(ISERROR(SEARCH("referencia",AN380)),BB380/AP380&gt;=AV380,BI380&gt;=AW380,BH380="CUMPLE"),"CUMPLE","NO CUMPLE"))</f>
        <v>CUMPLE</v>
      </c>
      <c r="AZ380" s="10" t="str">
        <f>IF(AND(X380="CUMPLE",AE380="CUMPLE",AS380="CUMPLE",OR(AY380="CUMPLE",AY380="DESPRECIABLE"),BH380="CUMPLE",BJ380="CUMPLE"),"CUMPLE","NO CUMPLE")</f>
        <v>CUMPLE</v>
      </c>
      <c r="BA380" s="32" t="n">
        <v>9.5</v>
      </c>
      <c r="BB380" s="32" t="n">
        <v>71</v>
      </c>
      <c r="BC380" s="10">
        <f>MAX(IF(AK380=0,0,AK380*1000/('Parametros'!$B$4*MIN(U380,AB380))),MAX(0.062*SQRT('Parametros'!$B$2)*H380/'Parametros'!$B$4,0.35*H380/'Parametros'!$B$4))</f>
        <v>2.77519521742634</v>
      </c>
      <c r="BD380" s="10">
        <f>2*AV380</f>
        <v>0.712511164529166</v>
      </c>
      <c r="BE380" s="10">
        <f>AO380*BB380/AP380</f>
        <v>3.55</v>
      </c>
      <c r="BF380" s="10">
        <f>SQRT((AI380*1000/(H380*MIN(U380,AB380)))^2+(Q380*1000000*2*((H380-2*('Parametros'!$B$7+'Parametros'!$B$9/2))+(I380-2*('Parametros'!$B$7+'Parametros'!$B$9/2)))/(1.7*((H380-2*('Parametros'!$B$7+'Parametros'!$B$9/2))*(I380-2*('Parametros'!$B$7+'Parametros'!$B$9/2)))^2))^2)</f>
        <v>2.63752828372437</v>
      </c>
      <c r="BG380" s="10">
        <f>'Parametros'!$B$6*(AJ380*1000/(H380*MIN(U380,AB380))+0.66*SQRT('Parametros'!$B$2))</f>
        <v>3.29396038227542</v>
      </c>
      <c r="BH380" s="10" t="str">
        <f>IF(BF380&lt;=BG380,"CUMPLE","NO CUMPLE")</f>
        <v>CUMPLE</v>
      </c>
      <c r="BI380" s="10">
        <f>AX380*'Parametros'!$B$8</f>
        <v>1592</v>
      </c>
      <c r="BJ380" s="10" t="str">
        <f>IF(BI380&gt;=AW380,"CUMPLE","NO CUMPLE")</f>
        <v>CUMPLE</v>
      </c>
    </row>
    <row r="381">
      <c r="A381" s="25" t="inlineStr">
        <is>
          <t>VR2</t>
        </is>
      </c>
      <c r="B381" s="25" t="inlineStr">
        <is>
          <t>172</t>
        </is>
      </c>
      <c r="C381" s="10" t="n">
        <v>1</v>
      </c>
      <c r="D381" s="10" t="n">
        <v>0.9</v>
      </c>
      <c r="E381" s="10" t="n">
        <v>0.9</v>
      </c>
      <c r="F381" s="10" t="n">
        <v>500</v>
      </c>
      <c r="G381" s="10" t="n">
        <v>550</v>
      </c>
      <c r="H381" s="17" t="n">
        <v>500</v>
      </c>
      <c r="I381" s="17" t="n">
        <v>550</v>
      </c>
      <c r="J381" s="30" t="n">
        <v>69.43300000000001</v>
      </c>
      <c r="K381" s="10" t="inlineStr">
        <is>
          <t>172</t>
        </is>
      </c>
      <c r="L381" s="30" t="n">
        <v>0</v>
      </c>
      <c r="M381" s="10" t="inlineStr">
        <is>
          <t>172</t>
        </is>
      </c>
      <c r="N381" s="30" t="n">
        <v>50.286</v>
      </c>
      <c r="O381" s="30" t="n">
        <v>57.249</v>
      </c>
      <c r="P381" s="10" t="inlineStr">
        <is>
          <t>172</t>
        </is>
      </c>
      <c r="Q381" s="30" t="n">
        <v>35.5388</v>
      </c>
      <c r="R381" s="10">
        <f>MAX(MAX(1.4/'Parametros'!$B$3,0.25*SQRT('Parametros'!$B$2)/'Parametros'!$B$3)*H381*U381,(0.85*'Parametros'!$B$2/'Parametros'!$B$3)*(1-SQRT(1-2*(J381*1000000/('Parametros'!$B$5*H381*U381^2))/(0.85*'Parametros'!$B$2)))*H381*U381)</f>
        <v>815.583333333333</v>
      </c>
      <c r="S381" s="31" t="n">
        <v>5</v>
      </c>
      <c r="T381" s="32" t="n">
        <v>1</v>
      </c>
      <c r="U381" s="10">
        <f>IF(T381=1,I381-('Parametros'!$B$7+'Parametros'!$B$9+'Parametros'!$B$12/2),I381-(ROUNDUP(S381/2,0)*('Parametros'!$B$7+'Parametros'!$B$9+'Parametros'!$B$12/2)+ROUNDDOWN(S381/2,0)*('Parametros'!$B$7+'Parametros'!$B$9+'Parametros'!$B$12/2+'Parametros'!$B$12+'Parametros'!$B$10))/S381)</f>
        <v>489.35</v>
      </c>
      <c r="V381" s="10">
        <f>S381*'Parametros'!$B$8</f>
        <v>995</v>
      </c>
      <c r="W381" s="10">
        <f>'Parametros'!$B$5*V381*'Parametros'!$B$3*(U381-(V381*'Parametros'!$B$3/(0.85*'Parametros'!$B$2*H381))/2)/1000000</f>
        <v>177.445379382353</v>
      </c>
      <c r="X381" s="10" t="str">
        <f>IF(W381&gt;=J381,"CUMPLE","NO CUMPLE")</f>
        <v>CUMPLE</v>
      </c>
      <c r="Y381" s="10">
        <f>MAX(MAX(1.4/'Parametros'!$B$3,0.25*SQRT('Parametros'!$B$2)/'Parametros'!$B$3)*H381*AB381,(0.85*'Parametros'!$B$2/'Parametros'!$B$3)*(1-SQRT(1-2*(L381*1000000/('Parametros'!$B$5*H381*AB381^2))/(0.85*'Parametros'!$B$2)))*H381*AB381)</f>
        <v>815.583333333333</v>
      </c>
      <c r="Z381" s="31" t="n">
        <v>5</v>
      </c>
      <c r="AA381" s="32" t="n">
        <v>1</v>
      </c>
      <c r="AB381" s="10">
        <f>IF(AA381=1,I381-('Parametros'!$B$7+'Parametros'!$B$9+'Parametros'!$B$12/2),I381-(ROUNDUP(Z381/2,0)*('Parametros'!$B$7+'Parametros'!$B$9+'Parametros'!$B$12/2)+ROUNDDOWN(Z381/2,0)*('Parametros'!$B$7+'Parametros'!$B$9+'Parametros'!$B$12/2+'Parametros'!$B$12+'Parametros'!$B$10))/Z381)</f>
        <v>489.35</v>
      </c>
      <c r="AC381" s="10">
        <f>Z381*'Parametros'!$B$8</f>
        <v>995</v>
      </c>
      <c r="AD381" s="10">
        <f>'Parametros'!$B$5*AC381*'Parametros'!$B$3*(AB381-(AC381*'Parametros'!$B$3/(0.85*'Parametros'!$B$2*H381))/2)/1000000</f>
        <v>177.445379382353</v>
      </c>
      <c r="AE381" s="10" t="str">
        <f>IF(AD381&gt;=L381,"CUMPLE","NO CUMPLE")</f>
        <v>CUMPLE</v>
      </c>
      <c r="AF381" s="10">
        <f>V381*1.25*'Parametros'!$B$3*(U381-(V381*1.25*'Parametros'!$B$3/(0.85*'Parametros'!$B$2*H381))/2)/1000000</f>
        <v>244.158843198529</v>
      </c>
      <c r="AG381" s="10">
        <f>AC381*1.25*'Parametros'!$B$3*(AB381-(AC381*1.25*'Parametros'!$B$3/(0.85*'Parametros'!$B$2*H381))/2)/1000000</f>
        <v>244.158843198529</v>
      </c>
      <c r="AH381" s="10">
        <f>N381+(AF381+AG381)/D381</f>
        <v>592.861207107843</v>
      </c>
      <c r="AI381" s="10">
        <f>MAX(O381,AH381)</f>
        <v>592.861207107843</v>
      </c>
      <c r="AJ381" s="10">
        <f>0.17*SQRT('Parametros'!$B$2)*H381*MIN(U381,AB381)/1000</f>
        <v>220.098728691808</v>
      </c>
      <c r="AK381" s="10">
        <f>MAX(AI381/'Parametros'!$B$6-AJ381,0)</f>
        <v>570.382880785316</v>
      </c>
      <c r="AL381" s="10">
        <f>0.66*SQRT('Parametros'!$B$2)*H381*MIN(U381,AB381)/1000</f>
        <v>854.500946685842</v>
      </c>
      <c r="AM381" s="10" t="str">
        <f>IF(AK381&lt;=AL381,"CUMPLE","NO CUMPLE")</f>
        <v>CUMPLE</v>
      </c>
      <c r="AN381" s="17" t="inlineStr">
        <is>
          <t>Nº3 cerrado</t>
        </is>
      </c>
      <c r="AO381" s="31" t="n">
        <v>4</v>
      </c>
      <c r="AP381" s="10">
        <f>ROUNDDOWN(MIN(IF(BC381+BD381=0,1000000000,AO381*BB381/(BC381+BD381)),MIN(U381,AB381)/4,8*'Parametros'!$B$12,24*BA381,300,IF(AV381=0,1000000000,2*((H381-2*('Parametros'!$B$7+'Parametros'!$B$9/2))+(I381-2*('Parametros'!$B$7+'Parametros'!$B$9/2)))/8))/10,0)*10</f>
        <v>80</v>
      </c>
      <c r="AQ381" s="10">
        <f>ROUNDDOWN(MIN(IF(BC381+BD381=0,1000000000,AO381*BB381/(BC381+BD381)),IF(AK381&gt;0.33*SQRT('Parametros'!$B$2)*H381*MIN(U381,AB381)/1000,MIN(U381,AB381)/4,MIN(U381,AB381)/2),600,IF(AV381=0,1000000000,2*((H381-2*('Parametros'!$B$7+'Parametros'!$B$9/2))+(I381-2*('Parametros'!$B$7+'Parametros'!$B$9/2)))/8))/10,0)*10</f>
        <v>80</v>
      </c>
      <c r="AR381" s="10">
        <f>'Parametros'!$B$6*(AJ381+MAX(BE381-BD381,0)*'Parametros'!$B$4*MIN(U381,AB381)/1000)</f>
        <v>602.442781570837</v>
      </c>
      <c r="AS381" s="10" t="str">
        <f>IF(AND(ISERROR(SEARCH("referencia",AN381)),AM381="CUMPLE",AR381&gt;=AI381),"CUMPLE","NO CUMPLE")</f>
        <v>CUMPLE</v>
      </c>
      <c r="AT381" s="10">
        <f>'Parametros'!$B$6*0.083*SQRT('Parametros'!$B$2)*(H381*I381)^2/(2*(H381+I381))/1000000</f>
        <v>11.862178757599</v>
      </c>
      <c r="AU381" s="10" t="str">
        <f>IF(Q381&lt;=AT381,"DESPRECIABLE","DISEÑAR")</f>
        <v>DISEÑAR</v>
      </c>
      <c r="AV381" s="10">
        <f>IF(Q381&lt;=AT381,0,Q381*1000000/('Parametros'!$B$6*2*0.85*(H381-2*('Parametros'!$B$7+'Parametros'!$B$9/2))*(I381-2*('Parametros'!$B$7+'Parametros'!$B$9/2))*'Parametros'!$B$4))</f>
        <v>0.35630972231716</v>
      </c>
      <c r="AW381" s="10">
        <f>AV381*2*((H381-2*('Parametros'!$B$7+'Parametros'!$B$9/2))+(I381-2*('Parametros'!$B$7+'Parametros'!$B$9/2)))*'Parametros'!$B$4/'Parametros'!$B$3</f>
        <v>616.130771830832</v>
      </c>
      <c r="AX381" s="31" t="n">
        <v>8</v>
      </c>
      <c r="AY381" s="10" t="str">
        <f>IF(AV381=0,"DESPRECIABLE",IF(AND(ISERROR(SEARCH("referencia",AN381)),BB381/AP381&gt;=AV381,BI381&gt;=AW381,BH381="CUMPLE"),"CUMPLE","NO CUMPLE"))</f>
        <v>CUMPLE</v>
      </c>
      <c r="AZ381" s="10" t="str">
        <f>IF(AND(X381="CUMPLE",AE381="CUMPLE",AS381="CUMPLE",OR(AY381="CUMPLE",AY381="DESPRECIABLE"),BH381="CUMPLE",BJ381="CUMPLE"),"CUMPLE","NO CUMPLE")</f>
        <v>CUMPLE</v>
      </c>
      <c r="BA381" s="32" t="n">
        <v>9.5</v>
      </c>
      <c r="BB381" s="32" t="n">
        <v>71</v>
      </c>
      <c r="BC381" s="10">
        <f>MAX(IF(AK381=0,0,AK381*1000/('Parametros'!$B$4*MIN(U381,AB381))),MAX(0.062*SQRT('Parametros'!$B$2)*H381/'Parametros'!$B$4,0.35*H381/'Parametros'!$B$4))</f>
        <v>2.77522116697717</v>
      </c>
      <c r="BD381" s="10">
        <f>2*AV381</f>
        <v>0.712619444634319</v>
      </c>
      <c r="BE381" s="10">
        <f>AO381*BB381/AP381</f>
        <v>3.55</v>
      </c>
      <c r="BF381" s="10">
        <f>SQRT((AI381*1000/(H381*MIN(U381,AB381)))^2+(Q381*1000000*2*((H381-2*('Parametros'!$B$7+'Parametros'!$B$9/2))+(I381-2*('Parametros'!$B$7+'Parametros'!$B$9/2)))/(1.7*((H381-2*('Parametros'!$B$7+'Parametros'!$B$9/2))*(I381-2*('Parametros'!$B$7+'Parametros'!$B$9/2)))^2))^2)</f>
        <v>2.63760584695528</v>
      </c>
      <c r="BG381" s="10">
        <f>'Parametros'!$B$6*(AJ381*1000/(H381*MIN(U381,AB381))+0.66*SQRT('Parametros'!$B$2))</f>
        <v>3.29396038227542</v>
      </c>
      <c r="BH381" s="10" t="str">
        <f>IF(BF381&lt;=BG381,"CUMPLE","NO CUMPLE")</f>
        <v>CUMPLE</v>
      </c>
      <c r="BI381" s="10">
        <f>AX381*'Parametros'!$B$8</f>
        <v>1592</v>
      </c>
      <c r="BJ381" s="10" t="str">
        <f>IF(BI381&gt;=AW381,"CUMPLE","NO CUMPLE")</f>
        <v>CUMPLE</v>
      </c>
    </row>
    <row r="382">
      <c r="A382" s="25" t="inlineStr">
        <is>
          <t>VR2</t>
        </is>
      </c>
      <c r="B382" s="25" t="inlineStr">
        <is>
          <t>175</t>
        </is>
      </c>
      <c r="C382" s="10" t="n">
        <v>1</v>
      </c>
      <c r="D382" s="10" t="n">
        <v>0.9</v>
      </c>
      <c r="E382" s="10" t="n">
        <v>0.9</v>
      </c>
      <c r="F382" s="10" t="n">
        <v>500</v>
      </c>
      <c r="G382" s="10" t="n">
        <v>550</v>
      </c>
      <c r="H382" s="17" t="n">
        <v>500</v>
      </c>
      <c r="I382" s="17" t="n">
        <v>550</v>
      </c>
      <c r="J382" s="30" t="n">
        <v>71.3182</v>
      </c>
      <c r="K382" s="10" t="inlineStr">
        <is>
          <t>175</t>
        </is>
      </c>
      <c r="L382" s="30" t="n">
        <v>0.2727</v>
      </c>
      <c r="M382" s="10" t="inlineStr">
        <is>
          <t>175</t>
        </is>
      </c>
      <c r="N382" s="30" t="n">
        <v>53.098</v>
      </c>
      <c r="O382" s="30" t="n">
        <v>99.235</v>
      </c>
      <c r="P382" s="10" t="inlineStr">
        <is>
          <t>175</t>
        </is>
      </c>
      <c r="Q382" s="30" t="n">
        <v>137.5888</v>
      </c>
      <c r="R382" s="10">
        <f>MAX(MAX(1.4/'Parametros'!$B$3,0.25*SQRT('Parametros'!$B$2)/'Parametros'!$B$3)*H382*U382,(0.85*'Parametros'!$B$2/'Parametros'!$B$3)*(1-SQRT(1-2*(J382*1000000/('Parametros'!$B$5*H382*U382^2))/(0.85*'Parametros'!$B$2)))*H382*U382)</f>
        <v>815.583333333333</v>
      </c>
      <c r="S382" s="31" t="n">
        <v>5</v>
      </c>
      <c r="T382" s="32" t="n">
        <v>1</v>
      </c>
      <c r="U382" s="10">
        <f>IF(T382=1,I382-('Parametros'!$B$7+'Parametros'!$B$9+'Parametros'!$B$12/2),I382-(ROUNDUP(S382/2,0)*('Parametros'!$B$7+'Parametros'!$B$9+'Parametros'!$B$12/2)+ROUNDDOWN(S382/2,0)*('Parametros'!$B$7+'Parametros'!$B$9+'Parametros'!$B$12/2+'Parametros'!$B$12+'Parametros'!$B$10))/S382)</f>
        <v>489.35</v>
      </c>
      <c r="V382" s="10">
        <f>S382*'Parametros'!$B$8</f>
        <v>995</v>
      </c>
      <c r="W382" s="10">
        <f>'Parametros'!$B$5*V382*'Parametros'!$B$3*(U382-(V382*'Parametros'!$B$3/(0.85*'Parametros'!$B$2*H382))/2)/1000000</f>
        <v>177.445379382353</v>
      </c>
      <c r="X382" s="10" t="str">
        <f>IF(W382&gt;=J382,"CUMPLE","NO CUMPLE")</f>
        <v>CUMPLE</v>
      </c>
      <c r="Y382" s="10">
        <f>MAX(MAX(1.4/'Parametros'!$B$3,0.25*SQRT('Parametros'!$B$2)/'Parametros'!$B$3)*H382*AB382,(0.85*'Parametros'!$B$2/'Parametros'!$B$3)*(1-SQRT(1-2*(L382*1000000/('Parametros'!$B$5*H382*AB382^2))/(0.85*'Parametros'!$B$2)))*H382*AB382)</f>
        <v>815.583333333333</v>
      </c>
      <c r="Z382" s="31" t="n">
        <v>5</v>
      </c>
      <c r="AA382" s="32" t="n">
        <v>1</v>
      </c>
      <c r="AB382" s="10">
        <f>IF(AA382=1,I382-('Parametros'!$B$7+'Parametros'!$B$9+'Parametros'!$B$12/2),I382-(ROUNDUP(Z382/2,0)*('Parametros'!$B$7+'Parametros'!$B$9+'Parametros'!$B$12/2)+ROUNDDOWN(Z382/2,0)*('Parametros'!$B$7+'Parametros'!$B$9+'Parametros'!$B$12/2+'Parametros'!$B$12+'Parametros'!$B$10))/Z382)</f>
        <v>489.35</v>
      </c>
      <c r="AC382" s="10">
        <f>Z382*'Parametros'!$B$8</f>
        <v>995</v>
      </c>
      <c r="AD382" s="10">
        <f>'Parametros'!$B$5*AC382*'Parametros'!$B$3*(AB382-(AC382*'Parametros'!$B$3/(0.85*'Parametros'!$B$2*H382))/2)/1000000</f>
        <v>177.445379382353</v>
      </c>
      <c r="AE382" s="10" t="str">
        <f>IF(AD382&gt;=L382,"CUMPLE","NO CUMPLE")</f>
        <v>CUMPLE</v>
      </c>
      <c r="AF382" s="10">
        <f>V382*1.25*'Parametros'!$B$3*(U382-(V382*1.25*'Parametros'!$B$3/(0.85*'Parametros'!$B$2*H382))/2)/1000000</f>
        <v>244.158843198529</v>
      </c>
      <c r="AG382" s="10">
        <f>AC382*1.25*'Parametros'!$B$3*(AB382-(AC382*1.25*'Parametros'!$B$3/(0.85*'Parametros'!$B$2*H382))/2)/1000000</f>
        <v>244.158843198529</v>
      </c>
      <c r="AH382" s="10">
        <f>N382+(AF382+AG382)/D382</f>
        <v>595.673207107843</v>
      </c>
      <c r="AI382" s="10">
        <f>MAX(O382,AH382)</f>
        <v>595.673207107843</v>
      </c>
      <c r="AJ382" s="10">
        <f>0.17*SQRT('Parametros'!$B$2)*H382*MIN(U382,AB382)/1000</f>
        <v>220.098728691808</v>
      </c>
      <c r="AK382" s="10">
        <f>MAX(AI382/'Parametros'!$B$6-AJ382,0)</f>
        <v>574.13221411865</v>
      </c>
      <c r="AL382" s="10">
        <f>0.66*SQRT('Parametros'!$B$2)*H382*MIN(U382,AB382)/1000</f>
        <v>854.500946685842</v>
      </c>
      <c r="AM382" s="10" t="str">
        <f>IF(AK382&lt;=AL382,"CUMPLE","NO CUMPLE")</f>
        <v>CUMPLE</v>
      </c>
      <c r="AN382" s="17" t="inlineStr">
        <is>
          <t>Nº4 cerrado</t>
        </is>
      </c>
      <c r="AO382" s="31" t="n">
        <v>4</v>
      </c>
      <c r="AP382" s="10">
        <f>ROUNDDOWN(MIN(IF(BC382+BD382=0,1000000000,AO382*BB382/(BC382+BD382)),MIN(U382,AB382)/4,8*'Parametros'!$B$12,24*BA382,300,IF(AV382=0,1000000000,2*((H382-2*('Parametros'!$B$7+'Parametros'!$B$9/2))+(I382-2*('Parametros'!$B$7+'Parametros'!$B$9/2)))/8))/10,0)*10</f>
        <v>90</v>
      </c>
      <c r="AQ382" s="10">
        <f>ROUNDDOWN(MIN(IF(BC382+BD382=0,1000000000,AO382*BB382/(BC382+BD382)),IF(AK382&gt;0.33*SQRT('Parametros'!$B$2)*H382*MIN(U382,AB382)/1000,MIN(U382,AB382)/4,MIN(U382,AB382)/2),600,IF(AV382=0,1000000000,2*((H382-2*('Parametros'!$B$7+'Parametros'!$B$9/2))+(I382-2*('Parametros'!$B$7+'Parametros'!$B$9/2)))/8))/10,0)*10</f>
        <v>90</v>
      </c>
      <c r="AR382" s="10">
        <f>'Parametros'!$B$6*(AJ382+MAX(BE382-BD382,0)*'Parametros'!$B$4*MIN(U382,AB382)/1000)</f>
        <v>623.566825766892</v>
      </c>
      <c r="AS382" s="10" t="str">
        <f>IF(AND(ISERROR(SEARCH("referencia",AN382)),AM382="CUMPLE",AR382&gt;=AI382),"CUMPLE","NO CUMPLE")</f>
        <v>CUMPLE</v>
      </c>
      <c r="AT382" s="10">
        <f>'Parametros'!$B$6*0.083*SQRT('Parametros'!$B$2)*(H382*I382)^2/(2*(H382+I382))/1000000</f>
        <v>11.862178757599</v>
      </c>
      <c r="AU382" s="10" t="str">
        <f>IF(Q382&lt;=AT382,"DESPRECIABLE","DISEÑAR")</f>
        <v>DISEÑAR</v>
      </c>
      <c r="AV382" s="10">
        <f>IF(Q382&lt;=AT382,0,Q382*1000000/('Parametros'!$B$6*2*0.85*(H382-2*('Parametros'!$B$7+'Parametros'!$B$9/2))*(I382-2*('Parametros'!$B$7+'Parametros'!$B$9/2))*'Parametros'!$B$4))</f>
        <v>1.37945645666008</v>
      </c>
      <c r="AW382" s="10">
        <f>AV382*2*((H382-2*('Parametros'!$B$7+'Parametros'!$B$9/2))+(I382-2*('Parametros'!$B$7+'Parametros'!$B$9/2)))*'Parametros'!$B$4/'Parametros'!$B$3</f>
        <v>2385.35610485661</v>
      </c>
      <c r="AX382" s="31" t="n">
        <v>12</v>
      </c>
      <c r="AY382" s="10" t="str">
        <f>IF(AV382=0,"DESPRECIABLE",IF(AND(ISERROR(SEARCH("referencia",AN382)),BB382/AP382&gt;=AV382,BI382&gt;=AW382,BH382="CUMPLE"),"CUMPLE","NO CUMPLE"))</f>
        <v>NO CUMPLE</v>
      </c>
      <c r="AZ382" s="10" t="str">
        <f>IF(AND(X382="CUMPLE",AE382="CUMPLE",AS382="CUMPLE",OR(AY382="CUMPLE",AY382="DESPRECIABLE"),BH382="CUMPLE",BJ382="CUMPLE"),"CUMPLE","NO CUMPLE")</f>
        <v>NO CUMPLE</v>
      </c>
      <c r="BA382" s="32" t="n">
        <v>12.7</v>
      </c>
      <c r="BB382" s="32" t="n">
        <v>129</v>
      </c>
      <c r="BC382" s="10">
        <f>MAX(IF(AK382=0,0,AK382*1000/('Parametros'!$B$4*MIN(U382,AB382))),MAX(0.062*SQRT('Parametros'!$B$2)*H382/'Parametros'!$B$4,0.35*H382/'Parametros'!$B$4))</f>
        <v>2.7934637012103</v>
      </c>
      <c r="BD382" s="10">
        <f>2*AV382</f>
        <v>2.75891291332016</v>
      </c>
      <c r="BE382" s="10">
        <f>AO382*BB382/AP382</f>
        <v>5.73333333333333</v>
      </c>
      <c r="BF382" s="10">
        <f>SQRT((AI382*1000/(H382*MIN(U382,AB382)))^2+(Q382*1000000*2*((H382-2*('Parametros'!$B$7+'Parametros'!$B$9/2))+(I382-2*('Parametros'!$B$7+'Parametros'!$B$9/2)))/(1.7*((H382-2*('Parametros'!$B$7+'Parametros'!$B$9/2))*(I382-2*('Parametros'!$B$7+'Parametros'!$B$9/2)))^2))^2)</f>
        <v>4.71180465611904</v>
      </c>
      <c r="BG382" s="10">
        <f>'Parametros'!$B$6*(AJ382*1000/(H382*MIN(U382,AB382))+0.66*SQRT('Parametros'!$B$2))</f>
        <v>3.29396038227542</v>
      </c>
      <c r="BH382" s="10" t="str">
        <f>IF(BF382&lt;=BG382,"CUMPLE","NO CUMPLE")</f>
        <v>NO CUMPLE</v>
      </c>
      <c r="BI382" s="10">
        <f>AX382*'Parametros'!$B$8</f>
        <v>2388</v>
      </c>
      <c r="BJ382" s="10" t="str">
        <f>IF(BI382&gt;=AW382,"CUMPLE","NO CUMPLE")</f>
        <v>CUMPLE</v>
      </c>
    </row>
    <row r="383">
      <c r="A383" s="25" t="inlineStr">
        <is>
          <t>VR2</t>
        </is>
      </c>
      <c r="B383" s="25" t="inlineStr">
        <is>
          <t>177</t>
        </is>
      </c>
      <c r="C383" s="10" t="n">
        <v>1</v>
      </c>
      <c r="D383" s="10" t="n">
        <v>0.9</v>
      </c>
      <c r="E383" s="10" t="n">
        <v>0.9</v>
      </c>
      <c r="F383" s="10" t="n">
        <v>500</v>
      </c>
      <c r="G383" s="10" t="n">
        <v>550</v>
      </c>
      <c r="H383" s="17" t="n">
        <v>500</v>
      </c>
      <c r="I383" s="17" t="n">
        <v>550</v>
      </c>
      <c r="J383" s="30" t="n">
        <v>71.3142</v>
      </c>
      <c r="K383" s="10" t="inlineStr">
        <is>
          <t>177</t>
        </is>
      </c>
      <c r="L383" s="30" t="n">
        <v>0.2728</v>
      </c>
      <c r="M383" s="10" t="inlineStr">
        <is>
          <t>177</t>
        </is>
      </c>
      <c r="N383" s="30" t="n">
        <v>53.096</v>
      </c>
      <c r="O383" s="30" t="n">
        <v>99.233</v>
      </c>
      <c r="P383" s="10" t="inlineStr">
        <is>
          <t>177</t>
        </is>
      </c>
      <c r="Q383" s="30" t="n">
        <v>137.5832</v>
      </c>
      <c r="R383" s="10">
        <f>MAX(MAX(1.4/'Parametros'!$B$3,0.25*SQRT('Parametros'!$B$2)/'Parametros'!$B$3)*H383*U383,(0.85*'Parametros'!$B$2/'Parametros'!$B$3)*(1-SQRT(1-2*(J383*1000000/('Parametros'!$B$5*H383*U383^2))/(0.85*'Parametros'!$B$2)))*H383*U383)</f>
        <v>815.583333333333</v>
      </c>
      <c r="S383" s="31" t="n">
        <v>5</v>
      </c>
      <c r="T383" s="32" t="n">
        <v>1</v>
      </c>
      <c r="U383" s="10">
        <f>IF(T383=1,I383-('Parametros'!$B$7+'Parametros'!$B$9+'Parametros'!$B$12/2),I383-(ROUNDUP(S383/2,0)*('Parametros'!$B$7+'Parametros'!$B$9+'Parametros'!$B$12/2)+ROUNDDOWN(S383/2,0)*('Parametros'!$B$7+'Parametros'!$B$9+'Parametros'!$B$12/2+'Parametros'!$B$12+'Parametros'!$B$10))/S383)</f>
        <v>489.35</v>
      </c>
      <c r="V383" s="10">
        <f>S383*'Parametros'!$B$8</f>
        <v>995</v>
      </c>
      <c r="W383" s="10">
        <f>'Parametros'!$B$5*V383*'Parametros'!$B$3*(U383-(V383*'Parametros'!$B$3/(0.85*'Parametros'!$B$2*H383))/2)/1000000</f>
        <v>177.445379382353</v>
      </c>
      <c r="X383" s="10" t="str">
        <f>IF(W383&gt;=J383,"CUMPLE","NO CUMPLE")</f>
        <v>CUMPLE</v>
      </c>
      <c r="Y383" s="10">
        <f>MAX(MAX(1.4/'Parametros'!$B$3,0.25*SQRT('Parametros'!$B$2)/'Parametros'!$B$3)*H383*AB383,(0.85*'Parametros'!$B$2/'Parametros'!$B$3)*(1-SQRT(1-2*(L383*1000000/('Parametros'!$B$5*H383*AB383^2))/(0.85*'Parametros'!$B$2)))*H383*AB383)</f>
        <v>815.583333333333</v>
      </c>
      <c r="Z383" s="31" t="n">
        <v>5</v>
      </c>
      <c r="AA383" s="32" t="n">
        <v>1</v>
      </c>
      <c r="AB383" s="10">
        <f>IF(AA383=1,I383-('Parametros'!$B$7+'Parametros'!$B$9+'Parametros'!$B$12/2),I383-(ROUNDUP(Z383/2,0)*('Parametros'!$B$7+'Parametros'!$B$9+'Parametros'!$B$12/2)+ROUNDDOWN(Z383/2,0)*('Parametros'!$B$7+'Parametros'!$B$9+'Parametros'!$B$12/2+'Parametros'!$B$12+'Parametros'!$B$10))/Z383)</f>
        <v>489.35</v>
      </c>
      <c r="AC383" s="10">
        <f>Z383*'Parametros'!$B$8</f>
        <v>995</v>
      </c>
      <c r="AD383" s="10">
        <f>'Parametros'!$B$5*AC383*'Parametros'!$B$3*(AB383-(AC383*'Parametros'!$B$3/(0.85*'Parametros'!$B$2*H383))/2)/1000000</f>
        <v>177.445379382353</v>
      </c>
      <c r="AE383" s="10" t="str">
        <f>IF(AD383&gt;=L383,"CUMPLE","NO CUMPLE")</f>
        <v>CUMPLE</v>
      </c>
      <c r="AF383" s="10">
        <f>V383*1.25*'Parametros'!$B$3*(U383-(V383*1.25*'Parametros'!$B$3/(0.85*'Parametros'!$B$2*H383))/2)/1000000</f>
        <v>244.158843198529</v>
      </c>
      <c r="AG383" s="10">
        <f>AC383*1.25*'Parametros'!$B$3*(AB383-(AC383*1.25*'Parametros'!$B$3/(0.85*'Parametros'!$B$2*H383))/2)/1000000</f>
        <v>244.158843198529</v>
      </c>
      <c r="AH383" s="10">
        <f>N383+(AF383+AG383)/D383</f>
        <v>595.671207107843</v>
      </c>
      <c r="AI383" s="10">
        <f>MAX(O383,AH383)</f>
        <v>595.671207107843</v>
      </c>
      <c r="AJ383" s="10">
        <f>0.17*SQRT('Parametros'!$B$2)*H383*MIN(U383,AB383)/1000</f>
        <v>220.098728691808</v>
      </c>
      <c r="AK383" s="10">
        <f>MAX(AI383/'Parametros'!$B$6-AJ383,0)</f>
        <v>574.129547451983</v>
      </c>
      <c r="AL383" s="10">
        <f>0.66*SQRT('Parametros'!$B$2)*H383*MIN(U383,AB383)/1000</f>
        <v>854.500946685842</v>
      </c>
      <c r="AM383" s="10" t="str">
        <f>IF(AK383&lt;=AL383,"CUMPLE","NO CUMPLE")</f>
        <v>CUMPLE</v>
      </c>
      <c r="AN383" s="17" t="inlineStr">
        <is>
          <t>Nº4 cerrado</t>
        </is>
      </c>
      <c r="AO383" s="31" t="n">
        <v>4</v>
      </c>
      <c r="AP383" s="10">
        <f>ROUNDDOWN(MIN(IF(BC383+BD383=0,1000000000,AO383*BB383/(BC383+BD383)),MIN(U383,AB383)/4,8*'Parametros'!$B$12,24*BA383,300,IF(AV383=0,1000000000,2*((H383-2*('Parametros'!$B$7+'Parametros'!$B$9/2))+(I383-2*('Parametros'!$B$7+'Parametros'!$B$9/2)))/8))/10,0)*10</f>
        <v>90</v>
      </c>
      <c r="AQ383" s="10">
        <f>ROUNDDOWN(MIN(IF(BC383+BD383=0,1000000000,AO383*BB383/(BC383+BD383)),IF(AK383&gt;0.33*SQRT('Parametros'!$B$2)*H383*MIN(U383,AB383)/1000,MIN(U383,AB383)/4,MIN(U383,AB383)/2),600,IF(AV383=0,1000000000,2*((H383-2*('Parametros'!$B$7+'Parametros'!$B$9/2))+(I383-2*('Parametros'!$B$7+'Parametros'!$B$9/2)))/8))/10,0)*10</f>
        <v>90</v>
      </c>
      <c r="AR383" s="10">
        <f>'Parametros'!$B$6*(AJ383+MAX(BE383-BD383,0)*'Parametros'!$B$4*MIN(U383,AB383)/1000)</f>
        <v>623.584134810914</v>
      </c>
      <c r="AS383" s="10" t="str">
        <f>IF(AND(ISERROR(SEARCH("referencia",AN383)),AM383="CUMPLE",AR383&gt;=AI383),"CUMPLE","NO CUMPLE")</f>
        <v>CUMPLE</v>
      </c>
      <c r="AT383" s="10">
        <f>'Parametros'!$B$6*0.083*SQRT('Parametros'!$B$2)*(H383*I383)^2/(2*(H383+I383))/1000000</f>
        <v>11.862178757599</v>
      </c>
      <c r="AU383" s="10" t="str">
        <f>IF(Q383&lt;=AT383,"DESPRECIABLE","DISEÑAR")</f>
        <v>DISEÑAR</v>
      </c>
      <c r="AV383" s="10">
        <f>IF(Q383&lt;=AT383,0,Q383*1000000/('Parametros'!$B$6*2*0.85*(H383-2*('Parametros'!$B$7+'Parametros'!$B$9/2))*(I383-2*('Parametros'!$B$7+'Parametros'!$B$9/2))*'Parametros'!$B$4))</f>
        <v>1.37940031142037</v>
      </c>
      <c r="AW383" s="10">
        <f>AV383*2*((H383-2*('Parametros'!$B$7+'Parametros'!$B$9/2))+(I383-2*('Parametros'!$B$7+'Parametros'!$B$9/2)))*'Parametros'!$B$4/'Parametros'!$B$3</f>
        <v>2385.2590185081</v>
      </c>
      <c r="AX383" s="31" t="n">
        <v>12</v>
      </c>
      <c r="AY383" s="10" t="str">
        <f>IF(AV383=0,"DESPRECIABLE",IF(AND(ISERROR(SEARCH("referencia",AN383)),BB383/AP383&gt;=AV383,BI383&gt;=AW383,BH383="CUMPLE"),"CUMPLE","NO CUMPLE"))</f>
        <v>NO CUMPLE</v>
      </c>
      <c r="AZ383" s="10" t="str">
        <f>IF(AND(X383="CUMPLE",AE383="CUMPLE",AS383="CUMPLE",OR(AY383="CUMPLE",AY383="DESPRECIABLE"),BH383="CUMPLE",BJ383="CUMPLE"),"CUMPLE","NO CUMPLE")</f>
        <v>NO CUMPLE</v>
      </c>
      <c r="BA383" s="32" t="n">
        <v>12.7</v>
      </c>
      <c r="BB383" s="32" t="n">
        <v>129</v>
      </c>
      <c r="BC383" s="10">
        <f>MAX(IF(AK383=0,0,AK383*1000/('Parametros'!$B$4*MIN(U383,AB383))),MAX(0.062*SQRT('Parametros'!$B$2)*H383/'Parametros'!$B$4,0.35*H383/'Parametros'!$B$4))</f>
        <v>2.79345072643489</v>
      </c>
      <c r="BD383" s="10">
        <f>2*AV383</f>
        <v>2.75880062284074</v>
      </c>
      <c r="BE383" s="10">
        <f>AO383*BB383/AP383</f>
        <v>5.73333333333333</v>
      </c>
      <c r="BF383" s="10">
        <f>SQRT((AI383*1000/(H383*MIN(U383,AB383)))^2+(Q383*1000000*2*((H383-2*('Parametros'!$B$7+'Parametros'!$B$9/2))+(I383-2*('Parametros'!$B$7+'Parametros'!$B$9/2)))/(1.7*((H383-2*('Parametros'!$B$7+'Parametros'!$B$9/2))*(I383-2*('Parametros'!$B$7+'Parametros'!$B$9/2)))^2))^2)</f>
        <v>4.71165985635917</v>
      </c>
      <c r="BG383" s="10">
        <f>'Parametros'!$B$6*(AJ383*1000/(H383*MIN(U383,AB383))+0.66*SQRT('Parametros'!$B$2))</f>
        <v>3.29396038227542</v>
      </c>
      <c r="BH383" s="10" t="str">
        <f>IF(BF383&lt;=BG383,"CUMPLE","NO CUMPLE")</f>
        <v>NO CUMPLE</v>
      </c>
      <c r="BI383" s="10">
        <f>AX383*'Parametros'!$B$8</f>
        <v>2388</v>
      </c>
      <c r="BJ383" s="10" t="str">
        <f>IF(BI383&gt;=AW383,"CUMPLE","NO CUMPLE")</f>
        <v>CUMPLE</v>
      </c>
    </row>
    <row r="384">
      <c r="A384" s="25" t="inlineStr">
        <is>
          <t>VR2</t>
        </is>
      </c>
      <c r="B384" s="25" t="inlineStr">
        <is>
          <t>180</t>
        </is>
      </c>
      <c r="C384" s="10" t="n">
        <v>1</v>
      </c>
      <c r="D384" s="10" t="n">
        <v>0.9</v>
      </c>
      <c r="E384" s="10" t="n">
        <v>0.9</v>
      </c>
      <c r="F384" s="10" t="n">
        <v>500</v>
      </c>
      <c r="G384" s="10" t="n">
        <v>550</v>
      </c>
      <c r="H384" s="17" t="n">
        <v>500</v>
      </c>
      <c r="I384" s="17" t="n">
        <v>550</v>
      </c>
      <c r="J384" s="30" t="n">
        <v>68.5348</v>
      </c>
      <c r="K384" s="10" t="inlineStr">
        <is>
          <t>180</t>
        </is>
      </c>
      <c r="L384" s="30" t="n">
        <v>0</v>
      </c>
      <c r="M384" s="10" t="inlineStr">
        <is>
          <t>180</t>
        </is>
      </c>
      <c r="N384" s="30" t="n">
        <v>51.146</v>
      </c>
      <c r="O384" s="30" t="n">
        <v>86.985</v>
      </c>
      <c r="P384" s="10" t="inlineStr">
        <is>
          <t>180</t>
        </is>
      </c>
      <c r="Q384" s="30" t="n">
        <v>109.5487</v>
      </c>
      <c r="R384" s="10">
        <f>MAX(MAX(1.4/'Parametros'!$B$3,0.25*SQRT('Parametros'!$B$2)/'Parametros'!$B$3)*H384*U384,(0.85*'Parametros'!$B$2/'Parametros'!$B$3)*(1-SQRT(1-2*(J384*1000000/('Parametros'!$B$5*H384*U384^2))/(0.85*'Parametros'!$B$2)))*H384*U384)</f>
        <v>815.583333333333</v>
      </c>
      <c r="S384" s="31" t="n">
        <v>5</v>
      </c>
      <c r="T384" s="32" t="n">
        <v>1</v>
      </c>
      <c r="U384" s="10">
        <f>IF(T384=1,I384-('Parametros'!$B$7+'Parametros'!$B$9+'Parametros'!$B$12/2),I384-(ROUNDUP(S384/2,0)*('Parametros'!$B$7+'Parametros'!$B$9+'Parametros'!$B$12/2)+ROUNDDOWN(S384/2,0)*('Parametros'!$B$7+'Parametros'!$B$9+'Parametros'!$B$12/2+'Parametros'!$B$12+'Parametros'!$B$10))/S384)</f>
        <v>489.35</v>
      </c>
      <c r="V384" s="10">
        <f>S384*'Parametros'!$B$8</f>
        <v>995</v>
      </c>
      <c r="W384" s="10">
        <f>'Parametros'!$B$5*V384*'Parametros'!$B$3*(U384-(V384*'Parametros'!$B$3/(0.85*'Parametros'!$B$2*H384))/2)/1000000</f>
        <v>177.445379382353</v>
      </c>
      <c r="X384" s="10" t="str">
        <f>IF(W384&gt;=J384,"CUMPLE","NO CUMPLE")</f>
        <v>CUMPLE</v>
      </c>
      <c r="Y384" s="10">
        <f>MAX(MAX(1.4/'Parametros'!$B$3,0.25*SQRT('Parametros'!$B$2)/'Parametros'!$B$3)*H384*AB384,(0.85*'Parametros'!$B$2/'Parametros'!$B$3)*(1-SQRT(1-2*(L384*1000000/('Parametros'!$B$5*H384*AB384^2))/(0.85*'Parametros'!$B$2)))*H384*AB384)</f>
        <v>815.583333333333</v>
      </c>
      <c r="Z384" s="31" t="n">
        <v>5</v>
      </c>
      <c r="AA384" s="32" t="n">
        <v>1</v>
      </c>
      <c r="AB384" s="10">
        <f>IF(AA384=1,I384-('Parametros'!$B$7+'Parametros'!$B$9+'Parametros'!$B$12/2),I384-(ROUNDUP(Z384/2,0)*('Parametros'!$B$7+'Parametros'!$B$9+'Parametros'!$B$12/2)+ROUNDDOWN(Z384/2,0)*('Parametros'!$B$7+'Parametros'!$B$9+'Parametros'!$B$12/2+'Parametros'!$B$12+'Parametros'!$B$10))/Z384)</f>
        <v>489.35</v>
      </c>
      <c r="AC384" s="10">
        <f>Z384*'Parametros'!$B$8</f>
        <v>995</v>
      </c>
      <c r="AD384" s="10">
        <f>'Parametros'!$B$5*AC384*'Parametros'!$B$3*(AB384-(AC384*'Parametros'!$B$3/(0.85*'Parametros'!$B$2*H384))/2)/1000000</f>
        <v>177.445379382353</v>
      </c>
      <c r="AE384" s="10" t="str">
        <f>IF(AD384&gt;=L384,"CUMPLE","NO CUMPLE")</f>
        <v>CUMPLE</v>
      </c>
      <c r="AF384" s="10">
        <f>V384*1.25*'Parametros'!$B$3*(U384-(V384*1.25*'Parametros'!$B$3/(0.85*'Parametros'!$B$2*H384))/2)/1000000</f>
        <v>244.158843198529</v>
      </c>
      <c r="AG384" s="10">
        <f>AC384*1.25*'Parametros'!$B$3*(AB384-(AC384*1.25*'Parametros'!$B$3/(0.85*'Parametros'!$B$2*H384))/2)/1000000</f>
        <v>244.158843198529</v>
      </c>
      <c r="AH384" s="10">
        <f>N384+(AF384+AG384)/D384</f>
        <v>593.721207107843</v>
      </c>
      <c r="AI384" s="10">
        <f>MAX(O384,AH384)</f>
        <v>593.721207107843</v>
      </c>
      <c r="AJ384" s="10">
        <f>0.17*SQRT('Parametros'!$B$2)*H384*MIN(U384,AB384)/1000</f>
        <v>220.098728691808</v>
      </c>
      <c r="AK384" s="10">
        <f>MAX(AI384/'Parametros'!$B$6-AJ384,0)</f>
        <v>571.529547451983</v>
      </c>
      <c r="AL384" s="10">
        <f>0.66*SQRT('Parametros'!$B$2)*H384*MIN(U384,AB384)/1000</f>
        <v>854.500946685842</v>
      </c>
      <c r="AM384" s="10" t="str">
        <f>IF(AK384&lt;=AL384,"CUMPLE","NO CUMPLE")</f>
        <v>CUMPLE</v>
      </c>
      <c r="AN384" s="17" t="inlineStr">
        <is>
          <t>Nº4 cerrado</t>
        </is>
      </c>
      <c r="AO384" s="31" t="n">
        <v>4</v>
      </c>
      <c r="AP384" s="10">
        <f>ROUNDDOWN(MIN(IF(BC384+BD384=0,1000000000,AO384*BB384/(BC384+BD384)),MIN(U384,AB384)/4,8*'Parametros'!$B$12,24*BA384,300,IF(AV384=0,1000000000,2*((H384-2*('Parametros'!$B$7+'Parametros'!$B$9/2))+(I384-2*('Parametros'!$B$7+'Parametros'!$B$9/2)))/8))/10,0)*10</f>
        <v>100</v>
      </c>
      <c r="AQ384" s="10">
        <f>ROUNDDOWN(MIN(IF(BC384+BD384=0,1000000000,AO384*BB384/(BC384+BD384)),IF(AK384&gt;0.33*SQRT('Parametros'!$B$2)*H384*MIN(U384,AB384)/1000,MIN(U384,AB384)/4,MIN(U384,AB384)/2),600,IF(AV384=0,1000000000,2*((H384-2*('Parametros'!$B$7+'Parametros'!$B$9/2))+(I384-2*('Parametros'!$B$7+'Parametros'!$B$9/2)))/8))/10,0)*10</f>
        <v>100</v>
      </c>
      <c r="AR384" s="10">
        <f>'Parametros'!$B$6*(AJ384+MAX(BE384-BD384,0)*'Parametros'!$B$4*MIN(U384,AB384)/1000)</f>
        <v>621.859380998489</v>
      </c>
      <c r="AS384" s="10" t="str">
        <f>IF(AND(ISERROR(SEARCH("referencia",AN384)),AM384="CUMPLE",AR384&gt;=AI384),"CUMPLE","NO CUMPLE")</f>
        <v>CUMPLE</v>
      </c>
      <c r="AT384" s="10">
        <f>'Parametros'!$B$6*0.083*SQRT('Parametros'!$B$2)*(H384*I384)^2/(2*(H384+I384))/1000000</f>
        <v>11.862178757599</v>
      </c>
      <c r="AU384" s="10" t="str">
        <f>IF(Q384&lt;=AT384,"DESPRECIABLE","DISEÑAR")</f>
        <v>DISEÑAR</v>
      </c>
      <c r="AV384" s="10">
        <f>IF(Q384&lt;=AT384,0,Q384*1000000/('Parametros'!$B$6*2*0.85*(H384-2*('Parametros'!$B$7+'Parametros'!$B$9/2))*(I384-2*('Parametros'!$B$7+'Parametros'!$B$9/2))*'Parametros'!$B$4))</f>
        <v>1.09832821809419</v>
      </c>
      <c r="AW384" s="10">
        <f>AV384*2*((H384-2*('Parametros'!$B$7+'Parametros'!$B$9/2))+(I384-2*('Parametros'!$B$7+'Parametros'!$B$9/2)))*'Parametros'!$B$4/'Parametros'!$B$3</f>
        <v>1899.22915472847</v>
      </c>
      <c r="AX384" s="31" t="n">
        <v>12</v>
      </c>
      <c r="AY384" s="10" t="str">
        <f>IF(AV384=0,"DESPRECIABLE",IF(AND(ISERROR(SEARCH("referencia",AN384)),BB384/AP384&gt;=AV384,BI384&gt;=AW384,BH384="CUMPLE"),"CUMPLE","NO CUMPLE"))</f>
        <v>NO CUMPLE</v>
      </c>
      <c r="AZ384" s="10" t="str">
        <f>IF(AND(X384="CUMPLE",AE384="CUMPLE",AS384="CUMPLE",OR(AY384="CUMPLE",AY384="DESPRECIABLE"),BH384="CUMPLE",BJ384="CUMPLE"),"CUMPLE","NO CUMPLE")</f>
        <v>NO CUMPLE</v>
      </c>
      <c r="BA384" s="32" t="n">
        <v>12.7</v>
      </c>
      <c r="BB384" s="32" t="n">
        <v>129</v>
      </c>
      <c r="BC384" s="10">
        <f>MAX(IF(AK384=0,0,AK384*1000/('Parametros'!$B$4*MIN(U384,AB384))),MAX(0.062*SQRT('Parametros'!$B$2)*H384/'Parametros'!$B$4,0.35*H384/'Parametros'!$B$4))</f>
        <v>2.78080032040551</v>
      </c>
      <c r="BD384" s="10">
        <f>2*AV384</f>
        <v>2.19665643618838</v>
      </c>
      <c r="BE384" s="10">
        <f>AO384*BB384/AP384</f>
        <v>5.16</v>
      </c>
      <c r="BF384" s="10">
        <f>SQRT((AI384*1000/(H384*MIN(U384,AB384)))^2+(Q384*1000000*2*((H384-2*('Parametros'!$B$7+'Parametros'!$B$9/2))+(I384-2*('Parametros'!$B$7+'Parametros'!$B$9/2)))/(1.7*((H384-2*('Parametros'!$B$7+'Parametros'!$B$9/2))*(I384-2*('Parametros'!$B$7+'Parametros'!$B$9/2)))^2))^2)</f>
        <v>4.02554797728718</v>
      </c>
      <c r="BG384" s="10">
        <f>'Parametros'!$B$6*(AJ384*1000/(H384*MIN(U384,AB384))+0.66*SQRT('Parametros'!$B$2))</f>
        <v>3.29396038227542</v>
      </c>
      <c r="BH384" s="10" t="str">
        <f>IF(BF384&lt;=BG384,"CUMPLE","NO CUMPLE")</f>
        <v>NO CUMPLE</v>
      </c>
      <c r="BI384" s="10">
        <f>AX384*'Parametros'!$B$8</f>
        <v>2388</v>
      </c>
      <c r="BJ384" s="10" t="str">
        <f>IF(BI384&gt;=AW384,"CUMPLE","NO CUMPLE")</f>
        <v>CUMPLE</v>
      </c>
    </row>
    <row r="385">
      <c r="A385" s="25" t="inlineStr">
        <is>
          <t>VR2</t>
        </is>
      </c>
      <c r="B385" s="25" t="inlineStr">
        <is>
          <t>182</t>
        </is>
      </c>
      <c r="C385" s="10" t="n">
        <v>1</v>
      </c>
      <c r="D385" s="10" t="n">
        <v>0.9</v>
      </c>
      <c r="E385" s="10" t="n">
        <v>0.9</v>
      </c>
      <c r="F385" s="10" t="n">
        <v>500</v>
      </c>
      <c r="G385" s="10" t="n">
        <v>550</v>
      </c>
      <c r="H385" s="17" t="n">
        <v>500</v>
      </c>
      <c r="I385" s="17" t="n">
        <v>550</v>
      </c>
      <c r="J385" s="30" t="n">
        <v>68.5304</v>
      </c>
      <c r="K385" s="10" t="inlineStr">
        <is>
          <t>182</t>
        </is>
      </c>
      <c r="L385" s="30" t="n">
        <v>0</v>
      </c>
      <c r="M385" s="10" t="inlineStr">
        <is>
          <t>182</t>
        </is>
      </c>
      <c r="N385" s="30" t="n">
        <v>51.143</v>
      </c>
      <c r="O385" s="30" t="n">
        <v>86.982</v>
      </c>
      <c r="P385" s="10" t="inlineStr">
        <is>
          <t>182</t>
        </is>
      </c>
      <c r="Q385" s="30" t="n">
        <v>109.5425</v>
      </c>
      <c r="R385" s="10">
        <f>MAX(MAX(1.4/'Parametros'!$B$3,0.25*SQRT('Parametros'!$B$2)/'Parametros'!$B$3)*H385*U385,(0.85*'Parametros'!$B$2/'Parametros'!$B$3)*(1-SQRT(1-2*(J385*1000000/('Parametros'!$B$5*H385*U385^2))/(0.85*'Parametros'!$B$2)))*H385*U385)</f>
        <v>815.583333333333</v>
      </c>
      <c r="S385" s="31" t="n">
        <v>5</v>
      </c>
      <c r="T385" s="32" t="n">
        <v>1</v>
      </c>
      <c r="U385" s="10">
        <f>IF(T385=1,I385-('Parametros'!$B$7+'Parametros'!$B$9+'Parametros'!$B$12/2),I385-(ROUNDUP(S385/2,0)*('Parametros'!$B$7+'Parametros'!$B$9+'Parametros'!$B$12/2)+ROUNDDOWN(S385/2,0)*('Parametros'!$B$7+'Parametros'!$B$9+'Parametros'!$B$12/2+'Parametros'!$B$12+'Parametros'!$B$10))/S385)</f>
        <v>489.35</v>
      </c>
      <c r="V385" s="10">
        <f>S385*'Parametros'!$B$8</f>
        <v>995</v>
      </c>
      <c r="W385" s="10">
        <f>'Parametros'!$B$5*V385*'Parametros'!$B$3*(U385-(V385*'Parametros'!$B$3/(0.85*'Parametros'!$B$2*H385))/2)/1000000</f>
        <v>177.445379382353</v>
      </c>
      <c r="X385" s="10" t="str">
        <f>IF(W385&gt;=J385,"CUMPLE","NO CUMPLE")</f>
        <v>CUMPLE</v>
      </c>
      <c r="Y385" s="10">
        <f>MAX(MAX(1.4/'Parametros'!$B$3,0.25*SQRT('Parametros'!$B$2)/'Parametros'!$B$3)*H385*AB385,(0.85*'Parametros'!$B$2/'Parametros'!$B$3)*(1-SQRT(1-2*(L385*1000000/('Parametros'!$B$5*H385*AB385^2))/(0.85*'Parametros'!$B$2)))*H385*AB385)</f>
        <v>815.583333333333</v>
      </c>
      <c r="Z385" s="31" t="n">
        <v>5</v>
      </c>
      <c r="AA385" s="32" t="n">
        <v>1</v>
      </c>
      <c r="AB385" s="10">
        <f>IF(AA385=1,I385-('Parametros'!$B$7+'Parametros'!$B$9+'Parametros'!$B$12/2),I385-(ROUNDUP(Z385/2,0)*('Parametros'!$B$7+'Parametros'!$B$9+'Parametros'!$B$12/2)+ROUNDDOWN(Z385/2,0)*('Parametros'!$B$7+'Parametros'!$B$9+'Parametros'!$B$12/2+'Parametros'!$B$12+'Parametros'!$B$10))/Z385)</f>
        <v>489.35</v>
      </c>
      <c r="AC385" s="10">
        <f>Z385*'Parametros'!$B$8</f>
        <v>995</v>
      </c>
      <c r="AD385" s="10">
        <f>'Parametros'!$B$5*AC385*'Parametros'!$B$3*(AB385-(AC385*'Parametros'!$B$3/(0.85*'Parametros'!$B$2*H385))/2)/1000000</f>
        <v>177.445379382353</v>
      </c>
      <c r="AE385" s="10" t="str">
        <f>IF(AD385&gt;=L385,"CUMPLE","NO CUMPLE")</f>
        <v>CUMPLE</v>
      </c>
      <c r="AF385" s="10">
        <f>V385*1.25*'Parametros'!$B$3*(U385-(V385*1.25*'Parametros'!$B$3/(0.85*'Parametros'!$B$2*H385))/2)/1000000</f>
        <v>244.158843198529</v>
      </c>
      <c r="AG385" s="10">
        <f>AC385*1.25*'Parametros'!$B$3*(AB385-(AC385*1.25*'Parametros'!$B$3/(0.85*'Parametros'!$B$2*H385))/2)/1000000</f>
        <v>244.158843198529</v>
      </c>
      <c r="AH385" s="10">
        <f>N385+(AF385+AG385)/D385</f>
        <v>593.718207107843</v>
      </c>
      <c r="AI385" s="10">
        <f>MAX(O385,AH385)</f>
        <v>593.718207107843</v>
      </c>
      <c r="AJ385" s="10">
        <f>0.17*SQRT('Parametros'!$B$2)*H385*MIN(U385,AB385)/1000</f>
        <v>220.098728691808</v>
      </c>
      <c r="AK385" s="10">
        <f>MAX(AI385/'Parametros'!$B$6-AJ385,0)</f>
        <v>571.525547451983</v>
      </c>
      <c r="AL385" s="10">
        <f>0.66*SQRT('Parametros'!$B$2)*H385*MIN(U385,AB385)/1000</f>
        <v>854.500946685842</v>
      </c>
      <c r="AM385" s="10" t="str">
        <f>IF(AK385&lt;=AL385,"CUMPLE","NO CUMPLE")</f>
        <v>CUMPLE</v>
      </c>
      <c r="AN385" s="17" t="inlineStr">
        <is>
          <t>Nº4 cerrado</t>
        </is>
      </c>
      <c r="AO385" s="31" t="n">
        <v>4</v>
      </c>
      <c r="AP385" s="10">
        <f>ROUNDDOWN(MIN(IF(BC385+BD385=0,1000000000,AO385*BB385/(BC385+BD385)),MIN(U385,AB385)/4,8*'Parametros'!$B$12,24*BA385,300,IF(AV385=0,1000000000,2*((H385-2*('Parametros'!$B$7+'Parametros'!$B$9/2))+(I385-2*('Parametros'!$B$7+'Parametros'!$B$9/2)))/8))/10,0)*10</f>
        <v>100</v>
      </c>
      <c r="AQ385" s="10">
        <f>ROUNDDOWN(MIN(IF(BC385+BD385=0,1000000000,AO385*BB385/(BC385+BD385)),IF(AK385&gt;0.33*SQRT('Parametros'!$B$2)*H385*MIN(U385,AB385)/1000,MIN(U385,AB385)/4,MIN(U385,AB385)/2),600,IF(AV385=0,1000000000,2*((H385-2*('Parametros'!$B$7+'Parametros'!$B$9/2))+(I385-2*('Parametros'!$B$7+'Parametros'!$B$9/2)))/8))/10,0)*10</f>
        <v>100</v>
      </c>
      <c r="AR385" s="10">
        <f>'Parametros'!$B$6*(AJ385+MAX(BE385-BD385,0)*'Parametros'!$B$4*MIN(U385,AB385)/1000)</f>
        <v>621.878544582942</v>
      </c>
      <c r="AS385" s="10" t="str">
        <f>IF(AND(ISERROR(SEARCH("referencia",AN385)),AM385="CUMPLE",AR385&gt;=AI385),"CUMPLE","NO CUMPLE")</f>
        <v>CUMPLE</v>
      </c>
      <c r="AT385" s="10">
        <f>'Parametros'!$B$6*0.083*SQRT('Parametros'!$B$2)*(H385*I385)^2/(2*(H385+I385))/1000000</f>
        <v>11.862178757599</v>
      </c>
      <c r="AU385" s="10" t="str">
        <f>IF(Q385&lt;=AT385,"DESPRECIABLE","DISEÑAR")</f>
        <v>DISEÑAR</v>
      </c>
      <c r="AV385" s="10">
        <f>IF(Q385&lt;=AT385,0,Q385*1000000/('Parametros'!$B$6*2*0.85*(H385-2*('Parametros'!$B$7+'Parametros'!$B$9/2))*(I385-2*('Parametros'!$B$7+'Parametros'!$B$9/2))*'Parametros'!$B$4))</f>
        <v>1.09826605729308</v>
      </c>
      <c r="AW385" s="10">
        <f>AV385*2*((H385-2*('Parametros'!$B$7+'Parametros'!$B$9/2))+(I385-2*('Parametros'!$B$7+'Parametros'!$B$9/2)))*'Parametros'!$B$4/'Parametros'!$B$3</f>
        <v>1899.1216662712</v>
      </c>
      <c r="AX385" s="31" t="n">
        <v>12</v>
      </c>
      <c r="AY385" s="10" t="str">
        <f>IF(AV385=0,"DESPRECIABLE",IF(AND(ISERROR(SEARCH("referencia",AN385)),BB385/AP385&gt;=AV385,BI385&gt;=AW385,BH385="CUMPLE"),"CUMPLE","NO CUMPLE"))</f>
        <v>NO CUMPLE</v>
      </c>
      <c r="AZ385" s="10" t="str">
        <f>IF(AND(X385="CUMPLE",AE385="CUMPLE",AS385="CUMPLE",OR(AY385="CUMPLE",AY385="DESPRECIABLE"),BH385="CUMPLE",BJ385="CUMPLE"),"CUMPLE","NO CUMPLE")</f>
        <v>NO CUMPLE</v>
      </c>
      <c r="BA385" s="32" t="n">
        <v>12.7</v>
      </c>
      <c r="BB385" s="32" t="n">
        <v>129</v>
      </c>
      <c r="BC385" s="10">
        <f>MAX(IF(AK385=0,0,AK385*1000/('Parametros'!$B$4*MIN(U385,AB385))),MAX(0.062*SQRT('Parametros'!$B$2)*H385/'Parametros'!$B$4,0.35*H385/'Parametros'!$B$4))</f>
        <v>2.78078085824239</v>
      </c>
      <c r="BD385" s="10">
        <f>2*AV385</f>
        <v>2.19653211458617</v>
      </c>
      <c r="BE385" s="10">
        <f>AO385*BB385/AP385</f>
        <v>5.16</v>
      </c>
      <c r="BF385" s="10">
        <f>SQRT((AI385*1000/(H385*MIN(U385,AB385)))^2+(Q385*1000000*2*((H385-2*('Parametros'!$B$7+'Parametros'!$B$9/2))+(I385-2*('Parametros'!$B$7+'Parametros'!$B$9/2)))/(1.7*((H385-2*('Parametros'!$B$7+'Parametros'!$B$9/2))*(I385-2*('Parametros'!$B$7+'Parametros'!$B$9/2)))^2))^2)</f>
        <v>4.0253955421466</v>
      </c>
      <c r="BG385" s="10">
        <f>'Parametros'!$B$6*(AJ385*1000/(H385*MIN(U385,AB385))+0.66*SQRT('Parametros'!$B$2))</f>
        <v>3.29396038227542</v>
      </c>
      <c r="BH385" s="10" t="str">
        <f>IF(BF385&lt;=BG385,"CUMPLE","NO CUMPLE")</f>
        <v>NO CUMPLE</v>
      </c>
      <c r="BI385" s="10">
        <f>AX385*'Parametros'!$B$8</f>
        <v>2388</v>
      </c>
      <c r="BJ385" s="10" t="str">
        <f>IF(BI385&gt;=AW385,"CUMPLE","NO CUMPLE")</f>
        <v>CUMPLE</v>
      </c>
    </row>
    <row r="386">
      <c r="A386" s="25" t="inlineStr">
        <is>
          <t>VR2</t>
        </is>
      </c>
      <c r="B386" s="25" t="inlineStr">
        <is>
          <t>185</t>
        </is>
      </c>
      <c r="C386" s="10" t="n">
        <v>1</v>
      </c>
      <c r="D386" s="10" t="n">
        <v>0.9</v>
      </c>
      <c r="E386" s="10" t="n">
        <v>0.9</v>
      </c>
      <c r="F386" s="10" t="n">
        <v>500</v>
      </c>
      <c r="G386" s="10" t="n">
        <v>550</v>
      </c>
      <c r="H386" s="17" t="n">
        <v>500</v>
      </c>
      <c r="I386" s="17" t="n">
        <v>550</v>
      </c>
      <c r="J386" s="30" t="n">
        <v>76.4823</v>
      </c>
      <c r="K386" s="10" t="inlineStr">
        <is>
          <t>185</t>
        </is>
      </c>
      <c r="L386" s="30" t="n">
        <v>0</v>
      </c>
      <c r="M386" s="10" t="inlineStr">
        <is>
          <t>185</t>
        </is>
      </c>
      <c r="N386" s="30" t="n">
        <v>55.844</v>
      </c>
      <c r="O386" s="30" t="n">
        <v>78.752</v>
      </c>
      <c r="P386" s="10" t="inlineStr">
        <is>
          <t>185</t>
        </is>
      </c>
      <c r="Q386" s="30" t="n">
        <v>75.0681</v>
      </c>
      <c r="R386" s="10">
        <f>MAX(MAX(1.4/'Parametros'!$B$3,0.25*SQRT('Parametros'!$B$2)/'Parametros'!$B$3)*H386*U386,(0.85*'Parametros'!$B$2/'Parametros'!$B$3)*(1-SQRT(1-2*(J386*1000000/('Parametros'!$B$5*H386*U386^2))/(0.85*'Parametros'!$B$2)))*H386*U386)</f>
        <v>815.583333333333</v>
      </c>
      <c r="S386" s="31" t="n">
        <v>5</v>
      </c>
      <c r="T386" s="32" t="n">
        <v>1</v>
      </c>
      <c r="U386" s="10">
        <f>IF(T386=1,I386-('Parametros'!$B$7+'Parametros'!$B$9+'Parametros'!$B$12/2),I386-(ROUNDUP(S386/2,0)*('Parametros'!$B$7+'Parametros'!$B$9+'Parametros'!$B$12/2)+ROUNDDOWN(S386/2,0)*('Parametros'!$B$7+'Parametros'!$B$9+'Parametros'!$B$12/2+'Parametros'!$B$12+'Parametros'!$B$10))/S386)</f>
        <v>489.35</v>
      </c>
      <c r="V386" s="10">
        <f>S386*'Parametros'!$B$8</f>
        <v>995</v>
      </c>
      <c r="W386" s="10">
        <f>'Parametros'!$B$5*V386*'Parametros'!$B$3*(U386-(V386*'Parametros'!$B$3/(0.85*'Parametros'!$B$2*H386))/2)/1000000</f>
        <v>177.445379382353</v>
      </c>
      <c r="X386" s="10" t="str">
        <f>IF(W386&gt;=J386,"CUMPLE","NO CUMPLE")</f>
        <v>CUMPLE</v>
      </c>
      <c r="Y386" s="10">
        <f>MAX(MAX(1.4/'Parametros'!$B$3,0.25*SQRT('Parametros'!$B$2)/'Parametros'!$B$3)*H386*AB386,(0.85*'Parametros'!$B$2/'Parametros'!$B$3)*(1-SQRT(1-2*(L386*1000000/('Parametros'!$B$5*H386*AB386^2))/(0.85*'Parametros'!$B$2)))*H386*AB386)</f>
        <v>815.583333333333</v>
      </c>
      <c r="Z386" s="31" t="n">
        <v>5</v>
      </c>
      <c r="AA386" s="32" t="n">
        <v>1</v>
      </c>
      <c r="AB386" s="10">
        <f>IF(AA386=1,I386-('Parametros'!$B$7+'Parametros'!$B$9+'Parametros'!$B$12/2),I386-(ROUNDUP(Z386/2,0)*('Parametros'!$B$7+'Parametros'!$B$9+'Parametros'!$B$12/2)+ROUNDDOWN(Z386/2,0)*('Parametros'!$B$7+'Parametros'!$B$9+'Parametros'!$B$12/2+'Parametros'!$B$12+'Parametros'!$B$10))/Z386)</f>
        <v>489.35</v>
      </c>
      <c r="AC386" s="10">
        <f>Z386*'Parametros'!$B$8</f>
        <v>995</v>
      </c>
      <c r="AD386" s="10">
        <f>'Parametros'!$B$5*AC386*'Parametros'!$B$3*(AB386-(AC386*'Parametros'!$B$3/(0.85*'Parametros'!$B$2*H386))/2)/1000000</f>
        <v>177.445379382353</v>
      </c>
      <c r="AE386" s="10" t="str">
        <f>IF(AD386&gt;=L386,"CUMPLE","NO CUMPLE")</f>
        <v>CUMPLE</v>
      </c>
      <c r="AF386" s="10">
        <f>V386*1.25*'Parametros'!$B$3*(U386-(V386*1.25*'Parametros'!$B$3/(0.85*'Parametros'!$B$2*H386))/2)/1000000</f>
        <v>244.158843198529</v>
      </c>
      <c r="AG386" s="10">
        <f>AC386*1.25*'Parametros'!$B$3*(AB386-(AC386*1.25*'Parametros'!$B$3/(0.85*'Parametros'!$B$2*H386))/2)/1000000</f>
        <v>244.158843198529</v>
      </c>
      <c r="AH386" s="10">
        <f>N386+(AF386+AG386)/D386</f>
        <v>598.419207107843</v>
      </c>
      <c r="AI386" s="10">
        <f>MAX(O386,AH386)</f>
        <v>598.419207107843</v>
      </c>
      <c r="AJ386" s="10">
        <f>0.17*SQRT('Parametros'!$B$2)*H386*MIN(U386,AB386)/1000</f>
        <v>220.098728691808</v>
      </c>
      <c r="AK386" s="10">
        <f>MAX(AI386/'Parametros'!$B$6-AJ386,0)</f>
        <v>577.793547451983</v>
      </c>
      <c r="AL386" s="10">
        <f>0.66*SQRT('Parametros'!$B$2)*H386*MIN(U386,AB386)/1000</f>
        <v>854.500946685842</v>
      </c>
      <c r="AM386" s="10" t="str">
        <f>IF(AK386&lt;=AL386,"CUMPLE","NO CUMPLE")</f>
        <v>CUMPLE</v>
      </c>
      <c r="AN386" s="17" t="inlineStr">
        <is>
          <t>Nº4 cerrado</t>
        </is>
      </c>
      <c r="AO386" s="31" t="n">
        <v>4</v>
      </c>
      <c r="AP386" s="10">
        <f>ROUNDDOWN(MIN(IF(BC386+BD386=0,1000000000,AO386*BB386/(BC386+BD386)),MIN(U386,AB386)/4,8*'Parametros'!$B$12,24*BA386,300,IF(AV386=0,1000000000,2*((H386-2*('Parametros'!$B$7+'Parametros'!$B$9/2))+(I386-2*('Parametros'!$B$7+'Parametros'!$B$9/2)))/8))/10,0)*10</f>
        <v>110</v>
      </c>
      <c r="AQ386" s="10">
        <f>ROUNDDOWN(MIN(IF(BC386+BD386=0,1000000000,AO386*BB386/(BC386+BD386)),IF(AK386&gt;0.33*SQRT('Parametros'!$B$2)*H386*MIN(U386,AB386)/1000,MIN(U386,AB386)/4,MIN(U386,AB386)/2),600,IF(AV386=0,1000000000,2*((H386-2*('Parametros'!$B$7+'Parametros'!$B$9/2))+(I386-2*('Parametros'!$B$7+'Parametros'!$B$9/2)))/8))/10,0)*10</f>
        <v>110</v>
      </c>
      <c r="AR386" s="10">
        <f>'Parametros'!$B$6*(AJ386+MAX(BE386-BD386,0)*'Parametros'!$B$4*MIN(U386,AB386)/1000)</f>
        <v>656.127356851842</v>
      </c>
      <c r="AS386" s="10" t="str">
        <f>IF(AND(ISERROR(SEARCH("referencia",AN386)),AM386="CUMPLE",AR386&gt;=AI386),"CUMPLE","NO CUMPLE")</f>
        <v>CUMPLE</v>
      </c>
      <c r="AT386" s="10">
        <f>'Parametros'!$B$6*0.083*SQRT('Parametros'!$B$2)*(H386*I386)^2/(2*(H386+I386))/1000000</f>
        <v>11.862178757599</v>
      </c>
      <c r="AU386" s="10" t="str">
        <f>IF(Q386&lt;=AT386,"DESPRECIABLE","DISEÑAR")</f>
        <v>DISEÑAR</v>
      </c>
      <c r="AV386" s="10">
        <f>IF(Q386&lt;=AT386,0,Q386*1000000/('Parametros'!$B$6*2*0.85*(H386-2*('Parametros'!$B$7+'Parametros'!$B$9/2))*(I386-2*('Parametros'!$B$7+'Parametros'!$B$9/2))*'Parametros'!$B$4))</f>
        <v>0.752627940894931</v>
      </c>
      <c r="AW386" s="10">
        <f>AV386*2*((H386-2*('Parametros'!$B$7+'Parametros'!$B$9/2))+(I386-2*('Parametros'!$B$7+'Parametros'!$B$9/2)))*'Parametros'!$B$4/'Parametros'!$B$3</f>
        <v>1301.44423539551</v>
      </c>
      <c r="AX386" s="31" t="n">
        <v>8</v>
      </c>
      <c r="AY386" s="10" t="str">
        <f>IF(AV386=0,"DESPRECIABLE",IF(AND(ISERROR(SEARCH("referencia",AN386)),BB386/AP386&gt;=AV386,BI386&gt;=AW386,BH386="CUMPLE"),"CUMPLE","NO CUMPLE"))</f>
        <v>CUMPLE</v>
      </c>
      <c r="AZ386" s="10" t="str">
        <f>IF(AND(X386="CUMPLE",AE386="CUMPLE",AS386="CUMPLE",OR(AY386="CUMPLE",AY386="DESPRECIABLE"),BH386="CUMPLE",BJ386="CUMPLE"),"CUMPLE","NO CUMPLE")</f>
        <v>CUMPLE</v>
      </c>
      <c r="BA386" s="32" t="n">
        <v>12.7</v>
      </c>
      <c r="BB386" s="32" t="n">
        <v>129</v>
      </c>
      <c r="BC386" s="10">
        <f>MAX(IF(AK386=0,0,AK386*1000/('Parametros'!$B$4*MIN(U386,AB386))),MAX(0.062*SQRT('Parametros'!$B$2)*H386/'Parametros'!$B$4,0.35*H386/'Parametros'!$B$4))</f>
        <v>2.81127806785475</v>
      </c>
      <c r="BD386" s="10">
        <f>2*AV386</f>
        <v>1.50525588178986</v>
      </c>
      <c r="BE386" s="10">
        <f>AO386*BB386/AP386</f>
        <v>4.69090909090909</v>
      </c>
      <c r="BF386" s="10">
        <f>SQRT((AI386*1000/(H386*MIN(U386,AB386)))^2+(Q386*1000000*2*((H386-2*('Parametros'!$B$7+'Parametros'!$B$9/2))+(I386-2*('Parametros'!$B$7+'Parametros'!$B$9/2)))/(1.7*((H386-2*('Parametros'!$B$7+'Parametros'!$B$9/2))*(I386-2*('Parametros'!$B$7+'Parametros'!$B$9/2)))^2))^2)</f>
        <v>3.29032078753861</v>
      </c>
      <c r="BG386" s="10">
        <f>'Parametros'!$B$6*(AJ386*1000/(H386*MIN(U386,AB386))+0.66*SQRT('Parametros'!$B$2))</f>
        <v>3.29396038227542</v>
      </c>
      <c r="BH386" s="10" t="str">
        <f>IF(BF386&lt;=BG386,"CUMPLE","NO CUMPLE")</f>
        <v>CUMPLE</v>
      </c>
      <c r="BI386" s="10">
        <f>AX386*'Parametros'!$B$8</f>
        <v>1592</v>
      </c>
      <c r="BJ386" s="10" t="str">
        <f>IF(BI386&gt;=AW386,"CUMPLE","NO CUMPLE")</f>
        <v>CUMPLE</v>
      </c>
    </row>
    <row r="387">
      <c r="A387" s="25" t="inlineStr">
        <is>
          <t>VR2</t>
        </is>
      </c>
      <c r="B387" s="25" t="inlineStr">
        <is>
          <t>187</t>
        </is>
      </c>
      <c r="C387" s="10" t="n">
        <v>1</v>
      </c>
      <c r="D387" s="10" t="n">
        <v>0.9</v>
      </c>
      <c r="E387" s="10" t="n">
        <v>0.9</v>
      </c>
      <c r="F387" s="10" t="n">
        <v>500</v>
      </c>
      <c r="G387" s="10" t="n">
        <v>550</v>
      </c>
      <c r="H387" s="17" t="n">
        <v>500</v>
      </c>
      <c r="I387" s="17" t="n">
        <v>550</v>
      </c>
      <c r="J387" s="30" t="n">
        <v>76.4774</v>
      </c>
      <c r="K387" s="10" t="inlineStr">
        <is>
          <t>187</t>
        </is>
      </c>
      <c r="L387" s="30" t="n">
        <v>0</v>
      </c>
      <c r="M387" s="10" t="inlineStr">
        <is>
          <t>187</t>
        </is>
      </c>
      <c r="N387" s="30" t="n">
        <v>55.841</v>
      </c>
      <c r="O387" s="30" t="n">
        <v>78.749</v>
      </c>
      <c r="P387" s="10" t="inlineStr">
        <is>
          <t>187</t>
        </is>
      </c>
      <c r="Q387" s="30" t="n">
        <v>75.06140000000001</v>
      </c>
      <c r="R387" s="10">
        <f>MAX(MAX(1.4/'Parametros'!$B$3,0.25*SQRT('Parametros'!$B$2)/'Parametros'!$B$3)*H387*U387,(0.85*'Parametros'!$B$2/'Parametros'!$B$3)*(1-SQRT(1-2*(J387*1000000/('Parametros'!$B$5*H387*U387^2))/(0.85*'Parametros'!$B$2)))*H387*U387)</f>
        <v>815.583333333333</v>
      </c>
      <c r="S387" s="31" t="n">
        <v>5</v>
      </c>
      <c r="T387" s="32" t="n">
        <v>1</v>
      </c>
      <c r="U387" s="10">
        <f>IF(T387=1,I387-('Parametros'!$B$7+'Parametros'!$B$9+'Parametros'!$B$12/2),I387-(ROUNDUP(S387/2,0)*('Parametros'!$B$7+'Parametros'!$B$9+'Parametros'!$B$12/2)+ROUNDDOWN(S387/2,0)*('Parametros'!$B$7+'Parametros'!$B$9+'Parametros'!$B$12/2+'Parametros'!$B$12+'Parametros'!$B$10))/S387)</f>
        <v>489.35</v>
      </c>
      <c r="V387" s="10">
        <f>S387*'Parametros'!$B$8</f>
        <v>995</v>
      </c>
      <c r="W387" s="10">
        <f>'Parametros'!$B$5*V387*'Parametros'!$B$3*(U387-(V387*'Parametros'!$B$3/(0.85*'Parametros'!$B$2*H387))/2)/1000000</f>
        <v>177.445379382353</v>
      </c>
      <c r="X387" s="10" t="str">
        <f>IF(W387&gt;=J387,"CUMPLE","NO CUMPLE")</f>
        <v>CUMPLE</v>
      </c>
      <c r="Y387" s="10">
        <f>MAX(MAX(1.4/'Parametros'!$B$3,0.25*SQRT('Parametros'!$B$2)/'Parametros'!$B$3)*H387*AB387,(0.85*'Parametros'!$B$2/'Parametros'!$B$3)*(1-SQRT(1-2*(L387*1000000/('Parametros'!$B$5*H387*AB387^2))/(0.85*'Parametros'!$B$2)))*H387*AB387)</f>
        <v>815.583333333333</v>
      </c>
      <c r="Z387" s="31" t="n">
        <v>5</v>
      </c>
      <c r="AA387" s="32" t="n">
        <v>1</v>
      </c>
      <c r="AB387" s="10">
        <f>IF(AA387=1,I387-('Parametros'!$B$7+'Parametros'!$B$9+'Parametros'!$B$12/2),I387-(ROUNDUP(Z387/2,0)*('Parametros'!$B$7+'Parametros'!$B$9+'Parametros'!$B$12/2)+ROUNDDOWN(Z387/2,0)*('Parametros'!$B$7+'Parametros'!$B$9+'Parametros'!$B$12/2+'Parametros'!$B$12+'Parametros'!$B$10))/Z387)</f>
        <v>489.35</v>
      </c>
      <c r="AC387" s="10">
        <f>Z387*'Parametros'!$B$8</f>
        <v>995</v>
      </c>
      <c r="AD387" s="10">
        <f>'Parametros'!$B$5*AC387*'Parametros'!$B$3*(AB387-(AC387*'Parametros'!$B$3/(0.85*'Parametros'!$B$2*H387))/2)/1000000</f>
        <v>177.445379382353</v>
      </c>
      <c r="AE387" s="10" t="str">
        <f>IF(AD387&gt;=L387,"CUMPLE","NO CUMPLE")</f>
        <v>CUMPLE</v>
      </c>
      <c r="AF387" s="10">
        <f>V387*1.25*'Parametros'!$B$3*(U387-(V387*1.25*'Parametros'!$B$3/(0.85*'Parametros'!$B$2*H387))/2)/1000000</f>
        <v>244.158843198529</v>
      </c>
      <c r="AG387" s="10">
        <f>AC387*1.25*'Parametros'!$B$3*(AB387-(AC387*1.25*'Parametros'!$B$3/(0.85*'Parametros'!$B$2*H387))/2)/1000000</f>
        <v>244.158843198529</v>
      </c>
      <c r="AH387" s="10">
        <f>N387+(AF387+AG387)/D387</f>
        <v>598.416207107843</v>
      </c>
      <c r="AI387" s="10">
        <f>MAX(O387,AH387)</f>
        <v>598.416207107843</v>
      </c>
      <c r="AJ387" s="10">
        <f>0.17*SQRT('Parametros'!$B$2)*H387*MIN(U387,AB387)/1000</f>
        <v>220.098728691808</v>
      </c>
      <c r="AK387" s="10">
        <f>MAX(AI387/'Parametros'!$B$6-AJ387,0)</f>
        <v>577.789547451983</v>
      </c>
      <c r="AL387" s="10">
        <f>0.66*SQRT('Parametros'!$B$2)*H387*MIN(U387,AB387)/1000</f>
        <v>854.500946685842</v>
      </c>
      <c r="AM387" s="10" t="str">
        <f>IF(AK387&lt;=AL387,"CUMPLE","NO CUMPLE")</f>
        <v>CUMPLE</v>
      </c>
      <c r="AN387" s="17" t="inlineStr">
        <is>
          <t>Nº4 cerrado</t>
        </is>
      </c>
      <c r="AO387" s="31" t="n">
        <v>4</v>
      </c>
      <c r="AP387" s="10">
        <f>ROUNDDOWN(MIN(IF(BC387+BD387=0,1000000000,AO387*BB387/(BC387+BD387)),MIN(U387,AB387)/4,8*'Parametros'!$B$12,24*BA387,300,IF(AV387=0,1000000000,2*((H387-2*('Parametros'!$B$7+'Parametros'!$B$9/2))+(I387-2*('Parametros'!$B$7+'Parametros'!$B$9/2)))/8))/10,0)*10</f>
        <v>110</v>
      </c>
      <c r="AQ387" s="10">
        <f>ROUNDDOWN(MIN(IF(BC387+BD387=0,1000000000,AO387*BB387/(BC387+BD387)),IF(AK387&gt;0.33*SQRT('Parametros'!$B$2)*H387*MIN(U387,AB387)/1000,MIN(U387,AB387)/4,MIN(U387,AB387)/2),600,IF(AV387=0,1000000000,2*((H387-2*('Parametros'!$B$7+'Parametros'!$B$9/2))+(I387-2*('Parametros'!$B$7+'Parametros'!$B$9/2)))/8))/10,0)*10</f>
        <v>110</v>
      </c>
      <c r="AR387" s="10">
        <f>'Parametros'!$B$6*(AJ387+MAX(BE387-BD387,0)*'Parametros'!$B$4*MIN(U387,AB387)/1000)</f>
        <v>656.148065886654</v>
      </c>
      <c r="AS387" s="10" t="str">
        <f>IF(AND(ISERROR(SEARCH("referencia",AN387)),AM387="CUMPLE",AR387&gt;=AI387),"CUMPLE","NO CUMPLE")</f>
        <v>CUMPLE</v>
      </c>
      <c r="AT387" s="10">
        <f>'Parametros'!$B$6*0.083*SQRT('Parametros'!$B$2)*(H387*I387)^2/(2*(H387+I387))/1000000</f>
        <v>11.862178757599</v>
      </c>
      <c r="AU387" s="10" t="str">
        <f>IF(Q387&lt;=AT387,"DESPRECIABLE","DISEÑAR")</f>
        <v>DISEÑAR</v>
      </c>
      <c r="AV387" s="10">
        <f>IF(Q387&lt;=AT387,0,Q387*1000000/('Parametros'!$B$6*2*0.85*(H387-2*('Parametros'!$B$7+'Parametros'!$B$9/2))*(I387-2*('Parametros'!$B$7+'Parametros'!$B$9/2))*'Parametros'!$B$4))</f>
        <v>0.752560767125993</v>
      </c>
      <c r="AW387" s="10">
        <f>AV387*2*((H387-2*('Parametros'!$B$7+'Parametros'!$B$9/2))+(I387-2*('Parametros'!$B$7+'Parametros'!$B$9/2)))*'Parametros'!$B$4/'Parametros'!$B$3</f>
        <v>1301.32807851427</v>
      </c>
      <c r="AX387" s="31" t="n">
        <v>8</v>
      </c>
      <c r="AY387" s="10" t="str">
        <f>IF(AV387=0,"DESPRECIABLE",IF(AND(ISERROR(SEARCH("referencia",AN387)),BB387/AP387&gt;=AV387,BI387&gt;=AW387,BH387="CUMPLE"),"CUMPLE","NO CUMPLE"))</f>
        <v>CUMPLE</v>
      </c>
      <c r="AZ387" s="10" t="str">
        <f>IF(AND(X387="CUMPLE",AE387="CUMPLE",AS387="CUMPLE",OR(AY387="CUMPLE",AY387="DESPRECIABLE"),BH387="CUMPLE",BJ387="CUMPLE"),"CUMPLE","NO CUMPLE")</f>
        <v>CUMPLE</v>
      </c>
      <c r="BA387" s="32" t="n">
        <v>12.7</v>
      </c>
      <c r="BB387" s="32" t="n">
        <v>129</v>
      </c>
      <c r="BC387" s="10">
        <f>MAX(IF(AK387=0,0,AK387*1000/('Parametros'!$B$4*MIN(U387,AB387))),MAX(0.062*SQRT('Parametros'!$B$2)*H387/'Parametros'!$B$4,0.35*H387/'Parametros'!$B$4))</f>
        <v>2.81125860569163</v>
      </c>
      <c r="BD387" s="10">
        <f>2*AV387</f>
        <v>1.50512153425199</v>
      </c>
      <c r="BE387" s="10">
        <f>AO387*BB387/AP387</f>
        <v>4.69090909090909</v>
      </c>
      <c r="BF387" s="10">
        <f>SQRT((AI387*1000/(H387*MIN(U387,AB387)))^2+(Q387*1000000*2*((H387-2*('Parametros'!$B$7+'Parametros'!$B$9/2))+(I387-2*('Parametros'!$B$7+'Parametros'!$B$9/2)))/(1.7*((H387-2*('Parametros'!$B$7+'Parametros'!$B$9/2))*(I387-2*('Parametros'!$B$7+'Parametros'!$B$9/2)))^2))^2)</f>
        <v>3.29018026831405</v>
      </c>
      <c r="BG387" s="10">
        <f>'Parametros'!$B$6*(AJ387*1000/(H387*MIN(U387,AB387))+0.66*SQRT('Parametros'!$B$2))</f>
        <v>3.29396038227542</v>
      </c>
      <c r="BH387" s="10" t="str">
        <f>IF(BF387&lt;=BG387,"CUMPLE","NO CUMPLE")</f>
        <v>CUMPLE</v>
      </c>
      <c r="BI387" s="10">
        <f>AX387*'Parametros'!$B$8</f>
        <v>1592</v>
      </c>
      <c r="BJ387" s="10" t="str">
        <f>IF(BI387&gt;=AW387,"CUMPLE","NO CUMPLE")</f>
        <v>CUMPLE</v>
      </c>
    </row>
    <row r="388">
      <c r="A388" s="25" t="inlineStr">
        <is>
          <t>VR2</t>
        </is>
      </c>
      <c r="B388" s="25" t="inlineStr">
        <is>
          <t>190</t>
        </is>
      </c>
      <c r="C388" s="10" t="n">
        <v>1</v>
      </c>
      <c r="D388" s="10" t="n">
        <v>0.9</v>
      </c>
      <c r="E388" s="10" t="n">
        <v>0.9</v>
      </c>
      <c r="F388" s="10" t="n">
        <v>500</v>
      </c>
      <c r="G388" s="10" t="n">
        <v>550</v>
      </c>
      <c r="H388" s="17" t="n">
        <v>500</v>
      </c>
      <c r="I388" s="17" t="n">
        <v>550</v>
      </c>
      <c r="J388" s="30" t="n">
        <v>69.43129999999999</v>
      </c>
      <c r="K388" s="10" t="inlineStr">
        <is>
          <t>190</t>
        </is>
      </c>
      <c r="L388" s="30" t="n">
        <v>0</v>
      </c>
      <c r="M388" s="10" t="inlineStr">
        <is>
          <t>190</t>
        </is>
      </c>
      <c r="N388" s="30" t="n">
        <v>50.284</v>
      </c>
      <c r="O388" s="30" t="n">
        <v>57.251</v>
      </c>
      <c r="P388" s="10" t="inlineStr">
        <is>
          <t>190</t>
        </is>
      </c>
      <c r="Q388" s="30" t="n">
        <v>35.5441</v>
      </c>
      <c r="R388" s="10">
        <f>MAX(MAX(1.4/'Parametros'!$B$3,0.25*SQRT('Parametros'!$B$2)/'Parametros'!$B$3)*H388*U388,(0.85*'Parametros'!$B$2/'Parametros'!$B$3)*(1-SQRT(1-2*(J388*1000000/('Parametros'!$B$5*H388*U388^2))/(0.85*'Parametros'!$B$2)))*H388*U388)</f>
        <v>815.583333333333</v>
      </c>
      <c r="S388" s="31" t="n">
        <v>5</v>
      </c>
      <c r="T388" s="32" t="n">
        <v>1</v>
      </c>
      <c r="U388" s="10">
        <f>IF(T388=1,I388-('Parametros'!$B$7+'Parametros'!$B$9+'Parametros'!$B$12/2),I388-(ROUNDUP(S388/2,0)*('Parametros'!$B$7+'Parametros'!$B$9+'Parametros'!$B$12/2)+ROUNDDOWN(S388/2,0)*('Parametros'!$B$7+'Parametros'!$B$9+'Parametros'!$B$12/2+'Parametros'!$B$12+'Parametros'!$B$10))/S388)</f>
        <v>489.35</v>
      </c>
      <c r="V388" s="10">
        <f>S388*'Parametros'!$B$8</f>
        <v>995</v>
      </c>
      <c r="W388" s="10">
        <f>'Parametros'!$B$5*V388*'Parametros'!$B$3*(U388-(V388*'Parametros'!$B$3/(0.85*'Parametros'!$B$2*H388))/2)/1000000</f>
        <v>177.445379382353</v>
      </c>
      <c r="X388" s="10" t="str">
        <f>IF(W388&gt;=J388,"CUMPLE","NO CUMPLE")</f>
        <v>CUMPLE</v>
      </c>
      <c r="Y388" s="10">
        <f>MAX(MAX(1.4/'Parametros'!$B$3,0.25*SQRT('Parametros'!$B$2)/'Parametros'!$B$3)*H388*AB388,(0.85*'Parametros'!$B$2/'Parametros'!$B$3)*(1-SQRT(1-2*(L388*1000000/('Parametros'!$B$5*H388*AB388^2))/(0.85*'Parametros'!$B$2)))*H388*AB388)</f>
        <v>815.583333333333</v>
      </c>
      <c r="Z388" s="31" t="n">
        <v>5</v>
      </c>
      <c r="AA388" s="32" t="n">
        <v>1</v>
      </c>
      <c r="AB388" s="10">
        <f>IF(AA388=1,I388-('Parametros'!$B$7+'Parametros'!$B$9+'Parametros'!$B$12/2),I388-(ROUNDUP(Z388/2,0)*('Parametros'!$B$7+'Parametros'!$B$9+'Parametros'!$B$12/2)+ROUNDDOWN(Z388/2,0)*('Parametros'!$B$7+'Parametros'!$B$9+'Parametros'!$B$12/2+'Parametros'!$B$12+'Parametros'!$B$10))/Z388)</f>
        <v>489.35</v>
      </c>
      <c r="AC388" s="10">
        <f>Z388*'Parametros'!$B$8</f>
        <v>995</v>
      </c>
      <c r="AD388" s="10">
        <f>'Parametros'!$B$5*AC388*'Parametros'!$B$3*(AB388-(AC388*'Parametros'!$B$3/(0.85*'Parametros'!$B$2*H388))/2)/1000000</f>
        <v>177.445379382353</v>
      </c>
      <c r="AE388" s="10" t="str">
        <f>IF(AD388&gt;=L388,"CUMPLE","NO CUMPLE")</f>
        <v>CUMPLE</v>
      </c>
      <c r="AF388" s="10">
        <f>V388*1.25*'Parametros'!$B$3*(U388-(V388*1.25*'Parametros'!$B$3/(0.85*'Parametros'!$B$2*H388))/2)/1000000</f>
        <v>244.158843198529</v>
      </c>
      <c r="AG388" s="10">
        <f>AC388*1.25*'Parametros'!$B$3*(AB388-(AC388*1.25*'Parametros'!$B$3/(0.85*'Parametros'!$B$2*H388))/2)/1000000</f>
        <v>244.158843198529</v>
      </c>
      <c r="AH388" s="10">
        <f>N388+(AF388+AG388)/D388</f>
        <v>592.859207107843</v>
      </c>
      <c r="AI388" s="10">
        <f>MAX(O388,AH388)</f>
        <v>592.859207107843</v>
      </c>
      <c r="AJ388" s="10">
        <f>0.17*SQRT('Parametros'!$B$2)*H388*MIN(U388,AB388)/1000</f>
        <v>220.098728691808</v>
      </c>
      <c r="AK388" s="10">
        <f>MAX(AI388/'Parametros'!$B$6-AJ388,0)</f>
        <v>570.38021411865</v>
      </c>
      <c r="AL388" s="10">
        <f>0.66*SQRT('Parametros'!$B$2)*H388*MIN(U388,AB388)/1000</f>
        <v>854.500946685842</v>
      </c>
      <c r="AM388" s="10" t="str">
        <f>IF(AK388&lt;=AL388,"CUMPLE","NO CUMPLE")</f>
        <v>CUMPLE</v>
      </c>
      <c r="AN388" s="17" t="inlineStr">
        <is>
          <t>Nº3 cerrado</t>
        </is>
      </c>
      <c r="AO388" s="31" t="n">
        <v>4</v>
      </c>
      <c r="AP388" s="10">
        <f>ROUNDDOWN(MIN(IF(BC388+BD388=0,1000000000,AO388*BB388/(BC388+BD388)),MIN(U388,AB388)/4,8*'Parametros'!$B$12,24*BA388,300,IF(AV388=0,1000000000,2*((H388-2*('Parametros'!$B$7+'Parametros'!$B$9/2))+(I388-2*('Parametros'!$B$7+'Parametros'!$B$9/2)))/8))/10,0)*10</f>
        <v>80</v>
      </c>
      <c r="AQ388" s="10">
        <f>ROUNDDOWN(MIN(IF(BC388+BD388=0,1000000000,AO388*BB388/(BC388+BD388)),IF(AK388&gt;0.33*SQRT('Parametros'!$B$2)*H388*MIN(U388,AB388)/1000,MIN(U388,AB388)/4,MIN(U388,AB388)/2),600,IF(AV388=0,1000000000,2*((H388-2*('Parametros'!$B$7+'Parametros'!$B$9/2))+(I388-2*('Parametros'!$B$7+'Parametros'!$B$9/2)))/8))/10,0)*10</f>
        <v>80</v>
      </c>
      <c r="AR388" s="10">
        <f>'Parametros'!$B$6*(AJ388+MAX(BE388-BD388,0)*'Parametros'!$B$4*MIN(U388,AB388)/1000)</f>
        <v>602.42639979703</v>
      </c>
      <c r="AS388" s="10" t="str">
        <f>IF(AND(ISERROR(SEARCH("referencia",AN388)),AM388="CUMPLE",AR388&gt;=AI388),"CUMPLE","NO CUMPLE")</f>
        <v>CUMPLE</v>
      </c>
      <c r="AT388" s="10">
        <f>'Parametros'!$B$6*0.083*SQRT('Parametros'!$B$2)*(H388*I388)^2/(2*(H388+I388))/1000000</f>
        <v>11.862178757599</v>
      </c>
      <c r="AU388" s="10" t="str">
        <f>IF(Q388&lt;=AT388,"DESPRECIABLE","DISEÑAR")</f>
        <v>DISEÑAR</v>
      </c>
      <c r="AV388" s="10">
        <f>IF(Q388&lt;=AT388,0,Q388*1000000/('Parametros'!$B$6*2*0.85*(H388-2*('Parametros'!$B$7+'Parametros'!$B$9/2))*(I388-2*('Parametros'!$B$7+'Parametros'!$B$9/2))*'Parametros'!$B$4))</f>
        <v>0.35636285977617</v>
      </c>
      <c r="AW388" s="10">
        <f>AV388*2*((H388-2*('Parametros'!$B$7+'Parametros'!$B$9/2))+(I388-2*('Parametros'!$B$7+'Parametros'!$B$9/2)))*'Parametros'!$B$4/'Parametros'!$B$3</f>
        <v>616.222657124953</v>
      </c>
      <c r="AX388" s="31" t="n">
        <v>8</v>
      </c>
      <c r="AY388" s="10" t="str">
        <f>IF(AV388=0,"DESPRECIABLE",IF(AND(ISERROR(SEARCH("referencia",AN388)),BB388/AP388&gt;=AV388,BI388&gt;=AW388,BH388="CUMPLE"),"CUMPLE","NO CUMPLE"))</f>
        <v>CUMPLE</v>
      </c>
      <c r="AZ388" s="10" t="str">
        <f>IF(AND(X388="CUMPLE",AE388="CUMPLE",AS388="CUMPLE",OR(AY388="CUMPLE",AY388="DESPRECIABLE"),BH388="CUMPLE",BJ388="CUMPLE"),"CUMPLE","NO CUMPLE")</f>
        <v>CUMPLE</v>
      </c>
      <c r="BA388" s="32" t="n">
        <v>9.5</v>
      </c>
      <c r="BB388" s="32" t="n">
        <v>71</v>
      </c>
      <c r="BC388" s="10">
        <f>MAX(IF(AK388=0,0,AK388*1000/('Parametros'!$B$4*MIN(U388,AB388))),MAX(0.062*SQRT('Parametros'!$B$2)*H388/'Parametros'!$B$4,0.35*H388/'Parametros'!$B$4))</f>
        <v>2.77520819220175</v>
      </c>
      <c r="BD388" s="10">
        <f>2*AV388</f>
        <v>0.71272571955234</v>
      </c>
      <c r="BE388" s="10">
        <f>AO388*BB388/AP388</f>
        <v>3.55</v>
      </c>
      <c r="BF388" s="10">
        <f>SQRT((AI388*1000/(H388*MIN(U388,AB388)))^2+(Q388*1000000*2*((H388-2*('Parametros'!$B$7+'Parametros'!$B$9/2))+(I388-2*('Parametros'!$B$7+'Parametros'!$B$9/2)))/(1.7*((H388-2*('Parametros'!$B$7+'Parametros'!$B$9/2))*(I388-2*('Parametros'!$B$7+'Parametros'!$B$9/2)))^2))^2)</f>
        <v>2.63765973196919</v>
      </c>
      <c r="BG388" s="10">
        <f>'Parametros'!$B$6*(AJ388*1000/(H388*MIN(U388,AB388))+0.66*SQRT('Parametros'!$B$2))</f>
        <v>3.29396038227542</v>
      </c>
      <c r="BH388" s="10" t="str">
        <f>IF(BF388&lt;=BG388,"CUMPLE","NO CUMPLE")</f>
        <v>CUMPLE</v>
      </c>
      <c r="BI388" s="10">
        <f>AX388*'Parametros'!$B$8</f>
        <v>1592</v>
      </c>
      <c r="BJ388" s="10" t="str">
        <f>IF(BI388&gt;=AW388,"CUMPLE","NO CUMPLE")</f>
        <v>CUMPLE</v>
      </c>
    </row>
    <row r="389">
      <c r="A389" s="25" t="inlineStr">
        <is>
          <t>VR2</t>
        </is>
      </c>
      <c r="B389" s="25" t="inlineStr">
        <is>
          <t>192</t>
        </is>
      </c>
      <c r="C389" s="10" t="n">
        <v>1</v>
      </c>
      <c r="D389" s="10" t="n">
        <v>0.9</v>
      </c>
      <c r="E389" s="10" t="n">
        <v>0.9</v>
      </c>
      <c r="F389" s="10" t="n">
        <v>500</v>
      </c>
      <c r="G389" s="10" t="n">
        <v>550</v>
      </c>
      <c r="H389" s="17" t="n">
        <v>500</v>
      </c>
      <c r="I389" s="17" t="n">
        <v>550</v>
      </c>
      <c r="J389" s="30" t="n">
        <v>69.4271</v>
      </c>
      <c r="K389" s="10" t="inlineStr">
        <is>
          <t>192</t>
        </is>
      </c>
      <c r="L389" s="30" t="n">
        <v>0</v>
      </c>
      <c r="M389" s="10" t="inlineStr">
        <is>
          <t>192</t>
        </is>
      </c>
      <c r="N389" s="30" t="n">
        <v>50.282</v>
      </c>
      <c r="O389" s="30" t="n">
        <v>57.249</v>
      </c>
      <c r="P389" s="10" t="inlineStr">
        <is>
          <t>192</t>
        </is>
      </c>
      <c r="Q389" s="30" t="n">
        <v>35.5401</v>
      </c>
      <c r="R389" s="10">
        <f>MAX(MAX(1.4/'Parametros'!$B$3,0.25*SQRT('Parametros'!$B$2)/'Parametros'!$B$3)*H389*U389,(0.85*'Parametros'!$B$2/'Parametros'!$B$3)*(1-SQRT(1-2*(J389*1000000/('Parametros'!$B$5*H389*U389^2))/(0.85*'Parametros'!$B$2)))*H389*U389)</f>
        <v>815.583333333333</v>
      </c>
      <c r="S389" s="31" t="n">
        <v>5</v>
      </c>
      <c r="T389" s="32" t="n">
        <v>1</v>
      </c>
      <c r="U389" s="10">
        <f>IF(T389=1,I389-('Parametros'!$B$7+'Parametros'!$B$9+'Parametros'!$B$12/2),I389-(ROUNDUP(S389/2,0)*('Parametros'!$B$7+'Parametros'!$B$9+'Parametros'!$B$12/2)+ROUNDDOWN(S389/2,0)*('Parametros'!$B$7+'Parametros'!$B$9+'Parametros'!$B$12/2+'Parametros'!$B$12+'Parametros'!$B$10))/S389)</f>
        <v>489.35</v>
      </c>
      <c r="V389" s="10">
        <f>S389*'Parametros'!$B$8</f>
        <v>995</v>
      </c>
      <c r="W389" s="10">
        <f>'Parametros'!$B$5*V389*'Parametros'!$B$3*(U389-(V389*'Parametros'!$B$3/(0.85*'Parametros'!$B$2*H389))/2)/1000000</f>
        <v>177.445379382353</v>
      </c>
      <c r="X389" s="10" t="str">
        <f>IF(W389&gt;=J389,"CUMPLE","NO CUMPLE")</f>
        <v>CUMPLE</v>
      </c>
      <c r="Y389" s="10">
        <f>MAX(MAX(1.4/'Parametros'!$B$3,0.25*SQRT('Parametros'!$B$2)/'Parametros'!$B$3)*H389*AB389,(0.85*'Parametros'!$B$2/'Parametros'!$B$3)*(1-SQRT(1-2*(L389*1000000/('Parametros'!$B$5*H389*AB389^2))/(0.85*'Parametros'!$B$2)))*H389*AB389)</f>
        <v>815.583333333333</v>
      </c>
      <c r="Z389" s="31" t="n">
        <v>5</v>
      </c>
      <c r="AA389" s="32" t="n">
        <v>1</v>
      </c>
      <c r="AB389" s="10">
        <f>IF(AA389=1,I389-('Parametros'!$B$7+'Parametros'!$B$9+'Parametros'!$B$12/2),I389-(ROUNDUP(Z389/2,0)*('Parametros'!$B$7+'Parametros'!$B$9+'Parametros'!$B$12/2)+ROUNDDOWN(Z389/2,0)*('Parametros'!$B$7+'Parametros'!$B$9+'Parametros'!$B$12/2+'Parametros'!$B$12+'Parametros'!$B$10))/Z389)</f>
        <v>489.35</v>
      </c>
      <c r="AC389" s="10">
        <f>Z389*'Parametros'!$B$8</f>
        <v>995</v>
      </c>
      <c r="AD389" s="10">
        <f>'Parametros'!$B$5*AC389*'Parametros'!$B$3*(AB389-(AC389*'Parametros'!$B$3/(0.85*'Parametros'!$B$2*H389))/2)/1000000</f>
        <v>177.445379382353</v>
      </c>
      <c r="AE389" s="10" t="str">
        <f>IF(AD389&gt;=L389,"CUMPLE","NO CUMPLE")</f>
        <v>CUMPLE</v>
      </c>
      <c r="AF389" s="10">
        <f>V389*1.25*'Parametros'!$B$3*(U389-(V389*1.25*'Parametros'!$B$3/(0.85*'Parametros'!$B$2*H389))/2)/1000000</f>
        <v>244.158843198529</v>
      </c>
      <c r="AG389" s="10">
        <f>AC389*1.25*'Parametros'!$B$3*(AB389-(AC389*1.25*'Parametros'!$B$3/(0.85*'Parametros'!$B$2*H389))/2)/1000000</f>
        <v>244.158843198529</v>
      </c>
      <c r="AH389" s="10">
        <f>N389+(AF389+AG389)/D389</f>
        <v>592.857207107843</v>
      </c>
      <c r="AI389" s="10">
        <f>MAX(O389,AH389)</f>
        <v>592.857207107843</v>
      </c>
      <c r="AJ389" s="10">
        <f>0.17*SQRT('Parametros'!$B$2)*H389*MIN(U389,AB389)/1000</f>
        <v>220.098728691808</v>
      </c>
      <c r="AK389" s="10">
        <f>MAX(AI389/'Parametros'!$B$6-AJ389,0)</f>
        <v>570.377547451983</v>
      </c>
      <c r="AL389" s="10">
        <f>0.66*SQRT('Parametros'!$B$2)*H389*MIN(U389,AB389)/1000</f>
        <v>854.500946685842</v>
      </c>
      <c r="AM389" s="10" t="str">
        <f>IF(AK389&lt;=AL389,"CUMPLE","NO CUMPLE")</f>
        <v>CUMPLE</v>
      </c>
      <c r="AN389" s="17" t="inlineStr">
        <is>
          <t>Nº3 cerrado</t>
        </is>
      </c>
      <c r="AO389" s="31" t="n">
        <v>4</v>
      </c>
      <c r="AP389" s="10">
        <f>ROUNDDOWN(MIN(IF(BC389+BD389=0,1000000000,AO389*BB389/(BC389+BD389)),MIN(U389,AB389)/4,8*'Parametros'!$B$12,24*BA389,300,IF(AV389=0,1000000000,2*((H389-2*('Parametros'!$B$7+'Parametros'!$B$9/2))+(I389-2*('Parametros'!$B$7+'Parametros'!$B$9/2)))/8))/10,0)*10</f>
        <v>80</v>
      </c>
      <c r="AQ389" s="10">
        <f>ROUNDDOWN(MIN(IF(BC389+BD389=0,1000000000,AO389*BB389/(BC389+BD389)),IF(AK389&gt;0.33*SQRT('Parametros'!$B$2)*H389*MIN(U389,AB389)/1000,MIN(U389,AB389)/4,MIN(U389,AB389)/2),600,IF(AV389=0,1000000000,2*((H389-2*('Parametros'!$B$7+'Parametros'!$B$9/2))+(I389-2*('Parametros'!$B$7+'Parametros'!$B$9/2)))/8))/10,0)*10</f>
        <v>80</v>
      </c>
      <c r="AR389" s="10">
        <f>'Parametros'!$B$6*(AJ389+MAX(BE389-BD389,0)*'Parametros'!$B$4*MIN(U389,AB389)/1000)</f>
        <v>602.438763399904</v>
      </c>
      <c r="AS389" s="10" t="str">
        <f>IF(AND(ISERROR(SEARCH("referencia",AN389)),AM389="CUMPLE",AR389&gt;=AI389),"CUMPLE","NO CUMPLE")</f>
        <v>CUMPLE</v>
      </c>
      <c r="AT389" s="10">
        <f>'Parametros'!$B$6*0.083*SQRT('Parametros'!$B$2)*(H389*I389)^2/(2*(H389+I389))/1000000</f>
        <v>11.862178757599</v>
      </c>
      <c r="AU389" s="10" t="str">
        <f>IF(Q389&lt;=AT389,"DESPRECIABLE","DISEÑAR")</f>
        <v>DISEÑAR</v>
      </c>
      <c r="AV389" s="10">
        <f>IF(Q389&lt;=AT389,0,Q389*1000000/('Parametros'!$B$6*2*0.85*(H389-2*('Parametros'!$B$7+'Parametros'!$B$9/2))*(I389-2*('Parametros'!$B$7+'Parametros'!$B$9/2))*'Parametros'!$B$4))</f>
        <v>0.356322756033521</v>
      </c>
      <c r="AW389" s="10">
        <f>AV389*2*((H389-2*('Parametros'!$B$7+'Parametros'!$B$9/2))+(I389-2*('Parametros'!$B$7+'Parametros'!$B$9/2)))*'Parametros'!$B$4/'Parametros'!$B$3</f>
        <v>616.153309733164</v>
      </c>
      <c r="AX389" s="31" t="n">
        <v>8</v>
      </c>
      <c r="AY389" s="10" t="str">
        <f>IF(AV389=0,"DESPRECIABLE",IF(AND(ISERROR(SEARCH("referencia",AN389)),BB389/AP389&gt;=AV389,BI389&gt;=AW389,BH389="CUMPLE"),"CUMPLE","NO CUMPLE"))</f>
        <v>CUMPLE</v>
      </c>
      <c r="AZ389" s="10" t="str">
        <f>IF(AND(X389="CUMPLE",AE389="CUMPLE",AS389="CUMPLE",OR(AY389="CUMPLE",AY389="DESPRECIABLE"),BH389="CUMPLE",BJ389="CUMPLE"),"CUMPLE","NO CUMPLE")</f>
        <v>CUMPLE</v>
      </c>
      <c r="BA389" s="32" t="n">
        <v>9.5</v>
      </c>
      <c r="BB389" s="32" t="n">
        <v>71</v>
      </c>
      <c r="BC389" s="10">
        <f>MAX(IF(AK389=0,0,AK389*1000/('Parametros'!$B$4*MIN(U389,AB389))),MAX(0.062*SQRT('Parametros'!$B$2)*H389/'Parametros'!$B$4,0.35*H389/'Parametros'!$B$4))</f>
        <v>2.77519521742634</v>
      </c>
      <c r="BD389" s="10">
        <f>2*AV389</f>
        <v>0.712645512067042</v>
      </c>
      <c r="BE389" s="10">
        <f>AO389*BB389/AP389</f>
        <v>3.55</v>
      </c>
      <c r="BF389" s="10">
        <f>SQRT((AI389*1000/(H389*MIN(U389,AB389)))^2+(Q389*1000000*2*((H389-2*('Parametros'!$B$7+'Parametros'!$B$9/2))+(I389-2*('Parametros'!$B$7+'Parametros'!$B$9/2)))/(1.7*((H389-2*('Parametros'!$B$7+'Parametros'!$B$9/2))*(I389-2*('Parametros'!$B$7+'Parametros'!$B$9/2)))^2))^2)</f>
        <v>2.63760588684045</v>
      </c>
      <c r="BG389" s="10">
        <f>'Parametros'!$B$6*(AJ389*1000/(H389*MIN(U389,AB389))+0.66*SQRT('Parametros'!$B$2))</f>
        <v>3.29396038227542</v>
      </c>
      <c r="BH389" s="10" t="str">
        <f>IF(BF389&lt;=BG389,"CUMPLE","NO CUMPLE")</f>
        <v>CUMPLE</v>
      </c>
      <c r="BI389" s="10">
        <f>AX389*'Parametros'!$B$8</f>
        <v>1592</v>
      </c>
      <c r="BJ389" s="10" t="str">
        <f>IF(BI389&gt;=AW389,"CUMPLE","NO CUMPLE")</f>
        <v>CUMPLE</v>
      </c>
    </row>
    <row r="390">
      <c r="A390" s="25" t="inlineStr">
        <is>
          <t>VR2</t>
        </is>
      </c>
      <c r="B390" s="25" t="inlineStr">
        <is>
          <t>211</t>
        </is>
      </c>
      <c r="C390" s="10" t="n">
        <v>1</v>
      </c>
      <c r="D390" s="10" t="n">
        <v>2</v>
      </c>
      <c r="E390" s="10" t="n">
        <v>2</v>
      </c>
      <c r="F390" s="10" t="n">
        <v>500</v>
      </c>
      <c r="G390" s="10" t="n">
        <v>550</v>
      </c>
      <c r="H390" s="17" t="n">
        <v>500</v>
      </c>
      <c r="I390" s="17" t="n">
        <v>550</v>
      </c>
      <c r="J390" s="30" t="n">
        <v>196.5883</v>
      </c>
      <c r="K390" s="10" t="inlineStr">
        <is>
          <t>211</t>
        </is>
      </c>
      <c r="L390" s="30" t="n">
        <v>131.032</v>
      </c>
      <c r="M390" s="10" t="inlineStr">
        <is>
          <t>211</t>
        </is>
      </c>
      <c r="N390" s="30" t="n">
        <v>163.844</v>
      </c>
      <c r="O390" s="30" t="n">
        <v>611.799</v>
      </c>
      <c r="P390" s="10" t="inlineStr">
        <is>
          <t>211</t>
        </is>
      </c>
      <c r="Q390" s="30" t="n">
        <v>7.8641</v>
      </c>
      <c r="R390" s="10">
        <f>MAX(MAX(1.4/'Parametros'!$B$3,0.25*SQRT('Parametros'!$B$2)/'Parametros'!$B$3)*H390*U390,(0.85*'Parametros'!$B$2/'Parametros'!$B$3)*(1-SQRT(1-2*(J390*1000000/('Parametros'!$B$5*H390*U390^2))/(0.85*'Parametros'!$B$2)))*H390*U390)</f>
        <v>1106.97776563194</v>
      </c>
      <c r="S390" s="31" t="n">
        <v>6</v>
      </c>
      <c r="T390" s="32" t="n">
        <v>1</v>
      </c>
      <c r="U390" s="10">
        <f>IF(T390=1,I390-('Parametros'!$B$7+'Parametros'!$B$9+'Parametros'!$B$12/2),I390-(ROUNDUP(S390/2,0)*('Parametros'!$B$7+'Parametros'!$B$9+'Parametros'!$B$12/2)+ROUNDDOWN(S390/2,0)*('Parametros'!$B$7+'Parametros'!$B$9+'Parametros'!$B$12/2+'Parametros'!$B$12+'Parametros'!$B$10))/S390)</f>
        <v>489.35</v>
      </c>
      <c r="V390" s="10">
        <f>S390*'Parametros'!$B$8</f>
        <v>1194</v>
      </c>
      <c r="W390" s="10">
        <f>'Parametros'!$B$5*V390*'Parametros'!$B$3*(U390-(V390*'Parametros'!$B$3/(0.85*'Parametros'!$B$2*H390))/2)/1000000</f>
        <v>211.349483470588</v>
      </c>
      <c r="X390" s="10" t="str">
        <f>IF(W390&gt;=J390,"CUMPLE","NO CUMPLE")</f>
        <v>CUMPLE</v>
      </c>
      <c r="Y390" s="10">
        <f>MAX(MAX(1.4/'Parametros'!$B$3,0.25*SQRT('Parametros'!$B$2)/'Parametros'!$B$3)*H390*AB390,(0.85*'Parametros'!$B$2/'Parametros'!$B$3)*(1-SQRT(1-2*(L390*1000000/('Parametros'!$B$5*H390*AB390^2))/(0.85*'Parametros'!$B$2)))*H390*AB390)</f>
        <v>815.583333333333</v>
      </c>
      <c r="Z390" s="31" t="n">
        <v>5</v>
      </c>
      <c r="AA390" s="32" t="n">
        <v>1</v>
      </c>
      <c r="AB390" s="10">
        <f>IF(AA390=1,I390-('Parametros'!$B$7+'Parametros'!$B$9+'Parametros'!$B$12/2),I390-(ROUNDUP(Z390/2,0)*('Parametros'!$B$7+'Parametros'!$B$9+'Parametros'!$B$12/2)+ROUNDDOWN(Z390/2,0)*('Parametros'!$B$7+'Parametros'!$B$9+'Parametros'!$B$12/2+'Parametros'!$B$12+'Parametros'!$B$10))/Z390)</f>
        <v>489.35</v>
      </c>
      <c r="AC390" s="10">
        <f>Z390*'Parametros'!$B$8</f>
        <v>995</v>
      </c>
      <c r="AD390" s="10">
        <f>'Parametros'!$B$5*AC390*'Parametros'!$B$3*(AB390-(AC390*'Parametros'!$B$3/(0.85*'Parametros'!$B$2*H390))/2)/1000000</f>
        <v>177.445379382353</v>
      </c>
      <c r="AE390" s="10" t="str">
        <f>IF(AD390&gt;=L390,"CUMPLE","NO CUMPLE")</f>
        <v>CUMPLE</v>
      </c>
      <c r="AF390" s="10">
        <f>V390*1.25*'Parametros'!$B$3*(U390-(V390*1.25*'Parametros'!$B$3/(0.85*'Parametros'!$B$2*H390))/2)/1000000</f>
        <v>290.238924705882</v>
      </c>
      <c r="AG390" s="10">
        <f>AC390*1.25*'Parametros'!$B$3*(AB390-(AC390*1.25*'Parametros'!$B$3/(0.85*'Parametros'!$B$2*H390))/2)/1000000</f>
        <v>244.158843198529</v>
      </c>
      <c r="AH390" s="10">
        <f>N390+(AF390+AG390)/D390</f>
        <v>431.042883952206</v>
      </c>
      <c r="AI390" s="10">
        <f>MAX(O390,AH390)</f>
        <v>611.799</v>
      </c>
      <c r="AJ390" s="10">
        <f>0.17*SQRT('Parametros'!$B$2)*H390*MIN(U390,AB390)/1000</f>
        <v>220.098728691808</v>
      </c>
      <c r="AK390" s="10">
        <f>MAX(AI390/'Parametros'!$B$6-AJ390,0)</f>
        <v>595.633271308192</v>
      </c>
      <c r="AL390" s="10">
        <f>0.66*SQRT('Parametros'!$B$2)*H390*MIN(U390,AB390)/1000</f>
        <v>854.500946685842</v>
      </c>
      <c r="AM390" s="10" t="str">
        <f>IF(AK390&lt;=AL390,"CUMPLE","NO CUMPLE")</f>
        <v>CUMPLE</v>
      </c>
      <c r="AN390" s="17" t="inlineStr">
        <is>
          <t>Nº4 cerrado</t>
        </is>
      </c>
      <c r="AO390" s="31" t="n">
        <v>2</v>
      </c>
      <c r="AP390" s="10">
        <f>ROUNDDOWN(MIN(IF(BC390+BD390=0,1000000000,AO390*BB390/(BC390+BD390)),MIN(U390,AB390)/4,8*'Parametros'!$B$12,24*BA390,300,IF(AV390=0,1000000000,2*((H390-2*('Parametros'!$B$7+'Parametros'!$B$9/2))+(I390-2*('Parametros'!$B$7+'Parametros'!$B$9/2)))/8))/10,0)*10</f>
        <v>80</v>
      </c>
      <c r="AQ390" s="10">
        <f>ROUNDDOWN(MIN(IF(BC390+BD390=0,1000000000,AO390*BB390/(BC390+BD390)),IF(AK390&gt;0.33*SQRT('Parametros'!$B$2)*H390*MIN(U390,AB390)/1000,MIN(U390,AB390)/4,MIN(U390,AB390)/2),600,IF(AV390=0,1000000000,2*((H390-2*('Parametros'!$B$7+'Parametros'!$B$9/2))+(I390-2*('Parametros'!$B$7+'Parametros'!$B$9/2)))/8))/10,0)*10</f>
        <v>80</v>
      </c>
      <c r="AR390" s="10">
        <f>'Parametros'!$B$6*(AJ390+MAX(BE390-BD390,0)*'Parametros'!$B$4*MIN(U390,AB390)/1000)</f>
        <v>662.192477768856</v>
      </c>
      <c r="AS390" s="10" t="str">
        <f>IF(AND(ISERROR(SEARCH("referencia",AN390)),AM390="CUMPLE",AR390&gt;=AI390),"CUMPLE","NO CUMPLE")</f>
        <v>CUMPLE</v>
      </c>
      <c r="AT390" s="10">
        <f>'Parametros'!$B$6*0.083*SQRT('Parametros'!$B$2)*(H390*I390)^2/(2*(H390+I390))/1000000</f>
        <v>11.862178757599</v>
      </c>
      <c r="AU390" s="10" t="str">
        <f>IF(Q390&lt;=AT390,"DESPRECIABLE","DISEÑAR")</f>
        <v>DESPRECIABLE</v>
      </c>
      <c r="AV390" s="10">
        <f>IF(Q390&lt;=AT390,0,Q390*1000000/('Parametros'!$B$6*2*0.85*(H390-2*('Parametros'!$B$7+'Parametros'!$B$9/2))*(I390-2*('Parametros'!$B$7+'Parametros'!$B$9/2))*'Parametros'!$B$4))</f>
        <v>0</v>
      </c>
      <c r="AW390" s="10">
        <f>AV390*2*((H390-2*('Parametros'!$B$7+'Parametros'!$B$9/2))+(I390-2*('Parametros'!$B$7+'Parametros'!$B$9/2)))*'Parametros'!$B$4/'Parametros'!$B$3</f>
        <v>0</v>
      </c>
      <c r="AX390" s="31" t="n">
        <v>0</v>
      </c>
      <c r="AY390" s="10" t="str">
        <f>IF(AV390=0,"DESPRECIABLE",IF(AND(ISERROR(SEARCH("referencia",AN390)),BB390/AP390&gt;=AV390,BI390&gt;=AW390,BH390="CUMPLE"),"CUMPLE","NO CUMPLE"))</f>
        <v>DESPRECIABLE</v>
      </c>
      <c r="AZ390" s="10" t="str">
        <f>IF(AND(X390="CUMPLE",AE390="CUMPLE",AS390="CUMPLE",OR(AY390="CUMPLE",AY390="DESPRECIABLE"),BH390="CUMPLE",BJ390="CUMPLE"),"CUMPLE","NO CUMPLE")</f>
        <v>CUMPLE</v>
      </c>
      <c r="BA390" s="32" t="n">
        <v>12.7</v>
      </c>
      <c r="BB390" s="32" t="n">
        <v>129</v>
      </c>
      <c r="BC390" s="10">
        <f>MAX(IF(AK390=0,0,AK390*1000/('Parametros'!$B$4*MIN(U390,AB390))),MAX(0.062*SQRT('Parametros'!$B$2)*H390/'Parametros'!$B$4,0.35*H390/'Parametros'!$B$4))</f>
        <v>2.89807797179053</v>
      </c>
      <c r="BD390" s="10">
        <f>2*AV390</f>
        <v>0</v>
      </c>
      <c r="BE390" s="10">
        <f>AO390*BB390/AP390</f>
        <v>3.225</v>
      </c>
      <c r="BF390" s="10">
        <f>SQRT((AI390*1000/(H390*MIN(U390,AB390)))^2+(Q390*1000000*2*((H390-2*('Parametros'!$B$7+'Parametros'!$B$9/2))+(I390-2*('Parametros'!$B$7+'Parametros'!$B$9/2)))/(1.7*((H390-2*('Parametros'!$B$7+'Parametros'!$B$9/2))*(I390-2*('Parametros'!$B$7+'Parametros'!$B$9/2)))^2))^2)</f>
        <v>2.51106432303368</v>
      </c>
      <c r="BG390" s="10">
        <f>'Parametros'!$B$6*(AJ390*1000/(H390*MIN(U390,AB390))+0.66*SQRT('Parametros'!$B$2))</f>
        <v>3.29396038227542</v>
      </c>
      <c r="BH390" s="10" t="str">
        <f>IF(BF390&lt;=BG390,"CUMPLE","NO CUMPLE")</f>
        <v>CUMPLE</v>
      </c>
      <c r="BI390" s="10">
        <f>AX390*'Parametros'!$B$8</f>
        <v>0</v>
      </c>
      <c r="BJ390" s="10" t="str">
        <f>IF(BI390&gt;=AW390,"CUMPLE","NO CUMPLE")</f>
        <v>CUMPLE</v>
      </c>
    </row>
    <row r="391">
      <c r="A391" s="25" t="inlineStr">
        <is>
          <t>VR2</t>
        </is>
      </c>
      <c r="B391" s="25" t="inlineStr">
        <is>
          <t>212</t>
        </is>
      </c>
      <c r="C391" s="10" t="n">
        <v>1</v>
      </c>
      <c r="D391" s="10" t="n">
        <v>3.05308</v>
      </c>
      <c r="E391" s="10" t="n">
        <v>3.05308</v>
      </c>
      <c r="F391" s="10" t="n">
        <v>500</v>
      </c>
      <c r="G391" s="10" t="n">
        <v>550</v>
      </c>
      <c r="H391" s="17" t="n">
        <v>500</v>
      </c>
      <c r="I391" s="17" t="n">
        <v>550</v>
      </c>
      <c r="J391" s="30" t="n">
        <v>181.3719</v>
      </c>
      <c r="K391" s="10" t="inlineStr">
        <is>
          <t>212</t>
        </is>
      </c>
      <c r="L391" s="30" t="n">
        <v>118.9285</v>
      </c>
      <c r="M391" s="10" t="inlineStr">
        <is>
          <t>212</t>
        </is>
      </c>
      <c r="N391" s="30" t="n">
        <v>137.431</v>
      </c>
      <c r="O391" s="30" t="n">
        <v>412.139</v>
      </c>
      <c r="P391" s="10" t="inlineStr">
        <is>
          <t>212</t>
        </is>
      </c>
      <c r="Q391" s="30" t="n">
        <v>50.0627</v>
      </c>
      <c r="R391" s="10">
        <f>MAX(MAX(1.4/'Parametros'!$B$3,0.25*SQRT('Parametros'!$B$2)/'Parametros'!$B$3)*H391*U391,(0.85*'Parametros'!$B$2/'Parametros'!$B$3)*(1-SQRT(1-2*(J391*1000000/('Parametros'!$B$5*H391*U391^2))/(0.85*'Parametros'!$B$2)))*H391*U391)</f>
        <v>1017.88887155701</v>
      </c>
      <c r="S391" s="31" t="n">
        <v>6</v>
      </c>
      <c r="T391" s="32" t="n">
        <v>1</v>
      </c>
      <c r="U391" s="10">
        <f>IF(T391=1,I391-('Parametros'!$B$7+'Parametros'!$B$9+'Parametros'!$B$12/2),I391-(ROUNDUP(S391/2,0)*('Parametros'!$B$7+'Parametros'!$B$9+'Parametros'!$B$12/2)+ROUNDDOWN(S391/2,0)*('Parametros'!$B$7+'Parametros'!$B$9+'Parametros'!$B$12/2+'Parametros'!$B$12+'Parametros'!$B$10))/S391)</f>
        <v>489.35</v>
      </c>
      <c r="V391" s="10">
        <f>S391*'Parametros'!$B$8</f>
        <v>1194</v>
      </c>
      <c r="W391" s="10">
        <f>'Parametros'!$B$5*V391*'Parametros'!$B$3*(U391-(V391*'Parametros'!$B$3/(0.85*'Parametros'!$B$2*H391))/2)/1000000</f>
        <v>211.349483470588</v>
      </c>
      <c r="X391" s="10" t="str">
        <f>IF(W391&gt;=J391,"CUMPLE","NO CUMPLE")</f>
        <v>CUMPLE</v>
      </c>
      <c r="Y391" s="10">
        <f>MAX(MAX(1.4/'Parametros'!$B$3,0.25*SQRT('Parametros'!$B$2)/'Parametros'!$B$3)*H391*AB391,(0.85*'Parametros'!$B$2/'Parametros'!$B$3)*(1-SQRT(1-2*(L391*1000000/('Parametros'!$B$5*H391*AB391^2))/(0.85*'Parametros'!$B$2)))*H391*AB391)</f>
        <v>815.583333333333</v>
      </c>
      <c r="Z391" s="31" t="n">
        <v>5</v>
      </c>
      <c r="AA391" s="32" t="n">
        <v>1</v>
      </c>
      <c r="AB391" s="10">
        <f>IF(AA391=1,I391-('Parametros'!$B$7+'Parametros'!$B$9+'Parametros'!$B$12/2),I391-(ROUNDUP(Z391/2,0)*('Parametros'!$B$7+'Parametros'!$B$9+'Parametros'!$B$12/2)+ROUNDDOWN(Z391/2,0)*('Parametros'!$B$7+'Parametros'!$B$9+'Parametros'!$B$12/2+'Parametros'!$B$12+'Parametros'!$B$10))/Z391)</f>
        <v>489.35</v>
      </c>
      <c r="AC391" s="10">
        <f>Z391*'Parametros'!$B$8</f>
        <v>995</v>
      </c>
      <c r="AD391" s="10">
        <f>'Parametros'!$B$5*AC391*'Parametros'!$B$3*(AB391-(AC391*'Parametros'!$B$3/(0.85*'Parametros'!$B$2*H391))/2)/1000000</f>
        <v>177.445379382353</v>
      </c>
      <c r="AE391" s="10" t="str">
        <f>IF(AD391&gt;=L391,"CUMPLE","NO CUMPLE")</f>
        <v>CUMPLE</v>
      </c>
      <c r="AF391" s="10">
        <f>V391*1.25*'Parametros'!$B$3*(U391-(V391*1.25*'Parametros'!$B$3/(0.85*'Parametros'!$B$2*H391))/2)/1000000</f>
        <v>290.238924705882</v>
      </c>
      <c r="AG391" s="10">
        <f>AC391*1.25*'Parametros'!$B$3*(AB391-(AC391*1.25*'Parametros'!$B$3/(0.85*'Parametros'!$B$2*H391))/2)/1000000</f>
        <v>244.158843198529</v>
      </c>
      <c r="AH391" s="10">
        <f>N391+(AF391+AG391)/D391</f>
        <v>312.466625631956</v>
      </c>
      <c r="AI391" s="10">
        <f>MAX(O391,AH391)</f>
        <v>412.139</v>
      </c>
      <c r="AJ391" s="10">
        <f>0.17*SQRT('Parametros'!$B$2)*H391*MIN(U391,AB391)/1000</f>
        <v>220.098728691808</v>
      </c>
      <c r="AK391" s="10">
        <f>MAX(AI391/'Parametros'!$B$6-AJ391,0)</f>
        <v>329.419937974859</v>
      </c>
      <c r="AL391" s="10">
        <f>0.66*SQRT('Parametros'!$B$2)*H391*MIN(U391,AB391)/1000</f>
        <v>854.500946685842</v>
      </c>
      <c r="AM391" s="10" t="str">
        <f>IF(AK391&lt;=AL391,"CUMPLE","NO CUMPLE")</f>
        <v>CUMPLE</v>
      </c>
      <c r="AN391" s="17" t="inlineStr">
        <is>
          <t>Nº4 cerrado</t>
        </is>
      </c>
      <c r="AO391" s="31" t="n">
        <v>2</v>
      </c>
      <c r="AP391" s="10">
        <f>ROUNDDOWN(MIN(IF(BC391+BD391=0,1000000000,AO391*BB391/(BC391+BD391)),MIN(U391,AB391)/4,8*'Parametros'!$B$12,24*BA391,300,IF(AV391=0,1000000000,2*((H391-2*('Parametros'!$B$7+'Parametros'!$B$9/2))+(I391-2*('Parametros'!$B$7+'Parametros'!$B$9/2)))/8))/10,0)*10</f>
        <v>90</v>
      </c>
      <c r="AQ391" s="10">
        <f>ROUNDDOWN(MIN(IF(BC391+BD391=0,1000000000,AO391*BB391/(BC391+BD391)),IF(AK391&gt;0.33*SQRT('Parametros'!$B$2)*H391*MIN(U391,AB391)/1000,MIN(U391,AB391)/4,MIN(U391,AB391)/2),600,IF(AV391=0,1000000000,2*((H391-2*('Parametros'!$B$7+'Parametros'!$B$9/2))+(I391-2*('Parametros'!$B$7+'Parametros'!$B$9/2)))/8))/10,0)*10</f>
        <v>90</v>
      </c>
      <c r="AR391" s="10">
        <f>'Parametros'!$B$6*(AJ391+MAX(BE391-BD391,0)*'Parametros'!$B$4*MIN(U391,AB391)/1000)</f>
        <v>452.218261128116</v>
      </c>
      <c r="AS391" s="10" t="str">
        <f>IF(AND(ISERROR(SEARCH("referencia",AN391)),AM391="CUMPLE",AR391&gt;=AI391),"CUMPLE","NO CUMPLE")</f>
        <v>CUMPLE</v>
      </c>
      <c r="AT391" s="10">
        <f>'Parametros'!$B$6*0.083*SQRT('Parametros'!$B$2)*(H391*I391)^2/(2*(H391+I391))/1000000</f>
        <v>11.862178757599</v>
      </c>
      <c r="AU391" s="10" t="str">
        <f>IF(Q391&lt;=AT391,"DESPRECIABLE","DISEÑAR")</f>
        <v>DISEÑAR</v>
      </c>
      <c r="AV391" s="10">
        <f>IF(Q391&lt;=AT391,0,Q391*1000000/('Parametros'!$B$6*2*0.85*(H391-2*('Parametros'!$B$7+'Parametros'!$B$9/2))*(I391-2*('Parametros'!$B$7+'Parametros'!$B$9/2))*'Parametros'!$B$4))</f>
        <v>0.501925409283579</v>
      </c>
      <c r="AW391" s="10">
        <f>AV391*2*((H391-2*('Parametros'!$B$7+'Parametros'!$B$9/2))+(I391-2*('Parametros'!$B$7+'Parametros'!$B$9/2)))*'Parametros'!$B$4/'Parametros'!$B$3</f>
        <v>867.929417733165</v>
      </c>
      <c r="AX391" s="31" t="n">
        <v>8</v>
      </c>
      <c r="AY391" s="10" t="str">
        <f>IF(AV391=0,"DESPRECIABLE",IF(AND(ISERROR(SEARCH("referencia",AN391)),BB391/AP391&gt;=AV391,BI391&gt;=AW391,BH391="CUMPLE"),"CUMPLE","NO CUMPLE"))</f>
        <v>CUMPLE</v>
      </c>
      <c r="AZ391" s="10" t="str">
        <f>IF(AND(X391="CUMPLE",AE391="CUMPLE",AS391="CUMPLE",OR(AY391="CUMPLE",AY391="DESPRECIABLE"),BH391="CUMPLE",BJ391="CUMPLE"),"CUMPLE","NO CUMPLE")</f>
        <v>CUMPLE</v>
      </c>
      <c r="BA391" s="32" t="n">
        <v>12.7</v>
      </c>
      <c r="BB391" s="32" t="n">
        <v>129</v>
      </c>
      <c r="BC391" s="10">
        <f>MAX(IF(AK391=0,0,AK391*1000/('Parametros'!$B$4*MIN(U391,AB391))),MAX(0.062*SQRT('Parametros'!$B$2)*H391/'Parametros'!$B$4,0.35*H391/'Parametros'!$B$4))</f>
        <v>1.60280614213636</v>
      </c>
      <c r="BD391" s="10">
        <f>2*AV391</f>
        <v>1.00385081856716</v>
      </c>
      <c r="BE391" s="10">
        <f>AO391*BB391/AP391</f>
        <v>2.86666666666667</v>
      </c>
      <c r="BF391" s="10">
        <f>SQRT((AI391*1000/(H391*MIN(U391,AB391)))^2+(Q391*1000000*2*((H391-2*('Parametros'!$B$7+'Parametros'!$B$9/2))+(I391-2*('Parametros'!$B$7+'Parametros'!$B$9/2)))/(1.7*((H391-2*('Parametros'!$B$7+'Parametros'!$B$9/2))*(I391-2*('Parametros'!$B$7+'Parametros'!$B$9/2)))^2))^2)</f>
        <v>2.23425154604949</v>
      </c>
      <c r="BG391" s="10">
        <f>'Parametros'!$B$6*(AJ391*1000/(H391*MIN(U391,AB391))+0.66*SQRT('Parametros'!$B$2))</f>
        <v>3.29396038227542</v>
      </c>
      <c r="BH391" s="10" t="str">
        <f>IF(BF391&lt;=BG391,"CUMPLE","NO CUMPLE")</f>
        <v>CUMPLE</v>
      </c>
      <c r="BI391" s="10">
        <f>AX391*'Parametros'!$B$8</f>
        <v>1592</v>
      </c>
      <c r="BJ391" s="10" t="str">
        <f>IF(BI391&gt;=AW391,"CUMPLE","NO CUMPLE")</f>
        <v>CUMPLE</v>
      </c>
    </row>
    <row r="392">
      <c r="A392" s="25" t="inlineStr">
        <is>
          <t>VR2</t>
        </is>
      </c>
      <c r="B392" s="25" t="inlineStr">
        <is>
          <t>213</t>
        </is>
      </c>
      <c r="C392" s="10" t="n">
        <v>1</v>
      </c>
      <c r="D392" s="10" t="n">
        <v>2</v>
      </c>
      <c r="E392" s="10" t="n">
        <v>2</v>
      </c>
      <c r="F392" s="10" t="n">
        <v>500</v>
      </c>
      <c r="G392" s="10" t="n">
        <v>550</v>
      </c>
      <c r="H392" s="17" t="n">
        <v>500</v>
      </c>
      <c r="I392" s="17" t="n">
        <v>550</v>
      </c>
      <c r="J392" s="30" t="n">
        <v>178.9673</v>
      </c>
      <c r="K392" s="10" t="inlineStr">
        <is>
          <t>213</t>
        </is>
      </c>
      <c r="L392" s="30" t="n">
        <v>133.0852</v>
      </c>
      <c r="M392" s="10" t="inlineStr">
        <is>
          <t>213</t>
        </is>
      </c>
      <c r="N392" s="30" t="n">
        <v>165.555</v>
      </c>
      <c r="O392" s="30" t="n">
        <v>626.307</v>
      </c>
      <c r="P392" s="10" t="inlineStr">
        <is>
          <t>213</t>
        </is>
      </c>
      <c r="Q392" s="30" t="n">
        <v>43.2716</v>
      </c>
      <c r="R392" s="10">
        <f>MAX(MAX(1.4/'Parametros'!$B$3,0.25*SQRT('Parametros'!$B$2)/'Parametros'!$B$3)*H392*U392,(0.85*'Parametros'!$B$2/'Parametros'!$B$3)*(1-SQRT(1-2*(J392*1000000/('Parametros'!$B$5*H392*U392^2))/(0.85*'Parametros'!$B$2)))*H392*U392)</f>
        <v>1003.86689915295</v>
      </c>
      <c r="S392" s="31" t="n">
        <v>6</v>
      </c>
      <c r="T392" s="32" t="n">
        <v>1</v>
      </c>
      <c r="U392" s="10">
        <f>IF(T392=1,I392-('Parametros'!$B$7+'Parametros'!$B$9+'Parametros'!$B$12/2),I392-(ROUNDUP(S392/2,0)*('Parametros'!$B$7+'Parametros'!$B$9+'Parametros'!$B$12/2)+ROUNDDOWN(S392/2,0)*('Parametros'!$B$7+'Parametros'!$B$9+'Parametros'!$B$12/2+'Parametros'!$B$12+'Parametros'!$B$10))/S392)</f>
        <v>489.35</v>
      </c>
      <c r="V392" s="10">
        <f>S392*'Parametros'!$B$8</f>
        <v>1194</v>
      </c>
      <c r="W392" s="10">
        <f>'Parametros'!$B$5*V392*'Parametros'!$B$3*(U392-(V392*'Parametros'!$B$3/(0.85*'Parametros'!$B$2*H392))/2)/1000000</f>
        <v>211.349483470588</v>
      </c>
      <c r="X392" s="10" t="str">
        <f>IF(W392&gt;=J392,"CUMPLE","NO CUMPLE")</f>
        <v>CUMPLE</v>
      </c>
      <c r="Y392" s="10">
        <f>MAX(MAX(1.4/'Parametros'!$B$3,0.25*SQRT('Parametros'!$B$2)/'Parametros'!$B$3)*H392*AB392,(0.85*'Parametros'!$B$2/'Parametros'!$B$3)*(1-SQRT(1-2*(L392*1000000/('Parametros'!$B$5*H392*AB392^2))/(0.85*'Parametros'!$B$2)))*H392*AB392)</f>
        <v>815.583333333333</v>
      </c>
      <c r="Z392" s="31" t="n">
        <v>5</v>
      </c>
      <c r="AA392" s="32" t="n">
        <v>1</v>
      </c>
      <c r="AB392" s="10">
        <f>IF(AA392=1,I392-('Parametros'!$B$7+'Parametros'!$B$9+'Parametros'!$B$12/2),I392-(ROUNDUP(Z392/2,0)*('Parametros'!$B$7+'Parametros'!$B$9+'Parametros'!$B$12/2)+ROUNDDOWN(Z392/2,0)*('Parametros'!$B$7+'Parametros'!$B$9+'Parametros'!$B$12/2+'Parametros'!$B$12+'Parametros'!$B$10))/Z392)</f>
        <v>489.35</v>
      </c>
      <c r="AC392" s="10">
        <f>Z392*'Parametros'!$B$8</f>
        <v>995</v>
      </c>
      <c r="AD392" s="10">
        <f>'Parametros'!$B$5*AC392*'Parametros'!$B$3*(AB392-(AC392*'Parametros'!$B$3/(0.85*'Parametros'!$B$2*H392))/2)/1000000</f>
        <v>177.445379382353</v>
      </c>
      <c r="AE392" s="10" t="str">
        <f>IF(AD392&gt;=L392,"CUMPLE","NO CUMPLE")</f>
        <v>CUMPLE</v>
      </c>
      <c r="AF392" s="10">
        <f>V392*1.25*'Parametros'!$B$3*(U392-(V392*1.25*'Parametros'!$B$3/(0.85*'Parametros'!$B$2*H392))/2)/1000000</f>
        <v>290.238924705882</v>
      </c>
      <c r="AG392" s="10">
        <f>AC392*1.25*'Parametros'!$B$3*(AB392-(AC392*1.25*'Parametros'!$B$3/(0.85*'Parametros'!$B$2*H392))/2)/1000000</f>
        <v>244.158843198529</v>
      </c>
      <c r="AH392" s="10">
        <f>N392+(AF392+AG392)/D392</f>
        <v>432.753883952206</v>
      </c>
      <c r="AI392" s="10">
        <f>MAX(O392,AH392)</f>
        <v>626.307</v>
      </c>
      <c r="AJ392" s="10">
        <f>0.17*SQRT('Parametros'!$B$2)*H392*MIN(U392,AB392)/1000</f>
        <v>220.098728691808</v>
      </c>
      <c r="AK392" s="10">
        <f>MAX(AI392/'Parametros'!$B$6-AJ392,0)</f>
        <v>614.977271308192</v>
      </c>
      <c r="AL392" s="10">
        <f>0.66*SQRT('Parametros'!$B$2)*H392*MIN(U392,AB392)/1000</f>
        <v>854.500946685842</v>
      </c>
      <c r="AM392" s="10" t="str">
        <f>IF(AK392&lt;=AL392,"CUMPLE","NO CUMPLE")</f>
        <v>CUMPLE</v>
      </c>
      <c r="AN392" s="17" t="inlineStr">
        <is>
          <t>Nº4 cerrado</t>
        </is>
      </c>
      <c r="AO392" s="31" t="n">
        <v>4</v>
      </c>
      <c r="AP392" s="10">
        <f>ROUNDDOWN(MIN(IF(BC392+BD392=0,1000000000,AO392*BB392/(BC392+BD392)),MIN(U392,AB392)/4,8*'Parametros'!$B$12,24*BA392,300,IF(AV392=0,1000000000,2*((H392-2*('Parametros'!$B$7+'Parametros'!$B$9/2))+(I392-2*('Parametros'!$B$7+'Parametros'!$B$9/2)))/8))/10,0)*10</f>
        <v>120</v>
      </c>
      <c r="AQ392" s="10">
        <f>ROUNDDOWN(MIN(IF(BC392+BD392=0,1000000000,AO392*BB392/(BC392+BD392)),IF(AK392&gt;0.33*SQRT('Parametros'!$B$2)*H392*MIN(U392,AB392)/1000,MIN(U392,AB392)/4,MIN(U392,AB392)/2),600,IF(AV392=0,1000000000,2*((H392-2*('Parametros'!$B$7+'Parametros'!$B$9/2))+(I392-2*('Parametros'!$B$7+'Parametros'!$B$9/2)))/8))/10,0)*10</f>
        <v>120</v>
      </c>
      <c r="AR392" s="10">
        <f>'Parametros'!$B$6*(AJ392+MAX(BE392-BD392,0)*'Parametros'!$B$4*MIN(U392,AB392)/1000)</f>
        <v>694.150401996259</v>
      </c>
      <c r="AS392" s="10" t="str">
        <f>IF(AND(ISERROR(SEARCH("referencia",AN392)),AM392="CUMPLE",AR392&gt;=AI392),"CUMPLE","NO CUMPLE")</f>
        <v>CUMPLE</v>
      </c>
      <c r="AT392" s="10">
        <f>'Parametros'!$B$6*0.083*SQRT('Parametros'!$B$2)*(H392*I392)^2/(2*(H392+I392))/1000000</f>
        <v>11.862178757599</v>
      </c>
      <c r="AU392" s="10" t="str">
        <f>IF(Q392&lt;=AT392,"DESPRECIABLE","DISEÑAR")</f>
        <v>DISEÑAR</v>
      </c>
      <c r="AV392" s="10">
        <f>IF(Q392&lt;=AT392,0,Q392*1000000/('Parametros'!$B$6*2*0.85*(H392-2*('Parametros'!$B$7+'Parametros'!$B$9/2))*(I392-2*('Parametros'!$B$7+'Parametros'!$B$9/2))*'Parametros'!$B$4))</f>
        <v>0.433838277606988</v>
      </c>
      <c r="AW392" s="10">
        <f>AV392*2*((H392-2*('Parametros'!$B$7+'Parametros'!$B$9/2))+(I392-2*('Parametros'!$B$7+'Parametros'!$B$9/2)))*'Parametros'!$B$4/'Parametros'!$B$3</f>
        <v>750.193149638003</v>
      </c>
      <c r="AX392" s="31" t="n">
        <v>8</v>
      </c>
      <c r="AY392" s="10" t="str">
        <f>IF(AV392=0,"DESPRECIABLE",IF(AND(ISERROR(SEARCH("referencia",AN392)),BB392/AP392&gt;=AV392,BI392&gt;=AW392,BH392="CUMPLE"),"CUMPLE","NO CUMPLE"))</f>
        <v>CUMPLE</v>
      </c>
      <c r="AZ392" s="10" t="str">
        <f>IF(AND(X392="CUMPLE",AE392="CUMPLE",AS392="CUMPLE",OR(AY392="CUMPLE",AY392="DESPRECIABLE"),BH392="CUMPLE",BJ392="CUMPLE"),"CUMPLE","NO CUMPLE")</f>
        <v>CUMPLE</v>
      </c>
      <c r="BA392" s="32" t="n">
        <v>12.7</v>
      </c>
      <c r="BB392" s="32" t="n">
        <v>129</v>
      </c>
      <c r="BC392" s="10">
        <f>MAX(IF(AK392=0,0,AK392*1000/('Parametros'!$B$4*MIN(U392,AB392))),MAX(0.062*SQRT('Parametros'!$B$2)*H392/'Parametros'!$B$4,0.35*H392/'Parametros'!$B$4))</f>
        <v>2.9921969926491</v>
      </c>
      <c r="BD392" s="10">
        <f>2*AV392</f>
        <v>0.867676555213975</v>
      </c>
      <c r="BE392" s="10">
        <f>AO392*BB392/AP392</f>
        <v>4.3</v>
      </c>
      <c r="BF392" s="10">
        <f>SQRT((AI392*1000/(H392*MIN(U392,AB392)))^2+(Q392*1000000*2*((H392-2*('Parametros'!$B$7+'Parametros'!$B$9/2))+(I392-2*('Parametros'!$B$7+'Parametros'!$B$9/2)))/(1.7*((H392-2*('Parametros'!$B$7+'Parametros'!$B$9/2))*(I392-2*('Parametros'!$B$7+'Parametros'!$B$9/2)))^2))^2)</f>
        <v>2.85691979459387</v>
      </c>
      <c r="BG392" s="10">
        <f>'Parametros'!$B$6*(AJ392*1000/(H392*MIN(U392,AB392))+0.66*SQRT('Parametros'!$B$2))</f>
        <v>3.29396038227542</v>
      </c>
      <c r="BH392" s="10" t="str">
        <f>IF(BF392&lt;=BG392,"CUMPLE","NO CUMPLE")</f>
        <v>CUMPLE</v>
      </c>
      <c r="BI392" s="10">
        <f>AX392*'Parametros'!$B$8</f>
        <v>1592</v>
      </c>
      <c r="BJ392" s="10" t="str">
        <f>IF(BI392&gt;=AW392,"CUMPLE","NO CUMPLE")</f>
        <v>CUMPLE</v>
      </c>
    </row>
    <row r="393">
      <c r="A393" s="25" t="inlineStr">
        <is>
          <t>VR2</t>
        </is>
      </c>
      <c r="B393" s="25" t="inlineStr">
        <is>
          <t>214</t>
        </is>
      </c>
      <c r="C393" s="10" t="n">
        <v>1</v>
      </c>
      <c r="D393" s="10" t="n">
        <v>1.9</v>
      </c>
      <c r="E393" s="10" t="n">
        <v>1.9</v>
      </c>
      <c r="F393" s="10" t="n">
        <v>500</v>
      </c>
      <c r="G393" s="10" t="n">
        <v>550</v>
      </c>
      <c r="H393" s="17" t="n">
        <v>500</v>
      </c>
      <c r="I393" s="17" t="n">
        <v>550</v>
      </c>
      <c r="J393" s="30" t="n">
        <v>166.2335</v>
      </c>
      <c r="K393" s="10" t="inlineStr">
        <is>
          <t>214</t>
        </is>
      </c>
      <c r="L393" s="30" t="n">
        <v>136.2034</v>
      </c>
      <c r="M393" s="10" t="inlineStr">
        <is>
          <t>214</t>
        </is>
      </c>
      <c r="N393" s="30" t="n">
        <v>157.598</v>
      </c>
      <c r="O393" s="30" t="n">
        <v>599.5549999999999</v>
      </c>
      <c r="P393" s="10" t="inlineStr">
        <is>
          <t>214</t>
        </is>
      </c>
      <c r="Q393" s="30" t="n">
        <v>18.867</v>
      </c>
      <c r="R393" s="10">
        <f>MAX(MAX(1.4/'Parametros'!$B$3,0.25*SQRT('Parametros'!$B$2)/'Parametros'!$B$3)*H393*U393,(0.85*'Parametros'!$B$2/'Parametros'!$B$3)*(1-SQRT(1-2*(J393*1000000/('Parametros'!$B$5*H393*U393^2))/(0.85*'Parametros'!$B$2)))*H393*U393)</f>
        <v>929.865518240085</v>
      </c>
      <c r="S393" s="31" t="n">
        <v>5</v>
      </c>
      <c r="T393" s="32" t="n">
        <v>1</v>
      </c>
      <c r="U393" s="10">
        <f>IF(T393=1,I393-('Parametros'!$B$7+'Parametros'!$B$9+'Parametros'!$B$12/2),I393-(ROUNDUP(S393/2,0)*('Parametros'!$B$7+'Parametros'!$B$9+'Parametros'!$B$12/2)+ROUNDDOWN(S393/2,0)*('Parametros'!$B$7+'Parametros'!$B$9+'Parametros'!$B$12/2+'Parametros'!$B$12+'Parametros'!$B$10))/S393)</f>
        <v>489.35</v>
      </c>
      <c r="V393" s="10">
        <f>S393*'Parametros'!$B$8</f>
        <v>995</v>
      </c>
      <c r="W393" s="10">
        <f>'Parametros'!$B$5*V393*'Parametros'!$B$3*(U393-(V393*'Parametros'!$B$3/(0.85*'Parametros'!$B$2*H393))/2)/1000000</f>
        <v>177.445379382353</v>
      </c>
      <c r="X393" s="10" t="str">
        <f>IF(W393&gt;=J393,"CUMPLE","NO CUMPLE")</f>
        <v>CUMPLE</v>
      </c>
      <c r="Y393" s="10">
        <f>MAX(MAX(1.4/'Parametros'!$B$3,0.25*SQRT('Parametros'!$B$2)/'Parametros'!$B$3)*H393*AB393,(0.85*'Parametros'!$B$2/'Parametros'!$B$3)*(1-SQRT(1-2*(L393*1000000/('Parametros'!$B$5*H393*AB393^2))/(0.85*'Parametros'!$B$2)))*H393*AB393)</f>
        <v>815.583333333333</v>
      </c>
      <c r="Z393" s="31" t="n">
        <v>5</v>
      </c>
      <c r="AA393" s="32" t="n">
        <v>1</v>
      </c>
      <c r="AB393" s="10">
        <f>IF(AA393=1,I393-('Parametros'!$B$7+'Parametros'!$B$9+'Parametros'!$B$12/2),I393-(ROUNDUP(Z393/2,0)*('Parametros'!$B$7+'Parametros'!$B$9+'Parametros'!$B$12/2)+ROUNDDOWN(Z393/2,0)*('Parametros'!$B$7+'Parametros'!$B$9+'Parametros'!$B$12/2+'Parametros'!$B$12+'Parametros'!$B$10))/Z393)</f>
        <v>489.35</v>
      </c>
      <c r="AC393" s="10">
        <f>Z393*'Parametros'!$B$8</f>
        <v>995</v>
      </c>
      <c r="AD393" s="10">
        <f>'Parametros'!$B$5*AC393*'Parametros'!$B$3*(AB393-(AC393*'Parametros'!$B$3/(0.85*'Parametros'!$B$2*H393))/2)/1000000</f>
        <v>177.445379382353</v>
      </c>
      <c r="AE393" s="10" t="str">
        <f>IF(AD393&gt;=L393,"CUMPLE","NO CUMPLE")</f>
        <v>CUMPLE</v>
      </c>
      <c r="AF393" s="10">
        <f>V393*1.25*'Parametros'!$B$3*(U393-(V393*1.25*'Parametros'!$B$3/(0.85*'Parametros'!$B$2*H393))/2)/1000000</f>
        <v>244.158843198529</v>
      </c>
      <c r="AG393" s="10">
        <f>AC393*1.25*'Parametros'!$B$3*(AB393-(AC393*1.25*'Parametros'!$B$3/(0.85*'Parametros'!$B$2*H393))/2)/1000000</f>
        <v>244.158843198529</v>
      </c>
      <c r="AH393" s="10">
        <f>N393+(AF393+AG393)/D393</f>
        <v>414.607308630031</v>
      </c>
      <c r="AI393" s="10">
        <f>MAX(O393,AH393)</f>
        <v>599.555</v>
      </c>
      <c r="AJ393" s="10">
        <f>0.17*SQRT('Parametros'!$B$2)*H393*MIN(U393,AB393)/1000</f>
        <v>220.098728691808</v>
      </c>
      <c r="AK393" s="10">
        <f>MAX(AI393/'Parametros'!$B$6-AJ393,0)</f>
        <v>579.307937974859</v>
      </c>
      <c r="AL393" s="10">
        <f>0.66*SQRT('Parametros'!$B$2)*H393*MIN(U393,AB393)/1000</f>
        <v>854.500946685842</v>
      </c>
      <c r="AM393" s="10" t="str">
        <f>IF(AK393&lt;=AL393,"CUMPLE","NO CUMPLE")</f>
        <v>CUMPLE</v>
      </c>
      <c r="AN393" s="17" t="inlineStr">
        <is>
          <t>Nº4 cerrado</t>
        </is>
      </c>
      <c r="AO393" s="31" t="n">
        <v>2</v>
      </c>
      <c r="AP393" s="10">
        <f>ROUNDDOWN(MIN(IF(BC393+BD393=0,1000000000,AO393*BB393/(BC393+BD393)),MIN(U393,AB393)/4,8*'Parametros'!$B$12,24*BA393,300,IF(AV393=0,1000000000,2*((H393-2*('Parametros'!$B$7+'Parametros'!$B$9/2))+(I393-2*('Parametros'!$B$7+'Parametros'!$B$9/2)))/8))/10,0)*10</f>
        <v>80</v>
      </c>
      <c r="AQ393" s="10">
        <f>ROUNDDOWN(MIN(IF(BC393+BD393=0,1000000000,AO393*BB393/(BC393+BD393)),IF(AK393&gt;0.33*SQRT('Parametros'!$B$2)*H393*MIN(U393,AB393)/1000,MIN(U393,AB393)/4,MIN(U393,AB393)/2),600,IF(AV393=0,1000000000,2*((H393-2*('Parametros'!$B$7+'Parametros'!$B$9/2))+(I393-2*('Parametros'!$B$7+'Parametros'!$B$9/2)))/8))/10,0)*10</f>
        <v>80</v>
      </c>
      <c r="AR393" s="10">
        <f>'Parametros'!$B$6*(AJ393+MAX(BE393-BD393,0)*'Parametros'!$B$4*MIN(U393,AB393)/1000)</f>
        <v>603.876453916425</v>
      </c>
      <c r="AS393" s="10" t="str">
        <f>IF(AND(ISERROR(SEARCH("referencia",AN393)),AM393="CUMPLE",AR393&gt;=AI393),"CUMPLE","NO CUMPLE")</f>
        <v>CUMPLE</v>
      </c>
      <c r="AT393" s="10">
        <f>'Parametros'!$B$6*0.083*SQRT('Parametros'!$B$2)*(H393*I393)^2/(2*(H393+I393))/1000000</f>
        <v>11.862178757599</v>
      </c>
      <c r="AU393" s="10" t="str">
        <f>IF(Q393&lt;=AT393,"DESPRECIABLE","DISEÑAR")</f>
        <v>DISEÑAR</v>
      </c>
      <c r="AV393" s="10">
        <f>IF(Q393&lt;=AT393,0,Q393*1000000/('Parametros'!$B$6*2*0.85*(H393-2*('Parametros'!$B$7+'Parametros'!$B$9/2))*(I393-2*('Parametros'!$B$7+'Parametros'!$B$9/2))*'Parametros'!$B$4))</f>
        <v>0.189159328141576</v>
      </c>
      <c r="AW393" s="10">
        <f>AV393*2*((H393-2*('Parametros'!$B$7+'Parametros'!$B$9/2))+(I393-2*('Parametros'!$B$7+'Parametros'!$B$9/2)))*'Parametros'!$B$4/'Parametros'!$B$3</f>
        <v>327.094310222414</v>
      </c>
      <c r="AX393" s="31" t="n">
        <v>8</v>
      </c>
      <c r="AY393" s="10" t="str">
        <f>IF(AV393=0,"DESPRECIABLE",IF(AND(ISERROR(SEARCH("referencia",AN393)),BB393/AP393&gt;=AV393,BI393&gt;=AW393,BH393="CUMPLE"),"CUMPLE","NO CUMPLE"))</f>
        <v>CUMPLE</v>
      </c>
      <c r="AZ393" s="10" t="str">
        <f>IF(AND(X393="CUMPLE",AE393="CUMPLE",AS393="CUMPLE",OR(AY393="CUMPLE",AY393="DESPRECIABLE"),BH393="CUMPLE",BJ393="CUMPLE"),"CUMPLE","NO CUMPLE")</f>
        <v>CUMPLE</v>
      </c>
      <c r="BA393" s="32" t="n">
        <v>12.7</v>
      </c>
      <c r="BB393" s="32" t="n">
        <v>129</v>
      </c>
      <c r="BC393" s="10">
        <f>MAX(IF(AK393=0,0,AK393*1000/('Parametros'!$B$4*MIN(U393,AB393))),MAX(0.062*SQRT('Parametros'!$B$2)*H393/'Parametros'!$B$4,0.35*H393/'Parametros'!$B$4))</f>
        <v>2.81864639670145</v>
      </c>
      <c r="BD393" s="10">
        <f>2*AV393</f>
        <v>0.378318656283153</v>
      </c>
      <c r="BE393" s="10">
        <f>AO393*BB393/AP393</f>
        <v>3.225</v>
      </c>
      <c r="BF393" s="10">
        <f>SQRT((AI393*1000/(H393*MIN(U393,AB393)))^2+(Q393*1000000*2*((H393-2*('Parametros'!$B$7+'Parametros'!$B$9/2))+(I393-2*('Parametros'!$B$7+'Parametros'!$B$9/2)))/(1.7*((H393-2*('Parametros'!$B$7+'Parametros'!$B$9/2))*(I393-2*('Parametros'!$B$7+'Parametros'!$B$9/2)))^2))^2)</f>
        <v>2.51207842905978</v>
      </c>
      <c r="BG393" s="10">
        <f>'Parametros'!$B$6*(AJ393*1000/(H393*MIN(U393,AB393))+0.66*SQRT('Parametros'!$B$2))</f>
        <v>3.29396038227542</v>
      </c>
      <c r="BH393" s="10" t="str">
        <f>IF(BF393&lt;=BG393,"CUMPLE","NO CUMPLE")</f>
        <v>CUMPLE</v>
      </c>
      <c r="BI393" s="10">
        <f>AX393*'Parametros'!$B$8</f>
        <v>1592</v>
      </c>
      <c r="BJ393" s="10" t="str">
        <f>IF(BI393&gt;=AW393,"CUMPLE","NO CUMPLE")</f>
        <v>CUMPLE</v>
      </c>
    </row>
    <row r="394">
      <c r="A394" s="25" t="inlineStr">
        <is>
          <t>VR2</t>
        </is>
      </c>
      <c r="B394" s="25" t="inlineStr">
        <is>
          <t>215</t>
        </is>
      </c>
      <c r="C394" s="10" t="n">
        <v>1</v>
      </c>
      <c r="D394" s="10" t="n">
        <v>3.57612</v>
      </c>
      <c r="E394" s="10" t="n">
        <v>3.57612</v>
      </c>
      <c r="F394" s="10" t="n">
        <v>500</v>
      </c>
      <c r="G394" s="10" t="n">
        <v>550</v>
      </c>
      <c r="H394" s="17" t="n">
        <v>500</v>
      </c>
      <c r="I394" s="17" t="n">
        <v>550</v>
      </c>
      <c r="J394" s="30" t="n">
        <v>175.8407</v>
      </c>
      <c r="K394" s="10" t="inlineStr">
        <is>
          <t>215</t>
        </is>
      </c>
      <c r="L394" s="30" t="n">
        <v>111.2527</v>
      </c>
      <c r="M394" s="10" t="inlineStr">
        <is>
          <t>215</t>
        </is>
      </c>
      <c r="N394" s="30" t="n">
        <v>129.072</v>
      </c>
      <c r="O394" s="30" t="n">
        <v>381.642</v>
      </c>
      <c r="P394" s="10" t="inlineStr">
        <is>
          <t>215</t>
        </is>
      </c>
      <c r="Q394" s="30" t="n">
        <v>4.4261</v>
      </c>
      <c r="R394" s="10">
        <f>MAX(MAX(1.4/'Parametros'!$B$3,0.25*SQRT('Parametros'!$B$2)/'Parametros'!$B$3)*H394*U394,(0.85*'Parametros'!$B$2/'Parametros'!$B$3)*(1-SQRT(1-2*(J394*1000000/('Parametros'!$B$5*H394*U394^2))/(0.85*'Parametros'!$B$2)))*H394*U394)</f>
        <v>985.657549458916</v>
      </c>
      <c r="S394" s="31" t="n">
        <v>5</v>
      </c>
      <c r="T394" s="32" t="n">
        <v>1</v>
      </c>
      <c r="U394" s="10">
        <f>IF(T394=1,I394-('Parametros'!$B$7+'Parametros'!$B$9+'Parametros'!$B$12/2),I394-(ROUNDUP(S394/2,0)*('Parametros'!$B$7+'Parametros'!$B$9+'Parametros'!$B$12/2)+ROUNDDOWN(S394/2,0)*('Parametros'!$B$7+'Parametros'!$B$9+'Parametros'!$B$12/2+'Parametros'!$B$12+'Parametros'!$B$10))/S394)</f>
        <v>489.35</v>
      </c>
      <c r="V394" s="10">
        <f>S394*'Parametros'!$B$8</f>
        <v>995</v>
      </c>
      <c r="W394" s="10">
        <f>'Parametros'!$B$5*V394*'Parametros'!$B$3*(U394-(V394*'Parametros'!$B$3/(0.85*'Parametros'!$B$2*H394))/2)/1000000</f>
        <v>177.445379382353</v>
      </c>
      <c r="X394" s="10" t="str">
        <f>IF(W394&gt;=J394,"CUMPLE","NO CUMPLE")</f>
        <v>CUMPLE</v>
      </c>
      <c r="Y394" s="10">
        <f>MAX(MAX(1.4/'Parametros'!$B$3,0.25*SQRT('Parametros'!$B$2)/'Parametros'!$B$3)*H394*AB394,(0.85*'Parametros'!$B$2/'Parametros'!$B$3)*(1-SQRT(1-2*(L394*1000000/('Parametros'!$B$5*H394*AB394^2))/(0.85*'Parametros'!$B$2)))*H394*AB394)</f>
        <v>815.583333333333</v>
      </c>
      <c r="Z394" s="31" t="n">
        <v>5</v>
      </c>
      <c r="AA394" s="32" t="n">
        <v>1</v>
      </c>
      <c r="AB394" s="10">
        <f>IF(AA394=1,I394-('Parametros'!$B$7+'Parametros'!$B$9+'Parametros'!$B$12/2),I394-(ROUNDUP(Z394/2,0)*('Parametros'!$B$7+'Parametros'!$B$9+'Parametros'!$B$12/2)+ROUNDDOWN(Z394/2,0)*('Parametros'!$B$7+'Parametros'!$B$9+'Parametros'!$B$12/2+'Parametros'!$B$12+'Parametros'!$B$10))/Z394)</f>
        <v>489.35</v>
      </c>
      <c r="AC394" s="10">
        <f>Z394*'Parametros'!$B$8</f>
        <v>995</v>
      </c>
      <c r="AD394" s="10">
        <f>'Parametros'!$B$5*AC394*'Parametros'!$B$3*(AB394-(AC394*'Parametros'!$B$3/(0.85*'Parametros'!$B$2*H394))/2)/1000000</f>
        <v>177.445379382353</v>
      </c>
      <c r="AE394" s="10" t="str">
        <f>IF(AD394&gt;=L394,"CUMPLE","NO CUMPLE")</f>
        <v>CUMPLE</v>
      </c>
      <c r="AF394" s="10">
        <f>V394*1.25*'Parametros'!$B$3*(U394-(V394*1.25*'Parametros'!$B$3/(0.85*'Parametros'!$B$2*H394))/2)/1000000</f>
        <v>244.158843198529</v>
      </c>
      <c r="AG394" s="10">
        <f>AC394*1.25*'Parametros'!$B$3*(AB394-(AC394*1.25*'Parametros'!$B$3/(0.85*'Parametros'!$B$2*H394))/2)/1000000</f>
        <v>244.158843198529</v>
      </c>
      <c r="AH394" s="10">
        <f>N394+(AF394+AG394)/D394</f>
        <v>265.621580662019</v>
      </c>
      <c r="AI394" s="10">
        <f>MAX(O394,AH394)</f>
        <v>381.642</v>
      </c>
      <c r="AJ394" s="10">
        <f>0.17*SQRT('Parametros'!$B$2)*H394*MIN(U394,AB394)/1000</f>
        <v>220.098728691808</v>
      </c>
      <c r="AK394" s="10">
        <f>MAX(AI394/'Parametros'!$B$6-AJ394,0)</f>
        <v>288.757271308192</v>
      </c>
      <c r="AL394" s="10">
        <f>0.66*SQRT('Parametros'!$B$2)*H394*MIN(U394,AB394)/1000</f>
        <v>854.500946685842</v>
      </c>
      <c r="AM394" s="10" t="str">
        <f>IF(AK394&lt;=AL394,"CUMPLE","NO CUMPLE")</f>
        <v>CUMPLE</v>
      </c>
      <c r="AN394" s="17" t="inlineStr">
        <is>
          <t>Nº3 cerrado</t>
        </is>
      </c>
      <c r="AO394" s="31" t="n">
        <v>2</v>
      </c>
      <c r="AP394" s="10">
        <f>ROUNDDOWN(MIN(IF(BC394+BD394=0,1000000000,AO394*BB394/(BC394+BD394)),MIN(U394,AB394)/4,8*'Parametros'!$B$12,24*BA394,300,IF(AV394=0,1000000000,2*((H394-2*('Parametros'!$B$7+'Parametros'!$B$9/2))+(I394-2*('Parametros'!$B$7+'Parametros'!$B$9/2)))/8))/10,0)*10</f>
        <v>100</v>
      </c>
      <c r="AQ394" s="10">
        <f>ROUNDDOWN(MIN(IF(BC394+BD394=0,1000000000,AO394*BB394/(BC394+BD394)),IF(AK394&gt;0.33*SQRT('Parametros'!$B$2)*H394*MIN(U394,AB394)/1000,MIN(U394,AB394)/4,MIN(U394,AB394)/2),600,IF(AV394=0,1000000000,2*((H394-2*('Parametros'!$B$7+'Parametros'!$B$9/2))+(I394-2*('Parametros'!$B$7+'Parametros'!$B$9/2)))/8))/10,0)*10</f>
        <v>100</v>
      </c>
      <c r="AR394" s="10">
        <f>'Parametros'!$B$6*(AJ394+MAX(BE394-BD394,0)*'Parametros'!$B$4*MIN(U394,AB394)/1000)</f>
        <v>383.960301518856</v>
      </c>
      <c r="AS394" s="10" t="str">
        <f>IF(AND(ISERROR(SEARCH("referencia",AN394)),AM394="CUMPLE",AR394&gt;=AI394),"CUMPLE","NO CUMPLE")</f>
        <v>CUMPLE</v>
      </c>
      <c r="AT394" s="10">
        <f>'Parametros'!$B$6*0.083*SQRT('Parametros'!$B$2)*(H394*I394)^2/(2*(H394+I394))/1000000</f>
        <v>11.862178757599</v>
      </c>
      <c r="AU394" s="10" t="str">
        <f>IF(Q394&lt;=AT394,"DESPRECIABLE","DISEÑAR")</f>
        <v>DESPRECIABLE</v>
      </c>
      <c r="AV394" s="10">
        <f>IF(Q394&lt;=AT394,0,Q394*1000000/('Parametros'!$B$6*2*0.85*(H394-2*('Parametros'!$B$7+'Parametros'!$B$9/2))*(I394-2*('Parametros'!$B$7+'Parametros'!$B$9/2))*'Parametros'!$B$4))</f>
        <v>0</v>
      </c>
      <c r="AW394" s="10">
        <f>AV394*2*((H394-2*('Parametros'!$B$7+'Parametros'!$B$9/2))+(I394-2*('Parametros'!$B$7+'Parametros'!$B$9/2)))*'Parametros'!$B$4/'Parametros'!$B$3</f>
        <v>0</v>
      </c>
      <c r="AX394" s="31" t="n">
        <v>0</v>
      </c>
      <c r="AY394" s="10" t="str">
        <f>IF(AV394=0,"DESPRECIABLE",IF(AND(ISERROR(SEARCH("referencia",AN394)),BB394/AP394&gt;=AV394,BI394&gt;=AW394,BH394="CUMPLE"),"CUMPLE","NO CUMPLE"))</f>
        <v>DESPRECIABLE</v>
      </c>
      <c r="AZ394" s="10" t="str">
        <f>IF(AND(X394="CUMPLE",AE394="CUMPLE",AS394="CUMPLE",OR(AY394="CUMPLE",AY394="DESPRECIABLE"),BH394="CUMPLE",BJ394="CUMPLE"),"CUMPLE","NO CUMPLE")</f>
        <v>CUMPLE</v>
      </c>
      <c r="BA394" s="32" t="n">
        <v>9.5</v>
      </c>
      <c r="BB394" s="32" t="n">
        <v>71</v>
      </c>
      <c r="BC394" s="10">
        <f>MAX(IF(AK394=0,0,AK394*1000/('Parametros'!$B$4*MIN(U394,AB394))),MAX(0.062*SQRT('Parametros'!$B$2)*H394/'Parametros'!$B$4,0.35*H394/'Parametros'!$B$4))</f>
        <v>1.40496027922459</v>
      </c>
      <c r="BD394" s="10">
        <f>2*AV394</f>
        <v>0</v>
      </c>
      <c r="BE394" s="10">
        <f>AO394*BB394/AP394</f>
        <v>1.42</v>
      </c>
      <c r="BF394" s="10">
        <f>SQRT((AI394*1000/(H394*MIN(U394,AB394)))^2+(Q394*1000000*2*((H394-2*('Parametros'!$B$7+'Parametros'!$B$9/2))+(I394-2*('Parametros'!$B$7+'Parametros'!$B$9/2)))/(1.7*((H394-2*('Parametros'!$B$7+'Parametros'!$B$9/2))*(I394-2*('Parametros'!$B$7+'Parametros'!$B$9/2)))^2))^2)</f>
        <v>1.56518078665263</v>
      </c>
      <c r="BG394" s="10">
        <f>'Parametros'!$B$6*(AJ394*1000/(H394*MIN(U394,AB394))+0.66*SQRT('Parametros'!$B$2))</f>
        <v>3.29396038227542</v>
      </c>
      <c r="BH394" s="10" t="str">
        <f>IF(BF394&lt;=BG394,"CUMPLE","NO CUMPLE")</f>
        <v>CUMPLE</v>
      </c>
      <c r="BI394" s="10">
        <f>AX394*'Parametros'!$B$8</f>
        <v>0</v>
      </c>
      <c r="BJ394" s="10" t="str">
        <f>IF(BI394&gt;=AW394,"CUMPLE","NO CUMPLE")</f>
        <v>CUMPLE</v>
      </c>
    </row>
    <row r="395">
      <c r="A395" s="25" t="inlineStr">
        <is>
          <t>VR2</t>
        </is>
      </c>
      <c r="B395" s="25" t="inlineStr">
        <is>
          <t>216</t>
        </is>
      </c>
      <c r="C395" s="10" t="n">
        <v>1</v>
      </c>
      <c r="D395" s="10" t="n">
        <v>2.1</v>
      </c>
      <c r="E395" s="10" t="n">
        <v>2.1</v>
      </c>
      <c r="F395" s="10" t="n">
        <v>500</v>
      </c>
      <c r="G395" s="10" t="n">
        <v>550</v>
      </c>
      <c r="H395" s="17" t="n">
        <v>500</v>
      </c>
      <c r="I395" s="17" t="n">
        <v>550</v>
      </c>
      <c r="J395" s="30" t="n">
        <v>206.4651</v>
      </c>
      <c r="K395" s="10" t="inlineStr">
        <is>
          <t>216</t>
        </is>
      </c>
      <c r="L395" s="30" t="n">
        <v>169.422</v>
      </c>
      <c r="M395" s="10" t="inlineStr">
        <is>
          <t>216</t>
        </is>
      </c>
      <c r="N395" s="30" t="n">
        <v>180.795</v>
      </c>
      <c r="O395" s="30" t="n">
        <v>619.521</v>
      </c>
      <c r="P395" s="10" t="inlineStr">
        <is>
          <t>216</t>
        </is>
      </c>
      <c r="Q395" s="30" t="n">
        <v>71.8248</v>
      </c>
      <c r="R395" s="10">
        <f>MAX(MAX(1.4/'Parametros'!$B$3,0.25*SQRT('Parametros'!$B$2)/'Parametros'!$B$3)*H395*U395,(0.85*'Parametros'!$B$2/'Parametros'!$B$3)*(1-SQRT(1-2*(J395*1000000/('Parametros'!$B$5*H395*U395^2))/(0.85*'Parametros'!$B$2)))*H395*U395)</f>
        <v>1165.13887441562</v>
      </c>
      <c r="S395" s="31" t="n">
        <v>6</v>
      </c>
      <c r="T395" s="32" t="n">
        <v>1</v>
      </c>
      <c r="U395" s="10">
        <f>IF(T395=1,I395-('Parametros'!$B$7+'Parametros'!$B$9+'Parametros'!$B$12/2),I395-(ROUNDUP(S395/2,0)*('Parametros'!$B$7+'Parametros'!$B$9+'Parametros'!$B$12/2)+ROUNDDOWN(S395/2,0)*('Parametros'!$B$7+'Parametros'!$B$9+'Parametros'!$B$12/2+'Parametros'!$B$12+'Parametros'!$B$10))/S395)</f>
        <v>489.35</v>
      </c>
      <c r="V395" s="10">
        <f>S395*'Parametros'!$B$8</f>
        <v>1194</v>
      </c>
      <c r="W395" s="10">
        <f>'Parametros'!$B$5*V395*'Parametros'!$B$3*(U395-(V395*'Parametros'!$B$3/(0.85*'Parametros'!$B$2*H395))/2)/1000000</f>
        <v>211.349483470588</v>
      </c>
      <c r="X395" s="10" t="str">
        <f>IF(W395&gt;=J395,"CUMPLE","NO CUMPLE")</f>
        <v>CUMPLE</v>
      </c>
      <c r="Y395" s="10">
        <f>MAX(MAX(1.4/'Parametros'!$B$3,0.25*SQRT('Parametros'!$B$2)/'Parametros'!$B$3)*H395*AB395,(0.85*'Parametros'!$B$2/'Parametros'!$B$3)*(1-SQRT(1-2*(L395*1000000/('Parametros'!$B$5*H395*AB395^2))/(0.85*'Parametros'!$B$2)))*H395*AB395)</f>
        <v>948.355422076397</v>
      </c>
      <c r="Z395" s="31" t="n">
        <v>5</v>
      </c>
      <c r="AA395" s="32" t="n">
        <v>1</v>
      </c>
      <c r="AB395" s="10">
        <f>IF(AA395=1,I395-('Parametros'!$B$7+'Parametros'!$B$9+'Parametros'!$B$12/2),I395-(ROUNDUP(Z395/2,0)*('Parametros'!$B$7+'Parametros'!$B$9+'Parametros'!$B$12/2)+ROUNDDOWN(Z395/2,0)*('Parametros'!$B$7+'Parametros'!$B$9+'Parametros'!$B$12/2+'Parametros'!$B$12+'Parametros'!$B$10))/Z395)</f>
        <v>489.35</v>
      </c>
      <c r="AC395" s="10">
        <f>Z395*'Parametros'!$B$8</f>
        <v>995</v>
      </c>
      <c r="AD395" s="10">
        <f>'Parametros'!$B$5*AC395*'Parametros'!$B$3*(AB395-(AC395*'Parametros'!$B$3/(0.85*'Parametros'!$B$2*H395))/2)/1000000</f>
        <v>177.445379382353</v>
      </c>
      <c r="AE395" s="10" t="str">
        <f>IF(AD395&gt;=L395,"CUMPLE","NO CUMPLE")</f>
        <v>CUMPLE</v>
      </c>
      <c r="AF395" s="10">
        <f>V395*1.25*'Parametros'!$B$3*(U395-(V395*1.25*'Parametros'!$B$3/(0.85*'Parametros'!$B$2*H395))/2)/1000000</f>
        <v>290.238924705882</v>
      </c>
      <c r="AG395" s="10">
        <f>AC395*1.25*'Parametros'!$B$3*(AB395-(AC395*1.25*'Parametros'!$B$3/(0.85*'Parametros'!$B$2*H395))/2)/1000000</f>
        <v>244.158843198529</v>
      </c>
      <c r="AH395" s="10">
        <f>N395+(AF395+AG395)/D395</f>
        <v>435.270127573529</v>
      </c>
      <c r="AI395" s="10">
        <f>MAX(O395,AH395)</f>
        <v>619.521</v>
      </c>
      <c r="AJ395" s="10">
        <f>0.17*SQRT('Parametros'!$B$2)*H395*MIN(U395,AB395)/1000</f>
        <v>220.098728691808</v>
      </c>
      <c r="AK395" s="10">
        <f>MAX(AI395/'Parametros'!$B$6-AJ395,0)</f>
        <v>605.929271308192</v>
      </c>
      <c r="AL395" s="10">
        <f>0.66*SQRT('Parametros'!$B$2)*H395*MIN(U395,AB395)/1000</f>
        <v>854.500946685842</v>
      </c>
      <c r="AM395" s="10" t="str">
        <f>IF(AK395&lt;=AL395,"CUMPLE","NO CUMPLE")</f>
        <v>CUMPLE</v>
      </c>
      <c r="AN395" s="17" t="inlineStr">
        <is>
          <t>Nº4 cerrado</t>
        </is>
      </c>
      <c r="AO395" s="31" t="n">
        <v>4</v>
      </c>
      <c r="AP395" s="10">
        <f>ROUNDDOWN(MIN(IF(BC395+BD395=0,1000000000,AO395*BB395/(BC395+BD395)),MIN(U395,AB395)/4,8*'Parametros'!$B$12,24*BA395,300,IF(AV395=0,1000000000,2*((H395-2*('Parametros'!$B$7+'Parametros'!$B$9/2))+(I395-2*('Parametros'!$B$7+'Parametros'!$B$9/2)))/8))/10,0)*10</f>
        <v>110</v>
      </c>
      <c r="AQ395" s="10">
        <f>ROUNDDOWN(MIN(IF(BC395+BD395=0,1000000000,AO395*BB395/(BC395+BD395)),IF(AK395&gt;0.33*SQRT('Parametros'!$B$2)*H395*MIN(U395,AB395)/1000,MIN(U395,AB395)/4,MIN(U395,AB395)/2),600,IF(AV395=0,1000000000,2*((H395-2*('Parametros'!$B$7+'Parametros'!$B$9/2))+(I395-2*('Parametros'!$B$7+'Parametros'!$B$9/2)))/8))/10,0)*10</f>
        <v>110</v>
      </c>
      <c r="AR395" s="10">
        <f>'Parametros'!$B$6*(AJ395+MAX(BE395-BD395,0)*'Parametros'!$B$4*MIN(U395,AB395)/1000)</f>
        <v>666.15207515155</v>
      </c>
      <c r="AS395" s="10" t="str">
        <f>IF(AND(ISERROR(SEARCH("referencia",AN395)),AM395="CUMPLE",AR395&gt;=AI395),"CUMPLE","NO CUMPLE")</f>
        <v>CUMPLE</v>
      </c>
      <c r="AT395" s="10">
        <f>'Parametros'!$B$6*0.083*SQRT('Parametros'!$B$2)*(H395*I395)^2/(2*(H395+I395))/1000000</f>
        <v>11.862178757599</v>
      </c>
      <c r="AU395" s="10" t="str">
        <f>IF(Q395&lt;=AT395,"DESPRECIABLE","DISEÑAR")</f>
        <v>DISEÑAR</v>
      </c>
      <c r="AV395" s="10">
        <f>IF(Q395&lt;=AT395,0,Q395*1000000/('Parametros'!$B$6*2*0.85*(H395-2*('Parametros'!$B$7+'Parametros'!$B$9/2))*(I395-2*('Parametros'!$B$7+'Parametros'!$B$9/2))*'Parametros'!$B$4))</f>
        <v>0.720110823761228</v>
      </c>
      <c r="AW395" s="10">
        <f>AV395*2*((H395-2*('Parametros'!$B$7+'Parametros'!$B$9/2))+(I395-2*('Parametros'!$B$7+'Parametros'!$B$9/2)))*'Parametros'!$B$4/'Parametros'!$B$3</f>
        <v>1245.21563644792</v>
      </c>
      <c r="AX395" s="31" t="n">
        <v>8</v>
      </c>
      <c r="AY395" s="10" t="str">
        <f>IF(AV395=0,"DESPRECIABLE",IF(AND(ISERROR(SEARCH("referencia",AN395)),BB395/AP395&gt;=AV395,BI395&gt;=AW395,BH395="CUMPLE"),"CUMPLE","NO CUMPLE"))</f>
        <v>CUMPLE</v>
      </c>
      <c r="AZ395" s="10" t="str">
        <f>IF(AND(X395="CUMPLE",AE395="CUMPLE",AS395="CUMPLE",OR(AY395="CUMPLE",AY395="DESPRECIABLE"),BH395="CUMPLE",BJ395="CUMPLE"),"CUMPLE","NO CUMPLE")</f>
        <v>CUMPLE</v>
      </c>
      <c r="BA395" s="32" t="n">
        <v>12.7</v>
      </c>
      <c r="BB395" s="32" t="n">
        <v>129</v>
      </c>
      <c r="BC395" s="10">
        <f>MAX(IF(AK395=0,0,AK395*1000/('Parametros'!$B$4*MIN(U395,AB395))),MAX(0.062*SQRT('Parametros'!$B$2)*H395/'Parametros'!$B$4,0.35*H395/'Parametros'!$B$4))</f>
        <v>2.94817357966687</v>
      </c>
      <c r="BD395" s="10">
        <f>2*AV395</f>
        <v>1.44022164752246</v>
      </c>
      <c r="BE395" s="10">
        <f>AO395*BB395/AP395</f>
        <v>4.69090909090909</v>
      </c>
      <c r="BF395" s="10">
        <f>SQRT((AI395*1000/(H395*MIN(U395,AB395)))^2+(Q395*1000000*2*((H395-2*('Parametros'!$B$7+'Parametros'!$B$9/2))+(I395-2*('Parametros'!$B$7+'Parametros'!$B$9/2)))/(1.7*((H395-2*('Parametros'!$B$7+'Parametros'!$B$9/2))*(I395-2*('Parametros'!$B$7+'Parametros'!$B$9/2)))^2))^2)</f>
        <v>3.29331983571281</v>
      </c>
      <c r="BG395" s="10">
        <f>'Parametros'!$B$6*(AJ395*1000/(H395*MIN(U395,AB395))+0.66*SQRT('Parametros'!$B$2))</f>
        <v>3.29396038227542</v>
      </c>
      <c r="BH395" s="10" t="str">
        <f>IF(BF395&lt;=BG395,"CUMPLE","NO CUMPLE")</f>
        <v>CUMPLE</v>
      </c>
      <c r="BI395" s="10">
        <f>AX395*'Parametros'!$B$8</f>
        <v>1592</v>
      </c>
      <c r="BJ395" s="10" t="str">
        <f>IF(BI395&gt;=AW395,"CUMPLE","NO CUMPLE")</f>
        <v>CUMPLE</v>
      </c>
    </row>
    <row r="396">
      <c r="A396" s="25" t="inlineStr">
        <is>
          <t>VR2</t>
        </is>
      </c>
      <c r="B396" s="25" t="inlineStr">
        <is>
          <t>217</t>
        </is>
      </c>
      <c r="C396" s="10" t="n">
        <v>1</v>
      </c>
      <c r="D396" s="10" t="n">
        <v>2.2</v>
      </c>
      <c r="E396" s="10" t="n">
        <v>2.2</v>
      </c>
      <c r="F396" s="10" t="n">
        <v>500</v>
      </c>
      <c r="G396" s="10" t="n">
        <v>550</v>
      </c>
      <c r="H396" s="17" t="n">
        <v>500</v>
      </c>
      <c r="I396" s="17" t="n">
        <v>550</v>
      </c>
      <c r="J396" s="30" t="n">
        <v>206.327</v>
      </c>
      <c r="K396" s="10" t="inlineStr">
        <is>
          <t>217</t>
        </is>
      </c>
      <c r="L396" s="30" t="n">
        <v>166.9272</v>
      </c>
      <c r="M396" s="10" t="inlineStr">
        <is>
          <t>217</t>
        </is>
      </c>
      <c r="N396" s="30" t="n">
        <v>176.422</v>
      </c>
      <c r="O396" s="30" t="n">
        <v>598.201</v>
      </c>
      <c r="P396" s="10" t="inlineStr">
        <is>
          <t>217</t>
        </is>
      </c>
      <c r="Q396" s="30" t="n">
        <v>69.40949999999999</v>
      </c>
      <c r="R396" s="10">
        <f>MAX(MAX(1.4/'Parametros'!$B$3,0.25*SQRT('Parametros'!$B$2)/'Parametros'!$B$3)*H396*U396,(0.85*'Parametros'!$B$2/'Parametros'!$B$3)*(1-SQRT(1-2*(J396*1000000/('Parametros'!$B$5*H396*U396^2))/(0.85*'Parametros'!$B$2)))*H396*U396)</f>
        <v>1164.32381458207</v>
      </c>
      <c r="S396" s="31" t="n">
        <v>6</v>
      </c>
      <c r="T396" s="32" t="n">
        <v>1</v>
      </c>
      <c r="U396" s="10">
        <f>IF(T396=1,I396-('Parametros'!$B$7+'Parametros'!$B$9+'Parametros'!$B$12/2),I396-(ROUNDUP(S396/2,0)*('Parametros'!$B$7+'Parametros'!$B$9+'Parametros'!$B$12/2)+ROUNDDOWN(S396/2,0)*('Parametros'!$B$7+'Parametros'!$B$9+'Parametros'!$B$12/2+'Parametros'!$B$12+'Parametros'!$B$10))/S396)</f>
        <v>489.35</v>
      </c>
      <c r="V396" s="10">
        <f>S396*'Parametros'!$B$8</f>
        <v>1194</v>
      </c>
      <c r="W396" s="10">
        <f>'Parametros'!$B$5*V396*'Parametros'!$B$3*(U396-(V396*'Parametros'!$B$3/(0.85*'Parametros'!$B$2*H396))/2)/1000000</f>
        <v>211.349483470588</v>
      </c>
      <c r="X396" s="10" t="str">
        <f>IF(W396&gt;=J396,"CUMPLE","NO CUMPLE")</f>
        <v>CUMPLE</v>
      </c>
      <c r="Y396" s="10">
        <f>MAX(MAX(1.4/'Parametros'!$B$3,0.25*SQRT('Parametros'!$B$2)/'Parametros'!$B$3)*H396*AB396,(0.85*'Parametros'!$B$2/'Parametros'!$B$3)*(1-SQRT(1-2*(L396*1000000/('Parametros'!$B$5*H396*AB396^2))/(0.85*'Parametros'!$B$2)))*H396*AB396)</f>
        <v>933.885989058198</v>
      </c>
      <c r="Z396" s="31" t="n">
        <v>5</v>
      </c>
      <c r="AA396" s="32" t="n">
        <v>1</v>
      </c>
      <c r="AB396" s="10">
        <f>IF(AA396=1,I396-('Parametros'!$B$7+'Parametros'!$B$9+'Parametros'!$B$12/2),I396-(ROUNDUP(Z396/2,0)*('Parametros'!$B$7+'Parametros'!$B$9+'Parametros'!$B$12/2)+ROUNDDOWN(Z396/2,0)*('Parametros'!$B$7+'Parametros'!$B$9+'Parametros'!$B$12/2+'Parametros'!$B$12+'Parametros'!$B$10))/Z396)</f>
        <v>489.35</v>
      </c>
      <c r="AC396" s="10">
        <f>Z396*'Parametros'!$B$8</f>
        <v>995</v>
      </c>
      <c r="AD396" s="10">
        <f>'Parametros'!$B$5*AC396*'Parametros'!$B$3*(AB396-(AC396*'Parametros'!$B$3/(0.85*'Parametros'!$B$2*H396))/2)/1000000</f>
        <v>177.445379382353</v>
      </c>
      <c r="AE396" s="10" t="str">
        <f>IF(AD396&gt;=L396,"CUMPLE","NO CUMPLE")</f>
        <v>CUMPLE</v>
      </c>
      <c r="AF396" s="10">
        <f>V396*1.25*'Parametros'!$B$3*(U396-(V396*1.25*'Parametros'!$B$3/(0.85*'Parametros'!$B$2*H396))/2)/1000000</f>
        <v>290.238924705882</v>
      </c>
      <c r="AG396" s="10">
        <f>AC396*1.25*'Parametros'!$B$3*(AB396-(AC396*1.25*'Parametros'!$B$3/(0.85*'Parametros'!$B$2*H396))/2)/1000000</f>
        <v>244.158843198529</v>
      </c>
      <c r="AH396" s="10">
        <f>N396+(AF396+AG396)/D396</f>
        <v>419.330076320187</v>
      </c>
      <c r="AI396" s="10">
        <f>MAX(O396,AH396)</f>
        <v>598.201</v>
      </c>
      <c r="AJ396" s="10">
        <f>0.17*SQRT('Parametros'!$B$2)*H396*MIN(U396,AB396)/1000</f>
        <v>220.098728691808</v>
      </c>
      <c r="AK396" s="10">
        <f>MAX(AI396/'Parametros'!$B$6-AJ396,0)</f>
        <v>577.502604641526</v>
      </c>
      <c r="AL396" s="10">
        <f>0.66*SQRT('Parametros'!$B$2)*H396*MIN(U396,AB396)/1000</f>
        <v>854.500946685842</v>
      </c>
      <c r="AM396" s="10" t="str">
        <f>IF(AK396&lt;=AL396,"CUMPLE","NO CUMPLE")</f>
        <v>CUMPLE</v>
      </c>
      <c r="AN396" s="17" t="inlineStr">
        <is>
          <t>Nº4 cerrado</t>
        </is>
      </c>
      <c r="AO396" s="31" t="n">
        <v>4</v>
      </c>
      <c r="AP396" s="10">
        <f>ROUNDDOWN(MIN(IF(BC396+BD396=0,1000000000,AO396*BB396/(BC396+BD396)),MIN(U396,AB396)/4,8*'Parametros'!$B$12,24*BA396,300,IF(AV396=0,1000000000,2*((H396-2*('Parametros'!$B$7+'Parametros'!$B$9/2))+(I396-2*('Parametros'!$B$7+'Parametros'!$B$9/2)))/8))/10,0)*10</f>
        <v>120</v>
      </c>
      <c r="AQ396" s="10">
        <f>ROUNDDOWN(MIN(IF(BC396+BD396=0,1000000000,AO396*BB396/(BC396+BD396)),IF(AK396&gt;0.33*SQRT('Parametros'!$B$2)*H396*MIN(U396,AB396)/1000,MIN(U396,AB396)/4,MIN(U396,AB396)/2),600,IF(AV396=0,1000000000,2*((H396-2*('Parametros'!$B$7+'Parametros'!$B$9/2))+(I396-2*('Parametros'!$B$7+'Parametros'!$B$9/2)))/8))/10,0)*10</f>
        <v>120</v>
      </c>
      <c r="AR396" s="10">
        <f>'Parametros'!$B$6*(AJ396+MAX(BE396-BD396,0)*'Parametros'!$B$4*MIN(U396,AB396)/1000)</f>
        <v>613.360748111039</v>
      </c>
      <c r="AS396" s="10" t="str">
        <f>IF(AND(ISERROR(SEARCH("referencia",AN396)),AM396="CUMPLE",AR396&gt;=AI396),"CUMPLE","NO CUMPLE")</f>
        <v>CUMPLE</v>
      </c>
      <c r="AT396" s="10">
        <f>'Parametros'!$B$6*0.083*SQRT('Parametros'!$B$2)*(H396*I396)^2/(2*(H396+I396))/1000000</f>
        <v>11.862178757599</v>
      </c>
      <c r="AU396" s="10" t="str">
        <f>IF(Q396&lt;=AT396,"DESPRECIABLE","DISEÑAR")</f>
        <v>DISEÑAR</v>
      </c>
      <c r="AV396" s="10">
        <f>IF(Q396&lt;=AT396,0,Q396*1000000/('Parametros'!$B$6*2*0.85*(H396-2*('Parametros'!$B$7+'Parametros'!$B$9/2))*(I396-2*('Parametros'!$B$7+'Parametros'!$B$9/2))*'Parametros'!$B$4))</f>
        <v>0.695895181355952</v>
      </c>
      <c r="AW396" s="10">
        <f>AV396*2*((H396-2*('Parametros'!$B$7+'Parametros'!$B$9/2))+(I396-2*('Parametros'!$B$7+'Parametros'!$B$9/2)))*'Parametros'!$B$4/'Parametros'!$B$3</f>
        <v>1203.34194760071</v>
      </c>
      <c r="AX396" s="31" t="n">
        <v>8</v>
      </c>
      <c r="AY396" s="10" t="str">
        <f>IF(AV396=0,"DESPRECIABLE",IF(AND(ISERROR(SEARCH("referencia",AN396)),BB396/AP396&gt;=AV396,BI396&gt;=AW396,BH396="CUMPLE"),"CUMPLE","NO CUMPLE"))</f>
        <v>CUMPLE</v>
      </c>
      <c r="AZ396" s="10" t="str">
        <f>IF(AND(X396="CUMPLE",AE396="CUMPLE",AS396="CUMPLE",OR(AY396="CUMPLE",AY396="DESPRECIABLE"),BH396="CUMPLE",BJ396="CUMPLE"),"CUMPLE","NO CUMPLE")</f>
        <v>CUMPLE</v>
      </c>
      <c r="BA396" s="32" t="n">
        <v>12.7</v>
      </c>
      <c r="BB396" s="32" t="n">
        <v>129</v>
      </c>
      <c r="BC396" s="10">
        <f>MAX(IF(AK396=0,0,AK396*1000/('Parametros'!$B$4*MIN(U396,AB396))),MAX(0.062*SQRT('Parametros'!$B$2)*H396/'Parametros'!$B$4,0.35*H396/'Parametros'!$B$4))</f>
        <v>2.80986247374567</v>
      </c>
      <c r="BD396" s="10">
        <f>2*AV396</f>
        <v>1.3917903627119</v>
      </c>
      <c r="BE396" s="10">
        <f>AO396*BB396/AP396</f>
        <v>4.3</v>
      </c>
      <c r="BF396" s="10">
        <f>SQRT((AI396*1000/(H396*MIN(U396,AB396)))^2+(Q396*1000000*2*((H396-2*('Parametros'!$B$7+'Parametros'!$B$9/2))+(I396-2*('Parametros'!$B$7+'Parametros'!$B$9/2)))/(1.7*((H396-2*('Parametros'!$B$7+'Parametros'!$B$9/2))*(I396-2*('Parametros'!$B$7+'Parametros'!$B$9/2)))^2))^2)</f>
        <v>3.18104329680288</v>
      </c>
      <c r="BG396" s="10">
        <f>'Parametros'!$B$6*(AJ396*1000/(H396*MIN(U396,AB396))+0.66*SQRT('Parametros'!$B$2))</f>
        <v>3.29396038227542</v>
      </c>
      <c r="BH396" s="10" t="str">
        <f>IF(BF396&lt;=BG396,"CUMPLE","NO CUMPLE")</f>
        <v>CUMPLE</v>
      </c>
      <c r="BI396" s="10">
        <f>AX396*'Parametros'!$B$8</f>
        <v>1592</v>
      </c>
      <c r="BJ396" s="10" t="str">
        <f>IF(BI396&gt;=AW396,"CUMPLE","NO CUMPLE")</f>
        <v>CUMPLE</v>
      </c>
    </row>
    <row r="397">
      <c r="A397" s="25" t="inlineStr">
        <is>
          <t>VR2</t>
        </is>
      </c>
      <c r="B397" s="25" t="inlineStr">
        <is>
          <t>218</t>
        </is>
      </c>
      <c r="C397" s="10" t="n">
        <v>1</v>
      </c>
      <c r="D397" s="10" t="n">
        <v>3.57612</v>
      </c>
      <c r="E397" s="10" t="n">
        <v>3.57612</v>
      </c>
      <c r="F397" s="10" t="n">
        <v>500</v>
      </c>
      <c r="G397" s="10" t="n">
        <v>550</v>
      </c>
      <c r="H397" s="17" t="n">
        <v>500</v>
      </c>
      <c r="I397" s="17" t="n">
        <v>550</v>
      </c>
      <c r="J397" s="30" t="n">
        <v>175.8014</v>
      </c>
      <c r="K397" s="10" t="inlineStr">
        <is>
          <t>218</t>
        </is>
      </c>
      <c r="L397" s="30" t="n">
        <v>111.024</v>
      </c>
      <c r="M397" s="10" t="inlineStr">
        <is>
          <t>218</t>
        </is>
      </c>
      <c r="N397" s="30" t="n">
        <v>129.01</v>
      </c>
      <c r="O397" s="30" t="n">
        <v>381.124</v>
      </c>
      <c r="P397" s="10" t="inlineStr">
        <is>
          <t>218</t>
        </is>
      </c>
      <c r="Q397" s="30" t="n">
        <v>4.3896</v>
      </c>
      <c r="R397" s="10">
        <f>MAX(MAX(1.4/'Parametros'!$B$3,0.25*SQRT('Parametros'!$B$2)/'Parametros'!$B$3)*H397*U397,(0.85*'Parametros'!$B$2/'Parametros'!$B$3)*(1-SQRT(1-2*(J397*1000000/('Parametros'!$B$5*H397*U397^2))/(0.85*'Parametros'!$B$2)))*H397*U397)</f>
        <v>985.428829700068</v>
      </c>
      <c r="S397" s="31" t="n">
        <v>5</v>
      </c>
      <c r="T397" s="32" t="n">
        <v>1</v>
      </c>
      <c r="U397" s="10">
        <f>IF(T397=1,I397-('Parametros'!$B$7+'Parametros'!$B$9+'Parametros'!$B$12/2),I397-(ROUNDUP(S397/2,0)*('Parametros'!$B$7+'Parametros'!$B$9+'Parametros'!$B$12/2)+ROUNDDOWN(S397/2,0)*('Parametros'!$B$7+'Parametros'!$B$9+'Parametros'!$B$12/2+'Parametros'!$B$12+'Parametros'!$B$10))/S397)</f>
        <v>489.35</v>
      </c>
      <c r="V397" s="10">
        <f>S397*'Parametros'!$B$8</f>
        <v>995</v>
      </c>
      <c r="W397" s="10">
        <f>'Parametros'!$B$5*V397*'Parametros'!$B$3*(U397-(V397*'Parametros'!$B$3/(0.85*'Parametros'!$B$2*H397))/2)/1000000</f>
        <v>177.445379382353</v>
      </c>
      <c r="X397" s="10" t="str">
        <f>IF(W397&gt;=J397,"CUMPLE","NO CUMPLE")</f>
        <v>CUMPLE</v>
      </c>
      <c r="Y397" s="10">
        <f>MAX(MAX(1.4/'Parametros'!$B$3,0.25*SQRT('Parametros'!$B$2)/'Parametros'!$B$3)*H397*AB397,(0.85*'Parametros'!$B$2/'Parametros'!$B$3)*(1-SQRT(1-2*(L397*1000000/('Parametros'!$B$5*H397*AB397^2))/(0.85*'Parametros'!$B$2)))*H397*AB397)</f>
        <v>815.583333333333</v>
      </c>
      <c r="Z397" s="31" t="n">
        <v>5</v>
      </c>
      <c r="AA397" s="32" t="n">
        <v>1</v>
      </c>
      <c r="AB397" s="10">
        <f>IF(AA397=1,I397-('Parametros'!$B$7+'Parametros'!$B$9+'Parametros'!$B$12/2),I397-(ROUNDUP(Z397/2,0)*('Parametros'!$B$7+'Parametros'!$B$9+'Parametros'!$B$12/2)+ROUNDDOWN(Z397/2,0)*('Parametros'!$B$7+'Parametros'!$B$9+'Parametros'!$B$12/2+'Parametros'!$B$12+'Parametros'!$B$10))/Z397)</f>
        <v>489.35</v>
      </c>
      <c r="AC397" s="10">
        <f>Z397*'Parametros'!$B$8</f>
        <v>995</v>
      </c>
      <c r="AD397" s="10">
        <f>'Parametros'!$B$5*AC397*'Parametros'!$B$3*(AB397-(AC397*'Parametros'!$B$3/(0.85*'Parametros'!$B$2*H397))/2)/1000000</f>
        <v>177.445379382353</v>
      </c>
      <c r="AE397" s="10" t="str">
        <f>IF(AD397&gt;=L397,"CUMPLE","NO CUMPLE")</f>
        <v>CUMPLE</v>
      </c>
      <c r="AF397" s="10">
        <f>V397*1.25*'Parametros'!$B$3*(U397-(V397*1.25*'Parametros'!$B$3/(0.85*'Parametros'!$B$2*H397))/2)/1000000</f>
        <v>244.158843198529</v>
      </c>
      <c r="AG397" s="10">
        <f>AC397*1.25*'Parametros'!$B$3*(AB397-(AC397*1.25*'Parametros'!$B$3/(0.85*'Parametros'!$B$2*H397))/2)/1000000</f>
        <v>244.158843198529</v>
      </c>
      <c r="AH397" s="10">
        <f>N397+(AF397+AG397)/D397</f>
        <v>265.559580662019</v>
      </c>
      <c r="AI397" s="10">
        <f>MAX(O397,AH397)</f>
        <v>381.124</v>
      </c>
      <c r="AJ397" s="10">
        <f>0.17*SQRT('Parametros'!$B$2)*H397*MIN(U397,AB397)/1000</f>
        <v>220.098728691808</v>
      </c>
      <c r="AK397" s="10">
        <f>MAX(AI397/'Parametros'!$B$6-AJ397,0)</f>
        <v>288.066604641526</v>
      </c>
      <c r="AL397" s="10">
        <f>0.66*SQRT('Parametros'!$B$2)*H397*MIN(U397,AB397)/1000</f>
        <v>854.500946685842</v>
      </c>
      <c r="AM397" s="10" t="str">
        <f>IF(AK397&lt;=AL397,"CUMPLE","NO CUMPLE")</f>
        <v>CUMPLE</v>
      </c>
      <c r="AN397" s="17" t="inlineStr">
        <is>
          <t>Nº3 cerrado</t>
        </is>
      </c>
      <c r="AO397" s="31" t="n">
        <v>2</v>
      </c>
      <c r="AP397" s="10">
        <f>ROUNDDOWN(MIN(IF(BC397+BD397=0,1000000000,AO397*BB397/(BC397+BD397)),MIN(U397,AB397)/4,8*'Parametros'!$B$12,24*BA397,300,IF(AV397=0,1000000000,2*((H397-2*('Parametros'!$B$7+'Parametros'!$B$9/2))+(I397-2*('Parametros'!$B$7+'Parametros'!$B$9/2)))/8))/10,0)*10</f>
        <v>100</v>
      </c>
      <c r="AQ397" s="10">
        <f>ROUNDDOWN(MIN(IF(BC397+BD397=0,1000000000,AO397*BB397/(BC397+BD397)),IF(AK397&gt;0.33*SQRT('Parametros'!$B$2)*H397*MIN(U397,AB397)/1000,MIN(U397,AB397)/4,MIN(U397,AB397)/2),600,IF(AV397=0,1000000000,2*((H397-2*('Parametros'!$B$7+'Parametros'!$B$9/2))+(I397-2*('Parametros'!$B$7+'Parametros'!$B$9/2)))/8))/10,0)*10</f>
        <v>100</v>
      </c>
      <c r="AR397" s="10">
        <f>'Parametros'!$B$6*(AJ397+MAX(BE397-BD397,0)*'Parametros'!$B$4*MIN(U397,AB397)/1000)</f>
        <v>383.960301518856</v>
      </c>
      <c r="AS397" s="10" t="str">
        <f>IF(AND(ISERROR(SEARCH("referencia",AN397)),AM397="CUMPLE",AR397&gt;=AI397),"CUMPLE","NO CUMPLE")</f>
        <v>CUMPLE</v>
      </c>
      <c r="AT397" s="10">
        <f>'Parametros'!$B$6*0.083*SQRT('Parametros'!$B$2)*(H397*I397)^2/(2*(H397+I397))/1000000</f>
        <v>11.862178757599</v>
      </c>
      <c r="AU397" s="10" t="str">
        <f>IF(Q397&lt;=AT397,"DESPRECIABLE","DISEÑAR")</f>
        <v>DESPRECIABLE</v>
      </c>
      <c r="AV397" s="10">
        <f>IF(Q397&lt;=AT397,0,Q397*1000000/('Parametros'!$B$6*2*0.85*(H397-2*('Parametros'!$B$7+'Parametros'!$B$9/2))*(I397-2*('Parametros'!$B$7+'Parametros'!$B$9/2))*'Parametros'!$B$4))</f>
        <v>0</v>
      </c>
      <c r="AW397" s="10">
        <f>AV397*2*((H397-2*('Parametros'!$B$7+'Parametros'!$B$9/2))+(I397-2*('Parametros'!$B$7+'Parametros'!$B$9/2)))*'Parametros'!$B$4/'Parametros'!$B$3</f>
        <v>0</v>
      </c>
      <c r="AX397" s="31" t="n">
        <v>0</v>
      </c>
      <c r="AY397" s="10" t="str">
        <f>IF(AV397=0,"DESPRECIABLE",IF(AND(ISERROR(SEARCH("referencia",AN397)),BB397/AP397&gt;=AV397,BI397&gt;=AW397,BH397="CUMPLE"),"CUMPLE","NO CUMPLE"))</f>
        <v>DESPRECIABLE</v>
      </c>
      <c r="AZ397" s="10" t="str">
        <f>IF(AND(X397="CUMPLE",AE397="CUMPLE",AS397="CUMPLE",OR(AY397="CUMPLE",AY397="DESPRECIABLE"),BH397="CUMPLE",BJ397="CUMPLE"),"CUMPLE","NO CUMPLE")</f>
        <v>CUMPLE</v>
      </c>
      <c r="BA397" s="32" t="n">
        <v>9.5</v>
      </c>
      <c r="BB397" s="32" t="n">
        <v>71</v>
      </c>
      <c r="BC397" s="10">
        <f>MAX(IF(AK397=0,0,AK397*1000/('Parametros'!$B$4*MIN(U397,AB397))),MAX(0.062*SQRT('Parametros'!$B$2)*H397/'Parametros'!$B$4,0.35*H397/'Parametros'!$B$4))</f>
        <v>1.40159981239217</v>
      </c>
      <c r="BD397" s="10">
        <f>2*AV397</f>
        <v>0</v>
      </c>
      <c r="BE397" s="10">
        <f>AO397*BB397/AP397</f>
        <v>1.42</v>
      </c>
      <c r="BF397" s="10">
        <f>SQRT((AI397*1000/(H397*MIN(U397,AB397)))^2+(Q397*1000000*2*((H397-2*('Parametros'!$B$7+'Parametros'!$B$9/2))+(I397-2*('Parametros'!$B$7+'Parametros'!$B$9/2)))/(1.7*((H397-2*('Parametros'!$B$7+'Parametros'!$B$9/2))*(I397-2*('Parametros'!$B$7+'Parametros'!$B$9/2)))^2))^2)</f>
        <v>1.56298250417162</v>
      </c>
      <c r="BG397" s="10">
        <f>'Parametros'!$B$6*(AJ397*1000/(H397*MIN(U397,AB397))+0.66*SQRT('Parametros'!$B$2))</f>
        <v>3.29396038227542</v>
      </c>
      <c r="BH397" s="10" t="str">
        <f>IF(BF397&lt;=BG397,"CUMPLE","NO CUMPLE")</f>
        <v>CUMPLE</v>
      </c>
      <c r="BI397" s="10">
        <f>AX397*'Parametros'!$B$8</f>
        <v>0</v>
      </c>
      <c r="BJ397" s="10" t="str">
        <f>IF(BI397&gt;=AW397,"CUMPLE","NO CUMPLE")</f>
        <v>CUMPLE</v>
      </c>
    </row>
    <row r="398">
      <c r="A398" s="25" t="inlineStr">
        <is>
          <t>VR2</t>
        </is>
      </c>
      <c r="B398" s="25" t="inlineStr">
        <is>
          <t>219</t>
        </is>
      </c>
      <c r="C398" s="10" t="n">
        <v>1</v>
      </c>
      <c r="D398" s="10" t="n">
        <v>1.9</v>
      </c>
      <c r="E398" s="10" t="n">
        <v>1.9</v>
      </c>
      <c r="F398" s="10" t="n">
        <v>500</v>
      </c>
      <c r="G398" s="10" t="n">
        <v>550</v>
      </c>
      <c r="H398" s="17" t="n">
        <v>500</v>
      </c>
      <c r="I398" s="17" t="n">
        <v>550</v>
      </c>
      <c r="J398" s="30" t="n">
        <v>166.1573</v>
      </c>
      <c r="K398" s="10" t="inlineStr">
        <is>
          <t>219</t>
        </is>
      </c>
      <c r="L398" s="30" t="n">
        <v>136.1535</v>
      </c>
      <c r="M398" s="10" t="inlineStr">
        <is>
          <t>219</t>
        </is>
      </c>
      <c r="N398" s="30" t="n">
        <v>157.53</v>
      </c>
      <c r="O398" s="30" t="n">
        <v>599.477</v>
      </c>
      <c r="P398" s="10" t="inlineStr">
        <is>
          <t>219</t>
        </is>
      </c>
      <c r="Q398" s="30" t="n">
        <v>18.8512</v>
      </c>
      <c r="R398" s="10">
        <f>MAX(MAX(1.4/'Parametros'!$B$3,0.25*SQRT('Parametros'!$B$2)/'Parametros'!$B$3)*H398*U398,(0.85*'Parametros'!$B$2/'Parametros'!$B$3)*(1-SQRT(1-2*(J398*1000000/('Parametros'!$B$5*H398*U398^2))/(0.85*'Parametros'!$B$2)))*H398*U398)</f>
        <v>929.423962759518</v>
      </c>
      <c r="S398" s="31" t="n">
        <v>5</v>
      </c>
      <c r="T398" s="32" t="n">
        <v>1</v>
      </c>
      <c r="U398" s="10">
        <f>IF(T398=1,I398-('Parametros'!$B$7+'Parametros'!$B$9+'Parametros'!$B$12/2),I398-(ROUNDUP(S398/2,0)*('Parametros'!$B$7+'Parametros'!$B$9+'Parametros'!$B$12/2)+ROUNDDOWN(S398/2,0)*('Parametros'!$B$7+'Parametros'!$B$9+'Parametros'!$B$12/2+'Parametros'!$B$12+'Parametros'!$B$10))/S398)</f>
        <v>489.35</v>
      </c>
      <c r="V398" s="10">
        <f>S398*'Parametros'!$B$8</f>
        <v>995</v>
      </c>
      <c r="W398" s="10">
        <f>'Parametros'!$B$5*V398*'Parametros'!$B$3*(U398-(V398*'Parametros'!$B$3/(0.85*'Parametros'!$B$2*H398))/2)/1000000</f>
        <v>177.445379382353</v>
      </c>
      <c r="X398" s="10" t="str">
        <f>IF(W398&gt;=J398,"CUMPLE","NO CUMPLE")</f>
        <v>CUMPLE</v>
      </c>
      <c r="Y398" s="10">
        <f>MAX(MAX(1.4/'Parametros'!$B$3,0.25*SQRT('Parametros'!$B$2)/'Parametros'!$B$3)*H398*AB398,(0.85*'Parametros'!$B$2/'Parametros'!$B$3)*(1-SQRT(1-2*(L398*1000000/('Parametros'!$B$5*H398*AB398^2))/(0.85*'Parametros'!$B$2)))*H398*AB398)</f>
        <v>815.583333333333</v>
      </c>
      <c r="Z398" s="31" t="n">
        <v>5</v>
      </c>
      <c r="AA398" s="32" t="n">
        <v>1</v>
      </c>
      <c r="AB398" s="10">
        <f>IF(AA398=1,I398-('Parametros'!$B$7+'Parametros'!$B$9+'Parametros'!$B$12/2),I398-(ROUNDUP(Z398/2,0)*('Parametros'!$B$7+'Parametros'!$B$9+'Parametros'!$B$12/2)+ROUNDDOWN(Z398/2,0)*('Parametros'!$B$7+'Parametros'!$B$9+'Parametros'!$B$12/2+'Parametros'!$B$12+'Parametros'!$B$10))/Z398)</f>
        <v>489.35</v>
      </c>
      <c r="AC398" s="10">
        <f>Z398*'Parametros'!$B$8</f>
        <v>995</v>
      </c>
      <c r="AD398" s="10">
        <f>'Parametros'!$B$5*AC398*'Parametros'!$B$3*(AB398-(AC398*'Parametros'!$B$3/(0.85*'Parametros'!$B$2*H398))/2)/1000000</f>
        <v>177.445379382353</v>
      </c>
      <c r="AE398" s="10" t="str">
        <f>IF(AD398&gt;=L398,"CUMPLE","NO CUMPLE")</f>
        <v>CUMPLE</v>
      </c>
      <c r="AF398" s="10">
        <f>V398*1.25*'Parametros'!$B$3*(U398-(V398*1.25*'Parametros'!$B$3/(0.85*'Parametros'!$B$2*H398))/2)/1000000</f>
        <v>244.158843198529</v>
      </c>
      <c r="AG398" s="10">
        <f>AC398*1.25*'Parametros'!$B$3*(AB398-(AC398*1.25*'Parametros'!$B$3/(0.85*'Parametros'!$B$2*H398))/2)/1000000</f>
        <v>244.158843198529</v>
      </c>
      <c r="AH398" s="10">
        <f>N398+(AF398+AG398)/D398</f>
        <v>414.539308630031</v>
      </c>
      <c r="AI398" s="10">
        <f>MAX(O398,AH398)</f>
        <v>599.477</v>
      </c>
      <c r="AJ398" s="10">
        <f>0.17*SQRT('Parametros'!$B$2)*H398*MIN(U398,AB398)/1000</f>
        <v>220.098728691808</v>
      </c>
      <c r="AK398" s="10">
        <f>MAX(AI398/'Parametros'!$B$6-AJ398,0)</f>
        <v>579.203937974859</v>
      </c>
      <c r="AL398" s="10">
        <f>0.66*SQRT('Parametros'!$B$2)*H398*MIN(U398,AB398)/1000</f>
        <v>854.500946685842</v>
      </c>
      <c r="AM398" s="10" t="str">
        <f>IF(AK398&lt;=AL398,"CUMPLE","NO CUMPLE")</f>
        <v>CUMPLE</v>
      </c>
      <c r="AN398" s="17" t="inlineStr">
        <is>
          <t>Nº4 cerrado</t>
        </is>
      </c>
      <c r="AO398" s="31" t="n">
        <v>2</v>
      </c>
      <c r="AP398" s="10">
        <f>ROUNDDOWN(MIN(IF(BC398+BD398=0,1000000000,AO398*BB398/(BC398+BD398)),MIN(U398,AB398)/4,8*'Parametros'!$B$12,24*BA398,300,IF(AV398=0,1000000000,2*((H398-2*('Parametros'!$B$7+'Parametros'!$B$9/2))+(I398-2*('Parametros'!$B$7+'Parametros'!$B$9/2)))/8))/10,0)*10</f>
        <v>80</v>
      </c>
      <c r="AQ398" s="10">
        <f>ROUNDDOWN(MIN(IF(BC398+BD398=0,1000000000,AO398*BB398/(BC398+BD398)),IF(AK398&gt;0.33*SQRT('Parametros'!$B$2)*H398*MIN(U398,AB398)/1000,MIN(U398,AB398)/4,MIN(U398,AB398)/2),600,IF(AV398=0,1000000000,2*((H398-2*('Parametros'!$B$7+'Parametros'!$B$9/2))+(I398-2*('Parametros'!$B$7+'Parametros'!$B$9/2)))/8))/10,0)*10</f>
        <v>80</v>
      </c>
      <c r="AR398" s="10">
        <f>'Parametros'!$B$6*(AJ398+MAX(BE398-BD398,0)*'Parametros'!$B$4*MIN(U398,AB398)/1000)</f>
        <v>603.925290147775</v>
      </c>
      <c r="AS398" s="10" t="str">
        <f>IF(AND(ISERROR(SEARCH("referencia",AN398)),AM398="CUMPLE",AR398&gt;=AI398),"CUMPLE","NO CUMPLE")</f>
        <v>CUMPLE</v>
      </c>
      <c r="AT398" s="10">
        <f>'Parametros'!$B$6*0.083*SQRT('Parametros'!$B$2)*(H398*I398)^2/(2*(H398+I398))/1000000</f>
        <v>11.862178757599</v>
      </c>
      <c r="AU398" s="10" t="str">
        <f>IF(Q398&lt;=AT398,"DESPRECIABLE","DISEÑAR")</f>
        <v>DISEÑAR</v>
      </c>
      <c r="AV398" s="10">
        <f>IF(Q398&lt;=AT398,0,Q398*1000000/('Parametros'!$B$6*2*0.85*(H398-2*('Parametros'!$B$7+'Parametros'!$B$9/2))*(I398-2*('Parametros'!$B$7+'Parametros'!$B$9/2))*'Parametros'!$B$4))</f>
        <v>0.189000918358111</v>
      </c>
      <c r="AW398" s="10">
        <f>AV398*2*((H398-2*('Parametros'!$B$7+'Parametros'!$B$9/2))+(I398-2*('Parametros'!$B$7+'Parametros'!$B$9/2)))*'Parametros'!$B$4/'Parametros'!$B$3</f>
        <v>326.820388024846</v>
      </c>
      <c r="AX398" s="31" t="n">
        <v>8</v>
      </c>
      <c r="AY398" s="10" t="str">
        <f>IF(AV398=0,"DESPRECIABLE",IF(AND(ISERROR(SEARCH("referencia",AN398)),BB398/AP398&gt;=AV398,BI398&gt;=AW398,BH398="CUMPLE"),"CUMPLE","NO CUMPLE"))</f>
        <v>CUMPLE</v>
      </c>
      <c r="AZ398" s="10" t="str">
        <f>IF(AND(X398="CUMPLE",AE398="CUMPLE",AS398="CUMPLE",OR(AY398="CUMPLE",AY398="DESPRECIABLE"),BH398="CUMPLE",BJ398="CUMPLE"),"CUMPLE","NO CUMPLE")</f>
        <v>CUMPLE</v>
      </c>
      <c r="BA398" s="32" t="n">
        <v>12.7</v>
      </c>
      <c r="BB398" s="32" t="n">
        <v>129</v>
      </c>
      <c r="BC398" s="10">
        <f>MAX(IF(AK398=0,0,AK398*1000/('Parametros'!$B$4*MIN(U398,AB398))),MAX(0.062*SQRT('Parametros'!$B$2)*H398/'Parametros'!$B$4,0.35*H398/'Parametros'!$B$4))</f>
        <v>2.81814038046027</v>
      </c>
      <c r="BD398" s="10">
        <f>2*AV398</f>
        <v>0.378001836716222</v>
      </c>
      <c r="BE398" s="10">
        <f>AO398*BB398/AP398</f>
        <v>3.225</v>
      </c>
      <c r="BF398" s="10">
        <f>SQRT((AI398*1000/(H398*MIN(U398,AB398)))^2+(Q398*1000000*2*((H398-2*('Parametros'!$B$7+'Parametros'!$B$9/2))+(I398-2*('Parametros'!$B$7+'Parametros'!$B$9/2)))/(1.7*((H398-2*('Parametros'!$B$7+'Parametros'!$B$9/2))*(I398-2*('Parametros'!$B$7+'Parametros'!$B$9/2)))^2))^2)</f>
        <v>2.51166547992646</v>
      </c>
      <c r="BG398" s="10">
        <f>'Parametros'!$B$6*(AJ398*1000/(H398*MIN(U398,AB398))+0.66*SQRT('Parametros'!$B$2))</f>
        <v>3.29396038227542</v>
      </c>
      <c r="BH398" s="10" t="str">
        <f>IF(BF398&lt;=BG398,"CUMPLE","NO CUMPLE")</f>
        <v>CUMPLE</v>
      </c>
      <c r="BI398" s="10">
        <f>AX398*'Parametros'!$B$8</f>
        <v>1592</v>
      </c>
      <c r="BJ398" s="10" t="str">
        <f>IF(BI398&gt;=AW398,"CUMPLE","NO CUMPLE")</f>
        <v>CUMPLE</v>
      </c>
    </row>
    <row r="399">
      <c r="A399" s="25" t="inlineStr">
        <is>
          <t>VR2</t>
        </is>
      </c>
      <c r="B399" s="25" t="inlineStr">
        <is>
          <t>220</t>
        </is>
      </c>
      <c r="C399" s="10" t="n">
        <v>1</v>
      </c>
      <c r="D399" s="10" t="n">
        <v>2</v>
      </c>
      <c r="E399" s="10" t="n">
        <v>2</v>
      </c>
      <c r="F399" s="10" t="n">
        <v>500</v>
      </c>
      <c r="G399" s="10" t="n">
        <v>550</v>
      </c>
      <c r="H399" s="17" t="n">
        <v>500</v>
      </c>
      <c r="I399" s="17" t="n">
        <v>550</v>
      </c>
      <c r="J399" s="30" t="n">
        <v>178.8755</v>
      </c>
      <c r="K399" s="10" t="inlineStr">
        <is>
          <t>220</t>
        </is>
      </c>
      <c r="L399" s="30" t="n">
        <v>133.1477</v>
      </c>
      <c r="M399" s="10" t="inlineStr">
        <is>
          <t>220</t>
        </is>
      </c>
      <c r="N399" s="30" t="n">
        <v>165.603</v>
      </c>
      <c r="O399" s="30" t="n">
        <v>626.4</v>
      </c>
      <c r="P399" s="10" t="inlineStr">
        <is>
          <t>220</t>
        </is>
      </c>
      <c r="Q399" s="30" t="n">
        <v>43.3153</v>
      </c>
      <c r="R399" s="10">
        <f>MAX(MAX(1.4/'Parametros'!$B$3,0.25*SQRT('Parametros'!$B$2)/'Parametros'!$B$3)*H399*U399,(0.85*'Parametros'!$B$2/'Parametros'!$B$3)*(1-SQRT(1-2*(J399*1000000/('Parametros'!$B$5*H399*U399^2))/(0.85*'Parametros'!$B$2)))*H399*U399)</f>
        <v>1003.33188767358</v>
      </c>
      <c r="S399" s="31" t="n">
        <v>6</v>
      </c>
      <c r="T399" s="32" t="n">
        <v>1</v>
      </c>
      <c r="U399" s="10">
        <f>IF(T399=1,I399-('Parametros'!$B$7+'Parametros'!$B$9+'Parametros'!$B$12/2),I399-(ROUNDUP(S399/2,0)*('Parametros'!$B$7+'Parametros'!$B$9+'Parametros'!$B$12/2)+ROUNDDOWN(S399/2,0)*('Parametros'!$B$7+'Parametros'!$B$9+'Parametros'!$B$12/2+'Parametros'!$B$12+'Parametros'!$B$10))/S399)</f>
        <v>489.35</v>
      </c>
      <c r="V399" s="10">
        <f>S399*'Parametros'!$B$8</f>
        <v>1194</v>
      </c>
      <c r="W399" s="10">
        <f>'Parametros'!$B$5*V399*'Parametros'!$B$3*(U399-(V399*'Parametros'!$B$3/(0.85*'Parametros'!$B$2*H399))/2)/1000000</f>
        <v>211.349483470588</v>
      </c>
      <c r="X399" s="10" t="str">
        <f>IF(W399&gt;=J399,"CUMPLE","NO CUMPLE")</f>
        <v>CUMPLE</v>
      </c>
      <c r="Y399" s="10">
        <f>MAX(MAX(1.4/'Parametros'!$B$3,0.25*SQRT('Parametros'!$B$2)/'Parametros'!$B$3)*H399*AB399,(0.85*'Parametros'!$B$2/'Parametros'!$B$3)*(1-SQRT(1-2*(L399*1000000/('Parametros'!$B$5*H399*AB399^2))/(0.85*'Parametros'!$B$2)))*H399*AB399)</f>
        <v>815.583333333333</v>
      </c>
      <c r="Z399" s="31" t="n">
        <v>5</v>
      </c>
      <c r="AA399" s="32" t="n">
        <v>1</v>
      </c>
      <c r="AB399" s="10">
        <f>IF(AA399=1,I399-('Parametros'!$B$7+'Parametros'!$B$9+'Parametros'!$B$12/2),I399-(ROUNDUP(Z399/2,0)*('Parametros'!$B$7+'Parametros'!$B$9+'Parametros'!$B$12/2)+ROUNDDOWN(Z399/2,0)*('Parametros'!$B$7+'Parametros'!$B$9+'Parametros'!$B$12/2+'Parametros'!$B$12+'Parametros'!$B$10))/Z399)</f>
        <v>489.35</v>
      </c>
      <c r="AC399" s="10">
        <f>Z399*'Parametros'!$B$8</f>
        <v>995</v>
      </c>
      <c r="AD399" s="10">
        <f>'Parametros'!$B$5*AC399*'Parametros'!$B$3*(AB399-(AC399*'Parametros'!$B$3/(0.85*'Parametros'!$B$2*H399))/2)/1000000</f>
        <v>177.445379382353</v>
      </c>
      <c r="AE399" s="10" t="str">
        <f>IF(AD399&gt;=L399,"CUMPLE","NO CUMPLE")</f>
        <v>CUMPLE</v>
      </c>
      <c r="AF399" s="10">
        <f>V399*1.25*'Parametros'!$B$3*(U399-(V399*1.25*'Parametros'!$B$3/(0.85*'Parametros'!$B$2*H399))/2)/1000000</f>
        <v>290.238924705882</v>
      </c>
      <c r="AG399" s="10">
        <f>AC399*1.25*'Parametros'!$B$3*(AB399-(AC399*1.25*'Parametros'!$B$3/(0.85*'Parametros'!$B$2*H399))/2)/1000000</f>
        <v>244.158843198529</v>
      </c>
      <c r="AH399" s="10">
        <f>N399+(AF399+AG399)/D399</f>
        <v>432.801883952206</v>
      </c>
      <c r="AI399" s="10">
        <f>MAX(O399,AH399)</f>
        <v>626.4</v>
      </c>
      <c r="AJ399" s="10">
        <f>0.17*SQRT('Parametros'!$B$2)*H399*MIN(U399,AB399)/1000</f>
        <v>220.098728691808</v>
      </c>
      <c r="AK399" s="10">
        <f>MAX(AI399/'Parametros'!$B$6-AJ399,0)</f>
        <v>615.101271308192</v>
      </c>
      <c r="AL399" s="10">
        <f>0.66*SQRT('Parametros'!$B$2)*H399*MIN(U399,AB399)/1000</f>
        <v>854.500946685842</v>
      </c>
      <c r="AM399" s="10" t="str">
        <f>IF(AK399&lt;=AL399,"CUMPLE","NO CUMPLE")</f>
        <v>CUMPLE</v>
      </c>
      <c r="AN399" s="17" t="inlineStr">
        <is>
          <t>Nº4 cerrado</t>
        </is>
      </c>
      <c r="AO399" s="31" t="n">
        <v>4</v>
      </c>
      <c r="AP399" s="10">
        <f>ROUNDDOWN(MIN(IF(BC399+BD399=0,1000000000,AO399*BB399/(BC399+BD399)),MIN(U399,AB399)/4,8*'Parametros'!$B$12,24*BA399,300,IF(AV399=0,1000000000,2*((H399-2*('Parametros'!$B$7+'Parametros'!$B$9/2))+(I399-2*('Parametros'!$B$7+'Parametros'!$B$9/2)))/8))/10,0)*10</f>
        <v>120</v>
      </c>
      <c r="AQ399" s="10">
        <f>ROUNDDOWN(MIN(IF(BC399+BD399=0,1000000000,AO399*BB399/(BC399+BD399)),IF(AK399&gt;0.33*SQRT('Parametros'!$B$2)*H399*MIN(U399,AB399)/1000,MIN(U399,AB399)/4,MIN(U399,AB399)/2),600,IF(AV399=0,1000000000,2*((H399-2*('Parametros'!$B$7+'Parametros'!$B$9/2))+(I399-2*('Parametros'!$B$7+'Parametros'!$B$9/2)))/8))/10,0)*10</f>
        <v>120</v>
      </c>
      <c r="AR399" s="10">
        <f>'Parametros'!$B$6*(AJ399+MAX(BE399-BD399,0)*'Parametros'!$B$4*MIN(U399,AB399)/1000)</f>
        <v>694.015329634869</v>
      </c>
      <c r="AS399" s="10" t="str">
        <f>IF(AND(ISERROR(SEARCH("referencia",AN399)),AM399="CUMPLE",AR399&gt;=AI399),"CUMPLE","NO CUMPLE")</f>
        <v>CUMPLE</v>
      </c>
      <c r="AT399" s="10">
        <f>'Parametros'!$B$6*0.083*SQRT('Parametros'!$B$2)*(H399*I399)^2/(2*(H399+I399))/1000000</f>
        <v>11.862178757599</v>
      </c>
      <c r="AU399" s="10" t="str">
        <f>IF(Q399&lt;=AT399,"DESPRECIABLE","DISEÑAR")</f>
        <v>DISEÑAR</v>
      </c>
      <c r="AV399" s="10">
        <f>IF(Q399&lt;=AT399,0,Q399*1000000/('Parametros'!$B$6*2*0.85*(H399-2*('Parametros'!$B$7+'Parametros'!$B$9/2))*(I399-2*('Parametros'!$B$7+'Parametros'!$B$9/2))*'Parametros'!$B$4))</f>
        <v>0.434276410995432</v>
      </c>
      <c r="AW399" s="10">
        <f>AV399*2*((H399-2*('Parametros'!$B$7+'Parametros'!$B$9/2))+(I399-2*('Parametros'!$B$7+'Parametros'!$B$9/2)))*'Parametros'!$B$4/'Parametros'!$B$3</f>
        <v>750.950769893301</v>
      </c>
      <c r="AX399" s="31" t="n">
        <v>8</v>
      </c>
      <c r="AY399" s="10" t="str">
        <f>IF(AV399=0,"DESPRECIABLE",IF(AND(ISERROR(SEARCH("referencia",AN399)),BB399/AP399&gt;=AV399,BI399&gt;=AW399,BH399="CUMPLE"),"CUMPLE","NO CUMPLE"))</f>
        <v>CUMPLE</v>
      </c>
      <c r="AZ399" s="10" t="str">
        <f>IF(AND(X399="CUMPLE",AE399="CUMPLE",AS399="CUMPLE",OR(AY399="CUMPLE",AY399="DESPRECIABLE"),BH399="CUMPLE",BJ399="CUMPLE"),"CUMPLE","NO CUMPLE")</f>
        <v>CUMPLE</v>
      </c>
      <c r="BA399" s="32" t="n">
        <v>12.7</v>
      </c>
      <c r="BB399" s="32" t="n">
        <v>129</v>
      </c>
      <c r="BC399" s="10">
        <f>MAX(IF(AK399=0,0,AK399*1000/('Parametros'!$B$4*MIN(U399,AB399))),MAX(0.062*SQRT('Parametros'!$B$2)*H399/'Parametros'!$B$4,0.35*H399/'Parametros'!$B$4))</f>
        <v>2.99280031970589</v>
      </c>
      <c r="BD399" s="10">
        <f>2*AV399</f>
        <v>0.868552821990864</v>
      </c>
      <c r="BE399" s="10">
        <f>AO399*BB399/AP399</f>
        <v>4.3</v>
      </c>
      <c r="BF399" s="10">
        <f>SQRT((AI399*1000/(H399*MIN(U399,AB399)))^2+(Q399*1000000*2*((H399-2*('Parametros'!$B$7+'Parametros'!$B$9/2))+(I399-2*('Parametros'!$B$7+'Parametros'!$B$9/2)))/(1.7*((H399-2*('Parametros'!$B$7+'Parametros'!$B$9/2))*(I399-2*('Parametros'!$B$7+'Parametros'!$B$9/2)))^2))^2)</f>
        <v>2.85782952738981</v>
      </c>
      <c r="BG399" s="10">
        <f>'Parametros'!$B$6*(AJ399*1000/(H399*MIN(U399,AB399))+0.66*SQRT('Parametros'!$B$2))</f>
        <v>3.29396038227542</v>
      </c>
      <c r="BH399" s="10" t="str">
        <f>IF(BF399&lt;=BG399,"CUMPLE","NO CUMPLE")</f>
        <v>CUMPLE</v>
      </c>
      <c r="BI399" s="10">
        <f>AX399*'Parametros'!$B$8</f>
        <v>1592</v>
      </c>
      <c r="BJ399" s="10" t="str">
        <f>IF(BI399&gt;=AW399,"CUMPLE","NO CUMPLE")</f>
        <v>CUMPLE</v>
      </c>
    </row>
    <row r="400">
      <c r="A400" s="25" t="inlineStr">
        <is>
          <t>VR2</t>
        </is>
      </c>
      <c r="B400" s="25" t="inlineStr">
        <is>
          <t>221</t>
        </is>
      </c>
      <c r="C400" s="10" t="n">
        <v>1</v>
      </c>
      <c r="D400" s="10" t="n">
        <v>3.05308</v>
      </c>
      <c r="E400" s="10" t="n">
        <v>3.05308</v>
      </c>
      <c r="F400" s="10" t="n">
        <v>500</v>
      </c>
      <c r="G400" s="10" t="n">
        <v>550</v>
      </c>
      <c r="H400" s="17" t="n">
        <v>500</v>
      </c>
      <c r="I400" s="17" t="n">
        <v>550</v>
      </c>
      <c r="J400" s="30" t="n">
        <v>181.3648</v>
      </c>
      <c r="K400" s="10" t="inlineStr">
        <is>
          <t>221</t>
        </is>
      </c>
      <c r="L400" s="30" t="n">
        <v>118.9572</v>
      </c>
      <c r="M400" s="10" t="inlineStr">
        <is>
          <t>221</t>
        </is>
      </c>
      <c r="N400" s="30" t="n">
        <v>137.206</v>
      </c>
      <c r="O400" s="30" t="n">
        <v>412.001</v>
      </c>
      <c r="P400" s="10" t="inlineStr">
        <is>
          <t>221</t>
        </is>
      </c>
      <c r="Q400" s="30" t="n">
        <v>50.0573</v>
      </c>
      <c r="R400" s="10">
        <f>MAX(MAX(1.4/'Parametros'!$B$3,0.25*SQRT('Parametros'!$B$2)/'Parametros'!$B$3)*H400*U400,(0.85*'Parametros'!$B$2/'Parametros'!$B$3)*(1-SQRT(1-2*(J400*1000000/('Parametros'!$B$5*H400*U400^2))/(0.85*'Parametros'!$B$2)))*H400*U400)</f>
        <v>1017.84744671546</v>
      </c>
      <c r="S400" s="31" t="n">
        <v>6</v>
      </c>
      <c r="T400" s="32" t="n">
        <v>1</v>
      </c>
      <c r="U400" s="10">
        <f>IF(T400=1,I400-('Parametros'!$B$7+'Parametros'!$B$9+'Parametros'!$B$12/2),I400-(ROUNDUP(S400/2,0)*('Parametros'!$B$7+'Parametros'!$B$9+'Parametros'!$B$12/2)+ROUNDDOWN(S400/2,0)*('Parametros'!$B$7+'Parametros'!$B$9+'Parametros'!$B$12/2+'Parametros'!$B$12+'Parametros'!$B$10))/S400)</f>
        <v>489.35</v>
      </c>
      <c r="V400" s="10">
        <f>S400*'Parametros'!$B$8</f>
        <v>1194</v>
      </c>
      <c r="W400" s="10">
        <f>'Parametros'!$B$5*V400*'Parametros'!$B$3*(U400-(V400*'Parametros'!$B$3/(0.85*'Parametros'!$B$2*H400))/2)/1000000</f>
        <v>211.349483470588</v>
      </c>
      <c r="X400" s="10" t="str">
        <f>IF(W400&gt;=J400,"CUMPLE","NO CUMPLE")</f>
        <v>CUMPLE</v>
      </c>
      <c r="Y400" s="10">
        <f>MAX(MAX(1.4/'Parametros'!$B$3,0.25*SQRT('Parametros'!$B$2)/'Parametros'!$B$3)*H400*AB400,(0.85*'Parametros'!$B$2/'Parametros'!$B$3)*(1-SQRT(1-2*(L400*1000000/('Parametros'!$B$5*H400*AB400^2))/(0.85*'Parametros'!$B$2)))*H400*AB400)</f>
        <v>815.583333333333</v>
      </c>
      <c r="Z400" s="31" t="n">
        <v>5</v>
      </c>
      <c r="AA400" s="32" t="n">
        <v>1</v>
      </c>
      <c r="AB400" s="10">
        <f>IF(AA400=1,I400-('Parametros'!$B$7+'Parametros'!$B$9+'Parametros'!$B$12/2),I400-(ROUNDUP(Z400/2,0)*('Parametros'!$B$7+'Parametros'!$B$9+'Parametros'!$B$12/2)+ROUNDDOWN(Z400/2,0)*('Parametros'!$B$7+'Parametros'!$B$9+'Parametros'!$B$12/2+'Parametros'!$B$12+'Parametros'!$B$10))/Z400)</f>
        <v>489.35</v>
      </c>
      <c r="AC400" s="10">
        <f>Z400*'Parametros'!$B$8</f>
        <v>995</v>
      </c>
      <c r="AD400" s="10">
        <f>'Parametros'!$B$5*AC400*'Parametros'!$B$3*(AB400-(AC400*'Parametros'!$B$3/(0.85*'Parametros'!$B$2*H400))/2)/1000000</f>
        <v>177.445379382353</v>
      </c>
      <c r="AE400" s="10" t="str">
        <f>IF(AD400&gt;=L400,"CUMPLE","NO CUMPLE")</f>
        <v>CUMPLE</v>
      </c>
      <c r="AF400" s="10">
        <f>V400*1.25*'Parametros'!$B$3*(U400-(V400*1.25*'Parametros'!$B$3/(0.85*'Parametros'!$B$2*H400))/2)/1000000</f>
        <v>290.238924705882</v>
      </c>
      <c r="AG400" s="10">
        <f>AC400*1.25*'Parametros'!$B$3*(AB400-(AC400*1.25*'Parametros'!$B$3/(0.85*'Parametros'!$B$2*H400))/2)/1000000</f>
        <v>244.158843198529</v>
      </c>
      <c r="AH400" s="10">
        <f>N400+(AF400+AG400)/D400</f>
        <v>312.241625631956</v>
      </c>
      <c r="AI400" s="10">
        <f>MAX(O400,AH400)</f>
        <v>412.001</v>
      </c>
      <c r="AJ400" s="10">
        <f>0.17*SQRT('Parametros'!$B$2)*H400*MIN(U400,AB400)/1000</f>
        <v>220.098728691808</v>
      </c>
      <c r="AK400" s="10">
        <f>MAX(AI400/'Parametros'!$B$6-AJ400,0)</f>
        <v>329.235937974859</v>
      </c>
      <c r="AL400" s="10">
        <f>0.66*SQRT('Parametros'!$B$2)*H400*MIN(U400,AB400)/1000</f>
        <v>854.500946685842</v>
      </c>
      <c r="AM400" s="10" t="str">
        <f>IF(AK400&lt;=AL400,"CUMPLE","NO CUMPLE")</f>
        <v>CUMPLE</v>
      </c>
      <c r="AN400" s="17" t="inlineStr">
        <is>
          <t>Nº4 cerrado</t>
        </is>
      </c>
      <c r="AO400" s="31" t="n">
        <v>2</v>
      </c>
      <c r="AP400" s="10">
        <f>ROUNDDOWN(MIN(IF(BC400+BD400=0,1000000000,AO400*BB400/(BC400+BD400)),MIN(U400,AB400)/4,8*'Parametros'!$B$12,24*BA400,300,IF(AV400=0,1000000000,2*((H400-2*('Parametros'!$B$7+'Parametros'!$B$9/2))+(I400-2*('Parametros'!$B$7+'Parametros'!$B$9/2)))/8))/10,0)*10</f>
        <v>90</v>
      </c>
      <c r="AQ400" s="10">
        <f>ROUNDDOWN(MIN(IF(BC400+BD400=0,1000000000,AO400*BB400/(BC400+BD400)),IF(AK400&gt;0.33*SQRT('Parametros'!$B$2)*H400*MIN(U400,AB400)/1000,MIN(U400,AB400)/4,MIN(U400,AB400)/2),600,IF(AV400=0,1000000000,2*((H400-2*('Parametros'!$B$7+'Parametros'!$B$9/2))+(I400-2*('Parametros'!$B$7+'Parametros'!$B$9/2)))/8))/10,0)*10</f>
        <v>90</v>
      </c>
      <c r="AR400" s="10">
        <f>'Parametros'!$B$6*(AJ400+MAX(BE400-BD400,0)*'Parametros'!$B$4*MIN(U400,AB400)/1000)</f>
        <v>452.234951991995</v>
      </c>
      <c r="AS400" s="10" t="str">
        <f>IF(AND(ISERROR(SEARCH("referencia",AN400)),AM400="CUMPLE",AR400&gt;=AI400),"CUMPLE","NO CUMPLE")</f>
        <v>CUMPLE</v>
      </c>
      <c r="AT400" s="10">
        <f>'Parametros'!$B$6*0.083*SQRT('Parametros'!$B$2)*(H400*I400)^2/(2*(H400+I400))/1000000</f>
        <v>11.862178757599</v>
      </c>
      <c r="AU400" s="10" t="str">
        <f>IF(Q400&lt;=AT400,"DESPRECIABLE","DISEÑAR")</f>
        <v>DISEÑAR</v>
      </c>
      <c r="AV400" s="10">
        <f>IF(Q400&lt;=AT400,0,Q400*1000000/('Parametros'!$B$6*2*0.85*(H400-2*('Parametros'!$B$7+'Parametros'!$B$9/2))*(I400-2*('Parametros'!$B$7+'Parametros'!$B$9/2))*'Parametros'!$B$4))</f>
        <v>0.501871269231003</v>
      </c>
      <c r="AW400" s="10">
        <f>AV400*2*((H400-2*('Parametros'!$B$7+'Parametros'!$B$9/2))+(I400-2*('Parametros'!$B$7+'Parametros'!$B$9/2)))*'Parametros'!$B$4/'Parametros'!$B$3</f>
        <v>867.83579875425</v>
      </c>
      <c r="AX400" s="31" t="n">
        <v>8</v>
      </c>
      <c r="AY400" s="10" t="str">
        <f>IF(AV400=0,"DESPRECIABLE",IF(AND(ISERROR(SEARCH("referencia",AN400)),BB400/AP400&gt;=AV400,BI400&gt;=AW400,BH400="CUMPLE"),"CUMPLE","NO CUMPLE"))</f>
        <v>CUMPLE</v>
      </c>
      <c r="AZ400" s="10" t="str">
        <f>IF(AND(X400="CUMPLE",AE400="CUMPLE",AS400="CUMPLE",OR(AY400="CUMPLE",AY400="DESPRECIABLE"),BH400="CUMPLE",BJ400="CUMPLE"),"CUMPLE","NO CUMPLE")</f>
        <v>CUMPLE</v>
      </c>
      <c r="BA400" s="32" t="n">
        <v>12.7</v>
      </c>
      <c r="BB400" s="32" t="n">
        <v>129</v>
      </c>
      <c r="BC400" s="10">
        <f>MAX(IF(AK400=0,0,AK400*1000/('Parametros'!$B$4*MIN(U400,AB400))),MAX(0.062*SQRT('Parametros'!$B$2)*H400/'Parametros'!$B$4,0.35*H400/'Parametros'!$B$4))</f>
        <v>1.60191088263274</v>
      </c>
      <c r="BD400" s="10">
        <f>2*AV400</f>
        <v>1.00374253846201</v>
      </c>
      <c r="BE400" s="10">
        <f>AO400*BB400/AP400</f>
        <v>2.86666666666667</v>
      </c>
      <c r="BF400" s="10">
        <f>SQRT((AI400*1000/(H400*MIN(U400,AB400)))^2+(Q400*1000000*2*((H400-2*('Parametros'!$B$7+'Parametros'!$B$9/2))+(I400-2*('Parametros'!$B$7+'Parametros'!$B$9/2)))/(1.7*((H400-2*('Parametros'!$B$7+'Parametros'!$B$9/2))*(I400-2*('Parametros'!$B$7+'Parametros'!$B$9/2)))^2))^2)</f>
        <v>2.23372232483981</v>
      </c>
      <c r="BG400" s="10">
        <f>'Parametros'!$B$6*(AJ400*1000/(H400*MIN(U400,AB400))+0.66*SQRT('Parametros'!$B$2))</f>
        <v>3.29396038227542</v>
      </c>
      <c r="BH400" s="10" t="str">
        <f>IF(BF400&lt;=BG400,"CUMPLE","NO CUMPLE")</f>
        <v>CUMPLE</v>
      </c>
      <c r="BI400" s="10">
        <f>AX400*'Parametros'!$B$8</f>
        <v>1592</v>
      </c>
      <c r="BJ400" s="10" t="str">
        <f>IF(BI400&gt;=AW400,"CUMPLE","NO CUMPLE")</f>
        <v>CUMPLE</v>
      </c>
    </row>
    <row r="401">
      <c r="A401" s="25" t="inlineStr">
        <is>
          <t>VR2</t>
        </is>
      </c>
      <c r="B401" s="25" t="inlineStr">
        <is>
          <t>222</t>
        </is>
      </c>
      <c r="C401" s="10" t="n">
        <v>1</v>
      </c>
      <c r="D401" s="10" t="n">
        <v>2</v>
      </c>
      <c r="E401" s="10" t="n">
        <v>2</v>
      </c>
      <c r="F401" s="10" t="n">
        <v>500</v>
      </c>
      <c r="G401" s="10" t="n">
        <v>550</v>
      </c>
      <c r="H401" s="17" t="n">
        <v>500</v>
      </c>
      <c r="I401" s="17" t="n">
        <v>550</v>
      </c>
      <c r="J401" s="30" t="n">
        <v>196.4702</v>
      </c>
      <c r="K401" s="10" t="inlineStr">
        <is>
          <t>222</t>
        </is>
      </c>
      <c r="L401" s="30" t="n">
        <v>131.0982</v>
      </c>
      <c r="M401" s="10" t="inlineStr">
        <is>
          <t>222</t>
        </is>
      </c>
      <c r="N401" s="30" t="n">
        <v>163.759</v>
      </c>
      <c r="O401" s="30" t="n">
        <v>611.71</v>
      </c>
      <c r="P401" s="10" t="inlineStr">
        <is>
          <t>222</t>
        </is>
      </c>
      <c r="Q401" s="30" t="n">
        <v>7.8671</v>
      </c>
      <c r="R401" s="10">
        <f>MAX(MAX(1.4/'Parametros'!$B$3,0.25*SQRT('Parametros'!$B$2)/'Parametros'!$B$3)*H401*U401,(0.85*'Parametros'!$B$2/'Parametros'!$B$3)*(1-SQRT(1-2*(J401*1000000/('Parametros'!$B$5*H401*U401^2))/(0.85*'Parametros'!$B$2)))*H401*U401)</f>
        <v>1106.28391906894</v>
      </c>
      <c r="S401" s="31" t="n">
        <v>6</v>
      </c>
      <c r="T401" s="32" t="n">
        <v>1</v>
      </c>
      <c r="U401" s="10">
        <f>IF(T401=1,I401-('Parametros'!$B$7+'Parametros'!$B$9+'Parametros'!$B$12/2),I401-(ROUNDUP(S401/2,0)*('Parametros'!$B$7+'Parametros'!$B$9+'Parametros'!$B$12/2)+ROUNDDOWN(S401/2,0)*('Parametros'!$B$7+'Parametros'!$B$9+'Parametros'!$B$12/2+'Parametros'!$B$12+'Parametros'!$B$10))/S401)</f>
        <v>489.35</v>
      </c>
      <c r="V401" s="10">
        <f>S401*'Parametros'!$B$8</f>
        <v>1194</v>
      </c>
      <c r="W401" s="10">
        <f>'Parametros'!$B$5*V401*'Parametros'!$B$3*(U401-(V401*'Parametros'!$B$3/(0.85*'Parametros'!$B$2*H401))/2)/1000000</f>
        <v>211.349483470588</v>
      </c>
      <c r="X401" s="10" t="str">
        <f>IF(W401&gt;=J401,"CUMPLE","NO CUMPLE")</f>
        <v>CUMPLE</v>
      </c>
      <c r="Y401" s="10">
        <f>MAX(MAX(1.4/'Parametros'!$B$3,0.25*SQRT('Parametros'!$B$2)/'Parametros'!$B$3)*H401*AB401,(0.85*'Parametros'!$B$2/'Parametros'!$B$3)*(1-SQRT(1-2*(L401*1000000/('Parametros'!$B$5*H401*AB401^2))/(0.85*'Parametros'!$B$2)))*H401*AB401)</f>
        <v>815.583333333333</v>
      </c>
      <c r="Z401" s="31" t="n">
        <v>5</v>
      </c>
      <c r="AA401" s="32" t="n">
        <v>1</v>
      </c>
      <c r="AB401" s="10">
        <f>IF(AA401=1,I401-('Parametros'!$B$7+'Parametros'!$B$9+'Parametros'!$B$12/2),I401-(ROUNDUP(Z401/2,0)*('Parametros'!$B$7+'Parametros'!$B$9+'Parametros'!$B$12/2)+ROUNDDOWN(Z401/2,0)*('Parametros'!$B$7+'Parametros'!$B$9+'Parametros'!$B$12/2+'Parametros'!$B$12+'Parametros'!$B$10))/Z401)</f>
        <v>489.35</v>
      </c>
      <c r="AC401" s="10">
        <f>Z401*'Parametros'!$B$8</f>
        <v>995</v>
      </c>
      <c r="AD401" s="10">
        <f>'Parametros'!$B$5*AC401*'Parametros'!$B$3*(AB401-(AC401*'Parametros'!$B$3/(0.85*'Parametros'!$B$2*H401))/2)/1000000</f>
        <v>177.445379382353</v>
      </c>
      <c r="AE401" s="10" t="str">
        <f>IF(AD401&gt;=L401,"CUMPLE","NO CUMPLE")</f>
        <v>CUMPLE</v>
      </c>
      <c r="AF401" s="10">
        <f>V401*1.25*'Parametros'!$B$3*(U401-(V401*1.25*'Parametros'!$B$3/(0.85*'Parametros'!$B$2*H401))/2)/1000000</f>
        <v>290.238924705882</v>
      </c>
      <c r="AG401" s="10">
        <f>AC401*1.25*'Parametros'!$B$3*(AB401-(AC401*1.25*'Parametros'!$B$3/(0.85*'Parametros'!$B$2*H401))/2)/1000000</f>
        <v>244.158843198529</v>
      </c>
      <c r="AH401" s="10">
        <f>N401+(AF401+AG401)/D401</f>
        <v>430.957883952206</v>
      </c>
      <c r="AI401" s="10">
        <f>MAX(O401,AH401)</f>
        <v>611.71</v>
      </c>
      <c r="AJ401" s="10">
        <f>0.17*SQRT('Parametros'!$B$2)*H401*MIN(U401,AB401)/1000</f>
        <v>220.098728691808</v>
      </c>
      <c r="AK401" s="10">
        <f>MAX(AI401/'Parametros'!$B$6-AJ401,0)</f>
        <v>595.514604641526</v>
      </c>
      <c r="AL401" s="10">
        <f>0.66*SQRT('Parametros'!$B$2)*H401*MIN(U401,AB401)/1000</f>
        <v>854.500946685842</v>
      </c>
      <c r="AM401" s="10" t="str">
        <f>IF(AK401&lt;=AL401,"CUMPLE","NO CUMPLE")</f>
        <v>CUMPLE</v>
      </c>
      <c r="AN401" s="17" t="inlineStr">
        <is>
          <t>Nº4 cerrado</t>
        </is>
      </c>
      <c r="AO401" s="31" t="n">
        <v>2</v>
      </c>
      <c r="AP401" s="10">
        <f>ROUNDDOWN(MIN(IF(BC401+BD401=0,1000000000,AO401*BB401/(BC401+BD401)),MIN(U401,AB401)/4,8*'Parametros'!$B$12,24*BA401,300,IF(AV401=0,1000000000,2*((H401-2*('Parametros'!$B$7+'Parametros'!$B$9/2))+(I401-2*('Parametros'!$B$7+'Parametros'!$B$9/2)))/8))/10,0)*10</f>
        <v>80</v>
      </c>
      <c r="AQ401" s="10">
        <f>ROUNDDOWN(MIN(IF(BC401+BD401=0,1000000000,AO401*BB401/(BC401+BD401)),IF(AK401&gt;0.33*SQRT('Parametros'!$B$2)*H401*MIN(U401,AB401)/1000,MIN(U401,AB401)/4,MIN(U401,AB401)/2),600,IF(AV401=0,1000000000,2*((H401-2*('Parametros'!$B$7+'Parametros'!$B$9/2))+(I401-2*('Parametros'!$B$7+'Parametros'!$B$9/2)))/8))/10,0)*10</f>
        <v>80</v>
      </c>
      <c r="AR401" s="10">
        <f>'Parametros'!$B$6*(AJ401+MAX(BE401-BD401,0)*'Parametros'!$B$4*MIN(U401,AB401)/1000)</f>
        <v>662.192477768856</v>
      </c>
      <c r="AS401" s="10" t="str">
        <f>IF(AND(ISERROR(SEARCH("referencia",AN401)),AM401="CUMPLE",AR401&gt;=AI401),"CUMPLE","NO CUMPLE")</f>
        <v>CUMPLE</v>
      </c>
      <c r="AT401" s="10">
        <f>'Parametros'!$B$6*0.083*SQRT('Parametros'!$B$2)*(H401*I401)^2/(2*(H401+I401))/1000000</f>
        <v>11.862178757599</v>
      </c>
      <c r="AU401" s="10" t="str">
        <f>IF(Q401&lt;=AT401,"DESPRECIABLE","DISEÑAR")</f>
        <v>DESPRECIABLE</v>
      </c>
      <c r="AV401" s="10">
        <f>IF(Q401&lt;=AT401,0,Q401*1000000/('Parametros'!$B$6*2*0.85*(H401-2*('Parametros'!$B$7+'Parametros'!$B$9/2))*(I401-2*('Parametros'!$B$7+'Parametros'!$B$9/2))*'Parametros'!$B$4))</f>
        <v>0</v>
      </c>
      <c r="AW401" s="10">
        <f>AV401*2*((H401-2*('Parametros'!$B$7+'Parametros'!$B$9/2))+(I401-2*('Parametros'!$B$7+'Parametros'!$B$9/2)))*'Parametros'!$B$4/'Parametros'!$B$3</f>
        <v>0</v>
      </c>
      <c r="AX401" s="31" t="n">
        <v>0</v>
      </c>
      <c r="AY401" s="10" t="str">
        <f>IF(AV401=0,"DESPRECIABLE",IF(AND(ISERROR(SEARCH("referencia",AN401)),BB401/AP401&gt;=AV401,BI401&gt;=AW401,BH401="CUMPLE"),"CUMPLE","NO CUMPLE"))</f>
        <v>DESPRECIABLE</v>
      </c>
      <c r="AZ401" s="10" t="str">
        <f>IF(AND(X401="CUMPLE",AE401="CUMPLE",AS401="CUMPLE",OR(AY401="CUMPLE",AY401="DESPRECIABLE"),BH401="CUMPLE",BJ401="CUMPLE"),"CUMPLE","NO CUMPLE")</f>
        <v>CUMPLE</v>
      </c>
      <c r="BA401" s="32" t="n">
        <v>12.7</v>
      </c>
      <c r="BB401" s="32" t="n">
        <v>129</v>
      </c>
      <c r="BC401" s="10">
        <f>MAX(IF(AK401=0,0,AK401*1000/('Parametros'!$B$4*MIN(U401,AB401))),MAX(0.062*SQRT('Parametros'!$B$2)*H401/'Parametros'!$B$4,0.35*H401/'Parametros'!$B$4))</f>
        <v>2.89750059428457</v>
      </c>
      <c r="BD401" s="10">
        <f>2*AV401</f>
        <v>0</v>
      </c>
      <c r="BE401" s="10">
        <f>AO401*BB401/AP401</f>
        <v>3.225</v>
      </c>
      <c r="BF401" s="10">
        <f>SQRT((AI401*1000/(H401*MIN(U401,AB401)))^2+(Q401*1000000*2*((H401-2*('Parametros'!$B$7+'Parametros'!$B$9/2))+(I401-2*('Parametros'!$B$7+'Parametros'!$B$9/2)))/(1.7*((H401-2*('Parametros'!$B$7+'Parametros'!$B$9/2))*(I401-2*('Parametros'!$B$7+'Parametros'!$B$9/2)))^2))^2)</f>
        <v>2.51071019172441</v>
      </c>
      <c r="BG401" s="10">
        <f>'Parametros'!$B$6*(AJ401*1000/(H401*MIN(U401,AB401))+0.66*SQRT('Parametros'!$B$2))</f>
        <v>3.29396038227542</v>
      </c>
      <c r="BH401" s="10" t="str">
        <f>IF(BF401&lt;=BG401,"CUMPLE","NO CUMPLE")</f>
        <v>CUMPLE</v>
      </c>
      <c r="BI401" s="10">
        <f>AX401*'Parametros'!$B$8</f>
        <v>0</v>
      </c>
      <c r="BJ401" s="10" t="str">
        <f>IF(BI401&gt;=AW401,"CUMPLE","NO CUMPLE")</f>
        <v>CUMPLE</v>
      </c>
    </row>
    <row r="402">
      <c r="A402" s="25" t="inlineStr">
        <is>
          <t>VR2</t>
        </is>
      </c>
      <c r="B402" s="25" t="inlineStr">
        <is>
          <t>233</t>
        </is>
      </c>
      <c r="C402" s="10" t="n">
        <v>1</v>
      </c>
      <c r="D402" s="10" t="n">
        <v>2</v>
      </c>
      <c r="E402" s="10" t="n">
        <v>2</v>
      </c>
      <c r="F402" s="10" t="n">
        <v>500</v>
      </c>
      <c r="G402" s="10" t="n">
        <v>550</v>
      </c>
      <c r="H402" s="17" t="n">
        <v>500</v>
      </c>
      <c r="I402" s="17" t="n">
        <v>550</v>
      </c>
      <c r="J402" s="30" t="n">
        <v>196.5936</v>
      </c>
      <c r="K402" s="10" t="inlineStr">
        <is>
          <t>233</t>
        </is>
      </c>
      <c r="L402" s="30" t="n">
        <v>131.0284</v>
      </c>
      <c r="M402" s="10" t="inlineStr">
        <is>
          <t>233</t>
        </is>
      </c>
      <c r="N402" s="30" t="n">
        <v>163.844</v>
      </c>
      <c r="O402" s="30" t="n">
        <v>611.799</v>
      </c>
      <c r="P402" s="10" t="inlineStr">
        <is>
          <t>233</t>
        </is>
      </c>
      <c r="Q402" s="30" t="n">
        <v>7.865</v>
      </c>
      <c r="R402" s="10">
        <f>MAX(MAX(1.4/'Parametros'!$B$3,0.25*SQRT('Parametros'!$B$2)/'Parametros'!$B$3)*H402*U402,(0.85*'Parametros'!$B$2/'Parametros'!$B$3)*(1-SQRT(1-2*(J402*1000000/('Parametros'!$B$5*H402*U402^2))/(0.85*'Parametros'!$B$2)))*H402*U402)</f>
        <v>1107.00890442338</v>
      </c>
      <c r="S402" s="31" t="n">
        <v>6</v>
      </c>
      <c r="T402" s="32" t="n">
        <v>1</v>
      </c>
      <c r="U402" s="10">
        <f>IF(T402=1,I402-('Parametros'!$B$7+'Parametros'!$B$9+'Parametros'!$B$12/2),I402-(ROUNDUP(S402/2,0)*('Parametros'!$B$7+'Parametros'!$B$9+'Parametros'!$B$12/2)+ROUNDDOWN(S402/2,0)*('Parametros'!$B$7+'Parametros'!$B$9+'Parametros'!$B$12/2+'Parametros'!$B$12+'Parametros'!$B$10))/S402)</f>
        <v>489.35</v>
      </c>
      <c r="V402" s="10">
        <f>S402*'Parametros'!$B$8</f>
        <v>1194</v>
      </c>
      <c r="W402" s="10">
        <f>'Parametros'!$B$5*V402*'Parametros'!$B$3*(U402-(V402*'Parametros'!$B$3/(0.85*'Parametros'!$B$2*H402))/2)/1000000</f>
        <v>211.349483470588</v>
      </c>
      <c r="X402" s="10" t="str">
        <f>IF(W402&gt;=J402,"CUMPLE","NO CUMPLE")</f>
        <v>CUMPLE</v>
      </c>
      <c r="Y402" s="10">
        <f>MAX(MAX(1.4/'Parametros'!$B$3,0.25*SQRT('Parametros'!$B$2)/'Parametros'!$B$3)*H402*AB402,(0.85*'Parametros'!$B$2/'Parametros'!$B$3)*(1-SQRT(1-2*(L402*1000000/('Parametros'!$B$5*H402*AB402^2))/(0.85*'Parametros'!$B$2)))*H402*AB402)</f>
        <v>815.583333333333</v>
      </c>
      <c r="Z402" s="31" t="n">
        <v>5</v>
      </c>
      <c r="AA402" s="32" t="n">
        <v>1</v>
      </c>
      <c r="AB402" s="10">
        <f>IF(AA402=1,I402-('Parametros'!$B$7+'Parametros'!$B$9+'Parametros'!$B$12/2),I402-(ROUNDUP(Z402/2,0)*('Parametros'!$B$7+'Parametros'!$B$9+'Parametros'!$B$12/2)+ROUNDDOWN(Z402/2,0)*('Parametros'!$B$7+'Parametros'!$B$9+'Parametros'!$B$12/2+'Parametros'!$B$12+'Parametros'!$B$10))/Z402)</f>
        <v>489.35</v>
      </c>
      <c r="AC402" s="10">
        <f>Z402*'Parametros'!$B$8</f>
        <v>995</v>
      </c>
      <c r="AD402" s="10">
        <f>'Parametros'!$B$5*AC402*'Parametros'!$B$3*(AB402-(AC402*'Parametros'!$B$3/(0.85*'Parametros'!$B$2*H402))/2)/1000000</f>
        <v>177.445379382353</v>
      </c>
      <c r="AE402" s="10" t="str">
        <f>IF(AD402&gt;=L402,"CUMPLE","NO CUMPLE")</f>
        <v>CUMPLE</v>
      </c>
      <c r="AF402" s="10">
        <f>V402*1.25*'Parametros'!$B$3*(U402-(V402*1.25*'Parametros'!$B$3/(0.85*'Parametros'!$B$2*H402))/2)/1000000</f>
        <v>290.238924705882</v>
      </c>
      <c r="AG402" s="10">
        <f>AC402*1.25*'Parametros'!$B$3*(AB402-(AC402*1.25*'Parametros'!$B$3/(0.85*'Parametros'!$B$2*H402))/2)/1000000</f>
        <v>244.158843198529</v>
      </c>
      <c r="AH402" s="10">
        <f>N402+(AF402+AG402)/D402</f>
        <v>431.042883952206</v>
      </c>
      <c r="AI402" s="10">
        <f>MAX(O402,AH402)</f>
        <v>611.799</v>
      </c>
      <c r="AJ402" s="10">
        <f>0.17*SQRT('Parametros'!$B$2)*H402*MIN(U402,AB402)/1000</f>
        <v>220.098728691808</v>
      </c>
      <c r="AK402" s="10">
        <f>MAX(AI402/'Parametros'!$B$6-AJ402,0)</f>
        <v>595.633271308192</v>
      </c>
      <c r="AL402" s="10">
        <f>0.66*SQRT('Parametros'!$B$2)*H402*MIN(U402,AB402)/1000</f>
        <v>854.500946685842</v>
      </c>
      <c r="AM402" s="10" t="str">
        <f>IF(AK402&lt;=AL402,"CUMPLE","NO CUMPLE")</f>
        <v>CUMPLE</v>
      </c>
      <c r="AN402" s="17" t="inlineStr">
        <is>
          <t>Nº4 cerrado</t>
        </is>
      </c>
      <c r="AO402" s="31" t="n">
        <v>2</v>
      </c>
      <c r="AP402" s="10">
        <f>ROUNDDOWN(MIN(IF(BC402+BD402=0,1000000000,AO402*BB402/(BC402+BD402)),MIN(U402,AB402)/4,8*'Parametros'!$B$12,24*BA402,300,IF(AV402=0,1000000000,2*((H402-2*('Parametros'!$B$7+'Parametros'!$B$9/2))+(I402-2*('Parametros'!$B$7+'Parametros'!$B$9/2)))/8))/10,0)*10</f>
        <v>80</v>
      </c>
      <c r="AQ402" s="10">
        <f>ROUNDDOWN(MIN(IF(BC402+BD402=0,1000000000,AO402*BB402/(BC402+BD402)),IF(AK402&gt;0.33*SQRT('Parametros'!$B$2)*H402*MIN(U402,AB402)/1000,MIN(U402,AB402)/4,MIN(U402,AB402)/2),600,IF(AV402=0,1000000000,2*((H402-2*('Parametros'!$B$7+'Parametros'!$B$9/2))+(I402-2*('Parametros'!$B$7+'Parametros'!$B$9/2)))/8))/10,0)*10</f>
        <v>80</v>
      </c>
      <c r="AR402" s="10">
        <f>'Parametros'!$B$6*(AJ402+MAX(BE402-BD402,0)*'Parametros'!$B$4*MIN(U402,AB402)/1000)</f>
        <v>662.192477768856</v>
      </c>
      <c r="AS402" s="10" t="str">
        <f>IF(AND(ISERROR(SEARCH("referencia",AN402)),AM402="CUMPLE",AR402&gt;=AI402),"CUMPLE","NO CUMPLE")</f>
        <v>CUMPLE</v>
      </c>
      <c r="AT402" s="10">
        <f>'Parametros'!$B$6*0.083*SQRT('Parametros'!$B$2)*(H402*I402)^2/(2*(H402+I402))/1000000</f>
        <v>11.862178757599</v>
      </c>
      <c r="AU402" s="10" t="str">
        <f>IF(Q402&lt;=AT402,"DESPRECIABLE","DISEÑAR")</f>
        <v>DESPRECIABLE</v>
      </c>
      <c r="AV402" s="10">
        <f>IF(Q402&lt;=AT402,0,Q402*1000000/('Parametros'!$B$6*2*0.85*(H402-2*('Parametros'!$B$7+'Parametros'!$B$9/2))*(I402-2*('Parametros'!$B$7+'Parametros'!$B$9/2))*'Parametros'!$B$4))</f>
        <v>0</v>
      </c>
      <c r="AW402" s="10">
        <f>AV402*2*((H402-2*('Parametros'!$B$7+'Parametros'!$B$9/2))+(I402-2*('Parametros'!$B$7+'Parametros'!$B$9/2)))*'Parametros'!$B$4/'Parametros'!$B$3</f>
        <v>0</v>
      </c>
      <c r="AX402" s="31" t="n">
        <v>0</v>
      </c>
      <c r="AY402" s="10" t="str">
        <f>IF(AV402=0,"DESPRECIABLE",IF(AND(ISERROR(SEARCH("referencia",AN402)),BB402/AP402&gt;=AV402,BI402&gt;=AW402,BH402="CUMPLE"),"CUMPLE","NO CUMPLE"))</f>
        <v>DESPRECIABLE</v>
      </c>
      <c r="AZ402" s="10" t="str">
        <f>IF(AND(X402="CUMPLE",AE402="CUMPLE",AS402="CUMPLE",OR(AY402="CUMPLE",AY402="DESPRECIABLE"),BH402="CUMPLE",BJ402="CUMPLE"),"CUMPLE","NO CUMPLE")</f>
        <v>CUMPLE</v>
      </c>
      <c r="BA402" s="32" t="n">
        <v>12.7</v>
      </c>
      <c r="BB402" s="32" t="n">
        <v>129</v>
      </c>
      <c r="BC402" s="10">
        <f>MAX(IF(AK402=0,0,AK402*1000/('Parametros'!$B$4*MIN(U402,AB402))),MAX(0.062*SQRT('Parametros'!$B$2)*H402/'Parametros'!$B$4,0.35*H402/'Parametros'!$B$4))</f>
        <v>2.89807797179053</v>
      </c>
      <c r="BD402" s="10">
        <f>2*AV402</f>
        <v>0</v>
      </c>
      <c r="BE402" s="10">
        <f>AO402*BB402/AP402</f>
        <v>3.225</v>
      </c>
      <c r="BF402" s="10">
        <f>SQRT((AI402*1000/(H402*MIN(U402,AB402)))^2+(Q402*1000000*2*((H402-2*('Parametros'!$B$7+'Parametros'!$B$9/2))+(I402-2*('Parametros'!$B$7+'Parametros'!$B$9/2)))/(1.7*((H402-2*('Parametros'!$B$7+'Parametros'!$B$9/2))*(I402-2*('Parametros'!$B$7+'Parametros'!$B$9/2)))^2))^2)</f>
        <v>2.51106674622946</v>
      </c>
      <c r="BG402" s="10">
        <f>'Parametros'!$B$6*(AJ402*1000/(H402*MIN(U402,AB402))+0.66*SQRT('Parametros'!$B$2))</f>
        <v>3.29396038227542</v>
      </c>
      <c r="BH402" s="10" t="str">
        <f>IF(BF402&lt;=BG402,"CUMPLE","NO CUMPLE")</f>
        <v>CUMPLE</v>
      </c>
      <c r="BI402" s="10">
        <f>AX402*'Parametros'!$B$8</f>
        <v>0</v>
      </c>
      <c r="BJ402" s="10" t="str">
        <f>IF(BI402&gt;=AW402,"CUMPLE","NO CUMPLE")</f>
        <v>CUMPLE</v>
      </c>
    </row>
    <row r="403">
      <c r="A403" s="25" t="inlineStr">
        <is>
          <t>VR2</t>
        </is>
      </c>
      <c r="B403" s="25" t="inlineStr">
        <is>
          <t>234</t>
        </is>
      </c>
      <c r="C403" s="10" t="n">
        <v>1</v>
      </c>
      <c r="D403" s="10" t="n">
        <v>3.05308</v>
      </c>
      <c r="E403" s="10" t="n">
        <v>3.05308</v>
      </c>
      <c r="F403" s="10" t="n">
        <v>500</v>
      </c>
      <c r="G403" s="10" t="n">
        <v>550</v>
      </c>
      <c r="H403" s="17" t="n">
        <v>500</v>
      </c>
      <c r="I403" s="17" t="n">
        <v>550</v>
      </c>
      <c r="J403" s="30" t="n">
        <v>181.2507</v>
      </c>
      <c r="K403" s="10" t="inlineStr">
        <is>
          <t>234</t>
        </is>
      </c>
      <c r="L403" s="30" t="n">
        <v>118.8891</v>
      </c>
      <c r="M403" s="10" t="inlineStr">
        <is>
          <t>234</t>
        </is>
      </c>
      <c r="N403" s="30" t="n">
        <v>137.15</v>
      </c>
      <c r="O403" s="30" t="n">
        <v>411.94</v>
      </c>
      <c r="P403" s="10" t="inlineStr">
        <is>
          <t>234</t>
        </is>
      </c>
      <c r="Q403" s="30" t="n">
        <v>50.0576</v>
      </c>
      <c r="R403" s="10">
        <f>MAX(MAX(1.4/'Parametros'!$B$3,0.25*SQRT('Parametros'!$B$2)/'Parametros'!$B$3)*H403*U403,(0.85*'Parametros'!$B$2/'Parametros'!$B$3)*(1-SQRT(1-2*(J403*1000000/('Parametros'!$B$5*H403*U403^2))/(0.85*'Parametros'!$B$2)))*H403*U403)</f>
        <v>1017.18175032871</v>
      </c>
      <c r="S403" s="31" t="n">
        <v>6</v>
      </c>
      <c r="T403" s="32" t="n">
        <v>1</v>
      </c>
      <c r="U403" s="10">
        <f>IF(T403=1,I403-('Parametros'!$B$7+'Parametros'!$B$9+'Parametros'!$B$12/2),I403-(ROUNDUP(S403/2,0)*('Parametros'!$B$7+'Parametros'!$B$9+'Parametros'!$B$12/2)+ROUNDDOWN(S403/2,0)*('Parametros'!$B$7+'Parametros'!$B$9+'Parametros'!$B$12/2+'Parametros'!$B$12+'Parametros'!$B$10))/S403)</f>
        <v>489.35</v>
      </c>
      <c r="V403" s="10">
        <f>S403*'Parametros'!$B$8</f>
        <v>1194</v>
      </c>
      <c r="W403" s="10">
        <f>'Parametros'!$B$5*V403*'Parametros'!$B$3*(U403-(V403*'Parametros'!$B$3/(0.85*'Parametros'!$B$2*H403))/2)/1000000</f>
        <v>211.349483470588</v>
      </c>
      <c r="X403" s="10" t="str">
        <f>IF(W403&gt;=J403,"CUMPLE","NO CUMPLE")</f>
        <v>CUMPLE</v>
      </c>
      <c r="Y403" s="10">
        <f>MAX(MAX(1.4/'Parametros'!$B$3,0.25*SQRT('Parametros'!$B$2)/'Parametros'!$B$3)*H403*AB403,(0.85*'Parametros'!$B$2/'Parametros'!$B$3)*(1-SQRT(1-2*(L403*1000000/('Parametros'!$B$5*H403*AB403^2))/(0.85*'Parametros'!$B$2)))*H403*AB403)</f>
        <v>815.583333333333</v>
      </c>
      <c r="Z403" s="31" t="n">
        <v>5</v>
      </c>
      <c r="AA403" s="32" t="n">
        <v>1</v>
      </c>
      <c r="AB403" s="10">
        <f>IF(AA403=1,I403-('Parametros'!$B$7+'Parametros'!$B$9+'Parametros'!$B$12/2),I403-(ROUNDUP(Z403/2,0)*('Parametros'!$B$7+'Parametros'!$B$9+'Parametros'!$B$12/2)+ROUNDDOWN(Z403/2,0)*('Parametros'!$B$7+'Parametros'!$B$9+'Parametros'!$B$12/2+'Parametros'!$B$12+'Parametros'!$B$10))/Z403)</f>
        <v>489.35</v>
      </c>
      <c r="AC403" s="10">
        <f>Z403*'Parametros'!$B$8</f>
        <v>995</v>
      </c>
      <c r="AD403" s="10">
        <f>'Parametros'!$B$5*AC403*'Parametros'!$B$3*(AB403-(AC403*'Parametros'!$B$3/(0.85*'Parametros'!$B$2*H403))/2)/1000000</f>
        <v>177.445379382353</v>
      </c>
      <c r="AE403" s="10" t="str">
        <f>IF(AD403&gt;=L403,"CUMPLE","NO CUMPLE")</f>
        <v>CUMPLE</v>
      </c>
      <c r="AF403" s="10">
        <f>V403*1.25*'Parametros'!$B$3*(U403-(V403*1.25*'Parametros'!$B$3/(0.85*'Parametros'!$B$2*H403))/2)/1000000</f>
        <v>290.238924705882</v>
      </c>
      <c r="AG403" s="10">
        <f>AC403*1.25*'Parametros'!$B$3*(AB403-(AC403*1.25*'Parametros'!$B$3/(0.85*'Parametros'!$B$2*H403))/2)/1000000</f>
        <v>244.158843198529</v>
      </c>
      <c r="AH403" s="10">
        <f>N403+(AF403+AG403)/D403</f>
        <v>312.185625631956</v>
      </c>
      <c r="AI403" s="10">
        <f>MAX(O403,AH403)</f>
        <v>411.94</v>
      </c>
      <c r="AJ403" s="10">
        <f>0.17*SQRT('Parametros'!$B$2)*H403*MIN(U403,AB403)/1000</f>
        <v>220.098728691808</v>
      </c>
      <c r="AK403" s="10">
        <f>MAX(AI403/'Parametros'!$B$6-AJ403,0)</f>
        <v>329.154604641526</v>
      </c>
      <c r="AL403" s="10">
        <f>0.66*SQRT('Parametros'!$B$2)*H403*MIN(U403,AB403)/1000</f>
        <v>854.500946685842</v>
      </c>
      <c r="AM403" s="10" t="str">
        <f>IF(AK403&lt;=AL403,"CUMPLE","NO CUMPLE")</f>
        <v>CUMPLE</v>
      </c>
      <c r="AN403" s="17" t="inlineStr">
        <is>
          <t>Nº4 cerrado</t>
        </is>
      </c>
      <c r="AO403" s="31" t="n">
        <v>2</v>
      </c>
      <c r="AP403" s="10">
        <f>ROUNDDOWN(MIN(IF(BC403+BD403=0,1000000000,AO403*BB403/(BC403+BD403)),MIN(U403,AB403)/4,8*'Parametros'!$B$12,24*BA403,300,IF(AV403=0,1000000000,2*((H403-2*('Parametros'!$B$7+'Parametros'!$B$9/2))+(I403-2*('Parametros'!$B$7+'Parametros'!$B$9/2)))/8))/10,0)*10</f>
        <v>90</v>
      </c>
      <c r="AQ403" s="10">
        <f>ROUNDDOWN(MIN(IF(BC403+BD403=0,1000000000,AO403*BB403/(BC403+BD403)),IF(AK403&gt;0.33*SQRT('Parametros'!$B$2)*H403*MIN(U403,AB403)/1000,MIN(U403,AB403)/4,MIN(U403,AB403)/2),600,IF(AV403=0,1000000000,2*((H403-2*('Parametros'!$B$7+'Parametros'!$B$9/2))+(I403-2*('Parametros'!$B$7+'Parametros'!$B$9/2)))/8))/10,0)*10</f>
        <v>90</v>
      </c>
      <c r="AR403" s="10">
        <f>'Parametros'!$B$6*(AJ403+MAX(BE403-BD403,0)*'Parametros'!$B$4*MIN(U403,AB403)/1000)</f>
        <v>452.23402472178</v>
      </c>
      <c r="AS403" s="10" t="str">
        <f>IF(AND(ISERROR(SEARCH("referencia",AN403)),AM403="CUMPLE",AR403&gt;=AI403),"CUMPLE","NO CUMPLE")</f>
        <v>CUMPLE</v>
      </c>
      <c r="AT403" s="10">
        <f>'Parametros'!$B$6*0.083*SQRT('Parametros'!$B$2)*(H403*I403)^2/(2*(H403+I403))/1000000</f>
        <v>11.862178757599</v>
      </c>
      <c r="AU403" s="10" t="str">
        <f>IF(Q403&lt;=AT403,"DESPRECIABLE","DISEÑAR")</f>
        <v>DISEÑAR</v>
      </c>
      <c r="AV403" s="10">
        <f>IF(Q403&lt;=AT403,0,Q403*1000000/('Parametros'!$B$6*2*0.85*(H403-2*('Parametros'!$B$7+'Parametros'!$B$9/2))*(I403-2*('Parametros'!$B$7+'Parametros'!$B$9/2))*'Parametros'!$B$4))</f>
        <v>0.501874277011701</v>
      </c>
      <c r="AW403" s="10">
        <f>AV403*2*((H403-2*('Parametros'!$B$7+'Parametros'!$B$9/2))+(I403-2*('Parametros'!$B$7+'Parametros'!$B$9/2)))*'Parametros'!$B$4/'Parametros'!$B$3</f>
        <v>867.840999808634</v>
      </c>
      <c r="AX403" s="31" t="n">
        <v>8</v>
      </c>
      <c r="AY403" s="10" t="str">
        <f>IF(AV403=0,"DESPRECIABLE",IF(AND(ISERROR(SEARCH("referencia",AN403)),BB403/AP403&gt;=AV403,BI403&gt;=AW403,BH403="CUMPLE"),"CUMPLE","NO CUMPLE"))</f>
        <v>CUMPLE</v>
      </c>
      <c r="AZ403" s="10" t="str">
        <f>IF(AND(X403="CUMPLE",AE403="CUMPLE",AS403="CUMPLE",OR(AY403="CUMPLE",AY403="DESPRECIABLE"),BH403="CUMPLE",BJ403="CUMPLE"),"CUMPLE","NO CUMPLE")</f>
        <v>CUMPLE</v>
      </c>
      <c r="BA403" s="32" t="n">
        <v>12.7</v>
      </c>
      <c r="BB403" s="32" t="n">
        <v>129</v>
      </c>
      <c r="BC403" s="10">
        <f>MAX(IF(AK403=0,0,AK403*1000/('Parametros'!$B$4*MIN(U403,AB403))),MAX(0.062*SQRT('Parametros'!$B$2)*H403/'Parametros'!$B$4,0.35*H403/'Parametros'!$B$4))</f>
        <v>1.60151515198259</v>
      </c>
      <c r="BD403" s="10">
        <f>2*AV403</f>
        <v>1.0037485540234</v>
      </c>
      <c r="BE403" s="10">
        <f>AO403*BB403/AP403</f>
        <v>2.86666666666667</v>
      </c>
      <c r="BF403" s="10">
        <f>SQRT((AI403*1000/(H403*MIN(U403,AB403)))^2+(Q403*1000000*2*((H403-2*('Parametros'!$B$7+'Parametros'!$B$9/2))+(I403-2*('Parametros'!$B$7+'Parametros'!$B$9/2)))/(1.7*((H403-2*('Parametros'!$B$7+'Parametros'!$B$9/2))*(I403-2*('Parametros'!$B$7+'Parametros'!$B$9/2)))^2))^2)</f>
        <v>2.23354017061684</v>
      </c>
      <c r="BG403" s="10">
        <f>'Parametros'!$B$6*(AJ403*1000/(H403*MIN(U403,AB403))+0.66*SQRT('Parametros'!$B$2))</f>
        <v>3.29396038227542</v>
      </c>
      <c r="BH403" s="10" t="str">
        <f>IF(BF403&lt;=BG403,"CUMPLE","NO CUMPLE")</f>
        <v>CUMPLE</v>
      </c>
      <c r="BI403" s="10">
        <f>AX403*'Parametros'!$B$8</f>
        <v>1592</v>
      </c>
      <c r="BJ403" s="10" t="str">
        <f>IF(BI403&gt;=AW403,"CUMPLE","NO CUMPLE")</f>
        <v>CUMPLE</v>
      </c>
    </row>
    <row r="404">
      <c r="A404" s="25" t="inlineStr">
        <is>
          <t>VR2</t>
        </is>
      </c>
      <c r="B404" s="25" t="inlineStr">
        <is>
          <t>235</t>
        </is>
      </c>
      <c r="C404" s="10" t="n">
        <v>1</v>
      </c>
      <c r="D404" s="10" t="n">
        <v>2</v>
      </c>
      <c r="E404" s="10" t="n">
        <v>2</v>
      </c>
      <c r="F404" s="10" t="n">
        <v>500</v>
      </c>
      <c r="G404" s="10" t="n">
        <v>550</v>
      </c>
      <c r="H404" s="17" t="n">
        <v>500</v>
      </c>
      <c r="I404" s="17" t="n">
        <v>550</v>
      </c>
      <c r="J404" s="30" t="n">
        <v>178.9985</v>
      </c>
      <c r="K404" s="10" t="inlineStr">
        <is>
          <t>235</t>
        </is>
      </c>
      <c r="L404" s="30" t="n">
        <v>133.0762</v>
      </c>
      <c r="M404" s="10" t="inlineStr">
        <is>
          <t>235</t>
        </is>
      </c>
      <c r="N404" s="30" t="n">
        <v>165.697</v>
      </c>
      <c r="O404" s="30" t="n">
        <v>626.491</v>
      </c>
      <c r="P404" s="10" t="inlineStr">
        <is>
          <t>235</t>
        </is>
      </c>
      <c r="Q404" s="30" t="n">
        <v>43.3196</v>
      </c>
      <c r="R404" s="10">
        <f>MAX(MAX(1.4/'Parametros'!$B$3,0.25*SQRT('Parametros'!$B$2)/'Parametros'!$B$3)*H404*U404,(0.85*'Parametros'!$B$2/'Parametros'!$B$3)*(1-SQRT(1-2*(J404*1000000/('Parametros'!$B$5*H404*U404^2))/(0.85*'Parametros'!$B$2)))*H404*U404)</f>
        <v>1004.04873818737</v>
      </c>
      <c r="S404" s="31" t="n">
        <v>6</v>
      </c>
      <c r="T404" s="32" t="n">
        <v>1</v>
      </c>
      <c r="U404" s="10">
        <f>IF(T404=1,I404-('Parametros'!$B$7+'Parametros'!$B$9+'Parametros'!$B$12/2),I404-(ROUNDUP(S404/2,0)*('Parametros'!$B$7+'Parametros'!$B$9+'Parametros'!$B$12/2)+ROUNDDOWN(S404/2,0)*('Parametros'!$B$7+'Parametros'!$B$9+'Parametros'!$B$12/2+'Parametros'!$B$12+'Parametros'!$B$10))/S404)</f>
        <v>489.35</v>
      </c>
      <c r="V404" s="10">
        <f>S404*'Parametros'!$B$8</f>
        <v>1194</v>
      </c>
      <c r="W404" s="10">
        <f>'Parametros'!$B$5*V404*'Parametros'!$B$3*(U404-(V404*'Parametros'!$B$3/(0.85*'Parametros'!$B$2*H404))/2)/1000000</f>
        <v>211.349483470588</v>
      </c>
      <c r="X404" s="10" t="str">
        <f>IF(W404&gt;=J404,"CUMPLE","NO CUMPLE")</f>
        <v>CUMPLE</v>
      </c>
      <c r="Y404" s="10">
        <f>MAX(MAX(1.4/'Parametros'!$B$3,0.25*SQRT('Parametros'!$B$2)/'Parametros'!$B$3)*H404*AB404,(0.85*'Parametros'!$B$2/'Parametros'!$B$3)*(1-SQRT(1-2*(L404*1000000/('Parametros'!$B$5*H404*AB404^2))/(0.85*'Parametros'!$B$2)))*H404*AB404)</f>
        <v>815.583333333333</v>
      </c>
      <c r="Z404" s="31" t="n">
        <v>5</v>
      </c>
      <c r="AA404" s="32" t="n">
        <v>1</v>
      </c>
      <c r="AB404" s="10">
        <f>IF(AA404=1,I404-('Parametros'!$B$7+'Parametros'!$B$9+'Parametros'!$B$12/2),I404-(ROUNDUP(Z404/2,0)*('Parametros'!$B$7+'Parametros'!$B$9+'Parametros'!$B$12/2)+ROUNDDOWN(Z404/2,0)*('Parametros'!$B$7+'Parametros'!$B$9+'Parametros'!$B$12/2+'Parametros'!$B$12+'Parametros'!$B$10))/Z404)</f>
        <v>489.35</v>
      </c>
      <c r="AC404" s="10">
        <f>Z404*'Parametros'!$B$8</f>
        <v>995</v>
      </c>
      <c r="AD404" s="10">
        <f>'Parametros'!$B$5*AC404*'Parametros'!$B$3*(AB404-(AC404*'Parametros'!$B$3/(0.85*'Parametros'!$B$2*H404))/2)/1000000</f>
        <v>177.445379382353</v>
      </c>
      <c r="AE404" s="10" t="str">
        <f>IF(AD404&gt;=L404,"CUMPLE","NO CUMPLE")</f>
        <v>CUMPLE</v>
      </c>
      <c r="AF404" s="10">
        <f>V404*1.25*'Parametros'!$B$3*(U404-(V404*1.25*'Parametros'!$B$3/(0.85*'Parametros'!$B$2*H404))/2)/1000000</f>
        <v>290.238924705882</v>
      </c>
      <c r="AG404" s="10">
        <f>AC404*1.25*'Parametros'!$B$3*(AB404-(AC404*1.25*'Parametros'!$B$3/(0.85*'Parametros'!$B$2*H404))/2)/1000000</f>
        <v>244.158843198529</v>
      </c>
      <c r="AH404" s="10">
        <f>N404+(AF404+AG404)/D404</f>
        <v>432.895883952206</v>
      </c>
      <c r="AI404" s="10">
        <f>MAX(O404,AH404)</f>
        <v>626.491</v>
      </c>
      <c r="AJ404" s="10">
        <f>0.17*SQRT('Parametros'!$B$2)*H404*MIN(U404,AB404)/1000</f>
        <v>220.098728691808</v>
      </c>
      <c r="AK404" s="10">
        <f>MAX(AI404/'Parametros'!$B$6-AJ404,0)</f>
        <v>615.222604641526</v>
      </c>
      <c r="AL404" s="10">
        <f>0.66*SQRT('Parametros'!$B$2)*H404*MIN(U404,AB404)/1000</f>
        <v>854.500946685842</v>
      </c>
      <c r="AM404" s="10" t="str">
        <f>IF(AK404&lt;=AL404,"CUMPLE","NO CUMPLE")</f>
        <v>CUMPLE</v>
      </c>
      <c r="AN404" s="17" t="inlineStr">
        <is>
          <t>Nº4 cerrado</t>
        </is>
      </c>
      <c r="AO404" s="31" t="n">
        <v>4</v>
      </c>
      <c r="AP404" s="10">
        <f>ROUNDDOWN(MIN(IF(BC404+BD404=0,1000000000,AO404*BB404/(BC404+BD404)),MIN(U404,AB404)/4,8*'Parametros'!$B$12,24*BA404,300,IF(AV404=0,1000000000,2*((H404-2*('Parametros'!$B$7+'Parametros'!$B$9/2))+(I404-2*('Parametros'!$B$7+'Parametros'!$B$9/2)))/8))/10,0)*10</f>
        <v>120</v>
      </c>
      <c r="AQ404" s="10">
        <f>ROUNDDOWN(MIN(IF(BC404+BD404=0,1000000000,AO404*BB404/(BC404+BD404)),IF(AK404&gt;0.33*SQRT('Parametros'!$B$2)*H404*MIN(U404,AB404)/1000,MIN(U404,AB404)/4,MIN(U404,AB404)/2),600,IF(AV404=0,1000000000,2*((H404-2*('Parametros'!$B$7+'Parametros'!$B$9/2))+(I404-2*('Parametros'!$B$7+'Parametros'!$B$9/2)))/8))/10,0)*10</f>
        <v>120</v>
      </c>
      <c r="AR404" s="10">
        <f>'Parametros'!$B$6*(AJ404+MAX(BE404-BD404,0)*'Parametros'!$B$4*MIN(U404,AB404)/1000)</f>
        <v>694.00203876178</v>
      </c>
      <c r="AS404" s="10" t="str">
        <f>IF(AND(ISERROR(SEARCH("referencia",AN404)),AM404="CUMPLE",AR404&gt;=AI404),"CUMPLE","NO CUMPLE")</f>
        <v>CUMPLE</v>
      </c>
      <c r="AT404" s="10">
        <f>'Parametros'!$B$6*0.083*SQRT('Parametros'!$B$2)*(H404*I404)^2/(2*(H404+I404))/1000000</f>
        <v>11.862178757599</v>
      </c>
      <c r="AU404" s="10" t="str">
        <f>IF(Q404&lt;=AT404,"DESPRECIABLE","DISEÑAR")</f>
        <v>DISEÑAR</v>
      </c>
      <c r="AV404" s="10">
        <f>IF(Q404&lt;=AT404,0,Q404*1000000/('Parametros'!$B$6*2*0.85*(H404-2*('Parametros'!$B$7+'Parametros'!$B$9/2))*(I404-2*('Parametros'!$B$7+'Parametros'!$B$9/2))*'Parametros'!$B$4))</f>
        <v>0.43431952251878</v>
      </c>
      <c r="AW404" s="10">
        <f>AV404*2*((H404-2*('Parametros'!$B$7+'Parametros'!$B$9/2))+(I404-2*('Parametros'!$B$7+'Parametros'!$B$9/2)))*'Parametros'!$B$4/'Parametros'!$B$3</f>
        <v>751.025318339475</v>
      </c>
      <c r="AX404" s="31" t="n">
        <v>8</v>
      </c>
      <c r="AY404" s="10" t="str">
        <f>IF(AV404=0,"DESPRECIABLE",IF(AND(ISERROR(SEARCH("referencia",AN404)),BB404/AP404&gt;=AV404,BI404&gt;=AW404,BH404="CUMPLE"),"CUMPLE","NO CUMPLE"))</f>
        <v>CUMPLE</v>
      </c>
      <c r="AZ404" s="10" t="str">
        <f>IF(AND(X404="CUMPLE",AE404="CUMPLE",AS404="CUMPLE",OR(AY404="CUMPLE",AY404="DESPRECIABLE"),BH404="CUMPLE",BJ404="CUMPLE"),"CUMPLE","NO CUMPLE")</f>
        <v>CUMPLE</v>
      </c>
      <c r="BA404" s="32" t="n">
        <v>12.7</v>
      </c>
      <c r="BB404" s="32" t="n">
        <v>129</v>
      </c>
      <c r="BC404" s="10">
        <f>MAX(IF(AK404=0,0,AK404*1000/('Parametros'!$B$4*MIN(U404,AB404))),MAX(0.062*SQRT('Parametros'!$B$2)*H404/'Parametros'!$B$4,0.35*H404/'Parametros'!$B$4))</f>
        <v>2.99339067198726</v>
      </c>
      <c r="BD404" s="10">
        <f>2*AV404</f>
        <v>0.868639045037561</v>
      </c>
      <c r="BE404" s="10">
        <f>AO404*BB404/AP404</f>
        <v>4.3</v>
      </c>
      <c r="BF404" s="10">
        <f>SQRT((AI404*1000/(H404*MIN(U404,AB404)))^2+(Q404*1000000*2*((H404-2*('Parametros'!$B$7+'Parametros'!$B$9/2))+(I404-2*('Parametros'!$B$7+'Parametros'!$B$9/2)))/(1.7*((H404-2*('Parametros'!$B$7+'Parametros'!$B$9/2))*(I404-2*('Parametros'!$B$7+'Parametros'!$B$9/2)))^2))^2)</f>
        <v>2.85821873468262</v>
      </c>
      <c r="BG404" s="10">
        <f>'Parametros'!$B$6*(AJ404*1000/(H404*MIN(U404,AB404))+0.66*SQRT('Parametros'!$B$2))</f>
        <v>3.29396038227542</v>
      </c>
      <c r="BH404" s="10" t="str">
        <f>IF(BF404&lt;=BG404,"CUMPLE","NO CUMPLE")</f>
        <v>CUMPLE</v>
      </c>
      <c r="BI404" s="10">
        <f>AX404*'Parametros'!$B$8</f>
        <v>1592</v>
      </c>
      <c r="BJ404" s="10" t="str">
        <f>IF(BI404&gt;=AW404,"CUMPLE","NO CUMPLE")</f>
        <v>CUMPLE</v>
      </c>
    </row>
    <row r="405">
      <c r="A405" s="25" t="inlineStr">
        <is>
          <t>VR2</t>
        </is>
      </c>
      <c r="B405" s="25" t="inlineStr">
        <is>
          <t>236</t>
        </is>
      </c>
      <c r="C405" s="10" t="n">
        <v>1</v>
      </c>
      <c r="D405" s="10" t="n">
        <v>1.9</v>
      </c>
      <c r="E405" s="10" t="n">
        <v>1.9</v>
      </c>
      <c r="F405" s="10" t="n">
        <v>500</v>
      </c>
      <c r="G405" s="10" t="n">
        <v>550</v>
      </c>
      <c r="H405" s="17" t="n">
        <v>500</v>
      </c>
      <c r="I405" s="17" t="n">
        <v>550</v>
      </c>
      <c r="J405" s="30" t="n">
        <v>166.2695</v>
      </c>
      <c r="K405" s="10" t="inlineStr">
        <is>
          <t>236</t>
        </is>
      </c>
      <c r="L405" s="30" t="n">
        <v>136.218</v>
      </c>
      <c r="M405" s="10" t="inlineStr">
        <is>
          <t>236</t>
        </is>
      </c>
      <c r="N405" s="30" t="n">
        <v>157.623</v>
      </c>
      <c r="O405" s="30" t="n">
        <v>599.58</v>
      </c>
      <c r="P405" s="10" t="inlineStr">
        <is>
          <t>236</t>
        </is>
      </c>
      <c r="Q405" s="30" t="n">
        <v>18.8653</v>
      </c>
      <c r="R405" s="10">
        <f>MAX(MAX(1.4/'Parametros'!$B$3,0.25*SQRT('Parametros'!$B$2)/'Parametros'!$B$3)*H405*U405,(0.85*'Parametros'!$B$2/'Parametros'!$B$3)*(1-SQRT(1-2*(J405*1000000/('Parametros'!$B$5*H405*U405^2))/(0.85*'Parametros'!$B$2)))*H405*U405)</f>
        <v>930.074132371362</v>
      </c>
      <c r="S405" s="31" t="n">
        <v>5</v>
      </c>
      <c r="T405" s="32" t="n">
        <v>1</v>
      </c>
      <c r="U405" s="10">
        <f>IF(T405=1,I405-('Parametros'!$B$7+'Parametros'!$B$9+'Parametros'!$B$12/2),I405-(ROUNDUP(S405/2,0)*('Parametros'!$B$7+'Parametros'!$B$9+'Parametros'!$B$12/2)+ROUNDDOWN(S405/2,0)*('Parametros'!$B$7+'Parametros'!$B$9+'Parametros'!$B$12/2+'Parametros'!$B$12+'Parametros'!$B$10))/S405)</f>
        <v>489.35</v>
      </c>
      <c r="V405" s="10">
        <f>S405*'Parametros'!$B$8</f>
        <v>995</v>
      </c>
      <c r="W405" s="10">
        <f>'Parametros'!$B$5*V405*'Parametros'!$B$3*(U405-(V405*'Parametros'!$B$3/(0.85*'Parametros'!$B$2*H405))/2)/1000000</f>
        <v>177.445379382353</v>
      </c>
      <c r="X405" s="10" t="str">
        <f>IF(W405&gt;=J405,"CUMPLE","NO CUMPLE")</f>
        <v>CUMPLE</v>
      </c>
      <c r="Y405" s="10">
        <f>MAX(MAX(1.4/'Parametros'!$B$3,0.25*SQRT('Parametros'!$B$2)/'Parametros'!$B$3)*H405*AB405,(0.85*'Parametros'!$B$2/'Parametros'!$B$3)*(1-SQRT(1-2*(L405*1000000/('Parametros'!$B$5*H405*AB405^2))/(0.85*'Parametros'!$B$2)))*H405*AB405)</f>
        <v>815.583333333333</v>
      </c>
      <c r="Z405" s="31" t="n">
        <v>5</v>
      </c>
      <c r="AA405" s="32" t="n">
        <v>1</v>
      </c>
      <c r="AB405" s="10">
        <f>IF(AA405=1,I405-('Parametros'!$B$7+'Parametros'!$B$9+'Parametros'!$B$12/2),I405-(ROUNDUP(Z405/2,0)*('Parametros'!$B$7+'Parametros'!$B$9+'Parametros'!$B$12/2)+ROUNDDOWN(Z405/2,0)*('Parametros'!$B$7+'Parametros'!$B$9+'Parametros'!$B$12/2+'Parametros'!$B$12+'Parametros'!$B$10))/Z405)</f>
        <v>489.35</v>
      </c>
      <c r="AC405" s="10">
        <f>Z405*'Parametros'!$B$8</f>
        <v>995</v>
      </c>
      <c r="AD405" s="10">
        <f>'Parametros'!$B$5*AC405*'Parametros'!$B$3*(AB405-(AC405*'Parametros'!$B$3/(0.85*'Parametros'!$B$2*H405))/2)/1000000</f>
        <v>177.445379382353</v>
      </c>
      <c r="AE405" s="10" t="str">
        <f>IF(AD405&gt;=L405,"CUMPLE","NO CUMPLE")</f>
        <v>CUMPLE</v>
      </c>
      <c r="AF405" s="10">
        <f>V405*1.25*'Parametros'!$B$3*(U405-(V405*1.25*'Parametros'!$B$3/(0.85*'Parametros'!$B$2*H405))/2)/1000000</f>
        <v>244.158843198529</v>
      </c>
      <c r="AG405" s="10">
        <f>AC405*1.25*'Parametros'!$B$3*(AB405-(AC405*1.25*'Parametros'!$B$3/(0.85*'Parametros'!$B$2*H405))/2)/1000000</f>
        <v>244.158843198529</v>
      </c>
      <c r="AH405" s="10">
        <f>N405+(AF405+AG405)/D405</f>
        <v>414.632308630031</v>
      </c>
      <c r="AI405" s="10">
        <f>MAX(O405,AH405)</f>
        <v>599.58</v>
      </c>
      <c r="AJ405" s="10">
        <f>0.17*SQRT('Parametros'!$B$2)*H405*MIN(U405,AB405)/1000</f>
        <v>220.098728691808</v>
      </c>
      <c r="AK405" s="10">
        <f>MAX(AI405/'Parametros'!$B$6-AJ405,0)</f>
        <v>579.341271308192</v>
      </c>
      <c r="AL405" s="10">
        <f>0.66*SQRT('Parametros'!$B$2)*H405*MIN(U405,AB405)/1000</f>
        <v>854.500946685842</v>
      </c>
      <c r="AM405" s="10" t="str">
        <f>IF(AK405&lt;=AL405,"CUMPLE","NO CUMPLE")</f>
        <v>CUMPLE</v>
      </c>
      <c r="AN405" s="17" t="inlineStr">
        <is>
          <t>Nº4 cerrado</t>
        </is>
      </c>
      <c r="AO405" s="31" t="n">
        <v>2</v>
      </c>
      <c r="AP405" s="10">
        <f>ROUNDDOWN(MIN(IF(BC405+BD405=0,1000000000,AO405*BB405/(BC405+BD405)),MIN(U405,AB405)/4,8*'Parametros'!$B$12,24*BA405,300,IF(AV405=0,1000000000,2*((H405-2*('Parametros'!$B$7+'Parametros'!$B$9/2))+(I405-2*('Parametros'!$B$7+'Parametros'!$B$9/2)))/8))/10,0)*10</f>
        <v>80</v>
      </c>
      <c r="AQ405" s="10">
        <f>ROUNDDOWN(MIN(IF(BC405+BD405=0,1000000000,AO405*BB405/(BC405+BD405)),IF(AK405&gt;0.33*SQRT('Parametros'!$B$2)*H405*MIN(U405,AB405)/1000,MIN(U405,AB405)/4,MIN(U405,AB405)/2),600,IF(AV405=0,1000000000,2*((H405-2*('Parametros'!$B$7+'Parametros'!$B$9/2))+(I405-2*('Parametros'!$B$7+'Parametros'!$B$9/2)))/8))/10,0)*10</f>
        <v>80</v>
      </c>
      <c r="AR405" s="10">
        <f>'Parametros'!$B$6*(AJ405+MAX(BE405-BD405,0)*'Parametros'!$B$4*MIN(U405,AB405)/1000)</f>
        <v>603.881708447646</v>
      </c>
      <c r="AS405" s="10" t="str">
        <f>IF(AND(ISERROR(SEARCH("referencia",AN405)),AM405="CUMPLE",AR405&gt;=AI405),"CUMPLE","NO CUMPLE")</f>
        <v>CUMPLE</v>
      </c>
      <c r="AT405" s="10">
        <f>'Parametros'!$B$6*0.083*SQRT('Parametros'!$B$2)*(H405*I405)^2/(2*(H405+I405))/1000000</f>
        <v>11.862178757599</v>
      </c>
      <c r="AU405" s="10" t="str">
        <f>IF(Q405&lt;=AT405,"DESPRECIABLE","DISEÑAR")</f>
        <v>DISEÑAR</v>
      </c>
      <c r="AV405" s="10">
        <f>IF(Q405&lt;=AT405,0,Q405*1000000/('Parametros'!$B$6*2*0.85*(H405-2*('Parametros'!$B$7+'Parametros'!$B$9/2))*(I405-2*('Parametros'!$B$7+'Parametros'!$B$9/2))*'Parametros'!$B$4))</f>
        <v>0.18914228405095</v>
      </c>
      <c r="AW405" s="10">
        <f>AV405*2*((H405-2*('Parametros'!$B$7+'Parametros'!$B$9/2))+(I405-2*('Parametros'!$B$7+'Parametros'!$B$9/2)))*'Parametros'!$B$4/'Parametros'!$B$3</f>
        <v>327.064837580903</v>
      </c>
      <c r="AX405" s="31" t="n">
        <v>8</v>
      </c>
      <c r="AY405" s="10" t="str">
        <f>IF(AV405=0,"DESPRECIABLE",IF(AND(ISERROR(SEARCH("referencia",AN405)),BB405/AP405&gt;=AV405,BI405&gt;=AW405,BH405="CUMPLE"),"CUMPLE","NO CUMPLE"))</f>
        <v>CUMPLE</v>
      </c>
      <c r="AZ405" s="10" t="str">
        <f>IF(AND(X405="CUMPLE",AE405="CUMPLE",AS405="CUMPLE",OR(AY405="CUMPLE",AY405="DESPRECIABLE"),BH405="CUMPLE",BJ405="CUMPLE"),"CUMPLE","NO CUMPLE")</f>
        <v>CUMPLE</v>
      </c>
      <c r="BA405" s="32" t="n">
        <v>12.7</v>
      </c>
      <c r="BB405" s="32" t="n">
        <v>129</v>
      </c>
      <c r="BC405" s="10">
        <f>MAX(IF(AK405=0,0,AK405*1000/('Parametros'!$B$4*MIN(U405,AB405))),MAX(0.062*SQRT('Parametros'!$B$2)*H405/'Parametros'!$B$4,0.35*H405/'Parametros'!$B$4))</f>
        <v>2.81880858139413</v>
      </c>
      <c r="BD405" s="10">
        <f>2*AV405</f>
        <v>0.378284568101901</v>
      </c>
      <c r="BE405" s="10">
        <f>AO405*BB405/AP405</f>
        <v>3.225</v>
      </c>
      <c r="BF405" s="10">
        <f>SQRT((AI405*1000/(H405*MIN(U405,AB405)))^2+(Q405*1000000*2*((H405-2*('Parametros'!$B$7+'Parametros'!$B$9/2))+(I405-2*('Parametros'!$B$7+'Parametros'!$B$9/2)))/(1.7*((H405-2*('Parametros'!$B$7+'Parametros'!$B$9/2))*(I405-2*('Parametros'!$B$7+'Parametros'!$B$9/2)))^2))^2)</f>
        <v>2.51216712215708</v>
      </c>
      <c r="BG405" s="10">
        <f>'Parametros'!$B$6*(AJ405*1000/(H405*MIN(U405,AB405))+0.66*SQRT('Parametros'!$B$2))</f>
        <v>3.29396038227542</v>
      </c>
      <c r="BH405" s="10" t="str">
        <f>IF(BF405&lt;=BG405,"CUMPLE","NO CUMPLE")</f>
        <v>CUMPLE</v>
      </c>
      <c r="BI405" s="10">
        <f>AX405*'Parametros'!$B$8</f>
        <v>1592</v>
      </c>
      <c r="BJ405" s="10" t="str">
        <f>IF(BI405&gt;=AW405,"CUMPLE","NO CUMPLE")</f>
        <v>CUMPLE</v>
      </c>
    </row>
    <row r="406">
      <c r="A406" s="25" t="inlineStr">
        <is>
          <t>VR2</t>
        </is>
      </c>
      <c r="B406" s="25" t="inlineStr">
        <is>
          <t>237</t>
        </is>
      </c>
      <c r="C406" s="10" t="n">
        <v>1</v>
      </c>
      <c r="D406" s="10" t="n">
        <v>3.57612</v>
      </c>
      <c r="E406" s="10" t="n">
        <v>3.57612</v>
      </c>
      <c r="F406" s="10" t="n">
        <v>500</v>
      </c>
      <c r="G406" s="10" t="n">
        <v>550</v>
      </c>
      <c r="H406" s="17" t="n">
        <v>500</v>
      </c>
      <c r="I406" s="17" t="n">
        <v>550</v>
      </c>
      <c r="J406" s="30" t="n">
        <v>175.8471</v>
      </c>
      <c r="K406" s="10" t="inlineStr">
        <is>
          <t>237</t>
        </is>
      </c>
      <c r="L406" s="30" t="n">
        <v>111.2574</v>
      </c>
      <c r="M406" s="10" t="inlineStr">
        <is>
          <t>237</t>
        </is>
      </c>
      <c r="N406" s="30" t="n">
        <v>129.076</v>
      </c>
      <c r="O406" s="30" t="n">
        <v>381.645</v>
      </c>
      <c r="P406" s="10" t="inlineStr">
        <is>
          <t>237</t>
        </is>
      </c>
      <c r="Q406" s="30" t="n">
        <v>4.425</v>
      </c>
      <c r="R406" s="10">
        <f>MAX(MAX(1.4/'Parametros'!$B$3,0.25*SQRT('Parametros'!$B$2)/'Parametros'!$B$3)*H406*U406,(0.85*'Parametros'!$B$2/'Parametros'!$B$3)*(1-SQRT(1-2*(J406*1000000/('Parametros'!$B$5*H406*U406^2))/(0.85*'Parametros'!$B$2)))*H406*U406)</f>
        <v>985.694796827134</v>
      </c>
      <c r="S406" s="31" t="n">
        <v>5</v>
      </c>
      <c r="T406" s="32" t="n">
        <v>1</v>
      </c>
      <c r="U406" s="10">
        <f>IF(T406=1,I406-('Parametros'!$B$7+'Parametros'!$B$9+'Parametros'!$B$12/2),I406-(ROUNDUP(S406/2,0)*('Parametros'!$B$7+'Parametros'!$B$9+'Parametros'!$B$12/2)+ROUNDDOWN(S406/2,0)*('Parametros'!$B$7+'Parametros'!$B$9+'Parametros'!$B$12/2+'Parametros'!$B$12+'Parametros'!$B$10))/S406)</f>
        <v>489.35</v>
      </c>
      <c r="V406" s="10">
        <f>S406*'Parametros'!$B$8</f>
        <v>995</v>
      </c>
      <c r="W406" s="10">
        <f>'Parametros'!$B$5*V406*'Parametros'!$B$3*(U406-(V406*'Parametros'!$B$3/(0.85*'Parametros'!$B$2*H406))/2)/1000000</f>
        <v>177.445379382353</v>
      </c>
      <c r="X406" s="10" t="str">
        <f>IF(W406&gt;=J406,"CUMPLE","NO CUMPLE")</f>
        <v>CUMPLE</v>
      </c>
      <c r="Y406" s="10">
        <f>MAX(MAX(1.4/'Parametros'!$B$3,0.25*SQRT('Parametros'!$B$2)/'Parametros'!$B$3)*H406*AB406,(0.85*'Parametros'!$B$2/'Parametros'!$B$3)*(1-SQRT(1-2*(L406*1000000/('Parametros'!$B$5*H406*AB406^2))/(0.85*'Parametros'!$B$2)))*H406*AB406)</f>
        <v>815.583333333333</v>
      </c>
      <c r="Z406" s="31" t="n">
        <v>5</v>
      </c>
      <c r="AA406" s="32" t="n">
        <v>1</v>
      </c>
      <c r="AB406" s="10">
        <f>IF(AA406=1,I406-('Parametros'!$B$7+'Parametros'!$B$9+'Parametros'!$B$12/2),I406-(ROUNDUP(Z406/2,0)*('Parametros'!$B$7+'Parametros'!$B$9+'Parametros'!$B$12/2)+ROUNDDOWN(Z406/2,0)*('Parametros'!$B$7+'Parametros'!$B$9+'Parametros'!$B$12/2+'Parametros'!$B$12+'Parametros'!$B$10))/Z406)</f>
        <v>489.35</v>
      </c>
      <c r="AC406" s="10">
        <f>Z406*'Parametros'!$B$8</f>
        <v>995</v>
      </c>
      <c r="AD406" s="10">
        <f>'Parametros'!$B$5*AC406*'Parametros'!$B$3*(AB406-(AC406*'Parametros'!$B$3/(0.85*'Parametros'!$B$2*H406))/2)/1000000</f>
        <v>177.445379382353</v>
      </c>
      <c r="AE406" s="10" t="str">
        <f>IF(AD406&gt;=L406,"CUMPLE","NO CUMPLE")</f>
        <v>CUMPLE</v>
      </c>
      <c r="AF406" s="10">
        <f>V406*1.25*'Parametros'!$B$3*(U406-(V406*1.25*'Parametros'!$B$3/(0.85*'Parametros'!$B$2*H406))/2)/1000000</f>
        <v>244.158843198529</v>
      </c>
      <c r="AG406" s="10">
        <f>AC406*1.25*'Parametros'!$B$3*(AB406-(AC406*1.25*'Parametros'!$B$3/(0.85*'Parametros'!$B$2*H406))/2)/1000000</f>
        <v>244.158843198529</v>
      </c>
      <c r="AH406" s="10">
        <f>N406+(AF406+AG406)/D406</f>
        <v>265.625580662019</v>
      </c>
      <c r="AI406" s="10">
        <f>MAX(O406,AH406)</f>
        <v>381.645</v>
      </c>
      <c r="AJ406" s="10">
        <f>0.17*SQRT('Parametros'!$B$2)*H406*MIN(U406,AB406)/1000</f>
        <v>220.098728691808</v>
      </c>
      <c r="AK406" s="10">
        <f>MAX(AI406/'Parametros'!$B$6-AJ406,0)</f>
        <v>288.761271308192</v>
      </c>
      <c r="AL406" s="10">
        <f>0.66*SQRT('Parametros'!$B$2)*H406*MIN(U406,AB406)/1000</f>
        <v>854.500946685842</v>
      </c>
      <c r="AM406" s="10" t="str">
        <f>IF(AK406&lt;=AL406,"CUMPLE","NO CUMPLE")</f>
        <v>CUMPLE</v>
      </c>
      <c r="AN406" s="17" t="inlineStr">
        <is>
          <t>Nº3 cerrado</t>
        </is>
      </c>
      <c r="AO406" s="31" t="n">
        <v>2</v>
      </c>
      <c r="AP406" s="10">
        <f>ROUNDDOWN(MIN(IF(BC406+BD406=0,1000000000,AO406*BB406/(BC406+BD406)),MIN(U406,AB406)/4,8*'Parametros'!$B$12,24*BA406,300,IF(AV406=0,1000000000,2*((H406-2*('Parametros'!$B$7+'Parametros'!$B$9/2))+(I406-2*('Parametros'!$B$7+'Parametros'!$B$9/2)))/8))/10,0)*10</f>
        <v>100</v>
      </c>
      <c r="AQ406" s="10">
        <f>ROUNDDOWN(MIN(IF(BC406+BD406=0,1000000000,AO406*BB406/(BC406+BD406)),IF(AK406&gt;0.33*SQRT('Parametros'!$B$2)*H406*MIN(U406,AB406)/1000,MIN(U406,AB406)/4,MIN(U406,AB406)/2),600,IF(AV406=0,1000000000,2*((H406-2*('Parametros'!$B$7+'Parametros'!$B$9/2))+(I406-2*('Parametros'!$B$7+'Parametros'!$B$9/2)))/8))/10,0)*10</f>
        <v>100</v>
      </c>
      <c r="AR406" s="10">
        <f>'Parametros'!$B$6*(AJ406+MAX(BE406-BD406,0)*'Parametros'!$B$4*MIN(U406,AB406)/1000)</f>
        <v>383.960301518856</v>
      </c>
      <c r="AS406" s="10" t="str">
        <f>IF(AND(ISERROR(SEARCH("referencia",AN406)),AM406="CUMPLE",AR406&gt;=AI406),"CUMPLE","NO CUMPLE")</f>
        <v>CUMPLE</v>
      </c>
      <c r="AT406" s="10">
        <f>'Parametros'!$B$6*0.083*SQRT('Parametros'!$B$2)*(H406*I406)^2/(2*(H406+I406))/1000000</f>
        <v>11.862178757599</v>
      </c>
      <c r="AU406" s="10" t="str">
        <f>IF(Q406&lt;=AT406,"DESPRECIABLE","DISEÑAR")</f>
        <v>DESPRECIABLE</v>
      </c>
      <c r="AV406" s="10">
        <f>IF(Q406&lt;=AT406,0,Q406*1000000/('Parametros'!$B$6*2*0.85*(H406-2*('Parametros'!$B$7+'Parametros'!$B$9/2))*(I406-2*('Parametros'!$B$7+'Parametros'!$B$9/2))*'Parametros'!$B$4))</f>
        <v>0</v>
      </c>
      <c r="AW406" s="10">
        <f>AV406*2*((H406-2*('Parametros'!$B$7+'Parametros'!$B$9/2))+(I406-2*('Parametros'!$B$7+'Parametros'!$B$9/2)))*'Parametros'!$B$4/'Parametros'!$B$3</f>
        <v>0</v>
      </c>
      <c r="AX406" s="31" t="n">
        <v>0</v>
      </c>
      <c r="AY406" s="10" t="str">
        <f>IF(AV406=0,"DESPRECIABLE",IF(AND(ISERROR(SEARCH("referencia",AN406)),BB406/AP406&gt;=AV406,BI406&gt;=AW406,BH406="CUMPLE"),"CUMPLE","NO CUMPLE"))</f>
        <v>DESPRECIABLE</v>
      </c>
      <c r="AZ406" s="10" t="str">
        <f>IF(AND(X406="CUMPLE",AE406="CUMPLE",AS406="CUMPLE",OR(AY406="CUMPLE",AY406="DESPRECIABLE"),BH406="CUMPLE",BJ406="CUMPLE"),"CUMPLE","NO CUMPLE")</f>
        <v>CUMPLE</v>
      </c>
      <c r="BA406" s="32" t="n">
        <v>9.5</v>
      </c>
      <c r="BB406" s="32" t="n">
        <v>71</v>
      </c>
      <c r="BC406" s="10">
        <f>MAX(IF(AK406=0,0,AK406*1000/('Parametros'!$B$4*MIN(U406,AB406))),MAX(0.062*SQRT('Parametros'!$B$2)*H406/'Parametros'!$B$4,0.35*H406/'Parametros'!$B$4))</f>
        <v>1.40497974138771</v>
      </c>
      <c r="BD406" s="10">
        <f>2*AV406</f>
        <v>0</v>
      </c>
      <c r="BE406" s="10">
        <f>AO406*BB406/AP406</f>
        <v>1.42</v>
      </c>
      <c r="BF406" s="10">
        <f>SQRT((AI406*1000/(H406*MIN(U406,AB406)))^2+(Q406*1000000*2*((H406-2*('Parametros'!$B$7+'Parametros'!$B$9/2))+(I406-2*('Parametros'!$B$7+'Parametros'!$B$9/2)))/(1.7*((H406-2*('Parametros'!$B$7+'Parametros'!$B$9/2))*(I406-2*('Parametros'!$B$7+'Parametros'!$B$9/2)))^2))^2)</f>
        <v>1.56519033183718</v>
      </c>
      <c r="BG406" s="10">
        <f>'Parametros'!$B$6*(AJ406*1000/(H406*MIN(U406,AB406))+0.66*SQRT('Parametros'!$B$2))</f>
        <v>3.29396038227542</v>
      </c>
      <c r="BH406" s="10" t="str">
        <f>IF(BF406&lt;=BG406,"CUMPLE","NO CUMPLE")</f>
        <v>CUMPLE</v>
      </c>
      <c r="BI406" s="10">
        <f>AX406*'Parametros'!$B$8</f>
        <v>0</v>
      </c>
      <c r="BJ406" s="10" t="str">
        <f>IF(BI406&gt;=AW406,"CUMPLE","NO CUMPLE")</f>
        <v>CUMPLE</v>
      </c>
    </row>
    <row r="407">
      <c r="A407" s="25" t="inlineStr">
        <is>
          <t>VR2</t>
        </is>
      </c>
      <c r="B407" s="25" t="inlineStr">
        <is>
          <t>238</t>
        </is>
      </c>
      <c r="C407" s="10" t="n">
        <v>1</v>
      </c>
      <c r="D407" s="10" t="n">
        <v>2.1</v>
      </c>
      <c r="E407" s="10" t="n">
        <v>2.1</v>
      </c>
      <c r="F407" s="10" t="n">
        <v>500</v>
      </c>
      <c r="G407" s="10" t="n">
        <v>550</v>
      </c>
      <c r="H407" s="17" t="n">
        <v>500</v>
      </c>
      <c r="I407" s="17" t="n">
        <v>550</v>
      </c>
      <c r="J407" s="30" t="n">
        <v>206.457</v>
      </c>
      <c r="K407" s="10" t="inlineStr">
        <is>
          <t>238</t>
        </is>
      </c>
      <c r="L407" s="30" t="n">
        <v>169.4135</v>
      </c>
      <c r="M407" s="10" t="inlineStr">
        <is>
          <t>238</t>
        </is>
      </c>
      <c r="N407" s="30" t="n">
        <v>180.788</v>
      </c>
      <c r="O407" s="30" t="n">
        <v>619.515</v>
      </c>
      <c r="P407" s="10" t="inlineStr">
        <is>
          <t>238</t>
        </is>
      </c>
      <c r="Q407" s="30" t="n">
        <v>71.8252</v>
      </c>
      <c r="R407" s="10">
        <f>MAX(MAX(1.4/'Parametros'!$B$3,0.25*SQRT('Parametros'!$B$2)/'Parametros'!$B$3)*H407*U407,(0.85*'Parametros'!$B$2/'Parametros'!$B$3)*(1-SQRT(1-2*(J407*1000000/('Parametros'!$B$5*H407*U407^2))/(0.85*'Parametros'!$B$2)))*H407*U407)</f>
        <v>1165.09106714495</v>
      </c>
      <c r="S407" s="31" t="n">
        <v>6</v>
      </c>
      <c r="T407" s="32" t="n">
        <v>1</v>
      </c>
      <c r="U407" s="10">
        <f>IF(T407=1,I407-('Parametros'!$B$7+'Parametros'!$B$9+'Parametros'!$B$12/2),I407-(ROUNDUP(S407/2,0)*('Parametros'!$B$7+'Parametros'!$B$9+'Parametros'!$B$12/2)+ROUNDDOWN(S407/2,0)*('Parametros'!$B$7+'Parametros'!$B$9+'Parametros'!$B$12/2+'Parametros'!$B$12+'Parametros'!$B$10))/S407)</f>
        <v>489.35</v>
      </c>
      <c r="V407" s="10">
        <f>S407*'Parametros'!$B$8</f>
        <v>1194</v>
      </c>
      <c r="W407" s="10">
        <f>'Parametros'!$B$5*V407*'Parametros'!$B$3*(U407-(V407*'Parametros'!$B$3/(0.85*'Parametros'!$B$2*H407))/2)/1000000</f>
        <v>211.349483470588</v>
      </c>
      <c r="X407" s="10" t="str">
        <f>IF(W407&gt;=J407,"CUMPLE","NO CUMPLE")</f>
        <v>CUMPLE</v>
      </c>
      <c r="Y407" s="10">
        <f>MAX(MAX(1.4/'Parametros'!$B$3,0.25*SQRT('Parametros'!$B$2)/'Parametros'!$B$3)*H407*AB407,(0.85*'Parametros'!$B$2/'Parametros'!$B$3)*(1-SQRT(1-2*(L407*1000000/('Parametros'!$B$5*H407*AB407^2))/(0.85*'Parametros'!$B$2)))*H407*AB407)</f>
        <v>948.306095944476</v>
      </c>
      <c r="Z407" s="31" t="n">
        <v>5</v>
      </c>
      <c r="AA407" s="32" t="n">
        <v>1</v>
      </c>
      <c r="AB407" s="10">
        <f>IF(AA407=1,I407-('Parametros'!$B$7+'Parametros'!$B$9+'Parametros'!$B$12/2),I407-(ROUNDUP(Z407/2,0)*('Parametros'!$B$7+'Parametros'!$B$9+'Parametros'!$B$12/2)+ROUNDDOWN(Z407/2,0)*('Parametros'!$B$7+'Parametros'!$B$9+'Parametros'!$B$12/2+'Parametros'!$B$12+'Parametros'!$B$10))/Z407)</f>
        <v>489.35</v>
      </c>
      <c r="AC407" s="10">
        <f>Z407*'Parametros'!$B$8</f>
        <v>995</v>
      </c>
      <c r="AD407" s="10">
        <f>'Parametros'!$B$5*AC407*'Parametros'!$B$3*(AB407-(AC407*'Parametros'!$B$3/(0.85*'Parametros'!$B$2*H407))/2)/1000000</f>
        <v>177.445379382353</v>
      </c>
      <c r="AE407" s="10" t="str">
        <f>IF(AD407&gt;=L407,"CUMPLE","NO CUMPLE")</f>
        <v>CUMPLE</v>
      </c>
      <c r="AF407" s="10">
        <f>V407*1.25*'Parametros'!$B$3*(U407-(V407*1.25*'Parametros'!$B$3/(0.85*'Parametros'!$B$2*H407))/2)/1000000</f>
        <v>290.238924705882</v>
      </c>
      <c r="AG407" s="10">
        <f>AC407*1.25*'Parametros'!$B$3*(AB407-(AC407*1.25*'Parametros'!$B$3/(0.85*'Parametros'!$B$2*H407))/2)/1000000</f>
        <v>244.158843198529</v>
      </c>
      <c r="AH407" s="10">
        <f>N407+(AF407+AG407)/D407</f>
        <v>435.263127573529</v>
      </c>
      <c r="AI407" s="10">
        <f>MAX(O407,AH407)</f>
        <v>619.515</v>
      </c>
      <c r="AJ407" s="10">
        <f>0.17*SQRT('Parametros'!$B$2)*H407*MIN(U407,AB407)/1000</f>
        <v>220.098728691808</v>
      </c>
      <c r="AK407" s="10">
        <f>MAX(AI407/'Parametros'!$B$6-AJ407,0)</f>
        <v>605.921271308192</v>
      </c>
      <c r="AL407" s="10">
        <f>0.66*SQRT('Parametros'!$B$2)*H407*MIN(U407,AB407)/1000</f>
        <v>854.500946685842</v>
      </c>
      <c r="AM407" s="10" t="str">
        <f>IF(AK407&lt;=AL407,"CUMPLE","NO CUMPLE")</f>
        <v>CUMPLE</v>
      </c>
      <c r="AN407" s="17" t="inlineStr">
        <is>
          <t>Nº4 cerrado</t>
        </is>
      </c>
      <c r="AO407" s="31" t="n">
        <v>4</v>
      </c>
      <c r="AP407" s="10">
        <f>ROUNDDOWN(MIN(IF(BC407+BD407=0,1000000000,AO407*BB407/(BC407+BD407)),MIN(U407,AB407)/4,8*'Parametros'!$B$12,24*BA407,300,IF(AV407=0,1000000000,2*((H407-2*('Parametros'!$B$7+'Parametros'!$B$9/2))+(I407-2*('Parametros'!$B$7+'Parametros'!$B$9/2)))/8))/10,0)*10</f>
        <v>110</v>
      </c>
      <c r="AQ407" s="10">
        <f>ROUNDDOWN(MIN(IF(BC407+BD407=0,1000000000,AO407*BB407/(BC407+BD407)),IF(AK407&gt;0.33*SQRT('Parametros'!$B$2)*H407*MIN(U407,AB407)/1000,MIN(U407,AB407)/4,MIN(U407,AB407)/2),600,IF(AV407=0,1000000000,2*((H407-2*('Parametros'!$B$7+'Parametros'!$B$9/2))+(I407-2*('Parametros'!$B$7+'Parametros'!$B$9/2)))/8))/10,0)*10</f>
        <v>110</v>
      </c>
      <c r="AR407" s="10">
        <f>'Parametros'!$B$6*(AJ407+MAX(BE407-BD407,0)*'Parametros'!$B$4*MIN(U407,AB407)/1000)</f>
        <v>666.150838791262</v>
      </c>
      <c r="AS407" s="10" t="str">
        <f>IF(AND(ISERROR(SEARCH("referencia",AN407)),AM407="CUMPLE",AR407&gt;=AI407),"CUMPLE","NO CUMPLE")</f>
        <v>CUMPLE</v>
      </c>
      <c r="AT407" s="10">
        <f>'Parametros'!$B$6*0.083*SQRT('Parametros'!$B$2)*(H407*I407)^2/(2*(H407+I407))/1000000</f>
        <v>11.862178757599</v>
      </c>
      <c r="AU407" s="10" t="str">
        <f>IF(Q407&lt;=AT407,"DESPRECIABLE","DISEÑAR")</f>
        <v>DISEÑAR</v>
      </c>
      <c r="AV407" s="10">
        <f>IF(Q407&lt;=AT407,0,Q407*1000000/('Parametros'!$B$6*2*0.85*(H407-2*('Parametros'!$B$7+'Parametros'!$B$9/2))*(I407-2*('Parametros'!$B$7+'Parametros'!$B$9/2))*'Parametros'!$B$4))</f>
        <v>0.720114834135493</v>
      </c>
      <c r="AW407" s="10">
        <f>AV407*2*((H407-2*('Parametros'!$B$7+'Parametros'!$B$9/2))+(I407-2*('Parametros'!$B$7+'Parametros'!$B$9/2)))*'Parametros'!$B$4/'Parametros'!$B$3</f>
        <v>1245.22257118709</v>
      </c>
      <c r="AX407" s="31" t="n">
        <v>8</v>
      </c>
      <c r="AY407" s="10" t="str">
        <f>IF(AV407=0,"DESPRECIABLE",IF(AND(ISERROR(SEARCH("referencia",AN407)),BB407/AP407&gt;=AV407,BI407&gt;=AW407,BH407="CUMPLE"),"CUMPLE","NO CUMPLE"))</f>
        <v>CUMPLE</v>
      </c>
      <c r="AZ407" s="10" t="str">
        <f>IF(AND(X407="CUMPLE",AE407="CUMPLE",AS407="CUMPLE",OR(AY407="CUMPLE",AY407="DESPRECIABLE"),BH407="CUMPLE",BJ407="CUMPLE"),"CUMPLE","NO CUMPLE")</f>
        <v>CUMPLE</v>
      </c>
      <c r="BA407" s="32" t="n">
        <v>12.7</v>
      </c>
      <c r="BB407" s="32" t="n">
        <v>129</v>
      </c>
      <c r="BC407" s="10">
        <f>MAX(IF(AK407=0,0,AK407*1000/('Parametros'!$B$4*MIN(U407,AB407))),MAX(0.062*SQRT('Parametros'!$B$2)*H407/'Parametros'!$B$4,0.35*H407/'Parametros'!$B$4))</f>
        <v>2.94813465534062</v>
      </c>
      <c r="BD407" s="10">
        <f>2*AV407</f>
        <v>1.44022966827099</v>
      </c>
      <c r="BE407" s="10">
        <f>AO407*BB407/AP407</f>
        <v>4.69090909090909</v>
      </c>
      <c r="BF407" s="10">
        <f>SQRT((AI407*1000/(H407*MIN(U407,AB407)))^2+(Q407*1000000*2*((H407-2*('Parametros'!$B$7+'Parametros'!$B$9/2))+(I407-2*('Parametros'!$B$7+'Parametros'!$B$9/2)))/(1.7*((H407-2*('Parametros'!$B$7+'Parametros'!$B$9/2))*(I407-2*('Parametros'!$B$7+'Parametros'!$B$9/2)))^2))^2)</f>
        <v>3.29330848168191</v>
      </c>
      <c r="BG407" s="10">
        <f>'Parametros'!$B$6*(AJ407*1000/(H407*MIN(U407,AB407))+0.66*SQRT('Parametros'!$B$2))</f>
        <v>3.29396038227542</v>
      </c>
      <c r="BH407" s="10" t="str">
        <f>IF(BF407&lt;=BG407,"CUMPLE","NO CUMPLE")</f>
        <v>CUMPLE</v>
      </c>
      <c r="BI407" s="10">
        <f>AX407*'Parametros'!$B$8</f>
        <v>1592</v>
      </c>
      <c r="BJ407" s="10" t="str">
        <f>IF(BI407&gt;=AW407,"CUMPLE","NO CUMPLE")</f>
        <v>CUMPLE</v>
      </c>
    </row>
    <row r="408">
      <c r="A408" s="25" t="inlineStr">
        <is>
          <t>VR2</t>
        </is>
      </c>
      <c r="B408" s="25" t="inlineStr">
        <is>
          <t>239</t>
        </is>
      </c>
      <c r="C408" s="10" t="n">
        <v>1</v>
      </c>
      <c r="D408" s="10" t="n">
        <v>2.2</v>
      </c>
      <c r="E408" s="10" t="n">
        <v>2.2</v>
      </c>
      <c r="F408" s="10" t="n">
        <v>500</v>
      </c>
      <c r="G408" s="10" t="n">
        <v>550</v>
      </c>
      <c r="H408" s="17" t="n">
        <v>500</v>
      </c>
      <c r="I408" s="17" t="n">
        <v>550</v>
      </c>
      <c r="J408" s="30" t="n">
        <v>206.3354</v>
      </c>
      <c r="K408" s="10" t="inlineStr">
        <is>
          <t>239</t>
        </is>
      </c>
      <c r="L408" s="30" t="n">
        <v>166.9359</v>
      </c>
      <c r="M408" s="10" t="inlineStr">
        <is>
          <t>239</t>
        </is>
      </c>
      <c r="N408" s="30" t="n">
        <v>176.428</v>
      </c>
      <c r="O408" s="30" t="n">
        <v>598.207</v>
      </c>
      <c r="P408" s="10" t="inlineStr">
        <is>
          <t>239</t>
        </is>
      </c>
      <c r="Q408" s="30" t="n">
        <v>69.4084</v>
      </c>
      <c r="R408" s="10">
        <f>MAX(MAX(1.4/'Parametros'!$B$3,0.25*SQRT('Parametros'!$B$2)/'Parametros'!$B$3)*H408*U408,(0.85*'Parametros'!$B$2/'Parametros'!$B$3)*(1-SQRT(1-2*(J408*1000000/('Parametros'!$B$5*H408*U408^2))/(0.85*'Parametros'!$B$2)))*H408*U408)</f>
        <v>1164.3733895008</v>
      </c>
      <c r="S408" s="31" t="n">
        <v>6</v>
      </c>
      <c r="T408" s="32" t="n">
        <v>1</v>
      </c>
      <c r="U408" s="10">
        <f>IF(T408=1,I408-('Parametros'!$B$7+'Parametros'!$B$9+'Parametros'!$B$12/2),I408-(ROUNDUP(S408/2,0)*('Parametros'!$B$7+'Parametros'!$B$9+'Parametros'!$B$12/2)+ROUNDDOWN(S408/2,0)*('Parametros'!$B$7+'Parametros'!$B$9+'Parametros'!$B$12/2+'Parametros'!$B$12+'Parametros'!$B$10))/S408)</f>
        <v>489.35</v>
      </c>
      <c r="V408" s="10">
        <f>S408*'Parametros'!$B$8</f>
        <v>1194</v>
      </c>
      <c r="W408" s="10">
        <f>'Parametros'!$B$5*V408*'Parametros'!$B$3*(U408-(V408*'Parametros'!$B$3/(0.85*'Parametros'!$B$2*H408))/2)/1000000</f>
        <v>211.349483470588</v>
      </c>
      <c r="X408" s="10" t="str">
        <f>IF(W408&gt;=J408,"CUMPLE","NO CUMPLE")</f>
        <v>CUMPLE</v>
      </c>
      <c r="Y408" s="10">
        <f>MAX(MAX(1.4/'Parametros'!$B$3,0.25*SQRT('Parametros'!$B$2)/'Parametros'!$B$3)*H408*AB408,(0.85*'Parametros'!$B$2/'Parametros'!$B$3)*(1-SQRT(1-2*(L408*1000000/('Parametros'!$B$5*H408*AB408^2))/(0.85*'Parametros'!$B$2)))*H408*AB408)</f>
        <v>933.936419506474</v>
      </c>
      <c r="Z408" s="31" t="n">
        <v>5</v>
      </c>
      <c r="AA408" s="32" t="n">
        <v>1</v>
      </c>
      <c r="AB408" s="10">
        <f>IF(AA408=1,I408-('Parametros'!$B$7+'Parametros'!$B$9+'Parametros'!$B$12/2),I408-(ROUNDUP(Z408/2,0)*('Parametros'!$B$7+'Parametros'!$B$9+'Parametros'!$B$12/2)+ROUNDDOWN(Z408/2,0)*('Parametros'!$B$7+'Parametros'!$B$9+'Parametros'!$B$12/2+'Parametros'!$B$12+'Parametros'!$B$10))/Z408)</f>
        <v>489.35</v>
      </c>
      <c r="AC408" s="10">
        <f>Z408*'Parametros'!$B$8</f>
        <v>995</v>
      </c>
      <c r="AD408" s="10">
        <f>'Parametros'!$B$5*AC408*'Parametros'!$B$3*(AB408-(AC408*'Parametros'!$B$3/(0.85*'Parametros'!$B$2*H408))/2)/1000000</f>
        <v>177.445379382353</v>
      </c>
      <c r="AE408" s="10" t="str">
        <f>IF(AD408&gt;=L408,"CUMPLE","NO CUMPLE")</f>
        <v>CUMPLE</v>
      </c>
      <c r="AF408" s="10">
        <f>V408*1.25*'Parametros'!$B$3*(U408-(V408*1.25*'Parametros'!$B$3/(0.85*'Parametros'!$B$2*H408))/2)/1000000</f>
        <v>290.238924705882</v>
      </c>
      <c r="AG408" s="10">
        <f>AC408*1.25*'Parametros'!$B$3*(AB408-(AC408*1.25*'Parametros'!$B$3/(0.85*'Parametros'!$B$2*H408))/2)/1000000</f>
        <v>244.158843198529</v>
      </c>
      <c r="AH408" s="10">
        <f>N408+(AF408+AG408)/D408</f>
        <v>419.336076320187</v>
      </c>
      <c r="AI408" s="10">
        <f>MAX(O408,AH408)</f>
        <v>598.207</v>
      </c>
      <c r="AJ408" s="10">
        <f>0.17*SQRT('Parametros'!$B$2)*H408*MIN(U408,AB408)/1000</f>
        <v>220.098728691808</v>
      </c>
      <c r="AK408" s="10">
        <f>MAX(AI408/'Parametros'!$B$6-AJ408,0)</f>
        <v>577.510604641526</v>
      </c>
      <c r="AL408" s="10">
        <f>0.66*SQRT('Parametros'!$B$2)*H408*MIN(U408,AB408)/1000</f>
        <v>854.500946685842</v>
      </c>
      <c r="AM408" s="10" t="str">
        <f>IF(AK408&lt;=AL408,"CUMPLE","NO CUMPLE")</f>
        <v>CUMPLE</v>
      </c>
      <c r="AN408" s="17" t="inlineStr">
        <is>
          <t>Nº4 cerrado</t>
        </is>
      </c>
      <c r="AO408" s="31" t="n">
        <v>4</v>
      </c>
      <c r="AP408" s="10">
        <f>ROUNDDOWN(MIN(IF(BC408+BD408=0,1000000000,AO408*BB408/(BC408+BD408)),MIN(U408,AB408)/4,8*'Parametros'!$B$12,24*BA408,300,IF(AV408=0,1000000000,2*((H408-2*('Parametros'!$B$7+'Parametros'!$B$9/2))+(I408-2*('Parametros'!$B$7+'Parametros'!$B$9/2)))/8))/10,0)*10</f>
        <v>120</v>
      </c>
      <c r="AQ408" s="10">
        <f>ROUNDDOWN(MIN(IF(BC408+BD408=0,1000000000,AO408*BB408/(BC408+BD408)),IF(AK408&gt;0.33*SQRT('Parametros'!$B$2)*H408*MIN(U408,AB408)/1000,MIN(U408,AB408)/4,MIN(U408,AB408)/2),600,IF(AV408=0,1000000000,2*((H408-2*('Parametros'!$B$7+'Parametros'!$B$9/2))+(I408-2*('Parametros'!$B$7+'Parametros'!$B$9/2)))/8))/10,0)*10</f>
        <v>120</v>
      </c>
      <c r="AR408" s="10">
        <f>'Parametros'!$B$6*(AJ408+MAX(BE408-BD408,0)*'Parametros'!$B$4*MIN(U408,AB408)/1000)</f>
        <v>613.364148101829</v>
      </c>
      <c r="AS408" s="10" t="str">
        <f>IF(AND(ISERROR(SEARCH("referencia",AN408)),AM408="CUMPLE",AR408&gt;=AI408),"CUMPLE","NO CUMPLE")</f>
        <v>CUMPLE</v>
      </c>
      <c r="AT408" s="10">
        <f>'Parametros'!$B$6*0.083*SQRT('Parametros'!$B$2)*(H408*I408)^2/(2*(H408+I408))/1000000</f>
        <v>11.862178757599</v>
      </c>
      <c r="AU408" s="10" t="str">
        <f>IF(Q408&lt;=AT408,"DESPRECIABLE","DISEÑAR")</f>
        <v>DISEÑAR</v>
      </c>
      <c r="AV408" s="10">
        <f>IF(Q408&lt;=AT408,0,Q408*1000000/('Parametros'!$B$6*2*0.85*(H408-2*('Parametros'!$B$7+'Parametros'!$B$9/2))*(I408-2*('Parametros'!$B$7+'Parametros'!$B$9/2))*'Parametros'!$B$4))</f>
        <v>0.695884152826723</v>
      </c>
      <c r="AW408" s="10">
        <f>AV408*2*((H408-2*('Parametros'!$B$7+'Parametros'!$B$9/2))+(I408-2*('Parametros'!$B$7+'Parametros'!$B$9/2)))*'Parametros'!$B$4/'Parametros'!$B$3</f>
        <v>1203.32287706797</v>
      </c>
      <c r="AX408" s="31" t="n">
        <v>8</v>
      </c>
      <c r="AY408" s="10" t="str">
        <f>IF(AV408=0,"DESPRECIABLE",IF(AND(ISERROR(SEARCH("referencia",AN408)),BB408/AP408&gt;=AV408,BI408&gt;=AW408,BH408="CUMPLE"),"CUMPLE","NO CUMPLE"))</f>
        <v>CUMPLE</v>
      </c>
      <c r="AZ408" s="10" t="str">
        <f>IF(AND(X408="CUMPLE",AE408="CUMPLE",AS408="CUMPLE",OR(AY408="CUMPLE",AY408="DESPRECIABLE"),BH408="CUMPLE",BJ408="CUMPLE"),"CUMPLE","NO CUMPLE")</f>
        <v>CUMPLE</v>
      </c>
      <c r="BA408" s="32" t="n">
        <v>12.7</v>
      </c>
      <c r="BB408" s="32" t="n">
        <v>129</v>
      </c>
      <c r="BC408" s="10">
        <f>MAX(IF(AK408=0,0,AK408*1000/('Parametros'!$B$4*MIN(U408,AB408))),MAX(0.062*SQRT('Parametros'!$B$2)*H408/'Parametros'!$B$4,0.35*H408/'Parametros'!$B$4))</f>
        <v>2.80990139807191</v>
      </c>
      <c r="BD408" s="10">
        <f>2*AV408</f>
        <v>1.39176830565345</v>
      </c>
      <c r="BE408" s="10">
        <f>AO408*BB408/AP408</f>
        <v>4.3</v>
      </c>
      <c r="BF408" s="10">
        <f>SQRT((AI408*1000/(H408*MIN(U408,AB408)))^2+(Q408*1000000*2*((H408-2*('Parametros'!$B$7+'Parametros'!$B$9/2))+(I408-2*('Parametros'!$B$7+'Parametros'!$B$9/2)))/(1.7*((H408-2*('Parametros'!$B$7+'Parametros'!$B$9/2))*(I408-2*('Parametros'!$B$7+'Parametros'!$B$9/2)))^2))^2)</f>
        <v>3.18104151091471</v>
      </c>
      <c r="BG408" s="10">
        <f>'Parametros'!$B$6*(AJ408*1000/(H408*MIN(U408,AB408))+0.66*SQRT('Parametros'!$B$2))</f>
        <v>3.29396038227542</v>
      </c>
      <c r="BH408" s="10" t="str">
        <f>IF(BF408&lt;=BG408,"CUMPLE","NO CUMPLE")</f>
        <v>CUMPLE</v>
      </c>
      <c r="BI408" s="10">
        <f>AX408*'Parametros'!$B$8</f>
        <v>1592</v>
      </c>
      <c r="BJ408" s="10" t="str">
        <f>IF(BI408&gt;=AW408,"CUMPLE","NO CUMPLE")</f>
        <v>CUMPLE</v>
      </c>
    </row>
    <row r="409">
      <c r="A409" s="25" t="inlineStr">
        <is>
          <t>VR2</t>
        </is>
      </c>
      <c r="B409" s="25" t="inlineStr">
        <is>
          <t>240</t>
        </is>
      </c>
      <c r="C409" s="10" t="n">
        <v>1</v>
      </c>
      <c r="D409" s="10" t="n">
        <v>3.57612</v>
      </c>
      <c r="E409" s="10" t="n">
        <v>3.57612</v>
      </c>
      <c r="F409" s="10" t="n">
        <v>500</v>
      </c>
      <c r="G409" s="10" t="n">
        <v>550</v>
      </c>
      <c r="H409" s="17" t="n">
        <v>500</v>
      </c>
      <c r="I409" s="17" t="n">
        <v>550</v>
      </c>
      <c r="J409" s="30" t="n">
        <v>175.7939</v>
      </c>
      <c r="K409" s="10" t="inlineStr">
        <is>
          <t>240</t>
        </is>
      </c>
      <c r="L409" s="30" t="n">
        <v>111.019</v>
      </c>
      <c r="M409" s="10" t="inlineStr">
        <is>
          <t>240</t>
        </is>
      </c>
      <c r="N409" s="30" t="n">
        <v>129.006</v>
      </c>
      <c r="O409" s="30" t="n">
        <v>381.12</v>
      </c>
      <c r="P409" s="10" t="inlineStr">
        <is>
          <t>240</t>
        </is>
      </c>
      <c r="Q409" s="30" t="n">
        <v>4.3904</v>
      </c>
      <c r="R409" s="10">
        <f>MAX(MAX(1.4/'Parametros'!$B$3,0.25*SQRT('Parametros'!$B$2)/'Parametros'!$B$3)*H409*U409,(0.85*'Parametros'!$B$2/'Parametros'!$B$3)*(1-SQRT(1-2*(J409*1000000/('Parametros'!$B$5*H409*U409^2))/(0.85*'Parametros'!$B$2)))*H409*U409)</f>
        <v>985.385181352657</v>
      </c>
      <c r="S409" s="31" t="n">
        <v>5</v>
      </c>
      <c r="T409" s="32" t="n">
        <v>1</v>
      </c>
      <c r="U409" s="10">
        <f>IF(T409=1,I409-('Parametros'!$B$7+'Parametros'!$B$9+'Parametros'!$B$12/2),I409-(ROUNDUP(S409/2,0)*('Parametros'!$B$7+'Parametros'!$B$9+'Parametros'!$B$12/2)+ROUNDDOWN(S409/2,0)*('Parametros'!$B$7+'Parametros'!$B$9+'Parametros'!$B$12/2+'Parametros'!$B$12+'Parametros'!$B$10))/S409)</f>
        <v>489.35</v>
      </c>
      <c r="V409" s="10">
        <f>S409*'Parametros'!$B$8</f>
        <v>995</v>
      </c>
      <c r="W409" s="10">
        <f>'Parametros'!$B$5*V409*'Parametros'!$B$3*(U409-(V409*'Parametros'!$B$3/(0.85*'Parametros'!$B$2*H409))/2)/1000000</f>
        <v>177.445379382353</v>
      </c>
      <c r="X409" s="10" t="str">
        <f>IF(W409&gt;=J409,"CUMPLE","NO CUMPLE")</f>
        <v>CUMPLE</v>
      </c>
      <c r="Y409" s="10">
        <f>MAX(MAX(1.4/'Parametros'!$B$3,0.25*SQRT('Parametros'!$B$2)/'Parametros'!$B$3)*H409*AB409,(0.85*'Parametros'!$B$2/'Parametros'!$B$3)*(1-SQRT(1-2*(L409*1000000/('Parametros'!$B$5*H409*AB409^2))/(0.85*'Parametros'!$B$2)))*H409*AB409)</f>
        <v>815.583333333333</v>
      </c>
      <c r="Z409" s="31" t="n">
        <v>5</v>
      </c>
      <c r="AA409" s="32" t="n">
        <v>1</v>
      </c>
      <c r="AB409" s="10">
        <f>IF(AA409=1,I409-('Parametros'!$B$7+'Parametros'!$B$9+'Parametros'!$B$12/2),I409-(ROUNDUP(Z409/2,0)*('Parametros'!$B$7+'Parametros'!$B$9+'Parametros'!$B$12/2)+ROUNDDOWN(Z409/2,0)*('Parametros'!$B$7+'Parametros'!$B$9+'Parametros'!$B$12/2+'Parametros'!$B$12+'Parametros'!$B$10))/Z409)</f>
        <v>489.35</v>
      </c>
      <c r="AC409" s="10">
        <f>Z409*'Parametros'!$B$8</f>
        <v>995</v>
      </c>
      <c r="AD409" s="10">
        <f>'Parametros'!$B$5*AC409*'Parametros'!$B$3*(AB409-(AC409*'Parametros'!$B$3/(0.85*'Parametros'!$B$2*H409))/2)/1000000</f>
        <v>177.445379382353</v>
      </c>
      <c r="AE409" s="10" t="str">
        <f>IF(AD409&gt;=L409,"CUMPLE","NO CUMPLE")</f>
        <v>CUMPLE</v>
      </c>
      <c r="AF409" s="10">
        <f>V409*1.25*'Parametros'!$B$3*(U409-(V409*1.25*'Parametros'!$B$3/(0.85*'Parametros'!$B$2*H409))/2)/1000000</f>
        <v>244.158843198529</v>
      </c>
      <c r="AG409" s="10">
        <f>AC409*1.25*'Parametros'!$B$3*(AB409-(AC409*1.25*'Parametros'!$B$3/(0.85*'Parametros'!$B$2*H409))/2)/1000000</f>
        <v>244.158843198529</v>
      </c>
      <c r="AH409" s="10">
        <f>N409+(AF409+AG409)/D409</f>
        <v>265.555580662019</v>
      </c>
      <c r="AI409" s="10">
        <f>MAX(O409,AH409)</f>
        <v>381.12</v>
      </c>
      <c r="AJ409" s="10">
        <f>0.17*SQRT('Parametros'!$B$2)*H409*MIN(U409,AB409)/1000</f>
        <v>220.098728691808</v>
      </c>
      <c r="AK409" s="10">
        <f>MAX(AI409/'Parametros'!$B$6-AJ409,0)</f>
        <v>288.061271308192</v>
      </c>
      <c r="AL409" s="10">
        <f>0.66*SQRT('Parametros'!$B$2)*H409*MIN(U409,AB409)/1000</f>
        <v>854.500946685842</v>
      </c>
      <c r="AM409" s="10" t="str">
        <f>IF(AK409&lt;=AL409,"CUMPLE","NO CUMPLE")</f>
        <v>CUMPLE</v>
      </c>
      <c r="AN409" s="17" t="inlineStr">
        <is>
          <t>Nº3 cerrado</t>
        </is>
      </c>
      <c r="AO409" s="31" t="n">
        <v>2</v>
      </c>
      <c r="AP409" s="10">
        <f>ROUNDDOWN(MIN(IF(BC409+BD409=0,1000000000,AO409*BB409/(BC409+BD409)),MIN(U409,AB409)/4,8*'Parametros'!$B$12,24*BA409,300,IF(AV409=0,1000000000,2*((H409-2*('Parametros'!$B$7+'Parametros'!$B$9/2))+(I409-2*('Parametros'!$B$7+'Parametros'!$B$9/2)))/8))/10,0)*10</f>
        <v>100</v>
      </c>
      <c r="AQ409" s="10">
        <f>ROUNDDOWN(MIN(IF(BC409+BD409=0,1000000000,AO409*BB409/(BC409+BD409)),IF(AK409&gt;0.33*SQRT('Parametros'!$B$2)*H409*MIN(U409,AB409)/1000,MIN(U409,AB409)/4,MIN(U409,AB409)/2),600,IF(AV409=0,1000000000,2*((H409-2*('Parametros'!$B$7+'Parametros'!$B$9/2))+(I409-2*('Parametros'!$B$7+'Parametros'!$B$9/2)))/8))/10,0)*10</f>
        <v>100</v>
      </c>
      <c r="AR409" s="10">
        <f>'Parametros'!$B$6*(AJ409+MAX(BE409-BD409,0)*'Parametros'!$B$4*MIN(U409,AB409)/1000)</f>
        <v>383.960301518856</v>
      </c>
      <c r="AS409" s="10" t="str">
        <f>IF(AND(ISERROR(SEARCH("referencia",AN409)),AM409="CUMPLE",AR409&gt;=AI409),"CUMPLE","NO CUMPLE")</f>
        <v>CUMPLE</v>
      </c>
      <c r="AT409" s="10">
        <f>'Parametros'!$B$6*0.083*SQRT('Parametros'!$B$2)*(H409*I409)^2/(2*(H409+I409))/1000000</f>
        <v>11.862178757599</v>
      </c>
      <c r="AU409" s="10" t="str">
        <f>IF(Q409&lt;=AT409,"DESPRECIABLE","DISEÑAR")</f>
        <v>DESPRECIABLE</v>
      </c>
      <c r="AV409" s="10">
        <f>IF(Q409&lt;=AT409,0,Q409*1000000/('Parametros'!$B$6*2*0.85*(H409-2*('Parametros'!$B$7+'Parametros'!$B$9/2))*(I409-2*('Parametros'!$B$7+'Parametros'!$B$9/2))*'Parametros'!$B$4))</f>
        <v>0</v>
      </c>
      <c r="AW409" s="10">
        <f>AV409*2*((H409-2*('Parametros'!$B$7+'Parametros'!$B$9/2))+(I409-2*('Parametros'!$B$7+'Parametros'!$B$9/2)))*'Parametros'!$B$4/'Parametros'!$B$3</f>
        <v>0</v>
      </c>
      <c r="AX409" s="31" t="n">
        <v>0</v>
      </c>
      <c r="AY409" s="10" t="str">
        <f>IF(AV409=0,"DESPRECIABLE",IF(AND(ISERROR(SEARCH("referencia",AN409)),BB409/AP409&gt;=AV409,BI409&gt;=AW409,BH409="CUMPLE"),"CUMPLE","NO CUMPLE"))</f>
        <v>DESPRECIABLE</v>
      </c>
      <c r="AZ409" s="10" t="str">
        <f>IF(AND(X409="CUMPLE",AE409="CUMPLE",AS409="CUMPLE",OR(AY409="CUMPLE",AY409="DESPRECIABLE"),BH409="CUMPLE",BJ409="CUMPLE"),"CUMPLE","NO CUMPLE")</f>
        <v>CUMPLE</v>
      </c>
      <c r="BA409" s="32" t="n">
        <v>9.5</v>
      </c>
      <c r="BB409" s="32" t="n">
        <v>71</v>
      </c>
      <c r="BC409" s="10">
        <f>MAX(IF(AK409=0,0,AK409*1000/('Parametros'!$B$4*MIN(U409,AB409))),MAX(0.062*SQRT('Parametros'!$B$2)*H409/'Parametros'!$B$4,0.35*H409/'Parametros'!$B$4))</f>
        <v>1.40157386284134</v>
      </c>
      <c r="BD409" s="10">
        <f>2*AV409</f>
        <v>0</v>
      </c>
      <c r="BE409" s="10">
        <f>AO409*BB409/AP409</f>
        <v>1.42</v>
      </c>
      <c r="BF409" s="10">
        <f>SQRT((AI409*1000/(H409*MIN(U409,AB409)))^2+(Q409*1000000*2*((H409-2*('Parametros'!$B$7+'Parametros'!$B$9/2))+(I409-2*('Parametros'!$B$7+'Parametros'!$B$9/2)))/(1.7*((H409-2*('Parametros'!$B$7+'Parametros'!$B$9/2))*(I409-2*('Parametros'!$B$7+'Parametros'!$B$9/2)))^2))^2)</f>
        <v>1.56296814315364</v>
      </c>
      <c r="BG409" s="10">
        <f>'Parametros'!$B$6*(AJ409*1000/(H409*MIN(U409,AB409))+0.66*SQRT('Parametros'!$B$2))</f>
        <v>3.29396038227542</v>
      </c>
      <c r="BH409" s="10" t="str">
        <f>IF(BF409&lt;=BG409,"CUMPLE","NO CUMPLE")</f>
        <v>CUMPLE</v>
      </c>
      <c r="BI409" s="10">
        <f>AX409*'Parametros'!$B$8</f>
        <v>0</v>
      </c>
      <c r="BJ409" s="10" t="str">
        <f>IF(BI409&gt;=AW409,"CUMPLE","NO CUMPLE")</f>
        <v>CUMPLE</v>
      </c>
    </row>
    <row r="410">
      <c r="A410" s="25" t="inlineStr">
        <is>
          <t>VR2</t>
        </is>
      </c>
      <c r="B410" s="25" t="inlineStr">
        <is>
          <t>241</t>
        </is>
      </c>
      <c r="C410" s="10" t="n">
        <v>1</v>
      </c>
      <c r="D410" s="10" t="n">
        <v>1.9</v>
      </c>
      <c r="E410" s="10" t="n">
        <v>1.9</v>
      </c>
      <c r="F410" s="10" t="n">
        <v>500</v>
      </c>
      <c r="G410" s="10" t="n">
        <v>550</v>
      </c>
      <c r="H410" s="17" t="n">
        <v>500</v>
      </c>
      <c r="I410" s="17" t="n">
        <v>550</v>
      </c>
      <c r="J410" s="30" t="n">
        <v>166.1265</v>
      </c>
      <c r="K410" s="10" t="inlineStr">
        <is>
          <t>241</t>
        </is>
      </c>
      <c r="L410" s="30" t="n">
        <v>136.1432</v>
      </c>
      <c r="M410" s="10" t="inlineStr">
        <is>
          <t>241</t>
        </is>
      </c>
      <c r="N410" s="30" t="n">
        <v>157.511</v>
      </c>
      <c r="O410" s="30" t="n">
        <v>599.458</v>
      </c>
      <c r="P410" s="10" t="inlineStr">
        <is>
          <t>241</t>
        </is>
      </c>
      <c r="Q410" s="30" t="n">
        <v>18.85</v>
      </c>
      <c r="R410" s="10">
        <f>MAX(MAX(1.4/'Parametros'!$B$3,0.25*SQRT('Parametros'!$B$2)/'Parametros'!$B$3)*H410*U410,(0.85*'Parametros'!$B$2/'Parametros'!$B$3)*(1-SQRT(1-2*(J410*1000000/('Parametros'!$B$5*H410*U410^2))/(0.85*'Parametros'!$B$2)))*H410*U410)</f>
        <v>929.245490543423</v>
      </c>
      <c r="S410" s="31" t="n">
        <v>5</v>
      </c>
      <c r="T410" s="32" t="n">
        <v>1</v>
      </c>
      <c r="U410" s="10">
        <f>IF(T410=1,I410-('Parametros'!$B$7+'Parametros'!$B$9+'Parametros'!$B$12/2),I410-(ROUNDUP(S410/2,0)*('Parametros'!$B$7+'Parametros'!$B$9+'Parametros'!$B$12/2)+ROUNDDOWN(S410/2,0)*('Parametros'!$B$7+'Parametros'!$B$9+'Parametros'!$B$12/2+'Parametros'!$B$12+'Parametros'!$B$10))/S410)</f>
        <v>489.35</v>
      </c>
      <c r="V410" s="10">
        <f>S410*'Parametros'!$B$8</f>
        <v>995</v>
      </c>
      <c r="W410" s="10">
        <f>'Parametros'!$B$5*V410*'Parametros'!$B$3*(U410-(V410*'Parametros'!$B$3/(0.85*'Parametros'!$B$2*H410))/2)/1000000</f>
        <v>177.445379382353</v>
      </c>
      <c r="X410" s="10" t="str">
        <f>IF(W410&gt;=J410,"CUMPLE","NO CUMPLE")</f>
        <v>CUMPLE</v>
      </c>
      <c r="Y410" s="10">
        <f>MAX(MAX(1.4/'Parametros'!$B$3,0.25*SQRT('Parametros'!$B$2)/'Parametros'!$B$3)*H410*AB410,(0.85*'Parametros'!$B$2/'Parametros'!$B$3)*(1-SQRT(1-2*(L410*1000000/('Parametros'!$B$5*H410*AB410^2))/(0.85*'Parametros'!$B$2)))*H410*AB410)</f>
        <v>815.583333333333</v>
      </c>
      <c r="Z410" s="31" t="n">
        <v>5</v>
      </c>
      <c r="AA410" s="32" t="n">
        <v>1</v>
      </c>
      <c r="AB410" s="10">
        <f>IF(AA410=1,I410-('Parametros'!$B$7+'Parametros'!$B$9+'Parametros'!$B$12/2),I410-(ROUNDUP(Z410/2,0)*('Parametros'!$B$7+'Parametros'!$B$9+'Parametros'!$B$12/2)+ROUNDDOWN(Z410/2,0)*('Parametros'!$B$7+'Parametros'!$B$9+'Parametros'!$B$12/2+'Parametros'!$B$12+'Parametros'!$B$10))/Z410)</f>
        <v>489.35</v>
      </c>
      <c r="AC410" s="10">
        <f>Z410*'Parametros'!$B$8</f>
        <v>995</v>
      </c>
      <c r="AD410" s="10">
        <f>'Parametros'!$B$5*AC410*'Parametros'!$B$3*(AB410-(AC410*'Parametros'!$B$3/(0.85*'Parametros'!$B$2*H410))/2)/1000000</f>
        <v>177.445379382353</v>
      </c>
      <c r="AE410" s="10" t="str">
        <f>IF(AD410&gt;=L410,"CUMPLE","NO CUMPLE")</f>
        <v>CUMPLE</v>
      </c>
      <c r="AF410" s="10">
        <f>V410*1.25*'Parametros'!$B$3*(U410-(V410*1.25*'Parametros'!$B$3/(0.85*'Parametros'!$B$2*H410))/2)/1000000</f>
        <v>244.158843198529</v>
      </c>
      <c r="AG410" s="10">
        <f>AC410*1.25*'Parametros'!$B$3*(AB410-(AC410*1.25*'Parametros'!$B$3/(0.85*'Parametros'!$B$2*H410))/2)/1000000</f>
        <v>244.158843198529</v>
      </c>
      <c r="AH410" s="10">
        <f>N410+(AF410+AG410)/D410</f>
        <v>414.520308630031</v>
      </c>
      <c r="AI410" s="10">
        <f>MAX(O410,AH410)</f>
        <v>599.458</v>
      </c>
      <c r="AJ410" s="10">
        <f>0.17*SQRT('Parametros'!$B$2)*H410*MIN(U410,AB410)/1000</f>
        <v>220.098728691808</v>
      </c>
      <c r="AK410" s="10">
        <f>MAX(AI410/'Parametros'!$B$6-AJ410,0)</f>
        <v>579.178604641526</v>
      </c>
      <c r="AL410" s="10">
        <f>0.66*SQRT('Parametros'!$B$2)*H410*MIN(U410,AB410)/1000</f>
        <v>854.500946685842</v>
      </c>
      <c r="AM410" s="10" t="str">
        <f>IF(AK410&lt;=AL410,"CUMPLE","NO CUMPLE")</f>
        <v>CUMPLE</v>
      </c>
      <c r="AN410" s="17" t="inlineStr">
        <is>
          <t>Nº4 cerrado</t>
        </is>
      </c>
      <c r="AO410" s="31" t="n">
        <v>2</v>
      </c>
      <c r="AP410" s="10">
        <f>ROUNDDOWN(MIN(IF(BC410+BD410=0,1000000000,AO410*BB410/(BC410+BD410)),MIN(U410,AB410)/4,8*'Parametros'!$B$12,24*BA410,300,IF(AV410=0,1000000000,2*((H410-2*('Parametros'!$B$7+'Parametros'!$B$9/2))+(I410-2*('Parametros'!$B$7+'Parametros'!$B$9/2)))/8))/10,0)*10</f>
        <v>80</v>
      </c>
      <c r="AQ410" s="10">
        <f>ROUNDDOWN(MIN(IF(BC410+BD410=0,1000000000,AO410*BB410/(BC410+BD410)),IF(AK410&gt;0.33*SQRT('Parametros'!$B$2)*H410*MIN(U410,AB410)/1000,MIN(U410,AB410)/4,MIN(U410,AB410)/2),600,IF(AV410=0,1000000000,2*((H410-2*('Parametros'!$B$7+'Parametros'!$B$9/2))+(I410-2*('Parametros'!$B$7+'Parametros'!$B$9/2)))/8))/10,0)*10</f>
        <v>80</v>
      </c>
      <c r="AR410" s="10">
        <f>'Parametros'!$B$6*(AJ410+MAX(BE410-BD410,0)*'Parametros'!$B$4*MIN(U410,AB410)/1000)</f>
        <v>603.928999228637</v>
      </c>
      <c r="AS410" s="10" t="str">
        <f>IF(AND(ISERROR(SEARCH("referencia",AN410)),AM410="CUMPLE",AR410&gt;=AI410),"CUMPLE","NO CUMPLE")</f>
        <v>CUMPLE</v>
      </c>
      <c r="AT410" s="10">
        <f>'Parametros'!$B$6*0.083*SQRT('Parametros'!$B$2)*(H410*I410)^2/(2*(H410+I410))/1000000</f>
        <v>11.862178757599</v>
      </c>
      <c r="AU410" s="10" t="str">
        <f>IF(Q410&lt;=AT410,"DESPRECIABLE","DISEÑAR")</f>
        <v>DISEÑAR</v>
      </c>
      <c r="AV410" s="10">
        <f>IF(Q410&lt;=AT410,0,Q410*1000000/('Parametros'!$B$6*2*0.85*(H410-2*('Parametros'!$B$7+'Parametros'!$B$9/2))*(I410-2*('Parametros'!$B$7+'Parametros'!$B$9/2))*'Parametros'!$B$4))</f>
        <v>0.188988887235316</v>
      </c>
      <c r="AW410" s="10">
        <f>AV410*2*((H410-2*('Parametros'!$B$7+'Parametros'!$B$9/2))+(I410-2*('Parametros'!$B$7+'Parametros'!$B$9/2)))*'Parametros'!$B$4/'Parametros'!$B$3</f>
        <v>326.799583807309</v>
      </c>
      <c r="AX410" s="31" t="n">
        <v>8</v>
      </c>
      <c r="AY410" s="10" t="str">
        <f>IF(AV410=0,"DESPRECIABLE",IF(AND(ISERROR(SEARCH("referencia",AN410)),BB410/AP410&gt;=AV410,BI410&gt;=AW410,BH410="CUMPLE"),"CUMPLE","NO CUMPLE"))</f>
        <v>CUMPLE</v>
      </c>
      <c r="AZ410" s="10" t="str">
        <f>IF(AND(X410="CUMPLE",AE410="CUMPLE",AS410="CUMPLE",OR(AY410="CUMPLE",AY410="DESPRECIABLE"),BH410="CUMPLE",BJ410="CUMPLE"),"CUMPLE","NO CUMPLE")</f>
        <v>CUMPLE</v>
      </c>
      <c r="BA410" s="32" t="n">
        <v>12.7</v>
      </c>
      <c r="BB410" s="32" t="n">
        <v>129</v>
      </c>
      <c r="BC410" s="10">
        <f>MAX(IF(AK410=0,0,AK410*1000/('Parametros'!$B$4*MIN(U410,AB410))),MAX(0.062*SQRT('Parametros'!$B$2)*H410/'Parametros'!$B$4,0.35*H410/'Parametros'!$B$4))</f>
        <v>2.81801712009383</v>
      </c>
      <c r="BD410" s="10">
        <f>2*AV410</f>
        <v>0.377977774470633</v>
      </c>
      <c r="BE410" s="10">
        <f>AO410*BB410/AP410</f>
        <v>3.225</v>
      </c>
      <c r="BF410" s="10">
        <f>SQRT((AI410*1000/(H410*MIN(U410,AB410)))^2+(Q410*1000000*2*((H410-2*('Parametros'!$B$7+'Parametros'!$B$9/2))+(I410-2*('Parametros'!$B$7+'Parametros'!$B$9/2)))/(1.7*((H410-2*('Parametros'!$B$7+'Parametros'!$B$9/2))*(I410-2*('Parametros'!$B$7+'Parametros'!$B$9/2)))^2))^2)</f>
        <v>2.51158198691787</v>
      </c>
      <c r="BG410" s="10">
        <f>'Parametros'!$B$6*(AJ410*1000/(H410*MIN(U410,AB410))+0.66*SQRT('Parametros'!$B$2))</f>
        <v>3.29396038227542</v>
      </c>
      <c r="BH410" s="10" t="str">
        <f>IF(BF410&lt;=BG410,"CUMPLE","NO CUMPLE")</f>
        <v>CUMPLE</v>
      </c>
      <c r="BI410" s="10">
        <f>AX410*'Parametros'!$B$8</f>
        <v>1592</v>
      </c>
      <c r="BJ410" s="10" t="str">
        <f>IF(BI410&gt;=AW410,"CUMPLE","NO CUMPLE")</f>
        <v>CUMPLE</v>
      </c>
    </row>
    <row r="411">
      <c r="A411" s="25" t="inlineStr">
        <is>
          <t>VR2</t>
        </is>
      </c>
      <c r="B411" s="25" t="inlineStr">
        <is>
          <t>242</t>
        </is>
      </c>
      <c r="C411" s="10" t="n">
        <v>1</v>
      </c>
      <c r="D411" s="10" t="n">
        <v>2</v>
      </c>
      <c r="E411" s="10" t="n">
        <v>2</v>
      </c>
      <c r="F411" s="10" t="n">
        <v>500</v>
      </c>
      <c r="G411" s="10" t="n">
        <v>550</v>
      </c>
      <c r="H411" s="17" t="n">
        <v>500</v>
      </c>
      <c r="I411" s="17" t="n">
        <v>550</v>
      </c>
      <c r="J411" s="30" t="n">
        <v>178.9582</v>
      </c>
      <c r="K411" s="10" t="inlineStr">
        <is>
          <t>242</t>
        </is>
      </c>
      <c r="L411" s="30" t="n">
        <v>133.1027</v>
      </c>
      <c r="M411" s="10" t="inlineStr">
        <is>
          <t>242</t>
        </is>
      </c>
      <c r="N411" s="30" t="n">
        <v>165.664</v>
      </c>
      <c r="O411" s="30" t="n">
        <v>626.4640000000001</v>
      </c>
      <c r="P411" s="10" t="inlineStr">
        <is>
          <t>242</t>
        </is>
      </c>
      <c r="Q411" s="30" t="n">
        <v>43.3127</v>
      </c>
      <c r="R411" s="10">
        <f>MAX(MAX(1.4/'Parametros'!$B$3,0.25*SQRT('Parametros'!$B$2)/'Parametros'!$B$3)*H411*U411,(0.85*'Parametros'!$B$2/'Parametros'!$B$3)*(1-SQRT(1-2*(J411*1000000/('Parametros'!$B$5*H411*U411^2))/(0.85*'Parametros'!$B$2)))*H411*U411)</f>
        <v>1003.81386325219</v>
      </c>
      <c r="S411" s="31" t="n">
        <v>6</v>
      </c>
      <c r="T411" s="32" t="n">
        <v>1</v>
      </c>
      <c r="U411" s="10">
        <f>IF(T411=1,I411-('Parametros'!$B$7+'Parametros'!$B$9+'Parametros'!$B$12/2),I411-(ROUNDUP(S411/2,0)*('Parametros'!$B$7+'Parametros'!$B$9+'Parametros'!$B$12/2)+ROUNDDOWN(S411/2,0)*('Parametros'!$B$7+'Parametros'!$B$9+'Parametros'!$B$12/2+'Parametros'!$B$12+'Parametros'!$B$10))/S411)</f>
        <v>489.35</v>
      </c>
      <c r="V411" s="10">
        <f>S411*'Parametros'!$B$8</f>
        <v>1194</v>
      </c>
      <c r="W411" s="10">
        <f>'Parametros'!$B$5*V411*'Parametros'!$B$3*(U411-(V411*'Parametros'!$B$3/(0.85*'Parametros'!$B$2*H411))/2)/1000000</f>
        <v>211.349483470588</v>
      </c>
      <c r="X411" s="10" t="str">
        <f>IF(W411&gt;=J411,"CUMPLE","NO CUMPLE")</f>
        <v>CUMPLE</v>
      </c>
      <c r="Y411" s="10">
        <f>MAX(MAX(1.4/'Parametros'!$B$3,0.25*SQRT('Parametros'!$B$2)/'Parametros'!$B$3)*H411*AB411,(0.85*'Parametros'!$B$2/'Parametros'!$B$3)*(1-SQRT(1-2*(L411*1000000/('Parametros'!$B$5*H411*AB411^2))/(0.85*'Parametros'!$B$2)))*H411*AB411)</f>
        <v>815.583333333333</v>
      </c>
      <c r="Z411" s="31" t="n">
        <v>5</v>
      </c>
      <c r="AA411" s="32" t="n">
        <v>1</v>
      </c>
      <c r="AB411" s="10">
        <f>IF(AA411=1,I411-('Parametros'!$B$7+'Parametros'!$B$9+'Parametros'!$B$12/2),I411-(ROUNDUP(Z411/2,0)*('Parametros'!$B$7+'Parametros'!$B$9+'Parametros'!$B$12/2)+ROUNDDOWN(Z411/2,0)*('Parametros'!$B$7+'Parametros'!$B$9+'Parametros'!$B$12/2+'Parametros'!$B$12+'Parametros'!$B$10))/Z411)</f>
        <v>489.35</v>
      </c>
      <c r="AC411" s="10">
        <f>Z411*'Parametros'!$B$8</f>
        <v>995</v>
      </c>
      <c r="AD411" s="10">
        <f>'Parametros'!$B$5*AC411*'Parametros'!$B$3*(AB411-(AC411*'Parametros'!$B$3/(0.85*'Parametros'!$B$2*H411))/2)/1000000</f>
        <v>177.445379382353</v>
      </c>
      <c r="AE411" s="10" t="str">
        <f>IF(AD411&gt;=L411,"CUMPLE","NO CUMPLE")</f>
        <v>CUMPLE</v>
      </c>
      <c r="AF411" s="10">
        <f>V411*1.25*'Parametros'!$B$3*(U411-(V411*1.25*'Parametros'!$B$3/(0.85*'Parametros'!$B$2*H411))/2)/1000000</f>
        <v>290.238924705882</v>
      </c>
      <c r="AG411" s="10">
        <f>AC411*1.25*'Parametros'!$B$3*(AB411-(AC411*1.25*'Parametros'!$B$3/(0.85*'Parametros'!$B$2*H411))/2)/1000000</f>
        <v>244.158843198529</v>
      </c>
      <c r="AH411" s="10">
        <f>N411+(AF411+AG411)/D411</f>
        <v>432.862883952206</v>
      </c>
      <c r="AI411" s="10">
        <f>MAX(O411,AH411)</f>
        <v>626.464</v>
      </c>
      <c r="AJ411" s="10">
        <f>0.17*SQRT('Parametros'!$B$2)*H411*MIN(U411,AB411)/1000</f>
        <v>220.098728691808</v>
      </c>
      <c r="AK411" s="10">
        <f>MAX(AI411/'Parametros'!$B$6-AJ411,0)</f>
        <v>615.186604641526</v>
      </c>
      <c r="AL411" s="10">
        <f>0.66*SQRT('Parametros'!$B$2)*H411*MIN(U411,AB411)/1000</f>
        <v>854.500946685842</v>
      </c>
      <c r="AM411" s="10" t="str">
        <f>IF(AK411&lt;=AL411,"CUMPLE","NO CUMPLE")</f>
        <v>CUMPLE</v>
      </c>
      <c r="AN411" s="17" t="inlineStr">
        <is>
          <t>Nº4 cerrado</t>
        </is>
      </c>
      <c r="AO411" s="31" t="n">
        <v>4</v>
      </c>
      <c r="AP411" s="10">
        <f>ROUNDDOWN(MIN(IF(BC411+BD411=0,1000000000,AO411*BB411/(BC411+BD411)),MIN(U411,AB411)/4,8*'Parametros'!$B$12,24*BA411,300,IF(AV411=0,1000000000,2*((H411-2*('Parametros'!$B$7+'Parametros'!$B$9/2))+(I411-2*('Parametros'!$B$7+'Parametros'!$B$9/2)))/8))/10,0)*10</f>
        <v>120</v>
      </c>
      <c r="AQ411" s="10">
        <f>ROUNDDOWN(MIN(IF(BC411+BD411=0,1000000000,AO411*BB411/(BC411+BD411)),IF(AK411&gt;0.33*SQRT('Parametros'!$B$2)*H411*MIN(U411,AB411)/1000,MIN(U411,AB411)/4,MIN(U411,AB411)/2),600,IF(AV411=0,1000000000,2*((H411-2*('Parametros'!$B$7+'Parametros'!$B$9/2))+(I411-2*('Parametros'!$B$7+'Parametros'!$B$9/2)))/8))/10,0)*10</f>
        <v>120</v>
      </c>
      <c r="AR411" s="10">
        <f>'Parametros'!$B$6*(AJ411+MAX(BE411-BD411,0)*'Parametros'!$B$4*MIN(U411,AB411)/1000)</f>
        <v>694.023365976736</v>
      </c>
      <c r="AS411" s="10" t="str">
        <f>IF(AND(ISERROR(SEARCH("referencia",AN411)),AM411="CUMPLE",AR411&gt;=AI411),"CUMPLE","NO CUMPLE")</f>
        <v>CUMPLE</v>
      </c>
      <c r="AT411" s="10">
        <f>'Parametros'!$B$6*0.083*SQRT('Parametros'!$B$2)*(H411*I411)^2/(2*(H411+I411))/1000000</f>
        <v>11.862178757599</v>
      </c>
      <c r="AU411" s="10" t="str">
        <f>IF(Q411&lt;=AT411,"DESPRECIABLE","DISEÑAR")</f>
        <v>DISEÑAR</v>
      </c>
      <c r="AV411" s="10">
        <f>IF(Q411&lt;=AT411,0,Q411*1000000/('Parametros'!$B$6*2*0.85*(H411-2*('Parametros'!$B$7+'Parametros'!$B$9/2))*(I411-2*('Parametros'!$B$7+'Parametros'!$B$9/2))*'Parametros'!$B$4))</f>
        <v>0.43425034356271</v>
      </c>
      <c r="AW411" s="10">
        <f>AV411*2*((H411-2*('Parametros'!$B$7+'Parametros'!$B$9/2))+(I411-2*('Parametros'!$B$7+'Parametros'!$B$9/2)))*'Parametros'!$B$4/'Parametros'!$B$3</f>
        <v>750.905694088638</v>
      </c>
      <c r="AX411" s="31" t="n">
        <v>8</v>
      </c>
      <c r="AY411" s="10" t="str">
        <f>IF(AV411=0,"DESPRECIABLE",IF(AND(ISERROR(SEARCH("referencia",AN411)),BB411/AP411&gt;=AV411,BI411&gt;=AW411,BH411="CUMPLE"),"CUMPLE","NO CUMPLE"))</f>
        <v>CUMPLE</v>
      </c>
      <c r="AZ411" s="10" t="str">
        <f>IF(AND(X411="CUMPLE",AE411="CUMPLE",AS411="CUMPLE",OR(AY411="CUMPLE",AY411="DESPRECIABLE"),BH411="CUMPLE",BJ411="CUMPLE"),"CUMPLE","NO CUMPLE")</f>
        <v>CUMPLE</v>
      </c>
      <c r="BA411" s="32" t="n">
        <v>12.7</v>
      </c>
      <c r="BB411" s="32" t="n">
        <v>129</v>
      </c>
      <c r="BC411" s="10">
        <f>MAX(IF(AK411=0,0,AK411*1000/('Parametros'!$B$4*MIN(U411,AB411))),MAX(0.062*SQRT('Parametros'!$B$2)*H411/'Parametros'!$B$4,0.35*H411/'Parametros'!$B$4))</f>
        <v>2.99321551251916</v>
      </c>
      <c r="BD411" s="10">
        <f>2*AV411</f>
        <v>0.86850068712542</v>
      </c>
      <c r="BE411" s="10">
        <f>AO411*BB411/AP411</f>
        <v>4.3</v>
      </c>
      <c r="BF411" s="10">
        <f>SQRT((AI411*1000/(H411*MIN(U411,AB411)))^2+(Q411*1000000*2*((H411-2*('Parametros'!$B$7+'Parametros'!$B$9/2))+(I411-2*('Parametros'!$B$7+'Parametros'!$B$9/2)))/(1.7*((H411-2*('Parametros'!$B$7+'Parametros'!$B$9/2))*(I411-2*('Parametros'!$B$7+'Parametros'!$B$9/2)))^2))^2)</f>
        <v>2.85802997976469</v>
      </c>
      <c r="BG411" s="10">
        <f>'Parametros'!$B$6*(AJ411*1000/(H411*MIN(U411,AB411))+0.66*SQRT('Parametros'!$B$2))</f>
        <v>3.29396038227542</v>
      </c>
      <c r="BH411" s="10" t="str">
        <f>IF(BF411&lt;=BG411,"CUMPLE","NO CUMPLE")</f>
        <v>CUMPLE</v>
      </c>
      <c r="BI411" s="10">
        <f>AX411*'Parametros'!$B$8</f>
        <v>1592</v>
      </c>
      <c r="BJ411" s="10" t="str">
        <f>IF(BI411&gt;=AW411,"CUMPLE","NO CUMPLE")</f>
        <v>CUMPLE</v>
      </c>
    </row>
    <row r="412">
      <c r="A412" s="25" t="inlineStr">
        <is>
          <t>VR2</t>
        </is>
      </c>
      <c r="B412" s="25" t="inlineStr">
        <is>
          <t>243</t>
        </is>
      </c>
      <c r="C412" s="10" t="n">
        <v>1</v>
      </c>
      <c r="D412" s="10" t="n">
        <v>3.05308</v>
      </c>
      <c r="E412" s="10" t="n">
        <v>3.05308</v>
      </c>
      <c r="F412" s="10" t="n">
        <v>500</v>
      </c>
      <c r="G412" s="10" t="n">
        <v>550</v>
      </c>
      <c r="H412" s="17" t="n">
        <v>500</v>
      </c>
      <c r="I412" s="17" t="n">
        <v>550</v>
      </c>
      <c r="J412" s="30" t="n">
        <v>181.4265</v>
      </c>
      <c r="K412" s="10" t="inlineStr">
        <is>
          <t>243</t>
        </is>
      </c>
      <c r="L412" s="30" t="n">
        <v>118.987</v>
      </c>
      <c r="M412" s="10" t="inlineStr">
        <is>
          <t>243</t>
        </is>
      </c>
      <c r="N412" s="30" t="n">
        <v>137.236</v>
      </c>
      <c r="O412" s="30" t="n">
        <v>412.034</v>
      </c>
      <c r="P412" s="10" t="inlineStr">
        <is>
          <t>243</t>
        </is>
      </c>
      <c r="Q412" s="30" t="n">
        <v>50.068</v>
      </c>
      <c r="R412" s="10">
        <f>MAX(MAX(1.4/'Parametros'!$B$3,0.25*SQRT('Parametros'!$B$2)/'Parametros'!$B$3)*H412*U412,(0.85*'Parametros'!$B$2/'Parametros'!$B$3)*(1-SQRT(1-2*(J412*1000000/('Parametros'!$B$5*H412*U412^2))/(0.85*'Parametros'!$B$2)))*H412*U412)</f>
        <v>1018.20743888639</v>
      </c>
      <c r="S412" s="31" t="n">
        <v>6</v>
      </c>
      <c r="T412" s="32" t="n">
        <v>1</v>
      </c>
      <c r="U412" s="10">
        <f>IF(T412=1,I412-('Parametros'!$B$7+'Parametros'!$B$9+'Parametros'!$B$12/2),I412-(ROUNDUP(S412/2,0)*('Parametros'!$B$7+'Parametros'!$B$9+'Parametros'!$B$12/2)+ROUNDDOWN(S412/2,0)*('Parametros'!$B$7+'Parametros'!$B$9+'Parametros'!$B$12/2+'Parametros'!$B$12+'Parametros'!$B$10))/S412)</f>
        <v>489.35</v>
      </c>
      <c r="V412" s="10">
        <f>S412*'Parametros'!$B$8</f>
        <v>1194</v>
      </c>
      <c r="W412" s="10">
        <f>'Parametros'!$B$5*V412*'Parametros'!$B$3*(U412-(V412*'Parametros'!$B$3/(0.85*'Parametros'!$B$2*H412))/2)/1000000</f>
        <v>211.349483470588</v>
      </c>
      <c r="X412" s="10" t="str">
        <f>IF(W412&gt;=J412,"CUMPLE","NO CUMPLE")</f>
        <v>CUMPLE</v>
      </c>
      <c r="Y412" s="10">
        <f>MAX(MAX(1.4/'Parametros'!$B$3,0.25*SQRT('Parametros'!$B$2)/'Parametros'!$B$3)*H412*AB412,(0.85*'Parametros'!$B$2/'Parametros'!$B$3)*(1-SQRT(1-2*(L412*1000000/('Parametros'!$B$5*H412*AB412^2))/(0.85*'Parametros'!$B$2)))*H412*AB412)</f>
        <v>815.583333333333</v>
      </c>
      <c r="Z412" s="31" t="n">
        <v>5</v>
      </c>
      <c r="AA412" s="32" t="n">
        <v>1</v>
      </c>
      <c r="AB412" s="10">
        <f>IF(AA412=1,I412-('Parametros'!$B$7+'Parametros'!$B$9+'Parametros'!$B$12/2),I412-(ROUNDUP(Z412/2,0)*('Parametros'!$B$7+'Parametros'!$B$9+'Parametros'!$B$12/2)+ROUNDDOWN(Z412/2,0)*('Parametros'!$B$7+'Parametros'!$B$9+'Parametros'!$B$12/2+'Parametros'!$B$12+'Parametros'!$B$10))/Z412)</f>
        <v>489.35</v>
      </c>
      <c r="AC412" s="10">
        <f>Z412*'Parametros'!$B$8</f>
        <v>995</v>
      </c>
      <c r="AD412" s="10">
        <f>'Parametros'!$B$5*AC412*'Parametros'!$B$3*(AB412-(AC412*'Parametros'!$B$3/(0.85*'Parametros'!$B$2*H412))/2)/1000000</f>
        <v>177.445379382353</v>
      </c>
      <c r="AE412" s="10" t="str">
        <f>IF(AD412&gt;=L412,"CUMPLE","NO CUMPLE")</f>
        <v>CUMPLE</v>
      </c>
      <c r="AF412" s="10">
        <f>V412*1.25*'Parametros'!$B$3*(U412-(V412*1.25*'Parametros'!$B$3/(0.85*'Parametros'!$B$2*H412))/2)/1000000</f>
        <v>290.238924705882</v>
      </c>
      <c r="AG412" s="10">
        <f>AC412*1.25*'Parametros'!$B$3*(AB412-(AC412*1.25*'Parametros'!$B$3/(0.85*'Parametros'!$B$2*H412))/2)/1000000</f>
        <v>244.158843198529</v>
      </c>
      <c r="AH412" s="10">
        <f>N412+(AF412+AG412)/D412</f>
        <v>312.271625631956</v>
      </c>
      <c r="AI412" s="10">
        <f>MAX(O412,AH412)</f>
        <v>412.034</v>
      </c>
      <c r="AJ412" s="10">
        <f>0.17*SQRT('Parametros'!$B$2)*H412*MIN(U412,AB412)/1000</f>
        <v>220.098728691808</v>
      </c>
      <c r="AK412" s="10">
        <f>MAX(AI412/'Parametros'!$B$6-AJ412,0)</f>
        <v>329.279937974859</v>
      </c>
      <c r="AL412" s="10">
        <f>0.66*SQRT('Parametros'!$B$2)*H412*MIN(U412,AB412)/1000</f>
        <v>854.500946685842</v>
      </c>
      <c r="AM412" s="10" t="str">
        <f>IF(AK412&lt;=AL412,"CUMPLE","NO CUMPLE")</f>
        <v>CUMPLE</v>
      </c>
      <c r="AN412" s="17" t="inlineStr">
        <is>
          <t>Nº4 cerrado</t>
        </is>
      </c>
      <c r="AO412" s="31" t="n">
        <v>2</v>
      </c>
      <c r="AP412" s="10">
        <f>ROUNDDOWN(MIN(IF(BC412+BD412=0,1000000000,AO412*BB412/(BC412+BD412)),MIN(U412,AB412)/4,8*'Parametros'!$B$12,24*BA412,300,IF(AV412=0,1000000000,2*((H412-2*('Parametros'!$B$7+'Parametros'!$B$9/2))+(I412-2*('Parametros'!$B$7+'Parametros'!$B$9/2)))/8))/10,0)*10</f>
        <v>90</v>
      </c>
      <c r="AQ412" s="10">
        <f>ROUNDDOWN(MIN(IF(BC412+BD412=0,1000000000,AO412*BB412/(BC412+BD412)),IF(AK412&gt;0.33*SQRT('Parametros'!$B$2)*H412*MIN(U412,AB412)/1000,MIN(U412,AB412)/4,MIN(U412,AB412)/2),600,IF(AV412=0,1000000000,2*((H412-2*('Parametros'!$B$7+'Parametros'!$B$9/2))+(I412-2*('Parametros'!$B$7+'Parametros'!$B$9/2)))/8))/10,0)*10</f>
        <v>90</v>
      </c>
      <c r="AR412" s="10">
        <f>'Parametros'!$B$6*(AJ412+MAX(BE412-BD412,0)*'Parametros'!$B$4*MIN(U412,AB412)/1000)</f>
        <v>452.201879354309</v>
      </c>
      <c r="AS412" s="10" t="str">
        <f>IF(AND(ISERROR(SEARCH("referencia",AN412)),AM412="CUMPLE",AR412&gt;=AI412),"CUMPLE","NO CUMPLE")</f>
        <v>CUMPLE</v>
      </c>
      <c r="AT412" s="10">
        <f>'Parametros'!$B$6*0.083*SQRT('Parametros'!$B$2)*(H412*I412)^2/(2*(H412+I412))/1000000</f>
        <v>11.862178757599</v>
      </c>
      <c r="AU412" s="10" t="str">
        <f>IF(Q412&lt;=AT412,"DESPRECIABLE","DISEÑAR")</f>
        <v>DISEÑAR</v>
      </c>
      <c r="AV412" s="10">
        <f>IF(Q412&lt;=AT412,0,Q412*1000000/('Parametros'!$B$6*2*0.85*(H412-2*('Parametros'!$B$7+'Parametros'!$B$9/2))*(I412-2*('Parametros'!$B$7+'Parametros'!$B$9/2))*'Parametros'!$B$4))</f>
        <v>0.50197854674259</v>
      </c>
      <c r="AW412" s="10">
        <f>AV412*2*((H412-2*('Parametros'!$B$7+'Parametros'!$B$9/2))+(I412-2*('Parametros'!$B$7+'Parametros'!$B$9/2)))*'Parametros'!$B$4/'Parametros'!$B$3</f>
        <v>868.021303027286</v>
      </c>
      <c r="AX412" s="31" t="n">
        <v>8</v>
      </c>
      <c r="AY412" s="10" t="str">
        <f>IF(AV412=0,"DESPRECIABLE",IF(AND(ISERROR(SEARCH("referencia",AN412)),BB412/AP412&gt;=AV412,BI412&gt;=AW412,BH412="CUMPLE"),"CUMPLE","NO CUMPLE"))</f>
        <v>CUMPLE</v>
      </c>
      <c r="AZ412" s="10" t="str">
        <f>IF(AND(X412="CUMPLE",AE412="CUMPLE",AS412="CUMPLE",OR(AY412="CUMPLE",AY412="DESPRECIABLE"),BH412="CUMPLE",BJ412="CUMPLE"),"CUMPLE","NO CUMPLE")</f>
        <v>CUMPLE</v>
      </c>
      <c r="BA412" s="32" t="n">
        <v>12.7</v>
      </c>
      <c r="BB412" s="32" t="n">
        <v>129</v>
      </c>
      <c r="BC412" s="10">
        <f>MAX(IF(AK412=0,0,AK412*1000/('Parametros'!$B$4*MIN(U412,AB412))),MAX(0.062*SQRT('Parametros'!$B$2)*H412/'Parametros'!$B$4,0.35*H412/'Parametros'!$B$4))</f>
        <v>1.60212496642708</v>
      </c>
      <c r="BD412" s="10">
        <f>2*AV412</f>
        <v>1.00395709348518</v>
      </c>
      <c r="BE412" s="10">
        <f>AO412*BB412/AP412</f>
        <v>2.86666666666667</v>
      </c>
      <c r="BF412" s="10">
        <f>SQRT((AI412*1000/(H412*MIN(U412,AB412)))^2+(Q412*1000000*2*((H412-2*('Parametros'!$B$7+'Parametros'!$B$9/2))+(I412-2*('Parametros'!$B$7+'Parametros'!$B$9/2)))/(1.7*((H412-2*('Parametros'!$B$7+'Parametros'!$B$9/2))*(I412-2*('Parametros'!$B$7+'Parametros'!$B$9/2)))^2))^2)</f>
        <v>2.23403013752059</v>
      </c>
      <c r="BG412" s="10">
        <f>'Parametros'!$B$6*(AJ412*1000/(H412*MIN(U412,AB412))+0.66*SQRT('Parametros'!$B$2))</f>
        <v>3.29396038227542</v>
      </c>
      <c r="BH412" s="10" t="str">
        <f>IF(BF412&lt;=BG412,"CUMPLE","NO CUMPLE")</f>
        <v>CUMPLE</v>
      </c>
      <c r="BI412" s="10">
        <f>AX412*'Parametros'!$B$8</f>
        <v>1592</v>
      </c>
      <c r="BJ412" s="10" t="str">
        <f>IF(BI412&gt;=AW412,"CUMPLE","NO CUMPLE")</f>
        <v>CUMPLE</v>
      </c>
    </row>
    <row r="413">
      <c r="A413" s="25" t="inlineStr">
        <is>
          <t>VR2</t>
        </is>
      </c>
      <c r="B413" s="25" t="inlineStr">
        <is>
          <t>244</t>
        </is>
      </c>
      <c r="C413" s="10" t="n">
        <v>1</v>
      </c>
      <c r="D413" s="10" t="n">
        <v>2</v>
      </c>
      <c r="E413" s="10" t="n">
        <v>2</v>
      </c>
      <c r="F413" s="10" t="n">
        <v>500</v>
      </c>
      <c r="G413" s="10" t="n">
        <v>550</v>
      </c>
      <c r="H413" s="17" t="n">
        <v>500</v>
      </c>
      <c r="I413" s="17" t="n">
        <v>550</v>
      </c>
      <c r="J413" s="30" t="n">
        <v>196.4607</v>
      </c>
      <c r="K413" s="10" t="inlineStr">
        <is>
          <t>244</t>
        </is>
      </c>
      <c r="L413" s="30" t="n">
        <v>131.1015</v>
      </c>
      <c r="M413" s="10" t="inlineStr">
        <is>
          <t>244</t>
        </is>
      </c>
      <c r="N413" s="30" t="n">
        <v>163.755</v>
      </c>
      <c r="O413" s="30" t="n">
        <v>611.707</v>
      </c>
      <c r="P413" s="10" t="inlineStr">
        <is>
          <t>244</t>
        </is>
      </c>
      <c r="Q413" s="30" t="n">
        <v>7.8677</v>
      </c>
      <c r="R413" s="10">
        <f>MAX(MAX(1.4/'Parametros'!$B$3,0.25*SQRT('Parametros'!$B$2)/'Parametros'!$B$3)*H413*U413,(0.85*'Parametros'!$B$2/'Parametros'!$B$3)*(1-SQRT(1-2*(J413*1000000/('Parametros'!$B$5*H413*U413^2))/(0.85*'Parametros'!$B$2)))*H413*U413)</f>
        <v>1106.22810747961</v>
      </c>
      <c r="S413" s="31" t="n">
        <v>6</v>
      </c>
      <c r="T413" s="32" t="n">
        <v>1</v>
      </c>
      <c r="U413" s="10">
        <f>IF(T413=1,I413-('Parametros'!$B$7+'Parametros'!$B$9+'Parametros'!$B$12/2),I413-(ROUNDUP(S413/2,0)*('Parametros'!$B$7+'Parametros'!$B$9+'Parametros'!$B$12/2)+ROUNDDOWN(S413/2,0)*('Parametros'!$B$7+'Parametros'!$B$9+'Parametros'!$B$12/2+'Parametros'!$B$12+'Parametros'!$B$10))/S413)</f>
        <v>489.35</v>
      </c>
      <c r="V413" s="10">
        <f>S413*'Parametros'!$B$8</f>
        <v>1194</v>
      </c>
      <c r="W413" s="10">
        <f>'Parametros'!$B$5*V413*'Parametros'!$B$3*(U413-(V413*'Parametros'!$B$3/(0.85*'Parametros'!$B$2*H413))/2)/1000000</f>
        <v>211.349483470588</v>
      </c>
      <c r="X413" s="10" t="str">
        <f>IF(W413&gt;=J413,"CUMPLE","NO CUMPLE")</f>
        <v>CUMPLE</v>
      </c>
      <c r="Y413" s="10">
        <f>MAX(MAX(1.4/'Parametros'!$B$3,0.25*SQRT('Parametros'!$B$2)/'Parametros'!$B$3)*H413*AB413,(0.85*'Parametros'!$B$2/'Parametros'!$B$3)*(1-SQRT(1-2*(L413*1000000/('Parametros'!$B$5*H413*AB413^2))/(0.85*'Parametros'!$B$2)))*H413*AB413)</f>
        <v>815.583333333333</v>
      </c>
      <c r="Z413" s="31" t="n">
        <v>5</v>
      </c>
      <c r="AA413" s="32" t="n">
        <v>1</v>
      </c>
      <c r="AB413" s="10">
        <f>IF(AA413=1,I413-('Parametros'!$B$7+'Parametros'!$B$9+'Parametros'!$B$12/2),I413-(ROUNDUP(Z413/2,0)*('Parametros'!$B$7+'Parametros'!$B$9+'Parametros'!$B$12/2)+ROUNDDOWN(Z413/2,0)*('Parametros'!$B$7+'Parametros'!$B$9+'Parametros'!$B$12/2+'Parametros'!$B$12+'Parametros'!$B$10))/Z413)</f>
        <v>489.35</v>
      </c>
      <c r="AC413" s="10">
        <f>Z413*'Parametros'!$B$8</f>
        <v>995</v>
      </c>
      <c r="AD413" s="10">
        <f>'Parametros'!$B$5*AC413*'Parametros'!$B$3*(AB413-(AC413*'Parametros'!$B$3/(0.85*'Parametros'!$B$2*H413))/2)/1000000</f>
        <v>177.445379382353</v>
      </c>
      <c r="AE413" s="10" t="str">
        <f>IF(AD413&gt;=L413,"CUMPLE","NO CUMPLE")</f>
        <v>CUMPLE</v>
      </c>
      <c r="AF413" s="10">
        <f>V413*1.25*'Parametros'!$B$3*(U413-(V413*1.25*'Parametros'!$B$3/(0.85*'Parametros'!$B$2*H413))/2)/1000000</f>
        <v>290.238924705882</v>
      </c>
      <c r="AG413" s="10">
        <f>AC413*1.25*'Parametros'!$B$3*(AB413-(AC413*1.25*'Parametros'!$B$3/(0.85*'Parametros'!$B$2*H413))/2)/1000000</f>
        <v>244.158843198529</v>
      </c>
      <c r="AH413" s="10">
        <f>N413+(AF413+AG413)/D413</f>
        <v>430.953883952206</v>
      </c>
      <c r="AI413" s="10">
        <f>MAX(O413,AH413)</f>
        <v>611.707</v>
      </c>
      <c r="AJ413" s="10">
        <f>0.17*SQRT('Parametros'!$B$2)*H413*MIN(U413,AB413)/1000</f>
        <v>220.098728691808</v>
      </c>
      <c r="AK413" s="10">
        <f>MAX(AI413/'Parametros'!$B$6-AJ413,0)</f>
        <v>595.510604641526</v>
      </c>
      <c r="AL413" s="10">
        <f>0.66*SQRT('Parametros'!$B$2)*H413*MIN(U413,AB413)/1000</f>
        <v>854.500946685842</v>
      </c>
      <c r="AM413" s="10" t="str">
        <f>IF(AK413&lt;=AL413,"CUMPLE","NO CUMPLE")</f>
        <v>CUMPLE</v>
      </c>
      <c r="AN413" s="17" t="inlineStr">
        <is>
          <t>Nº4 cerrado</t>
        </is>
      </c>
      <c r="AO413" s="31" t="n">
        <v>2</v>
      </c>
      <c r="AP413" s="10">
        <f>ROUNDDOWN(MIN(IF(BC413+BD413=0,1000000000,AO413*BB413/(BC413+BD413)),MIN(U413,AB413)/4,8*'Parametros'!$B$12,24*BA413,300,IF(AV413=0,1000000000,2*((H413-2*('Parametros'!$B$7+'Parametros'!$B$9/2))+(I413-2*('Parametros'!$B$7+'Parametros'!$B$9/2)))/8))/10,0)*10</f>
        <v>80</v>
      </c>
      <c r="AQ413" s="10">
        <f>ROUNDDOWN(MIN(IF(BC413+BD413=0,1000000000,AO413*BB413/(BC413+BD413)),IF(AK413&gt;0.33*SQRT('Parametros'!$B$2)*H413*MIN(U413,AB413)/1000,MIN(U413,AB413)/4,MIN(U413,AB413)/2),600,IF(AV413=0,1000000000,2*((H413-2*('Parametros'!$B$7+'Parametros'!$B$9/2))+(I413-2*('Parametros'!$B$7+'Parametros'!$B$9/2)))/8))/10,0)*10</f>
        <v>80</v>
      </c>
      <c r="AR413" s="10">
        <f>'Parametros'!$B$6*(AJ413+MAX(BE413-BD413,0)*'Parametros'!$B$4*MIN(U413,AB413)/1000)</f>
        <v>662.192477768856</v>
      </c>
      <c r="AS413" s="10" t="str">
        <f>IF(AND(ISERROR(SEARCH("referencia",AN413)),AM413="CUMPLE",AR413&gt;=AI413),"CUMPLE","NO CUMPLE")</f>
        <v>CUMPLE</v>
      </c>
      <c r="AT413" s="10">
        <f>'Parametros'!$B$6*0.083*SQRT('Parametros'!$B$2)*(H413*I413)^2/(2*(H413+I413))/1000000</f>
        <v>11.862178757599</v>
      </c>
      <c r="AU413" s="10" t="str">
        <f>IF(Q413&lt;=AT413,"DESPRECIABLE","DISEÑAR")</f>
        <v>DESPRECIABLE</v>
      </c>
      <c r="AV413" s="10">
        <f>IF(Q413&lt;=AT413,0,Q413*1000000/('Parametros'!$B$6*2*0.85*(H413-2*('Parametros'!$B$7+'Parametros'!$B$9/2))*(I413-2*('Parametros'!$B$7+'Parametros'!$B$9/2))*'Parametros'!$B$4))</f>
        <v>0</v>
      </c>
      <c r="AW413" s="10">
        <f>AV413*2*((H413-2*('Parametros'!$B$7+'Parametros'!$B$9/2))+(I413-2*('Parametros'!$B$7+'Parametros'!$B$9/2)))*'Parametros'!$B$4/'Parametros'!$B$3</f>
        <v>0</v>
      </c>
      <c r="AX413" s="31" t="n">
        <v>0</v>
      </c>
      <c r="AY413" s="10" t="str">
        <f>IF(AV413=0,"DESPRECIABLE",IF(AND(ISERROR(SEARCH("referencia",AN413)),BB413/AP413&gt;=AV413,BI413&gt;=AW413,BH413="CUMPLE"),"CUMPLE","NO CUMPLE"))</f>
        <v>DESPRECIABLE</v>
      </c>
      <c r="AZ413" s="10" t="str">
        <f>IF(AND(X413="CUMPLE",AE413="CUMPLE",AS413="CUMPLE",OR(AY413="CUMPLE",AY413="DESPRECIABLE"),BH413="CUMPLE",BJ413="CUMPLE"),"CUMPLE","NO CUMPLE")</f>
        <v>CUMPLE</v>
      </c>
      <c r="BA413" s="32" t="n">
        <v>12.7</v>
      </c>
      <c r="BB413" s="32" t="n">
        <v>129</v>
      </c>
      <c r="BC413" s="10">
        <f>MAX(IF(AK413=0,0,AK413*1000/('Parametros'!$B$4*MIN(U413,AB413))),MAX(0.062*SQRT('Parametros'!$B$2)*H413/'Parametros'!$B$4,0.35*H413/'Parametros'!$B$4))</f>
        <v>2.89748113212145</v>
      </c>
      <c r="BD413" s="10">
        <f>2*AV413</f>
        <v>0</v>
      </c>
      <c r="BE413" s="10">
        <f>AO413*BB413/AP413</f>
        <v>3.225</v>
      </c>
      <c r="BF413" s="10">
        <f>SQRT((AI413*1000/(H413*MIN(U413,AB413)))^2+(Q413*1000000*2*((H413-2*('Parametros'!$B$7+'Parametros'!$B$9/2))+(I413-2*('Parametros'!$B$7+'Parametros'!$B$9/2)))/(1.7*((H413-2*('Parametros'!$B$7+'Parametros'!$B$9/2))*(I413-2*('Parametros'!$B$7+'Parametros'!$B$9/2)))^2))^2)</f>
        <v>2.51069959870184</v>
      </c>
      <c r="BG413" s="10">
        <f>'Parametros'!$B$6*(AJ413*1000/(H413*MIN(U413,AB413))+0.66*SQRT('Parametros'!$B$2))</f>
        <v>3.29396038227542</v>
      </c>
      <c r="BH413" s="10" t="str">
        <f>IF(BF413&lt;=BG413,"CUMPLE","NO CUMPLE")</f>
        <v>CUMPLE</v>
      </c>
      <c r="BI413" s="10">
        <f>AX413*'Parametros'!$B$8</f>
        <v>0</v>
      </c>
      <c r="BJ413" s="10" t="str">
        <f>IF(BI413&gt;=AW413,"CUMPLE","NO CUMPLE")</f>
        <v>CUMPLE</v>
      </c>
    </row>
    <row r="414">
      <c r="A414" s="25" t="inlineStr">
        <is>
          <t>VR2</t>
        </is>
      </c>
      <c r="B414" s="25" t="inlineStr">
        <is>
          <t>769</t>
        </is>
      </c>
      <c r="C414" s="10" t="n">
        <v>1</v>
      </c>
      <c r="D414" s="10" t="n">
        <v>2</v>
      </c>
      <c r="E414" s="10" t="n">
        <v>2</v>
      </c>
      <c r="F414" s="10" t="n">
        <v>500</v>
      </c>
      <c r="G414" s="10" t="n">
        <v>550</v>
      </c>
      <c r="H414" s="17" t="n">
        <v>500</v>
      </c>
      <c r="I414" s="17" t="n">
        <v>550</v>
      </c>
      <c r="J414" s="30" t="n">
        <v>156.6014</v>
      </c>
      <c r="K414" s="10" t="inlineStr">
        <is>
          <t>769</t>
        </is>
      </c>
      <c r="L414" s="30" t="n">
        <v>91.1015</v>
      </c>
      <c r="M414" s="10" t="inlineStr">
        <is>
          <t>769</t>
        </is>
      </c>
      <c r="N414" s="30" t="n">
        <v>134.111</v>
      </c>
      <c r="O414" s="30" t="n">
        <v>450.263</v>
      </c>
      <c r="P414" s="10" t="inlineStr">
        <is>
          <t>769</t>
        </is>
      </c>
      <c r="Q414" s="30" t="n">
        <v>6.2533</v>
      </c>
      <c r="R414" s="10">
        <f>MAX(MAX(1.4/'Parametros'!$B$3,0.25*SQRT('Parametros'!$B$2)/'Parametros'!$B$3)*H414*U414,(0.85*'Parametros'!$B$2/'Parametros'!$B$3)*(1-SQRT(1-2*(J414*1000000/('Parametros'!$B$5*H414*U414^2))/(0.85*'Parametros'!$B$2)))*H414*U414)</f>
        <v>874.169427924877</v>
      </c>
      <c r="S414" s="31" t="n">
        <v>5</v>
      </c>
      <c r="T414" s="32" t="n">
        <v>1</v>
      </c>
      <c r="U414" s="10">
        <f>IF(T414=1,I414-('Parametros'!$B$7+'Parametros'!$B$9+'Parametros'!$B$12/2),I414-(ROUNDUP(S414/2,0)*('Parametros'!$B$7+'Parametros'!$B$9+'Parametros'!$B$12/2)+ROUNDDOWN(S414/2,0)*('Parametros'!$B$7+'Parametros'!$B$9+'Parametros'!$B$12/2+'Parametros'!$B$12+'Parametros'!$B$10))/S414)</f>
        <v>489.35</v>
      </c>
      <c r="V414" s="10">
        <f>S414*'Parametros'!$B$8</f>
        <v>995</v>
      </c>
      <c r="W414" s="10">
        <f>'Parametros'!$B$5*V414*'Parametros'!$B$3*(U414-(V414*'Parametros'!$B$3/(0.85*'Parametros'!$B$2*H414))/2)/1000000</f>
        <v>177.445379382353</v>
      </c>
      <c r="X414" s="10" t="str">
        <f>IF(W414&gt;=J414,"CUMPLE","NO CUMPLE")</f>
        <v>CUMPLE</v>
      </c>
      <c r="Y414" s="10">
        <f>MAX(MAX(1.4/'Parametros'!$B$3,0.25*SQRT('Parametros'!$B$2)/'Parametros'!$B$3)*H414*AB414,(0.85*'Parametros'!$B$2/'Parametros'!$B$3)*(1-SQRT(1-2*(L414*1000000/('Parametros'!$B$5*H414*AB414^2))/(0.85*'Parametros'!$B$2)))*H414*AB414)</f>
        <v>815.583333333333</v>
      </c>
      <c r="Z414" s="31" t="n">
        <v>5</v>
      </c>
      <c r="AA414" s="32" t="n">
        <v>1</v>
      </c>
      <c r="AB414" s="10">
        <f>IF(AA414=1,I414-('Parametros'!$B$7+'Parametros'!$B$9+'Parametros'!$B$12/2),I414-(ROUNDUP(Z414/2,0)*('Parametros'!$B$7+'Parametros'!$B$9+'Parametros'!$B$12/2)+ROUNDDOWN(Z414/2,0)*('Parametros'!$B$7+'Parametros'!$B$9+'Parametros'!$B$12/2+'Parametros'!$B$12+'Parametros'!$B$10))/Z414)</f>
        <v>489.35</v>
      </c>
      <c r="AC414" s="10">
        <f>Z414*'Parametros'!$B$8</f>
        <v>995</v>
      </c>
      <c r="AD414" s="10">
        <f>'Parametros'!$B$5*AC414*'Parametros'!$B$3*(AB414-(AC414*'Parametros'!$B$3/(0.85*'Parametros'!$B$2*H414))/2)/1000000</f>
        <v>177.445379382353</v>
      </c>
      <c r="AE414" s="10" t="str">
        <f>IF(AD414&gt;=L414,"CUMPLE","NO CUMPLE")</f>
        <v>CUMPLE</v>
      </c>
      <c r="AF414" s="10">
        <f>V414*1.25*'Parametros'!$B$3*(U414-(V414*1.25*'Parametros'!$B$3/(0.85*'Parametros'!$B$2*H414))/2)/1000000</f>
        <v>244.158843198529</v>
      </c>
      <c r="AG414" s="10">
        <f>AC414*1.25*'Parametros'!$B$3*(AB414-(AC414*1.25*'Parametros'!$B$3/(0.85*'Parametros'!$B$2*H414))/2)/1000000</f>
        <v>244.158843198529</v>
      </c>
      <c r="AH414" s="10">
        <f>N414+(AF414+AG414)/D414</f>
        <v>378.269843198529</v>
      </c>
      <c r="AI414" s="10">
        <f>MAX(O414,AH414)</f>
        <v>450.263</v>
      </c>
      <c r="AJ414" s="10">
        <f>0.17*SQRT('Parametros'!$B$2)*H414*MIN(U414,AB414)/1000</f>
        <v>220.098728691808</v>
      </c>
      <c r="AK414" s="10">
        <f>MAX(AI414/'Parametros'!$B$6-AJ414,0)</f>
        <v>380.251937974859</v>
      </c>
      <c r="AL414" s="10">
        <f>0.66*SQRT('Parametros'!$B$2)*H414*MIN(U414,AB414)/1000</f>
        <v>854.500946685842</v>
      </c>
      <c r="AM414" s="10" t="str">
        <f>IF(AK414&lt;=AL414,"CUMPLE","NO CUMPLE")</f>
        <v>CUMPLE</v>
      </c>
      <c r="AN414" s="17" t="inlineStr">
        <is>
          <t>Nº4 cerrado</t>
        </is>
      </c>
      <c r="AO414" s="31" t="n">
        <v>2</v>
      </c>
      <c r="AP414" s="10">
        <f>ROUNDDOWN(MIN(IF(BC414+BD414=0,1000000000,AO414*BB414/(BC414+BD414)),MIN(U414,AB414)/4,8*'Parametros'!$B$12,24*BA414,300,IF(AV414=0,1000000000,2*((H414-2*('Parametros'!$B$7+'Parametros'!$B$9/2))+(I414-2*('Parametros'!$B$7+'Parametros'!$B$9/2)))/8))/10,0)*10</f>
        <v>120</v>
      </c>
      <c r="AQ414" s="10">
        <f>ROUNDDOWN(MIN(IF(BC414+BD414=0,1000000000,AO414*BB414/(BC414+BD414)),IF(AK414&gt;0.33*SQRT('Parametros'!$B$2)*H414*MIN(U414,AB414)/1000,MIN(U414,AB414)/4,MIN(U414,AB414)/2),600,IF(AV414=0,1000000000,2*((H414-2*('Parametros'!$B$7+'Parametros'!$B$9/2))+(I414-2*('Parametros'!$B$7+'Parametros'!$B$9/2)))/8))/10,0)*10</f>
        <v>130</v>
      </c>
      <c r="AR414" s="10">
        <f>'Parametros'!$B$6*(AJ414+MAX(BE414-BD414,0)*'Parametros'!$B$4*MIN(U414,AB414)/1000)</f>
        <v>496.486334018856</v>
      </c>
      <c r="AS414" s="10" t="str">
        <f>IF(AND(ISERROR(SEARCH("referencia",AN414)),AM414="CUMPLE",AR414&gt;=AI414),"CUMPLE","NO CUMPLE")</f>
        <v>CUMPLE</v>
      </c>
      <c r="AT414" s="10">
        <f>'Parametros'!$B$6*0.083*SQRT('Parametros'!$B$2)*(H414*I414)^2/(2*(H414+I414))/1000000</f>
        <v>11.862178757599</v>
      </c>
      <c r="AU414" s="10" t="str">
        <f>IF(Q414&lt;=AT414,"DESPRECIABLE","DISEÑAR")</f>
        <v>DESPRECIABLE</v>
      </c>
      <c r="AV414" s="10">
        <f>IF(Q414&lt;=AT414,0,Q414*1000000/('Parametros'!$B$6*2*0.85*(H414-2*('Parametros'!$B$7+'Parametros'!$B$9/2))*(I414-2*('Parametros'!$B$7+'Parametros'!$B$9/2))*'Parametros'!$B$4))</f>
        <v>0</v>
      </c>
      <c r="AW414" s="10">
        <f>AV414*2*((H414-2*('Parametros'!$B$7+'Parametros'!$B$9/2))+(I414-2*('Parametros'!$B$7+'Parametros'!$B$9/2)))*'Parametros'!$B$4/'Parametros'!$B$3</f>
        <v>0</v>
      </c>
      <c r="AX414" s="31" t="n">
        <v>0</v>
      </c>
      <c r="AY414" s="10" t="str">
        <f>IF(AV414=0,"DESPRECIABLE",IF(AND(ISERROR(SEARCH("referencia",AN414)),BB414/AP414&gt;=AV414,BI414&gt;=AW414,BH414="CUMPLE"),"CUMPLE","NO CUMPLE"))</f>
        <v>DESPRECIABLE</v>
      </c>
      <c r="AZ414" s="10" t="str">
        <f>IF(AND(X414="CUMPLE",AE414="CUMPLE",AS414="CUMPLE",OR(AY414="CUMPLE",AY414="DESPRECIABLE"),BH414="CUMPLE",BJ414="CUMPLE"),"CUMPLE","NO CUMPLE")</f>
        <v>CUMPLE</v>
      </c>
      <c r="BA414" s="32" t="n">
        <v>12.7</v>
      </c>
      <c r="BB414" s="32" t="n">
        <v>129</v>
      </c>
      <c r="BC414" s="10">
        <f>MAX(IF(AK414=0,0,AK414*1000/('Parametros'!$B$4*MIN(U414,AB414))),MAX(0.062*SQRT('Parametros'!$B$2)*H414/'Parametros'!$B$4,0.35*H414/'Parametros'!$B$4))</f>
        <v>1.85013131109226</v>
      </c>
      <c r="BD414" s="10">
        <f>2*AV414</f>
        <v>0</v>
      </c>
      <c r="BE414" s="10">
        <f>AO414*BB414/AP414</f>
        <v>2.15</v>
      </c>
      <c r="BF414" s="10">
        <f>SQRT((AI414*1000/(H414*MIN(U414,AB414)))^2+(Q414*1000000*2*((H414-2*('Parametros'!$B$7+'Parametros'!$B$9/2))+(I414-2*('Parametros'!$B$7+'Parametros'!$B$9/2)))/(1.7*((H414-2*('Parametros'!$B$7+'Parametros'!$B$9/2))*(I414-2*('Parametros'!$B$7+'Parametros'!$B$9/2)))^2))^2)</f>
        <v>1.84936035695758</v>
      </c>
      <c r="BG414" s="10">
        <f>'Parametros'!$B$6*(AJ414*1000/(H414*MIN(U414,AB414))+0.66*SQRT('Parametros'!$B$2))</f>
        <v>3.29396038227542</v>
      </c>
      <c r="BH414" s="10" t="str">
        <f>IF(BF414&lt;=BG414,"CUMPLE","NO CUMPLE")</f>
        <v>CUMPLE</v>
      </c>
      <c r="BI414" s="10">
        <f>AX414*'Parametros'!$B$8</f>
        <v>0</v>
      </c>
      <c r="BJ414" s="10" t="str">
        <f>IF(BI414&gt;=AW414,"CUMPLE","NO CUMPLE")</f>
        <v>CUMPLE</v>
      </c>
    </row>
    <row r="415">
      <c r="A415" s="25" t="inlineStr">
        <is>
          <t>VR2</t>
        </is>
      </c>
      <c r="B415" s="25" t="inlineStr">
        <is>
          <t>770</t>
        </is>
      </c>
      <c r="C415" s="10" t="n">
        <v>1</v>
      </c>
      <c r="D415" s="10" t="n">
        <v>3.05308</v>
      </c>
      <c r="E415" s="10" t="n">
        <v>3.05308</v>
      </c>
      <c r="F415" s="10" t="n">
        <v>500</v>
      </c>
      <c r="G415" s="10" t="n">
        <v>550</v>
      </c>
      <c r="H415" s="17" t="n">
        <v>500</v>
      </c>
      <c r="I415" s="17" t="n">
        <v>550</v>
      </c>
      <c r="J415" s="30" t="n">
        <v>158.3271</v>
      </c>
      <c r="K415" s="10" t="inlineStr">
        <is>
          <t>770</t>
        </is>
      </c>
      <c r="L415" s="30" t="n">
        <v>96.6024</v>
      </c>
      <c r="M415" s="10" t="inlineStr">
        <is>
          <t>770</t>
        </is>
      </c>
      <c r="N415" s="30" t="n">
        <v>126.642</v>
      </c>
      <c r="O415" s="30" t="n">
        <v>347.761</v>
      </c>
      <c r="P415" s="10" t="inlineStr">
        <is>
          <t>770</t>
        </is>
      </c>
      <c r="Q415" s="30" t="n">
        <v>43.3266</v>
      </c>
      <c r="R415" s="10">
        <f>MAX(MAX(1.4/'Parametros'!$B$3,0.25*SQRT('Parametros'!$B$2)/'Parametros'!$B$3)*H415*U415,(0.85*'Parametros'!$B$2/'Parametros'!$B$3)*(1-SQRT(1-2*(J415*1000000/('Parametros'!$B$5*H415*U415^2))/(0.85*'Parametros'!$B$2)))*H415*U415)</f>
        <v>884.130442442498</v>
      </c>
      <c r="S415" s="31" t="n">
        <v>5</v>
      </c>
      <c r="T415" s="32" t="n">
        <v>1</v>
      </c>
      <c r="U415" s="10">
        <f>IF(T415=1,I415-('Parametros'!$B$7+'Parametros'!$B$9+'Parametros'!$B$12/2),I415-(ROUNDUP(S415/2,0)*('Parametros'!$B$7+'Parametros'!$B$9+'Parametros'!$B$12/2)+ROUNDDOWN(S415/2,0)*('Parametros'!$B$7+'Parametros'!$B$9+'Parametros'!$B$12/2+'Parametros'!$B$12+'Parametros'!$B$10))/S415)</f>
        <v>489.35</v>
      </c>
      <c r="V415" s="10">
        <f>S415*'Parametros'!$B$8</f>
        <v>995</v>
      </c>
      <c r="W415" s="10">
        <f>'Parametros'!$B$5*V415*'Parametros'!$B$3*(U415-(V415*'Parametros'!$B$3/(0.85*'Parametros'!$B$2*H415))/2)/1000000</f>
        <v>177.445379382353</v>
      </c>
      <c r="X415" s="10" t="str">
        <f>IF(W415&gt;=J415,"CUMPLE","NO CUMPLE")</f>
        <v>CUMPLE</v>
      </c>
      <c r="Y415" s="10">
        <f>MAX(MAX(1.4/'Parametros'!$B$3,0.25*SQRT('Parametros'!$B$2)/'Parametros'!$B$3)*H415*AB415,(0.85*'Parametros'!$B$2/'Parametros'!$B$3)*(1-SQRT(1-2*(L415*1000000/('Parametros'!$B$5*H415*AB415^2))/(0.85*'Parametros'!$B$2)))*H415*AB415)</f>
        <v>815.583333333333</v>
      </c>
      <c r="Z415" s="31" t="n">
        <v>5</v>
      </c>
      <c r="AA415" s="32" t="n">
        <v>1</v>
      </c>
      <c r="AB415" s="10">
        <f>IF(AA415=1,I415-('Parametros'!$B$7+'Parametros'!$B$9+'Parametros'!$B$12/2),I415-(ROUNDUP(Z415/2,0)*('Parametros'!$B$7+'Parametros'!$B$9+'Parametros'!$B$12/2)+ROUNDDOWN(Z415/2,0)*('Parametros'!$B$7+'Parametros'!$B$9+'Parametros'!$B$12/2+'Parametros'!$B$12+'Parametros'!$B$10))/Z415)</f>
        <v>489.35</v>
      </c>
      <c r="AC415" s="10">
        <f>Z415*'Parametros'!$B$8</f>
        <v>995</v>
      </c>
      <c r="AD415" s="10">
        <f>'Parametros'!$B$5*AC415*'Parametros'!$B$3*(AB415-(AC415*'Parametros'!$B$3/(0.85*'Parametros'!$B$2*H415))/2)/1000000</f>
        <v>177.445379382353</v>
      </c>
      <c r="AE415" s="10" t="str">
        <f>IF(AD415&gt;=L415,"CUMPLE","NO CUMPLE")</f>
        <v>CUMPLE</v>
      </c>
      <c r="AF415" s="10">
        <f>V415*1.25*'Parametros'!$B$3*(U415-(V415*1.25*'Parametros'!$B$3/(0.85*'Parametros'!$B$2*H415))/2)/1000000</f>
        <v>244.158843198529</v>
      </c>
      <c r="AG415" s="10">
        <f>AC415*1.25*'Parametros'!$B$3*(AB415-(AC415*1.25*'Parametros'!$B$3/(0.85*'Parametros'!$B$2*H415))/2)/1000000</f>
        <v>244.158843198529</v>
      </c>
      <c r="AH415" s="10">
        <f>N415+(AF415+AG415)/D415</f>
        <v>286.58464362449</v>
      </c>
      <c r="AI415" s="10">
        <f>MAX(O415,AH415)</f>
        <v>347.761</v>
      </c>
      <c r="AJ415" s="10">
        <f>0.17*SQRT('Parametros'!$B$2)*H415*MIN(U415,AB415)/1000</f>
        <v>220.098728691808</v>
      </c>
      <c r="AK415" s="10">
        <f>MAX(AI415/'Parametros'!$B$6-AJ415,0)</f>
        <v>243.582604641526</v>
      </c>
      <c r="AL415" s="10">
        <f>0.66*SQRT('Parametros'!$B$2)*H415*MIN(U415,AB415)/1000</f>
        <v>854.500946685842</v>
      </c>
      <c r="AM415" s="10" t="str">
        <f>IF(AK415&lt;=AL415,"CUMPLE","NO CUMPLE")</f>
        <v>CUMPLE</v>
      </c>
      <c r="AN415" s="17" t="inlineStr">
        <is>
          <t>Nº4 cerrado</t>
        </is>
      </c>
      <c r="AO415" s="31" t="n">
        <v>2</v>
      </c>
      <c r="AP415" s="10">
        <f>ROUNDDOWN(MIN(IF(BC415+BD415=0,1000000000,AO415*BB415/(BC415+BD415)),MIN(U415,AB415)/4,8*'Parametros'!$B$12,24*BA415,300,IF(AV415=0,1000000000,2*((H415-2*('Parametros'!$B$7+'Parametros'!$B$9/2))+(I415-2*('Parametros'!$B$7+'Parametros'!$B$9/2)))/8))/10,0)*10</f>
        <v>120</v>
      </c>
      <c r="AQ415" s="10">
        <f>ROUNDDOWN(MIN(IF(BC415+BD415=0,1000000000,AO415*BB415/(BC415+BD415)),IF(AK415&gt;0.33*SQRT('Parametros'!$B$2)*H415*MIN(U415,AB415)/1000,MIN(U415,AB415)/4,MIN(U415,AB415)/2),600,IF(AV415=0,1000000000,2*((H415-2*('Parametros'!$B$7+'Parametros'!$B$9/2))+(I415-2*('Parametros'!$B$7+'Parametros'!$B$9/2)))/8))/10,0)*10</f>
        <v>120</v>
      </c>
      <c r="AR415" s="10">
        <f>'Parametros'!$B$6*(AJ415+MAX(BE415-BD415,0)*'Parametros'!$B$4*MIN(U415,AB415)/1000)</f>
        <v>362.568114956752</v>
      </c>
      <c r="AS415" s="10" t="str">
        <f>IF(AND(ISERROR(SEARCH("referencia",AN415)),AM415="CUMPLE",AR415&gt;=AI415),"CUMPLE","NO CUMPLE")</f>
        <v>CUMPLE</v>
      </c>
      <c r="AT415" s="10">
        <f>'Parametros'!$B$6*0.083*SQRT('Parametros'!$B$2)*(H415*I415)^2/(2*(H415+I415))/1000000</f>
        <v>11.862178757599</v>
      </c>
      <c r="AU415" s="10" t="str">
        <f>IF(Q415&lt;=AT415,"DESPRECIABLE","DISEÑAR")</f>
        <v>DISEÑAR</v>
      </c>
      <c r="AV415" s="10">
        <f>IF(Q415&lt;=AT415,0,Q415*1000000/('Parametros'!$B$6*2*0.85*(H415-2*('Parametros'!$B$7+'Parametros'!$B$9/2))*(I415-2*('Parametros'!$B$7+'Parametros'!$B$9/2))*'Parametros'!$B$4))</f>
        <v>0.434389704068417</v>
      </c>
      <c r="AW415" s="10">
        <f>AV415*2*((H415-2*('Parametros'!$B$7+'Parametros'!$B$9/2))+(I415-2*('Parametros'!$B$7+'Parametros'!$B$9/2)))*'Parametros'!$B$4/'Parametros'!$B$3</f>
        <v>751.146676275106</v>
      </c>
      <c r="AX415" s="31" t="n">
        <v>8</v>
      </c>
      <c r="AY415" s="10" t="str">
        <f>IF(AV415=0,"DESPRECIABLE",IF(AND(ISERROR(SEARCH("referencia",AN415)),BB415/AP415&gt;=AV415,BI415&gt;=AW415,BH415="CUMPLE"),"CUMPLE","NO CUMPLE"))</f>
        <v>CUMPLE</v>
      </c>
      <c r="AZ415" s="10" t="str">
        <f>IF(AND(X415="CUMPLE",AE415="CUMPLE",AS415="CUMPLE",OR(AY415="CUMPLE",AY415="DESPRECIABLE"),BH415="CUMPLE",BJ415="CUMPLE"),"CUMPLE","NO CUMPLE")</f>
        <v>CUMPLE</v>
      </c>
      <c r="BA415" s="32" t="n">
        <v>12.7</v>
      </c>
      <c r="BB415" s="32" t="n">
        <v>129</v>
      </c>
      <c r="BC415" s="10">
        <f>MAX(IF(AK415=0,0,AK415*1000/('Parametros'!$B$4*MIN(U415,AB415))),MAX(0.062*SQRT('Parametros'!$B$2)*H415/'Parametros'!$B$4,0.35*H415/'Parametros'!$B$4))</f>
        <v>1.18516109631107</v>
      </c>
      <c r="BD415" s="10">
        <f>2*AV415</f>
        <v>0.868779408136834</v>
      </c>
      <c r="BE415" s="10">
        <f>AO415*BB415/AP415</f>
        <v>2.15</v>
      </c>
      <c r="BF415" s="10">
        <f>SQRT((AI415*1000/(H415*MIN(U415,AB415)))^2+(Q415*1000000*2*((H415-2*('Parametros'!$B$7+'Parametros'!$B$9/2))+(I415-2*('Parametros'!$B$7+'Parametros'!$B$9/2)))/(1.7*((H415-2*('Parametros'!$B$7+'Parametros'!$B$9/2))*(I415-2*('Parametros'!$B$7+'Parametros'!$B$9/2)))^2))^2)</f>
        <v>1.90628085487027</v>
      </c>
      <c r="BG415" s="10">
        <f>'Parametros'!$B$6*(AJ415*1000/(H415*MIN(U415,AB415))+0.66*SQRT('Parametros'!$B$2))</f>
        <v>3.29396038227542</v>
      </c>
      <c r="BH415" s="10" t="str">
        <f>IF(BF415&lt;=BG415,"CUMPLE","NO CUMPLE")</f>
        <v>CUMPLE</v>
      </c>
      <c r="BI415" s="10">
        <f>AX415*'Parametros'!$B$8</f>
        <v>1592</v>
      </c>
      <c r="BJ415" s="10" t="str">
        <f>IF(BI415&gt;=AW415,"CUMPLE","NO CUMPLE")</f>
        <v>CUMPLE</v>
      </c>
    </row>
    <row r="416">
      <c r="A416" s="25" t="inlineStr">
        <is>
          <t>VR2</t>
        </is>
      </c>
      <c r="B416" s="25" t="inlineStr">
        <is>
          <t>771</t>
        </is>
      </c>
      <c r="C416" s="10" t="n">
        <v>1</v>
      </c>
      <c r="D416" s="10" t="n">
        <v>2</v>
      </c>
      <c r="E416" s="10" t="n">
        <v>2</v>
      </c>
      <c r="F416" s="10" t="n">
        <v>500</v>
      </c>
      <c r="G416" s="10" t="n">
        <v>550</v>
      </c>
      <c r="H416" s="17" t="n">
        <v>500</v>
      </c>
      <c r="I416" s="17" t="n">
        <v>550</v>
      </c>
      <c r="J416" s="30" t="n">
        <v>142.9718</v>
      </c>
      <c r="K416" s="10" t="inlineStr">
        <is>
          <t>771</t>
        </is>
      </c>
      <c r="L416" s="30" t="n">
        <v>97.85129999999999</v>
      </c>
      <c r="M416" s="10" t="inlineStr">
        <is>
          <t>771</t>
        </is>
      </c>
      <c r="N416" s="30" t="n">
        <v>138.682</v>
      </c>
      <c r="O416" s="30" t="n">
        <v>493.979</v>
      </c>
      <c r="P416" s="10" t="inlineStr">
        <is>
          <t>771</t>
        </is>
      </c>
      <c r="Q416" s="30" t="n">
        <v>37.0771</v>
      </c>
      <c r="R416" s="10">
        <f>MAX(MAX(1.4/'Parametros'!$B$3,0.25*SQRT('Parametros'!$B$2)/'Parametros'!$B$3)*H416*U416,(0.85*'Parametros'!$B$2/'Parametros'!$B$3)*(1-SQRT(1-2*(J416*1000000/('Parametros'!$B$5*H416*U416^2))/(0.85*'Parametros'!$B$2)))*H416*U416)</f>
        <v>815.583333333333</v>
      </c>
      <c r="S416" s="31" t="n">
        <v>5</v>
      </c>
      <c r="T416" s="32" t="n">
        <v>1</v>
      </c>
      <c r="U416" s="10">
        <f>IF(T416=1,I416-('Parametros'!$B$7+'Parametros'!$B$9+'Parametros'!$B$12/2),I416-(ROUNDUP(S416/2,0)*('Parametros'!$B$7+'Parametros'!$B$9+'Parametros'!$B$12/2)+ROUNDDOWN(S416/2,0)*('Parametros'!$B$7+'Parametros'!$B$9+'Parametros'!$B$12/2+'Parametros'!$B$12+'Parametros'!$B$10))/S416)</f>
        <v>489.35</v>
      </c>
      <c r="V416" s="10">
        <f>S416*'Parametros'!$B$8</f>
        <v>995</v>
      </c>
      <c r="W416" s="10">
        <f>'Parametros'!$B$5*V416*'Parametros'!$B$3*(U416-(V416*'Parametros'!$B$3/(0.85*'Parametros'!$B$2*H416))/2)/1000000</f>
        <v>177.445379382353</v>
      </c>
      <c r="X416" s="10" t="str">
        <f>IF(W416&gt;=J416,"CUMPLE","NO CUMPLE")</f>
        <v>CUMPLE</v>
      </c>
      <c r="Y416" s="10">
        <f>MAX(MAX(1.4/'Parametros'!$B$3,0.25*SQRT('Parametros'!$B$2)/'Parametros'!$B$3)*H416*AB416,(0.85*'Parametros'!$B$2/'Parametros'!$B$3)*(1-SQRT(1-2*(L416*1000000/('Parametros'!$B$5*H416*AB416^2))/(0.85*'Parametros'!$B$2)))*H416*AB416)</f>
        <v>815.583333333333</v>
      </c>
      <c r="Z416" s="31" t="n">
        <v>5</v>
      </c>
      <c r="AA416" s="32" t="n">
        <v>1</v>
      </c>
      <c r="AB416" s="10">
        <f>IF(AA416=1,I416-('Parametros'!$B$7+'Parametros'!$B$9+'Parametros'!$B$12/2),I416-(ROUNDUP(Z416/2,0)*('Parametros'!$B$7+'Parametros'!$B$9+'Parametros'!$B$12/2)+ROUNDDOWN(Z416/2,0)*('Parametros'!$B$7+'Parametros'!$B$9+'Parametros'!$B$12/2+'Parametros'!$B$12+'Parametros'!$B$10))/Z416)</f>
        <v>489.35</v>
      </c>
      <c r="AC416" s="10">
        <f>Z416*'Parametros'!$B$8</f>
        <v>995</v>
      </c>
      <c r="AD416" s="10">
        <f>'Parametros'!$B$5*AC416*'Parametros'!$B$3*(AB416-(AC416*'Parametros'!$B$3/(0.85*'Parametros'!$B$2*H416))/2)/1000000</f>
        <v>177.445379382353</v>
      </c>
      <c r="AE416" s="10" t="str">
        <f>IF(AD416&gt;=L416,"CUMPLE","NO CUMPLE")</f>
        <v>CUMPLE</v>
      </c>
      <c r="AF416" s="10">
        <f>V416*1.25*'Parametros'!$B$3*(U416-(V416*1.25*'Parametros'!$B$3/(0.85*'Parametros'!$B$2*H416))/2)/1000000</f>
        <v>244.158843198529</v>
      </c>
      <c r="AG416" s="10">
        <f>AC416*1.25*'Parametros'!$B$3*(AB416-(AC416*1.25*'Parametros'!$B$3/(0.85*'Parametros'!$B$2*H416))/2)/1000000</f>
        <v>244.158843198529</v>
      </c>
      <c r="AH416" s="10">
        <f>N416+(AF416+AG416)/D416</f>
        <v>382.840843198529</v>
      </c>
      <c r="AI416" s="10">
        <f>MAX(O416,AH416)</f>
        <v>493.979</v>
      </c>
      <c r="AJ416" s="10">
        <f>0.17*SQRT('Parametros'!$B$2)*H416*MIN(U416,AB416)/1000</f>
        <v>220.098728691808</v>
      </c>
      <c r="AK416" s="10">
        <f>MAX(AI416/'Parametros'!$B$6-AJ416,0)</f>
        <v>438.539937974859</v>
      </c>
      <c r="AL416" s="10">
        <f>0.66*SQRT('Parametros'!$B$2)*H416*MIN(U416,AB416)/1000</f>
        <v>854.500946685842</v>
      </c>
      <c r="AM416" s="10" t="str">
        <f>IF(AK416&lt;=AL416,"CUMPLE","NO CUMPLE")</f>
        <v>CUMPLE</v>
      </c>
      <c r="AN416" s="17" t="inlineStr">
        <is>
          <t>Nº4 cerrado</t>
        </is>
      </c>
      <c r="AO416" s="31" t="n">
        <v>2</v>
      </c>
      <c r="AP416" s="10">
        <f>ROUNDDOWN(MIN(IF(BC416+BD416=0,1000000000,AO416*BB416/(BC416+BD416)),MIN(U416,AB416)/4,8*'Parametros'!$B$12,24*BA416,300,IF(AV416=0,1000000000,2*((H416-2*('Parametros'!$B$7+'Parametros'!$B$9/2))+(I416-2*('Parametros'!$B$7+'Parametros'!$B$9/2)))/8))/10,0)*10</f>
        <v>80</v>
      </c>
      <c r="AQ416" s="10">
        <f>ROUNDDOWN(MIN(IF(BC416+BD416=0,1000000000,AO416*BB416/(BC416+BD416)),IF(AK416&gt;0.33*SQRT('Parametros'!$B$2)*H416*MIN(U416,AB416)/1000,MIN(U416,AB416)/4,MIN(U416,AB416)/2),600,IF(AV416=0,1000000000,2*((H416-2*('Parametros'!$B$7+'Parametros'!$B$9/2))+(I416-2*('Parametros'!$B$7+'Parametros'!$B$9/2)))/8))/10,0)*10</f>
        <v>80</v>
      </c>
      <c r="AR416" s="10">
        <f>'Parametros'!$B$6*(AJ416+MAX(BE416-BD416,0)*'Parametros'!$B$4*MIN(U416,AB416)/1000)</f>
        <v>547.590842745855</v>
      </c>
      <c r="AS416" s="10" t="str">
        <f>IF(AND(ISERROR(SEARCH("referencia",AN416)),AM416="CUMPLE",AR416&gt;=AI416),"CUMPLE","NO CUMPLE")</f>
        <v>CUMPLE</v>
      </c>
      <c r="AT416" s="10">
        <f>'Parametros'!$B$6*0.083*SQRT('Parametros'!$B$2)*(H416*I416)^2/(2*(H416+I416))/1000000</f>
        <v>11.862178757599</v>
      </c>
      <c r="AU416" s="10" t="str">
        <f>IF(Q416&lt;=AT416,"DESPRECIABLE","DISEÑAR")</f>
        <v>DISEÑAR</v>
      </c>
      <c r="AV416" s="10">
        <f>IF(Q416&lt;=AT416,0,Q416*1000000/('Parametros'!$B$6*2*0.85*(H416-2*('Parametros'!$B$7+'Parametros'!$B$9/2))*(I416-2*('Parametros'!$B$7+'Parametros'!$B$9/2))*'Parametros'!$B$4))</f>
        <v>0.371732619146554</v>
      </c>
      <c r="AW416" s="10">
        <f>AV416*2*((H416-2*('Parametros'!$B$7+'Parametros'!$B$9/2))+(I416-2*('Parametros'!$B$7+'Parametros'!$B$9/2)))*'Parametros'!$B$4/'Parametros'!$B$3</f>
        <v>642.800045028222</v>
      </c>
      <c r="AX416" s="31" t="n">
        <v>8</v>
      </c>
      <c r="AY416" s="10" t="str">
        <f>IF(AV416=0,"DESPRECIABLE",IF(AND(ISERROR(SEARCH("referencia",AN416)),BB416/AP416&gt;=AV416,BI416&gt;=AW416,BH416="CUMPLE"),"CUMPLE","NO CUMPLE"))</f>
        <v>CUMPLE</v>
      </c>
      <c r="AZ416" s="10" t="str">
        <f>IF(AND(X416="CUMPLE",AE416="CUMPLE",AS416="CUMPLE",OR(AY416="CUMPLE",AY416="DESPRECIABLE"),BH416="CUMPLE",BJ416="CUMPLE"),"CUMPLE","NO CUMPLE")</f>
        <v>CUMPLE</v>
      </c>
      <c r="BA416" s="32" t="n">
        <v>12.7</v>
      </c>
      <c r="BB416" s="32" t="n">
        <v>129</v>
      </c>
      <c r="BC416" s="10">
        <f>MAX(IF(AK416=0,0,AK416*1000/('Parametros'!$B$4*MIN(U416,AB416))),MAX(0.062*SQRT('Parametros'!$B$2)*H416/'Parametros'!$B$4,0.35*H416/'Parametros'!$B$4))</f>
        <v>2.1337339521078</v>
      </c>
      <c r="BD416" s="10">
        <f>2*AV416</f>
        <v>0.743465238293108</v>
      </c>
      <c r="BE416" s="10">
        <f>AO416*BB416/AP416</f>
        <v>3.225</v>
      </c>
      <c r="BF416" s="10">
        <f>SQRT((AI416*1000/(H416*MIN(U416,AB416)))^2+(Q416*1000000*2*((H416-2*('Parametros'!$B$7+'Parametros'!$B$9/2))+(I416-2*('Parametros'!$B$7+'Parametros'!$B$9/2)))/(1.7*((H416-2*('Parametros'!$B$7+'Parametros'!$B$9/2))*(I416-2*('Parametros'!$B$7+'Parametros'!$B$9/2)))^2))^2)</f>
        <v>2.29299532372922</v>
      </c>
      <c r="BG416" s="10">
        <f>'Parametros'!$B$6*(AJ416*1000/(H416*MIN(U416,AB416))+0.66*SQRT('Parametros'!$B$2))</f>
        <v>3.29396038227542</v>
      </c>
      <c r="BH416" s="10" t="str">
        <f>IF(BF416&lt;=BG416,"CUMPLE","NO CUMPLE")</f>
        <v>CUMPLE</v>
      </c>
      <c r="BI416" s="10">
        <f>AX416*'Parametros'!$B$8</f>
        <v>1592</v>
      </c>
      <c r="BJ416" s="10" t="str">
        <f>IF(BI416&gt;=AW416,"CUMPLE","NO CUMPLE")</f>
        <v>CUMPLE</v>
      </c>
    </row>
    <row r="417">
      <c r="A417" s="25" t="inlineStr">
        <is>
          <t>VR2</t>
        </is>
      </c>
      <c r="B417" s="25" t="inlineStr">
        <is>
          <t>772</t>
        </is>
      </c>
      <c r="C417" s="10" t="n">
        <v>1</v>
      </c>
      <c r="D417" s="10" t="n">
        <v>1.9</v>
      </c>
      <c r="E417" s="10" t="n">
        <v>1.9</v>
      </c>
      <c r="F417" s="10" t="n">
        <v>500</v>
      </c>
      <c r="G417" s="10" t="n">
        <v>550</v>
      </c>
      <c r="H417" s="17" t="n">
        <v>500</v>
      </c>
      <c r="I417" s="17" t="n">
        <v>550</v>
      </c>
      <c r="J417" s="30" t="n">
        <v>134.6101</v>
      </c>
      <c r="K417" s="10" t="inlineStr">
        <is>
          <t>772</t>
        </is>
      </c>
      <c r="L417" s="30" t="n">
        <v>100.1712</v>
      </c>
      <c r="M417" s="10" t="inlineStr">
        <is>
          <t>772</t>
        </is>
      </c>
      <c r="N417" s="30" t="n">
        <v>130.764</v>
      </c>
      <c r="O417" s="30" t="n">
        <v>454.214</v>
      </c>
      <c r="P417" s="10" t="inlineStr">
        <is>
          <t>772</t>
        </is>
      </c>
      <c r="Q417" s="30" t="n">
        <v>16.0481</v>
      </c>
      <c r="R417" s="10">
        <f>MAX(MAX(1.4/'Parametros'!$B$3,0.25*SQRT('Parametros'!$B$2)/'Parametros'!$B$3)*H417*U417,(0.85*'Parametros'!$B$2/'Parametros'!$B$3)*(1-SQRT(1-2*(J417*1000000/('Parametros'!$B$5*H417*U417^2))/(0.85*'Parametros'!$B$2)))*H417*U417)</f>
        <v>815.583333333333</v>
      </c>
      <c r="S417" s="31" t="n">
        <v>5</v>
      </c>
      <c r="T417" s="32" t="n">
        <v>1</v>
      </c>
      <c r="U417" s="10">
        <f>IF(T417=1,I417-('Parametros'!$B$7+'Parametros'!$B$9+'Parametros'!$B$12/2),I417-(ROUNDUP(S417/2,0)*('Parametros'!$B$7+'Parametros'!$B$9+'Parametros'!$B$12/2)+ROUNDDOWN(S417/2,0)*('Parametros'!$B$7+'Parametros'!$B$9+'Parametros'!$B$12/2+'Parametros'!$B$12+'Parametros'!$B$10))/S417)</f>
        <v>489.35</v>
      </c>
      <c r="V417" s="10">
        <f>S417*'Parametros'!$B$8</f>
        <v>995</v>
      </c>
      <c r="W417" s="10">
        <f>'Parametros'!$B$5*V417*'Parametros'!$B$3*(U417-(V417*'Parametros'!$B$3/(0.85*'Parametros'!$B$2*H417))/2)/1000000</f>
        <v>177.445379382353</v>
      </c>
      <c r="X417" s="10" t="str">
        <f>IF(W417&gt;=J417,"CUMPLE","NO CUMPLE")</f>
        <v>CUMPLE</v>
      </c>
      <c r="Y417" s="10">
        <f>MAX(MAX(1.4/'Parametros'!$B$3,0.25*SQRT('Parametros'!$B$2)/'Parametros'!$B$3)*H417*AB417,(0.85*'Parametros'!$B$2/'Parametros'!$B$3)*(1-SQRT(1-2*(L417*1000000/('Parametros'!$B$5*H417*AB417^2))/(0.85*'Parametros'!$B$2)))*H417*AB417)</f>
        <v>815.583333333333</v>
      </c>
      <c r="Z417" s="31" t="n">
        <v>5</v>
      </c>
      <c r="AA417" s="32" t="n">
        <v>1</v>
      </c>
      <c r="AB417" s="10">
        <f>IF(AA417=1,I417-('Parametros'!$B$7+'Parametros'!$B$9+'Parametros'!$B$12/2),I417-(ROUNDUP(Z417/2,0)*('Parametros'!$B$7+'Parametros'!$B$9+'Parametros'!$B$12/2)+ROUNDDOWN(Z417/2,0)*('Parametros'!$B$7+'Parametros'!$B$9+'Parametros'!$B$12/2+'Parametros'!$B$12+'Parametros'!$B$10))/Z417)</f>
        <v>489.35</v>
      </c>
      <c r="AC417" s="10">
        <f>Z417*'Parametros'!$B$8</f>
        <v>995</v>
      </c>
      <c r="AD417" s="10">
        <f>'Parametros'!$B$5*AC417*'Parametros'!$B$3*(AB417-(AC417*'Parametros'!$B$3/(0.85*'Parametros'!$B$2*H417))/2)/1000000</f>
        <v>177.445379382353</v>
      </c>
      <c r="AE417" s="10" t="str">
        <f>IF(AD417&gt;=L417,"CUMPLE","NO CUMPLE")</f>
        <v>CUMPLE</v>
      </c>
      <c r="AF417" s="10">
        <f>V417*1.25*'Parametros'!$B$3*(U417-(V417*1.25*'Parametros'!$B$3/(0.85*'Parametros'!$B$2*H417))/2)/1000000</f>
        <v>244.158843198529</v>
      </c>
      <c r="AG417" s="10">
        <f>AC417*1.25*'Parametros'!$B$3*(AB417-(AC417*1.25*'Parametros'!$B$3/(0.85*'Parametros'!$B$2*H417))/2)/1000000</f>
        <v>244.158843198529</v>
      </c>
      <c r="AH417" s="10">
        <f>N417+(AF417+AG417)/D417</f>
        <v>387.773308630031</v>
      </c>
      <c r="AI417" s="10">
        <f>MAX(O417,AH417)</f>
        <v>454.214</v>
      </c>
      <c r="AJ417" s="10">
        <f>0.17*SQRT('Parametros'!$B$2)*H417*MIN(U417,AB417)/1000</f>
        <v>220.098728691808</v>
      </c>
      <c r="AK417" s="10">
        <f>MAX(AI417/'Parametros'!$B$6-AJ417,0)</f>
        <v>385.519937974859</v>
      </c>
      <c r="AL417" s="10">
        <f>0.66*SQRT('Parametros'!$B$2)*H417*MIN(U417,AB417)/1000</f>
        <v>854.500946685842</v>
      </c>
      <c r="AM417" s="10" t="str">
        <f>IF(AK417&lt;=AL417,"CUMPLE","NO CUMPLE")</f>
        <v>CUMPLE</v>
      </c>
      <c r="AN417" s="17" t="inlineStr">
        <is>
          <t>Nº4 cerrado</t>
        </is>
      </c>
      <c r="AO417" s="31" t="n">
        <v>2</v>
      </c>
      <c r="AP417" s="10">
        <f>ROUNDDOWN(MIN(IF(BC417+BD417=0,1000000000,AO417*BB417/(BC417+BD417)),MIN(U417,AB417)/4,8*'Parametros'!$B$12,24*BA417,300,IF(AV417=0,1000000000,2*((H417-2*('Parametros'!$B$7+'Parametros'!$B$9/2))+(I417-2*('Parametros'!$B$7+'Parametros'!$B$9/2)))/8))/10,0)*10</f>
        <v>110</v>
      </c>
      <c r="AQ417" s="10">
        <f>ROUNDDOWN(MIN(IF(BC417+BD417=0,1000000000,AO417*BB417/(BC417+BD417)),IF(AK417&gt;0.33*SQRT('Parametros'!$B$2)*H417*MIN(U417,AB417)/1000,MIN(U417,AB417)/4,MIN(U417,AB417)/2),600,IF(AV417=0,1000000000,2*((H417-2*('Parametros'!$B$7+'Parametros'!$B$9/2))+(I417-2*('Parametros'!$B$7+'Parametros'!$B$9/2)))/8))/10,0)*10</f>
        <v>110</v>
      </c>
      <c r="AR417" s="10">
        <f>'Parametros'!$B$6*(AJ417+MAX(BE417-BD417,0)*'Parametros'!$B$4*MIN(U417,AB417)/1000)</f>
        <v>477.011639974008</v>
      </c>
      <c r="AS417" s="10" t="str">
        <f>IF(AND(ISERROR(SEARCH("referencia",AN417)),AM417="CUMPLE",AR417&gt;=AI417),"CUMPLE","NO CUMPLE")</f>
        <v>CUMPLE</v>
      </c>
      <c r="AT417" s="10">
        <f>'Parametros'!$B$6*0.083*SQRT('Parametros'!$B$2)*(H417*I417)^2/(2*(H417+I417))/1000000</f>
        <v>11.862178757599</v>
      </c>
      <c r="AU417" s="10" t="str">
        <f>IF(Q417&lt;=AT417,"DESPRECIABLE","DISEÑAR")</f>
        <v>DISEÑAR</v>
      </c>
      <c r="AV417" s="10">
        <f>IF(Q417&lt;=AT417,0,Q417*1000000/('Parametros'!$B$6*2*0.85*(H417-2*('Parametros'!$B$7+'Parametros'!$B$9/2))*(I417-2*('Parametros'!$B$7+'Parametros'!$B$9/2))*'Parametros'!$B$4))</f>
        <v>0.160897218102975</v>
      </c>
      <c r="AW417" s="10">
        <f>AV417*2*((H417-2*('Parametros'!$B$7+'Parametros'!$B$9/2))+(I417-2*('Parametros'!$B$7+'Parametros'!$B$9/2)))*'Parametros'!$B$4/'Parametros'!$B$3</f>
        <v>278.223469543665</v>
      </c>
      <c r="AX417" s="31" t="n">
        <v>8</v>
      </c>
      <c r="AY417" s="10" t="str">
        <f>IF(AV417=0,"DESPRECIABLE",IF(AND(ISERROR(SEARCH("referencia",AN417)),BB417/AP417&gt;=AV417,BI417&gt;=AW417,BH417="CUMPLE"),"CUMPLE","NO CUMPLE"))</f>
        <v>CUMPLE</v>
      </c>
      <c r="AZ417" s="10" t="str">
        <f>IF(AND(X417="CUMPLE",AE417="CUMPLE",AS417="CUMPLE",OR(AY417="CUMPLE",AY417="DESPRECIABLE"),BH417="CUMPLE",BJ417="CUMPLE"),"CUMPLE","NO CUMPLE")</f>
        <v>CUMPLE</v>
      </c>
      <c r="BA417" s="32" t="n">
        <v>12.7</v>
      </c>
      <c r="BB417" s="32" t="n">
        <v>129</v>
      </c>
      <c r="BC417" s="10">
        <f>MAX(IF(AK417=0,0,AK417*1000/('Parametros'!$B$4*MIN(U417,AB417))),MAX(0.062*SQRT('Parametros'!$B$2)*H417/'Parametros'!$B$4,0.35*H417/'Parametros'!$B$4))</f>
        <v>1.87576297992409</v>
      </c>
      <c r="BD417" s="10">
        <f>2*AV417</f>
        <v>0.32179443620595</v>
      </c>
      <c r="BE417" s="10">
        <f>AO417*BB417/AP417</f>
        <v>2.34545454545455</v>
      </c>
      <c r="BF417" s="10">
        <f>SQRT((AI417*1000/(H417*MIN(U417,AB417)))^2+(Q417*1000000*2*((H417-2*('Parametros'!$B$7+'Parametros'!$B$9/2))+(I417-2*('Parametros'!$B$7+'Parametros'!$B$9/2)))/(1.7*((H417-2*('Parametros'!$B$7+'Parametros'!$B$9/2))*(I417-2*('Parametros'!$B$7+'Parametros'!$B$9/2)))^2))^2)</f>
        <v>1.91510069899322</v>
      </c>
      <c r="BG417" s="10">
        <f>'Parametros'!$B$6*(AJ417*1000/(H417*MIN(U417,AB417))+0.66*SQRT('Parametros'!$B$2))</f>
        <v>3.29396038227542</v>
      </c>
      <c r="BH417" s="10" t="str">
        <f>IF(BF417&lt;=BG417,"CUMPLE","NO CUMPLE")</f>
        <v>CUMPLE</v>
      </c>
      <c r="BI417" s="10">
        <f>AX417*'Parametros'!$B$8</f>
        <v>1592</v>
      </c>
      <c r="BJ417" s="10" t="str">
        <f>IF(BI417&gt;=AW417,"CUMPLE","NO CUMPLE")</f>
        <v>CUMPLE</v>
      </c>
    </row>
    <row r="418">
      <c r="A418" s="25" t="inlineStr">
        <is>
          <t>VR2</t>
        </is>
      </c>
      <c r="B418" s="25" t="inlineStr">
        <is>
          <t>773</t>
        </is>
      </c>
      <c r="C418" s="10" t="n">
        <v>1</v>
      </c>
      <c r="D418" s="10" t="n">
        <v>3.57612</v>
      </c>
      <c r="E418" s="10" t="n">
        <v>3.57612</v>
      </c>
      <c r="F418" s="10" t="n">
        <v>500</v>
      </c>
      <c r="G418" s="10" t="n">
        <v>550</v>
      </c>
      <c r="H418" s="17" t="n">
        <v>500</v>
      </c>
      <c r="I418" s="17" t="n">
        <v>550</v>
      </c>
      <c r="J418" s="30" t="n">
        <v>153.0595</v>
      </c>
      <c r="K418" s="10" t="inlineStr">
        <is>
          <t>773</t>
        </is>
      </c>
      <c r="L418" s="30" t="n">
        <v>88.2364</v>
      </c>
      <c r="M418" s="10" t="inlineStr">
        <is>
          <t>773</t>
        </is>
      </c>
      <c r="N418" s="30" t="n">
        <v>118.381</v>
      </c>
      <c r="O418" s="30" t="n">
        <v>325.818</v>
      </c>
      <c r="P418" s="10" t="inlineStr">
        <is>
          <t>773</t>
        </is>
      </c>
      <c r="Q418" s="30" t="n">
        <v>5.6255</v>
      </c>
      <c r="R418" s="10">
        <f>MAX(MAX(1.4/'Parametros'!$B$3,0.25*SQRT('Parametros'!$B$2)/'Parametros'!$B$3)*H418*U418,(0.85*'Parametros'!$B$2/'Parametros'!$B$3)*(1-SQRT(1-2*(J418*1000000/('Parametros'!$B$5*H418*U418^2))/(0.85*'Parametros'!$B$2)))*H418*U418)</f>
        <v>853.748906468632</v>
      </c>
      <c r="S418" s="31" t="n">
        <v>5</v>
      </c>
      <c r="T418" s="32" t="n">
        <v>1</v>
      </c>
      <c r="U418" s="10">
        <f>IF(T418=1,I418-('Parametros'!$B$7+'Parametros'!$B$9+'Parametros'!$B$12/2),I418-(ROUNDUP(S418/2,0)*('Parametros'!$B$7+'Parametros'!$B$9+'Parametros'!$B$12/2)+ROUNDDOWN(S418/2,0)*('Parametros'!$B$7+'Parametros'!$B$9+'Parametros'!$B$12/2+'Parametros'!$B$12+'Parametros'!$B$10))/S418)</f>
        <v>489.35</v>
      </c>
      <c r="V418" s="10">
        <f>S418*'Parametros'!$B$8</f>
        <v>995</v>
      </c>
      <c r="W418" s="10">
        <f>'Parametros'!$B$5*V418*'Parametros'!$B$3*(U418-(V418*'Parametros'!$B$3/(0.85*'Parametros'!$B$2*H418))/2)/1000000</f>
        <v>177.445379382353</v>
      </c>
      <c r="X418" s="10" t="str">
        <f>IF(W418&gt;=J418,"CUMPLE","NO CUMPLE")</f>
        <v>CUMPLE</v>
      </c>
      <c r="Y418" s="10">
        <f>MAX(MAX(1.4/'Parametros'!$B$3,0.25*SQRT('Parametros'!$B$2)/'Parametros'!$B$3)*H418*AB418,(0.85*'Parametros'!$B$2/'Parametros'!$B$3)*(1-SQRT(1-2*(L418*1000000/('Parametros'!$B$5*H418*AB418^2))/(0.85*'Parametros'!$B$2)))*H418*AB418)</f>
        <v>815.583333333333</v>
      </c>
      <c r="Z418" s="31" t="n">
        <v>5</v>
      </c>
      <c r="AA418" s="32" t="n">
        <v>1</v>
      </c>
      <c r="AB418" s="10">
        <f>IF(AA418=1,I418-('Parametros'!$B$7+'Parametros'!$B$9+'Parametros'!$B$12/2),I418-(ROUNDUP(Z418/2,0)*('Parametros'!$B$7+'Parametros'!$B$9+'Parametros'!$B$12/2)+ROUNDDOWN(Z418/2,0)*('Parametros'!$B$7+'Parametros'!$B$9+'Parametros'!$B$12/2+'Parametros'!$B$12+'Parametros'!$B$10))/Z418)</f>
        <v>489.35</v>
      </c>
      <c r="AC418" s="10">
        <f>Z418*'Parametros'!$B$8</f>
        <v>995</v>
      </c>
      <c r="AD418" s="10">
        <f>'Parametros'!$B$5*AC418*'Parametros'!$B$3*(AB418-(AC418*'Parametros'!$B$3/(0.85*'Parametros'!$B$2*H418))/2)/1000000</f>
        <v>177.445379382353</v>
      </c>
      <c r="AE418" s="10" t="str">
        <f>IF(AD418&gt;=L418,"CUMPLE","NO CUMPLE")</f>
        <v>CUMPLE</v>
      </c>
      <c r="AF418" s="10">
        <f>V418*1.25*'Parametros'!$B$3*(U418-(V418*1.25*'Parametros'!$B$3/(0.85*'Parametros'!$B$2*H418))/2)/1000000</f>
        <v>244.158843198529</v>
      </c>
      <c r="AG418" s="10">
        <f>AC418*1.25*'Parametros'!$B$3*(AB418-(AC418*1.25*'Parametros'!$B$3/(0.85*'Parametros'!$B$2*H418))/2)/1000000</f>
        <v>244.158843198529</v>
      </c>
      <c r="AH418" s="10">
        <f>N418+(AF418+AG418)/D418</f>
        <v>254.930580662019</v>
      </c>
      <c r="AI418" s="10">
        <f>MAX(O418,AH418)</f>
        <v>325.818</v>
      </c>
      <c r="AJ418" s="10">
        <f>0.17*SQRT('Parametros'!$B$2)*H418*MIN(U418,AB418)/1000</f>
        <v>220.098728691808</v>
      </c>
      <c r="AK418" s="10">
        <f>MAX(AI418/'Parametros'!$B$6-AJ418,0)</f>
        <v>214.325271308192</v>
      </c>
      <c r="AL418" s="10">
        <f>0.66*SQRT('Parametros'!$B$2)*H418*MIN(U418,AB418)/1000</f>
        <v>854.500946685842</v>
      </c>
      <c r="AM418" s="10" t="str">
        <f>IF(AK418&lt;=AL418,"CUMPLE","NO CUMPLE")</f>
        <v>CUMPLE</v>
      </c>
      <c r="AN418" s="17" t="inlineStr">
        <is>
          <t>Nº3 cerrado</t>
        </is>
      </c>
      <c r="AO418" s="31" t="n">
        <v>2</v>
      </c>
      <c r="AP418" s="10">
        <f>ROUNDDOWN(MIN(IF(BC418+BD418=0,1000000000,AO418*BB418/(BC418+BD418)),MIN(U418,AB418)/4,8*'Parametros'!$B$12,24*BA418,300,IF(AV418=0,1000000000,2*((H418-2*('Parametros'!$B$7+'Parametros'!$B$9/2))+(I418-2*('Parametros'!$B$7+'Parametros'!$B$9/2)))/8))/10,0)*10</f>
        <v>120</v>
      </c>
      <c r="AQ418" s="10">
        <f>ROUNDDOWN(MIN(IF(BC418+BD418=0,1000000000,AO418*BB418/(BC418+BD418)),IF(AK418&gt;0.33*SQRT('Parametros'!$B$2)*H418*MIN(U418,AB418)/1000,MIN(U418,AB418)/4,MIN(U418,AB418)/2),600,IF(AV418=0,1000000000,2*((H418-2*('Parametros'!$B$7+'Parametros'!$B$9/2))+(I418-2*('Parametros'!$B$7+'Parametros'!$B$9/2)))/8))/10,0)*10</f>
        <v>130</v>
      </c>
      <c r="AR418" s="10">
        <f>'Parametros'!$B$6*(AJ418+MAX(BE418-BD418,0)*'Parametros'!$B$4*MIN(U418,AB418)/1000)</f>
        <v>347.479259018856</v>
      </c>
      <c r="AS418" s="10" t="str">
        <f>IF(AND(ISERROR(SEARCH("referencia",AN418)),AM418="CUMPLE",AR418&gt;=AI418),"CUMPLE","NO CUMPLE")</f>
        <v>CUMPLE</v>
      </c>
      <c r="AT418" s="10">
        <f>'Parametros'!$B$6*0.083*SQRT('Parametros'!$B$2)*(H418*I418)^2/(2*(H418+I418))/1000000</f>
        <v>11.862178757599</v>
      </c>
      <c r="AU418" s="10" t="str">
        <f>IF(Q418&lt;=AT418,"DESPRECIABLE","DISEÑAR")</f>
        <v>DESPRECIABLE</v>
      </c>
      <c r="AV418" s="10">
        <f>IF(Q418&lt;=AT418,0,Q418*1000000/('Parametros'!$B$6*2*0.85*(H418-2*('Parametros'!$B$7+'Parametros'!$B$9/2))*(I418-2*('Parametros'!$B$7+'Parametros'!$B$9/2))*'Parametros'!$B$4))</f>
        <v>0</v>
      </c>
      <c r="AW418" s="10">
        <f>AV418*2*((H418-2*('Parametros'!$B$7+'Parametros'!$B$9/2))+(I418-2*('Parametros'!$B$7+'Parametros'!$B$9/2)))*'Parametros'!$B$4/'Parametros'!$B$3</f>
        <v>0</v>
      </c>
      <c r="AX418" s="31" t="n">
        <v>0</v>
      </c>
      <c r="AY418" s="10" t="str">
        <f>IF(AV418=0,"DESPRECIABLE",IF(AND(ISERROR(SEARCH("referencia",AN418)),BB418/AP418&gt;=AV418,BI418&gt;=AW418,BH418="CUMPLE"),"CUMPLE","NO CUMPLE"))</f>
        <v>DESPRECIABLE</v>
      </c>
      <c r="AZ418" s="10" t="str">
        <f>IF(AND(X418="CUMPLE",AE418="CUMPLE",AS418="CUMPLE",OR(AY418="CUMPLE",AY418="DESPRECIABLE"),BH418="CUMPLE",BJ418="CUMPLE"),"CUMPLE","NO CUMPLE")</f>
        <v>CUMPLE</v>
      </c>
      <c r="BA418" s="32" t="n">
        <v>9.5</v>
      </c>
      <c r="BB418" s="32" t="n">
        <v>71</v>
      </c>
      <c r="BC418" s="10">
        <f>MAX(IF(AK418=0,0,AK418*1000/('Parametros'!$B$4*MIN(U418,AB418))),MAX(0.062*SQRT('Parametros'!$B$2)*H418/'Parametros'!$B$4,0.35*H418/'Parametros'!$B$4))</f>
        <v>1.04280834784818</v>
      </c>
      <c r="BD418" s="10">
        <f>2*AV418</f>
        <v>0</v>
      </c>
      <c r="BE418" s="10">
        <f>AO418*BB418/AP418</f>
        <v>1.18333333333333</v>
      </c>
      <c r="BF418" s="10">
        <f>SQRT((AI418*1000/(H418*MIN(U418,AB418)))^2+(Q418*1000000*2*((H418-2*('Parametros'!$B$7+'Parametros'!$B$9/2))+(I418-2*('Parametros'!$B$7+'Parametros'!$B$9/2)))/(1.7*((H418-2*('Parametros'!$B$7+'Parametros'!$B$9/2))*(I418-2*('Parametros'!$B$7+'Parametros'!$B$9/2)))^2))^2)</f>
        <v>1.34181192830218</v>
      </c>
      <c r="BG418" s="10">
        <f>'Parametros'!$B$6*(AJ418*1000/(H418*MIN(U418,AB418))+0.66*SQRT('Parametros'!$B$2))</f>
        <v>3.29396038227542</v>
      </c>
      <c r="BH418" s="10" t="str">
        <f>IF(BF418&lt;=BG418,"CUMPLE","NO CUMPLE")</f>
        <v>CUMPLE</v>
      </c>
      <c r="BI418" s="10">
        <f>AX418*'Parametros'!$B$8</f>
        <v>0</v>
      </c>
      <c r="BJ418" s="10" t="str">
        <f>IF(BI418&gt;=AW418,"CUMPLE","NO CUMPLE")</f>
        <v>CUMPLE</v>
      </c>
    </row>
    <row r="419">
      <c r="A419" s="25" t="inlineStr">
        <is>
          <t>VR2</t>
        </is>
      </c>
      <c r="B419" s="25" t="inlineStr">
        <is>
          <t>774</t>
        </is>
      </c>
      <c r="C419" s="10" t="n">
        <v>1</v>
      </c>
      <c r="D419" s="10" t="n">
        <v>2.1</v>
      </c>
      <c r="E419" s="10" t="n">
        <v>2.1</v>
      </c>
      <c r="F419" s="10" t="n">
        <v>500</v>
      </c>
      <c r="G419" s="10" t="n">
        <v>550</v>
      </c>
      <c r="H419" s="17" t="n">
        <v>500</v>
      </c>
      <c r="I419" s="17" t="n">
        <v>550</v>
      </c>
      <c r="J419" s="30" t="n">
        <v>182.7581</v>
      </c>
      <c r="K419" s="10" t="inlineStr">
        <is>
          <t>774</t>
        </is>
      </c>
      <c r="L419" s="30" t="n">
        <v>141.6264</v>
      </c>
      <c r="M419" s="10" t="inlineStr">
        <is>
          <t>774</t>
        </is>
      </c>
      <c r="N419" s="30" t="n">
        <v>161.719</v>
      </c>
      <c r="O419" s="30" t="n">
        <v>493.634</v>
      </c>
      <c r="P419" s="10" t="inlineStr">
        <is>
          <t>774</t>
        </is>
      </c>
      <c r="Q419" s="30" t="n">
        <v>56.597</v>
      </c>
      <c r="R419" s="10">
        <f>MAX(MAX(1.4/'Parametros'!$B$3,0.25*SQRT('Parametros'!$B$2)/'Parametros'!$B$3)*H419*U419,(0.85*'Parametros'!$B$2/'Parametros'!$B$3)*(1-SQRT(1-2*(J419*1000000/('Parametros'!$B$5*H419*U419^2))/(0.85*'Parametros'!$B$2)))*H419*U419)</f>
        <v>1025.97919473469</v>
      </c>
      <c r="S419" s="31" t="n">
        <v>6</v>
      </c>
      <c r="T419" s="32" t="n">
        <v>1</v>
      </c>
      <c r="U419" s="10">
        <f>IF(T419=1,I419-('Parametros'!$B$7+'Parametros'!$B$9+'Parametros'!$B$12/2),I419-(ROUNDUP(S419/2,0)*('Parametros'!$B$7+'Parametros'!$B$9+'Parametros'!$B$12/2)+ROUNDDOWN(S419/2,0)*('Parametros'!$B$7+'Parametros'!$B$9+'Parametros'!$B$12/2+'Parametros'!$B$12+'Parametros'!$B$10))/S419)</f>
        <v>489.35</v>
      </c>
      <c r="V419" s="10">
        <f>S419*'Parametros'!$B$8</f>
        <v>1194</v>
      </c>
      <c r="W419" s="10">
        <f>'Parametros'!$B$5*V419*'Parametros'!$B$3*(U419-(V419*'Parametros'!$B$3/(0.85*'Parametros'!$B$2*H419))/2)/1000000</f>
        <v>211.349483470588</v>
      </c>
      <c r="X419" s="10" t="str">
        <f>IF(W419&gt;=J419,"CUMPLE","NO CUMPLE")</f>
        <v>CUMPLE</v>
      </c>
      <c r="Y419" s="10">
        <f>MAX(MAX(1.4/'Parametros'!$B$3,0.25*SQRT('Parametros'!$B$2)/'Parametros'!$B$3)*H419*AB419,(0.85*'Parametros'!$B$2/'Parametros'!$B$3)*(1-SQRT(1-2*(L419*1000000/('Parametros'!$B$5*H419*AB419^2))/(0.85*'Parametros'!$B$2)))*H419*AB419)</f>
        <v>815.583333333333</v>
      </c>
      <c r="Z419" s="31" t="n">
        <v>5</v>
      </c>
      <c r="AA419" s="32" t="n">
        <v>1</v>
      </c>
      <c r="AB419" s="10">
        <f>IF(AA419=1,I419-('Parametros'!$B$7+'Parametros'!$B$9+'Parametros'!$B$12/2),I419-(ROUNDUP(Z419/2,0)*('Parametros'!$B$7+'Parametros'!$B$9+'Parametros'!$B$12/2)+ROUNDDOWN(Z419/2,0)*('Parametros'!$B$7+'Parametros'!$B$9+'Parametros'!$B$12/2+'Parametros'!$B$12+'Parametros'!$B$10))/Z419)</f>
        <v>489.35</v>
      </c>
      <c r="AC419" s="10">
        <f>Z419*'Parametros'!$B$8</f>
        <v>995</v>
      </c>
      <c r="AD419" s="10">
        <f>'Parametros'!$B$5*AC419*'Parametros'!$B$3*(AB419-(AC419*'Parametros'!$B$3/(0.85*'Parametros'!$B$2*H419))/2)/1000000</f>
        <v>177.445379382353</v>
      </c>
      <c r="AE419" s="10" t="str">
        <f>IF(AD419&gt;=L419,"CUMPLE","NO CUMPLE")</f>
        <v>CUMPLE</v>
      </c>
      <c r="AF419" s="10">
        <f>V419*1.25*'Parametros'!$B$3*(U419-(V419*1.25*'Parametros'!$B$3/(0.85*'Parametros'!$B$2*H419))/2)/1000000</f>
        <v>290.238924705882</v>
      </c>
      <c r="AG419" s="10">
        <f>AC419*1.25*'Parametros'!$B$3*(AB419-(AC419*1.25*'Parametros'!$B$3/(0.85*'Parametros'!$B$2*H419))/2)/1000000</f>
        <v>244.158843198529</v>
      </c>
      <c r="AH419" s="10">
        <f>N419+(AF419+AG419)/D419</f>
        <v>416.194127573529</v>
      </c>
      <c r="AI419" s="10">
        <f>MAX(O419,AH419)</f>
        <v>493.634</v>
      </c>
      <c r="AJ419" s="10">
        <f>0.17*SQRT('Parametros'!$B$2)*H419*MIN(U419,AB419)/1000</f>
        <v>220.098728691808</v>
      </c>
      <c r="AK419" s="10">
        <f>MAX(AI419/'Parametros'!$B$6-AJ419,0)</f>
        <v>438.079937974859</v>
      </c>
      <c r="AL419" s="10">
        <f>0.66*SQRT('Parametros'!$B$2)*H419*MIN(U419,AB419)/1000</f>
        <v>854.500946685842</v>
      </c>
      <c r="AM419" s="10" t="str">
        <f>IF(AK419&lt;=AL419,"CUMPLE","NO CUMPLE")</f>
        <v>CUMPLE</v>
      </c>
      <c r="AN419" s="17" t="inlineStr">
        <is>
          <t>Nº3 cerrado</t>
        </is>
      </c>
      <c r="AO419" s="31" t="n">
        <v>4</v>
      </c>
      <c r="AP419" s="10">
        <f>ROUNDDOWN(MIN(IF(BC419+BD419=0,1000000000,AO419*BB419/(BC419+BD419)),MIN(U419,AB419)/4,8*'Parametros'!$B$12,24*BA419,300,IF(AV419=0,1000000000,2*((H419-2*('Parametros'!$B$7+'Parametros'!$B$9/2))+(I419-2*('Parametros'!$B$7+'Parametros'!$B$9/2)))/8))/10,0)*10</f>
        <v>80</v>
      </c>
      <c r="AQ419" s="10">
        <f>ROUNDDOWN(MIN(IF(BC419+BD419=0,1000000000,AO419*BB419/(BC419+BD419)),IF(AK419&gt;0.33*SQRT('Parametros'!$B$2)*H419*MIN(U419,AB419)/1000,MIN(U419,AB419)/4,MIN(U419,AB419)/2),600,IF(AV419=0,1000000000,2*((H419-2*('Parametros'!$B$7+'Parametros'!$B$9/2))+(I419-2*('Parametros'!$B$7+'Parametros'!$B$9/2)))/8))/10,0)*10</f>
        <v>80</v>
      </c>
      <c r="AR419" s="10">
        <f>'Parametros'!$B$6*(AJ419+MAX(BE419-BD419,0)*'Parametros'!$B$4*MIN(U419,AB419)/1000)</f>
        <v>537.353976064437</v>
      </c>
      <c r="AS419" s="10" t="str">
        <f>IF(AND(ISERROR(SEARCH("referencia",AN419)),AM419="CUMPLE",AR419&gt;=AI419),"CUMPLE","NO CUMPLE")</f>
        <v>CUMPLE</v>
      </c>
      <c r="AT419" s="10">
        <f>'Parametros'!$B$6*0.083*SQRT('Parametros'!$B$2)*(H419*I419)^2/(2*(H419+I419))/1000000</f>
        <v>11.862178757599</v>
      </c>
      <c r="AU419" s="10" t="str">
        <f>IF(Q419&lt;=AT419,"DESPRECIABLE","DISEÑAR")</f>
        <v>DISEÑAR</v>
      </c>
      <c r="AV419" s="10">
        <f>IF(Q419&lt;=AT419,0,Q419*1000000/('Parametros'!$B$6*2*0.85*(H419-2*('Parametros'!$B$7+'Parametros'!$B$9/2))*(I419-2*('Parametros'!$B$7+'Parametros'!$B$9/2))*'Parametros'!$B$4))</f>
        <v>0.567437880682079</v>
      </c>
      <c r="AW419" s="10">
        <f>AV419*2*((H419-2*('Parametros'!$B$7+'Parametros'!$B$9/2))+(I419-2*('Parametros'!$B$7+'Parametros'!$B$9/2)))*'Parametros'!$B$4/'Parametros'!$B$3</f>
        <v>981.213583275452</v>
      </c>
      <c r="AX419" s="31" t="n">
        <v>8</v>
      </c>
      <c r="AY419" s="10" t="str">
        <f>IF(AV419=0,"DESPRECIABLE",IF(AND(ISERROR(SEARCH("referencia",AN419)),BB419/AP419&gt;=AV419,BI419&gt;=AW419,BH419="CUMPLE"),"CUMPLE","NO CUMPLE"))</f>
        <v>CUMPLE</v>
      </c>
      <c r="AZ419" s="10" t="str">
        <f>IF(AND(X419="CUMPLE",AE419="CUMPLE",AS419="CUMPLE",OR(AY419="CUMPLE",AY419="DESPRECIABLE"),BH419="CUMPLE",BJ419="CUMPLE"),"CUMPLE","NO CUMPLE")</f>
        <v>CUMPLE</v>
      </c>
      <c r="BA419" s="32" t="n">
        <v>9.5</v>
      </c>
      <c r="BB419" s="32" t="n">
        <v>71</v>
      </c>
      <c r="BC419" s="10">
        <f>MAX(IF(AK419=0,0,AK419*1000/('Parametros'!$B$4*MIN(U419,AB419))),MAX(0.062*SQRT('Parametros'!$B$2)*H419/'Parametros'!$B$4,0.35*H419/'Parametros'!$B$4))</f>
        <v>2.13149580334875</v>
      </c>
      <c r="BD419" s="10">
        <f>2*AV419</f>
        <v>1.13487576136416</v>
      </c>
      <c r="BE419" s="10">
        <f>AO419*BB419/AP419</f>
        <v>3.55</v>
      </c>
      <c r="BF419" s="10">
        <f>SQRT((AI419*1000/(H419*MIN(U419,AB419)))^2+(Q419*1000000*2*((H419-2*('Parametros'!$B$7+'Parametros'!$B$9/2))+(I419-2*('Parametros'!$B$7+'Parametros'!$B$9/2)))/(1.7*((H419-2*('Parametros'!$B$7+'Parametros'!$B$9/2))*(I419-2*('Parametros'!$B$7+'Parametros'!$B$9/2)))^2))^2)</f>
        <v>2.61228724088193</v>
      </c>
      <c r="BG419" s="10">
        <f>'Parametros'!$B$6*(AJ419*1000/(H419*MIN(U419,AB419))+0.66*SQRT('Parametros'!$B$2))</f>
        <v>3.29396038227542</v>
      </c>
      <c r="BH419" s="10" t="str">
        <f>IF(BF419&lt;=BG419,"CUMPLE","NO CUMPLE")</f>
        <v>CUMPLE</v>
      </c>
      <c r="BI419" s="10">
        <f>AX419*'Parametros'!$B$8</f>
        <v>1592</v>
      </c>
      <c r="BJ419" s="10" t="str">
        <f>IF(BI419&gt;=AW419,"CUMPLE","NO CUMPLE")</f>
        <v>CUMPLE</v>
      </c>
    </row>
    <row r="420">
      <c r="A420" s="25" t="inlineStr">
        <is>
          <t>VR2</t>
        </is>
      </c>
      <c r="B420" s="25" t="inlineStr">
        <is>
          <t>775</t>
        </is>
      </c>
      <c r="C420" s="10" t="n">
        <v>1</v>
      </c>
      <c r="D420" s="10" t="n">
        <v>2.2</v>
      </c>
      <c r="E420" s="10" t="n">
        <v>2.2</v>
      </c>
      <c r="F420" s="10" t="n">
        <v>500</v>
      </c>
      <c r="G420" s="10" t="n">
        <v>550</v>
      </c>
      <c r="H420" s="17" t="n">
        <v>500</v>
      </c>
      <c r="I420" s="17" t="n">
        <v>550</v>
      </c>
      <c r="J420" s="30" t="n">
        <v>183.6267</v>
      </c>
      <c r="K420" s="10" t="inlineStr">
        <is>
          <t>775</t>
        </is>
      </c>
      <c r="L420" s="30" t="n">
        <v>140.1191</v>
      </c>
      <c r="M420" s="10" t="inlineStr">
        <is>
          <t>775</t>
        </is>
      </c>
      <c r="N420" s="30" t="n">
        <v>158.74</v>
      </c>
      <c r="O420" s="30" t="n">
        <v>480.693</v>
      </c>
      <c r="P420" s="10" t="inlineStr">
        <is>
          <t>775</t>
        </is>
      </c>
      <c r="Q420" s="30" t="n">
        <v>54.721</v>
      </c>
      <c r="R420" s="10">
        <f>MAX(MAX(1.4/'Parametros'!$B$3,0.25*SQRT('Parametros'!$B$2)/'Parametros'!$B$3)*H420*U420,(0.85*'Parametros'!$B$2/'Parametros'!$B$3)*(1-SQRT(1-2*(J420*1000000/('Parametros'!$B$5*H420*U420^2))/(0.85*'Parametros'!$B$2)))*H420*U420)</f>
        <v>1031.05123164285</v>
      </c>
      <c r="S420" s="31" t="n">
        <v>6</v>
      </c>
      <c r="T420" s="32" t="n">
        <v>1</v>
      </c>
      <c r="U420" s="10">
        <f>IF(T420=1,I420-('Parametros'!$B$7+'Parametros'!$B$9+'Parametros'!$B$12/2),I420-(ROUNDUP(S420/2,0)*('Parametros'!$B$7+'Parametros'!$B$9+'Parametros'!$B$12/2)+ROUNDDOWN(S420/2,0)*('Parametros'!$B$7+'Parametros'!$B$9+'Parametros'!$B$12/2+'Parametros'!$B$12+'Parametros'!$B$10))/S420)</f>
        <v>489.35</v>
      </c>
      <c r="V420" s="10">
        <f>S420*'Parametros'!$B$8</f>
        <v>1194</v>
      </c>
      <c r="W420" s="10">
        <f>'Parametros'!$B$5*V420*'Parametros'!$B$3*(U420-(V420*'Parametros'!$B$3/(0.85*'Parametros'!$B$2*H420))/2)/1000000</f>
        <v>211.349483470588</v>
      </c>
      <c r="X420" s="10" t="str">
        <f>IF(W420&gt;=J420,"CUMPLE","NO CUMPLE")</f>
        <v>CUMPLE</v>
      </c>
      <c r="Y420" s="10">
        <f>MAX(MAX(1.4/'Parametros'!$B$3,0.25*SQRT('Parametros'!$B$2)/'Parametros'!$B$3)*H420*AB420,(0.85*'Parametros'!$B$2/'Parametros'!$B$3)*(1-SQRT(1-2*(L420*1000000/('Parametros'!$B$5*H420*AB420^2))/(0.85*'Parametros'!$B$2)))*H420*AB420)</f>
        <v>815.583333333333</v>
      </c>
      <c r="Z420" s="31" t="n">
        <v>5</v>
      </c>
      <c r="AA420" s="32" t="n">
        <v>1</v>
      </c>
      <c r="AB420" s="10">
        <f>IF(AA420=1,I420-('Parametros'!$B$7+'Parametros'!$B$9+'Parametros'!$B$12/2),I420-(ROUNDUP(Z420/2,0)*('Parametros'!$B$7+'Parametros'!$B$9+'Parametros'!$B$12/2)+ROUNDDOWN(Z420/2,0)*('Parametros'!$B$7+'Parametros'!$B$9+'Parametros'!$B$12/2+'Parametros'!$B$12+'Parametros'!$B$10))/Z420)</f>
        <v>489.35</v>
      </c>
      <c r="AC420" s="10">
        <f>Z420*'Parametros'!$B$8</f>
        <v>995</v>
      </c>
      <c r="AD420" s="10">
        <f>'Parametros'!$B$5*AC420*'Parametros'!$B$3*(AB420-(AC420*'Parametros'!$B$3/(0.85*'Parametros'!$B$2*H420))/2)/1000000</f>
        <v>177.445379382353</v>
      </c>
      <c r="AE420" s="10" t="str">
        <f>IF(AD420&gt;=L420,"CUMPLE","NO CUMPLE")</f>
        <v>CUMPLE</v>
      </c>
      <c r="AF420" s="10">
        <f>V420*1.25*'Parametros'!$B$3*(U420-(V420*1.25*'Parametros'!$B$3/(0.85*'Parametros'!$B$2*H420))/2)/1000000</f>
        <v>290.238924705882</v>
      </c>
      <c r="AG420" s="10">
        <f>AC420*1.25*'Parametros'!$B$3*(AB420-(AC420*1.25*'Parametros'!$B$3/(0.85*'Parametros'!$B$2*H420))/2)/1000000</f>
        <v>244.158843198529</v>
      </c>
      <c r="AH420" s="10">
        <f>N420+(AF420+AG420)/D420</f>
        <v>401.648076320187</v>
      </c>
      <c r="AI420" s="10">
        <f>MAX(O420,AH420)</f>
        <v>480.693</v>
      </c>
      <c r="AJ420" s="10">
        <f>0.17*SQRT('Parametros'!$B$2)*H420*MIN(U420,AB420)/1000</f>
        <v>220.098728691808</v>
      </c>
      <c r="AK420" s="10">
        <f>MAX(AI420/'Parametros'!$B$6-AJ420,0)</f>
        <v>420.825271308192</v>
      </c>
      <c r="AL420" s="10">
        <f>0.66*SQRT('Parametros'!$B$2)*H420*MIN(U420,AB420)/1000</f>
        <v>854.500946685842</v>
      </c>
      <c r="AM420" s="10" t="str">
        <f>IF(AK420&lt;=AL420,"CUMPLE","NO CUMPLE")</f>
        <v>CUMPLE</v>
      </c>
      <c r="AN420" s="17" t="inlineStr">
        <is>
          <t>Nº4 cerrado</t>
        </is>
      </c>
      <c r="AO420" s="31" t="n">
        <v>2</v>
      </c>
      <c r="AP420" s="10">
        <f>ROUNDDOWN(MIN(IF(BC420+BD420=0,1000000000,AO420*BB420/(BC420+BD420)),MIN(U420,AB420)/4,8*'Parametros'!$B$12,24*BA420,300,IF(AV420=0,1000000000,2*((H420-2*('Parametros'!$B$7+'Parametros'!$B$9/2))+(I420-2*('Parametros'!$B$7+'Parametros'!$B$9/2)))/8))/10,0)*10</f>
        <v>80</v>
      </c>
      <c r="AQ420" s="10">
        <f>ROUNDDOWN(MIN(IF(BC420+BD420=0,1000000000,AO420*BB420/(BC420+BD420)),IF(AK420&gt;0.33*SQRT('Parametros'!$B$2)*H420*MIN(U420,AB420)/1000,MIN(U420,AB420)/4,MIN(U420,AB420)/2),600,IF(AV420=0,1000000000,2*((H420-2*('Parametros'!$B$7+'Parametros'!$B$9/2))+(I420-2*('Parametros'!$B$7+'Parametros'!$B$9/2)))/8))/10,0)*10</f>
        <v>80</v>
      </c>
      <c r="AR420" s="10">
        <f>'Parametros'!$B$6*(AJ420+MAX(BE420-BD420,0)*'Parametros'!$B$4*MIN(U420,AB420)/1000)</f>
        <v>493.055299561994</v>
      </c>
      <c r="AS420" s="10" t="str">
        <f>IF(AND(ISERROR(SEARCH("referencia",AN420)),AM420="CUMPLE",AR420&gt;=AI420),"CUMPLE","NO CUMPLE")</f>
        <v>CUMPLE</v>
      </c>
      <c r="AT420" s="10">
        <f>'Parametros'!$B$6*0.083*SQRT('Parametros'!$B$2)*(H420*I420)^2/(2*(H420+I420))/1000000</f>
        <v>11.862178757599</v>
      </c>
      <c r="AU420" s="10" t="str">
        <f>IF(Q420&lt;=AT420,"DESPRECIABLE","DISEÑAR")</f>
        <v>DISEÑAR</v>
      </c>
      <c r="AV420" s="10">
        <f>IF(Q420&lt;=AT420,0,Q420*1000000/('Parametros'!$B$6*2*0.85*(H420-2*('Parametros'!$B$7+'Parametros'!$B$9/2))*(I420-2*('Parametros'!$B$7+'Parametros'!$B$9/2))*'Parametros'!$B$4))</f>
        <v>0.548629225379509</v>
      </c>
      <c r="AW420" s="10">
        <f>AV420*2*((H420-2*('Parametros'!$B$7+'Parametros'!$B$9/2))+(I420-2*('Parametros'!$B$7+'Parametros'!$B$9/2)))*'Parametros'!$B$4/'Parametros'!$B$3</f>
        <v>948.689656526247</v>
      </c>
      <c r="AX420" s="31" t="n">
        <v>8</v>
      </c>
      <c r="AY420" s="10" t="str">
        <f>IF(AV420=0,"DESPRECIABLE",IF(AND(ISERROR(SEARCH("referencia",AN420)),BB420/AP420&gt;=AV420,BI420&gt;=AW420,BH420="CUMPLE"),"CUMPLE","NO CUMPLE"))</f>
        <v>CUMPLE</v>
      </c>
      <c r="AZ420" s="10" t="str">
        <f>IF(AND(X420="CUMPLE",AE420="CUMPLE",AS420="CUMPLE",OR(AY420="CUMPLE",AY420="DESPRECIABLE"),BH420="CUMPLE",BJ420="CUMPLE"),"CUMPLE","NO CUMPLE")</f>
        <v>CUMPLE</v>
      </c>
      <c r="BA420" s="32" t="n">
        <v>12.7</v>
      </c>
      <c r="BB420" s="32" t="n">
        <v>129</v>
      </c>
      <c r="BC420" s="10">
        <f>MAX(IF(AK420=0,0,AK420*1000/('Parametros'!$B$4*MIN(U420,AB420))),MAX(0.062*SQRT('Parametros'!$B$2)*H420/'Parametros'!$B$4,0.35*H420/'Parametros'!$B$4))</f>
        <v>2.04754251902763</v>
      </c>
      <c r="BD420" s="10">
        <f>2*AV420</f>
        <v>1.09725845075902</v>
      </c>
      <c r="BE420" s="10">
        <f>AO420*BB420/AP420</f>
        <v>3.225</v>
      </c>
      <c r="BF420" s="10">
        <f>SQRT((AI420*1000/(H420*MIN(U420,AB420)))^2+(Q420*1000000*2*((H420-2*('Parametros'!$B$7+'Parametros'!$B$9/2))+(I420-2*('Parametros'!$B$7+'Parametros'!$B$9/2)))/(1.7*((H420-2*('Parametros'!$B$7+'Parametros'!$B$9/2))*(I420-2*('Parametros'!$B$7+'Parametros'!$B$9/2)))^2))^2)</f>
        <v>2.53651359533188</v>
      </c>
      <c r="BG420" s="10">
        <f>'Parametros'!$B$6*(AJ420*1000/(H420*MIN(U420,AB420))+0.66*SQRT('Parametros'!$B$2))</f>
        <v>3.29396038227542</v>
      </c>
      <c r="BH420" s="10" t="str">
        <f>IF(BF420&lt;=BG420,"CUMPLE","NO CUMPLE")</f>
        <v>CUMPLE</v>
      </c>
      <c r="BI420" s="10">
        <f>AX420*'Parametros'!$B$8</f>
        <v>1592</v>
      </c>
      <c r="BJ420" s="10" t="str">
        <f>IF(BI420&gt;=AW420,"CUMPLE","NO CUMPLE")</f>
        <v>CUMPLE</v>
      </c>
    </row>
    <row r="421">
      <c r="A421" s="25" t="inlineStr">
        <is>
          <t>VR2</t>
        </is>
      </c>
      <c r="B421" s="25" t="inlineStr">
        <is>
          <t>776</t>
        </is>
      </c>
      <c r="C421" s="10" t="n">
        <v>1</v>
      </c>
      <c r="D421" s="10" t="n">
        <v>3.57612</v>
      </c>
      <c r="E421" s="10" t="n">
        <v>3.57612</v>
      </c>
      <c r="F421" s="10" t="n">
        <v>500</v>
      </c>
      <c r="G421" s="10" t="n">
        <v>550</v>
      </c>
      <c r="H421" s="17" t="n">
        <v>500</v>
      </c>
      <c r="I421" s="17" t="n">
        <v>550</v>
      </c>
      <c r="J421" s="30" t="n">
        <v>153.0477</v>
      </c>
      <c r="K421" s="10" t="inlineStr">
        <is>
          <t>776</t>
        </is>
      </c>
      <c r="L421" s="30" t="n">
        <v>87.87430000000001</v>
      </c>
      <c r="M421" s="10" t="inlineStr">
        <is>
          <t>776</t>
        </is>
      </c>
      <c r="N421" s="30" t="n">
        <v>118.3</v>
      </c>
      <c r="O421" s="30" t="n">
        <v>325.034</v>
      </c>
      <c r="P421" s="10" t="inlineStr">
        <is>
          <t>776</t>
        </is>
      </c>
      <c r="Q421" s="30" t="n">
        <v>5.6147</v>
      </c>
      <c r="R421" s="10">
        <f>MAX(MAX(1.4/'Parametros'!$B$3,0.25*SQRT('Parametros'!$B$2)/'Parametros'!$B$3)*H421*U421,(0.85*'Parametros'!$B$2/'Parametros'!$B$3)*(1-SQRT(1-2*(J421*1000000/('Parametros'!$B$5*H421*U421^2))/(0.85*'Parametros'!$B$2)))*H421*U421)</f>
        <v>853.680928142351</v>
      </c>
      <c r="S421" s="31" t="n">
        <v>5</v>
      </c>
      <c r="T421" s="32" t="n">
        <v>1</v>
      </c>
      <c r="U421" s="10">
        <f>IF(T421=1,I421-('Parametros'!$B$7+'Parametros'!$B$9+'Parametros'!$B$12/2),I421-(ROUNDUP(S421/2,0)*('Parametros'!$B$7+'Parametros'!$B$9+'Parametros'!$B$12/2)+ROUNDDOWN(S421/2,0)*('Parametros'!$B$7+'Parametros'!$B$9+'Parametros'!$B$12/2+'Parametros'!$B$12+'Parametros'!$B$10))/S421)</f>
        <v>489.35</v>
      </c>
      <c r="V421" s="10">
        <f>S421*'Parametros'!$B$8</f>
        <v>995</v>
      </c>
      <c r="W421" s="10">
        <f>'Parametros'!$B$5*V421*'Parametros'!$B$3*(U421-(V421*'Parametros'!$B$3/(0.85*'Parametros'!$B$2*H421))/2)/1000000</f>
        <v>177.445379382353</v>
      </c>
      <c r="X421" s="10" t="str">
        <f>IF(W421&gt;=J421,"CUMPLE","NO CUMPLE")</f>
        <v>CUMPLE</v>
      </c>
      <c r="Y421" s="10">
        <f>MAX(MAX(1.4/'Parametros'!$B$3,0.25*SQRT('Parametros'!$B$2)/'Parametros'!$B$3)*H421*AB421,(0.85*'Parametros'!$B$2/'Parametros'!$B$3)*(1-SQRT(1-2*(L421*1000000/('Parametros'!$B$5*H421*AB421^2))/(0.85*'Parametros'!$B$2)))*H421*AB421)</f>
        <v>815.583333333333</v>
      </c>
      <c r="Z421" s="31" t="n">
        <v>5</v>
      </c>
      <c r="AA421" s="32" t="n">
        <v>1</v>
      </c>
      <c r="AB421" s="10">
        <f>IF(AA421=1,I421-('Parametros'!$B$7+'Parametros'!$B$9+'Parametros'!$B$12/2),I421-(ROUNDUP(Z421/2,0)*('Parametros'!$B$7+'Parametros'!$B$9+'Parametros'!$B$12/2)+ROUNDDOWN(Z421/2,0)*('Parametros'!$B$7+'Parametros'!$B$9+'Parametros'!$B$12/2+'Parametros'!$B$12+'Parametros'!$B$10))/Z421)</f>
        <v>489.35</v>
      </c>
      <c r="AC421" s="10">
        <f>Z421*'Parametros'!$B$8</f>
        <v>995</v>
      </c>
      <c r="AD421" s="10">
        <f>'Parametros'!$B$5*AC421*'Parametros'!$B$3*(AB421-(AC421*'Parametros'!$B$3/(0.85*'Parametros'!$B$2*H421))/2)/1000000</f>
        <v>177.445379382353</v>
      </c>
      <c r="AE421" s="10" t="str">
        <f>IF(AD421&gt;=L421,"CUMPLE","NO CUMPLE")</f>
        <v>CUMPLE</v>
      </c>
      <c r="AF421" s="10">
        <f>V421*1.25*'Parametros'!$B$3*(U421-(V421*1.25*'Parametros'!$B$3/(0.85*'Parametros'!$B$2*H421))/2)/1000000</f>
        <v>244.158843198529</v>
      </c>
      <c r="AG421" s="10">
        <f>AC421*1.25*'Parametros'!$B$3*(AB421-(AC421*1.25*'Parametros'!$B$3/(0.85*'Parametros'!$B$2*H421))/2)/1000000</f>
        <v>244.158843198529</v>
      </c>
      <c r="AH421" s="10">
        <f>N421+(AF421+AG421)/D421</f>
        <v>254.849580662019</v>
      </c>
      <c r="AI421" s="10">
        <f>MAX(O421,AH421)</f>
        <v>325.034</v>
      </c>
      <c r="AJ421" s="10">
        <f>0.17*SQRT('Parametros'!$B$2)*H421*MIN(U421,AB421)/1000</f>
        <v>220.098728691808</v>
      </c>
      <c r="AK421" s="10">
        <f>MAX(AI421/'Parametros'!$B$6-AJ421,0)</f>
        <v>213.279937974859</v>
      </c>
      <c r="AL421" s="10">
        <f>0.66*SQRT('Parametros'!$B$2)*H421*MIN(U421,AB421)/1000</f>
        <v>854.500946685842</v>
      </c>
      <c r="AM421" s="10" t="str">
        <f>IF(AK421&lt;=AL421,"CUMPLE","NO CUMPLE")</f>
        <v>CUMPLE</v>
      </c>
      <c r="AN421" s="17" t="inlineStr">
        <is>
          <t>Nº3 cerrado</t>
        </is>
      </c>
      <c r="AO421" s="31" t="n">
        <v>2</v>
      </c>
      <c r="AP421" s="10">
        <f>ROUNDDOWN(MIN(IF(BC421+BD421=0,1000000000,AO421*BB421/(BC421+BD421)),MIN(U421,AB421)/4,8*'Parametros'!$B$12,24*BA421,300,IF(AV421=0,1000000000,2*((H421-2*('Parametros'!$B$7+'Parametros'!$B$9/2))+(I421-2*('Parametros'!$B$7+'Parametros'!$B$9/2)))/8))/10,0)*10</f>
        <v>120</v>
      </c>
      <c r="AQ421" s="10">
        <f>ROUNDDOWN(MIN(IF(BC421+BD421=0,1000000000,AO421*BB421/(BC421+BD421)),IF(AK421&gt;0.33*SQRT('Parametros'!$B$2)*H421*MIN(U421,AB421)/1000,MIN(U421,AB421)/4,MIN(U421,AB421)/2),600,IF(AV421=0,1000000000,2*((H421-2*('Parametros'!$B$7+'Parametros'!$B$9/2))+(I421-2*('Parametros'!$B$7+'Parametros'!$B$9/2)))/8))/10,0)*10</f>
        <v>130</v>
      </c>
      <c r="AR421" s="10">
        <f>'Parametros'!$B$6*(AJ421+MAX(BE421-BD421,0)*'Parametros'!$B$4*MIN(U421,AB421)/1000)</f>
        <v>347.479259018856</v>
      </c>
      <c r="AS421" s="10" t="str">
        <f>IF(AND(ISERROR(SEARCH("referencia",AN421)),AM421="CUMPLE",AR421&gt;=AI421),"CUMPLE","NO CUMPLE")</f>
        <v>CUMPLE</v>
      </c>
      <c r="AT421" s="10">
        <f>'Parametros'!$B$6*0.083*SQRT('Parametros'!$B$2)*(H421*I421)^2/(2*(H421+I421))/1000000</f>
        <v>11.862178757599</v>
      </c>
      <c r="AU421" s="10" t="str">
        <f>IF(Q421&lt;=AT421,"DESPRECIABLE","DISEÑAR")</f>
        <v>DESPRECIABLE</v>
      </c>
      <c r="AV421" s="10">
        <f>IF(Q421&lt;=AT421,0,Q421*1000000/('Parametros'!$B$6*2*0.85*(H421-2*('Parametros'!$B$7+'Parametros'!$B$9/2))*(I421-2*('Parametros'!$B$7+'Parametros'!$B$9/2))*'Parametros'!$B$4))</f>
        <v>0</v>
      </c>
      <c r="AW421" s="10">
        <f>AV421*2*((H421-2*('Parametros'!$B$7+'Parametros'!$B$9/2))+(I421-2*('Parametros'!$B$7+'Parametros'!$B$9/2)))*'Parametros'!$B$4/'Parametros'!$B$3</f>
        <v>0</v>
      </c>
      <c r="AX421" s="31" t="n">
        <v>0</v>
      </c>
      <c r="AY421" s="10" t="str">
        <f>IF(AV421=0,"DESPRECIABLE",IF(AND(ISERROR(SEARCH("referencia",AN421)),BB421/AP421&gt;=AV421,BI421&gt;=AW421,BH421="CUMPLE"),"CUMPLE","NO CUMPLE"))</f>
        <v>DESPRECIABLE</v>
      </c>
      <c r="AZ421" s="10" t="str">
        <f>IF(AND(X421="CUMPLE",AE421="CUMPLE",AS421="CUMPLE",OR(AY421="CUMPLE",AY421="DESPRECIABLE"),BH421="CUMPLE",BJ421="CUMPLE"),"CUMPLE","NO CUMPLE")</f>
        <v>CUMPLE</v>
      </c>
      <c r="BA421" s="32" t="n">
        <v>9.5</v>
      </c>
      <c r="BB421" s="32" t="n">
        <v>71</v>
      </c>
      <c r="BC421" s="10">
        <f>MAX(IF(AK421=0,0,AK421*1000/('Parametros'!$B$4*MIN(U421,AB421))),MAX(0.062*SQRT('Parametros'!$B$2)*H421/'Parametros'!$B$4,0.35*H421/'Parametros'!$B$4))</f>
        <v>1.0377222358856</v>
      </c>
      <c r="BD421" s="10">
        <f>2*AV421</f>
        <v>0</v>
      </c>
      <c r="BE421" s="10">
        <f>AO421*BB421/AP421</f>
        <v>1.18333333333333</v>
      </c>
      <c r="BF421" s="10">
        <f>SQRT((AI421*1000/(H421*MIN(U421,AB421)))^2+(Q421*1000000*2*((H421-2*('Parametros'!$B$7+'Parametros'!$B$9/2))+(I421-2*('Parametros'!$B$7+'Parametros'!$B$9/2)))/(1.7*((H421-2*('Parametros'!$B$7+'Parametros'!$B$9/2))*(I421-2*('Parametros'!$B$7+'Parametros'!$B$9/2)))^2))^2)</f>
        <v>1.33859305611992</v>
      </c>
      <c r="BG421" s="10">
        <f>'Parametros'!$B$6*(AJ421*1000/(H421*MIN(U421,AB421))+0.66*SQRT('Parametros'!$B$2))</f>
        <v>3.29396038227542</v>
      </c>
      <c r="BH421" s="10" t="str">
        <f>IF(BF421&lt;=BG421,"CUMPLE","NO CUMPLE")</f>
        <v>CUMPLE</v>
      </c>
      <c r="BI421" s="10">
        <f>AX421*'Parametros'!$B$8</f>
        <v>0</v>
      </c>
      <c r="BJ421" s="10" t="str">
        <f>IF(BI421&gt;=AW421,"CUMPLE","NO CUMPLE")</f>
        <v>CUMPLE</v>
      </c>
    </row>
    <row r="422">
      <c r="A422" s="25" t="inlineStr">
        <is>
          <t>VR2</t>
        </is>
      </c>
      <c r="B422" s="25" t="inlineStr">
        <is>
          <t>777</t>
        </is>
      </c>
      <c r="C422" s="10" t="n">
        <v>1</v>
      </c>
      <c r="D422" s="10" t="n">
        <v>1.9</v>
      </c>
      <c r="E422" s="10" t="n">
        <v>1.9</v>
      </c>
      <c r="F422" s="10" t="n">
        <v>500</v>
      </c>
      <c r="G422" s="10" t="n">
        <v>550</v>
      </c>
      <c r="H422" s="17" t="n">
        <v>500</v>
      </c>
      <c r="I422" s="17" t="n">
        <v>550</v>
      </c>
      <c r="J422" s="30" t="n">
        <v>134.5121</v>
      </c>
      <c r="K422" s="10" t="inlineStr">
        <is>
          <t>777</t>
        </is>
      </c>
      <c r="L422" s="30" t="n">
        <v>100.0385</v>
      </c>
      <c r="M422" s="10" t="inlineStr">
        <is>
          <t>777</t>
        </is>
      </c>
      <c r="N422" s="30" t="n">
        <v>130.672</v>
      </c>
      <c r="O422" s="30" t="n">
        <v>454.076</v>
      </c>
      <c r="P422" s="10" t="inlineStr">
        <is>
          <t>777</t>
        </is>
      </c>
      <c r="Q422" s="30" t="n">
        <v>16.0256</v>
      </c>
      <c r="R422" s="10">
        <f>MAX(MAX(1.4/'Parametros'!$B$3,0.25*SQRT('Parametros'!$B$2)/'Parametros'!$B$3)*H422*U422,(0.85*'Parametros'!$B$2/'Parametros'!$B$3)*(1-SQRT(1-2*(J422*1000000/('Parametros'!$B$5*H422*U422^2))/(0.85*'Parametros'!$B$2)))*H422*U422)</f>
        <v>815.583333333333</v>
      </c>
      <c r="S422" s="31" t="n">
        <v>5</v>
      </c>
      <c r="T422" s="32" t="n">
        <v>1</v>
      </c>
      <c r="U422" s="10">
        <f>IF(T422=1,I422-('Parametros'!$B$7+'Parametros'!$B$9+'Parametros'!$B$12/2),I422-(ROUNDUP(S422/2,0)*('Parametros'!$B$7+'Parametros'!$B$9+'Parametros'!$B$12/2)+ROUNDDOWN(S422/2,0)*('Parametros'!$B$7+'Parametros'!$B$9+'Parametros'!$B$12/2+'Parametros'!$B$12+'Parametros'!$B$10))/S422)</f>
        <v>489.35</v>
      </c>
      <c r="V422" s="10">
        <f>S422*'Parametros'!$B$8</f>
        <v>995</v>
      </c>
      <c r="W422" s="10">
        <f>'Parametros'!$B$5*V422*'Parametros'!$B$3*(U422-(V422*'Parametros'!$B$3/(0.85*'Parametros'!$B$2*H422))/2)/1000000</f>
        <v>177.445379382353</v>
      </c>
      <c r="X422" s="10" t="str">
        <f>IF(W422&gt;=J422,"CUMPLE","NO CUMPLE")</f>
        <v>CUMPLE</v>
      </c>
      <c r="Y422" s="10">
        <f>MAX(MAX(1.4/'Parametros'!$B$3,0.25*SQRT('Parametros'!$B$2)/'Parametros'!$B$3)*H422*AB422,(0.85*'Parametros'!$B$2/'Parametros'!$B$3)*(1-SQRT(1-2*(L422*1000000/('Parametros'!$B$5*H422*AB422^2))/(0.85*'Parametros'!$B$2)))*H422*AB422)</f>
        <v>815.583333333333</v>
      </c>
      <c r="Z422" s="31" t="n">
        <v>5</v>
      </c>
      <c r="AA422" s="32" t="n">
        <v>1</v>
      </c>
      <c r="AB422" s="10">
        <f>IF(AA422=1,I422-('Parametros'!$B$7+'Parametros'!$B$9+'Parametros'!$B$12/2),I422-(ROUNDUP(Z422/2,0)*('Parametros'!$B$7+'Parametros'!$B$9+'Parametros'!$B$12/2)+ROUNDDOWN(Z422/2,0)*('Parametros'!$B$7+'Parametros'!$B$9+'Parametros'!$B$12/2+'Parametros'!$B$12+'Parametros'!$B$10))/Z422)</f>
        <v>489.35</v>
      </c>
      <c r="AC422" s="10">
        <f>Z422*'Parametros'!$B$8</f>
        <v>995</v>
      </c>
      <c r="AD422" s="10">
        <f>'Parametros'!$B$5*AC422*'Parametros'!$B$3*(AB422-(AC422*'Parametros'!$B$3/(0.85*'Parametros'!$B$2*H422))/2)/1000000</f>
        <v>177.445379382353</v>
      </c>
      <c r="AE422" s="10" t="str">
        <f>IF(AD422&gt;=L422,"CUMPLE","NO CUMPLE")</f>
        <v>CUMPLE</v>
      </c>
      <c r="AF422" s="10">
        <f>V422*1.25*'Parametros'!$B$3*(U422-(V422*1.25*'Parametros'!$B$3/(0.85*'Parametros'!$B$2*H422))/2)/1000000</f>
        <v>244.158843198529</v>
      </c>
      <c r="AG422" s="10">
        <f>AC422*1.25*'Parametros'!$B$3*(AB422-(AC422*1.25*'Parametros'!$B$3/(0.85*'Parametros'!$B$2*H422))/2)/1000000</f>
        <v>244.158843198529</v>
      </c>
      <c r="AH422" s="10">
        <f>N422+(AF422+AG422)/D422</f>
        <v>387.681308630031</v>
      </c>
      <c r="AI422" s="10">
        <f>MAX(O422,AH422)</f>
        <v>454.076</v>
      </c>
      <c r="AJ422" s="10">
        <f>0.17*SQRT('Parametros'!$B$2)*H422*MIN(U422,AB422)/1000</f>
        <v>220.098728691808</v>
      </c>
      <c r="AK422" s="10">
        <f>MAX(AI422/'Parametros'!$B$6-AJ422,0)</f>
        <v>385.335937974859</v>
      </c>
      <c r="AL422" s="10">
        <f>0.66*SQRT('Parametros'!$B$2)*H422*MIN(U422,AB422)/1000</f>
        <v>854.500946685842</v>
      </c>
      <c r="AM422" s="10" t="str">
        <f>IF(AK422&lt;=AL422,"CUMPLE","NO CUMPLE")</f>
        <v>CUMPLE</v>
      </c>
      <c r="AN422" s="17" t="inlineStr">
        <is>
          <t>Nº4 cerrado</t>
        </is>
      </c>
      <c r="AO422" s="31" t="n">
        <v>2</v>
      </c>
      <c r="AP422" s="10">
        <f>ROUNDDOWN(MIN(IF(BC422+BD422=0,1000000000,AO422*BB422/(BC422+BD422)),MIN(U422,AB422)/4,8*'Parametros'!$B$12,24*BA422,300,IF(AV422=0,1000000000,2*((H422-2*('Parametros'!$B$7+'Parametros'!$B$9/2))+(I422-2*('Parametros'!$B$7+'Parametros'!$B$9/2)))/8))/10,0)*10</f>
        <v>110</v>
      </c>
      <c r="AQ422" s="10">
        <f>ROUNDDOWN(MIN(IF(BC422+BD422=0,1000000000,AO422*BB422/(BC422+BD422)),IF(AK422&gt;0.33*SQRT('Parametros'!$B$2)*H422*MIN(U422,AB422)/1000,MIN(U422,AB422)/4,MIN(U422,AB422)/2),600,IF(AV422=0,1000000000,2*((H422-2*('Parametros'!$B$7+'Parametros'!$B$9/2))+(I422-2*('Parametros'!$B$7+'Parametros'!$B$9/2)))/8))/10,0)*10</f>
        <v>110</v>
      </c>
      <c r="AR422" s="10">
        <f>'Parametros'!$B$6*(AJ422+MAX(BE422-BD422,0)*'Parametros'!$B$4*MIN(U422,AB422)/1000)</f>
        <v>477.08118524017</v>
      </c>
      <c r="AS422" s="10" t="str">
        <f>IF(AND(ISERROR(SEARCH("referencia",AN422)),AM422="CUMPLE",AR422&gt;=AI422),"CUMPLE","NO CUMPLE")</f>
        <v>CUMPLE</v>
      </c>
      <c r="AT422" s="10">
        <f>'Parametros'!$B$6*0.083*SQRT('Parametros'!$B$2)*(H422*I422)^2/(2*(H422+I422))/1000000</f>
        <v>11.862178757599</v>
      </c>
      <c r="AU422" s="10" t="str">
        <f>IF(Q422&lt;=AT422,"DESPRECIABLE","DISEÑAR")</f>
        <v>DISEÑAR</v>
      </c>
      <c r="AV422" s="10">
        <f>IF(Q422&lt;=AT422,0,Q422*1000000/('Parametros'!$B$6*2*0.85*(H422-2*('Parametros'!$B$7+'Parametros'!$B$9/2))*(I422-2*('Parametros'!$B$7+'Parametros'!$B$9/2))*'Parametros'!$B$4))</f>
        <v>0.160671634550572</v>
      </c>
      <c r="AW422" s="10">
        <f>AV422*2*((H422-2*('Parametros'!$B$7+'Parametros'!$B$9/2))+(I422-2*('Parametros'!$B$7+'Parametros'!$B$9/2)))*'Parametros'!$B$4/'Parametros'!$B$3</f>
        <v>277.833390464849</v>
      </c>
      <c r="AX422" s="31" t="n">
        <v>8</v>
      </c>
      <c r="AY422" s="10" t="str">
        <f>IF(AV422=0,"DESPRECIABLE",IF(AND(ISERROR(SEARCH("referencia",AN422)),BB422/AP422&gt;=AV422,BI422&gt;=AW422,BH422="CUMPLE"),"CUMPLE","NO CUMPLE"))</f>
        <v>CUMPLE</v>
      </c>
      <c r="AZ422" s="10" t="str">
        <f>IF(AND(X422="CUMPLE",AE422="CUMPLE",AS422="CUMPLE",OR(AY422="CUMPLE",AY422="DESPRECIABLE"),BH422="CUMPLE",BJ422="CUMPLE"),"CUMPLE","NO CUMPLE")</f>
        <v>CUMPLE</v>
      </c>
      <c r="BA422" s="32" t="n">
        <v>12.7</v>
      </c>
      <c r="BB422" s="32" t="n">
        <v>129</v>
      </c>
      <c r="BC422" s="10">
        <f>MAX(IF(AK422=0,0,AK422*1000/('Parametros'!$B$4*MIN(U422,AB422))),MAX(0.062*SQRT('Parametros'!$B$2)*H422/'Parametros'!$B$4,0.35*H422/'Parametros'!$B$4))</f>
        <v>1.87486772042047</v>
      </c>
      <c r="BD422" s="10">
        <f>2*AV422</f>
        <v>0.321343269101144</v>
      </c>
      <c r="BE422" s="10">
        <f>AO422*BB422/AP422</f>
        <v>2.34545454545455</v>
      </c>
      <c r="BF422" s="10">
        <f>SQRT((AI422*1000/(H422*MIN(U422,AB422)))^2+(Q422*1000000*2*((H422-2*('Parametros'!$B$7+'Parametros'!$B$9/2))+(I422-2*('Parametros'!$B$7+'Parametros'!$B$9/2)))/(1.7*((H422-2*('Parametros'!$B$7+'Parametros'!$B$9/2))*(I422-2*('Parametros'!$B$7+'Parametros'!$B$9/2)))^2))^2)</f>
        <v>1.91439195400411</v>
      </c>
      <c r="BG422" s="10">
        <f>'Parametros'!$B$6*(AJ422*1000/(H422*MIN(U422,AB422))+0.66*SQRT('Parametros'!$B$2))</f>
        <v>3.29396038227542</v>
      </c>
      <c r="BH422" s="10" t="str">
        <f>IF(BF422&lt;=BG422,"CUMPLE","NO CUMPLE")</f>
        <v>CUMPLE</v>
      </c>
      <c r="BI422" s="10">
        <f>AX422*'Parametros'!$B$8</f>
        <v>1592</v>
      </c>
      <c r="BJ422" s="10" t="str">
        <f>IF(BI422&gt;=AW422,"CUMPLE","NO CUMPLE")</f>
        <v>CUMPLE</v>
      </c>
    </row>
    <row r="423">
      <c r="A423" s="25" t="inlineStr">
        <is>
          <t>VR2</t>
        </is>
      </c>
      <c r="B423" s="25" t="inlineStr">
        <is>
          <t>778</t>
        </is>
      </c>
      <c r="C423" s="10" t="n">
        <v>1</v>
      </c>
      <c r="D423" s="10" t="n">
        <v>2</v>
      </c>
      <c r="E423" s="10" t="n">
        <v>2</v>
      </c>
      <c r="F423" s="10" t="n">
        <v>500</v>
      </c>
      <c r="G423" s="10" t="n">
        <v>550</v>
      </c>
      <c r="H423" s="17" t="n">
        <v>500</v>
      </c>
      <c r="I423" s="17" t="n">
        <v>550</v>
      </c>
      <c r="J423" s="30" t="n">
        <v>142.8307</v>
      </c>
      <c r="K423" s="10" t="inlineStr">
        <is>
          <t>778</t>
        </is>
      </c>
      <c r="L423" s="30" t="n">
        <v>97.9388</v>
      </c>
      <c r="M423" s="10" t="inlineStr">
        <is>
          <t>778</t>
        </is>
      </c>
      <c r="N423" s="30" t="n">
        <v>138.927</v>
      </c>
      <c r="O423" s="30" t="n">
        <v>494.033</v>
      </c>
      <c r="P423" s="10" t="inlineStr">
        <is>
          <t>778</t>
        </is>
      </c>
      <c r="Q423" s="30" t="n">
        <v>37.1171</v>
      </c>
      <c r="R423" s="10">
        <f>MAX(MAX(1.4/'Parametros'!$B$3,0.25*SQRT('Parametros'!$B$2)/'Parametros'!$B$3)*H423*U423,(0.85*'Parametros'!$B$2/'Parametros'!$B$3)*(1-SQRT(1-2*(J423*1000000/('Parametros'!$B$5*H423*U423^2))/(0.85*'Parametros'!$B$2)))*H423*U423)</f>
        <v>815.583333333333</v>
      </c>
      <c r="S423" s="31" t="n">
        <v>5</v>
      </c>
      <c r="T423" s="32" t="n">
        <v>1</v>
      </c>
      <c r="U423" s="10">
        <f>IF(T423=1,I423-('Parametros'!$B$7+'Parametros'!$B$9+'Parametros'!$B$12/2),I423-(ROUNDUP(S423/2,0)*('Parametros'!$B$7+'Parametros'!$B$9+'Parametros'!$B$12/2)+ROUNDDOWN(S423/2,0)*('Parametros'!$B$7+'Parametros'!$B$9+'Parametros'!$B$12/2+'Parametros'!$B$12+'Parametros'!$B$10))/S423)</f>
        <v>489.35</v>
      </c>
      <c r="V423" s="10">
        <f>S423*'Parametros'!$B$8</f>
        <v>995</v>
      </c>
      <c r="W423" s="10">
        <f>'Parametros'!$B$5*V423*'Parametros'!$B$3*(U423-(V423*'Parametros'!$B$3/(0.85*'Parametros'!$B$2*H423))/2)/1000000</f>
        <v>177.445379382353</v>
      </c>
      <c r="X423" s="10" t="str">
        <f>IF(W423&gt;=J423,"CUMPLE","NO CUMPLE")</f>
        <v>CUMPLE</v>
      </c>
      <c r="Y423" s="10">
        <f>MAX(MAX(1.4/'Parametros'!$B$3,0.25*SQRT('Parametros'!$B$2)/'Parametros'!$B$3)*H423*AB423,(0.85*'Parametros'!$B$2/'Parametros'!$B$3)*(1-SQRT(1-2*(L423*1000000/('Parametros'!$B$5*H423*AB423^2))/(0.85*'Parametros'!$B$2)))*H423*AB423)</f>
        <v>815.583333333333</v>
      </c>
      <c r="Z423" s="31" t="n">
        <v>5</v>
      </c>
      <c r="AA423" s="32" t="n">
        <v>1</v>
      </c>
      <c r="AB423" s="10">
        <f>IF(AA423=1,I423-('Parametros'!$B$7+'Parametros'!$B$9+'Parametros'!$B$12/2),I423-(ROUNDUP(Z423/2,0)*('Parametros'!$B$7+'Parametros'!$B$9+'Parametros'!$B$12/2)+ROUNDDOWN(Z423/2,0)*('Parametros'!$B$7+'Parametros'!$B$9+'Parametros'!$B$12/2+'Parametros'!$B$12+'Parametros'!$B$10))/Z423)</f>
        <v>489.35</v>
      </c>
      <c r="AC423" s="10">
        <f>Z423*'Parametros'!$B$8</f>
        <v>995</v>
      </c>
      <c r="AD423" s="10">
        <f>'Parametros'!$B$5*AC423*'Parametros'!$B$3*(AB423-(AC423*'Parametros'!$B$3/(0.85*'Parametros'!$B$2*H423))/2)/1000000</f>
        <v>177.445379382353</v>
      </c>
      <c r="AE423" s="10" t="str">
        <f>IF(AD423&gt;=L423,"CUMPLE","NO CUMPLE")</f>
        <v>CUMPLE</v>
      </c>
      <c r="AF423" s="10">
        <f>V423*1.25*'Parametros'!$B$3*(U423-(V423*1.25*'Parametros'!$B$3/(0.85*'Parametros'!$B$2*H423))/2)/1000000</f>
        <v>244.158843198529</v>
      </c>
      <c r="AG423" s="10">
        <f>AC423*1.25*'Parametros'!$B$3*(AB423-(AC423*1.25*'Parametros'!$B$3/(0.85*'Parametros'!$B$2*H423))/2)/1000000</f>
        <v>244.158843198529</v>
      </c>
      <c r="AH423" s="10">
        <f>N423+(AF423+AG423)/D423</f>
        <v>383.085843198529</v>
      </c>
      <c r="AI423" s="10">
        <f>MAX(O423,AH423)</f>
        <v>494.033</v>
      </c>
      <c r="AJ423" s="10">
        <f>0.17*SQRT('Parametros'!$B$2)*H423*MIN(U423,AB423)/1000</f>
        <v>220.098728691808</v>
      </c>
      <c r="AK423" s="10">
        <f>MAX(AI423/'Parametros'!$B$6-AJ423,0)</f>
        <v>438.611937974859</v>
      </c>
      <c r="AL423" s="10">
        <f>0.66*SQRT('Parametros'!$B$2)*H423*MIN(U423,AB423)/1000</f>
        <v>854.500946685842</v>
      </c>
      <c r="AM423" s="10" t="str">
        <f>IF(AK423&lt;=AL423,"CUMPLE","NO CUMPLE")</f>
        <v>CUMPLE</v>
      </c>
      <c r="AN423" s="17" t="inlineStr">
        <is>
          <t>Nº4 cerrado</t>
        </is>
      </c>
      <c r="AO423" s="31" t="n">
        <v>2</v>
      </c>
      <c r="AP423" s="10">
        <f>ROUNDDOWN(MIN(IF(BC423+BD423=0,1000000000,AO423*BB423/(BC423+BD423)),MIN(U423,AB423)/4,8*'Parametros'!$B$12,24*BA423,300,IF(AV423=0,1000000000,2*((H423-2*('Parametros'!$B$7+'Parametros'!$B$9/2))+(I423-2*('Parametros'!$B$7+'Parametros'!$B$9/2)))/8))/10,0)*10</f>
        <v>80</v>
      </c>
      <c r="AQ423" s="10">
        <f>ROUNDDOWN(MIN(IF(BC423+BD423=0,1000000000,AO423*BB423/(BC423+BD423)),IF(AK423&gt;0.33*SQRT('Parametros'!$B$2)*H423*MIN(U423,AB423)/1000,MIN(U423,AB423)/4,MIN(U423,AB423)/2),600,IF(AV423=0,1000000000,2*((H423-2*('Parametros'!$B$7+'Parametros'!$B$9/2))+(I423-2*('Parametros'!$B$7+'Parametros'!$B$9/2)))/8))/10,0)*10</f>
        <v>80</v>
      </c>
      <c r="AR423" s="10">
        <f>'Parametros'!$B$6*(AJ423+MAX(BE423-BD423,0)*'Parametros'!$B$4*MIN(U423,AB423)/1000)</f>
        <v>547.467206717123</v>
      </c>
      <c r="AS423" s="10" t="str">
        <f>IF(AND(ISERROR(SEARCH("referencia",AN423)),AM423="CUMPLE",AR423&gt;=AI423),"CUMPLE","NO CUMPLE")</f>
        <v>CUMPLE</v>
      </c>
      <c r="AT423" s="10">
        <f>'Parametros'!$B$6*0.083*SQRT('Parametros'!$B$2)*(H423*I423)^2/(2*(H423+I423))/1000000</f>
        <v>11.862178757599</v>
      </c>
      <c r="AU423" s="10" t="str">
        <f>IF(Q423&lt;=AT423,"DESPRECIABLE","DISEÑAR")</f>
        <v>DISEÑAR</v>
      </c>
      <c r="AV423" s="10">
        <f>IF(Q423&lt;=AT423,0,Q423*1000000/('Parametros'!$B$6*2*0.85*(H423-2*('Parametros'!$B$7+'Parametros'!$B$9/2))*(I423-2*('Parametros'!$B$7+'Parametros'!$B$9/2))*'Parametros'!$B$4))</f>
        <v>0.372133656573048</v>
      </c>
      <c r="AW423" s="10">
        <f>AV423*2*((H423-2*('Parametros'!$B$7+'Parametros'!$B$9/2))+(I423-2*('Parametros'!$B$7+'Parametros'!$B$9/2)))*'Parametros'!$B$4/'Parametros'!$B$3</f>
        <v>643.493518946115</v>
      </c>
      <c r="AX423" s="31" t="n">
        <v>8</v>
      </c>
      <c r="AY423" s="10" t="str">
        <f>IF(AV423=0,"DESPRECIABLE",IF(AND(ISERROR(SEARCH("referencia",AN423)),BB423/AP423&gt;=AV423,BI423&gt;=AW423,BH423="CUMPLE"),"CUMPLE","NO CUMPLE"))</f>
        <v>CUMPLE</v>
      </c>
      <c r="AZ423" s="10" t="str">
        <f>IF(AND(X423="CUMPLE",AE423="CUMPLE",AS423="CUMPLE",OR(AY423="CUMPLE",AY423="DESPRECIABLE"),BH423="CUMPLE",BJ423="CUMPLE"),"CUMPLE","NO CUMPLE")</f>
        <v>CUMPLE</v>
      </c>
      <c r="BA423" s="32" t="n">
        <v>12.7</v>
      </c>
      <c r="BB423" s="32" t="n">
        <v>129</v>
      </c>
      <c r="BC423" s="10">
        <f>MAX(IF(AK423=0,0,AK423*1000/('Parametros'!$B$4*MIN(U423,AB423))),MAX(0.062*SQRT('Parametros'!$B$2)*H423/'Parametros'!$B$4,0.35*H423/'Parametros'!$B$4))</f>
        <v>2.13408427104399</v>
      </c>
      <c r="BD423" s="10">
        <f>2*AV423</f>
        <v>0.744267313146097</v>
      </c>
      <c r="BE423" s="10">
        <f>AO423*BB423/AP423</f>
        <v>3.225</v>
      </c>
      <c r="BF423" s="10">
        <f>SQRT((AI423*1000/(H423*MIN(U423,AB423)))^2+(Q423*1000000*2*((H423-2*('Parametros'!$B$7+'Parametros'!$B$9/2))+(I423-2*('Parametros'!$B$7+'Parametros'!$B$9/2)))/(1.7*((H423-2*('Parametros'!$B$7+'Parametros'!$B$9/2))*(I423-2*('Parametros'!$B$7+'Parametros'!$B$9/2)))^2))^2)</f>
        <v>2.29374585549989</v>
      </c>
      <c r="BG423" s="10">
        <f>'Parametros'!$B$6*(AJ423*1000/(H423*MIN(U423,AB423))+0.66*SQRT('Parametros'!$B$2))</f>
        <v>3.29396038227542</v>
      </c>
      <c r="BH423" s="10" t="str">
        <f>IF(BF423&lt;=BG423,"CUMPLE","NO CUMPLE")</f>
        <v>CUMPLE</v>
      </c>
      <c r="BI423" s="10">
        <f>AX423*'Parametros'!$B$8</f>
        <v>1592</v>
      </c>
      <c r="BJ423" s="10" t="str">
        <f>IF(BI423&gt;=AW423,"CUMPLE","NO CUMPLE")</f>
        <v>CUMPLE</v>
      </c>
    </row>
    <row r="424">
      <c r="A424" s="25" t="inlineStr">
        <is>
          <t>VR2</t>
        </is>
      </c>
      <c r="B424" s="25" t="inlineStr">
        <is>
          <t>779</t>
        </is>
      </c>
      <c r="C424" s="10" t="n">
        <v>1</v>
      </c>
      <c r="D424" s="10" t="n">
        <v>3.05308</v>
      </c>
      <c r="E424" s="10" t="n">
        <v>3.05308</v>
      </c>
      <c r="F424" s="10" t="n">
        <v>500</v>
      </c>
      <c r="G424" s="10" t="n">
        <v>550</v>
      </c>
      <c r="H424" s="17" t="n">
        <v>500</v>
      </c>
      <c r="I424" s="17" t="n">
        <v>550</v>
      </c>
      <c r="J424" s="30" t="n">
        <v>158.3316</v>
      </c>
      <c r="K424" s="10" t="inlineStr">
        <is>
          <t>779</t>
        </is>
      </c>
      <c r="L424" s="30" t="n">
        <v>96.6416</v>
      </c>
      <c r="M424" s="10" t="inlineStr">
        <is>
          <t>779</t>
        </is>
      </c>
      <c r="N424" s="30" t="n">
        <v>126.422</v>
      </c>
      <c r="O424" s="30" t="n">
        <v>347.637</v>
      </c>
      <c r="P424" s="10" t="inlineStr">
        <is>
          <t>779</t>
        </is>
      </c>
      <c r="Q424" s="30" t="n">
        <v>43.3177</v>
      </c>
      <c r="R424" s="10">
        <f>MAX(MAX(1.4/'Parametros'!$B$3,0.25*SQRT('Parametros'!$B$2)/'Parametros'!$B$3)*H424*U424,(0.85*'Parametros'!$B$2/'Parametros'!$B$3)*(1-SQRT(1-2*(J424*1000000/('Parametros'!$B$5*H424*U424^2))/(0.85*'Parametros'!$B$2)))*H424*U424)</f>
        <v>884.156427149362</v>
      </c>
      <c r="S424" s="31" t="n">
        <v>5</v>
      </c>
      <c r="T424" s="32" t="n">
        <v>1</v>
      </c>
      <c r="U424" s="10">
        <f>IF(T424=1,I424-('Parametros'!$B$7+'Parametros'!$B$9+'Parametros'!$B$12/2),I424-(ROUNDUP(S424/2,0)*('Parametros'!$B$7+'Parametros'!$B$9+'Parametros'!$B$12/2)+ROUNDDOWN(S424/2,0)*('Parametros'!$B$7+'Parametros'!$B$9+'Parametros'!$B$12/2+'Parametros'!$B$12+'Parametros'!$B$10))/S424)</f>
        <v>489.35</v>
      </c>
      <c r="V424" s="10">
        <f>S424*'Parametros'!$B$8</f>
        <v>995</v>
      </c>
      <c r="W424" s="10">
        <f>'Parametros'!$B$5*V424*'Parametros'!$B$3*(U424-(V424*'Parametros'!$B$3/(0.85*'Parametros'!$B$2*H424))/2)/1000000</f>
        <v>177.445379382353</v>
      </c>
      <c r="X424" s="10" t="str">
        <f>IF(W424&gt;=J424,"CUMPLE","NO CUMPLE")</f>
        <v>CUMPLE</v>
      </c>
      <c r="Y424" s="10">
        <f>MAX(MAX(1.4/'Parametros'!$B$3,0.25*SQRT('Parametros'!$B$2)/'Parametros'!$B$3)*H424*AB424,(0.85*'Parametros'!$B$2/'Parametros'!$B$3)*(1-SQRT(1-2*(L424*1000000/('Parametros'!$B$5*H424*AB424^2))/(0.85*'Parametros'!$B$2)))*H424*AB424)</f>
        <v>815.583333333333</v>
      </c>
      <c r="Z424" s="31" t="n">
        <v>5</v>
      </c>
      <c r="AA424" s="32" t="n">
        <v>1</v>
      </c>
      <c r="AB424" s="10">
        <f>IF(AA424=1,I424-('Parametros'!$B$7+'Parametros'!$B$9+'Parametros'!$B$12/2),I424-(ROUNDUP(Z424/2,0)*('Parametros'!$B$7+'Parametros'!$B$9+'Parametros'!$B$12/2)+ROUNDDOWN(Z424/2,0)*('Parametros'!$B$7+'Parametros'!$B$9+'Parametros'!$B$12/2+'Parametros'!$B$12+'Parametros'!$B$10))/Z424)</f>
        <v>489.35</v>
      </c>
      <c r="AC424" s="10">
        <f>Z424*'Parametros'!$B$8</f>
        <v>995</v>
      </c>
      <c r="AD424" s="10">
        <f>'Parametros'!$B$5*AC424*'Parametros'!$B$3*(AB424-(AC424*'Parametros'!$B$3/(0.85*'Parametros'!$B$2*H424))/2)/1000000</f>
        <v>177.445379382353</v>
      </c>
      <c r="AE424" s="10" t="str">
        <f>IF(AD424&gt;=L424,"CUMPLE","NO CUMPLE")</f>
        <v>CUMPLE</v>
      </c>
      <c r="AF424" s="10">
        <f>V424*1.25*'Parametros'!$B$3*(U424-(V424*1.25*'Parametros'!$B$3/(0.85*'Parametros'!$B$2*H424))/2)/1000000</f>
        <v>244.158843198529</v>
      </c>
      <c r="AG424" s="10">
        <f>AC424*1.25*'Parametros'!$B$3*(AB424-(AC424*1.25*'Parametros'!$B$3/(0.85*'Parametros'!$B$2*H424))/2)/1000000</f>
        <v>244.158843198529</v>
      </c>
      <c r="AH424" s="10">
        <f>N424+(AF424+AG424)/D424</f>
        <v>286.36464362449</v>
      </c>
      <c r="AI424" s="10">
        <f>MAX(O424,AH424)</f>
        <v>347.637</v>
      </c>
      <c r="AJ424" s="10">
        <f>0.17*SQRT('Parametros'!$B$2)*H424*MIN(U424,AB424)/1000</f>
        <v>220.098728691808</v>
      </c>
      <c r="AK424" s="10">
        <f>MAX(AI424/'Parametros'!$B$6-AJ424,0)</f>
        <v>243.417271308192</v>
      </c>
      <c r="AL424" s="10">
        <f>0.66*SQRT('Parametros'!$B$2)*H424*MIN(U424,AB424)/1000</f>
        <v>854.500946685842</v>
      </c>
      <c r="AM424" s="10" t="str">
        <f>IF(AK424&lt;=AL424,"CUMPLE","NO CUMPLE")</f>
        <v>CUMPLE</v>
      </c>
      <c r="AN424" s="17" t="inlineStr">
        <is>
          <t>Nº4 cerrado</t>
        </is>
      </c>
      <c r="AO424" s="31" t="n">
        <v>2</v>
      </c>
      <c r="AP424" s="10">
        <f>ROUNDDOWN(MIN(IF(BC424+BD424=0,1000000000,AO424*BB424/(BC424+BD424)),MIN(U424,AB424)/4,8*'Parametros'!$B$12,24*BA424,300,IF(AV424=0,1000000000,2*((H424-2*('Parametros'!$B$7+'Parametros'!$B$9/2))+(I424-2*('Parametros'!$B$7+'Parametros'!$B$9/2)))/8))/10,0)*10</f>
        <v>120</v>
      </c>
      <c r="AQ424" s="10">
        <f>ROUNDDOWN(MIN(IF(BC424+BD424=0,1000000000,AO424*BB424/(BC424+BD424)),IF(AK424&gt;0.33*SQRT('Parametros'!$B$2)*H424*MIN(U424,AB424)/1000,MIN(U424,AB424)/4,MIN(U424,AB424)/2),600,IF(AV424=0,1000000000,2*((H424-2*('Parametros'!$B$7+'Parametros'!$B$9/2))+(I424-2*('Parametros'!$B$7+'Parametros'!$B$9/2)))/8))/10,0)*10</f>
        <v>120</v>
      </c>
      <c r="AR424" s="10">
        <f>'Parametros'!$B$6*(AJ424+MAX(BE424-BD424,0)*'Parametros'!$B$4*MIN(U424,AB424)/1000)</f>
        <v>362.595623973145</v>
      </c>
      <c r="AS424" s="10" t="str">
        <f>IF(AND(ISERROR(SEARCH("referencia",AN424)),AM424="CUMPLE",AR424&gt;=AI424),"CUMPLE","NO CUMPLE")</f>
        <v>CUMPLE</v>
      </c>
      <c r="AT424" s="10">
        <f>'Parametros'!$B$6*0.083*SQRT('Parametros'!$B$2)*(H424*I424)^2/(2*(H424+I424))/1000000</f>
        <v>11.862178757599</v>
      </c>
      <c r="AU424" s="10" t="str">
        <f>IF(Q424&lt;=AT424,"DESPRECIABLE","DISEÑAR")</f>
        <v>DISEÑAR</v>
      </c>
      <c r="AV424" s="10">
        <f>IF(Q424&lt;=AT424,0,Q424*1000000/('Parametros'!$B$6*2*0.85*(H424-2*('Parametros'!$B$7+'Parametros'!$B$9/2))*(I424-2*('Parametros'!$B$7+'Parametros'!$B$9/2))*'Parametros'!$B$4))</f>
        <v>0.434300473241022</v>
      </c>
      <c r="AW424" s="10">
        <f>AV424*2*((H424-2*('Parametros'!$B$7+'Parametros'!$B$9/2))+(I424-2*('Parametros'!$B$7+'Parametros'!$B$9/2)))*'Parametros'!$B$4/'Parametros'!$B$3</f>
        <v>750.992378328375</v>
      </c>
      <c r="AX424" s="31" t="n">
        <v>8</v>
      </c>
      <c r="AY424" s="10" t="str">
        <f>IF(AV424=0,"DESPRECIABLE",IF(AND(ISERROR(SEARCH("referencia",AN424)),BB424/AP424&gt;=AV424,BI424&gt;=AW424,BH424="CUMPLE"),"CUMPLE","NO CUMPLE"))</f>
        <v>CUMPLE</v>
      </c>
      <c r="AZ424" s="10" t="str">
        <f>IF(AND(X424="CUMPLE",AE424="CUMPLE",AS424="CUMPLE",OR(AY424="CUMPLE",AY424="DESPRECIABLE"),BH424="CUMPLE",BJ424="CUMPLE"),"CUMPLE","NO CUMPLE")</f>
        <v>CUMPLE</v>
      </c>
      <c r="BA424" s="32" t="n">
        <v>12.7</v>
      </c>
      <c r="BB424" s="32" t="n">
        <v>129</v>
      </c>
      <c r="BC424" s="10">
        <f>MAX(IF(AK424=0,0,AK424*1000/('Parametros'!$B$4*MIN(U424,AB424))),MAX(0.062*SQRT('Parametros'!$B$2)*H424/'Parametros'!$B$4,0.35*H424/'Parametros'!$B$4))</f>
        <v>1.18435666023536</v>
      </c>
      <c r="BD424" s="10">
        <f>2*AV424</f>
        <v>0.868600946482044</v>
      </c>
      <c r="BE424" s="10">
        <f>AO424*BB424/AP424</f>
        <v>2.15</v>
      </c>
      <c r="BF424" s="10">
        <f>SQRT((AI424*1000/(H424*MIN(U424,AB424)))^2+(Q424*1000000*2*((H424-2*('Parametros'!$B$7+'Parametros'!$B$9/2))+(I424-2*('Parametros'!$B$7+'Parametros'!$B$9/2)))/(1.7*((H424-2*('Parametros'!$B$7+'Parametros'!$B$9/2))*(I424-2*('Parametros'!$B$7+'Parametros'!$B$9/2)))^2))^2)</f>
        <v>1.90572910008905</v>
      </c>
      <c r="BG424" s="10">
        <f>'Parametros'!$B$6*(AJ424*1000/(H424*MIN(U424,AB424))+0.66*SQRT('Parametros'!$B$2))</f>
        <v>3.29396038227542</v>
      </c>
      <c r="BH424" s="10" t="str">
        <f>IF(BF424&lt;=BG424,"CUMPLE","NO CUMPLE")</f>
        <v>CUMPLE</v>
      </c>
      <c r="BI424" s="10">
        <f>AX424*'Parametros'!$B$8</f>
        <v>1592</v>
      </c>
      <c r="BJ424" s="10" t="str">
        <f>IF(BI424&gt;=AW424,"CUMPLE","NO CUMPLE")</f>
        <v>CUMPLE</v>
      </c>
    </row>
    <row r="425">
      <c r="A425" s="25" t="inlineStr">
        <is>
          <t>VR2</t>
        </is>
      </c>
      <c r="B425" s="25" t="inlineStr">
        <is>
          <t>780</t>
        </is>
      </c>
      <c r="C425" s="10" t="n">
        <v>1</v>
      </c>
      <c r="D425" s="10" t="n">
        <v>2</v>
      </c>
      <c r="E425" s="10" t="n">
        <v>2</v>
      </c>
      <c r="F425" s="10" t="n">
        <v>500</v>
      </c>
      <c r="G425" s="10" t="n">
        <v>550</v>
      </c>
      <c r="H425" s="17" t="n">
        <v>500</v>
      </c>
      <c r="I425" s="17" t="n">
        <v>550</v>
      </c>
      <c r="J425" s="30" t="n">
        <v>156.4641</v>
      </c>
      <c r="K425" s="10" t="inlineStr">
        <is>
          <t>780</t>
        </is>
      </c>
      <c r="L425" s="30" t="n">
        <v>90.97669999999999</v>
      </c>
      <c r="M425" s="10" t="inlineStr">
        <is>
          <t>780</t>
        </is>
      </c>
      <c r="N425" s="30" t="n">
        <v>134.011</v>
      </c>
      <c r="O425" s="30" t="n">
        <v>450.159</v>
      </c>
      <c r="P425" s="10" t="inlineStr">
        <is>
          <t>780</t>
        </is>
      </c>
      <c r="Q425" s="30" t="n">
        <v>6.2533</v>
      </c>
      <c r="R425" s="10">
        <f>MAX(MAX(1.4/'Parametros'!$B$3,0.25*SQRT('Parametros'!$B$2)/'Parametros'!$B$3)*H425*U425,(0.85*'Parametros'!$B$2/'Parametros'!$B$3)*(1-SQRT(1-2*(J425*1000000/('Parametros'!$B$5*H425*U425^2))/(0.85*'Parametros'!$B$2)))*H425*U425)</f>
        <v>873.37723851214</v>
      </c>
      <c r="S425" s="31" t="n">
        <v>5</v>
      </c>
      <c r="T425" s="32" t="n">
        <v>1</v>
      </c>
      <c r="U425" s="10">
        <f>IF(T425=1,I425-('Parametros'!$B$7+'Parametros'!$B$9+'Parametros'!$B$12/2),I425-(ROUNDUP(S425/2,0)*('Parametros'!$B$7+'Parametros'!$B$9+'Parametros'!$B$12/2)+ROUNDDOWN(S425/2,0)*('Parametros'!$B$7+'Parametros'!$B$9+'Parametros'!$B$12/2+'Parametros'!$B$12+'Parametros'!$B$10))/S425)</f>
        <v>489.35</v>
      </c>
      <c r="V425" s="10">
        <f>S425*'Parametros'!$B$8</f>
        <v>995</v>
      </c>
      <c r="W425" s="10">
        <f>'Parametros'!$B$5*V425*'Parametros'!$B$3*(U425-(V425*'Parametros'!$B$3/(0.85*'Parametros'!$B$2*H425))/2)/1000000</f>
        <v>177.445379382353</v>
      </c>
      <c r="X425" s="10" t="str">
        <f>IF(W425&gt;=J425,"CUMPLE","NO CUMPLE")</f>
        <v>CUMPLE</v>
      </c>
      <c r="Y425" s="10">
        <f>MAX(MAX(1.4/'Parametros'!$B$3,0.25*SQRT('Parametros'!$B$2)/'Parametros'!$B$3)*H425*AB425,(0.85*'Parametros'!$B$2/'Parametros'!$B$3)*(1-SQRT(1-2*(L425*1000000/('Parametros'!$B$5*H425*AB425^2))/(0.85*'Parametros'!$B$2)))*H425*AB425)</f>
        <v>815.583333333333</v>
      </c>
      <c r="Z425" s="31" t="n">
        <v>5</v>
      </c>
      <c r="AA425" s="32" t="n">
        <v>1</v>
      </c>
      <c r="AB425" s="10">
        <f>IF(AA425=1,I425-('Parametros'!$B$7+'Parametros'!$B$9+'Parametros'!$B$12/2),I425-(ROUNDUP(Z425/2,0)*('Parametros'!$B$7+'Parametros'!$B$9+'Parametros'!$B$12/2)+ROUNDDOWN(Z425/2,0)*('Parametros'!$B$7+'Parametros'!$B$9+'Parametros'!$B$12/2+'Parametros'!$B$12+'Parametros'!$B$10))/Z425)</f>
        <v>489.35</v>
      </c>
      <c r="AC425" s="10">
        <f>Z425*'Parametros'!$B$8</f>
        <v>995</v>
      </c>
      <c r="AD425" s="10">
        <f>'Parametros'!$B$5*AC425*'Parametros'!$B$3*(AB425-(AC425*'Parametros'!$B$3/(0.85*'Parametros'!$B$2*H425))/2)/1000000</f>
        <v>177.445379382353</v>
      </c>
      <c r="AE425" s="10" t="str">
        <f>IF(AD425&gt;=L425,"CUMPLE","NO CUMPLE")</f>
        <v>CUMPLE</v>
      </c>
      <c r="AF425" s="10">
        <f>V425*1.25*'Parametros'!$B$3*(U425-(V425*1.25*'Parametros'!$B$3/(0.85*'Parametros'!$B$2*H425))/2)/1000000</f>
        <v>244.158843198529</v>
      </c>
      <c r="AG425" s="10">
        <f>AC425*1.25*'Parametros'!$B$3*(AB425-(AC425*1.25*'Parametros'!$B$3/(0.85*'Parametros'!$B$2*H425))/2)/1000000</f>
        <v>244.158843198529</v>
      </c>
      <c r="AH425" s="10">
        <f>N425+(AF425+AG425)/D425</f>
        <v>378.169843198529</v>
      </c>
      <c r="AI425" s="10">
        <f>MAX(O425,AH425)</f>
        <v>450.159</v>
      </c>
      <c r="AJ425" s="10">
        <f>0.17*SQRT('Parametros'!$B$2)*H425*MIN(U425,AB425)/1000</f>
        <v>220.098728691808</v>
      </c>
      <c r="AK425" s="10">
        <f>MAX(AI425/'Parametros'!$B$6-AJ425,0)</f>
        <v>380.113271308192</v>
      </c>
      <c r="AL425" s="10">
        <f>0.66*SQRT('Parametros'!$B$2)*H425*MIN(U425,AB425)/1000</f>
        <v>854.500946685842</v>
      </c>
      <c r="AM425" s="10" t="str">
        <f>IF(AK425&lt;=AL425,"CUMPLE","NO CUMPLE")</f>
        <v>CUMPLE</v>
      </c>
      <c r="AN425" s="17" t="inlineStr">
        <is>
          <t>Nº4 cerrado</t>
        </is>
      </c>
      <c r="AO425" s="31" t="n">
        <v>2</v>
      </c>
      <c r="AP425" s="10">
        <f>ROUNDDOWN(MIN(IF(BC425+BD425=0,1000000000,AO425*BB425/(BC425+BD425)),MIN(U425,AB425)/4,8*'Parametros'!$B$12,24*BA425,300,IF(AV425=0,1000000000,2*((H425-2*('Parametros'!$B$7+'Parametros'!$B$9/2))+(I425-2*('Parametros'!$B$7+'Parametros'!$B$9/2)))/8))/10,0)*10</f>
        <v>120</v>
      </c>
      <c r="AQ425" s="10">
        <f>ROUNDDOWN(MIN(IF(BC425+BD425=0,1000000000,AO425*BB425/(BC425+BD425)),IF(AK425&gt;0.33*SQRT('Parametros'!$B$2)*H425*MIN(U425,AB425)/1000,MIN(U425,AB425)/4,MIN(U425,AB425)/2),600,IF(AV425=0,1000000000,2*((H425-2*('Parametros'!$B$7+'Parametros'!$B$9/2))+(I425-2*('Parametros'!$B$7+'Parametros'!$B$9/2)))/8))/10,0)*10</f>
        <v>130</v>
      </c>
      <c r="AR425" s="10">
        <f>'Parametros'!$B$6*(AJ425+MAX(BE425-BD425,0)*'Parametros'!$B$4*MIN(U425,AB425)/1000)</f>
        <v>496.486334018856</v>
      </c>
      <c r="AS425" s="10" t="str">
        <f>IF(AND(ISERROR(SEARCH("referencia",AN425)),AM425="CUMPLE",AR425&gt;=AI425),"CUMPLE","NO CUMPLE")</f>
        <v>CUMPLE</v>
      </c>
      <c r="AT425" s="10">
        <f>'Parametros'!$B$6*0.083*SQRT('Parametros'!$B$2)*(H425*I425)^2/(2*(H425+I425))/1000000</f>
        <v>11.862178757599</v>
      </c>
      <c r="AU425" s="10" t="str">
        <f>IF(Q425&lt;=AT425,"DESPRECIABLE","DISEÑAR")</f>
        <v>DESPRECIABLE</v>
      </c>
      <c r="AV425" s="10">
        <f>IF(Q425&lt;=AT425,0,Q425*1000000/('Parametros'!$B$6*2*0.85*(H425-2*('Parametros'!$B$7+'Parametros'!$B$9/2))*(I425-2*('Parametros'!$B$7+'Parametros'!$B$9/2))*'Parametros'!$B$4))</f>
        <v>0</v>
      </c>
      <c r="AW425" s="10">
        <f>AV425*2*((H425-2*('Parametros'!$B$7+'Parametros'!$B$9/2))+(I425-2*('Parametros'!$B$7+'Parametros'!$B$9/2)))*'Parametros'!$B$4/'Parametros'!$B$3</f>
        <v>0</v>
      </c>
      <c r="AX425" s="31" t="n">
        <v>0</v>
      </c>
      <c r="AY425" s="10" t="str">
        <f>IF(AV425=0,"DESPRECIABLE",IF(AND(ISERROR(SEARCH("referencia",AN425)),BB425/AP425&gt;=AV425,BI425&gt;=AW425,BH425="CUMPLE"),"CUMPLE","NO CUMPLE"))</f>
        <v>DESPRECIABLE</v>
      </c>
      <c r="AZ425" s="10" t="str">
        <f>IF(AND(X425="CUMPLE",AE425="CUMPLE",AS425="CUMPLE",OR(AY425="CUMPLE",AY425="DESPRECIABLE"),BH425="CUMPLE",BJ425="CUMPLE"),"CUMPLE","NO CUMPLE")</f>
        <v>CUMPLE</v>
      </c>
      <c r="BA425" s="32" t="n">
        <v>12.7</v>
      </c>
      <c r="BB425" s="32" t="n">
        <v>129</v>
      </c>
      <c r="BC425" s="10">
        <f>MAX(IF(AK425=0,0,AK425*1000/('Parametros'!$B$4*MIN(U425,AB425))),MAX(0.062*SQRT('Parametros'!$B$2)*H425/'Parametros'!$B$4,0.35*H425/'Parametros'!$B$4))</f>
        <v>1.84945662277069</v>
      </c>
      <c r="BD425" s="10">
        <f>2*AV425</f>
        <v>0</v>
      </c>
      <c r="BE425" s="10">
        <f>AO425*BB425/AP425</f>
        <v>2.15</v>
      </c>
      <c r="BF425" s="10">
        <f>SQRT((AI425*1000/(H425*MIN(U425,AB425)))^2+(Q425*1000000*2*((H425-2*('Parametros'!$B$7+'Parametros'!$B$9/2))+(I425-2*('Parametros'!$B$7+'Parametros'!$B$9/2)))/(1.7*((H425-2*('Parametros'!$B$7+'Parametros'!$B$9/2))*(I425-2*('Parametros'!$B$7+'Parametros'!$B$9/2)))^2))^2)</f>
        <v>1.84893739786171</v>
      </c>
      <c r="BG425" s="10">
        <f>'Parametros'!$B$6*(AJ425*1000/(H425*MIN(U425,AB425))+0.66*SQRT('Parametros'!$B$2))</f>
        <v>3.29396038227542</v>
      </c>
      <c r="BH425" s="10" t="str">
        <f>IF(BF425&lt;=BG425,"CUMPLE","NO CUMPLE")</f>
        <v>CUMPLE</v>
      </c>
      <c r="BI425" s="10">
        <f>AX425*'Parametros'!$B$8</f>
        <v>0</v>
      </c>
      <c r="BJ425" s="10" t="str">
        <f>IF(BI425&gt;=AW425,"CUMPLE","NO CUMPLE")</f>
        <v>CUMPLE</v>
      </c>
    </row>
    <row r="426">
      <c r="A426" s="25" t="inlineStr">
        <is>
          <t>VR2</t>
        </is>
      </c>
      <c r="B426" s="25" t="inlineStr">
        <is>
          <t>791</t>
        </is>
      </c>
      <c r="C426" s="10" t="n">
        <v>1</v>
      </c>
      <c r="D426" s="10" t="n">
        <v>2</v>
      </c>
      <c r="E426" s="10" t="n">
        <v>2</v>
      </c>
      <c r="F426" s="10" t="n">
        <v>500</v>
      </c>
      <c r="G426" s="10" t="n">
        <v>550</v>
      </c>
      <c r="H426" s="17" t="n">
        <v>500</v>
      </c>
      <c r="I426" s="17" t="n">
        <v>550</v>
      </c>
      <c r="J426" s="30" t="n">
        <v>156.6096</v>
      </c>
      <c r="K426" s="10" t="inlineStr">
        <is>
          <t>791</t>
        </is>
      </c>
      <c r="L426" s="30" t="n">
        <v>91.0967</v>
      </c>
      <c r="M426" s="10" t="inlineStr">
        <is>
          <t>791</t>
        </is>
      </c>
      <c r="N426" s="30" t="n">
        <v>134.113</v>
      </c>
      <c r="O426" s="30" t="n">
        <v>450.264</v>
      </c>
      <c r="P426" s="10" t="inlineStr">
        <is>
          <t>791</t>
        </is>
      </c>
      <c r="Q426" s="30" t="n">
        <v>6.2543</v>
      </c>
      <c r="R426" s="10">
        <f>MAX(MAX(1.4/'Parametros'!$B$3,0.25*SQRT('Parametros'!$B$2)/'Parametros'!$B$3)*H426*U426,(0.85*'Parametros'!$B$2/'Parametros'!$B$3)*(1-SQRT(1-2*(J426*1000000/('Parametros'!$B$5*H426*U426^2))/(0.85*'Parametros'!$B$2)))*H426*U426)</f>
        <v>874.216741567116</v>
      </c>
      <c r="S426" s="31" t="n">
        <v>5</v>
      </c>
      <c r="T426" s="32" t="n">
        <v>1</v>
      </c>
      <c r="U426" s="10">
        <f>IF(T426=1,I426-('Parametros'!$B$7+'Parametros'!$B$9+'Parametros'!$B$12/2),I426-(ROUNDUP(S426/2,0)*('Parametros'!$B$7+'Parametros'!$B$9+'Parametros'!$B$12/2)+ROUNDDOWN(S426/2,0)*('Parametros'!$B$7+'Parametros'!$B$9+'Parametros'!$B$12/2+'Parametros'!$B$12+'Parametros'!$B$10))/S426)</f>
        <v>489.35</v>
      </c>
      <c r="V426" s="10">
        <f>S426*'Parametros'!$B$8</f>
        <v>995</v>
      </c>
      <c r="W426" s="10">
        <f>'Parametros'!$B$5*V426*'Parametros'!$B$3*(U426-(V426*'Parametros'!$B$3/(0.85*'Parametros'!$B$2*H426))/2)/1000000</f>
        <v>177.445379382353</v>
      </c>
      <c r="X426" s="10" t="str">
        <f>IF(W426&gt;=J426,"CUMPLE","NO CUMPLE")</f>
        <v>CUMPLE</v>
      </c>
      <c r="Y426" s="10">
        <f>MAX(MAX(1.4/'Parametros'!$B$3,0.25*SQRT('Parametros'!$B$2)/'Parametros'!$B$3)*H426*AB426,(0.85*'Parametros'!$B$2/'Parametros'!$B$3)*(1-SQRT(1-2*(L426*1000000/('Parametros'!$B$5*H426*AB426^2))/(0.85*'Parametros'!$B$2)))*H426*AB426)</f>
        <v>815.583333333333</v>
      </c>
      <c r="Z426" s="31" t="n">
        <v>5</v>
      </c>
      <c r="AA426" s="32" t="n">
        <v>1</v>
      </c>
      <c r="AB426" s="10">
        <f>IF(AA426=1,I426-('Parametros'!$B$7+'Parametros'!$B$9+'Parametros'!$B$12/2),I426-(ROUNDUP(Z426/2,0)*('Parametros'!$B$7+'Parametros'!$B$9+'Parametros'!$B$12/2)+ROUNDDOWN(Z426/2,0)*('Parametros'!$B$7+'Parametros'!$B$9+'Parametros'!$B$12/2+'Parametros'!$B$12+'Parametros'!$B$10))/Z426)</f>
        <v>489.35</v>
      </c>
      <c r="AC426" s="10">
        <f>Z426*'Parametros'!$B$8</f>
        <v>995</v>
      </c>
      <c r="AD426" s="10">
        <f>'Parametros'!$B$5*AC426*'Parametros'!$B$3*(AB426-(AC426*'Parametros'!$B$3/(0.85*'Parametros'!$B$2*H426))/2)/1000000</f>
        <v>177.445379382353</v>
      </c>
      <c r="AE426" s="10" t="str">
        <f>IF(AD426&gt;=L426,"CUMPLE","NO CUMPLE")</f>
        <v>CUMPLE</v>
      </c>
      <c r="AF426" s="10">
        <f>V426*1.25*'Parametros'!$B$3*(U426-(V426*1.25*'Parametros'!$B$3/(0.85*'Parametros'!$B$2*H426))/2)/1000000</f>
        <v>244.158843198529</v>
      </c>
      <c r="AG426" s="10">
        <f>AC426*1.25*'Parametros'!$B$3*(AB426-(AC426*1.25*'Parametros'!$B$3/(0.85*'Parametros'!$B$2*H426))/2)/1000000</f>
        <v>244.158843198529</v>
      </c>
      <c r="AH426" s="10">
        <f>N426+(AF426+AG426)/D426</f>
        <v>378.271843198529</v>
      </c>
      <c r="AI426" s="10">
        <f>MAX(O426,AH426)</f>
        <v>450.264</v>
      </c>
      <c r="AJ426" s="10">
        <f>0.17*SQRT('Parametros'!$B$2)*H426*MIN(U426,AB426)/1000</f>
        <v>220.098728691808</v>
      </c>
      <c r="AK426" s="10">
        <f>MAX(AI426/'Parametros'!$B$6-AJ426,0)</f>
        <v>380.253271308192</v>
      </c>
      <c r="AL426" s="10">
        <f>0.66*SQRT('Parametros'!$B$2)*H426*MIN(U426,AB426)/1000</f>
        <v>854.500946685842</v>
      </c>
      <c r="AM426" s="10" t="str">
        <f>IF(AK426&lt;=AL426,"CUMPLE","NO CUMPLE")</f>
        <v>CUMPLE</v>
      </c>
      <c r="AN426" s="17" t="inlineStr">
        <is>
          <t>Nº4 cerrado</t>
        </is>
      </c>
      <c r="AO426" s="31" t="n">
        <v>2</v>
      </c>
      <c r="AP426" s="10">
        <f>ROUNDDOWN(MIN(IF(BC426+BD426=0,1000000000,AO426*BB426/(BC426+BD426)),MIN(U426,AB426)/4,8*'Parametros'!$B$12,24*BA426,300,IF(AV426=0,1000000000,2*((H426-2*('Parametros'!$B$7+'Parametros'!$B$9/2))+(I426-2*('Parametros'!$B$7+'Parametros'!$B$9/2)))/8))/10,0)*10</f>
        <v>120</v>
      </c>
      <c r="AQ426" s="10">
        <f>ROUNDDOWN(MIN(IF(BC426+BD426=0,1000000000,AO426*BB426/(BC426+BD426)),IF(AK426&gt;0.33*SQRT('Parametros'!$B$2)*H426*MIN(U426,AB426)/1000,MIN(U426,AB426)/4,MIN(U426,AB426)/2),600,IF(AV426=0,1000000000,2*((H426-2*('Parametros'!$B$7+'Parametros'!$B$9/2))+(I426-2*('Parametros'!$B$7+'Parametros'!$B$9/2)))/8))/10,0)*10</f>
        <v>130</v>
      </c>
      <c r="AR426" s="10">
        <f>'Parametros'!$B$6*(AJ426+MAX(BE426-BD426,0)*'Parametros'!$B$4*MIN(U426,AB426)/1000)</f>
        <v>496.486334018856</v>
      </c>
      <c r="AS426" s="10" t="str">
        <f>IF(AND(ISERROR(SEARCH("referencia",AN426)),AM426="CUMPLE",AR426&gt;=AI426),"CUMPLE","NO CUMPLE")</f>
        <v>CUMPLE</v>
      </c>
      <c r="AT426" s="10">
        <f>'Parametros'!$B$6*0.083*SQRT('Parametros'!$B$2)*(H426*I426)^2/(2*(H426+I426))/1000000</f>
        <v>11.862178757599</v>
      </c>
      <c r="AU426" s="10" t="str">
        <f>IF(Q426&lt;=AT426,"DESPRECIABLE","DISEÑAR")</f>
        <v>DESPRECIABLE</v>
      </c>
      <c r="AV426" s="10">
        <f>IF(Q426&lt;=AT426,0,Q426*1000000/('Parametros'!$B$6*2*0.85*(H426-2*('Parametros'!$B$7+'Parametros'!$B$9/2))*(I426-2*('Parametros'!$B$7+'Parametros'!$B$9/2))*'Parametros'!$B$4))</f>
        <v>0</v>
      </c>
      <c r="AW426" s="10">
        <f>AV426*2*((H426-2*('Parametros'!$B$7+'Parametros'!$B$9/2))+(I426-2*('Parametros'!$B$7+'Parametros'!$B$9/2)))*'Parametros'!$B$4/'Parametros'!$B$3</f>
        <v>0</v>
      </c>
      <c r="AX426" s="31" t="n">
        <v>0</v>
      </c>
      <c r="AY426" s="10" t="str">
        <f>IF(AV426=0,"DESPRECIABLE",IF(AND(ISERROR(SEARCH("referencia",AN426)),BB426/AP426&gt;=AV426,BI426&gt;=AW426,BH426="CUMPLE"),"CUMPLE","NO CUMPLE"))</f>
        <v>DESPRECIABLE</v>
      </c>
      <c r="AZ426" s="10" t="str">
        <f>IF(AND(X426="CUMPLE",AE426="CUMPLE",AS426="CUMPLE",OR(AY426="CUMPLE",AY426="DESPRECIABLE"),BH426="CUMPLE",BJ426="CUMPLE"),"CUMPLE","NO CUMPLE")</f>
        <v>CUMPLE</v>
      </c>
      <c r="BA426" s="32" t="n">
        <v>12.7</v>
      </c>
      <c r="BB426" s="32" t="n">
        <v>129</v>
      </c>
      <c r="BC426" s="10">
        <f>MAX(IF(AK426=0,0,AK426*1000/('Parametros'!$B$4*MIN(U426,AB426))),MAX(0.062*SQRT('Parametros'!$B$2)*H426/'Parametros'!$B$4,0.35*H426/'Parametros'!$B$4))</f>
        <v>1.85013779847997</v>
      </c>
      <c r="BD426" s="10">
        <f>2*AV426</f>
        <v>0</v>
      </c>
      <c r="BE426" s="10">
        <f>AO426*BB426/AP426</f>
        <v>2.15</v>
      </c>
      <c r="BF426" s="10">
        <f>SQRT((AI426*1000/(H426*MIN(U426,AB426)))^2+(Q426*1000000*2*((H426-2*('Parametros'!$B$7+'Parametros'!$B$9/2))+(I426-2*('Parametros'!$B$7+'Parametros'!$B$9/2)))/(1.7*((H426-2*('Parametros'!$B$7+'Parametros'!$B$9/2))*(I426-2*('Parametros'!$B$7+'Parametros'!$B$9/2)))^2))^2)</f>
        <v>1.84936733091867</v>
      </c>
      <c r="BG426" s="10">
        <f>'Parametros'!$B$6*(AJ426*1000/(H426*MIN(U426,AB426))+0.66*SQRT('Parametros'!$B$2))</f>
        <v>3.29396038227542</v>
      </c>
      <c r="BH426" s="10" t="str">
        <f>IF(BF426&lt;=BG426,"CUMPLE","NO CUMPLE")</f>
        <v>CUMPLE</v>
      </c>
      <c r="BI426" s="10">
        <f>AX426*'Parametros'!$B$8</f>
        <v>0</v>
      </c>
      <c r="BJ426" s="10" t="str">
        <f>IF(BI426&gt;=AW426,"CUMPLE","NO CUMPLE")</f>
        <v>CUMPLE</v>
      </c>
    </row>
    <row r="427">
      <c r="A427" s="25" t="inlineStr">
        <is>
          <t>VR2</t>
        </is>
      </c>
      <c r="B427" s="25" t="inlineStr">
        <is>
          <t>792</t>
        </is>
      </c>
      <c r="C427" s="10" t="n">
        <v>1</v>
      </c>
      <c r="D427" s="10" t="n">
        <v>3.05308</v>
      </c>
      <c r="E427" s="10" t="n">
        <v>3.05308</v>
      </c>
      <c r="F427" s="10" t="n">
        <v>500</v>
      </c>
      <c r="G427" s="10" t="n">
        <v>550</v>
      </c>
      <c r="H427" s="17" t="n">
        <v>500</v>
      </c>
      <c r="I427" s="17" t="n">
        <v>550</v>
      </c>
      <c r="J427" s="30" t="n">
        <v>158.1901</v>
      </c>
      <c r="K427" s="10" t="inlineStr">
        <is>
          <t>792</t>
        </is>
      </c>
      <c r="L427" s="30" t="n">
        <v>96.55710000000001</v>
      </c>
      <c r="M427" s="10" t="inlineStr">
        <is>
          <t>792</t>
        </is>
      </c>
      <c r="N427" s="30" t="n">
        <v>126.353</v>
      </c>
      <c r="O427" s="30" t="n">
        <v>347.561</v>
      </c>
      <c r="P427" s="10" t="inlineStr">
        <is>
          <t>792</t>
        </is>
      </c>
      <c r="Q427" s="30" t="n">
        <v>43.328</v>
      </c>
      <c r="R427" s="10">
        <f>MAX(MAX(1.4/'Parametros'!$B$3,0.25*SQRT('Parametros'!$B$2)/'Parametros'!$B$3)*H427*U427,(0.85*'Parametros'!$B$2/'Parametros'!$B$3)*(1-SQRT(1-2*(J427*1000000/('Parametros'!$B$5*H427*U427^2))/(0.85*'Parametros'!$B$2)))*H427*U427)</f>
        <v>883.339377373998</v>
      </c>
      <c r="S427" s="31" t="n">
        <v>5</v>
      </c>
      <c r="T427" s="32" t="n">
        <v>1</v>
      </c>
      <c r="U427" s="10">
        <f>IF(T427=1,I427-('Parametros'!$B$7+'Parametros'!$B$9+'Parametros'!$B$12/2),I427-(ROUNDUP(S427/2,0)*('Parametros'!$B$7+'Parametros'!$B$9+'Parametros'!$B$12/2)+ROUNDDOWN(S427/2,0)*('Parametros'!$B$7+'Parametros'!$B$9+'Parametros'!$B$12/2+'Parametros'!$B$12+'Parametros'!$B$10))/S427)</f>
        <v>489.35</v>
      </c>
      <c r="V427" s="10">
        <f>S427*'Parametros'!$B$8</f>
        <v>995</v>
      </c>
      <c r="W427" s="10">
        <f>'Parametros'!$B$5*V427*'Parametros'!$B$3*(U427-(V427*'Parametros'!$B$3/(0.85*'Parametros'!$B$2*H427))/2)/1000000</f>
        <v>177.445379382353</v>
      </c>
      <c r="X427" s="10" t="str">
        <f>IF(W427&gt;=J427,"CUMPLE","NO CUMPLE")</f>
        <v>CUMPLE</v>
      </c>
      <c r="Y427" s="10">
        <f>MAX(MAX(1.4/'Parametros'!$B$3,0.25*SQRT('Parametros'!$B$2)/'Parametros'!$B$3)*H427*AB427,(0.85*'Parametros'!$B$2/'Parametros'!$B$3)*(1-SQRT(1-2*(L427*1000000/('Parametros'!$B$5*H427*AB427^2))/(0.85*'Parametros'!$B$2)))*H427*AB427)</f>
        <v>815.583333333333</v>
      </c>
      <c r="Z427" s="31" t="n">
        <v>5</v>
      </c>
      <c r="AA427" s="32" t="n">
        <v>1</v>
      </c>
      <c r="AB427" s="10">
        <f>IF(AA427=1,I427-('Parametros'!$B$7+'Parametros'!$B$9+'Parametros'!$B$12/2),I427-(ROUNDUP(Z427/2,0)*('Parametros'!$B$7+'Parametros'!$B$9+'Parametros'!$B$12/2)+ROUNDDOWN(Z427/2,0)*('Parametros'!$B$7+'Parametros'!$B$9+'Parametros'!$B$12/2+'Parametros'!$B$12+'Parametros'!$B$10))/Z427)</f>
        <v>489.35</v>
      </c>
      <c r="AC427" s="10">
        <f>Z427*'Parametros'!$B$8</f>
        <v>995</v>
      </c>
      <c r="AD427" s="10">
        <f>'Parametros'!$B$5*AC427*'Parametros'!$B$3*(AB427-(AC427*'Parametros'!$B$3/(0.85*'Parametros'!$B$2*H427))/2)/1000000</f>
        <v>177.445379382353</v>
      </c>
      <c r="AE427" s="10" t="str">
        <f>IF(AD427&gt;=L427,"CUMPLE","NO CUMPLE")</f>
        <v>CUMPLE</v>
      </c>
      <c r="AF427" s="10">
        <f>V427*1.25*'Parametros'!$B$3*(U427-(V427*1.25*'Parametros'!$B$3/(0.85*'Parametros'!$B$2*H427))/2)/1000000</f>
        <v>244.158843198529</v>
      </c>
      <c r="AG427" s="10">
        <f>AC427*1.25*'Parametros'!$B$3*(AB427-(AC427*1.25*'Parametros'!$B$3/(0.85*'Parametros'!$B$2*H427))/2)/1000000</f>
        <v>244.158843198529</v>
      </c>
      <c r="AH427" s="10">
        <f>N427+(AF427+AG427)/D427</f>
        <v>286.29564362449</v>
      </c>
      <c r="AI427" s="10">
        <f>MAX(O427,AH427)</f>
        <v>347.561</v>
      </c>
      <c r="AJ427" s="10">
        <f>0.17*SQRT('Parametros'!$B$2)*H427*MIN(U427,AB427)/1000</f>
        <v>220.098728691808</v>
      </c>
      <c r="AK427" s="10">
        <f>MAX(AI427/'Parametros'!$B$6-AJ427,0)</f>
        <v>243.315937974859</v>
      </c>
      <c r="AL427" s="10">
        <f>0.66*SQRT('Parametros'!$B$2)*H427*MIN(U427,AB427)/1000</f>
        <v>854.500946685842</v>
      </c>
      <c r="AM427" s="10" t="str">
        <f>IF(AK427&lt;=AL427,"CUMPLE","NO CUMPLE")</f>
        <v>CUMPLE</v>
      </c>
      <c r="AN427" s="17" t="inlineStr">
        <is>
          <t>Nº4 cerrado</t>
        </is>
      </c>
      <c r="AO427" s="31" t="n">
        <v>2</v>
      </c>
      <c r="AP427" s="10">
        <f>ROUNDDOWN(MIN(IF(BC427+BD427=0,1000000000,AO427*BB427/(BC427+BD427)),MIN(U427,AB427)/4,8*'Parametros'!$B$12,24*BA427,300,IF(AV427=0,1000000000,2*((H427-2*('Parametros'!$B$7+'Parametros'!$B$9/2))+(I427-2*('Parametros'!$B$7+'Parametros'!$B$9/2)))/8))/10,0)*10</f>
        <v>120</v>
      </c>
      <c r="AQ427" s="10">
        <f>ROUNDDOWN(MIN(IF(BC427+BD427=0,1000000000,AO427*BB427/(BC427+BD427)),IF(AK427&gt;0.33*SQRT('Parametros'!$B$2)*H427*MIN(U427,AB427)/1000,MIN(U427,AB427)/4,MIN(U427,AB427)/2),600,IF(AV427=0,1000000000,2*((H427-2*('Parametros'!$B$7+'Parametros'!$B$9/2))+(I427-2*('Parametros'!$B$7+'Parametros'!$B$9/2)))/8))/10,0)*10</f>
        <v>120</v>
      </c>
      <c r="AR427" s="10">
        <f>'Parametros'!$B$6*(AJ427+MAX(BE427-BD427,0)*'Parametros'!$B$4*MIN(U427,AB427)/1000)</f>
        <v>362.563787695746</v>
      </c>
      <c r="AS427" s="10" t="str">
        <f>IF(AND(ISERROR(SEARCH("referencia",AN427)),AM427="CUMPLE",AR427&gt;=AI427),"CUMPLE","NO CUMPLE")</f>
        <v>CUMPLE</v>
      </c>
      <c r="AT427" s="10">
        <f>'Parametros'!$B$6*0.083*SQRT('Parametros'!$B$2)*(H427*I427)^2/(2*(H427+I427))/1000000</f>
        <v>11.862178757599</v>
      </c>
      <c r="AU427" s="10" t="str">
        <f>IF(Q427&lt;=AT427,"DESPRECIABLE","DISEÑAR")</f>
        <v>DISEÑAR</v>
      </c>
      <c r="AV427" s="10">
        <f>IF(Q427&lt;=AT427,0,Q427*1000000/('Parametros'!$B$6*2*0.85*(H427-2*('Parametros'!$B$7+'Parametros'!$B$9/2))*(I427-2*('Parametros'!$B$7+'Parametros'!$B$9/2))*'Parametros'!$B$4))</f>
        <v>0.434403740378344</v>
      </c>
      <c r="AW427" s="10">
        <f>AV427*2*((H427-2*('Parametros'!$B$7+'Parametros'!$B$9/2))+(I427-2*('Parametros'!$B$7+'Parametros'!$B$9/2)))*'Parametros'!$B$4/'Parametros'!$B$3</f>
        <v>751.170947862233</v>
      </c>
      <c r="AX427" s="31" t="n">
        <v>8</v>
      </c>
      <c r="AY427" s="10" t="str">
        <f>IF(AV427=0,"DESPRECIABLE",IF(AND(ISERROR(SEARCH("referencia",AN427)),BB427/AP427&gt;=AV427,BI427&gt;=AW427,BH427="CUMPLE"),"CUMPLE","NO CUMPLE"))</f>
        <v>CUMPLE</v>
      </c>
      <c r="AZ427" s="10" t="str">
        <f>IF(AND(X427="CUMPLE",AE427="CUMPLE",AS427="CUMPLE",OR(AY427="CUMPLE",AY427="DESPRECIABLE"),BH427="CUMPLE",BJ427="CUMPLE"),"CUMPLE","NO CUMPLE")</f>
        <v>CUMPLE</v>
      </c>
      <c r="BA427" s="32" t="n">
        <v>12.7</v>
      </c>
      <c r="BB427" s="32" t="n">
        <v>129</v>
      </c>
      <c r="BC427" s="10">
        <f>MAX(IF(AK427=0,0,AK427*1000/('Parametros'!$B$4*MIN(U427,AB427))),MAX(0.062*SQRT('Parametros'!$B$2)*H427/'Parametros'!$B$4,0.35*H427/'Parametros'!$B$4))</f>
        <v>1.1838636187696</v>
      </c>
      <c r="BD427" s="10">
        <f>2*AV427</f>
        <v>0.868807480756688</v>
      </c>
      <c r="BE427" s="10">
        <f>AO427*BB427/AP427</f>
        <v>2.15</v>
      </c>
      <c r="BF427" s="10">
        <f>SQRT((AI427*1000/(H427*MIN(U427,AB427)))^2+(Q427*1000000*2*((H427-2*('Parametros'!$B$7+'Parametros'!$B$9/2))+(I427-2*('Parametros'!$B$7+'Parametros'!$B$9/2)))/(1.7*((H427-2*('Parametros'!$B$7+'Parametros'!$B$9/2))*(I427-2*('Parametros'!$B$7+'Parametros'!$B$9/2)))^2))^2)</f>
        <v>1.90569883661843</v>
      </c>
      <c r="BG427" s="10">
        <f>'Parametros'!$B$6*(AJ427*1000/(H427*MIN(U427,AB427))+0.66*SQRT('Parametros'!$B$2))</f>
        <v>3.29396038227542</v>
      </c>
      <c r="BH427" s="10" t="str">
        <f>IF(BF427&lt;=BG427,"CUMPLE","NO CUMPLE")</f>
        <v>CUMPLE</v>
      </c>
      <c r="BI427" s="10">
        <f>AX427*'Parametros'!$B$8</f>
        <v>1592</v>
      </c>
      <c r="BJ427" s="10" t="str">
        <f>IF(BI427&gt;=AW427,"CUMPLE","NO CUMPLE")</f>
        <v>CUMPLE</v>
      </c>
    </row>
    <row r="428">
      <c r="A428" s="25" t="inlineStr">
        <is>
          <t>VR2</t>
        </is>
      </c>
      <c r="B428" s="25" t="inlineStr">
        <is>
          <t>793</t>
        </is>
      </c>
      <c r="C428" s="10" t="n">
        <v>1</v>
      </c>
      <c r="D428" s="10" t="n">
        <v>2</v>
      </c>
      <c r="E428" s="10" t="n">
        <v>2</v>
      </c>
      <c r="F428" s="10" t="n">
        <v>500</v>
      </c>
      <c r="G428" s="10" t="n">
        <v>550</v>
      </c>
      <c r="H428" s="17" t="n">
        <v>500</v>
      </c>
      <c r="I428" s="17" t="n">
        <v>550</v>
      </c>
      <c r="J428" s="30" t="n">
        <v>142.9822</v>
      </c>
      <c r="K428" s="10" t="inlineStr">
        <is>
          <t>793</t>
        </is>
      </c>
      <c r="L428" s="30" t="n">
        <v>97.85129999999999</v>
      </c>
      <c r="M428" s="10" t="inlineStr">
        <is>
          <t>793</t>
        </is>
      </c>
      <c r="N428" s="30" t="n">
        <v>138.807</v>
      </c>
      <c r="O428" s="30" t="n">
        <v>494.139</v>
      </c>
      <c r="P428" s="10" t="inlineStr">
        <is>
          <t>793</t>
        </is>
      </c>
      <c r="Q428" s="30" t="n">
        <v>37.1242</v>
      </c>
      <c r="R428" s="10">
        <f>MAX(MAX(1.4/'Parametros'!$B$3,0.25*SQRT('Parametros'!$B$2)/'Parametros'!$B$3)*H428*U428,(0.85*'Parametros'!$B$2/'Parametros'!$B$3)*(1-SQRT(1-2*(J428*1000000/('Parametros'!$B$5*H428*U428^2))/(0.85*'Parametros'!$B$2)))*H428*U428)</f>
        <v>815.583333333333</v>
      </c>
      <c r="S428" s="31" t="n">
        <v>5</v>
      </c>
      <c r="T428" s="32" t="n">
        <v>1</v>
      </c>
      <c r="U428" s="10">
        <f>IF(T428=1,I428-('Parametros'!$B$7+'Parametros'!$B$9+'Parametros'!$B$12/2),I428-(ROUNDUP(S428/2,0)*('Parametros'!$B$7+'Parametros'!$B$9+'Parametros'!$B$12/2)+ROUNDDOWN(S428/2,0)*('Parametros'!$B$7+'Parametros'!$B$9+'Parametros'!$B$12/2+'Parametros'!$B$12+'Parametros'!$B$10))/S428)</f>
        <v>489.35</v>
      </c>
      <c r="V428" s="10">
        <f>S428*'Parametros'!$B$8</f>
        <v>995</v>
      </c>
      <c r="W428" s="10">
        <f>'Parametros'!$B$5*V428*'Parametros'!$B$3*(U428-(V428*'Parametros'!$B$3/(0.85*'Parametros'!$B$2*H428))/2)/1000000</f>
        <v>177.445379382353</v>
      </c>
      <c r="X428" s="10" t="str">
        <f>IF(W428&gt;=J428,"CUMPLE","NO CUMPLE")</f>
        <v>CUMPLE</v>
      </c>
      <c r="Y428" s="10">
        <f>MAX(MAX(1.4/'Parametros'!$B$3,0.25*SQRT('Parametros'!$B$2)/'Parametros'!$B$3)*H428*AB428,(0.85*'Parametros'!$B$2/'Parametros'!$B$3)*(1-SQRT(1-2*(L428*1000000/('Parametros'!$B$5*H428*AB428^2))/(0.85*'Parametros'!$B$2)))*H428*AB428)</f>
        <v>815.583333333333</v>
      </c>
      <c r="Z428" s="31" t="n">
        <v>5</v>
      </c>
      <c r="AA428" s="32" t="n">
        <v>1</v>
      </c>
      <c r="AB428" s="10">
        <f>IF(AA428=1,I428-('Parametros'!$B$7+'Parametros'!$B$9+'Parametros'!$B$12/2),I428-(ROUNDUP(Z428/2,0)*('Parametros'!$B$7+'Parametros'!$B$9+'Parametros'!$B$12/2)+ROUNDDOWN(Z428/2,0)*('Parametros'!$B$7+'Parametros'!$B$9+'Parametros'!$B$12/2+'Parametros'!$B$12+'Parametros'!$B$10))/Z428)</f>
        <v>489.35</v>
      </c>
      <c r="AC428" s="10">
        <f>Z428*'Parametros'!$B$8</f>
        <v>995</v>
      </c>
      <c r="AD428" s="10">
        <f>'Parametros'!$B$5*AC428*'Parametros'!$B$3*(AB428-(AC428*'Parametros'!$B$3/(0.85*'Parametros'!$B$2*H428))/2)/1000000</f>
        <v>177.445379382353</v>
      </c>
      <c r="AE428" s="10" t="str">
        <f>IF(AD428&gt;=L428,"CUMPLE","NO CUMPLE")</f>
        <v>CUMPLE</v>
      </c>
      <c r="AF428" s="10">
        <f>V428*1.25*'Parametros'!$B$3*(U428-(V428*1.25*'Parametros'!$B$3/(0.85*'Parametros'!$B$2*H428))/2)/1000000</f>
        <v>244.158843198529</v>
      </c>
      <c r="AG428" s="10">
        <f>AC428*1.25*'Parametros'!$B$3*(AB428-(AC428*1.25*'Parametros'!$B$3/(0.85*'Parametros'!$B$2*H428))/2)/1000000</f>
        <v>244.158843198529</v>
      </c>
      <c r="AH428" s="10">
        <f>N428+(AF428+AG428)/D428</f>
        <v>382.965843198529</v>
      </c>
      <c r="AI428" s="10">
        <f>MAX(O428,AH428)</f>
        <v>494.139</v>
      </c>
      <c r="AJ428" s="10">
        <f>0.17*SQRT('Parametros'!$B$2)*H428*MIN(U428,AB428)/1000</f>
        <v>220.098728691808</v>
      </c>
      <c r="AK428" s="10">
        <f>MAX(AI428/'Parametros'!$B$6-AJ428,0)</f>
        <v>438.753271308192</v>
      </c>
      <c r="AL428" s="10">
        <f>0.66*SQRT('Parametros'!$B$2)*H428*MIN(U428,AB428)/1000</f>
        <v>854.500946685842</v>
      </c>
      <c r="AM428" s="10" t="str">
        <f>IF(AK428&lt;=AL428,"CUMPLE","NO CUMPLE")</f>
        <v>CUMPLE</v>
      </c>
      <c r="AN428" s="17" t="inlineStr">
        <is>
          <t>Nº4 cerrado</t>
        </is>
      </c>
      <c r="AO428" s="31" t="n">
        <v>2</v>
      </c>
      <c r="AP428" s="10">
        <f>ROUNDDOWN(MIN(IF(BC428+BD428=0,1000000000,AO428*BB428/(BC428+BD428)),MIN(U428,AB428)/4,8*'Parametros'!$B$12,24*BA428,300,IF(AV428=0,1000000000,2*((H428-2*('Parametros'!$B$7+'Parametros'!$B$9/2))+(I428-2*('Parametros'!$B$7+'Parametros'!$B$9/2)))/8))/10,0)*10</f>
        <v>80</v>
      </c>
      <c r="AQ428" s="10">
        <f>ROUNDDOWN(MIN(IF(BC428+BD428=0,1000000000,AO428*BB428/(BC428+BD428)),IF(AK428&gt;0.33*SQRT('Parametros'!$B$2)*H428*MIN(U428,AB428)/1000,MIN(U428,AB428)/4,MIN(U428,AB428)/2),600,IF(AV428=0,1000000000,2*((H428-2*('Parametros'!$B$7+'Parametros'!$B$9/2))+(I428-2*('Parametros'!$B$7+'Parametros'!$B$9/2)))/8))/10,0)*10</f>
        <v>80</v>
      </c>
      <c r="AR428" s="10">
        <f>'Parametros'!$B$6*(AJ428+MAX(BE428-BD428,0)*'Parametros'!$B$4*MIN(U428,AB428)/1000)</f>
        <v>547.445261322022</v>
      </c>
      <c r="AS428" s="10" t="str">
        <f>IF(AND(ISERROR(SEARCH("referencia",AN428)),AM428="CUMPLE",AR428&gt;=AI428),"CUMPLE","NO CUMPLE")</f>
        <v>CUMPLE</v>
      </c>
      <c r="AT428" s="10">
        <f>'Parametros'!$B$6*0.083*SQRT('Parametros'!$B$2)*(H428*I428)^2/(2*(H428+I428))/1000000</f>
        <v>11.862178757599</v>
      </c>
      <c r="AU428" s="10" t="str">
        <f>IF(Q428&lt;=AT428,"DESPRECIABLE","DISEÑAR")</f>
        <v>DISEÑAR</v>
      </c>
      <c r="AV428" s="10">
        <f>IF(Q428&lt;=AT428,0,Q428*1000000/('Parametros'!$B$6*2*0.85*(H428-2*('Parametros'!$B$7+'Parametros'!$B$9/2))*(I428-2*('Parametros'!$B$7+'Parametros'!$B$9/2))*'Parametros'!$B$4))</f>
        <v>0.372204840716251</v>
      </c>
      <c r="AW428" s="10">
        <f>AV428*2*((H428-2*('Parametros'!$B$7+'Parametros'!$B$9/2))+(I428-2*('Parametros'!$B$7+'Parametros'!$B$9/2)))*'Parametros'!$B$4/'Parametros'!$B$3</f>
        <v>643.616610566541</v>
      </c>
      <c r="AX428" s="31" t="n">
        <v>8</v>
      </c>
      <c r="AY428" s="10" t="str">
        <f>IF(AV428=0,"DESPRECIABLE",IF(AND(ISERROR(SEARCH("referencia",AN428)),BB428/AP428&gt;=AV428,BI428&gt;=AW428,BH428="CUMPLE"),"CUMPLE","NO CUMPLE"))</f>
        <v>CUMPLE</v>
      </c>
      <c r="AZ428" s="10" t="str">
        <f>IF(AND(X428="CUMPLE",AE428="CUMPLE",AS428="CUMPLE",OR(AY428="CUMPLE",AY428="DESPRECIABLE"),BH428="CUMPLE",BJ428="CUMPLE"),"CUMPLE","NO CUMPLE")</f>
        <v>CUMPLE</v>
      </c>
      <c r="BA428" s="32" t="n">
        <v>12.7</v>
      </c>
      <c r="BB428" s="32" t="n">
        <v>129</v>
      </c>
      <c r="BC428" s="10">
        <f>MAX(IF(AK428=0,0,AK428*1000/('Parametros'!$B$4*MIN(U428,AB428))),MAX(0.062*SQRT('Parametros'!$B$2)*H428/'Parametros'!$B$4,0.35*H428/'Parametros'!$B$4))</f>
        <v>2.13477193414098</v>
      </c>
      <c r="BD428" s="10">
        <f>2*AV428</f>
        <v>0.744409681432502</v>
      </c>
      <c r="BE428" s="10">
        <f>AO428*BB428/AP428</f>
        <v>3.225</v>
      </c>
      <c r="BF428" s="10">
        <f>SQRT((AI428*1000/(H428*MIN(U428,AB428)))^2+(Q428*1000000*2*((H428-2*('Parametros'!$B$7+'Parametros'!$B$9/2))+(I428-2*('Parametros'!$B$7+'Parametros'!$B$9/2)))/(1.7*((H428-2*('Parametros'!$B$7+'Parametros'!$B$9/2))*(I428-2*('Parametros'!$B$7+'Parametros'!$B$9/2)))^2))^2)</f>
        <v>2.29422598576182</v>
      </c>
      <c r="BG428" s="10">
        <f>'Parametros'!$B$6*(AJ428*1000/(H428*MIN(U428,AB428))+0.66*SQRT('Parametros'!$B$2))</f>
        <v>3.29396038227542</v>
      </c>
      <c r="BH428" s="10" t="str">
        <f>IF(BF428&lt;=BG428,"CUMPLE","NO CUMPLE")</f>
        <v>CUMPLE</v>
      </c>
      <c r="BI428" s="10">
        <f>AX428*'Parametros'!$B$8</f>
        <v>1592</v>
      </c>
      <c r="BJ428" s="10" t="str">
        <f>IF(BI428&gt;=AW428,"CUMPLE","NO CUMPLE")</f>
        <v>CUMPLE</v>
      </c>
    </row>
    <row r="429">
      <c r="A429" s="25" t="inlineStr">
        <is>
          <t>VR2</t>
        </is>
      </c>
      <c r="B429" s="25" t="inlineStr">
        <is>
          <t>794</t>
        </is>
      </c>
      <c r="C429" s="10" t="n">
        <v>1</v>
      </c>
      <c r="D429" s="10" t="n">
        <v>1.9</v>
      </c>
      <c r="E429" s="10" t="n">
        <v>1.9</v>
      </c>
      <c r="F429" s="10" t="n">
        <v>500</v>
      </c>
      <c r="G429" s="10" t="n">
        <v>550</v>
      </c>
      <c r="H429" s="17" t="n">
        <v>500</v>
      </c>
      <c r="I429" s="17" t="n">
        <v>550</v>
      </c>
      <c r="J429" s="30" t="n">
        <v>134.654</v>
      </c>
      <c r="K429" s="10" t="inlineStr">
        <is>
          <t>794</t>
        </is>
      </c>
      <c r="L429" s="30" t="n">
        <v>100.201</v>
      </c>
      <c r="M429" s="10" t="inlineStr">
        <is>
          <t>794</t>
        </is>
      </c>
      <c r="N429" s="30" t="n">
        <v>130.794</v>
      </c>
      <c r="O429" s="30" t="n">
        <v>454.244</v>
      </c>
      <c r="P429" s="10" t="inlineStr">
        <is>
          <t>794</t>
        </is>
      </c>
      <c r="Q429" s="30" t="n">
        <v>16.0465</v>
      </c>
      <c r="R429" s="10">
        <f>MAX(MAX(1.4/'Parametros'!$B$3,0.25*SQRT('Parametros'!$B$2)/'Parametros'!$B$3)*H429*U429,(0.85*'Parametros'!$B$2/'Parametros'!$B$3)*(1-SQRT(1-2*(J429*1000000/('Parametros'!$B$5*H429*U429^2))/(0.85*'Parametros'!$B$2)))*H429*U429)</f>
        <v>815.583333333333</v>
      </c>
      <c r="S429" s="31" t="n">
        <v>5</v>
      </c>
      <c r="T429" s="32" t="n">
        <v>1</v>
      </c>
      <c r="U429" s="10">
        <f>IF(T429=1,I429-('Parametros'!$B$7+'Parametros'!$B$9+'Parametros'!$B$12/2),I429-(ROUNDUP(S429/2,0)*('Parametros'!$B$7+'Parametros'!$B$9+'Parametros'!$B$12/2)+ROUNDDOWN(S429/2,0)*('Parametros'!$B$7+'Parametros'!$B$9+'Parametros'!$B$12/2+'Parametros'!$B$12+'Parametros'!$B$10))/S429)</f>
        <v>489.35</v>
      </c>
      <c r="V429" s="10">
        <f>S429*'Parametros'!$B$8</f>
        <v>995</v>
      </c>
      <c r="W429" s="10">
        <f>'Parametros'!$B$5*V429*'Parametros'!$B$3*(U429-(V429*'Parametros'!$B$3/(0.85*'Parametros'!$B$2*H429))/2)/1000000</f>
        <v>177.445379382353</v>
      </c>
      <c r="X429" s="10" t="str">
        <f>IF(W429&gt;=J429,"CUMPLE","NO CUMPLE")</f>
        <v>CUMPLE</v>
      </c>
      <c r="Y429" s="10">
        <f>MAX(MAX(1.4/'Parametros'!$B$3,0.25*SQRT('Parametros'!$B$2)/'Parametros'!$B$3)*H429*AB429,(0.85*'Parametros'!$B$2/'Parametros'!$B$3)*(1-SQRT(1-2*(L429*1000000/('Parametros'!$B$5*H429*AB429^2))/(0.85*'Parametros'!$B$2)))*H429*AB429)</f>
        <v>815.583333333333</v>
      </c>
      <c r="Z429" s="31" t="n">
        <v>5</v>
      </c>
      <c r="AA429" s="32" t="n">
        <v>1</v>
      </c>
      <c r="AB429" s="10">
        <f>IF(AA429=1,I429-('Parametros'!$B$7+'Parametros'!$B$9+'Parametros'!$B$12/2),I429-(ROUNDUP(Z429/2,0)*('Parametros'!$B$7+'Parametros'!$B$9+'Parametros'!$B$12/2)+ROUNDDOWN(Z429/2,0)*('Parametros'!$B$7+'Parametros'!$B$9+'Parametros'!$B$12/2+'Parametros'!$B$12+'Parametros'!$B$10))/Z429)</f>
        <v>489.35</v>
      </c>
      <c r="AC429" s="10">
        <f>Z429*'Parametros'!$B$8</f>
        <v>995</v>
      </c>
      <c r="AD429" s="10">
        <f>'Parametros'!$B$5*AC429*'Parametros'!$B$3*(AB429-(AC429*'Parametros'!$B$3/(0.85*'Parametros'!$B$2*H429))/2)/1000000</f>
        <v>177.445379382353</v>
      </c>
      <c r="AE429" s="10" t="str">
        <f>IF(AD429&gt;=L429,"CUMPLE","NO CUMPLE")</f>
        <v>CUMPLE</v>
      </c>
      <c r="AF429" s="10">
        <f>V429*1.25*'Parametros'!$B$3*(U429-(V429*1.25*'Parametros'!$B$3/(0.85*'Parametros'!$B$2*H429))/2)/1000000</f>
        <v>244.158843198529</v>
      </c>
      <c r="AG429" s="10">
        <f>AC429*1.25*'Parametros'!$B$3*(AB429-(AC429*1.25*'Parametros'!$B$3/(0.85*'Parametros'!$B$2*H429))/2)/1000000</f>
        <v>244.158843198529</v>
      </c>
      <c r="AH429" s="10">
        <f>N429+(AF429+AG429)/D429</f>
        <v>387.803308630031</v>
      </c>
      <c r="AI429" s="10">
        <f>MAX(O429,AH429)</f>
        <v>454.244</v>
      </c>
      <c r="AJ429" s="10">
        <f>0.17*SQRT('Parametros'!$B$2)*H429*MIN(U429,AB429)/1000</f>
        <v>220.098728691808</v>
      </c>
      <c r="AK429" s="10">
        <f>MAX(AI429/'Parametros'!$B$6-AJ429,0)</f>
        <v>385.559937974859</v>
      </c>
      <c r="AL429" s="10">
        <f>0.66*SQRT('Parametros'!$B$2)*H429*MIN(U429,AB429)/1000</f>
        <v>854.500946685842</v>
      </c>
      <c r="AM429" s="10" t="str">
        <f>IF(AK429&lt;=AL429,"CUMPLE","NO CUMPLE")</f>
        <v>CUMPLE</v>
      </c>
      <c r="AN429" s="17" t="inlineStr">
        <is>
          <t>Nº4 cerrado</t>
        </is>
      </c>
      <c r="AO429" s="31" t="n">
        <v>2</v>
      </c>
      <c r="AP429" s="10">
        <f>ROUNDDOWN(MIN(IF(BC429+BD429=0,1000000000,AO429*BB429/(BC429+BD429)),MIN(U429,AB429)/4,8*'Parametros'!$B$12,24*BA429,300,IF(AV429=0,1000000000,2*((H429-2*('Parametros'!$B$7+'Parametros'!$B$9/2))+(I429-2*('Parametros'!$B$7+'Parametros'!$B$9/2)))/8))/10,0)*10</f>
        <v>110</v>
      </c>
      <c r="AQ429" s="10">
        <f>ROUNDDOWN(MIN(IF(BC429+BD429=0,1000000000,AO429*BB429/(BC429+BD429)),IF(AK429&gt;0.33*SQRT('Parametros'!$B$2)*H429*MIN(U429,AB429)/1000,MIN(U429,AB429)/4,MIN(U429,AB429)/2),600,IF(AV429=0,1000000000,2*((H429-2*('Parametros'!$B$7+'Parametros'!$B$9/2))+(I429-2*('Parametros'!$B$7+'Parametros'!$B$9/2)))/8))/10,0)*10</f>
        <v>110</v>
      </c>
      <c r="AR429" s="10">
        <f>'Parametros'!$B$6*(AJ429+MAX(BE429-BD429,0)*'Parametros'!$B$4*MIN(U429,AB429)/1000)</f>
        <v>477.016585415157</v>
      </c>
      <c r="AS429" s="10" t="str">
        <f>IF(AND(ISERROR(SEARCH("referencia",AN429)),AM429="CUMPLE",AR429&gt;=AI429),"CUMPLE","NO CUMPLE")</f>
        <v>CUMPLE</v>
      </c>
      <c r="AT429" s="10">
        <f>'Parametros'!$B$6*0.083*SQRT('Parametros'!$B$2)*(H429*I429)^2/(2*(H429+I429))/1000000</f>
        <v>11.862178757599</v>
      </c>
      <c r="AU429" s="10" t="str">
        <f>IF(Q429&lt;=AT429,"DESPRECIABLE","DISEÑAR")</f>
        <v>DISEÑAR</v>
      </c>
      <c r="AV429" s="10">
        <f>IF(Q429&lt;=AT429,0,Q429*1000000/('Parametros'!$B$6*2*0.85*(H429-2*('Parametros'!$B$7+'Parametros'!$B$9/2))*(I429-2*('Parametros'!$B$7+'Parametros'!$B$9/2))*'Parametros'!$B$4))</f>
        <v>0.160881176605915</v>
      </c>
      <c r="AW429" s="10">
        <f>AV429*2*((H429-2*('Parametros'!$B$7+'Parametros'!$B$9/2))+(I429-2*('Parametros'!$B$7+'Parametros'!$B$9/2)))*'Parametros'!$B$4/'Parametros'!$B$3</f>
        <v>278.195730586949</v>
      </c>
      <c r="AX429" s="31" t="n">
        <v>8</v>
      </c>
      <c r="AY429" s="10" t="str">
        <f>IF(AV429=0,"DESPRECIABLE",IF(AND(ISERROR(SEARCH("referencia",AN429)),BB429/AP429&gt;=AV429,BI429&gt;=AW429,BH429="CUMPLE"),"CUMPLE","NO CUMPLE"))</f>
        <v>CUMPLE</v>
      </c>
      <c r="AZ429" s="10" t="str">
        <f>IF(AND(X429="CUMPLE",AE429="CUMPLE",AS429="CUMPLE",OR(AY429="CUMPLE",AY429="DESPRECIABLE"),BH429="CUMPLE",BJ429="CUMPLE"),"CUMPLE","NO CUMPLE")</f>
        <v>CUMPLE</v>
      </c>
      <c r="BA429" s="32" t="n">
        <v>12.7</v>
      </c>
      <c r="BB429" s="32" t="n">
        <v>129</v>
      </c>
      <c r="BC429" s="10">
        <f>MAX(IF(AK429=0,0,AK429*1000/('Parametros'!$B$4*MIN(U429,AB429))),MAX(0.062*SQRT('Parametros'!$B$2)*H429/'Parametros'!$B$4,0.35*H429/'Parametros'!$B$4))</f>
        <v>1.87595760155531</v>
      </c>
      <c r="BD429" s="10">
        <f>2*AV429</f>
        <v>0.321762353211831</v>
      </c>
      <c r="BE429" s="10">
        <f>AO429*BB429/AP429</f>
        <v>2.34545454545455</v>
      </c>
      <c r="BF429" s="10">
        <f>SQRT((AI429*1000/(H429*MIN(U429,AB429)))^2+(Q429*1000000*2*((H429-2*('Parametros'!$B$7+'Parametros'!$B$9/2))+(I429-2*('Parametros'!$B$7+'Parametros'!$B$9/2)))/(1.7*((H429-2*('Parametros'!$B$7+'Parametros'!$B$9/2))*(I429-2*('Parametros'!$B$7+'Parametros'!$B$9/2)))^2))^2)</f>
        <v>1.91520802761404</v>
      </c>
      <c r="BG429" s="10">
        <f>'Parametros'!$B$6*(AJ429*1000/(H429*MIN(U429,AB429))+0.66*SQRT('Parametros'!$B$2))</f>
        <v>3.29396038227542</v>
      </c>
      <c r="BH429" s="10" t="str">
        <f>IF(BF429&lt;=BG429,"CUMPLE","NO CUMPLE")</f>
        <v>CUMPLE</v>
      </c>
      <c r="BI429" s="10">
        <f>AX429*'Parametros'!$B$8</f>
        <v>1592</v>
      </c>
      <c r="BJ429" s="10" t="str">
        <f>IF(BI429&gt;=AW429,"CUMPLE","NO CUMPLE")</f>
        <v>CUMPLE</v>
      </c>
    </row>
    <row r="430">
      <c r="A430" s="25" t="inlineStr">
        <is>
          <t>VR2</t>
        </is>
      </c>
      <c r="B430" s="25" t="inlineStr">
        <is>
          <t>795</t>
        </is>
      </c>
      <c r="C430" s="10" t="n">
        <v>1</v>
      </c>
      <c r="D430" s="10" t="n">
        <v>3.57612</v>
      </c>
      <c r="E430" s="10" t="n">
        <v>3.57612</v>
      </c>
      <c r="F430" s="10" t="n">
        <v>500</v>
      </c>
      <c r="G430" s="10" t="n">
        <v>550</v>
      </c>
      <c r="H430" s="17" t="n">
        <v>500</v>
      </c>
      <c r="I430" s="17" t="n">
        <v>550</v>
      </c>
      <c r="J430" s="30" t="n">
        <v>153.0666</v>
      </c>
      <c r="K430" s="10" t="inlineStr">
        <is>
          <t>795</t>
        </is>
      </c>
      <c r="L430" s="30" t="n">
        <v>88.24160000000001</v>
      </c>
      <c r="M430" s="10" t="inlineStr">
        <is>
          <t>795</t>
        </is>
      </c>
      <c r="N430" s="30" t="n">
        <v>118.384</v>
      </c>
      <c r="O430" s="30" t="n">
        <v>325.822</v>
      </c>
      <c r="P430" s="10" t="inlineStr">
        <is>
          <t>795</t>
        </is>
      </c>
      <c r="Q430" s="30" t="n">
        <v>5.6242</v>
      </c>
      <c r="R430" s="10">
        <f>MAX(MAX(1.4/'Parametros'!$B$3,0.25*SQRT('Parametros'!$B$2)/'Parametros'!$B$3)*H430*U430,(0.85*'Parametros'!$B$2/'Parametros'!$B$3)*(1-SQRT(1-2*(J430*1000000/('Parametros'!$B$5*H430*U430^2))/(0.85*'Parametros'!$B$2)))*H430*U430)</f>
        <v>853.789808853043</v>
      </c>
      <c r="S430" s="31" t="n">
        <v>5</v>
      </c>
      <c r="T430" s="32" t="n">
        <v>1</v>
      </c>
      <c r="U430" s="10">
        <f>IF(T430=1,I430-('Parametros'!$B$7+'Parametros'!$B$9+'Parametros'!$B$12/2),I430-(ROUNDUP(S430/2,0)*('Parametros'!$B$7+'Parametros'!$B$9+'Parametros'!$B$12/2)+ROUNDDOWN(S430/2,0)*('Parametros'!$B$7+'Parametros'!$B$9+'Parametros'!$B$12/2+'Parametros'!$B$12+'Parametros'!$B$10))/S430)</f>
        <v>489.35</v>
      </c>
      <c r="V430" s="10">
        <f>S430*'Parametros'!$B$8</f>
        <v>995</v>
      </c>
      <c r="W430" s="10">
        <f>'Parametros'!$B$5*V430*'Parametros'!$B$3*(U430-(V430*'Parametros'!$B$3/(0.85*'Parametros'!$B$2*H430))/2)/1000000</f>
        <v>177.445379382353</v>
      </c>
      <c r="X430" s="10" t="str">
        <f>IF(W430&gt;=J430,"CUMPLE","NO CUMPLE")</f>
        <v>CUMPLE</v>
      </c>
      <c r="Y430" s="10">
        <f>MAX(MAX(1.4/'Parametros'!$B$3,0.25*SQRT('Parametros'!$B$2)/'Parametros'!$B$3)*H430*AB430,(0.85*'Parametros'!$B$2/'Parametros'!$B$3)*(1-SQRT(1-2*(L430*1000000/('Parametros'!$B$5*H430*AB430^2))/(0.85*'Parametros'!$B$2)))*H430*AB430)</f>
        <v>815.583333333333</v>
      </c>
      <c r="Z430" s="31" t="n">
        <v>5</v>
      </c>
      <c r="AA430" s="32" t="n">
        <v>1</v>
      </c>
      <c r="AB430" s="10">
        <f>IF(AA430=1,I430-('Parametros'!$B$7+'Parametros'!$B$9+'Parametros'!$B$12/2),I430-(ROUNDUP(Z430/2,0)*('Parametros'!$B$7+'Parametros'!$B$9+'Parametros'!$B$12/2)+ROUNDDOWN(Z430/2,0)*('Parametros'!$B$7+'Parametros'!$B$9+'Parametros'!$B$12/2+'Parametros'!$B$12+'Parametros'!$B$10))/Z430)</f>
        <v>489.35</v>
      </c>
      <c r="AC430" s="10">
        <f>Z430*'Parametros'!$B$8</f>
        <v>995</v>
      </c>
      <c r="AD430" s="10">
        <f>'Parametros'!$B$5*AC430*'Parametros'!$B$3*(AB430-(AC430*'Parametros'!$B$3/(0.85*'Parametros'!$B$2*H430))/2)/1000000</f>
        <v>177.445379382353</v>
      </c>
      <c r="AE430" s="10" t="str">
        <f>IF(AD430&gt;=L430,"CUMPLE","NO CUMPLE")</f>
        <v>CUMPLE</v>
      </c>
      <c r="AF430" s="10">
        <f>V430*1.25*'Parametros'!$B$3*(U430-(V430*1.25*'Parametros'!$B$3/(0.85*'Parametros'!$B$2*H430))/2)/1000000</f>
        <v>244.158843198529</v>
      </c>
      <c r="AG430" s="10">
        <f>AC430*1.25*'Parametros'!$B$3*(AB430-(AC430*1.25*'Parametros'!$B$3/(0.85*'Parametros'!$B$2*H430))/2)/1000000</f>
        <v>244.158843198529</v>
      </c>
      <c r="AH430" s="10">
        <f>N430+(AF430+AG430)/D430</f>
        <v>254.933580662019</v>
      </c>
      <c r="AI430" s="10">
        <f>MAX(O430,AH430)</f>
        <v>325.822</v>
      </c>
      <c r="AJ430" s="10">
        <f>0.17*SQRT('Parametros'!$B$2)*H430*MIN(U430,AB430)/1000</f>
        <v>220.098728691808</v>
      </c>
      <c r="AK430" s="10">
        <f>MAX(AI430/'Parametros'!$B$6-AJ430,0)</f>
        <v>214.330604641526</v>
      </c>
      <c r="AL430" s="10">
        <f>0.66*SQRT('Parametros'!$B$2)*H430*MIN(U430,AB430)/1000</f>
        <v>854.500946685842</v>
      </c>
      <c r="AM430" s="10" t="str">
        <f>IF(AK430&lt;=AL430,"CUMPLE","NO CUMPLE")</f>
        <v>CUMPLE</v>
      </c>
      <c r="AN430" s="17" t="inlineStr">
        <is>
          <t>Nº3 cerrado</t>
        </is>
      </c>
      <c r="AO430" s="31" t="n">
        <v>2</v>
      </c>
      <c r="AP430" s="10">
        <f>ROUNDDOWN(MIN(IF(BC430+BD430=0,1000000000,AO430*BB430/(BC430+BD430)),MIN(U430,AB430)/4,8*'Parametros'!$B$12,24*BA430,300,IF(AV430=0,1000000000,2*((H430-2*('Parametros'!$B$7+'Parametros'!$B$9/2))+(I430-2*('Parametros'!$B$7+'Parametros'!$B$9/2)))/8))/10,0)*10</f>
        <v>120</v>
      </c>
      <c r="AQ430" s="10">
        <f>ROUNDDOWN(MIN(IF(BC430+BD430=0,1000000000,AO430*BB430/(BC430+BD430)),IF(AK430&gt;0.33*SQRT('Parametros'!$B$2)*H430*MIN(U430,AB430)/1000,MIN(U430,AB430)/4,MIN(U430,AB430)/2),600,IF(AV430=0,1000000000,2*((H430-2*('Parametros'!$B$7+'Parametros'!$B$9/2))+(I430-2*('Parametros'!$B$7+'Parametros'!$B$9/2)))/8))/10,0)*10</f>
        <v>130</v>
      </c>
      <c r="AR430" s="10">
        <f>'Parametros'!$B$6*(AJ430+MAX(BE430-BD430,0)*'Parametros'!$B$4*MIN(U430,AB430)/1000)</f>
        <v>347.479259018856</v>
      </c>
      <c r="AS430" s="10" t="str">
        <f>IF(AND(ISERROR(SEARCH("referencia",AN430)),AM430="CUMPLE",AR430&gt;=AI430),"CUMPLE","NO CUMPLE")</f>
        <v>CUMPLE</v>
      </c>
      <c r="AT430" s="10">
        <f>'Parametros'!$B$6*0.083*SQRT('Parametros'!$B$2)*(H430*I430)^2/(2*(H430+I430))/1000000</f>
        <v>11.862178757599</v>
      </c>
      <c r="AU430" s="10" t="str">
        <f>IF(Q430&lt;=AT430,"DESPRECIABLE","DISEÑAR")</f>
        <v>DESPRECIABLE</v>
      </c>
      <c r="AV430" s="10">
        <f>IF(Q430&lt;=AT430,0,Q430*1000000/('Parametros'!$B$6*2*0.85*(H430-2*('Parametros'!$B$7+'Parametros'!$B$9/2))*(I430-2*('Parametros'!$B$7+'Parametros'!$B$9/2))*'Parametros'!$B$4))</f>
        <v>0</v>
      </c>
      <c r="AW430" s="10">
        <f>AV430*2*((H430-2*('Parametros'!$B$7+'Parametros'!$B$9/2))+(I430-2*('Parametros'!$B$7+'Parametros'!$B$9/2)))*'Parametros'!$B$4/'Parametros'!$B$3</f>
        <v>0</v>
      </c>
      <c r="AX430" s="31" t="n">
        <v>0</v>
      </c>
      <c r="AY430" s="10" t="str">
        <f>IF(AV430=0,"DESPRECIABLE",IF(AND(ISERROR(SEARCH("referencia",AN430)),BB430/AP430&gt;=AV430,BI430&gt;=AW430,BH430="CUMPLE"),"CUMPLE","NO CUMPLE"))</f>
        <v>DESPRECIABLE</v>
      </c>
      <c r="AZ430" s="10" t="str">
        <f>IF(AND(X430="CUMPLE",AE430="CUMPLE",AS430="CUMPLE",OR(AY430="CUMPLE",AY430="DESPRECIABLE"),BH430="CUMPLE",BJ430="CUMPLE"),"CUMPLE","NO CUMPLE")</f>
        <v>CUMPLE</v>
      </c>
      <c r="BA430" s="32" t="n">
        <v>9.5</v>
      </c>
      <c r="BB430" s="32" t="n">
        <v>71</v>
      </c>
      <c r="BC430" s="10">
        <f>MAX(IF(AK430=0,0,AK430*1000/('Parametros'!$B$4*MIN(U430,AB430))),MAX(0.062*SQRT('Parametros'!$B$2)*H430/'Parametros'!$B$4,0.35*H430/'Parametros'!$B$4))</f>
        <v>1.04283429739901</v>
      </c>
      <c r="BD430" s="10">
        <f>2*AV430</f>
        <v>0</v>
      </c>
      <c r="BE430" s="10">
        <f>AO430*BB430/AP430</f>
        <v>1.18333333333333</v>
      </c>
      <c r="BF430" s="10">
        <f>SQRT((AI430*1000/(H430*MIN(U430,AB430)))^2+(Q430*1000000*2*((H430-2*('Parametros'!$B$7+'Parametros'!$B$9/2))+(I430-2*('Parametros'!$B$7+'Parametros'!$B$9/2)))/(1.7*((H430-2*('Parametros'!$B$7+'Parametros'!$B$9/2))*(I430-2*('Parametros'!$B$7+'Parametros'!$B$9/2)))^2))^2)</f>
        <v>1.34182346776796</v>
      </c>
      <c r="BG430" s="10">
        <f>'Parametros'!$B$6*(AJ430*1000/(H430*MIN(U430,AB430))+0.66*SQRT('Parametros'!$B$2))</f>
        <v>3.29396038227542</v>
      </c>
      <c r="BH430" s="10" t="str">
        <f>IF(BF430&lt;=BG430,"CUMPLE","NO CUMPLE")</f>
        <v>CUMPLE</v>
      </c>
      <c r="BI430" s="10">
        <f>AX430*'Parametros'!$B$8</f>
        <v>0</v>
      </c>
      <c r="BJ430" s="10" t="str">
        <f>IF(BI430&gt;=AW430,"CUMPLE","NO CUMPLE")</f>
        <v>CUMPLE</v>
      </c>
    </row>
    <row r="431">
      <c r="A431" s="25" t="inlineStr">
        <is>
          <t>VR2</t>
        </is>
      </c>
      <c r="B431" s="25" t="inlineStr">
        <is>
          <t>796</t>
        </is>
      </c>
      <c r="C431" s="10" t="n">
        <v>1</v>
      </c>
      <c r="D431" s="10" t="n">
        <v>2.1</v>
      </c>
      <c r="E431" s="10" t="n">
        <v>2.1</v>
      </c>
      <c r="F431" s="10" t="n">
        <v>500</v>
      </c>
      <c r="G431" s="10" t="n">
        <v>550</v>
      </c>
      <c r="H431" s="17" t="n">
        <v>500</v>
      </c>
      <c r="I431" s="17" t="n">
        <v>550</v>
      </c>
      <c r="J431" s="30" t="n">
        <v>182.7478</v>
      </c>
      <c r="K431" s="10" t="inlineStr">
        <is>
          <t>796</t>
        </is>
      </c>
      <c r="L431" s="30" t="n">
        <v>141.6155</v>
      </c>
      <c r="M431" s="10" t="inlineStr">
        <is>
          <t>796</t>
        </is>
      </c>
      <c r="N431" s="30" t="n">
        <v>161.712</v>
      </c>
      <c r="O431" s="30" t="n">
        <v>493.626</v>
      </c>
      <c r="P431" s="10" t="inlineStr">
        <is>
          <t>796</t>
        </is>
      </c>
      <c r="Q431" s="30" t="n">
        <v>56.5982</v>
      </c>
      <c r="R431" s="10">
        <f>MAX(MAX(1.4/'Parametros'!$B$3,0.25*SQRT('Parametros'!$B$2)/'Parametros'!$B$3)*H431*U431,(0.85*'Parametros'!$B$2/'Parametros'!$B$3)*(1-SQRT(1-2*(J431*1000000/('Parametros'!$B$5*H431*U431^2))/(0.85*'Parametros'!$B$2)))*H431*U431)</f>
        <v>1025.91906171753</v>
      </c>
      <c r="S431" s="31" t="n">
        <v>6</v>
      </c>
      <c r="T431" s="32" t="n">
        <v>1</v>
      </c>
      <c r="U431" s="10">
        <f>IF(T431=1,I431-('Parametros'!$B$7+'Parametros'!$B$9+'Parametros'!$B$12/2),I431-(ROUNDUP(S431/2,0)*('Parametros'!$B$7+'Parametros'!$B$9+'Parametros'!$B$12/2)+ROUNDDOWN(S431/2,0)*('Parametros'!$B$7+'Parametros'!$B$9+'Parametros'!$B$12/2+'Parametros'!$B$12+'Parametros'!$B$10))/S431)</f>
        <v>489.35</v>
      </c>
      <c r="V431" s="10">
        <f>S431*'Parametros'!$B$8</f>
        <v>1194</v>
      </c>
      <c r="W431" s="10">
        <f>'Parametros'!$B$5*V431*'Parametros'!$B$3*(U431-(V431*'Parametros'!$B$3/(0.85*'Parametros'!$B$2*H431))/2)/1000000</f>
        <v>211.349483470588</v>
      </c>
      <c r="X431" s="10" t="str">
        <f>IF(W431&gt;=J431,"CUMPLE","NO CUMPLE")</f>
        <v>CUMPLE</v>
      </c>
      <c r="Y431" s="10">
        <f>MAX(MAX(1.4/'Parametros'!$B$3,0.25*SQRT('Parametros'!$B$2)/'Parametros'!$B$3)*H431*AB431,(0.85*'Parametros'!$B$2/'Parametros'!$B$3)*(1-SQRT(1-2*(L431*1000000/('Parametros'!$B$5*H431*AB431^2))/(0.85*'Parametros'!$B$2)))*H431*AB431)</f>
        <v>815.583333333333</v>
      </c>
      <c r="Z431" s="31" t="n">
        <v>5</v>
      </c>
      <c r="AA431" s="32" t="n">
        <v>1</v>
      </c>
      <c r="AB431" s="10">
        <f>IF(AA431=1,I431-('Parametros'!$B$7+'Parametros'!$B$9+'Parametros'!$B$12/2),I431-(ROUNDUP(Z431/2,0)*('Parametros'!$B$7+'Parametros'!$B$9+'Parametros'!$B$12/2)+ROUNDDOWN(Z431/2,0)*('Parametros'!$B$7+'Parametros'!$B$9+'Parametros'!$B$12/2+'Parametros'!$B$12+'Parametros'!$B$10))/Z431)</f>
        <v>489.35</v>
      </c>
      <c r="AC431" s="10">
        <f>Z431*'Parametros'!$B$8</f>
        <v>995</v>
      </c>
      <c r="AD431" s="10">
        <f>'Parametros'!$B$5*AC431*'Parametros'!$B$3*(AB431-(AC431*'Parametros'!$B$3/(0.85*'Parametros'!$B$2*H431))/2)/1000000</f>
        <v>177.445379382353</v>
      </c>
      <c r="AE431" s="10" t="str">
        <f>IF(AD431&gt;=L431,"CUMPLE","NO CUMPLE")</f>
        <v>CUMPLE</v>
      </c>
      <c r="AF431" s="10">
        <f>V431*1.25*'Parametros'!$B$3*(U431-(V431*1.25*'Parametros'!$B$3/(0.85*'Parametros'!$B$2*H431))/2)/1000000</f>
        <v>290.238924705882</v>
      </c>
      <c r="AG431" s="10">
        <f>AC431*1.25*'Parametros'!$B$3*(AB431-(AC431*1.25*'Parametros'!$B$3/(0.85*'Parametros'!$B$2*H431))/2)/1000000</f>
        <v>244.158843198529</v>
      </c>
      <c r="AH431" s="10">
        <f>N431+(AF431+AG431)/D431</f>
        <v>416.187127573529</v>
      </c>
      <c r="AI431" s="10">
        <f>MAX(O431,AH431)</f>
        <v>493.626</v>
      </c>
      <c r="AJ431" s="10">
        <f>0.17*SQRT('Parametros'!$B$2)*H431*MIN(U431,AB431)/1000</f>
        <v>220.098728691808</v>
      </c>
      <c r="AK431" s="10">
        <f>MAX(AI431/'Parametros'!$B$6-AJ431,0)</f>
        <v>438.069271308192</v>
      </c>
      <c r="AL431" s="10">
        <f>0.66*SQRT('Parametros'!$B$2)*H431*MIN(U431,AB431)/1000</f>
        <v>854.500946685842</v>
      </c>
      <c r="AM431" s="10" t="str">
        <f>IF(AK431&lt;=AL431,"CUMPLE","NO CUMPLE")</f>
        <v>CUMPLE</v>
      </c>
      <c r="AN431" s="17" t="inlineStr">
        <is>
          <t>Nº3 cerrado</t>
        </is>
      </c>
      <c r="AO431" s="31" t="n">
        <v>4</v>
      </c>
      <c r="AP431" s="10">
        <f>ROUNDDOWN(MIN(IF(BC431+BD431=0,1000000000,AO431*BB431/(BC431+BD431)),MIN(U431,AB431)/4,8*'Parametros'!$B$12,24*BA431,300,IF(AV431=0,1000000000,2*((H431-2*('Parametros'!$B$7+'Parametros'!$B$9/2))+(I431-2*('Parametros'!$B$7+'Parametros'!$B$9/2)))/8))/10,0)*10</f>
        <v>80</v>
      </c>
      <c r="AQ431" s="10">
        <f>ROUNDDOWN(MIN(IF(BC431+BD431=0,1000000000,AO431*BB431/(BC431+BD431)),IF(AK431&gt;0.33*SQRT('Parametros'!$B$2)*H431*MIN(U431,AB431)/1000,MIN(U431,AB431)/4,MIN(U431,AB431)/2),600,IF(AV431=0,1000000000,2*((H431-2*('Parametros'!$B$7+'Parametros'!$B$9/2))+(I431-2*('Parametros'!$B$7+'Parametros'!$B$9/2)))/8))/10,0)*10</f>
        <v>80</v>
      </c>
      <c r="AR431" s="10">
        <f>'Parametros'!$B$6*(AJ431+MAX(BE431-BD431,0)*'Parametros'!$B$4*MIN(U431,AB431)/1000)</f>
        <v>537.350266983575</v>
      </c>
      <c r="AS431" s="10" t="str">
        <f>IF(AND(ISERROR(SEARCH("referencia",AN431)),AM431="CUMPLE",AR431&gt;=AI431),"CUMPLE","NO CUMPLE")</f>
        <v>CUMPLE</v>
      </c>
      <c r="AT431" s="10">
        <f>'Parametros'!$B$6*0.083*SQRT('Parametros'!$B$2)*(H431*I431)^2/(2*(H431+I431))/1000000</f>
        <v>11.862178757599</v>
      </c>
      <c r="AU431" s="10" t="str">
        <f>IF(Q431&lt;=AT431,"DESPRECIABLE","DISEÑAR")</f>
        <v>DISEÑAR</v>
      </c>
      <c r="AV431" s="10">
        <f>IF(Q431&lt;=AT431,0,Q431*1000000/('Parametros'!$B$6*2*0.85*(H431-2*('Parametros'!$B$7+'Parametros'!$B$9/2))*(I431-2*('Parametros'!$B$7+'Parametros'!$B$9/2))*'Parametros'!$B$4))</f>
        <v>0.567449911804874</v>
      </c>
      <c r="AW431" s="10">
        <f>AV431*2*((H431-2*('Parametros'!$B$7+'Parametros'!$B$9/2))+(I431-2*('Parametros'!$B$7+'Parametros'!$B$9/2)))*'Parametros'!$B$4/'Parametros'!$B$3</f>
        <v>981.234387492989</v>
      </c>
      <c r="AX431" s="31" t="n">
        <v>8</v>
      </c>
      <c r="AY431" s="10" t="str">
        <f>IF(AV431=0,"DESPRECIABLE",IF(AND(ISERROR(SEARCH("referencia",AN431)),BB431/AP431&gt;=AV431,BI431&gt;=AW431,BH431="CUMPLE"),"CUMPLE","NO CUMPLE"))</f>
        <v>CUMPLE</v>
      </c>
      <c r="AZ431" s="10" t="str">
        <f>IF(AND(X431="CUMPLE",AE431="CUMPLE",AS431="CUMPLE",OR(AY431="CUMPLE",AY431="DESPRECIABLE"),BH431="CUMPLE",BJ431="CUMPLE"),"CUMPLE","NO CUMPLE")</f>
        <v>CUMPLE</v>
      </c>
      <c r="BA431" s="32" t="n">
        <v>9.5</v>
      </c>
      <c r="BB431" s="32" t="n">
        <v>71</v>
      </c>
      <c r="BC431" s="10">
        <f>MAX(IF(AK431=0,0,AK431*1000/('Parametros'!$B$4*MIN(U431,AB431))),MAX(0.062*SQRT('Parametros'!$B$2)*H431/'Parametros'!$B$4,0.35*H431/'Parametros'!$B$4))</f>
        <v>2.13144390424709</v>
      </c>
      <c r="BD431" s="10">
        <f>2*AV431</f>
        <v>1.13489982360975</v>
      </c>
      <c r="BE431" s="10">
        <f>AO431*BB431/AP431</f>
        <v>3.55</v>
      </c>
      <c r="BF431" s="10">
        <f>SQRT((AI431*1000/(H431*MIN(U431,AB431)))^2+(Q431*1000000*2*((H431-2*('Parametros'!$B$7+'Parametros'!$B$9/2))+(I431-2*('Parametros'!$B$7+'Parametros'!$B$9/2)))/(1.7*((H431-2*('Parametros'!$B$7+'Parametros'!$B$9/2))*(I431-2*('Parametros'!$B$7+'Parametros'!$B$9/2)))^2))^2)</f>
        <v>2.61228433969902</v>
      </c>
      <c r="BG431" s="10">
        <f>'Parametros'!$B$6*(AJ431*1000/(H431*MIN(U431,AB431))+0.66*SQRT('Parametros'!$B$2))</f>
        <v>3.29396038227542</v>
      </c>
      <c r="BH431" s="10" t="str">
        <f>IF(BF431&lt;=BG431,"CUMPLE","NO CUMPLE")</f>
        <v>CUMPLE</v>
      </c>
      <c r="BI431" s="10">
        <f>AX431*'Parametros'!$B$8</f>
        <v>1592</v>
      </c>
      <c r="BJ431" s="10" t="str">
        <f>IF(BI431&gt;=AW431,"CUMPLE","NO CUMPLE")</f>
        <v>CUMPLE</v>
      </c>
    </row>
    <row r="432">
      <c r="A432" s="25" t="inlineStr">
        <is>
          <t>VR2</t>
        </is>
      </c>
      <c r="B432" s="25" t="inlineStr">
        <is>
          <t>797</t>
        </is>
      </c>
      <c r="C432" s="10" t="n">
        <v>1</v>
      </c>
      <c r="D432" s="10" t="n">
        <v>2.2</v>
      </c>
      <c r="E432" s="10" t="n">
        <v>2.2</v>
      </c>
      <c r="F432" s="10" t="n">
        <v>500</v>
      </c>
      <c r="G432" s="10" t="n">
        <v>550</v>
      </c>
      <c r="H432" s="17" t="n">
        <v>500</v>
      </c>
      <c r="I432" s="17" t="n">
        <v>550</v>
      </c>
      <c r="J432" s="30" t="n">
        <v>183.637</v>
      </c>
      <c r="K432" s="10" t="inlineStr">
        <is>
          <t>797</t>
        </is>
      </c>
      <c r="L432" s="30" t="n">
        <v>140.1296</v>
      </c>
      <c r="M432" s="10" t="inlineStr">
        <is>
          <t>797</t>
        </is>
      </c>
      <c r="N432" s="30" t="n">
        <v>158.748</v>
      </c>
      <c r="O432" s="30" t="n">
        <v>480.701</v>
      </c>
      <c r="P432" s="10" t="inlineStr">
        <is>
          <t>797</t>
        </is>
      </c>
      <c r="Q432" s="30" t="n">
        <v>54.7202</v>
      </c>
      <c r="R432" s="10">
        <f>MAX(MAX(1.4/'Parametros'!$B$3,0.25*SQRT('Parametros'!$B$2)/'Parametros'!$B$3)*H432*U432,(0.85*'Parametros'!$B$2/'Parametros'!$B$3)*(1-SQRT(1-2*(J432*1000000/('Parametros'!$B$5*H432*U432^2))/(0.85*'Parametros'!$B$2)))*H432*U432)</f>
        <v>1031.11138870689</v>
      </c>
      <c r="S432" s="31" t="n">
        <v>6</v>
      </c>
      <c r="T432" s="32" t="n">
        <v>1</v>
      </c>
      <c r="U432" s="10">
        <f>IF(T432=1,I432-('Parametros'!$B$7+'Parametros'!$B$9+'Parametros'!$B$12/2),I432-(ROUNDUP(S432/2,0)*('Parametros'!$B$7+'Parametros'!$B$9+'Parametros'!$B$12/2)+ROUNDDOWN(S432/2,0)*('Parametros'!$B$7+'Parametros'!$B$9+'Parametros'!$B$12/2+'Parametros'!$B$12+'Parametros'!$B$10))/S432)</f>
        <v>489.35</v>
      </c>
      <c r="V432" s="10">
        <f>S432*'Parametros'!$B$8</f>
        <v>1194</v>
      </c>
      <c r="W432" s="10">
        <f>'Parametros'!$B$5*V432*'Parametros'!$B$3*(U432-(V432*'Parametros'!$B$3/(0.85*'Parametros'!$B$2*H432))/2)/1000000</f>
        <v>211.349483470588</v>
      </c>
      <c r="X432" s="10" t="str">
        <f>IF(W432&gt;=J432,"CUMPLE","NO CUMPLE")</f>
        <v>CUMPLE</v>
      </c>
      <c r="Y432" s="10">
        <f>MAX(MAX(1.4/'Parametros'!$B$3,0.25*SQRT('Parametros'!$B$2)/'Parametros'!$B$3)*H432*AB432,(0.85*'Parametros'!$B$2/'Parametros'!$B$3)*(1-SQRT(1-2*(L432*1000000/('Parametros'!$B$5*H432*AB432^2))/(0.85*'Parametros'!$B$2)))*H432*AB432)</f>
        <v>815.583333333333</v>
      </c>
      <c r="Z432" s="31" t="n">
        <v>5</v>
      </c>
      <c r="AA432" s="32" t="n">
        <v>1</v>
      </c>
      <c r="AB432" s="10">
        <f>IF(AA432=1,I432-('Parametros'!$B$7+'Parametros'!$B$9+'Parametros'!$B$12/2),I432-(ROUNDUP(Z432/2,0)*('Parametros'!$B$7+'Parametros'!$B$9+'Parametros'!$B$12/2)+ROUNDDOWN(Z432/2,0)*('Parametros'!$B$7+'Parametros'!$B$9+'Parametros'!$B$12/2+'Parametros'!$B$12+'Parametros'!$B$10))/Z432)</f>
        <v>489.35</v>
      </c>
      <c r="AC432" s="10">
        <f>Z432*'Parametros'!$B$8</f>
        <v>995</v>
      </c>
      <c r="AD432" s="10">
        <f>'Parametros'!$B$5*AC432*'Parametros'!$B$3*(AB432-(AC432*'Parametros'!$B$3/(0.85*'Parametros'!$B$2*H432))/2)/1000000</f>
        <v>177.445379382353</v>
      </c>
      <c r="AE432" s="10" t="str">
        <f>IF(AD432&gt;=L432,"CUMPLE","NO CUMPLE")</f>
        <v>CUMPLE</v>
      </c>
      <c r="AF432" s="10">
        <f>V432*1.25*'Parametros'!$B$3*(U432-(V432*1.25*'Parametros'!$B$3/(0.85*'Parametros'!$B$2*H432))/2)/1000000</f>
        <v>290.238924705882</v>
      </c>
      <c r="AG432" s="10">
        <f>AC432*1.25*'Parametros'!$B$3*(AB432-(AC432*1.25*'Parametros'!$B$3/(0.85*'Parametros'!$B$2*H432))/2)/1000000</f>
        <v>244.158843198529</v>
      </c>
      <c r="AH432" s="10">
        <f>N432+(AF432+AG432)/D432</f>
        <v>401.656076320187</v>
      </c>
      <c r="AI432" s="10">
        <f>MAX(O432,AH432)</f>
        <v>480.701</v>
      </c>
      <c r="AJ432" s="10">
        <f>0.17*SQRT('Parametros'!$B$2)*H432*MIN(U432,AB432)/1000</f>
        <v>220.098728691808</v>
      </c>
      <c r="AK432" s="10">
        <f>MAX(AI432/'Parametros'!$B$6-AJ432,0)</f>
        <v>420.835937974859</v>
      </c>
      <c r="AL432" s="10">
        <f>0.66*SQRT('Parametros'!$B$2)*H432*MIN(U432,AB432)/1000</f>
        <v>854.500946685842</v>
      </c>
      <c r="AM432" s="10" t="str">
        <f>IF(AK432&lt;=AL432,"CUMPLE","NO CUMPLE")</f>
        <v>CUMPLE</v>
      </c>
      <c r="AN432" s="17" t="inlineStr">
        <is>
          <t>Nº4 cerrado</t>
        </is>
      </c>
      <c r="AO432" s="31" t="n">
        <v>2</v>
      </c>
      <c r="AP432" s="10">
        <f>ROUNDDOWN(MIN(IF(BC432+BD432=0,1000000000,AO432*BB432/(BC432+BD432)),MIN(U432,AB432)/4,8*'Parametros'!$B$12,24*BA432,300,IF(AV432=0,1000000000,2*((H432-2*('Parametros'!$B$7+'Parametros'!$B$9/2))+(I432-2*('Parametros'!$B$7+'Parametros'!$B$9/2)))/8))/10,0)*10</f>
        <v>80</v>
      </c>
      <c r="AQ432" s="10">
        <f>ROUNDDOWN(MIN(IF(BC432+BD432=0,1000000000,AO432*BB432/(BC432+BD432)),IF(AK432&gt;0.33*SQRT('Parametros'!$B$2)*H432*MIN(U432,AB432)/1000,MIN(U432,AB432)/4,MIN(U432,AB432)/2),600,IF(AV432=0,1000000000,2*((H432-2*('Parametros'!$B$7+'Parametros'!$B$9/2))+(I432-2*('Parametros'!$B$7+'Parametros'!$B$9/2)))/8))/10,0)*10</f>
        <v>80</v>
      </c>
      <c r="AR432" s="10">
        <f>'Parametros'!$B$6*(AJ432+MAX(BE432-BD432,0)*'Parametros'!$B$4*MIN(U432,AB432)/1000)</f>
        <v>493.057772282569</v>
      </c>
      <c r="AS432" s="10" t="str">
        <f>IF(AND(ISERROR(SEARCH("referencia",AN432)),AM432="CUMPLE",AR432&gt;=AI432),"CUMPLE","NO CUMPLE")</f>
        <v>CUMPLE</v>
      </c>
      <c r="AT432" s="10">
        <f>'Parametros'!$B$6*0.083*SQRT('Parametros'!$B$2)*(H432*I432)^2/(2*(H432+I432))/1000000</f>
        <v>11.862178757599</v>
      </c>
      <c r="AU432" s="10" t="str">
        <f>IF(Q432&lt;=AT432,"DESPRECIABLE","DISEÑAR")</f>
        <v>DISEÑAR</v>
      </c>
      <c r="AV432" s="10">
        <f>IF(Q432&lt;=AT432,0,Q432*1000000/('Parametros'!$B$6*2*0.85*(H432-2*('Parametros'!$B$7+'Parametros'!$B$9/2))*(I432-2*('Parametros'!$B$7+'Parametros'!$B$9/2))*'Parametros'!$B$4))</f>
        <v>0.548621204630979</v>
      </c>
      <c r="AW432" s="10">
        <f>AV432*2*((H432-2*('Parametros'!$B$7+'Parametros'!$B$9/2))+(I432-2*('Parametros'!$B$7+'Parametros'!$B$9/2)))*'Parametros'!$B$4/'Parametros'!$B$3</f>
        <v>948.675787047889</v>
      </c>
      <c r="AX432" s="31" t="n">
        <v>8</v>
      </c>
      <c r="AY432" s="10" t="str">
        <f>IF(AV432=0,"DESPRECIABLE",IF(AND(ISERROR(SEARCH("referencia",AN432)),BB432/AP432&gt;=AV432,BI432&gt;=AW432,BH432="CUMPLE"),"CUMPLE","NO CUMPLE"))</f>
        <v>CUMPLE</v>
      </c>
      <c r="AZ432" s="10" t="str">
        <f>IF(AND(X432="CUMPLE",AE432="CUMPLE",AS432="CUMPLE",OR(AY432="CUMPLE",AY432="DESPRECIABLE"),BH432="CUMPLE",BJ432="CUMPLE"),"CUMPLE","NO CUMPLE")</f>
        <v>CUMPLE</v>
      </c>
      <c r="BA432" s="32" t="n">
        <v>12.7</v>
      </c>
      <c r="BB432" s="32" t="n">
        <v>129</v>
      </c>
      <c r="BC432" s="10">
        <f>MAX(IF(AK432=0,0,AK432*1000/('Parametros'!$B$4*MIN(U432,AB432))),MAX(0.062*SQRT('Parametros'!$B$2)*H432/'Parametros'!$B$4,0.35*H432/'Parametros'!$B$4))</f>
        <v>2.04759441812929</v>
      </c>
      <c r="BD432" s="10">
        <f>2*AV432</f>
        <v>1.09724240926196</v>
      </c>
      <c r="BE432" s="10">
        <f>AO432*BB432/AP432</f>
        <v>3.225</v>
      </c>
      <c r="BF432" s="10">
        <f>SQRT((AI432*1000/(H432*MIN(U432,AB432)))^2+(Q432*1000000*2*((H432-2*('Parametros'!$B$7+'Parametros'!$B$9/2))+(I432-2*('Parametros'!$B$7+'Parametros'!$B$9/2)))/(1.7*((H432-2*('Parametros'!$B$7+'Parametros'!$B$9/2))*(I432-2*('Parametros'!$B$7+'Parametros'!$B$9/2)))^2))^2)</f>
        <v>2.53652408347088</v>
      </c>
      <c r="BG432" s="10">
        <f>'Parametros'!$B$6*(AJ432*1000/(H432*MIN(U432,AB432))+0.66*SQRT('Parametros'!$B$2))</f>
        <v>3.29396038227542</v>
      </c>
      <c r="BH432" s="10" t="str">
        <f>IF(BF432&lt;=BG432,"CUMPLE","NO CUMPLE")</f>
        <v>CUMPLE</v>
      </c>
      <c r="BI432" s="10">
        <f>AX432*'Parametros'!$B$8</f>
        <v>1592</v>
      </c>
      <c r="BJ432" s="10" t="str">
        <f>IF(BI432&gt;=AW432,"CUMPLE","NO CUMPLE")</f>
        <v>CUMPLE</v>
      </c>
    </row>
    <row r="433">
      <c r="A433" s="25" t="inlineStr">
        <is>
          <t>VR2</t>
        </is>
      </c>
      <c r="B433" s="25" t="inlineStr">
        <is>
          <t>798</t>
        </is>
      </c>
      <c r="C433" s="10" t="n">
        <v>1</v>
      </c>
      <c r="D433" s="10" t="n">
        <v>3.57612</v>
      </c>
      <c r="E433" s="10" t="n">
        <v>3.57612</v>
      </c>
      <c r="F433" s="10" t="n">
        <v>500</v>
      </c>
      <c r="G433" s="10" t="n">
        <v>550</v>
      </c>
      <c r="H433" s="17" t="n">
        <v>500</v>
      </c>
      <c r="I433" s="17" t="n">
        <v>550</v>
      </c>
      <c r="J433" s="30" t="n">
        <v>153.0375</v>
      </c>
      <c r="K433" s="10" t="inlineStr">
        <is>
          <t>798</t>
        </is>
      </c>
      <c r="L433" s="30" t="n">
        <v>87.8676</v>
      </c>
      <c r="M433" s="10" t="inlineStr">
        <is>
          <t>798</t>
        </is>
      </c>
      <c r="N433" s="30" t="n">
        <v>118.295</v>
      </c>
      <c r="O433" s="30" t="n">
        <v>325.029</v>
      </c>
      <c r="P433" s="10" t="inlineStr">
        <is>
          <t>798</t>
        </is>
      </c>
      <c r="Q433" s="30" t="n">
        <v>5.6157</v>
      </c>
      <c r="R433" s="10">
        <f>MAX(MAX(1.4/'Parametros'!$B$3,0.25*SQRT('Parametros'!$B$2)/'Parametros'!$B$3)*H433*U433,(0.85*'Parametros'!$B$2/'Parametros'!$B$3)*(1-SQRT(1-2*(J433*1000000/('Parametros'!$B$5*H433*U433^2))/(0.85*'Parametros'!$B$2)))*H433*U433)</f>
        <v>853.622167502431</v>
      </c>
      <c r="S433" s="31" t="n">
        <v>5</v>
      </c>
      <c r="T433" s="32" t="n">
        <v>1</v>
      </c>
      <c r="U433" s="10">
        <f>IF(T433=1,I433-('Parametros'!$B$7+'Parametros'!$B$9+'Parametros'!$B$12/2),I433-(ROUNDUP(S433/2,0)*('Parametros'!$B$7+'Parametros'!$B$9+'Parametros'!$B$12/2)+ROUNDDOWN(S433/2,0)*('Parametros'!$B$7+'Parametros'!$B$9+'Parametros'!$B$12/2+'Parametros'!$B$12+'Parametros'!$B$10))/S433)</f>
        <v>489.35</v>
      </c>
      <c r="V433" s="10">
        <f>S433*'Parametros'!$B$8</f>
        <v>995</v>
      </c>
      <c r="W433" s="10">
        <f>'Parametros'!$B$5*V433*'Parametros'!$B$3*(U433-(V433*'Parametros'!$B$3/(0.85*'Parametros'!$B$2*H433))/2)/1000000</f>
        <v>177.445379382353</v>
      </c>
      <c r="X433" s="10" t="str">
        <f>IF(W433&gt;=J433,"CUMPLE","NO CUMPLE")</f>
        <v>CUMPLE</v>
      </c>
      <c r="Y433" s="10">
        <f>MAX(MAX(1.4/'Parametros'!$B$3,0.25*SQRT('Parametros'!$B$2)/'Parametros'!$B$3)*H433*AB433,(0.85*'Parametros'!$B$2/'Parametros'!$B$3)*(1-SQRT(1-2*(L433*1000000/('Parametros'!$B$5*H433*AB433^2))/(0.85*'Parametros'!$B$2)))*H433*AB433)</f>
        <v>815.583333333333</v>
      </c>
      <c r="Z433" s="31" t="n">
        <v>5</v>
      </c>
      <c r="AA433" s="32" t="n">
        <v>1</v>
      </c>
      <c r="AB433" s="10">
        <f>IF(AA433=1,I433-('Parametros'!$B$7+'Parametros'!$B$9+'Parametros'!$B$12/2),I433-(ROUNDUP(Z433/2,0)*('Parametros'!$B$7+'Parametros'!$B$9+'Parametros'!$B$12/2)+ROUNDDOWN(Z433/2,0)*('Parametros'!$B$7+'Parametros'!$B$9+'Parametros'!$B$12/2+'Parametros'!$B$12+'Parametros'!$B$10))/Z433)</f>
        <v>489.35</v>
      </c>
      <c r="AC433" s="10">
        <f>Z433*'Parametros'!$B$8</f>
        <v>995</v>
      </c>
      <c r="AD433" s="10">
        <f>'Parametros'!$B$5*AC433*'Parametros'!$B$3*(AB433-(AC433*'Parametros'!$B$3/(0.85*'Parametros'!$B$2*H433))/2)/1000000</f>
        <v>177.445379382353</v>
      </c>
      <c r="AE433" s="10" t="str">
        <f>IF(AD433&gt;=L433,"CUMPLE","NO CUMPLE")</f>
        <v>CUMPLE</v>
      </c>
      <c r="AF433" s="10">
        <f>V433*1.25*'Parametros'!$B$3*(U433-(V433*1.25*'Parametros'!$B$3/(0.85*'Parametros'!$B$2*H433))/2)/1000000</f>
        <v>244.158843198529</v>
      </c>
      <c r="AG433" s="10">
        <f>AC433*1.25*'Parametros'!$B$3*(AB433-(AC433*1.25*'Parametros'!$B$3/(0.85*'Parametros'!$B$2*H433))/2)/1000000</f>
        <v>244.158843198529</v>
      </c>
      <c r="AH433" s="10">
        <f>N433+(AF433+AG433)/D433</f>
        <v>254.844580662019</v>
      </c>
      <c r="AI433" s="10">
        <f>MAX(O433,AH433)</f>
        <v>325.029</v>
      </c>
      <c r="AJ433" s="10">
        <f>0.17*SQRT('Parametros'!$B$2)*H433*MIN(U433,AB433)/1000</f>
        <v>220.098728691808</v>
      </c>
      <c r="AK433" s="10">
        <f>MAX(AI433/'Parametros'!$B$6-AJ433,0)</f>
        <v>213.273271308192</v>
      </c>
      <c r="AL433" s="10">
        <f>0.66*SQRT('Parametros'!$B$2)*H433*MIN(U433,AB433)/1000</f>
        <v>854.500946685842</v>
      </c>
      <c r="AM433" s="10" t="str">
        <f>IF(AK433&lt;=AL433,"CUMPLE","NO CUMPLE")</f>
        <v>CUMPLE</v>
      </c>
      <c r="AN433" s="17" t="inlineStr">
        <is>
          <t>Nº3 cerrado</t>
        </is>
      </c>
      <c r="AO433" s="31" t="n">
        <v>2</v>
      </c>
      <c r="AP433" s="10">
        <f>ROUNDDOWN(MIN(IF(BC433+BD433=0,1000000000,AO433*BB433/(BC433+BD433)),MIN(U433,AB433)/4,8*'Parametros'!$B$12,24*BA433,300,IF(AV433=0,1000000000,2*((H433-2*('Parametros'!$B$7+'Parametros'!$B$9/2))+(I433-2*('Parametros'!$B$7+'Parametros'!$B$9/2)))/8))/10,0)*10</f>
        <v>120</v>
      </c>
      <c r="AQ433" s="10">
        <f>ROUNDDOWN(MIN(IF(BC433+BD433=0,1000000000,AO433*BB433/(BC433+BD433)),IF(AK433&gt;0.33*SQRT('Parametros'!$B$2)*H433*MIN(U433,AB433)/1000,MIN(U433,AB433)/4,MIN(U433,AB433)/2),600,IF(AV433=0,1000000000,2*((H433-2*('Parametros'!$B$7+'Parametros'!$B$9/2))+(I433-2*('Parametros'!$B$7+'Parametros'!$B$9/2)))/8))/10,0)*10</f>
        <v>130</v>
      </c>
      <c r="AR433" s="10">
        <f>'Parametros'!$B$6*(AJ433+MAX(BE433-BD433,0)*'Parametros'!$B$4*MIN(U433,AB433)/1000)</f>
        <v>347.479259018856</v>
      </c>
      <c r="AS433" s="10" t="str">
        <f>IF(AND(ISERROR(SEARCH("referencia",AN433)),AM433="CUMPLE",AR433&gt;=AI433),"CUMPLE","NO CUMPLE")</f>
        <v>CUMPLE</v>
      </c>
      <c r="AT433" s="10">
        <f>'Parametros'!$B$6*0.083*SQRT('Parametros'!$B$2)*(H433*I433)^2/(2*(H433+I433))/1000000</f>
        <v>11.862178757599</v>
      </c>
      <c r="AU433" s="10" t="str">
        <f>IF(Q433&lt;=AT433,"DESPRECIABLE","DISEÑAR")</f>
        <v>DESPRECIABLE</v>
      </c>
      <c r="AV433" s="10">
        <f>IF(Q433&lt;=AT433,0,Q433*1000000/('Parametros'!$B$6*2*0.85*(H433-2*('Parametros'!$B$7+'Parametros'!$B$9/2))*(I433-2*('Parametros'!$B$7+'Parametros'!$B$9/2))*'Parametros'!$B$4))</f>
        <v>0</v>
      </c>
      <c r="AW433" s="10">
        <f>AV433*2*((H433-2*('Parametros'!$B$7+'Parametros'!$B$9/2))+(I433-2*('Parametros'!$B$7+'Parametros'!$B$9/2)))*'Parametros'!$B$4/'Parametros'!$B$3</f>
        <v>0</v>
      </c>
      <c r="AX433" s="31" t="n">
        <v>0</v>
      </c>
      <c r="AY433" s="10" t="str">
        <f>IF(AV433=0,"DESPRECIABLE",IF(AND(ISERROR(SEARCH("referencia",AN433)),BB433/AP433&gt;=AV433,BI433&gt;=AW433,BH433="CUMPLE"),"CUMPLE","NO CUMPLE"))</f>
        <v>DESPRECIABLE</v>
      </c>
      <c r="AZ433" s="10" t="str">
        <f>IF(AND(X433="CUMPLE",AE433="CUMPLE",AS433="CUMPLE",OR(AY433="CUMPLE",AY433="DESPRECIABLE"),BH433="CUMPLE",BJ433="CUMPLE"),"CUMPLE","NO CUMPLE")</f>
        <v>CUMPLE</v>
      </c>
      <c r="BA433" s="32" t="n">
        <v>9.5</v>
      </c>
      <c r="BB433" s="32" t="n">
        <v>71</v>
      </c>
      <c r="BC433" s="10">
        <f>MAX(IF(AK433=0,0,AK433*1000/('Parametros'!$B$4*MIN(U433,AB433))),MAX(0.062*SQRT('Parametros'!$B$2)*H433/'Parametros'!$B$4,0.35*H433/'Parametros'!$B$4))</f>
        <v>1.03768979894706</v>
      </c>
      <c r="BD433" s="10">
        <f>2*AV433</f>
        <v>0</v>
      </c>
      <c r="BE433" s="10">
        <f>AO433*BB433/AP433</f>
        <v>1.18333333333333</v>
      </c>
      <c r="BF433" s="10">
        <f>SQRT((AI433*1000/(H433*MIN(U433,AB433)))^2+(Q433*1000000*2*((H433-2*('Parametros'!$B$7+'Parametros'!$B$9/2))+(I433-2*('Parametros'!$B$7+'Parametros'!$B$9/2)))/(1.7*((H433-2*('Parametros'!$B$7+'Parametros'!$B$9/2))*(I433-2*('Parametros'!$B$7+'Parametros'!$B$9/2)))^2))^2)</f>
        <v>1.33857638220326</v>
      </c>
      <c r="BG433" s="10">
        <f>'Parametros'!$B$6*(AJ433*1000/(H433*MIN(U433,AB433))+0.66*SQRT('Parametros'!$B$2))</f>
        <v>3.29396038227542</v>
      </c>
      <c r="BH433" s="10" t="str">
        <f>IF(BF433&lt;=BG433,"CUMPLE","NO CUMPLE")</f>
        <v>CUMPLE</v>
      </c>
      <c r="BI433" s="10">
        <f>AX433*'Parametros'!$B$8</f>
        <v>0</v>
      </c>
      <c r="BJ433" s="10" t="str">
        <f>IF(BI433&gt;=AW433,"CUMPLE","NO CUMPLE")</f>
        <v>CUMPLE</v>
      </c>
    </row>
    <row r="434">
      <c r="A434" s="25" t="inlineStr">
        <is>
          <t>VR2</t>
        </is>
      </c>
      <c r="B434" s="25" t="inlineStr">
        <is>
          <t>799</t>
        </is>
      </c>
      <c r="C434" s="10" t="n">
        <v>1</v>
      </c>
      <c r="D434" s="10" t="n">
        <v>1.9</v>
      </c>
      <c r="E434" s="10" t="n">
        <v>1.9</v>
      </c>
      <c r="F434" s="10" t="n">
        <v>500</v>
      </c>
      <c r="G434" s="10" t="n">
        <v>550</v>
      </c>
      <c r="H434" s="17" t="n">
        <v>500</v>
      </c>
      <c r="I434" s="17" t="n">
        <v>550</v>
      </c>
      <c r="J434" s="30" t="n">
        <v>134.4711</v>
      </c>
      <c r="K434" s="10" t="inlineStr">
        <is>
          <t>799</t>
        </is>
      </c>
      <c r="L434" s="30" t="n">
        <v>100.0146</v>
      </c>
      <c r="M434" s="10" t="inlineStr">
        <is>
          <t>799</t>
        </is>
      </c>
      <c r="N434" s="30" t="n">
        <v>130.646</v>
      </c>
      <c r="O434" s="30" t="n">
        <v>454.049</v>
      </c>
      <c r="P434" s="10" t="inlineStr">
        <is>
          <t>799</t>
        </is>
      </c>
      <c r="Q434" s="30" t="n">
        <v>16.0263</v>
      </c>
      <c r="R434" s="10">
        <f>MAX(MAX(1.4/'Parametros'!$B$3,0.25*SQRT('Parametros'!$B$2)/'Parametros'!$B$3)*H434*U434,(0.85*'Parametros'!$B$2/'Parametros'!$B$3)*(1-SQRT(1-2*(J434*1000000/('Parametros'!$B$5*H434*U434^2))/(0.85*'Parametros'!$B$2)))*H434*U434)</f>
        <v>815.583333333333</v>
      </c>
      <c r="S434" s="31" t="n">
        <v>5</v>
      </c>
      <c r="T434" s="32" t="n">
        <v>1</v>
      </c>
      <c r="U434" s="10">
        <f>IF(T434=1,I434-('Parametros'!$B$7+'Parametros'!$B$9+'Parametros'!$B$12/2),I434-(ROUNDUP(S434/2,0)*('Parametros'!$B$7+'Parametros'!$B$9+'Parametros'!$B$12/2)+ROUNDDOWN(S434/2,0)*('Parametros'!$B$7+'Parametros'!$B$9+'Parametros'!$B$12/2+'Parametros'!$B$12+'Parametros'!$B$10))/S434)</f>
        <v>489.35</v>
      </c>
      <c r="V434" s="10">
        <f>S434*'Parametros'!$B$8</f>
        <v>995</v>
      </c>
      <c r="W434" s="10">
        <f>'Parametros'!$B$5*V434*'Parametros'!$B$3*(U434-(V434*'Parametros'!$B$3/(0.85*'Parametros'!$B$2*H434))/2)/1000000</f>
        <v>177.445379382353</v>
      </c>
      <c r="X434" s="10" t="str">
        <f>IF(W434&gt;=J434,"CUMPLE","NO CUMPLE")</f>
        <v>CUMPLE</v>
      </c>
      <c r="Y434" s="10">
        <f>MAX(MAX(1.4/'Parametros'!$B$3,0.25*SQRT('Parametros'!$B$2)/'Parametros'!$B$3)*H434*AB434,(0.85*'Parametros'!$B$2/'Parametros'!$B$3)*(1-SQRT(1-2*(L434*1000000/('Parametros'!$B$5*H434*AB434^2))/(0.85*'Parametros'!$B$2)))*H434*AB434)</f>
        <v>815.583333333333</v>
      </c>
      <c r="Z434" s="31" t="n">
        <v>5</v>
      </c>
      <c r="AA434" s="32" t="n">
        <v>1</v>
      </c>
      <c r="AB434" s="10">
        <f>IF(AA434=1,I434-('Parametros'!$B$7+'Parametros'!$B$9+'Parametros'!$B$12/2),I434-(ROUNDUP(Z434/2,0)*('Parametros'!$B$7+'Parametros'!$B$9+'Parametros'!$B$12/2)+ROUNDDOWN(Z434/2,0)*('Parametros'!$B$7+'Parametros'!$B$9+'Parametros'!$B$12/2+'Parametros'!$B$12+'Parametros'!$B$10))/Z434)</f>
        <v>489.35</v>
      </c>
      <c r="AC434" s="10">
        <f>Z434*'Parametros'!$B$8</f>
        <v>995</v>
      </c>
      <c r="AD434" s="10">
        <f>'Parametros'!$B$5*AC434*'Parametros'!$B$3*(AB434-(AC434*'Parametros'!$B$3/(0.85*'Parametros'!$B$2*H434))/2)/1000000</f>
        <v>177.445379382353</v>
      </c>
      <c r="AE434" s="10" t="str">
        <f>IF(AD434&gt;=L434,"CUMPLE","NO CUMPLE")</f>
        <v>CUMPLE</v>
      </c>
      <c r="AF434" s="10">
        <f>V434*1.25*'Parametros'!$B$3*(U434-(V434*1.25*'Parametros'!$B$3/(0.85*'Parametros'!$B$2*H434))/2)/1000000</f>
        <v>244.158843198529</v>
      </c>
      <c r="AG434" s="10">
        <f>AC434*1.25*'Parametros'!$B$3*(AB434-(AC434*1.25*'Parametros'!$B$3/(0.85*'Parametros'!$B$2*H434))/2)/1000000</f>
        <v>244.158843198529</v>
      </c>
      <c r="AH434" s="10">
        <f>N434+(AF434+AG434)/D434</f>
        <v>387.655308630031</v>
      </c>
      <c r="AI434" s="10">
        <f>MAX(O434,AH434)</f>
        <v>454.049</v>
      </c>
      <c r="AJ434" s="10">
        <f>0.17*SQRT('Parametros'!$B$2)*H434*MIN(U434,AB434)/1000</f>
        <v>220.098728691808</v>
      </c>
      <c r="AK434" s="10">
        <f>MAX(AI434/'Parametros'!$B$6-AJ434,0)</f>
        <v>385.299937974859</v>
      </c>
      <c r="AL434" s="10">
        <f>0.66*SQRT('Parametros'!$B$2)*H434*MIN(U434,AB434)/1000</f>
        <v>854.500946685842</v>
      </c>
      <c r="AM434" s="10" t="str">
        <f>IF(AK434&lt;=AL434,"CUMPLE","NO CUMPLE")</f>
        <v>CUMPLE</v>
      </c>
      <c r="AN434" s="17" t="inlineStr">
        <is>
          <t>Nº4 cerrado</t>
        </is>
      </c>
      <c r="AO434" s="31" t="n">
        <v>2</v>
      </c>
      <c r="AP434" s="10">
        <f>ROUNDDOWN(MIN(IF(BC434+BD434=0,1000000000,AO434*BB434/(BC434+BD434)),MIN(U434,AB434)/4,8*'Parametros'!$B$12,24*BA434,300,IF(AV434=0,1000000000,2*((H434-2*('Parametros'!$B$7+'Parametros'!$B$9/2))+(I434-2*('Parametros'!$B$7+'Parametros'!$B$9/2)))/8))/10,0)*10</f>
        <v>110</v>
      </c>
      <c r="AQ434" s="10">
        <f>ROUNDDOWN(MIN(IF(BC434+BD434=0,1000000000,AO434*BB434/(BC434+BD434)),IF(AK434&gt;0.33*SQRT('Parametros'!$B$2)*H434*MIN(U434,AB434)/1000,MIN(U434,AB434)/4,MIN(U434,AB434)/2),600,IF(AV434=0,1000000000,2*((H434-2*('Parametros'!$B$7+'Parametros'!$B$9/2))+(I434-2*('Parametros'!$B$7+'Parametros'!$B$9/2)))/8))/10,0)*10</f>
        <v>110</v>
      </c>
      <c r="AR434" s="10">
        <f>'Parametros'!$B$6*(AJ434+MAX(BE434-BD434,0)*'Parametros'!$B$4*MIN(U434,AB434)/1000)</f>
        <v>477.079021609667</v>
      </c>
      <c r="AS434" s="10" t="str">
        <f>IF(AND(ISERROR(SEARCH("referencia",AN434)),AM434="CUMPLE",AR434&gt;=AI434),"CUMPLE","NO CUMPLE")</f>
        <v>CUMPLE</v>
      </c>
      <c r="AT434" s="10">
        <f>'Parametros'!$B$6*0.083*SQRT('Parametros'!$B$2)*(H434*I434)^2/(2*(H434+I434))/1000000</f>
        <v>11.862178757599</v>
      </c>
      <c r="AU434" s="10" t="str">
        <f>IF(Q434&lt;=AT434,"DESPRECIABLE","DISEÑAR")</f>
        <v>DISEÑAR</v>
      </c>
      <c r="AV434" s="10">
        <f>IF(Q434&lt;=AT434,0,Q434*1000000/('Parametros'!$B$6*2*0.85*(H434-2*('Parametros'!$B$7+'Parametros'!$B$9/2))*(I434-2*('Parametros'!$B$7+'Parametros'!$B$9/2))*'Parametros'!$B$4))</f>
        <v>0.160678652705536</v>
      </c>
      <c r="AW434" s="10">
        <f>AV434*2*((H434-2*('Parametros'!$B$7+'Parametros'!$B$9/2))+(I434-2*('Parametros'!$B$7+'Parametros'!$B$9/2)))*'Parametros'!$B$4/'Parametros'!$B$3</f>
        <v>277.845526258413</v>
      </c>
      <c r="AX434" s="31" t="n">
        <v>8</v>
      </c>
      <c r="AY434" s="10" t="str">
        <f>IF(AV434=0,"DESPRECIABLE",IF(AND(ISERROR(SEARCH("referencia",AN434)),BB434/AP434&gt;=AV434,BI434&gt;=AW434,BH434="CUMPLE"),"CUMPLE","NO CUMPLE"))</f>
        <v>CUMPLE</v>
      </c>
      <c r="AZ434" s="10" t="str">
        <f>IF(AND(X434="CUMPLE",AE434="CUMPLE",AS434="CUMPLE",OR(AY434="CUMPLE",AY434="DESPRECIABLE"),BH434="CUMPLE",BJ434="CUMPLE"),"CUMPLE","NO CUMPLE")</f>
        <v>CUMPLE</v>
      </c>
      <c r="BA434" s="32" t="n">
        <v>12.7</v>
      </c>
      <c r="BB434" s="32" t="n">
        <v>129</v>
      </c>
      <c r="BC434" s="10">
        <f>MAX(IF(AK434=0,0,AK434*1000/('Parametros'!$B$4*MIN(U434,AB434))),MAX(0.062*SQRT('Parametros'!$B$2)*H434/'Parametros'!$B$4,0.35*H434/'Parametros'!$B$4))</f>
        <v>1.87469256095238</v>
      </c>
      <c r="BD434" s="10">
        <f>2*AV434</f>
        <v>0.321357305411072</v>
      </c>
      <c r="BE434" s="10">
        <f>AO434*BB434/AP434</f>
        <v>2.34545454545455</v>
      </c>
      <c r="BF434" s="10">
        <f>SQRT((AI434*1000/(H434*MIN(U434,AB434)))^2+(Q434*1000000*2*((H434-2*('Parametros'!$B$7+'Parametros'!$B$9/2))+(I434-2*('Parametros'!$B$7+'Parametros'!$B$9/2)))/(1.7*((H434-2*('Parametros'!$B$7+'Parametros'!$B$9/2))*(I434-2*('Parametros'!$B$7+'Parametros'!$B$9/2)))^2))^2)</f>
        <v>1.91429001705016</v>
      </c>
      <c r="BG434" s="10">
        <f>'Parametros'!$B$6*(AJ434*1000/(H434*MIN(U434,AB434))+0.66*SQRT('Parametros'!$B$2))</f>
        <v>3.29396038227542</v>
      </c>
      <c r="BH434" s="10" t="str">
        <f>IF(BF434&lt;=BG434,"CUMPLE","NO CUMPLE")</f>
        <v>CUMPLE</v>
      </c>
      <c r="BI434" s="10">
        <f>AX434*'Parametros'!$B$8</f>
        <v>1592</v>
      </c>
      <c r="BJ434" s="10" t="str">
        <f>IF(BI434&gt;=AW434,"CUMPLE","NO CUMPLE")</f>
        <v>CUMPLE</v>
      </c>
    </row>
    <row r="435">
      <c r="A435" s="25" t="inlineStr">
        <is>
          <t>VR2</t>
        </is>
      </c>
      <c r="B435" s="25" t="inlineStr">
        <is>
          <t>800</t>
        </is>
      </c>
      <c r="C435" s="10" t="n">
        <v>1</v>
      </c>
      <c r="D435" s="10" t="n">
        <v>2</v>
      </c>
      <c r="E435" s="10" t="n">
        <v>2</v>
      </c>
      <c r="F435" s="10" t="n">
        <v>500</v>
      </c>
      <c r="G435" s="10" t="n">
        <v>550</v>
      </c>
      <c r="H435" s="17" t="n">
        <v>500</v>
      </c>
      <c r="I435" s="17" t="n">
        <v>550</v>
      </c>
      <c r="J435" s="30" t="n">
        <v>142.8467</v>
      </c>
      <c r="K435" s="10" t="inlineStr">
        <is>
          <t>800</t>
        </is>
      </c>
      <c r="L435" s="30" t="n">
        <v>97.92440000000001</v>
      </c>
      <c r="M435" s="10" t="inlineStr">
        <is>
          <t>800</t>
        </is>
      </c>
      <c r="N435" s="30" t="n">
        <v>138.803</v>
      </c>
      <c r="O435" s="30" t="n">
        <v>493.898</v>
      </c>
      <c r="P435" s="10" t="inlineStr">
        <is>
          <t>800</t>
        </is>
      </c>
      <c r="Q435" s="30" t="n">
        <v>37.0648</v>
      </c>
      <c r="R435" s="10">
        <f>MAX(MAX(1.4/'Parametros'!$B$3,0.25*SQRT('Parametros'!$B$2)/'Parametros'!$B$3)*H435*U435,(0.85*'Parametros'!$B$2/'Parametros'!$B$3)*(1-SQRT(1-2*(J435*1000000/('Parametros'!$B$5*H435*U435^2))/(0.85*'Parametros'!$B$2)))*H435*U435)</f>
        <v>815.583333333333</v>
      </c>
      <c r="S435" s="31" t="n">
        <v>5</v>
      </c>
      <c r="T435" s="32" t="n">
        <v>1</v>
      </c>
      <c r="U435" s="10">
        <f>IF(T435=1,I435-('Parametros'!$B$7+'Parametros'!$B$9+'Parametros'!$B$12/2),I435-(ROUNDUP(S435/2,0)*('Parametros'!$B$7+'Parametros'!$B$9+'Parametros'!$B$12/2)+ROUNDDOWN(S435/2,0)*('Parametros'!$B$7+'Parametros'!$B$9+'Parametros'!$B$12/2+'Parametros'!$B$12+'Parametros'!$B$10))/S435)</f>
        <v>489.35</v>
      </c>
      <c r="V435" s="10">
        <f>S435*'Parametros'!$B$8</f>
        <v>995</v>
      </c>
      <c r="W435" s="10">
        <f>'Parametros'!$B$5*V435*'Parametros'!$B$3*(U435-(V435*'Parametros'!$B$3/(0.85*'Parametros'!$B$2*H435))/2)/1000000</f>
        <v>177.445379382353</v>
      </c>
      <c r="X435" s="10" t="str">
        <f>IF(W435&gt;=J435,"CUMPLE","NO CUMPLE")</f>
        <v>CUMPLE</v>
      </c>
      <c r="Y435" s="10">
        <f>MAX(MAX(1.4/'Parametros'!$B$3,0.25*SQRT('Parametros'!$B$2)/'Parametros'!$B$3)*H435*AB435,(0.85*'Parametros'!$B$2/'Parametros'!$B$3)*(1-SQRT(1-2*(L435*1000000/('Parametros'!$B$5*H435*AB435^2))/(0.85*'Parametros'!$B$2)))*H435*AB435)</f>
        <v>815.583333333333</v>
      </c>
      <c r="Z435" s="31" t="n">
        <v>5</v>
      </c>
      <c r="AA435" s="32" t="n">
        <v>1</v>
      </c>
      <c r="AB435" s="10">
        <f>IF(AA435=1,I435-('Parametros'!$B$7+'Parametros'!$B$9+'Parametros'!$B$12/2),I435-(ROUNDUP(Z435/2,0)*('Parametros'!$B$7+'Parametros'!$B$9+'Parametros'!$B$12/2)+ROUNDDOWN(Z435/2,0)*('Parametros'!$B$7+'Parametros'!$B$9+'Parametros'!$B$12/2+'Parametros'!$B$12+'Parametros'!$B$10))/Z435)</f>
        <v>489.35</v>
      </c>
      <c r="AC435" s="10">
        <f>Z435*'Parametros'!$B$8</f>
        <v>995</v>
      </c>
      <c r="AD435" s="10">
        <f>'Parametros'!$B$5*AC435*'Parametros'!$B$3*(AB435-(AC435*'Parametros'!$B$3/(0.85*'Parametros'!$B$2*H435))/2)/1000000</f>
        <v>177.445379382353</v>
      </c>
      <c r="AE435" s="10" t="str">
        <f>IF(AD435&gt;=L435,"CUMPLE","NO CUMPLE")</f>
        <v>CUMPLE</v>
      </c>
      <c r="AF435" s="10">
        <f>V435*1.25*'Parametros'!$B$3*(U435-(V435*1.25*'Parametros'!$B$3/(0.85*'Parametros'!$B$2*H435))/2)/1000000</f>
        <v>244.158843198529</v>
      </c>
      <c r="AG435" s="10">
        <f>AC435*1.25*'Parametros'!$B$3*(AB435-(AC435*1.25*'Parametros'!$B$3/(0.85*'Parametros'!$B$2*H435))/2)/1000000</f>
        <v>244.158843198529</v>
      </c>
      <c r="AH435" s="10">
        <f>N435+(AF435+AG435)/D435</f>
        <v>382.961843198529</v>
      </c>
      <c r="AI435" s="10">
        <f>MAX(O435,AH435)</f>
        <v>493.898</v>
      </c>
      <c r="AJ435" s="10">
        <f>0.17*SQRT('Parametros'!$B$2)*H435*MIN(U435,AB435)/1000</f>
        <v>220.098728691808</v>
      </c>
      <c r="AK435" s="10">
        <f>MAX(AI435/'Parametros'!$B$6-AJ435,0)</f>
        <v>438.431937974859</v>
      </c>
      <c r="AL435" s="10">
        <f>0.66*SQRT('Parametros'!$B$2)*H435*MIN(U435,AB435)/1000</f>
        <v>854.500946685842</v>
      </c>
      <c r="AM435" s="10" t="str">
        <f>IF(AK435&lt;=AL435,"CUMPLE","NO CUMPLE")</f>
        <v>CUMPLE</v>
      </c>
      <c r="AN435" s="17" t="inlineStr">
        <is>
          <t>Nº4 cerrado</t>
        </is>
      </c>
      <c r="AO435" s="31" t="n">
        <v>2</v>
      </c>
      <c r="AP435" s="10">
        <f>ROUNDDOWN(MIN(IF(BC435+BD435=0,1000000000,AO435*BB435/(BC435+BD435)),MIN(U435,AB435)/4,8*'Parametros'!$B$12,24*BA435,300,IF(AV435=0,1000000000,2*((H435-2*('Parametros'!$B$7+'Parametros'!$B$9/2))+(I435-2*('Parametros'!$B$7+'Parametros'!$B$9/2)))/8))/10,0)*10</f>
        <v>80</v>
      </c>
      <c r="AQ435" s="10">
        <f>ROUNDDOWN(MIN(IF(BC435+BD435=0,1000000000,AO435*BB435/(BC435+BD435)),IF(AK435&gt;0.33*SQRT('Parametros'!$B$2)*H435*MIN(U435,AB435)/1000,MIN(U435,AB435)/4,MIN(U435,AB435)/2),600,IF(AV435=0,1000000000,2*((H435-2*('Parametros'!$B$7+'Parametros'!$B$9/2))+(I435-2*('Parametros'!$B$7+'Parametros'!$B$9/2)))/8))/10,0)*10</f>
        <v>80</v>
      </c>
      <c r="AR435" s="10">
        <f>'Parametros'!$B$6*(AJ435+MAX(BE435-BD435,0)*'Parametros'!$B$4*MIN(U435,AB435)/1000)</f>
        <v>547.62886082469</v>
      </c>
      <c r="AS435" s="10" t="str">
        <f>IF(AND(ISERROR(SEARCH("referencia",AN435)),AM435="CUMPLE",AR435&gt;=AI435),"CUMPLE","NO CUMPLE")</f>
        <v>CUMPLE</v>
      </c>
      <c r="AT435" s="10">
        <f>'Parametros'!$B$6*0.083*SQRT('Parametros'!$B$2)*(H435*I435)^2/(2*(H435+I435))/1000000</f>
        <v>11.862178757599</v>
      </c>
      <c r="AU435" s="10" t="str">
        <f>IF(Q435&lt;=AT435,"DESPRECIABLE","DISEÑAR")</f>
        <v>DISEÑAR</v>
      </c>
      <c r="AV435" s="10">
        <f>IF(Q435&lt;=AT435,0,Q435*1000000/('Parametros'!$B$6*2*0.85*(H435-2*('Parametros'!$B$7+'Parametros'!$B$9/2))*(I435-2*('Parametros'!$B$7+'Parametros'!$B$9/2))*'Parametros'!$B$4))</f>
        <v>0.371609300137907</v>
      </c>
      <c r="AW435" s="10">
        <f>AV435*2*((H435-2*('Parametros'!$B$7+'Parametros'!$B$9/2))+(I435-2*('Parametros'!$B$7+'Parametros'!$B$9/2)))*'Parametros'!$B$4/'Parametros'!$B$3</f>
        <v>642.586801798469</v>
      </c>
      <c r="AX435" s="31" t="n">
        <v>8</v>
      </c>
      <c r="AY435" s="10" t="str">
        <f>IF(AV435=0,"DESPRECIABLE",IF(AND(ISERROR(SEARCH("referencia",AN435)),BB435/AP435&gt;=AV435,BI435&gt;=AW435,BH435="CUMPLE"),"CUMPLE","NO CUMPLE"))</f>
        <v>CUMPLE</v>
      </c>
      <c r="AZ435" s="10" t="str">
        <f>IF(AND(X435="CUMPLE",AE435="CUMPLE",AS435="CUMPLE",OR(AY435="CUMPLE",AY435="DESPRECIABLE"),BH435="CUMPLE",BJ435="CUMPLE"),"CUMPLE","NO CUMPLE")</f>
        <v>CUMPLE</v>
      </c>
      <c r="BA435" s="32" t="n">
        <v>12.7</v>
      </c>
      <c r="BB435" s="32" t="n">
        <v>129</v>
      </c>
      <c r="BC435" s="10">
        <f>MAX(IF(AK435=0,0,AK435*1000/('Parametros'!$B$4*MIN(U435,AB435))),MAX(0.062*SQRT('Parametros'!$B$2)*H435/'Parametros'!$B$4,0.35*H435/'Parametros'!$B$4))</f>
        <v>2.1332084737035</v>
      </c>
      <c r="BD435" s="10">
        <f>2*AV435</f>
        <v>0.743218600275815</v>
      </c>
      <c r="BE435" s="10">
        <f>AO435*BB435/AP435</f>
        <v>3.225</v>
      </c>
      <c r="BF435" s="10">
        <f>SQRT((AI435*1000/(H435*MIN(U435,AB435)))^2+(Q435*1000000*2*((H435-2*('Parametros'!$B$7+'Parametros'!$B$9/2))+(I435-2*('Parametros'!$B$7+'Parametros'!$B$9/2)))/(1.7*((H435-2*('Parametros'!$B$7+'Parametros'!$B$9/2))*(I435-2*('Parametros'!$B$7+'Parametros'!$B$9/2)))^2))^2)</f>
        <v>2.2925328706865</v>
      </c>
      <c r="BG435" s="10">
        <f>'Parametros'!$B$6*(AJ435*1000/(H435*MIN(U435,AB435))+0.66*SQRT('Parametros'!$B$2))</f>
        <v>3.29396038227542</v>
      </c>
      <c r="BH435" s="10" t="str">
        <f>IF(BF435&lt;=BG435,"CUMPLE","NO CUMPLE")</f>
        <v>CUMPLE</v>
      </c>
      <c r="BI435" s="10">
        <f>AX435*'Parametros'!$B$8</f>
        <v>1592</v>
      </c>
      <c r="BJ435" s="10" t="str">
        <f>IF(BI435&gt;=AW435,"CUMPLE","NO CUMPLE")</f>
        <v>CUMPLE</v>
      </c>
    </row>
    <row r="436">
      <c r="A436" s="25" t="inlineStr">
        <is>
          <t>VR2</t>
        </is>
      </c>
      <c r="B436" s="25" t="inlineStr">
        <is>
          <t>801</t>
        </is>
      </c>
      <c r="C436" s="10" t="n">
        <v>1</v>
      </c>
      <c r="D436" s="10" t="n">
        <v>3.05308</v>
      </c>
      <c r="E436" s="10" t="n">
        <v>3.05308</v>
      </c>
      <c r="F436" s="10" t="n">
        <v>500</v>
      </c>
      <c r="G436" s="10" t="n">
        <v>550</v>
      </c>
      <c r="H436" s="17" t="n">
        <v>500</v>
      </c>
      <c r="I436" s="17" t="n">
        <v>550</v>
      </c>
      <c r="J436" s="30" t="n">
        <v>158.435</v>
      </c>
      <c r="K436" s="10" t="inlineStr">
        <is>
          <t>801</t>
        </is>
      </c>
      <c r="L436" s="30" t="n">
        <v>96.70059999999999</v>
      </c>
      <c r="M436" s="10" t="inlineStr">
        <is>
          <t>801</t>
        </is>
      </c>
      <c r="N436" s="30" t="n">
        <v>126.59</v>
      </c>
      <c r="O436" s="30" t="n">
        <v>347.796</v>
      </c>
      <c r="P436" s="10" t="inlineStr">
        <is>
          <t>801</t>
        </is>
      </c>
      <c r="Q436" s="30" t="n">
        <v>43.2727</v>
      </c>
      <c r="R436" s="10">
        <f>MAX(MAX(1.4/'Parametros'!$B$3,0.25*SQRT('Parametros'!$B$2)/'Parametros'!$B$3)*H436*U436,(0.85*'Parametros'!$B$2/'Parametros'!$B$3)*(1-SQRT(1-2*(J436*1000000/('Parametros'!$B$5*H436*U436^2))/(0.85*'Parametros'!$B$2)))*H436*U436)</f>
        <v>884.753512299187</v>
      </c>
      <c r="S436" s="31" t="n">
        <v>5</v>
      </c>
      <c r="T436" s="32" t="n">
        <v>1</v>
      </c>
      <c r="U436" s="10">
        <f>IF(T436=1,I436-('Parametros'!$B$7+'Parametros'!$B$9+'Parametros'!$B$12/2),I436-(ROUNDUP(S436/2,0)*('Parametros'!$B$7+'Parametros'!$B$9+'Parametros'!$B$12/2)+ROUNDDOWN(S436/2,0)*('Parametros'!$B$7+'Parametros'!$B$9+'Parametros'!$B$12/2+'Parametros'!$B$12+'Parametros'!$B$10))/S436)</f>
        <v>489.35</v>
      </c>
      <c r="V436" s="10">
        <f>S436*'Parametros'!$B$8</f>
        <v>995</v>
      </c>
      <c r="W436" s="10">
        <f>'Parametros'!$B$5*V436*'Parametros'!$B$3*(U436-(V436*'Parametros'!$B$3/(0.85*'Parametros'!$B$2*H436))/2)/1000000</f>
        <v>177.445379382353</v>
      </c>
      <c r="X436" s="10" t="str">
        <f>IF(W436&gt;=J436,"CUMPLE","NO CUMPLE")</f>
        <v>CUMPLE</v>
      </c>
      <c r="Y436" s="10">
        <f>MAX(MAX(1.4/'Parametros'!$B$3,0.25*SQRT('Parametros'!$B$2)/'Parametros'!$B$3)*H436*AB436,(0.85*'Parametros'!$B$2/'Parametros'!$B$3)*(1-SQRT(1-2*(L436*1000000/('Parametros'!$B$5*H436*AB436^2))/(0.85*'Parametros'!$B$2)))*H436*AB436)</f>
        <v>815.583333333333</v>
      </c>
      <c r="Z436" s="31" t="n">
        <v>5</v>
      </c>
      <c r="AA436" s="32" t="n">
        <v>1</v>
      </c>
      <c r="AB436" s="10">
        <f>IF(AA436=1,I436-('Parametros'!$B$7+'Parametros'!$B$9+'Parametros'!$B$12/2),I436-(ROUNDUP(Z436/2,0)*('Parametros'!$B$7+'Parametros'!$B$9+'Parametros'!$B$12/2)+ROUNDDOWN(Z436/2,0)*('Parametros'!$B$7+'Parametros'!$B$9+'Parametros'!$B$12/2+'Parametros'!$B$12+'Parametros'!$B$10))/Z436)</f>
        <v>489.35</v>
      </c>
      <c r="AC436" s="10">
        <f>Z436*'Parametros'!$B$8</f>
        <v>995</v>
      </c>
      <c r="AD436" s="10">
        <f>'Parametros'!$B$5*AC436*'Parametros'!$B$3*(AB436-(AC436*'Parametros'!$B$3/(0.85*'Parametros'!$B$2*H436))/2)/1000000</f>
        <v>177.445379382353</v>
      </c>
      <c r="AE436" s="10" t="str">
        <f>IF(AD436&gt;=L436,"CUMPLE","NO CUMPLE")</f>
        <v>CUMPLE</v>
      </c>
      <c r="AF436" s="10">
        <f>V436*1.25*'Parametros'!$B$3*(U436-(V436*1.25*'Parametros'!$B$3/(0.85*'Parametros'!$B$2*H436))/2)/1000000</f>
        <v>244.158843198529</v>
      </c>
      <c r="AG436" s="10">
        <f>AC436*1.25*'Parametros'!$B$3*(AB436-(AC436*1.25*'Parametros'!$B$3/(0.85*'Parametros'!$B$2*H436))/2)/1000000</f>
        <v>244.158843198529</v>
      </c>
      <c r="AH436" s="10">
        <f>N436+(AF436+AG436)/D436</f>
        <v>286.53264362449</v>
      </c>
      <c r="AI436" s="10">
        <f>MAX(O436,AH436)</f>
        <v>347.796</v>
      </c>
      <c r="AJ436" s="10">
        <f>0.17*SQRT('Parametros'!$B$2)*H436*MIN(U436,AB436)/1000</f>
        <v>220.098728691808</v>
      </c>
      <c r="AK436" s="10">
        <f>MAX(AI436/'Parametros'!$B$6-AJ436,0)</f>
        <v>243.629271308192</v>
      </c>
      <c r="AL436" s="10">
        <f>0.66*SQRT('Parametros'!$B$2)*H436*MIN(U436,AB436)/1000</f>
        <v>854.500946685842</v>
      </c>
      <c r="AM436" s="10" t="str">
        <f>IF(AK436&lt;=AL436,"CUMPLE","NO CUMPLE")</f>
        <v>CUMPLE</v>
      </c>
      <c r="AN436" s="17" t="inlineStr">
        <is>
          <t>Nº4 cerrado</t>
        </is>
      </c>
      <c r="AO436" s="31" t="n">
        <v>2</v>
      </c>
      <c r="AP436" s="10">
        <f>ROUNDDOWN(MIN(IF(BC436+BD436=0,1000000000,AO436*BB436/(BC436+BD436)),MIN(U436,AB436)/4,8*'Parametros'!$B$12,24*BA436,300,IF(AV436=0,1000000000,2*((H436-2*('Parametros'!$B$7+'Parametros'!$B$9/2))+(I436-2*('Parametros'!$B$7+'Parametros'!$B$9/2)))/8))/10,0)*10</f>
        <v>120</v>
      </c>
      <c r="AQ436" s="10">
        <f>ROUNDDOWN(MIN(IF(BC436+BD436=0,1000000000,AO436*BB436/(BC436+BD436)),IF(AK436&gt;0.33*SQRT('Parametros'!$B$2)*H436*MIN(U436,AB436)/1000,MIN(U436,AB436)/4,MIN(U436,AB436)/2),600,IF(AV436=0,1000000000,2*((H436-2*('Parametros'!$B$7+'Parametros'!$B$9/2))+(I436-2*('Parametros'!$B$7+'Parametros'!$B$9/2)))/8))/10,0)*10</f>
        <v>120</v>
      </c>
      <c r="AR436" s="10">
        <f>'Parametros'!$B$6*(AJ436+MAX(BE436-BD436,0)*'Parametros'!$B$4*MIN(U436,AB436)/1000)</f>
        <v>362.734714505469</v>
      </c>
      <c r="AS436" s="10" t="str">
        <f>IF(AND(ISERROR(SEARCH("referencia",AN436)),AM436="CUMPLE",AR436&gt;=AI436),"CUMPLE","NO CUMPLE")</f>
        <v>CUMPLE</v>
      </c>
      <c r="AT436" s="10">
        <f>'Parametros'!$B$6*0.083*SQRT('Parametros'!$B$2)*(H436*I436)^2/(2*(H436+I436))/1000000</f>
        <v>11.862178757599</v>
      </c>
      <c r="AU436" s="10" t="str">
        <f>IF(Q436&lt;=AT436,"DESPRECIABLE","DISEÑAR")</f>
        <v>DISEÑAR</v>
      </c>
      <c r="AV436" s="10">
        <f>IF(Q436&lt;=AT436,0,Q436*1000000/('Parametros'!$B$6*2*0.85*(H436-2*('Parametros'!$B$7+'Parametros'!$B$9/2))*(I436-2*('Parametros'!$B$7+'Parametros'!$B$9/2))*'Parametros'!$B$4))</f>
        <v>0.433849306136216</v>
      </c>
      <c r="AW436" s="10">
        <f>AV436*2*((H436-2*('Parametros'!$B$7+'Parametros'!$B$9/2))+(I436-2*('Parametros'!$B$7+'Parametros'!$B$9/2)))*'Parametros'!$B$4/'Parametros'!$B$3</f>
        <v>750.212220170745</v>
      </c>
      <c r="AX436" s="31" t="n">
        <v>8</v>
      </c>
      <c r="AY436" s="10" t="str">
        <f>IF(AV436=0,"DESPRECIABLE",IF(AND(ISERROR(SEARCH("referencia",AN436)),BB436/AP436&gt;=AV436,BI436&gt;=AW436,BH436="CUMPLE"),"CUMPLE","NO CUMPLE"))</f>
        <v>CUMPLE</v>
      </c>
      <c r="AZ436" s="10" t="str">
        <f>IF(AND(X436="CUMPLE",AE436="CUMPLE",AS436="CUMPLE",OR(AY436="CUMPLE",AY436="DESPRECIABLE"),BH436="CUMPLE",BJ436="CUMPLE"),"CUMPLE","NO CUMPLE")</f>
        <v>CUMPLE</v>
      </c>
      <c r="BA436" s="32" t="n">
        <v>12.7</v>
      </c>
      <c r="BB436" s="32" t="n">
        <v>129</v>
      </c>
      <c r="BC436" s="10">
        <f>MAX(IF(AK436=0,0,AK436*1000/('Parametros'!$B$4*MIN(U436,AB436))),MAX(0.062*SQRT('Parametros'!$B$2)*H436/'Parametros'!$B$4,0.35*H436/'Parametros'!$B$4))</f>
        <v>1.18538815488083</v>
      </c>
      <c r="BD436" s="10">
        <f>2*AV436</f>
        <v>0.867698612272432</v>
      </c>
      <c r="BE436" s="10">
        <f>AO436*BB436/AP436</f>
        <v>2.15</v>
      </c>
      <c r="BF436" s="10">
        <f>SQRT((AI436*1000/(H436*MIN(U436,AB436)))^2+(Q436*1000000*2*((H436-2*('Parametros'!$B$7+'Parametros'!$B$9/2))+(I436-2*('Parametros'!$B$7+'Parametros'!$B$9/2)))/(1.7*((H436-2*('Parametros'!$B$7+'Parametros'!$B$9/2))*(I436-2*('Parametros'!$B$7+'Parametros'!$B$9/2)))^2))^2)</f>
        <v>1.90533479462909</v>
      </c>
      <c r="BG436" s="10">
        <f>'Parametros'!$B$6*(AJ436*1000/(H436*MIN(U436,AB436))+0.66*SQRT('Parametros'!$B$2))</f>
        <v>3.29396038227542</v>
      </c>
      <c r="BH436" s="10" t="str">
        <f>IF(BF436&lt;=BG436,"CUMPLE","NO CUMPLE")</f>
        <v>CUMPLE</v>
      </c>
      <c r="BI436" s="10">
        <f>AX436*'Parametros'!$B$8</f>
        <v>1592</v>
      </c>
      <c r="BJ436" s="10" t="str">
        <f>IF(BI436&gt;=AW436,"CUMPLE","NO CUMPLE")</f>
        <v>CUMPLE</v>
      </c>
    </row>
    <row r="437">
      <c r="A437" s="25" t="inlineStr">
        <is>
          <t>VR2</t>
        </is>
      </c>
      <c r="B437" s="25" t="inlineStr">
        <is>
          <t>802</t>
        </is>
      </c>
      <c r="C437" s="10" t="n">
        <v>1</v>
      </c>
      <c r="D437" s="10" t="n">
        <v>2</v>
      </c>
      <c r="E437" s="10" t="n">
        <v>2</v>
      </c>
      <c r="F437" s="10" t="n">
        <v>500</v>
      </c>
      <c r="G437" s="10" t="n">
        <v>550</v>
      </c>
      <c r="H437" s="17" t="n">
        <v>500</v>
      </c>
      <c r="I437" s="17" t="n">
        <v>550</v>
      </c>
      <c r="J437" s="30" t="n">
        <v>156.4577</v>
      </c>
      <c r="K437" s="10" t="inlineStr">
        <is>
          <t>802</t>
        </is>
      </c>
      <c r="L437" s="30" t="n">
        <v>90.9872</v>
      </c>
      <c r="M437" s="10" t="inlineStr">
        <is>
          <t>802</t>
        </is>
      </c>
      <c r="N437" s="30" t="n">
        <v>134.012</v>
      </c>
      <c r="O437" s="30" t="n">
        <v>450.161</v>
      </c>
      <c r="P437" s="10" t="inlineStr">
        <is>
          <t>802</t>
        </is>
      </c>
      <c r="Q437" s="30" t="n">
        <v>6.2519</v>
      </c>
      <c r="R437" s="10">
        <f>MAX(MAX(1.4/'Parametros'!$B$3,0.25*SQRT('Parametros'!$B$2)/'Parametros'!$B$3)*H437*U437,(0.85*'Parametros'!$B$2/'Parametros'!$B$3)*(1-SQRT(1-2*(J437*1000000/('Parametros'!$B$5*H437*U437^2))/(0.85*'Parametros'!$B$2)))*H437*U437)</f>
        <v>873.340313162841</v>
      </c>
      <c r="S437" s="31" t="n">
        <v>5</v>
      </c>
      <c r="T437" s="32" t="n">
        <v>1</v>
      </c>
      <c r="U437" s="10">
        <f>IF(T437=1,I437-('Parametros'!$B$7+'Parametros'!$B$9+'Parametros'!$B$12/2),I437-(ROUNDUP(S437/2,0)*('Parametros'!$B$7+'Parametros'!$B$9+'Parametros'!$B$12/2)+ROUNDDOWN(S437/2,0)*('Parametros'!$B$7+'Parametros'!$B$9+'Parametros'!$B$12/2+'Parametros'!$B$12+'Parametros'!$B$10))/S437)</f>
        <v>489.35</v>
      </c>
      <c r="V437" s="10">
        <f>S437*'Parametros'!$B$8</f>
        <v>995</v>
      </c>
      <c r="W437" s="10">
        <f>'Parametros'!$B$5*V437*'Parametros'!$B$3*(U437-(V437*'Parametros'!$B$3/(0.85*'Parametros'!$B$2*H437))/2)/1000000</f>
        <v>177.445379382353</v>
      </c>
      <c r="X437" s="10" t="str">
        <f>IF(W437&gt;=J437,"CUMPLE","NO CUMPLE")</f>
        <v>CUMPLE</v>
      </c>
      <c r="Y437" s="10">
        <f>MAX(MAX(1.4/'Parametros'!$B$3,0.25*SQRT('Parametros'!$B$2)/'Parametros'!$B$3)*H437*AB437,(0.85*'Parametros'!$B$2/'Parametros'!$B$3)*(1-SQRT(1-2*(L437*1000000/('Parametros'!$B$5*H437*AB437^2))/(0.85*'Parametros'!$B$2)))*H437*AB437)</f>
        <v>815.583333333333</v>
      </c>
      <c r="Z437" s="31" t="n">
        <v>5</v>
      </c>
      <c r="AA437" s="32" t="n">
        <v>1</v>
      </c>
      <c r="AB437" s="10">
        <f>IF(AA437=1,I437-('Parametros'!$B$7+'Parametros'!$B$9+'Parametros'!$B$12/2),I437-(ROUNDUP(Z437/2,0)*('Parametros'!$B$7+'Parametros'!$B$9+'Parametros'!$B$12/2)+ROUNDDOWN(Z437/2,0)*('Parametros'!$B$7+'Parametros'!$B$9+'Parametros'!$B$12/2+'Parametros'!$B$12+'Parametros'!$B$10))/Z437)</f>
        <v>489.35</v>
      </c>
      <c r="AC437" s="10">
        <f>Z437*'Parametros'!$B$8</f>
        <v>995</v>
      </c>
      <c r="AD437" s="10">
        <f>'Parametros'!$B$5*AC437*'Parametros'!$B$3*(AB437-(AC437*'Parametros'!$B$3/(0.85*'Parametros'!$B$2*H437))/2)/1000000</f>
        <v>177.445379382353</v>
      </c>
      <c r="AE437" s="10" t="str">
        <f>IF(AD437&gt;=L437,"CUMPLE","NO CUMPLE")</f>
        <v>CUMPLE</v>
      </c>
      <c r="AF437" s="10">
        <f>V437*1.25*'Parametros'!$B$3*(U437-(V437*1.25*'Parametros'!$B$3/(0.85*'Parametros'!$B$2*H437))/2)/1000000</f>
        <v>244.158843198529</v>
      </c>
      <c r="AG437" s="10">
        <f>AC437*1.25*'Parametros'!$B$3*(AB437-(AC437*1.25*'Parametros'!$B$3/(0.85*'Parametros'!$B$2*H437))/2)/1000000</f>
        <v>244.158843198529</v>
      </c>
      <c r="AH437" s="10">
        <f>N437+(AF437+AG437)/D437</f>
        <v>378.170843198529</v>
      </c>
      <c r="AI437" s="10">
        <f>MAX(O437,AH437)</f>
        <v>450.161</v>
      </c>
      <c r="AJ437" s="10">
        <f>0.17*SQRT('Parametros'!$B$2)*H437*MIN(U437,AB437)/1000</f>
        <v>220.098728691808</v>
      </c>
      <c r="AK437" s="10">
        <f>MAX(AI437/'Parametros'!$B$6-AJ437,0)</f>
        <v>380.115937974859</v>
      </c>
      <c r="AL437" s="10">
        <f>0.66*SQRT('Parametros'!$B$2)*H437*MIN(U437,AB437)/1000</f>
        <v>854.500946685842</v>
      </c>
      <c r="AM437" s="10" t="str">
        <f>IF(AK437&lt;=AL437,"CUMPLE","NO CUMPLE")</f>
        <v>CUMPLE</v>
      </c>
      <c r="AN437" s="17" t="inlineStr">
        <is>
          <t>Nº4 cerrado</t>
        </is>
      </c>
      <c r="AO437" s="31" t="n">
        <v>2</v>
      </c>
      <c r="AP437" s="10">
        <f>ROUNDDOWN(MIN(IF(BC437+BD437=0,1000000000,AO437*BB437/(BC437+BD437)),MIN(U437,AB437)/4,8*'Parametros'!$B$12,24*BA437,300,IF(AV437=0,1000000000,2*((H437-2*('Parametros'!$B$7+'Parametros'!$B$9/2))+(I437-2*('Parametros'!$B$7+'Parametros'!$B$9/2)))/8))/10,0)*10</f>
        <v>120</v>
      </c>
      <c r="AQ437" s="10">
        <f>ROUNDDOWN(MIN(IF(BC437+BD437=0,1000000000,AO437*BB437/(BC437+BD437)),IF(AK437&gt;0.33*SQRT('Parametros'!$B$2)*H437*MIN(U437,AB437)/1000,MIN(U437,AB437)/4,MIN(U437,AB437)/2),600,IF(AV437=0,1000000000,2*((H437-2*('Parametros'!$B$7+'Parametros'!$B$9/2))+(I437-2*('Parametros'!$B$7+'Parametros'!$B$9/2)))/8))/10,0)*10</f>
        <v>130</v>
      </c>
      <c r="AR437" s="10">
        <f>'Parametros'!$B$6*(AJ437+MAX(BE437-BD437,0)*'Parametros'!$B$4*MIN(U437,AB437)/1000)</f>
        <v>496.486334018856</v>
      </c>
      <c r="AS437" s="10" t="str">
        <f>IF(AND(ISERROR(SEARCH("referencia",AN437)),AM437="CUMPLE",AR437&gt;=AI437),"CUMPLE","NO CUMPLE")</f>
        <v>CUMPLE</v>
      </c>
      <c r="AT437" s="10">
        <f>'Parametros'!$B$6*0.083*SQRT('Parametros'!$B$2)*(H437*I437)^2/(2*(H437+I437))/1000000</f>
        <v>11.862178757599</v>
      </c>
      <c r="AU437" s="10" t="str">
        <f>IF(Q437&lt;=AT437,"DESPRECIABLE","DISEÑAR")</f>
        <v>DESPRECIABLE</v>
      </c>
      <c r="AV437" s="10">
        <f>IF(Q437&lt;=AT437,0,Q437*1000000/('Parametros'!$B$6*2*0.85*(H437-2*('Parametros'!$B$7+'Parametros'!$B$9/2))*(I437-2*('Parametros'!$B$7+'Parametros'!$B$9/2))*'Parametros'!$B$4))</f>
        <v>0</v>
      </c>
      <c r="AW437" s="10">
        <f>AV437*2*((H437-2*('Parametros'!$B$7+'Parametros'!$B$9/2))+(I437-2*('Parametros'!$B$7+'Parametros'!$B$9/2)))*'Parametros'!$B$4/'Parametros'!$B$3</f>
        <v>0</v>
      </c>
      <c r="AX437" s="31" t="n">
        <v>0</v>
      </c>
      <c r="AY437" s="10" t="str">
        <f>IF(AV437=0,"DESPRECIABLE",IF(AND(ISERROR(SEARCH("referencia",AN437)),BB437/AP437&gt;=AV437,BI437&gt;=AW437,BH437="CUMPLE"),"CUMPLE","NO CUMPLE"))</f>
        <v>DESPRECIABLE</v>
      </c>
      <c r="AZ437" s="10" t="str">
        <f>IF(AND(X437="CUMPLE",AE437="CUMPLE",AS437="CUMPLE",OR(AY437="CUMPLE",AY437="DESPRECIABLE"),BH437="CUMPLE",BJ437="CUMPLE"),"CUMPLE","NO CUMPLE")</f>
        <v>CUMPLE</v>
      </c>
      <c r="BA437" s="32" t="n">
        <v>12.7</v>
      </c>
      <c r="BB437" s="32" t="n">
        <v>129</v>
      </c>
      <c r="BC437" s="10">
        <f>MAX(IF(AK437=0,0,AK437*1000/('Parametros'!$B$4*MIN(U437,AB437))),MAX(0.062*SQRT('Parametros'!$B$2)*H437/'Parametros'!$B$4,0.35*H437/'Parametros'!$B$4))</f>
        <v>1.84946959754611</v>
      </c>
      <c r="BD437" s="10">
        <f>2*AV437</f>
        <v>0</v>
      </c>
      <c r="BE437" s="10">
        <f>AO437*BB437/AP437</f>
        <v>2.15</v>
      </c>
      <c r="BF437" s="10">
        <f>SQRT((AI437*1000/(H437*MIN(U437,AB437)))^2+(Q437*1000000*2*((H437-2*('Parametros'!$B$7+'Parametros'!$B$9/2))+(I437-2*('Parametros'!$B$7+'Parametros'!$B$9/2)))/(1.7*((H437-2*('Parametros'!$B$7+'Parametros'!$B$9/2))*(I437-2*('Parametros'!$B$7+'Parametros'!$B$9/2)))^2))^2)</f>
        <v>1.84894146167393</v>
      </c>
      <c r="BG437" s="10">
        <f>'Parametros'!$B$6*(AJ437*1000/(H437*MIN(U437,AB437))+0.66*SQRT('Parametros'!$B$2))</f>
        <v>3.29396038227542</v>
      </c>
      <c r="BH437" s="10" t="str">
        <f>IF(BF437&lt;=BG437,"CUMPLE","NO CUMPLE")</f>
        <v>CUMPLE</v>
      </c>
      <c r="BI437" s="10">
        <f>AX437*'Parametros'!$B$8</f>
        <v>0</v>
      </c>
      <c r="BJ437" s="10" t="str">
        <f>IF(BI437&gt;=AW437,"CUMPLE","NO CUMPLE")</f>
        <v>CUMPLE</v>
      </c>
    </row>
    <row r="438">
      <c r="A438" s="25" t="inlineStr">
        <is>
          <t>VR2</t>
        </is>
      </c>
      <c r="B438" s="25" t="inlineStr">
        <is>
          <t>863</t>
        </is>
      </c>
      <c r="C438" s="10" t="n">
        <v>1</v>
      </c>
      <c r="D438" s="10" t="n">
        <v>2</v>
      </c>
      <c r="E438" s="10" t="n">
        <v>2</v>
      </c>
      <c r="F438" s="10" t="n">
        <v>500</v>
      </c>
      <c r="G438" s="10" t="n">
        <v>550</v>
      </c>
      <c r="H438" s="17" t="n">
        <v>500</v>
      </c>
      <c r="I438" s="17" t="n">
        <v>550</v>
      </c>
      <c r="J438" s="30" t="n">
        <v>105.6963</v>
      </c>
      <c r="K438" s="10" t="inlineStr">
        <is>
          <t>863</t>
        </is>
      </c>
      <c r="L438" s="30" t="n">
        <v>46.5366</v>
      </c>
      <c r="M438" s="10" t="inlineStr">
        <is>
          <t>863</t>
        </is>
      </c>
      <c r="N438" s="30" t="n">
        <v>96.807</v>
      </c>
      <c r="O438" s="30" t="n">
        <v>248.529</v>
      </c>
      <c r="P438" s="10" t="inlineStr">
        <is>
          <t>863</t>
        </is>
      </c>
      <c r="Q438" s="30" t="n">
        <v>4.0394</v>
      </c>
      <c r="R438" s="10">
        <f>MAX(MAX(1.4/'Parametros'!$B$3,0.25*SQRT('Parametros'!$B$2)/'Parametros'!$B$3)*H438*U438,(0.85*'Parametros'!$B$2/'Parametros'!$B$3)*(1-SQRT(1-2*(J438*1000000/('Parametros'!$B$5*H438*U438^2))/(0.85*'Parametros'!$B$2)))*H438*U438)</f>
        <v>815.583333333333</v>
      </c>
      <c r="S438" s="31" t="n">
        <v>5</v>
      </c>
      <c r="T438" s="32" t="n">
        <v>1</v>
      </c>
      <c r="U438" s="10">
        <f>IF(T438=1,I438-('Parametros'!$B$7+'Parametros'!$B$9+'Parametros'!$B$12/2),I438-(ROUNDUP(S438/2,0)*('Parametros'!$B$7+'Parametros'!$B$9+'Parametros'!$B$12/2)+ROUNDDOWN(S438/2,0)*('Parametros'!$B$7+'Parametros'!$B$9+'Parametros'!$B$12/2+'Parametros'!$B$12+'Parametros'!$B$10))/S438)</f>
        <v>489.35</v>
      </c>
      <c r="V438" s="10">
        <f>S438*'Parametros'!$B$8</f>
        <v>995</v>
      </c>
      <c r="W438" s="10">
        <f>'Parametros'!$B$5*V438*'Parametros'!$B$3*(U438-(V438*'Parametros'!$B$3/(0.85*'Parametros'!$B$2*H438))/2)/1000000</f>
        <v>177.445379382353</v>
      </c>
      <c r="X438" s="10" t="str">
        <f>IF(W438&gt;=J438,"CUMPLE","NO CUMPLE")</f>
        <v>CUMPLE</v>
      </c>
      <c r="Y438" s="10">
        <f>MAX(MAX(1.4/'Parametros'!$B$3,0.25*SQRT('Parametros'!$B$2)/'Parametros'!$B$3)*H438*AB438,(0.85*'Parametros'!$B$2/'Parametros'!$B$3)*(1-SQRT(1-2*(L438*1000000/('Parametros'!$B$5*H438*AB438^2))/(0.85*'Parametros'!$B$2)))*H438*AB438)</f>
        <v>815.583333333333</v>
      </c>
      <c r="Z438" s="31" t="n">
        <v>5</v>
      </c>
      <c r="AA438" s="32" t="n">
        <v>1</v>
      </c>
      <c r="AB438" s="10">
        <f>IF(AA438=1,I438-('Parametros'!$B$7+'Parametros'!$B$9+'Parametros'!$B$12/2),I438-(ROUNDUP(Z438/2,0)*('Parametros'!$B$7+'Parametros'!$B$9+'Parametros'!$B$12/2)+ROUNDDOWN(Z438/2,0)*('Parametros'!$B$7+'Parametros'!$B$9+'Parametros'!$B$12/2+'Parametros'!$B$12+'Parametros'!$B$10))/Z438)</f>
        <v>489.35</v>
      </c>
      <c r="AC438" s="10">
        <f>Z438*'Parametros'!$B$8</f>
        <v>995</v>
      </c>
      <c r="AD438" s="10">
        <f>'Parametros'!$B$5*AC438*'Parametros'!$B$3*(AB438-(AC438*'Parametros'!$B$3/(0.85*'Parametros'!$B$2*H438))/2)/1000000</f>
        <v>177.445379382353</v>
      </c>
      <c r="AE438" s="10" t="str">
        <f>IF(AD438&gt;=L438,"CUMPLE","NO CUMPLE")</f>
        <v>CUMPLE</v>
      </c>
      <c r="AF438" s="10">
        <f>V438*1.25*'Parametros'!$B$3*(U438-(V438*1.25*'Parametros'!$B$3/(0.85*'Parametros'!$B$2*H438))/2)/1000000</f>
        <v>244.158843198529</v>
      </c>
      <c r="AG438" s="10">
        <f>AC438*1.25*'Parametros'!$B$3*(AB438-(AC438*1.25*'Parametros'!$B$3/(0.85*'Parametros'!$B$2*H438))/2)/1000000</f>
        <v>244.158843198529</v>
      </c>
      <c r="AH438" s="10">
        <f>N438+(AF438+AG438)/D438</f>
        <v>340.965843198529</v>
      </c>
      <c r="AI438" s="10">
        <f>MAX(O438,AH438)</f>
        <v>340.965843198529</v>
      </c>
      <c r="AJ438" s="10">
        <f>0.17*SQRT('Parametros'!$B$2)*H438*MIN(U438,AB438)/1000</f>
        <v>220.098728691808</v>
      </c>
      <c r="AK438" s="10">
        <f>MAX(AI438/'Parametros'!$B$6-AJ438,0)</f>
        <v>234.522395572898</v>
      </c>
      <c r="AL438" s="10">
        <f>0.66*SQRT('Parametros'!$B$2)*H438*MIN(U438,AB438)/1000</f>
        <v>854.500946685842</v>
      </c>
      <c r="AM438" s="10" t="str">
        <f>IF(AK438&lt;=AL438,"CUMPLE","NO CUMPLE")</f>
        <v>CUMPLE</v>
      </c>
      <c r="AN438" s="17" t="inlineStr">
        <is>
          <t>Nº3 cerrado</t>
        </is>
      </c>
      <c r="AO438" s="31" t="n">
        <v>2</v>
      </c>
      <c r="AP438" s="10">
        <f>ROUNDDOWN(MIN(IF(BC438+BD438=0,1000000000,AO438*BB438/(BC438+BD438)),MIN(U438,AB438)/4,8*'Parametros'!$B$12,24*BA438,300,IF(AV438=0,1000000000,2*((H438-2*('Parametros'!$B$7+'Parametros'!$B$9/2))+(I438-2*('Parametros'!$B$7+'Parametros'!$B$9/2)))/8))/10,0)*10</f>
        <v>120</v>
      </c>
      <c r="AQ438" s="10">
        <f>ROUNDDOWN(MIN(IF(BC438+BD438=0,1000000000,AO438*BB438/(BC438+BD438)),IF(AK438&gt;0.33*SQRT('Parametros'!$B$2)*H438*MIN(U438,AB438)/1000,MIN(U438,AB438)/4,MIN(U438,AB438)/2),600,IF(AV438=0,1000000000,2*((H438-2*('Parametros'!$B$7+'Parametros'!$B$9/2))+(I438-2*('Parametros'!$B$7+'Parametros'!$B$9/2)))/8))/10,0)*10</f>
        <v>120</v>
      </c>
      <c r="AR438" s="10">
        <f>'Parametros'!$B$6*(AJ438+MAX(BE438-BD438,0)*'Parametros'!$B$4*MIN(U438,AB438)/1000)</f>
        <v>347.479259018856</v>
      </c>
      <c r="AS438" s="10" t="str">
        <f>IF(AND(ISERROR(SEARCH("referencia",AN438)),AM438="CUMPLE",AR438&gt;=AI438),"CUMPLE","NO CUMPLE")</f>
        <v>CUMPLE</v>
      </c>
      <c r="AT438" s="10">
        <f>'Parametros'!$B$6*0.083*SQRT('Parametros'!$B$2)*(H438*I438)^2/(2*(H438+I438))/1000000</f>
        <v>11.862178757599</v>
      </c>
      <c r="AU438" s="10" t="str">
        <f>IF(Q438&lt;=AT438,"DESPRECIABLE","DISEÑAR")</f>
        <v>DESPRECIABLE</v>
      </c>
      <c r="AV438" s="10">
        <f>IF(Q438&lt;=AT438,0,Q438*1000000/('Parametros'!$B$6*2*0.85*(H438-2*('Parametros'!$B$7+'Parametros'!$B$9/2))*(I438-2*('Parametros'!$B$7+'Parametros'!$B$9/2))*'Parametros'!$B$4))</f>
        <v>0</v>
      </c>
      <c r="AW438" s="10">
        <f>AV438*2*((H438-2*('Parametros'!$B$7+'Parametros'!$B$9/2))+(I438-2*('Parametros'!$B$7+'Parametros'!$B$9/2)))*'Parametros'!$B$4/'Parametros'!$B$3</f>
        <v>0</v>
      </c>
      <c r="AX438" s="31" t="n">
        <v>0</v>
      </c>
      <c r="AY438" s="10" t="str">
        <f>IF(AV438=0,"DESPRECIABLE",IF(AND(ISERROR(SEARCH("referencia",AN438)),BB438/AP438&gt;=AV438,BI438&gt;=AW438,BH438="CUMPLE"),"CUMPLE","NO CUMPLE"))</f>
        <v>DESPRECIABLE</v>
      </c>
      <c r="AZ438" s="10" t="str">
        <f>IF(AND(X438="CUMPLE",AE438="CUMPLE",AS438="CUMPLE",OR(AY438="CUMPLE",AY438="DESPRECIABLE"),BH438="CUMPLE",BJ438="CUMPLE"),"CUMPLE","NO CUMPLE")</f>
        <v>CUMPLE</v>
      </c>
      <c r="BA438" s="32" t="n">
        <v>9.5</v>
      </c>
      <c r="BB438" s="32" t="n">
        <v>71</v>
      </c>
      <c r="BC438" s="10">
        <f>MAX(IF(AK438=0,0,AK438*1000/('Parametros'!$B$4*MIN(U438,AB438))),MAX(0.062*SQRT('Parametros'!$B$2)*H438/'Parametros'!$B$4,0.35*H438/'Parametros'!$B$4))</f>
        <v>1.14107827960754</v>
      </c>
      <c r="BD438" s="10">
        <f>2*AV438</f>
        <v>0</v>
      </c>
      <c r="BE438" s="10">
        <f>AO438*BB438/AP438</f>
        <v>1.18333333333333</v>
      </c>
      <c r="BF438" s="10">
        <f>SQRT((AI438*1000/(H438*MIN(U438,AB438)))^2+(Q438*1000000*2*((H438-2*('Parametros'!$B$7+'Parametros'!$B$9/2))+(I438-2*('Parametros'!$B$7+'Parametros'!$B$9/2)))/(1.7*((H438-2*('Parametros'!$B$7+'Parametros'!$B$9/2))*(I438-2*('Parametros'!$B$7+'Parametros'!$B$9/2)))^2))^2)</f>
        <v>1.3985696791185</v>
      </c>
      <c r="BG438" s="10">
        <f>'Parametros'!$B$6*(AJ438*1000/(H438*MIN(U438,AB438))+0.66*SQRT('Parametros'!$B$2))</f>
        <v>3.29396038227542</v>
      </c>
      <c r="BH438" s="10" t="str">
        <f>IF(BF438&lt;=BG438,"CUMPLE","NO CUMPLE")</f>
        <v>CUMPLE</v>
      </c>
      <c r="BI438" s="10">
        <f>AX438*'Parametros'!$B$8</f>
        <v>0</v>
      </c>
      <c r="BJ438" s="10" t="str">
        <f>IF(BI438&gt;=AW438,"CUMPLE","NO CUMPLE")</f>
        <v>CUMPLE</v>
      </c>
    </row>
    <row r="439">
      <c r="A439" s="25" t="inlineStr">
        <is>
          <t>VR2</t>
        </is>
      </c>
      <c r="B439" s="25" t="inlineStr">
        <is>
          <t>864</t>
        </is>
      </c>
      <c r="C439" s="10" t="n">
        <v>1</v>
      </c>
      <c r="D439" s="10" t="n">
        <v>3.05308</v>
      </c>
      <c r="E439" s="10" t="n">
        <v>3.05308</v>
      </c>
      <c r="F439" s="10" t="n">
        <v>500</v>
      </c>
      <c r="G439" s="10" t="n">
        <v>550</v>
      </c>
      <c r="H439" s="17" t="n">
        <v>500</v>
      </c>
      <c r="I439" s="17" t="n">
        <v>550</v>
      </c>
      <c r="J439" s="30" t="n">
        <v>125.3494</v>
      </c>
      <c r="K439" s="10" t="inlineStr">
        <is>
          <t>864</t>
        </is>
      </c>
      <c r="L439" s="30" t="n">
        <v>63.8017</v>
      </c>
      <c r="M439" s="10" t="inlineStr">
        <is>
          <t>864</t>
        </is>
      </c>
      <c r="N439" s="30" t="n">
        <v>110.246</v>
      </c>
      <c r="O439" s="30" t="n">
        <v>260.875</v>
      </c>
      <c r="P439" s="10" t="inlineStr">
        <is>
          <t>864</t>
        </is>
      </c>
      <c r="Q439" s="30" t="n">
        <v>31.8883</v>
      </c>
      <c r="R439" s="10">
        <f>MAX(MAX(1.4/'Parametros'!$B$3,0.25*SQRT('Parametros'!$B$2)/'Parametros'!$B$3)*H439*U439,(0.85*'Parametros'!$B$2/'Parametros'!$B$3)*(1-SQRT(1-2*(J439*1000000/('Parametros'!$B$5*H439*U439^2))/(0.85*'Parametros'!$B$2)))*H439*U439)</f>
        <v>815.583333333333</v>
      </c>
      <c r="S439" s="31" t="n">
        <v>5</v>
      </c>
      <c r="T439" s="32" t="n">
        <v>1</v>
      </c>
      <c r="U439" s="10">
        <f>IF(T439=1,I439-('Parametros'!$B$7+'Parametros'!$B$9+'Parametros'!$B$12/2),I439-(ROUNDUP(S439/2,0)*('Parametros'!$B$7+'Parametros'!$B$9+'Parametros'!$B$12/2)+ROUNDDOWN(S439/2,0)*('Parametros'!$B$7+'Parametros'!$B$9+'Parametros'!$B$12/2+'Parametros'!$B$12+'Parametros'!$B$10))/S439)</f>
        <v>489.35</v>
      </c>
      <c r="V439" s="10">
        <f>S439*'Parametros'!$B$8</f>
        <v>995</v>
      </c>
      <c r="W439" s="10">
        <f>'Parametros'!$B$5*V439*'Parametros'!$B$3*(U439-(V439*'Parametros'!$B$3/(0.85*'Parametros'!$B$2*H439))/2)/1000000</f>
        <v>177.445379382353</v>
      </c>
      <c r="X439" s="10" t="str">
        <f>IF(W439&gt;=J439,"CUMPLE","NO CUMPLE")</f>
        <v>CUMPLE</v>
      </c>
      <c r="Y439" s="10">
        <f>MAX(MAX(1.4/'Parametros'!$B$3,0.25*SQRT('Parametros'!$B$2)/'Parametros'!$B$3)*H439*AB439,(0.85*'Parametros'!$B$2/'Parametros'!$B$3)*(1-SQRT(1-2*(L439*1000000/('Parametros'!$B$5*H439*AB439^2))/(0.85*'Parametros'!$B$2)))*H439*AB439)</f>
        <v>815.583333333333</v>
      </c>
      <c r="Z439" s="31" t="n">
        <v>5</v>
      </c>
      <c r="AA439" s="32" t="n">
        <v>1</v>
      </c>
      <c r="AB439" s="10">
        <f>IF(AA439=1,I439-('Parametros'!$B$7+'Parametros'!$B$9+'Parametros'!$B$12/2),I439-(ROUNDUP(Z439/2,0)*('Parametros'!$B$7+'Parametros'!$B$9+'Parametros'!$B$12/2)+ROUNDDOWN(Z439/2,0)*('Parametros'!$B$7+'Parametros'!$B$9+'Parametros'!$B$12/2+'Parametros'!$B$12+'Parametros'!$B$10))/Z439)</f>
        <v>489.35</v>
      </c>
      <c r="AC439" s="10">
        <f>Z439*'Parametros'!$B$8</f>
        <v>995</v>
      </c>
      <c r="AD439" s="10">
        <f>'Parametros'!$B$5*AC439*'Parametros'!$B$3*(AB439-(AC439*'Parametros'!$B$3/(0.85*'Parametros'!$B$2*H439))/2)/1000000</f>
        <v>177.445379382353</v>
      </c>
      <c r="AE439" s="10" t="str">
        <f>IF(AD439&gt;=L439,"CUMPLE","NO CUMPLE")</f>
        <v>CUMPLE</v>
      </c>
      <c r="AF439" s="10">
        <f>V439*1.25*'Parametros'!$B$3*(U439-(V439*1.25*'Parametros'!$B$3/(0.85*'Parametros'!$B$2*H439))/2)/1000000</f>
        <v>244.158843198529</v>
      </c>
      <c r="AG439" s="10">
        <f>AC439*1.25*'Parametros'!$B$3*(AB439-(AC439*1.25*'Parametros'!$B$3/(0.85*'Parametros'!$B$2*H439))/2)/1000000</f>
        <v>244.158843198529</v>
      </c>
      <c r="AH439" s="10">
        <f>N439+(AF439+AG439)/D439</f>
        <v>270.18864362449</v>
      </c>
      <c r="AI439" s="10">
        <f>MAX(O439,AH439)</f>
        <v>270.18864362449</v>
      </c>
      <c r="AJ439" s="10">
        <f>0.17*SQRT('Parametros'!$B$2)*H439*MIN(U439,AB439)/1000</f>
        <v>220.098728691808</v>
      </c>
      <c r="AK439" s="10">
        <f>MAX(AI439/'Parametros'!$B$6-AJ439,0)</f>
        <v>140.152796140846</v>
      </c>
      <c r="AL439" s="10">
        <f>0.66*SQRT('Parametros'!$B$2)*H439*MIN(U439,AB439)/1000</f>
        <v>854.500946685842</v>
      </c>
      <c r="AM439" s="10" t="str">
        <f>IF(AK439&lt;=AL439,"CUMPLE","NO CUMPLE")</f>
        <v>CUMPLE</v>
      </c>
      <c r="AN439" s="17" t="inlineStr">
        <is>
          <t>Nº3 cerrado</t>
        </is>
      </c>
      <c r="AO439" s="31" t="n">
        <v>2</v>
      </c>
      <c r="AP439" s="10">
        <f>ROUNDDOWN(MIN(IF(BC439+BD439=0,1000000000,AO439*BB439/(BC439+BD439)),MIN(U439,AB439)/4,8*'Parametros'!$B$12,24*BA439,300,IF(AV439=0,1000000000,2*((H439-2*('Parametros'!$B$7+'Parametros'!$B$9/2))+(I439-2*('Parametros'!$B$7+'Parametros'!$B$9/2)))/8))/10,0)*10</f>
        <v>100</v>
      </c>
      <c r="AQ439" s="10">
        <f>ROUNDDOWN(MIN(IF(BC439+BD439=0,1000000000,AO439*BB439/(BC439+BD439)),IF(AK439&gt;0.33*SQRT('Parametros'!$B$2)*H439*MIN(U439,AB439)/1000,MIN(U439,AB439)/4,MIN(U439,AB439)/2),600,IF(AV439=0,1000000000,2*((H439-2*('Parametros'!$B$7+'Parametros'!$B$9/2))+(I439-2*('Parametros'!$B$7+'Parametros'!$B$9/2)))/8))/10,0)*10</f>
        <v>100</v>
      </c>
      <c r="AR439" s="10">
        <f>'Parametros'!$B$6*(AJ439+MAX(BE439-BD439,0)*'Parametros'!$B$4*MIN(U439,AB439)/1000)</f>
        <v>285.396732143043</v>
      </c>
      <c r="AS439" s="10" t="str">
        <f>IF(AND(ISERROR(SEARCH("referencia",AN439)),AM439="CUMPLE",AR439&gt;=AI439),"CUMPLE","NO CUMPLE")</f>
        <v>CUMPLE</v>
      </c>
      <c r="AT439" s="10">
        <f>'Parametros'!$B$6*0.083*SQRT('Parametros'!$B$2)*(H439*I439)^2/(2*(H439+I439))/1000000</f>
        <v>11.862178757599</v>
      </c>
      <c r="AU439" s="10" t="str">
        <f>IF(Q439&lt;=AT439,"DESPRECIABLE","DISEÑAR")</f>
        <v>DISEÑAR</v>
      </c>
      <c r="AV439" s="10">
        <f>IF(Q439&lt;=AT439,0,Q439*1000000/('Parametros'!$B$6*2*0.85*(H439-2*('Parametros'!$B$7+'Parametros'!$B$9/2))*(I439-2*('Parametros'!$B$7+'Parametros'!$B$9/2))*'Parametros'!$B$4))</f>
        <v>0.319710044181747</v>
      </c>
      <c r="AW439" s="10">
        <f>AV439*2*((H439-2*('Parametros'!$B$7+'Parametros'!$B$9/2))+(I439-2*('Parametros'!$B$7+'Parametros'!$B$9/2)))*'Parametros'!$B$4/'Parametros'!$B$3</f>
        <v>552.842608399078</v>
      </c>
      <c r="AX439" s="31" t="n">
        <v>8</v>
      </c>
      <c r="AY439" s="10" t="str">
        <f>IF(AV439=0,"DESPRECIABLE",IF(AND(ISERROR(SEARCH("referencia",AN439)),BB439/AP439&gt;=AV439,BI439&gt;=AW439,BH439="CUMPLE"),"CUMPLE","NO CUMPLE"))</f>
        <v>CUMPLE</v>
      </c>
      <c r="AZ439" s="10" t="str">
        <f>IF(AND(X439="CUMPLE",AE439="CUMPLE",AS439="CUMPLE",OR(AY439="CUMPLE",AY439="DESPRECIABLE"),BH439="CUMPLE",BJ439="CUMPLE"),"CUMPLE","NO CUMPLE")</f>
        <v>CUMPLE</v>
      </c>
      <c r="BA439" s="32" t="n">
        <v>9.5</v>
      </c>
      <c r="BB439" s="32" t="n">
        <v>71</v>
      </c>
      <c r="BC439" s="10">
        <f>MAX(IF(AK439=0,0,AK439*1000/('Parametros'!$B$4*MIN(U439,AB439))),MAX(0.062*SQRT('Parametros'!$B$2)*H439/'Parametros'!$B$4,0.35*H439/'Parametros'!$B$4))</f>
        <v>0.681919145128601</v>
      </c>
      <c r="BD439" s="10">
        <f>2*AV439</f>
        <v>0.639420088363495</v>
      </c>
      <c r="BE439" s="10">
        <f>AO439*BB439/AP439</f>
        <v>1.42</v>
      </c>
      <c r="BF439" s="10">
        <f>SQRT((AI439*1000/(H439*MIN(U439,AB439)))^2+(Q439*1000000*2*((H439-2*('Parametros'!$B$7+'Parametros'!$B$9/2))+(I439-2*('Parametros'!$B$7+'Parametros'!$B$9/2)))/(1.7*((H439-2*('Parametros'!$B$7+'Parametros'!$B$9/2))*(I439-2*('Parametros'!$B$7+'Parametros'!$B$9/2)))^2))^2)</f>
        <v>1.44692386314176</v>
      </c>
      <c r="BG439" s="10">
        <f>'Parametros'!$B$6*(AJ439*1000/(H439*MIN(U439,AB439))+0.66*SQRT('Parametros'!$B$2))</f>
        <v>3.29396038227542</v>
      </c>
      <c r="BH439" s="10" t="str">
        <f>IF(BF439&lt;=BG439,"CUMPLE","NO CUMPLE")</f>
        <v>CUMPLE</v>
      </c>
      <c r="BI439" s="10">
        <f>AX439*'Parametros'!$B$8</f>
        <v>1592</v>
      </c>
      <c r="BJ439" s="10" t="str">
        <f>IF(BI439&gt;=AW439,"CUMPLE","NO CUMPLE")</f>
        <v>CUMPLE</v>
      </c>
    </row>
    <row r="440">
      <c r="A440" s="25" t="inlineStr">
        <is>
          <t>VR2</t>
        </is>
      </c>
      <c r="B440" s="25" t="inlineStr">
        <is>
          <t>865</t>
        </is>
      </c>
      <c r="C440" s="10" t="n">
        <v>1</v>
      </c>
      <c r="D440" s="10" t="n">
        <v>2</v>
      </c>
      <c r="E440" s="10" t="n">
        <v>2</v>
      </c>
      <c r="F440" s="10" t="n">
        <v>500</v>
      </c>
      <c r="G440" s="10" t="n">
        <v>550</v>
      </c>
      <c r="H440" s="17" t="n">
        <v>500</v>
      </c>
      <c r="I440" s="17" t="n">
        <v>550</v>
      </c>
      <c r="J440" s="30" t="n">
        <v>100.7303</v>
      </c>
      <c r="K440" s="10" t="inlineStr">
        <is>
          <t>865</t>
        </is>
      </c>
      <c r="L440" s="30" t="n">
        <v>54.5201</v>
      </c>
      <c r="M440" s="10" t="inlineStr">
        <is>
          <t>865</t>
        </is>
      </c>
      <c r="N440" s="30" t="n">
        <v>105.52</v>
      </c>
      <c r="O440" s="30" t="n">
        <v>324.387</v>
      </c>
      <c r="P440" s="10" t="inlineStr">
        <is>
          <t>865</t>
        </is>
      </c>
      <c r="Q440" s="30" t="n">
        <v>26.166</v>
      </c>
      <c r="R440" s="10">
        <f>MAX(MAX(1.4/'Parametros'!$B$3,0.25*SQRT('Parametros'!$B$2)/'Parametros'!$B$3)*H440*U440,(0.85*'Parametros'!$B$2/'Parametros'!$B$3)*(1-SQRT(1-2*(J440*1000000/('Parametros'!$B$5*H440*U440^2))/(0.85*'Parametros'!$B$2)))*H440*U440)</f>
        <v>815.583333333333</v>
      </c>
      <c r="S440" s="31" t="n">
        <v>5</v>
      </c>
      <c r="T440" s="32" t="n">
        <v>1</v>
      </c>
      <c r="U440" s="10">
        <f>IF(T440=1,I440-('Parametros'!$B$7+'Parametros'!$B$9+'Parametros'!$B$12/2),I440-(ROUNDUP(S440/2,0)*('Parametros'!$B$7+'Parametros'!$B$9+'Parametros'!$B$12/2)+ROUNDDOWN(S440/2,0)*('Parametros'!$B$7+'Parametros'!$B$9+'Parametros'!$B$12/2+'Parametros'!$B$12+'Parametros'!$B$10))/S440)</f>
        <v>489.35</v>
      </c>
      <c r="V440" s="10">
        <f>S440*'Parametros'!$B$8</f>
        <v>995</v>
      </c>
      <c r="W440" s="10">
        <f>'Parametros'!$B$5*V440*'Parametros'!$B$3*(U440-(V440*'Parametros'!$B$3/(0.85*'Parametros'!$B$2*H440))/2)/1000000</f>
        <v>177.445379382353</v>
      </c>
      <c r="X440" s="10" t="str">
        <f>IF(W440&gt;=J440,"CUMPLE","NO CUMPLE")</f>
        <v>CUMPLE</v>
      </c>
      <c r="Y440" s="10">
        <f>MAX(MAX(1.4/'Parametros'!$B$3,0.25*SQRT('Parametros'!$B$2)/'Parametros'!$B$3)*H440*AB440,(0.85*'Parametros'!$B$2/'Parametros'!$B$3)*(1-SQRT(1-2*(L440*1000000/('Parametros'!$B$5*H440*AB440^2))/(0.85*'Parametros'!$B$2)))*H440*AB440)</f>
        <v>815.583333333333</v>
      </c>
      <c r="Z440" s="31" t="n">
        <v>5</v>
      </c>
      <c r="AA440" s="32" t="n">
        <v>1</v>
      </c>
      <c r="AB440" s="10">
        <f>IF(AA440=1,I440-('Parametros'!$B$7+'Parametros'!$B$9+'Parametros'!$B$12/2),I440-(ROUNDUP(Z440/2,0)*('Parametros'!$B$7+'Parametros'!$B$9+'Parametros'!$B$12/2)+ROUNDDOWN(Z440/2,0)*('Parametros'!$B$7+'Parametros'!$B$9+'Parametros'!$B$12/2+'Parametros'!$B$12+'Parametros'!$B$10))/Z440)</f>
        <v>489.35</v>
      </c>
      <c r="AC440" s="10">
        <f>Z440*'Parametros'!$B$8</f>
        <v>995</v>
      </c>
      <c r="AD440" s="10">
        <f>'Parametros'!$B$5*AC440*'Parametros'!$B$3*(AB440-(AC440*'Parametros'!$B$3/(0.85*'Parametros'!$B$2*H440))/2)/1000000</f>
        <v>177.445379382353</v>
      </c>
      <c r="AE440" s="10" t="str">
        <f>IF(AD440&gt;=L440,"CUMPLE","NO CUMPLE")</f>
        <v>CUMPLE</v>
      </c>
      <c r="AF440" s="10">
        <f>V440*1.25*'Parametros'!$B$3*(U440-(V440*1.25*'Parametros'!$B$3/(0.85*'Parametros'!$B$2*H440))/2)/1000000</f>
        <v>244.158843198529</v>
      </c>
      <c r="AG440" s="10">
        <f>AC440*1.25*'Parametros'!$B$3*(AB440-(AC440*1.25*'Parametros'!$B$3/(0.85*'Parametros'!$B$2*H440))/2)/1000000</f>
        <v>244.158843198529</v>
      </c>
      <c r="AH440" s="10">
        <f>N440+(AF440+AG440)/D440</f>
        <v>349.678843198529</v>
      </c>
      <c r="AI440" s="10">
        <f>MAX(O440,AH440)</f>
        <v>349.678843198529</v>
      </c>
      <c r="AJ440" s="10">
        <f>0.17*SQRT('Parametros'!$B$2)*H440*MIN(U440,AB440)/1000</f>
        <v>220.098728691808</v>
      </c>
      <c r="AK440" s="10">
        <f>MAX(AI440/'Parametros'!$B$6-AJ440,0)</f>
        <v>246.139728906231</v>
      </c>
      <c r="AL440" s="10">
        <f>0.66*SQRT('Parametros'!$B$2)*H440*MIN(U440,AB440)/1000</f>
        <v>854.500946685842</v>
      </c>
      <c r="AM440" s="10" t="str">
        <f>IF(AK440&lt;=AL440,"CUMPLE","NO CUMPLE")</f>
        <v>CUMPLE</v>
      </c>
      <c r="AN440" s="17" t="inlineStr">
        <is>
          <t>Nº3 cerrado</t>
        </is>
      </c>
      <c r="AO440" s="31" t="n">
        <v>2</v>
      </c>
      <c r="AP440" s="10">
        <f>ROUNDDOWN(MIN(IF(BC440+BD440=0,1000000000,AO440*BB440/(BC440+BD440)),MIN(U440,AB440)/4,8*'Parametros'!$B$12,24*BA440,300,IF(AV440=0,1000000000,2*((H440-2*('Parametros'!$B$7+'Parametros'!$B$9/2))+(I440-2*('Parametros'!$B$7+'Parametros'!$B$9/2)))/8))/10,0)*10</f>
        <v>80</v>
      </c>
      <c r="AQ440" s="10">
        <f>ROUNDDOWN(MIN(IF(BC440+BD440=0,1000000000,AO440*BB440/(BC440+BD440)),IF(AK440&gt;0.33*SQRT('Parametros'!$B$2)*H440*MIN(U440,AB440)/1000,MIN(U440,AB440)/4,MIN(U440,AB440)/2),600,IF(AV440=0,1000000000,2*((H440-2*('Parametros'!$B$7+'Parametros'!$B$9/2))+(I440-2*('Parametros'!$B$7+'Parametros'!$B$9/2)))/8))/10,0)*10</f>
        <v>80</v>
      </c>
      <c r="AR440" s="10">
        <f>'Parametros'!$B$6*(AJ440+MAX(BE440-BD440,0)*'Parametros'!$B$4*MIN(U440,AB440)/1000)</f>
        <v>357.805357073451</v>
      </c>
      <c r="AS440" s="10" t="str">
        <f>IF(AND(ISERROR(SEARCH("referencia",AN440)),AM440="CUMPLE",AR440&gt;=AI440),"CUMPLE","NO CUMPLE")</f>
        <v>CUMPLE</v>
      </c>
      <c r="AT440" s="10">
        <f>'Parametros'!$B$6*0.083*SQRT('Parametros'!$B$2)*(H440*I440)^2/(2*(H440+I440))/1000000</f>
        <v>11.862178757599</v>
      </c>
      <c r="AU440" s="10" t="str">
        <f>IF(Q440&lt;=AT440,"DESPRECIABLE","DISEÑAR")</f>
        <v>DISEÑAR</v>
      </c>
      <c r="AV440" s="10">
        <f>IF(Q440&lt;=AT440,0,Q440*1000000/('Parametros'!$B$6*2*0.85*(H440-2*('Parametros'!$B$7+'Parametros'!$B$9/2))*(I440-2*('Parametros'!$B$7+'Parametros'!$B$9/2))*'Parametros'!$B$4))</f>
        <v>0.262338632541076</v>
      </c>
      <c r="AW440" s="10">
        <f>AV440*2*((H440-2*('Parametros'!$B$7+'Parametros'!$B$9/2))+(I440-2*('Parametros'!$B$7+'Parametros'!$B$9/2)))*'Parametros'!$B$4/'Parametros'!$B$3</f>
        <v>453.635963390029</v>
      </c>
      <c r="AX440" s="31" t="n">
        <v>8</v>
      </c>
      <c r="AY440" s="10" t="str">
        <f>IF(AV440=0,"DESPRECIABLE",IF(AND(ISERROR(SEARCH("referencia",AN440)),BB440/AP440&gt;=AV440,BI440&gt;=AW440,BH440="CUMPLE"),"CUMPLE","NO CUMPLE"))</f>
        <v>CUMPLE</v>
      </c>
      <c r="AZ440" s="10" t="str">
        <f>IF(AND(X440="CUMPLE",AE440="CUMPLE",AS440="CUMPLE",OR(AY440="CUMPLE",AY440="DESPRECIABLE"),BH440="CUMPLE",BJ440="CUMPLE"),"CUMPLE","NO CUMPLE")</f>
        <v>CUMPLE</v>
      </c>
      <c r="BA440" s="32" t="n">
        <v>9.5</v>
      </c>
      <c r="BB440" s="32" t="n">
        <v>71</v>
      </c>
      <c r="BC440" s="10">
        <f>MAX(IF(AK440=0,0,AK440*1000/('Parametros'!$B$4*MIN(U440,AB440))),MAX(0.062*SQRT('Parametros'!$B$2)*H440/'Parametros'!$B$4,0.35*H440/'Parametros'!$B$4))</f>
        <v>1.19760288870188</v>
      </c>
      <c r="BD440" s="10">
        <f>2*AV440</f>
        <v>0.524677265082153</v>
      </c>
      <c r="BE440" s="10">
        <f>AO440*BB440/AP440</f>
        <v>1.775</v>
      </c>
      <c r="BF440" s="10">
        <f>SQRT((AI440*1000/(H440*MIN(U440,AB440)))^2+(Q440*1000000*2*((H440-2*('Parametros'!$B$7+'Parametros'!$B$9/2))+(I440-2*('Parametros'!$B$7+'Parametros'!$B$9/2)))/(1.7*((H440-2*('Parametros'!$B$7+'Parametros'!$B$9/2))*(I440-2*('Parametros'!$B$7+'Parametros'!$B$9/2)))^2))^2)</f>
        <v>1.62205645131811</v>
      </c>
      <c r="BG440" s="10">
        <f>'Parametros'!$B$6*(AJ440*1000/(H440*MIN(U440,AB440))+0.66*SQRT('Parametros'!$B$2))</f>
        <v>3.29396038227542</v>
      </c>
      <c r="BH440" s="10" t="str">
        <f>IF(BF440&lt;=BG440,"CUMPLE","NO CUMPLE")</f>
        <v>CUMPLE</v>
      </c>
      <c r="BI440" s="10">
        <f>AX440*'Parametros'!$B$8</f>
        <v>1592</v>
      </c>
      <c r="BJ440" s="10" t="str">
        <f>IF(BI440&gt;=AW440,"CUMPLE","NO CUMPLE")</f>
        <v>CUMPLE</v>
      </c>
    </row>
    <row r="441">
      <c r="A441" s="25" t="inlineStr">
        <is>
          <t>VR2</t>
        </is>
      </c>
      <c r="B441" s="25" t="inlineStr">
        <is>
          <t>866</t>
        </is>
      </c>
      <c r="C441" s="10" t="n">
        <v>1</v>
      </c>
      <c r="D441" s="10" t="n">
        <v>1.9</v>
      </c>
      <c r="E441" s="10" t="n">
        <v>1.9</v>
      </c>
      <c r="F441" s="10" t="n">
        <v>500</v>
      </c>
      <c r="G441" s="10" t="n">
        <v>550</v>
      </c>
      <c r="H441" s="17" t="n">
        <v>500</v>
      </c>
      <c r="I441" s="17" t="n">
        <v>550</v>
      </c>
      <c r="J441" s="30" t="n">
        <v>93.34480000000001</v>
      </c>
      <c r="K441" s="10" t="inlineStr">
        <is>
          <t>866</t>
        </is>
      </c>
      <c r="L441" s="30" t="n">
        <v>56.6747</v>
      </c>
      <c r="M441" s="10" t="inlineStr">
        <is>
          <t>866</t>
        </is>
      </c>
      <c r="N441" s="30" t="n">
        <v>96.248</v>
      </c>
      <c r="O441" s="30" t="n">
        <v>273.651</v>
      </c>
      <c r="P441" s="10" t="inlineStr">
        <is>
          <t>866</t>
        </is>
      </c>
      <c r="Q441" s="30" t="n">
        <v>10.9145</v>
      </c>
      <c r="R441" s="10">
        <f>MAX(MAX(1.4/'Parametros'!$B$3,0.25*SQRT('Parametros'!$B$2)/'Parametros'!$B$3)*H441*U441,(0.85*'Parametros'!$B$2/'Parametros'!$B$3)*(1-SQRT(1-2*(J441*1000000/('Parametros'!$B$5*H441*U441^2))/(0.85*'Parametros'!$B$2)))*H441*U441)</f>
        <v>815.583333333333</v>
      </c>
      <c r="S441" s="31" t="n">
        <v>5</v>
      </c>
      <c r="T441" s="32" t="n">
        <v>1</v>
      </c>
      <c r="U441" s="10">
        <f>IF(T441=1,I441-('Parametros'!$B$7+'Parametros'!$B$9+'Parametros'!$B$12/2),I441-(ROUNDUP(S441/2,0)*('Parametros'!$B$7+'Parametros'!$B$9+'Parametros'!$B$12/2)+ROUNDDOWN(S441/2,0)*('Parametros'!$B$7+'Parametros'!$B$9+'Parametros'!$B$12/2+'Parametros'!$B$12+'Parametros'!$B$10))/S441)</f>
        <v>489.35</v>
      </c>
      <c r="V441" s="10">
        <f>S441*'Parametros'!$B$8</f>
        <v>995</v>
      </c>
      <c r="W441" s="10">
        <f>'Parametros'!$B$5*V441*'Parametros'!$B$3*(U441-(V441*'Parametros'!$B$3/(0.85*'Parametros'!$B$2*H441))/2)/1000000</f>
        <v>177.445379382353</v>
      </c>
      <c r="X441" s="10" t="str">
        <f>IF(W441&gt;=J441,"CUMPLE","NO CUMPLE")</f>
        <v>CUMPLE</v>
      </c>
      <c r="Y441" s="10">
        <f>MAX(MAX(1.4/'Parametros'!$B$3,0.25*SQRT('Parametros'!$B$2)/'Parametros'!$B$3)*H441*AB441,(0.85*'Parametros'!$B$2/'Parametros'!$B$3)*(1-SQRT(1-2*(L441*1000000/('Parametros'!$B$5*H441*AB441^2))/(0.85*'Parametros'!$B$2)))*H441*AB441)</f>
        <v>815.583333333333</v>
      </c>
      <c r="Z441" s="31" t="n">
        <v>5</v>
      </c>
      <c r="AA441" s="32" t="n">
        <v>1</v>
      </c>
      <c r="AB441" s="10">
        <f>IF(AA441=1,I441-('Parametros'!$B$7+'Parametros'!$B$9+'Parametros'!$B$12/2),I441-(ROUNDUP(Z441/2,0)*('Parametros'!$B$7+'Parametros'!$B$9+'Parametros'!$B$12/2)+ROUNDDOWN(Z441/2,0)*('Parametros'!$B$7+'Parametros'!$B$9+'Parametros'!$B$12/2+'Parametros'!$B$12+'Parametros'!$B$10))/Z441)</f>
        <v>489.35</v>
      </c>
      <c r="AC441" s="10">
        <f>Z441*'Parametros'!$B$8</f>
        <v>995</v>
      </c>
      <c r="AD441" s="10">
        <f>'Parametros'!$B$5*AC441*'Parametros'!$B$3*(AB441-(AC441*'Parametros'!$B$3/(0.85*'Parametros'!$B$2*H441))/2)/1000000</f>
        <v>177.445379382353</v>
      </c>
      <c r="AE441" s="10" t="str">
        <f>IF(AD441&gt;=L441,"CUMPLE","NO CUMPLE")</f>
        <v>CUMPLE</v>
      </c>
      <c r="AF441" s="10">
        <f>V441*1.25*'Parametros'!$B$3*(U441-(V441*1.25*'Parametros'!$B$3/(0.85*'Parametros'!$B$2*H441))/2)/1000000</f>
        <v>244.158843198529</v>
      </c>
      <c r="AG441" s="10">
        <f>AC441*1.25*'Parametros'!$B$3*(AB441-(AC441*1.25*'Parametros'!$B$3/(0.85*'Parametros'!$B$2*H441))/2)/1000000</f>
        <v>244.158843198529</v>
      </c>
      <c r="AH441" s="10">
        <f>N441+(AF441+AG441)/D441</f>
        <v>353.257308630031</v>
      </c>
      <c r="AI441" s="10">
        <f>MAX(O441,AH441)</f>
        <v>353.257308630031</v>
      </c>
      <c r="AJ441" s="10">
        <f>0.17*SQRT('Parametros'!$B$2)*H441*MIN(U441,AB441)/1000</f>
        <v>220.098728691808</v>
      </c>
      <c r="AK441" s="10">
        <f>MAX(AI441/'Parametros'!$B$6-AJ441,0)</f>
        <v>250.911016148234</v>
      </c>
      <c r="AL441" s="10">
        <f>0.66*SQRT('Parametros'!$B$2)*H441*MIN(U441,AB441)/1000</f>
        <v>854.500946685842</v>
      </c>
      <c r="AM441" s="10" t="str">
        <f>IF(AK441&lt;=AL441,"CUMPLE","NO CUMPLE")</f>
        <v>CUMPLE</v>
      </c>
      <c r="AN441" s="17" t="inlineStr">
        <is>
          <t>Nº3 cerrado</t>
        </is>
      </c>
      <c r="AO441" s="31" t="n">
        <v>2</v>
      </c>
      <c r="AP441" s="10">
        <f>ROUNDDOWN(MIN(IF(BC441+BD441=0,1000000000,AO441*BB441/(BC441+BD441)),MIN(U441,AB441)/4,8*'Parametros'!$B$12,24*BA441,300,IF(AV441=0,1000000000,2*((H441-2*('Parametros'!$B$7+'Parametros'!$B$9/2))+(I441-2*('Parametros'!$B$7+'Parametros'!$B$9/2)))/8))/10,0)*10</f>
        <v>110</v>
      </c>
      <c r="AQ441" s="10">
        <f>ROUNDDOWN(MIN(IF(BC441+BD441=0,1000000000,AO441*BB441/(BC441+BD441)),IF(AK441&gt;0.33*SQRT('Parametros'!$B$2)*H441*MIN(U441,AB441)/1000,MIN(U441,AB441)/4,MIN(U441,AB441)/2),600,IF(AV441=0,1000000000,2*((H441-2*('Parametros'!$B$7+'Parametros'!$B$9/2))+(I441-2*('Parametros'!$B$7+'Parametros'!$B$9/2)))/8))/10,0)*10</f>
        <v>110</v>
      </c>
      <c r="AR441" s="10">
        <f>'Parametros'!$B$6*(AJ441+MAX(BE441-BD441,0)*'Parametros'!$B$4*MIN(U441,AB441)/1000)</f>
        <v>364.06155106431</v>
      </c>
      <c r="AS441" s="10" t="str">
        <f>IF(AND(ISERROR(SEARCH("referencia",AN441)),AM441="CUMPLE",AR441&gt;=AI441),"CUMPLE","NO CUMPLE")</f>
        <v>CUMPLE</v>
      </c>
      <c r="AT441" s="10">
        <f>'Parametros'!$B$6*0.083*SQRT('Parametros'!$B$2)*(H441*I441)^2/(2*(H441+I441))/1000000</f>
        <v>11.862178757599</v>
      </c>
      <c r="AU441" s="10" t="str">
        <f>IF(Q441&lt;=AT441,"DESPRECIABLE","DISEÑAR")</f>
        <v>DESPRECIABLE</v>
      </c>
      <c r="AV441" s="10">
        <f>IF(Q441&lt;=AT441,0,Q441*1000000/('Parametros'!$B$6*2*0.85*(H441-2*('Parametros'!$B$7+'Parametros'!$B$9/2))*(I441-2*('Parametros'!$B$7+'Parametros'!$B$9/2))*'Parametros'!$B$4))</f>
        <v>0</v>
      </c>
      <c r="AW441" s="10">
        <f>AV441*2*((H441-2*('Parametros'!$B$7+'Parametros'!$B$9/2))+(I441-2*('Parametros'!$B$7+'Parametros'!$B$9/2)))*'Parametros'!$B$4/'Parametros'!$B$3</f>
        <v>0</v>
      </c>
      <c r="AX441" s="31" t="n">
        <v>0</v>
      </c>
      <c r="AY441" s="10" t="str">
        <f>IF(AV441=0,"DESPRECIABLE",IF(AND(ISERROR(SEARCH("referencia",AN441)),BB441/AP441&gt;=AV441,BI441&gt;=AW441,BH441="CUMPLE"),"CUMPLE","NO CUMPLE"))</f>
        <v>DESPRECIABLE</v>
      </c>
      <c r="AZ441" s="10" t="str">
        <f>IF(AND(X441="CUMPLE",AE441="CUMPLE",AS441="CUMPLE",OR(AY441="CUMPLE",AY441="DESPRECIABLE"),BH441="CUMPLE",BJ441="CUMPLE"),"CUMPLE","NO CUMPLE")</f>
        <v>CUMPLE</v>
      </c>
      <c r="BA441" s="32" t="n">
        <v>9.5</v>
      </c>
      <c r="BB441" s="32" t="n">
        <v>71</v>
      </c>
      <c r="BC441" s="10">
        <f>MAX(IF(AK441=0,0,AK441*1000/('Parametros'!$B$4*MIN(U441,AB441))),MAX(0.062*SQRT('Parametros'!$B$2)*H441/'Parametros'!$B$4,0.35*H441/'Parametros'!$B$4))</f>
        <v>1.22081778135346</v>
      </c>
      <c r="BD441" s="10">
        <f>2*AV441</f>
        <v>0</v>
      </c>
      <c r="BE441" s="10">
        <f>AO441*BB441/AP441</f>
        <v>1.29090909090909</v>
      </c>
      <c r="BF441" s="10">
        <f>SQRT((AI441*1000/(H441*MIN(U441,AB441)))^2+(Q441*1000000*2*((H441-2*('Parametros'!$B$7+'Parametros'!$B$9/2))+(I441-2*('Parametros'!$B$7+'Parametros'!$B$9/2)))/(1.7*((H441-2*('Parametros'!$B$7+'Parametros'!$B$9/2))*(I441-2*('Parametros'!$B$7+'Parametros'!$B$9/2)))^2))^2)</f>
        <v>1.47882209329112</v>
      </c>
      <c r="BG441" s="10">
        <f>'Parametros'!$B$6*(AJ441*1000/(H441*MIN(U441,AB441))+0.66*SQRT('Parametros'!$B$2))</f>
        <v>3.29396038227542</v>
      </c>
      <c r="BH441" s="10" t="str">
        <f>IF(BF441&lt;=BG441,"CUMPLE","NO CUMPLE")</f>
        <v>CUMPLE</v>
      </c>
      <c r="BI441" s="10">
        <f>AX441*'Parametros'!$B$8</f>
        <v>0</v>
      </c>
      <c r="BJ441" s="10" t="str">
        <f>IF(BI441&gt;=AW441,"CUMPLE","NO CUMPLE")</f>
        <v>CUMPLE</v>
      </c>
    </row>
    <row r="442">
      <c r="A442" s="25" t="inlineStr">
        <is>
          <t>VR2</t>
        </is>
      </c>
      <c r="B442" s="25" t="inlineStr">
        <is>
          <t>867</t>
        </is>
      </c>
      <c r="C442" s="10" t="n">
        <v>1</v>
      </c>
      <c r="D442" s="10" t="n">
        <v>3.57612</v>
      </c>
      <c r="E442" s="10" t="n">
        <v>3.57612</v>
      </c>
      <c r="F442" s="10" t="n">
        <v>500</v>
      </c>
      <c r="G442" s="10" t="n">
        <v>550</v>
      </c>
      <c r="H442" s="17" t="n">
        <v>500</v>
      </c>
      <c r="I442" s="17" t="n">
        <v>550</v>
      </c>
      <c r="J442" s="30" t="n">
        <v>120.0847</v>
      </c>
      <c r="K442" s="10" t="inlineStr">
        <is>
          <t>867</t>
        </is>
      </c>
      <c r="L442" s="30" t="n">
        <v>55.1272</v>
      </c>
      <c r="M442" s="10" t="inlineStr">
        <is>
          <t>867</t>
        </is>
      </c>
      <c r="N442" s="30" t="n">
        <v>101.735</v>
      </c>
      <c r="O442" s="30" t="n">
        <v>245.78</v>
      </c>
      <c r="P442" s="10" t="inlineStr">
        <is>
          <t>867</t>
        </is>
      </c>
      <c r="Q442" s="30" t="n">
        <v>5.178</v>
      </c>
      <c r="R442" s="10">
        <f>MAX(MAX(1.4/'Parametros'!$B$3,0.25*SQRT('Parametros'!$B$2)/'Parametros'!$B$3)*H442*U442,(0.85*'Parametros'!$B$2/'Parametros'!$B$3)*(1-SQRT(1-2*(J442*1000000/('Parametros'!$B$5*H442*U442^2))/(0.85*'Parametros'!$B$2)))*H442*U442)</f>
        <v>815.583333333333</v>
      </c>
      <c r="S442" s="31" t="n">
        <v>5</v>
      </c>
      <c r="T442" s="32" t="n">
        <v>1</v>
      </c>
      <c r="U442" s="10">
        <f>IF(T442=1,I442-('Parametros'!$B$7+'Parametros'!$B$9+'Parametros'!$B$12/2),I442-(ROUNDUP(S442/2,0)*('Parametros'!$B$7+'Parametros'!$B$9+'Parametros'!$B$12/2)+ROUNDDOWN(S442/2,0)*('Parametros'!$B$7+'Parametros'!$B$9+'Parametros'!$B$12/2+'Parametros'!$B$12+'Parametros'!$B$10))/S442)</f>
        <v>489.35</v>
      </c>
      <c r="V442" s="10">
        <f>S442*'Parametros'!$B$8</f>
        <v>995</v>
      </c>
      <c r="W442" s="10">
        <f>'Parametros'!$B$5*V442*'Parametros'!$B$3*(U442-(V442*'Parametros'!$B$3/(0.85*'Parametros'!$B$2*H442))/2)/1000000</f>
        <v>177.445379382353</v>
      </c>
      <c r="X442" s="10" t="str">
        <f>IF(W442&gt;=J442,"CUMPLE","NO CUMPLE")</f>
        <v>CUMPLE</v>
      </c>
      <c r="Y442" s="10">
        <f>MAX(MAX(1.4/'Parametros'!$B$3,0.25*SQRT('Parametros'!$B$2)/'Parametros'!$B$3)*H442*AB442,(0.85*'Parametros'!$B$2/'Parametros'!$B$3)*(1-SQRT(1-2*(L442*1000000/('Parametros'!$B$5*H442*AB442^2))/(0.85*'Parametros'!$B$2)))*H442*AB442)</f>
        <v>815.583333333333</v>
      </c>
      <c r="Z442" s="31" t="n">
        <v>5</v>
      </c>
      <c r="AA442" s="32" t="n">
        <v>1</v>
      </c>
      <c r="AB442" s="10">
        <f>IF(AA442=1,I442-('Parametros'!$B$7+'Parametros'!$B$9+'Parametros'!$B$12/2),I442-(ROUNDUP(Z442/2,0)*('Parametros'!$B$7+'Parametros'!$B$9+'Parametros'!$B$12/2)+ROUNDDOWN(Z442/2,0)*('Parametros'!$B$7+'Parametros'!$B$9+'Parametros'!$B$12/2+'Parametros'!$B$12+'Parametros'!$B$10))/Z442)</f>
        <v>489.35</v>
      </c>
      <c r="AC442" s="10">
        <f>Z442*'Parametros'!$B$8</f>
        <v>995</v>
      </c>
      <c r="AD442" s="10">
        <f>'Parametros'!$B$5*AC442*'Parametros'!$B$3*(AB442-(AC442*'Parametros'!$B$3/(0.85*'Parametros'!$B$2*H442))/2)/1000000</f>
        <v>177.445379382353</v>
      </c>
      <c r="AE442" s="10" t="str">
        <f>IF(AD442&gt;=L442,"CUMPLE","NO CUMPLE")</f>
        <v>CUMPLE</v>
      </c>
      <c r="AF442" s="10">
        <f>V442*1.25*'Parametros'!$B$3*(U442-(V442*1.25*'Parametros'!$B$3/(0.85*'Parametros'!$B$2*H442))/2)/1000000</f>
        <v>244.158843198529</v>
      </c>
      <c r="AG442" s="10">
        <f>AC442*1.25*'Parametros'!$B$3*(AB442-(AC442*1.25*'Parametros'!$B$3/(0.85*'Parametros'!$B$2*H442))/2)/1000000</f>
        <v>244.158843198529</v>
      </c>
      <c r="AH442" s="10">
        <f>N442+(AF442+AG442)/D442</f>
        <v>238.284580662019</v>
      </c>
      <c r="AI442" s="10">
        <f>MAX(O442,AH442)</f>
        <v>245.78</v>
      </c>
      <c r="AJ442" s="10">
        <f>0.17*SQRT('Parametros'!$B$2)*H442*MIN(U442,AB442)/1000</f>
        <v>220.098728691808</v>
      </c>
      <c r="AK442" s="10">
        <f>MAX(AI442/'Parametros'!$B$6-AJ442,0)</f>
        <v>107.607937974859</v>
      </c>
      <c r="AL442" s="10">
        <f>0.66*SQRT('Parametros'!$B$2)*H442*MIN(U442,AB442)/1000</f>
        <v>854.500946685842</v>
      </c>
      <c r="AM442" s="10" t="str">
        <f>IF(AK442&lt;=AL442,"CUMPLE","NO CUMPLE")</f>
        <v>CUMPLE</v>
      </c>
      <c r="AN442" s="17" t="inlineStr">
        <is>
          <t>Nº3 cerrado</t>
        </is>
      </c>
      <c r="AO442" s="31" t="n">
        <v>2</v>
      </c>
      <c r="AP442" s="10">
        <f>ROUNDDOWN(MIN(IF(BC442+BD442=0,1000000000,AO442*BB442/(BC442+BD442)),MIN(U442,AB442)/4,8*'Parametros'!$B$12,24*BA442,300,IF(AV442=0,1000000000,2*((H442-2*('Parametros'!$B$7+'Parametros'!$B$9/2))+(I442-2*('Parametros'!$B$7+'Parametros'!$B$9/2)))/8))/10,0)*10</f>
        <v>120</v>
      </c>
      <c r="AQ442" s="10">
        <f>ROUNDDOWN(MIN(IF(BC442+BD442=0,1000000000,AO442*BB442/(BC442+BD442)),IF(AK442&gt;0.33*SQRT('Parametros'!$B$2)*H442*MIN(U442,AB442)/1000,MIN(U442,AB442)/4,MIN(U442,AB442)/2),600,IF(AV442=0,1000000000,2*((H442-2*('Parametros'!$B$7+'Parametros'!$B$9/2))+(I442-2*('Parametros'!$B$7+'Parametros'!$B$9/2)))/8))/10,0)*10</f>
        <v>240</v>
      </c>
      <c r="AR442" s="10">
        <f>'Parametros'!$B$6*(AJ442+MAX(BE442-BD442,0)*'Parametros'!$B$4*MIN(U442,AB442)/1000)</f>
        <v>347.479259018856</v>
      </c>
      <c r="AS442" s="10" t="str">
        <f>IF(AND(ISERROR(SEARCH("referencia",AN442)),AM442="CUMPLE",AR442&gt;=AI442),"CUMPLE","NO CUMPLE")</f>
        <v>CUMPLE</v>
      </c>
      <c r="AT442" s="10">
        <f>'Parametros'!$B$6*0.083*SQRT('Parametros'!$B$2)*(H442*I442)^2/(2*(H442+I442))/1000000</f>
        <v>11.862178757599</v>
      </c>
      <c r="AU442" s="10" t="str">
        <f>IF(Q442&lt;=AT442,"DESPRECIABLE","DISEÑAR")</f>
        <v>DESPRECIABLE</v>
      </c>
      <c r="AV442" s="10">
        <f>IF(Q442&lt;=AT442,0,Q442*1000000/('Parametros'!$B$6*2*0.85*(H442-2*('Parametros'!$B$7+'Parametros'!$B$9/2))*(I442-2*('Parametros'!$B$7+'Parametros'!$B$9/2))*'Parametros'!$B$4))</f>
        <v>0</v>
      </c>
      <c r="AW442" s="10">
        <f>AV442*2*((H442-2*('Parametros'!$B$7+'Parametros'!$B$9/2))+(I442-2*('Parametros'!$B$7+'Parametros'!$B$9/2)))*'Parametros'!$B$4/'Parametros'!$B$3</f>
        <v>0</v>
      </c>
      <c r="AX442" s="31" t="n">
        <v>0</v>
      </c>
      <c r="AY442" s="10" t="str">
        <f>IF(AV442=0,"DESPRECIABLE",IF(AND(ISERROR(SEARCH("referencia",AN442)),BB442/AP442&gt;=AV442,BI442&gt;=AW442,BH442="CUMPLE"),"CUMPLE","NO CUMPLE"))</f>
        <v>DESPRECIABLE</v>
      </c>
      <c r="AZ442" s="10" t="str">
        <f>IF(AND(X442="CUMPLE",AE442="CUMPLE",AS442="CUMPLE",OR(AY442="CUMPLE",AY442="DESPRECIABLE"),BH442="CUMPLE",BJ442="CUMPLE"),"CUMPLE","NO CUMPLE")</f>
        <v>CUMPLE</v>
      </c>
      <c r="BA442" s="32" t="n">
        <v>9.5</v>
      </c>
      <c r="BB442" s="32" t="n">
        <v>71</v>
      </c>
      <c r="BC442" s="10">
        <f>MAX(IF(AK442=0,0,AK442*1000/('Parametros'!$B$4*MIN(U442,AB442))),MAX(0.062*SQRT('Parametros'!$B$2)*H442/'Parametros'!$B$4,0.35*H442/'Parametros'!$B$4))</f>
        <v>0.523570810525424</v>
      </c>
      <c r="BD442" s="10">
        <f>2*AV442</f>
        <v>0</v>
      </c>
      <c r="BE442" s="10">
        <f>AO442*BB442/AP442</f>
        <v>1.18333333333333</v>
      </c>
      <c r="BF442" s="10">
        <f>SQRT((AI442*1000/(H442*MIN(U442,AB442)))^2+(Q442*1000000*2*((H442-2*('Parametros'!$B$7+'Parametros'!$B$9/2))+(I442-2*('Parametros'!$B$7+'Parametros'!$B$9/2)))/(1.7*((H442-2*('Parametros'!$B$7+'Parametros'!$B$9/2))*(I442-2*('Parametros'!$B$7+'Parametros'!$B$9/2)))^2))^2)</f>
        <v>1.01592416107532</v>
      </c>
      <c r="BG442" s="10">
        <f>'Parametros'!$B$6*(AJ442*1000/(H442*MIN(U442,AB442))+0.66*SQRT('Parametros'!$B$2))</f>
        <v>3.29396038227542</v>
      </c>
      <c r="BH442" s="10" t="str">
        <f>IF(BF442&lt;=BG442,"CUMPLE","NO CUMPLE")</f>
        <v>CUMPLE</v>
      </c>
      <c r="BI442" s="10">
        <f>AX442*'Parametros'!$B$8</f>
        <v>0</v>
      </c>
      <c r="BJ442" s="10" t="str">
        <f>IF(BI442&gt;=AW442,"CUMPLE","NO CUMPLE")</f>
        <v>CUMPLE</v>
      </c>
    </row>
    <row r="443">
      <c r="A443" s="25" t="inlineStr">
        <is>
          <t>VR2</t>
        </is>
      </c>
      <c r="B443" s="25" t="inlineStr">
        <is>
          <t>868</t>
        </is>
      </c>
      <c r="C443" s="10" t="n">
        <v>1</v>
      </c>
      <c r="D443" s="10" t="n">
        <v>2.1</v>
      </c>
      <c r="E443" s="10" t="n">
        <v>2.1</v>
      </c>
      <c r="F443" s="10" t="n">
        <v>500</v>
      </c>
      <c r="G443" s="10" t="n">
        <v>550</v>
      </c>
      <c r="H443" s="17" t="n">
        <v>500</v>
      </c>
      <c r="I443" s="17" t="n">
        <v>550</v>
      </c>
      <c r="J443" s="30" t="n">
        <v>147.8323</v>
      </c>
      <c r="K443" s="10" t="inlineStr">
        <is>
          <t>868</t>
        </is>
      </c>
      <c r="L443" s="30" t="n">
        <v>102.9036</v>
      </c>
      <c r="M443" s="10" t="inlineStr">
        <is>
          <t>868</t>
        </is>
      </c>
      <c r="N443" s="30" t="n">
        <v>134.442</v>
      </c>
      <c r="O443" s="30" t="n">
        <v>335.386</v>
      </c>
      <c r="P443" s="10" t="inlineStr">
        <is>
          <t>868</t>
        </is>
      </c>
      <c r="Q443" s="30" t="n">
        <v>31.6046</v>
      </c>
      <c r="R443" s="10">
        <f>MAX(MAX(1.4/'Parametros'!$B$3,0.25*SQRT('Parametros'!$B$2)/'Parametros'!$B$3)*H443*U443,(0.85*'Parametros'!$B$2/'Parametros'!$B$3)*(1-SQRT(1-2*(J443*1000000/('Parametros'!$B$5*H443*U443^2))/(0.85*'Parametros'!$B$2)))*H443*U443)</f>
        <v>823.67034847929</v>
      </c>
      <c r="S443" s="31" t="n">
        <v>5</v>
      </c>
      <c r="T443" s="32" t="n">
        <v>1</v>
      </c>
      <c r="U443" s="10">
        <f>IF(T443=1,I443-('Parametros'!$B$7+'Parametros'!$B$9+'Parametros'!$B$12/2),I443-(ROUNDUP(S443/2,0)*('Parametros'!$B$7+'Parametros'!$B$9+'Parametros'!$B$12/2)+ROUNDDOWN(S443/2,0)*('Parametros'!$B$7+'Parametros'!$B$9+'Parametros'!$B$12/2+'Parametros'!$B$12+'Parametros'!$B$10))/S443)</f>
        <v>489.35</v>
      </c>
      <c r="V443" s="10">
        <f>S443*'Parametros'!$B$8</f>
        <v>995</v>
      </c>
      <c r="W443" s="10">
        <f>'Parametros'!$B$5*V443*'Parametros'!$B$3*(U443-(V443*'Parametros'!$B$3/(0.85*'Parametros'!$B$2*H443))/2)/1000000</f>
        <v>177.445379382353</v>
      </c>
      <c r="X443" s="10" t="str">
        <f>IF(W443&gt;=J443,"CUMPLE","NO CUMPLE")</f>
        <v>CUMPLE</v>
      </c>
      <c r="Y443" s="10">
        <f>MAX(MAX(1.4/'Parametros'!$B$3,0.25*SQRT('Parametros'!$B$2)/'Parametros'!$B$3)*H443*AB443,(0.85*'Parametros'!$B$2/'Parametros'!$B$3)*(1-SQRT(1-2*(L443*1000000/('Parametros'!$B$5*H443*AB443^2))/(0.85*'Parametros'!$B$2)))*H443*AB443)</f>
        <v>815.583333333333</v>
      </c>
      <c r="Z443" s="31" t="n">
        <v>5</v>
      </c>
      <c r="AA443" s="32" t="n">
        <v>1</v>
      </c>
      <c r="AB443" s="10">
        <f>IF(AA443=1,I443-('Parametros'!$B$7+'Parametros'!$B$9+'Parametros'!$B$12/2),I443-(ROUNDUP(Z443/2,0)*('Parametros'!$B$7+'Parametros'!$B$9+'Parametros'!$B$12/2)+ROUNDDOWN(Z443/2,0)*('Parametros'!$B$7+'Parametros'!$B$9+'Parametros'!$B$12/2+'Parametros'!$B$12+'Parametros'!$B$10))/Z443)</f>
        <v>489.35</v>
      </c>
      <c r="AC443" s="10">
        <f>Z443*'Parametros'!$B$8</f>
        <v>995</v>
      </c>
      <c r="AD443" s="10">
        <f>'Parametros'!$B$5*AC443*'Parametros'!$B$3*(AB443-(AC443*'Parametros'!$B$3/(0.85*'Parametros'!$B$2*H443))/2)/1000000</f>
        <v>177.445379382353</v>
      </c>
      <c r="AE443" s="10" t="str">
        <f>IF(AD443&gt;=L443,"CUMPLE","NO CUMPLE")</f>
        <v>CUMPLE</v>
      </c>
      <c r="AF443" s="10">
        <f>V443*1.25*'Parametros'!$B$3*(U443-(V443*1.25*'Parametros'!$B$3/(0.85*'Parametros'!$B$2*H443))/2)/1000000</f>
        <v>244.158843198529</v>
      </c>
      <c r="AG443" s="10">
        <f>AC443*1.25*'Parametros'!$B$3*(AB443-(AC443*1.25*'Parametros'!$B$3/(0.85*'Parametros'!$B$2*H443))/2)/1000000</f>
        <v>244.158843198529</v>
      </c>
      <c r="AH443" s="10">
        <f>N443+(AF443+AG443)/D443</f>
        <v>366.974231617647</v>
      </c>
      <c r="AI443" s="10">
        <f>MAX(O443,AH443)</f>
        <v>366.974231617647</v>
      </c>
      <c r="AJ443" s="10">
        <f>0.17*SQRT('Parametros'!$B$2)*H443*MIN(U443,AB443)/1000</f>
        <v>220.098728691808</v>
      </c>
      <c r="AK443" s="10">
        <f>MAX(AI443/'Parametros'!$B$6-AJ443,0)</f>
        <v>269.200246798388</v>
      </c>
      <c r="AL443" s="10">
        <f>0.66*SQRT('Parametros'!$B$2)*H443*MIN(U443,AB443)/1000</f>
        <v>854.500946685842</v>
      </c>
      <c r="AM443" s="10" t="str">
        <f>IF(AK443&lt;=AL443,"CUMPLE","NO CUMPLE")</f>
        <v>CUMPLE</v>
      </c>
      <c r="AN443" s="17" t="inlineStr">
        <is>
          <t>Nº4 cerrado</t>
        </is>
      </c>
      <c r="AO443" s="31" t="n">
        <v>2</v>
      </c>
      <c r="AP443" s="10">
        <f>ROUNDDOWN(MIN(IF(BC443+BD443=0,1000000000,AO443*BB443/(BC443+BD443)),MIN(U443,AB443)/4,8*'Parametros'!$B$12,24*BA443,300,IF(AV443=0,1000000000,2*((H443-2*('Parametros'!$B$7+'Parametros'!$B$9/2))+(I443-2*('Parametros'!$B$7+'Parametros'!$B$9/2)))/8))/10,0)*10</f>
        <v>120</v>
      </c>
      <c r="AQ443" s="10">
        <f>ROUNDDOWN(MIN(IF(BC443+BD443=0,1000000000,AO443*BB443/(BC443+BD443)),IF(AK443&gt;0.33*SQRT('Parametros'!$B$2)*H443*MIN(U443,AB443)/1000,MIN(U443,AB443)/4,MIN(U443,AB443)/2),600,IF(AV443=0,1000000000,2*((H443-2*('Parametros'!$B$7+'Parametros'!$B$9/2))+(I443-2*('Parametros'!$B$7+'Parametros'!$B$9/2)))/8))/10,0)*10</f>
        <v>130</v>
      </c>
      <c r="AR443" s="10">
        <f>'Parametros'!$B$6*(AJ443+MAX(BE443-BD443,0)*'Parametros'!$B$4*MIN(U443,AB443)/1000)</f>
        <v>398.799653176828</v>
      </c>
      <c r="AS443" s="10" t="str">
        <f>IF(AND(ISERROR(SEARCH("referencia",AN443)),AM443="CUMPLE",AR443&gt;=AI443),"CUMPLE","NO CUMPLE")</f>
        <v>CUMPLE</v>
      </c>
      <c r="AT443" s="10">
        <f>'Parametros'!$B$6*0.083*SQRT('Parametros'!$B$2)*(H443*I443)^2/(2*(H443+I443))/1000000</f>
        <v>11.862178757599</v>
      </c>
      <c r="AU443" s="10" t="str">
        <f>IF(Q443&lt;=AT443,"DESPRECIABLE","DISEÑAR")</f>
        <v>DISEÑAR</v>
      </c>
      <c r="AV443" s="10">
        <f>IF(Q443&lt;=AT443,0,Q443*1000000/('Parametros'!$B$6*2*0.85*(H443-2*('Parametros'!$B$7+'Parametros'!$B$9/2))*(I443-2*('Parametros'!$B$7+'Parametros'!$B$9/2))*'Parametros'!$B$4))</f>
        <v>0.316865686234338</v>
      </c>
      <c r="AW443" s="10">
        <f>AV443*2*((H443-2*('Parametros'!$B$7+'Parametros'!$B$9/2))+(I443-2*('Parametros'!$B$7+'Parametros'!$B$9/2)))*'Parametros'!$B$4/'Parametros'!$B$3</f>
        <v>547.924144636418</v>
      </c>
      <c r="AX443" s="31" t="n">
        <v>8</v>
      </c>
      <c r="AY443" s="10" t="str">
        <f>IF(AV443=0,"DESPRECIABLE",IF(AND(ISERROR(SEARCH("referencia",AN443)),BB443/AP443&gt;=AV443,BI443&gt;=AW443,BH443="CUMPLE"),"CUMPLE","NO CUMPLE"))</f>
        <v>CUMPLE</v>
      </c>
      <c r="AZ443" s="10" t="str">
        <f>IF(AND(X443="CUMPLE",AE443="CUMPLE",AS443="CUMPLE",OR(AY443="CUMPLE",AY443="DESPRECIABLE"),BH443="CUMPLE",BJ443="CUMPLE"),"CUMPLE","NO CUMPLE")</f>
        <v>CUMPLE</v>
      </c>
      <c r="BA443" s="32" t="n">
        <v>12.7</v>
      </c>
      <c r="BB443" s="32" t="n">
        <v>129</v>
      </c>
      <c r="BC443" s="10">
        <f>MAX(IF(AK443=0,0,AK443*1000/('Parametros'!$B$4*MIN(U443,AB443))),MAX(0.062*SQRT('Parametros'!$B$2)*H443/'Parametros'!$B$4,0.35*H443/'Parametros'!$B$4))</f>
        <v>1.30980477892631</v>
      </c>
      <c r="BD443" s="10">
        <f>2*AV443</f>
        <v>0.633731372468677</v>
      </c>
      <c r="BE443" s="10">
        <f>AO443*BB443/AP443</f>
        <v>2.15</v>
      </c>
      <c r="BF443" s="10">
        <f>SQRT((AI443*1000/(H443*MIN(U443,AB443)))^2+(Q443*1000000*2*((H443-2*('Parametros'!$B$7+'Parametros'!$B$9/2))+(I443-2*('Parametros'!$B$7+'Parametros'!$B$9/2)))/(1.7*((H443-2*('Parametros'!$B$7+'Parametros'!$B$9/2))*(I443-2*('Parametros'!$B$7+'Parametros'!$B$9/2)))^2))^2)</f>
        <v>1.76301152870279</v>
      </c>
      <c r="BG443" s="10">
        <f>'Parametros'!$B$6*(AJ443*1000/(H443*MIN(U443,AB443))+0.66*SQRT('Parametros'!$B$2))</f>
        <v>3.29396038227542</v>
      </c>
      <c r="BH443" s="10" t="str">
        <f>IF(BF443&lt;=BG443,"CUMPLE","NO CUMPLE")</f>
        <v>CUMPLE</v>
      </c>
      <c r="BI443" s="10">
        <f>AX443*'Parametros'!$B$8</f>
        <v>1592</v>
      </c>
      <c r="BJ443" s="10" t="str">
        <f>IF(BI443&gt;=AW443,"CUMPLE","NO CUMPLE")</f>
        <v>CUMPLE</v>
      </c>
    </row>
    <row r="444">
      <c r="A444" s="25" t="inlineStr">
        <is>
          <t>VR2</t>
        </is>
      </c>
      <c r="B444" s="25" t="inlineStr">
        <is>
          <t>869</t>
        </is>
      </c>
      <c r="C444" s="10" t="n">
        <v>1</v>
      </c>
      <c r="D444" s="10" t="n">
        <v>2.2</v>
      </c>
      <c r="E444" s="10" t="n">
        <v>2.2</v>
      </c>
      <c r="F444" s="10" t="n">
        <v>500</v>
      </c>
      <c r="G444" s="10" t="n">
        <v>550</v>
      </c>
      <c r="H444" s="17" t="n">
        <v>500</v>
      </c>
      <c r="I444" s="17" t="n">
        <v>550</v>
      </c>
      <c r="J444" s="30" t="n">
        <v>149.5477</v>
      </c>
      <c r="K444" s="10" t="inlineStr">
        <is>
          <t>869</t>
        </is>
      </c>
      <c r="L444" s="30" t="n">
        <v>102.2424</v>
      </c>
      <c r="M444" s="10" t="inlineStr">
        <is>
          <t>869</t>
        </is>
      </c>
      <c r="N444" s="30" t="n">
        <v>133.042</v>
      </c>
      <c r="O444" s="30" t="n">
        <v>331.429</v>
      </c>
      <c r="P444" s="10" t="inlineStr">
        <is>
          <t>869</t>
        </is>
      </c>
      <c r="Q444" s="30" t="n">
        <v>30.5604</v>
      </c>
      <c r="R444" s="10">
        <f>MAX(MAX(1.4/'Parametros'!$B$3,0.25*SQRT('Parametros'!$B$2)/'Parametros'!$B$3)*H444*U444,(0.85*'Parametros'!$B$2/'Parametros'!$B$3)*(1-SQRT(1-2*(J444*1000000/('Parametros'!$B$5*H444*U444^2))/(0.85*'Parametros'!$B$2)))*H444*U444)</f>
        <v>833.533516690718</v>
      </c>
      <c r="S444" s="31" t="n">
        <v>5</v>
      </c>
      <c r="T444" s="32" t="n">
        <v>1</v>
      </c>
      <c r="U444" s="10">
        <f>IF(T444=1,I444-('Parametros'!$B$7+'Parametros'!$B$9+'Parametros'!$B$12/2),I444-(ROUNDUP(S444/2,0)*('Parametros'!$B$7+'Parametros'!$B$9+'Parametros'!$B$12/2)+ROUNDDOWN(S444/2,0)*('Parametros'!$B$7+'Parametros'!$B$9+'Parametros'!$B$12/2+'Parametros'!$B$12+'Parametros'!$B$10))/S444)</f>
        <v>489.35</v>
      </c>
      <c r="V444" s="10">
        <f>S444*'Parametros'!$B$8</f>
        <v>995</v>
      </c>
      <c r="W444" s="10">
        <f>'Parametros'!$B$5*V444*'Parametros'!$B$3*(U444-(V444*'Parametros'!$B$3/(0.85*'Parametros'!$B$2*H444))/2)/1000000</f>
        <v>177.445379382353</v>
      </c>
      <c r="X444" s="10" t="str">
        <f>IF(W444&gt;=J444,"CUMPLE","NO CUMPLE")</f>
        <v>CUMPLE</v>
      </c>
      <c r="Y444" s="10">
        <f>MAX(MAX(1.4/'Parametros'!$B$3,0.25*SQRT('Parametros'!$B$2)/'Parametros'!$B$3)*H444*AB444,(0.85*'Parametros'!$B$2/'Parametros'!$B$3)*(1-SQRT(1-2*(L444*1000000/('Parametros'!$B$5*H444*AB444^2))/(0.85*'Parametros'!$B$2)))*H444*AB444)</f>
        <v>815.583333333333</v>
      </c>
      <c r="Z444" s="31" t="n">
        <v>5</v>
      </c>
      <c r="AA444" s="32" t="n">
        <v>1</v>
      </c>
      <c r="AB444" s="10">
        <f>IF(AA444=1,I444-('Parametros'!$B$7+'Parametros'!$B$9+'Parametros'!$B$12/2),I444-(ROUNDUP(Z444/2,0)*('Parametros'!$B$7+'Parametros'!$B$9+'Parametros'!$B$12/2)+ROUNDDOWN(Z444/2,0)*('Parametros'!$B$7+'Parametros'!$B$9+'Parametros'!$B$12/2+'Parametros'!$B$12+'Parametros'!$B$10))/Z444)</f>
        <v>489.35</v>
      </c>
      <c r="AC444" s="10">
        <f>Z444*'Parametros'!$B$8</f>
        <v>995</v>
      </c>
      <c r="AD444" s="10">
        <f>'Parametros'!$B$5*AC444*'Parametros'!$B$3*(AB444-(AC444*'Parametros'!$B$3/(0.85*'Parametros'!$B$2*H444))/2)/1000000</f>
        <v>177.445379382353</v>
      </c>
      <c r="AE444" s="10" t="str">
        <f>IF(AD444&gt;=L444,"CUMPLE","NO CUMPLE")</f>
        <v>CUMPLE</v>
      </c>
      <c r="AF444" s="10">
        <f>V444*1.25*'Parametros'!$B$3*(U444-(V444*1.25*'Parametros'!$B$3/(0.85*'Parametros'!$B$2*H444))/2)/1000000</f>
        <v>244.158843198529</v>
      </c>
      <c r="AG444" s="10">
        <f>AC444*1.25*'Parametros'!$B$3*(AB444-(AC444*1.25*'Parametros'!$B$3/(0.85*'Parametros'!$B$2*H444))/2)/1000000</f>
        <v>244.158843198529</v>
      </c>
      <c r="AH444" s="10">
        <f>N444+(AF444+AG444)/D444</f>
        <v>355.004584725936</v>
      </c>
      <c r="AI444" s="10">
        <f>MAX(O444,AH444)</f>
        <v>355.004584725936</v>
      </c>
      <c r="AJ444" s="10">
        <f>0.17*SQRT('Parametros'!$B$2)*H444*MIN(U444,AB444)/1000</f>
        <v>220.098728691808</v>
      </c>
      <c r="AK444" s="10">
        <f>MAX(AI444/'Parametros'!$B$6-AJ444,0)</f>
        <v>253.24071760944</v>
      </c>
      <c r="AL444" s="10">
        <f>0.66*SQRT('Parametros'!$B$2)*H444*MIN(U444,AB444)/1000</f>
        <v>854.500946685842</v>
      </c>
      <c r="AM444" s="10" t="str">
        <f>IF(AK444&lt;=AL444,"CUMPLE","NO CUMPLE")</f>
        <v>CUMPLE</v>
      </c>
      <c r="AN444" s="17" t="inlineStr">
        <is>
          <t>Nº4 cerrado</t>
        </is>
      </c>
      <c r="AO444" s="31" t="n">
        <v>2</v>
      </c>
      <c r="AP444" s="10">
        <f>ROUNDDOWN(MIN(IF(BC444+BD444=0,1000000000,AO444*BB444/(BC444+BD444)),MIN(U444,AB444)/4,8*'Parametros'!$B$12,24*BA444,300,IF(AV444=0,1000000000,2*((H444-2*('Parametros'!$B$7+'Parametros'!$B$9/2))+(I444-2*('Parametros'!$B$7+'Parametros'!$B$9/2)))/8))/10,0)*10</f>
        <v>120</v>
      </c>
      <c r="AQ444" s="10">
        <f>ROUNDDOWN(MIN(IF(BC444+BD444=0,1000000000,AO444*BB444/(BC444+BD444)),IF(AK444&gt;0.33*SQRT('Parametros'!$B$2)*H444*MIN(U444,AB444)/1000,MIN(U444,AB444)/4,MIN(U444,AB444)/2),600,IF(AV444=0,1000000000,2*((H444-2*('Parametros'!$B$7+'Parametros'!$B$9/2))+(I444-2*('Parametros'!$B$7+'Parametros'!$B$9/2)))/8))/10,0)*10</f>
        <v>130</v>
      </c>
      <c r="AR444" s="10">
        <f>'Parametros'!$B$6*(AJ444+MAX(BE444-BD444,0)*'Parametros'!$B$4*MIN(U444,AB444)/1000)</f>
        <v>402.027171706892</v>
      </c>
      <c r="AS444" s="10" t="str">
        <f>IF(AND(ISERROR(SEARCH("referencia",AN444)),AM444="CUMPLE",AR444&gt;=AI444),"CUMPLE","NO CUMPLE")</f>
        <v>CUMPLE</v>
      </c>
      <c r="AT444" s="10">
        <f>'Parametros'!$B$6*0.083*SQRT('Parametros'!$B$2)*(H444*I444)^2/(2*(H444+I444))/1000000</f>
        <v>11.862178757599</v>
      </c>
      <c r="AU444" s="10" t="str">
        <f>IF(Q444&lt;=AT444,"DESPRECIABLE","DISEÑAR")</f>
        <v>DISEÑAR</v>
      </c>
      <c r="AV444" s="10">
        <f>IF(Q444&lt;=AT444,0,Q444*1000000/('Parametros'!$B$6*2*0.85*(H444-2*('Parametros'!$B$7+'Parametros'!$B$9/2))*(I444-2*('Parametros'!$B$7+'Parametros'!$B$9/2))*'Parametros'!$B$4))</f>
        <v>0.306396604215711</v>
      </c>
      <c r="AW444" s="10">
        <f>AV444*2*((H444-2*('Parametros'!$B$7+'Parametros'!$B$9/2))+(I444-2*('Parametros'!$B$7+'Parametros'!$B$9/2)))*'Parametros'!$B$4/'Parametros'!$B$3</f>
        <v>529.821008009808</v>
      </c>
      <c r="AX444" s="31" t="n">
        <v>8</v>
      </c>
      <c r="AY444" s="10" t="str">
        <f>IF(AV444=0,"DESPRECIABLE",IF(AND(ISERROR(SEARCH("referencia",AN444)),BB444/AP444&gt;=AV444,BI444&gt;=AW444,BH444="CUMPLE"),"CUMPLE","NO CUMPLE"))</f>
        <v>CUMPLE</v>
      </c>
      <c r="AZ444" s="10" t="str">
        <f>IF(AND(X444="CUMPLE",AE444="CUMPLE",AS444="CUMPLE",OR(AY444="CUMPLE",AY444="DESPRECIABLE"),BH444="CUMPLE",BJ444="CUMPLE"),"CUMPLE","NO CUMPLE")</f>
        <v>CUMPLE</v>
      </c>
      <c r="BA444" s="32" t="n">
        <v>12.7</v>
      </c>
      <c r="BB444" s="32" t="n">
        <v>129</v>
      </c>
      <c r="BC444" s="10">
        <f>MAX(IF(AK444=0,0,AK444*1000/('Parametros'!$B$4*MIN(U444,AB444))),MAX(0.062*SQRT('Parametros'!$B$2)*H444/'Parametros'!$B$4,0.35*H444/'Parametros'!$B$4))</f>
        <v>1.23215303881943</v>
      </c>
      <c r="BD444" s="10">
        <f>2*AV444</f>
        <v>0.612793208431423</v>
      </c>
      <c r="BE444" s="10">
        <f>AO444*BB444/AP444</f>
        <v>2.15</v>
      </c>
      <c r="BF444" s="10">
        <f>SQRT((AI444*1000/(H444*MIN(U444,AB444)))^2+(Q444*1000000*2*((H444-2*('Parametros'!$B$7+'Parametros'!$B$9/2))+(I444-2*('Parametros'!$B$7+'Parametros'!$B$9/2)))/(1.7*((H444-2*('Parametros'!$B$7+'Parametros'!$B$9/2))*(I444-2*('Parametros'!$B$7+'Parametros'!$B$9/2)))^2))^2)</f>
        <v>1.70530146916206</v>
      </c>
      <c r="BG444" s="10">
        <f>'Parametros'!$B$6*(AJ444*1000/(H444*MIN(U444,AB444))+0.66*SQRT('Parametros'!$B$2))</f>
        <v>3.29396038227542</v>
      </c>
      <c r="BH444" s="10" t="str">
        <f>IF(BF444&lt;=BG444,"CUMPLE","NO CUMPLE")</f>
        <v>CUMPLE</v>
      </c>
      <c r="BI444" s="10">
        <f>AX444*'Parametros'!$B$8</f>
        <v>1592</v>
      </c>
      <c r="BJ444" s="10" t="str">
        <f>IF(BI444&gt;=AW444,"CUMPLE","NO CUMPLE")</f>
        <v>CUMPLE</v>
      </c>
    </row>
    <row r="445">
      <c r="A445" s="25" t="inlineStr">
        <is>
          <t>VR2</t>
        </is>
      </c>
      <c r="B445" s="25" t="inlineStr">
        <is>
          <t>870</t>
        </is>
      </c>
      <c r="C445" s="10" t="n">
        <v>1</v>
      </c>
      <c r="D445" s="10" t="n">
        <v>3.57612</v>
      </c>
      <c r="E445" s="10" t="n">
        <v>3.57612</v>
      </c>
      <c r="F445" s="10" t="n">
        <v>500</v>
      </c>
      <c r="G445" s="10" t="n">
        <v>550</v>
      </c>
      <c r="H445" s="17" t="n">
        <v>500</v>
      </c>
      <c r="I445" s="17" t="n">
        <v>550</v>
      </c>
      <c r="J445" s="30" t="n">
        <v>120.1255</v>
      </c>
      <c r="K445" s="10" t="inlineStr">
        <is>
          <t>870</t>
        </is>
      </c>
      <c r="L445" s="30" t="n">
        <v>54.8461</v>
      </c>
      <c r="M445" s="10" t="inlineStr">
        <is>
          <t>870</t>
        </is>
      </c>
      <c r="N445" s="30" t="n">
        <v>101.661</v>
      </c>
      <c r="O445" s="30" t="n">
        <v>244.881</v>
      </c>
      <c r="P445" s="10" t="inlineStr">
        <is>
          <t>870</t>
        </is>
      </c>
      <c r="Q445" s="30" t="n">
        <v>5.2132</v>
      </c>
      <c r="R445" s="10">
        <f>MAX(MAX(1.4/'Parametros'!$B$3,0.25*SQRT('Parametros'!$B$2)/'Parametros'!$B$3)*H445*U445,(0.85*'Parametros'!$B$2/'Parametros'!$B$3)*(1-SQRT(1-2*(J445*1000000/('Parametros'!$B$5*H445*U445^2))/(0.85*'Parametros'!$B$2)))*H445*U445)</f>
        <v>815.583333333333</v>
      </c>
      <c r="S445" s="31" t="n">
        <v>5</v>
      </c>
      <c r="T445" s="32" t="n">
        <v>1</v>
      </c>
      <c r="U445" s="10">
        <f>IF(T445=1,I445-('Parametros'!$B$7+'Parametros'!$B$9+'Parametros'!$B$12/2),I445-(ROUNDUP(S445/2,0)*('Parametros'!$B$7+'Parametros'!$B$9+'Parametros'!$B$12/2)+ROUNDDOWN(S445/2,0)*('Parametros'!$B$7+'Parametros'!$B$9+'Parametros'!$B$12/2+'Parametros'!$B$12+'Parametros'!$B$10))/S445)</f>
        <v>489.35</v>
      </c>
      <c r="V445" s="10">
        <f>S445*'Parametros'!$B$8</f>
        <v>995</v>
      </c>
      <c r="W445" s="10">
        <f>'Parametros'!$B$5*V445*'Parametros'!$B$3*(U445-(V445*'Parametros'!$B$3/(0.85*'Parametros'!$B$2*H445))/2)/1000000</f>
        <v>177.445379382353</v>
      </c>
      <c r="X445" s="10" t="str">
        <f>IF(W445&gt;=J445,"CUMPLE","NO CUMPLE")</f>
        <v>CUMPLE</v>
      </c>
      <c r="Y445" s="10">
        <f>MAX(MAX(1.4/'Parametros'!$B$3,0.25*SQRT('Parametros'!$B$2)/'Parametros'!$B$3)*H445*AB445,(0.85*'Parametros'!$B$2/'Parametros'!$B$3)*(1-SQRT(1-2*(L445*1000000/('Parametros'!$B$5*H445*AB445^2))/(0.85*'Parametros'!$B$2)))*H445*AB445)</f>
        <v>815.583333333333</v>
      </c>
      <c r="Z445" s="31" t="n">
        <v>5</v>
      </c>
      <c r="AA445" s="32" t="n">
        <v>1</v>
      </c>
      <c r="AB445" s="10">
        <f>IF(AA445=1,I445-('Parametros'!$B$7+'Parametros'!$B$9+'Parametros'!$B$12/2),I445-(ROUNDUP(Z445/2,0)*('Parametros'!$B$7+'Parametros'!$B$9+'Parametros'!$B$12/2)+ROUNDDOWN(Z445/2,0)*('Parametros'!$B$7+'Parametros'!$B$9+'Parametros'!$B$12/2+'Parametros'!$B$12+'Parametros'!$B$10))/Z445)</f>
        <v>489.35</v>
      </c>
      <c r="AC445" s="10">
        <f>Z445*'Parametros'!$B$8</f>
        <v>995</v>
      </c>
      <c r="AD445" s="10">
        <f>'Parametros'!$B$5*AC445*'Parametros'!$B$3*(AB445-(AC445*'Parametros'!$B$3/(0.85*'Parametros'!$B$2*H445))/2)/1000000</f>
        <v>177.445379382353</v>
      </c>
      <c r="AE445" s="10" t="str">
        <f>IF(AD445&gt;=L445,"CUMPLE","NO CUMPLE")</f>
        <v>CUMPLE</v>
      </c>
      <c r="AF445" s="10">
        <f>V445*1.25*'Parametros'!$B$3*(U445-(V445*1.25*'Parametros'!$B$3/(0.85*'Parametros'!$B$2*H445))/2)/1000000</f>
        <v>244.158843198529</v>
      </c>
      <c r="AG445" s="10">
        <f>AC445*1.25*'Parametros'!$B$3*(AB445-(AC445*1.25*'Parametros'!$B$3/(0.85*'Parametros'!$B$2*H445))/2)/1000000</f>
        <v>244.158843198529</v>
      </c>
      <c r="AH445" s="10">
        <f>N445+(AF445+AG445)/D445</f>
        <v>238.210580662019</v>
      </c>
      <c r="AI445" s="10">
        <f>MAX(O445,AH445)</f>
        <v>244.881</v>
      </c>
      <c r="AJ445" s="10">
        <f>0.17*SQRT('Parametros'!$B$2)*H445*MIN(U445,AB445)/1000</f>
        <v>220.098728691808</v>
      </c>
      <c r="AK445" s="10">
        <f>MAX(AI445/'Parametros'!$B$6-AJ445,0)</f>
        <v>106.409271308192</v>
      </c>
      <c r="AL445" s="10">
        <f>0.66*SQRT('Parametros'!$B$2)*H445*MIN(U445,AB445)/1000</f>
        <v>854.500946685842</v>
      </c>
      <c r="AM445" s="10" t="str">
        <f>IF(AK445&lt;=AL445,"CUMPLE","NO CUMPLE")</f>
        <v>CUMPLE</v>
      </c>
      <c r="AN445" s="17" t="inlineStr">
        <is>
          <t>Nº3 cerrado</t>
        </is>
      </c>
      <c r="AO445" s="31" t="n">
        <v>2</v>
      </c>
      <c r="AP445" s="10">
        <f>ROUNDDOWN(MIN(IF(BC445+BD445=0,1000000000,AO445*BB445/(BC445+BD445)),MIN(U445,AB445)/4,8*'Parametros'!$B$12,24*BA445,300,IF(AV445=0,1000000000,2*((H445-2*('Parametros'!$B$7+'Parametros'!$B$9/2))+(I445-2*('Parametros'!$B$7+'Parametros'!$B$9/2)))/8))/10,0)*10</f>
        <v>120</v>
      </c>
      <c r="AQ445" s="10">
        <f>ROUNDDOWN(MIN(IF(BC445+BD445=0,1000000000,AO445*BB445/(BC445+BD445)),IF(AK445&gt;0.33*SQRT('Parametros'!$B$2)*H445*MIN(U445,AB445)/1000,MIN(U445,AB445)/4,MIN(U445,AB445)/2),600,IF(AV445=0,1000000000,2*((H445-2*('Parametros'!$B$7+'Parametros'!$B$9/2))+(I445-2*('Parametros'!$B$7+'Parametros'!$B$9/2)))/8))/10,0)*10</f>
        <v>240</v>
      </c>
      <c r="AR445" s="10">
        <f>'Parametros'!$B$6*(AJ445+MAX(BE445-BD445,0)*'Parametros'!$B$4*MIN(U445,AB445)/1000)</f>
        <v>347.479259018856</v>
      </c>
      <c r="AS445" s="10" t="str">
        <f>IF(AND(ISERROR(SEARCH("referencia",AN445)),AM445="CUMPLE",AR445&gt;=AI445),"CUMPLE","NO CUMPLE")</f>
        <v>CUMPLE</v>
      </c>
      <c r="AT445" s="10">
        <f>'Parametros'!$B$6*0.083*SQRT('Parametros'!$B$2)*(H445*I445)^2/(2*(H445+I445))/1000000</f>
        <v>11.862178757599</v>
      </c>
      <c r="AU445" s="10" t="str">
        <f>IF(Q445&lt;=AT445,"DESPRECIABLE","DISEÑAR")</f>
        <v>DESPRECIABLE</v>
      </c>
      <c r="AV445" s="10">
        <f>IF(Q445&lt;=AT445,0,Q445*1000000/('Parametros'!$B$6*2*0.85*(H445-2*('Parametros'!$B$7+'Parametros'!$B$9/2))*(I445-2*('Parametros'!$B$7+'Parametros'!$B$9/2))*'Parametros'!$B$4))</f>
        <v>0</v>
      </c>
      <c r="AW445" s="10">
        <f>AV445*2*((H445-2*('Parametros'!$B$7+'Parametros'!$B$9/2))+(I445-2*('Parametros'!$B$7+'Parametros'!$B$9/2)))*'Parametros'!$B$4/'Parametros'!$B$3</f>
        <v>0</v>
      </c>
      <c r="AX445" s="31" t="n">
        <v>0</v>
      </c>
      <c r="AY445" s="10" t="str">
        <f>IF(AV445=0,"DESPRECIABLE",IF(AND(ISERROR(SEARCH("referencia",AN445)),BB445/AP445&gt;=AV445,BI445&gt;=AW445,BH445="CUMPLE"),"CUMPLE","NO CUMPLE"))</f>
        <v>DESPRECIABLE</v>
      </c>
      <c r="AZ445" s="10" t="str">
        <f>IF(AND(X445="CUMPLE",AE445="CUMPLE",AS445="CUMPLE",OR(AY445="CUMPLE",AY445="DESPRECIABLE"),BH445="CUMPLE",BJ445="CUMPLE"),"CUMPLE","NO CUMPLE")</f>
        <v>CUMPLE</v>
      </c>
      <c r="BA445" s="32" t="n">
        <v>9.5</v>
      </c>
      <c r="BB445" s="32" t="n">
        <v>71</v>
      </c>
      <c r="BC445" s="10">
        <f>MAX(IF(AK445=0,0,AK445*1000/('Parametros'!$B$4*MIN(U445,AB445))),MAX(0.062*SQRT('Parametros'!$B$2)*H445/'Parametros'!$B$4,0.35*H445/'Parametros'!$B$4))</f>
        <v>0.517738648976496</v>
      </c>
      <c r="BD445" s="10">
        <f>2*AV445</f>
        <v>0</v>
      </c>
      <c r="BE445" s="10">
        <f>AO445*BB445/AP445</f>
        <v>1.18333333333333</v>
      </c>
      <c r="BF445" s="10">
        <f>SQRT((AI445*1000/(H445*MIN(U445,AB445)))^2+(Q445*1000000*2*((H445-2*('Parametros'!$B$7+'Parametros'!$B$9/2))+(I445-2*('Parametros'!$B$7+'Parametros'!$B$9/2)))/(1.7*((H445-2*('Parametros'!$B$7+'Parametros'!$B$9/2))*(I445-2*('Parametros'!$B$7+'Parametros'!$B$9/2)))^2))^2)</f>
        <v>1.01244660643354</v>
      </c>
      <c r="BG445" s="10">
        <f>'Parametros'!$B$6*(AJ445*1000/(H445*MIN(U445,AB445))+0.66*SQRT('Parametros'!$B$2))</f>
        <v>3.29396038227542</v>
      </c>
      <c r="BH445" s="10" t="str">
        <f>IF(BF445&lt;=BG445,"CUMPLE","NO CUMPLE")</f>
        <v>CUMPLE</v>
      </c>
      <c r="BI445" s="10">
        <f>AX445*'Parametros'!$B$8</f>
        <v>0</v>
      </c>
      <c r="BJ445" s="10" t="str">
        <f>IF(BI445&gt;=AW445,"CUMPLE","NO CUMPLE")</f>
        <v>CUMPLE</v>
      </c>
    </row>
    <row r="446">
      <c r="A446" s="25" t="inlineStr">
        <is>
          <t>VR2</t>
        </is>
      </c>
      <c r="B446" s="25" t="inlineStr">
        <is>
          <t>871</t>
        </is>
      </c>
      <c r="C446" s="10" t="n">
        <v>1</v>
      </c>
      <c r="D446" s="10" t="n">
        <v>1.9</v>
      </c>
      <c r="E446" s="10" t="n">
        <v>1.9</v>
      </c>
      <c r="F446" s="10" t="n">
        <v>500</v>
      </c>
      <c r="G446" s="10" t="n">
        <v>550</v>
      </c>
      <c r="H446" s="17" t="n">
        <v>500</v>
      </c>
      <c r="I446" s="17" t="n">
        <v>550</v>
      </c>
      <c r="J446" s="30" t="n">
        <v>93.22190000000001</v>
      </c>
      <c r="K446" s="10" t="inlineStr">
        <is>
          <t>871</t>
        </is>
      </c>
      <c r="L446" s="30" t="n">
        <v>56.5</v>
      </c>
      <c r="M446" s="10" t="inlineStr">
        <is>
          <t>871</t>
        </is>
      </c>
      <c r="N446" s="30" t="n">
        <v>96.126</v>
      </c>
      <c r="O446" s="30" t="n">
        <v>273.396</v>
      </c>
      <c r="P446" s="10" t="inlineStr">
        <is>
          <t>871</t>
        </is>
      </c>
      <c r="Q446" s="30" t="n">
        <v>10.8924</v>
      </c>
      <c r="R446" s="10">
        <f>MAX(MAX(1.4/'Parametros'!$B$3,0.25*SQRT('Parametros'!$B$2)/'Parametros'!$B$3)*H446*U446,(0.85*'Parametros'!$B$2/'Parametros'!$B$3)*(1-SQRT(1-2*(J446*1000000/('Parametros'!$B$5*H446*U446^2))/(0.85*'Parametros'!$B$2)))*H446*U446)</f>
        <v>815.583333333333</v>
      </c>
      <c r="S446" s="31" t="n">
        <v>5</v>
      </c>
      <c r="T446" s="32" t="n">
        <v>1</v>
      </c>
      <c r="U446" s="10">
        <f>IF(T446=1,I446-('Parametros'!$B$7+'Parametros'!$B$9+'Parametros'!$B$12/2),I446-(ROUNDUP(S446/2,0)*('Parametros'!$B$7+'Parametros'!$B$9+'Parametros'!$B$12/2)+ROUNDDOWN(S446/2,0)*('Parametros'!$B$7+'Parametros'!$B$9+'Parametros'!$B$12/2+'Parametros'!$B$12+'Parametros'!$B$10))/S446)</f>
        <v>489.35</v>
      </c>
      <c r="V446" s="10">
        <f>S446*'Parametros'!$B$8</f>
        <v>995</v>
      </c>
      <c r="W446" s="10">
        <f>'Parametros'!$B$5*V446*'Parametros'!$B$3*(U446-(V446*'Parametros'!$B$3/(0.85*'Parametros'!$B$2*H446))/2)/1000000</f>
        <v>177.445379382353</v>
      </c>
      <c r="X446" s="10" t="str">
        <f>IF(W446&gt;=J446,"CUMPLE","NO CUMPLE")</f>
        <v>CUMPLE</v>
      </c>
      <c r="Y446" s="10">
        <f>MAX(MAX(1.4/'Parametros'!$B$3,0.25*SQRT('Parametros'!$B$2)/'Parametros'!$B$3)*H446*AB446,(0.85*'Parametros'!$B$2/'Parametros'!$B$3)*(1-SQRT(1-2*(L446*1000000/('Parametros'!$B$5*H446*AB446^2))/(0.85*'Parametros'!$B$2)))*H446*AB446)</f>
        <v>815.583333333333</v>
      </c>
      <c r="Z446" s="31" t="n">
        <v>5</v>
      </c>
      <c r="AA446" s="32" t="n">
        <v>1</v>
      </c>
      <c r="AB446" s="10">
        <f>IF(AA446=1,I446-('Parametros'!$B$7+'Parametros'!$B$9+'Parametros'!$B$12/2),I446-(ROUNDUP(Z446/2,0)*('Parametros'!$B$7+'Parametros'!$B$9+'Parametros'!$B$12/2)+ROUNDDOWN(Z446/2,0)*('Parametros'!$B$7+'Parametros'!$B$9+'Parametros'!$B$12/2+'Parametros'!$B$12+'Parametros'!$B$10))/Z446)</f>
        <v>489.35</v>
      </c>
      <c r="AC446" s="10">
        <f>Z446*'Parametros'!$B$8</f>
        <v>995</v>
      </c>
      <c r="AD446" s="10">
        <f>'Parametros'!$B$5*AC446*'Parametros'!$B$3*(AB446-(AC446*'Parametros'!$B$3/(0.85*'Parametros'!$B$2*H446))/2)/1000000</f>
        <v>177.445379382353</v>
      </c>
      <c r="AE446" s="10" t="str">
        <f>IF(AD446&gt;=L446,"CUMPLE","NO CUMPLE")</f>
        <v>CUMPLE</v>
      </c>
      <c r="AF446" s="10">
        <f>V446*1.25*'Parametros'!$B$3*(U446-(V446*1.25*'Parametros'!$B$3/(0.85*'Parametros'!$B$2*H446))/2)/1000000</f>
        <v>244.158843198529</v>
      </c>
      <c r="AG446" s="10">
        <f>AC446*1.25*'Parametros'!$B$3*(AB446-(AC446*1.25*'Parametros'!$B$3/(0.85*'Parametros'!$B$2*H446))/2)/1000000</f>
        <v>244.158843198529</v>
      </c>
      <c r="AH446" s="10">
        <f>N446+(AF446+AG446)/D446</f>
        <v>353.135308630031</v>
      </c>
      <c r="AI446" s="10">
        <f>MAX(O446,AH446)</f>
        <v>353.135308630031</v>
      </c>
      <c r="AJ446" s="10">
        <f>0.17*SQRT('Parametros'!$B$2)*H446*MIN(U446,AB446)/1000</f>
        <v>220.098728691808</v>
      </c>
      <c r="AK446" s="10">
        <f>MAX(AI446/'Parametros'!$B$6-AJ446,0)</f>
        <v>250.748349481567</v>
      </c>
      <c r="AL446" s="10">
        <f>0.66*SQRT('Parametros'!$B$2)*H446*MIN(U446,AB446)/1000</f>
        <v>854.500946685842</v>
      </c>
      <c r="AM446" s="10" t="str">
        <f>IF(AK446&lt;=AL446,"CUMPLE","NO CUMPLE")</f>
        <v>CUMPLE</v>
      </c>
      <c r="AN446" s="17" t="inlineStr">
        <is>
          <t>Nº3 cerrado</t>
        </is>
      </c>
      <c r="AO446" s="31" t="n">
        <v>2</v>
      </c>
      <c r="AP446" s="10">
        <f>ROUNDDOWN(MIN(IF(BC446+BD446=0,1000000000,AO446*BB446/(BC446+BD446)),MIN(U446,AB446)/4,8*'Parametros'!$B$12,24*BA446,300,IF(AV446=0,1000000000,2*((H446-2*('Parametros'!$B$7+'Parametros'!$B$9/2))+(I446-2*('Parametros'!$B$7+'Parametros'!$B$9/2)))/8))/10,0)*10</f>
        <v>110</v>
      </c>
      <c r="AQ446" s="10">
        <f>ROUNDDOWN(MIN(IF(BC446+BD446=0,1000000000,AO446*BB446/(BC446+BD446)),IF(AK446&gt;0.33*SQRT('Parametros'!$B$2)*H446*MIN(U446,AB446)/1000,MIN(U446,AB446)/4,MIN(U446,AB446)/2),600,IF(AV446=0,1000000000,2*((H446-2*('Parametros'!$B$7+'Parametros'!$B$9/2))+(I446-2*('Parametros'!$B$7+'Parametros'!$B$9/2)))/8))/10,0)*10</f>
        <v>110</v>
      </c>
      <c r="AR446" s="10">
        <f>'Parametros'!$B$6*(AJ446+MAX(BE446-BD446,0)*'Parametros'!$B$4*MIN(U446,AB446)/1000)</f>
        <v>364.06155106431</v>
      </c>
      <c r="AS446" s="10" t="str">
        <f>IF(AND(ISERROR(SEARCH("referencia",AN446)),AM446="CUMPLE",AR446&gt;=AI446),"CUMPLE","NO CUMPLE")</f>
        <v>CUMPLE</v>
      </c>
      <c r="AT446" s="10">
        <f>'Parametros'!$B$6*0.083*SQRT('Parametros'!$B$2)*(H446*I446)^2/(2*(H446+I446))/1000000</f>
        <v>11.862178757599</v>
      </c>
      <c r="AU446" s="10" t="str">
        <f>IF(Q446&lt;=AT446,"DESPRECIABLE","DISEÑAR")</f>
        <v>DESPRECIABLE</v>
      </c>
      <c r="AV446" s="10">
        <f>IF(Q446&lt;=AT446,0,Q446*1000000/('Parametros'!$B$6*2*0.85*(H446-2*('Parametros'!$B$7+'Parametros'!$B$9/2))*(I446-2*('Parametros'!$B$7+'Parametros'!$B$9/2))*'Parametros'!$B$4))</f>
        <v>0</v>
      </c>
      <c r="AW446" s="10">
        <f>AV446*2*((H446-2*('Parametros'!$B$7+'Parametros'!$B$9/2))+(I446-2*('Parametros'!$B$7+'Parametros'!$B$9/2)))*'Parametros'!$B$4/'Parametros'!$B$3</f>
        <v>0</v>
      </c>
      <c r="AX446" s="31" t="n">
        <v>0</v>
      </c>
      <c r="AY446" s="10" t="str">
        <f>IF(AV446=0,"DESPRECIABLE",IF(AND(ISERROR(SEARCH("referencia",AN446)),BB446/AP446&gt;=AV446,BI446&gt;=AW446,BH446="CUMPLE"),"CUMPLE","NO CUMPLE"))</f>
        <v>DESPRECIABLE</v>
      </c>
      <c r="AZ446" s="10" t="str">
        <f>IF(AND(X446="CUMPLE",AE446="CUMPLE",AS446="CUMPLE",OR(AY446="CUMPLE",AY446="DESPRECIABLE"),BH446="CUMPLE",BJ446="CUMPLE"),"CUMPLE","NO CUMPLE")</f>
        <v>CUMPLE</v>
      </c>
      <c r="BA446" s="32" t="n">
        <v>9.5</v>
      </c>
      <c r="BB446" s="32" t="n">
        <v>71</v>
      </c>
      <c r="BC446" s="10">
        <f>MAX(IF(AK446=0,0,AK446*1000/('Parametros'!$B$4*MIN(U446,AB446))),MAX(0.062*SQRT('Parametros'!$B$2)*H446/'Parametros'!$B$4,0.35*H446/'Parametros'!$B$4))</f>
        <v>1.22002632005317</v>
      </c>
      <c r="BD446" s="10">
        <f>2*AV446</f>
        <v>0</v>
      </c>
      <c r="BE446" s="10">
        <f>AO446*BB446/AP446</f>
        <v>1.29090909090909</v>
      </c>
      <c r="BF446" s="10">
        <f>SQRT((AI446*1000/(H446*MIN(U446,AB446)))^2+(Q446*1000000*2*((H446-2*('Parametros'!$B$7+'Parametros'!$B$9/2))+(I446-2*('Parametros'!$B$7+'Parametros'!$B$9/2)))/(1.7*((H446-2*('Parametros'!$B$7+'Parametros'!$B$9/2))*(I446-2*('Parametros'!$B$7+'Parametros'!$B$9/2)))^2))^2)</f>
        <v>1.4781951603629</v>
      </c>
      <c r="BG446" s="10">
        <f>'Parametros'!$B$6*(AJ446*1000/(H446*MIN(U446,AB446))+0.66*SQRT('Parametros'!$B$2))</f>
        <v>3.29396038227542</v>
      </c>
      <c r="BH446" s="10" t="str">
        <f>IF(BF446&lt;=BG446,"CUMPLE","NO CUMPLE")</f>
        <v>CUMPLE</v>
      </c>
      <c r="BI446" s="10">
        <f>AX446*'Parametros'!$B$8</f>
        <v>0</v>
      </c>
      <c r="BJ446" s="10" t="str">
        <f>IF(BI446&gt;=AW446,"CUMPLE","NO CUMPLE")</f>
        <v>CUMPLE</v>
      </c>
    </row>
    <row r="447">
      <c r="A447" s="25" t="inlineStr">
        <is>
          <t>VR2</t>
        </is>
      </c>
      <c r="B447" s="25" t="inlineStr">
        <is>
          <t>872</t>
        </is>
      </c>
      <c r="C447" s="10" t="n">
        <v>1</v>
      </c>
      <c r="D447" s="10" t="n">
        <v>2</v>
      </c>
      <c r="E447" s="10" t="n">
        <v>2</v>
      </c>
      <c r="F447" s="10" t="n">
        <v>500</v>
      </c>
      <c r="G447" s="10" t="n">
        <v>550</v>
      </c>
      <c r="H447" s="17" t="n">
        <v>500</v>
      </c>
      <c r="I447" s="17" t="n">
        <v>550</v>
      </c>
      <c r="J447" s="30" t="n">
        <v>101.089</v>
      </c>
      <c r="K447" s="10" t="inlineStr">
        <is>
          <t>872</t>
        </is>
      </c>
      <c r="L447" s="30" t="n">
        <v>54.3355</v>
      </c>
      <c r="M447" s="10" t="inlineStr">
        <is>
          <t>872</t>
        </is>
      </c>
      <c r="N447" s="30" t="n">
        <v>105.798</v>
      </c>
      <c r="O447" s="30" t="n">
        <v>324.68</v>
      </c>
      <c r="P447" s="10" t="inlineStr">
        <is>
          <t>872</t>
        </is>
      </c>
      <c r="Q447" s="30" t="n">
        <v>26.2049</v>
      </c>
      <c r="R447" s="10">
        <f>MAX(MAX(1.4/'Parametros'!$B$3,0.25*SQRT('Parametros'!$B$2)/'Parametros'!$B$3)*H447*U447,(0.85*'Parametros'!$B$2/'Parametros'!$B$3)*(1-SQRT(1-2*(J447*1000000/('Parametros'!$B$5*H447*U447^2))/(0.85*'Parametros'!$B$2)))*H447*U447)</f>
        <v>815.583333333333</v>
      </c>
      <c r="S447" s="31" t="n">
        <v>5</v>
      </c>
      <c r="T447" s="32" t="n">
        <v>1</v>
      </c>
      <c r="U447" s="10">
        <f>IF(T447=1,I447-('Parametros'!$B$7+'Parametros'!$B$9+'Parametros'!$B$12/2),I447-(ROUNDUP(S447/2,0)*('Parametros'!$B$7+'Parametros'!$B$9+'Parametros'!$B$12/2)+ROUNDDOWN(S447/2,0)*('Parametros'!$B$7+'Parametros'!$B$9+'Parametros'!$B$12/2+'Parametros'!$B$12+'Parametros'!$B$10))/S447)</f>
        <v>489.35</v>
      </c>
      <c r="V447" s="10">
        <f>S447*'Parametros'!$B$8</f>
        <v>995</v>
      </c>
      <c r="W447" s="10">
        <f>'Parametros'!$B$5*V447*'Parametros'!$B$3*(U447-(V447*'Parametros'!$B$3/(0.85*'Parametros'!$B$2*H447))/2)/1000000</f>
        <v>177.445379382353</v>
      </c>
      <c r="X447" s="10" t="str">
        <f>IF(W447&gt;=J447,"CUMPLE","NO CUMPLE")</f>
        <v>CUMPLE</v>
      </c>
      <c r="Y447" s="10">
        <f>MAX(MAX(1.4/'Parametros'!$B$3,0.25*SQRT('Parametros'!$B$2)/'Parametros'!$B$3)*H447*AB447,(0.85*'Parametros'!$B$2/'Parametros'!$B$3)*(1-SQRT(1-2*(L447*1000000/('Parametros'!$B$5*H447*AB447^2))/(0.85*'Parametros'!$B$2)))*H447*AB447)</f>
        <v>815.583333333333</v>
      </c>
      <c r="Z447" s="31" t="n">
        <v>5</v>
      </c>
      <c r="AA447" s="32" t="n">
        <v>1</v>
      </c>
      <c r="AB447" s="10">
        <f>IF(AA447=1,I447-('Parametros'!$B$7+'Parametros'!$B$9+'Parametros'!$B$12/2),I447-(ROUNDUP(Z447/2,0)*('Parametros'!$B$7+'Parametros'!$B$9+'Parametros'!$B$12/2)+ROUNDDOWN(Z447/2,0)*('Parametros'!$B$7+'Parametros'!$B$9+'Parametros'!$B$12/2+'Parametros'!$B$12+'Parametros'!$B$10))/Z447)</f>
        <v>489.35</v>
      </c>
      <c r="AC447" s="10">
        <f>Z447*'Parametros'!$B$8</f>
        <v>995</v>
      </c>
      <c r="AD447" s="10">
        <f>'Parametros'!$B$5*AC447*'Parametros'!$B$3*(AB447-(AC447*'Parametros'!$B$3/(0.85*'Parametros'!$B$2*H447))/2)/1000000</f>
        <v>177.445379382353</v>
      </c>
      <c r="AE447" s="10" t="str">
        <f>IF(AD447&gt;=L447,"CUMPLE","NO CUMPLE")</f>
        <v>CUMPLE</v>
      </c>
      <c r="AF447" s="10">
        <f>V447*1.25*'Parametros'!$B$3*(U447-(V447*1.25*'Parametros'!$B$3/(0.85*'Parametros'!$B$2*H447))/2)/1000000</f>
        <v>244.158843198529</v>
      </c>
      <c r="AG447" s="10">
        <f>AC447*1.25*'Parametros'!$B$3*(AB447-(AC447*1.25*'Parametros'!$B$3/(0.85*'Parametros'!$B$2*H447))/2)/1000000</f>
        <v>244.158843198529</v>
      </c>
      <c r="AH447" s="10">
        <f>N447+(AF447+AG447)/D447</f>
        <v>349.956843198529</v>
      </c>
      <c r="AI447" s="10">
        <f>MAX(O447,AH447)</f>
        <v>349.956843198529</v>
      </c>
      <c r="AJ447" s="10">
        <f>0.17*SQRT('Parametros'!$B$2)*H447*MIN(U447,AB447)/1000</f>
        <v>220.098728691808</v>
      </c>
      <c r="AK447" s="10">
        <f>MAX(AI447/'Parametros'!$B$6-AJ447,0)</f>
        <v>246.510395572898</v>
      </c>
      <c r="AL447" s="10">
        <f>0.66*SQRT('Parametros'!$B$2)*H447*MIN(U447,AB447)/1000</f>
        <v>854.500946685842</v>
      </c>
      <c r="AM447" s="10" t="str">
        <f>IF(AK447&lt;=AL447,"CUMPLE","NO CUMPLE")</f>
        <v>CUMPLE</v>
      </c>
      <c r="AN447" s="17" t="inlineStr">
        <is>
          <t>Nº3 cerrado</t>
        </is>
      </c>
      <c r="AO447" s="31" t="n">
        <v>2</v>
      </c>
      <c r="AP447" s="10">
        <f>ROUNDDOWN(MIN(IF(BC447+BD447=0,1000000000,AO447*BB447/(BC447+BD447)),MIN(U447,AB447)/4,8*'Parametros'!$B$12,24*BA447,300,IF(AV447=0,1000000000,2*((H447-2*('Parametros'!$B$7+'Parametros'!$B$9/2))+(I447-2*('Parametros'!$B$7+'Parametros'!$B$9/2)))/8))/10,0)*10</f>
        <v>80</v>
      </c>
      <c r="AQ447" s="10">
        <f>ROUNDDOWN(MIN(IF(BC447+BD447=0,1000000000,AO447*BB447/(BC447+BD447)),IF(AK447&gt;0.33*SQRT('Parametros'!$B$2)*H447*MIN(U447,AB447)/1000,MIN(U447,AB447)/4,MIN(U447,AB447)/2),600,IF(AV447=0,1000000000,2*((H447-2*('Parametros'!$B$7+'Parametros'!$B$9/2))+(I447-2*('Parametros'!$B$7+'Parametros'!$B$9/2)))/8))/10,0)*10</f>
        <v>80</v>
      </c>
      <c r="AR447" s="10">
        <f>'Parametros'!$B$6*(AJ447+MAX(BE447-BD447,0)*'Parametros'!$B$4*MIN(U447,AB447)/1000)</f>
        <v>357.685121035509</v>
      </c>
      <c r="AS447" s="10" t="str">
        <f>IF(AND(ISERROR(SEARCH("referencia",AN447)),AM447="CUMPLE",AR447&gt;=AI447),"CUMPLE","NO CUMPLE")</f>
        <v>CUMPLE</v>
      </c>
      <c r="AT447" s="10">
        <f>'Parametros'!$B$6*0.083*SQRT('Parametros'!$B$2)*(H447*I447)^2/(2*(H447+I447))/1000000</f>
        <v>11.862178757599</v>
      </c>
      <c r="AU447" s="10" t="str">
        <f>IF(Q447&lt;=AT447,"DESPRECIABLE","DISEÑAR")</f>
        <v>DISEÑAR</v>
      </c>
      <c r="AV447" s="10">
        <f>IF(Q447&lt;=AT447,0,Q447*1000000/('Parametros'!$B$6*2*0.85*(H447-2*('Parametros'!$B$7+'Parametros'!$B$9/2))*(I447-2*('Parametros'!$B$7+'Parametros'!$B$9/2))*'Parametros'!$B$4))</f>
        <v>0.262728641438342</v>
      </c>
      <c r="AW447" s="10">
        <f>AV447*2*((H447-2*('Parametros'!$B$7+'Parametros'!$B$9/2))+(I447-2*('Parametros'!$B$7+'Parametros'!$B$9/2)))*'Parametros'!$B$4/'Parametros'!$B$3</f>
        <v>454.310366775181</v>
      </c>
      <c r="AX447" s="31" t="n">
        <v>8</v>
      </c>
      <c r="AY447" s="10" t="str">
        <f>IF(AV447=0,"DESPRECIABLE",IF(AND(ISERROR(SEARCH("referencia",AN447)),BB447/AP447&gt;=AV447,BI447&gt;=AW447,BH447="CUMPLE"),"CUMPLE","NO CUMPLE"))</f>
        <v>CUMPLE</v>
      </c>
      <c r="AZ447" s="10" t="str">
        <f>IF(AND(X447="CUMPLE",AE447="CUMPLE",AS447="CUMPLE",OR(AY447="CUMPLE",AY447="DESPRECIABLE"),BH447="CUMPLE",BJ447="CUMPLE"),"CUMPLE","NO CUMPLE")</f>
        <v>CUMPLE</v>
      </c>
      <c r="BA447" s="32" t="n">
        <v>9.5</v>
      </c>
      <c r="BB447" s="32" t="n">
        <v>71</v>
      </c>
      <c r="BC447" s="10">
        <f>MAX(IF(AK447=0,0,AK447*1000/('Parametros'!$B$4*MIN(U447,AB447))),MAX(0.062*SQRT('Parametros'!$B$2)*H447/'Parametros'!$B$4,0.35*H447/'Parametros'!$B$4))</f>
        <v>1.19940638248453</v>
      </c>
      <c r="BD447" s="10">
        <f>2*AV447</f>
        <v>0.525457282876683</v>
      </c>
      <c r="BE447" s="10">
        <f>AO447*BB447/AP447</f>
        <v>1.775</v>
      </c>
      <c r="BF447" s="10">
        <f>SQRT((AI447*1000/(H447*MIN(U447,AB447)))^2+(Q447*1000000*2*((H447-2*('Parametros'!$B$7+'Parametros'!$B$9/2))+(I447-2*('Parametros'!$B$7+'Parametros'!$B$9/2)))/(1.7*((H447-2*('Parametros'!$B$7+'Parametros'!$B$9/2))*(I447-2*('Parametros'!$B$7+'Parametros'!$B$9/2)))^2))^2)</f>
        <v>1.6235970490396</v>
      </c>
      <c r="BG447" s="10">
        <f>'Parametros'!$B$6*(AJ447*1000/(H447*MIN(U447,AB447))+0.66*SQRT('Parametros'!$B$2))</f>
        <v>3.29396038227542</v>
      </c>
      <c r="BH447" s="10" t="str">
        <f>IF(BF447&lt;=BG447,"CUMPLE","NO CUMPLE")</f>
        <v>CUMPLE</v>
      </c>
      <c r="BI447" s="10">
        <f>AX447*'Parametros'!$B$8</f>
        <v>1592</v>
      </c>
      <c r="BJ447" s="10" t="str">
        <f>IF(BI447&gt;=AW447,"CUMPLE","NO CUMPLE")</f>
        <v>CUMPLE</v>
      </c>
    </row>
    <row r="448">
      <c r="A448" s="25" t="inlineStr">
        <is>
          <t>VR2</t>
        </is>
      </c>
      <c r="B448" s="25" t="inlineStr">
        <is>
          <t>873</t>
        </is>
      </c>
      <c r="C448" s="10" t="n">
        <v>1</v>
      </c>
      <c r="D448" s="10" t="n">
        <v>3.05308</v>
      </c>
      <c r="E448" s="10" t="n">
        <v>3.05308</v>
      </c>
      <c r="F448" s="10" t="n">
        <v>500</v>
      </c>
      <c r="G448" s="10" t="n">
        <v>550</v>
      </c>
      <c r="H448" s="17" t="n">
        <v>500</v>
      </c>
      <c r="I448" s="17" t="n">
        <v>550</v>
      </c>
      <c r="J448" s="30" t="n">
        <v>125.3641</v>
      </c>
      <c r="K448" s="10" t="inlineStr">
        <is>
          <t>873</t>
        </is>
      </c>
      <c r="L448" s="30" t="n">
        <v>63.8484</v>
      </c>
      <c r="M448" s="10" t="inlineStr">
        <is>
          <t>873</t>
        </is>
      </c>
      <c r="N448" s="30" t="n">
        <v>110.029</v>
      </c>
      <c r="O448" s="30" t="n">
        <v>260.666</v>
      </c>
      <c r="P448" s="10" t="inlineStr">
        <is>
          <t>873</t>
        </is>
      </c>
      <c r="Q448" s="30" t="n">
        <v>31.8729</v>
      </c>
      <c r="R448" s="10">
        <f>MAX(MAX(1.4/'Parametros'!$B$3,0.25*SQRT('Parametros'!$B$2)/'Parametros'!$B$3)*H448*U448,(0.85*'Parametros'!$B$2/'Parametros'!$B$3)*(1-SQRT(1-2*(J448*1000000/('Parametros'!$B$5*H448*U448^2))/(0.85*'Parametros'!$B$2)))*H448*U448)</f>
        <v>815.583333333333</v>
      </c>
      <c r="S448" s="31" t="n">
        <v>5</v>
      </c>
      <c r="T448" s="32" t="n">
        <v>1</v>
      </c>
      <c r="U448" s="10">
        <f>IF(T448=1,I448-('Parametros'!$B$7+'Parametros'!$B$9+'Parametros'!$B$12/2),I448-(ROUNDUP(S448/2,0)*('Parametros'!$B$7+'Parametros'!$B$9+'Parametros'!$B$12/2)+ROUNDDOWN(S448/2,0)*('Parametros'!$B$7+'Parametros'!$B$9+'Parametros'!$B$12/2+'Parametros'!$B$12+'Parametros'!$B$10))/S448)</f>
        <v>489.35</v>
      </c>
      <c r="V448" s="10">
        <f>S448*'Parametros'!$B$8</f>
        <v>995</v>
      </c>
      <c r="W448" s="10">
        <f>'Parametros'!$B$5*V448*'Parametros'!$B$3*(U448-(V448*'Parametros'!$B$3/(0.85*'Parametros'!$B$2*H448))/2)/1000000</f>
        <v>177.445379382353</v>
      </c>
      <c r="X448" s="10" t="str">
        <f>IF(W448&gt;=J448,"CUMPLE","NO CUMPLE")</f>
        <v>CUMPLE</v>
      </c>
      <c r="Y448" s="10">
        <f>MAX(MAX(1.4/'Parametros'!$B$3,0.25*SQRT('Parametros'!$B$2)/'Parametros'!$B$3)*H448*AB448,(0.85*'Parametros'!$B$2/'Parametros'!$B$3)*(1-SQRT(1-2*(L448*1000000/('Parametros'!$B$5*H448*AB448^2))/(0.85*'Parametros'!$B$2)))*H448*AB448)</f>
        <v>815.583333333333</v>
      </c>
      <c r="Z448" s="31" t="n">
        <v>5</v>
      </c>
      <c r="AA448" s="32" t="n">
        <v>1</v>
      </c>
      <c r="AB448" s="10">
        <f>IF(AA448=1,I448-('Parametros'!$B$7+'Parametros'!$B$9+'Parametros'!$B$12/2),I448-(ROUNDUP(Z448/2,0)*('Parametros'!$B$7+'Parametros'!$B$9+'Parametros'!$B$12/2)+ROUNDDOWN(Z448/2,0)*('Parametros'!$B$7+'Parametros'!$B$9+'Parametros'!$B$12/2+'Parametros'!$B$12+'Parametros'!$B$10))/Z448)</f>
        <v>489.35</v>
      </c>
      <c r="AC448" s="10">
        <f>Z448*'Parametros'!$B$8</f>
        <v>995</v>
      </c>
      <c r="AD448" s="10">
        <f>'Parametros'!$B$5*AC448*'Parametros'!$B$3*(AB448-(AC448*'Parametros'!$B$3/(0.85*'Parametros'!$B$2*H448))/2)/1000000</f>
        <v>177.445379382353</v>
      </c>
      <c r="AE448" s="10" t="str">
        <f>IF(AD448&gt;=L448,"CUMPLE","NO CUMPLE")</f>
        <v>CUMPLE</v>
      </c>
      <c r="AF448" s="10">
        <f>V448*1.25*'Parametros'!$B$3*(U448-(V448*1.25*'Parametros'!$B$3/(0.85*'Parametros'!$B$2*H448))/2)/1000000</f>
        <v>244.158843198529</v>
      </c>
      <c r="AG448" s="10">
        <f>AC448*1.25*'Parametros'!$B$3*(AB448-(AC448*1.25*'Parametros'!$B$3/(0.85*'Parametros'!$B$2*H448))/2)/1000000</f>
        <v>244.158843198529</v>
      </c>
      <c r="AH448" s="10">
        <f>N448+(AF448+AG448)/D448</f>
        <v>269.97164362449</v>
      </c>
      <c r="AI448" s="10">
        <f>MAX(O448,AH448)</f>
        <v>269.97164362449</v>
      </c>
      <c r="AJ448" s="10">
        <f>0.17*SQRT('Parametros'!$B$2)*H448*MIN(U448,AB448)/1000</f>
        <v>220.098728691808</v>
      </c>
      <c r="AK448" s="10">
        <f>MAX(AI448/'Parametros'!$B$6-AJ448,0)</f>
        <v>139.863462807513</v>
      </c>
      <c r="AL448" s="10">
        <f>0.66*SQRT('Parametros'!$B$2)*H448*MIN(U448,AB448)/1000</f>
        <v>854.500946685842</v>
      </c>
      <c r="AM448" s="10" t="str">
        <f>IF(AK448&lt;=AL448,"CUMPLE","NO CUMPLE")</f>
        <v>CUMPLE</v>
      </c>
      <c r="AN448" s="17" t="inlineStr">
        <is>
          <t>Nº3 cerrado</t>
        </is>
      </c>
      <c r="AO448" s="31" t="n">
        <v>2</v>
      </c>
      <c r="AP448" s="10">
        <f>ROUNDDOWN(MIN(IF(BC448+BD448=0,1000000000,AO448*BB448/(BC448+BD448)),MIN(U448,AB448)/4,8*'Parametros'!$B$12,24*BA448,300,IF(AV448=0,1000000000,2*((H448-2*('Parametros'!$B$7+'Parametros'!$B$9/2))+(I448-2*('Parametros'!$B$7+'Parametros'!$B$9/2)))/8))/10,0)*10</f>
        <v>100</v>
      </c>
      <c r="AQ448" s="10">
        <f>ROUNDDOWN(MIN(IF(BC448+BD448=0,1000000000,AO448*BB448/(BC448+BD448)),IF(AK448&gt;0.33*SQRT('Parametros'!$B$2)*H448*MIN(U448,AB448)/1000,MIN(U448,AB448)/4,MIN(U448,AB448)/2),600,IF(AV448=0,1000000000,2*((H448-2*('Parametros'!$B$7+'Parametros'!$B$9/2))+(I448-2*('Parametros'!$B$7+'Parametros'!$B$9/2)))/8))/10,0)*10</f>
        <v>100</v>
      </c>
      <c r="AR448" s="10">
        <f>'Parametros'!$B$6*(AJ448+MAX(BE448-BD448,0)*'Parametros'!$B$4*MIN(U448,AB448)/1000)</f>
        <v>285.444332014105</v>
      </c>
      <c r="AS448" s="10" t="str">
        <f>IF(AND(ISERROR(SEARCH("referencia",AN448)),AM448="CUMPLE",AR448&gt;=AI448),"CUMPLE","NO CUMPLE")</f>
        <v>CUMPLE</v>
      </c>
      <c r="AT448" s="10">
        <f>'Parametros'!$B$6*0.083*SQRT('Parametros'!$B$2)*(H448*I448)^2/(2*(H448+I448))/1000000</f>
        <v>11.862178757599</v>
      </c>
      <c r="AU448" s="10" t="str">
        <f>IF(Q448&lt;=AT448,"DESPRECIABLE","DISEÑAR")</f>
        <v>DISEÑAR</v>
      </c>
      <c r="AV448" s="10">
        <f>IF(Q448&lt;=AT448,0,Q448*1000000/('Parametros'!$B$6*2*0.85*(H448-2*('Parametros'!$B$7+'Parametros'!$B$9/2))*(I448-2*('Parametros'!$B$7+'Parametros'!$B$9/2))*'Parametros'!$B$4))</f>
        <v>0.319555644772547</v>
      </c>
      <c r="AW448" s="10">
        <f>AV448*2*((H448-2*('Parametros'!$B$7+'Parametros'!$B$9/2))+(I448-2*('Parametros'!$B$7+'Parametros'!$B$9/2)))*'Parametros'!$B$4/'Parametros'!$B$3</f>
        <v>552.575620940689</v>
      </c>
      <c r="AX448" s="31" t="n">
        <v>8</v>
      </c>
      <c r="AY448" s="10" t="str">
        <f>IF(AV448=0,"DESPRECIABLE",IF(AND(ISERROR(SEARCH("referencia",AN448)),BB448/AP448&gt;=AV448,BI448&gt;=AW448,BH448="CUMPLE"),"CUMPLE","NO CUMPLE"))</f>
        <v>CUMPLE</v>
      </c>
      <c r="AZ448" s="10" t="str">
        <f>IF(AND(X448="CUMPLE",AE448="CUMPLE",AS448="CUMPLE",OR(AY448="CUMPLE",AY448="DESPRECIABLE"),BH448="CUMPLE",BJ448="CUMPLE"),"CUMPLE","NO CUMPLE")</f>
        <v>CUMPLE</v>
      </c>
      <c r="BA448" s="32" t="n">
        <v>9.5</v>
      </c>
      <c r="BB448" s="32" t="n">
        <v>71</v>
      </c>
      <c r="BC448" s="10">
        <f>MAX(IF(AK448=0,0,AK448*1000/('Parametros'!$B$4*MIN(U448,AB448))),MAX(0.062*SQRT('Parametros'!$B$2)*H448/'Parametros'!$B$4,0.35*H448/'Parametros'!$B$4))</f>
        <v>0.680511381996101</v>
      </c>
      <c r="BD448" s="10">
        <f>2*AV448</f>
        <v>0.639111289545094</v>
      </c>
      <c r="BE448" s="10">
        <f>AO448*BB448/AP448</f>
        <v>1.42</v>
      </c>
      <c r="BF448" s="10">
        <f>SQRT((AI448*1000/(H448*MIN(U448,AB448)))^2+(Q448*1000000*2*((H448-2*('Parametros'!$B$7+'Parametros'!$B$9/2))+(I448-2*('Parametros'!$B$7+'Parametros'!$B$9/2)))/(1.7*((H448-2*('Parametros'!$B$7+'Parametros'!$B$9/2))*(I448-2*('Parametros'!$B$7+'Parametros'!$B$9/2)))^2))^2)</f>
        <v>1.44595524908789</v>
      </c>
      <c r="BG448" s="10">
        <f>'Parametros'!$B$6*(AJ448*1000/(H448*MIN(U448,AB448))+0.66*SQRT('Parametros'!$B$2))</f>
        <v>3.29396038227542</v>
      </c>
      <c r="BH448" s="10" t="str">
        <f>IF(BF448&lt;=BG448,"CUMPLE","NO CUMPLE")</f>
        <v>CUMPLE</v>
      </c>
      <c r="BI448" s="10">
        <f>AX448*'Parametros'!$B$8</f>
        <v>1592</v>
      </c>
      <c r="BJ448" s="10" t="str">
        <f>IF(BI448&gt;=AW448,"CUMPLE","NO CUMPLE")</f>
        <v>CUMPLE</v>
      </c>
    </row>
    <row r="449">
      <c r="A449" s="25" t="inlineStr">
        <is>
          <t>VR2</t>
        </is>
      </c>
      <c r="B449" s="25" t="inlineStr">
        <is>
          <t>874</t>
        </is>
      </c>
      <c r="C449" s="10" t="n">
        <v>1</v>
      </c>
      <c r="D449" s="10" t="n">
        <v>2</v>
      </c>
      <c r="E449" s="10" t="n">
        <v>2</v>
      </c>
      <c r="F449" s="10" t="n">
        <v>500</v>
      </c>
      <c r="G449" s="10" t="n">
        <v>550</v>
      </c>
      <c r="H449" s="17" t="n">
        <v>500</v>
      </c>
      <c r="I449" s="17" t="n">
        <v>550</v>
      </c>
      <c r="J449" s="30" t="n">
        <v>105.5407</v>
      </c>
      <c r="K449" s="10" t="inlineStr">
        <is>
          <t>874</t>
        </is>
      </c>
      <c r="L449" s="30" t="n">
        <v>46.3973</v>
      </c>
      <c r="M449" s="10" t="inlineStr">
        <is>
          <t>874</t>
        </is>
      </c>
      <c r="N449" s="30" t="n">
        <v>96.694</v>
      </c>
      <c r="O449" s="30" t="n">
        <v>248.413</v>
      </c>
      <c r="P449" s="10" t="inlineStr">
        <is>
          <t>874</t>
        </is>
      </c>
      <c r="Q449" s="30" t="n">
        <v>4.0392</v>
      </c>
      <c r="R449" s="10">
        <f>MAX(MAX(1.4/'Parametros'!$B$3,0.25*SQRT('Parametros'!$B$2)/'Parametros'!$B$3)*H449*U449,(0.85*'Parametros'!$B$2/'Parametros'!$B$3)*(1-SQRT(1-2*(J449*1000000/('Parametros'!$B$5*H449*U449^2))/(0.85*'Parametros'!$B$2)))*H449*U449)</f>
        <v>815.583333333333</v>
      </c>
      <c r="S449" s="31" t="n">
        <v>5</v>
      </c>
      <c r="T449" s="32" t="n">
        <v>1</v>
      </c>
      <c r="U449" s="10">
        <f>IF(T449=1,I449-('Parametros'!$B$7+'Parametros'!$B$9+'Parametros'!$B$12/2),I449-(ROUNDUP(S449/2,0)*('Parametros'!$B$7+'Parametros'!$B$9+'Parametros'!$B$12/2)+ROUNDDOWN(S449/2,0)*('Parametros'!$B$7+'Parametros'!$B$9+'Parametros'!$B$12/2+'Parametros'!$B$12+'Parametros'!$B$10))/S449)</f>
        <v>489.35</v>
      </c>
      <c r="V449" s="10">
        <f>S449*'Parametros'!$B$8</f>
        <v>995</v>
      </c>
      <c r="W449" s="10">
        <f>'Parametros'!$B$5*V449*'Parametros'!$B$3*(U449-(V449*'Parametros'!$B$3/(0.85*'Parametros'!$B$2*H449))/2)/1000000</f>
        <v>177.445379382353</v>
      </c>
      <c r="X449" s="10" t="str">
        <f>IF(W449&gt;=J449,"CUMPLE","NO CUMPLE")</f>
        <v>CUMPLE</v>
      </c>
      <c r="Y449" s="10">
        <f>MAX(MAX(1.4/'Parametros'!$B$3,0.25*SQRT('Parametros'!$B$2)/'Parametros'!$B$3)*H449*AB449,(0.85*'Parametros'!$B$2/'Parametros'!$B$3)*(1-SQRT(1-2*(L449*1000000/('Parametros'!$B$5*H449*AB449^2))/(0.85*'Parametros'!$B$2)))*H449*AB449)</f>
        <v>815.583333333333</v>
      </c>
      <c r="Z449" s="31" t="n">
        <v>5</v>
      </c>
      <c r="AA449" s="32" t="n">
        <v>1</v>
      </c>
      <c r="AB449" s="10">
        <f>IF(AA449=1,I449-('Parametros'!$B$7+'Parametros'!$B$9+'Parametros'!$B$12/2),I449-(ROUNDUP(Z449/2,0)*('Parametros'!$B$7+'Parametros'!$B$9+'Parametros'!$B$12/2)+ROUNDDOWN(Z449/2,0)*('Parametros'!$B$7+'Parametros'!$B$9+'Parametros'!$B$12/2+'Parametros'!$B$12+'Parametros'!$B$10))/Z449)</f>
        <v>489.35</v>
      </c>
      <c r="AC449" s="10">
        <f>Z449*'Parametros'!$B$8</f>
        <v>995</v>
      </c>
      <c r="AD449" s="10">
        <f>'Parametros'!$B$5*AC449*'Parametros'!$B$3*(AB449-(AC449*'Parametros'!$B$3/(0.85*'Parametros'!$B$2*H449))/2)/1000000</f>
        <v>177.445379382353</v>
      </c>
      <c r="AE449" s="10" t="str">
        <f>IF(AD449&gt;=L449,"CUMPLE","NO CUMPLE")</f>
        <v>CUMPLE</v>
      </c>
      <c r="AF449" s="10">
        <f>V449*1.25*'Parametros'!$B$3*(U449-(V449*1.25*'Parametros'!$B$3/(0.85*'Parametros'!$B$2*H449))/2)/1000000</f>
        <v>244.158843198529</v>
      </c>
      <c r="AG449" s="10">
        <f>AC449*1.25*'Parametros'!$B$3*(AB449-(AC449*1.25*'Parametros'!$B$3/(0.85*'Parametros'!$B$2*H449))/2)/1000000</f>
        <v>244.158843198529</v>
      </c>
      <c r="AH449" s="10">
        <f>N449+(AF449+AG449)/D449</f>
        <v>340.852843198529</v>
      </c>
      <c r="AI449" s="10">
        <f>MAX(O449,AH449)</f>
        <v>340.852843198529</v>
      </c>
      <c r="AJ449" s="10">
        <f>0.17*SQRT('Parametros'!$B$2)*H449*MIN(U449,AB449)/1000</f>
        <v>220.098728691808</v>
      </c>
      <c r="AK449" s="10">
        <f>MAX(AI449/'Parametros'!$B$6-AJ449,0)</f>
        <v>234.371728906231</v>
      </c>
      <c r="AL449" s="10">
        <f>0.66*SQRT('Parametros'!$B$2)*H449*MIN(U449,AB449)/1000</f>
        <v>854.500946685842</v>
      </c>
      <c r="AM449" s="10" t="str">
        <f>IF(AK449&lt;=AL449,"CUMPLE","NO CUMPLE")</f>
        <v>CUMPLE</v>
      </c>
      <c r="AN449" s="17" t="inlineStr">
        <is>
          <t>Nº3 cerrado</t>
        </is>
      </c>
      <c r="AO449" s="31" t="n">
        <v>2</v>
      </c>
      <c r="AP449" s="10">
        <f>ROUNDDOWN(MIN(IF(BC449+BD449=0,1000000000,AO449*BB449/(BC449+BD449)),MIN(U449,AB449)/4,8*'Parametros'!$B$12,24*BA449,300,IF(AV449=0,1000000000,2*((H449-2*('Parametros'!$B$7+'Parametros'!$B$9/2))+(I449-2*('Parametros'!$B$7+'Parametros'!$B$9/2)))/8))/10,0)*10</f>
        <v>120</v>
      </c>
      <c r="AQ449" s="10">
        <f>ROUNDDOWN(MIN(IF(BC449+BD449=0,1000000000,AO449*BB449/(BC449+BD449)),IF(AK449&gt;0.33*SQRT('Parametros'!$B$2)*H449*MIN(U449,AB449)/1000,MIN(U449,AB449)/4,MIN(U449,AB449)/2),600,IF(AV449=0,1000000000,2*((H449-2*('Parametros'!$B$7+'Parametros'!$B$9/2))+(I449-2*('Parametros'!$B$7+'Parametros'!$B$9/2)))/8))/10,0)*10</f>
        <v>120</v>
      </c>
      <c r="AR449" s="10">
        <f>'Parametros'!$B$6*(AJ449+MAX(BE449-BD449,0)*'Parametros'!$B$4*MIN(U449,AB449)/1000)</f>
        <v>347.479259018856</v>
      </c>
      <c r="AS449" s="10" t="str">
        <f>IF(AND(ISERROR(SEARCH("referencia",AN449)),AM449="CUMPLE",AR449&gt;=AI449),"CUMPLE","NO CUMPLE")</f>
        <v>CUMPLE</v>
      </c>
      <c r="AT449" s="10">
        <f>'Parametros'!$B$6*0.083*SQRT('Parametros'!$B$2)*(H449*I449)^2/(2*(H449+I449))/1000000</f>
        <v>11.862178757599</v>
      </c>
      <c r="AU449" s="10" t="str">
        <f>IF(Q449&lt;=AT449,"DESPRECIABLE","DISEÑAR")</f>
        <v>DESPRECIABLE</v>
      </c>
      <c r="AV449" s="10">
        <f>IF(Q449&lt;=AT449,0,Q449*1000000/('Parametros'!$B$6*2*0.85*(H449-2*('Parametros'!$B$7+'Parametros'!$B$9/2))*(I449-2*('Parametros'!$B$7+'Parametros'!$B$9/2))*'Parametros'!$B$4))</f>
        <v>0</v>
      </c>
      <c r="AW449" s="10">
        <f>AV449*2*((H449-2*('Parametros'!$B$7+'Parametros'!$B$9/2))+(I449-2*('Parametros'!$B$7+'Parametros'!$B$9/2)))*'Parametros'!$B$4/'Parametros'!$B$3</f>
        <v>0</v>
      </c>
      <c r="AX449" s="31" t="n">
        <v>0</v>
      </c>
      <c r="AY449" s="10" t="str">
        <f>IF(AV449=0,"DESPRECIABLE",IF(AND(ISERROR(SEARCH("referencia",AN449)),BB449/AP449&gt;=AV449,BI449&gt;=AW449,BH449="CUMPLE"),"CUMPLE","NO CUMPLE"))</f>
        <v>DESPRECIABLE</v>
      </c>
      <c r="AZ449" s="10" t="str">
        <f>IF(AND(X449="CUMPLE",AE449="CUMPLE",AS449="CUMPLE",OR(AY449="CUMPLE",AY449="DESPRECIABLE"),BH449="CUMPLE",BJ449="CUMPLE"),"CUMPLE","NO CUMPLE")</f>
        <v>CUMPLE</v>
      </c>
      <c r="BA449" s="32" t="n">
        <v>9.5</v>
      </c>
      <c r="BB449" s="32" t="n">
        <v>71</v>
      </c>
      <c r="BC449" s="10">
        <f>MAX(IF(AK449=0,0,AK449*1000/('Parametros'!$B$4*MIN(U449,AB449))),MAX(0.062*SQRT('Parametros'!$B$2)*H449/'Parametros'!$B$4,0.35*H449/'Parametros'!$B$4))</f>
        <v>1.1403452047966</v>
      </c>
      <c r="BD449" s="10">
        <f>2*AV449</f>
        <v>0</v>
      </c>
      <c r="BE449" s="10">
        <f>AO449*BB449/AP449</f>
        <v>1.18333333333333</v>
      </c>
      <c r="BF449" s="10">
        <f>SQRT((AI449*1000/(H449*MIN(U449,AB449)))^2+(Q449*1000000*2*((H449-2*('Parametros'!$B$7+'Parametros'!$B$9/2))+(I449-2*('Parametros'!$B$7+'Parametros'!$B$9/2)))/(1.7*((H449-2*('Parametros'!$B$7+'Parametros'!$B$9/2))*(I449-2*('Parametros'!$B$7+'Parametros'!$B$9/2)))^2))^2)</f>
        <v>1.39810900475658</v>
      </c>
      <c r="BG449" s="10">
        <f>'Parametros'!$B$6*(AJ449*1000/(H449*MIN(U449,AB449))+0.66*SQRT('Parametros'!$B$2))</f>
        <v>3.29396038227542</v>
      </c>
      <c r="BH449" s="10" t="str">
        <f>IF(BF449&lt;=BG449,"CUMPLE","NO CUMPLE")</f>
        <v>CUMPLE</v>
      </c>
      <c r="BI449" s="10">
        <f>AX449*'Parametros'!$B$8</f>
        <v>0</v>
      </c>
      <c r="BJ449" s="10" t="str">
        <f>IF(BI449&gt;=AW449,"CUMPLE","NO CUMPLE")</f>
        <v>CUMPLE</v>
      </c>
    </row>
    <row r="450">
      <c r="A450" s="25" t="inlineStr">
        <is>
          <t>VR2</t>
        </is>
      </c>
      <c r="B450" s="25" t="inlineStr">
        <is>
          <t>885</t>
        </is>
      </c>
      <c r="C450" s="10" t="n">
        <v>1</v>
      </c>
      <c r="D450" s="10" t="n">
        <v>2</v>
      </c>
      <c r="E450" s="10" t="n">
        <v>2</v>
      </c>
      <c r="F450" s="10" t="n">
        <v>500</v>
      </c>
      <c r="G450" s="10" t="n">
        <v>550</v>
      </c>
      <c r="H450" s="17" t="n">
        <v>500</v>
      </c>
      <c r="I450" s="17" t="n">
        <v>550</v>
      </c>
      <c r="J450" s="30" t="n">
        <v>105.7076</v>
      </c>
      <c r="K450" s="10" t="inlineStr">
        <is>
          <t>885</t>
        </is>
      </c>
      <c r="L450" s="30" t="n">
        <v>46.5347</v>
      </c>
      <c r="M450" s="10" t="inlineStr">
        <is>
          <t>885</t>
        </is>
      </c>
      <c r="N450" s="30" t="n">
        <v>96.81100000000001</v>
      </c>
      <c r="O450" s="30" t="n">
        <v>248.532</v>
      </c>
      <c r="P450" s="10" t="inlineStr">
        <is>
          <t>885</t>
        </is>
      </c>
      <c r="Q450" s="30" t="n">
        <v>4.04</v>
      </c>
      <c r="R450" s="10">
        <f>MAX(MAX(1.4/'Parametros'!$B$3,0.25*SQRT('Parametros'!$B$2)/'Parametros'!$B$3)*H450*U450,(0.85*'Parametros'!$B$2/'Parametros'!$B$3)*(1-SQRT(1-2*(J450*1000000/('Parametros'!$B$5*H450*U450^2))/(0.85*'Parametros'!$B$2)))*H450*U450)</f>
        <v>815.583333333333</v>
      </c>
      <c r="S450" s="31" t="n">
        <v>5</v>
      </c>
      <c r="T450" s="32" t="n">
        <v>1</v>
      </c>
      <c r="U450" s="10">
        <f>IF(T450=1,I450-('Parametros'!$B$7+'Parametros'!$B$9+'Parametros'!$B$12/2),I450-(ROUNDUP(S450/2,0)*('Parametros'!$B$7+'Parametros'!$B$9+'Parametros'!$B$12/2)+ROUNDDOWN(S450/2,0)*('Parametros'!$B$7+'Parametros'!$B$9+'Parametros'!$B$12/2+'Parametros'!$B$12+'Parametros'!$B$10))/S450)</f>
        <v>489.35</v>
      </c>
      <c r="V450" s="10">
        <f>S450*'Parametros'!$B$8</f>
        <v>995</v>
      </c>
      <c r="W450" s="10">
        <f>'Parametros'!$B$5*V450*'Parametros'!$B$3*(U450-(V450*'Parametros'!$B$3/(0.85*'Parametros'!$B$2*H450))/2)/1000000</f>
        <v>177.445379382353</v>
      </c>
      <c r="X450" s="10" t="str">
        <f>IF(W450&gt;=J450,"CUMPLE","NO CUMPLE")</f>
        <v>CUMPLE</v>
      </c>
      <c r="Y450" s="10">
        <f>MAX(MAX(1.4/'Parametros'!$B$3,0.25*SQRT('Parametros'!$B$2)/'Parametros'!$B$3)*H450*AB450,(0.85*'Parametros'!$B$2/'Parametros'!$B$3)*(1-SQRT(1-2*(L450*1000000/('Parametros'!$B$5*H450*AB450^2))/(0.85*'Parametros'!$B$2)))*H450*AB450)</f>
        <v>815.583333333333</v>
      </c>
      <c r="Z450" s="31" t="n">
        <v>5</v>
      </c>
      <c r="AA450" s="32" t="n">
        <v>1</v>
      </c>
      <c r="AB450" s="10">
        <f>IF(AA450=1,I450-('Parametros'!$B$7+'Parametros'!$B$9+'Parametros'!$B$12/2),I450-(ROUNDUP(Z450/2,0)*('Parametros'!$B$7+'Parametros'!$B$9+'Parametros'!$B$12/2)+ROUNDDOWN(Z450/2,0)*('Parametros'!$B$7+'Parametros'!$B$9+'Parametros'!$B$12/2+'Parametros'!$B$12+'Parametros'!$B$10))/Z450)</f>
        <v>489.35</v>
      </c>
      <c r="AC450" s="10">
        <f>Z450*'Parametros'!$B$8</f>
        <v>995</v>
      </c>
      <c r="AD450" s="10">
        <f>'Parametros'!$B$5*AC450*'Parametros'!$B$3*(AB450-(AC450*'Parametros'!$B$3/(0.85*'Parametros'!$B$2*H450))/2)/1000000</f>
        <v>177.445379382353</v>
      </c>
      <c r="AE450" s="10" t="str">
        <f>IF(AD450&gt;=L450,"CUMPLE","NO CUMPLE")</f>
        <v>CUMPLE</v>
      </c>
      <c r="AF450" s="10">
        <f>V450*1.25*'Parametros'!$B$3*(U450-(V450*1.25*'Parametros'!$B$3/(0.85*'Parametros'!$B$2*H450))/2)/1000000</f>
        <v>244.158843198529</v>
      </c>
      <c r="AG450" s="10">
        <f>AC450*1.25*'Parametros'!$B$3*(AB450-(AC450*1.25*'Parametros'!$B$3/(0.85*'Parametros'!$B$2*H450))/2)/1000000</f>
        <v>244.158843198529</v>
      </c>
      <c r="AH450" s="10">
        <f>N450+(AF450+AG450)/D450</f>
        <v>340.969843198529</v>
      </c>
      <c r="AI450" s="10">
        <f>MAX(O450,AH450)</f>
        <v>340.969843198529</v>
      </c>
      <c r="AJ450" s="10">
        <f>0.17*SQRT('Parametros'!$B$2)*H450*MIN(U450,AB450)/1000</f>
        <v>220.098728691808</v>
      </c>
      <c r="AK450" s="10">
        <f>MAX(AI450/'Parametros'!$B$6-AJ450,0)</f>
        <v>234.527728906231</v>
      </c>
      <c r="AL450" s="10">
        <f>0.66*SQRT('Parametros'!$B$2)*H450*MIN(U450,AB450)/1000</f>
        <v>854.500946685842</v>
      </c>
      <c r="AM450" s="10" t="str">
        <f>IF(AK450&lt;=AL450,"CUMPLE","NO CUMPLE")</f>
        <v>CUMPLE</v>
      </c>
      <c r="AN450" s="17" t="inlineStr">
        <is>
          <t>Nº3 cerrado</t>
        </is>
      </c>
      <c r="AO450" s="31" t="n">
        <v>2</v>
      </c>
      <c r="AP450" s="10">
        <f>ROUNDDOWN(MIN(IF(BC450+BD450=0,1000000000,AO450*BB450/(BC450+BD450)),MIN(U450,AB450)/4,8*'Parametros'!$B$12,24*BA450,300,IF(AV450=0,1000000000,2*((H450-2*('Parametros'!$B$7+'Parametros'!$B$9/2))+(I450-2*('Parametros'!$B$7+'Parametros'!$B$9/2)))/8))/10,0)*10</f>
        <v>120</v>
      </c>
      <c r="AQ450" s="10">
        <f>ROUNDDOWN(MIN(IF(BC450+BD450=0,1000000000,AO450*BB450/(BC450+BD450)),IF(AK450&gt;0.33*SQRT('Parametros'!$B$2)*H450*MIN(U450,AB450)/1000,MIN(U450,AB450)/4,MIN(U450,AB450)/2),600,IF(AV450=0,1000000000,2*((H450-2*('Parametros'!$B$7+'Parametros'!$B$9/2))+(I450-2*('Parametros'!$B$7+'Parametros'!$B$9/2)))/8))/10,0)*10</f>
        <v>120</v>
      </c>
      <c r="AR450" s="10">
        <f>'Parametros'!$B$6*(AJ450+MAX(BE450-BD450,0)*'Parametros'!$B$4*MIN(U450,AB450)/1000)</f>
        <v>347.479259018856</v>
      </c>
      <c r="AS450" s="10" t="str">
        <f>IF(AND(ISERROR(SEARCH("referencia",AN450)),AM450="CUMPLE",AR450&gt;=AI450),"CUMPLE","NO CUMPLE")</f>
        <v>CUMPLE</v>
      </c>
      <c r="AT450" s="10">
        <f>'Parametros'!$B$6*0.083*SQRT('Parametros'!$B$2)*(H450*I450)^2/(2*(H450+I450))/1000000</f>
        <v>11.862178757599</v>
      </c>
      <c r="AU450" s="10" t="str">
        <f>IF(Q450&lt;=AT450,"DESPRECIABLE","DISEÑAR")</f>
        <v>DESPRECIABLE</v>
      </c>
      <c r="AV450" s="10">
        <f>IF(Q450&lt;=AT450,0,Q450*1000000/('Parametros'!$B$6*2*0.85*(H450-2*('Parametros'!$B$7+'Parametros'!$B$9/2))*(I450-2*('Parametros'!$B$7+'Parametros'!$B$9/2))*'Parametros'!$B$4))</f>
        <v>0</v>
      </c>
      <c r="AW450" s="10">
        <f>AV450*2*((H450-2*('Parametros'!$B$7+'Parametros'!$B$9/2))+(I450-2*('Parametros'!$B$7+'Parametros'!$B$9/2)))*'Parametros'!$B$4/'Parametros'!$B$3</f>
        <v>0</v>
      </c>
      <c r="AX450" s="31" t="n">
        <v>0</v>
      </c>
      <c r="AY450" s="10" t="str">
        <f>IF(AV450=0,"DESPRECIABLE",IF(AND(ISERROR(SEARCH("referencia",AN450)),BB450/AP450&gt;=AV450,BI450&gt;=AW450,BH450="CUMPLE"),"CUMPLE","NO CUMPLE"))</f>
        <v>DESPRECIABLE</v>
      </c>
      <c r="AZ450" s="10" t="str">
        <f>IF(AND(X450="CUMPLE",AE450="CUMPLE",AS450="CUMPLE",OR(AY450="CUMPLE",AY450="DESPRECIABLE"),BH450="CUMPLE",BJ450="CUMPLE"),"CUMPLE","NO CUMPLE")</f>
        <v>CUMPLE</v>
      </c>
      <c r="BA450" s="32" t="n">
        <v>9.5</v>
      </c>
      <c r="BB450" s="32" t="n">
        <v>71</v>
      </c>
      <c r="BC450" s="10">
        <f>MAX(IF(AK450=0,0,AK450*1000/('Parametros'!$B$4*MIN(U450,AB450))),MAX(0.062*SQRT('Parametros'!$B$2)*H450/'Parametros'!$B$4,0.35*H450/'Parametros'!$B$4))</f>
        <v>1.14110422915837</v>
      </c>
      <c r="BD450" s="10">
        <f>2*AV450</f>
        <v>0</v>
      </c>
      <c r="BE450" s="10">
        <f>AO450*BB450/AP450</f>
        <v>1.18333333333333</v>
      </c>
      <c r="BF450" s="10">
        <f>SQRT((AI450*1000/(H450*MIN(U450,AB450)))^2+(Q450*1000000*2*((H450-2*('Parametros'!$B$7+'Parametros'!$B$9/2))+(I450-2*('Parametros'!$B$7+'Parametros'!$B$9/2)))/(1.7*((H450-2*('Parametros'!$B$7+'Parametros'!$B$9/2))*(I450-2*('Parametros'!$B$7+'Parametros'!$B$9/2)))^2))^2)</f>
        <v>1.39858745845721</v>
      </c>
      <c r="BG450" s="10">
        <f>'Parametros'!$B$6*(AJ450*1000/(H450*MIN(U450,AB450))+0.66*SQRT('Parametros'!$B$2))</f>
        <v>3.29396038227542</v>
      </c>
      <c r="BH450" s="10" t="str">
        <f>IF(BF450&lt;=BG450,"CUMPLE","NO CUMPLE")</f>
        <v>CUMPLE</v>
      </c>
      <c r="BI450" s="10">
        <f>AX450*'Parametros'!$B$8</f>
        <v>0</v>
      </c>
      <c r="BJ450" s="10" t="str">
        <f>IF(BI450&gt;=AW450,"CUMPLE","NO CUMPLE")</f>
        <v>CUMPLE</v>
      </c>
    </row>
    <row r="451">
      <c r="A451" s="25" t="inlineStr">
        <is>
          <t>VR2</t>
        </is>
      </c>
      <c r="B451" s="25" t="inlineStr">
        <is>
          <t>886</t>
        </is>
      </c>
      <c r="C451" s="10" t="n">
        <v>1</v>
      </c>
      <c r="D451" s="10" t="n">
        <v>3.05308</v>
      </c>
      <c r="E451" s="10" t="n">
        <v>3.05308</v>
      </c>
      <c r="F451" s="10" t="n">
        <v>500</v>
      </c>
      <c r="G451" s="10" t="n">
        <v>550</v>
      </c>
      <c r="H451" s="17" t="n">
        <v>500</v>
      </c>
      <c r="I451" s="17" t="n">
        <v>550</v>
      </c>
      <c r="J451" s="30" t="n">
        <v>125.2016</v>
      </c>
      <c r="K451" s="10" t="inlineStr">
        <is>
          <t>886</t>
        </is>
      </c>
      <c r="L451" s="30" t="n">
        <v>63.7528</v>
      </c>
      <c r="M451" s="10" t="inlineStr">
        <is>
          <t>886</t>
        </is>
      </c>
      <c r="N451" s="30" t="n">
        <v>109.951</v>
      </c>
      <c r="O451" s="30" t="n">
        <v>260.594</v>
      </c>
      <c r="P451" s="10" t="inlineStr">
        <is>
          <t>886</t>
        </is>
      </c>
      <c r="Q451" s="30" t="n">
        <v>31.8873</v>
      </c>
      <c r="R451" s="10">
        <f>MAX(MAX(1.4/'Parametros'!$B$3,0.25*SQRT('Parametros'!$B$2)/'Parametros'!$B$3)*H451*U451,(0.85*'Parametros'!$B$2/'Parametros'!$B$3)*(1-SQRT(1-2*(J451*1000000/('Parametros'!$B$5*H451*U451^2))/(0.85*'Parametros'!$B$2)))*H451*U451)</f>
        <v>815.583333333333</v>
      </c>
      <c r="S451" s="31" t="n">
        <v>5</v>
      </c>
      <c r="T451" s="32" t="n">
        <v>1</v>
      </c>
      <c r="U451" s="10">
        <f>IF(T451=1,I451-('Parametros'!$B$7+'Parametros'!$B$9+'Parametros'!$B$12/2),I451-(ROUNDUP(S451/2,0)*('Parametros'!$B$7+'Parametros'!$B$9+'Parametros'!$B$12/2)+ROUNDDOWN(S451/2,0)*('Parametros'!$B$7+'Parametros'!$B$9+'Parametros'!$B$12/2+'Parametros'!$B$12+'Parametros'!$B$10))/S451)</f>
        <v>489.35</v>
      </c>
      <c r="V451" s="10">
        <f>S451*'Parametros'!$B$8</f>
        <v>995</v>
      </c>
      <c r="W451" s="10">
        <f>'Parametros'!$B$5*V451*'Parametros'!$B$3*(U451-(V451*'Parametros'!$B$3/(0.85*'Parametros'!$B$2*H451))/2)/1000000</f>
        <v>177.445379382353</v>
      </c>
      <c r="X451" s="10" t="str">
        <f>IF(W451&gt;=J451,"CUMPLE","NO CUMPLE")</f>
        <v>CUMPLE</v>
      </c>
      <c r="Y451" s="10">
        <f>MAX(MAX(1.4/'Parametros'!$B$3,0.25*SQRT('Parametros'!$B$2)/'Parametros'!$B$3)*H451*AB451,(0.85*'Parametros'!$B$2/'Parametros'!$B$3)*(1-SQRT(1-2*(L451*1000000/('Parametros'!$B$5*H451*AB451^2))/(0.85*'Parametros'!$B$2)))*H451*AB451)</f>
        <v>815.583333333333</v>
      </c>
      <c r="Z451" s="31" t="n">
        <v>5</v>
      </c>
      <c r="AA451" s="32" t="n">
        <v>1</v>
      </c>
      <c r="AB451" s="10">
        <f>IF(AA451=1,I451-('Parametros'!$B$7+'Parametros'!$B$9+'Parametros'!$B$12/2),I451-(ROUNDUP(Z451/2,0)*('Parametros'!$B$7+'Parametros'!$B$9+'Parametros'!$B$12/2)+ROUNDDOWN(Z451/2,0)*('Parametros'!$B$7+'Parametros'!$B$9+'Parametros'!$B$12/2+'Parametros'!$B$12+'Parametros'!$B$10))/Z451)</f>
        <v>489.35</v>
      </c>
      <c r="AC451" s="10">
        <f>Z451*'Parametros'!$B$8</f>
        <v>995</v>
      </c>
      <c r="AD451" s="10">
        <f>'Parametros'!$B$5*AC451*'Parametros'!$B$3*(AB451-(AC451*'Parametros'!$B$3/(0.85*'Parametros'!$B$2*H451))/2)/1000000</f>
        <v>177.445379382353</v>
      </c>
      <c r="AE451" s="10" t="str">
        <f>IF(AD451&gt;=L451,"CUMPLE","NO CUMPLE")</f>
        <v>CUMPLE</v>
      </c>
      <c r="AF451" s="10">
        <f>V451*1.25*'Parametros'!$B$3*(U451-(V451*1.25*'Parametros'!$B$3/(0.85*'Parametros'!$B$2*H451))/2)/1000000</f>
        <v>244.158843198529</v>
      </c>
      <c r="AG451" s="10">
        <f>AC451*1.25*'Parametros'!$B$3*(AB451-(AC451*1.25*'Parametros'!$B$3/(0.85*'Parametros'!$B$2*H451))/2)/1000000</f>
        <v>244.158843198529</v>
      </c>
      <c r="AH451" s="10">
        <f>N451+(AF451+AG451)/D451</f>
        <v>269.89364362449</v>
      </c>
      <c r="AI451" s="10">
        <f>MAX(O451,AH451)</f>
        <v>269.89364362449</v>
      </c>
      <c r="AJ451" s="10">
        <f>0.17*SQRT('Parametros'!$B$2)*H451*MIN(U451,AB451)/1000</f>
        <v>220.098728691808</v>
      </c>
      <c r="AK451" s="10">
        <f>MAX(AI451/'Parametros'!$B$6-AJ451,0)</f>
        <v>139.759462807513</v>
      </c>
      <c r="AL451" s="10">
        <f>0.66*SQRT('Parametros'!$B$2)*H451*MIN(U451,AB451)/1000</f>
        <v>854.500946685842</v>
      </c>
      <c r="AM451" s="10" t="str">
        <f>IF(AK451&lt;=AL451,"CUMPLE","NO CUMPLE")</f>
        <v>CUMPLE</v>
      </c>
      <c r="AN451" s="17" t="inlineStr">
        <is>
          <t>Nº3 cerrado</t>
        </is>
      </c>
      <c r="AO451" s="31" t="n">
        <v>2</v>
      </c>
      <c r="AP451" s="10">
        <f>ROUNDDOWN(MIN(IF(BC451+BD451=0,1000000000,AO451*BB451/(BC451+BD451)),MIN(U451,AB451)/4,8*'Parametros'!$B$12,24*BA451,300,IF(AV451=0,1000000000,2*((H451-2*('Parametros'!$B$7+'Parametros'!$B$9/2))+(I451-2*('Parametros'!$B$7+'Parametros'!$B$9/2)))/8))/10,0)*10</f>
        <v>100</v>
      </c>
      <c r="AQ451" s="10">
        <f>ROUNDDOWN(MIN(IF(BC451+BD451=0,1000000000,AO451*BB451/(BC451+BD451)),IF(AK451&gt;0.33*SQRT('Parametros'!$B$2)*H451*MIN(U451,AB451)/1000,MIN(U451,AB451)/4,MIN(U451,AB451)/2),600,IF(AV451=0,1000000000,2*((H451-2*('Parametros'!$B$7+'Parametros'!$B$9/2))+(I451-2*('Parametros'!$B$7+'Parametros'!$B$9/2)))/8))/10,0)*10</f>
        <v>100</v>
      </c>
      <c r="AR451" s="10">
        <f>'Parametros'!$B$6*(AJ451+MAX(BE451-BD451,0)*'Parametros'!$B$4*MIN(U451,AB451)/1000)</f>
        <v>285.399823043761</v>
      </c>
      <c r="AS451" s="10" t="str">
        <f>IF(AND(ISERROR(SEARCH("referencia",AN451)),AM451="CUMPLE",AR451&gt;=AI451),"CUMPLE","NO CUMPLE")</f>
        <v>CUMPLE</v>
      </c>
      <c r="AT451" s="10">
        <f>'Parametros'!$B$6*0.083*SQRT('Parametros'!$B$2)*(H451*I451)^2/(2*(H451+I451))/1000000</f>
        <v>11.862178757599</v>
      </c>
      <c r="AU451" s="10" t="str">
        <f>IF(Q451&lt;=AT451,"DESPRECIABLE","DISEÑAR")</f>
        <v>DISEÑAR</v>
      </c>
      <c r="AV451" s="10">
        <f>IF(Q451&lt;=AT451,0,Q451*1000000/('Parametros'!$B$6*2*0.85*(H451-2*('Parametros'!$B$7+'Parametros'!$B$9/2))*(I451-2*('Parametros'!$B$7+'Parametros'!$B$9/2))*'Parametros'!$B$4))</f>
        <v>0.319700018246085</v>
      </c>
      <c r="AW451" s="10">
        <f>AV451*2*((H451-2*('Parametros'!$B$7+'Parametros'!$B$9/2))+(I451-2*('Parametros'!$B$7+'Parametros'!$B$9/2)))*'Parametros'!$B$4/'Parametros'!$B$3</f>
        <v>552.82527155113</v>
      </c>
      <c r="AX451" s="31" t="n">
        <v>8</v>
      </c>
      <c r="AY451" s="10" t="str">
        <f>IF(AV451=0,"DESPRECIABLE",IF(AND(ISERROR(SEARCH("referencia",AN451)),BB451/AP451&gt;=AV451,BI451&gt;=AW451,BH451="CUMPLE"),"CUMPLE","NO CUMPLE"))</f>
        <v>CUMPLE</v>
      </c>
      <c r="AZ451" s="10" t="str">
        <f>IF(AND(X451="CUMPLE",AE451="CUMPLE",AS451="CUMPLE",OR(AY451="CUMPLE",AY451="DESPRECIABLE"),BH451="CUMPLE",BJ451="CUMPLE"),"CUMPLE","NO CUMPLE")</f>
        <v>CUMPLE</v>
      </c>
      <c r="BA451" s="32" t="n">
        <v>9.5</v>
      </c>
      <c r="BB451" s="32" t="n">
        <v>71</v>
      </c>
      <c r="BC451" s="10">
        <f>MAX(IF(AK451=0,0,AK451*1000/('Parametros'!$B$4*MIN(U451,AB451))),MAX(0.062*SQRT('Parametros'!$B$2)*H451/'Parametros'!$B$4,0.35*H451/'Parametros'!$B$4))</f>
        <v>0.680005365754926</v>
      </c>
      <c r="BD451" s="10">
        <f>2*AV451</f>
        <v>0.63940003649217</v>
      </c>
      <c r="BE451" s="10">
        <f>AO451*BB451/AP451</f>
        <v>1.42</v>
      </c>
      <c r="BF451" s="10">
        <f>SQRT((AI451*1000/(H451*MIN(U451,AB451)))^2+(Q451*1000000*2*((H451-2*('Parametros'!$B$7+'Parametros'!$B$9/2))+(I451-2*('Parametros'!$B$7+'Parametros'!$B$9/2)))/(1.7*((H451-2*('Parametros'!$B$7+'Parametros'!$B$9/2))*(I451-2*('Parametros'!$B$7+'Parametros'!$B$9/2)))^2))^2)</f>
        <v>1.4459849533404</v>
      </c>
      <c r="BG451" s="10">
        <f>'Parametros'!$B$6*(AJ451*1000/(H451*MIN(U451,AB451))+0.66*SQRT('Parametros'!$B$2))</f>
        <v>3.29396038227542</v>
      </c>
      <c r="BH451" s="10" t="str">
        <f>IF(BF451&lt;=BG451,"CUMPLE","NO CUMPLE")</f>
        <v>CUMPLE</v>
      </c>
      <c r="BI451" s="10">
        <f>AX451*'Parametros'!$B$8</f>
        <v>1592</v>
      </c>
      <c r="BJ451" s="10" t="str">
        <f>IF(BI451&gt;=AW451,"CUMPLE","NO CUMPLE")</f>
        <v>CUMPLE</v>
      </c>
    </row>
    <row r="452">
      <c r="A452" s="25" t="inlineStr">
        <is>
          <t>VR2</t>
        </is>
      </c>
      <c r="B452" s="25" t="inlineStr">
        <is>
          <t>887</t>
        </is>
      </c>
      <c r="C452" s="10" t="n">
        <v>1</v>
      </c>
      <c r="D452" s="10" t="n">
        <v>2</v>
      </c>
      <c r="E452" s="10" t="n">
        <v>2</v>
      </c>
      <c r="F452" s="10" t="n">
        <v>500</v>
      </c>
      <c r="G452" s="10" t="n">
        <v>550</v>
      </c>
      <c r="H452" s="17" t="n">
        <v>500</v>
      </c>
      <c r="I452" s="17" t="n">
        <v>550</v>
      </c>
      <c r="J452" s="30" t="n">
        <v>100.8942</v>
      </c>
      <c r="K452" s="10" t="inlineStr">
        <is>
          <t>887</t>
        </is>
      </c>
      <c r="L452" s="30" t="n">
        <v>54.4275</v>
      </c>
      <c r="M452" s="10" t="inlineStr">
        <is>
          <t>887</t>
        </is>
      </c>
      <c r="N452" s="30" t="n">
        <v>105.656</v>
      </c>
      <c r="O452" s="30" t="n">
        <v>324.517</v>
      </c>
      <c r="P452" s="10" t="inlineStr">
        <is>
          <t>887</t>
        </is>
      </c>
      <c r="Q452" s="30" t="n">
        <v>26.2129</v>
      </c>
      <c r="R452" s="10">
        <f>MAX(MAX(1.4/'Parametros'!$B$3,0.25*SQRT('Parametros'!$B$2)/'Parametros'!$B$3)*H452*U452,(0.85*'Parametros'!$B$2/'Parametros'!$B$3)*(1-SQRT(1-2*(J452*1000000/('Parametros'!$B$5*H452*U452^2))/(0.85*'Parametros'!$B$2)))*H452*U452)</f>
        <v>815.583333333333</v>
      </c>
      <c r="S452" s="31" t="n">
        <v>5</v>
      </c>
      <c r="T452" s="32" t="n">
        <v>1</v>
      </c>
      <c r="U452" s="10">
        <f>IF(T452=1,I452-('Parametros'!$B$7+'Parametros'!$B$9+'Parametros'!$B$12/2),I452-(ROUNDUP(S452/2,0)*('Parametros'!$B$7+'Parametros'!$B$9+'Parametros'!$B$12/2)+ROUNDDOWN(S452/2,0)*('Parametros'!$B$7+'Parametros'!$B$9+'Parametros'!$B$12/2+'Parametros'!$B$12+'Parametros'!$B$10))/S452)</f>
        <v>489.35</v>
      </c>
      <c r="V452" s="10">
        <f>S452*'Parametros'!$B$8</f>
        <v>995</v>
      </c>
      <c r="W452" s="10">
        <f>'Parametros'!$B$5*V452*'Parametros'!$B$3*(U452-(V452*'Parametros'!$B$3/(0.85*'Parametros'!$B$2*H452))/2)/1000000</f>
        <v>177.445379382353</v>
      </c>
      <c r="X452" s="10" t="str">
        <f>IF(W452&gt;=J452,"CUMPLE","NO CUMPLE")</f>
        <v>CUMPLE</v>
      </c>
      <c r="Y452" s="10">
        <f>MAX(MAX(1.4/'Parametros'!$B$3,0.25*SQRT('Parametros'!$B$2)/'Parametros'!$B$3)*H452*AB452,(0.85*'Parametros'!$B$2/'Parametros'!$B$3)*(1-SQRT(1-2*(L452*1000000/('Parametros'!$B$5*H452*AB452^2))/(0.85*'Parametros'!$B$2)))*H452*AB452)</f>
        <v>815.583333333333</v>
      </c>
      <c r="Z452" s="31" t="n">
        <v>5</v>
      </c>
      <c r="AA452" s="32" t="n">
        <v>1</v>
      </c>
      <c r="AB452" s="10">
        <f>IF(AA452=1,I452-('Parametros'!$B$7+'Parametros'!$B$9+'Parametros'!$B$12/2),I452-(ROUNDUP(Z452/2,0)*('Parametros'!$B$7+'Parametros'!$B$9+'Parametros'!$B$12/2)+ROUNDDOWN(Z452/2,0)*('Parametros'!$B$7+'Parametros'!$B$9+'Parametros'!$B$12/2+'Parametros'!$B$12+'Parametros'!$B$10))/Z452)</f>
        <v>489.35</v>
      </c>
      <c r="AC452" s="10">
        <f>Z452*'Parametros'!$B$8</f>
        <v>995</v>
      </c>
      <c r="AD452" s="10">
        <f>'Parametros'!$B$5*AC452*'Parametros'!$B$3*(AB452-(AC452*'Parametros'!$B$3/(0.85*'Parametros'!$B$2*H452))/2)/1000000</f>
        <v>177.445379382353</v>
      </c>
      <c r="AE452" s="10" t="str">
        <f>IF(AD452&gt;=L452,"CUMPLE","NO CUMPLE")</f>
        <v>CUMPLE</v>
      </c>
      <c r="AF452" s="10">
        <f>V452*1.25*'Parametros'!$B$3*(U452-(V452*1.25*'Parametros'!$B$3/(0.85*'Parametros'!$B$2*H452))/2)/1000000</f>
        <v>244.158843198529</v>
      </c>
      <c r="AG452" s="10">
        <f>AC452*1.25*'Parametros'!$B$3*(AB452-(AC452*1.25*'Parametros'!$B$3/(0.85*'Parametros'!$B$2*H452))/2)/1000000</f>
        <v>244.158843198529</v>
      </c>
      <c r="AH452" s="10">
        <f>N452+(AF452+AG452)/D452</f>
        <v>349.814843198529</v>
      </c>
      <c r="AI452" s="10">
        <f>MAX(O452,AH452)</f>
        <v>349.814843198529</v>
      </c>
      <c r="AJ452" s="10">
        <f>0.17*SQRT('Parametros'!$B$2)*H452*MIN(U452,AB452)/1000</f>
        <v>220.098728691808</v>
      </c>
      <c r="AK452" s="10">
        <f>MAX(AI452/'Parametros'!$B$6-AJ452,0)</f>
        <v>246.321062239565</v>
      </c>
      <c r="AL452" s="10">
        <f>0.66*SQRT('Parametros'!$B$2)*H452*MIN(U452,AB452)/1000</f>
        <v>854.500946685842</v>
      </c>
      <c r="AM452" s="10" t="str">
        <f>IF(AK452&lt;=AL452,"CUMPLE","NO CUMPLE")</f>
        <v>CUMPLE</v>
      </c>
      <c r="AN452" s="17" t="inlineStr">
        <is>
          <t>Nº3 cerrado</t>
        </is>
      </c>
      <c r="AO452" s="31" t="n">
        <v>2</v>
      </c>
      <c r="AP452" s="10">
        <f>ROUNDDOWN(MIN(IF(BC452+BD452=0,1000000000,AO452*BB452/(BC452+BD452)),MIN(U452,AB452)/4,8*'Parametros'!$B$12,24*BA452,300,IF(AV452=0,1000000000,2*((H452-2*('Parametros'!$B$7+'Parametros'!$B$9/2))+(I452-2*('Parametros'!$B$7+'Parametros'!$B$9/2)))/8))/10,0)*10</f>
        <v>80</v>
      </c>
      <c r="AQ452" s="10">
        <f>ROUNDDOWN(MIN(IF(BC452+BD452=0,1000000000,AO452*BB452/(BC452+BD452)),IF(AK452&gt;0.33*SQRT('Parametros'!$B$2)*H452*MIN(U452,AB452)/1000,MIN(U452,AB452)/4,MIN(U452,AB452)/2),600,IF(AV452=0,1000000000,2*((H452-2*('Parametros'!$B$7+'Parametros'!$B$9/2))+(I452-2*('Parametros'!$B$7+'Parametros'!$B$9/2)))/8))/10,0)*10</f>
        <v>80</v>
      </c>
      <c r="AR452" s="10">
        <f>'Parametros'!$B$6*(AJ452+MAX(BE452-BD452,0)*'Parametros'!$B$4*MIN(U452,AB452)/1000)</f>
        <v>357.660393829762</v>
      </c>
      <c r="AS452" s="10" t="str">
        <f>IF(AND(ISERROR(SEARCH("referencia",AN452)),AM452="CUMPLE",AR452&gt;=AI452),"CUMPLE","NO CUMPLE")</f>
        <v>CUMPLE</v>
      </c>
      <c r="AT452" s="10">
        <f>'Parametros'!$B$6*0.083*SQRT('Parametros'!$B$2)*(H452*I452)^2/(2*(H452+I452))/1000000</f>
        <v>11.862178757599</v>
      </c>
      <c r="AU452" s="10" t="str">
        <f>IF(Q452&lt;=AT452,"DESPRECIABLE","DISEÑAR")</f>
        <v>DISEÑAR</v>
      </c>
      <c r="AV452" s="10">
        <f>IF(Q452&lt;=AT452,0,Q452*1000000/('Parametros'!$B$6*2*0.85*(H452-2*('Parametros'!$B$7+'Parametros'!$B$9/2))*(I452-2*('Parametros'!$B$7+'Parametros'!$B$9/2))*'Parametros'!$B$4))</f>
        <v>0.26280884892364</v>
      </c>
      <c r="AW452" s="10">
        <f>AV452*2*((H452-2*('Parametros'!$B$7+'Parametros'!$B$9/2))+(I452-2*('Parametros'!$B$7+'Parametros'!$B$9/2)))*'Parametros'!$B$4/'Parametros'!$B$3</f>
        <v>454.449061558759</v>
      </c>
      <c r="AX452" s="31" t="n">
        <v>8</v>
      </c>
      <c r="AY452" s="10" t="str">
        <f>IF(AV452=0,"DESPRECIABLE",IF(AND(ISERROR(SEARCH("referencia",AN452)),BB452/AP452&gt;=AV452,BI452&gt;=AW452,BH452="CUMPLE"),"CUMPLE","NO CUMPLE"))</f>
        <v>CUMPLE</v>
      </c>
      <c r="AZ452" s="10" t="str">
        <f>IF(AND(X452="CUMPLE",AE452="CUMPLE",AS452="CUMPLE",OR(AY452="CUMPLE",AY452="DESPRECIABLE"),BH452="CUMPLE",BJ452="CUMPLE"),"CUMPLE","NO CUMPLE")</f>
        <v>CUMPLE</v>
      </c>
      <c r="BA452" s="32" t="n">
        <v>9.5</v>
      </c>
      <c r="BB452" s="32" t="n">
        <v>71</v>
      </c>
      <c r="BC452" s="10">
        <f>MAX(IF(AK452=0,0,AK452*1000/('Parametros'!$B$4*MIN(U452,AB452))),MAX(0.062*SQRT('Parametros'!$B$2)*H452/'Parametros'!$B$4,0.35*H452/'Parametros'!$B$4))</f>
        <v>1.19848517343008</v>
      </c>
      <c r="BD452" s="10">
        <f>2*AV452</f>
        <v>0.525617697847281</v>
      </c>
      <c r="BE452" s="10">
        <f>AO452*BB452/AP452</f>
        <v>1.775</v>
      </c>
      <c r="BF452" s="10">
        <f>SQRT((AI452*1000/(H452*MIN(U452,AB452)))^2+(Q452*1000000*2*((H452-2*('Parametros'!$B$7+'Parametros'!$B$9/2))+(I452-2*('Parametros'!$B$7+'Parametros'!$B$9/2)))/(1.7*((H452-2*('Parametros'!$B$7+'Parametros'!$B$9/2))*(I452-2*('Parametros'!$B$7+'Parametros'!$B$9/2)))^2))^2)</f>
        <v>1.62319685654864</v>
      </c>
      <c r="BG452" s="10">
        <f>'Parametros'!$B$6*(AJ452*1000/(H452*MIN(U452,AB452))+0.66*SQRT('Parametros'!$B$2))</f>
        <v>3.29396038227542</v>
      </c>
      <c r="BH452" s="10" t="str">
        <f>IF(BF452&lt;=BG452,"CUMPLE","NO CUMPLE")</f>
        <v>CUMPLE</v>
      </c>
      <c r="BI452" s="10">
        <f>AX452*'Parametros'!$B$8</f>
        <v>1592</v>
      </c>
      <c r="BJ452" s="10" t="str">
        <f>IF(BI452&gt;=AW452,"CUMPLE","NO CUMPLE")</f>
        <v>CUMPLE</v>
      </c>
    </row>
    <row r="453">
      <c r="A453" s="25" t="inlineStr">
        <is>
          <t>VR2</t>
        </is>
      </c>
      <c r="B453" s="25" t="inlineStr">
        <is>
          <t>888</t>
        </is>
      </c>
      <c r="C453" s="10" t="n">
        <v>1</v>
      </c>
      <c r="D453" s="10" t="n">
        <v>1.9</v>
      </c>
      <c r="E453" s="10" t="n">
        <v>1.9</v>
      </c>
      <c r="F453" s="10" t="n">
        <v>500</v>
      </c>
      <c r="G453" s="10" t="n">
        <v>550</v>
      </c>
      <c r="H453" s="17" t="n">
        <v>500</v>
      </c>
      <c r="I453" s="17" t="n">
        <v>550</v>
      </c>
      <c r="J453" s="30" t="n">
        <v>93.3935</v>
      </c>
      <c r="K453" s="10" t="inlineStr">
        <is>
          <t>888</t>
        </is>
      </c>
      <c r="L453" s="30" t="n">
        <v>56.7086</v>
      </c>
      <c r="M453" s="10" t="inlineStr">
        <is>
          <t>888</t>
        </is>
      </c>
      <c r="N453" s="30" t="n">
        <v>96.28</v>
      </c>
      <c r="O453" s="30" t="n">
        <v>273.681</v>
      </c>
      <c r="P453" s="10" t="inlineStr">
        <is>
          <t>888</t>
        </is>
      </c>
      <c r="Q453" s="30" t="n">
        <v>10.9131</v>
      </c>
      <c r="R453" s="10">
        <f>MAX(MAX(1.4/'Parametros'!$B$3,0.25*SQRT('Parametros'!$B$2)/'Parametros'!$B$3)*H453*U453,(0.85*'Parametros'!$B$2/'Parametros'!$B$3)*(1-SQRT(1-2*(J453*1000000/('Parametros'!$B$5*H453*U453^2))/(0.85*'Parametros'!$B$2)))*H453*U453)</f>
        <v>815.583333333333</v>
      </c>
      <c r="S453" s="31" t="n">
        <v>5</v>
      </c>
      <c r="T453" s="32" t="n">
        <v>1</v>
      </c>
      <c r="U453" s="10">
        <f>IF(T453=1,I453-('Parametros'!$B$7+'Parametros'!$B$9+'Parametros'!$B$12/2),I453-(ROUNDUP(S453/2,0)*('Parametros'!$B$7+'Parametros'!$B$9+'Parametros'!$B$12/2)+ROUNDDOWN(S453/2,0)*('Parametros'!$B$7+'Parametros'!$B$9+'Parametros'!$B$12/2+'Parametros'!$B$12+'Parametros'!$B$10))/S453)</f>
        <v>489.35</v>
      </c>
      <c r="V453" s="10">
        <f>S453*'Parametros'!$B$8</f>
        <v>995</v>
      </c>
      <c r="W453" s="10">
        <f>'Parametros'!$B$5*V453*'Parametros'!$B$3*(U453-(V453*'Parametros'!$B$3/(0.85*'Parametros'!$B$2*H453))/2)/1000000</f>
        <v>177.445379382353</v>
      </c>
      <c r="X453" s="10" t="str">
        <f>IF(W453&gt;=J453,"CUMPLE","NO CUMPLE")</f>
        <v>CUMPLE</v>
      </c>
      <c r="Y453" s="10">
        <f>MAX(MAX(1.4/'Parametros'!$B$3,0.25*SQRT('Parametros'!$B$2)/'Parametros'!$B$3)*H453*AB453,(0.85*'Parametros'!$B$2/'Parametros'!$B$3)*(1-SQRT(1-2*(L453*1000000/('Parametros'!$B$5*H453*AB453^2))/(0.85*'Parametros'!$B$2)))*H453*AB453)</f>
        <v>815.583333333333</v>
      </c>
      <c r="Z453" s="31" t="n">
        <v>5</v>
      </c>
      <c r="AA453" s="32" t="n">
        <v>1</v>
      </c>
      <c r="AB453" s="10">
        <f>IF(AA453=1,I453-('Parametros'!$B$7+'Parametros'!$B$9+'Parametros'!$B$12/2),I453-(ROUNDUP(Z453/2,0)*('Parametros'!$B$7+'Parametros'!$B$9+'Parametros'!$B$12/2)+ROUNDDOWN(Z453/2,0)*('Parametros'!$B$7+'Parametros'!$B$9+'Parametros'!$B$12/2+'Parametros'!$B$12+'Parametros'!$B$10))/Z453)</f>
        <v>489.35</v>
      </c>
      <c r="AC453" s="10">
        <f>Z453*'Parametros'!$B$8</f>
        <v>995</v>
      </c>
      <c r="AD453" s="10">
        <f>'Parametros'!$B$5*AC453*'Parametros'!$B$3*(AB453-(AC453*'Parametros'!$B$3/(0.85*'Parametros'!$B$2*H453))/2)/1000000</f>
        <v>177.445379382353</v>
      </c>
      <c r="AE453" s="10" t="str">
        <f>IF(AD453&gt;=L453,"CUMPLE","NO CUMPLE")</f>
        <v>CUMPLE</v>
      </c>
      <c r="AF453" s="10">
        <f>V453*1.25*'Parametros'!$B$3*(U453-(V453*1.25*'Parametros'!$B$3/(0.85*'Parametros'!$B$2*H453))/2)/1000000</f>
        <v>244.158843198529</v>
      </c>
      <c r="AG453" s="10">
        <f>AC453*1.25*'Parametros'!$B$3*(AB453-(AC453*1.25*'Parametros'!$B$3/(0.85*'Parametros'!$B$2*H453))/2)/1000000</f>
        <v>244.158843198529</v>
      </c>
      <c r="AH453" s="10">
        <f>N453+(AF453+AG453)/D453</f>
        <v>353.289308630031</v>
      </c>
      <c r="AI453" s="10">
        <f>MAX(O453,AH453)</f>
        <v>353.289308630031</v>
      </c>
      <c r="AJ453" s="10">
        <f>0.17*SQRT('Parametros'!$B$2)*H453*MIN(U453,AB453)/1000</f>
        <v>220.098728691808</v>
      </c>
      <c r="AK453" s="10">
        <f>MAX(AI453/'Parametros'!$B$6-AJ453,0)</f>
        <v>250.9536828149</v>
      </c>
      <c r="AL453" s="10">
        <f>0.66*SQRT('Parametros'!$B$2)*H453*MIN(U453,AB453)/1000</f>
        <v>854.500946685842</v>
      </c>
      <c r="AM453" s="10" t="str">
        <f>IF(AK453&lt;=AL453,"CUMPLE","NO CUMPLE")</f>
        <v>CUMPLE</v>
      </c>
      <c r="AN453" s="17" t="inlineStr">
        <is>
          <t>Nº3 cerrado</t>
        </is>
      </c>
      <c r="AO453" s="31" t="n">
        <v>2</v>
      </c>
      <c r="AP453" s="10">
        <f>ROUNDDOWN(MIN(IF(BC453+BD453=0,1000000000,AO453*BB453/(BC453+BD453)),MIN(U453,AB453)/4,8*'Parametros'!$B$12,24*BA453,300,IF(AV453=0,1000000000,2*((H453-2*('Parametros'!$B$7+'Parametros'!$B$9/2))+(I453-2*('Parametros'!$B$7+'Parametros'!$B$9/2)))/8))/10,0)*10</f>
        <v>110</v>
      </c>
      <c r="AQ453" s="10">
        <f>ROUNDDOWN(MIN(IF(BC453+BD453=0,1000000000,AO453*BB453/(BC453+BD453)),IF(AK453&gt;0.33*SQRT('Parametros'!$B$2)*H453*MIN(U453,AB453)/1000,MIN(U453,AB453)/4,MIN(U453,AB453)/2),600,IF(AV453=0,1000000000,2*((H453-2*('Parametros'!$B$7+'Parametros'!$B$9/2))+(I453-2*('Parametros'!$B$7+'Parametros'!$B$9/2)))/8))/10,0)*10</f>
        <v>110</v>
      </c>
      <c r="AR453" s="10">
        <f>'Parametros'!$B$6*(AJ453+MAX(BE453-BD453,0)*'Parametros'!$B$4*MIN(U453,AB453)/1000)</f>
        <v>364.06155106431</v>
      </c>
      <c r="AS453" s="10" t="str">
        <f>IF(AND(ISERROR(SEARCH("referencia",AN453)),AM453="CUMPLE",AR453&gt;=AI453),"CUMPLE","NO CUMPLE")</f>
        <v>CUMPLE</v>
      </c>
      <c r="AT453" s="10">
        <f>'Parametros'!$B$6*0.083*SQRT('Parametros'!$B$2)*(H453*I453)^2/(2*(H453+I453))/1000000</f>
        <v>11.862178757599</v>
      </c>
      <c r="AU453" s="10" t="str">
        <f>IF(Q453&lt;=AT453,"DESPRECIABLE","DISEÑAR")</f>
        <v>DESPRECIABLE</v>
      </c>
      <c r="AV453" s="10">
        <f>IF(Q453&lt;=AT453,0,Q453*1000000/('Parametros'!$B$6*2*0.85*(H453-2*('Parametros'!$B$7+'Parametros'!$B$9/2))*(I453-2*('Parametros'!$B$7+'Parametros'!$B$9/2))*'Parametros'!$B$4))</f>
        <v>0</v>
      </c>
      <c r="AW453" s="10">
        <f>AV453*2*((H453-2*('Parametros'!$B$7+'Parametros'!$B$9/2))+(I453-2*('Parametros'!$B$7+'Parametros'!$B$9/2)))*'Parametros'!$B$4/'Parametros'!$B$3</f>
        <v>0</v>
      </c>
      <c r="AX453" s="31" t="n">
        <v>0</v>
      </c>
      <c r="AY453" s="10" t="str">
        <f>IF(AV453=0,"DESPRECIABLE",IF(AND(ISERROR(SEARCH("referencia",AN453)),BB453/AP453&gt;=AV453,BI453&gt;=AW453,BH453="CUMPLE"),"CUMPLE","NO CUMPLE"))</f>
        <v>DESPRECIABLE</v>
      </c>
      <c r="AZ453" s="10" t="str">
        <f>IF(AND(X453="CUMPLE",AE453="CUMPLE",AS453="CUMPLE",OR(AY453="CUMPLE",AY453="DESPRECIABLE"),BH453="CUMPLE",BJ453="CUMPLE"),"CUMPLE","NO CUMPLE")</f>
        <v>CUMPLE</v>
      </c>
      <c r="BA453" s="32" t="n">
        <v>9.5</v>
      </c>
      <c r="BB453" s="32" t="n">
        <v>71</v>
      </c>
      <c r="BC453" s="10">
        <f>MAX(IF(AK453=0,0,AK453*1000/('Parametros'!$B$4*MIN(U453,AB453))),MAX(0.062*SQRT('Parametros'!$B$2)*H453/'Parametros'!$B$4,0.35*H453/'Parametros'!$B$4))</f>
        <v>1.2210253777601</v>
      </c>
      <c r="BD453" s="10">
        <f>2*AV453</f>
        <v>0</v>
      </c>
      <c r="BE453" s="10">
        <f>AO453*BB453/AP453</f>
        <v>1.29090909090909</v>
      </c>
      <c r="BF453" s="10">
        <f>SQRT((AI453*1000/(H453*MIN(U453,AB453)))^2+(Q453*1000000*2*((H453-2*('Parametros'!$B$7+'Parametros'!$B$9/2))+(I453-2*('Parametros'!$B$7+'Parametros'!$B$9/2)))/(1.7*((H453-2*('Parametros'!$B$7+'Parametros'!$B$9/2))*(I453-2*('Parametros'!$B$7+'Parametros'!$B$9/2)))^2))^2)</f>
        <v>1.47894089895088</v>
      </c>
      <c r="BG453" s="10">
        <f>'Parametros'!$B$6*(AJ453*1000/(H453*MIN(U453,AB453))+0.66*SQRT('Parametros'!$B$2))</f>
        <v>3.29396038227542</v>
      </c>
      <c r="BH453" s="10" t="str">
        <f>IF(BF453&lt;=BG453,"CUMPLE","NO CUMPLE")</f>
        <v>CUMPLE</v>
      </c>
      <c r="BI453" s="10">
        <f>AX453*'Parametros'!$B$8</f>
        <v>0</v>
      </c>
      <c r="BJ453" s="10" t="str">
        <f>IF(BI453&gt;=AW453,"CUMPLE","NO CUMPLE")</f>
        <v>CUMPLE</v>
      </c>
    </row>
    <row r="454">
      <c r="A454" s="25" t="inlineStr">
        <is>
          <t>VR2</t>
        </is>
      </c>
      <c r="B454" s="25" t="inlineStr">
        <is>
          <t>889</t>
        </is>
      </c>
      <c r="C454" s="10" t="n">
        <v>1</v>
      </c>
      <c r="D454" s="10" t="n">
        <v>3.57612</v>
      </c>
      <c r="E454" s="10" t="n">
        <v>3.57612</v>
      </c>
      <c r="F454" s="10" t="n">
        <v>500</v>
      </c>
      <c r="G454" s="10" t="n">
        <v>550</v>
      </c>
      <c r="H454" s="17" t="n">
        <v>500</v>
      </c>
      <c r="I454" s="17" t="n">
        <v>550</v>
      </c>
      <c r="J454" s="30" t="n">
        <v>120.0936</v>
      </c>
      <c r="K454" s="10" t="inlineStr">
        <is>
          <t>889</t>
        </is>
      </c>
      <c r="L454" s="30" t="n">
        <v>55.1335</v>
      </c>
      <c r="M454" s="10" t="inlineStr">
        <is>
          <t>889</t>
        </is>
      </c>
      <c r="N454" s="30" t="n">
        <v>101.74</v>
      </c>
      <c r="O454" s="30" t="n">
        <v>245.784</v>
      </c>
      <c r="P454" s="10" t="inlineStr">
        <is>
          <t>889</t>
        </is>
      </c>
      <c r="Q454" s="30" t="n">
        <v>5.1765</v>
      </c>
      <c r="R454" s="10">
        <f>MAX(MAX(1.4/'Parametros'!$B$3,0.25*SQRT('Parametros'!$B$2)/'Parametros'!$B$3)*H454*U454,(0.85*'Parametros'!$B$2/'Parametros'!$B$3)*(1-SQRT(1-2*(J454*1000000/('Parametros'!$B$5*H454*U454^2))/(0.85*'Parametros'!$B$2)))*H454*U454)</f>
        <v>815.583333333333</v>
      </c>
      <c r="S454" s="31" t="n">
        <v>5</v>
      </c>
      <c r="T454" s="32" t="n">
        <v>1</v>
      </c>
      <c r="U454" s="10">
        <f>IF(T454=1,I454-('Parametros'!$B$7+'Parametros'!$B$9+'Parametros'!$B$12/2),I454-(ROUNDUP(S454/2,0)*('Parametros'!$B$7+'Parametros'!$B$9+'Parametros'!$B$12/2)+ROUNDDOWN(S454/2,0)*('Parametros'!$B$7+'Parametros'!$B$9+'Parametros'!$B$12/2+'Parametros'!$B$12+'Parametros'!$B$10))/S454)</f>
        <v>489.35</v>
      </c>
      <c r="V454" s="10">
        <f>S454*'Parametros'!$B$8</f>
        <v>995</v>
      </c>
      <c r="W454" s="10">
        <f>'Parametros'!$B$5*V454*'Parametros'!$B$3*(U454-(V454*'Parametros'!$B$3/(0.85*'Parametros'!$B$2*H454))/2)/1000000</f>
        <v>177.445379382353</v>
      </c>
      <c r="X454" s="10" t="str">
        <f>IF(W454&gt;=J454,"CUMPLE","NO CUMPLE")</f>
        <v>CUMPLE</v>
      </c>
      <c r="Y454" s="10">
        <f>MAX(MAX(1.4/'Parametros'!$B$3,0.25*SQRT('Parametros'!$B$2)/'Parametros'!$B$3)*H454*AB454,(0.85*'Parametros'!$B$2/'Parametros'!$B$3)*(1-SQRT(1-2*(L454*1000000/('Parametros'!$B$5*H454*AB454^2))/(0.85*'Parametros'!$B$2)))*H454*AB454)</f>
        <v>815.583333333333</v>
      </c>
      <c r="Z454" s="31" t="n">
        <v>5</v>
      </c>
      <c r="AA454" s="32" t="n">
        <v>1</v>
      </c>
      <c r="AB454" s="10">
        <f>IF(AA454=1,I454-('Parametros'!$B$7+'Parametros'!$B$9+'Parametros'!$B$12/2),I454-(ROUNDUP(Z454/2,0)*('Parametros'!$B$7+'Parametros'!$B$9+'Parametros'!$B$12/2)+ROUNDDOWN(Z454/2,0)*('Parametros'!$B$7+'Parametros'!$B$9+'Parametros'!$B$12/2+'Parametros'!$B$12+'Parametros'!$B$10))/Z454)</f>
        <v>489.35</v>
      </c>
      <c r="AC454" s="10">
        <f>Z454*'Parametros'!$B$8</f>
        <v>995</v>
      </c>
      <c r="AD454" s="10">
        <f>'Parametros'!$B$5*AC454*'Parametros'!$B$3*(AB454-(AC454*'Parametros'!$B$3/(0.85*'Parametros'!$B$2*H454))/2)/1000000</f>
        <v>177.445379382353</v>
      </c>
      <c r="AE454" s="10" t="str">
        <f>IF(AD454&gt;=L454,"CUMPLE","NO CUMPLE")</f>
        <v>CUMPLE</v>
      </c>
      <c r="AF454" s="10">
        <f>V454*1.25*'Parametros'!$B$3*(U454-(V454*1.25*'Parametros'!$B$3/(0.85*'Parametros'!$B$2*H454))/2)/1000000</f>
        <v>244.158843198529</v>
      </c>
      <c r="AG454" s="10">
        <f>AC454*1.25*'Parametros'!$B$3*(AB454-(AC454*1.25*'Parametros'!$B$3/(0.85*'Parametros'!$B$2*H454))/2)/1000000</f>
        <v>244.158843198529</v>
      </c>
      <c r="AH454" s="10">
        <f>N454+(AF454+AG454)/D454</f>
        <v>238.289580662019</v>
      </c>
      <c r="AI454" s="10">
        <f>MAX(O454,AH454)</f>
        <v>245.784</v>
      </c>
      <c r="AJ454" s="10">
        <f>0.17*SQRT('Parametros'!$B$2)*H454*MIN(U454,AB454)/1000</f>
        <v>220.098728691808</v>
      </c>
      <c r="AK454" s="10">
        <f>MAX(AI454/'Parametros'!$B$6-AJ454,0)</f>
        <v>107.613271308192</v>
      </c>
      <c r="AL454" s="10">
        <f>0.66*SQRT('Parametros'!$B$2)*H454*MIN(U454,AB454)/1000</f>
        <v>854.500946685842</v>
      </c>
      <c r="AM454" s="10" t="str">
        <f>IF(AK454&lt;=AL454,"CUMPLE","NO CUMPLE")</f>
        <v>CUMPLE</v>
      </c>
      <c r="AN454" s="17" t="inlineStr">
        <is>
          <t>Nº3 cerrado</t>
        </is>
      </c>
      <c r="AO454" s="31" t="n">
        <v>2</v>
      </c>
      <c r="AP454" s="10">
        <f>ROUNDDOWN(MIN(IF(BC454+BD454=0,1000000000,AO454*BB454/(BC454+BD454)),MIN(U454,AB454)/4,8*'Parametros'!$B$12,24*BA454,300,IF(AV454=0,1000000000,2*((H454-2*('Parametros'!$B$7+'Parametros'!$B$9/2))+(I454-2*('Parametros'!$B$7+'Parametros'!$B$9/2)))/8))/10,0)*10</f>
        <v>120</v>
      </c>
      <c r="AQ454" s="10">
        <f>ROUNDDOWN(MIN(IF(BC454+BD454=0,1000000000,AO454*BB454/(BC454+BD454)),IF(AK454&gt;0.33*SQRT('Parametros'!$B$2)*H454*MIN(U454,AB454)/1000,MIN(U454,AB454)/4,MIN(U454,AB454)/2),600,IF(AV454=0,1000000000,2*((H454-2*('Parametros'!$B$7+'Parametros'!$B$9/2))+(I454-2*('Parametros'!$B$7+'Parametros'!$B$9/2)))/8))/10,0)*10</f>
        <v>240</v>
      </c>
      <c r="AR454" s="10">
        <f>'Parametros'!$B$6*(AJ454+MAX(BE454-BD454,0)*'Parametros'!$B$4*MIN(U454,AB454)/1000)</f>
        <v>347.479259018856</v>
      </c>
      <c r="AS454" s="10" t="str">
        <f>IF(AND(ISERROR(SEARCH("referencia",AN454)),AM454="CUMPLE",AR454&gt;=AI454),"CUMPLE","NO CUMPLE")</f>
        <v>CUMPLE</v>
      </c>
      <c r="AT454" s="10">
        <f>'Parametros'!$B$6*0.083*SQRT('Parametros'!$B$2)*(H454*I454)^2/(2*(H454+I454))/1000000</f>
        <v>11.862178757599</v>
      </c>
      <c r="AU454" s="10" t="str">
        <f>IF(Q454&lt;=AT454,"DESPRECIABLE","DISEÑAR")</f>
        <v>DESPRECIABLE</v>
      </c>
      <c r="AV454" s="10">
        <f>IF(Q454&lt;=AT454,0,Q454*1000000/('Parametros'!$B$6*2*0.85*(H454-2*('Parametros'!$B$7+'Parametros'!$B$9/2))*(I454-2*('Parametros'!$B$7+'Parametros'!$B$9/2))*'Parametros'!$B$4))</f>
        <v>0</v>
      </c>
      <c r="AW454" s="10">
        <f>AV454*2*((H454-2*('Parametros'!$B$7+'Parametros'!$B$9/2))+(I454-2*('Parametros'!$B$7+'Parametros'!$B$9/2)))*'Parametros'!$B$4/'Parametros'!$B$3</f>
        <v>0</v>
      </c>
      <c r="AX454" s="31" t="n">
        <v>0</v>
      </c>
      <c r="AY454" s="10" t="str">
        <f>IF(AV454=0,"DESPRECIABLE",IF(AND(ISERROR(SEARCH("referencia",AN454)),BB454/AP454&gt;=AV454,BI454&gt;=AW454,BH454="CUMPLE"),"CUMPLE","NO CUMPLE"))</f>
        <v>DESPRECIABLE</v>
      </c>
      <c r="AZ454" s="10" t="str">
        <f>IF(AND(X454="CUMPLE",AE454="CUMPLE",AS454="CUMPLE",OR(AY454="CUMPLE",AY454="DESPRECIABLE"),BH454="CUMPLE",BJ454="CUMPLE"),"CUMPLE","NO CUMPLE")</f>
        <v>CUMPLE</v>
      </c>
      <c r="BA454" s="32" t="n">
        <v>9.5</v>
      </c>
      <c r="BB454" s="32" t="n">
        <v>71</v>
      </c>
      <c r="BC454" s="10">
        <f>MAX(IF(AK454=0,0,AK454*1000/('Parametros'!$B$4*MIN(U454,AB454))),MAX(0.062*SQRT('Parametros'!$B$2)*H454/'Parametros'!$B$4,0.35*H454/'Parametros'!$B$4))</f>
        <v>0.523596760076254</v>
      </c>
      <c r="BD454" s="10">
        <f>2*AV454</f>
        <v>0</v>
      </c>
      <c r="BE454" s="10">
        <f>AO454*BB454/AP454</f>
        <v>1.18333333333333</v>
      </c>
      <c r="BF454" s="10">
        <f>SQRT((AI454*1000/(H454*MIN(U454,AB454)))^2+(Q454*1000000*2*((H454-2*('Parametros'!$B$7+'Parametros'!$B$9/2))+(I454-2*('Parametros'!$B$7+'Parametros'!$B$9/2)))/(1.7*((H454-2*('Parametros'!$B$7+'Parametros'!$B$9/2))*(I454-2*('Parametros'!$B$7+'Parametros'!$B$9/2)))^2))^2)</f>
        <v>1.01593375438127</v>
      </c>
      <c r="BG454" s="10">
        <f>'Parametros'!$B$6*(AJ454*1000/(H454*MIN(U454,AB454))+0.66*SQRT('Parametros'!$B$2))</f>
        <v>3.29396038227542</v>
      </c>
      <c r="BH454" s="10" t="str">
        <f>IF(BF454&lt;=BG454,"CUMPLE","NO CUMPLE")</f>
        <v>CUMPLE</v>
      </c>
      <c r="BI454" s="10">
        <f>AX454*'Parametros'!$B$8</f>
        <v>0</v>
      </c>
      <c r="BJ454" s="10" t="str">
        <f>IF(BI454&gt;=AW454,"CUMPLE","NO CUMPLE")</f>
        <v>CUMPLE</v>
      </c>
    </row>
    <row r="455">
      <c r="A455" s="25" t="inlineStr">
        <is>
          <t>VR2</t>
        </is>
      </c>
      <c r="B455" s="25" t="inlineStr">
        <is>
          <t>890</t>
        </is>
      </c>
      <c r="C455" s="10" t="n">
        <v>1</v>
      </c>
      <c r="D455" s="10" t="n">
        <v>2.1</v>
      </c>
      <c r="E455" s="10" t="n">
        <v>2.1</v>
      </c>
      <c r="F455" s="10" t="n">
        <v>500</v>
      </c>
      <c r="G455" s="10" t="n">
        <v>550</v>
      </c>
      <c r="H455" s="17" t="n">
        <v>500</v>
      </c>
      <c r="I455" s="17" t="n">
        <v>550</v>
      </c>
      <c r="J455" s="30" t="n">
        <v>147.8195</v>
      </c>
      <c r="K455" s="10" t="inlineStr">
        <is>
          <t>890</t>
        </is>
      </c>
      <c r="L455" s="30" t="n">
        <v>102.8901</v>
      </c>
      <c r="M455" s="10" t="inlineStr">
        <is>
          <t>890</t>
        </is>
      </c>
      <c r="N455" s="30" t="n">
        <v>134.432</v>
      </c>
      <c r="O455" s="30" t="n">
        <v>335.376</v>
      </c>
      <c r="P455" s="10" t="inlineStr">
        <is>
          <t>890</t>
        </is>
      </c>
      <c r="Q455" s="30" t="n">
        <v>31.6065</v>
      </c>
      <c r="R455" s="10">
        <f>MAX(MAX(1.4/'Parametros'!$B$3,0.25*SQRT('Parametros'!$B$2)/'Parametros'!$B$3)*H455*U455,(0.85*'Parametros'!$B$2/'Parametros'!$B$3)*(1-SQRT(1-2*(J455*1000000/('Parametros'!$B$5*H455*U455^2))/(0.85*'Parametros'!$B$2)))*H455*U455)</f>
        <v>823.596779366608</v>
      </c>
      <c r="S455" s="31" t="n">
        <v>5</v>
      </c>
      <c r="T455" s="32" t="n">
        <v>1</v>
      </c>
      <c r="U455" s="10">
        <f>IF(T455=1,I455-('Parametros'!$B$7+'Parametros'!$B$9+'Parametros'!$B$12/2),I455-(ROUNDUP(S455/2,0)*('Parametros'!$B$7+'Parametros'!$B$9+'Parametros'!$B$12/2)+ROUNDDOWN(S455/2,0)*('Parametros'!$B$7+'Parametros'!$B$9+'Parametros'!$B$12/2+'Parametros'!$B$12+'Parametros'!$B$10))/S455)</f>
        <v>489.35</v>
      </c>
      <c r="V455" s="10">
        <f>S455*'Parametros'!$B$8</f>
        <v>995</v>
      </c>
      <c r="W455" s="10">
        <f>'Parametros'!$B$5*V455*'Parametros'!$B$3*(U455-(V455*'Parametros'!$B$3/(0.85*'Parametros'!$B$2*H455))/2)/1000000</f>
        <v>177.445379382353</v>
      </c>
      <c r="X455" s="10" t="str">
        <f>IF(W455&gt;=J455,"CUMPLE","NO CUMPLE")</f>
        <v>CUMPLE</v>
      </c>
      <c r="Y455" s="10">
        <f>MAX(MAX(1.4/'Parametros'!$B$3,0.25*SQRT('Parametros'!$B$2)/'Parametros'!$B$3)*H455*AB455,(0.85*'Parametros'!$B$2/'Parametros'!$B$3)*(1-SQRT(1-2*(L455*1000000/('Parametros'!$B$5*H455*AB455^2))/(0.85*'Parametros'!$B$2)))*H455*AB455)</f>
        <v>815.583333333333</v>
      </c>
      <c r="Z455" s="31" t="n">
        <v>5</v>
      </c>
      <c r="AA455" s="32" t="n">
        <v>1</v>
      </c>
      <c r="AB455" s="10">
        <f>IF(AA455=1,I455-('Parametros'!$B$7+'Parametros'!$B$9+'Parametros'!$B$12/2),I455-(ROUNDUP(Z455/2,0)*('Parametros'!$B$7+'Parametros'!$B$9+'Parametros'!$B$12/2)+ROUNDDOWN(Z455/2,0)*('Parametros'!$B$7+'Parametros'!$B$9+'Parametros'!$B$12/2+'Parametros'!$B$12+'Parametros'!$B$10))/Z455)</f>
        <v>489.35</v>
      </c>
      <c r="AC455" s="10">
        <f>Z455*'Parametros'!$B$8</f>
        <v>995</v>
      </c>
      <c r="AD455" s="10">
        <f>'Parametros'!$B$5*AC455*'Parametros'!$B$3*(AB455-(AC455*'Parametros'!$B$3/(0.85*'Parametros'!$B$2*H455))/2)/1000000</f>
        <v>177.445379382353</v>
      </c>
      <c r="AE455" s="10" t="str">
        <f>IF(AD455&gt;=L455,"CUMPLE","NO CUMPLE")</f>
        <v>CUMPLE</v>
      </c>
      <c r="AF455" s="10">
        <f>V455*1.25*'Parametros'!$B$3*(U455-(V455*1.25*'Parametros'!$B$3/(0.85*'Parametros'!$B$2*H455))/2)/1000000</f>
        <v>244.158843198529</v>
      </c>
      <c r="AG455" s="10">
        <f>AC455*1.25*'Parametros'!$B$3*(AB455-(AC455*1.25*'Parametros'!$B$3/(0.85*'Parametros'!$B$2*H455))/2)/1000000</f>
        <v>244.158843198529</v>
      </c>
      <c r="AH455" s="10">
        <f>N455+(AF455+AG455)/D455</f>
        <v>366.964231617647</v>
      </c>
      <c r="AI455" s="10">
        <f>MAX(O455,AH455)</f>
        <v>366.964231617647</v>
      </c>
      <c r="AJ455" s="10">
        <f>0.17*SQRT('Parametros'!$B$2)*H455*MIN(U455,AB455)/1000</f>
        <v>220.098728691808</v>
      </c>
      <c r="AK455" s="10">
        <f>MAX(AI455/'Parametros'!$B$6-AJ455,0)</f>
        <v>269.186913465055</v>
      </c>
      <c r="AL455" s="10">
        <f>0.66*SQRT('Parametros'!$B$2)*H455*MIN(U455,AB455)/1000</f>
        <v>854.500946685842</v>
      </c>
      <c r="AM455" s="10" t="str">
        <f>IF(AK455&lt;=AL455,"CUMPLE","NO CUMPLE")</f>
        <v>CUMPLE</v>
      </c>
      <c r="AN455" s="17" t="inlineStr">
        <is>
          <t>Nº4 cerrado</t>
        </is>
      </c>
      <c r="AO455" s="31" t="n">
        <v>2</v>
      </c>
      <c r="AP455" s="10">
        <f>ROUNDDOWN(MIN(IF(BC455+BD455=0,1000000000,AO455*BB455/(BC455+BD455)),MIN(U455,AB455)/4,8*'Parametros'!$B$12,24*BA455,300,IF(AV455=0,1000000000,2*((H455-2*('Parametros'!$B$7+'Parametros'!$B$9/2))+(I455-2*('Parametros'!$B$7+'Parametros'!$B$9/2)))/8))/10,0)*10</f>
        <v>120</v>
      </c>
      <c r="AQ455" s="10">
        <f>ROUNDDOWN(MIN(IF(BC455+BD455=0,1000000000,AO455*BB455/(BC455+BD455)),IF(AK455&gt;0.33*SQRT('Parametros'!$B$2)*H455*MIN(U455,AB455)/1000,MIN(U455,AB455)/4,MIN(U455,AB455)/2),600,IF(AV455=0,1000000000,2*((H455-2*('Parametros'!$B$7+'Parametros'!$B$9/2))+(I455-2*('Parametros'!$B$7+'Parametros'!$B$9/2)))/8))/10,0)*10</f>
        <v>130</v>
      </c>
      <c r="AR455" s="10">
        <f>'Parametros'!$B$6*(AJ455+MAX(BE455-BD455,0)*'Parametros'!$B$4*MIN(U455,AB455)/1000)</f>
        <v>398.793780465464</v>
      </c>
      <c r="AS455" s="10" t="str">
        <f>IF(AND(ISERROR(SEARCH("referencia",AN455)),AM455="CUMPLE",AR455&gt;=AI455),"CUMPLE","NO CUMPLE")</f>
        <v>CUMPLE</v>
      </c>
      <c r="AT455" s="10">
        <f>'Parametros'!$B$6*0.083*SQRT('Parametros'!$B$2)*(H455*I455)^2/(2*(H455+I455))/1000000</f>
        <v>11.862178757599</v>
      </c>
      <c r="AU455" s="10" t="str">
        <f>IF(Q455&lt;=AT455,"DESPRECIABLE","DISEÑAR")</f>
        <v>DISEÑAR</v>
      </c>
      <c r="AV455" s="10">
        <f>IF(Q455&lt;=AT455,0,Q455*1000000/('Parametros'!$B$6*2*0.85*(H455-2*('Parametros'!$B$7+'Parametros'!$B$9/2))*(I455-2*('Parametros'!$B$7+'Parametros'!$B$9/2))*'Parametros'!$B$4))</f>
        <v>0.316884735512097</v>
      </c>
      <c r="AW455" s="10">
        <f>AV455*2*((H455-2*('Parametros'!$B$7+'Parametros'!$B$9/2))+(I455-2*('Parametros'!$B$7+'Parametros'!$B$9/2)))*'Parametros'!$B$4/'Parametros'!$B$3</f>
        <v>547.957084647518</v>
      </c>
      <c r="AX455" s="31" t="n">
        <v>8</v>
      </c>
      <c r="AY455" s="10" t="str">
        <f>IF(AV455=0,"DESPRECIABLE",IF(AND(ISERROR(SEARCH("referencia",AN455)),BB455/AP455&gt;=AV455,BI455&gt;=AW455,BH455="CUMPLE"),"CUMPLE","NO CUMPLE"))</f>
        <v>CUMPLE</v>
      </c>
      <c r="AZ455" s="10" t="str">
        <f>IF(AND(X455="CUMPLE",AE455="CUMPLE",AS455="CUMPLE",OR(AY455="CUMPLE",AY455="DESPRECIABLE"),BH455="CUMPLE",BJ455="CUMPLE"),"CUMPLE","NO CUMPLE")</f>
        <v>CUMPLE</v>
      </c>
      <c r="BA455" s="32" t="n">
        <v>12.7</v>
      </c>
      <c r="BB455" s="32" t="n">
        <v>129</v>
      </c>
      <c r="BC455" s="10">
        <f>MAX(IF(AK455=0,0,AK455*1000/('Parametros'!$B$4*MIN(U455,AB455))),MAX(0.062*SQRT('Parametros'!$B$2)*H455/'Parametros'!$B$4,0.35*H455/'Parametros'!$B$4))</f>
        <v>1.30973990504924</v>
      </c>
      <c r="BD455" s="10">
        <f>2*AV455</f>
        <v>0.633769471024194</v>
      </c>
      <c r="BE455" s="10">
        <f>AO455*BB455/AP455</f>
        <v>2.15</v>
      </c>
      <c r="BF455" s="10">
        <f>SQRT((AI455*1000/(H455*MIN(U455,AB455)))^2+(Q455*1000000*2*((H455-2*('Parametros'!$B$7+'Parametros'!$B$9/2))+(I455-2*('Parametros'!$B$7+'Parametros'!$B$9/2)))/(1.7*((H455-2*('Parametros'!$B$7+'Parametros'!$B$9/2))*(I455-2*('Parametros'!$B$7+'Parametros'!$B$9/2)))^2))^2)</f>
        <v>1.76300604085425</v>
      </c>
      <c r="BG455" s="10">
        <f>'Parametros'!$B$6*(AJ455*1000/(H455*MIN(U455,AB455))+0.66*SQRT('Parametros'!$B$2))</f>
        <v>3.29396038227542</v>
      </c>
      <c r="BH455" s="10" t="str">
        <f>IF(BF455&lt;=BG455,"CUMPLE","NO CUMPLE")</f>
        <v>CUMPLE</v>
      </c>
      <c r="BI455" s="10">
        <f>AX455*'Parametros'!$B$8</f>
        <v>1592</v>
      </c>
      <c r="BJ455" s="10" t="str">
        <f>IF(BI455&gt;=AW455,"CUMPLE","NO CUMPLE")</f>
        <v>CUMPLE</v>
      </c>
    </row>
    <row r="456">
      <c r="A456" s="25" t="inlineStr">
        <is>
          <t>VR2</t>
        </is>
      </c>
      <c r="B456" s="25" t="inlineStr">
        <is>
          <t>891</t>
        </is>
      </c>
      <c r="C456" s="10" t="n">
        <v>1</v>
      </c>
      <c r="D456" s="10" t="n">
        <v>2.2</v>
      </c>
      <c r="E456" s="10" t="n">
        <v>2.2</v>
      </c>
      <c r="F456" s="10" t="n">
        <v>500</v>
      </c>
      <c r="G456" s="10" t="n">
        <v>550</v>
      </c>
      <c r="H456" s="17" t="n">
        <v>500</v>
      </c>
      <c r="I456" s="17" t="n">
        <v>550</v>
      </c>
      <c r="J456" s="30" t="n">
        <v>149.5601</v>
      </c>
      <c r="K456" s="10" t="inlineStr">
        <is>
          <t>891</t>
        </is>
      </c>
      <c r="L456" s="30" t="n">
        <v>102.2548</v>
      </c>
      <c r="M456" s="10" t="inlineStr">
        <is>
          <t>891</t>
        </is>
      </c>
      <c r="N456" s="30" t="n">
        <v>133.051</v>
      </c>
      <c r="O456" s="30" t="n">
        <v>331.438</v>
      </c>
      <c r="P456" s="10" t="inlineStr">
        <is>
          <t>891</t>
        </is>
      </c>
      <c r="Q456" s="30" t="n">
        <v>30.5599</v>
      </c>
      <c r="R456" s="10">
        <f>MAX(MAX(1.4/'Parametros'!$B$3,0.25*SQRT('Parametros'!$B$2)/'Parametros'!$B$3)*H456*U456,(0.85*'Parametros'!$B$2/'Parametros'!$B$3)*(1-SQRT(1-2*(J456*1000000/('Parametros'!$B$5*H456*U456^2))/(0.85*'Parametros'!$B$2)))*H456*U456)</f>
        <v>833.604841107756</v>
      </c>
      <c r="S456" s="31" t="n">
        <v>5</v>
      </c>
      <c r="T456" s="32" t="n">
        <v>1</v>
      </c>
      <c r="U456" s="10">
        <f>IF(T456=1,I456-('Parametros'!$B$7+'Parametros'!$B$9+'Parametros'!$B$12/2),I456-(ROUNDUP(S456/2,0)*('Parametros'!$B$7+'Parametros'!$B$9+'Parametros'!$B$12/2)+ROUNDDOWN(S456/2,0)*('Parametros'!$B$7+'Parametros'!$B$9+'Parametros'!$B$12/2+'Parametros'!$B$12+'Parametros'!$B$10))/S456)</f>
        <v>489.35</v>
      </c>
      <c r="V456" s="10">
        <f>S456*'Parametros'!$B$8</f>
        <v>995</v>
      </c>
      <c r="W456" s="10">
        <f>'Parametros'!$B$5*V456*'Parametros'!$B$3*(U456-(V456*'Parametros'!$B$3/(0.85*'Parametros'!$B$2*H456))/2)/1000000</f>
        <v>177.445379382353</v>
      </c>
      <c r="X456" s="10" t="str">
        <f>IF(W456&gt;=J456,"CUMPLE","NO CUMPLE")</f>
        <v>CUMPLE</v>
      </c>
      <c r="Y456" s="10">
        <f>MAX(MAX(1.4/'Parametros'!$B$3,0.25*SQRT('Parametros'!$B$2)/'Parametros'!$B$3)*H456*AB456,(0.85*'Parametros'!$B$2/'Parametros'!$B$3)*(1-SQRT(1-2*(L456*1000000/('Parametros'!$B$5*H456*AB456^2))/(0.85*'Parametros'!$B$2)))*H456*AB456)</f>
        <v>815.583333333333</v>
      </c>
      <c r="Z456" s="31" t="n">
        <v>5</v>
      </c>
      <c r="AA456" s="32" t="n">
        <v>1</v>
      </c>
      <c r="AB456" s="10">
        <f>IF(AA456=1,I456-('Parametros'!$B$7+'Parametros'!$B$9+'Parametros'!$B$12/2),I456-(ROUNDUP(Z456/2,0)*('Parametros'!$B$7+'Parametros'!$B$9+'Parametros'!$B$12/2)+ROUNDDOWN(Z456/2,0)*('Parametros'!$B$7+'Parametros'!$B$9+'Parametros'!$B$12/2+'Parametros'!$B$12+'Parametros'!$B$10))/Z456)</f>
        <v>489.35</v>
      </c>
      <c r="AC456" s="10">
        <f>Z456*'Parametros'!$B$8</f>
        <v>995</v>
      </c>
      <c r="AD456" s="10">
        <f>'Parametros'!$B$5*AC456*'Parametros'!$B$3*(AB456-(AC456*'Parametros'!$B$3/(0.85*'Parametros'!$B$2*H456))/2)/1000000</f>
        <v>177.445379382353</v>
      </c>
      <c r="AE456" s="10" t="str">
        <f>IF(AD456&gt;=L456,"CUMPLE","NO CUMPLE")</f>
        <v>CUMPLE</v>
      </c>
      <c r="AF456" s="10">
        <f>V456*1.25*'Parametros'!$B$3*(U456-(V456*1.25*'Parametros'!$B$3/(0.85*'Parametros'!$B$2*H456))/2)/1000000</f>
        <v>244.158843198529</v>
      </c>
      <c r="AG456" s="10">
        <f>AC456*1.25*'Parametros'!$B$3*(AB456-(AC456*1.25*'Parametros'!$B$3/(0.85*'Parametros'!$B$2*H456))/2)/1000000</f>
        <v>244.158843198529</v>
      </c>
      <c r="AH456" s="10">
        <f>N456+(AF456+AG456)/D456</f>
        <v>355.013584725936</v>
      </c>
      <c r="AI456" s="10">
        <f>MAX(O456,AH456)</f>
        <v>355.013584725936</v>
      </c>
      <c r="AJ456" s="10">
        <f>0.17*SQRT('Parametros'!$B$2)*H456*MIN(U456,AB456)/1000</f>
        <v>220.098728691808</v>
      </c>
      <c r="AK456" s="10">
        <f>MAX(AI456/'Parametros'!$B$6-AJ456,0)</f>
        <v>253.25271760944</v>
      </c>
      <c r="AL456" s="10">
        <f>0.66*SQRT('Parametros'!$B$2)*H456*MIN(U456,AB456)/1000</f>
        <v>854.500946685842</v>
      </c>
      <c r="AM456" s="10" t="str">
        <f>IF(AK456&lt;=AL456,"CUMPLE","NO CUMPLE")</f>
        <v>CUMPLE</v>
      </c>
      <c r="AN456" s="17" t="inlineStr">
        <is>
          <t>Nº4 cerrado</t>
        </is>
      </c>
      <c r="AO456" s="31" t="n">
        <v>2</v>
      </c>
      <c r="AP456" s="10">
        <f>ROUNDDOWN(MIN(IF(BC456+BD456=0,1000000000,AO456*BB456/(BC456+BD456)),MIN(U456,AB456)/4,8*'Parametros'!$B$12,24*BA456,300,IF(AV456=0,1000000000,2*((H456-2*('Parametros'!$B$7+'Parametros'!$B$9/2))+(I456-2*('Parametros'!$B$7+'Parametros'!$B$9/2)))/8))/10,0)*10</f>
        <v>120</v>
      </c>
      <c r="AQ456" s="10">
        <f>ROUNDDOWN(MIN(IF(BC456+BD456=0,1000000000,AO456*BB456/(BC456+BD456)),IF(AK456&gt;0.33*SQRT('Parametros'!$B$2)*H456*MIN(U456,AB456)/1000,MIN(U456,AB456)/4,MIN(U456,AB456)/2),600,IF(AV456=0,1000000000,2*((H456-2*('Parametros'!$B$7+'Parametros'!$B$9/2))+(I456-2*('Parametros'!$B$7+'Parametros'!$B$9/2)))/8))/10,0)*10</f>
        <v>130</v>
      </c>
      <c r="AR456" s="10">
        <f>'Parametros'!$B$6*(AJ456+MAX(BE456-BD456,0)*'Parametros'!$B$4*MIN(U456,AB456)/1000)</f>
        <v>402.028717157251</v>
      </c>
      <c r="AS456" s="10" t="str">
        <f>IF(AND(ISERROR(SEARCH("referencia",AN456)),AM456="CUMPLE",AR456&gt;=AI456),"CUMPLE","NO CUMPLE")</f>
        <v>CUMPLE</v>
      </c>
      <c r="AT456" s="10">
        <f>'Parametros'!$B$6*0.083*SQRT('Parametros'!$B$2)*(H456*I456)^2/(2*(H456+I456))/1000000</f>
        <v>11.862178757599</v>
      </c>
      <c r="AU456" s="10" t="str">
        <f>IF(Q456&lt;=AT456,"DESPRECIABLE","DISEÑAR")</f>
        <v>DISEÑAR</v>
      </c>
      <c r="AV456" s="10">
        <f>IF(Q456&lt;=AT456,0,Q456*1000000/('Parametros'!$B$6*2*0.85*(H456-2*('Parametros'!$B$7+'Parametros'!$B$9/2))*(I456-2*('Parametros'!$B$7+'Parametros'!$B$9/2))*'Parametros'!$B$4))</f>
        <v>0.30639159124788</v>
      </c>
      <c r="AW456" s="10">
        <f>AV456*2*((H456-2*('Parametros'!$B$7+'Parametros'!$B$9/2))+(I456-2*('Parametros'!$B$7+'Parametros'!$B$9/2)))*'Parametros'!$B$4/'Parametros'!$B$3</f>
        <v>529.812339585835</v>
      </c>
      <c r="AX456" s="31" t="n">
        <v>8</v>
      </c>
      <c r="AY456" s="10" t="str">
        <f>IF(AV456=0,"DESPRECIABLE",IF(AND(ISERROR(SEARCH("referencia",AN456)),BB456/AP456&gt;=AV456,BI456&gt;=AW456,BH456="CUMPLE"),"CUMPLE","NO CUMPLE"))</f>
        <v>CUMPLE</v>
      </c>
      <c r="AZ456" s="10" t="str">
        <f>IF(AND(X456="CUMPLE",AE456="CUMPLE",AS456="CUMPLE",OR(AY456="CUMPLE",AY456="DESPRECIABLE"),BH456="CUMPLE",BJ456="CUMPLE"),"CUMPLE","NO CUMPLE")</f>
        <v>CUMPLE</v>
      </c>
      <c r="BA456" s="32" t="n">
        <v>12.7</v>
      </c>
      <c r="BB456" s="32" t="n">
        <v>129</v>
      </c>
      <c r="BC456" s="10">
        <f>MAX(IF(AK456=0,0,AK456*1000/('Parametros'!$B$4*MIN(U456,AB456))),MAX(0.062*SQRT('Parametros'!$B$2)*H456/'Parametros'!$B$4,0.35*H456/'Parametros'!$B$4))</f>
        <v>1.23221142530879</v>
      </c>
      <c r="BD456" s="10">
        <f>2*AV456</f>
        <v>0.612783182495761</v>
      </c>
      <c r="BE456" s="10">
        <f>AO456*BB456/AP456</f>
        <v>2.15</v>
      </c>
      <c r="BF456" s="10">
        <f>SQRT((AI456*1000/(H456*MIN(U456,AB456)))^2+(Q456*1000000*2*((H456-2*('Parametros'!$B$7+'Parametros'!$B$9/2))+(I456-2*('Parametros'!$B$7+'Parametros'!$B$9/2)))/(1.7*((H456-2*('Parametros'!$B$7+'Parametros'!$B$9/2))*(I456-2*('Parametros'!$B$7+'Parametros'!$B$9/2)))^2))^2)</f>
        <v>1.70532506301603</v>
      </c>
      <c r="BG456" s="10">
        <f>'Parametros'!$B$6*(AJ456*1000/(H456*MIN(U456,AB456))+0.66*SQRT('Parametros'!$B$2))</f>
        <v>3.29396038227542</v>
      </c>
      <c r="BH456" s="10" t="str">
        <f>IF(BF456&lt;=BG456,"CUMPLE","NO CUMPLE")</f>
        <v>CUMPLE</v>
      </c>
      <c r="BI456" s="10">
        <f>AX456*'Parametros'!$B$8</f>
        <v>1592</v>
      </c>
      <c r="BJ456" s="10" t="str">
        <f>IF(BI456&gt;=AW456,"CUMPLE","NO CUMPLE")</f>
        <v>CUMPLE</v>
      </c>
    </row>
    <row r="457">
      <c r="A457" s="25" t="inlineStr">
        <is>
          <t>VR2</t>
        </is>
      </c>
      <c r="B457" s="25" t="inlineStr">
        <is>
          <t>892</t>
        </is>
      </c>
      <c r="C457" s="10" t="n">
        <v>1</v>
      </c>
      <c r="D457" s="10" t="n">
        <v>3.57612</v>
      </c>
      <c r="E457" s="10" t="n">
        <v>3.57612</v>
      </c>
      <c r="F457" s="10" t="n">
        <v>500</v>
      </c>
      <c r="G457" s="10" t="n">
        <v>550</v>
      </c>
      <c r="H457" s="17" t="n">
        <v>500</v>
      </c>
      <c r="I457" s="17" t="n">
        <v>550</v>
      </c>
      <c r="J457" s="30" t="n">
        <v>120.1114</v>
      </c>
      <c r="K457" s="10" t="inlineStr">
        <is>
          <t>892</t>
        </is>
      </c>
      <c r="L457" s="30" t="n">
        <v>54.8369</v>
      </c>
      <c r="M457" s="10" t="inlineStr">
        <is>
          <t>892</t>
        </is>
      </c>
      <c r="N457" s="30" t="n">
        <v>101.654</v>
      </c>
      <c r="O457" s="30" t="n">
        <v>244.874</v>
      </c>
      <c r="P457" s="10" t="inlineStr">
        <is>
          <t>892</t>
        </is>
      </c>
      <c r="Q457" s="30" t="n">
        <v>5.2145</v>
      </c>
      <c r="R457" s="10">
        <f>MAX(MAX(1.4/'Parametros'!$B$3,0.25*SQRT('Parametros'!$B$2)/'Parametros'!$B$3)*H457*U457,(0.85*'Parametros'!$B$2/'Parametros'!$B$3)*(1-SQRT(1-2*(J457*1000000/('Parametros'!$B$5*H457*U457^2))/(0.85*'Parametros'!$B$2)))*H457*U457)</f>
        <v>815.583333333333</v>
      </c>
      <c r="S457" s="31" t="n">
        <v>5</v>
      </c>
      <c r="T457" s="32" t="n">
        <v>1</v>
      </c>
      <c r="U457" s="10">
        <f>IF(T457=1,I457-('Parametros'!$B$7+'Parametros'!$B$9+'Parametros'!$B$12/2),I457-(ROUNDUP(S457/2,0)*('Parametros'!$B$7+'Parametros'!$B$9+'Parametros'!$B$12/2)+ROUNDDOWN(S457/2,0)*('Parametros'!$B$7+'Parametros'!$B$9+'Parametros'!$B$12/2+'Parametros'!$B$12+'Parametros'!$B$10))/S457)</f>
        <v>489.35</v>
      </c>
      <c r="V457" s="10">
        <f>S457*'Parametros'!$B$8</f>
        <v>995</v>
      </c>
      <c r="W457" s="10">
        <f>'Parametros'!$B$5*V457*'Parametros'!$B$3*(U457-(V457*'Parametros'!$B$3/(0.85*'Parametros'!$B$2*H457))/2)/1000000</f>
        <v>177.445379382353</v>
      </c>
      <c r="X457" s="10" t="str">
        <f>IF(W457&gt;=J457,"CUMPLE","NO CUMPLE")</f>
        <v>CUMPLE</v>
      </c>
      <c r="Y457" s="10">
        <f>MAX(MAX(1.4/'Parametros'!$B$3,0.25*SQRT('Parametros'!$B$2)/'Parametros'!$B$3)*H457*AB457,(0.85*'Parametros'!$B$2/'Parametros'!$B$3)*(1-SQRT(1-2*(L457*1000000/('Parametros'!$B$5*H457*AB457^2))/(0.85*'Parametros'!$B$2)))*H457*AB457)</f>
        <v>815.583333333333</v>
      </c>
      <c r="Z457" s="31" t="n">
        <v>5</v>
      </c>
      <c r="AA457" s="32" t="n">
        <v>1</v>
      </c>
      <c r="AB457" s="10">
        <f>IF(AA457=1,I457-('Parametros'!$B$7+'Parametros'!$B$9+'Parametros'!$B$12/2),I457-(ROUNDUP(Z457/2,0)*('Parametros'!$B$7+'Parametros'!$B$9+'Parametros'!$B$12/2)+ROUNDDOWN(Z457/2,0)*('Parametros'!$B$7+'Parametros'!$B$9+'Parametros'!$B$12/2+'Parametros'!$B$12+'Parametros'!$B$10))/Z457)</f>
        <v>489.35</v>
      </c>
      <c r="AC457" s="10">
        <f>Z457*'Parametros'!$B$8</f>
        <v>995</v>
      </c>
      <c r="AD457" s="10">
        <f>'Parametros'!$B$5*AC457*'Parametros'!$B$3*(AB457-(AC457*'Parametros'!$B$3/(0.85*'Parametros'!$B$2*H457))/2)/1000000</f>
        <v>177.445379382353</v>
      </c>
      <c r="AE457" s="10" t="str">
        <f>IF(AD457&gt;=L457,"CUMPLE","NO CUMPLE")</f>
        <v>CUMPLE</v>
      </c>
      <c r="AF457" s="10">
        <f>V457*1.25*'Parametros'!$B$3*(U457-(V457*1.25*'Parametros'!$B$3/(0.85*'Parametros'!$B$2*H457))/2)/1000000</f>
        <v>244.158843198529</v>
      </c>
      <c r="AG457" s="10">
        <f>AC457*1.25*'Parametros'!$B$3*(AB457-(AC457*1.25*'Parametros'!$B$3/(0.85*'Parametros'!$B$2*H457))/2)/1000000</f>
        <v>244.158843198529</v>
      </c>
      <c r="AH457" s="10">
        <f>N457+(AF457+AG457)/D457</f>
        <v>238.203580662019</v>
      </c>
      <c r="AI457" s="10">
        <f>MAX(O457,AH457)</f>
        <v>244.874</v>
      </c>
      <c r="AJ457" s="10">
        <f>0.17*SQRT('Parametros'!$B$2)*H457*MIN(U457,AB457)/1000</f>
        <v>220.098728691808</v>
      </c>
      <c r="AK457" s="10">
        <f>MAX(AI457/'Parametros'!$B$6-AJ457,0)</f>
        <v>106.399937974859</v>
      </c>
      <c r="AL457" s="10">
        <f>0.66*SQRT('Parametros'!$B$2)*H457*MIN(U457,AB457)/1000</f>
        <v>854.500946685842</v>
      </c>
      <c r="AM457" s="10" t="str">
        <f>IF(AK457&lt;=AL457,"CUMPLE","NO CUMPLE")</f>
        <v>CUMPLE</v>
      </c>
      <c r="AN457" s="17" t="inlineStr">
        <is>
          <t>Nº3 cerrado</t>
        </is>
      </c>
      <c r="AO457" s="31" t="n">
        <v>2</v>
      </c>
      <c r="AP457" s="10">
        <f>ROUNDDOWN(MIN(IF(BC457+BD457=0,1000000000,AO457*BB457/(BC457+BD457)),MIN(U457,AB457)/4,8*'Parametros'!$B$12,24*BA457,300,IF(AV457=0,1000000000,2*((H457-2*('Parametros'!$B$7+'Parametros'!$B$9/2))+(I457-2*('Parametros'!$B$7+'Parametros'!$B$9/2)))/8))/10,0)*10</f>
        <v>120</v>
      </c>
      <c r="AQ457" s="10">
        <f>ROUNDDOWN(MIN(IF(BC457+BD457=0,1000000000,AO457*BB457/(BC457+BD457)),IF(AK457&gt;0.33*SQRT('Parametros'!$B$2)*H457*MIN(U457,AB457)/1000,MIN(U457,AB457)/4,MIN(U457,AB457)/2),600,IF(AV457=0,1000000000,2*((H457-2*('Parametros'!$B$7+'Parametros'!$B$9/2))+(I457-2*('Parametros'!$B$7+'Parametros'!$B$9/2)))/8))/10,0)*10</f>
        <v>240</v>
      </c>
      <c r="AR457" s="10">
        <f>'Parametros'!$B$6*(AJ457+MAX(BE457-BD457,0)*'Parametros'!$B$4*MIN(U457,AB457)/1000)</f>
        <v>347.479259018856</v>
      </c>
      <c r="AS457" s="10" t="str">
        <f>IF(AND(ISERROR(SEARCH("referencia",AN457)),AM457="CUMPLE",AR457&gt;=AI457),"CUMPLE","NO CUMPLE")</f>
        <v>CUMPLE</v>
      </c>
      <c r="AT457" s="10">
        <f>'Parametros'!$B$6*0.083*SQRT('Parametros'!$B$2)*(H457*I457)^2/(2*(H457+I457))/1000000</f>
        <v>11.862178757599</v>
      </c>
      <c r="AU457" s="10" t="str">
        <f>IF(Q457&lt;=AT457,"DESPRECIABLE","DISEÑAR")</f>
        <v>DESPRECIABLE</v>
      </c>
      <c r="AV457" s="10">
        <f>IF(Q457&lt;=AT457,0,Q457*1000000/('Parametros'!$B$6*2*0.85*(H457-2*('Parametros'!$B$7+'Parametros'!$B$9/2))*(I457-2*('Parametros'!$B$7+'Parametros'!$B$9/2))*'Parametros'!$B$4))</f>
        <v>0</v>
      </c>
      <c r="AW457" s="10">
        <f>AV457*2*((H457-2*('Parametros'!$B$7+'Parametros'!$B$9/2))+(I457-2*('Parametros'!$B$7+'Parametros'!$B$9/2)))*'Parametros'!$B$4/'Parametros'!$B$3</f>
        <v>0</v>
      </c>
      <c r="AX457" s="31" t="n">
        <v>0</v>
      </c>
      <c r="AY457" s="10" t="str">
        <f>IF(AV457=0,"DESPRECIABLE",IF(AND(ISERROR(SEARCH("referencia",AN457)),BB457/AP457&gt;=AV457,BI457&gt;=AW457,BH457="CUMPLE"),"CUMPLE","NO CUMPLE"))</f>
        <v>DESPRECIABLE</v>
      </c>
      <c r="AZ457" s="10" t="str">
        <f>IF(AND(X457="CUMPLE",AE457="CUMPLE",AS457="CUMPLE",OR(AY457="CUMPLE",AY457="DESPRECIABLE"),BH457="CUMPLE",BJ457="CUMPLE"),"CUMPLE","NO CUMPLE")</f>
        <v>CUMPLE</v>
      </c>
      <c r="BA457" s="32" t="n">
        <v>9.5</v>
      </c>
      <c r="BB457" s="32" t="n">
        <v>71</v>
      </c>
      <c r="BC457" s="10">
        <f>MAX(IF(AK457=0,0,AK457*1000/('Parametros'!$B$4*MIN(U457,AB457))),MAX(0.062*SQRT('Parametros'!$B$2)*H457/'Parametros'!$B$4,0.35*H457/'Parametros'!$B$4))</f>
        <v>0.517693237262544</v>
      </c>
      <c r="BD457" s="10">
        <f>2*AV457</f>
        <v>0</v>
      </c>
      <c r="BE457" s="10">
        <f>AO457*BB457/AP457</f>
        <v>1.18333333333333</v>
      </c>
      <c r="BF457" s="10">
        <f>SQRT((AI457*1000/(H457*MIN(U457,AB457)))^2+(Q457*1000000*2*((H457-2*('Parametros'!$B$7+'Parametros'!$B$9/2))+(I457-2*('Parametros'!$B$7+'Parametros'!$B$9/2)))/(1.7*((H457-2*('Parametros'!$B$7+'Parametros'!$B$9/2))*(I457-2*('Parametros'!$B$7+'Parametros'!$B$9/2)))^2))^2)</f>
        <v>1.01242408032176</v>
      </c>
      <c r="BG457" s="10">
        <f>'Parametros'!$B$6*(AJ457*1000/(H457*MIN(U457,AB457))+0.66*SQRT('Parametros'!$B$2))</f>
        <v>3.29396038227542</v>
      </c>
      <c r="BH457" s="10" t="str">
        <f>IF(BF457&lt;=BG457,"CUMPLE","NO CUMPLE")</f>
        <v>CUMPLE</v>
      </c>
      <c r="BI457" s="10">
        <f>AX457*'Parametros'!$B$8</f>
        <v>0</v>
      </c>
      <c r="BJ457" s="10" t="str">
        <f>IF(BI457&gt;=AW457,"CUMPLE","NO CUMPLE")</f>
        <v>CUMPLE</v>
      </c>
    </row>
    <row r="458">
      <c r="A458" s="25" t="inlineStr">
        <is>
          <t>VR2</t>
        </is>
      </c>
      <c r="B458" s="25" t="inlineStr">
        <is>
          <t>893</t>
        </is>
      </c>
      <c r="C458" s="10" t="n">
        <v>1</v>
      </c>
      <c r="D458" s="10" t="n">
        <v>1.9</v>
      </c>
      <c r="E458" s="10" t="n">
        <v>1.9</v>
      </c>
      <c r="F458" s="10" t="n">
        <v>500</v>
      </c>
      <c r="G458" s="10" t="n">
        <v>550</v>
      </c>
      <c r="H458" s="17" t="n">
        <v>500</v>
      </c>
      <c r="I458" s="17" t="n">
        <v>550</v>
      </c>
      <c r="J458" s="30" t="n">
        <v>93.1726</v>
      </c>
      <c r="K458" s="10" t="inlineStr">
        <is>
          <t>893</t>
        </is>
      </c>
      <c r="L458" s="30" t="n">
        <v>56.4705</v>
      </c>
      <c r="M458" s="10" t="inlineStr">
        <is>
          <t>893</t>
        </is>
      </c>
      <c r="N458" s="30" t="n">
        <v>96.09399999999999</v>
      </c>
      <c r="O458" s="30" t="n">
        <v>273.359</v>
      </c>
      <c r="P458" s="10" t="inlineStr">
        <is>
          <t>893</t>
        </is>
      </c>
      <c r="Q458" s="30" t="n">
        <v>10.8921</v>
      </c>
      <c r="R458" s="10">
        <f>MAX(MAX(1.4/'Parametros'!$B$3,0.25*SQRT('Parametros'!$B$2)/'Parametros'!$B$3)*H458*U458,(0.85*'Parametros'!$B$2/'Parametros'!$B$3)*(1-SQRT(1-2*(J458*1000000/('Parametros'!$B$5*H458*U458^2))/(0.85*'Parametros'!$B$2)))*H458*U458)</f>
        <v>815.583333333333</v>
      </c>
      <c r="S458" s="31" t="n">
        <v>5</v>
      </c>
      <c r="T458" s="32" t="n">
        <v>1</v>
      </c>
      <c r="U458" s="10">
        <f>IF(T458=1,I458-('Parametros'!$B$7+'Parametros'!$B$9+'Parametros'!$B$12/2),I458-(ROUNDUP(S458/2,0)*('Parametros'!$B$7+'Parametros'!$B$9+'Parametros'!$B$12/2)+ROUNDDOWN(S458/2,0)*('Parametros'!$B$7+'Parametros'!$B$9+'Parametros'!$B$12/2+'Parametros'!$B$12+'Parametros'!$B$10))/S458)</f>
        <v>489.35</v>
      </c>
      <c r="V458" s="10">
        <f>S458*'Parametros'!$B$8</f>
        <v>995</v>
      </c>
      <c r="W458" s="10">
        <f>'Parametros'!$B$5*V458*'Parametros'!$B$3*(U458-(V458*'Parametros'!$B$3/(0.85*'Parametros'!$B$2*H458))/2)/1000000</f>
        <v>177.445379382353</v>
      </c>
      <c r="X458" s="10" t="str">
        <f>IF(W458&gt;=J458,"CUMPLE","NO CUMPLE")</f>
        <v>CUMPLE</v>
      </c>
      <c r="Y458" s="10">
        <f>MAX(MAX(1.4/'Parametros'!$B$3,0.25*SQRT('Parametros'!$B$2)/'Parametros'!$B$3)*H458*AB458,(0.85*'Parametros'!$B$2/'Parametros'!$B$3)*(1-SQRT(1-2*(L458*1000000/('Parametros'!$B$5*H458*AB458^2))/(0.85*'Parametros'!$B$2)))*H458*AB458)</f>
        <v>815.583333333333</v>
      </c>
      <c r="Z458" s="31" t="n">
        <v>5</v>
      </c>
      <c r="AA458" s="32" t="n">
        <v>1</v>
      </c>
      <c r="AB458" s="10">
        <f>IF(AA458=1,I458-('Parametros'!$B$7+'Parametros'!$B$9+'Parametros'!$B$12/2),I458-(ROUNDUP(Z458/2,0)*('Parametros'!$B$7+'Parametros'!$B$9+'Parametros'!$B$12/2)+ROUNDDOWN(Z458/2,0)*('Parametros'!$B$7+'Parametros'!$B$9+'Parametros'!$B$12/2+'Parametros'!$B$12+'Parametros'!$B$10))/Z458)</f>
        <v>489.35</v>
      </c>
      <c r="AC458" s="10">
        <f>Z458*'Parametros'!$B$8</f>
        <v>995</v>
      </c>
      <c r="AD458" s="10">
        <f>'Parametros'!$B$5*AC458*'Parametros'!$B$3*(AB458-(AC458*'Parametros'!$B$3/(0.85*'Parametros'!$B$2*H458))/2)/1000000</f>
        <v>177.445379382353</v>
      </c>
      <c r="AE458" s="10" t="str">
        <f>IF(AD458&gt;=L458,"CUMPLE","NO CUMPLE")</f>
        <v>CUMPLE</v>
      </c>
      <c r="AF458" s="10">
        <f>V458*1.25*'Parametros'!$B$3*(U458-(V458*1.25*'Parametros'!$B$3/(0.85*'Parametros'!$B$2*H458))/2)/1000000</f>
        <v>244.158843198529</v>
      </c>
      <c r="AG458" s="10">
        <f>AC458*1.25*'Parametros'!$B$3*(AB458-(AC458*1.25*'Parametros'!$B$3/(0.85*'Parametros'!$B$2*H458))/2)/1000000</f>
        <v>244.158843198529</v>
      </c>
      <c r="AH458" s="10">
        <f>N458+(AF458+AG458)/D458</f>
        <v>353.103308630031</v>
      </c>
      <c r="AI458" s="10">
        <f>MAX(O458,AH458)</f>
        <v>353.103308630031</v>
      </c>
      <c r="AJ458" s="10">
        <f>0.17*SQRT('Parametros'!$B$2)*H458*MIN(U458,AB458)/1000</f>
        <v>220.098728691808</v>
      </c>
      <c r="AK458" s="10">
        <f>MAX(AI458/'Parametros'!$B$6-AJ458,0)</f>
        <v>250.7056828149</v>
      </c>
      <c r="AL458" s="10">
        <f>0.66*SQRT('Parametros'!$B$2)*H458*MIN(U458,AB458)/1000</f>
        <v>854.500946685842</v>
      </c>
      <c r="AM458" s="10" t="str">
        <f>IF(AK458&lt;=AL458,"CUMPLE","NO CUMPLE")</f>
        <v>CUMPLE</v>
      </c>
      <c r="AN458" s="17" t="inlineStr">
        <is>
          <t>Nº3 cerrado</t>
        </is>
      </c>
      <c r="AO458" s="31" t="n">
        <v>2</v>
      </c>
      <c r="AP458" s="10">
        <f>ROUNDDOWN(MIN(IF(BC458+BD458=0,1000000000,AO458*BB458/(BC458+BD458)),MIN(U458,AB458)/4,8*'Parametros'!$B$12,24*BA458,300,IF(AV458=0,1000000000,2*((H458-2*('Parametros'!$B$7+'Parametros'!$B$9/2))+(I458-2*('Parametros'!$B$7+'Parametros'!$B$9/2)))/8))/10,0)*10</f>
        <v>110</v>
      </c>
      <c r="AQ458" s="10">
        <f>ROUNDDOWN(MIN(IF(BC458+BD458=0,1000000000,AO458*BB458/(BC458+BD458)),IF(AK458&gt;0.33*SQRT('Parametros'!$B$2)*H458*MIN(U458,AB458)/1000,MIN(U458,AB458)/4,MIN(U458,AB458)/2),600,IF(AV458=0,1000000000,2*((H458-2*('Parametros'!$B$7+'Parametros'!$B$9/2))+(I458-2*('Parametros'!$B$7+'Parametros'!$B$9/2)))/8))/10,0)*10</f>
        <v>110</v>
      </c>
      <c r="AR458" s="10">
        <f>'Parametros'!$B$6*(AJ458+MAX(BE458-BD458,0)*'Parametros'!$B$4*MIN(U458,AB458)/1000)</f>
        <v>364.06155106431</v>
      </c>
      <c r="AS458" s="10" t="str">
        <f>IF(AND(ISERROR(SEARCH("referencia",AN458)),AM458="CUMPLE",AR458&gt;=AI458),"CUMPLE","NO CUMPLE")</f>
        <v>CUMPLE</v>
      </c>
      <c r="AT458" s="10">
        <f>'Parametros'!$B$6*0.083*SQRT('Parametros'!$B$2)*(H458*I458)^2/(2*(H458+I458))/1000000</f>
        <v>11.862178757599</v>
      </c>
      <c r="AU458" s="10" t="str">
        <f>IF(Q458&lt;=AT458,"DESPRECIABLE","DISEÑAR")</f>
        <v>DESPRECIABLE</v>
      </c>
      <c r="AV458" s="10">
        <f>IF(Q458&lt;=AT458,0,Q458*1000000/('Parametros'!$B$6*2*0.85*(H458-2*('Parametros'!$B$7+'Parametros'!$B$9/2))*(I458-2*('Parametros'!$B$7+'Parametros'!$B$9/2))*'Parametros'!$B$4))</f>
        <v>0</v>
      </c>
      <c r="AW458" s="10">
        <f>AV458*2*((H458-2*('Parametros'!$B$7+'Parametros'!$B$9/2))+(I458-2*('Parametros'!$B$7+'Parametros'!$B$9/2)))*'Parametros'!$B$4/'Parametros'!$B$3</f>
        <v>0</v>
      </c>
      <c r="AX458" s="31" t="n">
        <v>0</v>
      </c>
      <c r="AY458" s="10" t="str">
        <f>IF(AV458=0,"DESPRECIABLE",IF(AND(ISERROR(SEARCH("referencia",AN458)),BB458/AP458&gt;=AV458,BI458&gt;=AW458,BH458="CUMPLE"),"CUMPLE","NO CUMPLE"))</f>
        <v>DESPRECIABLE</v>
      </c>
      <c r="AZ458" s="10" t="str">
        <f>IF(AND(X458="CUMPLE",AE458="CUMPLE",AS458="CUMPLE",OR(AY458="CUMPLE",AY458="DESPRECIABLE"),BH458="CUMPLE",BJ458="CUMPLE"),"CUMPLE","NO CUMPLE")</f>
        <v>CUMPLE</v>
      </c>
      <c r="BA458" s="32" t="n">
        <v>9.5</v>
      </c>
      <c r="BB458" s="32" t="n">
        <v>71</v>
      </c>
      <c r="BC458" s="10">
        <f>MAX(IF(AK458=0,0,AK458*1000/('Parametros'!$B$4*MIN(U458,AB458))),MAX(0.062*SQRT('Parametros'!$B$2)*H458/'Parametros'!$B$4,0.35*H458/'Parametros'!$B$4))</f>
        <v>1.21981872364653</v>
      </c>
      <c r="BD458" s="10">
        <f>2*AV458</f>
        <v>0</v>
      </c>
      <c r="BE458" s="10">
        <f>AO458*BB458/AP458</f>
        <v>1.29090909090909</v>
      </c>
      <c r="BF458" s="10">
        <f>SQRT((AI458*1000/(H458*MIN(U458,AB458)))^2+(Q458*1000000*2*((H458-2*('Parametros'!$B$7+'Parametros'!$B$9/2))+(I458-2*('Parametros'!$B$7+'Parametros'!$B$9/2)))/(1.7*((H458-2*('Parametros'!$B$7+'Parametros'!$B$9/2))*(I458-2*('Parametros'!$B$7+'Parametros'!$B$9/2)))^2))^2)</f>
        <v>1.47806556326129</v>
      </c>
      <c r="BG458" s="10">
        <f>'Parametros'!$B$6*(AJ458*1000/(H458*MIN(U458,AB458))+0.66*SQRT('Parametros'!$B$2))</f>
        <v>3.29396038227542</v>
      </c>
      <c r="BH458" s="10" t="str">
        <f>IF(BF458&lt;=BG458,"CUMPLE","NO CUMPLE")</f>
        <v>CUMPLE</v>
      </c>
      <c r="BI458" s="10">
        <f>AX458*'Parametros'!$B$8</f>
        <v>0</v>
      </c>
      <c r="BJ458" s="10" t="str">
        <f>IF(BI458&gt;=AW458,"CUMPLE","NO CUMPLE")</f>
        <v>CUMPLE</v>
      </c>
    </row>
    <row r="459">
      <c r="A459" s="25" t="inlineStr">
        <is>
          <t>VR2</t>
        </is>
      </c>
      <c r="B459" s="25" t="inlineStr">
        <is>
          <t>894</t>
        </is>
      </c>
      <c r="C459" s="10" t="n">
        <v>1</v>
      </c>
      <c r="D459" s="10" t="n">
        <v>2</v>
      </c>
      <c r="E459" s="10" t="n">
        <v>2</v>
      </c>
      <c r="F459" s="10" t="n">
        <v>500</v>
      </c>
      <c r="G459" s="10" t="n">
        <v>550</v>
      </c>
      <c r="H459" s="17" t="n">
        <v>500</v>
      </c>
      <c r="I459" s="17" t="n">
        <v>550</v>
      </c>
      <c r="J459" s="30" t="n">
        <v>100.9069</v>
      </c>
      <c r="K459" s="10" t="inlineStr">
        <is>
          <t>894</t>
        </is>
      </c>
      <c r="L459" s="30" t="n">
        <v>54.4373</v>
      </c>
      <c r="M459" s="10" t="inlineStr">
        <is>
          <t>894</t>
        </is>
      </c>
      <c r="N459" s="30" t="n">
        <v>105.656</v>
      </c>
      <c r="O459" s="30" t="n">
        <v>324.544</v>
      </c>
      <c r="P459" s="10" t="inlineStr">
        <is>
          <t>894</t>
        </is>
      </c>
      <c r="Q459" s="30" t="n">
        <v>26.1457</v>
      </c>
      <c r="R459" s="10">
        <f>MAX(MAX(1.4/'Parametros'!$B$3,0.25*SQRT('Parametros'!$B$2)/'Parametros'!$B$3)*H459*U459,(0.85*'Parametros'!$B$2/'Parametros'!$B$3)*(1-SQRT(1-2*(J459*1000000/('Parametros'!$B$5*H459*U459^2))/(0.85*'Parametros'!$B$2)))*H459*U459)</f>
        <v>815.583333333333</v>
      </c>
      <c r="S459" s="31" t="n">
        <v>5</v>
      </c>
      <c r="T459" s="32" t="n">
        <v>1</v>
      </c>
      <c r="U459" s="10">
        <f>IF(T459=1,I459-('Parametros'!$B$7+'Parametros'!$B$9+'Parametros'!$B$12/2),I459-(ROUNDUP(S459/2,0)*('Parametros'!$B$7+'Parametros'!$B$9+'Parametros'!$B$12/2)+ROUNDDOWN(S459/2,0)*('Parametros'!$B$7+'Parametros'!$B$9+'Parametros'!$B$12/2+'Parametros'!$B$12+'Parametros'!$B$10))/S459)</f>
        <v>489.35</v>
      </c>
      <c r="V459" s="10">
        <f>S459*'Parametros'!$B$8</f>
        <v>995</v>
      </c>
      <c r="W459" s="10">
        <f>'Parametros'!$B$5*V459*'Parametros'!$B$3*(U459-(V459*'Parametros'!$B$3/(0.85*'Parametros'!$B$2*H459))/2)/1000000</f>
        <v>177.445379382353</v>
      </c>
      <c r="X459" s="10" t="str">
        <f>IF(W459&gt;=J459,"CUMPLE","NO CUMPLE")</f>
        <v>CUMPLE</v>
      </c>
      <c r="Y459" s="10">
        <f>MAX(MAX(1.4/'Parametros'!$B$3,0.25*SQRT('Parametros'!$B$2)/'Parametros'!$B$3)*H459*AB459,(0.85*'Parametros'!$B$2/'Parametros'!$B$3)*(1-SQRT(1-2*(L459*1000000/('Parametros'!$B$5*H459*AB459^2))/(0.85*'Parametros'!$B$2)))*H459*AB459)</f>
        <v>815.583333333333</v>
      </c>
      <c r="Z459" s="31" t="n">
        <v>5</v>
      </c>
      <c r="AA459" s="32" t="n">
        <v>1</v>
      </c>
      <c r="AB459" s="10">
        <f>IF(AA459=1,I459-('Parametros'!$B$7+'Parametros'!$B$9+'Parametros'!$B$12/2),I459-(ROUNDUP(Z459/2,0)*('Parametros'!$B$7+'Parametros'!$B$9+'Parametros'!$B$12/2)+ROUNDDOWN(Z459/2,0)*('Parametros'!$B$7+'Parametros'!$B$9+'Parametros'!$B$12/2+'Parametros'!$B$12+'Parametros'!$B$10))/Z459)</f>
        <v>489.35</v>
      </c>
      <c r="AC459" s="10">
        <f>Z459*'Parametros'!$B$8</f>
        <v>995</v>
      </c>
      <c r="AD459" s="10">
        <f>'Parametros'!$B$5*AC459*'Parametros'!$B$3*(AB459-(AC459*'Parametros'!$B$3/(0.85*'Parametros'!$B$2*H459))/2)/1000000</f>
        <v>177.445379382353</v>
      </c>
      <c r="AE459" s="10" t="str">
        <f>IF(AD459&gt;=L459,"CUMPLE","NO CUMPLE")</f>
        <v>CUMPLE</v>
      </c>
      <c r="AF459" s="10">
        <f>V459*1.25*'Parametros'!$B$3*(U459-(V459*1.25*'Parametros'!$B$3/(0.85*'Parametros'!$B$2*H459))/2)/1000000</f>
        <v>244.158843198529</v>
      </c>
      <c r="AG459" s="10">
        <f>AC459*1.25*'Parametros'!$B$3*(AB459-(AC459*1.25*'Parametros'!$B$3/(0.85*'Parametros'!$B$2*H459))/2)/1000000</f>
        <v>244.158843198529</v>
      </c>
      <c r="AH459" s="10">
        <f>N459+(AF459+AG459)/D459</f>
        <v>349.814843198529</v>
      </c>
      <c r="AI459" s="10">
        <f>MAX(O459,AH459)</f>
        <v>349.814843198529</v>
      </c>
      <c r="AJ459" s="10">
        <f>0.17*SQRT('Parametros'!$B$2)*H459*MIN(U459,AB459)/1000</f>
        <v>220.098728691808</v>
      </c>
      <c r="AK459" s="10">
        <f>MAX(AI459/'Parametros'!$B$6-AJ459,0)</f>
        <v>246.321062239565</v>
      </c>
      <c r="AL459" s="10">
        <f>0.66*SQRT('Parametros'!$B$2)*H459*MIN(U459,AB459)/1000</f>
        <v>854.500946685842</v>
      </c>
      <c r="AM459" s="10" t="str">
        <f>IF(AK459&lt;=AL459,"CUMPLE","NO CUMPLE")</f>
        <v>CUMPLE</v>
      </c>
      <c r="AN459" s="17" t="inlineStr">
        <is>
          <t>Nº3 cerrado</t>
        </is>
      </c>
      <c r="AO459" s="31" t="n">
        <v>2</v>
      </c>
      <c r="AP459" s="10">
        <f>ROUNDDOWN(MIN(IF(BC459+BD459=0,1000000000,AO459*BB459/(BC459+BD459)),MIN(U459,AB459)/4,8*'Parametros'!$B$12,24*BA459,300,IF(AV459=0,1000000000,2*((H459-2*('Parametros'!$B$7+'Parametros'!$B$9/2))+(I459-2*('Parametros'!$B$7+'Parametros'!$B$9/2)))/8))/10,0)*10</f>
        <v>80</v>
      </c>
      <c r="AQ459" s="10">
        <f>ROUNDDOWN(MIN(IF(BC459+BD459=0,1000000000,AO459*BB459/(BC459+BD459)),IF(AK459&gt;0.33*SQRT('Parametros'!$B$2)*H459*MIN(U459,AB459)/1000,MIN(U459,AB459)/4,MIN(U459,AB459)/2),600,IF(AV459=0,1000000000,2*((H459-2*('Parametros'!$B$7+'Parametros'!$B$9/2))+(I459-2*('Parametros'!$B$7+'Parametros'!$B$9/2)))/8))/10,0)*10</f>
        <v>80</v>
      </c>
      <c r="AR459" s="10">
        <f>'Parametros'!$B$6*(AJ459+MAX(BE459-BD459,0)*'Parametros'!$B$4*MIN(U459,AB459)/1000)</f>
        <v>357.868102358033</v>
      </c>
      <c r="AS459" s="10" t="str">
        <f>IF(AND(ISERROR(SEARCH("referencia",AN459)),AM459="CUMPLE",AR459&gt;=AI459),"CUMPLE","NO CUMPLE")</f>
        <v>CUMPLE</v>
      </c>
      <c r="AT459" s="10">
        <f>'Parametros'!$B$6*0.083*SQRT('Parametros'!$B$2)*(H459*I459)^2/(2*(H459+I459))/1000000</f>
        <v>11.862178757599</v>
      </c>
      <c r="AU459" s="10" t="str">
        <f>IF(Q459&lt;=AT459,"DESPRECIABLE","DISEÑAR")</f>
        <v>DISEÑAR</v>
      </c>
      <c r="AV459" s="10">
        <f>IF(Q459&lt;=AT459,0,Q459*1000000/('Parametros'!$B$6*2*0.85*(H459-2*('Parametros'!$B$7+'Parametros'!$B$9/2))*(I459-2*('Parametros'!$B$7+'Parametros'!$B$9/2))*'Parametros'!$B$4))</f>
        <v>0.262135106047131</v>
      </c>
      <c r="AW459" s="10">
        <f>AV459*2*((H459-2*('Parametros'!$B$7+'Parametros'!$B$9/2))+(I459-2*('Parametros'!$B$7+'Parametros'!$B$9/2)))*'Parametros'!$B$4/'Parametros'!$B$3</f>
        <v>453.284025376698</v>
      </c>
      <c r="AX459" s="31" t="n">
        <v>8</v>
      </c>
      <c r="AY459" s="10" t="str">
        <f>IF(AV459=0,"DESPRECIABLE",IF(AND(ISERROR(SEARCH("referencia",AN459)),BB459/AP459&gt;=AV459,BI459&gt;=AW459,BH459="CUMPLE"),"CUMPLE","NO CUMPLE"))</f>
        <v>CUMPLE</v>
      </c>
      <c r="AZ459" s="10" t="str">
        <f>IF(AND(X459="CUMPLE",AE459="CUMPLE",AS459="CUMPLE",OR(AY459="CUMPLE",AY459="DESPRECIABLE"),BH459="CUMPLE",BJ459="CUMPLE"),"CUMPLE","NO CUMPLE")</f>
        <v>CUMPLE</v>
      </c>
      <c r="BA459" s="32" t="n">
        <v>9.5</v>
      </c>
      <c r="BB459" s="32" t="n">
        <v>71</v>
      </c>
      <c r="BC459" s="10">
        <f>MAX(IF(AK459=0,0,AK459*1000/('Parametros'!$B$4*MIN(U459,AB459))),MAX(0.062*SQRT('Parametros'!$B$2)*H459/'Parametros'!$B$4,0.35*H459/'Parametros'!$B$4))</f>
        <v>1.19848517343008</v>
      </c>
      <c r="BD459" s="10">
        <f>2*AV459</f>
        <v>0.524270212094261</v>
      </c>
      <c r="BE459" s="10">
        <f>AO459*BB459/AP459</f>
        <v>1.775</v>
      </c>
      <c r="BF459" s="10">
        <f>SQRT((AI459*1000/(H459*MIN(U459,AB459)))^2+(Q459*1000000*2*((H459-2*('Parametros'!$B$7+'Parametros'!$B$9/2))+(I459-2*('Parametros'!$B$7+'Parametros'!$B$9/2)))/(1.7*((H459-2*('Parametros'!$B$7+'Parametros'!$B$9/2))*(I459-2*('Parametros'!$B$7+'Parametros'!$B$9/2)))^2))^2)</f>
        <v>1.62226486715018</v>
      </c>
      <c r="BG459" s="10">
        <f>'Parametros'!$B$6*(AJ459*1000/(H459*MIN(U459,AB459))+0.66*SQRT('Parametros'!$B$2))</f>
        <v>3.29396038227542</v>
      </c>
      <c r="BH459" s="10" t="str">
        <f>IF(BF459&lt;=BG459,"CUMPLE","NO CUMPLE")</f>
        <v>CUMPLE</v>
      </c>
      <c r="BI459" s="10">
        <f>AX459*'Parametros'!$B$8</f>
        <v>1592</v>
      </c>
      <c r="BJ459" s="10" t="str">
        <f>IF(BI459&gt;=AW459,"CUMPLE","NO CUMPLE")</f>
        <v>CUMPLE</v>
      </c>
    </row>
    <row r="460">
      <c r="A460" s="25" t="inlineStr">
        <is>
          <t>VR2</t>
        </is>
      </c>
      <c r="B460" s="25" t="inlineStr">
        <is>
          <t>895</t>
        </is>
      </c>
      <c r="C460" s="10" t="n">
        <v>1</v>
      </c>
      <c r="D460" s="10" t="n">
        <v>3.05308</v>
      </c>
      <c r="E460" s="10" t="n">
        <v>3.05308</v>
      </c>
      <c r="F460" s="10" t="n">
        <v>500</v>
      </c>
      <c r="G460" s="10" t="n">
        <v>550</v>
      </c>
      <c r="H460" s="17" t="n">
        <v>500</v>
      </c>
      <c r="I460" s="17" t="n">
        <v>550</v>
      </c>
      <c r="J460" s="30" t="n">
        <v>125.4851</v>
      </c>
      <c r="K460" s="10" t="inlineStr">
        <is>
          <t>895</t>
        </is>
      </c>
      <c r="L460" s="30" t="n">
        <v>63.9144</v>
      </c>
      <c r="M460" s="10" t="inlineStr">
        <is>
          <t>895</t>
        </is>
      </c>
      <c r="N460" s="30" t="n">
        <v>110.208</v>
      </c>
      <c r="O460" s="30" t="n">
        <v>260.812</v>
      </c>
      <c r="P460" s="10" t="inlineStr">
        <is>
          <t>895</t>
        </is>
      </c>
      <c r="Q460" s="30" t="n">
        <v>31.8149</v>
      </c>
      <c r="R460" s="10">
        <f>MAX(MAX(1.4/'Parametros'!$B$3,0.25*SQRT('Parametros'!$B$2)/'Parametros'!$B$3)*H460*U460,(0.85*'Parametros'!$B$2/'Parametros'!$B$3)*(1-SQRT(1-2*(J460*1000000/('Parametros'!$B$5*H460*U460^2))/(0.85*'Parametros'!$B$2)))*H460*U460)</f>
        <v>815.583333333333</v>
      </c>
      <c r="S460" s="31" t="n">
        <v>5</v>
      </c>
      <c r="T460" s="32" t="n">
        <v>1</v>
      </c>
      <c r="U460" s="10">
        <f>IF(T460=1,I460-('Parametros'!$B$7+'Parametros'!$B$9+'Parametros'!$B$12/2),I460-(ROUNDUP(S460/2,0)*('Parametros'!$B$7+'Parametros'!$B$9+'Parametros'!$B$12/2)+ROUNDDOWN(S460/2,0)*('Parametros'!$B$7+'Parametros'!$B$9+'Parametros'!$B$12/2+'Parametros'!$B$12+'Parametros'!$B$10))/S460)</f>
        <v>489.35</v>
      </c>
      <c r="V460" s="10">
        <f>S460*'Parametros'!$B$8</f>
        <v>995</v>
      </c>
      <c r="W460" s="10">
        <f>'Parametros'!$B$5*V460*'Parametros'!$B$3*(U460-(V460*'Parametros'!$B$3/(0.85*'Parametros'!$B$2*H460))/2)/1000000</f>
        <v>177.445379382353</v>
      </c>
      <c r="X460" s="10" t="str">
        <f>IF(W460&gt;=J460,"CUMPLE","NO CUMPLE")</f>
        <v>CUMPLE</v>
      </c>
      <c r="Y460" s="10">
        <f>MAX(MAX(1.4/'Parametros'!$B$3,0.25*SQRT('Parametros'!$B$2)/'Parametros'!$B$3)*H460*AB460,(0.85*'Parametros'!$B$2/'Parametros'!$B$3)*(1-SQRT(1-2*(L460*1000000/('Parametros'!$B$5*H460*AB460^2))/(0.85*'Parametros'!$B$2)))*H460*AB460)</f>
        <v>815.583333333333</v>
      </c>
      <c r="Z460" s="31" t="n">
        <v>5</v>
      </c>
      <c r="AA460" s="32" t="n">
        <v>1</v>
      </c>
      <c r="AB460" s="10">
        <f>IF(AA460=1,I460-('Parametros'!$B$7+'Parametros'!$B$9+'Parametros'!$B$12/2),I460-(ROUNDUP(Z460/2,0)*('Parametros'!$B$7+'Parametros'!$B$9+'Parametros'!$B$12/2)+ROUNDDOWN(Z460/2,0)*('Parametros'!$B$7+'Parametros'!$B$9+'Parametros'!$B$12/2+'Parametros'!$B$12+'Parametros'!$B$10))/Z460)</f>
        <v>489.35</v>
      </c>
      <c r="AC460" s="10">
        <f>Z460*'Parametros'!$B$8</f>
        <v>995</v>
      </c>
      <c r="AD460" s="10">
        <f>'Parametros'!$B$5*AC460*'Parametros'!$B$3*(AB460-(AC460*'Parametros'!$B$3/(0.85*'Parametros'!$B$2*H460))/2)/1000000</f>
        <v>177.445379382353</v>
      </c>
      <c r="AE460" s="10" t="str">
        <f>IF(AD460&gt;=L460,"CUMPLE","NO CUMPLE")</f>
        <v>CUMPLE</v>
      </c>
      <c r="AF460" s="10">
        <f>V460*1.25*'Parametros'!$B$3*(U460-(V460*1.25*'Parametros'!$B$3/(0.85*'Parametros'!$B$2*H460))/2)/1000000</f>
        <v>244.158843198529</v>
      </c>
      <c r="AG460" s="10">
        <f>AC460*1.25*'Parametros'!$B$3*(AB460-(AC460*1.25*'Parametros'!$B$3/(0.85*'Parametros'!$B$2*H460))/2)/1000000</f>
        <v>244.158843198529</v>
      </c>
      <c r="AH460" s="10">
        <f>N460+(AF460+AG460)/D460</f>
        <v>270.15064362449</v>
      </c>
      <c r="AI460" s="10">
        <f>MAX(O460,AH460)</f>
        <v>270.15064362449</v>
      </c>
      <c r="AJ460" s="10">
        <f>0.17*SQRT('Parametros'!$B$2)*H460*MIN(U460,AB460)/1000</f>
        <v>220.098728691808</v>
      </c>
      <c r="AK460" s="10">
        <f>MAX(AI460/'Parametros'!$B$6-AJ460,0)</f>
        <v>140.102129474179</v>
      </c>
      <c r="AL460" s="10">
        <f>0.66*SQRT('Parametros'!$B$2)*H460*MIN(U460,AB460)/1000</f>
        <v>854.500946685842</v>
      </c>
      <c r="AM460" s="10" t="str">
        <f>IF(AK460&lt;=AL460,"CUMPLE","NO CUMPLE")</f>
        <v>CUMPLE</v>
      </c>
      <c r="AN460" s="17" t="inlineStr">
        <is>
          <t>Nº3 cerrado</t>
        </is>
      </c>
      <c r="AO460" s="31" t="n">
        <v>2</v>
      </c>
      <c r="AP460" s="10">
        <f>ROUNDDOWN(MIN(IF(BC460+BD460=0,1000000000,AO460*BB460/(BC460+BD460)),MIN(U460,AB460)/4,8*'Parametros'!$B$12,24*BA460,300,IF(AV460=0,1000000000,2*((H460-2*('Parametros'!$B$7+'Parametros'!$B$9/2))+(I460-2*('Parametros'!$B$7+'Parametros'!$B$9/2)))/8))/10,0)*10</f>
        <v>100</v>
      </c>
      <c r="AQ460" s="10">
        <f>ROUNDDOWN(MIN(IF(BC460+BD460=0,1000000000,AO460*BB460/(BC460+BD460)),IF(AK460&gt;0.33*SQRT('Parametros'!$B$2)*H460*MIN(U460,AB460)/1000,MIN(U460,AB460)/4,MIN(U460,AB460)/2),600,IF(AV460=0,1000000000,2*((H460-2*('Parametros'!$B$7+'Parametros'!$B$9/2))+(I460-2*('Parametros'!$B$7+'Parametros'!$B$9/2)))/8))/10,0)*10</f>
        <v>100</v>
      </c>
      <c r="AR460" s="10">
        <f>'Parametros'!$B$6*(AJ460+MAX(BE460-BD460,0)*'Parametros'!$B$4*MIN(U460,AB460)/1000)</f>
        <v>285.623604255767</v>
      </c>
      <c r="AS460" s="10" t="str">
        <f>IF(AND(ISERROR(SEARCH("referencia",AN460)),AM460="CUMPLE",AR460&gt;=AI460),"CUMPLE","NO CUMPLE")</f>
        <v>CUMPLE</v>
      </c>
      <c r="AT460" s="10">
        <f>'Parametros'!$B$6*0.083*SQRT('Parametros'!$B$2)*(H460*I460)^2/(2*(H460+I460))/1000000</f>
        <v>11.862178757599</v>
      </c>
      <c r="AU460" s="10" t="str">
        <f>IF(Q460&lt;=AT460,"DESPRECIABLE","DISEÑAR")</f>
        <v>DISEÑAR</v>
      </c>
      <c r="AV460" s="10">
        <f>IF(Q460&lt;=AT460,0,Q460*1000000/('Parametros'!$B$6*2*0.85*(H460-2*('Parametros'!$B$7+'Parametros'!$B$9/2))*(I460-2*('Parametros'!$B$7+'Parametros'!$B$9/2))*'Parametros'!$B$4))</f>
        <v>0.318974140504131</v>
      </c>
      <c r="AW460" s="10">
        <f>AV460*2*((H460-2*('Parametros'!$B$7+'Parametros'!$B$9/2))+(I460-2*('Parametros'!$B$7+'Parametros'!$B$9/2)))*'Parametros'!$B$4/'Parametros'!$B$3</f>
        <v>551.570083759743</v>
      </c>
      <c r="AX460" s="31" t="n">
        <v>8</v>
      </c>
      <c r="AY460" s="10" t="str">
        <f>IF(AV460=0,"DESPRECIABLE",IF(AND(ISERROR(SEARCH("referencia",AN460)),BB460/AP460&gt;=AV460,BI460&gt;=AW460,BH460="CUMPLE"),"CUMPLE","NO CUMPLE"))</f>
        <v>CUMPLE</v>
      </c>
      <c r="AZ460" s="10" t="str">
        <f>IF(AND(X460="CUMPLE",AE460="CUMPLE",AS460="CUMPLE",OR(AY460="CUMPLE",AY460="DESPRECIABLE"),BH460="CUMPLE",BJ460="CUMPLE"),"CUMPLE","NO CUMPLE")</f>
        <v>CUMPLE</v>
      </c>
      <c r="BA460" s="32" t="n">
        <v>9.5</v>
      </c>
      <c r="BB460" s="32" t="n">
        <v>71</v>
      </c>
      <c r="BC460" s="10">
        <f>MAX(IF(AK460=0,0,AK460*1000/('Parametros'!$B$4*MIN(U460,AB460))),MAX(0.062*SQRT('Parametros'!$B$2)*H460/'Parametros'!$B$4,0.35*H460/'Parametros'!$B$4))</f>
        <v>0.681672624395721</v>
      </c>
      <c r="BD460" s="10">
        <f>2*AV460</f>
        <v>0.637948281008262</v>
      </c>
      <c r="BE460" s="10">
        <f>AO460*BB460/AP460</f>
        <v>1.42</v>
      </c>
      <c r="BF460" s="10">
        <f>SQRT((AI460*1000/(H460*MIN(U460,AB460)))^2+(Q460*1000000*2*((H460-2*('Parametros'!$B$7+'Parametros'!$B$9/2))+(I460-2*('Parametros'!$B$7+'Parametros'!$B$9/2)))/(1.7*((H460-2*('Parametros'!$B$7+'Parametros'!$B$9/2))*(I460-2*('Parametros'!$B$7+'Parametros'!$B$9/2)))^2))^2)</f>
        <v>1.44541552541771</v>
      </c>
      <c r="BG460" s="10">
        <f>'Parametros'!$B$6*(AJ460*1000/(H460*MIN(U460,AB460))+0.66*SQRT('Parametros'!$B$2))</f>
        <v>3.29396038227542</v>
      </c>
      <c r="BH460" s="10" t="str">
        <f>IF(BF460&lt;=BG460,"CUMPLE","NO CUMPLE")</f>
        <v>CUMPLE</v>
      </c>
      <c r="BI460" s="10">
        <f>AX460*'Parametros'!$B$8</f>
        <v>1592</v>
      </c>
      <c r="BJ460" s="10" t="str">
        <f>IF(BI460&gt;=AW460,"CUMPLE","NO CUMPLE")</f>
        <v>CUMPLE</v>
      </c>
    </row>
    <row r="461">
      <c r="A461" s="25" t="inlineStr">
        <is>
          <t>VR2</t>
        </is>
      </c>
      <c r="B461" s="25" t="inlineStr">
        <is>
          <t>896</t>
        </is>
      </c>
      <c r="C461" s="10" t="n">
        <v>1</v>
      </c>
      <c r="D461" s="10" t="n">
        <v>2</v>
      </c>
      <c r="E461" s="10" t="n">
        <v>2</v>
      </c>
      <c r="F461" s="10" t="n">
        <v>500</v>
      </c>
      <c r="G461" s="10" t="n">
        <v>550</v>
      </c>
      <c r="H461" s="17" t="n">
        <v>500</v>
      </c>
      <c r="I461" s="17" t="n">
        <v>550</v>
      </c>
      <c r="J461" s="30" t="n">
        <v>105.5321</v>
      </c>
      <c r="K461" s="10" t="inlineStr">
        <is>
          <t>896</t>
        </is>
      </c>
      <c r="L461" s="30" t="n">
        <v>46.4053</v>
      </c>
      <c r="M461" s="10" t="inlineStr">
        <is>
          <t>896</t>
        </is>
      </c>
      <c r="N461" s="30" t="n">
        <v>96.694</v>
      </c>
      <c r="O461" s="30" t="n">
        <v>248.413</v>
      </c>
      <c r="P461" s="10" t="inlineStr">
        <is>
          <t>896</t>
        </is>
      </c>
      <c r="Q461" s="30" t="n">
        <v>4.0367</v>
      </c>
      <c r="R461" s="10">
        <f>MAX(MAX(1.4/'Parametros'!$B$3,0.25*SQRT('Parametros'!$B$2)/'Parametros'!$B$3)*H461*U461,(0.85*'Parametros'!$B$2/'Parametros'!$B$3)*(1-SQRT(1-2*(J461*1000000/('Parametros'!$B$5*H461*U461^2))/(0.85*'Parametros'!$B$2)))*H461*U461)</f>
        <v>815.583333333333</v>
      </c>
      <c r="S461" s="31" t="n">
        <v>5</v>
      </c>
      <c r="T461" s="32" t="n">
        <v>1</v>
      </c>
      <c r="U461" s="10">
        <f>IF(T461=1,I461-('Parametros'!$B$7+'Parametros'!$B$9+'Parametros'!$B$12/2),I461-(ROUNDUP(S461/2,0)*('Parametros'!$B$7+'Parametros'!$B$9+'Parametros'!$B$12/2)+ROUNDDOWN(S461/2,0)*('Parametros'!$B$7+'Parametros'!$B$9+'Parametros'!$B$12/2+'Parametros'!$B$12+'Parametros'!$B$10))/S461)</f>
        <v>489.35</v>
      </c>
      <c r="V461" s="10">
        <f>S461*'Parametros'!$B$8</f>
        <v>995</v>
      </c>
      <c r="W461" s="10">
        <f>'Parametros'!$B$5*V461*'Parametros'!$B$3*(U461-(V461*'Parametros'!$B$3/(0.85*'Parametros'!$B$2*H461))/2)/1000000</f>
        <v>177.445379382353</v>
      </c>
      <c r="X461" s="10" t="str">
        <f>IF(W461&gt;=J461,"CUMPLE","NO CUMPLE")</f>
        <v>CUMPLE</v>
      </c>
      <c r="Y461" s="10">
        <f>MAX(MAX(1.4/'Parametros'!$B$3,0.25*SQRT('Parametros'!$B$2)/'Parametros'!$B$3)*H461*AB461,(0.85*'Parametros'!$B$2/'Parametros'!$B$3)*(1-SQRT(1-2*(L461*1000000/('Parametros'!$B$5*H461*AB461^2))/(0.85*'Parametros'!$B$2)))*H461*AB461)</f>
        <v>815.583333333333</v>
      </c>
      <c r="Z461" s="31" t="n">
        <v>5</v>
      </c>
      <c r="AA461" s="32" t="n">
        <v>1</v>
      </c>
      <c r="AB461" s="10">
        <f>IF(AA461=1,I461-('Parametros'!$B$7+'Parametros'!$B$9+'Parametros'!$B$12/2),I461-(ROUNDUP(Z461/2,0)*('Parametros'!$B$7+'Parametros'!$B$9+'Parametros'!$B$12/2)+ROUNDDOWN(Z461/2,0)*('Parametros'!$B$7+'Parametros'!$B$9+'Parametros'!$B$12/2+'Parametros'!$B$12+'Parametros'!$B$10))/Z461)</f>
        <v>489.35</v>
      </c>
      <c r="AC461" s="10">
        <f>Z461*'Parametros'!$B$8</f>
        <v>995</v>
      </c>
      <c r="AD461" s="10">
        <f>'Parametros'!$B$5*AC461*'Parametros'!$B$3*(AB461-(AC461*'Parametros'!$B$3/(0.85*'Parametros'!$B$2*H461))/2)/1000000</f>
        <v>177.445379382353</v>
      </c>
      <c r="AE461" s="10" t="str">
        <f>IF(AD461&gt;=L461,"CUMPLE","NO CUMPLE")</f>
        <v>CUMPLE</v>
      </c>
      <c r="AF461" s="10">
        <f>V461*1.25*'Parametros'!$B$3*(U461-(V461*1.25*'Parametros'!$B$3/(0.85*'Parametros'!$B$2*H461))/2)/1000000</f>
        <v>244.158843198529</v>
      </c>
      <c r="AG461" s="10">
        <f>AC461*1.25*'Parametros'!$B$3*(AB461-(AC461*1.25*'Parametros'!$B$3/(0.85*'Parametros'!$B$2*H461))/2)/1000000</f>
        <v>244.158843198529</v>
      </c>
      <c r="AH461" s="10">
        <f>N461+(AF461+AG461)/D461</f>
        <v>340.852843198529</v>
      </c>
      <c r="AI461" s="10">
        <f>MAX(O461,AH461)</f>
        <v>340.852843198529</v>
      </c>
      <c r="AJ461" s="10">
        <f>0.17*SQRT('Parametros'!$B$2)*H461*MIN(U461,AB461)/1000</f>
        <v>220.098728691808</v>
      </c>
      <c r="AK461" s="10">
        <f>MAX(AI461/'Parametros'!$B$6-AJ461,0)</f>
        <v>234.371728906231</v>
      </c>
      <c r="AL461" s="10">
        <f>0.66*SQRT('Parametros'!$B$2)*H461*MIN(U461,AB461)/1000</f>
        <v>854.500946685842</v>
      </c>
      <c r="AM461" s="10" t="str">
        <f>IF(AK461&lt;=AL461,"CUMPLE","NO CUMPLE")</f>
        <v>CUMPLE</v>
      </c>
      <c r="AN461" s="17" t="inlineStr">
        <is>
          <t>Nº3 cerrado</t>
        </is>
      </c>
      <c r="AO461" s="31" t="n">
        <v>2</v>
      </c>
      <c r="AP461" s="10">
        <f>ROUNDDOWN(MIN(IF(BC461+BD461=0,1000000000,AO461*BB461/(BC461+BD461)),MIN(U461,AB461)/4,8*'Parametros'!$B$12,24*BA461,300,IF(AV461=0,1000000000,2*((H461-2*('Parametros'!$B$7+'Parametros'!$B$9/2))+(I461-2*('Parametros'!$B$7+'Parametros'!$B$9/2)))/8))/10,0)*10</f>
        <v>120</v>
      </c>
      <c r="AQ461" s="10">
        <f>ROUNDDOWN(MIN(IF(BC461+BD461=0,1000000000,AO461*BB461/(BC461+BD461)),IF(AK461&gt;0.33*SQRT('Parametros'!$B$2)*H461*MIN(U461,AB461)/1000,MIN(U461,AB461)/4,MIN(U461,AB461)/2),600,IF(AV461=0,1000000000,2*((H461-2*('Parametros'!$B$7+'Parametros'!$B$9/2))+(I461-2*('Parametros'!$B$7+'Parametros'!$B$9/2)))/8))/10,0)*10</f>
        <v>120</v>
      </c>
      <c r="AR461" s="10">
        <f>'Parametros'!$B$6*(AJ461+MAX(BE461-BD461,0)*'Parametros'!$B$4*MIN(U461,AB461)/1000)</f>
        <v>347.479259018856</v>
      </c>
      <c r="AS461" s="10" t="str">
        <f>IF(AND(ISERROR(SEARCH("referencia",AN461)),AM461="CUMPLE",AR461&gt;=AI461),"CUMPLE","NO CUMPLE")</f>
        <v>CUMPLE</v>
      </c>
      <c r="AT461" s="10">
        <f>'Parametros'!$B$6*0.083*SQRT('Parametros'!$B$2)*(H461*I461)^2/(2*(H461+I461))/1000000</f>
        <v>11.862178757599</v>
      </c>
      <c r="AU461" s="10" t="str">
        <f>IF(Q461&lt;=AT461,"DESPRECIABLE","DISEÑAR")</f>
        <v>DESPRECIABLE</v>
      </c>
      <c r="AV461" s="10">
        <f>IF(Q461&lt;=AT461,0,Q461*1000000/('Parametros'!$B$6*2*0.85*(H461-2*('Parametros'!$B$7+'Parametros'!$B$9/2))*(I461-2*('Parametros'!$B$7+'Parametros'!$B$9/2))*'Parametros'!$B$4))</f>
        <v>0</v>
      </c>
      <c r="AW461" s="10">
        <f>AV461*2*((H461-2*('Parametros'!$B$7+'Parametros'!$B$9/2))+(I461-2*('Parametros'!$B$7+'Parametros'!$B$9/2)))*'Parametros'!$B$4/'Parametros'!$B$3</f>
        <v>0</v>
      </c>
      <c r="AX461" s="31" t="n">
        <v>0</v>
      </c>
      <c r="AY461" s="10" t="str">
        <f>IF(AV461=0,"DESPRECIABLE",IF(AND(ISERROR(SEARCH("referencia",AN461)),BB461/AP461&gt;=AV461,BI461&gt;=AW461,BH461="CUMPLE"),"CUMPLE","NO CUMPLE"))</f>
        <v>DESPRECIABLE</v>
      </c>
      <c r="AZ461" s="10" t="str">
        <f>IF(AND(X461="CUMPLE",AE461="CUMPLE",AS461="CUMPLE",OR(AY461="CUMPLE",AY461="DESPRECIABLE"),BH461="CUMPLE",BJ461="CUMPLE"),"CUMPLE","NO CUMPLE")</f>
        <v>CUMPLE</v>
      </c>
      <c r="BA461" s="32" t="n">
        <v>9.5</v>
      </c>
      <c r="BB461" s="32" t="n">
        <v>71</v>
      </c>
      <c r="BC461" s="10">
        <f>MAX(IF(AK461=0,0,AK461*1000/('Parametros'!$B$4*MIN(U461,AB461))),MAX(0.062*SQRT('Parametros'!$B$2)*H461/'Parametros'!$B$4,0.35*H461/'Parametros'!$B$4))</f>
        <v>1.1403452047966</v>
      </c>
      <c r="BD461" s="10">
        <f>2*AV461</f>
        <v>0</v>
      </c>
      <c r="BE461" s="10">
        <f>AO461*BB461/AP461</f>
        <v>1.18333333333333</v>
      </c>
      <c r="BF461" s="10">
        <f>SQRT((AI461*1000/(H461*MIN(U461,AB461)))^2+(Q461*1000000*2*((H461-2*('Parametros'!$B$7+'Parametros'!$B$9/2))+(I461-2*('Parametros'!$B$7+'Parametros'!$B$9/2)))/(1.7*((H461-2*('Parametros'!$B$7+'Parametros'!$B$9/2))*(I461-2*('Parametros'!$B$7+'Parametros'!$B$9/2)))^2))^2)</f>
        <v>1.39810279762371</v>
      </c>
      <c r="BG461" s="10">
        <f>'Parametros'!$B$6*(AJ461*1000/(H461*MIN(U461,AB461))+0.66*SQRT('Parametros'!$B$2))</f>
        <v>3.29396038227542</v>
      </c>
      <c r="BH461" s="10" t="str">
        <f>IF(BF461&lt;=BG461,"CUMPLE","NO CUMPLE")</f>
        <v>CUMPLE</v>
      </c>
      <c r="BI461" s="10">
        <f>AX461*'Parametros'!$B$8</f>
        <v>0</v>
      </c>
      <c r="BJ461" s="10" t="str">
        <f>IF(BI461&gt;=AW461,"CUMPLE","NO CUMPLE")</f>
        <v>CUMPLE</v>
      </c>
    </row>
    <row r="462">
      <c r="A462" s="25" t="inlineStr">
        <is>
          <t>VR2</t>
        </is>
      </c>
      <c r="B462" s="25" t="inlineStr">
        <is>
          <t>957</t>
        </is>
      </c>
      <c r="C462" s="10" t="n">
        <v>1</v>
      </c>
      <c r="D462" s="10" t="n">
        <v>2</v>
      </c>
      <c r="E462" s="10" t="n">
        <v>2</v>
      </c>
      <c r="F462" s="10" t="n">
        <v>500</v>
      </c>
      <c r="G462" s="10" t="n">
        <v>550</v>
      </c>
      <c r="H462" s="17" t="n">
        <v>500</v>
      </c>
      <c r="I462" s="17" t="n">
        <v>550</v>
      </c>
      <c r="J462" s="30" t="n">
        <v>61.8557</v>
      </c>
      <c r="K462" s="10" t="inlineStr">
        <is>
          <t>957</t>
        </is>
      </c>
      <c r="L462" s="30" t="n">
        <v>4.8399</v>
      </c>
      <c r="M462" s="10" t="inlineStr">
        <is>
          <t>957</t>
        </is>
      </c>
      <c r="N462" s="30" t="n">
        <v>57.362</v>
      </c>
      <c r="O462" s="30" t="n">
        <v>78.953</v>
      </c>
      <c r="P462" s="10" t="inlineStr">
        <is>
          <t>957</t>
        </is>
      </c>
      <c r="Q462" s="30" t="n">
        <v>2.5237</v>
      </c>
      <c r="R462" s="10">
        <f>MAX(MAX(1.4/'Parametros'!$B$3,0.25*SQRT('Parametros'!$B$2)/'Parametros'!$B$3)*H462*U462,(0.85*'Parametros'!$B$2/'Parametros'!$B$3)*(1-SQRT(1-2*(J462*1000000/('Parametros'!$B$5*H462*U462^2))/(0.85*'Parametros'!$B$2)))*H462*U462)</f>
        <v>815.583333333333</v>
      </c>
      <c r="S462" s="31" t="n">
        <v>5</v>
      </c>
      <c r="T462" s="32" t="n">
        <v>1</v>
      </c>
      <c r="U462" s="10">
        <f>IF(T462=1,I462-('Parametros'!$B$7+'Parametros'!$B$9+'Parametros'!$B$12/2),I462-(ROUNDUP(S462/2,0)*('Parametros'!$B$7+'Parametros'!$B$9+'Parametros'!$B$12/2)+ROUNDDOWN(S462/2,0)*('Parametros'!$B$7+'Parametros'!$B$9+'Parametros'!$B$12/2+'Parametros'!$B$12+'Parametros'!$B$10))/S462)</f>
        <v>489.35</v>
      </c>
      <c r="V462" s="10">
        <f>S462*'Parametros'!$B$8</f>
        <v>995</v>
      </c>
      <c r="W462" s="10">
        <f>'Parametros'!$B$5*V462*'Parametros'!$B$3*(U462-(V462*'Parametros'!$B$3/(0.85*'Parametros'!$B$2*H462))/2)/1000000</f>
        <v>177.445379382353</v>
      </c>
      <c r="X462" s="10" t="str">
        <f>IF(W462&gt;=J462,"CUMPLE","NO CUMPLE")</f>
        <v>CUMPLE</v>
      </c>
      <c r="Y462" s="10">
        <f>MAX(MAX(1.4/'Parametros'!$B$3,0.25*SQRT('Parametros'!$B$2)/'Parametros'!$B$3)*H462*AB462,(0.85*'Parametros'!$B$2/'Parametros'!$B$3)*(1-SQRT(1-2*(L462*1000000/('Parametros'!$B$5*H462*AB462^2))/(0.85*'Parametros'!$B$2)))*H462*AB462)</f>
        <v>815.583333333333</v>
      </c>
      <c r="Z462" s="31" t="n">
        <v>5</v>
      </c>
      <c r="AA462" s="32" t="n">
        <v>1</v>
      </c>
      <c r="AB462" s="10">
        <f>IF(AA462=1,I462-('Parametros'!$B$7+'Parametros'!$B$9+'Parametros'!$B$12/2),I462-(ROUNDUP(Z462/2,0)*('Parametros'!$B$7+'Parametros'!$B$9+'Parametros'!$B$12/2)+ROUNDDOWN(Z462/2,0)*('Parametros'!$B$7+'Parametros'!$B$9+'Parametros'!$B$12/2+'Parametros'!$B$12+'Parametros'!$B$10))/Z462)</f>
        <v>489.35</v>
      </c>
      <c r="AC462" s="10">
        <f>Z462*'Parametros'!$B$8</f>
        <v>995</v>
      </c>
      <c r="AD462" s="10">
        <f>'Parametros'!$B$5*AC462*'Parametros'!$B$3*(AB462-(AC462*'Parametros'!$B$3/(0.85*'Parametros'!$B$2*H462))/2)/1000000</f>
        <v>177.445379382353</v>
      </c>
      <c r="AE462" s="10" t="str">
        <f>IF(AD462&gt;=L462,"CUMPLE","NO CUMPLE")</f>
        <v>CUMPLE</v>
      </c>
      <c r="AF462" s="10">
        <f>V462*1.25*'Parametros'!$B$3*(U462-(V462*1.25*'Parametros'!$B$3/(0.85*'Parametros'!$B$2*H462))/2)/1000000</f>
        <v>244.158843198529</v>
      </c>
      <c r="AG462" s="10">
        <f>AC462*1.25*'Parametros'!$B$3*(AB462-(AC462*1.25*'Parametros'!$B$3/(0.85*'Parametros'!$B$2*H462))/2)/1000000</f>
        <v>244.158843198529</v>
      </c>
      <c r="AH462" s="10">
        <f>N462+(AF462+AG462)/D462</f>
        <v>301.520843198529</v>
      </c>
      <c r="AI462" s="10">
        <f>MAX(O462,AH462)</f>
        <v>301.520843198529</v>
      </c>
      <c r="AJ462" s="10">
        <f>0.17*SQRT('Parametros'!$B$2)*H462*MIN(U462,AB462)/1000</f>
        <v>220.098728691808</v>
      </c>
      <c r="AK462" s="10">
        <f>MAX(AI462/'Parametros'!$B$6-AJ462,0)</f>
        <v>181.929062239565</v>
      </c>
      <c r="AL462" s="10">
        <f>0.66*SQRT('Parametros'!$B$2)*H462*MIN(U462,AB462)/1000</f>
        <v>854.500946685842</v>
      </c>
      <c r="AM462" s="10" t="str">
        <f>IF(AK462&lt;=AL462,"CUMPLE","NO CUMPLE")</f>
        <v>CUMPLE</v>
      </c>
      <c r="AN462" s="17" t="inlineStr">
        <is>
          <t>Nº3 cerrado</t>
        </is>
      </c>
      <c r="AO462" s="31" t="n">
        <v>2</v>
      </c>
      <c r="AP462" s="10">
        <f>ROUNDDOWN(MIN(IF(BC462+BD462=0,1000000000,AO462*BB462/(BC462+BD462)),MIN(U462,AB462)/4,8*'Parametros'!$B$12,24*BA462,300,IF(AV462=0,1000000000,2*((H462-2*('Parametros'!$B$7+'Parametros'!$B$9/2))+(I462-2*('Parametros'!$B$7+'Parametros'!$B$9/2)))/8))/10,0)*10</f>
        <v>120</v>
      </c>
      <c r="AQ462" s="10">
        <f>ROUNDDOWN(MIN(IF(BC462+BD462=0,1000000000,AO462*BB462/(BC462+BD462)),IF(AK462&gt;0.33*SQRT('Parametros'!$B$2)*H462*MIN(U462,AB462)/1000,MIN(U462,AB462)/4,MIN(U462,AB462)/2),600,IF(AV462=0,1000000000,2*((H462-2*('Parametros'!$B$7+'Parametros'!$B$9/2))+(I462-2*('Parametros'!$B$7+'Parametros'!$B$9/2)))/8))/10,0)*10</f>
        <v>160</v>
      </c>
      <c r="AR462" s="10">
        <f>'Parametros'!$B$6*(AJ462+MAX(BE462-BD462,0)*'Parametros'!$B$4*MIN(U462,AB462)/1000)</f>
        <v>347.479259018856</v>
      </c>
      <c r="AS462" s="10" t="str">
        <f>IF(AND(ISERROR(SEARCH("referencia",AN462)),AM462="CUMPLE",AR462&gt;=AI462),"CUMPLE","NO CUMPLE")</f>
        <v>CUMPLE</v>
      </c>
      <c r="AT462" s="10">
        <f>'Parametros'!$B$6*0.083*SQRT('Parametros'!$B$2)*(H462*I462)^2/(2*(H462+I462))/1000000</f>
        <v>11.862178757599</v>
      </c>
      <c r="AU462" s="10" t="str">
        <f>IF(Q462&lt;=AT462,"DESPRECIABLE","DISEÑAR")</f>
        <v>DESPRECIABLE</v>
      </c>
      <c r="AV462" s="10">
        <f>IF(Q462&lt;=AT462,0,Q462*1000000/('Parametros'!$B$6*2*0.85*(H462-2*('Parametros'!$B$7+'Parametros'!$B$9/2))*(I462-2*('Parametros'!$B$7+'Parametros'!$B$9/2))*'Parametros'!$B$4))</f>
        <v>0</v>
      </c>
      <c r="AW462" s="10">
        <f>AV462*2*((H462-2*('Parametros'!$B$7+'Parametros'!$B$9/2))+(I462-2*('Parametros'!$B$7+'Parametros'!$B$9/2)))*'Parametros'!$B$4/'Parametros'!$B$3</f>
        <v>0</v>
      </c>
      <c r="AX462" s="31" t="n">
        <v>0</v>
      </c>
      <c r="AY462" s="10" t="str">
        <f>IF(AV462=0,"DESPRECIABLE",IF(AND(ISERROR(SEARCH("referencia",AN462)),BB462/AP462&gt;=AV462,BI462&gt;=AW462,BH462="CUMPLE"),"CUMPLE","NO CUMPLE"))</f>
        <v>DESPRECIABLE</v>
      </c>
      <c r="AZ462" s="10" t="str">
        <f>IF(AND(X462="CUMPLE",AE462="CUMPLE",AS462="CUMPLE",OR(AY462="CUMPLE",AY462="DESPRECIABLE"),BH462="CUMPLE",BJ462="CUMPLE"),"CUMPLE","NO CUMPLE")</f>
        <v>CUMPLE</v>
      </c>
      <c r="BA462" s="32" t="n">
        <v>9.5</v>
      </c>
      <c r="BB462" s="32" t="n">
        <v>71</v>
      </c>
      <c r="BC462" s="10">
        <f>MAX(IF(AK462=0,0,AK462*1000/('Parametros'!$B$4*MIN(U462,AB462))),MAX(0.062*SQRT('Parametros'!$B$2)*H462/'Parametros'!$B$4,0.35*H462/'Parametros'!$B$4))</f>
        <v>0.885183271490192</v>
      </c>
      <c r="BD462" s="10">
        <f>2*AV462</f>
        <v>0</v>
      </c>
      <c r="BE462" s="10">
        <f>AO462*BB462/AP462</f>
        <v>1.18333333333333</v>
      </c>
      <c r="BF462" s="10">
        <f>SQRT((AI462*1000/(H462*MIN(U462,AB462)))^2+(Q462*1000000*2*((H462-2*('Parametros'!$B$7+'Parametros'!$B$9/2))+(I462-2*('Parametros'!$B$7+'Parametros'!$B$9/2)))/(1.7*((H462-2*('Parametros'!$B$7+'Parametros'!$B$9/2))*(I462-2*('Parametros'!$B$7+'Parametros'!$B$9/2)))^2))^2)</f>
        <v>1.23455155462786</v>
      </c>
      <c r="BG462" s="10">
        <f>'Parametros'!$B$6*(AJ462*1000/(H462*MIN(U462,AB462))+0.66*SQRT('Parametros'!$B$2))</f>
        <v>3.29396038227542</v>
      </c>
      <c r="BH462" s="10" t="str">
        <f>IF(BF462&lt;=BG462,"CUMPLE","NO CUMPLE")</f>
        <v>CUMPLE</v>
      </c>
      <c r="BI462" s="10">
        <f>AX462*'Parametros'!$B$8</f>
        <v>0</v>
      </c>
      <c r="BJ462" s="10" t="str">
        <f>IF(BI462&gt;=AW462,"CUMPLE","NO CUMPLE")</f>
        <v>CUMPLE</v>
      </c>
    </row>
    <row r="463">
      <c r="A463" s="25" t="inlineStr">
        <is>
          <t>VR2</t>
        </is>
      </c>
      <c r="B463" s="25" t="inlineStr">
        <is>
          <t>958</t>
        </is>
      </c>
      <c r="C463" s="10" t="n">
        <v>1</v>
      </c>
      <c r="D463" s="10" t="n">
        <v>3.05308</v>
      </c>
      <c r="E463" s="10" t="n">
        <v>3.05308</v>
      </c>
      <c r="F463" s="10" t="n">
        <v>500</v>
      </c>
      <c r="G463" s="10" t="n">
        <v>550</v>
      </c>
      <c r="H463" s="17" t="n">
        <v>500</v>
      </c>
      <c r="I463" s="17" t="n">
        <v>550</v>
      </c>
      <c r="J463" s="30" t="n">
        <v>82.21680000000001</v>
      </c>
      <c r="K463" s="10" t="inlineStr">
        <is>
          <t>958</t>
        </is>
      </c>
      <c r="L463" s="30" t="n">
        <v>43.9175</v>
      </c>
      <c r="M463" s="10" t="inlineStr">
        <is>
          <t>958</t>
        </is>
      </c>
      <c r="N463" s="30" t="n">
        <v>84.464</v>
      </c>
      <c r="O463" s="30" t="n">
        <v>166.43</v>
      </c>
      <c r="P463" s="10" t="inlineStr">
        <is>
          <t>958</t>
        </is>
      </c>
      <c r="Q463" s="30" t="n">
        <v>26.3303</v>
      </c>
      <c r="R463" s="10">
        <f>MAX(MAX(1.4/'Parametros'!$B$3,0.25*SQRT('Parametros'!$B$2)/'Parametros'!$B$3)*H463*U463,(0.85*'Parametros'!$B$2/'Parametros'!$B$3)*(1-SQRT(1-2*(J463*1000000/('Parametros'!$B$5*H463*U463^2))/(0.85*'Parametros'!$B$2)))*H463*U463)</f>
        <v>815.583333333333</v>
      </c>
      <c r="S463" s="31" t="n">
        <v>5</v>
      </c>
      <c r="T463" s="32" t="n">
        <v>1</v>
      </c>
      <c r="U463" s="10">
        <f>IF(T463=1,I463-('Parametros'!$B$7+'Parametros'!$B$9+'Parametros'!$B$12/2),I463-(ROUNDUP(S463/2,0)*('Parametros'!$B$7+'Parametros'!$B$9+'Parametros'!$B$12/2)+ROUNDDOWN(S463/2,0)*('Parametros'!$B$7+'Parametros'!$B$9+'Parametros'!$B$12/2+'Parametros'!$B$12+'Parametros'!$B$10))/S463)</f>
        <v>489.35</v>
      </c>
      <c r="V463" s="10">
        <f>S463*'Parametros'!$B$8</f>
        <v>995</v>
      </c>
      <c r="W463" s="10">
        <f>'Parametros'!$B$5*V463*'Parametros'!$B$3*(U463-(V463*'Parametros'!$B$3/(0.85*'Parametros'!$B$2*H463))/2)/1000000</f>
        <v>177.445379382353</v>
      </c>
      <c r="X463" s="10" t="str">
        <f>IF(W463&gt;=J463,"CUMPLE","NO CUMPLE")</f>
        <v>CUMPLE</v>
      </c>
      <c r="Y463" s="10">
        <f>MAX(MAX(1.4/'Parametros'!$B$3,0.25*SQRT('Parametros'!$B$2)/'Parametros'!$B$3)*H463*AB463,(0.85*'Parametros'!$B$2/'Parametros'!$B$3)*(1-SQRT(1-2*(L463*1000000/('Parametros'!$B$5*H463*AB463^2))/(0.85*'Parametros'!$B$2)))*H463*AB463)</f>
        <v>815.583333333333</v>
      </c>
      <c r="Z463" s="31" t="n">
        <v>5</v>
      </c>
      <c r="AA463" s="32" t="n">
        <v>1</v>
      </c>
      <c r="AB463" s="10">
        <f>IF(AA463=1,I463-('Parametros'!$B$7+'Parametros'!$B$9+'Parametros'!$B$12/2),I463-(ROUNDUP(Z463/2,0)*('Parametros'!$B$7+'Parametros'!$B$9+'Parametros'!$B$12/2)+ROUNDDOWN(Z463/2,0)*('Parametros'!$B$7+'Parametros'!$B$9+'Parametros'!$B$12/2+'Parametros'!$B$12+'Parametros'!$B$10))/Z463)</f>
        <v>489.35</v>
      </c>
      <c r="AC463" s="10">
        <f>Z463*'Parametros'!$B$8</f>
        <v>995</v>
      </c>
      <c r="AD463" s="10">
        <f>'Parametros'!$B$5*AC463*'Parametros'!$B$3*(AB463-(AC463*'Parametros'!$B$3/(0.85*'Parametros'!$B$2*H463))/2)/1000000</f>
        <v>177.445379382353</v>
      </c>
      <c r="AE463" s="10" t="str">
        <f>IF(AD463&gt;=L463,"CUMPLE","NO CUMPLE")</f>
        <v>CUMPLE</v>
      </c>
      <c r="AF463" s="10">
        <f>V463*1.25*'Parametros'!$B$3*(U463-(V463*1.25*'Parametros'!$B$3/(0.85*'Parametros'!$B$2*H463))/2)/1000000</f>
        <v>244.158843198529</v>
      </c>
      <c r="AG463" s="10">
        <f>AC463*1.25*'Parametros'!$B$3*(AB463-(AC463*1.25*'Parametros'!$B$3/(0.85*'Parametros'!$B$2*H463))/2)/1000000</f>
        <v>244.158843198529</v>
      </c>
      <c r="AH463" s="10">
        <f>N463+(AF463+AG463)/D463</f>
        <v>244.40664362449</v>
      </c>
      <c r="AI463" s="10">
        <f>MAX(O463,AH463)</f>
        <v>244.40664362449</v>
      </c>
      <c r="AJ463" s="10">
        <f>0.17*SQRT('Parametros'!$B$2)*H463*MIN(U463,AB463)/1000</f>
        <v>220.098728691808</v>
      </c>
      <c r="AK463" s="10">
        <f>MAX(AI463/'Parametros'!$B$6-AJ463,0)</f>
        <v>105.776796140846</v>
      </c>
      <c r="AL463" s="10">
        <f>0.66*SQRT('Parametros'!$B$2)*H463*MIN(U463,AB463)/1000</f>
        <v>854.500946685842</v>
      </c>
      <c r="AM463" s="10" t="str">
        <f>IF(AK463&lt;=AL463,"CUMPLE","NO CUMPLE")</f>
        <v>CUMPLE</v>
      </c>
      <c r="AN463" s="17" t="inlineStr">
        <is>
          <t>Nº3 cerrado</t>
        </is>
      </c>
      <c r="AO463" s="31" t="n">
        <v>2</v>
      </c>
      <c r="AP463" s="10">
        <f>ROUNDDOWN(MIN(IF(BC463+BD463=0,1000000000,AO463*BB463/(BC463+BD463)),MIN(U463,AB463)/4,8*'Parametros'!$B$12,24*BA463,300,IF(AV463=0,1000000000,2*((H463-2*('Parametros'!$B$7+'Parametros'!$B$9/2))+(I463-2*('Parametros'!$B$7+'Parametros'!$B$9/2)))/8))/10,0)*10</f>
        <v>120</v>
      </c>
      <c r="AQ463" s="10">
        <f>ROUNDDOWN(MIN(IF(BC463+BD463=0,1000000000,AO463*BB463/(BC463+BD463)),IF(AK463&gt;0.33*SQRT('Parametros'!$B$2)*H463*MIN(U463,AB463)/1000,MIN(U463,AB463)/4,MIN(U463,AB463)/2),600,IF(AV463=0,1000000000,2*((H463-2*('Parametros'!$B$7+'Parametros'!$B$9/2))+(I463-2*('Parametros'!$B$7+'Parametros'!$B$9/2)))/8))/10,0)*10</f>
        <v>130</v>
      </c>
      <c r="AR463" s="10">
        <f>'Parametros'!$B$6*(AJ463+MAX(BE463-BD463,0)*'Parametros'!$B$4*MIN(U463,AB463)/1000)</f>
        <v>266.094915835432</v>
      </c>
      <c r="AS463" s="10" t="str">
        <f>IF(AND(ISERROR(SEARCH("referencia",AN463)),AM463="CUMPLE",AR463&gt;=AI463),"CUMPLE","NO CUMPLE")</f>
        <v>CUMPLE</v>
      </c>
      <c r="AT463" s="10">
        <f>'Parametros'!$B$6*0.083*SQRT('Parametros'!$B$2)*(H463*I463)^2/(2*(H463+I463))/1000000</f>
        <v>11.862178757599</v>
      </c>
      <c r="AU463" s="10" t="str">
        <f>IF(Q463&lt;=AT463,"DESPRECIABLE","DISEÑAR")</f>
        <v>DISEÑAR</v>
      </c>
      <c r="AV463" s="10">
        <f>IF(Q463&lt;=AT463,0,Q463*1000000/('Parametros'!$B$6*2*0.85*(H463-2*('Parametros'!$B$7+'Parametros'!$B$9/2))*(I463-2*('Parametros'!$B$7+'Parametros'!$B$9/2))*'Parametros'!$B$4))</f>
        <v>0.2639858937704</v>
      </c>
      <c r="AW463" s="10">
        <f>AV463*2*((H463-2*('Parametros'!$B$7+'Parametros'!$B$9/2))+(I463-2*('Parametros'!$B$7+'Parametros'!$B$9/2)))*'Parametros'!$B$4/'Parametros'!$B$3</f>
        <v>456.484407507777</v>
      </c>
      <c r="AX463" s="31" t="n">
        <v>8</v>
      </c>
      <c r="AY463" s="10" t="str">
        <f>IF(AV463=0,"DESPRECIABLE",IF(AND(ISERROR(SEARCH("referencia",AN463)),BB463/AP463&gt;=AV463,BI463&gt;=AW463,BH463="CUMPLE"),"CUMPLE","NO CUMPLE"))</f>
        <v>CUMPLE</v>
      </c>
      <c r="AZ463" s="10" t="str">
        <f>IF(AND(X463="CUMPLE",AE463="CUMPLE",AS463="CUMPLE",OR(AY463="CUMPLE",AY463="DESPRECIABLE"),BH463="CUMPLE",BJ463="CUMPLE"),"CUMPLE","NO CUMPLE")</f>
        <v>CUMPLE</v>
      </c>
      <c r="BA463" s="32" t="n">
        <v>9.5</v>
      </c>
      <c r="BB463" s="32" t="n">
        <v>71</v>
      </c>
      <c r="BC463" s="10">
        <f>MAX(IF(AK463=0,0,AK463*1000/('Parametros'!$B$4*MIN(U463,AB463))),MAX(0.062*SQRT('Parametros'!$B$2)*H463/'Parametros'!$B$4,0.35*H463/'Parametros'!$B$4))</f>
        <v>0.5146613152571</v>
      </c>
      <c r="BD463" s="10">
        <f>2*AV463</f>
        <v>0.527971787540801</v>
      </c>
      <c r="BE463" s="10">
        <f>AO463*BB463/AP463</f>
        <v>1.18333333333333</v>
      </c>
      <c r="BF463" s="10">
        <f>SQRT((AI463*1000/(H463*MIN(U463,AB463)))^2+(Q463*1000000*2*((H463-2*('Parametros'!$B$7+'Parametros'!$B$9/2))+(I463-2*('Parametros'!$B$7+'Parametros'!$B$9/2)))/(1.7*((H463-2*('Parametros'!$B$7+'Parametros'!$B$9/2))*(I463-2*('Parametros'!$B$7+'Parametros'!$B$9/2)))^2))^2)</f>
        <v>1.26245850659395</v>
      </c>
      <c r="BG463" s="10">
        <f>'Parametros'!$B$6*(AJ463*1000/(H463*MIN(U463,AB463))+0.66*SQRT('Parametros'!$B$2))</f>
        <v>3.29396038227542</v>
      </c>
      <c r="BH463" s="10" t="str">
        <f>IF(BF463&lt;=BG463,"CUMPLE","NO CUMPLE")</f>
        <v>CUMPLE</v>
      </c>
      <c r="BI463" s="10">
        <f>AX463*'Parametros'!$B$8</f>
        <v>1592</v>
      </c>
      <c r="BJ463" s="10" t="str">
        <f>IF(BI463&gt;=AW463,"CUMPLE","NO CUMPLE")</f>
        <v>CUMPLE</v>
      </c>
    </row>
    <row r="464">
      <c r="A464" s="25" t="inlineStr">
        <is>
          <t>VR2</t>
        </is>
      </c>
      <c r="B464" s="25" t="inlineStr">
        <is>
          <t>959</t>
        </is>
      </c>
      <c r="C464" s="10" t="n">
        <v>1</v>
      </c>
      <c r="D464" s="10" t="n">
        <v>2</v>
      </c>
      <c r="E464" s="10" t="n">
        <v>2</v>
      </c>
      <c r="F464" s="10" t="n">
        <v>500</v>
      </c>
      <c r="G464" s="10" t="n">
        <v>550</v>
      </c>
      <c r="H464" s="17" t="n">
        <v>500</v>
      </c>
      <c r="I464" s="17" t="n">
        <v>550</v>
      </c>
      <c r="J464" s="30" t="n">
        <v>53.8983</v>
      </c>
      <c r="K464" s="10" t="inlineStr">
        <is>
          <t>959</t>
        </is>
      </c>
      <c r="L464" s="30" t="n">
        <v>19.1008</v>
      </c>
      <c r="M464" s="10" t="inlineStr">
        <is>
          <t>959</t>
        </is>
      </c>
      <c r="N464" s="30" t="n">
        <v>64.18300000000001</v>
      </c>
      <c r="O464" s="30" t="n">
        <v>149.564</v>
      </c>
      <c r="P464" s="10" t="inlineStr">
        <is>
          <t>959</t>
        </is>
      </c>
      <c r="Q464" s="30" t="n">
        <v>21.5494</v>
      </c>
      <c r="R464" s="10">
        <f>MAX(MAX(1.4/'Parametros'!$B$3,0.25*SQRT('Parametros'!$B$2)/'Parametros'!$B$3)*H464*U464,(0.85*'Parametros'!$B$2/'Parametros'!$B$3)*(1-SQRT(1-2*(J464*1000000/('Parametros'!$B$5*H464*U464^2))/(0.85*'Parametros'!$B$2)))*H464*U464)</f>
        <v>815.583333333333</v>
      </c>
      <c r="S464" s="31" t="n">
        <v>5</v>
      </c>
      <c r="T464" s="32" t="n">
        <v>1</v>
      </c>
      <c r="U464" s="10">
        <f>IF(T464=1,I464-('Parametros'!$B$7+'Parametros'!$B$9+'Parametros'!$B$12/2),I464-(ROUNDUP(S464/2,0)*('Parametros'!$B$7+'Parametros'!$B$9+'Parametros'!$B$12/2)+ROUNDDOWN(S464/2,0)*('Parametros'!$B$7+'Parametros'!$B$9+'Parametros'!$B$12/2+'Parametros'!$B$12+'Parametros'!$B$10))/S464)</f>
        <v>489.35</v>
      </c>
      <c r="V464" s="10">
        <f>S464*'Parametros'!$B$8</f>
        <v>995</v>
      </c>
      <c r="W464" s="10">
        <f>'Parametros'!$B$5*V464*'Parametros'!$B$3*(U464-(V464*'Parametros'!$B$3/(0.85*'Parametros'!$B$2*H464))/2)/1000000</f>
        <v>177.445379382353</v>
      </c>
      <c r="X464" s="10" t="str">
        <f>IF(W464&gt;=J464,"CUMPLE","NO CUMPLE")</f>
        <v>CUMPLE</v>
      </c>
      <c r="Y464" s="10">
        <f>MAX(MAX(1.4/'Parametros'!$B$3,0.25*SQRT('Parametros'!$B$2)/'Parametros'!$B$3)*H464*AB464,(0.85*'Parametros'!$B$2/'Parametros'!$B$3)*(1-SQRT(1-2*(L464*1000000/('Parametros'!$B$5*H464*AB464^2))/(0.85*'Parametros'!$B$2)))*H464*AB464)</f>
        <v>815.583333333333</v>
      </c>
      <c r="Z464" s="31" t="n">
        <v>5</v>
      </c>
      <c r="AA464" s="32" t="n">
        <v>1</v>
      </c>
      <c r="AB464" s="10">
        <f>IF(AA464=1,I464-('Parametros'!$B$7+'Parametros'!$B$9+'Parametros'!$B$12/2),I464-(ROUNDUP(Z464/2,0)*('Parametros'!$B$7+'Parametros'!$B$9+'Parametros'!$B$12/2)+ROUNDDOWN(Z464/2,0)*('Parametros'!$B$7+'Parametros'!$B$9+'Parametros'!$B$12/2+'Parametros'!$B$12+'Parametros'!$B$10))/Z464)</f>
        <v>489.35</v>
      </c>
      <c r="AC464" s="10">
        <f>Z464*'Parametros'!$B$8</f>
        <v>995</v>
      </c>
      <c r="AD464" s="10">
        <f>'Parametros'!$B$5*AC464*'Parametros'!$B$3*(AB464-(AC464*'Parametros'!$B$3/(0.85*'Parametros'!$B$2*H464))/2)/1000000</f>
        <v>177.445379382353</v>
      </c>
      <c r="AE464" s="10" t="str">
        <f>IF(AD464&gt;=L464,"CUMPLE","NO CUMPLE")</f>
        <v>CUMPLE</v>
      </c>
      <c r="AF464" s="10">
        <f>V464*1.25*'Parametros'!$B$3*(U464-(V464*1.25*'Parametros'!$B$3/(0.85*'Parametros'!$B$2*H464))/2)/1000000</f>
        <v>244.158843198529</v>
      </c>
      <c r="AG464" s="10">
        <f>AC464*1.25*'Parametros'!$B$3*(AB464-(AC464*1.25*'Parametros'!$B$3/(0.85*'Parametros'!$B$2*H464))/2)/1000000</f>
        <v>244.158843198529</v>
      </c>
      <c r="AH464" s="10">
        <f>N464+(AF464+AG464)/D464</f>
        <v>308.341843198529</v>
      </c>
      <c r="AI464" s="10">
        <f>MAX(O464,AH464)</f>
        <v>308.341843198529</v>
      </c>
      <c r="AJ464" s="10">
        <f>0.17*SQRT('Parametros'!$B$2)*H464*MIN(U464,AB464)/1000</f>
        <v>220.098728691808</v>
      </c>
      <c r="AK464" s="10">
        <f>MAX(AI464/'Parametros'!$B$6-AJ464,0)</f>
        <v>191.023728906231</v>
      </c>
      <c r="AL464" s="10">
        <f>0.66*SQRT('Parametros'!$B$2)*H464*MIN(U464,AB464)/1000</f>
        <v>854.500946685842</v>
      </c>
      <c r="AM464" s="10" t="str">
        <f>IF(AK464&lt;=AL464,"CUMPLE","NO CUMPLE")</f>
        <v>CUMPLE</v>
      </c>
      <c r="AN464" s="17" t="inlineStr">
        <is>
          <t>Nº3 cerrado</t>
        </is>
      </c>
      <c r="AO464" s="31" t="n">
        <v>2</v>
      </c>
      <c r="AP464" s="10">
        <f>ROUNDDOWN(MIN(IF(BC464+BD464=0,1000000000,AO464*BB464/(BC464+BD464)),MIN(U464,AB464)/4,8*'Parametros'!$B$12,24*BA464,300,IF(AV464=0,1000000000,2*((H464-2*('Parametros'!$B$7+'Parametros'!$B$9/2))+(I464-2*('Parametros'!$B$7+'Parametros'!$B$9/2)))/8))/10,0)*10</f>
        <v>100</v>
      </c>
      <c r="AQ464" s="10">
        <f>ROUNDDOWN(MIN(IF(BC464+BD464=0,1000000000,AO464*BB464/(BC464+BD464)),IF(AK464&gt;0.33*SQRT('Parametros'!$B$2)*H464*MIN(U464,AB464)/1000,MIN(U464,AB464)/4,MIN(U464,AB464)/2),600,IF(AV464=0,1000000000,2*((H464-2*('Parametros'!$B$7+'Parametros'!$B$9/2))+(I464-2*('Parametros'!$B$7+'Parametros'!$B$9/2)))/8))/10,0)*10</f>
        <v>100</v>
      </c>
      <c r="AR464" s="10">
        <f>'Parametros'!$B$6*(AJ464+MAX(BE464-BD464,0)*'Parametros'!$B$4*MIN(U464,AB464)/1000)</f>
        <v>317.35324557962</v>
      </c>
      <c r="AS464" s="10" t="str">
        <f>IF(AND(ISERROR(SEARCH("referencia",AN464)),AM464="CUMPLE",AR464&gt;=AI464),"CUMPLE","NO CUMPLE")</f>
        <v>CUMPLE</v>
      </c>
      <c r="AT464" s="10">
        <f>'Parametros'!$B$6*0.083*SQRT('Parametros'!$B$2)*(H464*I464)^2/(2*(H464+I464))/1000000</f>
        <v>11.862178757599</v>
      </c>
      <c r="AU464" s="10" t="str">
        <f>IF(Q464&lt;=AT464,"DESPRECIABLE","DISEÑAR")</f>
        <v>DISEÑAR</v>
      </c>
      <c r="AV464" s="10">
        <f>IF(Q464&lt;=AT464,0,Q464*1000000/('Parametros'!$B$6*2*0.85*(H464-2*('Parametros'!$B$7+'Parametros'!$B$9/2))*(I464-2*('Parametros'!$B$7+'Parametros'!$B$9/2))*'Parametros'!$B$4))</f>
        <v>0.216052897962267</v>
      </c>
      <c r="AW464" s="10">
        <f>AV464*2*((H464-2*('Parametros'!$B$7+'Parametros'!$B$9/2))+(I464-2*('Parametros'!$B$7+'Parametros'!$B$9/2)))*'Parametros'!$B$4/'Parametros'!$B$3</f>
        <v>373.598671156351</v>
      </c>
      <c r="AX464" s="31" t="n">
        <v>8</v>
      </c>
      <c r="AY464" s="10" t="str">
        <f>IF(AV464=0,"DESPRECIABLE",IF(AND(ISERROR(SEARCH("referencia",AN464)),BB464/AP464&gt;=AV464,BI464&gt;=AW464,BH464="CUMPLE"),"CUMPLE","NO CUMPLE"))</f>
        <v>CUMPLE</v>
      </c>
      <c r="AZ464" s="10" t="str">
        <f>IF(AND(X464="CUMPLE",AE464="CUMPLE",AS464="CUMPLE",OR(AY464="CUMPLE",AY464="DESPRECIABLE"),BH464="CUMPLE",BJ464="CUMPLE"),"CUMPLE","NO CUMPLE")</f>
        <v>CUMPLE</v>
      </c>
      <c r="BA464" s="32" t="n">
        <v>9.5</v>
      </c>
      <c r="BB464" s="32" t="n">
        <v>71</v>
      </c>
      <c r="BC464" s="10">
        <f>MAX(IF(AK464=0,0,AK464*1000/('Parametros'!$B$4*MIN(U464,AB464))),MAX(0.062*SQRT('Parametros'!$B$2)*H464/'Parametros'!$B$4,0.35*H464/'Parametros'!$B$4))</f>
        <v>0.929433743042187</v>
      </c>
      <c r="BD464" s="10">
        <f>2*AV464</f>
        <v>0.432105795924533</v>
      </c>
      <c r="BE464" s="10">
        <f>AO464*BB464/AP464</f>
        <v>1.42</v>
      </c>
      <c r="BF464" s="10">
        <f>SQRT((AI464*1000/(H464*MIN(U464,AB464)))^2+(Q464*1000000*2*((H464-2*('Parametros'!$B$7+'Parametros'!$B$9/2))+(I464-2*('Parametros'!$B$7+'Parametros'!$B$9/2)))/(1.7*((H464-2*('Parametros'!$B$7+'Parametros'!$B$9/2))*(I464-2*('Parametros'!$B$7+'Parametros'!$B$9/2)))^2))^2)</f>
        <v>1.40972977441774</v>
      </c>
      <c r="BG464" s="10">
        <f>'Parametros'!$B$6*(AJ464*1000/(H464*MIN(U464,AB464))+0.66*SQRT('Parametros'!$B$2))</f>
        <v>3.29396038227542</v>
      </c>
      <c r="BH464" s="10" t="str">
        <f>IF(BF464&lt;=BG464,"CUMPLE","NO CUMPLE")</f>
        <v>CUMPLE</v>
      </c>
      <c r="BI464" s="10">
        <f>AX464*'Parametros'!$B$8</f>
        <v>1592</v>
      </c>
      <c r="BJ464" s="10" t="str">
        <f>IF(BI464&gt;=AW464,"CUMPLE","NO CUMPLE")</f>
        <v>CUMPLE</v>
      </c>
    </row>
    <row r="465">
      <c r="A465" s="25" t="inlineStr">
        <is>
          <t>VR2</t>
        </is>
      </c>
      <c r="B465" s="25" t="inlineStr">
        <is>
          <t>960</t>
        </is>
      </c>
      <c r="C465" s="10" t="n">
        <v>1</v>
      </c>
      <c r="D465" s="10" t="n">
        <v>1.9</v>
      </c>
      <c r="E465" s="10" t="n">
        <v>1.9</v>
      </c>
      <c r="F465" s="10" t="n">
        <v>500</v>
      </c>
      <c r="G465" s="10" t="n">
        <v>550</v>
      </c>
      <c r="H465" s="17" t="n">
        <v>500</v>
      </c>
      <c r="I465" s="17" t="n">
        <v>550</v>
      </c>
      <c r="J465" s="30" t="n">
        <v>48.4972</v>
      </c>
      <c r="K465" s="10" t="inlineStr">
        <is>
          <t>960</t>
        </is>
      </c>
      <c r="L465" s="30" t="n">
        <v>11.7168</v>
      </c>
      <c r="M465" s="10" t="inlineStr">
        <is>
          <t>960</t>
        </is>
      </c>
      <c r="N465" s="30" t="n">
        <v>52.443</v>
      </c>
      <c r="O465" s="30" t="n">
        <v>98.143</v>
      </c>
      <c r="P465" s="10" t="inlineStr">
        <is>
          <t>960</t>
        </is>
      </c>
      <c r="Q465" s="30" t="n">
        <v>9.3789</v>
      </c>
      <c r="R465" s="10">
        <f>MAX(MAX(1.4/'Parametros'!$B$3,0.25*SQRT('Parametros'!$B$2)/'Parametros'!$B$3)*H465*U465,(0.85*'Parametros'!$B$2/'Parametros'!$B$3)*(1-SQRT(1-2*(J465*1000000/('Parametros'!$B$5*H465*U465^2))/(0.85*'Parametros'!$B$2)))*H465*U465)</f>
        <v>815.583333333333</v>
      </c>
      <c r="S465" s="31" t="n">
        <v>5</v>
      </c>
      <c r="T465" s="32" t="n">
        <v>1</v>
      </c>
      <c r="U465" s="10">
        <f>IF(T465=1,I465-('Parametros'!$B$7+'Parametros'!$B$9+'Parametros'!$B$12/2),I465-(ROUNDUP(S465/2,0)*('Parametros'!$B$7+'Parametros'!$B$9+'Parametros'!$B$12/2)+ROUNDDOWN(S465/2,0)*('Parametros'!$B$7+'Parametros'!$B$9+'Parametros'!$B$12/2+'Parametros'!$B$12+'Parametros'!$B$10))/S465)</f>
        <v>489.35</v>
      </c>
      <c r="V465" s="10">
        <f>S465*'Parametros'!$B$8</f>
        <v>995</v>
      </c>
      <c r="W465" s="10">
        <f>'Parametros'!$B$5*V465*'Parametros'!$B$3*(U465-(V465*'Parametros'!$B$3/(0.85*'Parametros'!$B$2*H465))/2)/1000000</f>
        <v>177.445379382353</v>
      </c>
      <c r="X465" s="10" t="str">
        <f>IF(W465&gt;=J465,"CUMPLE","NO CUMPLE")</f>
        <v>CUMPLE</v>
      </c>
      <c r="Y465" s="10">
        <f>MAX(MAX(1.4/'Parametros'!$B$3,0.25*SQRT('Parametros'!$B$2)/'Parametros'!$B$3)*H465*AB465,(0.85*'Parametros'!$B$2/'Parametros'!$B$3)*(1-SQRT(1-2*(L465*1000000/('Parametros'!$B$5*H465*AB465^2))/(0.85*'Parametros'!$B$2)))*H465*AB465)</f>
        <v>815.583333333333</v>
      </c>
      <c r="Z465" s="31" t="n">
        <v>5</v>
      </c>
      <c r="AA465" s="32" t="n">
        <v>1</v>
      </c>
      <c r="AB465" s="10">
        <f>IF(AA465=1,I465-('Parametros'!$B$7+'Parametros'!$B$9+'Parametros'!$B$12/2),I465-(ROUNDUP(Z465/2,0)*('Parametros'!$B$7+'Parametros'!$B$9+'Parametros'!$B$12/2)+ROUNDDOWN(Z465/2,0)*('Parametros'!$B$7+'Parametros'!$B$9+'Parametros'!$B$12/2+'Parametros'!$B$12+'Parametros'!$B$10))/Z465)</f>
        <v>489.35</v>
      </c>
      <c r="AC465" s="10">
        <f>Z465*'Parametros'!$B$8</f>
        <v>995</v>
      </c>
      <c r="AD465" s="10">
        <f>'Parametros'!$B$5*AC465*'Parametros'!$B$3*(AB465-(AC465*'Parametros'!$B$3/(0.85*'Parametros'!$B$2*H465))/2)/1000000</f>
        <v>177.445379382353</v>
      </c>
      <c r="AE465" s="10" t="str">
        <f>IF(AD465&gt;=L465,"CUMPLE","NO CUMPLE")</f>
        <v>CUMPLE</v>
      </c>
      <c r="AF465" s="10">
        <f>V465*1.25*'Parametros'!$B$3*(U465-(V465*1.25*'Parametros'!$B$3/(0.85*'Parametros'!$B$2*H465))/2)/1000000</f>
        <v>244.158843198529</v>
      </c>
      <c r="AG465" s="10">
        <f>AC465*1.25*'Parametros'!$B$3*(AB465-(AC465*1.25*'Parametros'!$B$3/(0.85*'Parametros'!$B$2*H465))/2)/1000000</f>
        <v>244.158843198529</v>
      </c>
      <c r="AH465" s="10">
        <f>N465+(AF465+AG465)/D465</f>
        <v>309.452308630031</v>
      </c>
      <c r="AI465" s="10">
        <f>MAX(O465,AH465)</f>
        <v>309.452308630031</v>
      </c>
      <c r="AJ465" s="10">
        <f>0.17*SQRT('Parametros'!$B$2)*H465*MIN(U465,AB465)/1000</f>
        <v>220.098728691808</v>
      </c>
      <c r="AK465" s="10">
        <f>MAX(AI465/'Parametros'!$B$6-AJ465,0)</f>
        <v>192.504349481567</v>
      </c>
      <c r="AL465" s="10">
        <f>0.66*SQRT('Parametros'!$B$2)*H465*MIN(U465,AB465)/1000</f>
        <v>854.500946685842</v>
      </c>
      <c r="AM465" s="10" t="str">
        <f>IF(AK465&lt;=AL465,"CUMPLE","NO CUMPLE")</f>
        <v>CUMPLE</v>
      </c>
      <c r="AN465" s="17" t="inlineStr">
        <is>
          <t>Nº3 cerrado</t>
        </is>
      </c>
      <c r="AO465" s="31" t="n">
        <v>2</v>
      </c>
      <c r="AP465" s="10">
        <f>ROUNDDOWN(MIN(IF(BC465+BD465=0,1000000000,AO465*BB465/(BC465+BD465)),MIN(U465,AB465)/4,8*'Parametros'!$B$12,24*BA465,300,IF(AV465=0,1000000000,2*((H465-2*('Parametros'!$B$7+'Parametros'!$B$9/2))+(I465-2*('Parametros'!$B$7+'Parametros'!$B$9/2)))/8))/10,0)*10</f>
        <v>120</v>
      </c>
      <c r="AQ465" s="10">
        <f>ROUNDDOWN(MIN(IF(BC465+BD465=0,1000000000,AO465*BB465/(BC465+BD465)),IF(AK465&gt;0.33*SQRT('Parametros'!$B$2)*H465*MIN(U465,AB465)/1000,MIN(U465,AB465)/4,MIN(U465,AB465)/2),600,IF(AV465=0,1000000000,2*((H465-2*('Parametros'!$B$7+'Parametros'!$B$9/2))+(I465-2*('Parametros'!$B$7+'Parametros'!$B$9/2)))/8))/10,0)*10</f>
        <v>150</v>
      </c>
      <c r="AR465" s="10">
        <f>'Parametros'!$B$6*(AJ465+MAX(BE465-BD465,0)*'Parametros'!$B$4*MIN(U465,AB465)/1000)</f>
        <v>347.479259018856</v>
      </c>
      <c r="AS465" s="10" t="str">
        <f>IF(AND(ISERROR(SEARCH("referencia",AN465)),AM465="CUMPLE",AR465&gt;=AI465),"CUMPLE","NO CUMPLE")</f>
        <v>CUMPLE</v>
      </c>
      <c r="AT465" s="10">
        <f>'Parametros'!$B$6*0.083*SQRT('Parametros'!$B$2)*(H465*I465)^2/(2*(H465+I465))/1000000</f>
        <v>11.862178757599</v>
      </c>
      <c r="AU465" s="10" t="str">
        <f>IF(Q465&lt;=AT465,"DESPRECIABLE","DISEÑAR")</f>
        <v>DESPRECIABLE</v>
      </c>
      <c r="AV465" s="10">
        <f>IF(Q465&lt;=AT465,0,Q465*1000000/('Parametros'!$B$6*2*0.85*(H465-2*('Parametros'!$B$7+'Parametros'!$B$9/2))*(I465-2*('Parametros'!$B$7+'Parametros'!$B$9/2))*'Parametros'!$B$4))</f>
        <v>0</v>
      </c>
      <c r="AW465" s="10">
        <f>AV465*2*((H465-2*('Parametros'!$B$7+'Parametros'!$B$9/2))+(I465-2*('Parametros'!$B$7+'Parametros'!$B$9/2)))*'Parametros'!$B$4/'Parametros'!$B$3</f>
        <v>0</v>
      </c>
      <c r="AX465" s="31" t="n">
        <v>0</v>
      </c>
      <c r="AY465" s="10" t="str">
        <f>IF(AV465=0,"DESPRECIABLE",IF(AND(ISERROR(SEARCH("referencia",AN465)),BB465/AP465&gt;=AV465,BI465&gt;=AW465,BH465="CUMPLE"),"CUMPLE","NO CUMPLE"))</f>
        <v>DESPRECIABLE</v>
      </c>
      <c r="AZ465" s="10" t="str">
        <f>IF(AND(X465="CUMPLE",AE465="CUMPLE",AS465="CUMPLE",OR(AY465="CUMPLE",AY465="DESPRECIABLE"),BH465="CUMPLE",BJ465="CUMPLE"),"CUMPLE","NO CUMPLE")</f>
        <v>CUMPLE</v>
      </c>
      <c r="BA465" s="32" t="n">
        <v>9.5</v>
      </c>
      <c r="BB465" s="32" t="n">
        <v>71</v>
      </c>
      <c r="BC465" s="10">
        <f>MAX(IF(AK465=0,0,AK465*1000/('Parametros'!$B$4*MIN(U465,AB465))),MAX(0.062*SQRT('Parametros'!$B$2)*H465/'Parametros'!$B$4,0.35*H465/'Parametros'!$B$4))</f>
        <v>0.936637762831973</v>
      </c>
      <c r="BD465" s="10">
        <f>2*AV465</f>
        <v>0</v>
      </c>
      <c r="BE465" s="10">
        <f>AO465*BB465/AP465</f>
        <v>1.18333333333333</v>
      </c>
      <c r="BF465" s="10">
        <f>SQRT((AI465*1000/(H465*MIN(U465,AB465)))^2+(Q465*1000000*2*((H465-2*('Parametros'!$B$7+'Parametros'!$B$9/2))+(I465-2*('Parametros'!$B$7+'Parametros'!$B$9/2)))/(1.7*((H465-2*('Parametros'!$B$7+'Parametros'!$B$9/2))*(I465-2*('Parametros'!$B$7+'Parametros'!$B$9/2)))^2))^2)</f>
        <v>1.29429825858567</v>
      </c>
      <c r="BG465" s="10">
        <f>'Parametros'!$B$6*(AJ465*1000/(H465*MIN(U465,AB465))+0.66*SQRT('Parametros'!$B$2))</f>
        <v>3.29396038227542</v>
      </c>
      <c r="BH465" s="10" t="str">
        <f>IF(BF465&lt;=BG465,"CUMPLE","NO CUMPLE")</f>
        <v>CUMPLE</v>
      </c>
      <c r="BI465" s="10">
        <f>AX465*'Parametros'!$B$8</f>
        <v>0</v>
      </c>
      <c r="BJ465" s="10" t="str">
        <f>IF(BI465&gt;=AW465,"CUMPLE","NO CUMPLE")</f>
        <v>CUMPLE</v>
      </c>
    </row>
    <row r="466">
      <c r="A466" s="25" t="inlineStr">
        <is>
          <t>VR2</t>
        </is>
      </c>
      <c r="B466" s="25" t="inlineStr">
        <is>
          <t>961</t>
        </is>
      </c>
      <c r="C466" s="10" t="n">
        <v>1</v>
      </c>
      <c r="D466" s="10" t="n">
        <v>3.57612</v>
      </c>
      <c r="E466" s="10" t="n">
        <v>3.57612</v>
      </c>
      <c r="F466" s="10" t="n">
        <v>500</v>
      </c>
      <c r="G466" s="10" t="n">
        <v>550</v>
      </c>
      <c r="H466" s="17" t="n">
        <v>500</v>
      </c>
      <c r="I466" s="17" t="n">
        <v>550</v>
      </c>
      <c r="J466" s="30" t="n">
        <v>78.65089999999999</v>
      </c>
      <c r="K466" s="10" t="inlineStr">
        <is>
          <t>961</t>
        </is>
      </c>
      <c r="L466" s="30" t="n">
        <v>41.4334</v>
      </c>
      <c r="M466" s="10" t="inlineStr">
        <is>
          <t>961</t>
        </is>
      </c>
      <c r="N466" s="30" t="n">
        <v>75.98999999999999</v>
      </c>
      <c r="O466" s="30" t="n">
        <v>154.103</v>
      </c>
      <c r="P466" s="10" t="inlineStr">
        <is>
          <t>961</t>
        </is>
      </c>
      <c r="Q466" s="30" t="n">
        <v>8.188700000000001</v>
      </c>
      <c r="R466" s="10">
        <f>MAX(MAX(1.4/'Parametros'!$B$3,0.25*SQRT('Parametros'!$B$2)/'Parametros'!$B$3)*H466*U466,(0.85*'Parametros'!$B$2/'Parametros'!$B$3)*(1-SQRT(1-2*(J466*1000000/('Parametros'!$B$5*H466*U466^2))/(0.85*'Parametros'!$B$2)))*H466*U466)</f>
        <v>815.583333333333</v>
      </c>
      <c r="S466" s="31" t="n">
        <v>5</v>
      </c>
      <c r="T466" s="32" t="n">
        <v>1</v>
      </c>
      <c r="U466" s="10">
        <f>IF(T466=1,I466-('Parametros'!$B$7+'Parametros'!$B$9+'Parametros'!$B$12/2),I466-(ROUNDUP(S466/2,0)*('Parametros'!$B$7+'Parametros'!$B$9+'Parametros'!$B$12/2)+ROUNDDOWN(S466/2,0)*('Parametros'!$B$7+'Parametros'!$B$9+'Parametros'!$B$12/2+'Parametros'!$B$12+'Parametros'!$B$10))/S466)</f>
        <v>489.35</v>
      </c>
      <c r="V466" s="10">
        <f>S466*'Parametros'!$B$8</f>
        <v>995</v>
      </c>
      <c r="W466" s="10">
        <f>'Parametros'!$B$5*V466*'Parametros'!$B$3*(U466-(V466*'Parametros'!$B$3/(0.85*'Parametros'!$B$2*H466))/2)/1000000</f>
        <v>177.445379382353</v>
      </c>
      <c r="X466" s="10" t="str">
        <f>IF(W466&gt;=J466,"CUMPLE","NO CUMPLE")</f>
        <v>CUMPLE</v>
      </c>
      <c r="Y466" s="10">
        <f>MAX(MAX(1.4/'Parametros'!$B$3,0.25*SQRT('Parametros'!$B$2)/'Parametros'!$B$3)*H466*AB466,(0.85*'Parametros'!$B$2/'Parametros'!$B$3)*(1-SQRT(1-2*(L466*1000000/('Parametros'!$B$5*H466*AB466^2))/(0.85*'Parametros'!$B$2)))*H466*AB466)</f>
        <v>815.583333333333</v>
      </c>
      <c r="Z466" s="31" t="n">
        <v>5</v>
      </c>
      <c r="AA466" s="32" t="n">
        <v>1</v>
      </c>
      <c r="AB466" s="10">
        <f>IF(AA466=1,I466-('Parametros'!$B$7+'Parametros'!$B$9+'Parametros'!$B$12/2),I466-(ROUNDUP(Z466/2,0)*('Parametros'!$B$7+'Parametros'!$B$9+'Parametros'!$B$12/2)+ROUNDDOWN(Z466/2,0)*('Parametros'!$B$7+'Parametros'!$B$9+'Parametros'!$B$12/2+'Parametros'!$B$12+'Parametros'!$B$10))/Z466)</f>
        <v>489.35</v>
      </c>
      <c r="AC466" s="10">
        <f>Z466*'Parametros'!$B$8</f>
        <v>995</v>
      </c>
      <c r="AD466" s="10">
        <f>'Parametros'!$B$5*AC466*'Parametros'!$B$3*(AB466-(AC466*'Parametros'!$B$3/(0.85*'Parametros'!$B$2*H466))/2)/1000000</f>
        <v>177.445379382353</v>
      </c>
      <c r="AE466" s="10" t="str">
        <f>IF(AD466&gt;=L466,"CUMPLE","NO CUMPLE")</f>
        <v>CUMPLE</v>
      </c>
      <c r="AF466" s="10">
        <f>V466*1.25*'Parametros'!$B$3*(U466-(V466*1.25*'Parametros'!$B$3/(0.85*'Parametros'!$B$2*H466))/2)/1000000</f>
        <v>244.158843198529</v>
      </c>
      <c r="AG466" s="10">
        <f>AC466*1.25*'Parametros'!$B$3*(AB466-(AC466*1.25*'Parametros'!$B$3/(0.85*'Parametros'!$B$2*H466))/2)/1000000</f>
        <v>244.158843198529</v>
      </c>
      <c r="AH466" s="10">
        <f>N466+(AF466+AG466)/D466</f>
        <v>212.539580662019</v>
      </c>
      <c r="AI466" s="10">
        <f>MAX(O466,AH466)</f>
        <v>212.539580662019</v>
      </c>
      <c r="AJ466" s="10">
        <f>0.17*SQRT('Parametros'!$B$2)*H466*MIN(U466,AB466)/1000</f>
        <v>220.098728691808</v>
      </c>
      <c r="AK466" s="10">
        <f>MAX(AI466/'Parametros'!$B$6-AJ466,0)</f>
        <v>63.2873788575507</v>
      </c>
      <c r="AL466" s="10">
        <f>0.66*SQRT('Parametros'!$B$2)*H466*MIN(U466,AB466)/1000</f>
        <v>854.500946685842</v>
      </c>
      <c r="AM466" s="10" t="str">
        <f>IF(AK466&lt;=AL466,"CUMPLE","NO CUMPLE")</f>
        <v>CUMPLE</v>
      </c>
      <c r="AN466" s="17" t="inlineStr">
        <is>
          <t>Nº3 cerrado</t>
        </is>
      </c>
      <c r="AO466" s="31" t="n">
        <v>2</v>
      </c>
      <c r="AP466" s="10">
        <f>ROUNDDOWN(MIN(IF(BC466+BD466=0,1000000000,AO466*BB466/(BC466+BD466)),MIN(U466,AB466)/4,8*'Parametros'!$B$12,24*BA466,300,IF(AV466=0,1000000000,2*((H466-2*('Parametros'!$B$7+'Parametros'!$B$9/2))+(I466-2*('Parametros'!$B$7+'Parametros'!$B$9/2)))/8))/10,0)*10</f>
        <v>120</v>
      </c>
      <c r="AQ466" s="10">
        <f>ROUNDDOWN(MIN(IF(BC466+BD466=0,1000000000,AO466*BB466/(BC466+BD466)),IF(AK466&gt;0.33*SQRT('Parametros'!$B$2)*H466*MIN(U466,AB466)/1000,MIN(U466,AB466)/4,MIN(U466,AB466)/2),600,IF(AV466=0,1000000000,2*((H466-2*('Parametros'!$B$7+'Parametros'!$B$9/2))+(I466-2*('Parametros'!$B$7+'Parametros'!$B$9/2)))/8))/10,0)*10</f>
        <v>240</v>
      </c>
      <c r="AR466" s="10">
        <f>'Parametros'!$B$6*(AJ466+MAX(BE466-BD466,0)*'Parametros'!$B$4*MIN(U466,AB466)/1000)</f>
        <v>347.479259018856</v>
      </c>
      <c r="AS466" s="10" t="str">
        <f>IF(AND(ISERROR(SEARCH("referencia",AN466)),AM466="CUMPLE",AR466&gt;=AI466),"CUMPLE","NO CUMPLE")</f>
        <v>CUMPLE</v>
      </c>
      <c r="AT466" s="10">
        <f>'Parametros'!$B$6*0.083*SQRT('Parametros'!$B$2)*(H466*I466)^2/(2*(H466+I466))/1000000</f>
        <v>11.862178757599</v>
      </c>
      <c r="AU466" s="10" t="str">
        <f>IF(Q466&lt;=AT466,"DESPRECIABLE","DISEÑAR")</f>
        <v>DESPRECIABLE</v>
      </c>
      <c r="AV466" s="10">
        <f>IF(Q466&lt;=AT466,0,Q466*1000000/('Parametros'!$B$6*2*0.85*(H466-2*('Parametros'!$B$7+'Parametros'!$B$9/2))*(I466-2*('Parametros'!$B$7+'Parametros'!$B$9/2))*'Parametros'!$B$4))</f>
        <v>0</v>
      </c>
      <c r="AW466" s="10">
        <f>AV466*2*((H466-2*('Parametros'!$B$7+'Parametros'!$B$9/2))+(I466-2*('Parametros'!$B$7+'Parametros'!$B$9/2)))*'Parametros'!$B$4/'Parametros'!$B$3</f>
        <v>0</v>
      </c>
      <c r="AX466" s="31" t="n">
        <v>0</v>
      </c>
      <c r="AY466" s="10" t="str">
        <f>IF(AV466=0,"DESPRECIABLE",IF(AND(ISERROR(SEARCH("referencia",AN466)),BB466/AP466&gt;=AV466,BI466&gt;=AW466,BH466="CUMPLE"),"CUMPLE","NO CUMPLE"))</f>
        <v>DESPRECIABLE</v>
      </c>
      <c r="AZ466" s="10" t="str">
        <f>IF(AND(X466="CUMPLE",AE466="CUMPLE",AS466="CUMPLE",OR(AY466="CUMPLE",AY466="DESPRECIABLE"),BH466="CUMPLE",BJ466="CUMPLE"),"CUMPLE","NO CUMPLE")</f>
        <v>CUMPLE</v>
      </c>
      <c r="BA466" s="32" t="n">
        <v>9.5</v>
      </c>
      <c r="BB466" s="32" t="n">
        <v>71</v>
      </c>
      <c r="BC466" s="10">
        <f>MAX(IF(AK466=0,0,AK466*1000/('Parametros'!$B$4*MIN(U466,AB466))),MAX(0.062*SQRT('Parametros'!$B$2)*H466/'Parametros'!$B$4,0.35*H466/'Parametros'!$B$4))</f>
        <v>0.416666666666667</v>
      </c>
      <c r="BD466" s="10">
        <f>2*AV466</f>
        <v>0</v>
      </c>
      <c r="BE466" s="10">
        <f>AO466*BB466/AP466</f>
        <v>1.18333333333333</v>
      </c>
      <c r="BF466" s="10">
        <f>SQRT((AI466*1000/(H466*MIN(U466,AB466)))^2+(Q466*1000000*2*((H466-2*('Parametros'!$B$7+'Parametros'!$B$9/2))+(I466-2*('Parametros'!$B$7+'Parametros'!$B$9/2)))/(1.7*((H466-2*('Parametros'!$B$7+'Parametros'!$B$9/2))*(I466-2*('Parametros'!$B$7+'Parametros'!$B$9/2)))^2))^2)</f>
        <v>0.901230478109986</v>
      </c>
      <c r="BG466" s="10">
        <f>'Parametros'!$B$6*(AJ466*1000/(H466*MIN(U466,AB466))+0.66*SQRT('Parametros'!$B$2))</f>
        <v>3.29396038227542</v>
      </c>
      <c r="BH466" s="10" t="str">
        <f>IF(BF466&lt;=BG466,"CUMPLE","NO CUMPLE")</f>
        <v>CUMPLE</v>
      </c>
      <c r="BI466" s="10">
        <f>AX466*'Parametros'!$B$8</f>
        <v>0</v>
      </c>
      <c r="BJ466" s="10" t="str">
        <f>IF(BI466&gt;=AW466,"CUMPLE","NO CUMPLE")</f>
        <v>CUMPLE</v>
      </c>
    </row>
    <row r="467">
      <c r="A467" s="25" t="inlineStr">
        <is>
          <t>VR2</t>
        </is>
      </c>
      <c r="B467" s="25" t="inlineStr">
        <is>
          <t>962</t>
        </is>
      </c>
      <c r="C467" s="10" t="n">
        <v>1</v>
      </c>
      <c r="D467" s="10" t="n">
        <v>2.1</v>
      </c>
      <c r="E467" s="10" t="n">
        <v>2.1</v>
      </c>
      <c r="F467" s="10" t="n">
        <v>500</v>
      </c>
      <c r="G467" s="10" t="n">
        <v>550</v>
      </c>
      <c r="H467" s="17" t="n">
        <v>500</v>
      </c>
      <c r="I467" s="17" t="n">
        <v>550</v>
      </c>
      <c r="J467" s="30" t="n">
        <v>99.7302</v>
      </c>
      <c r="K467" s="10" t="inlineStr">
        <is>
          <t>962</t>
        </is>
      </c>
      <c r="L467" s="30" t="n">
        <v>51.2884</v>
      </c>
      <c r="M467" s="10" t="inlineStr">
        <is>
          <t>962</t>
        </is>
      </c>
      <c r="N467" s="30" t="n">
        <v>88.36799999999999</v>
      </c>
      <c r="O467" s="30" t="n">
        <v>157.525</v>
      </c>
      <c r="P467" s="10" t="inlineStr">
        <is>
          <t>962</t>
        </is>
      </c>
      <c r="Q467" s="30" t="n">
        <v>20.6667</v>
      </c>
      <c r="R467" s="10">
        <f>MAX(MAX(1.4/'Parametros'!$B$3,0.25*SQRT('Parametros'!$B$2)/'Parametros'!$B$3)*H467*U467,(0.85*'Parametros'!$B$2/'Parametros'!$B$3)*(1-SQRT(1-2*(J467*1000000/('Parametros'!$B$5*H467*U467^2))/(0.85*'Parametros'!$B$2)))*H467*U467)</f>
        <v>815.583333333333</v>
      </c>
      <c r="S467" s="31" t="n">
        <v>5</v>
      </c>
      <c r="T467" s="32" t="n">
        <v>1</v>
      </c>
      <c r="U467" s="10">
        <f>IF(T467=1,I467-('Parametros'!$B$7+'Parametros'!$B$9+'Parametros'!$B$12/2),I467-(ROUNDUP(S467/2,0)*('Parametros'!$B$7+'Parametros'!$B$9+'Parametros'!$B$12/2)+ROUNDDOWN(S467/2,0)*('Parametros'!$B$7+'Parametros'!$B$9+'Parametros'!$B$12/2+'Parametros'!$B$12+'Parametros'!$B$10))/S467)</f>
        <v>489.35</v>
      </c>
      <c r="V467" s="10">
        <f>S467*'Parametros'!$B$8</f>
        <v>995</v>
      </c>
      <c r="W467" s="10">
        <f>'Parametros'!$B$5*V467*'Parametros'!$B$3*(U467-(V467*'Parametros'!$B$3/(0.85*'Parametros'!$B$2*H467))/2)/1000000</f>
        <v>177.445379382353</v>
      </c>
      <c r="X467" s="10" t="str">
        <f>IF(W467&gt;=J467,"CUMPLE","NO CUMPLE")</f>
        <v>CUMPLE</v>
      </c>
      <c r="Y467" s="10">
        <f>MAX(MAX(1.4/'Parametros'!$B$3,0.25*SQRT('Parametros'!$B$2)/'Parametros'!$B$3)*H467*AB467,(0.85*'Parametros'!$B$2/'Parametros'!$B$3)*(1-SQRT(1-2*(L467*1000000/('Parametros'!$B$5*H467*AB467^2))/(0.85*'Parametros'!$B$2)))*H467*AB467)</f>
        <v>815.583333333333</v>
      </c>
      <c r="Z467" s="31" t="n">
        <v>5</v>
      </c>
      <c r="AA467" s="32" t="n">
        <v>1</v>
      </c>
      <c r="AB467" s="10">
        <f>IF(AA467=1,I467-('Parametros'!$B$7+'Parametros'!$B$9+'Parametros'!$B$12/2),I467-(ROUNDUP(Z467/2,0)*('Parametros'!$B$7+'Parametros'!$B$9+'Parametros'!$B$12/2)+ROUNDDOWN(Z467/2,0)*('Parametros'!$B$7+'Parametros'!$B$9+'Parametros'!$B$12/2+'Parametros'!$B$12+'Parametros'!$B$10))/Z467)</f>
        <v>489.35</v>
      </c>
      <c r="AC467" s="10">
        <f>Z467*'Parametros'!$B$8</f>
        <v>995</v>
      </c>
      <c r="AD467" s="10">
        <f>'Parametros'!$B$5*AC467*'Parametros'!$B$3*(AB467-(AC467*'Parametros'!$B$3/(0.85*'Parametros'!$B$2*H467))/2)/1000000</f>
        <v>177.445379382353</v>
      </c>
      <c r="AE467" s="10" t="str">
        <f>IF(AD467&gt;=L467,"CUMPLE","NO CUMPLE")</f>
        <v>CUMPLE</v>
      </c>
      <c r="AF467" s="10">
        <f>V467*1.25*'Parametros'!$B$3*(U467-(V467*1.25*'Parametros'!$B$3/(0.85*'Parametros'!$B$2*H467))/2)/1000000</f>
        <v>244.158843198529</v>
      </c>
      <c r="AG467" s="10">
        <f>AC467*1.25*'Parametros'!$B$3*(AB467-(AC467*1.25*'Parametros'!$B$3/(0.85*'Parametros'!$B$2*H467))/2)/1000000</f>
        <v>244.158843198529</v>
      </c>
      <c r="AH467" s="10">
        <f>N467+(AF467+AG467)/D467</f>
        <v>320.900231617647</v>
      </c>
      <c r="AI467" s="10">
        <f>MAX(O467,AH467)</f>
        <v>320.900231617647</v>
      </c>
      <c r="AJ467" s="10">
        <f>0.17*SQRT('Parametros'!$B$2)*H467*MIN(U467,AB467)/1000</f>
        <v>220.098728691808</v>
      </c>
      <c r="AK467" s="10">
        <f>MAX(AI467/'Parametros'!$B$6-AJ467,0)</f>
        <v>207.768246798388</v>
      </c>
      <c r="AL467" s="10">
        <f>0.66*SQRT('Parametros'!$B$2)*H467*MIN(U467,AB467)/1000</f>
        <v>854.500946685842</v>
      </c>
      <c r="AM467" s="10" t="str">
        <f>IF(AK467&lt;=AL467,"CUMPLE","NO CUMPLE")</f>
        <v>CUMPLE</v>
      </c>
      <c r="AN467" s="17" t="inlineStr">
        <is>
          <t>Nº3 cerrado</t>
        </is>
      </c>
      <c r="AO467" s="31" t="n">
        <v>2</v>
      </c>
      <c r="AP467" s="10">
        <f>ROUNDDOWN(MIN(IF(BC467+BD467=0,1000000000,AO467*BB467/(BC467+BD467)),MIN(U467,AB467)/4,8*'Parametros'!$B$12,24*BA467,300,IF(AV467=0,1000000000,2*((H467-2*('Parametros'!$B$7+'Parametros'!$B$9/2))+(I467-2*('Parametros'!$B$7+'Parametros'!$B$9/2)))/8))/10,0)*10</f>
        <v>90</v>
      </c>
      <c r="AQ467" s="10">
        <f>ROUNDDOWN(MIN(IF(BC467+BD467=0,1000000000,AO467*BB467/(BC467+BD467)),IF(AK467&gt;0.33*SQRT('Parametros'!$B$2)*H467*MIN(U467,AB467)/1000,MIN(U467,AB467)/4,MIN(U467,AB467)/2),600,IF(AV467=0,1000000000,2*((H467-2*('Parametros'!$B$7+'Parametros'!$B$9/2))+(I467-2*('Parametros'!$B$7+'Parametros'!$B$9/2)))/8))/10,0)*10</f>
        <v>90</v>
      </c>
      <c r="AR467" s="10">
        <f>'Parametros'!$B$6*(AJ467+MAX(BE467-BD467,0)*'Parametros'!$B$4*MIN(U467,AB467)/1000)</f>
        <v>344.402278643675</v>
      </c>
      <c r="AS467" s="10" t="str">
        <f>IF(AND(ISERROR(SEARCH("referencia",AN467)),AM467="CUMPLE",AR467&gt;=AI467),"CUMPLE","NO CUMPLE")</f>
        <v>CUMPLE</v>
      </c>
      <c r="AT467" s="10">
        <f>'Parametros'!$B$6*0.083*SQRT('Parametros'!$B$2)*(H467*I467)^2/(2*(H467+I467))/1000000</f>
        <v>11.862178757599</v>
      </c>
      <c r="AU467" s="10" t="str">
        <f>IF(Q467&lt;=AT467,"DESPRECIABLE","DISEÑAR")</f>
        <v>DISEÑAR</v>
      </c>
      <c r="AV467" s="10">
        <f>IF(Q467&lt;=AT467,0,Q467*1000000/('Parametros'!$B$6*2*0.85*(H467-2*('Parametros'!$B$7+'Parametros'!$B$9/2))*(I467-2*('Parametros'!$B$7+'Parametros'!$B$9/2))*'Parametros'!$B$4))</f>
        <v>0.207203004553109</v>
      </c>
      <c r="AW467" s="10">
        <f>AV467*2*((H467-2*('Parametros'!$B$7+'Parametros'!$B$9/2))+(I467-2*('Parametros'!$B$7+'Parametros'!$B$9/2)))*'Parametros'!$B$4/'Parametros'!$B$3</f>
        <v>358.295435473237</v>
      </c>
      <c r="AX467" s="31" t="n">
        <v>8</v>
      </c>
      <c r="AY467" s="10" t="str">
        <f>IF(AV467=0,"DESPRECIABLE",IF(AND(ISERROR(SEARCH("referencia",AN467)),BB467/AP467&gt;=AV467,BI467&gt;=AW467,BH467="CUMPLE"),"CUMPLE","NO CUMPLE"))</f>
        <v>CUMPLE</v>
      </c>
      <c r="AZ467" s="10" t="str">
        <f>IF(AND(X467="CUMPLE",AE467="CUMPLE",AS467="CUMPLE",OR(AY467="CUMPLE",AY467="DESPRECIABLE"),BH467="CUMPLE",BJ467="CUMPLE"),"CUMPLE","NO CUMPLE")</f>
        <v>CUMPLE</v>
      </c>
      <c r="BA467" s="32" t="n">
        <v>9.5</v>
      </c>
      <c r="BB467" s="32" t="n">
        <v>71</v>
      </c>
      <c r="BC467" s="10">
        <f>MAX(IF(AK467=0,0,AK467*1000/('Parametros'!$B$4*MIN(U467,AB467))),MAX(0.062*SQRT('Parametros'!$B$2)*H467/'Parametros'!$B$4,0.35*H467/'Parametros'!$B$4))</f>
        <v>1.01090487769679</v>
      </c>
      <c r="BD467" s="10">
        <f>2*AV467</f>
        <v>0.414406009106219</v>
      </c>
      <c r="BE467" s="10">
        <f>AO467*BB467/AP467</f>
        <v>1.57777777777778</v>
      </c>
      <c r="BF467" s="10">
        <f>SQRT((AI467*1000/(H467*MIN(U467,AB467)))^2+(Q467*1000000*2*((H467-2*('Parametros'!$B$7+'Parametros'!$B$9/2))+(I467-2*('Parametros'!$B$7+'Parametros'!$B$9/2)))/(1.7*((H467-2*('Parametros'!$B$7+'Parametros'!$B$9/2))*(I467-2*('Parametros'!$B$7+'Parametros'!$B$9/2)))^2))^2)</f>
        <v>1.44475009557221</v>
      </c>
      <c r="BG467" s="10">
        <f>'Parametros'!$B$6*(AJ467*1000/(H467*MIN(U467,AB467))+0.66*SQRT('Parametros'!$B$2))</f>
        <v>3.29396038227542</v>
      </c>
      <c r="BH467" s="10" t="str">
        <f>IF(BF467&lt;=BG467,"CUMPLE","NO CUMPLE")</f>
        <v>CUMPLE</v>
      </c>
      <c r="BI467" s="10">
        <f>AX467*'Parametros'!$B$8</f>
        <v>1592</v>
      </c>
      <c r="BJ467" s="10" t="str">
        <f>IF(BI467&gt;=AW467,"CUMPLE","NO CUMPLE")</f>
        <v>CUMPLE</v>
      </c>
    </row>
    <row r="468">
      <c r="A468" s="25" t="inlineStr">
        <is>
          <t>VR2</t>
        </is>
      </c>
      <c r="B468" s="25" t="inlineStr">
        <is>
          <t>963</t>
        </is>
      </c>
      <c r="C468" s="10" t="n">
        <v>1</v>
      </c>
      <c r="D468" s="10" t="n">
        <v>2.2</v>
      </c>
      <c r="E468" s="10" t="n">
        <v>2.2</v>
      </c>
      <c r="F468" s="10" t="n">
        <v>500</v>
      </c>
      <c r="G468" s="10" t="n">
        <v>550</v>
      </c>
      <c r="H468" s="17" t="n">
        <v>500</v>
      </c>
      <c r="I468" s="17" t="n">
        <v>550</v>
      </c>
      <c r="J468" s="30" t="n">
        <v>102.105</v>
      </c>
      <c r="K468" s="10" t="inlineStr">
        <is>
          <t>963</t>
        </is>
      </c>
      <c r="L468" s="30" t="n">
        <v>51.9639</v>
      </c>
      <c r="M468" s="10" t="inlineStr">
        <is>
          <t>963</t>
        </is>
      </c>
      <c r="N468" s="30" t="n">
        <v>88.661</v>
      </c>
      <c r="O468" s="30" t="n">
        <v>161.513</v>
      </c>
      <c r="P468" s="10" t="inlineStr">
        <is>
          <t>963</t>
        </is>
      </c>
      <c r="Q468" s="30" t="n">
        <v>20.0262</v>
      </c>
      <c r="R468" s="10">
        <f>MAX(MAX(1.4/'Parametros'!$B$3,0.25*SQRT('Parametros'!$B$2)/'Parametros'!$B$3)*H468*U468,(0.85*'Parametros'!$B$2/'Parametros'!$B$3)*(1-SQRT(1-2*(J468*1000000/('Parametros'!$B$5*H468*U468^2))/(0.85*'Parametros'!$B$2)))*H468*U468)</f>
        <v>815.583333333333</v>
      </c>
      <c r="S468" s="31" t="n">
        <v>5</v>
      </c>
      <c r="T468" s="32" t="n">
        <v>1</v>
      </c>
      <c r="U468" s="10">
        <f>IF(T468=1,I468-('Parametros'!$B$7+'Parametros'!$B$9+'Parametros'!$B$12/2),I468-(ROUNDUP(S468/2,0)*('Parametros'!$B$7+'Parametros'!$B$9+'Parametros'!$B$12/2)+ROUNDDOWN(S468/2,0)*('Parametros'!$B$7+'Parametros'!$B$9+'Parametros'!$B$12/2+'Parametros'!$B$12+'Parametros'!$B$10))/S468)</f>
        <v>489.35</v>
      </c>
      <c r="V468" s="10">
        <f>S468*'Parametros'!$B$8</f>
        <v>995</v>
      </c>
      <c r="W468" s="10">
        <f>'Parametros'!$B$5*V468*'Parametros'!$B$3*(U468-(V468*'Parametros'!$B$3/(0.85*'Parametros'!$B$2*H468))/2)/1000000</f>
        <v>177.445379382353</v>
      </c>
      <c r="X468" s="10" t="str">
        <f>IF(W468&gt;=J468,"CUMPLE","NO CUMPLE")</f>
        <v>CUMPLE</v>
      </c>
      <c r="Y468" s="10">
        <f>MAX(MAX(1.4/'Parametros'!$B$3,0.25*SQRT('Parametros'!$B$2)/'Parametros'!$B$3)*H468*AB468,(0.85*'Parametros'!$B$2/'Parametros'!$B$3)*(1-SQRT(1-2*(L468*1000000/('Parametros'!$B$5*H468*AB468^2))/(0.85*'Parametros'!$B$2)))*H468*AB468)</f>
        <v>815.583333333333</v>
      </c>
      <c r="Z468" s="31" t="n">
        <v>5</v>
      </c>
      <c r="AA468" s="32" t="n">
        <v>1</v>
      </c>
      <c r="AB468" s="10">
        <f>IF(AA468=1,I468-('Parametros'!$B$7+'Parametros'!$B$9+'Parametros'!$B$12/2),I468-(ROUNDUP(Z468/2,0)*('Parametros'!$B$7+'Parametros'!$B$9+'Parametros'!$B$12/2)+ROUNDDOWN(Z468/2,0)*('Parametros'!$B$7+'Parametros'!$B$9+'Parametros'!$B$12/2+'Parametros'!$B$12+'Parametros'!$B$10))/Z468)</f>
        <v>489.35</v>
      </c>
      <c r="AC468" s="10">
        <f>Z468*'Parametros'!$B$8</f>
        <v>995</v>
      </c>
      <c r="AD468" s="10">
        <f>'Parametros'!$B$5*AC468*'Parametros'!$B$3*(AB468-(AC468*'Parametros'!$B$3/(0.85*'Parametros'!$B$2*H468))/2)/1000000</f>
        <v>177.445379382353</v>
      </c>
      <c r="AE468" s="10" t="str">
        <f>IF(AD468&gt;=L468,"CUMPLE","NO CUMPLE")</f>
        <v>CUMPLE</v>
      </c>
      <c r="AF468" s="10">
        <f>V468*1.25*'Parametros'!$B$3*(U468-(V468*1.25*'Parametros'!$B$3/(0.85*'Parametros'!$B$2*H468))/2)/1000000</f>
        <v>244.158843198529</v>
      </c>
      <c r="AG468" s="10">
        <f>AC468*1.25*'Parametros'!$B$3*(AB468-(AC468*1.25*'Parametros'!$B$3/(0.85*'Parametros'!$B$2*H468))/2)/1000000</f>
        <v>244.158843198529</v>
      </c>
      <c r="AH468" s="10">
        <f>N468+(AF468+AG468)/D468</f>
        <v>310.623584725936</v>
      </c>
      <c r="AI468" s="10">
        <f>MAX(O468,AH468)</f>
        <v>310.623584725936</v>
      </c>
      <c r="AJ468" s="10">
        <f>0.17*SQRT('Parametros'!$B$2)*H468*MIN(U468,AB468)/1000</f>
        <v>220.098728691808</v>
      </c>
      <c r="AK468" s="10">
        <f>MAX(AI468/'Parametros'!$B$6-AJ468,0)</f>
        <v>194.066050942773</v>
      </c>
      <c r="AL468" s="10">
        <f>0.66*SQRT('Parametros'!$B$2)*H468*MIN(U468,AB468)/1000</f>
        <v>854.500946685842</v>
      </c>
      <c r="AM468" s="10" t="str">
        <f>IF(AK468&lt;=AL468,"CUMPLE","NO CUMPLE")</f>
        <v>CUMPLE</v>
      </c>
      <c r="AN468" s="17" t="inlineStr">
        <is>
          <t>Nº3 cerrado</t>
        </is>
      </c>
      <c r="AO468" s="31" t="n">
        <v>2</v>
      </c>
      <c r="AP468" s="10">
        <f>ROUNDDOWN(MIN(IF(BC468+BD468=0,1000000000,AO468*BB468/(BC468+BD468)),MIN(U468,AB468)/4,8*'Parametros'!$B$12,24*BA468,300,IF(AV468=0,1000000000,2*((H468-2*('Parametros'!$B$7+'Parametros'!$B$9/2))+(I468-2*('Parametros'!$B$7+'Parametros'!$B$9/2)))/8))/10,0)*10</f>
        <v>100</v>
      </c>
      <c r="AQ468" s="10">
        <f>ROUNDDOWN(MIN(IF(BC468+BD468=0,1000000000,AO468*BB468/(BC468+BD468)),IF(AK468&gt;0.33*SQRT('Parametros'!$B$2)*H468*MIN(U468,AB468)/1000,MIN(U468,AB468)/4,MIN(U468,AB468)/2),600,IF(AV468=0,1000000000,2*((H468-2*('Parametros'!$B$7+'Parametros'!$B$9/2))+(I468-2*('Parametros'!$B$7+'Parametros'!$B$9/2)))/8))/10,0)*10</f>
        <v>100</v>
      </c>
      <c r="AR468" s="10">
        <f>'Parametros'!$B$6*(AJ468+MAX(BE468-BD468,0)*'Parametros'!$B$4*MIN(U468,AB468)/1000)</f>
        <v>322.061305553756</v>
      </c>
      <c r="AS468" s="10" t="str">
        <f>IF(AND(ISERROR(SEARCH("referencia",AN468)),AM468="CUMPLE",AR468&gt;=AI468),"CUMPLE","NO CUMPLE")</f>
        <v>CUMPLE</v>
      </c>
      <c r="AT468" s="10">
        <f>'Parametros'!$B$6*0.083*SQRT('Parametros'!$B$2)*(H468*I468)^2/(2*(H468+I468))/1000000</f>
        <v>11.862178757599</v>
      </c>
      <c r="AU468" s="10" t="str">
        <f>IF(Q468&lt;=AT468,"DESPRECIABLE","DISEÑAR")</f>
        <v>DISEÑAR</v>
      </c>
      <c r="AV468" s="10">
        <f>IF(Q468&lt;=AT468,0,Q468*1000000/('Parametros'!$B$6*2*0.85*(H468-2*('Parametros'!$B$7+'Parametros'!$B$9/2))*(I468-2*('Parametros'!$B$7+'Parametros'!$B$9/2))*'Parametros'!$B$4))</f>
        <v>0.200781392761374</v>
      </c>
      <c r="AW468" s="10">
        <f>AV468*2*((H468-2*('Parametros'!$B$7+'Parametros'!$B$9/2))+(I468-2*('Parametros'!$B$7+'Parametros'!$B$9/2)))*'Parametros'!$B$4/'Parametros'!$B$3</f>
        <v>347.191184362967</v>
      </c>
      <c r="AX468" s="31" t="n">
        <v>8</v>
      </c>
      <c r="AY468" s="10" t="str">
        <f>IF(AV468=0,"DESPRECIABLE",IF(AND(ISERROR(SEARCH("referencia",AN468)),BB468/AP468&gt;=AV468,BI468&gt;=AW468,BH468="CUMPLE"),"CUMPLE","NO CUMPLE"))</f>
        <v>CUMPLE</v>
      </c>
      <c r="AZ468" s="10" t="str">
        <f>IF(AND(X468="CUMPLE",AE468="CUMPLE",AS468="CUMPLE",OR(AY468="CUMPLE",AY468="DESPRECIABLE"),BH468="CUMPLE",BJ468="CUMPLE"),"CUMPLE","NO CUMPLE")</f>
        <v>CUMPLE</v>
      </c>
      <c r="BA468" s="32" t="n">
        <v>9.5</v>
      </c>
      <c r="BB468" s="32" t="n">
        <v>71</v>
      </c>
      <c r="BC468" s="10">
        <f>MAX(IF(AK468=0,0,AK468*1000/('Parametros'!$B$4*MIN(U468,AB468))),MAX(0.062*SQRT('Parametros'!$B$2)*H468/'Parametros'!$B$4,0.35*H468/'Parametros'!$B$4))</f>
        <v>0.944236284978487</v>
      </c>
      <c r="BD468" s="10">
        <f>2*AV468</f>
        <v>0.401562785522747</v>
      </c>
      <c r="BE468" s="10">
        <f>AO468*BB468/AP468</f>
        <v>1.42</v>
      </c>
      <c r="BF468" s="10">
        <f>SQRT((AI468*1000/(H468*MIN(U468,AB468)))^2+(Q468*1000000*2*((H468-2*('Parametros'!$B$7+'Parametros'!$B$9/2))+(I468-2*('Parametros'!$B$7+'Parametros'!$B$9/2)))/(1.7*((H468-2*('Parametros'!$B$7+'Parametros'!$B$9/2))*(I468-2*('Parametros'!$B$7+'Parametros'!$B$9/2)))^2))^2)</f>
        <v>1.39874532790021</v>
      </c>
      <c r="BG468" s="10">
        <f>'Parametros'!$B$6*(AJ468*1000/(H468*MIN(U468,AB468))+0.66*SQRT('Parametros'!$B$2))</f>
        <v>3.29396038227542</v>
      </c>
      <c r="BH468" s="10" t="str">
        <f>IF(BF468&lt;=BG468,"CUMPLE","NO CUMPLE")</f>
        <v>CUMPLE</v>
      </c>
      <c r="BI468" s="10">
        <f>AX468*'Parametros'!$B$8</f>
        <v>1592</v>
      </c>
      <c r="BJ468" s="10" t="str">
        <f>IF(BI468&gt;=AW468,"CUMPLE","NO CUMPLE")</f>
        <v>CUMPLE</v>
      </c>
    </row>
    <row r="469">
      <c r="A469" s="25" t="inlineStr">
        <is>
          <t>VR2</t>
        </is>
      </c>
      <c r="B469" s="25" t="inlineStr">
        <is>
          <t>964</t>
        </is>
      </c>
      <c r="C469" s="10" t="n">
        <v>1</v>
      </c>
      <c r="D469" s="10" t="n">
        <v>3.57612</v>
      </c>
      <c r="E469" s="10" t="n">
        <v>3.57612</v>
      </c>
      <c r="F469" s="10" t="n">
        <v>500</v>
      </c>
      <c r="G469" s="10" t="n">
        <v>550</v>
      </c>
      <c r="H469" s="17" t="n">
        <v>500</v>
      </c>
      <c r="I469" s="17" t="n">
        <v>550</v>
      </c>
      <c r="J469" s="30" t="n">
        <v>78.563</v>
      </c>
      <c r="K469" s="10" t="inlineStr">
        <is>
          <t>964</t>
        </is>
      </c>
      <c r="L469" s="30" t="n">
        <v>40.8183</v>
      </c>
      <c r="M469" s="10" t="inlineStr">
        <is>
          <t>964</t>
        </is>
      </c>
      <c r="N469" s="30" t="n">
        <v>75.773</v>
      </c>
      <c r="O469" s="30" t="n">
        <v>152.626</v>
      </c>
      <c r="P469" s="10" t="inlineStr">
        <is>
          <t>964</t>
        </is>
      </c>
      <c r="Q469" s="30" t="n">
        <v>8.2865</v>
      </c>
      <c r="R469" s="10">
        <f>MAX(MAX(1.4/'Parametros'!$B$3,0.25*SQRT('Parametros'!$B$2)/'Parametros'!$B$3)*H469*U469,(0.85*'Parametros'!$B$2/'Parametros'!$B$3)*(1-SQRT(1-2*(J469*1000000/('Parametros'!$B$5*H469*U469^2))/(0.85*'Parametros'!$B$2)))*H469*U469)</f>
        <v>815.583333333333</v>
      </c>
      <c r="S469" s="31" t="n">
        <v>5</v>
      </c>
      <c r="T469" s="32" t="n">
        <v>1</v>
      </c>
      <c r="U469" s="10">
        <f>IF(T469=1,I469-('Parametros'!$B$7+'Parametros'!$B$9+'Parametros'!$B$12/2),I469-(ROUNDUP(S469/2,0)*('Parametros'!$B$7+'Parametros'!$B$9+'Parametros'!$B$12/2)+ROUNDDOWN(S469/2,0)*('Parametros'!$B$7+'Parametros'!$B$9+'Parametros'!$B$12/2+'Parametros'!$B$12+'Parametros'!$B$10))/S469)</f>
        <v>489.35</v>
      </c>
      <c r="V469" s="10">
        <f>S469*'Parametros'!$B$8</f>
        <v>995</v>
      </c>
      <c r="W469" s="10">
        <f>'Parametros'!$B$5*V469*'Parametros'!$B$3*(U469-(V469*'Parametros'!$B$3/(0.85*'Parametros'!$B$2*H469))/2)/1000000</f>
        <v>177.445379382353</v>
      </c>
      <c r="X469" s="10" t="str">
        <f>IF(W469&gt;=J469,"CUMPLE","NO CUMPLE")</f>
        <v>CUMPLE</v>
      </c>
      <c r="Y469" s="10">
        <f>MAX(MAX(1.4/'Parametros'!$B$3,0.25*SQRT('Parametros'!$B$2)/'Parametros'!$B$3)*H469*AB469,(0.85*'Parametros'!$B$2/'Parametros'!$B$3)*(1-SQRT(1-2*(L469*1000000/('Parametros'!$B$5*H469*AB469^2))/(0.85*'Parametros'!$B$2)))*H469*AB469)</f>
        <v>815.583333333333</v>
      </c>
      <c r="Z469" s="31" t="n">
        <v>5</v>
      </c>
      <c r="AA469" s="32" t="n">
        <v>1</v>
      </c>
      <c r="AB469" s="10">
        <f>IF(AA469=1,I469-('Parametros'!$B$7+'Parametros'!$B$9+'Parametros'!$B$12/2),I469-(ROUNDUP(Z469/2,0)*('Parametros'!$B$7+'Parametros'!$B$9+'Parametros'!$B$12/2)+ROUNDDOWN(Z469/2,0)*('Parametros'!$B$7+'Parametros'!$B$9+'Parametros'!$B$12/2+'Parametros'!$B$12+'Parametros'!$B$10))/Z469)</f>
        <v>489.35</v>
      </c>
      <c r="AC469" s="10">
        <f>Z469*'Parametros'!$B$8</f>
        <v>995</v>
      </c>
      <c r="AD469" s="10">
        <f>'Parametros'!$B$5*AC469*'Parametros'!$B$3*(AB469-(AC469*'Parametros'!$B$3/(0.85*'Parametros'!$B$2*H469))/2)/1000000</f>
        <v>177.445379382353</v>
      </c>
      <c r="AE469" s="10" t="str">
        <f>IF(AD469&gt;=L469,"CUMPLE","NO CUMPLE")</f>
        <v>CUMPLE</v>
      </c>
      <c r="AF469" s="10">
        <f>V469*1.25*'Parametros'!$B$3*(U469-(V469*1.25*'Parametros'!$B$3/(0.85*'Parametros'!$B$2*H469))/2)/1000000</f>
        <v>244.158843198529</v>
      </c>
      <c r="AG469" s="10">
        <f>AC469*1.25*'Parametros'!$B$3*(AB469-(AC469*1.25*'Parametros'!$B$3/(0.85*'Parametros'!$B$2*H469))/2)/1000000</f>
        <v>244.158843198529</v>
      </c>
      <c r="AH469" s="10">
        <f>N469+(AF469+AG469)/D469</f>
        <v>212.322580662019</v>
      </c>
      <c r="AI469" s="10">
        <f>MAX(O469,AH469)</f>
        <v>212.322580662019</v>
      </c>
      <c r="AJ469" s="10">
        <f>0.17*SQRT('Parametros'!$B$2)*H469*MIN(U469,AB469)/1000</f>
        <v>220.098728691808</v>
      </c>
      <c r="AK469" s="10">
        <f>MAX(AI469/'Parametros'!$B$6-AJ469,0)</f>
        <v>62.9980455242174</v>
      </c>
      <c r="AL469" s="10">
        <f>0.66*SQRT('Parametros'!$B$2)*H469*MIN(U469,AB469)/1000</f>
        <v>854.500946685842</v>
      </c>
      <c r="AM469" s="10" t="str">
        <f>IF(AK469&lt;=AL469,"CUMPLE","NO CUMPLE")</f>
        <v>CUMPLE</v>
      </c>
      <c r="AN469" s="17" t="inlineStr">
        <is>
          <t>Nº3 cerrado</t>
        </is>
      </c>
      <c r="AO469" s="31" t="n">
        <v>2</v>
      </c>
      <c r="AP469" s="10">
        <f>ROUNDDOWN(MIN(IF(BC469+BD469=0,1000000000,AO469*BB469/(BC469+BD469)),MIN(U469,AB469)/4,8*'Parametros'!$B$12,24*BA469,300,IF(AV469=0,1000000000,2*((H469-2*('Parametros'!$B$7+'Parametros'!$B$9/2))+(I469-2*('Parametros'!$B$7+'Parametros'!$B$9/2)))/8))/10,0)*10</f>
        <v>120</v>
      </c>
      <c r="AQ469" s="10">
        <f>ROUNDDOWN(MIN(IF(BC469+BD469=0,1000000000,AO469*BB469/(BC469+BD469)),IF(AK469&gt;0.33*SQRT('Parametros'!$B$2)*H469*MIN(U469,AB469)/1000,MIN(U469,AB469)/4,MIN(U469,AB469)/2),600,IF(AV469=0,1000000000,2*((H469-2*('Parametros'!$B$7+'Parametros'!$B$9/2))+(I469-2*('Parametros'!$B$7+'Parametros'!$B$9/2)))/8))/10,0)*10</f>
        <v>240</v>
      </c>
      <c r="AR469" s="10">
        <f>'Parametros'!$B$6*(AJ469+MAX(BE469-BD469,0)*'Parametros'!$B$4*MIN(U469,AB469)/1000)</f>
        <v>347.479259018856</v>
      </c>
      <c r="AS469" s="10" t="str">
        <f>IF(AND(ISERROR(SEARCH("referencia",AN469)),AM469="CUMPLE",AR469&gt;=AI469),"CUMPLE","NO CUMPLE")</f>
        <v>CUMPLE</v>
      </c>
      <c r="AT469" s="10">
        <f>'Parametros'!$B$6*0.083*SQRT('Parametros'!$B$2)*(H469*I469)^2/(2*(H469+I469))/1000000</f>
        <v>11.862178757599</v>
      </c>
      <c r="AU469" s="10" t="str">
        <f>IF(Q469&lt;=AT469,"DESPRECIABLE","DISEÑAR")</f>
        <v>DESPRECIABLE</v>
      </c>
      <c r="AV469" s="10">
        <f>IF(Q469&lt;=AT469,0,Q469*1000000/('Parametros'!$B$6*2*0.85*(H469-2*('Parametros'!$B$7+'Parametros'!$B$9/2))*(I469-2*('Parametros'!$B$7+'Parametros'!$B$9/2))*'Parametros'!$B$4))</f>
        <v>0</v>
      </c>
      <c r="AW469" s="10">
        <f>AV469*2*((H469-2*('Parametros'!$B$7+'Parametros'!$B$9/2))+(I469-2*('Parametros'!$B$7+'Parametros'!$B$9/2)))*'Parametros'!$B$4/'Parametros'!$B$3</f>
        <v>0</v>
      </c>
      <c r="AX469" s="31" t="n">
        <v>0</v>
      </c>
      <c r="AY469" s="10" t="str">
        <f>IF(AV469=0,"DESPRECIABLE",IF(AND(ISERROR(SEARCH("referencia",AN469)),BB469/AP469&gt;=AV469,BI469&gt;=AW469,BH469="CUMPLE"),"CUMPLE","NO CUMPLE"))</f>
        <v>DESPRECIABLE</v>
      </c>
      <c r="AZ469" s="10" t="str">
        <f>IF(AND(X469="CUMPLE",AE469="CUMPLE",AS469="CUMPLE",OR(AY469="CUMPLE",AY469="DESPRECIABLE"),BH469="CUMPLE",BJ469="CUMPLE"),"CUMPLE","NO CUMPLE")</f>
        <v>CUMPLE</v>
      </c>
      <c r="BA469" s="32" t="n">
        <v>9.5</v>
      </c>
      <c r="BB469" s="32" t="n">
        <v>71</v>
      </c>
      <c r="BC469" s="10">
        <f>MAX(IF(AK469=0,0,AK469*1000/('Parametros'!$B$4*MIN(U469,AB469))),MAX(0.062*SQRT('Parametros'!$B$2)*H469/'Parametros'!$B$4,0.35*H469/'Parametros'!$B$4))</f>
        <v>0.416666666666667</v>
      </c>
      <c r="BD469" s="10">
        <f>2*AV469</f>
        <v>0</v>
      </c>
      <c r="BE469" s="10">
        <f>AO469*BB469/AP469</f>
        <v>1.18333333333333</v>
      </c>
      <c r="BF469" s="10">
        <f>SQRT((AI469*1000/(H469*MIN(U469,AB469)))^2+(Q469*1000000*2*((H469-2*('Parametros'!$B$7+'Parametros'!$B$9/2))+(I469-2*('Parametros'!$B$7+'Parametros'!$B$9/2)))/(1.7*((H469-2*('Parametros'!$B$7+'Parametros'!$B$9/2))*(I469-2*('Parametros'!$B$7+'Parametros'!$B$9/2)))^2))^2)</f>
        <v>0.901144553350921</v>
      </c>
      <c r="BG469" s="10">
        <f>'Parametros'!$B$6*(AJ469*1000/(H469*MIN(U469,AB469))+0.66*SQRT('Parametros'!$B$2))</f>
        <v>3.29396038227542</v>
      </c>
      <c r="BH469" s="10" t="str">
        <f>IF(BF469&lt;=BG469,"CUMPLE","NO CUMPLE")</f>
        <v>CUMPLE</v>
      </c>
      <c r="BI469" s="10">
        <f>AX469*'Parametros'!$B$8</f>
        <v>0</v>
      </c>
      <c r="BJ469" s="10" t="str">
        <f>IF(BI469&gt;=AW469,"CUMPLE","NO CUMPLE")</f>
        <v>CUMPLE</v>
      </c>
    </row>
    <row r="470">
      <c r="A470" s="25" t="inlineStr">
        <is>
          <t>VR2</t>
        </is>
      </c>
      <c r="B470" s="25" t="inlineStr">
        <is>
          <t>965</t>
        </is>
      </c>
      <c r="C470" s="10" t="n">
        <v>1</v>
      </c>
      <c r="D470" s="10" t="n">
        <v>1.9</v>
      </c>
      <c r="E470" s="10" t="n">
        <v>1.9</v>
      </c>
      <c r="F470" s="10" t="n">
        <v>500</v>
      </c>
      <c r="G470" s="10" t="n">
        <v>550</v>
      </c>
      <c r="H470" s="17" t="n">
        <v>500</v>
      </c>
      <c r="I470" s="17" t="n">
        <v>550</v>
      </c>
      <c r="J470" s="30" t="n">
        <v>48.4546</v>
      </c>
      <c r="K470" s="10" t="inlineStr">
        <is>
          <t>965</t>
        </is>
      </c>
      <c r="L470" s="30" t="n">
        <v>11.7108</v>
      </c>
      <c r="M470" s="10" t="inlineStr">
        <is>
          <t>965</t>
        </is>
      </c>
      <c r="N470" s="30" t="n">
        <v>52.395</v>
      </c>
      <c r="O470" s="30" t="n">
        <v>98.196</v>
      </c>
      <c r="P470" s="10" t="inlineStr">
        <is>
          <t>965</t>
        </is>
      </c>
      <c r="Q470" s="30" t="n">
        <v>9.3225</v>
      </c>
      <c r="R470" s="10">
        <f>MAX(MAX(1.4/'Parametros'!$B$3,0.25*SQRT('Parametros'!$B$2)/'Parametros'!$B$3)*H470*U470,(0.85*'Parametros'!$B$2/'Parametros'!$B$3)*(1-SQRT(1-2*(J470*1000000/('Parametros'!$B$5*H470*U470^2))/(0.85*'Parametros'!$B$2)))*H470*U470)</f>
        <v>815.583333333333</v>
      </c>
      <c r="S470" s="31" t="n">
        <v>5</v>
      </c>
      <c r="T470" s="32" t="n">
        <v>1</v>
      </c>
      <c r="U470" s="10">
        <f>IF(T470=1,I470-('Parametros'!$B$7+'Parametros'!$B$9+'Parametros'!$B$12/2),I470-(ROUNDUP(S470/2,0)*('Parametros'!$B$7+'Parametros'!$B$9+'Parametros'!$B$12/2)+ROUNDDOWN(S470/2,0)*('Parametros'!$B$7+'Parametros'!$B$9+'Parametros'!$B$12/2+'Parametros'!$B$12+'Parametros'!$B$10))/S470)</f>
        <v>489.35</v>
      </c>
      <c r="V470" s="10">
        <f>S470*'Parametros'!$B$8</f>
        <v>995</v>
      </c>
      <c r="W470" s="10">
        <f>'Parametros'!$B$5*V470*'Parametros'!$B$3*(U470-(V470*'Parametros'!$B$3/(0.85*'Parametros'!$B$2*H470))/2)/1000000</f>
        <v>177.445379382353</v>
      </c>
      <c r="X470" s="10" t="str">
        <f>IF(W470&gt;=J470,"CUMPLE","NO CUMPLE")</f>
        <v>CUMPLE</v>
      </c>
      <c r="Y470" s="10">
        <f>MAX(MAX(1.4/'Parametros'!$B$3,0.25*SQRT('Parametros'!$B$2)/'Parametros'!$B$3)*H470*AB470,(0.85*'Parametros'!$B$2/'Parametros'!$B$3)*(1-SQRT(1-2*(L470*1000000/('Parametros'!$B$5*H470*AB470^2))/(0.85*'Parametros'!$B$2)))*H470*AB470)</f>
        <v>815.583333333333</v>
      </c>
      <c r="Z470" s="31" t="n">
        <v>5</v>
      </c>
      <c r="AA470" s="32" t="n">
        <v>1</v>
      </c>
      <c r="AB470" s="10">
        <f>IF(AA470=1,I470-('Parametros'!$B$7+'Parametros'!$B$9+'Parametros'!$B$12/2),I470-(ROUNDUP(Z470/2,0)*('Parametros'!$B$7+'Parametros'!$B$9+'Parametros'!$B$12/2)+ROUNDDOWN(Z470/2,0)*('Parametros'!$B$7+'Parametros'!$B$9+'Parametros'!$B$12/2+'Parametros'!$B$12+'Parametros'!$B$10))/Z470)</f>
        <v>489.35</v>
      </c>
      <c r="AC470" s="10">
        <f>Z470*'Parametros'!$B$8</f>
        <v>995</v>
      </c>
      <c r="AD470" s="10">
        <f>'Parametros'!$B$5*AC470*'Parametros'!$B$3*(AB470-(AC470*'Parametros'!$B$3/(0.85*'Parametros'!$B$2*H470))/2)/1000000</f>
        <v>177.445379382353</v>
      </c>
      <c r="AE470" s="10" t="str">
        <f>IF(AD470&gt;=L470,"CUMPLE","NO CUMPLE")</f>
        <v>CUMPLE</v>
      </c>
      <c r="AF470" s="10">
        <f>V470*1.25*'Parametros'!$B$3*(U470-(V470*1.25*'Parametros'!$B$3/(0.85*'Parametros'!$B$2*H470))/2)/1000000</f>
        <v>244.158843198529</v>
      </c>
      <c r="AG470" s="10">
        <f>AC470*1.25*'Parametros'!$B$3*(AB470-(AC470*1.25*'Parametros'!$B$3/(0.85*'Parametros'!$B$2*H470))/2)/1000000</f>
        <v>244.158843198529</v>
      </c>
      <c r="AH470" s="10">
        <f>N470+(AF470+AG470)/D470</f>
        <v>309.404308630031</v>
      </c>
      <c r="AI470" s="10">
        <f>MAX(O470,AH470)</f>
        <v>309.404308630031</v>
      </c>
      <c r="AJ470" s="10">
        <f>0.17*SQRT('Parametros'!$B$2)*H470*MIN(U470,AB470)/1000</f>
        <v>220.098728691808</v>
      </c>
      <c r="AK470" s="10">
        <f>MAX(AI470/'Parametros'!$B$6-AJ470,0)</f>
        <v>192.440349481567</v>
      </c>
      <c r="AL470" s="10">
        <f>0.66*SQRT('Parametros'!$B$2)*H470*MIN(U470,AB470)/1000</f>
        <v>854.500946685842</v>
      </c>
      <c r="AM470" s="10" t="str">
        <f>IF(AK470&lt;=AL470,"CUMPLE","NO CUMPLE")</f>
        <v>CUMPLE</v>
      </c>
      <c r="AN470" s="17" t="inlineStr">
        <is>
          <t>Nº3 cerrado</t>
        </is>
      </c>
      <c r="AO470" s="31" t="n">
        <v>2</v>
      </c>
      <c r="AP470" s="10">
        <f>ROUNDDOWN(MIN(IF(BC470+BD470=0,1000000000,AO470*BB470/(BC470+BD470)),MIN(U470,AB470)/4,8*'Parametros'!$B$12,24*BA470,300,IF(AV470=0,1000000000,2*((H470-2*('Parametros'!$B$7+'Parametros'!$B$9/2))+(I470-2*('Parametros'!$B$7+'Parametros'!$B$9/2)))/8))/10,0)*10</f>
        <v>120</v>
      </c>
      <c r="AQ470" s="10">
        <f>ROUNDDOWN(MIN(IF(BC470+BD470=0,1000000000,AO470*BB470/(BC470+BD470)),IF(AK470&gt;0.33*SQRT('Parametros'!$B$2)*H470*MIN(U470,AB470)/1000,MIN(U470,AB470)/4,MIN(U470,AB470)/2),600,IF(AV470=0,1000000000,2*((H470-2*('Parametros'!$B$7+'Parametros'!$B$9/2))+(I470-2*('Parametros'!$B$7+'Parametros'!$B$9/2)))/8))/10,0)*10</f>
        <v>150</v>
      </c>
      <c r="AR470" s="10">
        <f>'Parametros'!$B$6*(AJ470+MAX(BE470-BD470,0)*'Parametros'!$B$4*MIN(U470,AB470)/1000)</f>
        <v>347.479259018856</v>
      </c>
      <c r="AS470" s="10" t="str">
        <f>IF(AND(ISERROR(SEARCH("referencia",AN470)),AM470="CUMPLE",AR470&gt;=AI470),"CUMPLE","NO CUMPLE")</f>
        <v>CUMPLE</v>
      </c>
      <c r="AT470" s="10">
        <f>'Parametros'!$B$6*0.083*SQRT('Parametros'!$B$2)*(H470*I470)^2/(2*(H470+I470))/1000000</f>
        <v>11.862178757599</v>
      </c>
      <c r="AU470" s="10" t="str">
        <f>IF(Q470&lt;=AT470,"DESPRECIABLE","DISEÑAR")</f>
        <v>DESPRECIABLE</v>
      </c>
      <c r="AV470" s="10">
        <f>IF(Q470&lt;=AT470,0,Q470*1000000/('Parametros'!$B$6*2*0.85*(H470-2*('Parametros'!$B$7+'Parametros'!$B$9/2))*(I470-2*('Parametros'!$B$7+'Parametros'!$B$9/2))*'Parametros'!$B$4))</f>
        <v>0</v>
      </c>
      <c r="AW470" s="10">
        <f>AV470*2*((H470-2*('Parametros'!$B$7+'Parametros'!$B$9/2))+(I470-2*('Parametros'!$B$7+'Parametros'!$B$9/2)))*'Parametros'!$B$4/'Parametros'!$B$3</f>
        <v>0</v>
      </c>
      <c r="AX470" s="31" t="n">
        <v>0</v>
      </c>
      <c r="AY470" s="10" t="str">
        <f>IF(AV470=0,"DESPRECIABLE",IF(AND(ISERROR(SEARCH("referencia",AN470)),BB470/AP470&gt;=AV470,BI470&gt;=AW470,BH470="CUMPLE"),"CUMPLE","NO CUMPLE"))</f>
        <v>DESPRECIABLE</v>
      </c>
      <c r="AZ470" s="10" t="str">
        <f>IF(AND(X470="CUMPLE",AE470="CUMPLE",AS470="CUMPLE",OR(AY470="CUMPLE",AY470="DESPRECIABLE"),BH470="CUMPLE",BJ470="CUMPLE"),"CUMPLE","NO CUMPLE")</f>
        <v>CUMPLE</v>
      </c>
      <c r="BA470" s="32" t="n">
        <v>9.5</v>
      </c>
      <c r="BB470" s="32" t="n">
        <v>71</v>
      </c>
      <c r="BC470" s="10">
        <f>MAX(IF(AK470=0,0,AK470*1000/('Parametros'!$B$4*MIN(U470,AB470))),MAX(0.062*SQRT('Parametros'!$B$2)*H470/'Parametros'!$B$4,0.35*H470/'Parametros'!$B$4))</f>
        <v>0.936326368222018</v>
      </c>
      <c r="BD470" s="10">
        <f>2*AV470</f>
        <v>0</v>
      </c>
      <c r="BE470" s="10">
        <f>AO470*BB470/AP470</f>
        <v>1.18333333333333</v>
      </c>
      <c r="BF470" s="10">
        <f>SQRT((AI470*1000/(H470*MIN(U470,AB470)))^2+(Q470*1000000*2*((H470-2*('Parametros'!$B$7+'Parametros'!$B$9/2))+(I470-2*('Parametros'!$B$7+'Parametros'!$B$9/2)))/(1.7*((H470-2*('Parametros'!$B$7+'Parametros'!$B$9/2))*(I470-2*('Parametros'!$B$7+'Parametros'!$B$9/2)))^2))^2)</f>
        <v>1.2937561772763</v>
      </c>
      <c r="BG470" s="10">
        <f>'Parametros'!$B$6*(AJ470*1000/(H470*MIN(U470,AB470))+0.66*SQRT('Parametros'!$B$2))</f>
        <v>3.29396038227542</v>
      </c>
      <c r="BH470" s="10" t="str">
        <f>IF(BF470&lt;=BG470,"CUMPLE","NO CUMPLE")</f>
        <v>CUMPLE</v>
      </c>
      <c r="BI470" s="10">
        <f>AX470*'Parametros'!$B$8</f>
        <v>0</v>
      </c>
      <c r="BJ470" s="10" t="str">
        <f>IF(BI470&gt;=AW470,"CUMPLE","NO CUMPLE")</f>
        <v>CUMPLE</v>
      </c>
    </row>
    <row r="471">
      <c r="A471" s="25" t="inlineStr">
        <is>
          <t>VR2</t>
        </is>
      </c>
      <c r="B471" s="25" t="inlineStr">
        <is>
          <t>966</t>
        </is>
      </c>
      <c r="C471" s="10" t="n">
        <v>1</v>
      </c>
      <c r="D471" s="10" t="n">
        <v>2</v>
      </c>
      <c r="E471" s="10" t="n">
        <v>2</v>
      </c>
      <c r="F471" s="10" t="n">
        <v>500</v>
      </c>
      <c r="G471" s="10" t="n">
        <v>550</v>
      </c>
      <c r="H471" s="17" t="n">
        <v>500</v>
      </c>
      <c r="I471" s="17" t="n">
        <v>550</v>
      </c>
      <c r="J471" s="30" t="n">
        <v>54.1789</v>
      </c>
      <c r="K471" s="10" t="inlineStr">
        <is>
          <t>966</t>
        </is>
      </c>
      <c r="L471" s="30" t="n">
        <v>18.9661</v>
      </c>
      <c r="M471" s="10" t="inlineStr">
        <is>
          <t>966</t>
        </is>
      </c>
      <c r="N471" s="30" t="n">
        <v>64.19799999999999</v>
      </c>
      <c r="O471" s="30" t="n">
        <v>149.603</v>
      </c>
      <c r="P471" s="10" t="inlineStr">
        <is>
          <t>966</t>
        </is>
      </c>
      <c r="Q471" s="30" t="n">
        <v>21.5734</v>
      </c>
      <c r="R471" s="10">
        <f>MAX(MAX(1.4/'Parametros'!$B$3,0.25*SQRT('Parametros'!$B$2)/'Parametros'!$B$3)*H471*U471,(0.85*'Parametros'!$B$2/'Parametros'!$B$3)*(1-SQRT(1-2*(J471*1000000/('Parametros'!$B$5*H471*U471^2))/(0.85*'Parametros'!$B$2)))*H471*U471)</f>
        <v>815.583333333333</v>
      </c>
      <c r="S471" s="31" t="n">
        <v>5</v>
      </c>
      <c r="T471" s="32" t="n">
        <v>1</v>
      </c>
      <c r="U471" s="10">
        <f>IF(T471=1,I471-('Parametros'!$B$7+'Parametros'!$B$9+'Parametros'!$B$12/2),I471-(ROUNDUP(S471/2,0)*('Parametros'!$B$7+'Parametros'!$B$9+'Parametros'!$B$12/2)+ROUNDDOWN(S471/2,0)*('Parametros'!$B$7+'Parametros'!$B$9+'Parametros'!$B$12/2+'Parametros'!$B$12+'Parametros'!$B$10))/S471)</f>
        <v>489.35</v>
      </c>
      <c r="V471" s="10">
        <f>S471*'Parametros'!$B$8</f>
        <v>995</v>
      </c>
      <c r="W471" s="10">
        <f>'Parametros'!$B$5*V471*'Parametros'!$B$3*(U471-(V471*'Parametros'!$B$3/(0.85*'Parametros'!$B$2*H471))/2)/1000000</f>
        <v>177.445379382353</v>
      </c>
      <c r="X471" s="10" t="str">
        <f>IF(W471&gt;=J471,"CUMPLE","NO CUMPLE")</f>
        <v>CUMPLE</v>
      </c>
      <c r="Y471" s="10">
        <f>MAX(MAX(1.4/'Parametros'!$B$3,0.25*SQRT('Parametros'!$B$2)/'Parametros'!$B$3)*H471*AB471,(0.85*'Parametros'!$B$2/'Parametros'!$B$3)*(1-SQRT(1-2*(L471*1000000/('Parametros'!$B$5*H471*AB471^2))/(0.85*'Parametros'!$B$2)))*H471*AB471)</f>
        <v>815.583333333333</v>
      </c>
      <c r="Z471" s="31" t="n">
        <v>5</v>
      </c>
      <c r="AA471" s="32" t="n">
        <v>1</v>
      </c>
      <c r="AB471" s="10">
        <f>IF(AA471=1,I471-('Parametros'!$B$7+'Parametros'!$B$9+'Parametros'!$B$12/2),I471-(ROUNDUP(Z471/2,0)*('Parametros'!$B$7+'Parametros'!$B$9+'Parametros'!$B$12/2)+ROUNDDOWN(Z471/2,0)*('Parametros'!$B$7+'Parametros'!$B$9+'Parametros'!$B$12/2+'Parametros'!$B$12+'Parametros'!$B$10))/Z471)</f>
        <v>489.35</v>
      </c>
      <c r="AC471" s="10">
        <f>Z471*'Parametros'!$B$8</f>
        <v>995</v>
      </c>
      <c r="AD471" s="10">
        <f>'Parametros'!$B$5*AC471*'Parametros'!$B$3*(AB471-(AC471*'Parametros'!$B$3/(0.85*'Parametros'!$B$2*H471))/2)/1000000</f>
        <v>177.445379382353</v>
      </c>
      <c r="AE471" s="10" t="str">
        <f>IF(AD471&gt;=L471,"CUMPLE","NO CUMPLE")</f>
        <v>CUMPLE</v>
      </c>
      <c r="AF471" s="10">
        <f>V471*1.25*'Parametros'!$B$3*(U471-(V471*1.25*'Parametros'!$B$3/(0.85*'Parametros'!$B$2*H471))/2)/1000000</f>
        <v>244.158843198529</v>
      </c>
      <c r="AG471" s="10">
        <f>AC471*1.25*'Parametros'!$B$3*(AB471-(AC471*1.25*'Parametros'!$B$3/(0.85*'Parametros'!$B$2*H471))/2)/1000000</f>
        <v>244.158843198529</v>
      </c>
      <c r="AH471" s="10">
        <f>N471+(AF471+AG471)/D471</f>
        <v>308.356843198529</v>
      </c>
      <c r="AI471" s="10">
        <f>MAX(O471,AH471)</f>
        <v>308.356843198529</v>
      </c>
      <c r="AJ471" s="10">
        <f>0.17*SQRT('Parametros'!$B$2)*H471*MIN(U471,AB471)/1000</f>
        <v>220.098728691808</v>
      </c>
      <c r="AK471" s="10">
        <f>MAX(AI471/'Parametros'!$B$6-AJ471,0)</f>
        <v>191.043728906231</v>
      </c>
      <c r="AL471" s="10">
        <f>0.66*SQRT('Parametros'!$B$2)*H471*MIN(U471,AB471)/1000</f>
        <v>854.500946685842</v>
      </c>
      <c r="AM471" s="10" t="str">
        <f>IF(AK471&lt;=AL471,"CUMPLE","NO CUMPLE")</f>
        <v>CUMPLE</v>
      </c>
      <c r="AN471" s="17" t="inlineStr">
        <is>
          <t>Nº3 cerrado</t>
        </is>
      </c>
      <c r="AO471" s="31" t="n">
        <v>2</v>
      </c>
      <c r="AP471" s="10">
        <f>ROUNDDOWN(MIN(IF(BC471+BD471=0,1000000000,AO471*BB471/(BC471+BD471)),MIN(U471,AB471)/4,8*'Parametros'!$B$12,24*BA471,300,IF(AV471=0,1000000000,2*((H471-2*('Parametros'!$B$7+'Parametros'!$B$9/2))+(I471-2*('Parametros'!$B$7+'Parametros'!$B$9/2)))/8))/10,0)*10</f>
        <v>100</v>
      </c>
      <c r="AQ471" s="10">
        <f>ROUNDDOWN(MIN(IF(BC471+BD471=0,1000000000,AO471*BB471/(BC471+BD471)),IF(AK471&gt;0.33*SQRT('Parametros'!$B$2)*H471*MIN(U471,AB471)/1000,MIN(U471,AB471)/4,MIN(U471,AB471)/2),600,IF(AV471=0,1000000000,2*((H471-2*('Parametros'!$B$7+'Parametros'!$B$9/2))+(I471-2*('Parametros'!$B$7+'Parametros'!$B$9/2)))/8))/10,0)*10</f>
        <v>100</v>
      </c>
      <c r="AR471" s="10">
        <f>'Parametros'!$B$6*(AJ471+MAX(BE471-BD471,0)*'Parametros'!$B$4*MIN(U471,AB471)/1000)</f>
        <v>317.27906396238</v>
      </c>
      <c r="AS471" s="10" t="str">
        <f>IF(AND(ISERROR(SEARCH("referencia",AN471)),AM471="CUMPLE",AR471&gt;=AI471),"CUMPLE","NO CUMPLE")</f>
        <v>CUMPLE</v>
      </c>
      <c r="AT471" s="10">
        <f>'Parametros'!$B$6*0.083*SQRT('Parametros'!$B$2)*(H471*I471)^2/(2*(H471+I471))/1000000</f>
        <v>11.862178757599</v>
      </c>
      <c r="AU471" s="10" t="str">
        <f>IF(Q471&lt;=AT471,"DESPRECIABLE","DISEÑAR")</f>
        <v>DISEÑAR</v>
      </c>
      <c r="AV471" s="10">
        <f>IF(Q471&lt;=AT471,0,Q471*1000000/('Parametros'!$B$6*2*0.85*(H471-2*('Parametros'!$B$7+'Parametros'!$B$9/2))*(I471-2*('Parametros'!$B$7+'Parametros'!$B$9/2))*'Parametros'!$B$4))</f>
        <v>0.216293520418163</v>
      </c>
      <c r="AW471" s="10">
        <f>AV471*2*((H471-2*('Parametros'!$B$7+'Parametros'!$B$9/2))+(I471-2*('Parametros'!$B$7+'Parametros'!$B$9/2)))*'Parametros'!$B$4/'Parametros'!$B$3</f>
        <v>374.014755507088</v>
      </c>
      <c r="AX471" s="31" t="n">
        <v>8</v>
      </c>
      <c r="AY471" s="10" t="str">
        <f>IF(AV471=0,"DESPRECIABLE",IF(AND(ISERROR(SEARCH("referencia",AN471)),BB471/AP471&gt;=AV471,BI471&gt;=AW471,BH471="CUMPLE"),"CUMPLE","NO CUMPLE"))</f>
        <v>CUMPLE</v>
      </c>
      <c r="AZ471" s="10" t="str">
        <f>IF(AND(X471="CUMPLE",AE471="CUMPLE",AS471="CUMPLE",OR(AY471="CUMPLE",AY471="DESPRECIABLE"),BH471="CUMPLE",BJ471="CUMPLE"),"CUMPLE","NO CUMPLE")</f>
        <v>CUMPLE</v>
      </c>
      <c r="BA471" s="32" t="n">
        <v>9.5</v>
      </c>
      <c r="BB471" s="32" t="n">
        <v>71</v>
      </c>
      <c r="BC471" s="10">
        <f>MAX(IF(AK471=0,0,AK471*1000/('Parametros'!$B$4*MIN(U471,AB471))),MAX(0.062*SQRT('Parametros'!$B$2)*H471/'Parametros'!$B$4,0.35*H471/'Parametros'!$B$4))</f>
        <v>0.929531053857797</v>
      </c>
      <c r="BD471" s="10">
        <f>2*AV471</f>
        <v>0.432587040836326</v>
      </c>
      <c r="BE471" s="10">
        <f>AO471*BB471/AP471</f>
        <v>1.42</v>
      </c>
      <c r="BF471" s="10">
        <f>SQRT((AI471*1000/(H471*MIN(U471,AB471)))^2+(Q471*1000000*2*((H471-2*('Parametros'!$B$7+'Parametros'!$B$9/2))+(I471-2*('Parametros'!$B$7+'Parametros'!$B$9/2)))/(1.7*((H471-2*('Parametros'!$B$7+'Parametros'!$B$9/2))*(I471-2*('Parametros'!$B$7+'Parametros'!$B$9/2)))^2))^2)</f>
        <v>1.41010009105277</v>
      </c>
      <c r="BG471" s="10">
        <f>'Parametros'!$B$6*(AJ471*1000/(H471*MIN(U471,AB471))+0.66*SQRT('Parametros'!$B$2))</f>
        <v>3.29396038227542</v>
      </c>
      <c r="BH471" s="10" t="str">
        <f>IF(BF471&lt;=BG471,"CUMPLE","NO CUMPLE")</f>
        <v>CUMPLE</v>
      </c>
      <c r="BI471" s="10">
        <f>AX471*'Parametros'!$B$8</f>
        <v>1592</v>
      </c>
      <c r="BJ471" s="10" t="str">
        <f>IF(BI471&gt;=AW471,"CUMPLE","NO CUMPLE")</f>
        <v>CUMPLE</v>
      </c>
    </row>
    <row r="472">
      <c r="A472" s="25" t="inlineStr">
        <is>
          <t>VR2</t>
        </is>
      </c>
      <c r="B472" s="25" t="inlineStr">
        <is>
          <t>967</t>
        </is>
      </c>
      <c r="C472" s="10" t="n">
        <v>1</v>
      </c>
      <c r="D472" s="10" t="n">
        <v>3.05308</v>
      </c>
      <c r="E472" s="10" t="n">
        <v>3.05308</v>
      </c>
      <c r="F472" s="10" t="n">
        <v>500</v>
      </c>
      <c r="G472" s="10" t="n">
        <v>550</v>
      </c>
      <c r="H472" s="17" t="n">
        <v>500</v>
      </c>
      <c r="I472" s="17" t="n">
        <v>550</v>
      </c>
      <c r="J472" s="30" t="n">
        <v>82.1788</v>
      </c>
      <c r="K472" s="10" t="inlineStr">
        <is>
          <t>967</t>
        </is>
      </c>
      <c r="L472" s="30" t="n">
        <v>43.981</v>
      </c>
      <c r="M472" s="10" t="inlineStr">
        <is>
          <t>967</t>
        </is>
      </c>
      <c r="N472" s="30" t="n">
        <v>84.245</v>
      </c>
      <c r="O472" s="30" t="n">
        <v>166.216</v>
      </c>
      <c r="P472" s="10" t="inlineStr">
        <is>
          <t>967</t>
        </is>
      </c>
      <c r="Q472" s="30" t="n">
        <v>26.3221</v>
      </c>
      <c r="R472" s="10">
        <f>MAX(MAX(1.4/'Parametros'!$B$3,0.25*SQRT('Parametros'!$B$2)/'Parametros'!$B$3)*H472*U472,(0.85*'Parametros'!$B$2/'Parametros'!$B$3)*(1-SQRT(1-2*(J472*1000000/('Parametros'!$B$5*H472*U472^2))/(0.85*'Parametros'!$B$2)))*H472*U472)</f>
        <v>815.583333333333</v>
      </c>
      <c r="S472" s="31" t="n">
        <v>5</v>
      </c>
      <c r="T472" s="32" t="n">
        <v>1</v>
      </c>
      <c r="U472" s="10">
        <f>IF(T472=1,I472-('Parametros'!$B$7+'Parametros'!$B$9+'Parametros'!$B$12/2),I472-(ROUNDUP(S472/2,0)*('Parametros'!$B$7+'Parametros'!$B$9+'Parametros'!$B$12/2)+ROUNDDOWN(S472/2,0)*('Parametros'!$B$7+'Parametros'!$B$9+'Parametros'!$B$12/2+'Parametros'!$B$12+'Parametros'!$B$10))/S472)</f>
        <v>489.35</v>
      </c>
      <c r="V472" s="10">
        <f>S472*'Parametros'!$B$8</f>
        <v>995</v>
      </c>
      <c r="W472" s="10">
        <f>'Parametros'!$B$5*V472*'Parametros'!$B$3*(U472-(V472*'Parametros'!$B$3/(0.85*'Parametros'!$B$2*H472))/2)/1000000</f>
        <v>177.445379382353</v>
      </c>
      <c r="X472" s="10" t="str">
        <f>IF(W472&gt;=J472,"CUMPLE","NO CUMPLE")</f>
        <v>CUMPLE</v>
      </c>
      <c r="Y472" s="10">
        <f>MAX(MAX(1.4/'Parametros'!$B$3,0.25*SQRT('Parametros'!$B$2)/'Parametros'!$B$3)*H472*AB472,(0.85*'Parametros'!$B$2/'Parametros'!$B$3)*(1-SQRT(1-2*(L472*1000000/('Parametros'!$B$5*H472*AB472^2))/(0.85*'Parametros'!$B$2)))*H472*AB472)</f>
        <v>815.583333333333</v>
      </c>
      <c r="Z472" s="31" t="n">
        <v>5</v>
      </c>
      <c r="AA472" s="32" t="n">
        <v>1</v>
      </c>
      <c r="AB472" s="10">
        <f>IF(AA472=1,I472-('Parametros'!$B$7+'Parametros'!$B$9+'Parametros'!$B$12/2),I472-(ROUNDUP(Z472/2,0)*('Parametros'!$B$7+'Parametros'!$B$9+'Parametros'!$B$12/2)+ROUNDDOWN(Z472/2,0)*('Parametros'!$B$7+'Parametros'!$B$9+'Parametros'!$B$12/2+'Parametros'!$B$12+'Parametros'!$B$10))/Z472)</f>
        <v>489.35</v>
      </c>
      <c r="AC472" s="10">
        <f>Z472*'Parametros'!$B$8</f>
        <v>995</v>
      </c>
      <c r="AD472" s="10">
        <f>'Parametros'!$B$5*AC472*'Parametros'!$B$3*(AB472-(AC472*'Parametros'!$B$3/(0.85*'Parametros'!$B$2*H472))/2)/1000000</f>
        <v>177.445379382353</v>
      </c>
      <c r="AE472" s="10" t="str">
        <f>IF(AD472&gt;=L472,"CUMPLE","NO CUMPLE")</f>
        <v>CUMPLE</v>
      </c>
      <c r="AF472" s="10">
        <f>V472*1.25*'Parametros'!$B$3*(U472-(V472*1.25*'Parametros'!$B$3/(0.85*'Parametros'!$B$2*H472))/2)/1000000</f>
        <v>244.158843198529</v>
      </c>
      <c r="AG472" s="10">
        <f>AC472*1.25*'Parametros'!$B$3*(AB472-(AC472*1.25*'Parametros'!$B$3/(0.85*'Parametros'!$B$2*H472))/2)/1000000</f>
        <v>244.158843198529</v>
      </c>
      <c r="AH472" s="10">
        <f>N472+(AF472+AG472)/D472</f>
        <v>244.18764362449</v>
      </c>
      <c r="AI472" s="10">
        <f>MAX(O472,AH472)</f>
        <v>244.18764362449</v>
      </c>
      <c r="AJ472" s="10">
        <f>0.17*SQRT('Parametros'!$B$2)*H472*MIN(U472,AB472)/1000</f>
        <v>220.098728691808</v>
      </c>
      <c r="AK472" s="10">
        <f>MAX(AI472/'Parametros'!$B$6-AJ472,0)</f>
        <v>105.484796140846</v>
      </c>
      <c r="AL472" s="10">
        <f>0.66*SQRT('Parametros'!$B$2)*H472*MIN(U472,AB472)/1000</f>
        <v>854.500946685842</v>
      </c>
      <c r="AM472" s="10" t="str">
        <f>IF(AK472&lt;=AL472,"CUMPLE","NO CUMPLE")</f>
        <v>CUMPLE</v>
      </c>
      <c r="AN472" s="17" t="inlineStr">
        <is>
          <t>Nº3 cerrado</t>
        </is>
      </c>
      <c r="AO472" s="31" t="n">
        <v>2</v>
      </c>
      <c r="AP472" s="10">
        <f>ROUNDDOWN(MIN(IF(BC472+BD472=0,1000000000,AO472*BB472/(BC472+BD472)),MIN(U472,AB472)/4,8*'Parametros'!$B$12,24*BA472,300,IF(AV472=0,1000000000,2*((H472-2*('Parametros'!$B$7+'Parametros'!$B$9/2))+(I472-2*('Parametros'!$B$7+'Parametros'!$B$9/2)))/8))/10,0)*10</f>
        <v>120</v>
      </c>
      <c r="AQ472" s="10">
        <f>ROUNDDOWN(MIN(IF(BC472+BD472=0,1000000000,AO472*BB472/(BC472+BD472)),IF(AK472&gt;0.33*SQRT('Parametros'!$B$2)*H472*MIN(U472,AB472)/1000,MIN(U472,AB472)/4,MIN(U472,AB472)/2),600,IF(AV472=0,1000000000,2*((H472-2*('Parametros'!$B$7+'Parametros'!$B$9/2))+(I472-2*('Parametros'!$B$7+'Parametros'!$B$9/2)))/8))/10,0)*10</f>
        <v>130</v>
      </c>
      <c r="AR472" s="10">
        <f>'Parametros'!$B$6*(AJ472+MAX(BE472-BD472,0)*'Parametros'!$B$4*MIN(U472,AB472)/1000)</f>
        <v>266.120261221322</v>
      </c>
      <c r="AS472" s="10" t="str">
        <f>IF(AND(ISERROR(SEARCH("referencia",AN472)),AM472="CUMPLE",AR472&gt;=AI472),"CUMPLE","NO CUMPLE")</f>
        <v>CUMPLE</v>
      </c>
      <c r="AT472" s="10">
        <f>'Parametros'!$B$6*0.083*SQRT('Parametros'!$B$2)*(H472*I472)^2/(2*(H472+I472))/1000000</f>
        <v>11.862178757599</v>
      </c>
      <c r="AU472" s="10" t="str">
        <f>IF(Q472&lt;=AT472,"DESPRECIABLE","DISEÑAR")</f>
        <v>DISEÑAR</v>
      </c>
      <c r="AV472" s="10">
        <f>IF(Q472&lt;=AT472,0,Q472*1000000/('Parametros'!$B$6*2*0.85*(H472-2*('Parametros'!$B$7+'Parametros'!$B$9/2))*(I472-2*('Parametros'!$B$7+'Parametros'!$B$9/2))*'Parametros'!$B$4))</f>
        <v>0.263903681097969</v>
      </c>
      <c r="AW472" s="10">
        <f>AV472*2*((H472-2*('Parametros'!$B$7+'Parametros'!$B$9/2))+(I472-2*('Parametros'!$B$7+'Parametros'!$B$9/2)))*'Parametros'!$B$4/'Parametros'!$B$3</f>
        <v>456.342245354608</v>
      </c>
      <c r="AX472" s="31" t="n">
        <v>8</v>
      </c>
      <c r="AY472" s="10" t="str">
        <f>IF(AV472=0,"DESPRECIABLE",IF(AND(ISERROR(SEARCH("referencia",AN472)),BB472/AP472&gt;=AV472,BI472&gt;=AW472,BH472="CUMPLE"),"CUMPLE","NO CUMPLE"))</f>
        <v>CUMPLE</v>
      </c>
      <c r="AZ472" s="10" t="str">
        <f>IF(AND(X472="CUMPLE",AE472="CUMPLE",AS472="CUMPLE",OR(AY472="CUMPLE",AY472="DESPRECIABLE"),BH472="CUMPLE",BJ472="CUMPLE"),"CUMPLE","NO CUMPLE")</f>
        <v>CUMPLE</v>
      </c>
      <c r="BA472" s="32" t="n">
        <v>9.5</v>
      </c>
      <c r="BB472" s="32" t="n">
        <v>71</v>
      </c>
      <c r="BC472" s="10">
        <f>MAX(IF(AK472=0,0,AK472*1000/('Parametros'!$B$4*MIN(U472,AB472))),MAX(0.062*SQRT('Parametros'!$B$2)*H472/'Parametros'!$B$4,0.35*H472/'Parametros'!$B$4))</f>
        <v>0.513240577349185</v>
      </c>
      <c r="BD472" s="10">
        <f>2*AV472</f>
        <v>0.527807362195938</v>
      </c>
      <c r="BE472" s="10">
        <f>AO472*BB472/AP472</f>
        <v>1.18333333333333</v>
      </c>
      <c r="BF472" s="10">
        <f>SQRT((AI472*1000/(H472*MIN(U472,AB472)))^2+(Q472*1000000*2*((H472-2*('Parametros'!$B$7+'Parametros'!$B$9/2))+(I472-2*('Parametros'!$B$7+'Parametros'!$B$9/2)))/(1.7*((H472-2*('Parametros'!$B$7+'Parametros'!$B$9/2))*(I472-2*('Parametros'!$B$7+'Parametros'!$B$9/2)))^2))^2)</f>
        <v>1.26160332702682</v>
      </c>
      <c r="BG472" s="10">
        <f>'Parametros'!$B$6*(AJ472*1000/(H472*MIN(U472,AB472))+0.66*SQRT('Parametros'!$B$2))</f>
        <v>3.29396038227542</v>
      </c>
      <c r="BH472" s="10" t="str">
        <f>IF(BF472&lt;=BG472,"CUMPLE","NO CUMPLE")</f>
        <v>CUMPLE</v>
      </c>
      <c r="BI472" s="10">
        <f>AX472*'Parametros'!$B$8</f>
        <v>1592</v>
      </c>
      <c r="BJ472" s="10" t="str">
        <f>IF(BI472&gt;=AW472,"CUMPLE","NO CUMPLE")</f>
        <v>CUMPLE</v>
      </c>
    </row>
    <row r="473">
      <c r="A473" s="25" t="inlineStr">
        <is>
          <t>VR2</t>
        </is>
      </c>
      <c r="B473" s="25" t="inlineStr">
        <is>
          <t>968</t>
        </is>
      </c>
      <c r="C473" s="10" t="n">
        <v>1</v>
      </c>
      <c r="D473" s="10" t="n">
        <v>2</v>
      </c>
      <c r="E473" s="10" t="n">
        <v>2</v>
      </c>
      <c r="F473" s="10" t="n">
        <v>500</v>
      </c>
      <c r="G473" s="10" t="n">
        <v>550</v>
      </c>
      <c r="H473" s="17" t="n">
        <v>500</v>
      </c>
      <c r="I473" s="17" t="n">
        <v>550</v>
      </c>
      <c r="J473" s="30" t="n">
        <v>61.7507</v>
      </c>
      <c r="K473" s="10" t="inlineStr">
        <is>
          <t>968</t>
        </is>
      </c>
      <c r="L473" s="30" t="n">
        <v>4.8132</v>
      </c>
      <c r="M473" s="10" t="inlineStr">
        <is>
          <t>968</t>
        </is>
      </c>
      <c r="N473" s="30" t="n">
        <v>57.275</v>
      </c>
      <c r="O473" s="30" t="n">
        <v>78.875</v>
      </c>
      <c r="P473" s="10" t="inlineStr">
        <is>
          <t>968</t>
        </is>
      </c>
      <c r="Q473" s="30" t="n">
        <v>2.5237</v>
      </c>
      <c r="R473" s="10">
        <f>MAX(MAX(1.4/'Parametros'!$B$3,0.25*SQRT('Parametros'!$B$2)/'Parametros'!$B$3)*H473*U473,(0.85*'Parametros'!$B$2/'Parametros'!$B$3)*(1-SQRT(1-2*(J473*1000000/('Parametros'!$B$5*H473*U473^2))/(0.85*'Parametros'!$B$2)))*H473*U473)</f>
        <v>815.583333333333</v>
      </c>
      <c r="S473" s="31" t="n">
        <v>5</v>
      </c>
      <c r="T473" s="32" t="n">
        <v>1</v>
      </c>
      <c r="U473" s="10">
        <f>IF(T473=1,I473-('Parametros'!$B$7+'Parametros'!$B$9+'Parametros'!$B$12/2),I473-(ROUNDUP(S473/2,0)*('Parametros'!$B$7+'Parametros'!$B$9+'Parametros'!$B$12/2)+ROUNDDOWN(S473/2,0)*('Parametros'!$B$7+'Parametros'!$B$9+'Parametros'!$B$12/2+'Parametros'!$B$12+'Parametros'!$B$10))/S473)</f>
        <v>489.35</v>
      </c>
      <c r="V473" s="10">
        <f>S473*'Parametros'!$B$8</f>
        <v>995</v>
      </c>
      <c r="W473" s="10">
        <f>'Parametros'!$B$5*V473*'Parametros'!$B$3*(U473-(V473*'Parametros'!$B$3/(0.85*'Parametros'!$B$2*H473))/2)/1000000</f>
        <v>177.445379382353</v>
      </c>
      <c r="X473" s="10" t="str">
        <f>IF(W473&gt;=J473,"CUMPLE","NO CUMPLE")</f>
        <v>CUMPLE</v>
      </c>
      <c r="Y473" s="10">
        <f>MAX(MAX(1.4/'Parametros'!$B$3,0.25*SQRT('Parametros'!$B$2)/'Parametros'!$B$3)*H473*AB473,(0.85*'Parametros'!$B$2/'Parametros'!$B$3)*(1-SQRT(1-2*(L473*1000000/('Parametros'!$B$5*H473*AB473^2))/(0.85*'Parametros'!$B$2)))*H473*AB473)</f>
        <v>815.583333333333</v>
      </c>
      <c r="Z473" s="31" t="n">
        <v>5</v>
      </c>
      <c r="AA473" s="32" t="n">
        <v>1</v>
      </c>
      <c r="AB473" s="10">
        <f>IF(AA473=1,I473-('Parametros'!$B$7+'Parametros'!$B$9+'Parametros'!$B$12/2),I473-(ROUNDUP(Z473/2,0)*('Parametros'!$B$7+'Parametros'!$B$9+'Parametros'!$B$12/2)+ROUNDDOWN(Z473/2,0)*('Parametros'!$B$7+'Parametros'!$B$9+'Parametros'!$B$12/2+'Parametros'!$B$12+'Parametros'!$B$10))/Z473)</f>
        <v>489.35</v>
      </c>
      <c r="AC473" s="10">
        <f>Z473*'Parametros'!$B$8</f>
        <v>995</v>
      </c>
      <c r="AD473" s="10">
        <f>'Parametros'!$B$5*AC473*'Parametros'!$B$3*(AB473-(AC473*'Parametros'!$B$3/(0.85*'Parametros'!$B$2*H473))/2)/1000000</f>
        <v>177.445379382353</v>
      </c>
      <c r="AE473" s="10" t="str">
        <f>IF(AD473&gt;=L473,"CUMPLE","NO CUMPLE")</f>
        <v>CUMPLE</v>
      </c>
      <c r="AF473" s="10">
        <f>V473*1.25*'Parametros'!$B$3*(U473-(V473*1.25*'Parametros'!$B$3/(0.85*'Parametros'!$B$2*H473))/2)/1000000</f>
        <v>244.158843198529</v>
      </c>
      <c r="AG473" s="10">
        <f>AC473*1.25*'Parametros'!$B$3*(AB473-(AC473*1.25*'Parametros'!$B$3/(0.85*'Parametros'!$B$2*H473))/2)/1000000</f>
        <v>244.158843198529</v>
      </c>
      <c r="AH473" s="10">
        <f>N473+(AF473+AG473)/D473</f>
        <v>301.433843198529</v>
      </c>
      <c r="AI473" s="10">
        <f>MAX(O473,AH473)</f>
        <v>301.433843198529</v>
      </c>
      <c r="AJ473" s="10">
        <f>0.17*SQRT('Parametros'!$B$2)*H473*MIN(U473,AB473)/1000</f>
        <v>220.098728691808</v>
      </c>
      <c r="AK473" s="10">
        <f>MAX(AI473/'Parametros'!$B$6-AJ473,0)</f>
        <v>181.813062239565</v>
      </c>
      <c r="AL473" s="10">
        <f>0.66*SQRT('Parametros'!$B$2)*H473*MIN(U473,AB473)/1000</f>
        <v>854.500946685842</v>
      </c>
      <c r="AM473" s="10" t="str">
        <f>IF(AK473&lt;=AL473,"CUMPLE","NO CUMPLE")</f>
        <v>CUMPLE</v>
      </c>
      <c r="AN473" s="17" t="inlineStr">
        <is>
          <t>Nº3 cerrado</t>
        </is>
      </c>
      <c r="AO473" s="31" t="n">
        <v>2</v>
      </c>
      <c r="AP473" s="10">
        <f>ROUNDDOWN(MIN(IF(BC473+BD473=0,1000000000,AO473*BB473/(BC473+BD473)),MIN(U473,AB473)/4,8*'Parametros'!$B$12,24*BA473,300,IF(AV473=0,1000000000,2*((H473-2*('Parametros'!$B$7+'Parametros'!$B$9/2))+(I473-2*('Parametros'!$B$7+'Parametros'!$B$9/2)))/8))/10,0)*10</f>
        <v>120</v>
      </c>
      <c r="AQ473" s="10">
        <f>ROUNDDOWN(MIN(IF(BC473+BD473=0,1000000000,AO473*BB473/(BC473+BD473)),IF(AK473&gt;0.33*SQRT('Parametros'!$B$2)*H473*MIN(U473,AB473)/1000,MIN(U473,AB473)/4,MIN(U473,AB473)/2),600,IF(AV473=0,1000000000,2*((H473-2*('Parametros'!$B$7+'Parametros'!$B$9/2))+(I473-2*('Parametros'!$B$7+'Parametros'!$B$9/2)))/8))/10,0)*10</f>
        <v>160</v>
      </c>
      <c r="AR473" s="10">
        <f>'Parametros'!$B$6*(AJ473+MAX(BE473-BD473,0)*'Parametros'!$B$4*MIN(U473,AB473)/1000)</f>
        <v>347.479259018856</v>
      </c>
      <c r="AS473" s="10" t="str">
        <f>IF(AND(ISERROR(SEARCH("referencia",AN473)),AM473="CUMPLE",AR473&gt;=AI473),"CUMPLE","NO CUMPLE")</f>
        <v>CUMPLE</v>
      </c>
      <c r="AT473" s="10">
        <f>'Parametros'!$B$6*0.083*SQRT('Parametros'!$B$2)*(H473*I473)^2/(2*(H473+I473))/1000000</f>
        <v>11.862178757599</v>
      </c>
      <c r="AU473" s="10" t="str">
        <f>IF(Q473&lt;=AT473,"DESPRECIABLE","DISEÑAR")</f>
        <v>DESPRECIABLE</v>
      </c>
      <c r="AV473" s="10">
        <f>IF(Q473&lt;=AT473,0,Q473*1000000/('Parametros'!$B$6*2*0.85*(H473-2*('Parametros'!$B$7+'Parametros'!$B$9/2))*(I473-2*('Parametros'!$B$7+'Parametros'!$B$9/2))*'Parametros'!$B$4))</f>
        <v>0</v>
      </c>
      <c r="AW473" s="10">
        <f>AV473*2*((H473-2*('Parametros'!$B$7+'Parametros'!$B$9/2))+(I473-2*('Parametros'!$B$7+'Parametros'!$B$9/2)))*'Parametros'!$B$4/'Parametros'!$B$3</f>
        <v>0</v>
      </c>
      <c r="AX473" s="31" t="n">
        <v>0</v>
      </c>
      <c r="AY473" s="10" t="str">
        <f>IF(AV473=0,"DESPRECIABLE",IF(AND(ISERROR(SEARCH("referencia",AN473)),BB473/AP473&gt;=AV473,BI473&gt;=AW473,BH473="CUMPLE"),"CUMPLE","NO CUMPLE"))</f>
        <v>DESPRECIABLE</v>
      </c>
      <c r="AZ473" s="10" t="str">
        <f>IF(AND(X473="CUMPLE",AE473="CUMPLE",AS473="CUMPLE",OR(AY473="CUMPLE",AY473="DESPRECIABLE"),BH473="CUMPLE",BJ473="CUMPLE"),"CUMPLE","NO CUMPLE")</f>
        <v>CUMPLE</v>
      </c>
      <c r="BA473" s="32" t="n">
        <v>9.5</v>
      </c>
      <c r="BB473" s="32" t="n">
        <v>71</v>
      </c>
      <c r="BC473" s="10">
        <f>MAX(IF(AK473=0,0,AK473*1000/('Parametros'!$B$4*MIN(U473,AB473))),MAX(0.062*SQRT('Parametros'!$B$2)*H473/'Parametros'!$B$4,0.35*H473/'Parametros'!$B$4))</f>
        <v>0.884618868759651</v>
      </c>
      <c r="BD473" s="10">
        <f>2*AV473</f>
        <v>0</v>
      </c>
      <c r="BE473" s="10">
        <f>AO473*BB473/AP473</f>
        <v>1.18333333333333</v>
      </c>
      <c r="BF473" s="10">
        <f>SQRT((AI473*1000/(H473*MIN(U473,AB473)))^2+(Q473*1000000*2*((H473-2*('Parametros'!$B$7+'Parametros'!$B$9/2))+(I473-2*('Parametros'!$B$7+'Parametros'!$B$9/2)))/(1.7*((H473-2*('Parametros'!$B$7+'Parametros'!$B$9/2))*(I473-2*('Parametros'!$B$7+'Parametros'!$B$9/2)))^2))^2)</f>
        <v>1.23419662035142</v>
      </c>
      <c r="BG473" s="10">
        <f>'Parametros'!$B$6*(AJ473*1000/(H473*MIN(U473,AB473))+0.66*SQRT('Parametros'!$B$2))</f>
        <v>3.29396038227542</v>
      </c>
      <c r="BH473" s="10" t="str">
        <f>IF(BF473&lt;=BG473,"CUMPLE","NO CUMPLE")</f>
        <v>CUMPLE</v>
      </c>
      <c r="BI473" s="10">
        <f>AX473*'Parametros'!$B$8</f>
        <v>0</v>
      </c>
      <c r="BJ473" s="10" t="str">
        <f>IF(BI473&gt;=AW473,"CUMPLE","NO CUMPLE")</f>
        <v>CUMPLE</v>
      </c>
    </row>
    <row r="474">
      <c r="A474" s="25" t="inlineStr">
        <is>
          <t>VR2</t>
        </is>
      </c>
      <c r="B474" s="25" t="inlineStr">
        <is>
          <t>979</t>
        </is>
      </c>
      <c r="C474" s="10" t="n">
        <v>1</v>
      </c>
      <c r="D474" s="10" t="n">
        <v>2</v>
      </c>
      <c r="E474" s="10" t="n">
        <v>2</v>
      </c>
      <c r="F474" s="10" t="n">
        <v>500</v>
      </c>
      <c r="G474" s="10" t="n">
        <v>550</v>
      </c>
      <c r="H474" s="17" t="n">
        <v>500</v>
      </c>
      <c r="I474" s="17" t="n">
        <v>550</v>
      </c>
      <c r="J474" s="30" t="n">
        <v>61.8601</v>
      </c>
      <c r="K474" s="10" t="inlineStr">
        <is>
          <t>979</t>
        </is>
      </c>
      <c r="L474" s="30" t="n">
        <v>4.8259</v>
      </c>
      <c r="M474" s="10" t="inlineStr">
        <is>
          <t>979</t>
        </is>
      </c>
      <c r="N474" s="30" t="n">
        <v>57.355</v>
      </c>
      <c r="O474" s="30" t="n">
        <v>78.947</v>
      </c>
      <c r="P474" s="10" t="inlineStr">
        <is>
          <t>979</t>
        </is>
      </c>
      <c r="Q474" s="30" t="n">
        <v>2.5249</v>
      </c>
      <c r="R474" s="10">
        <f>MAX(MAX(1.4/'Parametros'!$B$3,0.25*SQRT('Parametros'!$B$2)/'Parametros'!$B$3)*H474*U474,(0.85*'Parametros'!$B$2/'Parametros'!$B$3)*(1-SQRT(1-2*(J474*1000000/('Parametros'!$B$5*H474*U474^2))/(0.85*'Parametros'!$B$2)))*H474*U474)</f>
        <v>815.583333333333</v>
      </c>
      <c r="S474" s="31" t="n">
        <v>5</v>
      </c>
      <c r="T474" s="32" t="n">
        <v>1</v>
      </c>
      <c r="U474" s="10">
        <f>IF(T474=1,I474-('Parametros'!$B$7+'Parametros'!$B$9+'Parametros'!$B$12/2),I474-(ROUNDUP(S474/2,0)*('Parametros'!$B$7+'Parametros'!$B$9+'Parametros'!$B$12/2)+ROUNDDOWN(S474/2,0)*('Parametros'!$B$7+'Parametros'!$B$9+'Parametros'!$B$12/2+'Parametros'!$B$12+'Parametros'!$B$10))/S474)</f>
        <v>489.35</v>
      </c>
      <c r="V474" s="10">
        <f>S474*'Parametros'!$B$8</f>
        <v>995</v>
      </c>
      <c r="W474" s="10">
        <f>'Parametros'!$B$5*V474*'Parametros'!$B$3*(U474-(V474*'Parametros'!$B$3/(0.85*'Parametros'!$B$2*H474))/2)/1000000</f>
        <v>177.445379382353</v>
      </c>
      <c r="X474" s="10" t="str">
        <f>IF(W474&gt;=J474,"CUMPLE","NO CUMPLE")</f>
        <v>CUMPLE</v>
      </c>
      <c r="Y474" s="10">
        <f>MAX(MAX(1.4/'Parametros'!$B$3,0.25*SQRT('Parametros'!$B$2)/'Parametros'!$B$3)*H474*AB474,(0.85*'Parametros'!$B$2/'Parametros'!$B$3)*(1-SQRT(1-2*(L474*1000000/('Parametros'!$B$5*H474*AB474^2))/(0.85*'Parametros'!$B$2)))*H474*AB474)</f>
        <v>815.583333333333</v>
      </c>
      <c r="Z474" s="31" t="n">
        <v>5</v>
      </c>
      <c r="AA474" s="32" t="n">
        <v>1</v>
      </c>
      <c r="AB474" s="10">
        <f>IF(AA474=1,I474-('Parametros'!$B$7+'Parametros'!$B$9+'Parametros'!$B$12/2),I474-(ROUNDUP(Z474/2,0)*('Parametros'!$B$7+'Parametros'!$B$9+'Parametros'!$B$12/2)+ROUNDDOWN(Z474/2,0)*('Parametros'!$B$7+'Parametros'!$B$9+'Parametros'!$B$12/2+'Parametros'!$B$12+'Parametros'!$B$10))/Z474)</f>
        <v>489.35</v>
      </c>
      <c r="AC474" s="10">
        <f>Z474*'Parametros'!$B$8</f>
        <v>995</v>
      </c>
      <c r="AD474" s="10">
        <f>'Parametros'!$B$5*AC474*'Parametros'!$B$3*(AB474-(AC474*'Parametros'!$B$3/(0.85*'Parametros'!$B$2*H474))/2)/1000000</f>
        <v>177.445379382353</v>
      </c>
      <c r="AE474" s="10" t="str">
        <f>IF(AD474&gt;=L474,"CUMPLE","NO CUMPLE")</f>
        <v>CUMPLE</v>
      </c>
      <c r="AF474" s="10">
        <f>V474*1.25*'Parametros'!$B$3*(U474-(V474*1.25*'Parametros'!$B$3/(0.85*'Parametros'!$B$2*H474))/2)/1000000</f>
        <v>244.158843198529</v>
      </c>
      <c r="AG474" s="10">
        <f>AC474*1.25*'Parametros'!$B$3*(AB474-(AC474*1.25*'Parametros'!$B$3/(0.85*'Parametros'!$B$2*H474))/2)/1000000</f>
        <v>244.158843198529</v>
      </c>
      <c r="AH474" s="10">
        <f>N474+(AF474+AG474)/D474</f>
        <v>301.513843198529</v>
      </c>
      <c r="AI474" s="10">
        <f>MAX(O474,AH474)</f>
        <v>301.513843198529</v>
      </c>
      <c r="AJ474" s="10">
        <f>0.17*SQRT('Parametros'!$B$2)*H474*MIN(U474,AB474)/1000</f>
        <v>220.098728691808</v>
      </c>
      <c r="AK474" s="10">
        <f>MAX(AI474/'Parametros'!$B$6-AJ474,0)</f>
        <v>181.919728906231</v>
      </c>
      <c r="AL474" s="10">
        <f>0.66*SQRT('Parametros'!$B$2)*H474*MIN(U474,AB474)/1000</f>
        <v>854.500946685842</v>
      </c>
      <c r="AM474" s="10" t="str">
        <f>IF(AK474&lt;=AL474,"CUMPLE","NO CUMPLE")</f>
        <v>CUMPLE</v>
      </c>
      <c r="AN474" s="17" t="inlineStr">
        <is>
          <t>Nº3 cerrado</t>
        </is>
      </c>
      <c r="AO474" s="31" t="n">
        <v>2</v>
      </c>
      <c r="AP474" s="10">
        <f>ROUNDDOWN(MIN(IF(BC474+BD474=0,1000000000,AO474*BB474/(BC474+BD474)),MIN(U474,AB474)/4,8*'Parametros'!$B$12,24*BA474,300,IF(AV474=0,1000000000,2*((H474-2*('Parametros'!$B$7+'Parametros'!$B$9/2))+(I474-2*('Parametros'!$B$7+'Parametros'!$B$9/2)))/8))/10,0)*10</f>
        <v>120</v>
      </c>
      <c r="AQ474" s="10">
        <f>ROUNDDOWN(MIN(IF(BC474+BD474=0,1000000000,AO474*BB474/(BC474+BD474)),IF(AK474&gt;0.33*SQRT('Parametros'!$B$2)*H474*MIN(U474,AB474)/1000,MIN(U474,AB474)/4,MIN(U474,AB474)/2),600,IF(AV474=0,1000000000,2*((H474-2*('Parametros'!$B$7+'Parametros'!$B$9/2))+(I474-2*('Parametros'!$B$7+'Parametros'!$B$9/2)))/8))/10,0)*10</f>
        <v>160</v>
      </c>
      <c r="AR474" s="10">
        <f>'Parametros'!$B$6*(AJ474+MAX(BE474-BD474,0)*'Parametros'!$B$4*MIN(U474,AB474)/1000)</f>
        <v>347.479259018856</v>
      </c>
      <c r="AS474" s="10" t="str">
        <f>IF(AND(ISERROR(SEARCH("referencia",AN474)),AM474="CUMPLE",AR474&gt;=AI474),"CUMPLE","NO CUMPLE")</f>
        <v>CUMPLE</v>
      </c>
      <c r="AT474" s="10">
        <f>'Parametros'!$B$6*0.083*SQRT('Parametros'!$B$2)*(H474*I474)^2/(2*(H474+I474))/1000000</f>
        <v>11.862178757599</v>
      </c>
      <c r="AU474" s="10" t="str">
        <f>IF(Q474&lt;=AT474,"DESPRECIABLE","DISEÑAR")</f>
        <v>DESPRECIABLE</v>
      </c>
      <c r="AV474" s="10">
        <f>IF(Q474&lt;=AT474,0,Q474*1000000/('Parametros'!$B$6*2*0.85*(H474-2*('Parametros'!$B$7+'Parametros'!$B$9/2))*(I474-2*('Parametros'!$B$7+'Parametros'!$B$9/2))*'Parametros'!$B$4))</f>
        <v>0</v>
      </c>
      <c r="AW474" s="10">
        <f>AV474*2*((H474-2*('Parametros'!$B$7+'Parametros'!$B$9/2))+(I474-2*('Parametros'!$B$7+'Parametros'!$B$9/2)))*'Parametros'!$B$4/'Parametros'!$B$3</f>
        <v>0</v>
      </c>
      <c r="AX474" s="31" t="n">
        <v>0</v>
      </c>
      <c r="AY474" s="10" t="str">
        <f>IF(AV474=0,"DESPRECIABLE",IF(AND(ISERROR(SEARCH("referencia",AN474)),BB474/AP474&gt;=AV474,BI474&gt;=AW474,BH474="CUMPLE"),"CUMPLE","NO CUMPLE"))</f>
        <v>DESPRECIABLE</v>
      </c>
      <c r="AZ474" s="10" t="str">
        <f>IF(AND(X474="CUMPLE",AE474="CUMPLE",AS474="CUMPLE",OR(AY474="CUMPLE",AY474="DESPRECIABLE"),BH474="CUMPLE",BJ474="CUMPLE"),"CUMPLE","NO CUMPLE")</f>
        <v>CUMPLE</v>
      </c>
      <c r="BA474" s="32" t="n">
        <v>9.5</v>
      </c>
      <c r="BB474" s="32" t="n">
        <v>71</v>
      </c>
      <c r="BC474" s="10">
        <f>MAX(IF(AK474=0,0,AK474*1000/('Parametros'!$B$4*MIN(U474,AB474))),MAX(0.062*SQRT('Parametros'!$B$2)*H474/'Parametros'!$B$4,0.35*H474/'Parametros'!$B$4))</f>
        <v>0.885137859776241</v>
      </c>
      <c r="BD474" s="10">
        <f>2*AV474</f>
        <v>0</v>
      </c>
      <c r="BE474" s="10">
        <f>AO474*BB474/AP474</f>
        <v>1.18333333333333</v>
      </c>
      <c r="BF474" s="10">
        <f>SQRT((AI474*1000/(H474*MIN(U474,AB474)))^2+(Q474*1000000*2*((H474-2*('Parametros'!$B$7+'Parametros'!$B$9/2))+(I474-2*('Parametros'!$B$7+'Parametros'!$B$9/2)))/(1.7*((H474-2*('Parametros'!$B$7+'Parametros'!$B$9/2))*(I474-2*('Parametros'!$B$7+'Parametros'!$B$9/2)))^2))^2)</f>
        <v>1.23452510605424</v>
      </c>
      <c r="BG474" s="10">
        <f>'Parametros'!$B$6*(AJ474*1000/(H474*MIN(U474,AB474))+0.66*SQRT('Parametros'!$B$2))</f>
        <v>3.29396038227542</v>
      </c>
      <c r="BH474" s="10" t="str">
        <f>IF(BF474&lt;=BG474,"CUMPLE","NO CUMPLE")</f>
        <v>CUMPLE</v>
      </c>
      <c r="BI474" s="10">
        <f>AX474*'Parametros'!$B$8</f>
        <v>0</v>
      </c>
      <c r="BJ474" s="10" t="str">
        <f>IF(BI474&gt;=AW474,"CUMPLE","NO CUMPLE")</f>
        <v>CUMPLE</v>
      </c>
    </row>
    <row r="475">
      <c r="A475" s="25" t="inlineStr">
        <is>
          <t>VR2</t>
        </is>
      </c>
      <c r="B475" s="25" t="inlineStr">
        <is>
          <t>980</t>
        </is>
      </c>
      <c r="C475" s="10" t="n">
        <v>1</v>
      </c>
      <c r="D475" s="10" t="n">
        <v>3.05308</v>
      </c>
      <c r="E475" s="10" t="n">
        <v>3.05308</v>
      </c>
      <c r="F475" s="10" t="n">
        <v>500</v>
      </c>
      <c r="G475" s="10" t="n">
        <v>550</v>
      </c>
      <c r="H475" s="17" t="n">
        <v>500</v>
      </c>
      <c r="I475" s="17" t="n">
        <v>550</v>
      </c>
      <c r="J475" s="30" t="n">
        <v>82.06870000000001</v>
      </c>
      <c r="K475" s="10" t="inlineStr">
        <is>
          <t>980</t>
        </is>
      </c>
      <c r="L475" s="30" t="n">
        <v>43.9081</v>
      </c>
      <c r="M475" s="10" t="inlineStr">
        <is>
          <t>980</t>
        </is>
      </c>
      <c r="N475" s="30" t="n">
        <v>84.19</v>
      </c>
      <c r="O475" s="30" t="n">
        <v>166.162</v>
      </c>
      <c r="P475" s="10" t="inlineStr">
        <is>
          <t>980</t>
        </is>
      </c>
      <c r="Q475" s="30" t="n">
        <v>26.3238</v>
      </c>
      <c r="R475" s="10">
        <f>MAX(MAX(1.4/'Parametros'!$B$3,0.25*SQRT('Parametros'!$B$2)/'Parametros'!$B$3)*H475*U475,(0.85*'Parametros'!$B$2/'Parametros'!$B$3)*(1-SQRT(1-2*(J475*1000000/('Parametros'!$B$5*H475*U475^2))/(0.85*'Parametros'!$B$2)))*H475*U475)</f>
        <v>815.583333333333</v>
      </c>
      <c r="S475" s="31" t="n">
        <v>5</v>
      </c>
      <c r="T475" s="32" t="n">
        <v>1</v>
      </c>
      <c r="U475" s="10">
        <f>IF(T475=1,I475-('Parametros'!$B$7+'Parametros'!$B$9+'Parametros'!$B$12/2),I475-(ROUNDUP(S475/2,0)*('Parametros'!$B$7+'Parametros'!$B$9+'Parametros'!$B$12/2)+ROUNDDOWN(S475/2,0)*('Parametros'!$B$7+'Parametros'!$B$9+'Parametros'!$B$12/2+'Parametros'!$B$12+'Parametros'!$B$10))/S475)</f>
        <v>489.35</v>
      </c>
      <c r="V475" s="10">
        <f>S475*'Parametros'!$B$8</f>
        <v>995</v>
      </c>
      <c r="W475" s="10">
        <f>'Parametros'!$B$5*V475*'Parametros'!$B$3*(U475-(V475*'Parametros'!$B$3/(0.85*'Parametros'!$B$2*H475))/2)/1000000</f>
        <v>177.445379382353</v>
      </c>
      <c r="X475" s="10" t="str">
        <f>IF(W475&gt;=J475,"CUMPLE","NO CUMPLE")</f>
        <v>CUMPLE</v>
      </c>
      <c r="Y475" s="10">
        <f>MAX(MAX(1.4/'Parametros'!$B$3,0.25*SQRT('Parametros'!$B$2)/'Parametros'!$B$3)*H475*AB475,(0.85*'Parametros'!$B$2/'Parametros'!$B$3)*(1-SQRT(1-2*(L475*1000000/('Parametros'!$B$5*H475*AB475^2))/(0.85*'Parametros'!$B$2)))*H475*AB475)</f>
        <v>815.583333333333</v>
      </c>
      <c r="Z475" s="31" t="n">
        <v>5</v>
      </c>
      <c r="AA475" s="32" t="n">
        <v>1</v>
      </c>
      <c r="AB475" s="10">
        <f>IF(AA475=1,I475-('Parametros'!$B$7+'Parametros'!$B$9+'Parametros'!$B$12/2),I475-(ROUNDUP(Z475/2,0)*('Parametros'!$B$7+'Parametros'!$B$9+'Parametros'!$B$12/2)+ROUNDDOWN(Z475/2,0)*('Parametros'!$B$7+'Parametros'!$B$9+'Parametros'!$B$12/2+'Parametros'!$B$12+'Parametros'!$B$10))/Z475)</f>
        <v>489.35</v>
      </c>
      <c r="AC475" s="10">
        <f>Z475*'Parametros'!$B$8</f>
        <v>995</v>
      </c>
      <c r="AD475" s="10">
        <f>'Parametros'!$B$5*AC475*'Parametros'!$B$3*(AB475-(AC475*'Parametros'!$B$3/(0.85*'Parametros'!$B$2*H475))/2)/1000000</f>
        <v>177.445379382353</v>
      </c>
      <c r="AE475" s="10" t="str">
        <f>IF(AD475&gt;=L475,"CUMPLE","NO CUMPLE")</f>
        <v>CUMPLE</v>
      </c>
      <c r="AF475" s="10">
        <f>V475*1.25*'Parametros'!$B$3*(U475-(V475*1.25*'Parametros'!$B$3/(0.85*'Parametros'!$B$2*H475))/2)/1000000</f>
        <v>244.158843198529</v>
      </c>
      <c r="AG475" s="10">
        <f>AC475*1.25*'Parametros'!$B$3*(AB475-(AC475*1.25*'Parametros'!$B$3/(0.85*'Parametros'!$B$2*H475))/2)/1000000</f>
        <v>244.158843198529</v>
      </c>
      <c r="AH475" s="10">
        <f>N475+(AF475+AG475)/D475</f>
        <v>244.13264362449</v>
      </c>
      <c r="AI475" s="10">
        <f>MAX(O475,AH475)</f>
        <v>244.13264362449</v>
      </c>
      <c r="AJ475" s="10">
        <f>0.17*SQRT('Parametros'!$B$2)*H475*MIN(U475,AB475)/1000</f>
        <v>220.098728691808</v>
      </c>
      <c r="AK475" s="10">
        <f>MAX(AI475/'Parametros'!$B$6-AJ475,0)</f>
        <v>105.411462807513</v>
      </c>
      <c r="AL475" s="10">
        <f>0.66*SQRT('Parametros'!$B$2)*H475*MIN(U475,AB475)/1000</f>
        <v>854.500946685842</v>
      </c>
      <c r="AM475" s="10" t="str">
        <f>IF(AK475&lt;=AL475,"CUMPLE","NO CUMPLE")</f>
        <v>CUMPLE</v>
      </c>
      <c r="AN475" s="17" t="inlineStr">
        <is>
          <t>Nº3 cerrado</t>
        </is>
      </c>
      <c r="AO475" s="31" t="n">
        <v>2</v>
      </c>
      <c r="AP475" s="10">
        <f>ROUNDDOWN(MIN(IF(BC475+BD475=0,1000000000,AO475*BB475/(BC475+BD475)),MIN(U475,AB475)/4,8*'Parametros'!$B$12,24*BA475,300,IF(AV475=0,1000000000,2*((H475-2*('Parametros'!$B$7+'Parametros'!$B$9/2))+(I475-2*('Parametros'!$B$7+'Parametros'!$B$9/2)))/8))/10,0)*10</f>
        <v>120</v>
      </c>
      <c r="AQ475" s="10">
        <f>ROUNDDOWN(MIN(IF(BC475+BD475=0,1000000000,AO475*BB475/(BC475+BD475)),IF(AK475&gt;0.33*SQRT('Parametros'!$B$2)*H475*MIN(U475,AB475)/1000,MIN(U475,AB475)/4,MIN(U475,AB475)/2),600,IF(AV475=0,1000000000,2*((H475-2*('Parametros'!$B$7+'Parametros'!$B$9/2))+(I475-2*('Parametros'!$B$7+'Parametros'!$B$9/2)))/8))/10,0)*10</f>
        <v>130</v>
      </c>
      <c r="AR475" s="10">
        <f>'Parametros'!$B$6*(AJ475+MAX(BE475-BD475,0)*'Parametros'!$B$4*MIN(U475,AB475)/1000)</f>
        <v>266.115006690101</v>
      </c>
      <c r="AS475" s="10" t="str">
        <f>IF(AND(ISERROR(SEARCH("referencia",AN475)),AM475="CUMPLE",AR475&gt;=AI475),"CUMPLE","NO CUMPLE")</f>
        <v>CUMPLE</v>
      </c>
      <c r="AT475" s="10">
        <f>'Parametros'!$B$6*0.083*SQRT('Parametros'!$B$2)*(H475*I475)^2/(2*(H475+I475))/1000000</f>
        <v>11.862178757599</v>
      </c>
      <c r="AU475" s="10" t="str">
        <f>IF(Q475&lt;=AT475,"DESPRECIABLE","DISEÑAR")</f>
        <v>DISEÑAR</v>
      </c>
      <c r="AV475" s="10">
        <f>IF(Q475&lt;=AT475,0,Q475*1000000/('Parametros'!$B$6*2*0.85*(H475-2*('Parametros'!$B$7+'Parametros'!$B$9/2))*(I475-2*('Parametros'!$B$7+'Parametros'!$B$9/2))*'Parametros'!$B$4))</f>
        <v>0.263920725188595</v>
      </c>
      <c r="AW475" s="10">
        <f>AV475*2*((H475-2*('Parametros'!$B$7+'Parametros'!$B$9/2))+(I475-2*('Parametros'!$B$7+'Parametros'!$B$9/2)))*'Parametros'!$B$4/'Parametros'!$B$3</f>
        <v>456.371717996119</v>
      </c>
      <c r="AX475" s="31" t="n">
        <v>8</v>
      </c>
      <c r="AY475" s="10" t="str">
        <f>IF(AV475=0,"DESPRECIABLE",IF(AND(ISERROR(SEARCH("referencia",AN475)),BB475/AP475&gt;=AV475,BI475&gt;=AW475,BH475="CUMPLE"),"CUMPLE","NO CUMPLE"))</f>
        <v>CUMPLE</v>
      </c>
      <c r="AZ475" s="10" t="str">
        <f>IF(AND(X475="CUMPLE",AE475="CUMPLE",AS475="CUMPLE",OR(AY475="CUMPLE",AY475="DESPRECIABLE"),BH475="CUMPLE",BJ475="CUMPLE"),"CUMPLE","NO CUMPLE")</f>
        <v>CUMPLE</v>
      </c>
      <c r="BA475" s="32" t="n">
        <v>9.5</v>
      </c>
      <c r="BB475" s="32" t="n">
        <v>71</v>
      </c>
      <c r="BC475" s="10">
        <f>MAX(IF(AK475=0,0,AK475*1000/('Parametros'!$B$4*MIN(U475,AB475))),MAX(0.062*SQRT('Parametros'!$B$2)*H475/'Parametros'!$B$4,0.35*H475/'Parametros'!$B$4))</f>
        <v>0.51288377102528</v>
      </c>
      <c r="BD475" s="10">
        <f>2*AV475</f>
        <v>0.52784145037719</v>
      </c>
      <c r="BE475" s="10">
        <f>AO475*BB475/AP475</f>
        <v>1.18333333333333</v>
      </c>
      <c r="BF475" s="10">
        <f>SQRT((AI475*1000/(H475*MIN(U475,AB475)))^2+(Q475*1000000*2*((H475-2*('Parametros'!$B$7+'Parametros'!$B$9/2))+(I475-2*('Parametros'!$B$7+'Parametros'!$B$9/2)))/(1.7*((H475-2*('Parametros'!$B$7+'Parametros'!$B$9/2))*(I475-2*('Parametros'!$B$7+'Parametros'!$B$9/2)))^2))^2)</f>
        <v>1.26145600926164</v>
      </c>
      <c r="BG475" s="10">
        <f>'Parametros'!$B$6*(AJ475*1000/(H475*MIN(U475,AB475))+0.66*SQRT('Parametros'!$B$2))</f>
        <v>3.29396038227542</v>
      </c>
      <c r="BH475" s="10" t="str">
        <f>IF(BF475&lt;=BG475,"CUMPLE","NO CUMPLE")</f>
        <v>CUMPLE</v>
      </c>
      <c r="BI475" s="10">
        <f>AX475*'Parametros'!$B$8</f>
        <v>1592</v>
      </c>
      <c r="BJ475" s="10" t="str">
        <f>IF(BI475&gt;=AW475,"CUMPLE","NO CUMPLE")</f>
        <v>CUMPLE</v>
      </c>
    </row>
    <row r="476">
      <c r="A476" s="25" t="inlineStr">
        <is>
          <t>VR2</t>
        </is>
      </c>
      <c r="B476" s="25" t="inlineStr">
        <is>
          <t>981</t>
        </is>
      </c>
      <c r="C476" s="10" t="n">
        <v>1</v>
      </c>
      <c r="D476" s="10" t="n">
        <v>2</v>
      </c>
      <c r="E476" s="10" t="n">
        <v>2</v>
      </c>
      <c r="F476" s="10" t="n">
        <v>500</v>
      </c>
      <c r="G476" s="10" t="n">
        <v>550</v>
      </c>
      <c r="H476" s="17" t="n">
        <v>500</v>
      </c>
      <c r="I476" s="17" t="n">
        <v>550</v>
      </c>
      <c r="J476" s="30" t="n">
        <v>54.054</v>
      </c>
      <c r="K476" s="10" t="inlineStr">
        <is>
          <t>981</t>
        </is>
      </c>
      <c r="L476" s="30" t="n">
        <v>19.0232</v>
      </c>
      <c r="M476" s="10" t="inlineStr">
        <is>
          <t>981</t>
        </is>
      </c>
      <c r="N476" s="30" t="n">
        <v>64.279</v>
      </c>
      <c r="O476" s="30" t="n">
        <v>149.671</v>
      </c>
      <c r="P476" s="10" t="inlineStr">
        <is>
          <t>981</t>
        </is>
      </c>
      <c r="Q476" s="30" t="n">
        <v>21.5771</v>
      </c>
      <c r="R476" s="10">
        <f>MAX(MAX(1.4/'Parametros'!$B$3,0.25*SQRT('Parametros'!$B$2)/'Parametros'!$B$3)*H476*U476,(0.85*'Parametros'!$B$2/'Parametros'!$B$3)*(1-SQRT(1-2*(J476*1000000/('Parametros'!$B$5*H476*U476^2))/(0.85*'Parametros'!$B$2)))*H476*U476)</f>
        <v>815.583333333333</v>
      </c>
      <c r="S476" s="31" t="n">
        <v>5</v>
      </c>
      <c r="T476" s="32" t="n">
        <v>1</v>
      </c>
      <c r="U476" s="10">
        <f>IF(T476=1,I476-('Parametros'!$B$7+'Parametros'!$B$9+'Parametros'!$B$12/2),I476-(ROUNDUP(S476/2,0)*('Parametros'!$B$7+'Parametros'!$B$9+'Parametros'!$B$12/2)+ROUNDDOWN(S476/2,0)*('Parametros'!$B$7+'Parametros'!$B$9+'Parametros'!$B$12/2+'Parametros'!$B$12+'Parametros'!$B$10))/S476)</f>
        <v>489.35</v>
      </c>
      <c r="V476" s="10">
        <f>S476*'Parametros'!$B$8</f>
        <v>995</v>
      </c>
      <c r="W476" s="10">
        <f>'Parametros'!$B$5*V476*'Parametros'!$B$3*(U476-(V476*'Parametros'!$B$3/(0.85*'Parametros'!$B$2*H476))/2)/1000000</f>
        <v>177.445379382353</v>
      </c>
      <c r="X476" s="10" t="str">
        <f>IF(W476&gt;=J476,"CUMPLE","NO CUMPLE")</f>
        <v>CUMPLE</v>
      </c>
      <c r="Y476" s="10">
        <f>MAX(MAX(1.4/'Parametros'!$B$3,0.25*SQRT('Parametros'!$B$2)/'Parametros'!$B$3)*H476*AB476,(0.85*'Parametros'!$B$2/'Parametros'!$B$3)*(1-SQRT(1-2*(L476*1000000/('Parametros'!$B$5*H476*AB476^2))/(0.85*'Parametros'!$B$2)))*H476*AB476)</f>
        <v>815.583333333333</v>
      </c>
      <c r="Z476" s="31" t="n">
        <v>5</v>
      </c>
      <c r="AA476" s="32" t="n">
        <v>1</v>
      </c>
      <c r="AB476" s="10">
        <f>IF(AA476=1,I476-('Parametros'!$B$7+'Parametros'!$B$9+'Parametros'!$B$12/2),I476-(ROUNDUP(Z476/2,0)*('Parametros'!$B$7+'Parametros'!$B$9+'Parametros'!$B$12/2)+ROUNDDOWN(Z476/2,0)*('Parametros'!$B$7+'Parametros'!$B$9+'Parametros'!$B$12/2+'Parametros'!$B$12+'Parametros'!$B$10))/Z476)</f>
        <v>489.35</v>
      </c>
      <c r="AC476" s="10">
        <f>Z476*'Parametros'!$B$8</f>
        <v>995</v>
      </c>
      <c r="AD476" s="10">
        <f>'Parametros'!$B$5*AC476*'Parametros'!$B$3*(AB476-(AC476*'Parametros'!$B$3/(0.85*'Parametros'!$B$2*H476))/2)/1000000</f>
        <v>177.445379382353</v>
      </c>
      <c r="AE476" s="10" t="str">
        <f>IF(AD476&gt;=L476,"CUMPLE","NO CUMPLE")</f>
        <v>CUMPLE</v>
      </c>
      <c r="AF476" s="10">
        <f>V476*1.25*'Parametros'!$B$3*(U476-(V476*1.25*'Parametros'!$B$3/(0.85*'Parametros'!$B$2*H476))/2)/1000000</f>
        <v>244.158843198529</v>
      </c>
      <c r="AG476" s="10">
        <f>AC476*1.25*'Parametros'!$B$3*(AB476-(AC476*1.25*'Parametros'!$B$3/(0.85*'Parametros'!$B$2*H476))/2)/1000000</f>
        <v>244.158843198529</v>
      </c>
      <c r="AH476" s="10">
        <f>N476+(AF476+AG476)/D476</f>
        <v>308.437843198529</v>
      </c>
      <c r="AI476" s="10">
        <f>MAX(O476,AH476)</f>
        <v>308.437843198529</v>
      </c>
      <c r="AJ476" s="10">
        <f>0.17*SQRT('Parametros'!$B$2)*H476*MIN(U476,AB476)/1000</f>
        <v>220.098728691808</v>
      </c>
      <c r="AK476" s="10">
        <f>MAX(AI476/'Parametros'!$B$6-AJ476,0)</f>
        <v>191.151728906231</v>
      </c>
      <c r="AL476" s="10">
        <f>0.66*SQRT('Parametros'!$B$2)*H476*MIN(U476,AB476)/1000</f>
        <v>854.500946685842</v>
      </c>
      <c r="AM476" s="10" t="str">
        <f>IF(AK476&lt;=AL476,"CUMPLE","NO CUMPLE")</f>
        <v>CUMPLE</v>
      </c>
      <c r="AN476" s="17" t="inlineStr">
        <is>
          <t>Nº3 cerrado</t>
        </is>
      </c>
      <c r="AO476" s="31" t="n">
        <v>2</v>
      </c>
      <c r="AP476" s="10">
        <f>ROUNDDOWN(MIN(IF(BC476+BD476=0,1000000000,AO476*BB476/(BC476+BD476)),MIN(U476,AB476)/4,8*'Parametros'!$B$12,24*BA476,300,IF(AV476=0,1000000000,2*((H476-2*('Parametros'!$B$7+'Parametros'!$B$9/2))+(I476-2*('Parametros'!$B$7+'Parametros'!$B$9/2)))/8))/10,0)*10</f>
        <v>100</v>
      </c>
      <c r="AQ476" s="10">
        <f>ROUNDDOWN(MIN(IF(BC476+BD476=0,1000000000,AO476*BB476/(BC476+BD476)),IF(AK476&gt;0.33*SQRT('Parametros'!$B$2)*H476*MIN(U476,AB476)/1000,MIN(U476,AB476)/4,MIN(U476,AB476)/2),600,IF(AV476=0,1000000000,2*((H476-2*('Parametros'!$B$7+'Parametros'!$B$9/2))+(I476-2*('Parametros'!$B$7+'Parametros'!$B$9/2)))/8))/10,0)*10</f>
        <v>100</v>
      </c>
      <c r="AR476" s="10">
        <f>'Parametros'!$B$6*(AJ476+MAX(BE476-BD476,0)*'Parametros'!$B$4*MIN(U476,AB476)/1000)</f>
        <v>317.267627629722</v>
      </c>
      <c r="AS476" s="10" t="str">
        <f>IF(AND(ISERROR(SEARCH("referencia",AN476)),AM476="CUMPLE",AR476&gt;=AI476),"CUMPLE","NO CUMPLE")</f>
        <v>CUMPLE</v>
      </c>
      <c r="AT476" s="10">
        <f>'Parametros'!$B$6*0.083*SQRT('Parametros'!$B$2)*(H476*I476)^2/(2*(H476+I476))/1000000</f>
        <v>11.862178757599</v>
      </c>
      <c r="AU476" s="10" t="str">
        <f>IF(Q476&lt;=AT476,"DESPRECIABLE","DISEÑAR")</f>
        <v>DISEÑAR</v>
      </c>
      <c r="AV476" s="10">
        <f>IF(Q476&lt;=AT476,0,Q476*1000000/('Parametros'!$B$6*2*0.85*(H476-2*('Parametros'!$B$7+'Parametros'!$B$9/2))*(I476-2*('Parametros'!$B$7+'Parametros'!$B$9/2))*'Parametros'!$B$4))</f>
        <v>0.216330616380114</v>
      </c>
      <c r="AW476" s="10">
        <f>AV476*2*((H476-2*('Parametros'!$B$7+'Parametros'!$B$9/2))+(I476-2*('Parametros'!$B$7+'Parametros'!$B$9/2)))*'Parametros'!$B$4/'Parametros'!$B$3</f>
        <v>374.078901844493</v>
      </c>
      <c r="AX476" s="31" t="n">
        <v>8</v>
      </c>
      <c r="AY476" s="10" t="str">
        <f>IF(AV476=0,"DESPRECIABLE",IF(AND(ISERROR(SEARCH("referencia",AN476)),BB476/AP476&gt;=AV476,BI476&gt;=AW476,BH476="CUMPLE"),"CUMPLE","NO CUMPLE"))</f>
        <v>CUMPLE</v>
      </c>
      <c r="AZ476" s="10" t="str">
        <f>IF(AND(X476="CUMPLE",AE476="CUMPLE",AS476="CUMPLE",OR(AY476="CUMPLE",AY476="DESPRECIABLE"),BH476="CUMPLE",BJ476="CUMPLE"),"CUMPLE","NO CUMPLE")</f>
        <v>CUMPLE</v>
      </c>
      <c r="BA476" s="32" t="n">
        <v>9.5</v>
      </c>
      <c r="BB476" s="32" t="n">
        <v>71</v>
      </c>
      <c r="BC476" s="10">
        <f>MAX(IF(AK476=0,0,AK476*1000/('Parametros'!$B$4*MIN(U476,AB476))),MAX(0.062*SQRT('Parametros'!$B$2)*H476/'Parametros'!$B$4,0.35*H476/'Parametros'!$B$4))</f>
        <v>0.930056532262095</v>
      </c>
      <c r="BD476" s="10">
        <f>2*AV476</f>
        <v>0.432661232760227</v>
      </c>
      <c r="BE476" s="10">
        <f>AO476*BB476/AP476</f>
        <v>1.42</v>
      </c>
      <c r="BF476" s="10">
        <f>SQRT((AI476*1000/(H476*MIN(U476,AB476)))^2+(Q476*1000000*2*((H476-2*('Parametros'!$B$7+'Parametros'!$B$9/2))+(I476-2*('Parametros'!$B$7+'Parametros'!$B$9/2)))/(1.7*((H476-2*('Parametros'!$B$7+'Parametros'!$B$9/2))*(I476-2*('Parametros'!$B$7+'Parametros'!$B$9/2)))^2))^2)</f>
        <v>1.41044463100163</v>
      </c>
      <c r="BG476" s="10">
        <f>'Parametros'!$B$6*(AJ476*1000/(H476*MIN(U476,AB476))+0.66*SQRT('Parametros'!$B$2))</f>
        <v>3.29396038227542</v>
      </c>
      <c r="BH476" s="10" t="str">
        <f>IF(BF476&lt;=BG476,"CUMPLE","NO CUMPLE")</f>
        <v>CUMPLE</v>
      </c>
      <c r="BI476" s="10">
        <f>AX476*'Parametros'!$B$8</f>
        <v>1592</v>
      </c>
      <c r="BJ476" s="10" t="str">
        <f>IF(BI476&gt;=AW476,"CUMPLE","NO CUMPLE")</f>
        <v>CUMPLE</v>
      </c>
    </row>
    <row r="477">
      <c r="A477" s="25" t="inlineStr">
        <is>
          <t>VR2</t>
        </is>
      </c>
      <c r="B477" s="25" t="inlineStr">
        <is>
          <t>982</t>
        </is>
      </c>
      <c r="C477" s="10" t="n">
        <v>1</v>
      </c>
      <c r="D477" s="10" t="n">
        <v>1.9</v>
      </c>
      <c r="E477" s="10" t="n">
        <v>1.9</v>
      </c>
      <c r="F477" s="10" t="n">
        <v>500</v>
      </c>
      <c r="G477" s="10" t="n">
        <v>550</v>
      </c>
      <c r="H477" s="17" t="n">
        <v>500</v>
      </c>
      <c r="I477" s="17" t="n">
        <v>550</v>
      </c>
      <c r="J477" s="30" t="n">
        <v>48.5503</v>
      </c>
      <c r="K477" s="10" t="inlineStr">
        <is>
          <t>982</t>
        </is>
      </c>
      <c r="L477" s="30" t="n">
        <v>11.7312</v>
      </c>
      <c r="M477" s="10" t="inlineStr">
        <is>
          <t>982</t>
        </is>
      </c>
      <c r="N477" s="30" t="n">
        <v>52.475</v>
      </c>
      <c r="O477" s="30" t="n">
        <v>98.175</v>
      </c>
      <c r="P477" s="10" t="inlineStr">
        <is>
          <t>982</t>
        </is>
      </c>
      <c r="Q477" s="30" t="n">
        <v>9.375999999999999</v>
      </c>
      <c r="R477" s="10">
        <f>MAX(MAX(1.4/'Parametros'!$B$3,0.25*SQRT('Parametros'!$B$2)/'Parametros'!$B$3)*H477*U477,(0.85*'Parametros'!$B$2/'Parametros'!$B$3)*(1-SQRT(1-2*(J477*1000000/('Parametros'!$B$5*H477*U477^2))/(0.85*'Parametros'!$B$2)))*H477*U477)</f>
        <v>815.583333333333</v>
      </c>
      <c r="S477" s="31" t="n">
        <v>5</v>
      </c>
      <c r="T477" s="32" t="n">
        <v>1</v>
      </c>
      <c r="U477" s="10">
        <f>IF(T477=1,I477-('Parametros'!$B$7+'Parametros'!$B$9+'Parametros'!$B$12/2),I477-(ROUNDUP(S477/2,0)*('Parametros'!$B$7+'Parametros'!$B$9+'Parametros'!$B$12/2)+ROUNDDOWN(S477/2,0)*('Parametros'!$B$7+'Parametros'!$B$9+'Parametros'!$B$12/2+'Parametros'!$B$12+'Parametros'!$B$10))/S477)</f>
        <v>489.35</v>
      </c>
      <c r="V477" s="10">
        <f>S477*'Parametros'!$B$8</f>
        <v>995</v>
      </c>
      <c r="W477" s="10">
        <f>'Parametros'!$B$5*V477*'Parametros'!$B$3*(U477-(V477*'Parametros'!$B$3/(0.85*'Parametros'!$B$2*H477))/2)/1000000</f>
        <v>177.445379382353</v>
      </c>
      <c r="X477" s="10" t="str">
        <f>IF(W477&gt;=J477,"CUMPLE","NO CUMPLE")</f>
        <v>CUMPLE</v>
      </c>
      <c r="Y477" s="10">
        <f>MAX(MAX(1.4/'Parametros'!$B$3,0.25*SQRT('Parametros'!$B$2)/'Parametros'!$B$3)*H477*AB477,(0.85*'Parametros'!$B$2/'Parametros'!$B$3)*(1-SQRT(1-2*(L477*1000000/('Parametros'!$B$5*H477*AB477^2))/(0.85*'Parametros'!$B$2)))*H477*AB477)</f>
        <v>815.583333333333</v>
      </c>
      <c r="Z477" s="31" t="n">
        <v>5</v>
      </c>
      <c r="AA477" s="32" t="n">
        <v>1</v>
      </c>
      <c r="AB477" s="10">
        <f>IF(AA477=1,I477-('Parametros'!$B$7+'Parametros'!$B$9+'Parametros'!$B$12/2),I477-(ROUNDUP(Z477/2,0)*('Parametros'!$B$7+'Parametros'!$B$9+'Parametros'!$B$12/2)+ROUNDDOWN(Z477/2,0)*('Parametros'!$B$7+'Parametros'!$B$9+'Parametros'!$B$12/2+'Parametros'!$B$12+'Parametros'!$B$10))/Z477)</f>
        <v>489.35</v>
      </c>
      <c r="AC477" s="10">
        <f>Z477*'Parametros'!$B$8</f>
        <v>995</v>
      </c>
      <c r="AD477" s="10">
        <f>'Parametros'!$B$5*AC477*'Parametros'!$B$3*(AB477-(AC477*'Parametros'!$B$3/(0.85*'Parametros'!$B$2*H477))/2)/1000000</f>
        <v>177.445379382353</v>
      </c>
      <c r="AE477" s="10" t="str">
        <f>IF(AD477&gt;=L477,"CUMPLE","NO CUMPLE")</f>
        <v>CUMPLE</v>
      </c>
      <c r="AF477" s="10">
        <f>V477*1.25*'Parametros'!$B$3*(U477-(V477*1.25*'Parametros'!$B$3/(0.85*'Parametros'!$B$2*H477))/2)/1000000</f>
        <v>244.158843198529</v>
      </c>
      <c r="AG477" s="10">
        <f>AC477*1.25*'Parametros'!$B$3*(AB477-(AC477*1.25*'Parametros'!$B$3/(0.85*'Parametros'!$B$2*H477))/2)/1000000</f>
        <v>244.158843198529</v>
      </c>
      <c r="AH477" s="10">
        <f>N477+(AF477+AG477)/D477</f>
        <v>309.484308630031</v>
      </c>
      <c r="AI477" s="10">
        <f>MAX(O477,AH477)</f>
        <v>309.484308630031</v>
      </c>
      <c r="AJ477" s="10">
        <f>0.17*SQRT('Parametros'!$B$2)*H477*MIN(U477,AB477)/1000</f>
        <v>220.098728691808</v>
      </c>
      <c r="AK477" s="10">
        <f>MAX(AI477/'Parametros'!$B$6-AJ477,0)</f>
        <v>192.547016148234</v>
      </c>
      <c r="AL477" s="10">
        <f>0.66*SQRT('Parametros'!$B$2)*H477*MIN(U477,AB477)/1000</f>
        <v>854.500946685842</v>
      </c>
      <c r="AM477" s="10" t="str">
        <f>IF(AK477&lt;=AL477,"CUMPLE","NO CUMPLE")</f>
        <v>CUMPLE</v>
      </c>
      <c r="AN477" s="17" t="inlineStr">
        <is>
          <t>Nº3 cerrado</t>
        </is>
      </c>
      <c r="AO477" s="31" t="n">
        <v>2</v>
      </c>
      <c r="AP477" s="10">
        <f>ROUNDDOWN(MIN(IF(BC477+BD477=0,1000000000,AO477*BB477/(BC477+BD477)),MIN(U477,AB477)/4,8*'Parametros'!$B$12,24*BA477,300,IF(AV477=0,1000000000,2*((H477-2*('Parametros'!$B$7+'Parametros'!$B$9/2))+(I477-2*('Parametros'!$B$7+'Parametros'!$B$9/2)))/8))/10,0)*10</f>
        <v>120</v>
      </c>
      <c r="AQ477" s="10">
        <f>ROUNDDOWN(MIN(IF(BC477+BD477=0,1000000000,AO477*BB477/(BC477+BD477)),IF(AK477&gt;0.33*SQRT('Parametros'!$B$2)*H477*MIN(U477,AB477)/1000,MIN(U477,AB477)/4,MIN(U477,AB477)/2),600,IF(AV477=0,1000000000,2*((H477-2*('Parametros'!$B$7+'Parametros'!$B$9/2))+(I477-2*('Parametros'!$B$7+'Parametros'!$B$9/2)))/8))/10,0)*10</f>
        <v>150</v>
      </c>
      <c r="AR477" s="10">
        <f>'Parametros'!$B$6*(AJ477+MAX(BE477-BD477,0)*'Parametros'!$B$4*MIN(U477,AB477)/1000)</f>
        <v>347.479259018856</v>
      </c>
      <c r="AS477" s="10" t="str">
        <f>IF(AND(ISERROR(SEARCH("referencia",AN477)),AM477="CUMPLE",AR477&gt;=AI477),"CUMPLE","NO CUMPLE")</f>
        <v>CUMPLE</v>
      </c>
      <c r="AT477" s="10">
        <f>'Parametros'!$B$6*0.083*SQRT('Parametros'!$B$2)*(H477*I477)^2/(2*(H477+I477))/1000000</f>
        <v>11.862178757599</v>
      </c>
      <c r="AU477" s="10" t="str">
        <f>IF(Q477&lt;=AT477,"DESPRECIABLE","DISEÑAR")</f>
        <v>DESPRECIABLE</v>
      </c>
      <c r="AV477" s="10">
        <f>IF(Q477&lt;=AT477,0,Q477*1000000/('Parametros'!$B$6*2*0.85*(H477-2*('Parametros'!$B$7+'Parametros'!$B$9/2))*(I477-2*('Parametros'!$B$7+'Parametros'!$B$9/2))*'Parametros'!$B$4))</f>
        <v>0</v>
      </c>
      <c r="AW477" s="10">
        <f>AV477*2*((H477-2*('Parametros'!$B$7+'Parametros'!$B$9/2))+(I477-2*('Parametros'!$B$7+'Parametros'!$B$9/2)))*'Parametros'!$B$4/'Parametros'!$B$3</f>
        <v>0</v>
      </c>
      <c r="AX477" s="31" t="n">
        <v>0</v>
      </c>
      <c r="AY477" s="10" t="str">
        <f>IF(AV477=0,"DESPRECIABLE",IF(AND(ISERROR(SEARCH("referencia",AN477)),BB477/AP477&gt;=AV477,BI477&gt;=AW477,BH477="CUMPLE"),"CUMPLE","NO CUMPLE"))</f>
        <v>DESPRECIABLE</v>
      </c>
      <c r="AZ477" s="10" t="str">
        <f>IF(AND(X477="CUMPLE",AE477="CUMPLE",AS477="CUMPLE",OR(AY477="CUMPLE",AY477="DESPRECIABLE"),BH477="CUMPLE",BJ477="CUMPLE"),"CUMPLE","NO CUMPLE")</f>
        <v>CUMPLE</v>
      </c>
      <c r="BA477" s="32" t="n">
        <v>9.5</v>
      </c>
      <c r="BB477" s="32" t="n">
        <v>71</v>
      </c>
      <c r="BC477" s="10">
        <f>MAX(IF(AK477=0,0,AK477*1000/('Parametros'!$B$4*MIN(U477,AB477))),MAX(0.062*SQRT('Parametros'!$B$2)*H477/'Parametros'!$B$4,0.35*H477/'Parametros'!$B$4))</f>
        <v>0.936845359238609</v>
      </c>
      <c r="BD477" s="10">
        <f>2*AV477</f>
        <v>0</v>
      </c>
      <c r="BE477" s="10">
        <f>AO477*BB477/AP477</f>
        <v>1.18333333333333</v>
      </c>
      <c r="BF477" s="10">
        <f>SQRT((AI477*1000/(H477*MIN(U477,AB477)))^2+(Q477*1000000*2*((H477-2*('Parametros'!$B$7+'Parametros'!$B$9/2))+(I477-2*('Parametros'!$B$7+'Parametros'!$B$9/2)))/(1.7*((H477-2*('Parametros'!$B$7+'Parametros'!$B$9/2))*(I477-2*('Parametros'!$B$7+'Parametros'!$B$9/2)))^2))^2)</f>
        <v>1.29440799780369</v>
      </c>
      <c r="BG477" s="10">
        <f>'Parametros'!$B$6*(AJ477*1000/(H477*MIN(U477,AB477))+0.66*SQRT('Parametros'!$B$2))</f>
        <v>3.29396038227542</v>
      </c>
      <c r="BH477" s="10" t="str">
        <f>IF(BF477&lt;=BG477,"CUMPLE","NO CUMPLE")</f>
        <v>CUMPLE</v>
      </c>
      <c r="BI477" s="10">
        <f>AX477*'Parametros'!$B$8</f>
        <v>0</v>
      </c>
      <c r="BJ477" s="10" t="str">
        <f>IF(BI477&gt;=AW477,"CUMPLE","NO CUMPLE")</f>
        <v>CUMPLE</v>
      </c>
    </row>
    <row r="478">
      <c r="A478" s="25" t="inlineStr">
        <is>
          <t>VR2</t>
        </is>
      </c>
      <c r="B478" s="25" t="inlineStr">
        <is>
          <t>983</t>
        </is>
      </c>
      <c r="C478" s="10" t="n">
        <v>1</v>
      </c>
      <c r="D478" s="10" t="n">
        <v>3.57612</v>
      </c>
      <c r="E478" s="10" t="n">
        <v>3.57612</v>
      </c>
      <c r="F478" s="10" t="n">
        <v>500</v>
      </c>
      <c r="G478" s="10" t="n">
        <v>550</v>
      </c>
      <c r="H478" s="17" t="n">
        <v>500</v>
      </c>
      <c r="I478" s="17" t="n">
        <v>550</v>
      </c>
      <c r="J478" s="30" t="n">
        <v>78.6523</v>
      </c>
      <c r="K478" s="10" t="inlineStr">
        <is>
          <t>983</t>
        </is>
      </c>
      <c r="L478" s="30" t="n">
        <v>41.4376</v>
      </c>
      <c r="M478" s="10" t="inlineStr">
        <is>
          <t>983</t>
        </is>
      </c>
      <c r="N478" s="30" t="n">
        <v>75.991</v>
      </c>
      <c r="O478" s="30" t="n">
        <v>154.105</v>
      </c>
      <c r="P478" s="10" t="inlineStr">
        <is>
          <t>983</t>
        </is>
      </c>
      <c r="Q478" s="30" t="n">
        <v>8.1875</v>
      </c>
      <c r="R478" s="10">
        <f>MAX(MAX(1.4/'Parametros'!$B$3,0.25*SQRT('Parametros'!$B$2)/'Parametros'!$B$3)*H478*U478,(0.85*'Parametros'!$B$2/'Parametros'!$B$3)*(1-SQRT(1-2*(J478*1000000/('Parametros'!$B$5*H478*U478^2))/(0.85*'Parametros'!$B$2)))*H478*U478)</f>
        <v>815.583333333333</v>
      </c>
      <c r="S478" s="31" t="n">
        <v>5</v>
      </c>
      <c r="T478" s="32" t="n">
        <v>1</v>
      </c>
      <c r="U478" s="10">
        <f>IF(T478=1,I478-('Parametros'!$B$7+'Parametros'!$B$9+'Parametros'!$B$12/2),I478-(ROUNDUP(S478/2,0)*('Parametros'!$B$7+'Parametros'!$B$9+'Parametros'!$B$12/2)+ROUNDDOWN(S478/2,0)*('Parametros'!$B$7+'Parametros'!$B$9+'Parametros'!$B$12/2+'Parametros'!$B$12+'Parametros'!$B$10))/S478)</f>
        <v>489.35</v>
      </c>
      <c r="V478" s="10">
        <f>S478*'Parametros'!$B$8</f>
        <v>995</v>
      </c>
      <c r="W478" s="10">
        <f>'Parametros'!$B$5*V478*'Parametros'!$B$3*(U478-(V478*'Parametros'!$B$3/(0.85*'Parametros'!$B$2*H478))/2)/1000000</f>
        <v>177.445379382353</v>
      </c>
      <c r="X478" s="10" t="str">
        <f>IF(W478&gt;=J478,"CUMPLE","NO CUMPLE")</f>
        <v>CUMPLE</v>
      </c>
      <c r="Y478" s="10">
        <f>MAX(MAX(1.4/'Parametros'!$B$3,0.25*SQRT('Parametros'!$B$2)/'Parametros'!$B$3)*H478*AB478,(0.85*'Parametros'!$B$2/'Parametros'!$B$3)*(1-SQRT(1-2*(L478*1000000/('Parametros'!$B$5*H478*AB478^2))/(0.85*'Parametros'!$B$2)))*H478*AB478)</f>
        <v>815.583333333333</v>
      </c>
      <c r="Z478" s="31" t="n">
        <v>5</v>
      </c>
      <c r="AA478" s="32" t="n">
        <v>1</v>
      </c>
      <c r="AB478" s="10">
        <f>IF(AA478=1,I478-('Parametros'!$B$7+'Parametros'!$B$9+'Parametros'!$B$12/2),I478-(ROUNDUP(Z478/2,0)*('Parametros'!$B$7+'Parametros'!$B$9+'Parametros'!$B$12/2)+ROUNDDOWN(Z478/2,0)*('Parametros'!$B$7+'Parametros'!$B$9+'Parametros'!$B$12/2+'Parametros'!$B$12+'Parametros'!$B$10))/Z478)</f>
        <v>489.35</v>
      </c>
      <c r="AC478" s="10">
        <f>Z478*'Parametros'!$B$8</f>
        <v>995</v>
      </c>
      <c r="AD478" s="10">
        <f>'Parametros'!$B$5*AC478*'Parametros'!$B$3*(AB478-(AC478*'Parametros'!$B$3/(0.85*'Parametros'!$B$2*H478))/2)/1000000</f>
        <v>177.445379382353</v>
      </c>
      <c r="AE478" s="10" t="str">
        <f>IF(AD478&gt;=L478,"CUMPLE","NO CUMPLE")</f>
        <v>CUMPLE</v>
      </c>
      <c r="AF478" s="10">
        <f>V478*1.25*'Parametros'!$B$3*(U478-(V478*1.25*'Parametros'!$B$3/(0.85*'Parametros'!$B$2*H478))/2)/1000000</f>
        <v>244.158843198529</v>
      </c>
      <c r="AG478" s="10">
        <f>AC478*1.25*'Parametros'!$B$3*(AB478-(AC478*1.25*'Parametros'!$B$3/(0.85*'Parametros'!$B$2*H478))/2)/1000000</f>
        <v>244.158843198529</v>
      </c>
      <c r="AH478" s="10">
        <f>N478+(AF478+AG478)/D478</f>
        <v>212.540580662019</v>
      </c>
      <c r="AI478" s="10">
        <f>MAX(O478,AH478)</f>
        <v>212.540580662019</v>
      </c>
      <c r="AJ478" s="10">
        <f>0.17*SQRT('Parametros'!$B$2)*H478*MIN(U478,AB478)/1000</f>
        <v>220.098728691808</v>
      </c>
      <c r="AK478" s="10">
        <f>MAX(AI478/'Parametros'!$B$6-AJ478,0)</f>
        <v>63.288712190884</v>
      </c>
      <c r="AL478" s="10">
        <f>0.66*SQRT('Parametros'!$B$2)*H478*MIN(U478,AB478)/1000</f>
        <v>854.500946685842</v>
      </c>
      <c r="AM478" s="10" t="str">
        <f>IF(AK478&lt;=AL478,"CUMPLE","NO CUMPLE")</f>
        <v>CUMPLE</v>
      </c>
      <c r="AN478" s="17" t="inlineStr">
        <is>
          <t>Nº3 cerrado</t>
        </is>
      </c>
      <c r="AO478" s="31" t="n">
        <v>2</v>
      </c>
      <c r="AP478" s="10">
        <f>ROUNDDOWN(MIN(IF(BC478+BD478=0,1000000000,AO478*BB478/(BC478+BD478)),MIN(U478,AB478)/4,8*'Parametros'!$B$12,24*BA478,300,IF(AV478=0,1000000000,2*((H478-2*('Parametros'!$B$7+'Parametros'!$B$9/2))+(I478-2*('Parametros'!$B$7+'Parametros'!$B$9/2)))/8))/10,0)*10</f>
        <v>120</v>
      </c>
      <c r="AQ478" s="10">
        <f>ROUNDDOWN(MIN(IF(BC478+BD478=0,1000000000,AO478*BB478/(BC478+BD478)),IF(AK478&gt;0.33*SQRT('Parametros'!$B$2)*H478*MIN(U478,AB478)/1000,MIN(U478,AB478)/4,MIN(U478,AB478)/2),600,IF(AV478=0,1000000000,2*((H478-2*('Parametros'!$B$7+'Parametros'!$B$9/2))+(I478-2*('Parametros'!$B$7+'Parametros'!$B$9/2)))/8))/10,0)*10</f>
        <v>240</v>
      </c>
      <c r="AR478" s="10">
        <f>'Parametros'!$B$6*(AJ478+MAX(BE478-BD478,0)*'Parametros'!$B$4*MIN(U478,AB478)/1000)</f>
        <v>347.479259018856</v>
      </c>
      <c r="AS478" s="10" t="str">
        <f>IF(AND(ISERROR(SEARCH("referencia",AN478)),AM478="CUMPLE",AR478&gt;=AI478),"CUMPLE","NO CUMPLE")</f>
        <v>CUMPLE</v>
      </c>
      <c r="AT478" s="10">
        <f>'Parametros'!$B$6*0.083*SQRT('Parametros'!$B$2)*(H478*I478)^2/(2*(H478+I478))/1000000</f>
        <v>11.862178757599</v>
      </c>
      <c r="AU478" s="10" t="str">
        <f>IF(Q478&lt;=AT478,"DESPRECIABLE","DISEÑAR")</f>
        <v>DESPRECIABLE</v>
      </c>
      <c r="AV478" s="10">
        <f>IF(Q478&lt;=AT478,0,Q478*1000000/('Parametros'!$B$6*2*0.85*(H478-2*('Parametros'!$B$7+'Parametros'!$B$9/2))*(I478-2*('Parametros'!$B$7+'Parametros'!$B$9/2))*'Parametros'!$B$4))</f>
        <v>0</v>
      </c>
      <c r="AW478" s="10">
        <f>AV478*2*((H478-2*('Parametros'!$B$7+'Parametros'!$B$9/2))+(I478-2*('Parametros'!$B$7+'Parametros'!$B$9/2)))*'Parametros'!$B$4/'Parametros'!$B$3</f>
        <v>0</v>
      </c>
      <c r="AX478" s="31" t="n">
        <v>0</v>
      </c>
      <c r="AY478" s="10" t="str">
        <f>IF(AV478=0,"DESPRECIABLE",IF(AND(ISERROR(SEARCH("referencia",AN478)),BB478/AP478&gt;=AV478,BI478&gt;=AW478,BH478="CUMPLE"),"CUMPLE","NO CUMPLE"))</f>
        <v>DESPRECIABLE</v>
      </c>
      <c r="AZ478" s="10" t="str">
        <f>IF(AND(X478="CUMPLE",AE478="CUMPLE",AS478="CUMPLE",OR(AY478="CUMPLE",AY478="DESPRECIABLE"),BH478="CUMPLE",BJ478="CUMPLE"),"CUMPLE","NO CUMPLE")</f>
        <v>CUMPLE</v>
      </c>
      <c r="BA478" s="32" t="n">
        <v>9.5</v>
      </c>
      <c r="BB478" s="32" t="n">
        <v>71</v>
      </c>
      <c r="BC478" s="10">
        <f>MAX(IF(AK478=0,0,AK478*1000/('Parametros'!$B$4*MIN(U478,AB478))),MAX(0.062*SQRT('Parametros'!$B$2)*H478/'Parametros'!$B$4,0.35*H478/'Parametros'!$B$4))</f>
        <v>0.416666666666667</v>
      </c>
      <c r="BD478" s="10">
        <f>2*AV478</f>
        <v>0</v>
      </c>
      <c r="BE478" s="10">
        <f>AO478*BB478/AP478</f>
        <v>1.18333333333333</v>
      </c>
      <c r="BF478" s="10">
        <f>SQRT((AI478*1000/(H478*MIN(U478,AB478)))^2+(Q478*1000000*2*((H478-2*('Parametros'!$B$7+'Parametros'!$B$9/2))+(I478-2*('Parametros'!$B$7+'Parametros'!$B$9/2)))/(1.7*((H478-2*('Parametros'!$B$7+'Parametros'!$B$9/2))*(I478-2*('Parametros'!$B$7+'Parametros'!$B$9/2)))^2))^2)</f>
        <v>0.90122504488487</v>
      </c>
      <c r="BG478" s="10">
        <f>'Parametros'!$B$6*(AJ478*1000/(H478*MIN(U478,AB478))+0.66*SQRT('Parametros'!$B$2))</f>
        <v>3.29396038227542</v>
      </c>
      <c r="BH478" s="10" t="str">
        <f>IF(BF478&lt;=BG478,"CUMPLE","NO CUMPLE")</f>
        <v>CUMPLE</v>
      </c>
      <c r="BI478" s="10">
        <f>AX478*'Parametros'!$B$8</f>
        <v>0</v>
      </c>
      <c r="BJ478" s="10" t="str">
        <f>IF(BI478&gt;=AW478,"CUMPLE","NO CUMPLE")</f>
        <v>CUMPLE</v>
      </c>
    </row>
    <row r="479">
      <c r="A479" s="25" t="inlineStr">
        <is>
          <t>VR2</t>
        </is>
      </c>
      <c r="B479" s="25" t="inlineStr">
        <is>
          <t>984</t>
        </is>
      </c>
      <c r="C479" s="10" t="n">
        <v>1</v>
      </c>
      <c r="D479" s="10" t="n">
        <v>2.1</v>
      </c>
      <c r="E479" s="10" t="n">
        <v>2.1</v>
      </c>
      <c r="F479" s="10" t="n">
        <v>500</v>
      </c>
      <c r="G479" s="10" t="n">
        <v>550</v>
      </c>
      <c r="H479" s="17" t="n">
        <v>500</v>
      </c>
      <c r="I479" s="17" t="n">
        <v>550</v>
      </c>
      <c r="J479" s="30" t="n">
        <v>99.7226</v>
      </c>
      <c r="K479" s="10" t="inlineStr">
        <is>
          <t>984</t>
        </is>
      </c>
      <c r="L479" s="30" t="n">
        <v>51.2799</v>
      </c>
      <c r="M479" s="10" t="inlineStr">
        <is>
          <t>984</t>
        </is>
      </c>
      <c r="N479" s="30" t="n">
        <v>88.36199999999999</v>
      </c>
      <c r="O479" s="30" t="n">
        <v>157.519</v>
      </c>
      <c r="P479" s="10" t="inlineStr">
        <is>
          <t>984</t>
        </is>
      </c>
      <c r="Q479" s="30" t="n">
        <v>20.6683</v>
      </c>
      <c r="R479" s="10">
        <f>MAX(MAX(1.4/'Parametros'!$B$3,0.25*SQRT('Parametros'!$B$2)/'Parametros'!$B$3)*H479*U479,(0.85*'Parametros'!$B$2/'Parametros'!$B$3)*(1-SQRT(1-2*(J479*1000000/('Parametros'!$B$5*H479*U479^2))/(0.85*'Parametros'!$B$2)))*H479*U479)</f>
        <v>815.583333333333</v>
      </c>
      <c r="S479" s="31" t="n">
        <v>5</v>
      </c>
      <c r="T479" s="32" t="n">
        <v>1</v>
      </c>
      <c r="U479" s="10">
        <f>IF(T479=1,I479-('Parametros'!$B$7+'Parametros'!$B$9+'Parametros'!$B$12/2),I479-(ROUNDUP(S479/2,0)*('Parametros'!$B$7+'Parametros'!$B$9+'Parametros'!$B$12/2)+ROUNDDOWN(S479/2,0)*('Parametros'!$B$7+'Parametros'!$B$9+'Parametros'!$B$12/2+'Parametros'!$B$12+'Parametros'!$B$10))/S479)</f>
        <v>489.35</v>
      </c>
      <c r="V479" s="10">
        <f>S479*'Parametros'!$B$8</f>
        <v>995</v>
      </c>
      <c r="W479" s="10">
        <f>'Parametros'!$B$5*V479*'Parametros'!$B$3*(U479-(V479*'Parametros'!$B$3/(0.85*'Parametros'!$B$2*H479))/2)/1000000</f>
        <v>177.445379382353</v>
      </c>
      <c r="X479" s="10" t="str">
        <f>IF(W479&gt;=J479,"CUMPLE","NO CUMPLE")</f>
        <v>CUMPLE</v>
      </c>
      <c r="Y479" s="10">
        <f>MAX(MAX(1.4/'Parametros'!$B$3,0.25*SQRT('Parametros'!$B$2)/'Parametros'!$B$3)*H479*AB479,(0.85*'Parametros'!$B$2/'Parametros'!$B$3)*(1-SQRT(1-2*(L479*1000000/('Parametros'!$B$5*H479*AB479^2))/(0.85*'Parametros'!$B$2)))*H479*AB479)</f>
        <v>815.583333333333</v>
      </c>
      <c r="Z479" s="31" t="n">
        <v>5</v>
      </c>
      <c r="AA479" s="32" t="n">
        <v>1</v>
      </c>
      <c r="AB479" s="10">
        <f>IF(AA479=1,I479-('Parametros'!$B$7+'Parametros'!$B$9+'Parametros'!$B$12/2),I479-(ROUNDUP(Z479/2,0)*('Parametros'!$B$7+'Parametros'!$B$9+'Parametros'!$B$12/2)+ROUNDDOWN(Z479/2,0)*('Parametros'!$B$7+'Parametros'!$B$9+'Parametros'!$B$12/2+'Parametros'!$B$12+'Parametros'!$B$10))/Z479)</f>
        <v>489.35</v>
      </c>
      <c r="AC479" s="10">
        <f>Z479*'Parametros'!$B$8</f>
        <v>995</v>
      </c>
      <c r="AD479" s="10">
        <f>'Parametros'!$B$5*AC479*'Parametros'!$B$3*(AB479-(AC479*'Parametros'!$B$3/(0.85*'Parametros'!$B$2*H479))/2)/1000000</f>
        <v>177.445379382353</v>
      </c>
      <c r="AE479" s="10" t="str">
        <f>IF(AD479&gt;=L479,"CUMPLE","NO CUMPLE")</f>
        <v>CUMPLE</v>
      </c>
      <c r="AF479" s="10">
        <f>V479*1.25*'Parametros'!$B$3*(U479-(V479*1.25*'Parametros'!$B$3/(0.85*'Parametros'!$B$2*H479))/2)/1000000</f>
        <v>244.158843198529</v>
      </c>
      <c r="AG479" s="10">
        <f>AC479*1.25*'Parametros'!$B$3*(AB479-(AC479*1.25*'Parametros'!$B$3/(0.85*'Parametros'!$B$2*H479))/2)/1000000</f>
        <v>244.158843198529</v>
      </c>
      <c r="AH479" s="10">
        <f>N479+(AF479+AG479)/D479</f>
        <v>320.894231617647</v>
      </c>
      <c r="AI479" s="10">
        <f>MAX(O479,AH479)</f>
        <v>320.894231617647</v>
      </c>
      <c r="AJ479" s="10">
        <f>0.17*SQRT('Parametros'!$B$2)*H479*MIN(U479,AB479)/1000</f>
        <v>220.098728691808</v>
      </c>
      <c r="AK479" s="10">
        <f>MAX(AI479/'Parametros'!$B$6-AJ479,0)</f>
        <v>207.760246798388</v>
      </c>
      <c r="AL479" s="10">
        <f>0.66*SQRT('Parametros'!$B$2)*H479*MIN(U479,AB479)/1000</f>
        <v>854.500946685842</v>
      </c>
      <c r="AM479" s="10" t="str">
        <f>IF(AK479&lt;=AL479,"CUMPLE","NO CUMPLE")</f>
        <v>CUMPLE</v>
      </c>
      <c r="AN479" s="17" t="inlineStr">
        <is>
          <t>Nº3 cerrado</t>
        </is>
      </c>
      <c r="AO479" s="31" t="n">
        <v>2</v>
      </c>
      <c r="AP479" s="10">
        <f>ROUNDDOWN(MIN(IF(BC479+BD479=0,1000000000,AO479*BB479/(BC479+BD479)),MIN(U479,AB479)/4,8*'Parametros'!$B$12,24*BA479,300,IF(AV479=0,1000000000,2*((H479-2*('Parametros'!$B$7+'Parametros'!$B$9/2))+(I479-2*('Parametros'!$B$7+'Parametros'!$B$9/2)))/8))/10,0)*10</f>
        <v>90</v>
      </c>
      <c r="AQ479" s="10">
        <f>ROUNDDOWN(MIN(IF(BC479+BD479=0,1000000000,AO479*BB479/(BC479+BD479)),IF(AK479&gt;0.33*SQRT('Parametros'!$B$2)*H479*MIN(U479,AB479)/1000,MIN(U479,AB479)/4,MIN(U479,AB479)/2),600,IF(AV479=0,1000000000,2*((H479-2*('Parametros'!$B$7+'Parametros'!$B$9/2))+(I479-2*('Parametros'!$B$7+'Parametros'!$B$9/2)))/8))/10,0)*10</f>
        <v>90</v>
      </c>
      <c r="AR479" s="10">
        <f>'Parametros'!$B$6*(AJ479+MAX(BE479-BD479,0)*'Parametros'!$B$4*MIN(U479,AB479)/1000)</f>
        <v>344.397333202526</v>
      </c>
      <c r="AS479" s="10" t="str">
        <f>IF(AND(ISERROR(SEARCH("referencia",AN479)),AM479="CUMPLE",AR479&gt;=AI479),"CUMPLE","NO CUMPLE")</f>
        <v>CUMPLE</v>
      </c>
      <c r="AT479" s="10">
        <f>'Parametros'!$B$6*0.083*SQRT('Parametros'!$B$2)*(H479*I479)^2/(2*(H479+I479))/1000000</f>
        <v>11.862178757599</v>
      </c>
      <c r="AU479" s="10" t="str">
        <f>IF(Q479&lt;=AT479,"DESPRECIABLE","DISEÑAR")</f>
        <v>DISEÑAR</v>
      </c>
      <c r="AV479" s="10">
        <f>IF(Q479&lt;=AT479,0,Q479*1000000/('Parametros'!$B$6*2*0.85*(H479-2*('Parametros'!$B$7+'Parametros'!$B$9/2))*(I479-2*('Parametros'!$B$7+'Parametros'!$B$9/2))*'Parametros'!$B$4))</f>
        <v>0.207219046050169</v>
      </c>
      <c r="AW479" s="10">
        <f>AV479*2*((H479-2*('Parametros'!$B$7+'Parametros'!$B$9/2))+(I479-2*('Parametros'!$B$7+'Parametros'!$B$9/2)))*'Parametros'!$B$4/'Parametros'!$B$3</f>
        <v>358.323174429953</v>
      </c>
      <c r="AX479" s="31" t="n">
        <v>8</v>
      </c>
      <c r="AY479" s="10" t="str">
        <f>IF(AV479=0,"DESPRECIABLE",IF(AND(ISERROR(SEARCH("referencia",AN479)),BB479/AP479&gt;=AV479,BI479&gt;=AW479,BH479="CUMPLE"),"CUMPLE","NO CUMPLE"))</f>
        <v>CUMPLE</v>
      </c>
      <c r="AZ479" s="10" t="str">
        <f>IF(AND(X479="CUMPLE",AE479="CUMPLE",AS479="CUMPLE",OR(AY479="CUMPLE",AY479="DESPRECIABLE"),BH479="CUMPLE",BJ479="CUMPLE"),"CUMPLE","NO CUMPLE")</f>
        <v>CUMPLE</v>
      </c>
      <c r="BA479" s="32" t="n">
        <v>9.5</v>
      </c>
      <c r="BB479" s="32" t="n">
        <v>71</v>
      </c>
      <c r="BC479" s="10">
        <f>MAX(IF(AK479=0,0,AK479*1000/('Parametros'!$B$4*MIN(U479,AB479))),MAX(0.062*SQRT('Parametros'!$B$2)*H479/'Parametros'!$B$4,0.35*H479/'Parametros'!$B$4))</f>
        <v>1.01086595337055</v>
      </c>
      <c r="BD479" s="10">
        <f>2*AV479</f>
        <v>0.414438092100338</v>
      </c>
      <c r="BE479" s="10">
        <f>AO479*BB479/AP479</f>
        <v>1.57777777777778</v>
      </c>
      <c r="BF479" s="10">
        <f>SQRT((AI479*1000/(H479*MIN(U479,AB479)))^2+(Q479*1000000*2*((H479-2*('Parametros'!$B$7+'Parametros'!$B$9/2))+(I479-2*('Parametros'!$B$7+'Parametros'!$B$9/2)))/(1.7*((H479-2*('Parametros'!$B$7+'Parametros'!$B$9/2))*(I479-2*('Parametros'!$B$7+'Parametros'!$B$9/2)))^2))^2)</f>
        <v>1.44474751092514</v>
      </c>
      <c r="BG479" s="10">
        <f>'Parametros'!$B$6*(AJ479*1000/(H479*MIN(U479,AB479))+0.66*SQRT('Parametros'!$B$2))</f>
        <v>3.29396038227542</v>
      </c>
      <c r="BH479" s="10" t="str">
        <f>IF(BF479&lt;=BG479,"CUMPLE","NO CUMPLE")</f>
        <v>CUMPLE</v>
      </c>
      <c r="BI479" s="10">
        <f>AX479*'Parametros'!$B$8</f>
        <v>1592</v>
      </c>
      <c r="BJ479" s="10" t="str">
        <f>IF(BI479&gt;=AW479,"CUMPLE","NO CUMPLE")</f>
        <v>CUMPLE</v>
      </c>
    </row>
    <row r="480">
      <c r="A480" s="25" t="inlineStr">
        <is>
          <t>VR2</t>
        </is>
      </c>
      <c r="B480" s="25" t="inlineStr">
        <is>
          <t>985</t>
        </is>
      </c>
      <c r="C480" s="10" t="n">
        <v>1</v>
      </c>
      <c r="D480" s="10" t="n">
        <v>2.2</v>
      </c>
      <c r="E480" s="10" t="n">
        <v>2.2</v>
      </c>
      <c r="F480" s="10" t="n">
        <v>500</v>
      </c>
      <c r="G480" s="10" t="n">
        <v>550</v>
      </c>
      <c r="H480" s="17" t="n">
        <v>500</v>
      </c>
      <c r="I480" s="17" t="n">
        <v>550</v>
      </c>
      <c r="J480" s="30" t="n">
        <v>102.1124</v>
      </c>
      <c r="K480" s="10" t="inlineStr">
        <is>
          <t>985</t>
        </is>
      </c>
      <c r="L480" s="30" t="n">
        <v>51.9715</v>
      </c>
      <c r="M480" s="10" t="inlineStr">
        <is>
          <t>985</t>
        </is>
      </c>
      <c r="N480" s="30" t="n">
        <v>88.666</v>
      </c>
      <c r="O480" s="30" t="n">
        <v>161.519</v>
      </c>
      <c r="P480" s="10" t="inlineStr">
        <is>
          <t>985</t>
        </is>
      </c>
      <c r="Q480" s="30" t="n">
        <v>20.0259</v>
      </c>
      <c r="R480" s="10">
        <f>MAX(MAX(1.4/'Parametros'!$B$3,0.25*SQRT('Parametros'!$B$2)/'Parametros'!$B$3)*H480*U480,(0.85*'Parametros'!$B$2/'Parametros'!$B$3)*(1-SQRT(1-2*(J480*1000000/('Parametros'!$B$5*H480*U480^2))/(0.85*'Parametros'!$B$2)))*H480*U480)</f>
        <v>815.583333333333</v>
      </c>
      <c r="S480" s="31" t="n">
        <v>5</v>
      </c>
      <c r="T480" s="32" t="n">
        <v>1</v>
      </c>
      <c r="U480" s="10">
        <f>IF(T480=1,I480-('Parametros'!$B$7+'Parametros'!$B$9+'Parametros'!$B$12/2),I480-(ROUNDUP(S480/2,0)*('Parametros'!$B$7+'Parametros'!$B$9+'Parametros'!$B$12/2)+ROUNDDOWN(S480/2,0)*('Parametros'!$B$7+'Parametros'!$B$9+'Parametros'!$B$12/2+'Parametros'!$B$12+'Parametros'!$B$10))/S480)</f>
        <v>489.35</v>
      </c>
      <c r="V480" s="10">
        <f>S480*'Parametros'!$B$8</f>
        <v>995</v>
      </c>
      <c r="W480" s="10">
        <f>'Parametros'!$B$5*V480*'Parametros'!$B$3*(U480-(V480*'Parametros'!$B$3/(0.85*'Parametros'!$B$2*H480))/2)/1000000</f>
        <v>177.445379382353</v>
      </c>
      <c r="X480" s="10" t="str">
        <f>IF(W480&gt;=J480,"CUMPLE","NO CUMPLE")</f>
        <v>CUMPLE</v>
      </c>
      <c r="Y480" s="10">
        <f>MAX(MAX(1.4/'Parametros'!$B$3,0.25*SQRT('Parametros'!$B$2)/'Parametros'!$B$3)*H480*AB480,(0.85*'Parametros'!$B$2/'Parametros'!$B$3)*(1-SQRT(1-2*(L480*1000000/('Parametros'!$B$5*H480*AB480^2))/(0.85*'Parametros'!$B$2)))*H480*AB480)</f>
        <v>815.583333333333</v>
      </c>
      <c r="Z480" s="31" t="n">
        <v>5</v>
      </c>
      <c r="AA480" s="32" t="n">
        <v>1</v>
      </c>
      <c r="AB480" s="10">
        <f>IF(AA480=1,I480-('Parametros'!$B$7+'Parametros'!$B$9+'Parametros'!$B$12/2),I480-(ROUNDUP(Z480/2,0)*('Parametros'!$B$7+'Parametros'!$B$9+'Parametros'!$B$12/2)+ROUNDDOWN(Z480/2,0)*('Parametros'!$B$7+'Parametros'!$B$9+'Parametros'!$B$12/2+'Parametros'!$B$12+'Parametros'!$B$10))/Z480)</f>
        <v>489.35</v>
      </c>
      <c r="AC480" s="10">
        <f>Z480*'Parametros'!$B$8</f>
        <v>995</v>
      </c>
      <c r="AD480" s="10">
        <f>'Parametros'!$B$5*AC480*'Parametros'!$B$3*(AB480-(AC480*'Parametros'!$B$3/(0.85*'Parametros'!$B$2*H480))/2)/1000000</f>
        <v>177.445379382353</v>
      </c>
      <c r="AE480" s="10" t="str">
        <f>IF(AD480&gt;=L480,"CUMPLE","NO CUMPLE")</f>
        <v>CUMPLE</v>
      </c>
      <c r="AF480" s="10">
        <f>V480*1.25*'Parametros'!$B$3*(U480-(V480*1.25*'Parametros'!$B$3/(0.85*'Parametros'!$B$2*H480))/2)/1000000</f>
        <v>244.158843198529</v>
      </c>
      <c r="AG480" s="10">
        <f>AC480*1.25*'Parametros'!$B$3*(AB480-(AC480*1.25*'Parametros'!$B$3/(0.85*'Parametros'!$B$2*H480))/2)/1000000</f>
        <v>244.158843198529</v>
      </c>
      <c r="AH480" s="10">
        <f>N480+(AF480+AG480)/D480</f>
        <v>310.628584725936</v>
      </c>
      <c r="AI480" s="10">
        <f>MAX(O480,AH480)</f>
        <v>310.628584725936</v>
      </c>
      <c r="AJ480" s="10">
        <f>0.17*SQRT('Parametros'!$B$2)*H480*MIN(U480,AB480)/1000</f>
        <v>220.098728691808</v>
      </c>
      <c r="AK480" s="10">
        <f>MAX(AI480/'Parametros'!$B$6-AJ480,0)</f>
        <v>194.07271760944</v>
      </c>
      <c r="AL480" s="10">
        <f>0.66*SQRT('Parametros'!$B$2)*H480*MIN(U480,AB480)/1000</f>
        <v>854.500946685842</v>
      </c>
      <c r="AM480" s="10" t="str">
        <f>IF(AK480&lt;=AL480,"CUMPLE","NO CUMPLE")</f>
        <v>CUMPLE</v>
      </c>
      <c r="AN480" s="17" t="inlineStr">
        <is>
          <t>Nº3 cerrado</t>
        </is>
      </c>
      <c r="AO480" s="31" t="n">
        <v>2</v>
      </c>
      <c r="AP480" s="10">
        <f>ROUNDDOWN(MIN(IF(BC480+BD480=0,1000000000,AO480*BB480/(BC480+BD480)),MIN(U480,AB480)/4,8*'Parametros'!$B$12,24*BA480,300,IF(AV480=0,1000000000,2*((H480-2*('Parametros'!$B$7+'Parametros'!$B$9/2))+(I480-2*('Parametros'!$B$7+'Parametros'!$B$9/2)))/8))/10,0)*10</f>
        <v>100</v>
      </c>
      <c r="AQ480" s="10">
        <f>ROUNDDOWN(MIN(IF(BC480+BD480=0,1000000000,AO480*BB480/(BC480+BD480)),IF(AK480&gt;0.33*SQRT('Parametros'!$B$2)*H480*MIN(U480,AB480)/1000,MIN(U480,AB480)/4,MIN(U480,AB480)/2),600,IF(AV480=0,1000000000,2*((H480-2*('Parametros'!$B$7+'Parametros'!$B$9/2))+(I480-2*('Parametros'!$B$7+'Parametros'!$B$9/2)))/8))/10,0)*10</f>
        <v>100</v>
      </c>
      <c r="AR480" s="10">
        <f>'Parametros'!$B$6*(AJ480+MAX(BE480-BD480,0)*'Parametros'!$B$4*MIN(U480,AB480)/1000)</f>
        <v>322.062232823971</v>
      </c>
      <c r="AS480" s="10" t="str">
        <f>IF(AND(ISERROR(SEARCH("referencia",AN480)),AM480="CUMPLE",AR480&gt;=AI480),"CUMPLE","NO CUMPLE")</f>
        <v>CUMPLE</v>
      </c>
      <c r="AT480" s="10">
        <f>'Parametros'!$B$6*0.083*SQRT('Parametros'!$B$2)*(H480*I480)^2/(2*(H480+I480))/1000000</f>
        <v>11.862178757599</v>
      </c>
      <c r="AU480" s="10" t="str">
        <f>IF(Q480&lt;=AT480,"DESPRECIABLE","DISEÑAR")</f>
        <v>DISEÑAR</v>
      </c>
      <c r="AV480" s="10">
        <f>IF(Q480&lt;=AT480,0,Q480*1000000/('Parametros'!$B$6*2*0.85*(H480-2*('Parametros'!$B$7+'Parametros'!$B$9/2))*(I480-2*('Parametros'!$B$7+'Parametros'!$B$9/2))*'Parametros'!$B$4))</f>
        <v>0.200778384980675</v>
      </c>
      <c r="AW480" s="10">
        <f>AV480*2*((H480-2*('Parametros'!$B$7+'Parametros'!$B$9/2))+(I480-2*('Parametros'!$B$7+'Parametros'!$B$9/2)))*'Parametros'!$B$4/'Parametros'!$B$3</f>
        <v>347.185983308583</v>
      </c>
      <c r="AX480" s="31" t="n">
        <v>8</v>
      </c>
      <c r="AY480" s="10" t="str">
        <f>IF(AV480=0,"DESPRECIABLE",IF(AND(ISERROR(SEARCH("referencia",AN480)),BB480/AP480&gt;=AV480,BI480&gt;=AW480,BH480="CUMPLE"),"CUMPLE","NO CUMPLE"))</f>
        <v>CUMPLE</v>
      </c>
      <c r="AZ480" s="10" t="str">
        <f>IF(AND(X480="CUMPLE",AE480="CUMPLE",AS480="CUMPLE",OR(AY480="CUMPLE",AY480="DESPRECIABLE"),BH480="CUMPLE",BJ480="CUMPLE"),"CUMPLE","NO CUMPLE")</f>
        <v>CUMPLE</v>
      </c>
      <c r="BA480" s="32" t="n">
        <v>9.5</v>
      </c>
      <c r="BB480" s="32" t="n">
        <v>71</v>
      </c>
      <c r="BC480" s="10">
        <f>MAX(IF(AK480=0,0,AK480*1000/('Parametros'!$B$4*MIN(U480,AB480))),MAX(0.062*SQRT('Parametros'!$B$2)*H480/'Parametros'!$B$4,0.35*H480/'Parametros'!$B$4))</f>
        <v>0.944268721917023</v>
      </c>
      <c r="BD480" s="10">
        <f>2*AV480</f>
        <v>0.40155676996135</v>
      </c>
      <c r="BE480" s="10">
        <f>AO480*BB480/AP480</f>
        <v>1.42</v>
      </c>
      <c r="BF480" s="10">
        <f>SQRT((AI480*1000/(H480*MIN(U480,AB480)))^2+(Q480*1000000*2*((H480-2*('Parametros'!$B$7+'Parametros'!$B$9/2))+(I480-2*('Parametros'!$B$7+'Parametros'!$B$9/2)))/(1.7*((H480-2*('Parametros'!$B$7+'Parametros'!$B$9/2))*(I480-2*('Parametros'!$B$7+'Parametros'!$B$9/2)))^2))^2)</f>
        <v>1.39876018312798</v>
      </c>
      <c r="BG480" s="10">
        <f>'Parametros'!$B$6*(AJ480*1000/(H480*MIN(U480,AB480))+0.66*SQRT('Parametros'!$B$2))</f>
        <v>3.29396038227542</v>
      </c>
      <c r="BH480" s="10" t="str">
        <f>IF(BF480&lt;=BG480,"CUMPLE","NO CUMPLE")</f>
        <v>CUMPLE</v>
      </c>
      <c r="BI480" s="10">
        <f>AX480*'Parametros'!$B$8</f>
        <v>1592</v>
      </c>
      <c r="BJ480" s="10" t="str">
        <f>IF(BI480&gt;=AW480,"CUMPLE","NO CUMPLE")</f>
        <v>CUMPLE</v>
      </c>
    </row>
    <row r="481">
      <c r="A481" s="25" t="inlineStr">
        <is>
          <t>VR2</t>
        </is>
      </c>
      <c r="B481" s="25" t="inlineStr">
        <is>
          <t>986</t>
        </is>
      </c>
      <c r="C481" s="10" t="n">
        <v>1</v>
      </c>
      <c r="D481" s="10" t="n">
        <v>3.57612</v>
      </c>
      <c r="E481" s="10" t="n">
        <v>3.57612</v>
      </c>
      <c r="F481" s="10" t="n">
        <v>500</v>
      </c>
      <c r="G481" s="10" t="n">
        <v>550</v>
      </c>
      <c r="H481" s="17" t="n">
        <v>500</v>
      </c>
      <c r="I481" s="17" t="n">
        <v>550</v>
      </c>
      <c r="J481" s="30" t="n">
        <v>78.5583</v>
      </c>
      <c r="K481" s="10" t="inlineStr">
        <is>
          <t>986</t>
        </is>
      </c>
      <c r="L481" s="30" t="n">
        <v>40.8121</v>
      </c>
      <c r="M481" s="10" t="inlineStr">
        <is>
          <t>986</t>
        </is>
      </c>
      <c r="N481" s="30" t="n">
        <v>75.77</v>
      </c>
      <c r="O481" s="30" t="n">
        <v>152.622</v>
      </c>
      <c r="P481" s="10" t="inlineStr">
        <is>
          <t>986</t>
        </is>
      </c>
      <c r="Q481" s="30" t="n">
        <v>8.2874</v>
      </c>
      <c r="R481" s="10">
        <f>MAX(MAX(1.4/'Parametros'!$B$3,0.25*SQRT('Parametros'!$B$2)/'Parametros'!$B$3)*H481*U481,(0.85*'Parametros'!$B$2/'Parametros'!$B$3)*(1-SQRT(1-2*(J481*1000000/('Parametros'!$B$5*H481*U481^2))/(0.85*'Parametros'!$B$2)))*H481*U481)</f>
        <v>815.583333333333</v>
      </c>
      <c r="S481" s="31" t="n">
        <v>5</v>
      </c>
      <c r="T481" s="32" t="n">
        <v>1</v>
      </c>
      <c r="U481" s="10">
        <f>IF(T481=1,I481-('Parametros'!$B$7+'Parametros'!$B$9+'Parametros'!$B$12/2),I481-(ROUNDUP(S481/2,0)*('Parametros'!$B$7+'Parametros'!$B$9+'Parametros'!$B$12/2)+ROUNDDOWN(S481/2,0)*('Parametros'!$B$7+'Parametros'!$B$9+'Parametros'!$B$12/2+'Parametros'!$B$12+'Parametros'!$B$10))/S481)</f>
        <v>489.35</v>
      </c>
      <c r="V481" s="10">
        <f>S481*'Parametros'!$B$8</f>
        <v>995</v>
      </c>
      <c r="W481" s="10">
        <f>'Parametros'!$B$5*V481*'Parametros'!$B$3*(U481-(V481*'Parametros'!$B$3/(0.85*'Parametros'!$B$2*H481))/2)/1000000</f>
        <v>177.445379382353</v>
      </c>
      <c r="X481" s="10" t="str">
        <f>IF(W481&gt;=J481,"CUMPLE","NO CUMPLE")</f>
        <v>CUMPLE</v>
      </c>
      <c r="Y481" s="10">
        <f>MAX(MAX(1.4/'Parametros'!$B$3,0.25*SQRT('Parametros'!$B$2)/'Parametros'!$B$3)*H481*AB481,(0.85*'Parametros'!$B$2/'Parametros'!$B$3)*(1-SQRT(1-2*(L481*1000000/('Parametros'!$B$5*H481*AB481^2))/(0.85*'Parametros'!$B$2)))*H481*AB481)</f>
        <v>815.583333333333</v>
      </c>
      <c r="Z481" s="31" t="n">
        <v>5</v>
      </c>
      <c r="AA481" s="32" t="n">
        <v>1</v>
      </c>
      <c r="AB481" s="10">
        <f>IF(AA481=1,I481-('Parametros'!$B$7+'Parametros'!$B$9+'Parametros'!$B$12/2),I481-(ROUNDUP(Z481/2,0)*('Parametros'!$B$7+'Parametros'!$B$9+'Parametros'!$B$12/2)+ROUNDDOWN(Z481/2,0)*('Parametros'!$B$7+'Parametros'!$B$9+'Parametros'!$B$12/2+'Parametros'!$B$12+'Parametros'!$B$10))/Z481)</f>
        <v>489.35</v>
      </c>
      <c r="AC481" s="10">
        <f>Z481*'Parametros'!$B$8</f>
        <v>995</v>
      </c>
      <c r="AD481" s="10">
        <f>'Parametros'!$B$5*AC481*'Parametros'!$B$3*(AB481-(AC481*'Parametros'!$B$3/(0.85*'Parametros'!$B$2*H481))/2)/1000000</f>
        <v>177.445379382353</v>
      </c>
      <c r="AE481" s="10" t="str">
        <f>IF(AD481&gt;=L481,"CUMPLE","NO CUMPLE")</f>
        <v>CUMPLE</v>
      </c>
      <c r="AF481" s="10">
        <f>V481*1.25*'Parametros'!$B$3*(U481-(V481*1.25*'Parametros'!$B$3/(0.85*'Parametros'!$B$2*H481))/2)/1000000</f>
        <v>244.158843198529</v>
      </c>
      <c r="AG481" s="10">
        <f>AC481*1.25*'Parametros'!$B$3*(AB481-(AC481*1.25*'Parametros'!$B$3/(0.85*'Parametros'!$B$2*H481))/2)/1000000</f>
        <v>244.158843198529</v>
      </c>
      <c r="AH481" s="10">
        <f>N481+(AF481+AG481)/D481</f>
        <v>212.319580662019</v>
      </c>
      <c r="AI481" s="10">
        <f>MAX(O481,AH481)</f>
        <v>212.319580662019</v>
      </c>
      <c r="AJ481" s="10">
        <f>0.17*SQRT('Parametros'!$B$2)*H481*MIN(U481,AB481)/1000</f>
        <v>220.098728691808</v>
      </c>
      <c r="AK481" s="10">
        <f>MAX(AI481/'Parametros'!$B$6-AJ481,0)</f>
        <v>62.9940455242174</v>
      </c>
      <c r="AL481" s="10">
        <f>0.66*SQRT('Parametros'!$B$2)*H481*MIN(U481,AB481)/1000</f>
        <v>854.500946685842</v>
      </c>
      <c r="AM481" s="10" t="str">
        <f>IF(AK481&lt;=AL481,"CUMPLE","NO CUMPLE")</f>
        <v>CUMPLE</v>
      </c>
      <c r="AN481" s="17" t="inlineStr">
        <is>
          <t>Nº3 cerrado</t>
        </is>
      </c>
      <c r="AO481" s="31" t="n">
        <v>2</v>
      </c>
      <c r="AP481" s="10">
        <f>ROUNDDOWN(MIN(IF(BC481+BD481=0,1000000000,AO481*BB481/(BC481+BD481)),MIN(U481,AB481)/4,8*'Parametros'!$B$12,24*BA481,300,IF(AV481=0,1000000000,2*((H481-2*('Parametros'!$B$7+'Parametros'!$B$9/2))+(I481-2*('Parametros'!$B$7+'Parametros'!$B$9/2)))/8))/10,0)*10</f>
        <v>120</v>
      </c>
      <c r="AQ481" s="10">
        <f>ROUNDDOWN(MIN(IF(BC481+BD481=0,1000000000,AO481*BB481/(BC481+BD481)),IF(AK481&gt;0.33*SQRT('Parametros'!$B$2)*H481*MIN(U481,AB481)/1000,MIN(U481,AB481)/4,MIN(U481,AB481)/2),600,IF(AV481=0,1000000000,2*((H481-2*('Parametros'!$B$7+'Parametros'!$B$9/2))+(I481-2*('Parametros'!$B$7+'Parametros'!$B$9/2)))/8))/10,0)*10</f>
        <v>240</v>
      </c>
      <c r="AR481" s="10">
        <f>'Parametros'!$B$6*(AJ481+MAX(BE481-BD481,0)*'Parametros'!$B$4*MIN(U481,AB481)/1000)</f>
        <v>347.479259018856</v>
      </c>
      <c r="AS481" s="10" t="str">
        <f>IF(AND(ISERROR(SEARCH("referencia",AN481)),AM481="CUMPLE",AR481&gt;=AI481),"CUMPLE","NO CUMPLE")</f>
        <v>CUMPLE</v>
      </c>
      <c r="AT481" s="10">
        <f>'Parametros'!$B$6*0.083*SQRT('Parametros'!$B$2)*(H481*I481)^2/(2*(H481+I481))/1000000</f>
        <v>11.862178757599</v>
      </c>
      <c r="AU481" s="10" t="str">
        <f>IF(Q481&lt;=AT481,"DESPRECIABLE","DISEÑAR")</f>
        <v>DESPRECIABLE</v>
      </c>
      <c r="AV481" s="10">
        <f>IF(Q481&lt;=AT481,0,Q481*1000000/('Parametros'!$B$6*2*0.85*(H481-2*('Parametros'!$B$7+'Parametros'!$B$9/2))*(I481-2*('Parametros'!$B$7+'Parametros'!$B$9/2))*'Parametros'!$B$4))</f>
        <v>0</v>
      </c>
      <c r="AW481" s="10">
        <f>AV481*2*((H481-2*('Parametros'!$B$7+'Parametros'!$B$9/2))+(I481-2*('Parametros'!$B$7+'Parametros'!$B$9/2)))*'Parametros'!$B$4/'Parametros'!$B$3</f>
        <v>0</v>
      </c>
      <c r="AX481" s="31" t="n">
        <v>0</v>
      </c>
      <c r="AY481" s="10" t="str">
        <f>IF(AV481=0,"DESPRECIABLE",IF(AND(ISERROR(SEARCH("referencia",AN481)),BB481/AP481&gt;=AV481,BI481&gt;=AW481,BH481="CUMPLE"),"CUMPLE","NO CUMPLE"))</f>
        <v>DESPRECIABLE</v>
      </c>
      <c r="AZ481" s="10" t="str">
        <f>IF(AND(X481="CUMPLE",AE481="CUMPLE",AS481="CUMPLE",OR(AY481="CUMPLE",AY481="DESPRECIABLE"),BH481="CUMPLE",BJ481="CUMPLE"),"CUMPLE","NO CUMPLE")</f>
        <v>CUMPLE</v>
      </c>
      <c r="BA481" s="32" t="n">
        <v>9.5</v>
      </c>
      <c r="BB481" s="32" t="n">
        <v>71</v>
      </c>
      <c r="BC481" s="10">
        <f>MAX(IF(AK481=0,0,AK481*1000/('Parametros'!$B$4*MIN(U481,AB481))),MAX(0.062*SQRT('Parametros'!$B$2)*H481/'Parametros'!$B$4,0.35*H481/'Parametros'!$B$4))</f>
        <v>0.416666666666667</v>
      </c>
      <c r="BD481" s="10">
        <f>2*AV481</f>
        <v>0</v>
      </c>
      <c r="BE481" s="10">
        <f>AO481*BB481/AP481</f>
        <v>1.18333333333333</v>
      </c>
      <c r="BF481" s="10">
        <f>SQRT((AI481*1000/(H481*MIN(U481,AB481)))^2+(Q481*1000000*2*((H481-2*('Parametros'!$B$7+'Parametros'!$B$9/2))+(I481-2*('Parametros'!$B$7+'Parametros'!$B$9/2)))/(1.7*((H481-2*('Parametros'!$B$7+'Parametros'!$B$9/2))*(I481-2*('Parametros'!$B$7+'Parametros'!$B$9/2)))^2))^2)</f>
        <v>0.901139861275072</v>
      </c>
      <c r="BG481" s="10">
        <f>'Parametros'!$B$6*(AJ481*1000/(H481*MIN(U481,AB481))+0.66*SQRT('Parametros'!$B$2))</f>
        <v>3.29396038227542</v>
      </c>
      <c r="BH481" s="10" t="str">
        <f>IF(BF481&lt;=BG481,"CUMPLE","NO CUMPLE")</f>
        <v>CUMPLE</v>
      </c>
      <c r="BI481" s="10">
        <f>AX481*'Parametros'!$B$8</f>
        <v>0</v>
      </c>
      <c r="BJ481" s="10" t="str">
        <f>IF(BI481&gt;=AW481,"CUMPLE","NO CUMPLE")</f>
        <v>CUMPLE</v>
      </c>
    </row>
    <row r="482">
      <c r="A482" s="25" t="inlineStr">
        <is>
          <t>VR2</t>
        </is>
      </c>
      <c r="B482" s="25" t="inlineStr">
        <is>
          <t>987</t>
        </is>
      </c>
      <c r="C482" s="10" t="n">
        <v>1</v>
      </c>
      <c r="D482" s="10" t="n">
        <v>1.9</v>
      </c>
      <c r="E482" s="10" t="n">
        <v>1.9</v>
      </c>
      <c r="F482" s="10" t="n">
        <v>500</v>
      </c>
      <c r="G482" s="10" t="n">
        <v>550</v>
      </c>
      <c r="H482" s="17" t="n">
        <v>500</v>
      </c>
      <c r="I482" s="17" t="n">
        <v>550</v>
      </c>
      <c r="J482" s="30" t="n">
        <v>48.3957</v>
      </c>
      <c r="K482" s="10" t="inlineStr">
        <is>
          <t>987</t>
        </is>
      </c>
      <c r="L482" s="30" t="n">
        <v>11.6977</v>
      </c>
      <c r="M482" s="10" t="inlineStr">
        <is>
          <t>987</t>
        </is>
      </c>
      <c r="N482" s="30" t="n">
        <v>52.361</v>
      </c>
      <c r="O482" s="30" t="n">
        <v>98.163</v>
      </c>
      <c r="P482" s="10" t="inlineStr">
        <is>
          <t>987</t>
        </is>
      </c>
      <c r="Q482" s="30" t="n">
        <v>9.323700000000001</v>
      </c>
      <c r="R482" s="10">
        <f>MAX(MAX(1.4/'Parametros'!$B$3,0.25*SQRT('Parametros'!$B$2)/'Parametros'!$B$3)*H482*U482,(0.85*'Parametros'!$B$2/'Parametros'!$B$3)*(1-SQRT(1-2*(J482*1000000/('Parametros'!$B$5*H482*U482^2))/(0.85*'Parametros'!$B$2)))*H482*U482)</f>
        <v>815.583333333333</v>
      </c>
      <c r="S482" s="31" t="n">
        <v>5</v>
      </c>
      <c r="T482" s="32" t="n">
        <v>1</v>
      </c>
      <c r="U482" s="10">
        <f>IF(T482=1,I482-('Parametros'!$B$7+'Parametros'!$B$9+'Parametros'!$B$12/2),I482-(ROUNDUP(S482/2,0)*('Parametros'!$B$7+'Parametros'!$B$9+'Parametros'!$B$12/2)+ROUNDDOWN(S482/2,0)*('Parametros'!$B$7+'Parametros'!$B$9+'Parametros'!$B$12/2+'Parametros'!$B$12+'Parametros'!$B$10))/S482)</f>
        <v>489.35</v>
      </c>
      <c r="V482" s="10">
        <f>S482*'Parametros'!$B$8</f>
        <v>995</v>
      </c>
      <c r="W482" s="10">
        <f>'Parametros'!$B$5*V482*'Parametros'!$B$3*(U482-(V482*'Parametros'!$B$3/(0.85*'Parametros'!$B$2*H482))/2)/1000000</f>
        <v>177.445379382353</v>
      </c>
      <c r="X482" s="10" t="str">
        <f>IF(W482&gt;=J482,"CUMPLE","NO CUMPLE")</f>
        <v>CUMPLE</v>
      </c>
      <c r="Y482" s="10">
        <f>MAX(MAX(1.4/'Parametros'!$B$3,0.25*SQRT('Parametros'!$B$2)/'Parametros'!$B$3)*H482*AB482,(0.85*'Parametros'!$B$2/'Parametros'!$B$3)*(1-SQRT(1-2*(L482*1000000/('Parametros'!$B$5*H482*AB482^2))/(0.85*'Parametros'!$B$2)))*H482*AB482)</f>
        <v>815.583333333333</v>
      </c>
      <c r="Z482" s="31" t="n">
        <v>5</v>
      </c>
      <c r="AA482" s="32" t="n">
        <v>1</v>
      </c>
      <c r="AB482" s="10">
        <f>IF(AA482=1,I482-('Parametros'!$B$7+'Parametros'!$B$9+'Parametros'!$B$12/2),I482-(ROUNDUP(Z482/2,0)*('Parametros'!$B$7+'Parametros'!$B$9+'Parametros'!$B$12/2)+ROUNDDOWN(Z482/2,0)*('Parametros'!$B$7+'Parametros'!$B$9+'Parametros'!$B$12/2+'Parametros'!$B$12+'Parametros'!$B$10))/Z482)</f>
        <v>489.35</v>
      </c>
      <c r="AC482" s="10">
        <f>Z482*'Parametros'!$B$8</f>
        <v>995</v>
      </c>
      <c r="AD482" s="10">
        <f>'Parametros'!$B$5*AC482*'Parametros'!$B$3*(AB482-(AC482*'Parametros'!$B$3/(0.85*'Parametros'!$B$2*H482))/2)/1000000</f>
        <v>177.445379382353</v>
      </c>
      <c r="AE482" s="10" t="str">
        <f>IF(AD482&gt;=L482,"CUMPLE","NO CUMPLE")</f>
        <v>CUMPLE</v>
      </c>
      <c r="AF482" s="10">
        <f>V482*1.25*'Parametros'!$B$3*(U482-(V482*1.25*'Parametros'!$B$3/(0.85*'Parametros'!$B$2*H482))/2)/1000000</f>
        <v>244.158843198529</v>
      </c>
      <c r="AG482" s="10">
        <f>AC482*1.25*'Parametros'!$B$3*(AB482-(AC482*1.25*'Parametros'!$B$3/(0.85*'Parametros'!$B$2*H482))/2)/1000000</f>
        <v>244.158843198529</v>
      </c>
      <c r="AH482" s="10">
        <f>N482+(AF482+AG482)/D482</f>
        <v>309.370308630031</v>
      </c>
      <c r="AI482" s="10">
        <f>MAX(O482,AH482)</f>
        <v>309.370308630031</v>
      </c>
      <c r="AJ482" s="10">
        <f>0.17*SQRT('Parametros'!$B$2)*H482*MIN(U482,AB482)/1000</f>
        <v>220.098728691808</v>
      </c>
      <c r="AK482" s="10">
        <f>MAX(AI482/'Parametros'!$B$6-AJ482,0)</f>
        <v>192.395016148233</v>
      </c>
      <c r="AL482" s="10">
        <f>0.66*SQRT('Parametros'!$B$2)*H482*MIN(U482,AB482)/1000</f>
        <v>854.500946685842</v>
      </c>
      <c r="AM482" s="10" t="str">
        <f>IF(AK482&lt;=AL482,"CUMPLE","NO CUMPLE")</f>
        <v>CUMPLE</v>
      </c>
      <c r="AN482" s="17" t="inlineStr">
        <is>
          <t>Nº3 cerrado</t>
        </is>
      </c>
      <c r="AO482" s="31" t="n">
        <v>2</v>
      </c>
      <c r="AP482" s="10">
        <f>ROUNDDOWN(MIN(IF(BC482+BD482=0,1000000000,AO482*BB482/(BC482+BD482)),MIN(U482,AB482)/4,8*'Parametros'!$B$12,24*BA482,300,IF(AV482=0,1000000000,2*((H482-2*('Parametros'!$B$7+'Parametros'!$B$9/2))+(I482-2*('Parametros'!$B$7+'Parametros'!$B$9/2)))/8))/10,0)*10</f>
        <v>120</v>
      </c>
      <c r="AQ482" s="10">
        <f>ROUNDDOWN(MIN(IF(BC482+BD482=0,1000000000,AO482*BB482/(BC482+BD482)),IF(AK482&gt;0.33*SQRT('Parametros'!$B$2)*H482*MIN(U482,AB482)/1000,MIN(U482,AB482)/4,MIN(U482,AB482)/2),600,IF(AV482=0,1000000000,2*((H482-2*('Parametros'!$B$7+'Parametros'!$B$9/2))+(I482-2*('Parametros'!$B$7+'Parametros'!$B$9/2)))/8))/10,0)*10</f>
        <v>150</v>
      </c>
      <c r="AR482" s="10">
        <f>'Parametros'!$B$6*(AJ482+MAX(BE482-BD482,0)*'Parametros'!$B$4*MIN(U482,AB482)/1000)</f>
        <v>347.479259018856</v>
      </c>
      <c r="AS482" s="10" t="str">
        <f>IF(AND(ISERROR(SEARCH("referencia",AN482)),AM482="CUMPLE",AR482&gt;=AI482),"CUMPLE","NO CUMPLE")</f>
        <v>CUMPLE</v>
      </c>
      <c r="AT482" s="10">
        <f>'Parametros'!$B$6*0.083*SQRT('Parametros'!$B$2)*(H482*I482)^2/(2*(H482+I482))/1000000</f>
        <v>11.862178757599</v>
      </c>
      <c r="AU482" s="10" t="str">
        <f>IF(Q482&lt;=AT482,"DESPRECIABLE","DISEÑAR")</f>
        <v>DESPRECIABLE</v>
      </c>
      <c r="AV482" s="10">
        <f>IF(Q482&lt;=AT482,0,Q482*1000000/('Parametros'!$B$6*2*0.85*(H482-2*('Parametros'!$B$7+'Parametros'!$B$9/2))*(I482-2*('Parametros'!$B$7+'Parametros'!$B$9/2))*'Parametros'!$B$4))</f>
        <v>0</v>
      </c>
      <c r="AW482" s="10">
        <f>AV482*2*((H482-2*('Parametros'!$B$7+'Parametros'!$B$9/2))+(I482-2*('Parametros'!$B$7+'Parametros'!$B$9/2)))*'Parametros'!$B$4/'Parametros'!$B$3</f>
        <v>0</v>
      </c>
      <c r="AX482" s="31" t="n">
        <v>0</v>
      </c>
      <c r="AY482" s="10" t="str">
        <f>IF(AV482=0,"DESPRECIABLE",IF(AND(ISERROR(SEARCH("referencia",AN482)),BB482/AP482&gt;=AV482,BI482&gt;=AW482,BH482="CUMPLE"),"CUMPLE","NO CUMPLE"))</f>
        <v>DESPRECIABLE</v>
      </c>
      <c r="AZ482" s="10" t="str">
        <f>IF(AND(X482="CUMPLE",AE482="CUMPLE",AS482="CUMPLE",OR(AY482="CUMPLE",AY482="DESPRECIABLE"),BH482="CUMPLE",BJ482="CUMPLE"),"CUMPLE","NO CUMPLE")</f>
        <v>CUMPLE</v>
      </c>
      <c r="BA482" s="32" t="n">
        <v>9.5</v>
      </c>
      <c r="BB482" s="32" t="n">
        <v>71</v>
      </c>
      <c r="BC482" s="10">
        <f>MAX(IF(AK482=0,0,AK482*1000/('Parametros'!$B$4*MIN(U482,AB482))),MAX(0.062*SQRT('Parametros'!$B$2)*H482/'Parametros'!$B$4,0.35*H482/'Parametros'!$B$4))</f>
        <v>0.936105797039968</v>
      </c>
      <c r="BD482" s="10">
        <f>2*AV482</f>
        <v>0</v>
      </c>
      <c r="BE482" s="10">
        <f>AO482*BB482/AP482</f>
        <v>1.18333333333333</v>
      </c>
      <c r="BF482" s="10">
        <f>SQRT((AI482*1000/(H482*MIN(U482,AB482)))^2+(Q482*1000000*2*((H482-2*('Parametros'!$B$7+'Parametros'!$B$9/2))+(I482-2*('Parametros'!$B$7+'Parametros'!$B$9/2)))/(1.7*((H482-2*('Parametros'!$B$7+'Parametros'!$B$9/2))*(I482-2*('Parametros'!$B$7+'Parametros'!$B$9/2)))^2))^2)</f>
        <v>1.29362778921148</v>
      </c>
      <c r="BG482" s="10">
        <f>'Parametros'!$B$6*(AJ482*1000/(H482*MIN(U482,AB482))+0.66*SQRT('Parametros'!$B$2))</f>
        <v>3.29396038227542</v>
      </c>
      <c r="BH482" s="10" t="str">
        <f>IF(BF482&lt;=BG482,"CUMPLE","NO CUMPLE")</f>
        <v>CUMPLE</v>
      </c>
      <c r="BI482" s="10">
        <f>AX482*'Parametros'!$B$8</f>
        <v>0</v>
      </c>
      <c r="BJ482" s="10" t="str">
        <f>IF(BI482&gt;=AW482,"CUMPLE","NO CUMPLE")</f>
        <v>CUMPLE</v>
      </c>
    </row>
    <row r="483">
      <c r="A483" s="25" t="inlineStr">
        <is>
          <t>VR2</t>
        </is>
      </c>
      <c r="B483" s="25" t="inlineStr">
        <is>
          <t>988</t>
        </is>
      </c>
      <c r="C483" s="10" t="n">
        <v>1</v>
      </c>
      <c r="D483" s="10" t="n">
        <v>2</v>
      </c>
      <c r="E483" s="10" t="n">
        <v>2</v>
      </c>
      <c r="F483" s="10" t="n">
        <v>500</v>
      </c>
      <c r="G483" s="10" t="n">
        <v>550</v>
      </c>
      <c r="H483" s="17" t="n">
        <v>500</v>
      </c>
      <c r="I483" s="17" t="n">
        <v>550</v>
      </c>
      <c r="J483" s="30" t="n">
        <v>54.0045</v>
      </c>
      <c r="K483" s="10" t="inlineStr">
        <is>
          <t>988</t>
        </is>
      </c>
      <c r="L483" s="30" t="n">
        <v>19.0541</v>
      </c>
      <c r="M483" s="10" t="inlineStr">
        <is>
          <t>988</t>
        </is>
      </c>
      <c r="N483" s="30" t="n">
        <v>64.137</v>
      </c>
      <c r="O483" s="30" t="n">
        <v>149.531</v>
      </c>
      <c r="P483" s="10" t="inlineStr">
        <is>
          <t>988</t>
        </is>
      </c>
      <c r="Q483" s="30" t="n">
        <v>21.5435</v>
      </c>
      <c r="R483" s="10">
        <f>MAX(MAX(1.4/'Parametros'!$B$3,0.25*SQRT('Parametros'!$B$2)/'Parametros'!$B$3)*H483*U483,(0.85*'Parametros'!$B$2/'Parametros'!$B$3)*(1-SQRT(1-2*(J483*1000000/('Parametros'!$B$5*H483*U483^2))/(0.85*'Parametros'!$B$2)))*H483*U483)</f>
        <v>815.583333333333</v>
      </c>
      <c r="S483" s="31" t="n">
        <v>5</v>
      </c>
      <c r="T483" s="32" t="n">
        <v>1</v>
      </c>
      <c r="U483" s="10">
        <f>IF(T483=1,I483-('Parametros'!$B$7+'Parametros'!$B$9+'Parametros'!$B$12/2),I483-(ROUNDUP(S483/2,0)*('Parametros'!$B$7+'Parametros'!$B$9+'Parametros'!$B$12/2)+ROUNDDOWN(S483/2,0)*('Parametros'!$B$7+'Parametros'!$B$9+'Parametros'!$B$12/2+'Parametros'!$B$12+'Parametros'!$B$10))/S483)</f>
        <v>489.35</v>
      </c>
      <c r="V483" s="10">
        <f>S483*'Parametros'!$B$8</f>
        <v>995</v>
      </c>
      <c r="W483" s="10">
        <f>'Parametros'!$B$5*V483*'Parametros'!$B$3*(U483-(V483*'Parametros'!$B$3/(0.85*'Parametros'!$B$2*H483))/2)/1000000</f>
        <v>177.445379382353</v>
      </c>
      <c r="X483" s="10" t="str">
        <f>IF(W483&gt;=J483,"CUMPLE","NO CUMPLE")</f>
        <v>CUMPLE</v>
      </c>
      <c r="Y483" s="10">
        <f>MAX(MAX(1.4/'Parametros'!$B$3,0.25*SQRT('Parametros'!$B$2)/'Parametros'!$B$3)*H483*AB483,(0.85*'Parametros'!$B$2/'Parametros'!$B$3)*(1-SQRT(1-2*(L483*1000000/('Parametros'!$B$5*H483*AB483^2))/(0.85*'Parametros'!$B$2)))*H483*AB483)</f>
        <v>815.583333333333</v>
      </c>
      <c r="Z483" s="31" t="n">
        <v>5</v>
      </c>
      <c r="AA483" s="32" t="n">
        <v>1</v>
      </c>
      <c r="AB483" s="10">
        <f>IF(AA483=1,I483-('Parametros'!$B$7+'Parametros'!$B$9+'Parametros'!$B$12/2),I483-(ROUNDUP(Z483/2,0)*('Parametros'!$B$7+'Parametros'!$B$9+'Parametros'!$B$12/2)+ROUNDDOWN(Z483/2,0)*('Parametros'!$B$7+'Parametros'!$B$9+'Parametros'!$B$12/2+'Parametros'!$B$12+'Parametros'!$B$10))/Z483)</f>
        <v>489.35</v>
      </c>
      <c r="AC483" s="10">
        <f>Z483*'Parametros'!$B$8</f>
        <v>995</v>
      </c>
      <c r="AD483" s="10">
        <f>'Parametros'!$B$5*AC483*'Parametros'!$B$3*(AB483-(AC483*'Parametros'!$B$3/(0.85*'Parametros'!$B$2*H483))/2)/1000000</f>
        <v>177.445379382353</v>
      </c>
      <c r="AE483" s="10" t="str">
        <f>IF(AD483&gt;=L483,"CUMPLE","NO CUMPLE")</f>
        <v>CUMPLE</v>
      </c>
      <c r="AF483" s="10">
        <f>V483*1.25*'Parametros'!$B$3*(U483-(V483*1.25*'Parametros'!$B$3/(0.85*'Parametros'!$B$2*H483))/2)/1000000</f>
        <v>244.158843198529</v>
      </c>
      <c r="AG483" s="10">
        <f>AC483*1.25*'Parametros'!$B$3*(AB483-(AC483*1.25*'Parametros'!$B$3/(0.85*'Parametros'!$B$2*H483))/2)/1000000</f>
        <v>244.158843198529</v>
      </c>
      <c r="AH483" s="10">
        <f>N483+(AF483+AG483)/D483</f>
        <v>308.295843198529</v>
      </c>
      <c r="AI483" s="10">
        <f>MAX(O483,AH483)</f>
        <v>308.295843198529</v>
      </c>
      <c r="AJ483" s="10">
        <f>0.17*SQRT('Parametros'!$B$2)*H483*MIN(U483,AB483)/1000</f>
        <v>220.098728691808</v>
      </c>
      <c r="AK483" s="10">
        <f>MAX(AI483/'Parametros'!$B$6-AJ483,0)</f>
        <v>190.962395572898</v>
      </c>
      <c r="AL483" s="10">
        <f>0.66*SQRT('Parametros'!$B$2)*H483*MIN(U483,AB483)/1000</f>
        <v>854.500946685842</v>
      </c>
      <c r="AM483" s="10" t="str">
        <f>IF(AK483&lt;=AL483,"CUMPLE","NO CUMPLE")</f>
        <v>CUMPLE</v>
      </c>
      <c r="AN483" s="17" t="inlineStr">
        <is>
          <t>Nº3 cerrado</t>
        </is>
      </c>
      <c r="AO483" s="31" t="n">
        <v>2</v>
      </c>
      <c r="AP483" s="10">
        <f>ROUNDDOWN(MIN(IF(BC483+BD483=0,1000000000,AO483*BB483/(BC483+BD483)),MIN(U483,AB483)/4,8*'Parametros'!$B$12,24*BA483,300,IF(AV483=0,1000000000,2*((H483-2*('Parametros'!$B$7+'Parametros'!$B$9/2))+(I483-2*('Parametros'!$B$7+'Parametros'!$B$9/2)))/8))/10,0)*10</f>
        <v>100</v>
      </c>
      <c r="AQ483" s="10">
        <f>ROUNDDOWN(MIN(IF(BC483+BD483=0,1000000000,AO483*BB483/(BC483+BD483)),IF(AK483&gt;0.33*SQRT('Parametros'!$B$2)*H483*MIN(U483,AB483)/1000,MIN(U483,AB483)/4,MIN(U483,AB483)/2),600,IF(AV483=0,1000000000,2*((H483-2*('Parametros'!$B$7+'Parametros'!$B$9/2))+(I483-2*('Parametros'!$B$7+'Parametros'!$B$9/2)))/8))/10,0)*10</f>
        <v>100</v>
      </c>
      <c r="AR483" s="10">
        <f>'Parametros'!$B$6*(AJ483+MAX(BE483-BD483,0)*'Parametros'!$B$4*MIN(U483,AB483)/1000)</f>
        <v>317.371481893858</v>
      </c>
      <c r="AS483" s="10" t="str">
        <f>IF(AND(ISERROR(SEARCH("referencia",AN483)),AM483="CUMPLE",AR483&gt;=AI483),"CUMPLE","NO CUMPLE")</f>
        <v>CUMPLE</v>
      </c>
      <c r="AT483" s="10">
        <f>'Parametros'!$B$6*0.083*SQRT('Parametros'!$B$2)*(H483*I483)^2/(2*(H483+I483))/1000000</f>
        <v>11.862178757599</v>
      </c>
      <c r="AU483" s="10" t="str">
        <f>IF(Q483&lt;=AT483,"DESPRECIABLE","DISEÑAR")</f>
        <v>DISEÑAR</v>
      </c>
      <c r="AV483" s="10">
        <f>IF(Q483&lt;=AT483,0,Q483*1000000/('Parametros'!$B$6*2*0.85*(H483-2*('Parametros'!$B$7+'Parametros'!$B$9/2))*(I483-2*('Parametros'!$B$7+'Parametros'!$B$9/2))*'Parametros'!$B$4))</f>
        <v>0.215993744941859</v>
      </c>
      <c r="AW483" s="10">
        <f>AV483*2*((H483-2*('Parametros'!$B$7+'Parametros'!$B$9/2))+(I483-2*('Parametros'!$B$7+'Parametros'!$B$9/2)))*'Parametros'!$B$4/'Parametros'!$B$3</f>
        <v>373.496383753462</v>
      </c>
      <c r="AX483" s="31" t="n">
        <v>8</v>
      </c>
      <c r="AY483" s="10" t="str">
        <f>IF(AV483=0,"DESPRECIABLE",IF(AND(ISERROR(SEARCH("referencia",AN483)),BB483/AP483&gt;=AV483,BI483&gt;=AW483,BH483="CUMPLE"),"CUMPLE","NO CUMPLE"))</f>
        <v>CUMPLE</v>
      </c>
      <c r="AZ483" s="10" t="str">
        <f>IF(AND(X483="CUMPLE",AE483="CUMPLE",AS483="CUMPLE",OR(AY483="CUMPLE",AY483="DESPRECIABLE"),BH483="CUMPLE",BJ483="CUMPLE"),"CUMPLE","NO CUMPLE")</f>
        <v>CUMPLE</v>
      </c>
      <c r="BA483" s="32" t="n">
        <v>9.5</v>
      </c>
      <c r="BB483" s="32" t="n">
        <v>71</v>
      </c>
      <c r="BC483" s="10">
        <f>MAX(IF(AK483=0,0,AK483*1000/('Parametros'!$B$4*MIN(U483,AB483))),MAX(0.062*SQRT('Parametros'!$B$2)*H483/'Parametros'!$B$4,0.35*H483/'Parametros'!$B$4))</f>
        <v>0.929135323207647</v>
      </c>
      <c r="BD483" s="10">
        <f>2*AV483</f>
        <v>0.431987489883717</v>
      </c>
      <c r="BE483" s="10">
        <f>AO483*BB483/AP483</f>
        <v>1.42</v>
      </c>
      <c r="BF483" s="10">
        <f>SQRT((AI483*1000/(H483*MIN(U483,AB483)))^2+(Q483*1000000*2*((H483-2*('Parametros'!$B$7+'Parametros'!$B$9/2))+(I483-2*('Parametros'!$B$7+'Parametros'!$B$9/2)))/(1.7*((H483-2*('Parametros'!$B$7+'Parametros'!$B$9/2))*(I483-2*('Parametros'!$B$7+'Parametros'!$B$9/2)))^2))^2)</f>
        <v>1.40948417987904</v>
      </c>
      <c r="BG483" s="10">
        <f>'Parametros'!$B$6*(AJ483*1000/(H483*MIN(U483,AB483))+0.66*SQRT('Parametros'!$B$2))</f>
        <v>3.29396038227542</v>
      </c>
      <c r="BH483" s="10" t="str">
        <f>IF(BF483&lt;=BG483,"CUMPLE","NO CUMPLE")</f>
        <v>CUMPLE</v>
      </c>
      <c r="BI483" s="10">
        <f>AX483*'Parametros'!$B$8</f>
        <v>1592</v>
      </c>
      <c r="BJ483" s="10" t="str">
        <f>IF(BI483&gt;=AW483,"CUMPLE","NO CUMPLE")</f>
        <v>CUMPLE</v>
      </c>
    </row>
    <row r="484">
      <c r="A484" s="25" t="inlineStr">
        <is>
          <t>VR2</t>
        </is>
      </c>
      <c r="B484" s="25" t="inlineStr">
        <is>
          <t>989</t>
        </is>
      </c>
      <c r="C484" s="10" t="n">
        <v>1</v>
      </c>
      <c r="D484" s="10" t="n">
        <v>3.05308</v>
      </c>
      <c r="E484" s="10" t="n">
        <v>3.05308</v>
      </c>
      <c r="F484" s="10" t="n">
        <v>500</v>
      </c>
      <c r="G484" s="10" t="n">
        <v>550</v>
      </c>
      <c r="H484" s="17" t="n">
        <v>500</v>
      </c>
      <c r="I484" s="17" t="n">
        <v>550</v>
      </c>
      <c r="J484" s="30" t="n">
        <v>82.3111</v>
      </c>
      <c r="K484" s="10" t="inlineStr">
        <is>
          <t>989</t>
        </is>
      </c>
      <c r="L484" s="30" t="n">
        <v>44.0189</v>
      </c>
      <c r="M484" s="10" t="inlineStr">
        <is>
          <t>989</t>
        </is>
      </c>
      <c r="N484" s="30" t="n">
        <v>84.41800000000001</v>
      </c>
      <c r="O484" s="30" t="n">
        <v>166.379</v>
      </c>
      <c r="P484" s="10" t="inlineStr">
        <is>
          <t>989</t>
        </is>
      </c>
      <c r="Q484" s="30" t="n">
        <v>26.2935</v>
      </c>
      <c r="R484" s="10">
        <f>MAX(MAX(1.4/'Parametros'!$B$3,0.25*SQRT('Parametros'!$B$2)/'Parametros'!$B$3)*H484*U484,(0.85*'Parametros'!$B$2/'Parametros'!$B$3)*(1-SQRT(1-2*(J484*1000000/('Parametros'!$B$5*H484*U484^2))/(0.85*'Parametros'!$B$2)))*H484*U484)</f>
        <v>815.583333333333</v>
      </c>
      <c r="S484" s="31" t="n">
        <v>5</v>
      </c>
      <c r="T484" s="32" t="n">
        <v>1</v>
      </c>
      <c r="U484" s="10">
        <f>IF(T484=1,I484-('Parametros'!$B$7+'Parametros'!$B$9+'Parametros'!$B$12/2),I484-(ROUNDUP(S484/2,0)*('Parametros'!$B$7+'Parametros'!$B$9+'Parametros'!$B$12/2)+ROUNDDOWN(S484/2,0)*('Parametros'!$B$7+'Parametros'!$B$9+'Parametros'!$B$12/2+'Parametros'!$B$12+'Parametros'!$B$10))/S484)</f>
        <v>489.35</v>
      </c>
      <c r="V484" s="10">
        <f>S484*'Parametros'!$B$8</f>
        <v>995</v>
      </c>
      <c r="W484" s="10">
        <f>'Parametros'!$B$5*V484*'Parametros'!$B$3*(U484-(V484*'Parametros'!$B$3/(0.85*'Parametros'!$B$2*H484))/2)/1000000</f>
        <v>177.445379382353</v>
      </c>
      <c r="X484" s="10" t="str">
        <f>IF(W484&gt;=J484,"CUMPLE","NO CUMPLE")</f>
        <v>CUMPLE</v>
      </c>
      <c r="Y484" s="10">
        <f>MAX(MAX(1.4/'Parametros'!$B$3,0.25*SQRT('Parametros'!$B$2)/'Parametros'!$B$3)*H484*AB484,(0.85*'Parametros'!$B$2/'Parametros'!$B$3)*(1-SQRT(1-2*(L484*1000000/('Parametros'!$B$5*H484*AB484^2))/(0.85*'Parametros'!$B$2)))*H484*AB484)</f>
        <v>815.583333333333</v>
      </c>
      <c r="Z484" s="31" t="n">
        <v>5</v>
      </c>
      <c r="AA484" s="32" t="n">
        <v>1</v>
      </c>
      <c r="AB484" s="10">
        <f>IF(AA484=1,I484-('Parametros'!$B$7+'Parametros'!$B$9+'Parametros'!$B$12/2),I484-(ROUNDUP(Z484/2,0)*('Parametros'!$B$7+'Parametros'!$B$9+'Parametros'!$B$12/2)+ROUNDDOWN(Z484/2,0)*('Parametros'!$B$7+'Parametros'!$B$9+'Parametros'!$B$12/2+'Parametros'!$B$12+'Parametros'!$B$10))/Z484)</f>
        <v>489.35</v>
      </c>
      <c r="AC484" s="10">
        <f>Z484*'Parametros'!$B$8</f>
        <v>995</v>
      </c>
      <c r="AD484" s="10">
        <f>'Parametros'!$B$5*AC484*'Parametros'!$B$3*(AB484-(AC484*'Parametros'!$B$3/(0.85*'Parametros'!$B$2*H484))/2)/1000000</f>
        <v>177.445379382353</v>
      </c>
      <c r="AE484" s="10" t="str">
        <f>IF(AD484&gt;=L484,"CUMPLE","NO CUMPLE")</f>
        <v>CUMPLE</v>
      </c>
      <c r="AF484" s="10">
        <f>V484*1.25*'Parametros'!$B$3*(U484-(V484*1.25*'Parametros'!$B$3/(0.85*'Parametros'!$B$2*H484))/2)/1000000</f>
        <v>244.158843198529</v>
      </c>
      <c r="AG484" s="10">
        <f>AC484*1.25*'Parametros'!$B$3*(AB484-(AC484*1.25*'Parametros'!$B$3/(0.85*'Parametros'!$B$2*H484))/2)/1000000</f>
        <v>244.158843198529</v>
      </c>
      <c r="AH484" s="10">
        <f>N484+(AF484+AG484)/D484</f>
        <v>244.36064362449</v>
      </c>
      <c r="AI484" s="10">
        <f>MAX(O484,AH484)</f>
        <v>244.36064362449</v>
      </c>
      <c r="AJ484" s="10">
        <f>0.17*SQRT('Parametros'!$B$2)*H484*MIN(U484,AB484)/1000</f>
        <v>220.098728691808</v>
      </c>
      <c r="AK484" s="10">
        <f>MAX(AI484/'Parametros'!$B$6-AJ484,0)</f>
        <v>105.715462807513</v>
      </c>
      <c r="AL484" s="10">
        <f>0.66*SQRT('Parametros'!$B$2)*H484*MIN(U484,AB484)/1000</f>
        <v>854.500946685842</v>
      </c>
      <c r="AM484" s="10" t="str">
        <f>IF(AK484&lt;=AL484,"CUMPLE","NO CUMPLE")</f>
        <v>CUMPLE</v>
      </c>
      <c r="AN484" s="17" t="inlineStr">
        <is>
          <t>Nº3 cerrado</t>
        </is>
      </c>
      <c r="AO484" s="31" t="n">
        <v>2</v>
      </c>
      <c r="AP484" s="10">
        <f>ROUNDDOWN(MIN(IF(BC484+BD484=0,1000000000,AO484*BB484/(BC484+BD484)),MIN(U484,AB484)/4,8*'Parametros'!$B$12,24*BA484,300,IF(AV484=0,1000000000,2*((H484-2*('Parametros'!$B$7+'Parametros'!$B$9/2))+(I484-2*('Parametros'!$B$7+'Parametros'!$B$9/2)))/8))/10,0)*10</f>
        <v>120</v>
      </c>
      <c r="AQ484" s="10">
        <f>ROUNDDOWN(MIN(IF(BC484+BD484=0,1000000000,AO484*BB484/(BC484+BD484)),IF(AK484&gt;0.33*SQRT('Parametros'!$B$2)*H484*MIN(U484,AB484)/1000,MIN(U484,AB484)/4,MIN(U484,AB484)/2),600,IF(AV484=0,1000000000,2*((H484-2*('Parametros'!$B$7+'Parametros'!$B$9/2))+(I484-2*('Parametros'!$B$7+'Parametros'!$B$9/2)))/8))/10,0)*10</f>
        <v>130</v>
      </c>
      <c r="AR484" s="10">
        <f>'Parametros'!$B$6*(AJ484+MAX(BE484-BD484,0)*'Parametros'!$B$4*MIN(U484,AB484)/1000)</f>
        <v>266.208660981866</v>
      </c>
      <c r="AS484" s="10" t="str">
        <f>IF(AND(ISERROR(SEARCH("referencia",AN484)),AM484="CUMPLE",AR484&gt;=AI484),"CUMPLE","NO CUMPLE")</f>
        <v>CUMPLE</v>
      </c>
      <c r="AT484" s="10">
        <f>'Parametros'!$B$6*0.083*SQRT('Parametros'!$B$2)*(H484*I484)^2/(2*(H484+I484))/1000000</f>
        <v>11.862178757599</v>
      </c>
      <c r="AU484" s="10" t="str">
        <f>IF(Q484&lt;=AT484,"DESPRECIABLE","DISEÑAR")</f>
        <v>DISEÑAR</v>
      </c>
      <c r="AV484" s="10">
        <f>IF(Q484&lt;=AT484,0,Q484*1000000/('Parametros'!$B$6*2*0.85*(H484-2*('Parametros'!$B$7+'Parametros'!$B$9/2))*(I484-2*('Parametros'!$B$7+'Parametros'!$B$9/2))*'Parametros'!$B$4))</f>
        <v>0.263616939338026</v>
      </c>
      <c r="AW484" s="10">
        <f>AV484*2*((H484-2*('Parametros'!$B$7+'Parametros'!$B$9/2))+(I484-2*('Parametros'!$B$7+'Parametros'!$B$9/2)))*'Parametros'!$B$4/'Parametros'!$B$3</f>
        <v>455.846411503315</v>
      </c>
      <c r="AX484" s="31" t="n">
        <v>8</v>
      </c>
      <c r="AY484" s="10" t="str">
        <f>IF(AV484=0,"DESPRECIABLE",IF(AND(ISERROR(SEARCH("referencia",AN484)),BB484/AP484&gt;=AV484,BI484&gt;=AW484,BH484="CUMPLE"),"CUMPLE","NO CUMPLE"))</f>
        <v>CUMPLE</v>
      </c>
      <c r="AZ484" s="10" t="str">
        <f>IF(AND(X484="CUMPLE",AE484="CUMPLE",AS484="CUMPLE",OR(AY484="CUMPLE",AY484="DESPRECIABLE"),BH484="CUMPLE",BJ484="CUMPLE"),"CUMPLE","NO CUMPLE")</f>
        <v>CUMPLE</v>
      </c>
      <c r="BA484" s="32" t="n">
        <v>9.5</v>
      </c>
      <c r="BB484" s="32" t="n">
        <v>71</v>
      </c>
      <c r="BC484" s="10">
        <f>MAX(IF(AK484=0,0,AK484*1000/('Parametros'!$B$4*MIN(U484,AB484))),MAX(0.062*SQRT('Parametros'!$B$2)*H484/'Parametros'!$B$4,0.35*H484/'Parametros'!$B$4))</f>
        <v>0.514362895422561</v>
      </c>
      <c r="BD484" s="10">
        <f>2*AV484</f>
        <v>0.527233878676052</v>
      </c>
      <c r="BE484" s="10">
        <f>AO484*BB484/AP484</f>
        <v>1.18333333333333</v>
      </c>
      <c r="BF484" s="10">
        <f>SQRT((AI484*1000/(H484*MIN(U484,AB484)))^2+(Q484*1000000*2*((H484-2*('Parametros'!$B$7+'Parametros'!$B$9/2))+(I484-2*('Parametros'!$B$7+'Parametros'!$B$9/2)))/(1.7*((H484-2*('Parametros'!$B$7+'Parametros'!$B$9/2))*(I484-2*('Parametros'!$B$7+'Parametros'!$B$9/2)))^2))^2)</f>
        <v>1.26165016023691</v>
      </c>
      <c r="BG484" s="10">
        <f>'Parametros'!$B$6*(AJ484*1000/(H484*MIN(U484,AB484))+0.66*SQRT('Parametros'!$B$2))</f>
        <v>3.29396038227542</v>
      </c>
      <c r="BH484" s="10" t="str">
        <f>IF(BF484&lt;=BG484,"CUMPLE","NO CUMPLE")</f>
        <v>CUMPLE</v>
      </c>
      <c r="BI484" s="10">
        <f>AX484*'Parametros'!$B$8</f>
        <v>1592</v>
      </c>
      <c r="BJ484" s="10" t="str">
        <f>IF(BI484&gt;=AW484,"CUMPLE","NO CUMPLE")</f>
        <v>CUMPLE</v>
      </c>
    </row>
    <row r="485">
      <c r="A485" s="25" t="inlineStr">
        <is>
          <t>VR2</t>
        </is>
      </c>
      <c r="B485" s="25" t="inlineStr">
        <is>
          <t>990</t>
        </is>
      </c>
      <c r="C485" s="10" t="n">
        <v>1</v>
      </c>
      <c r="D485" s="10" t="n">
        <v>2</v>
      </c>
      <c r="E485" s="10" t="n">
        <v>2</v>
      </c>
      <c r="F485" s="10" t="n">
        <v>500</v>
      </c>
      <c r="G485" s="10" t="n">
        <v>550</v>
      </c>
      <c r="H485" s="17" t="n">
        <v>500</v>
      </c>
      <c r="I485" s="17" t="n">
        <v>550</v>
      </c>
      <c r="J485" s="30" t="n">
        <v>61.7496</v>
      </c>
      <c r="K485" s="10" t="inlineStr">
        <is>
          <t>990</t>
        </is>
      </c>
      <c r="L485" s="30" t="n">
        <v>4.8323</v>
      </c>
      <c r="M485" s="10" t="inlineStr">
        <is>
          <t>990</t>
        </is>
      </c>
      <c r="N485" s="30" t="n">
        <v>57.288</v>
      </c>
      <c r="O485" s="30" t="n">
        <v>78.88500000000001</v>
      </c>
      <c r="P485" s="10" t="inlineStr">
        <is>
          <t>990</t>
        </is>
      </c>
      <c r="Q485" s="30" t="n">
        <v>2.5223</v>
      </c>
      <c r="R485" s="10">
        <f>MAX(MAX(1.4/'Parametros'!$B$3,0.25*SQRT('Parametros'!$B$2)/'Parametros'!$B$3)*H485*U485,(0.85*'Parametros'!$B$2/'Parametros'!$B$3)*(1-SQRT(1-2*(J485*1000000/('Parametros'!$B$5*H485*U485^2))/(0.85*'Parametros'!$B$2)))*H485*U485)</f>
        <v>815.583333333333</v>
      </c>
      <c r="S485" s="31" t="n">
        <v>5</v>
      </c>
      <c r="T485" s="32" t="n">
        <v>1</v>
      </c>
      <c r="U485" s="10">
        <f>IF(T485=1,I485-('Parametros'!$B$7+'Parametros'!$B$9+'Parametros'!$B$12/2),I485-(ROUNDUP(S485/2,0)*('Parametros'!$B$7+'Parametros'!$B$9+'Parametros'!$B$12/2)+ROUNDDOWN(S485/2,0)*('Parametros'!$B$7+'Parametros'!$B$9+'Parametros'!$B$12/2+'Parametros'!$B$12+'Parametros'!$B$10))/S485)</f>
        <v>489.35</v>
      </c>
      <c r="V485" s="10">
        <f>S485*'Parametros'!$B$8</f>
        <v>995</v>
      </c>
      <c r="W485" s="10">
        <f>'Parametros'!$B$5*V485*'Parametros'!$B$3*(U485-(V485*'Parametros'!$B$3/(0.85*'Parametros'!$B$2*H485))/2)/1000000</f>
        <v>177.445379382353</v>
      </c>
      <c r="X485" s="10" t="str">
        <f>IF(W485&gt;=J485,"CUMPLE","NO CUMPLE")</f>
        <v>CUMPLE</v>
      </c>
      <c r="Y485" s="10">
        <f>MAX(MAX(1.4/'Parametros'!$B$3,0.25*SQRT('Parametros'!$B$2)/'Parametros'!$B$3)*H485*AB485,(0.85*'Parametros'!$B$2/'Parametros'!$B$3)*(1-SQRT(1-2*(L485*1000000/('Parametros'!$B$5*H485*AB485^2))/(0.85*'Parametros'!$B$2)))*H485*AB485)</f>
        <v>815.583333333333</v>
      </c>
      <c r="Z485" s="31" t="n">
        <v>5</v>
      </c>
      <c r="AA485" s="32" t="n">
        <v>1</v>
      </c>
      <c r="AB485" s="10">
        <f>IF(AA485=1,I485-('Parametros'!$B$7+'Parametros'!$B$9+'Parametros'!$B$12/2),I485-(ROUNDUP(Z485/2,0)*('Parametros'!$B$7+'Parametros'!$B$9+'Parametros'!$B$12/2)+ROUNDDOWN(Z485/2,0)*('Parametros'!$B$7+'Parametros'!$B$9+'Parametros'!$B$12/2+'Parametros'!$B$12+'Parametros'!$B$10))/Z485)</f>
        <v>489.35</v>
      </c>
      <c r="AC485" s="10">
        <f>Z485*'Parametros'!$B$8</f>
        <v>995</v>
      </c>
      <c r="AD485" s="10">
        <f>'Parametros'!$B$5*AC485*'Parametros'!$B$3*(AB485-(AC485*'Parametros'!$B$3/(0.85*'Parametros'!$B$2*H485))/2)/1000000</f>
        <v>177.445379382353</v>
      </c>
      <c r="AE485" s="10" t="str">
        <f>IF(AD485&gt;=L485,"CUMPLE","NO CUMPLE")</f>
        <v>CUMPLE</v>
      </c>
      <c r="AF485" s="10">
        <f>V485*1.25*'Parametros'!$B$3*(U485-(V485*1.25*'Parametros'!$B$3/(0.85*'Parametros'!$B$2*H485))/2)/1000000</f>
        <v>244.158843198529</v>
      </c>
      <c r="AG485" s="10">
        <f>AC485*1.25*'Parametros'!$B$3*(AB485-(AC485*1.25*'Parametros'!$B$3/(0.85*'Parametros'!$B$2*H485))/2)/1000000</f>
        <v>244.158843198529</v>
      </c>
      <c r="AH485" s="10">
        <f>N485+(AF485+AG485)/D485</f>
        <v>301.446843198529</v>
      </c>
      <c r="AI485" s="10">
        <f>MAX(O485,AH485)</f>
        <v>301.446843198529</v>
      </c>
      <c r="AJ485" s="10">
        <f>0.17*SQRT('Parametros'!$B$2)*H485*MIN(U485,AB485)/1000</f>
        <v>220.098728691808</v>
      </c>
      <c r="AK485" s="10">
        <f>MAX(AI485/'Parametros'!$B$6-AJ485,0)</f>
        <v>181.830395572898</v>
      </c>
      <c r="AL485" s="10">
        <f>0.66*SQRT('Parametros'!$B$2)*H485*MIN(U485,AB485)/1000</f>
        <v>854.500946685842</v>
      </c>
      <c r="AM485" s="10" t="str">
        <f>IF(AK485&lt;=AL485,"CUMPLE","NO CUMPLE")</f>
        <v>CUMPLE</v>
      </c>
      <c r="AN485" s="17" t="inlineStr">
        <is>
          <t>Nº3 cerrado</t>
        </is>
      </c>
      <c r="AO485" s="31" t="n">
        <v>2</v>
      </c>
      <c r="AP485" s="10">
        <f>ROUNDDOWN(MIN(IF(BC485+BD485=0,1000000000,AO485*BB485/(BC485+BD485)),MIN(U485,AB485)/4,8*'Parametros'!$B$12,24*BA485,300,IF(AV485=0,1000000000,2*((H485-2*('Parametros'!$B$7+'Parametros'!$B$9/2))+(I485-2*('Parametros'!$B$7+'Parametros'!$B$9/2)))/8))/10,0)*10</f>
        <v>120</v>
      </c>
      <c r="AQ485" s="10">
        <f>ROUNDDOWN(MIN(IF(BC485+BD485=0,1000000000,AO485*BB485/(BC485+BD485)),IF(AK485&gt;0.33*SQRT('Parametros'!$B$2)*H485*MIN(U485,AB485)/1000,MIN(U485,AB485)/4,MIN(U485,AB485)/2),600,IF(AV485=0,1000000000,2*((H485-2*('Parametros'!$B$7+'Parametros'!$B$9/2))+(I485-2*('Parametros'!$B$7+'Parametros'!$B$9/2)))/8))/10,0)*10</f>
        <v>160</v>
      </c>
      <c r="AR485" s="10">
        <f>'Parametros'!$B$6*(AJ485+MAX(BE485-BD485,0)*'Parametros'!$B$4*MIN(U485,AB485)/1000)</f>
        <v>347.479259018856</v>
      </c>
      <c r="AS485" s="10" t="str">
        <f>IF(AND(ISERROR(SEARCH("referencia",AN485)),AM485="CUMPLE",AR485&gt;=AI485),"CUMPLE","NO CUMPLE")</f>
        <v>CUMPLE</v>
      </c>
      <c r="AT485" s="10">
        <f>'Parametros'!$B$6*0.083*SQRT('Parametros'!$B$2)*(H485*I485)^2/(2*(H485+I485))/1000000</f>
        <v>11.862178757599</v>
      </c>
      <c r="AU485" s="10" t="str">
        <f>IF(Q485&lt;=AT485,"DESPRECIABLE","DISEÑAR")</f>
        <v>DESPRECIABLE</v>
      </c>
      <c r="AV485" s="10">
        <f>IF(Q485&lt;=AT485,0,Q485*1000000/('Parametros'!$B$6*2*0.85*(H485-2*('Parametros'!$B$7+'Parametros'!$B$9/2))*(I485-2*('Parametros'!$B$7+'Parametros'!$B$9/2))*'Parametros'!$B$4))</f>
        <v>0</v>
      </c>
      <c r="AW485" s="10">
        <f>AV485*2*((H485-2*('Parametros'!$B$7+'Parametros'!$B$9/2))+(I485-2*('Parametros'!$B$7+'Parametros'!$B$9/2)))*'Parametros'!$B$4/'Parametros'!$B$3</f>
        <v>0</v>
      </c>
      <c r="AX485" s="31" t="n">
        <v>0</v>
      </c>
      <c r="AY485" s="10" t="str">
        <f>IF(AV485=0,"DESPRECIABLE",IF(AND(ISERROR(SEARCH("referencia",AN485)),BB485/AP485&gt;=AV485,BI485&gt;=AW485,BH485="CUMPLE"),"CUMPLE","NO CUMPLE"))</f>
        <v>DESPRECIABLE</v>
      </c>
      <c r="AZ485" s="10" t="str">
        <f>IF(AND(X485="CUMPLE",AE485="CUMPLE",AS485="CUMPLE",OR(AY485="CUMPLE",AY485="DESPRECIABLE"),BH485="CUMPLE",BJ485="CUMPLE"),"CUMPLE","NO CUMPLE")</f>
        <v>CUMPLE</v>
      </c>
      <c r="BA485" s="32" t="n">
        <v>9.5</v>
      </c>
      <c r="BB485" s="32" t="n">
        <v>71</v>
      </c>
      <c r="BC485" s="10">
        <f>MAX(IF(AK485=0,0,AK485*1000/('Parametros'!$B$4*MIN(U485,AB485))),MAX(0.062*SQRT('Parametros'!$B$2)*H485/'Parametros'!$B$4,0.35*H485/'Parametros'!$B$4))</f>
        <v>0.884703204799847</v>
      </c>
      <c r="BD485" s="10">
        <f>2*AV485</f>
        <v>0</v>
      </c>
      <c r="BE485" s="10">
        <f>AO485*BB485/AP485</f>
        <v>1.18333333333333</v>
      </c>
      <c r="BF485" s="10">
        <f>SQRT((AI485*1000/(H485*MIN(U485,AB485)))^2+(Q485*1000000*2*((H485-2*('Parametros'!$B$7+'Parametros'!$B$9/2))+(I485-2*('Parametros'!$B$7+'Parametros'!$B$9/2)))/(1.7*((H485-2*('Parametros'!$B$7+'Parametros'!$B$9/2))*(I485-2*('Parametros'!$B$7+'Parametros'!$B$9/2)))^2))^2)</f>
        <v>1.23424719627037</v>
      </c>
      <c r="BG485" s="10">
        <f>'Parametros'!$B$6*(AJ485*1000/(H485*MIN(U485,AB485))+0.66*SQRT('Parametros'!$B$2))</f>
        <v>3.29396038227542</v>
      </c>
      <c r="BH485" s="10" t="str">
        <f>IF(BF485&lt;=BG485,"CUMPLE","NO CUMPLE")</f>
        <v>CUMPLE</v>
      </c>
      <c r="BI485" s="10">
        <f>AX485*'Parametros'!$B$8</f>
        <v>0</v>
      </c>
      <c r="BJ485" s="10" t="str">
        <f>IF(BI485&gt;=AW485,"CUMPLE","NO CUMPLE")</f>
        <v>CUMPLE</v>
      </c>
    </row>
    <row r="486">
      <c r="A486" s="26" t="inlineStr">
        <is>
          <t>VR3</t>
        </is>
      </c>
      <c r="B486" s="26" t="inlineStr">
        <is>
          <t>23</t>
        </is>
      </c>
      <c r="C486" s="10" t="n">
        <v>1</v>
      </c>
      <c r="D486" s="10" t="n">
        <v>2.35</v>
      </c>
      <c r="E486" s="10" t="n">
        <v>2.35</v>
      </c>
      <c r="F486" s="10" t="n">
        <v>500</v>
      </c>
      <c r="G486" s="10" t="n">
        <v>550</v>
      </c>
      <c r="H486" s="17" t="n">
        <v>500</v>
      </c>
      <c r="I486" s="17" t="n">
        <v>550</v>
      </c>
      <c r="J486" s="30" t="n">
        <v>265.9532</v>
      </c>
      <c r="K486" s="10" t="inlineStr">
        <is>
          <t>23</t>
        </is>
      </c>
      <c r="L486" s="30" t="n">
        <v>123.3379</v>
      </c>
      <c r="M486" s="10" t="inlineStr">
        <is>
          <t>23</t>
        </is>
      </c>
      <c r="N486" s="30" t="n">
        <v>204.202</v>
      </c>
      <c r="O486" s="30" t="n">
        <v>363.05</v>
      </c>
      <c r="P486" s="10" t="inlineStr">
        <is>
          <t>23</t>
        </is>
      </c>
      <c r="Q486" s="30" t="n">
        <v>11.8626</v>
      </c>
      <c r="R486" s="10">
        <f>MAX(MAX(1.4/'Parametros'!$B$3,0.25*SQRT('Parametros'!$B$2)/'Parametros'!$B$3)*H486*U486,(0.85*'Parametros'!$B$2/'Parametros'!$B$3)*(1-SQRT(1-2*(J486*1000000/('Parametros'!$B$5*H486*U486^2))/(0.85*'Parametros'!$B$2)))*H486*U486)</f>
        <v>1521.23865576771</v>
      </c>
      <c r="S486" s="31" t="n">
        <v>8</v>
      </c>
      <c r="T486" s="32" t="n">
        <v>1</v>
      </c>
      <c r="U486" s="10">
        <f>IF(T486=1,I486-('Parametros'!$B$7+'Parametros'!$B$9+'Parametros'!$B$12/2),I486-(ROUNDUP(S486/2,0)*('Parametros'!$B$7+'Parametros'!$B$9+'Parametros'!$B$12/2)+ROUNDDOWN(S486/2,0)*('Parametros'!$B$7+'Parametros'!$B$9+'Parametros'!$B$12/2+'Parametros'!$B$12+'Parametros'!$B$10))/S486)</f>
        <v>489.35</v>
      </c>
      <c r="V486" s="10">
        <f>S486*'Parametros'!$B$8</f>
        <v>1592</v>
      </c>
      <c r="W486" s="10">
        <f>'Parametros'!$B$5*V486*'Parametros'!$B$3*(U486-(V486*'Parametros'!$B$3/(0.85*'Parametros'!$B$2*H486))/2)/1000000</f>
        <v>277.572719858824</v>
      </c>
      <c r="X486" s="10" t="str">
        <f>IF(W486&gt;=J486,"CUMPLE","NO CUMPLE")</f>
        <v>CUMPLE</v>
      </c>
      <c r="Y486" s="10">
        <f>MAX(MAX(1.4/'Parametros'!$B$3,0.25*SQRT('Parametros'!$B$2)/'Parametros'!$B$3)*H486*AB486,(0.85*'Parametros'!$B$2/'Parametros'!$B$3)*(1-SQRT(1-2*(L486*1000000/('Parametros'!$B$5*H486*AB486^2))/(0.85*'Parametros'!$B$2)))*H486*AB486)</f>
        <v>815.583333333333</v>
      </c>
      <c r="Z486" s="31" t="n">
        <v>5</v>
      </c>
      <c r="AA486" s="32" t="n">
        <v>1</v>
      </c>
      <c r="AB486" s="10">
        <f>IF(AA486=1,I486-('Parametros'!$B$7+'Parametros'!$B$9+'Parametros'!$B$12/2),I486-(ROUNDUP(Z486/2,0)*('Parametros'!$B$7+'Parametros'!$B$9+'Parametros'!$B$12/2)+ROUNDDOWN(Z486/2,0)*('Parametros'!$B$7+'Parametros'!$B$9+'Parametros'!$B$12/2+'Parametros'!$B$12+'Parametros'!$B$10))/Z486)</f>
        <v>489.35</v>
      </c>
      <c r="AC486" s="10">
        <f>Z486*'Parametros'!$B$8</f>
        <v>995</v>
      </c>
      <c r="AD486" s="10">
        <f>'Parametros'!$B$5*AC486*'Parametros'!$B$3*(AB486-(AC486*'Parametros'!$B$3/(0.85*'Parametros'!$B$2*H486))/2)/1000000</f>
        <v>177.445379382353</v>
      </c>
      <c r="AE486" s="10" t="str">
        <f>IF(AD486&gt;=L486,"CUMPLE","NO CUMPLE")</f>
        <v>CUMPLE</v>
      </c>
      <c r="AF486" s="10">
        <f>V486*1.25*'Parametros'!$B$3*(U486-(V486*1.25*'Parametros'!$B$3/(0.85*'Parametros'!$B$2*H486))/2)/1000000</f>
        <v>379.647400588235</v>
      </c>
      <c r="AG486" s="10">
        <f>AC486*1.25*'Parametros'!$B$3*(AB486-(AC486*1.25*'Parametros'!$B$3/(0.85*'Parametros'!$B$2*H486))/2)/1000000</f>
        <v>244.158843198529</v>
      </c>
      <c r="AH486" s="10">
        <f>N486+(AF486+AG486)/D486</f>
        <v>469.651465441176</v>
      </c>
      <c r="AI486" s="10">
        <f>MAX(O486,AH486)</f>
        <v>469.651465441176</v>
      </c>
      <c r="AJ486" s="10">
        <f>0.17*SQRT('Parametros'!$B$2)*H486*MIN(U486,AB486)/1000</f>
        <v>220.098728691808</v>
      </c>
      <c r="AK486" s="10">
        <f>MAX(AI486/'Parametros'!$B$6-AJ486,0)</f>
        <v>406.103225229761</v>
      </c>
      <c r="AL486" s="10">
        <f>0.66*SQRT('Parametros'!$B$2)*H486*MIN(U486,AB486)/1000</f>
        <v>854.500946685842</v>
      </c>
      <c r="AM486" s="10" t="str">
        <f>IF(AK486&lt;=AL486,"CUMPLE","NO CUMPLE")</f>
        <v>CUMPLE</v>
      </c>
      <c r="AN486" s="17" t="inlineStr">
        <is>
          <t>Nº4 cerrado</t>
        </is>
      </c>
      <c r="AO486" s="31" t="n">
        <v>2</v>
      </c>
      <c r="AP486" s="10">
        <f>ROUNDDOWN(MIN(IF(BC486+BD486=0,1000000000,AO486*BB486/(BC486+BD486)),MIN(U486,AB486)/4,8*'Parametros'!$B$12,24*BA486,300,IF(AV486=0,1000000000,2*((H486-2*('Parametros'!$B$7+'Parametros'!$B$9/2))+(I486-2*('Parametros'!$B$7+'Parametros'!$B$9/2)))/8))/10,0)*10</f>
        <v>110</v>
      </c>
      <c r="AQ486" s="10">
        <f>ROUNDDOWN(MIN(IF(BC486+BD486=0,1000000000,AO486*BB486/(BC486+BD486)),IF(AK486&gt;0.33*SQRT('Parametros'!$B$2)*H486*MIN(U486,AB486)/1000,MIN(U486,AB486)/4,MIN(U486,AB486)/2),600,IF(AV486=0,1000000000,2*((H486-2*('Parametros'!$B$7+'Parametros'!$B$9/2))+(I486-2*('Parametros'!$B$7+'Parametros'!$B$9/2)))/8))/10,0)*10</f>
        <v>110</v>
      </c>
      <c r="AR486" s="10">
        <f>'Parametros'!$B$6*(AJ486+MAX(BE486-BD486,0)*'Parametros'!$B$4*MIN(U486,AB486)/1000)</f>
        <v>489.948604930511</v>
      </c>
      <c r="AS486" s="10" t="str">
        <f>IF(AND(ISERROR(SEARCH("referencia",AN486)),AM486="CUMPLE",AR486&gt;=AI486),"CUMPLE","NO CUMPLE")</f>
        <v>CUMPLE</v>
      </c>
      <c r="AT486" s="10">
        <f>'Parametros'!$B$6*0.083*SQRT('Parametros'!$B$2)*(H486*I486)^2/(2*(H486+I486))/1000000</f>
        <v>11.862178757599</v>
      </c>
      <c r="AU486" s="10" t="str">
        <f>IF(Q486&lt;=AT486,"DESPRECIABLE","DISEÑAR")</f>
        <v>DISEÑAR</v>
      </c>
      <c r="AV486" s="10">
        <f>IF(Q486&lt;=AT486,0,Q486*1000000/('Parametros'!$B$6*2*0.85*(H486-2*('Parametros'!$B$7+'Parametros'!$B$9/2))*(I486-2*('Parametros'!$B$7+'Parametros'!$B$9/2))*'Parametros'!$B$4))</f>
        <v>0.118933664388205</v>
      </c>
      <c r="AW486" s="10">
        <f>AV486*2*((H486-2*('Parametros'!$B$7+'Parametros'!$B$9/2))+(I486-2*('Parametros'!$B$7+'Parametros'!$B$9/2)))*'Parametros'!$B$4/'Parametros'!$B$3</f>
        <v>205.660092460084</v>
      </c>
      <c r="AX486" s="31" t="n">
        <v>8</v>
      </c>
      <c r="AY486" s="10" t="str">
        <f>IF(AV486=0,"DESPRECIABLE",IF(AND(ISERROR(SEARCH("referencia",AN486)),BB486/AP486&gt;=AV486,BI486&gt;=AW486,BH486="CUMPLE"),"CUMPLE","NO CUMPLE"))</f>
        <v>CUMPLE</v>
      </c>
      <c r="AZ486" s="10" t="str">
        <f>IF(AND(X486="CUMPLE",AE486="CUMPLE",AS486="CUMPLE",OR(AY486="CUMPLE",AY486="DESPRECIABLE"),BH486="CUMPLE",BJ486="CUMPLE"),"CUMPLE","NO CUMPLE")</f>
        <v>CUMPLE</v>
      </c>
      <c r="BA486" s="32" t="n">
        <v>12.7</v>
      </c>
      <c r="BB486" s="32" t="n">
        <v>129</v>
      </c>
      <c r="BC486" s="10">
        <f>MAX(IF(AK486=0,0,AK486*1000/('Parametros'!$B$4*MIN(U486,AB486))),MAX(0.062*SQRT('Parametros'!$B$2)*H486/'Parametros'!$B$4,0.35*H486/'Parametros'!$B$4))</f>
        <v>1.97591180346018</v>
      </c>
      <c r="BD486" s="10">
        <f>2*AV486</f>
        <v>0.23786732877641</v>
      </c>
      <c r="BE486" s="10">
        <f>AO486*BB486/AP486</f>
        <v>2.34545454545455</v>
      </c>
      <c r="BF486" s="10">
        <f>SQRT((AI486*1000/(H486*MIN(U486,AB486)))^2+(Q486*1000000*2*((H486-2*('Parametros'!$B$7+'Parametros'!$B$9/2))+(I486-2*('Parametros'!$B$7+'Parametros'!$B$9/2)))/(1.7*((H486-2*('Parametros'!$B$7+'Parametros'!$B$9/2))*(I486-2*('Parametros'!$B$7+'Parametros'!$B$9/2)))^2))^2)</f>
        <v>1.95074836718232</v>
      </c>
      <c r="BG486" s="10">
        <f>'Parametros'!$B$6*(AJ486*1000/(H486*MIN(U486,AB486))+0.66*SQRT('Parametros'!$B$2))</f>
        <v>3.29396038227542</v>
      </c>
      <c r="BH486" s="10" t="str">
        <f>IF(BF486&lt;=BG486,"CUMPLE","NO CUMPLE")</f>
        <v>CUMPLE</v>
      </c>
      <c r="BI486" s="10">
        <f>AX486*'Parametros'!$B$8</f>
        <v>1592</v>
      </c>
      <c r="BJ486" s="10" t="str">
        <f>IF(BI486&gt;=AW486,"CUMPLE","NO CUMPLE")</f>
        <v>CUMPLE</v>
      </c>
    </row>
    <row r="487">
      <c r="A487" s="26" t="inlineStr">
        <is>
          <t>VR3</t>
        </is>
      </c>
      <c r="B487" s="26" t="inlineStr">
        <is>
          <t>24</t>
        </is>
      </c>
      <c r="C487" s="10" t="n">
        <v>1</v>
      </c>
      <c r="D487" s="10" t="n">
        <v>2</v>
      </c>
      <c r="E487" s="10" t="n">
        <v>2</v>
      </c>
      <c r="F487" s="10" t="n">
        <v>500</v>
      </c>
      <c r="G487" s="10" t="n">
        <v>550</v>
      </c>
      <c r="H487" s="17" t="n">
        <v>500</v>
      </c>
      <c r="I487" s="17" t="n">
        <v>550</v>
      </c>
      <c r="J487" s="30" t="n">
        <v>271.9181</v>
      </c>
      <c r="K487" s="10" t="inlineStr">
        <is>
          <t>24</t>
        </is>
      </c>
      <c r="L487" s="30" t="n">
        <v>111.9668</v>
      </c>
      <c r="M487" s="10" t="inlineStr">
        <is>
          <t>24</t>
        </is>
      </c>
      <c r="N487" s="30" t="n">
        <v>203.512</v>
      </c>
      <c r="O487" s="30" t="n">
        <v>362.098</v>
      </c>
      <c r="P487" s="10" t="inlineStr">
        <is>
          <t>24</t>
        </is>
      </c>
      <c r="Q487" s="30" t="n">
        <v>9.225</v>
      </c>
      <c r="R487" s="10">
        <f>MAX(MAX(1.4/'Parametros'!$B$3,0.25*SQRT('Parametros'!$B$2)/'Parametros'!$B$3)*H487*U487,(0.85*'Parametros'!$B$2/'Parametros'!$B$3)*(1-SQRT(1-2*(J487*1000000/('Parametros'!$B$5*H487*U487^2))/(0.85*'Parametros'!$B$2)))*H487*U487)</f>
        <v>1557.51329137903</v>
      </c>
      <c r="S487" s="31" t="n">
        <v>8</v>
      </c>
      <c r="T487" s="32" t="n">
        <v>1</v>
      </c>
      <c r="U487" s="10">
        <f>IF(T487=1,I487-('Parametros'!$B$7+'Parametros'!$B$9+'Parametros'!$B$12/2),I487-(ROUNDUP(S487/2,0)*('Parametros'!$B$7+'Parametros'!$B$9+'Parametros'!$B$12/2)+ROUNDDOWN(S487/2,0)*('Parametros'!$B$7+'Parametros'!$B$9+'Parametros'!$B$12/2+'Parametros'!$B$12+'Parametros'!$B$10))/S487)</f>
        <v>489.35</v>
      </c>
      <c r="V487" s="10">
        <f>S487*'Parametros'!$B$8</f>
        <v>1592</v>
      </c>
      <c r="W487" s="10">
        <f>'Parametros'!$B$5*V487*'Parametros'!$B$3*(U487-(V487*'Parametros'!$B$3/(0.85*'Parametros'!$B$2*H487))/2)/1000000</f>
        <v>277.572719858824</v>
      </c>
      <c r="X487" s="10" t="str">
        <f>IF(W487&gt;=J487,"CUMPLE","NO CUMPLE")</f>
        <v>CUMPLE</v>
      </c>
      <c r="Y487" s="10">
        <f>MAX(MAX(1.4/'Parametros'!$B$3,0.25*SQRT('Parametros'!$B$2)/'Parametros'!$B$3)*H487*AB487,(0.85*'Parametros'!$B$2/'Parametros'!$B$3)*(1-SQRT(1-2*(L487*1000000/('Parametros'!$B$5*H487*AB487^2))/(0.85*'Parametros'!$B$2)))*H487*AB487)</f>
        <v>815.583333333333</v>
      </c>
      <c r="Z487" s="31" t="n">
        <v>5</v>
      </c>
      <c r="AA487" s="32" t="n">
        <v>1</v>
      </c>
      <c r="AB487" s="10">
        <f>IF(AA487=1,I487-('Parametros'!$B$7+'Parametros'!$B$9+'Parametros'!$B$12/2),I487-(ROUNDUP(Z487/2,0)*('Parametros'!$B$7+'Parametros'!$B$9+'Parametros'!$B$12/2)+ROUNDDOWN(Z487/2,0)*('Parametros'!$B$7+'Parametros'!$B$9+'Parametros'!$B$12/2+'Parametros'!$B$12+'Parametros'!$B$10))/Z487)</f>
        <v>489.35</v>
      </c>
      <c r="AC487" s="10">
        <f>Z487*'Parametros'!$B$8</f>
        <v>995</v>
      </c>
      <c r="AD487" s="10">
        <f>'Parametros'!$B$5*AC487*'Parametros'!$B$3*(AB487-(AC487*'Parametros'!$B$3/(0.85*'Parametros'!$B$2*H487))/2)/1000000</f>
        <v>177.445379382353</v>
      </c>
      <c r="AE487" s="10" t="str">
        <f>IF(AD487&gt;=L487,"CUMPLE","NO CUMPLE")</f>
        <v>CUMPLE</v>
      </c>
      <c r="AF487" s="10">
        <f>V487*1.25*'Parametros'!$B$3*(U487-(V487*1.25*'Parametros'!$B$3/(0.85*'Parametros'!$B$2*H487))/2)/1000000</f>
        <v>379.647400588235</v>
      </c>
      <c r="AG487" s="10">
        <f>AC487*1.25*'Parametros'!$B$3*(AB487-(AC487*1.25*'Parametros'!$B$3/(0.85*'Parametros'!$B$2*H487))/2)/1000000</f>
        <v>244.158843198529</v>
      </c>
      <c r="AH487" s="10">
        <f>N487+(AF487+AG487)/D487</f>
        <v>515.415121893382</v>
      </c>
      <c r="AI487" s="10">
        <f>MAX(O487,AH487)</f>
        <v>515.415121893382</v>
      </c>
      <c r="AJ487" s="10">
        <f>0.17*SQRT('Parametros'!$B$2)*H487*MIN(U487,AB487)/1000</f>
        <v>220.098728691808</v>
      </c>
      <c r="AK487" s="10">
        <f>MAX(AI487/'Parametros'!$B$6-AJ487,0)</f>
        <v>467.121433832702</v>
      </c>
      <c r="AL487" s="10">
        <f>0.66*SQRT('Parametros'!$B$2)*H487*MIN(U487,AB487)/1000</f>
        <v>854.500946685842</v>
      </c>
      <c r="AM487" s="10" t="str">
        <f>IF(AK487&lt;=AL487,"CUMPLE","NO CUMPLE")</f>
        <v>CUMPLE</v>
      </c>
      <c r="AN487" s="17" t="inlineStr">
        <is>
          <t>Nº4 cerrado</t>
        </is>
      </c>
      <c r="AO487" s="31" t="n">
        <v>2</v>
      </c>
      <c r="AP487" s="10">
        <f>ROUNDDOWN(MIN(IF(BC487+BD487=0,1000000000,AO487*BB487/(BC487+BD487)),MIN(U487,AB487)/4,8*'Parametros'!$B$12,24*BA487,300,IF(AV487=0,1000000000,2*((H487-2*('Parametros'!$B$7+'Parametros'!$B$9/2))+(I487-2*('Parametros'!$B$7+'Parametros'!$B$9/2)))/8))/10,0)*10</f>
        <v>110</v>
      </c>
      <c r="AQ487" s="10">
        <f>ROUNDDOWN(MIN(IF(BC487+BD487=0,1000000000,AO487*BB487/(BC487+BD487)),IF(AK487&gt;0.33*SQRT('Parametros'!$B$2)*H487*MIN(U487,AB487)/1000,MIN(U487,AB487)/4,MIN(U487,AB487)/2),600,IF(AV487=0,1000000000,2*((H487-2*('Parametros'!$B$7+'Parametros'!$B$9/2))+(I487-2*('Parametros'!$B$7+'Parametros'!$B$9/2)))/8))/10,0)*10</f>
        <v>110</v>
      </c>
      <c r="AR487" s="10">
        <f>'Parametros'!$B$6*(AJ487+MAX(BE487-BD487,0)*'Parametros'!$B$4*MIN(U487,AB487)/1000)</f>
        <v>526.614723791583</v>
      </c>
      <c r="AS487" s="10" t="str">
        <f>IF(AND(ISERROR(SEARCH("referencia",AN487)),AM487="CUMPLE",AR487&gt;=AI487),"CUMPLE","NO CUMPLE")</f>
        <v>CUMPLE</v>
      </c>
      <c r="AT487" s="10">
        <f>'Parametros'!$B$6*0.083*SQRT('Parametros'!$B$2)*(H487*I487)^2/(2*(H487+I487))/1000000</f>
        <v>11.862178757599</v>
      </c>
      <c r="AU487" s="10" t="str">
        <f>IF(Q487&lt;=AT487,"DESPRECIABLE","DISEÑAR")</f>
        <v>DESPRECIABLE</v>
      </c>
      <c r="AV487" s="10">
        <f>IF(Q487&lt;=AT487,0,Q487*1000000/('Parametros'!$B$6*2*0.85*(H487-2*('Parametros'!$B$7+'Parametros'!$B$9/2))*(I487-2*('Parametros'!$B$7+'Parametros'!$B$9/2))*'Parametros'!$B$4))</f>
        <v>0</v>
      </c>
      <c r="AW487" s="10">
        <f>AV487*2*((H487-2*('Parametros'!$B$7+'Parametros'!$B$9/2))+(I487-2*('Parametros'!$B$7+'Parametros'!$B$9/2)))*'Parametros'!$B$4/'Parametros'!$B$3</f>
        <v>0</v>
      </c>
      <c r="AX487" s="31" t="n">
        <v>0</v>
      </c>
      <c r="AY487" s="10" t="str">
        <f>IF(AV487=0,"DESPRECIABLE",IF(AND(ISERROR(SEARCH("referencia",AN487)),BB487/AP487&gt;=AV487,BI487&gt;=AW487,BH487="CUMPLE"),"CUMPLE","NO CUMPLE"))</f>
        <v>DESPRECIABLE</v>
      </c>
      <c r="AZ487" s="10" t="str">
        <f>IF(AND(X487="CUMPLE",AE487="CUMPLE",AS487="CUMPLE",OR(AY487="CUMPLE",AY487="DESPRECIABLE"),BH487="CUMPLE",BJ487="CUMPLE"),"CUMPLE","NO CUMPLE")</f>
        <v>CUMPLE</v>
      </c>
      <c r="BA487" s="32" t="n">
        <v>12.7</v>
      </c>
      <c r="BB487" s="32" t="n">
        <v>129</v>
      </c>
      <c r="BC487" s="10">
        <f>MAX(IF(AK487=0,0,AK487*1000/('Parametros'!$B$4*MIN(U487,AB487))),MAX(0.062*SQRT('Parametros'!$B$2)*H487/'Parametros'!$B$4,0.35*H487/'Parametros'!$B$4))</f>
        <v>2.27279838577268</v>
      </c>
      <c r="BD487" s="10">
        <f>2*AV487</f>
        <v>0</v>
      </c>
      <c r="BE487" s="10">
        <f>AO487*BB487/AP487</f>
        <v>2.34545454545455</v>
      </c>
      <c r="BF487" s="10">
        <f>SQRT((AI487*1000/(H487*MIN(U487,AB487)))^2+(Q487*1000000*2*((H487-2*('Parametros'!$B$7+'Parametros'!$B$9/2))+(I487-2*('Parametros'!$B$7+'Parametros'!$B$9/2)))/(1.7*((H487-2*('Parametros'!$B$7+'Parametros'!$B$9/2))*(I487-2*('Parametros'!$B$7+'Parametros'!$B$9/2)))^2))^2)</f>
        <v>2.12382320400388</v>
      </c>
      <c r="BG487" s="10">
        <f>'Parametros'!$B$6*(AJ487*1000/(H487*MIN(U487,AB487))+0.66*SQRT('Parametros'!$B$2))</f>
        <v>3.29396038227542</v>
      </c>
      <c r="BH487" s="10" t="str">
        <f>IF(BF487&lt;=BG487,"CUMPLE","NO CUMPLE")</f>
        <v>CUMPLE</v>
      </c>
      <c r="BI487" s="10">
        <f>AX487*'Parametros'!$B$8</f>
        <v>0</v>
      </c>
      <c r="BJ487" s="10" t="str">
        <f>IF(BI487&gt;=AW487,"CUMPLE","NO CUMPLE")</f>
        <v>CUMPLE</v>
      </c>
    </row>
    <row r="488">
      <c r="A488" s="26" t="inlineStr">
        <is>
          <t>VR3</t>
        </is>
      </c>
      <c r="B488" s="26" t="inlineStr">
        <is>
          <t>25</t>
        </is>
      </c>
      <c r="C488" s="10" t="n">
        <v>1</v>
      </c>
      <c r="D488" s="10" t="n">
        <v>1.9</v>
      </c>
      <c r="E488" s="10" t="n">
        <v>1.9</v>
      </c>
      <c r="F488" s="10" t="n">
        <v>500</v>
      </c>
      <c r="G488" s="10" t="n">
        <v>550</v>
      </c>
      <c r="H488" s="17" t="n">
        <v>500</v>
      </c>
      <c r="I488" s="17" t="n">
        <v>550</v>
      </c>
      <c r="J488" s="30" t="n">
        <v>221.015</v>
      </c>
      <c r="K488" s="10" t="inlineStr">
        <is>
          <t>25</t>
        </is>
      </c>
      <c r="L488" s="30" t="n">
        <v>153.126</v>
      </c>
      <c r="M488" s="10" t="inlineStr">
        <is>
          <t>25</t>
        </is>
      </c>
      <c r="N488" s="30" t="n">
        <v>184.478</v>
      </c>
      <c r="O488" s="30" t="n">
        <v>720.496</v>
      </c>
      <c r="P488" s="10" t="inlineStr">
        <is>
          <t>25</t>
        </is>
      </c>
      <c r="Q488" s="30" t="n">
        <v>0.7481</v>
      </c>
      <c r="R488" s="10">
        <f>MAX(MAX(1.4/'Parametros'!$B$3,0.25*SQRT('Parametros'!$B$2)/'Parametros'!$B$3)*H488*U488,(0.85*'Parametros'!$B$2/'Parametros'!$B$3)*(1-SQRT(1-2*(J488*1000000/('Parametros'!$B$5*H488*U488^2))/(0.85*'Parametros'!$B$2)))*H488*U488)</f>
        <v>1251.30679349722</v>
      </c>
      <c r="S488" s="31" t="n">
        <v>7</v>
      </c>
      <c r="T488" s="32" t="n">
        <v>1</v>
      </c>
      <c r="U488" s="10">
        <f>IF(T488=1,I488-('Parametros'!$B$7+'Parametros'!$B$9+'Parametros'!$B$12/2),I488-(ROUNDUP(S488/2,0)*('Parametros'!$B$7+'Parametros'!$B$9+'Parametros'!$B$12/2)+ROUNDDOWN(S488/2,0)*('Parametros'!$B$7+'Parametros'!$B$9+'Parametros'!$B$12/2+'Parametros'!$B$12+'Parametros'!$B$10))/S488)</f>
        <v>489.35</v>
      </c>
      <c r="V488" s="10">
        <f>S488*'Parametros'!$B$8</f>
        <v>1393</v>
      </c>
      <c r="W488" s="10">
        <f>'Parametros'!$B$5*V488*'Parametros'!$B$3*(U488-(V488*'Parametros'!$B$3/(0.85*'Parametros'!$B$2*H488))/2)/1000000</f>
        <v>244.725263629412</v>
      </c>
      <c r="X488" s="10" t="str">
        <f>IF(W488&gt;=J488,"CUMPLE","NO CUMPLE")</f>
        <v>CUMPLE</v>
      </c>
      <c r="Y488" s="10">
        <f>MAX(MAX(1.4/'Parametros'!$B$3,0.25*SQRT('Parametros'!$B$2)/'Parametros'!$B$3)*H488*AB488,(0.85*'Parametros'!$B$2/'Parametros'!$B$3)*(1-SQRT(1-2*(L488*1000000/('Parametros'!$B$5*H488*AB488^2))/(0.85*'Parametros'!$B$2)))*H488*AB488)</f>
        <v>854.132011304244</v>
      </c>
      <c r="Z488" s="31" t="n">
        <v>5</v>
      </c>
      <c r="AA488" s="32" t="n">
        <v>1</v>
      </c>
      <c r="AB488" s="10">
        <f>IF(AA488=1,I488-('Parametros'!$B$7+'Parametros'!$B$9+'Parametros'!$B$12/2),I488-(ROUNDUP(Z488/2,0)*('Parametros'!$B$7+'Parametros'!$B$9+'Parametros'!$B$12/2)+ROUNDDOWN(Z488/2,0)*('Parametros'!$B$7+'Parametros'!$B$9+'Parametros'!$B$12/2+'Parametros'!$B$12+'Parametros'!$B$10))/Z488)</f>
        <v>489.35</v>
      </c>
      <c r="AC488" s="10">
        <f>Z488*'Parametros'!$B$8</f>
        <v>995</v>
      </c>
      <c r="AD488" s="10">
        <f>'Parametros'!$B$5*AC488*'Parametros'!$B$3*(AB488-(AC488*'Parametros'!$B$3/(0.85*'Parametros'!$B$2*H488))/2)/1000000</f>
        <v>177.445379382353</v>
      </c>
      <c r="AE488" s="10" t="str">
        <f>IF(AD488&gt;=L488,"CUMPLE","NO CUMPLE")</f>
        <v>CUMPLE</v>
      </c>
      <c r="AF488" s="10">
        <f>V488*1.25*'Parametros'!$B$3*(U488-(V488*1.25*'Parametros'!$B$3/(0.85*'Parametros'!$B$2*H488))/2)/1000000</f>
        <v>335.401777169118</v>
      </c>
      <c r="AG488" s="10">
        <f>AC488*1.25*'Parametros'!$B$3*(AB488-(AC488*1.25*'Parametros'!$B$3/(0.85*'Parametros'!$B$2*H488))/2)/1000000</f>
        <v>244.158843198529</v>
      </c>
      <c r="AH488" s="10">
        <f>N488+(AF488+AG488)/D488</f>
        <v>489.509905456656</v>
      </c>
      <c r="AI488" s="10">
        <f>MAX(O488,AH488)</f>
        <v>720.496</v>
      </c>
      <c r="AJ488" s="10">
        <f>0.17*SQRT('Parametros'!$B$2)*H488*MIN(U488,AB488)/1000</f>
        <v>220.098728691808</v>
      </c>
      <c r="AK488" s="10">
        <f>MAX(AI488/'Parametros'!$B$6-AJ488,0)</f>
        <v>740.562604641526</v>
      </c>
      <c r="AL488" s="10">
        <f>0.66*SQRT('Parametros'!$B$2)*H488*MIN(U488,AB488)/1000</f>
        <v>854.500946685842</v>
      </c>
      <c r="AM488" s="10" t="str">
        <f>IF(AK488&lt;=AL488,"CUMPLE","NO CUMPLE")</f>
        <v>CUMPLE</v>
      </c>
      <c r="AN488" s="17" t="inlineStr">
        <is>
          <t>Nº4 cerrado</t>
        </is>
      </c>
      <c r="AO488" s="31" t="n">
        <v>4</v>
      </c>
      <c r="AP488" s="10">
        <f>ROUNDDOWN(MIN(IF(BC488+BD488=0,1000000000,AO488*BB488/(BC488+BD488)),MIN(U488,AB488)/4,8*'Parametros'!$B$12,24*BA488,300,IF(AV488=0,1000000000,2*((H488-2*('Parametros'!$B$7+'Parametros'!$B$9/2))+(I488-2*('Parametros'!$B$7+'Parametros'!$B$9/2)))/8))/10,0)*10</f>
        <v>120</v>
      </c>
      <c r="AQ488" s="10">
        <f>ROUNDDOWN(MIN(IF(BC488+BD488=0,1000000000,AO488*BB488/(BC488+BD488)),IF(AK488&gt;0.33*SQRT('Parametros'!$B$2)*H488*MIN(U488,AB488)/1000,MIN(U488,AB488)/4,MIN(U488,AB488)/2),600,IF(AV488=0,1000000000,2*((H488-2*('Parametros'!$B$7+'Parametros'!$B$9/2))+(I488-2*('Parametros'!$B$7+'Parametros'!$B$9/2)))/8))/10,0)*10</f>
        <v>120</v>
      </c>
      <c r="AR488" s="10">
        <f>'Parametros'!$B$6*(AJ488+MAX(BE488-BD488,0)*'Parametros'!$B$4*MIN(U488,AB488)/1000)</f>
        <v>827.898621518856</v>
      </c>
      <c r="AS488" s="10" t="str">
        <f>IF(AND(ISERROR(SEARCH("referencia",AN488)),AM488="CUMPLE",AR488&gt;=AI488),"CUMPLE","NO CUMPLE")</f>
        <v>CUMPLE</v>
      </c>
      <c r="AT488" s="10">
        <f>'Parametros'!$B$6*0.083*SQRT('Parametros'!$B$2)*(H488*I488)^2/(2*(H488+I488))/1000000</f>
        <v>11.862178757599</v>
      </c>
      <c r="AU488" s="10" t="str">
        <f>IF(Q488&lt;=AT488,"DESPRECIABLE","DISEÑAR")</f>
        <v>DESPRECIABLE</v>
      </c>
      <c r="AV488" s="10">
        <f>IF(Q488&lt;=AT488,0,Q488*1000000/('Parametros'!$B$6*2*0.85*(H488-2*('Parametros'!$B$7+'Parametros'!$B$9/2))*(I488-2*('Parametros'!$B$7+'Parametros'!$B$9/2))*'Parametros'!$B$4))</f>
        <v>0</v>
      </c>
      <c r="AW488" s="10">
        <f>AV488*2*((H488-2*('Parametros'!$B$7+'Parametros'!$B$9/2))+(I488-2*('Parametros'!$B$7+'Parametros'!$B$9/2)))*'Parametros'!$B$4/'Parametros'!$B$3</f>
        <v>0</v>
      </c>
      <c r="AX488" s="31" t="n">
        <v>0</v>
      </c>
      <c r="AY488" s="10" t="str">
        <f>IF(AV488=0,"DESPRECIABLE",IF(AND(ISERROR(SEARCH("referencia",AN488)),BB488/AP488&gt;=AV488,BI488&gt;=AW488,BH488="CUMPLE"),"CUMPLE","NO CUMPLE"))</f>
        <v>DESPRECIABLE</v>
      </c>
      <c r="AZ488" s="10" t="str">
        <f>IF(AND(X488="CUMPLE",AE488="CUMPLE",AS488="CUMPLE",OR(AY488="CUMPLE",AY488="DESPRECIABLE"),BH488="CUMPLE",BJ488="CUMPLE"),"CUMPLE","NO CUMPLE")</f>
        <v>CUMPLE</v>
      </c>
      <c r="BA488" s="32" t="n">
        <v>12.7</v>
      </c>
      <c r="BB488" s="32" t="n">
        <v>129</v>
      </c>
      <c r="BC488" s="10">
        <f>MAX(IF(AK488=0,0,AK488*1000/('Parametros'!$B$4*MIN(U488,AB488))),MAX(0.062*SQRT('Parametros'!$B$2)*H488/'Parametros'!$B$4,0.35*H488/'Parametros'!$B$4))</f>
        <v>3.6032375534189</v>
      </c>
      <c r="BD488" s="10">
        <f>2*AV488</f>
        <v>0</v>
      </c>
      <c r="BE488" s="10">
        <f>AO488*BB488/AP488</f>
        <v>4.3</v>
      </c>
      <c r="BF488" s="10">
        <f>SQRT((AI488*1000/(H488*MIN(U488,AB488)))^2+(Q488*1000000*2*((H488-2*('Parametros'!$B$7+'Parametros'!$B$9/2))+(I488-2*('Parametros'!$B$7+'Parametros'!$B$9/2)))/(1.7*((H488-2*('Parametros'!$B$7+'Parametros'!$B$9/2))*(I488-2*('Parametros'!$B$7+'Parametros'!$B$9/2)))^2))^2)</f>
        <v>2.94478793346102</v>
      </c>
      <c r="BG488" s="10">
        <f>'Parametros'!$B$6*(AJ488*1000/(H488*MIN(U488,AB488))+0.66*SQRT('Parametros'!$B$2))</f>
        <v>3.29396038227542</v>
      </c>
      <c r="BH488" s="10" t="str">
        <f>IF(BF488&lt;=BG488,"CUMPLE","NO CUMPLE")</f>
        <v>CUMPLE</v>
      </c>
      <c r="BI488" s="10">
        <f>AX488*'Parametros'!$B$8</f>
        <v>0</v>
      </c>
      <c r="BJ488" s="10" t="str">
        <f>IF(BI488&gt;=AW488,"CUMPLE","NO CUMPLE")</f>
        <v>CUMPLE</v>
      </c>
    </row>
    <row r="489">
      <c r="A489" s="26" t="inlineStr">
        <is>
          <t>VR3</t>
        </is>
      </c>
      <c r="B489" s="26" t="inlineStr">
        <is>
          <t>26</t>
        </is>
      </c>
      <c r="C489" s="10" t="n">
        <v>1</v>
      </c>
      <c r="D489" s="10" t="n">
        <v>3.4</v>
      </c>
      <c r="E489" s="10" t="n">
        <v>3.4</v>
      </c>
      <c r="F489" s="10" t="n">
        <v>500</v>
      </c>
      <c r="G489" s="10" t="n">
        <v>550</v>
      </c>
      <c r="H489" s="17" t="n">
        <v>500</v>
      </c>
      <c r="I489" s="17" t="n">
        <v>550</v>
      </c>
      <c r="J489" s="30" t="n">
        <v>189.671</v>
      </c>
      <c r="K489" s="10" t="inlineStr">
        <is>
          <t>26</t>
        </is>
      </c>
      <c r="L489" s="30" t="n">
        <v>125.9645</v>
      </c>
      <c r="M489" s="10" t="inlineStr">
        <is>
          <t>26</t>
        </is>
      </c>
      <c r="N489" s="30" t="n">
        <v>136.818</v>
      </c>
      <c r="O489" s="30" t="n">
        <v>422.011</v>
      </c>
      <c r="P489" s="10" t="inlineStr">
        <is>
          <t>26</t>
        </is>
      </c>
      <c r="Q489" s="30" t="n">
        <v>10.1938</v>
      </c>
      <c r="R489" s="10">
        <f>MAX(MAX(1.4/'Parametros'!$B$3,0.25*SQRT('Parametros'!$B$2)/'Parametros'!$B$3)*H489*U489,(0.85*'Parametros'!$B$2/'Parametros'!$B$3)*(1-SQRT(1-2*(J489*1000000/('Parametros'!$B$5*H489*U489^2))/(0.85*'Parametros'!$B$2)))*H489*U489)</f>
        <v>1066.40151797252</v>
      </c>
      <c r="S489" s="31" t="n">
        <v>6</v>
      </c>
      <c r="T489" s="32" t="n">
        <v>1</v>
      </c>
      <c r="U489" s="10">
        <f>IF(T489=1,I489-('Parametros'!$B$7+'Parametros'!$B$9+'Parametros'!$B$12/2),I489-(ROUNDUP(S489/2,0)*('Parametros'!$B$7+'Parametros'!$B$9+'Parametros'!$B$12/2)+ROUNDDOWN(S489/2,0)*('Parametros'!$B$7+'Parametros'!$B$9+'Parametros'!$B$12/2+'Parametros'!$B$12+'Parametros'!$B$10))/S489)</f>
        <v>489.35</v>
      </c>
      <c r="V489" s="10">
        <f>S489*'Parametros'!$B$8</f>
        <v>1194</v>
      </c>
      <c r="W489" s="10">
        <f>'Parametros'!$B$5*V489*'Parametros'!$B$3*(U489-(V489*'Parametros'!$B$3/(0.85*'Parametros'!$B$2*H489))/2)/1000000</f>
        <v>211.349483470588</v>
      </c>
      <c r="X489" s="10" t="str">
        <f>IF(W489&gt;=J489,"CUMPLE","NO CUMPLE")</f>
        <v>CUMPLE</v>
      </c>
      <c r="Y489" s="10">
        <f>MAX(MAX(1.4/'Parametros'!$B$3,0.25*SQRT('Parametros'!$B$2)/'Parametros'!$B$3)*H489*AB489,(0.85*'Parametros'!$B$2/'Parametros'!$B$3)*(1-SQRT(1-2*(L489*1000000/('Parametros'!$B$5*H489*AB489^2))/(0.85*'Parametros'!$B$2)))*H489*AB489)</f>
        <v>815.583333333333</v>
      </c>
      <c r="Z489" s="31" t="n">
        <v>5</v>
      </c>
      <c r="AA489" s="32" t="n">
        <v>1</v>
      </c>
      <c r="AB489" s="10">
        <f>IF(AA489=1,I489-('Parametros'!$B$7+'Parametros'!$B$9+'Parametros'!$B$12/2),I489-(ROUNDUP(Z489/2,0)*('Parametros'!$B$7+'Parametros'!$B$9+'Parametros'!$B$12/2)+ROUNDDOWN(Z489/2,0)*('Parametros'!$B$7+'Parametros'!$B$9+'Parametros'!$B$12/2+'Parametros'!$B$12+'Parametros'!$B$10))/Z489)</f>
        <v>489.35</v>
      </c>
      <c r="AC489" s="10">
        <f>Z489*'Parametros'!$B$8</f>
        <v>995</v>
      </c>
      <c r="AD489" s="10">
        <f>'Parametros'!$B$5*AC489*'Parametros'!$B$3*(AB489-(AC489*'Parametros'!$B$3/(0.85*'Parametros'!$B$2*H489))/2)/1000000</f>
        <v>177.445379382353</v>
      </c>
      <c r="AE489" s="10" t="str">
        <f>IF(AD489&gt;=L489,"CUMPLE","NO CUMPLE")</f>
        <v>CUMPLE</v>
      </c>
      <c r="AF489" s="10">
        <f>V489*1.25*'Parametros'!$B$3*(U489-(V489*1.25*'Parametros'!$B$3/(0.85*'Parametros'!$B$2*H489))/2)/1000000</f>
        <v>290.238924705882</v>
      </c>
      <c r="AG489" s="10">
        <f>AC489*1.25*'Parametros'!$B$3*(AB489-(AC489*1.25*'Parametros'!$B$3/(0.85*'Parametros'!$B$2*H489))/2)/1000000</f>
        <v>244.158843198529</v>
      </c>
      <c r="AH489" s="10">
        <f>N489+(AF489+AG489)/D489</f>
        <v>293.993814089533</v>
      </c>
      <c r="AI489" s="10">
        <f>MAX(O489,AH489)</f>
        <v>422.011</v>
      </c>
      <c r="AJ489" s="10">
        <f>0.17*SQRT('Parametros'!$B$2)*H489*MIN(U489,AB489)/1000</f>
        <v>220.098728691808</v>
      </c>
      <c r="AK489" s="10">
        <f>MAX(AI489/'Parametros'!$B$6-AJ489,0)</f>
        <v>342.582604641526</v>
      </c>
      <c r="AL489" s="10">
        <f>0.66*SQRT('Parametros'!$B$2)*H489*MIN(U489,AB489)/1000</f>
        <v>854.500946685842</v>
      </c>
      <c r="AM489" s="10" t="str">
        <f>IF(AK489&lt;=AL489,"CUMPLE","NO CUMPLE")</f>
        <v>CUMPLE</v>
      </c>
      <c r="AN489" s="17" t="inlineStr">
        <is>
          <t>Nº3 cerrado</t>
        </is>
      </c>
      <c r="AO489" s="31" t="n">
        <v>2</v>
      </c>
      <c r="AP489" s="10">
        <f>ROUNDDOWN(MIN(IF(BC489+BD489=0,1000000000,AO489*BB489/(BC489+BD489)),MIN(U489,AB489)/4,8*'Parametros'!$B$12,24*BA489,300,IF(AV489=0,1000000000,2*((H489-2*('Parametros'!$B$7+'Parametros'!$B$9/2))+(I489-2*('Parametros'!$B$7+'Parametros'!$B$9/2)))/8))/10,0)*10</f>
        <v>80</v>
      </c>
      <c r="AQ489" s="10">
        <f>ROUNDDOWN(MIN(IF(BC489+BD489=0,1000000000,AO489*BB489/(BC489+BD489)),IF(AK489&gt;0.33*SQRT('Parametros'!$B$2)*H489*MIN(U489,AB489)/1000,MIN(U489,AB489)/4,MIN(U489,AB489)/2),600,IF(AV489=0,1000000000,2*((H489-2*('Parametros'!$B$7+'Parametros'!$B$9/2))+(I489-2*('Parametros'!$B$7+'Parametros'!$B$9/2)))/8))/10,0)*10</f>
        <v>80</v>
      </c>
      <c r="AR489" s="10">
        <f>'Parametros'!$B$6*(AJ489+MAX(BE489-BD489,0)*'Parametros'!$B$4*MIN(U489,AB489)/1000)</f>
        <v>438.681865268856</v>
      </c>
      <c r="AS489" s="10" t="str">
        <f>IF(AND(ISERROR(SEARCH("referencia",AN489)),AM489="CUMPLE",AR489&gt;=AI489),"CUMPLE","NO CUMPLE")</f>
        <v>CUMPLE</v>
      </c>
      <c r="AT489" s="10">
        <f>'Parametros'!$B$6*0.083*SQRT('Parametros'!$B$2)*(H489*I489)^2/(2*(H489+I489))/1000000</f>
        <v>11.862178757599</v>
      </c>
      <c r="AU489" s="10" t="str">
        <f>IF(Q489&lt;=AT489,"DESPRECIABLE","DISEÑAR")</f>
        <v>DESPRECIABLE</v>
      </c>
      <c r="AV489" s="10">
        <f>IF(Q489&lt;=AT489,0,Q489*1000000/('Parametros'!$B$6*2*0.85*(H489-2*('Parametros'!$B$7+'Parametros'!$B$9/2))*(I489-2*('Parametros'!$B$7+'Parametros'!$B$9/2))*'Parametros'!$B$4))</f>
        <v>0</v>
      </c>
      <c r="AW489" s="10">
        <f>AV489*2*((H489-2*('Parametros'!$B$7+'Parametros'!$B$9/2))+(I489-2*('Parametros'!$B$7+'Parametros'!$B$9/2)))*'Parametros'!$B$4/'Parametros'!$B$3</f>
        <v>0</v>
      </c>
      <c r="AX489" s="31" t="n">
        <v>0</v>
      </c>
      <c r="AY489" s="10" t="str">
        <f>IF(AV489=0,"DESPRECIABLE",IF(AND(ISERROR(SEARCH("referencia",AN489)),BB489/AP489&gt;=AV489,BI489&gt;=AW489,BH489="CUMPLE"),"CUMPLE","NO CUMPLE"))</f>
        <v>DESPRECIABLE</v>
      </c>
      <c r="AZ489" s="10" t="str">
        <f>IF(AND(X489="CUMPLE",AE489="CUMPLE",AS489="CUMPLE",OR(AY489="CUMPLE",AY489="DESPRECIABLE"),BH489="CUMPLE",BJ489="CUMPLE"),"CUMPLE","NO CUMPLE")</f>
        <v>CUMPLE</v>
      </c>
      <c r="BA489" s="32" t="n">
        <v>9.5</v>
      </c>
      <c r="BB489" s="32" t="n">
        <v>71</v>
      </c>
      <c r="BC489" s="10">
        <f>MAX(IF(AK489=0,0,AK489*1000/('Parametros'!$B$4*MIN(U489,AB489))),MAX(0.062*SQRT('Parametros'!$B$2)*H489/'Parametros'!$B$4,0.35*H489/'Parametros'!$B$4))</f>
        <v>1.66684963358355</v>
      </c>
      <c r="BD489" s="10">
        <f>2*AV489</f>
        <v>0</v>
      </c>
      <c r="BE489" s="10">
        <f>AO489*BB489/AP489</f>
        <v>1.775</v>
      </c>
      <c r="BF489" s="10">
        <f>SQRT((AI489*1000/(H489*MIN(U489,AB489)))^2+(Q489*1000000*2*((H489-2*('Parametros'!$B$7+'Parametros'!$B$9/2))+(I489-2*('Parametros'!$B$7+'Parametros'!$B$9/2)))/(1.7*((H489-2*('Parametros'!$B$7+'Parametros'!$B$9/2))*(I489-2*('Parametros'!$B$7+'Parametros'!$B$9/2)))^2))^2)</f>
        <v>1.75048664104441</v>
      </c>
      <c r="BG489" s="10">
        <f>'Parametros'!$B$6*(AJ489*1000/(H489*MIN(U489,AB489))+0.66*SQRT('Parametros'!$B$2))</f>
        <v>3.29396038227542</v>
      </c>
      <c r="BH489" s="10" t="str">
        <f>IF(BF489&lt;=BG489,"CUMPLE","NO CUMPLE")</f>
        <v>CUMPLE</v>
      </c>
      <c r="BI489" s="10">
        <f>AX489*'Parametros'!$B$8</f>
        <v>0</v>
      </c>
      <c r="BJ489" s="10" t="str">
        <f>IF(BI489&gt;=AW489,"CUMPLE","NO CUMPLE")</f>
        <v>CUMPLE</v>
      </c>
    </row>
    <row r="490">
      <c r="A490" s="26" t="inlineStr">
        <is>
          <t>VR3</t>
        </is>
      </c>
      <c r="B490" s="26" t="inlineStr">
        <is>
          <t>27</t>
        </is>
      </c>
      <c r="C490" s="10" t="n">
        <v>1</v>
      </c>
      <c r="D490" s="10" t="n">
        <v>2.2</v>
      </c>
      <c r="E490" s="10" t="n">
        <v>2.2</v>
      </c>
      <c r="F490" s="10" t="n">
        <v>500</v>
      </c>
      <c r="G490" s="10" t="n">
        <v>550</v>
      </c>
      <c r="H490" s="17" t="n">
        <v>500</v>
      </c>
      <c r="I490" s="17" t="n">
        <v>550</v>
      </c>
      <c r="J490" s="30" t="n">
        <v>173.9259</v>
      </c>
      <c r="K490" s="10" t="inlineStr">
        <is>
          <t>27</t>
        </is>
      </c>
      <c r="L490" s="30" t="n">
        <v>78.33450000000001</v>
      </c>
      <c r="M490" s="10" t="inlineStr">
        <is>
          <t>27</t>
        </is>
      </c>
      <c r="N490" s="30" t="n">
        <v>114.228</v>
      </c>
      <c r="O490" s="30" t="n">
        <v>281.438</v>
      </c>
      <c r="P490" s="10" t="inlineStr">
        <is>
          <t>27</t>
        </is>
      </c>
      <c r="Q490" s="30" t="n">
        <v>0.0167</v>
      </c>
      <c r="R490" s="10">
        <f>MAX(MAX(1.4/'Parametros'!$B$3,0.25*SQRT('Parametros'!$B$2)/'Parametros'!$B$3)*H490*U490,(0.85*'Parametros'!$B$2/'Parametros'!$B$3)*(1-SQRT(1-2*(J490*1000000/('Parametros'!$B$5*H490*U490^2))/(0.85*'Parametros'!$B$2)))*H490*U490)</f>
        <v>974.518435635809</v>
      </c>
      <c r="S490" s="31" t="n">
        <v>5</v>
      </c>
      <c r="T490" s="32" t="n">
        <v>1</v>
      </c>
      <c r="U490" s="10">
        <f>IF(T490=1,I490-('Parametros'!$B$7+'Parametros'!$B$9+'Parametros'!$B$12/2),I490-(ROUNDUP(S490/2,0)*('Parametros'!$B$7+'Parametros'!$B$9+'Parametros'!$B$12/2)+ROUNDDOWN(S490/2,0)*('Parametros'!$B$7+'Parametros'!$B$9+'Parametros'!$B$12/2+'Parametros'!$B$12+'Parametros'!$B$10))/S490)</f>
        <v>489.35</v>
      </c>
      <c r="V490" s="10">
        <f>S490*'Parametros'!$B$8</f>
        <v>995</v>
      </c>
      <c r="W490" s="10">
        <f>'Parametros'!$B$5*V490*'Parametros'!$B$3*(U490-(V490*'Parametros'!$B$3/(0.85*'Parametros'!$B$2*H490))/2)/1000000</f>
        <v>177.445379382353</v>
      </c>
      <c r="X490" s="10" t="str">
        <f>IF(W490&gt;=J490,"CUMPLE","NO CUMPLE")</f>
        <v>CUMPLE</v>
      </c>
      <c r="Y490" s="10">
        <f>MAX(MAX(1.4/'Parametros'!$B$3,0.25*SQRT('Parametros'!$B$2)/'Parametros'!$B$3)*H490*AB490,(0.85*'Parametros'!$B$2/'Parametros'!$B$3)*(1-SQRT(1-2*(L490*1000000/('Parametros'!$B$5*H490*AB490^2))/(0.85*'Parametros'!$B$2)))*H490*AB490)</f>
        <v>815.583333333333</v>
      </c>
      <c r="Z490" s="31" t="n">
        <v>5</v>
      </c>
      <c r="AA490" s="32" t="n">
        <v>1</v>
      </c>
      <c r="AB490" s="10">
        <f>IF(AA490=1,I490-('Parametros'!$B$7+'Parametros'!$B$9+'Parametros'!$B$12/2),I490-(ROUNDUP(Z490/2,0)*('Parametros'!$B$7+'Parametros'!$B$9+'Parametros'!$B$12/2)+ROUNDDOWN(Z490/2,0)*('Parametros'!$B$7+'Parametros'!$B$9+'Parametros'!$B$12/2+'Parametros'!$B$12+'Parametros'!$B$10))/Z490)</f>
        <v>489.35</v>
      </c>
      <c r="AC490" s="10">
        <f>Z490*'Parametros'!$B$8</f>
        <v>995</v>
      </c>
      <c r="AD490" s="10">
        <f>'Parametros'!$B$5*AC490*'Parametros'!$B$3*(AB490-(AC490*'Parametros'!$B$3/(0.85*'Parametros'!$B$2*H490))/2)/1000000</f>
        <v>177.445379382353</v>
      </c>
      <c r="AE490" s="10" t="str">
        <f>IF(AD490&gt;=L490,"CUMPLE","NO CUMPLE")</f>
        <v>CUMPLE</v>
      </c>
      <c r="AF490" s="10">
        <f>V490*1.25*'Parametros'!$B$3*(U490-(V490*1.25*'Parametros'!$B$3/(0.85*'Parametros'!$B$2*H490))/2)/1000000</f>
        <v>244.158843198529</v>
      </c>
      <c r="AG490" s="10">
        <f>AC490*1.25*'Parametros'!$B$3*(AB490-(AC490*1.25*'Parametros'!$B$3/(0.85*'Parametros'!$B$2*H490))/2)/1000000</f>
        <v>244.158843198529</v>
      </c>
      <c r="AH490" s="10">
        <f>N490+(AF490+AG490)/D490</f>
        <v>336.190584725936</v>
      </c>
      <c r="AI490" s="10">
        <f>MAX(O490,AH490)</f>
        <v>336.190584725936</v>
      </c>
      <c r="AJ490" s="10">
        <f>0.17*SQRT('Parametros'!$B$2)*H490*MIN(U490,AB490)/1000</f>
        <v>220.098728691808</v>
      </c>
      <c r="AK490" s="10">
        <f>MAX(AI490/'Parametros'!$B$6-AJ490,0)</f>
        <v>228.155384276107</v>
      </c>
      <c r="AL490" s="10">
        <f>0.66*SQRT('Parametros'!$B$2)*H490*MIN(U490,AB490)/1000</f>
        <v>854.500946685842</v>
      </c>
      <c r="AM490" s="10" t="str">
        <f>IF(AK490&lt;=AL490,"CUMPLE","NO CUMPLE")</f>
        <v>CUMPLE</v>
      </c>
      <c r="AN490" s="17" t="inlineStr">
        <is>
          <t>Nº3 cerrado</t>
        </is>
      </c>
      <c r="AO490" s="31" t="n">
        <v>2</v>
      </c>
      <c r="AP490" s="10">
        <f>ROUNDDOWN(MIN(IF(BC490+BD490=0,1000000000,AO490*BB490/(BC490+BD490)),MIN(U490,AB490)/4,8*'Parametros'!$B$12,24*BA490,300,IF(AV490=0,1000000000,2*((H490-2*('Parametros'!$B$7+'Parametros'!$B$9/2))+(I490-2*('Parametros'!$B$7+'Parametros'!$B$9/2)))/8))/10,0)*10</f>
        <v>120</v>
      </c>
      <c r="AQ490" s="10">
        <f>ROUNDDOWN(MIN(IF(BC490+BD490=0,1000000000,AO490*BB490/(BC490+BD490)),IF(AK490&gt;0.33*SQRT('Parametros'!$B$2)*H490*MIN(U490,AB490)/1000,MIN(U490,AB490)/4,MIN(U490,AB490)/2),600,IF(AV490=0,1000000000,2*((H490-2*('Parametros'!$B$7+'Parametros'!$B$9/2))+(I490-2*('Parametros'!$B$7+'Parametros'!$B$9/2)))/8))/10,0)*10</f>
        <v>120</v>
      </c>
      <c r="AR490" s="10">
        <f>'Parametros'!$B$6*(AJ490+MAX(BE490-BD490,0)*'Parametros'!$B$4*MIN(U490,AB490)/1000)</f>
        <v>347.479259018856</v>
      </c>
      <c r="AS490" s="10" t="str">
        <f>IF(AND(ISERROR(SEARCH("referencia",AN490)),AM490="CUMPLE",AR490&gt;=AI490),"CUMPLE","NO CUMPLE")</f>
        <v>CUMPLE</v>
      </c>
      <c r="AT490" s="10">
        <f>'Parametros'!$B$6*0.083*SQRT('Parametros'!$B$2)*(H490*I490)^2/(2*(H490+I490))/1000000</f>
        <v>11.862178757599</v>
      </c>
      <c r="AU490" s="10" t="str">
        <f>IF(Q490&lt;=AT490,"DESPRECIABLE","DISEÑAR")</f>
        <v>DESPRECIABLE</v>
      </c>
      <c r="AV490" s="10">
        <f>IF(Q490&lt;=AT490,0,Q490*1000000/('Parametros'!$B$6*2*0.85*(H490-2*('Parametros'!$B$7+'Parametros'!$B$9/2))*(I490-2*('Parametros'!$B$7+'Parametros'!$B$9/2))*'Parametros'!$B$4))</f>
        <v>0</v>
      </c>
      <c r="AW490" s="10">
        <f>AV490*2*((H490-2*('Parametros'!$B$7+'Parametros'!$B$9/2))+(I490-2*('Parametros'!$B$7+'Parametros'!$B$9/2)))*'Parametros'!$B$4/'Parametros'!$B$3</f>
        <v>0</v>
      </c>
      <c r="AX490" s="31" t="n">
        <v>0</v>
      </c>
      <c r="AY490" s="10" t="str">
        <f>IF(AV490=0,"DESPRECIABLE",IF(AND(ISERROR(SEARCH("referencia",AN490)),BB490/AP490&gt;=AV490,BI490&gt;=AW490,BH490="CUMPLE"),"CUMPLE","NO CUMPLE"))</f>
        <v>DESPRECIABLE</v>
      </c>
      <c r="AZ490" s="10" t="str">
        <f>IF(AND(X490="CUMPLE",AE490="CUMPLE",AS490="CUMPLE",OR(AY490="CUMPLE",AY490="DESPRECIABLE"),BH490="CUMPLE",BJ490="CUMPLE"),"CUMPLE","NO CUMPLE")</f>
        <v>CUMPLE</v>
      </c>
      <c r="BA490" s="32" t="n">
        <v>9.5</v>
      </c>
      <c r="BB490" s="32" t="n">
        <v>71</v>
      </c>
      <c r="BC490" s="10">
        <f>MAX(IF(AK490=0,0,AK490*1000/('Parametros'!$B$4*MIN(U490,AB490))),MAX(0.062*SQRT('Parametros'!$B$2)*H490/'Parametros'!$B$4,0.35*H490/'Parametros'!$B$4))</f>
        <v>1.1100993264929</v>
      </c>
      <c r="BD490" s="10">
        <f>2*AV490</f>
        <v>0</v>
      </c>
      <c r="BE490" s="10">
        <f>AO490*BB490/AP490</f>
        <v>1.18333333333333</v>
      </c>
      <c r="BF490" s="10">
        <f>SQRT((AI490*1000/(H490*MIN(U490,AB490)))^2+(Q490*1000000*2*((H490-2*('Parametros'!$B$7+'Parametros'!$B$9/2))+(I490-2*('Parametros'!$B$7+'Parametros'!$B$9/2)))/(1.7*((H490-2*('Parametros'!$B$7+'Parametros'!$B$9/2))*(I490-2*('Parametros'!$B$7+'Parametros'!$B$9/2)))^2))^2)</f>
        <v>1.37402924725632</v>
      </c>
      <c r="BG490" s="10">
        <f>'Parametros'!$B$6*(AJ490*1000/(H490*MIN(U490,AB490))+0.66*SQRT('Parametros'!$B$2))</f>
        <v>3.29396038227542</v>
      </c>
      <c r="BH490" s="10" t="str">
        <f>IF(BF490&lt;=BG490,"CUMPLE","NO CUMPLE")</f>
        <v>CUMPLE</v>
      </c>
      <c r="BI490" s="10">
        <f>AX490*'Parametros'!$B$8</f>
        <v>0</v>
      </c>
      <c r="BJ490" s="10" t="str">
        <f>IF(BI490&gt;=AW490,"CUMPLE","NO CUMPLE")</f>
        <v>CUMPLE</v>
      </c>
    </row>
    <row r="491">
      <c r="A491" s="26" t="inlineStr">
        <is>
          <t>VR3</t>
        </is>
      </c>
      <c r="B491" s="26" t="inlineStr">
        <is>
          <t>28</t>
        </is>
      </c>
      <c r="C491" s="10" t="n">
        <v>1</v>
      </c>
      <c r="D491" s="10" t="n">
        <v>2.1</v>
      </c>
      <c r="E491" s="10" t="n">
        <v>2.1</v>
      </c>
      <c r="F491" s="10" t="n">
        <v>500</v>
      </c>
      <c r="G491" s="10" t="n">
        <v>550</v>
      </c>
      <c r="H491" s="17" t="n">
        <v>500</v>
      </c>
      <c r="I491" s="17" t="n">
        <v>550</v>
      </c>
      <c r="J491" s="30" t="n">
        <v>173.5934</v>
      </c>
      <c r="K491" s="10" t="inlineStr">
        <is>
          <t>28</t>
        </is>
      </c>
      <c r="L491" s="30" t="n">
        <v>78.405</v>
      </c>
      <c r="M491" s="10" t="inlineStr">
        <is>
          <t>28</t>
        </is>
      </c>
      <c r="N491" s="30" t="n">
        <v>113.773</v>
      </c>
      <c r="O491" s="30" t="n">
        <v>280.66</v>
      </c>
      <c r="P491" s="10" t="inlineStr">
        <is>
          <t>28</t>
        </is>
      </c>
      <c r="Q491" s="30" t="n">
        <v>0.0167</v>
      </c>
      <c r="R491" s="10">
        <f>MAX(MAX(1.4/'Parametros'!$B$3,0.25*SQRT('Parametros'!$B$2)/'Parametros'!$B$3)*H491*U491,(0.85*'Parametros'!$B$2/'Parametros'!$B$3)*(1-SQRT(1-2*(J491*1000000/('Parametros'!$B$5*H491*U491^2))/(0.85*'Parametros'!$B$2)))*H491*U491)</f>
        <v>972.5851384451</v>
      </c>
      <c r="S491" s="31" t="n">
        <v>5</v>
      </c>
      <c r="T491" s="32" t="n">
        <v>1</v>
      </c>
      <c r="U491" s="10">
        <f>IF(T491=1,I491-('Parametros'!$B$7+'Parametros'!$B$9+'Parametros'!$B$12/2),I491-(ROUNDUP(S491/2,0)*('Parametros'!$B$7+'Parametros'!$B$9+'Parametros'!$B$12/2)+ROUNDDOWN(S491/2,0)*('Parametros'!$B$7+'Parametros'!$B$9+'Parametros'!$B$12/2+'Parametros'!$B$12+'Parametros'!$B$10))/S491)</f>
        <v>489.35</v>
      </c>
      <c r="V491" s="10">
        <f>S491*'Parametros'!$B$8</f>
        <v>995</v>
      </c>
      <c r="W491" s="10">
        <f>'Parametros'!$B$5*V491*'Parametros'!$B$3*(U491-(V491*'Parametros'!$B$3/(0.85*'Parametros'!$B$2*H491))/2)/1000000</f>
        <v>177.445379382353</v>
      </c>
      <c r="X491" s="10" t="str">
        <f>IF(W491&gt;=J491,"CUMPLE","NO CUMPLE")</f>
        <v>CUMPLE</v>
      </c>
      <c r="Y491" s="10">
        <f>MAX(MAX(1.4/'Parametros'!$B$3,0.25*SQRT('Parametros'!$B$2)/'Parametros'!$B$3)*H491*AB491,(0.85*'Parametros'!$B$2/'Parametros'!$B$3)*(1-SQRT(1-2*(L491*1000000/('Parametros'!$B$5*H491*AB491^2))/(0.85*'Parametros'!$B$2)))*H491*AB491)</f>
        <v>815.583333333333</v>
      </c>
      <c r="Z491" s="31" t="n">
        <v>5</v>
      </c>
      <c r="AA491" s="32" t="n">
        <v>1</v>
      </c>
      <c r="AB491" s="10">
        <f>IF(AA491=1,I491-('Parametros'!$B$7+'Parametros'!$B$9+'Parametros'!$B$12/2),I491-(ROUNDUP(Z491/2,0)*('Parametros'!$B$7+'Parametros'!$B$9+'Parametros'!$B$12/2)+ROUNDDOWN(Z491/2,0)*('Parametros'!$B$7+'Parametros'!$B$9+'Parametros'!$B$12/2+'Parametros'!$B$12+'Parametros'!$B$10))/Z491)</f>
        <v>489.35</v>
      </c>
      <c r="AC491" s="10">
        <f>Z491*'Parametros'!$B$8</f>
        <v>995</v>
      </c>
      <c r="AD491" s="10">
        <f>'Parametros'!$B$5*AC491*'Parametros'!$B$3*(AB491-(AC491*'Parametros'!$B$3/(0.85*'Parametros'!$B$2*H491))/2)/1000000</f>
        <v>177.445379382353</v>
      </c>
      <c r="AE491" s="10" t="str">
        <f>IF(AD491&gt;=L491,"CUMPLE","NO CUMPLE")</f>
        <v>CUMPLE</v>
      </c>
      <c r="AF491" s="10">
        <f>V491*1.25*'Parametros'!$B$3*(U491-(V491*1.25*'Parametros'!$B$3/(0.85*'Parametros'!$B$2*H491))/2)/1000000</f>
        <v>244.158843198529</v>
      </c>
      <c r="AG491" s="10">
        <f>AC491*1.25*'Parametros'!$B$3*(AB491-(AC491*1.25*'Parametros'!$B$3/(0.85*'Parametros'!$B$2*H491))/2)/1000000</f>
        <v>244.158843198529</v>
      </c>
      <c r="AH491" s="10">
        <f>N491+(AF491+AG491)/D491</f>
        <v>346.305231617647</v>
      </c>
      <c r="AI491" s="10">
        <f>MAX(O491,AH491)</f>
        <v>346.305231617647</v>
      </c>
      <c r="AJ491" s="10">
        <f>0.17*SQRT('Parametros'!$B$2)*H491*MIN(U491,AB491)/1000</f>
        <v>220.098728691808</v>
      </c>
      <c r="AK491" s="10">
        <f>MAX(AI491/'Parametros'!$B$6-AJ491,0)</f>
        <v>241.641580131722</v>
      </c>
      <c r="AL491" s="10">
        <f>0.66*SQRT('Parametros'!$B$2)*H491*MIN(U491,AB491)/1000</f>
        <v>854.500946685842</v>
      </c>
      <c r="AM491" s="10" t="str">
        <f>IF(AK491&lt;=AL491,"CUMPLE","NO CUMPLE")</f>
        <v>CUMPLE</v>
      </c>
      <c r="AN491" s="17" t="inlineStr">
        <is>
          <t>Nº3 cerrado</t>
        </is>
      </c>
      <c r="AO491" s="31" t="n">
        <v>2</v>
      </c>
      <c r="AP491" s="10">
        <f>ROUNDDOWN(MIN(IF(BC491+BD491=0,1000000000,AO491*BB491/(BC491+BD491)),MIN(U491,AB491)/4,8*'Parametros'!$B$12,24*BA491,300,IF(AV491=0,1000000000,2*((H491-2*('Parametros'!$B$7+'Parametros'!$B$9/2))+(I491-2*('Parametros'!$B$7+'Parametros'!$B$9/2)))/8))/10,0)*10</f>
        <v>120</v>
      </c>
      <c r="AQ491" s="10">
        <f>ROUNDDOWN(MIN(IF(BC491+BD491=0,1000000000,AO491*BB491/(BC491+BD491)),IF(AK491&gt;0.33*SQRT('Parametros'!$B$2)*H491*MIN(U491,AB491)/1000,MIN(U491,AB491)/4,MIN(U491,AB491)/2),600,IF(AV491=0,1000000000,2*((H491-2*('Parametros'!$B$7+'Parametros'!$B$9/2))+(I491-2*('Parametros'!$B$7+'Parametros'!$B$9/2)))/8))/10,0)*10</f>
        <v>120</v>
      </c>
      <c r="AR491" s="10">
        <f>'Parametros'!$B$6*(AJ491+MAX(BE491-BD491,0)*'Parametros'!$B$4*MIN(U491,AB491)/1000)</f>
        <v>347.479259018856</v>
      </c>
      <c r="AS491" s="10" t="str">
        <f>IF(AND(ISERROR(SEARCH("referencia",AN491)),AM491="CUMPLE",AR491&gt;=AI491),"CUMPLE","NO CUMPLE")</f>
        <v>CUMPLE</v>
      </c>
      <c r="AT491" s="10">
        <f>'Parametros'!$B$6*0.083*SQRT('Parametros'!$B$2)*(H491*I491)^2/(2*(H491+I491))/1000000</f>
        <v>11.862178757599</v>
      </c>
      <c r="AU491" s="10" t="str">
        <f>IF(Q491&lt;=AT491,"DESPRECIABLE","DISEÑAR")</f>
        <v>DESPRECIABLE</v>
      </c>
      <c r="AV491" s="10">
        <f>IF(Q491&lt;=AT491,0,Q491*1000000/('Parametros'!$B$6*2*0.85*(H491-2*('Parametros'!$B$7+'Parametros'!$B$9/2))*(I491-2*('Parametros'!$B$7+'Parametros'!$B$9/2))*'Parametros'!$B$4))</f>
        <v>0</v>
      </c>
      <c r="AW491" s="10">
        <f>AV491*2*((H491-2*('Parametros'!$B$7+'Parametros'!$B$9/2))+(I491-2*('Parametros'!$B$7+'Parametros'!$B$9/2)))*'Parametros'!$B$4/'Parametros'!$B$3</f>
        <v>0</v>
      </c>
      <c r="AX491" s="31" t="n">
        <v>0</v>
      </c>
      <c r="AY491" s="10" t="str">
        <f>IF(AV491=0,"DESPRECIABLE",IF(AND(ISERROR(SEARCH("referencia",AN491)),BB491/AP491&gt;=AV491,BI491&gt;=AW491,BH491="CUMPLE"),"CUMPLE","NO CUMPLE"))</f>
        <v>DESPRECIABLE</v>
      </c>
      <c r="AZ491" s="10" t="str">
        <f>IF(AND(X491="CUMPLE",AE491="CUMPLE",AS491="CUMPLE",OR(AY491="CUMPLE",AY491="DESPRECIABLE"),BH491="CUMPLE",BJ491="CUMPLE"),"CUMPLE","NO CUMPLE")</f>
        <v>CUMPLE</v>
      </c>
      <c r="BA491" s="32" t="n">
        <v>9.5</v>
      </c>
      <c r="BB491" s="32" t="n">
        <v>71</v>
      </c>
      <c r="BC491" s="10">
        <f>MAX(IF(AK491=0,0,AK491*1000/('Parametros'!$B$4*MIN(U491,AB491))),MAX(0.062*SQRT('Parametros'!$B$2)*H491/'Parametros'!$B$4,0.35*H491/'Parametros'!$B$4))</f>
        <v>1.17571696240261</v>
      </c>
      <c r="BD491" s="10">
        <f>2*AV491</f>
        <v>0</v>
      </c>
      <c r="BE491" s="10">
        <f>AO491*BB491/AP491</f>
        <v>1.18333333333333</v>
      </c>
      <c r="BF491" s="10">
        <f>SQRT((AI491*1000/(H491*MIN(U491,AB491)))^2+(Q491*1000000*2*((H491-2*('Parametros'!$B$7+'Parametros'!$B$9/2))+(I491-2*('Parametros'!$B$7+'Parametros'!$B$9/2)))/(1.7*((H491-2*('Parametros'!$B$7+'Parametros'!$B$9/2))*(I491-2*('Parametros'!$B$7+'Parametros'!$B$9/2)))^2))^2)</f>
        <v>1.41536835533126</v>
      </c>
      <c r="BG491" s="10">
        <f>'Parametros'!$B$6*(AJ491*1000/(H491*MIN(U491,AB491))+0.66*SQRT('Parametros'!$B$2))</f>
        <v>3.29396038227542</v>
      </c>
      <c r="BH491" s="10" t="str">
        <f>IF(BF491&lt;=BG491,"CUMPLE","NO CUMPLE")</f>
        <v>CUMPLE</v>
      </c>
      <c r="BI491" s="10">
        <f>AX491*'Parametros'!$B$8</f>
        <v>0</v>
      </c>
      <c r="BJ491" s="10" t="str">
        <f>IF(BI491&gt;=AW491,"CUMPLE","NO CUMPLE")</f>
        <v>CUMPLE</v>
      </c>
    </row>
    <row r="492">
      <c r="A492" s="26" t="inlineStr">
        <is>
          <t>VR3</t>
        </is>
      </c>
      <c r="B492" s="26" t="inlineStr">
        <is>
          <t>29</t>
        </is>
      </c>
      <c r="C492" s="10" t="n">
        <v>1</v>
      </c>
      <c r="D492" s="10" t="n">
        <v>3.4</v>
      </c>
      <c r="E492" s="10" t="n">
        <v>3.4</v>
      </c>
      <c r="F492" s="10" t="n">
        <v>500</v>
      </c>
      <c r="G492" s="10" t="n">
        <v>550</v>
      </c>
      <c r="H492" s="17" t="n">
        <v>500</v>
      </c>
      <c r="I492" s="17" t="n">
        <v>550</v>
      </c>
      <c r="J492" s="30" t="n">
        <v>189.7193</v>
      </c>
      <c r="K492" s="10" t="inlineStr">
        <is>
          <t>29</t>
        </is>
      </c>
      <c r="L492" s="30" t="n">
        <v>125.9826</v>
      </c>
      <c r="M492" s="10" t="inlineStr">
        <is>
          <t>29</t>
        </is>
      </c>
      <c r="N492" s="30" t="n">
        <v>136.839</v>
      </c>
      <c r="O492" s="30" t="n">
        <v>422.021</v>
      </c>
      <c r="P492" s="10" t="inlineStr">
        <is>
          <t>29</t>
        </is>
      </c>
      <c r="Q492" s="30" t="n">
        <v>10.1734</v>
      </c>
      <c r="R492" s="10">
        <f>MAX(MAX(1.4/'Parametros'!$B$3,0.25*SQRT('Parametros'!$B$2)/'Parametros'!$B$3)*H492*U492,(0.85*'Parametros'!$B$2/'Parametros'!$B$3)*(1-SQRT(1-2*(J492*1000000/('Parametros'!$B$5*H492*U492^2))/(0.85*'Parametros'!$B$2)))*H492*U492)</f>
        <v>1066.68439534838</v>
      </c>
      <c r="S492" s="31" t="n">
        <v>6</v>
      </c>
      <c r="T492" s="32" t="n">
        <v>1</v>
      </c>
      <c r="U492" s="10">
        <f>IF(T492=1,I492-('Parametros'!$B$7+'Parametros'!$B$9+'Parametros'!$B$12/2),I492-(ROUNDUP(S492/2,0)*('Parametros'!$B$7+'Parametros'!$B$9+'Parametros'!$B$12/2)+ROUNDDOWN(S492/2,0)*('Parametros'!$B$7+'Parametros'!$B$9+'Parametros'!$B$12/2+'Parametros'!$B$12+'Parametros'!$B$10))/S492)</f>
        <v>489.35</v>
      </c>
      <c r="V492" s="10">
        <f>S492*'Parametros'!$B$8</f>
        <v>1194</v>
      </c>
      <c r="W492" s="10">
        <f>'Parametros'!$B$5*V492*'Parametros'!$B$3*(U492-(V492*'Parametros'!$B$3/(0.85*'Parametros'!$B$2*H492))/2)/1000000</f>
        <v>211.349483470588</v>
      </c>
      <c r="X492" s="10" t="str">
        <f>IF(W492&gt;=J492,"CUMPLE","NO CUMPLE")</f>
        <v>CUMPLE</v>
      </c>
      <c r="Y492" s="10">
        <f>MAX(MAX(1.4/'Parametros'!$B$3,0.25*SQRT('Parametros'!$B$2)/'Parametros'!$B$3)*H492*AB492,(0.85*'Parametros'!$B$2/'Parametros'!$B$3)*(1-SQRT(1-2*(L492*1000000/('Parametros'!$B$5*H492*AB492^2))/(0.85*'Parametros'!$B$2)))*H492*AB492)</f>
        <v>815.583333333333</v>
      </c>
      <c r="Z492" s="31" t="n">
        <v>5</v>
      </c>
      <c r="AA492" s="32" t="n">
        <v>1</v>
      </c>
      <c r="AB492" s="10">
        <f>IF(AA492=1,I492-('Parametros'!$B$7+'Parametros'!$B$9+'Parametros'!$B$12/2),I492-(ROUNDUP(Z492/2,0)*('Parametros'!$B$7+'Parametros'!$B$9+'Parametros'!$B$12/2)+ROUNDDOWN(Z492/2,0)*('Parametros'!$B$7+'Parametros'!$B$9+'Parametros'!$B$12/2+'Parametros'!$B$12+'Parametros'!$B$10))/Z492)</f>
        <v>489.35</v>
      </c>
      <c r="AC492" s="10">
        <f>Z492*'Parametros'!$B$8</f>
        <v>995</v>
      </c>
      <c r="AD492" s="10">
        <f>'Parametros'!$B$5*AC492*'Parametros'!$B$3*(AB492-(AC492*'Parametros'!$B$3/(0.85*'Parametros'!$B$2*H492))/2)/1000000</f>
        <v>177.445379382353</v>
      </c>
      <c r="AE492" s="10" t="str">
        <f>IF(AD492&gt;=L492,"CUMPLE","NO CUMPLE")</f>
        <v>CUMPLE</v>
      </c>
      <c r="AF492" s="10">
        <f>V492*1.25*'Parametros'!$B$3*(U492-(V492*1.25*'Parametros'!$B$3/(0.85*'Parametros'!$B$2*H492))/2)/1000000</f>
        <v>290.238924705882</v>
      </c>
      <c r="AG492" s="10">
        <f>AC492*1.25*'Parametros'!$B$3*(AB492-(AC492*1.25*'Parametros'!$B$3/(0.85*'Parametros'!$B$2*H492))/2)/1000000</f>
        <v>244.158843198529</v>
      </c>
      <c r="AH492" s="10">
        <f>N492+(AF492+AG492)/D492</f>
        <v>294.014814089533</v>
      </c>
      <c r="AI492" s="10">
        <f>MAX(O492,AH492)</f>
        <v>422.021</v>
      </c>
      <c r="AJ492" s="10">
        <f>0.17*SQRT('Parametros'!$B$2)*H492*MIN(U492,AB492)/1000</f>
        <v>220.098728691808</v>
      </c>
      <c r="AK492" s="10">
        <f>MAX(AI492/'Parametros'!$B$6-AJ492,0)</f>
        <v>342.595937974859</v>
      </c>
      <c r="AL492" s="10">
        <f>0.66*SQRT('Parametros'!$B$2)*H492*MIN(U492,AB492)/1000</f>
        <v>854.500946685842</v>
      </c>
      <c r="AM492" s="10" t="str">
        <f>IF(AK492&lt;=AL492,"CUMPLE","NO CUMPLE")</f>
        <v>CUMPLE</v>
      </c>
      <c r="AN492" s="17" t="inlineStr">
        <is>
          <t>Nº3 cerrado</t>
        </is>
      </c>
      <c r="AO492" s="31" t="n">
        <v>2</v>
      </c>
      <c r="AP492" s="10">
        <f>ROUNDDOWN(MIN(IF(BC492+BD492=0,1000000000,AO492*BB492/(BC492+BD492)),MIN(U492,AB492)/4,8*'Parametros'!$B$12,24*BA492,300,IF(AV492=0,1000000000,2*((H492-2*('Parametros'!$B$7+'Parametros'!$B$9/2))+(I492-2*('Parametros'!$B$7+'Parametros'!$B$9/2)))/8))/10,0)*10</f>
        <v>80</v>
      </c>
      <c r="AQ492" s="10">
        <f>ROUNDDOWN(MIN(IF(BC492+BD492=0,1000000000,AO492*BB492/(BC492+BD492)),IF(AK492&gt;0.33*SQRT('Parametros'!$B$2)*H492*MIN(U492,AB492)/1000,MIN(U492,AB492)/4,MIN(U492,AB492)/2),600,IF(AV492=0,1000000000,2*((H492-2*('Parametros'!$B$7+'Parametros'!$B$9/2))+(I492-2*('Parametros'!$B$7+'Parametros'!$B$9/2)))/8))/10,0)*10</f>
        <v>80</v>
      </c>
      <c r="AR492" s="10">
        <f>'Parametros'!$B$6*(AJ492+MAX(BE492-BD492,0)*'Parametros'!$B$4*MIN(U492,AB492)/1000)</f>
        <v>438.681865268856</v>
      </c>
      <c r="AS492" s="10" t="str">
        <f>IF(AND(ISERROR(SEARCH("referencia",AN492)),AM492="CUMPLE",AR492&gt;=AI492),"CUMPLE","NO CUMPLE")</f>
        <v>CUMPLE</v>
      </c>
      <c r="AT492" s="10">
        <f>'Parametros'!$B$6*0.083*SQRT('Parametros'!$B$2)*(H492*I492)^2/(2*(H492+I492))/1000000</f>
        <v>11.862178757599</v>
      </c>
      <c r="AU492" s="10" t="str">
        <f>IF(Q492&lt;=AT492,"DESPRECIABLE","DISEÑAR")</f>
        <v>DESPRECIABLE</v>
      </c>
      <c r="AV492" s="10">
        <f>IF(Q492&lt;=AT492,0,Q492*1000000/('Parametros'!$B$6*2*0.85*(H492-2*('Parametros'!$B$7+'Parametros'!$B$9/2))*(I492-2*('Parametros'!$B$7+'Parametros'!$B$9/2))*'Parametros'!$B$4))</f>
        <v>0</v>
      </c>
      <c r="AW492" s="10">
        <f>AV492*2*((H492-2*('Parametros'!$B$7+'Parametros'!$B$9/2))+(I492-2*('Parametros'!$B$7+'Parametros'!$B$9/2)))*'Parametros'!$B$4/'Parametros'!$B$3</f>
        <v>0</v>
      </c>
      <c r="AX492" s="31" t="n">
        <v>0</v>
      </c>
      <c r="AY492" s="10" t="str">
        <f>IF(AV492=0,"DESPRECIABLE",IF(AND(ISERROR(SEARCH("referencia",AN492)),BB492/AP492&gt;=AV492,BI492&gt;=AW492,BH492="CUMPLE"),"CUMPLE","NO CUMPLE"))</f>
        <v>DESPRECIABLE</v>
      </c>
      <c r="AZ492" s="10" t="str">
        <f>IF(AND(X492="CUMPLE",AE492="CUMPLE",AS492="CUMPLE",OR(AY492="CUMPLE",AY492="DESPRECIABLE"),BH492="CUMPLE",BJ492="CUMPLE"),"CUMPLE","NO CUMPLE")</f>
        <v>CUMPLE</v>
      </c>
      <c r="BA492" s="32" t="n">
        <v>9.5</v>
      </c>
      <c r="BB492" s="32" t="n">
        <v>71</v>
      </c>
      <c r="BC492" s="10">
        <f>MAX(IF(AK492=0,0,AK492*1000/('Parametros'!$B$4*MIN(U492,AB492))),MAX(0.062*SQRT('Parametros'!$B$2)*H492/'Parametros'!$B$4,0.35*H492/'Parametros'!$B$4))</f>
        <v>1.66691450746062</v>
      </c>
      <c r="BD492" s="10">
        <f>2*AV492</f>
        <v>0</v>
      </c>
      <c r="BE492" s="10">
        <f>AO492*BB492/AP492</f>
        <v>1.775</v>
      </c>
      <c r="BF492" s="10">
        <f>SQRT((AI492*1000/(H492*MIN(U492,AB492)))^2+(Q492*1000000*2*((H492-2*('Parametros'!$B$7+'Parametros'!$B$9/2))+(I492-2*('Parametros'!$B$7+'Parametros'!$B$9/2)))/(1.7*((H492-2*('Parametros'!$B$7+'Parametros'!$B$9/2))*(I492-2*('Parametros'!$B$7+'Parametros'!$B$9/2)))^2))^2)</f>
        <v>1.7504248866952</v>
      </c>
      <c r="BG492" s="10">
        <f>'Parametros'!$B$6*(AJ492*1000/(H492*MIN(U492,AB492))+0.66*SQRT('Parametros'!$B$2))</f>
        <v>3.29396038227542</v>
      </c>
      <c r="BH492" s="10" t="str">
        <f>IF(BF492&lt;=BG492,"CUMPLE","NO CUMPLE")</f>
        <v>CUMPLE</v>
      </c>
      <c r="BI492" s="10">
        <f>AX492*'Parametros'!$B$8</f>
        <v>0</v>
      </c>
      <c r="BJ492" s="10" t="str">
        <f>IF(BI492&gt;=AW492,"CUMPLE","NO CUMPLE")</f>
        <v>CUMPLE</v>
      </c>
    </row>
    <row r="493">
      <c r="A493" s="26" t="inlineStr">
        <is>
          <t>VR3</t>
        </is>
      </c>
      <c r="B493" s="26" t="inlineStr">
        <is>
          <t>30</t>
        </is>
      </c>
      <c r="C493" s="10" t="n">
        <v>1</v>
      </c>
      <c r="D493" s="10" t="n">
        <v>1.9</v>
      </c>
      <c r="E493" s="10" t="n">
        <v>1.9</v>
      </c>
      <c r="F493" s="10" t="n">
        <v>500</v>
      </c>
      <c r="G493" s="10" t="n">
        <v>550</v>
      </c>
      <c r="H493" s="17" t="n">
        <v>500</v>
      </c>
      <c r="I493" s="17" t="n">
        <v>550</v>
      </c>
      <c r="J493" s="30" t="n">
        <v>221.0442</v>
      </c>
      <c r="K493" s="10" t="inlineStr">
        <is>
          <t>30</t>
        </is>
      </c>
      <c r="L493" s="30" t="n">
        <v>153.1628</v>
      </c>
      <c r="M493" s="10" t="inlineStr">
        <is>
          <t>30</t>
        </is>
      </c>
      <c r="N493" s="30" t="n">
        <v>184.512</v>
      </c>
      <c r="O493" s="30" t="n">
        <v>720.575</v>
      </c>
      <c r="P493" s="10" t="inlineStr">
        <is>
          <t>30</t>
        </is>
      </c>
      <c r="Q493" s="30" t="n">
        <v>0.7411</v>
      </c>
      <c r="R493" s="10">
        <f>MAX(MAX(1.4/'Parametros'!$B$3,0.25*SQRT('Parametros'!$B$2)/'Parametros'!$B$3)*H493*U493,(0.85*'Parametros'!$B$2/'Parametros'!$B$3)*(1-SQRT(1-2*(J493*1000000/('Parametros'!$B$5*H493*U493^2))/(0.85*'Parametros'!$B$2)))*H493*U493)</f>
        <v>1251.48031460647</v>
      </c>
      <c r="S493" s="31" t="n">
        <v>7</v>
      </c>
      <c r="T493" s="32" t="n">
        <v>1</v>
      </c>
      <c r="U493" s="10">
        <f>IF(T493=1,I493-('Parametros'!$B$7+'Parametros'!$B$9+'Parametros'!$B$12/2),I493-(ROUNDUP(S493/2,0)*('Parametros'!$B$7+'Parametros'!$B$9+'Parametros'!$B$12/2)+ROUNDDOWN(S493/2,0)*('Parametros'!$B$7+'Parametros'!$B$9+'Parametros'!$B$12/2+'Parametros'!$B$12+'Parametros'!$B$10))/S493)</f>
        <v>489.35</v>
      </c>
      <c r="V493" s="10">
        <f>S493*'Parametros'!$B$8</f>
        <v>1393</v>
      </c>
      <c r="W493" s="10">
        <f>'Parametros'!$B$5*V493*'Parametros'!$B$3*(U493-(V493*'Parametros'!$B$3/(0.85*'Parametros'!$B$2*H493))/2)/1000000</f>
        <v>244.725263629412</v>
      </c>
      <c r="X493" s="10" t="str">
        <f>IF(W493&gt;=J493,"CUMPLE","NO CUMPLE")</f>
        <v>CUMPLE</v>
      </c>
      <c r="Y493" s="10">
        <f>MAX(MAX(1.4/'Parametros'!$B$3,0.25*SQRT('Parametros'!$B$2)/'Parametros'!$B$3)*H493*AB493,(0.85*'Parametros'!$B$2/'Parametros'!$B$3)*(1-SQRT(1-2*(L493*1000000/('Parametros'!$B$5*H493*AB493^2))/(0.85*'Parametros'!$B$2)))*H493*AB493)</f>
        <v>854.344020031769</v>
      </c>
      <c r="Z493" s="31" t="n">
        <v>5</v>
      </c>
      <c r="AA493" s="32" t="n">
        <v>1</v>
      </c>
      <c r="AB493" s="10">
        <f>IF(AA493=1,I493-('Parametros'!$B$7+'Parametros'!$B$9+'Parametros'!$B$12/2),I493-(ROUNDUP(Z493/2,0)*('Parametros'!$B$7+'Parametros'!$B$9+'Parametros'!$B$12/2)+ROUNDDOWN(Z493/2,0)*('Parametros'!$B$7+'Parametros'!$B$9+'Parametros'!$B$12/2+'Parametros'!$B$12+'Parametros'!$B$10))/Z493)</f>
        <v>489.35</v>
      </c>
      <c r="AC493" s="10">
        <f>Z493*'Parametros'!$B$8</f>
        <v>995</v>
      </c>
      <c r="AD493" s="10">
        <f>'Parametros'!$B$5*AC493*'Parametros'!$B$3*(AB493-(AC493*'Parametros'!$B$3/(0.85*'Parametros'!$B$2*H493))/2)/1000000</f>
        <v>177.445379382353</v>
      </c>
      <c r="AE493" s="10" t="str">
        <f>IF(AD493&gt;=L493,"CUMPLE","NO CUMPLE")</f>
        <v>CUMPLE</v>
      </c>
      <c r="AF493" s="10">
        <f>V493*1.25*'Parametros'!$B$3*(U493-(V493*1.25*'Parametros'!$B$3/(0.85*'Parametros'!$B$2*H493))/2)/1000000</f>
        <v>335.401777169118</v>
      </c>
      <c r="AG493" s="10">
        <f>AC493*1.25*'Parametros'!$B$3*(AB493-(AC493*1.25*'Parametros'!$B$3/(0.85*'Parametros'!$B$2*H493))/2)/1000000</f>
        <v>244.158843198529</v>
      </c>
      <c r="AH493" s="10">
        <f>N493+(AF493+AG493)/D493</f>
        <v>489.543905456656</v>
      </c>
      <c r="AI493" s="10">
        <f>MAX(O493,AH493)</f>
        <v>720.575</v>
      </c>
      <c r="AJ493" s="10">
        <f>0.17*SQRT('Parametros'!$B$2)*H493*MIN(U493,AB493)/1000</f>
        <v>220.098728691808</v>
      </c>
      <c r="AK493" s="10">
        <f>MAX(AI493/'Parametros'!$B$6-AJ493,0)</f>
        <v>740.667937974859</v>
      </c>
      <c r="AL493" s="10">
        <f>0.66*SQRT('Parametros'!$B$2)*H493*MIN(U493,AB493)/1000</f>
        <v>854.500946685842</v>
      </c>
      <c r="AM493" s="10" t="str">
        <f>IF(AK493&lt;=AL493,"CUMPLE","NO CUMPLE")</f>
        <v>CUMPLE</v>
      </c>
      <c r="AN493" s="17" t="inlineStr">
        <is>
          <t>Nº4 cerrado</t>
        </is>
      </c>
      <c r="AO493" s="31" t="n">
        <v>4</v>
      </c>
      <c r="AP493" s="10">
        <f>ROUNDDOWN(MIN(IF(BC493+BD493=0,1000000000,AO493*BB493/(BC493+BD493)),MIN(U493,AB493)/4,8*'Parametros'!$B$12,24*BA493,300,IF(AV493=0,1000000000,2*((H493-2*('Parametros'!$B$7+'Parametros'!$B$9/2))+(I493-2*('Parametros'!$B$7+'Parametros'!$B$9/2)))/8))/10,0)*10</f>
        <v>120</v>
      </c>
      <c r="AQ493" s="10">
        <f>ROUNDDOWN(MIN(IF(BC493+BD493=0,1000000000,AO493*BB493/(BC493+BD493)),IF(AK493&gt;0.33*SQRT('Parametros'!$B$2)*H493*MIN(U493,AB493)/1000,MIN(U493,AB493)/4,MIN(U493,AB493)/2),600,IF(AV493=0,1000000000,2*((H493-2*('Parametros'!$B$7+'Parametros'!$B$9/2))+(I493-2*('Parametros'!$B$7+'Parametros'!$B$9/2)))/8))/10,0)*10</f>
        <v>120</v>
      </c>
      <c r="AR493" s="10">
        <f>'Parametros'!$B$6*(AJ493+MAX(BE493-BD493,0)*'Parametros'!$B$4*MIN(U493,AB493)/1000)</f>
        <v>827.898621518856</v>
      </c>
      <c r="AS493" s="10" t="str">
        <f>IF(AND(ISERROR(SEARCH("referencia",AN493)),AM493="CUMPLE",AR493&gt;=AI493),"CUMPLE","NO CUMPLE")</f>
        <v>CUMPLE</v>
      </c>
      <c r="AT493" s="10">
        <f>'Parametros'!$B$6*0.083*SQRT('Parametros'!$B$2)*(H493*I493)^2/(2*(H493+I493))/1000000</f>
        <v>11.862178757599</v>
      </c>
      <c r="AU493" s="10" t="str">
        <f>IF(Q493&lt;=AT493,"DESPRECIABLE","DISEÑAR")</f>
        <v>DESPRECIABLE</v>
      </c>
      <c r="AV493" s="10">
        <f>IF(Q493&lt;=AT493,0,Q493*1000000/('Parametros'!$B$6*2*0.85*(H493-2*('Parametros'!$B$7+'Parametros'!$B$9/2))*(I493-2*('Parametros'!$B$7+'Parametros'!$B$9/2))*'Parametros'!$B$4))</f>
        <v>0</v>
      </c>
      <c r="AW493" s="10">
        <f>AV493*2*((H493-2*('Parametros'!$B$7+'Parametros'!$B$9/2))+(I493-2*('Parametros'!$B$7+'Parametros'!$B$9/2)))*'Parametros'!$B$4/'Parametros'!$B$3</f>
        <v>0</v>
      </c>
      <c r="AX493" s="31" t="n">
        <v>0</v>
      </c>
      <c r="AY493" s="10" t="str">
        <f>IF(AV493=0,"DESPRECIABLE",IF(AND(ISERROR(SEARCH("referencia",AN493)),BB493/AP493&gt;=AV493,BI493&gt;=AW493,BH493="CUMPLE"),"CUMPLE","NO CUMPLE"))</f>
        <v>DESPRECIABLE</v>
      </c>
      <c r="AZ493" s="10" t="str">
        <f>IF(AND(X493="CUMPLE",AE493="CUMPLE",AS493="CUMPLE",OR(AY493="CUMPLE",AY493="DESPRECIABLE"),BH493="CUMPLE",BJ493="CUMPLE"),"CUMPLE","NO CUMPLE")</f>
        <v>CUMPLE</v>
      </c>
      <c r="BA493" s="32" t="n">
        <v>12.7</v>
      </c>
      <c r="BB493" s="32" t="n">
        <v>129</v>
      </c>
      <c r="BC493" s="10">
        <f>MAX(IF(AK493=0,0,AK493*1000/('Parametros'!$B$4*MIN(U493,AB493))),MAX(0.062*SQRT('Parametros'!$B$2)*H493/'Parametros'!$B$4,0.35*H493/'Parametros'!$B$4))</f>
        <v>3.60375005704778</v>
      </c>
      <c r="BD493" s="10">
        <f>2*AV493</f>
        <v>0</v>
      </c>
      <c r="BE493" s="10">
        <f>AO493*BB493/AP493</f>
        <v>4.3</v>
      </c>
      <c r="BF493" s="10">
        <f>SQRT((AI493*1000/(H493*MIN(U493,AB493)))^2+(Q493*1000000*2*((H493-2*('Parametros'!$B$7+'Parametros'!$B$9/2))+(I493-2*('Parametros'!$B$7+'Parametros'!$B$9/2)))/(1.7*((H493-2*('Parametros'!$B$7+'Parametros'!$B$9/2))*(I493-2*('Parametros'!$B$7+'Parametros'!$B$9/2)))^2))^2)</f>
        <v>2.94510928036929</v>
      </c>
      <c r="BG493" s="10">
        <f>'Parametros'!$B$6*(AJ493*1000/(H493*MIN(U493,AB493))+0.66*SQRT('Parametros'!$B$2))</f>
        <v>3.29396038227542</v>
      </c>
      <c r="BH493" s="10" t="str">
        <f>IF(BF493&lt;=BG493,"CUMPLE","NO CUMPLE")</f>
        <v>CUMPLE</v>
      </c>
      <c r="BI493" s="10">
        <f>AX493*'Parametros'!$B$8</f>
        <v>0</v>
      </c>
      <c r="BJ493" s="10" t="str">
        <f>IF(BI493&gt;=AW493,"CUMPLE","NO CUMPLE")</f>
        <v>CUMPLE</v>
      </c>
    </row>
    <row r="494">
      <c r="A494" s="26" t="inlineStr">
        <is>
          <t>VR3</t>
        </is>
      </c>
      <c r="B494" s="26" t="inlineStr">
        <is>
          <t>31</t>
        </is>
      </c>
      <c r="C494" s="10" t="n">
        <v>1</v>
      </c>
      <c r="D494" s="10" t="n">
        <v>2</v>
      </c>
      <c r="E494" s="10" t="n">
        <v>2</v>
      </c>
      <c r="F494" s="10" t="n">
        <v>500</v>
      </c>
      <c r="G494" s="10" t="n">
        <v>550</v>
      </c>
      <c r="H494" s="17" t="n">
        <v>500</v>
      </c>
      <c r="I494" s="17" t="n">
        <v>550</v>
      </c>
      <c r="J494" s="30" t="n">
        <v>271.7568</v>
      </c>
      <c r="K494" s="10" t="inlineStr">
        <is>
          <t>31</t>
        </is>
      </c>
      <c r="L494" s="30" t="n">
        <v>111.8245</v>
      </c>
      <c r="M494" s="10" t="inlineStr">
        <is>
          <t>31</t>
        </is>
      </c>
      <c r="N494" s="30" t="n">
        <v>203.381</v>
      </c>
      <c r="O494" s="30" t="n">
        <v>362.199</v>
      </c>
      <c r="P494" s="10" t="inlineStr">
        <is>
          <t>31</t>
        </is>
      </c>
      <c r="Q494" s="30" t="n">
        <v>9.122999999999999</v>
      </c>
      <c r="R494" s="10">
        <f>MAX(MAX(1.4/'Parametros'!$B$3,0.25*SQRT('Parametros'!$B$2)/'Parametros'!$B$3)*H494*U494,(0.85*'Parametros'!$B$2/'Parametros'!$B$3)*(1-SQRT(1-2*(J494*1000000/('Parametros'!$B$5*H494*U494^2))/(0.85*'Parametros'!$B$2)))*H494*U494)</f>
        <v>1556.5309634944</v>
      </c>
      <c r="S494" s="31" t="n">
        <v>8</v>
      </c>
      <c r="T494" s="32" t="n">
        <v>1</v>
      </c>
      <c r="U494" s="10">
        <f>IF(T494=1,I494-('Parametros'!$B$7+'Parametros'!$B$9+'Parametros'!$B$12/2),I494-(ROUNDUP(S494/2,0)*('Parametros'!$B$7+'Parametros'!$B$9+'Parametros'!$B$12/2)+ROUNDDOWN(S494/2,0)*('Parametros'!$B$7+'Parametros'!$B$9+'Parametros'!$B$12/2+'Parametros'!$B$12+'Parametros'!$B$10))/S494)</f>
        <v>489.35</v>
      </c>
      <c r="V494" s="10">
        <f>S494*'Parametros'!$B$8</f>
        <v>1592</v>
      </c>
      <c r="W494" s="10">
        <f>'Parametros'!$B$5*V494*'Parametros'!$B$3*(U494-(V494*'Parametros'!$B$3/(0.85*'Parametros'!$B$2*H494))/2)/1000000</f>
        <v>277.572719858824</v>
      </c>
      <c r="X494" s="10" t="str">
        <f>IF(W494&gt;=J494,"CUMPLE","NO CUMPLE")</f>
        <v>CUMPLE</v>
      </c>
      <c r="Y494" s="10">
        <f>MAX(MAX(1.4/'Parametros'!$B$3,0.25*SQRT('Parametros'!$B$2)/'Parametros'!$B$3)*H494*AB494,(0.85*'Parametros'!$B$2/'Parametros'!$B$3)*(1-SQRT(1-2*(L494*1000000/('Parametros'!$B$5*H494*AB494^2))/(0.85*'Parametros'!$B$2)))*H494*AB494)</f>
        <v>815.583333333333</v>
      </c>
      <c r="Z494" s="31" t="n">
        <v>5</v>
      </c>
      <c r="AA494" s="32" t="n">
        <v>1</v>
      </c>
      <c r="AB494" s="10">
        <f>IF(AA494=1,I494-('Parametros'!$B$7+'Parametros'!$B$9+'Parametros'!$B$12/2),I494-(ROUNDUP(Z494/2,0)*('Parametros'!$B$7+'Parametros'!$B$9+'Parametros'!$B$12/2)+ROUNDDOWN(Z494/2,0)*('Parametros'!$B$7+'Parametros'!$B$9+'Parametros'!$B$12/2+'Parametros'!$B$12+'Parametros'!$B$10))/Z494)</f>
        <v>489.35</v>
      </c>
      <c r="AC494" s="10">
        <f>Z494*'Parametros'!$B$8</f>
        <v>995</v>
      </c>
      <c r="AD494" s="10">
        <f>'Parametros'!$B$5*AC494*'Parametros'!$B$3*(AB494-(AC494*'Parametros'!$B$3/(0.85*'Parametros'!$B$2*H494))/2)/1000000</f>
        <v>177.445379382353</v>
      </c>
      <c r="AE494" s="10" t="str">
        <f>IF(AD494&gt;=L494,"CUMPLE","NO CUMPLE")</f>
        <v>CUMPLE</v>
      </c>
      <c r="AF494" s="10">
        <f>V494*1.25*'Parametros'!$B$3*(U494-(V494*1.25*'Parametros'!$B$3/(0.85*'Parametros'!$B$2*H494))/2)/1000000</f>
        <v>379.647400588235</v>
      </c>
      <c r="AG494" s="10">
        <f>AC494*1.25*'Parametros'!$B$3*(AB494-(AC494*1.25*'Parametros'!$B$3/(0.85*'Parametros'!$B$2*H494))/2)/1000000</f>
        <v>244.158843198529</v>
      </c>
      <c r="AH494" s="10">
        <f>N494+(AF494+AG494)/D494</f>
        <v>515.284121893382</v>
      </c>
      <c r="AI494" s="10">
        <f>MAX(O494,AH494)</f>
        <v>515.284121893382</v>
      </c>
      <c r="AJ494" s="10">
        <f>0.17*SQRT('Parametros'!$B$2)*H494*MIN(U494,AB494)/1000</f>
        <v>220.098728691808</v>
      </c>
      <c r="AK494" s="10">
        <f>MAX(AI494/'Parametros'!$B$6-AJ494,0)</f>
        <v>466.946767166035</v>
      </c>
      <c r="AL494" s="10">
        <f>0.66*SQRT('Parametros'!$B$2)*H494*MIN(U494,AB494)/1000</f>
        <v>854.500946685842</v>
      </c>
      <c r="AM494" s="10" t="str">
        <f>IF(AK494&lt;=AL494,"CUMPLE","NO CUMPLE")</f>
        <v>CUMPLE</v>
      </c>
      <c r="AN494" s="17" t="inlineStr">
        <is>
          <t>Nº4 cerrado</t>
        </is>
      </c>
      <c r="AO494" s="31" t="n">
        <v>2</v>
      </c>
      <c r="AP494" s="10">
        <f>ROUNDDOWN(MIN(IF(BC494+BD494=0,1000000000,AO494*BB494/(BC494+BD494)),MIN(U494,AB494)/4,8*'Parametros'!$B$12,24*BA494,300,IF(AV494=0,1000000000,2*((H494-2*('Parametros'!$B$7+'Parametros'!$B$9/2))+(I494-2*('Parametros'!$B$7+'Parametros'!$B$9/2)))/8))/10,0)*10</f>
        <v>110</v>
      </c>
      <c r="AQ494" s="10">
        <f>ROUNDDOWN(MIN(IF(BC494+BD494=0,1000000000,AO494*BB494/(BC494+BD494)),IF(AK494&gt;0.33*SQRT('Parametros'!$B$2)*H494*MIN(U494,AB494)/1000,MIN(U494,AB494)/4,MIN(U494,AB494)/2),600,IF(AV494=0,1000000000,2*((H494-2*('Parametros'!$B$7+'Parametros'!$B$9/2))+(I494-2*('Parametros'!$B$7+'Parametros'!$B$9/2)))/8))/10,0)*10</f>
        <v>110</v>
      </c>
      <c r="AR494" s="10">
        <f>'Parametros'!$B$6*(AJ494+MAX(BE494-BD494,0)*'Parametros'!$B$4*MIN(U494,AB494)/1000)</f>
        <v>526.614723791583</v>
      </c>
      <c r="AS494" s="10" t="str">
        <f>IF(AND(ISERROR(SEARCH("referencia",AN494)),AM494="CUMPLE",AR494&gt;=AI494),"CUMPLE","NO CUMPLE")</f>
        <v>CUMPLE</v>
      </c>
      <c r="AT494" s="10">
        <f>'Parametros'!$B$6*0.083*SQRT('Parametros'!$B$2)*(H494*I494)^2/(2*(H494+I494))/1000000</f>
        <v>11.862178757599</v>
      </c>
      <c r="AU494" s="10" t="str">
        <f>IF(Q494&lt;=AT494,"DESPRECIABLE","DISEÑAR")</f>
        <v>DESPRECIABLE</v>
      </c>
      <c r="AV494" s="10">
        <f>IF(Q494&lt;=AT494,0,Q494*1000000/('Parametros'!$B$6*2*0.85*(H494-2*('Parametros'!$B$7+'Parametros'!$B$9/2))*(I494-2*('Parametros'!$B$7+'Parametros'!$B$9/2))*'Parametros'!$B$4))</f>
        <v>0</v>
      </c>
      <c r="AW494" s="10">
        <f>AV494*2*((H494-2*('Parametros'!$B$7+'Parametros'!$B$9/2))+(I494-2*('Parametros'!$B$7+'Parametros'!$B$9/2)))*'Parametros'!$B$4/'Parametros'!$B$3</f>
        <v>0</v>
      </c>
      <c r="AX494" s="31" t="n">
        <v>0</v>
      </c>
      <c r="AY494" s="10" t="str">
        <f>IF(AV494=0,"DESPRECIABLE",IF(AND(ISERROR(SEARCH("referencia",AN494)),BB494/AP494&gt;=AV494,BI494&gt;=AW494,BH494="CUMPLE"),"CUMPLE","NO CUMPLE"))</f>
        <v>DESPRECIABLE</v>
      </c>
      <c r="AZ494" s="10" t="str">
        <f>IF(AND(X494="CUMPLE",AE494="CUMPLE",AS494="CUMPLE",OR(AY494="CUMPLE",AY494="DESPRECIABLE"),BH494="CUMPLE",BJ494="CUMPLE"),"CUMPLE","NO CUMPLE")</f>
        <v>CUMPLE</v>
      </c>
      <c r="BA494" s="32" t="n">
        <v>12.7</v>
      </c>
      <c r="BB494" s="32" t="n">
        <v>129</v>
      </c>
      <c r="BC494" s="10">
        <f>MAX(IF(AK494=0,0,AK494*1000/('Parametros'!$B$4*MIN(U494,AB494))),MAX(0.062*SQRT('Parametros'!$B$2)*H494/'Parametros'!$B$4,0.35*H494/'Parametros'!$B$4))</f>
        <v>2.27194853798302</v>
      </c>
      <c r="BD494" s="10">
        <f>2*AV494</f>
        <v>0</v>
      </c>
      <c r="BE494" s="10">
        <f>AO494*BB494/AP494</f>
        <v>2.34545454545455</v>
      </c>
      <c r="BF494" s="10">
        <f>SQRT((AI494*1000/(H494*MIN(U494,AB494)))^2+(Q494*1000000*2*((H494-2*('Parametros'!$B$7+'Parametros'!$B$9/2))+(I494-2*('Parametros'!$B$7+'Parametros'!$B$9/2)))/(1.7*((H494-2*('Parametros'!$B$7+'Parametros'!$B$9/2))*(I494-2*('Parametros'!$B$7+'Parametros'!$B$9/2)))^2))^2)</f>
        <v>2.1229132663256</v>
      </c>
      <c r="BG494" s="10">
        <f>'Parametros'!$B$6*(AJ494*1000/(H494*MIN(U494,AB494))+0.66*SQRT('Parametros'!$B$2))</f>
        <v>3.29396038227542</v>
      </c>
      <c r="BH494" s="10" t="str">
        <f>IF(BF494&lt;=BG494,"CUMPLE","NO CUMPLE")</f>
        <v>CUMPLE</v>
      </c>
      <c r="BI494" s="10">
        <f>AX494*'Parametros'!$B$8</f>
        <v>0</v>
      </c>
      <c r="BJ494" s="10" t="str">
        <f>IF(BI494&gt;=AW494,"CUMPLE","NO CUMPLE")</f>
        <v>CUMPLE</v>
      </c>
    </row>
    <row r="495">
      <c r="A495" s="26" t="inlineStr">
        <is>
          <t>VR3</t>
        </is>
      </c>
      <c r="B495" s="26" t="inlineStr">
        <is>
          <t>32</t>
        </is>
      </c>
      <c r="C495" s="10" t="n">
        <v>1</v>
      </c>
      <c r="D495" s="10" t="n">
        <v>2.35</v>
      </c>
      <c r="E495" s="10" t="n">
        <v>2.35</v>
      </c>
      <c r="F495" s="10" t="n">
        <v>500</v>
      </c>
      <c r="G495" s="10" t="n">
        <v>550</v>
      </c>
      <c r="H495" s="17" t="n">
        <v>500</v>
      </c>
      <c r="I495" s="17" t="n">
        <v>550</v>
      </c>
      <c r="J495" s="30" t="n">
        <v>265.9503</v>
      </c>
      <c r="K495" s="10" t="inlineStr">
        <is>
          <t>32</t>
        </is>
      </c>
      <c r="L495" s="30" t="n">
        <v>123.1936</v>
      </c>
      <c r="M495" s="10" t="inlineStr">
        <is>
          <t>32</t>
        </is>
      </c>
      <c r="N495" s="30" t="n">
        <v>204.198</v>
      </c>
      <c r="O495" s="30" t="n">
        <v>363.308</v>
      </c>
      <c r="P495" s="10" t="inlineStr">
        <is>
          <t>32</t>
        </is>
      </c>
      <c r="Q495" s="30" t="n">
        <v>11.7432</v>
      </c>
      <c r="R495" s="10">
        <f>MAX(MAX(1.4/'Parametros'!$B$3,0.25*SQRT('Parametros'!$B$2)/'Parametros'!$B$3)*H495*U495,(0.85*'Parametros'!$B$2/'Parametros'!$B$3)*(1-SQRT(1-2*(J495*1000000/('Parametros'!$B$5*H495*U495^2))/(0.85*'Parametros'!$B$2)))*H495*U495)</f>
        <v>1521.22104578317</v>
      </c>
      <c r="S495" s="31" t="n">
        <v>8</v>
      </c>
      <c r="T495" s="32" t="n">
        <v>1</v>
      </c>
      <c r="U495" s="10">
        <f>IF(T495=1,I495-('Parametros'!$B$7+'Parametros'!$B$9+'Parametros'!$B$12/2),I495-(ROUNDUP(S495/2,0)*('Parametros'!$B$7+'Parametros'!$B$9+'Parametros'!$B$12/2)+ROUNDDOWN(S495/2,0)*('Parametros'!$B$7+'Parametros'!$B$9+'Parametros'!$B$12/2+'Parametros'!$B$12+'Parametros'!$B$10))/S495)</f>
        <v>489.35</v>
      </c>
      <c r="V495" s="10">
        <f>S495*'Parametros'!$B$8</f>
        <v>1592</v>
      </c>
      <c r="W495" s="10">
        <f>'Parametros'!$B$5*V495*'Parametros'!$B$3*(U495-(V495*'Parametros'!$B$3/(0.85*'Parametros'!$B$2*H495))/2)/1000000</f>
        <v>277.572719858824</v>
      </c>
      <c r="X495" s="10" t="str">
        <f>IF(W495&gt;=J495,"CUMPLE","NO CUMPLE")</f>
        <v>CUMPLE</v>
      </c>
      <c r="Y495" s="10">
        <f>MAX(MAX(1.4/'Parametros'!$B$3,0.25*SQRT('Parametros'!$B$2)/'Parametros'!$B$3)*H495*AB495,(0.85*'Parametros'!$B$2/'Parametros'!$B$3)*(1-SQRT(1-2*(L495*1000000/('Parametros'!$B$5*H495*AB495^2))/(0.85*'Parametros'!$B$2)))*H495*AB495)</f>
        <v>815.583333333333</v>
      </c>
      <c r="Z495" s="31" t="n">
        <v>5</v>
      </c>
      <c r="AA495" s="32" t="n">
        <v>1</v>
      </c>
      <c r="AB495" s="10">
        <f>IF(AA495=1,I495-('Parametros'!$B$7+'Parametros'!$B$9+'Parametros'!$B$12/2),I495-(ROUNDUP(Z495/2,0)*('Parametros'!$B$7+'Parametros'!$B$9+'Parametros'!$B$12/2)+ROUNDDOWN(Z495/2,0)*('Parametros'!$B$7+'Parametros'!$B$9+'Parametros'!$B$12/2+'Parametros'!$B$12+'Parametros'!$B$10))/Z495)</f>
        <v>489.35</v>
      </c>
      <c r="AC495" s="10">
        <f>Z495*'Parametros'!$B$8</f>
        <v>995</v>
      </c>
      <c r="AD495" s="10">
        <f>'Parametros'!$B$5*AC495*'Parametros'!$B$3*(AB495-(AC495*'Parametros'!$B$3/(0.85*'Parametros'!$B$2*H495))/2)/1000000</f>
        <v>177.445379382353</v>
      </c>
      <c r="AE495" s="10" t="str">
        <f>IF(AD495&gt;=L495,"CUMPLE","NO CUMPLE")</f>
        <v>CUMPLE</v>
      </c>
      <c r="AF495" s="10">
        <f>V495*1.25*'Parametros'!$B$3*(U495-(V495*1.25*'Parametros'!$B$3/(0.85*'Parametros'!$B$2*H495))/2)/1000000</f>
        <v>379.647400588235</v>
      </c>
      <c r="AG495" s="10">
        <f>AC495*1.25*'Parametros'!$B$3*(AB495-(AC495*1.25*'Parametros'!$B$3/(0.85*'Parametros'!$B$2*H495))/2)/1000000</f>
        <v>244.158843198529</v>
      </c>
      <c r="AH495" s="10">
        <f>N495+(AF495+AG495)/D495</f>
        <v>469.647465441176</v>
      </c>
      <c r="AI495" s="10">
        <f>MAX(O495,AH495)</f>
        <v>469.647465441176</v>
      </c>
      <c r="AJ495" s="10">
        <f>0.17*SQRT('Parametros'!$B$2)*H495*MIN(U495,AB495)/1000</f>
        <v>220.098728691808</v>
      </c>
      <c r="AK495" s="10">
        <f>MAX(AI495/'Parametros'!$B$6-AJ495,0)</f>
        <v>406.097891896428</v>
      </c>
      <c r="AL495" s="10">
        <f>0.66*SQRT('Parametros'!$B$2)*H495*MIN(U495,AB495)/1000</f>
        <v>854.500946685842</v>
      </c>
      <c r="AM495" s="10" t="str">
        <f>IF(AK495&lt;=AL495,"CUMPLE","NO CUMPLE")</f>
        <v>CUMPLE</v>
      </c>
      <c r="AN495" s="17" t="inlineStr">
        <is>
          <t>Nº4 cerrado</t>
        </is>
      </c>
      <c r="AO495" s="31" t="n">
        <v>2</v>
      </c>
      <c r="AP495" s="10">
        <f>ROUNDDOWN(MIN(IF(BC495+BD495=0,1000000000,AO495*BB495/(BC495+BD495)),MIN(U495,AB495)/4,8*'Parametros'!$B$12,24*BA495,300,IF(AV495=0,1000000000,2*((H495-2*('Parametros'!$B$7+'Parametros'!$B$9/2))+(I495-2*('Parametros'!$B$7+'Parametros'!$B$9/2)))/8))/10,0)*10</f>
        <v>120</v>
      </c>
      <c r="AQ495" s="10">
        <f>ROUNDDOWN(MIN(IF(BC495+BD495=0,1000000000,AO495*BB495/(BC495+BD495)),IF(AK495&gt;0.33*SQRT('Parametros'!$B$2)*H495*MIN(U495,AB495)/1000,MIN(U495,AB495)/4,MIN(U495,AB495)/2),600,IF(AV495=0,1000000000,2*((H495-2*('Parametros'!$B$7+'Parametros'!$B$9/2))+(I495-2*('Parametros'!$B$7+'Parametros'!$B$9/2)))/8))/10,0)*10</f>
        <v>130</v>
      </c>
      <c r="AR495" s="10">
        <f>'Parametros'!$B$6*(AJ495+MAX(BE495-BD495,0)*'Parametros'!$B$4*MIN(U495,AB495)/1000)</f>
        <v>496.486334018856</v>
      </c>
      <c r="AS495" s="10" t="str">
        <f>IF(AND(ISERROR(SEARCH("referencia",AN495)),AM495="CUMPLE",AR495&gt;=AI495),"CUMPLE","NO CUMPLE")</f>
        <v>CUMPLE</v>
      </c>
      <c r="AT495" s="10">
        <f>'Parametros'!$B$6*0.083*SQRT('Parametros'!$B$2)*(H495*I495)^2/(2*(H495+I495))/1000000</f>
        <v>11.862178757599</v>
      </c>
      <c r="AU495" s="10" t="str">
        <f>IF(Q495&lt;=AT495,"DESPRECIABLE","DISEÑAR")</f>
        <v>DESPRECIABLE</v>
      </c>
      <c r="AV495" s="10">
        <f>IF(Q495&lt;=AT495,0,Q495*1000000/('Parametros'!$B$6*2*0.85*(H495-2*('Parametros'!$B$7+'Parametros'!$B$9/2))*(I495-2*('Parametros'!$B$7+'Parametros'!$B$9/2))*'Parametros'!$B$4))</f>
        <v>0</v>
      </c>
      <c r="AW495" s="10">
        <f>AV495*2*((H495-2*('Parametros'!$B$7+'Parametros'!$B$9/2))+(I495-2*('Parametros'!$B$7+'Parametros'!$B$9/2)))*'Parametros'!$B$4/'Parametros'!$B$3</f>
        <v>0</v>
      </c>
      <c r="AX495" s="31" t="n">
        <v>0</v>
      </c>
      <c r="AY495" s="10" t="str">
        <f>IF(AV495=0,"DESPRECIABLE",IF(AND(ISERROR(SEARCH("referencia",AN495)),BB495/AP495&gt;=AV495,BI495&gt;=AW495,BH495="CUMPLE"),"CUMPLE","NO CUMPLE"))</f>
        <v>DESPRECIABLE</v>
      </c>
      <c r="AZ495" s="10" t="str">
        <f>IF(AND(X495="CUMPLE",AE495="CUMPLE",AS495="CUMPLE",OR(AY495="CUMPLE",AY495="DESPRECIABLE"),BH495="CUMPLE",BJ495="CUMPLE"),"CUMPLE","NO CUMPLE")</f>
        <v>CUMPLE</v>
      </c>
      <c r="BA495" s="32" t="n">
        <v>12.7</v>
      </c>
      <c r="BB495" s="32" t="n">
        <v>129</v>
      </c>
      <c r="BC495" s="10">
        <f>MAX(IF(AK495=0,0,AK495*1000/('Parametros'!$B$4*MIN(U495,AB495))),MAX(0.062*SQRT('Parametros'!$B$2)*H495/'Parametros'!$B$4,0.35*H495/'Parametros'!$B$4))</f>
        <v>1.97588585390935</v>
      </c>
      <c r="BD495" s="10">
        <f>2*AV495</f>
        <v>0</v>
      </c>
      <c r="BE495" s="10">
        <f>AO495*BB495/AP495</f>
        <v>2.15</v>
      </c>
      <c r="BF495" s="10">
        <f>SQRT((AI495*1000/(H495*MIN(U495,AB495)))^2+(Q495*1000000*2*((H495-2*('Parametros'!$B$7+'Parametros'!$B$9/2))+(I495-2*('Parametros'!$B$7+'Parametros'!$B$9/2)))/(1.7*((H495-2*('Parametros'!$B$7+'Parametros'!$B$9/2))*(I495-2*('Parametros'!$B$7+'Parametros'!$B$9/2)))^2))^2)</f>
        <v>1.950111133482</v>
      </c>
      <c r="BG495" s="10">
        <f>'Parametros'!$B$6*(AJ495*1000/(H495*MIN(U495,AB495))+0.66*SQRT('Parametros'!$B$2))</f>
        <v>3.29396038227542</v>
      </c>
      <c r="BH495" s="10" t="str">
        <f>IF(BF495&lt;=BG495,"CUMPLE","NO CUMPLE")</f>
        <v>CUMPLE</v>
      </c>
      <c r="BI495" s="10">
        <f>AX495*'Parametros'!$B$8</f>
        <v>0</v>
      </c>
      <c r="BJ495" s="10" t="str">
        <f>IF(BI495&gt;=AW495,"CUMPLE","NO CUMPLE")</f>
        <v>CUMPLE</v>
      </c>
    </row>
    <row r="496">
      <c r="A496" s="26" t="inlineStr">
        <is>
          <t>VR3</t>
        </is>
      </c>
      <c r="B496" s="26" t="inlineStr">
        <is>
          <t>146</t>
        </is>
      </c>
      <c r="C496" s="10" t="n">
        <v>1</v>
      </c>
      <c r="D496" s="10" t="n">
        <v>0.9</v>
      </c>
      <c r="E496" s="10" t="n">
        <v>0.9</v>
      </c>
      <c r="F496" s="10" t="n">
        <v>500</v>
      </c>
      <c r="G496" s="10" t="n">
        <v>550</v>
      </c>
      <c r="H496" s="17" t="n">
        <v>500</v>
      </c>
      <c r="I496" s="17" t="n">
        <v>550</v>
      </c>
      <c r="J496" s="30" t="n">
        <v>92.43049999999999</v>
      </c>
      <c r="K496" s="10" t="inlineStr">
        <is>
          <t>146</t>
        </is>
      </c>
      <c r="L496" s="30" t="n">
        <v>5.836</v>
      </c>
      <c r="M496" s="10" t="inlineStr">
        <is>
          <t>146</t>
        </is>
      </c>
      <c r="N496" s="30" t="n">
        <v>72.315</v>
      </c>
      <c r="O496" s="30" t="n">
        <v>72.315</v>
      </c>
      <c r="P496" s="10" t="inlineStr">
        <is>
          <t>146</t>
        </is>
      </c>
      <c r="Q496" s="30" t="n">
        <v>175.7601</v>
      </c>
      <c r="R496" s="10">
        <f>MAX(MAX(1.4/'Parametros'!$B$3,0.25*SQRT('Parametros'!$B$2)/'Parametros'!$B$3)*H496*U496,(0.85*'Parametros'!$B$2/'Parametros'!$B$3)*(1-SQRT(1-2*(J496*1000000/('Parametros'!$B$5*H496*U496^2))/(0.85*'Parametros'!$B$2)))*H496*U496)</f>
        <v>815.583333333333</v>
      </c>
      <c r="S496" s="31" t="n">
        <v>5</v>
      </c>
      <c r="T496" s="32" t="n">
        <v>1</v>
      </c>
      <c r="U496" s="10">
        <f>IF(T496=1,I496-('Parametros'!$B$7+'Parametros'!$B$9+'Parametros'!$B$12/2),I496-(ROUNDUP(S496/2,0)*('Parametros'!$B$7+'Parametros'!$B$9+'Parametros'!$B$12/2)+ROUNDDOWN(S496/2,0)*('Parametros'!$B$7+'Parametros'!$B$9+'Parametros'!$B$12/2+'Parametros'!$B$12+'Parametros'!$B$10))/S496)</f>
        <v>489.35</v>
      </c>
      <c r="V496" s="10">
        <f>S496*'Parametros'!$B$8</f>
        <v>995</v>
      </c>
      <c r="W496" s="10">
        <f>'Parametros'!$B$5*V496*'Parametros'!$B$3*(U496-(V496*'Parametros'!$B$3/(0.85*'Parametros'!$B$2*H496))/2)/1000000</f>
        <v>177.445379382353</v>
      </c>
      <c r="X496" s="10" t="str">
        <f>IF(W496&gt;=J496,"CUMPLE","NO CUMPLE")</f>
        <v>CUMPLE</v>
      </c>
      <c r="Y496" s="10">
        <f>MAX(MAX(1.4/'Parametros'!$B$3,0.25*SQRT('Parametros'!$B$2)/'Parametros'!$B$3)*H496*AB496,(0.85*'Parametros'!$B$2/'Parametros'!$B$3)*(1-SQRT(1-2*(L496*1000000/('Parametros'!$B$5*H496*AB496^2))/(0.85*'Parametros'!$B$2)))*H496*AB496)</f>
        <v>815.583333333333</v>
      </c>
      <c r="Z496" s="31" t="n">
        <v>5</v>
      </c>
      <c r="AA496" s="32" t="n">
        <v>1</v>
      </c>
      <c r="AB496" s="10">
        <f>IF(AA496=1,I496-('Parametros'!$B$7+'Parametros'!$B$9+'Parametros'!$B$12/2),I496-(ROUNDUP(Z496/2,0)*('Parametros'!$B$7+'Parametros'!$B$9+'Parametros'!$B$12/2)+ROUNDDOWN(Z496/2,0)*('Parametros'!$B$7+'Parametros'!$B$9+'Parametros'!$B$12/2+'Parametros'!$B$12+'Parametros'!$B$10))/Z496)</f>
        <v>489.35</v>
      </c>
      <c r="AC496" s="10">
        <f>Z496*'Parametros'!$B$8</f>
        <v>995</v>
      </c>
      <c r="AD496" s="10">
        <f>'Parametros'!$B$5*AC496*'Parametros'!$B$3*(AB496-(AC496*'Parametros'!$B$3/(0.85*'Parametros'!$B$2*H496))/2)/1000000</f>
        <v>177.445379382353</v>
      </c>
      <c r="AE496" s="10" t="str">
        <f>IF(AD496&gt;=L496,"CUMPLE","NO CUMPLE")</f>
        <v>CUMPLE</v>
      </c>
      <c r="AF496" s="10">
        <f>V496*1.25*'Parametros'!$B$3*(U496-(V496*1.25*'Parametros'!$B$3/(0.85*'Parametros'!$B$2*H496))/2)/1000000</f>
        <v>244.158843198529</v>
      </c>
      <c r="AG496" s="10">
        <f>AC496*1.25*'Parametros'!$B$3*(AB496-(AC496*1.25*'Parametros'!$B$3/(0.85*'Parametros'!$B$2*H496))/2)/1000000</f>
        <v>244.158843198529</v>
      </c>
      <c r="AH496" s="10">
        <f>N496+(AF496+AG496)/D496</f>
        <v>614.890207107843</v>
      </c>
      <c r="AI496" s="10">
        <f>MAX(O496,AH496)</f>
        <v>614.890207107843</v>
      </c>
      <c r="AJ496" s="10">
        <f>0.17*SQRT('Parametros'!$B$2)*H496*MIN(U496,AB496)/1000</f>
        <v>220.098728691808</v>
      </c>
      <c r="AK496" s="10">
        <f>MAX(AI496/'Parametros'!$B$6-AJ496,0)</f>
        <v>599.754880785316</v>
      </c>
      <c r="AL496" s="10">
        <f>0.66*SQRT('Parametros'!$B$2)*H496*MIN(U496,AB496)/1000</f>
        <v>854.500946685842</v>
      </c>
      <c r="AM496" s="10" t="str">
        <f>IF(AK496&lt;=AL496,"CUMPLE","NO CUMPLE")</f>
        <v>CUMPLE</v>
      </c>
      <c r="AN496" s="17" t="inlineStr">
        <is>
          <t>Nº4 cerrado (referencia)</t>
        </is>
      </c>
      <c r="AO496" s="31" t="n">
        <v>4</v>
      </c>
      <c r="AP496" s="10">
        <f>ROUNDDOWN(MIN(IF(BC496+BD496=0,1000000000,AO496*BB496/(BC496+BD496)),MIN(U496,AB496)/4,8*'Parametros'!$B$12,24*BA496,300,IF(AV496=0,1000000000,2*((H496-2*('Parametros'!$B$7+'Parametros'!$B$9/2))+(I496-2*('Parametros'!$B$7+'Parametros'!$B$9/2)))/8))/10,0)*10</f>
        <v>80</v>
      </c>
      <c r="AQ496" s="10">
        <f>ROUNDDOWN(MIN(IF(BC496+BD496=0,1000000000,AO496*BB496/(BC496+BD496)),IF(AK496&gt;0.33*SQRT('Parametros'!$B$2)*H496*MIN(U496,AB496)/1000,MIN(U496,AB496)/4,MIN(U496,AB496)/2),600,IF(AV496=0,1000000000,2*((H496-2*('Parametros'!$B$7+'Parametros'!$B$9/2))+(I496-2*('Parametros'!$B$7+'Parametros'!$B$9/2)))/8))/10,0)*10</f>
        <v>80</v>
      </c>
      <c r="AR496" s="10">
        <f>'Parametros'!$B$6*(AJ496+MAX(BE496-BD496,0)*'Parametros'!$B$4*MIN(U496,AB496)/1000)</f>
        <v>616.053889677912</v>
      </c>
      <c r="AS496" s="10" t="str">
        <f>IF(AND(ISERROR(SEARCH("referencia",AN496)),AM496="CUMPLE",AR496&gt;=AI496),"CUMPLE","NO CUMPLE")</f>
        <v>NO CUMPLE</v>
      </c>
      <c r="AT496" s="10">
        <f>'Parametros'!$B$6*0.083*SQRT('Parametros'!$B$2)*(H496*I496)^2/(2*(H496+I496))/1000000</f>
        <v>11.862178757599</v>
      </c>
      <c r="AU496" s="10" t="str">
        <f>IF(Q496&lt;=AT496,"DESPRECIABLE","DISEÑAR")</f>
        <v>DISEÑAR</v>
      </c>
      <c r="AV496" s="10">
        <f>IF(Q496&lt;=AT496,0,Q496*1000000/('Parametros'!$B$6*2*0.85*(H496-2*('Parametros'!$B$7+'Parametros'!$B$9/2))*(I496-2*('Parametros'!$B$7+'Parametros'!$B$9/2))*'Parametros'!$B$4))</f>
        <v>1.76215945460838</v>
      </c>
      <c r="AW496" s="10">
        <f>AV496*2*((H496-2*('Parametros'!$B$7+'Parametros'!$B$9/2))+(I496-2*('Parametros'!$B$7+'Parametros'!$B$9/2)))*'Parametros'!$B$4/'Parametros'!$B$3</f>
        <v>3047.12612890881</v>
      </c>
      <c r="AX496" s="31" t="n">
        <v>16</v>
      </c>
      <c r="AY496" s="10" t="str">
        <f>IF(AV496=0,"DESPRECIABLE",IF(AND(ISERROR(SEARCH("referencia",AN496)),BB496/AP496&gt;=AV496,BI496&gt;=AW496,BH496="CUMPLE"),"CUMPLE","NO CUMPLE"))</f>
        <v>NO CUMPLE</v>
      </c>
      <c r="AZ496" s="10" t="str">
        <f>IF(AND(X496="CUMPLE",AE496="CUMPLE",AS496="CUMPLE",OR(AY496="CUMPLE",AY496="DESPRECIABLE"),BH496="CUMPLE",BJ496="CUMPLE"),"CUMPLE","NO CUMPLE")</f>
        <v>NO CUMPLE</v>
      </c>
      <c r="BA496" s="32" t="n">
        <v>12.7</v>
      </c>
      <c r="BB496" s="32" t="n">
        <v>129</v>
      </c>
      <c r="BC496" s="10">
        <f>MAX(IF(AK496=0,0,AK496*1000/('Parametros'!$B$4*MIN(U496,AB496))),MAX(0.062*SQRT('Parametros'!$B$2)*H496/'Parametros'!$B$4,0.35*H496/'Parametros'!$B$4))</f>
        <v>2.9181318307829</v>
      </c>
      <c r="BD496" s="10">
        <f>2*AV496</f>
        <v>3.52431890921676</v>
      </c>
      <c r="BE496" s="10">
        <f>AO496*BB496/AP496</f>
        <v>6.45</v>
      </c>
      <c r="BF496" s="10">
        <f>SQRT((AI496*1000/(H496*MIN(U496,AB496)))^2+(Q496*1000000*2*((H496-2*('Parametros'!$B$7+'Parametros'!$B$9/2))+(I496-2*('Parametros'!$B$7+'Parametros'!$B$9/2)))/(1.7*((H496-2*('Parametros'!$B$7+'Parametros'!$B$9/2))*(I496-2*('Parametros'!$B$7+'Parametros'!$B$9/2)))^2))^2)</f>
        <v>5.73342079737673</v>
      </c>
      <c r="BG496" s="10">
        <f>'Parametros'!$B$6*(AJ496*1000/(H496*MIN(U496,AB496))+0.66*SQRT('Parametros'!$B$2))</f>
        <v>3.29396038227542</v>
      </c>
      <c r="BH496" s="10" t="str">
        <f>IF(BF496&lt;=BG496,"CUMPLE","NO CUMPLE")</f>
        <v>NO CUMPLE</v>
      </c>
      <c r="BI496" s="10">
        <f>AX496*'Parametros'!$B$8</f>
        <v>3184</v>
      </c>
      <c r="BJ496" s="10" t="str">
        <f>IF(BI496&gt;=AW496,"CUMPLE","NO CUMPLE")</f>
        <v>CUMPLE</v>
      </c>
    </row>
    <row r="497">
      <c r="A497" s="26" t="inlineStr">
        <is>
          <t>VR3</t>
        </is>
      </c>
      <c r="B497" s="26" t="inlineStr">
        <is>
          <t>151</t>
        </is>
      </c>
      <c r="C497" s="10" t="n">
        <v>1</v>
      </c>
      <c r="D497" s="10" t="n">
        <v>0.9</v>
      </c>
      <c r="E497" s="10" t="n">
        <v>0.9</v>
      </c>
      <c r="F497" s="10" t="n">
        <v>500</v>
      </c>
      <c r="G497" s="10" t="n">
        <v>550</v>
      </c>
      <c r="H497" s="17" t="n">
        <v>500</v>
      </c>
      <c r="I497" s="17" t="n">
        <v>550</v>
      </c>
      <c r="J497" s="30" t="n">
        <v>92.4286</v>
      </c>
      <c r="K497" s="10" t="inlineStr">
        <is>
          <t>151</t>
        </is>
      </c>
      <c r="L497" s="30" t="n">
        <v>5.8361</v>
      </c>
      <c r="M497" s="10" t="inlineStr">
        <is>
          <t>151</t>
        </is>
      </c>
      <c r="N497" s="30" t="n">
        <v>72.31399999999999</v>
      </c>
      <c r="O497" s="30" t="n">
        <v>72.31399999999999</v>
      </c>
      <c r="P497" s="10" t="inlineStr">
        <is>
          <t>151</t>
        </is>
      </c>
      <c r="Q497" s="30" t="n">
        <v>175.765</v>
      </c>
      <c r="R497" s="10">
        <f>MAX(MAX(1.4/'Parametros'!$B$3,0.25*SQRT('Parametros'!$B$2)/'Parametros'!$B$3)*H497*U497,(0.85*'Parametros'!$B$2/'Parametros'!$B$3)*(1-SQRT(1-2*(J497*1000000/('Parametros'!$B$5*H497*U497^2))/(0.85*'Parametros'!$B$2)))*H497*U497)</f>
        <v>815.583333333333</v>
      </c>
      <c r="S497" s="31" t="n">
        <v>5</v>
      </c>
      <c r="T497" s="32" t="n">
        <v>1</v>
      </c>
      <c r="U497" s="10">
        <f>IF(T497=1,I497-('Parametros'!$B$7+'Parametros'!$B$9+'Parametros'!$B$12/2),I497-(ROUNDUP(S497/2,0)*('Parametros'!$B$7+'Parametros'!$B$9+'Parametros'!$B$12/2)+ROUNDDOWN(S497/2,0)*('Parametros'!$B$7+'Parametros'!$B$9+'Parametros'!$B$12/2+'Parametros'!$B$12+'Parametros'!$B$10))/S497)</f>
        <v>489.35</v>
      </c>
      <c r="V497" s="10">
        <f>S497*'Parametros'!$B$8</f>
        <v>995</v>
      </c>
      <c r="W497" s="10">
        <f>'Parametros'!$B$5*V497*'Parametros'!$B$3*(U497-(V497*'Parametros'!$B$3/(0.85*'Parametros'!$B$2*H497))/2)/1000000</f>
        <v>177.445379382353</v>
      </c>
      <c r="X497" s="10" t="str">
        <f>IF(W497&gt;=J497,"CUMPLE","NO CUMPLE")</f>
        <v>CUMPLE</v>
      </c>
      <c r="Y497" s="10">
        <f>MAX(MAX(1.4/'Parametros'!$B$3,0.25*SQRT('Parametros'!$B$2)/'Parametros'!$B$3)*H497*AB497,(0.85*'Parametros'!$B$2/'Parametros'!$B$3)*(1-SQRT(1-2*(L497*1000000/('Parametros'!$B$5*H497*AB497^2))/(0.85*'Parametros'!$B$2)))*H497*AB497)</f>
        <v>815.583333333333</v>
      </c>
      <c r="Z497" s="31" t="n">
        <v>5</v>
      </c>
      <c r="AA497" s="32" t="n">
        <v>1</v>
      </c>
      <c r="AB497" s="10">
        <f>IF(AA497=1,I497-('Parametros'!$B$7+'Parametros'!$B$9+'Parametros'!$B$12/2),I497-(ROUNDUP(Z497/2,0)*('Parametros'!$B$7+'Parametros'!$B$9+'Parametros'!$B$12/2)+ROUNDDOWN(Z497/2,0)*('Parametros'!$B$7+'Parametros'!$B$9+'Parametros'!$B$12/2+'Parametros'!$B$12+'Parametros'!$B$10))/Z497)</f>
        <v>489.35</v>
      </c>
      <c r="AC497" s="10">
        <f>Z497*'Parametros'!$B$8</f>
        <v>995</v>
      </c>
      <c r="AD497" s="10">
        <f>'Parametros'!$B$5*AC497*'Parametros'!$B$3*(AB497-(AC497*'Parametros'!$B$3/(0.85*'Parametros'!$B$2*H497))/2)/1000000</f>
        <v>177.445379382353</v>
      </c>
      <c r="AE497" s="10" t="str">
        <f>IF(AD497&gt;=L497,"CUMPLE","NO CUMPLE")</f>
        <v>CUMPLE</v>
      </c>
      <c r="AF497" s="10">
        <f>V497*1.25*'Parametros'!$B$3*(U497-(V497*1.25*'Parametros'!$B$3/(0.85*'Parametros'!$B$2*H497))/2)/1000000</f>
        <v>244.158843198529</v>
      </c>
      <c r="AG497" s="10">
        <f>AC497*1.25*'Parametros'!$B$3*(AB497-(AC497*1.25*'Parametros'!$B$3/(0.85*'Parametros'!$B$2*H497))/2)/1000000</f>
        <v>244.158843198529</v>
      </c>
      <c r="AH497" s="10">
        <f>N497+(AF497+AG497)/D497</f>
        <v>614.889207107843</v>
      </c>
      <c r="AI497" s="10">
        <f>MAX(O497,AH497)</f>
        <v>614.889207107843</v>
      </c>
      <c r="AJ497" s="10">
        <f>0.17*SQRT('Parametros'!$B$2)*H497*MIN(U497,AB497)/1000</f>
        <v>220.098728691808</v>
      </c>
      <c r="AK497" s="10">
        <f>MAX(AI497/'Parametros'!$B$6-AJ497,0)</f>
        <v>599.753547451983</v>
      </c>
      <c r="AL497" s="10">
        <f>0.66*SQRT('Parametros'!$B$2)*H497*MIN(U497,AB497)/1000</f>
        <v>854.500946685842</v>
      </c>
      <c r="AM497" s="10" t="str">
        <f>IF(AK497&lt;=AL497,"CUMPLE","NO CUMPLE")</f>
        <v>CUMPLE</v>
      </c>
      <c r="AN497" s="17" t="inlineStr">
        <is>
          <t>Nº4 cerrado (referencia)</t>
        </is>
      </c>
      <c r="AO497" s="31" t="n">
        <v>4</v>
      </c>
      <c r="AP497" s="10">
        <f>ROUNDDOWN(MIN(IF(BC497+BD497=0,1000000000,AO497*BB497/(BC497+BD497)),MIN(U497,AB497)/4,8*'Parametros'!$B$12,24*BA497,300,IF(AV497=0,1000000000,2*((H497-2*('Parametros'!$B$7+'Parametros'!$B$9/2))+(I497-2*('Parametros'!$B$7+'Parametros'!$B$9/2)))/8))/10,0)*10</f>
        <v>80</v>
      </c>
      <c r="AQ497" s="10">
        <f>ROUNDDOWN(MIN(IF(BC497+BD497=0,1000000000,AO497*BB497/(BC497+BD497)),IF(AK497&gt;0.33*SQRT('Parametros'!$B$2)*H497*MIN(U497,AB497)/1000,MIN(U497,AB497)/4,MIN(U497,AB497)/2),600,IF(AV497=0,1000000000,2*((H497-2*('Parametros'!$B$7+'Parametros'!$B$9/2))+(I497-2*('Parametros'!$B$7+'Parametros'!$B$9/2)))/8))/10,0)*10</f>
        <v>80</v>
      </c>
      <c r="AR497" s="10">
        <f>'Parametros'!$B$6*(AJ497+MAX(BE497-BD497,0)*'Parametros'!$B$4*MIN(U497,AB497)/1000)</f>
        <v>616.038744264392</v>
      </c>
      <c r="AS497" s="10" t="str">
        <f>IF(AND(ISERROR(SEARCH("referencia",AN497)),AM497="CUMPLE",AR497&gt;=AI497),"CUMPLE","NO CUMPLE")</f>
        <v>NO CUMPLE</v>
      </c>
      <c r="AT497" s="10">
        <f>'Parametros'!$B$6*0.083*SQRT('Parametros'!$B$2)*(H497*I497)^2/(2*(H497+I497))/1000000</f>
        <v>11.862178757599</v>
      </c>
      <c r="AU497" s="10" t="str">
        <f>IF(Q497&lt;=AT497,"DESPRECIABLE","DISEÑAR")</f>
        <v>DISEÑAR</v>
      </c>
      <c r="AV497" s="10">
        <f>IF(Q497&lt;=AT497,0,Q497*1000000/('Parametros'!$B$6*2*0.85*(H497-2*('Parametros'!$B$7+'Parametros'!$B$9/2))*(I497-2*('Parametros'!$B$7+'Parametros'!$B$9/2))*'Parametros'!$B$4))</f>
        <v>1.76220858169312</v>
      </c>
      <c r="AW497" s="10">
        <f>AV497*2*((H497-2*('Parametros'!$B$7+'Parametros'!$B$9/2))+(I497-2*('Parametros'!$B$7+'Parametros'!$B$9/2)))*'Parametros'!$B$4/'Parametros'!$B$3</f>
        <v>3047.21107946375</v>
      </c>
      <c r="AX497" s="31" t="n">
        <v>16</v>
      </c>
      <c r="AY497" s="10" t="str">
        <f>IF(AV497=0,"DESPRECIABLE",IF(AND(ISERROR(SEARCH("referencia",AN497)),BB497/AP497&gt;=AV497,BI497&gt;=AW497,BH497="CUMPLE"),"CUMPLE","NO CUMPLE"))</f>
        <v>NO CUMPLE</v>
      </c>
      <c r="AZ497" s="10" t="str">
        <f>IF(AND(X497="CUMPLE",AE497="CUMPLE",AS497="CUMPLE",OR(AY497="CUMPLE",AY497="DESPRECIABLE"),BH497="CUMPLE",BJ497="CUMPLE"),"CUMPLE","NO CUMPLE")</f>
        <v>NO CUMPLE</v>
      </c>
      <c r="BA497" s="32" t="n">
        <v>12.7</v>
      </c>
      <c r="BB497" s="32" t="n">
        <v>129</v>
      </c>
      <c r="BC497" s="10">
        <f>MAX(IF(AK497=0,0,AK497*1000/('Parametros'!$B$4*MIN(U497,AB497))),MAX(0.062*SQRT('Parametros'!$B$2)*H497/'Parametros'!$B$4,0.35*H497/'Parametros'!$B$4))</f>
        <v>2.91812534339519</v>
      </c>
      <c r="BD497" s="10">
        <f>2*AV497</f>
        <v>3.52441716338625</v>
      </c>
      <c r="BE497" s="10">
        <f>AO497*BB497/AP497</f>
        <v>6.45</v>
      </c>
      <c r="BF497" s="10">
        <f>SQRT((AI497*1000/(H497*MIN(U497,AB497)))^2+(Q497*1000000*2*((H497-2*('Parametros'!$B$7+'Parametros'!$B$9/2))+(I497-2*('Parametros'!$B$7+'Parametros'!$B$9/2)))/(1.7*((H497-2*('Parametros'!$B$7+'Parametros'!$B$9/2))*(I497-2*('Parametros'!$B$7+'Parametros'!$B$9/2)))^2))^2)</f>
        <v>5.73354813797005</v>
      </c>
      <c r="BG497" s="10">
        <f>'Parametros'!$B$6*(AJ497*1000/(H497*MIN(U497,AB497))+0.66*SQRT('Parametros'!$B$2))</f>
        <v>3.29396038227542</v>
      </c>
      <c r="BH497" s="10" t="str">
        <f>IF(BF497&lt;=BG497,"CUMPLE","NO CUMPLE")</f>
        <v>NO CUMPLE</v>
      </c>
      <c r="BI497" s="10">
        <f>AX497*'Parametros'!$B$8</f>
        <v>3184</v>
      </c>
      <c r="BJ497" s="10" t="str">
        <f>IF(BI497&gt;=AW497,"CUMPLE","NO CUMPLE")</f>
        <v>CUMPLE</v>
      </c>
    </row>
    <row r="498">
      <c r="A498" s="26" t="inlineStr">
        <is>
          <t>VR3</t>
        </is>
      </c>
      <c r="B498" s="26" t="inlineStr">
        <is>
          <t>156</t>
        </is>
      </c>
      <c r="C498" s="10" t="n">
        <v>1</v>
      </c>
      <c r="D498" s="10" t="n">
        <v>0.9</v>
      </c>
      <c r="E498" s="10" t="n">
        <v>0.9</v>
      </c>
      <c r="F498" s="10" t="n">
        <v>500</v>
      </c>
      <c r="G498" s="10" t="n">
        <v>550</v>
      </c>
      <c r="H498" s="17" t="n">
        <v>500</v>
      </c>
      <c r="I498" s="17" t="n">
        <v>550</v>
      </c>
      <c r="J498" s="30" t="n">
        <v>91.2985</v>
      </c>
      <c r="K498" s="10" t="inlineStr">
        <is>
          <t>156</t>
        </is>
      </c>
      <c r="L498" s="30" t="n">
        <v>4.9498</v>
      </c>
      <c r="M498" s="10" t="inlineStr">
        <is>
          <t>156</t>
        </is>
      </c>
      <c r="N498" s="30" t="n">
        <v>70.96899999999999</v>
      </c>
      <c r="O498" s="30" t="n">
        <v>70.96899999999999</v>
      </c>
      <c r="P498" s="10" t="inlineStr">
        <is>
          <t>156</t>
        </is>
      </c>
      <c r="Q498" s="30" t="n">
        <v>167.6935</v>
      </c>
      <c r="R498" s="10">
        <f>MAX(MAX(1.4/'Parametros'!$B$3,0.25*SQRT('Parametros'!$B$2)/'Parametros'!$B$3)*H498*U498,(0.85*'Parametros'!$B$2/'Parametros'!$B$3)*(1-SQRT(1-2*(J498*1000000/('Parametros'!$B$5*H498*U498^2))/(0.85*'Parametros'!$B$2)))*H498*U498)</f>
        <v>815.583333333333</v>
      </c>
      <c r="S498" s="31" t="n">
        <v>5</v>
      </c>
      <c r="T498" s="32" t="n">
        <v>1</v>
      </c>
      <c r="U498" s="10">
        <f>IF(T498=1,I498-('Parametros'!$B$7+'Parametros'!$B$9+'Parametros'!$B$12/2),I498-(ROUNDUP(S498/2,0)*('Parametros'!$B$7+'Parametros'!$B$9+'Parametros'!$B$12/2)+ROUNDDOWN(S498/2,0)*('Parametros'!$B$7+'Parametros'!$B$9+'Parametros'!$B$12/2+'Parametros'!$B$12+'Parametros'!$B$10))/S498)</f>
        <v>489.35</v>
      </c>
      <c r="V498" s="10">
        <f>S498*'Parametros'!$B$8</f>
        <v>995</v>
      </c>
      <c r="W498" s="10">
        <f>'Parametros'!$B$5*V498*'Parametros'!$B$3*(U498-(V498*'Parametros'!$B$3/(0.85*'Parametros'!$B$2*H498))/2)/1000000</f>
        <v>177.445379382353</v>
      </c>
      <c r="X498" s="10" t="str">
        <f>IF(W498&gt;=J498,"CUMPLE","NO CUMPLE")</f>
        <v>CUMPLE</v>
      </c>
      <c r="Y498" s="10">
        <f>MAX(MAX(1.4/'Parametros'!$B$3,0.25*SQRT('Parametros'!$B$2)/'Parametros'!$B$3)*H498*AB498,(0.85*'Parametros'!$B$2/'Parametros'!$B$3)*(1-SQRT(1-2*(L498*1000000/('Parametros'!$B$5*H498*AB498^2))/(0.85*'Parametros'!$B$2)))*H498*AB498)</f>
        <v>815.583333333333</v>
      </c>
      <c r="Z498" s="31" t="n">
        <v>5</v>
      </c>
      <c r="AA498" s="32" t="n">
        <v>1</v>
      </c>
      <c r="AB498" s="10">
        <f>IF(AA498=1,I498-('Parametros'!$B$7+'Parametros'!$B$9+'Parametros'!$B$12/2),I498-(ROUNDUP(Z498/2,0)*('Parametros'!$B$7+'Parametros'!$B$9+'Parametros'!$B$12/2)+ROUNDDOWN(Z498/2,0)*('Parametros'!$B$7+'Parametros'!$B$9+'Parametros'!$B$12/2+'Parametros'!$B$12+'Parametros'!$B$10))/Z498)</f>
        <v>489.35</v>
      </c>
      <c r="AC498" s="10">
        <f>Z498*'Parametros'!$B$8</f>
        <v>995</v>
      </c>
      <c r="AD498" s="10">
        <f>'Parametros'!$B$5*AC498*'Parametros'!$B$3*(AB498-(AC498*'Parametros'!$B$3/(0.85*'Parametros'!$B$2*H498))/2)/1000000</f>
        <v>177.445379382353</v>
      </c>
      <c r="AE498" s="10" t="str">
        <f>IF(AD498&gt;=L498,"CUMPLE","NO CUMPLE")</f>
        <v>CUMPLE</v>
      </c>
      <c r="AF498" s="10">
        <f>V498*1.25*'Parametros'!$B$3*(U498-(V498*1.25*'Parametros'!$B$3/(0.85*'Parametros'!$B$2*H498))/2)/1000000</f>
        <v>244.158843198529</v>
      </c>
      <c r="AG498" s="10">
        <f>AC498*1.25*'Parametros'!$B$3*(AB498-(AC498*1.25*'Parametros'!$B$3/(0.85*'Parametros'!$B$2*H498))/2)/1000000</f>
        <v>244.158843198529</v>
      </c>
      <c r="AH498" s="10">
        <f>N498+(AF498+AG498)/D498</f>
        <v>613.544207107843</v>
      </c>
      <c r="AI498" s="10">
        <f>MAX(O498,AH498)</f>
        <v>613.544207107843</v>
      </c>
      <c r="AJ498" s="10">
        <f>0.17*SQRT('Parametros'!$B$2)*H498*MIN(U498,AB498)/1000</f>
        <v>220.098728691808</v>
      </c>
      <c r="AK498" s="10">
        <f>MAX(AI498/'Parametros'!$B$6-AJ498,0)</f>
        <v>597.96021411865</v>
      </c>
      <c r="AL498" s="10">
        <f>0.66*SQRT('Parametros'!$B$2)*H498*MIN(U498,AB498)/1000</f>
        <v>854.500946685842</v>
      </c>
      <c r="AM498" s="10" t="str">
        <f>IF(AK498&lt;=AL498,"CUMPLE","NO CUMPLE")</f>
        <v>CUMPLE</v>
      </c>
      <c r="AN498" s="17" t="inlineStr">
        <is>
          <t>Nº4 cerrado (referencia)</t>
        </is>
      </c>
      <c r="AO498" s="31" t="n">
        <v>4</v>
      </c>
      <c r="AP498" s="10">
        <f>ROUNDDOWN(MIN(IF(BC498+BD498=0,1000000000,AO498*BB498/(BC498+BD498)),MIN(U498,AB498)/4,8*'Parametros'!$B$12,24*BA498,300,IF(AV498=0,1000000000,2*((H498-2*('Parametros'!$B$7+'Parametros'!$B$9/2))+(I498-2*('Parametros'!$B$7+'Parametros'!$B$9/2)))/8))/10,0)*10</f>
        <v>80</v>
      </c>
      <c r="AQ498" s="10">
        <f>ROUNDDOWN(MIN(IF(BC498+BD498=0,1000000000,AO498*BB498/(BC498+BD498)),IF(AK498&gt;0.33*SQRT('Parametros'!$B$2)*H498*MIN(U498,AB498)/1000,MIN(U498,AB498)/4,MIN(U498,AB498)/2),600,IF(AV498=0,1000000000,2*((H498-2*('Parametros'!$B$7+'Parametros'!$B$9/2))+(I498-2*('Parametros'!$B$7+'Parametros'!$B$9/2)))/8))/10,0)*10</f>
        <v>80</v>
      </c>
      <c r="AR498" s="10">
        <f>'Parametros'!$B$6*(AJ498+MAX(BE498-BD498,0)*'Parametros'!$B$4*MIN(U498,AB498)/1000)</f>
        <v>640.986949412264</v>
      </c>
      <c r="AS498" s="10" t="str">
        <f>IF(AND(ISERROR(SEARCH("referencia",AN498)),AM498="CUMPLE",AR498&gt;=AI498),"CUMPLE","NO CUMPLE")</f>
        <v>NO CUMPLE</v>
      </c>
      <c r="AT498" s="10">
        <f>'Parametros'!$B$6*0.083*SQRT('Parametros'!$B$2)*(H498*I498)^2/(2*(H498+I498))/1000000</f>
        <v>11.862178757599</v>
      </c>
      <c r="AU498" s="10" t="str">
        <f>IF(Q498&lt;=AT498,"DESPRECIABLE","DISEÑAR")</f>
        <v>DISEÑAR</v>
      </c>
      <c r="AV498" s="10">
        <f>IF(Q498&lt;=AT498,0,Q498*1000000/('Parametros'!$B$6*2*0.85*(H498-2*('Parametros'!$B$7+'Parametros'!$B$9/2))*(I498-2*('Parametros'!$B$7+'Parametros'!$B$9/2))*'Parametros'!$B$4))</f>
        <v>1.68128424199446</v>
      </c>
      <c r="AW498" s="10">
        <f>AV498*2*((H498-2*('Parametros'!$B$7+'Parametros'!$B$9/2))+(I498-2*('Parametros'!$B$7+'Parametros'!$B$9/2)))*'Parametros'!$B$4/'Parametros'!$B$3</f>
        <v>2907.27671125682</v>
      </c>
      <c r="AX498" s="31" t="n">
        <v>16</v>
      </c>
      <c r="AY498" s="10" t="str">
        <f>IF(AV498=0,"DESPRECIABLE",IF(AND(ISERROR(SEARCH("referencia",AN498)),BB498/AP498&gt;=AV498,BI498&gt;=AW498,BH498="CUMPLE"),"CUMPLE","NO CUMPLE"))</f>
        <v>NO CUMPLE</v>
      </c>
      <c r="AZ498" s="10" t="str">
        <f>IF(AND(X498="CUMPLE",AE498="CUMPLE",AS498="CUMPLE",OR(AY498="CUMPLE",AY498="DESPRECIABLE"),BH498="CUMPLE",BJ498="CUMPLE"),"CUMPLE","NO CUMPLE")</f>
        <v>NO CUMPLE</v>
      </c>
      <c r="BA498" s="32" t="n">
        <v>12.7</v>
      </c>
      <c r="BB498" s="32" t="n">
        <v>129</v>
      </c>
      <c r="BC498" s="10">
        <f>MAX(IF(AK498=0,0,AK498*1000/('Parametros'!$B$4*MIN(U498,AB498))),MAX(0.062*SQRT('Parametros'!$B$2)*H498/'Parametros'!$B$4,0.35*H498/'Parametros'!$B$4))</f>
        <v>2.90939980692877</v>
      </c>
      <c r="BD498" s="10">
        <f>2*AV498</f>
        <v>3.36256848398891</v>
      </c>
      <c r="BE498" s="10">
        <f>AO498*BB498/AP498</f>
        <v>6.45</v>
      </c>
      <c r="BF498" s="10">
        <f>SQRT((AI498*1000/(H498*MIN(U498,AB498)))^2+(Q498*1000000*2*((H498-2*('Parametros'!$B$7+'Parametros'!$B$9/2))+(I498-2*('Parametros'!$B$7+'Parametros'!$B$9/2)))/(1.7*((H498-2*('Parametros'!$B$7+'Parametros'!$B$9/2))*(I498-2*('Parametros'!$B$7+'Parametros'!$B$9/2)))^2))^2)</f>
        <v>5.51931019868713</v>
      </c>
      <c r="BG498" s="10">
        <f>'Parametros'!$B$6*(AJ498*1000/(H498*MIN(U498,AB498))+0.66*SQRT('Parametros'!$B$2))</f>
        <v>3.29396038227542</v>
      </c>
      <c r="BH498" s="10" t="str">
        <f>IF(BF498&lt;=BG498,"CUMPLE","NO CUMPLE")</f>
        <v>NO CUMPLE</v>
      </c>
      <c r="BI498" s="10">
        <f>AX498*'Parametros'!$B$8</f>
        <v>3184</v>
      </c>
      <c r="BJ498" s="10" t="str">
        <f>IF(BI498&gt;=AW498,"CUMPLE","NO CUMPLE")</f>
        <v>CUMPLE</v>
      </c>
    </row>
    <row r="499">
      <c r="A499" s="26" t="inlineStr">
        <is>
          <t>VR3</t>
        </is>
      </c>
      <c r="B499" s="26" t="inlineStr">
        <is>
          <t>161</t>
        </is>
      </c>
      <c r="C499" s="10" t="n">
        <v>1</v>
      </c>
      <c r="D499" s="10" t="n">
        <v>0.9</v>
      </c>
      <c r="E499" s="10" t="n">
        <v>0.9</v>
      </c>
      <c r="F499" s="10" t="n">
        <v>500</v>
      </c>
      <c r="G499" s="10" t="n">
        <v>550</v>
      </c>
      <c r="H499" s="17" t="n">
        <v>500</v>
      </c>
      <c r="I499" s="17" t="n">
        <v>550</v>
      </c>
      <c r="J499" s="30" t="n">
        <v>89.8319</v>
      </c>
      <c r="K499" s="10" t="inlineStr">
        <is>
          <t>161</t>
        </is>
      </c>
      <c r="L499" s="30" t="n">
        <v>4.5985</v>
      </c>
      <c r="M499" s="10" t="inlineStr">
        <is>
          <t>161</t>
        </is>
      </c>
      <c r="N499" s="30" t="n">
        <v>69.75700000000001</v>
      </c>
      <c r="O499" s="30" t="n">
        <v>69.75700000000001</v>
      </c>
      <c r="P499" s="10" t="inlineStr">
        <is>
          <t>161</t>
        </is>
      </c>
      <c r="Q499" s="30" t="n">
        <v>130.1861</v>
      </c>
      <c r="R499" s="10">
        <f>MAX(MAX(1.4/'Parametros'!$B$3,0.25*SQRT('Parametros'!$B$2)/'Parametros'!$B$3)*H499*U499,(0.85*'Parametros'!$B$2/'Parametros'!$B$3)*(1-SQRT(1-2*(J499*1000000/('Parametros'!$B$5*H499*U499^2))/(0.85*'Parametros'!$B$2)))*H499*U499)</f>
        <v>815.583333333333</v>
      </c>
      <c r="S499" s="31" t="n">
        <v>5</v>
      </c>
      <c r="T499" s="32" t="n">
        <v>1</v>
      </c>
      <c r="U499" s="10">
        <f>IF(T499=1,I499-('Parametros'!$B$7+'Parametros'!$B$9+'Parametros'!$B$12/2),I499-(ROUNDUP(S499/2,0)*('Parametros'!$B$7+'Parametros'!$B$9+'Parametros'!$B$12/2)+ROUNDDOWN(S499/2,0)*('Parametros'!$B$7+'Parametros'!$B$9+'Parametros'!$B$12/2+'Parametros'!$B$12+'Parametros'!$B$10))/S499)</f>
        <v>489.35</v>
      </c>
      <c r="V499" s="10">
        <f>S499*'Parametros'!$B$8</f>
        <v>995</v>
      </c>
      <c r="W499" s="10">
        <f>'Parametros'!$B$5*V499*'Parametros'!$B$3*(U499-(V499*'Parametros'!$B$3/(0.85*'Parametros'!$B$2*H499))/2)/1000000</f>
        <v>177.445379382353</v>
      </c>
      <c r="X499" s="10" t="str">
        <f>IF(W499&gt;=J499,"CUMPLE","NO CUMPLE")</f>
        <v>CUMPLE</v>
      </c>
      <c r="Y499" s="10">
        <f>MAX(MAX(1.4/'Parametros'!$B$3,0.25*SQRT('Parametros'!$B$2)/'Parametros'!$B$3)*H499*AB499,(0.85*'Parametros'!$B$2/'Parametros'!$B$3)*(1-SQRT(1-2*(L499*1000000/('Parametros'!$B$5*H499*AB499^2))/(0.85*'Parametros'!$B$2)))*H499*AB499)</f>
        <v>815.583333333333</v>
      </c>
      <c r="Z499" s="31" t="n">
        <v>5</v>
      </c>
      <c r="AA499" s="32" t="n">
        <v>1</v>
      </c>
      <c r="AB499" s="10">
        <f>IF(AA499=1,I499-('Parametros'!$B$7+'Parametros'!$B$9+'Parametros'!$B$12/2),I499-(ROUNDUP(Z499/2,0)*('Parametros'!$B$7+'Parametros'!$B$9+'Parametros'!$B$12/2)+ROUNDDOWN(Z499/2,0)*('Parametros'!$B$7+'Parametros'!$B$9+'Parametros'!$B$12/2+'Parametros'!$B$12+'Parametros'!$B$10))/Z499)</f>
        <v>489.35</v>
      </c>
      <c r="AC499" s="10">
        <f>Z499*'Parametros'!$B$8</f>
        <v>995</v>
      </c>
      <c r="AD499" s="10">
        <f>'Parametros'!$B$5*AC499*'Parametros'!$B$3*(AB499-(AC499*'Parametros'!$B$3/(0.85*'Parametros'!$B$2*H499))/2)/1000000</f>
        <v>177.445379382353</v>
      </c>
      <c r="AE499" s="10" t="str">
        <f>IF(AD499&gt;=L499,"CUMPLE","NO CUMPLE")</f>
        <v>CUMPLE</v>
      </c>
      <c r="AF499" s="10">
        <f>V499*1.25*'Parametros'!$B$3*(U499-(V499*1.25*'Parametros'!$B$3/(0.85*'Parametros'!$B$2*H499))/2)/1000000</f>
        <v>244.158843198529</v>
      </c>
      <c r="AG499" s="10">
        <f>AC499*1.25*'Parametros'!$B$3*(AB499-(AC499*1.25*'Parametros'!$B$3/(0.85*'Parametros'!$B$2*H499))/2)/1000000</f>
        <v>244.158843198529</v>
      </c>
      <c r="AH499" s="10">
        <f>N499+(AF499+AG499)/D499</f>
        <v>612.332207107843</v>
      </c>
      <c r="AI499" s="10">
        <f>MAX(O499,AH499)</f>
        <v>612.332207107843</v>
      </c>
      <c r="AJ499" s="10">
        <f>0.17*SQRT('Parametros'!$B$2)*H499*MIN(U499,AB499)/1000</f>
        <v>220.098728691808</v>
      </c>
      <c r="AK499" s="10">
        <f>MAX(AI499/'Parametros'!$B$6-AJ499,0)</f>
        <v>596.34421411865</v>
      </c>
      <c r="AL499" s="10">
        <f>0.66*SQRT('Parametros'!$B$2)*H499*MIN(U499,AB499)/1000</f>
        <v>854.500946685842</v>
      </c>
      <c r="AM499" s="10" t="str">
        <f>IF(AK499&lt;=AL499,"CUMPLE","NO CUMPLE")</f>
        <v>CUMPLE</v>
      </c>
      <c r="AN499" s="17" t="inlineStr">
        <is>
          <t>Nº4 cerrado</t>
        </is>
      </c>
      <c r="AO499" s="31" t="n">
        <v>4</v>
      </c>
      <c r="AP499" s="10">
        <f>ROUNDDOWN(MIN(IF(BC499+BD499=0,1000000000,AO499*BB499/(BC499+BD499)),MIN(U499,AB499)/4,8*'Parametros'!$B$12,24*BA499,300,IF(AV499=0,1000000000,2*((H499-2*('Parametros'!$B$7+'Parametros'!$B$9/2))+(I499-2*('Parametros'!$B$7+'Parametros'!$B$9/2)))/8))/10,0)*10</f>
        <v>90</v>
      </c>
      <c r="AQ499" s="10">
        <f>ROUNDDOWN(MIN(IF(BC499+BD499=0,1000000000,AO499*BB499/(BC499+BD499)),IF(AK499&gt;0.33*SQRT('Parametros'!$B$2)*H499*MIN(U499,AB499)/1000,MIN(U499,AB499)/4,MIN(U499,AB499)/2),600,IF(AV499=0,1000000000,2*((H499-2*('Parametros'!$B$7+'Parametros'!$B$9/2))+(I499-2*('Parametros'!$B$7+'Parametros'!$B$9/2)))/8))/10,0)*10</f>
        <v>90</v>
      </c>
      <c r="AR499" s="10">
        <f>'Parametros'!$B$6*(AJ499+MAX(BE499-BD499,0)*'Parametros'!$B$4*MIN(U499,AB499)/1000)</f>
        <v>646.447836514355</v>
      </c>
      <c r="AS499" s="10" t="str">
        <f>IF(AND(ISERROR(SEARCH("referencia",AN499)),AM499="CUMPLE",AR499&gt;=AI499),"CUMPLE","NO CUMPLE")</f>
        <v>CUMPLE</v>
      </c>
      <c r="AT499" s="10">
        <f>'Parametros'!$B$6*0.083*SQRT('Parametros'!$B$2)*(H499*I499)^2/(2*(H499+I499))/1000000</f>
        <v>11.862178757599</v>
      </c>
      <c r="AU499" s="10" t="str">
        <f>IF(Q499&lt;=AT499,"DESPRECIABLE","DISEÑAR")</f>
        <v>DISEÑAR</v>
      </c>
      <c r="AV499" s="10">
        <f>IF(Q499&lt;=AT499,0,Q499*1000000/('Parametros'!$B$6*2*0.85*(H499-2*('Parametros'!$B$7+'Parametros'!$B$9/2))*(I499-2*('Parametros'!$B$7+'Parametros'!$B$9/2))*'Parametros'!$B$4))</f>
        <v>1.30523746273239</v>
      </c>
      <c r="AW499" s="10">
        <f>AV499*2*((H499-2*('Parametros'!$B$7+'Parametros'!$B$9/2))+(I499-2*('Parametros'!$B$7+'Parametros'!$B$9/2)))*'Parametros'!$B$4/'Parametros'!$B$3</f>
        <v>2257.01662055685</v>
      </c>
      <c r="AX499" s="31" t="n">
        <v>12</v>
      </c>
      <c r="AY499" s="10" t="str">
        <f>IF(AV499=0,"DESPRECIABLE",IF(AND(ISERROR(SEARCH("referencia",AN499)),BB499/AP499&gt;=AV499,BI499&gt;=AW499,BH499="CUMPLE"),"CUMPLE","NO CUMPLE"))</f>
        <v>NO CUMPLE</v>
      </c>
      <c r="AZ499" s="10" t="str">
        <f>IF(AND(X499="CUMPLE",AE499="CUMPLE",AS499="CUMPLE",OR(AY499="CUMPLE",AY499="DESPRECIABLE"),BH499="CUMPLE",BJ499="CUMPLE"),"CUMPLE","NO CUMPLE")</f>
        <v>NO CUMPLE</v>
      </c>
      <c r="BA499" s="32" t="n">
        <v>12.7</v>
      </c>
      <c r="BB499" s="32" t="n">
        <v>129</v>
      </c>
      <c r="BC499" s="10">
        <f>MAX(IF(AK499=0,0,AK499*1000/('Parametros'!$B$4*MIN(U499,AB499))),MAX(0.062*SQRT('Parametros'!$B$2)*H499/'Parametros'!$B$4,0.35*H499/'Parametros'!$B$4))</f>
        <v>2.90153709302743</v>
      </c>
      <c r="BD499" s="10">
        <f>2*AV499</f>
        <v>2.61047492546479</v>
      </c>
      <c r="BE499" s="10">
        <f>AO499*BB499/AP499</f>
        <v>5.73333333333333</v>
      </c>
      <c r="BF499" s="10">
        <f>SQRT((AI499*1000/(H499*MIN(U499,AB499)))^2+(Q499*1000000*2*((H499-2*('Parametros'!$B$7+'Parametros'!$B$9/2))+(I499-2*('Parametros'!$B$7+'Parametros'!$B$9/2)))/(1.7*((H499-2*('Parametros'!$B$7+'Parametros'!$B$9/2))*(I499-2*('Parametros'!$B$7+'Parametros'!$B$9/2)))^2))^2)</f>
        <v>4.56433747489738</v>
      </c>
      <c r="BG499" s="10">
        <f>'Parametros'!$B$6*(AJ499*1000/(H499*MIN(U499,AB499))+0.66*SQRT('Parametros'!$B$2))</f>
        <v>3.29396038227542</v>
      </c>
      <c r="BH499" s="10" t="str">
        <f>IF(BF499&lt;=BG499,"CUMPLE","NO CUMPLE")</f>
        <v>NO CUMPLE</v>
      </c>
      <c r="BI499" s="10">
        <f>AX499*'Parametros'!$B$8</f>
        <v>2388</v>
      </c>
      <c r="BJ499" s="10" t="str">
        <f>IF(BI499&gt;=AW499,"CUMPLE","NO CUMPLE")</f>
        <v>CUMPLE</v>
      </c>
    </row>
    <row r="500">
      <c r="A500" s="26" t="inlineStr">
        <is>
          <t>VR3</t>
        </is>
      </c>
      <c r="B500" s="26" t="inlineStr">
        <is>
          <t>166</t>
        </is>
      </c>
      <c r="C500" s="10" t="n">
        <v>1</v>
      </c>
      <c r="D500" s="10" t="n">
        <v>0.9</v>
      </c>
      <c r="E500" s="10" t="n">
        <v>0.9</v>
      </c>
      <c r="F500" s="10" t="n">
        <v>500</v>
      </c>
      <c r="G500" s="10" t="n">
        <v>550</v>
      </c>
      <c r="H500" s="17" t="n">
        <v>500</v>
      </c>
      <c r="I500" s="17" t="n">
        <v>550</v>
      </c>
      <c r="J500" s="30" t="n">
        <v>103.2029</v>
      </c>
      <c r="K500" s="10" t="inlineStr">
        <is>
          <t>166</t>
        </is>
      </c>
      <c r="L500" s="30" t="n">
        <v>4.8645</v>
      </c>
      <c r="M500" s="10" t="inlineStr">
        <is>
          <t>166</t>
        </is>
      </c>
      <c r="N500" s="30" t="n">
        <v>77.836</v>
      </c>
      <c r="O500" s="30" t="n">
        <v>79.95699999999999</v>
      </c>
      <c r="P500" s="10" t="inlineStr">
        <is>
          <t>166</t>
        </is>
      </c>
      <c r="Q500" s="30" t="n">
        <v>82.8321</v>
      </c>
      <c r="R500" s="10">
        <f>MAX(MAX(1.4/'Parametros'!$B$3,0.25*SQRT('Parametros'!$B$2)/'Parametros'!$B$3)*H500*U500,(0.85*'Parametros'!$B$2/'Parametros'!$B$3)*(1-SQRT(1-2*(J500*1000000/('Parametros'!$B$5*H500*U500^2))/(0.85*'Parametros'!$B$2)))*H500*U500)</f>
        <v>815.583333333333</v>
      </c>
      <c r="S500" s="31" t="n">
        <v>5</v>
      </c>
      <c r="T500" s="32" t="n">
        <v>1</v>
      </c>
      <c r="U500" s="10">
        <f>IF(T500=1,I500-('Parametros'!$B$7+'Parametros'!$B$9+'Parametros'!$B$12/2),I500-(ROUNDUP(S500/2,0)*('Parametros'!$B$7+'Parametros'!$B$9+'Parametros'!$B$12/2)+ROUNDDOWN(S500/2,0)*('Parametros'!$B$7+'Parametros'!$B$9+'Parametros'!$B$12/2+'Parametros'!$B$12+'Parametros'!$B$10))/S500)</f>
        <v>489.35</v>
      </c>
      <c r="V500" s="10">
        <f>S500*'Parametros'!$B$8</f>
        <v>995</v>
      </c>
      <c r="W500" s="10">
        <f>'Parametros'!$B$5*V500*'Parametros'!$B$3*(U500-(V500*'Parametros'!$B$3/(0.85*'Parametros'!$B$2*H500))/2)/1000000</f>
        <v>177.445379382353</v>
      </c>
      <c r="X500" s="10" t="str">
        <f>IF(W500&gt;=J500,"CUMPLE","NO CUMPLE")</f>
        <v>CUMPLE</v>
      </c>
      <c r="Y500" s="10">
        <f>MAX(MAX(1.4/'Parametros'!$B$3,0.25*SQRT('Parametros'!$B$2)/'Parametros'!$B$3)*H500*AB500,(0.85*'Parametros'!$B$2/'Parametros'!$B$3)*(1-SQRT(1-2*(L500*1000000/('Parametros'!$B$5*H500*AB500^2))/(0.85*'Parametros'!$B$2)))*H500*AB500)</f>
        <v>815.583333333333</v>
      </c>
      <c r="Z500" s="31" t="n">
        <v>5</v>
      </c>
      <c r="AA500" s="32" t="n">
        <v>1</v>
      </c>
      <c r="AB500" s="10">
        <f>IF(AA500=1,I500-('Parametros'!$B$7+'Parametros'!$B$9+'Parametros'!$B$12/2),I500-(ROUNDUP(Z500/2,0)*('Parametros'!$B$7+'Parametros'!$B$9+'Parametros'!$B$12/2)+ROUNDDOWN(Z500/2,0)*('Parametros'!$B$7+'Parametros'!$B$9+'Parametros'!$B$12/2+'Parametros'!$B$12+'Parametros'!$B$10))/Z500)</f>
        <v>489.35</v>
      </c>
      <c r="AC500" s="10">
        <f>Z500*'Parametros'!$B$8</f>
        <v>995</v>
      </c>
      <c r="AD500" s="10">
        <f>'Parametros'!$B$5*AC500*'Parametros'!$B$3*(AB500-(AC500*'Parametros'!$B$3/(0.85*'Parametros'!$B$2*H500))/2)/1000000</f>
        <v>177.445379382353</v>
      </c>
      <c r="AE500" s="10" t="str">
        <f>IF(AD500&gt;=L500,"CUMPLE","NO CUMPLE")</f>
        <v>CUMPLE</v>
      </c>
      <c r="AF500" s="10">
        <f>V500*1.25*'Parametros'!$B$3*(U500-(V500*1.25*'Parametros'!$B$3/(0.85*'Parametros'!$B$2*H500))/2)/1000000</f>
        <v>244.158843198529</v>
      </c>
      <c r="AG500" s="10">
        <f>AC500*1.25*'Parametros'!$B$3*(AB500-(AC500*1.25*'Parametros'!$B$3/(0.85*'Parametros'!$B$2*H500))/2)/1000000</f>
        <v>244.158843198529</v>
      </c>
      <c r="AH500" s="10">
        <f>N500+(AF500+AG500)/D500</f>
        <v>620.411207107843</v>
      </c>
      <c r="AI500" s="10">
        <f>MAX(O500,AH500)</f>
        <v>620.411207107843</v>
      </c>
      <c r="AJ500" s="10">
        <f>0.17*SQRT('Parametros'!$B$2)*H500*MIN(U500,AB500)/1000</f>
        <v>220.098728691808</v>
      </c>
      <c r="AK500" s="10">
        <f>MAX(AI500/'Parametros'!$B$6-AJ500,0)</f>
        <v>607.11621411865</v>
      </c>
      <c r="AL500" s="10">
        <f>0.66*SQRT('Parametros'!$B$2)*H500*MIN(U500,AB500)/1000</f>
        <v>854.500946685842</v>
      </c>
      <c r="AM500" s="10" t="str">
        <f>IF(AK500&lt;=AL500,"CUMPLE","NO CUMPLE")</f>
        <v>CUMPLE</v>
      </c>
      <c r="AN500" s="17" t="inlineStr">
        <is>
          <t>Nº4 cerrado</t>
        </is>
      </c>
      <c r="AO500" s="31" t="n">
        <v>4</v>
      </c>
      <c r="AP500" s="10">
        <f>ROUNDDOWN(MIN(IF(BC500+BD500=0,1000000000,AO500*BB500/(BC500+BD500)),MIN(U500,AB500)/4,8*'Parametros'!$B$12,24*BA500,300,IF(AV500=0,1000000000,2*((H500-2*('Parametros'!$B$7+'Parametros'!$B$9/2))+(I500-2*('Parametros'!$B$7+'Parametros'!$B$9/2)))/8))/10,0)*10</f>
        <v>110</v>
      </c>
      <c r="AQ500" s="10">
        <f>ROUNDDOWN(MIN(IF(BC500+BD500=0,1000000000,AO500*BB500/(BC500+BD500)),IF(AK500&gt;0.33*SQRT('Parametros'!$B$2)*H500*MIN(U500,AB500)/1000,MIN(U500,AB500)/4,MIN(U500,AB500)/2),600,IF(AV500=0,1000000000,2*((H500-2*('Parametros'!$B$7+'Parametros'!$B$9/2))+(I500-2*('Parametros'!$B$7+'Parametros'!$B$9/2)))/8))/10,0)*10</f>
        <v>110</v>
      </c>
      <c r="AR500" s="10">
        <f>'Parametros'!$B$6*(AJ500+MAX(BE500-BD500,0)*'Parametros'!$B$4*MIN(U500,AB500)/1000)</f>
        <v>632.129603674852</v>
      </c>
      <c r="AS500" s="10" t="str">
        <f>IF(AND(ISERROR(SEARCH("referencia",AN500)),AM500="CUMPLE",AR500&gt;=AI500),"CUMPLE","NO CUMPLE")</f>
        <v>CUMPLE</v>
      </c>
      <c r="AT500" s="10">
        <f>'Parametros'!$B$6*0.083*SQRT('Parametros'!$B$2)*(H500*I500)^2/(2*(H500+I500))/1000000</f>
        <v>11.862178757599</v>
      </c>
      <c r="AU500" s="10" t="str">
        <f>IF(Q500&lt;=AT500,"DESPRECIABLE","DISEÑAR")</f>
        <v>DISEÑAR</v>
      </c>
      <c r="AV500" s="10">
        <f>IF(Q500&lt;=AT500,0,Q500*1000000/('Parametros'!$B$6*2*0.85*(H500-2*('Parametros'!$B$7+'Parametros'!$B$9/2))*(I500-2*('Parametros'!$B$7+'Parametros'!$B$9/2))*'Parametros'!$B$4))</f>
        <v>0.830469305377424</v>
      </c>
      <c r="AW500" s="10">
        <f>AV500*2*((H500-2*('Parametros'!$B$7+'Parametros'!$B$9/2))+(I500-2*('Parametros'!$B$7+'Parametros'!$B$9/2)))*'Parametros'!$B$4/'Parametros'!$B$3</f>
        <v>1436.04752285864</v>
      </c>
      <c r="AX500" s="31" t="n">
        <v>8</v>
      </c>
      <c r="AY500" s="10" t="str">
        <f>IF(AV500=0,"DESPRECIABLE",IF(AND(ISERROR(SEARCH("referencia",AN500)),BB500/AP500&gt;=AV500,BI500&gt;=AW500,BH500="CUMPLE"),"CUMPLE","NO CUMPLE"))</f>
        <v>NO CUMPLE</v>
      </c>
      <c r="AZ500" s="10" t="str">
        <f>IF(AND(X500="CUMPLE",AE500="CUMPLE",AS500="CUMPLE",OR(AY500="CUMPLE",AY500="DESPRECIABLE"),BH500="CUMPLE",BJ500="CUMPLE"),"CUMPLE","NO CUMPLE")</f>
        <v>NO CUMPLE</v>
      </c>
      <c r="BA500" s="32" t="n">
        <v>12.7</v>
      </c>
      <c r="BB500" s="32" t="n">
        <v>129</v>
      </c>
      <c r="BC500" s="10">
        <f>MAX(IF(AK500=0,0,AK500*1000/('Parametros'!$B$4*MIN(U500,AB500))),MAX(0.062*SQRT('Parametros'!$B$2)*H500/'Parametros'!$B$4,0.35*H500/'Parametros'!$B$4))</f>
        <v>2.95394869831531</v>
      </c>
      <c r="BD500" s="10">
        <f>2*AV500</f>
        <v>1.66093861075485</v>
      </c>
      <c r="BE500" s="10">
        <f>AO500*BB500/AP500</f>
        <v>4.69090909090909</v>
      </c>
      <c r="BF500" s="10">
        <f>SQRT((AI500*1000/(H500*MIN(U500,AB500)))^2+(Q500*1000000*2*((H500-2*('Parametros'!$B$7+'Parametros'!$B$9/2))+(I500-2*('Parametros'!$B$7+'Parametros'!$B$9/2)))/(1.7*((H500-2*('Parametros'!$B$7+'Parametros'!$B$9/2))*(I500-2*('Parametros'!$B$7+'Parametros'!$B$9/2)))^2))^2)</f>
        <v>3.51110401303811</v>
      </c>
      <c r="BG500" s="10">
        <f>'Parametros'!$B$6*(AJ500*1000/(H500*MIN(U500,AB500))+0.66*SQRT('Parametros'!$B$2))</f>
        <v>3.29396038227542</v>
      </c>
      <c r="BH500" s="10" t="str">
        <f>IF(BF500&lt;=BG500,"CUMPLE","NO CUMPLE")</f>
        <v>NO CUMPLE</v>
      </c>
      <c r="BI500" s="10">
        <f>AX500*'Parametros'!$B$8</f>
        <v>1592</v>
      </c>
      <c r="BJ500" s="10" t="str">
        <f>IF(BI500&gt;=AW500,"CUMPLE","NO CUMPLE")</f>
        <v>CUMPLE</v>
      </c>
    </row>
    <row r="501">
      <c r="A501" s="26" t="inlineStr">
        <is>
          <t>VR3</t>
        </is>
      </c>
      <c r="B501" s="26" t="inlineStr">
        <is>
          <t>171</t>
        </is>
      </c>
      <c r="C501" s="10" t="n">
        <v>1</v>
      </c>
      <c r="D501" s="10" t="n">
        <v>0.9</v>
      </c>
      <c r="E501" s="10" t="n">
        <v>0.9</v>
      </c>
      <c r="F501" s="10" t="n">
        <v>500</v>
      </c>
      <c r="G501" s="10" t="n">
        <v>550</v>
      </c>
      <c r="H501" s="17" t="n">
        <v>500</v>
      </c>
      <c r="I501" s="17" t="n">
        <v>550</v>
      </c>
      <c r="J501" s="30" t="n">
        <v>90.38720000000001</v>
      </c>
      <c r="K501" s="10" t="inlineStr">
        <is>
          <t>171</t>
        </is>
      </c>
      <c r="L501" s="30" t="n">
        <v>5.0903</v>
      </c>
      <c r="M501" s="10" t="inlineStr">
        <is>
          <t>171</t>
        </is>
      </c>
      <c r="N501" s="30" t="n">
        <v>69.48399999999999</v>
      </c>
      <c r="O501" s="30" t="n">
        <v>70.349</v>
      </c>
      <c r="P501" s="10" t="inlineStr">
        <is>
          <t>171</t>
        </is>
      </c>
      <c r="Q501" s="30" t="n">
        <v>32.2262</v>
      </c>
      <c r="R501" s="10">
        <f>MAX(MAX(1.4/'Parametros'!$B$3,0.25*SQRT('Parametros'!$B$2)/'Parametros'!$B$3)*H501*U501,(0.85*'Parametros'!$B$2/'Parametros'!$B$3)*(1-SQRT(1-2*(J501*1000000/('Parametros'!$B$5*H501*U501^2))/(0.85*'Parametros'!$B$2)))*H501*U501)</f>
        <v>815.583333333333</v>
      </c>
      <c r="S501" s="31" t="n">
        <v>5</v>
      </c>
      <c r="T501" s="32" t="n">
        <v>1</v>
      </c>
      <c r="U501" s="10">
        <f>IF(T501=1,I501-('Parametros'!$B$7+'Parametros'!$B$9+'Parametros'!$B$12/2),I501-(ROUNDUP(S501/2,0)*('Parametros'!$B$7+'Parametros'!$B$9+'Parametros'!$B$12/2)+ROUNDDOWN(S501/2,0)*('Parametros'!$B$7+'Parametros'!$B$9+'Parametros'!$B$12/2+'Parametros'!$B$12+'Parametros'!$B$10))/S501)</f>
        <v>489.35</v>
      </c>
      <c r="V501" s="10">
        <f>S501*'Parametros'!$B$8</f>
        <v>995</v>
      </c>
      <c r="W501" s="10">
        <f>'Parametros'!$B$5*V501*'Parametros'!$B$3*(U501-(V501*'Parametros'!$B$3/(0.85*'Parametros'!$B$2*H501))/2)/1000000</f>
        <v>177.445379382353</v>
      </c>
      <c r="X501" s="10" t="str">
        <f>IF(W501&gt;=J501,"CUMPLE","NO CUMPLE")</f>
        <v>CUMPLE</v>
      </c>
      <c r="Y501" s="10">
        <f>MAX(MAX(1.4/'Parametros'!$B$3,0.25*SQRT('Parametros'!$B$2)/'Parametros'!$B$3)*H501*AB501,(0.85*'Parametros'!$B$2/'Parametros'!$B$3)*(1-SQRT(1-2*(L501*1000000/('Parametros'!$B$5*H501*AB501^2))/(0.85*'Parametros'!$B$2)))*H501*AB501)</f>
        <v>815.583333333333</v>
      </c>
      <c r="Z501" s="31" t="n">
        <v>5</v>
      </c>
      <c r="AA501" s="32" t="n">
        <v>1</v>
      </c>
      <c r="AB501" s="10">
        <f>IF(AA501=1,I501-('Parametros'!$B$7+'Parametros'!$B$9+'Parametros'!$B$12/2),I501-(ROUNDUP(Z501/2,0)*('Parametros'!$B$7+'Parametros'!$B$9+'Parametros'!$B$12/2)+ROUNDDOWN(Z501/2,0)*('Parametros'!$B$7+'Parametros'!$B$9+'Parametros'!$B$12/2+'Parametros'!$B$12+'Parametros'!$B$10))/Z501)</f>
        <v>489.35</v>
      </c>
      <c r="AC501" s="10">
        <f>Z501*'Parametros'!$B$8</f>
        <v>995</v>
      </c>
      <c r="AD501" s="10">
        <f>'Parametros'!$B$5*AC501*'Parametros'!$B$3*(AB501-(AC501*'Parametros'!$B$3/(0.85*'Parametros'!$B$2*H501))/2)/1000000</f>
        <v>177.445379382353</v>
      </c>
      <c r="AE501" s="10" t="str">
        <f>IF(AD501&gt;=L501,"CUMPLE","NO CUMPLE")</f>
        <v>CUMPLE</v>
      </c>
      <c r="AF501" s="10">
        <f>V501*1.25*'Parametros'!$B$3*(U501-(V501*1.25*'Parametros'!$B$3/(0.85*'Parametros'!$B$2*H501))/2)/1000000</f>
        <v>244.158843198529</v>
      </c>
      <c r="AG501" s="10">
        <f>AC501*1.25*'Parametros'!$B$3*(AB501-(AC501*1.25*'Parametros'!$B$3/(0.85*'Parametros'!$B$2*H501))/2)/1000000</f>
        <v>244.158843198529</v>
      </c>
      <c r="AH501" s="10">
        <f>N501+(AF501+AG501)/D501</f>
        <v>612.059207107843</v>
      </c>
      <c r="AI501" s="10">
        <f>MAX(O501,AH501)</f>
        <v>612.059207107843</v>
      </c>
      <c r="AJ501" s="10">
        <f>0.17*SQRT('Parametros'!$B$2)*H501*MIN(U501,AB501)/1000</f>
        <v>220.098728691808</v>
      </c>
      <c r="AK501" s="10">
        <f>MAX(AI501/'Parametros'!$B$6-AJ501,0)</f>
        <v>595.98021411865</v>
      </c>
      <c r="AL501" s="10">
        <f>0.66*SQRT('Parametros'!$B$2)*H501*MIN(U501,AB501)/1000</f>
        <v>854.500946685842</v>
      </c>
      <c r="AM501" s="10" t="str">
        <f>IF(AK501&lt;=AL501,"CUMPLE","NO CUMPLE")</f>
        <v>CUMPLE</v>
      </c>
      <c r="AN501" s="17" t="inlineStr">
        <is>
          <t>Nº3 cerrado</t>
        </is>
      </c>
      <c r="AO501" s="31" t="n">
        <v>4</v>
      </c>
      <c r="AP501" s="10">
        <f>ROUNDDOWN(MIN(IF(BC501+BD501=0,1000000000,AO501*BB501/(BC501+BD501)),MIN(U501,AB501)/4,8*'Parametros'!$B$12,24*BA501,300,IF(AV501=0,1000000000,2*((H501-2*('Parametros'!$B$7+'Parametros'!$B$9/2))+(I501-2*('Parametros'!$B$7+'Parametros'!$B$9/2)))/8))/10,0)*10</f>
        <v>80</v>
      </c>
      <c r="AQ501" s="10">
        <f>ROUNDDOWN(MIN(IF(BC501+BD501=0,1000000000,AO501*BB501/(BC501+BD501)),IF(AK501&gt;0.33*SQRT('Parametros'!$B$2)*H501*MIN(U501,AB501)/1000,MIN(U501,AB501)/4,MIN(U501,AB501)/2),600,IF(AV501=0,1000000000,2*((H501-2*('Parametros'!$B$7+'Parametros'!$B$9/2))+(I501-2*('Parametros'!$B$7+'Parametros'!$B$9/2)))/8))/10,0)*10</f>
        <v>80</v>
      </c>
      <c r="AR501" s="10">
        <f>'Parametros'!$B$6*(AJ501+MAX(BE501-BD501,0)*'Parametros'!$B$4*MIN(U501,AB501)/1000)</f>
        <v>612.681699290325</v>
      </c>
      <c r="AS501" s="10" t="str">
        <f>IF(AND(ISERROR(SEARCH("referencia",AN501)),AM501="CUMPLE",AR501&gt;=AI501),"CUMPLE","NO CUMPLE")</f>
        <v>CUMPLE</v>
      </c>
      <c r="AT501" s="10">
        <f>'Parametros'!$B$6*0.083*SQRT('Parametros'!$B$2)*(H501*I501)^2/(2*(H501+I501))/1000000</f>
        <v>11.862178757599</v>
      </c>
      <c r="AU501" s="10" t="str">
        <f>IF(Q501&lt;=AT501,"DESPRECIABLE","DISEÑAR")</f>
        <v>DISEÑAR</v>
      </c>
      <c r="AV501" s="10">
        <f>IF(Q501&lt;=AT501,0,Q501*1000000/('Parametros'!$B$6*2*0.85*(H501-2*('Parametros'!$B$7+'Parametros'!$B$9/2))*(I501-2*('Parametros'!$B$7+'Parametros'!$B$9/2))*'Parametros'!$B$4))</f>
        <v>0.323097807842056</v>
      </c>
      <c r="AW501" s="10">
        <f>AV501*2*((H501-2*('Parametros'!$B$7+'Parametros'!$B$9/2))+(I501-2*('Parametros'!$B$7+'Parametros'!$B$9/2)))*'Parametros'!$B$4/'Parametros'!$B$3</f>
        <v>558.700729320483</v>
      </c>
      <c r="AX501" s="31" t="n">
        <v>8</v>
      </c>
      <c r="AY501" s="10" t="str">
        <f>IF(AV501=0,"DESPRECIABLE",IF(AND(ISERROR(SEARCH("referencia",AN501)),BB501/AP501&gt;=AV501,BI501&gt;=AW501,BH501="CUMPLE"),"CUMPLE","NO CUMPLE"))</f>
        <v>CUMPLE</v>
      </c>
      <c r="AZ501" s="10" t="str">
        <f>IF(AND(X501="CUMPLE",AE501="CUMPLE",AS501="CUMPLE",OR(AY501="CUMPLE",AY501="DESPRECIABLE"),BH501="CUMPLE",BJ501="CUMPLE"),"CUMPLE","NO CUMPLE")</f>
        <v>CUMPLE</v>
      </c>
      <c r="BA501" s="32" t="n">
        <v>9.5</v>
      </c>
      <c r="BB501" s="32" t="n">
        <v>71</v>
      </c>
      <c r="BC501" s="10">
        <f>MAX(IF(AK501=0,0,AK501*1000/('Parametros'!$B$4*MIN(U501,AB501))),MAX(0.062*SQRT('Parametros'!$B$2)*H501/'Parametros'!$B$4,0.35*H501/'Parametros'!$B$4))</f>
        <v>2.89976603618332</v>
      </c>
      <c r="BD501" s="10">
        <f>2*AV501</f>
        <v>0.646195615684112</v>
      </c>
      <c r="BE501" s="10">
        <f>AO501*BB501/AP501</f>
        <v>3.55</v>
      </c>
      <c r="BF501" s="10">
        <f>SQRT((AI501*1000/(H501*MIN(U501,AB501)))^2+(Q501*1000000*2*((H501-2*('Parametros'!$B$7+'Parametros'!$B$9/2))+(I501-2*('Parametros'!$B$7+'Parametros'!$B$9/2)))/(1.7*((H501-2*('Parametros'!$B$7+'Parametros'!$B$9/2))*(I501-2*('Parametros'!$B$7+'Parametros'!$B$9/2)))^2))^2)</f>
        <v>2.67402062040586</v>
      </c>
      <c r="BG501" s="10">
        <f>'Parametros'!$B$6*(AJ501*1000/(H501*MIN(U501,AB501))+0.66*SQRT('Parametros'!$B$2))</f>
        <v>3.29396038227542</v>
      </c>
      <c r="BH501" s="10" t="str">
        <f>IF(BF501&lt;=BG501,"CUMPLE","NO CUMPLE")</f>
        <v>CUMPLE</v>
      </c>
      <c r="BI501" s="10">
        <f>AX501*'Parametros'!$B$8</f>
        <v>1592</v>
      </c>
      <c r="BJ501" s="10" t="str">
        <f>IF(BI501&gt;=AW501,"CUMPLE","NO CUMPLE")</f>
        <v>CUMPLE</v>
      </c>
    </row>
    <row r="502">
      <c r="A502" s="26" t="inlineStr">
        <is>
          <t>VR3</t>
        </is>
      </c>
      <c r="B502" s="26" t="inlineStr">
        <is>
          <t>176</t>
        </is>
      </c>
      <c r="C502" s="10" t="n">
        <v>1</v>
      </c>
      <c r="D502" s="10" t="n">
        <v>0.9</v>
      </c>
      <c r="E502" s="10" t="n">
        <v>0.9</v>
      </c>
      <c r="F502" s="10" t="n">
        <v>500</v>
      </c>
      <c r="G502" s="10" t="n">
        <v>550</v>
      </c>
      <c r="H502" s="17" t="n">
        <v>500</v>
      </c>
      <c r="I502" s="17" t="n">
        <v>550</v>
      </c>
      <c r="J502" s="30" t="n">
        <v>91.29600000000001</v>
      </c>
      <c r="K502" s="10" t="inlineStr">
        <is>
          <t>176</t>
        </is>
      </c>
      <c r="L502" s="30" t="n">
        <v>4.9512</v>
      </c>
      <c r="M502" s="10" t="inlineStr">
        <is>
          <t>176</t>
        </is>
      </c>
      <c r="N502" s="30" t="n">
        <v>70.96899999999999</v>
      </c>
      <c r="O502" s="30" t="n">
        <v>70.96899999999999</v>
      </c>
      <c r="P502" s="10" t="inlineStr">
        <is>
          <t>176</t>
        </is>
      </c>
      <c r="Q502" s="30" t="n">
        <v>167.7119</v>
      </c>
      <c r="R502" s="10">
        <f>MAX(MAX(1.4/'Parametros'!$B$3,0.25*SQRT('Parametros'!$B$2)/'Parametros'!$B$3)*H502*U502,(0.85*'Parametros'!$B$2/'Parametros'!$B$3)*(1-SQRT(1-2*(J502*1000000/('Parametros'!$B$5*H502*U502^2))/(0.85*'Parametros'!$B$2)))*H502*U502)</f>
        <v>815.583333333333</v>
      </c>
      <c r="S502" s="31" t="n">
        <v>5</v>
      </c>
      <c r="T502" s="32" t="n">
        <v>1</v>
      </c>
      <c r="U502" s="10">
        <f>IF(T502=1,I502-('Parametros'!$B$7+'Parametros'!$B$9+'Parametros'!$B$12/2),I502-(ROUNDUP(S502/2,0)*('Parametros'!$B$7+'Parametros'!$B$9+'Parametros'!$B$12/2)+ROUNDDOWN(S502/2,0)*('Parametros'!$B$7+'Parametros'!$B$9+'Parametros'!$B$12/2+'Parametros'!$B$12+'Parametros'!$B$10))/S502)</f>
        <v>489.35</v>
      </c>
      <c r="V502" s="10">
        <f>S502*'Parametros'!$B$8</f>
        <v>995</v>
      </c>
      <c r="W502" s="10">
        <f>'Parametros'!$B$5*V502*'Parametros'!$B$3*(U502-(V502*'Parametros'!$B$3/(0.85*'Parametros'!$B$2*H502))/2)/1000000</f>
        <v>177.445379382353</v>
      </c>
      <c r="X502" s="10" t="str">
        <f>IF(W502&gt;=J502,"CUMPLE","NO CUMPLE")</f>
        <v>CUMPLE</v>
      </c>
      <c r="Y502" s="10">
        <f>MAX(MAX(1.4/'Parametros'!$B$3,0.25*SQRT('Parametros'!$B$2)/'Parametros'!$B$3)*H502*AB502,(0.85*'Parametros'!$B$2/'Parametros'!$B$3)*(1-SQRT(1-2*(L502*1000000/('Parametros'!$B$5*H502*AB502^2))/(0.85*'Parametros'!$B$2)))*H502*AB502)</f>
        <v>815.583333333333</v>
      </c>
      <c r="Z502" s="31" t="n">
        <v>5</v>
      </c>
      <c r="AA502" s="32" t="n">
        <v>1</v>
      </c>
      <c r="AB502" s="10">
        <f>IF(AA502=1,I502-('Parametros'!$B$7+'Parametros'!$B$9+'Parametros'!$B$12/2),I502-(ROUNDUP(Z502/2,0)*('Parametros'!$B$7+'Parametros'!$B$9+'Parametros'!$B$12/2)+ROUNDDOWN(Z502/2,0)*('Parametros'!$B$7+'Parametros'!$B$9+'Parametros'!$B$12/2+'Parametros'!$B$12+'Parametros'!$B$10))/Z502)</f>
        <v>489.35</v>
      </c>
      <c r="AC502" s="10">
        <f>Z502*'Parametros'!$B$8</f>
        <v>995</v>
      </c>
      <c r="AD502" s="10">
        <f>'Parametros'!$B$5*AC502*'Parametros'!$B$3*(AB502-(AC502*'Parametros'!$B$3/(0.85*'Parametros'!$B$2*H502))/2)/1000000</f>
        <v>177.445379382353</v>
      </c>
      <c r="AE502" s="10" t="str">
        <f>IF(AD502&gt;=L502,"CUMPLE","NO CUMPLE")</f>
        <v>CUMPLE</v>
      </c>
      <c r="AF502" s="10">
        <f>V502*1.25*'Parametros'!$B$3*(U502-(V502*1.25*'Parametros'!$B$3/(0.85*'Parametros'!$B$2*H502))/2)/1000000</f>
        <v>244.158843198529</v>
      </c>
      <c r="AG502" s="10">
        <f>AC502*1.25*'Parametros'!$B$3*(AB502-(AC502*1.25*'Parametros'!$B$3/(0.85*'Parametros'!$B$2*H502))/2)/1000000</f>
        <v>244.158843198529</v>
      </c>
      <c r="AH502" s="10">
        <f>N502+(AF502+AG502)/D502</f>
        <v>613.544207107843</v>
      </c>
      <c r="AI502" s="10">
        <f>MAX(O502,AH502)</f>
        <v>613.544207107843</v>
      </c>
      <c r="AJ502" s="10">
        <f>0.17*SQRT('Parametros'!$B$2)*H502*MIN(U502,AB502)/1000</f>
        <v>220.098728691808</v>
      </c>
      <c r="AK502" s="10">
        <f>MAX(AI502/'Parametros'!$B$6-AJ502,0)</f>
        <v>597.96021411865</v>
      </c>
      <c r="AL502" s="10">
        <f>0.66*SQRT('Parametros'!$B$2)*H502*MIN(U502,AB502)/1000</f>
        <v>854.500946685842</v>
      </c>
      <c r="AM502" s="10" t="str">
        <f>IF(AK502&lt;=AL502,"CUMPLE","NO CUMPLE")</f>
        <v>CUMPLE</v>
      </c>
      <c r="AN502" s="17" t="inlineStr">
        <is>
          <t>Nº4 cerrado (referencia)</t>
        </is>
      </c>
      <c r="AO502" s="31" t="n">
        <v>4</v>
      </c>
      <c r="AP502" s="10">
        <f>ROUNDDOWN(MIN(IF(BC502+BD502=0,1000000000,AO502*BB502/(BC502+BD502)),MIN(U502,AB502)/4,8*'Parametros'!$B$12,24*BA502,300,IF(AV502=0,1000000000,2*((H502-2*('Parametros'!$B$7+'Parametros'!$B$9/2))+(I502-2*('Parametros'!$B$7+'Parametros'!$B$9/2)))/8))/10,0)*10</f>
        <v>80</v>
      </c>
      <c r="AQ502" s="10">
        <f>ROUNDDOWN(MIN(IF(BC502+BD502=0,1000000000,AO502*BB502/(BC502+BD502)),IF(AK502&gt;0.33*SQRT('Parametros'!$B$2)*H502*MIN(U502,AB502)/1000,MIN(U502,AB502)/4,MIN(U502,AB502)/2),600,IF(AV502=0,1000000000,2*((H502-2*('Parametros'!$B$7+'Parametros'!$B$9/2))+(I502-2*('Parametros'!$B$7+'Parametros'!$B$9/2)))/8))/10,0)*10</f>
        <v>80</v>
      </c>
      <c r="AR502" s="10">
        <f>'Parametros'!$B$6*(AJ502+MAX(BE502-BD502,0)*'Parametros'!$B$4*MIN(U502,AB502)/1000)</f>
        <v>640.930076839047</v>
      </c>
      <c r="AS502" s="10" t="str">
        <f>IF(AND(ISERROR(SEARCH("referencia",AN502)),AM502="CUMPLE",AR502&gt;=AI502),"CUMPLE","NO CUMPLE")</f>
        <v>NO CUMPLE</v>
      </c>
      <c r="AT502" s="10">
        <f>'Parametros'!$B$6*0.083*SQRT('Parametros'!$B$2)*(H502*I502)^2/(2*(H502+I502))/1000000</f>
        <v>11.862178757599</v>
      </c>
      <c r="AU502" s="10" t="str">
        <f>IF(Q502&lt;=AT502,"DESPRECIABLE","DISEÑAR")</f>
        <v>DISEÑAR</v>
      </c>
      <c r="AV502" s="10">
        <f>IF(Q502&lt;=AT502,0,Q502*1000000/('Parametros'!$B$6*2*0.85*(H502-2*('Parametros'!$B$7+'Parametros'!$B$9/2))*(I502-2*('Parametros'!$B$7+'Parametros'!$B$9/2))*'Parametros'!$B$4))</f>
        <v>1.68146871921064</v>
      </c>
      <c r="AW502" s="10">
        <f>AV502*2*((H502-2*('Parametros'!$B$7+'Parametros'!$B$9/2))+(I502-2*('Parametros'!$B$7+'Parametros'!$B$9/2)))*'Parametros'!$B$4/'Parametros'!$B$3</f>
        <v>2907.59570925905</v>
      </c>
      <c r="AX502" s="31" t="n">
        <v>16</v>
      </c>
      <c r="AY502" s="10" t="str">
        <f>IF(AV502=0,"DESPRECIABLE",IF(AND(ISERROR(SEARCH("referencia",AN502)),BB502/AP502&gt;=AV502,BI502&gt;=AW502,BH502="CUMPLE"),"CUMPLE","NO CUMPLE"))</f>
        <v>NO CUMPLE</v>
      </c>
      <c r="AZ502" s="10" t="str">
        <f>IF(AND(X502="CUMPLE",AE502="CUMPLE",AS502="CUMPLE",OR(AY502="CUMPLE",AY502="DESPRECIABLE"),BH502="CUMPLE",BJ502="CUMPLE"),"CUMPLE","NO CUMPLE")</f>
        <v>NO CUMPLE</v>
      </c>
      <c r="BA502" s="32" t="n">
        <v>12.7</v>
      </c>
      <c r="BB502" s="32" t="n">
        <v>129</v>
      </c>
      <c r="BC502" s="10">
        <f>MAX(IF(AK502=0,0,AK502*1000/('Parametros'!$B$4*MIN(U502,AB502))),MAX(0.062*SQRT('Parametros'!$B$2)*H502/'Parametros'!$B$4,0.35*H502/'Parametros'!$B$4))</f>
        <v>2.90939980692877</v>
      </c>
      <c r="BD502" s="10">
        <f>2*AV502</f>
        <v>3.36293743842129</v>
      </c>
      <c r="BE502" s="10">
        <f>AO502*BB502/AP502</f>
        <v>6.45</v>
      </c>
      <c r="BF502" s="10">
        <f>SQRT((AI502*1000/(H502*MIN(U502,AB502)))^2+(Q502*1000000*2*((H502-2*('Parametros'!$B$7+'Parametros'!$B$9/2))+(I502-2*('Parametros'!$B$7+'Parametros'!$B$9/2)))/(1.7*((H502-2*('Parametros'!$B$7+'Parametros'!$B$9/2))*(I502-2*('Parametros'!$B$7+'Parametros'!$B$9/2)))^2))^2)</f>
        <v>5.5197907993127</v>
      </c>
      <c r="BG502" s="10">
        <f>'Parametros'!$B$6*(AJ502*1000/(H502*MIN(U502,AB502))+0.66*SQRT('Parametros'!$B$2))</f>
        <v>3.29396038227542</v>
      </c>
      <c r="BH502" s="10" t="str">
        <f>IF(BF502&lt;=BG502,"CUMPLE","NO CUMPLE")</f>
        <v>NO CUMPLE</v>
      </c>
      <c r="BI502" s="10">
        <f>AX502*'Parametros'!$B$8</f>
        <v>3184</v>
      </c>
      <c r="BJ502" s="10" t="str">
        <f>IF(BI502&gt;=AW502,"CUMPLE","NO CUMPLE")</f>
        <v>CUMPLE</v>
      </c>
    </row>
    <row r="503">
      <c r="A503" s="26" t="inlineStr">
        <is>
          <t>VR3</t>
        </is>
      </c>
      <c r="B503" s="26" t="inlineStr">
        <is>
          <t>181</t>
        </is>
      </c>
      <c r="C503" s="10" t="n">
        <v>1</v>
      </c>
      <c r="D503" s="10" t="n">
        <v>0.9</v>
      </c>
      <c r="E503" s="10" t="n">
        <v>0.9</v>
      </c>
      <c r="F503" s="10" t="n">
        <v>500</v>
      </c>
      <c r="G503" s="10" t="n">
        <v>550</v>
      </c>
      <c r="H503" s="17" t="n">
        <v>500</v>
      </c>
      <c r="I503" s="17" t="n">
        <v>550</v>
      </c>
      <c r="J503" s="30" t="n">
        <v>89.8336</v>
      </c>
      <c r="K503" s="10" t="inlineStr">
        <is>
          <t>181</t>
        </is>
      </c>
      <c r="L503" s="30" t="n">
        <v>4.5989</v>
      </c>
      <c r="M503" s="10" t="inlineStr">
        <is>
          <t>181</t>
        </is>
      </c>
      <c r="N503" s="30" t="n">
        <v>69.759</v>
      </c>
      <c r="O503" s="30" t="n">
        <v>69.759</v>
      </c>
      <c r="P503" s="10" t="inlineStr">
        <is>
          <t>181</t>
        </is>
      </c>
      <c r="Q503" s="30" t="n">
        <v>130.2005</v>
      </c>
      <c r="R503" s="10">
        <f>MAX(MAX(1.4/'Parametros'!$B$3,0.25*SQRT('Parametros'!$B$2)/'Parametros'!$B$3)*H503*U503,(0.85*'Parametros'!$B$2/'Parametros'!$B$3)*(1-SQRT(1-2*(J503*1000000/('Parametros'!$B$5*H503*U503^2))/(0.85*'Parametros'!$B$2)))*H503*U503)</f>
        <v>815.583333333333</v>
      </c>
      <c r="S503" s="31" t="n">
        <v>5</v>
      </c>
      <c r="T503" s="32" t="n">
        <v>1</v>
      </c>
      <c r="U503" s="10">
        <f>IF(T503=1,I503-('Parametros'!$B$7+'Parametros'!$B$9+'Parametros'!$B$12/2),I503-(ROUNDUP(S503/2,0)*('Parametros'!$B$7+'Parametros'!$B$9+'Parametros'!$B$12/2)+ROUNDDOWN(S503/2,0)*('Parametros'!$B$7+'Parametros'!$B$9+'Parametros'!$B$12/2+'Parametros'!$B$12+'Parametros'!$B$10))/S503)</f>
        <v>489.35</v>
      </c>
      <c r="V503" s="10">
        <f>S503*'Parametros'!$B$8</f>
        <v>995</v>
      </c>
      <c r="W503" s="10">
        <f>'Parametros'!$B$5*V503*'Parametros'!$B$3*(U503-(V503*'Parametros'!$B$3/(0.85*'Parametros'!$B$2*H503))/2)/1000000</f>
        <v>177.445379382353</v>
      </c>
      <c r="X503" s="10" t="str">
        <f>IF(W503&gt;=J503,"CUMPLE","NO CUMPLE")</f>
        <v>CUMPLE</v>
      </c>
      <c r="Y503" s="10">
        <f>MAX(MAX(1.4/'Parametros'!$B$3,0.25*SQRT('Parametros'!$B$2)/'Parametros'!$B$3)*H503*AB503,(0.85*'Parametros'!$B$2/'Parametros'!$B$3)*(1-SQRT(1-2*(L503*1000000/('Parametros'!$B$5*H503*AB503^2))/(0.85*'Parametros'!$B$2)))*H503*AB503)</f>
        <v>815.583333333333</v>
      </c>
      <c r="Z503" s="31" t="n">
        <v>5</v>
      </c>
      <c r="AA503" s="32" t="n">
        <v>1</v>
      </c>
      <c r="AB503" s="10">
        <f>IF(AA503=1,I503-('Parametros'!$B$7+'Parametros'!$B$9+'Parametros'!$B$12/2),I503-(ROUNDUP(Z503/2,0)*('Parametros'!$B$7+'Parametros'!$B$9+'Parametros'!$B$12/2)+ROUNDDOWN(Z503/2,0)*('Parametros'!$B$7+'Parametros'!$B$9+'Parametros'!$B$12/2+'Parametros'!$B$12+'Parametros'!$B$10))/Z503)</f>
        <v>489.35</v>
      </c>
      <c r="AC503" s="10">
        <f>Z503*'Parametros'!$B$8</f>
        <v>995</v>
      </c>
      <c r="AD503" s="10">
        <f>'Parametros'!$B$5*AC503*'Parametros'!$B$3*(AB503-(AC503*'Parametros'!$B$3/(0.85*'Parametros'!$B$2*H503))/2)/1000000</f>
        <v>177.445379382353</v>
      </c>
      <c r="AE503" s="10" t="str">
        <f>IF(AD503&gt;=L503,"CUMPLE","NO CUMPLE")</f>
        <v>CUMPLE</v>
      </c>
      <c r="AF503" s="10">
        <f>V503*1.25*'Parametros'!$B$3*(U503-(V503*1.25*'Parametros'!$B$3/(0.85*'Parametros'!$B$2*H503))/2)/1000000</f>
        <v>244.158843198529</v>
      </c>
      <c r="AG503" s="10">
        <f>AC503*1.25*'Parametros'!$B$3*(AB503-(AC503*1.25*'Parametros'!$B$3/(0.85*'Parametros'!$B$2*H503))/2)/1000000</f>
        <v>244.158843198529</v>
      </c>
      <c r="AH503" s="10">
        <f>N503+(AF503+AG503)/D503</f>
        <v>612.334207107843</v>
      </c>
      <c r="AI503" s="10">
        <f>MAX(O503,AH503)</f>
        <v>612.334207107843</v>
      </c>
      <c r="AJ503" s="10">
        <f>0.17*SQRT('Parametros'!$B$2)*H503*MIN(U503,AB503)/1000</f>
        <v>220.098728691808</v>
      </c>
      <c r="AK503" s="10">
        <f>MAX(AI503/'Parametros'!$B$6-AJ503,0)</f>
        <v>596.346880785316</v>
      </c>
      <c r="AL503" s="10">
        <f>0.66*SQRT('Parametros'!$B$2)*H503*MIN(U503,AB503)/1000</f>
        <v>854.500946685842</v>
      </c>
      <c r="AM503" s="10" t="str">
        <f>IF(AK503&lt;=AL503,"CUMPLE","NO CUMPLE")</f>
        <v>CUMPLE</v>
      </c>
      <c r="AN503" s="17" t="inlineStr">
        <is>
          <t>Nº4 cerrado</t>
        </is>
      </c>
      <c r="AO503" s="31" t="n">
        <v>4</v>
      </c>
      <c r="AP503" s="10">
        <f>ROUNDDOWN(MIN(IF(BC503+BD503=0,1000000000,AO503*BB503/(BC503+BD503)),MIN(U503,AB503)/4,8*'Parametros'!$B$12,24*BA503,300,IF(AV503=0,1000000000,2*((H503-2*('Parametros'!$B$7+'Parametros'!$B$9/2))+(I503-2*('Parametros'!$B$7+'Parametros'!$B$9/2)))/8))/10,0)*10</f>
        <v>90</v>
      </c>
      <c r="AQ503" s="10">
        <f>ROUNDDOWN(MIN(IF(BC503+BD503=0,1000000000,AO503*BB503/(BC503+BD503)),IF(AK503&gt;0.33*SQRT('Parametros'!$B$2)*H503*MIN(U503,AB503)/1000,MIN(U503,AB503)/4,MIN(U503,AB503)/2),600,IF(AV503=0,1000000000,2*((H503-2*('Parametros'!$B$7+'Parametros'!$B$9/2))+(I503-2*('Parametros'!$B$7+'Parametros'!$B$9/2)))/8))/10,0)*10</f>
        <v>90</v>
      </c>
      <c r="AR503" s="10">
        <f>'Parametros'!$B$6*(AJ503+MAX(BE503-BD503,0)*'Parametros'!$B$4*MIN(U503,AB503)/1000)</f>
        <v>646.403327544011</v>
      </c>
      <c r="AS503" s="10" t="str">
        <f>IF(AND(ISERROR(SEARCH("referencia",AN503)),AM503="CUMPLE",AR503&gt;=AI503),"CUMPLE","NO CUMPLE")</f>
        <v>CUMPLE</v>
      </c>
      <c r="AT503" s="10">
        <f>'Parametros'!$B$6*0.083*SQRT('Parametros'!$B$2)*(H503*I503)^2/(2*(H503+I503))/1000000</f>
        <v>11.862178757599</v>
      </c>
      <c r="AU503" s="10" t="str">
        <f>IF(Q503&lt;=AT503,"DESPRECIABLE","DISEÑAR")</f>
        <v>DISEÑAR</v>
      </c>
      <c r="AV503" s="10">
        <f>IF(Q503&lt;=AT503,0,Q503*1000000/('Parametros'!$B$6*2*0.85*(H503-2*('Parametros'!$B$7+'Parametros'!$B$9/2))*(I503-2*('Parametros'!$B$7+'Parametros'!$B$9/2))*'Parametros'!$B$4))</f>
        <v>1.30538183620593</v>
      </c>
      <c r="AW503" s="10">
        <f>AV503*2*((H503-2*('Parametros'!$B$7+'Parametros'!$B$9/2))+(I503-2*('Parametros'!$B$7+'Parametros'!$B$9/2)))*'Parametros'!$B$4/'Parametros'!$B$3</f>
        <v>2257.2662711673</v>
      </c>
      <c r="AX503" s="31" t="n">
        <v>12</v>
      </c>
      <c r="AY503" s="10" t="str">
        <f>IF(AV503=0,"DESPRECIABLE",IF(AND(ISERROR(SEARCH("referencia",AN503)),BB503/AP503&gt;=AV503,BI503&gt;=AW503,BH503="CUMPLE"),"CUMPLE","NO CUMPLE"))</f>
        <v>NO CUMPLE</v>
      </c>
      <c r="AZ503" s="10" t="str">
        <f>IF(AND(X503="CUMPLE",AE503="CUMPLE",AS503="CUMPLE",OR(AY503="CUMPLE",AY503="DESPRECIABLE"),BH503="CUMPLE",BJ503="CUMPLE"),"CUMPLE","NO CUMPLE")</f>
        <v>NO CUMPLE</v>
      </c>
      <c r="BA503" s="32" t="n">
        <v>12.7</v>
      </c>
      <c r="BB503" s="32" t="n">
        <v>129</v>
      </c>
      <c r="BC503" s="10">
        <f>MAX(IF(AK503=0,0,AK503*1000/('Parametros'!$B$4*MIN(U503,AB503))),MAX(0.062*SQRT('Parametros'!$B$2)*H503/'Parametros'!$B$4,0.35*H503/'Parametros'!$B$4))</f>
        <v>2.90155006780285</v>
      </c>
      <c r="BD503" s="10">
        <f>2*AV503</f>
        <v>2.61076367241186</v>
      </c>
      <c r="BE503" s="10">
        <f>AO503*BB503/AP503</f>
        <v>5.73333333333333</v>
      </c>
      <c r="BF503" s="10">
        <f>SQRT((AI503*1000/(H503*MIN(U503,AB503)))^2+(Q503*1000000*2*((H503-2*('Parametros'!$B$7+'Parametros'!$B$9/2))+(I503-2*('Parametros'!$B$7+'Parametros'!$B$9/2)))/(1.7*((H503-2*('Parametros'!$B$7+'Parametros'!$B$9/2))*(I503-2*('Parametros'!$B$7+'Parametros'!$B$9/2)))^2))^2)</f>
        <v>4.56469504751567</v>
      </c>
      <c r="BG503" s="10">
        <f>'Parametros'!$B$6*(AJ503*1000/(H503*MIN(U503,AB503))+0.66*SQRT('Parametros'!$B$2))</f>
        <v>3.29396038227542</v>
      </c>
      <c r="BH503" s="10" t="str">
        <f>IF(BF503&lt;=BG503,"CUMPLE","NO CUMPLE")</f>
        <v>NO CUMPLE</v>
      </c>
      <c r="BI503" s="10">
        <f>AX503*'Parametros'!$B$8</f>
        <v>2388</v>
      </c>
      <c r="BJ503" s="10" t="str">
        <f>IF(BI503&gt;=AW503,"CUMPLE","NO CUMPLE")</f>
        <v>CUMPLE</v>
      </c>
    </row>
    <row r="504">
      <c r="A504" s="26" t="inlineStr">
        <is>
          <t>VR3</t>
        </is>
      </c>
      <c r="B504" s="26" t="inlineStr">
        <is>
          <t>186</t>
        </is>
      </c>
      <c r="C504" s="10" t="n">
        <v>1</v>
      </c>
      <c r="D504" s="10" t="n">
        <v>0.9</v>
      </c>
      <c r="E504" s="10" t="n">
        <v>0.9</v>
      </c>
      <c r="F504" s="10" t="n">
        <v>500</v>
      </c>
      <c r="G504" s="10" t="n">
        <v>550</v>
      </c>
      <c r="H504" s="17" t="n">
        <v>500</v>
      </c>
      <c r="I504" s="17" t="n">
        <v>550</v>
      </c>
      <c r="J504" s="30" t="n">
        <v>103.2029</v>
      </c>
      <c r="K504" s="10" t="inlineStr">
        <is>
          <t>186</t>
        </is>
      </c>
      <c r="L504" s="30" t="n">
        <v>4.8655</v>
      </c>
      <c r="M504" s="10" t="inlineStr">
        <is>
          <t>186</t>
        </is>
      </c>
      <c r="N504" s="30" t="n">
        <v>77.837</v>
      </c>
      <c r="O504" s="30" t="n">
        <v>79.95699999999999</v>
      </c>
      <c r="P504" s="10" t="inlineStr">
        <is>
          <t>186</t>
        </is>
      </c>
      <c r="Q504" s="30" t="n">
        <v>82.84439999999999</v>
      </c>
      <c r="R504" s="10">
        <f>MAX(MAX(1.4/'Parametros'!$B$3,0.25*SQRT('Parametros'!$B$2)/'Parametros'!$B$3)*H504*U504,(0.85*'Parametros'!$B$2/'Parametros'!$B$3)*(1-SQRT(1-2*(J504*1000000/('Parametros'!$B$5*H504*U504^2))/(0.85*'Parametros'!$B$2)))*H504*U504)</f>
        <v>815.583333333333</v>
      </c>
      <c r="S504" s="31" t="n">
        <v>5</v>
      </c>
      <c r="T504" s="32" t="n">
        <v>1</v>
      </c>
      <c r="U504" s="10">
        <f>IF(T504=1,I504-('Parametros'!$B$7+'Parametros'!$B$9+'Parametros'!$B$12/2),I504-(ROUNDUP(S504/2,0)*('Parametros'!$B$7+'Parametros'!$B$9+'Parametros'!$B$12/2)+ROUNDDOWN(S504/2,0)*('Parametros'!$B$7+'Parametros'!$B$9+'Parametros'!$B$12/2+'Parametros'!$B$12+'Parametros'!$B$10))/S504)</f>
        <v>489.35</v>
      </c>
      <c r="V504" s="10">
        <f>S504*'Parametros'!$B$8</f>
        <v>995</v>
      </c>
      <c r="W504" s="10">
        <f>'Parametros'!$B$5*V504*'Parametros'!$B$3*(U504-(V504*'Parametros'!$B$3/(0.85*'Parametros'!$B$2*H504))/2)/1000000</f>
        <v>177.445379382353</v>
      </c>
      <c r="X504" s="10" t="str">
        <f>IF(W504&gt;=J504,"CUMPLE","NO CUMPLE")</f>
        <v>CUMPLE</v>
      </c>
      <c r="Y504" s="10">
        <f>MAX(MAX(1.4/'Parametros'!$B$3,0.25*SQRT('Parametros'!$B$2)/'Parametros'!$B$3)*H504*AB504,(0.85*'Parametros'!$B$2/'Parametros'!$B$3)*(1-SQRT(1-2*(L504*1000000/('Parametros'!$B$5*H504*AB504^2))/(0.85*'Parametros'!$B$2)))*H504*AB504)</f>
        <v>815.583333333333</v>
      </c>
      <c r="Z504" s="31" t="n">
        <v>5</v>
      </c>
      <c r="AA504" s="32" t="n">
        <v>1</v>
      </c>
      <c r="AB504" s="10">
        <f>IF(AA504=1,I504-('Parametros'!$B$7+'Parametros'!$B$9+'Parametros'!$B$12/2),I504-(ROUNDUP(Z504/2,0)*('Parametros'!$B$7+'Parametros'!$B$9+'Parametros'!$B$12/2)+ROUNDDOWN(Z504/2,0)*('Parametros'!$B$7+'Parametros'!$B$9+'Parametros'!$B$12/2+'Parametros'!$B$12+'Parametros'!$B$10))/Z504)</f>
        <v>489.35</v>
      </c>
      <c r="AC504" s="10">
        <f>Z504*'Parametros'!$B$8</f>
        <v>995</v>
      </c>
      <c r="AD504" s="10">
        <f>'Parametros'!$B$5*AC504*'Parametros'!$B$3*(AB504-(AC504*'Parametros'!$B$3/(0.85*'Parametros'!$B$2*H504))/2)/1000000</f>
        <v>177.445379382353</v>
      </c>
      <c r="AE504" s="10" t="str">
        <f>IF(AD504&gt;=L504,"CUMPLE","NO CUMPLE")</f>
        <v>CUMPLE</v>
      </c>
      <c r="AF504" s="10">
        <f>V504*1.25*'Parametros'!$B$3*(U504-(V504*1.25*'Parametros'!$B$3/(0.85*'Parametros'!$B$2*H504))/2)/1000000</f>
        <v>244.158843198529</v>
      </c>
      <c r="AG504" s="10">
        <f>AC504*1.25*'Parametros'!$B$3*(AB504-(AC504*1.25*'Parametros'!$B$3/(0.85*'Parametros'!$B$2*H504))/2)/1000000</f>
        <v>244.158843198529</v>
      </c>
      <c r="AH504" s="10">
        <f>N504+(AF504+AG504)/D504</f>
        <v>620.412207107843</v>
      </c>
      <c r="AI504" s="10">
        <f>MAX(O504,AH504)</f>
        <v>620.412207107843</v>
      </c>
      <c r="AJ504" s="10">
        <f>0.17*SQRT('Parametros'!$B$2)*H504*MIN(U504,AB504)/1000</f>
        <v>220.098728691808</v>
      </c>
      <c r="AK504" s="10">
        <f>MAX(AI504/'Parametros'!$B$6-AJ504,0)</f>
        <v>607.117547451983</v>
      </c>
      <c r="AL504" s="10">
        <f>0.66*SQRT('Parametros'!$B$2)*H504*MIN(U504,AB504)/1000</f>
        <v>854.500946685842</v>
      </c>
      <c r="AM504" s="10" t="str">
        <f>IF(AK504&lt;=AL504,"CUMPLE","NO CUMPLE")</f>
        <v>CUMPLE</v>
      </c>
      <c r="AN504" s="17" t="inlineStr">
        <is>
          <t>Nº4 cerrado</t>
        </is>
      </c>
      <c r="AO504" s="31" t="n">
        <v>4</v>
      </c>
      <c r="AP504" s="10">
        <f>ROUNDDOWN(MIN(IF(BC504+BD504=0,1000000000,AO504*BB504/(BC504+BD504)),MIN(U504,AB504)/4,8*'Parametros'!$B$12,24*BA504,300,IF(AV504=0,1000000000,2*((H504-2*('Parametros'!$B$7+'Parametros'!$B$9/2))+(I504-2*('Parametros'!$B$7+'Parametros'!$B$9/2)))/8))/10,0)*10</f>
        <v>110</v>
      </c>
      <c r="AQ504" s="10">
        <f>ROUNDDOWN(MIN(IF(BC504+BD504=0,1000000000,AO504*BB504/(BC504+BD504)),IF(AK504&gt;0.33*SQRT('Parametros'!$B$2)*H504*MIN(U504,AB504)/1000,MIN(U504,AB504)/4,MIN(U504,AB504)/2),600,IF(AV504=0,1000000000,2*((H504-2*('Parametros'!$B$7+'Parametros'!$B$9/2))+(I504-2*('Parametros'!$B$7+'Parametros'!$B$9/2)))/8))/10,0)*10</f>
        <v>110</v>
      </c>
      <c r="AR504" s="10">
        <f>'Parametros'!$B$6*(AJ504+MAX(BE504-BD504,0)*'Parametros'!$B$4*MIN(U504,AB504)/1000)</f>
        <v>632.091585596016</v>
      </c>
      <c r="AS504" s="10" t="str">
        <f>IF(AND(ISERROR(SEARCH("referencia",AN504)),AM504="CUMPLE",AR504&gt;=AI504),"CUMPLE","NO CUMPLE")</f>
        <v>CUMPLE</v>
      </c>
      <c r="AT504" s="10">
        <f>'Parametros'!$B$6*0.083*SQRT('Parametros'!$B$2)*(H504*I504)^2/(2*(H504+I504))/1000000</f>
        <v>11.862178757599</v>
      </c>
      <c r="AU504" s="10" t="str">
        <f>IF(Q504&lt;=AT504,"DESPRECIABLE","DISEÑAR")</f>
        <v>DISEÑAR</v>
      </c>
      <c r="AV504" s="10">
        <f>IF(Q504&lt;=AT504,0,Q504*1000000/('Parametros'!$B$6*2*0.85*(H504-2*('Parametros'!$B$7+'Parametros'!$B$9/2))*(I504-2*('Parametros'!$B$7+'Parametros'!$B$9/2))*'Parametros'!$B$4))</f>
        <v>0.830592624386071</v>
      </c>
      <c r="AW504" s="10">
        <f>AV504*2*((H504-2*('Parametros'!$B$7+'Parametros'!$B$9/2))+(I504-2*('Parametros'!$B$7+'Parametros'!$B$9/2)))*'Parametros'!$B$4/'Parametros'!$B$3</f>
        <v>1436.26076608839</v>
      </c>
      <c r="AX504" s="31" t="n">
        <v>8</v>
      </c>
      <c r="AY504" s="10" t="str">
        <f>IF(AV504=0,"DESPRECIABLE",IF(AND(ISERROR(SEARCH("referencia",AN504)),BB504/AP504&gt;=AV504,BI504&gt;=AW504,BH504="CUMPLE"),"CUMPLE","NO CUMPLE"))</f>
        <v>NO CUMPLE</v>
      </c>
      <c r="AZ504" s="10" t="str">
        <f>IF(AND(X504="CUMPLE",AE504="CUMPLE",AS504="CUMPLE",OR(AY504="CUMPLE",AY504="DESPRECIABLE"),BH504="CUMPLE",BJ504="CUMPLE"),"CUMPLE","NO CUMPLE")</f>
        <v>NO CUMPLE</v>
      </c>
      <c r="BA504" s="32" t="n">
        <v>12.7</v>
      </c>
      <c r="BB504" s="32" t="n">
        <v>129</v>
      </c>
      <c r="BC504" s="10">
        <f>MAX(IF(AK504=0,0,AK504*1000/('Parametros'!$B$4*MIN(U504,AB504))),MAX(0.062*SQRT('Parametros'!$B$2)*H504/'Parametros'!$B$4,0.35*H504/'Parametros'!$B$4))</f>
        <v>2.95395518570301</v>
      </c>
      <c r="BD504" s="10">
        <f>2*AV504</f>
        <v>1.66118524877214</v>
      </c>
      <c r="BE504" s="10">
        <f>AO504*BB504/AP504</f>
        <v>4.69090909090909</v>
      </c>
      <c r="BF504" s="10">
        <f>SQRT((AI504*1000/(H504*MIN(U504,AB504)))^2+(Q504*1000000*2*((H504-2*('Parametros'!$B$7+'Parametros'!$B$9/2))+(I504-2*('Parametros'!$B$7+'Parametros'!$B$9/2)))/(1.7*((H504-2*('Parametros'!$B$7+'Parametros'!$B$9/2))*(I504-2*('Parametros'!$B$7+'Parametros'!$B$9/2)))^2))^2)</f>
        <v>3.51135642795755</v>
      </c>
      <c r="BG504" s="10">
        <f>'Parametros'!$B$6*(AJ504*1000/(H504*MIN(U504,AB504))+0.66*SQRT('Parametros'!$B$2))</f>
        <v>3.29396038227542</v>
      </c>
      <c r="BH504" s="10" t="str">
        <f>IF(BF504&lt;=BG504,"CUMPLE","NO CUMPLE")</f>
        <v>NO CUMPLE</v>
      </c>
      <c r="BI504" s="10">
        <f>AX504*'Parametros'!$B$8</f>
        <v>1592</v>
      </c>
      <c r="BJ504" s="10" t="str">
        <f>IF(BI504&gt;=AW504,"CUMPLE","NO CUMPLE")</f>
        <v>CUMPLE</v>
      </c>
    </row>
    <row r="505">
      <c r="A505" s="26" t="inlineStr">
        <is>
          <t>VR3</t>
        </is>
      </c>
      <c r="B505" s="26" t="inlineStr">
        <is>
          <t>191</t>
        </is>
      </c>
      <c r="C505" s="10" t="n">
        <v>1</v>
      </c>
      <c r="D505" s="10" t="n">
        <v>0.9</v>
      </c>
      <c r="E505" s="10" t="n">
        <v>0.9</v>
      </c>
      <c r="F505" s="10" t="n">
        <v>500</v>
      </c>
      <c r="G505" s="10" t="n">
        <v>550</v>
      </c>
      <c r="H505" s="17" t="n">
        <v>500</v>
      </c>
      <c r="I505" s="17" t="n">
        <v>550</v>
      </c>
      <c r="J505" s="30" t="n">
        <v>90.38890000000001</v>
      </c>
      <c r="K505" s="10" t="inlineStr">
        <is>
          <t>191</t>
        </is>
      </c>
      <c r="L505" s="30" t="n">
        <v>5.0909</v>
      </c>
      <c r="M505" s="10" t="inlineStr">
        <is>
          <t>191</t>
        </is>
      </c>
      <c r="N505" s="30" t="n">
        <v>69.485</v>
      </c>
      <c r="O505" s="30" t="n">
        <v>70.349</v>
      </c>
      <c r="P505" s="10" t="inlineStr">
        <is>
          <t>191</t>
        </is>
      </c>
      <c r="Q505" s="30" t="n">
        <v>32.2328</v>
      </c>
      <c r="R505" s="10">
        <f>MAX(MAX(1.4/'Parametros'!$B$3,0.25*SQRT('Parametros'!$B$2)/'Parametros'!$B$3)*H505*U505,(0.85*'Parametros'!$B$2/'Parametros'!$B$3)*(1-SQRT(1-2*(J505*1000000/('Parametros'!$B$5*H505*U505^2))/(0.85*'Parametros'!$B$2)))*H505*U505)</f>
        <v>815.583333333333</v>
      </c>
      <c r="S505" s="31" t="n">
        <v>5</v>
      </c>
      <c r="T505" s="32" t="n">
        <v>1</v>
      </c>
      <c r="U505" s="10">
        <f>IF(T505=1,I505-('Parametros'!$B$7+'Parametros'!$B$9+'Parametros'!$B$12/2),I505-(ROUNDUP(S505/2,0)*('Parametros'!$B$7+'Parametros'!$B$9+'Parametros'!$B$12/2)+ROUNDDOWN(S505/2,0)*('Parametros'!$B$7+'Parametros'!$B$9+'Parametros'!$B$12/2+'Parametros'!$B$12+'Parametros'!$B$10))/S505)</f>
        <v>489.35</v>
      </c>
      <c r="V505" s="10">
        <f>S505*'Parametros'!$B$8</f>
        <v>995</v>
      </c>
      <c r="W505" s="10">
        <f>'Parametros'!$B$5*V505*'Parametros'!$B$3*(U505-(V505*'Parametros'!$B$3/(0.85*'Parametros'!$B$2*H505))/2)/1000000</f>
        <v>177.445379382353</v>
      </c>
      <c r="X505" s="10" t="str">
        <f>IF(W505&gt;=J505,"CUMPLE","NO CUMPLE")</f>
        <v>CUMPLE</v>
      </c>
      <c r="Y505" s="10">
        <f>MAX(MAX(1.4/'Parametros'!$B$3,0.25*SQRT('Parametros'!$B$2)/'Parametros'!$B$3)*H505*AB505,(0.85*'Parametros'!$B$2/'Parametros'!$B$3)*(1-SQRT(1-2*(L505*1000000/('Parametros'!$B$5*H505*AB505^2))/(0.85*'Parametros'!$B$2)))*H505*AB505)</f>
        <v>815.583333333333</v>
      </c>
      <c r="Z505" s="31" t="n">
        <v>5</v>
      </c>
      <c r="AA505" s="32" t="n">
        <v>1</v>
      </c>
      <c r="AB505" s="10">
        <f>IF(AA505=1,I505-('Parametros'!$B$7+'Parametros'!$B$9+'Parametros'!$B$12/2),I505-(ROUNDUP(Z505/2,0)*('Parametros'!$B$7+'Parametros'!$B$9+'Parametros'!$B$12/2)+ROUNDDOWN(Z505/2,0)*('Parametros'!$B$7+'Parametros'!$B$9+'Parametros'!$B$12/2+'Parametros'!$B$12+'Parametros'!$B$10))/Z505)</f>
        <v>489.35</v>
      </c>
      <c r="AC505" s="10">
        <f>Z505*'Parametros'!$B$8</f>
        <v>995</v>
      </c>
      <c r="AD505" s="10">
        <f>'Parametros'!$B$5*AC505*'Parametros'!$B$3*(AB505-(AC505*'Parametros'!$B$3/(0.85*'Parametros'!$B$2*H505))/2)/1000000</f>
        <v>177.445379382353</v>
      </c>
      <c r="AE505" s="10" t="str">
        <f>IF(AD505&gt;=L505,"CUMPLE","NO CUMPLE")</f>
        <v>CUMPLE</v>
      </c>
      <c r="AF505" s="10">
        <f>V505*1.25*'Parametros'!$B$3*(U505-(V505*1.25*'Parametros'!$B$3/(0.85*'Parametros'!$B$2*H505))/2)/1000000</f>
        <v>244.158843198529</v>
      </c>
      <c r="AG505" s="10">
        <f>AC505*1.25*'Parametros'!$B$3*(AB505-(AC505*1.25*'Parametros'!$B$3/(0.85*'Parametros'!$B$2*H505))/2)/1000000</f>
        <v>244.158843198529</v>
      </c>
      <c r="AH505" s="10">
        <f>N505+(AF505+AG505)/D505</f>
        <v>612.060207107843</v>
      </c>
      <c r="AI505" s="10">
        <f>MAX(O505,AH505)</f>
        <v>612.060207107843</v>
      </c>
      <c r="AJ505" s="10">
        <f>0.17*SQRT('Parametros'!$B$2)*H505*MIN(U505,AB505)/1000</f>
        <v>220.098728691808</v>
      </c>
      <c r="AK505" s="10">
        <f>MAX(AI505/'Parametros'!$B$6-AJ505,0)</f>
        <v>595.981547451983</v>
      </c>
      <c r="AL505" s="10">
        <f>0.66*SQRT('Parametros'!$B$2)*H505*MIN(U505,AB505)/1000</f>
        <v>854.500946685842</v>
      </c>
      <c r="AM505" s="10" t="str">
        <f>IF(AK505&lt;=AL505,"CUMPLE","NO CUMPLE")</f>
        <v>CUMPLE</v>
      </c>
      <c r="AN505" s="17" t="inlineStr">
        <is>
          <t>Nº3 cerrado</t>
        </is>
      </c>
      <c r="AO505" s="31" t="n">
        <v>4</v>
      </c>
      <c r="AP505" s="10">
        <f>ROUNDDOWN(MIN(IF(BC505+BD505=0,1000000000,AO505*BB505/(BC505+BD505)),MIN(U505,AB505)/4,8*'Parametros'!$B$12,24*BA505,300,IF(AV505=0,1000000000,2*((H505-2*('Parametros'!$B$7+'Parametros'!$B$9/2))+(I505-2*('Parametros'!$B$7+'Parametros'!$B$9/2)))/8))/10,0)*10</f>
        <v>80</v>
      </c>
      <c r="AQ505" s="10">
        <f>ROUNDDOWN(MIN(IF(BC505+BD505=0,1000000000,AO505*BB505/(BC505+BD505)),IF(AK505&gt;0.33*SQRT('Parametros'!$B$2)*H505*MIN(U505,AB505)/1000,MIN(U505,AB505)/4,MIN(U505,AB505)/2),600,IF(AV505=0,1000000000,2*((H505-2*('Parametros'!$B$7+'Parametros'!$B$9/2))+(I505-2*('Parametros'!$B$7+'Parametros'!$B$9/2)))/8))/10,0)*10</f>
        <v>80</v>
      </c>
      <c r="AR505" s="10">
        <f>'Parametros'!$B$6*(AJ505+MAX(BE505-BD505,0)*'Parametros'!$B$4*MIN(U505,AB505)/1000)</f>
        <v>612.661299345584</v>
      </c>
      <c r="AS505" s="10" t="str">
        <f>IF(AND(ISERROR(SEARCH("referencia",AN505)),AM505="CUMPLE",AR505&gt;=AI505),"CUMPLE","NO CUMPLE")</f>
        <v>CUMPLE</v>
      </c>
      <c r="AT505" s="10">
        <f>'Parametros'!$B$6*0.083*SQRT('Parametros'!$B$2)*(H505*I505)^2/(2*(H505+I505))/1000000</f>
        <v>11.862178757599</v>
      </c>
      <c r="AU505" s="10" t="str">
        <f>IF(Q505&lt;=AT505,"DESPRECIABLE","DISEÑAR")</f>
        <v>DISEÑAR</v>
      </c>
      <c r="AV505" s="10">
        <f>IF(Q505&lt;=AT505,0,Q505*1000000/('Parametros'!$B$6*2*0.85*(H505-2*('Parametros'!$B$7+'Parametros'!$B$9/2))*(I505-2*('Parametros'!$B$7+'Parametros'!$B$9/2))*'Parametros'!$B$4))</f>
        <v>0.323163979017427</v>
      </c>
      <c r="AW505" s="10">
        <f>AV505*2*((H505-2*('Parametros'!$B$7+'Parametros'!$B$9/2))+(I505-2*('Parametros'!$B$7+'Parametros'!$B$9/2)))*'Parametros'!$B$4/'Parametros'!$B$3</f>
        <v>558.815152516935</v>
      </c>
      <c r="AX505" s="31" t="n">
        <v>8</v>
      </c>
      <c r="AY505" s="10" t="str">
        <f>IF(AV505=0,"DESPRECIABLE",IF(AND(ISERROR(SEARCH("referencia",AN505)),BB505/AP505&gt;=AV505,BI505&gt;=AW505,BH505="CUMPLE"),"CUMPLE","NO CUMPLE"))</f>
        <v>CUMPLE</v>
      </c>
      <c r="AZ505" s="10" t="str">
        <f>IF(AND(X505="CUMPLE",AE505="CUMPLE",AS505="CUMPLE",OR(AY505="CUMPLE",AY505="DESPRECIABLE"),BH505="CUMPLE",BJ505="CUMPLE"),"CUMPLE","NO CUMPLE")</f>
        <v>CUMPLE</v>
      </c>
      <c r="BA505" s="32" t="n">
        <v>9.5</v>
      </c>
      <c r="BB505" s="32" t="n">
        <v>71</v>
      </c>
      <c r="BC505" s="10">
        <f>MAX(IF(AK505=0,0,AK505*1000/('Parametros'!$B$4*MIN(U505,AB505))),MAX(0.062*SQRT('Parametros'!$B$2)*H505/'Parametros'!$B$4,0.35*H505/'Parametros'!$B$4))</f>
        <v>2.89977252357103</v>
      </c>
      <c r="BD505" s="10">
        <f>2*AV505</f>
        <v>0.646327958034854</v>
      </c>
      <c r="BE505" s="10">
        <f>AO505*BB505/AP505</f>
        <v>3.55</v>
      </c>
      <c r="BF505" s="10">
        <f>SQRT((AI505*1000/(H505*MIN(U505,AB505)))^2+(Q505*1000000*2*((H505-2*('Parametros'!$B$7+'Parametros'!$B$9/2))+(I505-2*('Parametros'!$B$7+'Parametros'!$B$9/2)))/(1.7*((H505-2*('Parametros'!$B$7+'Parametros'!$B$9/2))*(I505-2*('Parametros'!$B$7+'Parametros'!$B$9/2)))^2))^2)</f>
        <v>2.67409282815712</v>
      </c>
      <c r="BG505" s="10">
        <f>'Parametros'!$B$6*(AJ505*1000/(H505*MIN(U505,AB505))+0.66*SQRT('Parametros'!$B$2))</f>
        <v>3.29396038227542</v>
      </c>
      <c r="BH505" s="10" t="str">
        <f>IF(BF505&lt;=BG505,"CUMPLE","NO CUMPLE")</f>
        <v>CUMPLE</v>
      </c>
      <c r="BI505" s="10">
        <f>AX505*'Parametros'!$B$8</f>
        <v>1592</v>
      </c>
      <c r="BJ505" s="10" t="str">
        <f>IF(BI505&gt;=AW505,"CUMPLE","NO CUMPLE")</f>
        <v>CUMPLE</v>
      </c>
    </row>
    <row r="506">
      <c r="A506" s="26" t="inlineStr">
        <is>
          <t>VR3</t>
        </is>
      </c>
      <c r="B506" s="26" t="inlineStr">
        <is>
          <t>223</t>
        </is>
      </c>
      <c r="C506" s="10" t="n">
        <v>1</v>
      </c>
      <c r="D506" s="10" t="n">
        <v>2.35</v>
      </c>
      <c r="E506" s="10" t="n">
        <v>2.35</v>
      </c>
      <c r="F506" s="10" t="n">
        <v>500</v>
      </c>
      <c r="G506" s="10" t="n">
        <v>550</v>
      </c>
      <c r="H506" s="17" t="n">
        <v>500</v>
      </c>
      <c r="I506" s="17" t="n">
        <v>550</v>
      </c>
      <c r="J506" s="30" t="n">
        <v>266.1722</v>
      </c>
      <c r="K506" s="10" t="inlineStr">
        <is>
          <t>223</t>
        </is>
      </c>
      <c r="L506" s="30" t="n">
        <v>132.67</v>
      </c>
      <c r="M506" s="10" t="inlineStr">
        <is>
          <t>223</t>
        </is>
      </c>
      <c r="N506" s="30" t="n">
        <v>208.91</v>
      </c>
      <c r="O506" s="30" t="n">
        <v>358.283</v>
      </c>
      <c r="P506" s="10" t="inlineStr">
        <is>
          <t>223</t>
        </is>
      </c>
      <c r="Q506" s="30" t="n">
        <v>11.0434</v>
      </c>
      <c r="R506" s="10">
        <f>MAX(MAX(1.4/'Parametros'!$B$3,0.25*SQRT('Parametros'!$B$2)/'Parametros'!$B$3)*H506*U506,(0.85*'Parametros'!$B$2/'Parametros'!$B$3)*(1-SQRT(1-2*(J506*1000000/('Parametros'!$B$5*H506*U506^2))/(0.85*'Parametros'!$B$2)))*H506*U506)</f>
        <v>1522.56858581431</v>
      </c>
      <c r="S506" s="31" t="n">
        <v>8</v>
      </c>
      <c r="T506" s="32" t="n">
        <v>1</v>
      </c>
      <c r="U506" s="10">
        <f>IF(T506=1,I506-('Parametros'!$B$7+'Parametros'!$B$9+'Parametros'!$B$12/2),I506-(ROUNDUP(S506/2,0)*('Parametros'!$B$7+'Parametros'!$B$9+'Parametros'!$B$12/2)+ROUNDDOWN(S506/2,0)*('Parametros'!$B$7+'Parametros'!$B$9+'Parametros'!$B$12/2+'Parametros'!$B$12+'Parametros'!$B$10))/S506)</f>
        <v>489.35</v>
      </c>
      <c r="V506" s="10">
        <f>S506*'Parametros'!$B$8</f>
        <v>1592</v>
      </c>
      <c r="W506" s="10">
        <f>'Parametros'!$B$5*V506*'Parametros'!$B$3*(U506-(V506*'Parametros'!$B$3/(0.85*'Parametros'!$B$2*H506))/2)/1000000</f>
        <v>277.572719858824</v>
      </c>
      <c r="X506" s="10" t="str">
        <f>IF(W506&gt;=J506,"CUMPLE","NO CUMPLE")</f>
        <v>CUMPLE</v>
      </c>
      <c r="Y506" s="10">
        <f>MAX(MAX(1.4/'Parametros'!$B$3,0.25*SQRT('Parametros'!$B$2)/'Parametros'!$B$3)*H506*AB506,(0.85*'Parametros'!$B$2/'Parametros'!$B$3)*(1-SQRT(1-2*(L506*1000000/('Parametros'!$B$5*H506*AB506^2))/(0.85*'Parametros'!$B$2)))*H506*AB506)</f>
        <v>815.583333333333</v>
      </c>
      <c r="Z506" s="31" t="n">
        <v>5</v>
      </c>
      <c r="AA506" s="32" t="n">
        <v>1</v>
      </c>
      <c r="AB506" s="10">
        <f>IF(AA506=1,I506-('Parametros'!$B$7+'Parametros'!$B$9+'Parametros'!$B$12/2),I506-(ROUNDUP(Z506/2,0)*('Parametros'!$B$7+'Parametros'!$B$9+'Parametros'!$B$12/2)+ROUNDDOWN(Z506/2,0)*('Parametros'!$B$7+'Parametros'!$B$9+'Parametros'!$B$12/2+'Parametros'!$B$12+'Parametros'!$B$10))/Z506)</f>
        <v>489.35</v>
      </c>
      <c r="AC506" s="10">
        <f>Z506*'Parametros'!$B$8</f>
        <v>995</v>
      </c>
      <c r="AD506" s="10">
        <f>'Parametros'!$B$5*AC506*'Parametros'!$B$3*(AB506-(AC506*'Parametros'!$B$3/(0.85*'Parametros'!$B$2*H506))/2)/1000000</f>
        <v>177.445379382353</v>
      </c>
      <c r="AE506" s="10" t="str">
        <f>IF(AD506&gt;=L506,"CUMPLE","NO CUMPLE")</f>
        <v>CUMPLE</v>
      </c>
      <c r="AF506" s="10">
        <f>V506*1.25*'Parametros'!$B$3*(U506-(V506*1.25*'Parametros'!$B$3/(0.85*'Parametros'!$B$2*H506))/2)/1000000</f>
        <v>379.647400588235</v>
      </c>
      <c r="AG506" s="10">
        <f>AC506*1.25*'Parametros'!$B$3*(AB506-(AC506*1.25*'Parametros'!$B$3/(0.85*'Parametros'!$B$2*H506))/2)/1000000</f>
        <v>244.158843198529</v>
      </c>
      <c r="AH506" s="10">
        <f>N506+(AF506+AG506)/D506</f>
        <v>474.359465441176</v>
      </c>
      <c r="AI506" s="10">
        <f>MAX(O506,AH506)</f>
        <v>474.359465441176</v>
      </c>
      <c r="AJ506" s="10">
        <f>0.17*SQRT('Parametros'!$B$2)*H506*MIN(U506,AB506)/1000</f>
        <v>220.098728691808</v>
      </c>
      <c r="AK506" s="10">
        <f>MAX(AI506/'Parametros'!$B$6-AJ506,0)</f>
        <v>412.380558563094</v>
      </c>
      <c r="AL506" s="10">
        <f>0.66*SQRT('Parametros'!$B$2)*H506*MIN(U506,AB506)/1000</f>
        <v>854.500946685842</v>
      </c>
      <c r="AM506" s="10" t="str">
        <f>IF(AK506&lt;=AL506,"CUMPLE","NO CUMPLE")</f>
        <v>CUMPLE</v>
      </c>
      <c r="AN506" s="17" t="inlineStr">
        <is>
          <t>Nº4 cerrado</t>
        </is>
      </c>
      <c r="AO506" s="31" t="n">
        <v>2</v>
      </c>
      <c r="AP506" s="10">
        <f>ROUNDDOWN(MIN(IF(BC506+BD506=0,1000000000,AO506*BB506/(BC506+BD506)),MIN(U506,AB506)/4,8*'Parametros'!$B$12,24*BA506,300,IF(AV506=0,1000000000,2*((H506-2*('Parametros'!$B$7+'Parametros'!$B$9/2))+(I506-2*('Parametros'!$B$7+'Parametros'!$B$9/2)))/8))/10,0)*10</f>
        <v>120</v>
      </c>
      <c r="AQ506" s="10">
        <f>ROUNDDOWN(MIN(IF(BC506+BD506=0,1000000000,AO506*BB506/(BC506+BD506)),IF(AK506&gt;0.33*SQRT('Parametros'!$B$2)*H506*MIN(U506,AB506)/1000,MIN(U506,AB506)/4,MIN(U506,AB506)/2),600,IF(AV506=0,1000000000,2*((H506-2*('Parametros'!$B$7+'Parametros'!$B$9/2))+(I506-2*('Parametros'!$B$7+'Parametros'!$B$9/2)))/8))/10,0)*10</f>
        <v>120</v>
      </c>
      <c r="AR506" s="10">
        <f>'Parametros'!$B$6*(AJ506+MAX(BE506-BD506,0)*'Parametros'!$B$4*MIN(U506,AB506)/1000)</f>
        <v>496.486334018856</v>
      </c>
      <c r="AS506" s="10" t="str">
        <f>IF(AND(ISERROR(SEARCH("referencia",AN506)),AM506="CUMPLE",AR506&gt;=AI506),"CUMPLE","NO CUMPLE")</f>
        <v>CUMPLE</v>
      </c>
      <c r="AT506" s="10">
        <f>'Parametros'!$B$6*0.083*SQRT('Parametros'!$B$2)*(H506*I506)^2/(2*(H506+I506))/1000000</f>
        <v>11.862178757599</v>
      </c>
      <c r="AU506" s="10" t="str">
        <f>IF(Q506&lt;=AT506,"DESPRECIABLE","DISEÑAR")</f>
        <v>DESPRECIABLE</v>
      </c>
      <c r="AV506" s="10">
        <f>IF(Q506&lt;=AT506,0,Q506*1000000/('Parametros'!$B$6*2*0.85*(H506-2*('Parametros'!$B$7+'Parametros'!$B$9/2))*(I506-2*('Parametros'!$B$7+'Parametros'!$B$9/2))*'Parametros'!$B$4))</f>
        <v>0</v>
      </c>
      <c r="AW506" s="10">
        <f>AV506*2*((H506-2*('Parametros'!$B$7+'Parametros'!$B$9/2))+(I506-2*('Parametros'!$B$7+'Parametros'!$B$9/2)))*'Parametros'!$B$4/'Parametros'!$B$3</f>
        <v>0</v>
      </c>
      <c r="AX506" s="31" t="n">
        <v>0</v>
      </c>
      <c r="AY506" s="10" t="str">
        <f>IF(AV506=0,"DESPRECIABLE",IF(AND(ISERROR(SEARCH("referencia",AN506)),BB506/AP506&gt;=AV506,BI506&gt;=AW506,BH506="CUMPLE"),"CUMPLE","NO CUMPLE"))</f>
        <v>DESPRECIABLE</v>
      </c>
      <c r="AZ506" s="10" t="str">
        <f>IF(AND(X506="CUMPLE",AE506="CUMPLE",AS506="CUMPLE",OR(AY506="CUMPLE",AY506="DESPRECIABLE"),BH506="CUMPLE",BJ506="CUMPLE"),"CUMPLE","NO CUMPLE")</f>
        <v>CUMPLE</v>
      </c>
      <c r="BA506" s="32" t="n">
        <v>12.7</v>
      </c>
      <c r="BB506" s="32" t="n">
        <v>129</v>
      </c>
      <c r="BC506" s="10">
        <f>MAX(IF(AK506=0,0,AK506*1000/('Parametros'!$B$4*MIN(U506,AB506))),MAX(0.062*SQRT('Parametros'!$B$2)*H506/'Parametros'!$B$4,0.35*H506/'Parametros'!$B$4))</f>
        <v>2.0064544247865</v>
      </c>
      <c r="BD506" s="10">
        <f>2*AV506</f>
        <v>0</v>
      </c>
      <c r="BE506" s="10">
        <f>AO506*BB506/AP506</f>
        <v>2.15</v>
      </c>
      <c r="BF506" s="10">
        <f>SQRT((AI506*1000/(H506*MIN(U506,AB506)))^2+(Q506*1000000*2*((H506-2*('Parametros'!$B$7+'Parametros'!$B$9/2))+(I506-2*('Parametros'!$B$7+'Parametros'!$B$9/2)))/(1.7*((H506-2*('Parametros'!$B$7+'Parametros'!$B$9/2))*(I506-2*('Parametros'!$B$7+'Parametros'!$B$9/2)))^2))^2)</f>
        <v>1.96558573028898</v>
      </c>
      <c r="BG506" s="10">
        <f>'Parametros'!$B$6*(AJ506*1000/(H506*MIN(U506,AB506))+0.66*SQRT('Parametros'!$B$2))</f>
        <v>3.29396038227542</v>
      </c>
      <c r="BH506" s="10" t="str">
        <f>IF(BF506&lt;=BG506,"CUMPLE","NO CUMPLE")</f>
        <v>CUMPLE</v>
      </c>
      <c r="BI506" s="10">
        <f>AX506*'Parametros'!$B$8</f>
        <v>0</v>
      </c>
      <c r="BJ506" s="10" t="str">
        <f>IF(BI506&gt;=AW506,"CUMPLE","NO CUMPLE")</f>
        <v>CUMPLE</v>
      </c>
    </row>
    <row r="507">
      <c r="A507" s="26" t="inlineStr">
        <is>
          <t>VR3</t>
        </is>
      </c>
      <c r="B507" s="26" t="inlineStr">
        <is>
          <t>224</t>
        </is>
      </c>
      <c r="C507" s="10" t="n">
        <v>1</v>
      </c>
      <c r="D507" s="10" t="n">
        <v>2</v>
      </c>
      <c r="E507" s="10" t="n">
        <v>2</v>
      </c>
      <c r="F507" s="10" t="n">
        <v>500</v>
      </c>
      <c r="G507" s="10" t="n">
        <v>550</v>
      </c>
      <c r="H507" s="17" t="n">
        <v>500</v>
      </c>
      <c r="I507" s="17" t="n">
        <v>550</v>
      </c>
      <c r="J507" s="30" t="n">
        <v>278.3234</v>
      </c>
      <c r="K507" s="10" t="inlineStr">
        <is>
          <t>224</t>
        </is>
      </c>
      <c r="L507" s="30" t="n">
        <v>119.5688</v>
      </c>
      <c r="M507" s="10" t="inlineStr">
        <is>
          <t>224</t>
        </is>
      </c>
      <c r="N507" s="30" t="n">
        <v>209.788</v>
      </c>
      <c r="O507" s="30" t="n">
        <v>358.636</v>
      </c>
      <c r="P507" s="10" t="inlineStr">
        <is>
          <t>224</t>
        </is>
      </c>
      <c r="Q507" s="30" t="n">
        <v>9.3028</v>
      </c>
      <c r="R507" s="10">
        <f>MAX(MAX(1.4/'Parametros'!$B$3,0.25*SQRT('Parametros'!$B$2)/'Parametros'!$B$3)*H507*U507,(0.85*'Parametros'!$B$2/'Parametros'!$B$3)*(1-SQRT(1-2*(J507*1000000/('Parametros'!$B$5*H507*U507^2))/(0.85*'Parametros'!$B$2)))*H507*U507)</f>
        <v>1596.58557872682</v>
      </c>
      <c r="S507" s="31" t="n">
        <v>9</v>
      </c>
      <c r="T507" s="32" t="n">
        <v>1</v>
      </c>
      <c r="U507" s="10">
        <f>IF(T507=1,I507-('Parametros'!$B$7+'Parametros'!$B$9+'Parametros'!$B$12/2),I507-(ROUNDUP(S507/2,0)*('Parametros'!$B$7+'Parametros'!$B$9+'Parametros'!$B$12/2)+ROUNDDOWN(S507/2,0)*('Parametros'!$B$7+'Parametros'!$B$9+'Parametros'!$B$12/2+'Parametros'!$B$12+'Parametros'!$B$10))/S507)</f>
        <v>489.35</v>
      </c>
      <c r="V507" s="10">
        <f>S507*'Parametros'!$B$8</f>
        <v>1791</v>
      </c>
      <c r="W507" s="10">
        <f>'Parametros'!$B$5*V507*'Parametros'!$B$3*(U507-(V507*'Parametros'!$B$3/(0.85*'Parametros'!$B$2*H507))/2)/1000000</f>
        <v>309.891852158824</v>
      </c>
      <c r="X507" s="10" t="str">
        <f>IF(W507&gt;=J507,"CUMPLE","NO CUMPLE")</f>
        <v>CUMPLE</v>
      </c>
      <c r="Y507" s="10">
        <f>MAX(MAX(1.4/'Parametros'!$B$3,0.25*SQRT('Parametros'!$B$2)/'Parametros'!$B$3)*H507*AB507,(0.85*'Parametros'!$B$2/'Parametros'!$B$3)*(1-SQRT(1-2*(L507*1000000/('Parametros'!$B$5*H507*AB507^2))/(0.85*'Parametros'!$B$2)))*H507*AB507)</f>
        <v>815.583333333333</v>
      </c>
      <c r="Z507" s="31" t="n">
        <v>5</v>
      </c>
      <c r="AA507" s="32" t="n">
        <v>1</v>
      </c>
      <c r="AB507" s="10">
        <f>IF(AA507=1,I507-('Parametros'!$B$7+'Parametros'!$B$9+'Parametros'!$B$12/2),I507-(ROUNDUP(Z507/2,0)*('Parametros'!$B$7+'Parametros'!$B$9+'Parametros'!$B$12/2)+ROUNDDOWN(Z507/2,0)*('Parametros'!$B$7+'Parametros'!$B$9+'Parametros'!$B$12/2+'Parametros'!$B$12+'Parametros'!$B$10))/Z507)</f>
        <v>489.35</v>
      </c>
      <c r="AC507" s="10">
        <f>Z507*'Parametros'!$B$8</f>
        <v>995</v>
      </c>
      <c r="AD507" s="10">
        <f>'Parametros'!$B$5*AC507*'Parametros'!$B$3*(AB507-(AC507*'Parametros'!$B$3/(0.85*'Parametros'!$B$2*H507))/2)/1000000</f>
        <v>177.445379382353</v>
      </c>
      <c r="AE507" s="10" t="str">
        <f>IF(AD507&gt;=L507,"CUMPLE","NO CUMPLE")</f>
        <v>CUMPLE</v>
      </c>
      <c r="AF507" s="10">
        <f>V507*1.25*'Parametros'!$B$3*(U507-(V507*1.25*'Parametros'!$B$3/(0.85*'Parametros'!$B$2*H507))/2)/1000000</f>
        <v>422.975794963235</v>
      </c>
      <c r="AG507" s="10">
        <f>AC507*1.25*'Parametros'!$B$3*(AB507-(AC507*1.25*'Parametros'!$B$3/(0.85*'Parametros'!$B$2*H507))/2)/1000000</f>
        <v>244.158843198529</v>
      </c>
      <c r="AH507" s="10">
        <f>N507+(AF507+AG507)/D507</f>
        <v>543.355319080882</v>
      </c>
      <c r="AI507" s="10">
        <f>MAX(O507,AH507)</f>
        <v>543.355319080882</v>
      </c>
      <c r="AJ507" s="10">
        <f>0.17*SQRT('Parametros'!$B$2)*H507*MIN(U507,AB507)/1000</f>
        <v>220.098728691808</v>
      </c>
      <c r="AK507" s="10">
        <f>MAX(AI507/'Parametros'!$B$6-AJ507,0)</f>
        <v>504.375030082702</v>
      </c>
      <c r="AL507" s="10">
        <f>0.66*SQRT('Parametros'!$B$2)*H507*MIN(U507,AB507)/1000</f>
        <v>854.500946685842</v>
      </c>
      <c r="AM507" s="10" t="str">
        <f>IF(AK507&lt;=AL507,"CUMPLE","NO CUMPLE")</f>
        <v>CUMPLE</v>
      </c>
      <c r="AN507" s="17" t="inlineStr">
        <is>
          <t>Nº4 cerrado</t>
        </is>
      </c>
      <c r="AO507" s="31" t="n">
        <v>2</v>
      </c>
      <c r="AP507" s="10">
        <f>ROUNDDOWN(MIN(IF(BC507+BD507=0,1000000000,AO507*BB507/(BC507+BD507)),MIN(U507,AB507)/4,8*'Parametros'!$B$12,24*BA507,300,IF(AV507=0,1000000000,2*((H507-2*('Parametros'!$B$7+'Parametros'!$B$9/2))+(I507-2*('Parametros'!$B$7+'Parametros'!$B$9/2)))/8))/10,0)*10</f>
        <v>100</v>
      </c>
      <c r="AQ507" s="10">
        <f>ROUNDDOWN(MIN(IF(BC507+BD507=0,1000000000,AO507*BB507/(BC507+BD507)),IF(AK507&gt;0.33*SQRT('Parametros'!$B$2)*H507*MIN(U507,AB507)/1000,MIN(U507,AB507)/4,MIN(U507,AB507)/2),600,IF(AV507=0,1000000000,2*((H507-2*('Parametros'!$B$7+'Parametros'!$B$9/2))+(I507-2*('Parametros'!$B$7+'Parametros'!$B$9/2)))/8))/10,0)*10</f>
        <v>100</v>
      </c>
      <c r="AR507" s="10">
        <f>'Parametros'!$B$6*(AJ507+MAX(BE507-BD507,0)*'Parametros'!$B$4*MIN(U507,AB507)/1000)</f>
        <v>562.768791518856</v>
      </c>
      <c r="AS507" s="10" t="str">
        <f>IF(AND(ISERROR(SEARCH("referencia",AN507)),AM507="CUMPLE",AR507&gt;=AI507),"CUMPLE","NO CUMPLE")</f>
        <v>CUMPLE</v>
      </c>
      <c r="AT507" s="10">
        <f>'Parametros'!$B$6*0.083*SQRT('Parametros'!$B$2)*(H507*I507)^2/(2*(H507+I507))/1000000</f>
        <v>11.862178757599</v>
      </c>
      <c r="AU507" s="10" t="str">
        <f>IF(Q507&lt;=AT507,"DESPRECIABLE","DISEÑAR")</f>
        <v>DESPRECIABLE</v>
      </c>
      <c r="AV507" s="10">
        <f>IF(Q507&lt;=AT507,0,Q507*1000000/('Parametros'!$B$6*2*0.85*(H507-2*('Parametros'!$B$7+'Parametros'!$B$9/2))*(I507-2*('Parametros'!$B$7+'Parametros'!$B$9/2))*'Parametros'!$B$4))</f>
        <v>0</v>
      </c>
      <c r="AW507" s="10">
        <f>AV507*2*((H507-2*('Parametros'!$B$7+'Parametros'!$B$9/2))+(I507-2*('Parametros'!$B$7+'Parametros'!$B$9/2)))*'Parametros'!$B$4/'Parametros'!$B$3</f>
        <v>0</v>
      </c>
      <c r="AX507" s="31" t="n">
        <v>0</v>
      </c>
      <c r="AY507" s="10" t="str">
        <f>IF(AV507=0,"DESPRECIABLE",IF(AND(ISERROR(SEARCH("referencia",AN507)),BB507/AP507&gt;=AV507,BI507&gt;=AW507,BH507="CUMPLE"),"CUMPLE","NO CUMPLE"))</f>
        <v>DESPRECIABLE</v>
      </c>
      <c r="AZ507" s="10" t="str">
        <f>IF(AND(X507="CUMPLE",AE507="CUMPLE",AS507="CUMPLE",OR(AY507="CUMPLE",AY507="DESPRECIABLE"),BH507="CUMPLE",BJ507="CUMPLE"),"CUMPLE","NO CUMPLE")</f>
        <v>CUMPLE</v>
      </c>
      <c r="BA507" s="32" t="n">
        <v>12.7</v>
      </c>
      <c r="BB507" s="32" t="n">
        <v>129</v>
      </c>
      <c r="BC507" s="10">
        <f>MAX(IF(AK507=0,0,AK507*1000/('Parametros'!$B$4*MIN(U507,AB507))),MAX(0.062*SQRT('Parametros'!$B$2)*H507/'Parametros'!$B$4,0.35*H507/'Parametros'!$B$4))</f>
        <v>2.45405727754846</v>
      </c>
      <c r="BD507" s="10">
        <f>2*AV507</f>
        <v>0</v>
      </c>
      <c r="BE507" s="10">
        <f>AO507*BB507/AP507</f>
        <v>2.58</v>
      </c>
      <c r="BF507" s="10">
        <f>SQRT((AI507*1000/(H507*MIN(U507,AB507)))^2+(Q507*1000000*2*((H507-2*('Parametros'!$B$7+'Parametros'!$B$9/2))+(I507-2*('Parametros'!$B$7+'Parametros'!$B$9/2)))/(1.7*((H507-2*('Parametros'!$B$7+'Parametros'!$B$9/2))*(I507-2*('Parametros'!$B$7+'Parametros'!$B$9/2)))^2))^2)</f>
        <v>2.23741067640336</v>
      </c>
      <c r="BG507" s="10">
        <f>'Parametros'!$B$6*(AJ507*1000/(H507*MIN(U507,AB507))+0.66*SQRT('Parametros'!$B$2))</f>
        <v>3.29396038227542</v>
      </c>
      <c r="BH507" s="10" t="str">
        <f>IF(BF507&lt;=BG507,"CUMPLE","NO CUMPLE")</f>
        <v>CUMPLE</v>
      </c>
      <c r="BI507" s="10">
        <f>AX507*'Parametros'!$B$8</f>
        <v>0</v>
      </c>
      <c r="BJ507" s="10" t="str">
        <f>IF(BI507&gt;=AW507,"CUMPLE","NO CUMPLE")</f>
        <v>CUMPLE</v>
      </c>
    </row>
    <row r="508">
      <c r="A508" s="26" t="inlineStr">
        <is>
          <t>VR3</t>
        </is>
      </c>
      <c r="B508" s="26" t="inlineStr">
        <is>
          <t>225</t>
        </is>
      </c>
      <c r="C508" s="10" t="n">
        <v>1</v>
      </c>
      <c r="D508" s="10" t="n">
        <v>1.9</v>
      </c>
      <c r="E508" s="10" t="n">
        <v>1.9</v>
      </c>
      <c r="F508" s="10" t="n">
        <v>500</v>
      </c>
      <c r="G508" s="10" t="n">
        <v>550</v>
      </c>
      <c r="H508" s="17" t="n">
        <v>500</v>
      </c>
      <c r="I508" s="17" t="n">
        <v>550</v>
      </c>
      <c r="J508" s="30" t="n">
        <v>180.7503</v>
      </c>
      <c r="K508" s="10" t="inlineStr">
        <is>
          <t>225</t>
        </is>
      </c>
      <c r="L508" s="30" t="n">
        <v>119.429</v>
      </c>
      <c r="M508" s="10" t="inlineStr">
        <is>
          <t>225</t>
        </is>
      </c>
      <c r="N508" s="30" t="n">
        <v>153.815</v>
      </c>
      <c r="O508" s="30" t="n">
        <v>595.573</v>
      </c>
      <c r="P508" s="10" t="inlineStr">
        <is>
          <t>225</t>
        </is>
      </c>
      <c r="Q508" s="30" t="n">
        <v>0.404</v>
      </c>
      <c r="R508" s="10">
        <f>MAX(MAX(1.4/'Parametros'!$B$3,0.25*SQRT('Parametros'!$B$2)/'Parametros'!$B$3)*H508*U508,(0.85*'Parametros'!$B$2/'Parametros'!$B$3)*(1-SQRT(1-2*(J508*1000000/('Parametros'!$B$5*H508*U508^2))/(0.85*'Parametros'!$B$2)))*H508*U508)</f>
        <v>1014.26266177239</v>
      </c>
      <c r="S508" s="31" t="n">
        <v>6</v>
      </c>
      <c r="T508" s="32" t="n">
        <v>1</v>
      </c>
      <c r="U508" s="10">
        <f>IF(T508=1,I508-('Parametros'!$B$7+'Parametros'!$B$9+'Parametros'!$B$12/2),I508-(ROUNDUP(S508/2,0)*('Parametros'!$B$7+'Parametros'!$B$9+'Parametros'!$B$12/2)+ROUNDDOWN(S508/2,0)*('Parametros'!$B$7+'Parametros'!$B$9+'Parametros'!$B$12/2+'Parametros'!$B$12+'Parametros'!$B$10))/S508)</f>
        <v>489.35</v>
      </c>
      <c r="V508" s="10">
        <f>S508*'Parametros'!$B$8</f>
        <v>1194</v>
      </c>
      <c r="W508" s="10">
        <f>'Parametros'!$B$5*V508*'Parametros'!$B$3*(U508-(V508*'Parametros'!$B$3/(0.85*'Parametros'!$B$2*H508))/2)/1000000</f>
        <v>211.349483470588</v>
      </c>
      <c r="X508" s="10" t="str">
        <f>IF(W508&gt;=J508,"CUMPLE","NO CUMPLE")</f>
        <v>CUMPLE</v>
      </c>
      <c r="Y508" s="10">
        <f>MAX(MAX(1.4/'Parametros'!$B$3,0.25*SQRT('Parametros'!$B$2)/'Parametros'!$B$3)*H508*AB508,(0.85*'Parametros'!$B$2/'Parametros'!$B$3)*(1-SQRT(1-2*(L508*1000000/('Parametros'!$B$5*H508*AB508^2))/(0.85*'Parametros'!$B$2)))*H508*AB508)</f>
        <v>815.583333333333</v>
      </c>
      <c r="Z508" s="31" t="n">
        <v>5</v>
      </c>
      <c r="AA508" s="32" t="n">
        <v>1</v>
      </c>
      <c r="AB508" s="10">
        <f>IF(AA508=1,I508-('Parametros'!$B$7+'Parametros'!$B$9+'Parametros'!$B$12/2),I508-(ROUNDUP(Z508/2,0)*('Parametros'!$B$7+'Parametros'!$B$9+'Parametros'!$B$12/2)+ROUNDDOWN(Z508/2,0)*('Parametros'!$B$7+'Parametros'!$B$9+'Parametros'!$B$12/2+'Parametros'!$B$12+'Parametros'!$B$10))/Z508)</f>
        <v>489.35</v>
      </c>
      <c r="AC508" s="10">
        <f>Z508*'Parametros'!$B$8</f>
        <v>995</v>
      </c>
      <c r="AD508" s="10">
        <f>'Parametros'!$B$5*AC508*'Parametros'!$B$3*(AB508-(AC508*'Parametros'!$B$3/(0.85*'Parametros'!$B$2*H508))/2)/1000000</f>
        <v>177.445379382353</v>
      </c>
      <c r="AE508" s="10" t="str">
        <f>IF(AD508&gt;=L508,"CUMPLE","NO CUMPLE")</f>
        <v>CUMPLE</v>
      </c>
      <c r="AF508" s="10">
        <f>V508*1.25*'Parametros'!$B$3*(U508-(V508*1.25*'Parametros'!$B$3/(0.85*'Parametros'!$B$2*H508))/2)/1000000</f>
        <v>290.238924705882</v>
      </c>
      <c r="AG508" s="10">
        <f>AC508*1.25*'Parametros'!$B$3*(AB508-(AC508*1.25*'Parametros'!$B$3/(0.85*'Parametros'!$B$2*H508))/2)/1000000</f>
        <v>244.158843198529</v>
      </c>
      <c r="AH508" s="10">
        <f>N508+(AF508+AG508)/D508</f>
        <v>435.076983107585</v>
      </c>
      <c r="AI508" s="10">
        <f>MAX(O508,AH508)</f>
        <v>595.573</v>
      </c>
      <c r="AJ508" s="10">
        <f>0.17*SQRT('Parametros'!$B$2)*H508*MIN(U508,AB508)/1000</f>
        <v>220.098728691808</v>
      </c>
      <c r="AK508" s="10">
        <f>MAX(AI508/'Parametros'!$B$6-AJ508,0)</f>
        <v>573.998604641526</v>
      </c>
      <c r="AL508" s="10">
        <f>0.66*SQRT('Parametros'!$B$2)*H508*MIN(U508,AB508)/1000</f>
        <v>854.500946685842</v>
      </c>
      <c r="AM508" s="10" t="str">
        <f>IF(AK508&lt;=AL508,"CUMPLE","NO CUMPLE")</f>
        <v>CUMPLE</v>
      </c>
      <c r="AN508" s="17" t="inlineStr">
        <is>
          <t>Nº4 cerrado</t>
        </is>
      </c>
      <c r="AO508" s="31" t="n">
        <v>2</v>
      </c>
      <c r="AP508" s="10">
        <f>ROUNDDOWN(MIN(IF(BC508+BD508=0,1000000000,AO508*BB508/(BC508+BD508)),MIN(U508,AB508)/4,8*'Parametros'!$B$12,24*BA508,300,IF(AV508=0,1000000000,2*((H508-2*('Parametros'!$B$7+'Parametros'!$B$9/2))+(I508-2*('Parametros'!$B$7+'Parametros'!$B$9/2)))/8))/10,0)*10</f>
        <v>90</v>
      </c>
      <c r="AQ508" s="10">
        <f>ROUNDDOWN(MIN(IF(BC508+BD508=0,1000000000,AO508*BB508/(BC508+BD508)),IF(AK508&gt;0.33*SQRT('Parametros'!$B$2)*H508*MIN(U508,AB508)/1000,MIN(U508,AB508)/4,MIN(U508,AB508)/2),600,IF(AV508=0,1000000000,2*((H508-2*('Parametros'!$B$7+'Parametros'!$B$9/2))+(I508-2*('Parametros'!$B$7+'Parametros'!$B$9/2)))/8))/10,0)*10</f>
        <v>90</v>
      </c>
      <c r="AR508" s="10">
        <f>'Parametros'!$B$6*(AJ508+MAX(BE508-BD508,0)*'Parametros'!$B$4*MIN(U508,AB508)/1000)</f>
        <v>606.957096518856</v>
      </c>
      <c r="AS508" s="10" t="str">
        <f>IF(AND(ISERROR(SEARCH("referencia",AN508)),AM508="CUMPLE",AR508&gt;=AI508),"CUMPLE","NO CUMPLE")</f>
        <v>CUMPLE</v>
      </c>
      <c r="AT508" s="10">
        <f>'Parametros'!$B$6*0.083*SQRT('Parametros'!$B$2)*(H508*I508)^2/(2*(H508+I508))/1000000</f>
        <v>11.862178757599</v>
      </c>
      <c r="AU508" s="10" t="str">
        <f>IF(Q508&lt;=AT508,"DESPRECIABLE","DISEÑAR")</f>
        <v>DESPRECIABLE</v>
      </c>
      <c r="AV508" s="10">
        <f>IF(Q508&lt;=AT508,0,Q508*1000000/('Parametros'!$B$6*2*0.85*(H508-2*('Parametros'!$B$7+'Parametros'!$B$9/2))*(I508-2*('Parametros'!$B$7+'Parametros'!$B$9/2))*'Parametros'!$B$4))</f>
        <v>0</v>
      </c>
      <c r="AW508" s="10">
        <f>AV508*2*((H508-2*('Parametros'!$B$7+'Parametros'!$B$9/2))+(I508-2*('Parametros'!$B$7+'Parametros'!$B$9/2)))*'Parametros'!$B$4/'Parametros'!$B$3</f>
        <v>0</v>
      </c>
      <c r="AX508" s="31" t="n">
        <v>0</v>
      </c>
      <c r="AY508" s="10" t="str">
        <f>IF(AV508=0,"DESPRECIABLE",IF(AND(ISERROR(SEARCH("referencia",AN508)),BB508/AP508&gt;=AV508,BI508&gt;=AW508,BH508="CUMPLE"),"CUMPLE","NO CUMPLE"))</f>
        <v>DESPRECIABLE</v>
      </c>
      <c r="AZ508" s="10" t="str">
        <f>IF(AND(X508="CUMPLE",AE508="CUMPLE",AS508="CUMPLE",OR(AY508="CUMPLE",AY508="DESPRECIABLE"),BH508="CUMPLE",BJ508="CUMPLE"),"CUMPLE","NO CUMPLE")</f>
        <v>CUMPLE</v>
      </c>
      <c r="BA508" s="32" t="n">
        <v>12.7</v>
      </c>
      <c r="BB508" s="32" t="n">
        <v>129</v>
      </c>
      <c r="BC508" s="10">
        <f>MAX(IF(AK508=0,0,AK508*1000/('Parametros'!$B$4*MIN(U508,AB508))),MAX(0.062*SQRT('Parametros'!$B$2)*H508/'Parametros'!$B$4,0.35*H508/'Parametros'!$B$4))</f>
        <v>2.79281361885069</v>
      </c>
      <c r="BD508" s="10">
        <f>2*AV508</f>
        <v>0</v>
      </c>
      <c r="BE508" s="10">
        <f>AO508*BB508/AP508</f>
        <v>2.86666666666667</v>
      </c>
      <c r="BF508" s="10">
        <f>SQRT((AI508*1000/(H508*MIN(U508,AB508)))^2+(Q508*1000000*2*((H508-2*('Parametros'!$B$7+'Parametros'!$B$9/2))+(I508-2*('Parametros'!$B$7+'Parametros'!$B$9/2)))/(1.7*((H508-2*('Parametros'!$B$7+'Parametros'!$B$9/2))*(I508-2*('Parametros'!$B$7+'Parametros'!$B$9/2)))^2))^2)</f>
        <v>2.43416798558756</v>
      </c>
      <c r="BG508" s="10">
        <f>'Parametros'!$B$6*(AJ508*1000/(H508*MIN(U508,AB508))+0.66*SQRT('Parametros'!$B$2))</f>
        <v>3.29396038227542</v>
      </c>
      <c r="BH508" s="10" t="str">
        <f>IF(BF508&lt;=BG508,"CUMPLE","NO CUMPLE")</f>
        <v>CUMPLE</v>
      </c>
      <c r="BI508" s="10">
        <f>AX508*'Parametros'!$B$8</f>
        <v>0</v>
      </c>
      <c r="BJ508" s="10" t="str">
        <f>IF(BI508&gt;=AW508,"CUMPLE","NO CUMPLE")</f>
        <v>CUMPLE</v>
      </c>
    </row>
    <row r="509">
      <c r="A509" s="26" t="inlineStr">
        <is>
          <t>VR3</t>
        </is>
      </c>
      <c r="B509" s="26" t="inlineStr">
        <is>
          <t>226</t>
        </is>
      </c>
      <c r="C509" s="10" t="n">
        <v>1</v>
      </c>
      <c r="D509" s="10" t="n">
        <v>3.4</v>
      </c>
      <c r="E509" s="10" t="n">
        <v>3.4</v>
      </c>
      <c r="F509" s="10" t="n">
        <v>500</v>
      </c>
      <c r="G509" s="10" t="n">
        <v>550</v>
      </c>
      <c r="H509" s="17" t="n">
        <v>500</v>
      </c>
      <c r="I509" s="17" t="n">
        <v>550</v>
      </c>
      <c r="J509" s="30" t="n">
        <v>194.5089</v>
      </c>
      <c r="K509" s="10" t="inlineStr">
        <is>
          <t>226</t>
        </is>
      </c>
      <c r="L509" s="30" t="n">
        <v>119.1239</v>
      </c>
      <c r="M509" s="10" t="inlineStr">
        <is>
          <t>226</t>
        </is>
      </c>
      <c r="N509" s="30" t="n">
        <v>137.999</v>
      </c>
      <c r="O509" s="30" t="n">
        <v>394.967</v>
      </c>
      <c r="P509" s="10" t="inlineStr">
        <is>
          <t>226</t>
        </is>
      </c>
      <c r="Q509" s="30" t="n">
        <v>7.9368</v>
      </c>
      <c r="R509" s="10">
        <f>MAX(MAX(1.4/'Parametros'!$B$3,0.25*SQRT('Parametros'!$B$2)/'Parametros'!$B$3)*H509*U509,(0.85*'Parametros'!$B$2/'Parametros'!$B$3)*(1-SQRT(1-2*(J509*1000000/('Parametros'!$B$5*H509*U509^2))/(0.85*'Parametros'!$B$2)))*H509*U509)</f>
        <v>1094.76664272691</v>
      </c>
      <c r="S509" s="31" t="n">
        <v>6</v>
      </c>
      <c r="T509" s="32" t="n">
        <v>1</v>
      </c>
      <c r="U509" s="10">
        <f>IF(T509=1,I509-('Parametros'!$B$7+'Parametros'!$B$9+'Parametros'!$B$12/2),I509-(ROUNDUP(S509/2,0)*('Parametros'!$B$7+'Parametros'!$B$9+'Parametros'!$B$12/2)+ROUNDDOWN(S509/2,0)*('Parametros'!$B$7+'Parametros'!$B$9+'Parametros'!$B$12/2+'Parametros'!$B$12+'Parametros'!$B$10))/S509)</f>
        <v>489.35</v>
      </c>
      <c r="V509" s="10">
        <f>S509*'Parametros'!$B$8</f>
        <v>1194</v>
      </c>
      <c r="W509" s="10">
        <f>'Parametros'!$B$5*V509*'Parametros'!$B$3*(U509-(V509*'Parametros'!$B$3/(0.85*'Parametros'!$B$2*H509))/2)/1000000</f>
        <v>211.349483470588</v>
      </c>
      <c r="X509" s="10" t="str">
        <f>IF(W509&gt;=J509,"CUMPLE","NO CUMPLE")</f>
        <v>CUMPLE</v>
      </c>
      <c r="Y509" s="10">
        <f>MAX(MAX(1.4/'Parametros'!$B$3,0.25*SQRT('Parametros'!$B$2)/'Parametros'!$B$3)*H509*AB509,(0.85*'Parametros'!$B$2/'Parametros'!$B$3)*(1-SQRT(1-2*(L509*1000000/('Parametros'!$B$5*H509*AB509^2))/(0.85*'Parametros'!$B$2)))*H509*AB509)</f>
        <v>815.583333333333</v>
      </c>
      <c r="Z509" s="31" t="n">
        <v>5</v>
      </c>
      <c r="AA509" s="32" t="n">
        <v>1</v>
      </c>
      <c r="AB509" s="10">
        <f>IF(AA509=1,I509-('Parametros'!$B$7+'Parametros'!$B$9+'Parametros'!$B$12/2),I509-(ROUNDUP(Z509/2,0)*('Parametros'!$B$7+'Parametros'!$B$9+'Parametros'!$B$12/2)+ROUNDDOWN(Z509/2,0)*('Parametros'!$B$7+'Parametros'!$B$9+'Parametros'!$B$12/2+'Parametros'!$B$12+'Parametros'!$B$10))/Z509)</f>
        <v>489.35</v>
      </c>
      <c r="AC509" s="10">
        <f>Z509*'Parametros'!$B$8</f>
        <v>995</v>
      </c>
      <c r="AD509" s="10">
        <f>'Parametros'!$B$5*AC509*'Parametros'!$B$3*(AB509-(AC509*'Parametros'!$B$3/(0.85*'Parametros'!$B$2*H509))/2)/1000000</f>
        <v>177.445379382353</v>
      </c>
      <c r="AE509" s="10" t="str">
        <f>IF(AD509&gt;=L509,"CUMPLE","NO CUMPLE")</f>
        <v>CUMPLE</v>
      </c>
      <c r="AF509" s="10">
        <f>V509*1.25*'Parametros'!$B$3*(U509-(V509*1.25*'Parametros'!$B$3/(0.85*'Parametros'!$B$2*H509))/2)/1000000</f>
        <v>290.238924705882</v>
      </c>
      <c r="AG509" s="10">
        <f>AC509*1.25*'Parametros'!$B$3*(AB509-(AC509*1.25*'Parametros'!$B$3/(0.85*'Parametros'!$B$2*H509))/2)/1000000</f>
        <v>244.158843198529</v>
      </c>
      <c r="AH509" s="10">
        <f>N509+(AF509+AG509)/D509</f>
        <v>295.174814089533</v>
      </c>
      <c r="AI509" s="10">
        <f>MAX(O509,AH509)</f>
        <v>394.967</v>
      </c>
      <c r="AJ509" s="10">
        <f>0.17*SQRT('Parametros'!$B$2)*H509*MIN(U509,AB509)/1000</f>
        <v>220.098728691808</v>
      </c>
      <c r="AK509" s="10">
        <f>MAX(AI509/'Parametros'!$B$6-AJ509,0)</f>
        <v>306.523937974859</v>
      </c>
      <c r="AL509" s="10">
        <f>0.66*SQRT('Parametros'!$B$2)*H509*MIN(U509,AB509)/1000</f>
        <v>854.500946685842</v>
      </c>
      <c r="AM509" s="10" t="str">
        <f>IF(AK509&lt;=AL509,"CUMPLE","NO CUMPLE")</f>
        <v>CUMPLE</v>
      </c>
      <c r="AN509" s="17" t="inlineStr">
        <is>
          <t>Nº3 cerrado</t>
        </is>
      </c>
      <c r="AO509" s="31" t="n">
        <v>2</v>
      </c>
      <c r="AP509" s="10">
        <f>ROUNDDOWN(MIN(IF(BC509+BD509=0,1000000000,AO509*BB509/(BC509+BD509)),MIN(U509,AB509)/4,8*'Parametros'!$B$12,24*BA509,300,IF(AV509=0,1000000000,2*((H509-2*('Parametros'!$B$7+'Parametros'!$B$9/2))+(I509-2*('Parametros'!$B$7+'Parametros'!$B$9/2)))/8))/10,0)*10</f>
        <v>90</v>
      </c>
      <c r="AQ509" s="10">
        <f>ROUNDDOWN(MIN(IF(BC509+BD509=0,1000000000,AO509*BB509/(BC509+BD509)),IF(AK509&gt;0.33*SQRT('Parametros'!$B$2)*H509*MIN(U509,AB509)/1000,MIN(U509,AB509)/4,MIN(U509,AB509)/2),600,IF(AV509=0,1000000000,2*((H509-2*('Parametros'!$B$7+'Parametros'!$B$9/2))+(I509-2*('Parametros'!$B$7+'Parametros'!$B$9/2)))/8))/10,0)*10</f>
        <v>90</v>
      </c>
      <c r="AR509" s="10">
        <f>'Parametros'!$B$6*(AJ509+MAX(BE509-BD509,0)*'Parametros'!$B$4*MIN(U509,AB509)/1000)</f>
        <v>408.280996518856</v>
      </c>
      <c r="AS509" s="10" t="str">
        <f>IF(AND(ISERROR(SEARCH("referencia",AN509)),AM509="CUMPLE",AR509&gt;=AI509),"CUMPLE","NO CUMPLE")</f>
        <v>CUMPLE</v>
      </c>
      <c r="AT509" s="10">
        <f>'Parametros'!$B$6*0.083*SQRT('Parametros'!$B$2)*(H509*I509)^2/(2*(H509+I509))/1000000</f>
        <v>11.862178757599</v>
      </c>
      <c r="AU509" s="10" t="str">
        <f>IF(Q509&lt;=AT509,"DESPRECIABLE","DISEÑAR")</f>
        <v>DESPRECIABLE</v>
      </c>
      <c r="AV509" s="10">
        <f>IF(Q509&lt;=AT509,0,Q509*1000000/('Parametros'!$B$6*2*0.85*(H509-2*('Parametros'!$B$7+'Parametros'!$B$9/2))*(I509-2*('Parametros'!$B$7+'Parametros'!$B$9/2))*'Parametros'!$B$4))</f>
        <v>0</v>
      </c>
      <c r="AW509" s="10">
        <f>AV509*2*((H509-2*('Parametros'!$B$7+'Parametros'!$B$9/2))+(I509-2*('Parametros'!$B$7+'Parametros'!$B$9/2)))*'Parametros'!$B$4/'Parametros'!$B$3</f>
        <v>0</v>
      </c>
      <c r="AX509" s="31" t="n">
        <v>0</v>
      </c>
      <c r="AY509" s="10" t="str">
        <f>IF(AV509=0,"DESPRECIABLE",IF(AND(ISERROR(SEARCH("referencia",AN509)),BB509/AP509&gt;=AV509,BI509&gt;=AW509,BH509="CUMPLE"),"CUMPLE","NO CUMPLE"))</f>
        <v>DESPRECIABLE</v>
      </c>
      <c r="AZ509" s="10" t="str">
        <f>IF(AND(X509="CUMPLE",AE509="CUMPLE",AS509="CUMPLE",OR(AY509="CUMPLE",AY509="DESPRECIABLE"),BH509="CUMPLE",BJ509="CUMPLE"),"CUMPLE","NO CUMPLE")</f>
        <v>CUMPLE</v>
      </c>
      <c r="BA509" s="32" t="n">
        <v>9.5</v>
      </c>
      <c r="BB509" s="32" t="n">
        <v>71</v>
      </c>
      <c r="BC509" s="10">
        <f>MAX(IF(AK509=0,0,AK509*1000/('Parametros'!$B$4*MIN(U509,AB509))),MAX(0.062*SQRT('Parametros'!$B$2)*H509/'Parametros'!$B$4,0.35*H509/'Parametros'!$B$4))</f>
        <v>1.49140472042534</v>
      </c>
      <c r="BD509" s="10">
        <f>2*AV509</f>
        <v>0</v>
      </c>
      <c r="BE509" s="10">
        <f>AO509*BB509/AP509</f>
        <v>1.57777777777778</v>
      </c>
      <c r="BF509" s="10">
        <f>SQRT((AI509*1000/(H509*MIN(U509,AB509)))^2+(Q509*1000000*2*((H509-2*('Parametros'!$B$7+'Parametros'!$B$9/2))+(I509-2*('Parametros'!$B$7+'Parametros'!$B$9/2)))/(1.7*((H509-2*('Parametros'!$B$7+'Parametros'!$B$9/2))*(I509-2*('Parametros'!$B$7+'Parametros'!$B$9/2)))^2))^2)</f>
        <v>1.63093865864158</v>
      </c>
      <c r="BG509" s="10">
        <f>'Parametros'!$B$6*(AJ509*1000/(H509*MIN(U509,AB509))+0.66*SQRT('Parametros'!$B$2))</f>
        <v>3.29396038227542</v>
      </c>
      <c r="BH509" s="10" t="str">
        <f>IF(BF509&lt;=BG509,"CUMPLE","NO CUMPLE")</f>
        <v>CUMPLE</v>
      </c>
      <c r="BI509" s="10">
        <f>AX509*'Parametros'!$B$8</f>
        <v>0</v>
      </c>
      <c r="BJ509" s="10" t="str">
        <f>IF(BI509&gt;=AW509,"CUMPLE","NO CUMPLE")</f>
        <v>CUMPLE</v>
      </c>
    </row>
    <row r="510">
      <c r="A510" s="26" t="inlineStr">
        <is>
          <t>VR3</t>
        </is>
      </c>
      <c r="B510" s="26" t="inlineStr">
        <is>
          <t>227</t>
        </is>
      </c>
      <c r="C510" s="10" t="n">
        <v>1</v>
      </c>
      <c r="D510" s="10" t="n">
        <v>2.2</v>
      </c>
      <c r="E510" s="10" t="n">
        <v>2.2</v>
      </c>
      <c r="F510" s="10" t="n">
        <v>500</v>
      </c>
      <c r="G510" s="10" t="n">
        <v>550</v>
      </c>
      <c r="H510" s="17" t="n">
        <v>500</v>
      </c>
      <c r="I510" s="17" t="n">
        <v>550</v>
      </c>
      <c r="J510" s="30" t="n">
        <v>159.05</v>
      </c>
      <c r="K510" s="10" t="inlineStr">
        <is>
          <t>227</t>
        </is>
      </c>
      <c r="L510" s="30" t="n">
        <v>66.6949</v>
      </c>
      <c r="M510" s="10" t="inlineStr">
        <is>
          <t>227</t>
        </is>
      </c>
      <c r="N510" s="30" t="n">
        <v>109.076</v>
      </c>
      <c r="O510" s="30" t="n">
        <v>255.724</v>
      </c>
      <c r="P510" s="10" t="inlineStr">
        <is>
          <t>227</t>
        </is>
      </c>
      <c r="Q510" s="30" t="n">
        <v>0.0041</v>
      </c>
      <c r="R510" s="10">
        <f>MAX(MAX(1.4/'Parametros'!$B$3,0.25*SQRT('Parametros'!$B$2)/'Parametros'!$B$3)*H510*U510,(0.85*'Parametros'!$B$2/'Parametros'!$B$3)*(1-SQRT(1-2*(J510*1000000/('Parametros'!$B$5*H510*U510^2))/(0.85*'Parametros'!$B$2)))*H510*U510)</f>
        <v>888.305408452782</v>
      </c>
      <c r="S510" s="31" t="n">
        <v>5</v>
      </c>
      <c r="T510" s="32" t="n">
        <v>1</v>
      </c>
      <c r="U510" s="10">
        <f>IF(T510=1,I510-('Parametros'!$B$7+'Parametros'!$B$9+'Parametros'!$B$12/2),I510-(ROUNDUP(S510/2,0)*('Parametros'!$B$7+'Parametros'!$B$9+'Parametros'!$B$12/2)+ROUNDDOWN(S510/2,0)*('Parametros'!$B$7+'Parametros'!$B$9+'Parametros'!$B$12/2+'Parametros'!$B$12+'Parametros'!$B$10))/S510)</f>
        <v>489.35</v>
      </c>
      <c r="V510" s="10">
        <f>S510*'Parametros'!$B$8</f>
        <v>995</v>
      </c>
      <c r="W510" s="10">
        <f>'Parametros'!$B$5*V510*'Parametros'!$B$3*(U510-(V510*'Parametros'!$B$3/(0.85*'Parametros'!$B$2*H510))/2)/1000000</f>
        <v>177.445379382353</v>
      </c>
      <c r="X510" s="10" t="str">
        <f>IF(W510&gt;=J510,"CUMPLE","NO CUMPLE")</f>
        <v>CUMPLE</v>
      </c>
      <c r="Y510" s="10">
        <f>MAX(MAX(1.4/'Parametros'!$B$3,0.25*SQRT('Parametros'!$B$2)/'Parametros'!$B$3)*H510*AB510,(0.85*'Parametros'!$B$2/'Parametros'!$B$3)*(1-SQRT(1-2*(L510*1000000/('Parametros'!$B$5*H510*AB510^2))/(0.85*'Parametros'!$B$2)))*H510*AB510)</f>
        <v>815.583333333333</v>
      </c>
      <c r="Z510" s="31" t="n">
        <v>5</v>
      </c>
      <c r="AA510" s="32" t="n">
        <v>1</v>
      </c>
      <c r="AB510" s="10">
        <f>IF(AA510=1,I510-('Parametros'!$B$7+'Parametros'!$B$9+'Parametros'!$B$12/2),I510-(ROUNDUP(Z510/2,0)*('Parametros'!$B$7+'Parametros'!$B$9+'Parametros'!$B$12/2)+ROUNDDOWN(Z510/2,0)*('Parametros'!$B$7+'Parametros'!$B$9+'Parametros'!$B$12/2+'Parametros'!$B$12+'Parametros'!$B$10))/Z510)</f>
        <v>489.35</v>
      </c>
      <c r="AC510" s="10">
        <f>Z510*'Parametros'!$B$8</f>
        <v>995</v>
      </c>
      <c r="AD510" s="10">
        <f>'Parametros'!$B$5*AC510*'Parametros'!$B$3*(AB510-(AC510*'Parametros'!$B$3/(0.85*'Parametros'!$B$2*H510))/2)/1000000</f>
        <v>177.445379382353</v>
      </c>
      <c r="AE510" s="10" t="str">
        <f>IF(AD510&gt;=L510,"CUMPLE","NO CUMPLE")</f>
        <v>CUMPLE</v>
      </c>
      <c r="AF510" s="10">
        <f>V510*1.25*'Parametros'!$B$3*(U510-(V510*1.25*'Parametros'!$B$3/(0.85*'Parametros'!$B$2*H510))/2)/1000000</f>
        <v>244.158843198529</v>
      </c>
      <c r="AG510" s="10">
        <f>AC510*1.25*'Parametros'!$B$3*(AB510-(AC510*1.25*'Parametros'!$B$3/(0.85*'Parametros'!$B$2*H510))/2)/1000000</f>
        <v>244.158843198529</v>
      </c>
      <c r="AH510" s="10">
        <f>N510+(AF510+AG510)/D510</f>
        <v>331.038584725936</v>
      </c>
      <c r="AI510" s="10">
        <f>MAX(O510,AH510)</f>
        <v>331.038584725936</v>
      </c>
      <c r="AJ510" s="10">
        <f>0.17*SQRT('Parametros'!$B$2)*H510*MIN(U510,AB510)/1000</f>
        <v>220.098728691808</v>
      </c>
      <c r="AK510" s="10">
        <f>MAX(AI510/'Parametros'!$B$6-AJ510,0)</f>
        <v>221.286050942773</v>
      </c>
      <c r="AL510" s="10">
        <f>0.66*SQRT('Parametros'!$B$2)*H510*MIN(U510,AB510)/1000</f>
        <v>854.500946685842</v>
      </c>
      <c r="AM510" s="10" t="str">
        <f>IF(AK510&lt;=AL510,"CUMPLE","NO CUMPLE")</f>
        <v>CUMPLE</v>
      </c>
      <c r="AN510" s="17" t="inlineStr">
        <is>
          <t>Nº3 cerrado</t>
        </is>
      </c>
      <c r="AO510" s="31" t="n">
        <v>2</v>
      </c>
      <c r="AP510" s="10">
        <f>ROUNDDOWN(MIN(IF(BC510+BD510=0,1000000000,AO510*BB510/(BC510+BD510)),MIN(U510,AB510)/4,8*'Parametros'!$B$12,24*BA510,300,IF(AV510=0,1000000000,2*((H510-2*('Parametros'!$B$7+'Parametros'!$B$9/2))+(I510-2*('Parametros'!$B$7+'Parametros'!$B$9/2)))/8))/10,0)*10</f>
        <v>120</v>
      </c>
      <c r="AQ510" s="10">
        <f>ROUNDDOWN(MIN(IF(BC510+BD510=0,1000000000,AO510*BB510/(BC510+BD510)),IF(AK510&gt;0.33*SQRT('Parametros'!$B$2)*H510*MIN(U510,AB510)/1000,MIN(U510,AB510)/4,MIN(U510,AB510)/2),600,IF(AV510=0,1000000000,2*((H510-2*('Parametros'!$B$7+'Parametros'!$B$9/2))+(I510-2*('Parametros'!$B$7+'Parametros'!$B$9/2)))/8))/10,0)*10</f>
        <v>130</v>
      </c>
      <c r="AR510" s="10">
        <f>'Parametros'!$B$6*(AJ510+MAX(BE510-BD510,0)*'Parametros'!$B$4*MIN(U510,AB510)/1000)</f>
        <v>347.479259018856</v>
      </c>
      <c r="AS510" s="10" t="str">
        <f>IF(AND(ISERROR(SEARCH("referencia",AN510)),AM510="CUMPLE",AR510&gt;=AI510),"CUMPLE","NO CUMPLE")</f>
        <v>CUMPLE</v>
      </c>
      <c r="AT510" s="10">
        <f>'Parametros'!$B$6*0.083*SQRT('Parametros'!$B$2)*(H510*I510)^2/(2*(H510+I510))/1000000</f>
        <v>11.862178757599</v>
      </c>
      <c r="AU510" s="10" t="str">
        <f>IF(Q510&lt;=AT510,"DESPRECIABLE","DISEÑAR")</f>
        <v>DESPRECIABLE</v>
      </c>
      <c r="AV510" s="10">
        <f>IF(Q510&lt;=AT510,0,Q510*1000000/('Parametros'!$B$6*2*0.85*(H510-2*('Parametros'!$B$7+'Parametros'!$B$9/2))*(I510-2*('Parametros'!$B$7+'Parametros'!$B$9/2))*'Parametros'!$B$4))</f>
        <v>0</v>
      </c>
      <c r="AW510" s="10">
        <f>AV510*2*((H510-2*('Parametros'!$B$7+'Parametros'!$B$9/2))+(I510-2*('Parametros'!$B$7+'Parametros'!$B$9/2)))*'Parametros'!$B$4/'Parametros'!$B$3</f>
        <v>0</v>
      </c>
      <c r="AX510" s="31" t="n">
        <v>0</v>
      </c>
      <c r="AY510" s="10" t="str">
        <f>IF(AV510=0,"DESPRECIABLE",IF(AND(ISERROR(SEARCH("referencia",AN510)),BB510/AP510&gt;=AV510,BI510&gt;=AW510,BH510="CUMPLE"),"CUMPLE","NO CUMPLE"))</f>
        <v>DESPRECIABLE</v>
      </c>
      <c r="AZ510" s="10" t="str">
        <f>IF(AND(X510="CUMPLE",AE510="CUMPLE",AS510="CUMPLE",OR(AY510="CUMPLE",AY510="DESPRECIABLE"),BH510="CUMPLE",BJ510="CUMPLE"),"CUMPLE","NO CUMPLE")</f>
        <v>CUMPLE</v>
      </c>
      <c r="BA510" s="32" t="n">
        <v>9.5</v>
      </c>
      <c r="BB510" s="32" t="n">
        <v>71</v>
      </c>
      <c r="BC510" s="10">
        <f>MAX(IF(AK510=0,0,AK510*1000/('Parametros'!$B$4*MIN(U510,AB510))),MAX(0.062*SQRT('Parametros'!$B$2)*H510/'Parametros'!$B$4,0.35*H510/'Parametros'!$B$4))</f>
        <v>1.07667630502451</v>
      </c>
      <c r="BD510" s="10">
        <f>2*AV510</f>
        <v>0</v>
      </c>
      <c r="BE510" s="10">
        <f>AO510*BB510/AP510</f>
        <v>1.18333333333333</v>
      </c>
      <c r="BF510" s="10">
        <f>SQRT((AI510*1000/(H510*MIN(U510,AB510)))^2+(Q510*1000000*2*((H510-2*('Parametros'!$B$7+'Parametros'!$B$9/2))+(I510-2*('Parametros'!$B$7+'Parametros'!$B$9/2)))/(1.7*((H510-2*('Parametros'!$B$7+'Parametros'!$B$9/2))*(I510-2*('Parametros'!$B$7+'Parametros'!$B$9/2)))^2))^2)</f>
        <v>1.35297266182738</v>
      </c>
      <c r="BG510" s="10">
        <f>'Parametros'!$B$6*(AJ510*1000/(H510*MIN(U510,AB510))+0.66*SQRT('Parametros'!$B$2))</f>
        <v>3.29396038227542</v>
      </c>
      <c r="BH510" s="10" t="str">
        <f>IF(BF510&lt;=BG510,"CUMPLE","NO CUMPLE")</f>
        <v>CUMPLE</v>
      </c>
      <c r="BI510" s="10">
        <f>AX510*'Parametros'!$B$8</f>
        <v>0</v>
      </c>
      <c r="BJ510" s="10" t="str">
        <f>IF(BI510&gt;=AW510,"CUMPLE","NO CUMPLE")</f>
        <v>CUMPLE</v>
      </c>
    </row>
    <row r="511">
      <c r="A511" s="26" t="inlineStr">
        <is>
          <t>VR3</t>
        </is>
      </c>
      <c r="B511" s="26" t="inlineStr">
        <is>
          <t>228</t>
        </is>
      </c>
      <c r="C511" s="10" t="n">
        <v>1</v>
      </c>
      <c r="D511" s="10" t="n">
        <v>2.1</v>
      </c>
      <c r="E511" s="10" t="n">
        <v>2.1</v>
      </c>
      <c r="F511" s="10" t="n">
        <v>500</v>
      </c>
      <c r="G511" s="10" t="n">
        <v>550</v>
      </c>
      <c r="H511" s="17" t="n">
        <v>500</v>
      </c>
      <c r="I511" s="17" t="n">
        <v>550</v>
      </c>
      <c r="J511" s="30" t="n">
        <v>158.8017</v>
      </c>
      <c r="K511" s="10" t="inlineStr">
        <is>
          <t>228</t>
        </is>
      </c>
      <c r="L511" s="30" t="n">
        <v>66.65770000000001</v>
      </c>
      <c r="M511" s="10" t="inlineStr">
        <is>
          <t>228</t>
        </is>
      </c>
      <c r="N511" s="30" t="n">
        <v>108.655</v>
      </c>
      <c r="O511" s="30" t="n">
        <v>255.02</v>
      </c>
      <c r="P511" s="10" t="inlineStr">
        <is>
          <t>228</t>
        </is>
      </c>
      <c r="Q511" s="30" t="n">
        <v>0.0041</v>
      </c>
      <c r="R511" s="10">
        <f>MAX(MAX(1.4/'Parametros'!$B$3,0.25*SQRT('Parametros'!$B$2)/'Parametros'!$B$3)*H511*U511,(0.85*'Parametros'!$B$2/'Parametros'!$B$3)*(1-SQRT(1-2*(J511*1000000/('Parametros'!$B$5*H511*U511^2))/(0.85*'Parametros'!$B$2)))*H511*U511)</f>
        <v>886.871249468444</v>
      </c>
      <c r="S511" s="31" t="n">
        <v>5</v>
      </c>
      <c r="T511" s="32" t="n">
        <v>1</v>
      </c>
      <c r="U511" s="10">
        <f>IF(T511=1,I511-('Parametros'!$B$7+'Parametros'!$B$9+'Parametros'!$B$12/2),I511-(ROUNDUP(S511/2,0)*('Parametros'!$B$7+'Parametros'!$B$9+'Parametros'!$B$12/2)+ROUNDDOWN(S511/2,0)*('Parametros'!$B$7+'Parametros'!$B$9+'Parametros'!$B$12/2+'Parametros'!$B$12+'Parametros'!$B$10))/S511)</f>
        <v>489.35</v>
      </c>
      <c r="V511" s="10">
        <f>S511*'Parametros'!$B$8</f>
        <v>995</v>
      </c>
      <c r="W511" s="10">
        <f>'Parametros'!$B$5*V511*'Parametros'!$B$3*(U511-(V511*'Parametros'!$B$3/(0.85*'Parametros'!$B$2*H511))/2)/1000000</f>
        <v>177.445379382353</v>
      </c>
      <c r="X511" s="10" t="str">
        <f>IF(W511&gt;=J511,"CUMPLE","NO CUMPLE")</f>
        <v>CUMPLE</v>
      </c>
      <c r="Y511" s="10">
        <f>MAX(MAX(1.4/'Parametros'!$B$3,0.25*SQRT('Parametros'!$B$2)/'Parametros'!$B$3)*H511*AB511,(0.85*'Parametros'!$B$2/'Parametros'!$B$3)*(1-SQRT(1-2*(L511*1000000/('Parametros'!$B$5*H511*AB511^2))/(0.85*'Parametros'!$B$2)))*H511*AB511)</f>
        <v>815.583333333333</v>
      </c>
      <c r="Z511" s="31" t="n">
        <v>5</v>
      </c>
      <c r="AA511" s="32" t="n">
        <v>1</v>
      </c>
      <c r="AB511" s="10">
        <f>IF(AA511=1,I511-('Parametros'!$B$7+'Parametros'!$B$9+'Parametros'!$B$12/2),I511-(ROUNDUP(Z511/2,0)*('Parametros'!$B$7+'Parametros'!$B$9+'Parametros'!$B$12/2)+ROUNDDOWN(Z511/2,0)*('Parametros'!$B$7+'Parametros'!$B$9+'Parametros'!$B$12/2+'Parametros'!$B$12+'Parametros'!$B$10))/Z511)</f>
        <v>489.35</v>
      </c>
      <c r="AC511" s="10">
        <f>Z511*'Parametros'!$B$8</f>
        <v>995</v>
      </c>
      <c r="AD511" s="10">
        <f>'Parametros'!$B$5*AC511*'Parametros'!$B$3*(AB511-(AC511*'Parametros'!$B$3/(0.85*'Parametros'!$B$2*H511))/2)/1000000</f>
        <v>177.445379382353</v>
      </c>
      <c r="AE511" s="10" t="str">
        <f>IF(AD511&gt;=L511,"CUMPLE","NO CUMPLE")</f>
        <v>CUMPLE</v>
      </c>
      <c r="AF511" s="10">
        <f>V511*1.25*'Parametros'!$B$3*(U511-(V511*1.25*'Parametros'!$B$3/(0.85*'Parametros'!$B$2*H511))/2)/1000000</f>
        <v>244.158843198529</v>
      </c>
      <c r="AG511" s="10">
        <f>AC511*1.25*'Parametros'!$B$3*(AB511-(AC511*1.25*'Parametros'!$B$3/(0.85*'Parametros'!$B$2*H511))/2)/1000000</f>
        <v>244.158843198529</v>
      </c>
      <c r="AH511" s="10">
        <f>N511+(AF511+AG511)/D511</f>
        <v>341.187231617647</v>
      </c>
      <c r="AI511" s="10">
        <f>MAX(O511,AH511)</f>
        <v>341.187231617647</v>
      </c>
      <c r="AJ511" s="10">
        <f>0.17*SQRT('Parametros'!$B$2)*H511*MIN(U511,AB511)/1000</f>
        <v>220.098728691808</v>
      </c>
      <c r="AK511" s="10">
        <f>MAX(AI511/'Parametros'!$B$6-AJ511,0)</f>
        <v>234.817580131722</v>
      </c>
      <c r="AL511" s="10">
        <f>0.66*SQRT('Parametros'!$B$2)*H511*MIN(U511,AB511)/1000</f>
        <v>854.500946685842</v>
      </c>
      <c r="AM511" s="10" t="str">
        <f>IF(AK511&lt;=AL511,"CUMPLE","NO CUMPLE")</f>
        <v>CUMPLE</v>
      </c>
      <c r="AN511" s="17" t="inlineStr">
        <is>
          <t>Nº3 cerrado</t>
        </is>
      </c>
      <c r="AO511" s="31" t="n">
        <v>2</v>
      </c>
      <c r="AP511" s="10">
        <f>ROUNDDOWN(MIN(IF(BC511+BD511=0,1000000000,AO511*BB511/(BC511+BD511)),MIN(U511,AB511)/4,8*'Parametros'!$B$12,24*BA511,300,IF(AV511=0,1000000000,2*((H511-2*('Parametros'!$B$7+'Parametros'!$B$9/2))+(I511-2*('Parametros'!$B$7+'Parametros'!$B$9/2)))/8))/10,0)*10</f>
        <v>120</v>
      </c>
      <c r="AQ511" s="10">
        <f>ROUNDDOWN(MIN(IF(BC511+BD511=0,1000000000,AO511*BB511/(BC511+BD511)),IF(AK511&gt;0.33*SQRT('Parametros'!$B$2)*H511*MIN(U511,AB511)/1000,MIN(U511,AB511)/4,MIN(U511,AB511)/2),600,IF(AV511=0,1000000000,2*((H511-2*('Parametros'!$B$7+'Parametros'!$B$9/2))+(I511-2*('Parametros'!$B$7+'Parametros'!$B$9/2)))/8))/10,0)*10</f>
        <v>120</v>
      </c>
      <c r="AR511" s="10">
        <f>'Parametros'!$B$6*(AJ511+MAX(BE511-BD511,0)*'Parametros'!$B$4*MIN(U511,AB511)/1000)</f>
        <v>347.479259018856</v>
      </c>
      <c r="AS511" s="10" t="str">
        <f>IF(AND(ISERROR(SEARCH("referencia",AN511)),AM511="CUMPLE",AR511&gt;=AI511),"CUMPLE","NO CUMPLE")</f>
        <v>CUMPLE</v>
      </c>
      <c r="AT511" s="10">
        <f>'Parametros'!$B$6*0.083*SQRT('Parametros'!$B$2)*(H511*I511)^2/(2*(H511+I511))/1000000</f>
        <v>11.862178757599</v>
      </c>
      <c r="AU511" s="10" t="str">
        <f>IF(Q511&lt;=AT511,"DESPRECIABLE","DISEÑAR")</f>
        <v>DESPRECIABLE</v>
      </c>
      <c r="AV511" s="10">
        <f>IF(Q511&lt;=AT511,0,Q511*1000000/('Parametros'!$B$6*2*0.85*(H511-2*('Parametros'!$B$7+'Parametros'!$B$9/2))*(I511-2*('Parametros'!$B$7+'Parametros'!$B$9/2))*'Parametros'!$B$4))</f>
        <v>0</v>
      </c>
      <c r="AW511" s="10">
        <f>AV511*2*((H511-2*('Parametros'!$B$7+'Parametros'!$B$9/2))+(I511-2*('Parametros'!$B$7+'Parametros'!$B$9/2)))*'Parametros'!$B$4/'Parametros'!$B$3</f>
        <v>0</v>
      </c>
      <c r="AX511" s="31" t="n">
        <v>0</v>
      </c>
      <c r="AY511" s="10" t="str">
        <f>IF(AV511=0,"DESPRECIABLE",IF(AND(ISERROR(SEARCH("referencia",AN511)),BB511/AP511&gt;=AV511,BI511&gt;=AW511,BH511="CUMPLE"),"CUMPLE","NO CUMPLE"))</f>
        <v>DESPRECIABLE</v>
      </c>
      <c r="AZ511" s="10" t="str">
        <f>IF(AND(X511="CUMPLE",AE511="CUMPLE",AS511="CUMPLE",OR(AY511="CUMPLE",AY511="DESPRECIABLE"),BH511="CUMPLE",BJ511="CUMPLE"),"CUMPLE","NO CUMPLE")</f>
        <v>CUMPLE</v>
      </c>
      <c r="BA511" s="32" t="n">
        <v>9.5</v>
      </c>
      <c r="BB511" s="32" t="n">
        <v>71</v>
      </c>
      <c r="BC511" s="10">
        <f>MAX(IF(AK511=0,0,AK511*1000/('Parametros'!$B$4*MIN(U511,AB511))),MAX(0.062*SQRT('Parametros'!$B$2)*H511/'Parametros'!$B$4,0.35*H511/'Parametros'!$B$4))</f>
        <v>1.14251451211627</v>
      </c>
      <c r="BD511" s="10">
        <f>2*AV511</f>
        <v>0</v>
      </c>
      <c r="BE511" s="10">
        <f>AO511*BB511/AP511</f>
        <v>1.18333333333333</v>
      </c>
      <c r="BF511" s="10">
        <f>SQRT((AI511*1000/(H511*MIN(U511,AB511)))^2+(Q511*1000000*2*((H511-2*('Parametros'!$B$7+'Parametros'!$B$9/2))+(I511-2*('Parametros'!$B$7+'Parametros'!$B$9/2)))/(1.7*((H511-2*('Parametros'!$B$7+'Parametros'!$B$9/2))*(I511-2*('Parametros'!$B$7+'Parametros'!$B$9/2)))^2))^2)</f>
        <v>1.39445073213633</v>
      </c>
      <c r="BG511" s="10">
        <f>'Parametros'!$B$6*(AJ511*1000/(H511*MIN(U511,AB511))+0.66*SQRT('Parametros'!$B$2))</f>
        <v>3.29396038227542</v>
      </c>
      <c r="BH511" s="10" t="str">
        <f>IF(BF511&lt;=BG511,"CUMPLE","NO CUMPLE")</f>
        <v>CUMPLE</v>
      </c>
      <c r="BI511" s="10">
        <f>AX511*'Parametros'!$B$8</f>
        <v>0</v>
      </c>
      <c r="BJ511" s="10" t="str">
        <f>IF(BI511&gt;=AW511,"CUMPLE","NO CUMPLE")</f>
        <v>CUMPLE</v>
      </c>
    </row>
    <row r="512">
      <c r="A512" s="26" t="inlineStr">
        <is>
          <t>VR3</t>
        </is>
      </c>
      <c r="B512" s="26" t="inlineStr">
        <is>
          <t>229</t>
        </is>
      </c>
      <c r="C512" s="10" t="n">
        <v>1</v>
      </c>
      <c r="D512" s="10" t="n">
        <v>3.4</v>
      </c>
      <c r="E512" s="10" t="n">
        <v>3.4</v>
      </c>
      <c r="F512" s="10" t="n">
        <v>500</v>
      </c>
      <c r="G512" s="10" t="n">
        <v>550</v>
      </c>
      <c r="H512" s="17" t="n">
        <v>500</v>
      </c>
      <c r="I512" s="17" t="n">
        <v>550</v>
      </c>
      <c r="J512" s="30" t="n">
        <v>194.5781</v>
      </c>
      <c r="K512" s="10" t="inlineStr">
        <is>
          <t>229</t>
        </is>
      </c>
      <c r="L512" s="30" t="n">
        <v>119.1792</v>
      </c>
      <c r="M512" s="10" t="inlineStr">
        <is>
          <t>229</t>
        </is>
      </c>
      <c r="N512" s="30" t="n">
        <v>138.036</v>
      </c>
      <c r="O512" s="30" t="n">
        <v>395.038</v>
      </c>
      <c r="P512" s="10" t="inlineStr">
        <is>
          <t>229</t>
        </is>
      </c>
      <c r="Q512" s="30" t="n">
        <v>7.9388</v>
      </c>
      <c r="R512" s="10">
        <f>MAX(MAX(1.4/'Parametros'!$B$3,0.25*SQRT('Parametros'!$B$2)/'Parametros'!$B$3)*H512*U512,(0.85*'Parametros'!$B$2/'Parametros'!$B$3)*(1-SQRT(1-2*(J512*1000000/('Parametros'!$B$5*H512*U512^2))/(0.85*'Parametros'!$B$2)))*H512*U512)</f>
        <v>1095.172826784</v>
      </c>
      <c r="S512" s="31" t="n">
        <v>6</v>
      </c>
      <c r="T512" s="32" t="n">
        <v>1</v>
      </c>
      <c r="U512" s="10">
        <f>IF(T512=1,I512-('Parametros'!$B$7+'Parametros'!$B$9+'Parametros'!$B$12/2),I512-(ROUNDUP(S512/2,0)*('Parametros'!$B$7+'Parametros'!$B$9+'Parametros'!$B$12/2)+ROUNDDOWN(S512/2,0)*('Parametros'!$B$7+'Parametros'!$B$9+'Parametros'!$B$12/2+'Parametros'!$B$12+'Parametros'!$B$10))/S512)</f>
        <v>489.35</v>
      </c>
      <c r="V512" s="10">
        <f>S512*'Parametros'!$B$8</f>
        <v>1194</v>
      </c>
      <c r="W512" s="10">
        <f>'Parametros'!$B$5*V512*'Parametros'!$B$3*(U512-(V512*'Parametros'!$B$3/(0.85*'Parametros'!$B$2*H512))/2)/1000000</f>
        <v>211.349483470588</v>
      </c>
      <c r="X512" s="10" t="str">
        <f>IF(W512&gt;=J512,"CUMPLE","NO CUMPLE")</f>
        <v>CUMPLE</v>
      </c>
      <c r="Y512" s="10">
        <f>MAX(MAX(1.4/'Parametros'!$B$3,0.25*SQRT('Parametros'!$B$2)/'Parametros'!$B$3)*H512*AB512,(0.85*'Parametros'!$B$2/'Parametros'!$B$3)*(1-SQRT(1-2*(L512*1000000/('Parametros'!$B$5*H512*AB512^2))/(0.85*'Parametros'!$B$2)))*H512*AB512)</f>
        <v>815.583333333333</v>
      </c>
      <c r="Z512" s="31" t="n">
        <v>5</v>
      </c>
      <c r="AA512" s="32" t="n">
        <v>1</v>
      </c>
      <c r="AB512" s="10">
        <f>IF(AA512=1,I512-('Parametros'!$B$7+'Parametros'!$B$9+'Parametros'!$B$12/2),I512-(ROUNDUP(Z512/2,0)*('Parametros'!$B$7+'Parametros'!$B$9+'Parametros'!$B$12/2)+ROUNDDOWN(Z512/2,0)*('Parametros'!$B$7+'Parametros'!$B$9+'Parametros'!$B$12/2+'Parametros'!$B$12+'Parametros'!$B$10))/Z512)</f>
        <v>489.35</v>
      </c>
      <c r="AC512" s="10">
        <f>Z512*'Parametros'!$B$8</f>
        <v>995</v>
      </c>
      <c r="AD512" s="10">
        <f>'Parametros'!$B$5*AC512*'Parametros'!$B$3*(AB512-(AC512*'Parametros'!$B$3/(0.85*'Parametros'!$B$2*H512))/2)/1000000</f>
        <v>177.445379382353</v>
      </c>
      <c r="AE512" s="10" t="str">
        <f>IF(AD512&gt;=L512,"CUMPLE","NO CUMPLE")</f>
        <v>CUMPLE</v>
      </c>
      <c r="AF512" s="10">
        <f>V512*1.25*'Parametros'!$B$3*(U512-(V512*1.25*'Parametros'!$B$3/(0.85*'Parametros'!$B$2*H512))/2)/1000000</f>
        <v>290.238924705882</v>
      </c>
      <c r="AG512" s="10">
        <f>AC512*1.25*'Parametros'!$B$3*(AB512-(AC512*1.25*'Parametros'!$B$3/(0.85*'Parametros'!$B$2*H512))/2)/1000000</f>
        <v>244.158843198529</v>
      </c>
      <c r="AH512" s="10">
        <f>N512+(AF512+AG512)/D512</f>
        <v>295.211814089533</v>
      </c>
      <c r="AI512" s="10">
        <f>MAX(O512,AH512)</f>
        <v>395.038</v>
      </c>
      <c r="AJ512" s="10">
        <f>0.17*SQRT('Parametros'!$B$2)*H512*MIN(U512,AB512)/1000</f>
        <v>220.098728691808</v>
      </c>
      <c r="AK512" s="10">
        <f>MAX(AI512/'Parametros'!$B$6-AJ512,0)</f>
        <v>306.618604641526</v>
      </c>
      <c r="AL512" s="10">
        <f>0.66*SQRT('Parametros'!$B$2)*H512*MIN(U512,AB512)/1000</f>
        <v>854.500946685842</v>
      </c>
      <c r="AM512" s="10" t="str">
        <f>IF(AK512&lt;=AL512,"CUMPLE","NO CUMPLE")</f>
        <v>CUMPLE</v>
      </c>
      <c r="AN512" s="17" t="inlineStr">
        <is>
          <t>Nº3 cerrado</t>
        </is>
      </c>
      <c r="AO512" s="31" t="n">
        <v>2</v>
      </c>
      <c r="AP512" s="10">
        <f>ROUNDDOWN(MIN(IF(BC512+BD512=0,1000000000,AO512*BB512/(BC512+BD512)),MIN(U512,AB512)/4,8*'Parametros'!$B$12,24*BA512,300,IF(AV512=0,1000000000,2*((H512-2*('Parametros'!$B$7+'Parametros'!$B$9/2))+(I512-2*('Parametros'!$B$7+'Parametros'!$B$9/2)))/8))/10,0)*10</f>
        <v>90</v>
      </c>
      <c r="AQ512" s="10">
        <f>ROUNDDOWN(MIN(IF(BC512+BD512=0,1000000000,AO512*BB512/(BC512+BD512)),IF(AK512&gt;0.33*SQRT('Parametros'!$B$2)*H512*MIN(U512,AB512)/1000,MIN(U512,AB512)/4,MIN(U512,AB512)/2),600,IF(AV512=0,1000000000,2*((H512-2*('Parametros'!$B$7+'Parametros'!$B$9/2))+(I512-2*('Parametros'!$B$7+'Parametros'!$B$9/2)))/8))/10,0)*10</f>
        <v>90</v>
      </c>
      <c r="AR512" s="10">
        <f>'Parametros'!$B$6*(AJ512+MAX(BE512-BD512,0)*'Parametros'!$B$4*MIN(U512,AB512)/1000)</f>
        <v>408.280996518856</v>
      </c>
      <c r="AS512" s="10" t="str">
        <f>IF(AND(ISERROR(SEARCH("referencia",AN512)),AM512="CUMPLE",AR512&gt;=AI512),"CUMPLE","NO CUMPLE")</f>
        <v>CUMPLE</v>
      </c>
      <c r="AT512" s="10">
        <f>'Parametros'!$B$6*0.083*SQRT('Parametros'!$B$2)*(H512*I512)^2/(2*(H512+I512))/1000000</f>
        <v>11.862178757599</v>
      </c>
      <c r="AU512" s="10" t="str">
        <f>IF(Q512&lt;=AT512,"DESPRECIABLE","DISEÑAR")</f>
        <v>DESPRECIABLE</v>
      </c>
      <c r="AV512" s="10">
        <f>IF(Q512&lt;=AT512,0,Q512*1000000/('Parametros'!$B$6*2*0.85*(H512-2*('Parametros'!$B$7+'Parametros'!$B$9/2))*(I512-2*('Parametros'!$B$7+'Parametros'!$B$9/2))*'Parametros'!$B$4))</f>
        <v>0</v>
      </c>
      <c r="AW512" s="10">
        <f>AV512*2*((H512-2*('Parametros'!$B$7+'Parametros'!$B$9/2))+(I512-2*('Parametros'!$B$7+'Parametros'!$B$9/2)))*'Parametros'!$B$4/'Parametros'!$B$3</f>
        <v>0</v>
      </c>
      <c r="AX512" s="31" t="n">
        <v>0</v>
      </c>
      <c r="AY512" s="10" t="str">
        <f>IF(AV512=0,"DESPRECIABLE",IF(AND(ISERROR(SEARCH("referencia",AN512)),BB512/AP512&gt;=AV512,BI512&gt;=AW512,BH512="CUMPLE"),"CUMPLE","NO CUMPLE"))</f>
        <v>DESPRECIABLE</v>
      </c>
      <c r="AZ512" s="10" t="str">
        <f>IF(AND(X512="CUMPLE",AE512="CUMPLE",AS512="CUMPLE",OR(AY512="CUMPLE",AY512="DESPRECIABLE"),BH512="CUMPLE",BJ512="CUMPLE"),"CUMPLE","NO CUMPLE")</f>
        <v>CUMPLE</v>
      </c>
      <c r="BA512" s="32" t="n">
        <v>9.5</v>
      </c>
      <c r="BB512" s="32" t="n">
        <v>71</v>
      </c>
      <c r="BC512" s="10">
        <f>MAX(IF(AK512=0,0,AK512*1000/('Parametros'!$B$4*MIN(U512,AB512))),MAX(0.062*SQRT('Parametros'!$B$2)*H512/'Parametros'!$B$4,0.35*H512/'Parametros'!$B$4))</f>
        <v>1.49186532495256</v>
      </c>
      <c r="BD512" s="10">
        <f>2*AV512</f>
        <v>0</v>
      </c>
      <c r="BE512" s="10">
        <f>AO512*BB512/AP512</f>
        <v>1.57777777777778</v>
      </c>
      <c r="BF512" s="10">
        <f>SQRT((AI512*1000/(H512*MIN(U512,AB512)))^2+(Q512*1000000*2*((H512-2*('Parametros'!$B$7+'Parametros'!$B$9/2))+(I512-2*('Parametros'!$B$7+'Parametros'!$B$9/2)))/(1.7*((H512-2*('Parametros'!$B$7+'Parametros'!$B$9/2))*(I512-2*('Parametros'!$B$7+'Parametros'!$B$9/2)))^2))^2)</f>
        <v>1.63123423753155</v>
      </c>
      <c r="BG512" s="10">
        <f>'Parametros'!$B$6*(AJ512*1000/(H512*MIN(U512,AB512))+0.66*SQRT('Parametros'!$B$2))</f>
        <v>3.29396038227542</v>
      </c>
      <c r="BH512" s="10" t="str">
        <f>IF(BF512&lt;=BG512,"CUMPLE","NO CUMPLE")</f>
        <v>CUMPLE</v>
      </c>
      <c r="BI512" s="10">
        <f>AX512*'Parametros'!$B$8</f>
        <v>0</v>
      </c>
      <c r="BJ512" s="10" t="str">
        <f>IF(BI512&gt;=AW512,"CUMPLE","NO CUMPLE")</f>
        <v>CUMPLE</v>
      </c>
    </row>
    <row r="513">
      <c r="A513" s="26" t="inlineStr">
        <is>
          <t>VR3</t>
        </is>
      </c>
      <c r="B513" s="26" t="inlineStr">
        <is>
          <t>230</t>
        </is>
      </c>
      <c r="C513" s="10" t="n">
        <v>1</v>
      </c>
      <c r="D513" s="10" t="n">
        <v>1.9</v>
      </c>
      <c r="E513" s="10" t="n">
        <v>1.9</v>
      </c>
      <c r="F513" s="10" t="n">
        <v>500</v>
      </c>
      <c r="G513" s="10" t="n">
        <v>550</v>
      </c>
      <c r="H513" s="17" t="n">
        <v>500</v>
      </c>
      <c r="I513" s="17" t="n">
        <v>550</v>
      </c>
      <c r="J513" s="30" t="n">
        <v>180.8938</v>
      </c>
      <c r="K513" s="10" t="inlineStr">
        <is>
          <t>230</t>
        </is>
      </c>
      <c r="L513" s="30" t="n">
        <v>119.4918</v>
      </c>
      <c r="M513" s="10" t="inlineStr">
        <is>
          <t>230</t>
        </is>
      </c>
      <c r="N513" s="30" t="n">
        <v>153.918</v>
      </c>
      <c r="O513" s="30" t="n">
        <v>595.578</v>
      </c>
      <c r="P513" s="10" t="inlineStr">
        <is>
          <t>230</t>
        </is>
      </c>
      <c r="Q513" s="30" t="n">
        <v>0.3592</v>
      </c>
      <c r="R513" s="10">
        <f>MAX(MAX(1.4/'Parametros'!$B$3,0.25*SQRT('Parametros'!$B$2)/'Parametros'!$B$3)*H513*U513,(0.85*'Parametros'!$B$2/'Parametros'!$B$3)*(1-SQRT(1-2*(J513*1000000/('Parametros'!$B$5*H513*U513^2))/(0.85*'Parametros'!$B$2)))*H513*U513)</f>
        <v>1015.09970268519</v>
      </c>
      <c r="S513" s="31" t="n">
        <v>6</v>
      </c>
      <c r="T513" s="32" t="n">
        <v>1</v>
      </c>
      <c r="U513" s="10">
        <f>IF(T513=1,I513-('Parametros'!$B$7+'Parametros'!$B$9+'Parametros'!$B$12/2),I513-(ROUNDUP(S513/2,0)*('Parametros'!$B$7+'Parametros'!$B$9+'Parametros'!$B$12/2)+ROUNDDOWN(S513/2,0)*('Parametros'!$B$7+'Parametros'!$B$9+'Parametros'!$B$12/2+'Parametros'!$B$12+'Parametros'!$B$10))/S513)</f>
        <v>489.35</v>
      </c>
      <c r="V513" s="10">
        <f>S513*'Parametros'!$B$8</f>
        <v>1194</v>
      </c>
      <c r="W513" s="10">
        <f>'Parametros'!$B$5*V513*'Parametros'!$B$3*(U513-(V513*'Parametros'!$B$3/(0.85*'Parametros'!$B$2*H513))/2)/1000000</f>
        <v>211.349483470588</v>
      </c>
      <c r="X513" s="10" t="str">
        <f>IF(W513&gt;=J513,"CUMPLE","NO CUMPLE")</f>
        <v>CUMPLE</v>
      </c>
      <c r="Y513" s="10">
        <f>MAX(MAX(1.4/'Parametros'!$B$3,0.25*SQRT('Parametros'!$B$2)/'Parametros'!$B$3)*H513*AB513,(0.85*'Parametros'!$B$2/'Parametros'!$B$3)*(1-SQRT(1-2*(L513*1000000/('Parametros'!$B$5*H513*AB513^2))/(0.85*'Parametros'!$B$2)))*H513*AB513)</f>
        <v>815.583333333333</v>
      </c>
      <c r="Z513" s="31" t="n">
        <v>5</v>
      </c>
      <c r="AA513" s="32" t="n">
        <v>1</v>
      </c>
      <c r="AB513" s="10">
        <f>IF(AA513=1,I513-('Parametros'!$B$7+'Parametros'!$B$9+'Parametros'!$B$12/2),I513-(ROUNDUP(Z513/2,0)*('Parametros'!$B$7+'Parametros'!$B$9+'Parametros'!$B$12/2)+ROUNDDOWN(Z513/2,0)*('Parametros'!$B$7+'Parametros'!$B$9+'Parametros'!$B$12/2+'Parametros'!$B$12+'Parametros'!$B$10))/Z513)</f>
        <v>489.35</v>
      </c>
      <c r="AC513" s="10">
        <f>Z513*'Parametros'!$B$8</f>
        <v>995</v>
      </c>
      <c r="AD513" s="10">
        <f>'Parametros'!$B$5*AC513*'Parametros'!$B$3*(AB513-(AC513*'Parametros'!$B$3/(0.85*'Parametros'!$B$2*H513))/2)/1000000</f>
        <v>177.445379382353</v>
      </c>
      <c r="AE513" s="10" t="str">
        <f>IF(AD513&gt;=L513,"CUMPLE","NO CUMPLE")</f>
        <v>CUMPLE</v>
      </c>
      <c r="AF513" s="10">
        <f>V513*1.25*'Parametros'!$B$3*(U513-(V513*1.25*'Parametros'!$B$3/(0.85*'Parametros'!$B$2*H513))/2)/1000000</f>
        <v>290.238924705882</v>
      </c>
      <c r="AG513" s="10">
        <f>AC513*1.25*'Parametros'!$B$3*(AB513-(AC513*1.25*'Parametros'!$B$3/(0.85*'Parametros'!$B$2*H513))/2)/1000000</f>
        <v>244.158843198529</v>
      </c>
      <c r="AH513" s="10">
        <f>N513+(AF513+AG513)/D513</f>
        <v>435.179983107585</v>
      </c>
      <c r="AI513" s="10">
        <f>MAX(O513,AH513)</f>
        <v>595.578</v>
      </c>
      <c r="AJ513" s="10">
        <f>0.17*SQRT('Parametros'!$B$2)*H513*MIN(U513,AB513)/1000</f>
        <v>220.098728691808</v>
      </c>
      <c r="AK513" s="10">
        <f>MAX(AI513/'Parametros'!$B$6-AJ513,0)</f>
        <v>574.005271308192</v>
      </c>
      <c r="AL513" s="10">
        <f>0.66*SQRT('Parametros'!$B$2)*H513*MIN(U513,AB513)/1000</f>
        <v>854.500946685842</v>
      </c>
      <c r="AM513" s="10" t="str">
        <f>IF(AK513&lt;=AL513,"CUMPLE","NO CUMPLE")</f>
        <v>CUMPLE</v>
      </c>
      <c r="AN513" s="17" t="inlineStr">
        <is>
          <t>Nº4 cerrado</t>
        </is>
      </c>
      <c r="AO513" s="31" t="n">
        <v>2</v>
      </c>
      <c r="AP513" s="10">
        <f>ROUNDDOWN(MIN(IF(BC513+BD513=0,1000000000,AO513*BB513/(BC513+BD513)),MIN(U513,AB513)/4,8*'Parametros'!$B$12,24*BA513,300,IF(AV513=0,1000000000,2*((H513-2*('Parametros'!$B$7+'Parametros'!$B$9/2))+(I513-2*('Parametros'!$B$7+'Parametros'!$B$9/2)))/8))/10,0)*10</f>
        <v>90</v>
      </c>
      <c r="AQ513" s="10">
        <f>ROUNDDOWN(MIN(IF(BC513+BD513=0,1000000000,AO513*BB513/(BC513+BD513)),IF(AK513&gt;0.33*SQRT('Parametros'!$B$2)*H513*MIN(U513,AB513)/1000,MIN(U513,AB513)/4,MIN(U513,AB513)/2),600,IF(AV513=0,1000000000,2*((H513-2*('Parametros'!$B$7+'Parametros'!$B$9/2))+(I513-2*('Parametros'!$B$7+'Parametros'!$B$9/2)))/8))/10,0)*10</f>
        <v>90</v>
      </c>
      <c r="AR513" s="10">
        <f>'Parametros'!$B$6*(AJ513+MAX(BE513-BD513,0)*'Parametros'!$B$4*MIN(U513,AB513)/1000)</f>
        <v>606.957096518856</v>
      </c>
      <c r="AS513" s="10" t="str">
        <f>IF(AND(ISERROR(SEARCH("referencia",AN513)),AM513="CUMPLE",AR513&gt;=AI513),"CUMPLE","NO CUMPLE")</f>
        <v>CUMPLE</v>
      </c>
      <c r="AT513" s="10">
        <f>'Parametros'!$B$6*0.083*SQRT('Parametros'!$B$2)*(H513*I513)^2/(2*(H513+I513))/1000000</f>
        <v>11.862178757599</v>
      </c>
      <c r="AU513" s="10" t="str">
        <f>IF(Q513&lt;=AT513,"DESPRECIABLE","DISEÑAR")</f>
        <v>DESPRECIABLE</v>
      </c>
      <c r="AV513" s="10">
        <f>IF(Q513&lt;=AT513,0,Q513*1000000/('Parametros'!$B$6*2*0.85*(H513-2*('Parametros'!$B$7+'Parametros'!$B$9/2))*(I513-2*('Parametros'!$B$7+'Parametros'!$B$9/2))*'Parametros'!$B$4))</f>
        <v>0</v>
      </c>
      <c r="AW513" s="10">
        <f>AV513*2*((H513-2*('Parametros'!$B$7+'Parametros'!$B$9/2))+(I513-2*('Parametros'!$B$7+'Parametros'!$B$9/2)))*'Parametros'!$B$4/'Parametros'!$B$3</f>
        <v>0</v>
      </c>
      <c r="AX513" s="31" t="n">
        <v>0</v>
      </c>
      <c r="AY513" s="10" t="str">
        <f>IF(AV513=0,"DESPRECIABLE",IF(AND(ISERROR(SEARCH("referencia",AN513)),BB513/AP513&gt;=AV513,BI513&gt;=AW513,BH513="CUMPLE"),"CUMPLE","NO CUMPLE"))</f>
        <v>DESPRECIABLE</v>
      </c>
      <c r="AZ513" s="10" t="str">
        <f>IF(AND(X513="CUMPLE",AE513="CUMPLE",AS513="CUMPLE",OR(AY513="CUMPLE",AY513="DESPRECIABLE"),BH513="CUMPLE",BJ513="CUMPLE"),"CUMPLE","NO CUMPLE")</f>
        <v>CUMPLE</v>
      </c>
      <c r="BA513" s="32" t="n">
        <v>12.7</v>
      </c>
      <c r="BB513" s="32" t="n">
        <v>129</v>
      </c>
      <c r="BC513" s="10">
        <f>MAX(IF(AK513=0,0,AK513*1000/('Parametros'!$B$4*MIN(U513,AB513))),MAX(0.062*SQRT('Parametros'!$B$2)*H513/'Parametros'!$B$4,0.35*H513/'Parametros'!$B$4))</f>
        <v>2.79284605578923</v>
      </c>
      <c r="BD513" s="10">
        <f>2*AV513</f>
        <v>0</v>
      </c>
      <c r="BE513" s="10">
        <f>AO513*BB513/AP513</f>
        <v>2.86666666666667</v>
      </c>
      <c r="BF513" s="10">
        <f>SQRT((AI513*1000/(H513*MIN(U513,AB513)))^2+(Q513*1000000*2*((H513-2*('Parametros'!$B$7+'Parametros'!$B$9/2))+(I513-2*('Parametros'!$B$7+'Parametros'!$B$9/2)))/(1.7*((H513-2*('Parametros'!$B$7+'Parametros'!$B$9/2))*(I513-2*('Parametros'!$B$7+'Parametros'!$B$9/2)))^2))^2)</f>
        <v>2.43418238303697</v>
      </c>
      <c r="BG513" s="10">
        <f>'Parametros'!$B$6*(AJ513*1000/(H513*MIN(U513,AB513))+0.66*SQRT('Parametros'!$B$2))</f>
        <v>3.29396038227542</v>
      </c>
      <c r="BH513" s="10" t="str">
        <f>IF(BF513&lt;=BG513,"CUMPLE","NO CUMPLE")</f>
        <v>CUMPLE</v>
      </c>
      <c r="BI513" s="10">
        <f>AX513*'Parametros'!$B$8</f>
        <v>0</v>
      </c>
      <c r="BJ513" s="10" t="str">
        <f>IF(BI513&gt;=AW513,"CUMPLE","NO CUMPLE")</f>
        <v>CUMPLE</v>
      </c>
    </row>
    <row r="514">
      <c r="A514" s="26" t="inlineStr">
        <is>
          <t>VR3</t>
        </is>
      </c>
      <c r="B514" s="26" t="inlineStr">
        <is>
          <t>231</t>
        </is>
      </c>
      <c r="C514" s="10" t="n">
        <v>1</v>
      </c>
      <c r="D514" s="10" t="n">
        <v>2</v>
      </c>
      <c r="E514" s="10" t="n">
        <v>2</v>
      </c>
      <c r="F514" s="10" t="n">
        <v>500</v>
      </c>
      <c r="G514" s="10" t="n">
        <v>550</v>
      </c>
      <c r="H514" s="17" t="n">
        <v>500</v>
      </c>
      <c r="I514" s="17" t="n">
        <v>550</v>
      </c>
      <c r="J514" s="30" t="n">
        <v>278.4009</v>
      </c>
      <c r="K514" s="10" t="inlineStr">
        <is>
          <t>231</t>
        </is>
      </c>
      <c r="L514" s="30" t="n">
        <v>119.8124</v>
      </c>
      <c r="M514" s="10" t="inlineStr">
        <is>
          <t>231</t>
        </is>
      </c>
      <c r="N514" s="30" t="n">
        <v>209.932</v>
      </c>
      <c r="O514" s="30" t="n">
        <v>358.434</v>
      </c>
      <c r="P514" s="10" t="inlineStr">
        <is>
          <t>231</t>
        </is>
      </c>
      <c r="Q514" s="30" t="n">
        <v>9.265700000000001</v>
      </c>
      <c r="R514" s="10">
        <f>MAX(MAX(1.4/'Parametros'!$B$3,0.25*SQRT('Parametros'!$B$2)/'Parametros'!$B$3)*H514*U514,(0.85*'Parametros'!$B$2/'Parametros'!$B$3)*(1-SQRT(1-2*(J514*1000000/('Parametros'!$B$5*H514*U514^2))/(0.85*'Parametros'!$B$2)))*H514*U514)</f>
        <v>1597.05909015697</v>
      </c>
      <c r="S514" s="31" t="n">
        <v>9</v>
      </c>
      <c r="T514" s="32" t="n">
        <v>1</v>
      </c>
      <c r="U514" s="10">
        <f>IF(T514=1,I514-('Parametros'!$B$7+'Parametros'!$B$9+'Parametros'!$B$12/2),I514-(ROUNDUP(S514/2,0)*('Parametros'!$B$7+'Parametros'!$B$9+'Parametros'!$B$12/2)+ROUNDDOWN(S514/2,0)*('Parametros'!$B$7+'Parametros'!$B$9+'Parametros'!$B$12/2+'Parametros'!$B$12+'Parametros'!$B$10))/S514)</f>
        <v>489.35</v>
      </c>
      <c r="V514" s="10">
        <f>S514*'Parametros'!$B$8</f>
        <v>1791</v>
      </c>
      <c r="W514" s="10">
        <f>'Parametros'!$B$5*V514*'Parametros'!$B$3*(U514-(V514*'Parametros'!$B$3/(0.85*'Parametros'!$B$2*H514))/2)/1000000</f>
        <v>309.891852158824</v>
      </c>
      <c r="X514" s="10" t="str">
        <f>IF(W514&gt;=J514,"CUMPLE","NO CUMPLE")</f>
        <v>CUMPLE</v>
      </c>
      <c r="Y514" s="10">
        <f>MAX(MAX(1.4/'Parametros'!$B$3,0.25*SQRT('Parametros'!$B$2)/'Parametros'!$B$3)*H514*AB514,(0.85*'Parametros'!$B$2/'Parametros'!$B$3)*(1-SQRT(1-2*(L514*1000000/('Parametros'!$B$5*H514*AB514^2))/(0.85*'Parametros'!$B$2)))*H514*AB514)</f>
        <v>815.583333333333</v>
      </c>
      <c r="Z514" s="31" t="n">
        <v>5</v>
      </c>
      <c r="AA514" s="32" t="n">
        <v>1</v>
      </c>
      <c r="AB514" s="10">
        <f>IF(AA514=1,I514-('Parametros'!$B$7+'Parametros'!$B$9+'Parametros'!$B$12/2),I514-(ROUNDUP(Z514/2,0)*('Parametros'!$B$7+'Parametros'!$B$9+'Parametros'!$B$12/2)+ROUNDDOWN(Z514/2,0)*('Parametros'!$B$7+'Parametros'!$B$9+'Parametros'!$B$12/2+'Parametros'!$B$12+'Parametros'!$B$10))/Z514)</f>
        <v>489.35</v>
      </c>
      <c r="AC514" s="10">
        <f>Z514*'Parametros'!$B$8</f>
        <v>995</v>
      </c>
      <c r="AD514" s="10">
        <f>'Parametros'!$B$5*AC514*'Parametros'!$B$3*(AB514-(AC514*'Parametros'!$B$3/(0.85*'Parametros'!$B$2*H514))/2)/1000000</f>
        <v>177.445379382353</v>
      </c>
      <c r="AE514" s="10" t="str">
        <f>IF(AD514&gt;=L514,"CUMPLE","NO CUMPLE")</f>
        <v>CUMPLE</v>
      </c>
      <c r="AF514" s="10">
        <f>V514*1.25*'Parametros'!$B$3*(U514-(V514*1.25*'Parametros'!$B$3/(0.85*'Parametros'!$B$2*H514))/2)/1000000</f>
        <v>422.975794963235</v>
      </c>
      <c r="AG514" s="10">
        <f>AC514*1.25*'Parametros'!$B$3*(AB514-(AC514*1.25*'Parametros'!$B$3/(0.85*'Parametros'!$B$2*H514))/2)/1000000</f>
        <v>244.158843198529</v>
      </c>
      <c r="AH514" s="10">
        <f>N514+(AF514+AG514)/D514</f>
        <v>543.499319080882</v>
      </c>
      <c r="AI514" s="10">
        <f>MAX(O514,AH514)</f>
        <v>543.499319080882</v>
      </c>
      <c r="AJ514" s="10">
        <f>0.17*SQRT('Parametros'!$B$2)*H514*MIN(U514,AB514)/1000</f>
        <v>220.098728691808</v>
      </c>
      <c r="AK514" s="10">
        <f>MAX(AI514/'Parametros'!$B$6-AJ514,0)</f>
        <v>504.567030082702</v>
      </c>
      <c r="AL514" s="10">
        <f>0.66*SQRT('Parametros'!$B$2)*H514*MIN(U514,AB514)/1000</f>
        <v>854.500946685842</v>
      </c>
      <c r="AM514" s="10" t="str">
        <f>IF(AK514&lt;=AL514,"CUMPLE","NO CUMPLE")</f>
        <v>CUMPLE</v>
      </c>
      <c r="AN514" s="17" t="inlineStr">
        <is>
          <t>Nº4 cerrado</t>
        </is>
      </c>
      <c r="AO514" s="31" t="n">
        <v>2</v>
      </c>
      <c r="AP514" s="10">
        <f>ROUNDDOWN(MIN(IF(BC514+BD514=0,1000000000,AO514*BB514/(BC514+BD514)),MIN(U514,AB514)/4,8*'Parametros'!$B$12,24*BA514,300,IF(AV514=0,1000000000,2*((H514-2*('Parametros'!$B$7+'Parametros'!$B$9/2))+(I514-2*('Parametros'!$B$7+'Parametros'!$B$9/2)))/8))/10,0)*10</f>
        <v>100</v>
      </c>
      <c r="AQ514" s="10">
        <f>ROUNDDOWN(MIN(IF(BC514+BD514=0,1000000000,AO514*BB514/(BC514+BD514)),IF(AK514&gt;0.33*SQRT('Parametros'!$B$2)*H514*MIN(U514,AB514)/1000,MIN(U514,AB514)/4,MIN(U514,AB514)/2),600,IF(AV514=0,1000000000,2*((H514-2*('Parametros'!$B$7+'Parametros'!$B$9/2))+(I514-2*('Parametros'!$B$7+'Parametros'!$B$9/2)))/8))/10,0)*10</f>
        <v>100</v>
      </c>
      <c r="AR514" s="10">
        <f>'Parametros'!$B$6*(AJ514+MAX(BE514-BD514,0)*'Parametros'!$B$4*MIN(U514,AB514)/1000)</f>
        <v>562.768791518856</v>
      </c>
      <c r="AS514" s="10" t="str">
        <f>IF(AND(ISERROR(SEARCH("referencia",AN514)),AM514="CUMPLE",AR514&gt;=AI514),"CUMPLE","NO CUMPLE")</f>
        <v>CUMPLE</v>
      </c>
      <c r="AT514" s="10">
        <f>'Parametros'!$B$6*0.083*SQRT('Parametros'!$B$2)*(H514*I514)^2/(2*(H514+I514))/1000000</f>
        <v>11.862178757599</v>
      </c>
      <c r="AU514" s="10" t="str">
        <f>IF(Q514&lt;=AT514,"DESPRECIABLE","DISEÑAR")</f>
        <v>DESPRECIABLE</v>
      </c>
      <c r="AV514" s="10">
        <f>IF(Q514&lt;=AT514,0,Q514*1000000/('Parametros'!$B$6*2*0.85*(H514-2*('Parametros'!$B$7+'Parametros'!$B$9/2))*(I514-2*('Parametros'!$B$7+'Parametros'!$B$9/2))*'Parametros'!$B$4))</f>
        <v>0</v>
      </c>
      <c r="AW514" s="10">
        <f>AV514*2*((H514-2*('Parametros'!$B$7+'Parametros'!$B$9/2))+(I514-2*('Parametros'!$B$7+'Parametros'!$B$9/2)))*'Parametros'!$B$4/'Parametros'!$B$3</f>
        <v>0</v>
      </c>
      <c r="AX514" s="31" t="n">
        <v>0</v>
      </c>
      <c r="AY514" s="10" t="str">
        <f>IF(AV514=0,"DESPRECIABLE",IF(AND(ISERROR(SEARCH("referencia",AN514)),BB514/AP514&gt;=AV514,BI514&gt;=AW514,BH514="CUMPLE"),"CUMPLE","NO CUMPLE"))</f>
        <v>DESPRECIABLE</v>
      </c>
      <c r="AZ514" s="10" t="str">
        <f>IF(AND(X514="CUMPLE",AE514="CUMPLE",AS514="CUMPLE",OR(AY514="CUMPLE",AY514="DESPRECIABLE"),BH514="CUMPLE",BJ514="CUMPLE"),"CUMPLE","NO CUMPLE")</f>
        <v>CUMPLE</v>
      </c>
      <c r="BA514" s="32" t="n">
        <v>12.7</v>
      </c>
      <c r="BB514" s="32" t="n">
        <v>129</v>
      </c>
      <c r="BC514" s="10">
        <f>MAX(IF(AK514=0,0,AK514*1000/('Parametros'!$B$4*MIN(U514,AB514))),MAX(0.062*SQRT('Parametros'!$B$2)*H514/'Parametros'!$B$4,0.35*H514/'Parametros'!$B$4))</f>
        <v>2.45499146137832</v>
      </c>
      <c r="BD514" s="10">
        <f>2*AV514</f>
        <v>0</v>
      </c>
      <c r="BE514" s="10">
        <f>AO514*BB514/AP514</f>
        <v>2.58</v>
      </c>
      <c r="BF514" s="10">
        <f>SQRT((AI514*1000/(H514*MIN(U514,AB514)))^2+(Q514*1000000*2*((H514-2*('Parametros'!$B$7+'Parametros'!$B$9/2))+(I514-2*('Parametros'!$B$7+'Parametros'!$B$9/2)))/(1.7*((H514-2*('Parametros'!$B$7+'Parametros'!$B$9/2))*(I514-2*('Parametros'!$B$7+'Parametros'!$B$9/2)))^2))^2)</f>
        <v>2.23786251004479</v>
      </c>
      <c r="BG514" s="10">
        <f>'Parametros'!$B$6*(AJ514*1000/(H514*MIN(U514,AB514))+0.66*SQRT('Parametros'!$B$2))</f>
        <v>3.29396038227542</v>
      </c>
      <c r="BH514" s="10" t="str">
        <f>IF(BF514&lt;=BG514,"CUMPLE","NO CUMPLE")</f>
        <v>CUMPLE</v>
      </c>
      <c r="BI514" s="10">
        <f>AX514*'Parametros'!$B$8</f>
        <v>0</v>
      </c>
      <c r="BJ514" s="10" t="str">
        <f>IF(BI514&gt;=AW514,"CUMPLE","NO CUMPLE")</f>
        <v>CUMPLE</v>
      </c>
    </row>
    <row r="515">
      <c r="A515" s="26" t="inlineStr">
        <is>
          <t>VR3</t>
        </is>
      </c>
      <c r="B515" s="26" t="inlineStr">
        <is>
          <t>232</t>
        </is>
      </c>
      <c r="C515" s="10" t="n">
        <v>1</v>
      </c>
      <c r="D515" s="10" t="n">
        <v>2.35</v>
      </c>
      <c r="E515" s="10" t="n">
        <v>2.35</v>
      </c>
      <c r="F515" s="10" t="n">
        <v>500</v>
      </c>
      <c r="G515" s="10" t="n">
        <v>550</v>
      </c>
      <c r="H515" s="17" t="n">
        <v>500</v>
      </c>
      <c r="I515" s="17" t="n">
        <v>550</v>
      </c>
      <c r="J515" s="30" t="n">
        <v>266.3308</v>
      </c>
      <c r="K515" s="10" t="inlineStr">
        <is>
          <t>232</t>
        </is>
      </c>
      <c r="L515" s="30" t="n">
        <v>132.9362</v>
      </c>
      <c r="M515" s="10" t="inlineStr">
        <is>
          <t>232</t>
        </is>
      </c>
      <c r="N515" s="30" t="n">
        <v>208.951</v>
      </c>
      <c r="O515" s="30" t="n">
        <v>357.929</v>
      </c>
      <c r="P515" s="10" t="inlineStr">
        <is>
          <t>232</t>
        </is>
      </c>
      <c r="Q515" s="30" t="n">
        <v>11.0037</v>
      </c>
      <c r="R515" s="10">
        <f>MAX(MAX(1.4/'Parametros'!$B$3,0.25*SQRT('Parametros'!$B$2)/'Parametros'!$B$3)*H515*U515,(0.85*'Parametros'!$B$2/'Parametros'!$B$3)*(1-SQRT(1-2*(J515*1000000/('Parametros'!$B$5*H515*U515^2))/(0.85*'Parametros'!$B$2)))*H515*U515)</f>
        <v>1523.53181184545</v>
      </c>
      <c r="S515" s="31" t="n">
        <v>8</v>
      </c>
      <c r="T515" s="32" t="n">
        <v>1</v>
      </c>
      <c r="U515" s="10">
        <f>IF(T515=1,I515-('Parametros'!$B$7+'Parametros'!$B$9+'Parametros'!$B$12/2),I515-(ROUNDUP(S515/2,0)*('Parametros'!$B$7+'Parametros'!$B$9+'Parametros'!$B$12/2)+ROUNDDOWN(S515/2,0)*('Parametros'!$B$7+'Parametros'!$B$9+'Parametros'!$B$12/2+'Parametros'!$B$12+'Parametros'!$B$10))/S515)</f>
        <v>489.35</v>
      </c>
      <c r="V515" s="10">
        <f>S515*'Parametros'!$B$8</f>
        <v>1592</v>
      </c>
      <c r="W515" s="10">
        <f>'Parametros'!$B$5*V515*'Parametros'!$B$3*(U515-(V515*'Parametros'!$B$3/(0.85*'Parametros'!$B$2*H515))/2)/1000000</f>
        <v>277.572719858824</v>
      </c>
      <c r="X515" s="10" t="str">
        <f>IF(W515&gt;=J515,"CUMPLE","NO CUMPLE")</f>
        <v>CUMPLE</v>
      </c>
      <c r="Y515" s="10">
        <f>MAX(MAX(1.4/'Parametros'!$B$3,0.25*SQRT('Parametros'!$B$2)/'Parametros'!$B$3)*H515*AB515,(0.85*'Parametros'!$B$2/'Parametros'!$B$3)*(1-SQRT(1-2*(L515*1000000/('Parametros'!$B$5*H515*AB515^2))/(0.85*'Parametros'!$B$2)))*H515*AB515)</f>
        <v>815.583333333333</v>
      </c>
      <c r="Z515" s="31" t="n">
        <v>5</v>
      </c>
      <c r="AA515" s="32" t="n">
        <v>1</v>
      </c>
      <c r="AB515" s="10">
        <f>IF(AA515=1,I515-('Parametros'!$B$7+'Parametros'!$B$9+'Parametros'!$B$12/2),I515-(ROUNDUP(Z515/2,0)*('Parametros'!$B$7+'Parametros'!$B$9+'Parametros'!$B$12/2)+ROUNDDOWN(Z515/2,0)*('Parametros'!$B$7+'Parametros'!$B$9+'Parametros'!$B$12/2+'Parametros'!$B$12+'Parametros'!$B$10))/Z515)</f>
        <v>489.35</v>
      </c>
      <c r="AC515" s="10">
        <f>Z515*'Parametros'!$B$8</f>
        <v>995</v>
      </c>
      <c r="AD515" s="10">
        <f>'Parametros'!$B$5*AC515*'Parametros'!$B$3*(AB515-(AC515*'Parametros'!$B$3/(0.85*'Parametros'!$B$2*H515))/2)/1000000</f>
        <v>177.445379382353</v>
      </c>
      <c r="AE515" s="10" t="str">
        <f>IF(AD515&gt;=L515,"CUMPLE","NO CUMPLE")</f>
        <v>CUMPLE</v>
      </c>
      <c r="AF515" s="10">
        <f>V515*1.25*'Parametros'!$B$3*(U515-(V515*1.25*'Parametros'!$B$3/(0.85*'Parametros'!$B$2*H515))/2)/1000000</f>
        <v>379.647400588235</v>
      </c>
      <c r="AG515" s="10">
        <f>AC515*1.25*'Parametros'!$B$3*(AB515-(AC515*1.25*'Parametros'!$B$3/(0.85*'Parametros'!$B$2*H515))/2)/1000000</f>
        <v>244.158843198529</v>
      </c>
      <c r="AH515" s="10">
        <f>N515+(AF515+AG515)/D515</f>
        <v>474.400465441176</v>
      </c>
      <c r="AI515" s="10">
        <f>MAX(O515,AH515)</f>
        <v>474.400465441176</v>
      </c>
      <c r="AJ515" s="10">
        <f>0.17*SQRT('Parametros'!$B$2)*H515*MIN(U515,AB515)/1000</f>
        <v>220.098728691808</v>
      </c>
      <c r="AK515" s="10">
        <f>MAX(AI515/'Parametros'!$B$6-AJ515,0)</f>
        <v>412.435225229761</v>
      </c>
      <c r="AL515" s="10">
        <f>0.66*SQRT('Parametros'!$B$2)*H515*MIN(U515,AB515)/1000</f>
        <v>854.500946685842</v>
      </c>
      <c r="AM515" s="10" t="str">
        <f>IF(AK515&lt;=AL515,"CUMPLE","NO CUMPLE")</f>
        <v>CUMPLE</v>
      </c>
      <c r="AN515" s="17" t="inlineStr">
        <is>
          <t>Nº4 cerrado</t>
        </is>
      </c>
      <c r="AO515" s="31" t="n">
        <v>2</v>
      </c>
      <c r="AP515" s="10">
        <f>ROUNDDOWN(MIN(IF(BC515+BD515=0,1000000000,AO515*BB515/(BC515+BD515)),MIN(U515,AB515)/4,8*'Parametros'!$B$12,24*BA515,300,IF(AV515=0,1000000000,2*((H515-2*('Parametros'!$B$7+'Parametros'!$B$9/2))+(I515-2*('Parametros'!$B$7+'Parametros'!$B$9/2)))/8))/10,0)*10</f>
        <v>120</v>
      </c>
      <c r="AQ515" s="10">
        <f>ROUNDDOWN(MIN(IF(BC515+BD515=0,1000000000,AO515*BB515/(BC515+BD515)),IF(AK515&gt;0.33*SQRT('Parametros'!$B$2)*H515*MIN(U515,AB515)/1000,MIN(U515,AB515)/4,MIN(U515,AB515)/2),600,IF(AV515=0,1000000000,2*((H515-2*('Parametros'!$B$7+'Parametros'!$B$9/2))+(I515-2*('Parametros'!$B$7+'Parametros'!$B$9/2)))/8))/10,0)*10</f>
        <v>120</v>
      </c>
      <c r="AR515" s="10">
        <f>'Parametros'!$B$6*(AJ515+MAX(BE515-BD515,0)*'Parametros'!$B$4*MIN(U515,AB515)/1000)</f>
        <v>496.486334018856</v>
      </c>
      <c r="AS515" s="10" t="str">
        <f>IF(AND(ISERROR(SEARCH("referencia",AN515)),AM515="CUMPLE",AR515&gt;=AI515),"CUMPLE","NO CUMPLE")</f>
        <v>CUMPLE</v>
      </c>
      <c r="AT515" s="10">
        <f>'Parametros'!$B$6*0.083*SQRT('Parametros'!$B$2)*(H515*I515)^2/(2*(H515+I515))/1000000</f>
        <v>11.862178757599</v>
      </c>
      <c r="AU515" s="10" t="str">
        <f>IF(Q515&lt;=AT515,"DESPRECIABLE","DISEÑAR")</f>
        <v>DESPRECIABLE</v>
      </c>
      <c r="AV515" s="10">
        <f>IF(Q515&lt;=AT515,0,Q515*1000000/('Parametros'!$B$6*2*0.85*(H515-2*('Parametros'!$B$7+'Parametros'!$B$9/2))*(I515-2*('Parametros'!$B$7+'Parametros'!$B$9/2))*'Parametros'!$B$4))</f>
        <v>0</v>
      </c>
      <c r="AW515" s="10">
        <f>AV515*2*((H515-2*('Parametros'!$B$7+'Parametros'!$B$9/2))+(I515-2*('Parametros'!$B$7+'Parametros'!$B$9/2)))*'Parametros'!$B$4/'Parametros'!$B$3</f>
        <v>0</v>
      </c>
      <c r="AX515" s="31" t="n">
        <v>0</v>
      </c>
      <c r="AY515" s="10" t="str">
        <f>IF(AV515=0,"DESPRECIABLE",IF(AND(ISERROR(SEARCH("referencia",AN515)),BB515/AP515&gt;=AV515,BI515&gt;=AW515,BH515="CUMPLE"),"CUMPLE","NO CUMPLE"))</f>
        <v>DESPRECIABLE</v>
      </c>
      <c r="AZ515" s="10" t="str">
        <f>IF(AND(X515="CUMPLE",AE515="CUMPLE",AS515="CUMPLE",OR(AY515="CUMPLE",AY515="DESPRECIABLE"),BH515="CUMPLE",BJ515="CUMPLE"),"CUMPLE","NO CUMPLE")</f>
        <v>CUMPLE</v>
      </c>
      <c r="BA515" s="32" t="n">
        <v>12.7</v>
      </c>
      <c r="BB515" s="32" t="n">
        <v>129</v>
      </c>
      <c r="BC515" s="10">
        <f>MAX(IF(AK515=0,0,AK515*1000/('Parametros'!$B$4*MIN(U515,AB515))),MAX(0.062*SQRT('Parametros'!$B$2)*H515/'Parametros'!$B$4,0.35*H515/'Parametros'!$B$4))</f>
        <v>2.0067204076825</v>
      </c>
      <c r="BD515" s="10">
        <f>2*AV515</f>
        <v>0</v>
      </c>
      <c r="BE515" s="10">
        <f>AO515*BB515/AP515</f>
        <v>2.15</v>
      </c>
      <c r="BF515" s="10">
        <f>SQRT((AI515*1000/(H515*MIN(U515,AB515)))^2+(Q515*1000000*2*((H515-2*('Parametros'!$B$7+'Parametros'!$B$9/2))+(I515-2*('Parametros'!$B$7+'Parametros'!$B$9/2)))/(1.7*((H515-2*('Parametros'!$B$7+'Parametros'!$B$9/2))*(I515-2*('Parametros'!$B$7+'Parametros'!$B$9/2)))^2))^2)</f>
        <v>1.96555961361048</v>
      </c>
      <c r="BG515" s="10">
        <f>'Parametros'!$B$6*(AJ515*1000/(H515*MIN(U515,AB515))+0.66*SQRT('Parametros'!$B$2))</f>
        <v>3.29396038227542</v>
      </c>
      <c r="BH515" s="10" t="str">
        <f>IF(BF515&lt;=BG515,"CUMPLE","NO CUMPLE")</f>
        <v>CUMPLE</v>
      </c>
      <c r="BI515" s="10">
        <f>AX515*'Parametros'!$B$8</f>
        <v>0</v>
      </c>
      <c r="BJ515" s="10" t="str">
        <f>IF(BI515&gt;=AW515,"CUMPLE","NO CUMPLE")</f>
        <v>CUMPLE</v>
      </c>
    </row>
    <row r="516">
      <c r="A516" s="26" t="inlineStr">
        <is>
          <t>VR3</t>
        </is>
      </c>
      <c r="B516" s="26" t="inlineStr">
        <is>
          <t>781</t>
        </is>
      </c>
      <c r="C516" s="10" t="n">
        <v>1</v>
      </c>
      <c r="D516" s="10" t="n">
        <v>2.35</v>
      </c>
      <c r="E516" s="10" t="n">
        <v>2.35</v>
      </c>
      <c r="F516" s="10" t="n">
        <v>500</v>
      </c>
      <c r="G516" s="10" t="n">
        <v>550</v>
      </c>
      <c r="H516" s="17" t="n">
        <v>500</v>
      </c>
      <c r="I516" s="17" t="n">
        <v>550</v>
      </c>
      <c r="J516" s="30" t="n">
        <v>245.1373</v>
      </c>
      <c r="K516" s="10" t="inlineStr">
        <is>
          <t>781</t>
        </is>
      </c>
      <c r="L516" s="30" t="n">
        <v>133.9048</v>
      </c>
      <c r="M516" s="10" t="inlineStr">
        <is>
          <t>781</t>
        </is>
      </c>
      <c r="N516" s="30" t="n">
        <v>201.738</v>
      </c>
      <c r="O516" s="30" t="n">
        <v>325.447</v>
      </c>
      <c r="P516" s="10" t="inlineStr">
        <is>
          <t>781</t>
        </is>
      </c>
      <c r="Q516" s="30" t="n">
        <v>9.132199999999999</v>
      </c>
      <c r="R516" s="10">
        <f>MAX(MAX(1.4/'Parametros'!$B$3,0.25*SQRT('Parametros'!$B$2)/'Parametros'!$B$3)*H516*U516,(0.85*'Parametros'!$B$2/'Parametros'!$B$3)*(1-SQRT(1-2*(J516*1000000/('Parametros'!$B$5*H516*U516^2))/(0.85*'Parametros'!$B$2)))*H516*U516)</f>
        <v>1395.47657420596</v>
      </c>
      <c r="S516" s="31" t="n">
        <v>8</v>
      </c>
      <c r="T516" s="32" t="n">
        <v>1</v>
      </c>
      <c r="U516" s="10">
        <f>IF(T516=1,I516-('Parametros'!$B$7+'Parametros'!$B$9+'Parametros'!$B$12/2),I516-(ROUNDUP(S516/2,0)*('Parametros'!$B$7+'Parametros'!$B$9+'Parametros'!$B$12/2)+ROUNDDOWN(S516/2,0)*('Parametros'!$B$7+'Parametros'!$B$9+'Parametros'!$B$12/2+'Parametros'!$B$12+'Parametros'!$B$10))/S516)</f>
        <v>489.35</v>
      </c>
      <c r="V516" s="10">
        <f>S516*'Parametros'!$B$8</f>
        <v>1592</v>
      </c>
      <c r="W516" s="10">
        <f>'Parametros'!$B$5*V516*'Parametros'!$B$3*(U516-(V516*'Parametros'!$B$3/(0.85*'Parametros'!$B$2*H516))/2)/1000000</f>
        <v>277.572719858824</v>
      </c>
      <c r="X516" s="10" t="str">
        <f>IF(W516&gt;=J516,"CUMPLE","NO CUMPLE")</f>
        <v>CUMPLE</v>
      </c>
      <c r="Y516" s="10">
        <f>MAX(MAX(1.4/'Parametros'!$B$3,0.25*SQRT('Parametros'!$B$2)/'Parametros'!$B$3)*H516*AB516,(0.85*'Parametros'!$B$2/'Parametros'!$B$3)*(1-SQRT(1-2*(L516*1000000/('Parametros'!$B$5*H516*AB516^2))/(0.85*'Parametros'!$B$2)))*H516*AB516)</f>
        <v>815.583333333333</v>
      </c>
      <c r="Z516" s="31" t="n">
        <v>5</v>
      </c>
      <c r="AA516" s="32" t="n">
        <v>1</v>
      </c>
      <c r="AB516" s="10">
        <f>IF(AA516=1,I516-('Parametros'!$B$7+'Parametros'!$B$9+'Parametros'!$B$12/2),I516-(ROUNDUP(Z516/2,0)*('Parametros'!$B$7+'Parametros'!$B$9+'Parametros'!$B$12/2)+ROUNDDOWN(Z516/2,0)*('Parametros'!$B$7+'Parametros'!$B$9+'Parametros'!$B$12/2+'Parametros'!$B$12+'Parametros'!$B$10))/Z516)</f>
        <v>489.35</v>
      </c>
      <c r="AC516" s="10">
        <f>Z516*'Parametros'!$B$8</f>
        <v>995</v>
      </c>
      <c r="AD516" s="10">
        <f>'Parametros'!$B$5*AC516*'Parametros'!$B$3*(AB516-(AC516*'Parametros'!$B$3/(0.85*'Parametros'!$B$2*H516))/2)/1000000</f>
        <v>177.445379382353</v>
      </c>
      <c r="AE516" s="10" t="str">
        <f>IF(AD516&gt;=L516,"CUMPLE","NO CUMPLE")</f>
        <v>CUMPLE</v>
      </c>
      <c r="AF516" s="10">
        <f>V516*1.25*'Parametros'!$B$3*(U516-(V516*1.25*'Parametros'!$B$3/(0.85*'Parametros'!$B$2*H516))/2)/1000000</f>
        <v>379.647400588235</v>
      </c>
      <c r="AG516" s="10">
        <f>AC516*1.25*'Parametros'!$B$3*(AB516-(AC516*1.25*'Parametros'!$B$3/(0.85*'Parametros'!$B$2*H516))/2)/1000000</f>
        <v>244.158843198529</v>
      </c>
      <c r="AH516" s="10">
        <f>N516+(AF516+AG516)/D516</f>
        <v>467.187465441176</v>
      </c>
      <c r="AI516" s="10">
        <f>MAX(O516,AH516)</f>
        <v>467.187465441176</v>
      </c>
      <c r="AJ516" s="10">
        <f>0.17*SQRT('Parametros'!$B$2)*H516*MIN(U516,AB516)/1000</f>
        <v>220.098728691808</v>
      </c>
      <c r="AK516" s="10">
        <f>MAX(AI516/'Parametros'!$B$6-AJ516,0)</f>
        <v>402.817891896428</v>
      </c>
      <c r="AL516" s="10">
        <f>0.66*SQRT('Parametros'!$B$2)*H516*MIN(U516,AB516)/1000</f>
        <v>854.500946685842</v>
      </c>
      <c r="AM516" s="10" t="str">
        <f>IF(AK516&lt;=AL516,"CUMPLE","NO CUMPLE")</f>
        <v>CUMPLE</v>
      </c>
      <c r="AN516" s="17" t="inlineStr">
        <is>
          <t>Nº4 cerrado</t>
        </is>
      </c>
      <c r="AO516" s="31" t="n">
        <v>2</v>
      </c>
      <c r="AP516" s="10">
        <f>ROUNDDOWN(MIN(IF(BC516+BD516=0,1000000000,AO516*BB516/(BC516+BD516)),MIN(U516,AB516)/4,8*'Parametros'!$B$12,24*BA516,300,IF(AV516=0,1000000000,2*((H516-2*('Parametros'!$B$7+'Parametros'!$B$9/2))+(I516-2*('Parametros'!$B$7+'Parametros'!$B$9/2)))/8))/10,0)*10</f>
        <v>120</v>
      </c>
      <c r="AQ516" s="10">
        <f>ROUNDDOWN(MIN(IF(BC516+BD516=0,1000000000,AO516*BB516/(BC516+BD516)),IF(AK516&gt;0.33*SQRT('Parametros'!$B$2)*H516*MIN(U516,AB516)/1000,MIN(U516,AB516)/4,MIN(U516,AB516)/2),600,IF(AV516=0,1000000000,2*((H516-2*('Parametros'!$B$7+'Parametros'!$B$9/2))+(I516-2*('Parametros'!$B$7+'Parametros'!$B$9/2)))/8))/10,0)*10</f>
        <v>130</v>
      </c>
      <c r="AR516" s="10">
        <f>'Parametros'!$B$6*(AJ516+MAX(BE516-BD516,0)*'Parametros'!$B$4*MIN(U516,AB516)/1000)</f>
        <v>496.486334018856</v>
      </c>
      <c r="AS516" s="10" t="str">
        <f>IF(AND(ISERROR(SEARCH("referencia",AN516)),AM516="CUMPLE",AR516&gt;=AI516),"CUMPLE","NO CUMPLE")</f>
        <v>CUMPLE</v>
      </c>
      <c r="AT516" s="10">
        <f>'Parametros'!$B$6*0.083*SQRT('Parametros'!$B$2)*(H516*I516)^2/(2*(H516+I516))/1000000</f>
        <v>11.862178757599</v>
      </c>
      <c r="AU516" s="10" t="str">
        <f>IF(Q516&lt;=AT516,"DESPRECIABLE","DISEÑAR")</f>
        <v>DESPRECIABLE</v>
      </c>
      <c r="AV516" s="10">
        <f>IF(Q516&lt;=AT516,0,Q516*1000000/('Parametros'!$B$6*2*0.85*(H516-2*('Parametros'!$B$7+'Parametros'!$B$9/2))*(I516-2*('Parametros'!$B$7+'Parametros'!$B$9/2))*'Parametros'!$B$4))</f>
        <v>0</v>
      </c>
      <c r="AW516" s="10">
        <f>AV516*2*((H516-2*('Parametros'!$B$7+'Parametros'!$B$9/2))+(I516-2*('Parametros'!$B$7+'Parametros'!$B$9/2)))*'Parametros'!$B$4/'Parametros'!$B$3</f>
        <v>0</v>
      </c>
      <c r="AX516" s="31" t="n">
        <v>0</v>
      </c>
      <c r="AY516" s="10" t="str">
        <f>IF(AV516=0,"DESPRECIABLE",IF(AND(ISERROR(SEARCH("referencia",AN516)),BB516/AP516&gt;=AV516,BI516&gt;=AW516,BH516="CUMPLE"),"CUMPLE","NO CUMPLE"))</f>
        <v>DESPRECIABLE</v>
      </c>
      <c r="AZ516" s="10" t="str">
        <f>IF(AND(X516="CUMPLE",AE516="CUMPLE",AS516="CUMPLE",OR(AY516="CUMPLE",AY516="DESPRECIABLE"),BH516="CUMPLE",BJ516="CUMPLE"),"CUMPLE","NO CUMPLE")</f>
        <v>CUMPLE</v>
      </c>
      <c r="BA516" s="32" t="n">
        <v>12.7</v>
      </c>
      <c r="BB516" s="32" t="n">
        <v>129</v>
      </c>
      <c r="BC516" s="10">
        <f>MAX(IF(AK516=0,0,AK516*1000/('Parametros'!$B$4*MIN(U516,AB516))),MAX(0.062*SQRT('Parametros'!$B$2)*H516/'Parametros'!$B$4,0.35*H516/'Parametros'!$B$4))</f>
        <v>1.95992688014921</v>
      </c>
      <c r="BD516" s="10">
        <f>2*AV516</f>
        <v>0</v>
      </c>
      <c r="BE516" s="10">
        <f>AO516*BB516/AP516</f>
        <v>2.15</v>
      </c>
      <c r="BF516" s="10">
        <f>SQRT((AI516*1000/(H516*MIN(U516,AB516)))^2+(Q516*1000000*2*((H516-2*('Parametros'!$B$7+'Parametros'!$B$9/2))+(I516-2*('Parametros'!$B$7+'Parametros'!$B$9/2)))/(1.7*((H516-2*('Parametros'!$B$7+'Parametros'!$B$9/2))*(I516-2*('Parametros'!$B$7+'Parametros'!$B$9/2)))^2))^2)</f>
        <v>1.92810280264153</v>
      </c>
      <c r="BG516" s="10">
        <f>'Parametros'!$B$6*(AJ516*1000/(H516*MIN(U516,AB516))+0.66*SQRT('Parametros'!$B$2))</f>
        <v>3.29396038227542</v>
      </c>
      <c r="BH516" s="10" t="str">
        <f>IF(BF516&lt;=BG516,"CUMPLE","NO CUMPLE")</f>
        <v>CUMPLE</v>
      </c>
      <c r="BI516" s="10">
        <f>AX516*'Parametros'!$B$8</f>
        <v>0</v>
      </c>
      <c r="BJ516" s="10" t="str">
        <f>IF(BI516&gt;=AW516,"CUMPLE","NO CUMPLE")</f>
        <v>CUMPLE</v>
      </c>
    </row>
    <row r="517">
      <c r="A517" s="26" t="inlineStr">
        <is>
          <t>VR3</t>
        </is>
      </c>
      <c r="B517" s="26" t="inlineStr">
        <is>
          <t>782</t>
        </is>
      </c>
      <c r="C517" s="10" t="n">
        <v>1</v>
      </c>
      <c r="D517" s="10" t="n">
        <v>2</v>
      </c>
      <c r="E517" s="10" t="n">
        <v>2</v>
      </c>
      <c r="F517" s="10" t="n">
        <v>500</v>
      </c>
      <c r="G517" s="10" t="n">
        <v>550</v>
      </c>
      <c r="H517" s="17" t="n">
        <v>500</v>
      </c>
      <c r="I517" s="17" t="n">
        <v>550</v>
      </c>
      <c r="J517" s="30" t="n">
        <v>262.9223</v>
      </c>
      <c r="K517" s="10" t="inlineStr">
        <is>
          <t>782</t>
        </is>
      </c>
      <c r="L517" s="30" t="n">
        <v>120.5863</v>
      </c>
      <c r="M517" s="10" t="inlineStr">
        <is>
          <t>782</t>
        </is>
      </c>
      <c r="N517" s="30" t="n">
        <v>204.667</v>
      </c>
      <c r="O517" s="30" t="n">
        <v>327.742</v>
      </c>
      <c r="P517" s="10" t="inlineStr">
        <is>
          <t>782</t>
        </is>
      </c>
      <c r="Q517" s="30" t="n">
        <v>7.3585</v>
      </c>
      <c r="R517" s="10">
        <f>MAX(MAX(1.4/'Parametros'!$B$3,0.25*SQRT('Parametros'!$B$2)/'Parametros'!$B$3)*H517*U517,(0.85*'Parametros'!$B$2/'Parametros'!$B$3)*(1-SQRT(1-2*(J517*1000000/('Parametros'!$B$5*H517*U517^2))/(0.85*'Parametros'!$B$2)))*H517*U517)</f>
        <v>1502.847480579</v>
      </c>
      <c r="S517" s="31" t="n">
        <v>8</v>
      </c>
      <c r="T517" s="32" t="n">
        <v>1</v>
      </c>
      <c r="U517" s="10">
        <f>IF(T517=1,I517-('Parametros'!$B$7+'Parametros'!$B$9+'Parametros'!$B$12/2),I517-(ROUNDUP(S517/2,0)*('Parametros'!$B$7+'Parametros'!$B$9+'Parametros'!$B$12/2)+ROUNDDOWN(S517/2,0)*('Parametros'!$B$7+'Parametros'!$B$9+'Parametros'!$B$12/2+'Parametros'!$B$12+'Parametros'!$B$10))/S517)</f>
        <v>489.35</v>
      </c>
      <c r="V517" s="10">
        <f>S517*'Parametros'!$B$8</f>
        <v>1592</v>
      </c>
      <c r="W517" s="10">
        <f>'Parametros'!$B$5*V517*'Parametros'!$B$3*(U517-(V517*'Parametros'!$B$3/(0.85*'Parametros'!$B$2*H517))/2)/1000000</f>
        <v>277.572719858824</v>
      </c>
      <c r="X517" s="10" t="str">
        <f>IF(W517&gt;=J517,"CUMPLE","NO CUMPLE")</f>
        <v>CUMPLE</v>
      </c>
      <c r="Y517" s="10">
        <f>MAX(MAX(1.4/'Parametros'!$B$3,0.25*SQRT('Parametros'!$B$2)/'Parametros'!$B$3)*H517*AB517,(0.85*'Parametros'!$B$2/'Parametros'!$B$3)*(1-SQRT(1-2*(L517*1000000/('Parametros'!$B$5*H517*AB517^2))/(0.85*'Parametros'!$B$2)))*H517*AB517)</f>
        <v>815.583333333333</v>
      </c>
      <c r="Z517" s="31" t="n">
        <v>5</v>
      </c>
      <c r="AA517" s="32" t="n">
        <v>1</v>
      </c>
      <c r="AB517" s="10">
        <f>IF(AA517=1,I517-('Parametros'!$B$7+'Parametros'!$B$9+'Parametros'!$B$12/2),I517-(ROUNDUP(Z517/2,0)*('Parametros'!$B$7+'Parametros'!$B$9+'Parametros'!$B$12/2)+ROUNDDOWN(Z517/2,0)*('Parametros'!$B$7+'Parametros'!$B$9+'Parametros'!$B$12/2+'Parametros'!$B$12+'Parametros'!$B$10))/Z517)</f>
        <v>489.35</v>
      </c>
      <c r="AC517" s="10">
        <f>Z517*'Parametros'!$B$8</f>
        <v>995</v>
      </c>
      <c r="AD517" s="10">
        <f>'Parametros'!$B$5*AC517*'Parametros'!$B$3*(AB517-(AC517*'Parametros'!$B$3/(0.85*'Parametros'!$B$2*H517))/2)/1000000</f>
        <v>177.445379382353</v>
      </c>
      <c r="AE517" s="10" t="str">
        <f>IF(AD517&gt;=L517,"CUMPLE","NO CUMPLE")</f>
        <v>CUMPLE</v>
      </c>
      <c r="AF517" s="10">
        <f>V517*1.25*'Parametros'!$B$3*(U517-(V517*1.25*'Parametros'!$B$3/(0.85*'Parametros'!$B$2*H517))/2)/1000000</f>
        <v>379.647400588235</v>
      </c>
      <c r="AG517" s="10">
        <f>AC517*1.25*'Parametros'!$B$3*(AB517-(AC517*1.25*'Parametros'!$B$3/(0.85*'Parametros'!$B$2*H517))/2)/1000000</f>
        <v>244.158843198529</v>
      </c>
      <c r="AH517" s="10">
        <f>N517+(AF517+AG517)/D517</f>
        <v>516.570121893382</v>
      </c>
      <c r="AI517" s="10">
        <f>MAX(O517,AH517)</f>
        <v>516.570121893382</v>
      </c>
      <c r="AJ517" s="10">
        <f>0.17*SQRT('Parametros'!$B$2)*H517*MIN(U517,AB517)/1000</f>
        <v>220.098728691808</v>
      </c>
      <c r="AK517" s="10">
        <f>MAX(AI517/'Parametros'!$B$6-AJ517,0)</f>
        <v>468.661433832702</v>
      </c>
      <c r="AL517" s="10">
        <f>0.66*SQRT('Parametros'!$B$2)*H517*MIN(U517,AB517)/1000</f>
        <v>854.500946685842</v>
      </c>
      <c r="AM517" s="10" t="str">
        <f>IF(AK517&lt;=AL517,"CUMPLE","NO CUMPLE")</f>
        <v>CUMPLE</v>
      </c>
      <c r="AN517" s="17" t="inlineStr">
        <is>
          <t>Nº4 cerrado</t>
        </is>
      </c>
      <c r="AO517" s="31" t="n">
        <v>2</v>
      </c>
      <c r="AP517" s="10">
        <f>ROUNDDOWN(MIN(IF(BC517+BD517=0,1000000000,AO517*BB517/(BC517+BD517)),MIN(U517,AB517)/4,8*'Parametros'!$B$12,24*BA517,300,IF(AV517=0,1000000000,2*((H517-2*('Parametros'!$B$7+'Parametros'!$B$9/2))+(I517-2*('Parametros'!$B$7+'Parametros'!$B$9/2)))/8))/10,0)*10</f>
        <v>110</v>
      </c>
      <c r="AQ517" s="10">
        <f>ROUNDDOWN(MIN(IF(BC517+BD517=0,1000000000,AO517*BB517/(BC517+BD517)),IF(AK517&gt;0.33*SQRT('Parametros'!$B$2)*H517*MIN(U517,AB517)/1000,MIN(U517,AB517)/4,MIN(U517,AB517)/2),600,IF(AV517=0,1000000000,2*((H517-2*('Parametros'!$B$7+'Parametros'!$B$9/2))+(I517-2*('Parametros'!$B$7+'Parametros'!$B$9/2)))/8))/10,0)*10</f>
        <v>110</v>
      </c>
      <c r="AR517" s="10">
        <f>'Parametros'!$B$6*(AJ517+MAX(BE517-BD517,0)*'Parametros'!$B$4*MIN(U517,AB517)/1000)</f>
        <v>526.614723791583</v>
      </c>
      <c r="AS517" s="10" t="str">
        <f>IF(AND(ISERROR(SEARCH("referencia",AN517)),AM517="CUMPLE",AR517&gt;=AI517),"CUMPLE","NO CUMPLE")</f>
        <v>CUMPLE</v>
      </c>
      <c r="AT517" s="10">
        <f>'Parametros'!$B$6*0.083*SQRT('Parametros'!$B$2)*(H517*I517)^2/(2*(H517+I517))/1000000</f>
        <v>11.862178757599</v>
      </c>
      <c r="AU517" s="10" t="str">
        <f>IF(Q517&lt;=AT517,"DESPRECIABLE","DISEÑAR")</f>
        <v>DESPRECIABLE</v>
      </c>
      <c r="AV517" s="10">
        <f>IF(Q517&lt;=AT517,0,Q517*1000000/('Parametros'!$B$6*2*0.85*(H517-2*('Parametros'!$B$7+'Parametros'!$B$9/2))*(I517-2*('Parametros'!$B$7+'Parametros'!$B$9/2))*'Parametros'!$B$4))</f>
        <v>0</v>
      </c>
      <c r="AW517" s="10">
        <f>AV517*2*((H517-2*('Parametros'!$B$7+'Parametros'!$B$9/2))+(I517-2*('Parametros'!$B$7+'Parametros'!$B$9/2)))*'Parametros'!$B$4/'Parametros'!$B$3</f>
        <v>0</v>
      </c>
      <c r="AX517" s="31" t="n">
        <v>0</v>
      </c>
      <c r="AY517" s="10" t="str">
        <f>IF(AV517=0,"DESPRECIABLE",IF(AND(ISERROR(SEARCH("referencia",AN517)),BB517/AP517&gt;=AV517,BI517&gt;=AW517,BH517="CUMPLE"),"CUMPLE","NO CUMPLE"))</f>
        <v>DESPRECIABLE</v>
      </c>
      <c r="AZ517" s="10" t="str">
        <f>IF(AND(X517="CUMPLE",AE517="CUMPLE",AS517="CUMPLE",OR(AY517="CUMPLE",AY517="DESPRECIABLE"),BH517="CUMPLE",BJ517="CUMPLE"),"CUMPLE","NO CUMPLE")</f>
        <v>CUMPLE</v>
      </c>
      <c r="BA517" s="32" t="n">
        <v>12.7</v>
      </c>
      <c r="BB517" s="32" t="n">
        <v>129</v>
      </c>
      <c r="BC517" s="10">
        <f>MAX(IF(AK517=0,0,AK517*1000/('Parametros'!$B$4*MIN(U517,AB517))),MAX(0.062*SQRT('Parametros'!$B$2)*H517/'Parametros'!$B$4,0.35*H517/'Parametros'!$B$4))</f>
        <v>2.2802913185747</v>
      </c>
      <c r="BD517" s="10">
        <f>2*AV517</f>
        <v>0</v>
      </c>
      <c r="BE517" s="10">
        <f>AO517*BB517/AP517</f>
        <v>2.34545454545455</v>
      </c>
      <c r="BF517" s="10">
        <f>SQRT((AI517*1000/(H517*MIN(U517,AB517)))^2+(Q517*1000000*2*((H517-2*('Parametros'!$B$7+'Parametros'!$B$9/2))+(I517-2*('Parametros'!$B$7+'Parametros'!$B$9/2)))/(1.7*((H517-2*('Parametros'!$B$7+'Parametros'!$B$9/2))*(I517-2*('Parametros'!$B$7+'Parametros'!$B$9/2)))^2))^2)</f>
        <v>2.12224547978643</v>
      </c>
      <c r="BG517" s="10">
        <f>'Parametros'!$B$6*(AJ517*1000/(H517*MIN(U517,AB517))+0.66*SQRT('Parametros'!$B$2))</f>
        <v>3.29396038227542</v>
      </c>
      <c r="BH517" s="10" t="str">
        <f>IF(BF517&lt;=BG517,"CUMPLE","NO CUMPLE")</f>
        <v>CUMPLE</v>
      </c>
      <c r="BI517" s="10">
        <f>AX517*'Parametros'!$B$8</f>
        <v>0</v>
      </c>
      <c r="BJ517" s="10" t="str">
        <f>IF(BI517&gt;=AW517,"CUMPLE","NO CUMPLE")</f>
        <v>CUMPLE</v>
      </c>
    </row>
    <row r="518">
      <c r="A518" s="26" t="inlineStr">
        <is>
          <t>VR3</t>
        </is>
      </c>
      <c r="B518" s="26" t="inlineStr">
        <is>
          <t>783</t>
        </is>
      </c>
      <c r="C518" s="10" t="n">
        <v>1</v>
      </c>
      <c r="D518" s="10" t="n">
        <v>1.9</v>
      </c>
      <c r="E518" s="10" t="n">
        <v>1.9</v>
      </c>
      <c r="F518" s="10" t="n">
        <v>500</v>
      </c>
      <c r="G518" s="10" t="n">
        <v>550</v>
      </c>
      <c r="H518" s="17" t="n">
        <v>500</v>
      </c>
      <c r="I518" s="17" t="n">
        <v>550</v>
      </c>
      <c r="J518" s="30" t="n">
        <v>137.7062</v>
      </c>
      <c r="K518" s="10" t="inlineStr">
        <is>
          <t>783</t>
        </is>
      </c>
      <c r="L518" s="30" t="n">
        <v>76.6666</v>
      </c>
      <c r="M518" s="10" t="inlineStr">
        <is>
          <t>783</t>
        </is>
      </c>
      <c r="N518" s="30" t="n">
        <v>118.523</v>
      </c>
      <c r="O518" s="30" t="n">
        <v>430.369</v>
      </c>
      <c r="P518" s="10" t="inlineStr">
        <is>
          <t>783</t>
        </is>
      </c>
      <c r="Q518" s="30" t="n">
        <v>0.2772</v>
      </c>
      <c r="R518" s="10">
        <f>MAX(MAX(1.4/'Parametros'!$B$3,0.25*SQRT('Parametros'!$B$2)/'Parametros'!$B$3)*H518*U518,(0.85*'Parametros'!$B$2/'Parametros'!$B$3)*(1-SQRT(1-2*(J518*1000000/('Parametros'!$B$5*H518*U518^2))/(0.85*'Parametros'!$B$2)))*H518*U518)</f>
        <v>815.583333333333</v>
      </c>
      <c r="S518" s="31" t="n">
        <v>5</v>
      </c>
      <c r="T518" s="32" t="n">
        <v>1</v>
      </c>
      <c r="U518" s="10">
        <f>IF(T518=1,I518-('Parametros'!$B$7+'Parametros'!$B$9+'Parametros'!$B$12/2),I518-(ROUNDUP(S518/2,0)*('Parametros'!$B$7+'Parametros'!$B$9+'Parametros'!$B$12/2)+ROUNDDOWN(S518/2,0)*('Parametros'!$B$7+'Parametros'!$B$9+'Parametros'!$B$12/2+'Parametros'!$B$12+'Parametros'!$B$10))/S518)</f>
        <v>489.35</v>
      </c>
      <c r="V518" s="10">
        <f>S518*'Parametros'!$B$8</f>
        <v>995</v>
      </c>
      <c r="W518" s="10">
        <f>'Parametros'!$B$5*V518*'Parametros'!$B$3*(U518-(V518*'Parametros'!$B$3/(0.85*'Parametros'!$B$2*H518))/2)/1000000</f>
        <v>177.445379382353</v>
      </c>
      <c r="X518" s="10" t="str">
        <f>IF(W518&gt;=J518,"CUMPLE","NO CUMPLE")</f>
        <v>CUMPLE</v>
      </c>
      <c r="Y518" s="10">
        <f>MAX(MAX(1.4/'Parametros'!$B$3,0.25*SQRT('Parametros'!$B$2)/'Parametros'!$B$3)*H518*AB518,(0.85*'Parametros'!$B$2/'Parametros'!$B$3)*(1-SQRT(1-2*(L518*1000000/('Parametros'!$B$5*H518*AB518^2))/(0.85*'Parametros'!$B$2)))*H518*AB518)</f>
        <v>815.583333333333</v>
      </c>
      <c r="Z518" s="31" t="n">
        <v>5</v>
      </c>
      <c r="AA518" s="32" t="n">
        <v>1</v>
      </c>
      <c r="AB518" s="10">
        <f>IF(AA518=1,I518-('Parametros'!$B$7+'Parametros'!$B$9+'Parametros'!$B$12/2),I518-(ROUNDUP(Z518/2,0)*('Parametros'!$B$7+'Parametros'!$B$9+'Parametros'!$B$12/2)+ROUNDDOWN(Z518/2,0)*('Parametros'!$B$7+'Parametros'!$B$9+'Parametros'!$B$12/2+'Parametros'!$B$12+'Parametros'!$B$10))/Z518)</f>
        <v>489.35</v>
      </c>
      <c r="AC518" s="10">
        <f>Z518*'Parametros'!$B$8</f>
        <v>995</v>
      </c>
      <c r="AD518" s="10">
        <f>'Parametros'!$B$5*AC518*'Parametros'!$B$3*(AB518-(AC518*'Parametros'!$B$3/(0.85*'Parametros'!$B$2*H518))/2)/1000000</f>
        <v>177.445379382353</v>
      </c>
      <c r="AE518" s="10" t="str">
        <f>IF(AD518&gt;=L518,"CUMPLE","NO CUMPLE")</f>
        <v>CUMPLE</v>
      </c>
      <c r="AF518" s="10">
        <f>V518*1.25*'Parametros'!$B$3*(U518-(V518*1.25*'Parametros'!$B$3/(0.85*'Parametros'!$B$2*H518))/2)/1000000</f>
        <v>244.158843198529</v>
      </c>
      <c r="AG518" s="10">
        <f>AC518*1.25*'Parametros'!$B$3*(AB518-(AC518*1.25*'Parametros'!$B$3/(0.85*'Parametros'!$B$2*H518))/2)/1000000</f>
        <v>244.158843198529</v>
      </c>
      <c r="AH518" s="10">
        <f>N518+(AF518+AG518)/D518</f>
        <v>375.532308630031</v>
      </c>
      <c r="AI518" s="10">
        <f>MAX(O518,AH518)</f>
        <v>430.369</v>
      </c>
      <c r="AJ518" s="10">
        <f>0.17*SQRT('Parametros'!$B$2)*H518*MIN(U518,AB518)/1000</f>
        <v>220.098728691808</v>
      </c>
      <c r="AK518" s="10">
        <f>MAX(AI518/'Parametros'!$B$6-AJ518,0)</f>
        <v>353.726604641526</v>
      </c>
      <c r="AL518" s="10">
        <f>0.66*SQRT('Parametros'!$B$2)*H518*MIN(U518,AB518)/1000</f>
        <v>854.500946685842</v>
      </c>
      <c r="AM518" s="10" t="str">
        <f>IF(AK518&lt;=AL518,"CUMPLE","NO CUMPLE")</f>
        <v>CUMPLE</v>
      </c>
      <c r="AN518" s="17" t="inlineStr">
        <is>
          <t>Nº3 cerrado</t>
        </is>
      </c>
      <c r="AO518" s="31" t="n">
        <v>2</v>
      </c>
      <c r="AP518" s="10">
        <f>ROUNDDOWN(MIN(IF(BC518+BD518=0,1000000000,AO518*BB518/(BC518+BD518)),MIN(U518,AB518)/4,8*'Parametros'!$B$12,24*BA518,300,IF(AV518=0,1000000000,2*((H518-2*('Parametros'!$B$7+'Parametros'!$B$9/2))+(I518-2*('Parametros'!$B$7+'Parametros'!$B$9/2)))/8))/10,0)*10</f>
        <v>80</v>
      </c>
      <c r="AQ518" s="10">
        <f>ROUNDDOWN(MIN(IF(BC518+BD518=0,1000000000,AO518*BB518/(BC518+BD518)),IF(AK518&gt;0.33*SQRT('Parametros'!$B$2)*H518*MIN(U518,AB518)/1000,MIN(U518,AB518)/4,MIN(U518,AB518)/2),600,IF(AV518=0,1000000000,2*((H518-2*('Parametros'!$B$7+'Parametros'!$B$9/2))+(I518-2*('Parametros'!$B$7+'Parametros'!$B$9/2)))/8))/10,0)*10</f>
        <v>80</v>
      </c>
      <c r="AR518" s="10">
        <f>'Parametros'!$B$6*(AJ518+MAX(BE518-BD518,0)*'Parametros'!$B$4*MIN(U518,AB518)/1000)</f>
        <v>438.681865268856</v>
      </c>
      <c r="AS518" s="10" t="str">
        <f>IF(AND(ISERROR(SEARCH("referencia",AN518)),AM518="CUMPLE",AR518&gt;=AI518),"CUMPLE","NO CUMPLE")</f>
        <v>CUMPLE</v>
      </c>
      <c r="AT518" s="10">
        <f>'Parametros'!$B$6*0.083*SQRT('Parametros'!$B$2)*(H518*I518)^2/(2*(H518+I518))/1000000</f>
        <v>11.862178757599</v>
      </c>
      <c r="AU518" s="10" t="str">
        <f>IF(Q518&lt;=AT518,"DESPRECIABLE","DISEÑAR")</f>
        <v>DESPRECIABLE</v>
      </c>
      <c r="AV518" s="10">
        <f>IF(Q518&lt;=AT518,0,Q518*1000000/('Parametros'!$B$6*2*0.85*(H518-2*('Parametros'!$B$7+'Parametros'!$B$9/2))*(I518-2*('Parametros'!$B$7+'Parametros'!$B$9/2))*'Parametros'!$B$4))</f>
        <v>0</v>
      </c>
      <c r="AW518" s="10">
        <f>AV518*2*((H518-2*('Parametros'!$B$7+'Parametros'!$B$9/2))+(I518-2*('Parametros'!$B$7+'Parametros'!$B$9/2)))*'Parametros'!$B$4/'Parametros'!$B$3</f>
        <v>0</v>
      </c>
      <c r="AX518" s="31" t="n">
        <v>0</v>
      </c>
      <c r="AY518" s="10" t="str">
        <f>IF(AV518=0,"DESPRECIABLE",IF(AND(ISERROR(SEARCH("referencia",AN518)),BB518/AP518&gt;=AV518,BI518&gt;=AW518,BH518="CUMPLE"),"CUMPLE","NO CUMPLE"))</f>
        <v>DESPRECIABLE</v>
      </c>
      <c r="AZ518" s="10" t="str">
        <f>IF(AND(X518="CUMPLE",AE518="CUMPLE",AS518="CUMPLE",OR(AY518="CUMPLE",AY518="DESPRECIABLE"),BH518="CUMPLE",BJ518="CUMPLE"),"CUMPLE","NO CUMPLE")</f>
        <v>CUMPLE</v>
      </c>
      <c r="BA518" s="32" t="n">
        <v>9.5</v>
      </c>
      <c r="BB518" s="32" t="n">
        <v>71</v>
      </c>
      <c r="BC518" s="10">
        <f>MAX(IF(AK518=0,0,AK518*1000/('Parametros'!$B$4*MIN(U518,AB518))),MAX(0.062*SQRT('Parametros'!$B$2)*H518/'Parametros'!$B$4,0.35*H518/'Parametros'!$B$4))</f>
        <v>1.72107122004177</v>
      </c>
      <c r="BD518" s="10">
        <f>2*AV518</f>
        <v>0</v>
      </c>
      <c r="BE518" s="10">
        <f>AO518*BB518/AP518</f>
        <v>1.775</v>
      </c>
      <c r="BF518" s="10">
        <f>SQRT((AI518*1000/(H518*MIN(U518,AB518)))^2+(Q518*1000000*2*((H518-2*('Parametros'!$B$7+'Parametros'!$B$9/2))+(I518-2*('Parametros'!$B$7+'Parametros'!$B$9/2)))/(1.7*((H518-2*('Parametros'!$B$7+'Parametros'!$B$9/2))*(I518-2*('Parametros'!$B$7+'Parametros'!$B$9/2)))^2))^2)</f>
        <v>1.75896023023803</v>
      </c>
      <c r="BG518" s="10">
        <f>'Parametros'!$B$6*(AJ518*1000/(H518*MIN(U518,AB518))+0.66*SQRT('Parametros'!$B$2))</f>
        <v>3.29396038227542</v>
      </c>
      <c r="BH518" s="10" t="str">
        <f>IF(BF518&lt;=BG518,"CUMPLE","NO CUMPLE")</f>
        <v>CUMPLE</v>
      </c>
      <c r="BI518" s="10">
        <f>AX518*'Parametros'!$B$8</f>
        <v>0</v>
      </c>
      <c r="BJ518" s="10" t="str">
        <f>IF(BI518&gt;=AW518,"CUMPLE","NO CUMPLE")</f>
        <v>CUMPLE</v>
      </c>
    </row>
    <row r="519">
      <c r="A519" s="26" t="inlineStr">
        <is>
          <t>VR3</t>
        </is>
      </c>
      <c r="B519" s="26" t="inlineStr">
        <is>
          <t>784</t>
        </is>
      </c>
      <c r="C519" s="10" t="n">
        <v>1</v>
      </c>
      <c r="D519" s="10" t="n">
        <v>3.4</v>
      </c>
      <c r="E519" s="10" t="n">
        <v>3.4</v>
      </c>
      <c r="F519" s="10" t="n">
        <v>500</v>
      </c>
      <c r="G519" s="10" t="n">
        <v>550</v>
      </c>
      <c r="H519" s="17" t="n">
        <v>500</v>
      </c>
      <c r="I519" s="17" t="n">
        <v>550</v>
      </c>
      <c r="J519" s="30" t="n">
        <v>179.4926</v>
      </c>
      <c r="K519" s="10" t="inlineStr">
        <is>
          <t>784</t>
        </is>
      </c>
      <c r="L519" s="30" t="n">
        <v>100.8369</v>
      </c>
      <c r="M519" s="10" t="inlineStr">
        <is>
          <t>784</t>
        </is>
      </c>
      <c r="N519" s="30" t="n">
        <v>129.838</v>
      </c>
      <c r="O519" s="30" t="n">
        <v>334.929</v>
      </c>
      <c r="P519" s="10" t="inlineStr">
        <is>
          <t>784</t>
        </is>
      </c>
      <c r="Q519" s="30" t="n">
        <v>6.0848</v>
      </c>
      <c r="R519" s="10">
        <f>MAX(MAX(1.4/'Parametros'!$B$3,0.25*SQRT('Parametros'!$B$2)/'Parametros'!$B$3)*H519*U519,(0.85*'Parametros'!$B$2/'Parametros'!$B$3)*(1-SQRT(1-2*(J519*1000000/('Parametros'!$B$5*H519*U519^2))/(0.85*'Parametros'!$B$2)))*H519*U519)</f>
        <v>1006.92878188407</v>
      </c>
      <c r="S519" s="31" t="n">
        <v>6</v>
      </c>
      <c r="T519" s="32" t="n">
        <v>1</v>
      </c>
      <c r="U519" s="10">
        <f>IF(T519=1,I519-('Parametros'!$B$7+'Parametros'!$B$9+'Parametros'!$B$12/2),I519-(ROUNDUP(S519/2,0)*('Parametros'!$B$7+'Parametros'!$B$9+'Parametros'!$B$12/2)+ROUNDDOWN(S519/2,0)*('Parametros'!$B$7+'Parametros'!$B$9+'Parametros'!$B$12/2+'Parametros'!$B$12+'Parametros'!$B$10))/S519)</f>
        <v>489.35</v>
      </c>
      <c r="V519" s="10">
        <f>S519*'Parametros'!$B$8</f>
        <v>1194</v>
      </c>
      <c r="W519" s="10">
        <f>'Parametros'!$B$5*V519*'Parametros'!$B$3*(U519-(V519*'Parametros'!$B$3/(0.85*'Parametros'!$B$2*H519))/2)/1000000</f>
        <v>211.349483470588</v>
      </c>
      <c r="X519" s="10" t="str">
        <f>IF(W519&gt;=J519,"CUMPLE","NO CUMPLE")</f>
        <v>CUMPLE</v>
      </c>
      <c r="Y519" s="10">
        <f>MAX(MAX(1.4/'Parametros'!$B$3,0.25*SQRT('Parametros'!$B$2)/'Parametros'!$B$3)*H519*AB519,(0.85*'Parametros'!$B$2/'Parametros'!$B$3)*(1-SQRT(1-2*(L519*1000000/('Parametros'!$B$5*H519*AB519^2))/(0.85*'Parametros'!$B$2)))*H519*AB519)</f>
        <v>815.583333333333</v>
      </c>
      <c r="Z519" s="31" t="n">
        <v>5</v>
      </c>
      <c r="AA519" s="32" t="n">
        <v>1</v>
      </c>
      <c r="AB519" s="10">
        <f>IF(AA519=1,I519-('Parametros'!$B$7+'Parametros'!$B$9+'Parametros'!$B$12/2),I519-(ROUNDUP(Z519/2,0)*('Parametros'!$B$7+'Parametros'!$B$9+'Parametros'!$B$12/2)+ROUNDDOWN(Z519/2,0)*('Parametros'!$B$7+'Parametros'!$B$9+'Parametros'!$B$12/2+'Parametros'!$B$12+'Parametros'!$B$10))/Z519)</f>
        <v>489.35</v>
      </c>
      <c r="AC519" s="10">
        <f>Z519*'Parametros'!$B$8</f>
        <v>995</v>
      </c>
      <c r="AD519" s="10">
        <f>'Parametros'!$B$5*AC519*'Parametros'!$B$3*(AB519-(AC519*'Parametros'!$B$3/(0.85*'Parametros'!$B$2*H519))/2)/1000000</f>
        <v>177.445379382353</v>
      </c>
      <c r="AE519" s="10" t="str">
        <f>IF(AD519&gt;=L519,"CUMPLE","NO CUMPLE")</f>
        <v>CUMPLE</v>
      </c>
      <c r="AF519" s="10">
        <f>V519*1.25*'Parametros'!$B$3*(U519-(V519*1.25*'Parametros'!$B$3/(0.85*'Parametros'!$B$2*H519))/2)/1000000</f>
        <v>290.238924705882</v>
      </c>
      <c r="AG519" s="10">
        <f>AC519*1.25*'Parametros'!$B$3*(AB519-(AC519*1.25*'Parametros'!$B$3/(0.85*'Parametros'!$B$2*H519))/2)/1000000</f>
        <v>244.158843198529</v>
      </c>
      <c r="AH519" s="10">
        <f>N519+(AF519+AG519)/D519</f>
        <v>287.013814089533</v>
      </c>
      <c r="AI519" s="10">
        <f>MAX(O519,AH519)</f>
        <v>334.929</v>
      </c>
      <c r="AJ519" s="10">
        <f>0.17*SQRT('Parametros'!$B$2)*H519*MIN(U519,AB519)/1000</f>
        <v>220.098728691808</v>
      </c>
      <c r="AK519" s="10">
        <f>MAX(AI519/'Parametros'!$B$6-AJ519,0)</f>
        <v>226.473271308192</v>
      </c>
      <c r="AL519" s="10">
        <f>0.66*SQRT('Parametros'!$B$2)*H519*MIN(U519,AB519)/1000</f>
        <v>854.500946685842</v>
      </c>
      <c r="AM519" s="10" t="str">
        <f>IF(AK519&lt;=AL519,"CUMPLE","NO CUMPLE")</f>
        <v>CUMPLE</v>
      </c>
      <c r="AN519" s="17" t="inlineStr">
        <is>
          <t>Nº3 cerrado</t>
        </is>
      </c>
      <c r="AO519" s="31" t="n">
        <v>2</v>
      </c>
      <c r="AP519" s="10">
        <f>ROUNDDOWN(MIN(IF(BC519+BD519=0,1000000000,AO519*BB519/(BC519+BD519)),MIN(U519,AB519)/4,8*'Parametros'!$B$12,24*BA519,300,IF(AV519=0,1000000000,2*((H519-2*('Parametros'!$B$7+'Parametros'!$B$9/2))+(I519-2*('Parametros'!$B$7+'Parametros'!$B$9/2)))/8))/10,0)*10</f>
        <v>120</v>
      </c>
      <c r="AQ519" s="10">
        <f>ROUNDDOWN(MIN(IF(BC519+BD519=0,1000000000,AO519*BB519/(BC519+BD519)),IF(AK519&gt;0.33*SQRT('Parametros'!$B$2)*H519*MIN(U519,AB519)/1000,MIN(U519,AB519)/4,MIN(U519,AB519)/2),600,IF(AV519=0,1000000000,2*((H519-2*('Parametros'!$B$7+'Parametros'!$B$9/2))+(I519-2*('Parametros'!$B$7+'Parametros'!$B$9/2)))/8))/10,0)*10</f>
        <v>120</v>
      </c>
      <c r="AR519" s="10">
        <f>'Parametros'!$B$6*(AJ519+MAX(BE519-BD519,0)*'Parametros'!$B$4*MIN(U519,AB519)/1000)</f>
        <v>347.479259018856</v>
      </c>
      <c r="AS519" s="10" t="str">
        <f>IF(AND(ISERROR(SEARCH("referencia",AN519)),AM519="CUMPLE",AR519&gt;=AI519),"CUMPLE","NO CUMPLE")</f>
        <v>CUMPLE</v>
      </c>
      <c r="AT519" s="10">
        <f>'Parametros'!$B$6*0.083*SQRT('Parametros'!$B$2)*(H519*I519)^2/(2*(H519+I519))/1000000</f>
        <v>11.862178757599</v>
      </c>
      <c r="AU519" s="10" t="str">
        <f>IF(Q519&lt;=AT519,"DESPRECIABLE","DISEÑAR")</f>
        <v>DESPRECIABLE</v>
      </c>
      <c r="AV519" s="10">
        <f>IF(Q519&lt;=AT519,0,Q519*1000000/('Parametros'!$B$6*2*0.85*(H519-2*('Parametros'!$B$7+'Parametros'!$B$9/2))*(I519-2*('Parametros'!$B$7+'Parametros'!$B$9/2))*'Parametros'!$B$4))</f>
        <v>0</v>
      </c>
      <c r="AW519" s="10">
        <f>AV519*2*((H519-2*('Parametros'!$B$7+'Parametros'!$B$9/2))+(I519-2*('Parametros'!$B$7+'Parametros'!$B$9/2)))*'Parametros'!$B$4/'Parametros'!$B$3</f>
        <v>0</v>
      </c>
      <c r="AX519" s="31" t="n">
        <v>0</v>
      </c>
      <c r="AY519" s="10" t="str">
        <f>IF(AV519=0,"DESPRECIABLE",IF(AND(ISERROR(SEARCH("referencia",AN519)),BB519/AP519&gt;=AV519,BI519&gt;=AW519,BH519="CUMPLE"),"CUMPLE","NO CUMPLE"))</f>
        <v>DESPRECIABLE</v>
      </c>
      <c r="AZ519" s="10" t="str">
        <f>IF(AND(X519="CUMPLE",AE519="CUMPLE",AS519="CUMPLE",OR(AY519="CUMPLE",AY519="DESPRECIABLE"),BH519="CUMPLE",BJ519="CUMPLE"),"CUMPLE","NO CUMPLE")</f>
        <v>CUMPLE</v>
      </c>
      <c r="BA519" s="32" t="n">
        <v>9.5</v>
      </c>
      <c r="BB519" s="32" t="n">
        <v>71</v>
      </c>
      <c r="BC519" s="10">
        <f>MAX(IF(AK519=0,0,AK519*1000/('Parametros'!$B$4*MIN(U519,AB519))),MAX(0.062*SQRT('Parametros'!$B$2)*H519/'Parametros'!$B$4,0.35*H519/'Parametros'!$B$4))</f>
        <v>1.10191493725006</v>
      </c>
      <c r="BD519" s="10">
        <f>2*AV519</f>
        <v>0</v>
      </c>
      <c r="BE519" s="10">
        <f>AO519*BB519/AP519</f>
        <v>1.18333333333333</v>
      </c>
      <c r="BF519" s="10">
        <f>SQRT((AI519*1000/(H519*MIN(U519,AB519)))^2+(Q519*1000000*2*((H519-2*('Parametros'!$B$7+'Parametros'!$B$9/2))+(I519-2*('Parametros'!$B$7+'Parametros'!$B$9/2)))/(1.7*((H519-2*('Parametros'!$B$7+'Parametros'!$B$9/2))*(I519-2*('Parametros'!$B$7+'Parametros'!$B$9/2)))^2))^2)</f>
        <v>1.38045002091826</v>
      </c>
      <c r="BG519" s="10">
        <f>'Parametros'!$B$6*(AJ519*1000/(H519*MIN(U519,AB519))+0.66*SQRT('Parametros'!$B$2))</f>
        <v>3.29396038227542</v>
      </c>
      <c r="BH519" s="10" t="str">
        <f>IF(BF519&lt;=BG519,"CUMPLE","NO CUMPLE")</f>
        <v>CUMPLE</v>
      </c>
      <c r="BI519" s="10">
        <f>AX519*'Parametros'!$B$8</f>
        <v>0</v>
      </c>
      <c r="BJ519" s="10" t="str">
        <f>IF(BI519&gt;=AW519,"CUMPLE","NO CUMPLE")</f>
        <v>CUMPLE</v>
      </c>
    </row>
    <row r="520">
      <c r="A520" s="26" t="inlineStr">
        <is>
          <t>VR3</t>
        </is>
      </c>
      <c r="B520" s="26" t="inlineStr">
        <is>
          <t>785</t>
        </is>
      </c>
      <c r="C520" s="10" t="n">
        <v>1</v>
      </c>
      <c r="D520" s="10" t="n">
        <v>2.2</v>
      </c>
      <c r="E520" s="10" t="n">
        <v>2.2</v>
      </c>
      <c r="F520" s="10" t="n">
        <v>500</v>
      </c>
      <c r="G520" s="10" t="n">
        <v>550</v>
      </c>
      <c r="H520" s="17" t="n">
        <v>500</v>
      </c>
      <c r="I520" s="17" t="n">
        <v>550</v>
      </c>
      <c r="J520" s="30" t="n">
        <v>137.1753</v>
      </c>
      <c r="K520" s="10" t="inlineStr">
        <is>
          <t>785</t>
        </is>
      </c>
      <c r="L520" s="30" t="n">
        <v>56.3134</v>
      </c>
      <c r="M520" s="10" t="inlineStr">
        <is>
          <t>785</t>
        </is>
      </c>
      <c r="N520" s="30" t="n">
        <v>101.542</v>
      </c>
      <c r="O520" s="30" t="n">
        <v>218.092</v>
      </c>
      <c r="P520" s="10" t="inlineStr">
        <is>
          <t>785</t>
        </is>
      </c>
      <c r="Q520" s="30" t="n">
        <v>0.0034</v>
      </c>
      <c r="R520" s="10">
        <f>MAX(MAX(1.4/'Parametros'!$B$3,0.25*SQRT('Parametros'!$B$2)/'Parametros'!$B$3)*H520*U520,(0.85*'Parametros'!$B$2/'Parametros'!$B$3)*(1-SQRT(1-2*(J520*1000000/('Parametros'!$B$5*H520*U520^2))/(0.85*'Parametros'!$B$2)))*H520*U520)</f>
        <v>815.583333333333</v>
      </c>
      <c r="S520" s="31" t="n">
        <v>5</v>
      </c>
      <c r="T520" s="32" t="n">
        <v>1</v>
      </c>
      <c r="U520" s="10">
        <f>IF(T520=1,I520-('Parametros'!$B$7+'Parametros'!$B$9+'Parametros'!$B$12/2),I520-(ROUNDUP(S520/2,0)*('Parametros'!$B$7+'Parametros'!$B$9+'Parametros'!$B$12/2)+ROUNDDOWN(S520/2,0)*('Parametros'!$B$7+'Parametros'!$B$9+'Parametros'!$B$12/2+'Parametros'!$B$12+'Parametros'!$B$10))/S520)</f>
        <v>489.35</v>
      </c>
      <c r="V520" s="10">
        <f>S520*'Parametros'!$B$8</f>
        <v>995</v>
      </c>
      <c r="W520" s="10">
        <f>'Parametros'!$B$5*V520*'Parametros'!$B$3*(U520-(V520*'Parametros'!$B$3/(0.85*'Parametros'!$B$2*H520))/2)/1000000</f>
        <v>177.445379382353</v>
      </c>
      <c r="X520" s="10" t="str">
        <f>IF(W520&gt;=J520,"CUMPLE","NO CUMPLE")</f>
        <v>CUMPLE</v>
      </c>
      <c r="Y520" s="10">
        <f>MAX(MAX(1.4/'Parametros'!$B$3,0.25*SQRT('Parametros'!$B$2)/'Parametros'!$B$3)*H520*AB520,(0.85*'Parametros'!$B$2/'Parametros'!$B$3)*(1-SQRT(1-2*(L520*1000000/('Parametros'!$B$5*H520*AB520^2))/(0.85*'Parametros'!$B$2)))*H520*AB520)</f>
        <v>815.583333333333</v>
      </c>
      <c r="Z520" s="31" t="n">
        <v>5</v>
      </c>
      <c r="AA520" s="32" t="n">
        <v>1</v>
      </c>
      <c r="AB520" s="10">
        <f>IF(AA520=1,I520-('Parametros'!$B$7+'Parametros'!$B$9+'Parametros'!$B$12/2),I520-(ROUNDUP(Z520/2,0)*('Parametros'!$B$7+'Parametros'!$B$9+'Parametros'!$B$12/2)+ROUNDDOWN(Z520/2,0)*('Parametros'!$B$7+'Parametros'!$B$9+'Parametros'!$B$12/2+'Parametros'!$B$12+'Parametros'!$B$10))/Z520)</f>
        <v>489.35</v>
      </c>
      <c r="AC520" s="10">
        <f>Z520*'Parametros'!$B$8</f>
        <v>995</v>
      </c>
      <c r="AD520" s="10">
        <f>'Parametros'!$B$5*AC520*'Parametros'!$B$3*(AB520-(AC520*'Parametros'!$B$3/(0.85*'Parametros'!$B$2*H520))/2)/1000000</f>
        <v>177.445379382353</v>
      </c>
      <c r="AE520" s="10" t="str">
        <f>IF(AD520&gt;=L520,"CUMPLE","NO CUMPLE")</f>
        <v>CUMPLE</v>
      </c>
      <c r="AF520" s="10">
        <f>V520*1.25*'Parametros'!$B$3*(U520-(V520*1.25*'Parametros'!$B$3/(0.85*'Parametros'!$B$2*H520))/2)/1000000</f>
        <v>244.158843198529</v>
      </c>
      <c r="AG520" s="10">
        <f>AC520*1.25*'Parametros'!$B$3*(AB520-(AC520*1.25*'Parametros'!$B$3/(0.85*'Parametros'!$B$2*H520))/2)/1000000</f>
        <v>244.158843198529</v>
      </c>
      <c r="AH520" s="10">
        <f>N520+(AF520+AG520)/D520</f>
        <v>323.504584725936</v>
      </c>
      <c r="AI520" s="10">
        <f>MAX(O520,AH520)</f>
        <v>323.504584725936</v>
      </c>
      <c r="AJ520" s="10">
        <f>0.17*SQRT('Parametros'!$B$2)*H520*MIN(U520,AB520)/1000</f>
        <v>220.098728691808</v>
      </c>
      <c r="AK520" s="10">
        <f>MAX(AI520/'Parametros'!$B$6-AJ520,0)</f>
        <v>211.24071760944</v>
      </c>
      <c r="AL520" s="10">
        <f>0.66*SQRT('Parametros'!$B$2)*H520*MIN(U520,AB520)/1000</f>
        <v>854.500946685842</v>
      </c>
      <c r="AM520" s="10" t="str">
        <f>IF(AK520&lt;=AL520,"CUMPLE","NO CUMPLE")</f>
        <v>CUMPLE</v>
      </c>
      <c r="AN520" s="17" t="inlineStr">
        <is>
          <t>Nº3 cerrado</t>
        </is>
      </c>
      <c r="AO520" s="31" t="n">
        <v>2</v>
      </c>
      <c r="AP520" s="10">
        <f>ROUNDDOWN(MIN(IF(BC520+BD520=0,1000000000,AO520*BB520/(BC520+BD520)),MIN(U520,AB520)/4,8*'Parametros'!$B$12,24*BA520,300,IF(AV520=0,1000000000,2*((H520-2*('Parametros'!$B$7+'Parametros'!$B$9/2))+(I520-2*('Parametros'!$B$7+'Parametros'!$B$9/2)))/8))/10,0)*10</f>
        <v>120</v>
      </c>
      <c r="AQ520" s="10">
        <f>ROUNDDOWN(MIN(IF(BC520+BD520=0,1000000000,AO520*BB520/(BC520+BD520)),IF(AK520&gt;0.33*SQRT('Parametros'!$B$2)*H520*MIN(U520,AB520)/1000,MIN(U520,AB520)/4,MIN(U520,AB520)/2),600,IF(AV520=0,1000000000,2*((H520-2*('Parametros'!$B$7+'Parametros'!$B$9/2))+(I520-2*('Parametros'!$B$7+'Parametros'!$B$9/2)))/8))/10,0)*10</f>
        <v>130</v>
      </c>
      <c r="AR520" s="10">
        <f>'Parametros'!$B$6*(AJ520+MAX(BE520-BD520,0)*'Parametros'!$B$4*MIN(U520,AB520)/1000)</f>
        <v>347.479259018856</v>
      </c>
      <c r="AS520" s="10" t="str">
        <f>IF(AND(ISERROR(SEARCH("referencia",AN520)),AM520="CUMPLE",AR520&gt;=AI520),"CUMPLE","NO CUMPLE")</f>
        <v>CUMPLE</v>
      </c>
      <c r="AT520" s="10">
        <f>'Parametros'!$B$6*0.083*SQRT('Parametros'!$B$2)*(H520*I520)^2/(2*(H520+I520))/1000000</f>
        <v>11.862178757599</v>
      </c>
      <c r="AU520" s="10" t="str">
        <f>IF(Q520&lt;=AT520,"DESPRECIABLE","DISEÑAR")</f>
        <v>DESPRECIABLE</v>
      </c>
      <c r="AV520" s="10">
        <f>IF(Q520&lt;=AT520,0,Q520*1000000/('Parametros'!$B$6*2*0.85*(H520-2*('Parametros'!$B$7+'Parametros'!$B$9/2))*(I520-2*('Parametros'!$B$7+'Parametros'!$B$9/2))*'Parametros'!$B$4))</f>
        <v>0</v>
      </c>
      <c r="AW520" s="10">
        <f>AV520*2*((H520-2*('Parametros'!$B$7+'Parametros'!$B$9/2))+(I520-2*('Parametros'!$B$7+'Parametros'!$B$9/2)))*'Parametros'!$B$4/'Parametros'!$B$3</f>
        <v>0</v>
      </c>
      <c r="AX520" s="31" t="n">
        <v>0</v>
      </c>
      <c r="AY520" s="10" t="str">
        <f>IF(AV520=0,"DESPRECIABLE",IF(AND(ISERROR(SEARCH("referencia",AN520)),BB520/AP520&gt;=AV520,BI520&gt;=AW520,BH520="CUMPLE"),"CUMPLE","NO CUMPLE"))</f>
        <v>DESPRECIABLE</v>
      </c>
      <c r="AZ520" s="10" t="str">
        <f>IF(AND(X520="CUMPLE",AE520="CUMPLE",AS520="CUMPLE",OR(AY520="CUMPLE",AY520="DESPRECIABLE"),BH520="CUMPLE",BJ520="CUMPLE"),"CUMPLE","NO CUMPLE")</f>
        <v>CUMPLE</v>
      </c>
      <c r="BA520" s="32" t="n">
        <v>9.5</v>
      </c>
      <c r="BB520" s="32" t="n">
        <v>71</v>
      </c>
      <c r="BC520" s="10">
        <f>MAX(IF(AK520=0,0,AK520*1000/('Parametros'!$B$4*MIN(U520,AB520))),MAX(0.062*SQRT('Parametros'!$B$2)*H520/'Parametros'!$B$4,0.35*H520/'Parametros'!$B$4))</f>
        <v>1.02780032603716</v>
      </c>
      <c r="BD520" s="10">
        <f>2*AV520</f>
        <v>0</v>
      </c>
      <c r="BE520" s="10">
        <f>AO520*BB520/AP520</f>
        <v>1.18333333333333</v>
      </c>
      <c r="BF520" s="10">
        <f>SQRT((AI520*1000/(H520*MIN(U520,AB520)))^2+(Q520*1000000*2*((H520-2*('Parametros'!$B$7+'Parametros'!$B$9/2))+(I520-2*('Parametros'!$B$7+'Parametros'!$B$9/2)))/(1.7*((H520-2*('Parametros'!$B$7+'Parametros'!$B$9/2))*(I520-2*('Parametros'!$B$7+'Parametros'!$B$9/2)))^2))^2)</f>
        <v>1.32218079348297</v>
      </c>
      <c r="BG520" s="10">
        <f>'Parametros'!$B$6*(AJ520*1000/(H520*MIN(U520,AB520))+0.66*SQRT('Parametros'!$B$2))</f>
        <v>3.29396038227542</v>
      </c>
      <c r="BH520" s="10" t="str">
        <f>IF(BF520&lt;=BG520,"CUMPLE","NO CUMPLE")</f>
        <v>CUMPLE</v>
      </c>
      <c r="BI520" s="10">
        <f>AX520*'Parametros'!$B$8</f>
        <v>0</v>
      </c>
      <c r="BJ520" s="10" t="str">
        <f>IF(BI520&gt;=AW520,"CUMPLE","NO CUMPLE")</f>
        <v>CUMPLE</v>
      </c>
    </row>
    <row r="521">
      <c r="A521" s="26" t="inlineStr">
        <is>
          <t>VR3</t>
        </is>
      </c>
      <c r="B521" s="26" t="inlineStr">
        <is>
          <t>786</t>
        </is>
      </c>
      <c r="C521" s="10" t="n">
        <v>1</v>
      </c>
      <c r="D521" s="10" t="n">
        <v>2.1</v>
      </c>
      <c r="E521" s="10" t="n">
        <v>2.1</v>
      </c>
      <c r="F521" s="10" t="n">
        <v>500</v>
      </c>
      <c r="G521" s="10" t="n">
        <v>550</v>
      </c>
      <c r="H521" s="17" t="n">
        <v>500</v>
      </c>
      <c r="I521" s="17" t="n">
        <v>550</v>
      </c>
      <c r="J521" s="30" t="n">
        <v>136.9896</v>
      </c>
      <c r="K521" s="10" t="inlineStr">
        <is>
          <t>786</t>
        </is>
      </c>
      <c r="L521" s="30" t="n">
        <v>55.9346</v>
      </c>
      <c r="M521" s="10" t="inlineStr">
        <is>
          <t>786</t>
        </is>
      </c>
      <c r="N521" s="30" t="n">
        <v>101.154</v>
      </c>
      <c r="O521" s="30" t="n">
        <v>217.479</v>
      </c>
      <c r="P521" s="10" t="inlineStr">
        <is>
          <t>786</t>
        </is>
      </c>
      <c r="Q521" s="30" t="n">
        <v>0.0034</v>
      </c>
      <c r="R521" s="10">
        <f>MAX(MAX(1.4/'Parametros'!$B$3,0.25*SQRT('Parametros'!$B$2)/'Parametros'!$B$3)*H521*U521,(0.85*'Parametros'!$B$2/'Parametros'!$B$3)*(1-SQRT(1-2*(J521*1000000/('Parametros'!$B$5*H521*U521^2))/(0.85*'Parametros'!$B$2)))*H521*U521)</f>
        <v>815.583333333333</v>
      </c>
      <c r="S521" s="31" t="n">
        <v>5</v>
      </c>
      <c r="T521" s="32" t="n">
        <v>1</v>
      </c>
      <c r="U521" s="10">
        <f>IF(T521=1,I521-('Parametros'!$B$7+'Parametros'!$B$9+'Parametros'!$B$12/2),I521-(ROUNDUP(S521/2,0)*('Parametros'!$B$7+'Parametros'!$B$9+'Parametros'!$B$12/2)+ROUNDDOWN(S521/2,0)*('Parametros'!$B$7+'Parametros'!$B$9+'Parametros'!$B$12/2+'Parametros'!$B$12+'Parametros'!$B$10))/S521)</f>
        <v>489.35</v>
      </c>
      <c r="V521" s="10">
        <f>S521*'Parametros'!$B$8</f>
        <v>995</v>
      </c>
      <c r="W521" s="10">
        <f>'Parametros'!$B$5*V521*'Parametros'!$B$3*(U521-(V521*'Parametros'!$B$3/(0.85*'Parametros'!$B$2*H521))/2)/1000000</f>
        <v>177.445379382353</v>
      </c>
      <c r="X521" s="10" t="str">
        <f>IF(W521&gt;=J521,"CUMPLE","NO CUMPLE")</f>
        <v>CUMPLE</v>
      </c>
      <c r="Y521" s="10">
        <f>MAX(MAX(1.4/'Parametros'!$B$3,0.25*SQRT('Parametros'!$B$2)/'Parametros'!$B$3)*H521*AB521,(0.85*'Parametros'!$B$2/'Parametros'!$B$3)*(1-SQRT(1-2*(L521*1000000/('Parametros'!$B$5*H521*AB521^2))/(0.85*'Parametros'!$B$2)))*H521*AB521)</f>
        <v>815.583333333333</v>
      </c>
      <c r="Z521" s="31" t="n">
        <v>5</v>
      </c>
      <c r="AA521" s="32" t="n">
        <v>1</v>
      </c>
      <c r="AB521" s="10">
        <f>IF(AA521=1,I521-('Parametros'!$B$7+'Parametros'!$B$9+'Parametros'!$B$12/2),I521-(ROUNDUP(Z521/2,0)*('Parametros'!$B$7+'Parametros'!$B$9+'Parametros'!$B$12/2)+ROUNDDOWN(Z521/2,0)*('Parametros'!$B$7+'Parametros'!$B$9+'Parametros'!$B$12/2+'Parametros'!$B$12+'Parametros'!$B$10))/Z521)</f>
        <v>489.35</v>
      </c>
      <c r="AC521" s="10">
        <f>Z521*'Parametros'!$B$8</f>
        <v>995</v>
      </c>
      <c r="AD521" s="10">
        <f>'Parametros'!$B$5*AC521*'Parametros'!$B$3*(AB521-(AC521*'Parametros'!$B$3/(0.85*'Parametros'!$B$2*H521))/2)/1000000</f>
        <v>177.445379382353</v>
      </c>
      <c r="AE521" s="10" t="str">
        <f>IF(AD521&gt;=L521,"CUMPLE","NO CUMPLE")</f>
        <v>CUMPLE</v>
      </c>
      <c r="AF521" s="10">
        <f>V521*1.25*'Parametros'!$B$3*(U521-(V521*1.25*'Parametros'!$B$3/(0.85*'Parametros'!$B$2*H521))/2)/1000000</f>
        <v>244.158843198529</v>
      </c>
      <c r="AG521" s="10">
        <f>AC521*1.25*'Parametros'!$B$3*(AB521-(AC521*1.25*'Parametros'!$B$3/(0.85*'Parametros'!$B$2*H521))/2)/1000000</f>
        <v>244.158843198529</v>
      </c>
      <c r="AH521" s="10">
        <f>N521+(AF521+AG521)/D521</f>
        <v>333.686231617647</v>
      </c>
      <c r="AI521" s="10">
        <f>MAX(O521,AH521)</f>
        <v>333.686231617647</v>
      </c>
      <c r="AJ521" s="10">
        <f>0.17*SQRT('Parametros'!$B$2)*H521*MIN(U521,AB521)/1000</f>
        <v>220.098728691808</v>
      </c>
      <c r="AK521" s="10">
        <f>MAX(AI521/'Parametros'!$B$6-AJ521,0)</f>
        <v>224.816246798388</v>
      </c>
      <c r="AL521" s="10">
        <f>0.66*SQRT('Parametros'!$B$2)*H521*MIN(U521,AB521)/1000</f>
        <v>854.500946685842</v>
      </c>
      <c r="AM521" s="10" t="str">
        <f>IF(AK521&lt;=AL521,"CUMPLE","NO CUMPLE")</f>
        <v>CUMPLE</v>
      </c>
      <c r="AN521" s="17" t="inlineStr">
        <is>
          <t>Nº3 cerrado</t>
        </is>
      </c>
      <c r="AO521" s="31" t="n">
        <v>2</v>
      </c>
      <c r="AP521" s="10">
        <f>ROUNDDOWN(MIN(IF(BC521+BD521=0,1000000000,AO521*BB521/(BC521+BD521)),MIN(U521,AB521)/4,8*'Parametros'!$B$12,24*BA521,300,IF(AV521=0,1000000000,2*((H521-2*('Parametros'!$B$7+'Parametros'!$B$9/2))+(I521-2*('Parametros'!$B$7+'Parametros'!$B$9/2)))/8))/10,0)*10</f>
        <v>120</v>
      </c>
      <c r="AQ521" s="10">
        <f>ROUNDDOWN(MIN(IF(BC521+BD521=0,1000000000,AO521*BB521/(BC521+BD521)),IF(AK521&gt;0.33*SQRT('Parametros'!$B$2)*H521*MIN(U521,AB521)/1000,MIN(U521,AB521)/4,MIN(U521,AB521)/2),600,IF(AV521=0,1000000000,2*((H521-2*('Parametros'!$B$7+'Parametros'!$B$9/2))+(I521-2*('Parametros'!$B$7+'Parametros'!$B$9/2)))/8))/10,0)*10</f>
        <v>120</v>
      </c>
      <c r="AR521" s="10">
        <f>'Parametros'!$B$6*(AJ521+MAX(BE521-BD521,0)*'Parametros'!$B$4*MIN(U521,AB521)/1000)</f>
        <v>347.479259018856</v>
      </c>
      <c r="AS521" s="10" t="str">
        <f>IF(AND(ISERROR(SEARCH("referencia",AN521)),AM521="CUMPLE",AR521&gt;=AI521),"CUMPLE","NO CUMPLE")</f>
        <v>CUMPLE</v>
      </c>
      <c r="AT521" s="10">
        <f>'Parametros'!$B$6*0.083*SQRT('Parametros'!$B$2)*(H521*I521)^2/(2*(H521+I521))/1000000</f>
        <v>11.862178757599</v>
      </c>
      <c r="AU521" s="10" t="str">
        <f>IF(Q521&lt;=AT521,"DESPRECIABLE","DISEÑAR")</f>
        <v>DESPRECIABLE</v>
      </c>
      <c r="AV521" s="10">
        <f>IF(Q521&lt;=AT521,0,Q521*1000000/('Parametros'!$B$6*2*0.85*(H521-2*('Parametros'!$B$7+'Parametros'!$B$9/2))*(I521-2*('Parametros'!$B$7+'Parametros'!$B$9/2))*'Parametros'!$B$4))</f>
        <v>0</v>
      </c>
      <c r="AW521" s="10">
        <f>AV521*2*((H521-2*('Parametros'!$B$7+'Parametros'!$B$9/2))+(I521-2*('Parametros'!$B$7+'Parametros'!$B$9/2)))*'Parametros'!$B$4/'Parametros'!$B$3</f>
        <v>0</v>
      </c>
      <c r="AX521" s="31" t="n">
        <v>0</v>
      </c>
      <c r="AY521" s="10" t="str">
        <f>IF(AV521=0,"DESPRECIABLE",IF(AND(ISERROR(SEARCH("referencia",AN521)),BB521/AP521&gt;=AV521,BI521&gt;=AW521,BH521="CUMPLE"),"CUMPLE","NO CUMPLE"))</f>
        <v>DESPRECIABLE</v>
      </c>
      <c r="AZ521" s="10" t="str">
        <f>IF(AND(X521="CUMPLE",AE521="CUMPLE",AS521="CUMPLE",OR(AY521="CUMPLE",AY521="DESPRECIABLE"),BH521="CUMPLE",BJ521="CUMPLE"),"CUMPLE","NO CUMPLE")</f>
        <v>CUMPLE</v>
      </c>
      <c r="BA521" s="32" t="n">
        <v>9.5</v>
      </c>
      <c r="BB521" s="32" t="n">
        <v>71</v>
      </c>
      <c r="BC521" s="10">
        <f>MAX(IF(AK521=0,0,AK521*1000/('Parametros'!$B$4*MIN(U521,AB521))),MAX(0.062*SQRT('Parametros'!$B$2)*H521/'Parametros'!$B$4,0.35*H521/'Parametros'!$B$4))</f>
        <v>1.09385261692327</v>
      </c>
      <c r="BD521" s="10">
        <f>2*AV521</f>
        <v>0</v>
      </c>
      <c r="BE521" s="10">
        <f>AO521*BB521/AP521</f>
        <v>1.18333333333333</v>
      </c>
      <c r="BF521" s="10">
        <f>SQRT((AI521*1000/(H521*MIN(U521,AB521)))^2+(Q521*1000000*2*((H521-2*('Parametros'!$B$7+'Parametros'!$B$9/2))+(I521-2*('Parametros'!$B$7+'Parametros'!$B$9/2)))/(1.7*((H521-2*('Parametros'!$B$7+'Parametros'!$B$9/2))*(I521-2*('Parametros'!$B$7+'Parametros'!$B$9/2)))^2))^2)</f>
        <v>1.36379373662655</v>
      </c>
      <c r="BG521" s="10">
        <f>'Parametros'!$B$6*(AJ521*1000/(H521*MIN(U521,AB521))+0.66*SQRT('Parametros'!$B$2))</f>
        <v>3.29396038227542</v>
      </c>
      <c r="BH521" s="10" t="str">
        <f>IF(BF521&lt;=BG521,"CUMPLE","NO CUMPLE")</f>
        <v>CUMPLE</v>
      </c>
      <c r="BI521" s="10">
        <f>AX521*'Parametros'!$B$8</f>
        <v>0</v>
      </c>
      <c r="BJ521" s="10" t="str">
        <f>IF(BI521&gt;=AW521,"CUMPLE","NO CUMPLE")</f>
        <v>CUMPLE</v>
      </c>
    </row>
    <row r="522">
      <c r="A522" s="26" t="inlineStr">
        <is>
          <t>VR3</t>
        </is>
      </c>
      <c r="B522" s="26" t="inlineStr">
        <is>
          <t>787</t>
        </is>
      </c>
      <c r="C522" s="10" t="n">
        <v>1</v>
      </c>
      <c r="D522" s="10" t="n">
        <v>3.4</v>
      </c>
      <c r="E522" s="10" t="n">
        <v>3.4</v>
      </c>
      <c r="F522" s="10" t="n">
        <v>500</v>
      </c>
      <c r="G522" s="10" t="n">
        <v>550</v>
      </c>
      <c r="H522" s="17" t="n">
        <v>500</v>
      </c>
      <c r="I522" s="17" t="n">
        <v>550</v>
      </c>
      <c r="J522" s="30" t="n">
        <v>179.5933</v>
      </c>
      <c r="K522" s="10" t="inlineStr">
        <is>
          <t>787</t>
        </is>
      </c>
      <c r="L522" s="30" t="n">
        <v>100.9402</v>
      </c>
      <c r="M522" s="10" t="inlineStr">
        <is>
          <t>787</t>
        </is>
      </c>
      <c r="N522" s="30" t="n">
        <v>129.889</v>
      </c>
      <c r="O522" s="30" t="n">
        <v>335.035</v>
      </c>
      <c r="P522" s="10" t="inlineStr">
        <is>
          <t>787</t>
        </is>
      </c>
      <c r="Q522" s="30" t="n">
        <v>6.0848</v>
      </c>
      <c r="R522" s="10">
        <f>MAX(MAX(1.4/'Parametros'!$B$3,0.25*SQRT('Parametros'!$B$2)/'Parametros'!$B$3)*H522*U522,(0.85*'Parametros'!$B$2/'Parametros'!$B$3)*(1-SQRT(1-2*(J522*1000000/('Parametros'!$B$5*H522*U522^2))/(0.85*'Parametros'!$B$2)))*H522*U522)</f>
        <v>1007.51582803343</v>
      </c>
      <c r="S522" s="31" t="n">
        <v>6</v>
      </c>
      <c r="T522" s="32" t="n">
        <v>1</v>
      </c>
      <c r="U522" s="10">
        <f>IF(T522=1,I522-('Parametros'!$B$7+'Parametros'!$B$9+'Parametros'!$B$12/2),I522-(ROUNDUP(S522/2,0)*('Parametros'!$B$7+'Parametros'!$B$9+'Parametros'!$B$12/2)+ROUNDDOWN(S522/2,0)*('Parametros'!$B$7+'Parametros'!$B$9+'Parametros'!$B$12/2+'Parametros'!$B$12+'Parametros'!$B$10))/S522)</f>
        <v>489.35</v>
      </c>
      <c r="V522" s="10">
        <f>S522*'Parametros'!$B$8</f>
        <v>1194</v>
      </c>
      <c r="W522" s="10">
        <f>'Parametros'!$B$5*V522*'Parametros'!$B$3*(U522-(V522*'Parametros'!$B$3/(0.85*'Parametros'!$B$2*H522))/2)/1000000</f>
        <v>211.349483470588</v>
      </c>
      <c r="X522" s="10" t="str">
        <f>IF(W522&gt;=J522,"CUMPLE","NO CUMPLE")</f>
        <v>CUMPLE</v>
      </c>
      <c r="Y522" s="10">
        <f>MAX(MAX(1.4/'Parametros'!$B$3,0.25*SQRT('Parametros'!$B$2)/'Parametros'!$B$3)*H522*AB522,(0.85*'Parametros'!$B$2/'Parametros'!$B$3)*(1-SQRT(1-2*(L522*1000000/('Parametros'!$B$5*H522*AB522^2))/(0.85*'Parametros'!$B$2)))*H522*AB522)</f>
        <v>815.583333333333</v>
      </c>
      <c r="Z522" s="31" t="n">
        <v>5</v>
      </c>
      <c r="AA522" s="32" t="n">
        <v>1</v>
      </c>
      <c r="AB522" s="10">
        <f>IF(AA522=1,I522-('Parametros'!$B$7+'Parametros'!$B$9+'Parametros'!$B$12/2),I522-(ROUNDUP(Z522/2,0)*('Parametros'!$B$7+'Parametros'!$B$9+'Parametros'!$B$12/2)+ROUNDDOWN(Z522/2,0)*('Parametros'!$B$7+'Parametros'!$B$9+'Parametros'!$B$12/2+'Parametros'!$B$12+'Parametros'!$B$10))/Z522)</f>
        <v>489.35</v>
      </c>
      <c r="AC522" s="10">
        <f>Z522*'Parametros'!$B$8</f>
        <v>995</v>
      </c>
      <c r="AD522" s="10">
        <f>'Parametros'!$B$5*AC522*'Parametros'!$B$3*(AB522-(AC522*'Parametros'!$B$3/(0.85*'Parametros'!$B$2*H522))/2)/1000000</f>
        <v>177.445379382353</v>
      </c>
      <c r="AE522" s="10" t="str">
        <f>IF(AD522&gt;=L522,"CUMPLE","NO CUMPLE")</f>
        <v>CUMPLE</v>
      </c>
      <c r="AF522" s="10">
        <f>V522*1.25*'Parametros'!$B$3*(U522-(V522*1.25*'Parametros'!$B$3/(0.85*'Parametros'!$B$2*H522))/2)/1000000</f>
        <v>290.238924705882</v>
      </c>
      <c r="AG522" s="10">
        <f>AC522*1.25*'Parametros'!$B$3*(AB522-(AC522*1.25*'Parametros'!$B$3/(0.85*'Parametros'!$B$2*H522))/2)/1000000</f>
        <v>244.158843198529</v>
      </c>
      <c r="AH522" s="10">
        <f>N522+(AF522+AG522)/D522</f>
        <v>287.064814089533</v>
      </c>
      <c r="AI522" s="10">
        <f>MAX(O522,AH522)</f>
        <v>335.035</v>
      </c>
      <c r="AJ522" s="10">
        <f>0.17*SQRT('Parametros'!$B$2)*H522*MIN(U522,AB522)/1000</f>
        <v>220.098728691808</v>
      </c>
      <c r="AK522" s="10">
        <f>MAX(AI522/'Parametros'!$B$6-AJ522,0)</f>
        <v>226.614604641526</v>
      </c>
      <c r="AL522" s="10">
        <f>0.66*SQRT('Parametros'!$B$2)*H522*MIN(U522,AB522)/1000</f>
        <v>854.500946685842</v>
      </c>
      <c r="AM522" s="10" t="str">
        <f>IF(AK522&lt;=AL522,"CUMPLE","NO CUMPLE")</f>
        <v>CUMPLE</v>
      </c>
      <c r="AN522" s="17" t="inlineStr">
        <is>
          <t>Nº3 cerrado</t>
        </is>
      </c>
      <c r="AO522" s="31" t="n">
        <v>2</v>
      </c>
      <c r="AP522" s="10">
        <f>ROUNDDOWN(MIN(IF(BC522+BD522=0,1000000000,AO522*BB522/(BC522+BD522)),MIN(U522,AB522)/4,8*'Parametros'!$B$12,24*BA522,300,IF(AV522=0,1000000000,2*((H522-2*('Parametros'!$B$7+'Parametros'!$B$9/2))+(I522-2*('Parametros'!$B$7+'Parametros'!$B$9/2)))/8))/10,0)*10</f>
        <v>120</v>
      </c>
      <c r="AQ522" s="10">
        <f>ROUNDDOWN(MIN(IF(BC522+BD522=0,1000000000,AO522*BB522/(BC522+BD522)),IF(AK522&gt;0.33*SQRT('Parametros'!$B$2)*H522*MIN(U522,AB522)/1000,MIN(U522,AB522)/4,MIN(U522,AB522)/2),600,IF(AV522=0,1000000000,2*((H522-2*('Parametros'!$B$7+'Parametros'!$B$9/2))+(I522-2*('Parametros'!$B$7+'Parametros'!$B$9/2)))/8))/10,0)*10</f>
        <v>120</v>
      </c>
      <c r="AR522" s="10">
        <f>'Parametros'!$B$6*(AJ522+MAX(BE522-BD522,0)*'Parametros'!$B$4*MIN(U522,AB522)/1000)</f>
        <v>347.479259018856</v>
      </c>
      <c r="AS522" s="10" t="str">
        <f>IF(AND(ISERROR(SEARCH("referencia",AN522)),AM522="CUMPLE",AR522&gt;=AI522),"CUMPLE","NO CUMPLE")</f>
        <v>CUMPLE</v>
      </c>
      <c r="AT522" s="10">
        <f>'Parametros'!$B$6*0.083*SQRT('Parametros'!$B$2)*(H522*I522)^2/(2*(H522+I522))/1000000</f>
        <v>11.862178757599</v>
      </c>
      <c r="AU522" s="10" t="str">
        <f>IF(Q522&lt;=AT522,"DESPRECIABLE","DISEÑAR")</f>
        <v>DESPRECIABLE</v>
      </c>
      <c r="AV522" s="10">
        <f>IF(Q522&lt;=AT522,0,Q522*1000000/('Parametros'!$B$6*2*0.85*(H522-2*('Parametros'!$B$7+'Parametros'!$B$9/2))*(I522-2*('Parametros'!$B$7+'Parametros'!$B$9/2))*'Parametros'!$B$4))</f>
        <v>0</v>
      </c>
      <c r="AW522" s="10">
        <f>AV522*2*((H522-2*('Parametros'!$B$7+'Parametros'!$B$9/2))+(I522-2*('Parametros'!$B$7+'Parametros'!$B$9/2)))*'Parametros'!$B$4/'Parametros'!$B$3</f>
        <v>0</v>
      </c>
      <c r="AX522" s="31" t="n">
        <v>0</v>
      </c>
      <c r="AY522" s="10" t="str">
        <f>IF(AV522=0,"DESPRECIABLE",IF(AND(ISERROR(SEARCH("referencia",AN522)),BB522/AP522&gt;=AV522,BI522&gt;=AW522,BH522="CUMPLE"),"CUMPLE","NO CUMPLE"))</f>
        <v>DESPRECIABLE</v>
      </c>
      <c r="AZ522" s="10" t="str">
        <f>IF(AND(X522="CUMPLE",AE522="CUMPLE",AS522="CUMPLE",OR(AY522="CUMPLE",AY522="DESPRECIABLE"),BH522="CUMPLE",BJ522="CUMPLE"),"CUMPLE","NO CUMPLE")</f>
        <v>CUMPLE</v>
      </c>
      <c r="BA522" s="32" t="n">
        <v>9.5</v>
      </c>
      <c r="BB522" s="32" t="n">
        <v>71</v>
      </c>
      <c r="BC522" s="10">
        <f>MAX(IF(AK522=0,0,AK522*1000/('Parametros'!$B$4*MIN(U522,AB522))),MAX(0.062*SQRT('Parametros'!$B$2)*H522/'Parametros'!$B$4,0.35*H522/'Parametros'!$B$4))</f>
        <v>1.10260260034704</v>
      </c>
      <c r="BD522" s="10">
        <f>2*AV522</f>
        <v>0</v>
      </c>
      <c r="BE522" s="10">
        <f>AO522*BB522/AP522</f>
        <v>1.18333333333333</v>
      </c>
      <c r="BF522" s="10">
        <f>SQRT((AI522*1000/(H522*MIN(U522,AB522)))^2+(Q522*1000000*2*((H522-2*('Parametros'!$B$7+'Parametros'!$B$9/2))+(I522-2*('Parametros'!$B$7+'Parametros'!$B$9/2)))/(1.7*((H522-2*('Parametros'!$B$7+'Parametros'!$B$9/2))*(I522-2*('Parametros'!$B$7+'Parametros'!$B$9/2)))^2))^2)</f>
        <v>1.38087961657693</v>
      </c>
      <c r="BG522" s="10">
        <f>'Parametros'!$B$6*(AJ522*1000/(H522*MIN(U522,AB522))+0.66*SQRT('Parametros'!$B$2))</f>
        <v>3.29396038227542</v>
      </c>
      <c r="BH522" s="10" t="str">
        <f>IF(BF522&lt;=BG522,"CUMPLE","NO CUMPLE")</f>
        <v>CUMPLE</v>
      </c>
      <c r="BI522" s="10">
        <f>AX522*'Parametros'!$B$8</f>
        <v>0</v>
      </c>
      <c r="BJ522" s="10" t="str">
        <f>IF(BI522&gt;=AW522,"CUMPLE","NO CUMPLE")</f>
        <v>CUMPLE</v>
      </c>
    </row>
    <row r="523">
      <c r="A523" s="26" t="inlineStr">
        <is>
          <t>VR3</t>
        </is>
      </c>
      <c r="B523" s="26" t="inlineStr">
        <is>
          <t>788</t>
        </is>
      </c>
      <c r="C523" s="10" t="n">
        <v>1</v>
      </c>
      <c r="D523" s="10" t="n">
        <v>1.9</v>
      </c>
      <c r="E523" s="10" t="n">
        <v>1.9</v>
      </c>
      <c r="F523" s="10" t="n">
        <v>500</v>
      </c>
      <c r="G523" s="10" t="n">
        <v>550</v>
      </c>
      <c r="H523" s="17" t="n">
        <v>500</v>
      </c>
      <c r="I523" s="17" t="n">
        <v>550</v>
      </c>
      <c r="J523" s="30" t="n">
        <v>137.7754</v>
      </c>
      <c r="K523" s="10" t="inlineStr">
        <is>
          <t>788</t>
        </is>
      </c>
      <c r="L523" s="30" t="n">
        <v>76.74290000000001</v>
      </c>
      <c r="M523" s="10" t="inlineStr">
        <is>
          <t>788</t>
        </is>
      </c>
      <c r="N523" s="30" t="n">
        <v>118.601</v>
      </c>
      <c r="O523" s="30" t="n">
        <v>430.454</v>
      </c>
      <c r="P523" s="10" t="inlineStr">
        <is>
          <t>788</t>
        </is>
      </c>
      <c r="Q523" s="30" t="n">
        <v>0.3489</v>
      </c>
      <c r="R523" s="10">
        <f>MAX(MAX(1.4/'Parametros'!$B$3,0.25*SQRT('Parametros'!$B$2)/'Parametros'!$B$3)*H523*U523,(0.85*'Parametros'!$B$2/'Parametros'!$B$3)*(1-SQRT(1-2*(J523*1000000/('Parametros'!$B$5*H523*U523^2))/(0.85*'Parametros'!$B$2)))*H523*U523)</f>
        <v>815.583333333333</v>
      </c>
      <c r="S523" s="31" t="n">
        <v>5</v>
      </c>
      <c r="T523" s="32" t="n">
        <v>1</v>
      </c>
      <c r="U523" s="10">
        <f>IF(T523=1,I523-('Parametros'!$B$7+'Parametros'!$B$9+'Parametros'!$B$12/2),I523-(ROUNDUP(S523/2,0)*('Parametros'!$B$7+'Parametros'!$B$9+'Parametros'!$B$12/2)+ROUNDDOWN(S523/2,0)*('Parametros'!$B$7+'Parametros'!$B$9+'Parametros'!$B$12/2+'Parametros'!$B$12+'Parametros'!$B$10))/S523)</f>
        <v>489.35</v>
      </c>
      <c r="V523" s="10">
        <f>S523*'Parametros'!$B$8</f>
        <v>995</v>
      </c>
      <c r="W523" s="10">
        <f>'Parametros'!$B$5*V523*'Parametros'!$B$3*(U523-(V523*'Parametros'!$B$3/(0.85*'Parametros'!$B$2*H523))/2)/1000000</f>
        <v>177.445379382353</v>
      </c>
      <c r="X523" s="10" t="str">
        <f>IF(W523&gt;=J523,"CUMPLE","NO CUMPLE")</f>
        <v>CUMPLE</v>
      </c>
      <c r="Y523" s="10">
        <f>MAX(MAX(1.4/'Parametros'!$B$3,0.25*SQRT('Parametros'!$B$2)/'Parametros'!$B$3)*H523*AB523,(0.85*'Parametros'!$B$2/'Parametros'!$B$3)*(1-SQRT(1-2*(L523*1000000/('Parametros'!$B$5*H523*AB523^2))/(0.85*'Parametros'!$B$2)))*H523*AB523)</f>
        <v>815.583333333333</v>
      </c>
      <c r="Z523" s="31" t="n">
        <v>5</v>
      </c>
      <c r="AA523" s="32" t="n">
        <v>1</v>
      </c>
      <c r="AB523" s="10">
        <f>IF(AA523=1,I523-('Parametros'!$B$7+'Parametros'!$B$9+'Parametros'!$B$12/2),I523-(ROUNDUP(Z523/2,0)*('Parametros'!$B$7+'Parametros'!$B$9+'Parametros'!$B$12/2)+ROUNDDOWN(Z523/2,0)*('Parametros'!$B$7+'Parametros'!$B$9+'Parametros'!$B$12/2+'Parametros'!$B$12+'Parametros'!$B$10))/Z523)</f>
        <v>489.35</v>
      </c>
      <c r="AC523" s="10">
        <f>Z523*'Parametros'!$B$8</f>
        <v>995</v>
      </c>
      <c r="AD523" s="10">
        <f>'Parametros'!$B$5*AC523*'Parametros'!$B$3*(AB523-(AC523*'Parametros'!$B$3/(0.85*'Parametros'!$B$2*H523))/2)/1000000</f>
        <v>177.445379382353</v>
      </c>
      <c r="AE523" s="10" t="str">
        <f>IF(AD523&gt;=L523,"CUMPLE","NO CUMPLE")</f>
        <v>CUMPLE</v>
      </c>
      <c r="AF523" s="10">
        <f>V523*1.25*'Parametros'!$B$3*(U523-(V523*1.25*'Parametros'!$B$3/(0.85*'Parametros'!$B$2*H523))/2)/1000000</f>
        <v>244.158843198529</v>
      </c>
      <c r="AG523" s="10">
        <f>AC523*1.25*'Parametros'!$B$3*(AB523-(AC523*1.25*'Parametros'!$B$3/(0.85*'Parametros'!$B$2*H523))/2)/1000000</f>
        <v>244.158843198529</v>
      </c>
      <c r="AH523" s="10">
        <f>N523+(AF523+AG523)/D523</f>
        <v>375.610308630031</v>
      </c>
      <c r="AI523" s="10">
        <f>MAX(O523,AH523)</f>
        <v>430.454</v>
      </c>
      <c r="AJ523" s="10">
        <f>0.17*SQRT('Parametros'!$B$2)*H523*MIN(U523,AB523)/1000</f>
        <v>220.098728691808</v>
      </c>
      <c r="AK523" s="10">
        <f>MAX(AI523/'Parametros'!$B$6-AJ523,0)</f>
        <v>353.839937974859</v>
      </c>
      <c r="AL523" s="10">
        <f>0.66*SQRT('Parametros'!$B$2)*H523*MIN(U523,AB523)/1000</f>
        <v>854.500946685842</v>
      </c>
      <c r="AM523" s="10" t="str">
        <f>IF(AK523&lt;=AL523,"CUMPLE","NO CUMPLE")</f>
        <v>CUMPLE</v>
      </c>
      <c r="AN523" s="17" t="inlineStr">
        <is>
          <t>Nº3 cerrado</t>
        </is>
      </c>
      <c r="AO523" s="31" t="n">
        <v>2</v>
      </c>
      <c r="AP523" s="10">
        <f>ROUNDDOWN(MIN(IF(BC523+BD523=0,1000000000,AO523*BB523/(BC523+BD523)),MIN(U523,AB523)/4,8*'Parametros'!$B$12,24*BA523,300,IF(AV523=0,1000000000,2*((H523-2*('Parametros'!$B$7+'Parametros'!$B$9/2))+(I523-2*('Parametros'!$B$7+'Parametros'!$B$9/2)))/8))/10,0)*10</f>
        <v>80</v>
      </c>
      <c r="AQ523" s="10">
        <f>ROUNDDOWN(MIN(IF(BC523+BD523=0,1000000000,AO523*BB523/(BC523+BD523)),IF(AK523&gt;0.33*SQRT('Parametros'!$B$2)*H523*MIN(U523,AB523)/1000,MIN(U523,AB523)/4,MIN(U523,AB523)/2),600,IF(AV523=0,1000000000,2*((H523-2*('Parametros'!$B$7+'Parametros'!$B$9/2))+(I523-2*('Parametros'!$B$7+'Parametros'!$B$9/2)))/8))/10,0)*10</f>
        <v>80</v>
      </c>
      <c r="AR523" s="10">
        <f>'Parametros'!$B$6*(AJ523+MAX(BE523-BD523,0)*'Parametros'!$B$4*MIN(U523,AB523)/1000)</f>
        <v>438.681865268856</v>
      </c>
      <c r="AS523" s="10" t="str">
        <f>IF(AND(ISERROR(SEARCH("referencia",AN523)),AM523="CUMPLE",AR523&gt;=AI523),"CUMPLE","NO CUMPLE")</f>
        <v>CUMPLE</v>
      </c>
      <c r="AT523" s="10">
        <f>'Parametros'!$B$6*0.083*SQRT('Parametros'!$B$2)*(H523*I523)^2/(2*(H523+I523))/1000000</f>
        <v>11.862178757599</v>
      </c>
      <c r="AU523" s="10" t="str">
        <f>IF(Q523&lt;=AT523,"DESPRECIABLE","DISEÑAR")</f>
        <v>DESPRECIABLE</v>
      </c>
      <c r="AV523" s="10">
        <f>IF(Q523&lt;=AT523,0,Q523*1000000/('Parametros'!$B$6*2*0.85*(H523-2*('Parametros'!$B$7+'Parametros'!$B$9/2))*(I523-2*('Parametros'!$B$7+'Parametros'!$B$9/2))*'Parametros'!$B$4))</f>
        <v>0</v>
      </c>
      <c r="AW523" s="10">
        <f>AV523*2*((H523-2*('Parametros'!$B$7+'Parametros'!$B$9/2))+(I523-2*('Parametros'!$B$7+'Parametros'!$B$9/2)))*'Parametros'!$B$4/'Parametros'!$B$3</f>
        <v>0</v>
      </c>
      <c r="AX523" s="31" t="n">
        <v>0</v>
      </c>
      <c r="AY523" s="10" t="str">
        <f>IF(AV523=0,"DESPRECIABLE",IF(AND(ISERROR(SEARCH("referencia",AN523)),BB523/AP523&gt;=AV523,BI523&gt;=AW523,BH523="CUMPLE"),"CUMPLE","NO CUMPLE"))</f>
        <v>DESPRECIABLE</v>
      </c>
      <c r="AZ523" s="10" t="str">
        <f>IF(AND(X523="CUMPLE",AE523="CUMPLE",AS523="CUMPLE",OR(AY523="CUMPLE",AY523="DESPRECIABLE"),BH523="CUMPLE",BJ523="CUMPLE"),"CUMPLE","NO CUMPLE")</f>
        <v>CUMPLE</v>
      </c>
      <c r="BA523" s="32" t="n">
        <v>9.5</v>
      </c>
      <c r="BB523" s="32" t="n">
        <v>71</v>
      </c>
      <c r="BC523" s="10">
        <f>MAX(IF(AK523=0,0,AK523*1000/('Parametros'!$B$4*MIN(U523,AB523))),MAX(0.062*SQRT('Parametros'!$B$2)*H523/'Parametros'!$B$4,0.35*H523/'Parametros'!$B$4))</f>
        <v>1.7216226479969</v>
      </c>
      <c r="BD523" s="10">
        <f>2*AV523</f>
        <v>0</v>
      </c>
      <c r="BE523" s="10">
        <f>AO523*BB523/AP523</f>
        <v>1.775</v>
      </c>
      <c r="BF523" s="10">
        <f>SQRT((AI523*1000/(H523*MIN(U523,AB523)))^2+(Q523*1000000*2*((H523-2*('Parametros'!$B$7+'Parametros'!$B$9/2))+(I523-2*('Parametros'!$B$7+'Parametros'!$B$9/2)))/(1.7*((H523-2*('Parametros'!$B$7+'Parametros'!$B$9/2))*(I523-2*('Parametros'!$B$7+'Parametros'!$B$9/2)))^2))^2)</f>
        <v>1.7593185939512</v>
      </c>
      <c r="BG523" s="10">
        <f>'Parametros'!$B$6*(AJ523*1000/(H523*MIN(U523,AB523))+0.66*SQRT('Parametros'!$B$2))</f>
        <v>3.29396038227542</v>
      </c>
      <c r="BH523" s="10" t="str">
        <f>IF(BF523&lt;=BG523,"CUMPLE","NO CUMPLE")</f>
        <v>CUMPLE</v>
      </c>
      <c r="BI523" s="10">
        <f>AX523*'Parametros'!$B$8</f>
        <v>0</v>
      </c>
      <c r="BJ523" s="10" t="str">
        <f>IF(BI523&gt;=AW523,"CUMPLE","NO CUMPLE")</f>
        <v>CUMPLE</v>
      </c>
    </row>
    <row r="524">
      <c r="A524" s="26" t="inlineStr">
        <is>
          <t>VR3</t>
        </is>
      </c>
      <c r="B524" s="26" t="inlineStr">
        <is>
          <t>789</t>
        </is>
      </c>
      <c r="C524" s="10" t="n">
        <v>1</v>
      </c>
      <c r="D524" s="10" t="n">
        <v>2</v>
      </c>
      <c r="E524" s="10" t="n">
        <v>2</v>
      </c>
      <c r="F524" s="10" t="n">
        <v>500</v>
      </c>
      <c r="G524" s="10" t="n">
        <v>550</v>
      </c>
      <c r="H524" s="17" t="n">
        <v>500</v>
      </c>
      <c r="I524" s="17" t="n">
        <v>550</v>
      </c>
      <c r="J524" s="30" t="n">
        <v>262.5356</v>
      </c>
      <c r="K524" s="10" t="inlineStr">
        <is>
          <t>789</t>
        </is>
      </c>
      <c r="L524" s="30" t="n">
        <v>120.429</v>
      </c>
      <c r="M524" s="10" t="inlineStr">
        <is>
          <t>789</t>
        </is>
      </c>
      <c r="N524" s="30" t="n">
        <v>204.37</v>
      </c>
      <c r="O524" s="30" t="n">
        <v>327.169</v>
      </c>
      <c r="P524" s="10" t="inlineStr">
        <is>
          <t>789</t>
        </is>
      </c>
      <c r="Q524" s="30" t="n">
        <v>7.9374</v>
      </c>
      <c r="R524" s="10">
        <f>MAX(MAX(1.4/'Parametros'!$B$3,0.25*SQRT('Parametros'!$B$2)/'Parametros'!$B$3)*H524*U524,(0.85*'Parametros'!$B$2/'Parametros'!$B$3)*(1-SQRT(1-2*(J524*1000000/('Parametros'!$B$5*H524*U524^2))/(0.85*'Parametros'!$B$2)))*H524*U524)</f>
        <v>1500.50299431289</v>
      </c>
      <c r="S524" s="31" t="n">
        <v>8</v>
      </c>
      <c r="T524" s="32" t="n">
        <v>1</v>
      </c>
      <c r="U524" s="10">
        <f>IF(T524=1,I524-('Parametros'!$B$7+'Parametros'!$B$9+'Parametros'!$B$12/2),I524-(ROUNDUP(S524/2,0)*('Parametros'!$B$7+'Parametros'!$B$9+'Parametros'!$B$12/2)+ROUNDDOWN(S524/2,0)*('Parametros'!$B$7+'Parametros'!$B$9+'Parametros'!$B$12/2+'Parametros'!$B$12+'Parametros'!$B$10))/S524)</f>
        <v>489.35</v>
      </c>
      <c r="V524" s="10">
        <f>S524*'Parametros'!$B$8</f>
        <v>1592</v>
      </c>
      <c r="W524" s="10">
        <f>'Parametros'!$B$5*V524*'Parametros'!$B$3*(U524-(V524*'Parametros'!$B$3/(0.85*'Parametros'!$B$2*H524))/2)/1000000</f>
        <v>277.572719858824</v>
      </c>
      <c r="X524" s="10" t="str">
        <f>IF(W524&gt;=J524,"CUMPLE","NO CUMPLE")</f>
        <v>CUMPLE</v>
      </c>
      <c r="Y524" s="10">
        <f>MAX(MAX(1.4/'Parametros'!$B$3,0.25*SQRT('Parametros'!$B$2)/'Parametros'!$B$3)*H524*AB524,(0.85*'Parametros'!$B$2/'Parametros'!$B$3)*(1-SQRT(1-2*(L524*1000000/('Parametros'!$B$5*H524*AB524^2))/(0.85*'Parametros'!$B$2)))*H524*AB524)</f>
        <v>815.583333333333</v>
      </c>
      <c r="Z524" s="31" t="n">
        <v>5</v>
      </c>
      <c r="AA524" s="32" t="n">
        <v>1</v>
      </c>
      <c r="AB524" s="10">
        <f>IF(AA524=1,I524-('Parametros'!$B$7+'Parametros'!$B$9+'Parametros'!$B$12/2),I524-(ROUNDUP(Z524/2,0)*('Parametros'!$B$7+'Parametros'!$B$9+'Parametros'!$B$12/2)+ROUNDDOWN(Z524/2,0)*('Parametros'!$B$7+'Parametros'!$B$9+'Parametros'!$B$12/2+'Parametros'!$B$12+'Parametros'!$B$10))/Z524)</f>
        <v>489.35</v>
      </c>
      <c r="AC524" s="10">
        <f>Z524*'Parametros'!$B$8</f>
        <v>995</v>
      </c>
      <c r="AD524" s="10">
        <f>'Parametros'!$B$5*AC524*'Parametros'!$B$3*(AB524-(AC524*'Parametros'!$B$3/(0.85*'Parametros'!$B$2*H524))/2)/1000000</f>
        <v>177.445379382353</v>
      </c>
      <c r="AE524" s="10" t="str">
        <f>IF(AD524&gt;=L524,"CUMPLE","NO CUMPLE")</f>
        <v>CUMPLE</v>
      </c>
      <c r="AF524" s="10">
        <f>V524*1.25*'Parametros'!$B$3*(U524-(V524*1.25*'Parametros'!$B$3/(0.85*'Parametros'!$B$2*H524))/2)/1000000</f>
        <v>379.647400588235</v>
      </c>
      <c r="AG524" s="10">
        <f>AC524*1.25*'Parametros'!$B$3*(AB524-(AC524*1.25*'Parametros'!$B$3/(0.85*'Parametros'!$B$2*H524))/2)/1000000</f>
        <v>244.158843198529</v>
      </c>
      <c r="AH524" s="10">
        <f>N524+(AF524+AG524)/D524</f>
        <v>516.273121893382</v>
      </c>
      <c r="AI524" s="10">
        <f>MAX(O524,AH524)</f>
        <v>516.273121893382</v>
      </c>
      <c r="AJ524" s="10">
        <f>0.17*SQRT('Parametros'!$B$2)*H524*MIN(U524,AB524)/1000</f>
        <v>220.098728691808</v>
      </c>
      <c r="AK524" s="10">
        <f>MAX(AI524/'Parametros'!$B$6-AJ524,0)</f>
        <v>468.265433832702</v>
      </c>
      <c r="AL524" s="10">
        <f>0.66*SQRT('Parametros'!$B$2)*H524*MIN(U524,AB524)/1000</f>
        <v>854.500946685842</v>
      </c>
      <c r="AM524" s="10" t="str">
        <f>IF(AK524&lt;=AL524,"CUMPLE","NO CUMPLE")</f>
        <v>CUMPLE</v>
      </c>
      <c r="AN524" s="17" t="inlineStr">
        <is>
          <t>Nº4 cerrado</t>
        </is>
      </c>
      <c r="AO524" s="31" t="n">
        <v>2</v>
      </c>
      <c r="AP524" s="10">
        <f>ROUNDDOWN(MIN(IF(BC524+BD524=0,1000000000,AO524*BB524/(BC524+BD524)),MIN(U524,AB524)/4,8*'Parametros'!$B$12,24*BA524,300,IF(AV524=0,1000000000,2*((H524-2*('Parametros'!$B$7+'Parametros'!$B$9/2))+(I524-2*('Parametros'!$B$7+'Parametros'!$B$9/2)))/8))/10,0)*10</f>
        <v>110</v>
      </c>
      <c r="AQ524" s="10">
        <f>ROUNDDOWN(MIN(IF(BC524+BD524=0,1000000000,AO524*BB524/(BC524+BD524)),IF(AK524&gt;0.33*SQRT('Parametros'!$B$2)*H524*MIN(U524,AB524)/1000,MIN(U524,AB524)/4,MIN(U524,AB524)/2),600,IF(AV524=0,1000000000,2*((H524-2*('Parametros'!$B$7+'Parametros'!$B$9/2))+(I524-2*('Parametros'!$B$7+'Parametros'!$B$9/2)))/8))/10,0)*10</f>
        <v>110</v>
      </c>
      <c r="AR524" s="10">
        <f>'Parametros'!$B$6*(AJ524+MAX(BE524-BD524,0)*'Parametros'!$B$4*MIN(U524,AB524)/1000)</f>
        <v>526.614723791583</v>
      </c>
      <c r="AS524" s="10" t="str">
        <f>IF(AND(ISERROR(SEARCH("referencia",AN524)),AM524="CUMPLE",AR524&gt;=AI524),"CUMPLE","NO CUMPLE")</f>
        <v>CUMPLE</v>
      </c>
      <c r="AT524" s="10">
        <f>'Parametros'!$B$6*0.083*SQRT('Parametros'!$B$2)*(H524*I524)^2/(2*(H524+I524))/1000000</f>
        <v>11.862178757599</v>
      </c>
      <c r="AU524" s="10" t="str">
        <f>IF(Q524&lt;=AT524,"DESPRECIABLE","DISEÑAR")</f>
        <v>DESPRECIABLE</v>
      </c>
      <c r="AV524" s="10">
        <f>IF(Q524&lt;=AT524,0,Q524*1000000/('Parametros'!$B$6*2*0.85*(H524-2*('Parametros'!$B$7+'Parametros'!$B$9/2))*(I524-2*('Parametros'!$B$7+'Parametros'!$B$9/2))*'Parametros'!$B$4))</f>
        <v>0</v>
      </c>
      <c r="AW524" s="10">
        <f>AV524*2*((H524-2*('Parametros'!$B$7+'Parametros'!$B$9/2))+(I524-2*('Parametros'!$B$7+'Parametros'!$B$9/2)))*'Parametros'!$B$4/'Parametros'!$B$3</f>
        <v>0</v>
      </c>
      <c r="AX524" s="31" t="n">
        <v>0</v>
      </c>
      <c r="AY524" s="10" t="str">
        <f>IF(AV524=0,"DESPRECIABLE",IF(AND(ISERROR(SEARCH("referencia",AN524)),BB524/AP524&gt;=AV524,BI524&gt;=AW524,BH524="CUMPLE"),"CUMPLE","NO CUMPLE"))</f>
        <v>DESPRECIABLE</v>
      </c>
      <c r="AZ524" s="10" t="str">
        <f>IF(AND(X524="CUMPLE",AE524="CUMPLE",AS524="CUMPLE",OR(AY524="CUMPLE",AY524="DESPRECIABLE"),BH524="CUMPLE",BJ524="CUMPLE"),"CUMPLE","NO CUMPLE")</f>
        <v>CUMPLE</v>
      </c>
      <c r="BA524" s="32" t="n">
        <v>12.7</v>
      </c>
      <c r="BB524" s="32" t="n">
        <v>129</v>
      </c>
      <c r="BC524" s="10">
        <f>MAX(IF(AK524=0,0,AK524*1000/('Parametros'!$B$4*MIN(U524,AB524))),MAX(0.062*SQRT('Parametros'!$B$2)*H524/'Parametros'!$B$4,0.35*H524/'Parametros'!$B$4))</f>
        <v>2.27836456442561</v>
      </c>
      <c r="BD524" s="10">
        <f>2*AV524</f>
        <v>0</v>
      </c>
      <c r="BE524" s="10">
        <f>AO524*BB524/AP524</f>
        <v>2.34545454545455</v>
      </c>
      <c r="BF524" s="10">
        <f>SQRT((AI524*1000/(H524*MIN(U524,AB524)))^2+(Q524*1000000*2*((H524-2*('Parametros'!$B$7+'Parametros'!$B$9/2))+(I524-2*('Parametros'!$B$7+'Parametros'!$B$9/2)))/(1.7*((H524-2*('Parametros'!$B$7+'Parametros'!$B$9/2))*(I524-2*('Parametros'!$B$7+'Parametros'!$B$9/2)))^2))^2)</f>
        <v>2.12283160452771</v>
      </c>
      <c r="BG524" s="10">
        <f>'Parametros'!$B$6*(AJ524*1000/(H524*MIN(U524,AB524))+0.66*SQRT('Parametros'!$B$2))</f>
        <v>3.29396038227542</v>
      </c>
      <c r="BH524" s="10" t="str">
        <f>IF(BF524&lt;=BG524,"CUMPLE","NO CUMPLE")</f>
        <v>CUMPLE</v>
      </c>
      <c r="BI524" s="10">
        <f>AX524*'Parametros'!$B$8</f>
        <v>0</v>
      </c>
      <c r="BJ524" s="10" t="str">
        <f>IF(BI524&gt;=AW524,"CUMPLE","NO CUMPLE")</f>
        <v>CUMPLE</v>
      </c>
    </row>
    <row r="525">
      <c r="A525" s="26" t="inlineStr">
        <is>
          <t>VR3</t>
        </is>
      </c>
      <c r="B525" s="26" t="inlineStr">
        <is>
          <t>790</t>
        </is>
      </c>
      <c r="C525" s="10" t="n">
        <v>1</v>
      </c>
      <c r="D525" s="10" t="n">
        <v>2.35</v>
      </c>
      <c r="E525" s="10" t="n">
        <v>2.35</v>
      </c>
      <c r="F525" s="10" t="n">
        <v>500</v>
      </c>
      <c r="G525" s="10" t="n">
        <v>550</v>
      </c>
      <c r="H525" s="17" t="n">
        <v>500</v>
      </c>
      <c r="I525" s="17" t="n">
        <v>550</v>
      </c>
      <c r="J525" s="30" t="n">
        <v>245.0347</v>
      </c>
      <c r="K525" s="10" t="inlineStr">
        <is>
          <t>790</t>
        </is>
      </c>
      <c r="L525" s="30" t="n">
        <v>133.7411</v>
      </c>
      <c r="M525" s="10" t="inlineStr">
        <is>
          <t>790</t>
        </is>
      </c>
      <c r="N525" s="30" t="n">
        <v>201.607</v>
      </c>
      <c r="O525" s="30" t="n">
        <v>325.015</v>
      </c>
      <c r="P525" s="10" t="inlineStr">
        <is>
          <t>790</t>
        </is>
      </c>
      <c r="Q525" s="30" t="n">
        <v>9.605</v>
      </c>
      <c r="R525" s="10">
        <f>MAX(MAX(1.4/'Parametros'!$B$3,0.25*SQRT('Parametros'!$B$2)/'Parametros'!$B$3)*H525*U525,(0.85*'Parametros'!$B$2/'Parametros'!$B$3)*(1-SQRT(1-2*(J525*1000000/('Parametros'!$B$5*H525*U525^2))/(0.85*'Parametros'!$B$2)))*H525*U525)</f>
        <v>1394.85984354644</v>
      </c>
      <c r="S525" s="31" t="n">
        <v>8</v>
      </c>
      <c r="T525" s="32" t="n">
        <v>1</v>
      </c>
      <c r="U525" s="10">
        <f>IF(T525=1,I525-('Parametros'!$B$7+'Parametros'!$B$9+'Parametros'!$B$12/2),I525-(ROUNDUP(S525/2,0)*('Parametros'!$B$7+'Parametros'!$B$9+'Parametros'!$B$12/2)+ROUNDDOWN(S525/2,0)*('Parametros'!$B$7+'Parametros'!$B$9+'Parametros'!$B$12/2+'Parametros'!$B$12+'Parametros'!$B$10))/S525)</f>
        <v>489.35</v>
      </c>
      <c r="V525" s="10">
        <f>S525*'Parametros'!$B$8</f>
        <v>1592</v>
      </c>
      <c r="W525" s="10">
        <f>'Parametros'!$B$5*V525*'Parametros'!$B$3*(U525-(V525*'Parametros'!$B$3/(0.85*'Parametros'!$B$2*H525))/2)/1000000</f>
        <v>277.572719858824</v>
      </c>
      <c r="X525" s="10" t="str">
        <f>IF(W525&gt;=J525,"CUMPLE","NO CUMPLE")</f>
        <v>CUMPLE</v>
      </c>
      <c r="Y525" s="10">
        <f>MAX(MAX(1.4/'Parametros'!$B$3,0.25*SQRT('Parametros'!$B$2)/'Parametros'!$B$3)*H525*AB525,(0.85*'Parametros'!$B$2/'Parametros'!$B$3)*(1-SQRT(1-2*(L525*1000000/('Parametros'!$B$5*H525*AB525^2))/(0.85*'Parametros'!$B$2)))*H525*AB525)</f>
        <v>815.583333333333</v>
      </c>
      <c r="Z525" s="31" t="n">
        <v>5</v>
      </c>
      <c r="AA525" s="32" t="n">
        <v>1</v>
      </c>
      <c r="AB525" s="10">
        <f>IF(AA525=1,I525-('Parametros'!$B$7+'Parametros'!$B$9+'Parametros'!$B$12/2),I525-(ROUNDUP(Z525/2,0)*('Parametros'!$B$7+'Parametros'!$B$9+'Parametros'!$B$12/2)+ROUNDDOWN(Z525/2,0)*('Parametros'!$B$7+'Parametros'!$B$9+'Parametros'!$B$12/2+'Parametros'!$B$12+'Parametros'!$B$10))/Z525)</f>
        <v>489.35</v>
      </c>
      <c r="AC525" s="10">
        <f>Z525*'Parametros'!$B$8</f>
        <v>995</v>
      </c>
      <c r="AD525" s="10">
        <f>'Parametros'!$B$5*AC525*'Parametros'!$B$3*(AB525-(AC525*'Parametros'!$B$3/(0.85*'Parametros'!$B$2*H525))/2)/1000000</f>
        <v>177.445379382353</v>
      </c>
      <c r="AE525" s="10" t="str">
        <f>IF(AD525&gt;=L525,"CUMPLE","NO CUMPLE")</f>
        <v>CUMPLE</v>
      </c>
      <c r="AF525" s="10">
        <f>V525*1.25*'Parametros'!$B$3*(U525-(V525*1.25*'Parametros'!$B$3/(0.85*'Parametros'!$B$2*H525))/2)/1000000</f>
        <v>379.647400588235</v>
      </c>
      <c r="AG525" s="10">
        <f>AC525*1.25*'Parametros'!$B$3*(AB525-(AC525*1.25*'Parametros'!$B$3/(0.85*'Parametros'!$B$2*H525))/2)/1000000</f>
        <v>244.158843198529</v>
      </c>
      <c r="AH525" s="10">
        <f>N525+(AF525+AG525)/D525</f>
        <v>467.056465441176</v>
      </c>
      <c r="AI525" s="10">
        <f>MAX(O525,AH525)</f>
        <v>467.056465441176</v>
      </c>
      <c r="AJ525" s="10">
        <f>0.17*SQRT('Parametros'!$B$2)*H525*MIN(U525,AB525)/1000</f>
        <v>220.098728691808</v>
      </c>
      <c r="AK525" s="10">
        <f>MAX(AI525/'Parametros'!$B$6-AJ525,0)</f>
        <v>402.643225229761</v>
      </c>
      <c r="AL525" s="10">
        <f>0.66*SQRT('Parametros'!$B$2)*H525*MIN(U525,AB525)/1000</f>
        <v>854.500946685842</v>
      </c>
      <c r="AM525" s="10" t="str">
        <f>IF(AK525&lt;=AL525,"CUMPLE","NO CUMPLE")</f>
        <v>CUMPLE</v>
      </c>
      <c r="AN525" s="17" t="inlineStr">
        <is>
          <t>Nº4 cerrado</t>
        </is>
      </c>
      <c r="AO525" s="31" t="n">
        <v>2</v>
      </c>
      <c r="AP525" s="10">
        <f>ROUNDDOWN(MIN(IF(BC525+BD525=0,1000000000,AO525*BB525/(BC525+BD525)),MIN(U525,AB525)/4,8*'Parametros'!$B$12,24*BA525,300,IF(AV525=0,1000000000,2*((H525-2*('Parametros'!$B$7+'Parametros'!$B$9/2))+(I525-2*('Parametros'!$B$7+'Parametros'!$B$9/2)))/8))/10,0)*10</f>
        <v>120</v>
      </c>
      <c r="AQ525" s="10">
        <f>ROUNDDOWN(MIN(IF(BC525+BD525=0,1000000000,AO525*BB525/(BC525+BD525)),IF(AK525&gt;0.33*SQRT('Parametros'!$B$2)*H525*MIN(U525,AB525)/1000,MIN(U525,AB525)/4,MIN(U525,AB525)/2),600,IF(AV525=0,1000000000,2*((H525-2*('Parametros'!$B$7+'Parametros'!$B$9/2))+(I525-2*('Parametros'!$B$7+'Parametros'!$B$9/2)))/8))/10,0)*10</f>
        <v>130</v>
      </c>
      <c r="AR525" s="10">
        <f>'Parametros'!$B$6*(AJ525+MAX(BE525-BD525,0)*'Parametros'!$B$4*MIN(U525,AB525)/1000)</f>
        <v>496.486334018856</v>
      </c>
      <c r="AS525" s="10" t="str">
        <f>IF(AND(ISERROR(SEARCH("referencia",AN525)),AM525="CUMPLE",AR525&gt;=AI525),"CUMPLE","NO CUMPLE")</f>
        <v>CUMPLE</v>
      </c>
      <c r="AT525" s="10">
        <f>'Parametros'!$B$6*0.083*SQRT('Parametros'!$B$2)*(H525*I525)^2/(2*(H525+I525))/1000000</f>
        <v>11.862178757599</v>
      </c>
      <c r="AU525" s="10" t="str">
        <f>IF(Q525&lt;=AT525,"DESPRECIABLE","DISEÑAR")</f>
        <v>DESPRECIABLE</v>
      </c>
      <c r="AV525" s="10">
        <f>IF(Q525&lt;=AT525,0,Q525*1000000/('Parametros'!$B$6*2*0.85*(H525-2*('Parametros'!$B$7+'Parametros'!$B$9/2))*(I525-2*('Parametros'!$B$7+'Parametros'!$B$9/2))*'Parametros'!$B$4))</f>
        <v>0</v>
      </c>
      <c r="AW525" s="10">
        <f>AV525*2*((H525-2*('Parametros'!$B$7+'Parametros'!$B$9/2))+(I525-2*('Parametros'!$B$7+'Parametros'!$B$9/2)))*'Parametros'!$B$4/'Parametros'!$B$3</f>
        <v>0</v>
      </c>
      <c r="AX525" s="31" t="n">
        <v>0</v>
      </c>
      <c r="AY525" s="10" t="str">
        <f>IF(AV525=0,"DESPRECIABLE",IF(AND(ISERROR(SEARCH("referencia",AN525)),BB525/AP525&gt;=AV525,BI525&gt;=AW525,BH525="CUMPLE"),"CUMPLE","NO CUMPLE"))</f>
        <v>DESPRECIABLE</v>
      </c>
      <c r="AZ525" s="10" t="str">
        <f>IF(AND(X525="CUMPLE",AE525="CUMPLE",AS525="CUMPLE",OR(AY525="CUMPLE",AY525="DESPRECIABLE"),BH525="CUMPLE",BJ525="CUMPLE"),"CUMPLE","NO CUMPLE")</f>
        <v>CUMPLE</v>
      </c>
      <c r="BA525" s="32" t="n">
        <v>12.7</v>
      </c>
      <c r="BB525" s="32" t="n">
        <v>129</v>
      </c>
      <c r="BC525" s="10">
        <f>MAX(IF(AK525=0,0,AK525*1000/('Parametros'!$B$4*MIN(U525,AB525))),MAX(0.062*SQRT('Parametros'!$B$2)*H525/'Parametros'!$B$4,0.35*H525/'Parametros'!$B$4))</f>
        <v>1.95907703235955</v>
      </c>
      <c r="BD525" s="10">
        <f>2*AV525</f>
        <v>0</v>
      </c>
      <c r="BE525" s="10">
        <f>AO525*BB525/AP525</f>
        <v>2.15</v>
      </c>
      <c r="BF525" s="10">
        <f>SQRT((AI525*1000/(H525*MIN(U525,AB525)))^2+(Q525*1000000*2*((H525-2*('Parametros'!$B$7+'Parametros'!$B$9/2))+(I525-2*('Parametros'!$B$7+'Parametros'!$B$9/2)))/(1.7*((H525-2*('Parametros'!$B$7+'Parametros'!$B$9/2))*(I525-2*('Parametros'!$B$7+'Parametros'!$B$9/2)))^2))^2)</f>
        <v>1.92954705172778</v>
      </c>
      <c r="BG525" s="10">
        <f>'Parametros'!$B$6*(AJ525*1000/(H525*MIN(U525,AB525))+0.66*SQRT('Parametros'!$B$2))</f>
        <v>3.29396038227542</v>
      </c>
      <c r="BH525" s="10" t="str">
        <f>IF(BF525&lt;=BG525,"CUMPLE","NO CUMPLE")</f>
        <v>CUMPLE</v>
      </c>
      <c r="BI525" s="10">
        <f>AX525*'Parametros'!$B$8</f>
        <v>0</v>
      </c>
      <c r="BJ525" s="10" t="str">
        <f>IF(BI525&gt;=AW525,"CUMPLE","NO CUMPLE")</f>
        <v>CUMPLE</v>
      </c>
    </row>
    <row r="526">
      <c r="A526" s="26" t="inlineStr">
        <is>
          <t>VR3</t>
        </is>
      </c>
      <c r="B526" s="26" t="inlineStr">
        <is>
          <t>875</t>
        </is>
      </c>
      <c r="C526" s="10" t="n">
        <v>1</v>
      </c>
      <c r="D526" s="10" t="n">
        <v>2.35</v>
      </c>
      <c r="E526" s="10" t="n">
        <v>2.35</v>
      </c>
      <c r="F526" s="10" t="n">
        <v>500</v>
      </c>
      <c r="G526" s="10" t="n">
        <v>550</v>
      </c>
      <c r="H526" s="17" t="n">
        <v>500</v>
      </c>
      <c r="I526" s="17" t="n">
        <v>550</v>
      </c>
      <c r="J526" s="30" t="n">
        <v>217.4705</v>
      </c>
      <c r="K526" s="10" t="inlineStr">
        <is>
          <t>875</t>
        </is>
      </c>
      <c r="L526" s="30" t="n">
        <v>131.7282</v>
      </c>
      <c r="M526" s="10" t="inlineStr">
        <is>
          <t>875</t>
        </is>
      </c>
      <c r="N526" s="30" t="n">
        <v>190.691</v>
      </c>
      <c r="O526" s="30" t="n">
        <v>277.534</v>
      </c>
      <c r="P526" s="10" t="inlineStr">
        <is>
          <t>875</t>
        </is>
      </c>
      <c r="Q526" s="30" t="n">
        <v>6.5151</v>
      </c>
      <c r="R526" s="10">
        <f>MAX(MAX(1.4/'Parametros'!$B$3,0.25*SQRT('Parametros'!$B$2)/'Parametros'!$B$3)*H526*U526,(0.85*'Parametros'!$B$2/'Parametros'!$B$3)*(1-SQRT(1-2*(J526*1000000/('Parametros'!$B$5*H526*U526^2))/(0.85*'Parametros'!$B$2)))*H526*U526)</f>
        <v>1230.26129082123</v>
      </c>
      <c r="S526" s="31" t="n">
        <v>7</v>
      </c>
      <c r="T526" s="32" t="n">
        <v>1</v>
      </c>
      <c r="U526" s="10">
        <f>IF(T526=1,I526-('Parametros'!$B$7+'Parametros'!$B$9+'Parametros'!$B$12/2),I526-(ROUNDUP(S526/2,0)*('Parametros'!$B$7+'Parametros'!$B$9+'Parametros'!$B$12/2)+ROUNDDOWN(S526/2,0)*('Parametros'!$B$7+'Parametros'!$B$9+'Parametros'!$B$12/2+'Parametros'!$B$12+'Parametros'!$B$10))/S526)</f>
        <v>489.35</v>
      </c>
      <c r="V526" s="10">
        <f>S526*'Parametros'!$B$8</f>
        <v>1393</v>
      </c>
      <c r="W526" s="10">
        <f>'Parametros'!$B$5*V526*'Parametros'!$B$3*(U526-(V526*'Parametros'!$B$3/(0.85*'Parametros'!$B$2*H526))/2)/1000000</f>
        <v>244.725263629412</v>
      </c>
      <c r="X526" s="10" t="str">
        <f>IF(W526&gt;=J526,"CUMPLE","NO CUMPLE")</f>
        <v>CUMPLE</v>
      </c>
      <c r="Y526" s="10">
        <f>MAX(MAX(1.4/'Parametros'!$B$3,0.25*SQRT('Parametros'!$B$2)/'Parametros'!$B$3)*H526*AB526,(0.85*'Parametros'!$B$2/'Parametros'!$B$3)*(1-SQRT(1-2*(L526*1000000/('Parametros'!$B$5*H526*AB526^2))/(0.85*'Parametros'!$B$2)))*H526*AB526)</f>
        <v>815.583333333333</v>
      </c>
      <c r="Z526" s="31" t="n">
        <v>5</v>
      </c>
      <c r="AA526" s="32" t="n">
        <v>1</v>
      </c>
      <c r="AB526" s="10">
        <f>IF(AA526=1,I526-('Parametros'!$B$7+'Parametros'!$B$9+'Parametros'!$B$12/2),I526-(ROUNDUP(Z526/2,0)*('Parametros'!$B$7+'Parametros'!$B$9+'Parametros'!$B$12/2)+ROUNDDOWN(Z526/2,0)*('Parametros'!$B$7+'Parametros'!$B$9+'Parametros'!$B$12/2+'Parametros'!$B$12+'Parametros'!$B$10))/Z526)</f>
        <v>489.35</v>
      </c>
      <c r="AC526" s="10">
        <f>Z526*'Parametros'!$B$8</f>
        <v>995</v>
      </c>
      <c r="AD526" s="10">
        <f>'Parametros'!$B$5*AC526*'Parametros'!$B$3*(AB526-(AC526*'Parametros'!$B$3/(0.85*'Parametros'!$B$2*H526))/2)/1000000</f>
        <v>177.445379382353</v>
      </c>
      <c r="AE526" s="10" t="str">
        <f>IF(AD526&gt;=L526,"CUMPLE","NO CUMPLE")</f>
        <v>CUMPLE</v>
      </c>
      <c r="AF526" s="10">
        <f>V526*1.25*'Parametros'!$B$3*(U526-(V526*1.25*'Parametros'!$B$3/(0.85*'Parametros'!$B$2*H526))/2)/1000000</f>
        <v>335.401777169118</v>
      </c>
      <c r="AG526" s="10">
        <f>AC526*1.25*'Parametros'!$B$3*(AB526-(AC526*1.25*'Parametros'!$B$3/(0.85*'Parametros'!$B$2*H526))/2)/1000000</f>
        <v>244.158843198529</v>
      </c>
      <c r="AH526" s="10">
        <f>N526+(AF526+AG526)/D526</f>
        <v>437.312540581977</v>
      </c>
      <c r="AI526" s="10">
        <f>MAX(O526,AH526)</f>
        <v>437.312540581977</v>
      </c>
      <c r="AJ526" s="10">
        <f>0.17*SQRT('Parametros'!$B$2)*H526*MIN(U526,AB526)/1000</f>
        <v>220.098728691808</v>
      </c>
      <c r="AK526" s="10">
        <f>MAX(AI526/'Parametros'!$B$6-AJ526,0)</f>
        <v>362.984658750829</v>
      </c>
      <c r="AL526" s="10">
        <f>0.66*SQRT('Parametros'!$B$2)*H526*MIN(U526,AB526)/1000</f>
        <v>854.500946685842</v>
      </c>
      <c r="AM526" s="10" t="str">
        <f>IF(AK526&lt;=AL526,"CUMPLE","NO CUMPLE")</f>
        <v>CUMPLE</v>
      </c>
      <c r="AN526" s="17" t="inlineStr">
        <is>
          <t>Nº3 cerrado</t>
        </is>
      </c>
      <c r="AO526" s="31" t="n">
        <v>2</v>
      </c>
      <c r="AP526" s="10">
        <f>ROUNDDOWN(MIN(IF(BC526+BD526=0,1000000000,AO526*BB526/(BC526+BD526)),MIN(U526,AB526)/4,8*'Parametros'!$B$12,24*BA526,300,IF(AV526=0,1000000000,2*((H526-2*('Parametros'!$B$7+'Parametros'!$B$9/2))+(I526-2*('Parametros'!$B$7+'Parametros'!$B$9/2)))/8))/10,0)*10</f>
        <v>80</v>
      </c>
      <c r="AQ526" s="10">
        <f>ROUNDDOWN(MIN(IF(BC526+BD526=0,1000000000,AO526*BB526/(BC526+BD526)),IF(AK526&gt;0.33*SQRT('Parametros'!$B$2)*H526*MIN(U526,AB526)/1000,MIN(U526,AB526)/4,MIN(U526,AB526)/2),600,IF(AV526=0,1000000000,2*((H526-2*('Parametros'!$B$7+'Parametros'!$B$9/2))+(I526-2*('Parametros'!$B$7+'Parametros'!$B$9/2)))/8))/10,0)*10</f>
        <v>80</v>
      </c>
      <c r="AR526" s="10">
        <f>'Parametros'!$B$6*(AJ526+MAX(BE526-BD526,0)*'Parametros'!$B$4*MIN(U526,AB526)/1000)</f>
        <v>438.681865268856</v>
      </c>
      <c r="AS526" s="10" t="str">
        <f>IF(AND(ISERROR(SEARCH("referencia",AN526)),AM526="CUMPLE",AR526&gt;=AI526),"CUMPLE","NO CUMPLE")</f>
        <v>CUMPLE</v>
      </c>
      <c r="AT526" s="10">
        <f>'Parametros'!$B$6*0.083*SQRT('Parametros'!$B$2)*(H526*I526)^2/(2*(H526+I526))/1000000</f>
        <v>11.862178757599</v>
      </c>
      <c r="AU526" s="10" t="str">
        <f>IF(Q526&lt;=AT526,"DESPRECIABLE","DISEÑAR")</f>
        <v>DESPRECIABLE</v>
      </c>
      <c r="AV526" s="10">
        <f>IF(Q526&lt;=AT526,0,Q526*1000000/('Parametros'!$B$6*2*0.85*(H526-2*('Parametros'!$B$7+'Parametros'!$B$9/2))*(I526-2*('Parametros'!$B$7+'Parametros'!$B$9/2))*'Parametros'!$B$4))</f>
        <v>0</v>
      </c>
      <c r="AW526" s="10">
        <f>AV526*2*((H526-2*('Parametros'!$B$7+'Parametros'!$B$9/2))+(I526-2*('Parametros'!$B$7+'Parametros'!$B$9/2)))*'Parametros'!$B$4/'Parametros'!$B$3</f>
        <v>0</v>
      </c>
      <c r="AX526" s="31" t="n">
        <v>0</v>
      </c>
      <c r="AY526" s="10" t="str">
        <f>IF(AV526=0,"DESPRECIABLE",IF(AND(ISERROR(SEARCH("referencia",AN526)),BB526/AP526&gt;=AV526,BI526&gt;=AW526,BH526="CUMPLE"),"CUMPLE","NO CUMPLE"))</f>
        <v>DESPRECIABLE</v>
      </c>
      <c r="AZ526" s="10" t="str">
        <f>IF(AND(X526="CUMPLE",AE526="CUMPLE",AS526="CUMPLE",OR(AY526="CUMPLE",AY526="DESPRECIABLE"),BH526="CUMPLE",BJ526="CUMPLE"),"CUMPLE","NO CUMPLE")</f>
        <v>CUMPLE</v>
      </c>
      <c r="BA526" s="32" t="n">
        <v>9.5</v>
      </c>
      <c r="BB526" s="32" t="n">
        <v>71</v>
      </c>
      <c r="BC526" s="10">
        <f>MAX(IF(AK526=0,0,AK526*1000/('Parametros'!$B$4*MIN(U526,AB526))),MAX(0.062*SQRT('Parametros'!$B$2)*H526/'Parametros'!$B$4,0.35*H526/'Parametros'!$B$4))</f>
        <v>1.76611665985894</v>
      </c>
      <c r="BD526" s="10">
        <f>2*AV526</f>
        <v>0</v>
      </c>
      <c r="BE526" s="10">
        <f>AO526*BB526/AP526</f>
        <v>1.775</v>
      </c>
      <c r="BF526" s="10">
        <f>SQRT((AI526*1000/(H526*MIN(U526,AB526)))^2+(Q526*1000000*2*((H526-2*('Parametros'!$B$7+'Parametros'!$B$9/2))+(I526-2*('Parametros'!$B$7+'Parametros'!$B$9/2)))/(1.7*((H526-2*('Parametros'!$B$7+'Parametros'!$B$9/2))*(I526-2*('Parametros'!$B$7+'Parametros'!$B$9/2)))^2))^2)</f>
        <v>1.79749907934902</v>
      </c>
      <c r="BG526" s="10">
        <f>'Parametros'!$B$6*(AJ526*1000/(H526*MIN(U526,AB526))+0.66*SQRT('Parametros'!$B$2))</f>
        <v>3.29396038227542</v>
      </c>
      <c r="BH526" s="10" t="str">
        <f>IF(BF526&lt;=BG526,"CUMPLE","NO CUMPLE")</f>
        <v>CUMPLE</v>
      </c>
      <c r="BI526" s="10">
        <f>AX526*'Parametros'!$B$8</f>
        <v>0</v>
      </c>
      <c r="BJ526" s="10" t="str">
        <f>IF(BI526&gt;=AW526,"CUMPLE","NO CUMPLE")</f>
        <v>CUMPLE</v>
      </c>
    </row>
    <row r="527">
      <c r="A527" s="26" t="inlineStr">
        <is>
          <t>VR3</t>
        </is>
      </c>
      <c r="B527" s="26" t="inlineStr">
        <is>
          <t>876</t>
        </is>
      </c>
      <c r="C527" s="10" t="n">
        <v>1</v>
      </c>
      <c r="D527" s="10" t="n">
        <v>2</v>
      </c>
      <c r="E527" s="10" t="n">
        <v>2</v>
      </c>
      <c r="F527" s="10" t="n">
        <v>500</v>
      </c>
      <c r="G527" s="10" t="n">
        <v>550</v>
      </c>
      <c r="H527" s="17" t="n">
        <v>500</v>
      </c>
      <c r="I527" s="17" t="n">
        <v>550</v>
      </c>
      <c r="J527" s="30" t="n">
        <v>238.7417</v>
      </c>
      <c r="K527" s="10" t="inlineStr">
        <is>
          <t>876</t>
        </is>
      </c>
      <c r="L527" s="30" t="n">
        <v>118.2926</v>
      </c>
      <c r="M527" s="10" t="inlineStr">
        <is>
          <t>876</t>
        </is>
      </c>
      <c r="N527" s="30" t="n">
        <v>194.769</v>
      </c>
      <c r="O527" s="30" t="n">
        <v>280.927</v>
      </c>
      <c r="P527" s="10" t="inlineStr">
        <is>
          <t>876</t>
        </is>
      </c>
      <c r="Q527" s="30" t="n">
        <v>5.3527</v>
      </c>
      <c r="R527" s="10">
        <f>MAX(MAX(1.4/'Parametros'!$B$3,0.25*SQRT('Parametros'!$B$2)/'Parametros'!$B$3)*H527*U527,(0.85*'Parametros'!$B$2/'Parametros'!$B$3)*(1-SQRT(1-2*(J527*1000000/('Parametros'!$B$5*H527*U527^2))/(0.85*'Parametros'!$B$2)))*H527*U527)</f>
        <v>1357.09062719938</v>
      </c>
      <c r="S527" s="31" t="n">
        <v>7</v>
      </c>
      <c r="T527" s="32" t="n">
        <v>1</v>
      </c>
      <c r="U527" s="10">
        <f>IF(T527=1,I527-('Parametros'!$B$7+'Parametros'!$B$9+'Parametros'!$B$12/2),I527-(ROUNDUP(S527/2,0)*('Parametros'!$B$7+'Parametros'!$B$9+'Parametros'!$B$12/2)+ROUNDDOWN(S527/2,0)*('Parametros'!$B$7+'Parametros'!$B$9+'Parametros'!$B$12/2+'Parametros'!$B$12+'Parametros'!$B$10))/S527)</f>
        <v>489.35</v>
      </c>
      <c r="V527" s="10">
        <f>S527*'Parametros'!$B$8</f>
        <v>1393</v>
      </c>
      <c r="W527" s="10">
        <f>'Parametros'!$B$5*V527*'Parametros'!$B$3*(U527-(V527*'Parametros'!$B$3/(0.85*'Parametros'!$B$2*H527))/2)/1000000</f>
        <v>244.725263629412</v>
      </c>
      <c r="X527" s="10" t="str">
        <f>IF(W527&gt;=J527,"CUMPLE","NO CUMPLE")</f>
        <v>CUMPLE</v>
      </c>
      <c r="Y527" s="10">
        <f>MAX(MAX(1.4/'Parametros'!$B$3,0.25*SQRT('Parametros'!$B$2)/'Parametros'!$B$3)*H527*AB527,(0.85*'Parametros'!$B$2/'Parametros'!$B$3)*(1-SQRT(1-2*(L527*1000000/('Parametros'!$B$5*H527*AB527^2))/(0.85*'Parametros'!$B$2)))*H527*AB527)</f>
        <v>815.583333333333</v>
      </c>
      <c r="Z527" s="31" t="n">
        <v>5</v>
      </c>
      <c r="AA527" s="32" t="n">
        <v>1</v>
      </c>
      <c r="AB527" s="10">
        <f>IF(AA527=1,I527-('Parametros'!$B$7+'Parametros'!$B$9+'Parametros'!$B$12/2),I527-(ROUNDUP(Z527/2,0)*('Parametros'!$B$7+'Parametros'!$B$9+'Parametros'!$B$12/2)+ROUNDDOWN(Z527/2,0)*('Parametros'!$B$7+'Parametros'!$B$9+'Parametros'!$B$12/2+'Parametros'!$B$12+'Parametros'!$B$10))/Z527)</f>
        <v>489.35</v>
      </c>
      <c r="AC527" s="10">
        <f>Z527*'Parametros'!$B$8</f>
        <v>995</v>
      </c>
      <c r="AD527" s="10">
        <f>'Parametros'!$B$5*AC527*'Parametros'!$B$3*(AB527-(AC527*'Parametros'!$B$3/(0.85*'Parametros'!$B$2*H527))/2)/1000000</f>
        <v>177.445379382353</v>
      </c>
      <c r="AE527" s="10" t="str">
        <f>IF(AD527&gt;=L527,"CUMPLE","NO CUMPLE")</f>
        <v>CUMPLE</v>
      </c>
      <c r="AF527" s="10">
        <f>V527*1.25*'Parametros'!$B$3*(U527-(V527*1.25*'Parametros'!$B$3/(0.85*'Parametros'!$B$2*H527))/2)/1000000</f>
        <v>335.401777169118</v>
      </c>
      <c r="AG527" s="10">
        <f>AC527*1.25*'Parametros'!$B$3*(AB527-(AC527*1.25*'Parametros'!$B$3/(0.85*'Parametros'!$B$2*H527))/2)/1000000</f>
        <v>244.158843198529</v>
      </c>
      <c r="AH527" s="10">
        <f>N527+(AF527+AG527)/D527</f>
        <v>484.549310183824</v>
      </c>
      <c r="AI527" s="10">
        <f>MAX(O527,AH527)</f>
        <v>484.549310183824</v>
      </c>
      <c r="AJ527" s="10">
        <f>0.17*SQRT('Parametros'!$B$2)*H527*MIN(U527,AB527)/1000</f>
        <v>220.098728691808</v>
      </c>
      <c r="AK527" s="10">
        <f>MAX(AI527/'Parametros'!$B$6-AJ527,0)</f>
        <v>425.967018219957</v>
      </c>
      <c r="AL527" s="10">
        <f>0.66*SQRT('Parametros'!$B$2)*H527*MIN(U527,AB527)/1000</f>
        <v>854.500946685842</v>
      </c>
      <c r="AM527" s="10" t="str">
        <f>IF(AK527&lt;=AL527,"CUMPLE","NO CUMPLE")</f>
        <v>CUMPLE</v>
      </c>
      <c r="AN527" s="17" t="inlineStr">
        <is>
          <t>Nº4 cerrado</t>
        </is>
      </c>
      <c r="AO527" s="31" t="n">
        <v>2</v>
      </c>
      <c r="AP527" s="10">
        <f>ROUNDDOWN(MIN(IF(BC527+BD527=0,1000000000,AO527*BB527/(BC527+BD527)),MIN(U527,AB527)/4,8*'Parametros'!$B$12,24*BA527,300,IF(AV527=0,1000000000,2*((H527-2*('Parametros'!$B$7+'Parametros'!$B$9/2))+(I527-2*('Parametros'!$B$7+'Parametros'!$B$9/2)))/8))/10,0)*10</f>
        <v>120</v>
      </c>
      <c r="AQ527" s="10">
        <f>ROUNDDOWN(MIN(IF(BC527+BD527=0,1000000000,AO527*BB527/(BC527+BD527)),IF(AK527&gt;0.33*SQRT('Parametros'!$B$2)*H527*MIN(U527,AB527)/1000,MIN(U527,AB527)/4,MIN(U527,AB527)/2),600,IF(AV527=0,1000000000,2*((H527-2*('Parametros'!$B$7+'Parametros'!$B$9/2))+(I527-2*('Parametros'!$B$7+'Parametros'!$B$9/2)))/8))/10,0)*10</f>
        <v>120</v>
      </c>
      <c r="AR527" s="10">
        <f>'Parametros'!$B$6*(AJ527+MAX(BE527-BD527,0)*'Parametros'!$B$4*MIN(U527,AB527)/1000)</f>
        <v>496.486334018856</v>
      </c>
      <c r="AS527" s="10" t="str">
        <f>IF(AND(ISERROR(SEARCH("referencia",AN527)),AM527="CUMPLE",AR527&gt;=AI527),"CUMPLE","NO CUMPLE")</f>
        <v>CUMPLE</v>
      </c>
      <c r="AT527" s="10">
        <f>'Parametros'!$B$6*0.083*SQRT('Parametros'!$B$2)*(H527*I527)^2/(2*(H527+I527))/1000000</f>
        <v>11.862178757599</v>
      </c>
      <c r="AU527" s="10" t="str">
        <f>IF(Q527&lt;=AT527,"DESPRECIABLE","DISEÑAR")</f>
        <v>DESPRECIABLE</v>
      </c>
      <c r="AV527" s="10">
        <f>IF(Q527&lt;=AT527,0,Q527*1000000/('Parametros'!$B$6*2*0.85*(H527-2*('Parametros'!$B$7+'Parametros'!$B$9/2))*(I527-2*('Parametros'!$B$7+'Parametros'!$B$9/2))*'Parametros'!$B$4))</f>
        <v>0</v>
      </c>
      <c r="AW527" s="10">
        <f>AV527*2*((H527-2*('Parametros'!$B$7+'Parametros'!$B$9/2))+(I527-2*('Parametros'!$B$7+'Parametros'!$B$9/2)))*'Parametros'!$B$4/'Parametros'!$B$3</f>
        <v>0</v>
      </c>
      <c r="AX527" s="31" t="n">
        <v>0</v>
      </c>
      <c r="AY527" s="10" t="str">
        <f>IF(AV527=0,"DESPRECIABLE",IF(AND(ISERROR(SEARCH("referencia",AN527)),BB527/AP527&gt;=AV527,BI527&gt;=AW527,BH527="CUMPLE"),"CUMPLE","NO CUMPLE"))</f>
        <v>DESPRECIABLE</v>
      </c>
      <c r="AZ527" s="10" t="str">
        <f>IF(AND(X527="CUMPLE",AE527="CUMPLE",AS527="CUMPLE",OR(AY527="CUMPLE",AY527="DESPRECIABLE"),BH527="CUMPLE",BJ527="CUMPLE"),"CUMPLE","NO CUMPLE")</f>
        <v>CUMPLE</v>
      </c>
      <c r="BA527" s="32" t="n">
        <v>12.7</v>
      </c>
      <c r="BB527" s="32" t="n">
        <v>129</v>
      </c>
      <c r="BC527" s="10">
        <f>MAX(IF(AK527=0,0,AK527*1000/('Parametros'!$B$4*MIN(U527,AB527))),MAX(0.062*SQRT('Parametros'!$B$2)*H527/'Parametros'!$B$4,0.35*H527/'Parametros'!$B$4))</f>
        <v>2.07255989830999</v>
      </c>
      <c r="BD527" s="10">
        <f>2*AV527</f>
        <v>0</v>
      </c>
      <c r="BE527" s="10">
        <f>AO527*BB527/AP527</f>
        <v>2.15</v>
      </c>
      <c r="BF527" s="10">
        <f>SQRT((AI527*1000/(H527*MIN(U527,AB527)))^2+(Q527*1000000*2*((H527-2*('Parametros'!$B$7+'Parametros'!$B$9/2))+(I527-2*('Parametros'!$B$7+'Parametros'!$B$9/2)))/(1.7*((H527-2*('Parametros'!$B$7+'Parametros'!$B$9/2))*(I527-2*('Parametros'!$B$7+'Parametros'!$B$9/2)))^2))^2)</f>
        <v>1.98658825822311</v>
      </c>
      <c r="BG527" s="10">
        <f>'Parametros'!$B$6*(AJ527*1000/(H527*MIN(U527,AB527))+0.66*SQRT('Parametros'!$B$2))</f>
        <v>3.29396038227542</v>
      </c>
      <c r="BH527" s="10" t="str">
        <f>IF(BF527&lt;=BG527,"CUMPLE","NO CUMPLE")</f>
        <v>CUMPLE</v>
      </c>
      <c r="BI527" s="10">
        <f>AX527*'Parametros'!$B$8</f>
        <v>0</v>
      </c>
      <c r="BJ527" s="10" t="str">
        <f>IF(BI527&gt;=AW527,"CUMPLE","NO CUMPLE")</f>
        <v>CUMPLE</v>
      </c>
    </row>
    <row r="528">
      <c r="A528" s="26" t="inlineStr">
        <is>
          <t>VR3</t>
        </is>
      </c>
      <c r="B528" s="26" t="inlineStr">
        <is>
          <t>877</t>
        </is>
      </c>
      <c r="C528" s="10" t="n">
        <v>1</v>
      </c>
      <c r="D528" s="10" t="n">
        <v>1.9</v>
      </c>
      <c r="E528" s="10" t="n">
        <v>1.9</v>
      </c>
      <c r="F528" s="10" t="n">
        <v>500</v>
      </c>
      <c r="G528" s="10" t="n">
        <v>550</v>
      </c>
      <c r="H528" s="17" t="n">
        <v>500</v>
      </c>
      <c r="I528" s="17" t="n">
        <v>550</v>
      </c>
      <c r="J528" s="30" t="n">
        <v>82.28279999999999</v>
      </c>
      <c r="K528" s="10" t="inlineStr">
        <is>
          <t>877</t>
        </is>
      </c>
      <c r="L528" s="30" t="n">
        <v>27.1532</v>
      </c>
      <c r="M528" s="10" t="inlineStr">
        <is>
          <t>877</t>
        </is>
      </c>
      <c r="N528" s="30" t="n">
        <v>75.88</v>
      </c>
      <c r="O528" s="30" t="n">
        <v>231.085</v>
      </c>
      <c r="P528" s="10" t="inlineStr">
        <is>
          <t>877</t>
        </is>
      </c>
      <c r="Q528" s="30" t="n">
        <v>0.2123</v>
      </c>
      <c r="R528" s="10">
        <f>MAX(MAX(1.4/'Parametros'!$B$3,0.25*SQRT('Parametros'!$B$2)/'Parametros'!$B$3)*H528*U528,(0.85*'Parametros'!$B$2/'Parametros'!$B$3)*(1-SQRT(1-2*(J528*1000000/('Parametros'!$B$5*H528*U528^2))/(0.85*'Parametros'!$B$2)))*H528*U528)</f>
        <v>815.583333333333</v>
      </c>
      <c r="S528" s="31" t="n">
        <v>5</v>
      </c>
      <c r="T528" s="32" t="n">
        <v>1</v>
      </c>
      <c r="U528" s="10">
        <f>IF(T528=1,I528-('Parametros'!$B$7+'Parametros'!$B$9+'Parametros'!$B$12/2),I528-(ROUNDUP(S528/2,0)*('Parametros'!$B$7+'Parametros'!$B$9+'Parametros'!$B$12/2)+ROUNDDOWN(S528/2,0)*('Parametros'!$B$7+'Parametros'!$B$9+'Parametros'!$B$12/2+'Parametros'!$B$12+'Parametros'!$B$10))/S528)</f>
        <v>489.35</v>
      </c>
      <c r="V528" s="10">
        <f>S528*'Parametros'!$B$8</f>
        <v>995</v>
      </c>
      <c r="W528" s="10">
        <f>'Parametros'!$B$5*V528*'Parametros'!$B$3*(U528-(V528*'Parametros'!$B$3/(0.85*'Parametros'!$B$2*H528))/2)/1000000</f>
        <v>177.445379382353</v>
      </c>
      <c r="X528" s="10" t="str">
        <f>IF(W528&gt;=J528,"CUMPLE","NO CUMPLE")</f>
        <v>CUMPLE</v>
      </c>
      <c r="Y528" s="10">
        <f>MAX(MAX(1.4/'Parametros'!$B$3,0.25*SQRT('Parametros'!$B$2)/'Parametros'!$B$3)*H528*AB528,(0.85*'Parametros'!$B$2/'Parametros'!$B$3)*(1-SQRT(1-2*(L528*1000000/('Parametros'!$B$5*H528*AB528^2))/(0.85*'Parametros'!$B$2)))*H528*AB528)</f>
        <v>815.583333333333</v>
      </c>
      <c r="Z528" s="31" t="n">
        <v>5</v>
      </c>
      <c r="AA528" s="32" t="n">
        <v>1</v>
      </c>
      <c r="AB528" s="10">
        <f>IF(AA528=1,I528-('Parametros'!$B$7+'Parametros'!$B$9+'Parametros'!$B$12/2),I528-(ROUNDUP(Z528/2,0)*('Parametros'!$B$7+'Parametros'!$B$9+'Parametros'!$B$12/2)+ROUNDDOWN(Z528/2,0)*('Parametros'!$B$7+'Parametros'!$B$9+'Parametros'!$B$12/2+'Parametros'!$B$12+'Parametros'!$B$10))/Z528)</f>
        <v>489.35</v>
      </c>
      <c r="AC528" s="10">
        <f>Z528*'Parametros'!$B$8</f>
        <v>995</v>
      </c>
      <c r="AD528" s="10">
        <f>'Parametros'!$B$5*AC528*'Parametros'!$B$3*(AB528-(AC528*'Parametros'!$B$3/(0.85*'Parametros'!$B$2*H528))/2)/1000000</f>
        <v>177.445379382353</v>
      </c>
      <c r="AE528" s="10" t="str">
        <f>IF(AD528&gt;=L528,"CUMPLE","NO CUMPLE")</f>
        <v>CUMPLE</v>
      </c>
      <c r="AF528" s="10">
        <f>V528*1.25*'Parametros'!$B$3*(U528-(V528*1.25*'Parametros'!$B$3/(0.85*'Parametros'!$B$2*H528))/2)/1000000</f>
        <v>244.158843198529</v>
      </c>
      <c r="AG528" s="10">
        <f>AC528*1.25*'Parametros'!$B$3*(AB528-(AC528*1.25*'Parametros'!$B$3/(0.85*'Parametros'!$B$2*H528))/2)/1000000</f>
        <v>244.158843198529</v>
      </c>
      <c r="AH528" s="10">
        <f>N528+(AF528+AG528)/D528</f>
        <v>332.889308630031</v>
      </c>
      <c r="AI528" s="10">
        <f>MAX(O528,AH528)</f>
        <v>332.889308630031</v>
      </c>
      <c r="AJ528" s="10">
        <f>0.17*SQRT('Parametros'!$B$2)*H528*MIN(U528,AB528)/1000</f>
        <v>220.098728691808</v>
      </c>
      <c r="AK528" s="10">
        <f>MAX(AI528/'Parametros'!$B$6-AJ528,0)</f>
        <v>223.7536828149</v>
      </c>
      <c r="AL528" s="10">
        <f>0.66*SQRT('Parametros'!$B$2)*H528*MIN(U528,AB528)/1000</f>
        <v>854.500946685842</v>
      </c>
      <c r="AM528" s="10" t="str">
        <f>IF(AK528&lt;=AL528,"CUMPLE","NO CUMPLE")</f>
        <v>CUMPLE</v>
      </c>
      <c r="AN528" s="17" t="inlineStr">
        <is>
          <t>Nº3 cerrado</t>
        </is>
      </c>
      <c r="AO528" s="31" t="n">
        <v>2</v>
      </c>
      <c r="AP528" s="10">
        <f>ROUNDDOWN(MIN(IF(BC528+BD528=0,1000000000,AO528*BB528/(BC528+BD528)),MIN(U528,AB528)/4,8*'Parametros'!$B$12,24*BA528,300,IF(AV528=0,1000000000,2*((H528-2*('Parametros'!$B$7+'Parametros'!$B$9/2))+(I528-2*('Parametros'!$B$7+'Parametros'!$B$9/2)))/8))/10,0)*10</f>
        <v>120</v>
      </c>
      <c r="AQ528" s="10">
        <f>ROUNDDOWN(MIN(IF(BC528+BD528=0,1000000000,AO528*BB528/(BC528+BD528)),IF(AK528&gt;0.33*SQRT('Parametros'!$B$2)*H528*MIN(U528,AB528)/1000,MIN(U528,AB528)/4,MIN(U528,AB528)/2),600,IF(AV528=0,1000000000,2*((H528-2*('Parametros'!$B$7+'Parametros'!$B$9/2))+(I528-2*('Parametros'!$B$7+'Parametros'!$B$9/2)))/8))/10,0)*10</f>
        <v>130</v>
      </c>
      <c r="AR528" s="10">
        <f>'Parametros'!$B$6*(AJ528+MAX(BE528-BD528,0)*'Parametros'!$B$4*MIN(U528,AB528)/1000)</f>
        <v>347.479259018856</v>
      </c>
      <c r="AS528" s="10" t="str">
        <f>IF(AND(ISERROR(SEARCH("referencia",AN528)),AM528="CUMPLE",AR528&gt;=AI528),"CUMPLE","NO CUMPLE")</f>
        <v>CUMPLE</v>
      </c>
      <c r="AT528" s="10">
        <f>'Parametros'!$B$6*0.083*SQRT('Parametros'!$B$2)*(H528*I528)^2/(2*(H528+I528))/1000000</f>
        <v>11.862178757599</v>
      </c>
      <c r="AU528" s="10" t="str">
        <f>IF(Q528&lt;=AT528,"DESPRECIABLE","DISEÑAR")</f>
        <v>DESPRECIABLE</v>
      </c>
      <c r="AV528" s="10">
        <f>IF(Q528&lt;=AT528,0,Q528*1000000/('Parametros'!$B$6*2*0.85*(H528-2*('Parametros'!$B$7+'Parametros'!$B$9/2))*(I528-2*('Parametros'!$B$7+'Parametros'!$B$9/2))*'Parametros'!$B$4))</f>
        <v>0</v>
      </c>
      <c r="AW528" s="10">
        <f>AV528*2*((H528-2*('Parametros'!$B$7+'Parametros'!$B$9/2))+(I528-2*('Parametros'!$B$7+'Parametros'!$B$9/2)))*'Parametros'!$B$4/'Parametros'!$B$3</f>
        <v>0</v>
      </c>
      <c r="AX528" s="31" t="n">
        <v>0</v>
      </c>
      <c r="AY528" s="10" t="str">
        <f>IF(AV528=0,"DESPRECIABLE",IF(AND(ISERROR(SEARCH("referencia",AN528)),BB528/AP528&gt;=AV528,BI528&gt;=AW528,BH528="CUMPLE"),"CUMPLE","NO CUMPLE"))</f>
        <v>DESPRECIABLE</v>
      </c>
      <c r="AZ528" s="10" t="str">
        <f>IF(AND(X528="CUMPLE",AE528="CUMPLE",AS528="CUMPLE",OR(AY528="CUMPLE",AY528="DESPRECIABLE"),BH528="CUMPLE",BJ528="CUMPLE"),"CUMPLE","NO CUMPLE")</f>
        <v>CUMPLE</v>
      </c>
      <c r="BA528" s="32" t="n">
        <v>9.5</v>
      </c>
      <c r="BB528" s="32" t="n">
        <v>71</v>
      </c>
      <c r="BC528" s="10">
        <f>MAX(IF(AK528=0,0,AK528*1000/('Parametros'!$B$4*MIN(U528,AB528))),MAX(0.062*SQRT('Parametros'!$B$2)*H528/'Parametros'!$B$4,0.35*H528/'Parametros'!$B$4))</f>
        <v>1.08868266852968</v>
      </c>
      <c r="BD528" s="10">
        <f>2*AV528</f>
        <v>0</v>
      </c>
      <c r="BE528" s="10">
        <f>AO528*BB528/AP528</f>
        <v>1.18333333333333</v>
      </c>
      <c r="BF528" s="10">
        <f>SQRT((AI528*1000/(H528*MIN(U528,AB528)))^2+(Q528*1000000*2*((H528-2*('Parametros'!$B$7+'Parametros'!$B$9/2))+(I528-2*('Parametros'!$B$7+'Parametros'!$B$9/2)))/(1.7*((H528-2*('Parametros'!$B$7+'Parametros'!$B$9/2))*(I528-2*('Parametros'!$B$7+'Parametros'!$B$9/2)))^2))^2)</f>
        <v>1.36055090476222</v>
      </c>
      <c r="BG528" s="10">
        <f>'Parametros'!$B$6*(AJ528*1000/(H528*MIN(U528,AB528))+0.66*SQRT('Parametros'!$B$2))</f>
        <v>3.29396038227542</v>
      </c>
      <c r="BH528" s="10" t="str">
        <f>IF(BF528&lt;=BG528,"CUMPLE","NO CUMPLE")</f>
        <v>CUMPLE</v>
      </c>
      <c r="BI528" s="10">
        <f>AX528*'Parametros'!$B$8</f>
        <v>0</v>
      </c>
      <c r="BJ528" s="10" t="str">
        <f>IF(BI528&gt;=AW528,"CUMPLE","NO CUMPLE")</f>
        <v>CUMPLE</v>
      </c>
    </row>
    <row r="529">
      <c r="A529" s="26" t="inlineStr">
        <is>
          <t>VR3</t>
        </is>
      </c>
      <c r="B529" s="26" t="inlineStr">
        <is>
          <t>878</t>
        </is>
      </c>
      <c r="C529" s="10" t="n">
        <v>1</v>
      </c>
      <c r="D529" s="10" t="n">
        <v>3.4</v>
      </c>
      <c r="E529" s="10" t="n">
        <v>3.4</v>
      </c>
      <c r="F529" s="10" t="n">
        <v>500</v>
      </c>
      <c r="G529" s="10" t="n">
        <v>550</v>
      </c>
      <c r="H529" s="17" t="n">
        <v>500</v>
      </c>
      <c r="I529" s="17" t="n">
        <v>550</v>
      </c>
      <c r="J529" s="30" t="n">
        <v>153.3508</v>
      </c>
      <c r="K529" s="10" t="inlineStr">
        <is>
          <t>878</t>
        </is>
      </c>
      <c r="L529" s="30" t="n">
        <v>73.185</v>
      </c>
      <c r="M529" s="10" t="inlineStr">
        <is>
          <t>878</t>
        </is>
      </c>
      <c r="N529" s="30" t="n">
        <v>115.49</v>
      </c>
      <c r="O529" s="30" t="n">
        <v>249.868</v>
      </c>
      <c r="P529" s="10" t="inlineStr">
        <is>
          <t>878</t>
        </is>
      </c>
      <c r="Q529" s="30" t="n">
        <v>3.8277</v>
      </c>
      <c r="R529" s="10">
        <f>MAX(MAX(1.4/'Parametros'!$B$3,0.25*SQRT('Parametros'!$B$2)/'Parametros'!$B$3)*H529*U529,(0.85*'Parametros'!$B$2/'Parametros'!$B$3)*(1-SQRT(1-2*(J529*1000000/('Parametros'!$B$5*H529*U529^2))/(0.85*'Parametros'!$B$2)))*H529*U529)</f>
        <v>855.4271620071</v>
      </c>
      <c r="S529" s="31" t="n">
        <v>5</v>
      </c>
      <c r="T529" s="32" t="n">
        <v>1</v>
      </c>
      <c r="U529" s="10">
        <f>IF(T529=1,I529-('Parametros'!$B$7+'Parametros'!$B$9+'Parametros'!$B$12/2),I529-(ROUNDUP(S529/2,0)*('Parametros'!$B$7+'Parametros'!$B$9+'Parametros'!$B$12/2)+ROUNDDOWN(S529/2,0)*('Parametros'!$B$7+'Parametros'!$B$9+'Parametros'!$B$12/2+'Parametros'!$B$12+'Parametros'!$B$10))/S529)</f>
        <v>489.35</v>
      </c>
      <c r="V529" s="10">
        <f>S529*'Parametros'!$B$8</f>
        <v>995</v>
      </c>
      <c r="W529" s="10">
        <f>'Parametros'!$B$5*V529*'Parametros'!$B$3*(U529-(V529*'Parametros'!$B$3/(0.85*'Parametros'!$B$2*H529))/2)/1000000</f>
        <v>177.445379382353</v>
      </c>
      <c r="X529" s="10" t="str">
        <f>IF(W529&gt;=J529,"CUMPLE","NO CUMPLE")</f>
        <v>CUMPLE</v>
      </c>
      <c r="Y529" s="10">
        <f>MAX(MAX(1.4/'Parametros'!$B$3,0.25*SQRT('Parametros'!$B$2)/'Parametros'!$B$3)*H529*AB529,(0.85*'Parametros'!$B$2/'Parametros'!$B$3)*(1-SQRT(1-2*(L529*1000000/('Parametros'!$B$5*H529*AB529^2))/(0.85*'Parametros'!$B$2)))*H529*AB529)</f>
        <v>815.583333333333</v>
      </c>
      <c r="Z529" s="31" t="n">
        <v>5</v>
      </c>
      <c r="AA529" s="32" t="n">
        <v>1</v>
      </c>
      <c r="AB529" s="10">
        <f>IF(AA529=1,I529-('Parametros'!$B$7+'Parametros'!$B$9+'Parametros'!$B$12/2),I529-(ROUNDUP(Z529/2,0)*('Parametros'!$B$7+'Parametros'!$B$9+'Parametros'!$B$12/2)+ROUNDDOWN(Z529/2,0)*('Parametros'!$B$7+'Parametros'!$B$9+'Parametros'!$B$12/2+'Parametros'!$B$12+'Parametros'!$B$10))/Z529)</f>
        <v>489.35</v>
      </c>
      <c r="AC529" s="10">
        <f>Z529*'Parametros'!$B$8</f>
        <v>995</v>
      </c>
      <c r="AD529" s="10">
        <f>'Parametros'!$B$5*AC529*'Parametros'!$B$3*(AB529-(AC529*'Parametros'!$B$3/(0.85*'Parametros'!$B$2*H529))/2)/1000000</f>
        <v>177.445379382353</v>
      </c>
      <c r="AE529" s="10" t="str">
        <f>IF(AD529&gt;=L529,"CUMPLE","NO CUMPLE")</f>
        <v>CUMPLE</v>
      </c>
      <c r="AF529" s="10">
        <f>V529*1.25*'Parametros'!$B$3*(U529-(V529*1.25*'Parametros'!$B$3/(0.85*'Parametros'!$B$2*H529))/2)/1000000</f>
        <v>244.158843198529</v>
      </c>
      <c r="AG529" s="10">
        <f>AC529*1.25*'Parametros'!$B$3*(AB529-(AC529*1.25*'Parametros'!$B$3/(0.85*'Parametros'!$B$2*H529))/2)/1000000</f>
        <v>244.158843198529</v>
      </c>
      <c r="AH529" s="10">
        <f>N529+(AF529+AG529)/D529</f>
        <v>259.112848940311</v>
      </c>
      <c r="AI529" s="10">
        <f>MAX(O529,AH529)</f>
        <v>259.112848940311</v>
      </c>
      <c r="AJ529" s="10">
        <f>0.17*SQRT('Parametros'!$B$2)*H529*MIN(U529,AB529)/1000</f>
        <v>220.098728691808</v>
      </c>
      <c r="AK529" s="10">
        <f>MAX(AI529/'Parametros'!$B$6-AJ529,0)</f>
        <v>125.385069895274</v>
      </c>
      <c r="AL529" s="10">
        <f>0.66*SQRT('Parametros'!$B$2)*H529*MIN(U529,AB529)/1000</f>
        <v>854.500946685842</v>
      </c>
      <c r="AM529" s="10" t="str">
        <f>IF(AK529&lt;=AL529,"CUMPLE","NO CUMPLE")</f>
        <v>CUMPLE</v>
      </c>
      <c r="AN529" s="17" t="inlineStr">
        <is>
          <t>Nº3 cerrado</t>
        </is>
      </c>
      <c r="AO529" s="31" t="n">
        <v>2</v>
      </c>
      <c r="AP529" s="10">
        <f>ROUNDDOWN(MIN(IF(BC529+BD529=0,1000000000,AO529*BB529/(BC529+BD529)),MIN(U529,AB529)/4,8*'Parametros'!$B$12,24*BA529,300,IF(AV529=0,1000000000,2*((H529-2*('Parametros'!$B$7+'Parametros'!$B$9/2))+(I529-2*('Parametros'!$B$7+'Parametros'!$B$9/2)))/8))/10,0)*10</f>
        <v>120</v>
      </c>
      <c r="AQ529" s="10">
        <f>ROUNDDOWN(MIN(IF(BC529+BD529=0,1000000000,AO529*BB529/(BC529+BD529)),IF(AK529&gt;0.33*SQRT('Parametros'!$B$2)*H529*MIN(U529,AB529)/1000,MIN(U529,AB529)/4,MIN(U529,AB529)/2),600,IF(AV529=0,1000000000,2*((H529-2*('Parametros'!$B$7+'Parametros'!$B$9/2))+(I529-2*('Parametros'!$B$7+'Parametros'!$B$9/2)))/8))/10,0)*10</f>
        <v>230</v>
      </c>
      <c r="AR529" s="10">
        <f>'Parametros'!$B$6*(AJ529+MAX(BE529-BD529,0)*'Parametros'!$B$4*MIN(U529,AB529)/1000)</f>
        <v>347.479259018856</v>
      </c>
      <c r="AS529" s="10" t="str">
        <f>IF(AND(ISERROR(SEARCH("referencia",AN529)),AM529="CUMPLE",AR529&gt;=AI529),"CUMPLE","NO CUMPLE")</f>
        <v>CUMPLE</v>
      </c>
      <c r="AT529" s="10">
        <f>'Parametros'!$B$6*0.083*SQRT('Parametros'!$B$2)*(H529*I529)^2/(2*(H529+I529))/1000000</f>
        <v>11.862178757599</v>
      </c>
      <c r="AU529" s="10" t="str">
        <f>IF(Q529&lt;=AT529,"DESPRECIABLE","DISEÑAR")</f>
        <v>DESPRECIABLE</v>
      </c>
      <c r="AV529" s="10">
        <f>IF(Q529&lt;=AT529,0,Q529*1000000/('Parametros'!$B$6*2*0.85*(H529-2*('Parametros'!$B$7+'Parametros'!$B$9/2))*(I529-2*('Parametros'!$B$7+'Parametros'!$B$9/2))*'Parametros'!$B$4))</f>
        <v>0</v>
      </c>
      <c r="AW529" s="10">
        <f>AV529*2*((H529-2*('Parametros'!$B$7+'Parametros'!$B$9/2))+(I529-2*('Parametros'!$B$7+'Parametros'!$B$9/2)))*'Parametros'!$B$4/'Parametros'!$B$3</f>
        <v>0</v>
      </c>
      <c r="AX529" s="31" t="n">
        <v>0</v>
      </c>
      <c r="AY529" s="10" t="str">
        <f>IF(AV529=0,"DESPRECIABLE",IF(AND(ISERROR(SEARCH("referencia",AN529)),BB529/AP529&gt;=AV529,BI529&gt;=AW529,BH529="CUMPLE"),"CUMPLE","NO CUMPLE"))</f>
        <v>DESPRECIABLE</v>
      </c>
      <c r="AZ529" s="10" t="str">
        <f>IF(AND(X529="CUMPLE",AE529="CUMPLE",AS529="CUMPLE",OR(AY529="CUMPLE",AY529="DESPRECIABLE"),BH529="CUMPLE",BJ529="CUMPLE"),"CUMPLE","NO CUMPLE")</f>
        <v>CUMPLE</v>
      </c>
      <c r="BA529" s="32" t="n">
        <v>9.5</v>
      </c>
      <c r="BB529" s="32" t="n">
        <v>71</v>
      </c>
      <c r="BC529" s="10">
        <f>MAX(IF(AK529=0,0,AK529*1000/('Parametros'!$B$4*MIN(U529,AB529))),MAX(0.062*SQRT('Parametros'!$B$2)*H529/'Parametros'!$B$4,0.35*H529/'Parametros'!$B$4))</f>
        <v>0.610066170845067</v>
      </c>
      <c r="BD529" s="10">
        <f>2*AV529</f>
        <v>0</v>
      </c>
      <c r="BE529" s="10">
        <f>AO529*BB529/AP529</f>
        <v>1.18333333333333</v>
      </c>
      <c r="BF529" s="10">
        <f>SQRT((AI529*1000/(H529*MIN(U529,AB529)))^2+(Q529*1000000*2*((H529-2*('Parametros'!$B$7+'Parametros'!$B$9/2))+(I529-2*('Parametros'!$B$7+'Parametros'!$B$9/2)))/(1.7*((H529-2*('Parametros'!$B$7+'Parametros'!$B$9/2))*(I529-2*('Parametros'!$B$7+'Parametros'!$B$9/2)))^2))^2)</f>
        <v>1.06493837644559</v>
      </c>
      <c r="BG529" s="10">
        <f>'Parametros'!$B$6*(AJ529*1000/(H529*MIN(U529,AB529))+0.66*SQRT('Parametros'!$B$2))</f>
        <v>3.29396038227542</v>
      </c>
      <c r="BH529" s="10" t="str">
        <f>IF(BF529&lt;=BG529,"CUMPLE","NO CUMPLE")</f>
        <v>CUMPLE</v>
      </c>
      <c r="BI529" s="10">
        <f>AX529*'Parametros'!$B$8</f>
        <v>0</v>
      </c>
      <c r="BJ529" s="10" t="str">
        <f>IF(BI529&gt;=AW529,"CUMPLE","NO CUMPLE")</f>
        <v>CUMPLE</v>
      </c>
    </row>
    <row r="530">
      <c r="A530" s="26" t="inlineStr">
        <is>
          <t>VR3</t>
        </is>
      </c>
      <c r="B530" s="26" t="inlineStr">
        <is>
          <t>879</t>
        </is>
      </c>
      <c r="C530" s="10" t="n">
        <v>1</v>
      </c>
      <c r="D530" s="10" t="n">
        <v>2.2</v>
      </c>
      <c r="E530" s="10" t="n">
        <v>2.2</v>
      </c>
      <c r="F530" s="10" t="n">
        <v>500</v>
      </c>
      <c r="G530" s="10" t="n">
        <v>550</v>
      </c>
      <c r="H530" s="17" t="n">
        <v>500</v>
      </c>
      <c r="I530" s="17" t="n">
        <v>550</v>
      </c>
      <c r="J530" s="30" t="n">
        <v>107.9104</v>
      </c>
      <c r="K530" s="10" t="inlineStr">
        <is>
          <t>879</t>
        </is>
      </c>
      <c r="L530" s="30" t="n">
        <v>44.0678</v>
      </c>
      <c r="M530" s="10" t="inlineStr">
        <is>
          <t>879</t>
        </is>
      </c>
      <c r="N530" s="30" t="n">
        <v>90.265</v>
      </c>
      <c r="O530" s="30" t="n">
        <v>166.096</v>
      </c>
      <c r="P530" s="10" t="inlineStr">
        <is>
          <t>879</t>
        </is>
      </c>
      <c r="Q530" s="30" t="n">
        <v>0.0077</v>
      </c>
      <c r="R530" s="10">
        <f>MAX(MAX(1.4/'Parametros'!$B$3,0.25*SQRT('Parametros'!$B$2)/'Parametros'!$B$3)*H530*U530,(0.85*'Parametros'!$B$2/'Parametros'!$B$3)*(1-SQRT(1-2*(J530*1000000/('Parametros'!$B$5*H530*U530^2))/(0.85*'Parametros'!$B$2)))*H530*U530)</f>
        <v>815.583333333333</v>
      </c>
      <c r="S530" s="31" t="n">
        <v>5</v>
      </c>
      <c r="T530" s="32" t="n">
        <v>1</v>
      </c>
      <c r="U530" s="10">
        <f>IF(T530=1,I530-('Parametros'!$B$7+'Parametros'!$B$9+'Parametros'!$B$12/2),I530-(ROUNDUP(S530/2,0)*('Parametros'!$B$7+'Parametros'!$B$9+'Parametros'!$B$12/2)+ROUNDDOWN(S530/2,0)*('Parametros'!$B$7+'Parametros'!$B$9+'Parametros'!$B$12/2+'Parametros'!$B$12+'Parametros'!$B$10))/S530)</f>
        <v>489.35</v>
      </c>
      <c r="V530" s="10">
        <f>S530*'Parametros'!$B$8</f>
        <v>995</v>
      </c>
      <c r="W530" s="10">
        <f>'Parametros'!$B$5*V530*'Parametros'!$B$3*(U530-(V530*'Parametros'!$B$3/(0.85*'Parametros'!$B$2*H530))/2)/1000000</f>
        <v>177.445379382353</v>
      </c>
      <c r="X530" s="10" t="str">
        <f>IF(W530&gt;=J530,"CUMPLE","NO CUMPLE")</f>
        <v>CUMPLE</v>
      </c>
      <c r="Y530" s="10">
        <f>MAX(MAX(1.4/'Parametros'!$B$3,0.25*SQRT('Parametros'!$B$2)/'Parametros'!$B$3)*H530*AB530,(0.85*'Parametros'!$B$2/'Parametros'!$B$3)*(1-SQRT(1-2*(L530*1000000/('Parametros'!$B$5*H530*AB530^2))/(0.85*'Parametros'!$B$2)))*H530*AB530)</f>
        <v>815.583333333333</v>
      </c>
      <c r="Z530" s="31" t="n">
        <v>5</v>
      </c>
      <c r="AA530" s="32" t="n">
        <v>1</v>
      </c>
      <c r="AB530" s="10">
        <f>IF(AA530=1,I530-('Parametros'!$B$7+'Parametros'!$B$9+'Parametros'!$B$12/2),I530-(ROUNDUP(Z530/2,0)*('Parametros'!$B$7+'Parametros'!$B$9+'Parametros'!$B$12/2)+ROUNDDOWN(Z530/2,0)*('Parametros'!$B$7+'Parametros'!$B$9+'Parametros'!$B$12/2+'Parametros'!$B$12+'Parametros'!$B$10))/Z530)</f>
        <v>489.35</v>
      </c>
      <c r="AC530" s="10">
        <f>Z530*'Parametros'!$B$8</f>
        <v>995</v>
      </c>
      <c r="AD530" s="10">
        <f>'Parametros'!$B$5*AC530*'Parametros'!$B$3*(AB530-(AC530*'Parametros'!$B$3/(0.85*'Parametros'!$B$2*H530))/2)/1000000</f>
        <v>177.445379382353</v>
      </c>
      <c r="AE530" s="10" t="str">
        <f>IF(AD530&gt;=L530,"CUMPLE","NO CUMPLE")</f>
        <v>CUMPLE</v>
      </c>
      <c r="AF530" s="10">
        <f>V530*1.25*'Parametros'!$B$3*(U530-(V530*1.25*'Parametros'!$B$3/(0.85*'Parametros'!$B$2*H530))/2)/1000000</f>
        <v>244.158843198529</v>
      </c>
      <c r="AG530" s="10">
        <f>AC530*1.25*'Parametros'!$B$3*(AB530-(AC530*1.25*'Parametros'!$B$3/(0.85*'Parametros'!$B$2*H530))/2)/1000000</f>
        <v>244.158843198529</v>
      </c>
      <c r="AH530" s="10">
        <f>N530+(AF530+AG530)/D530</f>
        <v>312.227584725936</v>
      </c>
      <c r="AI530" s="10">
        <f>MAX(O530,AH530)</f>
        <v>312.227584725936</v>
      </c>
      <c r="AJ530" s="10">
        <f>0.17*SQRT('Parametros'!$B$2)*H530*MIN(U530,AB530)/1000</f>
        <v>220.098728691808</v>
      </c>
      <c r="AK530" s="10">
        <f>MAX(AI530/'Parametros'!$B$6-AJ530,0)</f>
        <v>196.20471760944</v>
      </c>
      <c r="AL530" s="10">
        <f>0.66*SQRT('Parametros'!$B$2)*H530*MIN(U530,AB530)/1000</f>
        <v>854.500946685842</v>
      </c>
      <c r="AM530" s="10" t="str">
        <f>IF(AK530&lt;=AL530,"CUMPLE","NO CUMPLE")</f>
        <v>CUMPLE</v>
      </c>
      <c r="AN530" s="17" t="inlineStr">
        <is>
          <t>Nº3 cerrado</t>
        </is>
      </c>
      <c r="AO530" s="31" t="n">
        <v>2</v>
      </c>
      <c r="AP530" s="10">
        <f>ROUNDDOWN(MIN(IF(BC530+BD530=0,1000000000,AO530*BB530/(BC530+BD530)),MIN(U530,AB530)/4,8*'Parametros'!$B$12,24*BA530,300,IF(AV530=0,1000000000,2*((H530-2*('Parametros'!$B$7+'Parametros'!$B$9/2))+(I530-2*('Parametros'!$B$7+'Parametros'!$B$9/2)))/8))/10,0)*10</f>
        <v>120</v>
      </c>
      <c r="AQ530" s="10">
        <f>ROUNDDOWN(MIN(IF(BC530+BD530=0,1000000000,AO530*BB530/(BC530+BD530)),IF(AK530&gt;0.33*SQRT('Parametros'!$B$2)*H530*MIN(U530,AB530)/1000,MIN(U530,AB530)/4,MIN(U530,AB530)/2),600,IF(AV530=0,1000000000,2*((H530-2*('Parametros'!$B$7+'Parametros'!$B$9/2))+(I530-2*('Parametros'!$B$7+'Parametros'!$B$9/2)))/8))/10,0)*10</f>
        <v>140</v>
      </c>
      <c r="AR530" s="10">
        <f>'Parametros'!$B$6*(AJ530+MAX(BE530-BD530,0)*'Parametros'!$B$4*MIN(U530,AB530)/1000)</f>
        <v>347.479259018856</v>
      </c>
      <c r="AS530" s="10" t="str">
        <f>IF(AND(ISERROR(SEARCH("referencia",AN530)),AM530="CUMPLE",AR530&gt;=AI530),"CUMPLE","NO CUMPLE")</f>
        <v>CUMPLE</v>
      </c>
      <c r="AT530" s="10">
        <f>'Parametros'!$B$6*0.083*SQRT('Parametros'!$B$2)*(H530*I530)^2/(2*(H530+I530))/1000000</f>
        <v>11.862178757599</v>
      </c>
      <c r="AU530" s="10" t="str">
        <f>IF(Q530&lt;=AT530,"DESPRECIABLE","DISEÑAR")</f>
        <v>DESPRECIABLE</v>
      </c>
      <c r="AV530" s="10">
        <f>IF(Q530&lt;=AT530,0,Q530*1000000/('Parametros'!$B$6*2*0.85*(H530-2*('Parametros'!$B$7+'Parametros'!$B$9/2))*(I530-2*('Parametros'!$B$7+'Parametros'!$B$9/2))*'Parametros'!$B$4))</f>
        <v>0</v>
      </c>
      <c r="AW530" s="10">
        <f>AV530*2*((H530-2*('Parametros'!$B$7+'Parametros'!$B$9/2))+(I530-2*('Parametros'!$B$7+'Parametros'!$B$9/2)))*'Parametros'!$B$4/'Parametros'!$B$3</f>
        <v>0</v>
      </c>
      <c r="AX530" s="31" t="n">
        <v>0</v>
      </c>
      <c r="AY530" s="10" t="str">
        <f>IF(AV530=0,"DESPRECIABLE",IF(AND(ISERROR(SEARCH("referencia",AN530)),BB530/AP530&gt;=AV530,BI530&gt;=AW530,BH530="CUMPLE"),"CUMPLE","NO CUMPLE"))</f>
        <v>DESPRECIABLE</v>
      </c>
      <c r="AZ530" s="10" t="str">
        <f>IF(AND(X530="CUMPLE",AE530="CUMPLE",AS530="CUMPLE",OR(AY530="CUMPLE",AY530="DESPRECIABLE"),BH530="CUMPLE",BJ530="CUMPLE"),"CUMPLE","NO CUMPLE")</f>
        <v>CUMPLE</v>
      </c>
      <c r="BA530" s="32" t="n">
        <v>9.5</v>
      </c>
      <c r="BB530" s="32" t="n">
        <v>71</v>
      </c>
      <c r="BC530" s="10">
        <f>MAX(IF(AK530=0,0,AK530*1000/('Parametros'!$B$4*MIN(U530,AB530))),MAX(0.062*SQRT('Parametros'!$B$2)*H530/'Parametros'!$B$4,0.35*H530/'Parametros'!$B$4))</f>
        <v>0.954642054861113</v>
      </c>
      <c r="BD530" s="10">
        <f>2*AV530</f>
        <v>0</v>
      </c>
      <c r="BE530" s="10">
        <f>AO530*BB530/AP530</f>
        <v>1.18333333333333</v>
      </c>
      <c r="BF530" s="10">
        <f>SQRT((AI530*1000/(H530*MIN(U530,AB530)))^2+(Q530*1000000*2*((H530-2*('Parametros'!$B$7+'Parametros'!$B$9/2))+(I530-2*('Parametros'!$B$7+'Parametros'!$B$9/2)))/(1.7*((H530-2*('Parametros'!$B$7+'Parametros'!$B$9/2))*(I530-2*('Parametros'!$B$7+'Parametros'!$B$9/2)))^2))^2)</f>
        <v>1.27609109885498</v>
      </c>
      <c r="BG530" s="10">
        <f>'Parametros'!$B$6*(AJ530*1000/(H530*MIN(U530,AB530))+0.66*SQRT('Parametros'!$B$2))</f>
        <v>3.29396038227542</v>
      </c>
      <c r="BH530" s="10" t="str">
        <f>IF(BF530&lt;=BG530,"CUMPLE","NO CUMPLE")</f>
        <v>CUMPLE</v>
      </c>
      <c r="BI530" s="10">
        <f>AX530*'Parametros'!$B$8</f>
        <v>0</v>
      </c>
      <c r="BJ530" s="10" t="str">
        <f>IF(BI530&gt;=AW530,"CUMPLE","NO CUMPLE")</f>
        <v>CUMPLE</v>
      </c>
    </row>
    <row r="531">
      <c r="A531" s="26" t="inlineStr">
        <is>
          <t>VR3</t>
        </is>
      </c>
      <c r="B531" s="26" t="inlineStr">
        <is>
          <t>880</t>
        </is>
      </c>
      <c r="C531" s="10" t="n">
        <v>1</v>
      </c>
      <c r="D531" s="10" t="n">
        <v>2.1</v>
      </c>
      <c r="E531" s="10" t="n">
        <v>2.1</v>
      </c>
      <c r="F531" s="10" t="n">
        <v>500</v>
      </c>
      <c r="G531" s="10" t="n">
        <v>550</v>
      </c>
      <c r="H531" s="17" t="n">
        <v>500</v>
      </c>
      <c r="I531" s="17" t="n">
        <v>550</v>
      </c>
      <c r="J531" s="30" t="n">
        <v>107.7808</v>
      </c>
      <c r="K531" s="10" t="inlineStr">
        <is>
          <t>880</t>
        </is>
      </c>
      <c r="L531" s="30" t="n">
        <v>43.752</v>
      </c>
      <c r="M531" s="10" t="inlineStr">
        <is>
          <t>880</t>
        </is>
      </c>
      <c r="N531" s="30" t="n">
        <v>89.91500000000001</v>
      </c>
      <c r="O531" s="30" t="n">
        <v>165.6</v>
      </c>
      <c r="P531" s="10" t="inlineStr">
        <is>
          <t>880</t>
        </is>
      </c>
      <c r="Q531" s="30" t="n">
        <v>0.0077</v>
      </c>
      <c r="R531" s="10">
        <f>MAX(MAX(1.4/'Parametros'!$B$3,0.25*SQRT('Parametros'!$B$2)/'Parametros'!$B$3)*H531*U531,(0.85*'Parametros'!$B$2/'Parametros'!$B$3)*(1-SQRT(1-2*(J531*1000000/('Parametros'!$B$5*H531*U531^2))/(0.85*'Parametros'!$B$2)))*H531*U531)</f>
        <v>815.583333333333</v>
      </c>
      <c r="S531" s="31" t="n">
        <v>5</v>
      </c>
      <c r="T531" s="32" t="n">
        <v>1</v>
      </c>
      <c r="U531" s="10">
        <f>IF(T531=1,I531-('Parametros'!$B$7+'Parametros'!$B$9+'Parametros'!$B$12/2),I531-(ROUNDUP(S531/2,0)*('Parametros'!$B$7+'Parametros'!$B$9+'Parametros'!$B$12/2)+ROUNDDOWN(S531/2,0)*('Parametros'!$B$7+'Parametros'!$B$9+'Parametros'!$B$12/2+'Parametros'!$B$12+'Parametros'!$B$10))/S531)</f>
        <v>489.35</v>
      </c>
      <c r="V531" s="10">
        <f>S531*'Parametros'!$B$8</f>
        <v>995</v>
      </c>
      <c r="W531" s="10">
        <f>'Parametros'!$B$5*V531*'Parametros'!$B$3*(U531-(V531*'Parametros'!$B$3/(0.85*'Parametros'!$B$2*H531))/2)/1000000</f>
        <v>177.445379382353</v>
      </c>
      <c r="X531" s="10" t="str">
        <f>IF(W531&gt;=J531,"CUMPLE","NO CUMPLE")</f>
        <v>CUMPLE</v>
      </c>
      <c r="Y531" s="10">
        <f>MAX(MAX(1.4/'Parametros'!$B$3,0.25*SQRT('Parametros'!$B$2)/'Parametros'!$B$3)*H531*AB531,(0.85*'Parametros'!$B$2/'Parametros'!$B$3)*(1-SQRT(1-2*(L531*1000000/('Parametros'!$B$5*H531*AB531^2))/(0.85*'Parametros'!$B$2)))*H531*AB531)</f>
        <v>815.583333333333</v>
      </c>
      <c r="Z531" s="31" t="n">
        <v>5</v>
      </c>
      <c r="AA531" s="32" t="n">
        <v>1</v>
      </c>
      <c r="AB531" s="10">
        <f>IF(AA531=1,I531-('Parametros'!$B$7+'Parametros'!$B$9+'Parametros'!$B$12/2),I531-(ROUNDUP(Z531/2,0)*('Parametros'!$B$7+'Parametros'!$B$9+'Parametros'!$B$12/2)+ROUNDDOWN(Z531/2,0)*('Parametros'!$B$7+'Parametros'!$B$9+'Parametros'!$B$12/2+'Parametros'!$B$12+'Parametros'!$B$10))/Z531)</f>
        <v>489.35</v>
      </c>
      <c r="AC531" s="10">
        <f>Z531*'Parametros'!$B$8</f>
        <v>995</v>
      </c>
      <c r="AD531" s="10">
        <f>'Parametros'!$B$5*AC531*'Parametros'!$B$3*(AB531-(AC531*'Parametros'!$B$3/(0.85*'Parametros'!$B$2*H531))/2)/1000000</f>
        <v>177.445379382353</v>
      </c>
      <c r="AE531" s="10" t="str">
        <f>IF(AD531&gt;=L531,"CUMPLE","NO CUMPLE")</f>
        <v>CUMPLE</v>
      </c>
      <c r="AF531" s="10">
        <f>V531*1.25*'Parametros'!$B$3*(U531-(V531*1.25*'Parametros'!$B$3/(0.85*'Parametros'!$B$2*H531))/2)/1000000</f>
        <v>244.158843198529</v>
      </c>
      <c r="AG531" s="10">
        <f>AC531*1.25*'Parametros'!$B$3*(AB531-(AC531*1.25*'Parametros'!$B$3/(0.85*'Parametros'!$B$2*H531))/2)/1000000</f>
        <v>244.158843198529</v>
      </c>
      <c r="AH531" s="10">
        <f>N531+(AF531+AG531)/D531</f>
        <v>322.447231617647</v>
      </c>
      <c r="AI531" s="10">
        <f>MAX(O531,AH531)</f>
        <v>322.447231617647</v>
      </c>
      <c r="AJ531" s="10">
        <f>0.17*SQRT('Parametros'!$B$2)*H531*MIN(U531,AB531)/1000</f>
        <v>220.098728691808</v>
      </c>
      <c r="AK531" s="10">
        <f>MAX(AI531/'Parametros'!$B$6-AJ531,0)</f>
        <v>209.830913465055</v>
      </c>
      <c r="AL531" s="10">
        <f>0.66*SQRT('Parametros'!$B$2)*H531*MIN(U531,AB531)/1000</f>
        <v>854.500946685842</v>
      </c>
      <c r="AM531" s="10" t="str">
        <f>IF(AK531&lt;=AL531,"CUMPLE","NO CUMPLE")</f>
        <v>CUMPLE</v>
      </c>
      <c r="AN531" s="17" t="inlineStr">
        <is>
          <t>Nº3 cerrado</t>
        </is>
      </c>
      <c r="AO531" s="31" t="n">
        <v>2</v>
      </c>
      <c r="AP531" s="10">
        <f>ROUNDDOWN(MIN(IF(BC531+BD531=0,1000000000,AO531*BB531/(BC531+BD531)),MIN(U531,AB531)/4,8*'Parametros'!$B$12,24*BA531,300,IF(AV531=0,1000000000,2*((H531-2*('Parametros'!$B$7+'Parametros'!$B$9/2))+(I531-2*('Parametros'!$B$7+'Parametros'!$B$9/2)))/8))/10,0)*10</f>
        <v>120</v>
      </c>
      <c r="AQ531" s="10">
        <f>ROUNDDOWN(MIN(IF(BC531+BD531=0,1000000000,AO531*BB531/(BC531+BD531)),IF(AK531&gt;0.33*SQRT('Parametros'!$B$2)*H531*MIN(U531,AB531)/1000,MIN(U531,AB531)/4,MIN(U531,AB531)/2),600,IF(AV531=0,1000000000,2*((H531-2*('Parametros'!$B$7+'Parametros'!$B$9/2))+(I531-2*('Parametros'!$B$7+'Parametros'!$B$9/2)))/8))/10,0)*10</f>
        <v>130</v>
      </c>
      <c r="AR531" s="10">
        <f>'Parametros'!$B$6*(AJ531+MAX(BE531-BD531,0)*'Parametros'!$B$4*MIN(U531,AB531)/1000)</f>
        <v>347.479259018856</v>
      </c>
      <c r="AS531" s="10" t="str">
        <f>IF(AND(ISERROR(SEARCH("referencia",AN531)),AM531="CUMPLE",AR531&gt;=AI531),"CUMPLE","NO CUMPLE")</f>
        <v>CUMPLE</v>
      </c>
      <c r="AT531" s="10">
        <f>'Parametros'!$B$6*0.083*SQRT('Parametros'!$B$2)*(H531*I531)^2/(2*(H531+I531))/1000000</f>
        <v>11.862178757599</v>
      </c>
      <c r="AU531" s="10" t="str">
        <f>IF(Q531&lt;=AT531,"DESPRECIABLE","DISEÑAR")</f>
        <v>DESPRECIABLE</v>
      </c>
      <c r="AV531" s="10">
        <f>IF(Q531&lt;=AT531,0,Q531*1000000/('Parametros'!$B$6*2*0.85*(H531-2*('Parametros'!$B$7+'Parametros'!$B$9/2))*(I531-2*('Parametros'!$B$7+'Parametros'!$B$9/2))*'Parametros'!$B$4))</f>
        <v>0</v>
      </c>
      <c r="AW531" s="10">
        <f>AV531*2*((H531-2*('Parametros'!$B$7+'Parametros'!$B$9/2))+(I531-2*('Parametros'!$B$7+'Parametros'!$B$9/2)))*'Parametros'!$B$4/'Parametros'!$B$3</f>
        <v>0</v>
      </c>
      <c r="AX531" s="31" t="n">
        <v>0</v>
      </c>
      <c r="AY531" s="10" t="str">
        <f>IF(AV531=0,"DESPRECIABLE",IF(AND(ISERROR(SEARCH("referencia",AN531)),BB531/AP531&gt;=AV531,BI531&gt;=AW531,BH531="CUMPLE"),"CUMPLE","NO CUMPLE"))</f>
        <v>DESPRECIABLE</v>
      </c>
      <c r="AZ531" s="10" t="str">
        <f>IF(AND(X531="CUMPLE",AE531="CUMPLE",AS531="CUMPLE",OR(AY531="CUMPLE",AY531="DESPRECIABLE"),BH531="CUMPLE",BJ531="CUMPLE"),"CUMPLE","NO CUMPLE")</f>
        <v>CUMPLE</v>
      </c>
      <c r="BA531" s="32" t="n">
        <v>9.5</v>
      </c>
      <c r="BB531" s="32" t="n">
        <v>71</v>
      </c>
      <c r="BC531" s="10">
        <f>MAX(IF(AK531=0,0,AK531*1000/('Parametros'!$B$4*MIN(U531,AB531))),MAX(0.062*SQRT('Parametros'!$B$2)*H531/'Parametros'!$B$4,0.35*H531/'Parametros'!$B$4))</f>
        <v>1.0209408664801</v>
      </c>
      <c r="BD531" s="10">
        <f>2*AV531</f>
        <v>0</v>
      </c>
      <c r="BE531" s="10">
        <f>AO531*BB531/AP531</f>
        <v>1.18333333333333</v>
      </c>
      <c r="BF531" s="10">
        <f>SQRT((AI531*1000/(H531*MIN(U531,AB531)))^2+(Q531*1000000*2*((H531-2*('Parametros'!$B$7+'Parametros'!$B$9/2))+(I531-2*('Parametros'!$B$7+'Parametros'!$B$9/2)))/(1.7*((H531-2*('Parametros'!$B$7+'Parametros'!$B$9/2))*(I531-2*('Parametros'!$B$7+'Parametros'!$B$9/2)))^2))^2)</f>
        <v>1.31785934954198</v>
      </c>
      <c r="BG531" s="10">
        <f>'Parametros'!$B$6*(AJ531*1000/(H531*MIN(U531,AB531))+0.66*SQRT('Parametros'!$B$2))</f>
        <v>3.29396038227542</v>
      </c>
      <c r="BH531" s="10" t="str">
        <f>IF(BF531&lt;=BG531,"CUMPLE","NO CUMPLE")</f>
        <v>CUMPLE</v>
      </c>
      <c r="BI531" s="10">
        <f>AX531*'Parametros'!$B$8</f>
        <v>0</v>
      </c>
      <c r="BJ531" s="10" t="str">
        <f>IF(BI531&gt;=AW531,"CUMPLE","NO CUMPLE")</f>
        <v>CUMPLE</v>
      </c>
    </row>
    <row r="532">
      <c r="A532" s="26" t="inlineStr">
        <is>
          <t>VR3</t>
        </is>
      </c>
      <c r="B532" s="26" t="inlineStr">
        <is>
          <t>881</t>
        </is>
      </c>
      <c r="C532" s="10" t="n">
        <v>1</v>
      </c>
      <c r="D532" s="10" t="n">
        <v>3.4</v>
      </c>
      <c r="E532" s="10" t="n">
        <v>3.4</v>
      </c>
      <c r="F532" s="10" t="n">
        <v>500</v>
      </c>
      <c r="G532" s="10" t="n">
        <v>550</v>
      </c>
      <c r="H532" s="17" t="n">
        <v>500</v>
      </c>
      <c r="I532" s="17" t="n">
        <v>550</v>
      </c>
      <c r="J532" s="30" t="n">
        <v>153.4574</v>
      </c>
      <c r="K532" s="10" t="inlineStr">
        <is>
          <t>881</t>
        </is>
      </c>
      <c r="L532" s="30" t="n">
        <v>73.29519999999999</v>
      </c>
      <c r="M532" s="10" t="inlineStr">
        <is>
          <t>881</t>
        </is>
      </c>
      <c r="N532" s="30" t="n">
        <v>115.544</v>
      </c>
      <c r="O532" s="30" t="n">
        <v>249.987</v>
      </c>
      <c r="P532" s="10" t="inlineStr">
        <is>
          <t>881</t>
        </is>
      </c>
      <c r="Q532" s="30" t="n">
        <v>3.8339</v>
      </c>
      <c r="R532" s="10">
        <f>MAX(MAX(1.4/'Parametros'!$B$3,0.25*SQRT('Parametros'!$B$2)/'Parametros'!$B$3)*H532*U532,(0.85*'Parametros'!$B$2/'Parametros'!$B$3)*(1-SQRT(1-2*(J532*1000000/('Parametros'!$B$5*H532*U532^2))/(0.85*'Parametros'!$B$2)))*H532*U532)</f>
        <v>856.041366618619</v>
      </c>
      <c r="S532" s="31" t="n">
        <v>5</v>
      </c>
      <c r="T532" s="32" t="n">
        <v>1</v>
      </c>
      <c r="U532" s="10">
        <f>IF(T532=1,I532-('Parametros'!$B$7+'Parametros'!$B$9+'Parametros'!$B$12/2),I532-(ROUNDUP(S532/2,0)*('Parametros'!$B$7+'Parametros'!$B$9+'Parametros'!$B$12/2)+ROUNDDOWN(S532/2,0)*('Parametros'!$B$7+'Parametros'!$B$9+'Parametros'!$B$12/2+'Parametros'!$B$12+'Parametros'!$B$10))/S532)</f>
        <v>489.35</v>
      </c>
      <c r="V532" s="10">
        <f>S532*'Parametros'!$B$8</f>
        <v>995</v>
      </c>
      <c r="W532" s="10">
        <f>'Parametros'!$B$5*V532*'Parametros'!$B$3*(U532-(V532*'Parametros'!$B$3/(0.85*'Parametros'!$B$2*H532))/2)/1000000</f>
        <v>177.445379382353</v>
      </c>
      <c r="X532" s="10" t="str">
        <f>IF(W532&gt;=J532,"CUMPLE","NO CUMPLE")</f>
        <v>CUMPLE</v>
      </c>
      <c r="Y532" s="10">
        <f>MAX(MAX(1.4/'Parametros'!$B$3,0.25*SQRT('Parametros'!$B$2)/'Parametros'!$B$3)*H532*AB532,(0.85*'Parametros'!$B$2/'Parametros'!$B$3)*(1-SQRT(1-2*(L532*1000000/('Parametros'!$B$5*H532*AB532^2))/(0.85*'Parametros'!$B$2)))*H532*AB532)</f>
        <v>815.583333333333</v>
      </c>
      <c r="Z532" s="31" t="n">
        <v>5</v>
      </c>
      <c r="AA532" s="32" t="n">
        <v>1</v>
      </c>
      <c r="AB532" s="10">
        <f>IF(AA532=1,I532-('Parametros'!$B$7+'Parametros'!$B$9+'Parametros'!$B$12/2),I532-(ROUNDUP(Z532/2,0)*('Parametros'!$B$7+'Parametros'!$B$9+'Parametros'!$B$12/2)+ROUNDDOWN(Z532/2,0)*('Parametros'!$B$7+'Parametros'!$B$9+'Parametros'!$B$12/2+'Parametros'!$B$12+'Parametros'!$B$10))/Z532)</f>
        <v>489.35</v>
      </c>
      <c r="AC532" s="10">
        <f>Z532*'Parametros'!$B$8</f>
        <v>995</v>
      </c>
      <c r="AD532" s="10">
        <f>'Parametros'!$B$5*AC532*'Parametros'!$B$3*(AB532-(AC532*'Parametros'!$B$3/(0.85*'Parametros'!$B$2*H532))/2)/1000000</f>
        <v>177.445379382353</v>
      </c>
      <c r="AE532" s="10" t="str">
        <f>IF(AD532&gt;=L532,"CUMPLE","NO CUMPLE")</f>
        <v>CUMPLE</v>
      </c>
      <c r="AF532" s="10">
        <f>V532*1.25*'Parametros'!$B$3*(U532-(V532*1.25*'Parametros'!$B$3/(0.85*'Parametros'!$B$2*H532))/2)/1000000</f>
        <v>244.158843198529</v>
      </c>
      <c r="AG532" s="10">
        <f>AC532*1.25*'Parametros'!$B$3*(AB532-(AC532*1.25*'Parametros'!$B$3/(0.85*'Parametros'!$B$2*H532))/2)/1000000</f>
        <v>244.158843198529</v>
      </c>
      <c r="AH532" s="10">
        <f>N532+(AF532+AG532)/D532</f>
        <v>259.166848940311</v>
      </c>
      <c r="AI532" s="10">
        <f>MAX(O532,AH532)</f>
        <v>259.166848940311</v>
      </c>
      <c r="AJ532" s="10">
        <f>0.17*SQRT('Parametros'!$B$2)*H532*MIN(U532,AB532)/1000</f>
        <v>220.098728691808</v>
      </c>
      <c r="AK532" s="10">
        <f>MAX(AI532/'Parametros'!$B$6-AJ532,0)</f>
        <v>125.457069895274</v>
      </c>
      <c r="AL532" s="10">
        <f>0.66*SQRT('Parametros'!$B$2)*H532*MIN(U532,AB532)/1000</f>
        <v>854.500946685842</v>
      </c>
      <c r="AM532" s="10" t="str">
        <f>IF(AK532&lt;=AL532,"CUMPLE","NO CUMPLE")</f>
        <v>CUMPLE</v>
      </c>
      <c r="AN532" s="17" t="inlineStr">
        <is>
          <t>Nº3 cerrado</t>
        </is>
      </c>
      <c r="AO532" s="31" t="n">
        <v>2</v>
      </c>
      <c r="AP532" s="10">
        <f>ROUNDDOWN(MIN(IF(BC532+BD532=0,1000000000,AO532*BB532/(BC532+BD532)),MIN(U532,AB532)/4,8*'Parametros'!$B$12,24*BA532,300,IF(AV532=0,1000000000,2*((H532-2*('Parametros'!$B$7+'Parametros'!$B$9/2))+(I532-2*('Parametros'!$B$7+'Parametros'!$B$9/2)))/8))/10,0)*10</f>
        <v>120</v>
      </c>
      <c r="AQ532" s="10">
        <f>ROUNDDOWN(MIN(IF(BC532+BD532=0,1000000000,AO532*BB532/(BC532+BD532)),IF(AK532&gt;0.33*SQRT('Parametros'!$B$2)*H532*MIN(U532,AB532)/1000,MIN(U532,AB532)/4,MIN(U532,AB532)/2),600,IF(AV532=0,1000000000,2*((H532-2*('Parametros'!$B$7+'Parametros'!$B$9/2))+(I532-2*('Parametros'!$B$7+'Parametros'!$B$9/2)))/8))/10,0)*10</f>
        <v>230</v>
      </c>
      <c r="AR532" s="10">
        <f>'Parametros'!$B$6*(AJ532+MAX(BE532-BD532,0)*'Parametros'!$B$4*MIN(U532,AB532)/1000)</f>
        <v>347.479259018856</v>
      </c>
      <c r="AS532" s="10" t="str">
        <f>IF(AND(ISERROR(SEARCH("referencia",AN532)),AM532="CUMPLE",AR532&gt;=AI532),"CUMPLE","NO CUMPLE")</f>
        <v>CUMPLE</v>
      </c>
      <c r="AT532" s="10">
        <f>'Parametros'!$B$6*0.083*SQRT('Parametros'!$B$2)*(H532*I532)^2/(2*(H532+I532))/1000000</f>
        <v>11.862178757599</v>
      </c>
      <c r="AU532" s="10" t="str">
        <f>IF(Q532&lt;=AT532,"DESPRECIABLE","DISEÑAR")</f>
        <v>DESPRECIABLE</v>
      </c>
      <c r="AV532" s="10">
        <f>IF(Q532&lt;=AT532,0,Q532*1000000/('Parametros'!$B$6*2*0.85*(H532-2*('Parametros'!$B$7+'Parametros'!$B$9/2))*(I532-2*('Parametros'!$B$7+'Parametros'!$B$9/2))*'Parametros'!$B$4))</f>
        <v>0</v>
      </c>
      <c r="AW532" s="10">
        <f>AV532*2*((H532-2*('Parametros'!$B$7+'Parametros'!$B$9/2))+(I532-2*('Parametros'!$B$7+'Parametros'!$B$9/2)))*'Parametros'!$B$4/'Parametros'!$B$3</f>
        <v>0</v>
      </c>
      <c r="AX532" s="31" t="n">
        <v>0</v>
      </c>
      <c r="AY532" s="10" t="str">
        <f>IF(AV532=0,"DESPRECIABLE",IF(AND(ISERROR(SEARCH("referencia",AN532)),BB532/AP532&gt;=AV532,BI532&gt;=AW532,BH532="CUMPLE"),"CUMPLE","NO CUMPLE"))</f>
        <v>DESPRECIABLE</v>
      </c>
      <c r="AZ532" s="10" t="str">
        <f>IF(AND(X532="CUMPLE",AE532="CUMPLE",AS532="CUMPLE",OR(AY532="CUMPLE",AY532="DESPRECIABLE"),BH532="CUMPLE",BJ532="CUMPLE"),"CUMPLE","NO CUMPLE")</f>
        <v>CUMPLE</v>
      </c>
      <c r="BA532" s="32" t="n">
        <v>9.5</v>
      </c>
      <c r="BB532" s="32" t="n">
        <v>71</v>
      </c>
      <c r="BC532" s="10">
        <f>MAX(IF(AK532=0,0,AK532*1000/('Parametros'!$B$4*MIN(U532,AB532))),MAX(0.062*SQRT('Parametros'!$B$2)*H532/'Parametros'!$B$4,0.35*H532/'Parametros'!$B$4))</f>
        <v>0.610416489781265</v>
      </c>
      <c r="BD532" s="10">
        <f>2*AV532</f>
        <v>0</v>
      </c>
      <c r="BE532" s="10">
        <f>AO532*BB532/AP532</f>
        <v>1.18333333333333</v>
      </c>
      <c r="BF532" s="10">
        <f>SQRT((AI532*1000/(H532*MIN(U532,AB532)))^2+(Q532*1000000*2*((H532-2*('Parametros'!$B$7+'Parametros'!$B$9/2))+(I532-2*('Parametros'!$B$7+'Parametros'!$B$9/2)))/(1.7*((H532-2*('Parametros'!$B$7+'Parametros'!$B$9/2))*(I532-2*('Parametros'!$B$7+'Parametros'!$B$9/2)))^2))^2)</f>
        <v>1.06517701739222</v>
      </c>
      <c r="BG532" s="10">
        <f>'Parametros'!$B$6*(AJ532*1000/(H532*MIN(U532,AB532))+0.66*SQRT('Parametros'!$B$2))</f>
        <v>3.29396038227542</v>
      </c>
      <c r="BH532" s="10" t="str">
        <f>IF(BF532&lt;=BG532,"CUMPLE","NO CUMPLE")</f>
        <v>CUMPLE</v>
      </c>
      <c r="BI532" s="10">
        <f>AX532*'Parametros'!$B$8</f>
        <v>0</v>
      </c>
      <c r="BJ532" s="10" t="str">
        <f>IF(BI532&gt;=AW532,"CUMPLE","NO CUMPLE")</f>
        <v>CUMPLE</v>
      </c>
    </row>
    <row r="533">
      <c r="A533" s="26" t="inlineStr">
        <is>
          <t>VR3</t>
        </is>
      </c>
      <c r="B533" s="26" t="inlineStr">
        <is>
          <t>882</t>
        </is>
      </c>
      <c r="C533" s="10" t="n">
        <v>1</v>
      </c>
      <c r="D533" s="10" t="n">
        <v>1.9</v>
      </c>
      <c r="E533" s="10" t="n">
        <v>1.9</v>
      </c>
      <c r="F533" s="10" t="n">
        <v>500</v>
      </c>
      <c r="G533" s="10" t="n">
        <v>550</v>
      </c>
      <c r="H533" s="17" t="n">
        <v>500</v>
      </c>
      <c r="I533" s="17" t="n">
        <v>550</v>
      </c>
      <c r="J533" s="30" t="n">
        <v>82.395</v>
      </c>
      <c r="K533" s="10" t="inlineStr">
        <is>
          <t>882</t>
        </is>
      </c>
      <c r="L533" s="30" t="n">
        <v>27.241</v>
      </c>
      <c r="M533" s="10" t="inlineStr">
        <is>
          <t>882</t>
        </is>
      </c>
      <c r="N533" s="30" t="n">
        <v>75.782</v>
      </c>
      <c r="O533" s="30" t="n">
        <v>231.005</v>
      </c>
      <c r="P533" s="10" t="inlineStr">
        <is>
          <t>882</t>
        </is>
      </c>
      <c r="Q533" s="30" t="n">
        <v>0.3581</v>
      </c>
      <c r="R533" s="10">
        <f>MAX(MAX(1.4/'Parametros'!$B$3,0.25*SQRT('Parametros'!$B$2)/'Parametros'!$B$3)*H533*U533,(0.85*'Parametros'!$B$2/'Parametros'!$B$3)*(1-SQRT(1-2*(J533*1000000/('Parametros'!$B$5*H533*U533^2))/(0.85*'Parametros'!$B$2)))*H533*U533)</f>
        <v>815.583333333333</v>
      </c>
      <c r="S533" s="31" t="n">
        <v>5</v>
      </c>
      <c r="T533" s="32" t="n">
        <v>1</v>
      </c>
      <c r="U533" s="10">
        <f>IF(T533=1,I533-('Parametros'!$B$7+'Parametros'!$B$9+'Parametros'!$B$12/2),I533-(ROUNDUP(S533/2,0)*('Parametros'!$B$7+'Parametros'!$B$9+'Parametros'!$B$12/2)+ROUNDDOWN(S533/2,0)*('Parametros'!$B$7+'Parametros'!$B$9+'Parametros'!$B$12/2+'Parametros'!$B$12+'Parametros'!$B$10))/S533)</f>
        <v>489.35</v>
      </c>
      <c r="V533" s="10">
        <f>S533*'Parametros'!$B$8</f>
        <v>995</v>
      </c>
      <c r="W533" s="10">
        <f>'Parametros'!$B$5*V533*'Parametros'!$B$3*(U533-(V533*'Parametros'!$B$3/(0.85*'Parametros'!$B$2*H533))/2)/1000000</f>
        <v>177.445379382353</v>
      </c>
      <c r="X533" s="10" t="str">
        <f>IF(W533&gt;=J533,"CUMPLE","NO CUMPLE")</f>
        <v>CUMPLE</v>
      </c>
      <c r="Y533" s="10">
        <f>MAX(MAX(1.4/'Parametros'!$B$3,0.25*SQRT('Parametros'!$B$2)/'Parametros'!$B$3)*H533*AB533,(0.85*'Parametros'!$B$2/'Parametros'!$B$3)*(1-SQRT(1-2*(L533*1000000/('Parametros'!$B$5*H533*AB533^2))/(0.85*'Parametros'!$B$2)))*H533*AB533)</f>
        <v>815.583333333333</v>
      </c>
      <c r="Z533" s="31" t="n">
        <v>5</v>
      </c>
      <c r="AA533" s="32" t="n">
        <v>1</v>
      </c>
      <c r="AB533" s="10">
        <f>IF(AA533=1,I533-('Parametros'!$B$7+'Parametros'!$B$9+'Parametros'!$B$12/2),I533-(ROUNDUP(Z533/2,0)*('Parametros'!$B$7+'Parametros'!$B$9+'Parametros'!$B$12/2)+ROUNDDOWN(Z533/2,0)*('Parametros'!$B$7+'Parametros'!$B$9+'Parametros'!$B$12/2+'Parametros'!$B$12+'Parametros'!$B$10))/Z533)</f>
        <v>489.35</v>
      </c>
      <c r="AC533" s="10">
        <f>Z533*'Parametros'!$B$8</f>
        <v>995</v>
      </c>
      <c r="AD533" s="10">
        <f>'Parametros'!$B$5*AC533*'Parametros'!$B$3*(AB533-(AC533*'Parametros'!$B$3/(0.85*'Parametros'!$B$2*H533))/2)/1000000</f>
        <v>177.445379382353</v>
      </c>
      <c r="AE533" s="10" t="str">
        <f>IF(AD533&gt;=L533,"CUMPLE","NO CUMPLE")</f>
        <v>CUMPLE</v>
      </c>
      <c r="AF533" s="10">
        <f>V533*1.25*'Parametros'!$B$3*(U533-(V533*1.25*'Parametros'!$B$3/(0.85*'Parametros'!$B$2*H533))/2)/1000000</f>
        <v>244.158843198529</v>
      </c>
      <c r="AG533" s="10">
        <f>AC533*1.25*'Parametros'!$B$3*(AB533-(AC533*1.25*'Parametros'!$B$3/(0.85*'Parametros'!$B$2*H533))/2)/1000000</f>
        <v>244.158843198529</v>
      </c>
      <c r="AH533" s="10">
        <f>N533+(AF533+AG533)/D533</f>
        <v>332.791308630031</v>
      </c>
      <c r="AI533" s="10">
        <f>MAX(O533,AH533)</f>
        <v>332.791308630031</v>
      </c>
      <c r="AJ533" s="10">
        <f>0.17*SQRT('Parametros'!$B$2)*H533*MIN(U533,AB533)/1000</f>
        <v>220.098728691808</v>
      </c>
      <c r="AK533" s="10">
        <f>MAX(AI533/'Parametros'!$B$6-AJ533,0)</f>
        <v>223.623016148233</v>
      </c>
      <c r="AL533" s="10">
        <f>0.66*SQRT('Parametros'!$B$2)*H533*MIN(U533,AB533)/1000</f>
        <v>854.500946685842</v>
      </c>
      <c r="AM533" s="10" t="str">
        <f>IF(AK533&lt;=AL533,"CUMPLE","NO CUMPLE")</f>
        <v>CUMPLE</v>
      </c>
      <c r="AN533" s="17" t="inlineStr">
        <is>
          <t>Nº3 cerrado</t>
        </is>
      </c>
      <c r="AO533" s="31" t="n">
        <v>2</v>
      </c>
      <c r="AP533" s="10">
        <f>ROUNDDOWN(MIN(IF(BC533+BD533=0,1000000000,AO533*BB533/(BC533+BD533)),MIN(U533,AB533)/4,8*'Parametros'!$B$12,24*BA533,300,IF(AV533=0,1000000000,2*((H533-2*('Parametros'!$B$7+'Parametros'!$B$9/2))+(I533-2*('Parametros'!$B$7+'Parametros'!$B$9/2)))/8))/10,0)*10</f>
        <v>120</v>
      </c>
      <c r="AQ533" s="10">
        <f>ROUNDDOWN(MIN(IF(BC533+BD533=0,1000000000,AO533*BB533/(BC533+BD533)),IF(AK533&gt;0.33*SQRT('Parametros'!$B$2)*H533*MIN(U533,AB533)/1000,MIN(U533,AB533)/4,MIN(U533,AB533)/2),600,IF(AV533=0,1000000000,2*((H533-2*('Parametros'!$B$7+'Parametros'!$B$9/2))+(I533-2*('Parametros'!$B$7+'Parametros'!$B$9/2)))/8))/10,0)*10</f>
        <v>130</v>
      </c>
      <c r="AR533" s="10">
        <f>'Parametros'!$B$6*(AJ533+MAX(BE533-BD533,0)*'Parametros'!$B$4*MIN(U533,AB533)/1000)</f>
        <v>347.479259018856</v>
      </c>
      <c r="AS533" s="10" t="str">
        <f>IF(AND(ISERROR(SEARCH("referencia",AN533)),AM533="CUMPLE",AR533&gt;=AI533),"CUMPLE","NO CUMPLE")</f>
        <v>CUMPLE</v>
      </c>
      <c r="AT533" s="10">
        <f>'Parametros'!$B$6*0.083*SQRT('Parametros'!$B$2)*(H533*I533)^2/(2*(H533+I533))/1000000</f>
        <v>11.862178757599</v>
      </c>
      <c r="AU533" s="10" t="str">
        <f>IF(Q533&lt;=AT533,"DESPRECIABLE","DISEÑAR")</f>
        <v>DESPRECIABLE</v>
      </c>
      <c r="AV533" s="10">
        <f>IF(Q533&lt;=AT533,0,Q533*1000000/('Parametros'!$B$6*2*0.85*(H533-2*('Parametros'!$B$7+'Parametros'!$B$9/2))*(I533-2*('Parametros'!$B$7+'Parametros'!$B$9/2))*'Parametros'!$B$4))</f>
        <v>0</v>
      </c>
      <c r="AW533" s="10">
        <f>AV533*2*((H533-2*('Parametros'!$B$7+'Parametros'!$B$9/2))+(I533-2*('Parametros'!$B$7+'Parametros'!$B$9/2)))*'Parametros'!$B$4/'Parametros'!$B$3</f>
        <v>0</v>
      </c>
      <c r="AX533" s="31" t="n">
        <v>0</v>
      </c>
      <c r="AY533" s="10" t="str">
        <f>IF(AV533=0,"DESPRECIABLE",IF(AND(ISERROR(SEARCH("referencia",AN533)),BB533/AP533&gt;=AV533,BI533&gt;=AW533,BH533="CUMPLE"),"CUMPLE","NO CUMPLE"))</f>
        <v>DESPRECIABLE</v>
      </c>
      <c r="AZ533" s="10" t="str">
        <f>IF(AND(X533="CUMPLE",AE533="CUMPLE",AS533="CUMPLE",OR(AY533="CUMPLE",AY533="DESPRECIABLE"),BH533="CUMPLE",BJ533="CUMPLE"),"CUMPLE","NO CUMPLE")</f>
        <v>CUMPLE</v>
      </c>
      <c r="BA533" s="32" t="n">
        <v>9.5</v>
      </c>
      <c r="BB533" s="32" t="n">
        <v>71</v>
      </c>
      <c r="BC533" s="10">
        <f>MAX(IF(AK533=0,0,AK533*1000/('Parametros'!$B$4*MIN(U533,AB533))),MAX(0.062*SQRT('Parametros'!$B$2)*H533/'Parametros'!$B$4,0.35*H533/'Parametros'!$B$4))</f>
        <v>1.08804690453436</v>
      </c>
      <c r="BD533" s="10">
        <f>2*AV533</f>
        <v>0</v>
      </c>
      <c r="BE533" s="10">
        <f>AO533*BB533/AP533</f>
        <v>1.18333333333333</v>
      </c>
      <c r="BF533" s="10">
        <f>SQRT((AI533*1000/(H533*MIN(U533,AB533)))^2+(Q533*1000000*2*((H533-2*('Parametros'!$B$7+'Parametros'!$B$9/2))+(I533-2*('Parametros'!$B$7+'Parametros'!$B$9/2)))/(1.7*((H533-2*('Parametros'!$B$7+'Parametros'!$B$9/2))*(I533-2*('Parametros'!$B$7+'Parametros'!$B$9/2)))^2))^2)</f>
        <v>1.36017665889255</v>
      </c>
      <c r="BG533" s="10">
        <f>'Parametros'!$B$6*(AJ533*1000/(H533*MIN(U533,AB533))+0.66*SQRT('Parametros'!$B$2))</f>
        <v>3.29396038227542</v>
      </c>
      <c r="BH533" s="10" t="str">
        <f>IF(BF533&lt;=BG533,"CUMPLE","NO CUMPLE")</f>
        <v>CUMPLE</v>
      </c>
      <c r="BI533" s="10">
        <f>AX533*'Parametros'!$B$8</f>
        <v>0</v>
      </c>
      <c r="BJ533" s="10" t="str">
        <f>IF(BI533&gt;=AW533,"CUMPLE","NO CUMPLE")</f>
        <v>CUMPLE</v>
      </c>
    </row>
    <row r="534">
      <c r="A534" s="26" t="inlineStr">
        <is>
          <t>VR3</t>
        </is>
      </c>
      <c r="B534" s="26" t="inlineStr">
        <is>
          <t>883</t>
        </is>
      </c>
      <c r="C534" s="10" t="n">
        <v>1</v>
      </c>
      <c r="D534" s="10" t="n">
        <v>2</v>
      </c>
      <c r="E534" s="10" t="n">
        <v>2</v>
      </c>
      <c r="F534" s="10" t="n">
        <v>500</v>
      </c>
      <c r="G534" s="10" t="n">
        <v>550</v>
      </c>
      <c r="H534" s="17" t="n">
        <v>500</v>
      </c>
      <c r="I534" s="17" t="n">
        <v>550</v>
      </c>
      <c r="J534" s="30" t="n">
        <v>238.3131</v>
      </c>
      <c r="K534" s="10" t="inlineStr">
        <is>
          <t>883</t>
        </is>
      </c>
      <c r="L534" s="30" t="n">
        <v>118.1429</v>
      </c>
      <c r="M534" s="10" t="inlineStr">
        <is>
          <t>883</t>
        </is>
      </c>
      <c r="N534" s="30" t="n">
        <v>194.451</v>
      </c>
      <c r="O534" s="30" t="n">
        <v>280.279</v>
      </c>
      <c r="P534" s="10" t="inlineStr">
        <is>
          <t>883</t>
        </is>
      </c>
      <c r="Q534" s="30" t="n">
        <v>6.5401</v>
      </c>
      <c r="R534" s="10">
        <f>MAX(MAX(1.4/'Parametros'!$B$3,0.25*SQRT('Parametros'!$B$2)/'Parametros'!$B$3)*H534*U534,(0.85*'Parametros'!$B$2/'Parametros'!$B$3)*(1-SQRT(1-2*(J534*1000000/('Parametros'!$B$5*H534*U534^2))/(0.85*'Parametros'!$B$2)))*H534*U534)</f>
        <v>1354.52241076244</v>
      </c>
      <c r="S534" s="31" t="n">
        <v>7</v>
      </c>
      <c r="T534" s="32" t="n">
        <v>1</v>
      </c>
      <c r="U534" s="10">
        <f>IF(T534=1,I534-('Parametros'!$B$7+'Parametros'!$B$9+'Parametros'!$B$12/2),I534-(ROUNDUP(S534/2,0)*('Parametros'!$B$7+'Parametros'!$B$9+'Parametros'!$B$12/2)+ROUNDDOWN(S534/2,0)*('Parametros'!$B$7+'Parametros'!$B$9+'Parametros'!$B$12/2+'Parametros'!$B$12+'Parametros'!$B$10))/S534)</f>
        <v>489.35</v>
      </c>
      <c r="V534" s="10">
        <f>S534*'Parametros'!$B$8</f>
        <v>1393</v>
      </c>
      <c r="W534" s="10">
        <f>'Parametros'!$B$5*V534*'Parametros'!$B$3*(U534-(V534*'Parametros'!$B$3/(0.85*'Parametros'!$B$2*H534))/2)/1000000</f>
        <v>244.725263629412</v>
      </c>
      <c r="X534" s="10" t="str">
        <f>IF(W534&gt;=J534,"CUMPLE","NO CUMPLE")</f>
        <v>CUMPLE</v>
      </c>
      <c r="Y534" s="10">
        <f>MAX(MAX(1.4/'Parametros'!$B$3,0.25*SQRT('Parametros'!$B$2)/'Parametros'!$B$3)*H534*AB534,(0.85*'Parametros'!$B$2/'Parametros'!$B$3)*(1-SQRT(1-2*(L534*1000000/('Parametros'!$B$5*H534*AB534^2))/(0.85*'Parametros'!$B$2)))*H534*AB534)</f>
        <v>815.583333333333</v>
      </c>
      <c r="Z534" s="31" t="n">
        <v>5</v>
      </c>
      <c r="AA534" s="32" t="n">
        <v>1</v>
      </c>
      <c r="AB534" s="10">
        <f>IF(AA534=1,I534-('Parametros'!$B$7+'Parametros'!$B$9+'Parametros'!$B$12/2),I534-(ROUNDUP(Z534/2,0)*('Parametros'!$B$7+'Parametros'!$B$9+'Parametros'!$B$12/2)+ROUNDDOWN(Z534/2,0)*('Parametros'!$B$7+'Parametros'!$B$9+'Parametros'!$B$12/2+'Parametros'!$B$12+'Parametros'!$B$10))/Z534)</f>
        <v>489.35</v>
      </c>
      <c r="AC534" s="10">
        <f>Z534*'Parametros'!$B$8</f>
        <v>995</v>
      </c>
      <c r="AD534" s="10">
        <f>'Parametros'!$B$5*AC534*'Parametros'!$B$3*(AB534-(AC534*'Parametros'!$B$3/(0.85*'Parametros'!$B$2*H534))/2)/1000000</f>
        <v>177.445379382353</v>
      </c>
      <c r="AE534" s="10" t="str">
        <f>IF(AD534&gt;=L534,"CUMPLE","NO CUMPLE")</f>
        <v>CUMPLE</v>
      </c>
      <c r="AF534" s="10">
        <f>V534*1.25*'Parametros'!$B$3*(U534-(V534*1.25*'Parametros'!$B$3/(0.85*'Parametros'!$B$2*H534))/2)/1000000</f>
        <v>335.401777169118</v>
      </c>
      <c r="AG534" s="10">
        <f>AC534*1.25*'Parametros'!$B$3*(AB534-(AC534*1.25*'Parametros'!$B$3/(0.85*'Parametros'!$B$2*H534))/2)/1000000</f>
        <v>244.158843198529</v>
      </c>
      <c r="AH534" s="10">
        <f>N534+(AF534+AG534)/D534</f>
        <v>484.231310183824</v>
      </c>
      <c r="AI534" s="10">
        <f>MAX(O534,AH534)</f>
        <v>484.231310183824</v>
      </c>
      <c r="AJ534" s="10">
        <f>0.17*SQRT('Parametros'!$B$2)*H534*MIN(U534,AB534)/1000</f>
        <v>220.098728691808</v>
      </c>
      <c r="AK534" s="10">
        <f>MAX(AI534/'Parametros'!$B$6-AJ534,0)</f>
        <v>425.543018219957</v>
      </c>
      <c r="AL534" s="10">
        <f>0.66*SQRT('Parametros'!$B$2)*H534*MIN(U534,AB534)/1000</f>
        <v>854.500946685842</v>
      </c>
      <c r="AM534" s="10" t="str">
        <f>IF(AK534&lt;=AL534,"CUMPLE","NO CUMPLE")</f>
        <v>CUMPLE</v>
      </c>
      <c r="AN534" s="17" t="inlineStr">
        <is>
          <t>Nº4 cerrado</t>
        </is>
      </c>
      <c r="AO534" s="31" t="n">
        <v>2</v>
      </c>
      <c r="AP534" s="10">
        <f>ROUNDDOWN(MIN(IF(BC534+BD534=0,1000000000,AO534*BB534/(BC534+BD534)),MIN(U534,AB534)/4,8*'Parametros'!$B$12,24*BA534,300,IF(AV534=0,1000000000,2*((H534-2*('Parametros'!$B$7+'Parametros'!$B$9/2))+(I534-2*('Parametros'!$B$7+'Parametros'!$B$9/2)))/8))/10,0)*10</f>
        <v>120</v>
      </c>
      <c r="AQ534" s="10">
        <f>ROUNDDOWN(MIN(IF(BC534+BD534=0,1000000000,AO534*BB534/(BC534+BD534)),IF(AK534&gt;0.33*SQRT('Parametros'!$B$2)*H534*MIN(U534,AB534)/1000,MIN(U534,AB534)/4,MIN(U534,AB534)/2),600,IF(AV534=0,1000000000,2*((H534-2*('Parametros'!$B$7+'Parametros'!$B$9/2))+(I534-2*('Parametros'!$B$7+'Parametros'!$B$9/2)))/8))/10,0)*10</f>
        <v>120</v>
      </c>
      <c r="AR534" s="10">
        <f>'Parametros'!$B$6*(AJ534+MAX(BE534-BD534,0)*'Parametros'!$B$4*MIN(U534,AB534)/1000)</f>
        <v>496.486334018856</v>
      </c>
      <c r="AS534" s="10" t="str">
        <f>IF(AND(ISERROR(SEARCH("referencia",AN534)),AM534="CUMPLE",AR534&gt;=AI534),"CUMPLE","NO CUMPLE")</f>
        <v>CUMPLE</v>
      </c>
      <c r="AT534" s="10">
        <f>'Parametros'!$B$6*0.083*SQRT('Parametros'!$B$2)*(H534*I534)^2/(2*(H534+I534))/1000000</f>
        <v>11.862178757599</v>
      </c>
      <c r="AU534" s="10" t="str">
        <f>IF(Q534&lt;=AT534,"DESPRECIABLE","DISEÑAR")</f>
        <v>DESPRECIABLE</v>
      </c>
      <c r="AV534" s="10">
        <f>IF(Q534&lt;=AT534,0,Q534*1000000/('Parametros'!$B$6*2*0.85*(H534-2*('Parametros'!$B$7+'Parametros'!$B$9/2))*(I534-2*('Parametros'!$B$7+'Parametros'!$B$9/2))*'Parametros'!$B$4))</f>
        <v>0</v>
      </c>
      <c r="AW534" s="10">
        <f>AV534*2*((H534-2*('Parametros'!$B$7+'Parametros'!$B$9/2))+(I534-2*('Parametros'!$B$7+'Parametros'!$B$9/2)))*'Parametros'!$B$4/'Parametros'!$B$3</f>
        <v>0</v>
      </c>
      <c r="AX534" s="31" t="n">
        <v>0</v>
      </c>
      <c r="AY534" s="10" t="str">
        <f>IF(AV534=0,"DESPRECIABLE",IF(AND(ISERROR(SEARCH("referencia",AN534)),BB534/AP534&gt;=AV534,BI534&gt;=AW534,BH534="CUMPLE"),"CUMPLE","NO CUMPLE"))</f>
        <v>DESPRECIABLE</v>
      </c>
      <c r="AZ534" s="10" t="str">
        <f>IF(AND(X534="CUMPLE",AE534="CUMPLE",AS534="CUMPLE",OR(AY534="CUMPLE",AY534="DESPRECIABLE"),BH534="CUMPLE",BJ534="CUMPLE"),"CUMPLE","NO CUMPLE")</f>
        <v>CUMPLE</v>
      </c>
      <c r="BA534" s="32" t="n">
        <v>12.7</v>
      </c>
      <c r="BB534" s="32" t="n">
        <v>129</v>
      </c>
      <c r="BC534" s="10">
        <f>MAX(IF(AK534=0,0,AK534*1000/('Parametros'!$B$4*MIN(U534,AB534))),MAX(0.062*SQRT('Parametros'!$B$2)*H534/'Parametros'!$B$4,0.35*H534/'Parametros'!$B$4))</f>
        <v>2.07049690901904</v>
      </c>
      <c r="BD534" s="10">
        <f>2*AV534</f>
        <v>0</v>
      </c>
      <c r="BE534" s="10">
        <f>AO534*BB534/AP534</f>
        <v>2.15</v>
      </c>
      <c r="BF534" s="10">
        <f>SQRT((AI534*1000/(H534*MIN(U534,AB534)))^2+(Q534*1000000*2*((H534-2*('Parametros'!$B$7+'Parametros'!$B$9/2))+(I534-2*('Parametros'!$B$7+'Parametros'!$B$9/2)))/(1.7*((H534-2*('Parametros'!$B$7+'Parametros'!$B$9/2))*(I534-2*('Parametros'!$B$7+'Parametros'!$B$9/2)))^2))^2)</f>
        <v>1.98834772095614</v>
      </c>
      <c r="BG534" s="10">
        <f>'Parametros'!$B$6*(AJ534*1000/(H534*MIN(U534,AB534))+0.66*SQRT('Parametros'!$B$2))</f>
        <v>3.29396038227542</v>
      </c>
      <c r="BH534" s="10" t="str">
        <f>IF(BF534&lt;=BG534,"CUMPLE","NO CUMPLE")</f>
        <v>CUMPLE</v>
      </c>
      <c r="BI534" s="10">
        <f>AX534*'Parametros'!$B$8</f>
        <v>0</v>
      </c>
      <c r="BJ534" s="10" t="str">
        <f>IF(BI534&gt;=AW534,"CUMPLE","NO CUMPLE")</f>
        <v>CUMPLE</v>
      </c>
    </row>
    <row r="535">
      <c r="A535" s="26" t="inlineStr">
        <is>
          <t>VR3</t>
        </is>
      </c>
      <c r="B535" s="26" t="inlineStr">
        <is>
          <t>884</t>
        </is>
      </c>
      <c r="C535" s="10" t="n">
        <v>1</v>
      </c>
      <c r="D535" s="10" t="n">
        <v>2.35</v>
      </c>
      <c r="E535" s="10" t="n">
        <v>2.35</v>
      </c>
      <c r="F535" s="10" t="n">
        <v>500</v>
      </c>
      <c r="G535" s="10" t="n">
        <v>550</v>
      </c>
      <c r="H535" s="17" t="n">
        <v>500</v>
      </c>
      <c r="I535" s="17" t="n">
        <v>550</v>
      </c>
      <c r="J535" s="30" t="n">
        <v>217.3615</v>
      </c>
      <c r="K535" s="10" t="inlineStr">
        <is>
          <t>884</t>
        </is>
      </c>
      <c r="L535" s="30" t="n">
        <v>131.5705</v>
      </c>
      <c r="M535" s="10" t="inlineStr">
        <is>
          <t>884</t>
        </is>
      </c>
      <c r="N535" s="30" t="n">
        <v>190.548</v>
      </c>
      <c r="O535" s="30" t="n">
        <v>277.021</v>
      </c>
      <c r="P535" s="10" t="inlineStr">
        <is>
          <t>884</t>
        </is>
      </c>
      <c r="Q535" s="30" t="n">
        <v>7.5514</v>
      </c>
      <c r="R535" s="10">
        <f>MAX(MAX(1.4/'Parametros'!$B$3,0.25*SQRT('Parametros'!$B$2)/'Parametros'!$B$3)*H535*U535,(0.85*'Parametros'!$B$2/'Parametros'!$B$3)*(1-SQRT(1-2*(J535*1000000/('Parametros'!$B$5*H535*U535^2))/(0.85*'Parametros'!$B$2)))*H535*U535)</f>
        <v>1229.61465783494</v>
      </c>
      <c r="S535" s="31" t="n">
        <v>7</v>
      </c>
      <c r="T535" s="32" t="n">
        <v>1</v>
      </c>
      <c r="U535" s="10">
        <f>IF(T535=1,I535-('Parametros'!$B$7+'Parametros'!$B$9+'Parametros'!$B$12/2),I535-(ROUNDUP(S535/2,0)*('Parametros'!$B$7+'Parametros'!$B$9+'Parametros'!$B$12/2)+ROUNDDOWN(S535/2,0)*('Parametros'!$B$7+'Parametros'!$B$9+'Parametros'!$B$12/2+'Parametros'!$B$12+'Parametros'!$B$10))/S535)</f>
        <v>489.35</v>
      </c>
      <c r="V535" s="10">
        <f>S535*'Parametros'!$B$8</f>
        <v>1393</v>
      </c>
      <c r="W535" s="10">
        <f>'Parametros'!$B$5*V535*'Parametros'!$B$3*(U535-(V535*'Parametros'!$B$3/(0.85*'Parametros'!$B$2*H535))/2)/1000000</f>
        <v>244.725263629412</v>
      </c>
      <c r="X535" s="10" t="str">
        <f>IF(W535&gt;=J535,"CUMPLE","NO CUMPLE")</f>
        <v>CUMPLE</v>
      </c>
      <c r="Y535" s="10">
        <f>MAX(MAX(1.4/'Parametros'!$B$3,0.25*SQRT('Parametros'!$B$2)/'Parametros'!$B$3)*H535*AB535,(0.85*'Parametros'!$B$2/'Parametros'!$B$3)*(1-SQRT(1-2*(L535*1000000/('Parametros'!$B$5*H535*AB535^2))/(0.85*'Parametros'!$B$2)))*H535*AB535)</f>
        <v>815.583333333333</v>
      </c>
      <c r="Z535" s="31" t="n">
        <v>5</v>
      </c>
      <c r="AA535" s="32" t="n">
        <v>1</v>
      </c>
      <c r="AB535" s="10">
        <f>IF(AA535=1,I535-('Parametros'!$B$7+'Parametros'!$B$9+'Parametros'!$B$12/2),I535-(ROUNDUP(Z535/2,0)*('Parametros'!$B$7+'Parametros'!$B$9+'Parametros'!$B$12/2)+ROUNDDOWN(Z535/2,0)*('Parametros'!$B$7+'Parametros'!$B$9+'Parametros'!$B$12/2+'Parametros'!$B$12+'Parametros'!$B$10))/Z535)</f>
        <v>489.35</v>
      </c>
      <c r="AC535" s="10">
        <f>Z535*'Parametros'!$B$8</f>
        <v>995</v>
      </c>
      <c r="AD535" s="10">
        <f>'Parametros'!$B$5*AC535*'Parametros'!$B$3*(AB535-(AC535*'Parametros'!$B$3/(0.85*'Parametros'!$B$2*H535))/2)/1000000</f>
        <v>177.445379382353</v>
      </c>
      <c r="AE535" s="10" t="str">
        <f>IF(AD535&gt;=L535,"CUMPLE","NO CUMPLE")</f>
        <v>CUMPLE</v>
      </c>
      <c r="AF535" s="10">
        <f>V535*1.25*'Parametros'!$B$3*(U535-(V535*1.25*'Parametros'!$B$3/(0.85*'Parametros'!$B$2*H535))/2)/1000000</f>
        <v>335.401777169118</v>
      </c>
      <c r="AG535" s="10">
        <f>AC535*1.25*'Parametros'!$B$3*(AB535-(AC535*1.25*'Parametros'!$B$3/(0.85*'Parametros'!$B$2*H535))/2)/1000000</f>
        <v>244.158843198529</v>
      </c>
      <c r="AH535" s="10">
        <f>N535+(AF535+AG535)/D535</f>
        <v>437.169540581977</v>
      </c>
      <c r="AI535" s="10">
        <f>MAX(O535,AH535)</f>
        <v>437.169540581977</v>
      </c>
      <c r="AJ535" s="10">
        <f>0.17*SQRT('Parametros'!$B$2)*H535*MIN(U535,AB535)/1000</f>
        <v>220.098728691808</v>
      </c>
      <c r="AK535" s="10">
        <f>MAX(AI535/'Parametros'!$B$6-AJ535,0)</f>
        <v>362.793992084162</v>
      </c>
      <c r="AL535" s="10">
        <f>0.66*SQRT('Parametros'!$B$2)*H535*MIN(U535,AB535)/1000</f>
        <v>854.500946685842</v>
      </c>
      <c r="AM535" s="10" t="str">
        <f>IF(AK535&lt;=AL535,"CUMPLE","NO CUMPLE")</f>
        <v>CUMPLE</v>
      </c>
      <c r="AN535" s="17" t="inlineStr">
        <is>
          <t>Nº3 cerrado</t>
        </is>
      </c>
      <c r="AO535" s="31" t="n">
        <v>2</v>
      </c>
      <c r="AP535" s="10">
        <f>ROUNDDOWN(MIN(IF(BC535+BD535=0,1000000000,AO535*BB535/(BC535+BD535)),MIN(U535,AB535)/4,8*'Parametros'!$B$12,24*BA535,300,IF(AV535=0,1000000000,2*((H535-2*('Parametros'!$B$7+'Parametros'!$B$9/2))+(I535-2*('Parametros'!$B$7+'Parametros'!$B$9/2)))/8))/10,0)*10</f>
        <v>80</v>
      </c>
      <c r="AQ535" s="10">
        <f>ROUNDDOWN(MIN(IF(BC535+BD535=0,1000000000,AO535*BB535/(BC535+BD535)),IF(AK535&gt;0.33*SQRT('Parametros'!$B$2)*H535*MIN(U535,AB535)/1000,MIN(U535,AB535)/4,MIN(U535,AB535)/2),600,IF(AV535=0,1000000000,2*((H535-2*('Parametros'!$B$7+'Parametros'!$B$9/2))+(I535-2*('Parametros'!$B$7+'Parametros'!$B$9/2)))/8))/10,0)*10</f>
        <v>80</v>
      </c>
      <c r="AR535" s="10">
        <f>'Parametros'!$B$6*(AJ535+MAX(BE535-BD535,0)*'Parametros'!$B$4*MIN(U535,AB535)/1000)</f>
        <v>438.681865268856</v>
      </c>
      <c r="AS535" s="10" t="str">
        <f>IF(AND(ISERROR(SEARCH("referencia",AN535)),AM535="CUMPLE",AR535&gt;=AI535),"CUMPLE","NO CUMPLE")</f>
        <v>CUMPLE</v>
      </c>
      <c r="AT535" s="10">
        <f>'Parametros'!$B$6*0.083*SQRT('Parametros'!$B$2)*(H535*I535)^2/(2*(H535+I535))/1000000</f>
        <v>11.862178757599</v>
      </c>
      <c r="AU535" s="10" t="str">
        <f>IF(Q535&lt;=AT535,"DESPRECIABLE","DISEÑAR")</f>
        <v>DESPRECIABLE</v>
      </c>
      <c r="AV535" s="10">
        <f>IF(Q535&lt;=AT535,0,Q535*1000000/('Parametros'!$B$6*2*0.85*(H535-2*('Parametros'!$B$7+'Parametros'!$B$9/2))*(I535-2*('Parametros'!$B$7+'Parametros'!$B$9/2))*'Parametros'!$B$4))</f>
        <v>0</v>
      </c>
      <c r="AW535" s="10">
        <f>AV535*2*((H535-2*('Parametros'!$B$7+'Parametros'!$B$9/2))+(I535-2*('Parametros'!$B$7+'Parametros'!$B$9/2)))*'Parametros'!$B$4/'Parametros'!$B$3</f>
        <v>0</v>
      </c>
      <c r="AX535" s="31" t="n">
        <v>0</v>
      </c>
      <c r="AY535" s="10" t="str">
        <f>IF(AV535=0,"DESPRECIABLE",IF(AND(ISERROR(SEARCH("referencia",AN535)),BB535/AP535&gt;=AV535,BI535&gt;=AW535,BH535="CUMPLE"),"CUMPLE","NO CUMPLE"))</f>
        <v>DESPRECIABLE</v>
      </c>
      <c r="AZ535" s="10" t="str">
        <f>IF(AND(X535="CUMPLE",AE535="CUMPLE",AS535="CUMPLE",OR(AY535="CUMPLE",AY535="DESPRECIABLE"),BH535="CUMPLE",BJ535="CUMPLE"),"CUMPLE","NO CUMPLE")</f>
        <v>CUMPLE</v>
      </c>
      <c r="BA535" s="32" t="n">
        <v>9.5</v>
      </c>
      <c r="BB535" s="32" t="n">
        <v>71</v>
      </c>
      <c r="BC535" s="10">
        <f>MAX(IF(AK535=0,0,AK535*1000/('Parametros'!$B$4*MIN(U535,AB535))),MAX(0.062*SQRT('Parametros'!$B$2)*H535/'Parametros'!$B$4,0.35*H535/'Parametros'!$B$4))</f>
        <v>1.76518896341679</v>
      </c>
      <c r="BD535" s="10">
        <f>2*AV535</f>
        <v>0</v>
      </c>
      <c r="BE535" s="10">
        <f>AO535*BB535/AP535</f>
        <v>1.775</v>
      </c>
      <c r="BF535" s="10">
        <f>SQRT((AI535*1000/(H535*MIN(U535,AB535)))^2+(Q535*1000000*2*((H535-2*('Parametros'!$B$7+'Parametros'!$B$9/2))+(I535-2*('Parametros'!$B$7+'Parametros'!$B$9/2)))/(1.7*((H535-2*('Parametros'!$B$7+'Parametros'!$B$9/2))*(I535-2*('Parametros'!$B$7+'Parametros'!$B$9/2)))^2))^2)</f>
        <v>1.80040149662168</v>
      </c>
      <c r="BG535" s="10">
        <f>'Parametros'!$B$6*(AJ535*1000/(H535*MIN(U535,AB535))+0.66*SQRT('Parametros'!$B$2))</f>
        <v>3.29396038227542</v>
      </c>
      <c r="BH535" s="10" t="str">
        <f>IF(BF535&lt;=BG535,"CUMPLE","NO CUMPLE")</f>
        <v>CUMPLE</v>
      </c>
      <c r="BI535" s="10">
        <f>AX535*'Parametros'!$B$8</f>
        <v>0</v>
      </c>
      <c r="BJ535" s="10" t="str">
        <f>IF(BI535&gt;=AW535,"CUMPLE","NO CUMPLE")</f>
        <v>CUMPLE</v>
      </c>
    </row>
    <row r="536">
      <c r="A536" s="26" t="inlineStr">
        <is>
          <t>VR3</t>
        </is>
      </c>
      <c r="B536" s="26" t="inlineStr">
        <is>
          <t>969</t>
        </is>
      </c>
      <c r="C536" s="10" t="n">
        <v>1</v>
      </c>
      <c r="D536" s="10" t="n">
        <v>2.35</v>
      </c>
      <c r="E536" s="10" t="n">
        <v>2.35</v>
      </c>
      <c r="F536" s="10" t="n">
        <v>500</v>
      </c>
      <c r="G536" s="10" t="n">
        <v>550</v>
      </c>
      <c r="H536" s="17" t="n">
        <v>500</v>
      </c>
      <c r="I536" s="17" t="n">
        <v>550</v>
      </c>
      <c r="J536" s="30" t="n">
        <v>159.791</v>
      </c>
      <c r="K536" s="10" t="inlineStr">
        <is>
          <t>969</t>
        </is>
      </c>
      <c r="L536" s="30" t="n">
        <v>139.924</v>
      </c>
      <c r="M536" s="10" t="inlineStr">
        <is>
          <t>969</t>
        </is>
      </c>
      <c r="N536" s="30" t="n">
        <v>178.159</v>
      </c>
      <c r="O536" s="30" t="n">
        <v>208.916</v>
      </c>
      <c r="P536" s="10" t="inlineStr">
        <is>
          <t>969</t>
        </is>
      </c>
      <c r="Q536" s="30" t="n">
        <v>3.8348</v>
      </c>
      <c r="R536" s="10">
        <f>MAX(MAX(1.4/'Parametros'!$B$3,0.25*SQRT('Parametros'!$B$2)/'Parametros'!$B$3)*H536*U536,(0.85*'Parametros'!$B$2/'Parametros'!$B$3)*(1-SQRT(1-2*(J536*1000000/('Parametros'!$B$5*H536*U536^2))/(0.85*'Parametros'!$B$2)))*H536*U536)</f>
        <v>892.586301974335</v>
      </c>
      <c r="S536" s="31" t="n">
        <v>5</v>
      </c>
      <c r="T536" s="32" t="n">
        <v>1</v>
      </c>
      <c r="U536" s="10">
        <f>IF(T536=1,I536-('Parametros'!$B$7+'Parametros'!$B$9+'Parametros'!$B$12/2),I536-(ROUNDUP(S536/2,0)*('Parametros'!$B$7+'Parametros'!$B$9+'Parametros'!$B$12/2)+ROUNDDOWN(S536/2,0)*('Parametros'!$B$7+'Parametros'!$B$9+'Parametros'!$B$12/2+'Parametros'!$B$12+'Parametros'!$B$10))/S536)</f>
        <v>489.35</v>
      </c>
      <c r="V536" s="10">
        <f>S536*'Parametros'!$B$8</f>
        <v>995</v>
      </c>
      <c r="W536" s="10">
        <f>'Parametros'!$B$5*V536*'Parametros'!$B$3*(U536-(V536*'Parametros'!$B$3/(0.85*'Parametros'!$B$2*H536))/2)/1000000</f>
        <v>177.445379382353</v>
      </c>
      <c r="X536" s="10" t="str">
        <f>IF(W536&gt;=J536,"CUMPLE","NO CUMPLE")</f>
        <v>CUMPLE</v>
      </c>
      <c r="Y536" s="10">
        <f>MAX(MAX(1.4/'Parametros'!$B$3,0.25*SQRT('Parametros'!$B$2)/'Parametros'!$B$3)*H536*AB536,(0.85*'Parametros'!$B$2/'Parametros'!$B$3)*(1-SQRT(1-2*(L536*1000000/('Parametros'!$B$5*H536*AB536^2))/(0.85*'Parametros'!$B$2)))*H536*AB536)</f>
        <v>815.583333333333</v>
      </c>
      <c r="Z536" s="31" t="n">
        <v>5</v>
      </c>
      <c r="AA536" s="32" t="n">
        <v>1</v>
      </c>
      <c r="AB536" s="10">
        <f>IF(AA536=1,I536-('Parametros'!$B$7+'Parametros'!$B$9+'Parametros'!$B$12/2),I536-(ROUNDUP(Z536/2,0)*('Parametros'!$B$7+'Parametros'!$B$9+'Parametros'!$B$12/2)+ROUNDDOWN(Z536/2,0)*('Parametros'!$B$7+'Parametros'!$B$9+'Parametros'!$B$12/2+'Parametros'!$B$12+'Parametros'!$B$10))/Z536)</f>
        <v>489.35</v>
      </c>
      <c r="AC536" s="10">
        <f>Z536*'Parametros'!$B$8</f>
        <v>995</v>
      </c>
      <c r="AD536" s="10">
        <f>'Parametros'!$B$5*AC536*'Parametros'!$B$3*(AB536-(AC536*'Parametros'!$B$3/(0.85*'Parametros'!$B$2*H536))/2)/1000000</f>
        <v>177.445379382353</v>
      </c>
      <c r="AE536" s="10" t="str">
        <f>IF(AD536&gt;=L536,"CUMPLE","NO CUMPLE")</f>
        <v>CUMPLE</v>
      </c>
      <c r="AF536" s="10">
        <f>V536*1.25*'Parametros'!$B$3*(U536-(V536*1.25*'Parametros'!$B$3/(0.85*'Parametros'!$B$2*H536))/2)/1000000</f>
        <v>244.158843198529</v>
      </c>
      <c r="AG536" s="10">
        <f>AC536*1.25*'Parametros'!$B$3*(AB536-(AC536*1.25*'Parametros'!$B$3/(0.85*'Parametros'!$B$2*H536))/2)/1000000</f>
        <v>244.158843198529</v>
      </c>
      <c r="AH536" s="10">
        <f>N536+(AF536+AG536)/D536</f>
        <v>385.953760168961</v>
      </c>
      <c r="AI536" s="10">
        <f>MAX(O536,AH536)</f>
        <v>385.953760168961</v>
      </c>
      <c r="AJ536" s="10">
        <f>0.17*SQRT('Parametros'!$B$2)*H536*MIN(U536,AB536)/1000</f>
        <v>220.098728691808</v>
      </c>
      <c r="AK536" s="10">
        <f>MAX(AI536/'Parametros'!$B$6-AJ536,0)</f>
        <v>294.506284866807</v>
      </c>
      <c r="AL536" s="10">
        <f>0.66*SQRT('Parametros'!$B$2)*H536*MIN(U536,AB536)/1000</f>
        <v>854.500946685842</v>
      </c>
      <c r="AM536" s="10" t="str">
        <f>IF(AK536&lt;=AL536,"CUMPLE","NO CUMPLE")</f>
        <v>CUMPLE</v>
      </c>
      <c r="AN536" s="17" t="inlineStr">
        <is>
          <t>Nº3 cerrado</t>
        </is>
      </c>
      <c r="AO536" s="31" t="n">
        <v>2</v>
      </c>
      <c r="AP536" s="10">
        <f>ROUNDDOWN(MIN(IF(BC536+BD536=0,1000000000,AO536*BB536/(BC536+BD536)),MIN(U536,AB536)/4,8*'Parametros'!$B$12,24*BA536,300,IF(AV536=0,1000000000,2*((H536-2*('Parametros'!$B$7+'Parametros'!$B$9/2))+(I536-2*('Parametros'!$B$7+'Parametros'!$B$9/2)))/8))/10,0)*10</f>
        <v>90</v>
      </c>
      <c r="AQ536" s="10">
        <f>ROUNDDOWN(MIN(IF(BC536+BD536=0,1000000000,AO536*BB536/(BC536+BD536)),IF(AK536&gt;0.33*SQRT('Parametros'!$B$2)*H536*MIN(U536,AB536)/1000,MIN(U536,AB536)/4,MIN(U536,AB536)/2),600,IF(AV536=0,1000000000,2*((H536-2*('Parametros'!$B$7+'Parametros'!$B$9/2))+(I536-2*('Parametros'!$B$7+'Parametros'!$B$9/2)))/8))/10,0)*10</f>
        <v>90</v>
      </c>
      <c r="AR536" s="10">
        <f>'Parametros'!$B$6*(AJ536+MAX(BE536-BD536,0)*'Parametros'!$B$4*MIN(U536,AB536)/1000)</f>
        <v>408.280996518856</v>
      </c>
      <c r="AS536" s="10" t="str">
        <f>IF(AND(ISERROR(SEARCH("referencia",AN536)),AM536="CUMPLE",AR536&gt;=AI536),"CUMPLE","NO CUMPLE")</f>
        <v>CUMPLE</v>
      </c>
      <c r="AT536" s="10">
        <f>'Parametros'!$B$6*0.083*SQRT('Parametros'!$B$2)*(H536*I536)^2/(2*(H536+I536))/1000000</f>
        <v>11.862178757599</v>
      </c>
      <c r="AU536" s="10" t="str">
        <f>IF(Q536&lt;=AT536,"DESPRECIABLE","DISEÑAR")</f>
        <v>DESPRECIABLE</v>
      </c>
      <c r="AV536" s="10">
        <f>IF(Q536&lt;=AT536,0,Q536*1000000/('Parametros'!$B$6*2*0.85*(H536-2*('Parametros'!$B$7+'Parametros'!$B$9/2))*(I536-2*('Parametros'!$B$7+'Parametros'!$B$9/2))*'Parametros'!$B$4))</f>
        <v>0</v>
      </c>
      <c r="AW536" s="10">
        <f>AV536*2*((H536-2*('Parametros'!$B$7+'Parametros'!$B$9/2))+(I536-2*('Parametros'!$B$7+'Parametros'!$B$9/2)))*'Parametros'!$B$4/'Parametros'!$B$3</f>
        <v>0</v>
      </c>
      <c r="AX536" s="31" t="n">
        <v>0</v>
      </c>
      <c r="AY536" s="10" t="str">
        <f>IF(AV536=0,"DESPRECIABLE",IF(AND(ISERROR(SEARCH("referencia",AN536)),BB536/AP536&gt;=AV536,BI536&gt;=AW536,BH536="CUMPLE"),"CUMPLE","NO CUMPLE"))</f>
        <v>DESPRECIABLE</v>
      </c>
      <c r="AZ536" s="10" t="str">
        <f>IF(AND(X536="CUMPLE",AE536="CUMPLE",AS536="CUMPLE",OR(AY536="CUMPLE",AY536="DESPRECIABLE"),BH536="CUMPLE",BJ536="CUMPLE"),"CUMPLE","NO CUMPLE")</f>
        <v>CUMPLE</v>
      </c>
      <c r="BA536" s="32" t="n">
        <v>9.5</v>
      </c>
      <c r="BB536" s="32" t="n">
        <v>71</v>
      </c>
      <c r="BC536" s="10">
        <f>MAX(IF(AK536=0,0,AK536*1000/('Parametros'!$B$4*MIN(U536,AB536))),MAX(0.062*SQRT('Parametros'!$B$2)*H536/'Parametros'!$B$4,0.35*H536/'Parametros'!$B$4))</f>
        <v>1.43293233914185</v>
      </c>
      <c r="BD536" s="10">
        <f>2*AV536</f>
        <v>0</v>
      </c>
      <c r="BE536" s="10">
        <f>AO536*BB536/AP536</f>
        <v>1.57777777777778</v>
      </c>
      <c r="BF536" s="10">
        <f>SQRT((AI536*1000/(H536*MIN(U536,AB536)))^2+(Q536*1000000*2*((H536-2*('Parametros'!$B$7+'Parametros'!$B$9/2))+(I536-2*('Parametros'!$B$7+'Parametros'!$B$9/2)))/(1.7*((H536-2*('Parametros'!$B$7+'Parametros'!$B$9/2))*(I536-2*('Parametros'!$B$7+'Parametros'!$B$9/2)))^2))^2)</f>
        <v>1.58141607096027</v>
      </c>
      <c r="BG536" s="10">
        <f>'Parametros'!$B$6*(AJ536*1000/(H536*MIN(U536,AB536))+0.66*SQRT('Parametros'!$B$2))</f>
        <v>3.29396038227542</v>
      </c>
      <c r="BH536" s="10" t="str">
        <f>IF(BF536&lt;=BG536,"CUMPLE","NO CUMPLE")</f>
        <v>CUMPLE</v>
      </c>
      <c r="BI536" s="10">
        <f>AX536*'Parametros'!$B$8</f>
        <v>0</v>
      </c>
      <c r="BJ536" s="10" t="str">
        <f>IF(BI536&gt;=AW536,"CUMPLE","NO CUMPLE")</f>
        <v>CUMPLE</v>
      </c>
    </row>
    <row r="537">
      <c r="A537" s="26" t="inlineStr">
        <is>
          <t>VR3</t>
        </is>
      </c>
      <c r="B537" s="26" t="inlineStr">
        <is>
          <t>970</t>
        </is>
      </c>
      <c r="C537" s="10" t="n">
        <v>1</v>
      </c>
      <c r="D537" s="10" t="n">
        <v>2</v>
      </c>
      <c r="E537" s="10" t="n">
        <v>2</v>
      </c>
      <c r="F537" s="10" t="n">
        <v>500</v>
      </c>
      <c r="G537" s="10" t="n">
        <v>550</v>
      </c>
      <c r="H537" s="17" t="n">
        <v>500</v>
      </c>
      <c r="I537" s="17" t="n">
        <v>550</v>
      </c>
      <c r="J537" s="30" t="n">
        <v>185.4652</v>
      </c>
      <c r="K537" s="10" t="inlineStr">
        <is>
          <t>970</t>
        </is>
      </c>
      <c r="L537" s="30" t="n">
        <v>126.4164</v>
      </c>
      <c r="M537" s="10" t="inlineStr">
        <is>
          <t>970</t>
        </is>
      </c>
      <c r="N537" s="30" t="n">
        <v>184.766</v>
      </c>
      <c r="O537" s="30" t="n">
        <v>214.044</v>
      </c>
      <c r="P537" s="10" t="inlineStr">
        <is>
          <t>970</t>
        </is>
      </c>
      <c r="Q537" s="30" t="n">
        <v>1.9395</v>
      </c>
      <c r="R537" s="10">
        <f>MAX(MAX(1.4/'Parametros'!$B$3,0.25*SQRT('Parametros'!$B$2)/'Parametros'!$B$3)*H537*U537,(0.85*'Parametros'!$B$2/'Parametros'!$B$3)*(1-SQRT(1-2*(J537*1000000/('Parametros'!$B$5*H537*U537^2))/(0.85*'Parametros'!$B$2)))*H537*U537)</f>
        <v>1041.79344611235</v>
      </c>
      <c r="S537" s="31" t="n">
        <v>6</v>
      </c>
      <c r="T537" s="32" t="n">
        <v>1</v>
      </c>
      <c r="U537" s="10">
        <f>IF(T537=1,I537-('Parametros'!$B$7+'Parametros'!$B$9+'Parametros'!$B$12/2),I537-(ROUNDUP(S537/2,0)*('Parametros'!$B$7+'Parametros'!$B$9+'Parametros'!$B$12/2)+ROUNDDOWN(S537/2,0)*('Parametros'!$B$7+'Parametros'!$B$9+'Parametros'!$B$12/2+'Parametros'!$B$12+'Parametros'!$B$10))/S537)</f>
        <v>489.35</v>
      </c>
      <c r="V537" s="10">
        <f>S537*'Parametros'!$B$8</f>
        <v>1194</v>
      </c>
      <c r="W537" s="10">
        <f>'Parametros'!$B$5*V537*'Parametros'!$B$3*(U537-(V537*'Parametros'!$B$3/(0.85*'Parametros'!$B$2*H537))/2)/1000000</f>
        <v>211.349483470588</v>
      </c>
      <c r="X537" s="10" t="str">
        <f>IF(W537&gt;=J537,"CUMPLE","NO CUMPLE")</f>
        <v>CUMPLE</v>
      </c>
      <c r="Y537" s="10">
        <f>MAX(MAX(1.4/'Parametros'!$B$3,0.25*SQRT('Parametros'!$B$2)/'Parametros'!$B$3)*H537*AB537,(0.85*'Parametros'!$B$2/'Parametros'!$B$3)*(1-SQRT(1-2*(L537*1000000/('Parametros'!$B$5*H537*AB537^2))/(0.85*'Parametros'!$B$2)))*H537*AB537)</f>
        <v>815.583333333333</v>
      </c>
      <c r="Z537" s="31" t="n">
        <v>5</v>
      </c>
      <c r="AA537" s="32" t="n">
        <v>1</v>
      </c>
      <c r="AB537" s="10">
        <f>IF(AA537=1,I537-('Parametros'!$B$7+'Parametros'!$B$9+'Parametros'!$B$12/2),I537-(ROUNDUP(Z537/2,0)*('Parametros'!$B$7+'Parametros'!$B$9+'Parametros'!$B$12/2)+ROUNDDOWN(Z537/2,0)*('Parametros'!$B$7+'Parametros'!$B$9+'Parametros'!$B$12/2+'Parametros'!$B$12+'Parametros'!$B$10))/Z537)</f>
        <v>489.35</v>
      </c>
      <c r="AC537" s="10">
        <f>Z537*'Parametros'!$B$8</f>
        <v>995</v>
      </c>
      <c r="AD537" s="10">
        <f>'Parametros'!$B$5*AC537*'Parametros'!$B$3*(AB537-(AC537*'Parametros'!$B$3/(0.85*'Parametros'!$B$2*H537))/2)/1000000</f>
        <v>177.445379382353</v>
      </c>
      <c r="AE537" s="10" t="str">
        <f>IF(AD537&gt;=L537,"CUMPLE","NO CUMPLE")</f>
        <v>CUMPLE</v>
      </c>
      <c r="AF537" s="10">
        <f>V537*1.25*'Parametros'!$B$3*(U537-(V537*1.25*'Parametros'!$B$3/(0.85*'Parametros'!$B$2*H537))/2)/1000000</f>
        <v>290.238924705882</v>
      </c>
      <c r="AG537" s="10">
        <f>AC537*1.25*'Parametros'!$B$3*(AB537-(AC537*1.25*'Parametros'!$B$3/(0.85*'Parametros'!$B$2*H537))/2)/1000000</f>
        <v>244.158843198529</v>
      </c>
      <c r="AH537" s="10">
        <f>N537+(AF537+AG537)/D537</f>
        <v>451.964883952206</v>
      </c>
      <c r="AI537" s="10">
        <f>MAX(O537,AH537)</f>
        <v>451.964883952206</v>
      </c>
      <c r="AJ537" s="10">
        <f>0.17*SQRT('Parametros'!$B$2)*H537*MIN(U537,AB537)/1000</f>
        <v>220.098728691808</v>
      </c>
      <c r="AK537" s="10">
        <f>MAX(AI537/'Parametros'!$B$6-AJ537,0)</f>
        <v>382.5211165778</v>
      </c>
      <c r="AL537" s="10">
        <f>0.66*SQRT('Parametros'!$B$2)*H537*MIN(U537,AB537)/1000</f>
        <v>854.500946685842</v>
      </c>
      <c r="AM537" s="10" t="str">
        <f>IF(AK537&lt;=AL537,"CUMPLE","NO CUMPLE")</f>
        <v>CUMPLE</v>
      </c>
      <c r="AN537" s="17" t="inlineStr">
        <is>
          <t>Nº4 cerrado</t>
        </is>
      </c>
      <c r="AO537" s="31" t="n">
        <v>2</v>
      </c>
      <c r="AP537" s="10">
        <f>ROUNDDOWN(MIN(IF(BC537+BD537=0,1000000000,AO537*BB537/(BC537+BD537)),MIN(U537,AB537)/4,8*'Parametros'!$B$12,24*BA537,300,IF(AV537=0,1000000000,2*((H537-2*('Parametros'!$B$7+'Parametros'!$B$9/2))+(I537-2*('Parametros'!$B$7+'Parametros'!$B$9/2)))/8))/10,0)*10</f>
        <v>120</v>
      </c>
      <c r="AQ537" s="10">
        <f>ROUNDDOWN(MIN(IF(BC537+BD537=0,1000000000,AO537*BB537/(BC537+BD537)),IF(AK537&gt;0.33*SQRT('Parametros'!$B$2)*H537*MIN(U537,AB537)/1000,MIN(U537,AB537)/4,MIN(U537,AB537)/2),600,IF(AV537=0,1000000000,2*((H537-2*('Parametros'!$B$7+'Parametros'!$B$9/2))+(I537-2*('Parametros'!$B$7+'Parametros'!$B$9/2)))/8))/10,0)*10</f>
        <v>130</v>
      </c>
      <c r="AR537" s="10">
        <f>'Parametros'!$B$6*(AJ537+MAX(BE537-BD537,0)*'Parametros'!$B$4*MIN(U537,AB537)/1000)</f>
        <v>496.486334018856</v>
      </c>
      <c r="AS537" s="10" t="str">
        <f>IF(AND(ISERROR(SEARCH("referencia",AN537)),AM537="CUMPLE",AR537&gt;=AI537),"CUMPLE","NO CUMPLE")</f>
        <v>CUMPLE</v>
      </c>
      <c r="AT537" s="10">
        <f>'Parametros'!$B$6*0.083*SQRT('Parametros'!$B$2)*(H537*I537)^2/(2*(H537+I537))/1000000</f>
        <v>11.862178757599</v>
      </c>
      <c r="AU537" s="10" t="str">
        <f>IF(Q537&lt;=AT537,"DESPRECIABLE","DISEÑAR")</f>
        <v>DESPRECIABLE</v>
      </c>
      <c r="AV537" s="10">
        <f>IF(Q537&lt;=AT537,0,Q537*1000000/('Parametros'!$B$6*2*0.85*(H537-2*('Parametros'!$B$7+'Parametros'!$B$9/2))*(I537-2*('Parametros'!$B$7+'Parametros'!$B$9/2))*'Parametros'!$B$4))</f>
        <v>0</v>
      </c>
      <c r="AW537" s="10">
        <f>AV537*2*((H537-2*('Parametros'!$B$7+'Parametros'!$B$9/2))+(I537-2*('Parametros'!$B$7+'Parametros'!$B$9/2)))*'Parametros'!$B$4/'Parametros'!$B$3</f>
        <v>0</v>
      </c>
      <c r="AX537" s="31" t="n">
        <v>0</v>
      </c>
      <c r="AY537" s="10" t="str">
        <f>IF(AV537=0,"DESPRECIABLE",IF(AND(ISERROR(SEARCH("referencia",AN537)),BB537/AP537&gt;=AV537,BI537&gt;=AW537,BH537="CUMPLE"),"CUMPLE","NO CUMPLE"))</f>
        <v>DESPRECIABLE</v>
      </c>
      <c r="AZ537" s="10" t="str">
        <f>IF(AND(X537="CUMPLE",AE537="CUMPLE",AS537="CUMPLE",OR(AY537="CUMPLE",AY537="DESPRECIABLE"),BH537="CUMPLE",BJ537="CUMPLE"),"CUMPLE","NO CUMPLE")</f>
        <v>CUMPLE</v>
      </c>
      <c r="BA537" s="32" t="n">
        <v>12.7</v>
      </c>
      <c r="BB537" s="32" t="n">
        <v>129</v>
      </c>
      <c r="BC537" s="10">
        <f>MAX(IF(AK537=0,0,AK537*1000/('Parametros'!$B$4*MIN(U537,AB537))),MAX(0.062*SQRT('Parametros'!$B$2)*H537/'Parametros'!$B$4,0.35*H537/'Parametros'!$B$4))</f>
        <v>1.86117209212318</v>
      </c>
      <c r="BD537" s="10">
        <f>2*AV537</f>
        <v>0</v>
      </c>
      <c r="BE537" s="10">
        <f>AO537*BB537/AP537</f>
        <v>2.15</v>
      </c>
      <c r="BF537" s="10">
        <f>SQRT((AI537*1000/(H537*MIN(U537,AB537)))^2+(Q537*1000000*2*((H537-2*('Parametros'!$B$7+'Parametros'!$B$9/2))+(I537-2*('Parametros'!$B$7+'Parametros'!$B$9/2)))/(1.7*((H537-2*('Parametros'!$B$7+'Parametros'!$B$9/2))*(I537-2*('Parametros'!$B$7+'Parametros'!$B$9/2)))^2))^2)</f>
        <v>1.848080110614</v>
      </c>
      <c r="BG537" s="10">
        <f>'Parametros'!$B$6*(AJ537*1000/(H537*MIN(U537,AB537))+0.66*SQRT('Parametros'!$B$2))</f>
        <v>3.29396038227542</v>
      </c>
      <c r="BH537" s="10" t="str">
        <f>IF(BF537&lt;=BG537,"CUMPLE","NO CUMPLE")</f>
        <v>CUMPLE</v>
      </c>
      <c r="BI537" s="10">
        <f>AX537*'Parametros'!$B$8</f>
        <v>0</v>
      </c>
      <c r="BJ537" s="10" t="str">
        <f>IF(BI537&gt;=AW537,"CUMPLE","NO CUMPLE")</f>
        <v>CUMPLE</v>
      </c>
    </row>
    <row r="538">
      <c r="A538" s="26" t="inlineStr">
        <is>
          <t>VR3</t>
        </is>
      </c>
      <c r="B538" s="26" t="inlineStr">
        <is>
          <t>971</t>
        </is>
      </c>
      <c r="C538" s="10" t="n">
        <v>1</v>
      </c>
      <c r="D538" s="10" t="n">
        <v>1.9</v>
      </c>
      <c r="E538" s="10" t="n">
        <v>1.9</v>
      </c>
      <c r="F538" s="10" t="n">
        <v>500</v>
      </c>
      <c r="G538" s="10" t="n">
        <v>550</v>
      </c>
      <c r="H538" s="17" t="n">
        <v>500</v>
      </c>
      <c r="I538" s="17" t="n">
        <v>550</v>
      </c>
      <c r="J538" s="30" t="n">
        <v>65.5728</v>
      </c>
      <c r="K538" s="10" t="inlineStr">
        <is>
          <t>971</t>
        </is>
      </c>
      <c r="L538" s="30" t="n">
        <v>0</v>
      </c>
      <c r="M538" s="10" t="inlineStr">
        <is>
          <t>971</t>
        </is>
      </c>
      <c r="N538" s="30" t="n">
        <v>47.549</v>
      </c>
      <c r="O538" s="30" t="n">
        <v>60.905</v>
      </c>
      <c r="P538" s="10" t="inlineStr">
        <is>
          <t>971</t>
        </is>
      </c>
      <c r="Q538" s="30" t="n">
        <v>0.0274</v>
      </c>
      <c r="R538" s="10">
        <f>MAX(MAX(1.4/'Parametros'!$B$3,0.25*SQRT('Parametros'!$B$2)/'Parametros'!$B$3)*H538*U538,(0.85*'Parametros'!$B$2/'Parametros'!$B$3)*(1-SQRT(1-2*(J538*1000000/('Parametros'!$B$5*H538*U538^2))/(0.85*'Parametros'!$B$2)))*H538*U538)</f>
        <v>815.583333333333</v>
      </c>
      <c r="S538" s="31" t="n">
        <v>5</v>
      </c>
      <c r="T538" s="32" t="n">
        <v>1</v>
      </c>
      <c r="U538" s="10">
        <f>IF(T538=1,I538-('Parametros'!$B$7+'Parametros'!$B$9+'Parametros'!$B$12/2),I538-(ROUNDUP(S538/2,0)*('Parametros'!$B$7+'Parametros'!$B$9+'Parametros'!$B$12/2)+ROUNDDOWN(S538/2,0)*('Parametros'!$B$7+'Parametros'!$B$9+'Parametros'!$B$12/2+'Parametros'!$B$12+'Parametros'!$B$10))/S538)</f>
        <v>489.35</v>
      </c>
      <c r="V538" s="10">
        <f>S538*'Parametros'!$B$8</f>
        <v>995</v>
      </c>
      <c r="W538" s="10">
        <f>'Parametros'!$B$5*V538*'Parametros'!$B$3*(U538-(V538*'Parametros'!$B$3/(0.85*'Parametros'!$B$2*H538))/2)/1000000</f>
        <v>177.445379382353</v>
      </c>
      <c r="X538" s="10" t="str">
        <f>IF(W538&gt;=J538,"CUMPLE","NO CUMPLE")</f>
        <v>CUMPLE</v>
      </c>
      <c r="Y538" s="10">
        <f>MAX(MAX(1.4/'Parametros'!$B$3,0.25*SQRT('Parametros'!$B$2)/'Parametros'!$B$3)*H538*AB538,(0.85*'Parametros'!$B$2/'Parametros'!$B$3)*(1-SQRT(1-2*(L538*1000000/('Parametros'!$B$5*H538*AB538^2))/(0.85*'Parametros'!$B$2)))*H538*AB538)</f>
        <v>815.583333333333</v>
      </c>
      <c r="Z538" s="31" t="n">
        <v>5</v>
      </c>
      <c r="AA538" s="32" t="n">
        <v>1</v>
      </c>
      <c r="AB538" s="10">
        <f>IF(AA538=1,I538-('Parametros'!$B$7+'Parametros'!$B$9+'Parametros'!$B$12/2),I538-(ROUNDUP(Z538/2,0)*('Parametros'!$B$7+'Parametros'!$B$9+'Parametros'!$B$12/2)+ROUNDDOWN(Z538/2,0)*('Parametros'!$B$7+'Parametros'!$B$9+'Parametros'!$B$12/2+'Parametros'!$B$12+'Parametros'!$B$10))/Z538)</f>
        <v>489.35</v>
      </c>
      <c r="AC538" s="10">
        <f>Z538*'Parametros'!$B$8</f>
        <v>995</v>
      </c>
      <c r="AD538" s="10">
        <f>'Parametros'!$B$5*AC538*'Parametros'!$B$3*(AB538-(AC538*'Parametros'!$B$3/(0.85*'Parametros'!$B$2*H538))/2)/1000000</f>
        <v>177.445379382353</v>
      </c>
      <c r="AE538" s="10" t="str">
        <f>IF(AD538&gt;=L538,"CUMPLE","NO CUMPLE")</f>
        <v>CUMPLE</v>
      </c>
      <c r="AF538" s="10">
        <f>V538*1.25*'Parametros'!$B$3*(U538-(V538*1.25*'Parametros'!$B$3/(0.85*'Parametros'!$B$2*H538))/2)/1000000</f>
        <v>244.158843198529</v>
      </c>
      <c r="AG538" s="10">
        <f>AC538*1.25*'Parametros'!$B$3*(AB538-(AC538*1.25*'Parametros'!$B$3/(0.85*'Parametros'!$B$2*H538))/2)/1000000</f>
        <v>244.158843198529</v>
      </c>
      <c r="AH538" s="10">
        <f>N538+(AF538+AG538)/D538</f>
        <v>304.558308630031</v>
      </c>
      <c r="AI538" s="10">
        <f>MAX(O538,AH538)</f>
        <v>304.558308630031</v>
      </c>
      <c r="AJ538" s="10">
        <f>0.17*SQRT('Parametros'!$B$2)*H538*MIN(U538,AB538)/1000</f>
        <v>220.098728691808</v>
      </c>
      <c r="AK538" s="10">
        <f>MAX(AI538/'Parametros'!$B$6-AJ538,0)</f>
        <v>185.979016148233</v>
      </c>
      <c r="AL538" s="10">
        <f>0.66*SQRT('Parametros'!$B$2)*H538*MIN(U538,AB538)/1000</f>
        <v>854.500946685842</v>
      </c>
      <c r="AM538" s="10" t="str">
        <f>IF(AK538&lt;=AL538,"CUMPLE","NO CUMPLE")</f>
        <v>CUMPLE</v>
      </c>
      <c r="AN538" s="17" t="inlineStr">
        <is>
          <t>Nº3 cerrado</t>
        </is>
      </c>
      <c r="AO538" s="31" t="n">
        <v>2</v>
      </c>
      <c r="AP538" s="10">
        <f>ROUNDDOWN(MIN(IF(BC538+BD538=0,1000000000,AO538*BB538/(BC538+BD538)),MIN(U538,AB538)/4,8*'Parametros'!$B$12,24*BA538,300,IF(AV538=0,1000000000,2*((H538-2*('Parametros'!$B$7+'Parametros'!$B$9/2))+(I538-2*('Parametros'!$B$7+'Parametros'!$B$9/2)))/8))/10,0)*10</f>
        <v>120</v>
      </c>
      <c r="AQ538" s="10">
        <f>ROUNDDOWN(MIN(IF(BC538+BD538=0,1000000000,AO538*BB538/(BC538+BD538)),IF(AK538&gt;0.33*SQRT('Parametros'!$B$2)*H538*MIN(U538,AB538)/1000,MIN(U538,AB538)/4,MIN(U538,AB538)/2),600,IF(AV538=0,1000000000,2*((H538-2*('Parametros'!$B$7+'Parametros'!$B$9/2))+(I538-2*('Parametros'!$B$7+'Parametros'!$B$9/2)))/8))/10,0)*10</f>
        <v>150</v>
      </c>
      <c r="AR538" s="10">
        <f>'Parametros'!$B$6*(AJ538+MAX(BE538-BD538,0)*'Parametros'!$B$4*MIN(U538,AB538)/1000)</f>
        <v>347.479259018856</v>
      </c>
      <c r="AS538" s="10" t="str">
        <f>IF(AND(ISERROR(SEARCH("referencia",AN538)),AM538="CUMPLE",AR538&gt;=AI538),"CUMPLE","NO CUMPLE")</f>
        <v>CUMPLE</v>
      </c>
      <c r="AT538" s="10">
        <f>'Parametros'!$B$6*0.083*SQRT('Parametros'!$B$2)*(H538*I538)^2/(2*(H538+I538))/1000000</f>
        <v>11.862178757599</v>
      </c>
      <c r="AU538" s="10" t="str">
        <f>IF(Q538&lt;=AT538,"DESPRECIABLE","DISEÑAR")</f>
        <v>DESPRECIABLE</v>
      </c>
      <c r="AV538" s="10">
        <f>IF(Q538&lt;=AT538,0,Q538*1000000/('Parametros'!$B$6*2*0.85*(H538-2*('Parametros'!$B$7+'Parametros'!$B$9/2))*(I538-2*('Parametros'!$B$7+'Parametros'!$B$9/2))*'Parametros'!$B$4))</f>
        <v>0</v>
      </c>
      <c r="AW538" s="10">
        <f>AV538*2*((H538-2*('Parametros'!$B$7+'Parametros'!$B$9/2))+(I538-2*('Parametros'!$B$7+'Parametros'!$B$9/2)))*'Parametros'!$B$4/'Parametros'!$B$3</f>
        <v>0</v>
      </c>
      <c r="AX538" s="31" t="n">
        <v>0</v>
      </c>
      <c r="AY538" s="10" t="str">
        <f>IF(AV538=0,"DESPRECIABLE",IF(AND(ISERROR(SEARCH("referencia",AN538)),BB538/AP538&gt;=AV538,BI538&gt;=AW538,BH538="CUMPLE"),"CUMPLE","NO CUMPLE"))</f>
        <v>DESPRECIABLE</v>
      </c>
      <c r="AZ538" s="10" t="str">
        <f>IF(AND(X538="CUMPLE",AE538="CUMPLE",AS538="CUMPLE",OR(AY538="CUMPLE",AY538="DESPRECIABLE"),BH538="CUMPLE",BJ538="CUMPLE"),"CUMPLE","NO CUMPLE")</f>
        <v>CUMPLE</v>
      </c>
      <c r="BA538" s="32" t="n">
        <v>9.5</v>
      </c>
      <c r="BB538" s="32" t="n">
        <v>71</v>
      </c>
      <c r="BC538" s="10">
        <f>MAX(IF(AK538=0,0,AK538*1000/('Parametros'!$B$4*MIN(U538,AB538))),MAX(0.062*SQRT('Parametros'!$B$2)*H538/'Parametros'!$B$4,0.35*H538/'Parametros'!$B$4))</f>
        <v>0.904888487392087</v>
      </c>
      <c r="BD538" s="10">
        <f>2*AV538</f>
        <v>0</v>
      </c>
      <c r="BE538" s="10">
        <f>AO538*BB538/AP538</f>
        <v>1.18333333333333</v>
      </c>
      <c r="BF538" s="10">
        <f>SQRT((AI538*1000/(H538*MIN(U538,AB538)))^2+(Q538*1000000*2*((H538-2*('Parametros'!$B$7+'Parametros'!$B$9/2))+(I538-2*('Parametros'!$B$7+'Parametros'!$B$9/2)))/(1.7*((H538-2*('Parametros'!$B$7+'Parametros'!$B$9/2))*(I538-2*('Parametros'!$B$7+'Parametros'!$B$9/2)))^2))^2)</f>
        <v>1.24474659062946</v>
      </c>
      <c r="BG538" s="10">
        <f>'Parametros'!$B$6*(AJ538*1000/(H538*MIN(U538,AB538))+0.66*SQRT('Parametros'!$B$2))</f>
        <v>3.29396038227542</v>
      </c>
      <c r="BH538" s="10" t="str">
        <f>IF(BF538&lt;=BG538,"CUMPLE","NO CUMPLE")</f>
        <v>CUMPLE</v>
      </c>
      <c r="BI538" s="10">
        <f>AX538*'Parametros'!$B$8</f>
        <v>0</v>
      </c>
      <c r="BJ538" s="10" t="str">
        <f>IF(BI538&gt;=AW538,"CUMPLE","NO CUMPLE")</f>
        <v>CUMPLE</v>
      </c>
    </row>
    <row r="539">
      <c r="A539" s="26" t="inlineStr">
        <is>
          <t>VR3</t>
        </is>
      </c>
      <c r="B539" s="26" t="inlineStr">
        <is>
          <t>972</t>
        </is>
      </c>
      <c r="C539" s="10" t="n">
        <v>1</v>
      </c>
      <c r="D539" s="10" t="n">
        <v>3.4</v>
      </c>
      <c r="E539" s="10" t="n">
        <v>3.4</v>
      </c>
      <c r="F539" s="10" t="n">
        <v>500</v>
      </c>
      <c r="G539" s="10" t="n">
        <v>550</v>
      </c>
      <c r="H539" s="17" t="n">
        <v>500</v>
      </c>
      <c r="I539" s="17" t="n">
        <v>550</v>
      </c>
      <c r="J539" s="30" t="n">
        <v>104.7054</v>
      </c>
      <c r="K539" s="10" t="inlineStr">
        <is>
          <t>972</t>
        </is>
      </c>
      <c r="L539" s="30" t="n">
        <v>37.3894</v>
      </c>
      <c r="M539" s="10" t="inlineStr">
        <is>
          <t>972</t>
        </is>
      </c>
      <c r="N539" s="30" t="n">
        <v>82.64400000000001</v>
      </c>
      <c r="O539" s="30" t="n">
        <v>147.511</v>
      </c>
      <c r="P539" s="10" t="inlineStr">
        <is>
          <t>972</t>
        </is>
      </c>
      <c r="Q539" s="30" t="n">
        <v>1.0783</v>
      </c>
      <c r="R539" s="10">
        <f>MAX(MAX(1.4/'Parametros'!$B$3,0.25*SQRT('Parametros'!$B$2)/'Parametros'!$B$3)*H539*U539,(0.85*'Parametros'!$B$2/'Parametros'!$B$3)*(1-SQRT(1-2*(J539*1000000/('Parametros'!$B$5*H539*U539^2))/(0.85*'Parametros'!$B$2)))*H539*U539)</f>
        <v>815.583333333333</v>
      </c>
      <c r="S539" s="31" t="n">
        <v>5</v>
      </c>
      <c r="T539" s="32" t="n">
        <v>1</v>
      </c>
      <c r="U539" s="10">
        <f>IF(T539=1,I539-('Parametros'!$B$7+'Parametros'!$B$9+'Parametros'!$B$12/2),I539-(ROUNDUP(S539/2,0)*('Parametros'!$B$7+'Parametros'!$B$9+'Parametros'!$B$12/2)+ROUNDDOWN(S539/2,0)*('Parametros'!$B$7+'Parametros'!$B$9+'Parametros'!$B$12/2+'Parametros'!$B$12+'Parametros'!$B$10))/S539)</f>
        <v>489.35</v>
      </c>
      <c r="V539" s="10">
        <f>S539*'Parametros'!$B$8</f>
        <v>995</v>
      </c>
      <c r="W539" s="10">
        <f>'Parametros'!$B$5*V539*'Parametros'!$B$3*(U539-(V539*'Parametros'!$B$3/(0.85*'Parametros'!$B$2*H539))/2)/1000000</f>
        <v>177.445379382353</v>
      </c>
      <c r="X539" s="10" t="str">
        <f>IF(W539&gt;=J539,"CUMPLE","NO CUMPLE")</f>
        <v>CUMPLE</v>
      </c>
      <c r="Y539" s="10">
        <f>MAX(MAX(1.4/'Parametros'!$B$3,0.25*SQRT('Parametros'!$B$2)/'Parametros'!$B$3)*H539*AB539,(0.85*'Parametros'!$B$2/'Parametros'!$B$3)*(1-SQRT(1-2*(L539*1000000/('Parametros'!$B$5*H539*AB539^2))/(0.85*'Parametros'!$B$2)))*H539*AB539)</f>
        <v>815.583333333333</v>
      </c>
      <c r="Z539" s="31" t="n">
        <v>5</v>
      </c>
      <c r="AA539" s="32" t="n">
        <v>1</v>
      </c>
      <c r="AB539" s="10">
        <f>IF(AA539=1,I539-('Parametros'!$B$7+'Parametros'!$B$9+'Parametros'!$B$12/2),I539-(ROUNDUP(Z539/2,0)*('Parametros'!$B$7+'Parametros'!$B$9+'Parametros'!$B$12/2)+ROUNDDOWN(Z539/2,0)*('Parametros'!$B$7+'Parametros'!$B$9+'Parametros'!$B$12/2+'Parametros'!$B$12+'Parametros'!$B$10))/Z539)</f>
        <v>489.35</v>
      </c>
      <c r="AC539" s="10">
        <f>Z539*'Parametros'!$B$8</f>
        <v>995</v>
      </c>
      <c r="AD539" s="10">
        <f>'Parametros'!$B$5*AC539*'Parametros'!$B$3*(AB539-(AC539*'Parametros'!$B$3/(0.85*'Parametros'!$B$2*H539))/2)/1000000</f>
        <v>177.445379382353</v>
      </c>
      <c r="AE539" s="10" t="str">
        <f>IF(AD539&gt;=L539,"CUMPLE","NO CUMPLE")</f>
        <v>CUMPLE</v>
      </c>
      <c r="AF539" s="10">
        <f>V539*1.25*'Parametros'!$B$3*(U539-(V539*1.25*'Parametros'!$B$3/(0.85*'Parametros'!$B$2*H539))/2)/1000000</f>
        <v>244.158843198529</v>
      </c>
      <c r="AG539" s="10">
        <f>AC539*1.25*'Parametros'!$B$3*(AB539-(AC539*1.25*'Parametros'!$B$3/(0.85*'Parametros'!$B$2*H539))/2)/1000000</f>
        <v>244.158843198529</v>
      </c>
      <c r="AH539" s="10">
        <f>N539+(AF539+AG539)/D539</f>
        <v>226.266848940311</v>
      </c>
      <c r="AI539" s="10">
        <f>MAX(O539,AH539)</f>
        <v>226.266848940311</v>
      </c>
      <c r="AJ539" s="10">
        <f>0.17*SQRT('Parametros'!$B$2)*H539*MIN(U539,AB539)/1000</f>
        <v>220.098728691808</v>
      </c>
      <c r="AK539" s="10">
        <f>MAX(AI539/'Parametros'!$B$6-AJ539,0)</f>
        <v>81.5904032286075</v>
      </c>
      <c r="AL539" s="10">
        <f>0.66*SQRT('Parametros'!$B$2)*H539*MIN(U539,AB539)/1000</f>
        <v>854.500946685842</v>
      </c>
      <c r="AM539" s="10" t="str">
        <f>IF(AK539&lt;=AL539,"CUMPLE","NO CUMPLE")</f>
        <v>CUMPLE</v>
      </c>
      <c r="AN539" s="17" t="inlineStr">
        <is>
          <t>Nº3 cerrado</t>
        </is>
      </c>
      <c r="AO539" s="31" t="n">
        <v>2</v>
      </c>
      <c r="AP539" s="10">
        <f>ROUNDDOWN(MIN(IF(BC539+BD539=0,1000000000,AO539*BB539/(BC539+BD539)),MIN(U539,AB539)/4,8*'Parametros'!$B$12,24*BA539,300,IF(AV539=0,1000000000,2*((H539-2*('Parametros'!$B$7+'Parametros'!$B$9/2))+(I539-2*('Parametros'!$B$7+'Parametros'!$B$9/2)))/8))/10,0)*10</f>
        <v>120</v>
      </c>
      <c r="AQ539" s="10">
        <f>ROUNDDOWN(MIN(IF(BC539+BD539=0,1000000000,AO539*BB539/(BC539+BD539)),IF(AK539&gt;0.33*SQRT('Parametros'!$B$2)*H539*MIN(U539,AB539)/1000,MIN(U539,AB539)/4,MIN(U539,AB539)/2),600,IF(AV539=0,1000000000,2*((H539-2*('Parametros'!$B$7+'Parametros'!$B$9/2))+(I539-2*('Parametros'!$B$7+'Parametros'!$B$9/2)))/8))/10,0)*10</f>
        <v>240</v>
      </c>
      <c r="AR539" s="10">
        <f>'Parametros'!$B$6*(AJ539+MAX(BE539-BD539,0)*'Parametros'!$B$4*MIN(U539,AB539)/1000)</f>
        <v>347.479259018856</v>
      </c>
      <c r="AS539" s="10" t="str">
        <f>IF(AND(ISERROR(SEARCH("referencia",AN539)),AM539="CUMPLE",AR539&gt;=AI539),"CUMPLE","NO CUMPLE")</f>
        <v>CUMPLE</v>
      </c>
      <c r="AT539" s="10">
        <f>'Parametros'!$B$6*0.083*SQRT('Parametros'!$B$2)*(H539*I539)^2/(2*(H539+I539))/1000000</f>
        <v>11.862178757599</v>
      </c>
      <c r="AU539" s="10" t="str">
        <f>IF(Q539&lt;=AT539,"DESPRECIABLE","DISEÑAR")</f>
        <v>DESPRECIABLE</v>
      </c>
      <c r="AV539" s="10">
        <f>IF(Q539&lt;=AT539,0,Q539*1000000/('Parametros'!$B$6*2*0.85*(H539-2*('Parametros'!$B$7+'Parametros'!$B$9/2))*(I539-2*('Parametros'!$B$7+'Parametros'!$B$9/2))*'Parametros'!$B$4))</f>
        <v>0</v>
      </c>
      <c r="AW539" s="10">
        <f>AV539*2*((H539-2*('Parametros'!$B$7+'Parametros'!$B$9/2))+(I539-2*('Parametros'!$B$7+'Parametros'!$B$9/2)))*'Parametros'!$B$4/'Parametros'!$B$3</f>
        <v>0</v>
      </c>
      <c r="AX539" s="31" t="n">
        <v>0</v>
      </c>
      <c r="AY539" s="10" t="str">
        <f>IF(AV539=0,"DESPRECIABLE",IF(AND(ISERROR(SEARCH("referencia",AN539)),BB539/AP539&gt;=AV539,BI539&gt;=AW539,BH539="CUMPLE"),"CUMPLE","NO CUMPLE"))</f>
        <v>DESPRECIABLE</v>
      </c>
      <c r="AZ539" s="10" t="str">
        <f>IF(AND(X539="CUMPLE",AE539="CUMPLE",AS539="CUMPLE",OR(AY539="CUMPLE",AY539="DESPRECIABLE"),BH539="CUMPLE",BJ539="CUMPLE"),"CUMPLE","NO CUMPLE")</f>
        <v>CUMPLE</v>
      </c>
      <c r="BA539" s="32" t="n">
        <v>9.5</v>
      </c>
      <c r="BB539" s="32" t="n">
        <v>71</v>
      </c>
      <c r="BC539" s="10">
        <f>MAX(IF(AK539=0,0,AK539*1000/('Parametros'!$B$4*MIN(U539,AB539))),MAX(0.062*SQRT('Parametros'!$B$2)*H539/'Parametros'!$B$4,0.35*H539/'Parametros'!$B$4))</f>
        <v>0.416666666666667</v>
      </c>
      <c r="BD539" s="10">
        <f>2*AV539</f>
        <v>0</v>
      </c>
      <c r="BE539" s="10">
        <f>AO539*BB539/AP539</f>
        <v>1.18333333333333</v>
      </c>
      <c r="BF539" s="10">
        <f>SQRT((AI539*1000/(H539*MIN(U539,AB539)))^2+(Q539*1000000*2*((H539-2*('Parametros'!$B$7+'Parametros'!$B$9/2))+(I539-2*('Parametros'!$B$7+'Parametros'!$B$9/2)))/(1.7*((H539-2*('Parametros'!$B$7+'Parametros'!$B$9/2))*(I539-2*('Parametros'!$B$7+'Parametros'!$B$9/2)))^2))^2)</f>
        <v>0.92530517074632</v>
      </c>
      <c r="BG539" s="10">
        <f>'Parametros'!$B$6*(AJ539*1000/(H539*MIN(U539,AB539))+0.66*SQRT('Parametros'!$B$2))</f>
        <v>3.29396038227542</v>
      </c>
      <c r="BH539" s="10" t="str">
        <f>IF(BF539&lt;=BG539,"CUMPLE","NO CUMPLE")</f>
        <v>CUMPLE</v>
      </c>
      <c r="BI539" s="10">
        <f>AX539*'Parametros'!$B$8</f>
        <v>0</v>
      </c>
      <c r="BJ539" s="10" t="str">
        <f>IF(BI539&gt;=AW539,"CUMPLE","NO CUMPLE")</f>
        <v>CUMPLE</v>
      </c>
    </row>
    <row r="540">
      <c r="A540" s="26" t="inlineStr">
        <is>
          <t>VR3</t>
        </is>
      </c>
      <c r="B540" s="26" t="inlineStr">
        <is>
          <t>973</t>
        </is>
      </c>
      <c r="C540" s="10" t="n">
        <v>1</v>
      </c>
      <c r="D540" s="10" t="n">
        <v>2.2</v>
      </c>
      <c r="E540" s="10" t="n">
        <v>2.2</v>
      </c>
      <c r="F540" s="10" t="n">
        <v>500</v>
      </c>
      <c r="G540" s="10" t="n">
        <v>550</v>
      </c>
      <c r="H540" s="17" t="n">
        <v>500</v>
      </c>
      <c r="I540" s="17" t="n">
        <v>550</v>
      </c>
      <c r="J540" s="30" t="n">
        <v>62.8503</v>
      </c>
      <c r="K540" s="10" t="inlineStr">
        <is>
          <t>973</t>
        </is>
      </c>
      <c r="L540" s="30" t="n">
        <v>35.8269</v>
      </c>
      <c r="M540" s="10" t="inlineStr">
        <is>
          <t>973</t>
        </is>
      </c>
      <c r="N540" s="30" t="n">
        <v>69.624</v>
      </c>
      <c r="O540" s="30" t="n">
        <v>98.77800000000001</v>
      </c>
      <c r="P540" s="10" t="inlineStr">
        <is>
          <t>973</t>
        </is>
      </c>
      <c r="Q540" s="30" t="n">
        <v>0.0114</v>
      </c>
      <c r="R540" s="10">
        <f>MAX(MAX(1.4/'Parametros'!$B$3,0.25*SQRT('Parametros'!$B$2)/'Parametros'!$B$3)*H540*U540,(0.85*'Parametros'!$B$2/'Parametros'!$B$3)*(1-SQRT(1-2*(J540*1000000/('Parametros'!$B$5*H540*U540^2))/(0.85*'Parametros'!$B$2)))*H540*U540)</f>
        <v>815.583333333333</v>
      </c>
      <c r="S540" s="31" t="n">
        <v>5</v>
      </c>
      <c r="T540" s="32" t="n">
        <v>1</v>
      </c>
      <c r="U540" s="10">
        <f>IF(T540=1,I540-('Parametros'!$B$7+'Parametros'!$B$9+'Parametros'!$B$12/2),I540-(ROUNDUP(S540/2,0)*('Parametros'!$B$7+'Parametros'!$B$9+'Parametros'!$B$12/2)+ROUNDDOWN(S540/2,0)*('Parametros'!$B$7+'Parametros'!$B$9+'Parametros'!$B$12/2+'Parametros'!$B$12+'Parametros'!$B$10))/S540)</f>
        <v>489.35</v>
      </c>
      <c r="V540" s="10">
        <f>S540*'Parametros'!$B$8</f>
        <v>995</v>
      </c>
      <c r="W540" s="10">
        <f>'Parametros'!$B$5*V540*'Parametros'!$B$3*(U540-(V540*'Parametros'!$B$3/(0.85*'Parametros'!$B$2*H540))/2)/1000000</f>
        <v>177.445379382353</v>
      </c>
      <c r="X540" s="10" t="str">
        <f>IF(W540&gt;=J540,"CUMPLE","NO CUMPLE")</f>
        <v>CUMPLE</v>
      </c>
      <c r="Y540" s="10">
        <f>MAX(MAX(1.4/'Parametros'!$B$3,0.25*SQRT('Parametros'!$B$2)/'Parametros'!$B$3)*H540*AB540,(0.85*'Parametros'!$B$2/'Parametros'!$B$3)*(1-SQRT(1-2*(L540*1000000/('Parametros'!$B$5*H540*AB540^2))/(0.85*'Parametros'!$B$2)))*H540*AB540)</f>
        <v>815.583333333333</v>
      </c>
      <c r="Z540" s="31" t="n">
        <v>5</v>
      </c>
      <c r="AA540" s="32" t="n">
        <v>1</v>
      </c>
      <c r="AB540" s="10">
        <f>IF(AA540=1,I540-('Parametros'!$B$7+'Parametros'!$B$9+'Parametros'!$B$12/2),I540-(ROUNDUP(Z540/2,0)*('Parametros'!$B$7+'Parametros'!$B$9+'Parametros'!$B$12/2)+ROUNDDOWN(Z540/2,0)*('Parametros'!$B$7+'Parametros'!$B$9+'Parametros'!$B$12/2+'Parametros'!$B$12+'Parametros'!$B$10))/Z540)</f>
        <v>489.35</v>
      </c>
      <c r="AC540" s="10">
        <f>Z540*'Parametros'!$B$8</f>
        <v>995</v>
      </c>
      <c r="AD540" s="10">
        <f>'Parametros'!$B$5*AC540*'Parametros'!$B$3*(AB540-(AC540*'Parametros'!$B$3/(0.85*'Parametros'!$B$2*H540))/2)/1000000</f>
        <v>177.445379382353</v>
      </c>
      <c r="AE540" s="10" t="str">
        <f>IF(AD540&gt;=L540,"CUMPLE","NO CUMPLE")</f>
        <v>CUMPLE</v>
      </c>
      <c r="AF540" s="10">
        <f>V540*1.25*'Parametros'!$B$3*(U540-(V540*1.25*'Parametros'!$B$3/(0.85*'Parametros'!$B$2*H540))/2)/1000000</f>
        <v>244.158843198529</v>
      </c>
      <c r="AG540" s="10">
        <f>AC540*1.25*'Parametros'!$B$3*(AB540-(AC540*1.25*'Parametros'!$B$3/(0.85*'Parametros'!$B$2*H540))/2)/1000000</f>
        <v>244.158843198529</v>
      </c>
      <c r="AH540" s="10">
        <f>N540+(AF540+AG540)/D540</f>
        <v>291.586584725936</v>
      </c>
      <c r="AI540" s="10">
        <f>MAX(O540,AH540)</f>
        <v>291.586584725936</v>
      </c>
      <c r="AJ540" s="10">
        <f>0.17*SQRT('Parametros'!$B$2)*H540*MIN(U540,AB540)/1000</f>
        <v>220.098728691808</v>
      </c>
      <c r="AK540" s="10">
        <f>MAX(AI540/'Parametros'!$B$6-AJ540,0)</f>
        <v>168.683384276107</v>
      </c>
      <c r="AL540" s="10">
        <f>0.66*SQRT('Parametros'!$B$2)*H540*MIN(U540,AB540)/1000</f>
        <v>854.500946685842</v>
      </c>
      <c r="AM540" s="10" t="str">
        <f>IF(AK540&lt;=AL540,"CUMPLE","NO CUMPLE")</f>
        <v>CUMPLE</v>
      </c>
      <c r="AN540" s="17" t="inlineStr">
        <is>
          <t>Nº3 cerrado</t>
        </is>
      </c>
      <c r="AO540" s="31" t="n">
        <v>2</v>
      </c>
      <c r="AP540" s="10">
        <f>ROUNDDOWN(MIN(IF(BC540+BD540=0,1000000000,AO540*BB540/(BC540+BD540)),MIN(U540,AB540)/4,8*'Parametros'!$B$12,24*BA540,300,IF(AV540=0,1000000000,2*((H540-2*('Parametros'!$B$7+'Parametros'!$B$9/2))+(I540-2*('Parametros'!$B$7+'Parametros'!$B$9/2)))/8))/10,0)*10</f>
        <v>120</v>
      </c>
      <c r="AQ540" s="10">
        <f>ROUNDDOWN(MIN(IF(BC540+BD540=0,1000000000,AO540*BB540/(BC540+BD540)),IF(AK540&gt;0.33*SQRT('Parametros'!$B$2)*H540*MIN(U540,AB540)/1000,MIN(U540,AB540)/4,MIN(U540,AB540)/2),600,IF(AV540=0,1000000000,2*((H540-2*('Parametros'!$B$7+'Parametros'!$B$9/2))+(I540-2*('Parametros'!$B$7+'Parametros'!$B$9/2)))/8))/10,0)*10</f>
        <v>170</v>
      </c>
      <c r="AR540" s="10">
        <f>'Parametros'!$B$6*(AJ540+MAX(BE540-BD540,0)*'Parametros'!$B$4*MIN(U540,AB540)/1000)</f>
        <v>347.479259018856</v>
      </c>
      <c r="AS540" s="10" t="str">
        <f>IF(AND(ISERROR(SEARCH("referencia",AN540)),AM540="CUMPLE",AR540&gt;=AI540),"CUMPLE","NO CUMPLE")</f>
        <v>CUMPLE</v>
      </c>
      <c r="AT540" s="10">
        <f>'Parametros'!$B$6*0.083*SQRT('Parametros'!$B$2)*(H540*I540)^2/(2*(H540+I540))/1000000</f>
        <v>11.862178757599</v>
      </c>
      <c r="AU540" s="10" t="str">
        <f>IF(Q540&lt;=AT540,"DESPRECIABLE","DISEÑAR")</f>
        <v>DESPRECIABLE</v>
      </c>
      <c r="AV540" s="10">
        <f>IF(Q540&lt;=AT540,0,Q540*1000000/('Parametros'!$B$6*2*0.85*(H540-2*('Parametros'!$B$7+'Parametros'!$B$9/2))*(I540-2*('Parametros'!$B$7+'Parametros'!$B$9/2))*'Parametros'!$B$4))</f>
        <v>0</v>
      </c>
      <c r="AW540" s="10">
        <f>AV540*2*((H540-2*('Parametros'!$B$7+'Parametros'!$B$9/2))+(I540-2*('Parametros'!$B$7+'Parametros'!$B$9/2)))*'Parametros'!$B$4/'Parametros'!$B$3</f>
        <v>0</v>
      </c>
      <c r="AX540" s="31" t="n">
        <v>0</v>
      </c>
      <c r="AY540" s="10" t="str">
        <f>IF(AV540=0,"DESPRECIABLE",IF(AND(ISERROR(SEARCH("referencia",AN540)),BB540/AP540&gt;=AV540,BI540&gt;=AW540,BH540="CUMPLE"),"CUMPLE","NO CUMPLE"))</f>
        <v>DESPRECIABLE</v>
      </c>
      <c r="AZ540" s="10" t="str">
        <f>IF(AND(X540="CUMPLE",AE540="CUMPLE",AS540="CUMPLE",OR(AY540="CUMPLE",AY540="DESPRECIABLE"),BH540="CUMPLE",BJ540="CUMPLE"),"CUMPLE","NO CUMPLE")</f>
        <v>CUMPLE</v>
      </c>
      <c r="BA540" s="32" t="n">
        <v>9.5</v>
      </c>
      <c r="BB540" s="32" t="n">
        <v>71</v>
      </c>
      <c r="BC540" s="10">
        <f>MAX(IF(AK540=0,0,AK540*1000/('Parametros'!$B$4*MIN(U540,AB540))),MAX(0.062*SQRT('Parametros'!$B$2)*H540/'Parametros'!$B$4,0.35*H540/'Parametros'!$B$4))</f>
        <v>0.820735885193219</v>
      </c>
      <c r="BD540" s="10">
        <f>2*AV540</f>
        <v>0</v>
      </c>
      <c r="BE540" s="10">
        <f>AO540*BB540/AP540</f>
        <v>1.18333333333333</v>
      </c>
      <c r="BF540" s="10">
        <f>SQRT((AI540*1000/(H540*MIN(U540,AB540)))^2+(Q540*1000000*2*((H540-2*('Parametros'!$B$7+'Parametros'!$B$9/2))+(I540-2*('Parametros'!$B$7+'Parametros'!$B$9/2)))/(1.7*((H540-2*('Parametros'!$B$7+'Parametros'!$B$9/2))*(I540-2*('Parametros'!$B$7+'Parametros'!$B$9/2)))^2))^2)</f>
        <v>1.19173023886719</v>
      </c>
      <c r="BG540" s="10">
        <f>'Parametros'!$B$6*(AJ540*1000/(H540*MIN(U540,AB540))+0.66*SQRT('Parametros'!$B$2))</f>
        <v>3.29396038227542</v>
      </c>
      <c r="BH540" s="10" t="str">
        <f>IF(BF540&lt;=BG540,"CUMPLE","NO CUMPLE")</f>
        <v>CUMPLE</v>
      </c>
      <c r="BI540" s="10">
        <f>AX540*'Parametros'!$B$8</f>
        <v>0</v>
      </c>
      <c r="BJ540" s="10" t="str">
        <f>IF(BI540&gt;=AW540,"CUMPLE","NO CUMPLE")</f>
        <v>CUMPLE</v>
      </c>
    </row>
    <row r="541">
      <c r="A541" s="26" t="inlineStr">
        <is>
          <t>VR3</t>
        </is>
      </c>
      <c r="B541" s="26" t="inlineStr">
        <is>
          <t>974</t>
        </is>
      </c>
      <c r="C541" s="10" t="n">
        <v>1</v>
      </c>
      <c r="D541" s="10" t="n">
        <v>2.1</v>
      </c>
      <c r="E541" s="10" t="n">
        <v>2.1</v>
      </c>
      <c r="F541" s="10" t="n">
        <v>500</v>
      </c>
      <c r="G541" s="10" t="n">
        <v>550</v>
      </c>
      <c r="H541" s="17" t="n">
        <v>500</v>
      </c>
      <c r="I541" s="17" t="n">
        <v>550</v>
      </c>
      <c r="J541" s="30" t="n">
        <v>62.8075</v>
      </c>
      <c r="K541" s="10" t="inlineStr">
        <is>
          <t>974</t>
        </is>
      </c>
      <c r="L541" s="30" t="n">
        <v>34.9192</v>
      </c>
      <c r="M541" s="10" t="inlineStr">
        <is>
          <t>974</t>
        </is>
      </c>
      <c r="N541" s="30" t="n">
        <v>69.33</v>
      </c>
      <c r="O541" s="30" t="n">
        <v>98.456</v>
      </c>
      <c r="P541" s="10" t="inlineStr">
        <is>
          <t>974</t>
        </is>
      </c>
      <c r="Q541" s="30" t="n">
        <v>0.0114</v>
      </c>
      <c r="R541" s="10">
        <f>MAX(MAX(1.4/'Parametros'!$B$3,0.25*SQRT('Parametros'!$B$2)/'Parametros'!$B$3)*H541*U541,(0.85*'Parametros'!$B$2/'Parametros'!$B$3)*(1-SQRT(1-2*(J541*1000000/('Parametros'!$B$5*H541*U541^2))/(0.85*'Parametros'!$B$2)))*H541*U541)</f>
        <v>815.583333333333</v>
      </c>
      <c r="S541" s="31" t="n">
        <v>5</v>
      </c>
      <c r="T541" s="32" t="n">
        <v>1</v>
      </c>
      <c r="U541" s="10">
        <f>IF(T541=1,I541-('Parametros'!$B$7+'Parametros'!$B$9+'Parametros'!$B$12/2),I541-(ROUNDUP(S541/2,0)*('Parametros'!$B$7+'Parametros'!$B$9+'Parametros'!$B$12/2)+ROUNDDOWN(S541/2,0)*('Parametros'!$B$7+'Parametros'!$B$9+'Parametros'!$B$12/2+'Parametros'!$B$12+'Parametros'!$B$10))/S541)</f>
        <v>489.35</v>
      </c>
      <c r="V541" s="10">
        <f>S541*'Parametros'!$B$8</f>
        <v>995</v>
      </c>
      <c r="W541" s="10">
        <f>'Parametros'!$B$5*V541*'Parametros'!$B$3*(U541-(V541*'Parametros'!$B$3/(0.85*'Parametros'!$B$2*H541))/2)/1000000</f>
        <v>177.445379382353</v>
      </c>
      <c r="X541" s="10" t="str">
        <f>IF(W541&gt;=J541,"CUMPLE","NO CUMPLE")</f>
        <v>CUMPLE</v>
      </c>
      <c r="Y541" s="10">
        <f>MAX(MAX(1.4/'Parametros'!$B$3,0.25*SQRT('Parametros'!$B$2)/'Parametros'!$B$3)*H541*AB541,(0.85*'Parametros'!$B$2/'Parametros'!$B$3)*(1-SQRT(1-2*(L541*1000000/('Parametros'!$B$5*H541*AB541^2))/(0.85*'Parametros'!$B$2)))*H541*AB541)</f>
        <v>815.583333333333</v>
      </c>
      <c r="Z541" s="31" t="n">
        <v>5</v>
      </c>
      <c r="AA541" s="32" t="n">
        <v>1</v>
      </c>
      <c r="AB541" s="10">
        <f>IF(AA541=1,I541-('Parametros'!$B$7+'Parametros'!$B$9+'Parametros'!$B$12/2),I541-(ROUNDUP(Z541/2,0)*('Parametros'!$B$7+'Parametros'!$B$9+'Parametros'!$B$12/2)+ROUNDDOWN(Z541/2,0)*('Parametros'!$B$7+'Parametros'!$B$9+'Parametros'!$B$12/2+'Parametros'!$B$12+'Parametros'!$B$10))/Z541)</f>
        <v>489.35</v>
      </c>
      <c r="AC541" s="10">
        <f>Z541*'Parametros'!$B$8</f>
        <v>995</v>
      </c>
      <c r="AD541" s="10">
        <f>'Parametros'!$B$5*AC541*'Parametros'!$B$3*(AB541-(AC541*'Parametros'!$B$3/(0.85*'Parametros'!$B$2*H541))/2)/1000000</f>
        <v>177.445379382353</v>
      </c>
      <c r="AE541" s="10" t="str">
        <f>IF(AD541&gt;=L541,"CUMPLE","NO CUMPLE")</f>
        <v>CUMPLE</v>
      </c>
      <c r="AF541" s="10">
        <f>V541*1.25*'Parametros'!$B$3*(U541-(V541*1.25*'Parametros'!$B$3/(0.85*'Parametros'!$B$2*H541))/2)/1000000</f>
        <v>244.158843198529</v>
      </c>
      <c r="AG541" s="10">
        <f>AC541*1.25*'Parametros'!$B$3*(AB541-(AC541*1.25*'Parametros'!$B$3/(0.85*'Parametros'!$B$2*H541))/2)/1000000</f>
        <v>244.158843198529</v>
      </c>
      <c r="AH541" s="10">
        <f>N541+(AF541+AG541)/D541</f>
        <v>301.862231617647</v>
      </c>
      <c r="AI541" s="10">
        <f>MAX(O541,AH541)</f>
        <v>301.862231617647</v>
      </c>
      <c r="AJ541" s="10">
        <f>0.17*SQRT('Parametros'!$B$2)*H541*MIN(U541,AB541)/1000</f>
        <v>220.098728691808</v>
      </c>
      <c r="AK541" s="10">
        <f>MAX(AI541/'Parametros'!$B$6-AJ541,0)</f>
        <v>182.384246798388</v>
      </c>
      <c r="AL541" s="10">
        <f>0.66*SQRT('Parametros'!$B$2)*H541*MIN(U541,AB541)/1000</f>
        <v>854.500946685842</v>
      </c>
      <c r="AM541" s="10" t="str">
        <f>IF(AK541&lt;=AL541,"CUMPLE","NO CUMPLE")</f>
        <v>CUMPLE</v>
      </c>
      <c r="AN541" s="17" t="inlineStr">
        <is>
          <t>Nº3 cerrado</t>
        </is>
      </c>
      <c r="AO541" s="31" t="n">
        <v>2</v>
      </c>
      <c r="AP541" s="10">
        <f>ROUNDDOWN(MIN(IF(BC541+BD541=0,1000000000,AO541*BB541/(BC541+BD541)),MIN(U541,AB541)/4,8*'Parametros'!$B$12,24*BA541,300,IF(AV541=0,1000000000,2*((H541-2*('Parametros'!$B$7+'Parametros'!$B$9/2))+(I541-2*('Parametros'!$B$7+'Parametros'!$B$9/2)))/8))/10,0)*10</f>
        <v>120</v>
      </c>
      <c r="AQ541" s="10">
        <f>ROUNDDOWN(MIN(IF(BC541+BD541=0,1000000000,AO541*BB541/(BC541+BD541)),IF(AK541&gt;0.33*SQRT('Parametros'!$B$2)*H541*MIN(U541,AB541)/1000,MIN(U541,AB541)/4,MIN(U541,AB541)/2),600,IF(AV541=0,1000000000,2*((H541-2*('Parametros'!$B$7+'Parametros'!$B$9/2))+(I541-2*('Parametros'!$B$7+'Parametros'!$B$9/2)))/8))/10,0)*10</f>
        <v>160</v>
      </c>
      <c r="AR541" s="10">
        <f>'Parametros'!$B$6*(AJ541+MAX(BE541-BD541,0)*'Parametros'!$B$4*MIN(U541,AB541)/1000)</f>
        <v>347.479259018856</v>
      </c>
      <c r="AS541" s="10" t="str">
        <f>IF(AND(ISERROR(SEARCH("referencia",AN541)),AM541="CUMPLE",AR541&gt;=AI541),"CUMPLE","NO CUMPLE")</f>
        <v>CUMPLE</v>
      </c>
      <c r="AT541" s="10">
        <f>'Parametros'!$B$6*0.083*SQRT('Parametros'!$B$2)*(H541*I541)^2/(2*(H541+I541))/1000000</f>
        <v>11.862178757599</v>
      </c>
      <c r="AU541" s="10" t="str">
        <f>IF(Q541&lt;=AT541,"DESPRECIABLE","DISEÑAR")</f>
        <v>DESPRECIABLE</v>
      </c>
      <c r="AV541" s="10">
        <f>IF(Q541&lt;=AT541,0,Q541*1000000/('Parametros'!$B$6*2*0.85*(H541-2*('Parametros'!$B$7+'Parametros'!$B$9/2))*(I541-2*('Parametros'!$B$7+'Parametros'!$B$9/2))*'Parametros'!$B$4))</f>
        <v>0</v>
      </c>
      <c r="AW541" s="10">
        <f>AV541*2*((H541-2*('Parametros'!$B$7+'Parametros'!$B$9/2))+(I541-2*('Parametros'!$B$7+'Parametros'!$B$9/2)))*'Parametros'!$B$4/'Parametros'!$B$3</f>
        <v>0</v>
      </c>
      <c r="AX541" s="31" t="n">
        <v>0</v>
      </c>
      <c r="AY541" s="10" t="str">
        <f>IF(AV541=0,"DESPRECIABLE",IF(AND(ISERROR(SEARCH("referencia",AN541)),BB541/AP541&gt;=AV541,BI541&gt;=AW541,BH541="CUMPLE"),"CUMPLE","NO CUMPLE"))</f>
        <v>DESPRECIABLE</v>
      </c>
      <c r="AZ541" s="10" t="str">
        <f>IF(AND(X541="CUMPLE",AE541="CUMPLE",AS541="CUMPLE",OR(AY541="CUMPLE",AY541="DESPRECIABLE"),BH541="CUMPLE",BJ541="CUMPLE"),"CUMPLE","NO CUMPLE")</f>
        <v>CUMPLE</v>
      </c>
      <c r="BA541" s="32" t="n">
        <v>9.5</v>
      </c>
      <c r="BB541" s="32" t="n">
        <v>71</v>
      </c>
      <c r="BC541" s="10">
        <f>MAX(IF(AK541=0,0,AK541*1000/('Parametros'!$B$4*MIN(U541,AB541))),MAX(0.062*SQRT('Parametros'!$B$2)*H541/'Parametros'!$B$4,0.35*H541/'Parametros'!$B$4))</f>
        <v>0.887397990523816</v>
      </c>
      <c r="BD541" s="10">
        <f>2*AV541</f>
        <v>0</v>
      </c>
      <c r="BE541" s="10">
        <f>AO541*BB541/AP541</f>
        <v>1.18333333333333</v>
      </c>
      <c r="BF541" s="10">
        <f>SQRT((AI541*1000/(H541*MIN(U541,AB541)))^2+(Q541*1000000*2*((H541-2*('Parametros'!$B$7+'Parametros'!$B$9/2))+(I541-2*('Parametros'!$B$7+'Parametros'!$B$9/2)))/(1.7*((H541-2*('Parametros'!$B$7+'Parametros'!$B$9/2))*(I541-2*('Parametros'!$B$7+'Parametros'!$B$9/2)))^2))^2)</f>
        <v>1.23372736362983</v>
      </c>
      <c r="BG541" s="10">
        <f>'Parametros'!$B$6*(AJ541*1000/(H541*MIN(U541,AB541))+0.66*SQRT('Parametros'!$B$2))</f>
        <v>3.29396038227542</v>
      </c>
      <c r="BH541" s="10" t="str">
        <f>IF(BF541&lt;=BG541,"CUMPLE","NO CUMPLE")</f>
        <v>CUMPLE</v>
      </c>
      <c r="BI541" s="10">
        <f>AX541*'Parametros'!$B$8</f>
        <v>0</v>
      </c>
      <c r="BJ541" s="10" t="str">
        <f>IF(BI541&gt;=AW541,"CUMPLE","NO CUMPLE")</f>
        <v>CUMPLE</v>
      </c>
    </row>
    <row r="542">
      <c r="A542" s="26" t="inlineStr">
        <is>
          <t>VR3</t>
        </is>
      </c>
      <c r="B542" s="26" t="inlineStr">
        <is>
          <t>975</t>
        </is>
      </c>
      <c r="C542" s="10" t="n">
        <v>1</v>
      </c>
      <c r="D542" s="10" t="n">
        <v>3.4</v>
      </c>
      <c r="E542" s="10" t="n">
        <v>3.4</v>
      </c>
      <c r="F542" s="10" t="n">
        <v>500</v>
      </c>
      <c r="G542" s="10" t="n">
        <v>550</v>
      </c>
      <c r="H542" s="17" t="n">
        <v>500</v>
      </c>
      <c r="I542" s="17" t="n">
        <v>550</v>
      </c>
      <c r="J542" s="30" t="n">
        <v>104.7842</v>
      </c>
      <c r="K542" s="10" t="inlineStr">
        <is>
          <t>975</t>
        </is>
      </c>
      <c r="L542" s="30" t="n">
        <v>37.4762</v>
      </c>
      <c r="M542" s="10" t="inlineStr">
        <is>
          <t>975</t>
        </is>
      </c>
      <c r="N542" s="30" t="n">
        <v>82.691</v>
      </c>
      <c r="O542" s="30" t="n">
        <v>147.663</v>
      </c>
      <c r="P542" s="10" t="inlineStr">
        <is>
          <t>975</t>
        </is>
      </c>
      <c r="Q542" s="30" t="n">
        <v>1.0904</v>
      </c>
      <c r="R542" s="10">
        <f>MAX(MAX(1.4/'Parametros'!$B$3,0.25*SQRT('Parametros'!$B$2)/'Parametros'!$B$3)*H542*U542,(0.85*'Parametros'!$B$2/'Parametros'!$B$3)*(1-SQRT(1-2*(J542*1000000/('Parametros'!$B$5*H542*U542^2))/(0.85*'Parametros'!$B$2)))*H542*U542)</f>
        <v>815.583333333333</v>
      </c>
      <c r="S542" s="31" t="n">
        <v>5</v>
      </c>
      <c r="T542" s="32" t="n">
        <v>1</v>
      </c>
      <c r="U542" s="10">
        <f>IF(T542=1,I542-('Parametros'!$B$7+'Parametros'!$B$9+'Parametros'!$B$12/2),I542-(ROUNDUP(S542/2,0)*('Parametros'!$B$7+'Parametros'!$B$9+'Parametros'!$B$12/2)+ROUNDDOWN(S542/2,0)*('Parametros'!$B$7+'Parametros'!$B$9+'Parametros'!$B$12/2+'Parametros'!$B$12+'Parametros'!$B$10))/S542)</f>
        <v>489.35</v>
      </c>
      <c r="V542" s="10">
        <f>S542*'Parametros'!$B$8</f>
        <v>995</v>
      </c>
      <c r="W542" s="10">
        <f>'Parametros'!$B$5*V542*'Parametros'!$B$3*(U542-(V542*'Parametros'!$B$3/(0.85*'Parametros'!$B$2*H542))/2)/1000000</f>
        <v>177.445379382353</v>
      </c>
      <c r="X542" s="10" t="str">
        <f>IF(W542&gt;=J542,"CUMPLE","NO CUMPLE")</f>
        <v>CUMPLE</v>
      </c>
      <c r="Y542" s="10">
        <f>MAX(MAX(1.4/'Parametros'!$B$3,0.25*SQRT('Parametros'!$B$2)/'Parametros'!$B$3)*H542*AB542,(0.85*'Parametros'!$B$2/'Parametros'!$B$3)*(1-SQRT(1-2*(L542*1000000/('Parametros'!$B$5*H542*AB542^2))/(0.85*'Parametros'!$B$2)))*H542*AB542)</f>
        <v>815.583333333333</v>
      </c>
      <c r="Z542" s="31" t="n">
        <v>5</v>
      </c>
      <c r="AA542" s="32" t="n">
        <v>1</v>
      </c>
      <c r="AB542" s="10">
        <f>IF(AA542=1,I542-('Parametros'!$B$7+'Parametros'!$B$9+'Parametros'!$B$12/2),I542-(ROUNDUP(Z542/2,0)*('Parametros'!$B$7+'Parametros'!$B$9+'Parametros'!$B$12/2)+ROUNDDOWN(Z542/2,0)*('Parametros'!$B$7+'Parametros'!$B$9+'Parametros'!$B$12/2+'Parametros'!$B$12+'Parametros'!$B$10))/Z542)</f>
        <v>489.35</v>
      </c>
      <c r="AC542" s="10">
        <f>Z542*'Parametros'!$B$8</f>
        <v>995</v>
      </c>
      <c r="AD542" s="10">
        <f>'Parametros'!$B$5*AC542*'Parametros'!$B$3*(AB542-(AC542*'Parametros'!$B$3/(0.85*'Parametros'!$B$2*H542))/2)/1000000</f>
        <v>177.445379382353</v>
      </c>
      <c r="AE542" s="10" t="str">
        <f>IF(AD542&gt;=L542,"CUMPLE","NO CUMPLE")</f>
        <v>CUMPLE</v>
      </c>
      <c r="AF542" s="10">
        <f>V542*1.25*'Parametros'!$B$3*(U542-(V542*1.25*'Parametros'!$B$3/(0.85*'Parametros'!$B$2*H542))/2)/1000000</f>
        <v>244.158843198529</v>
      </c>
      <c r="AG542" s="10">
        <f>AC542*1.25*'Parametros'!$B$3*(AB542-(AC542*1.25*'Parametros'!$B$3/(0.85*'Parametros'!$B$2*H542))/2)/1000000</f>
        <v>244.158843198529</v>
      </c>
      <c r="AH542" s="10">
        <f>N542+(AF542+AG542)/D542</f>
        <v>226.313848940311</v>
      </c>
      <c r="AI542" s="10">
        <f>MAX(O542,AH542)</f>
        <v>226.313848940311</v>
      </c>
      <c r="AJ542" s="10">
        <f>0.17*SQRT('Parametros'!$B$2)*H542*MIN(U542,AB542)/1000</f>
        <v>220.098728691808</v>
      </c>
      <c r="AK542" s="10">
        <f>MAX(AI542/'Parametros'!$B$6-AJ542,0)</f>
        <v>81.6530698952741</v>
      </c>
      <c r="AL542" s="10">
        <f>0.66*SQRT('Parametros'!$B$2)*H542*MIN(U542,AB542)/1000</f>
        <v>854.500946685842</v>
      </c>
      <c r="AM542" s="10" t="str">
        <f>IF(AK542&lt;=AL542,"CUMPLE","NO CUMPLE")</f>
        <v>CUMPLE</v>
      </c>
      <c r="AN542" s="17" t="inlineStr">
        <is>
          <t>Nº3 cerrado</t>
        </is>
      </c>
      <c r="AO542" s="31" t="n">
        <v>2</v>
      </c>
      <c r="AP542" s="10">
        <f>ROUNDDOWN(MIN(IF(BC542+BD542=0,1000000000,AO542*BB542/(BC542+BD542)),MIN(U542,AB542)/4,8*'Parametros'!$B$12,24*BA542,300,IF(AV542=0,1000000000,2*((H542-2*('Parametros'!$B$7+'Parametros'!$B$9/2))+(I542-2*('Parametros'!$B$7+'Parametros'!$B$9/2)))/8))/10,0)*10</f>
        <v>120</v>
      </c>
      <c r="AQ542" s="10">
        <f>ROUNDDOWN(MIN(IF(BC542+BD542=0,1000000000,AO542*BB542/(BC542+BD542)),IF(AK542&gt;0.33*SQRT('Parametros'!$B$2)*H542*MIN(U542,AB542)/1000,MIN(U542,AB542)/4,MIN(U542,AB542)/2),600,IF(AV542=0,1000000000,2*((H542-2*('Parametros'!$B$7+'Parametros'!$B$9/2))+(I542-2*('Parametros'!$B$7+'Parametros'!$B$9/2)))/8))/10,0)*10</f>
        <v>240</v>
      </c>
      <c r="AR542" s="10">
        <f>'Parametros'!$B$6*(AJ542+MAX(BE542-BD542,0)*'Parametros'!$B$4*MIN(U542,AB542)/1000)</f>
        <v>347.479259018856</v>
      </c>
      <c r="AS542" s="10" t="str">
        <f>IF(AND(ISERROR(SEARCH("referencia",AN542)),AM542="CUMPLE",AR542&gt;=AI542),"CUMPLE","NO CUMPLE")</f>
        <v>CUMPLE</v>
      </c>
      <c r="AT542" s="10">
        <f>'Parametros'!$B$6*0.083*SQRT('Parametros'!$B$2)*(H542*I542)^2/(2*(H542+I542))/1000000</f>
        <v>11.862178757599</v>
      </c>
      <c r="AU542" s="10" t="str">
        <f>IF(Q542&lt;=AT542,"DESPRECIABLE","DISEÑAR")</f>
        <v>DESPRECIABLE</v>
      </c>
      <c r="AV542" s="10">
        <f>IF(Q542&lt;=AT542,0,Q542*1000000/('Parametros'!$B$6*2*0.85*(H542-2*('Parametros'!$B$7+'Parametros'!$B$9/2))*(I542-2*('Parametros'!$B$7+'Parametros'!$B$9/2))*'Parametros'!$B$4))</f>
        <v>0</v>
      </c>
      <c r="AW542" s="10">
        <f>AV542*2*((H542-2*('Parametros'!$B$7+'Parametros'!$B$9/2))+(I542-2*('Parametros'!$B$7+'Parametros'!$B$9/2)))*'Parametros'!$B$4/'Parametros'!$B$3</f>
        <v>0</v>
      </c>
      <c r="AX542" s="31" t="n">
        <v>0</v>
      </c>
      <c r="AY542" s="10" t="str">
        <f>IF(AV542=0,"DESPRECIABLE",IF(AND(ISERROR(SEARCH("referencia",AN542)),BB542/AP542&gt;=AV542,BI542&gt;=AW542,BH542="CUMPLE"),"CUMPLE","NO CUMPLE"))</f>
        <v>DESPRECIABLE</v>
      </c>
      <c r="AZ542" s="10" t="str">
        <f>IF(AND(X542="CUMPLE",AE542="CUMPLE",AS542="CUMPLE",OR(AY542="CUMPLE",AY542="DESPRECIABLE"),BH542="CUMPLE",BJ542="CUMPLE"),"CUMPLE","NO CUMPLE")</f>
        <v>CUMPLE</v>
      </c>
      <c r="BA542" s="32" t="n">
        <v>9.5</v>
      </c>
      <c r="BB542" s="32" t="n">
        <v>71</v>
      </c>
      <c r="BC542" s="10">
        <f>MAX(IF(AK542=0,0,AK542*1000/('Parametros'!$B$4*MIN(U542,AB542))),MAX(0.062*SQRT('Parametros'!$B$2)*H542/'Parametros'!$B$4,0.35*H542/'Parametros'!$B$4))</f>
        <v>0.416666666666667</v>
      </c>
      <c r="BD542" s="10">
        <f>2*AV542</f>
        <v>0</v>
      </c>
      <c r="BE542" s="10">
        <f>AO542*BB542/AP542</f>
        <v>1.18333333333333</v>
      </c>
      <c r="BF542" s="10">
        <f>SQRT((AI542*1000/(H542*MIN(U542,AB542)))^2+(Q542*1000000*2*((H542-2*('Parametros'!$B$7+'Parametros'!$B$9/2))+(I542-2*('Parametros'!$B$7+'Parametros'!$B$9/2)))/(1.7*((H542-2*('Parametros'!$B$7+'Parametros'!$B$9/2))*(I542-2*('Parametros'!$B$7+'Parametros'!$B$9/2)))^2))^2)</f>
        <v>0.925509337445932</v>
      </c>
      <c r="BG542" s="10">
        <f>'Parametros'!$B$6*(AJ542*1000/(H542*MIN(U542,AB542))+0.66*SQRT('Parametros'!$B$2))</f>
        <v>3.29396038227542</v>
      </c>
      <c r="BH542" s="10" t="str">
        <f>IF(BF542&lt;=BG542,"CUMPLE","NO CUMPLE")</f>
        <v>CUMPLE</v>
      </c>
      <c r="BI542" s="10">
        <f>AX542*'Parametros'!$B$8</f>
        <v>0</v>
      </c>
      <c r="BJ542" s="10" t="str">
        <f>IF(BI542&gt;=AW542,"CUMPLE","NO CUMPLE")</f>
        <v>CUMPLE</v>
      </c>
    </row>
    <row r="543">
      <c r="A543" s="26" t="inlineStr">
        <is>
          <t>VR3</t>
        </is>
      </c>
      <c r="B543" s="26" t="inlineStr">
        <is>
          <t>976</t>
        </is>
      </c>
      <c r="C543" s="10" t="n">
        <v>1</v>
      </c>
      <c r="D543" s="10" t="n">
        <v>1.9</v>
      </c>
      <c r="E543" s="10" t="n">
        <v>1.9</v>
      </c>
      <c r="F543" s="10" t="n">
        <v>500</v>
      </c>
      <c r="G543" s="10" t="n">
        <v>550</v>
      </c>
      <c r="H543" s="17" t="n">
        <v>500</v>
      </c>
      <c r="I543" s="17" t="n">
        <v>550</v>
      </c>
      <c r="J543" s="30" t="n">
        <v>65.6075</v>
      </c>
      <c r="K543" s="10" t="inlineStr">
        <is>
          <t>976</t>
        </is>
      </c>
      <c r="L543" s="30" t="n">
        <v>0</v>
      </c>
      <c r="M543" s="10" t="inlineStr">
        <is>
          <t>976</t>
        </is>
      </c>
      <c r="N543" s="30" t="n">
        <v>47.604</v>
      </c>
      <c r="O543" s="30" t="n">
        <v>60.905</v>
      </c>
      <c r="P543" s="10" t="inlineStr">
        <is>
          <t>976</t>
        </is>
      </c>
      <c r="Q543" s="30" t="n">
        <v>0.0327</v>
      </c>
      <c r="R543" s="10">
        <f>MAX(MAX(1.4/'Parametros'!$B$3,0.25*SQRT('Parametros'!$B$2)/'Parametros'!$B$3)*H543*U543,(0.85*'Parametros'!$B$2/'Parametros'!$B$3)*(1-SQRT(1-2*(J543*1000000/('Parametros'!$B$5*H543*U543^2))/(0.85*'Parametros'!$B$2)))*H543*U543)</f>
        <v>815.583333333333</v>
      </c>
      <c r="S543" s="31" t="n">
        <v>5</v>
      </c>
      <c r="T543" s="32" t="n">
        <v>1</v>
      </c>
      <c r="U543" s="10">
        <f>IF(T543=1,I543-('Parametros'!$B$7+'Parametros'!$B$9+'Parametros'!$B$12/2),I543-(ROUNDUP(S543/2,0)*('Parametros'!$B$7+'Parametros'!$B$9+'Parametros'!$B$12/2)+ROUNDDOWN(S543/2,0)*('Parametros'!$B$7+'Parametros'!$B$9+'Parametros'!$B$12/2+'Parametros'!$B$12+'Parametros'!$B$10))/S543)</f>
        <v>489.35</v>
      </c>
      <c r="V543" s="10">
        <f>S543*'Parametros'!$B$8</f>
        <v>995</v>
      </c>
      <c r="W543" s="10">
        <f>'Parametros'!$B$5*V543*'Parametros'!$B$3*(U543-(V543*'Parametros'!$B$3/(0.85*'Parametros'!$B$2*H543))/2)/1000000</f>
        <v>177.445379382353</v>
      </c>
      <c r="X543" s="10" t="str">
        <f>IF(W543&gt;=J543,"CUMPLE","NO CUMPLE")</f>
        <v>CUMPLE</v>
      </c>
      <c r="Y543" s="10">
        <f>MAX(MAX(1.4/'Parametros'!$B$3,0.25*SQRT('Parametros'!$B$2)/'Parametros'!$B$3)*H543*AB543,(0.85*'Parametros'!$B$2/'Parametros'!$B$3)*(1-SQRT(1-2*(L543*1000000/('Parametros'!$B$5*H543*AB543^2))/(0.85*'Parametros'!$B$2)))*H543*AB543)</f>
        <v>815.583333333333</v>
      </c>
      <c r="Z543" s="31" t="n">
        <v>5</v>
      </c>
      <c r="AA543" s="32" t="n">
        <v>1</v>
      </c>
      <c r="AB543" s="10">
        <f>IF(AA543=1,I543-('Parametros'!$B$7+'Parametros'!$B$9+'Parametros'!$B$12/2),I543-(ROUNDUP(Z543/2,0)*('Parametros'!$B$7+'Parametros'!$B$9+'Parametros'!$B$12/2)+ROUNDDOWN(Z543/2,0)*('Parametros'!$B$7+'Parametros'!$B$9+'Parametros'!$B$12/2+'Parametros'!$B$12+'Parametros'!$B$10))/Z543)</f>
        <v>489.35</v>
      </c>
      <c r="AC543" s="10">
        <f>Z543*'Parametros'!$B$8</f>
        <v>995</v>
      </c>
      <c r="AD543" s="10">
        <f>'Parametros'!$B$5*AC543*'Parametros'!$B$3*(AB543-(AC543*'Parametros'!$B$3/(0.85*'Parametros'!$B$2*H543))/2)/1000000</f>
        <v>177.445379382353</v>
      </c>
      <c r="AE543" s="10" t="str">
        <f>IF(AD543&gt;=L543,"CUMPLE","NO CUMPLE")</f>
        <v>CUMPLE</v>
      </c>
      <c r="AF543" s="10">
        <f>V543*1.25*'Parametros'!$B$3*(U543-(V543*1.25*'Parametros'!$B$3/(0.85*'Parametros'!$B$2*H543))/2)/1000000</f>
        <v>244.158843198529</v>
      </c>
      <c r="AG543" s="10">
        <f>AC543*1.25*'Parametros'!$B$3*(AB543-(AC543*1.25*'Parametros'!$B$3/(0.85*'Parametros'!$B$2*H543))/2)/1000000</f>
        <v>244.158843198529</v>
      </c>
      <c r="AH543" s="10">
        <f>N543+(AF543+AG543)/D543</f>
        <v>304.613308630031</v>
      </c>
      <c r="AI543" s="10">
        <f>MAX(O543,AH543)</f>
        <v>304.613308630031</v>
      </c>
      <c r="AJ543" s="10">
        <f>0.17*SQRT('Parametros'!$B$2)*H543*MIN(U543,AB543)/1000</f>
        <v>220.098728691808</v>
      </c>
      <c r="AK543" s="10">
        <f>MAX(AI543/'Parametros'!$B$6-AJ543,0)</f>
        <v>186.052349481567</v>
      </c>
      <c r="AL543" s="10">
        <f>0.66*SQRT('Parametros'!$B$2)*H543*MIN(U543,AB543)/1000</f>
        <v>854.500946685842</v>
      </c>
      <c r="AM543" s="10" t="str">
        <f>IF(AK543&lt;=AL543,"CUMPLE","NO CUMPLE")</f>
        <v>CUMPLE</v>
      </c>
      <c r="AN543" s="17" t="inlineStr">
        <is>
          <t>Nº3 cerrado</t>
        </is>
      </c>
      <c r="AO543" s="31" t="n">
        <v>2</v>
      </c>
      <c r="AP543" s="10">
        <f>ROUNDDOWN(MIN(IF(BC543+BD543=0,1000000000,AO543*BB543/(BC543+BD543)),MIN(U543,AB543)/4,8*'Parametros'!$B$12,24*BA543,300,IF(AV543=0,1000000000,2*((H543-2*('Parametros'!$B$7+'Parametros'!$B$9/2))+(I543-2*('Parametros'!$B$7+'Parametros'!$B$9/2)))/8))/10,0)*10</f>
        <v>120</v>
      </c>
      <c r="AQ543" s="10">
        <f>ROUNDDOWN(MIN(IF(BC543+BD543=0,1000000000,AO543*BB543/(BC543+BD543)),IF(AK543&gt;0.33*SQRT('Parametros'!$B$2)*H543*MIN(U543,AB543)/1000,MIN(U543,AB543)/4,MIN(U543,AB543)/2),600,IF(AV543=0,1000000000,2*((H543-2*('Parametros'!$B$7+'Parametros'!$B$9/2))+(I543-2*('Parametros'!$B$7+'Parametros'!$B$9/2)))/8))/10,0)*10</f>
        <v>150</v>
      </c>
      <c r="AR543" s="10">
        <f>'Parametros'!$B$6*(AJ543+MAX(BE543-BD543,0)*'Parametros'!$B$4*MIN(U543,AB543)/1000)</f>
        <v>347.479259018856</v>
      </c>
      <c r="AS543" s="10" t="str">
        <f>IF(AND(ISERROR(SEARCH("referencia",AN543)),AM543="CUMPLE",AR543&gt;=AI543),"CUMPLE","NO CUMPLE")</f>
        <v>CUMPLE</v>
      </c>
      <c r="AT543" s="10">
        <f>'Parametros'!$B$6*0.083*SQRT('Parametros'!$B$2)*(H543*I543)^2/(2*(H543+I543))/1000000</f>
        <v>11.862178757599</v>
      </c>
      <c r="AU543" s="10" t="str">
        <f>IF(Q543&lt;=AT543,"DESPRECIABLE","DISEÑAR")</f>
        <v>DESPRECIABLE</v>
      </c>
      <c r="AV543" s="10">
        <f>IF(Q543&lt;=AT543,0,Q543*1000000/('Parametros'!$B$6*2*0.85*(H543-2*('Parametros'!$B$7+'Parametros'!$B$9/2))*(I543-2*('Parametros'!$B$7+'Parametros'!$B$9/2))*'Parametros'!$B$4))</f>
        <v>0</v>
      </c>
      <c r="AW543" s="10">
        <f>AV543*2*((H543-2*('Parametros'!$B$7+'Parametros'!$B$9/2))+(I543-2*('Parametros'!$B$7+'Parametros'!$B$9/2)))*'Parametros'!$B$4/'Parametros'!$B$3</f>
        <v>0</v>
      </c>
      <c r="AX543" s="31" t="n">
        <v>0</v>
      </c>
      <c r="AY543" s="10" t="str">
        <f>IF(AV543=0,"DESPRECIABLE",IF(AND(ISERROR(SEARCH("referencia",AN543)),BB543/AP543&gt;=AV543,BI543&gt;=AW543,BH543="CUMPLE"),"CUMPLE","NO CUMPLE"))</f>
        <v>DESPRECIABLE</v>
      </c>
      <c r="AZ543" s="10" t="str">
        <f>IF(AND(X543="CUMPLE",AE543="CUMPLE",AS543="CUMPLE",OR(AY543="CUMPLE",AY543="DESPRECIABLE"),BH543="CUMPLE",BJ543="CUMPLE"),"CUMPLE","NO CUMPLE")</f>
        <v>CUMPLE</v>
      </c>
      <c r="BA543" s="32" t="n">
        <v>9.5</v>
      </c>
      <c r="BB543" s="32" t="n">
        <v>71</v>
      </c>
      <c r="BC543" s="10">
        <f>MAX(IF(AK543=0,0,AK543*1000/('Parametros'!$B$4*MIN(U543,AB543))),MAX(0.062*SQRT('Parametros'!$B$2)*H543/'Parametros'!$B$4,0.35*H543/'Parametros'!$B$4))</f>
        <v>0.905245293715993</v>
      </c>
      <c r="BD543" s="10">
        <f>2*AV543</f>
        <v>0</v>
      </c>
      <c r="BE543" s="10">
        <f>AO543*BB543/AP543</f>
        <v>1.18333333333333</v>
      </c>
      <c r="BF543" s="10">
        <f>SQRT((AI543*1000/(H543*MIN(U543,AB543)))^2+(Q543*1000000*2*((H543-2*('Parametros'!$B$7+'Parametros'!$B$9/2))+(I543-2*('Parametros'!$B$7+'Parametros'!$B$9/2)))/(1.7*((H543-2*('Parametros'!$B$7+'Parametros'!$B$9/2))*(I543-2*('Parametros'!$B$7+'Parametros'!$B$9/2)))^2))^2)</f>
        <v>1.24497148854099</v>
      </c>
      <c r="BG543" s="10">
        <f>'Parametros'!$B$6*(AJ543*1000/(H543*MIN(U543,AB543))+0.66*SQRT('Parametros'!$B$2))</f>
        <v>3.29396038227542</v>
      </c>
      <c r="BH543" s="10" t="str">
        <f>IF(BF543&lt;=BG543,"CUMPLE","NO CUMPLE")</f>
        <v>CUMPLE</v>
      </c>
      <c r="BI543" s="10">
        <f>AX543*'Parametros'!$B$8</f>
        <v>0</v>
      </c>
      <c r="BJ543" s="10" t="str">
        <f>IF(BI543&gt;=AW543,"CUMPLE","NO CUMPLE")</f>
        <v>CUMPLE</v>
      </c>
    </row>
    <row r="544">
      <c r="A544" s="26" t="inlineStr">
        <is>
          <t>VR3</t>
        </is>
      </c>
      <c r="B544" s="26" t="inlineStr">
        <is>
          <t>977</t>
        </is>
      </c>
      <c r="C544" s="10" t="n">
        <v>1</v>
      </c>
      <c r="D544" s="10" t="n">
        <v>2</v>
      </c>
      <c r="E544" s="10" t="n">
        <v>2</v>
      </c>
      <c r="F544" s="10" t="n">
        <v>500</v>
      </c>
      <c r="G544" s="10" t="n">
        <v>550</v>
      </c>
      <c r="H544" s="17" t="n">
        <v>500</v>
      </c>
      <c r="I544" s="17" t="n">
        <v>550</v>
      </c>
      <c r="J544" s="30" t="n">
        <v>185.1843</v>
      </c>
      <c r="K544" s="10" t="inlineStr">
        <is>
          <t>977</t>
        </is>
      </c>
      <c r="L544" s="30" t="n">
        <v>126.2565</v>
      </c>
      <c r="M544" s="10" t="inlineStr">
        <is>
          <t>977</t>
        </is>
      </c>
      <c r="N544" s="30" t="n">
        <v>184.513</v>
      </c>
      <c r="O544" s="30" t="n">
        <v>213.825</v>
      </c>
      <c r="P544" s="10" t="inlineStr">
        <is>
          <t>977</t>
        </is>
      </c>
      <c r="Q544" s="30" t="n">
        <v>1.8034</v>
      </c>
      <c r="R544" s="10">
        <f>MAX(MAX(1.4/'Parametros'!$B$3,0.25*SQRT('Parametros'!$B$2)/'Parametros'!$B$3)*H544*U544,(0.85*'Parametros'!$B$2/'Parametros'!$B$3)*(1-SQRT(1-2*(J544*1000000/('Parametros'!$B$5*H544*U544^2))/(0.85*'Parametros'!$B$2)))*H544*U544)</f>
        <v>1040.15158660394</v>
      </c>
      <c r="S544" s="31" t="n">
        <v>6</v>
      </c>
      <c r="T544" s="32" t="n">
        <v>1</v>
      </c>
      <c r="U544" s="10">
        <f>IF(T544=1,I544-('Parametros'!$B$7+'Parametros'!$B$9+'Parametros'!$B$12/2),I544-(ROUNDUP(S544/2,0)*('Parametros'!$B$7+'Parametros'!$B$9+'Parametros'!$B$12/2)+ROUNDDOWN(S544/2,0)*('Parametros'!$B$7+'Parametros'!$B$9+'Parametros'!$B$12/2+'Parametros'!$B$12+'Parametros'!$B$10))/S544)</f>
        <v>489.35</v>
      </c>
      <c r="V544" s="10">
        <f>S544*'Parametros'!$B$8</f>
        <v>1194</v>
      </c>
      <c r="W544" s="10">
        <f>'Parametros'!$B$5*V544*'Parametros'!$B$3*(U544-(V544*'Parametros'!$B$3/(0.85*'Parametros'!$B$2*H544))/2)/1000000</f>
        <v>211.349483470588</v>
      </c>
      <c r="X544" s="10" t="str">
        <f>IF(W544&gt;=J544,"CUMPLE","NO CUMPLE")</f>
        <v>CUMPLE</v>
      </c>
      <c r="Y544" s="10">
        <f>MAX(MAX(1.4/'Parametros'!$B$3,0.25*SQRT('Parametros'!$B$2)/'Parametros'!$B$3)*H544*AB544,(0.85*'Parametros'!$B$2/'Parametros'!$B$3)*(1-SQRT(1-2*(L544*1000000/('Parametros'!$B$5*H544*AB544^2))/(0.85*'Parametros'!$B$2)))*H544*AB544)</f>
        <v>815.583333333333</v>
      </c>
      <c r="Z544" s="31" t="n">
        <v>5</v>
      </c>
      <c r="AA544" s="32" t="n">
        <v>1</v>
      </c>
      <c r="AB544" s="10">
        <f>IF(AA544=1,I544-('Parametros'!$B$7+'Parametros'!$B$9+'Parametros'!$B$12/2),I544-(ROUNDUP(Z544/2,0)*('Parametros'!$B$7+'Parametros'!$B$9+'Parametros'!$B$12/2)+ROUNDDOWN(Z544/2,0)*('Parametros'!$B$7+'Parametros'!$B$9+'Parametros'!$B$12/2+'Parametros'!$B$12+'Parametros'!$B$10))/Z544)</f>
        <v>489.35</v>
      </c>
      <c r="AC544" s="10">
        <f>Z544*'Parametros'!$B$8</f>
        <v>995</v>
      </c>
      <c r="AD544" s="10">
        <f>'Parametros'!$B$5*AC544*'Parametros'!$B$3*(AB544-(AC544*'Parametros'!$B$3/(0.85*'Parametros'!$B$2*H544))/2)/1000000</f>
        <v>177.445379382353</v>
      </c>
      <c r="AE544" s="10" t="str">
        <f>IF(AD544&gt;=L544,"CUMPLE","NO CUMPLE")</f>
        <v>CUMPLE</v>
      </c>
      <c r="AF544" s="10">
        <f>V544*1.25*'Parametros'!$B$3*(U544-(V544*1.25*'Parametros'!$B$3/(0.85*'Parametros'!$B$2*H544))/2)/1000000</f>
        <v>290.238924705882</v>
      </c>
      <c r="AG544" s="10">
        <f>AC544*1.25*'Parametros'!$B$3*(AB544-(AC544*1.25*'Parametros'!$B$3/(0.85*'Parametros'!$B$2*H544))/2)/1000000</f>
        <v>244.158843198529</v>
      </c>
      <c r="AH544" s="10">
        <f>N544+(AF544+AG544)/D544</f>
        <v>451.711883952206</v>
      </c>
      <c r="AI544" s="10">
        <f>MAX(O544,AH544)</f>
        <v>451.711883952206</v>
      </c>
      <c r="AJ544" s="10">
        <f>0.17*SQRT('Parametros'!$B$2)*H544*MIN(U544,AB544)/1000</f>
        <v>220.098728691808</v>
      </c>
      <c r="AK544" s="10">
        <f>MAX(AI544/'Parametros'!$B$6-AJ544,0)</f>
        <v>382.183783244467</v>
      </c>
      <c r="AL544" s="10">
        <f>0.66*SQRT('Parametros'!$B$2)*H544*MIN(U544,AB544)/1000</f>
        <v>854.500946685842</v>
      </c>
      <c r="AM544" s="10" t="str">
        <f>IF(AK544&lt;=AL544,"CUMPLE","NO CUMPLE")</f>
        <v>CUMPLE</v>
      </c>
      <c r="AN544" s="17" t="inlineStr">
        <is>
          <t>Nº4 cerrado</t>
        </is>
      </c>
      <c r="AO544" s="31" t="n">
        <v>2</v>
      </c>
      <c r="AP544" s="10">
        <f>ROUNDDOWN(MIN(IF(BC544+BD544=0,1000000000,AO544*BB544/(BC544+BD544)),MIN(U544,AB544)/4,8*'Parametros'!$B$12,24*BA544,300,IF(AV544=0,1000000000,2*((H544-2*('Parametros'!$B$7+'Parametros'!$B$9/2))+(I544-2*('Parametros'!$B$7+'Parametros'!$B$9/2)))/8))/10,0)*10</f>
        <v>120</v>
      </c>
      <c r="AQ544" s="10">
        <f>ROUNDDOWN(MIN(IF(BC544+BD544=0,1000000000,AO544*BB544/(BC544+BD544)),IF(AK544&gt;0.33*SQRT('Parametros'!$B$2)*H544*MIN(U544,AB544)/1000,MIN(U544,AB544)/4,MIN(U544,AB544)/2),600,IF(AV544=0,1000000000,2*((H544-2*('Parametros'!$B$7+'Parametros'!$B$9/2))+(I544-2*('Parametros'!$B$7+'Parametros'!$B$9/2)))/8))/10,0)*10</f>
        <v>130</v>
      </c>
      <c r="AR544" s="10">
        <f>'Parametros'!$B$6*(AJ544+MAX(BE544-BD544,0)*'Parametros'!$B$4*MIN(U544,AB544)/1000)</f>
        <v>496.486334018856</v>
      </c>
      <c r="AS544" s="10" t="str">
        <f>IF(AND(ISERROR(SEARCH("referencia",AN544)),AM544="CUMPLE",AR544&gt;=AI544),"CUMPLE","NO CUMPLE")</f>
        <v>CUMPLE</v>
      </c>
      <c r="AT544" s="10">
        <f>'Parametros'!$B$6*0.083*SQRT('Parametros'!$B$2)*(H544*I544)^2/(2*(H544+I544))/1000000</f>
        <v>11.862178757599</v>
      </c>
      <c r="AU544" s="10" t="str">
        <f>IF(Q544&lt;=AT544,"DESPRECIABLE","DISEÑAR")</f>
        <v>DESPRECIABLE</v>
      </c>
      <c r="AV544" s="10">
        <f>IF(Q544&lt;=AT544,0,Q544*1000000/('Parametros'!$B$6*2*0.85*(H544-2*('Parametros'!$B$7+'Parametros'!$B$9/2))*(I544-2*('Parametros'!$B$7+'Parametros'!$B$9/2))*'Parametros'!$B$4))</f>
        <v>0</v>
      </c>
      <c r="AW544" s="10">
        <f>AV544*2*((H544-2*('Parametros'!$B$7+'Parametros'!$B$9/2))+(I544-2*('Parametros'!$B$7+'Parametros'!$B$9/2)))*'Parametros'!$B$4/'Parametros'!$B$3</f>
        <v>0</v>
      </c>
      <c r="AX544" s="31" t="n">
        <v>0</v>
      </c>
      <c r="AY544" s="10" t="str">
        <f>IF(AV544=0,"DESPRECIABLE",IF(AND(ISERROR(SEARCH("referencia",AN544)),BB544/AP544&gt;=AV544,BI544&gt;=AW544,BH544="CUMPLE"),"CUMPLE","NO CUMPLE"))</f>
        <v>DESPRECIABLE</v>
      </c>
      <c r="AZ544" s="10" t="str">
        <f>IF(AND(X544="CUMPLE",AE544="CUMPLE",AS544="CUMPLE",OR(AY544="CUMPLE",AY544="DESPRECIABLE"),BH544="CUMPLE",BJ544="CUMPLE"),"CUMPLE","NO CUMPLE")</f>
        <v>CUMPLE</v>
      </c>
      <c r="BA544" s="32" t="n">
        <v>12.7</v>
      </c>
      <c r="BB544" s="32" t="n">
        <v>129</v>
      </c>
      <c r="BC544" s="10">
        <f>MAX(IF(AK544=0,0,AK544*1000/('Parametros'!$B$4*MIN(U544,AB544))),MAX(0.062*SQRT('Parametros'!$B$2)*H544/'Parametros'!$B$4,0.35*H544/'Parametros'!$B$4))</f>
        <v>1.85953078303321</v>
      </c>
      <c r="BD544" s="10">
        <f>2*AV544</f>
        <v>0</v>
      </c>
      <c r="BE544" s="10">
        <f>AO544*BB544/AP544</f>
        <v>2.15</v>
      </c>
      <c r="BF544" s="10">
        <f>SQRT((AI544*1000/(H544*MIN(U544,AB544)))^2+(Q544*1000000*2*((H544-2*('Parametros'!$B$7+'Parametros'!$B$9/2))+(I544-2*('Parametros'!$B$7+'Parametros'!$B$9/2)))/(1.7*((H544-2*('Parametros'!$B$7+'Parametros'!$B$9/2))*(I544-2*('Parametros'!$B$7+'Parametros'!$B$9/2)))^2))^2)</f>
        <v>1.84692802550884</v>
      </c>
      <c r="BG544" s="10">
        <f>'Parametros'!$B$6*(AJ544*1000/(H544*MIN(U544,AB544))+0.66*SQRT('Parametros'!$B$2))</f>
        <v>3.29396038227542</v>
      </c>
      <c r="BH544" s="10" t="str">
        <f>IF(BF544&lt;=BG544,"CUMPLE","NO CUMPLE")</f>
        <v>CUMPLE</v>
      </c>
      <c r="BI544" s="10">
        <f>AX544*'Parametros'!$B$8</f>
        <v>0</v>
      </c>
      <c r="BJ544" s="10" t="str">
        <f>IF(BI544&gt;=AW544,"CUMPLE","NO CUMPLE")</f>
        <v>CUMPLE</v>
      </c>
    </row>
    <row r="545">
      <c r="A545" s="26" t="inlineStr">
        <is>
          <t>VR3</t>
        </is>
      </c>
      <c r="B545" s="26" t="inlineStr">
        <is>
          <t>978</t>
        </is>
      </c>
      <c r="C545" s="10" t="n">
        <v>1</v>
      </c>
      <c r="D545" s="10" t="n">
        <v>2.35</v>
      </c>
      <c r="E545" s="10" t="n">
        <v>2.35</v>
      </c>
      <c r="F545" s="10" t="n">
        <v>500</v>
      </c>
      <c r="G545" s="10" t="n">
        <v>550</v>
      </c>
      <c r="H545" s="17" t="n">
        <v>500</v>
      </c>
      <c r="I545" s="17" t="n">
        <v>550</v>
      </c>
      <c r="J545" s="30" t="n">
        <v>159.7623</v>
      </c>
      <c r="K545" s="10" t="inlineStr">
        <is>
          <t>978</t>
        </is>
      </c>
      <c r="L545" s="30" t="n">
        <v>139.7586</v>
      </c>
      <c r="M545" s="10" t="inlineStr">
        <is>
          <t>978</t>
        </is>
      </c>
      <c r="N545" s="30" t="n">
        <v>178.089</v>
      </c>
      <c r="O545" s="30" t="n">
        <v>208.85</v>
      </c>
      <c r="P545" s="10" t="inlineStr">
        <is>
          <t>978</t>
        </is>
      </c>
      <c r="Q545" s="30" t="n">
        <v>3.6935</v>
      </c>
      <c r="R545" s="10">
        <f>MAX(MAX(1.4/'Parametros'!$B$3,0.25*SQRT('Parametros'!$B$2)/'Parametros'!$B$3)*H545*U545,(0.85*'Parametros'!$B$2/'Parametros'!$B$3)*(1-SQRT(1-2*(J545*1000000/('Parametros'!$B$5*H545*U545^2))/(0.85*'Parametros'!$B$2)))*H545*U545)</f>
        <v>892.420470488596</v>
      </c>
      <c r="S545" s="31" t="n">
        <v>5</v>
      </c>
      <c r="T545" s="32" t="n">
        <v>1</v>
      </c>
      <c r="U545" s="10">
        <f>IF(T545=1,I545-('Parametros'!$B$7+'Parametros'!$B$9+'Parametros'!$B$12/2),I545-(ROUNDUP(S545/2,0)*('Parametros'!$B$7+'Parametros'!$B$9+'Parametros'!$B$12/2)+ROUNDDOWN(S545/2,0)*('Parametros'!$B$7+'Parametros'!$B$9+'Parametros'!$B$12/2+'Parametros'!$B$12+'Parametros'!$B$10))/S545)</f>
        <v>489.35</v>
      </c>
      <c r="V545" s="10">
        <f>S545*'Parametros'!$B$8</f>
        <v>995</v>
      </c>
      <c r="W545" s="10">
        <f>'Parametros'!$B$5*V545*'Parametros'!$B$3*(U545-(V545*'Parametros'!$B$3/(0.85*'Parametros'!$B$2*H545))/2)/1000000</f>
        <v>177.445379382353</v>
      </c>
      <c r="X545" s="10" t="str">
        <f>IF(W545&gt;=J545,"CUMPLE","NO CUMPLE")</f>
        <v>CUMPLE</v>
      </c>
      <c r="Y545" s="10">
        <f>MAX(MAX(1.4/'Parametros'!$B$3,0.25*SQRT('Parametros'!$B$2)/'Parametros'!$B$3)*H545*AB545,(0.85*'Parametros'!$B$2/'Parametros'!$B$3)*(1-SQRT(1-2*(L545*1000000/('Parametros'!$B$5*H545*AB545^2))/(0.85*'Parametros'!$B$2)))*H545*AB545)</f>
        <v>815.583333333333</v>
      </c>
      <c r="Z545" s="31" t="n">
        <v>5</v>
      </c>
      <c r="AA545" s="32" t="n">
        <v>1</v>
      </c>
      <c r="AB545" s="10">
        <f>IF(AA545=1,I545-('Parametros'!$B$7+'Parametros'!$B$9+'Parametros'!$B$12/2),I545-(ROUNDUP(Z545/2,0)*('Parametros'!$B$7+'Parametros'!$B$9+'Parametros'!$B$12/2)+ROUNDDOWN(Z545/2,0)*('Parametros'!$B$7+'Parametros'!$B$9+'Parametros'!$B$12/2+'Parametros'!$B$12+'Parametros'!$B$10))/Z545)</f>
        <v>489.35</v>
      </c>
      <c r="AC545" s="10">
        <f>Z545*'Parametros'!$B$8</f>
        <v>995</v>
      </c>
      <c r="AD545" s="10">
        <f>'Parametros'!$B$5*AC545*'Parametros'!$B$3*(AB545-(AC545*'Parametros'!$B$3/(0.85*'Parametros'!$B$2*H545))/2)/1000000</f>
        <v>177.445379382353</v>
      </c>
      <c r="AE545" s="10" t="str">
        <f>IF(AD545&gt;=L545,"CUMPLE","NO CUMPLE")</f>
        <v>CUMPLE</v>
      </c>
      <c r="AF545" s="10">
        <f>V545*1.25*'Parametros'!$B$3*(U545-(V545*1.25*'Parametros'!$B$3/(0.85*'Parametros'!$B$2*H545))/2)/1000000</f>
        <v>244.158843198529</v>
      </c>
      <c r="AG545" s="10">
        <f>AC545*1.25*'Parametros'!$B$3*(AB545-(AC545*1.25*'Parametros'!$B$3/(0.85*'Parametros'!$B$2*H545))/2)/1000000</f>
        <v>244.158843198529</v>
      </c>
      <c r="AH545" s="10">
        <f>N545+(AF545+AG545)/D545</f>
        <v>385.883760168961</v>
      </c>
      <c r="AI545" s="10">
        <f>MAX(O545,AH545)</f>
        <v>385.883760168961</v>
      </c>
      <c r="AJ545" s="10">
        <f>0.17*SQRT('Parametros'!$B$2)*H545*MIN(U545,AB545)/1000</f>
        <v>220.098728691808</v>
      </c>
      <c r="AK545" s="10">
        <f>MAX(AI545/'Parametros'!$B$6-AJ545,0)</f>
        <v>294.412951533474</v>
      </c>
      <c r="AL545" s="10">
        <f>0.66*SQRT('Parametros'!$B$2)*H545*MIN(U545,AB545)/1000</f>
        <v>854.500946685842</v>
      </c>
      <c r="AM545" s="10" t="str">
        <f>IF(AK545&lt;=AL545,"CUMPLE","NO CUMPLE")</f>
        <v>CUMPLE</v>
      </c>
      <c r="AN545" s="17" t="inlineStr">
        <is>
          <t>Nº3 cerrado</t>
        </is>
      </c>
      <c r="AO545" s="31" t="n">
        <v>2</v>
      </c>
      <c r="AP545" s="10">
        <f>ROUNDDOWN(MIN(IF(BC545+BD545=0,1000000000,AO545*BB545/(BC545+BD545)),MIN(U545,AB545)/4,8*'Parametros'!$B$12,24*BA545,300,IF(AV545=0,1000000000,2*((H545-2*('Parametros'!$B$7+'Parametros'!$B$9/2))+(I545-2*('Parametros'!$B$7+'Parametros'!$B$9/2)))/8))/10,0)*10</f>
        <v>90</v>
      </c>
      <c r="AQ545" s="10">
        <f>ROUNDDOWN(MIN(IF(BC545+BD545=0,1000000000,AO545*BB545/(BC545+BD545)),IF(AK545&gt;0.33*SQRT('Parametros'!$B$2)*H545*MIN(U545,AB545)/1000,MIN(U545,AB545)/4,MIN(U545,AB545)/2),600,IF(AV545=0,1000000000,2*((H545-2*('Parametros'!$B$7+'Parametros'!$B$9/2))+(I545-2*('Parametros'!$B$7+'Parametros'!$B$9/2)))/8))/10,0)*10</f>
        <v>90</v>
      </c>
      <c r="AR545" s="10">
        <f>'Parametros'!$B$6*(AJ545+MAX(BE545-BD545,0)*'Parametros'!$B$4*MIN(U545,AB545)/1000)</f>
        <v>408.280996518856</v>
      </c>
      <c r="AS545" s="10" t="str">
        <f>IF(AND(ISERROR(SEARCH("referencia",AN545)),AM545="CUMPLE",AR545&gt;=AI545),"CUMPLE","NO CUMPLE")</f>
        <v>CUMPLE</v>
      </c>
      <c r="AT545" s="10">
        <f>'Parametros'!$B$6*0.083*SQRT('Parametros'!$B$2)*(H545*I545)^2/(2*(H545+I545))/1000000</f>
        <v>11.862178757599</v>
      </c>
      <c r="AU545" s="10" t="str">
        <f>IF(Q545&lt;=AT545,"DESPRECIABLE","DISEÑAR")</f>
        <v>DESPRECIABLE</v>
      </c>
      <c r="AV545" s="10">
        <f>IF(Q545&lt;=AT545,0,Q545*1000000/('Parametros'!$B$6*2*0.85*(H545-2*('Parametros'!$B$7+'Parametros'!$B$9/2))*(I545-2*('Parametros'!$B$7+'Parametros'!$B$9/2))*'Parametros'!$B$4))</f>
        <v>0</v>
      </c>
      <c r="AW545" s="10">
        <f>AV545*2*((H545-2*('Parametros'!$B$7+'Parametros'!$B$9/2))+(I545-2*('Parametros'!$B$7+'Parametros'!$B$9/2)))*'Parametros'!$B$4/'Parametros'!$B$3</f>
        <v>0</v>
      </c>
      <c r="AX545" s="31" t="n">
        <v>0</v>
      </c>
      <c r="AY545" s="10" t="str">
        <f>IF(AV545=0,"DESPRECIABLE",IF(AND(ISERROR(SEARCH("referencia",AN545)),BB545/AP545&gt;=AV545,BI545&gt;=AW545,BH545="CUMPLE"),"CUMPLE","NO CUMPLE"))</f>
        <v>DESPRECIABLE</v>
      </c>
      <c r="AZ545" s="10" t="str">
        <f>IF(AND(X545="CUMPLE",AE545="CUMPLE",AS545="CUMPLE",OR(AY545="CUMPLE",AY545="DESPRECIABLE"),BH545="CUMPLE",BJ545="CUMPLE"),"CUMPLE","NO CUMPLE")</f>
        <v>CUMPLE</v>
      </c>
      <c r="BA545" s="32" t="n">
        <v>9.5</v>
      </c>
      <c r="BB545" s="32" t="n">
        <v>71</v>
      </c>
      <c r="BC545" s="10">
        <f>MAX(IF(AK545=0,0,AK545*1000/('Parametros'!$B$4*MIN(U545,AB545))),MAX(0.062*SQRT('Parametros'!$B$2)*H545/'Parametros'!$B$4,0.35*H545/'Parametros'!$B$4))</f>
        <v>1.43247822200233</v>
      </c>
      <c r="BD545" s="10">
        <f>2*AV545</f>
        <v>0</v>
      </c>
      <c r="BE545" s="10">
        <f>AO545*BB545/AP545</f>
        <v>1.57777777777778</v>
      </c>
      <c r="BF545" s="10">
        <f>SQRT((AI545*1000/(H545*MIN(U545,AB545)))^2+(Q545*1000000*2*((H545-2*('Parametros'!$B$7+'Parametros'!$B$9/2))+(I545-2*('Parametros'!$B$7+'Parametros'!$B$9/2)))/(1.7*((H545-2*('Parametros'!$B$7+'Parametros'!$B$9/2))*(I545-2*('Parametros'!$B$7+'Parametros'!$B$9/2)))^2))^2)</f>
        <v>1.58084149271862</v>
      </c>
      <c r="BG545" s="10">
        <f>'Parametros'!$B$6*(AJ545*1000/(H545*MIN(U545,AB545))+0.66*SQRT('Parametros'!$B$2))</f>
        <v>3.29396038227542</v>
      </c>
      <c r="BH545" s="10" t="str">
        <f>IF(BF545&lt;=BG545,"CUMPLE","NO CUMPLE")</f>
        <v>CUMPLE</v>
      </c>
      <c r="BI545" s="10">
        <f>AX545*'Parametros'!$B$8</f>
        <v>0</v>
      </c>
      <c r="BJ545" s="10" t="str">
        <f>IF(BI545&gt;=AW545,"CUMPLE","NO CUMPLE")</f>
        <v>CUMPLE</v>
      </c>
    </row>
    <row r="546">
      <c r="A546" s="26" t="inlineStr">
        <is>
          <t>VR3</t>
        </is>
      </c>
      <c r="B546" s="26" t="inlineStr">
        <is>
          <t>1353</t>
        </is>
      </c>
      <c r="C546" s="10" t="n">
        <v>1</v>
      </c>
      <c r="D546" s="10" t="n">
        <v>2.7</v>
      </c>
      <c r="E546" s="10" t="n">
        <v>2.7</v>
      </c>
      <c r="F546" s="10" t="n">
        <v>500</v>
      </c>
      <c r="G546" s="10" t="n">
        <v>550</v>
      </c>
      <c r="H546" s="17" t="n">
        <v>500</v>
      </c>
      <c r="I546" s="17" t="n">
        <v>550</v>
      </c>
      <c r="J546" s="30" t="n">
        <v>222.119</v>
      </c>
      <c r="K546" s="10" t="inlineStr">
        <is>
          <t>1353</t>
        </is>
      </c>
      <c r="L546" s="30" t="n">
        <v>153.0989</v>
      </c>
      <c r="M546" s="10" t="inlineStr">
        <is>
          <t>1353</t>
        </is>
      </c>
      <c r="N546" s="30" t="n">
        <v>154.47</v>
      </c>
      <c r="O546" s="30" t="n">
        <v>572.146</v>
      </c>
      <c r="P546" s="10" t="inlineStr">
        <is>
          <t>1353</t>
        </is>
      </c>
      <c r="Q546" s="30" t="n">
        <v>23.2924</v>
      </c>
      <c r="R546" s="10">
        <f>MAX(MAX(1.4/'Parametros'!$B$3,0.25*SQRT('Parametros'!$B$2)/'Parametros'!$B$3)*H546*U546,(0.85*'Parametros'!$B$2/'Parametros'!$B$3)*(1-SQRT(1-2*(J546*1000000/('Parametros'!$B$5*H546*U546^2))/(0.85*'Parametros'!$B$2)))*H546*U546)</f>
        <v>1257.86897947935</v>
      </c>
      <c r="S546" s="31" t="n">
        <v>7</v>
      </c>
      <c r="T546" s="32" t="n">
        <v>1</v>
      </c>
      <c r="U546" s="10">
        <f>IF(T546=1,I546-('Parametros'!$B$7+'Parametros'!$B$9+'Parametros'!$B$12/2),I546-(ROUNDUP(S546/2,0)*('Parametros'!$B$7+'Parametros'!$B$9+'Parametros'!$B$12/2)+ROUNDDOWN(S546/2,0)*('Parametros'!$B$7+'Parametros'!$B$9+'Parametros'!$B$12/2+'Parametros'!$B$12+'Parametros'!$B$10))/S546)</f>
        <v>489.35</v>
      </c>
      <c r="V546" s="10">
        <f>S546*'Parametros'!$B$8</f>
        <v>1393</v>
      </c>
      <c r="W546" s="10">
        <f>'Parametros'!$B$5*V546*'Parametros'!$B$3*(U546-(V546*'Parametros'!$B$3/(0.85*'Parametros'!$B$2*H546))/2)/1000000</f>
        <v>244.725263629412</v>
      </c>
      <c r="X546" s="10" t="str">
        <f>IF(W546&gt;=J546,"CUMPLE","NO CUMPLE")</f>
        <v>CUMPLE</v>
      </c>
      <c r="Y546" s="10">
        <f>MAX(MAX(1.4/'Parametros'!$B$3,0.25*SQRT('Parametros'!$B$2)/'Parametros'!$B$3)*H546*AB546,(0.85*'Parametros'!$B$2/'Parametros'!$B$3)*(1-SQRT(1-2*(L546*1000000/('Parametros'!$B$5*H546*AB546^2))/(0.85*'Parametros'!$B$2)))*H546*AB546)</f>
        <v>853.975887520695</v>
      </c>
      <c r="Z546" s="31" t="n">
        <v>5</v>
      </c>
      <c r="AA546" s="32" t="n">
        <v>1</v>
      </c>
      <c r="AB546" s="10">
        <f>IF(AA546=1,I546-('Parametros'!$B$7+'Parametros'!$B$9+'Parametros'!$B$12/2),I546-(ROUNDUP(Z546/2,0)*('Parametros'!$B$7+'Parametros'!$B$9+'Parametros'!$B$12/2)+ROUNDDOWN(Z546/2,0)*('Parametros'!$B$7+'Parametros'!$B$9+'Parametros'!$B$12/2+'Parametros'!$B$12+'Parametros'!$B$10))/Z546)</f>
        <v>489.35</v>
      </c>
      <c r="AC546" s="10">
        <f>Z546*'Parametros'!$B$8</f>
        <v>995</v>
      </c>
      <c r="AD546" s="10">
        <f>'Parametros'!$B$5*AC546*'Parametros'!$B$3*(AB546-(AC546*'Parametros'!$B$3/(0.85*'Parametros'!$B$2*H546))/2)/1000000</f>
        <v>177.445379382353</v>
      </c>
      <c r="AE546" s="10" t="str">
        <f>IF(AD546&gt;=L546,"CUMPLE","NO CUMPLE")</f>
        <v>CUMPLE</v>
      </c>
      <c r="AF546" s="10">
        <f>V546*1.25*'Parametros'!$B$3*(U546-(V546*1.25*'Parametros'!$B$3/(0.85*'Parametros'!$B$2*H546))/2)/1000000</f>
        <v>335.401777169118</v>
      </c>
      <c r="AG546" s="10">
        <f>AC546*1.25*'Parametros'!$B$3*(AB546-(AC546*1.25*'Parametros'!$B$3/(0.85*'Parametros'!$B$2*H546))/2)/1000000</f>
        <v>244.158843198529</v>
      </c>
      <c r="AH546" s="10">
        <f>N546+(AF546+AG546)/D546</f>
        <v>369.122081617647</v>
      </c>
      <c r="AI546" s="10">
        <f>MAX(O546,AH546)</f>
        <v>572.146</v>
      </c>
      <c r="AJ546" s="10">
        <f>0.17*SQRT('Parametros'!$B$2)*H546*MIN(U546,AB546)/1000</f>
        <v>220.098728691808</v>
      </c>
      <c r="AK546" s="10">
        <f>MAX(AI546/'Parametros'!$B$6-AJ546,0)</f>
        <v>542.762604641526</v>
      </c>
      <c r="AL546" s="10">
        <f>0.66*SQRT('Parametros'!$B$2)*H546*MIN(U546,AB546)/1000</f>
        <v>854.500946685842</v>
      </c>
      <c r="AM546" s="10" t="str">
        <f>IF(AK546&lt;=AL546,"CUMPLE","NO CUMPLE")</f>
        <v>CUMPLE</v>
      </c>
      <c r="AN546" s="17" t="inlineStr">
        <is>
          <t>Nº4 cerrado</t>
        </is>
      </c>
      <c r="AO546" s="31" t="n">
        <v>2</v>
      </c>
      <c r="AP546" s="10">
        <f>ROUNDDOWN(MIN(IF(BC546+BD546=0,1000000000,AO546*BB546/(BC546+BD546)),MIN(U546,AB546)/4,8*'Parametros'!$B$12,24*BA546,300,IF(AV546=0,1000000000,2*((H546-2*('Parametros'!$B$7+'Parametros'!$B$9/2))+(I546-2*('Parametros'!$B$7+'Parametros'!$B$9/2)))/8))/10,0)*10</f>
        <v>80</v>
      </c>
      <c r="AQ546" s="10">
        <f>ROUNDDOWN(MIN(IF(BC546+BD546=0,1000000000,AO546*BB546/(BC546+BD546)),IF(AK546&gt;0.33*SQRT('Parametros'!$B$2)*H546*MIN(U546,AB546)/1000,MIN(U546,AB546)/4,MIN(U546,AB546)/2),600,IF(AV546=0,1000000000,2*((H546-2*('Parametros'!$B$7+'Parametros'!$B$9/2))+(I546-2*('Parametros'!$B$7+'Parametros'!$B$9/2)))/8))/10,0)*10</f>
        <v>80</v>
      </c>
      <c r="AR546" s="10">
        <f>'Parametros'!$B$6*(AJ546+MAX(BE546-BD546,0)*'Parametros'!$B$4*MIN(U546,AB546)/1000)</f>
        <v>590.197981877598</v>
      </c>
      <c r="AS546" s="10" t="str">
        <f>IF(AND(ISERROR(SEARCH("referencia",AN546)),AM546="CUMPLE",AR546&gt;=AI546),"CUMPLE","NO CUMPLE")</f>
        <v>CUMPLE</v>
      </c>
      <c r="AT546" s="10">
        <f>'Parametros'!$B$6*0.083*SQRT('Parametros'!$B$2)*(H546*I546)^2/(2*(H546+I546))/1000000</f>
        <v>11.862178757599</v>
      </c>
      <c r="AU546" s="10" t="str">
        <f>IF(Q546&lt;=AT546,"DESPRECIABLE","DISEÑAR")</f>
        <v>DISEÑAR</v>
      </c>
      <c r="AV546" s="10">
        <f>IF(Q546&lt;=AT546,0,Q546*1000000/('Parametros'!$B$6*2*0.85*(H546-2*('Parametros'!$B$7+'Parametros'!$B$9/2))*(I546-2*('Parametros'!$B$7+'Parametros'!$B$9/2))*'Parametros'!$B$4))</f>
        <v>0.233528103821744</v>
      </c>
      <c r="AW546" s="10">
        <f>AV546*2*((H546-2*('Parametros'!$B$7+'Parametros'!$B$9/2))+(I546-2*('Parametros'!$B$7+'Parametros'!$B$9/2)))*'Parametros'!$B$4/'Parametros'!$B$3</f>
        <v>403.81679712856</v>
      </c>
      <c r="AX546" s="31" t="n">
        <v>8</v>
      </c>
      <c r="AY546" s="10" t="str">
        <f>IF(AV546=0,"DESPRECIABLE",IF(AND(ISERROR(SEARCH("referencia",AN546)),BB546/AP546&gt;=AV546,BI546&gt;=AW546,BH546="CUMPLE"),"CUMPLE","NO CUMPLE"))</f>
        <v>CUMPLE</v>
      </c>
      <c r="AZ546" s="10" t="str">
        <f>IF(AND(X546="CUMPLE",AE546="CUMPLE",AS546="CUMPLE",OR(AY546="CUMPLE",AY546="DESPRECIABLE"),BH546="CUMPLE",BJ546="CUMPLE"),"CUMPLE","NO CUMPLE")</f>
        <v>CUMPLE</v>
      </c>
      <c r="BA546" s="32" t="n">
        <v>12.7</v>
      </c>
      <c r="BB546" s="32" t="n">
        <v>129</v>
      </c>
      <c r="BC546" s="10">
        <f>MAX(IF(AK546=0,0,AK546*1000/('Parametros'!$B$4*MIN(U546,AB546))),MAX(0.062*SQRT('Parametros'!$B$2)*H546/'Parametros'!$B$4,0.35*H546/'Parametros'!$B$4))</f>
        <v>2.64083358703005</v>
      </c>
      <c r="BD546" s="10">
        <f>2*AV546</f>
        <v>0.467056207643489</v>
      </c>
      <c r="BE546" s="10">
        <f>AO546*BB546/AP546</f>
        <v>3.225</v>
      </c>
      <c r="BF546" s="10">
        <f>SQRT((AI546*1000/(H546*MIN(U546,AB546)))^2+(Q546*1000000*2*((H546-2*('Parametros'!$B$7+'Parametros'!$B$9/2))+(I546-2*('Parametros'!$B$7+'Parametros'!$B$9/2)))/(1.7*((H546-2*('Parametros'!$B$7+'Parametros'!$B$9/2))*(I546-2*('Parametros'!$B$7+'Parametros'!$B$9/2)))^2))^2)</f>
        <v>2.43607800764045</v>
      </c>
      <c r="BG546" s="10">
        <f>'Parametros'!$B$6*(AJ546*1000/(H546*MIN(U546,AB546))+0.66*SQRT('Parametros'!$B$2))</f>
        <v>3.29396038227542</v>
      </c>
      <c r="BH546" s="10" t="str">
        <f>IF(BF546&lt;=BG546,"CUMPLE","NO CUMPLE")</f>
        <v>CUMPLE</v>
      </c>
      <c r="BI546" s="10">
        <f>AX546*'Parametros'!$B$8</f>
        <v>1592</v>
      </c>
      <c r="BJ546" s="10" t="str">
        <f>IF(BI546&gt;=AW546,"CUMPLE","NO CUMPLE")</f>
        <v>CUMPLE</v>
      </c>
    </row>
    <row r="547">
      <c r="A547" s="26" t="inlineStr">
        <is>
          <t>VR3</t>
        </is>
      </c>
      <c r="B547" s="26" t="inlineStr">
        <is>
          <t>1354</t>
        </is>
      </c>
      <c r="C547" s="10" t="n">
        <v>1</v>
      </c>
      <c r="D547" s="10" t="n">
        <v>2.7</v>
      </c>
      <c r="E547" s="10" t="n">
        <v>2.7</v>
      </c>
      <c r="F547" s="10" t="n">
        <v>500</v>
      </c>
      <c r="G547" s="10" t="n">
        <v>550</v>
      </c>
      <c r="H547" s="17" t="n">
        <v>500</v>
      </c>
      <c r="I547" s="17" t="n">
        <v>550</v>
      </c>
      <c r="J547" s="30" t="n">
        <v>222.2016</v>
      </c>
      <c r="K547" s="10" t="inlineStr">
        <is>
          <t>1354</t>
        </is>
      </c>
      <c r="L547" s="30" t="n">
        <v>153.0559</v>
      </c>
      <c r="M547" s="10" t="inlineStr">
        <is>
          <t>1354</t>
        </is>
      </c>
      <c r="N547" s="30" t="n">
        <v>154.423</v>
      </c>
      <c r="O547" s="30" t="n">
        <v>572.12</v>
      </c>
      <c r="P547" s="10" t="inlineStr">
        <is>
          <t>1354</t>
        </is>
      </c>
      <c r="Q547" s="30" t="n">
        <v>23.286</v>
      </c>
      <c r="R547" s="10">
        <f>MAX(MAX(1.4/'Parametros'!$B$3,0.25*SQRT('Parametros'!$B$2)/'Parametros'!$B$3)*H547*U547,(0.85*'Parametros'!$B$2/'Parametros'!$B$3)*(1-SQRT(1-2*(J547*1000000/('Parametros'!$B$5*H547*U547^2))/(0.85*'Parametros'!$B$2)))*H547*U547)</f>
        <v>1258.36009197247</v>
      </c>
      <c r="S547" s="31" t="n">
        <v>7</v>
      </c>
      <c r="T547" s="32" t="n">
        <v>1</v>
      </c>
      <c r="U547" s="10">
        <f>IF(T547=1,I547-('Parametros'!$B$7+'Parametros'!$B$9+'Parametros'!$B$12/2),I547-(ROUNDUP(S547/2,0)*('Parametros'!$B$7+'Parametros'!$B$9+'Parametros'!$B$12/2)+ROUNDDOWN(S547/2,0)*('Parametros'!$B$7+'Parametros'!$B$9+'Parametros'!$B$12/2+'Parametros'!$B$12+'Parametros'!$B$10))/S547)</f>
        <v>489.35</v>
      </c>
      <c r="V547" s="10">
        <f>S547*'Parametros'!$B$8</f>
        <v>1393</v>
      </c>
      <c r="W547" s="10">
        <f>'Parametros'!$B$5*V547*'Parametros'!$B$3*(U547-(V547*'Parametros'!$B$3/(0.85*'Parametros'!$B$2*H547))/2)/1000000</f>
        <v>244.725263629412</v>
      </c>
      <c r="X547" s="10" t="str">
        <f>IF(W547&gt;=J547,"CUMPLE","NO CUMPLE")</f>
        <v>CUMPLE</v>
      </c>
      <c r="Y547" s="10">
        <f>MAX(MAX(1.4/'Parametros'!$B$3,0.25*SQRT('Parametros'!$B$2)/'Parametros'!$B$3)*H547*AB547,(0.85*'Parametros'!$B$2/'Parametros'!$B$3)*(1-SQRT(1-2*(L547*1000000/('Parametros'!$B$5*H547*AB547^2))/(0.85*'Parametros'!$B$2)))*H547*AB547)</f>
        <v>853.728167280592</v>
      </c>
      <c r="Z547" s="31" t="n">
        <v>5</v>
      </c>
      <c r="AA547" s="32" t="n">
        <v>1</v>
      </c>
      <c r="AB547" s="10">
        <f>IF(AA547=1,I547-('Parametros'!$B$7+'Parametros'!$B$9+'Parametros'!$B$12/2),I547-(ROUNDUP(Z547/2,0)*('Parametros'!$B$7+'Parametros'!$B$9+'Parametros'!$B$12/2)+ROUNDDOWN(Z547/2,0)*('Parametros'!$B$7+'Parametros'!$B$9+'Parametros'!$B$12/2+'Parametros'!$B$12+'Parametros'!$B$10))/Z547)</f>
        <v>489.35</v>
      </c>
      <c r="AC547" s="10">
        <f>Z547*'Parametros'!$B$8</f>
        <v>995</v>
      </c>
      <c r="AD547" s="10">
        <f>'Parametros'!$B$5*AC547*'Parametros'!$B$3*(AB547-(AC547*'Parametros'!$B$3/(0.85*'Parametros'!$B$2*H547))/2)/1000000</f>
        <v>177.445379382353</v>
      </c>
      <c r="AE547" s="10" t="str">
        <f>IF(AD547&gt;=L547,"CUMPLE","NO CUMPLE")</f>
        <v>CUMPLE</v>
      </c>
      <c r="AF547" s="10">
        <f>V547*1.25*'Parametros'!$B$3*(U547-(V547*1.25*'Parametros'!$B$3/(0.85*'Parametros'!$B$2*H547))/2)/1000000</f>
        <v>335.401777169118</v>
      </c>
      <c r="AG547" s="10">
        <f>AC547*1.25*'Parametros'!$B$3*(AB547-(AC547*1.25*'Parametros'!$B$3/(0.85*'Parametros'!$B$2*H547))/2)/1000000</f>
        <v>244.158843198529</v>
      </c>
      <c r="AH547" s="10">
        <f>N547+(AF547+AG547)/D547</f>
        <v>369.075081617647</v>
      </c>
      <c r="AI547" s="10">
        <f>MAX(O547,AH547)</f>
        <v>572.12</v>
      </c>
      <c r="AJ547" s="10">
        <f>0.17*SQRT('Parametros'!$B$2)*H547*MIN(U547,AB547)/1000</f>
        <v>220.098728691808</v>
      </c>
      <c r="AK547" s="10">
        <f>MAX(AI547/'Parametros'!$B$6-AJ547,0)</f>
        <v>542.727937974859</v>
      </c>
      <c r="AL547" s="10">
        <f>0.66*SQRT('Parametros'!$B$2)*H547*MIN(U547,AB547)/1000</f>
        <v>854.500946685842</v>
      </c>
      <c r="AM547" s="10" t="str">
        <f>IF(AK547&lt;=AL547,"CUMPLE","NO CUMPLE")</f>
        <v>CUMPLE</v>
      </c>
      <c r="AN547" s="17" t="inlineStr">
        <is>
          <t>Nº4 cerrado</t>
        </is>
      </c>
      <c r="AO547" s="31" t="n">
        <v>2</v>
      </c>
      <c r="AP547" s="10">
        <f>ROUNDDOWN(MIN(IF(BC547+BD547=0,1000000000,AO547*BB547/(BC547+BD547)),MIN(U547,AB547)/4,8*'Parametros'!$B$12,24*BA547,300,IF(AV547=0,1000000000,2*((H547-2*('Parametros'!$B$7+'Parametros'!$B$9/2))+(I547-2*('Parametros'!$B$7+'Parametros'!$B$9/2)))/8))/10,0)*10</f>
        <v>80</v>
      </c>
      <c r="AQ547" s="10">
        <f>ROUNDDOWN(MIN(IF(BC547+BD547=0,1000000000,AO547*BB547/(BC547+BD547)),IF(AK547&gt;0.33*SQRT('Parametros'!$B$2)*H547*MIN(U547,AB547)/1000,MIN(U547,AB547)/4,MIN(U547,AB547)/2),600,IF(AV547=0,1000000000,2*((H547-2*('Parametros'!$B$7+'Parametros'!$B$9/2))+(I547-2*('Parametros'!$B$7+'Parametros'!$B$9/2)))/8))/10,0)*10</f>
        <v>80</v>
      </c>
      <c r="AR547" s="10">
        <f>'Parametros'!$B$6*(AJ547+MAX(BE547-BD547,0)*'Parametros'!$B$4*MIN(U547,AB547)/1000)</f>
        <v>590.217763642196</v>
      </c>
      <c r="AS547" s="10" t="str">
        <f>IF(AND(ISERROR(SEARCH("referencia",AN547)),AM547="CUMPLE",AR547&gt;=AI547),"CUMPLE","NO CUMPLE")</f>
        <v>CUMPLE</v>
      </c>
      <c r="AT547" s="10">
        <f>'Parametros'!$B$6*0.083*SQRT('Parametros'!$B$2)*(H547*I547)^2/(2*(H547+I547))/1000000</f>
        <v>11.862178757599</v>
      </c>
      <c r="AU547" s="10" t="str">
        <f>IF(Q547&lt;=AT547,"DESPRECIABLE","DISEÑAR")</f>
        <v>DISEÑAR</v>
      </c>
      <c r="AV547" s="10">
        <f>IF(Q547&lt;=AT547,0,Q547*1000000/('Parametros'!$B$6*2*0.85*(H547-2*('Parametros'!$B$7+'Parametros'!$B$9/2))*(I547-2*('Parametros'!$B$7+'Parametros'!$B$9/2))*'Parametros'!$B$4))</f>
        <v>0.233463937833505</v>
      </c>
      <c r="AW547" s="10">
        <f>AV547*2*((H547-2*('Parametros'!$B$7+'Parametros'!$B$9/2))+(I547-2*('Parametros'!$B$7+'Parametros'!$B$9/2)))*'Parametros'!$B$4/'Parametros'!$B$3</f>
        <v>403.705841301697</v>
      </c>
      <c r="AX547" s="31" t="n">
        <v>8</v>
      </c>
      <c r="AY547" s="10" t="str">
        <f>IF(AV547=0,"DESPRECIABLE",IF(AND(ISERROR(SEARCH("referencia",AN547)),BB547/AP547&gt;=AV547,BI547&gt;=AW547,BH547="CUMPLE"),"CUMPLE","NO CUMPLE"))</f>
        <v>CUMPLE</v>
      </c>
      <c r="AZ547" s="10" t="str">
        <f>IF(AND(X547="CUMPLE",AE547="CUMPLE",AS547="CUMPLE",OR(AY547="CUMPLE",AY547="DESPRECIABLE"),BH547="CUMPLE",BJ547="CUMPLE"),"CUMPLE","NO CUMPLE")</f>
        <v>CUMPLE</v>
      </c>
      <c r="BA547" s="32" t="n">
        <v>12.7</v>
      </c>
      <c r="BB547" s="32" t="n">
        <v>129</v>
      </c>
      <c r="BC547" s="10">
        <f>MAX(IF(AK547=0,0,AK547*1000/('Parametros'!$B$4*MIN(U547,AB547))),MAX(0.062*SQRT('Parametros'!$B$2)*H547/'Parametros'!$B$4,0.35*H547/'Parametros'!$B$4))</f>
        <v>2.64066491494966</v>
      </c>
      <c r="BD547" s="10">
        <f>2*AV547</f>
        <v>0.466927875667011</v>
      </c>
      <c r="BE547" s="10">
        <f>AO547*BB547/AP547</f>
        <v>3.225</v>
      </c>
      <c r="BF547" s="10">
        <f>SQRT((AI547*1000/(H547*MIN(U547,AB547)))^2+(Q547*1000000*2*((H547-2*('Parametros'!$B$7+'Parametros'!$B$9/2))+(I547-2*('Parametros'!$B$7+'Parametros'!$B$9/2)))/(1.7*((H547-2*('Parametros'!$B$7+'Parametros'!$B$9/2))*(I547-2*('Parametros'!$B$7+'Parametros'!$B$9/2)))^2))^2)</f>
        <v>2.43592340426477</v>
      </c>
      <c r="BG547" s="10">
        <f>'Parametros'!$B$6*(AJ547*1000/(H547*MIN(U547,AB547))+0.66*SQRT('Parametros'!$B$2))</f>
        <v>3.29396038227542</v>
      </c>
      <c r="BH547" s="10" t="str">
        <f>IF(BF547&lt;=BG547,"CUMPLE","NO CUMPLE")</f>
        <v>CUMPLE</v>
      </c>
      <c r="BI547" s="10">
        <f>AX547*'Parametros'!$B$8</f>
        <v>1592</v>
      </c>
      <c r="BJ547" s="10" t="str">
        <f>IF(BI547&gt;=AW547,"CUMPLE","NO CUMPLE")</f>
        <v>CUMPLE</v>
      </c>
    </row>
    <row r="548">
      <c r="A548" s="26" t="inlineStr">
        <is>
          <t>VR3</t>
        </is>
      </c>
      <c r="B548" s="26" t="inlineStr">
        <is>
          <t>1355</t>
        </is>
      </c>
      <c r="C548" s="10" t="n">
        <v>1</v>
      </c>
      <c r="D548" s="10" t="n">
        <v>2.7</v>
      </c>
      <c r="E548" s="10" t="n">
        <v>2.7</v>
      </c>
      <c r="F548" s="10" t="n">
        <v>500</v>
      </c>
      <c r="G548" s="10" t="n">
        <v>550</v>
      </c>
      <c r="H548" s="17" t="n">
        <v>500</v>
      </c>
      <c r="I548" s="17" t="n">
        <v>550</v>
      </c>
      <c r="J548" s="30" t="n">
        <v>190.9336</v>
      </c>
      <c r="K548" s="10" t="inlineStr">
        <is>
          <t>1355</t>
        </is>
      </c>
      <c r="L548" s="30" t="n">
        <v>113.5276</v>
      </c>
      <c r="M548" s="10" t="inlineStr">
        <is>
          <t>1355</t>
        </is>
      </c>
      <c r="N548" s="30" t="n">
        <v>137.177</v>
      </c>
      <c r="O548" s="30" t="n">
        <v>470.946</v>
      </c>
      <c r="P548" s="10" t="inlineStr">
        <is>
          <t>1355</t>
        </is>
      </c>
      <c r="Q548" s="30" t="n">
        <v>18.5917</v>
      </c>
      <c r="R548" s="10">
        <f>MAX(MAX(1.4/'Parametros'!$B$3,0.25*SQRT('Parametros'!$B$2)/'Parametros'!$B$3)*H548*U548,(0.85*'Parametros'!$B$2/'Parametros'!$B$3)*(1-SQRT(1-2*(J548*1000000/('Parametros'!$B$5*H548*U548^2))/(0.85*'Parametros'!$B$2)))*H548*U548)</f>
        <v>1073.7982108106</v>
      </c>
      <c r="S548" s="31" t="n">
        <v>6</v>
      </c>
      <c r="T548" s="32" t="n">
        <v>1</v>
      </c>
      <c r="U548" s="10">
        <f>IF(T548=1,I548-('Parametros'!$B$7+'Parametros'!$B$9+'Parametros'!$B$12/2),I548-(ROUNDUP(S548/2,0)*('Parametros'!$B$7+'Parametros'!$B$9+'Parametros'!$B$12/2)+ROUNDDOWN(S548/2,0)*('Parametros'!$B$7+'Parametros'!$B$9+'Parametros'!$B$12/2+'Parametros'!$B$12+'Parametros'!$B$10))/S548)</f>
        <v>489.35</v>
      </c>
      <c r="V548" s="10">
        <f>S548*'Parametros'!$B$8</f>
        <v>1194</v>
      </c>
      <c r="W548" s="10">
        <f>'Parametros'!$B$5*V548*'Parametros'!$B$3*(U548-(V548*'Parametros'!$B$3/(0.85*'Parametros'!$B$2*H548))/2)/1000000</f>
        <v>211.349483470588</v>
      </c>
      <c r="X548" s="10" t="str">
        <f>IF(W548&gt;=J548,"CUMPLE","NO CUMPLE")</f>
        <v>CUMPLE</v>
      </c>
      <c r="Y548" s="10">
        <f>MAX(MAX(1.4/'Parametros'!$B$3,0.25*SQRT('Parametros'!$B$2)/'Parametros'!$B$3)*H548*AB548,(0.85*'Parametros'!$B$2/'Parametros'!$B$3)*(1-SQRT(1-2*(L548*1000000/('Parametros'!$B$5*H548*AB548^2))/(0.85*'Parametros'!$B$2)))*H548*AB548)</f>
        <v>815.583333333333</v>
      </c>
      <c r="Z548" s="31" t="n">
        <v>5</v>
      </c>
      <c r="AA548" s="32" t="n">
        <v>1</v>
      </c>
      <c r="AB548" s="10">
        <f>IF(AA548=1,I548-('Parametros'!$B$7+'Parametros'!$B$9+'Parametros'!$B$12/2),I548-(ROUNDUP(Z548/2,0)*('Parametros'!$B$7+'Parametros'!$B$9+'Parametros'!$B$12/2)+ROUNDDOWN(Z548/2,0)*('Parametros'!$B$7+'Parametros'!$B$9+'Parametros'!$B$12/2+'Parametros'!$B$12+'Parametros'!$B$10))/Z548)</f>
        <v>489.35</v>
      </c>
      <c r="AC548" s="10">
        <f>Z548*'Parametros'!$B$8</f>
        <v>995</v>
      </c>
      <c r="AD548" s="10">
        <f>'Parametros'!$B$5*AC548*'Parametros'!$B$3*(AB548-(AC548*'Parametros'!$B$3/(0.85*'Parametros'!$B$2*H548))/2)/1000000</f>
        <v>177.445379382353</v>
      </c>
      <c r="AE548" s="10" t="str">
        <f>IF(AD548&gt;=L548,"CUMPLE","NO CUMPLE")</f>
        <v>CUMPLE</v>
      </c>
      <c r="AF548" s="10">
        <f>V548*1.25*'Parametros'!$B$3*(U548-(V548*1.25*'Parametros'!$B$3/(0.85*'Parametros'!$B$2*H548))/2)/1000000</f>
        <v>290.238924705882</v>
      </c>
      <c r="AG548" s="10">
        <f>AC548*1.25*'Parametros'!$B$3*(AB548-(AC548*1.25*'Parametros'!$B$3/(0.85*'Parametros'!$B$2*H548))/2)/1000000</f>
        <v>244.158843198529</v>
      </c>
      <c r="AH548" s="10">
        <f>N548+(AF548+AG548)/D548</f>
        <v>335.102099223856</v>
      </c>
      <c r="AI548" s="10">
        <f>MAX(O548,AH548)</f>
        <v>470.946</v>
      </c>
      <c r="AJ548" s="10">
        <f>0.17*SQRT('Parametros'!$B$2)*H548*MIN(U548,AB548)/1000</f>
        <v>220.098728691808</v>
      </c>
      <c r="AK548" s="10">
        <f>MAX(AI548/'Parametros'!$B$6-AJ548,0)</f>
        <v>407.829271308192</v>
      </c>
      <c r="AL548" s="10">
        <f>0.66*SQRT('Parametros'!$B$2)*H548*MIN(U548,AB548)/1000</f>
        <v>854.500946685842</v>
      </c>
      <c r="AM548" s="10" t="str">
        <f>IF(AK548&lt;=AL548,"CUMPLE","NO CUMPLE")</f>
        <v>CUMPLE</v>
      </c>
      <c r="AN548" s="17" t="inlineStr">
        <is>
          <t>Nº4 cerrado</t>
        </is>
      </c>
      <c r="AO548" s="31" t="n">
        <v>2</v>
      </c>
      <c r="AP548" s="10">
        <f>ROUNDDOWN(MIN(IF(BC548+BD548=0,1000000000,AO548*BB548/(BC548+BD548)),MIN(U548,AB548)/4,8*'Parametros'!$B$12,24*BA548,300,IF(AV548=0,1000000000,2*((H548-2*('Parametros'!$B$7+'Parametros'!$B$9/2))+(I548-2*('Parametros'!$B$7+'Parametros'!$B$9/2)))/8))/10,0)*10</f>
        <v>100</v>
      </c>
      <c r="AQ548" s="10">
        <f>ROUNDDOWN(MIN(IF(BC548+BD548=0,1000000000,AO548*BB548/(BC548+BD548)),IF(AK548&gt;0.33*SQRT('Parametros'!$B$2)*H548*MIN(U548,AB548)/1000,MIN(U548,AB548)/4,MIN(U548,AB548)/2),600,IF(AV548=0,1000000000,2*((H548-2*('Parametros'!$B$7+'Parametros'!$B$9/2))+(I548-2*('Parametros'!$B$7+'Parametros'!$B$9/2)))/8))/10,0)*10</f>
        <v>100</v>
      </c>
      <c r="AR548" s="10">
        <f>'Parametros'!$B$6*(AJ548+MAX(BE548-BD548,0)*'Parametros'!$B$4*MIN(U548,AB548)/1000)</f>
        <v>505.303692634177</v>
      </c>
      <c r="AS548" s="10" t="str">
        <f>IF(AND(ISERROR(SEARCH("referencia",AN548)),AM548="CUMPLE",AR548&gt;=AI548),"CUMPLE","NO CUMPLE")</f>
        <v>CUMPLE</v>
      </c>
      <c r="AT548" s="10">
        <f>'Parametros'!$B$6*0.083*SQRT('Parametros'!$B$2)*(H548*I548)^2/(2*(H548+I548))/1000000</f>
        <v>11.862178757599</v>
      </c>
      <c r="AU548" s="10" t="str">
        <f>IF(Q548&lt;=AT548,"DESPRECIABLE","DISEÑAR")</f>
        <v>DISEÑAR</v>
      </c>
      <c r="AV548" s="10">
        <f>IF(Q548&lt;=AT548,0,Q548*1000000/('Parametros'!$B$6*2*0.85*(H548-2*('Parametros'!$B$7+'Parametros'!$B$9/2))*(I548-2*('Parametros'!$B$7+'Parametros'!$B$9/2))*'Parametros'!$B$4))</f>
        <v>0.186399188053731</v>
      </c>
      <c r="AW548" s="10">
        <f>AV548*2*((H548-2*('Parametros'!$B$7+'Parametros'!$B$9/2))+(I548-2*('Parametros'!$B$7+'Parametros'!$B$9/2)))*'Parametros'!$B$4/'Parametros'!$B$3</f>
        <v>322.321475982512</v>
      </c>
      <c r="AX548" s="31" t="n">
        <v>8</v>
      </c>
      <c r="AY548" s="10" t="str">
        <f>IF(AV548=0,"DESPRECIABLE",IF(AND(ISERROR(SEARCH("referencia",AN548)),BB548/AP548&gt;=AV548,BI548&gt;=AW548,BH548="CUMPLE"),"CUMPLE","NO CUMPLE"))</f>
        <v>CUMPLE</v>
      </c>
      <c r="AZ548" s="10" t="str">
        <f>IF(AND(X548="CUMPLE",AE548="CUMPLE",AS548="CUMPLE",OR(AY548="CUMPLE",AY548="DESPRECIABLE"),BH548="CUMPLE",BJ548="CUMPLE"),"CUMPLE","NO CUMPLE")</f>
        <v>CUMPLE</v>
      </c>
      <c r="BA548" s="32" t="n">
        <v>12.7</v>
      </c>
      <c r="BB548" s="32" t="n">
        <v>129</v>
      </c>
      <c r="BC548" s="10">
        <f>MAX(IF(AK548=0,0,AK548*1000/('Parametros'!$B$4*MIN(U548,AB548))),MAX(0.062*SQRT('Parametros'!$B$2)*H548/'Parametros'!$B$4,0.35*H548/'Parametros'!$B$4))</f>
        <v>1.98430995104386</v>
      </c>
      <c r="BD548" s="10">
        <f>2*AV548</f>
        <v>0.372798376107462</v>
      </c>
      <c r="BE548" s="10">
        <f>AO548*BB548/AP548</f>
        <v>2.58</v>
      </c>
      <c r="BF548" s="10">
        <f>SQRT((AI548*1000/(H548*MIN(U548,AB548)))^2+(Q548*1000000*2*((H548-2*('Parametros'!$B$7+'Parametros'!$B$9/2))+(I548-2*('Parametros'!$B$7+'Parametros'!$B$9/2)))/(1.7*((H548-2*('Parametros'!$B$7+'Parametros'!$B$9/2))*(I548-2*('Parametros'!$B$7+'Parametros'!$B$9/2)))^2))^2)</f>
        <v>2.00048247809743</v>
      </c>
      <c r="BG548" s="10">
        <f>'Parametros'!$B$6*(AJ548*1000/(H548*MIN(U548,AB548))+0.66*SQRT('Parametros'!$B$2))</f>
        <v>3.29396038227542</v>
      </c>
      <c r="BH548" s="10" t="str">
        <f>IF(BF548&lt;=BG548,"CUMPLE","NO CUMPLE")</f>
        <v>CUMPLE</v>
      </c>
      <c r="BI548" s="10">
        <f>AX548*'Parametros'!$B$8</f>
        <v>1592</v>
      </c>
      <c r="BJ548" s="10" t="str">
        <f>IF(BI548&gt;=AW548,"CUMPLE","NO CUMPLE")</f>
        <v>CUMPLE</v>
      </c>
    </row>
    <row r="549">
      <c r="A549" s="26" t="inlineStr">
        <is>
          <t>VR3</t>
        </is>
      </c>
      <c r="B549" s="26" t="inlineStr">
        <is>
          <t>1356</t>
        </is>
      </c>
      <c r="C549" s="10" t="n">
        <v>1</v>
      </c>
      <c r="D549" s="10" t="n">
        <v>2.7</v>
      </c>
      <c r="E549" s="10" t="n">
        <v>2.7</v>
      </c>
      <c r="F549" s="10" t="n">
        <v>500</v>
      </c>
      <c r="G549" s="10" t="n">
        <v>550</v>
      </c>
      <c r="H549" s="17" t="n">
        <v>500</v>
      </c>
      <c r="I549" s="17" t="n">
        <v>550</v>
      </c>
      <c r="J549" s="30" t="n">
        <v>191.0043</v>
      </c>
      <c r="K549" s="10" t="inlineStr">
        <is>
          <t>1356</t>
        </is>
      </c>
      <c r="L549" s="30" t="n">
        <v>113.4545</v>
      </c>
      <c r="M549" s="10" t="inlineStr">
        <is>
          <t>1356</t>
        </is>
      </c>
      <c r="N549" s="30" t="n">
        <v>137.197</v>
      </c>
      <c r="O549" s="30" t="n">
        <v>470.886</v>
      </c>
      <c r="P549" s="10" t="inlineStr">
        <is>
          <t>1356</t>
        </is>
      </c>
      <c r="Q549" s="30" t="n">
        <v>18.593</v>
      </c>
      <c r="R549" s="10">
        <f>MAX(MAX(1.4/'Parametros'!$B$3,0.25*SQRT('Parametros'!$B$2)/'Parametros'!$B$3)*H549*U549,(0.85*'Parametros'!$B$2/'Parametros'!$B$3)*(1-SQRT(1-2*(J549*1000000/('Parametros'!$B$5*H549*U549^2))/(0.85*'Parametros'!$B$2)))*H549*U549)</f>
        <v>1074.2125192669</v>
      </c>
      <c r="S549" s="31" t="n">
        <v>6</v>
      </c>
      <c r="T549" s="32" t="n">
        <v>1</v>
      </c>
      <c r="U549" s="10">
        <f>IF(T549=1,I549-('Parametros'!$B$7+'Parametros'!$B$9+'Parametros'!$B$12/2),I549-(ROUNDUP(S549/2,0)*('Parametros'!$B$7+'Parametros'!$B$9+'Parametros'!$B$12/2)+ROUNDDOWN(S549/2,0)*('Parametros'!$B$7+'Parametros'!$B$9+'Parametros'!$B$12/2+'Parametros'!$B$12+'Parametros'!$B$10))/S549)</f>
        <v>489.35</v>
      </c>
      <c r="V549" s="10">
        <f>S549*'Parametros'!$B$8</f>
        <v>1194</v>
      </c>
      <c r="W549" s="10">
        <f>'Parametros'!$B$5*V549*'Parametros'!$B$3*(U549-(V549*'Parametros'!$B$3/(0.85*'Parametros'!$B$2*H549))/2)/1000000</f>
        <v>211.349483470588</v>
      </c>
      <c r="X549" s="10" t="str">
        <f>IF(W549&gt;=J549,"CUMPLE","NO CUMPLE")</f>
        <v>CUMPLE</v>
      </c>
      <c r="Y549" s="10">
        <f>MAX(MAX(1.4/'Parametros'!$B$3,0.25*SQRT('Parametros'!$B$2)/'Parametros'!$B$3)*H549*AB549,(0.85*'Parametros'!$B$2/'Parametros'!$B$3)*(1-SQRT(1-2*(L549*1000000/('Parametros'!$B$5*H549*AB549^2))/(0.85*'Parametros'!$B$2)))*H549*AB549)</f>
        <v>815.583333333333</v>
      </c>
      <c r="Z549" s="31" t="n">
        <v>5</v>
      </c>
      <c r="AA549" s="32" t="n">
        <v>1</v>
      </c>
      <c r="AB549" s="10">
        <f>IF(AA549=1,I549-('Parametros'!$B$7+'Parametros'!$B$9+'Parametros'!$B$12/2),I549-(ROUNDUP(Z549/2,0)*('Parametros'!$B$7+'Parametros'!$B$9+'Parametros'!$B$12/2)+ROUNDDOWN(Z549/2,0)*('Parametros'!$B$7+'Parametros'!$B$9+'Parametros'!$B$12/2+'Parametros'!$B$12+'Parametros'!$B$10))/Z549)</f>
        <v>489.35</v>
      </c>
      <c r="AC549" s="10">
        <f>Z549*'Parametros'!$B$8</f>
        <v>995</v>
      </c>
      <c r="AD549" s="10">
        <f>'Parametros'!$B$5*AC549*'Parametros'!$B$3*(AB549-(AC549*'Parametros'!$B$3/(0.85*'Parametros'!$B$2*H549))/2)/1000000</f>
        <v>177.445379382353</v>
      </c>
      <c r="AE549" s="10" t="str">
        <f>IF(AD549&gt;=L549,"CUMPLE","NO CUMPLE")</f>
        <v>CUMPLE</v>
      </c>
      <c r="AF549" s="10">
        <f>V549*1.25*'Parametros'!$B$3*(U549-(V549*1.25*'Parametros'!$B$3/(0.85*'Parametros'!$B$2*H549))/2)/1000000</f>
        <v>290.238924705882</v>
      </c>
      <c r="AG549" s="10">
        <f>AC549*1.25*'Parametros'!$B$3*(AB549-(AC549*1.25*'Parametros'!$B$3/(0.85*'Parametros'!$B$2*H549))/2)/1000000</f>
        <v>244.158843198529</v>
      </c>
      <c r="AH549" s="10">
        <f>N549+(AF549+AG549)/D549</f>
        <v>335.122099223856</v>
      </c>
      <c r="AI549" s="10">
        <f>MAX(O549,AH549)</f>
        <v>470.886</v>
      </c>
      <c r="AJ549" s="10">
        <f>0.17*SQRT('Parametros'!$B$2)*H549*MIN(U549,AB549)/1000</f>
        <v>220.098728691808</v>
      </c>
      <c r="AK549" s="10">
        <f>MAX(AI549/'Parametros'!$B$6-AJ549,0)</f>
        <v>407.749271308192</v>
      </c>
      <c r="AL549" s="10">
        <f>0.66*SQRT('Parametros'!$B$2)*H549*MIN(U549,AB549)/1000</f>
        <v>854.500946685842</v>
      </c>
      <c r="AM549" s="10" t="str">
        <f>IF(AK549&lt;=AL549,"CUMPLE","NO CUMPLE")</f>
        <v>CUMPLE</v>
      </c>
      <c r="AN549" s="17" t="inlineStr">
        <is>
          <t>Nº4 cerrado</t>
        </is>
      </c>
      <c r="AO549" s="31" t="n">
        <v>2</v>
      </c>
      <c r="AP549" s="10">
        <f>ROUNDDOWN(MIN(IF(BC549+BD549=0,1000000000,AO549*BB549/(BC549+BD549)),MIN(U549,AB549)/4,8*'Parametros'!$B$12,24*BA549,300,IF(AV549=0,1000000000,2*((H549-2*('Parametros'!$B$7+'Parametros'!$B$9/2))+(I549-2*('Parametros'!$B$7+'Parametros'!$B$9/2)))/8))/10,0)*10</f>
        <v>100</v>
      </c>
      <c r="AQ549" s="10">
        <f>ROUNDDOWN(MIN(IF(BC549+BD549=0,1000000000,AO549*BB549/(BC549+BD549)),IF(AK549&gt;0.33*SQRT('Parametros'!$B$2)*H549*MIN(U549,AB549)/1000,MIN(U549,AB549)/4,MIN(U549,AB549)/2),600,IF(AV549=0,1000000000,2*((H549-2*('Parametros'!$B$7+'Parametros'!$B$9/2))+(I549-2*('Parametros'!$B$7+'Parametros'!$B$9/2)))/8))/10,0)*10</f>
        <v>100</v>
      </c>
      <c r="AR549" s="10">
        <f>'Parametros'!$B$6*(AJ549+MAX(BE549-BD549,0)*'Parametros'!$B$4*MIN(U549,AB549)/1000)</f>
        <v>505.299674463243</v>
      </c>
      <c r="AS549" s="10" t="str">
        <f>IF(AND(ISERROR(SEARCH("referencia",AN549)),AM549="CUMPLE",AR549&gt;=AI549),"CUMPLE","NO CUMPLE")</f>
        <v>CUMPLE</v>
      </c>
      <c r="AT549" s="10">
        <f>'Parametros'!$B$6*0.083*SQRT('Parametros'!$B$2)*(H549*I549)^2/(2*(H549+I549))/1000000</f>
        <v>11.862178757599</v>
      </c>
      <c r="AU549" s="10" t="str">
        <f>IF(Q549&lt;=AT549,"DESPRECIABLE","DISEÑAR")</f>
        <v>DISEÑAR</v>
      </c>
      <c r="AV549" s="10">
        <f>IF(Q549&lt;=AT549,0,Q549*1000000/('Parametros'!$B$6*2*0.85*(H549-2*('Parametros'!$B$7+'Parametros'!$B$9/2))*(I549-2*('Parametros'!$B$7+'Parametros'!$B$9/2))*'Parametros'!$B$4))</f>
        <v>0.186412221770092</v>
      </c>
      <c r="AW549" s="10">
        <f>AV549*2*((H549-2*('Parametros'!$B$7+'Parametros'!$B$9/2))+(I549-2*('Parametros'!$B$7+'Parametros'!$B$9/2)))*'Parametros'!$B$4/'Parametros'!$B$3</f>
        <v>322.344013884843</v>
      </c>
      <c r="AX549" s="31" t="n">
        <v>8</v>
      </c>
      <c r="AY549" s="10" t="str">
        <f>IF(AV549=0,"DESPRECIABLE",IF(AND(ISERROR(SEARCH("referencia",AN549)),BB549/AP549&gt;=AV549,BI549&gt;=AW549,BH549="CUMPLE"),"CUMPLE","NO CUMPLE"))</f>
        <v>CUMPLE</v>
      </c>
      <c r="AZ549" s="10" t="str">
        <f>IF(AND(X549="CUMPLE",AE549="CUMPLE",AS549="CUMPLE",OR(AY549="CUMPLE",AY549="DESPRECIABLE"),BH549="CUMPLE",BJ549="CUMPLE"),"CUMPLE","NO CUMPLE")</f>
        <v>CUMPLE</v>
      </c>
      <c r="BA549" s="32" t="n">
        <v>12.7</v>
      </c>
      <c r="BB549" s="32" t="n">
        <v>129</v>
      </c>
      <c r="BC549" s="10">
        <f>MAX(IF(AK549=0,0,AK549*1000/('Parametros'!$B$4*MIN(U549,AB549))),MAX(0.062*SQRT('Parametros'!$B$2)*H549/'Parametros'!$B$4,0.35*H549/'Parametros'!$B$4))</f>
        <v>1.98392070778142</v>
      </c>
      <c r="BD549" s="10">
        <f>2*AV549</f>
        <v>0.372824443540184</v>
      </c>
      <c r="BE549" s="10">
        <f>AO549*BB549/AP549</f>
        <v>2.58</v>
      </c>
      <c r="BF549" s="10">
        <f>SQRT((AI549*1000/(H549*MIN(U549,AB549)))^2+(Q549*1000000*2*((H549-2*('Parametros'!$B$7+'Parametros'!$B$9/2))+(I549-2*('Parametros'!$B$7+'Parametros'!$B$9/2)))/(1.7*((H549-2*('Parametros'!$B$7+'Parametros'!$B$9/2))*(I549-2*('Parametros'!$B$7+'Parametros'!$B$9/2)))^2))^2)</f>
        <v>2.00025692328613</v>
      </c>
      <c r="BG549" s="10">
        <f>'Parametros'!$B$6*(AJ549*1000/(H549*MIN(U549,AB549))+0.66*SQRT('Parametros'!$B$2))</f>
        <v>3.29396038227542</v>
      </c>
      <c r="BH549" s="10" t="str">
        <f>IF(BF549&lt;=BG549,"CUMPLE","NO CUMPLE")</f>
        <v>CUMPLE</v>
      </c>
      <c r="BI549" s="10">
        <f>AX549*'Parametros'!$B$8</f>
        <v>1592</v>
      </c>
      <c r="BJ549" s="10" t="str">
        <f>IF(BI549&gt;=AW549,"CUMPLE","NO CUMPLE")</f>
        <v>CUMPLE</v>
      </c>
    </row>
    <row r="550">
      <c r="A550" s="26" t="inlineStr">
        <is>
          <t>VR3</t>
        </is>
      </c>
      <c r="B550" s="26" t="inlineStr">
        <is>
          <t>1357</t>
        </is>
      </c>
      <c r="C550" s="10" t="n">
        <v>1</v>
      </c>
      <c r="D550" s="10" t="n">
        <v>2.7</v>
      </c>
      <c r="E550" s="10" t="n">
        <v>2.7</v>
      </c>
      <c r="F550" s="10" t="n">
        <v>500</v>
      </c>
      <c r="G550" s="10" t="n">
        <v>550</v>
      </c>
      <c r="H550" s="17" t="n">
        <v>500</v>
      </c>
      <c r="I550" s="17" t="n">
        <v>550</v>
      </c>
      <c r="J550" s="30" t="n">
        <v>156.138</v>
      </c>
      <c r="K550" s="10" t="inlineStr">
        <is>
          <t>1357</t>
        </is>
      </c>
      <c r="L550" s="30" t="n">
        <v>72.4417</v>
      </c>
      <c r="M550" s="10" t="inlineStr">
        <is>
          <t>1357</t>
        </is>
      </c>
      <c r="N550" s="30" t="n">
        <v>116.331</v>
      </c>
      <c r="O550" s="30" t="n">
        <v>355.563</v>
      </c>
      <c r="P550" s="10" t="inlineStr">
        <is>
          <t>1357</t>
        </is>
      </c>
      <c r="Q550" s="30" t="n">
        <v>14.3029</v>
      </c>
      <c r="R550" s="10">
        <f>MAX(MAX(1.4/'Parametros'!$B$3,0.25*SQRT('Parametros'!$B$2)/'Parametros'!$B$3)*H550*U550,(0.85*'Parametros'!$B$2/'Parametros'!$B$3)*(1-SQRT(1-2*(J550*1000000/('Parametros'!$B$5*H550*U550^2))/(0.85*'Parametros'!$B$2)))*H550*U550)</f>
        <v>871.495910119148</v>
      </c>
      <c r="S550" s="31" t="n">
        <v>5</v>
      </c>
      <c r="T550" s="32" t="n">
        <v>1</v>
      </c>
      <c r="U550" s="10">
        <f>IF(T550=1,I550-('Parametros'!$B$7+'Parametros'!$B$9+'Parametros'!$B$12/2),I550-(ROUNDUP(S550/2,0)*('Parametros'!$B$7+'Parametros'!$B$9+'Parametros'!$B$12/2)+ROUNDDOWN(S550/2,0)*('Parametros'!$B$7+'Parametros'!$B$9+'Parametros'!$B$12/2+'Parametros'!$B$12+'Parametros'!$B$10))/S550)</f>
        <v>489.35</v>
      </c>
      <c r="V550" s="10">
        <f>S550*'Parametros'!$B$8</f>
        <v>995</v>
      </c>
      <c r="W550" s="10">
        <f>'Parametros'!$B$5*V550*'Parametros'!$B$3*(U550-(V550*'Parametros'!$B$3/(0.85*'Parametros'!$B$2*H550))/2)/1000000</f>
        <v>177.445379382353</v>
      </c>
      <c r="X550" s="10" t="str">
        <f>IF(W550&gt;=J550,"CUMPLE","NO CUMPLE")</f>
        <v>CUMPLE</v>
      </c>
      <c r="Y550" s="10">
        <f>MAX(MAX(1.4/'Parametros'!$B$3,0.25*SQRT('Parametros'!$B$2)/'Parametros'!$B$3)*H550*AB550,(0.85*'Parametros'!$B$2/'Parametros'!$B$3)*(1-SQRT(1-2*(L550*1000000/('Parametros'!$B$5*H550*AB550^2))/(0.85*'Parametros'!$B$2)))*H550*AB550)</f>
        <v>815.583333333333</v>
      </c>
      <c r="Z550" s="31" t="n">
        <v>5</v>
      </c>
      <c r="AA550" s="32" t="n">
        <v>1</v>
      </c>
      <c r="AB550" s="10">
        <f>IF(AA550=1,I550-('Parametros'!$B$7+'Parametros'!$B$9+'Parametros'!$B$12/2),I550-(ROUNDUP(Z550/2,0)*('Parametros'!$B$7+'Parametros'!$B$9+'Parametros'!$B$12/2)+ROUNDDOWN(Z550/2,0)*('Parametros'!$B$7+'Parametros'!$B$9+'Parametros'!$B$12/2+'Parametros'!$B$12+'Parametros'!$B$10))/Z550)</f>
        <v>489.35</v>
      </c>
      <c r="AC550" s="10">
        <f>Z550*'Parametros'!$B$8</f>
        <v>995</v>
      </c>
      <c r="AD550" s="10">
        <f>'Parametros'!$B$5*AC550*'Parametros'!$B$3*(AB550-(AC550*'Parametros'!$B$3/(0.85*'Parametros'!$B$2*H550))/2)/1000000</f>
        <v>177.445379382353</v>
      </c>
      <c r="AE550" s="10" t="str">
        <f>IF(AD550&gt;=L550,"CUMPLE","NO CUMPLE")</f>
        <v>CUMPLE</v>
      </c>
      <c r="AF550" s="10">
        <f>V550*1.25*'Parametros'!$B$3*(U550-(V550*1.25*'Parametros'!$B$3/(0.85*'Parametros'!$B$2*H550))/2)/1000000</f>
        <v>244.158843198529</v>
      </c>
      <c r="AG550" s="10">
        <f>AC550*1.25*'Parametros'!$B$3*(AB550-(AC550*1.25*'Parametros'!$B$3/(0.85*'Parametros'!$B$2*H550))/2)/1000000</f>
        <v>244.158843198529</v>
      </c>
      <c r="AH550" s="10">
        <f>N550+(AF550+AG550)/D550</f>
        <v>297.189402369281</v>
      </c>
      <c r="AI550" s="10">
        <f>MAX(O550,AH550)</f>
        <v>355.563</v>
      </c>
      <c r="AJ550" s="10">
        <f>0.17*SQRT('Parametros'!$B$2)*H550*MIN(U550,AB550)/1000</f>
        <v>220.098728691808</v>
      </c>
      <c r="AK550" s="10">
        <f>MAX(AI550/'Parametros'!$B$6-AJ550,0)</f>
        <v>253.985271308192</v>
      </c>
      <c r="AL550" s="10">
        <f>0.66*SQRT('Parametros'!$B$2)*H550*MIN(U550,AB550)/1000</f>
        <v>854.500946685842</v>
      </c>
      <c r="AM550" s="10" t="str">
        <f>IF(AK550&lt;=AL550,"CUMPLE","NO CUMPLE")</f>
        <v>CUMPLE</v>
      </c>
      <c r="AN550" s="17" t="inlineStr">
        <is>
          <t>Nº3 cerrado</t>
        </is>
      </c>
      <c r="AO550" s="31" t="n">
        <v>2</v>
      </c>
      <c r="AP550" s="10">
        <f>ROUNDDOWN(MIN(IF(BC550+BD550=0,1000000000,AO550*BB550/(BC550+BD550)),MIN(U550,AB550)/4,8*'Parametros'!$B$12,24*BA550,300,IF(AV550=0,1000000000,2*((H550-2*('Parametros'!$B$7+'Parametros'!$B$9/2))+(I550-2*('Parametros'!$B$7+'Parametros'!$B$9/2)))/8))/10,0)*10</f>
        <v>90</v>
      </c>
      <c r="AQ550" s="10">
        <f>ROUNDDOWN(MIN(IF(BC550+BD550=0,1000000000,AO550*BB550/(BC550+BD550)),IF(AK550&gt;0.33*SQRT('Parametros'!$B$2)*H550*MIN(U550,AB550)/1000,MIN(U550,AB550)/4,MIN(U550,AB550)/2),600,IF(AV550=0,1000000000,2*((H550-2*('Parametros'!$B$7+'Parametros'!$B$9/2))+(I550-2*('Parametros'!$B$7+'Parametros'!$B$9/2)))/8))/10,0)*10</f>
        <v>90</v>
      </c>
      <c r="AR550" s="10">
        <f>'Parametros'!$B$6*(AJ550+MAX(BE550-BD550,0)*'Parametros'!$B$4*MIN(U550,AB550)/1000)</f>
        <v>364.072152634882</v>
      </c>
      <c r="AS550" s="10" t="str">
        <f>IF(AND(ISERROR(SEARCH("referencia",AN550)),AM550="CUMPLE",AR550&gt;=AI550),"CUMPLE","NO CUMPLE")</f>
        <v>CUMPLE</v>
      </c>
      <c r="AT550" s="10">
        <f>'Parametros'!$B$6*0.083*SQRT('Parametros'!$B$2)*(H550*I550)^2/(2*(H550+I550))/1000000</f>
        <v>11.862178757599</v>
      </c>
      <c r="AU550" s="10" t="str">
        <f>IF(Q550&lt;=AT550,"DESPRECIABLE","DISEÑAR")</f>
        <v>DISEÑAR</v>
      </c>
      <c r="AV550" s="10">
        <f>IF(Q550&lt;=AT550,0,Q550*1000000/('Parametros'!$B$6*2*0.85*(H550-2*('Parametros'!$B$7+'Parametros'!$B$9/2))*(I550-2*('Parametros'!$B$7+'Parametros'!$B$9/2))*'Parametros'!$B$4))</f>
        <v>0.14339995518504</v>
      </c>
      <c r="AW550" s="10">
        <f>AV550*2*((H550-2*('Parametros'!$B$7+'Parametros'!$B$9/2))+(I550-2*('Parametros'!$B$7+'Parametros'!$B$9/2)))*'Parametros'!$B$4/'Parametros'!$B$3</f>
        <v>247.967202505971</v>
      </c>
      <c r="AX550" s="31" t="n">
        <v>8</v>
      </c>
      <c r="AY550" s="10" t="str">
        <f>IF(AV550=0,"DESPRECIABLE",IF(AND(ISERROR(SEARCH("referencia",AN550)),BB550/AP550&gt;=AV550,BI550&gt;=AW550,BH550="CUMPLE"),"CUMPLE","NO CUMPLE"))</f>
        <v>CUMPLE</v>
      </c>
      <c r="AZ550" s="10" t="str">
        <f>IF(AND(X550="CUMPLE",AE550="CUMPLE",AS550="CUMPLE",OR(AY550="CUMPLE",AY550="DESPRECIABLE"),BH550="CUMPLE",BJ550="CUMPLE"),"CUMPLE","NO CUMPLE")</f>
        <v>CUMPLE</v>
      </c>
      <c r="BA550" s="32" t="n">
        <v>9.5</v>
      </c>
      <c r="BB550" s="32" t="n">
        <v>71</v>
      </c>
      <c r="BC550" s="10">
        <f>MAX(IF(AK550=0,0,AK550*1000/('Parametros'!$B$4*MIN(U550,AB550))),MAX(0.062*SQRT('Parametros'!$B$2)*H550/'Parametros'!$B$4,0.35*H550/'Parametros'!$B$4))</f>
        <v>1.235775695204</v>
      </c>
      <c r="BD550" s="10">
        <f>2*AV550</f>
        <v>0.28679991037008</v>
      </c>
      <c r="BE550" s="10">
        <f>AO550*BB550/AP550</f>
        <v>1.57777777777778</v>
      </c>
      <c r="BF550" s="10">
        <f>SQRT((AI550*1000/(H550*MIN(U550,AB550)))^2+(Q550*1000000*2*((H550-2*('Parametros'!$B$7+'Parametros'!$B$9/2))+(I550-2*('Parametros'!$B$7+'Parametros'!$B$9/2)))/(1.7*((H550-2*('Parametros'!$B$7+'Parametros'!$B$9/2))*(I550-2*('Parametros'!$B$7+'Parametros'!$B$9/2)))^2))^2)</f>
        <v>1.5125045915788</v>
      </c>
      <c r="BG550" s="10">
        <f>'Parametros'!$B$6*(AJ550*1000/(H550*MIN(U550,AB550))+0.66*SQRT('Parametros'!$B$2))</f>
        <v>3.29396038227542</v>
      </c>
      <c r="BH550" s="10" t="str">
        <f>IF(BF550&lt;=BG550,"CUMPLE","NO CUMPLE")</f>
        <v>CUMPLE</v>
      </c>
      <c r="BI550" s="10">
        <f>AX550*'Parametros'!$B$8</f>
        <v>1592</v>
      </c>
      <c r="BJ550" s="10" t="str">
        <f>IF(BI550&gt;=AW550,"CUMPLE","NO CUMPLE")</f>
        <v>CUMPLE</v>
      </c>
    </row>
    <row r="551">
      <c r="A551" s="26" t="inlineStr">
        <is>
          <t>VR3</t>
        </is>
      </c>
      <c r="B551" s="26" t="inlineStr">
        <is>
          <t>1358</t>
        </is>
      </c>
      <c r="C551" s="10" t="n">
        <v>1</v>
      </c>
      <c r="D551" s="10" t="n">
        <v>2.7</v>
      </c>
      <c r="E551" s="10" t="n">
        <v>2.7</v>
      </c>
      <c r="F551" s="10" t="n">
        <v>500</v>
      </c>
      <c r="G551" s="10" t="n">
        <v>550</v>
      </c>
      <c r="H551" s="17" t="n">
        <v>500</v>
      </c>
      <c r="I551" s="17" t="n">
        <v>550</v>
      </c>
      <c r="J551" s="30" t="n">
        <v>156.2792</v>
      </c>
      <c r="K551" s="10" t="inlineStr">
        <is>
          <t>1358</t>
        </is>
      </c>
      <c r="L551" s="30" t="n">
        <v>72.5149</v>
      </c>
      <c r="M551" s="10" t="inlineStr">
        <is>
          <t>1358</t>
        </is>
      </c>
      <c r="N551" s="30" t="n">
        <v>116.415</v>
      </c>
      <c r="O551" s="30" t="n">
        <v>355.633</v>
      </c>
      <c r="P551" s="10" t="inlineStr">
        <is>
          <t>1358</t>
        </is>
      </c>
      <c r="Q551" s="30" t="n">
        <v>14.2983</v>
      </c>
      <c r="R551" s="10">
        <f>MAX(MAX(1.4/'Parametros'!$B$3,0.25*SQRT('Parametros'!$B$2)/'Parametros'!$B$3)*H551*U551,(0.85*'Parametros'!$B$2/'Parametros'!$B$3)*(1-SQRT(1-2*(J551*1000000/('Parametros'!$B$5*H551*U551^2))/(0.85*'Parametros'!$B$2)))*H551*U551)</f>
        <v>872.310484372869</v>
      </c>
      <c r="S551" s="31" t="n">
        <v>5</v>
      </c>
      <c r="T551" s="32" t="n">
        <v>1</v>
      </c>
      <c r="U551" s="10">
        <f>IF(T551=1,I551-('Parametros'!$B$7+'Parametros'!$B$9+'Parametros'!$B$12/2),I551-(ROUNDUP(S551/2,0)*('Parametros'!$B$7+'Parametros'!$B$9+'Parametros'!$B$12/2)+ROUNDDOWN(S551/2,0)*('Parametros'!$B$7+'Parametros'!$B$9+'Parametros'!$B$12/2+'Parametros'!$B$12+'Parametros'!$B$10))/S551)</f>
        <v>489.35</v>
      </c>
      <c r="V551" s="10">
        <f>S551*'Parametros'!$B$8</f>
        <v>995</v>
      </c>
      <c r="W551" s="10">
        <f>'Parametros'!$B$5*V551*'Parametros'!$B$3*(U551-(V551*'Parametros'!$B$3/(0.85*'Parametros'!$B$2*H551))/2)/1000000</f>
        <v>177.445379382353</v>
      </c>
      <c r="X551" s="10" t="str">
        <f>IF(W551&gt;=J551,"CUMPLE","NO CUMPLE")</f>
        <v>CUMPLE</v>
      </c>
      <c r="Y551" s="10">
        <f>MAX(MAX(1.4/'Parametros'!$B$3,0.25*SQRT('Parametros'!$B$2)/'Parametros'!$B$3)*H551*AB551,(0.85*'Parametros'!$B$2/'Parametros'!$B$3)*(1-SQRT(1-2*(L551*1000000/('Parametros'!$B$5*H551*AB551^2))/(0.85*'Parametros'!$B$2)))*H551*AB551)</f>
        <v>815.583333333333</v>
      </c>
      <c r="Z551" s="31" t="n">
        <v>5</v>
      </c>
      <c r="AA551" s="32" t="n">
        <v>1</v>
      </c>
      <c r="AB551" s="10">
        <f>IF(AA551=1,I551-('Parametros'!$B$7+'Parametros'!$B$9+'Parametros'!$B$12/2),I551-(ROUNDUP(Z551/2,0)*('Parametros'!$B$7+'Parametros'!$B$9+'Parametros'!$B$12/2)+ROUNDDOWN(Z551/2,0)*('Parametros'!$B$7+'Parametros'!$B$9+'Parametros'!$B$12/2+'Parametros'!$B$12+'Parametros'!$B$10))/Z551)</f>
        <v>489.35</v>
      </c>
      <c r="AC551" s="10">
        <f>Z551*'Parametros'!$B$8</f>
        <v>995</v>
      </c>
      <c r="AD551" s="10">
        <f>'Parametros'!$B$5*AC551*'Parametros'!$B$3*(AB551-(AC551*'Parametros'!$B$3/(0.85*'Parametros'!$B$2*H551))/2)/1000000</f>
        <v>177.445379382353</v>
      </c>
      <c r="AE551" s="10" t="str">
        <f>IF(AD551&gt;=L551,"CUMPLE","NO CUMPLE")</f>
        <v>CUMPLE</v>
      </c>
      <c r="AF551" s="10">
        <f>V551*1.25*'Parametros'!$B$3*(U551-(V551*1.25*'Parametros'!$B$3/(0.85*'Parametros'!$B$2*H551))/2)/1000000</f>
        <v>244.158843198529</v>
      </c>
      <c r="AG551" s="10">
        <f>AC551*1.25*'Parametros'!$B$3*(AB551-(AC551*1.25*'Parametros'!$B$3/(0.85*'Parametros'!$B$2*H551))/2)/1000000</f>
        <v>244.158843198529</v>
      </c>
      <c r="AH551" s="10">
        <f>N551+(AF551+AG551)/D551</f>
        <v>297.273402369281</v>
      </c>
      <c r="AI551" s="10">
        <f>MAX(O551,AH551)</f>
        <v>355.633</v>
      </c>
      <c r="AJ551" s="10">
        <f>0.17*SQRT('Parametros'!$B$2)*H551*MIN(U551,AB551)/1000</f>
        <v>220.098728691808</v>
      </c>
      <c r="AK551" s="10">
        <f>MAX(AI551/'Parametros'!$B$6-AJ551,0)</f>
        <v>254.078604641526</v>
      </c>
      <c r="AL551" s="10">
        <f>0.66*SQRT('Parametros'!$B$2)*H551*MIN(U551,AB551)/1000</f>
        <v>854.500946685842</v>
      </c>
      <c r="AM551" s="10" t="str">
        <f>IF(AK551&lt;=AL551,"CUMPLE","NO CUMPLE")</f>
        <v>CUMPLE</v>
      </c>
      <c r="AN551" s="17" t="inlineStr">
        <is>
          <t>Nº3 cerrado</t>
        </is>
      </c>
      <c r="AO551" s="31" t="n">
        <v>2</v>
      </c>
      <c r="AP551" s="10">
        <f>ROUNDDOWN(MIN(IF(BC551+BD551=0,1000000000,AO551*BB551/(BC551+BD551)),MIN(U551,AB551)/4,8*'Parametros'!$B$12,24*BA551,300,IF(AV551=0,1000000000,2*((H551-2*('Parametros'!$B$7+'Parametros'!$B$9/2))+(I551-2*('Parametros'!$B$7+'Parametros'!$B$9/2)))/8))/10,0)*10</f>
        <v>90</v>
      </c>
      <c r="AQ551" s="10">
        <f>ROUNDDOWN(MIN(IF(BC551+BD551=0,1000000000,AO551*BB551/(BC551+BD551)),IF(AK551&gt;0.33*SQRT('Parametros'!$B$2)*H551*MIN(U551,AB551)/1000,MIN(U551,AB551)/4,MIN(U551,AB551)/2),600,IF(AV551=0,1000000000,2*((H551-2*('Parametros'!$B$7+'Parametros'!$B$9/2))+(I551-2*('Parametros'!$B$7+'Parametros'!$B$9/2)))/8))/10,0)*10</f>
        <v>90</v>
      </c>
      <c r="AR551" s="10">
        <f>'Parametros'!$B$6*(AJ551+MAX(BE551-BD551,0)*'Parametros'!$B$4*MIN(U551,AB551)/1000)</f>
        <v>364.086370778186</v>
      </c>
      <c r="AS551" s="10" t="str">
        <f>IF(AND(ISERROR(SEARCH("referencia",AN551)),AM551="CUMPLE",AR551&gt;=AI551),"CUMPLE","NO CUMPLE")</f>
        <v>CUMPLE</v>
      </c>
      <c r="AT551" s="10">
        <f>'Parametros'!$B$6*0.083*SQRT('Parametros'!$B$2)*(H551*I551)^2/(2*(H551+I551))/1000000</f>
        <v>11.862178757599</v>
      </c>
      <c r="AU551" s="10" t="str">
        <f>IF(Q551&lt;=AT551,"DESPRECIABLE","DISEÑAR")</f>
        <v>DISEÑAR</v>
      </c>
      <c r="AV551" s="10">
        <f>IF(Q551&lt;=AT551,0,Q551*1000000/('Parametros'!$B$6*2*0.85*(H551-2*('Parametros'!$B$7+'Parametros'!$B$9/2))*(I551-2*('Parametros'!$B$7+'Parametros'!$B$9/2))*'Parametros'!$B$4))</f>
        <v>0.143353835880993</v>
      </c>
      <c r="AW551" s="10">
        <f>AV551*2*((H551-2*('Parametros'!$B$7+'Parametros'!$B$9/2))+(I551-2*('Parametros'!$B$7+'Parametros'!$B$9/2)))*'Parametros'!$B$4/'Parametros'!$B$3</f>
        <v>247.887453005414</v>
      </c>
      <c r="AX551" s="31" t="n">
        <v>8</v>
      </c>
      <c r="AY551" s="10" t="str">
        <f>IF(AV551=0,"DESPRECIABLE",IF(AND(ISERROR(SEARCH("referencia",AN551)),BB551/AP551&gt;=AV551,BI551&gt;=AW551,BH551="CUMPLE"),"CUMPLE","NO CUMPLE"))</f>
        <v>CUMPLE</v>
      </c>
      <c r="AZ551" s="10" t="str">
        <f>IF(AND(X551="CUMPLE",AE551="CUMPLE",AS551="CUMPLE",OR(AY551="CUMPLE",AY551="DESPRECIABLE"),BH551="CUMPLE",BJ551="CUMPLE"),"CUMPLE","NO CUMPLE")</f>
        <v>CUMPLE</v>
      </c>
      <c r="BA551" s="32" t="n">
        <v>9.5</v>
      </c>
      <c r="BB551" s="32" t="n">
        <v>71</v>
      </c>
      <c r="BC551" s="10">
        <f>MAX(IF(AK551=0,0,AK551*1000/('Parametros'!$B$4*MIN(U551,AB551))),MAX(0.062*SQRT('Parametros'!$B$2)*H551/'Parametros'!$B$4,0.35*H551/'Parametros'!$B$4))</f>
        <v>1.23622981234351</v>
      </c>
      <c r="BD551" s="10">
        <f>2*AV551</f>
        <v>0.286707671761987</v>
      </c>
      <c r="BE551" s="10">
        <f>AO551*BB551/AP551</f>
        <v>1.57777777777778</v>
      </c>
      <c r="BF551" s="10">
        <f>SQRT((AI551*1000/(H551*MIN(U551,AB551)))^2+(Q551*1000000*2*((H551-2*('Parametros'!$B$7+'Parametros'!$B$9/2))+(I551-2*('Parametros'!$B$7+'Parametros'!$B$9/2)))/(1.7*((H551-2*('Parametros'!$B$7+'Parametros'!$B$9/2))*(I551-2*('Parametros'!$B$7+'Parametros'!$B$9/2)))^2))^2)</f>
        <v>1.51274208803593</v>
      </c>
      <c r="BG551" s="10">
        <f>'Parametros'!$B$6*(AJ551*1000/(H551*MIN(U551,AB551))+0.66*SQRT('Parametros'!$B$2))</f>
        <v>3.29396038227542</v>
      </c>
      <c r="BH551" s="10" t="str">
        <f>IF(BF551&lt;=BG551,"CUMPLE","NO CUMPLE")</f>
        <v>CUMPLE</v>
      </c>
      <c r="BI551" s="10">
        <f>AX551*'Parametros'!$B$8</f>
        <v>1592</v>
      </c>
      <c r="BJ551" s="10" t="str">
        <f>IF(BI551&gt;=AW551,"CUMPLE","NO CUMPLE")</f>
        <v>CUMPLE</v>
      </c>
    </row>
    <row r="552">
      <c r="A552" s="26" t="inlineStr">
        <is>
          <t>VR3</t>
        </is>
      </c>
      <c r="B552" s="26" t="inlineStr">
        <is>
          <t>1359</t>
        </is>
      </c>
      <c r="C552" s="10" t="n">
        <v>1</v>
      </c>
      <c r="D552" s="10" t="n">
        <v>2.7</v>
      </c>
      <c r="E552" s="10" t="n">
        <v>2.7</v>
      </c>
      <c r="F552" s="10" t="n">
        <v>500</v>
      </c>
      <c r="G552" s="10" t="n">
        <v>550</v>
      </c>
      <c r="H552" s="17" t="n">
        <v>500</v>
      </c>
      <c r="I552" s="17" t="n">
        <v>550</v>
      </c>
      <c r="J552" s="30" t="n">
        <v>112.0069</v>
      </c>
      <c r="K552" s="10" t="inlineStr">
        <is>
          <t>1359</t>
        </is>
      </c>
      <c r="L552" s="30" t="n">
        <v>26.6423</v>
      </c>
      <c r="M552" s="10" t="inlineStr">
        <is>
          <t>1359</t>
        </is>
      </c>
      <c r="N552" s="30" t="n">
        <v>90.396</v>
      </c>
      <c r="O552" s="30" t="n">
        <v>209.003</v>
      </c>
      <c r="P552" s="10" t="inlineStr">
        <is>
          <t>1359</t>
        </is>
      </c>
      <c r="Q552" s="30" t="n">
        <v>8.628500000000001</v>
      </c>
      <c r="R552" s="10">
        <f>MAX(MAX(1.4/'Parametros'!$B$3,0.25*SQRT('Parametros'!$B$2)/'Parametros'!$B$3)*H552*U552,(0.85*'Parametros'!$B$2/'Parametros'!$B$3)*(1-SQRT(1-2*(J552*1000000/('Parametros'!$B$5*H552*U552^2))/(0.85*'Parametros'!$B$2)))*H552*U552)</f>
        <v>815.583333333333</v>
      </c>
      <c r="S552" s="31" t="n">
        <v>5</v>
      </c>
      <c r="T552" s="32" t="n">
        <v>1</v>
      </c>
      <c r="U552" s="10">
        <f>IF(T552=1,I552-('Parametros'!$B$7+'Parametros'!$B$9+'Parametros'!$B$12/2),I552-(ROUNDUP(S552/2,0)*('Parametros'!$B$7+'Parametros'!$B$9+'Parametros'!$B$12/2)+ROUNDDOWN(S552/2,0)*('Parametros'!$B$7+'Parametros'!$B$9+'Parametros'!$B$12/2+'Parametros'!$B$12+'Parametros'!$B$10))/S552)</f>
        <v>489.35</v>
      </c>
      <c r="V552" s="10">
        <f>S552*'Parametros'!$B$8</f>
        <v>995</v>
      </c>
      <c r="W552" s="10">
        <f>'Parametros'!$B$5*V552*'Parametros'!$B$3*(U552-(V552*'Parametros'!$B$3/(0.85*'Parametros'!$B$2*H552))/2)/1000000</f>
        <v>177.445379382353</v>
      </c>
      <c r="X552" s="10" t="str">
        <f>IF(W552&gt;=J552,"CUMPLE","NO CUMPLE")</f>
        <v>CUMPLE</v>
      </c>
      <c r="Y552" s="10">
        <f>MAX(MAX(1.4/'Parametros'!$B$3,0.25*SQRT('Parametros'!$B$2)/'Parametros'!$B$3)*H552*AB552,(0.85*'Parametros'!$B$2/'Parametros'!$B$3)*(1-SQRT(1-2*(L552*1000000/('Parametros'!$B$5*H552*AB552^2))/(0.85*'Parametros'!$B$2)))*H552*AB552)</f>
        <v>815.583333333333</v>
      </c>
      <c r="Z552" s="31" t="n">
        <v>5</v>
      </c>
      <c r="AA552" s="32" t="n">
        <v>1</v>
      </c>
      <c r="AB552" s="10">
        <f>IF(AA552=1,I552-('Parametros'!$B$7+'Parametros'!$B$9+'Parametros'!$B$12/2),I552-(ROUNDUP(Z552/2,0)*('Parametros'!$B$7+'Parametros'!$B$9+'Parametros'!$B$12/2)+ROUNDDOWN(Z552/2,0)*('Parametros'!$B$7+'Parametros'!$B$9+'Parametros'!$B$12/2+'Parametros'!$B$12+'Parametros'!$B$10))/Z552)</f>
        <v>489.35</v>
      </c>
      <c r="AC552" s="10">
        <f>Z552*'Parametros'!$B$8</f>
        <v>995</v>
      </c>
      <c r="AD552" s="10">
        <f>'Parametros'!$B$5*AC552*'Parametros'!$B$3*(AB552-(AC552*'Parametros'!$B$3/(0.85*'Parametros'!$B$2*H552))/2)/1000000</f>
        <v>177.445379382353</v>
      </c>
      <c r="AE552" s="10" t="str">
        <f>IF(AD552&gt;=L552,"CUMPLE","NO CUMPLE")</f>
        <v>CUMPLE</v>
      </c>
      <c r="AF552" s="10">
        <f>V552*1.25*'Parametros'!$B$3*(U552-(V552*1.25*'Parametros'!$B$3/(0.85*'Parametros'!$B$2*H552))/2)/1000000</f>
        <v>244.158843198529</v>
      </c>
      <c r="AG552" s="10">
        <f>AC552*1.25*'Parametros'!$B$3*(AB552-(AC552*1.25*'Parametros'!$B$3/(0.85*'Parametros'!$B$2*H552))/2)/1000000</f>
        <v>244.158843198529</v>
      </c>
      <c r="AH552" s="10">
        <f>N552+(AF552+AG552)/D552</f>
        <v>271.254402369281</v>
      </c>
      <c r="AI552" s="10">
        <f>MAX(O552,AH552)</f>
        <v>271.254402369281</v>
      </c>
      <c r="AJ552" s="10">
        <f>0.17*SQRT('Parametros'!$B$2)*H552*MIN(U552,AB552)/1000</f>
        <v>220.098728691808</v>
      </c>
      <c r="AK552" s="10">
        <f>MAX(AI552/'Parametros'!$B$6-AJ552,0)</f>
        <v>141.573807800567</v>
      </c>
      <c r="AL552" s="10">
        <f>0.66*SQRT('Parametros'!$B$2)*H552*MIN(U552,AB552)/1000</f>
        <v>854.500946685842</v>
      </c>
      <c r="AM552" s="10" t="str">
        <f>IF(AK552&lt;=AL552,"CUMPLE","NO CUMPLE")</f>
        <v>CUMPLE</v>
      </c>
      <c r="AN552" s="17" t="inlineStr">
        <is>
          <t>Nº3 cerrado</t>
        </is>
      </c>
      <c r="AO552" s="31" t="n">
        <v>2</v>
      </c>
      <c r="AP552" s="10">
        <f>ROUNDDOWN(MIN(IF(BC552+BD552=0,1000000000,AO552*BB552/(BC552+BD552)),MIN(U552,AB552)/4,8*'Parametros'!$B$12,24*BA552,300,IF(AV552=0,1000000000,2*((H552-2*('Parametros'!$B$7+'Parametros'!$B$9/2))+(I552-2*('Parametros'!$B$7+'Parametros'!$B$9/2)))/8))/10,0)*10</f>
        <v>120</v>
      </c>
      <c r="AQ552" s="10">
        <f>ROUNDDOWN(MIN(IF(BC552+BD552=0,1000000000,AO552*BB552/(BC552+BD552)),IF(AK552&gt;0.33*SQRT('Parametros'!$B$2)*H552*MIN(U552,AB552)/1000,MIN(U552,AB552)/4,MIN(U552,AB552)/2),600,IF(AV552=0,1000000000,2*((H552-2*('Parametros'!$B$7+'Parametros'!$B$9/2))+(I552-2*('Parametros'!$B$7+'Parametros'!$B$9/2)))/8))/10,0)*10</f>
        <v>200</v>
      </c>
      <c r="AR552" s="10">
        <f>'Parametros'!$B$6*(AJ552+MAX(BE552-BD552,0)*'Parametros'!$B$4*MIN(U552,AB552)/1000)</f>
        <v>347.479259018856</v>
      </c>
      <c r="AS552" s="10" t="str">
        <f>IF(AND(ISERROR(SEARCH("referencia",AN552)),AM552="CUMPLE",AR552&gt;=AI552),"CUMPLE","NO CUMPLE")</f>
        <v>CUMPLE</v>
      </c>
      <c r="AT552" s="10">
        <f>'Parametros'!$B$6*0.083*SQRT('Parametros'!$B$2)*(H552*I552)^2/(2*(H552+I552))/1000000</f>
        <v>11.862178757599</v>
      </c>
      <c r="AU552" s="10" t="str">
        <f>IF(Q552&lt;=AT552,"DESPRECIABLE","DISEÑAR")</f>
        <v>DESPRECIABLE</v>
      </c>
      <c r="AV552" s="10">
        <f>IF(Q552&lt;=AT552,0,Q552*1000000/('Parametros'!$B$6*2*0.85*(H552-2*('Parametros'!$B$7+'Parametros'!$B$9/2))*(I552-2*('Parametros'!$B$7+'Parametros'!$B$9/2))*'Parametros'!$B$4))</f>
        <v>0</v>
      </c>
      <c r="AW552" s="10">
        <f>AV552*2*((H552-2*('Parametros'!$B$7+'Parametros'!$B$9/2))+(I552-2*('Parametros'!$B$7+'Parametros'!$B$9/2)))*'Parametros'!$B$4/'Parametros'!$B$3</f>
        <v>0</v>
      </c>
      <c r="AX552" s="31" t="n">
        <v>0</v>
      </c>
      <c r="AY552" s="10" t="str">
        <f>IF(AV552=0,"DESPRECIABLE",IF(AND(ISERROR(SEARCH("referencia",AN552)),BB552/AP552&gt;=AV552,BI552&gt;=AW552,BH552="CUMPLE"),"CUMPLE","NO CUMPLE"))</f>
        <v>DESPRECIABLE</v>
      </c>
      <c r="AZ552" s="10" t="str">
        <f>IF(AND(X552="CUMPLE",AE552="CUMPLE",AS552="CUMPLE",OR(AY552="CUMPLE",AY552="DESPRECIABLE"),BH552="CUMPLE",BJ552="CUMPLE"),"CUMPLE","NO CUMPLE")</f>
        <v>CUMPLE</v>
      </c>
      <c r="BA552" s="32" t="n">
        <v>9.5</v>
      </c>
      <c r="BB552" s="32" t="n">
        <v>71</v>
      </c>
      <c r="BC552" s="10">
        <f>MAX(IF(AK552=0,0,AK552*1000/('Parametros'!$B$4*MIN(U552,AB552))),MAX(0.062*SQRT('Parametros'!$B$2)*H552/'Parametros'!$B$4,0.35*H552/'Parametros'!$B$4))</f>
        <v>0.688833135308582</v>
      </c>
      <c r="BD552" s="10">
        <f>2*AV552</f>
        <v>0</v>
      </c>
      <c r="BE552" s="10">
        <f>AO552*BB552/AP552</f>
        <v>1.18333333333333</v>
      </c>
      <c r="BF552" s="10">
        <f>SQRT((AI552*1000/(H552*MIN(U552,AB552)))^2+(Q552*1000000*2*((H552-2*('Parametros'!$B$7+'Parametros'!$B$9/2))+(I552-2*('Parametros'!$B$7+'Parametros'!$B$9/2)))/(1.7*((H552-2*('Parametros'!$B$7+'Parametros'!$B$9/2))*(I552-2*('Parametros'!$B$7+'Parametros'!$B$9/2)))^2))^2)</f>
        <v>1.13713094150068</v>
      </c>
      <c r="BG552" s="10">
        <f>'Parametros'!$B$6*(AJ552*1000/(H552*MIN(U552,AB552))+0.66*SQRT('Parametros'!$B$2))</f>
        <v>3.29396038227542</v>
      </c>
      <c r="BH552" s="10" t="str">
        <f>IF(BF552&lt;=BG552,"CUMPLE","NO CUMPLE")</f>
        <v>CUMPLE</v>
      </c>
      <c r="BI552" s="10">
        <f>AX552*'Parametros'!$B$8</f>
        <v>0</v>
      </c>
      <c r="BJ552" s="10" t="str">
        <f>IF(BI552&gt;=AW552,"CUMPLE","NO CUMPLE")</f>
        <v>CUMPLE</v>
      </c>
    </row>
    <row r="553">
      <c r="A553" s="26" t="inlineStr">
        <is>
          <t>VR3</t>
        </is>
      </c>
      <c r="B553" s="26" t="inlineStr">
        <is>
          <t>1360</t>
        </is>
      </c>
      <c r="C553" s="10" t="n">
        <v>1</v>
      </c>
      <c r="D553" s="10" t="n">
        <v>2.7</v>
      </c>
      <c r="E553" s="10" t="n">
        <v>2.7</v>
      </c>
      <c r="F553" s="10" t="n">
        <v>500</v>
      </c>
      <c r="G553" s="10" t="n">
        <v>550</v>
      </c>
      <c r="H553" s="17" t="n">
        <v>500</v>
      </c>
      <c r="I553" s="17" t="n">
        <v>550</v>
      </c>
      <c r="J553" s="30" t="n">
        <v>112.1584</v>
      </c>
      <c r="K553" s="10" t="inlineStr">
        <is>
          <t>1360</t>
        </is>
      </c>
      <c r="L553" s="30" t="n">
        <v>26.7138</v>
      </c>
      <c r="M553" s="10" t="inlineStr">
        <is>
          <t>1360</t>
        </is>
      </c>
      <c r="N553" s="30" t="n">
        <v>90.482</v>
      </c>
      <c r="O553" s="30" t="n">
        <v>209.074</v>
      </c>
      <c r="P553" s="10" t="inlineStr">
        <is>
          <t>1360</t>
        </is>
      </c>
      <c r="Q553" s="30" t="n">
        <v>8.628299999999999</v>
      </c>
      <c r="R553" s="10">
        <f>MAX(MAX(1.4/'Parametros'!$B$3,0.25*SQRT('Parametros'!$B$2)/'Parametros'!$B$3)*H553*U553,(0.85*'Parametros'!$B$2/'Parametros'!$B$3)*(1-SQRT(1-2*(J553*1000000/('Parametros'!$B$5*H553*U553^2))/(0.85*'Parametros'!$B$2)))*H553*U553)</f>
        <v>815.583333333333</v>
      </c>
      <c r="S553" s="31" t="n">
        <v>5</v>
      </c>
      <c r="T553" s="32" t="n">
        <v>1</v>
      </c>
      <c r="U553" s="10">
        <f>IF(T553=1,I553-('Parametros'!$B$7+'Parametros'!$B$9+'Parametros'!$B$12/2),I553-(ROUNDUP(S553/2,0)*('Parametros'!$B$7+'Parametros'!$B$9+'Parametros'!$B$12/2)+ROUNDDOWN(S553/2,0)*('Parametros'!$B$7+'Parametros'!$B$9+'Parametros'!$B$12/2+'Parametros'!$B$12+'Parametros'!$B$10))/S553)</f>
        <v>489.35</v>
      </c>
      <c r="V553" s="10">
        <f>S553*'Parametros'!$B$8</f>
        <v>995</v>
      </c>
      <c r="W553" s="10">
        <f>'Parametros'!$B$5*V553*'Parametros'!$B$3*(U553-(V553*'Parametros'!$B$3/(0.85*'Parametros'!$B$2*H553))/2)/1000000</f>
        <v>177.445379382353</v>
      </c>
      <c r="X553" s="10" t="str">
        <f>IF(W553&gt;=J553,"CUMPLE","NO CUMPLE")</f>
        <v>CUMPLE</v>
      </c>
      <c r="Y553" s="10">
        <f>MAX(MAX(1.4/'Parametros'!$B$3,0.25*SQRT('Parametros'!$B$2)/'Parametros'!$B$3)*H553*AB553,(0.85*'Parametros'!$B$2/'Parametros'!$B$3)*(1-SQRT(1-2*(L553*1000000/('Parametros'!$B$5*H553*AB553^2))/(0.85*'Parametros'!$B$2)))*H553*AB553)</f>
        <v>815.583333333333</v>
      </c>
      <c r="Z553" s="31" t="n">
        <v>5</v>
      </c>
      <c r="AA553" s="32" t="n">
        <v>1</v>
      </c>
      <c r="AB553" s="10">
        <f>IF(AA553=1,I553-('Parametros'!$B$7+'Parametros'!$B$9+'Parametros'!$B$12/2),I553-(ROUNDUP(Z553/2,0)*('Parametros'!$B$7+'Parametros'!$B$9+'Parametros'!$B$12/2)+ROUNDDOWN(Z553/2,0)*('Parametros'!$B$7+'Parametros'!$B$9+'Parametros'!$B$12/2+'Parametros'!$B$12+'Parametros'!$B$10))/Z553)</f>
        <v>489.35</v>
      </c>
      <c r="AC553" s="10">
        <f>Z553*'Parametros'!$B$8</f>
        <v>995</v>
      </c>
      <c r="AD553" s="10">
        <f>'Parametros'!$B$5*AC553*'Parametros'!$B$3*(AB553-(AC553*'Parametros'!$B$3/(0.85*'Parametros'!$B$2*H553))/2)/1000000</f>
        <v>177.445379382353</v>
      </c>
      <c r="AE553" s="10" t="str">
        <f>IF(AD553&gt;=L553,"CUMPLE","NO CUMPLE")</f>
        <v>CUMPLE</v>
      </c>
      <c r="AF553" s="10">
        <f>V553*1.25*'Parametros'!$B$3*(U553-(V553*1.25*'Parametros'!$B$3/(0.85*'Parametros'!$B$2*H553))/2)/1000000</f>
        <v>244.158843198529</v>
      </c>
      <c r="AG553" s="10">
        <f>AC553*1.25*'Parametros'!$B$3*(AB553-(AC553*1.25*'Parametros'!$B$3/(0.85*'Parametros'!$B$2*H553))/2)/1000000</f>
        <v>244.158843198529</v>
      </c>
      <c r="AH553" s="10">
        <f>N553+(AF553+AG553)/D553</f>
        <v>271.340402369281</v>
      </c>
      <c r="AI553" s="10">
        <f>MAX(O553,AH553)</f>
        <v>271.340402369281</v>
      </c>
      <c r="AJ553" s="10">
        <f>0.17*SQRT('Parametros'!$B$2)*H553*MIN(U553,AB553)/1000</f>
        <v>220.098728691808</v>
      </c>
      <c r="AK553" s="10">
        <f>MAX(AI553/'Parametros'!$B$6-AJ553,0)</f>
        <v>141.688474467234</v>
      </c>
      <c r="AL553" s="10">
        <f>0.66*SQRT('Parametros'!$B$2)*H553*MIN(U553,AB553)/1000</f>
        <v>854.500946685842</v>
      </c>
      <c r="AM553" s="10" t="str">
        <f>IF(AK553&lt;=AL553,"CUMPLE","NO CUMPLE")</f>
        <v>CUMPLE</v>
      </c>
      <c r="AN553" s="17" t="inlineStr">
        <is>
          <t>Nº3 cerrado</t>
        </is>
      </c>
      <c r="AO553" s="31" t="n">
        <v>2</v>
      </c>
      <c r="AP553" s="10">
        <f>ROUNDDOWN(MIN(IF(BC553+BD553=0,1000000000,AO553*BB553/(BC553+BD553)),MIN(U553,AB553)/4,8*'Parametros'!$B$12,24*BA553,300,IF(AV553=0,1000000000,2*((H553-2*('Parametros'!$B$7+'Parametros'!$B$9/2))+(I553-2*('Parametros'!$B$7+'Parametros'!$B$9/2)))/8))/10,0)*10</f>
        <v>120</v>
      </c>
      <c r="AQ553" s="10">
        <f>ROUNDDOWN(MIN(IF(BC553+BD553=0,1000000000,AO553*BB553/(BC553+BD553)),IF(AK553&gt;0.33*SQRT('Parametros'!$B$2)*H553*MIN(U553,AB553)/1000,MIN(U553,AB553)/4,MIN(U553,AB553)/2),600,IF(AV553=0,1000000000,2*((H553-2*('Parametros'!$B$7+'Parametros'!$B$9/2))+(I553-2*('Parametros'!$B$7+'Parametros'!$B$9/2)))/8))/10,0)*10</f>
        <v>200</v>
      </c>
      <c r="AR553" s="10">
        <f>'Parametros'!$B$6*(AJ553+MAX(BE553-BD553,0)*'Parametros'!$B$4*MIN(U553,AB553)/1000)</f>
        <v>347.479259018856</v>
      </c>
      <c r="AS553" s="10" t="str">
        <f>IF(AND(ISERROR(SEARCH("referencia",AN553)),AM553="CUMPLE",AR553&gt;=AI553),"CUMPLE","NO CUMPLE")</f>
        <v>CUMPLE</v>
      </c>
      <c r="AT553" s="10">
        <f>'Parametros'!$B$6*0.083*SQRT('Parametros'!$B$2)*(H553*I553)^2/(2*(H553+I553))/1000000</f>
        <v>11.862178757599</v>
      </c>
      <c r="AU553" s="10" t="str">
        <f>IF(Q553&lt;=AT553,"DESPRECIABLE","DISEÑAR")</f>
        <v>DESPRECIABLE</v>
      </c>
      <c r="AV553" s="10">
        <f>IF(Q553&lt;=AT553,0,Q553*1000000/('Parametros'!$B$6*2*0.85*(H553-2*('Parametros'!$B$7+'Parametros'!$B$9/2))*(I553-2*('Parametros'!$B$7+'Parametros'!$B$9/2))*'Parametros'!$B$4))</f>
        <v>0</v>
      </c>
      <c r="AW553" s="10">
        <f>AV553*2*((H553-2*('Parametros'!$B$7+'Parametros'!$B$9/2))+(I553-2*('Parametros'!$B$7+'Parametros'!$B$9/2)))*'Parametros'!$B$4/'Parametros'!$B$3</f>
        <v>0</v>
      </c>
      <c r="AX553" s="31" t="n">
        <v>0</v>
      </c>
      <c r="AY553" s="10" t="str">
        <f>IF(AV553=0,"DESPRECIABLE",IF(AND(ISERROR(SEARCH("referencia",AN553)),BB553/AP553&gt;=AV553,BI553&gt;=AW553,BH553="CUMPLE"),"CUMPLE","NO CUMPLE"))</f>
        <v>DESPRECIABLE</v>
      </c>
      <c r="AZ553" s="10" t="str">
        <f>IF(AND(X553="CUMPLE",AE553="CUMPLE",AS553="CUMPLE",OR(AY553="CUMPLE",AY553="DESPRECIABLE"),BH553="CUMPLE",BJ553="CUMPLE"),"CUMPLE","NO CUMPLE")</f>
        <v>CUMPLE</v>
      </c>
      <c r="BA553" s="32" t="n">
        <v>9.5</v>
      </c>
      <c r="BB553" s="32" t="n">
        <v>71</v>
      </c>
      <c r="BC553" s="10">
        <f>MAX(IF(AK553=0,0,AK553*1000/('Parametros'!$B$4*MIN(U553,AB553))),MAX(0.062*SQRT('Parametros'!$B$2)*H553/'Parametros'!$B$4,0.35*H553/'Parametros'!$B$4))</f>
        <v>0.689391050651416</v>
      </c>
      <c r="BD553" s="10">
        <f>2*AV553</f>
        <v>0</v>
      </c>
      <c r="BE553" s="10">
        <f>AO553*BB553/AP553</f>
        <v>1.18333333333333</v>
      </c>
      <c r="BF553" s="10">
        <f>SQRT((AI553*1000/(H553*MIN(U553,AB553)))^2+(Q553*1000000*2*((H553-2*('Parametros'!$B$7+'Parametros'!$B$9/2))+(I553-2*('Parametros'!$B$7+'Parametros'!$B$9/2)))/(1.7*((H553-2*('Parametros'!$B$7+'Parametros'!$B$9/2))*(I553-2*('Parametros'!$B$7+'Parametros'!$B$9/2)))^2))^2)</f>
        <v>1.13747231746205</v>
      </c>
      <c r="BG553" s="10">
        <f>'Parametros'!$B$6*(AJ553*1000/(H553*MIN(U553,AB553))+0.66*SQRT('Parametros'!$B$2))</f>
        <v>3.29396038227542</v>
      </c>
      <c r="BH553" s="10" t="str">
        <f>IF(BF553&lt;=BG553,"CUMPLE","NO CUMPLE")</f>
        <v>CUMPLE</v>
      </c>
      <c r="BI553" s="10">
        <f>AX553*'Parametros'!$B$8</f>
        <v>0</v>
      </c>
      <c r="BJ553" s="10" t="str">
        <f>IF(BI553&gt;=AW553,"CUMPLE","NO CUMPLE")</f>
        <v>CUMPLE</v>
      </c>
    </row>
    <row r="554">
      <c r="A554" s="26" t="inlineStr">
        <is>
          <t>VR3</t>
        </is>
      </c>
      <c r="B554" s="26" t="inlineStr">
        <is>
          <t>1361</t>
        </is>
      </c>
      <c r="C554" s="10" t="n">
        <v>1</v>
      </c>
      <c r="D554" s="10" t="n">
        <v>2.7</v>
      </c>
      <c r="E554" s="10" t="n">
        <v>2.7</v>
      </c>
      <c r="F554" s="10" t="n">
        <v>500</v>
      </c>
      <c r="G554" s="10" t="n">
        <v>550</v>
      </c>
      <c r="H554" s="17" t="n">
        <v>500</v>
      </c>
      <c r="I554" s="17" t="n">
        <v>550</v>
      </c>
      <c r="J554" s="30" t="n">
        <v>69.0993</v>
      </c>
      <c r="K554" s="10" t="inlineStr">
        <is>
          <t>1361</t>
        </is>
      </c>
      <c r="L554" s="30" t="n">
        <v>0</v>
      </c>
      <c r="M554" s="10" t="inlineStr">
        <is>
          <t>1361</t>
        </is>
      </c>
      <c r="N554" s="30" t="n">
        <v>53.344</v>
      </c>
      <c r="O554" s="30" t="n">
        <v>78.071</v>
      </c>
      <c r="P554" s="10" t="inlineStr">
        <is>
          <t>1361</t>
        </is>
      </c>
      <c r="Q554" s="30" t="n">
        <v>3.2588</v>
      </c>
      <c r="R554" s="10">
        <f>MAX(MAX(1.4/'Parametros'!$B$3,0.25*SQRT('Parametros'!$B$2)/'Parametros'!$B$3)*H554*U554,(0.85*'Parametros'!$B$2/'Parametros'!$B$3)*(1-SQRT(1-2*(J554*1000000/('Parametros'!$B$5*H554*U554^2))/(0.85*'Parametros'!$B$2)))*H554*U554)</f>
        <v>815.583333333333</v>
      </c>
      <c r="S554" s="31" t="n">
        <v>5</v>
      </c>
      <c r="T554" s="32" t="n">
        <v>1</v>
      </c>
      <c r="U554" s="10">
        <f>IF(T554=1,I554-('Parametros'!$B$7+'Parametros'!$B$9+'Parametros'!$B$12/2),I554-(ROUNDUP(S554/2,0)*('Parametros'!$B$7+'Parametros'!$B$9+'Parametros'!$B$12/2)+ROUNDDOWN(S554/2,0)*('Parametros'!$B$7+'Parametros'!$B$9+'Parametros'!$B$12/2+'Parametros'!$B$12+'Parametros'!$B$10))/S554)</f>
        <v>489.35</v>
      </c>
      <c r="V554" s="10">
        <f>S554*'Parametros'!$B$8</f>
        <v>995</v>
      </c>
      <c r="W554" s="10">
        <f>'Parametros'!$B$5*V554*'Parametros'!$B$3*(U554-(V554*'Parametros'!$B$3/(0.85*'Parametros'!$B$2*H554))/2)/1000000</f>
        <v>177.445379382353</v>
      </c>
      <c r="X554" s="10" t="str">
        <f>IF(W554&gt;=J554,"CUMPLE","NO CUMPLE")</f>
        <v>CUMPLE</v>
      </c>
      <c r="Y554" s="10">
        <f>MAX(MAX(1.4/'Parametros'!$B$3,0.25*SQRT('Parametros'!$B$2)/'Parametros'!$B$3)*H554*AB554,(0.85*'Parametros'!$B$2/'Parametros'!$B$3)*(1-SQRT(1-2*(L554*1000000/('Parametros'!$B$5*H554*AB554^2))/(0.85*'Parametros'!$B$2)))*H554*AB554)</f>
        <v>815.583333333333</v>
      </c>
      <c r="Z554" s="31" t="n">
        <v>5</v>
      </c>
      <c r="AA554" s="32" t="n">
        <v>1</v>
      </c>
      <c r="AB554" s="10">
        <f>IF(AA554=1,I554-('Parametros'!$B$7+'Parametros'!$B$9+'Parametros'!$B$12/2),I554-(ROUNDUP(Z554/2,0)*('Parametros'!$B$7+'Parametros'!$B$9+'Parametros'!$B$12/2)+ROUNDDOWN(Z554/2,0)*('Parametros'!$B$7+'Parametros'!$B$9+'Parametros'!$B$12/2+'Parametros'!$B$12+'Parametros'!$B$10))/Z554)</f>
        <v>489.35</v>
      </c>
      <c r="AC554" s="10">
        <f>Z554*'Parametros'!$B$8</f>
        <v>995</v>
      </c>
      <c r="AD554" s="10">
        <f>'Parametros'!$B$5*AC554*'Parametros'!$B$3*(AB554-(AC554*'Parametros'!$B$3/(0.85*'Parametros'!$B$2*H554))/2)/1000000</f>
        <v>177.445379382353</v>
      </c>
      <c r="AE554" s="10" t="str">
        <f>IF(AD554&gt;=L554,"CUMPLE","NO CUMPLE")</f>
        <v>CUMPLE</v>
      </c>
      <c r="AF554" s="10">
        <f>V554*1.25*'Parametros'!$B$3*(U554-(V554*1.25*'Parametros'!$B$3/(0.85*'Parametros'!$B$2*H554))/2)/1000000</f>
        <v>244.158843198529</v>
      </c>
      <c r="AG554" s="10">
        <f>AC554*1.25*'Parametros'!$B$3*(AB554-(AC554*1.25*'Parametros'!$B$3/(0.85*'Parametros'!$B$2*H554))/2)/1000000</f>
        <v>244.158843198529</v>
      </c>
      <c r="AH554" s="10">
        <f>N554+(AF554+AG554)/D554</f>
        <v>234.202402369281</v>
      </c>
      <c r="AI554" s="10">
        <f>MAX(O554,AH554)</f>
        <v>234.202402369281</v>
      </c>
      <c r="AJ554" s="10">
        <f>0.17*SQRT('Parametros'!$B$2)*H554*MIN(U554,AB554)/1000</f>
        <v>220.098728691808</v>
      </c>
      <c r="AK554" s="10">
        <f>MAX(AI554/'Parametros'!$B$6-AJ554,0)</f>
        <v>92.1711411339003</v>
      </c>
      <c r="AL554" s="10">
        <f>0.66*SQRT('Parametros'!$B$2)*H554*MIN(U554,AB554)/1000</f>
        <v>854.500946685842</v>
      </c>
      <c r="AM554" s="10" t="str">
        <f>IF(AK554&lt;=AL554,"CUMPLE","NO CUMPLE")</f>
        <v>CUMPLE</v>
      </c>
      <c r="AN554" s="17" t="inlineStr">
        <is>
          <t>Nº3 cerrado</t>
        </is>
      </c>
      <c r="AO554" s="31" t="n">
        <v>2</v>
      </c>
      <c r="AP554" s="10">
        <f>ROUNDDOWN(MIN(IF(BC554+BD554=0,1000000000,AO554*BB554/(BC554+BD554)),MIN(U554,AB554)/4,8*'Parametros'!$B$12,24*BA554,300,IF(AV554=0,1000000000,2*((H554-2*('Parametros'!$B$7+'Parametros'!$B$9/2))+(I554-2*('Parametros'!$B$7+'Parametros'!$B$9/2)))/8))/10,0)*10</f>
        <v>120</v>
      </c>
      <c r="AQ554" s="10">
        <f>ROUNDDOWN(MIN(IF(BC554+BD554=0,1000000000,AO554*BB554/(BC554+BD554)),IF(AK554&gt;0.33*SQRT('Parametros'!$B$2)*H554*MIN(U554,AB554)/1000,MIN(U554,AB554)/4,MIN(U554,AB554)/2),600,IF(AV554=0,1000000000,2*((H554-2*('Parametros'!$B$7+'Parametros'!$B$9/2))+(I554-2*('Parametros'!$B$7+'Parametros'!$B$9/2)))/8))/10,0)*10</f>
        <v>240</v>
      </c>
      <c r="AR554" s="10">
        <f>'Parametros'!$B$6*(AJ554+MAX(BE554-BD554,0)*'Parametros'!$B$4*MIN(U554,AB554)/1000)</f>
        <v>347.479259018856</v>
      </c>
      <c r="AS554" s="10" t="str">
        <f>IF(AND(ISERROR(SEARCH("referencia",AN554)),AM554="CUMPLE",AR554&gt;=AI554),"CUMPLE","NO CUMPLE")</f>
        <v>CUMPLE</v>
      </c>
      <c r="AT554" s="10">
        <f>'Parametros'!$B$6*0.083*SQRT('Parametros'!$B$2)*(H554*I554)^2/(2*(H554+I554))/1000000</f>
        <v>11.862178757599</v>
      </c>
      <c r="AU554" s="10" t="str">
        <f>IF(Q554&lt;=AT554,"DESPRECIABLE","DISEÑAR")</f>
        <v>DESPRECIABLE</v>
      </c>
      <c r="AV554" s="10">
        <f>IF(Q554&lt;=AT554,0,Q554*1000000/('Parametros'!$B$6*2*0.85*(H554-2*('Parametros'!$B$7+'Parametros'!$B$9/2))*(I554-2*('Parametros'!$B$7+'Parametros'!$B$9/2))*'Parametros'!$B$4))</f>
        <v>0</v>
      </c>
      <c r="AW554" s="10">
        <f>AV554*2*((H554-2*('Parametros'!$B$7+'Parametros'!$B$9/2))+(I554-2*('Parametros'!$B$7+'Parametros'!$B$9/2)))*'Parametros'!$B$4/'Parametros'!$B$3</f>
        <v>0</v>
      </c>
      <c r="AX554" s="31" t="n">
        <v>0</v>
      </c>
      <c r="AY554" s="10" t="str">
        <f>IF(AV554=0,"DESPRECIABLE",IF(AND(ISERROR(SEARCH("referencia",AN554)),BB554/AP554&gt;=AV554,BI554&gt;=AW554,BH554="CUMPLE"),"CUMPLE","NO CUMPLE"))</f>
        <v>DESPRECIABLE</v>
      </c>
      <c r="AZ554" s="10" t="str">
        <f>IF(AND(X554="CUMPLE",AE554="CUMPLE",AS554="CUMPLE",OR(AY554="CUMPLE",AY554="DESPRECIABLE"),BH554="CUMPLE",BJ554="CUMPLE"),"CUMPLE","NO CUMPLE")</f>
        <v>CUMPLE</v>
      </c>
      <c r="BA554" s="32" t="n">
        <v>9.5</v>
      </c>
      <c r="BB554" s="32" t="n">
        <v>71</v>
      </c>
      <c r="BC554" s="10">
        <f>MAX(IF(AK554=0,0,AK554*1000/('Parametros'!$B$4*MIN(U554,AB554))),MAX(0.062*SQRT('Parametros'!$B$2)*H554/'Parametros'!$B$4,0.35*H554/'Parametros'!$B$4))</f>
        <v>0.448462445974983</v>
      </c>
      <c r="BD554" s="10">
        <f>2*AV554</f>
        <v>0</v>
      </c>
      <c r="BE554" s="10">
        <f>AO554*BB554/AP554</f>
        <v>1.18333333333333</v>
      </c>
      <c r="BF554" s="10">
        <f>SQRT((AI554*1000/(H554*MIN(U554,AB554)))^2+(Q554*1000000*2*((H554-2*('Parametros'!$B$7+'Parametros'!$B$9/2))+(I554-2*('Parametros'!$B$7+'Parametros'!$B$9/2)))/(1.7*((H554-2*('Parametros'!$B$7+'Parametros'!$B$9/2))*(I554-2*('Parametros'!$B$7+'Parametros'!$B$9/2)))^2))^2)</f>
        <v>0.961954956573763</v>
      </c>
      <c r="BG554" s="10">
        <f>'Parametros'!$B$6*(AJ554*1000/(H554*MIN(U554,AB554))+0.66*SQRT('Parametros'!$B$2))</f>
        <v>3.29396038227542</v>
      </c>
      <c r="BH554" s="10" t="str">
        <f>IF(BF554&lt;=BG554,"CUMPLE","NO CUMPLE")</f>
        <v>CUMPLE</v>
      </c>
      <c r="BI554" s="10">
        <f>AX554*'Parametros'!$B$8</f>
        <v>0</v>
      </c>
      <c r="BJ554" s="10" t="str">
        <f>IF(BI554&gt;=AW554,"CUMPLE","NO CUMPLE")</f>
        <v>CUMPLE</v>
      </c>
    </row>
    <row r="555">
      <c r="A555" s="26" t="inlineStr">
        <is>
          <t>VR3</t>
        </is>
      </c>
      <c r="B555" s="26" t="inlineStr">
        <is>
          <t>1362</t>
        </is>
      </c>
      <c r="C555" s="10" t="n">
        <v>1</v>
      </c>
      <c r="D555" s="10" t="n">
        <v>2.7</v>
      </c>
      <c r="E555" s="10" t="n">
        <v>2.7</v>
      </c>
      <c r="F555" s="10" t="n">
        <v>500</v>
      </c>
      <c r="G555" s="10" t="n">
        <v>550</v>
      </c>
      <c r="H555" s="17" t="n">
        <v>500</v>
      </c>
      <c r="I555" s="17" t="n">
        <v>550</v>
      </c>
      <c r="J555" s="30" t="n">
        <v>69.1972</v>
      </c>
      <c r="K555" s="10" t="inlineStr">
        <is>
          <t>1362</t>
        </is>
      </c>
      <c r="L555" s="30" t="n">
        <v>0</v>
      </c>
      <c r="M555" s="10" t="inlineStr">
        <is>
          <t>1362</t>
        </is>
      </c>
      <c r="N555" s="30" t="n">
        <v>53.419</v>
      </c>
      <c r="O555" s="30" t="n">
        <v>78.108</v>
      </c>
      <c r="P555" s="10" t="inlineStr">
        <is>
          <t>1362</t>
        </is>
      </c>
      <c r="Q555" s="30" t="n">
        <v>3.2532</v>
      </c>
      <c r="R555" s="10">
        <f>MAX(MAX(1.4/'Parametros'!$B$3,0.25*SQRT('Parametros'!$B$2)/'Parametros'!$B$3)*H555*U555,(0.85*'Parametros'!$B$2/'Parametros'!$B$3)*(1-SQRT(1-2*(J555*1000000/('Parametros'!$B$5*H555*U555^2))/(0.85*'Parametros'!$B$2)))*H555*U555)</f>
        <v>815.583333333333</v>
      </c>
      <c r="S555" s="31" t="n">
        <v>5</v>
      </c>
      <c r="T555" s="32" t="n">
        <v>1</v>
      </c>
      <c r="U555" s="10">
        <f>IF(T555=1,I555-('Parametros'!$B$7+'Parametros'!$B$9+'Parametros'!$B$12/2),I555-(ROUNDUP(S555/2,0)*('Parametros'!$B$7+'Parametros'!$B$9+'Parametros'!$B$12/2)+ROUNDDOWN(S555/2,0)*('Parametros'!$B$7+'Parametros'!$B$9+'Parametros'!$B$12/2+'Parametros'!$B$12+'Parametros'!$B$10))/S555)</f>
        <v>489.35</v>
      </c>
      <c r="V555" s="10">
        <f>S555*'Parametros'!$B$8</f>
        <v>995</v>
      </c>
      <c r="W555" s="10">
        <f>'Parametros'!$B$5*V555*'Parametros'!$B$3*(U555-(V555*'Parametros'!$B$3/(0.85*'Parametros'!$B$2*H555))/2)/1000000</f>
        <v>177.445379382353</v>
      </c>
      <c r="X555" s="10" t="str">
        <f>IF(W555&gt;=J555,"CUMPLE","NO CUMPLE")</f>
        <v>CUMPLE</v>
      </c>
      <c r="Y555" s="10">
        <f>MAX(MAX(1.4/'Parametros'!$B$3,0.25*SQRT('Parametros'!$B$2)/'Parametros'!$B$3)*H555*AB555,(0.85*'Parametros'!$B$2/'Parametros'!$B$3)*(1-SQRT(1-2*(L555*1000000/('Parametros'!$B$5*H555*AB555^2))/(0.85*'Parametros'!$B$2)))*H555*AB555)</f>
        <v>815.583333333333</v>
      </c>
      <c r="Z555" s="31" t="n">
        <v>5</v>
      </c>
      <c r="AA555" s="32" t="n">
        <v>1</v>
      </c>
      <c r="AB555" s="10">
        <f>IF(AA555=1,I555-('Parametros'!$B$7+'Parametros'!$B$9+'Parametros'!$B$12/2),I555-(ROUNDUP(Z555/2,0)*('Parametros'!$B$7+'Parametros'!$B$9+'Parametros'!$B$12/2)+ROUNDDOWN(Z555/2,0)*('Parametros'!$B$7+'Parametros'!$B$9+'Parametros'!$B$12/2+'Parametros'!$B$12+'Parametros'!$B$10))/Z555)</f>
        <v>489.35</v>
      </c>
      <c r="AC555" s="10">
        <f>Z555*'Parametros'!$B$8</f>
        <v>995</v>
      </c>
      <c r="AD555" s="10">
        <f>'Parametros'!$B$5*AC555*'Parametros'!$B$3*(AB555-(AC555*'Parametros'!$B$3/(0.85*'Parametros'!$B$2*H555))/2)/1000000</f>
        <v>177.445379382353</v>
      </c>
      <c r="AE555" s="10" t="str">
        <f>IF(AD555&gt;=L555,"CUMPLE","NO CUMPLE")</f>
        <v>CUMPLE</v>
      </c>
      <c r="AF555" s="10">
        <f>V555*1.25*'Parametros'!$B$3*(U555-(V555*1.25*'Parametros'!$B$3/(0.85*'Parametros'!$B$2*H555))/2)/1000000</f>
        <v>244.158843198529</v>
      </c>
      <c r="AG555" s="10">
        <f>AC555*1.25*'Parametros'!$B$3*(AB555-(AC555*1.25*'Parametros'!$B$3/(0.85*'Parametros'!$B$2*H555))/2)/1000000</f>
        <v>244.158843198529</v>
      </c>
      <c r="AH555" s="10">
        <f>N555+(AF555+AG555)/D555</f>
        <v>234.277402369281</v>
      </c>
      <c r="AI555" s="10">
        <f>MAX(O555,AH555)</f>
        <v>234.277402369281</v>
      </c>
      <c r="AJ555" s="10">
        <f>0.17*SQRT('Parametros'!$B$2)*H555*MIN(U555,AB555)/1000</f>
        <v>220.098728691808</v>
      </c>
      <c r="AK555" s="10">
        <f>MAX(AI555/'Parametros'!$B$6-AJ555,0)</f>
        <v>92.2711411339003</v>
      </c>
      <c r="AL555" s="10">
        <f>0.66*SQRT('Parametros'!$B$2)*H555*MIN(U555,AB555)/1000</f>
        <v>854.500946685842</v>
      </c>
      <c r="AM555" s="10" t="str">
        <f>IF(AK555&lt;=AL555,"CUMPLE","NO CUMPLE")</f>
        <v>CUMPLE</v>
      </c>
      <c r="AN555" s="17" t="inlineStr">
        <is>
          <t>Nº3 cerrado</t>
        </is>
      </c>
      <c r="AO555" s="31" t="n">
        <v>2</v>
      </c>
      <c r="AP555" s="10">
        <f>ROUNDDOWN(MIN(IF(BC555+BD555=0,1000000000,AO555*BB555/(BC555+BD555)),MIN(U555,AB555)/4,8*'Parametros'!$B$12,24*BA555,300,IF(AV555=0,1000000000,2*((H555-2*('Parametros'!$B$7+'Parametros'!$B$9/2))+(I555-2*('Parametros'!$B$7+'Parametros'!$B$9/2)))/8))/10,0)*10</f>
        <v>120</v>
      </c>
      <c r="AQ555" s="10">
        <f>ROUNDDOWN(MIN(IF(BC555+BD555=0,1000000000,AO555*BB555/(BC555+BD555)),IF(AK555&gt;0.33*SQRT('Parametros'!$B$2)*H555*MIN(U555,AB555)/1000,MIN(U555,AB555)/4,MIN(U555,AB555)/2),600,IF(AV555=0,1000000000,2*((H555-2*('Parametros'!$B$7+'Parametros'!$B$9/2))+(I555-2*('Parametros'!$B$7+'Parametros'!$B$9/2)))/8))/10,0)*10</f>
        <v>240</v>
      </c>
      <c r="AR555" s="10">
        <f>'Parametros'!$B$6*(AJ555+MAX(BE555-BD555,0)*'Parametros'!$B$4*MIN(U555,AB555)/1000)</f>
        <v>347.479259018856</v>
      </c>
      <c r="AS555" s="10" t="str">
        <f>IF(AND(ISERROR(SEARCH("referencia",AN555)),AM555="CUMPLE",AR555&gt;=AI555),"CUMPLE","NO CUMPLE")</f>
        <v>CUMPLE</v>
      </c>
      <c r="AT555" s="10">
        <f>'Parametros'!$B$6*0.083*SQRT('Parametros'!$B$2)*(H555*I555)^2/(2*(H555+I555))/1000000</f>
        <v>11.862178757599</v>
      </c>
      <c r="AU555" s="10" t="str">
        <f>IF(Q555&lt;=AT555,"DESPRECIABLE","DISEÑAR")</f>
        <v>DESPRECIABLE</v>
      </c>
      <c r="AV555" s="10">
        <f>IF(Q555&lt;=AT555,0,Q555*1000000/('Parametros'!$B$6*2*0.85*(H555-2*('Parametros'!$B$7+'Parametros'!$B$9/2))*(I555-2*('Parametros'!$B$7+'Parametros'!$B$9/2))*'Parametros'!$B$4))</f>
        <v>0</v>
      </c>
      <c r="AW555" s="10">
        <f>AV555*2*((H555-2*('Parametros'!$B$7+'Parametros'!$B$9/2))+(I555-2*('Parametros'!$B$7+'Parametros'!$B$9/2)))*'Parametros'!$B$4/'Parametros'!$B$3</f>
        <v>0</v>
      </c>
      <c r="AX555" s="31" t="n">
        <v>0</v>
      </c>
      <c r="AY555" s="10" t="str">
        <f>IF(AV555=0,"DESPRECIABLE",IF(AND(ISERROR(SEARCH("referencia",AN555)),BB555/AP555&gt;=AV555,BI555&gt;=AW555,BH555="CUMPLE"),"CUMPLE","NO CUMPLE"))</f>
        <v>DESPRECIABLE</v>
      </c>
      <c r="AZ555" s="10" t="str">
        <f>IF(AND(X555="CUMPLE",AE555="CUMPLE",AS555="CUMPLE",OR(AY555="CUMPLE",AY555="DESPRECIABLE"),BH555="CUMPLE",BJ555="CUMPLE"),"CUMPLE","NO CUMPLE")</f>
        <v>CUMPLE</v>
      </c>
      <c r="BA555" s="32" t="n">
        <v>9.5</v>
      </c>
      <c r="BB555" s="32" t="n">
        <v>71</v>
      </c>
      <c r="BC555" s="10">
        <f>MAX(IF(AK555=0,0,AK555*1000/('Parametros'!$B$4*MIN(U555,AB555))),MAX(0.062*SQRT('Parametros'!$B$2)*H555/'Parametros'!$B$4,0.35*H555/'Parametros'!$B$4))</f>
        <v>0.448949000053036</v>
      </c>
      <c r="BD555" s="10">
        <f>2*AV555</f>
        <v>0</v>
      </c>
      <c r="BE555" s="10">
        <f>AO555*BB555/AP555</f>
        <v>1.18333333333333</v>
      </c>
      <c r="BF555" s="10">
        <f>SQRT((AI555*1000/(H555*MIN(U555,AB555)))^2+(Q555*1000000*2*((H555-2*('Parametros'!$B$7+'Parametros'!$B$9/2))+(I555-2*('Parametros'!$B$7+'Parametros'!$B$9/2)))/(1.7*((H555-2*('Parametros'!$B$7+'Parametros'!$B$9/2))*(I555-2*('Parametros'!$B$7+'Parametros'!$B$9/2)))^2))^2)</f>
        <v>0.962243680557649</v>
      </c>
      <c r="BG555" s="10">
        <f>'Parametros'!$B$6*(AJ555*1000/(H555*MIN(U555,AB555))+0.66*SQRT('Parametros'!$B$2))</f>
        <v>3.29396038227542</v>
      </c>
      <c r="BH555" s="10" t="str">
        <f>IF(BF555&lt;=BG555,"CUMPLE","NO CUMPLE")</f>
        <v>CUMPLE</v>
      </c>
      <c r="BI555" s="10">
        <f>AX555*'Parametros'!$B$8</f>
        <v>0</v>
      </c>
      <c r="BJ555" s="10" t="str">
        <f>IF(BI555&gt;=AW555,"CUMPLE","NO CUMPLE")</f>
        <v>CUMPLE</v>
      </c>
    </row>
    <row r="556">
      <c r="A556" s="27" t="inlineStr">
        <is>
          <t>VRAUX</t>
        </is>
      </c>
      <c r="B556" s="27" t="inlineStr">
        <is>
          <t>105</t>
        </is>
      </c>
      <c r="C556" s="10" t="n">
        <v>1</v>
      </c>
      <c r="D556" s="10" t="n">
        <v>2</v>
      </c>
      <c r="E556" s="10" t="n">
        <v>2</v>
      </c>
      <c r="F556" s="10" t="n">
        <v>450</v>
      </c>
      <c r="G556" s="10" t="n">
        <v>550</v>
      </c>
      <c r="H556" s="17" t="n">
        <v>450</v>
      </c>
      <c r="I556" s="17" t="n">
        <v>550</v>
      </c>
      <c r="J556" s="30" t="n">
        <v>40.3716</v>
      </c>
      <c r="K556" s="10" t="inlineStr">
        <is>
          <t>105</t>
        </is>
      </c>
      <c r="L556" s="30" t="n">
        <v>35.1047</v>
      </c>
      <c r="M556" s="10" t="inlineStr">
        <is>
          <t>105</t>
        </is>
      </c>
      <c r="N556" s="30" t="n">
        <v>36.86</v>
      </c>
      <c r="O556" s="30" t="n">
        <v>147.632</v>
      </c>
      <c r="P556" s="10" t="inlineStr">
        <is>
          <t>105</t>
        </is>
      </c>
      <c r="Q556" s="30" t="n">
        <v>4.4154</v>
      </c>
      <c r="R556" s="10">
        <f>MAX(MAX(1.4/'Parametros'!$B$3,0.25*SQRT('Parametros'!$B$2)/'Parametros'!$B$3)*H556*U556,(0.85*'Parametros'!$B$2/'Parametros'!$B$3)*(1-SQRT(1-2*(J556*1000000/('Parametros'!$B$5*H556*U556^2))/(0.85*'Parametros'!$B$2)))*H556*U556)</f>
        <v>734.025</v>
      </c>
      <c r="S556" s="31" t="n">
        <v>4</v>
      </c>
      <c r="T556" s="32" t="n">
        <v>1</v>
      </c>
      <c r="U556" s="10">
        <f>IF(T556=1,I556-('Parametros'!$B$7+'Parametros'!$B$9+'Parametros'!$B$12/2),I556-(ROUNDUP(S556/2,0)*('Parametros'!$B$7+'Parametros'!$B$9+'Parametros'!$B$12/2)+ROUNDDOWN(S556/2,0)*('Parametros'!$B$7+'Parametros'!$B$9+'Parametros'!$B$12/2+'Parametros'!$B$12+'Parametros'!$B$10))/S556)</f>
        <v>489.35</v>
      </c>
      <c r="V556" s="10">
        <f>S556*'Parametros'!$B$8</f>
        <v>796</v>
      </c>
      <c r="W556" s="10">
        <f>'Parametros'!$B$5*V556*'Parametros'!$B$3*(U556-(V556*'Parametros'!$B$3/(0.85*'Parametros'!$B$2*H556))/2)/1000000</f>
        <v>142.543330094118</v>
      </c>
      <c r="X556" s="10" t="str">
        <f>IF(W556&gt;=J556,"CUMPLE","NO CUMPLE")</f>
        <v>CUMPLE</v>
      </c>
      <c r="Y556" s="10">
        <f>MAX(MAX(1.4/'Parametros'!$B$3,0.25*SQRT('Parametros'!$B$2)/'Parametros'!$B$3)*H556*AB556,(0.85*'Parametros'!$B$2/'Parametros'!$B$3)*(1-SQRT(1-2*(L556*1000000/('Parametros'!$B$5*H556*AB556^2))/(0.85*'Parametros'!$B$2)))*H556*AB556)</f>
        <v>734.025</v>
      </c>
      <c r="Z556" s="31" t="n">
        <v>4</v>
      </c>
      <c r="AA556" s="32" t="n">
        <v>1</v>
      </c>
      <c r="AB556" s="10">
        <f>IF(AA556=1,I556-('Parametros'!$B$7+'Parametros'!$B$9+'Parametros'!$B$12/2),I556-(ROUNDUP(Z556/2,0)*('Parametros'!$B$7+'Parametros'!$B$9+'Parametros'!$B$12/2)+ROUNDDOWN(Z556/2,0)*('Parametros'!$B$7+'Parametros'!$B$9+'Parametros'!$B$12/2+'Parametros'!$B$12+'Parametros'!$B$10))/Z556)</f>
        <v>489.35</v>
      </c>
      <c r="AC556" s="10">
        <f>Z556*'Parametros'!$B$8</f>
        <v>796</v>
      </c>
      <c r="AD556" s="10">
        <f>'Parametros'!$B$5*AC556*'Parametros'!$B$3*(AB556-(AC556*'Parametros'!$B$3/(0.85*'Parametros'!$B$2*H556))/2)/1000000</f>
        <v>142.543330094118</v>
      </c>
      <c r="AE556" s="10" t="str">
        <f>IF(AD556&gt;=L556,"CUMPLE","NO CUMPLE")</f>
        <v>CUMPLE</v>
      </c>
      <c r="AF556" s="10">
        <f>V556*1.25*'Parametros'!$B$3*(U556-(V556*1.25*'Parametros'!$B$3/(0.85*'Parametros'!$B$2*H556))/2)/1000000</f>
        <v>196.346217941176</v>
      </c>
      <c r="AG556" s="10">
        <f>AC556*1.25*'Parametros'!$B$3*(AB556-(AC556*1.25*'Parametros'!$B$3/(0.85*'Parametros'!$B$2*H556))/2)/1000000</f>
        <v>196.346217941176</v>
      </c>
      <c r="AH556" s="10">
        <f>N556+(AF556+AG556)/D556</f>
        <v>233.206217941176</v>
      </c>
      <c r="AI556" s="10">
        <f>MAX(O556,AH556)</f>
        <v>233.206217941176</v>
      </c>
      <c r="AJ556" s="10">
        <f>0.17*SQRT('Parametros'!$B$2)*H556*MIN(U556,AB556)/1000</f>
        <v>198.088855822627</v>
      </c>
      <c r="AK556" s="10">
        <f>MAX(AI556/'Parametros'!$B$6-AJ556,0)</f>
        <v>112.852768098942</v>
      </c>
      <c r="AL556" s="10">
        <f>0.66*SQRT('Parametros'!$B$2)*H556*MIN(U556,AB556)/1000</f>
        <v>769.050852017258</v>
      </c>
      <c r="AM556" s="10" t="str">
        <f>IF(AK556&lt;=AL556,"CUMPLE","NO CUMPLE")</f>
        <v>CUMPLE</v>
      </c>
      <c r="AN556" s="17" t="inlineStr">
        <is>
          <t>Nº3 cerrado</t>
        </is>
      </c>
      <c r="AO556" s="31" t="n">
        <v>2</v>
      </c>
      <c r="AP556" s="10">
        <f>ROUNDDOWN(MIN(IF(BC556+BD556=0,1000000000,AO556*BB556/(BC556+BD556)),MIN(U556,AB556)/4,8*'Parametros'!$B$12,24*BA556,300,IF(AV556=0,1000000000,2*((H556-2*('Parametros'!$B$7+'Parametros'!$B$9/2))+(I556-2*('Parametros'!$B$7+'Parametros'!$B$9/2)))/8))/10,0)*10</f>
        <v>120</v>
      </c>
      <c r="AQ556" s="10">
        <f>ROUNDDOWN(MIN(IF(BC556+BD556=0,1000000000,AO556*BB556/(BC556+BD556)),IF(AK556&gt;0.33*SQRT('Parametros'!$B$2)*H556*MIN(U556,AB556)/1000,MIN(U556,AB556)/4,MIN(U556,AB556)/2),600,IF(AV556=0,1000000000,2*((H556-2*('Parametros'!$B$7+'Parametros'!$B$9/2))+(I556-2*('Parametros'!$B$7+'Parametros'!$B$9/2)))/8))/10,0)*10</f>
        <v>240</v>
      </c>
      <c r="AR556" s="10">
        <f>'Parametros'!$B$6*(AJ556+MAX(BE556-BD556,0)*'Parametros'!$B$4*MIN(U556,AB556)/1000)</f>
        <v>330.97185436697</v>
      </c>
      <c r="AS556" s="10" t="str">
        <f>IF(AND(ISERROR(SEARCH("referencia",AN556)),AM556="CUMPLE",AR556&gt;=AI556),"CUMPLE","NO CUMPLE")</f>
        <v>CUMPLE</v>
      </c>
      <c r="AT556" s="10">
        <f>'Parametros'!$B$6*0.083*SQRT('Parametros'!$B$2)*(H556*I556)^2/(2*(H556+I556))/1000000</f>
        <v>10.0887830333379</v>
      </c>
      <c r="AU556" s="10" t="str">
        <f>IF(Q556&lt;=AT556,"DESPRECIABLE","DISEÑAR")</f>
        <v>DESPRECIABLE</v>
      </c>
      <c r="AV556" s="10">
        <f>IF(Q556&lt;=AT556,0,Q556*1000000/('Parametros'!$B$6*2*0.85*(H556-2*('Parametros'!$B$7+'Parametros'!$B$9/2))*(I556-2*('Parametros'!$B$7+'Parametros'!$B$9/2))*'Parametros'!$B$4))</f>
        <v>0</v>
      </c>
      <c r="AW556" s="10">
        <f>AV556*2*((H556-2*('Parametros'!$B$7+'Parametros'!$B$9/2))+(I556-2*('Parametros'!$B$7+'Parametros'!$B$9/2)))*'Parametros'!$B$4/'Parametros'!$B$3</f>
        <v>0</v>
      </c>
      <c r="AX556" s="31" t="n">
        <v>0</v>
      </c>
      <c r="AY556" s="10" t="str">
        <f>IF(AV556=0,"DESPRECIABLE",IF(AND(ISERROR(SEARCH("referencia",AN556)),BB556/AP556&gt;=AV556,BI556&gt;=AW556,BH556="CUMPLE"),"CUMPLE","NO CUMPLE"))</f>
        <v>DESPRECIABLE</v>
      </c>
      <c r="AZ556" s="10" t="str">
        <f>IF(AND(X556="CUMPLE",AE556="CUMPLE",AS556="CUMPLE",OR(AY556="CUMPLE",AY556="DESPRECIABLE"),BH556="CUMPLE",BJ556="CUMPLE"),"CUMPLE","NO CUMPLE")</f>
        <v>CUMPLE</v>
      </c>
      <c r="BA556" s="32" t="n">
        <v>9.5</v>
      </c>
      <c r="BB556" s="32" t="n">
        <v>71</v>
      </c>
      <c r="BC556" s="10">
        <f>MAX(IF(AK556=0,0,AK556*1000/('Parametros'!$B$4*MIN(U556,AB556))),MAX(0.062*SQRT('Parametros'!$B$2)*H556/'Parametros'!$B$4,0.35*H556/'Parametros'!$B$4))</f>
        <v>0.549089745381102</v>
      </c>
      <c r="BD556" s="10">
        <f>2*AV556</f>
        <v>0</v>
      </c>
      <c r="BE556" s="10">
        <f>AO556*BB556/AP556</f>
        <v>1.18333333333333</v>
      </c>
      <c r="BF556" s="10">
        <f>SQRT((AI556*1000/(H556*MIN(U556,AB556)))^2+(Q556*1000000*2*((H556-2*('Parametros'!$B$7+'Parametros'!$B$9/2))+(I556-2*('Parametros'!$B$7+'Parametros'!$B$9/2)))/(1.7*((H556-2*('Parametros'!$B$7+'Parametros'!$B$9/2))*(I556-2*('Parametros'!$B$7+'Parametros'!$B$9/2)))^2))^2)</f>
        <v>1.07082458045039</v>
      </c>
      <c r="BG556" s="10">
        <f>'Parametros'!$B$6*(AJ556*1000/(H556*MIN(U556,AB556))+0.66*SQRT('Parametros'!$B$2))</f>
        <v>3.29396038227542</v>
      </c>
      <c r="BH556" s="10" t="str">
        <f>IF(BF556&lt;=BG556,"CUMPLE","NO CUMPLE")</f>
        <v>CUMPLE</v>
      </c>
      <c r="BI556" s="10">
        <f>AX556*'Parametros'!$B$8</f>
        <v>0</v>
      </c>
      <c r="BJ556" s="10" t="str">
        <f>IF(BI556&gt;=AW556,"CUMPLE","NO CUMPLE")</f>
        <v>CUMPLE</v>
      </c>
    </row>
    <row r="557">
      <c r="A557" s="27" t="inlineStr">
        <is>
          <t>VRAUX</t>
        </is>
      </c>
      <c r="B557" s="27" t="inlineStr">
        <is>
          <t>106</t>
        </is>
      </c>
      <c r="C557" s="10" t="n">
        <v>1</v>
      </c>
      <c r="D557" s="10" t="n">
        <v>2</v>
      </c>
      <c r="E557" s="10" t="n">
        <v>2</v>
      </c>
      <c r="F557" s="10" t="n">
        <v>450</v>
      </c>
      <c r="G557" s="10" t="n">
        <v>550</v>
      </c>
      <c r="H557" s="17" t="n">
        <v>450</v>
      </c>
      <c r="I557" s="17" t="n">
        <v>550</v>
      </c>
      <c r="J557" s="30" t="n">
        <v>40.3647</v>
      </c>
      <c r="K557" s="10" t="inlineStr">
        <is>
          <t>106</t>
        </is>
      </c>
      <c r="L557" s="30" t="n">
        <v>35.1089</v>
      </c>
      <c r="M557" s="10" t="inlineStr">
        <is>
          <t>106</t>
        </is>
      </c>
      <c r="N557" s="30" t="n">
        <v>36.855</v>
      </c>
      <c r="O557" s="30" t="n">
        <v>147.627</v>
      </c>
      <c r="P557" s="10" t="inlineStr">
        <is>
          <t>106</t>
        </is>
      </c>
      <c r="Q557" s="30" t="n">
        <v>4.4154</v>
      </c>
      <c r="R557" s="10">
        <f>MAX(MAX(1.4/'Parametros'!$B$3,0.25*SQRT('Parametros'!$B$2)/'Parametros'!$B$3)*H557*U557,(0.85*'Parametros'!$B$2/'Parametros'!$B$3)*(1-SQRT(1-2*(J557*1000000/('Parametros'!$B$5*H557*U557^2))/(0.85*'Parametros'!$B$2)))*H557*U557)</f>
        <v>734.025</v>
      </c>
      <c r="S557" s="31" t="n">
        <v>4</v>
      </c>
      <c r="T557" s="32" t="n">
        <v>1</v>
      </c>
      <c r="U557" s="10">
        <f>IF(T557=1,I557-('Parametros'!$B$7+'Parametros'!$B$9+'Parametros'!$B$12/2),I557-(ROUNDUP(S557/2,0)*('Parametros'!$B$7+'Parametros'!$B$9+'Parametros'!$B$12/2)+ROUNDDOWN(S557/2,0)*('Parametros'!$B$7+'Parametros'!$B$9+'Parametros'!$B$12/2+'Parametros'!$B$12+'Parametros'!$B$10))/S557)</f>
        <v>489.35</v>
      </c>
      <c r="V557" s="10">
        <f>S557*'Parametros'!$B$8</f>
        <v>796</v>
      </c>
      <c r="W557" s="10">
        <f>'Parametros'!$B$5*V557*'Parametros'!$B$3*(U557-(V557*'Parametros'!$B$3/(0.85*'Parametros'!$B$2*H557))/2)/1000000</f>
        <v>142.543330094118</v>
      </c>
      <c r="X557" s="10" t="str">
        <f>IF(W557&gt;=J557,"CUMPLE","NO CUMPLE")</f>
        <v>CUMPLE</v>
      </c>
      <c r="Y557" s="10">
        <f>MAX(MAX(1.4/'Parametros'!$B$3,0.25*SQRT('Parametros'!$B$2)/'Parametros'!$B$3)*H557*AB557,(0.85*'Parametros'!$B$2/'Parametros'!$B$3)*(1-SQRT(1-2*(L557*1000000/('Parametros'!$B$5*H557*AB557^2))/(0.85*'Parametros'!$B$2)))*H557*AB557)</f>
        <v>734.025</v>
      </c>
      <c r="Z557" s="31" t="n">
        <v>4</v>
      </c>
      <c r="AA557" s="32" t="n">
        <v>1</v>
      </c>
      <c r="AB557" s="10">
        <f>IF(AA557=1,I557-('Parametros'!$B$7+'Parametros'!$B$9+'Parametros'!$B$12/2),I557-(ROUNDUP(Z557/2,0)*('Parametros'!$B$7+'Parametros'!$B$9+'Parametros'!$B$12/2)+ROUNDDOWN(Z557/2,0)*('Parametros'!$B$7+'Parametros'!$B$9+'Parametros'!$B$12/2+'Parametros'!$B$12+'Parametros'!$B$10))/Z557)</f>
        <v>489.35</v>
      </c>
      <c r="AC557" s="10">
        <f>Z557*'Parametros'!$B$8</f>
        <v>796</v>
      </c>
      <c r="AD557" s="10">
        <f>'Parametros'!$B$5*AC557*'Parametros'!$B$3*(AB557-(AC557*'Parametros'!$B$3/(0.85*'Parametros'!$B$2*H557))/2)/1000000</f>
        <v>142.543330094118</v>
      </c>
      <c r="AE557" s="10" t="str">
        <f>IF(AD557&gt;=L557,"CUMPLE","NO CUMPLE")</f>
        <v>CUMPLE</v>
      </c>
      <c r="AF557" s="10">
        <f>V557*1.25*'Parametros'!$B$3*(U557-(V557*1.25*'Parametros'!$B$3/(0.85*'Parametros'!$B$2*H557))/2)/1000000</f>
        <v>196.346217941176</v>
      </c>
      <c r="AG557" s="10">
        <f>AC557*1.25*'Parametros'!$B$3*(AB557-(AC557*1.25*'Parametros'!$B$3/(0.85*'Parametros'!$B$2*H557))/2)/1000000</f>
        <v>196.346217941176</v>
      </c>
      <c r="AH557" s="10">
        <f>N557+(AF557+AG557)/D557</f>
        <v>233.201217941176</v>
      </c>
      <c r="AI557" s="10">
        <f>MAX(O557,AH557)</f>
        <v>233.201217941176</v>
      </c>
      <c r="AJ557" s="10">
        <f>0.17*SQRT('Parametros'!$B$2)*H557*MIN(U557,AB557)/1000</f>
        <v>198.088855822627</v>
      </c>
      <c r="AK557" s="10">
        <f>MAX(AI557/'Parametros'!$B$6-AJ557,0)</f>
        <v>112.846101432275</v>
      </c>
      <c r="AL557" s="10">
        <f>0.66*SQRT('Parametros'!$B$2)*H557*MIN(U557,AB557)/1000</f>
        <v>769.050852017258</v>
      </c>
      <c r="AM557" s="10" t="str">
        <f>IF(AK557&lt;=AL557,"CUMPLE","NO CUMPLE")</f>
        <v>CUMPLE</v>
      </c>
      <c r="AN557" s="17" t="inlineStr">
        <is>
          <t>Nº3 cerrado</t>
        </is>
      </c>
      <c r="AO557" s="31" t="n">
        <v>2</v>
      </c>
      <c r="AP557" s="10">
        <f>ROUNDDOWN(MIN(IF(BC557+BD557=0,1000000000,AO557*BB557/(BC557+BD557)),MIN(U557,AB557)/4,8*'Parametros'!$B$12,24*BA557,300,IF(AV557=0,1000000000,2*((H557-2*('Parametros'!$B$7+'Parametros'!$B$9/2))+(I557-2*('Parametros'!$B$7+'Parametros'!$B$9/2)))/8))/10,0)*10</f>
        <v>120</v>
      </c>
      <c r="AQ557" s="10">
        <f>ROUNDDOWN(MIN(IF(BC557+BD557=0,1000000000,AO557*BB557/(BC557+BD557)),IF(AK557&gt;0.33*SQRT('Parametros'!$B$2)*H557*MIN(U557,AB557)/1000,MIN(U557,AB557)/4,MIN(U557,AB557)/2),600,IF(AV557=0,1000000000,2*((H557-2*('Parametros'!$B$7+'Parametros'!$B$9/2))+(I557-2*('Parametros'!$B$7+'Parametros'!$B$9/2)))/8))/10,0)*10</f>
        <v>240</v>
      </c>
      <c r="AR557" s="10">
        <f>'Parametros'!$B$6*(AJ557+MAX(BE557-BD557,0)*'Parametros'!$B$4*MIN(U557,AB557)/1000)</f>
        <v>330.97185436697</v>
      </c>
      <c r="AS557" s="10" t="str">
        <f>IF(AND(ISERROR(SEARCH("referencia",AN557)),AM557="CUMPLE",AR557&gt;=AI557),"CUMPLE","NO CUMPLE")</f>
        <v>CUMPLE</v>
      </c>
      <c r="AT557" s="10">
        <f>'Parametros'!$B$6*0.083*SQRT('Parametros'!$B$2)*(H557*I557)^2/(2*(H557+I557))/1000000</f>
        <v>10.0887830333379</v>
      </c>
      <c r="AU557" s="10" t="str">
        <f>IF(Q557&lt;=AT557,"DESPRECIABLE","DISEÑAR")</f>
        <v>DESPRECIABLE</v>
      </c>
      <c r="AV557" s="10">
        <f>IF(Q557&lt;=AT557,0,Q557*1000000/('Parametros'!$B$6*2*0.85*(H557-2*('Parametros'!$B$7+'Parametros'!$B$9/2))*(I557-2*('Parametros'!$B$7+'Parametros'!$B$9/2))*'Parametros'!$B$4))</f>
        <v>0</v>
      </c>
      <c r="AW557" s="10">
        <f>AV557*2*((H557-2*('Parametros'!$B$7+'Parametros'!$B$9/2))+(I557-2*('Parametros'!$B$7+'Parametros'!$B$9/2)))*'Parametros'!$B$4/'Parametros'!$B$3</f>
        <v>0</v>
      </c>
      <c r="AX557" s="31" t="n">
        <v>0</v>
      </c>
      <c r="AY557" s="10" t="str">
        <f>IF(AV557=0,"DESPRECIABLE",IF(AND(ISERROR(SEARCH("referencia",AN557)),BB557/AP557&gt;=AV557,BI557&gt;=AW557,BH557="CUMPLE"),"CUMPLE","NO CUMPLE"))</f>
        <v>DESPRECIABLE</v>
      </c>
      <c r="AZ557" s="10" t="str">
        <f>IF(AND(X557="CUMPLE",AE557="CUMPLE",AS557="CUMPLE",OR(AY557="CUMPLE",AY557="DESPRECIABLE"),BH557="CUMPLE",BJ557="CUMPLE"),"CUMPLE","NO CUMPLE")</f>
        <v>CUMPLE</v>
      </c>
      <c r="BA557" s="32" t="n">
        <v>9.5</v>
      </c>
      <c r="BB557" s="32" t="n">
        <v>71</v>
      </c>
      <c r="BC557" s="10">
        <f>MAX(IF(AK557=0,0,AK557*1000/('Parametros'!$B$4*MIN(U557,AB557))),MAX(0.062*SQRT('Parametros'!$B$2)*H557/'Parametros'!$B$4,0.35*H557/'Parametros'!$B$4))</f>
        <v>0.549057308442564</v>
      </c>
      <c r="BD557" s="10">
        <f>2*AV557</f>
        <v>0</v>
      </c>
      <c r="BE557" s="10">
        <f>AO557*BB557/AP557</f>
        <v>1.18333333333333</v>
      </c>
      <c r="BF557" s="10">
        <f>SQRT((AI557*1000/(H557*MIN(U557,AB557)))^2+(Q557*1000000*2*((H557-2*('Parametros'!$B$7+'Parametros'!$B$9/2))+(I557-2*('Parametros'!$B$7+'Parametros'!$B$9/2)))/(1.7*((H557-2*('Parametros'!$B$7+'Parametros'!$B$9/2))*(I557-2*('Parametros'!$B$7+'Parametros'!$B$9/2)))^2))^2)</f>
        <v>1.07080212470459</v>
      </c>
      <c r="BG557" s="10">
        <f>'Parametros'!$B$6*(AJ557*1000/(H557*MIN(U557,AB557))+0.66*SQRT('Parametros'!$B$2))</f>
        <v>3.29396038227542</v>
      </c>
      <c r="BH557" s="10" t="str">
        <f>IF(BF557&lt;=BG557,"CUMPLE","NO CUMPLE")</f>
        <v>CUMPLE</v>
      </c>
      <c r="BI557" s="10">
        <f>AX557*'Parametros'!$B$8</f>
        <v>0</v>
      </c>
      <c r="BJ557" s="10" t="str">
        <f>IF(BI557&gt;=AW557,"CUMPLE","NO CUMPLE")</f>
        <v>CUMPLE</v>
      </c>
    </row>
    <row r="558">
      <c r="A558" s="27" t="inlineStr">
        <is>
          <t>VRAUX</t>
        </is>
      </c>
      <c r="B558" s="27" t="inlineStr">
        <is>
          <t>107</t>
        </is>
      </c>
      <c r="C558" s="10" t="n">
        <v>1</v>
      </c>
      <c r="D558" s="10" t="n">
        <v>2</v>
      </c>
      <c r="E558" s="10" t="n">
        <v>2</v>
      </c>
      <c r="F558" s="10" t="n">
        <v>450</v>
      </c>
      <c r="G558" s="10" t="n">
        <v>550</v>
      </c>
      <c r="H558" s="17" t="n">
        <v>450</v>
      </c>
      <c r="I558" s="17" t="n">
        <v>550</v>
      </c>
      <c r="J558" s="30" t="n">
        <v>40.3835</v>
      </c>
      <c r="K558" s="10" t="inlineStr">
        <is>
          <t>107</t>
        </is>
      </c>
      <c r="L558" s="30" t="n">
        <v>35.0979</v>
      </c>
      <c r="M558" s="10" t="inlineStr">
        <is>
          <t>107</t>
        </is>
      </c>
      <c r="N558" s="30" t="n">
        <v>36.869</v>
      </c>
      <c r="O558" s="30" t="n">
        <v>147.64</v>
      </c>
      <c r="P558" s="10" t="inlineStr">
        <is>
          <t>107</t>
        </is>
      </c>
      <c r="Q558" s="30" t="n">
        <v>4.4154</v>
      </c>
      <c r="R558" s="10">
        <f>MAX(MAX(1.4/'Parametros'!$B$3,0.25*SQRT('Parametros'!$B$2)/'Parametros'!$B$3)*H558*U558,(0.85*'Parametros'!$B$2/'Parametros'!$B$3)*(1-SQRT(1-2*(J558*1000000/('Parametros'!$B$5*H558*U558^2))/(0.85*'Parametros'!$B$2)))*H558*U558)</f>
        <v>734.025</v>
      </c>
      <c r="S558" s="31" t="n">
        <v>4</v>
      </c>
      <c r="T558" s="32" t="n">
        <v>1</v>
      </c>
      <c r="U558" s="10">
        <f>IF(T558=1,I558-('Parametros'!$B$7+'Parametros'!$B$9+'Parametros'!$B$12/2),I558-(ROUNDUP(S558/2,0)*('Parametros'!$B$7+'Parametros'!$B$9+'Parametros'!$B$12/2)+ROUNDDOWN(S558/2,0)*('Parametros'!$B$7+'Parametros'!$B$9+'Parametros'!$B$12/2+'Parametros'!$B$12+'Parametros'!$B$10))/S558)</f>
        <v>489.35</v>
      </c>
      <c r="V558" s="10">
        <f>S558*'Parametros'!$B$8</f>
        <v>796</v>
      </c>
      <c r="W558" s="10">
        <f>'Parametros'!$B$5*V558*'Parametros'!$B$3*(U558-(V558*'Parametros'!$B$3/(0.85*'Parametros'!$B$2*H558))/2)/1000000</f>
        <v>142.543330094118</v>
      </c>
      <c r="X558" s="10" t="str">
        <f>IF(W558&gt;=J558,"CUMPLE","NO CUMPLE")</f>
        <v>CUMPLE</v>
      </c>
      <c r="Y558" s="10">
        <f>MAX(MAX(1.4/'Parametros'!$B$3,0.25*SQRT('Parametros'!$B$2)/'Parametros'!$B$3)*H558*AB558,(0.85*'Parametros'!$B$2/'Parametros'!$B$3)*(1-SQRT(1-2*(L558*1000000/('Parametros'!$B$5*H558*AB558^2))/(0.85*'Parametros'!$B$2)))*H558*AB558)</f>
        <v>734.025</v>
      </c>
      <c r="Z558" s="31" t="n">
        <v>4</v>
      </c>
      <c r="AA558" s="32" t="n">
        <v>1</v>
      </c>
      <c r="AB558" s="10">
        <f>IF(AA558=1,I558-('Parametros'!$B$7+'Parametros'!$B$9+'Parametros'!$B$12/2),I558-(ROUNDUP(Z558/2,0)*('Parametros'!$B$7+'Parametros'!$B$9+'Parametros'!$B$12/2)+ROUNDDOWN(Z558/2,0)*('Parametros'!$B$7+'Parametros'!$B$9+'Parametros'!$B$12/2+'Parametros'!$B$12+'Parametros'!$B$10))/Z558)</f>
        <v>489.35</v>
      </c>
      <c r="AC558" s="10">
        <f>Z558*'Parametros'!$B$8</f>
        <v>796</v>
      </c>
      <c r="AD558" s="10">
        <f>'Parametros'!$B$5*AC558*'Parametros'!$B$3*(AB558-(AC558*'Parametros'!$B$3/(0.85*'Parametros'!$B$2*H558))/2)/1000000</f>
        <v>142.543330094118</v>
      </c>
      <c r="AE558" s="10" t="str">
        <f>IF(AD558&gt;=L558,"CUMPLE","NO CUMPLE")</f>
        <v>CUMPLE</v>
      </c>
      <c r="AF558" s="10">
        <f>V558*1.25*'Parametros'!$B$3*(U558-(V558*1.25*'Parametros'!$B$3/(0.85*'Parametros'!$B$2*H558))/2)/1000000</f>
        <v>196.346217941176</v>
      </c>
      <c r="AG558" s="10">
        <f>AC558*1.25*'Parametros'!$B$3*(AB558-(AC558*1.25*'Parametros'!$B$3/(0.85*'Parametros'!$B$2*H558))/2)/1000000</f>
        <v>196.346217941176</v>
      </c>
      <c r="AH558" s="10">
        <f>N558+(AF558+AG558)/D558</f>
        <v>233.215217941176</v>
      </c>
      <c r="AI558" s="10">
        <f>MAX(O558,AH558)</f>
        <v>233.215217941176</v>
      </c>
      <c r="AJ558" s="10">
        <f>0.17*SQRT('Parametros'!$B$2)*H558*MIN(U558,AB558)/1000</f>
        <v>198.088855822627</v>
      </c>
      <c r="AK558" s="10">
        <f>MAX(AI558/'Parametros'!$B$6-AJ558,0)</f>
        <v>112.864768098942</v>
      </c>
      <c r="AL558" s="10">
        <f>0.66*SQRT('Parametros'!$B$2)*H558*MIN(U558,AB558)/1000</f>
        <v>769.050852017258</v>
      </c>
      <c r="AM558" s="10" t="str">
        <f>IF(AK558&lt;=AL558,"CUMPLE","NO CUMPLE")</f>
        <v>CUMPLE</v>
      </c>
      <c r="AN558" s="17" t="inlineStr">
        <is>
          <t>Nº3 cerrado</t>
        </is>
      </c>
      <c r="AO558" s="31" t="n">
        <v>2</v>
      </c>
      <c r="AP558" s="10">
        <f>ROUNDDOWN(MIN(IF(BC558+BD558=0,1000000000,AO558*BB558/(BC558+BD558)),MIN(U558,AB558)/4,8*'Parametros'!$B$12,24*BA558,300,IF(AV558=0,1000000000,2*((H558-2*('Parametros'!$B$7+'Parametros'!$B$9/2))+(I558-2*('Parametros'!$B$7+'Parametros'!$B$9/2)))/8))/10,0)*10</f>
        <v>120</v>
      </c>
      <c r="AQ558" s="10">
        <f>ROUNDDOWN(MIN(IF(BC558+BD558=0,1000000000,AO558*BB558/(BC558+BD558)),IF(AK558&gt;0.33*SQRT('Parametros'!$B$2)*H558*MIN(U558,AB558)/1000,MIN(U558,AB558)/4,MIN(U558,AB558)/2),600,IF(AV558=0,1000000000,2*((H558-2*('Parametros'!$B$7+'Parametros'!$B$9/2))+(I558-2*('Parametros'!$B$7+'Parametros'!$B$9/2)))/8))/10,0)*10</f>
        <v>240</v>
      </c>
      <c r="AR558" s="10">
        <f>'Parametros'!$B$6*(AJ558+MAX(BE558-BD558,0)*'Parametros'!$B$4*MIN(U558,AB558)/1000)</f>
        <v>330.97185436697</v>
      </c>
      <c r="AS558" s="10" t="str">
        <f>IF(AND(ISERROR(SEARCH("referencia",AN558)),AM558="CUMPLE",AR558&gt;=AI558),"CUMPLE","NO CUMPLE")</f>
        <v>CUMPLE</v>
      </c>
      <c r="AT558" s="10">
        <f>'Parametros'!$B$6*0.083*SQRT('Parametros'!$B$2)*(H558*I558)^2/(2*(H558+I558))/1000000</f>
        <v>10.0887830333379</v>
      </c>
      <c r="AU558" s="10" t="str">
        <f>IF(Q558&lt;=AT558,"DESPRECIABLE","DISEÑAR")</f>
        <v>DESPRECIABLE</v>
      </c>
      <c r="AV558" s="10">
        <f>IF(Q558&lt;=AT558,0,Q558*1000000/('Parametros'!$B$6*2*0.85*(H558-2*('Parametros'!$B$7+'Parametros'!$B$9/2))*(I558-2*('Parametros'!$B$7+'Parametros'!$B$9/2))*'Parametros'!$B$4))</f>
        <v>0</v>
      </c>
      <c r="AW558" s="10">
        <f>AV558*2*((H558-2*('Parametros'!$B$7+'Parametros'!$B$9/2))+(I558-2*('Parametros'!$B$7+'Parametros'!$B$9/2)))*'Parametros'!$B$4/'Parametros'!$B$3</f>
        <v>0</v>
      </c>
      <c r="AX558" s="31" t="n">
        <v>0</v>
      </c>
      <c r="AY558" s="10" t="str">
        <f>IF(AV558=0,"DESPRECIABLE",IF(AND(ISERROR(SEARCH("referencia",AN558)),BB558/AP558&gt;=AV558,BI558&gt;=AW558,BH558="CUMPLE"),"CUMPLE","NO CUMPLE"))</f>
        <v>DESPRECIABLE</v>
      </c>
      <c r="AZ558" s="10" t="str">
        <f>IF(AND(X558="CUMPLE",AE558="CUMPLE",AS558="CUMPLE",OR(AY558="CUMPLE",AY558="DESPRECIABLE"),BH558="CUMPLE",BJ558="CUMPLE"),"CUMPLE","NO CUMPLE")</f>
        <v>CUMPLE</v>
      </c>
      <c r="BA558" s="32" t="n">
        <v>9.5</v>
      </c>
      <c r="BB558" s="32" t="n">
        <v>71</v>
      </c>
      <c r="BC558" s="10">
        <f>MAX(IF(AK558=0,0,AK558*1000/('Parametros'!$B$4*MIN(U558,AB558))),MAX(0.062*SQRT('Parametros'!$B$2)*H558/'Parametros'!$B$4,0.35*H558/'Parametros'!$B$4))</f>
        <v>0.549148131870468</v>
      </c>
      <c r="BD558" s="10">
        <f>2*AV558</f>
        <v>0</v>
      </c>
      <c r="BE558" s="10">
        <f>AO558*BB558/AP558</f>
        <v>1.18333333333333</v>
      </c>
      <c r="BF558" s="10">
        <f>SQRT((AI558*1000/(H558*MIN(U558,AB558)))^2+(Q558*1000000*2*((H558-2*('Parametros'!$B$7+'Parametros'!$B$9/2))+(I558-2*('Parametros'!$B$7+'Parametros'!$B$9/2)))/(1.7*((H558-2*('Parametros'!$B$7+'Parametros'!$B$9/2))*(I558-2*('Parametros'!$B$7+'Parametros'!$B$9/2)))^2))^2)</f>
        <v>1.07086500081942</v>
      </c>
      <c r="BG558" s="10">
        <f>'Parametros'!$B$6*(AJ558*1000/(H558*MIN(U558,AB558))+0.66*SQRT('Parametros'!$B$2))</f>
        <v>3.29396038227542</v>
      </c>
      <c r="BH558" s="10" t="str">
        <f>IF(BF558&lt;=BG558,"CUMPLE","NO CUMPLE")</f>
        <v>CUMPLE</v>
      </c>
      <c r="BI558" s="10">
        <f>AX558*'Parametros'!$B$8</f>
        <v>0</v>
      </c>
      <c r="BJ558" s="10" t="str">
        <f>IF(BI558&gt;=AW558,"CUMPLE","NO CUMPLE")</f>
        <v>CUMPLE</v>
      </c>
    </row>
    <row r="559">
      <c r="A559" s="27" t="inlineStr">
        <is>
          <t>VRAUX</t>
        </is>
      </c>
      <c r="B559" s="27" t="inlineStr">
        <is>
          <t>108</t>
        </is>
      </c>
      <c r="C559" s="10" t="n">
        <v>1</v>
      </c>
      <c r="D559" s="10" t="n">
        <v>2</v>
      </c>
      <c r="E559" s="10" t="n">
        <v>2</v>
      </c>
      <c r="F559" s="10" t="n">
        <v>450</v>
      </c>
      <c r="G559" s="10" t="n">
        <v>550</v>
      </c>
      <c r="H559" s="17" t="n">
        <v>450</v>
      </c>
      <c r="I559" s="17" t="n">
        <v>550</v>
      </c>
      <c r="J559" s="30" t="n">
        <v>40.3867</v>
      </c>
      <c r="K559" s="10" t="inlineStr">
        <is>
          <t>108</t>
        </is>
      </c>
      <c r="L559" s="30" t="n">
        <v>35.096</v>
      </c>
      <c r="M559" s="10" t="inlineStr">
        <is>
          <t>108</t>
        </is>
      </c>
      <c r="N559" s="30" t="n">
        <v>36.871</v>
      </c>
      <c r="O559" s="30" t="n">
        <v>147.643</v>
      </c>
      <c r="P559" s="10" t="inlineStr">
        <is>
          <t>108</t>
        </is>
      </c>
      <c r="Q559" s="30" t="n">
        <v>4.4147</v>
      </c>
      <c r="R559" s="10">
        <f>MAX(MAX(1.4/'Parametros'!$B$3,0.25*SQRT('Parametros'!$B$2)/'Parametros'!$B$3)*H559*U559,(0.85*'Parametros'!$B$2/'Parametros'!$B$3)*(1-SQRT(1-2*(J559*1000000/('Parametros'!$B$5*H559*U559^2))/(0.85*'Parametros'!$B$2)))*H559*U559)</f>
        <v>734.025</v>
      </c>
      <c r="S559" s="31" t="n">
        <v>4</v>
      </c>
      <c r="T559" s="32" t="n">
        <v>1</v>
      </c>
      <c r="U559" s="10">
        <f>IF(T559=1,I559-('Parametros'!$B$7+'Parametros'!$B$9+'Parametros'!$B$12/2),I559-(ROUNDUP(S559/2,0)*('Parametros'!$B$7+'Parametros'!$B$9+'Parametros'!$B$12/2)+ROUNDDOWN(S559/2,0)*('Parametros'!$B$7+'Parametros'!$B$9+'Parametros'!$B$12/2+'Parametros'!$B$12+'Parametros'!$B$10))/S559)</f>
        <v>489.35</v>
      </c>
      <c r="V559" s="10">
        <f>S559*'Parametros'!$B$8</f>
        <v>796</v>
      </c>
      <c r="W559" s="10">
        <f>'Parametros'!$B$5*V559*'Parametros'!$B$3*(U559-(V559*'Parametros'!$B$3/(0.85*'Parametros'!$B$2*H559))/2)/1000000</f>
        <v>142.543330094118</v>
      </c>
      <c r="X559" s="10" t="str">
        <f>IF(W559&gt;=J559,"CUMPLE","NO CUMPLE")</f>
        <v>CUMPLE</v>
      </c>
      <c r="Y559" s="10">
        <f>MAX(MAX(1.4/'Parametros'!$B$3,0.25*SQRT('Parametros'!$B$2)/'Parametros'!$B$3)*H559*AB559,(0.85*'Parametros'!$B$2/'Parametros'!$B$3)*(1-SQRT(1-2*(L559*1000000/('Parametros'!$B$5*H559*AB559^2))/(0.85*'Parametros'!$B$2)))*H559*AB559)</f>
        <v>734.025</v>
      </c>
      <c r="Z559" s="31" t="n">
        <v>4</v>
      </c>
      <c r="AA559" s="32" t="n">
        <v>1</v>
      </c>
      <c r="AB559" s="10">
        <f>IF(AA559=1,I559-('Parametros'!$B$7+'Parametros'!$B$9+'Parametros'!$B$12/2),I559-(ROUNDUP(Z559/2,0)*('Parametros'!$B$7+'Parametros'!$B$9+'Parametros'!$B$12/2)+ROUNDDOWN(Z559/2,0)*('Parametros'!$B$7+'Parametros'!$B$9+'Parametros'!$B$12/2+'Parametros'!$B$12+'Parametros'!$B$10))/Z559)</f>
        <v>489.35</v>
      </c>
      <c r="AC559" s="10">
        <f>Z559*'Parametros'!$B$8</f>
        <v>796</v>
      </c>
      <c r="AD559" s="10">
        <f>'Parametros'!$B$5*AC559*'Parametros'!$B$3*(AB559-(AC559*'Parametros'!$B$3/(0.85*'Parametros'!$B$2*H559))/2)/1000000</f>
        <v>142.543330094118</v>
      </c>
      <c r="AE559" s="10" t="str">
        <f>IF(AD559&gt;=L559,"CUMPLE","NO CUMPLE")</f>
        <v>CUMPLE</v>
      </c>
      <c r="AF559" s="10">
        <f>V559*1.25*'Parametros'!$B$3*(U559-(V559*1.25*'Parametros'!$B$3/(0.85*'Parametros'!$B$2*H559))/2)/1000000</f>
        <v>196.346217941176</v>
      </c>
      <c r="AG559" s="10">
        <f>AC559*1.25*'Parametros'!$B$3*(AB559-(AC559*1.25*'Parametros'!$B$3/(0.85*'Parametros'!$B$2*H559))/2)/1000000</f>
        <v>196.346217941176</v>
      </c>
      <c r="AH559" s="10">
        <f>N559+(AF559+AG559)/D559</f>
        <v>233.217217941176</v>
      </c>
      <c r="AI559" s="10">
        <f>MAX(O559,AH559)</f>
        <v>233.217217941176</v>
      </c>
      <c r="AJ559" s="10">
        <f>0.17*SQRT('Parametros'!$B$2)*H559*MIN(U559,AB559)/1000</f>
        <v>198.088855822627</v>
      </c>
      <c r="AK559" s="10">
        <f>MAX(AI559/'Parametros'!$B$6-AJ559,0)</f>
        <v>112.867434765608</v>
      </c>
      <c r="AL559" s="10">
        <f>0.66*SQRT('Parametros'!$B$2)*H559*MIN(U559,AB559)/1000</f>
        <v>769.050852017258</v>
      </c>
      <c r="AM559" s="10" t="str">
        <f>IF(AK559&lt;=AL559,"CUMPLE","NO CUMPLE")</f>
        <v>CUMPLE</v>
      </c>
      <c r="AN559" s="17" t="inlineStr">
        <is>
          <t>Nº3 cerrado</t>
        </is>
      </c>
      <c r="AO559" s="31" t="n">
        <v>2</v>
      </c>
      <c r="AP559" s="10">
        <f>ROUNDDOWN(MIN(IF(BC559+BD559=0,1000000000,AO559*BB559/(BC559+BD559)),MIN(U559,AB559)/4,8*'Parametros'!$B$12,24*BA559,300,IF(AV559=0,1000000000,2*((H559-2*('Parametros'!$B$7+'Parametros'!$B$9/2))+(I559-2*('Parametros'!$B$7+'Parametros'!$B$9/2)))/8))/10,0)*10</f>
        <v>120</v>
      </c>
      <c r="AQ559" s="10">
        <f>ROUNDDOWN(MIN(IF(BC559+BD559=0,1000000000,AO559*BB559/(BC559+BD559)),IF(AK559&gt;0.33*SQRT('Parametros'!$B$2)*H559*MIN(U559,AB559)/1000,MIN(U559,AB559)/4,MIN(U559,AB559)/2),600,IF(AV559=0,1000000000,2*((H559-2*('Parametros'!$B$7+'Parametros'!$B$9/2))+(I559-2*('Parametros'!$B$7+'Parametros'!$B$9/2)))/8))/10,0)*10</f>
        <v>240</v>
      </c>
      <c r="AR559" s="10">
        <f>'Parametros'!$B$6*(AJ559+MAX(BE559-BD559,0)*'Parametros'!$B$4*MIN(U559,AB559)/1000)</f>
        <v>330.97185436697</v>
      </c>
      <c r="AS559" s="10" t="str">
        <f>IF(AND(ISERROR(SEARCH("referencia",AN559)),AM559="CUMPLE",AR559&gt;=AI559),"CUMPLE","NO CUMPLE")</f>
        <v>CUMPLE</v>
      </c>
      <c r="AT559" s="10">
        <f>'Parametros'!$B$6*0.083*SQRT('Parametros'!$B$2)*(H559*I559)^2/(2*(H559+I559))/1000000</f>
        <v>10.0887830333379</v>
      </c>
      <c r="AU559" s="10" t="str">
        <f>IF(Q559&lt;=AT559,"DESPRECIABLE","DISEÑAR")</f>
        <v>DESPRECIABLE</v>
      </c>
      <c r="AV559" s="10">
        <f>IF(Q559&lt;=AT559,0,Q559*1000000/('Parametros'!$B$6*2*0.85*(H559-2*('Parametros'!$B$7+'Parametros'!$B$9/2))*(I559-2*('Parametros'!$B$7+'Parametros'!$B$9/2))*'Parametros'!$B$4))</f>
        <v>0</v>
      </c>
      <c r="AW559" s="10">
        <f>AV559*2*((H559-2*('Parametros'!$B$7+'Parametros'!$B$9/2))+(I559-2*('Parametros'!$B$7+'Parametros'!$B$9/2)))*'Parametros'!$B$4/'Parametros'!$B$3</f>
        <v>0</v>
      </c>
      <c r="AX559" s="31" t="n">
        <v>0</v>
      </c>
      <c r="AY559" s="10" t="str">
        <f>IF(AV559=0,"DESPRECIABLE",IF(AND(ISERROR(SEARCH("referencia",AN559)),BB559/AP559&gt;=AV559,BI559&gt;=AW559,BH559="CUMPLE"),"CUMPLE","NO CUMPLE"))</f>
        <v>DESPRECIABLE</v>
      </c>
      <c r="AZ559" s="10" t="str">
        <f>IF(AND(X559="CUMPLE",AE559="CUMPLE",AS559="CUMPLE",OR(AY559="CUMPLE",AY559="DESPRECIABLE"),BH559="CUMPLE",BJ559="CUMPLE"),"CUMPLE","NO CUMPLE")</f>
        <v>CUMPLE</v>
      </c>
      <c r="BA559" s="32" t="n">
        <v>9.5</v>
      </c>
      <c r="BB559" s="32" t="n">
        <v>71</v>
      </c>
      <c r="BC559" s="10">
        <f>MAX(IF(AK559=0,0,AK559*1000/('Parametros'!$B$4*MIN(U559,AB559))),MAX(0.062*SQRT('Parametros'!$B$2)*H559/'Parametros'!$B$4,0.35*H559/'Parametros'!$B$4))</f>
        <v>0.549161106645882</v>
      </c>
      <c r="BD559" s="10">
        <f>2*AV559</f>
        <v>0</v>
      </c>
      <c r="BE559" s="10">
        <f>AO559*BB559/AP559</f>
        <v>1.18333333333333</v>
      </c>
      <c r="BF559" s="10">
        <f>SQRT((AI559*1000/(H559*MIN(U559,AB559)))^2+(Q559*1000000*2*((H559-2*('Parametros'!$B$7+'Parametros'!$B$9/2))+(I559-2*('Parametros'!$B$7+'Parametros'!$B$9/2)))/(1.7*((H559-2*('Parametros'!$B$7+'Parametros'!$B$9/2))*(I559-2*('Parametros'!$B$7+'Parametros'!$B$9/2)))^2))^2)</f>
        <v>1.07087026426561</v>
      </c>
      <c r="BG559" s="10">
        <f>'Parametros'!$B$6*(AJ559*1000/(H559*MIN(U559,AB559))+0.66*SQRT('Parametros'!$B$2))</f>
        <v>3.29396038227542</v>
      </c>
      <c r="BH559" s="10" t="str">
        <f>IF(BF559&lt;=BG559,"CUMPLE","NO CUMPLE")</f>
        <v>CUMPLE</v>
      </c>
      <c r="BI559" s="10">
        <f>AX559*'Parametros'!$B$8</f>
        <v>0</v>
      </c>
      <c r="BJ559" s="10" t="str">
        <f>IF(BI559&gt;=AW559,"CUMPLE","NO CUMPLE")</f>
        <v>CUMPLE</v>
      </c>
    </row>
    <row r="560">
      <c r="A560" s="27" t="inlineStr">
        <is>
          <t>VRAUX</t>
        </is>
      </c>
      <c r="B560" s="27" t="inlineStr">
        <is>
          <t>109</t>
        </is>
      </c>
      <c r="C560" s="10" t="n">
        <v>1</v>
      </c>
      <c r="D560" s="10" t="n">
        <v>1.9</v>
      </c>
      <c r="E560" s="10" t="n">
        <v>1.9</v>
      </c>
      <c r="F560" s="10" t="n">
        <v>450</v>
      </c>
      <c r="G560" s="10" t="n">
        <v>550</v>
      </c>
      <c r="H560" s="17" t="n">
        <v>450</v>
      </c>
      <c r="I560" s="17" t="n">
        <v>550</v>
      </c>
      <c r="J560" s="30" t="n">
        <v>48.9168</v>
      </c>
      <c r="K560" s="10" t="inlineStr">
        <is>
          <t>109</t>
        </is>
      </c>
      <c r="L560" s="30" t="n">
        <v>41.186</v>
      </c>
      <c r="M560" s="10" t="inlineStr">
        <is>
          <t>109</t>
        </is>
      </c>
      <c r="N560" s="30" t="n">
        <v>43.256</v>
      </c>
      <c r="O560" s="30" t="n">
        <v>169.702</v>
      </c>
      <c r="P560" s="10" t="inlineStr">
        <is>
          <t>109</t>
        </is>
      </c>
      <c r="Q560" s="30" t="n">
        <v>16.9698</v>
      </c>
      <c r="R560" s="10">
        <f>MAX(MAX(1.4/'Parametros'!$B$3,0.25*SQRT('Parametros'!$B$2)/'Parametros'!$B$3)*H560*U560,(0.85*'Parametros'!$B$2/'Parametros'!$B$3)*(1-SQRT(1-2*(J560*1000000/('Parametros'!$B$5*H560*U560^2))/(0.85*'Parametros'!$B$2)))*H560*U560)</f>
        <v>734.025</v>
      </c>
      <c r="S560" s="31" t="n">
        <v>4</v>
      </c>
      <c r="T560" s="32" t="n">
        <v>1</v>
      </c>
      <c r="U560" s="10">
        <f>IF(T560=1,I560-('Parametros'!$B$7+'Parametros'!$B$9+'Parametros'!$B$12/2),I560-(ROUNDUP(S560/2,0)*('Parametros'!$B$7+'Parametros'!$B$9+'Parametros'!$B$12/2)+ROUNDDOWN(S560/2,0)*('Parametros'!$B$7+'Parametros'!$B$9+'Parametros'!$B$12/2+'Parametros'!$B$12+'Parametros'!$B$10))/S560)</f>
        <v>489.35</v>
      </c>
      <c r="V560" s="10">
        <f>S560*'Parametros'!$B$8</f>
        <v>796</v>
      </c>
      <c r="W560" s="10">
        <f>'Parametros'!$B$5*V560*'Parametros'!$B$3*(U560-(V560*'Parametros'!$B$3/(0.85*'Parametros'!$B$2*H560))/2)/1000000</f>
        <v>142.543330094118</v>
      </c>
      <c r="X560" s="10" t="str">
        <f>IF(W560&gt;=J560,"CUMPLE","NO CUMPLE")</f>
        <v>CUMPLE</v>
      </c>
      <c r="Y560" s="10">
        <f>MAX(MAX(1.4/'Parametros'!$B$3,0.25*SQRT('Parametros'!$B$2)/'Parametros'!$B$3)*H560*AB560,(0.85*'Parametros'!$B$2/'Parametros'!$B$3)*(1-SQRT(1-2*(L560*1000000/('Parametros'!$B$5*H560*AB560^2))/(0.85*'Parametros'!$B$2)))*H560*AB560)</f>
        <v>734.025</v>
      </c>
      <c r="Z560" s="31" t="n">
        <v>4</v>
      </c>
      <c r="AA560" s="32" t="n">
        <v>1</v>
      </c>
      <c r="AB560" s="10">
        <f>IF(AA560=1,I560-('Parametros'!$B$7+'Parametros'!$B$9+'Parametros'!$B$12/2),I560-(ROUNDUP(Z560/2,0)*('Parametros'!$B$7+'Parametros'!$B$9+'Parametros'!$B$12/2)+ROUNDDOWN(Z560/2,0)*('Parametros'!$B$7+'Parametros'!$B$9+'Parametros'!$B$12/2+'Parametros'!$B$12+'Parametros'!$B$10))/Z560)</f>
        <v>489.35</v>
      </c>
      <c r="AC560" s="10">
        <f>Z560*'Parametros'!$B$8</f>
        <v>796</v>
      </c>
      <c r="AD560" s="10">
        <f>'Parametros'!$B$5*AC560*'Parametros'!$B$3*(AB560-(AC560*'Parametros'!$B$3/(0.85*'Parametros'!$B$2*H560))/2)/1000000</f>
        <v>142.543330094118</v>
      </c>
      <c r="AE560" s="10" t="str">
        <f>IF(AD560&gt;=L560,"CUMPLE","NO CUMPLE")</f>
        <v>CUMPLE</v>
      </c>
      <c r="AF560" s="10">
        <f>V560*1.25*'Parametros'!$B$3*(U560-(V560*1.25*'Parametros'!$B$3/(0.85*'Parametros'!$B$2*H560))/2)/1000000</f>
        <v>196.346217941176</v>
      </c>
      <c r="AG560" s="10">
        <f>AC560*1.25*'Parametros'!$B$3*(AB560-(AC560*1.25*'Parametros'!$B$3/(0.85*'Parametros'!$B$2*H560))/2)/1000000</f>
        <v>196.346217941176</v>
      </c>
      <c r="AH560" s="10">
        <f>N560+(AF560+AG560)/D560</f>
        <v>249.936229411765</v>
      </c>
      <c r="AI560" s="10">
        <f>MAX(O560,AH560)</f>
        <v>249.936229411765</v>
      </c>
      <c r="AJ560" s="10">
        <f>0.17*SQRT('Parametros'!$B$2)*H560*MIN(U560,AB560)/1000</f>
        <v>198.088855822627</v>
      </c>
      <c r="AK560" s="10">
        <f>MAX(AI560/'Parametros'!$B$6-AJ560,0)</f>
        <v>135.159450059726</v>
      </c>
      <c r="AL560" s="10">
        <f>0.66*SQRT('Parametros'!$B$2)*H560*MIN(U560,AB560)/1000</f>
        <v>769.050852017258</v>
      </c>
      <c r="AM560" s="10" t="str">
        <f>IF(AK560&lt;=AL560,"CUMPLE","NO CUMPLE")</f>
        <v>CUMPLE</v>
      </c>
      <c r="AN560" s="17" t="inlineStr">
        <is>
          <t>Nº3 cerrado</t>
        </is>
      </c>
      <c r="AO560" s="31" t="n">
        <v>2</v>
      </c>
      <c r="AP560" s="10">
        <f>ROUNDDOWN(MIN(IF(BC560+BD560=0,1000000000,AO560*BB560/(BC560+BD560)),MIN(U560,AB560)/4,8*'Parametros'!$B$12,24*BA560,300,IF(AV560=0,1000000000,2*((H560-2*('Parametros'!$B$7+'Parametros'!$B$9/2))+(I560-2*('Parametros'!$B$7+'Parametros'!$B$9/2)))/8))/10,0)*10</f>
        <v>120</v>
      </c>
      <c r="AQ560" s="10">
        <f>ROUNDDOWN(MIN(IF(BC560+BD560=0,1000000000,AO560*BB560/(BC560+BD560)),IF(AK560&gt;0.33*SQRT('Parametros'!$B$2)*H560*MIN(U560,AB560)/1000,MIN(U560,AB560)/4,MIN(U560,AB560)/2),600,IF(AV560=0,1000000000,2*((H560-2*('Parametros'!$B$7+'Parametros'!$B$9/2))+(I560-2*('Parametros'!$B$7+'Parametros'!$B$9/2)))/8))/10,0)*10</f>
        <v>130</v>
      </c>
      <c r="AR560" s="10">
        <f>'Parametros'!$B$6*(AJ560+MAX(BE560-BD560,0)*'Parametros'!$B$4*MIN(U560,AB560)/1000)</f>
        <v>271.17984159611</v>
      </c>
      <c r="AS560" s="10" t="str">
        <f>IF(AND(ISERROR(SEARCH("referencia",AN560)),AM560="CUMPLE",AR560&gt;=AI560),"CUMPLE","NO CUMPLE")</f>
        <v>CUMPLE</v>
      </c>
      <c r="AT560" s="10">
        <f>'Parametros'!$B$6*0.083*SQRT('Parametros'!$B$2)*(H560*I560)^2/(2*(H560+I560))/1000000</f>
        <v>10.0887830333379</v>
      </c>
      <c r="AU560" s="10" t="str">
        <f>IF(Q560&lt;=AT560,"DESPRECIABLE","DISEÑAR")</f>
        <v>DISEÑAR</v>
      </c>
      <c r="AV560" s="10">
        <f>IF(Q560&lt;=AT560,0,Q560*1000000/('Parametros'!$B$6*2*0.85*(H560-2*('Parametros'!$B$7+'Parametros'!$B$9/2))*(I560-2*('Parametros'!$B$7+'Parametros'!$B$9/2))*'Parametros'!$B$4))</f>
        <v>0.193946984324397</v>
      </c>
      <c r="AW560" s="10">
        <f>AV560*2*((H560-2*('Parametros'!$B$7+'Parametros'!$B$9/2))+(I560-2*('Parametros'!$B$7+'Parametros'!$B$9/2)))*'Parametros'!$B$4/'Parametros'!$B$3</f>
        <v>315.978426861308</v>
      </c>
      <c r="AX560" s="31" t="n">
        <v>8</v>
      </c>
      <c r="AY560" s="10" t="str">
        <f>IF(AV560=0,"DESPRECIABLE",IF(AND(ISERROR(SEARCH("referencia",AN560)),BB560/AP560&gt;=AV560,BI560&gt;=AW560,BH560="CUMPLE"),"CUMPLE","NO CUMPLE"))</f>
        <v>CUMPLE</v>
      </c>
      <c r="AZ560" s="10" t="str">
        <f>IF(AND(X560="CUMPLE",AE560="CUMPLE",AS560="CUMPLE",OR(AY560="CUMPLE",AY560="DESPRECIABLE"),BH560="CUMPLE",BJ560="CUMPLE"),"CUMPLE","NO CUMPLE")</f>
        <v>CUMPLE</v>
      </c>
      <c r="BA560" s="32" t="n">
        <v>9.5</v>
      </c>
      <c r="BB560" s="32" t="n">
        <v>71</v>
      </c>
      <c r="BC560" s="10">
        <f>MAX(IF(AK560=0,0,AK560*1000/('Parametros'!$B$4*MIN(U560,AB560))),MAX(0.062*SQRT('Parametros'!$B$2)*H560/'Parametros'!$B$4,0.35*H560/'Parametros'!$B$4))</f>
        <v>0.657623816139612</v>
      </c>
      <c r="BD560" s="10">
        <f>2*AV560</f>
        <v>0.387893968648795</v>
      </c>
      <c r="BE560" s="10">
        <f>AO560*BB560/AP560</f>
        <v>1.18333333333333</v>
      </c>
      <c r="BF560" s="10">
        <f>SQRT((AI560*1000/(H560*MIN(U560,AB560)))^2+(Q560*1000000*2*((H560-2*('Parametros'!$B$7+'Parametros'!$B$9/2))+(I560-2*('Parametros'!$B$7+'Parametros'!$B$9/2)))/(1.7*((H560-2*('Parametros'!$B$7+'Parametros'!$B$9/2))*(I560-2*('Parametros'!$B$7+'Parametros'!$B$9/2)))^2))^2)</f>
        <v>1.28814299726604</v>
      </c>
      <c r="BG560" s="10">
        <f>'Parametros'!$B$6*(AJ560*1000/(H560*MIN(U560,AB560))+0.66*SQRT('Parametros'!$B$2))</f>
        <v>3.29396038227542</v>
      </c>
      <c r="BH560" s="10" t="str">
        <f>IF(BF560&lt;=BG560,"CUMPLE","NO CUMPLE")</f>
        <v>CUMPLE</v>
      </c>
      <c r="BI560" s="10">
        <f>AX560*'Parametros'!$B$8</f>
        <v>1592</v>
      </c>
      <c r="BJ560" s="10" t="str">
        <f>IF(BI560&gt;=AW560,"CUMPLE","NO CUMPLE")</f>
        <v>CUMPLE</v>
      </c>
    </row>
    <row r="561">
      <c r="A561" s="27" t="inlineStr">
        <is>
          <t>VRAUX</t>
        </is>
      </c>
      <c r="B561" s="27" t="inlineStr">
        <is>
          <t>110</t>
        </is>
      </c>
      <c r="C561" s="10" t="n">
        <v>1</v>
      </c>
      <c r="D561" s="10" t="n">
        <v>1.9</v>
      </c>
      <c r="E561" s="10" t="n">
        <v>1.9</v>
      </c>
      <c r="F561" s="10" t="n">
        <v>450</v>
      </c>
      <c r="G561" s="10" t="n">
        <v>550</v>
      </c>
      <c r="H561" s="17" t="n">
        <v>450</v>
      </c>
      <c r="I561" s="17" t="n">
        <v>550</v>
      </c>
      <c r="J561" s="30" t="n">
        <v>48.9179</v>
      </c>
      <c r="K561" s="10" t="inlineStr">
        <is>
          <t>110</t>
        </is>
      </c>
      <c r="L561" s="30" t="n">
        <v>41.1852</v>
      </c>
      <c r="M561" s="10" t="inlineStr">
        <is>
          <t>110</t>
        </is>
      </c>
      <c r="N561" s="30" t="n">
        <v>43.227</v>
      </c>
      <c r="O561" s="30" t="n">
        <v>169.67</v>
      </c>
      <c r="P561" s="10" t="inlineStr">
        <is>
          <t>110</t>
        </is>
      </c>
      <c r="Q561" s="30" t="n">
        <v>16.9584</v>
      </c>
      <c r="R561" s="10">
        <f>MAX(MAX(1.4/'Parametros'!$B$3,0.25*SQRT('Parametros'!$B$2)/'Parametros'!$B$3)*H561*U561,(0.85*'Parametros'!$B$2/'Parametros'!$B$3)*(1-SQRT(1-2*(J561*1000000/('Parametros'!$B$5*H561*U561^2))/(0.85*'Parametros'!$B$2)))*H561*U561)</f>
        <v>734.025</v>
      </c>
      <c r="S561" s="31" t="n">
        <v>4</v>
      </c>
      <c r="T561" s="32" t="n">
        <v>1</v>
      </c>
      <c r="U561" s="10">
        <f>IF(T561=1,I561-('Parametros'!$B$7+'Parametros'!$B$9+'Parametros'!$B$12/2),I561-(ROUNDUP(S561/2,0)*('Parametros'!$B$7+'Parametros'!$B$9+'Parametros'!$B$12/2)+ROUNDDOWN(S561/2,0)*('Parametros'!$B$7+'Parametros'!$B$9+'Parametros'!$B$12/2+'Parametros'!$B$12+'Parametros'!$B$10))/S561)</f>
        <v>489.35</v>
      </c>
      <c r="V561" s="10">
        <f>S561*'Parametros'!$B$8</f>
        <v>796</v>
      </c>
      <c r="W561" s="10">
        <f>'Parametros'!$B$5*V561*'Parametros'!$B$3*(U561-(V561*'Parametros'!$B$3/(0.85*'Parametros'!$B$2*H561))/2)/1000000</f>
        <v>142.543330094118</v>
      </c>
      <c r="X561" s="10" t="str">
        <f>IF(W561&gt;=J561,"CUMPLE","NO CUMPLE")</f>
        <v>CUMPLE</v>
      </c>
      <c r="Y561" s="10">
        <f>MAX(MAX(1.4/'Parametros'!$B$3,0.25*SQRT('Parametros'!$B$2)/'Parametros'!$B$3)*H561*AB561,(0.85*'Parametros'!$B$2/'Parametros'!$B$3)*(1-SQRT(1-2*(L561*1000000/('Parametros'!$B$5*H561*AB561^2))/(0.85*'Parametros'!$B$2)))*H561*AB561)</f>
        <v>734.025</v>
      </c>
      <c r="Z561" s="31" t="n">
        <v>4</v>
      </c>
      <c r="AA561" s="32" t="n">
        <v>1</v>
      </c>
      <c r="AB561" s="10">
        <f>IF(AA561=1,I561-('Parametros'!$B$7+'Parametros'!$B$9+'Parametros'!$B$12/2),I561-(ROUNDUP(Z561/2,0)*('Parametros'!$B$7+'Parametros'!$B$9+'Parametros'!$B$12/2)+ROUNDDOWN(Z561/2,0)*('Parametros'!$B$7+'Parametros'!$B$9+'Parametros'!$B$12/2+'Parametros'!$B$12+'Parametros'!$B$10))/Z561)</f>
        <v>489.35</v>
      </c>
      <c r="AC561" s="10">
        <f>Z561*'Parametros'!$B$8</f>
        <v>796</v>
      </c>
      <c r="AD561" s="10">
        <f>'Parametros'!$B$5*AC561*'Parametros'!$B$3*(AB561-(AC561*'Parametros'!$B$3/(0.85*'Parametros'!$B$2*H561))/2)/1000000</f>
        <v>142.543330094118</v>
      </c>
      <c r="AE561" s="10" t="str">
        <f>IF(AD561&gt;=L561,"CUMPLE","NO CUMPLE")</f>
        <v>CUMPLE</v>
      </c>
      <c r="AF561" s="10">
        <f>V561*1.25*'Parametros'!$B$3*(U561-(V561*1.25*'Parametros'!$B$3/(0.85*'Parametros'!$B$2*H561))/2)/1000000</f>
        <v>196.346217941176</v>
      </c>
      <c r="AG561" s="10">
        <f>AC561*1.25*'Parametros'!$B$3*(AB561-(AC561*1.25*'Parametros'!$B$3/(0.85*'Parametros'!$B$2*H561))/2)/1000000</f>
        <v>196.346217941176</v>
      </c>
      <c r="AH561" s="10">
        <f>N561+(AF561+AG561)/D561</f>
        <v>249.907229411765</v>
      </c>
      <c r="AI561" s="10">
        <f>MAX(O561,AH561)</f>
        <v>249.907229411765</v>
      </c>
      <c r="AJ561" s="10">
        <f>0.17*SQRT('Parametros'!$B$2)*H561*MIN(U561,AB561)/1000</f>
        <v>198.088855822627</v>
      </c>
      <c r="AK561" s="10">
        <f>MAX(AI561/'Parametros'!$B$6-AJ561,0)</f>
        <v>135.120783393059</v>
      </c>
      <c r="AL561" s="10">
        <f>0.66*SQRT('Parametros'!$B$2)*H561*MIN(U561,AB561)/1000</f>
        <v>769.050852017258</v>
      </c>
      <c r="AM561" s="10" t="str">
        <f>IF(AK561&lt;=AL561,"CUMPLE","NO CUMPLE")</f>
        <v>CUMPLE</v>
      </c>
      <c r="AN561" s="17" t="inlineStr">
        <is>
          <t>Nº3 cerrado</t>
        </is>
      </c>
      <c r="AO561" s="31" t="n">
        <v>2</v>
      </c>
      <c r="AP561" s="10">
        <f>ROUNDDOWN(MIN(IF(BC561+BD561=0,1000000000,AO561*BB561/(BC561+BD561)),MIN(U561,AB561)/4,8*'Parametros'!$B$12,24*BA561,300,IF(AV561=0,1000000000,2*((H561-2*('Parametros'!$B$7+'Parametros'!$B$9/2))+(I561-2*('Parametros'!$B$7+'Parametros'!$B$9/2)))/8))/10,0)*10</f>
        <v>120</v>
      </c>
      <c r="AQ561" s="10">
        <f>ROUNDDOWN(MIN(IF(BC561+BD561=0,1000000000,AO561*BB561/(BC561+BD561)),IF(AK561&gt;0.33*SQRT('Parametros'!$B$2)*H561*MIN(U561,AB561)/1000,MIN(U561,AB561)/4,MIN(U561,AB561)/2),600,IF(AV561=0,1000000000,2*((H561-2*('Parametros'!$B$7+'Parametros'!$B$9/2))+(I561-2*('Parametros'!$B$7+'Parametros'!$B$9/2)))/8))/10,0)*10</f>
        <v>130</v>
      </c>
      <c r="AR561" s="10">
        <f>'Parametros'!$B$6*(AJ561+MAX(BE561-BD561,0)*'Parametros'!$B$4*MIN(U561,AB561)/1000)</f>
        <v>271.220008772245</v>
      </c>
      <c r="AS561" s="10" t="str">
        <f>IF(AND(ISERROR(SEARCH("referencia",AN561)),AM561="CUMPLE",AR561&gt;=AI561),"CUMPLE","NO CUMPLE")</f>
        <v>CUMPLE</v>
      </c>
      <c r="AT561" s="10">
        <f>'Parametros'!$B$6*0.083*SQRT('Parametros'!$B$2)*(H561*I561)^2/(2*(H561+I561))/1000000</f>
        <v>10.0887830333379</v>
      </c>
      <c r="AU561" s="10" t="str">
        <f>IF(Q561&lt;=AT561,"DESPRECIABLE","DISEÑAR")</f>
        <v>DISEÑAR</v>
      </c>
      <c r="AV561" s="10">
        <f>IF(Q561&lt;=AT561,0,Q561*1000000/('Parametros'!$B$6*2*0.85*(H561-2*('Parametros'!$B$7+'Parametros'!$B$9/2))*(I561-2*('Parametros'!$B$7+'Parametros'!$B$9/2))*'Parametros'!$B$4))</f>
        <v>0.193816694302046</v>
      </c>
      <c r="AW561" s="10">
        <f>AV561*2*((H561-2*('Parametros'!$B$7+'Parametros'!$B$9/2))+(I561-2*('Parametros'!$B$7+'Parametros'!$B$9/2)))*'Parametros'!$B$4/'Parametros'!$B$3</f>
        <v>315.766158356894</v>
      </c>
      <c r="AX561" s="31" t="n">
        <v>8</v>
      </c>
      <c r="AY561" s="10" t="str">
        <f>IF(AV561=0,"DESPRECIABLE",IF(AND(ISERROR(SEARCH("referencia",AN561)),BB561/AP561&gt;=AV561,BI561&gt;=AW561,BH561="CUMPLE"),"CUMPLE","NO CUMPLE"))</f>
        <v>CUMPLE</v>
      </c>
      <c r="AZ561" s="10" t="str">
        <f>IF(AND(X561="CUMPLE",AE561="CUMPLE",AS561="CUMPLE",OR(AY561="CUMPLE",AY561="DESPRECIABLE"),BH561="CUMPLE",BJ561="CUMPLE"),"CUMPLE","NO CUMPLE")</f>
        <v>CUMPLE</v>
      </c>
      <c r="BA561" s="32" t="n">
        <v>9.5</v>
      </c>
      <c r="BB561" s="32" t="n">
        <v>71</v>
      </c>
      <c r="BC561" s="10">
        <f>MAX(IF(AK561=0,0,AK561*1000/('Parametros'!$B$4*MIN(U561,AB561))),MAX(0.062*SQRT('Parametros'!$B$2)*H561/'Parametros'!$B$4,0.35*H561/'Parametros'!$B$4))</f>
        <v>0.657435681896098</v>
      </c>
      <c r="BD561" s="10">
        <f>2*AV561</f>
        <v>0.387633388604092</v>
      </c>
      <c r="BE561" s="10">
        <f>AO561*BB561/AP561</f>
        <v>1.18333333333333</v>
      </c>
      <c r="BF561" s="10">
        <f>SQRT((AI561*1000/(H561*MIN(U561,AB561)))^2+(Q561*1000000*2*((H561-2*('Parametros'!$B$7+'Parametros'!$B$9/2))+(I561-2*('Parametros'!$B$7+'Parametros'!$B$9/2)))/(1.7*((H561-2*('Parametros'!$B$7+'Parametros'!$B$9/2))*(I561-2*('Parametros'!$B$7+'Parametros'!$B$9/2)))^2))^2)</f>
        <v>1.28783347160901</v>
      </c>
      <c r="BG561" s="10">
        <f>'Parametros'!$B$6*(AJ561*1000/(H561*MIN(U561,AB561))+0.66*SQRT('Parametros'!$B$2))</f>
        <v>3.29396038227542</v>
      </c>
      <c r="BH561" s="10" t="str">
        <f>IF(BF561&lt;=BG561,"CUMPLE","NO CUMPLE")</f>
        <v>CUMPLE</v>
      </c>
      <c r="BI561" s="10">
        <f>AX561*'Parametros'!$B$8</f>
        <v>1592</v>
      </c>
      <c r="BJ561" s="10" t="str">
        <f>IF(BI561&gt;=AW561,"CUMPLE","NO CUMPLE")</f>
        <v>CUMPLE</v>
      </c>
    </row>
    <row r="562">
      <c r="A562" s="27" t="inlineStr">
        <is>
          <t>VRAUX</t>
        </is>
      </c>
      <c r="B562" s="27" t="inlineStr">
        <is>
          <t>111</t>
        </is>
      </c>
      <c r="C562" s="10" t="n">
        <v>1</v>
      </c>
      <c r="D562" s="10" t="n">
        <v>1.9</v>
      </c>
      <c r="E562" s="10" t="n">
        <v>1.9</v>
      </c>
      <c r="F562" s="10" t="n">
        <v>450</v>
      </c>
      <c r="G562" s="10" t="n">
        <v>550</v>
      </c>
      <c r="H562" s="17" t="n">
        <v>450</v>
      </c>
      <c r="I562" s="17" t="n">
        <v>550</v>
      </c>
      <c r="J562" s="30" t="n">
        <v>48.9285</v>
      </c>
      <c r="K562" s="10" t="inlineStr">
        <is>
          <t>111</t>
        </is>
      </c>
      <c r="L562" s="30" t="n">
        <v>41.168</v>
      </c>
      <c r="M562" s="10" t="inlineStr">
        <is>
          <t>111</t>
        </is>
      </c>
      <c r="N562" s="30" t="n">
        <v>43.214</v>
      </c>
      <c r="O562" s="30" t="n">
        <v>169.637</v>
      </c>
      <c r="P562" s="10" t="inlineStr">
        <is>
          <t>111</t>
        </is>
      </c>
      <c r="Q562" s="30" t="n">
        <v>16.95</v>
      </c>
      <c r="R562" s="10">
        <f>MAX(MAX(1.4/'Parametros'!$B$3,0.25*SQRT('Parametros'!$B$2)/'Parametros'!$B$3)*H562*U562,(0.85*'Parametros'!$B$2/'Parametros'!$B$3)*(1-SQRT(1-2*(J562*1000000/('Parametros'!$B$5*H562*U562^2))/(0.85*'Parametros'!$B$2)))*H562*U562)</f>
        <v>734.025</v>
      </c>
      <c r="S562" s="31" t="n">
        <v>4</v>
      </c>
      <c r="T562" s="32" t="n">
        <v>1</v>
      </c>
      <c r="U562" s="10">
        <f>IF(T562=1,I562-('Parametros'!$B$7+'Parametros'!$B$9+'Parametros'!$B$12/2),I562-(ROUNDUP(S562/2,0)*('Parametros'!$B$7+'Parametros'!$B$9+'Parametros'!$B$12/2)+ROUNDDOWN(S562/2,0)*('Parametros'!$B$7+'Parametros'!$B$9+'Parametros'!$B$12/2+'Parametros'!$B$12+'Parametros'!$B$10))/S562)</f>
        <v>489.35</v>
      </c>
      <c r="V562" s="10">
        <f>S562*'Parametros'!$B$8</f>
        <v>796</v>
      </c>
      <c r="W562" s="10">
        <f>'Parametros'!$B$5*V562*'Parametros'!$B$3*(U562-(V562*'Parametros'!$B$3/(0.85*'Parametros'!$B$2*H562))/2)/1000000</f>
        <v>142.543330094118</v>
      </c>
      <c r="X562" s="10" t="str">
        <f>IF(W562&gt;=J562,"CUMPLE","NO CUMPLE")</f>
        <v>CUMPLE</v>
      </c>
      <c r="Y562" s="10">
        <f>MAX(MAX(1.4/'Parametros'!$B$3,0.25*SQRT('Parametros'!$B$2)/'Parametros'!$B$3)*H562*AB562,(0.85*'Parametros'!$B$2/'Parametros'!$B$3)*(1-SQRT(1-2*(L562*1000000/('Parametros'!$B$5*H562*AB562^2))/(0.85*'Parametros'!$B$2)))*H562*AB562)</f>
        <v>734.025</v>
      </c>
      <c r="Z562" s="31" t="n">
        <v>4</v>
      </c>
      <c r="AA562" s="32" t="n">
        <v>1</v>
      </c>
      <c r="AB562" s="10">
        <f>IF(AA562=1,I562-('Parametros'!$B$7+'Parametros'!$B$9+'Parametros'!$B$12/2),I562-(ROUNDUP(Z562/2,0)*('Parametros'!$B$7+'Parametros'!$B$9+'Parametros'!$B$12/2)+ROUNDDOWN(Z562/2,0)*('Parametros'!$B$7+'Parametros'!$B$9+'Parametros'!$B$12/2+'Parametros'!$B$12+'Parametros'!$B$10))/Z562)</f>
        <v>489.35</v>
      </c>
      <c r="AC562" s="10">
        <f>Z562*'Parametros'!$B$8</f>
        <v>796</v>
      </c>
      <c r="AD562" s="10">
        <f>'Parametros'!$B$5*AC562*'Parametros'!$B$3*(AB562-(AC562*'Parametros'!$B$3/(0.85*'Parametros'!$B$2*H562))/2)/1000000</f>
        <v>142.543330094118</v>
      </c>
      <c r="AE562" s="10" t="str">
        <f>IF(AD562&gt;=L562,"CUMPLE","NO CUMPLE")</f>
        <v>CUMPLE</v>
      </c>
      <c r="AF562" s="10">
        <f>V562*1.25*'Parametros'!$B$3*(U562-(V562*1.25*'Parametros'!$B$3/(0.85*'Parametros'!$B$2*H562))/2)/1000000</f>
        <v>196.346217941176</v>
      </c>
      <c r="AG562" s="10">
        <f>AC562*1.25*'Parametros'!$B$3*(AB562-(AC562*1.25*'Parametros'!$B$3/(0.85*'Parametros'!$B$2*H562))/2)/1000000</f>
        <v>196.346217941176</v>
      </c>
      <c r="AH562" s="10">
        <f>N562+(AF562+AG562)/D562</f>
        <v>249.894229411765</v>
      </c>
      <c r="AI562" s="10">
        <f>MAX(O562,AH562)</f>
        <v>249.894229411765</v>
      </c>
      <c r="AJ562" s="10">
        <f>0.17*SQRT('Parametros'!$B$2)*H562*MIN(U562,AB562)/1000</f>
        <v>198.088855822627</v>
      </c>
      <c r="AK562" s="10">
        <f>MAX(AI562/'Parametros'!$B$6-AJ562,0)</f>
        <v>135.103450059726</v>
      </c>
      <c r="AL562" s="10">
        <f>0.66*SQRT('Parametros'!$B$2)*H562*MIN(U562,AB562)/1000</f>
        <v>769.050852017258</v>
      </c>
      <c r="AM562" s="10" t="str">
        <f>IF(AK562&lt;=AL562,"CUMPLE","NO CUMPLE")</f>
        <v>CUMPLE</v>
      </c>
      <c r="AN562" s="17" t="inlineStr">
        <is>
          <t>Nº3 cerrado</t>
        </is>
      </c>
      <c r="AO562" s="31" t="n">
        <v>2</v>
      </c>
      <c r="AP562" s="10">
        <f>ROUNDDOWN(MIN(IF(BC562+BD562=0,1000000000,AO562*BB562/(BC562+BD562)),MIN(U562,AB562)/4,8*'Parametros'!$B$12,24*BA562,300,IF(AV562=0,1000000000,2*((H562-2*('Parametros'!$B$7+'Parametros'!$B$9/2))+(I562-2*('Parametros'!$B$7+'Parametros'!$B$9/2)))/8))/10,0)*10</f>
        <v>120</v>
      </c>
      <c r="AQ562" s="10">
        <f>ROUNDDOWN(MIN(IF(BC562+BD562=0,1000000000,AO562*BB562/(BC562+BD562)),IF(AK562&gt;0.33*SQRT('Parametros'!$B$2)*H562*MIN(U562,AB562)/1000,MIN(U562,AB562)/4,MIN(U562,AB562)/2),600,IF(AV562=0,1000000000,2*((H562-2*('Parametros'!$B$7+'Parametros'!$B$9/2))+(I562-2*('Parametros'!$B$7+'Parametros'!$B$9/2)))/8))/10,0)*10</f>
        <v>130</v>
      </c>
      <c r="AR562" s="10">
        <f>'Parametros'!$B$6*(AJ562+MAX(BE562-BD562,0)*'Parametros'!$B$4*MIN(U562,AB562)/1000)</f>
        <v>271.249605638872</v>
      </c>
      <c r="AS562" s="10" t="str">
        <f>IF(AND(ISERROR(SEARCH("referencia",AN562)),AM562="CUMPLE",AR562&gt;=AI562),"CUMPLE","NO CUMPLE")</f>
        <v>CUMPLE</v>
      </c>
      <c r="AT562" s="10">
        <f>'Parametros'!$B$6*0.083*SQRT('Parametros'!$B$2)*(H562*I562)^2/(2*(H562+I562))/1000000</f>
        <v>10.0887830333379</v>
      </c>
      <c r="AU562" s="10" t="str">
        <f>IF(Q562&lt;=AT562,"DESPRECIABLE","DISEÑAR")</f>
        <v>DISEÑAR</v>
      </c>
      <c r="AV562" s="10">
        <f>IF(Q562&lt;=AT562,0,Q562*1000000/('Parametros'!$B$6*2*0.85*(H562-2*('Parametros'!$B$7+'Parametros'!$B$9/2))*(I562-2*('Parametros'!$B$7+'Parametros'!$B$9/2))*'Parametros'!$B$4))</f>
        <v>0.193720691127682</v>
      </c>
      <c r="AW562" s="10">
        <f>AV562*2*((H562-2*('Parametros'!$B$7+'Parametros'!$B$9/2))+(I562-2*('Parametros'!$B$7+'Parametros'!$B$9/2)))*'Parametros'!$B$4/'Parametros'!$B$3</f>
        <v>315.609749985219</v>
      </c>
      <c r="AX562" s="31" t="n">
        <v>8</v>
      </c>
      <c r="AY562" s="10" t="str">
        <f>IF(AV562=0,"DESPRECIABLE",IF(AND(ISERROR(SEARCH("referencia",AN562)),BB562/AP562&gt;=AV562,BI562&gt;=AW562,BH562="CUMPLE"),"CUMPLE","NO CUMPLE"))</f>
        <v>CUMPLE</v>
      </c>
      <c r="AZ562" s="10" t="str">
        <f>IF(AND(X562="CUMPLE",AE562="CUMPLE",AS562="CUMPLE",OR(AY562="CUMPLE",AY562="DESPRECIABLE"),BH562="CUMPLE",BJ562="CUMPLE"),"CUMPLE","NO CUMPLE")</f>
        <v>CUMPLE</v>
      </c>
      <c r="BA562" s="32" t="n">
        <v>9.5</v>
      </c>
      <c r="BB562" s="32" t="n">
        <v>71</v>
      </c>
      <c r="BC562" s="10">
        <f>MAX(IF(AK562=0,0,AK562*1000/('Parametros'!$B$4*MIN(U562,AB562))),MAX(0.062*SQRT('Parametros'!$B$2)*H562/'Parametros'!$B$4,0.35*H562/'Parametros'!$B$4))</f>
        <v>0.657351345855902</v>
      </c>
      <c r="BD562" s="10">
        <f>2*AV562</f>
        <v>0.387441382255364</v>
      </c>
      <c r="BE562" s="10">
        <f>AO562*BB562/AP562</f>
        <v>1.18333333333333</v>
      </c>
      <c r="BF562" s="10">
        <f>SQRT((AI562*1000/(H562*MIN(U562,AB562)))^2+(Q562*1000000*2*((H562-2*('Parametros'!$B$7+'Parametros'!$B$9/2))+(I562-2*('Parametros'!$B$7+'Parametros'!$B$9/2)))/(1.7*((H562-2*('Parametros'!$B$7+'Parametros'!$B$9/2))*(I562-2*('Parametros'!$B$7+'Parametros'!$B$9/2)))^2))^2)</f>
        <v>1.28763893620492</v>
      </c>
      <c r="BG562" s="10">
        <f>'Parametros'!$B$6*(AJ562*1000/(H562*MIN(U562,AB562))+0.66*SQRT('Parametros'!$B$2))</f>
        <v>3.29396038227542</v>
      </c>
      <c r="BH562" s="10" t="str">
        <f>IF(BF562&lt;=BG562,"CUMPLE","NO CUMPLE")</f>
        <v>CUMPLE</v>
      </c>
      <c r="BI562" s="10">
        <f>AX562*'Parametros'!$B$8</f>
        <v>1592</v>
      </c>
      <c r="BJ562" s="10" t="str">
        <f>IF(BI562&gt;=AW562,"CUMPLE","NO CUMPLE")</f>
        <v>CUMPLE</v>
      </c>
    </row>
    <row r="563">
      <c r="A563" s="27" t="inlineStr">
        <is>
          <t>VRAUX</t>
        </is>
      </c>
      <c r="B563" s="27" t="inlineStr">
        <is>
          <t>112</t>
        </is>
      </c>
      <c r="C563" s="10" t="n">
        <v>1</v>
      </c>
      <c r="D563" s="10" t="n">
        <v>1.9</v>
      </c>
      <c r="E563" s="10" t="n">
        <v>1.9</v>
      </c>
      <c r="F563" s="10" t="n">
        <v>450</v>
      </c>
      <c r="G563" s="10" t="n">
        <v>550</v>
      </c>
      <c r="H563" s="17" t="n">
        <v>450</v>
      </c>
      <c r="I563" s="17" t="n">
        <v>550</v>
      </c>
      <c r="J563" s="30" t="n">
        <v>48.9295</v>
      </c>
      <c r="K563" s="10" t="inlineStr">
        <is>
          <t>112</t>
        </is>
      </c>
      <c r="L563" s="30" t="n">
        <v>41.1676</v>
      </c>
      <c r="M563" s="10" t="inlineStr">
        <is>
          <t>112</t>
        </is>
      </c>
      <c r="N563" s="30" t="n">
        <v>43.236</v>
      </c>
      <c r="O563" s="30" t="n">
        <v>169.663</v>
      </c>
      <c r="P563" s="10" t="inlineStr">
        <is>
          <t>112</t>
        </is>
      </c>
      <c r="Q563" s="30" t="n">
        <v>16.9631</v>
      </c>
      <c r="R563" s="10">
        <f>MAX(MAX(1.4/'Parametros'!$B$3,0.25*SQRT('Parametros'!$B$2)/'Parametros'!$B$3)*H563*U563,(0.85*'Parametros'!$B$2/'Parametros'!$B$3)*(1-SQRT(1-2*(J563*1000000/('Parametros'!$B$5*H563*U563^2))/(0.85*'Parametros'!$B$2)))*H563*U563)</f>
        <v>734.025</v>
      </c>
      <c r="S563" s="31" t="n">
        <v>4</v>
      </c>
      <c r="T563" s="32" t="n">
        <v>1</v>
      </c>
      <c r="U563" s="10">
        <f>IF(T563=1,I563-('Parametros'!$B$7+'Parametros'!$B$9+'Parametros'!$B$12/2),I563-(ROUNDUP(S563/2,0)*('Parametros'!$B$7+'Parametros'!$B$9+'Parametros'!$B$12/2)+ROUNDDOWN(S563/2,0)*('Parametros'!$B$7+'Parametros'!$B$9+'Parametros'!$B$12/2+'Parametros'!$B$12+'Parametros'!$B$10))/S563)</f>
        <v>489.35</v>
      </c>
      <c r="V563" s="10">
        <f>S563*'Parametros'!$B$8</f>
        <v>796</v>
      </c>
      <c r="W563" s="10">
        <f>'Parametros'!$B$5*V563*'Parametros'!$B$3*(U563-(V563*'Parametros'!$B$3/(0.85*'Parametros'!$B$2*H563))/2)/1000000</f>
        <v>142.543330094118</v>
      </c>
      <c r="X563" s="10" t="str">
        <f>IF(W563&gt;=J563,"CUMPLE","NO CUMPLE")</f>
        <v>CUMPLE</v>
      </c>
      <c r="Y563" s="10">
        <f>MAX(MAX(1.4/'Parametros'!$B$3,0.25*SQRT('Parametros'!$B$2)/'Parametros'!$B$3)*H563*AB563,(0.85*'Parametros'!$B$2/'Parametros'!$B$3)*(1-SQRT(1-2*(L563*1000000/('Parametros'!$B$5*H563*AB563^2))/(0.85*'Parametros'!$B$2)))*H563*AB563)</f>
        <v>734.025</v>
      </c>
      <c r="Z563" s="31" t="n">
        <v>4</v>
      </c>
      <c r="AA563" s="32" t="n">
        <v>1</v>
      </c>
      <c r="AB563" s="10">
        <f>IF(AA563=1,I563-('Parametros'!$B$7+'Parametros'!$B$9+'Parametros'!$B$12/2),I563-(ROUNDUP(Z563/2,0)*('Parametros'!$B$7+'Parametros'!$B$9+'Parametros'!$B$12/2)+ROUNDDOWN(Z563/2,0)*('Parametros'!$B$7+'Parametros'!$B$9+'Parametros'!$B$12/2+'Parametros'!$B$12+'Parametros'!$B$10))/Z563)</f>
        <v>489.35</v>
      </c>
      <c r="AC563" s="10">
        <f>Z563*'Parametros'!$B$8</f>
        <v>796</v>
      </c>
      <c r="AD563" s="10">
        <f>'Parametros'!$B$5*AC563*'Parametros'!$B$3*(AB563-(AC563*'Parametros'!$B$3/(0.85*'Parametros'!$B$2*H563))/2)/1000000</f>
        <v>142.543330094118</v>
      </c>
      <c r="AE563" s="10" t="str">
        <f>IF(AD563&gt;=L563,"CUMPLE","NO CUMPLE")</f>
        <v>CUMPLE</v>
      </c>
      <c r="AF563" s="10">
        <f>V563*1.25*'Parametros'!$B$3*(U563-(V563*1.25*'Parametros'!$B$3/(0.85*'Parametros'!$B$2*H563))/2)/1000000</f>
        <v>196.346217941176</v>
      </c>
      <c r="AG563" s="10">
        <f>AC563*1.25*'Parametros'!$B$3*(AB563-(AC563*1.25*'Parametros'!$B$3/(0.85*'Parametros'!$B$2*H563))/2)/1000000</f>
        <v>196.346217941176</v>
      </c>
      <c r="AH563" s="10">
        <f>N563+(AF563+AG563)/D563</f>
        <v>249.916229411765</v>
      </c>
      <c r="AI563" s="10">
        <f>MAX(O563,AH563)</f>
        <v>249.916229411765</v>
      </c>
      <c r="AJ563" s="10">
        <f>0.17*SQRT('Parametros'!$B$2)*H563*MIN(U563,AB563)/1000</f>
        <v>198.088855822627</v>
      </c>
      <c r="AK563" s="10">
        <f>MAX(AI563/'Parametros'!$B$6-AJ563,0)</f>
        <v>135.132783393059</v>
      </c>
      <c r="AL563" s="10">
        <f>0.66*SQRT('Parametros'!$B$2)*H563*MIN(U563,AB563)/1000</f>
        <v>769.050852017258</v>
      </c>
      <c r="AM563" s="10" t="str">
        <f>IF(AK563&lt;=AL563,"CUMPLE","NO CUMPLE")</f>
        <v>CUMPLE</v>
      </c>
      <c r="AN563" s="17" t="inlineStr">
        <is>
          <t>Nº3 cerrado</t>
        </is>
      </c>
      <c r="AO563" s="31" t="n">
        <v>2</v>
      </c>
      <c r="AP563" s="10">
        <f>ROUNDDOWN(MIN(IF(BC563+BD563=0,1000000000,AO563*BB563/(BC563+BD563)),MIN(U563,AB563)/4,8*'Parametros'!$B$12,24*BA563,300,IF(AV563=0,1000000000,2*((H563-2*('Parametros'!$B$7+'Parametros'!$B$9/2))+(I563-2*('Parametros'!$B$7+'Parametros'!$B$9/2)))/8))/10,0)*10</f>
        <v>120</v>
      </c>
      <c r="AQ563" s="10">
        <f>ROUNDDOWN(MIN(IF(BC563+BD563=0,1000000000,AO563*BB563/(BC563+BD563)),IF(AK563&gt;0.33*SQRT('Parametros'!$B$2)*H563*MIN(U563,AB563)/1000,MIN(U563,AB563)/4,MIN(U563,AB563)/2),600,IF(AV563=0,1000000000,2*((H563-2*('Parametros'!$B$7+'Parametros'!$B$9/2))+(I563-2*('Parametros'!$B$7+'Parametros'!$B$9/2)))/8))/10,0)*10</f>
        <v>130</v>
      </c>
      <c r="AR563" s="10">
        <f>'Parametros'!$B$6*(AJ563+MAX(BE563-BD563,0)*'Parametros'!$B$4*MIN(U563,AB563)/1000)</f>
        <v>271.203448620681</v>
      </c>
      <c r="AS563" s="10" t="str">
        <f>IF(AND(ISERROR(SEARCH("referencia",AN563)),AM563="CUMPLE",AR563&gt;=AI563),"CUMPLE","NO CUMPLE")</f>
        <v>CUMPLE</v>
      </c>
      <c r="AT563" s="10">
        <f>'Parametros'!$B$6*0.083*SQRT('Parametros'!$B$2)*(H563*I563)^2/(2*(H563+I563))/1000000</f>
        <v>10.0887830333379</v>
      </c>
      <c r="AU563" s="10" t="str">
        <f>IF(Q563&lt;=AT563,"DESPRECIABLE","DISEÑAR")</f>
        <v>DISEÑAR</v>
      </c>
      <c r="AV563" s="10">
        <f>IF(Q563&lt;=AT563,0,Q563*1000000/('Parametros'!$B$6*2*0.85*(H563-2*('Parametros'!$B$7+'Parametros'!$B$9/2))*(I563-2*('Parametros'!$B$7+'Parametros'!$B$9/2))*'Parametros'!$B$4))</f>
        <v>0.193870410363893</v>
      </c>
      <c r="AW563" s="10">
        <f>AV563*2*((H563-2*('Parametros'!$B$7+'Parametros'!$B$9/2))+(I563-2*('Parametros'!$B$7+'Parametros'!$B$9/2)))*'Parametros'!$B$4/'Parametros'!$B$3</f>
        <v>315.853672564854</v>
      </c>
      <c r="AX563" s="31" t="n">
        <v>8</v>
      </c>
      <c r="AY563" s="10" t="str">
        <f>IF(AV563=0,"DESPRECIABLE",IF(AND(ISERROR(SEARCH("referencia",AN563)),BB563/AP563&gt;=AV563,BI563&gt;=AW563,BH563="CUMPLE"),"CUMPLE","NO CUMPLE"))</f>
        <v>CUMPLE</v>
      </c>
      <c r="AZ563" s="10" t="str">
        <f>IF(AND(X563="CUMPLE",AE563="CUMPLE",AS563="CUMPLE",OR(AY563="CUMPLE",AY563="DESPRECIABLE"),BH563="CUMPLE",BJ563="CUMPLE"),"CUMPLE","NO CUMPLE")</f>
        <v>CUMPLE</v>
      </c>
      <c r="BA563" s="32" t="n">
        <v>9.5</v>
      </c>
      <c r="BB563" s="32" t="n">
        <v>71</v>
      </c>
      <c r="BC563" s="10">
        <f>MAX(IF(AK563=0,0,AK563*1000/('Parametros'!$B$4*MIN(U563,AB563))),MAX(0.062*SQRT('Parametros'!$B$2)*H563/'Parametros'!$B$4,0.35*H563/'Parametros'!$B$4))</f>
        <v>0.657494068385464</v>
      </c>
      <c r="BD563" s="10">
        <f>2*AV563</f>
        <v>0.387740820727786</v>
      </c>
      <c r="BE563" s="10">
        <f>AO563*BB563/AP563</f>
        <v>1.18333333333333</v>
      </c>
      <c r="BF563" s="10">
        <f>SQRT((AI563*1000/(H563*MIN(U563,AB563)))^2+(Q563*1000000*2*((H563-2*('Parametros'!$B$7+'Parametros'!$B$9/2))+(I563-2*('Parametros'!$B$7+'Parametros'!$B$9/2)))/(1.7*((H563-2*('Parametros'!$B$7+'Parametros'!$B$9/2))*(I563-2*('Parametros'!$B$7+'Parametros'!$B$9/2)))^2))^2)</f>
        <v>1.28794924544449</v>
      </c>
      <c r="BG563" s="10">
        <f>'Parametros'!$B$6*(AJ563*1000/(H563*MIN(U563,AB563))+0.66*SQRT('Parametros'!$B$2))</f>
        <v>3.29396038227542</v>
      </c>
      <c r="BH563" s="10" t="str">
        <f>IF(BF563&lt;=BG563,"CUMPLE","NO CUMPLE")</f>
        <v>CUMPLE</v>
      </c>
      <c r="BI563" s="10">
        <f>AX563*'Parametros'!$B$8</f>
        <v>1592</v>
      </c>
      <c r="BJ563" s="10" t="str">
        <f>IF(BI563&gt;=AW563,"CUMPLE","NO CUMPLE")</f>
        <v>CUMPLE</v>
      </c>
    </row>
    <row r="564">
      <c r="A564" s="27" t="inlineStr">
        <is>
          <t>VRAUX</t>
        </is>
      </c>
      <c r="B564" s="27" t="inlineStr">
        <is>
          <t>113</t>
        </is>
      </c>
      <c r="C564" s="10" t="n">
        <v>1</v>
      </c>
      <c r="D564" s="10" t="n">
        <v>2</v>
      </c>
      <c r="E564" s="10" t="n">
        <v>2</v>
      </c>
      <c r="F564" s="10" t="n">
        <v>450</v>
      </c>
      <c r="G564" s="10" t="n">
        <v>550</v>
      </c>
      <c r="H564" s="17" t="n">
        <v>450</v>
      </c>
      <c r="I564" s="17" t="n">
        <v>550</v>
      </c>
      <c r="J564" s="30" t="n">
        <v>35.1373</v>
      </c>
      <c r="K564" s="10" t="inlineStr">
        <is>
          <t>113</t>
        </is>
      </c>
      <c r="L564" s="30" t="n">
        <v>30.5455</v>
      </c>
      <c r="M564" s="10" t="inlineStr">
        <is>
          <t>113</t>
        </is>
      </c>
      <c r="N564" s="30" t="n">
        <v>34.154</v>
      </c>
      <c r="O564" s="30" t="n">
        <v>132.045</v>
      </c>
      <c r="P564" s="10" t="inlineStr">
        <is>
          <t>113</t>
        </is>
      </c>
      <c r="Q564" s="30" t="n">
        <v>2.1206</v>
      </c>
      <c r="R564" s="10">
        <f>MAX(MAX(1.4/'Parametros'!$B$3,0.25*SQRT('Parametros'!$B$2)/'Parametros'!$B$3)*H564*U564,(0.85*'Parametros'!$B$2/'Parametros'!$B$3)*(1-SQRT(1-2*(J564*1000000/('Parametros'!$B$5*H564*U564^2))/(0.85*'Parametros'!$B$2)))*H564*U564)</f>
        <v>734.025</v>
      </c>
      <c r="S564" s="31" t="n">
        <v>4</v>
      </c>
      <c r="T564" s="32" t="n">
        <v>1</v>
      </c>
      <c r="U564" s="10">
        <f>IF(T564=1,I564-('Parametros'!$B$7+'Parametros'!$B$9+'Parametros'!$B$12/2),I564-(ROUNDUP(S564/2,0)*('Parametros'!$B$7+'Parametros'!$B$9+'Parametros'!$B$12/2)+ROUNDDOWN(S564/2,0)*('Parametros'!$B$7+'Parametros'!$B$9+'Parametros'!$B$12/2+'Parametros'!$B$12+'Parametros'!$B$10))/S564)</f>
        <v>489.35</v>
      </c>
      <c r="V564" s="10">
        <f>S564*'Parametros'!$B$8</f>
        <v>796</v>
      </c>
      <c r="W564" s="10">
        <f>'Parametros'!$B$5*V564*'Parametros'!$B$3*(U564-(V564*'Parametros'!$B$3/(0.85*'Parametros'!$B$2*H564))/2)/1000000</f>
        <v>142.543330094118</v>
      </c>
      <c r="X564" s="10" t="str">
        <f>IF(W564&gt;=J564,"CUMPLE","NO CUMPLE")</f>
        <v>CUMPLE</v>
      </c>
      <c r="Y564" s="10">
        <f>MAX(MAX(1.4/'Parametros'!$B$3,0.25*SQRT('Parametros'!$B$2)/'Parametros'!$B$3)*H564*AB564,(0.85*'Parametros'!$B$2/'Parametros'!$B$3)*(1-SQRT(1-2*(L564*1000000/('Parametros'!$B$5*H564*AB564^2))/(0.85*'Parametros'!$B$2)))*H564*AB564)</f>
        <v>734.025</v>
      </c>
      <c r="Z564" s="31" t="n">
        <v>4</v>
      </c>
      <c r="AA564" s="32" t="n">
        <v>1</v>
      </c>
      <c r="AB564" s="10">
        <f>IF(AA564=1,I564-('Parametros'!$B$7+'Parametros'!$B$9+'Parametros'!$B$12/2),I564-(ROUNDUP(Z564/2,0)*('Parametros'!$B$7+'Parametros'!$B$9+'Parametros'!$B$12/2)+ROUNDDOWN(Z564/2,0)*('Parametros'!$B$7+'Parametros'!$B$9+'Parametros'!$B$12/2+'Parametros'!$B$12+'Parametros'!$B$10))/Z564)</f>
        <v>489.35</v>
      </c>
      <c r="AC564" s="10">
        <f>Z564*'Parametros'!$B$8</f>
        <v>796</v>
      </c>
      <c r="AD564" s="10">
        <f>'Parametros'!$B$5*AC564*'Parametros'!$B$3*(AB564-(AC564*'Parametros'!$B$3/(0.85*'Parametros'!$B$2*H564))/2)/1000000</f>
        <v>142.543330094118</v>
      </c>
      <c r="AE564" s="10" t="str">
        <f>IF(AD564&gt;=L564,"CUMPLE","NO CUMPLE")</f>
        <v>CUMPLE</v>
      </c>
      <c r="AF564" s="10">
        <f>V564*1.25*'Parametros'!$B$3*(U564-(V564*1.25*'Parametros'!$B$3/(0.85*'Parametros'!$B$2*H564))/2)/1000000</f>
        <v>196.346217941176</v>
      </c>
      <c r="AG564" s="10">
        <f>AC564*1.25*'Parametros'!$B$3*(AB564-(AC564*1.25*'Parametros'!$B$3/(0.85*'Parametros'!$B$2*H564))/2)/1000000</f>
        <v>196.346217941176</v>
      </c>
      <c r="AH564" s="10">
        <f>N564+(AF564+AG564)/D564</f>
        <v>230.500217941176</v>
      </c>
      <c r="AI564" s="10">
        <f>MAX(O564,AH564)</f>
        <v>230.500217941176</v>
      </c>
      <c r="AJ564" s="10">
        <f>0.17*SQRT('Parametros'!$B$2)*H564*MIN(U564,AB564)/1000</f>
        <v>198.088855822627</v>
      </c>
      <c r="AK564" s="10">
        <f>MAX(AI564/'Parametros'!$B$6-AJ564,0)</f>
        <v>109.244768098942</v>
      </c>
      <c r="AL564" s="10">
        <f>0.66*SQRT('Parametros'!$B$2)*H564*MIN(U564,AB564)/1000</f>
        <v>769.050852017258</v>
      </c>
      <c r="AM564" s="10" t="str">
        <f>IF(AK564&lt;=AL564,"CUMPLE","NO CUMPLE")</f>
        <v>CUMPLE</v>
      </c>
      <c r="AN564" s="17" t="inlineStr">
        <is>
          <t>Nº3 cerrado</t>
        </is>
      </c>
      <c r="AO564" s="31" t="n">
        <v>2</v>
      </c>
      <c r="AP564" s="10">
        <f>ROUNDDOWN(MIN(IF(BC564+BD564=0,1000000000,AO564*BB564/(BC564+BD564)),MIN(U564,AB564)/4,8*'Parametros'!$B$12,24*BA564,300,IF(AV564=0,1000000000,2*((H564-2*('Parametros'!$B$7+'Parametros'!$B$9/2))+(I564-2*('Parametros'!$B$7+'Parametros'!$B$9/2)))/8))/10,0)*10</f>
        <v>120</v>
      </c>
      <c r="AQ564" s="10">
        <f>ROUNDDOWN(MIN(IF(BC564+BD564=0,1000000000,AO564*BB564/(BC564+BD564)),IF(AK564&gt;0.33*SQRT('Parametros'!$B$2)*H564*MIN(U564,AB564)/1000,MIN(U564,AB564)/4,MIN(U564,AB564)/2),600,IF(AV564=0,1000000000,2*((H564-2*('Parametros'!$B$7+'Parametros'!$B$9/2))+(I564-2*('Parametros'!$B$7+'Parametros'!$B$9/2)))/8))/10,0)*10</f>
        <v>240</v>
      </c>
      <c r="AR564" s="10">
        <f>'Parametros'!$B$6*(AJ564+MAX(BE564-BD564,0)*'Parametros'!$B$4*MIN(U564,AB564)/1000)</f>
        <v>330.97185436697</v>
      </c>
      <c r="AS564" s="10" t="str">
        <f>IF(AND(ISERROR(SEARCH("referencia",AN564)),AM564="CUMPLE",AR564&gt;=AI564),"CUMPLE","NO CUMPLE")</f>
        <v>CUMPLE</v>
      </c>
      <c r="AT564" s="10">
        <f>'Parametros'!$B$6*0.083*SQRT('Parametros'!$B$2)*(H564*I564)^2/(2*(H564+I564))/1000000</f>
        <v>10.0887830333379</v>
      </c>
      <c r="AU564" s="10" t="str">
        <f>IF(Q564&lt;=AT564,"DESPRECIABLE","DISEÑAR")</f>
        <v>DESPRECIABLE</v>
      </c>
      <c r="AV564" s="10">
        <f>IF(Q564&lt;=AT564,0,Q564*1000000/('Parametros'!$B$6*2*0.85*(H564-2*('Parametros'!$B$7+'Parametros'!$B$9/2))*(I564-2*('Parametros'!$B$7+'Parametros'!$B$9/2))*'Parametros'!$B$4))</f>
        <v>0</v>
      </c>
      <c r="AW564" s="10">
        <f>AV564*2*((H564-2*('Parametros'!$B$7+'Parametros'!$B$9/2))+(I564-2*('Parametros'!$B$7+'Parametros'!$B$9/2)))*'Parametros'!$B$4/'Parametros'!$B$3</f>
        <v>0</v>
      </c>
      <c r="AX564" s="31" t="n">
        <v>0</v>
      </c>
      <c r="AY564" s="10" t="str">
        <f>IF(AV564=0,"DESPRECIABLE",IF(AND(ISERROR(SEARCH("referencia",AN564)),BB564/AP564&gt;=AV564,BI564&gt;=AW564,BH564="CUMPLE"),"CUMPLE","NO CUMPLE"))</f>
        <v>DESPRECIABLE</v>
      </c>
      <c r="AZ564" s="10" t="str">
        <f>IF(AND(X564="CUMPLE",AE564="CUMPLE",AS564="CUMPLE",OR(AY564="CUMPLE",AY564="DESPRECIABLE"),BH564="CUMPLE",BJ564="CUMPLE"),"CUMPLE","NO CUMPLE")</f>
        <v>CUMPLE</v>
      </c>
      <c r="BA564" s="32" t="n">
        <v>9.5</v>
      </c>
      <c r="BB564" s="32" t="n">
        <v>71</v>
      </c>
      <c r="BC564" s="10">
        <f>MAX(IF(AK564=0,0,AK564*1000/('Parametros'!$B$4*MIN(U564,AB564))),MAX(0.062*SQRT('Parametros'!$B$2)*H564/'Parametros'!$B$4,0.35*H564/'Parametros'!$B$4))</f>
        <v>0.531534874244949</v>
      </c>
      <c r="BD564" s="10">
        <f>2*AV564</f>
        <v>0</v>
      </c>
      <c r="BE564" s="10">
        <f>AO564*BB564/AP564</f>
        <v>1.18333333333333</v>
      </c>
      <c r="BF564" s="10">
        <f>SQRT((AI564*1000/(H564*MIN(U564,AB564)))^2+(Q564*1000000*2*((H564-2*('Parametros'!$B$7+'Parametros'!$B$9/2))+(I564-2*('Parametros'!$B$7+'Parametros'!$B$9/2)))/(1.7*((H564-2*('Parametros'!$B$7+'Parametros'!$B$9/2))*(I564-2*('Parametros'!$B$7+'Parametros'!$B$9/2)))^2))^2)</f>
        <v>1.04950532249905</v>
      </c>
      <c r="BG564" s="10">
        <f>'Parametros'!$B$6*(AJ564*1000/(H564*MIN(U564,AB564))+0.66*SQRT('Parametros'!$B$2))</f>
        <v>3.29396038227542</v>
      </c>
      <c r="BH564" s="10" t="str">
        <f>IF(BF564&lt;=BG564,"CUMPLE","NO CUMPLE")</f>
        <v>CUMPLE</v>
      </c>
      <c r="BI564" s="10">
        <f>AX564*'Parametros'!$B$8</f>
        <v>0</v>
      </c>
      <c r="BJ564" s="10" t="str">
        <f>IF(BI564&gt;=AW564,"CUMPLE","NO CUMPLE")</f>
        <v>CUMPLE</v>
      </c>
    </row>
    <row r="565">
      <c r="A565" s="27" t="inlineStr">
        <is>
          <t>VRAUX</t>
        </is>
      </c>
      <c r="B565" s="27" t="inlineStr">
        <is>
          <t>114</t>
        </is>
      </c>
      <c r="C565" s="10" t="n">
        <v>1</v>
      </c>
      <c r="D565" s="10" t="n">
        <v>2</v>
      </c>
      <c r="E565" s="10" t="n">
        <v>2</v>
      </c>
      <c r="F565" s="10" t="n">
        <v>450</v>
      </c>
      <c r="G565" s="10" t="n">
        <v>550</v>
      </c>
      <c r="H565" s="17" t="n">
        <v>450</v>
      </c>
      <c r="I565" s="17" t="n">
        <v>550</v>
      </c>
      <c r="J565" s="30" t="n">
        <v>35.1295</v>
      </c>
      <c r="K565" s="10" t="inlineStr">
        <is>
          <t>114</t>
        </is>
      </c>
      <c r="L565" s="30" t="n">
        <v>30.5405</v>
      </c>
      <c r="M565" s="10" t="inlineStr">
        <is>
          <t>114</t>
        </is>
      </c>
      <c r="N565" s="30" t="n">
        <v>34.148</v>
      </c>
      <c r="O565" s="30" t="n">
        <v>132.038</v>
      </c>
      <c r="P565" s="10" t="inlineStr">
        <is>
          <t>114</t>
        </is>
      </c>
      <c r="Q565" s="30" t="n">
        <v>2.1219</v>
      </c>
      <c r="R565" s="10">
        <f>MAX(MAX(1.4/'Parametros'!$B$3,0.25*SQRT('Parametros'!$B$2)/'Parametros'!$B$3)*H565*U565,(0.85*'Parametros'!$B$2/'Parametros'!$B$3)*(1-SQRT(1-2*(J565*1000000/('Parametros'!$B$5*H565*U565^2))/(0.85*'Parametros'!$B$2)))*H565*U565)</f>
        <v>734.025</v>
      </c>
      <c r="S565" s="31" t="n">
        <v>4</v>
      </c>
      <c r="T565" s="32" t="n">
        <v>1</v>
      </c>
      <c r="U565" s="10">
        <f>IF(T565=1,I565-('Parametros'!$B$7+'Parametros'!$B$9+'Parametros'!$B$12/2),I565-(ROUNDUP(S565/2,0)*('Parametros'!$B$7+'Parametros'!$B$9+'Parametros'!$B$12/2)+ROUNDDOWN(S565/2,0)*('Parametros'!$B$7+'Parametros'!$B$9+'Parametros'!$B$12/2+'Parametros'!$B$12+'Parametros'!$B$10))/S565)</f>
        <v>489.35</v>
      </c>
      <c r="V565" s="10">
        <f>S565*'Parametros'!$B$8</f>
        <v>796</v>
      </c>
      <c r="W565" s="10">
        <f>'Parametros'!$B$5*V565*'Parametros'!$B$3*(U565-(V565*'Parametros'!$B$3/(0.85*'Parametros'!$B$2*H565))/2)/1000000</f>
        <v>142.543330094118</v>
      </c>
      <c r="X565" s="10" t="str">
        <f>IF(W565&gt;=J565,"CUMPLE","NO CUMPLE")</f>
        <v>CUMPLE</v>
      </c>
      <c r="Y565" s="10">
        <f>MAX(MAX(1.4/'Parametros'!$B$3,0.25*SQRT('Parametros'!$B$2)/'Parametros'!$B$3)*H565*AB565,(0.85*'Parametros'!$B$2/'Parametros'!$B$3)*(1-SQRT(1-2*(L565*1000000/('Parametros'!$B$5*H565*AB565^2))/(0.85*'Parametros'!$B$2)))*H565*AB565)</f>
        <v>734.025</v>
      </c>
      <c r="Z565" s="31" t="n">
        <v>4</v>
      </c>
      <c r="AA565" s="32" t="n">
        <v>1</v>
      </c>
      <c r="AB565" s="10">
        <f>IF(AA565=1,I565-('Parametros'!$B$7+'Parametros'!$B$9+'Parametros'!$B$12/2),I565-(ROUNDUP(Z565/2,0)*('Parametros'!$B$7+'Parametros'!$B$9+'Parametros'!$B$12/2)+ROUNDDOWN(Z565/2,0)*('Parametros'!$B$7+'Parametros'!$B$9+'Parametros'!$B$12/2+'Parametros'!$B$12+'Parametros'!$B$10))/Z565)</f>
        <v>489.35</v>
      </c>
      <c r="AC565" s="10">
        <f>Z565*'Parametros'!$B$8</f>
        <v>796</v>
      </c>
      <c r="AD565" s="10">
        <f>'Parametros'!$B$5*AC565*'Parametros'!$B$3*(AB565-(AC565*'Parametros'!$B$3/(0.85*'Parametros'!$B$2*H565))/2)/1000000</f>
        <v>142.543330094118</v>
      </c>
      <c r="AE565" s="10" t="str">
        <f>IF(AD565&gt;=L565,"CUMPLE","NO CUMPLE")</f>
        <v>CUMPLE</v>
      </c>
      <c r="AF565" s="10">
        <f>V565*1.25*'Parametros'!$B$3*(U565-(V565*1.25*'Parametros'!$B$3/(0.85*'Parametros'!$B$2*H565))/2)/1000000</f>
        <v>196.346217941176</v>
      </c>
      <c r="AG565" s="10">
        <f>AC565*1.25*'Parametros'!$B$3*(AB565-(AC565*1.25*'Parametros'!$B$3/(0.85*'Parametros'!$B$2*H565))/2)/1000000</f>
        <v>196.346217941176</v>
      </c>
      <c r="AH565" s="10">
        <f>N565+(AF565+AG565)/D565</f>
        <v>230.494217941176</v>
      </c>
      <c r="AI565" s="10">
        <f>MAX(O565,AH565)</f>
        <v>230.494217941176</v>
      </c>
      <c r="AJ565" s="10">
        <f>0.17*SQRT('Parametros'!$B$2)*H565*MIN(U565,AB565)/1000</f>
        <v>198.088855822627</v>
      </c>
      <c r="AK565" s="10">
        <f>MAX(AI565/'Parametros'!$B$6-AJ565,0)</f>
        <v>109.236768098942</v>
      </c>
      <c r="AL565" s="10">
        <f>0.66*SQRT('Parametros'!$B$2)*H565*MIN(U565,AB565)/1000</f>
        <v>769.050852017258</v>
      </c>
      <c r="AM565" s="10" t="str">
        <f>IF(AK565&lt;=AL565,"CUMPLE","NO CUMPLE")</f>
        <v>CUMPLE</v>
      </c>
      <c r="AN565" s="17" t="inlineStr">
        <is>
          <t>Nº3 cerrado</t>
        </is>
      </c>
      <c r="AO565" s="31" t="n">
        <v>2</v>
      </c>
      <c r="AP565" s="10">
        <f>ROUNDDOWN(MIN(IF(BC565+BD565=0,1000000000,AO565*BB565/(BC565+BD565)),MIN(U565,AB565)/4,8*'Parametros'!$B$12,24*BA565,300,IF(AV565=0,1000000000,2*((H565-2*('Parametros'!$B$7+'Parametros'!$B$9/2))+(I565-2*('Parametros'!$B$7+'Parametros'!$B$9/2)))/8))/10,0)*10</f>
        <v>120</v>
      </c>
      <c r="AQ565" s="10">
        <f>ROUNDDOWN(MIN(IF(BC565+BD565=0,1000000000,AO565*BB565/(BC565+BD565)),IF(AK565&gt;0.33*SQRT('Parametros'!$B$2)*H565*MIN(U565,AB565)/1000,MIN(U565,AB565)/4,MIN(U565,AB565)/2),600,IF(AV565=0,1000000000,2*((H565-2*('Parametros'!$B$7+'Parametros'!$B$9/2))+(I565-2*('Parametros'!$B$7+'Parametros'!$B$9/2)))/8))/10,0)*10</f>
        <v>240</v>
      </c>
      <c r="AR565" s="10">
        <f>'Parametros'!$B$6*(AJ565+MAX(BE565-BD565,0)*'Parametros'!$B$4*MIN(U565,AB565)/1000)</f>
        <v>330.97185436697</v>
      </c>
      <c r="AS565" s="10" t="str">
        <f>IF(AND(ISERROR(SEARCH("referencia",AN565)),AM565="CUMPLE",AR565&gt;=AI565),"CUMPLE","NO CUMPLE")</f>
        <v>CUMPLE</v>
      </c>
      <c r="AT565" s="10">
        <f>'Parametros'!$B$6*0.083*SQRT('Parametros'!$B$2)*(H565*I565)^2/(2*(H565+I565))/1000000</f>
        <v>10.0887830333379</v>
      </c>
      <c r="AU565" s="10" t="str">
        <f>IF(Q565&lt;=AT565,"DESPRECIABLE","DISEÑAR")</f>
        <v>DESPRECIABLE</v>
      </c>
      <c r="AV565" s="10">
        <f>IF(Q565&lt;=AT565,0,Q565*1000000/('Parametros'!$B$6*2*0.85*(H565-2*('Parametros'!$B$7+'Parametros'!$B$9/2))*(I565-2*('Parametros'!$B$7+'Parametros'!$B$9/2))*'Parametros'!$B$4))</f>
        <v>0</v>
      </c>
      <c r="AW565" s="10">
        <f>AV565*2*((H565-2*('Parametros'!$B$7+'Parametros'!$B$9/2))+(I565-2*('Parametros'!$B$7+'Parametros'!$B$9/2)))*'Parametros'!$B$4/'Parametros'!$B$3</f>
        <v>0</v>
      </c>
      <c r="AX565" s="31" t="n">
        <v>0</v>
      </c>
      <c r="AY565" s="10" t="str">
        <f>IF(AV565=0,"DESPRECIABLE",IF(AND(ISERROR(SEARCH("referencia",AN565)),BB565/AP565&gt;=AV565,BI565&gt;=AW565,BH565="CUMPLE"),"CUMPLE","NO CUMPLE"))</f>
        <v>DESPRECIABLE</v>
      </c>
      <c r="AZ565" s="10" t="str">
        <f>IF(AND(X565="CUMPLE",AE565="CUMPLE",AS565="CUMPLE",OR(AY565="CUMPLE",AY565="DESPRECIABLE"),BH565="CUMPLE",BJ565="CUMPLE"),"CUMPLE","NO CUMPLE")</f>
        <v>CUMPLE</v>
      </c>
      <c r="BA565" s="32" t="n">
        <v>9.5</v>
      </c>
      <c r="BB565" s="32" t="n">
        <v>71</v>
      </c>
      <c r="BC565" s="10">
        <f>MAX(IF(AK565=0,0,AK565*1000/('Parametros'!$B$4*MIN(U565,AB565))),MAX(0.062*SQRT('Parametros'!$B$2)*H565/'Parametros'!$B$4,0.35*H565/'Parametros'!$B$4))</f>
        <v>0.531495949918705</v>
      </c>
      <c r="BD565" s="10">
        <f>2*AV565</f>
        <v>0</v>
      </c>
      <c r="BE565" s="10">
        <f>AO565*BB565/AP565</f>
        <v>1.18333333333333</v>
      </c>
      <c r="BF565" s="10">
        <f>SQRT((AI565*1000/(H565*MIN(U565,AB565)))^2+(Q565*1000000*2*((H565-2*('Parametros'!$B$7+'Parametros'!$B$9/2))+(I565-2*('Parametros'!$B$7+'Parametros'!$B$9/2)))/(1.7*((H565-2*('Parametros'!$B$7+'Parametros'!$B$9/2))*(I565-2*('Parametros'!$B$7+'Parametros'!$B$9/2)))^2))^2)</f>
        <v>1.04948153314771</v>
      </c>
      <c r="BG565" s="10">
        <f>'Parametros'!$B$6*(AJ565*1000/(H565*MIN(U565,AB565))+0.66*SQRT('Parametros'!$B$2))</f>
        <v>3.29396038227542</v>
      </c>
      <c r="BH565" s="10" t="str">
        <f>IF(BF565&lt;=BG565,"CUMPLE","NO CUMPLE")</f>
        <v>CUMPLE</v>
      </c>
      <c r="BI565" s="10">
        <f>AX565*'Parametros'!$B$8</f>
        <v>0</v>
      </c>
      <c r="BJ565" s="10" t="str">
        <f>IF(BI565&gt;=AW565,"CUMPLE","NO CUMPLE")</f>
        <v>CUMPLE</v>
      </c>
    </row>
    <row r="566">
      <c r="A566" s="27" t="inlineStr">
        <is>
          <t>VRAUX</t>
        </is>
      </c>
      <c r="B566" s="27" t="inlineStr">
        <is>
          <t>115</t>
        </is>
      </c>
      <c r="C566" s="10" t="n">
        <v>1</v>
      </c>
      <c r="D566" s="10" t="n">
        <v>2</v>
      </c>
      <c r="E566" s="10" t="n">
        <v>2</v>
      </c>
      <c r="F566" s="10" t="n">
        <v>450</v>
      </c>
      <c r="G566" s="10" t="n">
        <v>550</v>
      </c>
      <c r="H566" s="17" t="n">
        <v>450</v>
      </c>
      <c r="I566" s="17" t="n">
        <v>550</v>
      </c>
      <c r="J566" s="30" t="n">
        <v>35.1097</v>
      </c>
      <c r="K566" s="10" t="inlineStr">
        <is>
          <t>115</t>
        </is>
      </c>
      <c r="L566" s="30" t="n">
        <v>30.5311</v>
      </c>
      <c r="M566" s="10" t="inlineStr">
        <is>
          <t>115</t>
        </is>
      </c>
      <c r="N566" s="30" t="n">
        <v>34.134</v>
      </c>
      <c r="O566" s="30" t="n">
        <v>132.025</v>
      </c>
      <c r="P566" s="10" t="inlineStr">
        <is>
          <t>115</t>
        </is>
      </c>
      <c r="Q566" s="30" t="n">
        <v>2.1257</v>
      </c>
      <c r="R566" s="10">
        <f>MAX(MAX(1.4/'Parametros'!$B$3,0.25*SQRT('Parametros'!$B$2)/'Parametros'!$B$3)*H566*U566,(0.85*'Parametros'!$B$2/'Parametros'!$B$3)*(1-SQRT(1-2*(J566*1000000/('Parametros'!$B$5*H566*U566^2))/(0.85*'Parametros'!$B$2)))*H566*U566)</f>
        <v>734.025</v>
      </c>
      <c r="S566" s="31" t="n">
        <v>4</v>
      </c>
      <c r="T566" s="32" t="n">
        <v>1</v>
      </c>
      <c r="U566" s="10">
        <f>IF(T566=1,I566-('Parametros'!$B$7+'Parametros'!$B$9+'Parametros'!$B$12/2),I566-(ROUNDUP(S566/2,0)*('Parametros'!$B$7+'Parametros'!$B$9+'Parametros'!$B$12/2)+ROUNDDOWN(S566/2,0)*('Parametros'!$B$7+'Parametros'!$B$9+'Parametros'!$B$12/2+'Parametros'!$B$12+'Parametros'!$B$10))/S566)</f>
        <v>489.35</v>
      </c>
      <c r="V566" s="10">
        <f>S566*'Parametros'!$B$8</f>
        <v>796</v>
      </c>
      <c r="W566" s="10">
        <f>'Parametros'!$B$5*V566*'Parametros'!$B$3*(U566-(V566*'Parametros'!$B$3/(0.85*'Parametros'!$B$2*H566))/2)/1000000</f>
        <v>142.543330094118</v>
      </c>
      <c r="X566" s="10" t="str">
        <f>IF(W566&gt;=J566,"CUMPLE","NO CUMPLE")</f>
        <v>CUMPLE</v>
      </c>
      <c r="Y566" s="10">
        <f>MAX(MAX(1.4/'Parametros'!$B$3,0.25*SQRT('Parametros'!$B$2)/'Parametros'!$B$3)*H566*AB566,(0.85*'Parametros'!$B$2/'Parametros'!$B$3)*(1-SQRT(1-2*(L566*1000000/('Parametros'!$B$5*H566*AB566^2))/(0.85*'Parametros'!$B$2)))*H566*AB566)</f>
        <v>734.025</v>
      </c>
      <c r="Z566" s="31" t="n">
        <v>4</v>
      </c>
      <c r="AA566" s="32" t="n">
        <v>1</v>
      </c>
      <c r="AB566" s="10">
        <f>IF(AA566=1,I566-('Parametros'!$B$7+'Parametros'!$B$9+'Parametros'!$B$12/2),I566-(ROUNDUP(Z566/2,0)*('Parametros'!$B$7+'Parametros'!$B$9+'Parametros'!$B$12/2)+ROUNDDOWN(Z566/2,0)*('Parametros'!$B$7+'Parametros'!$B$9+'Parametros'!$B$12/2+'Parametros'!$B$12+'Parametros'!$B$10))/Z566)</f>
        <v>489.35</v>
      </c>
      <c r="AC566" s="10">
        <f>Z566*'Parametros'!$B$8</f>
        <v>796</v>
      </c>
      <c r="AD566" s="10">
        <f>'Parametros'!$B$5*AC566*'Parametros'!$B$3*(AB566-(AC566*'Parametros'!$B$3/(0.85*'Parametros'!$B$2*H566))/2)/1000000</f>
        <v>142.543330094118</v>
      </c>
      <c r="AE566" s="10" t="str">
        <f>IF(AD566&gt;=L566,"CUMPLE","NO CUMPLE")</f>
        <v>CUMPLE</v>
      </c>
      <c r="AF566" s="10">
        <f>V566*1.25*'Parametros'!$B$3*(U566-(V566*1.25*'Parametros'!$B$3/(0.85*'Parametros'!$B$2*H566))/2)/1000000</f>
        <v>196.346217941176</v>
      </c>
      <c r="AG566" s="10">
        <f>AC566*1.25*'Parametros'!$B$3*(AB566-(AC566*1.25*'Parametros'!$B$3/(0.85*'Parametros'!$B$2*H566))/2)/1000000</f>
        <v>196.346217941176</v>
      </c>
      <c r="AH566" s="10">
        <f>N566+(AF566+AG566)/D566</f>
        <v>230.480217941176</v>
      </c>
      <c r="AI566" s="10">
        <f>MAX(O566,AH566)</f>
        <v>230.480217941176</v>
      </c>
      <c r="AJ566" s="10">
        <f>0.17*SQRT('Parametros'!$B$2)*H566*MIN(U566,AB566)/1000</f>
        <v>198.088855822627</v>
      </c>
      <c r="AK566" s="10">
        <f>MAX(AI566/'Parametros'!$B$6-AJ566,0)</f>
        <v>109.218101432275</v>
      </c>
      <c r="AL566" s="10">
        <f>0.66*SQRT('Parametros'!$B$2)*H566*MIN(U566,AB566)/1000</f>
        <v>769.050852017258</v>
      </c>
      <c r="AM566" s="10" t="str">
        <f>IF(AK566&lt;=AL566,"CUMPLE","NO CUMPLE")</f>
        <v>CUMPLE</v>
      </c>
      <c r="AN566" s="17" t="inlineStr">
        <is>
          <t>Nº3 cerrado</t>
        </is>
      </c>
      <c r="AO566" s="31" t="n">
        <v>2</v>
      </c>
      <c r="AP566" s="10">
        <f>ROUNDDOWN(MIN(IF(BC566+BD566=0,1000000000,AO566*BB566/(BC566+BD566)),MIN(U566,AB566)/4,8*'Parametros'!$B$12,24*BA566,300,IF(AV566=0,1000000000,2*((H566-2*('Parametros'!$B$7+'Parametros'!$B$9/2))+(I566-2*('Parametros'!$B$7+'Parametros'!$B$9/2)))/8))/10,0)*10</f>
        <v>120</v>
      </c>
      <c r="AQ566" s="10">
        <f>ROUNDDOWN(MIN(IF(BC566+BD566=0,1000000000,AO566*BB566/(BC566+BD566)),IF(AK566&gt;0.33*SQRT('Parametros'!$B$2)*H566*MIN(U566,AB566)/1000,MIN(U566,AB566)/4,MIN(U566,AB566)/2),600,IF(AV566=0,1000000000,2*((H566-2*('Parametros'!$B$7+'Parametros'!$B$9/2))+(I566-2*('Parametros'!$B$7+'Parametros'!$B$9/2)))/8))/10,0)*10</f>
        <v>240</v>
      </c>
      <c r="AR566" s="10">
        <f>'Parametros'!$B$6*(AJ566+MAX(BE566-BD566,0)*'Parametros'!$B$4*MIN(U566,AB566)/1000)</f>
        <v>330.97185436697</v>
      </c>
      <c r="AS566" s="10" t="str">
        <f>IF(AND(ISERROR(SEARCH("referencia",AN566)),AM566="CUMPLE",AR566&gt;=AI566),"CUMPLE","NO CUMPLE")</f>
        <v>CUMPLE</v>
      </c>
      <c r="AT566" s="10">
        <f>'Parametros'!$B$6*0.083*SQRT('Parametros'!$B$2)*(H566*I566)^2/(2*(H566+I566))/1000000</f>
        <v>10.0887830333379</v>
      </c>
      <c r="AU566" s="10" t="str">
        <f>IF(Q566&lt;=AT566,"DESPRECIABLE","DISEÑAR")</f>
        <v>DESPRECIABLE</v>
      </c>
      <c r="AV566" s="10">
        <f>IF(Q566&lt;=AT566,0,Q566*1000000/('Parametros'!$B$6*2*0.85*(H566-2*('Parametros'!$B$7+'Parametros'!$B$9/2))*(I566-2*('Parametros'!$B$7+'Parametros'!$B$9/2))*'Parametros'!$B$4))</f>
        <v>0</v>
      </c>
      <c r="AW566" s="10">
        <f>AV566*2*((H566-2*('Parametros'!$B$7+'Parametros'!$B$9/2))+(I566-2*('Parametros'!$B$7+'Parametros'!$B$9/2)))*'Parametros'!$B$4/'Parametros'!$B$3</f>
        <v>0</v>
      </c>
      <c r="AX566" s="31" t="n">
        <v>0</v>
      </c>
      <c r="AY566" s="10" t="str">
        <f>IF(AV566=0,"DESPRECIABLE",IF(AND(ISERROR(SEARCH("referencia",AN566)),BB566/AP566&gt;=AV566,BI566&gt;=AW566,BH566="CUMPLE"),"CUMPLE","NO CUMPLE"))</f>
        <v>DESPRECIABLE</v>
      </c>
      <c r="AZ566" s="10" t="str">
        <f>IF(AND(X566="CUMPLE",AE566="CUMPLE",AS566="CUMPLE",OR(AY566="CUMPLE",AY566="DESPRECIABLE"),BH566="CUMPLE",BJ566="CUMPLE"),"CUMPLE","NO CUMPLE")</f>
        <v>CUMPLE</v>
      </c>
      <c r="BA566" s="32" t="n">
        <v>9.5</v>
      </c>
      <c r="BB566" s="32" t="n">
        <v>71</v>
      </c>
      <c r="BC566" s="10">
        <f>MAX(IF(AK566=0,0,AK566*1000/('Parametros'!$B$4*MIN(U566,AB566))),MAX(0.062*SQRT('Parametros'!$B$2)*H566/'Parametros'!$B$4,0.35*H566/'Parametros'!$B$4))</f>
        <v>0.531405126490802</v>
      </c>
      <c r="BD566" s="10">
        <f>2*AV566</f>
        <v>0</v>
      </c>
      <c r="BE566" s="10">
        <f>AO566*BB566/AP566</f>
        <v>1.18333333333333</v>
      </c>
      <c r="BF566" s="10">
        <f>SQRT((AI566*1000/(H566*MIN(U566,AB566)))^2+(Q566*1000000*2*((H566-2*('Parametros'!$B$7+'Parametros'!$B$9/2))+(I566-2*('Parametros'!$B$7+'Parametros'!$B$9/2)))/(1.7*((H566-2*('Parametros'!$B$7+'Parametros'!$B$9/2))*(I566-2*('Parametros'!$B$7+'Parametros'!$B$9/2)))^2))^2)</f>
        <v>1.04942803413174</v>
      </c>
      <c r="BG566" s="10">
        <f>'Parametros'!$B$6*(AJ566*1000/(H566*MIN(U566,AB566))+0.66*SQRT('Parametros'!$B$2))</f>
        <v>3.29396038227542</v>
      </c>
      <c r="BH566" s="10" t="str">
        <f>IF(BF566&lt;=BG566,"CUMPLE","NO CUMPLE")</f>
        <v>CUMPLE</v>
      </c>
      <c r="BI566" s="10">
        <f>AX566*'Parametros'!$B$8</f>
        <v>0</v>
      </c>
      <c r="BJ566" s="10" t="str">
        <f>IF(BI566&gt;=AW566,"CUMPLE","NO CUMPLE")</f>
        <v>CUMPLE</v>
      </c>
    </row>
    <row r="567">
      <c r="A567" s="27" t="inlineStr">
        <is>
          <t>VRAUX</t>
        </is>
      </c>
      <c r="B567" s="27" t="inlineStr">
        <is>
          <t>116</t>
        </is>
      </c>
      <c r="C567" s="10" t="n">
        <v>1</v>
      </c>
      <c r="D567" s="10" t="n">
        <v>2</v>
      </c>
      <c r="E567" s="10" t="n">
        <v>2</v>
      </c>
      <c r="F567" s="10" t="n">
        <v>450</v>
      </c>
      <c r="G567" s="10" t="n">
        <v>550</v>
      </c>
      <c r="H567" s="17" t="n">
        <v>450</v>
      </c>
      <c r="I567" s="17" t="n">
        <v>550</v>
      </c>
      <c r="J567" s="30" t="n">
        <v>35.1099</v>
      </c>
      <c r="K567" s="10" t="inlineStr">
        <is>
          <t>116</t>
        </is>
      </c>
      <c r="L567" s="30" t="n">
        <v>30.5313</v>
      </c>
      <c r="M567" s="10" t="inlineStr">
        <is>
          <t>116</t>
        </is>
      </c>
      <c r="N567" s="30" t="n">
        <v>34.134</v>
      </c>
      <c r="O567" s="30" t="n">
        <v>132.026</v>
      </c>
      <c r="P567" s="10" t="inlineStr">
        <is>
          <t>116</t>
        </is>
      </c>
      <c r="Q567" s="30" t="n">
        <v>2.1219</v>
      </c>
      <c r="R567" s="10">
        <f>MAX(MAX(1.4/'Parametros'!$B$3,0.25*SQRT('Parametros'!$B$2)/'Parametros'!$B$3)*H567*U567,(0.85*'Parametros'!$B$2/'Parametros'!$B$3)*(1-SQRT(1-2*(J567*1000000/('Parametros'!$B$5*H567*U567^2))/(0.85*'Parametros'!$B$2)))*H567*U567)</f>
        <v>734.025</v>
      </c>
      <c r="S567" s="31" t="n">
        <v>4</v>
      </c>
      <c r="T567" s="32" t="n">
        <v>1</v>
      </c>
      <c r="U567" s="10">
        <f>IF(T567=1,I567-('Parametros'!$B$7+'Parametros'!$B$9+'Parametros'!$B$12/2),I567-(ROUNDUP(S567/2,0)*('Parametros'!$B$7+'Parametros'!$B$9+'Parametros'!$B$12/2)+ROUNDDOWN(S567/2,0)*('Parametros'!$B$7+'Parametros'!$B$9+'Parametros'!$B$12/2+'Parametros'!$B$12+'Parametros'!$B$10))/S567)</f>
        <v>489.35</v>
      </c>
      <c r="V567" s="10">
        <f>S567*'Parametros'!$B$8</f>
        <v>796</v>
      </c>
      <c r="W567" s="10">
        <f>'Parametros'!$B$5*V567*'Parametros'!$B$3*(U567-(V567*'Parametros'!$B$3/(0.85*'Parametros'!$B$2*H567))/2)/1000000</f>
        <v>142.543330094118</v>
      </c>
      <c r="X567" s="10" t="str">
        <f>IF(W567&gt;=J567,"CUMPLE","NO CUMPLE")</f>
        <v>CUMPLE</v>
      </c>
      <c r="Y567" s="10">
        <f>MAX(MAX(1.4/'Parametros'!$B$3,0.25*SQRT('Parametros'!$B$2)/'Parametros'!$B$3)*H567*AB567,(0.85*'Parametros'!$B$2/'Parametros'!$B$3)*(1-SQRT(1-2*(L567*1000000/('Parametros'!$B$5*H567*AB567^2))/(0.85*'Parametros'!$B$2)))*H567*AB567)</f>
        <v>734.025</v>
      </c>
      <c r="Z567" s="31" t="n">
        <v>4</v>
      </c>
      <c r="AA567" s="32" t="n">
        <v>1</v>
      </c>
      <c r="AB567" s="10">
        <f>IF(AA567=1,I567-('Parametros'!$B$7+'Parametros'!$B$9+'Parametros'!$B$12/2),I567-(ROUNDUP(Z567/2,0)*('Parametros'!$B$7+'Parametros'!$B$9+'Parametros'!$B$12/2)+ROUNDDOWN(Z567/2,0)*('Parametros'!$B$7+'Parametros'!$B$9+'Parametros'!$B$12/2+'Parametros'!$B$12+'Parametros'!$B$10))/Z567)</f>
        <v>489.35</v>
      </c>
      <c r="AC567" s="10">
        <f>Z567*'Parametros'!$B$8</f>
        <v>796</v>
      </c>
      <c r="AD567" s="10">
        <f>'Parametros'!$B$5*AC567*'Parametros'!$B$3*(AB567-(AC567*'Parametros'!$B$3/(0.85*'Parametros'!$B$2*H567))/2)/1000000</f>
        <v>142.543330094118</v>
      </c>
      <c r="AE567" s="10" t="str">
        <f>IF(AD567&gt;=L567,"CUMPLE","NO CUMPLE")</f>
        <v>CUMPLE</v>
      </c>
      <c r="AF567" s="10">
        <f>V567*1.25*'Parametros'!$B$3*(U567-(V567*1.25*'Parametros'!$B$3/(0.85*'Parametros'!$B$2*H567))/2)/1000000</f>
        <v>196.346217941176</v>
      </c>
      <c r="AG567" s="10">
        <f>AC567*1.25*'Parametros'!$B$3*(AB567-(AC567*1.25*'Parametros'!$B$3/(0.85*'Parametros'!$B$2*H567))/2)/1000000</f>
        <v>196.346217941176</v>
      </c>
      <c r="AH567" s="10">
        <f>N567+(AF567+AG567)/D567</f>
        <v>230.480217941176</v>
      </c>
      <c r="AI567" s="10">
        <f>MAX(O567,AH567)</f>
        <v>230.480217941176</v>
      </c>
      <c r="AJ567" s="10">
        <f>0.17*SQRT('Parametros'!$B$2)*H567*MIN(U567,AB567)/1000</f>
        <v>198.088855822627</v>
      </c>
      <c r="AK567" s="10">
        <f>MAX(AI567/'Parametros'!$B$6-AJ567,0)</f>
        <v>109.218101432275</v>
      </c>
      <c r="AL567" s="10">
        <f>0.66*SQRT('Parametros'!$B$2)*H567*MIN(U567,AB567)/1000</f>
        <v>769.050852017258</v>
      </c>
      <c r="AM567" s="10" t="str">
        <f>IF(AK567&lt;=AL567,"CUMPLE","NO CUMPLE")</f>
        <v>CUMPLE</v>
      </c>
      <c r="AN567" s="17" t="inlineStr">
        <is>
          <t>Nº3 cerrado</t>
        </is>
      </c>
      <c r="AO567" s="31" t="n">
        <v>2</v>
      </c>
      <c r="AP567" s="10">
        <f>ROUNDDOWN(MIN(IF(BC567+BD567=0,1000000000,AO567*BB567/(BC567+BD567)),MIN(U567,AB567)/4,8*'Parametros'!$B$12,24*BA567,300,IF(AV567=0,1000000000,2*((H567-2*('Parametros'!$B$7+'Parametros'!$B$9/2))+(I567-2*('Parametros'!$B$7+'Parametros'!$B$9/2)))/8))/10,0)*10</f>
        <v>120</v>
      </c>
      <c r="AQ567" s="10">
        <f>ROUNDDOWN(MIN(IF(BC567+BD567=0,1000000000,AO567*BB567/(BC567+BD567)),IF(AK567&gt;0.33*SQRT('Parametros'!$B$2)*H567*MIN(U567,AB567)/1000,MIN(U567,AB567)/4,MIN(U567,AB567)/2),600,IF(AV567=0,1000000000,2*((H567-2*('Parametros'!$B$7+'Parametros'!$B$9/2))+(I567-2*('Parametros'!$B$7+'Parametros'!$B$9/2)))/8))/10,0)*10</f>
        <v>240</v>
      </c>
      <c r="AR567" s="10">
        <f>'Parametros'!$B$6*(AJ567+MAX(BE567-BD567,0)*'Parametros'!$B$4*MIN(U567,AB567)/1000)</f>
        <v>330.97185436697</v>
      </c>
      <c r="AS567" s="10" t="str">
        <f>IF(AND(ISERROR(SEARCH("referencia",AN567)),AM567="CUMPLE",AR567&gt;=AI567),"CUMPLE","NO CUMPLE")</f>
        <v>CUMPLE</v>
      </c>
      <c r="AT567" s="10">
        <f>'Parametros'!$B$6*0.083*SQRT('Parametros'!$B$2)*(H567*I567)^2/(2*(H567+I567))/1000000</f>
        <v>10.0887830333379</v>
      </c>
      <c r="AU567" s="10" t="str">
        <f>IF(Q567&lt;=AT567,"DESPRECIABLE","DISEÑAR")</f>
        <v>DESPRECIABLE</v>
      </c>
      <c r="AV567" s="10">
        <f>IF(Q567&lt;=AT567,0,Q567*1000000/('Parametros'!$B$6*2*0.85*(H567-2*('Parametros'!$B$7+'Parametros'!$B$9/2))*(I567-2*('Parametros'!$B$7+'Parametros'!$B$9/2))*'Parametros'!$B$4))</f>
        <v>0</v>
      </c>
      <c r="AW567" s="10">
        <f>AV567*2*((H567-2*('Parametros'!$B$7+'Parametros'!$B$9/2))+(I567-2*('Parametros'!$B$7+'Parametros'!$B$9/2)))*'Parametros'!$B$4/'Parametros'!$B$3</f>
        <v>0</v>
      </c>
      <c r="AX567" s="31" t="n">
        <v>0</v>
      </c>
      <c r="AY567" s="10" t="str">
        <f>IF(AV567=0,"DESPRECIABLE",IF(AND(ISERROR(SEARCH("referencia",AN567)),BB567/AP567&gt;=AV567,BI567&gt;=AW567,BH567="CUMPLE"),"CUMPLE","NO CUMPLE"))</f>
        <v>DESPRECIABLE</v>
      </c>
      <c r="AZ567" s="10" t="str">
        <f>IF(AND(X567="CUMPLE",AE567="CUMPLE",AS567="CUMPLE",OR(AY567="CUMPLE",AY567="DESPRECIABLE"),BH567="CUMPLE",BJ567="CUMPLE"),"CUMPLE","NO CUMPLE")</f>
        <v>CUMPLE</v>
      </c>
      <c r="BA567" s="32" t="n">
        <v>9.5</v>
      </c>
      <c r="BB567" s="32" t="n">
        <v>71</v>
      </c>
      <c r="BC567" s="10">
        <f>MAX(IF(AK567=0,0,AK567*1000/('Parametros'!$B$4*MIN(U567,AB567))),MAX(0.062*SQRT('Parametros'!$B$2)*H567/'Parametros'!$B$4,0.35*H567/'Parametros'!$B$4))</f>
        <v>0.531405126490802</v>
      </c>
      <c r="BD567" s="10">
        <f>2*AV567</f>
        <v>0</v>
      </c>
      <c r="BE567" s="10">
        <f>AO567*BB567/AP567</f>
        <v>1.18333333333333</v>
      </c>
      <c r="BF567" s="10">
        <f>SQRT((AI567*1000/(H567*MIN(U567,AB567)))^2+(Q567*1000000*2*((H567-2*('Parametros'!$B$7+'Parametros'!$B$9/2))+(I567-2*('Parametros'!$B$7+'Parametros'!$B$9/2)))/(1.7*((H567-2*('Parametros'!$B$7+'Parametros'!$B$9/2))*(I567-2*('Parametros'!$B$7+'Parametros'!$B$9/2)))^2))^2)</f>
        <v>1.04941812442753</v>
      </c>
      <c r="BG567" s="10">
        <f>'Parametros'!$B$6*(AJ567*1000/(H567*MIN(U567,AB567))+0.66*SQRT('Parametros'!$B$2))</f>
        <v>3.29396038227542</v>
      </c>
      <c r="BH567" s="10" t="str">
        <f>IF(BF567&lt;=BG567,"CUMPLE","NO CUMPLE")</f>
        <v>CUMPLE</v>
      </c>
      <c r="BI567" s="10">
        <f>AX567*'Parametros'!$B$8</f>
        <v>0</v>
      </c>
      <c r="BJ567" s="10" t="str">
        <f>IF(BI567&gt;=AW567,"CUMPLE","NO CUMPLE")</f>
        <v>CUMPLE</v>
      </c>
    </row>
    <row r="568">
      <c r="A568" s="27" t="inlineStr">
        <is>
          <t>VRAUX</t>
        </is>
      </c>
      <c r="B568" s="27" t="inlineStr">
        <is>
          <t>117</t>
        </is>
      </c>
      <c r="C568" s="10" t="n">
        <v>1</v>
      </c>
      <c r="D568" s="10" t="n">
        <v>1.9</v>
      </c>
      <c r="E568" s="10" t="n">
        <v>1.9</v>
      </c>
      <c r="F568" s="10" t="n">
        <v>450</v>
      </c>
      <c r="G568" s="10" t="n">
        <v>550</v>
      </c>
      <c r="H568" s="17" t="n">
        <v>450</v>
      </c>
      <c r="I568" s="17" t="n">
        <v>550</v>
      </c>
      <c r="J568" s="30" t="n">
        <v>43.1601</v>
      </c>
      <c r="K568" s="10" t="inlineStr">
        <is>
          <t>117</t>
        </is>
      </c>
      <c r="L568" s="30" t="n">
        <v>34.9784</v>
      </c>
      <c r="M568" s="10" t="inlineStr">
        <is>
          <t>117</t>
        </is>
      </c>
      <c r="N568" s="30" t="n">
        <v>39.48</v>
      </c>
      <c r="O568" s="30" t="n">
        <v>146.978</v>
      </c>
      <c r="P568" s="10" t="inlineStr">
        <is>
          <t>117</t>
        </is>
      </c>
      <c r="Q568" s="30" t="n">
        <v>17.5067</v>
      </c>
      <c r="R568" s="10">
        <f>MAX(MAX(1.4/'Parametros'!$B$3,0.25*SQRT('Parametros'!$B$2)/'Parametros'!$B$3)*H568*U568,(0.85*'Parametros'!$B$2/'Parametros'!$B$3)*(1-SQRT(1-2*(J568*1000000/('Parametros'!$B$5*H568*U568^2))/(0.85*'Parametros'!$B$2)))*H568*U568)</f>
        <v>734.025</v>
      </c>
      <c r="S568" s="31" t="n">
        <v>4</v>
      </c>
      <c r="T568" s="32" t="n">
        <v>1</v>
      </c>
      <c r="U568" s="10">
        <f>IF(T568=1,I568-('Parametros'!$B$7+'Parametros'!$B$9+'Parametros'!$B$12/2),I568-(ROUNDUP(S568/2,0)*('Parametros'!$B$7+'Parametros'!$B$9+'Parametros'!$B$12/2)+ROUNDDOWN(S568/2,0)*('Parametros'!$B$7+'Parametros'!$B$9+'Parametros'!$B$12/2+'Parametros'!$B$12+'Parametros'!$B$10))/S568)</f>
        <v>489.35</v>
      </c>
      <c r="V568" s="10">
        <f>S568*'Parametros'!$B$8</f>
        <v>796</v>
      </c>
      <c r="W568" s="10">
        <f>'Parametros'!$B$5*V568*'Parametros'!$B$3*(U568-(V568*'Parametros'!$B$3/(0.85*'Parametros'!$B$2*H568))/2)/1000000</f>
        <v>142.543330094118</v>
      </c>
      <c r="X568" s="10" t="str">
        <f>IF(W568&gt;=J568,"CUMPLE","NO CUMPLE")</f>
        <v>CUMPLE</v>
      </c>
      <c r="Y568" s="10">
        <f>MAX(MAX(1.4/'Parametros'!$B$3,0.25*SQRT('Parametros'!$B$2)/'Parametros'!$B$3)*H568*AB568,(0.85*'Parametros'!$B$2/'Parametros'!$B$3)*(1-SQRT(1-2*(L568*1000000/('Parametros'!$B$5*H568*AB568^2))/(0.85*'Parametros'!$B$2)))*H568*AB568)</f>
        <v>734.025</v>
      </c>
      <c r="Z568" s="31" t="n">
        <v>4</v>
      </c>
      <c r="AA568" s="32" t="n">
        <v>1</v>
      </c>
      <c r="AB568" s="10">
        <f>IF(AA568=1,I568-('Parametros'!$B$7+'Parametros'!$B$9+'Parametros'!$B$12/2),I568-(ROUNDUP(Z568/2,0)*('Parametros'!$B$7+'Parametros'!$B$9+'Parametros'!$B$12/2)+ROUNDDOWN(Z568/2,0)*('Parametros'!$B$7+'Parametros'!$B$9+'Parametros'!$B$12/2+'Parametros'!$B$12+'Parametros'!$B$10))/Z568)</f>
        <v>489.35</v>
      </c>
      <c r="AC568" s="10">
        <f>Z568*'Parametros'!$B$8</f>
        <v>796</v>
      </c>
      <c r="AD568" s="10">
        <f>'Parametros'!$B$5*AC568*'Parametros'!$B$3*(AB568-(AC568*'Parametros'!$B$3/(0.85*'Parametros'!$B$2*H568))/2)/1000000</f>
        <v>142.543330094118</v>
      </c>
      <c r="AE568" s="10" t="str">
        <f>IF(AD568&gt;=L568,"CUMPLE","NO CUMPLE")</f>
        <v>CUMPLE</v>
      </c>
      <c r="AF568" s="10">
        <f>V568*1.25*'Parametros'!$B$3*(U568-(V568*1.25*'Parametros'!$B$3/(0.85*'Parametros'!$B$2*H568))/2)/1000000</f>
        <v>196.346217941176</v>
      </c>
      <c r="AG568" s="10">
        <f>AC568*1.25*'Parametros'!$B$3*(AB568-(AC568*1.25*'Parametros'!$B$3/(0.85*'Parametros'!$B$2*H568))/2)/1000000</f>
        <v>196.346217941176</v>
      </c>
      <c r="AH568" s="10">
        <f>N568+(AF568+AG568)/D568</f>
        <v>246.160229411765</v>
      </c>
      <c r="AI568" s="10">
        <f>MAX(O568,AH568)</f>
        <v>246.160229411765</v>
      </c>
      <c r="AJ568" s="10">
        <f>0.17*SQRT('Parametros'!$B$2)*H568*MIN(U568,AB568)/1000</f>
        <v>198.088855822627</v>
      </c>
      <c r="AK568" s="10">
        <f>MAX(AI568/'Parametros'!$B$6-AJ568,0)</f>
        <v>130.124783393059</v>
      </c>
      <c r="AL568" s="10">
        <f>0.66*SQRT('Parametros'!$B$2)*H568*MIN(U568,AB568)/1000</f>
        <v>769.050852017258</v>
      </c>
      <c r="AM568" s="10" t="str">
        <f>IF(AK568&lt;=AL568,"CUMPLE","NO CUMPLE")</f>
        <v>CUMPLE</v>
      </c>
      <c r="AN568" s="17" t="inlineStr">
        <is>
          <t>Nº3 cerrado</t>
        </is>
      </c>
      <c r="AO568" s="31" t="n">
        <v>2</v>
      </c>
      <c r="AP568" s="10">
        <f>ROUNDDOWN(MIN(IF(BC568+BD568=0,1000000000,AO568*BB568/(BC568+BD568)),MIN(U568,AB568)/4,8*'Parametros'!$B$12,24*BA568,300,IF(AV568=0,1000000000,2*((H568-2*('Parametros'!$B$7+'Parametros'!$B$9/2))+(I568-2*('Parametros'!$B$7+'Parametros'!$B$9/2)))/8))/10,0)*10</f>
        <v>120</v>
      </c>
      <c r="AQ568" s="10">
        <f>ROUNDDOWN(MIN(IF(BC568+BD568=0,1000000000,AO568*BB568/(BC568+BD568)),IF(AK568&gt;0.33*SQRT('Parametros'!$B$2)*H568*MIN(U568,AB568)/1000,MIN(U568,AB568)/4,MIN(U568,AB568)/2),600,IF(AV568=0,1000000000,2*((H568-2*('Parametros'!$B$7+'Parametros'!$B$9/2))+(I568-2*('Parametros'!$B$7+'Parametros'!$B$9/2)))/8))/10,0)*10</f>
        <v>130</v>
      </c>
      <c r="AR568" s="10">
        <f>'Parametros'!$B$6*(AJ568+MAX(BE568-BD568,0)*'Parametros'!$B$4*MIN(U568,AB568)/1000)</f>
        <v>269.288108537578</v>
      </c>
      <c r="AS568" s="10" t="str">
        <f>IF(AND(ISERROR(SEARCH("referencia",AN568)),AM568="CUMPLE",AR568&gt;=AI568),"CUMPLE","NO CUMPLE")</f>
        <v>CUMPLE</v>
      </c>
      <c r="AT568" s="10">
        <f>'Parametros'!$B$6*0.083*SQRT('Parametros'!$B$2)*(H568*I568)^2/(2*(H568+I568))/1000000</f>
        <v>10.0887830333379</v>
      </c>
      <c r="AU568" s="10" t="str">
        <f>IF(Q568&lt;=AT568,"DESPRECIABLE","DISEÑAR")</f>
        <v>DISEÑAR</v>
      </c>
      <c r="AV568" s="10">
        <f>IF(Q568&lt;=AT568,0,Q568*1000000/('Parametros'!$B$6*2*0.85*(H568-2*('Parametros'!$B$7+'Parametros'!$B$9/2))*(I568-2*('Parametros'!$B$7+'Parametros'!$B$9/2))*'Parametros'!$B$4))</f>
        <v>0.200083187219173</v>
      </c>
      <c r="AW568" s="10">
        <f>AV568*2*((H568-2*('Parametros'!$B$7+'Parametros'!$B$9/2))+(I568-2*('Parametros'!$B$7+'Parametros'!$B$9/2)))*'Parametros'!$B$4/'Parametros'!$B$3</f>
        <v>325.975528617477</v>
      </c>
      <c r="AX568" s="31" t="n">
        <v>8</v>
      </c>
      <c r="AY568" s="10" t="str">
        <f>IF(AV568=0,"DESPRECIABLE",IF(AND(ISERROR(SEARCH("referencia",AN568)),BB568/AP568&gt;=AV568,BI568&gt;=AW568,BH568="CUMPLE"),"CUMPLE","NO CUMPLE"))</f>
        <v>CUMPLE</v>
      </c>
      <c r="AZ568" s="10" t="str">
        <f>IF(AND(X568="CUMPLE",AE568="CUMPLE",AS568="CUMPLE",OR(AY568="CUMPLE",AY568="DESPRECIABLE"),BH568="CUMPLE",BJ568="CUMPLE"),"CUMPLE","NO CUMPLE")</f>
        <v>CUMPLE</v>
      </c>
      <c r="BA568" s="32" t="n">
        <v>9.5</v>
      </c>
      <c r="BB568" s="32" t="n">
        <v>71</v>
      </c>
      <c r="BC568" s="10">
        <f>MAX(IF(AK568=0,0,AK568*1000/('Parametros'!$B$4*MIN(U568,AB568))),MAX(0.062*SQRT('Parametros'!$B$2)*H568/'Parametros'!$B$4,0.35*H568/'Parametros'!$B$4))</f>
        <v>0.63312744015657</v>
      </c>
      <c r="BD568" s="10">
        <f>2*AV568</f>
        <v>0.400166374438347</v>
      </c>
      <c r="BE568" s="10">
        <f>AO568*BB568/AP568</f>
        <v>1.18333333333333</v>
      </c>
      <c r="BF568" s="10">
        <f>SQRT((AI568*1000/(H568*MIN(U568,AB568)))^2+(Q568*1000000*2*((H568-2*('Parametros'!$B$7+'Parametros'!$B$9/2))+(I568-2*('Parametros'!$B$7+'Parametros'!$B$9/2)))/(1.7*((H568-2*('Parametros'!$B$7+'Parametros'!$B$9/2))*(I568-2*('Parametros'!$B$7+'Parametros'!$B$9/2)))^2))^2)</f>
        <v>1.28239381074828</v>
      </c>
      <c r="BG568" s="10">
        <f>'Parametros'!$B$6*(AJ568*1000/(H568*MIN(U568,AB568))+0.66*SQRT('Parametros'!$B$2))</f>
        <v>3.29396038227542</v>
      </c>
      <c r="BH568" s="10" t="str">
        <f>IF(BF568&lt;=BG568,"CUMPLE","NO CUMPLE")</f>
        <v>CUMPLE</v>
      </c>
      <c r="BI568" s="10">
        <f>AX568*'Parametros'!$B$8</f>
        <v>1592</v>
      </c>
      <c r="BJ568" s="10" t="str">
        <f>IF(BI568&gt;=AW568,"CUMPLE","NO CUMPLE")</f>
        <v>CUMPLE</v>
      </c>
    </row>
    <row r="569">
      <c r="A569" s="27" t="inlineStr">
        <is>
          <t>VRAUX</t>
        </is>
      </c>
      <c r="B569" s="27" t="inlineStr">
        <is>
          <t>118</t>
        </is>
      </c>
      <c r="C569" s="10" t="n">
        <v>1</v>
      </c>
      <c r="D569" s="10" t="n">
        <v>1.9</v>
      </c>
      <c r="E569" s="10" t="n">
        <v>1.9</v>
      </c>
      <c r="F569" s="10" t="n">
        <v>450</v>
      </c>
      <c r="G569" s="10" t="n">
        <v>550</v>
      </c>
      <c r="H569" s="17" t="n">
        <v>450</v>
      </c>
      <c r="I569" s="17" t="n">
        <v>550</v>
      </c>
      <c r="J569" s="30" t="n">
        <v>43.0862</v>
      </c>
      <c r="K569" s="10" t="inlineStr">
        <is>
          <t>118</t>
        </is>
      </c>
      <c r="L569" s="30" t="n">
        <v>34.9776</v>
      </c>
      <c r="M569" s="10" t="inlineStr">
        <is>
          <t>118</t>
        </is>
      </c>
      <c r="N569" s="30" t="n">
        <v>39.449</v>
      </c>
      <c r="O569" s="30" t="n">
        <v>146.945</v>
      </c>
      <c r="P569" s="10" t="inlineStr">
        <is>
          <t>118</t>
        </is>
      </c>
      <c r="Q569" s="30" t="n">
        <v>17.4949</v>
      </c>
      <c r="R569" s="10">
        <f>MAX(MAX(1.4/'Parametros'!$B$3,0.25*SQRT('Parametros'!$B$2)/'Parametros'!$B$3)*H569*U569,(0.85*'Parametros'!$B$2/'Parametros'!$B$3)*(1-SQRT(1-2*(J569*1000000/('Parametros'!$B$5*H569*U569^2))/(0.85*'Parametros'!$B$2)))*H569*U569)</f>
        <v>734.025</v>
      </c>
      <c r="S569" s="31" t="n">
        <v>4</v>
      </c>
      <c r="T569" s="32" t="n">
        <v>1</v>
      </c>
      <c r="U569" s="10">
        <f>IF(T569=1,I569-('Parametros'!$B$7+'Parametros'!$B$9+'Parametros'!$B$12/2),I569-(ROUNDUP(S569/2,0)*('Parametros'!$B$7+'Parametros'!$B$9+'Parametros'!$B$12/2)+ROUNDDOWN(S569/2,0)*('Parametros'!$B$7+'Parametros'!$B$9+'Parametros'!$B$12/2+'Parametros'!$B$12+'Parametros'!$B$10))/S569)</f>
        <v>489.35</v>
      </c>
      <c r="V569" s="10">
        <f>S569*'Parametros'!$B$8</f>
        <v>796</v>
      </c>
      <c r="W569" s="10">
        <f>'Parametros'!$B$5*V569*'Parametros'!$B$3*(U569-(V569*'Parametros'!$B$3/(0.85*'Parametros'!$B$2*H569))/2)/1000000</f>
        <v>142.543330094118</v>
      </c>
      <c r="X569" s="10" t="str">
        <f>IF(W569&gt;=J569,"CUMPLE","NO CUMPLE")</f>
        <v>CUMPLE</v>
      </c>
      <c r="Y569" s="10">
        <f>MAX(MAX(1.4/'Parametros'!$B$3,0.25*SQRT('Parametros'!$B$2)/'Parametros'!$B$3)*H569*AB569,(0.85*'Parametros'!$B$2/'Parametros'!$B$3)*(1-SQRT(1-2*(L569*1000000/('Parametros'!$B$5*H569*AB569^2))/(0.85*'Parametros'!$B$2)))*H569*AB569)</f>
        <v>734.025</v>
      </c>
      <c r="Z569" s="31" t="n">
        <v>4</v>
      </c>
      <c r="AA569" s="32" t="n">
        <v>1</v>
      </c>
      <c r="AB569" s="10">
        <f>IF(AA569=1,I569-('Parametros'!$B$7+'Parametros'!$B$9+'Parametros'!$B$12/2),I569-(ROUNDUP(Z569/2,0)*('Parametros'!$B$7+'Parametros'!$B$9+'Parametros'!$B$12/2)+ROUNDDOWN(Z569/2,0)*('Parametros'!$B$7+'Parametros'!$B$9+'Parametros'!$B$12/2+'Parametros'!$B$12+'Parametros'!$B$10))/Z569)</f>
        <v>489.35</v>
      </c>
      <c r="AC569" s="10">
        <f>Z569*'Parametros'!$B$8</f>
        <v>796</v>
      </c>
      <c r="AD569" s="10">
        <f>'Parametros'!$B$5*AC569*'Parametros'!$B$3*(AB569-(AC569*'Parametros'!$B$3/(0.85*'Parametros'!$B$2*H569))/2)/1000000</f>
        <v>142.543330094118</v>
      </c>
      <c r="AE569" s="10" t="str">
        <f>IF(AD569&gt;=L569,"CUMPLE","NO CUMPLE")</f>
        <v>CUMPLE</v>
      </c>
      <c r="AF569" s="10">
        <f>V569*1.25*'Parametros'!$B$3*(U569-(V569*1.25*'Parametros'!$B$3/(0.85*'Parametros'!$B$2*H569))/2)/1000000</f>
        <v>196.346217941176</v>
      </c>
      <c r="AG569" s="10">
        <f>AC569*1.25*'Parametros'!$B$3*(AB569-(AC569*1.25*'Parametros'!$B$3/(0.85*'Parametros'!$B$2*H569))/2)/1000000</f>
        <v>196.346217941176</v>
      </c>
      <c r="AH569" s="10">
        <f>N569+(AF569+AG569)/D569</f>
        <v>246.129229411765</v>
      </c>
      <c r="AI569" s="10">
        <f>MAX(O569,AH569)</f>
        <v>246.129229411765</v>
      </c>
      <c r="AJ569" s="10">
        <f>0.17*SQRT('Parametros'!$B$2)*H569*MIN(U569,AB569)/1000</f>
        <v>198.088855822627</v>
      </c>
      <c r="AK569" s="10">
        <f>MAX(AI569/'Parametros'!$B$6-AJ569,0)</f>
        <v>130.083450059726</v>
      </c>
      <c r="AL569" s="10">
        <f>0.66*SQRT('Parametros'!$B$2)*H569*MIN(U569,AB569)/1000</f>
        <v>769.050852017258</v>
      </c>
      <c r="AM569" s="10" t="str">
        <f>IF(AK569&lt;=AL569,"CUMPLE","NO CUMPLE")</f>
        <v>CUMPLE</v>
      </c>
      <c r="AN569" s="17" t="inlineStr">
        <is>
          <t>Nº3 cerrado</t>
        </is>
      </c>
      <c r="AO569" s="31" t="n">
        <v>2</v>
      </c>
      <c r="AP569" s="10">
        <f>ROUNDDOWN(MIN(IF(BC569+BD569=0,1000000000,AO569*BB569/(BC569+BD569)),MIN(U569,AB569)/4,8*'Parametros'!$B$12,24*BA569,300,IF(AV569=0,1000000000,2*((H569-2*('Parametros'!$B$7+'Parametros'!$B$9/2))+(I569-2*('Parametros'!$B$7+'Parametros'!$B$9/2)))/8))/10,0)*10</f>
        <v>120</v>
      </c>
      <c r="AQ569" s="10">
        <f>ROUNDDOWN(MIN(IF(BC569+BD569=0,1000000000,AO569*BB569/(BC569+BD569)),IF(AK569&gt;0.33*SQRT('Parametros'!$B$2)*H569*MIN(U569,AB569)/1000,MIN(U569,AB569)/4,MIN(U569,AB569)/2),600,IF(AV569=0,1000000000,2*((H569-2*('Parametros'!$B$7+'Parametros'!$B$9/2))+(I569-2*('Parametros'!$B$7+'Parametros'!$B$9/2)))/8))/10,0)*10</f>
        <v>130</v>
      </c>
      <c r="AR569" s="10">
        <f>'Parametros'!$B$6*(AJ569+MAX(BE569-BD569,0)*'Parametros'!$B$4*MIN(U569,AB569)/1000)</f>
        <v>269.329685088315</v>
      </c>
      <c r="AS569" s="10" t="str">
        <f>IF(AND(ISERROR(SEARCH("referencia",AN569)),AM569="CUMPLE",AR569&gt;=AI569),"CUMPLE","NO CUMPLE")</f>
        <v>CUMPLE</v>
      </c>
      <c r="AT569" s="10">
        <f>'Parametros'!$B$6*0.083*SQRT('Parametros'!$B$2)*(H569*I569)^2/(2*(H569+I569))/1000000</f>
        <v>10.0887830333379</v>
      </c>
      <c r="AU569" s="10" t="str">
        <f>IF(Q569&lt;=AT569,"DESPRECIABLE","DISEÑAR")</f>
        <v>DISEÑAR</v>
      </c>
      <c r="AV569" s="10">
        <f>IF(Q569&lt;=AT569,0,Q569*1000000/('Parametros'!$B$6*2*0.85*(H569-2*('Parametros'!$B$7+'Parametros'!$B$9/2))*(I569-2*('Parametros'!$B$7+'Parametros'!$B$9/2))*'Parametros'!$B$4))</f>
        <v>0.19994832561709</v>
      </c>
      <c r="AW569" s="10">
        <f>AV569*2*((H569-2*('Parametros'!$B$7+'Parametros'!$B$9/2))+(I569-2*('Parametros'!$B$7+'Parametros'!$B$9/2)))*'Parametros'!$B$4/'Parametros'!$B$3</f>
        <v>325.755812095364</v>
      </c>
      <c r="AX569" s="31" t="n">
        <v>8</v>
      </c>
      <c r="AY569" s="10" t="str">
        <f>IF(AV569=0,"DESPRECIABLE",IF(AND(ISERROR(SEARCH("referencia",AN569)),BB569/AP569&gt;=AV569,BI569&gt;=AW569,BH569="CUMPLE"),"CUMPLE","NO CUMPLE"))</f>
        <v>CUMPLE</v>
      </c>
      <c r="AZ569" s="10" t="str">
        <f>IF(AND(X569="CUMPLE",AE569="CUMPLE",AS569="CUMPLE",OR(AY569="CUMPLE",AY569="DESPRECIABLE"),BH569="CUMPLE",BJ569="CUMPLE"),"CUMPLE","NO CUMPLE")</f>
        <v>CUMPLE</v>
      </c>
      <c r="BA569" s="32" t="n">
        <v>9.5</v>
      </c>
      <c r="BB569" s="32" t="n">
        <v>71</v>
      </c>
      <c r="BC569" s="10">
        <f>MAX(IF(AK569=0,0,AK569*1000/('Parametros'!$B$4*MIN(U569,AB569))),MAX(0.062*SQRT('Parametros'!$B$2)*H569/'Parametros'!$B$4,0.35*H569/'Parametros'!$B$4))</f>
        <v>0.632926331137641</v>
      </c>
      <c r="BD569" s="10">
        <f>2*AV569</f>
        <v>0.399896651234181</v>
      </c>
      <c r="BE569" s="10">
        <f>AO569*BB569/AP569</f>
        <v>1.18333333333333</v>
      </c>
      <c r="BF569" s="10">
        <f>SQRT((AI569*1000/(H569*MIN(U569,AB569)))^2+(Q569*1000000*2*((H569-2*('Parametros'!$B$7+'Parametros'!$B$9/2))+(I569-2*('Parametros'!$B$7+'Parametros'!$B$9/2)))/(1.7*((H569-2*('Parametros'!$B$7+'Parametros'!$B$9/2))*(I569-2*('Parametros'!$B$7+'Parametros'!$B$9/2)))^2))^2)</f>
        <v>1.28206355507355</v>
      </c>
      <c r="BG569" s="10">
        <f>'Parametros'!$B$6*(AJ569*1000/(H569*MIN(U569,AB569))+0.66*SQRT('Parametros'!$B$2))</f>
        <v>3.29396038227542</v>
      </c>
      <c r="BH569" s="10" t="str">
        <f>IF(BF569&lt;=BG569,"CUMPLE","NO CUMPLE")</f>
        <v>CUMPLE</v>
      </c>
      <c r="BI569" s="10">
        <f>AX569*'Parametros'!$B$8</f>
        <v>1592</v>
      </c>
      <c r="BJ569" s="10" t="str">
        <f>IF(BI569&gt;=AW569,"CUMPLE","NO CUMPLE")</f>
        <v>CUMPLE</v>
      </c>
    </row>
    <row r="570">
      <c r="A570" s="27" t="inlineStr">
        <is>
          <t>VRAUX</t>
        </is>
      </c>
      <c r="B570" s="27" t="inlineStr">
        <is>
          <t>119</t>
        </is>
      </c>
      <c r="C570" s="10" t="n">
        <v>1</v>
      </c>
      <c r="D570" s="10" t="n">
        <v>1.9</v>
      </c>
      <c r="E570" s="10" t="n">
        <v>1.9</v>
      </c>
      <c r="F570" s="10" t="n">
        <v>450</v>
      </c>
      <c r="G570" s="10" t="n">
        <v>550</v>
      </c>
      <c r="H570" s="17" t="n">
        <v>450</v>
      </c>
      <c r="I570" s="17" t="n">
        <v>550</v>
      </c>
      <c r="J570" s="30" t="n">
        <v>43.053</v>
      </c>
      <c r="K570" s="10" t="inlineStr">
        <is>
          <t>119</t>
        </is>
      </c>
      <c r="L570" s="30" t="n">
        <v>34.96</v>
      </c>
      <c r="M570" s="10" t="inlineStr">
        <is>
          <t>119</t>
        </is>
      </c>
      <c r="N570" s="30" t="n">
        <v>39.422</v>
      </c>
      <c r="O570" s="30" t="n">
        <v>146.917</v>
      </c>
      <c r="P570" s="10" t="inlineStr">
        <is>
          <t>119</t>
        </is>
      </c>
      <c r="Q570" s="30" t="n">
        <v>17.4808</v>
      </c>
      <c r="R570" s="10">
        <f>MAX(MAX(1.4/'Parametros'!$B$3,0.25*SQRT('Parametros'!$B$2)/'Parametros'!$B$3)*H570*U570,(0.85*'Parametros'!$B$2/'Parametros'!$B$3)*(1-SQRT(1-2*(J570*1000000/('Parametros'!$B$5*H570*U570^2))/(0.85*'Parametros'!$B$2)))*H570*U570)</f>
        <v>734.025</v>
      </c>
      <c r="S570" s="31" t="n">
        <v>4</v>
      </c>
      <c r="T570" s="32" t="n">
        <v>1</v>
      </c>
      <c r="U570" s="10">
        <f>IF(T570=1,I570-('Parametros'!$B$7+'Parametros'!$B$9+'Parametros'!$B$12/2),I570-(ROUNDUP(S570/2,0)*('Parametros'!$B$7+'Parametros'!$B$9+'Parametros'!$B$12/2)+ROUNDDOWN(S570/2,0)*('Parametros'!$B$7+'Parametros'!$B$9+'Parametros'!$B$12/2+'Parametros'!$B$12+'Parametros'!$B$10))/S570)</f>
        <v>489.35</v>
      </c>
      <c r="V570" s="10">
        <f>S570*'Parametros'!$B$8</f>
        <v>796</v>
      </c>
      <c r="W570" s="10">
        <f>'Parametros'!$B$5*V570*'Parametros'!$B$3*(U570-(V570*'Parametros'!$B$3/(0.85*'Parametros'!$B$2*H570))/2)/1000000</f>
        <v>142.543330094118</v>
      </c>
      <c r="X570" s="10" t="str">
        <f>IF(W570&gt;=J570,"CUMPLE","NO CUMPLE")</f>
        <v>CUMPLE</v>
      </c>
      <c r="Y570" s="10">
        <f>MAX(MAX(1.4/'Parametros'!$B$3,0.25*SQRT('Parametros'!$B$2)/'Parametros'!$B$3)*H570*AB570,(0.85*'Parametros'!$B$2/'Parametros'!$B$3)*(1-SQRT(1-2*(L570*1000000/('Parametros'!$B$5*H570*AB570^2))/(0.85*'Parametros'!$B$2)))*H570*AB570)</f>
        <v>734.025</v>
      </c>
      <c r="Z570" s="31" t="n">
        <v>4</v>
      </c>
      <c r="AA570" s="32" t="n">
        <v>1</v>
      </c>
      <c r="AB570" s="10">
        <f>IF(AA570=1,I570-('Parametros'!$B$7+'Parametros'!$B$9+'Parametros'!$B$12/2),I570-(ROUNDUP(Z570/2,0)*('Parametros'!$B$7+'Parametros'!$B$9+'Parametros'!$B$12/2)+ROUNDDOWN(Z570/2,0)*('Parametros'!$B$7+'Parametros'!$B$9+'Parametros'!$B$12/2+'Parametros'!$B$12+'Parametros'!$B$10))/Z570)</f>
        <v>489.35</v>
      </c>
      <c r="AC570" s="10">
        <f>Z570*'Parametros'!$B$8</f>
        <v>796</v>
      </c>
      <c r="AD570" s="10">
        <f>'Parametros'!$B$5*AC570*'Parametros'!$B$3*(AB570-(AC570*'Parametros'!$B$3/(0.85*'Parametros'!$B$2*H570))/2)/1000000</f>
        <v>142.543330094118</v>
      </c>
      <c r="AE570" s="10" t="str">
        <f>IF(AD570&gt;=L570,"CUMPLE","NO CUMPLE")</f>
        <v>CUMPLE</v>
      </c>
      <c r="AF570" s="10">
        <f>V570*1.25*'Parametros'!$B$3*(U570-(V570*1.25*'Parametros'!$B$3/(0.85*'Parametros'!$B$2*H570))/2)/1000000</f>
        <v>196.346217941176</v>
      </c>
      <c r="AG570" s="10">
        <f>AC570*1.25*'Parametros'!$B$3*(AB570-(AC570*1.25*'Parametros'!$B$3/(0.85*'Parametros'!$B$2*H570))/2)/1000000</f>
        <v>196.346217941176</v>
      </c>
      <c r="AH570" s="10">
        <f>N570+(AF570+AG570)/D570</f>
        <v>246.102229411765</v>
      </c>
      <c r="AI570" s="10">
        <f>MAX(O570,AH570)</f>
        <v>246.102229411765</v>
      </c>
      <c r="AJ570" s="10">
        <f>0.17*SQRT('Parametros'!$B$2)*H570*MIN(U570,AB570)/1000</f>
        <v>198.088855822627</v>
      </c>
      <c r="AK570" s="10">
        <f>MAX(AI570/'Parametros'!$B$6-AJ570,0)</f>
        <v>130.047450059726</v>
      </c>
      <c r="AL570" s="10">
        <f>0.66*SQRT('Parametros'!$B$2)*H570*MIN(U570,AB570)/1000</f>
        <v>769.050852017258</v>
      </c>
      <c r="AM570" s="10" t="str">
        <f>IF(AK570&lt;=AL570,"CUMPLE","NO CUMPLE")</f>
        <v>CUMPLE</v>
      </c>
      <c r="AN570" s="17" t="inlineStr">
        <is>
          <t>Nº3 cerrado</t>
        </is>
      </c>
      <c r="AO570" s="31" t="n">
        <v>2</v>
      </c>
      <c r="AP570" s="10">
        <f>ROUNDDOWN(MIN(IF(BC570+BD570=0,1000000000,AO570*BB570/(BC570+BD570)),MIN(U570,AB570)/4,8*'Parametros'!$B$12,24*BA570,300,IF(AV570=0,1000000000,2*((H570-2*('Parametros'!$B$7+'Parametros'!$B$9/2))+(I570-2*('Parametros'!$B$7+'Parametros'!$B$9/2)))/8))/10,0)*10</f>
        <v>120</v>
      </c>
      <c r="AQ570" s="10">
        <f>ROUNDDOWN(MIN(IF(BC570+BD570=0,1000000000,AO570*BB570/(BC570+BD570)),IF(AK570&gt;0.33*SQRT('Parametros'!$B$2)*H570*MIN(U570,AB570)/1000,MIN(U570,AB570)/4,MIN(U570,AB570)/2),600,IF(AV570=0,1000000000,2*((H570-2*('Parametros'!$B$7+'Parametros'!$B$9/2))+(I570-2*('Parametros'!$B$7+'Parametros'!$B$9/2)))/8))/10,0)*10</f>
        <v>130</v>
      </c>
      <c r="AR570" s="10">
        <f>'Parametros'!$B$6*(AJ570+MAX(BE570-BD570,0)*'Parametros'!$B$4*MIN(U570,AB570)/1000)</f>
        <v>269.379365543009</v>
      </c>
      <c r="AS570" s="10" t="str">
        <f>IF(AND(ISERROR(SEARCH("referencia",AN570)),AM570="CUMPLE",AR570&gt;=AI570),"CUMPLE","NO CUMPLE")</f>
        <v>CUMPLE</v>
      </c>
      <c r="AT570" s="10">
        <f>'Parametros'!$B$6*0.083*SQRT('Parametros'!$B$2)*(H570*I570)^2/(2*(H570+I570))/1000000</f>
        <v>10.0887830333379</v>
      </c>
      <c r="AU570" s="10" t="str">
        <f>IF(Q570&lt;=AT570,"DESPRECIABLE","DISEÑAR")</f>
        <v>DISEÑAR</v>
      </c>
      <c r="AV570" s="10">
        <f>IF(Q570&lt;=AT570,0,Q570*1000000/('Parametros'!$B$6*2*0.85*(H570-2*('Parametros'!$B$7+'Parametros'!$B$9/2))*(I570-2*('Parametros'!$B$7+'Parametros'!$B$9/2))*'Parametros'!$B$4))</f>
        <v>0.199787177431551</v>
      </c>
      <c r="AW570" s="10">
        <f>AV570*2*((H570-2*('Parametros'!$B$7+'Parametros'!$B$9/2))+(I570-2*('Parametros'!$B$7+'Parametros'!$B$9/2)))*'Parametros'!$B$4/'Parametros'!$B$3</f>
        <v>325.493269471482</v>
      </c>
      <c r="AX570" s="31" t="n">
        <v>8</v>
      </c>
      <c r="AY570" s="10" t="str">
        <f>IF(AV570=0,"DESPRECIABLE",IF(AND(ISERROR(SEARCH("referencia",AN570)),BB570/AP570&gt;=AV570,BI570&gt;=AW570,BH570="CUMPLE"),"CUMPLE","NO CUMPLE"))</f>
        <v>CUMPLE</v>
      </c>
      <c r="AZ570" s="10" t="str">
        <f>IF(AND(X570="CUMPLE",AE570="CUMPLE",AS570="CUMPLE",OR(AY570="CUMPLE",AY570="DESPRECIABLE"),BH570="CUMPLE",BJ570="CUMPLE"),"CUMPLE","NO CUMPLE")</f>
        <v>CUMPLE</v>
      </c>
      <c r="BA570" s="32" t="n">
        <v>9.5</v>
      </c>
      <c r="BB570" s="32" t="n">
        <v>71</v>
      </c>
      <c r="BC570" s="10">
        <f>MAX(IF(AK570=0,0,AK570*1000/('Parametros'!$B$4*MIN(U570,AB570))),MAX(0.062*SQRT('Parametros'!$B$2)*H570/'Parametros'!$B$4,0.35*H570/'Parametros'!$B$4))</f>
        <v>0.632751171669542</v>
      </c>
      <c r="BD570" s="10">
        <f>2*AV570</f>
        <v>0.399574354863101</v>
      </c>
      <c r="BE570" s="10">
        <f>AO570*BB570/AP570</f>
        <v>1.18333333333333</v>
      </c>
      <c r="BF570" s="10">
        <f>SQRT((AI570*1000/(H570*MIN(U570,AB570)))^2+(Q570*1000000*2*((H570-2*('Parametros'!$B$7+'Parametros'!$B$9/2))+(I570-2*('Parametros'!$B$7+'Parametros'!$B$9/2)))/(1.7*((H570-2*('Parametros'!$B$7+'Parametros'!$B$9/2))*(I570-2*('Parametros'!$B$7+'Parametros'!$B$9/2)))^2))^2)</f>
        <v>1.28170878435282</v>
      </c>
      <c r="BG570" s="10">
        <f>'Parametros'!$B$6*(AJ570*1000/(H570*MIN(U570,AB570))+0.66*SQRT('Parametros'!$B$2))</f>
        <v>3.29396038227542</v>
      </c>
      <c r="BH570" s="10" t="str">
        <f>IF(BF570&lt;=BG570,"CUMPLE","NO CUMPLE")</f>
        <v>CUMPLE</v>
      </c>
      <c r="BI570" s="10">
        <f>AX570*'Parametros'!$B$8</f>
        <v>1592</v>
      </c>
      <c r="BJ570" s="10" t="str">
        <f>IF(BI570&gt;=AW570,"CUMPLE","NO CUMPLE")</f>
        <v>CUMPLE</v>
      </c>
    </row>
    <row r="571">
      <c r="A571" s="27" t="inlineStr">
        <is>
          <t>VRAUX</t>
        </is>
      </c>
      <c r="B571" s="27" t="inlineStr">
        <is>
          <t>120</t>
        </is>
      </c>
      <c r="C571" s="10" t="n">
        <v>1</v>
      </c>
      <c r="D571" s="10" t="n">
        <v>1.9</v>
      </c>
      <c r="E571" s="10" t="n">
        <v>1.9</v>
      </c>
      <c r="F571" s="10" t="n">
        <v>450</v>
      </c>
      <c r="G571" s="10" t="n">
        <v>550</v>
      </c>
      <c r="H571" s="17" t="n">
        <v>450</v>
      </c>
      <c r="I571" s="17" t="n">
        <v>550</v>
      </c>
      <c r="J571" s="30" t="n">
        <v>43.0513</v>
      </c>
      <c r="K571" s="10" t="inlineStr">
        <is>
          <t>120</t>
        </is>
      </c>
      <c r="L571" s="30" t="n">
        <v>34.9598</v>
      </c>
      <c r="M571" s="10" t="inlineStr">
        <is>
          <t>120</t>
        </is>
      </c>
      <c r="N571" s="30" t="n">
        <v>39.42</v>
      </c>
      <c r="O571" s="30" t="n">
        <v>146.917</v>
      </c>
      <c r="P571" s="10" t="inlineStr">
        <is>
          <t>120</t>
        </is>
      </c>
      <c r="Q571" s="30" t="n">
        <v>17.4794</v>
      </c>
      <c r="R571" s="10">
        <f>MAX(MAX(1.4/'Parametros'!$B$3,0.25*SQRT('Parametros'!$B$2)/'Parametros'!$B$3)*H571*U571,(0.85*'Parametros'!$B$2/'Parametros'!$B$3)*(1-SQRT(1-2*(J571*1000000/('Parametros'!$B$5*H571*U571^2))/(0.85*'Parametros'!$B$2)))*H571*U571)</f>
        <v>734.025</v>
      </c>
      <c r="S571" s="31" t="n">
        <v>4</v>
      </c>
      <c r="T571" s="32" t="n">
        <v>1</v>
      </c>
      <c r="U571" s="10">
        <f>IF(T571=1,I571-('Parametros'!$B$7+'Parametros'!$B$9+'Parametros'!$B$12/2),I571-(ROUNDUP(S571/2,0)*('Parametros'!$B$7+'Parametros'!$B$9+'Parametros'!$B$12/2)+ROUNDDOWN(S571/2,0)*('Parametros'!$B$7+'Parametros'!$B$9+'Parametros'!$B$12/2+'Parametros'!$B$12+'Parametros'!$B$10))/S571)</f>
        <v>489.35</v>
      </c>
      <c r="V571" s="10">
        <f>S571*'Parametros'!$B$8</f>
        <v>796</v>
      </c>
      <c r="W571" s="10">
        <f>'Parametros'!$B$5*V571*'Parametros'!$B$3*(U571-(V571*'Parametros'!$B$3/(0.85*'Parametros'!$B$2*H571))/2)/1000000</f>
        <v>142.543330094118</v>
      </c>
      <c r="X571" s="10" t="str">
        <f>IF(W571&gt;=J571,"CUMPLE","NO CUMPLE")</f>
        <v>CUMPLE</v>
      </c>
      <c r="Y571" s="10">
        <f>MAX(MAX(1.4/'Parametros'!$B$3,0.25*SQRT('Parametros'!$B$2)/'Parametros'!$B$3)*H571*AB571,(0.85*'Parametros'!$B$2/'Parametros'!$B$3)*(1-SQRT(1-2*(L571*1000000/('Parametros'!$B$5*H571*AB571^2))/(0.85*'Parametros'!$B$2)))*H571*AB571)</f>
        <v>734.025</v>
      </c>
      <c r="Z571" s="31" t="n">
        <v>4</v>
      </c>
      <c r="AA571" s="32" t="n">
        <v>1</v>
      </c>
      <c r="AB571" s="10">
        <f>IF(AA571=1,I571-('Parametros'!$B$7+'Parametros'!$B$9+'Parametros'!$B$12/2),I571-(ROUNDUP(Z571/2,0)*('Parametros'!$B$7+'Parametros'!$B$9+'Parametros'!$B$12/2)+ROUNDDOWN(Z571/2,0)*('Parametros'!$B$7+'Parametros'!$B$9+'Parametros'!$B$12/2+'Parametros'!$B$12+'Parametros'!$B$10))/Z571)</f>
        <v>489.35</v>
      </c>
      <c r="AC571" s="10">
        <f>Z571*'Parametros'!$B$8</f>
        <v>796</v>
      </c>
      <c r="AD571" s="10">
        <f>'Parametros'!$B$5*AC571*'Parametros'!$B$3*(AB571-(AC571*'Parametros'!$B$3/(0.85*'Parametros'!$B$2*H571))/2)/1000000</f>
        <v>142.543330094118</v>
      </c>
      <c r="AE571" s="10" t="str">
        <f>IF(AD571&gt;=L571,"CUMPLE","NO CUMPLE")</f>
        <v>CUMPLE</v>
      </c>
      <c r="AF571" s="10">
        <f>V571*1.25*'Parametros'!$B$3*(U571-(V571*1.25*'Parametros'!$B$3/(0.85*'Parametros'!$B$2*H571))/2)/1000000</f>
        <v>196.346217941176</v>
      </c>
      <c r="AG571" s="10">
        <f>AC571*1.25*'Parametros'!$B$3*(AB571-(AC571*1.25*'Parametros'!$B$3/(0.85*'Parametros'!$B$2*H571))/2)/1000000</f>
        <v>196.346217941176</v>
      </c>
      <c r="AH571" s="10">
        <f>N571+(AF571+AG571)/D571</f>
        <v>246.100229411765</v>
      </c>
      <c r="AI571" s="10">
        <f>MAX(O571,AH571)</f>
        <v>246.100229411765</v>
      </c>
      <c r="AJ571" s="10">
        <f>0.17*SQRT('Parametros'!$B$2)*H571*MIN(U571,AB571)/1000</f>
        <v>198.088855822627</v>
      </c>
      <c r="AK571" s="10">
        <f>MAX(AI571/'Parametros'!$B$6-AJ571,0)</f>
        <v>130.044783393059</v>
      </c>
      <c r="AL571" s="10">
        <f>0.66*SQRT('Parametros'!$B$2)*H571*MIN(U571,AB571)/1000</f>
        <v>769.050852017258</v>
      </c>
      <c r="AM571" s="10" t="str">
        <f>IF(AK571&lt;=AL571,"CUMPLE","NO CUMPLE")</f>
        <v>CUMPLE</v>
      </c>
      <c r="AN571" s="17" t="inlineStr">
        <is>
          <t>Nº3 cerrado</t>
        </is>
      </c>
      <c r="AO571" s="31" t="n">
        <v>2</v>
      </c>
      <c r="AP571" s="10">
        <f>ROUNDDOWN(MIN(IF(BC571+BD571=0,1000000000,AO571*BB571/(BC571+BD571)),MIN(U571,AB571)/4,8*'Parametros'!$B$12,24*BA571,300,IF(AV571=0,1000000000,2*((H571-2*('Parametros'!$B$7+'Parametros'!$B$9/2))+(I571-2*('Parametros'!$B$7+'Parametros'!$B$9/2)))/8))/10,0)*10</f>
        <v>120</v>
      </c>
      <c r="AQ571" s="10">
        <f>ROUNDDOWN(MIN(IF(BC571+BD571=0,1000000000,AO571*BB571/(BC571+BD571)),IF(AK571&gt;0.33*SQRT('Parametros'!$B$2)*H571*MIN(U571,AB571)/1000,MIN(U571,AB571)/4,MIN(U571,AB571)/2),600,IF(AV571=0,1000000000,2*((H571-2*('Parametros'!$B$7+'Parametros'!$B$9/2))+(I571-2*('Parametros'!$B$7+'Parametros'!$B$9/2)))/8))/10,0)*10</f>
        <v>130</v>
      </c>
      <c r="AR571" s="10">
        <f>'Parametros'!$B$6*(AJ571+MAX(BE571-BD571,0)*'Parametros'!$B$4*MIN(U571,AB571)/1000)</f>
        <v>269.384298354113</v>
      </c>
      <c r="AS571" s="10" t="str">
        <f>IF(AND(ISERROR(SEARCH("referencia",AN571)),AM571="CUMPLE",AR571&gt;=AI571),"CUMPLE","NO CUMPLE")</f>
        <v>CUMPLE</v>
      </c>
      <c r="AT571" s="10">
        <f>'Parametros'!$B$6*0.083*SQRT('Parametros'!$B$2)*(H571*I571)^2/(2*(H571+I571))/1000000</f>
        <v>10.0887830333379</v>
      </c>
      <c r="AU571" s="10" t="str">
        <f>IF(Q571&lt;=AT571,"DESPRECIABLE","DISEÑAR")</f>
        <v>DISEÑAR</v>
      </c>
      <c r="AV571" s="10">
        <f>IF(Q571&lt;=AT571,0,Q571*1000000/('Parametros'!$B$6*2*0.85*(H571-2*('Parametros'!$B$7+'Parametros'!$B$9/2))*(I571-2*('Parametros'!$B$7+'Parametros'!$B$9/2))*'Parametros'!$B$4))</f>
        <v>0.19977117690249</v>
      </c>
      <c r="AW571" s="10">
        <f>AV571*2*((H571-2*('Parametros'!$B$7+'Parametros'!$B$9/2))+(I571-2*('Parametros'!$B$7+'Parametros'!$B$9/2)))*'Parametros'!$B$4/'Parametros'!$B$3</f>
        <v>325.467201409537</v>
      </c>
      <c r="AX571" s="31" t="n">
        <v>8</v>
      </c>
      <c r="AY571" s="10" t="str">
        <f>IF(AV571=0,"DESPRECIABLE",IF(AND(ISERROR(SEARCH("referencia",AN571)),BB571/AP571&gt;=AV571,BI571&gt;=AW571,BH571="CUMPLE"),"CUMPLE","NO CUMPLE"))</f>
        <v>CUMPLE</v>
      </c>
      <c r="AZ571" s="10" t="str">
        <f>IF(AND(X571="CUMPLE",AE571="CUMPLE",AS571="CUMPLE",OR(AY571="CUMPLE",AY571="DESPRECIABLE"),BH571="CUMPLE",BJ571="CUMPLE"),"CUMPLE","NO CUMPLE")</f>
        <v>CUMPLE</v>
      </c>
      <c r="BA571" s="32" t="n">
        <v>9.5</v>
      </c>
      <c r="BB571" s="32" t="n">
        <v>71</v>
      </c>
      <c r="BC571" s="10">
        <f>MAX(IF(AK571=0,0,AK571*1000/('Parametros'!$B$4*MIN(U571,AB571))),MAX(0.062*SQRT('Parametros'!$B$2)*H571/'Parametros'!$B$4,0.35*H571/'Parametros'!$B$4))</f>
        <v>0.632738196894127</v>
      </c>
      <c r="BD571" s="10">
        <f>2*AV571</f>
        <v>0.39954235380498</v>
      </c>
      <c r="BE571" s="10">
        <f>AO571*BB571/AP571</f>
        <v>1.18333333333333</v>
      </c>
      <c r="BF571" s="10">
        <f>SQRT((AI571*1000/(H571*MIN(U571,AB571)))^2+(Q571*1000000*2*((H571-2*('Parametros'!$B$7+'Parametros'!$B$9/2))+(I571-2*('Parametros'!$B$7+'Parametros'!$B$9/2)))/(1.7*((H571-2*('Parametros'!$B$7+'Parametros'!$B$9/2))*(I571-2*('Parametros'!$B$7+'Parametros'!$B$9/2)))^2))^2)</f>
        <v>1.2816762610902</v>
      </c>
      <c r="BG571" s="10">
        <f>'Parametros'!$B$6*(AJ571*1000/(H571*MIN(U571,AB571))+0.66*SQRT('Parametros'!$B$2))</f>
        <v>3.29396038227542</v>
      </c>
      <c r="BH571" s="10" t="str">
        <f>IF(BF571&lt;=BG571,"CUMPLE","NO CUMPLE")</f>
        <v>CUMPLE</v>
      </c>
      <c r="BI571" s="10">
        <f>AX571*'Parametros'!$B$8</f>
        <v>1592</v>
      </c>
      <c r="BJ571" s="10" t="str">
        <f>IF(BI571&gt;=AW571,"CUMPLE","NO CUMPLE")</f>
        <v>CUMPLE</v>
      </c>
    </row>
    <row r="572">
      <c r="A572" s="27" t="inlineStr">
        <is>
          <t>VRAUX</t>
        </is>
      </c>
      <c r="B572" s="27" t="inlineStr">
        <is>
          <t>121</t>
        </is>
      </c>
      <c r="C572" s="10" t="n">
        <v>1</v>
      </c>
      <c r="D572" s="10" t="n">
        <v>2</v>
      </c>
      <c r="E572" s="10" t="n">
        <v>2</v>
      </c>
      <c r="F572" s="10" t="n">
        <v>450</v>
      </c>
      <c r="G572" s="10" t="n">
        <v>550</v>
      </c>
      <c r="H572" s="17" t="n">
        <v>450</v>
      </c>
      <c r="I572" s="17" t="n">
        <v>550</v>
      </c>
      <c r="J572" s="30" t="n">
        <v>28.2435</v>
      </c>
      <c r="K572" s="10" t="inlineStr">
        <is>
          <t>121</t>
        </is>
      </c>
      <c r="L572" s="30" t="n">
        <v>22.326</v>
      </c>
      <c r="M572" s="10" t="inlineStr">
        <is>
          <t>121</t>
        </is>
      </c>
      <c r="N572" s="30" t="n">
        <v>28.39</v>
      </c>
      <c r="O572" s="30" t="n">
        <v>101.955</v>
      </c>
      <c r="P572" s="10" t="inlineStr">
        <is>
          <t>121</t>
        </is>
      </c>
      <c r="Q572" s="30" t="n">
        <v>2.1127</v>
      </c>
      <c r="R572" s="10">
        <f>MAX(MAX(1.4/'Parametros'!$B$3,0.25*SQRT('Parametros'!$B$2)/'Parametros'!$B$3)*H572*U572,(0.85*'Parametros'!$B$2/'Parametros'!$B$3)*(1-SQRT(1-2*(J572*1000000/('Parametros'!$B$5*H572*U572^2))/(0.85*'Parametros'!$B$2)))*H572*U572)</f>
        <v>734.025</v>
      </c>
      <c r="S572" s="31" t="n">
        <v>4</v>
      </c>
      <c r="T572" s="32" t="n">
        <v>1</v>
      </c>
      <c r="U572" s="10">
        <f>IF(T572=1,I572-('Parametros'!$B$7+'Parametros'!$B$9+'Parametros'!$B$12/2),I572-(ROUNDUP(S572/2,0)*('Parametros'!$B$7+'Parametros'!$B$9+'Parametros'!$B$12/2)+ROUNDDOWN(S572/2,0)*('Parametros'!$B$7+'Parametros'!$B$9+'Parametros'!$B$12/2+'Parametros'!$B$12+'Parametros'!$B$10))/S572)</f>
        <v>489.35</v>
      </c>
      <c r="V572" s="10">
        <f>S572*'Parametros'!$B$8</f>
        <v>796</v>
      </c>
      <c r="W572" s="10">
        <f>'Parametros'!$B$5*V572*'Parametros'!$B$3*(U572-(V572*'Parametros'!$B$3/(0.85*'Parametros'!$B$2*H572))/2)/1000000</f>
        <v>142.543330094118</v>
      </c>
      <c r="X572" s="10" t="str">
        <f>IF(W572&gt;=J572,"CUMPLE","NO CUMPLE")</f>
        <v>CUMPLE</v>
      </c>
      <c r="Y572" s="10">
        <f>MAX(MAX(1.4/'Parametros'!$B$3,0.25*SQRT('Parametros'!$B$2)/'Parametros'!$B$3)*H572*AB572,(0.85*'Parametros'!$B$2/'Parametros'!$B$3)*(1-SQRT(1-2*(L572*1000000/('Parametros'!$B$5*H572*AB572^2))/(0.85*'Parametros'!$B$2)))*H572*AB572)</f>
        <v>734.025</v>
      </c>
      <c r="Z572" s="31" t="n">
        <v>4</v>
      </c>
      <c r="AA572" s="32" t="n">
        <v>1</v>
      </c>
      <c r="AB572" s="10">
        <f>IF(AA572=1,I572-('Parametros'!$B$7+'Parametros'!$B$9+'Parametros'!$B$12/2),I572-(ROUNDUP(Z572/2,0)*('Parametros'!$B$7+'Parametros'!$B$9+'Parametros'!$B$12/2)+ROUNDDOWN(Z572/2,0)*('Parametros'!$B$7+'Parametros'!$B$9+'Parametros'!$B$12/2+'Parametros'!$B$12+'Parametros'!$B$10))/Z572)</f>
        <v>489.35</v>
      </c>
      <c r="AC572" s="10">
        <f>Z572*'Parametros'!$B$8</f>
        <v>796</v>
      </c>
      <c r="AD572" s="10">
        <f>'Parametros'!$B$5*AC572*'Parametros'!$B$3*(AB572-(AC572*'Parametros'!$B$3/(0.85*'Parametros'!$B$2*H572))/2)/1000000</f>
        <v>142.543330094118</v>
      </c>
      <c r="AE572" s="10" t="str">
        <f>IF(AD572&gt;=L572,"CUMPLE","NO CUMPLE")</f>
        <v>CUMPLE</v>
      </c>
      <c r="AF572" s="10">
        <f>V572*1.25*'Parametros'!$B$3*(U572-(V572*1.25*'Parametros'!$B$3/(0.85*'Parametros'!$B$2*H572))/2)/1000000</f>
        <v>196.346217941176</v>
      </c>
      <c r="AG572" s="10">
        <f>AC572*1.25*'Parametros'!$B$3*(AB572-(AC572*1.25*'Parametros'!$B$3/(0.85*'Parametros'!$B$2*H572))/2)/1000000</f>
        <v>196.346217941176</v>
      </c>
      <c r="AH572" s="10">
        <f>N572+(AF572+AG572)/D572</f>
        <v>224.736217941176</v>
      </c>
      <c r="AI572" s="10">
        <f>MAX(O572,AH572)</f>
        <v>224.736217941176</v>
      </c>
      <c r="AJ572" s="10">
        <f>0.17*SQRT('Parametros'!$B$2)*H572*MIN(U572,AB572)/1000</f>
        <v>198.088855822627</v>
      </c>
      <c r="AK572" s="10">
        <f>MAX(AI572/'Parametros'!$B$6-AJ572,0)</f>
        <v>101.559434765608</v>
      </c>
      <c r="AL572" s="10">
        <f>0.66*SQRT('Parametros'!$B$2)*H572*MIN(U572,AB572)/1000</f>
        <v>769.050852017258</v>
      </c>
      <c r="AM572" s="10" t="str">
        <f>IF(AK572&lt;=AL572,"CUMPLE","NO CUMPLE")</f>
        <v>CUMPLE</v>
      </c>
      <c r="AN572" s="17" t="inlineStr">
        <is>
          <t>Nº3 cerrado</t>
        </is>
      </c>
      <c r="AO572" s="31" t="n">
        <v>2</v>
      </c>
      <c r="AP572" s="10">
        <f>ROUNDDOWN(MIN(IF(BC572+BD572=0,1000000000,AO572*BB572/(BC572+BD572)),MIN(U572,AB572)/4,8*'Parametros'!$B$12,24*BA572,300,IF(AV572=0,1000000000,2*((H572-2*('Parametros'!$B$7+'Parametros'!$B$9/2))+(I572-2*('Parametros'!$B$7+'Parametros'!$B$9/2)))/8))/10,0)*10</f>
        <v>120</v>
      </c>
      <c r="AQ572" s="10">
        <f>ROUNDDOWN(MIN(IF(BC572+BD572=0,1000000000,AO572*BB572/(BC572+BD572)),IF(AK572&gt;0.33*SQRT('Parametros'!$B$2)*H572*MIN(U572,AB572)/1000,MIN(U572,AB572)/4,MIN(U572,AB572)/2),600,IF(AV572=0,1000000000,2*((H572-2*('Parametros'!$B$7+'Parametros'!$B$9/2))+(I572-2*('Parametros'!$B$7+'Parametros'!$B$9/2)))/8))/10,0)*10</f>
        <v>240</v>
      </c>
      <c r="AR572" s="10">
        <f>'Parametros'!$B$6*(AJ572+MAX(BE572-BD572,0)*'Parametros'!$B$4*MIN(U572,AB572)/1000)</f>
        <v>330.97185436697</v>
      </c>
      <c r="AS572" s="10" t="str">
        <f>IF(AND(ISERROR(SEARCH("referencia",AN572)),AM572="CUMPLE",AR572&gt;=AI572),"CUMPLE","NO CUMPLE")</f>
        <v>CUMPLE</v>
      </c>
      <c r="AT572" s="10">
        <f>'Parametros'!$B$6*0.083*SQRT('Parametros'!$B$2)*(H572*I572)^2/(2*(H572+I572))/1000000</f>
        <v>10.0887830333379</v>
      </c>
      <c r="AU572" s="10" t="str">
        <f>IF(Q572&lt;=AT572,"DESPRECIABLE","DISEÑAR")</f>
        <v>DESPRECIABLE</v>
      </c>
      <c r="AV572" s="10">
        <f>IF(Q572&lt;=AT572,0,Q572*1000000/('Parametros'!$B$6*2*0.85*(H572-2*('Parametros'!$B$7+'Parametros'!$B$9/2))*(I572-2*('Parametros'!$B$7+'Parametros'!$B$9/2))*'Parametros'!$B$4))</f>
        <v>0</v>
      </c>
      <c r="AW572" s="10">
        <f>AV572*2*((H572-2*('Parametros'!$B$7+'Parametros'!$B$9/2))+(I572-2*('Parametros'!$B$7+'Parametros'!$B$9/2)))*'Parametros'!$B$4/'Parametros'!$B$3</f>
        <v>0</v>
      </c>
      <c r="AX572" s="31" t="n">
        <v>0</v>
      </c>
      <c r="AY572" s="10" t="str">
        <f>IF(AV572=0,"DESPRECIABLE",IF(AND(ISERROR(SEARCH("referencia",AN572)),BB572/AP572&gt;=AV572,BI572&gt;=AW572,BH572="CUMPLE"),"CUMPLE","NO CUMPLE"))</f>
        <v>DESPRECIABLE</v>
      </c>
      <c r="AZ572" s="10" t="str">
        <f>IF(AND(X572="CUMPLE",AE572="CUMPLE",AS572="CUMPLE",OR(AY572="CUMPLE",AY572="DESPRECIABLE"),BH572="CUMPLE",BJ572="CUMPLE"),"CUMPLE","NO CUMPLE")</f>
        <v>CUMPLE</v>
      </c>
      <c r="BA572" s="32" t="n">
        <v>9.5</v>
      </c>
      <c r="BB572" s="32" t="n">
        <v>71</v>
      </c>
      <c r="BC572" s="10">
        <f>MAX(IF(AK572=0,0,AK572*1000/('Parametros'!$B$4*MIN(U572,AB572))),MAX(0.062*SQRT('Parametros'!$B$2)*H572/'Parametros'!$B$4,0.35*H572/'Parametros'!$B$4))</f>
        <v>0.494141571499649</v>
      </c>
      <c r="BD572" s="10">
        <f>2*AV572</f>
        <v>0</v>
      </c>
      <c r="BE572" s="10">
        <f>AO572*BB572/AP572</f>
        <v>1.18333333333333</v>
      </c>
      <c r="BF572" s="10">
        <f>SQRT((AI572*1000/(H572*MIN(U572,AB572)))^2+(Q572*1000000*2*((H572-2*('Parametros'!$B$7+'Parametros'!$B$9/2))+(I572-2*('Parametros'!$B$7+'Parametros'!$B$9/2)))/(1.7*((H572-2*('Parametros'!$B$7+'Parametros'!$B$9/2))*(I572-2*('Parametros'!$B$7+'Parametros'!$B$9/2)))^2))^2)</f>
        <v>1.02337966093245</v>
      </c>
      <c r="BG572" s="10">
        <f>'Parametros'!$B$6*(AJ572*1000/(H572*MIN(U572,AB572))+0.66*SQRT('Parametros'!$B$2))</f>
        <v>3.29396038227542</v>
      </c>
      <c r="BH572" s="10" t="str">
        <f>IF(BF572&lt;=BG572,"CUMPLE","NO CUMPLE")</f>
        <v>CUMPLE</v>
      </c>
      <c r="BI572" s="10">
        <f>AX572*'Parametros'!$B$8</f>
        <v>0</v>
      </c>
      <c r="BJ572" s="10" t="str">
        <f>IF(BI572&gt;=AW572,"CUMPLE","NO CUMPLE")</f>
        <v>CUMPLE</v>
      </c>
    </row>
    <row r="573">
      <c r="A573" s="27" t="inlineStr">
        <is>
          <t>VRAUX</t>
        </is>
      </c>
      <c r="B573" s="27" t="inlineStr">
        <is>
          <t>122</t>
        </is>
      </c>
      <c r="C573" s="10" t="n">
        <v>1</v>
      </c>
      <c r="D573" s="10" t="n">
        <v>2</v>
      </c>
      <c r="E573" s="10" t="n">
        <v>2</v>
      </c>
      <c r="F573" s="10" t="n">
        <v>450</v>
      </c>
      <c r="G573" s="10" t="n">
        <v>550</v>
      </c>
      <c r="H573" s="17" t="n">
        <v>450</v>
      </c>
      <c r="I573" s="17" t="n">
        <v>550</v>
      </c>
      <c r="J573" s="30" t="n">
        <v>28.2443</v>
      </c>
      <c r="K573" s="10" t="inlineStr">
        <is>
          <t>122</t>
        </is>
      </c>
      <c r="L573" s="30" t="n">
        <v>22.3266</v>
      </c>
      <c r="M573" s="10" t="inlineStr">
        <is>
          <t>122</t>
        </is>
      </c>
      <c r="N573" s="30" t="n">
        <v>28.391</v>
      </c>
      <c r="O573" s="30" t="n">
        <v>101.955</v>
      </c>
      <c r="P573" s="10" t="inlineStr">
        <is>
          <t>122</t>
        </is>
      </c>
      <c r="Q573" s="30" t="n">
        <v>2.1162</v>
      </c>
      <c r="R573" s="10">
        <f>MAX(MAX(1.4/'Parametros'!$B$3,0.25*SQRT('Parametros'!$B$2)/'Parametros'!$B$3)*H573*U573,(0.85*'Parametros'!$B$2/'Parametros'!$B$3)*(1-SQRT(1-2*(J573*1000000/('Parametros'!$B$5*H573*U573^2))/(0.85*'Parametros'!$B$2)))*H573*U573)</f>
        <v>734.025</v>
      </c>
      <c r="S573" s="31" t="n">
        <v>4</v>
      </c>
      <c r="T573" s="32" t="n">
        <v>1</v>
      </c>
      <c r="U573" s="10">
        <f>IF(T573=1,I573-('Parametros'!$B$7+'Parametros'!$B$9+'Parametros'!$B$12/2),I573-(ROUNDUP(S573/2,0)*('Parametros'!$B$7+'Parametros'!$B$9+'Parametros'!$B$12/2)+ROUNDDOWN(S573/2,0)*('Parametros'!$B$7+'Parametros'!$B$9+'Parametros'!$B$12/2+'Parametros'!$B$12+'Parametros'!$B$10))/S573)</f>
        <v>489.35</v>
      </c>
      <c r="V573" s="10">
        <f>S573*'Parametros'!$B$8</f>
        <v>796</v>
      </c>
      <c r="W573" s="10">
        <f>'Parametros'!$B$5*V573*'Parametros'!$B$3*(U573-(V573*'Parametros'!$B$3/(0.85*'Parametros'!$B$2*H573))/2)/1000000</f>
        <v>142.543330094118</v>
      </c>
      <c r="X573" s="10" t="str">
        <f>IF(W573&gt;=J573,"CUMPLE","NO CUMPLE")</f>
        <v>CUMPLE</v>
      </c>
      <c r="Y573" s="10">
        <f>MAX(MAX(1.4/'Parametros'!$B$3,0.25*SQRT('Parametros'!$B$2)/'Parametros'!$B$3)*H573*AB573,(0.85*'Parametros'!$B$2/'Parametros'!$B$3)*(1-SQRT(1-2*(L573*1000000/('Parametros'!$B$5*H573*AB573^2))/(0.85*'Parametros'!$B$2)))*H573*AB573)</f>
        <v>734.025</v>
      </c>
      <c r="Z573" s="31" t="n">
        <v>4</v>
      </c>
      <c r="AA573" s="32" t="n">
        <v>1</v>
      </c>
      <c r="AB573" s="10">
        <f>IF(AA573=1,I573-('Parametros'!$B$7+'Parametros'!$B$9+'Parametros'!$B$12/2),I573-(ROUNDUP(Z573/2,0)*('Parametros'!$B$7+'Parametros'!$B$9+'Parametros'!$B$12/2)+ROUNDDOWN(Z573/2,0)*('Parametros'!$B$7+'Parametros'!$B$9+'Parametros'!$B$12/2+'Parametros'!$B$12+'Parametros'!$B$10))/Z573)</f>
        <v>489.35</v>
      </c>
      <c r="AC573" s="10">
        <f>Z573*'Parametros'!$B$8</f>
        <v>796</v>
      </c>
      <c r="AD573" s="10">
        <f>'Parametros'!$B$5*AC573*'Parametros'!$B$3*(AB573-(AC573*'Parametros'!$B$3/(0.85*'Parametros'!$B$2*H573))/2)/1000000</f>
        <v>142.543330094118</v>
      </c>
      <c r="AE573" s="10" t="str">
        <f>IF(AD573&gt;=L573,"CUMPLE","NO CUMPLE")</f>
        <v>CUMPLE</v>
      </c>
      <c r="AF573" s="10">
        <f>V573*1.25*'Parametros'!$B$3*(U573-(V573*1.25*'Parametros'!$B$3/(0.85*'Parametros'!$B$2*H573))/2)/1000000</f>
        <v>196.346217941176</v>
      </c>
      <c r="AG573" s="10">
        <f>AC573*1.25*'Parametros'!$B$3*(AB573-(AC573*1.25*'Parametros'!$B$3/(0.85*'Parametros'!$B$2*H573))/2)/1000000</f>
        <v>196.346217941176</v>
      </c>
      <c r="AH573" s="10">
        <f>N573+(AF573+AG573)/D573</f>
        <v>224.737217941176</v>
      </c>
      <c r="AI573" s="10">
        <f>MAX(O573,AH573)</f>
        <v>224.737217941176</v>
      </c>
      <c r="AJ573" s="10">
        <f>0.17*SQRT('Parametros'!$B$2)*H573*MIN(U573,AB573)/1000</f>
        <v>198.088855822627</v>
      </c>
      <c r="AK573" s="10">
        <f>MAX(AI573/'Parametros'!$B$6-AJ573,0)</f>
        <v>101.560768098942</v>
      </c>
      <c r="AL573" s="10">
        <f>0.66*SQRT('Parametros'!$B$2)*H573*MIN(U573,AB573)/1000</f>
        <v>769.050852017258</v>
      </c>
      <c r="AM573" s="10" t="str">
        <f>IF(AK573&lt;=AL573,"CUMPLE","NO CUMPLE")</f>
        <v>CUMPLE</v>
      </c>
      <c r="AN573" s="17" t="inlineStr">
        <is>
          <t>Nº3 cerrado</t>
        </is>
      </c>
      <c r="AO573" s="31" t="n">
        <v>2</v>
      </c>
      <c r="AP573" s="10">
        <f>ROUNDDOWN(MIN(IF(BC573+BD573=0,1000000000,AO573*BB573/(BC573+BD573)),MIN(U573,AB573)/4,8*'Parametros'!$B$12,24*BA573,300,IF(AV573=0,1000000000,2*((H573-2*('Parametros'!$B$7+'Parametros'!$B$9/2))+(I573-2*('Parametros'!$B$7+'Parametros'!$B$9/2)))/8))/10,0)*10</f>
        <v>120</v>
      </c>
      <c r="AQ573" s="10">
        <f>ROUNDDOWN(MIN(IF(BC573+BD573=0,1000000000,AO573*BB573/(BC573+BD573)),IF(AK573&gt;0.33*SQRT('Parametros'!$B$2)*H573*MIN(U573,AB573)/1000,MIN(U573,AB573)/4,MIN(U573,AB573)/2),600,IF(AV573=0,1000000000,2*((H573-2*('Parametros'!$B$7+'Parametros'!$B$9/2))+(I573-2*('Parametros'!$B$7+'Parametros'!$B$9/2)))/8))/10,0)*10</f>
        <v>240</v>
      </c>
      <c r="AR573" s="10">
        <f>'Parametros'!$B$6*(AJ573+MAX(BE573-BD573,0)*'Parametros'!$B$4*MIN(U573,AB573)/1000)</f>
        <v>330.97185436697</v>
      </c>
      <c r="AS573" s="10" t="str">
        <f>IF(AND(ISERROR(SEARCH("referencia",AN573)),AM573="CUMPLE",AR573&gt;=AI573),"CUMPLE","NO CUMPLE")</f>
        <v>CUMPLE</v>
      </c>
      <c r="AT573" s="10">
        <f>'Parametros'!$B$6*0.083*SQRT('Parametros'!$B$2)*(H573*I573)^2/(2*(H573+I573))/1000000</f>
        <v>10.0887830333379</v>
      </c>
      <c r="AU573" s="10" t="str">
        <f>IF(Q573&lt;=AT573,"DESPRECIABLE","DISEÑAR")</f>
        <v>DESPRECIABLE</v>
      </c>
      <c r="AV573" s="10">
        <f>IF(Q573&lt;=AT573,0,Q573*1000000/('Parametros'!$B$6*2*0.85*(H573-2*('Parametros'!$B$7+'Parametros'!$B$9/2))*(I573-2*('Parametros'!$B$7+'Parametros'!$B$9/2))*'Parametros'!$B$4))</f>
        <v>0</v>
      </c>
      <c r="AW573" s="10">
        <f>AV573*2*((H573-2*('Parametros'!$B$7+'Parametros'!$B$9/2))+(I573-2*('Parametros'!$B$7+'Parametros'!$B$9/2)))*'Parametros'!$B$4/'Parametros'!$B$3</f>
        <v>0</v>
      </c>
      <c r="AX573" s="31" t="n">
        <v>0</v>
      </c>
      <c r="AY573" s="10" t="str">
        <f>IF(AV573=0,"DESPRECIABLE",IF(AND(ISERROR(SEARCH("referencia",AN573)),BB573/AP573&gt;=AV573,BI573&gt;=AW573,BH573="CUMPLE"),"CUMPLE","NO CUMPLE"))</f>
        <v>DESPRECIABLE</v>
      </c>
      <c r="AZ573" s="10" t="str">
        <f>IF(AND(X573="CUMPLE",AE573="CUMPLE",AS573="CUMPLE",OR(AY573="CUMPLE",AY573="DESPRECIABLE"),BH573="CUMPLE",BJ573="CUMPLE"),"CUMPLE","NO CUMPLE")</f>
        <v>CUMPLE</v>
      </c>
      <c r="BA573" s="32" t="n">
        <v>9.5</v>
      </c>
      <c r="BB573" s="32" t="n">
        <v>71</v>
      </c>
      <c r="BC573" s="10">
        <f>MAX(IF(AK573=0,0,AK573*1000/('Parametros'!$B$4*MIN(U573,AB573))),MAX(0.062*SQRT('Parametros'!$B$2)*H573/'Parametros'!$B$4,0.35*H573/'Parametros'!$B$4))</f>
        <v>0.494148058887356</v>
      </c>
      <c r="BD573" s="10">
        <f>2*AV573</f>
        <v>0</v>
      </c>
      <c r="BE573" s="10">
        <f>AO573*BB573/AP573</f>
        <v>1.18333333333333</v>
      </c>
      <c r="BF573" s="10">
        <f>SQRT((AI573*1000/(H573*MIN(U573,AB573)))^2+(Q573*1000000*2*((H573-2*('Parametros'!$B$7+'Parametros'!$B$9/2))+(I573-2*('Parametros'!$B$7+'Parametros'!$B$9/2)))/(1.7*((H573-2*('Parametros'!$B$7+'Parametros'!$B$9/2))*(I573-2*('Parametros'!$B$7+'Parametros'!$B$9/2)))^2))^2)</f>
        <v>1.02339350796398</v>
      </c>
      <c r="BG573" s="10">
        <f>'Parametros'!$B$6*(AJ573*1000/(H573*MIN(U573,AB573))+0.66*SQRT('Parametros'!$B$2))</f>
        <v>3.29396038227542</v>
      </c>
      <c r="BH573" s="10" t="str">
        <f>IF(BF573&lt;=BG573,"CUMPLE","NO CUMPLE")</f>
        <v>CUMPLE</v>
      </c>
      <c r="BI573" s="10">
        <f>AX573*'Parametros'!$B$8</f>
        <v>0</v>
      </c>
      <c r="BJ573" s="10" t="str">
        <f>IF(BI573&gt;=AW573,"CUMPLE","NO CUMPLE")</f>
        <v>CUMPLE</v>
      </c>
    </row>
    <row r="574">
      <c r="A574" s="27" t="inlineStr">
        <is>
          <t>VRAUX</t>
        </is>
      </c>
      <c r="B574" s="27" t="inlineStr">
        <is>
          <t>123</t>
        </is>
      </c>
      <c r="C574" s="10" t="n">
        <v>1</v>
      </c>
      <c r="D574" s="10" t="n">
        <v>2</v>
      </c>
      <c r="E574" s="10" t="n">
        <v>2</v>
      </c>
      <c r="F574" s="10" t="n">
        <v>450</v>
      </c>
      <c r="G574" s="10" t="n">
        <v>550</v>
      </c>
      <c r="H574" s="17" t="n">
        <v>450</v>
      </c>
      <c r="I574" s="17" t="n">
        <v>550</v>
      </c>
      <c r="J574" s="30" t="n">
        <v>28.2085</v>
      </c>
      <c r="K574" s="10" t="inlineStr">
        <is>
          <t>123</t>
        </is>
      </c>
      <c r="L574" s="30" t="n">
        <v>22.3085</v>
      </c>
      <c r="M574" s="10" t="inlineStr">
        <is>
          <t>123</t>
        </is>
      </c>
      <c r="N574" s="30" t="n">
        <v>28.365</v>
      </c>
      <c r="O574" s="30" t="n">
        <v>101.93</v>
      </c>
      <c r="P574" s="10" t="inlineStr">
        <is>
          <t>123</t>
        </is>
      </c>
      <c r="Q574" s="30" t="n">
        <v>2.1158</v>
      </c>
      <c r="R574" s="10">
        <f>MAX(MAX(1.4/'Parametros'!$B$3,0.25*SQRT('Parametros'!$B$2)/'Parametros'!$B$3)*H574*U574,(0.85*'Parametros'!$B$2/'Parametros'!$B$3)*(1-SQRT(1-2*(J574*1000000/('Parametros'!$B$5*H574*U574^2))/(0.85*'Parametros'!$B$2)))*H574*U574)</f>
        <v>734.025</v>
      </c>
      <c r="S574" s="31" t="n">
        <v>4</v>
      </c>
      <c r="T574" s="32" t="n">
        <v>1</v>
      </c>
      <c r="U574" s="10">
        <f>IF(T574=1,I574-('Parametros'!$B$7+'Parametros'!$B$9+'Parametros'!$B$12/2),I574-(ROUNDUP(S574/2,0)*('Parametros'!$B$7+'Parametros'!$B$9+'Parametros'!$B$12/2)+ROUNDDOWN(S574/2,0)*('Parametros'!$B$7+'Parametros'!$B$9+'Parametros'!$B$12/2+'Parametros'!$B$12+'Parametros'!$B$10))/S574)</f>
        <v>489.35</v>
      </c>
      <c r="V574" s="10">
        <f>S574*'Parametros'!$B$8</f>
        <v>796</v>
      </c>
      <c r="W574" s="10">
        <f>'Parametros'!$B$5*V574*'Parametros'!$B$3*(U574-(V574*'Parametros'!$B$3/(0.85*'Parametros'!$B$2*H574))/2)/1000000</f>
        <v>142.543330094118</v>
      </c>
      <c r="X574" s="10" t="str">
        <f>IF(W574&gt;=J574,"CUMPLE","NO CUMPLE")</f>
        <v>CUMPLE</v>
      </c>
      <c r="Y574" s="10">
        <f>MAX(MAX(1.4/'Parametros'!$B$3,0.25*SQRT('Parametros'!$B$2)/'Parametros'!$B$3)*H574*AB574,(0.85*'Parametros'!$B$2/'Parametros'!$B$3)*(1-SQRT(1-2*(L574*1000000/('Parametros'!$B$5*H574*AB574^2))/(0.85*'Parametros'!$B$2)))*H574*AB574)</f>
        <v>734.025</v>
      </c>
      <c r="Z574" s="31" t="n">
        <v>4</v>
      </c>
      <c r="AA574" s="32" t="n">
        <v>1</v>
      </c>
      <c r="AB574" s="10">
        <f>IF(AA574=1,I574-('Parametros'!$B$7+'Parametros'!$B$9+'Parametros'!$B$12/2),I574-(ROUNDUP(Z574/2,0)*('Parametros'!$B$7+'Parametros'!$B$9+'Parametros'!$B$12/2)+ROUNDDOWN(Z574/2,0)*('Parametros'!$B$7+'Parametros'!$B$9+'Parametros'!$B$12/2+'Parametros'!$B$12+'Parametros'!$B$10))/Z574)</f>
        <v>489.35</v>
      </c>
      <c r="AC574" s="10">
        <f>Z574*'Parametros'!$B$8</f>
        <v>796</v>
      </c>
      <c r="AD574" s="10">
        <f>'Parametros'!$B$5*AC574*'Parametros'!$B$3*(AB574-(AC574*'Parametros'!$B$3/(0.85*'Parametros'!$B$2*H574))/2)/1000000</f>
        <v>142.543330094118</v>
      </c>
      <c r="AE574" s="10" t="str">
        <f>IF(AD574&gt;=L574,"CUMPLE","NO CUMPLE")</f>
        <v>CUMPLE</v>
      </c>
      <c r="AF574" s="10">
        <f>V574*1.25*'Parametros'!$B$3*(U574-(V574*1.25*'Parametros'!$B$3/(0.85*'Parametros'!$B$2*H574))/2)/1000000</f>
        <v>196.346217941176</v>
      </c>
      <c r="AG574" s="10">
        <f>AC574*1.25*'Parametros'!$B$3*(AB574-(AC574*1.25*'Parametros'!$B$3/(0.85*'Parametros'!$B$2*H574))/2)/1000000</f>
        <v>196.346217941176</v>
      </c>
      <c r="AH574" s="10">
        <f>N574+(AF574+AG574)/D574</f>
        <v>224.711217941176</v>
      </c>
      <c r="AI574" s="10">
        <f>MAX(O574,AH574)</f>
        <v>224.711217941176</v>
      </c>
      <c r="AJ574" s="10">
        <f>0.17*SQRT('Parametros'!$B$2)*H574*MIN(U574,AB574)/1000</f>
        <v>198.088855822627</v>
      </c>
      <c r="AK574" s="10">
        <f>MAX(AI574/'Parametros'!$B$6-AJ574,0)</f>
        <v>101.526101432275</v>
      </c>
      <c r="AL574" s="10">
        <f>0.66*SQRT('Parametros'!$B$2)*H574*MIN(U574,AB574)/1000</f>
        <v>769.050852017258</v>
      </c>
      <c r="AM574" s="10" t="str">
        <f>IF(AK574&lt;=AL574,"CUMPLE","NO CUMPLE")</f>
        <v>CUMPLE</v>
      </c>
      <c r="AN574" s="17" t="inlineStr">
        <is>
          <t>Nº3 cerrado</t>
        </is>
      </c>
      <c r="AO574" s="31" t="n">
        <v>2</v>
      </c>
      <c r="AP574" s="10">
        <f>ROUNDDOWN(MIN(IF(BC574+BD574=0,1000000000,AO574*BB574/(BC574+BD574)),MIN(U574,AB574)/4,8*'Parametros'!$B$12,24*BA574,300,IF(AV574=0,1000000000,2*((H574-2*('Parametros'!$B$7+'Parametros'!$B$9/2))+(I574-2*('Parametros'!$B$7+'Parametros'!$B$9/2)))/8))/10,0)*10</f>
        <v>120</v>
      </c>
      <c r="AQ574" s="10">
        <f>ROUNDDOWN(MIN(IF(BC574+BD574=0,1000000000,AO574*BB574/(BC574+BD574)),IF(AK574&gt;0.33*SQRT('Parametros'!$B$2)*H574*MIN(U574,AB574)/1000,MIN(U574,AB574)/4,MIN(U574,AB574)/2),600,IF(AV574=0,1000000000,2*((H574-2*('Parametros'!$B$7+'Parametros'!$B$9/2))+(I574-2*('Parametros'!$B$7+'Parametros'!$B$9/2)))/8))/10,0)*10</f>
        <v>240</v>
      </c>
      <c r="AR574" s="10">
        <f>'Parametros'!$B$6*(AJ574+MAX(BE574-BD574,0)*'Parametros'!$B$4*MIN(U574,AB574)/1000)</f>
        <v>330.97185436697</v>
      </c>
      <c r="AS574" s="10" t="str">
        <f>IF(AND(ISERROR(SEARCH("referencia",AN574)),AM574="CUMPLE",AR574&gt;=AI574),"CUMPLE","NO CUMPLE")</f>
        <v>CUMPLE</v>
      </c>
      <c r="AT574" s="10">
        <f>'Parametros'!$B$6*0.083*SQRT('Parametros'!$B$2)*(H574*I574)^2/(2*(H574+I574))/1000000</f>
        <v>10.0887830333379</v>
      </c>
      <c r="AU574" s="10" t="str">
        <f>IF(Q574&lt;=AT574,"DESPRECIABLE","DISEÑAR")</f>
        <v>DESPRECIABLE</v>
      </c>
      <c r="AV574" s="10">
        <f>IF(Q574&lt;=AT574,0,Q574*1000000/('Parametros'!$B$6*2*0.85*(H574-2*('Parametros'!$B$7+'Parametros'!$B$9/2))*(I574-2*('Parametros'!$B$7+'Parametros'!$B$9/2))*'Parametros'!$B$4))</f>
        <v>0</v>
      </c>
      <c r="AW574" s="10">
        <f>AV574*2*((H574-2*('Parametros'!$B$7+'Parametros'!$B$9/2))+(I574-2*('Parametros'!$B$7+'Parametros'!$B$9/2)))*'Parametros'!$B$4/'Parametros'!$B$3</f>
        <v>0</v>
      </c>
      <c r="AX574" s="31" t="n">
        <v>0</v>
      </c>
      <c r="AY574" s="10" t="str">
        <f>IF(AV574=0,"DESPRECIABLE",IF(AND(ISERROR(SEARCH("referencia",AN574)),BB574/AP574&gt;=AV574,BI574&gt;=AW574,BH574="CUMPLE"),"CUMPLE","NO CUMPLE"))</f>
        <v>DESPRECIABLE</v>
      </c>
      <c r="AZ574" s="10" t="str">
        <f>IF(AND(X574="CUMPLE",AE574="CUMPLE",AS574="CUMPLE",OR(AY574="CUMPLE",AY574="DESPRECIABLE"),BH574="CUMPLE",BJ574="CUMPLE"),"CUMPLE","NO CUMPLE")</f>
        <v>CUMPLE</v>
      </c>
      <c r="BA574" s="32" t="n">
        <v>9.5</v>
      </c>
      <c r="BB574" s="32" t="n">
        <v>71</v>
      </c>
      <c r="BC574" s="10">
        <f>MAX(IF(AK574=0,0,AK574*1000/('Parametros'!$B$4*MIN(U574,AB574))),MAX(0.062*SQRT('Parametros'!$B$2)*H574/'Parametros'!$B$4,0.35*H574/'Parametros'!$B$4))</f>
        <v>0.493979386806965</v>
      </c>
      <c r="BD574" s="10">
        <f>2*AV574</f>
        <v>0</v>
      </c>
      <c r="BE574" s="10">
        <f>AO574*BB574/AP574</f>
        <v>1.18333333333333</v>
      </c>
      <c r="BF574" s="10">
        <f>SQRT((AI574*1000/(H574*MIN(U574,AB574)))^2+(Q574*1000000*2*((H574-2*('Parametros'!$B$7+'Parametros'!$B$9/2))+(I574-2*('Parametros'!$B$7+'Parametros'!$B$9/2)))/(1.7*((H574-2*('Parametros'!$B$7+'Parametros'!$B$9/2))*(I574-2*('Parametros'!$B$7+'Parametros'!$B$9/2)))^2))^2)</f>
        <v>1.02327469741867</v>
      </c>
      <c r="BG574" s="10">
        <f>'Parametros'!$B$6*(AJ574*1000/(H574*MIN(U574,AB574))+0.66*SQRT('Parametros'!$B$2))</f>
        <v>3.29396038227542</v>
      </c>
      <c r="BH574" s="10" t="str">
        <f>IF(BF574&lt;=BG574,"CUMPLE","NO CUMPLE")</f>
        <v>CUMPLE</v>
      </c>
      <c r="BI574" s="10">
        <f>AX574*'Parametros'!$B$8</f>
        <v>0</v>
      </c>
      <c r="BJ574" s="10" t="str">
        <f>IF(BI574&gt;=AW574,"CUMPLE","NO CUMPLE")</f>
        <v>CUMPLE</v>
      </c>
    </row>
    <row r="575">
      <c r="A575" s="27" t="inlineStr">
        <is>
          <t>VRAUX</t>
        </is>
      </c>
      <c r="B575" s="27" t="inlineStr">
        <is>
          <t>124</t>
        </is>
      </c>
      <c r="C575" s="10" t="n">
        <v>1</v>
      </c>
      <c r="D575" s="10" t="n">
        <v>2</v>
      </c>
      <c r="E575" s="10" t="n">
        <v>2</v>
      </c>
      <c r="F575" s="10" t="n">
        <v>450</v>
      </c>
      <c r="G575" s="10" t="n">
        <v>550</v>
      </c>
      <c r="H575" s="17" t="n">
        <v>450</v>
      </c>
      <c r="I575" s="17" t="n">
        <v>550</v>
      </c>
      <c r="J575" s="30" t="n">
        <v>28.2097</v>
      </c>
      <c r="K575" s="10" t="inlineStr">
        <is>
          <t>124</t>
        </is>
      </c>
      <c r="L575" s="30" t="n">
        <v>22.3092</v>
      </c>
      <c r="M575" s="10" t="inlineStr">
        <is>
          <t>124</t>
        </is>
      </c>
      <c r="N575" s="30" t="n">
        <v>28.366</v>
      </c>
      <c r="O575" s="30" t="n">
        <v>101.931</v>
      </c>
      <c r="P575" s="10" t="inlineStr">
        <is>
          <t>124</t>
        </is>
      </c>
      <c r="Q575" s="30" t="n">
        <v>2.1119</v>
      </c>
      <c r="R575" s="10">
        <f>MAX(MAX(1.4/'Parametros'!$B$3,0.25*SQRT('Parametros'!$B$2)/'Parametros'!$B$3)*H575*U575,(0.85*'Parametros'!$B$2/'Parametros'!$B$3)*(1-SQRT(1-2*(J575*1000000/('Parametros'!$B$5*H575*U575^2))/(0.85*'Parametros'!$B$2)))*H575*U575)</f>
        <v>734.025</v>
      </c>
      <c r="S575" s="31" t="n">
        <v>4</v>
      </c>
      <c r="T575" s="32" t="n">
        <v>1</v>
      </c>
      <c r="U575" s="10">
        <f>IF(T575=1,I575-('Parametros'!$B$7+'Parametros'!$B$9+'Parametros'!$B$12/2),I575-(ROUNDUP(S575/2,0)*('Parametros'!$B$7+'Parametros'!$B$9+'Parametros'!$B$12/2)+ROUNDDOWN(S575/2,0)*('Parametros'!$B$7+'Parametros'!$B$9+'Parametros'!$B$12/2+'Parametros'!$B$12+'Parametros'!$B$10))/S575)</f>
        <v>489.35</v>
      </c>
      <c r="V575" s="10">
        <f>S575*'Parametros'!$B$8</f>
        <v>796</v>
      </c>
      <c r="W575" s="10">
        <f>'Parametros'!$B$5*V575*'Parametros'!$B$3*(U575-(V575*'Parametros'!$B$3/(0.85*'Parametros'!$B$2*H575))/2)/1000000</f>
        <v>142.543330094118</v>
      </c>
      <c r="X575" s="10" t="str">
        <f>IF(W575&gt;=J575,"CUMPLE","NO CUMPLE")</f>
        <v>CUMPLE</v>
      </c>
      <c r="Y575" s="10">
        <f>MAX(MAX(1.4/'Parametros'!$B$3,0.25*SQRT('Parametros'!$B$2)/'Parametros'!$B$3)*H575*AB575,(0.85*'Parametros'!$B$2/'Parametros'!$B$3)*(1-SQRT(1-2*(L575*1000000/('Parametros'!$B$5*H575*AB575^2))/(0.85*'Parametros'!$B$2)))*H575*AB575)</f>
        <v>734.025</v>
      </c>
      <c r="Z575" s="31" t="n">
        <v>4</v>
      </c>
      <c r="AA575" s="32" t="n">
        <v>1</v>
      </c>
      <c r="AB575" s="10">
        <f>IF(AA575=1,I575-('Parametros'!$B$7+'Parametros'!$B$9+'Parametros'!$B$12/2),I575-(ROUNDUP(Z575/2,0)*('Parametros'!$B$7+'Parametros'!$B$9+'Parametros'!$B$12/2)+ROUNDDOWN(Z575/2,0)*('Parametros'!$B$7+'Parametros'!$B$9+'Parametros'!$B$12/2+'Parametros'!$B$12+'Parametros'!$B$10))/Z575)</f>
        <v>489.35</v>
      </c>
      <c r="AC575" s="10">
        <f>Z575*'Parametros'!$B$8</f>
        <v>796</v>
      </c>
      <c r="AD575" s="10">
        <f>'Parametros'!$B$5*AC575*'Parametros'!$B$3*(AB575-(AC575*'Parametros'!$B$3/(0.85*'Parametros'!$B$2*H575))/2)/1000000</f>
        <v>142.543330094118</v>
      </c>
      <c r="AE575" s="10" t="str">
        <f>IF(AD575&gt;=L575,"CUMPLE","NO CUMPLE")</f>
        <v>CUMPLE</v>
      </c>
      <c r="AF575" s="10">
        <f>V575*1.25*'Parametros'!$B$3*(U575-(V575*1.25*'Parametros'!$B$3/(0.85*'Parametros'!$B$2*H575))/2)/1000000</f>
        <v>196.346217941176</v>
      </c>
      <c r="AG575" s="10">
        <f>AC575*1.25*'Parametros'!$B$3*(AB575-(AC575*1.25*'Parametros'!$B$3/(0.85*'Parametros'!$B$2*H575))/2)/1000000</f>
        <v>196.346217941176</v>
      </c>
      <c r="AH575" s="10">
        <f>N575+(AF575+AG575)/D575</f>
        <v>224.712217941176</v>
      </c>
      <c r="AI575" s="10">
        <f>MAX(O575,AH575)</f>
        <v>224.712217941176</v>
      </c>
      <c r="AJ575" s="10">
        <f>0.17*SQRT('Parametros'!$B$2)*H575*MIN(U575,AB575)/1000</f>
        <v>198.088855822627</v>
      </c>
      <c r="AK575" s="10">
        <f>MAX(AI575/'Parametros'!$B$6-AJ575,0)</f>
        <v>101.527434765608</v>
      </c>
      <c r="AL575" s="10">
        <f>0.66*SQRT('Parametros'!$B$2)*H575*MIN(U575,AB575)/1000</f>
        <v>769.050852017258</v>
      </c>
      <c r="AM575" s="10" t="str">
        <f>IF(AK575&lt;=AL575,"CUMPLE","NO CUMPLE")</f>
        <v>CUMPLE</v>
      </c>
      <c r="AN575" s="17" t="inlineStr">
        <is>
          <t>Nº3 cerrado</t>
        </is>
      </c>
      <c r="AO575" s="31" t="n">
        <v>2</v>
      </c>
      <c r="AP575" s="10">
        <f>ROUNDDOWN(MIN(IF(BC575+BD575=0,1000000000,AO575*BB575/(BC575+BD575)),MIN(U575,AB575)/4,8*'Parametros'!$B$12,24*BA575,300,IF(AV575=0,1000000000,2*((H575-2*('Parametros'!$B$7+'Parametros'!$B$9/2))+(I575-2*('Parametros'!$B$7+'Parametros'!$B$9/2)))/8))/10,0)*10</f>
        <v>120</v>
      </c>
      <c r="AQ575" s="10">
        <f>ROUNDDOWN(MIN(IF(BC575+BD575=0,1000000000,AO575*BB575/(BC575+BD575)),IF(AK575&gt;0.33*SQRT('Parametros'!$B$2)*H575*MIN(U575,AB575)/1000,MIN(U575,AB575)/4,MIN(U575,AB575)/2),600,IF(AV575=0,1000000000,2*((H575-2*('Parametros'!$B$7+'Parametros'!$B$9/2))+(I575-2*('Parametros'!$B$7+'Parametros'!$B$9/2)))/8))/10,0)*10</f>
        <v>240</v>
      </c>
      <c r="AR575" s="10">
        <f>'Parametros'!$B$6*(AJ575+MAX(BE575-BD575,0)*'Parametros'!$B$4*MIN(U575,AB575)/1000)</f>
        <v>330.97185436697</v>
      </c>
      <c r="AS575" s="10" t="str">
        <f>IF(AND(ISERROR(SEARCH("referencia",AN575)),AM575="CUMPLE",AR575&gt;=AI575),"CUMPLE","NO CUMPLE")</f>
        <v>CUMPLE</v>
      </c>
      <c r="AT575" s="10">
        <f>'Parametros'!$B$6*0.083*SQRT('Parametros'!$B$2)*(H575*I575)^2/(2*(H575+I575))/1000000</f>
        <v>10.0887830333379</v>
      </c>
      <c r="AU575" s="10" t="str">
        <f>IF(Q575&lt;=AT575,"DESPRECIABLE","DISEÑAR")</f>
        <v>DESPRECIABLE</v>
      </c>
      <c r="AV575" s="10">
        <f>IF(Q575&lt;=AT575,0,Q575*1000000/('Parametros'!$B$6*2*0.85*(H575-2*('Parametros'!$B$7+'Parametros'!$B$9/2))*(I575-2*('Parametros'!$B$7+'Parametros'!$B$9/2))*'Parametros'!$B$4))</f>
        <v>0</v>
      </c>
      <c r="AW575" s="10">
        <f>AV575*2*((H575-2*('Parametros'!$B$7+'Parametros'!$B$9/2))+(I575-2*('Parametros'!$B$7+'Parametros'!$B$9/2)))*'Parametros'!$B$4/'Parametros'!$B$3</f>
        <v>0</v>
      </c>
      <c r="AX575" s="31" t="n">
        <v>0</v>
      </c>
      <c r="AY575" s="10" t="str">
        <f>IF(AV575=0,"DESPRECIABLE",IF(AND(ISERROR(SEARCH("referencia",AN575)),BB575/AP575&gt;=AV575,BI575&gt;=AW575,BH575="CUMPLE"),"CUMPLE","NO CUMPLE"))</f>
        <v>DESPRECIABLE</v>
      </c>
      <c r="AZ575" s="10" t="str">
        <f>IF(AND(X575="CUMPLE",AE575="CUMPLE",AS575="CUMPLE",OR(AY575="CUMPLE",AY575="DESPRECIABLE"),BH575="CUMPLE",BJ575="CUMPLE"),"CUMPLE","NO CUMPLE")</f>
        <v>CUMPLE</v>
      </c>
      <c r="BA575" s="32" t="n">
        <v>9.5</v>
      </c>
      <c r="BB575" s="32" t="n">
        <v>71</v>
      </c>
      <c r="BC575" s="10">
        <f>MAX(IF(AK575=0,0,AK575*1000/('Parametros'!$B$4*MIN(U575,AB575))),MAX(0.062*SQRT('Parametros'!$B$2)*H575/'Parametros'!$B$4,0.35*H575/'Parametros'!$B$4))</f>
        <v>0.493985874194672</v>
      </c>
      <c r="BD575" s="10">
        <f>2*AV575</f>
        <v>0</v>
      </c>
      <c r="BE575" s="10">
        <f>AO575*BB575/AP575</f>
        <v>1.18333333333333</v>
      </c>
      <c r="BF575" s="10">
        <f>SQRT((AI575*1000/(H575*MIN(U575,AB575)))^2+(Q575*1000000*2*((H575-2*('Parametros'!$B$7+'Parametros'!$B$9/2))+(I575-2*('Parametros'!$B$7+'Parametros'!$B$9/2)))/(1.7*((H575-2*('Parametros'!$B$7+'Parametros'!$B$9/2))*(I575-2*('Parametros'!$B$7+'Parametros'!$B$9/2)))^2))^2)</f>
        <v>1.02326884454488</v>
      </c>
      <c r="BG575" s="10">
        <f>'Parametros'!$B$6*(AJ575*1000/(H575*MIN(U575,AB575))+0.66*SQRT('Parametros'!$B$2))</f>
        <v>3.29396038227542</v>
      </c>
      <c r="BH575" s="10" t="str">
        <f>IF(BF575&lt;=BG575,"CUMPLE","NO CUMPLE")</f>
        <v>CUMPLE</v>
      </c>
      <c r="BI575" s="10">
        <f>AX575*'Parametros'!$B$8</f>
        <v>0</v>
      </c>
      <c r="BJ575" s="10" t="str">
        <f>IF(BI575&gt;=AW575,"CUMPLE","NO CUMPLE")</f>
        <v>CUMPLE</v>
      </c>
    </row>
    <row r="576">
      <c r="A576" s="27" t="inlineStr">
        <is>
          <t>VRAUX</t>
        </is>
      </c>
      <c r="B576" s="27" t="inlineStr">
        <is>
          <t>125</t>
        </is>
      </c>
      <c r="C576" s="10" t="n">
        <v>1</v>
      </c>
      <c r="D576" s="10" t="n">
        <v>1.9</v>
      </c>
      <c r="E576" s="10" t="n">
        <v>1.9</v>
      </c>
      <c r="F576" s="10" t="n">
        <v>450</v>
      </c>
      <c r="G576" s="10" t="n">
        <v>550</v>
      </c>
      <c r="H576" s="17" t="n">
        <v>450</v>
      </c>
      <c r="I576" s="17" t="n">
        <v>550</v>
      </c>
      <c r="J576" s="30" t="n">
        <v>35.8657</v>
      </c>
      <c r="K576" s="10" t="inlineStr">
        <is>
          <t>125</t>
        </is>
      </c>
      <c r="L576" s="30" t="n">
        <v>24.8346</v>
      </c>
      <c r="M576" s="10" t="inlineStr">
        <is>
          <t>125</t>
        </is>
      </c>
      <c r="N576" s="30" t="n">
        <v>32.522</v>
      </c>
      <c r="O576" s="30" t="n">
        <v>110.382</v>
      </c>
      <c r="P576" s="10" t="inlineStr">
        <is>
          <t>125</t>
        </is>
      </c>
      <c r="Q576" s="30" t="n">
        <v>16.2699</v>
      </c>
      <c r="R576" s="10">
        <f>MAX(MAX(1.4/'Parametros'!$B$3,0.25*SQRT('Parametros'!$B$2)/'Parametros'!$B$3)*H576*U576,(0.85*'Parametros'!$B$2/'Parametros'!$B$3)*(1-SQRT(1-2*(J576*1000000/('Parametros'!$B$5*H576*U576^2))/(0.85*'Parametros'!$B$2)))*H576*U576)</f>
        <v>734.025</v>
      </c>
      <c r="S576" s="31" t="n">
        <v>4</v>
      </c>
      <c r="T576" s="32" t="n">
        <v>1</v>
      </c>
      <c r="U576" s="10">
        <f>IF(T576=1,I576-('Parametros'!$B$7+'Parametros'!$B$9+'Parametros'!$B$12/2),I576-(ROUNDUP(S576/2,0)*('Parametros'!$B$7+'Parametros'!$B$9+'Parametros'!$B$12/2)+ROUNDDOWN(S576/2,0)*('Parametros'!$B$7+'Parametros'!$B$9+'Parametros'!$B$12/2+'Parametros'!$B$12+'Parametros'!$B$10))/S576)</f>
        <v>489.35</v>
      </c>
      <c r="V576" s="10">
        <f>S576*'Parametros'!$B$8</f>
        <v>796</v>
      </c>
      <c r="W576" s="10">
        <f>'Parametros'!$B$5*V576*'Parametros'!$B$3*(U576-(V576*'Parametros'!$B$3/(0.85*'Parametros'!$B$2*H576))/2)/1000000</f>
        <v>142.543330094118</v>
      </c>
      <c r="X576" s="10" t="str">
        <f>IF(W576&gt;=J576,"CUMPLE","NO CUMPLE")</f>
        <v>CUMPLE</v>
      </c>
      <c r="Y576" s="10">
        <f>MAX(MAX(1.4/'Parametros'!$B$3,0.25*SQRT('Parametros'!$B$2)/'Parametros'!$B$3)*H576*AB576,(0.85*'Parametros'!$B$2/'Parametros'!$B$3)*(1-SQRT(1-2*(L576*1000000/('Parametros'!$B$5*H576*AB576^2))/(0.85*'Parametros'!$B$2)))*H576*AB576)</f>
        <v>734.025</v>
      </c>
      <c r="Z576" s="31" t="n">
        <v>4</v>
      </c>
      <c r="AA576" s="32" t="n">
        <v>1</v>
      </c>
      <c r="AB576" s="10">
        <f>IF(AA576=1,I576-('Parametros'!$B$7+'Parametros'!$B$9+'Parametros'!$B$12/2),I576-(ROUNDUP(Z576/2,0)*('Parametros'!$B$7+'Parametros'!$B$9+'Parametros'!$B$12/2)+ROUNDDOWN(Z576/2,0)*('Parametros'!$B$7+'Parametros'!$B$9+'Parametros'!$B$12/2+'Parametros'!$B$12+'Parametros'!$B$10))/Z576)</f>
        <v>489.35</v>
      </c>
      <c r="AC576" s="10">
        <f>Z576*'Parametros'!$B$8</f>
        <v>796</v>
      </c>
      <c r="AD576" s="10">
        <f>'Parametros'!$B$5*AC576*'Parametros'!$B$3*(AB576-(AC576*'Parametros'!$B$3/(0.85*'Parametros'!$B$2*H576))/2)/1000000</f>
        <v>142.543330094118</v>
      </c>
      <c r="AE576" s="10" t="str">
        <f>IF(AD576&gt;=L576,"CUMPLE","NO CUMPLE")</f>
        <v>CUMPLE</v>
      </c>
      <c r="AF576" s="10">
        <f>V576*1.25*'Parametros'!$B$3*(U576-(V576*1.25*'Parametros'!$B$3/(0.85*'Parametros'!$B$2*H576))/2)/1000000</f>
        <v>196.346217941176</v>
      </c>
      <c r="AG576" s="10">
        <f>AC576*1.25*'Parametros'!$B$3*(AB576-(AC576*1.25*'Parametros'!$B$3/(0.85*'Parametros'!$B$2*H576))/2)/1000000</f>
        <v>196.346217941176</v>
      </c>
      <c r="AH576" s="10">
        <f>N576+(AF576+AG576)/D576</f>
        <v>239.202229411765</v>
      </c>
      <c r="AI576" s="10">
        <f>MAX(O576,AH576)</f>
        <v>239.202229411765</v>
      </c>
      <c r="AJ576" s="10">
        <f>0.17*SQRT('Parametros'!$B$2)*H576*MIN(U576,AB576)/1000</f>
        <v>198.088855822627</v>
      </c>
      <c r="AK576" s="10">
        <f>MAX(AI576/'Parametros'!$B$6-AJ576,0)</f>
        <v>120.847450059726</v>
      </c>
      <c r="AL576" s="10">
        <f>0.66*SQRT('Parametros'!$B$2)*H576*MIN(U576,AB576)/1000</f>
        <v>769.050852017258</v>
      </c>
      <c r="AM576" s="10" t="str">
        <f>IF(AK576&lt;=AL576,"CUMPLE","NO CUMPLE")</f>
        <v>CUMPLE</v>
      </c>
      <c r="AN576" s="17" t="inlineStr">
        <is>
          <t>Nº3 cerrado</t>
        </is>
      </c>
      <c r="AO576" s="31" t="n">
        <v>2</v>
      </c>
      <c r="AP576" s="10">
        <f>ROUNDDOWN(MIN(IF(BC576+BD576=0,1000000000,AO576*BB576/(BC576+BD576)),MIN(U576,AB576)/4,8*'Parametros'!$B$12,24*BA576,300,IF(AV576=0,1000000000,2*((H576-2*('Parametros'!$B$7+'Parametros'!$B$9/2))+(I576-2*('Parametros'!$B$7+'Parametros'!$B$9/2)))/8))/10,0)*10</f>
        <v>120</v>
      </c>
      <c r="AQ576" s="10">
        <f>ROUNDDOWN(MIN(IF(BC576+BD576=0,1000000000,AO576*BB576/(BC576+BD576)),IF(AK576&gt;0.33*SQRT('Parametros'!$B$2)*H576*MIN(U576,AB576)/1000,MIN(U576,AB576)/4,MIN(U576,AB576)/2),600,IF(AV576=0,1000000000,2*((H576-2*('Parametros'!$B$7+'Parametros'!$B$9/2))+(I576-2*('Parametros'!$B$7+'Parametros'!$B$9/2)))/8))/10,0)*10</f>
        <v>140</v>
      </c>
      <c r="AR576" s="10">
        <f>'Parametros'!$B$6*(AJ576+MAX(BE576-BD576,0)*'Parametros'!$B$4*MIN(U576,AB576)/1000)</f>
        <v>273.645894804652</v>
      </c>
      <c r="AS576" s="10" t="str">
        <f>IF(AND(ISERROR(SEARCH("referencia",AN576)),AM576="CUMPLE",AR576&gt;=AI576),"CUMPLE","NO CUMPLE")</f>
        <v>CUMPLE</v>
      </c>
      <c r="AT576" s="10">
        <f>'Parametros'!$B$6*0.083*SQRT('Parametros'!$B$2)*(H576*I576)^2/(2*(H576+I576))/1000000</f>
        <v>10.0887830333379</v>
      </c>
      <c r="AU576" s="10" t="str">
        <f>IF(Q576&lt;=AT576,"DESPRECIABLE","DISEÑAR")</f>
        <v>DISEÑAR</v>
      </c>
      <c r="AV576" s="10">
        <f>IF(Q576&lt;=AT576,0,Q576*1000000/('Parametros'!$B$6*2*0.85*(H576-2*('Parametros'!$B$7+'Parametros'!$B$9/2))*(I576-2*('Parametros'!$B$7+'Parametros'!$B$9/2))*'Parametros'!$B$4))</f>
        <v>0.185947862688984</v>
      </c>
      <c r="AW576" s="10">
        <f>AV576*2*((H576-2*('Parametros'!$B$7+'Parametros'!$B$9/2))+(I576-2*('Parametros'!$B$7+'Parametros'!$B$9/2)))*'Parametros'!$B$4/'Parametros'!$B$3</f>
        <v>302.946257892892</v>
      </c>
      <c r="AX576" s="31" t="n">
        <v>8</v>
      </c>
      <c r="AY576" s="10" t="str">
        <f>IF(AV576=0,"DESPRECIABLE",IF(AND(ISERROR(SEARCH("referencia",AN576)),BB576/AP576&gt;=AV576,BI576&gt;=AW576,BH576="CUMPLE"),"CUMPLE","NO CUMPLE"))</f>
        <v>CUMPLE</v>
      </c>
      <c r="AZ576" s="10" t="str">
        <f>IF(AND(X576="CUMPLE",AE576="CUMPLE",AS576="CUMPLE",OR(AY576="CUMPLE",AY576="DESPRECIABLE"),BH576="CUMPLE",BJ576="CUMPLE"),"CUMPLE","NO CUMPLE")</f>
        <v>CUMPLE</v>
      </c>
      <c r="BA576" s="32" t="n">
        <v>9.5</v>
      </c>
      <c r="BB576" s="32" t="n">
        <v>71</v>
      </c>
      <c r="BC576" s="10">
        <f>MAX(IF(AK576=0,0,AK576*1000/('Parametros'!$B$4*MIN(U576,AB576))),MAX(0.062*SQRT('Parametros'!$B$2)*H576/'Parametros'!$B$4,0.35*H576/'Parametros'!$B$4))</f>
        <v>0.587988196488666</v>
      </c>
      <c r="BD576" s="10">
        <f>2*AV576</f>
        <v>0.371895725377967</v>
      </c>
      <c r="BE576" s="10">
        <f>AO576*BB576/AP576</f>
        <v>1.18333333333333</v>
      </c>
      <c r="BF576" s="10">
        <f>SQRT((AI576*1000/(H576*MIN(U576,AB576)))^2+(Q576*1000000*2*((H576-2*('Parametros'!$B$7+'Parametros'!$B$9/2))+(I576-2*('Parametros'!$B$7+'Parametros'!$B$9/2)))/(1.7*((H576-2*('Parametros'!$B$7+'Parametros'!$B$9/2))*(I576-2*('Parametros'!$B$7+'Parametros'!$B$9/2)))^2))^2)</f>
        <v>1.23331213434207</v>
      </c>
      <c r="BG576" s="10">
        <f>'Parametros'!$B$6*(AJ576*1000/(H576*MIN(U576,AB576))+0.66*SQRT('Parametros'!$B$2))</f>
        <v>3.29396038227542</v>
      </c>
      <c r="BH576" s="10" t="str">
        <f>IF(BF576&lt;=BG576,"CUMPLE","NO CUMPLE")</f>
        <v>CUMPLE</v>
      </c>
      <c r="BI576" s="10">
        <f>AX576*'Parametros'!$B$8</f>
        <v>1592</v>
      </c>
      <c r="BJ576" s="10" t="str">
        <f>IF(BI576&gt;=AW576,"CUMPLE","NO CUMPLE")</f>
        <v>CUMPLE</v>
      </c>
    </row>
    <row r="577">
      <c r="A577" s="27" t="inlineStr">
        <is>
          <t>VRAUX</t>
        </is>
      </c>
      <c r="B577" s="27" t="inlineStr">
        <is>
          <t>126</t>
        </is>
      </c>
      <c r="C577" s="10" t="n">
        <v>1</v>
      </c>
      <c r="D577" s="10" t="n">
        <v>1.9</v>
      </c>
      <c r="E577" s="10" t="n">
        <v>1.9</v>
      </c>
      <c r="F577" s="10" t="n">
        <v>450</v>
      </c>
      <c r="G577" s="10" t="n">
        <v>550</v>
      </c>
      <c r="H577" s="17" t="n">
        <v>450</v>
      </c>
      <c r="I577" s="17" t="n">
        <v>550</v>
      </c>
      <c r="J577" s="30" t="n">
        <v>35.794</v>
      </c>
      <c r="K577" s="10" t="inlineStr">
        <is>
          <t>126</t>
        </is>
      </c>
      <c r="L577" s="30" t="n">
        <v>24.8342</v>
      </c>
      <c r="M577" s="10" t="inlineStr">
        <is>
          <t>126</t>
        </is>
      </c>
      <c r="N577" s="30" t="n">
        <v>32.492</v>
      </c>
      <c r="O577" s="30" t="n">
        <v>110.351</v>
      </c>
      <c r="P577" s="10" t="inlineStr">
        <is>
          <t>126</t>
        </is>
      </c>
      <c r="Q577" s="30" t="n">
        <v>16.2582</v>
      </c>
      <c r="R577" s="10">
        <f>MAX(MAX(1.4/'Parametros'!$B$3,0.25*SQRT('Parametros'!$B$2)/'Parametros'!$B$3)*H577*U577,(0.85*'Parametros'!$B$2/'Parametros'!$B$3)*(1-SQRT(1-2*(J577*1000000/('Parametros'!$B$5*H577*U577^2))/(0.85*'Parametros'!$B$2)))*H577*U577)</f>
        <v>734.025</v>
      </c>
      <c r="S577" s="31" t="n">
        <v>4</v>
      </c>
      <c r="T577" s="32" t="n">
        <v>1</v>
      </c>
      <c r="U577" s="10">
        <f>IF(T577=1,I577-('Parametros'!$B$7+'Parametros'!$B$9+'Parametros'!$B$12/2),I577-(ROUNDUP(S577/2,0)*('Parametros'!$B$7+'Parametros'!$B$9+'Parametros'!$B$12/2)+ROUNDDOWN(S577/2,0)*('Parametros'!$B$7+'Parametros'!$B$9+'Parametros'!$B$12/2+'Parametros'!$B$12+'Parametros'!$B$10))/S577)</f>
        <v>489.35</v>
      </c>
      <c r="V577" s="10">
        <f>S577*'Parametros'!$B$8</f>
        <v>796</v>
      </c>
      <c r="W577" s="10">
        <f>'Parametros'!$B$5*V577*'Parametros'!$B$3*(U577-(V577*'Parametros'!$B$3/(0.85*'Parametros'!$B$2*H577))/2)/1000000</f>
        <v>142.543330094118</v>
      </c>
      <c r="X577" s="10" t="str">
        <f>IF(W577&gt;=J577,"CUMPLE","NO CUMPLE")</f>
        <v>CUMPLE</v>
      </c>
      <c r="Y577" s="10">
        <f>MAX(MAX(1.4/'Parametros'!$B$3,0.25*SQRT('Parametros'!$B$2)/'Parametros'!$B$3)*H577*AB577,(0.85*'Parametros'!$B$2/'Parametros'!$B$3)*(1-SQRT(1-2*(L577*1000000/('Parametros'!$B$5*H577*AB577^2))/(0.85*'Parametros'!$B$2)))*H577*AB577)</f>
        <v>734.025</v>
      </c>
      <c r="Z577" s="31" t="n">
        <v>4</v>
      </c>
      <c r="AA577" s="32" t="n">
        <v>1</v>
      </c>
      <c r="AB577" s="10">
        <f>IF(AA577=1,I577-('Parametros'!$B$7+'Parametros'!$B$9+'Parametros'!$B$12/2),I577-(ROUNDUP(Z577/2,0)*('Parametros'!$B$7+'Parametros'!$B$9+'Parametros'!$B$12/2)+ROUNDDOWN(Z577/2,0)*('Parametros'!$B$7+'Parametros'!$B$9+'Parametros'!$B$12/2+'Parametros'!$B$12+'Parametros'!$B$10))/Z577)</f>
        <v>489.35</v>
      </c>
      <c r="AC577" s="10">
        <f>Z577*'Parametros'!$B$8</f>
        <v>796</v>
      </c>
      <c r="AD577" s="10">
        <f>'Parametros'!$B$5*AC577*'Parametros'!$B$3*(AB577-(AC577*'Parametros'!$B$3/(0.85*'Parametros'!$B$2*H577))/2)/1000000</f>
        <v>142.543330094118</v>
      </c>
      <c r="AE577" s="10" t="str">
        <f>IF(AD577&gt;=L577,"CUMPLE","NO CUMPLE")</f>
        <v>CUMPLE</v>
      </c>
      <c r="AF577" s="10">
        <f>V577*1.25*'Parametros'!$B$3*(U577-(V577*1.25*'Parametros'!$B$3/(0.85*'Parametros'!$B$2*H577))/2)/1000000</f>
        <v>196.346217941176</v>
      </c>
      <c r="AG577" s="10">
        <f>AC577*1.25*'Parametros'!$B$3*(AB577-(AC577*1.25*'Parametros'!$B$3/(0.85*'Parametros'!$B$2*H577))/2)/1000000</f>
        <v>196.346217941176</v>
      </c>
      <c r="AH577" s="10">
        <f>N577+(AF577+AG577)/D577</f>
        <v>239.172229411765</v>
      </c>
      <c r="AI577" s="10">
        <f>MAX(O577,AH577)</f>
        <v>239.172229411765</v>
      </c>
      <c r="AJ577" s="10">
        <f>0.17*SQRT('Parametros'!$B$2)*H577*MIN(U577,AB577)/1000</f>
        <v>198.088855822627</v>
      </c>
      <c r="AK577" s="10">
        <f>MAX(AI577/'Parametros'!$B$6-AJ577,0)</f>
        <v>120.807450059726</v>
      </c>
      <c r="AL577" s="10">
        <f>0.66*SQRT('Parametros'!$B$2)*H577*MIN(U577,AB577)/1000</f>
        <v>769.050852017258</v>
      </c>
      <c r="AM577" s="10" t="str">
        <f>IF(AK577&lt;=AL577,"CUMPLE","NO CUMPLE")</f>
        <v>CUMPLE</v>
      </c>
      <c r="AN577" s="17" t="inlineStr">
        <is>
          <t>Nº3 cerrado</t>
        </is>
      </c>
      <c r="AO577" s="31" t="n">
        <v>2</v>
      </c>
      <c r="AP577" s="10">
        <f>ROUNDDOWN(MIN(IF(BC577+BD577=0,1000000000,AO577*BB577/(BC577+BD577)),MIN(U577,AB577)/4,8*'Parametros'!$B$12,24*BA577,300,IF(AV577=0,1000000000,2*((H577-2*('Parametros'!$B$7+'Parametros'!$B$9/2))+(I577-2*('Parametros'!$B$7+'Parametros'!$B$9/2)))/8))/10,0)*10</f>
        <v>120</v>
      </c>
      <c r="AQ577" s="10">
        <f>ROUNDDOWN(MIN(IF(BC577+BD577=0,1000000000,AO577*BB577/(BC577+BD577)),IF(AK577&gt;0.33*SQRT('Parametros'!$B$2)*H577*MIN(U577,AB577)/1000,MIN(U577,AB577)/4,MIN(U577,AB577)/2),600,IF(AV577=0,1000000000,2*((H577-2*('Parametros'!$B$7+'Parametros'!$B$9/2))+(I577-2*('Parametros'!$B$7+'Parametros'!$B$9/2)))/8))/10,0)*10</f>
        <v>140</v>
      </c>
      <c r="AR577" s="10">
        <f>'Parametros'!$B$6*(AJ577+MAX(BE577-BD577,0)*'Parametros'!$B$4*MIN(U577,AB577)/1000)</f>
        <v>273.687119011739</v>
      </c>
      <c r="AS577" s="10" t="str">
        <f>IF(AND(ISERROR(SEARCH("referencia",AN577)),AM577="CUMPLE",AR577&gt;=AI577),"CUMPLE","NO CUMPLE")</f>
        <v>CUMPLE</v>
      </c>
      <c r="AT577" s="10">
        <f>'Parametros'!$B$6*0.083*SQRT('Parametros'!$B$2)*(H577*I577)^2/(2*(H577+I577))/1000000</f>
        <v>10.0887830333379</v>
      </c>
      <c r="AU577" s="10" t="str">
        <f>IF(Q577&lt;=AT577,"DESPRECIABLE","DISEÑAR")</f>
        <v>DISEÑAR</v>
      </c>
      <c r="AV577" s="10">
        <f>IF(Q577&lt;=AT577,0,Q577*1000000/('Parametros'!$B$6*2*0.85*(H577-2*('Parametros'!$B$7+'Parametros'!$B$9/2))*(I577-2*('Parametros'!$B$7+'Parametros'!$B$9/2))*'Parametros'!$B$4))</f>
        <v>0.185814143981834</v>
      </c>
      <c r="AW577" s="10">
        <f>AV577*2*((H577-2*('Parametros'!$B$7+'Parametros'!$B$9/2))+(I577-2*('Parametros'!$B$7+'Parametros'!$B$9/2)))*'Parametros'!$B$4/'Parametros'!$B$3</f>
        <v>302.728403375203</v>
      </c>
      <c r="AX577" s="31" t="n">
        <v>8</v>
      </c>
      <c r="AY577" s="10" t="str">
        <f>IF(AV577=0,"DESPRECIABLE",IF(AND(ISERROR(SEARCH("referencia",AN577)),BB577/AP577&gt;=AV577,BI577&gt;=AW577,BH577="CUMPLE"),"CUMPLE","NO CUMPLE"))</f>
        <v>CUMPLE</v>
      </c>
      <c r="AZ577" s="10" t="str">
        <f>IF(AND(X577="CUMPLE",AE577="CUMPLE",AS577="CUMPLE",OR(AY577="CUMPLE",AY577="DESPRECIABLE"),BH577="CUMPLE",BJ577="CUMPLE"),"CUMPLE","NO CUMPLE")</f>
        <v>CUMPLE</v>
      </c>
      <c r="BA577" s="32" t="n">
        <v>9.5</v>
      </c>
      <c r="BB577" s="32" t="n">
        <v>71</v>
      </c>
      <c r="BC577" s="10">
        <f>MAX(IF(AK577=0,0,AK577*1000/('Parametros'!$B$4*MIN(U577,AB577))),MAX(0.062*SQRT('Parametros'!$B$2)*H577/'Parametros'!$B$4,0.35*H577/'Parametros'!$B$4))</f>
        <v>0.587793574857444</v>
      </c>
      <c r="BD577" s="10">
        <f>2*AV577</f>
        <v>0.371628287963667</v>
      </c>
      <c r="BE577" s="10">
        <f>AO577*BB577/AP577</f>
        <v>1.18333333333333</v>
      </c>
      <c r="BF577" s="10">
        <f>SQRT((AI577*1000/(H577*MIN(U577,AB577)))^2+(Q577*1000000*2*((H577-2*('Parametros'!$B$7+'Parametros'!$B$9/2))+(I577-2*('Parametros'!$B$7+'Parametros'!$B$9/2)))/(1.7*((H577-2*('Parametros'!$B$7+'Parametros'!$B$9/2))*(I577-2*('Parametros'!$B$7+'Parametros'!$B$9/2)))^2))^2)</f>
        <v>1.23299329151386</v>
      </c>
      <c r="BG577" s="10">
        <f>'Parametros'!$B$6*(AJ577*1000/(H577*MIN(U577,AB577))+0.66*SQRT('Parametros'!$B$2))</f>
        <v>3.29396038227542</v>
      </c>
      <c r="BH577" s="10" t="str">
        <f>IF(BF577&lt;=BG577,"CUMPLE","NO CUMPLE")</f>
        <v>CUMPLE</v>
      </c>
      <c r="BI577" s="10">
        <f>AX577*'Parametros'!$B$8</f>
        <v>1592</v>
      </c>
      <c r="BJ577" s="10" t="str">
        <f>IF(BI577&gt;=AW577,"CUMPLE","NO CUMPLE")</f>
        <v>CUMPLE</v>
      </c>
    </row>
    <row r="578">
      <c r="A578" s="27" t="inlineStr">
        <is>
          <t>VRAUX</t>
        </is>
      </c>
      <c r="B578" s="27" t="inlineStr">
        <is>
          <t>127</t>
        </is>
      </c>
      <c r="C578" s="10" t="n">
        <v>1</v>
      </c>
      <c r="D578" s="10" t="n">
        <v>1.9</v>
      </c>
      <c r="E578" s="10" t="n">
        <v>1.9</v>
      </c>
      <c r="F578" s="10" t="n">
        <v>450</v>
      </c>
      <c r="G578" s="10" t="n">
        <v>550</v>
      </c>
      <c r="H578" s="17" t="n">
        <v>450</v>
      </c>
      <c r="I578" s="17" t="n">
        <v>550</v>
      </c>
      <c r="J578" s="30" t="n">
        <v>35.7689</v>
      </c>
      <c r="K578" s="10" t="inlineStr">
        <is>
          <t>127</t>
        </is>
      </c>
      <c r="L578" s="30" t="n">
        <v>24.8128</v>
      </c>
      <c r="M578" s="10" t="inlineStr">
        <is>
          <t>127</t>
        </is>
      </c>
      <c r="N578" s="30" t="n">
        <v>32.466</v>
      </c>
      <c r="O578" s="30" t="n">
        <v>110.316</v>
      </c>
      <c r="P578" s="10" t="inlineStr">
        <is>
          <t>127</t>
        </is>
      </c>
      <c r="Q578" s="30" t="n">
        <v>16.2321</v>
      </c>
      <c r="R578" s="10">
        <f>MAX(MAX(1.4/'Parametros'!$B$3,0.25*SQRT('Parametros'!$B$2)/'Parametros'!$B$3)*H578*U578,(0.85*'Parametros'!$B$2/'Parametros'!$B$3)*(1-SQRT(1-2*(J578*1000000/('Parametros'!$B$5*H578*U578^2))/(0.85*'Parametros'!$B$2)))*H578*U578)</f>
        <v>734.025</v>
      </c>
      <c r="S578" s="31" t="n">
        <v>4</v>
      </c>
      <c r="T578" s="32" t="n">
        <v>1</v>
      </c>
      <c r="U578" s="10">
        <f>IF(T578=1,I578-('Parametros'!$B$7+'Parametros'!$B$9+'Parametros'!$B$12/2),I578-(ROUNDUP(S578/2,0)*('Parametros'!$B$7+'Parametros'!$B$9+'Parametros'!$B$12/2)+ROUNDDOWN(S578/2,0)*('Parametros'!$B$7+'Parametros'!$B$9+'Parametros'!$B$12/2+'Parametros'!$B$12+'Parametros'!$B$10))/S578)</f>
        <v>489.35</v>
      </c>
      <c r="V578" s="10">
        <f>S578*'Parametros'!$B$8</f>
        <v>796</v>
      </c>
      <c r="W578" s="10">
        <f>'Parametros'!$B$5*V578*'Parametros'!$B$3*(U578-(V578*'Parametros'!$B$3/(0.85*'Parametros'!$B$2*H578))/2)/1000000</f>
        <v>142.543330094118</v>
      </c>
      <c r="X578" s="10" t="str">
        <f>IF(W578&gt;=J578,"CUMPLE","NO CUMPLE")</f>
        <v>CUMPLE</v>
      </c>
      <c r="Y578" s="10">
        <f>MAX(MAX(1.4/'Parametros'!$B$3,0.25*SQRT('Parametros'!$B$2)/'Parametros'!$B$3)*H578*AB578,(0.85*'Parametros'!$B$2/'Parametros'!$B$3)*(1-SQRT(1-2*(L578*1000000/('Parametros'!$B$5*H578*AB578^2))/(0.85*'Parametros'!$B$2)))*H578*AB578)</f>
        <v>734.025</v>
      </c>
      <c r="Z578" s="31" t="n">
        <v>4</v>
      </c>
      <c r="AA578" s="32" t="n">
        <v>1</v>
      </c>
      <c r="AB578" s="10">
        <f>IF(AA578=1,I578-('Parametros'!$B$7+'Parametros'!$B$9+'Parametros'!$B$12/2),I578-(ROUNDUP(Z578/2,0)*('Parametros'!$B$7+'Parametros'!$B$9+'Parametros'!$B$12/2)+ROUNDDOWN(Z578/2,0)*('Parametros'!$B$7+'Parametros'!$B$9+'Parametros'!$B$12/2+'Parametros'!$B$12+'Parametros'!$B$10))/Z578)</f>
        <v>489.35</v>
      </c>
      <c r="AC578" s="10">
        <f>Z578*'Parametros'!$B$8</f>
        <v>796</v>
      </c>
      <c r="AD578" s="10">
        <f>'Parametros'!$B$5*AC578*'Parametros'!$B$3*(AB578-(AC578*'Parametros'!$B$3/(0.85*'Parametros'!$B$2*H578))/2)/1000000</f>
        <v>142.543330094118</v>
      </c>
      <c r="AE578" s="10" t="str">
        <f>IF(AD578&gt;=L578,"CUMPLE","NO CUMPLE")</f>
        <v>CUMPLE</v>
      </c>
      <c r="AF578" s="10">
        <f>V578*1.25*'Parametros'!$B$3*(U578-(V578*1.25*'Parametros'!$B$3/(0.85*'Parametros'!$B$2*H578))/2)/1000000</f>
        <v>196.346217941176</v>
      </c>
      <c r="AG578" s="10">
        <f>AC578*1.25*'Parametros'!$B$3*(AB578-(AC578*1.25*'Parametros'!$B$3/(0.85*'Parametros'!$B$2*H578))/2)/1000000</f>
        <v>196.346217941176</v>
      </c>
      <c r="AH578" s="10">
        <f>N578+(AF578+AG578)/D578</f>
        <v>239.146229411765</v>
      </c>
      <c r="AI578" s="10">
        <f>MAX(O578,AH578)</f>
        <v>239.146229411765</v>
      </c>
      <c r="AJ578" s="10">
        <f>0.17*SQRT('Parametros'!$B$2)*H578*MIN(U578,AB578)/1000</f>
        <v>198.088855822627</v>
      </c>
      <c r="AK578" s="10">
        <f>MAX(AI578/'Parametros'!$B$6-AJ578,0)</f>
        <v>120.772783393059</v>
      </c>
      <c r="AL578" s="10">
        <f>0.66*SQRT('Parametros'!$B$2)*H578*MIN(U578,AB578)/1000</f>
        <v>769.050852017258</v>
      </c>
      <c r="AM578" s="10" t="str">
        <f>IF(AK578&lt;=AL578,"CUMPLE","NO CUMPLE")</f>
        <v>CUMPLE</v>
      </c>
      <c r="AN578" s="17" t="inlineStr">
        <is>
          <t>Nº3 cerrado</t>
        </is>
      </c>
      <c r="AO578" s="31" t="n">
        <v>2</v>
      </c>
      <c r="AP578" s="10">
        <f>ROUNDDOWN(MIN(IF(BC578+BD578=0,1000000000,AO578*BB578/(BC578+BD578)),MIN(U578,AB578)/4,8*'Parametros'!$B$12,24*BA578,300,IF(AV578=0,1000000000,2*((H578-2*('Parametros'!$B$7+'Parametros'!$B$9/2))+(I578-2*('Parametros'!$B$7+'Parametros'!$B$9/2)))/8))/10,0)*10</f>
        <v>120</v>
      </c>
      <c r="AQ578" s="10">
        <f>ROUNDDOWN(MIN(IF(BC578+BD578=0,1000000000,AO578*BB578/(BC578+BD578)),IF(AK578&gt;0.33*SQRT('Parametros'!$B$2)*H578*MIN(U578,AB578)/1000,MIN(U578,AB578)/4,MIN(U578,AB578)/2),600,IF(AV578=0,1000000000,2*((H578-2*('Parametros'!$B$7+'Parametros'!$B$9/2))+(I578-2*('Parametros'!$B$7+'Parametros'!$B$9/2)))/8))/10,0)*10</f>
        <v>140</v>
      </c>
      <c r="AR578" s="10">
        <f>'Parametros'!$B$6*(AJ578+MAX(BE578-BD578,0)*'Parametros'!$B$4*MIN(U578,AB578)/1000)</f>
        <v>273.779080704471</v>
      </c>
      <c r="AS578" s="10" t="str">
        <f>IF(AND(ISERROR(SEARCH("referencia",AN578)),AM578="CUMPLE",AR578&gt;=AI578),"CUMPLE","NO CUMPLE")</f>
        <v>CUMPLE</v>
      </c>
      <c r="AT578" s="10">
        <f>'Parametros'!$B$6*0.083*SQRT('Parametros'!$B$2)*(H578*I578)^2/(2*(H578+I578))/1000000</f>
        <v>10.0887830333379</v>
      </c>
      <c r="AU578" s="10" t="str">
        <f>IF(Q578&lt;=AT578,"DESPRECIABLE","DISEÑAR")</f>
        <v>DISEÑAR</v>
      </c>
      <c r="AV578" s="10">
        <f>IF(Q578&lt;=AT578,0,Q578*1000000/('Parametros'!$B$6*2*0.85*(H578-2*('Parametros'!$B$7+'Parametros'!$B$9/2))*(I578-2*('Parametros'!$B$7+'Parametros'!$B$9/2))*'Parametros'!$B$4))</f>
        <v>0.185515848404345</v>
      </c>
      <c r="AW578" s="10">
        <f>AV578*2*((H578-2*('Parametros'!$B$7+'Parametros'!$B$9/2))+(I578-2*('Parametros'!$B$7+'Parametros'!$B$9/2)))*'Parametros'!$B$4/'Parametros'!$B$3</f>
        <v>302.242420220359</v>
      </c>
      <c r="AX578" s="31" t="n">
        <v>8</v>
      </c>
      <c r="AY578" s="10" t="str">
        <f>IF(AV578=0,"DESPRECIABLE",IF(AND(ISERROR(SEARCH("referencia",AN578)),BB578/AP578&gt;=AV578,BI578&gt;=AW578,BH578="CUMPLE"),"CUMPLE","NO CUMPLE"))</f>
        <v>CUMPLE</v>
      </c>
      <c r="AZ578" s="10" t="str">
        <f>IF(AND(X578="CUMPLE",AE578="CUMPLE",AS578="CUMPLE",OR(AY578="CUMPLE",AY578="DESPRECIABLE"),BH578="CUMPLE",BJ578="CUMPLE"),"CUMPLE","NO CUMPLE")</f>
        <v>CUMPLE</v>
      </c>
      <c r="BA578" s="32" t="n">
        <v>9.5</v>
      </c>
      <c r="BB578" s="32" t="n">
        <v>71</v>
      </c>
      <c r="BC578" s="10">
        <f>MAX(IF(AK578=0,0,AK578*1000/('Parametros'!$B$4*MIN(U578,AB578))),MAX(0.062*SQRT('Parametros'!$B$2)*H578/'Parametros'!$B$4,0.35*H578/'Parametros'!$B$4))</f>
        <v>0.587624902777053</v>
      </c>
      <c r="BD578" s="10">
        <f>2*AV578</f>
        <v>0.37103169680869</v>
      </c>
      <c r="BE578" s="10">
        <f>AO578*BB578/AP578</f>
        <v>1.18333333333333</v>
      </c>
      <c r="BF578" s="10">
        <f>SQRT((AI578*1000/(H578*MIN(U578,AB578)))^2+(Q578*1000000*2*((H578-2*('Parametros'!$B$7+'Parametros'!$B$9/2))+(I578-2*('Parametros'!$B$7+'Parametros'!$B$9/2)))/(1.7*((H578-2*('Parametros'!$B$7+'Parametros'!$B$9/2))*(I578-2*('Parametros'!$B$7+'Parametros'!$B$9/2)))^2))^2)</f>
        <v>1.23244605335938</v>
      </c>
      <c r="BG578" s="10">
        <f>'Parametros'!$B$6*(AJ578*1000/(H578*MIN(U578,AB578))+0.66*SQRT('Parametros'!$B$2))</f>
        <v>3.29396038227542</v>
      </c>
      <c r="BH578" s="10" t="str">
        <f>IF(BF578&lt;=BG578,"CUMPLE","NO CUMPLE")</f>
        <v>CUMPLE</v>
      </c>
      <c r="BI578" s="10">
        <f>AX578*'Parametros'!$B$8</f>
        <v>1592</v>
      </c>
      <c r="BJ578" s="10" t="str">
        <f>IF(BI578&gt;=AW578,"CUMPLE","NO CUMPLE")</f>
        <v>CUMPLE</v>
      </c>
    </row>
    <row r="579">
      <c r="A579" s="27" t="inlineStr">
        <is>
          <t>VRAUX</t>
        </is>
      </c>
      <c r="B579" s="27" t="inlineStr">
        <is>
          <t>128</t>
        </is>
      </c>
      <c r="C579" s="10" t="n">
        <v>1</v>
      </c>
      <c r="D579" s="10" t="n">
        <v>1.9</v>
      </c>
      <c r="E579" s="10" t="n">
        <v>1.9</v>
      </c>
      <c r="F579" s="10" t="n">
        <v>450</v>
      </c>
      <c r="G579" s="10" t="n">
        <v>550</v>
      </c>
      <c r="H579" s="17" t="n">
        <v>450</v>
      </c>
      <c r="I579" s="17" t="n">
        <v>550</v>
      </c>
      <c r="J579" s="30" t="n">
        <v>35.825</v>
      </c>
      <c r="K579" s="10" t="inlineStr">
        <is>
          <t>128</t>
        </is>
      </c>
      <c r="L579" s="30" t="n">
        <v>24.8124</v>
      </c>
      <c r="M579" s="10" t="inlineStr">
        <is>
          <t>128</t>
        </is>
      </c>
      <c r="N579" s="30" t="n">
        <v>32.489</v>
      </c>
      <c r="O579" s="30" t="n">
        <v>110.342</v>
      </c>
      <c r="P579" s="10" t="inlineStr">
        <is>
          <t>128</t>
        </is>
      </c>
      <c r="Q579" s="30" t="n">
        <v>16.2454</v>
      </c>
      <c r="R579" s="10">
        <f>MAX(MAX(1.4/'Parametros'!$B$3,0.25*SQRT('Parametros'!$B$2)/'Parametros'!$B$3)*H579*U579,(0.85*'Parametros'!$B$2/'Parametros'!$B$3)*(1-SQRT(1-2*(J579*1000000/('Parametros'!$B$5*H579*U579^2))/(0.85*'Parametros'!$B$2)))*H579*U579)</f>
        <v>734.025</v>
      </c>
      <c r="S579" s="31" t="n">
        <v>4</v>
      </c>
      <c r="T579" s="32" t="n">
        <v>1</v>
      </c>
      <c r="U579" s="10">
        <f>IF(T579=1,I579-('Parametros'!$B$7+'Parametros'!$B$9+'Parametros'!$B$12/2),I579-(ROUNDUP(S579/2,0)*('Parametros'!$B$7+'Parametros'!$B$9+'Parametros'!$B$12/2)+ROUNDDOWN(S579/2,0)*('Parametros'!$B$7+'Parametros'!$B$9+'Parametros'!$B$12/2+'Parametros'!$B$12+'Parametros'!$B$10))/S579)</f>
        <v>489.35</v>
      </c>
      <c r="V579" s="10">
        <f>S579*'Parametros'!$B$8</f>
        <v>796</v>
      </c>
      <c r="W579" s="10">
        <f>'Parametros'!$B$5*V579*'Parametros'!$B$3*(U579-(V579*'Parametros'!$B$3/(0.85*'Parametros'!$B$2*H579))/2)/1000000</f>
        <v>142.543330094118</v>
      </c>
      <c r="X579" s="10" t="str">
        <f>IF(W579&gt;=J579,"CUMPLE","NO CUMPLE")</f>
        <v>CUMPLE</v>
      </c>
      <c r="Y579" s="10">
        <f>MAX(MAX(1.4/'Parametros'!$B$3,0.25*SQRT('Parametros'!$B$2)/'Parametros'!$B$3)*H579*AB579,(0.85*'Parametros'!$B$2/'Parametros'!$B$3)*(1-SQRT(1-2*(L579*1000000/('Parametros'!$B$5*H579*AB579^2))/(0.85*'Parametros'!$B$2)))*H579*AB579)</f>
        <v>734.025</v>
      </c>
      <c r="Z579" s="31" t="n">
        <v>4</v>
      </c>
      <c r="AA579" s="32" t="n">
        <v>1</v>
      </c>
      <c r="AB579" s="10">
        <f>IF(AA579=1,I579-('Parametros'!$B$7+'Parametros'!$B$9+'Parametros'!$B$12/2),I579-(ROUNDUP(Z579/2,0)*('Parametros'!$B$7+'Parametros'!$B$9+'Parametros'!$B$12/2)+ROUNDDOWN(Z579/2,0)*('Parametros'!$B$7+'Parametros'!$B$9+'Parametros'!$B$12/2+'Parametros'!$B$12+'Parametros'!$B$10))/Z579)</f>
        <v>489.35</v>
      </c>
      <c r="AC579" s="10">
        <f>Z579*'Parametros'!$B$8</f>
        <v>796</v>
      </c>
      <c r="AD579" s="10">
        <f>'Parametros'!$B$5*AC579*'Parametros'!$B$3*(AB579-(AC579*'Parametros'!$B$3/(0.85*'Parametros'!$B$2*H579))/2)/1000000</f>
        <v>142.543330094118</v>
      </c>
      <c r="AE579" s="10" t="str">
        <f>IF(AD579&gt;=L579,"CUMPLE","NO CUMPLE")</f>
        <v>CUMPLE</v>
      </c>
      <c r="AF579" s="10">
        <f>V579*1.25*'Parametros'!$B$3*(U579-(V579*1.25*'Parametros'!$B$3/(0.85*'Parametros'!$B$2*H579))/2)/1000000</f>
        <v>196.346217941176</v>
      </c>
      <c r="AG579" s="10">
        <f>AC579*1.25*'Parametros'!$B$3*(AB579-(AC579*1.25*'Parametros'!$B$3/(0.85*'Parametros'!$B$2*H579))/2)/1000000</f>
        <v>196.346217941176</v>
      </c>
      <c r="AH579" s="10">
        <f>N579+(AF579+AG579)/D579</f>
        <v>239.169229411765</v>
      </c>
      <c r="AI579" s="10">
        <f>MAX(O579,AH579)</f>
        <v>239.169229411765</v>
      </c>
      <c r="AJ579" s="10">
        <f>0.17*SQRT('Parametros'!$B$2)*H579*MIN(U579,AB579)/1000</f>
        <v>198.088855822627</v>
      </c>
      <c r="AK579" s="10">
        <f>MAX(AI579/'Parametros'!$B$6-AJ579,0)</f>
        <v>120.803450059726</v>
      </c>
      <c r="AL579" s="10">
        <f>0.66*SQRT('Parametros'!$B$2)*H579*MIN(U579,AB579)/1000</f>
        <v>769.050852017258</v>
      </c>
      <c r="AM579" s="10" t="str">
        <f>IF(AK579&lt;=AL579,"CUMPLE","NO CUMPLE")</f>
        <v>CUMPLE</v>
      </c>
      <c r="AN579" s="17" t="inlineStr">
        <is>
          <t>Nº3 cerrado</t>
        </is>
      </c>
      <c r="AO579" s="31" t="n">
        <v>2</v>
      </c>
      <c r="AP579" s="10">
        <f>ROUNDDOWN(MIN(IF(BC579+BD579=0,1000000000,AO579*BB579/(BC579+BD579)),MIN(U579,AB579)/4,8*'Parametros'!$B$12,24*BA579,300,IF(AV579=0,1000000000,2*((H579-2*('Parametros'!$B$7+'Parametros'!$B$9/2))+(I579-2*('Parametros'!$B$7+'Parametros'!$B$9/2)))/8))/10,0)*10</f>
        <v>120</v>
      </c>
      <c r="AQ579" s="10">
        <f>ROUNDDOWN(MIN(IF(BC579+BD579=0,1000000000,AO579*BB579/(BC579+BD579)),IF(AK579&gt;0.33*SQRT('Parametros'!$B$2)*H579*MIN(U579,AB579)/1000,MIN(U579,AB579)/4,MIN(U579,AB579)/2),600,IF(AV579=0,1000000000,2*((H579-2*('Parametros'!$B$7+'Parametros'!$B$9/2))+(I579-2*('Parametros'!$B$7+'Parametros'!$B$9/2)))/8))/10,0)*10</f>
        <v>140</v>
      </c>
      <c r="AR579" s="10">
        <f>'Parametros'!$B$6*(AJ579+MAX(BE579-BD579,0)*'Parametros'!$B$4*MIN(U579,AB579)/1000)</f>
        <v>273.732218998979</v>
      </c>
      <c r="AS579" s="10" t="str">
        <f>IF(AND(ISERROR(SEARCH("referencia",AN579)),AM579="CUMPLE",AR579&gt;=AI579),"CUMPLE","NO CUMPLE")</f>
        <v>CUMPLE</v>
      </c>
      <c r="AT579" s="10">
        <f>'Parametros'!$B$6*0.083*SQRT('Parametros'!$B$2)*(H579*I579)^2/(2*(H579+I579))/1000000</f>
        <v>10.0887830333379</v>
      </c>
      <c r="AU579" s="10" t="str">
        <f>IF(Q579&lt;=AT579,"DESPRECIABLE","DISEÑAR")</f>
        <v>DISEÑAR</v>
      </c>
      <c r="AV579" s="10">
        <f>IF(Q579&lt;=AT579,0,Q579*1000000/('Parametros'!$B$6*2*0.85*(H579-2*('Parametros'!$B$7+'Parametros'!$B$9/2))*(I579-2*('Parametros'!$B$7+'Parametros'!$B$9/2))*'Parametros'!$B$4))</f>
        <v>0.185667853430422</v>
      </c>
      <c r="AW579" s="10">
        <f>AV579*2*((H579-2*('Parametros'!$B$7+'Parametros'!$B$9/2))+(I579-2*('Parametros'!$B$7+'Parametros'!$B$9/2)))*'Parametros'!$B$4/'Parametros'!$B$3</f>
        <v>302.490066808843</v>
      </c>
      <c r="AX579" s="31" t="n">
        <v>8</v>
      </c>
      <c r="AY579" s="10" t="str">
        <f>IF(AV579=0,"DESPRECIABLE",IF(AND(ISERROR(SEARCH("referencia",AN579)),BB579/AP579&gt;=AV579,BI579&gt;=AW579,BH579="CUMPLE"),"CUMPLE","NO CUMPLE"))</f>
        <v>CUMPLE</v>
      </c>
      <c r="AZ579" s="10" t="str">
        <f>IF(AND(X579="CUMPLE",AE579="CUMPLE",AS579="CUMPLE",OR(AY579="CUMPLE",AY579="DESPRECIABLE"),BH579="CUMPLE",BJ579="CUMPLE"),"CUMPLE","NO CUMPLE")</f>
        <v>CUMPLE</v>
      </c>
      <c r="BA579" s="32" t="n">
        <v>9.5</v>
      </c>
      <c r="BB579" s="32" t="n">
        <v>71</v>
      </c>
      <c r="BC579" s="10">
        <f>MAX(IF(AK579=0,0,AK579*1000/('Parametros'!$B$4*MIN(U579,AB579))),MAX(0.062*SQRT('Parametros'!$B$2)*H579/'Parametros'!$B$4,0.35*H579/'Parametros'!$B$4))</f>
        <v>0.587774112694322</v>
      </c>
      <c r="BD579" s="10">
        <f>2*AV579</f>
        <v>0.371335706860843</v>
      </c>
      <c r="BE579" s="10">
        <f>AO579*BB579/AP579</f>
        <v>1.18333333333333</v>
      </c>
      <c r="BF579" s="10">
        <f>SQRT((AI579*1000/(H579*MIN(U579,AB579)))^2+(Q579*1000000*2*((H579-2*('Parametros'!$B$7+'Parametros'!$B$9/2))+(I579-2*('Parametros'!$B$7+'Parametros'!$B$9/2)))/(1.7*((H579-2*('Parametros'!$B$7+'Parametros'!$B$9/2))*(I579-2*('Parametros'!$B$7+'Parametros'!$B$9/2)))^2))^2)</f>
        <v>1.23276386689001</v>
      </c>
      <c r="BG579" s="10">
        <f>'Parametros'!$B$6*(AJ579*1000/(H579*MIN(U579,AB579))+0.66*SQRT('Parametros'!$B$2))</f>
        <v>3.29396038227542</v>
      </c>
      <c r="BH579" s="10" t="str">
        <f>IF(BF579&lt;=BG579,"CUMPLE","NO CUMPLE")</f>
        <v>CUMPLE</v>
      </c>
      <c r="BI579" s="10">
        <f>AX579*'Parametros'!$B$8</f>
        <v>1592</v>
      </c>
      <c r="BJ579" s="10" t="str">
        <f>IF(BI579&gt;=AW579,"CUMPLE","NO CUMPLE")</f>
        <v>CUMPLE</v>
      </c>
    </row>
    <row r="580">
      <c r="A580" s="27" t="inlineStr">
        <is>
          <t>VRAUX</t>
        </is>
      </c>
      <c r="B580" s="27" t="inlineStr">
        <is>
          <t>129</t>
        </is>
      </c>
      <c r="C580" s="10" t="n">
        <v>1</v>
      </c>
      <c r="D580" s="10" t="n">
        <v>2</v>
      </c>
      <c r="E580" s="10" t="n">
        <v>2</v>
      </c>
      <c r="F580" s="10" t="n">
        <v>450</v>
      </c>
      <c r="G580" s="10" t="n">
        <v>550</v>
      </c>
      <c r="H580" s="17" t="n">
        <v>450</v>
      </c>
      <c r="I580" s="17" t="n">
        <v>550</v>
      </c>
      <c r="J580" s="30" t="n">
        <v>19.1585</v>
      </c>
      <c r="K580" s="10" t="inlineStr">
        <is>
          <t>129</t>
        </is>
      </c>
      <c r="L580" s="30" t="n">
        <v>12.3363</v>
      </c>
      <c r="M580" s="10" t="inlineStr">
        <is>
          <t>129</t>
        </is>
      </c>
      <c r="N580" s="30" t="n">
        <v>21.15</v>
      </c>
      <c r="O580" s="30" t="n">
        <v>64.636</v>
      </c>
      <c r="P580" s="10" t="inlineStr">
        <is>
          <t>129</t>
        </is>
      </c>
      <c r="Q580" s="30" t="n">
        <v>3.5684</v>
      </c>
      <c r="R580" s="10">
        <f>MAX(MAX(1.4/'Parametros'!$B$3,0.25*SQRT('Parametros'!$B$2)/'Parametros'!$B$3)*H580*U580,(0.85*'Parametros'!$B$2/'Parametros'!$B$3)*(1-SQRT(1-2*(J580*1000000/('Parametros'!$B$5*H580*U580^2))/(0.85*'Parametros'!$B$2)))*H580*U580)</f>
        <v>734.025</v>
      </c>
      <c r="S580" s="31" t="n">
        <v>4</v>
      </c>
      <c r="T580" s="32" t="n">
        <v>1</v>
      </c>
      <c r="U580" s="10">
        <f>IF(T580=1,I580-('Parametros'!$B$7+'Parametros'!$B$9+'Parametros'!$B$12/2),I580-(ROUNDUP(S580/2,0)*('Parametros'!$B$7+'Parametros'!$B$9+'Parametros'!$B$12/2)+ROUNDDOWN(S580/2,0)*('Parametros'!$B$7+'Parametros'!$B$9+'Parametros'!$B$12/2+'Parametros'!$B$12+'Parametros'!$B$10))/S580)</f>
        <v>489.35</v>
      </c>
      <c r="V580" s="10">
        <f>S580*'Parametros'!$B$8</f>
        <v>796</v>
      </c>
      <c r="W580" s="10">
        <f>'Parametros'!$B$5*V580*'Parametros'!$B$3*(U580-(V580*'Parametros'!$B$3/(0.85*'Parametros'!$B$2*H580))/2)/1000000</f>
        <v>142.543330094118</v>
      </c>
      <c r="X580" s="10" t="str">
        <f>IF(W580&gt;=J580,"CUMPLE","NO CUMPLE")</f>
        <v>CUMPLE</v>
      </c>
      <c r="Y580" s="10">
        <f>MAX(MAX(1.4/'Parametros'!$B$3,0.25*SQRT('Parametros'!$B$2)/'Parametros'!$B$3)*H580*AB580,(0.85*'Parametros'!$B$2/'Parametros'!$B$3)*(1-SQRT(1-2*(L580*1000000/('Parametros'!$B$5*H580*AB580^2))/(0.85*'Parametros'!$B$2)))*H580*AB580)</f>
        <v>734.025</v>
      </c>
      <c r="Z580" s="31" t="n">
        <v>4</v>
      </c>
      <c r="AA580" s="32" t="n">
        <v>1</v>
      </c>
      <c r="AB580" s="10">
        <f>IF(AA580=1,I580-('Parametros'!$B$7+'Parametros'!$B$9+'Parametros'!$B$12/2),I580-(ROUNDUP(Z580/2,0)*('Parametros'!$B$7+'Parametros'!$B$9+'Parametros'!$B$12/2)+ROUNDDOWN(Z580/2,0)*('Parametros'!$B$7+'Parametros'!$B$9+'Parametros'!$B$12/2+'Parametros'!$B$12+'Parametros'!$B$10))/Z580)</f>
        <v>489.35</v>
      </c>
      <c r="AC580" s="10">
        <f>Z580*'Parametros'!$B$8</f>
        <v>796</v>
      </c>
      <c r="AD580" s="10">
        <f>'Parametros'!$B$5*AC580*'Parametros'!$B$3*(AB580-(AC580*'Parametros'!$B$3/(0.85*'Parametros'!$B$2*H580))/2)/1000000</f>
        <v>142.543330094118</v>
      </c>
      <c r="AE580" s="10" t="str">
        <f>IF(AD580&gt;=L580,"CUMPLE","NO CUMPLE")</f>
        <v>CUMPLE</v>
      </c>
      <c r="AF580" s="10">
        <f>V580*1.25*'Parametros'!$B$3*(U580-(V580*1.25*'Parametros'!$B$3/(0.85*'Parametros'!$B$2*H580))/2)/1000000</f>
        <v>196.346217941176</v>
      </c>
      <c r="AG580" s="10">
        <f>AC580*1.25*'Parametros'!$B$3*(AB580-(AC580*1.25*'Parametros'!$B$3/(0.85*'Parametros'!$B$2*H580))/2)/1000000</f>
        <v>196.346217941176</v>
      </c>
      <c r="AH580" s="10">
        <f>N580+(AF580+AG580)/D580</f>
        <v>217.496217941176</v>
      </c>
      <c r="AI580" s="10">
        <f>MAX(O580,AH580)</f>
        <v>217.496217941176</v>
      </c>
      <c r="AJ580" s="10">
        <f>0.17*SQRT('Parametros'!$B$2)*H580*MIN(U580,AB580)/1000</f>
        <v>198.088855822627</v>
      </c>
      <c r="AK580" s="10">
        <f>MAX(AI580/'Parametros'!$B$6-AJ580,0)</f>
        <v>91.906101432275</v>
      </c>
      <c r="AL580" s="10">
        <f>0.66*SQRT('Parametros'!$B$2)*H580*MIN(U580,AB580)/1000</f>
        <v>769.050852017258</v>
      </c>
      <c r="AM580" s="10" t="str">
        <f>IF(AK580&lt;=AL580,"CUMPLE","NO CUMPLE")</f>
        <v>CUMPLE</v>
      </c>
      <c r="AN580" s="17" t="inlineStr">
        <is>
          <t>Nº3 cerrado</t>
        </is>
      </c>
      <c r="AO580" s="31" t="n">
        <v>2</v>
      </c>
      <c r="AP580" s="10">
        <f>ROUNDDOWN(MIN(IF(BC580+BD580=0,1000000000,AO580*BB580/(BC580+BD580)),MIN(U580,AB580)/4,8*'Parametros'!$B$12,24*BA580,300,IF(AV580=0,1000000000,2*((H580-2*('Parametros'!$B$7+'Parametros'!$B$9/2))+(I580-2*('Parametros'!$B$7+'Parametros'!$B$9/2)))/8))/10,0)*10</f>
        <v>120</v>
      </c>
      <c r="AQ580" s="10">
        <f>ROUNDDOWN(MIN(IF(BC580+BD580=0,1000000000,AO580*BB580/(BC580+BD580)),IF(AK580&gt;0.33*SQRT('Parametros'!$B$2)*H580*MIN(U580,AB580)/1000,MIN(U580,AB580)/4,MIN(U580,AB580)/2),600,IF(AV580=0,1000000000,2*((H580-2*('Parametros'!$B$7+'Parametros'!$B$9/2))+(I580-2*('Parametros'!$B$7+'Parametros'!$B$9/2)))/8))/10,0)*10</f>
        <v>240</v>
      </c>
      <c r="AR580" s="10">
        <f>'Parametros'!$B$6*(AJ580+MAX(BE580-BD580,0)*'Parametros'!$B$4*MIN(U580,AB580)/1000)</f>
        <v>330.97185436697</v>
      </c>
      <c r="AS580" s="10" t="str">
        <f>IF(AND(ISERROR(SEARCH("referencia",AN580)),AM580="CUMPLE",AR580&gt;=AI580),"CUMPLE","NO CUMPLE")</f>
        <v>CUMPLE</v>
      </c>
      <c r="AT580" s="10">
        <f>'Parametros'!$B$6*0.083*SQRT('Parametros'!$B$2)*(H580*I580)^2/(2*(H580+I580))/1000000</f>
        <v>10.0887830333379</v>
      </c>
      <c r="AU580" s="10" t="str">
        <f>IF(Q580&lt;=AT580,"DESPRECIABLE","DISEÑAR")</f>
        <v>DESPRECIABLE</v>
      </c>
      <c r="AV580" s="10">
        <f>IF(Q580&lt;=AT580,0,Q580*1000000/('Parametros'!$B$6*2*0.85*(H580-2*('Parametros'!$B$7+'Parametros'!$B$9/2))*(I580-2*('Parametros'!$B$7+'Parametros'!$B$9/2))*'Parametros'!$B$4))</f>
        <v>0</v>
      </c>
      <c r="AW580" s="10">
        <f>AV580*2*((H580-2*('Parametros'!$B$7+'Parametros'!$B$9/2))+(I580-2*('Parametros'!$B$7+'Parametros'!$B$9/2)))*'Parametros'!$B$4/'Parametros'!$B$3</f>
        <v>0</v>
      </c>
      <c r="AX580" s="31" t="n">
        <v>0</v>
      </c>
      <c r="AY580" s="10" t="str">
        <f>IF(AV580=0,"DESPRECIABLE",IF(AND(ISERROR(SEARCH("referencia",AN580)),BB580/AP580&gt;=AV580,BI580&gt;=AW580,BH580="CUMPLE"),"CUMPLE","NO CUMPLE"))</f>
        <v>DESPRECIABLE</v>
      </c>
      <c r="AZ580" s="10" t="str">
        <f>IF(AND(X580="CUMPLE",AE580="CUMPLE",AS580="CUMPLE",OR(AY580="CUMPLE",AY580="DESPRECIABLE"),BH580="CUMPLE",BJ580="CUMPLE"),"CUMPLE","NO CUMPLE")</f>
        <v>CUMPLE</v>
      </c>
      <c r="BA580" s="32" t="n">
        <v>9.5</v>
      </c>
      <c r="BB580" s="32" t="n">
        <v>71</v>
      </c>
      <c r="BC580" s="10">
        <f>MAX(IF(AK580=0,0,AK580*1000/('Parametros'!$B$4*MIN(U580,AB580))),MAX(0.062*SQRT('Parametros'!$B$2)*H580/'Parametros'!$B$4,0.35*H580/'Parametros'!$B$4))</f>
        <v>0.447172884498265</v>
      </c>
      <c r="BD580" s="10">
        <f>2*AV580</f>
        <v>0</v>
      </c>
      <c r="BE580" s="10">
        <f>AO580*BB580/AP580</f>
        <v>1.18333333333333</v>
      </c>
      <c r="BF580" s="10">
        <f>SQRT((AI580*1000/(H580*MIN(U580,AB580)))^2+(Q580*1000000*2*((H580-2*('Parametros'!$B$7+'Parametros'!$B$9/2))+(I580-2*('Parametros'!$B$7+'Parametros'!$B$9/2)))/(1.7*((H580-2*('Parametros'!$B$7+'Parametros'!$B$9/2))*(I580-2*('Parametros'!$B$7+'Parametros'!$B$9/2)))^2))^2)</f>
        <v>0.995959341533168</v>
      </c>
      <c r="BG580" s="10">
        <f>'Parametros'!$B$6*(AJ580*1000/(H580*MIN(U580,AB580))+0.66*SQRT('Parametros'!$B$2))</f>
        <v>3.29396038227542</v>
      </c>
      <c r="BH580" s="10" t="str">
        <f>IF(BF580&lt;=BG580,"CUMPLE","NO CUMPLE")</f>
        <v>CUMPLE</v>
      </c>
      <c r="BI580" s="10">
        <f>AX580*'Parametros'!$B$8</f>
        <v>0</v>
      </c>
      <c r="BJ580" s="10" t="str">
        <f>IF(BI580&gt;=AW580,"CUMPLE","NO CUMPLE")</f>
        <v>CUMPLE</v>
      </c>
    </row>
    <row r="581">
      <c r="A581" s="27" t="inlineStr">
        <is>
          <t>VRAUX</t>
        </is>
      </c>
      <c r="B581" s="27" t="inlineStr">
        <is>
          <t>130</t>
        </is>
      </c>
      <c r="C581" s="10" t="n">
        <v>1</v>
      </c>
      <c r="D581" s="10" t="n">
        <v>2</v>
      </c>
      <c r="E581" s="10" t="n">
        <v>2</v>
      </c>
      <c r="F581" s="10" t="n">
        <v>450</v>
      </c>
      <c r="G581" s="10" t="n">
        <v>550</v>
      </c>
      <c r="H581" s="17" t="n">
        <v>450</v>
      </c>
      <c r="I581" s="17" t="n">
        <v>550</v>
      </c>
      <c r="J581" s="30" t="n">
        <v>19.155</v>
      </c>
      <c r="K581" s="10" t="inlineStr">
        <is>
          <t>130</t>
        </is>
      </c>
      <c r="L581" s="30" t="n">
        <v>12.3348</v>
      </c>
      <c r="M581" s="10" t="inlineStr">
        <is>
          <t>130</t>
        </is>
      </c>
      <c r="N581" s="30" t="n">
        <v>21.147</v>
      </c>
      <c r="O581" s="30" t="n">
        <v>64.633</v>
      </c>
      <c r="P581" s="10" t="inlineStr">
        <is>
          <t>130</t>
        </is>
      </c>
      <c r="Q581" s="30" t="n">
        <v>3.5736</v>
      </c>
      <c r="R581" s="10">
        <f>MAX(MAX(1.4/'Parametros'!$B$3,0.25*SQRT('Parametros'!$B$2)/'Parametros'!$B$3)*H581*U581,(0.85*'Parametros'!$B$2/'Parametros'!$B$3)*(1-SQRT(1-2*(J581*1000000/('Parametros'!$B$5*H581*U581^2))/(0.85*'Parametros'!$B$2)))*H581*U581)</f>
        <v>734.025</v>
      </c>
      <c r="S581" s="31" t="n">
        <v>4</v>
      </c>
      <c r="T581" s="32" t="n">
        <v>1</v>
      </c>
      <c r="U581" s="10">
        <f>IF(T581=1,I581-('Parametros'!$B$7+'Parametros'!$B$9+'Parametros'!$B$12/2),I581-(ROUNDUP(S581/2,0)*('Parametros'!$B$7+'Parametros'!$B$9+'Parametros'!$B$12/2)+ROUNDDOWN(S581/2,0)*('Parametros'!$B$7+'Parametros'!$B$9+'Parametros'!$B$12/2+'Parametros'!$B$12+'Parametros'!$B$10))/S581)</f>
        <v>489.35</v>
      </c>
      <c r="V581" s="10">
        <f>S581*'Parametros'!$B$8</f>
        <v>796</v>
      </c>
      <c r="W581" s="10">
        <f>'Parametros'!$B$5*V581*'Parametros'!$B$3*(U581-(V581*'Parametros'!$B$3/(0.85*'Parametros'!$B$2*H581))/2)/1000000</f>
        <v>142.543330094118</v>
      </c>
      <c r="X581" s="10" t="str">
        <f>IF(W581&gt;=J581,"CUMPLE","NO CUMPLE")</f>
        <v>CUMPLE</v>
      </c>
      <c r="Y581" s="10">
        <f>MAX(MAX(1.4/'Parametros'!$B$3,0.25*SQRT('Parametros'!$B$2)/'Parametros'!$B$3)*H581*AB581,(0.85*'Parametros'!$B$2/'Parametros'!$B$3)*(1-SQRT(1-2*(L581*1000000/('Parametros'!$B$5*H581*AB581^2))/(0.85*'Parametros'!$B$2)))*H581*AB581)</f>
        <v>734.025</v>
      </c>
      <c r="Z581" s="31" t="n">
        <v>4</v>
      </c>
      <c r="AA581" s="32" t="n">
        <v>1</v>
      </c>
      <c r="AB581" s="10">
        <f>IF(AA581=1,I581-('Parametros'!$B$7+'Parametros'!$B$9+'Parametros'!$B$12/2),I581-(ROUNDUP(Z581/2,0)*('Parametros'!$B$7+'Parametros'!$B$9+'Parametros'!$B$12/2)+ROUNDDOWN(Z581/2,0)*('Parametros'!$B$7+'Parametros'!$B$9+'Parametros'!$B$12/2+'Parametros'!$B$12+'Parametros'!$B$10))/Z581)</f>
        <v>489.35</v>
      </c>
      <c r="AC581" s="10">
        <f>Z581*'Parametros'!$B$8</f>
        <v>796</v>
      </c>
      <c r="AD581" s="10">
        <f>'Parametros'!$B$5*AC581*'Parametros'!$B$3*(AB581-(AC581*'Parametros'!$B$3/(0.85*'Parametros'!$B$2*H581))/2)/1000000</f>
        <v>142.543330094118</v>
      </c>
      <c r="AE581" s="10" t="str">
        <f>IF(AD581&gt;=L581,"CUMPLE","NO CUMPLE")</f>
        <v>CUMPLE</v>
      </c>
      <c r="AF581" s="10">
        <f>V581*1.25*'Parametros'!$B$3*(U581-(V581*1.25*'Parametros'!$B$3/(0.85*'Parametros'!$B$2*H581))/2)/1000000</f>
        <v>196.346217941176</v>
      </c>
      <c r="AG581" s="10">
        <f>AC581*1.25*'Parametros'!$B$3*(AB581-(AC581*1.25*'Parametros'!$B$3/(0.85*'Parametros'!$B$2*H581))/2)/1000000</f>
        <v>196.346217941176</v>
      </c>
      <c r="AH581" s="10">
        <f>N581+(AF581+AG581)/D581</f>
        <v>217.493217941176</v>
      </c>
      <c r="AI581" s="10">
        <f>MAX(O581,AH581)</f>
        <v>217.493217941176</v>
      </c>
      <c r="AJ581" s="10">
        <f>0.17*SQRT('Parametros'!$B$2)*H581*MIN(U581,AB581)/1000</f>
        <v>198.088855822627</v>
      </c>
      <c r="AK581" s="10">
        <f>MAX(AI581/'Parametros'!$B$6-AJ581,0)</f>
        <v>91.902101432275</v>
      </c>
      <c r="AL581" s="10">
        <f>0.66*SQRT('Parametros'!$B$2)*H581*MIN(U581,AB581)/1000</f>
        <v>769.050852017258</v>
      </c>
      <c r="AM581" s="10" t="str">
        <f>IF(AK581&lt;=AL581,"CUMPLE","NO CUMPLE")</f>
        <v>CUMPLE</v>
      </c>
      <c r="AN581" s="17" t="inlineStr">
        <is>
          <t>Nº3 cerrado</t>
        </is>
      </c>
      <c r="AO581" s="31" t="n">
        <v>2</v>
      </c>
      <c r="AP581" s="10">
        <f>ROUNDDOWN(MIN(IF(BC581+BD581=0,1000000000,AO581*BB581/(BC581+BD581)),MIN(U581,AB581)/4,8*'Parametros'!$B$12,24*BA581,300,IF(AV581=0,1000000000,2*((H581-2*('Parametros'!$B$7+'Parametros'!$B$9/2))+(I581-2*('Parametros'!$B$7+'Parametros'!$B$9/2)))/8))/10,0)*10</f>
        <v>120</v>
      </c>
      <c r="AQ581" s="10">
        <f>ROUNDDOWN(MIN(IF(BC581+BD581=0,1000000000,AO581*BB581/(BC581+BD581)),IF(AK581&gt;0.33*SQRT('Parametros'!$B$2)*H581*MIN(U581,AB581)/1000,MIN(U581,AB581)/4,MIN(U581,AB581)/2),600,IF(AV581=0,1000000000,2*((H581-2*('Parametros'!$B$7+'Parametros'!$B$9/2))+(I581-2*('Parametros'!$B$7+'Parametros'!$B$9/2)))/8))/10,0)*10</f>
        <v>240</v>
      </c>
      <c r="AR581" s="10">
        <f>'Parametros'!$B$6*(AJ581+MAX(BE581-BD581,0)*'Parametros'!$B$4*MIN(U581,AB581)/1000)</f>
        <v>330.97185436697</v>
      </c>
      <c r="AS581" s="10" t="str">
        <f>IF(AND(ISERROR(SEARCH("referencia",AN581)),AM581="CUMPLE",AR581&gt;=AI581),"CUMPLE","NO CUMPLE")</f>
        <v>CUMPLE</v>
      </c>
      <c r="AT581" s="10">
        <f>'Parametros'!$B$6*0.083*SQRT('Parametros'!$B$2)*(H581*I581)^2/(2*(H581+I581))/1000000</f>
        <v>10.0887830333379</v>
      </c>
      <c r="AU581" s="10" t="str">
        <f>IF(Q581&lt;=AT581,"DESPRECIABLE","DISEÑAR")</f>
        <v>DESPRECIABLE</v>
      </c>
      <c r="AV581" s="10">
        <f>IF(Q581&lt;=AT581,0,Q581*1000000/('Parametros'!$B$6*2*0.85*(H581-2*('Parametros'!$B$7+'Parametros'!$B$9/2))*(I581-2*('Parametros'!$B$7+'Parametros'!$B$9/2))*'Parametros'!$B$4))</f>
        <v>0</v>
      </c>
      <c r="AW581" s="10">
        <f>AV581*2*((H581-2*('Parametros'!$B$7+'Parametros'!$B$9/2))+(I581-2*('Parametros'!$B$7+'Parametros'!$B$9/2)))*'Parametros'!$B$4/'Parametros'!$B$3</f>
        <v>0</v>
      </c>
      <c r="AX581" s="31" t="n">
        <v>0</v>
      </c>
      <c r="AY581" s="10" t="str">
        <f>IF(AV581=0,"DESPRECIABLE",IF(AND(ISERROR(SEARCH("referencia",AN581)),BB581/AP581&gt;=AV581,BI581&gt;=AW581,BH581="CUMPLE"),"CUMPLE","NO CUMPLE"))</f>
        <v>DESPRECIABLE</v>
      </c>
      <c r="AZ581" s="10" t="str">
        <f>IF(AND(X581="CUMPLE",AE581="CUMPLE",AS581="CUMPLE",OR(AY581="CUMPLE",AY581="DESPRECIABLE"),BH581="CUMPLE",BJ581="CUMPLE"),"CUMPLE","NO CUMPLE")</f>
        <v>CUMPLE</v>
      </c>
      <c r="BA581" s="32" t="n">
        <v>9.5</v>
      </c>
      <c r="BB581" s="32" t="n">
        <v>71</v>
      </c>
      <c r="BC581" s="10">
        <f>MAX(IF(AK581=0,0,AK581*1000/('Parametros'!$B$4*MIN(U581,AB581))),MAX(0.062*SQRT('Parametros'!$B$2)*H581/'Parametros'!$B$4,0.35*H581/'Parametros'!$B$4))</f>
        <v>0.447153422335143</v>
      </c>
      <c r="BD581" s="10">
        <f>2*AV581</f>
        <v>0</v>
      </c>
      <c r="BE581" s="10">
        <f>AO581*BB581/AP581</f>
        <v>1.18333333333333</v>
      </c>
      <c r="BF581" s="10">
        <f>SQRT((AI581*1000/(H581*MIN(U581,AB581)))^2+(Q581*1000000*2*((H581-2*('Parametros'!$B$7+'Parametros'!$B$9/2))+(I581-2*('Parametros'!$B$7+'Parametros'!$B$9/2)))/(1.7*((H581-2*('Parametros'!$B$7+'Parametros'!$B$9/2))*(I581-2*('Parametros'!$B$7+'Parametros'!$B$9/2)))^2))^2)</f>
        <v>0.995969856329994</v>
      </c>
      <c r="BG581" s="10">
        <f>'Parametros'!$B$6*(AJ581*1000/(H581*MIN(U581,AB581))+0.66*SQRT('Parametros'!$B$2))</f>
        <v>3.29396038227542</v>
      </c>
      <c r="BH581" s="10" t="str">
        <f>IF(BF581&lt;=BG581,"CUMPLE","NO CUMPLE")</f>
        <v>CUMPLE</v>
      </c>
      <c r="BI581" s="10">
        <f>AX581*'Parametros'!$B$8</f>
        <v>0</v>
      </c>
      <c r="BJ581" s="10" t="str">
        <f>IF(BI581&gt;=AW581,"CUMPLE","NO CUMPLE")</f>
        <v>CUMPLE</v>
      </c>
    </row>
    <row r="582">
      <c r="A582" s="27" t="inlineStr">
        <is>
          <t>VRAUX</t>
        </is>
      </c>
      <c r="B582" s="27" t="inlineStr">
        <is>
          <t>131</t>
        </is>
      </c>
      <c r="C582" s="10" t="n">
        <v>1</v>
      </c>
      <c r="D582" s="10" t="n">
        <v>2</v>
      </c>
      <c r="E582" s="10" t="n">
        <v>2</v>
      </c>
      <c r="F582" s="10" t="n">
        <v>450</v>
      </c>
      <c r="G582" s="10" t="n">
        <v>550</v>
      </c>
      <c r="H582" s="17" t="n">
        <v>450</v>
      </c>
      <c r="I582" s="17" t="n">
        <v>550</v>
      </c>
      <c r="J582" s="30" t="n">
        <v>19.1157</v>
      </c>
      <c r="K582" s="10" t="inlineStr">
        <is>
          <t>131</t>
        </is>
      </c>
      <c r="L582" s="30" t="n">
        <v>12.3152</v>
      </c>
      <c r="M582" s="10" t="inlineStr">
        <is>
          <t>131</t>
        </is>
      </c>
      <c r="N582" s="30" t="n">
        <v>21.118</v>
      </c>
      <c r="O582" s="30" t="n">
        <v>64.601</v>
      </c>
      <c r="P582" s="10" t="inlineStr">
        <is>
          <t>131</t>
        </is>
      </c>
      <c r="Q582" s="30" t="n">
        <v>3.5718</v>
      </c>
      <c r="R582" s="10">
        <f>MAX(MAX(1.4/'Parametros'!$B$3,0.25*SQRT('Parametros'!$B$2)/'Parametros'!$B$3)*H582*U582,(0.85*'Parametros'!$B$2/'Parametros'!$B$3)*(1-SQRT(1-2*(J582*1000000/('Parametros'!$B$5*H582*U582^2))/(0.85*'Parametros'!$B$2)))*H582*U582)</f>
        <v>734.025</v>
      </c>
      <c r="S582" s="31" t="n">
        <v>4</v>
      </c>
      <c r="T582" s="32" t="n">
        <v>1</v>
      </c>
      <c r="U582" s="10">
        <f>IF(T582=1,I582-('Parametros'!$B$7+'Parametros'!$B$9+'Parametros'!$B$12/2),I582-(ROUNDUP(S582/2,0)*('Parametros'!$B$7+'Parametros'!$B$9+'Parametros'!$B$12/2)+ROUNDDOWN(S582/2,0)*('Parametros'!$B$7+'Parametros'!$B$9+'Parametros'!$B$12/2+'Parametros'!$B$12+'Parametros'!$B$10))/S582)</f>
        <v>489.35</v>
      </c>
      <c r="V582" s="10">
        <f>S582*'Parametros'!$B$8</f>
        <v>796</v>
      </c>
      <c r="W582" s="10">
        <f>'Parametros'!$B$5*V582*'Parametros'!$B$3*(U582-(V582*'Parametros'!$B$3/(0.85*'Parametros'!$B$2*H582))/2)/1000000</f>
        <v>142.543330094118</v>
      </c>
      <c r="X582" s="10" t="str">
        <f>IF(W582&gt;=J582,"CUMPLE","NO CUMPLE")</f>
        <v>CUMPLE</v>
      </c>
      <c r="Y582" s="10">
        <f>MAX(MAX(1.4/'Parametros'!$B$3,0.25*SQRT('Parametros'!$B$2)/'Parametros'!$B$3)*H582*AB582,(0.85*'Parametros'!$B$2/'Parametros'!$B$3)*(1-SQRT(1-2*(L582*1000000/('Parametros'!$B$5*H582*AB582^2))/(0.85*'Parametros'!$B$2)))*H582*AB582)</f>
        <v>734.025</v>
      </c>
      <c r="Z582" s="31" t="n">
        <v>4</v>
      </c>
      <c r="AA582" s="32" t="n">
        <v>1</v>
      </c>
      <c r="AB582" s="10">
        <f>IF(AA582=1,I582-('Parametros'!$B$7+'Parametros'!$B$9+'Parametros'!$B$12/2),I582-(ROUNDUP(Z582/2,0)*('Parametros'!$B$7+'Parametros'!$B$9+'Parametros'!$B$12/2)+ROUNDDOWN(Z582/2,0)*('Parametros'!$B$7+'Parametros'!$B$9+'Parametros'!$B$12/2+'Parametros'!$B$12+'Parametros'!$B$10))/Z582)</f>
        <v>489.35</v>
      </c>
      <c r="AC582" s="10">
        <f>Z582*'Parametros'!$B$8</f>
        <v>796</v>
      </c>
      <c r="AD582" s="10">
        <f>'Parametros'!$B$5*AC582*'Parametros'!$B$3*(AB582-(AC582*'Parametros'!$B$3/(0.85*'Parametros'!$B$2*H582))/2)/1000000</f>
        <v>142.543330094118</v>
      </c>
      <c r="AE582" s="10" t="str">
        <f>IF(AD582&gt;=L582,"CUMPLE","NO CUMPLE")</f>
        <v>CUMPLE</v>
      </c>
      <c r="AF582" s="10">
        <f>V582*1.25*'Parametros'!$B$3*(U582-(V582*1.25*'Parametros'!$B$3/(0.85*'Parametros'!$B$2*H582))/2)/1000000</f>
        <v>196.346217941176</v>
      </c>
      <c r="AG582" s="10">
        <f>AC582*1.25*'Parametros'!$B$3*(AB582-(AC582*1.25*'Parametros'!$B$3/(0.85*'Parametros'!$B$2*H582))/2)/1000000</f>
        <v>196.346217941176</v>
      </c>
      <c r="AH582" s="10">
        <f>N582+(AF582+AG582)/D582</f>
        <v>217.464217941176</v>
      </c>
      <c r="AI582" s="10">
        <f>MAX(O582,AH582)</f>
        <v>217.464217941176</v>
      </c>
      <c r="AJ582" s="10">
        <f>0.17*SQRT('Parametros'!$B$2)*H582*MIN(U582,AB582)/1000</f>
        <v>198.088855822627</v>
      </c>
      <c r="AK582" s="10">
        <f>MAX(AI582/'Parametros'!$B$6-AJ582,0)</f>
        <v>91.8634347656083</v>
      </c>
      <c r="AL582" s="10">
        <f>0.66*SQRT('Parametros'!$B$2)*H582*MIN(U582,AB582)/1000</f>
        <v>769.050852017258</v>
      </c>
      <c r="AM582" s="10" t="str">
        <f>IF(AK582&lt;=AL582,"CUMPLE","NO CUMPLE")</f>
        <v>CUMPLE</v>
      </c>
      <c r="AN582" s="17" t="inlineStr">
        <is>
          <t>Nº3 cerrado</t>
        </is>
      </c>
      <c r="AO582" s="31" t="n">
        <v>2</v>
      </c>
      <c r="AP582" s="10">
        <f>ROUNDDOWN(MIN(IF(BC582+BD582=0,1000000000,AO582*BB582/(BC582+BD582)),MIN(U582,AB582)/4,8*'Parametros'!$B$12,24*BA582,300,IF(AV582=0,1000000000,2*((H582-2*('Parametros'!$B$7+'Parametros'!$B$9/2))+(I582-2*('Parametros'!$B$7+'Parametros'!$B$9/2)))/8))/10,0)*10</f>
        <v>120</v>
      </c>
      <c r="AQ582" s="10">
        <f>ROUNDDOWN(MIN(IF(BC582+BD582=0,1000000000,AO582*BB582/(BC582+BD582)),IF(AK582&gt;0.33*SQRT('Parametros'!$B$2)*H582*MIN(U582,AB582)/1000,MIN(U582,AB582)/4,MIN(U582,AB582)/2),600,IF(AV582=0,1000000000,2*((H582-2*('Parametros'!$B$7+'Parametros'!$B$9/2))+(I582-2*('Parametros'!$B$7+'Parametros'!$B$9/2)))/8))/10,0)*10</f>
        <v>240</v>
      </c>
      <c r="AR582" s="10">
        <f>'Parametros'!$B$6*(AJ582+MAX(BE582-BD582,0)*'Parametros'!$B$4*MIN(U582,AB582)/1000)</f>
        <v>330.97185436697</v>
      </c>
      <c r="AS582" s="10" t="str">
        <f>IF(AND(ISERROR(SEARCH("referencia",AN582)),AM582="CUMPLE",AR582&gt;=AI582),"CUMPLE","NO CUMPLE")</f>
        <v>CUMPLE</v>
      </c>
      <c r="AT582" s="10">
        <f>'Parametros'!$B$6*0.083*SQRT('Parametros'!$B$2)*(H582*I582)^2/(2*(H582+I582))/1000000</f>
        <v>10.0887830333379</v>
      </c>
      <c r="AU582" s="10" t="str">
        <f>IF(Q582&lt;=AT582,"DESPRECIABLE","DISEÑAR")</f>
        <v>DESPRECIABLE</v>
      </c>
      <c r="AV582" s="10">
        <f>IF(Q582&lt;=AT582,0,Q582*1000000/('Parametros'!$B$6*2*0.85*(H582-2*('Parametros'!$B$7+'Parametros'!$B$9/2))*(I582-2*('Parametros'!$B$7+'Parametros'!$B$9/2))*'Parametros'!$B$4))</f>
        <v>0</v>
      </c>
      <c r="AW582" s="10">
        <f>AV582*2*((H582-2*('Parametros'!$B$7+'Parametros'!$B$9/2))+(I582-2*('Parametros'!$B$7+'Parametros'!$B$9/2)))*'Parametros'!$B$4/'Parametros'!$B$3</f>
        <v>0</v>
      </c>
      <c r="AX582" s="31" t="n">
        <v>0</v>
      </c>
      <c r="AY582" s="10" t="str">
        <f>IF(AV582=0,"DESPRECIABLE",IF(AND(ISERROR(SEARCH("referencia",AN582)),BB582/AP582&gt;=AV582,BI582&gt;=AW582,BH582="CUMPLE"),"CUMPLE","NO CUMPLE"))</f>
        <v>DESPRECIABLE</v>
      </c>
      <c r="AZ582" s="10" t="str">
        <f>IF(AND(X582="CUMPLE",AE582="CUMPLE",AS582="CUMPLE",OR(AY582="CUMPLE",AY582="DESPRECIABLE"),BH582="CUMPLE",BJ582="CUMPLE"),"CUMPLE","NO CUMPLE")</f>
        <v>CUMPLE</v>
      </c>
      <c r="BA582" s="32" t="n">
        <v>9.5</v>
      </c>
      <c r="BB582" s="32" t="n">
        <v>71</v>
      </c>
      <c r="BC582" s="10">
        <f>MAX(IF(AK582=0,0,AK582*1000/('Parametros'!$B$4*MIN(U582,AB582))),MAX(0.062*SQRT('Parametros'!$B$2)*H582/'Parametros'!$B$4,0.35*H582/'Parametros'!$B$4))</f>
        <v>0.446965288091629</v>
      </c>
      <c r="BD582" s="10">
        <f>2*AV582</f>
        <v>0</v>
      </c>
      <c r="BE582" s="10">
        <f>AO582*BB582/AP582</f>
        <v>1.18333333333333</v>
      </c>
      <c r="BF582" s="10">
        <f>SQRT((AI582*1000/(H582*MIN(U582,AB582)))^2+(Q582*1000000*2*((H582-2*('Parametros'!$B$7+'Parametros'!$B$9/2))+(I582-2*('Parametros'!$B$7+'Parametros'!$B$9/2)))/(1.7*((H582-2*('Parametros'!$B$7+'Parametros'!$B$9/2))*(I582-2*('Parametros'!$B$7+'Parametros'!$B$9/2)))^2))^2)</f>
        <v>0.995830938054793</v>
      </c>
      <c r="BG582" s="10">
        <f>'Parametros'!$B$6*(AJ582*1000/(H582*MIN(U582,AB582))+0.66*SQRT('Parametros'!$B$2))</f>
        <v>3.29396038227542</v>
      </c>
      <c r="BH582" s="10" t="str">
        <f>IF(BF582&lt;=BG582,"CUMPLE","NO CUMPLE")</f>
        <v>CUMPLE</v>
      </c>
      <c r="BI582" s="10">
        <f>AX582*'Parametros'!$B$8</f>
        <v>0</v>
      </c>
      <c r="BJ582" s="10" t="str">
        <f>IF(BI582&gt;=AW582,"CUMPLE","NO CUMPLE")</f>
        <v>CUMPLE</v>
      </c>
    </row>
    <row r="583">
      <c r="A583" s="27" t="inlineStr">
        <is>
          <t>VRAUX</t>
        </is>
      </c>
      <c r="B583" s="27" t="inlineStr">
        <is>
          <t>132</t>
        </is>
      </c>
      <c r="C583" s="10" t="n">
        <v>1</v>
      </c>
      <c r="D583" s="10" t="n">
        <v>2</v>
      </c>
      <c r="E583" s="10" t="n">
        <v>2</v>
      </c>
      <c r="F583" s="10" t="n">
        <v>450</v>
      </c>
      <c r="G583" s="10" t="n">
        <v>550</v>
      </c>
      <c r="H583" s="17" t="n">
        <v>450</v>
      </c>
      <c r="I583" s="17" t="n">
        <v>550</v>
      </c>
      <c r="J583" s="30" t="n">
        <v>19.1182</v>
      </c>
      <c r="K583" s="10" t="inlineStr">
        <is>
          <t>132</t>
        </is>
      </c>
      <c r="L583" s="30" t="n">
        <v>12.3164</v>
      </c>
      <c r="M583" s="10" t="inlineStr">
        <is>
          <t>132</t>
        </is>
      </c>
      <c r="N583" s="30" t="n">
        <v>21.12</v>
      </c>
      <c r="O583" s="30" t="n">
        <v>64.60299999999999</v>
      </c>
      <c r="P583" s="10" t="inlineStr">
        <is>
          <t>132</t>
        </is>
      </c>
      <c r="Q583" s="30" t="n">
        <v>3.5675</v>
      </c>
      <c r="R583" s="10">
        <f>MAX(MAX(1.4/'Parametros'!$B$3,0.25*SQRT('Parametros'!$B$2)/'Parametros'!$B$3)*H583*U583,(0.85*'Parametros'!$B$2/'Parametros'!$B$3)*(1-SQRT(1-2*(J583*1000000/('Parametros'!$B$5*H583*U583^2))/(0.85*'Parametros'!$B$2)))*H583*U583)</f>
        <v>734.025</v>
      </c>
      <c r="S583" s="31" t="n">
        <v>4</v>
      </c>
      <c r="T583" s="32" t="n">
        <v>1</v>
      </c>
      <c r="U583" s="10">
        <f>IF(T583=1,I583-('Parametros'!$B$7+'Parametros'!$B$9+'Parametros'!$B$12/2),I583-(ROUNDUP(S583/2,0)*('Parametros'!$B$7+'Parametros'!$B$9+'Parametros'!$B$12/2)+ROUNDDOWN(S583/2,0)*('Parametros'!$B$7+'Parametros'!$B$9+'Parametros'!$B$12/2+'Parametros'!$B$12+'Parametros'!$B$10))/S583)</f>
        <v>489.35</v>
      </c>
      <c r="V583" s="10">
        <f>S583*'Parametros'!$B$8</f>
        <v>796</v>
      </c>
      <c r="W583" s="10">
        <f>'Parametros'!$B$5*V583*'Parametros'!$B$3*(U583-(V583*'Parametros'!$B$3/(0.85*'Parametros'!$B$2*H583))/2)/1000000</f>
        <v>142.543330094118</v>
      </c>
      <c r="X583" s="10" t="str">
        <f>IF(W583&gt;=J583,"CUMPLE","NO CUMPLE")</f>
        <v>CUMPLE</v>
      </c>
      <c r="Y583" s="10">
        <f>MAX(MAX(1.4/'Parametros'!$B$3,0.25*SQRT('Parametros'!$B$2)/'Parametros'!$B$3)*H583*AB583,(0.85*'Parametros'!$B$2/'Parametros'!$B$3)*(1-SQRT(1-2*(L583*1000000/('Parametros'!$B$5*H583*AB583^2))/(0.85*'Parametros'!$B$2)))*H583*AB583)</f>
        <v>734.025</v>
      </c>
      <c r="Z583" s="31" t="n">
        <v>4</v>
      </c>
      <c r="AA583" s="32" t="n">
        <v>1</v>
      </c>
      <c r="AB583" s="10">
        <f>IF(AA583=1,I583-('Parametros'!$B$7+'Parametros'!$B$9+'Parametros'!$B$12/2),I583-(ROUNDUP(Z583/2,0)*('Parametros'!$B$7+'Parametros'!$B$9+'Parametros'!$B$12/2)+ROUNDDOWN(Z583/2,0)*('Parametros'!$B$7+'Parametros'!$B$9+'Parametros'!$B$12/2+'Parametros'!$B$12+'Parametros'!$B$10))/Z583)</f>
        <v>489.35</v>
      </c>
      <c r="AC583" s="10">
        <f>Z583*'Parametros'!$B$8</f>
        <v>796</v>
      </c>
      <c r="AD583" s="10">
        <f>'Parametros'!$B$5*AC583*'Parametros'!$B$3*(AB583-(AC583*'Parametros'!$B$3/(0.85*'Parametros'!$B$2*H583))/2)/1000000</f>
        <v>142.543330094118</v>
      </c>
      <c r="AE583" s="10" t="str">
        <f>IF(AD583&gt;=L583,"CUMPLE","NO CUMPLE")</f>
        <v>CUMPLE</v>
      </c>
      <c r="AF583" s="10">
        <f>V583*1.25*'Parametros'!$B$3*(U583-(V583*1.25*'Parametros'!$B$3/(0.85*'Parametros'!$B$2*H583))/2)/1000000</f>
        <v>196.346217941176</v>
      </c>
      <c r="AG583" s="10">
        <f>AC583*1.25*'Parametros'!$B$3*(AB583-(AC583*1.25*'Parametros'!$B$3/(0.85*'Parametros'!$B$2*H583))/2)/1000000</f>
        <v>196.346217941176</v>
      </c>
      <c r="AH583" s="10">
        <f>N583+(AF583+AG583)/D583</f>
        <v>217.466217941176</v>
      </c>
      <c r="AI583" s="10">
        <f>MAX(O583,AH583)</f>
        <v>217.466217941176</v>
      </c>
      <c r="AJ583" s="10">
        <f>0.17*SQRT('Parametros'!$B$2)*H583*MIN(U583,AB583)/1000</f>
        <v>198.088855822627</v>
      </c>
      <c r="AK583" s="10">
        <f>MAX(AI583/'Parametros'!$B$6-AJ583,0)</f>
        <v>91.866101432275</v>
      </c>
      <c r="AL583" s="10">
        <f>0.66*SQRT('Parametros'!$B$2)*H583*MIN(U583,AB583)/1000</f>
        <v>769.050852017258</v>
      </c>
      <c r="AM583" s="10" t="str">
        <f>IF(AK583&lt;=AL583,"CUMPLE","NO CUMPLE")</f>
        <v>CUMPLE</v>
      </c>
      <c r="AN583" s="17" t="inlineStr">
        <is>
          <t>Nº3 cerrado</t>
        </is>
      </c>
      <c r="AO583" s="31" t="n">
        <v>2</v>
      </c>
      <c r="AP583" s="10">
        <f>ROUNDDOWN(MIN(IF(BC583+BD583=0,1000000000,AO583*BB583/(BC583+BD583)),MIN(U583,AB583)/4,8*'Parametros'!$B$12,24*BA583,300,IF(AV583=0,1000000000,2*((H583-2*('Parametros'!$B$7+'Parametros'!$B$9/2))+(I583-2*('Parametros'!$B$7+'Parametros'!$B$9/2)))/8))/10,0)*10</f>
        <v>120</v>
      </c>
      <c r="AQ583" s="10">
        <f>ROUNDDOWN(MIN(IF(BC583+BD583=0,1000000000,AO583*BB583/(BC583+BD583)),IF(AK583&gt;0.33*SQRT('Parametros'!$B$2)*H583*MIN(U583,AB583)/1000,MIN(U583,AB583)/4,MIN(U583,AB583)/2),600,IF(AV583=0,1000000000,2*((H583-2*('Parametros'!$B$7+'Parametros'!$B$9/2))+(I583-2*('Parametros'!$B$7+'Parametros'!$B$9/2)))/8))/10,0)*10</f>
        <v>240</v>
      </c>
      <c r="AR583" s="10">
        <f>'Parametros'!$B$6*(AJ583+MAX(BE583-BD583,0)*'Parametros'!$B$4*MIN(U583,AB583)/1000)</f>
        <v>330.97185436697</v>
      </c>
      <c r="AS583" s="10" t="str">
        <f>IF(AND(ISERROR(SEARCH("referencia",AN583)),AM583="CUMPLE",AR583&gt;=AI583),"CUMPLE","NO CUMPLE")</f>
        <v>CUMPLE</v>
      </c>
      <c r="AT583" s="10">
        <f>'Parametros'!$B$6*0.083*SQRT('Parametros'!$B$2)*(H583*I583)^2/(2*(H583+I583))/1000000</f>
        <v>10.0887830333379</v>
      </c>
      <c r="AU583" s="10" t="str">
        <f>IF(Q583&lt;=AT583,"DESPRECIABLE","DISEÑAR")</f>
        <v>DESPRECIABLE</v>
      </c>
      <c r="AV583" s="10">
        <f>IF(Q583&lt;=AT583,0,Q583*1000000/('Parametros'!$B$6*2*0.85*(H583-2*('Parametros'!$B$7+'Parametros'!$B$9/2))*(I583-2*('Parametros'!$B$7+'Parametros'!$B$9/2))*'Parametros'!$B$4))</f>
        <v>0</v>
      </c>
      <c r="AW583" s="10">
        <f>AV583*2*((H583-2*('Parametros'!$B$7+'Parametros'!$B$9/2))+(I583-2*('Parametros'!$B$7+'Parametros'!$B$9/2)))*'Parametros'!$B$4/'Parametros'!$B$3</f>
        <v>0</v>
      </c>
      <c r="AX583" s="31" t="n">
        <v>0</v>
      </c>
      <c r="AY583" s="10" t="str">
        <f>IF(AV583=0,"DESPRECIABLE",IF(AND(ISERROR(SEARCH("referencia",AN583)),BB583/AP583&gt;=AV583,BI583&gt;=AW583,BH583="CUMPLE"),"CUMPLE","NO CUMPLE"))</f>
        <v>DESPRECIABLE</v>
      </c>
      <c r="AZ583" s="10" t="str">
        <f>IF(AND(X583="CUMPLE",AE583="CUMPLE",AS583="CUMPLE",OR(AY583="CUMPLE",AY583="DESPRECIABLE"),BH583="CUMPLE",BJ583="CUMPLE"),"CUMPLE","NO CUMPLE")</f>
        <v>CUMPLE</v>
      </c>
      <c r="BA583" s="32" t="n">
        <v>9.5</v>
      </c>
      <c r="BB583" s="32" t="n">
        <v>71</v>
      </c>
      <c r="BC583" s="10">
        <f>MAX(IF(AK583=0,0,AK583*1000/('Parametros'!$B$4*MIN(U583,AB583))),MAX(0.062*SQRT('Parametros'!$B$2)*H583/'Parametros'!$B$4,0.35*H583/'Parametros'!$B$4))</f>
        <v>0.446978262867044</v>
      </c>
      <c r="BD583" s="10">
        <f>2*AV583</f>
        <v>0</v>
      </c>
      <c r="BE583" s="10">
        <f>AO583*BB583/AP583</f>
        <v>1.18333333333333</v>
      </c>
      <c r="BF583" s="10">
        <f>SQRT((AI583*1000/(H583*MIN(U583,AB583)))^2+(Q583*1000000*2*((H583-2*('Parametros'!$B$7+'Parametros'!$B$9/2))+(I583-2*('Parametros'!$B$7+'Parametros'!$B$9/2)))/(1.7*((H583-2*('Parametros'!$B$7+'Parametros'!$B$9/2))*(I583-2*('Parametros'!$B$7+'Parametros'!$B$9/2)))^2))^2)</f>
        <v>0.995820082803078</v>
      </c>
      <c r="BG583" s="10">
        <f>'Parametros'!$B$6*(AJ583*1000/(H583*MIN(U583,AB583))+0.66*SQRT('Parametros'!$B$2))</f>
        <v>3.29396038227542</v>
      </c>
      <c r="BH583" s="10" t="str">
        <f>IF(BF583&lt;=BG583,"CUMPLE","NO CUMPLE")</f>
        <v>CUMPLE</v>
      </c>
      <c r="BI583" s="10">
        <f>AX583*'Parametros'!$B$8</f>
        <v>0</v>
      </c>
      <c r="BJ583" s="10" t="str">
        <f>IF(BI583&gt;=AW583,"CUMPLE","NO CUMPLE")</f>
        <v>CUMPLE</v>
      </c>
    </row>
    <row r="584">
      <c r="A584" s="27" t="inlineStr">
        <is>
          <t>VRAUX</t>
        </is>
      </c>
      <c r="B584" s="27" t="inlineStr">
        <is>
          <t>133</t>
        </is>
      </c>
      <c r="C584" s="10" t="n">
        <v>1</v>
      </c>
      <c r="D584" s="10" t="n">
        <v>1.9</v>
      </c>
      <c r="E584" s="10" t="n">
        <v>1.9</v>
      </c>
      <c r="F584" s="10" t="n">
        <v>450</v>
      </c>
      <c r="G584" s="10" t="n">
        <v>550</v>
      </c>
      <c r="H584" s="17" t="n">
        <v>450</v>
      </c>
      <c r="I584" s="17" t="n">
        <v>550</v>
      </c>
      <c r="J584" s="30" t="n">
        <v>26.1652</v>
      </c>
      <c r="K584" s="10" t="inlineStr">
        <is>
          <t>133</t>
        </is>
      </c>
      <c r="L584" s="30" t="n">
        <v>12.4929</v>
      </c>
      <c r="M584" s="10" t="inlineStr">
        <is>
          <t>133</t>
        </is>
      </c>
      <c r="N584" s="30" t="n">
        <v>23.896</v>
      </c>
      <c r="O584" s="30" t="n">
        <v>65.624</v>
      </c>
      <c r="P584" s="10" t="inlineStr">
        <is>
          <t>133</t>
        </is>
      </c>
      <c r="Q584" s="30" t="n">
        <v>13.5874</v>
      </c>
      <c r="R584" s="10">
        <f>MAX(MAX(1.4/'Parametros'!$B$3,0.25*SQRT('Parametros'!$B$2)/'Parametros'!$B$3)*H584*U584,(0.85*'Parametros'!$B$2/'Parametros'!$B$3)*(1-SQRT(1-2*(J584*1000000/('Parametros'!$B$5*H584*U584^2))/(0.85*'Parametros'!$B$2)))*H584*U584)</f>
        <v>734.025</v>
      </c>
      <c r="S584" s="31" t="n">
        <v>4</v>
      </c>
      <c r="T584" s="32" t="n">
        <v>1</v>
      </c>
      <c r="U584" s="10">
        <f>IF(T584=1,I584-('Parametros'!$B$7+'Parametros'!$B$9+'Parametros'!$B$12/2),I584-(ROUNDUP(S584/2,0)*('Parametros'!$B$7+'Parametros'!$B$9+'Parametros'!$B$12/2)+ROUNDDOWN(S584/2,0)*('Parametros'!$B$7+'Parametros'!$B$9+'Parametros'!$B$12/2+'Parametros'!$B$12+'Parametros'!$B$10))/S584)</f>
        <v>489.35</v>
      </c>
      <c r="V584" s="10">
        <f>S584*'Parametros'!$B$8</f>
        <v>796</v>
      </c>
      <c r="W584" s="10">
        <f>'Parametros'!$B$5*V584*'Parametros'!$B$3*(U584-(V584*'Parametros'!$B$3/(0.85*'Parametros'!$B$2*H584))/2)/1000000</f>
        <v>142.543330094118</v>
      </c>
      <c r="X584" s="10" t="str">
        <f>IF(W584&gt;=J584,"CUMPLE","NO CUMPLE")</f>
        <v>CUMPLE</v>
      </c>
      <c r="Y584" s="10">
        <f>MAX(MAX(1.4/'Parametros'!$B$3,0.25*SQRT('Parametros'!$B$2)/'Parametros'!$B$3)*H584*AB584,(0.85*'Parametros'!$B$2/'Parametros'!$B$3)*(1-SQRT(1-2*(L584*1000000/('Parametros'!$B$5*H584*AB584^2))/(0.85*'Parametros'!$B$2)))*H584*AB584)</f>
        <v>734.025</v>
      </c>
      <c r="Z584" s="31" t="n">
        <v>4</v>
      </c>
      <c r="AA584" s="32" t="n">
        <v>1</v>
      </c>
      <c r="AB584" s="10">
        <f>IF(AA584=1,I584-('Parametros'!$B$7+'Parametros'!$B$9+'Parametros'!$B$12/2),I584-(ROUNDUP(Z584/2,0)*('Parametros'!$B$7+'Parametros'!$B$9+'Parametros'!$B$12/2)+ROUNDDOWN(Z584/2,0)*('Parametros'!$B$7+'Parametros'!$B$9+'Parametros'!$B$12/2+'Parametros'!$B$12+'Parametros'!$B$10))/Z584)</f>
        <v>489.35</v>
      </c>
      <c r="AC584" s="10">
        <f>Z584*'Parametros'!$B$8</f>
        <v>796</v>
      </c>
      <c r="AD584" s="10">
        <f>'Parametros'!$B$5*AC584*'Parametros'!$B$3*(AB584-(AC584*'Parametros'!$B$3/(0.85*'Parametros'!$B$2*H584))/2)/1000000</f>
        <v>142.543330094118</v>
      </c>
      <c r="AE584" s="10" t="str">
        <f>IF(AD584&gt;=L584,"CUMPLE","NO CUMPLE")</f>
        <v>CUMPLE</v>
      </c>
      <c r="AF584" s="10">
        <f>V584*1.25*'Parametros'!$B$3*(U584-(V584*1.25*'Parametros'!$B$3/(0.85*'Parametros'!$B$2*H584))/2)/1000000</f>
        <v>196.346217941176</v>
      </c>
      <c r="AG584" s="10">
        <f>AC584*1.25*'Parametros'!$B$3*(AB584-(AC584*1.25*'Parametros'!$B$3/(0.85*'Parametros'!$B$2*H584))/2)/1000000</f>
        <v>196.346217941176</v>
      </c>
      <c r="AH584" s="10">
        <f>N584+(AF584+AG584)/D584</f>
        <v>230.576229411765</v>
      </c>
      <c r="AI584" s="10">
        <f>MAX(O584,AH584)</f>
        <v>230.576229411765</v>
      </c>
      <c r="AJ584" s="10">
        <f>0.17*SQRT('Parametros'!$B$2)*H584*MIN(U584,AB584)/1000</f>
        <v>198.088855822627</v>
      </c>
      <c r="AK584" s="10">
        <f>MAX(AI584/'Parametros'!$B$6-AJ584,0)</f>
        <v>109.346116726393</v>
      </c>
      <c r="AL584" s="10">
        <f>0.66*SQRT('Parametros'!$B$2)*H584*MIN(U584,AB584)/1000</f>
        <v>769.050852017258</v>
      </c>
      <c r="AM584" s="10" t="str">
        <f>IF(AK584&lt;=AL584,"CUMPLE","NO CUMPLE")</f>
        <v>CUMPLE</v>
      </c>
      <c r="AN584" s="17" t="inlineStr">
        <is>
          <t>Nº3 cerrado</t>
        </is>
      </c>
      <c r="AO584" s="31" t="n">
        <v>2</v>
      </c>
      <c r="AP584" s="10">
        <f>ROUNDDOWN(MIN(IF(BC584+BD584=0,1000000000,AO584*BB584/(BC584+BD584)),MIN(U584,AB584)/4,8*'Parametros'!$B$12,24*BA584,300,IF(AV584=0,1000000000,2*((H584-2*('Parametros'!$B$7+'Parametros'!$B$9/2))+(I584-2*('Parametros'!$B$7+'Parametros'!$B$9/2)))/8))/10,0)*10</f>
        <v>120</v>
      </c>
      <c r="AQ584" s="10">
        <f>ROUNDDOWN(MIN(IF(BC584+BD584=0,1000000000,AO584*BB584/(BC584+BD584)),IF(AK584&gt;0.33*SQRT('Parametros'!$B$2)*H584*MIN(U584,AB584)/1000,MIN(U584,AB584)/4,MIN(U584,AB584)/2),600,IF(AV584=0,1000000000,2*((H584-2*('Parametros'!$B$7+'Parametros'!$B$9/2))+(I584-2*('Parametros'!$B$7+'Parametros'!$B$9/2)))/8))/10,0)*10</f>
        <v>160</v>
      </c>
      <c r="AR584" s="10">
        <f>'Parametros'!$B$6*(AJ584+MAX(BE584-BD584,0)*'Parametros'!$B$4*MIN(U584,AB584)/1000)</f>
        <v>283.097513224306</v>
      </c>
      <c r="AS584" s="10" t="str">
        <f>IF(AND(ISERROR(SEARCH("referencia",AN584)),AM584="CUMPLE",AR584&gt;=AI584),"CUMPLE","NO CUMPLE")</f>
        <v>CUMPLE</v>
      </c>
      <c r="AT584" s="10">
        <f>'Parametros'!$B$6*0.083*SQRT('Parametros'!$B$2)*(H584*I584)^2/(2*(H584+I584))/1000000</f>
        <v>10.0887830333379</v>
      </c>
      <c r="AU584" s="10" t="str">
        <f>IF(Q584&lt;=AT584,"DESPRECIABLE","DISEÑAR")</f>
        <v>DISEÑAR</v>
      </c>
      <c r="AV584" s="10">
        <f>IF(Q584&lt;=AT584,0,Q584*1000000/('Parametros'!$B$6*2*0.85*(H584-2*('Parametros'!$B$7+'Parametros'!$B$9/2))*(I584-2*('Parametros'!$B$7+'Parametros'!$B$9/2))*'Parametros'!$B$4))</f>
        <v>0.155289706113762</v>
      </c>
      <c r="AW584" s="10">
        <f>AV584*2*((H584-2*('Parametros'!$B$7+'Parametros'!$B$9/2))+(I584-2*('Parametros'!$B$7+'Parametros'!$B$9/2)))*'Parametros'!$B$4/'Parametros'!$B$3</f>
        <v>252.997989200541</v>
      </c>
      <c r="AX584" s="31" t="n">
        <v>8</v>
      </c>
      <c r="AY584" s="10" t="str">
        <f>IF(AV584=0,"DESPRECIABLE",IF(AND(ISERROR(SEARCH("referencia",AN584)),BB584/AP584&gt;=AV584,BI584&gt;=AW584,BH584="CUMPLE"),"CUMPLE","NO CUMPLE"))</f>
        <v>CUMPLE</v>
      </c>
      <c r="AZ584" s="10" t="str">
        <f>IF(AND(X584="CUMPLE",AE584="CUMPLE",AS584="CUMPLE",OR(AY584="CUMPLE",AY584="DESPRECIABLE"),BH584="CUMPLE",BJ584="CUMPLE"),"CUMPLE","NO CUMPLE")</f>
        <v>CUMPLE</v>
      </c>
      <c r="BA584" s="32" t="n">
        <v>9.5</v>
      </c>
      <c r="BB584" s="32" t="n">
        <v>71</v>
      </c>
      <c r="BC584" s="10">
        <f>MAX(IF(AK584=0,0,AK584*1000/('Parametros'!$B$4*MIN(U584,AB584))),MAX(0.062*SQRT('Parametros'!$B$2)*H584/'Parametros'!$B$4,0.35*H584/'Parametros'!$B$4))</f>
        <v>0.532027990124863</v>
      </c>
      <c r="BD584" s="10">
        <f>2*AV584</f>
        <v>0.310579412227524</v>
      </c>
      <c r="BE584" s="10">
        <f>AO584*BB584/AP584</f>
        <v>1.18333333333333</v>
      </c>
      <c r="BF584" s="10">
        <f>SQRT((AI584*1000/(H584*MIN(U584,AB584)))^2+(Q584*1000000*2*((H584-2*('Parametros'!$B$7+'Parametros'!$B$9/2))+(I584-2*('Parametros'!$B$7+'Parametros'!$B$9/2)))/(1.7*((H584-2*('Parametros'!$B$7+'Parametros'!$B$9/2))*(I584-2*('Parametros'!$B$7+'Parametros'!$B$9/2)))^2))^2)</f>
        <v>1.15511267111859</v>
      </c>
      <c r="BG584" s="10">
        <f>'Parametros'!$B$6*(AJ584*1000/(H584*MIN(U584,AB584))+0.66*SQRT('Parametros'!$B$2))</f>
        <v>3.29396038227542</v>
      </c>
      <c r="BH584" s="10" t="str">
        <f>IF(BF584&lt;=BG584,"CUMPLE","NO CUMPLE")</f>
        <v>CUMPLE</v>
      </c>
      <c r="BI584" s="10">
        <f>AX584*'Parametros'!$B$8</f>
        <v>1592</v>
      </c>
      <c r="BJ584" s="10" t="str">
        <f>IF(BI584&gt;=AW584,"CUMPLE","NO CUMPLE")</f>
        <v>CUMPLE</v>
      </c>
    </row>
    <row r="585">
      <c r="A585" s="27" t="inlineStr">
        <is>
          <t>VRAUX</t>
        </is>
      </c>
      <c r="B585" s="27" t="inlineStr">
        <is>
          <t>134</t>
        </is>
      </c>
      <c r="C585" s="10" t="n">
        <v>1</v>
      </c>
      <c r="D585" s="10" t="n">
        <v>1.9</v>
      </c>
      <c r="E585" s="10" t="n">
        <v>1.9</v>
      </c>
      <c r="F585" s="10" t="n">
        <v>450</v>
      </c>
      <c r="G585" s="10" t="n">
        <v>550</v>
      </c>
      <c r="H585" s="17" t="n">
        <v>450</v>
      </c>
      <c r="I585" s="17" t="n">
        <v>550</v>
      </c>
      <c r="J585" s="30" t="n">
        <v>26.0932</v>
      </c>
      <c r="K585" s="10" t="inlineStr">
        <is>
          <t>134</t>
        </is>
      </c>
      <c r="L585" s="30" t="n">
        <v>12.4927</v>
      </c>
      <c r="M585" s="10" t="inlineStr">
        <is>
          <t>134</t>
        </is>
      </c>
      <c r="N585" s="30" t="n">
        <v>23.867</v>
      </c>
      <c r="O585" s="30" t="n">
        <v>65.593</v>
      </c>
      <c r="P585" s="10" t="inlineStr">
        <is>
          <t>134</t>
        </is>
      </c>
      <c r="Q585" s="30" t="n">
        <v>13.5756</v>
      </c>
      <c r="R585" s="10">
        <f>MAX(MAX(1.4/'Parametros'!$B$3,0.25*SQRT('Parametros'!$B$2)/'Parametros'!$B$3)*H585*U585,(0.85*'Parametros'!$B$2/'Parametros'!$B$3)*(1-SQRT(1-2*(J585*1000000/('Parametros'!$B$5*H585*U585^2))/(0.85*'Parametros'!$B$2)))*H585*U585)</f>
        <v>734.025</v>
      </c>
      <c r="S585" s="31" t="n">
        <v>4</v>
      </c>
      <c r="T585" s="32" t="n">
        <v>1</v>
      </c>
      <c r="U585" s="10">
        <f>IF(T585=1,I585-('Parametros'!$B$7+'Parametros'!$B$9+'Parametros'!$B$12/2),I585-(ROUNDUP(S585/2,0)*('Parametros'!$B$7+'Parametros'!$B$9+'Parametros'!$B$12/2)+ROUNDDOWN(S585/2,0)*('Parametros'!$B$7+'Parametros'!$B$9+'Parametros'!$B$12/2+'Parametros'!$B$12+'Parametros'!$B$10))/S585)</f>
        <v>489.35</v>
      </c>
      <c r="V585" s="10">
        <f>S585*'Parametros'!$B$8</f>
        <v>796</v>
      </c>
      <c r="W585" s="10">
        <f>'Parametros'!$B$5*V585*'Parametros'!$B$3*(U585-(V585*'Parametros'!$B$3/(0.85*'Parametros'!$B$2*H585))/2)/1000000</f>
        <v>142.543330094118</v>
      </c>
      <c r="X585" s="10" t="str">
        <f>IF(W585&gt;=J585,"CUMPLE","NO CUMPLE")</f>
        <v>CUMPLE</v>
      </c>
      <c r="Y585" s="10">
        <f>MAX(MAX(1.4/'Parametros'!$B$3,0.25*SQRT('Parametros'!$B$2)/'Parametros'!$B$3)*H585*AB585,(0.85*'Parametros'!$B$2/'Parametros'!$B$3)*(1-SQRT(1-2*(L585*1000000/('Parametros'!$B$5*H585*AB585^2))/(0.85*'Parametros'!$B$2)))*H585*AB585)</f>
        <v>734.025</v>
      </c>
      <c r="Z585" s="31" t="n">
        <v>4</v>
      </c>
      <c r="AA585" s="32" t="n">
        <v>1</v>
      </c>
      <c r="AB585" s="10">
        <f>IF(AA585=1,I585-('Parametros'!$B$7+'Parametros'!$B$9+'Parametros'!$B$12/2),I585-(ROUNDUP(Z585/2,0)*('Parametros'!$B$7+'Parametros'!$B$9+'Parametros'!$B$12/2)+ROUNDDOWN(Z585/2,0)*('Parametros'!$B$7+'Parametros'!$B$9+'Parametros'!$B$12/2+'Parametros'!$B$12+'Parametros'!$B$10))/Z585)</f>
        <v>489.35</v>
      </c>
      <c r="AC585" s="10">
        <f>Z585*'Parametros'!$B$8</f>
        <v>796</v>
      </c>
      <c r="AD585" s="10">
        <f>'Parametros'!$B$5*AC585*'Parametros'!$B$3*(AB585-(AC585*'Parametros'!$B$3/(0.85*'Parametros'!$B$2*H585))/2)/1000000</f>
        <v>142.543330094118</v>
      </c>
      <c r="AE585" s="10" t="str">
        <f>IF(AD585&gt;=L585,"CUMPLE","NO CUMPLE")</f>
        <v>CUMPLE</v>
      </c>
      <c r="AF585" s="10">
        <f>V585*1.25*'Parametros'!$B$3*(U585-(V585*1.25*'Parametros'!$B$3/(0.85*'Parametros'!$B$2*H585))/2)/1000000</f>
        <v>196.346217941176</v>
      </c>
      <c r="AG585" s="10">
        <f>AC585*1.25*'Parametros'!$B$3*(AB585-(AC585*1.25*'Parametros'!$B$3/(0.85*'Parametros'!$B$2*H585))/2)/1000000</f>
        <v>196.346217941176</v>
      </c>
      <c r="AH585" s="10">
        <f>N585+(AF585+AG585)/D585</f>
        <v>230.547229411765</v>
      </c>
      <c r="AI585" s="10">
        <f>MAX(O585,AH585)</f>
        <v>230.547229411765</v>
      </c>
      <c r="AJ585" s="10">
        <f>0.17*SQRT('Parametros'!$B$2)*H585*MIN(U585,AB585)/1000</f>
        <v>198.088855822627</v>
      </c>
      <c r="AK585" s="10">
        <f>MAX(AI585/'Parametros'!$B$6-AJ585,0)</f>
        <v>109.307450059726</v>
      </c>
      <c r="AL585" s="10">
        <f>0.66*SQRT('Parametros'!$B$2)*H585*MIN(U585,AB585)/1000</f>
        <v>769.050852017258</v>
      </c>
      <c r="AM585" s="10" t="str">
        <f>IF(AK585&lt;=AL585,"CUMPLE","NO CUMPLE")</f>
        <v>CUMPLE</v>
      </c>
      <c r="AN585" s="17" t="inlineStr">
        <is>
          <t>Nº3 cerrado</t>
        </is>
      </c>
      <c r="AO585" s="31" t="n">
        <v>2</v>
      </c>
      <c r="AP585" s="10">
        <f>ROUNDDOWN(MIN(IF(BC585+BD585=0,1000000000,AO585*BB585/(BC585+BD585)),MIN(U585,AB585)/4,8*'Parametros'!$B$12,24*BA585,300,IF(AV585=0,1000000000,2*((H585-2*('Parametros'!$B$7+'Parametros'!$B$9/2))+(I585-2*('Parametros'!$B$7+'Parametros'!$B$9/2)))/8))/10,0)*10</f>
        <v>120</v>
      </c>
      <c r="AQ585" s="10">
        <f>ROUNDDOWN(MIN(IF(BC585+BD585=0,1000000000,AO585*BB585/(BC585+BD585)),IF(AK585&gt;0.33*SQRT('Parametros'!$B$2)*H585*MIN(U585,AB585)/1000,MIN(U585,AB585)/4,MIN(U585,AB585)/2),600,IF(AV585=0,1000000000,2*((H585-2*('Parametros'!$B$7+'Parametros'!$B$9/2))+(I585-2*('Parametros'!$B$7+'Parametros'!$B$9/2)))/8))/10,0)*10</f>
        <v>160</v>
      </c>
      <c r="AR585" s="10">
        <f>'Parametros'!$B$6*(AJ585+MAX(BE585-BD585,0)*'Parametros'!$B$4*MIN(U585,AB585)/1000)</f>
        <v>283.139089775042</v>
      </c>
      <c r="AS585" s="10" t="str">
        <f>IF(AND(ISERROR(SEARCH("referencia",AN585)),AM585="CUMPLE",AR585&gt;=AI585),"CUMPLE","NO CUMPLE")</f>
        <v>CUMPLE</v>
      </c>
      <c r="AT585" s="10">
        <f>'Parametros'!$B$6*0.083*SQRT('Parametros'!$B$2)*(H585*I585)^2/(2*(H585+I585))/1000000</f>
        <v>10.0887830333379</v>
      </c>
      <c r="AU585" s="10" t="str">
        <f>IF(Q585&lt;=AT585,"DESPRECIABLE","DISEÑAR")</f>
        <v>DISEÑAR</v>
      </c>
      <c r="AV585" s="10">
        <f>IF(Q585&lt;=AT585,0,Q585*1000000/('Parametros'!$B$6*2*0.85*(H585-2*('Parametros'!$B$7+'Parametros'!$B$9/2))*(I585-2*('Parametros'!$B$7+'Parametros'!$B$9/2))*'Parametros'!$B$4))</f>
        <v>0.155154844511679</v>
      </c>
      <c r="AW585" s="10">
        <f>AV585*2*((H585-2*('Parametros'!$B$7+'Parametros'!$B$9/2))+(I585-2*('Parametros'!$B$7+'Parametros'!$B$9/2)))*'Parametros'!$B$4/'Parametros'!$B$3</f>
        <v>252.778272678427</v>
      </c>
      <c r="AX585" s="31" t="n">
        <v>8</v>
      </c>
      <c r="AY585" s="10" t="str">
        <f>IF(AV585=0,"DESPRECIABLE",IF(AND(ISERROR(SEARCH("referencia",AN585)),BB585/AP585&gt;=AV585,BI585&gt;=AW585,BH585="CUMPLE"),"CUMPLE","NO CUMPLE"))</f>
        <v>CUMPLE</v>
      </c>
      <c r="AZ585" s="10" t="str">
        <f>IF(AND(X585="CUMPLE",AE585="CUMPLE",AS585="CUMPLE",OR(AY585="CUMPLE",AY585="DESPRECIABLE"),BH585="CUMPLE",BJ585="CUMPLE"),"CUMPLE","NO CUMPLE")</f>
        <v>CUMPLE</v>
      </c>
      <c r="BA585" s="32" t="n">
        <v>9.5</v>
      </c>
      <c r="BB585" s="32" t="n">
        <v>71</v>
      </c>
      <c r="BC585" s="10">
        <f>MAX(IF(AK585=0,0,AK585*1000/('Parametros'!$B$4*MIN(U585,AB585))),MAX(0.062*SQRT('Parametros'!$B$2)*H585/'Parametros'!$B$4,0.35*H585/'Parametros'!$B$4))</f>
        <v>0.531839855881349</v>
      </c>
      <c r="BD585" s="10">
        <f>2*AV585</f>
        <v>0.310309689023358</v>
      </c>
      <c r="BE585" s="10">
        <f>AO585*BB585/AP585</f>
        <v>1.18333333333333</v>
      </c>
      <c r="BF585" s="10">
        <f>SQRT((AI585*1000/(H585*MIN(U585,AB585)))^2+(Q585*1000000*2*((H585-2*('Parametros'!$B$7+'Parametros'!$B$9/2))+(I585-2*('Parametros'!$B$7+'Parametros'!$B$9/2)))/(1.7*((H585-2*('Parametros'!$B$7+'Parametros'!$B$9/2))*(I585-2*('Parametros'!$B$7+'Parametros'!$B$9/2)))^2))^2)</f>
        <v>1.15481448199964</v>
      </c>
      <c r="BG585" s="10">
        <f>'Parametros'!$B$6*(AJ585*1000/(H585*MIN(U585,AB585))+0.66*SQRT('Parametros'!$B$2))</f>
        <v>3.29396038227542</v>
      </c>
      <c r="BH585" s="10" t="str">
        <f>IF(BF585&lt;=BG585,"CUMPLE","NO CUMPLE")</f>
        <v>CUMPLE</v>
      </c>
      <c r="BI585" s="10">
        <f>AX585*'Parametros'!$B$8</f>
        <v>1592</v>
      </c>
      <c r="BJ585" s="10" t="str">
        <f>IF(BI585&gt;=AW585,"CUMPLE","NO CUMPLE")</f>
        <v>CUMPLE</v>
      </c>
    </row>
    <row r="586">
      <c r="A586" s="27" t="inlineStr">
        <is>
          <t>VRAUX</t>
        </is>
      </c>
      <c r="B586" s="27" t="inlineStr">
        <is>
          <t>135</t>
        </is>
      </c>
      <c r="C586" s="10" t="n">
        <v>1</v>
      </c>
      <c r="D586" s="10" t="n">
        <v>1.9</v>
      </c>
      <c r="E586" s="10" t="n">
        <v>1.9</v>
      </c>
      <c r="F586" s="10" t="n">
        <v>450</v>
      </c>
      <c r="G586" s="10" t="n">
        <v>550</v>
      </c>
      <c r="H586" s="17" t="n">
        <v>450</v>
      </c>
      <c r="I586" s="17" t="n">
        <v>550</v>
      </c>
      <c r="J586" s="30" t="n">
        <v>26.0605</v>
      </c>
      <c r="K586" s="10" t="inlineStr">
        <is>
          <t>135</t>
        </is>
      </c>
      <c r="L586" s="30" t="n">
        <v>12.4617</v>
      </c>
      <c r="M586" s="10" t="inlineStr">
        <is>
          <t>135</t>
        </is>
      </c>
      <c r="N586" s="30" t="n">
        <v>23.831</v>
      </c>
      <c r="O586" s="30" t="n">
        <v>65.533</v>
      </c>
      <c r="P586" s="10" t="inlineStr">
        <is>
          <t>135</t>
        </is>
      </c>
      <c r="Q586" s="30" t="n">
        <v>13.544</v>
      </c>
      <c r="R586" s="10">
        <f>MAX(MAX(1.4/'Parametros'!$B$3,0.25*SQRT('Parametros'!$B$2)/'Parametros'!$B$3)*H586*U586,(0.85*'Parametros'!$B$2/'Parametros'!$B$3)*(1-SQRT(1-2*(J586*1000000/('Parametros'!$B$5*H586*U586^2))/(0.85*'Parametros'!$B$2)))*H586*U586)</f>
        <v>734.025</v>
      </c>
      <c r="S586" s="31" t="n">
        <v>4</v>
      </c>
      <c r="T586" s="32" t="n">
        <v>1</v>
      </c>
      <c r="U586" s="10">
        <f>IF(T586=1,I586-('Parametros'!$B$7+'Parametros'!$B$9+'Parametros'!$B$12/2),I586-(ROUNDUP(S586/2,0)*('Parametros'!$B$7+'Parametros'!$B$9+'Parametros'!$B$12/2)+ROUNDDOWN(S586/2,0)*('Parametros'!$B$7+'Parametros'!$B$9+'Parametros'!$B$12/2+'Parametros'!$B$12+'Parametros'!$B$10))/S586)</f>
        <v>489.35</v>
      </c>
      <c r="V586" s="10">
        <f>S586*'Parametros'!$B$8</f>
        <v>796</v>
      </c>
      <c r="W586" s="10">
        <f>'Parametros'!$B$5*V586*'Parametros'!$B$3*(U586-(V586*'Parametros'!$B$3/(0.85*'Parametros'!$B$2*H586))/2)/1000000</f>
        <v>142.543330094118</v>
      </c>
      <c r="X586" s="10" t="str">
        <f>IF(W586&gt;=J586,"CUMPLE","NO CUMPLE")</f>
        <v>CUMPLE</v>
      </c>
      <c r="Y586" s="10">
        <f>MAX(MAX(1.4/'Parametros'!$B$3,0.25*SQRT('Parametros'!$B$2)/'Parametros'!$B$3)*H586*AB586,(0.85*'Parametros'!$B$2/'Parametros'!$B$3)*(1-SQRT(1-2*(L586*1000000/('Parametros'!$B$5*H586*AB586^2))/(0.85*'Parametros'!$B$2)))*H586*AB586)</f>
        <v>734.025</v>
      </c>
      <c r="Z586" s="31" t="n">
        <v>4</v>
      </c>
      <c r="AA586" s="32" t="n">
        <v>1</v>
      </c>
      <c r="AB586" s="10">
        <f>IF(AA586=1,I586-('Parametros'!$B$7+'Parametros'!$B$9+'Parametros'!$B$12/2),I586-(ROUNDUP(Z586/2,0)*('Parametros'!$B$7+'Parametros'!$B$9+'Parametros'!$B$12/2)+ROUNDDOWN(Z586/2,0)*('Parametros'!$B$7+'Parametros'!$B$9+'Parametros'!$B$12/2+'Parametros'!$B$12+'Parametros'!$B$10))/Z586)</f>
        <v>489.35</v>
      </c>
      <c r="AC586" s="10">
        <f>Z586*'Parametros'!$B$8</f>
        <v>796</v>
      </c>
      <c r="AD586" s="10">
        <f>'Parametros'!$B$5*AC586*'Parametros'!$B$3*(AB586-(AC586*'Parametros'!$B$3/(0.85*'Parametros'!$B$2*H586))/2)/1000000</f>
        <v>142.543330094118</v>
      </c>
      <c r="AE586" s="10" t="str">
        <f>IF(AD586&gt;=L586,"CUMPLE","NO CUMPLE")</f>
        <v>CUMPLE</v>
      </c>
      <c r="AF586" s="10">
        <f>V586*1.25*'Parametros'!$B$3*(U586-(V586*1.25*'Parametros'!$B$3/(0.85*'Parametros'!$B$2*H586))/2)/1000000</f>
        <v>196.346217941176</v>
      </c>
      <c r="AG586" s="10">
        <f>AC586*1.25*'Parametros'!$B$3*(AB586-(AC586*1.25*'Parametros'!$B$3/(0.85*'Parametros'!$B$2*H586))/2)/1000000</f>
        <v>196.346217941176</v>
      </c>
      <c r="AH586" s="10">
        <f>N586+(AF586+AG586)/D586</f>
        <v>230.511229411765</v>
      </c>
      <c r="AI586" s="10">
        <f>MAX(O586,AH586)</f>
        <v>230.511229411765</v>
      </c>
      <c r="AJ586" s="10">
        <f>0.17*SQRT('Parametros'!$B$2)*H586*MIN(U586,AB586)/1000</f>
        <v>198.088855822627</v>
      </c>
      <c r="AK586" s="10">
        <f>MAX(AI586/'Parametros'!$B$6-AJ586,0)</f>
        <v>109.259450059726</v>
      </c>
      <c r="AL586" s="10">
        <f>0.66*SQRT('Parametros'!$B$2)*H586*MIN(U586,AB586)/1000</f>
        <v>769.050852017258</v>
      </c>
      <c r="AM586" s="10" t="str">
        <f>IF(AK586&lt;=AL586,"CUMPLE","NO CUMPLE")</f>
        <v>CUMPLE</v>
      </c>
      <c r="AN586" s="17" t="inlineStr">
        <is>
          <t>Nº3 cerrado</t>
        </is>
      </c>
      <c r="AO586" s="31" t="n">
        <v>2</v>
      </c>
      <c r="AP586" s="10">
        <f>ROUNDDOWN(MIN(IF(BC586+BD586=0,1000000000,AO586*BB586/(BC586+BD586)),MIN(U586,AB586)/4,8*'Parametros'!$B$12,24*BA586,300,IF(AV586=0,1000000000,2*((H586-2*('Parametros'!$B$7+'Parametros'!$B$9/2))+(I586-2*('Parametros'!$B$7+'Parametros'!$B$9/2)))/8))/10,0)*10</f>
        <v>120</v>
      </c>
      <c r="AQ586" s="10">
        <f>ROUNDDOWN(MIN(IF(BC586+BD586=0,1000000000,AO586*BB586/(BC586+BD586)),IF(AK586&gt;0.33*SQRT('Parametros'!$B$2)*H586*MIN(U586,AB586)/1000,MIN(U586,AB586)/4,MIN(U586,AB586)/2),600,IF(AV586=0,1000000000,2*((H586-2*('Parametros'!$B$7+'Parametros'!$B$9/2))+(I586-2*('Parametros'!$B$7+'Parametros'!$B$9/2)))/8))/10,0)*10</f>
        <v>160</v>
      </c>
      <c r="AR586" s="10">
        <f>'Parametros'!$B$6*(AJ586+MAX(BE586-BD586,0)*'Parametros'!$B$4*MIN(U586,AB586)/1000)</f>
        <v>283.250430368541</v>
      </c>
      <c r="AS586" s="10" t="str">
        <f>IF(AND(ISERROR(SEARCH("referencia",AN586)),AM586="CUMPLE",AR586&gt;=AI586),"CUMPLE","NO CUMPLE")</f>
        <v>CUMPLE</v>
      </c>
      <c r="AT586" s="10">
        <f>'Parametros'!$B$6*0.083*SQRT('Parametros'!$B$2)*(H586*I586)^2/(2*(H586+I586))/1000000</f>
        <v>10.0887830333379</v>
      </c>
      <c r="AU586" s="10" t="str">
        <f>IF(Q586&lt;=AT586,"DESPRECIABLE","DISEÑAR")</f>
        <v>DISEÑAR</v>
      </c>
      <c r="AV586" s="10">
        <f>IF(Q586&lt;=AT586,0,Q586*1000000/('Parametros'!$B$6*2*0.85*(H586-2*('Parametros'!$B$7+'Parametros'!$B$9/2))*(I586-2*('Parametros'!$B$7+'Parametros'!$B$9/2))*'Parametros'!$B$4))</f>
        <v>0.154793689712881</v>
      </c>
      <c r="AW586" s="10">
        <f>AV586*2*((H586-2*('Parametros'!$B$7+'Parametros'!$B$9/2))+(I586-2*('Parametros'!$B$7+'Parametros'!$B$9/2)))*'Parametros'!$B$4/'Parametros'!$B$3</f>
        <v>252.189879280225</v>
      </c>
      <c r="AX586" s="31" t="n">
        <v>8</v>
      </c>
      <c r="AY586" s="10" t="str">
        <f>IF(AV586=0,"DESPRECIABLE",IF(AND(ISERROR(SEARCH("referencia",AN586)),BB586/AP586&gt;=AV586,BI586&gt;=AW586,BH586="CUMPLE"),"CUMPLE","NO CUMPLE"))</f>
        <v>CUMPLE</v>
      </c>
      <c r="AZ586" s="10" t="str">
        <f>IF(AND(X586="CUMPLE",AE586="CUMPLE",AS586="CUMPLE",OR(AY586="CUMPLE",AY586="DESPRECIABLE"),BH586="CUMPLE",BJ586="CUMPLE"),"CUMPLE","NO CUMPLE")</f>
        <v>CUMPLE</v>
      </c>
      <c r="BA586" s="32" t="n">
        <v>9.5</v>
      </c>
      <c r="BB586" s="32" t="n">
        <v>71</v>
      </c>
      <c r="BC586" s="10">
        <f>MAX(IF(AK586=0,0,AK586*1000/('Parametros'!$B$4*MIN(U586,AB586))),MAX(0.062*SQRT('Parametros'!$B$2)*H586/'Parametros'!$B$4,0.35*H586/'Parametros'!$B$4))</f>
        <v>0.531606309923883</v>
      </c>
      <c r="BD586" s="10">
        <f>2*AV586</f>
        <v>0.309587379425761</v>
      </c>
      <c r="BE586" s="10">
        <f>AO586*BB586/AP586</f>
        <v>1.18333333333333</v>
      </c>
      <c r="BF586" s="10">
        <f>SQRT((AI586*1000/(H586*MIN(U586,AB586)))^2+(Q586*1000000*2*((H586-2*('Parametros'!$B$7+'Parametros'!$B$9/2))+(I586-2*('Parametros'!$B$7+'Parametros'!$B$9/2)))/(1.7*((H586-2*('Parametros'!$B$7+'Parametros'!$B$9/2))*(I586-2*('Parametros'!$B$7+'Parametros'!$B$9/2)))^2))^2)</f>
        <v>1.15418798488063</v>
      </c>
      <c r="BG586" s="10">
        <f>'Parametros'!$B$6*(AJ586*1000/(H586*MIN(U586,AB586))+0.66*SQRT('Parametros'!$B$2))</f>
        <v>3.29396038227542</v>
      </c>
      <c r="BH586" s="10" t="str">
        <f>IF(BF586&lt;=BG586,"CUMPLE","NO CUMPLE")</f>
        <v>CUMPLE</v>
      </c>
      <c r="BI586" s="10">
        <f>AX586*'Parametros'!$B$8</f>
        <v>1592</v>
      </c>
      <c r="BJ586" s="10" t="str">
        <f>IF(BI586&gt;=AW586,"CUMPLE","NO CUMPLE")</f>
        <v>CUMPLE</v>
      </c>
    </row>
    <row r="587">
      <c r="A587" s="27" t="inlineStr">
        <is>
          <t>VRAUX</t>
        </is>
      </c>
      <c r="B587" s="27" t="inlineStr">
        <is>
          <t>136</t>
        </is>
      </c>
      <c r="C587" s="10" t="n">
        <v>1</v>
      </c>
      <c r="D587" s="10" t="n">
        <v>1.9</v>
      </c>
      <c r="E587" s="10" t="n">
        <v>1.9</v>
      </c>
      <c r="F587" s="10" t="n">
        <v>450</v>
      </c>
      <c r="G587" s="10" t="n">
        <v>550</v>
      </c>
      <c r="H587" s="17" t="n">
        <v>450</v>
      </c>
      <c r="I587" s="17" t="n">
        <v>550</v>
      </c>
      <c r="J587" s="30" t="n">
        <v>26.1165</v>
      </c>
      <c r="K587" s="10" t="inlineStr">
        <is>
          <t>136</t>
        </is>
      </c>
      <c r="L587" s="30" t="n">
        <v>12.4617</v>
      </c>
      <c r="M587" s="10" t="inlineStr">
        <is>
          <t>136</t>
        </is>
      </c>
      <c r="N587" s="30" t="n">
        <v>23.854</v>
      </c>
      <c r="O587" s="30" t="n">
        <v>65.556</v>
      </c>
      <c r="P587" s="10" t="inlineStr">
        <is>
          <t>136</t>
        </is>
      </c>
      <c r="Q587" s="30" t="n">
        <v>13.5551</v>
      </c>
      <c r="R587" s="10">
        <f>MAX(MAX(1.4/'Parametros'!$B$3,0.25*SQRT('Parametros'!$B$2)/'Parametros'!$B$3)*H587*U587,(0.85*'Parametros'!$B$2/'Parametros'!$B$3)*(1-SQRT(1-2*(J587*1000000/('Parametros'!$B$5*H587*U587^2))/(0.85*'Parametros'!$B$2)))*H587*U587)</f>
        <v>734.025</v>
      </c>
      <c r="S587" s="31" t="n">
        <v>4</v>
      </c>
      <c r="T587" s="32" t="n">
        <v>1</v>
      </c>
      <c r="U587" s="10">
        <f>IF(T587=1,I587-('Parametros'!$B$7+'Parametros'!$B$9+'Parametros'!$B$12/2),I587-(ROUNDUP(S587/2,0)*('Parametros'!$B$7+'Parametros'!$B$9+'Parametros'!$B$12/2)+ROUNDDOWN(S587/2,0)*('Parametros'!$B$7+'Parametros'!$B$9+'Parametros'!$B$12/2+'Parametros'!$B$12+'Parametros'!$B$10))/S587)</f>
        <v>489.35</v>
      </c>
      <c r="V587" s="10">
        <f>S587*'Parametros'!$B$8</f>
        <v>796</v>
      </c>
      <c r="W587" s="10">
        <f>'Parametros'!$B$5*V587*'Parametros'!$B$3*(U587-(V587*'Parametros'!$B$3/(0.85*'Parametros'!$B$2*H587))/2)/1000000</f>
        <v>142.543330094118</v>
      </c>
      <c r="X587" s="10" t="str">
        <f>IF(W587&gt;=J587,"CUMPLE","NO CUMPLE")</f>
        <v>CUMPLE</v>
      </c>
      <c r="Y587" s="10">
        <f>MAX(MAX(1.4/'Parametros'!$B$3,0.25*SQRT('Parametros'!$B$2)/'Parametros'!$B$3)*H587*AB587,(0.85*'Parametros'!$B$2/'Parametros'!$B$3)*(1-SQRT(1-2*(L587*1000000/('Parametros'!$B$5*H587*AB587^2))/(0.85*'Parametros'!$B$2)))*H587*AB587)</f>
        <v>734.025</v>
      </c>
      <c r="Z587" s="31" t="n">
        <v>4</v>
      </c>
      <c r="AA587" s="32" t="n">
        <v>1</v>
      </c>
      <c r="AB587" s="10">
        <f>IF(AA587=1,I587-('Parametros'!$B$7+'Parametros'!$B$9+'Parametros'!$B$12/2),I587-(ROUNDUP(Z587/2,0)*('Parametros'!$B$7+'Parametros'!$B$9+'Parametros'!$B$12/2)+ROUNDDOWN(Z587/2,0)*('Parametros'!$B$7+'Parametros'!$B$9+'Parametros'!$B$12/2+'Parametros'!$B$12+'Parametros'!$B$10))/Z587)</f>
        <v>489.35</v>
      </c>
      <c r="AC587" s="10">
        <f>Z587*'Parametros'!$B$8</f>
        <v>796</v>
      </c>
      <c r="AD587" s="10">
        <f>'Parametros'!$B$5*AC587*'Parametros'!$B$3*(AB587-(AC587*'Parametros'!$B$3/(0.85*'Parametros'!$B$2*H587))/2)/1000000</f>
        <v>142.543330094118</v>
      </c>
      <c r="AE587" s="10" t="str">
        <f>IF(AD587&gt;=L587,"CUMPLE","NO CUMPLE")</f>
        <v>CUMPLE</v>
      </c>
      <c r="AF587" s="10">
        <f>V587*1.25*'Parametros'!$B$3*(U587-(V587*1.25*'Parametros'!$B$3/(0.85*'Parametros'!$B$2*H587))/2)/1000000</f>
        <v>196.346217941176</v>
      </c>
      <c r="AG587" s="10">
        <f>AC587*1.25*'Parametros'!$B$3*(AB587-(AC587*1.25*'Parametros'!$B$3/(0.85*'Parametros'!$B$2*H587))/2)/1000000</f>
        <v>196.346217941176</v>
      </c>
      <c r="AH587" s="10">
        <f>N587+(AF587+AG587)/D587</f>
        <v>230.534229411765</v>
      </c>
      <c r="AI587" s="10">
        <f>MAX(O587,AH587)</f>
        <v>230.534229411765</v>
      </c>
      <c r="AJ587" s="10">
        <f>0.17*SQRT('Parametros'!$B$2)*H587*MIN(U587,AB587)/1000</f>
        <v>198.088855822627</v>
      </c>
      <c r="AK587" s="10">
        <f>MAX(AI587/'Parametros'!$B$6-AJ587,0)</f>
        <v>109.290116726393</v>
      </c>
      <c r="AL587" s="10">
        <f>0.66*SQRT('Parametros'!$B$2)*H587*MIN(U587,AB587)/1000</f>
        <v>769.050852017258</v>
      </c>
      <c r="AM587" s="10" t="str">
        <f>IF(AK587&lt;=AL587,"CUMPLE","NO CUMPLE")</f>
        <v>CUMPLE</v>
      </c>
      <c r="AN587" s="17" t="inlineStr">
        <is>
          <t>Nº3 cerrado</t>
        </is>
      </c>
      <c r="AO587" s="31" t="n">
        <v>2</v>
      </c>
      <c r="AP587" s="10">
        <f>ROUNDDOWN(MIN(IF(BC587+BD587=0,1000000000,AO587*BB587/(BC587+BD587)),MIN(U587,AB587)/4,8*'Parametros'!$B$12,24*BA587,300,IF(AV587=0,1000000000,2*((H587-2*('Parametros'!$B$7+'Parametros'!$B$9/2))+(I587-2*('Parametros'!$B$7+'Parametros'!$B$9/2)))/8))/10,0)*10</f>
        <v>120</v>
      </c>
      <c r="AQ587" s="10">
        <f>ROUNDDOWN(MIN(IF(BC587+BD587=0,1000000000,AO587*BB587/(BC587+BD587)),IF(AK587&gt;0.33*SQRT('Parametros'!$B$2)*H587*MIN(U587,AB587)/1000,MIN(U587,AB587)/4,MIN(U587,AB587)/2),600,IF(AV587=0,1000000000,2*((H587-2*('Parametros'!$B$7+'Parametros'!$B$9/2))+(I587-2*('Parametros'!$B$7+'Parametros'!$B$9/2)))/8))/10,0)*10</f>
        <v>160</v>
      </c>
      <c r="AR587" s="10">
        <f>'Parametros'!$B$6*(AJ587+MAX(BE587-BD587,0)*'Parametros'!$B$4*MIN(U587,AB587)/1000)</f>
        <v>283.211320223357</v>
      </c>
      <c r="AS587" s="10" t="str">
        <f>IF(AND(ISERROR(SEARCH("referencia",AN587)),AM587="CUMPLE",AR587&gt;=AI587),"CUMPLE","NO CUMPLE")</f>
        <v>CUMPLE</v>
      </c>
      <c r="AT587" s="10">
        <f>'Parametros'!$B$6*0.083*SQRT('Parametros'!$B$2)*(H587*I587)^2/(2*(H587+I587))/1000000</f>
        <v>10.0887830333379</v>
      </c>
      <c r="AU587" s="10" t="str">
        <f>IF(Q587&lt;=AT587,"DESPRECIABLE","DISEÑAR")</f>
        <v>DISEÑAR</v>
      </c>
      <c r="AV587" s="10">
        <f>IF(Q587&lt;=AT587,0,Q587*1000000/('Parametros'!$B$6*2*0.85*(H587-2*('Parametros'!$B$7+'Parametros'!$B$9/2))*(I587-2*('Parametros'!$B$7+'Parametros'!$B$9/2))*'Parametros'!$B$4))</f>
        <v>0.154920551050433</v>
      </c>
      <c r="AW587" s="10">
        <f>AV587*2*((H587-2*('Parametros'!$B$7+'Parametros'!$B$9/2))+(I587-2*('Parametros'!$B$7+'Parametros'!$B$9/2)))*'Parametros'!$B$4/'Parametros'!$B$3</f>
        <v>252.396561771366</v>
      </c>
      <c r="AX587" s="31" t="n">
        <v>8</v>
      </c>
      <c r="AY587" s="10" t="str">
        <f>IF(AV587=0,"DESPRECIABLE",IF(AND(ISERROR(SEARCH("referencia",AN587)),BB587/AP587&gt;=AV587,BI587&gt;=AW587,BH587="CUMPLE"),"CUMPLE","NO CUMPLE"))</f>
        <v>CUMPLE</v>
      </c>
      <c r="AZ587" s="10" t="str">
        <f>IF(AND(X587="CUMPLE",AE587="CUMPLE",AS587="CUMPLE",OR(AY587="CUMPLE",AY587="DESPRECIABLE"),BH587="CUMPLE",BJ587="CUMPLE"),"CUMPLE","NO CUMPLE")</f>
        <v>CUMPLE</v>
      </c>
      <c r="BA587" s="32" t="n">
        <v>9.5</v>
      </c>
      <c r="BB587" s="32" t="n">
        <v>71</v>
      </c>
      <c r="BC587" s="10">
        <f>MAX(IF(AK587=0,0,AK587*1000/('Parametros'!$B$4*MIN(U587,AB587))),MAX(0.062*SQRT('Parametros'!$B$2)*H587/'Parametros'!$B$4,0.35*H587/'Parametros'!$B$4))</f>
        <v>0.531755519841153</v>
      </c>
      <c r="BD587" s="10">
        <f>2*AV587</f>
        <v>0.309841102100866</v>
      </c>
      <c r="BE587" s="10">
        <f>AO587*BB587/AP587</f>
        <v>1.18333333333333</v>
      </c>
      <c r="BF587" s="10">
        <f>SQRT((AI587*1000/(H587*MIN(U587,AB587)))^2+(Q587*1000000*2*((H587-2*('Parametros'!$B$7+'Parametros'!$B$9/2))+(I587-2*('Parametros'!$B$7+'Parametros'!$B$9/2)))/(1.7*((H587-2*('Parametros'!$B$7+'Parametros'!$B$9/2))*(I587-2*('Parametros'!$B$7+'Parametros'!$B$9/2)))^2))^2)</f>
        <v>1.15445060131638</v>
      </c>
      <c r="BG587" s="10">
        <f>'Parametros'!$B$6*(AJ587*1000/(H587*MIN(U587,AB587))+0.66*SQRT('Parametros'!$B$2))</f>
        <v>3.29396038227542</v>
      </c>
      <c r="BH587" s="10" t="str">
        <f>IF(BF587&lt;=BG587,"CUMPLE","NO CUMPLE")</f>
        <v>CUMPLE</v>
      </c>
      <c r="BI587" s="10">
        <f>AX587*'Parametros'!$B$8</f>
        <v>1592</v>
      </c>
      <c r="BJ587" s="10" t="str">
        <f>IF(BI587&gt;=AW587,"CUMPLE","NO CUMPLE")</f>
        <v>CUMPLE</v>
      </c>
    </row>
    <row r="588">
      <c r="A588" s="27" t="inlineStr">
        <is>
          <t>VRAUX</t>
        </is>
      </c>
      <c r="B588" s="27" t="inlineStr">
        <is>
          <t>137</t>
        </is>
      </c>
      <c r="C588" s="10" t="n">
        <v>1</v>
      </c>
      <c r="D588" s="10" t="n">
        <v>2</v>
      </c>
      <c r="E588" s="10" t="n">
        <v>2</v>
      </c>
      <c r="F588" s="10" t="n">
        <v>450</v>
      </c>
      <c r="G588" s="10" t="n">
        <v>550</v>
      </c>
      <c r="H588" s="17" t="n">
        <v>450</v>
      </c>
      <c r="I588" s="17" t="n">
        <v>550</v>
      </c>
      <c r="J588" s="30" t="n">
        <v>10.666</v>
      </c>
      <c r="K588" s="10" t="inlineStr">
        <is>
          <t>137</t>
        </is>
      </c>
      <c r="L588" s="30" t="n">
        <v>4.1561</v>
      </c>
      <c r="M588" s="10" t="inlineStr">
        <is>
          <t>137</t>
        </is>
      </c>
      <c r="N588" s="30" t="n">
        <v>13.375</v>
      </c>
      <c r="O588" s="30" t="n">
        <v>27.338</v>
      </c>
      <c r="P588" s="10" t="inlineStr">
        <is>
          <t>137</t>
        </is>
      </c>
      <c r="Q588" s="30" t="n">
        <v>4.0902</v>
      </c>
      <c r="R588" s="10">
        <f>MAX(MAX(1.4/'Parametros'!$B$3,0.25*SQRT('Parametros'!$B$2)/'Parametros'!$B$3)*H588*U588,(0.85*'Parametros'!$B$2/'Parametros'!$B$3)*(1-SQRT(1-2*(J588*1000000/('Parametros'!$B$5*H588*U588^2))/(0.85*'Parametros'!$B$2)))*H588*U588)</f>
        <v>734.025</v>
      </c>
      <c r="S588" s="31" t="n">
        <v>4</v>
      </c>
      <c r="T588" s="32" t="n">
        <v>1</v>
      </c>
      <c r="U588" s="10">
        <f>IF(T588=1,I588-('Parametros'!$B$7+'Parametros'!$B$9+'Parametros'!$B$12/2),I588-(ROUNDUP(S588/2,0)*('Parametros'!$B$7+'Parametros'!$B$9+'Parametros'!$B$12/2)+ROUNDDOWN(S588/2,0)*('Parametros'!$B$7+'Parametros'!$B$9+'Parametros'!$B$12/2+'Parametros'!$B$12+'Parametros'!$B$10))/S588)</f>
        <v>489.35</v>
      </c>
      <c r="V588" s="10">
        <f>S588*'Parametros'!$B$8</f>
        <v>796</v>
      </c>
      <c r="W588" s="10">
        <f>'Parametros'!$B$5*V588*'Parametros'!$B$3*(U588-(V588*'Parametros'!$B$3/(0.85*'Parametros'!$B$2*H588))/2)/1000000</f>
        <v>142.543330094118</v>
      </c>
      <c r="X588" s="10" t="str">
        <f>IF(W588&gt;=J588,"CUMPLE","NO CUMPLE")</f>
        <v>CUMPLE</v>
      </c>
      <c r="Y588" s="10">
        <f>MAX(MAX(1.4/'Parametros'!$B$3,0.25*SQRT('Parametros'!$B$2)/'Parametros'!$B$3)*H588*AB588,(0.85*'Parametros'!$B$2/'Parametros'!$B$3)*(1-SQRT(1-2*(L588*1000000/('Parametros'!$B$5*H588*AB588^2))/(0.85*'Parametros'!$B$2)))*H588*AB588)</f>
        <v>734.025</v>
      </c>
      <c r="Z588" s="31" t="n">
        <v>4</v>
      </c>
      <c r="AA588" s="32" t="n">
        <v>1</v>
      </c>
      <c r="AB588" s="10">
        <f>IF(AA588=1,I588-('Parametros'!$B$7+'Parametros'!$B$9+'Parametros'!$B$12/2),I588-(ROUNDUP(Z588/2,0)*('Parametros'!$B$7+'Parametros'!$B$9+'Parametros'!$B$12/2)+ROUNDDOWN(Z588/2,0)*('Parametros'!$B$7+'Parametros'!$B$9+'Parametros'!$B$12/2+'Parametros'!$B$12+'Parametros'!$B$10))/Z588)</f>
        <v>489.35</v>
      </c>
      <c r="AC588" s="10">
        <f>Z588*'Parametros'!$B$8</f>
        <v>796</v>
      </c>
      <c r="AD588" s="10">
        <f>'Parametros'!$B$5*AC588*'Parametros'!$B$3*(AB588-(AC588*'Parametros'!$B$3/(0.85*'Parametros'!$B$2*H588))/2)/1000000</f>
        <v>142.543330094118</v>
      </c>
      <c r="AE588" s="10" t="str">
        <f>IF(AD588&gt;=L588,"CUMPLE","NO CUMPLE")</f>
        <v>CUMPLE</v>
      </c>
      <c r="AF588" s="10">
        <f>V588*1.25*'Parametros'!$B$3*(U588-(V588*1.25*'Parametros'!$B$3/(0.85*'Parametros'!$B$2*H588))/2)/1000000</f>
        <v>196.346217941176</v>
      </c>
      <c r="AG588" s="10">
        <f>AC588*1.25*'Parametros'!$B$3*(AB588-(AC588*1.25*'Parametros'!$B$3/(0.85*'Parametros'!$B$2*H588))/2)/1000000</f>
        <v>196.346217941176</v>
      </c>
      <c r="AH588" s="10">
        <f>N588+(AF588+AG588)/D588</f>
        <v>209.721217941176</v>
      </c>
      <c r="AI588" s="10">
        <f>MAX(O588,AH588)</f>
        <v>209.721217941176</v>
      </c>
      <c r="AJ588" s="10">
        <f>0.17*SQRT('Parametros'!$B$2)*H588*MIN(U588,AB588)/1000</f>
        <v>198.088855822627</v>
      </c>
      <c r="AK588" s="10">
        <f>MAX(AI588/'Parametros'!$B$6-AJ588,0)</f>
        <v>81.5394347656083</v>
      </c>
      <c r="AL588" s="10">
        <f>0.66*SQRT('Parametros'!$B$2)*H588*MIN(U588,AB588)/1000</f>
        <v>769.050852017258</v>
      </c>
      <c r="AM588" s="10" t="str">
        <f>IF(AK588&lt;=AL588,"CUMPLE","NO CUMPLE")</f>
        <v>CUMPLE</v>
      </c>
      <c r="AN588" s="17" t="inlineStr">
        <is>
          <t>Nº3 cerrado</t>
        </is>
      </c>
      <c r="AO588" s="31" t="n">
        <v>2</v>
      </c>
      <c r="AP588" s="10">
        <f>ROUNDDOWN(MIN(IF(BC588+BD588=0,1000000000,AO588*BB588/(BC588+BD588)),MIN(U588,AB588)/4,8*'Parametros'!$B$12,24*BA588,300,IF(AV588=0,1000000000,2*((H588-2*('Parametros'!$B$7+'Parametros'!$B$9/2))+(I588-2*('Parametros'!$B$7+'Parametros'!$B$9/2)))/8))/10,0)*10</f>
        <v>120</v>
      </c>
      <c r="AQ588" s="10">
        <f>ROUNDDOWN(MIN(IF(BC588+BD588=0,1000000000,AO588*BB588/(BC588+BD588)),IF(AK588&gt;0.33*SQRT('Parametros'!$B$2)*H588*MIN(U588,AB588)/1000,MIN(U588,AB588)/4,MIN(U588,AB588)/2),600,IF(AV588=0,1000000000,2*((H588-2*('Parametros'!$B$7+'Parametros'!$B$9/2))+(I588-2*('Parametros'!$B$7+'Parametros'!$B$9/2)))/8))/10,0)*10</f>
        <v>240</v>
      </c>
      <c r="AR588" s="10">
        <f>'Parametros'!$B$6*(AJ588+MAX(BE588-BD588,0)*'Parametros'!$B$4*MIN(U588,AB588)/1000)</f>
        <v>330.97185436697</v>
      </c>
      <c r="AS588" s="10" t="str">
        <f>IF(AND(ISERROR(SEARCH("referencia",AN588)),AM588="CUMPLE",AR588&gt;=AI588),"CUMPLE","NO CUMPLE")</f>
        <v>CUMPLE</v>
      </c>
      <c r="AT588" s="10">
        <f>'Parametros'!$B$6*0.083*SQRT('Parametros'!$B$2)*(H588*I588)^2/(2*(H588+I588))/1000000</f>
        <v>10.0887830333379</v>
      </c>
      <c r="AU588" s="10" t="str">
        <f>IF(Q588&lt;=AT588,"DESPRECIABLE","DISEÑAR")</f>
        <v>DESPRECIABLE</v>
      </c>
      <c r="AV588" s="10">
        <f>IF(Q588&lt;=AT588,0,Q588*1000000/('Parametros'!$B$6*2*0.85*(H588-2*('Parametros'!$B$7+'Parametros'!$B$9/2))*(I588-2*('Parametros'!$B$7+'Parametros'!$B$9/2))*'Parametros'!$B$4))</f>
        <v>0</v>
      </c>
      <c r="AW588" s="10">
        <f>AV588*2*((H588-2*('Parametros'!$B$7+'Parametros'!$B$9/2))+(I588-2*('Parametros'!$B$7+'Parametros'!$B$9/2)))*'Parametros'!$B$4/'Parametros'!$B$3</f>
        <v>0</v>
      </c>
      <c r="AX588" s="31" t="n">
        <v>0</v>
      </c>
      <c r="AY588" s="10" t="str">
        <f>IF(AV588=0,"DESPRECIABLE",IF(AND(ISERROR(SEARCH("referencia",AN588)),BB588/AP588&gt;=AV588,BI588&gt;=AW588,BH588="CUMPLE"),"CUMPLE","NO CUMPLE"))</f>
        <v>DESPRECIABLE</v>
      </c>
      <c r="AZ588" s="10" t="str">
        <f>IF(AND(X588="CUMPLE",AE588="CUMPLE",AS588="CUMPLE",OR(AY588="CUMPLE",AY588="DESPRECIABLE"),BH588="CUMPLE",BJ588="CUMPLE"),"CUMPLE","NO CUMPLE")</f>
        <v>CUMPLE</v>
      </c>
      <c r="BA588" s="32" t="n">
        <v>9.5</v>
      </c>
      <c r="BB588" s="32" t="n">
        <v>71</v>
      </c>
      <c r="BC588" s="10">
        <f>MAX(IF(AK588=0,0,AK588*1000/('Parametros'!$B$4*MIN(U588,AB588))),MAX(0.062*SQRT('Parametros'!$B$2)*H588/'Parametros'!$B$4,0.35*H588/'Parametros'!$B$4))</f>
        <v>0.396733445073437</v>
      </c>
      <c r="BD588" s="10">
        <f>2*AV588</f>
        <v>0</v>
      </c>
      <c r="BE588" s="10">
        <f>AO588*BB588/AP588</f>
        <v>1.18333333333333</v>
      </c>
      <c r="BF588" s="10">
        <f>SQRT((AI588*1000/(H588*MIN(U588,AB588)))^2+(Q588*1000000*2*((H588-2*('Parametros'!$B$7+'Parametros'!$B$9/2))+(I588-2*('Parametros'!$B$7+'Parametros'!$B$9/2)))/(1.7*((H588-2*('Parametros'!$B$7+'Parametros'!$B$9/2))*(I588-2*('Parametros'!$B$7+'Parametros'!$B$9/2)))^2))^2)</f>
        <v>0.963631357934575</v>
      </c>
      <c r="BG588" s="10">
        <f>'Parametros'!$B$6*(AJ588*1000/(H588*MIN(U588,AB588))+0.66*SQRT('Parametros'!$B$2))</f>
        <v>3.29396038227542</v>
      </c>
      <c r="BH588" s="10" t="str">
        <f>IF(BF588&lt;=BG588,"CUMPLE","NO CUMPLE")</f>
        <v>CUMPLE</v>
      </c>
      <c r="BI588" s="10">
        <f>AX588*'Parametros'!$B$8</f>
        <v>0</v>
      </c>
      <c r="BJ588" s="10" t="str">
        <f>IF(BI588&gt;=AW588,"CUMPLE","NO CUMPLE")</f>
        <v>CUMPLE</v>
      </c>
    </row>
    <row r="589">
      <c r="A589" s="27" t="inlineStr">
        <is>
          <t>VRAUX</t>
        </is>
      </c>
      <c r="B589" s="27" t="inlineStr">
        <is>
          <t>138</t>
        </is>
      </c>
      <c r="C589" s="10" t="n">
        <v>1</v>
      </c>
      <c r="D589" s="10" t="n">
        <v>2</v>
      </c>
      <c r="E589" s="10" t="n">
        <v>2</v>
      </c>
      <c r="F589" s="10" t="n">
        <v>450</v>
      </c>
      <c r="G589" s="10" t="n">
        <v>550</v>
      </c>
      <c r="H589" s="17" t="n">
        <v>450</v>
      </c>
      <c r="I589" s="17" t="n">
        <v>550</v>
      </c>
      <c r="J589" s="30" t="n">
        <v>10.6679</v>
      </c>
      <c r="K589" s="10" t="inlineStr">
        <is>
          <t>138</t>
        </is>
      </c>
      <c r="L589" s="30" t="n">
        <v>4.1559</v>
      </c>
      <c r="M589" s="10" t="inlineStr">
        <is>
          <t>138</t>
        </is>
      </c>
      <c r="N589" s="30" t="n">
        <v>13.376</v>
      </c>
      <c r="O589" s="30" t="n">
        <v>27.339</v>
      </c>
      <c r="P589" s="10" t="inlineStr">
        <is>
          <t>138</t>
        </is>
      </c>
      <c r="Q589" s="30" t="n">
        <v>4.0949</v>
      </c>
      <c r="R589" s="10">
        <f>MAX(MAX(1.4/'Parametros'!$B$3,0.25*SQRT('Parametros'!$B$2)/'Parametros'!$B$3)*H589*U589,(0.85*'Parametros'!$B$2/'Parametros'!$B$3)*(1-SQRT(1-2*(J589*1000000/('Parametros'!$B$5*H589*U589^2))/(0.85*'Parametros'!$B$2)))*H589*U589)</f>
        <v>734.025</v>
      </c>
      <c r="S589" s="31" t="n">
        <v>4</v>
      </c>
      <c r="T589" s="32" t="n">
        <v>1</v>
      </c>
      <c r="U589" s="10">
        <f>IF(T589=1,I589-('Parametros'!$B$7+'Parametros'!$B$9+'Parametros'!$B$12/2),I589-(ROUNDUP(S589/2,0)*('Parametros'!$B$7+'Parametros'!$B$9+'Parametros'!$B$12/2)+ROUNDDOWN(S589/2,0)*('Parametros'!$B$7+'Parametros'!$B$9+'Parametros'!$B$12/2+'Parametros'!$B$12+'Parametros'!$B$10))/S589)</f>
        <v>489.35</v>
      </c>
      <c r="V589" s="10">
        <f>S589*'Parametros'!$B$8</f>
        <v>796</v>
      </c>
      <c r="W589" s="10">
        <f>'Parametros'!$B$5*V589*'Parametros'!$B$3*(U589-(V589*'Parametros'!$B$3/(0.85*'Parametros'!$B$2*H589))/2)/1000000</f>
        <v>142.543330094118</v>
      </c>
      <c r="X589" s="10" t="str">
        <f>IF(W589&gt;=J589,"CUMPLE","NO CUMPLE")</f>
        <v>CUMPLE</v>
      </c>
      <c r="Y589" s="10">
        <f>MAX(MAX(1.4/'Parametros'!$B$3,0.25*SQRT('Parametros'!$B$2)/'Parametros'!$B$3)*H589*AB589,(0.85*'Parametros'!$B$2/'Parametros'!$B$3)*(1-SQRT(1-2*(L589*1000000/('Parametros'!$B$5*H589*AB589^2))/(0.85*'Parametros'!$B$2)))*H589*AB589)</f>
        <v>734.025</v>
      </c>
      <c r="Z589" s="31" t="n">
        <v>4</v>
      </c>
      <c r="AA589" s="32" t="n">
        <v>1</v>
      </c>
      <c r="AB589" s="10">
        <f>IF(AA589=1,I589-('Parametros'!$B$7+'Parametros'!$B$9+'Parametros'!$B$12/2),I589-(ROUNDUP(Z589/2,0)*('Parametros'!$B$7+'Parametros'!$B$9+'Parametros'!$B$12/2)+ROUNDDOWN(Z589/2,0)*('Parametros'!$B$7+'Parametros'!$B$9+'Parametros'!$B$12/2+'Parametros'!$B$12+'Parametros'!$B$10))/Z589)</f>
        <v>489.35</v>
      </c>
      <c r="AC589" s="10">
        <f>Z589*'Parametros'!$B$8</f>
        <v>796</v>
      </c>
      <c r="AD589" s="10">
        <f>'Parametros'!$B$5*AC589*'Parametros'!$B$3*(AB589-(AC589*'Parametros'!$B$3/(0.85*'Parametros'!$B$2*H589))/2)/1000000</f>
        <v>142.543330094118</v>
      </c>
      <c r="AE589" s="10" t="str">
        <f>IF(AD589&gt;=L589,"CUMPLE","NO CUMPLE")</f>
        <v>CUMPLE</v>
      </c>
      <c r="AF589" s="10">
        <f>V589*1.25*'Parametros'!$B$3*(U589-(V589*1.25*'Parametros'!$B$3/(0.85*'Parametros'!$B$2*H589))/2)/1000000</f>
        <v>196.346217941176</v>
      </c>
      <c r="AG589" s="10">
        <f>AC589*1.25*'Parametros'!$B$3*(AB589-(AC589*1.25*'Parametros'!$B$3/(0.85*'Parametros'!$B$2*H589))/2)/1000000</f>
        <v>196.346217941176</v>
      </c>
      <c r="AH589" s="10">
        <f>N589+(AF589+AG589)/D589</f>
        <v>209.722217941176</v>
      </c>
      <c r="AI589" s="10">
        <f>MAX(O589,AH589)</f>
        <v>209.722217941176</v>
      </c>
      <c r="AJ589" s="10">
        <f>0.17*SQRT('Parametros'!$B$2)*H589*MIN(U589,AB589)/1000</f>
        <v>198.088855822627</v>
      </c>
      <c r="AK589" s="10">
        <f>MAX(AI589/'Parametros'!$B$6-AJ589,0)</f>
        <v>81.5407680989416</v>
      </c>
      <c r="AL589" s="10">
        <f>0.66*SQRT('Parametros'!$B$2)*H589*MIN(U589,AB589)/1000</f>
        <v>769.050852017258</v>
      </c>
      <c r="AM589" s="10" t="str">
        <f>IF(AK589&lt;=AL589,"CUMPLE","NO CUMPLE")</f>
        <v>CUMPLE</v>
      </c>
      <c r="AN589" s="17" t="inlineStr">
        <is>
          <t>Nº3 cerrado</t>
        </is>
      </c>
      <c r="AO589" s="31" t="n">
        <v>2</v>
      </c>
      <c r="AP589" s="10">
        <f>ROUNDDOWN(MIN(IF(BC589+BD589=0,1000000000,AO589*BB589/(BC589+BD589)),MIN(U589,AB589)/4,8*'Parametros'!$B$12,24*BA589,300,IF(AV589=0,1000000000,2*((H589-2*('Parametros'!$B$7+'Parametros'!$B$9/2))+(I589-2*('Parametros'!$B$7+'Parametros'!$B$9/2)))/8))/10,0)*10</f>
        <v>120</v>
      </c>
      <c r="AQ589" s="10">
        <f>ROUNDDOWN(MIN(IF(BC589+BD589=0,1000000000,AO589*BB589/(BC589+BD589)),IF(AK589&gt;0.33*SQRT('Parametros'!$B$2)*H589*MIN(U589,AB589)/1000,MIN(U589,AB589)/4,MIN(U589,AB589)/2),600,IF(AV589=0,1000000000,2*((H589-2*('Parametros'!$B$7+'Parametros'!$B$9/2))+(I589-2*('Parametros'!$B$7+'Parametros'!$B$9/2)))/8))/10,0)*10</f>
        <v>240</v>
      </c>
      <c r="AR589" s="10">
        <f>'Parametros'!$B$6*(AJ589+MAX(BE589-BD589,0)*'Parametros'!$B$4*MIN(U589,AB589)/1000)</f>
        <v>330.97185436697</v>
      </c>
      <c r="AS589" s="10" t="str">
        <f>IF(AND(ISERROR(SEARCH("referencia",AN589)),AM589="CUMPLE",AR589&gt;=AI589),"CUMPLE","NO CUMPLE")</f>
        <v>CUMPLE</v>
      </c>
      <c r="AT589" s="10">
        <f>'Parametros'!$B$6*0.083*SQRT('Parametros'!$B$2)*(H589*I589)^2/(2*(H589+I589))/1000000</f>
        <v>10.0887830333379</v>
      </c>
      <c r="AU589" s="10" t="str">
        <f>IF(Q589&lt;=AT589,"DESPRECIABLE","DISEÑAR")</f>
        <v>DESPRECIABLE</v>
      </c>
      <c r="AV589" s="10">
        <f>IF(Q589&lt;=AT589,0,Q589*1000000/('Parametros'!$B$6*2*0.85*(H589-2*('Parametros'!$B$7+'Parametros'!$B$9/2))*(I589-2*('Parametros'!$B$7+'Parametros'!$B$9/2))*'Parametros'!$B$4))</f>
        <v>0</v>
      </c>
      <c r="AW589" s="10">
        <f>AV589*2*((H589-2*('Parametros'!$B$7+'Parametros'!$B$9/2))+(I589-2*('Parametros'!$B$7+'Parametros'!$B$9/2)))*'Parametros'!$B$4/'Parametros'!$B$3</f>
        <v>0</v>
      </c>
      <c r="AX589" s="31" t="n">
        <v>0</v>
      </c>
      <c r="AY589" s="10" t="str">
        <f>IF(AV589=0,"DESPRECIABLE",IF(AND(ISERROR(SEARCH("referencia",AN589)),BB589/AP589&gt;=AV589,BI589&gt;=AW589,BH589="CUMPLE"),"CUMPLE","NO CUMPLE"))</f>
        <v>DESPRECIABLE</v>
      </c>
      <c r="AZ589" s="10" t="str">
        <f>IF(AND(X589="CUMPLE",AE589="CUMPLE",AS589="CUMPLE",OR(AY589="CUMPLE",AY589="DESPRECIABLE"),BH589="CUMPLE",BJ589="CUMPLE"),"CUMPLE","NO CUMPLE")</f>
        <v>CUMPLE</v>
      </c>
      <c r="BA589" s="32" t="n">
        <v>9.5</v>
      </c>
      <c r="BB589" s="32" t="n">
        <v>71</v>
      </c>
      <c r="BC589" s="10">
        <f>MAX(IF(AK589=0,0,AK589*1000/('Parametros'!$B$4*MIN(U589,AB589))),MAX(0.062*SQRT('Parametros'!$B$2)*H589/'Parametros'!$B$4,0.35*H589/'Parametros'!$B$4))</f>
        <v>0.396739932461144</v>
      </c>
      <c r="BD589" s="10">
        <f>2*AV589</f>
        <v>0</v>
      </c>
      <c r="BE589" s="10">
        <f>AO589*BB589/AP589</f>
        <v>1.18333333333333</v>
      </c>
      <c r="BF589" s="10">
        <f>SQRT((AI589*1000/(H589*MIN(U589,AB589)))^2+(Q589*1000000*2*((H589-2*('Parametros'!$B$7+'Parametros'!$B$9/2))+(I589-2*('Parametros'!$B$7+'Parametros'!$B$9/2)))/(1.7*((H589-2*('Parametros'!$B$7+'Parametros'!$B$9/2))*(I589-2*('Parametros'!$B$7+'Parametros'!$B$9/2)))^2))^2)</f>
        <v>0.963661567044964</v>
      </c>
      <c r="BG589" s="10">
        <f>'Parametros'!$B$6*(AJ589*1000/(H589*MIN(U589,AB589))+0.66*SQRT('Parametros'!$B$2))</f>
        <v>3.29396038227542</v>
      </c>
      <c r="BH589" s="10" t="str">
        <f>IF(BF589&lt;=BG589,"CUMPLE","NO CUMPLE")</f>
        <v>CUMPLE</v>
      </c>
      <c r="BI589" s="10">
        <f>AX589*'Parametros'!$B$8</f>
        <v>0</v>
      </c>
      <c r="BJ589" s="10" t="str">
        <f>IF(BI589&gt;=AW589,"CUMPLE","NO CUMPLE")</f>
        <v>CUMPLE</v>
      </c>
    </row>
    <row r="590">
      <c r="A590" s="27" t="inlineStr">
        <is>
          <t>VRAUX</t>
        </is>
      </c>
      <c r="B590" s="27" t="inlineStr">
        <is>
          <t>139</t>
        </is>
      </c>
      <c r="C590" s="10" t="n">
        <v>1</v>
      </c>
      <c r="D590" s="10" t="n">
        <v>2</v>
      </c>
      <c r="E590" s="10" t="n">
        <v>2</v>
      </c>
      <c r="F590" s="10" t="n">
        <v>450</v>
      </c>
      <c r="G590" s="10" t="n">
        <v>550</v>
      </c>
      <c r="H590" s="17" t="n">
        <v>450</v>
      </c>
      <c r="I590" s="17" t="n">
        <v>550</v>
      </c>
      <c r="J590" s="30" t="n">
        <v>10.6424</v>
      </c>
      <c r="K590" s="10" t="inlineStr">
        <is>
          <t>139</t>
        </is>
      </c>
      <c r="L590" s="30" t="n">
        <v>4.1604</v>
      </c>
      <c r="M590" s="10" t="inlineStr">
        <is>
          <t>139</t>
        </is>
      </c>
      <c r="N590" s="30" t="n">
        <v>13.36</v>
      </c>
      <c r="O590" s="30" t="n">
        <v>27.324</v>
      </c>
      <c r="P590" s="10" t="inlineStr">
        <is>
          <t>139</t>
        </is>
      </c>
      <c r="Q590" s="30" t="n">
        <v>4.0948</v>
      </c>
      <c r="R590" s="10">
        <f>MAX(MAX(1.4/'Parametros'!$B$3,0.25*SQRT('Parametros'!$B$2)/'Parametros'!$B$3)*H590*U590,(0.85*'Parametros'!$B$2/'Parametros'!$B$3)*(1-SQRT(1-2*(J590*1000000/('Parametros'!$B$5*H590*U590^2))/(0.85*'Parametros'!$B$2)))*H590*U590)</f>
        <v>734.025</v>
      </c>
      <c r="S590" s="31" t="n">
        <v>4</v>
      </c>
      <c r="T590" s="32" t="n">
        <v>1</v>
      </c>
      <c r="U590" s="10">
        <f>IF(T590=1,I590-('Parametros'!$B$7+'Parametros'!$B$9+'Parametros'!$B$12/2),I590-(ROUNDUP(S590/2,0)*('Parametros'!$B$7+'Parametros'!$B$9+'Parametros'!$B$12/2)+ROUNDDOWN(S590/2,0)*('Parametros'!$B$7+'Parametros'!$B$9+'Parametros'!$B$12/2+'Parametros'!$B$12+'Parametros'!$B$10))/S590)</f>
        <v>489.35</v>
      </c>
      <c r="V590" s="10">
        <f>S590*'Parametros'!$B$8</f>
        <v>796</v>
      </c>
      <c r="W590" s="10">
        <f>'Parametros'!$B$5*V590*'Parametros'!$B$3*(U590-(V590*'Parametros'!$B$3/(0.85*'Parametros'!$B$2*H590))/2)/1000000</f>
        <v>142.543330094118</v>
      </c>
      <c r="X590" s="10" t="str">
        <f>IF(W590&gt;=J590,"CUMPLE","NO CUMPLE")</f>
        <v>CUMPLE</v>
      </c>
      <c r="Y590" s="10">
        <f>MAX(MAX(1.4/'Parametros'!$B$3,0.25*SQRT('Parametros'!$B$2)/'Parametros'!$B$3)*H590*AB590,(0.85*'Parametros'!$B$2/'Parametros'!$B$3)*(1-SQRT(1-2*(L590*1000000/('Parametros'!$B$5*H590*AB590^2))/(0.85*'Parametros'!$B$2)))*H590*AB590)</f>
        <v>734.025</v>
      </c>
      <c r="Z590" s="31" t="n">
        <v>4</v>
      </c>
      <c r="AA590" s="32" t="n">
        <v>1</v>
      </c>
      <c r="AB590" s="10">
        <f>IF(AA590=1,I590-('Parametros'!$B$7+'Parametros'!$B$9+'Parametros'!$B$12/2),I590-(ROUNDUP(Z590/2,0)*('Parametros'!$B$7+'Parametros'!$B$9+'Parametros'!$B$12/2)+ROUNDDOWN(Z590/2,0)*('Parametros'!$B$7+'Parametros'!$B$9+'Parametros'!$B$12/2+'Parametros'!$B$12+'Parametros'!$B$10))/Z590)</f>
        <v>489.35</v>
      </c>
      <c r="AC590" s="10">
        <f>Z590*'Parametros'!$B$8</f>
        <v>796</v>
      </c>
      <c r="AD590" s="10">
        <f>'Parametros'!$B$5*AC590*'Parametros'!$B$3*(AB590-(AC590*'Parametros'!$B$3/(0.85*'Parametros'!$B$2*H590))/2)/1000000</f>
        <v>142.543330094118</v>
      </c>
      <c r="AE590" s="10" t="str">
        <f>IF(AD590&gt;=L590,"CUMPLE","NO CUMPLE")</f>
        <v>CUMPLE</v>
      </c>
      <c r="AF590" s="10">
        <f>V590*1.25*'Parametros'!$B$3*(U590-(V590*1.25*'Parametros'!$B$3/(0.85*'Parametros'!$B$2*H590))/2)/1000000</f>
        <v>196.346217941176</v>
      </c>
      <c r="AG590" s="10">
        <f>AC590*1.25*'Parametros'!$B$3*(AB590-(AC590*1.25*'Parametros'!$B$3/(0.85*'Parametros'!$B$2*H590))/2)/1000000</f>
        <v>196.346217941176</v>
      </c>
      <c r="AH590" s="10">
        <f>N590+(AF590+AG590)/D590</f>
        <v>209.706217941176</v>
      </c>
      <c r="AI590" s="10">
        <f>MAX(O590,AH590)</f>
        <v>209.706217941176</v>
      </c>
      <c r="AJ590" s="10">
        <f>0.17*SQRT('Parametros'!$B$2)*H590*MIN(U590,AB590)/1000</f>
        <v>198.088855822627</v>
      </c>
      <c r="AK590" s="10">
        <f>MAX(AI590/'Parametros'!$B$6-AJ590,0)</f>
        <v>81.5194347656083</v>
      </c>
      <c r="AL590" s="10">
        <f>0.66*SQRT('Parametros'!$B$2)*H590*MIN(U590,AB590)/1000</f>
        <v>769.050852017258</v>
      </c>
      <c r="AM590" s="10" t="str">
        <f>IF(AK590&lt;=AL590,"CUMPLE","NO CUMPLE")</f>
        <v>CUMPLE</v>
      </c>
      <c r="AN590" s="17" t="inlineStr">
        <is>
          <t>Nº3 cerrado</t>
        </is>
      </c>
      <c r="AO590" s="31" t="n">
        <v>2</v>
      </c>
      <c r="AP590" s="10">
        <f>ROUNDDOWN(MIN(IF(BC590+BD590=0,1000000000,AO590*BB590/(BC590+BD590)),MIN(U590,AB590)/4,8*'Parametros'!$B$12,24*BA590,300,IF(AV590=0,1000000000,2*((H590-2*('Parametros'!$B$7+'Parametros'!$B$9/2))+(I590-2*('Parametros'!$B$7+'Parametros'!$B$9/2)))/8))/10,0)*10</f>
        <v>120</v>
      </c>
      <c r="AQ590" s="10">
        <f>ROUNDDOWN(MIN(IF(BC590+BD590=0,1000000000,AO590*BB590/(BC590+BD590)),IF(AK590&gt;0.33*SQRT('Parametros'!$B$2)*H590*MIN(U590,AB590)/1000,MIN(U590,AB590)/4,MIN(U590,AB590)/2),600,IF(AV590=0,1000000000,2*((H590-2*('Parametros'!$B$7+'Parametros'!$B$9/2))+(I590-2*('Parametros'!$B$7+'Parametros'!$B$9/2)))/8))/10,0)*10</f>
        <v>240</v>
      </c>
      <c r="AR590" s="10">
        <f>'Parametros'!$B$6*(AJ590+MAX(BE590-BD590,0)*'Parametros'!$B$4*MIN(U590,AB590)/1000)</f>
        <v>330.97185436697</v>
      </c>
      <c r="AS590" s="10" t="str">
        <f>IF(AND(ISERROR(SEARCH("referencia",AN590)),AM590="CUMPLE",AR590&gt;=AI590),"CUMPLE","NO CUMPLE")</f>
        <v>CUMPLE</v>
      </c>
      <c r="AT590" s="10">
        <f>'Parametros'!$B$6*0.083*SQRT('Parametros'!$B$2)*(H590*I590)^2/(2*(H590+I590))/1000000</f>
        <v>10.0887830333379</v>
      </c>
      <c r="AU590" s="10" t="str">
        <f>IF(Q590&lt;=AT590,"DESPRECIABLE","DISEÑAR")</f>
        <v>DESPRECIABLE</v>
      </c>
      <c r="AV590" s="10">
        <f>IF(Q590&lt;=AT590,0,Q590*1000000/('Parametros'!$B$6*2*0.85*(H590-2*('Parametros'!$B$7+'Parametros'!$B$9/2))*(I590-2*('Parametros'!$B$7+'Parametros'!$B$9/2))*'Parametros'!$B$4))</f>
        <v>0</v>
      </c>
      <c r="AW590" s="10">
        <f>AV590*2*((H590-2*('Parametros'!$B$7+'Parametros'!$B$9/2))+(I590-2*('Parametros'!$B$7+'Parametros'!$B$9/2)))*'Parametros'!$B$4/'Parametros'!$B$3</f>
        <v>0</v>
      </c>
      <c r="AX590" s="31" t="n">
        <v>0</v>
      </c>
      <c r="AY590" s="10" t="str">
        <f>IF(AV590=0,"DESPRECIABLE",IF(AND(ISERROR(SEARCH("referencia",AN590)),BB590/AP590&gt;=AV590,BI590&gt;=AW590,BH590="CUMPLE"),"CUMPLE","NO CUMPLE"))</f>
        <v>DESPRECIABLE</v>
      </c>
      <c r="AZ590" s="10" t="str">
        <f>IF(AND(X590="CUMPLE",AE590="CUMPLE",AS590="CUMPLE",OR(AY590="CUMPLE",AY590="DESPRECIABLE"),BH590="CUMPLE",BJ590="CUMPLE"),"CUMPLE","NO CUMPLE")</f>
        <v>CUMPLE</v>
      </c>
      <c r="BA590" s="32" t="n">
        <v>9.5</v>
      </c>
      <c r="BB590" s="32" t="n">
        <v>71</v>
      </c>
      <c r="BC590" s="10">
        <f>MAX(IF(AK590=0,0,AK590*1000/('Parametros'!$B$4*MIN(U590,AB590))),MAX(0.062*SQRT('Parametros'!$B$2)*H590/'Parametros'!$B$4,0.35*H590/'Parametros'!$B$4))</f>
        <v>0.396636134257827</v>
      </c>
      <c r="BD590" s="10">
        <f>2*AV590</f>
        <v>0</v>
      </c>
      <c r="BE590" s="10">
        <f>AO590*BB590/AP590</f>
        <v>1.18333333333333</v>
      </c>
      <c r="BF590" s="10">
        <f>SQRT((AI590*1000/(H590*MIN(U590,AB590)))^2+(Q590*1000000*2*((H590-2*('Parametros'!$B$7+'Parametros'!$B$9/2))+(I590-2*('Parametros'!$B$7+'Parametros'!$B$9/2)))/(1.7*((H590-2*('Parametros'!$B$7+'Parametros'!$B$9/2))*(I590-2*('Parametros'!$B$7+'Parametros'!$B$9/2)))^2))^2)</f>
        <v>0.963589211043056</v>
      </c>
      <c r="BG590" s="10">
        <f>'Parametros'!$B$6*(AJ590*1000/(H590*MIN(U590,AB590))+0.66*SQRT('Parametros'!$B$2))</f>
        <v>3.29396038227542</v>
      </c>
      <c r="BH590" s="10" t="str">
        <f>IF(BF590&lt;=BG590,"CUMPLE","NO CUMPLE")</f>
        <v>CUMPLE</v>
      </c>
      <c r="BI590" s="10">
        <f>AX590*'Parametros'!$B$8</f>
        <v>0</v>
      </c>
      <c r="BJ590" s="10" t="str">
        <f>IF(BI590&gt;=AW590,"CUMPLE","NO CUMPLE")</f>
        <v>CUMPLE</v>
      </c>
    </row>
    <row r="591">
      <c r="A591" s="27" t="inlineStr">
        <is>
          <t>VRAUX</t>
        </is>
      </c>
      <c r="B591" s="27" t="inlineStr">
        <is>
          <t>140</t>
        </is>
      </c>
      <c r="C591" s="10" t="n">
        <v>1</v>
      </c>
      <c r="D591" s="10" t="n">
        <v>2</v>
      </c>
      <c r="E591" s="10" t="n">
        <v>2</v>
      </c>
      <c r="F591" s="10" t="n">
        <v>450</v>
      </c>
      <c r="G591" s="10" t="n">
        <v>550</v>
      </c>
      <c r="H591" s="17" t="n">
        <v>450</v>
      </c>
      <c r="I591" s="17" t="n">
        <v>550</v>
      </c>
      <c r="J591" s="30" t="n">
        <v>10.6413</v>
      </c>
      <c r="K591" s="10" t="inlineStr">
        <is>
          <t>140</t>
        </is>
      </c>
      <c r="L591" s="30" t="n">
        <v>4.1604</v>
      </c>
      <c r="M591" s="10" t="inlineStr">
        <is>
          <t>140</t>
        </is>
      </c>
      <c r="N591" s="30" t="n">
        <v>13.359</v>
      </c>
      <c r="O591" s="30" t="n">
        <v>27.323</v>
      </c>
      <c r="P591" s="10" t="inlineStr">
        <is>
          <t>140</t>
        </is>
      </c>
      <c r="Q591" s="30" t="n">
        <v>4.0908</v>
      </c>
      <c r="R591" s="10">
        <f>MAX(MAX(1.4/'Parametros'!$B$3,0.25*SQRT('Parametros'!$B$2)/'Parametros'!$B$3)*H591*U591,(0.85*'Parametros'!$B$2/'Parametros'!$B$3)*(1-SQRT(1-2*(J591*1000000/('Parametros'!$B$5*H591*U591^2))/(0.85*'Parametros'!$B$2)))*H591*U591)</f>
        <v>734.025</v>
      </c>
      <c r="S591" s="31" t="n">
        <v>4</v>
      </c>
      <c r="T591" s="32" t="n">
        <v>1</v>
      </c>
      <c r="U591" s="10">
        <f>IF(T591=1,I591-('Parametros'!$B$7+'Parametros'!$B$9+'Parametros'!$B$12/2),I591-(ROUNDUP(S591/2,0)*('Parametros'!$B$7+'Parametros'!$B$9+'Parametros'!$B$12/2)+ROUNDDOWN(S591/2,0)*('Parametros'!$B$7+'Parametros'!$B$9+'Parametros'!$B$12/2+'Parametros'!$B$12+'Parametros'!$B$10))/S591)</f>
        <v>489.35</v>
      </c>
      <c r="V591" s="10">
        <f>S591*'Parametros'!$B$8</f>
        <v>796</v>
      </c>
      <c r="W591" s="10">
        <f>'Parametros'!$B$5*V591*'Parametros'!$B$3*(U591-(V591*'Parametros'!$B$3/(0.85*'Parametros'!$B$2*H591))/2)/1000000</f>
        <v>142.543330094118</v>
      </c>
      <c r="X591" s="10" t="str">
        <f>IF(W591&gt;=J591,"CUMPLE","NO CUMPLE")</f>
        <v>CUMPLE</v>
      </c>
      <c r="Y591" s="10">
        <f>MAX(MAX(1.4/'Parametros'!$B$3,0.25*SQRT('Parametros'!$B$2)/'Parametros'!$B$3)*H591*AB591,(0.85*'Parametros'!$B$2/'Parametros'!$B$3)*(1-SQRT(1-2*(L591*1000000/('Parametros'!$B$5*H591*AB591^2))/(0.85*'Parametros'!$B$2)))*H591*AB591)</f>
        <v>734.025</v>
      </c>
      <c r="Z591" s="31" t="n">
        <v>4</v>
      </c>
      <c r="AA591" s="32" t="n">
        <v>1</v>
      </c>
      <c r="AB591" s="10">
        <f>IF(AA591=1,I591-('Parametros'!$B$7+'Parametros'!$B$9+'Parametros'!$B$12/2),I591-(ROUNDUP(Z591/2,0)*('Parametros'!$B$7+'Parametros'!$B$9+'Parametros'!$B$12/2)+ROUNDDOWN(Z591/2,0)*('Parametros'!$B$7+'Parametros'!$B$9+'Parametros'!$B$12/2+'Parametros'!$B$12+'Parametros'!$B$10))/Z591)</f>
        <v>489.35</v>
      </c>
      <c r="AC591" s="10">
        <f>Z591*'Parametros'!$B$8</f>
        <v>796</v>
      </c>
      <c r="AD591" s="10">
        <f>'Parametros'!$B$5*AC591*'Parametros'!$B$3*(AB591-(AC591*'Parametros'!$B$3/(0.85*'Parametros'!$B$2*H591))/2)/1000000</f>
        <v>142.543330094118</v>
      </c>
      <c r="AE591" s="10" t="str">
        <f>IF(AD591&gt;=L591,"CUMPLE","NO CUMPLE")</f>
        <v>CUMPLE</v>
      </c>
      <c r="AF591" s="10">
        <f>V591*1.25*'Parametros'!$B$3*(U591-(V591*1.25*'Parametros'!$B$3/(0.85*'Parametros'!$B$2*H591))/2)/1000000</f>
        <v>196.346217941176</v>
      </c>
      <c r="AG591" s="10">
        <f>AC591*1.25*'Parametros'!$B$3*(AB591-(AC591*1.25*'Parametros'!$B$3/(0.85*'Parametros'!$B$2*H591))/2)/1000000</f>
        <v>196.346217941176</v>
      </c>
      <c r="AH591" s="10">
        <f>N591+(AF591+AG591)/D591</f>
        <v>209.705217941176</v>
      </c>
      <c r="AI591" s="10">
        <f>MAX(O591,AH591)</f>
        <v>209.705217941176</v>
      </c>
      <c r="AJ591" s="10">
        <f>0.17*SQRT('Parametros'!$B$2)*H591*MIN(U591,AB591)/1000</f>
        <v>198.088855822627</v>
      </c>
      <c r="AK591" s="10">
        <f>MAX(AI591/'Parametros'!$B$6-AJ591,0)</f>
        <v>81.518101432275</v>
      </c>
      <c r="AL591" s="10">
        <f>0.66*SQRT('Parametros'!$B$2)*H591*MIN(U591,AB591)/1000</f>
        <v>769.050852017258</v>
      </c>
      <c r="AM591" s="10" t="str">
        <f>IF(AK591&lt;=AL591,"CUMPLE","NO CUMPLE")</f>
        <v>CUMPLE</v>
      </c>
      <c r="AN591" s="17" t="inlineStr">
        <is>
          <t>Nº3 cerrado</t>
        </is>
      </c>
      <c r="AO591" s="31" t="n">
        <v>2</v>
      </c>
      <c r="AP591" s="10">
        <f>ROUNDDOWN(MIN(IF(BC591+BD591=0,1000000000,AO591*BB591/(BC591+BD591)),MIN(U591,AB591)/4,8*'Parametros'!$B$12,24*BA591,300,IF(AV591=0,1000000000,2*((H591-2*('Parametros'!$B$7+'Parametros'!$B$9/2))+(I591-2*('Parametros'!$B$7+'Parametros'!$B$9/2)))/8))/10,0)*10</f>
        <v>120</v>
      </c>
      <c r="AQ591" s="10">
        <f>ROUNDDOWN(MIN(IF(BC591+BD591=0,1000000000,AO591*BB591/(BC591+BD591)),IF(AK591&gt;0.33*SQRT('Parametros'!$B$2)*H591*MIN(U591,AB591)/1000,MIN(U591,AB591)/4,MIN(U591,AB591)/2),600,IF(AV591=0,1000000000,2*((H591-2*('Parametros'!$B$7+'Parametros'!$B$9/2))+(I591-2*('Parametros'!$B$7+'Parametros'!$B$9/2)))/8))/10,0)*10</f>
        <v>240</v>
      </c>
      <c r="AR591" s="10">
        <f>'Parametros'!$B$6*(AJ591+MAX(BE591-BD591,0)*'Parametros'!$B$4*MIN(U591,AB591)/1000)</f>
        <v>330.97185436697</v>
      </c>
      <c r="AS591" s="10" t="str">
        <f>IF(AND(ISERROR(SEARCH("referencia",AN591)),AM591="CUMPLE",AR591&gt;=AI591),"CUMPLE","NO CUMPLE")</f>
        <v>CUMPLE</v>
      </c>
      <c r="AT591" s="10">
        <f>'Parametros'!$B$6*0.083*SQRT('Parametros'!$B$2)*(H591*I591)^2/(2*(H591+I591))/1000000</f>
        <v>10.0887830333379</v>
      </c>
      <c r="AU591" s="10" t="str">
        <f>IF(Q591&lt;=AT591,"DESPRECIABLE","DISEÑAR")</f>
        <v>DESPRECIABLE</v>
      </c>
      <c r="AV591" s="10">
        <f>IF(Q591&lt;=AT591,0,Q591*1000000/('Parametros'!$B$6*2*0.85*(H591-2*('Parametros'!$B$7+'Parametros'!$B$9/2))*(I591-2*('Parametros'!$B$7+'Parametros'!$B$9/2))*'Parametros'!$B$4))</f>
        <v>0</v>
      </c>
      <c r="AW591" s="10">
        <f>AV591*2*((H591-2*('Parametros'!$B$7+'Parametros'!$B$9/2))+(I591-2*('Parametros'!$B$7+'Parametros'!$B$9/2)))*'Parametros'!$B$4/'Parametros'!$B$3</f>
        <v>0</v>
      </c>
      <c r="AX591" s="31" t="n">
        <v>0</v>
      </c>
      <c r="AY591" s="10" t="str">
        <f>IF(AV591=0,"DESPRECIABLE",IF(AND(ISERROR(SEARCH("referencia",AN591)),BB591/AP591&gt;=AV591,BI591&gt;=AW591,BH591="CUMPLE"),"CUMPLE","NO CUMPLE"))</f>
        <v>DESPRECIABLE</v>
      </c>
      <c r="AZ591" s="10" t="str">
        <f>IF(AND(X591="CUMPLE",AE591="CUMPLE",AS591="CUMPLE",OR(AY591="CUMPLE",AY591="DESPRECIABLE"),BH591="CUMPLE",BJ591="CUMPLE"),"CUMPLE","NO CUMPLE")</f>
        <v>CUMPLE</v>
      </c>
      <c r="BA591" s="32" t="n">
        <v>9.5</v>
      </c>
      <c r="BB591" s="32" t="n">
        <v>71</v>
      </c>
      <c r="BC591" s="10">
        <f>MAX(IF(AK591=0,0,AK591*1000/('Parametros'!$B$4*MIN(U591,AB591))),MAX(0.062*SQRT('Parametros'!$B$2)*H591/'Parametros'!$B$4,0.35*H591/'Parametros'!$B$4))</f>
        <v>0.396629646870119</v>
      </c>
      <c r="BD591" s="10">
        <f>2*AV591</f>
        <v>0</v>
      </c>
      <c r="BE591" s="10">
        <f>AO591*BB591/AP591</f>
        <v>1.18333333333333</v>
      </c>
      <c r="BF591" s="10">
        <f>SQRT((AI591*1000/(H591*MIN(U591,AB591)))^2+(Q591*1000000*2*((H591-2*('Parametros'!$B$7+'Parametros'!$B$9/2))+(I591-2*('Parametros'!$B$7+'Parametros'!$B$9/2)))/(1.7*((H591-2*('Parametros'!$B$7+'Parametros'!$B$9/2))*(I591-2*('Parametros'!$B$7+'Parametros'!$B$9/2)))^2))^2)</f>
        <v>0.963562829799832</v>
      </c>
      <c r="BG591" s="10">
        <f>'Parametros'!$B$6*(AJ591*1000/(H591*MIN(U591,AB591))+0.66*SQRT('Parametros'!$B$2))</f>
        <v>3.29396038227542</v>
      </c>
      <c r="BH591" s="10" t="str">
        <f>IF(BF591&lt;=BG591,"CUMPLE","NO CUMPLE")</f>
        <v>CUMPLE</v>
      </c>
      <c r="BI591" s="10">
        <f>AX591*'Parametros'!$B$8</f>
        <v>0</v>
      </c>
      <c r="BJ591" s="10" t="str">
        <f>IF(BI591&gt;=AW591,"CUMPLE","NO CUMPLE")</f>
        <v>CUMPLE</v>
      </c>
    </row>
    <row r="592">
      <c r="A592" s="27" t="inlineStr">
        <is>
          <t>VRAUX</t>
        </is>
      </c>
      <c r="B592" s="27" t="inlineStr">
        <is>
          <t>141</t>
        </is>
      </c>
      <c r="C592" s="10" t="n">
        <v>1</v>
      </c>
      <c r="D592" s="10" t="n">
        <v>1.9</v>
      </c>
      <c r="E592" s="10" t="n">
        <v>1.9</v>
      </c>
      <c r="F592" s="10" t="n">
        <v>450</v>
      </c>
      <c r="G592" s="10" t="n">
        <v>550</v>
      </c>
      <c r="H592" s="17" t="n">
        <v>450</v>
      </c>
      <c r="I592" s="17" t="n">
        <v>550</v>
      </c>
      <c r="J592" s="30" t="n">
        <v>18.1522</v>
      </c>
      <c r="K592" s="10" t="inlineStr">
        <is>
          <t>141</t>
        </is>
      </c>
      <c r="L592" s="30" t="n">
        <v>0.4668</v>
      </c>
      <c r="M592" s="10" t="inlineStr">
        <is>
          <t>141</t>
        </is>
      </c>
      <c r="N592" s="30" t="n">
        <v>14.739</v>
      </c>
      <c r="O592" s="30" t="n">
        <v>23.367</v>
      </c>
      <c r="P592" s="10" t="inlineStr">
        <is>
          <t>141</t>
        </is>
      </c>
      <c r="Q592" s="30" t="n">
        <v>11.1232</v>
      </c>
      <c r="R592" s="10">
        <f>MAX(MAX(1.4/'Parametros'!$B$3,0.25*SQRT('Parametros'!$B$2)/'Parametros'!$B$3)*H592*U592,(0.85*'Parametros'!$B$2/'Parametros'!$B$3)*(1-SQRT(1-2*(J592*1000000/('Parametros'!$B$5*H592*U592^2))/(0.85*'Parametros'!$B$2)))*H592*U592)</f>
        <v>734.025</v>
      </c>
      <c r="S592" s="31" t="n">
        <v>4</v>
      </c>
      <c r="T592" s="32" t="n">
        <v>1</v>
      </c>
      <c r="U592" s="10">
        <f>IF(T592=1,I592-('Parametros'!$B$7+'Parametros'!$B$9+'Parametros'!$B$12/2),I592-(ROUNDUP(S592/2,0)*('Parametros'!$B$7+'Parametros'!$B$9+'Parametros'!$B$12/2)+ROUNDDOWN(S592/2,0)*('Parametros'!$B$7+'Parametros'!$B$9+'Parametros'!$B$12/2+'Parametros'!$B$12+'Parametros'!$B$10))/S592)</f>
        <v>489.35</v>
      </c>
      <c r="V592" s="10">
        <f>S592*'Parametros'!$B$8</f>
        <v>796</v>
      </c>
      <c r="W592" s="10">
        <f>'Parametros'!$B$5*V592*'Parametros'!$B$3*(U592-(V592*'Parametros'!$B$3/(0.85*'Parametros'!$B$2*H592))/2)/1000000</f>
        <v>142.543330094118</v>
      </c>
      <c r="X592" s="10" t="str">
        <f>IF(W592&gt;=J592,"CUMPLE","NO CUMPLE")</f>
        <v>CUMPLE</v>
      </c>
      <c r="Y592" s="10">
        <f>MAX(MAX(1.4/'Parametros'!$B$3,0.25*SQRT('Parametros'!$B$2)/'Parametros'!$B$3)*H592*AB592,(0.85*'Parametros'!$B$2/'Parametros'!$B$3)*(1-SQRT(1-2*(L592*1000000/('Parametros'!$B$5*H592*AB592^2))/(0.85*'Parametros'!$B$2)))*H592*AB592)</f>
        <v>734.025</v>
      </c>
      <c r="Z592" s="31" t="n">
        <v>4</v>
      </c>
      <c r="AA592" s="32" t="n">
        <v>1</v>
      </c>
      <c r="AB592" s="10">
        <f>IF(AA592=1,I592-('Parametros'!$B$7+'Parametros'!$B$9+'Parametros'!$B$12/2),I592-(ROUNDUP(Z592/2,0)*('Parametros'!$B$7+'Parametros'!$B$9+'Parametros'!$B$12/2)+ROUNDDOWN(Z592/2,0)*('Parametros'!$B$7+'Parametros'!$B$9+'Parametros'!$B$12/2+'Parametros'!$B$12+'Parametros'!$B$10))/Z592)</f>
        <v>489.35</v>
      </c>
      <c r="AC592" s="10">
        <f>Z592*'Parametros'!$B$8</f>
        <v>796</v>
      </c>
      <c r="AD592" s="10">
        <f>'Parametros'!$B$5*AC592*'Parametros'!$B$3*(AB592-(AC592*'Parametros'!$B$3/(0.85*'Parametros'!$B$2*H592))/2)/1000000</f>
        <v>142.543330094118</v>
      </c>
      <c r="AE592" s="10" t="str">
        <f>IF(AD592&gt;=L592,"CUMPLE","NO CUMPLE")</f>
        <v>CUMPLE</v>
      </c>
      <c r="AF592" s="10">
        <f>V592*1.25*'Parametros'!$B$3*(U592-(V592*1.25*'Parametros'!$B$3/(0.85*'Parametros'!$B$2*H592))/2)/1000000</f>
        <v>196.346217941176</v>
      </c>
      <c r="AG592" s="10">
        <f>AC592*1.25*'Parametros'!$B$3*(AB592-(AC592*1.25*'Parametros'!$B$3/(0.85*'Parametros'!$B$2*H592))/2)/1000000</f>
        <v>196.346217941176</v>
      </c>
      <c r="AH592" s="10">
        <f>N592+(AF592+AG592)/D592</f>
        <v>221.419229411765</v>
      </c>
      <c r="AI592" s="10">
        <f>MAX(O592,AH592)</f>
        <v>221.419229411765</v>
      </c>
      <c r="AJ592" s="10">
        <f>0.17*SQRT('Parametros'!$B$2)*H592*MIN(U592,AB592)/1000</f>
        <v>198.088855822627</v>
      </c>
      <c r="AK592" s="10">
        <f>MAX(AI592/'Parametros'!$B$6-AJ592,0)</f>
        <v>97.1367833930593</v>
      </c>
      <c r="AL592" s="10">
        <f>0.66*SQRT('Parametros'!$B$2)*H592*MIN(U592,AB592)/1000</f>
        <v>769.050852017258</v>
      </c>
      <c r="AM592" s="10" t="str">
        <f>IF(AK592&lt;=AL592,"CUMPLE","NO CUMPLE")</f>
        <v>CUMPLE</v>
      </c>
      <c r="AN592" s="17" t="inlineStr">
        <is>
          <t>Nº3 cerrado</t>
        </is>
      </c>
      <c r="AO592" s="31" t="n">
        <v>2</v>
      </c>
      <c r="AP592" s="10">
        <f>ROUNDDOWN(MIN(IF(BC592+BD592=0,1000000000,AO592*BB592/(BC592+BD592)),MIN(U592,AB592)/4,8*'Parametros'!$B$12,24*BA592,300,IF(AV592=0,1000000000,2*((H592-2*('Parametros'!$B$7+'Parametros'!$B$9/2))+(I592-2*('Parametros'!$B$7+'Parametros'!$B$9/2)))/8))/10,0)*10</f>
        <v>120</v>
      </c>
      <c r="AQ592" s="10">
        <f>ROUNDDOWN(MIN(IF(BC592+BD592=0,1000000000,AO592*BB592/(BC592+BD592)),IF(AK592&gt;0.33*SQRT('Parametros'!$B$2)*H592*MIN(U592,AB592)/1000,MIN(U592,AB592)/4,MIN(U592,AB592)/2),600,IF(AV592=0,1000000000,2*((H592-2*('Parametros'!$B$7+'Parametros'!$B$9/2))+(I592-2*('Parametros'!$B$7+'Parametros'!$B$9/2)))/8))/10,0)*10</f>
        <v>190</v>
      </c>
      <c r="AR592" s="10">
        <f>'Parametros'!$B$6*(AJ592+MAX(BE592-BD592,0)*'Parametros'!$B$4*MIN(U592,AB592)/1000)</f>
        <v>291.779965455325</v>
      </c>
      <c r="AS592" s="10" t="str">
        <f>IF(AND(ISERROR(SEARCH("referencia",AN592)),AM592="CUMPLE",AR592&gt;=AI592),"CUMPLE","NO CUMPLE")</f>
        <v>CUMPLE</v>
      </c>
      <c r="AT592" s="10">
        <f>'Parametros'!$B$6*0.083*SQRT('Parametros'!$B$2)*(H592*I592)^2/(2*(H592+I592))/1000000</f>
        <v>10.0887830333379</v>
      </c>
      <c r="AU592" s="10" t="str">
        <f>IF(Q592&lt;=AT592,"DESPRECIABLE","DISEÑAR")</f>
        <v>DISEÑAR</v>
      </c>
      <c r="AV592" s="10">
        <f>IF(Q592&lt;=AT592,0,Q592*1000000/('Parametros'!$B$6*2*0.85*(H592-2*('Parametros'!$B$7+'Parametros'!$B$9/2))*(I592-2*('Parametros'!$B$7+'Parametros'!$B$9/2))*'Parametros'!$B$4))</f>
        <v>0.127126489177076</v>
      </c>
      <c r="AW592" s="10">
        <f>AV592*2*((H592-2*('Parametros'!$B$7+'Parametros'!$B$9/2))+(I592-2*('Parametros'!$B$7+'Parametros'!$B$9/2)))*'Parametros'!$B$4/'Parametros'!$B$3</f>
        <v>207.114476167292</v>
      </c>
      <c r="AX592" s="31" t="n">
        <v>8</v>
      </c>
      <c r="AY592" s="10" t="str">
        <f>IF(AV592=0,"DESPRECIABLE",IF(AND(ISERROR(SEARCH("referencia",AN592)),BB592/AP592&gt;=AV592,BI592&gt;=AW592,BH592="CUMPLE"),"CUMPLE","NO CUMPLE"))</f>
        <v>CUMPLE</v>
      </c>
      <c r="AZ592" s="10" t="str">
        <f>IF(AND(X592="CUMPLE",AE592="CUMPLE",AS592="CUMPLE",OR(AY592="CUMPLE",AY592="DESPRECIABLE"),BH592="CUMPLE",BJ592="CUMPLE"),"CUMPLE","NO CUMPLE")</f>
        <v>CUMPLE</v>
      </c>
      <c r="BA592" s="32" t="n">
        <v>9.5</v>
      </c>
      <c r="BB592" s="32" t="n">
        <v>71</v>
      </c>
      <c r="BC592" s="10">
        <f>MAX(IF(AK592=0,0,AK592*1000/('Parametros'!$B$4*MIN(U592,AB592))),MAX(0.062*SQRT('Parametros'!$B$2)*H592/'Parametros'!$B$4,0.35*H592/'Parametros'!$B$4))</f>
        <v>0.472622980888444</v>
      </c>
      <c r="BD592" s="10">
        <f>2*AV592</f>
        <v>0.254252978354151</v>
      </c>
      <c r="BE592" s="10">
        <f>AO592*BB592/AP592</f>
        <v>1.18333333333333</v>
      </c>
      <c r="BF592" s="10">
        <f>SQRT((AI592*1000/(H592*MIN(U592,AB592)))^2+(Q592*1000000*2*((H592-2*('Parametros'!$B$7+'Parametros'!$B$9/2))+(I592-2*('Parametros'!$B$7+'Parametros'!$B$9/2)))/(1.7*((H592-2*('Parametros'!$B$7+'Parametros'!$B$9/2))*(I592-2*('Parametros'!$B$7+'Parametros'!$B$9/2)))^2))^2)</f>
        <v>1.08188119462741</v>
      </c>
      <c r="BG592" s="10">
        <f>'Parametros'!$B$6*(AJ592*1000/(H592*MIN(U592,AB592))+0.66*SQRT('Parametros'!$B$2))</f>
        <v>3.29396038227542</v>
      </c>
      <c r="BH592" s="10" t="str">
        <f>IF(BF592&lt;=BG592,"CUMPLE","NO CUMPLE")</f>
        <v>CUMPLE</v>
      </c>
      <c r="BI592" s="10">
        <f>AX592*'Parametros'!$B$8</f>
        <v>1592</v>
      </c>
      <c r="BJ592" s="10" t="str">
        <f>IF(BI592&gt;=AW592,"CUMPLE","NO CUMPLE")</f>
        <v>CUMPLE</v>
      </c>
    </row>
    <row r="593">
      <c r="A593" s="27" t="inlineStr">
        <is>
          <t>VRAUX</t>
        </is>
      </c>
      <c r="B593" s="27" t="inlineStr">
        <is>
          <t>142</t>
        </is>
      </c>
      <c r="C593" s="10" t="n">
        <v>1</v>
      </c>
      <c r="D593" s="10" t="n">
        <v>1.9</v>
      </c>
      <c r="E593" s="10" t="n">
        <v>1.9</v>
      </c>
      <c r="F593" s="10" t="n">
        <v>450</v>
      </c>
      <c r="G593" s="10" t="n">
        <v>550</v>
      </c>
      <c r="H593" s="17" t="n">
        <v>450</v>
      </c>
      <c r="I593" s="17" t="n">
        <v>550</v>
      </c>
      <c r="J593" s="30" t="n">
        <v>18.0913</v>
      </c>
      <c r="K593" s="10" t="inlineStr">
        <is>
          <t>142</t>
        </is>
      </c>
      <c r="L593" s="30" t="n">
        <v>0.4724</v>
      </c>
      <c r="M593" s="10" t="inlineStr">
        <is>
          <t>142</t>
        </is>
      </c>
      <c r="N593" s="30" t="n">
        <v>14.715</v>
      </c>
      <c r="O593" s="30" t="n">
        <v>23.343</v>
      </c>
      <c r="P593" s="10" t="inlineStr">
        <is>
          <t>142</t>
        </is>
      </c>
      <c r="Q593" s="30" t="n">
        <v>11.1105</v>
      </c>
      <c r="R593" s="10">
        <f>MAX(MAX(1.4/'Parametros'!$B$3,0.25*SQRT('Parametros'!$B$2)/'Parametros'!$B$3)*H593*U593,(0.85*'Parametros'!$B$2/'Parametros'!$B$3)*(1-SQRT(1-2*(J593*1000000/('Parametros'!$B$5*H593*U593^2))/(0.85*'Parametros'!$B$2)))*H593*U593)</f>
        <v>734.025</v>
      </c>
      <c r="S593" s="31" t="n">
        <v>4</v>
      </c>
      <c r="T593" s="32" t="n">
        <v>1</v>
      </c>
      <c r="U593" s="10">
        <f>IF(T593=1,I593-('Parametros'!$B$7+'Parametros'!$B$9+'Parametros'!$B$12/2),I593-(ROUNDUP(S593/2,0)*('Parametros'!$B$7+'Parametros'!$B$9+'Parametros'!$B$12/2)+ROUNDDOWN(S593/2,0)*('Parametros'!$B$7+'Parametros'!$B$9+'Parametros'!$B$12/2+'Parametros'!$B$12+'Parametros'!$B$10))/S593)</f>
        <v>489.35</v>
      </c>
      <c r="V593" s="10">
        <f>S593*'Parametros'!$B$8</f>
        <v>796</v>
      </c>
      <c r="W593" s="10">
        <f>'Parametros'!$B$5*V593*'Parametros'!$B$3*(U593-(V593*'Parametros'!$B$3/(0.85*'Parametros'!$B$2*H593))/2)/1000000</f>
        <v>142.543330094118</v>
      </c>
      <c r="X593" s="10" t="str">
        <f>IF(W593&gt;=J593,"CUMPLE","NO CUMPLE")</f>
        <v>CUMPLE</v>
      </c>
      <c r="Y593" s="10">
        <f>MAX(MAX(1.4/'Parametros'!$B$3,0.25*SQRT('Parametros'!$B$2)/'Parametros'!$B$3)*H593*AB593,(0.85*'Parametros'!$B$2/'Parametros'!$B$3)*(1-SQRT(1-2*(L593*1000000/('Parametros'!$B$5*H593*AB593^2))/(0.85*'Parametros'!$B$2)))*H593*AB593)</f>
        <v>734.025</v>
      </c>
      <c r="Z593" s="31" t="n">
        <v>4</v>
      </c>
      <c r="AA593" s="32" t="n">
        <v>1</v>
      </c>
      <c r="AB593" s="10">
        <f>IF(AA593=1,I593-('Parametros'!$B$7+'Parametros'!$B$9+'Parametros'!$B$12/2),I593-(ROUNDUP(Z593/2,0)*('Parametros'!$B$7+'Parametros'!$B$9+'Parametros'!$B$12/2)+ROUNDDOWN(Z593/2,0)*('Parametros'!$B$7+'Parametros'!$B$9+'Parametros'!$B$12/2+'Parametros'!$B$12+'Parametros'!$B$10))/Z593)</f>
        <v>489.35</v>
      </c>
      <c r="AC593" s="10">
        <f>Z593*'Parametros'!$B$8</f>
        <v>796</v>
      </c>
      <c r="AD593" s="10">
        <f>'Parametros'!$B$5*AC593*'Parametros'!$B$3*(AB593-(AC593*'Parametros'!$B$3/(0.85*'Parametros'!$B$2*H593))/2)/1000000</f>
        <v>142.543330094118</v>
      </c>
      <c r="AE593" s="10" t="str">
        <f>IF(AD593&gt;=L593,"CUMPLE","NO CUMPLE")</f>
        <v>CUMPLE</v>
      </c>
      <c r="AF593" s="10">
        <f>V593*1.25*'Parametros'!$B$3*(U593-(V593*1.25*'Parametros'!$B$3/(0.85*'Parametros'!$B$2*H593))/2)/1000000</f>
        <v>196.346217941176</v>
      </c>
      <c r="AG593" s="10">
        <f>AC593*1.25*'Parametros'!$B$3*(AB593-(AC593*1.25*'Parametros'!$B$3/(0.85*'Parametros'!$B$2*H593))/2)/1000000</f>
        <v>196.346217941176</v>
      </c>
      <c r="AH593" s="10">
        <f>N593+(AF593+AG593)/D593</f>
        <v>221.395229411765</v>
      </c>
      <c r="AI593" s="10">
        <f>MAX(O593,AH593)</f>
        <v>221.395229411765</v>
      </c>
      <c r="AJ593" s="10">
        <f>0.17*SQRT('Parametros'!$B$2)*H593*MIN(U593,AB593)/1000</f>
        <v>198.088855822627</v>
      </c>
      <c r="AK593" s="10">
        <f>MAX(AI593/'Parametros'!$B$6-AJ593,0)</f>
        <v>97.1047833930593</v>
      </c>
      <c r="AL593" s="10">
        <f>0.66*SQRT('Parametros'!$B$2)*H593*MIN(U593,AB593)/1000</f>
        <v>769.050852017258</v>
      </c>
      <c r="AM593" s="10" t="str">
        <f>IF(AK593&lt;=AL593,"CUMPLE","NO CUMPLE")</f>
        <v>CUMPLE</v>
      </c>
      <c r="AN593" s="17" t="inlineStr">
        <is>
          <t>Nº3 cerrado</t>
        </is>
      </c>
      <c r="AO593" s="31" t="n">
        <v>2</v>
      </c>
      <c r="AP593" s="10">
        <f>ROUNDDOWN(MIN(IF(BC593+BD593=0,1000000000,AO593*BB593/(BC593+BD593)),MIN(U593,AB593)/4,8*'Parametros'!$B$12,24*BA593,300,IF(AV593=0,1000000000,2*((H593-2*('Parametros'!$B$7+'Parametros'!$B$9/2))+(I593-2*('Parametros'!$B$7+'Parametros'!$B$9/2)))/8))/10,0)*10</f>
        <v>120</v>
      </c>
      <c r="AQ593" s="10">
        <f>ROUNDDOWN(MIN(IF(BC593+BD593=0,1000000000,AO593*BB593/(BC593+BD593)),IF(AK593&gt;0.33*SQRT('Parametros'!$B$2)*H593*MIN(U593,AB593)/1000,MIN(U593,AB593)/4,MIN(U593,AB593)/2),600,IF(AV593=0,1000000000,2*((H593-2*('Parametros'!$B$7+'Parametros'!$B$9/2))+(I593-2*('Parametros'!$B$7+'Parametros'!$B$9/2)))/8))/10,0)*10</f>
        <v>190</v>
      </c>
      <c r="AR593" s="10">
        <f>'Parametros'!$B$6*(AJ593+MAX(BE593-BD593,0)*'Parametros'!$B$4*MIN(U593,AB593)/1000)</f>
        <v>291.824713098915</v>
      </c>
      <c r="AS593" s="10" t="str">
        <f>IF(AND(ISERROR(SEARCH("referencia",AN593)),AM593="CUMPLE",AR593&gt;=AI593),"CUMPLE","NO CUMPLE")</f>
        <v>CUMPLE</v>
      </c>
      <c r="AT593" s="10">
        <f>'Parametros'!$B$6*0.083*SQRT('Parametros'!$B$2)*(H593*I593)^2/(2*(H593+I593))/1000000</f>
        <v>10.0887830333379</v>
      </c>
      <c r="AU593" s="10" t="str">
        <f>IF(Q593&lt;=AT593,"DESPRECIABLE","DISEÑAR")</f>
        <v>DISEÑAR</v>
      </c>
      <c r="AV593" s="10">
        <f>IF(Q593&lt;=AT593,0,Q593*1000000/('Parametros'!$B$6*2*0.85*(H593-2*('Parametros'!$B$7+'Parametros'!$B$9/2))*(I593-2*('Parametros'!$B$7+'Parametros'!$B$9/2))*'Parametros'!$B$4))</f>
        <v>0.126981341520597</v>
      </c>
      <c r="AW593" s="10">
        <f>AV593*2*((H593-2*('Parametros'!$B$7+'Parametros'!$B$9/2))+(I593-2*('Parametros'!$B$7+'Parametros'!$B$9/2)))*'Parametros'!$B$4/'Parametros'!$B$3</f>
        <v>206.878001605356</v>
      </c>
      <c r="AX593" s="31" t="n">
        <v>8</v>
      </c>
      <c r="AY593" s="10" t="str">
        <f>IF(AV593=0,"DESPRECIABLE",IF(AND(ISERROR(SEARCH("referencia",AN593)),BB593/AP593&gt;=AV593,BI593&gt;=AW593,BH593="CUMPLE"),"CUMPLE","NO CUMPLE"))</f>
        <v>CUMPLE</v>
      </c>
      <c r="AZ593" s="10" t="str">
        <f>IF(AND(X593="CUMPLE",AE593="CUMPLE",AS593="CUMPLE",OR(AY593="CUMPLE",AY593="DESPRECIABLE"),BH593="CUMPLE",BJ593="CUMPLE"),"CUMPLE","NO CUMPLE")</f>
        <v>CUMPLE</v>
      </c>
      <c r="BA593" s="32" t="n">
        <v>9.5</v>
      </c>
      <c r="BB593" s="32" t="n">
        <v>71</v>
      </c>
      <c r="BC593" s="10">
        <f>MAX(IF(AK593=0,0,AK593*1000/('Parametros'!$B$4*MIN(U593,AB593))),MAX(0.062*SQRT('Parametros'!$B$2)*H593/'Parametros'!$B$4,0.35*H593/'Parametros'!$B$4))</f>
        <v>0.472467283583467</v>
      </c>
      <c r="BD593" s="10">
        <f>2*AV593</f>
        <v>0.253962683041193</v>
      </c>
      <c r="BE593" s="10">
        <f>AO593*BB593/AP593</f>
        <v>1.18333333333333</v>
      </c>
      <c r="BF593" s="10">
        <f>SQRT((AI593*1000/(H593*MIN(U593,AB593)))^2+(Q593*1000000*2*((H593-2*('Parametros'!$B$7+'Parametros'!$B$9/2))+(I593-2*('Parametros'!$B$7+'Parametros'!$B$9/2)))/(1.7*((H593-2*('Parametros'!$B$7+'Parametros'!$B$9/2))*(I593-2*('Parametros'!$B$7+'Parametros'!$B$9/2)))^2))^2)</f>
        <v>1.08161171382293</v>
      </c>
      <c r="BG593" s="10">
        <f>'Parametros'!$B$6*(AJ593*1000/(H593*MIN(U593,AB593))+0.66*SQRT('Parametros'!$B$2))</f>
        <v>3.29396038227542</v>
      </c>
      <c r="BH593" s="10" t="str">
        <f>IF(BF593&lt;=BG593,"CUMPLE","NO CUMPLE")</f>
        <v>CUMPLE</v>
      </c>
      <c r="BI593" s="10">
        <f>AX593*'Parametros'!$B$8</f>
        <v>1592</v>
      </c>
      <c r="BJ593" s="10" t="str">
        <f>IF(BI593&gt;=AW593,"CUMPLE","NO CUMPLE")</f>
        <v>CUMPLE</v>
      </c>
    </row>
    <row r="594">
      <c r="A594" s="27" t="inlineStr">
        <is>
          <t>VRAUX</t>
        </is>
      </c>
      <c r="B594" s="27" t="inlineStr">
        <is>
          <t>143</t>
        </is>
      </c>
      <c r="C594" s="10" t="n">
        <v>1</v>
      </c>
      <c r="D594" s="10" t="n">
        <v>1.9</v>
      </c>
      <c r="E594" s="10" t="n">
        <v>1.9</v>
      </c>
      <c r="F594" s="10" t="n">
        <v>450</v>
      </c>
      <c r="G594" s="10" t="n">
        <v>550</v>
      </c>
      <c r="H594" s="17" t="n">
        <v>450</v>
      </c>
      <c r="I594" s="17" t="n">
        <v>550</v>
      </c>
      <c r="J594" s="30" t="n">
        <v>18.0782</v>
      </c>
      <c r="K594" s="10" t="inlineStr">
        <is>
          <t>143</t>
        </is>
      </c>
      <c r="L594" s="30" t="n">
        <v>0.4754</v>
      </c>
      <c r="M594" s="10" t="inlineStr">
        <is>
          <t>143</t>
        </is>
      </c>
      <c r="N594" s="30" t="n">
        <v>14.7</v>
      </c>
      <c r="O594" s="30" t="n">
        <v>23.361</v>
      </c>
      <c r="P594" s="10" t="inlineStr">
        <is>
          <t>143</t>
        </is>
      </c>
      <c r="Q594" s="30" t="n">
        <v>11.0735</v>
      </c>
      <c r="R594" s="10">
        <f>MAX(MAX(1.4/'Parametros'!$B$3,0.25*SQRT('Parametros'!$B$2)/'Parametros'!$B$3)*H594*U594,(0.85*'Parametros'!$B$2/'Parametros'!$B$3)*(1-SQRT(1-2*(J594*1000000/('Parametros'!$B$5*H594*U594^2))/(0.85*'Parametros'!$B$2)))*H594*U594)</f>
        <v>734.025</v>
      </c>
      <c r="S594" s="31" t="n">
        <v>4</v>
      </c>
      <c r="T594" s="32" t="n">
        <v>1</v>
      </c>
      <c r="U594" s="10">
        <f>IF(T594=1,I594-('Parametros'!$B$7+'Parametros'!$B$9+'Parametros'!$B$12/2),I594-(ROUNDUP(S594/2,0)*('Parametros'!$B$7+'Parametros'!$B$9+'Parametros'!$B$12/2)+ROUNDDOWN(S594/2,0)*('Parametros'!$B$7+'Parametros'!$B$9+'Parametros'!$B$12/2+'Parametros'!$B$12+'Parametros'!$B$10))/S594)</f>
        <v>489.35</v>
      </c>
      <c r="V594" s="10">
        <f>S594*'Parametros'!$B$8</f>
        <v>796</v>
      </c>
      <c r="W594" s="10">
        <f>'Parametros'!$B$5*V594*'Parametros'!$B$3*(U594-(V594*'Parametros'!$B$3/(0.85*'Parametros'!$B$2*H594))/2)/1000000</f>
        <v>142.543330094118</v>
      </c>
      <c r="X594" s="10" t="str">
        <f>IF(W594&gt;=J594,"CUMPLE","NO CUMPLE")</f>
        <v>CUMPLE</v>
      </c>
      <c r="Y594" s="10">
        <f>MAX(MAX(1.4/'Parametros'!$B$3,0.25*SQRT('Parametros'!$B$2)/'Parametros'!$B$3)*H594*AB594,(0.85*'Parametros'!$B$2/'Parametros'!$B$3)*(1-SQRT(1-2*(L594*1000000/('Parametros'!$B$5*H594*AB594^2))/(0.85*'Parametros'!$B$2)))*H594*AB594)</f>
        <v>734.025</v>
      </c>
      <c r="Z594" s="31" t="n">
        <v>4</v>
      </c>
      <c r="AA594" s="32" t="n">
        <v>1</v>
      </c>
      <c r="AB594" s="10">
        <f>IF(AA594=1,I594-('Parametros'!$B$7+'Parametros'!$B$9+'Parametros'!$B$12/2),I594-(ROUNDUP(Z594/2,0)*('Parametros'!$B$7+'Parametros'!$B$9+'Parametros'!$B$12/2)+ROUNDDOWN(Z594/2,0)*('Parametros'!$B$7+'Parametros'!$B$9+'Parametros'!$B$12/2+'Parametros'!$B$12+'Parametros'!$B$10))/Z594)</f>
        <v>489.35</v>
      </c>
      <c r="AC594" s="10">
        <f>Z594*'Parametros'!$B$8</f>
        <v>796</v>
      </c>
      <c r="AD594" s="10">
        <f>'Parametros'!$B$5*AC594*'Parametros'!$B$3*(AB594-(AC594*'Parametros'!$B$3/(0.85*'Parametros'!$B$2*H594))/2)/1000000</f>
        <v>142.543330094118</v>
      </c>
      <c r="AE594" s="10" t="str">
        <f>IF(AD594&gt;=L594,"CUMPLE","NO CUMPLE")</f>
        <v>CUMPLE</v>
      </c>
      <c r="AF594" s="10">
        <f>V594*1.25*'Parametros'!$B$3*(U594-(V594*1.25*'Parametros'!$B$3/(0.85*'Parametros'!$B$2*H594))/2)/1000000</f>
        <v>196.346217941176</v>
      </c>
      <c r="AG594" s="10">
        <f>AC594*1.25*'Parametros'!$B$3*(AB594-(AC594*1.25*'Parametros'!$B$3/(0.85*'Parametros'!$B$2*H594))/2)/1000000</f>
        <v>196.346217941176</v>
      </c>
      <c r="AH594" s="10">
        <f>N594+(AF594+AG594)/D594</f>
        <v>221.380229411765</v>
      </c>
      <c r="AI594" s="10">
        <f>MAX(O594,AH594)</f>
        <v>221.380229411765</v>
      </c>
      <c r="AJ594" s="10">
        <f>0.17*SQRT('Parametros'!$B$2)*H594*MIN(U594,AB594)/1000</f>
        <v>198.088855822627</v>
      </c>
      <c r="AK594" s="10">
        <f>MAX(AI594/'Parametros'!$B$6-AJ594,0)</f>
        <v>97.0847833930593</v>
      </c>
      <c r="AL594" s="10">
        <f>0.66*SQRT('Parametros'!$B$2)*H594*MIN(U594,AB594)/1000</f>
        <v>769.050852017258</v>
      </c>
      <c r="AM594" s="10" t="str">
        <f>IF(AK594&lt;=AL594,"CUMPLE","NO CUMPLE")</f>
        <v>CUMPLE</v>
      </c>
      <c r="AN594" s="17" t="inlineStr">
        <is>
          <t>Nº3 cerrado</t>
        </is>
      </c>
      <c r="AO594" s="31" t="n">
        <v>2</v>
      </c>
      <c r="AP594" s="10">
        <f>ROUNDDOWN(MIN(IF(BC594+BD594=0,1000000000,AO594*BB594/(BC594+BD594)),MIN(U594,AB594)/4,8*'Parametros'!$B$12,24*BA594,300,IF(AV594=0,1000000000,2*((H594-2*('Parametros'!$B$7+'Parametros'!$B$9/2))+(I594-2*('Parametros'!$B$7+'Parametros'!$B$9/2)))/8))/10,0)*10</f>
        <v>120</v>
      </c>
      <c r="AQ594" s="10">
        <f>ROUNDDOWN(MIN(IF(BC594+BD594=0,1000000000,AO594*BB594/(BC594+BD594)),IF(AK594&gt;0.33*SQRT('Parametros'!$B$2)*H594*MIN(U594,AB594)/1000,MIN(U594,AB594)/4,MIN(U594,AB594)/2),600,IF(AV594=0,1000000000,2*((H594-2*('Parametros'!$B$7+'Parametros'!$B$9/2))+(I594-2*('Parametros'!$B$7+'Parametros'!$B$9/2)))/8))/10,0)*10</f>
        <v>190</v>
      </c>
      <c r="AR594" s="10">
        <f>'Parametros'!$B$6*(AJ594+MAX(BE594-BD594,0)*'Parametros'!$B$4*MIN(U594,AB594)/1000)</f>
        <v>291.955080249531</v>
      </c>
      <c r="AS594" s="10" t="str">
        <f>IF(AND(ISERROR(SEARCH("referencia",AN594)),AM594="CUMPLE",AR594&gt;=AI594),"CUMPLE","NO CUMPLE")</f>
        <v>CUMPLE</v>
      </c>
      <c r="AT594" s="10">
        <f>'Parametros'!$B$6*0.083*SQRT('Parametros'!$B$2)*(H594*I594)^2/(2*(H594+I594))/1000000</f>
        <v>10.0887830333379</v>
      </c>
      <c r="AU594" s="10" t="str">
        <f>IF(Q594&lt;=AT594,"DESPRECIABLE","DISEÑAR")</f>
        <v>DISEÑAR</v>
      </c>
      <c r="AV594" s="10">
        <f>IF(Q594&lt;=AT594,0,Q594*1000000/('Parametros'!$B$6*2*0.85*(H594-2*('Parametros'!$B$7+'Parametros'!$B$9/2))*(I594-2*('Parametros'!$B$7+'Parametros'!$B$9/2))*'Parametros'!$B$4))</f>
        <v>0.126558470395421</v>
      </c>
      <c r="AW594" s="10">
        <f>AV594*2*((H594-2*('Parametros'!$B$7+'Parametros'!$B$9/2))+(I594-2*('Parametros'!$B$7+'Parametros'!$B$9/2)))*'Parametros'!$B$4/'Parametros'!$B$3</f>
        <v>206.18905996822</v>
      </c>
      <c r="AX594" s="31" t="n">
        <v>8</v>
      </c>
      <c r="AY594" s="10" t="str">
        <f>IF(AV594=0,"DESPRECIABLE",IF(AND(ISERROR(SEARCH("referencia",AN594)),BB594/AP594&gt;=AV594,BI594&gt;=AW594,BH594="CUMPLE"),"CUMPLE","NO CUMPLE"))</f>
        <v>CUMPLE</v>
      </c>
      <c r="AZ594" s="10" t="str">
        <f>IF(AND(X594="CUMPLE",AE594="CUMPLE",AS594="CUMPLE",OR(AY594="CUMPLE",AY594="DESPRECIABLE"),BH594="CUMPLE",BJ594="CUMPLE"),"CUMPLE","NO CUMPLE")</f>
        <v>CUMPLE</v>
      </c>
      <c r="BA594" s="32" t="n">
        <v>9.5</v>
      </c>
      <c r="BB594" s="32" t="n">
        <v>71</v>
      </c>
      <c r="BC594" s="10">
        <f>MAX(IF(AK594=0,0,AK594*1000/('Parametros'!$B$4*MIN(U594,AB594))),MAX(0.062*SQRT('Parametros'!$B$2)*H594/'Parametros'!$B$4,0.35*H594/'Parametros'!$B$4))</f>
        <v>0.472369972767857</v>
      </c>
      <c r="BD594" s="10">
        <f>2*AV594</f>
        <v>0.253116940790842</v>
      </c>
      <c r="BE594" s="10">
        <f>AO594*BB594/AP594</f>
        <v>1.18333333333333</v>
      </c>
      <c r="BF594" s="10">
        <f>SQRT((AI594*1000/(H594*MIN(U594,AB594)))^2+(Q594*1000000*2*((H594-2*('Parametros'!$B$7+'Parametros'!$B$9/2))+(I594-2*('Parametros'!$B$7+'Parametros'!$B$9/2)))/(1.7*((H594-2*('Parametros'!$B$7+'Parametros'!$B$9/2))*(I594-2*('Parametros'!$B$7+'Parametros'!$B$9/2)))^2))^2)</f>
        <v>1.08105931882188</v>
      </c>
      <c r="BG594" s="10">
        <f>'Parametros'!$B$6*(AJ594*1000/(H594*MIN(U594,AB594))+0.66*SQRT('Parametros'!$B$2))</f>
        <v>3.29396038227542</v>
      </c>
      <c r="BH594" s="10" t="str">
        <f>IF(BF594&lt;=BG594,"CUMPLE","NO CUMPLE")</f>
        <v>CUMPLE</v>
      </c>
      <c r="BI594" s="10">
        <f>AX594*'Parametros'!$B$8</f>
        <v>1592</v>
      </c>
      <c r="BJ594" s="10" t="str">
        <f>IF(BI594&gt;=AW594,"CUMPLE","NO CUMPLE")</f>
        <v>CUMPLE</v>
      </c>
    </row>
    <row r="595">
      <c r="A595" s="27" t="inlineStr">
        <is>
          <t>VRAUX</t>
        </is>
      </c>
      <c r="B595" s="27" t="inlineStr">
        <is>
          <t>144</t>
        </is>
      </c>
      <c r="C595" s="10" t="n">
        <v>1</v>
      </c>
      <c r="D595" s="10" t="n">
        <v>1.9</v>
      </c>
      <c r="E595" s="10" t="n">
        <v>1.9</v>
      </c>
      <c r="F595" s="10" t="n">
        <v>450</v>
      </c>
      <c r="G595" s="10" t="n">
        <v>550</v>
      </c>
      <c r="H595" s="17" t="n">
        <v>450</v>
      </c>
      <c r="I595" s="17" t="n">
        <v>550</v>
      </c>
      <c r="J595" s="30" t="n">
        <v>18.1238</v>
      </c>
      <c r="K595" s="10" t="inlineStr">
        <is>
          <t>144</t>
        </is>
      </c>
      <c r="L595" s="30" t="n">
        <v>0.471</v>
      </c>
      <c r="M595" s="10" t="inlineStr">
        <is>
          <t>144</t>
        </is>
      </c>
      <c r="N595" s="30" t="n">
        <v>14.718</v>
      </c>
      <c r="O595" s="30" t="n">
        <v>23.378</v>
      </c>
      <c r="P595" s="10" t="inlineStr">
        <is>
          <t>144</t>
        </is>
      </c>
      <c r="Q595" s="30" t="n">
        <v>11.0879</v>
      </c>
      <c r="R595" s="10">
        <f>MAX(MAX(1.4/'Parametros'!$B$3,0.25*SQRT('Parametros'!$B$2)/'Parametros'!$B$3)*H595*U595,(0.85*'Parametros'!$B$2/'Parametros'!$B$3)*(1-SQRT(1-2*(J595*1000000/('Parametros'!$B$5*H595*U595^2))/(0.85*'Parametros'!$B$2)))*H595*U595)</f>
        <v>734.025</v>
      </c>
      <c r="S595" s="31" t="n">
        <v>4</v>
      </c>
      <c r="T595" s="32" t="n">
        <v>1</v>
      </c>
      <c r="U595" s="10">
        <f>IF(T595=1,I595-('Parametros'!$B$7+'Parametros'!$B$9+'Parametros'!$B$12/2),I595-(ROUNDUP(S595/2,0)*('Parametros'!$B$7+'Parametros'!$B$9+'Parametros'!$B$12/2)+ROUNDDOWN(S595/2,0)*('Parametros'!$B$7+'Parametros'!$B$9+'Parametros'!$B$12/2+'Parametros'!$B$12+'Parametros'!$B$10))/S595)</f>
        <v>489.35</v>
      </c>
      <c r="V595" s="10">
        <f>S595*'Parametros'!$B$8</f>
        <v>796</v>
      </c>
      <c r="W595" s="10">
        <f>'Parametros'!$B$5*V595*'Parametros'!$B$3*(U595-(V595*'Parametros'!$B$3/(0.85*'Parametros'!$B$2*H595))/2)/1000000</f>
        <v>142.543330094118</v>
      </c>
      <c r="X595" s="10" t="str">
        <f>IF(W595&gt;=J595,"CUMPLE","NO CUMPLE")</f>
        <v>CUMPLE</v>
      </c>
      <c r="Y595" s="10">
        <f>MAX(MAX(1.4/'Parametros'!$B$3,0.25*SQRT('Parametros'!$B$2)/'Parametros'!$B$3)*H595*AB595,(0.85*'Parametros'!$B$2/'Parametros'!$B$3)*(1-SQRT(1-2*(L595*1000000/('Parametros'!$B$5*H595*AB595^2))/(0.85*'Parametros'!$B$2)))*H595*AB595)</f>
        <v>734.025</v>
      </c>
      <c r="Z595" s="31" t="n">
        <v>4</v>
      </c>
      <c r="AA595" s="32" t="n">
        <v>1</v>
      </c>
      <c r="AB595" s="10">
        <f>IF(AA595=1,I595-('Parametros'!$B$7+'Parametros'!$B$9+'Parametros'!$B$12/2),I595-(ROUNDUP(Z595/2,0)*('Parametros'!$B$7+'Parametros'!$B$9+'Parametros'!$B$12/2)+ROUNDDOWN(Z595/2,0)*('Parametros'!$B$7+'Parametros'!$B$9+'Parametros'!$B$12/2+'Parametros'!$B$12+'Parametros'!$B$10))/Z595)</f>
        <v>489.35</v>
      </c>
      <c r="AC595" s="10">
        <f>Z595*'Parametros'!$B$8</f>
        <v>796</v>
      </c>
      <c r="AD595" s="10">
        <f>'Parametros'!$B$5*AC595*'Parametros'!$B$3*(AB595-(AC595*'Parametros'!$B$3/(0.85*'Parametros'!$B$2*H595))/2)/1000000</f>
        <v>142.543330094118</v>
      </c>
      <c r="AE595" s="10" t="str">
        <f>IF(AD595&gt;=L595,"CUMPLE","NO CUMPLE")</f>
        <v>CUMPLE</v>
      </c>
      <c r="AF595" s="10">
        <f>V595*1.25*'Parametros'!$B$3*(U595-(V595*1.25*'Parametros'!$B$3/(0.85*'Parametros'!$B$2*H595))/2)/1000000</f>
        <v>196.346217941176</v>
      </c>
      <c r="AG595" s="10">
        <f>AC595*1.25*'Parametros'!$B$3*(AB595-(AC595*1.25*'Parametros'!$B$3/(0.85*'Parametros'!$B$2*H595))/2)/1000000</f>
        <v>196.346217941176</v>
      </c>
      <c r="AH595" s="10">
        <f>N595+(AF595+AG595)/D595</f>
        <v>221.398229411765</v>
      </c>
      <c r="AI595" s="10">
        <f>MAX(O595,AH595)</f>
        <v>221.398229411765</v>
      </c>
      <c r="AJ595" s="10">
        <f>0.17*SQRT('Parametros'!$B$2)*H595*MIN(U595,AB595)/1000</f>
        <v>198.088855822627</v>
      </c>
      <c r="AK595" s="10">
        <f>MAX(AI595/'Parametros'!$B$6-AJ595,0)</f>
        <v>97.1087833930593</v>
      </c>
      <c r="AL595" s="10">
        <f>0.66*SQRT('Parametros'!$B$2)*H595*MIN(U595,AB595)/1000</f>
        <v>769.050852017258</v>
      </c>
      <c r="AM595" s="10" t="str">
        <f>IF(AK595&lt;=AL595,"CUMPLE","NO CUMPLE")</f>
        <v>CUMPLE</v>
      </c>
      <c r="AN595" s="17" t="inlineStr">
        <is>
          <t>Nº3 cerrado</t>
        </is>
      </c>
      <c r="AO595" s="31" t="n">
        <v>2</v>
      </c>
      <c r="AP595" s="10">
        <f>ROUNDDOWN(MIN(IF(BC595+BD595=0,1000000000,AO595*BB595/(BC595+BD595)),MIN(U595,AB595)/4,8*'Parametros'!$B$12,24*BA595,300,IF(AV595=0,1000000000,2*((H595-2*('Parametros'!$B$7+'Parametros'!$B$9/2))+(I595-2*('Parametros'!$B$7+'Parametros'!$B$9/2)))/8))/10,0)*10</f>
        <v>120</v>
      </c>
      <c r="AQ595" s="10">
        <f>ROUNDDOWN(MIN(IF(BC595+BD595=0,1000000000,AO595*BB595/(BC595+BD595)),IF(AK595&gt;0.33*SQRT('Parametros'!$B$2)*H595*MIN(U595,AB595)/1000,MIN(U595,AB595)/4,MIN(U595,AB595)/2),600,IF(AV595=0,1000000000,2*((H595-2*('Parametros'!$B$7+'Parametros'!$B$9/2))+(I595-2*('Parametros'!$B$7+'Parametros'!$B$9/2)))/8))/10,0)*10</f>
        <v>190</v>
      </c>
      <c r="AR595" s="10">
        <f>'Parametros'!$B$6*(AJ595+MAX(BE595-BD595,0)*'Parametros'!$B$4*MIN(U595,AB595)/1000)</f>
        <v>291.904342763886</v>
      </c>
      <c r="AS595" s="10" t="str">
        <f>IF(AND(ISERROR(SEARCH("referencia",AN595)),AM595="CUMPLE",AR595&gt;=AI595),"CUMPLE","NO CUMPLE")</f>
        <v>CUMPLE</v>
      </c>
      <c r="AT595" s="10">
        <f>'Parametros'!$B$6*0.083*SQRT('Parametros'!$B$2)*(H595*I595)^2/(2*(H595+I595))/1000000</f>
        <v>10.0887830333379</v>
      </c>
      <c r="AU595" s="10" t="str">
        <f>IF(Q595&lt;=AT595,"DESPRECIABLE","DISEÑAR")</f>
        <v>DISEÑAR</v>
      </c>
      <c r="AV595" s="10">
        <f>IF(Q595&lt;=AT595,0,Q595*1000000/('Parametros'!$B$6*2*0.85*(H595-2*('Parametros'!$B$7+'Parametros'!$B$9/2))*(I595-2*('Parametros'!$B$7+'Parametros'!$B$9/2))*'Parametros'!$B$4))</f>
        <v>0.12672304726576</v>
      </c>
      <c r="AW595" s="10">
        <f>AV595*2*((H595-2*('Parametros'!$B$7+'Parametros'!$B$9/2))+(I595-2*('Parametros'!$B$7+'Parametros'!$B$9/2)))*'Parametros'!$B$4/'Parametros'!$B$3</f>
        <v>206.457188605376</v>
      </c>
      <c r="AX595" s="31" t="n">
        <v>8</v>
      </c>
      <c r="AY595" s="10" t="str">
        <f>IF(AV595=0,"DESPRECIABLE",IF(AND(ISERROR(SEARCH("referencia",AN595)),BB595/AP595&gt;=AV595,BI595&gt;=AW595,BH595="CUMPLE"),"CUMPLE","NO CUMPLE"))</f>
        <v>CUMPLE</v>
      </c>
      <c r="AZ595" s="10" t="str">
        <f>IF(AND(X595="CUMPLE",AE595="CUMPLE",AS595="CUMPLE",OR(AY595="CUMPLE",AY595="DESPRECIABLE"),BH595="CUMPLE",BJ595="CUMPLE"),"CUMPLE","NO CUMPLE")</f>
        <v>CUMPLE</v>
      </c>
      <c r="BA595" s="32" t="n">
        <v>9.5</v>
      </c>
      <c r="BB595" s="32" t="n">
        <v>71</v>
      </c>
      <c r="BC595" s="10">
        <f>MAX(IF(AK595=0,0,AK595*1000/('Parametros'!$B$4*MIN(U595,AB595))),MAX(0.062*SQRT('Parametros'!$B$2)*H595/'Parametros'!$B$4,0.35*H595/'Parametros'!$B$4))</f>
        <v>0.472486745746589</v>
      </c>
      <c r="BD595" s="10">
        <f>2*AV595</f>
        <v>0.253446094531519</v>
      </c>
      <c r="BE595" s="10">
        <f>AO595*BB595/AP595</f>
        <v>1.18333333333333</v>
      </c>
      <c r="BF595" s="10">
        <f>SQRT((AI595*1000/(H595*MIN(U595,AB595)))^2+(Q595*1000000*2*((H595-2*('Parametros'!$B$7+'Parametros'!$B$9/2))+(I595-2*('Parametros'!$B$7+'Parametros'!$B$9/2)))/(1.7*((H595-2*('Parametros'!$B$7+'Parametros'!$B$9/2))*(I595-2*('Parametros'!$B$7+'Parametros'!$B$9/2)))^2))^2)</f>
        <v>1.0813254967253</v>
      </c>
      <c r="BG595" s="10">
        <f>'Parametros'!$B$6*(AJ595*1000/(H595*MIN(U595,AB595))+0.66*SQRT('Parametros'!$B$2))</f>
        <v>3.29396038227542</v>
      </c>
      <c r="BH595" s="10" t="str">
        <f>IF(BF595&lt;=BG595,"CUMPLE","NO CUMPLE")</f>
        <v>CUMPLE</v>
      </c>
      <c r="BI595" s="10">
        <f>AX595*'Parametros'!$B$8</f>
        <v>1592</v>
      </c>
      <c r="BJ595" s="10" t="str">
        <f>IF(BI595&gt;=AW595,"CUMPLE","NO CUMPLE")</f>
        <v>CUMPLE</v>
      </c>
    </row>
  </sheetData>
  <autoFilter ref="A3:BJ595"/>
  <mergeCells count="2">
    <mergeCell ref="A2:BJ2"/>
    <mergeCell ref="A1:BJ1"/>
  </mergeCells>
  <conditionalFormatting sqref="X4:X595">
    <cfRule type="cellIs" priority="1" operator="equal" dxfId="0">
      <formula>"CUMPLE"</formula>
    </cfRule>
  </conditionalFormatting>
  <conditionalFormatting sqref="AE4:AE595">
    <cfRule type="cellIs" priority="2" operator="equal" dxfId="0">
      <formula>"CUMPLE"</formula>
    </cfRule>
  </conditionalFormatting>
  <conditionalFormatting sqref="AS4:AS595">
    <cfRule type="cellIs" priority="3" operator="equal" dxfId="0">
      <formula>"CUMPLE"</formula>
    </cfRule>
  </conditionalFormatting>
  <conditionalFormatting sqref="AZ4:AZ595"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5" customWidth="1" min="4" max="4"/>
    <col width="13" customWidth="1" min="5" max="5"/>
    <col width="16" customWidth="1" min="6" max="6"/>
    <col width="13" customWidth="1" min="7" max="7"/>
    <col width="14" customWidth="1" min="8" max="8"/>
    <col width="17" customWidth="1" min="9" max="9"/>
    <col width="18" customWidth="1" min="10" max="10"/>
  </cols>
  <sheetData>
    <row r="1">
      <c r="A1" s="28" t="inlineStr">
        <is>
          <t>CONTROL CONSERVADOR DE TORSIÓN — SIN REDISTRIBUCIÓN</t>
        </is>
      </c>
    </row>
    <row r="2">
      <c r="A2" s="33" t="inlineStr">
        <is>
          <t>Tu diseño = máx(|T| ENVFLEX, |T| ENVCORT), sin limitar a φTcr. Los casos que exceden φTcr quedan marcados para demostrar compatibilidad y reanalizar la redistribución antes de reducir Tu.</t>
        </is>
      </c>
    </row>
    <row r="4">
      <c r="A4" s="34" t="inlineStr">
        <is>
          <t>Grupo</t>
        </is>
      </c>
      <c r="B4" s="34" t="inlineStr">
        <is>
          <t>Frame</t>
        </is>
      </c>
      <c r="C4" s="34" t="inlineStr">
        <is>
          <t>Tu ENVFLEX</t>
        </is>
      </c>
      <c r="D4" s="34" t="inlineStr">
        <is>
          <t>Tu ENVCORT</t>
        </is>
      </c>
      <c r="E4" s="34" t="inlineStr">
        <is>
          <t>Tu bruto</t>
        </is>
      </c>
      <c r="F4" s="34" t="inlineStr">
        <is>
          <t>φTcr referencia</t>
        </is>
      </c>
      <c r="G4" s="34" t="inlineStr">
        <is>
          <t>Tu diseño</t>
        </is>
      </c>
      <c r="H4" s="34" t="inlineStr">
        <is>
          <t>Requiere estudio compat.</t>
        </is>
      </c>
      <c r="I4" s="34" t="inlineStr">
        <is>
          <t>Sección (mm)</t>
        </is>
      </c>
      <c r="J4" s="34" t="inlineStr">
        <is>
          <t>Estado seccional</t>
        </is>
      </c>
    </row>
    <row r="5">
      <c r="A5" s="13" t="inlineStr">
        <is>
          <t>VC1</t>
        </is>
      </c>
      <c r="B5" s="10" t="inlineStr">
        <is>
          <t>148</t>
        </is>
      </c>
      <c r="C5" s="32" t="n">
        <v>4.6669</v>
      </c>
      <c r="D5" s="32" t="n">
        <v>13.2234</v>
      </c>
      <c r="E5" s="32" t="n">
        <v>13.2234</v>
      </c>
      <c r="F5" s="32" t="n">
        <v>40.11202892772908</v>
      </c>
      <c r="G5" s="32" t="n">
        <v>13.2234</v>
      </c>
      <c r="H5" s="10" t="inlineStr">
        <is>
          <t>NO</t>
        </is>
      </c>
      <c r="I5" s="10" t="inlineStr">
        <is>
          <t>450×550</t>
        </is>
      </c>
      <c r="J5" s="15" t="inlineStr">
        <is>
          <t>CUMPLE</t>
        </is>
      </c>
    </row>
    <row r="6">
      <c r="A6" s="13" t="inlineStr">
        <is>
          <t>VC1</t>
        </is>
      </c>
      <c r="B6" s="10" t="inlineStr">
        <is>
          <t>149</t>
        </is>
      </c>
      <c r="C6" s="32" t="n">
        <v>4.6667</v>
      </c>
      <c r="D6" s="32" t="n">
        <v>13.2232</v>
      </c>
      <c r="E6" s="32" t="n">
        <v>13.2232</v>
      </c>
      <c r="F6" s="32" t="n">
        <v>40.11202892772908</v>
      </c>
      <c r="G6" s="32" t="n">
        <v>13.2232</v>
      </c>
      <c r="H6" s="10" t="inlineStr">
        <is>
          <t>NO</t>
        </is>
      </c>
      <c r="I6" s="10" t="inlineStr">
        <is>
          <t>450×550</t>
        </is>
      </c>
      <c r="J6" s="15" t="inlineStr">
        <is>
          <t>CUMPLE</t>
        </is>
      </c>
    </row>
    <row r="7">
      <c r="A7" s="13" t="inlineStr">
        <is>
          <t>VC1</t>
        </is>
      </c>
      <c r="B7" s="10" t="inlineStr">
        <is>
          <t>153</t>
        </is>
      </c>
      <c r="C7" s="32" t="n">
        <v>4.6668</v>
      </c>
      <c r="D7" s="32" t="n">
        <v>13.2232</v>
      </c>
      <c r="E7" s="32" t="n">
        <v>13.2232</v>
      </c>
      <c r="F7" s="32" t="n">
        <v>40.11202892772908</v>
      </c>
      <c r="G7" s="32" t="n">
        <v>13.2232</v>
      </c>
      <c r="H7" s="10" t="inlineStr">
        <is>
          <t>NO</t>
        </is>
      </c>
      <c r="I7" s="10" t="inlineStr">
        <is>
          <t>450×550</t>
        </is>
      </c>
      <c r="J7" s="15" t="inlineStr">
        <is>
          <t>CUMPLE</t>
        </is>
      </c>
    </row>
    <row r="8">
      <c r="A8" s="13" t="inlineStr">
        <is>
          <t>VC1</t>
        </is>
      </c>
      <c r="B8" s="10" t="inlineStr">
        <is>
          <t>154</t>
        </is>
      </c>
      <c r="C8" s="32" t="n">
        <v>4.667</v>
      </c>
      <c r="D8" s="32" t="n">
        <v>13.2234</v>
      </c>
      <c r="E8" s="32" t="n">
        <v>13.2234</v>
      </c>
      <c r="F8" s="32" t="n">
        <v>40.11202892772908</v>
      </c>
      <c r="G8" s="32" t="n">
        <v>13.2234</v>
      </c>
      <c r="H8" s="10" t="inlineStr">
        <is>
          <t>NO</t>
        </is>
      </c>
      <c r="I8" s="10" t="inlineStr">
        <is>
          <t>450×550</t>
        </is>
      </c>
      <c r="J8" s="15" t="inlineStr">
        <is>
          <t>CUMPLE</t>
        </is>
      </c>
    </row>
    <row r="9">
      <c r="A9" s="13" t="inlineStr">
        <is>
          <t>VC1</t>
        </is>
      </c>
      <c r="B9" s="10" t="inlineStr">
        <is>
          <t>158</t>
        </is>
      </c>
      <c r="C9" s="32" t="n">
        <v>4.093</v>
      </c>
      <c r="D9" s="32" t="n">
        <v>12.0746</v>
      </c>
      <c r="E9" s="32" t="n">
        <v>12.0746</v>
      </c>
      <c r="F9" s="32" t="n">
        <v>40.11202892772908</v>
      </c>
      <c r="G9" s="32" t="n">
        <v>12.0746</v>
      </c>
      <c r="H9" s="10" t="inlineStr">
        <is>
          <t>NO</t>
        </is>
      </c>
      <c r="I9" s="10" t="inlineStr">
        <is>
          <t>450×550</t>
        </is>
      </c>
      <c r="J9" s="15" t="inlineStr">
        <is>
          <t>CUMPLE</t>
        </is>
      </c>
    </row>
    <row r="10">
      <c r="A10" s="13" t="inlineStr">
        <is>
          <t>VC1</t>
        </is>
      </c>
      <c r="B10" s="10" t="inlineStr">
        <is>
          <t>159</t>
        </is>
      </c>
      <c r="C10" s="32" t="n">
        <v>4.0931</v>
      </c>
      <c r="D10" s="32" t="n">
        <v>12.0748</v>
      </c>
      <c r="E10" s="32" t="n">
        <v>12.0748</v>
      </c>
      <c r="F10" s="32" t="n">
        <v>40.11202892772908</v>
      </c>
      <c r="G10" s="32" t="n">
        <v>12.0748</v>
      </c>
      <c r="H10" s="10" t="inlineStr">
        <is>
          <t>NO</t>
        </is>
      </c>
      <c r="I10" s="10" t="inlineStr">
        <is>
          <t>450×550</t>
        </is>
      </c>
      <c r="J10" s="15" t="inlineStr">
        <is>
          <t>CUMPLE</t>
        </is>
      </c>
    </row>
    <row r="11">
      <c r="A11" s="13" t="inlineStr">
        <is>
          <t>VC1</t>
        </is>
      </c>
      <c r="B11" s="10" t="inlineStr">
        <is>
          <t>163</t>
        </is>
      </c>
      <c r="C11" s="32" t="n">
        <v>3.4919</v>
      </c>
      <c r="D11" s="32" t="n">
        <v>9.923</v>
      </c>
      <c r="E11" s="32" t="n">
        <v>9.923</v>
      </c>
      <c r="F11" s="32" t="n">
        <v>40.11202892772908</v>
      </c>
      <c r="G11" s="32" t="n">
        <v>9.923</v>
      </c>
      <c r="H11" s="10" t="inlineStr">
        <is>
          <t>NO</t>
        </is>
      </c>
      <c r="I11" s="10" t="inlineStr">
        <is>
          <t>450×550</t>
        </is>
      </c>
      <c r="J11" s="15" t="inlineStr">
        <is>
          <t>CUMPLE</t>
        </is>
      </c>
    </row>
    <row r="12">
      <c r="A12" s="13" t="inlineStr">
        <is>
          <t>VC1</t>
        </is>
      </c>
      <c r="B12" s="10" t="inlineStr">
        <is>
          <t>164</t>
        </is>
      </c>
      <c r="C12" s="32" t="n">
        <v>3.4922</v>
      </c>
      <c r="D12" s="32" t="n">
        <v>9.923299999999999</v>
      </c>
      <c r="E12" s="32" t="n">
        <v>9.923299999999999</v>
      </c>
      <c r="F12" s="32" t="n">
        <v>40.11202892772908</v>
      </c>
      <c r="G12" s="32" t="n">
        <v>9.923299999999999</v>
      </c>
      <c r="H12" s="10" t="inlineStr">
        <is>
          <t>NO</t>
        </is>
      </c>
      <c r="I12" s="10" t="inlineStr">
        <is>
          <t>450×550</t>
        </is>
      </c>
      <c r="J12" s="15" t="inlineStr">
        <is>
          <t>CUMPLE</t>
        </is>
      </c>
    </row>
    <row r="13">
      <c r="A13" s="13" t="inlineStr">
        <is>
          <t>VC1</t>
        </is>
      </c>
      <c r="B13" s="10" t="inlineStr">
        <is>
          <t>168</t>
        </is>
      </c>
      <c r="C13" s="32" t="n">
        <v>3.375</v>
      </c>
      <c r="D13" s="32" t="n">
        <v>7.678</v>
      </c>
      <c r="E13" s="32" t="n">
        <v>7.678</v>
      </c>
      <c r="F13" s="32" t="n">
        <v>40.11202892772908</v>
      </c>
      <c r="G13" s="32" t="n">
        <v>7.678</v>
      </c>
      <c r="H13" s="10" t="inlineStr">
        <is>
          <t>NO</t>
        </is>
      </c>
      <c r="I13" s="10" t="inlineStr">
        <is>
          <t>450×550</t>
        </is>
      </c>
      <c r="J13" s="15" t="inlineStr">
        <is>
          <t>CUMPLE</t>
        </is>
      </c>
    </row>
    <row r="14">
      <c r="A14" s="13" t="inlineStr">
        <is>
          <t>VC1</t>
        </is>
      </c>
      <c r="B14" s="10" t="inlineStr">
        <is>
          <t>169</t>
        </is>
      </c>
      <c r="C14" s="32" t="n">
        <v>3.3751</v>
      </c>
      <c r="D14" s="32" t="n">
        <v>7.6782</v>
      </c>
      <c r="E14" s="32" t="n">
        <v>7.6782</v>
      </c>
      <c r="F14" s="32" t="n">
        <v>40.11202892772908</v>
      </c>
      <c r="G14" s="32" t="n">
        <v>7.6782</v>
      </c>
      <c r="H14" s="10" t="inlineStr">
        <is>
          <t>NO</t>
        </is>
      </c>
      <c r="I14" s="10" t="inlineStr">
        <is>
          <t>450×550</t>
        </is>
      </c>
      <c r="J14" s="15" t="inlineStr">
        <is>
          <t>CUMPLE</t>
        </is>
      </c>
    </row>
    <row r="15">
      <c r="A15" s="13" t="inlineStr">
        <is>
          <t>VC1</t>
        </is>
      </c>
      <c r="B15" s="10" t="inlineStr">
        <is>
          <t>173</t>
        </is>
      </c>
      <c r="C15" s="32" t="n">
        <v>2.9612</v>
      </c>
      <c r="D15" s="32" t="n">
        <v>5.3313</v>
      </c>
      <c r="E15" s="32" t="n">
        <v>5.3313</v>
      </c>
      <c r="F15" s="32" t="n">
        <v>40.11202892772908</v>
      </c>
      <c r="G15" s="32" t="n">
        <v>5.3313</v>
      </c>
      <c r="H15" s="10" t="inlineStr">
        <is>
          <t>NO</t>
        </is>
      </c>
      <c r="I15" s="10" t="inlineStr">
        <is>
          <t>450×550</t>
        </is>
      </c>
      <c r="J15" s="15" t="inlineStr">
        <is>
          <t>CUMPLE</t>
        </is>
      </c>
    </row>
    <row r="16">
      <c r="A16" s="13" t="inlineStr">
        <is>
          <t>VC1</t>
        </is>
      </c>
      <c r="B16" s="10" t="inlineStr">
        <is>
          <t>174</t>
        </is>
      </c>
      <c r="C16" s="32" t="n">
        <v>2.9617</v>
      </c>
      <c r="D16" s="32" t="n">
        <v>5.3318</v>
      </c>
      <c r="E16" s="32" t="n">
        <v>5.3318</v>
      </c>
      <c r="F16" s="32" t="n">
        <v>40.11202892772908</v>
      </c>
      <c r="G16" s="32" t="n">
        <v>5.3318</v>
      </c>
      <c r="H16" s="10" t="inlineStr">
        <is>
          <t>NO</t>
        </is>
      </c>
      <c r="I16" s="10" t="inlineStr">
        <is>
          <t>450×550</t>
        </is>
      </c>
      <c r="J16" s="15" t="inlineStr">
        <is>
          <t>CUMPLE</t>
        </is>
      </c>
    </row>
    <row r="17">
      <c r="A17" s="13" t="inlineStr">
        <is>
          <t>VC1</t>
        </is>
      </c>
      <c r="B17" s="10" t="inlineStr">
        <is>
          <t>178</t>
        </is>
      </c>
      <c r="C17" s="32" t="n">
        <v>4.0938</v>
      </c>
      <c r="D17" s="32" t="n">
        <v>12.0751</v>
      </c>
      <c r="E17" s="32" t="n">
        <v>12.0751</v>
      </c>
      <c r="F17" s="32" t="n">
        <v>40.11202892772908</v>
      </c>
      <c r="G17" s="32" t="n">
        <v>12.0751</v>
      </c>
      <c r="H17" s="10" t="inlineStr">
        <is>
          <t>NO</t>
        </is>
      </c>
      <c r="I17" s="10" t="inlineStr">
        <is>
          <t>450×550</t>
        </is>
      </c>
      <c r="J17" s="15" t="inlineStr">
        <is>
          <t>CUMPLE</t>
        </is>
      </c>
    </row>
    <row r="18">
      <c r="A18" s="13" t="inlineStr">
        <is>
          <t>VC1</t>
        </is>
      </c>
      <c r="B18" s="10" t="inlineStr">
        <is>
          <t>179</t>
        </is>
      </c>
      <c r="C18" s="32" t="n">
        <v>4.0936</v>
      </c>
      <c r="D18" s="32" t="n">
        <v>12.075</v>
      </c>
      <c r="E18" s="32" t="n">
        <v>12.075</v>
      </c>
      <c r="F18" s="32" t="n">
        <v>40.11202892772908</v>
      </c>
      <c r="G18" s="32" t="n">
        <v>12.075</v>
      </c>
      <c r="H18" s="10" t="inlineStr">
        <is>
          <t>NO</t>
        </is>
      </c>
      <c r="I18" s="10" t="inlineStr">
        <is>
          <t>450×550</t>
        </is>
      </c>
      <c r="J18" s="15" t="inlineStr">
        <is>
          <t>CUMPLE</t>
        </is>
      </c>
    </row>
    <row r="19">
      <c r="A19" s="13" t="inlineStr">
        <is>
          <t>VC1</t>
        </is>
      </c>
      <c r="B19" s="10" t="inlineStr">
        <is>
          <t>183</t>
        </is>
      </c>
      <c r="C19" s="32" t="n">
        <v>3.4923</v>
      </c>
      <c r="D19" s="32" t="n">
        <v>9.9231</v>
      </c>
      <c r="E19" s="32" t="n">
        <v>9.9231</v>
      </c>
      <c r="F19" s="32" t="n">
        <v>40.11202892772908</v>
      </c>
      <c r="G19" s="32" t="n">
        <v>9.9231</v>
      </c>
      <c r="H19" s="10" t="inlineStr">
        <is>
          <t>NO</t>
        </is>
      </c>
      <c r="I19" s="10" t="inlineStr">
        <is>
          <t>450×550</t>
        </is>
      </c>
      <c r="J19" s="15" t="inlineStr">
        <is>
          <t>CUMPLE</t>
        </is>
      </c>
    </row>
    <row r="20">
      <c r="A20" s="13" t="inlineStr">
        <is>
          <t>VC1</t>
        </is>
      </c>
      <c r="B20" s="10" t="inlineStr">
        <is>
          <t>184</t>
        </is>
      </c>
      <c r="C20" s="32" t="n">
        <v>3.492</v>
      </c>
      <c r="D20" s="32" t="n">
        <v>9.922800000000001</v>
      </c>
      <c r="E20" s="32" t="n">
        <v>9.922800000000001</v>
      </c>
      <c r="F20" s="32" t="n">
        <v>40.11202892772908</v>
      </c>
      <c r="G20" s="32" t="n">
        <v>9.922800000000001</v>
      </c>
      <c r="H20" s="10" t="inlineStr">
        <is>
          <t>NO</t>
        </is>
      </c>
      <c r="I20" s="10" t="inlineStr">
        <is>
          <t>450×550</t>
        </is>
      </c>
      <c r="J20" s="15" t="inlineStr">
        <is>
          <t>CUMPLE</t>
        </is>
      </c>
    </row>
    <row r="21">
      <c r="A21" s="13" t="inlineStr">
        <is>
          <t>VC1</t>
        </is>
      </c>
      <c r="B21" s="10" t="inlineStr">
        <is>
          <t>188</t>
        </is>
      </c>
      <c r="C21" s="32" t="n">
        <v>3.3756</v>
      </c>
      <c r="D21" s="32" t="n">
        <v>7.6784</v>
      </c>
      <c r="E21" s="32" t="n">
        <v>7.6784</v>
      </c>
      <c r="F21" s="32" t="n">
        <v>40.11202892772908</v>
      </c>
      <c r="G21" s="32" t="n">
        <v>7.6784</v>
      </c>
      <c r="H21" s="10" t="inlineStr">
        <is>
          <t>NO</t>
        </is>
      </c>
      <c r="I21" s="10" t="inlineStr">
        <is>
          <t>450×550</t>
        </is>
      </c>
      <c r="J21" s="15" t="inlineStr">
        <is>
          <t>CUMPLE</t>
        </is>
      </c>
    </row>
    <row r="22">
      <c r="A22" s="13" t="inlineStr">
        <is>
          <t>VC1</t>
        </is>
      </c>
      <c r="B22" s="10" t="inlineStr">
        <is>
          <t>189</t>
        </is>
      </c>
      <c r="C22" s="32" t="n">
        <v>3.3753</v>
      </c>
      <c r="D22" s="32" t="n">
        <v>7.6781</v>
      </c>
      <c r="E22" s="32" t="n">
        <v>7.6781</v>
      </c>
      <c r="F22" s="32" t="n">
        <v>40.11202892772908</v>
      </c>
      <c r="G22" s="32" t="n">
        <v>7.6781</v>
      </c>
      <c r="H22" s="10" t="inlineStr">
        <is>
          <t>NO</t>
        </is>
      </c>
      <c r="I22" s="10" t="inlineStr">
        <is>
          <t>450×550</t>
        </is>
      </c>
      <c r="J22" s="15" t="inlineStr">
        <is>
          <t>CUMPLE</t>
        </is>
      </c>
    </row>
    <row r="23">
      <c r="A23" s="13" t="inlineStr">
        <is>
          <t>VC1</t>
        </is>
      </c>
      <c r="B23" s="10" t="inlineStr">
        <is>
          <t>193</t>
        </is>
      </c>
      <c r="C23" s="32" t="n">
        <v>2.9618</v>
      </c>
      <c r="D23" s="32" t="n">
        <v>5.3317</v>
      </c>
      <c r="E23" s="32" t="n">
        <v>5.3317</v>
      </c>
      <c r="F23" s="32" t="n">
        <v>40.11202892772908</v>
      </c>
      <c r="G23" s="32" t="n">
        <v>5.3317</v>
      </c>
      <c r="H23" s="10" t="inlineStr">
        <is>
          <t>NO</t>
        </is>
      </c>
      <c r="I23" s="10" t="inlineStr">
        <is>
          <t>450×550</t>
        </is>
      </c>
      <c r="J23" s="15" t="inlineStr">
        <is>
          <t>CUMPLE</t>
        </is>
      </c>
    </row>
    <row r="24">
      <c r="A24" s="13" t="inlineStr">
        <is>
          <t>VC1</t>
        </is>
      </c>
      <c r="B24" s="10" t="inlineStr">
        <is>
          <t>194</t>
        </is>
      </c>
      <c r="C24" s="32" t="n">
        <v>2.9614</v>
      </c>
      <c r="D24" s="32" t="n">
        <v>5.3312</v>
      </c>
      <c r="E24" s="32" t="n">
        <v>5.3312</v>
      </c>
      <c r="F24" s="32" t="n">
        <v>40.11202892772908</v>
      </c>
      <c r="G24" s="32" t="n">
        <v>5.3312</v>
      </c>
      <c r="H24" s="10" t="inlineStr">
        <is>
          <t>NO</t>
        </is>
      </c>
      <c r="I24" s="10" t="inlineStr">
        <is>
          <t>450×550</t>
        </is>
      </c>
      <c r="J24" s="15" t="inlineStr">
        <is>
          <t>CUMPLE</t>
        </is>
      </c>
    </row>
    <row r="25">
      <c r="A25" s="16" t="inlineStr">
        <is>
          <t>VC2</t>
        </is>
      </c>
      <c r="B25" s="10" t="inlineStr">
        <is>
          <t>55</t>
        </is>
      </c>
      <c r="C25" s="32" t="n">
        <v>3.9968</v>
      </c>
      <c r="D25" s="32" t="n">
        <v>11.347</v>
      </c>
      <c r="E25" s="32" t="n">
        <v>11.347</v>
      </c>
      <c r="F25" s="32" t="n">
        <v>40.11202892772908</v>
      </c>
      <c r="G25" s="32" t="n">
        <v>11.347</v>
      </c>
      <c r="H25" s="10" t="inlineStr">
        <is>
          <t>NO</t>
        </is>
      </c>
      <c r="I25" s="10" t="inlineStr">
        <is>
          <t>450×550</t>
        </is>
      </c>
      <c r="J25" s="15" t="inlineStr">
        <is>
          <t>CUMPLE</t>
        </is>
      </c>
    </row>
    <row r="26">
      <c r="A26" s="16" t="inlineStr">
        <is>
          <t>VC2</t>
        </is>
      </c>
      <c r="B26" s="10" t="inlineStr">
        <is>
          <t>56</t>
        </is>
      </c>
      <c r="C26" s="32" t="n">
        <v>3.9972</v>
      </c>
      <c r="D26" s="32" t="n">
        <v>11.3474</v>
      </c>
      <c r="E26" s="32" t="n">
        <v>11.3474</v>
      </c>
      <c r="F26" s="32" t="n">
        <v>40.11202892772908</v>
      </c>
      <c r="G26" s="32" t="n">
        <v>11.3474</v>
      </c>
      <c r="H26" s="10" t="inlineStr">
        <is>
          <t>NO</t>
        </is>
      </c>
      <c r="I26" s="10" t="inlineStr">
        <is>
          <t>450×550</t>
        </is>
      </c>
      <c r="J26" s="15" t="inlineStr">
        <is>
          <t>CUMPLE</t>
        </is>
      </c>
    </row>
    <row r="27">
      <c r="A27" s="16" t="inlineStr">
        <is>
          <t>VC2</t>
        </is>
      </c>
      <c r="B27" s="10" t="inlineStr">
        <is>
          <t>93</t>
        </is>
      </c>
      <c r="C27" s="32" t="n">
        <v>3.9977</v>
      </c>
      <c r="D27" s="32" t="n">
        <v>11.3478</v>
      </c>
      <c r="E27" s="32" t="n">
        <v>11.3478</v>
      </c>
      <c r="F27" s="32" t="n">
        <v>40.11202892772908</v>
      </c>
      <c r="G27" s="32" t="n">
        <v>11.3478</v>
      </c>
      <c r="H27" s="10" t="inlineStr">
        <is>
          <t>NO</t>
        </is>
      </c>
      <c r="I27" s="10" t="inlineStr">
        <is>
          <t>450×550</t>
        </is>
      </c>
      <c r="J27" s="15" t="inlineStr">
        <is>
          <t>CUMPLE</t>
        </is>
      </c>
    </row>
    <row r="28">
      <c r="A28" s="16" t="inlineStr">
        <is>
          <t>VC2</t>
        </is>
      </c>
      <c r="B28" s="10" t="inlineStr">
        <is>
          <t>94</t>
        </is>
      </c>
      <c r="C28" s="32" t="n">
        <v>3.9972</v>
      </c>
      <c r="D28" s="32" t="n">
        <v>11.3473</v>
      </c>
      <c r="E28" s="32" t="n">
        <v>11.3473</v>
      </c>
      <c r="F28" s="32" t="n">
        <v>40.11202892772908</v>
      </c>
      <c r="G28" s="32" t="n">
        <v>11.3473</v>
      </c>
      <c r="H28" s="10" t="inlineStr">
        <is>
          <t>NO</t>
        </is>
      </c>
      <c r="I28" s="10" t="inlineStr">
        <is>
          <t>450×550</t>
        </is>
      </c>
      <c r="J28" s="15" t="inlineStr">
        <is>
          <t>CUMPLE</t>
        </is>
      </c>
    </row>
    <row r="29">
      <c r="A29" s="16" t="inlineStr">
        <is>
          <t>VC2</t>
        </is>
      </c>
      <c r="B29" s="10" t="inlineStr">
        <is>
          <t>95</t>
        </is>
      </c>
      <c r="C29" s="32" t="n">
        <v>1.7937</v>
      </c>
      <c r="D29" s="32" t="n">
        <v>5.438</v>
      </c>
      <c r="E29" s="32" t="n">
        <v>5.438</v>
      </c>
      <c r="F29" s="32" t="n">
        <v>40.11202892772908</v>
      </c>
      <c r="G29" s="32" t="n">
        <v>5.438</v>
      </c>
      <c r="H29" s="10" t="inlineStr">
        <is>
          <t>NO</t>
        </is>
      </c>
      <c r="I29" s="10" t="inlineStr">
        <is>
          <t>450×550</t>
        </is>
      </c>
      <c r="J29" s="15" t="inlineStr">
        <is>
          <t>CUMPLE</t>
        </is>
      </c>
    </row>
    <row r="30">
      <c r="A30" s="16" t="inlineStr">
        <is>
          <t>VC2</t>
        </is>
      </c>
      <c r="B30" s="10" t="inlineStr">
        <is>
          <t>96</t>
        </is>
      </c>
      <c r="C30" s="32" t="n">
        <v>1.7943</v>
      </c>
      <c r="D30" s="32" t="n">
        <v>5.4386</v>
      </c>
      <c r="E30" s="32" t="n">
        <v>5.4386</v>
      </c>
      <c r="F30" s="32" t="n">
        <v>40.11202892772908</v>
      </c>
      <c r="G30" s="32" t="n">
        <v>5.4386</v>
      </c>
      <c r="H30" s="10" t="inlineStr">
        <is>
          <t>NO</t>
        </is>
      </c>
      <c r="I30" s="10" t="inlineStr">
        <is>
          <t>450×550</t>
        </is>
      </c>
      <c r="J30" s="15" t="inlineStr">
        <is>
          <t>CUMPLE</t>
        </is>
      </c>
    </row>
    <row r="31">
      <c r="A31" s="16" t="inlineStr">
        <is>
          <t>VC2</t>
        </is>
      </c>
      <c r="B31" s="10" t="inlineStr">
        <is>
          <t>97</t>
        </is>
      </c>
      <c r="C31" s="32" t="n">
        <v>1.7939</v>
      </c>
      <c r="D31" s="32" t="n">
        <v>5.4383</v>
      </c>
      <c r="E31" s="32" t="n">
        <v>5.4383</v>
      </c>
      <c r="F31" s="32" t="n">
        <v>40.11202892772908</v>
      </c>
      <c r="G31" s="32" t="n">
        <v>5.4383</v>
      </c>
      <c r="H31" s="10" t="inlineStr">
        <is>
          <t>NO</t>
        </is>
      </c>
      <c r="I31" s="10" t="inlineStr">
        <is>
          <t>450×550</t>
        </is>
      </c>
      <c r="J31" s="15" t="inlineStr">
        <is>
          <t>CUMPLE</t>
        </is>
      </c>
    </row>
    <row r="32">
      <c r="A32" s="16" t="inlineStr">
        <is>
          <t>VC2</t>
        </is>
      </c>
      <c r="B32" s="10" t="inlineStr">
        <is>
          <t>98</t>
        </is>
      </c>
      <c r="C32" s="32" t="n">
        <v>1.7934</v>
      </c>
      <c r="D32" s="32" t="n">
        <v>5.4378</v>
      </c>
      <c r="E32" s="32" t="n">
        <v>5.4378</v>
      </c>
      <c r="F32" s="32" t="n">
        <v>40.11202892772908</v>
      </c>
      <c r="G32" s="32" t="n">
        <v>5.4378</v>
      </c>
      <c r="H32" s="10" t="inlineStr">
        <is>
          <t>NO</t>
        </is>
      </c>
      <c r="I32" s="10" t="inlineStr">
        <is>
          <t>450×550</t>
        </is>
      </c>
      <c r="J32" s="15" t="inlineStr">
        <is>
          <t>CUMPLE</t>
        </is>
      </c>
    </row>
    <row r="33">
      <c r="A33" s="16" t="inlineStr">
        <is>
          <t>VC2</t>
        </is>
      </c>
      <c r="B33" s="10" t="inlineStr">
        <is>
          <t>255</t>
        </is>
      </c>
      <c r="C33" s="32" t="n">
        <v>3.1054</v>
      </c>
      <c r="D33" s="32" t="n">
        <v>7.7768</v>
      </c>
      <c r="E33" s="32" t="n">
        <v>7.7768</v>
      </c>
      <c r="F33" s="32" t="n">
        <v>40.11202892772908</v>
      </c>
      <c r="G33" s="32" t="n">
        <v>7.7768</v>
      </c>
      <c r="H33" s="10" t="inlineStr">
        <is>
          <t>NO</t>
        </is>
      </c>
      <c r="I33" s="10" t="inlineStr">
        <is>
          <t>450×550</t>
        </is>
      </c>
      <c r="J33" s="15" t="inlineStr">
        <is>
          <t>CUMPLE</t>
        </is>
      </c>
    </row>
    <row r="34">
      <c r="A34" s="16" t="inlineStr">
        <is>
          <t>VC2</t>
        </is>
      </c>
      <c r="B34" s="10" t="inlineStr">
        <is>
          <t>256</t>
        </is>
      </c>
      <c r="C34" s="32" t="n">
        <v>3.1062</v>
      </c>
      <c r="D34" s="32" t="n">
        <v>7.7775</v>
      </c>
      <c r="E34" s="32" t="n">
        <v>7.7775</v>
      </c>
      <c r="F34" s="32" t="n">
        <v>40.11202892772908</v>
      </c>
      <c r="G34" s="32" t="n">
        <v>7.7775</v>
      </c>
      <c r="H34" s="10" t="inlineStr">
        <is>
          <t>NO</t>
        </is>
      </c>
      <c r="I34" s="10" t="inlineStr">
        <is>
          <t>450×550</t>
        </is>
      </c>
      <c r="J34" s="15" t="inlineStr">
        <is>
          <t>CUMPLE</t>
        </is>
      </c>
    </row>
    <row r="35">
      <c r="A35" s="16" t="inlineStr">
        <is>
          <t>VC2</t>
        </is>
      </c>
      <c r="B35" s="10" t="inlineStr">
        <is>
          <t>293</t>
        </is>
      </c>
      <c r="C35" s="32" t="n">
        <v>3.107</v>
      </c>
      <c r="D35" s="32" t="n">
        <v>7.7788</v>
      </c>
      <c r="E35" s="32" t="n">
        <v>7.7788</v>
      </c>
      <c r="F35" s="32" t="n">
        <v>40.11202892772908</v>
      </c>
      <c r="G35" s="32" t="n">
        <v>7.7788</v>
      </c>
      <c r="H35" s="10" t="inlineStr">
        <is>
          <t>NO</t>
        </is>
      </c>
      <c r="I35" s="10" t="inlineStr">
        <is>
          <t>450×550</t>
        </is>
      </c>
      <c r="J35" s="15" t="inlineStr">
        <is>
          <t>CUMPLE</t>
        </is>
      </c>
    </row>
    <row r="36">
      <c r="A36" s="16" t="inlineStr">
        <is>
          <t>VC2</t>
        </is>
      </c>
      <c r="B36" s="10" t="inlineStr">
        <is>
          <t>294</t>
        </is>
      </c>
      <c r="C36" s="32" t="n">
        <v>3.1064</v>
      </c>
      <c r="D36" s="32" t="n">
        <v>7.7782</v>
      </c>
      <c r="E36" s="32" t="n">
        <v>7.7782</v>
      </c>
      <c r="F36" s="32" t="n">
        <v>40.11202892772908</v>
      </c>
      <c r="G36" s="32" t="n">
        <v>7.7782</v>
      </c>
      <c r="H36" s="10" t="inlineStr">
        <is>
          <t>NO</t>
        </is>
      </c>
      <c r="I36" s="10" t="inlineStr">
        <is>
          <t>450×550</t>
        </is>
      </c>
      <c r="J36" s="15" t="inlineStr">
        <is>
          <t>CUMPLE</t>
        </is>
      </c>
    </row>
    <row r="37">
      <c r="A37" s="16" t="inlineStr">
        <is>
          <t>VC2</t>
        </is>
      </c>
      <c r="B37" s="10" t="inlineStr">
        <is>
          <t>813</t>
        </is>
      </c>
      <c r="C37" s="32" t="n">
        <v>2.9756</v>
      </c>
      <c r="D37" s="32" t="n">
        <v>6.5158</v>
      </c>
      <c r="E37" s="32" t="n">
        <v>6.5158</v>
      </c>
      <c r="F37" s="32" t="n">
        <v>40.11202892772908</v>
      </c>
      <c r="G37" s="32" t="n">
        <v>6.5158</v>
      </c>
      <c r="H37" s="10" t="inlineStr">
        <is>
          <t>NO</t>
        </is>
      </c>
      <c r="I37" s="10" t="inlineStr">
        <is>
          <t>450×550</t>
        </is>
      </c>
      <c r="J37" s="15" t="inlineStr">
        <is>
          <t>CUMPLE</t>
        </is>
      </c>
    </row>
    <row r="38">
      <c r="A38" s="16" t="inlineStr">
        <is>
          <t>VC2</t>
        </is>
      </c>
      <c r="B38" s="10" t="inlineStr">
        <is>
          <t>814</t>
        </is>
      </c>
      <c r="C38" s="32" t="n">
        <v>2.9764</v>
      </c>
      <c r="D38" s="32" t="n">
        <v>6.5166</v>
      </c>
      <c r="E38" s="32" t="n">
        <v>6.5166</v>
      </c>
      <c r="F38" s="32" t="n">
        <v>40.11202892772908</v>
      </c>
      <c r="G38" s="32" t="n">
        <v>6.5166</v>
      </c>
      <c r="H38" s="10" t="inlineStr">
        <is>
          <t>NO</t>
        </is>
      </c>
      <c r="I38" s="10" t="inlineStr">
        <is>
          <t>450×550</t>
        </is>
      </c>
      <c r="J38" s="15" t="inlineStr">
        <is>
          <t>CUMPLE</t>
        </is>
      </c>
    </row>
    <row r="39">
      <c r="A39" s="16" t="inlineStr">
        <is>
          <t>VC2</t>
        </is>
      </c>
      <c r="B39" s="10" t="inlineStr">
        <is>
          <t>851</t>
        </is>
      </c>
      <c r="C39" s="32" t="n">
        <v>2.9774</v>
      </c>
      <c r="D39" s="32" t="n">
        <v>6.518</v>
      </c>
      <c r="E39" s="32" t="n">
        <v>6.518</v>
      </c>
      <c r="F39" s="32" t="n">
        <v>40.11202892772908</v>
      </c>
      <c r="G39" s="32" t="n">
        <v>6.518</v>
      </c>
      <c r="H39" s="10" t="inlineStr">
        <is>
          <t>NO</t>
        </is>
      </c>
      <c r="I39" s="10" t="inlineStr">
        <is>
          <t>450×550</t>
        </is>
      </c>
      <c r="J39" s="15" t="inlineStr">
        <is>
          <t>CUMPLE</t>
        </is>
      </c>
    </row>
    <row r="40">
      <c r="A40" s="16" t="inlineStr">
        <is>
          <t>VC2</t>
        </is>
      </c>
      <c r="B40" s="10" t="inlineStr">
        <is>
          <t>852</t>
        </is>
      </c>
      <c r="C40" s="32" t="n">
        <v>2.9766</v>
      </c>
      <c r="D40" s="32" t="n">
        <v>6.5171</v>
      </c>
      <c r="E40" s="32" t="n">
        <v>6.5171</v>
      </c>
      <c r="F40" s="32" t="n">
        <v>40.11202892772908</v>
      </c>
      <c r="G40" s="32" t="n">
        <v>6.5171</v>
      </c>
      <c r="H40" s="10" t="inlineStr">
        <is>
          <t>NO</t>
        </is>
      </c>
      <c r="I40" s="10" t="inlineStr">
        <is>
          <t>450×550</t>
        </is>
      </c>
      <c r="J40" s="15" t="inlineStr">
        <is>
          <t>CUMPLE</t>
        </is>
      </c>
    </row>
    <row r="41">
      <c r="A41" s="16" t="inlineStr">
        <is>
          <t>VC2</t>
        </is>
      </c>
      <c r="B41" s="10" t="inlineStr">
        <is>
          <t>907</t>
        </is>
      </c>
      <c r="C41" s="32" t="n">
        <v>2.8137</v>
      </c>
      <c r="D41" s="32" t="n">
        <v>4.4573</v>
      </c>
      <c r="E41" s="32" t="n">
        <v>4.4573</v>
      </c>
      <c r="F41" s="32" t="n">
        <v>40.11202892772908</v>
      </c>
      <c r="G41" s="32" t="n">
        <v>4.4573</v>
      </c>
      <c r="H41" s="10" t="inlineStr">
        <is>
          <t>NO</t>
        </is>
      </c>
      <c r="I41" s="10" t="inlineStr">
        <is>
          <t>450×550</t>
        </is>
      </c>
      <c r="J41" s="15" t="inlineStr">
        <is>
          <t>CUMPLE</t>
        </is>
      </c>
    </row>
    <row r="42">
      <c r="A42" s="16" t="inlineStr">
        <is>
          <t>VC2</t>
        </is>
      </c>
      <c r="B42" s="10" t="inlineStr">
        <is>
          <t>908</t>
        </is>
      </c>
      <c r="C42" s="32" t="n">
        <v>2.8148</v>
      </c>
      <c r="D42" s="32" t="n">
        <v>4.4584</v>
      </c>
      <c r="E42" s="32" t="n">
        <v>4.4584</v>
      </c>
      <c r="F42" s="32" t="n">
        <v>40.11202892772908</v>
      </c>
      <c r="G42" s="32" t="n">
        <v>4.4584</v>
      </c>
      <c r="H42" s="10" t="inlineStr">
        <is>
          <t>NO</t>
        </is>
      </c>
      <c r="I42" s="10" t="inlineStr">
        <is>
          <t>450×550</t>
        </is>
      </c>
      <c r="J42" s="15" t="inlineStr">
        <is>
          <t>CUMPLE</t>
        </is>
      </c>
    </row>
    <row r="43">
      <c r="A43" s="16" t="inlineStr">
        <is>
          <t>VC2</t>
        </is>
      </c>
      <c r="B43" s="10" t="inlineStr">
        <is>
          <t>945</t>
        </is>
      </c>
      <c r="C43" s="32" t="n">
        <v>2.816</v>
      </c>
      <c r="D43" s="32" t="n">
        <v>4.4599</v>
      </c>
      <c r="E43" s="32" t="n">
        <v>4.4599</v>
      </c>
      <c r="F43" s="32" t="n">
        <v>40.11202892772908</v>
      </c>
      <c r="G43" s="32" t="n">
        <v>4.4599</v>
      </c>
      <c r="H43" s="10" t="inlineStr">
        <is>
          <t>NO</t>
        </is>
      </c>
      <c r="I43" s="10" t="inlineStr">
        <is>
          <t>450×550</t>
        </is>
      </c>
      <c r="J43" s="15" t="inlineStr">
        <is>
          <t>CUMPLE</t>
        </is>
      </c>
    </row>
    <row r="44">
      <c r="A44" s="16" t="inlineStr">
        <is>
          <t>VC2</t>
        </is>
      </c>
      <c r="B44" s="10" t="inlineStr">
        <is>
          <t>946</t>
        </is>
      </c>
      <c r="C44" s="32" t="n">
        <v>2.8149</v>
      </c>
      <c r="D44" s="32" t="n">
        <v>4.4589</v>
      </c>
      <c r="E44" s="32" t="n">
        <v>4.4589</v>
      </c>
      <c r="F44" s="32" t="n">
        <v>40.11202892772908</v>
      </c>
      <c r="G44" s="32" t="n">
        <v>4.4589</v>
      </c>
      <c r="H44" s="10" t="inlineStr">
        <is>
          <t>NO</t>
        </is>
      </c>
      <c r="I44" s="10" t="inlineStr">
        <is>
          <t>450×550</t>
        </is>
      </c>
      <c r="J44" s="15" t="inlineStr">
        <is>
          <t>CUMPLE</t>
        </is>
      </c>
    </row>
    <row r="45">
      <c r="A45" s="16" t="inlineStr">
        <is>
          <t>VC2</t>
        </is>
      </c>
      <c r="B45" s="10" t="inlineStr">
        <is>
          <t>1001</t>
        </is>
      </c>
      <c r="C45" s="32" t="n">
        <v>4.0439</v>
      </c>
      <c r="D45" s="32" t="n">
        <v>4.762</v>
      </c>
      <c r="E45" s="32" t="n">
        <v>4.762</v>
      </c>
      <c r="F45" s="32" t="n">
        <v>40.11202892772908</v>
      </c>
      <c r="G45" s="32" t="n">
        <v>4.762</v>
      </c>
      <c r="H45" s="10" t="inlineStr">
        <is>
          <t>NO</t>
        </is>
      </c>
      <c r="I45" s="10" t="inlineStr">
        <is>
          <t>450×550</t>
        </is>
      </c>
      <c r="J45" s="15" t="inlineStr">
        <is>
          <t>CUMPLE</t>
        </is>
      </c>
    </row>
    <row r="46">
      <c r="A46" s="16" t="inlineStr">
        <is>
          <t>VC2</t>
        </is>
      </c>
      <c r="B46" s="10" t="inlineStr">
        <is>
          <t>1002</t>
        </is>
      </c>
      <c r="C46" s="32" t="n">
        <v>4.0446</v>
      </c>
      <c r="D46" s="32" t="n">
        <v>4.7624</v>
      </c>
      <c r="E46" s="32" t="n">
        <v>4.7624</v>
      </c>
      <c r="F46" s="32" t="n">
        <v>40.11202892772908</v>
      </c>
      <c r="G46" s="32" t="n">
        <v>4.7624</v>
      </c>
      <c r="H46" s="10" t="inlineStr">
        <is>
          <t>NO</t>
        </is>
      </c>
      <c r="I46" s="10" t="inlineStr">
        <is>
          <t>450×550</t>
        </is>
      </c>
      <c r="J46" s="15" t="inlineStr">
        <is>
          <t>CUMPLE</t>
        </is>
      </c>
    </row>
    <row r="47">
      <c r="A47" s="16" t="inlineStr">
        <is>
          <t>VC2</t>
        </is>
      </c>
      <c r="B47" s="10" t="inlineStr">
        <is>
          <t>1039</t>
        </is>
      </c>
      <c r="C47" s="32" t="n">
        <v>4.0458</v>
      </c>
      <c r="D47" s="32" t="n">
        <v>4.7647</v>
      </c>
      <c r="E47" s="32" t="n">
        <v>4.7647</v>
      </c>
      <c r="F47" s="32" t="n">
        <v>40.11202892772908</v>
      </c>
      <c r="G47" s="32" t="n">
        <v>4.7647</v>
      </c>
      <c r="H47" s="10" t="inlineStr">
        <is>
          <t>NO</t>
        </is>
      </c>
      <c r="I47" s="10" t="inlineStr">
        <is>
          <t>450×550</t>
        </is>
      </c>
      <c r="J47" s="15" t="inlineStr">
        <is>
          <t>CUMPLE</t>
        </is>
      </c>
    </row>
    <row r="48">
      <c r="A48" s="16" t="inlineStr">
        <is>
          <t>VC2</t>
        </is>
      </c>
      <c r="B48" s="10" t="inlineStr">
        <is>
          <t>1040</t>
        </is>
      </c>
      <c r="C48" s="32" t="n">
        <v>4.045</v>
      </c>
      <c r="D48" s="32" t="n">
        <v>4.7641</v>
      </c>
      <c r="E48" s="32" t="n">
        <v>4.7641</v>
      </c>
      <c r="F48" s="32" t="n">
        <v>40.11202892772908</v>
      </c>
      <c r="G48" s="32" t="n">
        <v>4.7641</v>
      </c>
      <c r="H48" s="10" t="inlineStr">
        <is>
          <t>NO</t>
        </is>
      </c>
      <c r="I48" s="10" t="inlineStr">
        <is>
          <t>450×550</t>
        </is>
      </c>
      <c r="J48" s="15" t="inlineStr">
        <is>
          <t>CUMPLE</t>
        </is>
      </c>
    </row>
    <row r="49">
      <c r="A49" s="16" t="inlineStr">
        <is>
          <t>VC2</t>
        </is>
      </c>
      <c r="B49" s="10" t="inlineStr">
        <is>
          <t>1363</t>
        </is>
      </c>
      <c r="C49" s="32" t="n">
        <v>1.1931</v>
      </c>
      <c r="D49" s="32" t="n">
        <v>3.855</v>
      </c>
      <c r="E49" s="32" t="n">
        <v>3.855</v>
      </c>
      <c r="F49" s="32" t="n">
        <v>40.11202892772908</v>
      </c>
      <c r="G49" s="32" t="n">
        <v>3.855</v>
      </c>
      <c r="H49" s="10" t="inlineStr">
        <is>
          <t>NO</t>
        </is>
      </c>
      <c r="I49" s="10" t="inlineStr">
        <is>
          <t>450×550</t>
        </is>
      </c>
      <c r="J49" s="15" t="inlineStr">
        <is>
          <t>CUMPLE</t>
        </is>
      </c>
    </row>
    <row r="50">
      <c r="A50" s="16" t="inlineStr">
        <is>
          <t>VC2</t>
        </is>
      </c>
      <c r="B50" s="10" t="inlineStr">
        <is>
          <t>1364</t>
        </is>
      </c>
      <c r="C50" s="32" t="n">
        <v>1.1935</v>
      </c>
      <c r="D50" s="32" t="n">
        <v>3.8555</v>
      </c>
      <c r="E50" s="32" t="n">
        <v>3.8555</v>
      </c>
      <c r="F50" s="32" t="n">
        <v>40.11202892772908</v>
      </c>
      <c r="G50" s="32" t="n">
        <v>3.8555</v>
      </c>
      <c r="H50" s="10" t="inlineStr">
        <is>
          <t>NO</t>
        </is>
      </c>
      <c r="I50" s="10" t="inlineStr">
        <is>
          <t>450×550</t>
        </is>
      </c>
      <c r="J50" s="15" t="inlineStr">
        <is>
          <t>CUMPLE</t>
        </is>
      </c>
    </row>
    <row r="51">
      <c r="A51" s="16" t="inlineStr">
        <is>
          <t>VC2</t>
        </is>
      </c>
      <c r="B51" s="10" t="inlineStr">
        <is>
          <t>1365</t>
        </is>
      </c>
      <c r="C51" s="32" t="n">
        <v>1.1948</v>
      </c>
      <c r="D51" s="32" t="n">
        <v>3.8556</v>
      </c>
      <c r="E51" s="32" t="n">
        <v>3.8556</v>
      </c>
      <c r="F51" s="32" t="n">
        <v>40.11202892772908</v>
      </c>
      <c r="G51" s="32" t="n">
        <v>3.8556</v>
      </c>
      <c r="H51" s="10" t="inlineStr">
        <is>
          <t>NO</t>
        </is>
      </c>
      <c r="I51" s="10" t="inlineStr">
        <is>
          <t>450×550</t>
        </is>
      </c>
      <c r="J51" s="15" t="inlineStr">
        <is>
          <t>CUMPLE</t>
        </is>
      </c>
    </row>
    <row r="52">
      <c r="A52" s="16" t="inlineStr">
        <is>
          <t>VC2</t>
        </is>
      </c>
      <c r="B52" s="10" t="inlineStr">
        <is>
          <t>1366</t>
        </is>
      </c>
      <c r="C52" s="32" t="n">
        <v>1.1942</v>
      </c>
      <c r="D52" s="32" t="n">
        <v>3.855</v>
      </c>
      <c r="E52" s="32" t="n">
        <v>3.855</v>
      </c>
      <c r="F52" s="32" t="n">
        <v>40.11202892772908</v>
      </c>
      <c r="G52" s="32" t="n">
        <v>3.855</v>
      </c>
      <c r="H52" s="10" t="inlineStr">
        <is>
          <t>NO</t>
        </is>
      </c>
      <c r="I52" s="10" t="inlineStr">
        <is>
          <t>450×550</t>
        </is>
      </c>
      <c r="J52" s="15" t="inlineStr">
        <is>
          <t>CUMPLE</t>
        </is>
      </c>
    </row>
    <row r="53">
      <c r="A53" s="16" t="inlineStr">
        <is>
          <t>VC2</t>
        </is>
      </c>
      <c r="B53" s="10" t="inlineStr">
        <is>
          <t>1367</t>
        </is>
      </c>
      <c r="C53" s="32" t="n">
        <v>1.0281</v>
      </c>
      <c r="D53" s="32" t="n">
        <v>3.2717</v>
      </c>
      <c r="E53" s="32" t="n">
        <v>3.2717</v>
      </c>
      <c r="F53" s="32" t="n">
        <v>40.11202892772908</v>
      </c>
      <c r="G53" s="32" t="n">
        <v>3.2717</v>
      </c>
      <c r="H53" s="10" t="inlineStr">
        <is>
          <t>NO</t>
        </is>
      </c>
      <c r="I53" s="10" t="inlineStr">
        <is>
          <t>450×550</t>
        </is>
      </c>
      <c r="J53" s="15" t="inlineStr">
        <is>
          <t>CUMPLE</t>
        </is>
      </c>
    </row>
    <row r="54">
      <c r="A54" s="16" t="inlineStr">
        <is>
          <t>VC2</t>
        </is>
      </c>
      <c r="B54" s="10" t="inlineStr">
        <is>
          <t>1368</t>
        </is>
      </c>
      <c r="C54" s="32" t="n">
        <v>1.0289</v>
      </c>
      <c r="D54" s="32" t="n">
        <v>3.2726</v>
      </c>
      <c r="E54" s="32" t="n">
        <v>3.2726</v>
      </c>
      <c r="F54" s="32" t="n">
        <v>40.11202892772908</v>
      </c>
      <c r="G54" s="32" t="n">
        <v>3.2726</v>
      </c>
      <c r="H54" s="10" t="inlineStr">
        <is>
          <t>NO</t>
        </is>
      </c>
      <c r="I54" s="10" t="inlineStr">
        <is>
          <t>450×550</t>
        </is>
      </c>
      <c r="J54" s="15" t="inlineStr">
        <is>
          <t>CUMPLE</t>
        </is>
      </c>
    </row>
    <row r="55">
      <c r="A55" s="16" t="inlineStr">
        <is>
          <t>VC2</t>
        </is>
      </c>
      <c r="B55" s="10" t="inlineStr">
        <is>
          <t>1369</t>
        </is>
      </c>
      <c r="C55" s="32" t="n">
        <v>1.0286</v>
      </c>
      <c r="D55" s="32" t="n">
        <v>3.2713</v>
      </c>
      <c r="E55" s="32" t="n">
        <v>3.2713</v>
      </c>
      <c r="F55" s="32" t="n">
        <v>40.11202892772908</v>
      </c>
      <c r="G55" s="32" t="n">
        <v>3.2713</v>
      </c>
      <c r="H55" s="10" t="inlineStr">
        <is>
          <t>NO</t>
        </is>
      </c>
      <c r="I55" s="10" t="inlineStr">
        <is>
          <t>450×550</t>
        </is>
      </c>
      <c r="J55" s="15" t="inlineStr">
        <is>
          <t>CUMPLE</t>
        </is>
      </c>
    </row>
    <row r="56">
      <c r="A56" s="16" t="inlineStr">
        <is>
          <t>VC2</t>
        </is>
      </c>
      <c r="B56" s="10" t="inlineStr">
        <is>
          <t>1370</t>
        </is>
      </c>
      <c r="C56" s="32" t="n">
        <v>1.0279</v>
      </c>
      <c r="D56" s="32" t="n">
        <v>3.2705</v>
      </c>
      <c r="E56" s="32" t="n">
        <v>3.2705</v>
      </c>
      <c r="F56" s="32" t="n">
        <v>40.11202892772908</v>
      </c>
      <c r="G56" s="32" t="n">
        <v>3.2705</v>
      </c>
      <c r="H56" s="10" t="inlineStr">
        <is>
          <t>NO</t>
        </is>
      </c>
      <c r="I56" s="10" t="inlineStr">
        <is>
          <t>450×550</t>
        </is>
      </c>
      <c r="J56" s="15" t="inlineStr">
        <is>
          <t>CUMPLE</t>
        </is>
      </c>
    </row>
    <row r="57">
      <c r="A57" s="16" t="inlineStr">
        <is>
          <t>VC2</t>
        </is>
      </c>
      <c r="B57" s="10" t="inlineStr">
        <is>
          <t>1371</t>
        </is>
      </c>
      <c r="C57" s="32" t="n">
        <v>0.8912</v>
      </c>
      <c r="D57" s="32" t="n">
        <v>2.3991</v>
      </c>
      <c r="E57" s="32" t="n">
        <v>2.3991</v>
      </c>
      <c r="F57" s="32" t="n">
        <v>40.11202892772908</v>
      </c>
      <c r="G57" s="32" t="n">
        <v>2.3991</v>
      </c>
      <c r="H57" s="10" t="inlineStr">
        <is>
          <t>NO</t>
        </is>
      </c>
      <c r="I57" s="10" t="inlineStr">
        <is>
          <t>450×550</t>
        </is>
      </c>
      <c r="J57" s="15" t="inlineStr">
        <is>
          <t>CUMPLE</t>
        </is>
      </c>
    </row>
    <row r="58">
      <c r="A58" s="16" t="inlineStr">
        <is>
          <t>VC2</t>
        </is>
      </c>
      <c r="B58" s="10" t="inlineStr">
        <is>
          <t>1372</t>
        </is>
      </c>
      <c r="C58" s="32" t="n">
        <v>0.892</v>
      </c>
      <c r="D58" s="32" t="n">
        <v>2.3999</v>
      </c>
      <c r="E58" s="32" t="n">
        <v>2.3999</v>
      </c>
      <c r="F58" s="32" t="n">
        <v>40.11202892772908</v>
      </c>
      <c r="G58" s="32" t="n">
        <v>2.3999</v>
      </c>
      <c r="H58" s="10" t="inlineStr">
        <is>
          <t>NO</t>
        </is>
      </c>
      <c r="I58" s="10" t="inlineStr">
        <is>
          <t>450×550</t>
        </is>
      </c>
      <c r="J58" s="15" t="inlineStr">
        <is>
          <t>CUMPLE</t>
        </is>
      </c>
    </row>
    <row r="59">
      <c r="A59" s="16" t="inlineStr">
        <is>
          <t>VC2</t>
        </is>
      </c>
      <c r="B59" s="10" t="inlineStr">
        <is>
          <t>1373</t>
        </is>
      </c>
      <c r="C59" s="32" t="n">
        <v>0.8924</v>
      </c>
      <c r="D59" s="32" t="n">
        <v>2.3994</v>
      </c>
      <c r="E59" s="32" t="n">
        <v>2.3994</v>
      </c>
      <c r="F59" s="32" t="n">
        <v>40.11202892772908</v>
      </c>
      <c r="G59" s="32" t="n">
        <v>2.3994</v>
      </c>
      <c r="H59" s="10" t="inlineStr">
        <is>
          <t>NO</t>
        </is>
      </c>
      <c r="I59" s="10" t="inlineStr">
        <is>
          <t>450×550</t>
        </is>
      </c>
      <c r="J59" s="15" t="inlineStr">
        <is>
          <t>CUMPLE</t>
        </is>
      </c>
    </row>
    <row r="60">
      <c r="A60" s="16" t="inlineStr">
        <is>
          <t>VC2</t>
        </is>
      </c>
      <c r="B60" s="10" t="inlineStr">
        <is>
          <t>1374</t>
        </is>
      </c>
      <c r="C60" s="32" t="n">
        <v>0.8915999999999999</v>
      </c>
      <c r="D60" s="32" t="n">
        <v>2.3986</v>
      </c>
      <c r="E60" s="32" t="n">
        <v>2.3986</v>
      </c>
      <c r="F60" s="32" t="n">
        <v>40.11202892772908</v>
      </c>
      <c r="G60" s="32" t="n">
        <v>2.3986</v>
      </c>
      <c r="H60" s="10" t="inlineStr">
        <is>
          <t>NO</t>
        </is>
      </c>
      <c r="I60" s="10" t="inlineStr">
        <is>
          <t>450×550</t>
        </is>
      </c>
      <c r="J60" s="15" t="inlineStr">
        <is>
          <t>CUMPLE</t>
        </is>
      </c>
    </row>
    <row r="61">
      <c r="A61" s="16" t="inlineStr">
        <is>
          <t>VC2</t>
        </is>
      </c>
      <c r="B61" s="10" t="inlineStr">
        <is>
          <t>1375</t>
        </is>
      </c>
      <c r="C61" s="32" t="n">
        <v>1.4648</v>
      </c>
      <c r="D61" s="32" t="n">
        <v>2.6684</v>
      </c>
      <c r="E61" s="32" t="n">
        <v>2.6684</v>
      </c>
      <c r="F61" s="32" t="n">
        <v>40.11202892772908</v>
      </c>
      <c r="G61" s="32" t="n">
        <v>2.6684</v>
      </c>
      <c r="H61" s="10" t="inlineStr">
        <is>
          <t>NO</t>
        </is>
      </c>
      <c r="I61" s="10" t="inlineStr">
        <is>
          <t>450×550</t>
        </is>
      </c>
      <c r="J61" s="15" t="inlineStr">
        <is>
          <t>CUMPLE</t>
        </is>
      </c>
    </row>
    <row r="62">
      <c r="A62" s="16" t="inlineStr">
        <is>
          <t>VC2</t>
        </is>
      </c>
      <c r="B62" s="10" t="inlineStr">
        <is>
          <t>1376</t>
        </is>
      </c>
      <c r="C62" s="32" t="n">
        <v>1.4658</v>
      </c>
      <c r="D62" s="32" t="n">
        <v>2.6696</v>
      </c>
      <c r="E62" s="32" t="n">
        <v>2.6696</v>
      </c>
      <c r="F62" s="32" t="n">
        <v>40.11202892772908</v>
      </c>
      <c r="G62" s="32" t="n">
        <v>2.6696</v>
      </c>
      <c r="H62" s="10" t="inlineStr">
        <is>
          <t>NO</t>
        </is>
      </c>
      <c r="I62" s="10" t="inlineStr">
        <is>
          <t>450×550</t>
        </is>
      </c>
      <c r="J62" s="15" t="inlineStr">
        <is>
          <t>CUMPLE</t>
        </is>
      </c>
    </row>
    <row r="63">
      <c r="A63" s="16" t="inlineStr">
        <is>
          <t>VC2</t>
        </is>
      </c>
      <c r="B63" s="10" t="inlineStr">
        <is>
          <t>1377</t>
        </is>
      </c>
      <c r="C63" s="32" t="n">
        <v>1.4657</v>
      </c>
      <c r="D63" s="32" t="n">
        <v>2.6688</v>
      </c>
      <c r="E63" s="32" t="n">
        <v>2.6688</v>
      </c>
      <c r="F63" s="32" t="n">
        <v>40.11202892772908</v>
      </c>
      <c r="G63" s="32" t="n">
        <v>2.6688</v>
      </c>
      <c r="H63" s="10" t="inlineStr">
        <is>
          <t>NO</t>
        </is>
      </c>
      <c r="I63" s="10" t="inlineStr">
        <is>
          <t>450×550</t>
        </is>
      </c>
      <c r="J63" s="15" t="inlineStr">
        <is>
          <t>CUMPLE</t>
        </is>
      </c>
    </row>
    <row r="64">
      <c r="A64" s="16" t="inlineStr">
        <is>
          <t>VC2</t>
        </is>
      </c>
      <c r="B64" s="10" t="inlineStr">
        <is>
          <t>1378</t>
        </is>
      </c>
      <c r="C64" s="32" t="n">
        <v>1.4649</v>
      </c>
      <c r="D64" s="32" t="n">
        <v>2.6679</v>
      </c>
      <c r="E64" s="32" t="n">
        <v>2.6679</v>
      </c>
      <c r="F64" s="32" t="n">
        <v>40.11202892772908</v>
      </c>
      <c r="G64" s="32" t="n">
        <v>2.6679</v>
      </c>
      <c r="H64" s="10" t="inlineStr">
        <is>
          <t>NO</t>
        </is>
      </c>
      <c r="I64" s="10" t="inlineStr">
        <is>
          <t>450×550</t>
        </is>
      </c>
      <c r="J64" s="15" t="inlineStr">
        <is>
          <t>CUMPLE</t>
        </is>
      </c>
    </row>
    <row r="65">
      <c r="A65" s="17" t="inlineStr">
        <is>
          <t>VC3</t>
        </is>
      </c>
      <c r="B65" s="10" t="inlineStr">
        <is>
          <t>57</t>
        </is>
      </c>
      <c r="C65" s="32" t="n">
        <v>1.0718</v>
      </c>
      <c r="D65" s="32" t="n">
        <v>2.7903</v>
      </c>
      <c r="E65" s="32" t="n">
        <v>2.7903</v>
      </c>
      <c r="F65" s="32" t="n">
        <v>40.11202892772908</v>
      </c>
      <c r="G65" s="32" t="n">
        <v>2.7903</v>
      </c>
      <c r="H65" s="10" t="inlineStr">
        <is>
          <t>NO</t>
        </is>
      </c>
      <c r="I65" s="10" t="inlineStr">
        <is>
          <t>450×550</t>
        </is>
      </c>
      <c r="J65" s="15" t="inlineStr">
        <is>
          <t>CUMPLE</t>
        </is>
      </c>
    </row>
    <row r="66">
      <c r="A66" s="17" t="inlineStr">
        <is>
          <t>VC3</t>
        </is>
      </c>
      <c r="B66" s="10" t="inlineStr">
        <is>
          <t>58</t>
        </is>
      </c>
      <c r="C66" s="32" t="n">
        <v>9.4497</v>
      </c>
      <c r="D66" s="32" t="n">
        <v>17.0467</v>
      </c>
      <c r="E66" s="32" t="n">
        <v>17.0467</v>
      </c>
      <c r="F66" s="32" t="n">
        <v>40.11202892772908</v>
      </c>
      <c r="G66" s="32" t="n">
        <v>17.0467</v>
      </c>
      <c r="H66" s="10" t="inlineStr">
        <is>
          <t>NO</t>
        </is>
      </c>
      <c r="I66" s="10" t="inlineStr">
        <is>
          <t>450×550</t>
        </is>
      </c>
      <c r="J66" s="15" t="inlineStr">
        <is>
          <t>CUMPLE</t>
        </is>
      </c>
    </row>
    <row r="67">
      <c r="A67" s="17" t="inlineStr">
        <is>
          <t>VC3</t>
        </is>
      </c>
      <c r="B67" s="10" t="inlineStr">
        <is>
          <t>59</t>
        </is>
      </c>
      <c r="C67" s="32" t="n">
        <v>9.4512</v>
      </c>
      <c r="D67" s="32" t="n">
        <v>17.0515</v>
      </c>
      <c r="E67" s="32" t="n">
        <v>17.0515</v>
      </c>
      <c r="F67" s="32" t="n">
        <v>40.11202892772908</v>
      </c>
      <c r="G67" s="32" t="n">
        <v>17.0515</v>
      </c>
      <c r="H67" s="10" t="inlineStr">
        <is>
          <t>NO</t>
        </is>
      </c>
      <c r="I67" s="10" t="inlineStr">
        <is>
          <t>450×550</t>
        </is>
      </c>
      <c r="J67" s="15" t="inlineStr">
        <is>
          <t>CUMPLE</t>
        </is>
      </c>
    </row>
    <row r="68">
      <c r="A68" s="17" t="inlineStr">
        <is>
          <t>VC3</t>
        </is>
      </c>
      <c r="B68" s="10" t="inlineStr">
        <is>
          <t>60</t>
        </is>
      </c>
      <c r="C68" s="32" t="n">
        <v>1.0699</v>
      </c>
      <c r="D68" s="32" t="n">
        <v>2.7885</v>
      </c>
      <c r="E68" s="32" t="n">
        <v>2.7885</v>
      </c>
      <c r="F68" s="32" t="n">
        <v>40.11202892772908</v>
      </c>
      <c r="G68" s="32" t="n">
        <v>2.7885</v>
      </c>
      <c r="H68" s="10" t="inlineStr">
        <is>
          <t>NO</t>
        </is>
      </c>
      <c r="I68" s="10" t="inlineStr">
        <is>
          <t>450×550</t>
        </is>
      </c>
      <c r="J68" s="15" t="inlineStr">
        <is>
          <t>CUMPLE</t>
        </is>
      </c>
    </row>
    <row r="69">
      <c r="A69" s="17" t="inlineStr">
        <is>
          <t>VC3</t>
        </is>
      </c>
      <c r="B69" s="10" t="inlineStr">
        <is>
          <t>89</t>
        </is>
      </c>
      <c r="C69" s="32" t="n">
        <v>1.0702</v>
      </c>
      <c r="D69" s="32" t="n">
        <v>2.7889</v>
      </c>
      <c r="E69" s="32" t="n">
        <v>2.7889</v>
      </c>
      <c r="F69" s="32" t="n">
        <v>40.11202892772908</v>
      </c>
      <c r="G69" s="32" t="n">
        <v>2.7889</v>
      </c>
      <c r="H69" s="10" t="inlineStr">
        <is>
          <t>NO</t>
        </is>
      </c>
      <c r="I69" s="10" t="inlineStr">
        <is>
          <t>450×550</t>
        </is>
      </c>
      <c r="J69" s="15" t="inlineStr">
        <is>
          <t>CUMPLE</t>
        </is>
      </c>
    </row>
    <row r="70">
      <c r="A70" s="17" t="inlineStr">
        <is>
          <t>VC3</t>
        </is>
      </c>
      <c r="B70" s="10" t="inlineStr">
        <is>
          <t>90</t>
        </is>
      </c>
      <c r="C70" s="32" t="n">
        <v>9.444800000000001</v>
      </c>
      <c r="D70" s="32" t="n">
        <v>17.0655</v>
      </c>
      <c r="E70" s="32" t="n">
        <v>17.0655</v>
      </c>
      <c r="F70" s="32" t="n">
        <v>40.11202892772908</v>
      </c>
      <c r="G70" s="32" t="n">
        <v>17.0655</v>
      </c>
      <c r="H70" s="10" t="inlineStr">
        <is>
          <t>NO</t>
        </is>
      </c>
      <c r="I70" s="10" t="inlineStr">
        <is>
          <t>450×550</t>
        </is>
      </c>
      <c r="J70" s="15" t="inlineStr">
        <is>
          <t>CUMPLE</t>
        </is>
      </c>
    </row>
    <row r="71">
      <c r="A71" s="17" t="inlineStr">
        <is>
          <t>VC3</t>
        </is>
      </c>
      <c r="B71" s="10" t="inlineStr">
        <is>
          <t>91</t>
        </is>
      </c>
      <c r="C71" s="32" t="n">
        <v>9.4453</v>
      </c>
      <c r="D71" s="32" t="n">
        <v>17.0426</v>
      </c>
      <c r="E71" s="32" t="n">
        <v>17.0426</v>
      </c>
      <c r="F71" s="32" t="n">
        <v>40.11202892772908</v>
      </c>
      <c r="G71" s="32" t="n">
        <v>17.0426</v>
      </c>
      <c r="H71" s="10" t="inlineStr">
        <is>
          <t>NO</t>
        </is>
      </c>
      <c r="I71" s="10" t="inlineStr">
        <is>
          <t>450×550</t>
        </is>
      </c>
      <c r="J71" s="15" t="inlineStr">
        <is>
          <t>CUMPLE</t>
        </is>
      </c>
    </row>
    <row r="72">
      <c r="A72" s="17" t="inlineStr">
        <is>
          <t>VC3</t>
        </is>
      </c>
      <c r="B72" s="10" t="inlineStr">
        <is>
          <t>92</t>
        </is>
      </c>
      <c r="C72" s="32" t="n">
        <v>1.0719</v>
      </c>
      <c r="D72" s="32" t="n">
        <v>2.7904</v>
      </c>
      <c r="E72" s="32" t="n">
        <v>2.7904</v>
      </c>
      <c r="F72" s="32" t="n">
        <v>40.11202892772908</v>
      </c>
      <c r="G72" s="32" t="n">
        <v>2.7904</v>
      </c>
      <c r="H72" s="10" t="inlineStr">
        <is>
          <t>NO</t>
        </is>
      </c>
      <c r="I72" s="10" t="inlineStr">
        <is>
          <t>450×550</t>
        </is>
      </c>
      <c r="J72" s="15" t="inlineStr">
        <is>
          <t>CUMPLE</t>
        </is>
      </c>
    </row>
    <row r="73">
      <c r="A73" s="17" t="inlineStr">
        <is>
          <t>VC3</t>
        </is>
      </c>
      <c r="B73" s="10" t="inlineStr">
        <is>
          <t>257</t>
        </is>
      </c>
      <c r="C73" s="32" t="n">
        <v>0.6663</v>
      </c>
      <c r="D73" s="32" t="n">
        <v>1.6247</v>
      </c>
      <c r="E73" s="32" t="n">
        <v>1.6247</v>
      </c>
      <c r="F73" s="32" t="n">
        <v>40.11202892772908</v>
      </c>
      <c r="G73" s="32" t="n">
        <v>1.6247</v>
      </c>
      <c r="H73" s="10" t="inlineStr">
        <is>
          <t>NO</t>
        </is>
      </c>
      <c r="I73" s="10" t="inlineStr">
        <is>
          <t>450×550</t>
        </is>
      </c>
      <c r="J73" s="15" t="inlineStr">
        <is>
          <t>CUMPLE</t>
        </is>
      </c>
    </row>
    <row r="74">
      <c r="A74" s="17" t="inlineStr">
        <is>
          <t>VC3</t>
        </is>
      </c>
      <c r="B74" s="10" t="inlineStr">
        <is>
          <t>258</t>
        </is>
      </c>
      <c r="C74" s="32" t="n">
        <v>9.029199999999999</v>
      </c>
      <c r="D74" s="32" t="n">
        <v>14.3594</v>
      </c>
      <c r="E74" s="32" t="n">
        <v>14.3594</v>
      </c>
      <c r="F74" s="32" t="n">
        <v>40.11202892772908</v>
      </c>
      <c r="G74" s="32" t="n">
        <v>14.3594</v>
      </c>
      <c r="H74" s="10" t="inlineStr">
        <is>
          <t>NO</t>
        </is>
      </c>
      <c r="I74" s="10" t="inlineStr">
        <is>
          <t>450×550</t>
        </is>
      </c>
      <c r="J74" s="15" t="inlineStr">
        <is>
          <t>CUMPLE</t>
        </is>
      </c>
    </row>
    <row r="75">
      <c r="A75" s="17" t="inlineStr">
        <is>
          <t>VC3</t>
        </is>
      </c>
      <c r="B75" s="10" t="inlineStr">
        <is>
          <t>259</t>
        </is>
      </c>
      <c r="C75" s="32" t="n">
        <v>9.0428</v>
      </c>
      <c r="D75" s="32" t="n">
        <v>14.4288</v>
      </c>
      <c r="E75" s="32" t="n">
        <v>14.4288</v>
      </c>
      <c r="F75" s="32" t="n">
        <v>40.11202892772908</v>
      </c>
      <c r="G75" s="32" t="n">
        <v>14.4288</v>
      </c>
      <c r="H75" s="10" t="inlineStr">
        <is>
          <t>NO</t>
        </is>
      </c>
      <c r="I75" s="10" t="inlineStr">
        <is>
          <t>450×550</t>
        </is>
      </c>
      <c r="J75" s="15" t="inlineStr">
        <is>
          <t>CUMPLE</t>
        </is>
      </c>
    </row>
    <row r="76">
      <c r="A76" s="17" t="inlineStr">
        <is>
          <t>VC3</t>
        </is>
      </c>
      <c r="B76" s="10" t="inlineStr">
        <is>
          <t>260</t>
        </is>
      </c>
      <c r="C76" s="32" t="n">
        <v>0.6649</v>
      </c>
      <c r="D76" s="32" t="n">
        <v>1.6242</v>
      </c>
      <c r="E76" s="32" t="n">
        <v>1.6242</v>
      </c>
      <c r="F76" s="32" t="n">
        <v>40.11202892772908</v>
      </c>
      <c r="G76" s="32" t="n">
        <v>1.6242</v>
      </c>
      <c r="H76" s="10" t="inlineStr">
        <is>
          <t>NO</t>
        </is>
      </c>
      <c r="I76" s="10" t="inlineStr">
        <is>
          <t>450×550</t>
        </is>
      </c>
      <c r="J76" s="15" t="inlineStr">
        <is>
          <t>CUMPLE</t>
        </is>
      </c>
    </row>
    <row r="77">
      <c r="A77" s="17" t="inlineStr">
        <is>
          <t>VC3</t>
        </is>
      </c>
      <c r="B77" s="10" t="inlineStr">
        <is>
          <t>289</t>
        </is>
      </c>
      <c r="C77" s="32" t="n">
        <v>0.6643</v>
      </c>
      <c r="D77" s="32" t="n">
        <v>1.6227</v>
      </c>
      <c r="E77" s="32" t="n">
        <v>1.6227</v>
      </c>
      <c r="F77" s="32" t="n">
        <v>40.11202892772908</v>
      </c>
      <c r="G77" s="32" t="n">
        <v>1.6227</v>
      </c>
      <c r="H77" s="10" t="inlineStr">
        <is>
          <t>NO</t>
        </is>
      </c>
      <c r="I77" s="10" t="inlineStr">
        <is>
          <t>450×550</t>
        </is>
      </c>
      <c r="J77" s="15" t="inlineStr">
        <is>
          <t>CUMPLE</t>
        </is>
      </c>
    </row>
    <row r="78">
      <c r="A78" s="17" t="inlineStr">
        <is>
          <t>VC3</t>
        </is>
      </c>
      <c r="B78" s="10" t="inlineStr">
        <is>
          <t>290</t>
        </is>
      </c>
      <c r="C78" s="32" t="n">
        <v>9.0303</v>
      </c>
      <c r="D78" s="32" t="n">
        <v>14.379</v>
      </c>
      <c r="E78" s="32" t="n">
        <v>14.379</v>
      </c>
      <c r="F78" s="32" t="n">
        <v>40.11202892772908</v>
      </c>
      <c r="G78" s="32" t="n">
        <v>14.379</v>
      </c>
      <c r="H78" s="10" t="inlineStr">
        <is>
          <t>NO</t>
        </is>
      </c>
      <c r="I78" s="10" t="inlineStr">
        <is>
          <t>450×550</t>
        </is>
      </c>
      <c r="J78" s="15" t="inlineStr">
        <is>
          <t>CUMPLE</t>
        </is>
      </c>
    </row>
    <row r="79">
      <c r="A79" s="17" t="inlineStr">
        <is>
          <t>VC3</t>
        </is>
      </c>
      <c r="B79" s="10" t="inlineStr">
        <is>
          <t>291</t>
        </is>
      </c>
      <c r="C79" s="32" t="n">
        <v>9.0341</v>
      </c>
      <c r="D79" s="32" t="n">
        <v>14.3698</v>
      </c>
      <c r="E79" s="32" t="n">
        <v>14.3698</v>
      </c>
      <c r="F79" s="32" t="n">
        <v>40.11202892772908</v>
      </c>
      <c r="G79" s="32" t="n">
        <v>14.3698</v>
      </c>
      <c r="H79" s="10" t="inlineStr">
        <is>
          <t>NO</t>
        </is>
      </c>
      <c r="I79" s="10" t="inlineStr">
        <is>
          <t>450×550</t>
        </is>
      </c>
      <c r="J79" s="15" t="inlineStr">
        <is>
          <t>CUMPLE</t>
        </is>
      </c>
    </row>
    <row r="80">
      <c r="A80" s="17" t="inlineStr">
        <is>
          <t>VC3</t>
        </is>
      </c>
      <c r="B80" s="10" t="inlineStr">
        <is>
          <t>292</t>
        </is>
      </c>
      <c r="C80" s="32" t="n">
        <v>0.6664</v>
      </c>
      <c r="D80" s="32" t="n">
        <v>1.6246</v>
      </c>
      <c r="E80" s="32" t="n">
        <v>1.6246</v>
      </c>
      <c r="F80" s="32" t="n">
        <v>40.11202892772908</v>
      </c>
      <c r="G80" s="32" t="n">
        <v>1.6246</v>
      </c>
      <c r="H80" s="10" t="inlineStr">
        <is>
          <t>NO</t>
        </is>
      </c>
      <c r="I80" s="10" t="inlineStr">
        <is>
          <t>450×550</t>
        </is>
      </c>
      <c r="J80" s="15" t="inlineStr">
        <is>
          <t>CUMPLE</t>
        </is>
      </c>
    </row>
    <row r="81">
      <c r="A81" s="17" t="inlineStr">
        <is>
          <t>VC3</t>
        </is>
      </c>
      <c r="B81" s="10" t="inlineStr">
        <is>
          <t>815</t>
        </is>
      </c>
      <c r="C81" s="32" t="n">
        <v>0.5296999999999999</v>
      </c>
      <c r="D81" s="32" t="n">
        <v>1.2752</v>
      </c>
      <c r="E81" s="32" t="n">
        <v>1.2752</v>
      </c>
      <c r="F81" s="32" t="n">
        <v>40.11202892772908</v>
      </c>
      <c r="G81" s="32" t="n">
        <v>1.2752</v>
      </c>
      <c r="H81" s="10" t="inlineStr">
        <is>
          <t>NO</t>
        </is>
      </c>
      <c r="I81" s="10" t="inlineStr">
        <is>
          <t>450×550</t>
        </is>
      </c>
      <c r="J81" s="15" t="inlineStr">
        <is>
          <t>CUMPLE</t>
        </is>
      </c>
    </row>
    <row r="82">
      <c r="A82" s="17" t="inlineStr">
        <is>
          <t>VC3</t>
        </is>
      </c>
      <c r="B82" s="10" t="inlineStr">
        <is>
          <t>816</t>
        </is>
      </c>
      <c r="C82" s="32" t="n">
        <v>8.911899999999999</v>
      </c>
      <c r="D82" s="32" t="n">
        <v>13.0695</v>
      </c>
      <c r="E82" s="32" t="n">
        <v>13.0695</v>
      </c>
      <c r="F82" s="32" t="n">
        <v>40.11202892772908</v>
      </c>
      <c r="G82" s="32" t="n">
        <v>13.0695</v>
      </c>
      <c r="H82" s="10" t="inlineStr">
        <is>
          <t>NO</t>
        </is>
      </c>
      <c r="I82" s="10" t="inlineStr">
        <is>
          <t>450×550</t>
        </is>
      </c>
      <c r="J82" s="15" t="inlineStr">
        <is>
          <t>CUMPLE</t>
        </is>
      </c>
    </row>
    <row r="83">
      <c r="A83" s="17" t="inlineStr">
        <is>
          <t>VC3</t>
        </is>
      </c>
      <c r="B83" s="10" t="inlineStr">
        <is>
          <t>817</t>
        </is>
      </c>
      <c r="C83" s="32" t="n">
        <v>8.9107</v>
      </c>
      <c r="D83" s="32" t="n">
        <v>13.0597</v>
      </c>
      <c r="E83" s="32" t="n">
        <v>13.0597</v>
      </c>
      <c r="F83" s="32" t="n">
        <v>40.11202892772908</v>
      </c>
      <c r="G83" s="32" t="n">
        <v>13.0597</v>
      </c>
      <c r="H83" s="10" t="inlineStr">
        <is>
          <t>NO</t>
        </is>
      </c>
      <c r="I83" s="10" t="inlineStr">
        <is>
          <t>450×550</t>
        </is>
      </c>
      <c r="J83" s="15" t="inlineStr">
        <is>
          <t>CUMPLE</t>
        </is>
      </c>
    </row>
    <row r="84">
      <c r="A84" s="17" t="inlineStr">
        <is>
          <t>VC3</t>
        </is>
      </c>
      <c r="B84" s="10" t="inlineStr">
        <is>
          <t>818</t>
        </is>
      </c>
      <c r="C84" s="32" t="n">
        <v>0.5264</v>
      </c>
      <c r="D84" s="32" t="n">
        <v>1.271</v>
      </c>
      <c r="E84" s="32" t="n">
        <v>1.271</v>
      </c>
      <c r="F84" s="32" t="n">
        <v>40.11202892772908</v>
      </c>
      <c r="G84" s="32" t="n">
        <v>1.271</v>
      </c>
      <c r="H84" s="10" t="inlineStr">
        <is>
          <t>NO</t>
        </is>
      </c>
      <c r="I84" s="10" t="inlineStr">
        <is>
          <t>450×550</t>
        </is>
      </c>
      <c r="J84" s="15" t="inlineStr">
        <is>
          <t>CUMPLE</t>
        </is>
      </c>
    </row>
    <row r="85">
      <c r="A85" s="17" t="inlineStr">
        <is>
          <t>VC3</t>
        </is>
      </c>
      <c r="B85" s="10" t="inlineStr">
        <is>
          <t>847</t>
        </is>
      </c>
      <c r="C85" s="32" t="n">
        <v>0.5275</v>
      </c>
      <c r="D85" s="32" t="n">
        <v>1.2741</v>
      </c>
      <c r="E85" s="32" t="n">
        <v>1.2741</v>
      </c>
      <c r="F85" s="32" t="n">
        <v>40.11202892772908</v>
      </c>
      <c r="G85" s="32" t="n">
        <v>1.2741</v>
      </c>
      <c r="H85" s="10" t="inlineStr">
        <is>
          <t>NO</t>
        </is>
      </c>
      <c r="I85" s="10" t="inlineStr">
        <is>
          <t>450×550</t>
        </is>
      </c>
      <c r="J85" s="15" t="inlineStr">
        <is>
          <t>CUMPLE</t>
        </is>
      </c>
    </row>
    <row r="86">
      <c r="A86" s="17" t="inlineStr">
        <is>
          <t>VC3</t>
        </is>
      </c>
      <c r="B86" s="10" t="inlineStr">
        <is>
          <t>848</t>
        </is>
      </c>
      <c r="C86" s="32" t="n">
        <v>8.900700000000001</v>
      </c>
      <c r="D86" s="32" t="n">
        <v>13.0607</v>
      </c>
      <c r="E86" s="32" t="n">
        <v>13.0607</v>
      </c>
      <c r="F86" s="32" t="n">
        <v>40.11202892772908</v>
      </c>
      <c r="G86" s="32" t="n">
        <v>13.0607</v>
      </c>
      <c r="H86" s="10" t="inlineStr">
        <is>
          <t>NO</t>
        </is>
      </c>
      <c r="I86" s="10" t="inlineStr">
        <is>
          <t>450×550</t>
        </is>
      </c>
      <c r="J86" s="15" t="inlineStr">
        <is>
          <t>CUMPLE</t>
        </is>
      </c>
    </row>
    <row r="87">
      <c r="A87" s="17" t="inlineStr">
        <is>
          <t>VC3</t>
        </is>
      </c>
      <c r="B87" s="10" t="inlineStr">
        <is>
          <t>849</t>
        </is>
      </c>
      <c r="C87" s="32" t="n">
        <v>8.908300000000001</v>
      </c>
      <c r="D87" s="32" t="n">
        <v>13.0718</v>
      </c>
      <c r="E87" s="32" t="n">
        <v>13.0718</v>
      </c>
      <c r="F87" s="32" t="n">
        <v>40.11202892772908</v>
      </c>
      <c r="G87" s="32" t="n">
        <v>13.0718</v>
      </c>
      <c r="H87" s="10" t="inlineStr">
        <is>
          <t>NO</t>
        </is>
      </c>
      <c r="I87" s="10" t="inlineStr">
        <is>
          <t>450×550</t>
        </is>
      </c>
      <c r="J87" s="15" t="inlineStr">
        <is>
          <t>CUMPLE</t>
        </is>
      </c>
    </row>
    <row r="88">
      <c r="A88" s="17" t="inlineStr">
        <is>
          <t>VC3</t>
        </is>
      </c>
      <c r="B88" s="10" t="inlineStr">
        <is>
          <t>850</t>
        </is>
      </c>
      <c r="C88" s="32" t="n">
        <v>0.5302</v>
      </c>
      <c r="D88" s="32" t="n">
        <v>1.2771</v>
      </c>
      <c r="E88" s="32" t="n">
        <v>1.2771</v>
      </c>
      <c r="F88" s="32" t="n">
        <v>40.11202892772908</v>
      </c>
      <c r="G88" s="32" t="n">
        <v>1.2771</v>
      </c>
      <c r="H88" s="10" t="inlineStr">
        <is>
          <t>NO</t>
        </is>
      </c>
      <c r="I88" s="10" t="inlineStr">
        <is>
          <t>450×550</t>
        </is>
      </c>
      <c r="J88" s="15" t="inlineStr">
        <is>
          <t>CUMPLE</t>
        </is>
      </c>
    </row>
    <row r="89">
      <c r="A89" s="17" t="inlineStr">
        <is>
          <t>VC3</t>
        </is>
      </c>
      <c r="B89" s="10" t="inlineStr">
        <is>
          <t>909</t>
        </is>
      </c>
      <c r="C89" s="32" t="n">
        <v>0.4024</v>
      </c>
      <c r="D89" s="32" t="n">
        <v>1.0936</v>
      </c>
      <c r="E89" s="32" t="n">
        <v>1.0936</v>
      </c>
      <c r="F89" s="32" t="n">
        <v>40.11202892772908</v>
      </c>
      <c r="G89" s="32" t="n">
        <v>1.0936</v>
      </c>
      <c r="H89" s="10" t="inlineStr">
        <is>
          <t>NO</t>
        </is>
      </c>
      <c r="I89" s="10" t="inlineStr">
        <is>
          <t>450×550</t>
        </is>
      </c>
      <c r="J89" s="15" t="inlineStr">
        <is>
          <t>CUMPLE</t>
        </is>
      </c>
    </row>
    <row r="90">
      <c r="A90" s="17" t="inlineStr">
        <is>
          <t>VC3</t>
        </is>
      </c>
      <c r="B90" s="10" t="inlineStr">
        <is>
          <t>910</t>
        </is>
      </c>
      <c r="C90" s="32" t="n">
        <v>8.5298</v>
      </c>
      <c r="D90" s="32" t="n">
        <v>10.6284</v>
      </c>
      <c r="E90" s="32" t="n">
        <v>10.6284</v>
      </c>
      <c r="F90" s="32" t="n">
        <v>40.11202892772908</v>
      </c>
      <c r="G90" s="32" t="n">
        <v>10.6284</v>
      </c>
      <c r="H90" s="10" t="inlineStr">
        <is>
          <t>NO</t>
        </is>
      </c>
      <c r="I90" s="10" t="inlineStr">
        <is>
          <t>450×550</t>
        </is>
      </c>
      <c r="J90" s="15" t="inlineStr">
        <is>
          <t>CUMPLE</t>
        </is>
      </c>
    </row>
    <row r="91">
      <c r="A91" s="17" t="inlineStr">
        <is>
          <t>VC3</t>
        </is>
      </c>
      <c r="B91" s="10" t="inlineStr">
        <is>
          <t>911</t>
        </is>
      </c>
      <c r="C91" s="32" t="n">
        <v>8.529999999999999</v>
      </c>
      <c r="D91" s="32" t="n">
        <v>10.6148</v>
      </c>
      <c r="E91" s="32" t="n">
        <v>10.6148</v>
      </c>
      <c r="F91" s="32" t="n">
        <v>40.11202892772908</v>
      </c>
      <c r="G91" s="32" t="n">
        <v>10.6148</v>
      </c>
      <c r="H91" s="10" t="inlineStr">
        <is>
          <t>NO</t>
        </is>
      </c>
      <c r="I91" s="10" t="inlineStr">
        <is>
          <t>450×550</t>
        </is>
      </c>
      <c r="J91" s="15" t="inlineStr">
        <is>
          <t>CUMPLE</t>
        </is>
      </c>
    </row>
    <row r="92">
      <c r="A92" s="17" t="inlineStr">
        <is>
          <t>VC3</t>
        </is>
      </c>
      <c r="B92" s="10" t="inlineStr">
        <is>
          <t>912</t>
        </is>
      </c>
      <c r="C92" s="32" t="n">
        <v>0.3988</v>
      </c>
      <c r="D92" s="32" t="n">
        <v>1.089</v>
      </c>
      <c r="E92" s="32" t="n">
        <v>1.089</v>
      </c>
      <c r="F92" s="32" t="n">
        <v>40.11202892772908</v>
      </c>
      <c r="G92" s="32" t="n">
        <v>1.089</v>
      </c>
      <c r="H92" s="10" t="inlineStr">
        <is>
          <t>NO</t>
        </is>
      </c>
      <c r="I92" s="10" t="inlineStr">
        <is>
          <t>450×550</t>
        </is>
      </c>
      <c r="J92" s="15" t="inlineStr">
        <is>
          <t>CUMPLE</t>
        </is>
      </c>
    </row>
    <row r="93">
      <c r="A93" s="17" t="inlineStr">
        <is>
          <t>VC3</t>
        </is>
      </c>
      <c r="B93" s="10" t="inlineStr">
        <is>
          <t>941</t>
        </is>
      </c>
      <c r="C93" s="32" t="n">
        <v>0.4004</v>
      </c>
      <c r="D93" s="32" t="n">
        <v>1.0938</v>
      </c>
      <c r="E93" s="32" t="n">
        <v>1.0938</v>
      </c>
      <c r="F93" s="32" t="n">
        <v>40.11202892772908</v>
      </c>
      <c r="G93" s="32" t="n">
        <v>1.0938</v>
      </c>
      <c r="H93" s="10" t="inlineStr">
        <is>
          <t>NO</t>
        </is>
      </c>
      <c r="I93" s="10" t="inlineStr">
        <is>
          <t>450×550</t>
        </is>
      </c>
      <c r="J93" s="15" t="inlineStr">
        <is>
          <t>CUMPLE</t>
        </is>
      </c>
    </row>
    <row r="94">
      <c r="A94" s="17" t="inlineStr">
        <is>
          <t>VC3</t>
        </is>
      </c>
      <c r="B94" s="10" t="inlineStr">
        <is>
          <t>942</t>
        </is>
      </c>
      <c r="C94" s="32" t="n">
        <v>8.5174</v>
      </c>
      <c r="D94" s="32" t="n">
        <v>10.6283</v>
      </c>
      <c r="E94" s="32" t="n">
        <v>10.6283</v>
      </c>
      <c r="F94" s="32" t="n">
        <v>40.11202892772908</v>
      </c>
      <c r="G94" s="32" t="n">
        <v>10.6283</v>
      </c>
      <c r="H94" s="10" t="inlineStr">
        <is>
          <t>NO</t>
        </is>
      </c>
      <c r="I94" s="10" t="inlineStr">
        <is>
          <t>450×550</t>
        </is>
      </c>
      <c r="J94" s="15" t="inlineStr">
        <is>
          <t>CUMPLE</t>
        </is>
      </c>
    </row>
    <row r="95">
      <c r="A95" s="17" t="inlineStr">
        <is>
          <t>VC3</t>
        </is>
      </c>
      <c r="B95" s="10" t="inlineStr">
        <is>
          <t>943</t>
        </is>
      </c>
      <c r="C95" s="32" t="n">
        <v>8.5253</v>
      </c>
      <c r="D95" s="32" t="n">
        <v>10.6296</v>
      </c>
      <c r="E95" s="32" t="n">
        <v>10.6296</v>
      </c>
      <c r="F95" s="32" t="n">
        <v>40.11202892772908</v>
      </c>
      <c r="G95" s="32" t="n">
        <v>10.6296</v>
      </c>
      <c r="H95" s="10" t="inlineStr">
        <is>
          <t>NO</t>
        </is>
      </c>
      <c r="I95" s="10" t="inlineStr">
        <is>
          <t>450×550</t>
        </is>
      </c>
      <c r="J95" s="15" t="inlineStr">
        <is>
          <t>CUMPLE</t>
        </is>
      </c>
    </row>
    <row r="96">
      <c r="A96" s="17" t="inlineStr">
        <is>
          <t>VC3</t>
        </is>
      </c>
      <c r="B96" s="10" t="inlineStr">
        <is>
          <t>944</t>
        </is>
      </c>
      <c r="C96" s="32" t="n">
        <v>0.4031</v>
      </c>
      <c r="D96" s="32" t="n">
        <v>1.0963</v>
      </c>
      <c r="E96" s="32" t="n">
        <v>1.0963</v>
      </c>
      <c r="F96" s="32" t="n">
        <v>40.11202892772908</v>
      </c>
      <c r="G96" s="32" t="n">
        <v>1.0963</v>
      </c>
      <c r="H96" s="10" t="inlineStr">
        <is>
          <t>NO</t>
        </is>
      </c>
      <c r="I96" s="10" t="inlineStr">
        <is>
          <t>450×550</t>
        </is>
      </c>
      <c r="J96" s="15" t="inlineStr">
        <is>
          <t>CUMPLE</t>
        </is>
      </c>
    </row>
    <row r="97">
      <c r="A97" s="17" t="inlineStr">
        <is>
          <t>VC3</t>
        </is>
      </c>
      <c r="B97" s="10" t="inlineStr">
        <is>
          <t>1003</t>
        </is>
      </c>
      <c r="C97" s="32" t="n">
        <v>1.0391</v>
      </c>
      <c r="D97" s="32" t="n">
        <v>2.7398</v>
      </c>
      <c r="E97" s="32" t="n">
        <v>2.7398</v>
      </c>
      <c r="F97" s="32" t="n">
        <v>40.11202892772908</v>
      </c>
      <c r="G97" s="32" t="n">
        <v>2.7398</v>
      </c>
      <c r="H97" s="10" t="inlineStr">
        <is>
          <t>NO</t>
        </is>
      </c>
      <c r="I97" s="10" t="inlineStr">
        <is>
          <t>450×550</t>
        </is>
      </c>
      <c r="J97" s="15" t="inlineStr">
        <is>
          <t>CUMPLE</t>
        </is>
      </c>
    </row>
    <row r="98">
      <c r="A98" s="17" t="inlineStr">
        <is>
          <t>VC3</t>
        </is>
      </c>
      <c r="B98" s="10" t="inlineStr">
        <is>
          <t>1004</t>
        </is>
      </c>
      <c r="C98" s="32" t="n">
        <v>11.373</v>
      </c>
      <c r="D98" s="32" t="n">
        <v>11.373</v>
      </c>
      <c r="E98" s="32" t="n">
        <v>11.373</v>
      </c>
      <c r="F98" s="32" t="n">
        <v>40.11202892772908</v>
      </c>
      <c r="G98" s="32" t="n">
        <v>11.373</v>
      </c>
      <c r="H98" s="10" t="inlineStr">
        <is>
          <t>NO</t>
        </is>
      </c>
      <c r="I98" s="10" t="inlineStr">
        <is>
          <t>450×550</t>
        </is>
      </c>
      <c r="J98" s="15" t="inlineStr">
        <is>
          <t>CUMPLE</t>
        </is>
      </c>
    </row>
    <row r="99">
      <c r="A99" s="17" t="inlineStr">
        <is>
          <t>VC3</t>
        </is>
      </c>
      <c r="B99" s="10" t="inlineStr">
        <is>
          <t>1005</t>
        </is>
      </c>
      <c r="C99" s="32" t="n">
        <v>11.378</v>
      </c>
      <c r="D99" s="32" t="n">
        <v>11.378</v>
      </c>
      <c r="E99" s="32" t="n">
        <v>11.378</v>
      </c>
      <c r="F99" s="32" t="n">
        <v>40.11202892772908</v>
      </c>
      <c r="G99" s="32" t="n">
        <v>11.378</v>
      </c>
      <c r="H99" s="10" t="inlineStr">
        <is>
          <t>NO</t>
        </is>
      </c>
      <c r="I99" s="10" t="inlineStr">
        <is>
          <t>450×550</t>
        </is>
      </c>
      <c r="J99" s="15" t="inlineStr">
        <is>
          <t>CUMPLE</t>
        </is>
      </c>
    </row>
    <row r="100">
      <c r="A100" s="17" t="inlineStr">
        <is>
          <t>VC3</t>
        </is>
      </c>
      <c r="B100" s="10" t="inlineStr">
        <is>
          <t>1006</t>
        </is>
      </c>
      <c r="C100" s="32" t="n">
        <v>1.0343</v>
      </c>
      <c r="D100" s="32" t="n">
        <v>2.735</v>
      </c>
      <c r="E100" s="32" t="n">
        <v>2.735</v>
      </c>
      <c r="F100" s="32" t="n">
        <v>40.11202892772908</v>
      </c>
      <c r="G100" s="32" t="n">
        <v>2.735</v>
      </c>
      <c r="H100" s="10" t="inlineStr">
        <is>
          <t>NO</t>
        </is>
      </c>
      <c r="I100" s="10" t="inlineStr">
        <is>
          <t>450×550</t>
        </is>
      </c>
      <c r="J100" s="15" t="inlineStr">
        <is>
          <t>CUMPLE</t>
        </is>
      </c>
    </row>
    <row r="101">
      <c r="A101" s="17" t="inlineStr">
        <is>
          <t>VC3</t>
        </is>
      </c>
      <c r="B101" s="10" t="inlineStr">
        <is>
          <t>1035</t>
        </is>
      </c>
      <c r="C101" s="32" t="n">
        <v>1.0356</v>
      </c>
      <c r="D101" s="32" t="n">
        <v>2.7368</v>
      </c>
      <c r="E101" s="32" t="n">
        <v>2.7368</v>
      </c>
      <c r="F101" s="32" t="n">
        <v>40.11202892772908</v>
      </c>
      <c r="G101" s="32" t="n">
        <v>2.7368</v>
      </c>
      <c r="H101" s="10" t="inlineStr">
        <is>
          <t>NO</t>
        </is>
      </c>
      <c r="I101" s="10" t="inlineStr">
        <is>
          <t>450×550</t>
        </is>
      </c>
      <c r="J101" s="15" t="inlineStr">
        <is>
          <t>CUMPLE</t>
        </is>
      </c>
    </row>
    <row r="102">
      <c r="A102" s="17" t="inlineStr">
        <is>
          <t>VC3</t>
        </is>
      </c>
      <c r="B102" s="10" t="inlineStr">
        <is>
          <t>1036</t>
        </is>
      </c>
      <c r="C102" s="32" t="n">
        <v>11.3617</v>
      </c>
      <c r="D102" s="32" t="n">
        <v>11.3617</v>
      </c>
      <c r="E102" s="32" t="n">
        <v>11.3617</v>
      </c>
      <c r="F102" s="32" t="n">
        <v>40.11202892772908</v>
      </c>
      <c r="G102" s="32" t="n">
        <v>11.3617</v>
      </c>
      <c r="H102" s="10" t="inlineStr">
        <is>
          <t>NO</t>
        </is>
      </c>
      <c r="I102" s="10" t="inlineStr">
        <is>
          <t>450×550</t>
        </is>
      </c>
      <c r="J102" s="15" t="inlineStr">
        <is>
          <t>CUMPLE</t>
        </is>
      </c>
    </row>
    <row r="103">
      <c r="A103" s="17" t="inlineStr">
        <is>
          <t>VC3</t>
        </is>
      </c>
      <c r="B103" s="10" t="inlineStr">
        <is>
          <t>1037</t>
        </is>
      </c>
      <c r="C103" s="32" t="n">
        <v>11.3662</v>
      </c>
      <c r="D103" s="32" t="n">
        <v>11.3662</v>
      </c>
      <c r="E103" s="32" t="n">
        <v>11.3662</v>
      </c>
      <c r="F103" s="32" t="n">
        <v>40.11202892772908</v>
      </c>
      <c r="G103" s="32" t="n">
        <v>11.3662</v>
      </c>
      <c r="H103" s="10" t="inlineStr">
        <is>
          <t>NO</t>
        </is>
      </c>
      <c r="I103" s="10" t="inlineStr">
        <is>
          <t>450×550</t>
        </is>
      </c>
      <c r="J103" s="15" t="inlineStr">
        <is>
          <t>CUMPLE</t>
        </is>
      </c>
    </row>
    <row r="104">
      <c r="A104" s="17" t="inlineStr">
        <is>
          <t>VC3</t>
        </is>
      </c>
      <c r="B104" s="10" t="inlineStr">
        <is>
          <t>1038</t>
        </is>
      </c>
      <c r="C104" s="32" t="n">
        <v>1.0394</v>
      </c>
      <c r="D104" s="32" t="n">
        <v>2.7406</v>
      </c>
      <c r="E104" s="32" t="n">
        <v>2.7406</v>
      </c>
      <c r="F104" s="32" t="n">
        <v>40.11202892772908</v>
      </c>
      <c r="G104" s="32" t="n">
        <v>2.7406</v>
      </c>
      <c r="H104" s="10" t="inlineStr">
        <is>
          <t>NO</t>
        </is>
      </c>
      <c r="I104" s="10" t="inlineStr">
        <is>
          <t>450×550</t>
        </is>
      </c>
      <c r="J104" s="15" t="inlineStr">
        <is>
          <t>CUMPLE</t>
        </is>
      </c>
    </row>
    <row r="105">
      <c r="A105" s="18" t="inlineStr">
        <is>
          <t>VC4</t>
        </is>
      </c>
      <c r="B105" s="10" t="inlineStr">
        <is>
          <t>61</t>
        </is>
      </c>
      <c r="C105" s="32" t="n">
        <v>15.6855</v>
      </c>
      <c r="D105" s="32" t="n">
        <v>74.8122</v>
      </c>
      <c r="E105" s="32" t="n">
        <v>74.8122</v>
      </c>
      <c r="F105" s="32" t="n">
        <v>40.11202892772908</v>
      </c>
      <c r="G105" s="32" t="n">
        <v>74.8122</v>
      </c>
      <c r="H105" s="22" t="inlineStr">
        <is>
          <t>SÍ</t>
        </is>
      </c>
      <c r="I105" s="10" t="inlineStr">
        <is>
          <t>450×550</t>
        </is>
      </c>
      <c r="J105" s="19" t="inlineStr">
        <is>
          <t>NO CUMPLE</t>
        </is>
      </c>
    </row>
    <row r="106">
      <c r="A106" s="18" t="inlineStr">
        <is>
          <t>VC4</t>
        </is>
      </c>
      <c r="B106" s="10" t="inlineStr">
        <is>
          <t>62</t>
        </is>
      </c>
      <c r="C106" s="32" t="n">
        <v>15.6839</v>
      </c>
      <c r="D106" s="32" t="n">
        <v>74.8108</v>
      </c>
      <c r="E106" s="32" t="n">
        <v>74.8108</v>
      </c>
      <c r="F106" s="32" t="n">
        <v>40.11202892772908</v>
      </c>
      <c r="G106" s="32" t="n">
        <v>74.8108</v>
      </c>
      <c r="H106" s="22" t="inlineStr">
        <is>
          <t>SÍ</t>
        </is>
      </c>
      <c r="I106" s="10" t="inlineStr">
        <is>
          <t>450×550</t>
        </is>
      </c>
      <c r="J106" s="19" t="inlineStr">
        <is>
          <t>NO CUMPLE</t>
        </is>
      </c>
    </row>
    <row r="107">
      <c r="A107" s="18" t="inlineStr">
        <is>
          <t>VC4</t>
        </is>
      </c>
      <c r="B107" s="10" t="inlineStr">
        <is>
          <t>87</t>
        </is>
      </c>
      <c r="C107" s="32" t="n">
        <v>15.6909</v>
      </c>
      <c r="D107" s="32" t="n">
        <v>74.818</v>
      </c>
      <c r="E107" s="32" t="n">
        <v>74.818</v>
      </c>
      <c r="F107" s="32" t="n">
        <v>40.11202892772908</v>
      </c>
      <c r="G107" s="32" t="n">
        <v>74.818</v>
      </c>
      <c r="H107" s="22" t="inlineStr">
        <is>
          <t>SÍ</t>
        </is>
      </c>
      <c r="I107" s="10" t="inlineStr">
        <is>
          <t>450×550</t>
        </is>
      </c>
      <c r="J107" s="19" t="inlineStr">
        <is>
          <t>NO CUMPLE</t>
        </is>
      </c>
    </row>
    <row r="108">
      <c r="A108" s="18" t="inlineStr">
        <is>
          <t>VC4</t>
        </is>
      </c>
      <c r="B108" s="10" t="inlineStr">
        <is>
          <t>88</t>
        </is>
      </c>
      <c r="C108" s="32" t="n">
        <v>15.6915</v>
      </c>
      <c r="D108" s="32" t="n">
        <v>74.8185</v>
      </c>
      <c r="E108" s="32" t="n">
        <v>74.8185</v>
      </c>
      <c r="F108" s="32" t="n">
        <v>40.11202892772908</v>
      </c>
      <c r="G108" s="32" t="n">
        <v>74.8185</v>
      </c>
      <c r="H108" s="22" t="inlineStr">
        <is>
          <t>SÍ</t>
        </is>
      </c>
      <c r="I108" s="10" t="inlineStr">
        <is>
          <t>450×550</t>
        </is>
      </c>
      <c r="J108" s="19" t="inlineStr">
        <is>
          <t>NO CUMPLE</t>
        </is>
      </c>
    </row>
    <row r="109">
      <c r="A109" s="18" t="inlineStr">
        <is>
          <t>VC4</t>
        </is>
      </c>
      <c r="B109" s="10" t="inlineStr">
        <is>
          <t>261</t>
        </is>
      </c>
      <c r="C109" s="32" t="n">
        <v>13.3922</v>
      </c>
      <c r="D109" s="32" t="n">
        <v>64.98260000000001</v>
      </c>
      <c r="E109" s="32" t="n">
        <v>64.98260000000001</v>
      </c>
      <c r="F109" s="32" t="n">
        <v>40.11202892772908</v>
      </c>
      <c r="G109" s="32" t="n">
        <v>64.98260000000001</v>
      </c>
      <c r="H109" s="22" t="inlineStr">
        <is>
          <t>SÍ</t>
        </is>
      </c>
      <c r="I109" s="10" t="inlineStr">
        <is>
          <t>450×550</t>
        </is>
      </c>
      <c r="J109" s="15" t="inlineStr">
        <is>
          <t>CUMPLE</t>
        </is>
      </c>
    </row>
    <row r="110">
      <c r="A110" s="18" t="inlineStr">
        <is>
          <t>VC4</t>
        </is>
      </c>
      <c r="B110" s="10" t="inlineStr">
        <is>
          <t>262</t>
        </is>
      </c>
      <c r="C110" s="32" t="n">
        <v>13.3962</v>
      </c>
      <c r="D110" s="32" t="n">
        <v>64.9864</v>
      </c>
      <c r="E110" s="32" t="n">
        <v>64.9864</v>
      </c>
      <c r="F110" s="32" t="n">
        <v>40.11202892772908</v>
      </c>
      <c r="G110" s="32" t="n">
        <v>64.9864</v>
      </c>
      <c r="H110" s="22" t="inlineStr">
        <is>
          <t>SÍ</t>
        </is>
      </c>
      <c r="I110" s="10" t="inlineStr">
        <is>
          <t>450×550</t>
        </is>
      </c>
      <c r="J110" s="15" t="inlineStr">
        <is>
          <t>CUMPLE</t>
        </is>
      </c>
    </row>
    <row r="111">
      <c r="A111" s="18" t="inlineStr">
        <is>
          <t>VC4</t>
        </is>
      </c>
      <c r="B111" s="10" t="inlineStr">
        <is>
          <t>287</t>
        </is>
      </c>
      <c r="C111" s="32" t="n">
        <v>13.404</v>
      </c>
      <c r="D111" s="32" t="n">
        <v>64.9966</v>
      </c>
      <c r="E111" s="32" t="n">
        <v>64.9966</v>
      </c>
      <c r="F111" s="32" t="n">
        <v>40.11202892772908</v>
      </c>
      <c r="G111" s="32" t="n">
        <v>64.9966</v>
      </c>
      <c r="H111" s="22" t="inlineStr">
        <is>
          <t>SÍ</t>
        </is>
      </c>
      <c r="I111" s="10" t="inlineStr">
        <is>
          <t>450×550</t>
        </is>
      </c>
      <c r="J111" s="15" t="inlineStr">
        <is>
          <t>CUMPLE</t>
        </is>
      </c>
    </row>
    <row r="112">
      <c r="A112" s="18" t="inlineStr">
        <is>
          <t>VC4</t>
        </is>
      </c>
      <c r="B112" s="10" t="inlineStr">
        <is>
          <t>288</t>
        </is>
      </c>
      <c r="C112" s="32" t="n">
        <v>13.4031</v>
      </c>
      <c r="D112" s="32" t="n">
        <v>64.9957</v>
      </c>
      <c r="E112" s="32" t="n">
        <v>64.9957</v>
      </c>
      <c r="F112" s="32" t="n">
        <v>40.11202892772908</v>
      </c>
      <c r="G112" s="32" t="n">
        <v>64.9957</v>
      </c>
      <c r="H112" s="22" t="inlineStr">
        <is>
          <t>SÍ</t>
        </is>
      </c>
      <c r="I112" s="10" t="inlineStr">
        <is>
          <t>450×550</t>
        </is>
      </c>
      <c r="J112" s="15" t="inlineStr">
        <is>
          <t>CUMPLE</t>
        </is>
      </c>
    </row>
    <row r="113">
      <c r="A113" s="18" t="inlineStr">
        <is>
          <t>VC4</t>
        </is>
      </c>
      <c r="B113" s="10" t="inlineStr">
        <is>
          <t>819</t>
        </is>
      </c>
      <c r="C113" s="32" t="n">
        <v>9.917400000000001</v>
      </c>
      <c r="D113" s="32" t="n">
        <v>48.1995</v>
      </c>
      <c r="E113" s="32" t="n">
        <v>48.1995</v>
      </c>
      <c r="F113" s="32" t="n">
        <v>40.11202892772908</v>
      </c>
      <c r="G113" s="32" t="n">
        <v>48.1995</v>
      </c>
      <c r="H113" s="22" t="inlineStr">
        <is>
          <t>SÍ</t>
        </is>
      </c>
      <c r="I113" s="10" t="inlineStr">
        <is>
          <t>450×550</t>
        </is>
      </c>
      <c r="J113" s="15" t="inlineStr">
        <is>
          <t>CUMPLE</t>
        </is>
      </c>
    </row>
    <row r="114">
      <c r="A114" s="18" t="inlineStr">
        <is>
          <t>VC4</t>
        </is>
      </c>
      <c r="B114" s="10" t="inlineStr">
        <is>
          <t>820</t>
        </is>
      </c>
      <c r="C114" s="32" t="n">
        <v>9.917899999999999</v>
      </c>
      <c r="D114" s="32" t="n">
        <v>48.2001</v>
      </c>
      <c r="E114" s="32" t="n">
        <v>48.2001</v>
      </c>
      <c r="F114" s="32" t="n">
        <v>40.11202892772908</v>
      </c>
      <c r="G114" s="32" t="n">
        <v>48.2001</v>
      </c>
      <c r="H114" s="22" t="inlineStr">
        <is>
          <t>SÍ</t>
        </is>
      </c>
      <c r="I114" s="10" t="inlineStr">
        <is>
          <t>450×550</t>
        </is>
      </c>
      <c r="J114" s="15" t="inlineStr">
        <is>
          <t>CUMPLE</t>
        </is>
      </c>
    </row>
    <row r="115">
      <c r="A115" s="18" t="inlineStr">
        <is>
          <t>VC4</t>
        </is>
      </c>
      <c r="B115" s="10" t="inlineStr">
        <is>
          <t>845</t>
        </is>
      </c>
      <c r="C115" s="32" t="n">
        <v>9.926</v>
      </c>
      <c r="D115" s="32" t="n">
        <v>48.2106</v>
      </c>
      <c r="E115" s="32" t="n">
        <v>48.2106</v>
      </c>
      <c r="F115" s="32" t="n">
        <v>40.11202892772908</v>
      </c>
      <c r="G115" s="32" t="n">
        <v>48.2106</v>
      </c>
      <c r="H115" s="22" t="inlineStr">
        <is>
          <t>SÍ</t>
        </is>
      </c>
      <c r="I115" s="10" t="inlineStr">
        <is>
          <t>450×550</t>
        </is>
      </c>
      <c r="J115" s="15" t="inlineStr">
        <is>
          <t>CUMPLE</t>
        </is>
      </c>
    </row>
    <row r="116">
      <c r="A116" s="18" t="inlineStr">
        <is>
          <t>VC4</t>
        </is>
      </c>
      <c r="B116" s="10" t="inlineStr">
        <is>
          <t>846</t>
        </is>
      </c>
      <c r="C116" s="32" t="n">
        <v>9.9252</v>
      </c>
      <c r="D116" s="32" t="n">
        <v>48.2098</v>
      </c>
      <c r="E116" s="32" t="n">
        <v>48.2098</v>
      </c>
      <c r="F116" s="32" t="n">
        <v>40.11202892772908</v>
      </c>
      <c r="G116" s="32" t="n">
        <v>48.2098</v>
      </c>
      <c r="H116" s="22" t="inlineStr">
        <is>
          <t>SÍ</t>
        </is>
      </c>
      <c r="I116" s="10" t="inlineStr">
        <is>
          <t>450×550</t>
        </is>
      </c>
      <c r="J116" s="15" t="inlineStr">
        <is>
          <t>CUMPLE</t>
        </is>
      </c>
    </row>
    <row r="117">
      <c r="A117" s="18" t="inlineStr">
        <is>
          <t>VC4</t>
        </is>
      </c>
      <c r="B117" s="10" t="inlineStr">
        <is>
          <t>913</t>
        </is>
      </c>
      <c r="C117" s="32" t="n">
        <v>5.8485</v>
      </c>
      <c r="D117" s="32" t="n">
        <v>28.0186</v>
      </c>
      <c r="E117" s="32" t="n">
        <v>28.0186</v>
      </c>
      <c r="F117" s="32" t="n">
        <v>40.11202892772908</v>
      </c>
      <c r="G117" s="32" t="n">
        <v>28.0186</v>
      </c>
      <c r="H117" s="10" t="inlineStr">
        <is>
          <t>NO</t>
        </is>
      </c>
      <c r="I117" s="10" t="inlineStr">
        <is>
          <t>450×550</t>
        </is>
      </c>
      <c r="J117" s="15" t="inlineStr">
        <is>
          <t>CUMPLE</t>
        </is>
      </c>
    </row>
    <row r="118">
      <c r="A118" s="18" t="inlineStr">
        <is>
          <t>VC4</t>
        </is>
      </c>
      <c r="B118" s="10" t="inlineStr">
        <is>
          <t>914</t>
        </is>
      </c>
      <c r="C118" s="32" t="n">
        <v>5.8499</v>
      </c>
      <c r="D118" s="32" t="n">
        <v>28.0199</v>
      </c>
      <c r="E118" s="32" t="n">
        <v>28.0199</v>
      </c>
      <c r="F118" s="32" t="n">
        <v>40.11202892772908</v>
      </c>
      <c r="G118" s="32" t="n">
        <v>28.0199</v>
      </c>
      <c r="H118" s="10" t="inlineStr">
        <is>
          <t>NO</t>
        </is>
      </c>
      <c r="I118" s="10" t="inlineStr">
        <is>
          <t>450×550</t>
        </is>
      </c>
      <c r="J118" s="15" t="inlineStr">
        <is>
          <t>CUMPLE</t>
        </is>
      </c>
    </row>
    <row r="119">
      <c r="A119" s="18" t="inlineStr">
        <is>
          <t>VC4</t>
        </is>
      </c>
      <c r="B119" s="10" t="inlineStr">
        <is>
          <t>939</t>
        </is>
      </c>
      <c r="C119" s="32" t="n">
        <v>5.8579</v>
      </c>
      <c r="D119" s="32" t="n">
        <v>28.0289</v>
      </c>
      <c r="E119" s="32" t="n">
        <v>28.0289</v>
      </c>
      <c r="F119" s="32" t="n">
        <v>40.11202892772908</v>
      </c>
      <c r="G119" s="32" t="n">
        <v>28.0289</v>
      </c>
      <c r="H119" s="10" t="inlineStr">
        <is>
          <t>NO</t>
        </is>
      </c>
      <c r="I119" s="10" t="inlineStr">
        <is>
          <t>450×550</t>
        </is>
      </c>
      <c r="J119" s="15" t="inlineStr">
        <is>
          <t>CUMPLE</t>
        </is>
      </c>
    </row>
    <row r="120">
      <c r="A120" s="18" t="inlineStr">
        <is>
          <t>VC4</t>
        </is>
      </c>
      <c r="B120" s="10" t="inlineStr">
        <is>
          <t>940</t>
        </is>
      </c>
      <c r="C120" s="32" t="n">
        <v>5.857</v>
      </c>
      <c r="D120" s="32" t="n">
        <v>28.028</v>
      </c>
      <c r="E120" s="32" t="n">
        <v>28.028</v>
      </c>
      <c r="F120" s="32" t="n">
        <v>40.11202892772908</v>
      </c>
      <c r="G120" s="32" t="n">
        <v>28.028</v>
      </c>
      <c r="H120" s="10" t="inlineStr">
        <is>
          <t>NO</t>
        </is>
      </c>
      <c r="I120" s="10" t="inlineStr">
        <is>
          <t>450×550</t>
        </is>
      </c>
      <c r="J120" s="15" t="inlineStr">
        <is>
          <t>CUMPLE</t>
        </is>
      </c>
    </row>
    <row r="121">
      <c r="A121" s="18" t="inlineStr">
        <is>
          <t>VC4</t>
        </is>
      </c>
      <c r="B121" s="10" t="inlineStr">
        <is>
          <t>1007</t>
        </is>
      </c>
      <c r="C121" s="32" t="n">
        <v>2.7061</v>
      </c>
      <c r="D121" s="32" t="n">
        <v>7.1386</v>
      </c>
      <c r="E121" s="32" t="n">
        <v>7.1386</v>
      </c>
      <c r="F121" s="32" t="n">
        <v>40.11202892772908</v>
      </c>
      <c r="G121" s="32" t="n">
        <v>7.1386</v>
      </c>
      <c r="H121" s="10" t="inlineStr">
        <is>
          <t>NO</t>
        </is>
      </c>
      <c r="I121" s="10" t="inlineStr">
        <is>
          <t>450×550</t>
        </is>
      </c>
      <c r="J121" s="15" t="inlineStr">
        <is>
          <t>CUMPLE</t>
        </is>
      </c>
    </row>
    <row r="122">
      <c r="A122" s="18" t="inlineStr">
        <is>
          <t>VC4</t>
        </is>
      </c>
      <c r="B122" s="10" t="inlineStr">
        <is>
          <t>1008</t>
        </is>
      </c>
      <c r="C122" s="32" t="n">
        <v>2.7025</v>
      </c>
      <c r="D122" s="32" t="n">
        <v>7.1404</v>
      </c>
      <c r="E122" s="32" t="n">
        <v>7.1404</v>
      </c>
      <c r="F122" s="32" t="n">
        <v>40.11202892772908</v>
      </c>
      <c r="G122" s="32" t="n">
        <v>7.1404</v>
      </c>
      <c r="H122" s="10" t="inlineStr">
        <is>
          <t>NO</t>
        </is>
      </c>
      <c r="I122" s="10" t="inlineStr">
        <is>
          <t>450×550</t>
        </is>
      </c>
      <c r="J122" s="15" t="inlineStr">
        <is>
          <t>CUMPLE</t>
        </is>
      </c>
    </row>
    <row r="123">
      <c r="A123" s="18" t="inlineStr">
        <is>
          <t>VC4</t>
        </is>
      </c>
      <c r="B123" s="10" t="inlineStr">
        <is>
          <t>1033</t>
        </is>
      </c>
      <c r="C123" s="32" t="n">
        <v>2.7101</v>
      </c>
      <c r="D123" s="32" t="n">
        <v>7.1471</v>
      </c>
      <c r="E123" s="32" t="n">
        <v>7.1471</v>
      </c>
      <c r="F123" s="32" t="n">
        <v>40.11202892772908</v>
      </c>
      <c r="G123" s="32" t="n">
        <v>7.1471</v>
      </c>
      <c r="H123" s="10" t="inlineStr">
        <is>
          <t>NO</t>
        </is>
      </c>
      <c r="I123" s="10" t="inlineStr">
        <is>
          <t>450×550</t>
        </is>
      </c>
      <c r="J123" s="15" t="inlineStr">
        <is>
          <t>CUMPLE</t>
        </is>
      </c>
    </row>
    <row r="124">
      <c r="A124" s="18" t="inlineStr">
        <is>
          <t>VC4</t>
        </is>
      </c>
      <c r="B124" s="10" t="inlineStr">
        <is>
          <t>1034</t>
        </is>
      </c>
      <c r="C124" s="32" t="n">
        <v>2.7125</v>
      </c>
      <c r="D124" s="32" t="n">
        <v>7.1457</v>
      </c>
      <c r="E124" s="32" t="n">
        <v>7.1457</v>
      </c>
      <c r="F124" s="32" t="n">
        <v>40.11202892772908</v>
      </c>
      <c r="G124" s="32" t="n">
        <v>7.1457</v>
      </c>
      <c r="H124" s="10" t="inlineStr">
        <is>
          <t>NO</t>
        </is>
      </c>
      <c r="I124" s="10" t="inlineStr">
        <is>
          <t>450×550</t>
        </is>
      </c>
      <c r="J124" s="15" t="inlineStr">
        <is>
          <t>CUMPLE</t>
        </is>
      </c>
    </row>
    <row r="125">
      <c r="A125" s="15" t="inlineStr">
        <is>
          <t>VC5</t>
        </is>
      </c>
      <c r="B125" s="10" t="inlineStr">
        <is>
          <t>63</t>
        </is>
      </c>
      <c r="C125" s="32" t="n">
        <v>15.371</v>
      </c>
      <c r="D125" s="32" t="n">
        <v>71.6247</v>
      </c>
      <c r="E125" s="32" t="n">
        <v>71.6247</v>
      </c>
      <c r="F125" s="32" t="n">
        <v>40.11202892772908</v>
      </c>
      <c r="G125" s="32" t="n">
        <v>71.6247</v>
      </c>
      <c r="H125" s="22" t="inlineStr">
        <is>
          <t>SÍ</t>
        </is>
      </c>
      <c r="I125" s="10" t="inlineStr">
        <is>
          <t>450×550</t>
        </is>
      </c>
      <c r="J125" s="19" t="inlineStr">
        <is>
          <t>NO CUMPLE</t>
        </is>
      </c>
    </row>
    <row r="126">
      <c r="A126" s="15" t="inlineStr">
        <is>
          <t>VC5</t>
        </is>
      </c>
      <c r="B126" s="10" t="inlineStr">
        <is>
          <t>64</t>
        </is>
      </c>
      <c r="C126" s="32" t="n">
        <v>28.1187</v>
      </c>
      <c r="D126" s="32" t="n">
        <v>124.1957</v>
      </c>
      <c r="E126" s="32" t="n">
        <v>124.1957</v>
      </c>
      <c r="F126" s="32" t="n">
        <v>40.11202892772908</v>
      </c>
      <c r="G126" s="32" t="n">
        <v>124.1957</v>
      </c>
      <c r="H126" s="22" t="inlineStr">
        <is>
          <t>SÍ</t>
        </is>
      </c>
      <c r="I126" s="10" t="inlineStr">
        <is>
          <t>450×550</t>
        </is>
      </c>
      <c r="J126" s="19" t="inlineStr">
        <is>
          <t>NO CUMPLE</t>
        </is>
      </c>
    </row>
    <row r="127">
      <c r="A127" s="15" t="inlineStr">
        <is>
          <t>VC5</t>
        </is>
      </c>
      <c r="B127" s="10" t="inlineStr">
        <is>
          <t>65</t>
        </is>
      </c>
      <c r="C127" s="32" t="n">
        <v>28.168</v>
      </c>
      <c r="D127" s="32" t="n">
        <v>124.2463</v>
      </c>
      <c r="E127" s="32" t="n">
        <v>124.2463</v>
      </c>
      <c r="F127" s="32" t="n">
        <v>40.11202892772908</v>
      </c>
      <c r="G127" s="32" t="n">
        <v>124.2463</v>
      </c>
      <c r="H127" s="22" t="inlineStr">
        <is>
          <t>SÍ</t>
        </is>
      </c>
      <c r="I127" s="10" t="inlineStr">
        <is>
          <t>450×550</t>
        </is>
      </c>
      <c r="J127" s="19" t="inlineStr">
        <is>
          <t>NO CUMPLE</t>
        </is>
      </c>
    </row>
    <row r="128">
      <c r="A128" s="15" t="inlineStr">
        <is>
          <t>VC5</t>
        </is>
      </c>
      <c r="B128" s="10" t="inlineStr">
        <is>
          <t>66</t>
        </is>
      </c>
      <c r="C128" s="32" t="n">
        <v>15.3729</v>
      </c>
      <c r="D128" s="32" t="n">
        <v>71.62649999999999</v>
      </c>
      <c r="E128" s="32" t="n">
        <v>71.62649999999999</v>
      </c>
      <c r="F128" s="32" t="n">
        <v>40.11202892772908</v>
      </c>
      <c r="G128" s="32" t="n">
        <v>71.62649999999999</v>
      </c>
      <c r="H128" s="22" t="inlineStr">
        <is>
          <t>SÍ</t>
        </is>
      </c>
      <c r="I128" s="10" t="inlineStr">
        <is>
          <t>450×550</t>
        </is>
      </c>
      <c r="J128" s="19" t="inlineStr">
        <is>
          <t>NO CUMPLE</t>
        </is>
      </c>
    </row>
    <row r="129">
      <c r="A129" s="15" t="inlineStr">
        <is>
          <t>VC5</t>
        </is>
      </c>
      <c r="B129" s="10" t="inlineStr">
        <is>
          <t>83</t>
        </is>
      </c>
      <c r="C129" s="32" t="n">
        <v>15.3658</v>
      </c>
      <c r="D129" s="32" t="n">
        <v>71.6199</v>
      </c>
      <c r="E129" s="32" t="n">
        <v>71.6199</v>
      </c>
      <c r="F129" s="32" t="n">
        <v>40.11202892772908</v>
      </c>
      <c r="G129" s="32" t="n">
        <v>71.6199</v>
      </c>
      <c r="H129" s="22" t="inlineStr">
        <is>
          <t>SÍ</t>
        </is>
      </c>
      <c r="I129" s="10" t="inlineStr">
        <is>
          <t>450×550</t>
        </is>
      </c>
      <c r="J129" s="19" t="inlineStr">
        <is>
          <t>NO CUMPLE</t>
        </is>
      </c>
    </row>
    <row r="130">
      <c r="A130" s="15" t="inlineStr">
        <is>
          <t>VC5</t>
        </is>
      </c>
      <c r="B130" s="10" t="inlineStr">
        <is>
          <t>84</t>
        </is>
      </c>
      <c r="C130" s="32" t="n">
        <v>28.1717</v>
      </c>
      <c r="D130" s="32" t="n">
        <v>124.2661</v>
      </c>
      <c r="E130" s="32" t="n">
        <v>124.2661</v>
      </c>
      <c r="F130" s="32" t="n">
        <v>40.11202892772908</v>
      </c>
      <c r="G130" s="32" t="n">
        <v>124.2661</v>
      </c>
      <c r="H130" s="22" t="inlineStr">
        <is>
          <t>SÍ</t>
        </is>
      </c>
      <c r="I130" s="10" t="inlineStr">
        <is>
          <t>450×550</t>
        </is>
      </c>
      <c r="J130" s="19" t="inlineStr">
        <is>
          <t>NO CUMPLE</t>
        </is>
      </c>
    </row>
    <row r="131">
      <c r="A131" s="15" t="inlineStr">
        <is>
          <t>VC5</t>
        </is>
      </c>
      <c r="B131" s="10" t="inlineStr">
        <is>
          <t>85</t>
        </is>
      </c>
      <c r="C131" s="32" t="n">
        <v>28.115</v>
      </c>
      <c r="D131" s="32" t="n">
        <v>124.2065</v>
      </c>
      <c r="E131" s="32" t="n">
        <v>124.2065</v>
      </c>
      <c r="F131" s="32" t="n">
        <v>40.11202892772908</v>
      </c>
      <c r="G131" s="32" t="n">
        <v>124.2065</v>
      </c>
      <c r="H131" s="22" t="inlineStr">
        <is>
          <t>SÍ</t>
        </is>
      </c>
      <c r="I131" s="10" t="inlineStr">
        <is>
          <t>450×550</t>
        </is>
      </c>
      <c r="J131" s="19" t="inlineStr">
        <is>
          <t>NO CUMPLE</t>
        </is>
      </c>
    </row>
    <row r="132">
      <c r="A132" s="15" t="inlineStr">
        <is>
          <t>VC5</t>
        </is>
      </c>
      <c r="B132" s="10" t="inlineStr">
        <is>
          <t>86</t>
        </is>
      </c>
      <c r="C132" s="32" t="n">
        <v>15.3651</v>
      </c>
      <c r="D132" s="32" t="n">
        <v>71.6193</v>
      </c>
      <c r="E132" s="32" t="n">
        <v>71.6193</v>
      </c>
      <c r="F132" s="32" t="n">
        <v>40.11202892772908</v>
      </c>
      <c r="G132" s="32" t="n">
        <v>71.6193</v>
      </c>
      <c r="H132" s="22" t="inlineStr">
        <is>
          <t>SÍ</t>
        </is>
      </c>
      <c r="I132" s="10" t="inlineStr">
        <is>
          <t>450×550</t>
        </is>
      </c>
      <c r="J132" s="19" t="inlineStr">
        <is>
          <t>NO CUMPLE</t>
        </is>
      </c>
    </row>
    <row r="133">
      <c r="A133" s="15" t="inlineStr">
        <is>
          <t>VC5</t>
        </is>
      </c>
      <c r="B133" s="10" t="inlineStr">
        <is>
          <t>263</t>
        </is>
      </c>
      <c r="C133" s="32" t="n">
        <v>14.2758</v>
      </c>
      <c r="D133" s="32" t="n">
        <v>65.1174</v>
      </c>
      <c r="E133" s="32" t="n">
        <v>65.1174</v>
      </c>
      <c r="F133" s="32" t="n">
        <v>40.11202892772908</v>
      </c>
      <c r="G133" s="32" t="n">
        <v>65.1174</v>
      </c>
      <c r="H133" s="22" t="inlineStr">
        <is>
          <t>SÍ</t>
        </is>
      </c>
      <c r="I133" s="10" t="inlineStr">
        <is>
          <t>450×550</t>
        </is>
      </c>
      <c r="J133" s="15" t="inlineStr">
        <is>
          <t>CUMPLE</t>
        </is>
      </c>
    </row>
    <row r="134">
      <c r="A134" s="15" t="inlineStr">
        <is>
          <t>VC5</t>
        </is>
      </c>
      <c r="B134" s="10" t="inlineStr">
        <is>
          <t>264</t>
        </is>
      </c>
      <c r="C134" s="32" t="n">
        <v>24.9436</v>
      </c>
      <c r="D134" s="32" t="n">
        <v>109.5204</v>
      </c>
      <c r="E134" s="32" t="n">
        <v>109.5204</v>
      </c>
      <c r="F134" s="32" t="n">
        <v>40.11202892772908</v>
      </c>
      <c r="G134" s="32" t="n">
        <v>109.5204</v>
      </c>
      <c r="H134" s="22" t="inlineStr">
        <is>
          <t>SÍ</t>
        </is>
      </c>
      <c r="I134" s="10" t="inlineStr">
        <is>
          <t>450×550</t>
        </is>
      </c>
      <c r="J134" s="19" t="inlineStr">
        <is>
          <t>NO CUMPLE</t>
        </is>
      </c>
    </row>
    <row r="135">
      <c r="A135" s="15" t="inlineStr">
        <is>
          <t>VC5</t>
        </is>
      </c>
      <c r="B135" s="10" t="inlineStr">
        <is>
          <t>265</t>
        </is>
      </c>
      <c r="C135" s="32" t="n">
        <v>24.951</v>
      </c>
      <c r="D135" s="32" t="n">
        <v>109.5342</v>
      </c>
      <c r="E135" s="32" t="n">
        <v>109.5342</v>
      </c>
      <c r="F135" s="32" t="n">
        <v>40.11202892772908</v>
      </c>
      <c r="G135" s="32" t="n">
        <v>109.5342</v>
      </c>
      <c r="H135" s="22" t="inlineStr">
        <is>
          <t>SÍ</t>
        </is>
      </c>
      <c r="I135" s="10" t="inlineStr">
        <is>
          <t>450×550</t>
        </is>
      </c>
      <c r="J135" s="19" t="inlineStr">
        <is>
          <t>NO CUMPLE</t>
        </is>
      </c>
    </row>
    <row r="136">
      <c r="A136" s="15" t="inlineStr">
        <is>
          <t>VC5</t>
        </is>
      </c>
      <c r="B136" s="10" t="inlineStr">
        <is>
          <t>266</t>
        </is>
      </c>
      <c r="C136" s="32" t="n">
        <v>14.2713</v>
      </c>
      <c r="D136" s="32" t="n">
        <v>65.1127</v>
      </c>
      <c r="E136" s="32" t="n">
        <v>65.1127</v>
      </c>
      <c r="F136" s="32" t="n">
        <v>40.11202892772908</v>
      </c>
      <c r="G136" s="32" t="n">
        <v>65.1127</v>
      </c>
      <c r="H136" s="22" t="inlineStr">
        <is>
          <t>SÍ</t>
        </is>
      </c>
      <c r="I136" s="10" t="inlineStr">
        <is>
          <t>450×550</t>
        </is>
      </c>
      <c r="J136" s="15" t="inlineStr">
        <is>
          <t>CUMPLE</t>
        </is>
      </c>
    </row>
    <row r="137">
      <c r="A137" s="15" t="inlineStr">
        <is>
          <t>VC5</t>
        </is>
      </c>
      <c r="B137" s="10" t="inlineStr">
        <is>
          <t>283</t>
        </is>
      </c>
      <c r="C137" s="32" t="n">
        <v>14.2646</v>
      </c>
      <c r="D137" s="32" t="n">
        <v>65.108</v>
      </c>
      <c r="E137" s="32" t="n">
        <v>65.108</v>
      </c>
      <c r="F137" s="32" t="n">
        <v>40.11202892772908</v>
      </c>
      <c r="G137" s="32" t="n">
        <v>65.108</v>
      </c>
      <c r="H137" s="22" t="inlineStr">
        <is>
          <t>SÍ</t>
        </is>
      </c>
      <c r="I137" s="10" t="inlineStr">
        <is>
          <t>450×550</t>
        </is>
      </c>
      <c r="J137" s="15" t="inlineStr">
        <is>
          <t>CUMPLE</t>
        </is>
      </c>
    </row>
    <row r="138">
      <c r="A138" s="15" t="inlineStr">
        <is>
          <t>VC5</t>
        </is>
      </c>
      <c r="B138" s="10" t="inlineStr">
        <is>
          <t>284</t>
        </is>
      </c>
      <c r="C138" s="32" t="n">
        <v>25.0039</v>
      </c>
      <c r="D138" s="32" t="n">
        <v>109.6063</v>
      </c>
      <c r="E138" s="32" t="n">
        <v>109.6063</v>
      </c>
      <c r="F138" s="32" t="n">
        <v>40.11202892772908</v>
      </c>
      <c r="G138" s="32" t="n">
        <v>109.6063</v>
      </c>
      <c r="H138" s="22" t="inlineStr">
        <is>
          <t>SÍ</t>
        </is>
      </c>
      <c r="I138" s="10" t="inlineStr">
        <is>
          <t>450×550</t>
        </is>
      </c>
      <c r="J138" s="19" t="inlineStr">
        <is>
          <t>NO CUMPLE</t>
        </is>
      </c>
    </row>
    <row r="139">
      <c r="A139" s="15" t="inlineStr">
        <is>
          <t>VC5</t>
        </is>
      </c>
      <c r="B139" s="10" t="inlineStr">
        <is>
          <t>285</t>
        </is>
      </c>
      <c r="C139" s="32" t="n">
        <v>24.9401</v>
      </c>
      <c r="D139" s="32" t="n">
        <v>109.5404</v>
      </c>
      <c r="E139" s="32" t="n">
        <v>109.5404</v>
      </c>
      <c r="F139" s="32" t="n">
        <v>40.11202892772908</v>
      </c>
      <c r="G139" s="32" t="n">
        <v>109.5404</v>
      </c>
      <c r="H139" s="22" t="inlineStr">
        <is>
          <t>SÍ</t>
        </is>
      </c>
      <c r="I139" s="10" t="inlineStr">
        <is>
          <t>450×550</t>
        </is>
      </c>
      <c r="J139" s="19" t="inlineStr">
        <is>
          <t>NO CUMPLE</t>
        </is>
      </c>
    </row>
    <row r="140">
      <c r="A140" s="15" t="inlineStr">
        <is>
          <t>VC5</t>
        </is>
      </c>
      <c r="B140" s="10" t="inlineStr">
        <is>
          <t>286</t>
        </is>
      </c>
      <c r="C140" s="32" t="n">
        <v>14.2655</v>
      </c>
      <c r="D140" s="32" t="n">
        <v>65.10890000000001</v>
      </c>
      <c r="E140" s="32" t="n">
        <v>65.10890000000001</v>
      </c>
      <c r="F140" s="32" t="n">
        <v>40.11202892772908</v>
      </c>
      <c r="G140" s="32" t="n">
        <v>65.10890000000001</v>
      </c>
      <c r="H140" s="22" t="inlineStr">
        <is>
          <t>SÍ</t>
        </is>
      </c>
      <c r="I140" s="10" t="inlineStr">
        <is>
          <t>450×550</t>
        </is>
      </c>
      <c r="J140" s="15" t="inlineStr">
        <is>
          <t>CUMPLE</t>
        </is>
      </c>
    </row>
    <row r="141">
      <c r="A141" s="15" t="inlineStr">
        <is>
          <t>VC5</t>
        </is>
      </c>
      <c r="B141" s="10" t="inlineStr">
        <is>
          <t>821</t>
        </is>
      </c>
      <c r="C141" s="32" t="n">
        <v>11.4082</v>
      </c>
      <c r="D141" s="32" t="n">
        <v>49.8954</v>
      </c>
      <c r="E141" s="32" t="n">
        <v>49.8954</v>
      </c>
      <c r="F141" s="32" t="n">
        <v>40.11202892772908</v>
      </c>
      <c r="G141" s="32" t="n">
        <v>49.8954</v>
      </c>
      <c r="H141" s="22" t="inlineStr">
        <is>
          <t>SÍ</t>
        </is>
      </c>
      <c r="I141" s="10" t="inlineStr">
        <is>
          <t>450×550</t>
        </is>
      </c>
      <c r="J141" s="15" t="inlineStr">
        <is>
          <t>CUMPLE</t>
        </is>
      </c>
    </row>
    <row r="142">
      <c r="A142" s="15" t="inlineStr">
        <is>
          <t>VC5</t>
        </is>
      </c>
      <c r="B142" s="10" t="inlineStr">
        <is>
          <t>822</t>
        </is>
      </c>
      <c r="C142" s="32" t="n">
        <v>19.126</v>
      </c>
      <c r="D142" s="32" t="n">
        <v>80.81010000000001</v>
      </c>
      <c r="E142" s="32" t="n">
        <v>80.81010000000001</v>
      </c>
      <c r="F142" s="32" t="n">
        <v>40.11202892772908</v>
      </c>
      <c r="G142" s="32" t="n">
        <v>80.81010000000001</v>
      </c>
      <c r="H142" s="22" t="inlineStr">
        <is>
          <t>SÍ</t>
        </is>
      </c>
      <c r="I142" s="10" t="inlineStr">
        <is>
          <t>450×550</t>
        </is>
      </c>
      <c r="J142" s="19" t="inlineStr">
        <is>
          <t>NO CUMPLE</t>
        </is>
      </c>
    </row>
    <row r="143">
      <c r="A143" s="15" t="inlineStr">
        <is>
          <t>VC5</t>
        </is>
      </c>
      <c r="B143" s="10" t="inlineStr">
        <is>
          <t>823</t>
        </is>
      </c>
      <c r="C143" s="32" t="n">
        <v>19.1288</v>
      </c>
      <c r="D143" s="32" t="n">
        <v>80.8659</v>
      </c>
      <c r="E143" s="32" t="n">
        <v>80.8659</v>
      </c>
      <c r="F143" s="32" t="n">
        <v>40.11202892772908</v>
      </c>
      <c r="G143" s="32" t="n">
        <v>80.8659</v>
      </c>
      <c r="H143" s="22" t="inlineStr">
        <is>
          <t>SÍ</t>
        </is>
      </c>
      <c r="I143" s="10" t="inlineStr">
        <is>
          <t>450×550</t>
        </is>
      </c>
      <c r="J143" s="19" t="inlineStr">
        <is>
          <t>NO CUMPLE</t>
        </is>
      </c>
    </row>
    <row r="144">
      <c r="A144" s="15" t="inlineStr">
        <is>
          <t>VC5</t>
        </is>
      </c>
      <c r="B144" s="10" t="inlineStr">
        <is>
          <t>824</t>
        </is>
      </c>
      <c r="C144" s="32" t="n">
        <v>11.4068</v>
      </c>
      <c r="D144" s="32" t="n">
        <v>49.8939</v>
      </c>
      <c r="E144" s="32" t="n">
        <v>49.8939</v>
      </c>
      <c r="F144" s="32" t="n">
        <v>40.11202892772908</v>
      </c>
      <c r="G144" s="32" t="n">
        <v>49.8939</v>
      </c>
      <c r="H144" s="22" t="inlineStr">
        <is>
          <t>SÍ</t>
        </is>
      </c>
      <c r="I144" s="10" t="inlineStr">
        <is>
          <t>450×550</t>
        </is>
      </c>
      <c r="J144" s="15" t="inlineStr">
        <is>
          <t>CUMPLE</t>
        </is>
      </c>
    </row>
    <row r="145">
      <c r="A145" s="15" t="inlineStr">
        <is>
          <t>VC5</t>
        </is>
      </c>
      <c r="B145" s="10" t="inlineStr">
        <is>
          <t>841</t>
        </is>
      </c>
      <c r="C145" s="32" t="n">
        <v>11.3938</v>
      </c>
      <c r="D145" s="32" t="n">
        <v>49.8818</v>
      </c>
      <c r="E145" s="32" t="n">
        <v>49.8818</v>
      </c>
      <c r="F145" s="32" t="n">
        <v>40.11202892772908</v>
      </c>
      <c r="G145" s="32" t="n">
        <v>49.8818</v>
      </c>
      <c r="H145" s="22" t="inlineStr">
        <is>
          <t>SÍ</t>
        </is>
      </c>
      <c r="I145" s="10" t="inlineStr">
        <is>
          <t>450×550</t>
        </is>
      </c>
      <c r="J145" s="15" t="inlineStr">
        <is>
          <t>CUMPLE</t>
        </is>
      </c>
    </row>
    <row r="146">
      <c r="A146" s="15" t="inlineStr">
        <is>
          <t>VC5</t>
        </is>
      </c>
      <c r="B146" s="10" t="inlineStr">
        <is>
          <t>842</t>
        </is>
      </c>
      <c r="C146" s="32" t="n">
        <v>19.1563</v>
      </c>
      <c r="D146" s="32" t="n">
        <v>80.9049</v>
      </c>
      <c r="E146" s="32" t="n">
        <v>80.9049</v>
      </c>
      <c r="F146" s="32" t="n">
        <v>40.11202892772908</v>
      </c>
      <c r="G146" s="32" t="n">
        <v>80.9049</v>
      </c>
      <c r="H146" s="22" t="inlineStr">
        <is>
          <t>SÍ</t>
        </is>
      </c>
      <c r="I146" s="10" t="inlineStr">
        <is>
          <t>450×550</t>
        </is>
      </c>
      <c r="J146" s="19" t="inlineStr">
        <is>
          <t>NO CUMPLE</t>
        </is>
      </c>
    </row>
    <row r="147">
      <c r="A147" s="15" t="inlineStr">
        <is>
          <t>VC5</t>
        </is>
      </c>
      <c r="B147" s="10" t="inlineStr">
        <is>
          <t>843</t>
        </is>
      </c>
      <c r="C147" s="32" t="n">
        <v>19.1317</v>
      </c>
      <c r="D147" s="32" t="n">
        <v>80.8402</v>
      </c>
      <c r="E147" s="32" t="n">
        <v>80.8402</v>
      </c>
      <c r="F147" s="32" t="n">
        <v>40.11202892772908</v>
      </c>
      <c r="G147" s="32" t="n">
        <v>80.8402</v>
      </c>
      <c r="H147" s="22" t="inlineStr">
        <is>
          <t>SÍ</t>
        </is>
      </c>
      <c r="I147" s="10" t="inlineStr">
        <is>
          <t>450×550</t>
        </is>
      </c>
      <c r="J147" s="19" t="inlineStr">
        <is>
          <t>NO CUMPLE</t>
        </is>
      </c>
    </row>
    <row r="148">
      <c r="A148" s="15" t="inlineStr">
        <is>
          <t>VC5</t>
        </is>
      </c>
      <c r="B148" s="10" t="inlineStr">
        <is>
          <t>844</t>
        </is>
      </c>
      <c r="C148" s="32" t="n">
        <v>11.3953</v>
      </c>
      <c r="D148" s="32" t="n">
        <v>49.8833</v>
      </c>
      <c r="E148" s="32" t="n">
        <v>49.8833</v>
      </c>
      <c r="F148" s="32" t="n">
        <v>40.11202892772908</v>
      </c>
      <c r="G148" s="32" t="n">
        <v>49.8833</v>
      </c>
      <c r="H148" s="22" t="inlineStr">
        <is>
          <t>SÍ</t>
        </is>
      </c>
      <c r="I148" s="10" t="inlineStr">
        <is>
          <t>450×550</t>
        </is>
      </c>
      <c r="J148" s="15" t="inlineStr">
        <is>
          <t>CUMPLE</t>
        </is>
      </c>
    </row>
    <row r="149">
      <c r="A149" s="15" t="inlineStr">
        <is>
          <t>VC5</t>
        </is>
      </c>
      <c r="B149" s="10" t="inlineStr">
        <is>
          <t>915</t>
        </is>
      </c>
      <c r="C149" s="32" t="n">
        <v>7.804</v>
      </c>
      <c r="D149" s="32" t="n">
        <v>31.4036</v>
      </c>
      <c r="E149" s="32" t="n">
        <v>31.4036</v>
      </c>
      <c r="F149" s="32" t="n">
        <v>40.11202892772908</v>
      </c>
      <c r="G149" s="32" t="n">
        <v>31.4036</v>
      </c>
      <c r="H149" s="10" t="inlineStr">
        <is>
          <t>NO</t>
        </is>
      </c>
      <c r="I149" s="10" t="inlineStr">
        <is>
          <t>450×550</t>
        </is>
      </c>
      <c r="J149" s="15" t="inlineStr">
        <is>
          <t>CUMPLE</t>
        </is>
      </c>
    </row>
    <row r="150">
      <c r="A150" s="15" t="inlineStr">
        <is>
          <t>VC5</t>
        </is>
      </c>
      <c r="B150" s="10" t="inlineStr">
        <is>
          <t>916</t>
        </is>
      </c>
      <c r="C150" s="32" t="n">
        <v>15.8778</v>
      </c>
      <c r="D150" s="32" t="n">
        <v>45.7206</v>
      </c>
      <c r="E150" s="32" t="n">
        <v>45.7206</v>
      </c>
      <c r="F150" s="32" t="n">
        <v>40.11202892772908</v>
      </c>
      <c r="G150" s="32" t="n">
        <v>45.7206</v>
      </c>
      <c r="H150" s="22" t="inlineStr">
        <is>
          <t>SÍ</t>
        </is>
      </c>
      <c r="I150" s="10" t="inlineStr">
        <is>
          <t>450×550</t>
        </is>
      </c>
      <c r="J150" s="15" t="inlineStr">
        <is>
          <t>CUMPLE</t>
        </is>
      </c>
    </row>
    <row r="151">
      <c r="A151" s="15" t="inlineStr">
        <is>
          <t>VC5</t>
        </is>
      </c>
      <c r="B151" s="10" t="inlineStr">
        <is>
          <t>917</t>
        </is>
      </c>
      <c r="C151" s="32" t="n">
        <v>15.8776</v>
      </c>
      <c r="D151" s="32" t="n">
        <v>45.7755</v>
      </c>
      <c r="E151" s="32" t="n">
        <v>45.7755</v>
      </c>
      <c r="F151" s="32" t="n">
        <v>40.11202892772908</v>
      </c>
      <c r="G151" s="32" t="n">
        <v>45.7755</v>
      </c>
      <c r="H151" s="22" t="inlineStr">
        <is>
          <t>SÍ</t>
        </is>
      </c>
      <c r="I151" s="10" t="inlineStr">
        <is>
          <t>450×550</t>
        </is>
      </c>
      <c r="J151" s="15" t="inlineStr">
        <is>
          <t>CUMPLE</t>
        </is>
      </c>
    </row>
    <row r="152">
      <c r="A152" s="15" t="inlineStr">
        <is>
          <t>VC5</t>
        </is>
      </c>
      <c r="B152" s="10" t="inlineStr">
        <is>
          <t>918</t>
        </is>
      </c>
      <c r="C152" s="32" t="n">
        <v>7.8007</v>
      </c>
      <c r="D152" s="32" t="n">
        <v>31.4002</v>
      </c>
      <c r="E152" s="32" t="n">
        <v>31.4002</v>
      </c>
      <c r="F152" s="32" t="n">
        <v>40.11202892772908</v>
      </c>
      <c r="G152" s="32" t="n">
        <v>31.4002</v>
      </c>
      <c r="H152" s="10" t="inlineStr">
        <is>
          <t>NO</t>
        </is>
      </c>
      <c r="I152" s="10" t="inlineStr">
        <is>
          <t>450×550</t>
        </is>
      </c>
      <c r="J152" s="15" t="inlineStr">
        <is>
          <t>CUMPLE</t>
        </is>
      </c>
    </row>
    <row r="153">
      <c r="A153" s="15" t="inlineStr">
        <is>
          <t>VC5</t>
        </is>
      </c>
      <c r="B153" s="10" t="inlineStr">
        <is>
          <t>935</t>
        </is>
      </c>
      <c r="C153" s="32" t="n">
        <v>7.787</v>
      </c>
      <c r="D153" s="32" t="n">
        <v>31.387</v>
      </c>
      <c r="E153" s="32" t="n">
        <v>31.387</v>
      </c>
      <c r="F153" s="32" t="n">
        <v>40.11202892772908</v>
      </c>
      <c r="G153" s="32" t="n">
        <v>31.387</v>
      </c>
      <c r="H153" s="10" t="inlineStr">
        <is>
          <t>NO</t>
        </is>
      </c>
      <c r="I153" s="10" t="inlineStr">
        <is>
          <t>450×550</t>
        </is>
      </c>
      <c r="J153" s="15" t="inlineStr">
        <is>
          <t>CUMPLE</t>
        </is>
      </c>
    </row>
    <row r="154">
      <c r="A154" s="15" t="inlineStr">
        <is>
          <t>VC5</t>
        </is>
      </c>
      <c r="B154" s="10" t="inlineStr">
        <is>
          <t>936</t>
        </is>
      </c>
      <c r="C154" s="32" t="n">
        <v>15.9156</v>
      </c>
      <c r="D154" s="32" t="n">
        <v>45.8267</v>
      </c>
      <c r="E154" s="32" t="n">
        <v>45.8267</v>
      </c>
      <c r="F154" s="32" t="n">
        <v>40.11202892772908</v>
      </c>
      <c r="G154" s="32" t="n">
        <v>45.8267</v>
      </c>
      <c r="H154" s="22" t="inlineStr">
        <is>
          <t>SÍ</t>
        </is>
      </c>
      <c r="I154" s="10" t="inlineStr">
        <is>
          <t>450×550</t>
        </is>
      </c>
      <c r="J154" s="15" t="inlineStr">
        <is>
          <t>CUMPLE</t>
        </is>
      </c>
    </row>
    <row r="155">
      <c r="A155" s="15" t="inlineStr">
        <is>
          <t>VC5</t>
        </is>
      </c>
      <c r="B155" s="10" t="inlineStr">
        <is>
          <t>937</t>
        </is>
      </c>
      <c r="C155" s="32" t="n">
        <v>15.8874</v>
      </c>
      <c r="D155" s="32" t="n">
        <v>45.7599</v>
      </c>
      <c r="E155" s="32" t="n">
        <v>45.7599</v>
      </c>
      <c r="F155" s="32" t="n">
        <v>40.11202892772908</v>
      </c>
      <c r="G155" s="32" t="n">
        <v>45.7599</v>
      </c>
      <c r="H155" s="22" t="inlineStr">
        <is>
          <t>SÍ</t>
        </is>
      </c>
      <c r="I155" s="10" t="inlineStr">
        <is>
          <t>450×550</t>
        </is>
      </c>
      <c r="J155" s="15" t="inlineStr">
        <is>
          <t>CUMPLE</t>
        </is>
      </c>
    </row>
    <row r="156">
      <c r="A156" s="15" t="inlineStr">
        <is>
          <t>VC5</t>
        </is>
      </c>
      <c r="B156" s="10" t="inlineStr">
        <is>
          <t>938</t>
        </is>
      </c>
      <c r="C156" s="32" t="n">
        <v>7.7892</v>
      </c>
      <c r="D156" s="32" t="n">
        <v>31.3893</v>
      </c>
      <c r="E156" s="32" t="n">
        <v>31.3893</v>
      </c>
      <c r="F156" s="32" t="n">
        <v>40.11202892772908</v>
      </c>
      <c r="G156" s="32" t="n">
        <v>31.3893</v>
      </c>
      <c r="H156" s="10" t="inlineStr">
        <is>
          <t>NO</t>
        </is>
      </c>
      <c r="I156" s="10" t="inlineStr">
        <is>
          <t>450×550</t>
        </is>
      </c>
      <c r="J156" s="15" t="inlineStr">
        <is>
          <t>CUMPLE</t>
        </is>
      </c>
    </row>
    <row r="157">
      <c r="A157" s="15" t="inlineStr">
        <is>
          <t>VC5</t>
        </is>
      </c>
      <c r="B157" s="10" t="inlineStr">
        <is>
          <t>1009</t>
        </is>
      </c>
      <c r="C157" s="32" t="n">
        <v>4.2822</v>
      </c>
      <c r="D157" s="32" t="n">
        <v>13.7011</v>
      </c>
      <c r="E157" s="32" t="n">
        <v>13.7011</v>
      </c>
      <c r="F157" s="32" t="n">
        <v>40.11202892772908</v>
      </c>
      <c r="G157" s="32" t="n">
        <v>13.7011</v>
      </c>
      <c r="H157" s="10" t="inlineStr">
        <is>
          <t>NO</t>
        </is>
      </c>
      <c r="I157" s="10" t="inlineStr">
        <is>
          <t>450×550</t>
        </is>
      </c>
      <c r="J157" s="15" t="inlineStr">
        <is>
          <t>CUMPLE</t>
        </is>
      </c>
    </row>
    <row r="158">
      <c r="A158" s="15" t="inlineStr">
        <is>
          <t>VC5</t>
        </is>
      </c>
      <c r="B158" s="10" t="inlineStr">
        <is>
          <t>1010</t>
        </is>
      </c>
      <c r="C158" s="32" t="n">
        <v>17.9639</v>
      </c>
      <c r="D158" s="32" t="n">
        <v>18.9069</v>
      </c>
      <c r="E158" s="32" t="n">
        <v>18.9069</v>
      </c>
      <c r="F158" s="32" t="n">
        <v>40.11202892772908</v>
      </c>
      <c r="G158" s="32" t="n">
        <v>18.9069</v>
      </c>
      <c r="H158" s="10" t="inlineStr">
        <is>
          <t>NO</t>
        </is>
      </c>
      <c r="I158" s="10" t="inlineStr">
        <is>
          <t>450×550</t>
        </is>
      </c>
      <c r="J158" s="15" t="inlineStr">
        <is>
          <t>CUMPLE</t>
        </is>
      </c>
    </row>
    <row r="159">
      <c r="A159" s="15" t="inlineStr">
        <is>
          <t>VC5</t>
        </is>
      </c>
      <c r="B159" s="10" t="inlineStr">
        <is>
          <t>1011</t>
        </is>
      </c>
      <c r="C159" s="32" t="n">
        <v>17.9708</v>
      </c>
      <c r="D159" s="32" t="n">
        <v>18.9167</v>
      </c>
      <c r="E159" s="32" t="n">
        <v>18.9167</v>
      </c>
      <c r="F159" s="32" t="n">
        <v>40.11202892772908</v>
      </c>
      <c r="G159" s="32" t="n">
        <v>18.9167</v>
      </c>
      <c r="H159" s="10" t="inlineStr">
        <is>
          <t>NO</t>
        </is>
      </c>
      <c r="I159" s="10" t="inlineStr">
        <is>
          <t>450×550</t>
        </is>
      </c>
      <c r="J159" s="15" t="inlineStr">
        <is>
          <t>CUMPLE</t>
        </is>
      </c>
    </row>
    <row r="160">
      <c r="A160" s="15" t="inlineStr">
        <is>
          <t>VC5</t>
        </is>
      </c>
      <c r="B160" s="10" t="inlineStr">
        <is>
          <t>1012</t>
        </is>
      </c>
      <c r="C160" s="32" t="n">
        <v>4.2793</v>
      </c>
      <c r="D160" s="32" t="n">
        <v>13.6981</v>
      </c>
      <c r="E160" s="32" t="n">
        <v>13.6981</v>
      </c>
      <c r="F160" s="32" t="n">
        <v>40.11202892772908</v>
      </c>
      <c r="G160" s="32" t="n">
        <v>13.6981</v>
      </c>
      <c r="H160" s="10" t="inlineStr">
        <is>
          <t>NO</t>
        </is>
      </c>
      <c r="I160" s="10" t="inlineStr">
        <is>
          <t>450×550</t>
        </is>
      </c>
      <c r="J160" s="15" t="inlineStr">
        <is>
          <t>CUMPLE</t>
        </is>
      </c>
    </row>
    <row r="161">
      <c r="A161" s="15" t="inlineStr">
        <is>
          <t>VC5</t>
        </is>
      </c>
      <c r="B161" s="10" t="inlineStr">
        <is>
          <t>1029</t>
        </is>
      </c>
      <c r="C161" s="32" t="n">
        <v>4.2714</v>
      </c>
      <c r="D161" s="32" t="n">
        <v>13.6919</v>
      </c>
      <c r="E161" s="32" t="n">
        <v>13.6919</v>
      </c>
      <c r="F161" s="32" t="n">
        <v>40.11202892772908</v>
      </c>
      <c r="G161" s="32" t="n">
        <v>13.6919</v>
      </c>
      <c r="H161" s="10" t="inlineStr">
        <is>
          <t>NO</t>
        </is>
      </c>
      <c r="I161" s="10" t="inlineStr">
        <is>
          <t>450×550</t>
        </is>
      </c>
      <c r="J161" s="15" t="inlineStr">
        <is>
          <t>CUMPLE</t>
        </is>
      </c>
    </row>
    <row r="162">
      <c r="A162" s="15" t="inlineStr">
        <is>
          <t>VC5</t>
        </is>
      </c>
      <c r="B162" s="10" t="inlineStr">
        <is>
          <t>1030</t>
        </is>
      </c>
      <c r="C162" s="32" t="n">
        <v>17.9885</v>
      </c>
      <c r="D162" s="32" t="n">
        <v>18.9505</v>
      </c>
      <c r="E162" s="32" t="n">
        <v>18.9505</v>
      </c>
      <c r="F162" s="32" t="n">
        <v>40.11202892772908</v>
      </c>
      <c r="G162" s="32" t="n">
        <v>18.9505</v>
      </c>
      <c r="H162" s="10" t="inlineStr">
        <is>
          <t>NO</t>
        </is>
      </c>
      <c r="I162" s="10" t="inlineStr">
        <is>
          <t>450×550</t>
        </is>
      </c>
      <c r="J162" s="15" t="inlineStr">
        <is>
          <t>CUMPLE</t>
        </is>
      </c>
    </row>
    <row r="163">
      <c r="A163" s="15" t="inlineStr">
        <is>
          <t>VC5</t>
        </is>
      </c>
      <c r="B163" s="10" t="inlineStr">
        <is>
          <t>1031</t>
        </is>
      </c>
      <c r="C163" s="32" t="n">
        <v>17.959</v>
      </c>
      <c r="D163" s="32" t="n">
        <v>18.9237</v>
      </c>
      <c r="E163" s="32" t="n">
        <v>18.9237</v>
      </c>
      <c r="F163" s="32" t="n">
        <v>40.11202892772908</v>
      </c>
      <c r="G163" s="32" t="n">
        <v>18.9237</v>
      </c>
      <c r="H163" s="10" t="inlineStr">
        <is>
          <t>NO</t>
        </is>
      </c>
      <c r="I163" s="10" t="inlineStr">
        <is>
          <t>450×550</t>
        </is>
      </c>
      <c r="J163" s="15" t="inlineStr">
        <is>
          <t>CUMPLE</t>
        </is>
      </c>
    </row>
    <row r="164">
      <c r="A164" s="15" t="inlineStr">
        <is>
          <t>VC5</t>
        </is>
      </c>
      <c r="B164" s="10" t="inlineStr">
        <is>
          <t>1032</t>
        </is>
      </c>
      <c r="C164" s="32" t="n">
        <v>4.2735</v>
      </c>
      <c r="D164" s="32" t="n">
        <v>13.6941</v>
      </c>
      <c r="E164" s="32" t="n">
        <v>13.6941</v>
      </c>
      <c r="F164" s="32" t="n">
        <v>40.11202892772908</v>
      </c>
      <c r="G164" s="32" t="n">
        <v>13.6941</v>
      </c>
      <c r="H164" s="10" t="inlineStr">
        <is>
          <t>NO</t>
        </is>
      </c>
      <c r="I164" s="10" t="inlineStr">
        <is>
          <t>450×550</t>
        </is>
      </c>
      <c r="J164" s="15" t="inlineStr">
        <is>
          <t>CUMPLE</t>
        </is>
      </c>
    </row>
    <row r="165">
      <c r="A165" s="20" t="inlineStr">
        <is>
          <t>VC6</t>
        </is>
      </c>
      <c r="B165" s="10" t="inlineStr">
        <is>
          <t>67</t>
        </is>
      </c>
      <c r="C165" s="32" t="n">
        <v>1.4916</v>
      </c>
      <c r="D165" s="32" t="n">
        <v>6.1765</v>
      </c>
      <c r="E165" s="32" t="n">
        <v>6.1765</v>
      </c>
      <c r="F165" s="32" t="n">
        <v>40.11202892772908</v>
      </c>
      <c r="G165" s="32" t="n">
        <v>6.1765</v>
      </c>
      <c r="H165" s="10" t="inlineStr">
        <is>
          <t>NO</t>
        </is>
      </c>
      <c r="I165" s="10" t="inlineStr">
        <is>
          <t>450×550</t>
        </is>
      </c>
      <c r="J165" s="15" t="inlineStr">
        <is>
          <t>CUMPLE</t>
        </is>
      </c>
    </row>
    <row r="166">
      <c r="A166" s="20" t="inlineStr">
        <is>
          <t>VC6</t>
        </is>
      </c>
      <c r="B166" s="10" t="inlineStr">
        <is>
          <t>68</t>
        </is>
      </c>
      <c r="C166" s="32" t="n">
        <v>26.35</v>
      </c>
      <c r="D166" s="32" t="n">
        <v>123.1367</v>
      </c>
      <c r="E166" s="32" t="n">
        <v>123.1367</v>
      </c>
      <c r="F166" s="32" t="n">
        <v>40.11202892772908</v>
      </c>
      <c r="G166" s="32" t="n">
        <v>123.1367</v>
      </c>
      <c r="H166" s="22" t="inlineStr">
        <is>
          <t>SÍ</t>
        </is>
      </c>
      <c r="I166" s="10" t="inlineStr">
        <is>
          <t>450×550</t>
        </is>
      </c>
      <c r="J166" s="19" t="inlineStr">
        <is>
          <t>NO CUMPLE</t>
        </is>
      </c>
    </row>
    <row r="167">
      <c r="A167" s="20" t="inlineStr">
        <is>
          <t>VC6</t>
        </is>
      </c>
      <c r="B167" s="10" t="inlineStr">
        <is>
          <t>69</t>
        </is>
      </c>
      <c r="C167" s="32" t="n">
        <v>26.3506</v>
      </c>
      <c r="D167" s="32" t="n">
        <v>123.1377</v>
      </c>
      <c r="E167" s="32" t="n">
        <v>123.1377</v>
      </c>
      <c r="F167" s="32" t="n">
        <v>40.11202892772908</v>
      </c>
      <c r="G167" s="32" t="n">
        <v>123.1377</v>
      </c>
      <c r="H167" s="22" t="inlineStr">
        <is>
          <t>SÍ</t>
        </is>
      </c>
      <c r="I167" s="10" t="inlineStr">
        <is>
          <t>450×550</t>
        </is>
      </c>
      <c r="J167" s="19" t="inlineStr">
        <is>
          <t>NO CUMPLE</t>
        </is>
      </c>
    </row>
    <row r="168">
      <c r="A168" s="20" t="inlineStr">
        <is>
          <t>VC6</t>
        </is>
      </c>
      <c r="B168" s="10" t="inlineStr">
        <is>
          <t>70</t>
        </is>
      </c>
      <c r="C168" s="32" t="n">
        <v>1.4909</v>
      </c>
      <c r="D168" s="32" t="n">
        <v>6.1758</v>
      </c>
      <c r="E168" s="32" t="n">
        <v>6.1758</v>
      </c>
      <c r="F168" s="32" t="n">
        <v>40.11202892772908</v>
      </c>
      <c r="G168" s="32" t="n">
        <v>6.1758</v>
      </c>
      <c r="H168" s="10" t="inlineStr">
        <is>
          <t>NO</t>
        </is>
      </c>
      <c r="I168" s="10" t="inlineStr">
        <is>
          <t>450×550</t>
        </is>
      </c>
      <c r="J168" s="15" t="inlineStr">
        <is>
          <t>CUMPLE</t>
        </is>
      </c>
    </row>
    <row r="169">
      <c r="A169" s="20" t="inlineStr">
        <is>
          <t>VC6</t>
        </is>
      </c>
      <c r="B169" s="10" t="inlineStr">
        <is>
          <t>79</t>
        </is>
      </c>
      <c r="C169" s="32" t="n">
        <v>1.491</v>
      </c>
      <c r="D169" s="32" t="n">
        <v>6.1812</v>
      </c>
      <c r="E169" s="32" t="n">
        <v>6.1812</v>
      </c>
      <c r="F169" s="32" t="n">
        <v>40.11202892772908</v>
      </c>
      <c r="G169" s="32" t="n">
        <v>6.1812</v>
      </c>
      <c r="H169" s="10" t="inlineStr">
        <is>
          <t>NO</t>
        </is>
      </c>
      <c r="I169" s="10" t="inlineStr">
        <is>
          <t>450×550</t>
        </is>
      </c>
      <c r="J169" s="15" t="inlineStr">
        <is>
          <t>CUMPLE</t>
        </is>
      </c>
    </row>
    <row r="170">
      <c r="A170" s="20" t="inlineStr">
        <is>
          <t>VC6</t>
        </is>
      </c>
      <c r="B170" s="10" t="inlineStr">
        <is>
          <t>80</t>
        </is>
      </c>
      <c r="C170" s="32" t="n">
        <v>26.3418</v>
      </c>
      <c r="D170" s="32" t="n">
        <v>123.1427</v>
      </c>
      <c r="E170" s="32" t="n">
        <v>123.1427</v>
      </c>
      <c r="F170" s="32" t="n">
        <v>40.11202892772908</v>
      </c>
      <c r="G170" s="32" t="n">
        <v>123.1427</v>
      </c>
      <c r="H170" s="22" t="inlineStr">
        <is>
          <t>SÍ</t>
        </is>
      </c>
      <c r="I170" s="10" t="inlineStr">
        <is>
          <t>450×550</t>
        </is>
      </c>
      <c r="J170" s="19" t="inlineStr">
        <is>
          <t>NO CUMPLE</t>
        </is>
      </c>
    </row>
    <row r="171">
      <c r="A171" s="20" t="inlineStr">
        <is>
          <t>VC6</t>
        </is>
      </c>
      <c r="B171" s="10" t="inlineStr">
        <is>
          <t>81</t>
        </is>
      </c>
      <c r="C171" s="32" t="n">
        <v>26.3423</v>
      </c>
      <c r="D171" s="32" t="n">
        <v>123.143</v>
      </c>
      <c r="E171" s="32" t="n">
        <v>123.143</v>
      </c>
      <c r="F171" s="32" t="n">
        <v>40.11202892772908</v>
      </c>
      <c r="G171" s="32" t="n">
        <v>123.143</v>
      </c>
      <c r="H171" s="22" t="inlineStr">
        <is>
          <t>SÍ</t>
        </is>
      </c>
      <c r="I171" s="10" t="inlineStr">
        <is>
          <t>450×550</t>
        </is>
      </c>
      <c r="J171" s="19" t="inlineStr">
        <is>
          <t>NO CUMPLE</t>
        </is>
      </c>
    </row>
    <row r="172">
      <c r="A172" s="20" t="inlineStr">
        <is>
          <t>VC6</t>
        </is>
      </c>
      <c r="B172" s="10" t="inlineStr">
        <is>
          <t>82</t>
        </is>
      </c>
      <c r="C172" s="32" t="n">
        <v>1.4917</v>
      </c>
      <c r="D172" s="32" t="n">
        <v>6.1819</v>
      </c>
      <c r="E172" s="32" t="n">
        <v>6.1819</v>
      </c>
      <c r="F172" s="32" t="n">
        <v>40.11202892772908</v>
      </c>
      <c r="G172" s="32" t="n">
        <v>6.1819</v>
      </c>
      <c r="H172" s="10" t="inlineStr">
        <is>
          <t>NO</t>
        </is>
      </c>
      <c r="I172" s="10" t="inlineStr">
        <is>
          <t>450×550</t>
        </is>
      </c>
      <c r="J172" s="15" t="inlineStr">
        <is>
          <t>CUMPLE</t>
        </is>
      </c>
    </row>
    <row r="173">
      <c r="A173" s="20" t="inlineStr">
        <is>
          <t>VC6</t>
        </is>
      </c>
      <c r="B173" s="10" t="inlineStr">
        <is>
          <t>267</t>
        </is>
      </c>
      <c r="C173" s="32" t="n">
        <v>1.2775</v>
      </c>
      <c r="D173" s="32" t="n">
        <v>5.9497</v>
      </c>
      <c r="E173" s="32" t="n">
        <v>5.9497</v>
      </c>
      <c r="F173" s="32" t="n">
        <v>40.11202892772908</v>
      </c>
      <c r="G173" s="32" t="n">
        <v>5.9497</v>
      </c>
      <c r="H173" s="10" t="inlineStr">
        <is>
          <t>NO</t>
        </is>
      </c>
      <c r="I173" s="10" t="inlineStr">
        <is>
          <t>450×550</t>
        </is>
      </c>
      <c r="J173" s="15" t="inlineStr">
        <is>
          <t>CUMPLE</t>
        </is>
      </c>
    </row>
    <row r="174">
      <c r="A174" s="20" t="inlineStr">
        <is>
          <t>VC6</t>
        </is>
      </c>
      <c r="B174" s="10" t="inlineStr">
        <is>
          <t>268</t>
        </is>
      </c>
      <c r="C174" s="32" t="n">
        <v>21.7258</v>
      </c>
      <c r="D174" s="32" t="n">
        <v>102.113</v>
      </c>
      <c r="E174" s="32" t="n">
        <v>102.113</v>
      </c>
      <c r="F174" s="32" t="n">
        <v>40.11202892772908</v>
      </c>
      <c r="G174" s="32" t="n">
        <v>102.113</v>
      </c>
      <c r="H174" s="22" t="inlineStr">
        <is>
          <t>SÍ</t>
        </is>
      </c>
      <c r="I174" s="10" t="inlineStr">
        <is>
          <t>450×550</t>
        </is>
      </c>
      <c r="J174" s="19" t="inlineStr">
        <is>
          <t>NO CUMPLE</t>
        </is>
      </c>
    </row>
    <row r="175">
      <c r="A175" s="20" t="inlineStr">
        <is>
          <t>VC6</t>
        </is>
      </c>
      <c r="B175" s="10" t="inlineStr">
        <is>
          <t>269</t>
        </is>
      </c>
      <c r="C175" s="32" t="n">
        <v>21.7261</v>
      </c>
      <c r="D175" s="32" t="n">
        <v>102.1133</v>
      </c>
      <c r="E175" s="32" t="n">
        <v>102.1133</v>
      </c>
      <c r="F175" s="32" t="n">
        <v>40.11202892772908</v>
      </c>
      <c r="G175" s="32" t="n">
        <v>102.1133</v>
      </c>
      <c r="H175" s="22" t="inlineStr">
        <is>
          <t>SÍ</t>
        </is>
      </c>
      <c r="I175" s="10" t="inlineStr">
        <is>
          <t>450×550</t>
        </is>
      </c>
      <c r="J175" s="19" t="inlineStr">
        <is>
          <t>NO CUMPLE</t>
        </is>
      </c>
    </row>
    <row r="176">
      <c r="A176" s="20" t="inlineStr">
        <is>
          <t>VC6</t>
        </is>
      </c>
      <c r="B176" s="10" t="inlineStr">
        <is>
          <t>270</t>
        </is>
      </c>
      <c r="C176" s="32" t="n">
        <v>1.2771</v>
      </c>
      <c r="D176" s="32" t="n">
        <v>5.9493</v>
      </c>
      <c r="E176" s="32" t="n">
        <v>5.9493</v>
      </c>
      <c r="F176" s="32" t="n">
        <v>40.11202892772908</v>
      </c>
      <c r="G176" s="32" t="n">
        <v>5.9493</v>
      </c>
      <c r="H176" s="10" t="inlineStr">
        <is>
          <t>NO</t>
        </is>
      </c>
      <c r="I176" s="10" t="inlineStr">
        <is>
          <t>450×550</t>
        </is>
      </c>
      <c r="J176" s="15" t="inlineStr">
        <is>
          <t>CUMPLE</t>
        </is>
      </c>
    </row>
    <row r="177">
      <c r="A177" s="20" t="inlineStr">
        <is>
          <t>VC6</t>
        </is>
      </c>
      <c r="B177" s="10" t="inlineStr">
        <is>
          <t>279</t>
        </is>
      </c>
      <c r="C177" s="32" t="n">
        <v>1.2722</v>
      </c>
      <c r="D177" s="32" t="n">
        <v>5.9391</v>
      </c>
      <c r="E177" s="32" t="n">
        <v>5.9391</v>
      </c>
      <c r="F177" s="32" t="n">
        <v>40.11202892772908</v>
      </c>
      <c r="G177" s="32" t="n">
        <v>5.9391</v>
      </c>
      <c r="H177" s="10" t="inlineStr">
        <is>
          <t>NO</t>
        </is>
      </c>
      <c r="I177" s="10" t="inlineStr">
        <is>
          <t>450×550</t>
        </is>
      </c>
      <c r="J177" s="15" t="inlineStr">
        <is>
          <t>CUMPLE</t>
        </is>
      </c>
    </row>
    <row r="178">
      <c r="A178" s="20" t="inlineStr">
        <is>
          <t>VC6</t>
        </is>
      </c>
      <c r="B178" s="10" t="inlineStr">
        <is>
          <t>280</t>
        </is>
      </c>
      <c r="C178" s="32" t="n">
        <v>21.6839</v>
      </c>
      <c r="D178" s="32" t="n">
        <v>102.0279</v>
      </c>
      <c r="E178" s="32" t="n">
        <v>102.0279</v>
      </c>
      <c r="F178" s="32" t="n">
        <v>40.11202892772908</v>
      </c>
      <c r="G178" s="32" t="n">
        <v>102.0279</v>
      </c>
      <c r="H178" s="22" t="inlineStr">
        <is>
          <t>SÍ</t>
        </is>
      </c>
      <c r="I178" s="10" t="inlineStr">
        <is>
          <t>450×550</t>
        </is>
      </c>
      <c r="J178" s="19" t="inlineStr">
        <is>
          <t>NO CUMPLE</t>
        </is>
      </c>
    </row>
    <row r="179">
      <c r="A179" s="20" t="inlineStr">
        <is>
          <t>VC6</t>
        </is>
      </c>
      <c r="B179" s="10" t="inlineStr">
        <is>
          <t>281</t>
        </is>
      </c>
      <c r="C179" s="32" t="n">
        <v>21.6845</v>
      </c>
      <c r="D179" s="32" t="n">
        <v>102.0283</v>
      </c>
      <c r="E179" s="32" t="n">
        <v>102.0283</v>
      </c>
      <c r="F179" s="32" t="n">
        <v>40.11202892772908</v>
      </c>
      <c r="G179" s="32" t="n">
        <v>102.0283</v>
      </c>
      <c r="H179" s="22" t="inlineStr">
        <is>
          <t>SÍ</t>
        </is>
      </c>
      <c r="I179" s="10" t="inlineStr">
        <is>
          <t>450×550</t>
        </is>
      </c>
      <c r="J179" s="19" t="inlineStr">
        <is>
          <t>NO CUMPLE</t>
        </is>
      </c>
    </row>
    <row r="180">
      <c r="A180" s="20" t="inlineStr">
        <is>
          <t>VC6</t>
        </is>
      </c>
      <c r="B180" s="10" t="inlineStr">
        <is>
          <t>282</t>
        </is>
      </c>
      <c r="C180" s="32" t="n">
        <v>1.2728</v>
      </c>
      <c r="D180" s="32" t="n">
        <v>5.9396</v>
      </c>
      <c r="E180" s="32" t="n">
        <v>5.9396</v>
      </c>
      <c r="F180" s="32" t="n">
        <v>40.11202892772908</v>
      </c>
      <c r="G180" s="32" t="n">
        <v>5.9396</v>
      </c>
      <c r="H180" s="10" t="inlineStr">
        <is>
          <t>NO</t>
        </is>
      </c>
      <c r="I180" s="10" t="inlineStr">
        <is>
          <t>450×550</t>
        </is>
      </c>
      <c r="J180" s="15" t="inlineStr">
        <is>
          <t>CUMPLE</t>
        </is>
      </c>
    </row>
    <row r="181">
      <c r="A181" s="20" t="inlineStr">
        <is>
          <t>VC6</t>
        </is>
      </c>
      <c r="B181" s="10" t="inlineStr">
        <is>
          <t>825</t>
        </is>
      </c>
      <c r="C181" s="32" t="n">
        <v>1.3281</v>
      </c>
      <c r="D181" s="32" t="n">
        <v>5.2883</v>
      </c>
      <c r="E181" s="32" t="n">
        <v>5.2883</v>
      </c>
      <c r="F181" s="32" t="n">
        <v>40.11202892772908</v>
      </c>
      <c r="G181" s="32" t="n">
        <v>5.2883</v>
      </c>
      <c r="H181" s="10" t="inlineStr">
        <is>
          <t>NO</t>
        </is>
      </c>
      <c r="I181" s="10" t="inlineStr">
        <is>
          <t>450×550</t>
        </is>
      </c>
      <c r="J181" s="15" t="inlineStr">
        <is>
          <t>CUMPLE</t>
        </is>
      </c>
    </row>
    <row r="182">
      <c r="A182" s="20" t="inlineStr">
        <is>
          <t>VC6</t>
        </is>
      </c>
      <c r="B182" s="10" t="inlineStr">
        <is>
          <t>826</t>
        </is>
      </c>
      <c r="C182" s="32" t="n">
        <v>15.8496</v>
      </c>
      <c r="D182" s="32" t="n">
        <v>73.6656</v>
      </c>
      <c r="E182" s="32" t="n">
        <v>73.6656</v>
      </c>
      <c r="F182" s="32" t="n">
        <v>40.11202892772908</v>
      </c>
      <c r="G182" s="32" t="n">
        <v>73.6656</v>
      </c>
      <c r="H182" s="22" t="inlineStr">
        <is>
          <t>SÍ</t>
        </is>
      </c>
      <c r="I182" s="10" t="inlineStr">
        <is>
          <t>450×550</t>
        </is>
      </c>
      <c r="J182" s="15" t="inlineStr">
        <is>
          <t>CUMPLE</t>
        </is>
      </c>
    </row>
    <row r="183">
      <c r="A183" s="20" t="inlineStr">
        <is>
          <t>VC6</t>
        </is>
      </c>
      <c r="B183" s="10" t="inlineStr">
        <is>
          <t>827</t>
        </is>
      </c>
      <c r="C183" s="32" t="n">
        <v>15.8502</v>
      </c>
      <c r="D183" s="32" t="n">
        <v>73.6664</v>
      </c>
      <c r="E183" s="32" t="n">
        <v>73.6664</v>
      </c>
      <c r="F183" s="32" t="n">
        <v>40.11202892772908</v>
      </c>
      <c r="G183" s="32" t="n">
        <v>73.6664</v>
      </c>
      <c r="H183" s="22" t="inlineStr">
        <is>
          <t>SÍ</t>
        </is>
      </c>
      <c r="I183" s="10" t="inlineStr">
        <is>
          <t>450×550</t>
        </is>
      </c>
      <c r="J183" s="15" t="inlineStr">
        <is>
          <t>CUMPLE</t>
        </is>
      </c>
    </row>
    <row r="184">
      <c r="A184" s="20" t="inlineStr">
        <is>
          <t>VC6</t>
        </is>
      </c>
      <c r="B184" s="10" t="inlineStr">
        <is>
          <t>828</t>
        </is>
      </c>
      <c r="C184" s="32" t="n">
        <v>1.327</v>
      </c>
      <c r="D184" s="32" t="n">
        <v>5.2872</v>
      </c>
      <c r="E184" s="32" t="n">
        <v>5.2872</v>
      </c>
      <c r="F184" s="32" t="n">
        <v>40.11202892772908</v>
      </c>
      <c r="G184" s="32" t="n">
        <v>5.2872</v>
      </c>
      <c r="H184" s="10" t="inlineStr">
        <is>
          <t>NO</t>
        </is>
      </c>
      <c r="I184" s="10" t="inlineStr">
        <is>
          <t>450×550</t>
        </is>
      </c>
      <c r="J184" s="15" t="inlineStr">
        <is>
          <t>CUMPLE</t>
        </is>
      </c>
    </row>
    <row r="185">
      <c r="A185" s="20" t="inlineStr">
        <is>
          <t>VC6</t>
        </is>
      </c>
      <c r="B185" s="10" t="inlineStr">
        <is>
          <t>837</t>
        </is>
      </c>
      <c r="C185" s="32" t="n">
        <v>1.3172</v>
      </c>
      <c r="D185" s="32" t="n">
        <v>5.2701</v>
      </c>
      <c r="E185" s="32" t="n">
        <v>5.2701</v>
      </c>
      <c r="F185" s="32" t="n">
        <v>40.11202892772908</v>
      </c>
      <c r="G185" s="32" t="n">
        <v>5.2701</v>
      </c>
      <c r="H185" s="10" t="inlineStr">
        <is>
          <t>NO</t>
        </is>
      </c>
      <c r="I185" s="10" t="inlineStr">
        <is>
          <t>450×550</t>
        </is>
      </c>
      <c r="J185" s="15" t="inlineStr">
        <is>
          <t>CUMPLE</t>
        </is>
      </c>
    </row>
    <row r="186">
      <c r="A186" s="20" t="inlineStr">
        <is>
          <t>VC6</t>
        </is>
      </c>
      <c r="B186" s="10" t="inlineStr">
        <is>
          <t>838</t>
        </is>
      </c>
      <c r="C186" s="32" t="n">
        <v>15.8021</v>
      </c>
      <c r="D186" s="32" t="n">
        <v>73.5684</v>
      </c>
      <c r="E186" s="32" t="n">
        <v>73.5684</v>
      </c>
      <c r="F186" s="32" t="n">
        <v>40.11202892772908</v>
      </c>
      <c r="G186" s="32" t="n">
        <v>73.5684</v>
      </c>
      <c r="H186" s="22" t="inlineStr">
        <is>
          <t>SÍ</t>
        </is>
      </c>
      <c r="I186" s="10" t="inlineStr">
        <is>
          <t>450×550</t>
        </is>
      </c>
      <c r="J186" s="15" t="inlineStr">
        <is>
          <t>CUMPLE</t>
        </is>
      </c>
    </row>
    <row r="187">
      <c r="A187" s="20" t="inlineStr">
        <is>
          <t>VC6</t>
        </is>
      </c>
      <c r="B187" s="10" t="inlineStr">
        <is>
          <t>839</t>
        </is>
      </c>
      <c r="C187" s="32" t="n">
        <v>15.8022</v>
      </c>
      <c r="D187" s="32" t="n">
        <v>73.5684</v>
      </c>
      <c r="E187" s="32" t="n">
        <v>73.5684</v>
      </c>
      <c r="F187" s="32" t="n">
        <v>40.11202892772908</v>
      </c>
      <c r="G187" s="32" t="n">
        <v>73.5684</v>
      </c>
      <c r="H187" s="22" t="inlineStr">
        <is>
          <t>SÍ</t>
        </is>
      </c>
      <c r="I187" s="10" t="inlineStr">
        <is>
          <t>450×550</t>
        </is>
      </c>
      <c r="J187" s="15" t="inlineStr">
        <is>
          <t>CUMPLE</t>
        </is>
      </c>
    </row>
    <row r="188">
      <c r="A188" s="20" t="inlineStr">
        <is>
          <t>VC6</t>
        </is>
      </c>
      <c r="B188" s="10" t="inlineStr">
        <is>
          <t>840</t>
        </is>
      </c>
      <c r="C188" s="32" t="n">
        <v>1.3183</v>
      </c>
      <c r="D188" s="32" t="n">
        <v>5.2711</v>
      </c>
      <c r="E188" s="32" t="n">
        <v>5.2711</v>
      </c>
      <c r="F188" s="32" t="n">
        <v>40.11202892772908</v>
      </c>
      <c r="G188" s="32" t="n">
        <v>5.2711</v>
      </c>
      <c r="H188" s="10" t="inlineStr">
        <is>
          <t>NO</t>
        </is>
      </c>
      <c r="I188" s="10" t="inlineStr">
        <is>
          <t>450×550</t>
        </is>
      </c>
      <c r="J188" s="15" t="inlineStr">
        <is>
          <t>CUMPLE</t>
        </is>
      </c>
    </row>
    <row r="189">
      <c r="A189" s="20" t="inlineStr">
        <is>
          <t>VC6</t>
        </is>
      </c>
      <c r="B189" s="10" t="inlineStr">
        <is>
          <t>919</t>
        </is>
      </c>
      <c r="C189" s="32" t="n">
        <v>1.0351</v>
      </c>
      <c r="D189" s="32" t="n">
        <v>3.8661</v>
      </c>
      <c r="E189" s="32" t="n">
        <v>3.8661</v>
      </c>
      <c r="F189" s="32" t="n">
        <v>40.11202892772908</v>
      </c>
      <c r="G189" s="32" t="n">
        <v>3.8661</v>
      </c>
      <c r="H189" s="10" t="inlineStr">
        <is>
          <t>NO</t>
        </is>
      </c>
      <c r="I189" s="10" t="inlineStr">
        <is>
          <t>450×550</t>
        </is>
      </c>
      <c r="J189" s="15" t="inlineStr">
        <is>
          <t>CUMPLE</t>
        </is>
      </c>
    </row>
    <row r="190">
      <c r="A190" s="20" t="inlineStr">
        <is>
          <t>VC6</t>
        </is>
      </c>
      <c r="B190" s="10" t="inlineStr">
        <is>
          <t>920</t>
        </is>
      </c>
      <c r="C190" s="32" t="n">
        <v>8.5715</v>
      </c>
      <c r="D190" s="32" t="n">
        <v>38.8315</v>
      </c>
      <c r="E190" s="32" t="n">
        <v>38.8315</v>
      </c>
      <c r="F190" s="32" t="n">
        <v>40.11202892772908</v>
      </c>
      <c r="G190" s="32" t="n">
        <v>38.8315</v>
      </c>
      <c r="H190" s="10" t="inlineStr">
        <is>
          <t>NO</t>
        </is>
      </c>
      <c r="I190" s="10" t="inlineStr">
        <is>
          <t>450×550</t>
        </is>
      </c>
      <c r="J190" s="15" t="inlineStr">
        <is>
          <t>CUMPLE</t>
        </is>
      </c>
    </row>
    <row r="191">
      <c r="A191" s="20" t="inlineStr">
        <is>
          <t>VC6</t>
        </is>
      </c>
      <c r="B191" s="10" t="inlineStr">
        <is>
          <t>921</t>
        </is>
      </c>
      <c r="C191" s="32" t="n">
        <v>8.571899999999999</v>
      </c>
      <c r="D191" s="32" t="n">
        <v>38.8319</v>
      </c>
      <c r="E191" s="32" t="n">
        <v>38.8319</v>
      </c>
      <c r="F191" s="32" t="n">
        <v>40.11202892772908</v>
      </c>
      <c r="G191" s="32" t="n">
        <v>38.8319</v>
      </c>
      <c r="H191" s="10" t="inlineStr">
        <is>
          <t>NO</t>
        </is>
      </c>
      <c r="I191" s="10" t="inlineStr">
        <is>
          <t>450×550</t>
        </is>
      </c>
      <c r="J191" s="15" t="inlineStr">
        <is>
          <t>CUMPLE</t>
        </is>
      </c>
    </row>
    <row r="192">
      <c r="A192" s="20" t="inlineStr">
        <is>
          <t>VC6</t>
        </is>
      </c>
      <c r="B192" s="10" t="inlineStr">
        <is>
          <t>922</t>
        </is>
      </c>
      <c r="C192" s="32" t="n">
        <v>1.0339</v>
      </c>
      <c r="D192" s="32" t="n">
        <v>3.8649</v>
      </c>
      <c r="E192" s="32" t="n">
        <v>3.8649</v>
      </c>
      <c r="F192" s="32" t="n">
        <v>40.11202892772908</v>
      </c>
      <c r="G192" s="32" t="n">
        <v>3.8649</v>
      </c>
      <c r="H192" s="10" t="inlineStr">
        <is>
          <t>NO</t>
        </is>
      </c>
      <c r="I192" s="10" t="inlineStr">
        <is>
          <t>450×550</t>
        </is>
      </c>
      <c r="J192" s="15" t="inlineStr">
        <is>
          <t>CUMPLE</t>
        </is>
      </c>
    </row>
    <row r="193">
      <c r="A193" s="20" t="inlineStr">
        <is>
          <t>VC6</t>
        </is>
      </c>
      <c r="B193" s="10" t="inlineStr">
        <is>
          <t>931</t>
        </is>
      </c>
      <c r="C193" s="32" t="n">
        <v>1.0227</v>
      </c>
      <c r="D193" s="32" t="n">
        <v>3.8452</v>
      </c>
      <c r="E193" s="32" t="n">
        <v>3.8452</v>
      </c>
      <c r="F193" s="32" t="n">
        <v>40.11202892772908</v>
      </c>
      <c r="G193" s="32" t="n">
        <v>3.8452</v>
      </c>
      <c r="H193" s="10" t="inlineStr">
        <is>
          <t>NO</t>
        </is>
      </c>
      <c r="I193" s="10" t="inlineStr">
        <is>
          <t>450×550</t>
        </is>
      </c>
      <c r="J193" s="15" t="inlineStr">
        <is>
          <t>CUMPLE</t>
        </is>
      </c>
    </row>
    <row r="194">
      <c r="A194" s="20" t="inlineStr">
        <is>
          <t>VC6</t>
        </is>
      </c>
      <c r="B194" s="10" t="inlineStr">
        <is>
          <t>932</t>
        </is>
      </c>
      <c r="C194" s="32" t="n">
        <v>8.522500000000001</v>
      </c>
      <c r="D194" s="32" t="n">
        <v>38.7483</v>
      </c>
      <c r="E194" s="32" t="n">
        <v>38.7483</v>
      </c>
      <c r="F194" s="32" t="n">
        <v>40.11202892772908</v>
      </c>
      <c r="G194" s="32" t="n">
        <v>38.7483</v>
      </c>
      <c r="H194" s="10" t="inlineStr">
        <is>
          <t>NO</t>
        </is>
      </c>
      <c r="I194" s="10" t="inlineStr">
        <is>
          <t>450×550</t>
        </is>
      </c>
      <c r="J194" s="15" t="inlineStr">
        <is>
          <t>CUMPLE</t>
        </is>
      </c>
    </row>
    <row r="195">
      <c r="A195" s="20" t="inlineStr">
        <is>
          <t>VC6</t>
        </is>
      </c>
      <c r="B195" s="10" t="inlineStr">
        <is>
          <t>933</t>
        </is>
      </c>
      <c r="C195" s="32" t="n">
        <v>8.5223</v>
      </c>
      <c r="D195" s="32" t="n">
        <v>38.7479</v>
      </c>
      <c r="E195" s="32" t="n">
        <v>38.7479</v>
      </c>
      <c r="F195" s="32" t="n">
        <v>40.11202892772908</v>
      </c>
      <c r="G195" s="32" t="n">
        <v>38.7479</v>
      </c>
      <c r="H195" s="10" t="inlineStr">
        <is>
          <t>NO</t>
        </is>
      </c>
      <c r="I195" s="10" t="inlineStr">
        <is>
          <t>450×550</t>
        </is>
      </c>
      <c r="J195" s="15" t="inlineStr">
        <is>
          <t>CUMPLE</t>
        </is>
      </c>
    </row>
    <row r="196">
      <c r="A196" s="20" t="inlineStr">
        <is>
          <t>VC6</t>
        </is>
      </c>
      <c r="B196" s="10" t="inlineStr">
        <is>
          <t>934</t>
        </is>
      </c>
      <c r="C196" s="32" t="n">
        <v>1.0239</v>
      </c>
      <c r="D196" s="32" t="n">
        <v>3.8463</v>
      </c>
      <c r="E196" s="32" t="n">
        <v>3.8463</v>
      </c>
      <c r="F196" s="32" t="n">
        <v>40.11202892772908</v>
      </c>
      <c r="G196" s="32" t="n">
        <v>3.8463</v>
      </c>
      <c r="H196" s="10" t="inlineStr">
        <is>
          <t>NO</t>
        </is>
      </c>
      <c r="I196" s="10" t="inlineStr">
        <is>
          <t>450×550</t>
        </is>
      </c>
      <c r="J196" s="15" t="inlineStr">
        <is>
          <t>CUMPLE</t>
        </is>
      </c>
    </row>
    <row r="197">
      <c r="A197" s="20" t="inlineStr">
        <is>
          <t>VC6</t>
        </is>
      </c>
      <c r="B197" s="10" t="inlineStr">
        <is>
          <t>1013</t>
        </is>
      </c>
      <c r="C197" s="32" t="n">
        <v>1.5191</v>
      </c>
      <c r="D197" s="32" t="n">
        <v>4.3046</v>
      </c>
      <c r="E197" s="32" t="n">
        <v>4.3046</v>
      </c>
      <c r="F197" s="32" t="n">
        <v>40.11202892772908</v>
      </c>
      <c r="G197" s="32" t="n">
        <v>4.3046</v>
      </c>
      <c r="H197" s="10" t="inlineStr">
        <is>
          <t>NO</t>
        </is>
      </c>
      <c r="I197" s="10" t="inlineStr">
        <is>
          <t>450×550</t>
        </is>
      </c>
      <c r="J197" s="15" t="inlineStr">
        <is>
          <t>CUMPLE</t>
        </is>
      </c>
    </row>
    <row r="198">
      <c r="A198" s="20" t="inlineStr">
        <is>
          <t>VC6</t>
        </is>
      </c>
      <c r="B198" s="10" t="inlineStr">
        <is>
          <t>1014</t>
        </is>
      </c>
      <c r="C198" s="32" t="n">
        <v>3.4265</v>
      </c>
      <c r="D198" s="32" t="n">
        <v>7.7313</v>
      </c>
      <c r="E198" s="32" t="n">
        <v>7.7313</v>
      </c>
      <c r="F198" s="32" t="n">
        <v>40.11202892772908</v>
      </c>
      <c r="G198" s="32" t="n">
        <v>7.7313</v>
      </c>
      <c r="H198" s="10" t="inlineStr">
        <is>
          <t>NO</t>
        </is>
      </c>
      <c r="I198" s="10" t="inlineStr">
        <is>
          <t>450×550</t>
        </is>
      </c>
      <c r="J198" s="15" t="inlineStr">
        <is>
          <t>CUMPLE</t>
        </is>
      </c>
    </row>
    <row r="199">
      <c r="A199" s="20" t="inlineStr">
        <is>
          <t>VC6</t>
        </is>
      </c>
      <c r="B199" s="10" t="inlineStr">
        <is>
          <t>1015</t>
        </is>
      </c>
      <c r="C199" s="32" t="n">
        <v>3.4267</v>
      </c>
      <c r="D199" s="32" t="n">
        <v>7.7313</v>
      </c>
      <c r="E199" s="32" t="n">
        <v>7.7313</v>
      </c>
      <c r="F199" s="32" t="n">
        <v>40.11202892772908</v>
      </c>
      <c r="G199" s="32" t="n">
        <v>7.7313</v>
      </c>
      <c r="H199" s="10" t="inlineStr">
        <is>
          <t>NO</t>
        </is>
      </c>
      <c r="I199" s="10" t="inlineStr">
        <is>
          <t>450×550</t>
        </is>
      </c>
      <c r="J199" s="15" t="inlineStr">
        <is>
          <t>CUMPLE</t>
        </is>
      </c>
    </row>
    <row r="200">
      <c r="A200" s="20" t="inlineStr">
        <is>
          <t>VC6</t>
        </is>
      </c>
      <c r="B200" s="10" t="inlineStr">
        <is>
          <t>1016</t>
        </is>
      </c>
      <c r="C200" s="32" t="n">
        <v>1.5176</v>
      </c>
      <c r="D200" s="32" t="n">
        <v>4.3031</v>
      </c>
      <c r="E200" s="32" t="n">
        <v>4.3031</v>
      </c>
      <c r="F200" s="32" t="n">
        <v>40.11202892772908</v>
      </c>
      <c r="G200" s="32" t="n">
        <v>4.3031</v>
      </c>
      <c r="H200" s="10" t="inlineStr">
        <is>
          <t>NO</t>
        </is>
      </c>
      <c r="I200" s="10" t="inlineStr">
        <is>
          <t>450×550</t>
        </is>
      </c>
      <c r="J200" s="15" t="inlineStr">
        <is>
          <t>CUMPLE</t>
        </is>
      </c>
    </row>
    <row r="201">
      <c r="A201" s="20" t="inlineStr">
        <is>
          <t>VC6</t>
        </is>
      </c>
      <c r="B201" s="10" t="inlineStr">
        <is>
          <t>1025</t>
        </is>
      </c>
      <c r="C201" s="32" t="n">
        <v>1.4984</v>
      </c>
      <c r="D201" s="32" t="n">
        <v>4.2635</v>
      </c>
      <c r="E201" s="32" t="n">
        <v>4.2635</v>
      </c>
      <c r="F201" s="32" t="n">
        <v>40.11202892772908</v>
      </c>
      <c r="G201" s="32" t="n">
        <v>4.2635</v>
      </c>
      <c r="H201" s="10" t="inlineStr">
        <is>
          <t>NO</t>
        </is>
      </c>
      <c r="I201" s="10" t="inlineStr">
        <is>
          <t>450×550</t>
        </is>
      </c>
      <c r="J201" s="15" t="inlineStr">
        <is>
          <t>CUMPLE</t>
        </is>
      </c>
    </row>
    <row r="202">
      <c r="A202" s="20" t="inlineStr">
        <is>
          <t>VC6</t>
        </is>
      </c>
      <c r="B202" s="10" t="inlineStr">
        <is>
          <t>1026</t>
        </is>
      </c>
      <c r="C202" s="32" t="n">
        <v>3.3661</v>
      </c>
      <c r="D202" s="32" t="n">
        <v>7.6136</v>
      </c>
      <c r="E202" s="32" t="n">
        <v>7.6136</v>
      </c>
      <c r="F202" s="32" t="n">
        <v>40.11202892772908</v>
      </c>
      <c r="G202" s="32" t="n">
        <v>7.6136</v>
      </c>
      <c r="H202" s="10" t="inlineStr">
        <is>
          <t>NO</t>
        </is>
      </c>
      <c r="I202" s="10" t="inlineStr">
        <is>
          <t>450×550</t>
        </is>
      </c>
      <c r="J202" s="15" t="inlineStr">
        <is>
          <t>CUMPLE</t>
        </is>
      </c>
    </row>
    <row r="203">
      <c r="A203" s="20" t="inlineStr">
        <is>
          <t>VC6</t>
        </is>
      </c>
      <c r="B203" s="10" t="inlineStr">
        <is>
          <t>1027</t>
        </is>
      </c>
      <c r="C203" s="32" t="n">
        <v>3.3662</v>
      </c>
      <c r="D203" s="32" t="n">
        <v>7.6138</v>
      </c>
      <c r="E203" s="32" t="n">
        <v>7.6138</v>
      </c>
      <c r="F203" s="32" t="n">
        <v>40.11202892772908</v>
      </c>
      <c r="G203" s="32" t="n">
        <v>7.6138</v>
      </c>
      <c r="H203" s="10" t="inlineStr">
        <is>
          <t>NO</t>
        </is>
      </c>
      <c r="I203" s="10" t="inlineStr">
        <is>
          <t>450×550</t>
        </is>
      </c>
      <c r="J203" s="15" t="inlineStr">
        <is>
          <t>CUMPLE</t>
        </is>
      </c>
    </row>
    <row r="204">
      <c r="A204" s="20" t="inlineStr">
        <is>
          <t>VC6</t>
        </is>
      </c>
      <c r="B204" s="10" t="inlineStr">
        <is>
          <t>1028</t>
        </is>
      </c>
      <c r="C204" s="32" t="n">
        <v>1.4998</v>
      </c>
      <c r="D204" s="32" t="n">
        <v>4.2649</v>
      </c>
      <c r="E204" s="32" t="n">
        <v>4.2649</v>
      </c>
      <c r="F204" s="32" t="n">
        <v>40.11202892772908</v>
      </c>
      <c r="G204" s="32" t="n">
        <v>4.2649</v>
      </c>
      <c r="H204" s="10" t="inlineStr">
        <is>
          <t>NO</t>
        </is>
      </c>
      <c r="I204" s="10" t="inlineStr">
        <is>
          <t>450×550</t>
        </is>
      </c>
      <c r="J204" s="15" t="inlineStr">
        <is>
          <t>CUMPLE</t>
        </is>
      </c>
    </row>
    <row r="205">
      <c r="A205" s="21" t="inlineStr">
        <is>
          <t>VC7</t>
        </is>
      </c>
      <c r="B205" s="10" t="inlineStr">
        <is>
          <t>71</t>
        </is>
      </c>
      <c r="C205" s="32" t="n">
        <v>6.4992</v>
      </c>
      <c r="D205" s="32" t="n">
        <v>14.6794</v>
      </c>
      <c r="E205" s="32" t="n">
        <v>14.6794</v>
      </c>
      <c r="F205" s="32" t="n">
        <v>40.11202892772908</v>
      </c>
      <c r="G205" s="32" t="n">
        <v>14.6794</v>
      </c>
      <c r="H205" s="10" t="inlineStr">
        <is>
          <t>NO</t>
        </is>
      </c>
      <c r="I205" s="10" t="inlineStr">
        <is>
          <t>450×550</t>
        </is>
      </c>
      <c r="J205" s="19" t="inlineStr">
        <is>
          <t>NO CUMPLE</t>
        </is>
      </c>
    </row>
    <row r="206">
      <c r="A206" s="21" t="inlineStr">
        <is>
          <t>VC7</t>
        </is>
      </c>
      <c r="B206" s="10" t="inlineStr">
        <is>
          <t>72</t>
        </is>
      </c>
      <c r="C206" s="32" t="n">
        <v>3.6405</v>
      </c>
      <c r="D206" s="32" t="n">
        <v>9.7189</v>
      </c>
      <c r="E206" s="32" t="n">
        <v>9.7189</v>
      </c>
      <c r="F206" s="32" t="n">
        <v>40.11202892772908</v>
      </c>
      <c r="G206" s="32" t="n">
        <v>9.7189</v>
      </c>
      <c r="H206" s="10" t="inlineStr">
        <is>
          <t>NO</t>
        </is>
      </c>
      <c r="I206" s="10" t="inlineStr">
        <is>
          <t>450×550</t>
        </is>
      </c>
      <c r="J206" s="15" t="inlineStr">
        <is>
          <t>CUMPLE</t>
        </is>
      </c>
    </row>
    <row r="207">
      <c r="A207" s="21" t="inlineStr">
        <is>
          <t>VC7</t>
        </is>
      </c>
      <c r="B207" s="10" t="inlineStr">
        <is>
          <t>73</t>
        </is>
      </c>
      <c r="C207" s="32" t="n">
        <v>3.6401</v>
      </c>
      <c r="D207" s="32" t="n">
        <v>9.718500000000001</v>
      </c>
      <c r="E207" s="32" t="n">
        <v>9.718500000000001</v>
      </c>
      <c r="F207" s="32" t="n">
        <v>40.11202892772908</v>
      </c>
      <c r="G207" s="32" t="n">
        <v>9.718500000000001</v>
      </c>
      <c r="H207" s="10" t="inlineStr">
        <is>
          <t>NO</t>
        </is>
      </c>
      <c r="I207" s="10" t="inlineStr">
        <is>
          <t>450×550</t>
        </is>
      </c>
      <c r="J207" s="15" t="inlineStr">
        <is>
          <t>CUMPLE</t>
        </is>
      </c>
    </row>
    <row r="208">
      <c r="A208" s="21" t="inlineStr">
        <is>
          <t>VC7</t>
        </is>
      </c>
      <c r="B208" s="10" t="inlineStr">
        <is>
          <t>74</t>
        </is>
      </c>
      <c r="C208" s="32" t="n">
        <v>6.4994</v>
      </c>
      <c r="D208" s="32" t="n">
        <v>14.6796</v>
      </c>
      <c r="E208" s="32" t="n">
        <v>14.6796</v>
      </c>
      <c r="F208" s="32" t="n">
        <v>40.11202892772908</v>
      </c>
      <c r="G208" s="32" t="n">
        <v>14.6796</v>
      </c>
      <c r="H208" s="10" t="inlineStr">
        <is>
          <t>NO</t>
        </is>
      </c>
      <c r="I208" s="10" t="inlineStr">
        <is>
          <t>450×550</t>
        </is>
      </c>
      <c r="J208" s="19" t="inlineStr">
        <is>
          <t>NO CUMPLE</t>
        </is>
      </c>
    </row>
    <row r="209">
      <c r="A209" s="21" t="inlineStr">
        <is>
          <t>VC7</t>
        </is>
      </c>
      <c r="B209" s="10" t="inlineStr">
        <is>
          <t>75</t>
        </is>
      </c>
      <c r="C209" s="32" t="n">
        <v>6.4833</v>
      </c>
      <c r="D209" s="32" t="n">
        <v>14.1874</v>
      </c>
      <c r="E209" s="32" t="n">
        <v>14.1874</v>
      </c>
      <c r="F209" s="32" t="n">
        <v>40.11202892772908</v>
      </c>
      <c r="G209" s="32" t="n">
        <v>14.1874</v>
      </c>
      <c r="H209" s="10" t="inlineStr">
        <is>
          <t>NO</t>
        </is>
      </c>
      <c r="I209" s="10" t="inlineStr">
        <is>
          <t>450×550</t>
        </is>
      </c>
      <c r="J209" s="19" t="inlineStr">
        <is>
          <t>NO CUMPLE</t>
        </is>
      </c>
    </row>
    <row r="210">
      <c r="A210" s="21" t="inlineStr">
        <is>
          <t>VC7</t>
        </is>
      </c>
      <c r="B210" s="10" t="inlineStr">
        <is>
          <t>76</t>
        </is>
      </c>
      <c r="C210" s="32" t="n">
        <v>3.7501</v>
      </c>
      <c r="D210" s="32" t="n">
        <v>10.0602</v>
      </c>
      <c r="E210" s="32" t="n">
        <v>10.0602</v>
      </c>
      <c r="F210" s="32" t="n">
        <v>40.11202892772908</v>
      </c>
      <c r="G210" s="32" t="n">
        <v>10.0602</v>
      </c>
      <c r="H210" s="10" t="inlineStr">
        <is>
          <t>NO</t>
        </is>
      </c>
      <c r="I210" s="10" t="inlineStr">
        <is>
          <t>450×550</t>
        </is>
      </c>
      <c r="J210" s="15" t="inlineStr">
        <is>
          <t>CUMPLE</t>
        </is>
      </c>
    </row>
    <row r="211">
      <c r="A211" s="21" t="inlineStr">
        <is>
          <t>VC7</t>
        </is>
      </c>
      <c r="B211" s="10" t="inlineStr">
        <is>
          <t>77</t>
        </is>
      </c>
      <c r="C211" s="32" t="n">
        <v>3.7505</v>
      </c>
      <c r="D211" s="32" t="n">
        <v>10.0606</v>
      </c>
      <c r="E211" s="32" t="n">
        <v>10.0606</v>
      </c>
      <c r="F211" s="32" t="n">
        <v>40.11202892772908</v>
      </c>
      <c r="G211" s="32" t="n">
        <v>10.0606</v>
      </c>
      <c r="H211" s="10" t="inlineStr">
        <is>
          <t>NO</t>
        </is>
      </c>
      <c r="I211" s="10" t="inlineStr">
        <is>
          <t>450×550</t>
        </is>
      </c>
      <c r="J211" s="15" t="inlineStr">
        <is>
          <t>CUMPLE</t>
        </is>
      </c>
    </row>
    <row r="212">
      <c r="A212" s="21" t="inlineStr">
        <is>
          <t>VC7</t>
        </is>
      </c>
      <c r="B212" s="10" t="inlineStr">
        <is>
          <t>78</t>
        </is>
      </c>
      <c r="C212" s="32" t="n">
        <v>6.4831</v>
      </c>
      <c r="D212" s="32" t="n">
        <v>14.1872</v>
      </c>
      <c r="E212" s="32" t="n">
        <v>14.1872</v>
      </c>
      <c r="F212" s="32" t="n">
        <v>40.11202892772908</v>
      </c>
      <c r="G212" s="32" t="n">
        <v>14.1872</v>
      </c>
      <c r="H212" s="10" t="inlineStr">
        <is>
          <t>NO</t>
        </is>
      </c>
      <c r="I212" s="10" t="inlineStr">
        <is>
          <t>450×550</t>
        </is>
      </c>
      <c r="J212" s="19" t="inlineStr">
        <is>
          <t>NO CUMPLE</t>
        </is>
      </c>
    </row>
    <row r="213">
      <c r="A213" s="21" t="inlineStr">
        <is>
          <t>VC7</t>
        </is>
      </c>
      <c r="B213" s="10" t="inlineStr">
        <is>
          <t>271</t>
        </is>
      </c>
      <c r="C213" s="32" t="n">
        <v>5.9581</v>
      </c>
      <c r="D213" s="32" t="n">
        <v>24.6548</v>
      </c>
      <c r="E213" s="32" t="n">
        <v>24.6548</v>
      </c>
      <c r="F213" s="32" t="n">
        <v>40.11202892772908</v>
      </c>
      <c r="G213" s="32" t="n">
        <v>24.6548</v>
      </c>
      <c r="H213" s="10" t="inlineStr">
        <is>
          <t>NO</t>
        </is>
      </c>
      <c r="I213" s="10" t="inlineStr">
        <is>
          <t>450×550</t>
        </is>
      </c>
      <c r="J213" s="15" t="inlineStr">
        <is>
          <t>CUMPLE</t>
        </is>
      </c>
    </row>
    <row r="214">
      <c r="A214" s="21" t="inlineStr">
        <is>
          <t>VC7</t>
        </is>
      </c>
      <c r="B214" s="10" t="inlineStr">
        <is>
          <t>272</t>
        </is>
      </c>
      <c r="C214" s="32" t="n">
        <v>3.4535</v>
      </c>
      <c r="D214" s="32" t="n">
        <v>7.2524</v>
      </c>
      <c r="E214" s="32" t="n">
        <v>7.2524</v>
      </c>
      <c r="F214" s="32" t="n">
        <v>40.11202892772908</v>
      </c>
      <c r="G214" s="32" t="n">
        <v>7.2524</v>
      </c>
      <c r="H214" s="10" t="inlineStr">
        <is>
          <t>NO</t>
        </is>
      </c>
      <c r="I214" s="10" t="inlineStr">
        <is>
          <t>450×550</t>
        </is>
      </c>
      <c r="J214" s="15" t="inlineStr">
        <is>
          <t>CUMPLE</t>
        </is>
      </c>
    </row>
    <row r="215">
      <c r="A215" s="21" t="inlineStr">
        <is>
          <t>VC7</t>
        </is>
      </c>
      <c r="B215" s="10" t="inlineStr">
        <is>
          <t>273</t>
        </is>
      </c>
      <c r="C215" s="32" t="n">
        <v>3.4529</v>
      </c>
      <c r="D215" s="32" t="n">
        <v>7.2519</v>
      </c>
      <c r="E215" s="32" t="n">
        <v>7.2519</v>
      </c>
      <c r="F215" s="32" t="n">
        <v>40.11202892772908</v>
      </c>
      <c r="G215" s="32" t="n">
        <v>7.2519</v>
      </c>
      <c r="H215" s="10" t="inlineStr">
        <is>
          <t>NO</t>
        </is>
      </c>
      <c r="I215" s="10" t="inlineStr">
        <is>
          <t>450×550</t>
        </is>
      </c>
      <c r="J215" s="15" t="inlineStr">
        <is>
          <t>CUMPLE</t>
        </is>
      </c>
    </row>
    <row r="216">
      <c r="A216" s="21" t="inlineStr">
        <is>
          <t>VC7</t>
        </is>
      </c>
      <c r="B216" s="10" t="inlineStr">
        <is>
          <t>274</t>
        </is>
      </c>
      <c r="C216" s="32" t="n">
        <v>5.9572</v>
      </c>
      <c r="D216" s="32" t="n">
        <v>24.6539</v>
      </c>
      <c r="E216" s="32" t="n">
        <v>24.6539</v>
      </c>
      <c r="F216" s="32" t="n">
        <v>40.11202892772908</v>
      </c>
      <c r="G216" s="32" t="n">
        <v>24.6539</v>
      </c>
      <c r="H216" s="10" t="inlineStr">
        <is>
          <t>NO</t>
        </is>
      </c>
      <c r="I216" s="10" t="inlineStr">
        <is>
          <t>450×550</t>
        </is>
      </c>
      <c r="J216" s="15" t="inlineStr">
        <is>
          <t>CUMPLE</t>
        </is>
      </c>
    </row>
    <row r="217">
      <c r="A217" s="21" t="inlineStr">
        <is>
          <t>VC7</t>
        </is>
      </c>
      <c r="B217" s="10" t="inlineStr">
        <is>
          <t>275</t>
        </is>
      </c>
      <c r="C217" s="32" t="n">
        <v>5.8915</v>
      </c>
      <c r="D217" s="32" t="n">
        <v>24.6965</v>
      </c>
      <c r="E217" s="32" t="n">
        <v>24.6965</v>
      </c>
      <c r="F217" s="32" t="n">
        <v>40.11202892772908</v>
      </c>
      <c r="G217" s="32" t="n">
        <v>24.6965</v>
      </c>
      <c r="H217" s="10" t="inlineStr">
        <is>
          <t>NO</t>
        </is>
      </c>
      <c r="I217" s="10" t="inlineStr">
        <is>
          <t>450×550</t>
        </is>
      </c>
      <c r="J217" s="15" t="inlineStr">
        <is>
          <t>CUMPLE</t>
        </is>
      </c>
    </row>
    <row r="218">
      <c r="A218" s="21" t="inlineStr">
        <is>
          <t>VC7</t>
        </is>
      </c>
      <c r="B218" s="10" t="inlineStr">
        <is>
          <t>276</t>
        </is>
      </c>
      <c r="C218" s="32" t="n">
        <v>3.5229</v>
      </c>
      <c r="D218" s="32" t="n">
        <v>7.3827</v>
      </c>
      <c r="E218" s="32" t="n">
        <v>7.3827</v>
      </c>
      <c r="F218" s="32" t="n">
        <v>40.11202892772908</v>
      </c>
      <c r="G218" s="32" t="n">
        <v>7.3827</v>
      </c>
      <c r="H218" s="10" t="inlineStr">
        <is>
          <t>NO</t>
        </is>
      </c>
      <c r="I218" s="10" t="inlineStr">
        <is>
          <t>450×550</t>
        </is>
      </c>
      <c r="J218" s="15" t="inlineStr">
        <is>
          <t>CUMPLE</t>
        </is>
      </c>
    </row>
    <row r="219">
      <c r="A219" s="21" t="inlineStr">
        <is>
          <t>VC7</t>
        </is>
      </c>
      <c r="B219" s="10" t="inlineStr">
        <is>
          <t>277</t>
        </is>
      </c>
      <c r="C219" s="32" t="n">
        <v>3.5235</v>
      </c>
      <c r="D219" s="32" t="n">
        <v>7.3832</v>
      </c>
      <c r="E219" s="32" t="n">
        <v>7.3832</v>
      </c>
      <c r="F219" s="32" t="n">
        <v>40.11202892772908</v>
      </c>
      <c r="G219" s="32" t="n">
        <v>7.3832</v>
      </c>
      <c r="H219" s="10" t="inlineStr">
        <is>
          <t>NO</t>
        </is>
      </c>
      <c r="I219" s="10" t="inlineStr">
        <is>
          <t>450×550</t>
        </is>
      </c>
      <c r="J219" s="15" t="inlineStr">
        <is>
          <t>CUMPLE</t>
        </is>
      </c>
    </row>
    <row r="220">
      <c r="A220" s="21" t="inlineStr">
        <is>
          <t>VC7</t>
        </is>
      </c>
      <c r="B220" s="10" t="inlineStr">
        <is>
          <t>278</t>
        </is>
      </c>
      <c r="C220" s="32" t="n">
        <v>5.8924</v>
      </c>
      <c r="D220" s="32" t="n">
        <v>24.6974</v>
      </c>
      <c r="E220" s="32" t="n">
        <v>24.6974</v>
      </c>
      <c r="F220" s="32" t="n">
        <v>40.11202892772908</v>
      </c>
      <c r="G220" s="32" t="n">
        <v>24.6974</v>
      </c>
      <c r="H220" s="10" t="inlineStr">
        <is>
          <t>NO</t>
        </is>
      </c>
      <c r="I220" s="10" t="inlineStr">
        <is>
          <t>450×550</t>
        </is>
      </c>
      <c r="J220" s="15" t="inlineStr">
        <is>
          <t>CUMPLE</t>
        </is>
      </c>
    </row>
    <row r="221">
      <c r="A221" s="21" t="inlineStr">
        <is>
          <t>VC7</t>
        </is>
      </c>
      <c r="B221" s="10" t="inlineStr">
        <is>
          <t>829</t>
        </is>
      </c>
      <c r="C221" s="32" t="n">
        <v>3.163</v>
      </c>
      <c r="D221" s="32" t="n">
        <v>15.1206</v>
      </c>
      <c r="E221" s="32" t="n">
        <v>15.1206</v>
      </c>
      <c r="F221" s="32" t="n">
        <v>40.11202892772908</v>
      </c>
      <c r="G221" s="32" t="n">
        <v>15.1206</v>
      </c>
      <c r="H221" s="10" t="inlineStr">
        <is>
          <t>NO</t>
        </is>
      </c>
      <c r="I221" s="10" t="inlineStr">
        <is>
          <t>450×550</t>
        </is>
      </c>
      <c r="J221" s="15" t="inlineStr">
        <is>
          <t>CUMPLE</t>
        </is>
      </c>
    </row>
    <row r="222">
      <c r="A222" s="21" t="inlineStr">
        <is>
          <t>VC7</t>
        </is>
      </c>
      <c r="B222" s="10" t="inlineStr">
        <is>
          <t>830</t>
        </is>
      </c>
      <c r="C222" s="32" t="n">
        <v>3.7369</v>
      </c>
      <c r="D222" s="32" t="n">
        <v>6.8564</v>
      </c>
      <c r="E222" s="32" t="n">
        <v>6.8564</v>
      </c>
      <c r="F222" s="32" t="n">
        <v>40.11202892772908</v>
      </c>
      <c r="G222" s="32" t="n">
        <v>6.8564</v>
      </c>
      <c r="H222" s="10" t="inlineStr">
        <is>
          <t>NO</t>
        </is>
      </c>
      <c r="I222" s="10" t="inlineStr">
        <is>
          <t>450×550</t>
        </is>
      </c>
      <c r="J222" s="15" t="inlineStr">
        <is>
          <t>CUMPLE</t>
        </is>
      </c>
    </row>
    <row r="223">
      <c r="A223" s="21" t="inlineStr">
        <is>
          <t>VC7</t>
        </is>
      </c>
      <c r="B223" s="10" t="inlineStr">
        <is>
          <t>831</t>
        </is>
      </c>
      <c r="C223" s="32" t="n">
        <v>3.7363</v>
      </c>
      <c r="D223" s="32" t="n">
        <v>6.8558</v>
      </c>
      <c r="E223" s="32" t="n">
        <v>6.8558</v>
      </c>
      <c r="F223" s="32" t="n">
        <v>40.11202892772908</v>
      </c>
      <c r="G223" s="32" t="n">
        <v>6.8558</v>
      </c>
      <c r="H223" s="10" t="inlineStr">
        <is>
          <t>NO</t>
        </is>
      </c>
      <c r="I223" s="10" t="inlineStr">
        <is>
          <t>450×550</t>
        </is>
      </c>
      <c r="J223" s="15" t="inlineStr">
        <is>
          <t>CUMPLE</t>
        </is>
      </c>
    </row>
    <row r="224">
      <c r="A224" s="21" t="inlineStr">
        <is>
          <t>VC7</t>
        </is>
      </c>
      <c r="B224" s="10" t="inlineStr">
        <is>
          <t>832</t>
        </is>
      </c>
      <c r="C224" s="32" t="n">
        <v>3.1619</v>
      </c>
      <c r="D224" s="32" t="n">
        <v>15.1196</v>
      </c>
      <c r="E224" s="32" t="n">
        <v>15.1196</v>
      </c>
      <c r="F224" s="32" t="n">
        <v>40.11202892772908</v>
      </c>
      <c r="G224" s="32" t="n">
        <v>15.1196</v>
      </c>
      <c r="H224" s="10" t="inlineStr">
        <is>
          <t>NO</t>
        </is>
      </c>
      <c r="I224" s="10" t="inlineStr">
        <is>
          <t>450×550</t>
        </is>
      </c>
      <c r="J224" s="15" t="inlineStr">
        <is>
          <t>CUMPLE</t>
        </is>
      </c>
    </row>
    <row r="225">
      <c r="A225" s="21" t="inlineStr">
        <is>
          <t>VC7</t>
        </is>
      </c>
      <c r="B225" s="10" t="inlineStr">
        <is>
          <t>833</t>
        </is>
      </c>
      <c r="C225" s="32" t="n">
        <v>3.0416</v>
      </c>
      <c r="D225" s="32" t="n">
        <v>14.942</v>
      </c>
      <c r="E225" s="32" t="n">
        <v>14.942</v>
      </c>
      <c r="F225" s="32" t="n">
        <v>40.11202892772908</v>
      </c>
      <c r="G225" s="32" t="n">
        <v>14.942</v>
      </c>
      <c r="H225" s="10" t="inlineStr">
        <is>
          <t>NO</t>
        </is>
      </c>
      <c r="I225" s="10" t="inlineStr">
        <is>
          <t>450×550</t>
        </is>
      </c>
      <c r="J225" s="15" t="inlineStr">
        <is>
          <t>CUMPLE</t>
        </is>
      </c>
    </row>
    <row r="226">
      <c r="A226" s="21" t="inlineStr">
        <is>
          <t>VC7</t>
        </is>
      </c>
      <c r="B226" s="10" t="inlineStr">
        <is>
          <t>834</t>
        </is>
      </c>
      <c r="C226" s="32" t="n">
        <v>3.7929</v>
      </c>
      <c r="D226" s="32" t="n">
        <v>6.8874</v>
      </c>
      <c r="E226" s="32" t="n">
        <v>6.8874</v>
      </c>
      <c r="F226" s="32" t="n">
        <v>40.11202892772908</v>
      </c>
      <c r="G226" s="32" t="n">
        <v>6.8874</v>
      </c>
      <c r="H226" s="10" t="inlineStr">
        <is>
          <t>NO</t>
        </is>
      </c>
      <c r="I226" s="10" t="inlineStr">
        <is>
          <t>450×550</t>
        </is>
      </c>
      <c r="J226" s="15" t="inlineStr">
        <is>
          <t>CUMPLE</t>
        </is>
      </c>
    </row>
    <row r="227">
      <c r="A227" s="21" t="inlineStr">
        <is>
          <t>VC7</t>
        </is>
      </c>
      <c r="B227" s="10" t="inlineStr">
        <is>
          <t>835</t>
        </is>
      </c>
      <c r="C227" s="32" t="n">
        <v>3.7936</v>
      </c>
      <c r="D227" s="32" t="n">
        <v>6.8881</v>
      </c>
      <c r="E227" s="32" t="n">
        <v>6.8881</v>
      </c>
      <c r="F227" s="32" t="n">
        <v>40.11202892772908</v>
      </c>
      <c r="G227" s="32" t="n">
        <v>6.8881</v>
      </c>
      <c r="H227" s="10" t="inlineStr">
        <is>
          <t>NO</t>
        </is>
      </c>
      <c r="I227" s="10" t="inlineStr">
        <is>
          <t>450×550</t>
        </is>
      </c>
      <c r="J227" s="15" t="inlineStr">
        <is>
          <t>CUMPLE</t>
        </is>
      </c>
    </row>
    <row r="228">
      <c r="A228" s="21" t="inlineStr">
        <is>
          <t>VC7</t>
        </is>
      </c>
      <c r="B228" s="10" t="inlineStr">
        <is>
          <t>836</t>
        </is>
      </c>
      <c r="C228" s="32" t="n">
        <v>3.0425</v>
      </c>
      <c r="D228" s="32" t="n">
        <v>14.943</v>
      </c>
      <c r="E228" s="32" t="n">
        <v>14.943</v>
      </c>
      <c r="F228" s="32" t="n">
        <v>40.11202892772908</v>
      </c>
      <c r="G228" s="32" t="n">
        <v>14.943</v>
      </c>
      <c r="H228" s="10" t="inlineStr">
        <is>
          <t>NO</t>
        </is>
      </c>
      <c r="I228" s="10" t="inlineStr">
        <is>
          <t>450×550</t>
        </is>
      </c>
      <c r="J228" s="15" t="inlineStr">
        <is>
          <t>CUMPLE</t>
        </is>
      </c>
    </row>
    <row r="229">
      <c r="A229" s="21" t="inlineStr">
        <is>
          <t>VC7</t>
        </is>
      </c>
      <c r="B229" s="10" t="inlineStr">
        <is>
          <t>923</t>
        </is>
      </c>
      <c r="C229" s="32" t="n">
        <v>2.2219</v>
      </c>
      <c r="D229" s="32" t="n">
        <v>10.3889</v>
      </c>
      <c r="E229" s="32" t="n">
        <v>10.3889</v>
      </c>
      <c r="F229" s="32" t="n">
        <v>40.11202892772908</v>
      </c>
      <c r="G229" s="32" t="n">
        <v>10.3889</v>
      </c>
      <c r="H229" s="10" t="inlineStr">
        <is>
          <t>NO</t>
        </is>
      </c>
      <c r="I229" s="10" t="inlineStr">
        <is>
          <t>450×550</t>
        </is>
      </c>
      <c r="J229" s="15" t="inlineStr">
        <is>
          <t>CUMPLE</t>
        </is>
      </c>
    </row>
    <row r="230">
      <c r="A230" s="21" t="inlineStr">
        <is>
          <t>VC7</t>
        </is>
      </c>
      <c r="B230" s="10" t="inlineStr">
        <is>
          <t>924</t>
        </is>
      </c>
      <c r="C230" s="32" t="n">
        <v>3.4386</v>
      </c>
      <c r="D230" s="32" t="n">
        <v>5.3361</v>
      </c>
      <c r="E230" s="32" t="n">
        <v>5.3361</v>
      </c>
      <c r="F230" s="32" t="n">
        <v>40.11202892772908</v>
      </c>
      <c r="G230" s="32" t="n">
        <v>5.3361</v>
      </c>
      <c r="H230" s="10" t="inlineStr">
        <is>
          <t>NO</t>
        </is>
      </c>
      <c r="I230" s="10" t="inlineStr">
        <is>
          <t>450×550</t>
        </is>
      </c>
      <c r="J230" s="15" t="inlineStr">
        <is>
          <t>CUMPLE</t>
        </is>
      </c>
    </row>
    <row r="231">
      <c r="A231" s="21" t="inlineStr">
        <is>
          <t>VC7</t>
        </is>
      </c>
      <c r="B231" s="10" t="inlineStr">
        <is>
          <t>925</t>
        </is>
      </c>
      <c r="C231" s="32" t="n">
        <v>3.4379</v>
      </c>
      <c r="D231" s="32" t="n">
        <v>5.3353</v>
      </c>
      <c r="E231" s="32" t="n">
        <v>5.3353</v>
      </c>
      <c r="F231" s="32" t="n">
        <v>40.11202892772908</v>
      </c>
      <c r="G231" s="32" t="n">
        <v>5.3353</v>
      </c>
      <c r="H231" s="10" t="inlineStr">
        <is>
          <t>NO</t>
        </is>
      </c>
      <c r="I231" s="10" t="inlineStr">
        <is>
          <t>450×550</t>
        </is>
      </c>
      <c r="J231" s="15" t="inlineStr">
        <is>
          <t>CUMPLE</t>
        </is>
      </c>
    </row>
    <row r="232">
      <c r="A232" s="21" t="inlineStr">
        <is>
          <t>VC7</t>
        </is>
      </c>
      <c r="B232" s="10" t="inlineStr">
        <is>
          <t>926</t>
        </is>
      </c>
      <c r="C232" s="32" t="n">
        <v>2.2205</v>
      </c>
      <c r="D232" s="32" t="n">
        <v>10.3875</v>
      </c>
      <c r="E232" s="32" t="n">
        <v>10.3875</v>
      </c>
      <c r="F232" s="32" t="n">
        <v>40.11202892772908</v>
      </c>
      <c r="G232" s="32" t="n">
        <v>10.3875</v>
      </c>
      <c r="H232" s="10" t="inlineStr">
        <is>
          <t>NO</t>
        </is>
      </c>
      <c r="I232" s="10" t="inlineStr">
        <is>
          <t>450×550</t>
        </is>
      </c>
      <c r="J232" s="15" t="inlineStr">
        <is>
          <t>CUMPLE</t>
        </is>
      </c>
    </row>
    <row r="233">
      <c r="A233" s="21" t="inlineStr">
        <is>
          <t>VC7</t>
        </is>
      </c>
      <c r="B233" s="10" t="inlineStr">
        <is>
          <t>927</t>
        </is>
      </c>
      <c r="C233" s="32" t="n">
        <v>2.0617</v>
      </c>
      <c r="D233" s="32" t="n">
        <v>10.0394</v>
      </c>
      <c r="E233" s="32" t="n">
        <v>10.0394</v>
      </c>
      <c r="F233" s="32" t="n">
        <v>40.11202892772908</v>
      </c>
      <c r="G233" s="32" t="n">
        <v>10.0394</v>
      </c>
      <c r="H233" s="10" t="inlineStr">
        <is>
          <t>NO</t>
        </is>
      </c>
      <c r="I233" s="10" t="inlineStr">
        <is>
          <t>450×550</t>
        </is>
      </c>
      <c r="J233" s="15" t="inlineStr">
        <is>
          <t>CUMPLE</t>
        </is>
      </c>
    </row>
    <row r="234">
      <c r="A234" s="21" t="inlineStr">
        <is>
          <t>VC7</t>
        </is>
      </c>
      <c r="B234" s="10" t="inlineStr">
        <is>
          <t>928</t>
        </is>
      </c>
      <c r="C234" s="32" t="n">
        <v>3.4803</v>
      </c>
      <c r="D234" s="32" t="n">
        <v>5.2843</v>
      </c>
      <c r="E234" s="32" t="n">
        <v>5.2843</v>
      </c>
      <c r="F234" s="32" t="n">
        <v>40.11202892772908</v>
      </c>
      <c r="G234" s="32" t="n">
        <v>5.2843</v>
      </c>
      <c r="H234" s="10" t="inlineStr">
        <is>
          <t>NO</t>
        </is>
      </c>
      <c r="I234" s="10" t="inlineStr">
        <is>
          <t>450×550</t>
        </is>
      </c>
      <c r="J234" s="15" t="inlineStr">
        <is>
          <t>CUMPLE</t>
        </is>
      </c>
    </row>
    <row r="235">
      <c r="A235" s="21" t="inlineStr">
        <is>
          <t>VC7</t>
        </is>
      </c>
      <c r="B235" s="10" t="inlineStr">
        <is>
          <t>929</t>
        </is>
      </c>
      <c r="C235" s="32" t="n">
        <v>3.4811</v>
      </c>
      <c r="D235" s="32" t="n">
        <v>5.2851</v>
      </c>
      <c r="E235" s="32" t="n">
        <v>5.2851</v>
      </c>
      <c r="F235" s="32" t="n">
        <v>40.11202892772908</v>
      </c>
      <c r="G235" s="32" t="n">
        <v>5.2851</v>
      </c>
      <c r="H235" s="10" t="inlineStr">
        <is>
          <t>NO</t>
        </is>
      </c>
      <c r="I235" s="10" t="inlineStr">
        <is>
          <t>450×550</t>
        </is>
      </c>
      <c r="J235" s="15" t="inlineStr">
        <is>
          <t>CUMPLE</t>
        </is>
      </c>
    </row>
    <row r="236">
      <c r="A236" s="21" t="inlineStr">
        <is>
          <t>VC7</t>
        </is>
      </c>
      <c r="B236" s="10" t="inlineStr">
        <is>
          <t>930</t>
        </is>
      </c>
      <c r="C236" s="32" t="n">
        <v>2.0629</v>
      </c>
      <c r="D236" s="32" t="n">
        <v>10.0406</v>
      </c>
      <c r="E236" s="32" t="n">
        <v>10.0406</v>
      </c>
      <c r="F236" s="32" t="n">
        <v>40.11202892772908</v>
      </c>
      <c r="G236" s="32" t="n">
        <v>10.0406</v>
      </c>
      <c r="H236" s="10" t="inlineStr">
        <is>
          <t>NO</t>
        </is>
      </c>
      <c r="I236" s="10" t="inlineStr">
        <is>
          <t>450×550</t>
        </is>
      </c>
      <c r="J236" s="15" t="inlineStr">
        <is>
          <t>CUMPLE</t>
        </is>
      </c>
    </row>
    <row r="237">
      <c r="A237" s="21" t="inlineStr">
        <is>
          <t>VC7</t>
        </is>
      </c>
      <c r="B237" s="10" t="inlineStr">
        <is>
          <t>1017</t>
        </is>
      </c>
      <c r="C237" s="32" t="n">
        <v>1.8026</v>
      </c>
      <c r="D237" s="32" t="n">
        <v>7.6404</v>
      </c>
      <c r="E237" s="32" t="n">
        <v>7.6404</v>
      </c>
      <c r="F237" s="32" t="n">
        <v>40.11202892772908</v>
      </c>
      <c r="G237" s="32" t="n">
        <v>7.6404</v>
      </c>
      <c r="H237" s="10" t="inlineStr">
        <is>
          <t>NO</t>
        </is>
      </c>
      <c r="I237" s="10" t="inlineStr">
        <is>
          <t>450×550</t>
        </is>
      </c>
      <c r="J237" s="15" t="inlineStr">
        <is>
          <t>CUMPLE</t>
        </is>
      </c>
    </row>
    <row r="238">
      <c r="A238" s="21" t="inlineStr">
        <is>
          <t>VC7</t>
        </is>
      </c>
      <c r="B238" s="10" t="inlineStr">
        <is>
          <t>1018</t>
        </is>
      </c>
      <c r="C238" s="32" t="n">
        <v>5.6671</v>
      </c>
      <c r="D238" s="32" t="n">
        <v>6.0736</v>
      </c>
      <c r="E238" s="32" t="n">
        <v>6.0736</v>
      </c>
      <c r="F238" s="32" t="n">
        <v>40.11202892772908</v>
      </c>
      <c r="G238" s="32" t="n">
        <v>6.0736</v>
      </c>
      <c r="H238" s="10" t="inlineStr">
        <is>
          <t>NO</t>
        </is>
      </c>
      <c r="I238" s="10" t="inlineStr">
        <is>
          <t>450×550</t>
        </is>
      </c>
      <c r="J238" s="15" t="inlineStr">
        <is>
          <t>CUMPLE</t>
        </is>
      </c>
    </row>
    <row r="239">
      <c r="A239" s="21" t="inlineStr">
        <is>
          <t>VC7</t>
        </is>
      </c>
      <c r="B239" s="10" t="inlineStr">
        <is>
          <t>1019</t>
        </is>
      </c>
      <c r="C239" s="32" t="n">
        <v>5.6665</v>
      </c>
      <c r="D239" s="32" t="n">
        <v>6.0731</v>
      </c>
      <c r="E239" s="32" t="n">
        <v>6.0731</v>
      </c>
      <c r="F239" s="32" t="n">
        <v>40.11202892772908</v>
      </c>
      <c r="G239" s="32" t="n">
        <v>6.0731</v>
      </c>
      <c r="H239" s="10" t="inlineStr">
        <is>
          <t>NO</t>
        </is>
      </c>
      <c r="I239" s="10" t="inlineStr">
        <is>
          <t>450×550</t>
        </is>
      </c>
      <c r="J239" s="15" t="inlineStr">
        <is>
          <t>CUMPLE</t>
        </is>
      </c>
    </row>
    <row r="240">
      <c r="A240" s="21" t="inlineStr">
        <is>
          <t>VC7</t>
        </is>
      </c>
      <c r="B240" s="10" t="inlineStr">
        <is>
          <t>1020</t>
        </is>
      </c>
      <c r="C240" s="32" t="n">
        <v>1.803</v>
      </c>
      <c r="D240" s="32" t="n">
        <v>7.6409</v>
      </c>
      <c r="E240" s="32" t="n">
        <v>7.6409</v>
      </c>
      <c r="F240" s="32" t="n">
        <v>40.11202892772908</v>
      </c>
      <c r="G240" s="32" t="n">
        <v>7.6409</v>
      </c>
      <c r="H240" s="10" t="inlineStr">
        <is>
          <t>NO</t>
        </is>
      </c>
      <c r="I240" s="10" t="inlineStr">
        <is>
          <t>450×550</t>
        </is>
      </c>
      <c r="J240" s="15" t="inlineStr">
        <is>
          <t>CUMPLE</t>
        </is>
      </c>
    </row>
    <row r="241">
      <c r="A241" s="21" t="inlineStr">
        <is>
          <t>VC7</t>
        </is>
      </c>
      <c r="B241" s="10" t="inlineStr">
        <is>
          <t>1021</t>
        </is>
      </c>
      <c r="C241" s="32" t="n">
        <v>1.7336</v>
      </c>
      <c r="D241" s="32" t="n">
        <v>7.0153</v>
      </c>
      <c r="E241" s="32" t="n">
        <v>7.0153</v>
      </c>
      <c r="F241" s="32" t="n">
        <v>40.11202892772908</v>
      </c>
      <c r="G241" s="32" t="n">
        <v>7.0153</v>
      </c>
      <c r="H241" s="10" t="inlineStr">
        <is>
          <t>NO</t>
        </is>
      </c>
      <c r="I241" s="10" t="inlineStr">
        <is>
          <t>450×550</t>
        </is>
      </c>
      <c r="J241" s="15" t="inlineStr">
        <is>
          <t>CUMPLE</t>
        </is>
      </c>
    </row>
    <row r="242">
      <c r="A242" s="21" t="inlineStr">
        <is>
          <t>VC7</t>
        </is>
      </c>
      <c r="B242" s="10" t="inlineStr">
        <is>
          <t>1022</t>
        </is>
      </c>
      <c r="C242" s="32" t="n">
        <v>5.7664</v>
      </c>
      <c r="D242" s="32" t="n">
        <v>6.0368</v>
      </c>
      <c r="E242" s="32" t="n">
        <v>6.0368</v>
      </c>
      <c r="F242" s="32" t="n">
        <v>40.11202892772908</v>
      </c>
      <c r="G242" s="32" t="n">
        <v>6.0368</v>
      </c>
      <c r="H242" s="10" t="inlineStr">
        <is>
          <t>NO</t>
        </is>
      </c>
      <c r="I242" s="10" t="inlineStr">
        <is>
          <t>450×550</t>
        </is>
      </c>
      <c r="J242" s="15" t="inlineStr">
        <is>
          <t>CUMPLE</t>
        </is>
      </c>
    </row>
    <row r="243">
      <c r="A243" s="21" t="inlineStr">
        <is>
          <t>VC7</t>
        </is>
      </c>
      <c r="B243" s="10" t="inlineStr">
        <is>
          <t>1023</t>
        </is>
      </c>
      <c r="C243" s="32" t="n">
        <v>5.7671</v>
      </c>
      <c r="D243" s="32" t="n">
        <v>6.0374</v>
      </c>
      <c r="E243" s="32" t="n">
        <v>6.0374</v>
      </c>
      <c r="F243" s="32" t="n">
        <v>40.11202892772908</v>
      </c>
      <c r="G243" s="32" t="n">
        <v>6.0374</v>
      </c>
      <c r="H243" s="10" t="inlineStr">
        <is>
          <t>NO</t>
        </is>
      </c>
      <c r="I243" s="10" t="inlineStr">
        <is>
          <t>450×550</t>
        </is>
      </c>
      <c r="J243" s="15" t="inlineStr">
        <is>
          <t>CUMPLE</t>
        </is>
      </c>
    </row>
    <row r="244">
      <c r="A244" s="21" t="inlineStr">
        <is>
          <t>VC7</t>
        </is>
      </c>
      <c r="B244" s="10" t="inlineStr">
        <is>
          <t>1024</t>
        </is>
      </c>
      <c r="C244" s="32" t="n">
        <v>1.7332</v>
      </c>
      <c r="D244" s="32" t="n">
        <v>7.015</v>
      </c>
      <c r="E244" s="32" t="n">
        <v>7.015</v>
      </c>
      <c r="F244" s="32" t="n">
        <v>40.11202892772908</v>
      </c>
      <c r="G244" s="32" t="n">
        <v>7.015</v>
      </c>
      <c r="H244" s="10" t="inlineStr">
        <is>
          <t>NO</t>
        </is>
      </c>
      <c r="I244" s="10" t="inlineStr">
        <is>
          <t>450×550</t>
        </is>
      </c>
      <c r="J244" s="15" t="inlineStr">
        <is>
          <t>CUMPLE</t>
        </is>
      </c>
    </row>
    <row r="245">
      <c r="A245" s="23" t="inlineStr">
        <is>
          <t>VR1</t>
        </is>
      </c>
      <c r="B245" s="10" t="inlineStr">
        <is>
          <t>201</t>
        </is>
      </c>
      <c r="C245" s="32" t="n">
        <v>1.1237</v>
      </c>
      <c r="D245" s="32" t="n">
        <v>3.8815</v>
      </c>
      <c r="E245" s="32" t="n">
        <v>3.8815</v>
      </c>
      <c r="F245" s="32" t="n">
        <v>47.16287939768263</v>
      </c>
      <c r="G245" s="32" t="n">
        <v>3.8815</v>
      </c>
      <c r="H245" s="10" t="inlineStr">
        <is>
          <t>NO</t>
        </is>
      </c>
      <c r="I245" s="10" t="inlineStr">
        <is>
          <t>500×550</t>
        </is>
      </c>
      <c r="J245" s="15" t="inlineStr">
        <is>
          <t>CUMPLE</t>
        </is>
      </c>
    </row>
    <row r="246">
      <c r="A246" s="23" t="inlineStr">
        <is>
          <t>VR1</t>
        </is>
      </c>
      <c r="B246" s="10" t="inlineStr">
        <is>
          <t>202</t>
        </is>
      </c>
      <c r="C246" s="32" t="n">
        <v>0.8353</v>
      </c>
      <c r="D246" s="32" t="n">
        <v>3.4737</v>
      </c>
      <c r="E246" s="32" t="n">
        <v>3.4737</v>
      </c>
      <c r="F246" s="32" t="n">
        <v>47.16287939768263</v>
      </c>
      <c r="G246" s="32" t="n">
        <v>3.4737</v>
      </c>
      <c r="H246" s="10" t="inlineStr">
        <is>
          <t>NO</t>
        </is>
      </c>
      <c r="I246" s="10" t="inlineStr">
        <is>
          <t>500×550</t>
        </is>
      </c>
      <c r="J246" s="15" t="inlineStr">
        <is>
          <t>CUMPLE</t>
        </is>
      </c>
    </row>
    <row r="247">
      <c r="A247" s="23" t="inlineStr">
        <is>
          <t>VR1</t>
        </is>
      </c>
      <c r="B247" s="10" t="inlineStr">
        <is>
          <t>203</t>
        </is>
      </c>
      <c r="C247" s="32" t="n">
        <v>1.4882</v>
      </c>
      <c r="D247" s="32" t="n">
        <v>7.3369</v>
      </c>
      <c r="E247" s="32" t="n">
        <v>7.3369</v>
      </c>
      <c r="F247" s="32" t="n">
        <v>47.16287939768263</v>
      </c>
      <c r="G247" s="32" t="n">
        <v>7.3369</v>
      </c>
      <c r="H247" s="10" t="inlineStr">
        <is>
          <t>NO</t>
        </is>
      </c>
      <c r="I247" s="10" t="inlineStr">
        <is>
          <t>500×550</t>
        </is>
      </c>
      <c r="J247" s="15" t="inlineStr">
        <is>
          <t>CUMPLE</t>
        </is>
      </c>
    </row>
    <row r="248">
      <c r="A248" s="23" t="inlineStr">
        <is>
          <t>VR1</t>
        </is>
      </c>
      <c r="B248" s="10" t="inlineStr">
        <is>
          <t>204</t>
        </is>
      </c>
      <c r="C248" s="32" t="n">
        <v>1.1464</v>
      </c>
      <c r="D248" s="32" t="n">
        <v>4.3205</v>
      </c>
      <c r="E248" s="32" t="n">
        <v>4.3205</v>
      </c>
      <c r="F248" s="32" t="n">
        <v>47.16287939768263</v>
      </c>
      <c r="G248" s="32" t="n">
        <v>4.3205</v>
      </c>
      <c r="H248" s="10" t="inlineStr">
        <is>
          <t>NO</t>
        </is>
      </c>
      <c r="I248" s="10" t="inlineStr">
        <is>
          <t>500×550</t>
        </is>
      </c>
      <c r="J248" s="15" t="inlineStr">
        <is>
          <t>CUMPLE</t>
        </is>
      </c>
    </row>
    <row r="249">
      <c r="A249" s="23" t="inlineStr">
        <is>
          <t>VR1</t>
        </is>
      </c>
      <c r="B249" s="10" t="inlineStr">
        <is>
          <t>205</t>
        </is>
      </c>
      <c r="C249" s="32" t="n">
        <v>2.3551</v>
      </c>
      <c r="D249" s="32" t="n">
        <v>9.223100000000001</v>
      </c>
      <c r="E249" s="32" t="n">
        <v>9.223100000000001</v>
      </c>
      <c r="F249" s="32" t="n">
        <v>47.16287939768263</v>
      </c>
      <c r="G249" s="32" t="n">
        <v>9.223100000000001</v>
      </c>
      <c r="H249" s="10" t="inlineStr">
        <is>
          <t>NO</t>
        </is>
      </c>
      <c r="I249" s="10" t="inlineStr">
        <is>
          <t>500×550</t>
        </is>
      </c>
      <c r="J249" s="15" t="inlineStr">
        <is>
          <t>CUMPLE</t>
        </is>
      </c>
    </row>
    <row r="250">
      <c r="A250" s="23" t="inlineStr">
        <is>
          <t>VR1</t>
        </is>
      </c>
      <c r="B250" s="10" t="inlineStr">
        <is>
          <t>206</t>
        </is>
      </c>
      <c r="C250" s="32" t="n">
        <v>2.334</v>
      </c>
      <c r="D250" s="32" t="n">
        <v>9.248699999999999</v>
      </c>
      <c r="E250" s="32" t="n">
        <v>9.248699999999999</v>
      </c>
      <c r="F250" s="32" t="n">
        <v>47.16287939768263</v>
      </c>
      <c r="G250" s="32" t="n">
        <v>9.248699999999999</v>
      </c>
      <c r="H250" s="10" t="inlineStr">
        <is>
          <t>NO</t>
        </is>
      </c>
      <c r="I250" s="10" t="inlineStr">
        <is>
          <t>500×550</t>
        </is>
      </c>
      <c r="J250" s="15" t="inlineStr">
        <is>
          <t>CUMPLE</t>
        </is>
      </c>
    </row>
    <row r="251">
      <c r="A251" s="23" t="inlineStr">
        <is>
          <t>VR1</t>
        </is>
      </c>
      <c r="B251" s="10" t="inlineStr">
        <is>
          <t>207</t>
        </is>
      </c>
      <c r="C251" s="32" t="n">
        <v>1.1512</v>
      </c>
      <c r="D251" s="32" t="n">
        <v>4.3364</v>
      </c>
      <c r="E251" s="32" t="n">
        <v>4.3364</v>
      </c>
      <c r="F251" s="32" t="n">
        <v>47.16287939768263</v>
      </c>
      <c r="G251" s="32" t="n">
        <v>4.3364</v>
      </c>
      <c r="H251" s="10" t="inlineStr">
        <is>
          <t>NO</t>
        </is>
      </c>
      <c r="I251" s="10" t="inlineStr">
        <is>
          <t>500×550</t>
        </is>
      </c>
      <c r="J251" s="15" t="inlineStr">
        <is>
          <t>CUMPLE</t>
        </is>
      </c>
    </row>
    <row r="252">
      <c r="A252" s="23" t="inlineStr">
        <is>
          <t>VR1</t>
        </is>
      </c>
      <c r="B252" s="10" t="inlineStr">
        <is>
          <t>208</t>
        </is>
      </c>
      <c r="C252" s="32" t="n">
        <v>1.4883</v>
      </c>
      <c r="D252" s="32" t="n">
        <v>7.3355</v>
      </c>
      <c r="E252" s="32" t="n">
        <v>7.3355</v>
      </c>
      <c r="F252" s="32" t="n">
        <v>47.16287939768263</v>
      </c>
      <c r="G252" s="32" t="n">
        <v>7.3355</v>
      </c>
      <c r="H252" s="10" t="inlineStr">
        <is>
          <t>NO</t>
        </is>
      </c>
      <c r="I252" s="10" t="inlineStr">
        <is>
          <t>500×550</t>
        </is>
      </c>
      <c r="J252" s="15" t="inlineStr">
        <is>
          <t>CUMPLE</t>
        </is>
      </c>
    </row>
    <row r="253">
      <c r="A253" s="23" t="inlineStr">
        <is>
          <t>VR1</t>
        </is>
      </c>
      <c r="B253" s="10" t="inlineStr">
        <is>
          <t>209</t>
        </is>
      </c>
      <c r="C253" s="32" t="n">
        <v>0.8362000000000001</v>
      </c>
      <c r="D253" s="32" t="n">
        <v>3.4752</v>
      </c>
      <c r="E253" s="32" t="n">
        <v>3.4752</v>
      </c>
      <c r="F253" s="32" t="n">
        <v>47.16287939768263</v>
      </c>
      <c r="G253" s="32" t="n">
        <v>3.4752</v>
      </c>
      <c r="H253" s="10" t="inlineStr">
        <is>
          <t>NO</t>
        </is>
      </c>
      <c r="I253" s="10" t="inlineStr">
        <is>
          <t>500×550</t>
        </is>
      </c>
      <c r="J253" s="15" t="inlineStr">
        <is>
          <t>CUMPLE</t>
        </is>
      </c>
    </row>
    <row r="254">
      <c r="A254" s="23" t="inlineStr">
        <is>
          <t>VR1</t>
        </is>
      </c>
      <c r="B254" s="10" t="inlineStr">
        <is>
          <t>210</t>
        </is>
      </c>
      <c r="C254" s="32" t="n">
        <v>1.1226</v>
      </c>
      <c r="D254" s="32" t="n">
        <v>3.879</v>
      </c>
      <c r="E254" s="32" t="n">
        <v>3.879</v>
      </c>
      <c r="F254" s="32" t="n">
        <v>47.16287939768263</v>
      </c>
      <c r="G254" s="32" t="n">
        <v>3.879</v>
      </c>
      <c r="H254" s="10" t="inlineStr">
        <is>
          <t>NO</t>
        </is>
      </c>
      <c r="I254" s="10" t="inlineStr">
        <is>
          <t>500×550</t>
        </is>
      </c>
      <c r="J254" s="15" t="inlineStr">
        <is>
          <t>CUMPLE</t>
        </is>
      </c>
    </row>
    <row r="255">
      <c r="A255" s="23" t="inlineStr">
        <is>
          <t>VR1</t>
        </is>
      </c>
      <c r="B255" s="10" t="inlineStr">
        <is>
          <t>245</t>
        </is>
      </c>
      <c r="C255" s="32" t="n">
        <v>1.1235</v>
      </c>
      <c r="D255" s="32" t="n">
        <v>3.8814</v>
      </c>
      <c r="E255" s="32" t="n">
        <v>3.8814</v>
      </c>
      <c r="F255" s="32" t="n">
        <v>47.16287939768263</v>
      </c>
      <c r="G255" s="32" t="n">
        <v>3.8814</v>
      </c>
      <c r="H255" s="10" t="inlineStr">
        <is>
          <t>NO</t>
        </is>
      </c>
      <c r="I255" s="10" t="inlineStr">
        <is>
          <t>500×550</t>
        </is>
      </c>
      <c r="J255" s="15" t="inlineStr">
        <is>
          <t>CUMPLE</t>
        </is>
      </c>
    </row>
    <row r="256">
      <c r="A256" s="23" t="inlineStr">
        <is>
          <t>VR1</t>
        </is>
      </c>
      <c r="B256" s="10" t="inlineStr">
        <is>
          <t>246</t>
        </is>
      </c>
      <c r="C256" s="32" t="n">
        <v>0.8337</v>
      </c>
      <c r="D256" s="32" t="n">
        <v>3.472</v>
      </c>
      <c r="E256" s="32" t="n">
        <v>3.472</v>
      </c>
      <c r="F256" s="32" t="n">
        <v>47.16287939768263</v>
      </c>
      <c r="G256" s="32" t="n">
        <v>3.472</v>
      </c>
      <c r="H256" s="10" t="inlineStr">
        <is>
          <t>NO</t>
        </is>
      </c>
      <c r="I256" s="10" t="inlineStr">
        <is>
          <t>500×550</t>
        </is>
      </c>
      <c r="J256" s="15" t="inlineStr">
        <is>
          <t>CUMPLE</t>
        </is>
      </c>
    </row>
    <row r="257">
      <c r="A257" s="23" t="inlineStr">
        <is>
          <t>VR1</t>
        </is>
      </c>
      <c r="B257" s="10" t="inlineStr">
        <is>
          <t>247</t>
        </is>
      </c>
      <c r="C257" s="32" t="n">
        <v>1.4927</v>
      </c>
      <c r="D257" s="32" t="n">
        <v>7.3414</v>
      </c>
      <c r="E257" s="32" t="n">
        <v>7.3414</v>
      </c>
      <c r="F257" s="32" t="n">
        <v>47.16287939768263</v>
      </c>
      <c r="G257" s="32" t="n">
        <v>7.3414</v>
      </c>
      <c r="H257" s="10" t="inlineStr">
        <is>
          <t>NO</t>
        </is>
      </c>
      <c r="I257" s="10" t="inlineStr">
        <is>
          <t>500×550</t>
        </is>
      </c>
      <c r="J257" s="15" t="inlineStr">
        <is>
          <t>CUMPLE</t>
        </is>
      </c>
    </row>
    <row r="258">
      <c r="A258" s="23" t="inlineStr">
        <is>
          <t>VR1</t>
        </is>
      </c>
      <c r="B258" s="10" t="inlineStr">
        <is>
          <t>248</t>
        </is>
      </c>
      <c r="C258" s="32" t="n">
        <v>1.1454</v>
      </c>
      <c r="D258" s="32" t="n">
        <v>4.3195</v>
      </c>
      <c r="E258" s="32" t="n">
        <v>4.3195</v>
      </c>
      <c r="F258" s="32" t="n">
        <v>47.16287939768263</v>
      </c>
      <c r="G258" s="32" t="n">
        <v>4.3195</v>
      </c>
      <c r="H258" s="10" t="inlineStr">
        <is>
          <t>NO</t>
        </is>
      </c>
      <c r="I258" s="10" t="inlineStr">
        <is>
          <t>500×550</t>
        </is>
      </c>
      <c r="J258" s="15" t="inlineStr">
        <is>
          <t>CUMPLE</t>
        </is>
      </c>
    </row>
    <row r="259">
      <c r="A259" s="23" t="inlineStr">
        <is>
          <t>VR1</t>
        </is>
      </c>
      <c r="B259" s="10" t="inlineStr">
        <is>
          <t>249</t>
        </is>
      </c>
      <c r="C259" s="32" t="n">
        <v>2.3557</v>
      </c>
      <c r="D259" s="32" t="n">
        <v>9.223699999999999</v>
      </c>
      <c r="E259" s="32" t="n">
        <v>9.223699999999999</v>
      </c>
      <c r="F259" s="32" t="n">
        <v>47.16287939768263</v>
      </c>
      <c r="G259" s="32" t="n">
        <v>9.223699999999999</v>
      </c>
      <c r="H259" s="10" t="inlineStr">
        <is>
          <t>NO</t>
        </is>
      </c>
      <c r="I259" s="10" t="inlineStr">
        <is>
          <t>500×550</t>
        </is>
      </c>
      <c r="J259" s="15" t="inlineStr">
        <is>
          <t>CUMPLE</t>
        </is>
      </c>
    </row>
    <row r="260">
      <c r="A260" s="23" t="inlineStr">
        <is>
          <t>VR1</t>
        </is>
      </c>
      <c r="B260" s="10" t="inlineStr">
        <is>
          <t>250</t>
        </is>
      </c>
      <c r="C260" s="32" t="n">
        <v>2.3332</v>
      </c>
      <c r="D260" s="32" t="n">
        <v>9.2478</v>
      </c>
      <c r="E260" s="32" t="n">
        <v>9.2478</v>
      </c>
      <c r="F260" s="32" t="n">
        <v>47.16287939768263</v>
      </c>
      <c r="G260" s="32" t="n">
        <v>9.2478</v>
      </c>
      <c r="H260" s="10" t="inlineStr">
        <is>
          <t>NO</t>
        </is>
      </c>
      <c r="I260" s="10" t="inlineStr">
        <is>
          <t>500×550</t>
        </is>
      </c>
      <c r="J260" s="15" t="inlineStr">
        <is>
          <t>CUMPLE</t>
        </is>
      </c>
    </row>
    <row r="261">
      <c r="A261" s="23" t="inlineStr">
        <is>
          <t>VR1</t>
        </is>
      </c>
      <c r="B261" s="10" t="inlineStr">
        <is>
          <t>251</t>
        </is>
      </c>
      <c r="C261" s="32" t="n">
        <v>1.1519</v>
      </c>
      <c r="D261" s="32" t="n">
        <v>4.337</v>
      </c>
      <c r="E261" s="32" t="n">
        <v>4.337</v>
      </c>
      <c r="F261" s="32" t="n">
        <v>47.16287939768263</v>
      </c>
      <c r="G261" s="32" t="n">
        <v>4.337</v>
      </c>
      <c r="H261" s="10" t="inlineStr">
        <is>
          <t>NO</t>
        </is>
      </c>
      <c r="I261" s="10" t="inlineStr">
        <is>
          <t>500×550</t>
        </is>
      </c>
      <c r="J261" s="15" t="inlineStr">
        <is>
          <t>CUMPLE</t>
        </is>
      </c>
    </row>
    <row r="262">
      <c r="A262" s="23" t="inlineStr">
        <is>
          <t>VR1</t>
        </is>
      </c>
      <c r="B262" s="10" t="inlineStr">
        <is>
          <t>252</t>
        </is>
      </c>
      <c r="C262" s="32" t="n">
        <v>1.4866</v>
      </c>
      <c r="D262" s="32" t="n">
        <v>7.3337</v>
      </c>
      <c r="E262" s="32" t="n">
        <v>7.3337</v>
      </c>
      <c r="F262" s="32" t="n">
        <v>47.16287939768263</v>
      </c>
      <c r="G262" s="32" t="n">
        <v>7.3337</v>
      </c>
      <c r="H262" s="10" t="inlineStr">
        <is>
          <t>NO</t>
        </is>
      </c>
      <c r="I262" s="10" t="inlineStr">
        <is>
          <t>500×550</t>
        </is>
      </c>
      <c r="J262" s="15" t="inlineStr">
        <is>
          <t>CUMPLE</t>
        </is>
      </c>
    </row>
    <row r="263">
      <c r="A263" s="23" t="inlineStr">
        <is>
          <t>VR1</t>
        </is>
      </c>
      <c r="B263" s="10" t="inlineStr">
        <is>
          <t>253</t>
        </is>
      </c>
      <c r="C263" s="32" t="n">
        <v>0.8358</v>
      </c>
      <c r="D263" s="32" t="n">
        <v>3.4748</v>
      </c>
      <c r="E263" s="32" t="n">
        <v>3.4748</v>
      </c>
      <c r="F263" s="32" t="n">
        <v>47.16287939768263</v>
      </c>
      <c r="G263" s="32" t="n">
        <v>3.4748</v>
      </c>
      <c r="H263" s="10" t="inlineStr">
        <is>
          <t>NO</t>
        </is>
      </c>
      <c r="I263" s="10" t="inlineStr">
        <is>
          <t>500×550</t>
        </is>
      </c>
      <c r="J263" s="15" t="inlineStr">
        <is>
          <t>CUMPLE</t>
        </is>
      </c>
    </row>
    <row r="264">
      <c r="A264" s="23" t="inlineStr">
        <is>
          <t>VR1</t>
        </is>
      </c>
      <c r="B264" s="10" t="inlineStr">
        <is>
          <t>254</t>
        </is>
      </c>
      <c r="C264" s="32" t="n">
        <v>1.1231</v>
      </c>
      <c r="D264" s="32" t="n">
        <v>3.8795</v>
      </c>
      <c r="E264" s="32" t="n">
        <v>3.8795</v>
      </c>
      <c r="F264" s="32" t="n">
        <v>47.16287939768263</v>
      </c>
      <c r="G264" s="32" t="n">
        <v>3.8795</v>
      </c>
      <c r="H264" s="10" t="inlineStr">
        <is>
          <t>NO</t>
        </is>
      </c>
      <c r="I264" s="10" t="inlineStr">
        <is>
          <t>500×550</t>
        </is>
      </c>
      <c r="J264" s="15" t="inlineStr">
        <is>
          <t>CUMPLE</t>
        </is>
      </c>
    </row>
    <row r="265">
      <c r="A265" s="23" t="inlineStr">
        <is>
          <t>VR1</t>
        </is>
      </c>
      <c r="B265" s="10" t="inlineStr">
        <is>
          <t>759</t>
        </is>
      </c>
      <c r="C265" s="32" t="n">
        <v>1.1376</v>
      </c>
      <c r="D265" s="32" t="n">
        <v>3.5014</v>
      </c>
      <c r="E265" s="32" t="n">
        <v>3.5014</v>
      </c>
      <c r="F265" s="32" t="n">
        <v>47.16287939768263</v>
      </c>
      <c r="G265" s="32" t="n">
        <v>3.5014</v>
      </c>
      <c r="H265" s="10" t="inlineStr">
        <is>
          <t>NO</t>
        </is>
      </c>
      <c r="I265" s="10" t="inlineStr">
        <is>
          <t>500×550</t>
        </is>
      </c>
      <c r="J265" s="15" t="inlineStr">
        <is>
          <t>CUMPLE</t>
        </is>
      </c>
    </row>
    <row r="266">
      <c r="A266" s="23" t="inlineStr">
        <is>
          <t>VR1</t>
        </is>
      </c>
      <c r="B266" s="10" t="inlineStr">
        <is>
          <t>760</t>
        </is>
      </c>
      <c r="C266" s="32" t="n">
        <v>0.5933</v>
      </c>
      <c r="D266" s="32" t="n">
        <v>2.5875</v>
      </c>
      <c r="E266" s="32" t="n">
        <v>2.5875</v>
      </c>
      <c r="F266" s="32" t="n">
        <v>47.16287939768263</v>
      </c>
      <c r="G266" s="32" t="n">
        <v>2.5875</v>
      </c>
      <c r="H266" s="10" t="inlineStr">
        <is>
          <t>NO</t>
        </is>
      </c>
      <c r="I266" s="10" t="inlineStr">
        <is>
          <t>500×550</t>
        </is>
      </c>
      <c r="J266" s="15" t="inlineStr">
        <is>
          <t>CUMPLE</t>
        </is>
      </c>
    </row>
    <row r="267">
      <c r="A267" s="23" t="inlineStr">
        <is>
          <t>VR1</t>
        </is>
      </c>
      <c r="B267" s="10" t="inlineStr">
        <is>
          <t>761</t>
        </is>
      </c>
      <c r="C267" s="32" t="n">
        <v>1.1475</v>
      </c>
      <c r="D267" s="32" t="n">
        <v>5.589</v>
      </c>
      <c r="E267" s="32" t="n">
        <v>5.589</v>
      </c>
      <c r="F267" s="32" t="n">
        <v>47.16287939768263</v>
      </c>
      <c r="G267" s="32" t="n">
        <v>5.589</v>
      </c>
      <c r="H267" s="10" t="inlineStr">
        <is>
          <t>NO</t>
        </is>
      </c>
      <c r="I267" s="10" t="inlineStr">
        <is>
          <t>500×550</t>
        </is>
      </c>
      <c r="J267" s="15" t="inlineStr">
        <is>
          <t>CUMPLE</t>
        </is>
      </c>
    </row>
    <row r="268">
      <c r="A268" s="23" t="inlineStr">
        <is>
          <t>VR1</t>
        </is>
      </c>
      <c r="B268" s="10" t="inlineStr">
        <is>
          <t>762</t>
        </is>
      </c>
      <c r="C268" s="32" t="n">
        <v>0.9059</v>
      </c>
      <c r="D268" s="32" t="n">
        <v>3.366</v>
      </c>
      <c r="E268" s="32" t="n">
        <v>3.366</v>
      </c>
      <c r="F268" s="32" t="n">
        <v>47.16287939768263</v>
      </c>
      <c r="G268" s="32" t="n">
        <v>3.366</v>
      </c>
      <c r="H268" s="10" t="inlineStr">
        <is>
          <t>NO</t>
        </is>
      </c>
      <c r="I268" s="10" t="inlineStr">
        <is>
          <t>500×550</t>
        </is>
      </c>
      <c r="J268" s="15" t="inlineStr">
        <is>
          <t>CUMPLE</t>
        </is>
      </c>
    </row>
    <row r="269">
      <c r="A269" s="23" t="inlineStr">
        <is>
          <t>VR1</t>
        </is>
      </c>
      <c r="B269" s="10" t="inlineStr">
        <is>
          <t>763</t>
        </is>
      </c>
      <c r="C269" s="32" t="n">
        <v>2.1537</v>
      </c>
      <c r="D269" s="32" t="n">
        <v>7.1802</v>
      </c>
      <c r="E269" s="32" t="n">
        <v>7.1802</v>
      </c>
      <c r="F269" s="32" t="n">
        <v>47.16287939768263</v>
      </c>
      <c r="G269" s="32" t="n">
        <v>7.1802</v>
      </c>
      <c r="H269" s="10" t="inlineStr">
        <is>
          <t>NO</t>
        </is>
      </c>
      <c r="I269" s="10" t="inlineStr">
        <is>
          <t>500×550</t>
        </is>
      </c>
      <c r="J269" s="15" t="inlineStr">
        <is>
          <t>CUMPLE</t>
        </is>
      </c>
    </row>
    <row r="270">
      <c r="A270" s="23" t="inlineStr">
        <is>
          <t>VR1</t>
        </is>
      </c>
      <c r="B270" s="10" t="inlineStr">
        <is>
          <t>764</t>
        </is>
      </c>
      <c r="C270" s="32" t="n">
        <v>2.1359</v>
      </c>
      <c r="D270" s="32" t="n">
        <v>7.2618</v>
      </c>
      <c r="E270" s="32" t="n">
        <v>7.2618</v>
      </c>
      <c r="F270" s="32" t="n">
        <v>47.16287939768263</v>
      </c>
      <c r="G270" s="32" t="n">
        <v>7.2618</v>
      </c>
      <c r="H270" s="10" t="inlineStr">
        <is>
          <t>NO</t>
        </is>
      </c>
      <c r="I270" s="10" t="inlineStr">
        <is>
          <t>500×550</t>
        </is>
      </c>
      <c r="J270" s="15" t="inlineStr">
        <is>
          <t>CUMPLE</t>
        </is>
      </c>
    </row>
    <row r="271">
      <c r="A271" s="23" t="inlineStr">
        <is>
          <t>VR1</t>
        </is>
      </c>
      <c r="B271" s="10" t="inlineStr">
        <is>
          <t>765</t>
        </is>
      </c>
      <c r="C271" s="32" t="n">
        <v>0.9122</v>
      </c>
      <c r="D271" s="32" t="n">
        <v>3.3859</v>
      </c>
      <c r="E271" s="32" t="n">
        <v>3.3859</v>
      </c>
      <c r="F271" s="32" t="n">
        <v>47.16287939768263</v>
      </c>
      <c r="G271" s="32" t="n">
        <v>3.3859</v>
      </c>
      <c r="H271" s="10" t="inlineStr">
        <is>
          <t>NO</t>
        </is>
      </c>
      <c r="I271" s="10" t="inlineStr">
        <is>
          <t>500×550</t>
        </is>
      </c>
      <c r="J271" s="15" t="inlineStr">
        <is>
          <t>CUMPLE</t>
        </is>
      </c>
    </row>
    <row r="272">
      <c r="A272" s="23" t="inlineStr">
        <is>
          <t>VR1</t>
        </is>
      </c>
      <c r="B272" s="10" t="inlineStr">
        <is>
          <t>766</t>
        </is>
      </c>
      <c r="C272" s="32" t="n">
        <v>1.1477</v>
      </c>
      <c r="D272" s="32" t="n">
        <v>5.5873</v>
      </c>
      <c r="E272" s="32" t="n">
        <v>5.5873</v>
      </c>
      <c r="F272" s="32" t="n">
        <v>47.16287939768263</v>
      </c>
      <c r="G272" s="32" t="n">
        <v>5.5873</v>
      </c>
      <c r="H272" s="10" t="inlineStr">
        <is>
          <t>NO</t>
        </is>
      </c>
      <c r="I272" s="10" t="inlineStr">
        <is>
          <t>500×550</t>
        </is>
      </c>
      <c r="J272" s="15" t="inlineStr">
        <is>
          <t>CUMPLE</t>
        </is>
      </c>
    </row>
    <row r="273">
      <c r="A273" s="23" t="inlineStr">
        <is>
          <t>VR1</t>
        </is>
      </c>
      <c r="B273" s="10" t="inlineStr">
        <is>
          <t>767</t>
        </is>
      </c>
      <c r="C273" s="32" t="n">
        <v>0.5944</v>
      </c>
      <c r="D273" s="32" t="n">
        <v>2.5892</v>
      </c>
      <c r="E273" s="32" t="n">
        <v>2.5892</v>
      </c>
      <c r="F273" s="32" t="n">
        <v>47.16287939768263</v>
      </c>
      <c r="G273" s="32" t="n">
        <v>2.5892</v>
      </c>
      <c r="H273" s="10" t="inlineStr">
        <is>
          <t>NO</t>
        </is>
      </c>
      <c r="I273" s="10" t="inlineStr">
        <is>
          <t>500×550</t>
        </is>
      </c>
      <c r="J273" s="15" t="inlineStr">
        <is>
          <t>CUMPLE</t>
        </is>
      </c>
    </row>
    <row r="274">
      <c r="A274" s="23" t="inlineStr">
        <is>
          <t>VR1</t>
        </is>
      </c>
      <c r="B274" s="10" t="inlineStr">
        <is>
          <t>768</t>
        </is>
      </c>
      <c r="C274" s="32" t="n">
        <v>1.1368</v>
      </c>
      <c r="D274" s="32" t="n">
        <v>3.4995</v>
      </c>
      <c r="E274" s="32" t="n">
        <v>3.4995</v>
      </c>
      <c r="F274" s="32" t="n">
        <v>47.16287939768263</v>
      </c>
      <c r="G274" s="32" t="n">
        <v>3.4995</v>
      </c>
      <c r="H274" s="10" t="inlineStr">
        <is>
          <t>NO</t>
        </is>
      </c>
      <c r="I274" s="10" t="inlineStr">
        <is>
          <t>500×550</t>
        </is>
      </c>
      <c r="J274" s="15" t="inlineStr">
        <is>
          <t>CUMPLE</t>
        </is>
      </c>
    </row>
    <row r="275">
      <c r="A275" s="23" t="inlineStr">
        <is>
          <t>VR1</t>
        </is>
      </c>
      <c r="B275" s="10" t="inlineStr">
        <is>
          <t>803</t>
        </is>
      </c>
      <c r="C275" s="32" t="n">
        <v>1.1369</v>
      </c>
      <c r="D275" s="32" t="n">
        <v>3.5006</v>
      </c>
      <c r="E275" s="32" t="n">
        <v>3.5006</v>
      </c>
      <c r="F275" s="32" t="n">
        <v>47.16287939768263</v>
      </c>
      <c r="G275" s="32" t="n">
        <v>3.5006</v>
      </c>
      <c r="H275" s="10" t="inlineStr">
        <is>
          <t>NO</t>
        </is>
      </c>
      <c r="I275" s="10" t="inlineStr">
        <is>
          <t>500×550</t>
        </is>
      </c>
      <c r="J275" s="15" t="inlineStr">
        <is>
          <t>CUMPLE</t>
        </is>
      </c>
    </row>
    <row r="276">
      <c r="A276" s="23" t="inlineStr">
        <is>
          <t>VR1</t>
        </is>
      </c>
      <c r="B276" s="10" t="inlineStr">
        <is>
          <t>804</t>
        </is>
      </c>
      <c r="C276" s="32" t="n">
        <v>0.5942</v>
      </c>
      <c r="D276" s="32" t="n">
        <v>2.5886</v>
      </c>
      <c r="E276" s="32" t="n">
        <v>2.5886</v>
      </c>
      <c r="F276" s="32" t="n">
        <v>47.16287939768263</v>
      </c>
      <c r="G276" s="32" t="n">
        <v>2.5886</v>
      </c>
      <c r="H276" s="10" t="inlineStr">
        <is>
          <t>NO</t>
        </is>
      </c>
      <c r="I276" s="10" t="inlineStr">
        <is>
          <t>500×550</t>
        </is>
      </c>
      <c r="J276" s="15" t="inlineStr">
        <is>
          <t>CUMPLE</t>
        </is>
      </c>
    </row>
    <row r="277">
      <c r="A277" s="23" t="inlineStr">
        <is>
          <t>VR1</t>
        </is>
      </c>
      <c r="B277" s="10" t="inlineStr">
        <is>
          <t>805</t>
        </is>
      </c>
      <c r="C277" s="32" t="n">
        <v>1.149</v>
      </c>
      <c r="D277" s="32" t="n">
        <v>5.5906</v>
      </c>
      <c r="E277" s="32" t="n">
        <v>5.5906</v>
      </c>
      <c r="F277" s="32" t="n">
        <v>47.16287939768263</v>
      </c>
      <c r="G277" s="32" t="n">
        <v>5.5906</v>
      </c>
      <c r="H277" s="10" t="inlineStr">
        <is>
          <t>NO</t>
        </is>
      </c>
      <c r="I277" s="10" t="inlineStr">
        <is>
          <t>500×550</t>
        </is>
      </c>
      <c r="J277" s="15" t="inlineStr">
        <is>
          <t>CUMPLE</t>
        </is>
      </c>
    </row>
    <row r="278">
      <c r="A278" s="23" t="inlineStr">
        <is>
          <t>VR1</t>
        </is>
      </c>
      <c r="B278" s="10" t="inlineStr">
        <is>
          <t>806</t>
        </is>
      </c>
      <c r="C278" s="32" t="n">
        <v>0.9051</v>
      </c>
      <c r="D278" s="32" t="n">
        <v>3.3652</v>
      </c>
      <c r="E278" s="32" t="n">
        <v>3.3652</v>
      </c>
      <c r="F278" s="32" t="n">
        <v>47.16287939768263</v>
      </c>
      <c r="G278" s="32" t="n">
        <v>3.3652</v>
      </c>
      <c r="H278" s="10" t="inlineStr">
        <is>
          <t>NO</t>
        </is>
      </c>
      <c r="I278" s="10" t="inlineStr">
        <is>
          <t>500×550</t>
        </is>
      </c>
      <c r="J278" s="15" t="inlineStr">
        <is>
          <t>CUMPLE</t>
        </is>
      </c>
    </row>
    <row r="279">
      <c r="A279" s="23" t="inlineStr">
        <is>
          <t>VR1</t>
        </is>
      </c>
      <c r="B279" s="10" t="inlineStr">
        <is>
          <t>807</t>
        </is>
      </c>
      <c r="C279" s="32" t="n">
        <v>2.1546</v>
      </c>
      <c r="D279" s="32" t="n">
        <v>7.1811</v>
      </c>
      <c r="E279" s="32" t="n">
        <v>7.1811</v>
      </c>
      <c r="F279" s="32" t="n">
        <v>47.16287939768263</v>
      </c>
      <c r="G279" s="32" t="n">
        <v>7.1811</v>
      </c>
      <c r="H279" s="10" t="inlineStr">
        <is>
          <t>NO</t>
        </is>
      </c>
      <c r="I279" s="10" t="inlineStr">
        <is>
          <t>500×550</t>
        </is>
      </c>
      <c r="J279" s="15" t="inlineStr">
        <is>
          <t>CUMPLE</t>
        </is>
      </c>
    </row>
    <row r="280">
      <c r="A280" s="23" t="inlineStr">
        <is>
          <t>VR1</t>
        </is>
      </c>
      <c r="B280" s="10" t="inlineStr">
        <is>
          <t>808</t>
        </is>
      </c>
      <c r="C280" s="32" t="n">
        <v>2.135</v>
      </c>
      <c r="D280" s="32" t="n">
        <v>7.2608</v>
      </c>
      <c r="E280" s="32" t="n">
        <v>7.2608</v>
      </c>
      <c r="F280" s="32" t="n">
        <v>47.16287939768263</v>
      </c>
      <c r="G280" s="32" t="n">
        <v>7.2608</v>
      </c>
      <c r="H280" s="10" t="inlineStr">
        <is>
          <t>NO</t>
        </is>
      </c>
      <c r="I280" s="10" t="inlineStr">
        <is>
          <t>500×550</t>
        </is>
      </c>
      <c r="J280" s="15" t="inlineStr">
        <is>
          <t>CUMPLE</t>
        </is>
      </c>
    </row>
    <row r="281">
      <c r="A281" s="23" t="inlineStr">
        <is>
          <t>VR1</t>
        </is>
      </c>
      <c r="B281" s="10" t="inlineStr">
        <is>
          <t>809</t>
        </is>
      </c>
      <c r="C281" s="32" t="n">
        <v>0.913</v>
      </c>
      <c r="D281" s="32" t="n">
        <v>3.3867</v>
      </c>
      <c r="E281" s="32" t="n">
        <v>3.3867</v>
      </c>
      <c r="F281" s="32" t="n">
        <v>47.16287939768263</v>
      </c>
      <c r="G281" s="32" t="n">
        <v>3.3867</v>
      </c>
      <c r="H281" s="10" t="inlineStr">
        <is>
          <t>NO</t>
        </is>
      </c>
      <c r="I281" s="10" t="inlineStr">
        <is>
          <t>500×550</t>
        </is>
      </c>
      <c r="J281" s="15" t="inlineStr">
        <is>
          <t>CUMPLE</t>
        </is>
      </c>
    </row>
    <row r="282">
      <c r="A282" s="23" t="inlineStr">
        <is>
          <t>VR1</t>
        </is>
      </c>
      <c r="B282" s="10" t="inlineStr">
        <is>
          <t>810</t>
        </is>
      </c>
      <c r="C282" s="32" t="n">
        <v>1.1453</v>
      </c>
      <c r="D282" s="32" t="n">
        <v>5.5849</v>
      </c>
      <c r="E282" s="32" t="n">
        <v>5.5849</v>
      </c>
      <c r="F282" s="32" t="n">
        <v>47.16287939768263</v>
      </c>
      <c r="G282" s="32" t="n">
        <v>5.5849</v>
      </c>
      <c r="H282" s="10" t="inlineStr">
        <is>
          <t>NO</t>
        </is>
      </c>
      <c r="I282" s="10" t="inlineStr">
        <is>
          <t>500×550</t>
        </is>
      </c>
      <c r="J282" s="15" t="inlineStr">
        <is>
          <t>CUMPLE</t>
        </is>
      </c>
    </row>
    <row r="283">
      <c r="A283" s="23" t="inlineStr">
        <is>
          <t>VR1</t>
        </is>
      </c>
      <c r="B283" s="10" t="inlineStr">
        <is>
          <t>811</t>
        </is>
      </c>
      <c r="C283" s="32" t="n">
        <v>0.594</v>
      </c>
      <c r="D283" s="32" t="n">
        <v>2.5888</v>
      </c>
      <c r="E283" s="32" t="n">
        <v>2.5888</v>
      </c>
      <c r="F283" s="32" t="n">
        <v>47.16287939768263</v>
      </c>
      <c r="G283" s="32" t="n">
        <v>2.5888</v>
      </c>
      <c r="H283" s="10" t="inlineStr">
        <is>
          <t>NO</t>
        </is>
      </c>
      <c r="I283" s="10" t="inlineStr">
        <is>
          <t>500×550</t>
        </is>
      </c>
      <c r="J283" s="15" t="inlineStr">
        <is>
          <t>CUMPLE</t>
        </is>
      </c>
    </row>
    <row r="284">
      <c r="A284" s="23" t="inlineStr">
        <is>
          <t>VR1</t>
        </is>
      </c>
      <c r="B284" s="10" t="inlineStr">
        <is>
          <t>812</t>
        </is>
      </c>
      <c r="C284" s="32" t="n">
        <v>1.1374</v>
      </c>
      <c r="D284" s="32" t="n">
        <v>3.5001</v>
      </c>
      <c r="E284" s="32" t="n">
        <v>3.5001</v>
      </c>
      <c r="F284" s="32" t="n">
        <v>47.16287939768263</v>
      </c>
      <c r="G284" s="32" t="n">
        <v>3.5001</v>
      </c>
      <c r="H284" s="10" t="inlineStr">
        <is>
          <t>NO</t>
        </is>
      </c>
      <c r="I284" s="10" t="inlineStr">
        <is>
          <t>500×550</t>
        </is>
      </c>
      <c r="J284" s="15" t="inlineStr">
        <is>
          <t>CUMPLE</t>
        </is>
      </c>
    </row>
    <row r="285">
      <c r="A285" s="23" t="inlineStr">
        <is>
          <t>VR1</t>
        </is>
      </c>
      <c r="B285" s="10" t="inlineStr">
        <is>
          <t>853</t>
        </is>
      </c>
      <c r="C285" s="32" t="n">
        <v>0.9726</v>
      </c>
      <c r="D285" s="32" t="n">
        <v>2.5662</v>
      </c>
      <c r="E285" s="32" t="n">
        <v>2.5662</v>
      </c>
      <c r="F285" s="32" t="n">
        <v>47.16287939768263</v>
      </c>
      <c r="G285" s="32" t="n">
        <v>2.5662</v>
      </c>
      <c r="H285" s="10" t="inlineStr">
        <is>
          <t>NO</t>
        </is>
      </c>
      <c r="I285" s="10" t="inlineStr">
        <is>
          <t>500×550</t>
        </is>
      </c>
      <c r="J285" s="15" t="inlineStr">
        <is>
          <t>CUMPLE</t>
        </is>
      </c>
    </row>
    <row r="286">
      <c r="A286" s="23" t="inlineStr">
        <is>
          <t>VR1</t>
        </is>
      </c>
      <c r="B286" s="10" t="inlineStr">
        <is>
          <t>854</t>
        </is>
      </c>
      <c r="C286" s="32" t="n">
        <v>0.2995</v>
      </c>
      <c r="D286" s="32" t="n">
        <v>1.2948</v>
      </c>
      <c r="E286" s="32" t="n">
        <v>1.2948</v>
      </c>
      <c r="F286" s="32" t="n">
        <v>47.16287939768263</v>
      </c>
      <c r="G286" s="32" t="n">
        <v>1.2948</v>
      </c>
      <c r="H286" s="10" t="inlineStr">
        <is>
          <t>NO</t>
        </is>
      </c>
      <c r="I286" s="10" t="inlineStr">
        <is>
          <t>500×550</t>
        </is>
      </c>
      <c r="J286" s="15" t="inlineStr">
        <is>
          <t>CUMPLE</t>
        </is>
      </c>
    </row>
    <row r="287">
      <c r="A287" s="23" t="inlineStr">
        <is>
          <t>VR1</t>
        </is>
      </c>
      <c r="B287" s="10" t="inlineStr">
        <is>
          <t>855</t>
        </is>
      </c>
      <c r="C287" s="32" t="n">
        <v>0.6685</v>
      </c>
      <c r="D287" s="32" t="n">
        <v>3.1327</v>
      </c>
      <c r="E287" s="32" t="n">
        <v>3.1327</v>
      </c>
      <c r="F287" s="32" t="n">
        <v>47.16287939768263</v>
      </c>
      <c r="G287" s="32" t="n">
        <v>3.1327</v>
      </c>
      <c r="H287" s="10" t="inlineStr">
        <is>
          <t>NO</t>
        </is>
      </c>
      <c r="I287" s="10" t="inlineStr">
        <is>
          <t>500×550</t>
        </is>
      </c>
      <c r="J287" s="15" t="inlineStr">
        <is>
          <t>CUMPLE</t>
        </is>
      </c>
    </row>
    <row r="288">
      <c r="A288" s="23" t="inlineStr">
        <is>
          <t>VR1</t>
        </is>
      </c>
      <c r="B288" s="10" t="inlineStr">
        <is>
          <t>856</t>
        </is>
      </c>
      <c r="C288" s="32" t="n">
        <v>0.5810999999999999</v>
      </c>
      <c r="D288" s="32" t="n">
        <v>1.7617</v>
      </c>
      <c r="E288" s="32" t="n">
        <v>1.7617</v>
      </c>
      <c r="F288" s="32" t="n">
        <v>47.16287939768263</v>
      </c>
      <c r="G288" s="32" t="n">
        <v>1.7617</v>
      </c>
      <c r="H288" s="10" t="inlineStr">
        <is>
          <t>NO</t>
        </is>
      </c>
      <c r="I288" s="10" t="inlineStr">
        <is>
          <t>500×550</t>
        </is>
      </c>
      <c r="J288" s="15" t="inlineStr">
        <is>
          <t>CUMPLE</t>
        </is>
      </c>
    </row>
    <row r="289">
      <c r="A289" s="23" t="inlineStr">
        <is>
          <t>VR1</t>
        </is>
      </c>
      <c r="B289" s="10" t="inlineStr">
        <is>
          <t>857</t>
        </is>
      </c>
      <c r="C289" s="32" t="n">
        <v>2.0298</v>
      </c>
      <c r="D289" s="32" t="n">
        <v>5.7816</v>
      </c>
      <c r="E289" s="32" t="n">
        <v>5.7816</v>
      </c>
      <c r="F289" s="32" t="n">
        <v>47.16287939768263</v>
      </c>
      <c r="G289" s="32" t="n">
        <v>5.7816</v>
      </c>
      <c r="H289" s="10" t="inlineStr">
        <is>
          <t>NO</t>
        </is>
      </c>
      <c r="I289" s="10" t="inlineStr">
        <is>
          <t>500×550</t>
        </is>
      </c>
      <c r="J289" s="15" t="inlineStr">
        <is>
          <t>CUMPLE</t>
        </is>
      </c>
    </row>
    <row r="290">
      <c r="A290" s="23" t="inlineStr">
        <is>
          <t>VR1</t>
        </is>
      </c>
      <c r="B290" s="10" t="inlineStr">
        <is>
          <t>858</t>
        </is>
      </c>
      <c r="C290" s="32" t="n">
        <v>2.0025</v>
      </c>
      <c r="D290" s="32" t="n">
        <v>5.825</v>
      </c>
      <c r="E290" s="32" t="n">
        <v>5.825</v>
      </c>
      <c r="F290" s="32" t="n">
        <v>47.16287939768263</v>
      </c>
      <c r="G290" s="32" t="n">
        <v>5.825</v>
      </c>
      <c r="H290" s="10" t="inlineStr">
        <is>
          <t>NO</t>
        </is>
      </c>
      <c r="I290" s="10" t="inlineStr">
        <is>
          <t>500×550</t>
        </is>
      </c>
      <c r="J290" s="15" t="inlineStr">
        <is>
          <t>CUMPLE</t>
        </is>
      </c>
    </row>
    <row r="291">
      <c r="A291" s="23" t="inlineStr">
        <is>
          <t>VR1</t>
        </is>
      </c>
      <c r="B291" s="10" t="inlineStr">
        <is>
          <t>859</t>
        </is>
      </c>
      <c r="C291" s="32" t="n">
        <v>0.5856</v>
      </c>
      <c r="D291" s="32" t="n">
        <v>1.7771</v>
      </c>
      <c r="E291" s="32" t="n">
        <v>1.7771</v>
      </c>
      <c r="F291" s="32" t="n">
        <v>47.16287939768263</v>
      </c>
      <c r="G291" s="32" t="n">
        <v>1.7771</v>
      </c>
      <c r="H291" s="10" t="inlineStr">
        <is>
          <t>NO</t>
        </is>
      </c>
      <c r="I291" s="10" t="inlineStr">
        <is>
          <t>500×550</t>
        </is>
      </c>
      <c r="J291" s="15" t="inlineStr">
        <is>
          <t>CUMPLE</t>
        </is>
      </c>
    </row>
    <row r="292">
      <c r="A292" s="23" t="inlineStr">
        <is>
          <t>VR1</t>
        </is>
      </c>
      <c r="B292" s="10" t="inlineStr">
        <is>
          <t>860</t>
        </is>
      </c>
      <c r="C292" s="32" t="n">
        <v>0.67</v>
      </c>
      <c r="D292" s="32" t="n">
        <v>3.1341</v>
      </c>
      <c r="E292" s="32" t="n">
        <v>3.1341</v>
      </c>
      <c r="F292" s="32" t="n">
        <v>47.16287939768263</v>
      </c>
      <c r="G292" s="32" t="n">
        <v>3.1341</v>
      </c>
      <c r="H292" s="10" t="inlineStr">
        <is>
          <t>NO</t>
        </is>
      </c>
      <c r="I292" s="10" t="inlineStr">
        <is>
          <t>500×550</t>
        </is>
      </c>
      <c r="J292" s="15" t="inlineStr">
        <is>
          <t>CUMPLE</t>
        </is>
      </c>
    </row>
    <row r="293">
      <c r="A293" s="23" t="inlineStr">
        <is>
          <t>VR1</t>
        </is>
      </c>
      <c r="B293" s="10" t="inlineStr">
        <is>
          <t>861</t>
        </is>
      </c>
      <c r="C293" s="32" t="n">
        <v>0.3002</v>
      </c>
      <c r="D293" s="32" t="n">
        <v>1.2949</v>
      </c>
      <c r="E293" s="32" t="n">
        <v>1.2949</v>
      </c>
      <c r="F293" s="32" t="n">
        <v>47.16287939768263</v>
      </c>
      <c r="G293" s="32" t="n">
        <v>1.2949</v>
      </c>
      <c r="H293" s="10" t="inlineStr">
        <is>
          <t>NO</t>
        </is>
      </c>
      <c r="I293" s="10" t="inlineStr">
        <is>
          <t>500×550</t>
        </is>
      </c>
      <c r="J293" s="15" t="inlineStr">
        <is>
          <t>CUMPLE</t>
        </is>
      </c>
    </row>
    <row r="294">
      <c r="A294" s="23" t="inlineStr">
        <is>
          <t>VR1</t>
        </is>
      </c>
      <c r="B294" s="10" t="inlineStr">
        <is>
          <t>862</t>
        </is>
      </c>
      <c r="C294" s="32" t="n">
        <v>0.9715</v>
      </c>
      <c r="D294" s="32" t="n">
        <v>2.5641</v>
      </c>
      <c r="E294" s="32" t="n">
        <v>2.5641</v>
      </c>
      <c r="F294" s="32" t="n">
        <v>47.16287939768263</v>
      </c>
      <c r="G294" s="32" t="n">
        <v>2.5641</v>
      </c>
      <c r="H294" s="10" t="inlineStr">
        <is>
          <t>NO</t>
        </is>
      </c>
      <c r="I294" s="10" t="inlineStr">
        <is>
          <t>500×550</t>
        </is>
      </c>
      <c r="J294" s="15" t="inlineStr">
        <is>
          <t>CUMPLE</t>
        </is>
      </c>
    </row>
    <row r="295">
      <c r="A295" s="23" t="inlineStr">
        <is>
          <t>VR1</t>
        </is>
      </c>
      <c r="B295" s="10" t="inlineStr">
        <is>
          <t>897</t>
        </is>
      </c>
      <c r="C295" s="32" t="n">
        <v>0.9718</v>
      </c>
      <c r="D295" s="32" t="n">
        <v>2.5654</v>
      </c>
      <c r="E295" s="32" t="n">
        <v>2.5654</v>
      </c>
      <c r="F295" s="32" t="n">
        <v>47.16287939768263</v>
      </c>
      <c r="G295" s="32" t="n">
        <v>2.5654</v>
      </c>
      <c r="H295" s="10" t="inlineStr">
        <is>
          <t>NO</t>
        </is>
      </c>
      <c r="I295" s="10" t="inlineStr">
        <is>
          <t>500×550</t>
        </is>
      </c>
      <c r="J295" s="15" t="inlineStr">
        <is>
          <t>CUMPLE</t>
        </is>
      </c>
    </row>
    <row r="296">
      <c r="A296" s="23" t="inlineStr">
        <is>
          <t>VR1</t>
        </is>
      </c>
      <c r="B296" s="10" t="inlineStr">
        <is>
          <t>898</t>
        </is>
      </c>
      <c r="C296" s="32" t="n">
        <v>0.2991</v>
      </c>
      <c r="D296" s="32" t="n">
        <v>1.2945</v>
      </c>
      <c r="E296" s="32" t="n">
        <v>1.2945</v>
      </c>
      <c r="F296" s="32" t="n">
        <v>47.16287939768263</v>
      </c>
      <c r="G296" s="32" t="n">
        <v>1.2945</v>
      </c>
      <c r="H296" s="10" t="inlineStr">
        <is>
          <t>NO</t>
        </is>
      </c>
      <c r="I296" s="10" t="inlineStr">
        <is>
          <t>500×550</t>
        </is>
      </c>
      <c r="J296" s="15" t="inlineStr">
        <is>
          <t>CUMPLE</t>
        </is>
      </c>
    </row>
    <row r="297">
      <c r="A297" s="23" t="inlineStr">
        <is>
          <t>VR1</t>
        </is>
      </c>
      <c r="B297" s="10" t="inlineStr">
        <is>
          <t>899</t>
        </is>
      </c>
      <c r="C297" s="32" t="n">
        <v>0.6724</v>
      </c>
      <c r="D297" s="32" t="n">
        <v>3.1367</v>
      </c>
      <c r="E297" s="32" t="n">
        <v>3.1367</v>
      </c>
      <c r="F297" s="32" t="n">
        <v>47.16287939768263</v>
      </c>
      <c r="G297" s="32" t="n">
        <v>3.1367</v>
      </c>
      <c r="H297" s="10" t="inlineStr">
        <is>
          <t>NO</t>
        </is>
      </c>
      <c r="I297" s="10" t="inlineStr">
        <is>
          <t>500×550</t>
        </is>
      </c>
      <c r="J297" s="15" t="inlineStr">
        <is>
          <t>CUMPLE</t>
        </is>
      </c>
    </row>
    <row r="298">
      <c r="A298" s="23" t="inlineStr">
        <is>
          <t>VR1</t>
        </is>
      </c>
      <c r="B298" s="10" t="inlineStr">
        <is>
          <t>900</t>
        </is>
      </c>
      <c r="C298" s="32" t="n">
        <v>0.5797</v>
      </c>
      <c r="D298" s="32" t="n">
        <v>1.7604</v>
      </c>
      <c r="E298" s="32" t="n">
        <v>1.7604</v>
      </c>
      <c r="F298" s="32" t="n">
        <v>47.16287939768263</v>
      </c>
      <c r="G298" s="32" t="n">
        <v>1.7604</v>
      </c>
      <c r="H298" s="10" t="inlineStr">
        <is>
          <t>NO</t>
        </is>
      </c>
      <c r="I298" s="10" t="inlineStr">
        <is>
          <t>500×550</t>
        </is>
      </c>
      <c r="J298" s="15" t="inlineStr">
        <is>
          <t>CUMPLE</t>
        </is>
      </c>
    </row>
    <row r="299">
      <c r="A299" s="23" t="inlineStr">
        <is>
          <t>VR1</t>
        </is>
      </c>
      <c r="B299" s="10" t="inlineStr">
        <is>
          <t>901</t>
        </is>
      </c>
      <c r="C299" s="32" t="n">
        <v>2.031</v>
      </c>
      <c r="D299" s="32" t="n">
        <v>5.7828</v>
      </c>
      <c r="E299" s="32" t="n">
        <v>5.7828</v>
      </c>
      <c r="F299" s="32" t="n">
        <v>47.16287939768263</v>
      </c>
      <c r="G299" s="32" t="n">
        <v>5.7828</v>
      </c>
      <c r="H299" s="10" t="inlineStr">
        <is>
          <t>NO</t>
        </is>
      </c>
      <c r="I299" s="10" t="inlineStr">
        <is>
          <t>500×550</t>
        </is>
      </c>
      <c r="J299" s="15" t="inlineStr">
        <is>
          <t>CUMPLE</t>
        </is>
      </c>
    </row>
    <row r="300">
      <c r="A300" s="23" t="inlineStr">
        <is>
          <t>VR1</t>
        </is>
      </c>
      <c r="B300" s="10" t="inlineStr">
        <is>
          <t>902</t>
        </is>
      </c>
      <c r="C300" s="32" t="n">
        <v>2.0014</v>
      </c>
      <c r="D300" s="32" t="n">
        <v>5.8238</v>
      </c>
      <c r="E300" s="32" t="n">
        <v>5.8238</v>
      </c>
      <c r="F300" s="32" t="n">
        <v>47.16287939768263</v>
      </c>
      <c r="G300" s="32" t="n">
        <v>5.8238</v>
      </c>
      <c r="H300" s="10" t="inlineStr">
        <is>
          <t>NO</t>
        </is>
      </c>
      <c r="I300" s="10" t="inlineStr">
        <is>
          <t>500×550</t>
        </is>
      </c>
      <c r="J300" s="15" t="inlineStr">
        <is>
          <t>CUMPLE</t>
        </is>
      </c>
    </row>
    <row r="301">
      <c r="A301" s="23" t="inlineStr">
        <is>
          <t>VR1</t>
        </is>
      </c>
      <c r="B301" s="10" t="inlineStr">
        <is>
          <t>903</t>
        </is>
      </c>
      <c r="C301" s="32" t="n">
        <v>0.5868</v>
      </c>
      <c r="D301" s="32" t="n">
        <v>1.7783</v>
      </c>
      <c r="E301" s="32" t="n">
        <v>1.7783</v>
      </c>
      <c r="F301" s="32" t="n">
        <v>47.16287939768263</v>
      </c>
      <c r="G301" s="32" t="n">
        <v>1.7783</v>
      </c>
      <c r="H301" s="10" t="inlineStr">
        <is>
          <t>NO</t>
        </is>
      </c>
      <c r="I301" s="10" t="inlineStr">
        <is>
          <t>500×550</t>
        </is>
      </c>
      <c r="J301" s="15" t="inlineStr">
        <is>
          <t>CUMPLE</t>
        </is>
      </c>
    </row>
    <row r="302">
      <c r="A302" s="23" t="inlineStr">
        <is>
          <t>VR1</t>
        </is>
      </c>
      <c r="B302" s="10" t="inlineStr">
        <is>
          <t>904</t>
        </is>
      </c>
      <c r="C302" s="32" t="n">
        <v>0.6667</v>
      </c>
      <c r="D302" s="32" t="n">
        <v>3.1307</v>
      </c>
      <c r="E302" s="32" t="n">
        <v>3.1307</v>
      </c>
      <c r="F302" s="32" t="n">
        <v>47.16287939768263</v>
      </c>
      <c r="G302" s="32" t="n">
        <v>3.1307</v>
      </c>
      <c r="H302" s="10" t="inlineStr">
        <is>
          <t>NO</t>
        </is>
      </c>
      <c r="I302" s="10" t="inlineStr">
        <is>
          <t>500×550</t>
        </is>
      </c>
      <c r="J302" s="15" t="inlineStr">
        <is>
          <t>CUMPLE</t>
        </is>
      </c>
    </row>
    <row r="303">
      <c r="A303" s="23" t="inlineStr">
        <is>
          <t>VR1</t>
        </is>
      </c>
      <c r="B303" s="10" t="inlineStr">
        <is>
          <t>905</t>
        </is>
      </c>
      <c r="C303" s="32" t="n">
        <v>0.3</v>
      </c>
      <c r="D303" s="32" t="n">
        <v>1.2947</v>
      </c>
      <c r="E303" s="32" t="n">
        <v>1.2947</v>
      </c>
      <c r="F303" s="32" t="n">
        <v>47.16287939768263</v>
      </c>
      <c r="G303" s="32" t="n">
        <v>1.2947</v>
      </c>
      <c r="H303" s="10" t="inlineStr">
        <is>
          <t>NO</t>
        </is>
      </c>
      <c r="I303" s="10" t="inlineStr">
        <is>
          <t>500×550</t>
        </is>
      </c>
      <c r="J303" s="15" t="inlineStr">
        <is>
          <t>CUMPLE</t>
        </is>
      </c>
    </row>
    <row r="304">
      <c r="A304" s="23" t="inlineStr">
        <is>
          <t>VR1</t>
        </is>
      </c>
      <c r="B304" s="10" t="inlineStr">
        <is>
          <t>906</t>
        </is>
      </c>
      <c r="C304" s="32" t="n">
        <v>0.9722</v>
      </c>
      <c r="D304" s="32" t="n">
        <v>2.5649</v>
      </c>
      <c r="E304" s="32" t="n">
        <v>2.5649</v>
      </c>
      <c r="F304" s="32" t="n">
        <v>47.16287939768263</v>
      </c>
      <c r="G304" s="32" t="n">
        <v>2.5649</v>
      </c>
      <c r="H304" s="10" t="inlineStr">
        <is>
          <t>NO</t>
        </is>
      </c>
      <c r="I304" s="10" t="inlineStr">
        <is>
          <t>500×550</t>
        </is>
      </c>
      <c r="J304" s="15" t="inlineStr">
        <is>
          <t>CUMPLE</t>
        </is>
      </c>
    </row>
    <row r="305">
      <c r="A305" s="23" t="inlineStr">
        <is>
          <t>VR1</t>
        </is>
      </c>
      <c r="B305" s="10" t="inlineStr">
        <is>
          <t>947</t>
        </is>
      </c>
      <c r="C305" s="32" t="n">
        <v>1.4445</v>
      </c>
      <c r="D305" s="32" t="n">
        <v>3.0967</v>
      </c>
      <c r="E305" s="32" t="n">
        <v>3.0967</v>
      </c>
      <c r="F305" s="32" t="n">
        <v>47.16287939768263</v>
      </c>
      <c r="G305" s="32" t="n">
        <v>3.0967</v>
      </c>
      <c r="H305" s="10" t="inlineStr">
        <is>
          <t>NO</t>
        </is>
      </c>
      <c r="I305" s="10" t="inlineStr">
        <is>
          <t>500×550</t>
        </is>
      </c>
      <c r="J305" s="15" t="inlineStr">
        <is>
          <t>CUMPLE</t>
        </is>
      </c>
    </row>
    <row r="306">
      <c r="A306" s="23" t="inlineStr">
        <is>
          <t>VR1</t>
        </is>
      </c>
      <c r="B306" s="10" t="inlineStr">
        <is>
          <t>948</t>
        </is>
      </c>
      <c r="C306" s="32" t="n">
        <v>0.3114</v>
      </c>
      <c r="D306" s="32" t="n">
        <v>1.5086</v>
      </c>
      <c r="E306" s="32" t="n">
        <v>1.5086</v>
      </c>
      <c r="F306" s="32" t="n">
        <v>47.16287939768263</v>
      </c>
      <c r="G306" s="32" t="n">
        <v>1.5086</v>
      </c>
      <c r="H306" s="10" t="inlineStr">
        <is>
          <t>NO</t>
        </is>
      </c>
      <c r="I306" s="10" t="inlineStr">
        <is>
          <t>500×550</t>
        </is>
      </c>
      <c r="J306" s="15" t="inlineStr">
        <is>
          <t>CUMPLE</t>
        </is>
      </c>
    </row>
    <row r="307">
      <c r="A307" s="23" t="inlineStr">
        <is>
          <t>VR1</t>
        </is>
      </c>
      <c r="B307" s="10" t="inlineStr">
        <is>
          <t>949</t>
        </is>
      </c>
      <c r="C307" s="32" t="n">
        <v>0.2612</v>
      </c>
      <c r="D307" s="32" t="n">
        <v>1.2385</v>
      </c>
      <c r="E307" s="32" t="n">
        <v>1.2385</v>
      </c>
      <c r="F307" s="32" t="n">
        <v>47.16287939768263</v>
      </c>
      <c r="G307" s="32" t="n">
        <v>1.2385</v>
      </c>
      <c r="H307" s="10" t="inlineStr">
        <is>
          <t>NO</t>
        </is>
      </c>
      <c r="I307" s="10" t="inlineStr">
        <is>
          <t>500×550</t>
        </is>
      </c>
      <c r="J307" s="15" t="inlineStr">
        <is>
          <t>CUMPLE</t>
        </is>
      </c>
    </row>
    <row r="308">
      <c r="A308" s="23" t="inlineStr">
        <is>
          <t>VR1</t>
        </is>
      </c>
      <c r="B308" s="10" t="inlineStr">
        <is>
          <t>950</t>
        </is>
      </c>
      <c r="C308" s="32" t="n">
        <v>0.3815</v>
      </c>
      <c r="D308" s="32" t="n">
        <v>1.4361</v>
      </c>
      <c r="E308" s="32" t="n">
        <v>1.4361</v>
      </c>
      <c r="F308" s="32" t="n">
        <v>47.16287939768263</v>
      </c>
      <c r="G308" s="32" t="n">
        <v>1.4361</v>
      </c>
      <c r="H308" s="10" t="inlineStr">
        <is>
          <t>NO</t>
        </is>
      </c>
      <c r="I308" s="10" t="inlineStr">
        <is>
          <t>500×550</t>
        </is>
      </c>
      <c r="J308" s="15" t="inlineStr">
        <is>
          <t>CUMPLE</t>
        </is>
      </c>
    </row>
    <row r="309">
      <c r="A309" s="23" t="inlineStr">
        <is>
          <t>VR1</t>
        </is>
      </c>
      <c r="B309" s="10" t="inlineStr">
        <is>
          <t>951</t>
        </is>
      </c>
      <c r="C309" s="32" t="n">
        <v>3.2412</v>
      </c>
      <c r="D309" s="32" t="n">
        <v>10.4541</v>
      </c>
      <c r="E309" s="32" t="n">
        <v>10.4541</v>
      </c>
      <c r="F309" s="32" t="n">
        <v>47.16287939768263</v>
      </c>
      <c r="G309" s="32" t="n">
        <v>10.4541</v>
      </c>
      <c r="H309" s="10" t="inlineStr">
        <is>
          <t>NO</t>
        </is>
      </c>
      <c r="I309" s="10" t="inlineStr">
        <is>
          <t>500×550</t>
        </is>
      </c>
      <c r="J309" s="15" t="inlineStr">
        <is>
          <t>CUMPLE</t>
        </is>
      </c>
    </row>
    <row r="310">
      <c r="A310" s="23" t="inlineStr">
        <is>
          <t>VR1</t>
        </is>
      </c>
      <c r="B310" s="10" t="inlineStr">
        <is>
          <t>952</t>
        </is>
      </c>
      <c r="C310" s="32" t="n">
        <v>3.1856</v>
      </c>
      <c r="D310" s="32" t="n">
        <v>10.4878</v>
      </c>
      <c r="E310" s="32" t="n">
        <v>10.4878</v>
      </c>
      <c r="F310" s="32" t="n">
        <v>47.16287939768263</v>
      </c>
      <c r="G310" s="32" t="n">
        <v>10.4878</v>
      </c>
      <c r="H310" s="10" t="inlineStr">
        <is>
          <t>NO</t>
        </is>
      </c>
      <c r="I310" s="10" t="inlineStr">
        <is>
          <t>500×550</t>
        </is>
      </c>
      <c r="J310" s="15" t="inlineStr">
        <is>
          <t>CUMPLE</t>
        </is>
      </c>
    </row>
    <row r="311">
      <c r="A311" s="23" t="inlineStr">
        <is>
          <t>VR1</t>
        </is>
      </c>
      <c r="B311" s="10" t="inlineStr">
        <is>
          <t>953</t>
        </is>
      </c>
      <c r="C311" s="32" t="n">
        <v>0.3936</v>
      </c>
      <c r="D311" s="32" t="n">
        <v>1.455</v>
      </c>
      <c r="E311" s="32" t="n">
        <v>1.455</v>
      </c>
      <c r="F311" s="32" t="n">
        <v>47.16287939768263</v>
      </c>
      <c r="G311" s="32" t="n">
        <v>1.455</v>
      </c>
      <c r="H311" s="10" t="inlineStr">
        <is>
          <t>NO</t>
        </is>
      </c>
      <c r="I311" s="10" t="inlineStr">
        <is>
          <t>500×550</t>
        </is>
      </c>
      <c r="J311" s="15" t="inlineStr">
        <is>
          <t>CUMPLE</t>
        </is>
      </c>
    </row>
    <row r="312">
      <c r="A312" s="23" t="inlineStr">
        <is>
          <t>VR1</t>
        </is>
      </c>
      <c r="B312" s="10" t="inlineStr">
        <is>
          <t>954</t>
        </is>
      </c>
      <c r="C312" s="32" t="n">
        <v>0.2603</v>
      </c>
      <c r="D312" s="32" t="n">
        <v>1.2334</v>
      </c>
      <c r="E312" s="32" t="n">
        <v>1.2334</v>
      </c>
      <c r="F312" s="32" t="n">
        <v>47.16287939768263</v>
      </c>
      <c r="G312" s="32" t="n">
        <v>1.2334</v>
      </c>
      <c r="H312" s="10" t="inlineStr">
        <is>
          <t>NO</t>
        </is>
      </c>
      <c r="I312" s="10" t="inlineStr">
        <is>
          <t>500×550</t>
        </is>
      </c>
      <c r="J312" s="15" t="inlineStr">
        <is>
          <t>CUMPLE</t>
        </is>
      </c>
    </row>
    <row r="313">
      <c r="A313" s="23" t="inlineStr">
        <is>
          <t>VR1</t>
        </is>
      </c>
      <c r="B313" s="10" t="inlineStr">
        <is>
          <t>955</t>
        </is>
      </c>
      <c r="C313" s="32" t="n">
        <v>0.3121</v>
      </c>
      <c r="D313" s="32" t="n">
        <v>1.5084</v>
      </c>
      <c r="E313" s="32" t="n">
        <v>1.5084</v>
      </c>
      <c r="F313" s="32" t="n">
        <v>47.16287939768263</v>
      </c>
      <c r="G313" s="32" t="n">
        <v>1.5084</v>
      </c>
      <c r="H313" s="10" t="inlineStr">
        <is>
          <t>NO</t>
        </is>
      </c>
      <c r="I313" s="10" t="inlineStr">
        <is>
          <t>500×550</t>
        </is>
      </c>
      <c r="J313" s="15" t="inlineStr">
        <is>
          <t>CUMPLE</t>
        </is>
      </c>
    </row>
    <row r="314">
      <c r="A314" s="23" t="inlineStr">
        <is>
          <t>VR1</t>
        </is>
      </c>
      <c r="B314" s="10" t="inlineStr">
        <is>
          <t>956</t>
        </is>
      </c>
      <c r="C314" s="32" t="n">
        <v>1.4443</v>
      </c>
      <c r="D314" s="32" t="n">
        <v>3.0961</v>
      </c>
      <c r="E314" s="32" t="n">
        <v>3.0961</v>
      </c>
      <c r="F314" s="32" t="n">
        <v>47.16287939768263</v>
      </c>
      <c r="G314" s="32" t="n">
        <v>3.0961</v>
      </c>
      <c r="H314" s="10" t="inlineStr">
        <is>
          <t>NO</t>
        </is>
      </c>
      <c r="I314" s="10" t="inlineStr">
        <is>
          <t>500×550</t>
        </is>
      </c>
      <c r="J314" s="15" t="inlineStr">
        <is>
          <t>CUMPLE</t>
        </is>
      </c>
    </row>
    <row r="315">
      <c r="A315" s="23" t="inlineStr">
        <is>
          <t>VR1</t>
        </is>
      </c>
      <c r="B315" s="10" t="inlineStr">
        <is>
          <t>991</t>
        </is>
      </c>
      <c r="C315" s="32" t="n">
        <v>1.4443</v>
      </c>
      <c r="D315" s="32" t="n">
        <v>3.0965</v>
      </c>
      <c r="E315" s="32" t="n">
        <v>3.0965</v>
      </c>
      <c r="F315" s="32" t="n">
        <v>47.16287939768263</v>
      </c>
      <c r="G315" s="32" t="n">
        <v>3.0965</v>
      </c>
      <c r="H315" s="10" t="inlineStr">
        <is>
          <t>NO</t>
        </is>
      </c>
      <c r="I315" s="10" t="inlineStr">
        <is>
          <t>500×550</t>
        </is>
      </c>
      <c r="J315" s="15" t="inlineStr">
        <is>
          <t>CUMPLE</t>
        </is>
      </c>
    </row>
    <row r="316">
      <c r="A316" s="23" t="inlineStr">
        <is>
          <t>VR1</t>
        </is>
      </c>
      <c r="B316" s="10" t="inlineStr">
        <is>
          <t>992</t>
        </is>
      </c>
      <c r="C316" s="32" t="n">
        <v>0.3118</v>
      </c>
      <c r="D316" s="32" t="n">
        <v>1.509</v>
      </c>
      <c r="E316" s="32" t="n">
        <v>1.509</v>
      </c>
      <c r="F316" s="32" t="n">
        <v>47.16287939768263</v>
      </c>
      <c r="G316" s="32" t="n">
        <v>1.509</v>
      </c>
      <c r="H316" s="10" t="inlineStr">
        <is>
          <t>NO</t>
        </is>
      </c>
      <c r="I316" s="10" t="inlineStr">
        <is>
          <t>500×550</t>
        </is>
      </c>
      <c r="J316" s="15" t="inlineStr">
        <is>
          <t>CUMPLE</t>
        </is>
      </c>
    </row>
    <row r="317">
      <c r="A317" s="23" t="inlineStr">
        <is>
          <t>VR1</t>
        </is>
      </c>
      <c r="B317" s="10" t="inlineStr">
        <is>
          <t>993</t>
        </is>
      </c>
      <c r="C317" s="32" t="n">
        <v>0.2629</v>
      </c>
      <c r="D317" s="32" t="n">
        <v>1.2403</v>
      </c>
      <c r="E317" s="32" t="n">
        <v>1.2403</v>
      </c>
      <c r="F317" s="32" t="n">
        <v>47.16287939768263</v>
      </c>
      <c r="G317" s="32" t="n">
        <v>1.2403</v>
      </c>
      <c r="H317" s="10" t="inlineStr">
        <is>
          <t>NO</t>
        </is>
      </c>
      <c r="I317" s="10" t="inlineStr">
        <is>
          <t>500×550</t>
        </is>
      </c>
      <c r="J317" s="15" t="inlineStr">
        <is>
          <t>CUMPLE</t>
        </is>
      </c>
    </row>
    <row r="318">
      <c r="A318" s="23" t="inlineStr">
        <is>
          <t>VR1</t>
        </is>
      </c>
      <c r="B318" s="10" t="inlineStr">
        <is>
          <t>994</t>
        </is>
      </c>
      <c r="C318" s="32" t="n">
        <v>0.3808</v>
      </c>
      <c r="D318" s="32" t="n">
        <v>1.4352</v>
      </c>
      <c r="E318" s="32" t="n">
        <v>1.4352</v>
      </c>
      <c r="F318" s="32" t="n">
        <v>47.16287939768263</v>
      </c>
      <c r="G318" s="32" t="n">
        <v>1.4352</v>
      </c>
      <c r="H318" s="10" t="inlineStr">
        <is>
          <t>NO</t>
        </is>
      </c>
      <c r="I318" s="10" t="inlineStr">
        <is>
          <t>500×550</t>
        </is>
      </c>
      <c r="J318" s="15" t="inlineStr">
        <is>
          <t>CUMPLE</t>
        </is>
      </c>
    </row>
    <row r="319">
      <c r="A319" s="23" t="inlineStr">
        <is>
          <t>VR1</t>
        </is>
      </c>
      <c r="B319" s="10" t="inlineStr">
        <is>
          <t>995</t>
        </is>
      </c>
      <c r="C319" s="32" t="n">
        <v>3.2419</v>
      </c>
      <c r="D319" s="32" t="n">
        <v>10.4547</v>
      </c>
      <c r="E319" s="32" t="n">
        <v>10.4547</v>
      </c>
      <c r="F319" s="32" t="n">
        <v>47.16287939768263</v>
      </c>
      <c r="G319" s="32" t="n">
        <v>10.4547</v>
      </c>
      <c r="H319" s="10" t="inlineStr">
        <is>
          <t>NO</t>
        </is>
      </c>
      <c r="I319" s="10" t="inlineStr">
        <is>
          <t>500×550</t>
        </is>
      </c>
      <c r="J319" s="15" t="inlineStr">
        <is>
          <t>CUMPLE</t>
        </is>
      </c>
    </row>
    <row r="320">
      <c r="A320" s="23" t="inlineStr">
        <is>
          <t>VR1</t>
        </is>
      </c>
      <c r="B320" s="10" t="inlineStr">
        <is>
          <t>996</t>
        </is>
      </c>
      <c r="C320" s="32" t="n">
        <v>3.1849</v>
      </c>
      <c r="D320" s="32" t="n">
        <v>10.4872</v>
      </c>
      <c r="E320" s="32" t="n">
        <v>10.4872</v>
      </c>
      <c r="F320" s="32" t="n">
        <v>47.16287939768263</v>
      </c>
      <c r="G320" s="32" t="n">
        <v>10.4872</v>
      </c>
      <c r="H320" s="10" t="inlineStr">
        <is>
          <t>NO</t>
        </is>
      </c>
      <c r="I320" s="10" t="inlineStr">
        <is>
          <t>500×550</t>
        </is>
      </c>
      <c r="J320" s="15" t="inlineStr">
        <is>
          <t>CUMPLE</t>
        </is>
      </c>
    </row>
    <row r="321">
      <c r="A321" s="23" t="inlineStr">
        <is>
          <t>VR1</t>
        </is>
      </c>
      <c r="B321" s="10" t="inlineStr">
        <is>
          <t>997</t>
        </is>
      </c>
      <c r="C321" s="32" t="n">
        <v>0.3943</v>
      </c>
      <c r="D321" s="32" t="n">
        <v>1.4555</v>
      </c>
      <c r="E321" s="32" t="n">
        <v>1.4555</v>
      </c>
      <c r="F321" s="32" t="n">
        <v>47.16287939768263</v>
      </c>
      <c r="G321" s="32" t="n">
        <v>1.4555</v>
      </c>
      <c r="H321" s="10" t="inlineStr">
        <is>
          <t>NO</t>
        </is>
      </c>
      <c r="I321" s="10" t="inlineStr">
        <is>
          <t>500×550</t>
        </is>
      </c>
      <c r="J321" s="15" t="inlineStr">
        <is>
          <t>CUMPLE</t>
        </is>
      </c>
    </row>
    <row r="322">
      <c r="A322" s="23" t="inlineStr">
        <is>
          <t>VR1</t>
        </is>
      </c>
      <c r="B322" s="10" t="inlineStr">
        <is>
          <t>998</t>
        </is>
      </c>
      <c r="C322" s="32" t="n">
        <v>0.2586</v>
      </c>
      <c r="D322" s="32" t="n">
        <v>1.2317</v>
      </c>
      <c r="E322" s="32" t="n">
        <v>1.2317</v>
      </c>
      <c r="F322" s="32" t="n">
        <v>47.16287939768263</v>
      </c>
      <c r="G322" s="32" t="n">
        <v>1.2317</v>
      </c>
      <c r="H322" s="10" t="inlineStr">
        <is>
          <t>NO</t>
        </is>
      </c>
      <c r="I322" s="10" t="inlineStr">
        <is>
          <t>500×550</t>
        </is>
      </c>
      <c r="J322" s="15" t="inlineStr">
        <is>
          <t>CUMPLE</t>
        </is>
      </c>
    </row>
    <row r="323">
      <c r="A323" s="23" t="inlineStr">
        <is>
          <t>VR1</t>
        </is>
      </c>
      <c r="B323" s="10" t="inlineStr">
        <is>
          <t>999</t>
        </is>
      </c>
      <c r="C323" s="32" t="n">
        <v>0.3117</v>
      </c>
      <c r="D323" s="32" t="n">
        <v>1.5079</v>
      </c>
      <c r="E323" s="32" t="n">
        <v>1.5079</v>
      </c>
      <c r="F323" s="32" t="n">
        <v>47.16287939768263</v>
      </c>
      <c r="G323" s="32" t="n">
        <v>1.5079</v>
      </c>
      <c r="H323" s="10" t="inlineStr">
        <is>
          <t>NO</t>
        </is>
      </c>
      <c r="I323" s="10" t="inlineStr">
        <is>
          <t>500×550</t>
        </is>
      </c>
      <c r="J323" s="15" t="inlineStr">
        <is>
          <t>CUMPLE</t>
        </is>
      </c>
    </row>
    <row r="324">
      <c r="A324" s="23" t="inlineStr">
        <is>
          <t>VR1</t>
        </is>
      </c>
      <c r="B324" s="10" t="inlineStr">
        <is>
          <t>1000</t>
        </is>
      </c>
      <c r="C324" s="32" t="n">
        <v>1.4444</v>
      </c>
      <c r="D324" s="32" t="n">
        <v>3.0962</v>
      </c>
      <c r="E324" s="32" t="n">
        <v>3.0962</v>
      </c>
      <c r="F324" s="32" t="n">
        <v>47.16287939768263</v>
      </c>
      <c r="G324" s="32" t="n">
        <v>3.0962</v>
      </c>
      <c r="H324" s="10" t="inlineStr">
        <is>
          <t>NO</t>
        </is>
      </c>
      <c r="I324" s="10" t="inlineStr">
        <is>
          <t>500×550</t>
        </is>
      </c>
      <c r="J324" s="15" t="inlineStr">
        <is>
          <t>CUMPLE</t>
        </is>
      </c>
    </row>
    <row r="325">
      <c r="A325" s="24" t="inlineStr">
        <is>
          <t>VR N1</t>
        </is>
      </c>
      <c r="B325" s="10" t="inlineStr">
        <is>
          <t>1</t>
        </is>
      </c>
      <c r="C325" s="32" t="n">
        <v>1.1294</v>
      </c>
      <c r="D325" s="32" t="n">
        <v>4.4013</v>
      </c>
      <c r="E325" s="32" t="n">
        <v>4.4013</v>
      </c>
      <c r="F325" s="32" t="n">
        <v>47.16287939768263</v>
      </c>
      <c r="G325" s="32" t="n">
        <v>4.4013</v>
      </c>
      <c r="H325" s="10" t="inlineStr">
        <is>
          <t>NO</t>
        </is>
      </c>
      <c r="I325" s="10" t="inlineStr">
        <is>
          <t>500×550</t>
        </is>
      </c>
      <c r="J325" s="15" t="inlineStr">
        <is>
          <t>CUMPLE</t>
        </is>
      </c>
    </row>
    <row r="326">
      <c r="A326" s="24" t="inlineStr">
        <is>
          <t>VR N1</t>
        </is>
      </c>
      <c r="B326" s="10" t="inlineStr">
        <is>
          <t>2</t>
        </is>
      </c>
      <c r="C326" s="32" t="n">
        <v>1.5672</v>
      </c>
      <c r="D326" s="32" t="n">
        <v>6.4505</v>
      </c>
      <c r="E326" s="32" t="n">
        <v>6.4505</v>
      </c>
      <c r="F326" s="32" t="n">
        <v>47.16287939768263</v>
      </c>
      <c r="G326" s="32" t="n">
        <v>6.4505</v>
      </c>
      <c r="H326" s="10" t="inlineStr">
        <is>
          <t>NO</t>
        </is>
      </c>
      <c r="I326" s="10" t="inlineStr">
        <is>
          <t>500×550</t>
        </is>
      </c>
      <c r="J326" s="15" t="inlineStr">
        <is>
          <t>CUMPLE</t>
        </is>
      </c>
    </row>
    <row r="327">
      <c r="A327" s="24" t="inlineStr">
        <is>
          <t>VR N1</t>
        </is>
      </c>
      <c r="B327" s="10" t="inlineStr">
        <is>
          <t>3</t>
        </is>
      </c>
      <c r="C327" s="32" t="n">
        <v>2.2154</v>
      </c>
      <c r="D327" s="32" t="n">
        <v>10.9365</v>
      </c>
      <c r="E327" s="32" t="n">
        <v>10.9365</v>
      </c>
      <c r="F327" s="32" t="n">
        <v>47.16287939768263</v>
      </c>
      <c r="G327" s="32" t="n">
        <v>10.9365</v>
      </c>
      <c r="H327" s="10" t="inlineStr">
        <is>
          <t>NO</t>
        </is>
      </c>
      <c r="I327" s="10" t="inlineStr">
        <is>
          <t>500×550</t>
        </is>
      </c>
      <c r="J327" s="15" t="inlineStr">
        <is>
          <t>CUMPLE</t>
        </is>
      </c>
    </row>
    <row r="328">
      <c r="A328" s="24" t="inlineStr">
        <is>
          <t>VR N1</t>
        </is>
      </c>
      <c r="B328" s="10" t="inlineStr">
        <is>
          <t>4</t>
        </is>
      </c>
      <c r="C328" s="32" t="n">
        <v>1.7024</v>
      </c>
      <c r="D328" s="32" t="n">
        <v>6.5964</v>
      </c>
      <c r="E328" s="32" t="n">
        <v>6.5964</v>
      </c>
      <c r="F328" s="32" t="n">
        <v>47.16287939768263</v>
      </c>
      <c r="G328" s="32" t="n">
        <v>6.5964</v>
      </c>
      <c r="H328" s="10" t="inlineStr">
        <is>
          <t>NO</t>
        </is>
      </c>
      <c r="I328" s="10" t="inlineStr">
        <is>
          <t>500×550</t>
        </is>
      </c>
      <c r="J328" s="15" t="inlineStr">
        <is>
          <t>CUMPLE</t>
        </is>
      </c>
    </row>
    <row r="329">
      <c r="A329" s="24" t="inlineStr">
        <is>
          <t>VR N1</t>
        </is>
      </c>
      <c r="B329" s="10" t="inlineStr">
        <is>
          <t>5</t>
        </is>
      </c>
      <c r="C329" s="32" t="n">
        <v>3.0958</v>
      </c>
      <c r="D329" s="32" t="n">
        <v>15.0721</v>
      </c>
      <c r="E329" s="32" t="n">
        <v>15.0721</v>
      </c>
      <c r="F329" s="32" t="n">
        <v>47.16287939768263</v>
      </c>
      <c r="G329" s="32" t="n">
        <v>15.0721</v>
      </c>
      <c r="H329" s="10" t="inlineStr">
        <is>
          <t>NO</t>
        </is>
      </c>
      <c r="I329" s="10" t="inlineStr">
        <is>
          <t>500×550</t>
        </is>
      </c>
      <c r="J329" s="15" t="inlineStr">
        <is>
          <t>CUMPLE</t>
        </is>
      </c>
    </row>
    <row r="330">
      <c r="A330" s="24" t="inlineStr">
        <is>
          <t>VR N1</t>
        </is>
      </c>
      <c r="B330" s="10" t="inlineStr">
        <is>
          <t>6</t>
        </is>
      </c>
      <c r="C330" s="32" t="n">
        <v>3.0902</v>
      </c>
      <c r="D330" s="32" t="n">
        <v>15.1193</v>
      </c>
      <c r="E330" s="32" t="n">
        <v>15.1193</v>
      </c>
      <c r="F330" s="32" t="n">
        <v>47.16287939768263</v>
      </c>
      <c r="G330" s="32" t="n">
        <v>15.1193</v>
      </c>
      <c r="H330" s="10" t="inlineStr">
        <is>
          <t>NO</t>
        </is>
      </c>
      <c r="I330" s="10" t="inlineStr">
        <is>
          <t>500×550</t>
        </is>
      </c>
      <c r="J330" s="15" t="inlineStr">
        <is>
          <t>CUMPLE</t>
        </is>
      </c>
    </row>
    <row r="331">
      <c r="A331" s="24" t="inlineStr">
        <is>
          <t>VR N1</t>
        </is>
      </c>
      <c r="B331" s="10" t="inlineStr">
        <is>
          <t>7</t>
        </is>
      </c>
      <c r="C331" s="32" t="n">
        <v>1.7046</v>
      </c>
      <c r="D331" s="32" t="n">
        <v>6.6045</v>
      </c>
      <c r="E331" s="32" t="n">
        <v>6.6045</v>
      </c>
      <c r="F331" s="32" t="n">
        <v>47.16287939768263</v>
      </c>
      <c r="G331" s="32" t="n">
        <v>6.6045</v>
      </c>
      <c r="H331" s="10" t="inlineStr">
        <is>
          <t>NO</t>
        </is>
      </c>
      <c r="I331" s="10" t="inlineStr">
        <is>
          <t>500×550</t>
        </is>
      </c>
      <c r="J331" s="15" t="inlineStr">
        <is>
          <t>CUMPLE</t>
        </is>
      </c>
    </row>
    <row r="332">
      <c r="A332" s="24" t="inlineStr">
        <is>
          <t>VR N1</t>
        </is>
      </c>
      <c r="B332" s="10" t="inlineStr">
        <is>
          <t>8</t>
        </is>
      </c>
      <c r="C332" s="32" t="n">
        <v>2.2158</v>
      </c>
      <c r="D332" s="32" t="n">
        <v>10.9364</v>
      </c>
      <c r="E332" s="32" t="n">
        <v>10.9364</v>
      </c>
      <c r="F332" s="32" t="n">
        <v>47.16287939768263</v>
      </c>
      <c r="G332" s="32" t="n">
        <v>10.9364</v>
      </c>
      <c r="H332" s="10" t="inlineStr">
        <is>
          <t>NO</t>
        </is>
      </c>
      <c r="I332" s="10" t="inlineStr">
        <is>
          <t>500×550</t>
        </is>
      </c>
      <c r="J332" s="15" t="inlineStr">
        <is>
          <t>CUMPLE</t>
        </is>
      </c>
    </row>
    <row r="333">
      <c r="A333" s="24" t="inlineStr">
        <is>
          <t>VR N1</t>
        </is>
      </c>
      <c r="B333" s="10" t="inlineStr">
        <is>
          <t>9</t>
        </is>
      </c>
      <c r="C333" s="32" t="n">
        <v>1.5683</v>
      </c>
      <c r="D333" s="32" t="n">
        <v>6.4509</v>
      </c>
      <c r="E333" s="32" t="n">
        <v>6.4509</v>
      </c>
      <c r="F333" s="32" t="n">
        <v>47.16287939768263</v>
      </c>
      <c r="G333" s="32" t="n">
        <v>6.4509</v>
      </c>
      <c r="H333" s="10" t="inlineStr">
        <is>
          <t>NO</t>
        </is>
      </c>
      <c r="I333" s="10" t="inlineStr">
        <is>
          <t>500×550</t>
        </is>
      </c>
      <c r="J333" s="15" t="inlineStr">
        <is>
          <t>CUMPLE</t>
        </is>
      </c>
    </row>
    <row r="334">
      <c r="A334" s="24" t="inlineStr">
        <is>
          <t>VR N1</t>
        </is>
      </c>
      <c r="B334" s="10" t="inlineStr">
        <is>
          <t>10</t>
        </is>
      </c>
      <c r="C334" s="32" t="n">
        <v>1.1291</v>
      </c>
      <c r="D334" s="32" t="n">
        <v>4.4015</v>
      </c>
      <c r="E334" s="32" t="n">
        <v>4.4015</v>
      </c>
      <c r="F334" s="32" t="n">
        <v>47.16287939768263</v>
      </c>
      <c r="G334" s="32" t="n">
        <v>4.4015</v>
      </c>
      <c r="H334" s="10" t="inlineStr">
        <is>
          <t>NO</t>
        </is>
      </c>
      <c r="I334" s="10" t="inlineStr">
        <is>
          <t>500×550</t>
        </is>
      </c>
      <c r="J334" s="15" t="inlineStr">
        <is>
          <t>CUMPLE</t>
        </is>
      </c>
    </row>
    <row r="335">
      <c r="A335" s="24" t="inlineStr">
        <is>
          <t>VR N1</t>
        </is>
      </c>
      <c r="B335" s="10" t="inlineStr">
        <is>
          <t>45</t>
        </is>
      </c>
      <c r="C335" s="32" t="n">
        <v>1.1287</v>
      </c>
      <c r="D335" s="32" t="n">
        <v>4.4005</v>
      </c>
      <c r="E335" s="32" t="n">
        <v>4.4005</v>
      </c>
      <c r="F335" s="32" t="n">
        <v>47.16287939768263</v>
      </c>
      <c r="G335" s="32" t="n">
        <v>4.4005</v>
      </c>
      <c r="H335" s="10" t="inlineStr">
        <is>
          <t>NO</t>
        </is>
      </c>
      <c r="I335" s="10" t="inlineStr">
        <is>
          <t>500×550</t>
        </is>
      </c>
      <c r="J335" s="15" t="inlineStr">
        <is>
          <t>CUMPLE</t>
        </is>
      </c>
    </row>
    <row r="336">
      <c r="A336" s="24" t="inlineStr">
        <is>
          <t>VR N1</t>
        </is>
      </c>
      <c r="B336" s="10" t="inlineStr">
        <is>
          <t>46</t>
        </is>
      </c>
      <c r="C336" s="32" t="n">
        <v>1.5691</v>
      </c>
      <c r="D336" s="32" t="n">
        <v>6.4525</v>
      </c>
      <c r="E336" s="32" t="n">
        <v>6.4525</v>
      </c>
      <c r="F336" s="32" t="n">
        <v>47.16287939768263</v>
      </c>
      <c r="G336" s="32" t="n">
        <v>6.4525</v>
      </c>
      <c r="H336" s="10" t="inlineStr">
        <is>
          <t>NO</t>
        </is>
      </c>
      <c r="I336" s="10" t="inlineStr">
        <is>
          <t>500×550</t>
        </is>
      </c>
      <c r="J336" s="15" t="inlineStr">
        <is>
          <t>CUMPLE</t>
        </is>
      </c>
    </row>
    <row r="337">
      <c r="A337" s="24" t="inlineStr">
        <is>
          <t>VR N1</t>
        </is>
      </c>
      <c r="B337" s="10" t="inlineStr">
        <is>
          <t>47</t>
        </is>
      </c>
      <c r="C337" s="32" t="n">
        <v>2.2163</v>
      </c>
      <c r="D337" s="32" t="n">
        <v>10.9375</v>
      </c>
      <c r="E337" s="32" t="n">
        <v>10.9375</v>
      </c>
      <c r="F337" s="32" t="n">
        <v>47.16287939768263</v>
      </c>
      <c r="G337" s="32" t="n">
        <v>10.9375</v>
      </c>
      <c r="H337" s="10" t="inlineStr">
        <is>
          <t>NO</t>
        </is>
      </c>
      <c r="I337" s="10" t="inlineStr">
        <is>
          <t>500×550</t>
        </is>
      </c>
      <c r="J337" s="15" t="inlineStr">
        <is>
          <t>CUMPLE</t>
        </is>
      </c>
    </row>
    <row r="338">
      <c r="A338" s="24" t="inlineStr">
        <is>
          <t>VR N1</t>
        </is>
      </c>
      <c r="B338" s="10" t="inlineStr">
        <is>
          <t>48</t>
        </is>
      </c>
      <c r="C338" s="32" t="n">
        <v>1.7021</v>
      </c>
      <c r="D338" s="32" t="n">
        <v>6.5961</v>
      </c>
      <c r="E338" s="32" t="n">
        <v>6.5961</v>
      </c>
      <c r="F338" s="32" t="n">
        <v>47.16287939768263</v>
      </c>
      <c r="G338" s="32" t="n">
        <v>6.5961</v>
      </c>
      <c r="H338" s="10" t="inlineStr">
        <is>
          <t>NO</t>
        </is>
      </c>
      <c r="I338" s="10" t="inlineStr">
        <is>
          <t>500×550</t>
        </is>
      </c>
      <c r="J338" s="15" t="inlineStr">
        <is>
          <t>CUMPLE</t>
        </is>
      </c>
    </row>
    <row r="339">
      <c r="A339" s="24" t="inlineStr">
        <is>
          <t>VR N1</t>
        </is>
      </c>
      <c r="B339" s="10" t="inlineStr">
        <is>
          <t>49</t>
        </is>
      </c>
      <c r="C339" s="32" t="n">
        <v>3.0964</v>
      </c>
      <c r="D339" s="32" t="n">
        <v>15.0727</v>
      </c>
      <c r="E339" s="32" t="n">
        <v>15.0727</v>
      </c>
      <c r="F339" s="32" t="n">
        <v>47.16287939768263</v>
      </c>
      <c r="G339" s="32" t="n">
        <v>15.0727</v>
      </c>
      <c r="H339" s="10" t="inlineStr">
        <is>
          <t>NO</t>
        </is>
      </c>
      <c r="I339" s="10" t="inlineStr">
        <is>
          <t>500×550</t>
        </is>
      </c>
      <c r="J339" s="15" t="inlineStr">
        <is>
          <t>CUMPLE</t>
        </is>
      </c>
    </row>
    <row r="340">
      <c r="A340" s="24" t="inlineStr">
        <is>
          <t>VR N1</t>
        </is>
      </c>
      <c r="B340" s="10" t="inlineStr">
        <is>
          <t>50</t>
        </is>
      </c>
      <c r="C340" s="32" t="n">
        <v>3.0895</v>
      </c>
      <c r="D340" s="32" t="n">
        <v>15.1187</v>
      </c>
      <c r="E340" s="32" t="n">
        <v>15.1187</v>
      </c>
      <c r="F340" s="32" t="n">
        <v>47.16287939768263</v>
      </c>
      <c r="G340" s="32" t="n">
        <v>15.1187</v>
      </c>
      <c r="H340" s="10" t="inlineStr">
        <is>
          <t>NO</t>
        </is>
      </c>
      <c r="I340" s="10" t="inlineStr">
        <is>
          <t>500×550</t>
        </is>
      </c>
      <c r="J340" s="15" t="inlineStr">
        <is>
          <t>CUMPLE</t>
        </is>
      </c>
    </row>
    <row r="341">
      <c r="A341" s="24" t="inlineStr">
        <is>
          <t>VR N1</t>
        </is>
      </c>
      <c r="B341" s="10" t="inlineStr">
        <is>
          <t>51</t>
        </is>
      </c>
      <c r="C341" s="32" t="n">
        <v>1.7051</v>
      </c>
      <c r="D341" s="32" t="n">
        <v>6.6051</v>
      </c>
      <c r="E341" s="32" t="n">
        <v>6.6051</v>
      </c>
      <c r="F341" s="32" t="n">
        <v>47.16287939768263</v>
      </c>
      <c r="G341" s="32" t="n">
        <v>6.6051</v>
      </c>
      <c r="H341" s="10" t="inlineStr">
        <is>
          <t>NO</t>
        </is>
      </c>
      <c r="I341" s="10" t="inlineStr">
        <is>
          <t>500×550</t>
        </is>
      </c>
      <c r="J341" s="15" t="inlineStr">
        <is>
          <t>CUMPLE</t>
        </is>
      </c>
    </row>
    <row r="342">
      <c r="A342" s="24" t="inlineStr">
        <is>
          <t>VR N1</t>
        </is>
      </c>
      <c r="B342" s="10" t="inlineStr">
        <is>
          <t>52</t>
        </is>
      </c>
      <c r="C342" s="32" t="n">
        <v>2.2162</v>
      </c>
      <c r="D342" s="32" t="n">
        <v>10.9368</v>
      </c>
      <c r="E342" s="32" t="n">
        <v>10.9368</v>
      </c>
      <c r="F342" s="32" t="n">
        <v>47.16287939768263</v>
      </c>
      <c r="G342" s="32" t="n">
        <v>10.9368</v>
      </c>
      <c r="H342" s="10" t="inlineStr">
        <is>
          <t>NO</t>
        </is>
      </c>
      <c r="I342" s="10" t="inlineStr">
        <is>
          <t>500×550</t>
        </is>
      </c>
      <c r="J342" s="15" t="inlineStr">
        <is>
          <t>CUMPLE</t>
        </is>
      </c>
    </row>
    <row r="343">
      <c r="A343" s="24" t="inlineStr">
        <is>
          <t>VR N1</t>
        </is>
      </c>
      <c r="B343" s="10" t="inlineStr">
        <is>
          <t>53</t>
        </is>
      </c>
      <c r="C343" s="32" t="n">
        <v>1.5674</v>
      </c>
      <c r="D343" s="32" t="n">
        <v>6.45</v>
      </c>
      <c r="E343" s="32" t="n">
        <v>6.45</v>
      </c>
      <c r="F343" s="32" t="n">
        <v>47.16287939768263</v>
      </c>
      <c r="G343" s="32" t="n">
        <v>6.45</v>
      </c>
      <c r="H343" s="10" t="inlineStr">
        <is>
          <t>NO</t>
        </is>
      </c>
      <c r="I343" s="10" t="inlineStr">
        <is>
          <t>500×550</t>
        </is>
      </c>
      <c r="J343" s="15" t="inlineStr">
        <is>
          <t>CUMPLE</t>
        </is>
      </c>
    </row>
    <row r="344">
      <c r="A344" s="24" t="inlineStr">
        <is>
          <t>VR N1</t>
        </is>
      </c>
      <c r="B344" s="10" t="inlineStr">
        <is>
          <t>54</t>
        </is>
      </c>
      <c r="C344" s="32" t="n">
        <v>1.1297</v>
      </c>
      <c r="D344" s="32" t="n">
        <v>4.402</v>
      </c>
      <c r="E344" s="32" t="n">
        <v>4.402</v>
      </c>
      <c r="F344" s="32" t="n">
        <v>47.16287939768263</v>
      </c>
      <c r="G344" s="32" t="n">
        <v>4.402</v>
      </c>
      <c r="H344" s="10" t="inlineStr">
        <is>
          <t>NO</t>
        </is>
      </c>
      <c r="I344" s="10" t="inlineStr">
        <is>
          <t>500×550</t>
        </is>
      </c>
      <c r="J344" s="15" t="inlineStr">
        <is>
          <t>CUMPLE</t>
        </is>
      </c>
    </row>
    <row r="345">
      <c r="A345" s="24" t="inlineStr">
        <is>
          <t>VR N1</t>
        </is>
      </c>
      <c r="B345" s="10" t="inlineStr">
        <is>
          <t>99</t>
        </is>
      </c>
      <c r="C345" s="32" t="n">
        <v>1.0478</v>
      </c>
      <c r="D345" s="32" t="n">
        <v>5.1775</v>
      </c>
      <c r="E345" s="32" t="n">
        <v>5.1775</v>
      </c>
      <c r="F345" s="32" t="n">
        <v>47.16287939768263</v>
      </c>
      <c r="G345" s="32" t="n">
        <v>5.1775</v>
      </c>
      <c r="H345" s="10" t="inlineStr">
        <is>
          <t>NO</t>
        </is>
      </c>
      <c r="I345" s="10" t="inlineStr">
        <is>
          <t>500×550</t>
        </is>
      </c>
      <c r="J345" s="15" t="inlineStr">
        <is>
          <t>CUMPLE</t>
        </is>
      </c>
    </row>
    <row r="346">
      <c r="A346" s="24" t="inlineStr">
        <is>
          <t>VR N1</t>
        </is>
      </c>
      <c r="B346" s="10" t="inlineStr">
        <is>
          <t>100</t>
        </is>
      </c>
      <c r="C346" s="32" t="n">
        <v>1.0471</v>
      </c>
      <c r="D346" s="32" t="n">
        <v>5.1768</v>
      </c>
      <c r="E346" s="32" t="n">
        <v>5.1768</v>
      </c>
      <c r="F346" s="32" t="n">
        <v>47.16287939768263</v>
      </c>
      <c r="G346" s="32" t="n">
        <v>5.1768</v>
      </c>
      <c r="H346" s="10" t="inlineStr">
        <is>
          <t>NO</t>
        </is>
      </c>
      <c r="I346" s="10" t="inlineStr">
        <is>
          <t>500×550</t>
        </is>
      </c>
      <c r="J346" s="15" t="inlineStr">
        <is>
          <t>CUMPLE</t>
        </is>
      </c>
    </row>
    <row r="347">
      <c r="A347" s="25" t="inlineStr">
        <is>
          <t>VR2</t>
        </is>
      </c>
      <c r="B347" s="10" t="inlineStr">
        <is>
          <t>11</t>
        </is>
      </c>
      <c r="C347" s="32" t="n">
        <v>2.3721</v>
      </c>
      <c r="D347" s="32" t="n">
        <v>9.202500000000001</v>
      </c>
      <c r="E347" s="32" t="n">
        <v>9.202500000000001</v>
      </c>
      <c r="F347" s="32" t="n">
        <v>47.16287939768263</v>
      </c>
      <c r="G347" s="32" t="n">
        <v>9.202500000000001</v>
      </c>
      <c r="H347" s="10" t="inlineStr">
        <is>
          <t>NO</t>
        </is>
      </c>
      <c r="I347" s="10" t="inlineStr">
        <is>
          <t>500×550</t>
        </is>
      </c>
      <c r="J347" s="15" t="inlineStr">
        <is>
          <t>CUMPLE</t>
        </is>
      </c>
    </row>
    <row r="348">
      <c r="A348" s="25" t="inlineStr">
        <is>
          <t>VR2</t>
        </is>
      </c>
      <c r="B348" s="10" t="inlineStr">
        <is>
          <t>12</t>
        </is>
      </c>
      <c r="C348" s="32" t="n">
        <v>20.3258</v>
      </c>
      <c r="D348" s="32" t="n">
        <v>59.2162</v>
      </c>
      <c r="E348" s="32" t="n">
        <v>59.2162</v>
      </c>
      <c r="F348" s="32" t="n">
        <v>47.16287939768263</v>
      </c>
      <c r="G348" s="32" t="n">
        <v>59.2162</v>
      </c>
      <c r="H348" s="22" t="inlineStr">
        <is>
          <t>SÍ</t>
        </is>
      </c>
      <c r="I348" s="10" t="inlineStr">
        <is>
          <t>500×550</t>
        </is>
      </c>
      <c r="J348" s="15" t="inlineStr">
        <is>
          <t>CUMPLE</t>
        </is>
      </c>
    </row>
    <row r="349">
      <c r="A349" s="25" t="inlineStr">
        <is>
          <t>VR2</t>
        </is>
      </c>
      <c r="B349" s="10" t="inlineStr">
        <is>
          <t>13</t>
        </is>
      </c>
      <c r="C349" s="32" t="n">
        <v>14.8886</v>
      </c>
      <c r="D349" s="32" t="n">
        <v>52.2913</v>
      </c>
      <c r="E349" s="32" t="n">
        <v>52.2913</v>
      </c>
      <c r="F349" s="32" t="n">
        <v>47.16287939768263</v>
      </c>
      <c r="G349" s="32" t="n">
        <v>52.2913</v>
      </c>
      <c r="H349" s="22" t="inlineStr">
        <is>
          <t>SÍ</t>
        </is>
      </c>
      <c r="I349" s="10" t="inlineStr">
        <is>
          <t>500×550</t>
        </is>
      </c>
      <c r="J349" s="15" t="inlineStr">
        <is>
          <t>CUMPLE</t>
        </is>
      </c>
    </row>
    <row r="350">
      <c r="A350" s="25" t="inlineStr">
        <is>
          <t>VR2</t>
        </is>
      </c>
      <c r="B350" s="10" t="inlineStr">
        <is>
          <t>14</t>
        </is>
      </c>
      <c r="C350" s="32" t="n">
        <v>6.0333</v>
      </c>
      <c r="D350" s="32" t="n">
        <v>23.4116</v>
      </c>
      <c r="E350" s="32" t="n">
        <v>23.4116</v>
      </c>
      <c r="F350" s="32" t="n">
        <v>47.16287939768263</v>
      </c>
      <c r="G350" s="32" t="n">
        <v>23.4116</v>
      </c>
      <c r="H350" s="10" t="inlineStr">
        <is>
          <t>NO</t>
        </is>
      </c>
      <c r="I350" s="10" t="inlineStr">
        <is>
          <t>500×550</t>
        </is>
      </c>
      <c r="J350" s="15" t="inlineStr">
        <is>
          <t>CUMPLE</t>
        </is>
      </c>
    </row>
    <row r="351">
      <c r="A351" s="25" t="inlineStr">
        <is>
          <t>VR2</t>
        </is>
      </c>
      <c r="B351" s="10" t="inlineStr">
        <is>
          <t>15</t>
        </is>
      </c>
      <c r="C351" s="32" t="n">
        <v>1.4857</v>
      </c>
      <c r="D351" s="32" t="n">
        <v>5.4482</v>
      </c>
      <c r="E351" s="32" t="n">
        <v>5.4482</v>
      </c>
      <c r="F351" s="32" t="n">
        <v>47.16287939768263</v>
      </c>
      <c r="G351" s="32" t="n">
        <v>5.4482</v>
      </c>
      <c r="H351" s="10" t="inlineStr">
        <is>
          <t>NO</t>
        </is>
      </c>
      <c r="I351" s="10" t="inlineStr">
        <is>
          <t>500×550</t>
        </is>
      </c>
      <c r="J351" s="15" t="inlineStr">
        <is>
          <t>CUMPLE</t>
        </is>
      </c>
    </row>
    <row r="352">
      <c r="A352" s="25" t="inlineStr">
        <is>
          <t>VR2</t>
        </is>
      </c>
      <c r="B352" s="10" t="inlineStr">
        <is>
          <t>16</t>
        </is>
      </c>
      <c r="C352" s="32" t="n">
        <v>20.0583</v>
      </c>
      <c r="D352" s="32" t="n">
        <v>93.7163</v>
      </c>
      <c r="E352" s="32" t="n">
        <v>93.7163</v>
      </c>
      <c r="F352" s="32" t="n">
        <v>47.16287939768263</v>
      </c>
      <c r="G352" s="32" t="n">
        <v>93.7163</v>
      </c>
      <c r="H352" s="22" t="inlineStr">
        <is>
          <t>SÍ</t>
        </is>
      </c>
      <c r="I352" s="10" t="inlineStr">
        <is>
          <t>500×550</t>
        </is>
      </c>
      <c r="J352" s="19" t="inlineStr">
        <is>
          <t>NO CUMPLE</t>
        </is>
      </c>
    </row>
    <row r="353">
      <c r="A353" s="25" t="inlineStr">
        <is>
          <t>VR2</t>
        </is>
      </c>
      <c r="B353" s="10" t="inlineStr">
        <is>
          <t>17</t>
        </is>
      </c>
      <c r="C353" s="32" t="n">
        <v>19.4214</v>
      </c>
      <c r="D353" s="32" t="n">
        <v>90.6918</v>
      </c>
      <c r="E353" s="32" t="n">
        <v>90.6918</v>
      </c>
      <c r="F353" s="32" t="n">
        <v>47.16287939768263</v>
      </c>
      <c r="G353" s="32" t="n">
        <v>90.6918</v>
      </c>
      <c r="H353" s="22" t="inlineStr">
        <is>
          <t>SÍ</t>
        </is>
      </c>
      <c r="I353" s="10" t="inlineStr">
        <is>
          <t>500×550</t>
        </is>
      </c>
      <c r="J353" s="19" t="inlineStr">
        <is>
          <t>NO CUMPLE</t>
        </is>
      </c>
    </row>
    <row r="354">
      <c r="A354" s="25" t="inlineStr">
        <is>
          <t>VR2</t>
        </is>
      </c>
      <c r="B354" s="10" t="inlineStr">
        <is>
          <t>18</t>
        </is>
      </c>
      <c r="C354" s="32" t="n">
        <v>1.4778</v>
      </c>
      <c r="D354" s="32" t="n">
        <v>5.2775</v>
      </c>
      <c r="E354" s="32" t="n">
        <v>5.2775</v>
      </c>
      <c r="F354" s="32" t="n">
        <v>47.16287939768263</v>
      </c>
      <c r="G354" s="32" t="n">
        <v>5.2775</v>
      </c>
      <c r="H354" s="10" t="inlineStr">
        <is>
          <t>NO</t>
        </is>
      </c>
      <c r="I354" s="10" t="inlineStr">
        <is>
          <t>500×550</t>
        </is>
      </c>
      <c r="J354" s="15" t="inlineStr">
        <is>
          <t>CUMPLE</t>
        </is>
      </c>
    </row>
    <row r="355">
      <c r="A355" s="25" t="inlineStr">
        <is>
          <t>VR2</t>
        </is>
      </c>
      <c r="B355" s="10" t="inlineStr">
        <is>
          <t>19</t>
        </is>
      </c>
      <c r="C355" s="32" t="n">
        <v>6.0307</v>
      </c>
      <c r="D355" s="32" t="n">
        <v>23.4169</v>
      </c>
      <c r="E355" s="32" t="n">
        <v>23.4169</v>
      </c>
      <c r="F355" s="32" t="n">
        <v>47.16287939768263</v>
      </c>
      <c r="G355" s="32" t="n">
        <v>23.4169</v>
      </c>
      <c r="H355" s="10" t="inlineStr">
        <is>
          <t>NO</t>
        </is>
      </c>
      <c r="I355" s="10" t="inlineStr">
        <is>
          <t>500×550</t>
        </is>
      </c>
      <c r="J355" s="15" t="inlineStr">
        <is>
          <t>CUMPLE</t>
        </is>
      </c>
    </row>
    <row r="356">
      <c r="A356" s="25" t="inlineStr">
        <is>
          <t>VR2</t>
        </is>
      </c>
      <c r="B356" s="10" t="inlineStr">
        <is>
          <t>20</t>
        </is>
      </c>
      <c r="C356" s="32" t="n">
        <v>14.9263</v>
      </c>
      <c r="D356" s="32" t="n">
        <v>52.3323</v>
      </c>
      <c r="E356" s="32" t="n">
        <v>52.3323</v>
      </c>
      <c r="F356" s="32" t="n">
        <v>47.16287939768263</v>
      </c>
      <c r="G356" s="32" t="n">
        <v>52.3323</v>
      </c>
      <c r="H356" s="22" t="inlineStr">
        <is>
          <t>SÍ</t>
        </is>
      </c>
      <c r="I356" s="10" t="inlineStr">
        <is>
          <t>500×550</t>
        </is>
      </c>
      <c r="J356" s="15" t="inlineStr">
        <is>
          <t>CUMPLE</t>
        </is>
      </c>
    </row>
    <row r="357">
      <c r="A357" s="25" t="inlineStr">
        <is>
          <t>VR2</t>
        </is>
      </c>
      <c r="B357" s="10" t="inlineStr">
        <is>
          <t>21</t>
        </is>
      </c>
      <c r="C357" s="32" t="n">
        <v>20.324</v>
      </c>
      <c r="D357" s="32" t="n">
        <v>59.208</v>
      </c>
      <c r="E357" s="32" t="n">
        <v>59.208</v>
      </c>
      <c r="F357" s="32" t="n">
        <v>47.16287939768263</v>
      </c>
      <c r="G357" s="32" t="n">
        <v>59.208</v>
      </c>
      <c r="H357" s="22" t="inlineStr">
        <is>
          <t>SÍ</t>
        </is>
      </c>
      <c r="I357" s="10" t="inlineStr">
        <is>
          <t>500×550</t>
        </is>
      </c>
      <c r="J357" s="15" t="inlineStr">
        <is>
          <t>CUMPLE</t>
        </is>
      </c>
    </row>
    <row r="358">
      <c r="A358" s="25" t="inlineStr">
        <is>
          <t>VR2</t>
        </is>
      </c>
      <c r="B358" s="10" t="inlineStr">
        <is>
          <t>22</t>
        </is>
      </c>
      <c r="C358" s="32" t="n">
        <v>2.3717</v>
      </c>
      <c r="D358" s="32" t="n">
        <v>9.202</v>
      </c>
      <c r="E358" s="32" t="n">
        <v>9.202</v>
      </c>
      <c r="F358" s="32" t="n">
        <v>47.16287939768263</v>
      </c>
      <c r="G358" s="32" t="n">
        <v>9.202</v>
      </c>
      <c r="H358" s="10" t="inlineStr">
        <is>
          <t>NO</t>
        </is>
      </c>
      <c r="I358" s="10" t="inlineStr">
        <is>
          <t>500×550</t>
        </is>
      </c>
      <c r="J358" s="15" t="inlineStr">
        <is>
          <t>CUMPLE</t>
        </is>
      </c>
    </row>
    <row r="359">
      <c r="A359" s="25" t="inlineStr">
        <is>
          <t>VR2</t>
        </is>
      </c>
      <c r="B359" s="10" t="inlineStr">
        <is>
          <t>33</t>
        </is>
      </c>
      <c r="C359" s="32" t="n">
        <v>2.373</v>
      </c>
      <c r="D359" s="32" t="n">
        <v>9.2035</v>
      </c>
      <c r="E359" s="32" t="n">
        <v>9.2035</v>
      </c>
      <c r="F359" s="32" t="n">
        <v>47.16287939768263</v>
      </c>
      <c r="G359" s="32" t="n">
        <v>9.2035</v>
      </c>
      <c r="H359" s="10" t="inlineStr">
        <is>
          <t>NO</t>
        </is>
      </c>
      <c r="I359" s="10" t="inlineStr">
        <is>
          <t>500×550</t>
        </is>
      </c>
      <c r="J359" s="15" t="inlineStr">
        <is>
          <t>CUMPLE</t>
        </is>
      </c>
    </row>
    <row r="360">
      <c r="A360" s="25" t="inlineStr">
        <is>
          <t>VR2</t>
        </is>
      </c>
      <c r="B360" s="10" t="inlineStr">
        <is>
          <t>34</t>
        </is>
      </c>
      <c r="C360" s="32" t="n">
        <v>20.325</v>
      </c>
      <c r="D360" s="32" t="n">
        <v>59.2081</v>
      </c>
      <c r="E360" s="32" t="n">
        <v>59.2081</v>
      </c>
      <c r="F360" s="32" t="n">
        <v>47.16287939768263</v>
      </c>
      <c r="G360" s="32" t="n">
        <v>59.2081</v>
      </c>
      <c r="H360" s="22" t="inlineStr">
        <is>
          <t>SÍ</t>
        </is>
      </c>
      <c r="I360" s="10" t="inlineStr">
        <is>
          <t>500×550</t>
        </is>
      </c>
      <c r="J360" s="15" t="inlineStr">
        <is>
          <t>CUMPLE</t>
        </is>
      </c>
    </row>
    <row r="361">
      <c r="A361" s="25" t="inlineStr">
        <is>
          <t>VR2</t>
        </is>
      </c>
      <c r="B361" s="10" t="inlineStr">
        <is>
          <t>35</t>
        </is>
      </c>
      <c r="C361" s="32" t="n">
        <v>14.9277</v>
      </c>
      <c r="D361" s="32" t="n">
        <v>52.3326</v>
      </c>
      <c r="E361" s="32" t="n">
        <v>52.3326</v>
      </c>
      <c r="F361" s="32" t="n">
        <v>47.16287939768263</v>
      </c>
      <c r="G361" s="32" t="n">
        <v>52.3326</v>
      </c>
      <c r="H361" s="22" t="inlineStr">
        <is>
          <t>SÍ</t>
        </is>
      </c>
      <c r="I361" s="10" t="inlineStr">
        <is>
          <t>500×550</t>
        </is>
      </c>
      <c r="J361" s="15" t="inlineStr">
        <is>
          <t>CUMPLE</t>
        </is>
      </c>
    </row>
    <row r="362">
      <c r="A362" s="25" t="inlineStr">
        <is>
          <t>VR2</t>
        </is>
      </c>
      <c r="B362" s="10" t="inlineStr">
        <is>
          <t>36</t>
        </is>
      </c>
      <c r="C362" s="32" t="n">
        <v>6.0311</v>
      </c>
      <c r="D362" s="32" t="n">
        <v>23.4095</v>
      </c>
      <c r="E362" s="32" t="n">
        <v>23.4095</v>
      </c>
      <c r="F362" s="32" t="n">
        <v>47.16287939768263</v>
      </c>
      <c r="G362" s="32" t="n">
        <v>23.4095</v>
      </c>
      <c r="H362" s="10" t="inlineStr">
        <is>
          <t>NO</t>
        </is>
      </c>
      <c r="I362" s="10" t="inlineStr">
        <is>
          <t>500×550</t>
        </is>
      </c>
      <c r="J362" s="15" t="inlineStr">
        <is>
          <t>CUMPLE</t>
        </is>
      </c>
    </row>
    <row r="363">
      <c r="A363" s="25" t="inlineStr">
        <is>
          <t>VR2</t>
        </is>
      </c>
      <c r="B363" s="10" t="inlineStr">
        <is>
          <t>37</t>
        </is>
      </c>
      <c r="C363" s="32" t="n">
        <v>1.4848</v>
      </c>
      <c r="D363" s="32" t="n">
        <v>5.4474</v>
      </c>
      <c r="E363" s="32" t="n">
        <v>5.4474</v>
      </c>
      <c r="F363" s="32" t="n">
        <v>47.16287939768263</v>
      </c>
      <c r="G363" s="32" t="n">
        <v>5.4474</v>
      </c>
      <c r="H363" s="10" t="inlineStr">
        <is>
          <t>NO</t>
        </is>
      </c>
      <c r="I363" s="10" t="inlineStr">
        <is>
          <t>500×550</t>
        </is>
      </c>
      <c r="J363" s="15" t="inlineStr">
        <is>
          <t>CUMPLE</t>
        </is>
      </c>
    </row>
    <row r="364">
      <c r="A364" s="25" t="inlineStr">
        <is>
          <t>VR2</t>
        </is>
      </c>
      <c r="B364" s="10" t="inlineStr">
        <is>
          <t>38</t>
        </is>
      </c>
      <c r="C364" s="32" t="n">
        <v>20.059</v>
      </c>
      <c r="D364" s="32" t="n">
        <v>93.7169</v>
      </c>
      <c r="E364" s="32" t="n">
        <v>93.7169</v>
      </c>
      <c r="F364" s="32" t="n">
        <v>47.16287939768263</v>
      </c>
      <c r="G364" s="32" t="n">
        <v>93.7169</v>
      </c>
      <c r="H364" s="22" t="inlineStr">
        <is>
          <t>SÍ</t>
        </is>
      </c>
      <c r="I364" s="10" t="inlineStr">
        <is>
          <t>500×550</t>
        </is>
      </c>
      <c r="J364" s="19" t="inlineStr">
        <is>
          <t>NO CUMPLE</t>
        </is>
      </c>
    </row>
    <row r="365">
      <c r="A365" s="25" t="inlineStr">
        <is>
          <t>VR2</t>
        </is>
      </c>
      <c r="B365" s="10" t="inlineStr">
        <is>
          <t>39</t>
        </is>
      </c>
      <c r="C365" s="32" t="n">
        <v>19.4209</v>
      </c>
      <c r="D365" s="32" t="n">
        <v>90.6913</v>
      </c>
      <c r="E365" s="32" t="n">
        <v>90.6913</v>
      </c>
      <c r="F365" s="32" t="n">
        <v>47.16287939768263</v>
      </c>
      <c r="G365" s="32" t="n">
        <v>90.6913</v>
      </c>
      <c r="H365" s="22" t="inlineStr">
        <is>
          <t>SÍ</t>
        </is>
      </c>
      <c r="I365" s="10" t="inlineStr">
        <is>
          <t>500×550</t>
        </is>
      </c>
      <c r="J365" s="19" t="inlineStr">
        <is>
          <t>NO CUMPLE</t>
        </is>
      </c>
    </row>
    <row r="366">
      <c r="A366" s="25" t="inlineStr">
        <is>
          <t>VR2</t>
        </is>
      </c>
      <c r="B366" s="10" t="inlineStr">
        <is>
          <t>40</t>
        </is>
      </c>
      <c r="C366" s="32" t="n">
        <v>1.4785</v>
      </c>
      <c r="D366" s="32" t="n">
        <v>5.278</v>
      </c>
      <c r="E366" s="32" t="n">
        <v>5.278</v>
      </c>
      <c r="F366" s="32" t="n">
        <v>47.16287939768263</v>
      </c>
      <c r="G366" s="32" t="n">
        <v>5.278</v>
      </c>
      <c r="H366" s="10" t="inlineStr">
        <is>
          <t>NO</t>
        </is>
      </c>
      <c r="I366" s="10" t="inlineStr">
        <is>
          <t>500×550</t>
        </is>
      </c>
      <c r="J366" s="15" t="inlineStr">
        <is>
          <t>CUMPLE</t>
        </is>
      </c>
    </row>
    <row r="367">
      <c r="A367" s="25" t="inlineStr">
        <is>
          <t>VR2</t>
        </is>
      </c>
      <c r="B367" s="10" t="inlineStr">
        <is>
          <t>41</t>
        </is>
      </c>
      <c r="C367" s="32" t="n">
        <v>6.0321</v>
      </c>
      <c r="D367" s="32" t="n">
        <v>23.4182</v>
      </c>
      <c r="E367" s="32" t="n">
        <v>23.4182</v>
      </c>
      <c r="F367" s="32" t="n">
        <v>47.16287939768263</v>
      </c>
      <c r="G367" s="32" t="n">
        <v>23.4182</v>
      </c>
      <c r="H367" s="10" t="inlineStr">
        <is>
          <t>NO</t>
        </is>
      </c>
      <c r="I367" s="10" t="inlineStr">
        <is>
          <t>500×550</t>
        </is>
      </c>
      <c r="J367" s="15" t="inlineStr">
        <is>
          <t>CUMPLE</t>
        </is>
      </c>
    </row>
    <row r="368">
      <c r="A368" s="25" t="inlineStr">
        <is>
          <t>VR2</t>
        </is>
      </c>
      <c r="B368" s="10" t="inlineStr">
        <is>
          <t>42</t>
        </is>
      </c>
      <c r="C368" s="32" t="n">
        <v>14.8847</v>
      </c>
      <c r="D368" s="32" t="n">
        <v>52.2869</v>
      </c>
      <c r="E368" s="32" t="n">
        <v>52.2869</v>
      </c>
      <c r="F368" s="32" t="n">
        <v>47.16287939768263</v>
      </c>
      <c r="G368" s="32" t="n">
        <v>52.2869</v>
      </c>
      <c r="H368" s="22" t="inlineStr">
        <is>
          <t>SÍ</t>
        </is>
      </c>
      <c r="I368" s="10" t="inlineStr">
        <is>
          <t>500×550</t>
        </is>
      </c>
      <c r="J368" s="15" t="inlineStr">
        <is>
          <t>CUMPLE</t>
        </is>
      </c>
    </row>
    <row r="369">
      <c r="A369" s="25" t="inlineStr">
        <is>
          <t>VR2</t>
        </is>
      </c>
      <c r="B369" s="10" t="inlineStr">
        <is>
          <t>43</t>
        </is>
      </c>
      <c r="C369" s="32" t="n">
        <v>20.2888</v>
      </c>
      <c r="D369" s="32" t="n">
        <v>59.1775</v>
      </c>
      <c r="E369" s="32" t="n">
        <v>59.1775</v>
      </c>
      <c r="F369" s="32" t="n">
        <v>47.16287939768263</v>
      </c>
      <c r="G369" s="32" t="n">
        <v>59.1775</v>
      </c>
      <c r="H369" s="22" t="inlineStr">
        <is>
          <t>SÍ</t>
        </is>
      </c>
      <c r="I369" s="10" t="inlineStr">
        <is>
          <t>500×550</t>
        </is>
      </c>
      <c r="J369" s="15" t="inlineStr">
        <is>
          <t>CUMPLE</t>
        </is>
      </c>
    </row>
    <row r="370">
      <c r="A370" s="25" t="inlineStr">
        <is>
          <t>VR2</t>
        </is>
      </c>
      <c r="B370" s="10" t="inlineStr">
        <is>
          <t>44</t>
        </is>
      </c>
      <c r="C370" s="32" t="n">
        <v>2.3702</v>
      </c>
      <c r="D370" s="32" t="n">
        <v>9.200699999999999</v>
      </c>
      <c r="E370" s="32" t="n">
        <v>9.200699999999999</v>
      </c>
      <c r="F370" s="32" t="n">
        <v>47.16287939768263</v>
      </c>
      <c r="G370" s="32" t="n">
        <v>9.200699999999999</v>
      </c>
      <c r="H370" s="10" t="inlineStr">
        <is>
          <t>NO</t>
        </is>
      </c>
      <c r="I370" s="10" t="inlineStr">
        <is>
          <t>500×550</t>
        </is>
      </c>
      <c r="J370" s="15" t="inlineStr">
        <is>
          <t>CUMPLE</t>
        </is>
      </c>
    </row>
    <row r="371">
      <c r="A371" s="25" t="inlineStr">
        <is>
          <t>VR2</t>
        </is>
      </c>
      <c r="B371" s="10" t="inlineStr">
        <is>
          <t>145</t>
        </is>
      </c>
      <c r="C371" s="32" t="n">
        <v>33.5811</v>
      </c>
      <c r="D371" s="32" t="n">
        <v>140.6612</v>
      </c>
      <c r="E371" s="32" t="n">
        <v>140.6612</v>
      </c>
      <c r="F371" s="32" t="n">
        <v>47.16287939768263</v>
      </c>
      <c r="G371" s="32" t="n">
        <v>140.6612</v>
      </c>
      <c r="H371" s="22" t="inlineStr">
        <is>
          <t>SÍ</t>
        </is>
      </c>
      <c r="I371" s="10" t="inlineStr">
        <is>
          <t>500×550</t>
        </is>
      </c>
      <c r="J371" s="19" t="inlineStr">
        <is>
          <t>NO CUMPLE</t>
        </is>
      </c>
    </row>
    <row r="372">
      <c r="A372" s="25" t="inlineStr">
        <is>
          <t>VR2</t>
        </is>
      </c>
      <c r="B372" s="10" t="inlineStr">
        <is>
          <t>147</t>
        </is>
      </c>
      <c r="C372" s="32" t="n">
        <v>33.5771</v>
      </c>
      <c r="D372" s="32" t="n">
        <v>140.6572</v>
      </c>
      <c r="E372" s="32" t="n">
        <v>140.6572</v>
      </c>
      <c r="F372" s="32" t="n">
        <v>47.16287939768263</v>
      </c>
      <c r="G372" s="32" t="n">
        <v>140.6572</v>
      </c>
      <c r="H372" s="22" t="inlineStr">
        <is>
          <t>SÍ</t>
        </is>
      </c>
      <c r="I372" s="10" t="inlineStr">
        <is>
          <t>500×550</t>
        </is>
      </c>
      <c r="J372" s="19" t="inlineStr">
        <is>
          <t>NO CUMPLE</t>
        </is>
      </c>
    </row>
    <row r="373">
      <c r="A373" s="25" t="inlineStr">
        <is>
          <t>VR2</t>
        </is>
      </c>
      <c r="B373" s="10" t="inlineStr">
        <is>
          <t>150</t>
        </is>
      </c>
      <c r="C373" s="32" t="n">
        <v>33.5784</v>
      </c>
      <c r="D373" s="32" t="n">
        <v>140.6608</v>
      </c>
      <c r="E373" s="32" t="n">
        <v>140.6608</v>
      </c>
      <c r="F373" s="32" t="n">
        <v>47.16287939768263</v>
      </c>
      <c r="G373" s="32" t="n">
        <v>140.6608</v>
      </c>
      <c r="H373" s="22" t="inlineStr">
        <is>
          <t>SÍ</t>
        </is>
      </c>
      <c r="I373" s="10" t="inlineStr">
        <is>
          <t>500×550</t>
        </is>
      </c>
      <c r="J373" s="19" t="inlineStr">
        <is>
          <t>NO CUMPLE</t>
        </is>
      </c>
    </row>
    <row r="374">
      <c r="A374" s="25" t="inlineStr">
        <is>
          <t>VR2</t>
        </is>
      </c>
      <c r="B374" s="10" t="inlineStr">
        <is>
          <t>152</t>
        </is>
      </c>
      <c r="C374" s="32" t="n">
        <v>33.5824</v>
      </c>
      <c r="D374" s="32" t="n">
        <v>140.6649</v>
      </c>
      <c r="E374" s="32" t="n">
        <v>140.6649</v>
      </c>
      <c r="F374" s="32" t="n">
        <v>47.16287939768263</v>
      </c>
      <c r="G374" s="32" t="n">
        <v>140.6649</v>
      </c>
      <c r="H374" s="22" t="inlineStr">
        <is>
          <t>SÍ</t>
        </is>
      </c>
      <c r="I374" s="10" t="inlineStr">
        <is>
          <t>500×550</t>
        </is>
      </c>
      <c r="J374" s="19" t="inlineStr">
        <is>
          <t>NO CUMPLE</t>
        </is>
      </c>
    </row>
    <row r="375">
      <c r="A375" s="25" t="inlineStr">
        <is>
          <t>VR2</t>
        </is>
      </c>
      <c r="B375" s="10" t="inlineStr">
        <is>
          <t>155</t>
        </is>
      </c>
      <c r="C375" s="32" t="n">
        <v>33.3573</v>
      </c>
      <c r="D375" s="32" t="n">
        <v>137.5699</v>
      </c>
      <c r="E375" s="32" t="n">
        <v>137.5699</v>
      </c>
      <c r="F375" s="32" t="n">
        <v>47.16287939768263</v>
      </c>
      <c r="G375" s="32" t="n">
        <v>137.5699</v>
      </c>
      <c r="H375" s="22" t="inlineStr">
        <is>
          <t>SÍ</t>
        </is>
      </c>
      <c r="I375" s="10" t="inlineStr">
        <is>
          <t>500×550</t>
        </is>
      </c>
      <c r="J375" s="19" t="inlineStr">
        <is>
          <t>NO CUMPLE</t>
        </is>
      </c>
    </row>
    <row r="376">
      <c r="A376" s="25" t="inlineStr">
        <is>
          <t>VR2</t>
        </is>
      </c>
      <c r="B376" s="10" t="inlineStr">
        <is>
          <t>157</t>
        </is>
      </c>
      <c r="C376" s="32" t="n">
        <v>33.3621</v>
      </c>
      <c r="D376" s="32" t="n">
        <v>137.5746</v>
      </c>
      <c r="E376" s="32" t="n">
        <v>137.5746</v>
      </c>
      <c r="F376" s="32" t="n">
        <v>47.16287939768263</v>
      </c>
      <c r="G376" s="32" t="n">
        <v>137.5746</v>
      </c>
      <c r="H376" s="22" t="inlineStr">
        <is>
          <t>SÍ</t>
        </is>
      </c>
      <c r="I376" s="10" t="inlineStr">
        <is>
          <t>500×550</t>
        </is>
      </c>
      <c r="J376" s="19" t="inlineStr">
        <is>
          <t>NO CUMPLE</t>
        </is>
      </c>
    </row>
    <row r="377">
      <c r="A377" s="25" t="inlineStr">
        <is>
          <t>VR2</t>
        </is>
      </c>
      <c r="B377" s="10" t="inlineStr">
        <is>
          <t>160</t>
        </is>
      </c>
      <c r="C377" s="32" t="n">
        <v>28.0748</v>
      </c>
      <c r="D377" s="32" t="n">
        <v>109.5309</v>
      </c>
      <c r="E377" s="32" t="n">
        <v>109.5309</v>
      </c>
      <c r="F377" s="32" t="n">
        <v>47.16287939768263</v>
      </c>
      <c r="G377" s="32" t="n">
        <v>109.5309</v>
      </c>
      <c r="H377" s="22" t="inlineStr">
        <is>
          <t>SÍ</t>
        </is>
      </c>
      <c r="I377" s="10" t="inlineStr">
        <is>
          <t>500×550</t>
        </is>
      </c>
      <c r="J377" s="19" t="inlineStr">
        <is>
          <t>NO CUMPLE</t>
        </is>
      </c>
    </row>
    <row r="378">
      <c r="A378" s="25" t="inlineStr">
        <is>
          <t>VR2</t>
        </is>
      </c>
      <c r="B378" s="10" t="inlineStr">
        <is>
          <t>162</t>
        </is>
      </c>
      <c r="C378" s="32" t="n">
        <v>28.0818</v>
      </c>
      <c r="D378" s="32" t="n">
        <v>109.5378</v>
      </c>
      <c r="E378" s="32" t="n">
        <v>109.5378</v>
      </c>
      <c r="F378" s="32" t="n">
        <v>47.16287939768263</v>
      </c>
      <c r="G378" s="32" t="n">
        <v>109.5378</v>
      </c>
      <c r="H378" s="22" t="inlineStr">
        <is>
          <t>SÍ</t>
        </is>
      </c>
      <c r="I378" s="10" t="inlineStr">
        <is>
          <t>500×550</t>
        </is>
      </c>
      <c r="J378" s="19" t="inlineStr">
        <is>
          <t>NO CUMPLE</t>
        </is>
      </c>
    </row>
    <row r="379">
      <c r="A379" s="25" t="inlineStr">
        <is>
          <t>VR2</t>
        </is>
      </c>
      <c r="B379" s="10" t="inlineStr">
        <is>
          <t>165</t>
        </is>
      </c>
      <c r="C379" s="32" t="n">
        <v>21.9748</v>
      </c>
      <c r="D379" s="32" t="n">
        <v>75.0496</v>
      </c>
      <c r="E379" s="32" t="n">
        <v>75.0496</v>
      </c>
      <c r="F379" s="32" t="n">
        <v>47.16287939768263</v>
      </c>
      <c r="G379" s="32" t="n">
        <v>75.0496</v>
      </c>
      <c r="H379" s="22" t="inlineStr">
        <is>
          <t>SÍ</t>
        </is>
      </c>
      <c r="I379" s="10" t="inlineStr">
        <is>
          <t>500×550</t>
        </is>
      </c>
      <c r="J379" s="15" t="inlineStr">
        <is>
          <t>CUMPLE</t>
        </is>
      </c>
    </row>
    <row r="380">
      <c r="A380" s="25" t="inlineStr">
        <is>
          <t>VR2</t>
        </is>
      </c>
      <c r="B380" s="10" t="inlineStr">
        <is>
          <t>167</t>
        </is>
      </c>
      <c r="C380" s="32" t="n">
        <v>21.9839</v>
      </c>
      <c r="D380" s="32" t="n">
        <v>75.0587</v>
      </c>
      <c r="E380" s="32" t="n">
        <v>75.0587</v>
      </c>
      <c r="F380" s="32" t="n">
        <v>47.16287939768263</v>
      </c>
      <c r="G380" s="32" t="n">
        <v>75.0587</v>
      </c>
      <c r="H380" s="22" t="inlineStr">
        <is>
          <t>SÍ</t>
        </is>
      </c>
      <c r="I380" s="10" t="inlineStr">
        <is>
          <t>500×550</t>
        </is>
      </c>
      <c r="J380" s="15" t="inlineStr">
        <is>
          <t>CUMPLE</t>
        </is>
      </c>
    </row>
    <row r="381">
      <c r="A381" s="25" t="inlineStr">
        <is>
          <t>VR2</t>
        </is>
      </c>
      <c r="B381" s="10" t="inlineStr">
        <is>
          <t>170</t>
        </is>
      </c>
      <c r="C381" s="32" t="n">
        <v>12.9813</v>
      </c>
      <c r="D381" s="32" t="n">
        <v>35.5334</v>
      </c>
      <c r="E381" s="32" t="n">
        <v>35.5334</v>
      </c>
      <c r="F381" s="32" t="n">
        <v>47.16287939768263</v>
      </c>
      <c r="G381" s="32" t="n">
        <v>35.5334</v>
      </c>
      <c r="H381" s="10" t="inlineStr">
        <is>
          <t>NO</t>
        </is>
      </c>
      <c r="I381" s="10" t="inlineStr">
        <is>
          <t>500×550</t>
        </is>
      </c>
      <c r="J381" s="15" t="inlineStr">
        <is>
          <t>CUMPLE</t>
        </is>
      </c>
    </row>
    <row r="382">
      <c r="A382" s="25" t="inlineStr">
        <is>
          <t>VR2</t>
        </is>
      </c>
      <c r="B382" s="10" t="inlineStr">
        <is>
          <t>172</t>
        </is>
      </c>
      <c r="C382" s="32" t="n">
        <v>12.9868</v>
      </c>
      <c r="D382" s="32" t="n">
        <v>35.5388</v>
      </c>
      <c r="E382" s="32" t="n">
        <v>35.5388</v>
      </c>
      <c r="F382" s="32" t="n">
        <v>47.16287939768263</v>
      </c>
      <c r="G382" s="32" t="n">
        <v>35.5388</v>
      </c>
      <c r="H382" s="10" t="inlineStr">
        <is>
          <t>NO</t>
        </is>
      </c>
      <c r="I382" s="10" t="inlineStr">
        <is>
          <t>500×550</t>
        </is>
      </c>
      <c r="J382" s="15" t="inlineStr">
        <is>
          <t>CUMPLE</t>
        </is>
      </c>
    </row>
    <row r="383">
      <c r="A383" s="25" t="inlineStr">
        <is>
          <t>VR2</t>
        </is>
      </c>
      <c r="B383" s="10" t="inlineStr">
        <is>
          <t>175</t>
        </is>
      </c>
      <c r="C383" s="32" t="n">
        <v>33.3658</v>
      </c>
      <c r="D383" s="32" t="n">
        <v>137.5888</v>
      </c>
      <c r="E383" s="32" t="n">
        <v>137.5888</v>
      </c>
      <c r="F383" s="32" t="n">
        <v>47.16287939768263</v>
      </c>
      <c r="G383" s="32" t="n">
        <v>137.5888</v>
      </c>
      <c r="H383" s="22" t="inlineStr">
        <is>
          <t>SÍ</t>
        </is>
      </c>
      <c r="I383" s="10" t="inlineStr">
        <is>
          <t>500×550</t>
        </is>
      </c>
      <c r="J383" s="19" t="inlineStr">
        <is>
          <t>NO CUMPLE</t>
        </is>
      </c>
    </row>
    <row r="384">
      <c r="A384" s="25" t="inlineStr">
        <is>
          <t>VR2</t>
        </is>
      </c>
      <c r="B384" s="10" t="inlineStr">
        <is>
          <t>177</t>
        </is>
      </c>
      <c r="C384" s="32" t="n">
        <v>33.3602</v>
      </c>
      <c r="D384" s="32" t="n">
        <v>137.5832</v>
      </c>
      <c r="E384" s="32" t="n">
        <v>137.5832</v>
      </c>
      <c r="F384" s="32" t="n">
        <v>47.16287939768263</v>
      </c>
      <c r="G384" s="32" t="n">
        <v>137.5832</v>
      </c>
      <c r="H384" s="22" t="inlineStr">
        <is>
          <t>SÍ</t>
        </is>
      </c>
      <c r="I384" s="10" t="inlineStr">
        <is>
          <t>500×550</t>
        </is>
      </c>
      <c r="J384" s="19" t="inlineStr">
        <is>
          <t>NO CUMPLE</t>
        </is>
      </c>
    </row>
    <row r="385">
      <c r="A385" s="25" t="inlineStr">
        <is>
          <t>VR2</t>
        </is>
      </c>
      <c r="B385" s="10" t="inlineStr">
        <is>
          <t>180</t>
        </is>
      </c>
      <c r="C385" s="32" t="n">
        <v>28.083</v>
      </c>
      <c r="D385" s="32" t="n">
        <v>109.5487</v>
      </c>
      <c r="E385" s="32" t="n">
        <v>109.5487</v>
      </c>
      <c r="F385" s="32" t="n">
        <v>47.16287939768263</v>
      </c>
      <c r="G385" s="32" t="n">
        <v>109.5487</v>
      </c>
      <c r="H385" s="22" t="inlineStr">
        <is>
          <t>SÍ</t>
        </is>
      </c>
      <c r="I385" s="10" t="inlineStr">
        <is>
          <t>500×550</t>
        </is>
      </c>
      <c r="J385" s="19" t="inlineStr">
        <is>
          <t>NO CUMPLE</t>
        </is>
      </c>
    </row>
    <row r="386">
      <c r="A386" s="25" t="inlineStr">
        <is>
          <t>VR2</t>
        </is>
      </c>
      <c r="B386" s="10" t="inlineStr">
        <is>
          <t>182</t>
        </is>
      </c>
      <c r="C386" s="32" t="n">
        <v>28.0768</v>
      </c>
      <c r="D386" s="32" t="n">
        <v>109.5425</v>
      </c>
      <c r="E386" s="32" t="n">
        <v>109.5425</v>
      </c>
      <c r="F386" s="32" t="n">
        <v>47.16287939768263</v>
      </c>
      <c r="G386" s="32" t="n">
        <v>109.5425</v>
      </c>
      <c r="H386" s="22" t="inlineStr">
        <is>
          <t>SÍ</t>
        </is>
      </c>
      <c r="I386" s="10" t="inlineStr">
        <is>
          <t>500×550</t>
        </is>
      </c>
      <c r="J386" s="19" t="inlineStr">
        <is>
          <t>NO CUMPLE</t>
        </is>
      </c>
    </row>
    <row r="387">
      <c r="A387" s="25" t="inlineStr">
        <is>
          <t>VR2</t>
        </is>
      </c>
      <c r="B387" s="10" t="inlineStr">
        <is>
          <t>185</t>
        </is>
      </c>
      <c r="C387" s="32" t="n">
        <v>21.9846</v>
      </c>
      <c r="D387" s="32" t="n">
        <v>75.0681</v>
      </c>
      <c r="E387" s="32" t="n">
        <v>75.0681</v>
      </c>
      <c r="F387" s="32" t="n">
        <v>47.16287939768263</v>
      </c>
      <c r="G387" s="32" t="n">
        <v>75.0681</v>
      </c>
      <c r="H387" s="22" t="inlineStr">
        <is>
          <t>SÍ</t>
        </is>
      </c>
      <c r="I387" s="10" t="inlineStr">
        <is>
          <t>500×550</t>
        </is>
      </c>
      <c r="J387" s="15" t="inlineStr">
        <is>
          <t>CUMPLE</t>
        </is>
      </c>
    </row>
    <row r="388">
      <c r="A388" s="25" t="inlineStr">
        <is>
          <t>VR2</t>
        </is>
      </c>
      <c r="B388" s="10" t="inlineStr">
        <is>
          <t>187</t>
        </is>
      </c>
      <c r="C388" s="32" t="n">
        <v>21.9778</v>
      </c>
      <c r="D388" s="32" t="n">
        <v>75.06140000000001</v>
      </c>
      <c r="E388" s="32" t="n">
        <v>75.06140000000001</v>
      </c>
      <c r="F388" s="32" t="n">
        <v>47.16287939768263</v>
      </c>
      <c r="G388" s="32" t="n">
        <v>75.06140000000001</v>
      </c>
      <c r="H388" s="22" t="inlineStr">
        <is>
          <t>SÍ</t>
        </is>
      </c>
      <c r="I388" s="10" t="inlineStr">
        <is>
          <t>500×550</t>
        </is>
      </c>
      <c r="J388" s="15" t="inlineStr">
        <is>
          <t>CUMPLE</t>
        </is>
      </c>
    </row>
    <row r="389">
      <c r="A389" s="25" t="inlineStr">
        <is>
          <t>VR2</t>
        </is>
      </c>
      <c r="B389" s="10" t="inlineStr">
        <is>
          <t>190</t>
        </is>
      </c>
      <c r="C389" s="32" t="n">
        <v>12.9868</v>
      </c>
      <c r="D389" s="32" t="n">
        <v>35.5441</v>
      </c>
      <c r="E389" s="32" t="n">
        <v>35.5441</v>
      </c>
      <c r="F389" s="32" t="n">
        <v>47.16287939768263</v>
      </c>
      <c r="G389" s="32" t="n">
        <v>35.5441</v>
      </c>
      <c r="H389" s="10" t="inlineStr">
        <is>
          <t>NO</t>
        </is>
      </c>
      <c r="I389" s="10" t="inlineStr">
        <is>
          <t>500×550</t>
        </is>
      </c>
      <c r="J389" s="15" t="inlineStr">
        <is>
          <t>CUMPLE</t>
        </is>
      </c>
    </row>
    <row r="390">
      <c r="A390" s="25" t="inlineStr">
        <is>
          <t>VR2</t>
        </is>
      </c>
      <c r="B390" s="10" t="inlineStr">
        <is>
          <t>192</t>
        </is>
      </c>
      <c r="C390" s="32" t="n">
        <v>12.9828</v>
      </c>
      <c r="D390" s="32" t="n">
        <v>35.5401</v>
      </c>
      <c r="E390" s="32" t="n">
        <v>35.5401</v>
      </c>
      <c r="F390" s="32" t="n">
        <v>47.16287939768263</v>
      </c>
      <c r="G390" s="32" t="n">
        <v>35.5401</v>
      </c>
      <c r="H390" s="10" t="inlineStr">
        <is>
          <t>NO</t>
        </is>
      </c>
      <c r="I390" s="10" t="inlineStr">
        <is>
          <t>500×550</t>
        </is>
      </c>
      <c r="J390" s="15" t="inlineStr">
        <is>
          <t>CUMPLE</t>
        </is>
      </c>
    </row>
    <row r="391">
      <c r="A391" s="25" t="inlineStr">
        <is>
          <t>VR2</t>
        </is>
      </c>
      <c r="B391" s="10" t="inlineStr">
        <is>
          <t>211</t>
        </is>
      </c>
      <c r="C391" s="32" t="n">
        <v>2.1899</v>
      </c>
      <c r="D391" s="32" t="n">
        <v>7.8641</v>
      </c>
      <c r="E391" s="32" t="n">
        <v>7.8641</v>
      </c>
      <c r="F391" s="32" t="n">
        <v>47.16287939768263</v>
      </c>
      <c r="G391" s="32" t="n">
        <v>7.8641</v>
      </c>
      <c r="H391" s="10" t="inlineStr">
        <is>
          <t>NO</t>
        </is>
      </c>
      <c r="I391" s="10" t="inlineStr">
        <is>
          <t>500×550</t>
        </is>
      </c>
      <c r="J391" s="15" t="inlineStr">
        <is>
          <t>CUMPLE</t>
        </is>
      </c>
    </row>
    <row r="392">
      <c r="A392" s="25" t="inlineStr">
        <is>
          <t>VR2</t>
        </is>
      </c>
      <c r="B392" s="10" t="inlineStr">
        <is>
          <t>212</t>
        </is>
      </c>
      <c r="C392" s="32" t="n">
        <v>19.6101</v>
      </c>
      <c r="D392" s="32" t="n">
        <v>50.0627</v>
      </c>
      <c r="E392" s="32" t="n">
        <v>50.0627</v>
      </c>
      <c r="F392" s="32" t="n">
        <v>47.16287939768263</v>
      </c>
      <c r="G392" s="32" t="n">
        <v>50.0627</v>
      </c>
      <c r="H392" s="22" t="inlineStr">
        <is>
          <t>SÍ</t>
        </is>
      </c>
      <c r="I392" s="10" t="inlineStr">
        <is>
          <t>500×550</t>
        </is>
      </c>
      <c r="J392" s="15" t="inlineStr">
        <is>
          <t>CUMPLE</t>
        </is>
      </c>
    </row>
    <row r="393">
      <c r="A393" s="25" t="inlineStr">
        <is>
          <t>VR2</t>
        </is>
      </c>
      <c r="B393" s="10" t="inlineStr">
        <is>
          <t>213</t>
        </is>
      </c>
      <c r="C393" s="32" t="n">
        <v>13.5726</v>
      </c>
      <c r="D393" s="32" t="n">
        <v>43.2716</v>
      </c>
      <c r="E393" s="32" t="n">
        <v>43.2716</v>
      </c>
      <c r="F393" s="32" t="n">
        <v>47.16287939768263</v>
      </c>
      <c r="G393" s="32" t="n">
        <v>43.2716</v>
      </c>
      <c r="H393" s="10" t="inlineStr">
        <is>
          <t>NO</t>
        </is>
      </c>
      <c r="I393" s="10" t="inlineStr">
        <is>
          <t>500×550</t>
        </is>
      </c>
      <c r="J393" s="15" t="inlineStr">
        <is>
          <t>CUMPLE</t>
        </is>
      </c>
    </row>
    <row r="394">
      <c r="A394" s="25" t="inlineStr">
        <is>
          <t>VR2</t>
        </is>
      </c>
      <c r="B394" s="10" t="inlineStr">
        <is>
          <t>214</t>
        </is>
      </c>
      <c r="C394" s="32" t="n">
        <v>5.1859</v>
      </c>
      <c r="D394" s="32" t="n">
        <v>18.867</v>
      </c>
      <c r="E394" s="32" t="n">
        <v>18.867</v>
      </c>
      <c r="F394" s="32" t="n">
        <v>47.16287939768263</v>
      </c>
      <c r="G394" s="32" t="n">
        <v>18.867</v>
      </c>
      <c r="H394" s="10" t="inlineStr">
        <is>
          <t>NO</t>
        </is>
      </c>
      <c r="I394" s="10" t="inlineStr">
        <is>
          <t>500×550</t>
        </is>
      </c>
      <c r="J394" s="15" t="inlineStr">
        <is>
          <t>CUMPLE</t>
        </is>
      </c>
    </row>
    <row r="395">
      <c r="A395" s="25" t="inlineStr">
        <is>
          <t>VR2</t>
        </is>
      </c>
      <c r="B395" s="10" t="inlineStr">
        <is>
          <t>215</t>
        </is>
      </c>
      <c r="C395" s="32" t="n">
        <v>1.4526</v>
      </c>
      <c r="D395" s="32" t="n">
        <v>4.4261</v>
      </c>
      <c r="E395" s="32" t="n">
        <v>4.4261</v>
      </c>
      <c r="F395" s="32" t="n">
        <v>47.16287939768263</v>
      </c>
      <c r="G395" s="32" t="n">
        <v>4.4261</v>
      </c>
      <c r="H395" s="10" t="inlineStr">
        <is>
          <t>NO</t>
        </is>
      </c>
      <c r="I395" s="10" t="inlineStr">
        <is>
          <t>500×550</t>
        </is>
      </c>
      <c r="J395" s="15" t="inlineStr">
        <is>
          <t>CUMPLE</t>
        </is>
      </c>
    </row>
    <row r="396">
      <c r="A396" s="25" t="inlineStr">
        <is>
          <t>VR2</t>
        </is>
      </c>
      <c r="B396" s="10" t="inlineStr">
        <is>
          <t>216</t>
        </is>
      </c>
      <c r="C396" s="32" t="n">
        <v>16.3703</v>
      </c>
      <c r="D396" s="32" t="n">
        <v>71.8248</v>
      </c>
      <c r="E396" s="32" t="n">
        <v>71.8248</v>
      </c>
      <c r="F396" s="32" t="n">
        <v>47.16287939768263</v>
      </c>
      <c r="G396" s="32" t="n">
        <v>71.8248</v>
      </c>
      <c r="H396" s="22" t="inlineStr">
        <is>
          <t>SÍ</t>
        </is>
      </c>
      <c r="I396" s="10" t="inlineStr">
        <is>
          <t>500×550</t>
        </is>
      </c>
      <c r="J396" s="15" t="inlineStr">
        <is>
          <t>CUMPLE</t>
        </is>
      </c>
    </row>
    <row r="397">
      <c r="A397" s="25" t="inlineStr">
        <is>
          <t>VR2</t>
        </is>
      </c>
      <c r="B397" s="10" t="inlineStr">
        <is>
          <t>217</t>
        </is>
      </c>
      <c r="C397" s="32" t="n">
        <v>15.8338</v>
      </c>
      <c r="D397" s="32" t="n">
        <v>69.40949999999999</v>
      </c>
      <c r="E397" s="32" t="n">
        <v>69.40949999999999</v>
      </c>
      <c r="F397" s="32" t="n">
        <v>47.16287939768263</v>
      </c>
      <c r="G397" s="32" t="n">
        <v>69.40949999999999</v>
      </c>
      <c r="H397" s="22" t="inlineStr">
        <is>
          <t>SÍ</t>
        </is>
      </c>
      <c r="I397" s="10" t="inlineStr">
        <is>
          <t>500×550</t>
        </is>
      </c>
      <c r="J397" s="15" t="inlineStr">
        <is>
          <t>CUMPLE</t>
        </is>
      </c>
    </row>
    <row r="398">
      <c r="A398" s="25" t="inlineStr">
        <is>
          <t>VR2</t>
        </is>
      </c>
      <c r="B398" s="10" t="inlineStr">
        <is>
          <t>218</t>
        </is>
      </c>
      <c r="C398" s="32" t="n">
        <v>1.4737</v>
      </c>
      <c r="D398" s="32" t="n">
        <v>4.3896</v>
      </c>
      <c r="E398" s="32" t="n">
        <v>4.3896</v>
      </c>
      <c r="F398" s="32" t="n">
        <v>47.16287939768263</v>
      </c>
      <c r="G398" s="32" t="n">
        <v>4.3896</v>
      </c>
      <c r="H398" s="10" t="inlineStr">
        <is>
          <t>NO</t>
        </is>
      </c>
      <c r="I398" s="10" t="inlineStr">
        <is>
          <t>500×550</t>
        </is>
      </c>
      <c r="J398" s="15" t="inlineStr">
        <is>
          <t>CUMPLE</t>
        </is>
      </c>
    </row>
    <row r="399">
      <c r="A399" s="25" t="inlineStr">
        <is>
          <t>VR2</t>
        </is>
      </c>
      <c r="B399" s="10" t="inlineStr">
        <is>
          <t>219</t>
        </is>
      </c>
      <c r="C399" s="32" t="n">
        <v>5.182</v>
      </c>
      <c r="D399" s="32" t="n">
        <v>18.8512</v>
      </c>
      <c r="E399" s="32" t="n">
        <v>18.8512</v>
      </c>
      <c r="F399" s="32" t="n">
        <v>47.16287939768263</v>
      </c>
      <c r="G399" s="32" t="n">
        <v>18.8512</v>
      </c>
      <c r="H399" s="10" t="inlineStr">
        <is>
          <t>NO</t>
        </is>
      </c>
      <c r="I399" s="10" t="inlineStr">
        <is>
          <t>500×550</t>
        </is>
      </c>
      <c r="J399" s="15" t="inlineStr">
        <is>
          <t>CUMPLE</t>
        </is>
      </c>
    </row>
    <row r="400">
      <c r="A400" s="25" t="inlineStr">
        <is>
          <t>VR2</t>
        </is>
      </c>
      <c r="B400" s="10" t="inlineStr">
        <is>
          <t>220</t>
        </is>
      </c>
      <c r="C400" s="32" t="n">
        <v>13.6169</v>
      </c>
      <c r="D400" s="32" t="n">
        <v>43.3153</v>
      </c>
      <c r="E400" s="32" t="n">
        <v>43.3153</v>
      </c>
      <c r="F400" s="32" t="n">
        <v>47.16287939768263</v>
      </c>
      <c r="G400" s="32" t="n">
        <v>43.3153</v>
      </c>
      <c r="H400" s="10" t="inlineStr">
        <is>
          <t>NO</t>
        </is>
      </c>
      <c r="I400" s="10" t="inlineStr">
        <is>
          <t>500×550</t>
        </is>
      </c>
      <c r="J400" s="15" t="inlineStr">
        <is>
          <t>CUMPLE</t>
        </is>
      </c>
    </row>
    <row r="401">
      <c r="A401" s="25" t="inlineStr">
        <is>
          <t>VR2</t>
        </is>
      </c>
      <c r="B401" s="10" t="inlineStr">
        <is>
          <t>221</t>
        </is>
      </c>
      <c r="C401" s="32" t="n">
        <v>19.6123</v>
      </c>
      <c r="D401" s="32" t="n">
        <v>50.0573</v>
      </c>
      <c r="E401" s="32" t="n">
        <v>50.0573</v>
      </c>
      <c r="F401" s="32" t="n">
        <v>47.16287939768263</v>
      </c>
      <c r="G401" s="32" t="n">
        <v>50.0573</v>
      </c>
      <c r="H401" s="22" t="inlineStr">
        <is>
          <t>SÍ</t>
        </is>
      </c>
      <c r="I401" s="10" t="inlineStr">
        <is>
          <t>500×550</t>
        </is>
      </c>
      <c r="J401" s="15" t="inlineStr">
        <is>
          <t>CUMPLE</t>
        </is>
      </c>
    </row>
    <row r="402">
      <c r="A402" s="25" t="inlineStr">
        <is>
          <t>VR2</t>
        </is>
      </c>
      <c r="B402" s="10" t="inlineStr">
        <is>
          <t>222</t>
        </is>
      </c>
      <c r="C402" s="32" t="n">
        <v>2.1925</v>
      </c>
      <c r="D402" s="32" t="n">
        <v>7.8671</v>
      </c>
      <c r="E402" s="32" t="n">
        <v>7.8671</v>
      </c>
      <c r="F402" s="32" t="n">
        <v>47.16287939768263</v>
      </c>
      <c r="G402" s="32" t="n">
        <v>7.8671</v>
      </c>
      <c r="H402" s="10" t="inlineStr">
        <is>
          <t>NO</t>
        </is>
      </c>
      <c r="I402" s="10" t="inlineStr">
        <is>
          <t>500×550</t>
        </is>
      </c>
      <c r="J402" s="15" t="inlineStr">
        <is>
          <t>CUMPLE</t>
        </is>
      </c>
    </row>
    <row r="403">
      <c r="A403" s="25" t="inlineStr">
        <is>
          <t>VR2</t>
        </is>
      </c>
      <c r="B403" s="10" t="inlineStr">
        <is>
          <t>233</t>
        </is>
      </c>
      <c r="C403" s="32" t="n">
        <v>2.1909</v>
      </c>
      <c r="D403" s="32" t="n">
        <v>7.865</v>
      </c>
      <c r="E403" s="32" t="n">
        <v>7.865</v>
      </c>
      <c r="F403" s="32" t="n">
        <v>47.16287939768263</v>
      </c>
      <c r="G403" s="32" t="n">
        <v>7.865</v>
      </c>
      <c r="H403" s="10" t="inlineStr">
        <is>
          <t>NO</t>
        </is>
      </c>
      <c r="I403" s="10" t="inlineStr">
        <is>
          <t>500×550</t>
        </is>
      </c>
      <c r="J403" s="15" t="inlineStr">
        <is>
          <t>CUMPLE</t>
        </is>
      </c>
    </row>
    <row r="404">
      <c r="A404" s="25" t="inlineStr">
        <is>
          <t>VR2</t>
        </is>
      </c>
      <c r="B404" s="10" t="inlineStr">
        <is>
          <t>234</t>
        </is>
      </c>
      <c r="C404" s="32" t="n">
        <v>19.6113</v>
      </c>
      <c r="D404" s="32" t="n">
        <v>50.0576</v>
      </c>
      <c r="E404" s="32" t="n">
        <v>50.0576</v>
      </c>
      <c r="F404" s="32" t="n">
        <v>47.16287939768263</v>
      </c>
      <c r="G404" s="32" t="n">
        <v>50.0576</v>
      </c>
      <c r="H404" s="22" t="inlineStr">
        <is>
          <t>SÍ</t>
        </is>
      </c>
      <c r="I404" s="10" t="inlineStr">
        <is>
          <t>500×550</t>
        </is>
      </c>
      <c r="J404" s="15" t="inlineStr">
        <is>
          <t>CUMPLE</t>
        </is>
      </c>
    </row>
    <row r="405">
      <c r="A405" s="25" t="inlineStr">
        <is>
          <t>VR2</t>
        </is>
      </c>
      <c r="B405" s="10" t="inlineStr">
        <is>
          <t>235</t>
        </is>
      </c>
      <c r="C405" s="32" t="n">
        <v>13.6182</v>
      </c>
      <c r="D405" s="32" t="n">
        <v>43.3196</v>
      </c>
      <c r="E405" s="32" t="n">
        <v>43.3196</v>
      </c>
      <c r="F405" s="32" t="n">
        <v>47.16287939768263</v>
      </c>
      <c r="G405" s="32" t="n">
        <v>43.3196</v>
      </c>
      <c r="H405" s="10" t="inlineStr">
        <is>
          <t>NO</t>
        </is>
      </c>
      <c r="I405" s="10" t="inlineStr">
        <is>
          <t>500×550</t>
        </is>
      </c>
      <c r="J405" s="15" t="inlineStr">
        <is>
          <t>CUMPLE</t>
        </is>
      </c>
    </row>
    <row r="406">
      <c r="A406" s="25" t="inlineStr">
        <is>
          <t>VR2</t>
        </is>
      </c>
      <c r="B406" s="10" t="inlineStr">
        <is>
          <t>236</t>
        </is>
      </c>
      <c r="C406" s="32" t="n">
        <v>5.1841</v>
      </c>
      <c r="D406" s="32" t="n">
        <v>18.8653</v>
      </c>
      <c r="E406" s="32" t="n">
        <v>18.8653</v>
      </c>
      <c r="F406" s="32" t="n">
        <v>47.16287939768263</v>
      </c>
      <c r="G406" s="32" t="n">
        <v>18.8653</v>
      </c>
      <c r="H406" s="10" t="inlineStr">
        <is>
          <t>NO</t>
        </is>
      </c>
      <c r="I406" s="10" t="inlineStr">
        <is>
          <t>500×550</t>
        </is>
      </c>
      <c r="J406" s="15" t="inlineStr">
        <is>
          <t>CUMPLE</t>
        </is>
      </c>
    </row>
    <row r="407">
      <c r="A407" s="25" t="inlineStr">
        <is>
          <t>VR2</t>
        </is>
      </c>
      <c r="B407" s="10" t="inlineStr">
        <is>
          <t>237</t>
        </is>
      </c>
      <c r="C407" s="32" t="n">
        <v>1.4515</v>
      </c>
      <c r="D407" s="32" t="n">
        <v>4.425</v>
      </c>
      <c r="E407" s="32" t="n">
        <v>4.425</v>
      </c>
      <c r="F407" s="32" t="n">
        <v>47.16287939768263</v>
      </c>
      <c r="G407" s="32" t="n">
        <v>4.425</v>
      </c>
      <c r="H407" s="10" t="inlineStr">
        <is>
          <t>NO</t>
        </is>
      </c>
      <c r="I407" s="10" t="inlineStr">
        <is>
          <t>500×550</t>
        </is>
      </c>
      <c r="J407" s="15" t="inlineStr">
        <is>
          <t>CUMPLE</t>
        </is>
      </c>
    </row>
    <row r="408">
      <c r="A408" s="25" t="inlineStr">
        <is>
          <t>VR2</t>
        </is>
      </c>
      <c r="B408" s="10" t="inlineStr">
        <is>
          <t>238</t>
        </is>
      </c>
      <c r="C408" s="32" t="n">
        <v>16.3707</v>
      </c>
      <c r="D408" s="32" t="n">
        <v>71.8252</v>
      </c>
      <c r="E408" s="32" t="n">
        <v>71.8252</v>
      </c>
      <c r="F408" s="32" t="n">
        <v>47.16287939768263</v>
      </c>
      <c r="G408" s="32" t="n">
        <v>71.8252</v>
      </c>
      <c r="H408" s="22" t="inlineStr">
        <is>
          <t>SÍ</t>
        </is>
      </c>
      <c r="I408" s="10" t="inlineStr">
        <is>
          <t>500×550</t>
        </is>
      </c>
      <c r="J408" s="15" t="inlineStr">
        <is>
          <t>CUMPLE</t>
        </is>
      </c>
    </row>
    <row r="409">
      <c r="A409" s="25" t="inlineStr">
        <is>
          <t>VR2</t>
        </is>
      </c>
      <c r="B409" s="10" t="inlineStr">
        <is>
          <t>239</t>
        </is>
      </c>
      <c r="C409" s="32" t="n">
        <v>15.8327</v>
      </c>
      <c r="D409" s="32" t="n">
        <v>69.4084</v>
      </c>
      <c r="E409" s="32" t="n">
        <v>69.4084</v>
      </c>
      <c r="F409" s="32" t="n">
        <v>47.16287939768263</v>
      </c>
      <c r="G409" s="32" t="n">
        <v>69.4084</v>
      </c>
      <c r="H409" s="22" t="inlineStr">
        <is>
          <t>SÍ</t>
        </is>
      </c>
      <c r="I409" s="10" t="inlineStr">
        <is>
          <t>500×550</t>
        </is>
      </c>
      <c r="J409" s="15" t="inlineStr">
        <is>
          <t>CUMPLE</t>
        </is>
      </c>
    </row>
    <row r="410">
      <c r="A410" s="25" t="inlineStr">
        <is>
          <t>VR2</t>
        </is>
      </c>
      <c r="B410" s="10" t="inlineStr">
        <is>
          <t>240</t>
        </is>
      </c>
      <c r="C410" s="32" t="n">
        <v>1.4745</v>
      </c>
      <c r="D410" s="32" t="n">
        <v>4.3904</v>
      </c>
      <c r="E410" s="32" t="n">
        <v>4.3904</v>
      </c>
      <c r="F410" s="32" t="n">
        <v>47.16287939768263</v>
      </c>
      <c r="G410" s="32" t="n">
        <v>4.3904</v>
      </c>
      <c r="H410" s="10" t="inlineStr">
        <is>
          <t>NO</t>
        </is>
      </c>
      <c r="I410" s="10" t="inlineStr">
        <is>
          <t>500×550</t>
        </is>
      </c>
      <c r="J410" s="15" t="inlineStr">
        <is>
          <t>CUMPLE</t>
        </is>
      </c>
    </row>
    <row r="411">
      <c r="A411" s="25" t="inlineStr">
        <is>
          <t>VR2</t>
        </is>
      </c>
      <c r="B411" s="10" t="inlineStr">
        <is>
          <t>241</t>
        </is>
      </c>
      <c r="C411" s="32" t="n">
        <v>5.1805</v>
      </c>
      <c r="D411" s="32" t="n">
        <v>18.85</v>
      </c>
      <c r="E411" s="32" t="n">
        <v>18.85</v>
      </c>
      <c r="F411" s="32" t="n">
        <v>47.16287939768263</v>
      </c>
      <c r="G411" s="32" t="n">
        <v>18.85</v>
      </c>
      <c r="H411" s="10" t="inlineStr">
        <is>
          <t>NO</t>
        </is>
      </c>
      <c r="I411" s="10" t="inlineStr">
        <is>
          <t>500×550</t>
        </is>
      </c>
      <c r="J411" s="15" t="inlineStr">
        <is>
          <t>CUMPLE</t>
        </is>
      </c>
    </row>
    <row r="412">
      <c r="A412" s="25" t="inlineStr">
        <is>
          <t>VR2</t>
        </is>
      </c>
      <c r="B412" s="10" t="inlineStr">
        <is>
          <t>242</t>
        </is>
      </c>
      <c r="C412" s="32" t="n">
        <v>13.6121</v>
      </c>
      <c r="D412" s="32" t="n">
        <v>43.3127</v>
      </c>
      <c r="E412" s="32" t="n">
        <v>43.3127</v>
      </c>
      <c r="F412" s="32" t="n">
        <v>47.16287939768263</v>
      </c>
      <c r="G412" s="32" t="n">
        <v>43.3127</v>
      </c>
      <c r="H412" s="10" t="inlineStr">
        <is>
          <t>NO</t>
        </is>
      </c>
      <c r="I412" s="10" t="inlineStr">
        <is>
          <t>500×550</t>
        </is>
      </c>
      <c r="J412" s="15" t="inlineStr">
        <is>
          <t>CUMPLE</t>
        </is>
      </c>
    </row>
    <row r="413">
      <c r="A413" s="25" t="inlineStr">
        <is>
          <t>VR2</t>
        </is>
      </c>
      <c r="B413" s="10" t="inlineStr">
        <is>
          <t>243</t>
        </is>
      </c>
      <c r="C413" s="32" t="n">
        <v>19.611</v>
      </c>
      <c r="D413" s="32" t="n">
        <v>50.068</v>
      </c>
      <c r="E413" s="32" t="n">
        <v>50.068</v>
      </c>
      <c r="F413" s="32" t="n">
        <v>47.16287939768263</v>
      </c>
      <c r="G413" s="32" t="n">
        <v>50.068</v>
      </c>
      <c r="H413" s="22" t="inlineStr">
        <is>
          <t>SÍ</t>
        </is>
      </c>
      <c r="I413" s="10" t="inlineStr">
        <is>
          <t>500×550</t>
        </is>
      </c>
      <c r="J413" s="15" t="inlineStr">
        <is>
          <t>CUMPLE</t>
        </is>
      </c>
    </row>
    <row r="414">
      <c r="A414" s="25" t="inlineStr">
        <is>
          <t>VR2</t>
        </is>
      </c>
      <c r="B414" s="10" t="inlineStr">
        <is>
          <t>244</t>
        </is>
      </c>
      <c r="C414" s="32" t="n">
        <v>2.1928</v>
      </c>
      <c r="D414" s="32" t="n">
        <v>7.8677</v>
      </c>
      <c r="E414" s="32" t="n">
        <v>7.8677</v>
      </c>
      <c r="F414" s="32" t="n">
        <v>47.16287939768263</v>
      </c>
      <c r="G414" s="32" t="n">
        <v>7.8677</v>
      </c>
      <c r="H414" s="10" t="inlineStr">
        <is>
          <t>NO</t>
        </is>
      </c>
      <c r="I414" s="10" t="inlineStr">
        <is>
          <t>500×550</t>
        </is>
      </c>
      <c r="J414" s="15" t="inlineStr">
        <is>
          <t>CUMPLE</t>
        </is>
      </c>
    </row>
    <row r="415">
      <c r="A415" s="25" t="inlineStr">
        <is>
          <t>VR2</t>
        </is>
      </c>
      <c r="B415" s="10" t="inlineStr">
        <is>
          <t>769</t>
        </is>
      </c>
      <c r="C415" s="32" t="n">
        <v>1.8685</v>
      </c>
      <c r="D415" s="32" t="n">
        <v>6.2533</v>
      </c>
      <c r="E415" s="32" t="n">
        <v>6.2533</v>
      </c>
      <c r="F415" s="32" t="n">
        <v>47.16287939768263</v>
      </c>
      <c r="G415" s="32" t="n">
        <v>6.2533</v>
      </c>
      <c r="H415" s="10" t="inlineStr">
        <is>
          <t>NO</t>
        </is>
      </c>
      <c r="I415" s="10" t="inlineStr">
        <is>
          <t>500×550</t>
        </is>
      </c>
      <c r="J415" s="15" t="inlineStr">
        <is>
          <t>CUMPLE</t>
        </is>
      </c>
    </row>
    <row r="416">
      <c r="A416" s="25" t="inlineStr">
        <is>
          <t>VR2</t>
        </is>
      </c>
      <c r="B416" s="10" t="inlineStr">
        <is>
          <t>770</t>
        </is>
      </c>
      <c r="C416" s="32" t="n">
        <v>18.4972</v>
      </c>
      <c r="D416" s="32" t="n">
        <v>43.3266</v>
      </c>
      <c r="E416" s="32" t="n">
        <v>43.3266</v>
      </c>
      <c r="F416" s="32" t="n">
        <v>47.16287939768263</v>
      </c>
      <c r="G416" s="32" t="n">
        <v>43.3266</v>
      </c>
      <c r="H416" s="10" t="inlineStr">
        <is>
          <t>NO</t>
        </is>
      </c>
      <c r="I416" s="10" t="inlineStr">
        <is>
          <t>500×550</t>
        </is>
      </c>
      <c r="J416" s="15" t="inlineStr">
        <is>
          <t>CUMPLE</t>
        </is>
      </c>
    </row>
    <row r="417">
      <c r="A417" s="25" t="inlineStr">
        <is>
          <t>VR2</t>
        </is>
      </c>
      <c r="B417" s="10" t="inlineStr">
        <is>
          <t>771</t>
        </is>
      </c>
      <c r="C417" s="32" t="n">
        <v>12.4271</v>
      </c>
      <c r="D417" s="32" t="n">
        <v>37.0771</v>
      </c>
      <c r="E417" s="32" t="n">
        <v>37.0771</v>
      </c>
      <c r="F417" s="32" t="n">
        <v>47.16287939768263</v>
      </c>
      <c r="G417" s="32" t="n">
        <v>37.0771</v>
      </c>
      <c r="H417" s="10" t="inlineStr">
        <is>
          <t>NO</t>
        </is>
      </c>
      <c r="I417" s="10" t="inlineStr">
        <is>
          <t>500×550</t>
        </is>
      </c>
      <c r="J417" s="15" t="inlineStr">
        <is>
          <t>CUMPLE</t>
        </is>
      </c>
    </row>
    <row r="418">
      <c r="A418" s="25" t="inlineStr">
        <is>
          <t>VR2</t>
        </is>
      </c>
      <c r="B418" s="10" t="inlineStr">
        <is>
          <t>772</t>
        </is>
      </c>
      <c r="C418" s="32" t="n">
        <v>4.7363</v>
      </c>
      <c r="D418" s="32" t="n">
        <v>16.0481</v>
      </c>
      <c r="E418" s="32" t="n">
        <v>16.0481</v>
      </c>
      <c r="F418" s="32" t="n">
        <v>47.16287939768263</v>
      </c>
      <c r="G418" s="32" t="n">
        <v>16.0481</v>
      </c>
      <c r="H418" s="10" t="inlineStr">
        <is>
          <t>NO</t>
        </is>
      </c>
      <c r="I418" s="10" t="inlineStr">
        <is>
          <t>500×550</t>
        </is>
      </c>
      <c r="J418" s="15" t="inlineStr">
        <is>
          <t>CUMPLE</t>
        </is>
      </c>
    </row>
    <row r="419">
      <c r="A419" s="25" t="inlineStr">
        <is>
          <t>VR2</t>
        </is>
      </c>
      <c r="B419" s="10" t="inlineStr">
        <is>
          <t>773</t>
        </is>
      </c>
      <c r="C419" s="32" t="n">
        <v>1.8633</v>
      </c>
      <c r="D419" s="32" t="n">
        <v>5.6255</v>
      </c>
      <c r="E419" s="32" t="n">
        <v>5.6255</v>
      </c>
      <c r="F419" s="32" t="n">
        <v>47.16287939768263</v>
      </c>
      <c r="G419" s="32" t="n">
        <v>5.6255</v>
      </c>
      <c r="H419" s="10" t="inlineStr">
        <is>
          <t>NO</t>
        </is>
      </c>
      <c r="I419" s="10" t="inlineStr">
        <is>
          <t>500×550</t>
        </is>
      </c>
      <c r="J419" s="15" t="inlineStr">
        <is>
          <t>CUMPLE</t>
        </is>
      </c>
    </row>
    <row r="420">
      <c r="A420" s="25" t="inlineStr">
        <is>
          <t>VR2</t>
        </is>
      </c>
      <c r="B420" s="10" t="inlineStr">
        <is>
          <t>774</t>
        </is>
      </c>
      <c r="C420" s="32" t="n">
        <v>13.7249</v>
      </c>
      <c r="D420" s="32" t="n">
        <v>56.597</v>
      </c>
      <c r="E420" s="32" t="n">
        <v>56.597</v>
      </c>
      <c r="F420" s="32" t="n">
        <v>47.16287939768263</v>
      </c>
      <c r="G420" s="32" t="n">
        <v>56.597</v>
      </c>
      <c r="H420" s="22" t="inlineStr">
        <is>
          <t>SÍ</t>
        </is>
      </c>
      <c r="I420" s="10" t="inlineStr">
        <is>
          <t>500×550</t>
        </is>
      </c>
      <c r="J420" s="15" t="inlineStr">
        <is>
          <t>CUMPLE</t>
        </is>
      </c>
    </row>
    <row r="421">
      <c r="A421" s="25" t="inlineStr">
        <is>
          <t>VR2</t>
        </is>
      </c>
      <c r="B421" s="10" t="inlineStr">
        <is>
          <t>775</t>
        </is>
      </c>
      <c r="C421" s="32" t="n">
        <v>13.2867</v>
      </c>
      <c r="D421" s="32" t="n">
        <v>54.721</v>
      </c>
      <c r="E421" s="32" t="n">
        <v>54.721</v>
      </c>
      <c r="F421" s="32" t="n">
        <v>47.16287939768263</v>
      </c>
      <c r="G421" s="32" t="n">
        <v>54.721</v>
      </c>
      <c r="H421" s="22" t="inlineStr">
        <is>
          <t>SÍ</t>
        </is>
      </c>
      <c r="I421" s="10" t="inlineStr">
        <is>
          <t>500×550</t>
        </is>
      </c>
      <c r="J421" s="15" t="inlineStr">
        <is>
          <t>CUMPLE</t>
        </is>
      </c>
    </row>
    <row r="422">
      <c r="A422" s="25" t="inlineStr">
        <is>
          <t>VR2</t>
        </is>
      </c>
      <c r="B422" s="10" t="inlineStr">
        <is>
          <t>776</t>
        </is>
      </c>
      <c r="C422" s="32" t="n">
        <v>1.8951</v>
      </c>
      <c r="D422" s="32" t="n">
        <v>5.6147</v>
      </c>
      <c r="E422" s="32" t="n">
        <v>5.6147</v>
      </c>
      <c r="F422" s="32" t="n">
        <v>47.16287939768263</v>
      </c>
      <c r="G422" s="32" t="n">
        <v>5.6147</v>
      </c>
      <c r="H422" s="10" t="inlineStr">
        <is>
          <t>NO</t>
        </is>
      </c>
      <c r="I422" s="10" t="inlineStr">
        <is>
          <t>500×550</t>
        </is>
      </c>
      <c r="J422" s="15" t="inlineStr">
        <is>
          <t>CUMPLE</t>
        </is>
      </c>
    </row>
    <row r="423">
      <c r="A423" s="25" t="inlineStr">
        <is>
          <t>VR2</t>
        </is>
      </c>
      <c r="B423" s="10" t="inlineStr">
        <is>
          <t>777</t>
        </is>
      </c>
      <c r="C423" s="32" t="n">
        <v>4.7305</v>
      </c>
      <c r="D423" s="32" t="n">
        <v>16.0256</v>
      </c>
      <c r="E423" s="32" t="n">
        <v>16.0256</v>
      </c>
      <c r="F423" s="32" t="n">
        <v>47.16287939768263</v>
      </c>
      <c r="G423" s="32" t="n">
        <v>16.0256</v>
      </c>
      <c r="H423" s="10" t="inlineStr">
        <is>
          <t>NO</t>
        </is>
      </c>
      <c r="I423" s="10" t="inlineStr">
        <is>
          <t>500×550</t>
        </is>
      </c>
      <c r="J423" s="15" t="inlineStr">
        <is>
          <t>CUMPLE</t>
        </is>
      </c>
    </row>
    <row r="424">
      <c r="A424" s="25" t="inlineStr">
        <is>
          <t>VR2</t>
        </is>
      </c>
      <c r="B424" s="10" t="inlineStr">
        <is>
          <t>778</t>
        </is>
      </c>
      <c r="C424" s="32" t="n">
        <v>12.4677</v>
      </c>
      <c r="D424" s="32" t="n">
        <v>37.1171</v>
      </c>
      <c r="E424" s="32" t="n">
        <v>37.1171</v>
      </c>
      <c r="F424" s="32" t="n">
        <v>47.16287939768263</v>
      </c>
      <c r="G424" s="32" t="n">
        <v>37.1171</v>
      </c>
      <c r="H424" s="10" t="inlineStr">
        <is>
          <t>NO</t>
        </is>
      </c>
      <c r="I424" s="10" t="inlineStr">
        <is>
          <t>500×550</t>
        </is>
      </c>
      <c r="J424" s="15" t="inlineStr">
        <is>
          <t>CUMPLE</t>
        </is>
      </c>
    </row>
    <row r="425">
      <c r="A425" s="25" t="inlineStr">
        <is>
          <t>VR2</t>
        </is>
      </c>
      <c r="B425" s="10" t="inlineStr">
        <is>
          <t>779</t>
        </is>
      </c>
      <c r="C425" s="32" t="n">
        <v>18.4963</v>
      </c>
      <c r="D425" s="32" t="n">
        <v>43.3177</v>
      </c>
      <c r="E425" s="32" t="n">
        <v>43.3177</v>
      </c>
      <c r="F425" s="32" t="n">
        <v>47.16287939768263</v>
      </c>
      <c r="G425" s="32" t="n">
        <v>43.3177</v>
      </c>
      <c r="H425" s="10" t="inlineStr">
        <is>
          <t>NO</t>
        </is>
      </c>
      <c r="I425" s="10" t="inlineStr">
        <is>
          <t>500×550</t>
        </is>
      </c>
      <c r="J425" s="15" t="inlineStr">
        <is>
          <t>CUMPLE</t>
        </is>
      </c>
    </row>
    <row r="426">
      <c r="A426" s="25" t="inlineStr">
        <is>
          <t>VR2</t>
        </is>
      </c>
      <c r="B426" s="10" t="inlineStr">
        <is>
          <t>780</t>
        </is>
      </c>
      <c r="C426" s="32" t="n">
        <v>1.8682</v>
      </c>
      <c r="D426" s="32" t="n">
        <v>6.2533</v>
      </c>
      <c r="E426" s="32" t="n">
        <v>6.2533</v>
      </c>
      <c r="F426" s="32" t="n">
        <v>47.16287939768263</v>
      </c>
      <c r="G426" s="32" t="n">
        <v>6.2533</v>
      </c>
      <c r="H426" s="10" t="inlineStr">
        <is>
          <t>NO</t>
        </is>
      </c>
      <c r="I426" s="10" t="inlineStr">
        <is>
          <t>500×550</t>
        </is>
      </c>
      <c r="J426" s="15" t="inlineStr">
        <is>
          <t>CUMPLE</t>
        </is>
      </c>
    </row>
    <row r="427">
      <c r="A427" s="25" t="inlineStr">
        <is>
          <t>VR2</t>
        </is>
      </c>
      <c r="B427" s="10" t="inlineStr">
        <is>
          <t>791</t>
        </is>
      </c>
      <c r="C427" s="32" t="n">
        <v>1.8694</v>
      </c>
      <c r="D427" s="32" t="n">
        <v>6.2543</v>
      </c>
      <c r="E427" s="32" t="n">
        <v>6.2543</v>
      </c>
      <c r="F427" s="32" t="n">
        <v>47.16287939768263</v>
      </c>
      <c r="G427" s="32" t="n">
        <v>6.2543</v>
      </c>
      <c r="H427" s="10" t="inlineStr">
        <is>
          <t>NO</t>
        </is>
      </c>
      <c r="I427" s="10" t="inlineStr">
        <is>
          <t>500×550</t>
        </is>
      </c>
      <c r="J427" s="15" t="inlineStr">
        <is>
          <t>CUMPLE</t>
        </is>
      </c>
    </row>
    <row r="428">
      <c r="A428" s="25" t="inlineStr">
        <is>
          <t>VR2</t>
        </is>
      </c>
      <c r="B428" s="10" t="inlineStr">
        <is>
          <t>792</t>
        </is>
      </c>
      <c r="C428" s="32" t="n">
        <v>18.4993</v>
      </c>
      <c r="D428" s="32" t="n">
        <v>43.328</v>
      </c>
      <c r="E428" s="32" t="n">
        <v>43.328</v>
      </c>
      <c r="F428" s="32" t="n">
        <v>47.16287939768263</v>
      </c>
      <c r="G428" s="32" t="n">
        <v>43.328</v>
      </c>
      <c r="H428" s="10" t="inlineStr">
        <is>
          <t>NO</t>
        </is>
      </c>
      <c r="I428" s="10" t="inlineStr">
        <is>
          <t>500×550</t>
        </is>
      </c>
      <c r="J428" s="15" t="inlineStr">
        <is>
          <t>CUMPLE</t>
        </is>
      </c>
    </row>
    <row r="429">
      <c r="A429" s="25" t="inlineStr">
        <is>
          <t>VR2</t>
        </is>
      </c>
      <c r="B429" s="10" t="inlineStr">
        <is>
          <t>793</t>
        </is>
      </c>
      <c r="C429" s="32" t="n">
        <v>12.4715</v>
      </c>
      <c r="D429" s="32" t="n">
        <v>37.1242</v>
      </c>
      <c r="E429" s="32" t="n">
        <v>37.1242</v>
      </c>
      <c r="F429" s="32" t="n">
        <v>47.16287939768263</v>
      </c>
      <c r="G429" s="32" t="n">
        <v>37.1242</v>
      </c>
      <c r="H429" s="10" t="inlineStr">
        <is>
          <t>NO</t>
        </is>
      </c>
      <c r="I429" s="10" t="inlineStr">
        <is>
          <t>500×550</t>
        </is>
      </c>
      <c r="J429" s="15" t="inlineStr">
        <is>
          <t>CUMPLE</t>
        </is>
      </c>
    </row>
    <row r="430">
      <c r="A430" s="25" t="inlineStr">
        <is>
          <t>VR2</t>
        </is>
      </c>
      <c r="B430" s="10" t="inlineStr">
        <is>
          <t>794</t>
        </is>
      </c>
      <c r="C430" s="32" t="n">
        <v>4.7347</v>
      </c>
      <c r="D430" s="32" t="n">
        <v>16.0465</v>
      </c>
      <c r="E430" s="32" t="n">
        <v>16.0465</v>
      </c>
      <c r="F430" s="32" t="n">
        <v>47.16287939768263</v>
      </c>
      <c r="G430" s="32" t="n">
        <v>16.0465</v>
      </c>
      <c r="H430" s="10" t="inlineStr">
        <is>
          <t>NO</t>
        </is>
      </c>
      <c r="I430" s="10" t="inlineStr">
        <is>
          <t>500×550</t>
        </is>
      </c>
      <c r="J430" s="15" t="inlineStr">
        <is>
          <t>CUMPLE</t>
        </is>
      </c>
    </row>
    <row r="431">
      <c r="A431" s="25" t="inlineStr">
        <is>
          <t>VR2</t>
        </is>
      </c>
      <c r="B431" s="10" t="inlineStr">
        <is>
          <t>795</t>
        </is>
      </c>
      <c r="C431" s="32" t="n">
        <v>1.862</v>
      </c>
      <c r="D431" s="32" t="n">
        <v>5.6242</v>
      </c>
      <c r="E431" s="32" t="n">
        <v>5.6242</v>
      </c>
      <c r="F431" s="32" t="n">
        <v>47.16287939768263</v>
      </c>
      <c r="G431" s="32" t="n">
        <v>5.6242</v>
      </c>
      <c r="H431" s="10" t="inlineStr">
        <is>
          <t>NO</t>
        </is>
      </c>
      <c r="I431" s="10" t="inlineStr">
        <is>
          <t>500×550</t>
        </is>
      </c>
      <c r="J431" s="15" t="inlineStr">
        <is>
          <t>CUMPLE</t>
        </is>
      </c>
    </row>
    <row r="432">
      <c r="A432" s="25" t="inlineStr">
        <is>
          <t>VR2</t>
        </is>
      </c>
      <c r="B432" s="10" t="inlineStr">
        <is>
          <t>796</t>
        </is>
      </c>
      <c r="C432" s="32" t="n">
        <v>13.7261</v>
      </c>
      <c r="D432" s="32" t="n">
        <v>56.5982</v>
      </c>
      <c r="E432" s="32" t="n">
        <v>56.5982</v>
      </c>
      <c r="F432" s="32" t="n">
        <v>47.16287939768263</v>
      </c>
      <c r="G432" s="32" t="n">
        <v>56.5982</v>
      </c>
      <c r="H432" s="22" t="inlineStr">
        <is>
          <t>SÍ</t>
        </is>
      </c>
      <c r="I432" s="10" t="inlineStr">
        <is>
          <t>500×550</t>
        </is>
      </c>
      <c r="J432" s="15" t="inlineStr">
        <is>
          <t>CUMPLE</t>
        </is>
      </c>
    </row>
    <row r="433">
      <c r="A433" s="25" t="inlineStr">
        <is>
          <t>VR2</t>
        </is>
      </c>
      <c r="B433" s="10" t="inlineStr">
        <is>
          <t>797</t>
        </is>
      </c>
      <c r="C433" s="32" t="n">
        <v>13.286</v>
      </c>
      <c r="D433" s="32" t="n">
        <v>54.7202</v>
      </c>
      <c r="E433" s="32" t="n">
        <v>54.7202</v>
      </c>
      <c r="F433" s="32" t="n">
        <v>47.16287939768263</v>
      </c>
      <c r="G433" s="32" t="n">
        <v>54.7202</v>
      </c>
      <c r="H433" s="22" t="inlineStr">
        <is>
          <t>SÍ</t>
        </is>
      </c>
      <c r="I433" s="10" t="inlineStr">
        <is>
          <t>500×550</t>
        </is>
      </c>
      <c r="J433" s="15" t="inlineStr">
        <is>
          <t>CUMPLE</t>
        </is>
      </c>
    </row>
    <row r="434">
      <c r="A434" s="25" t="inlineStr">
        <is>
          <t>VR2</t>
        </is>
      </c>
      <c r="B434" s="10" t="inlineStr">
        <is>
          <t>798</t>
        </is>
      </c>
      <c r="C434" s="32" t="n">
        <v>1.8961</v>
      </c>
      <c r="D434" s="32" t="n">
        <v>5.6157</v>
      </c>
      <c r="E434" s="32" t="n">
        <v>5.6157</v>
      </c>
      <c r="F434" s="32" t="n">
        <v>47.16287939768263</v>
      </c>
      <c r="G434" s="32" t="n">
        <v>5.6157</v>
      </c>
      <c r="H434" s="10" t="inlineStr">
        <is>
          <t>NO</t>
        </is>
      </c>
      <c r="I434" s="10" t="inlineStr">
        <is>
          <t>500×550</t>
        </is>
      </c>
      <c r="J434" s="15" t="inlineStr">
        <is>
          <t>CUMPLE</t>
        </is>
      </c>
    </row>
    <row r="435">
      <c r="A435" s="25" t="inlineStr">
        <is>
          <t>VR2</t>
        </is>
      </c>
      <c r="B435" s="10" t="inlineStr">
        <is>
          <t>799</t>
        </is>
      </c>
      <c r="C435" s="32" t="n">
        <v>4.7313</v>
      </c>
      <c r="D435" s="32" t="n">
        <v>16.0263</v>
      </c>
      <c r="E435" s="32" t="n">
        <v>16.0263</v>
      </c>
      <c r="F435" s="32" t="n">
        <v>47.16287939768263</v>
      </c>
      <c r="G435" s="32" t="n">
        <v>16.0263</v>
      </c>
      <c r="H435" s="10" t="inlineStr">
        <is>
          <t>NO</t>
        </is>
      </c>
      <c r="I435" s="10" t="inlineStr">
        <is>
          <t>500×550</t>
        </is>
      </c>
      <c r="J435" s="15" t="inlineStr">
        <is>
          <t>CUMPLE</t>
        </is>
      </c>
    </row>
    <row r="436">
      <c r="A436" s="25" t="inlineStr">
        <is>
          <t>VR2</t>
        </is>
      </c>
      <c r="B436" s="10" t="inlineStr">
        <is>
          <t>800</t>
        </is>
      </c>
      <c r="C436" s="32" t="n">
        <v>12.4195</v>
      </c>
      <c r="D436" s="32" t="n">
        <v>37.0648</v>
      </c>
      <c r="E436" s="32" t="n">
        <v>37.0648</v>
      </c>
      <c r="F436" s="32" t="n">
        <v>47.16287939768263</v>
      </c>
      <c r="G436" s="32" t="n">
        <v>37.0648</v>
      </c>
      <c r="H436" s="10" t="inlineStr">
        <is>
          <t>NO</t>
        </is>
      </c>
      <c r="I436" s="10" t="inlineStr">
        <is>
          <t>500×550</t>
        </is>
      </c>
      <c r="J436" s="15" t="inlineStr">
        <is>
          <t>CUMPLE</t>
        </is>
      </c>
    </row>
    <row r="437">
      <c r="A437" s="25" t="inlineStr">
        <is>
          <t>VR2</t>
        </is>
      </c>
      <c r="B437" s="10" t="inlineStr">
        <is>
          <t>801</t>
        </is>
      </c>
      <c r="C437" s="32" t="n">
        <v>18.4537</v>
      </c>
      <c r="D437" s="32" t="n">
        <v>43.2727</v>
      </c>
      <c r="E437" s="32" t="n">
        <v>43.2727</v>
      </c>
      <c r="F437" s="32" t="n">
        <v>47.16287939768263</v>
      </c>
      <c r="G437" s="32" t="n">
        <v>43.2727</v>
      </c>
      <c r="H437" s="10" t="inlineStr">
        <is>
          <t>NO</t>
        </is>
      </c>
      <c r="I437" s="10" t="inlineStr">
        <is>
          <t>500×550</t>
        </is>
      </c>
      <c r="J437" s="15" t="inlineStr">
        <is>
          <t>CUMPLE</t>
        </is>
      </c>
    </row>
    <row r="438">
      <c r="A438" s="25" t="inlineStr">
        <is>
          <t>VR2</t>
        </is>
      </c>
      <c r="B438" s="10" t="inlineStr">
        <is>
          <t>802</t>
        </is>
      </c>
      <c r="C438" s="32" t="n">
        <v>1.8667</v>
      </c>
      <c r="D438" s="32" t="n">
        <v>6.2519</v>
      </c>
      <c r="E438" s="32" t="n">
        <v>6.2519</v>
      </c>
      <c r="F438" s="32" t="n">
        <v>47.16287939768263</v>
      </c>
      <c r="G438" s="32" t="n">
        <v>6.2519</v>
      </c>
      <c r="H438" s="10" t="inlineStr">
        <is>
          <t>NO</t>
        </is>
      </c>
      <c r="I438" s="10" t="inlineStr">
        <is>
          <t>500×550</t>
        </is>
      </c>
      <c r="J438" s="15" t="inlineStr">
        <is>
          <t>CUMPLE</t>
        </is>
      </c>
    </row>
    <row r="439">
      <c r="A439" s="25" t="inlineStr">
        <is>
          <t>VR2</t>
        </is>
      </c>
      <c r="B439" s="10" t="inlineStr">
        <is>
          <t>863</t>
        </is>
      </c>
      <c r="C439" s="32" t="n">
        <v>1.3872</v>
      </c>
      <c r="D439" s="32" t="n">
        <v>4.0394</v>
      </c>
      <c r="E439" s="32" t="n">
        <v>4.0394</v>
      </c>
      <c r="F439" s="32" t="n">
        <v>47.16287939768263</v>
      </c>
      <c r="G439" s="32" t="n">
        <v>4.0394</v>
      </c>
      <c r="H439" s="10" t="inlineStr">
        <is>
          <t>NO</t>
        </is>
      </c>
      <c r="I439" s="10" t="inlineStr">
        <is>
          <t>500×550</t>
        </is>
      </c>
      <c r="J439" s="15" t="inlineStr">
        <is>
          <t>CUMPLE</t>
        </is>
      </c>
    </row>
    <row r="440">
      <c r="A440" s="25" t="inlineStr">
        <is>
          <t>VR2</t>
        </is>
      </c>
      <c r="B440" s="10" t="inlineStr">
        <is>
          <t>864</t>
        </is>
      </c>
      <c r="C440" s="32" t="n">
        <v>16.3686</v>
      </c>
      <c r="D440" s="32" t="n">
        <v>31.8883</v>
      </c>
      <c r="E440" s="32" t="n">
        <v>31.8883</v>
      </c>
      <c r="F440" s="32" t="n">
        <v>47.16287939768263</v>
      </c>
      <c r="G440" s="32" t="n">
        <v>31.8883</v>
      </c>
      <c r="H440" s="10" t="inlineStr">
        <is>
          <t>NO</t>
        </is>
      </c>
      <c r="I440" s="10" t="inlineStr">
        <is>
          <t>500×550</t>
        </is>
      </c>
      <c r="J440" s="15" t="inlineStr">
        <is>
          <t>CUMPLE</t>
        </is>
      </c>
    </row>
    <row r="441">
      <c r="A441" s="25" t="inlineStr">
        <is>
          <t>VR2</t>
        </is>
      </c>
      <c r="B441" s="10" t="inlineStr">
        <is>
          <t>865</t>
        </is>
      </c>
      <c r="C441" s="32" t="n">
        <v>10.3183</v>
      </c>
      <c r="D441" s="32" t="n">
        <v>26.166</v>
      </c>
      <c r="E441" s="32" t="n">
        <v>26.166</v>
      </c>
      <c r="F441" s="32" t="n">
        <v>47.16287939768263</v>
      </c>
      <c r="G441" s="32" t="n">
        <v>26.166</v>
      </c>
      <c r="H441" s="10" t="inlineStr">
        <is>
          <t>NO</t>
        </is>
      </c>
      <c r="I441" s="10" t="inlineStr">
        <is>
          <t>500×550</t>
        </is>
      </c>
      <c r="J441" s="15" t="inlineStr">
        <is>
          <t>CUMPLE</t>
        </is>
      </c>
    </row>
    <row r="442">
      <c r="A442" s="25" t="inlineStr">
        <is>
          <t>VR2</t>
        </is>
      </c>
      <c r="B442" s="10" t="inlineStr">
        <is>
          <t>866</t>
        </is>
      </c>
      <c r="C442" s="32" t="n">
        <v>3.673</v>
      </c>
      <c r="D442" s="32" t="n">
        <v>10.9145</v>
      </c>
      <c r="E442" s="32" t="n">
        <v>10.9145</v>
      </c>
      <c r="F442" s="32" t="n">
        <v>47.16287939768263</v>
      </c>
      <c r="G442" s="32" t="n">
        <v>10.9145</v>
      </c>
      <c r="H442" s="10" t="inlineStr">
        <is>
          <t>NO</t>
        </is>
      </c>
      <c r="I442" s="10" t="inlineStr">
        <is>
          <t>500×550</t>
        </is>
      </c>
      <c r="J442" s="15" t="inlineStr">
        <is>
          <t>CUMPLE</t>
        </is>
      </c>
    </row>
    <row r="443">
      <c r="A443" s="25" t="inlineStr">
        <is>
          <t>VR2</t>
        </is>
      </c>
      <c r="B443" s="10" t="inlineStr">
        <is>
          <t>867</t>
        </is>
      </c>
      <c r="C443" s="32" t="n">
        <v>1.8286</v>
      </c>
      <c r="D443" s="32" t="n">
        <v>5.178</v>
      </c>
      <c r="E443" s="32" t="n">
        <v>5.178</v>
      </c>
      <c r="F443" s="32" t="n">
        <v>47.16287939768263</v>
      </c>
      <c r="G443" s="32" t="n">
        <v>5.178</v>
      </c>
      <c r="H443" s="10" t="inlineStr">
        <is>
          <t>NO</t>
        </is>
      </c>
      <c r="I443" s="10" t="inlineStr">
        <is>
          <t>500×550</t>
        </is>
      </c>
      <c r="J443" s="15" t="inlineStr">
        <is>
          <t>CUMPLE</t>
        </is>
      </c>
    </row>
    <row r="444">
      <c r="A444" s="25" t="inlineStr">
        <is>
          <t>VR2</t>
        </is>
      </c>
      <c r="B444" s="10" t="inlineStr">
        <is>
          <t>868</t>
        </is>
      </c>
      <c r="C444" s="32" t="n">
        <v>9.1073</v>
      </c>
      <c r="D444" s="32" t="n">
        <v>31.6046</v>
      </c>
      <c r="E444" s="32" t="n">
        <v>31.6046</v>
      </c>
      <c r="F444" s="32" t="n">
        <v>47.16287939768263</v>
      </c>
      <c r="G444" s="32" t="n">
        <v>31.6046</v>
      </c>
      <c r="H444" s="10" t="inlineStr">
        <is>
          <t>NO</t>
        </is>
      </c>
      <c r="I444" s="10" t="inlineStr">
        <is>
          <t>500×550</t>
        </is>
      </c>
      <c r="J444" s="15" t="inlineStr">
        <is>
          <t>CUMPLE</t>
        </is>
      </c>
    </row>
    <row r="445">
      <c r="A445" s="25" t="inlineStr">
        <is>
          <t>VR2</t>
        </is>
      </c>
      <c r="B445" s="10" t="inlineStr">
        <is>
          <t>869</t>
        </is>
      </c>
      <c r="C445" s="32" t="n">
        <v>8.8238</v>
      </c>
      <c r="D445" s="32" t="n">
        <v>30.5604</v>
      </c>
      <c r="E445" s="32" t="n">
        <v>30.5604</v>
      </c>
      <c r="F445" s="32" t="n">
        <v>47.16287939768263</v>
      </c>
      <c r="G445" s="32" t="n">
        <v>30.5604</v>
      </c>
      <c r="H445" s="10" t="inlineStr">
        <is>
          <t>NO</t>
        </is>
      </c>
      <c r="I445" s="10" t="inlineStr">
        <is>
          <t>500×550</t>
        </is>
      </c>
      <c r="J445" s="15" t="inlineStr">
        <is>
          <t>CUMPLE</t>
        </is>
      </c>
    </row>
    <row r="446">
      <c r="A446" s="25" t="inlineStr">
        <is>
          <t>VR2</t>
        </is>
      </c>
      <c r="B446" s="10" t="inlineStr">
        <is>
          <t>870</t>
        </is>
      </c>
      <c r="C446" s="32" t="n">
        <v>1.8712</v>
      </c>
      <c r="D446" s="32" t="n">
        <v>5.2132</v>
      </c>
      <c r="E446" s="32" t="n">
        <v>5.2132</v>
      </c>
      <c r="F446" s="32" t="n">
        <v>47.16287939768263</v>
      </c>
      <c r="G446" s="32" t="n">
        <v>5.2132</v>
      </c>
      <c r="H446" s="10" t="inlineStr">
        <is>
          <t>NO</t>
        </is>
      </c>
      <c r="I446" s="10" t="inlineStr">
        <is>
          <t>500×550</t>
        </is>
      </c>
      <c r="J446" s="15" t="inlineStr">
        <is>
          <t>CUMPLE</t>
        </is>
      </c>
    </row>
    <row r="447">
      <c r="A447" s="25" t="inlineStr">
        <is>
          <t>VR2</t>
        </is>
      </c>
      <c r="B447" s="10" t="inlineStr">
        <is>
          <t>871</t>
        </is>
      </c>
      <c r="C447" s="32" t="n">
        <v>3.6685</v>
      </c>
      <c r="D447" s="32" t="n">
        <v>10.8924</v>
      </c>
      <c r="E447" s="32" t="n">
        <v>10.8924</v>
      </c>
      <c r="F447" s="32" t="n">
        <v>47.16287939768263</v>
      </c>
      <c r="G447" s="32" t="n">
        <v>10.8924</v>
      </c>
      <c r="H447" s="10" t="inlineStr">
        <is>
          <t>NO</t>
        </is>
      </c>
      <c r="I447" s="10" t="inlineStr">
        <is>
          <t>500×550</t>
        </is>
      </c>
      <c r="J447" s="15" t="inlineStr">
        <is>
          <t>CUMPLE</t>
        </is>
      </c>
    </row>
    <row r="448">
      <c r="A448" s="25" t="inlineStr">
        <is>
          <t>VR2</t>
        </is>
      </c>
      <c r="B448" s="10" t="inlineStr">
        <is>
          <t>872</t>
        </is>
      </c>
      <c r="C448" s="32" t="n">
        <v>10.3598</v>
      </c>
      <c r="D448" s="32" t="n">
        <v>26.2049</v>
      </c>
      <c r="E448" s="32" t="n">
        <v>26.2049</v>
      </c>
      <c r="F448" s="32" t="n">
        <v>47.16287939768263</v>
      </c>
      <c r="G448" s="32" t="n">
        <v>26.2049</v>
      </c>
      <c r="H448" s="10" t="inlineStr">
        <is>
          <t>NO</t>
        </is>
      </c>
      <c r="I448" s="10" t="inlineStr">
        <is>
          <t>500×550</t>
        </is>
      </c>
      <c r="J448" s="15" t="inlineStr">
        <is>
          <t>CUMPLE</t>
        </is>
      </c>
    </row>
    <row r="449">
      <c r="A449" s="25" t="inlineStr">
        <is>
          <t>VR2</t>
        </is>
      </c>
      <c r="B449" s="10" t="inlineStr">
        <is>
          <t>873</t>
        </is>
      </c>
      <c r="C449" s="32" t="n">
        <v>16.3675</v>
      </c>
      <c r="D449" s="32" t="n">
        <v>31.8729</v>
      </c>
      <c r="E449" s="32" t="n">
        <v>31.8729</v>
      </c>
      <c r="F449" s="32" t="n">
        <v>47.16287939768263</v>
      </c>
      <c r="G449" s="32" t="n">
        <v>31.8729</v>
      </c>
      <c r="H449" s="10" t="inlineStr">
        <is>
          <t>NO</t>
        </is>
      </c>
      <c r="I449" s="10" t="inlineStr">
        <is>
          <t>500×550</t>
        </is>
      </c>
      <c r="J449" s="15" t="inlineStr">
        <is>
          <t>CUMPLE</t>
        </is>
      </c>
    </row>
    <row r="450">
      <c r="A450" s="25" t="inlineStr">
        <is>
          <t>VR2</t>
        </is>
      </c>
      <c r="B450" s="10" t="inlineStr">
        <is>
          <t>874</t>
        </is>
      </c>
      <c r="C450" s="32" t="n">
        <v>1.3875</v>
      </c>
      <c r="D450" s="32" t="n">
        <v>4.0392</v>
      </c>
      <c r="E450" s="32" t="n">
        <v>4.0392</v>
      </c>
      <c r="F450" s="32" t="n">
        <v>47.16287939768263</v>
      </c>
      <c r="G450" s="32" t="n">
        <v>4.0392</v>
      </c>
      <c r="H450" s="10" t="inlineStr">
        <is>
          <t>NO</t>
        </is>
      </c>
      <c r="I450" s="10" t="inlineStr">
        <is>
          <t>500×550</t>
        </is>
      </c>
      <c r="J450" s="15" t="inlineStr">
        <is>
          <t>CUMPLE</t>
        </is>
      </c>
    </row>
    <row r="451">
      <c r="A451" s="25" t="inlineStr">
        <is>
          <t>VR2</t>
        </is>
      </c>
      <c r="B451" s="10" t="inlineStr">
        <is>
          <t>885</t>
        </is>
      </c>
      <c r="C451" s="32" t="n">
        <v>1.3879</v>
      </c>
      <c r="D451" s="32" t="n">
        <v>4.04</v>
      </c>
      <c r="E451" s="32" t="n">
        <v>4.04</v>
      </c>
      <c r="F451" s="32" t="n">
        <v>47.16287939768263</v>
      </c>
      <c r="G451" s="32" t="n">
        <v>4.04</v>
      </c>
      <c r="H451" s="10" t="inlineStr">
        <is>
          <t>NO</t>
        </is>
      </c>
      <c r="I451" s="10" t="inlineStr">
        <is>
          <t>500×550</t>
        </is>
      </c>
      <c r="J451" s="15" t="inlineStr">
        <is>
          <t>CUMPLE</t>
        </is>
      </c>
    </row>
    <row r="452">
      <c r="A452" s="25" t="inlineStr">
        <is>
          <t>VR2</t>
        </is>
      </c>
      <c r="B452" s="10" t="inlineStr">
        <is>
          <t>886</t>
        </is>
      </c>
      <c r="C452" s="32" t="n">
        <v>16.3713</v>
      </c>
      <c r="D452" s="32" t="n">
        <v>31.8873</v>
      </c>
      <c r="E452" s="32" t="n">
        <v>31.8873</v>
      </c>
      <c r="F452" s="32" t="n">
        <v>47.16287939768263</v>
      </c>
      <c r="G452" s="32" t="n">
        <v>31.8873</v>
      </c>
      <c r="H452" s="10" t="inlineStr">
        <is>
          <t>NO</t>
        </is>
      </c>
      <c r="I452" s="10" t="inlineStr">
        <is>
          <t>500×550</t>
        </is>
      </c>
      <c r="J452" s="15" t="inlineStr">
        <is>
          <t>CUMPLE</t>
        </is>
      </c>
    </row>
    <row r="453">
      <c r="A453" s="25" t="inlineStr">
        <is>
          <t>VR2</t>
        </is>
      </c>
      <c r="B453" s="10" t="inlineStr">
        <is>
          <t>887</t>
        </is>
      </c>
      <c r="C453" s="32" t="n">
        <v>10.3639</v>
      </c>
      <c r="D453" s="32" t="n">
        <v>26.2129</v>
      </c>
      <c r="E453" s="32" t="n">
        <v>26.2129</v>
      </c>
      <c r="F453" s="32" t="n">
        <v>47.16287939768263</v>
      </c>
      <c r="G453" s="32" t="n">
        <v>26.2129</v>
      </c>
      <c r="H453" s="10" t="inlineStr">
        <is>
          <t>NO</t>
        </is>
      </c>
      <c r="I453" s="10" t="inlineStr">
        <is>
          <t>500×550</t>
        </is>
      </c>
      <c r="J453" s="15" t="inlineStr">
        <is>
          <t>CUMPLE</t>
        </is>
      </c>
    </row>
    <row r="454">
      <c r="A454" s="25" t="inlineStr">
        <is>
          <t>VR2</t>
        </is>
      </c>
      <c r="B454" s="10" t="inlineStr">
        <is>
          <t>888</t>
        </is>
      </c>
      <c r="C454" s="32" t="n">
        <v>3.6718</v>
      </c>
      <c r="D454" s="32" t="n">
        <v>10.9131</v>
      </c>
      <c r="E454" s="32" t="n">
        <v>10.9131</v>
      </c>
      <c r="F454" s="32" t="n">
        <v>47.16287939768263</v>
      </c>
      <c r="G454" s="32" t="n">
        <v>10.9131</v>
      </c>
      <c r="H454" s="10" t="inlineStr">
        <is>
          <t>NO</t>
        </is>
      </c>
      <c r="I454" s="10" t="inlineStr">
        <is>
          <t>500×550</t>
        </is>
      </c>
      <c r="J454" s="15" t="inlineStr">
        <is>
          <t>CUMPLE</t>
        </is>
      </c>
    </row>
    <row r="455">
      <c r="A455" s="25" t="inlineStr">
        <is>
          <t>VR2</t>
        </is>
      </c>
      <c r="B455" s="10" t="inlineStr">
        <is>
          <t>889</t>
        </is>
      </c>
      <c r="C455" s="32" t="n">
        <v>1.827</v>
      </c>
      <c r="D455" s="32" t="n">
        <v>5.1765</v>
      </c>
      <c r="E455" s="32" t="n">
        <v>5.1765</v>
      </c>
      <c r="F455" s="32" t="n">
        <v>47.16287939768263</v>
      </c>
      <c r="G455" s="32" t="n">
        <v>5.1765</v>
      </c>
      <c r="H455" s="10" t="inlineStr">
        <is>
          <t>NO</t>
        </is>
      </c>
      <c r="I455" s="10" t="inlineStr">
        <is>
          <t>500×550</t>
        </is>
      </c>
      <c r="J455" s="15" t="inlineStr">
        <is>
          <t>CUMPLE</t>
        </is>
      </c>
    </row>
    <row r="456">
      <c r="A456" s="25" t="inlineStr">
        <is>
          <t>VR2</t>
        </is>
      </c>
      <c r="B456" s="10" t="inlineStr">
        <is>
          <t>890</t>
        </is>
      </c>
      <c r="C456" s="32" t="n">
        <v>9.1092</v>
      </c>
      <c r="D456" s="32" t="n">
        <v>31.6065</v>
      </c>
      <c r="E456" s="32" t="n">
        <v>31.6065</v>
      </c>
      <c r="F456" s="32" t="n">
        <v>47.16287939768263</v>
      </c>
      <c r="G456" s="32" t="n">
        <v>31.6065</v>
      </c>
      <c r="H456" s="10" t="inlineStr">
        <is>
          <t>NO</t>
        </is>
      </c>
      <c r="I456" s="10" t="inlineStr">
        <is>
          <t>500×550</t>
        </is>
      </c>
      <c r="J456" s="15" t="inlineStr">
        <is>
          <t>CUMPLE</t>
        </is>
      </c>
    </row>
    <row r="457">
      <c r="A457" s="25" t="inlineStr">
        <is>
          <t>VR2</t>
        </is>
      </c>
      <c r="B457" s="10" t="inlineStr">
        <is>
          <t>891</t>
        </is>
      </c>
      <c r="C457" s="32" t="n">
        <v>8.8233</v>
      </c>
      <c r="D457" s="32" t="n">
        <v>30.5599</v>
      </c>
      <c r="E457" s="32" t="n">
        <v>30.5599</v>
      </c>
      <c r="F457" s="32" t="n">
        <v>47.16287939768263</v>
      </c>
      <c r="G457" s="32" t="n">
        <v>30.5599</v>
      </c>
      <c r="H457" s="10" t="inlineStr">
        <is>
          <t>NO</t>
        </is>
      </c>
      <c r="I457" s="10" t="inlineStr">
        <is>
          <t>500×550</t>
        </is>
      </c>
      <c r="J457" s="15" t="inlineStr">
        <is>
          <t>CUMPLE</t>
        </is>
      </c>
    </row>
    <row r="458">
      <c r="A458" s="25" t="inlineStr">
        <is>
          <t>VR2</t>
        </is>
      </c>
      <c r="B458" s="10" t="inlineStr">
        <is>
          <t>892</t>
        </is>
      </c>
      <c r="C458" s="32" t="n">
        <v>1.8726</v>
      </c>
      <c r="D458" s="32" t="n">
        <v>5.2145</v>
      </c>
      <c r="E458" s="32" t="n">
        <v>5.2145</v>
      </c>
      <c r="F458" s="32" t="n">
        <v>47.16287939768263</v>
      </c>
      <c r="G458" s="32" t="n">
        <v>5.2145</v>
      </c>
      <c r="H458" s="10" t="inlineStr">
        <is>
          <t>NO</t>
        </is>
      </c>
      <c r="I458" s="10" t="inlineStr">
        <is>
          <t>500×550</t>
        </is>
      </c>
      <c r="J458" s="15" t="inlineStr">
        <is>
          <t>CUMPLE</t>
        </is>
      </c>
    </row>
    <row r="459">
      <c r="A459" s="25" t="inlineStr">
        <is>
          <t>VR2</t>
        </is>
      </c>
      <c r="B459" s="10" t="inlineStr">
        <is>
          <t>893</t>
        </is>
      </c>
      <c r="C459" s="32" t="n">
        <v>3.6684</v>
      </c>
      <c r="D459" s="32" t="n">
        <v>10.8921</v>
      </c>
      <c r="E459" s="32" t="n">
        <v>10.8921</v>
      </c>
      <c r="F459" s="32" t="n">
        <v>47.16287939768263</v>
      </c>
      <c r="G459" s="32" t="n">
        <v>10.8921</v>
      </c>
      <c r="H459" s="10" t="inlineStr">
        <is>
          <t>NO</t>
        </is>
      </c>
      <c r="I459" s="10" t="inlineStr">
        <is>
          <t>500×550</t>
        </is>
      </c>
      <c r="J459" s="15" t="inlineStr">
        <is>
          <t>CUMPLE</t>
        </is>
      </c>
    </row>
    <row r="460">
      <c r="A460" s="25" t="inlineStr">
        <is>
          <t>VR2</t>
        </is>
      </c>
      <c r="B460" s="10" t="inlineStr">
        <is>
          <t>894</t>
        </is>
      </c>
      <c r="C460" s="32" t="n">
        <v>10.3045</v>
      </c>
      <c r="D460" s="32" t="n">
        <v>26.1457</v>
      </c>
      <c r="E460" s="32" t="n">
        <v>26.1457</v>
      </c>
      <c r="F460" s="32" t="n">
        <v>47.16287939768263</v>
      </c>
      <c r="G460" s="32" t="n">
        <v>26.1457</v>
      </c>
      <c r="H460" s="10" t="inlineStr">
        <is>
          <t>NO</t>
        </is>
      </c>
      <c r="I460" s="10" t="inlineStr">
        <is>
          <t>500×550</t>
        </is>
      </c>
      <c r="J460" s="15" t="inlineStr">
        <is>
          <t>CUMPLE</t>
        </is>
      </c>
    </row>
    <row r="461">
      <c r="A461" s="25" t="inlineStr">
        <is>
          <t>VR2</t>
        </is>
      </c>
      <c r="B461" s="10" t="inlineStr">
        <is>
          <t>895</t>
        </is>
      </c>
      <c r="C461" s="32" t="n">
        <v>16.3183</v>
      </c>
      <c r="D461" s="32" t="n">
        <v>31.8149</v>
      </c>
      <c r="E461" s="32" t="n">
        <v>31.8149</v>
      </c>
      <c r="F461" s="32" t="n">
        <v>47.16287939768263</v>
      </c>
      <c r="G461" s="32" t="n">
        <v>31.8149</v>
      </c>
      <c r="H461" s="10" t="inlineStr">
        <is>
          <t>NO</t>
        </is>
      </c>
      <c r="I461" s="10" t="inlineStr">
        <is>
          <t>500×550</t>
        </is>
      </c>
      <c r="J461" s="15" t="inlineStr">
        <is>
          <t>CUMPLE</t>
        </is>
      </c>
    </row>
    <row r="462">
      <c r="A462" s="25" t="inlineStr">
        <is>
          <t>VR2</t>
        </is>
      </c>
      <c r="B462" s="10" t="inlineStr">
        <is>
          <t>896</t>
        </is>
      </c>
      <c r="C462" s="32" t="n">
        <v>1.3856</v>
      </c>
      <c r="D462" s="32" t="n">
        <v>4.0367</v>
      </c>
      <c r="E462" s="32" t="n">
        <v>4.0367</v>
      </c>
      <c r="F462" s="32" t="n">
        <v>47.16287939768263</v>
      </c>
      <c r="G462" s="32" t="n">
        <v>4.0367</v>
      </c>
      <c r="H462" s="10" t="inlineStr">
        <is>
          <t>NO</t>
        </is>
      </c>
      <c r="I462" s="10" t="inlineStr">
        <is>
          <t>500×550</t>
        </is>
      </c>
      <c r="J462" s="15" t="inlineStr">
        <is>
          <t>CUMPLE</t>
        </is>
      </c>
    </row>
    <row r="463">
      <c r="A463" s="25" t="inlineStr">
        <is>
          <t>VR2</t>
        </is>
      </c>
      <c r="B463" s="10" t="inlineStr">
        <is>
          <t>957</t>
        </is>
      </c>
      <c r="C463" s="32" t="n">
        <v>1.2775</v>
      </c>
      <c r="D463" s="32" t="n">
        <v>2.5237</v>
      </c>
      <c r="E463" s="32" t="n">
        <v>2.5237</v>
      </c>
      <c r="F463" s="32" t="n">
        <v>47.16287939768263</v>
      </c>
      <c r="G463" s="32" t="n">
        <v>2.5237</v>
      </c>
      <c r="H463" s="10" t="inlineStr">
        <is>
          <t>NO</t>
        </is>
      </c>
      <c r="I463" s="10" t="inlineStr">
        <is>
          <t>500×550</t>
        </is>
      </c>
      <c r="J463" s="15" t="inlineStr">
        <is>
          <t>CUMPLE</t>
        </is>
      </c>
    </row>
    <row r="464">
      <c r="A464" s="25" t="inlineStr">
        <is>
          <t>VR2</t>
        </is>
      </c>
      <c r="B464" s="10" t="inlineStr">
        <is>
          <t>958</t>
        </is>
      </c>
      <c r="C464" s="32" t="n">
        <v>14.8287</v>
      </c>
      <c r="D464" s="32" t="n">
        <v>26.3303</v>
      </c>
      <c r="E464" s="32" t="n">
        <v>26.3303</v>
      </c>
      <c r="F464" s="32" t="n">
        <v>47.16287939768263</v>
      </c>
      <c r="G464" s="32" t="n">
        <v>26.3303</v>
      </c>
      <c r="H464" s="10" t="inlineStr">
        <is>
          <t>NO</t>
        </is>
      </c>
      <c r="I464" s="10" t="inlineStr">
        <is>
          <t>500×550</t>
        </is>
      </c>
      <c r="J464" s="15" t="inlineStr">
        <is>
          <t>CUMPLE</t>
        </is>
      </c>
    </row>
    <row r="465">
      <c r="A465" s="25" t="inlineStr">
        <is>
          <t>VR2</t>
        </is>
      </c>
      <c r="B465" s="10" t="inlineStr">
        <is>
          <t>959</t>
        </is>
      </c>
      <c r="C465" s="32" t="n">
        <v>9.110200000000001</v>
      </c>
      <c r="D465" s="32" t="n">
        <v>21.5494</v>
      </c>
      <c r="E465" s="32" t="n">
        <v>21.5494</v>
      </c>
      <c r="F465" s="32" t="n">
        <v>47.16287939768263</v>
      </c>
      <c r="G465" s="32" t="n">
        <v>21.5494</v>
      </c>
      <c r="H465" s="10" t="inlineStr">
        <is>
          <t>NO</t>
        </is>
      </c>
      <c r="I465" s="10" t="inlineStr">
        <is>
          <t>500×550</t>
        </is>
      </c>
      <c r="J465" s="15" t="inlineStr">
        <is>
          <t>CUMPLE</t>
        </is>
      </c>
    </row>
    <row r="466">
      <c r="A466" s="25" t="inlineStr">
        <is>
          <t>VR2</t>
        </is>
      </c>
      <c r="B466" s="10" t="inlineStr">
        <is>
          <t>960</t>
        </is>
      </c>
      <c r="C466" s="32" t="n">
        <v>4.0712</v>
      </c>
      <c r="D466" s="32" t="n">
        <v>9.3789</v>
      </c>
      <c r="E466" s="32" t="n">
        <v>9.3789</v>
      </c>
      <c r="F466" s="32" t="n">
        <v>47.16287939768263</v>
      </c>
      <c r="G466" s="32" t="n">
        <v>9.3789</v>
      </c>
      <c r="H466" s="10" t="inlineStr">
        <is>
          <t>NO</t>
        </is>
      </c>
      <c r="I466" s="10" t="inlineStr">
        <is>
          <t>500×550</t>
        </is>
      </c>
      <c r="J466" s="15" t="inlineStr">
        <is>
          <t>CUMPLE</t>
        </is>
      </c>
    </row>
    <row r="467">
      <c r="A467" s="25" t="inlineStr">
        <is>
          <t>VR2</t>
        </is>
      </c>
      <c r="B467" s="10" t="inlineStr">
        <is>
          <t>961</t>
        </is>
      </c>
      <c r="C467" s="32" t="n">
        <v>2.8141</v>
      </c>
      <c r="D467" s="32" t="n">
        <v>8.188700000000001</v>
      </c>
      <c r="E467" s="32" t="n">
        <v>8.188700000000001</v>
      </c>
      <c r="F467" s="32" t="n">
        <v>47.16287939768263</v>
      </c>
      <c r="G467" s="32" t="n">
        <v>8.188700000000001</v>
      </c>
      <c r="H467" s="10" t="inlineStr">
        <is>
          <t>NO</t>
        </is>
      </c>
      <c r="I467" s="10" t="inlineStr">
        <is>
          <t>500×550</t>
        </is>
      </c>
      <c r="J467" s="15" t="inlineStr">
        <is>
          <t>CUMPLE</t>
        </is>
      </c>
    </row>
    <row r="468">
      <c r="A468" s="25" t="inlineStr">
        <is>
          <t>VR2</t>
        </is>
      </c>
      <c r="B468" s="10" t="inlineStr">
        <is>
          <t>962</t>
        </is>
      </c>
      <c r="C468" s="32" t="n">
        <v>7.4912</v>
      </c>
      <c r="D468" s="32" t="n">
        <v>20.6667</v>
      </c>
      <c r="E468" s="32" t="n">
        <v>20.6667</v>
      </c>
      <c r="F468" s="32" t="n">
        <v>47.16287939768263</v>
      </c>
      <c r="G468" s="32" t="n">
        <v>20.6667</v>
      </c>
      <c r="H468" s="10" t="inlineStr">
        <is>
          <t>NO</t>
        </is>
      </c>
      <c r="I468" s="10" t="inlineStr">
        <is>
          <t>500×550</t>
        </is>
      </c>
      <c r="J468" s="15" t="inlineStr">
        <is>
          <t>CUMPLE</t>
        </is>
      </c>
    </row>
    <row r="469">
      <c r="A469" s="25" t="inlineStr">
        <is>
          <t>VR2</t>
        </is>
      </c>
      <c r="B469" s="10" t="inlineStr">
        <is>
          <t>963</t>
        </is>
      </c>
      <c r="C469" s="32" t="n">
        <v>7.2815</v>
      </c>
      <c r="D469" s="32" t="n">
        <v>20.0262</v>
      </c>
      <c r="E469" s="32" t="n">
        <v>20.0262</v>
      </c>
      <c r="F469" s="32" t="n">
        <v>47.16287939768263</v>
      </c>
      <c r="G469" s="32" t="n">
        <v>20.0262</v>
      </c>
      <c r="H469" s="10" t="inlineStr">
        <is>
          <t>NO</t>
        </is>
      </c>
      <c r="I469" s="10" t="inlineStr">
        <is>
          <t>500×550</t>
        </is>
      </c>
      <c r="J469" s="15" t="inlineStr">
        <is>
          <t>CUMPLE</t>
        </is>
      </c>
    </row>
    <row r="470">
      <c r="A470" s="25" t="inlineStr">
        <is>
          <t>VR2</t>
        </is>
      </c>
      <c r="B470" s="10" t="inlineStr">
        <is>
          <t>964</t>
        </is>
      </c>
      <c r="C470" s="32" t="n">
        <v>2.8841</v>
      </c>
      <c r="D470" s="32" t="n">
        <v>8.2865</v>
      </c>
      <c r="E470" s="32" t="n">
        <v>8.2865</v>
      </c>
      <c r="F470" s="32" t="n">
        <v>47.16287939768263</v>
      </c>
      <c r="G470" s="32" t="n">
        <v>8.2865</v>
      </c>
      <c r="H470" s="10" t="inlineStr">
        <is>
          <t>NO</t>
        </is>
      </c>
      <c r="I470" s="10" t="inlineStr">
        <is>
          <t>500×550</t>
        </is>
      </c>
      <c r="J470" s="15" t="inlineStr">
        <is>
          <t>CUMPLE</t>
        </is>
      </c>
    </row>
    <row r="471">
      <c r="A471" s="25" t="inlineStr">
        <is>
          <t>VR2</t>
        </is>
      </c>
      <c r="B471" s="10" t="inlineStr">
        <is>
          <t>965</t>
        </is>
      </c>
      <c r="C471" s="32" t="n">
        <v>4.0585</v>
      </c>
      <c r="D471" s="32" t="n">
        <v>9.3225</v>
      </c>
      <c r="E471" s="32" t="n">
        <v>9.3225</v>
      </c>
      <c r="F471" s="32" t="n">
        <v>47.16287939768263</v>
      </c>
      <c r="G471" s="32" t="n">
        <v>9.3225</v>
      </c>
      <c r="H471" s="10" t="inlineStr">
        <is>
          <t>NO</t>
        </is>
      </c>
      <c r="I471" s="10" t="inlineStr">
        <is>
          <t>500×550</t>
        </is>
      </c>
      <c r="J471" s="15" t="inlineStr">
        <is>
          <t>CUMPLE</t>
        </is>
      </c>
    </row>
    <row r="472">
      <c r="A472" s="25" t="inlineStr">
        <is>
          <t>VR2</t>
        </is>
      </c>
      <c r="B472" s="10" t="inlineStr">
        <is>
          <t>966</t>
        </is>
      </c>
      <c r="C472" s="32" t="n">
        <v>9.133800000000001</v>
      </c>
      <c r="D472" s="32" t="n">
        <v>21.5734</v>
      </c>
      <c r="E472" s="32" t="n">
        <v>21.5734</v>
      </c>
      <c r="F472" s="32" t="n">
        <v>47.16287939768263</v>
      </c>
      <c r="G472" s="32" t="n">
        <v>21.5734</v>
      </c>
      <c r="H472" s="10" t="inlineStr">
        <is>
          <t>NO</t>
        </is>
      </c>
      <c r="I472" s="10" t="inlineStr">
        <is>
          <t>500×550</t>
        </is>
      </c>
      <c r="J472" s="15" t="inlineStr">
        <is>
          <t>CUMPLE</t>
        </is>
      </c>
    </row>
    <row r="473">
      <c r="A473" s="25" t="inlineStr">
        <is>
          <t>VR2</t>
        </is>
      </c>
      <c r="B473" s="10" t="inlineStr">
        <is>
          <t>967</t>
        </is>
      </c>
      <c r="C473" s="32" t="n">
        <v>14.8214</v>
      </c>
      <c r="D473" s="32" t="n">
        <v>26.3221</v>
      </c>
      <c r="E473" s="32" t="n">
        <v>26.3221</v>
      </c>
      <c r="F473" s="32" t="n">
        <v>47.16287939768263</v>
      </c>
      <c r="G473" s="32" t="n">
        <v>26.3221</v>
      </c>
      <c r="H473" s="10" t="inlineStr">
        <is>
          <t>NO</t>
        </is>
      </c>
      <c r="I473" s="10" t="inlineStr">
        <is>
          <t>500×550</t>
        </is>
      </c>
      <c r="J473" s="15" t="inlineStr">
        <is>
          <t>CUMPLE</t>
        </is>
      </c>
    </row>
    <row r="474">
      <c r="A474" s="25" t="inlineStr">
        <is>
          <t>VR2</t>
        </is>
      </c>
      <c r="B474" s="10" t="inlineStr">
        <is>
          <t>968</t>
        </is>
      </c>
      <c r="C474" s="32" t="n">
        <v>1.2776</v>
      </c>
      <c r="D474" s="32" t="n">
        <v>2.5237</v>
      </c>
      <c r="E474" s="32" t="n">
        <v>2.5237</v>
      </c>
      <c r="F474" s="32" t="n">
        <v>47.16287939768263</v>
      </c>
      <c r="G474" s="32" t="n">
        <v>2.5237</v>
      </c>
      <c r="H474" s="10" t="inlineStr">
        <is>
          <t>NO</t>
        </is>
      </c>
      <c r="I474" s="10" t="inlineStr">
        <is>
          <t>500×550</t>
        </is>
      </c>
      <c r="J474" s="15" t="inlineStr">
        <is>
          <t>CUMPLE</t>
        </is>
      </c>
    </row>
    <row r="475">
      <c r="A475" s="25" t="inlineStr">
        <is>
          <t>VR2</t>
        </is>
      </c>
      <c r="B475" s="10" t="inlineStr">
        <is>
          <t>979</t>
        </is>
      </c>
      <c r="C475" s="32" t="n">
        <v>1.2785</v>
      </c>
      <c r="D475" s="32" t="n">
        <v>2.5249</v>
      </c>
      <c r="E475" s="32" t="n">
        <v>2.5249</v>
      </c>
      <c r="F475" s="32" t="n">
        <v>47.16287939768263</v>
      </c>
      <c r="G475" s="32" t="n">
        <v>2.5249</v>
      </c>
      <c r="H475" s="10" t="inlineStr">
        <is>
          <t>NO</t>
        </is>
      </c>
      <c r="I475" s="10" t="inlineStr">
        <is>
          <t>500×550</t>
        </is>
      </c>
      <c r="J475" s="15" t="inlineStr">
        <is>
          <t>CUMPLE</t>
        </is>
      </c>
    </row>
    <row r="476">
      <c r="A476" s="25" t="inlineStr">
        <is>
          <t>VR2</t>
        </is>
      </c>
      <c r="B476" s="10" t="inlineStr">
        <is>
          <t>980</t>
        </is>
      </c>
      <c r="C476" s="32" t="n">
        <v>14.8225</v>
      </c>
      <c r="D476" s="32" t="n">
        <v>26.3238</v>
      </c>
      <c r="E476" s="32" t="n">
        <v>26.3238</v>
      </c>
      <c r="F476" s="32" t="n">
        <v>47.16287939768263</v>
      </c>
      <c r="G476" s="32" t="n">
        <v>26.3238</v>
      </c>
      <c r="H476" s="10" t="inlineStr">
        <is>
          <t>NO</t>
        </is>
      </c>
      <c r="I476" s="10" t="inlineStr">
        <is>
          <t>500×550</t>
        </is>
      </c>
      <c r="J476" s="15" t="inlineStr">
        <is>
          <t>CUMPLE</t>
        </is>
      </c>
    </row>
    <row r="477">
      <c r="A477" s="25" t="inlineStr">
        <is>
          <t>VR2</t>
        </is>
      </c>
      <c r="B477" s="10" t="inlineStr">
        <is>
          <t>981</t>
        </is>
      </c>
      <c r="C477" s="32" t="n">
        <v>9.137700000000001</v>
      </c>
      <c r="D477" s="32" t="n">
        <v>21.5771</v>
      </c>
      <c r="E477" s="32" t="n">
        <v>21.5771</v>
      </c>
      <c r="F477" s="32" t="n">
        <v>47.16287939768263</v>
      </c>
      <c r="G477" s="32" t="n">
        <v>21.5771</v>
      </c>
      <c r="H477" s="10" t="inlineStr">
        <is>
          <t>NO</t>
        </is>
      </c>
      <c r="I477" s="10" t="inlineStr">
        <is>
          <t>500×550</t>
        </is>
      </c>
      <c r="J477" s="15" t="inlineStr">
        <is>
          <t>CUMPLE</t>
        </is>
      </c>
    </row>
    <row r="478">
      <c r="A478" s="25" t="inlineStr">
        <is>
          <t>VR2</t>
        </is>
      </c>
      <c r="B478" s="10" t="inlineStr">
        <is>
          <t>982</t>
        </is>
      </c>
      <c r="C478" s="32" t="n">
        <v>4.0683</v>
      </c>
      <c r="D478" s="32" t="n">
        <v>9.375999999999999</v>
      </c>
      <c r="E478" s="32" t="n">
        <v>9.375999999999999</v>
      </c>
      <c r="F478" s="32" t="n">
        <v>47.16287939768263</v>
      </c>
      <c r="G478" s="32" t="n">
        <v>9.375999999999999</v>
      </c>
      <c r="H478" s="10" t="inlineStr">
        <is>
          <t>NO</t>
        </is>
      </c>
      <c r="I478" s="10" t="inlineStr">
        <is>
          <t>500×550</t>
        </is>
      </c>
      <c r="J478" s="15" t="inlineStr">
        <is>
          <t>CUMPLE</t>
        </is>
      </c>
    </row>
    <row r="479">
      <c r="A479" s="25" t="inlineStr">
        <is>
          <t>VR2</t>
        </is>
      </c>
      <c r="B479" s="10" t="inlineStr">
        <is>
          <t>983</t>
        </is>
      </c>
      <c r="C479" s="32" t="n">
        <v>2.8129</v>
      </c>
      <c r="D479" s="32" t="n">
        <v>8.1875</v>
      </c>
      <c r="E479" s="32" t="n">
        <v>8.1875</v>
      </c>
      <c r="F479" s="32" t="n">
        <v>47.16287939768263</v>
      </c>
      <c r="G479" s="32" t="n">
        <v>8.1875</v>
      </c>
      <c r="H479" s="10" t="inlineStr">
        <is>
          <t>NO</t>
        </is>
      </c>
      <c r="I479" s="10" t="inlineStr">
        <is>
          <t>500×550</t>
        </is>
      </c>
      <c r="J479" s="15" t="inlineStr">
        <is>
          <t>CUMPLE</t>
        </is>
      </c>
    </row>
    <row r="480">
      <c r="A480" s="25" t="inlineStr">
        <is>
          <t>VR2</t>
        </is>
      </c>
      <c r="B480" s="10" t="inlineStr">
        <is>
          <t>984</t>
        </is>
      </c>
      <c r="C480" s="32" t="n">
        <v>7.4929</v>
      </c>
      <c r="D480" s="32" t="n">
        <v>20.6683</v>
      </c>
      <c r="E480" s="32" t="n">
        <v>20.6683</v>
      </c>
      <c r="F480" s="32" t="n">
        <v>47.16287939768263</v>
      </c>
      <c r="G480" s="32" t="n">
        <v>20.6683</v>
      </c>
      <c r="H480" s="10" t="inlineStr">
        <is>
          <t>NO</t>
        </is>
      </c>
      <c r="I480" s="10" t="inlineStr">
        <is>
          <t>500×550</t>
        </is>
      </c>
      <c r="J480" s="15" t="inlineStr">
        <is>
          <t>CUMPLE</t>
        </is>
      </c>
    </row>
    <row r="481">
      <c r="A481" s="25" t="inlineStr">
        <is>
          <t>VR2</t>
        </is>
      </c>
      <c r="B481" s="10" t="inlineStr">
        <is>
          <t>985</t>
        </is>
      </c>
      <c r="C481" s="32" t="n">
        <v>7.2813</v>
      </c>
      <c r="D481" s="32" t="n">
        <v>20.0259</v>
      </c>
      <c r="E481" s="32" t="n">
        <v>20.0259</v>
      </c>
      <c r="F481" s="32" t="n">
        <v>47.16287939768263</v>
      </c>
      <c r="G481" s="32" t="n">
        <v>20.0259</v>
      </c>
      <c r="H481" s="10" t="inlineStr">
        <is>
          <t>NO</t>
        </is>
      </c>
      <c r="I481" s="10" t="inlineStr">
        <is>
          <t>500×550</t>
        </is>
      </c>
      <c r="J481" s="15" t="inlineStr">
        <is>
          <t>CUMPLE</t>
        </is>
      </c>
    </row>
    <row r="482">
      <c r="A482" s="25" t="inlineStr">
        <is>
          <t>VR2</t>
        </is>
      </c>
      <c r="B482" s="10" t="inlineStr">
        <is>
          <t>986</t>
        </is>
      </c>
      <c r="C482" s="32" t="n">
        <v>2.885</v>
      </c>
      <c r="D482" s="32" t="n">
        <v>8.2874</v>
      </c>
      <c r="E482" s="32" t="n">
        <v>8.2874</v>
      </c>
      <c r="F482" s="32" t="n">
        <v>47.16287939768263</v>
      </c>
      <c r="G482" s="32" t="n">
        <v>8.2874</v>
      </c>
      <c r="H482" s="10" t="inlineStr">
        <is>
          <t>NO</t>
        </is>
      </c>
      <c r="I482" s="10" t="inlineStr">
        <is>
          <t>500×550</t>
        </is>
      </c>
      <c r="J482" s="15" t="inlineStr">
        <is>
          <t>CUMPLE</t>
        </is>
      </c>
    </row>
    <row r="483">
      <c r="A483" s="25" t="inlineStr">
        <is>
          <t>VR2</t>
        </is>
      </c>
      <c r="B483" s="10" t="inlineStr">
        <is>
          <t>987</t>
        </is>
      </c>
      <c r="C483" s="32" t="n">
        <v>4.0598</v>
      </c>
      <c r="D483" s="32" t="n">
        <v>9.323700000000001</v>
      </c>
      <c r="E483" s="32" t="n">
        <v>9.323700000000001</v>
      </c>
      <c r="F483" s="32" t="n">
        <v>47.16287939768263</v>
      </c>
      <c r="G483" s="32" t="n">
        <v>9.323700000000001</v>
      </c>
      <c r="H483" s="10" t="inlineStr">
        <is>
          <t>NO</t>
        </is>
      </c>
      <c r="I483" s="10" t="inlineStr">
        <is>
          <t>500×550</t>
        </is>
      </c>
      <c r="J483" s="15" t="inlineStr">
        <is>
          <t>CUMPLE</t>
        </is>
      </c>
    </row>
    <row r="484">
      <c r="A484" s="25" t="inlineStr">
        <is>
          <t>VR2</t>
        </is>
      </c>
      <c r="B484" s="10" t="inlineStr">
        <is>
          <t>988</t>
        </is>
      </c>
      <c r="C484" s="32" t="n">
        <v>9.1045</v>
      </c>
      <c r="D484" s="32" t="n">
        <v>21.5435</v>
      </c>
      <c r="E484" s="32" t="n">
        <v>21.5435</v>
      </c>
      <c r="F484" s="32" t="n">
        <v>47.16287939768263</v>
      </c>
      <c r="G484" s="32" t="n">
        <v>21.5435</v>
      </c>
      <c r="H484" s="10" t="inlineStr">
        <is>
          <t>NO</t>
        </is>
      </c>
      <c r="I484" s="10" t="inlineStr">
        <is>
          <t>500×550</t>
        </is>
      </c>
      <c r="J484" s="15" t="inlineStr">
        <is>
          <t>CUMPLE</t>
        </is>
      </c>
    </row>
    <row r="485">
      <c r="A485" s="25" t="inlineStr">
        <is>
          <t>VR2</t>
        </is>
      </c>
      <c r="B485" s="10" t="inlineStr">
        <is>
          <t>989</t>
        </is>
      </c>
      <c r="C485" s="32" t="n">
        <v>14.7931</v>
      </c>
      <c r="D485" s="32" t="n">
        <v>26.2935</v>
      </c>
      <c r="E485" s="32" t="n">
        <v>26.2935</v>
      </c>
      <c r="F485" s="32" t="n">
        <v>47.16287939768263</v>
      </c>
      <c r="G485" s="32" t="n">
        <v>26.2935</v>
      </c>
      <c r="H485" s="10" t="inlineStr">
        <is>
          <t>NO</t>
        </is>
      </c>
      <c r="I485" s="10" t="inlineStr">
        <is>
          <t>500×550</t>
        </is>
      </c>
      <c r="J485" s="15" t="inlineStr">
        <is>
          <t>CUMPLE</t>
        </is>
      </c>
    </row>
    <row r="486">
      <c r="A486" s="25" t="inlineStr">
        <is>
          <t>VR2</t>
        </is>
      </c>
      <c r="B486" s="10" t="inlineStr">
        <is>
          <t>990</t>
        </is>
      </c>
      <c r="C486" s="32" t="n">
        <v>1.2759</v>
      </c>
      <c r="D486" s="32" t="n">
        <v>2.5223</v>
      </c>
      <c r="E486" s="32" t="n">
        <v>2.5223</v>
      </c>
      <c r="F486" s="32" t="n">
        <v>47.16287939768263</v>
      </c>
      <c r="G486" s="32" t="n">
        <v>2.5223</v>
      </c>
      <c r="H486" s="10" t="inlineStr">
        <is>
          <t>NO</t>
        </is>
      </c>
      <c r="I486" s="10" t="inlineStr">
        <is>
          <t>500×550</t>
        </is>
      </c>
      <c r="J486" s="15" t="inlineStr">
        <is>
          <t>CUMPLE</t>
        </is>
      </c>
    </row>
    <row r="487">
      <c r="A487" s="26" t="inlineStr">
        <is>
          <t>VR3</t>
        </is>
      </c>
      <c r="B487" s="10" t="inlineStr">
        <is>
          <t>23</t>
        </is>
      </c>
      <c r="C487" s="32" t="n">
        <v>2.6412</v>
      </c>
      <c r="D487" s="32" t="n">
        <v>11.8626</v>
      </c>
      <c r="E487" s="32" t="n">
        <v>11.8626</v>
      </c>
      <c r="F487" s="32" t="n">
        <v>47.16287939768263</v>
      </c>
      <c r="G487" s="32" t="n">
        <v>11.8626</v>
      </c>
      <c r="H487" s="10" t="inlineStr">
        <is>
          <t>NO</t>
        </is>
      </c>
      <c r="I487" s="10" t="inlineStr">
        <is>
          <t>500×550</t>
        </is>
      </c>
      <c r="J487" s="15" t="inlineStr">
        <is>
          <t>CUMPLE</t>
        </is>
      </c>
    </row>
    <row r="488">
      <c r="A488" s="26" t="inlineStr">
        <is>
          <t>VR3</t>
        </is>
      </c>
      <c r="B488" s="10" t="inlineStr">
        <is>
          <t>24</t>
        </is>
      </c>
      <c r="C488" s="32" t="n">
        <v>2.1313</v>
      </c>
      <c r="D488" s="32" t="n">
        <v>9.225</v>
      </c>
      <c r="E488" s="32" t="n">
        <v>9.225</v>
      </c>
      <c r="F488" s="32" t="n">
        <v>47.16287939768263</v>
      </c>
      <c r="G488" s="32" t="n">
        <v>9.225</v>
      </c>
      <c r="H488" s="10" t="inlineStr">
        <is>
          <t>NO</t>
        </is>
      </c>
      <c r="I488" s="10" t="inlineStr">
        <is>
          <t>500×550</t>
        </is>
      </c>
      <c r="J488" s="15" t="inlineStr">
        <is>
          <t>CUMPLE</t>
        </is>
      </c>
    </row>
    <row r="489">
      <c r="A489" s="26" t="inlineStr">
        <is>
          <t>VR3</t>
        </is>
      </c>
      <c r="B489" s="10" t="inlineStr">
        <is>
          <t>25</t>
        </is>
      </c>
      <c r="C489" s="32" t="n">
        <v>0.1642</v>
      </c>
      <c r="D489" s="32" t="n">
        <v>0.7481</v>
      </c>
      <c r="E489" s="32" t="n">
        <v>0.7481</v>
      </c>
      <c r="F489" s="32" t="n">
        <v>47.16287939768263</v>
      </c>
      <c r="G489" s="32" t="n">
        <v>0.7481</v>
      </c>
      <c r="H489" s="10" t="inlineStr">
        <is>
          <t>NO</t>
        </is>
      </c>
      <c r="I489" s="10" t="inlineStr">
        <is>
          <t>500×550</t>
        </is>
      </c>
      <c r="J489" s="15" t="inlineStr">
        <is>
          <t>CUMPLE</t>
        </is>
      </c>
    </row>
    <row r="490">
      <c r="A490" s="26" t="inlineStr">
        <is>
          <t>VR3</t>
        </is>
      </c>
      <c r="B490" s="10" t="inlineStr">
        <is>
          <t>26</t>
        </is>
      </c>
      <c r="C490" s="32" t="n">
        <v>2.0395</v>
      </c>
      <c r="D490" s="32" t="n">
        <v>10.1938</v>
      </c>
      <c r="E490" s="32" t="n">
        <v>10.1938</v>
      </c>
      <c r="F490" s="32" t="n">
        <v>47.16287939768263</v>
      </c>
      <c r="G490" s="32" t="n">
        <v>10.1938</v>
      </c>
      <c r="H490" s="10" t="inlineStr">
        <is>
          <t>NO</t>
        </is>
      </c>
      <c r="I490" s="10" t="inlineStr">
        <is>
          <t>500×550</t>
        </is>
      </c>
      <c r="J490" s="15" t="inlineStr">
        <is>
          <t>CUMPLE</t>
        </is>
      </c>
    </row>
    <row r="491">
      <c r="A491" s="26" t="inlineStr">
        <is>
          <t>VR3</t>
        </is>
      </c>
      <c r="B491" s="10" t="inlineStr">
        <is>
          <t>27</t>
        </is>
      </c>
      <c r="C491" s="32" t="n">
        <v>0.0036</v>
      </c>
      <c r="D491" s="32" t="n">
        <v>0.0167</v>
      </c>
      <c r="E491" s="32" t="n">
        <v>0.0167</v>
      </c>
      <c r="F491" s="32" t="n">
        <v>47.16287939768263</v>
      </c>
      <c r="G491" s="32" t="n">
        <v>0.0167</v>
      </c>
      <c r="H491" s="10" t="inlineStr">
        <is>
          <t>NO</t>
        </is>
      </c>
      <c r="I491" s="10" t="inlineStr">
        <is>
          <t>500×550</t>
        </is>
      </c>
      <c r="J491" s="15" t="inlineStr">
        <is>
          <t>CUMPLE</t>
        </is>
      </c>
    </row>
    <row r="492">
      <c r="A492" s="26" t="inlineStr">
        <is>
          <t>VR3</t>
        </is>
      </c>
      <c r="B492" s="10" t="inlineStr">
        <is>
          <t>28</t>
        </is>
      </c>
      <c r="C492" s="32" t="n">
        <v>0.0036</v>
      </c>
      <c r="D492" s="32" t="n">
        <v>0.0167</v>
      </c>
      <c r="E492" s="32" t="n">
        <v>0.0167</v>
      </c>
      <c r="F492" s="32" t="n">
        <v>47.16287939768263</v>
      </c>
      <c r="G492" s="32" t="n">
        <v>0.0167</v>
      </c>
      <c r="H492" s="10" t="inlineStr">
        <is>
          <t>NO</t>
        </is>
      </c>
      <c r="I492" s="10" t="inlineStr">
        <is>
          <t>500×550</t>
        </is>
      </c>
      <c r="J492" s="15" t="inlineStr">
        <is>
          <t>CUMPLE</t>
        </is>
      </c>
    </row>
    <row r="493">
      <c r="A493" s="26" t="inlineStr">
        <is>
          <t>VR3</t>
        </is>
      </c>
      <c r="B493" s="10" t="inlineStr">
        <is>
          <t>29</t>
        </is>
      </c>
      <c r="C493" s="32" t="n">
        <v>2.0351</v>
      </c>
      <c r="D493" s="32" t="n">
        <v>10.1734</v>
      </c>
      <c r="E493" s="32" t="n">
        <v>10.1734</v>
      </c>
      <c r="F493" s="32" t="n">
        <v>47.16287939768263</v>
      </c>
      <c r="G493" s="32" t="n">
        <v>10.1734</v>
      </c>
      <c r="H493" s="10" t="inlineStr">
        <is>
          <t>NO</t>
        </is>
      </c>
      <c r="I493" s="10" t="inlineStr">
        <is>
          <t>500×550</t>
        </is>
      </c>
      <c r="J493" s="15" t="inlineStr">
        <is>
          <t>CUMPLE</t>
        </is>
      </c>
    </row>
    <row r="494">
      <c r="A494" s="26" t="inlineStr">
        <is>
          <t>VR3</t>
        </is>
      </c>
      <c r="B494" s="10" t="inlineStr">
        <is>
          <t>30</t>
        </is>
      </c>
      <c r="C494" s="32" t="n">
        <v>0.1574</v>
      </c>
      <c r="D494" s="32" t="n">
        <v>0.7411</v>
      </c>
      <c r="E494" s="32" t="n">
        <v>0.7411</v>
      </c>
      <c r="F494" s="32" t="n">
        <v>47.16287939768263</v>
      </c>
      <c r="G494" s="32" t="n">
        <v>0.7411</v>
      </c>
      <c r="H494" s="10" t="inlineStr">
        <is>
          <t>NO</t>
        </is>
      </c>
      <c r="I494" s="10" t="inlineStr">
        <is>
          <t>500×550</t>
        </is>
      </c>
      <c r="J494" s="15" t="inlineStr">
        <is>
          <t>CUMPLE</t>
        </is>
      </c>
    </row>
    <row r="495">
      <c r="A495" s="26" t="inlineStr">
        <is>
          <t>VR3</t>
        </is>
      </c>
      <c r="B495" s="10" t="inlineStr">
        <is>
          <t>31</t>
        </is>
      </c>
      <c r="C495" s="32" t="n">
        <v>2.0025</v>
      </c>
      <c r="D495" s="32" t="n">
        <v>9.122999999999999</v>
      </c>
      <c r="E495" s="32" t="n">
        <v>9.122999999999999</v>
      </c>
      <c r="F495" s="32" t="n">
        <v>47.16287939768263</v>
      </c>
      <c r="G495" s="32" t="n">
        <v>9.122999999999999</v>
      </c>
      <c r="H495" s="10" t="inlineStr">
        <is>
          <t>NO</t>
        </is>
      </c>
      <c r="I495" s="10" t="inlineStr">
        <is>
          <t>500×550</t>
        </is>
      </c>
      <c r="J495" s="15" t="inlineStr">
        <is>
          <t>CUMPLE</t>
        </is>
      </c>
    </row>
    <row r="496">
      <c r="A496" s="26" t="inlineStr">
        <is>
          <t>VR3</t>
        </is>
      </c>
      <c r="B496" s="10" t="inlineStr">
        <is>
          <t>32</t>
        </is>
      </c>
      <c r="C496" s="32" t="n">
        <v>2.5028</v>
      </c>
      <c r="D496" s="32" t="n">
        <v>11.7432</v>
      </c>
      <c r="E496" s="32" t="n">
        <v>11.7432</v>
      </c>
      <c r="F496" s="32" t="n">
        <v>47.16287939768263</v>
      </c>
      <c r="G496" s="32" t="n">
        <v>11.7432</v>
      </c>
      <c r="H496" s="10" t="inlineStr">
        <is>
          <t>NO</t>
        </is>
      </c>
      <c r="I496" s="10" t="inlineStr">
        <is>
          <t>500×550</t>
        </is>
      </c>
      <c r="J496" s="15" t="inlineStr">
        <is>
          <t>CUMPLE</t>
        </is>
      </c>
    </row>
    <row r="497">
      <c r="A497" s="26" t="inlineStr">
        <is>
          <t>VR3</t>
        </is>
      </c>
      <c r="B497" s="10" t="inlineStr">
        <is>
          <t>146</t>
        </is>
      </c>
      <c r="C497" s="32" t="n">
        <v>35.1545</v>
      </c>
      <c r="D497" s="32" t="n">
        <v>175.7601</v>
      </c>
      <c r="E497" s="32" t="n">
        <v>175.7601</v>
      </c>
      <c r="F497" s="32" t="n">
        <v>47.16287939768263</v>
      </c>
      <c r="G497" s="32" t="n">
        <v>175.7601</v>
      </c>
      <c r="H497" s="22" t="inlineStr">
        <is>
          <t>SÍ</t>
        </is>
      </c>
      <c r="I497" s="10" t="inlineStr">
        <is>
          <t>500×550</t>
        </is>
      </c>
      <c r="J497" s="19" t="inlineStr">
        <is>
          <t>NO CUMPLE</t>
        </is>
      </c>
    </row>
    <row r="498">
      <c r="A498" s="26" t="inlineStr">
        <is>
          <t>VR3</t>
        </is>
      </c>
      <c r="B498" s="10" t="inlineStr">
        <is>
          <t>151</t>
        </is>
      </c>
      <c r="C498" s="32" t="n">
        <v>35.1559</v>
      </c>
      <c r="D498" s="32" t="n">
        <v>175.765</v>
      </c>
      <c r="E498" s="32" t="n">
        <v>175.765</v>
      </c>
      <c r="F498" s="32" t="n">
        <v>47.16287939768263</v>
      </c>
      <c r="G498" s="32" t="n">
        <v>175.765</v>
      </c>
      <c r="H498" s="22" t="inlineStr">
        <is>
          <t>SÍ</t>
        </is>
      </c>
      <c r="I498" s="10" t="inlineStr">
        <is>
          <t>500×550</t>
        </is>
      </c>
      <c r="J498" s="19" t="inlineStr">
        <is>
          <t>NO CUMPLE</t>
        </is>
      </c>
    </row>
    <row r="499">
      <c r="A499" s="26" t="inlineStr">
        <is>
          <t>VR3</t>
        </is>
      </c>
      <c r="B499" s="10" t="inlineStr">
        <is>
          <t>156</t>
        </is>
      </c>
      <c r="C499" s="32" t="n">
        <v>33.5408</v>
      </c>
      <c r="D499" s="32" t="n">
        <v>167.6935</v>
      </c>
      <c r="E499" s="32" t="n">
        <v>167.6935</v>
      </c>
      <c r="F499" s="32" t="n">
        <v>47.16287939768263</v>
      </c>
      <c r="G499" s="32" t="n">
        <v>167.6935</v>
      </c>
      <c r="H499" s="22" t="inlineStr">
        <is>
          <t>SÍ</t>
        </is>
      </c>
      <c r="I499" s="10" t="inlineStr">
        <is>
          <t>500×550</t>
        </is>
      </c>
      <c r="J499" s="19" t="inlineStr">
        <is>
          <t>NO CUMPLE</t>
        </is>
      </c>
    </row>
    <row r="500">
      <c r="A500" s="26" t="inlineStr">
        <is>
          <t>VR3</t>
        </is>
      </c>
      <c r="B500" s="10" t="inlineStr">
        <is>
          <t>161</t>
        </is>
      </c>
      <c r="C500" s="32" t="n">
        <v>26.0416</v>
      </c>
      <c r="D500" s="32" t="n">
        <v>130.1861</v>
      </c>
      <c r="E500" s="32" t="n">
        <v>130.1861</v>
      </c>
      <c r="F500" s="32" t="n">
        <v>47.16287939768263</v>
      </c>
      <c r="G500" s="32" t="n">
        <v>130.1861</v>
      </c>
      <c r="H500" s="22" t="inlineStr">
        <is>
          <t>SÍ</t>
        </is>
      </c>
      <c r="I500" s="10" t="inlineStr">
        <is>
          <t>500×550</t>
        </is>
      </c>
      <c r="J500" s="19" t="inlineStr">
        <is>
          <t>NO CUMPLE</t>
        </is>
      </c>
    </row>
    <row r="501">
      <c r="A501" s="26" t="inlineStr">
        <is>
          <t>VR3</t>
        </is>
      </c>
      <c r="B501" s="10" t="inlineStr">
        <is>
          <t>166</t>
        </is>
      </c>
      <c r="C501" s="32" t="n">
        <v>16.5715</v>
      </c>
      <c r="D501" s="32" t="n">
        <v>82.8321</v>
      </c>
      <c r="E501" s="32" t="n">
        <v>82.8321</v>
      </c>
      <c r="F501" s="32" t="n">
        <v>47.16287939768263</v>
      </c>
      <c r="G501" s="32" t="n">
        <v>82.8321</v>
      </c>
      <c r="H501" s="22" t="inlineStr">
        <is>
          <t>SÍ</t>
        </is>
      </c>
      <c r="I501" s="10" t="inlineStr">
        <is>
          <t>500×550</t>
        </is>
      </c>
      <c r="J501" s="19" t="inlineStr">
        <is>
          <t>NO CUMPLE</t>
        </is>
      </c>
    </row>
    <row r="502">
      <c r="A502" s="26" t="inlineStr">
        <is>
          <t>VR3</t>
        </is>
      </c>
      <c r="B502" s="10" t="inlineStr">
        <is>
          <t>171</t>
        </is>
      </c>
      <c r="C502" s="32" t="n">
        <v>6.4494</v>
      </c>
      <c r="D502" s="32" t="n">
        <v>32.2262</v>
      </c>
      <c r="E502" s="32" t="n">
        <v>32.2262</v>
      </c>
      <c r="F502" s="32" t="n">
        <v>47.16287939768263</v>
      </c>
      <c r="G502" s="32" t="n">
        <v>32.2262</v>
      </c>
      <c r="H502" s="10" t="inlineStr">
        <is>
          <t>NO</t>
        </is>
      </c>
      <c r="I502" s="10" t="inlineStr">
        <is>
          <t>500×550</t>
        </is>
      </c>
      <c r="J502" s="15" t="inlineStr">
        <is>
          <t>CUMPLE</t>
        </is>
      </c>
    </row>
    <row r="503">
      <c r="A503" s="26" t="inlineStr">
        <is>
          <t>VR3</t>
        </is>
      </c>
      <c r="B503" s="10" t="inlineStr">
        <is>
          <t>176</t>
        </is>
      </c>
      <c r="C503" s="32" t="n">
        <v>33.5456</v>
      </c>
      <c r="D503" s="32" t="n">
        <v>167.7119</v>
      </c>
      <c r="E503" s="32" t="n">
        <v>167.7119</v>
      </c>
      <c r="F503" s="32" t="n">
        <v>47.16287939768263</v>
      </c>
      <c r="G503" s="32" t="n">
        <v>167.7119</v>
      </c>
      <c r="H503" s="22" t="inlineStr">
        <is>
          <t>SÍ</t>
        </is>
      </c>
      <c r="I503" s="10" t="inlineStr">
        <is>
          <t>500×550</t>
        </is>
      </c>
      <c r="J503" s="19" t="inlineStr">
        <is>
          <t>NO CUMPLE</t>
        </is>
      </c>
    </row>
    <row r="504">
      <c r="A504" s="26" t="inlineStr">
        <is>
          <t>VR3</t>
        </is>
      </c>
      <c r="B504" s="10" t="inlineStr">
        <is>
          <t>181</t>
        </is>
      </c>
      <c r="C504" s="32" t="n">
        <v>26.0436</v>
      </c>
      <c r="D504" s="32" t="n">
        <v>130.2005</v>
      </c>
      <c r="E504" s="32" t="n">
        <v>130.2005</v>
      </c>
      <c r="F504" s="32" t="n">
        <v>47.16287939768263</v>
      </c>
      <c r="G504" s="32" t="n">
        <v>130.2005</v>
      </c>
      <c r="H504" s="22" t="inlineStr">
        <is>
          <t>SÍ</t>
        </is>
      </c>
      <c r="I504" s="10" t="inlineStr">
        <is>
          <t>500×550</t>
        </is>
      </c>
      <c r="J504" s="19" t="inlineStr">
        <is>
          <t>NO CUMPLE</t>
        </is>
      </c>
    </row>
    <row r="505">
      <c r="A505" s="26" t="inlineStr">
        <is>
          <t>VR3</t>
        </is>
      </c>
      <c r="B505" s="10" t="inlineStr">
        <is>
          <t>186</t>
        </is>
      </c>
      <c r="C505" s="32" t="n">
        <v>16.5726</v>
      </c>
      <c r="D505" s="32" t="n">
        <v>82.84439999999999</v>
      </c>
      <c r="E505" s="32" t="n">
        <v>82.84439999999999</v>
      </c>
      <c r="F505" s="32" t="n">
        <v>47.16287939768263</v>
      </c>
      <c r="G505" s="32" t="n">
        <v>82.84439999999999</v>
      </c>
      <c r="H505" s="22" t="inlineStr">
        <is>
          <t>SÍ</t>
        </is>
      </c>
      <c r="I505" s="10" t="inlineStr">
        <is>
          <t>500×550</t>
        </is>
      </c>
      <c r="J505" s="19" t="inlineStr">
        <is>
          <t>NO CUMPLE</t>
        </is>
      </c>
    </row>
    <row r="506">
      <c r="A506" s="26" t="inlineStr">
        <is>
          <t>VR3</t>
        </is>
      </c>
      <c r="B506" s="10" t="inlineStr">
        <is>
          <t>191</t>
        </is>
      </c>
      <c r="C506" s="32" t="n">
        <v>6.4495</v>
      </c>
      <c r="D506" s="32" t="n">
        <v>32.2328</v>
      </c>
      <c r="E506" s="32" t="n">
        <v>32.2328</v>
      </c>
      <c r="F506" s="32" t="n">
        <v>47.16287939768263</v>
      </c>
      <c r="G506" s="32" t="n">
        <v>32.2328</v>
      </c>
      <c r="H506" s="10" t="inlineStr">
        <is>
          <t>NO</t>
        </is>
      </c>
      <c r="I506" s="10" t="inlineStr">
        <is>
          <t>500×550</t>
        </is>
      </c>
      <c r="J506" s="15" t="inlineStr">
        <is>
          <t>CUMPLE</t>
        </is>
      </c>
    </row>
    <row r="507">
      <c r="A507" s="26" t="inlineStr">
        <is>
          <t>VR3</t>
        </is>
      </c>
      <c r="B507" s="10" t="inlineStr">
        <is>
          <t>223</t>
        </is>
      </c>
      <c r="C507" s="32" t="n">
        <v>2.209</v>
      </c>
      <c r="D507" s="32" t="n">
        <v>11.0434</v>
      </c>
      <c r="E507" s="32" t="n">
        <v>11.0434</v>
      </c>
      <c r="F507" s="32" t="n">
        <v>47.16287939768263</v>
      </c>
      <c r="G507" s="32" t="n">
        <v>11.0434</v>
      </c>
      <c r="H507" s="10" t="inlineStr">
        <is>
          <t>NO</t>
        </is>
      </c>
      <c r="I507" s="10" t="inlineStr">
        <is>
          <t>500×550</t>
        </is>
      </c>
      <c r="J507" s="15" t="inlineStr">
        <is>
          <t>CUMPLE</t>
        </is>
      </c>
    </row>
    <row r="508">
      <c r="A508" s="26" t="inlineStr">
        <is>
          <t>VR3</t>
        </is>
      </c>
      <c r="B508" s="10" t="inlineStr">
        <is>
          <t>224</t>
        </is>
      </c>
      <c r="C508" s="32" t="n">
        <v>1.8609</v>
      </c>
      <c r="D508" s="32" t="n">
        <v>9.3028</v>
      </c>
      <c r="E508" s="32" t="n">
        <v>9.3028</v>
      </c>
      <c r="F508" s="32" t="n">
        <v>47.16287939768263</v>
      </c>
      <c r="G508" s="32" t="n">
        <v>9.3028</v>
      </c>
      <c r="H508" s="10" t="inlineStr">
        <is>
          <t>NO</t>
        </is>
      </c>
      <c r="I508" s="10" t="inlineStr">
        <is>
          <t>500×550</t>
        </is>
      </c>
      <c r="J508" s="15" t="inlineStr">
        <is>
          <t>CUMPLE</t>
        </is>
      </c>
    </row>
    <row r="509">
      <c r="A509" s="26" t="inlineStr">
        <is>
          <t>VR3</t>
        </is>
      </c>
      <c r="B509" s="10" t="inlineStr">
        <is>
          <t>225</t>
        </is>
      </c>
      <c r="C509" s="32" t="n">
        <v>0.08409999999999999</v>
      </c>
      <c r="D509" s="32" t="n">
        <v>0.404</v>
      </c>
      <c r="E509" s="32" t="n">
        <v>0.404</v>
      </c>
      <c r="F509" s="32" t="n">
        <v>47.16287939768263</v>
      </c>
      <c r="G509" s="32" t="n">
        <v>0.404</v>
      </c>
      <c r="H509" s="10" t="inlineStr">
        <is>
          <t>NO</t>
        </is>
      </c>
      <c r="I509" s="10" t="inlineStr">
        <is>
          <t>500×550</t>
        </is>
      </c>
      <c r="J509" s="15" t="inlineStr">
        <is>
          <t>CUMPLE</t>
        </is>
      </c>
    </row>
    <row r="510">
      <c r="A510" s="26" t="inlineStr">
        <is>
          <t>VR3</t>
        </is>
      </c>
      <c r="B510" s="10" t="inlineStr">
        <is>
          <t>226</t>
        </is>
      </c>
      <c r="C510" s="32" t="n">
        <v>1.5874</v>
      </c>
      <c r="D510" s="32" t="n">
        <v>7.9368</v>
      </c>
      <c r="E510" s="32" t="n">
        <v>7.9368</v>
      </c>
      <c r="F510" s="32" t="n">
        <v>47.16287939768263</v>
      </c>
      <c r="G510" s="32" t="n">
        <v>7.9368</v>
      </c>
      <c r="H510" s="10" t="inlineStr">
        <is>
          <t>NO</t>
        </is>
      </c>
      <c r="I510" s="10" t="inlineStr">
        <is>
          <t>500×550</t>
        </is>
      </c>
      <c r="J510" s="15" t="inlineStr">
        <is>
          <t>CUMPLE</t>
        </is>
      </c>
    </row>
    <row r="511">
      <c r="A511" s="26" t="inlineStr">
        <is>
          <t>VR3</t>
        </is>
      </c>
      <c r="B511" s="10" t="inlineStr">
        <is>
          <t>227</t>
        </is>
      </c>
      <c r="C511" s="32" t="n">
        <v>0.0011</v>
      </c>
      <c r="D511" s="32" t="n">
        <v>0.0041</v>
      </c>
      <c r="E511" s="32" t="n">
        <v>0.0041</v>
      </c>
      <c r="F511" s="32" t="n">
        <v>47.16287939768263</v>
      </c>
      <c r="G511" s="32" t="n">
        <v>0.0041</v>
      </c>
      <c r="H511" s="10" t="inlineStr">
        <is>
          <t>NO</t>
        </is>
      </c>
      <c r="I511" s="10" t="inlineStr">
        <is>
          <t>500×550</t>
        </is>
      </c>
      <c r="J511" s="15" t="inlineStr">
        <is>
          <t>CUMPLE</t>
        </is>
      </c>
    </row>
    <row r="512">
      <c r="A512" s="26" t="inlineStr">
        <is>
          <t>VR3</t>
        </is>
      </c>
      <c r="B512" s="10" t="inlineStr">
        <is>
          <t>228</t>
        </is>
      </c>
      <c r="C512" s="32" t="n">
        <v>0.0011</v>
      </c>
      <c r="D512" s="32" t="n">
        <v>0.0041</v>
      </c>
      <c r="E512" s="32" t="n">
        <v>0.0041</v>
      </c>
      <c r="F512" s="32" t="n">
        <v>47.16287939768263</v>
      </c>
      <c r="G512" s="32" t="n">
        <v>0.0041</v>
      </c>
      <c r="H512" s="10" t="inlineStr">
        <is>
          <t>NO</t>
        </is>
      </c>
      <c r="I512" s="10" t="inlineStr">
        <is>
          <t>500×550</t>
        </is>
      </c>
      <c r="J512" s="15" t="inlineStr">
        <is>
          <t>CUMPLE</t>
        </is>
      </c>
    </row>
    <row r="513">
      <c r="A513" s="26" t="inlineStr">
        <is>
          <t>VR3</t>
        </is>
      </c>
      <c r="B513" s="10" t="inlineStr">
        <is>
          <t>229</t>
        </is>
      </c>
      <c r="C513" s="32" t="n">
        <v>1.5882</v>
      </c>
      <c r="D513" s="32" t="n">
        <v>7.9388</v>
      </c>
      <c r="E513" s="32" t="n">
        <v>7.9388</v>
      </c>
      <c r="F513" s="32" t="n">
        <v>47.16287939768263</v>
      </c>
      <c r="G513" s="32" t="n">
        <v>7.9388</v>
      </c>
      <c r="H513" s="10" t="inlineStr">
        <is>
          <t>NO</t>
        </is>
      </c>
      <c r="I513" s="10" t="inlineStr">
        <is>
          <t>500×550</t>
        </is>
      </c>
      <c r="J513" s="15" t="inlineStr">
        <is>
          <t>CUMPLE</t>
        </is>
      </c>
    </row>
    <row r="514">
      <c r="A514" s="26" t="inlineStr">
        <is>
          <t>VR3</t>
        </is>
      </c>
      <c r="B514" s="10" t="inlineStr">
        <is>
          <t>230</t>
        </is>
      </c>
      <c r="C514" s="32" t="n">
        <v>0.0806</v>
      </c>
      <c r="D514" s="32" t="n">
        <v>0.3592</v>
      </c>
      <c r="E514" s="32" t="n">
        <v>0.3592</v>
      </c>
      <c r="F514" s="32" t="n">
        <v>47.16287939768263</v>
      </c>
      <c r="G514" s="32" t="n">
        <v>0.3592</v>
      </c>
      <c r="H514" s="10" t="inlineStr">
        <is>
          <t>NO</t>
        </is>
      </c>
      <c r="I514" s="10" t="inlineStr">
        <is>
          <t>500×550</t>
        </is>
      </c>
      <c r="J514" s="15" t="inlineStr">
        <is>
          <t>CUMPLE</t>
        </is>
      </c>
    </row>
    <row r="515">
      <c r="A515" s="26" t="inlineStr">
        <is>
          <t>VR3</t>
        </is>
      </c>
      <c r="B515" s="10" t="inlineStr">
        <is>
          <t>231</t>
        </is>
      </c>
      <c r="C515" s="32" t="n">
        <v>2.0492</v>
      </c>
      <c r="D515" s="32" t="n">
        <v>9.265700000000001</v>
      </c>
      <c r="E515" s="32" t="n">
        <v>9.265700000000001</v>
      </c>
      <c r="F515" s="32" t="n">
        <v>47.16287939768263</v>
      </c>
      <c r="G515" s="32" t="n">
        <v>9.265700000000001</v>
      </c>
      <c r="H515" s="10" t="inlineStr">
        <is>
          <t>NO</t>
        </is>
      </c>
      <c r="I515" s="10" t="inlineStr">
        <is>
          <t>500×550</t>
        </is>
      </c>
      <c r="J515" s="15" t="inlineStr">
        <is>
          <t>CUMPLE</t>
        </is>
      </c>
    </row>
    <row r="516">
      <c r="A516" s="26" t="inlineStr">
        <is>
          <t>VR3</t>
        </is>
      </c>
      <c r="B516" s="10" t="inlineStr">
        <is>
          <t>232</t>
        </is>
      </c>
      <c r="C516" s="32" t="n">
        <v>2.3703</v>
      </c>
      <c r="D516" s="32" t="n">
        <v>11.0037</v>
      </c>
      <c r="E516" s="32" t="n">
        <v>11.0037</v>
      </c>
      <c r="F516" s="32" t="n">
        <v>47.16287939768263</v>
      </c>
      <c r="G516" s="32" t="n">
        <v>11.0037</v>
      </c>
      <c r="H516" s="10" t="inlineStr">
        <is>
          <t>NO</t>
        </is>
      </c>
      <c r="I516" s="10" t="inlineStr">
        <is>
          <t>500×550</t>
        </is>
      </c>
      <c r="J516" s="15" t="inlineStr">
        <is>
          <t>CUMPLE</t>
        </is>
      </c>
    </row>
    <row r="517">
      <c r="A517" s="26" t="inlineStr">
        <is>
          <t>VR3</t>
        </is>
      </c>
      <c r="B517" s="10" t="inlineStr">
        <is>
          <t>781</t>
        </is>
      </c>
      <c r="C517" s="32" t="n">
        <v>2.1219</v>
      </c>
      <c r="D517" s="32" t="n">
        <v>9.132199999999999</v>
      </c>
      <c r="E517" s="32" t="n">
        <v>9.132199999999999</v>
      </c>
      <c r="F517" s="32" t="n">
        <v>47.16287939768263</v>
      </c>
      <c r="G517" s="32" t="n">
        <v>9.132199999999999</v>
      </c>
      <c r="H517" s="10" t="inlineStr">
        <is>
          <t>NO</t>
        </is>
      </c>
      <c r="I517" s="10" t="inlineStr">
        <is>
          <t>500×550</t>
        </is>
      </c>
      <c r="J517" s="15" t="inlineStr">
        <is>
          <t>CUMPLE</t>
        </is>
      </c>
    </row>
    <row r="518">
      <c r="A518" s="26" t="inlineStr">
        <is>
          <t>VR3</t>
        </is>
      </c>
      <c r="B518" s="10" t="inlineStr">
        <is>
          <t>782</t>
        </is>
      </c>
      <c r="C518" s="32" t="n">
        <v>1.7869</v>
      </c>
      <c r="D518" s="32" t="n">
        <v>7.3585</v>
      </c>
      <c r="E518" s="32" t="n">
        <v>7.3585</v>
      </c>
      <c r="F518" s="32" t="n">
        <v>47.16287939768263</v>
      </c>
      <c r="G518" s="32" t="n">
        <v>7.3585</v>
      </c>
      <c r="H518" s="10" t="inlineStr">
        <is>
          <t>NO</t>
        </is>
      </c>
      <c r="I518" s="10" t="inlineStr">
        <is>
          <t>500×550</t>
        </is>
      </c>
      <c r="J518" s="15" t="inlineStr">
        <is>
          <t>CUMPLE</t>
        </is>
      </c>
    </row>
    <row r="519">
      <c r="A519" s="26" t="inlineStr">
        <is>
          <t>VR3</t>
        </is>
      </c>
      <c r="B519" s="10" t="inlineStr">
        <is>
          <t>783</t>
        </is>
      </c>
      <c r="C519" s="32" t="n">
        <v>0.0696</v>
      </c>
      <c r="D519" s="32" t="n">
        <v>0.2772</v>
      </c>
      <c r="E519" s="32" t="n">
        <v>0.2772</v>
      </c>
      <c r="F519" s="32" t="n">
        <v>47.16287939768263</v>
      </c>
      <c r="G519" s="32" t="n">
        <v>0.2772</v>
      </c>
      <c r="H519" s="10" t="inlineStr">
        <is>
          <t>NO</t>
        </is>
      </c>
      <c r="I519" s="10" t="inlineStr">
        <is>
          <t>500×550</t>
        </is>
      </c>
      <c r="J519" s="15" t="inlineStr">
        <is>
          <t>CUMPLE</t>
        </is>
      </c>
    </row>
    <row r="520">
      <c r="A520" s="26" t="inlineStr">
        <is>
          <t>VR3</t>
        </is>
      </c>
      <c r="B520" s="10" t="inlineStr">
        <is>
          <t>784</t>
        </is>
      </c>
      <c r="C520" s="32" t="n">
        <v>1.2178</v>
      </c>
      <c r="D520" s="32" t="n">
        <v>6.0848</v>
      </c>
      <c r="E520" s="32" t="n">
        <v>6.0848</v>
      </c>
      <c r="F520" s="32" t="n">
        <v>47.16287939768263</v>
      </c>
      <c r="G520" s="32" t="n">
        <v>6.0848</v>
      </c>
      <c r="H520" s="10" t="inlineStr">
        <is>
          <t>NO</t>
        </is>
      </c>
      <c r="I520" s="10" t="inlineStr">
        <is>
          <t>500×550</t>
        </is>
      </c>
      <c r="J520" s="15" t="inlineStr">
        <is>
          <t>CUMPLE</t>
        </is>
      </c>
    </row>
    <row r="521">
      <c r="A521" s="26" t="inlineStr">
        <is>
          <t>VR3</t>
        </is>
      </c>
      <c r="B521" s="10" t="inlineStr">
        <is>
          <t>785</t>
        </is>
      </c>
      <c r="C521" s="32" t="n">
        <v>0.0011</v>
      </c>
      <c r="D521" s="32" t="n">
        <v>0.0034</v>
      </c>
      <c r="E521" s="32" t="n">
        <v>0.0034</v>
      </c>
      <c r="F521" s="32" t="n">
        <v>47.16287939768263</v>
      </c>
      <c r="G521" s="32" t="n">
        <v>0.0034</v>
      </c>
      <c r="H521" s="10" t="inlineStr">
        <is>
          <t>NO</t>
        </is>
      </c>
      <c r="I521" s="10" t="inlineStr">
        <is>
          <t>500×550</t>
        </is>
      </c>
      <c r="J521" s="15" t="inlineStr">
        <is>
          <t>CUMPLE</t>
        </is>
      </c>
    </row>
    <row r="522">
      <c r="A522" s="26" t="inlineStr">
        <is>
          <t>VR3</t>
        </is>
      </c>
      <c r="B522" s="10" t="inlineStr">
        <is>
          <t>786</t>
        </is>
      </c>
      <c r="C522" s="32" t="n">
        <v>0.0011</v>
      </c>
      <c r="D522" s="32" t="n">
        <v>0.0034</v>
      </c>
      <c r="E522" s="32" t="n">
        <v>0.0034</v>
      </c>
      <c r="F522" s="32" t="n">
        <v>47.16287939768263</v>
      </c>
      <c r="G522" s="32" t="n">
        <v>0.0034</v>
      </c>
      <c r="H522" s="10" t="inlineStr">
        <is>
          <t>NO</t>
        </is>
      </c>
      <c r="I522" s="10" t="inlineStr">
        <is>
          <t>500×550</t>
        </is>
      </c>
      <c r="J522" s="15" t="inlineStr">
        <is>
          <t>CUMPLE</t>
        </is>
      </c>
    </row>
    <row r="523">
      <c r="A523" s="26" t="inlineStr">
        <is>
          <t>VR3</t>
        </is>
      </c>
      <c r="B523" s="10" t="inlineStr">
        <is>
          <t>787</t>
        </is>
      </c>
      <c r="C523" s="32" t="n">
        <v>1.2175</v>
      </c>
      <c r="D523" s="32" t="n">
        <v>6.0848</v>
      </c>
      <c r="E523" s="32" t="n">
        <v>6.0848</v>
      </c>
      <c r="F523" s="32" t="n">
        <v>47.16287939768263</v>
      </c>
      <c r="G523" s="32" t="n">
        <v>6.0848</v>
      </c>
      <c r="H523" s="10" t="inlineStr">
        <is>
          <t>NO</t>
        </is>
      </c>
      <c r="I523" s="10" t="inlineStr">
        <is>
          <t>500×550</t>
        </is>
      </c>
      <c r="J523" s="15" t="inlineStr">
        <is>
          <t>CUMPLE</t>
        </is>
      </c>
    </row>
    <row r="524">
      <c r="A524" s="26" t="inlineStr">
        <is>
          <t>VR3</t>
        </is>
      </c>
      <c r="B524" s="10" t="inlineStr">
        <is>
          <t>788</t>
        </is>
      </c>
      <c r="C524" s="32" t="n">
        <v>0.0788</v>
      </c>
      <c r="D524" s="32" t="n">
        <v>0.3489</v>
      </c>
      <c r="E524" s="32" t="n">
        <v>0.3489</v>
      </c>
      <c r="F524" s="32" t="n">
        <v>47.16287939768263</v>
      </c>
      <c r="G524" s="32" t="n">
        <v>0.3489</v>
      </c>
      <c r="H524" s="10" t="inlineStr">
        <is>
          <t>NO</t>
        </is>
      </c>
      <c r="I524" s="10" t="inlineStr">
        <is>
          <t>500×550</t>
        </is>
      </c>
      <c r="J524" s="15" t="inlineStr">
        <is>
          <t>CUMPLE</t>
        </is>
      </c>
    </row>
    <row r="525">
      <c r="A525" s="26" t="inlineStr">
        <is>
          <t>VR3</t>
        </is>
      </c>
      <c r="B525" s="10" t="inlineStr">
        <is>
          <t>789</t>
        </is>
      </c>
      <c r="C525" s="32" t="n">
        <v>1.7835</v>
      </c>
      <c r="D525" s="32" t="n">
        <v>7.9374</v>
      </c>
      <c r="E525" s="32" t="n">
        <v>7.9374</v>
      </c>
      <c r="F525" s="32" t="n">
        <v>47.16287939768263</v>
      </c>
      <c r="G525" s="32" t="n">
        <v>7.9374</v>
      </c>
      <c r="H525" s="10" t="inlineStr">
        <is>
          <t>NO</t>
        </is>
      </c>
      <c r="I525" s="10" t="inlineStr">
        <is>
          <t>500×550</t>
        </is>
      </c>
      <c r="J525" s="15" t="inlineStr">
        <is>
          <t>CUMPLE</t>
        </is>
      </c>
    </row>
    <row r="526">
      <c r="A526" s="26" t="inlineStr">
        <is>
          <t>VR3</t>
        </is>
      </c>
      <c r="B526" s="10" t="inlineStr">
        <is>
          <t>790</t>
        </is>
      </c>
      <c r="C526" s="32" t="n">
        <v>2.0904</v>
      </c>
      <c r="D526" s="32" t="n">
        <v>9.605</v>
      </c>
      <c r="E526" s="32" t="n">
        <v>9.605</v>
      </c>
      <c r="F526" s="32" t="n">
        <v>47.16287939768263</v>
      </c>
      <c r="G526" s="32" t="n">
        <v>9.605</v>
      </c>
      <c r="H526" s="10" t="inlineStr">
        <is>
          <t>NO</t>
        </is>
      </c>
      <c r="I526" s="10" t="inlineStr">
        <is>
          <t>500×550</t>
        </is>
      </c>
      <c r="J526" s="15" t="inlineStr">
        <is>
          <t>CUMPLE</t>
        </is>
      </c>
    </row>
    <row r="527">
      <c r="A527" s="26" t="inlineStr">
        <is>
          <t>VR3</t>
        </is>
      </c>
      <c r="B527" s="10" t="inlineStr">
        <is>
          <t>875</t>
        </is>
      </c>
      <c r="C527" s="32" t="n">
        <v>1.5984</v>
      </c>
      <c r="D527" s="32" t="n">
        <v>6.5151</v>
      </c>
      <c r="E527" s="32" t="n">
        <v>6.5151</v>
      </c>
      <c r="F527" s="32" t="n">
        <v>47.16287939768263</v>
      </c>
      <c r="G527" s="32" t="n">
        <v>6.5151</v>
      </c>
      <c r="H527" s="10" t="inlineStr">
        <is>
          <t>NO</t>
        </is>
      </c>
      <c r="I527" s="10" t="inlineStr">
        <is>
          <t>500×550</t>
        </is>
      </c>
      <c r="J527" s="15" t="inlineStr">
        <is>
          <t>CUMPLE</t>
        </is>
      </c>
    </row>
    <row r="528">
      <c r="A528" s="26" t="inlineStr">
        <is>
          <t>VR3</t>
        </is>
      </c>
      <c r="B528" s="10" t="inlineStr">
        <is>
          <t>876</t>
        </is>
      </c>
      <c r="C528" s="32" t="n">
        <v>1.386</v>
      </c>
      <c r="D528" s="32" t="n">
        <v>5.3527</v>
      </c>
      <c r="E528" s="32" t="n">
        <v>5.3527</v>
      </c>
      <c r="F528" s="32" t="n">
        <v>47.16287939768263</v>
      </c>
      <c r="G528" s="32" t="n">
        <v>5.3527</v>
      </c>
      <c r="H528" s="10" t="inlineStr">
        <is>
          <t>NO</t>
        </is>
      </c>
      <c r="I528" s="10" t="inlineStr">
        <is>
          <t>500×550</t>
        </is>
      </c>
      <c r="J528" s="15" t="inlineStr">
        <is>
          <t>CUMPLE</t>
        </is>
      </c>
    </row>
    <row r="529">
      <c r="A529" s="26" t="inlineStr">
        <is>
          <t>VR3</t>
        </is>
      </c>
      <c r="B529" s="10" t="inlineStr">
        <is>
          <t>877</t>
        </is>
      </c>
      <c r="C529" s="32" t="n">
        <v>0.0539</v>
      </c>
      <c r="D529" s="32" t="n">
        <v>0.2123</v>
      </c>
      <c r="E529" s="32" t="n">
        <v>0.2123</v>
      </c>
      <c r="F529" s="32" t="n">
        <v>47.16287939768263</v>
      </c>
      <c r="G529" s="32" t="n">
        <v>0.2123</v>
      </c>
      <c r="H529" s="10" t="inlineStr">
        <is>
          <t>NO</t>
        </is>
      </c>
      <c r="I529" s="10" t="inlineStr">
        <is>
          <t>500×550</t>
        </is>
      </c>
      <c r="J529" s="15" t="inlineStr">
        <is>
          <t>CUMPLE</t>
        </is>
      </c>
    </row>
    <row r="530">
      <c r="A530" s="26" t="inlineStr">
        <is>
          <t>VR3</t>
        </is>
      </c>
      <c r="B530" s="10" t="inlineStr">
        <is>
          <t>878</t>
        </is>
      </c>
      <c r="C530" s="32" t="n">
        <v>0.7661</v>
      </c>
      <c r="D530" s="32" t="n">
        <v>3.8277</v>
      </c>
      <c r="E530" s="32" t="n">
        <v>3.8277</v>
      </c>
      <c r="F530" s="32" t="n">
        <v>47.16287939768263</v>
      </c>
      <c r="G530" s="32" t="n">
        <v>3.8277</v>
      </c>
      <c r="H530" s="10" t="inlineStr">
        <is>
          <t>NO</t>
        </is>
      </c>
      <c r="I530" s="10" t="inlineStr">
        <is>
          <t>500×550</t>
        </is>
      </c>
      <c r="J530" s="15" t="inlineStr">
        <is>
          <t>CUMPLE</t>
        </is>
      </c>
    </row>
    <row r="531">
      <c r="A531" s="26" t="inlineStr">
        <is>
          <t>VR3</t>
        </is>
      </c>
      <c r="B531" s="10" t="inlineStr">
        <is>
          <t>879</t>
        </is>
      </c>
      <c r="C531" s="32" t="n">
        <v>0.002</v>
      </c>
      <c r="D531" s="32" t="n">
        <v>0.0077</v>
      </c>
      <c r="E531" s="32" t="n">
        <v>0.0077</v>
      </c>
      <c r="F531" s="32" t="n">
        <v>47.16287939768263</v>
      </c>
      <c r="G531" s="32" t="n">
        <v>0.0077</v>
      </c>
      <c r="H531" s="10" t="inlineStr">
        <is>
          <t>NO</t>
        </is>
      </c>
      <c r="I531" s="10" t="inlineStr">
        <is>
          <t>500×550</t>
        </is>
      </c>
      <c r="J531" s="15" t="inlineStr">
        <is>
          <t>CUMPLE</t>
        </is>
      </c>
    </row>
    <row r="532">
      <c r="A532" s="26" t="inlineStr">
        <is>
          <t>VR3</t>
        </is>
      </c>
      <c r="B532" s="10" t="inlineStr">
        <is>
          <t>880</t>
        </is>
      </c>
      <c r="C532" s="32" t="n">
        <v>0.002</v>
      </c>
      <c r="D532" s="32" t="n">
        <v>0.0077</v>
      </c>
      <c r="E532" s="32" t="n">
        <v>0.0077</v>
      </c>
      <c r="F532" s="32" t="n">
        <v>47.16287939768263</v>
      </c>
      <c r="G532" s="32" t="n">
        <v>0.0077</v>
      </c>
      <c r="H532" s="10" t="inlineStr">
        <is>
          <t>NO</t>
        </is>
      </c>
      <c r="I532" s="10" t="inlineStr">
        <is>
          <t>500×550</t>
        </is>
      </c>
      <c r="J532" s="15" t="inlineStr">
        <is>
          <t>CUMPLE</t>
        </is>
      </c>
    </row>
    <row r="533">
      <c r="A533" s="26" t="inlineStr">
        <is>
          <t>VR3</t>
        </is>
      </c>
      <c r="B533" s="10" t="inlineStr">
        <is>
          <t>881</t>
        </is>
      </c>
      <c r="C533" s="32" t="n">
        <v>0.7673</v>
      </c>
      <c r="D533" s="32" t="n">
        <v>3.8339</v>
      </c>
      <c r="E533" s="32" t="n">
        <v>3.8339</v>
      </c>
      <c r="F533" s="32" t="n">
        <v>47.16287939768263</v>
      </c>
      <c r="G533" s="32" t="n">
        <v>3.8339</v>
      </c>
      <c r="H533" s="10" t="inlineStr">
        <is>
          <t>NO</t>
        </is>
      </c>
      <c r="I533" s="10" t="inlineStr">
        <is>
          <t>500×550</t>
        </is>
      </c>
      <c r="J533" s="15" t="inlineStr">
        <is>
          <t>CUMPLE</t>
        </is>
      </c>
    </row>
    <row r="534">
      <c r="A534" s="26" t="inlineStr">
        <is>
          <t>VR3</t>
        </is>
      </c>
      <c r="B534" s="10" t="inlineStr">
        <is>
          <t>882</t>
        </is>
      </c>
      <c r="C534" s="32" t="n">
        <v>0.08019999999999999</v>
      </c>
      <c r="D534" s="32" t="n">
        <v>0.3581</v>
      </c>
      <c r="E534" s="32" t="n">
        <v>0.3581</v>
      </c>
      <c r="F534" s="32" t="n">
        <v>47.16287939768263</v>
      </c>
      <c r="G534" s="32" t="n">
        <v>0.3581</v>
      </c>
      <c r="H534" s="10" t="inlineStr">
        <is>
          <t>NO</t>
        </is>
      </c>
      <c r="I534" s="10" t="inlineStr">
        <is>
          <t>500×550</t>
        </is>
      </c>
      <c r="J534" s="15" t="inlineStr">
        <is>
          <t>CUMPLE</t>
        </is>
      </c>
    </row>
    <row r="535">
      <c r="A535" s="26" t="inlineStr">
        <is>
          <t>VR3</t>
        </is>
      </c>
      <c r="B535" s="10" t="inlineStr">
        <is>
          <t>883</t>
        </is>
      </c>
      <c r="C535" s="32" t="n">
        <v>1.5042</v>
      </c>
      <c r="D535" s="32" t="n">
        <v>6.5401</v>
      </c>
      <c r="E535" s="32" t="n">
        <v>6.5401</v>
      </c>
      <c r="F535" s="32" t="n">
        <v>47.16287939768263</v>
      </c>
      <c r="G535" s="32" t="n">
        <v>6.5401</v>
      </c>
      <c r="H535" s="10" t="inlineStr">
        <is>
          <t>NO</t>
        </is>
      </c>
      <c r="I535" s="10" t="inlineStr">
        <is>
          <t>500×550</t>
        </is>
      </c>
      <c r="J535" s="15" t="inlineStr">
        <is>
          <t>CUMPLE</t>
        </is>
      </c>
    </row>
    <row r="536">
      <c r="A536" s="26" t="inlineStr">
        <is>
          <t>VR3</t>
        </is>
      </c>
      <c r="B536" s="10" t="inlineStr">
        <is>
          <t>884</t>
        </is>
      </c>
      <c r="C536" s="32" t="n">
        <v>1.6796</v>
      </c>
      <c r="D536" s="32" t="n">
        <v>7.5514</v>
      </c>
      <c r="E536" s="32" t="n">
        <v>7.5514</v>
      </c>
      <c r="F536" s="32" t="n">
        <v>47.16287939768263</v>
      </c>
      <c r="G536" s="32" t="n">
        <v>7.5514</v>
      </c>
      <c r="H536" s="10" t="inlineStr">
        <is>
          <t>NO</t>
        </is>
      </c>
      <c r="I536" s="10" t="inlineStr">
        <is>
          <t>500×550</t>
        </is>
      </c>
      <c r="J536" s="15" t="inlineStr">
        <is>
          <t>CUMPLE</t>
        </is>
      </c>
    </row>
    <row r="537">
      <c r="A537" s="26" t="inlineStr">
        <is>
          <t>VR3</t>
        </is>
      </c>
      <c r="B537" s="10" t="inlineStr">
        <is>
          <t>969</t>
        </is>
      </c>
      <c r="C537" s="32" t="n">
        <v>1.0355</v>
      </c>
      <c r="D537" s="32" t="n">
        <v>3.8348</v>
      </c>
      <c r="E537" s="32" t="n">
        <v>3.8348</v>
      </c>
      <c r="F537" s="32" t="n">
        <v>47.16287939768263</v>
      </c>
      <c r="G537" s="32" t="n">
        <v>3.8348</v>
      </c>
      <c r="H537" s="10" t="inlineStr">
        <is>
          <t>NO</t>
        </is>
      </c>
      <c r="I537" s="10" t="inlineStr">
        <is>
          <t>500×550</t>
        </is>
      </c>
      <c r="J537" s="15" t="inlineStr">
        <is>
          <t>CUMPLE</t>
        </is>
      </c>
    </row>
    <row r="538">
      <c r="A538" s="26" t="inlineStr">
        <is>
          <t>VR3</t>
        </is>
      </c>
      <c r="B538" s="10" t="inlineStr">
        <is>
          <t>970</t>
        </is>
      </c>
      <c r="C538" s="32" t="n">
        <v>0.6738</v>
      </c>
      <c r="D538" s="32" t="n">
        <v>1.9395</v>
      </c>
      <c r="E538" s="32" t="n">
        <v>1.9395</v>
      </c>
      <c r="F538" s="32" t="n">
        <v>47.16287939768263</v>
      </c>
      <c r="G538" s="32" t="n">
        <v>1.9395</v>
      </c>
      <c r="H538" s="10" t="inlineStr">
        <is>
          <t>NO</t>
        </is>
      </c>
      <c r="I538" s="10" t="inlineStr">
        <is>
          <t>500×550</t>
        </is>
      </c>
      <c r="J538" s="15" t="inlineStr">
        <is>
          <t>CUMPLE</t>
        </is>
      </c>
    </row>
    <row r="539">
      <c r="A539" s="26" t="inlineStr">
        <is>
          <t>VR3</t>
        </is>
      </c>
      <c r="B539" s="10" t="inlineStr">
        <is>
          <t>971</t>
        </is>
      </c>
      <c r="C539" s="32" t="n">
        <v>0.0266</v>
      </c>
      <c r="D539" s="32" t="n">
        <v>0.0274</v>
      </c>
      <c r="E539" s="32" t="n">
        <v>0.0274</v>
      </c>
      <c r="F539" s="32" t="n">
        <v>47.16287939768263</v>
      </c>
      <c r="G539" s="32" t="n">
        <v>0.0274</v>
      </c>
      <c r="H539" s="10" t="inlineStr">
        <is>
          <t>NO</t>
        </is>
      </c>
      <c r="I539" s="10" t="inlineStr">
        <is>
          <t>500×550</t>
        </is>
      </c>
      <c r="J539" s="15" t="inlineStr">
        <is>
          <t>CUMPLE</t>
        </is>
      </c>
    </row>
    <row r="540">
      <c r="A540" s="26" t="inlineStr">
        <is>
          <t>VR3</t>
        </is>
      </c>
      <c r="B540" s="10" t="inlineStr">
        <is>
          <t>972</t>
        </is>
      </c>
      <c r="C540" s="32" t="n">
        <v>0.2168</v>
      </c>
      <c r="D540" s="32" t="n">
        <v>1.0783</v>
      </c>
      <c r="E540" s="32" t="n">
        <v>1.0783</v>
      </c>
      <c r="F540" s="32" t="n">
        <v>47.16287939768263</v>
      </c>
      <c r="G540" s="32" t="n">
        <v>1.0783</v>
      </c>
      <c r="H540" s="10" t="inlineStr">
        <is>
          <t>NO</t>
        </is>
      </c>
      <c r="I540" s="10" t="inlineStr">
        <is>
          <t>500×550</t>
        </is>
      </c>
      <c r="J540" s="15" t="inlineStr">
        <is>
          <t>CUMPLE</t>
        </is>
      </c>
    </row>
    <row r="541">
      <c r="A541" s="26" t="inlineStr">
        <is>
          <t>VR3</t>
        </is>
      </c>
      <c r="B541" s="10" t="inlineStr">
        <is>
          <t>973</t>
        </is>
      </c>
      <c r="C541" s="32" t="n">
        <v>0.0026</v>
      </c>
      <c r="D541" s="32" t="n">
        <v>0.0114</v>
      </c>
      <c r="E541" s="32" t="n">
        <v>0.0114</v>
      </c>
      <c r="F541" s="32" t="n">
        <v>47.16287939768263</v>
      </c>
      <c r="G541" s="32" t="n">
        <v>0.0114</v>
      </c>
      <c r="H541" s="10" t="inlineStr">
        <is>
          <t>NO</t>
        </is>
      </c>
      <c r="I541" s="10" t="inlineStr">
        <is>
          <t>500×550</t>
        </is>
      </c>
      <c r="J541" s="15" t="inlineStr">
        <is>
          <t>CUMPLE</t>
        </is>
      </c>
    </row>
    <row r="542">
      <c r="A542" s="26" t="inlineStr">
        <is>
          <t>VR3</t>
        </is>
      </c>
      <c r="B542" s="10" t="inlineStr">
        <is>
          <t>974</t>
        </is>
      </c>
      <c r="C542" s="32" t="n">
        <v>0.0026</v>
      </c>
      <c r="D542" s="32" t="n">
        <v>0.0114</v>
      </c>
      <c r="E542" s="32" t="n">
        <v>0.0114</v>
      </c>
      <c r="F542" s="32" t="n">
        <v>47.16287939768263</v>
      </c>
      <c r="G542" s="32" t="n">
        <v>0.0114</v>
      </c>
      <c r="H542" s="10" t="inlineStr">
        <is>
          <t>NO</t>
        </is>
      </c>
      <c r="I542" s="10" t="inlineStr">
        <is>
          <t>500×550</t>
        </is>
      </c>
      <c r="J542" s="15" t="inlineStr">
        <is>
          <t>CUMPLE</t>
        </is>
      </c>
    </row>
    <row r="543">
      <c r="A543" s="26" t="inlineStr">
        <is>
          <t>VR3</t>
        </is>
      </c>
      <c r="B543" s="10" t="inlineStr">
        <is>
          <t>975</t>
        </is>
      </c>
      <c r="C543" s="32" t="n">
        <v>0.2189</v>
      </c>
      <c r="D543" s="32" t="n">
        <v>1.0904</v>
      </c>
      <c r="E543" s="32" t="n">
        <v>1.0904</v>
      </c>
      <c r="F543" s="32" t="n">
        <v>47.16287939768263</v>
      </c>
      <c r="G543" s="32" t="n">
        <v>1.0904</v>
      </c>
      <c r="H543" s="10" t="inlineStr">
        <is>
          <t>NO</t>
        </is>
      </c>
      <c r="I543" s="10" t="inlineStr">
        <is>
          <t>500×550</t>
        </is>
      </c>
      <c r="J543" s="15" t="inlineStr">
        <is>
          <t>CUMPLE</t>
        </is>
      </c>
    </row>
    <row r="544">
      <c r="A544" s="26" t="inlineStr">
        <is>
          <t>VR3</t>
        </is>
      </c>
      <c r="B544" s="10" t="inlineStr">
        <is>
          <t>976</t>
        </is>
      </c>
      <c r="C544" s="32" t="n">
        <v>0.0195</v>
      </c>
      <c r="D544" s="32" t="n">
        <v>0.0327</v>
      </c>
      <c r="E544" s="32" t="n">
        <v>0.0327</v>
      </c>
      <c r="F544" s="32" t="n">
        <v>47.16287939768263</v>
      </c>
      <c r="G544" s="32" t="n">
        <v>0.0327</v>
      </c>
      <c r="H544" s="10" t="inlineStr">
        <is>
          <t>NO</t>
        </is>
      </c>
      <c r="I544" s="10" t="inlineStr">
        <is>
          <t>500×550</t>
        </is>
      </c>
      <c r="J544" s="15" t="inlineStr">
        <is>
          <t>CUMPLE</t>
        </is>
      </c>
    </row>
    <row r="545">
      <c r="A545" s="26" t="inlineStr">
        <is>
          <t>VR3</t>
        </is>
      </c>
      <c r="B545" s="10" t="inlineStr">
        <is>
          <t>977</t>
        </is>
      </c>
      <c r="C545" s="32" t="n">
        <v>0.538</v>
      </c>
      <c r="D545" s="32" t="n">
        <v>1.8034</v>
      </c>
      <c r="E545" s="32" t="n">
        <v>1.8034</v>
      </c>
      <c r="F545" s="32" t="n">
        <v>47.16287939768263</v>
      </c>
      <c r="G545" s="32" t="n">
        <v>1.8034</v>
      </c>
      <c r="H545" s="10" t="inlineStr">
        <is>
          <t>NO</t>
        </is>
      </c>
      <c r="I545" s="10" t="inlineStr">
        <is>
          <t>500×550</t>
        </is>
      </c>
      <c r="J545" s="15" t="inlineStr">
        <is>
          <t>CUMPLE</t>
        </is>
      </c>
    </row>
    <row r="546">
      <c r="A546" s="26" t="inlineStr">
        <is>
          <t>VR3</t>
        </is>
      </c>
      <c r="B546" s="10" t="inlineStr">
        <is>
          <t>978</t>
        </is>
      </c>
      <c r="C546" s="32" t="n">
        <v>0.8931</v>
      </c>
      <c r="D546" s="32" t="n">
        <v>3.6935</v>
      </c>
      <c r="E546" s="32" t="n">
        <v>3.6935</v>
      </c>
      <c r="F546" s="32" t="n">
        <v>47.16287939768263</v>
      </c>
      <c r="G546" s="32" t="n">
        <v>3.6935</v>
      </c>
      <c r="H546" s="10" t="inlineStr">
        <is>
          <t>NO</t>
        </is>
      </c>
      <c r="I546" s="10" t="inlineStr">
        <is>
          <t>500×550</t>
        </is>
      </c>
      <c r="J546" s="15" t="inlineStr">
        <is>
          <t>CUMPLE</t>
        </is>
      </c>
    </row>
    <row r="547">
      <c r="A547" s="26" t="inlineStr">
        <is>
          <t>VR3</t>
        </is>
      </c>
      <c r="B547" s="10" t="inlineStr">
        <is>
          <t>1353</t>
        </is>
      </c>
      <c r="C547" s="32" t="n">
        <v>4.6688</v>
      </c>
      <c r="D547" s="32" t="n">
        <v>23.2924</v>
      </c>
      <c r="E547" s="32" t="n">
        <v>23.2924</v>
      </c>
      <c r="F547" s="32" t="n">
        <v>47.16287939768263</v>
      </c>
      <c r="G547" s="32" t="n">
        <v>23.2924</v>
      </c>
      <c r="H547" s="10" t="inlineStr">
        <is>
          <t>NO</t>
        </is>
      </c>
      <c r="I547" s="10" t="inlineStr">
        <is>
          <t>500×550</t>
        </is>
      </c>
      <c r="J547" s="15" t="inlineStr">
        <is>
          <t>CUMPLE</t>
        </is>
      </c>
    </row>
    <row r="548">
      <c r="A548" s="26" t="inlineStr">
        <is>
          <t>VR3</t>
        </is>
      </c>
      <c r="B548" s="10" t="inlineStr">
        <is>
          <t>1354</t>
        </is>
      </c>
      <c r="C548" s="32" t="n">
        <v>4.6626</v>
      </c>
      <c r="D548" s="32" t="n">
        <v>23.286</v>
      </c>
      <c r="E548" s="32" t="n">
        <v>23.286</v>
      </c>
      <c r="F548" s="32" t="n">
        <v>47.16287939768263</v>
      </c>
      <c r="G548" s="32" t="n">
        <v>23.286</v>
      </c>
      <c r="H548" s="10" t="inlineStr">
        <is>
          <t>NO</t>
        </is>
      </c>
      <c r="I548" s="10" t="inlineStr">
        <is>
          <t>500×550</t>
        </is>
      </c>
      <c r="J548" s="15" t="inlineStr">
        <is>
          <t>CUMPLE</t>
        </is>
      </c>
    </row>
    <row r="549">
      <c r="A549" s="26" t="inlineStr">
        <is>
          <t>VR3</t>
        </is>
      </c>
      <c r="B549" s="10" t="inlineStr">
        <is>
          <t>1355</t>
        </is>
      </c>
      <c r="C549" s="32" t="n">
        <v>3.7211</v>
      </c>
      <c r="D549" s="32" t="n">
        <v>18.5917</v>
      </c>
      <c r="E549" s="32" t="n">
        <v>18.5917</v>
      </c>
      <c r="F549" s="32" t="n">
        <v>47.16287939768263</v>
      </c>
      <c r="G549" s="32" t="n">
        <v>18.5917</v>
      </c>
      <c r="H549" s="10" t="inlineStr">
        <is>
          <t>NO</t>
        </is>
      </c>
      <c r="I549" s="10" t="inlineStr">
        <is>
          <t>500×550</t>
        </is>
      </c>
      <c r="J549" s="15" t="inlineStr">
        <is>
          <t>CUMPLE</t>
        </is>
      </c>
    </row>
    <row r="550">
      <c r="A550" s="26" t="inlineStr">
        <is>
          <t>VR3</t>
        </is>
      </c>
      <c r="B550" s="10" t="inlineStr">
        <is>
          <t>1356</t>
        </is>
      </c>
      <c r="C550" s="32" t="n">
        <v>3.7236</v>
      </c>
      <c r="D550" s="32" t="n">
        <v>18.593</v>
      </c>
      <c r="E550" s="32" t="n">
        <v>18.593</v>
      </c>
      <c r="F550" s="32" t="n">
        <v>47.16287939768263</v>
      </c>
      <c r="G550" s="32" t="n">
        <v>18.593</v>
      </c>
      <c r="H550" s="10" t="inlineStr">
        <is>
          <t>NO</t>
        </is>
      </c>
      <c r="I550" s="10" t="inlineStr">
        <is>
          <t>500×550</t>
        </is>
      </c>
      <c r="J550" s="15" t="inlineStr">
        <is>
          <t>CUMPLE</t>
        </is>
      </c>
    </row>
    <row r="551">
      <c r="A551" s="26" t="inlineStr">
        <is>
          <t>VR3</t>
        </is>
      </c>
      <c r="B551" s="10" t="inlineStr">
        <is>
          <t>1357</t>
        </is>
      </c>
      <c r="C551" s="32" t="n">
        <v>2.8704</v>
      </c>
      <c r="D551" s="32" t="n">
        <v>14.3029</v>
      </c>
      <c r="E551" s="32" t="n">
        <v>14.3029</v>
      </c>
      <c r="F551" s="32" t="n">
        <v>47.16287939768263</v>
      </c>
      <c r="G551" s="32" t="n">
        <v>14.3029</v>
      </c>
      <c r="H551" s="10" t="inlineStr">
        <is>
          <t>NO</t>
        </is>
      </c>
      <c r="I551" s="10" t="inlineStr">
        <is>
          <t>500×550</t>
        </is>
      </c>
      <c r="J551" s="15" t="inlineStr">
        <is>
          <t>CUMPLE</t>
        </is>
      </c>
    </row>
    <row r="552">
      <c r="A552" s="26" t="inlineStr">
        <is>
          <t>VR3</t>
        </is>
      </c>
      <c r="B552" s="10" t="inlineStr">
        <is>
          <t>1358</t>
        </is>
      </c>
      <c r="C552" s="32" t="n">
        <v>2.8647</v>
      </c>
      <c r="D552" s="32" t="n">
        <v>14.2983</v>
      </c>
      <c r="E552" s="32" t="n">
        <v>14.2983</v>
      </c>
      <c r="F552" s="32" t="n">
        <v>47.16287939768263</v>
      </c>
      <c r="G552" s="32" t="n">
        <v>14.2983</v>
      </c>
      <c r="H552" s="10" t="inlineStr">
        <is>
          <t>NO</t>
        </is>
      </c>
      <c r="I552" s="10" t="inlineStr">
        <is>
          <t>500×550</t>
        </is>
      </c>
      <c r="J552" s="15" t="inlineStr">
        <is>
          <t>CUMPLE</t>
        </is>
      </c>
    </row>
    <row r="553">
      <c r="A553" s="26" t="inlineStr">
        <is>
          <t>VR3</t>
        </is>
      </c>
      <c r="B553" s="10" t="inlineStr">
        <is>
          <t>1359</t>
        </is>
      </c>
      <c r="C553" s="32" t="n">
        <v>1.7333</v>
      </c>
      <c r="D553" s="32" t="n">
        <v>8.628500000000001</v>
      </c>
      <c r="E553" s="32" t="n">
        <v>8.628500000000001</v>
      </c>
      <c r="F553" s="32" t="n">
        <v>47.16287939768263</v>
      </c>
      <c r="G553" s="32" t="n">
        <v>8.628500000000001</v>
      </c>
      <c r="H553" s="10" t="inlineStr">
        <is>
          <t>NO</t>
        </is>
      </c>
      <c r="I553" s="10" t="inlineStr">
        <is>
          <t>500×550</t>
        </is>
      </c>
      <c r="J553" s="15" t="inlineStr">
        <is>
          <t>CUMPLE</t>
        </is>
      </c>
    </row>
    <row r="554">
      <c r="A554" s="26" t="inlineStr">
        <is>
          <t>VR3</t>
        </is>
      </c>
      <c r="B554" s="10" t="inlineStr">
        <is>
          <t>1360</t>
        </is>
      </c>
      <c r="C554" s="32" t="n">
        <v>1.7303</v>
      </c>
      <c r="D554" s="32" t="n">
        <v>8.628299999999999</v>
      </c>
      <c r="E554" s="32" t="n">
        <v>8.628299999999999</v>
      </c>
      <c r="F554" s="32" t="n">
        <v>47.16287939768263</v>
      </c>
      <c r="G554" s="32" t="n">
        <v>8.628299999999999</v>
      </c>
      <c r="H554" s="10" t="inlineStr">
        <is>
          <t>NO</t>
        </is>
      </c>
      <c r="I554" s="10" t="inlineStr">
        <is>
          <t>500×550</t>
        </is>
      </c>
      <c r="J554" s="15" t="inlineStr">
        <is>
          <t>CUMPLE</t>
        </is>
      </c>
    </row>
    <row r="555">
      <c r="A555" s="26" t="inlineStr">
        <is>
          <t>VR3</t>
        </is>
      </c>
      <c r="B555" s="10" t="inlineStr">
        <is>
          <t>1361</t>
        </is>
      </c>
      <c r="C555" s="32" t="n">
        <v>0.6636</v>
      </c>
      <c r="D555" s="32" t="n">
        <v>3.2588</v>
      </c>
      <c r="E555" s="32" t="n">
        <v>3.2588</v>
      </c>
      <c r="F555" s="32" t="n">
        <v>47.16287939768263</v>
      </c>
      <c r="G555" s="32" t="n">
        <v>3.2588</v>
      </c>
      <c r="H555" s="10" t="inlineStr">
        <is>
          <t>NO</t>
        </is>
      </c>
      <c r="I555" s="10" t="inlineStr">
        <is>
          <t>500×550</t>
        </is>
      </c>
      <c r="J555" s="15" t="inlineStr">
        <is>
          <t>CUMPLE</t>
        </is>
      </c>
    </row>
    <row r="556">
      <c r="A556" s="26" t="inlineStr">
        <is>
          <t>VR3</t>
        </is>
      </c>
      <c r="B556" s="10" t="inlineStr">
        <is>
          <t>1362</t>
        </is>
      </c>
      <c r="C556" s="32" t="n">
        <v>0.6577</v>
      </c>
      <c r="D556" s="32" t="n">
        <v>3.2532</v>
      </c>
      <c r="E556" s="32" t="n">
        <v>3.2532</v>
      </c>
      <c r="F556" s="32" t="n">
        <v>47.16287939768263</v>
      </c>
      <c r="G556" s="32" t="n">
        <v>3.2532</v>
      </c>
      <c r="H556" s="10" t="inlineStr">
        <is>
          <t>NO</t>
        </is>
      </c>
      <c r="I556" s="10" t="inlineStr">
        <is>
          <t>500×550</t>
        </is>
      </c>
      <c r="J556" s="15" t="inlineStr">
        <is>
          <t>CUMPLE</t>
        </is>
      </c>
    </row>
    <row r="557">
      <c r="A557" s="27" t="inlineStr">
        <is>
          <t>VRAUX</t>
        </is>
      </c>
      <c r="B557" s="10" t="inlineStr">
        <is>
          <t>105</t>
        </is>
      </c>
      <c r="C557" s="32" t="n">
        <v>0.8969</v>
      </c>
      <c r="D557" s="32" t="n">
        <v>4.4154</v>
      </c>
      <c r="E557" s="32" t="n">
        <v>4.4154</v>
      </c>
      <c r="F557" s="32" t="n">
        <v>40.11202892772908</v>
      </c>
      <c r="G557" s="32" t="n">
        <v>4.4154</v>
      </c>
      <c r="H557" s="10" t="inlineStr">
        <is>
          <t>NO</t>
        </is>
      </c>
      <c r="I557" s="10" t="inlineStr">
        <is>
          <t>450×550</t>
        </is>
      </c>
      <c r="J557" s="15" t="inlineStr">
        <is>
          <t>CUMPLE</t>
        </is>
      </c>
    </row>
    <row r="558">
      <c r="A558" s="27" t="inlineStr">
        <is>
          <t>VRAUX</t>
        </is>
      </c>
      <c r="B558" s="10" t="inlineStr">
        <is>
          <t>106</t>
        </is>
      </c>
      <c r="C558" s="32" t="n">
        <v>0.8968</v>
      </c>
      <c r="D558" s="32" t="n">
        <v>4.4154</v>
      </c>
      <c r="E558" s="32" t="n">
        <v>4.4154</v>
      </c>
      <c r="F558" s="32" t="n">
        <v>40.11202892772908</v>
      </c>
      <c r="G558" s="32" t="n">
        <v>4.4154</v>
      </c>
      <c r="H558" s="10" t="inlineStr">
        <is>
          <t>NO</t>
        </is>
      </c>
      <c r="I558" s="10" t="inlineStr">
        <is>
          <t>450×550</t>
        </is>
      </c>
      <c r="J558" s="15" t="inlineStr">
        <is>
          <t>CUMPLE</t>
        </is>
      </c>
    </row>
    <row r="559">
      <c r="A559" s="27" t="inlineStr">
        <is>
          <t>VRAUX</t>
        </is>
      </c>
      <c r="B559" s="10" t="inlineStr">
        <is>
          <t>107</t>
        </is>
      </c>
      <c r="C559" s="32" t="n">
        <v>0.8973</v>
      </c>
      <c r="D559" s="32" t="n">
        <v>4.4154</v>
      </c>
      <c r="E559" s="32" t="n">
        <v>4.4154</v>
      </c>
      <c r="F559" s="32" t="n">
        <v>40.11202892772908</v>
      </c>
      <c r="G559" s="32" t="n">
        <v>4.4154</v>
      </c>
      <c r="H559" s="10" t="inlineStr">
        <is>
          <t>NO</t>
        </is>
      </c>
      <c r="I559" s="10" t="inlineStr">
        <is>
          <t>450×550</t>
        </is>
      </c>
      <c r="J559" s="15" t="inlineStr">
        <is>
          <t>CUMPLE</t>
        </is>
      </c>
    </row>
    <row r="560">
      <c r="A560" s="27" t="inlineStr">
        <is>
          <t>VRAUX</t>
        </is>
      </c>
      <c r="B560" s="10" t="inlineStr">
        <is>
          <t>108</t>
        </is>
      </c>
      <c r="C560" s="32" t="n">
        <v>0.8967000000000001</v>
      </c>
      <c r="D560" s="32" t="n">
        <v>4.4147</v>
      </c>
      <c r="E560" s="32" t="n">
        <v>4.4147</v>
      </c>
      <c r="F560" s="32" t="n">
        <v>40.11202892772908</v>
      </c>
      <c r="G560" s="32" t="n">
        <v>4.4147</v>
      </c>
      <c r="H560" s="10" t="inlineStr">
        <is>
          <t>NO</t>
        </is>
      </c>
      <c r="I560" s="10" t="inlineStr">
        <is>
          <t>450×550</t>
        </is>
      </c>
      <c r="J560" s="15" t="inlineStr">
        <is>
          <t>CUMPLE</t>
        </is>
      </c>
    </row>
    <row r="561">
      <c r="A561" s="27" t="inlineStr">
        <is>
          <t>VRAUX</t>
        </is>
      </c>
      <c r="B561" s="10" t="inlineStr">
        <is>
          <t>109</t>
        </is>
      </c>
      <c r="C561" s="32" t="n">
        <v>6.0647</v>
      </c>
      <c r="D561" s="32" t="n">
        <v>16.9698</v>
      </c>
      <c r="E561" s="32" t="n">
        <v>16.9698</v>
      </c>
      <c r="F561" s="32" t="n">
        <v>40.11202892772908</v>
      </c>
      <c r="G561" s="32" t="n">
        <v>16.9698</v>
      </c>
      <c r="H561" s="10" t="inlineStr">
        <is>
          <t>NO</t>
        </is>
      </c>
      <c r="I561" s="10" t="inlineStr">
        <is>
          <t>450×550</t>
        </is>
      </c>
      <c r="J561" s="15" t="inlineStr">
        <is>
          <t>CUMPLE</t>
        </is>
      </c>
    </row>
    <row r="562">
      <c r="A562" s="27" t="inlineStr">
        <is>
          <t>VRAUX</t>
        </is>
      </c>
      <c r="B562" s="10" t="inlineStr">
        <is>
          <t>110</t>
        </is>
      </c>
      <c r="C562" s="32" t="n">
        <v>6.0531</v>
      </c>
      <c r="D562" s="32" t="n">
        <v>16.9584</v>
      </c>
      <c r="E562" s="32" t="n">
        <v>16.9584</v>
      </c>
      <c r="F562" s="32" t="n">
        <v>40.11202892772908</v>
      </c>
      <c r="G562" s="32" t="n">
        <v>16.9584</v>
      </c>
      <c r="H562" s="10" t="inlineStr">
        <is>
          <t>NO</t>
        </is>
      </c>
      <c r="I562" s="10" t="inlineStr">
        <is>
          <t>450×550</t>
        </is>
      </c>
      <c r="J562" s="15" t="inlineStr">
        <is>
          <t>CUMPLE</t>
        </is>
      </c>
    </row>
    <row r="563">
      <c r="A563" s="27" t="inlineStr">
        <is>
          <t>VRAUX</t>
        </is>
      </c>
      <c r="B563" s="10" t="inlineStr">
        <is>
          <t>111</t>
        </is>
      </c>
      <c r="C563" s="32" t="n">
        <v>6.0506</v>
      </c>
      <c r="D563" s="32" t="n">
        <v>16.95</v>
      </c>
      <c r="E563" s="32" t="n">
        <v>16.95</v>
      </c>
      <c r="F563" s="32" t="n">
        <v>40.11202892772908</v>
      </c>
      <c r="G563" s="32" t="n">
        <v>16.95</v>
      </c>
      <c r="H563" s="10" t="inlineStr">
        <is>
          <t>NO</t>
        </is>
      </c>
      <c r="I563" s="10" t="inlineStr">
        <is>
          <t>450×550</t>
        </is>
      </c>
      <c r="J563" s="15" t="inlineStr">
        <is>
          <t>CUMPLE</t>
        </is>
      </c>
    </row>
    <row r="564">
      <c r="A564" s="27" t="inlineStr">
        <is>
          <t>VRAUX</t>
        </is>
      </c>
      <c r="B564" s="10" t="inlineStr">
        <is>
          <t>112</t>
        </is>
      </c>
      <c r="C564" s="32" t="n">
        <v>6.0639</v>
      </c>
      <c r="D564" s="32" t="n">
        <v>16.9631</v>
      </c>
      <c r="E564" s="32" t="n">
        <v>16.9631</v>
      </c>
      <c r="F564" s="32" t="n">
        <v>40.11202892772908</v>
      </c>
      <c r="G564" s="32" t="n">
        <v>16.9631</v>
      </c>
      <c r="H564" s="10" t="inlineStr">
        <is>
          <t>NO</t>
        </is>
      </c>
      <c r="I564" s="10" t="inlineStr">
        <is>
          <t>450×550</t>
        </is>
      </c>
      <c r="J564" s="15" t="inlineStr">
        <is>
          <t>CUMPLE</t>
        </is>
      </c>
    </row>
    <row r="565">
      <c r="A565" s="27" t="inlineStr">
        <is>
          <t>VRAUX</t>
        </is>
      </c>
      <c r="B565" s="10" t="inlineStr">
        <is>
          <t>113</t>
        </is>
      </c>
      <c r="C565" s="32" t="n">
        <v>0.4777</v>
      </c>
      <c r="D565" s="32" t="n">
        <v>2.1206</v>
      </c>
      <c r="E565" s="32" t="n">
        <v>2.1206</v>
      </c>
      <c r="F565" s="32" t="n">
        <v>40.11202892772908</v>
      </c>
      <c r="G565" s="32" t="n">
        <v>2.1206</v>
      </c>
      <c r="H565" s="10" t="inlineStr">
        <is>
          <t>NO</t>
        </is>
      </c>
      <c r="I565" s="10" t="inlineStr">
        <is>
          <t>450×550</t>
        </is>
      </c>
      <c r="J565" s="15" t="inlineStr">
        <is>
          <t>CUMPLE</t>
        </is>
      </c>
    </row>
    <row r="566">
      <c r="A566" s="27" t="inlineStr">
        <is>
          <t>VRAUX</t>
        </is>
      </c>
      <c r="B566" s="10" t="inlineStr">
        <is>
          <t>114</t>
        </is>
      </c>
      <c r="C566" s="32" t="n">
        <v>0.4821</v>
      </c>
      <c r="D566" s="32" t="n">
        <v>2.1219</v>
      </c>
      <c r="E566" s="32" t="n">
        <v>2.1219</v>
      </c>
      <c r="F566" s="32" t="n">
        <v>40.11202892772908</v>
      </c>
      <c r="G566" s="32" t="n">
        <v>2.1219</v>
      </c>
      <c r="H566" s="10" t="inlineStr">
        <is>
          <t>NO</t>
        </is>
      </c>
      <c r="I566" s="10" t="inlineStr">
        <is>
          <t>450×550</t>
        </is>
      </c>
      <c r="J566" s="15" t="inlineStr">
        <is>
          <t>CUMPLE</t>
        </is>
      </c>
    </row>
    <row r="567">
      <c r="A567" s="27" t="inlineStr">
        <is>
          <t>VRAUX</t>
        </is>
      </c>
      <c r="B567" s="10" t="inlineStr">
        <is>
          <t>115</t>
        </is>
      </c>
      <c r="C567" s="32" t="n">
        <v>0.4808</v>
      </c>
      <c r="D567" s="32" t="n">
        <v>2.1257</v>
      </c>
      <c r="E567" s="32" t="n">
        <v>2.1257</v>
      </c>
      <c r="F567" s="32" t="n">
        <v>40.11202892772908</v>
      </c>
      <c r="G567" s="32" t="n">
        <v>2.1257</v>
      </c>
      <c r="H567" s="10" t="inlineStr">
        <is>
          <t>NO</t>
        </is>
      </c>
      <c r="I567" s="10" t="inlineStr">
        <is>
          <t>450×550</t>
        </is>
      </c>
      <c r="J567" s="15" t="inlineStr">
        <is>
          <t>CUMPLE</t>
        </is>
      </c>
    </row>
    <row r="568">
      <c r="A568" s="27" t="inlineStr">
        <is>
          <t>VRAUX</t>
        </is>
      </c>
      <c r="B568" s="10" t="inlineStr">
        <is>
          <t>116</t>
        </is>
      </c>
      <c r="C568" s="32" t="n">
        <v>0.478</v>
      </c>
      <c r="D568" s="32" t="n">
        <v>2.1219</v>
      </c>
      <c r="E568" s="32" t="n">
        <v>2.1219</v>
      </c>
      <c r="F568" s="32" t="n">
        <v>40.11202892772908</v>
      </c>
      <c r="G568" s="32" t="n">
        <v>2.1219</v>
      </c>
      <c r="H568" s="10" t="inlineStr">
        <is>
          <t>NO</t>
        </is>
      </c>
      <c r="I568" s="10" t="inlineStr">
        <is>
          <t>450×550</t>
        </is>
      </c>
      <c r="J568" s="15" t="inlineStr">
        <is>
          <t>CUMPLE</t>
        </is>
      </c>
    </row>
    <row r="569">
      <c r="A569" s="27" t="inlineStr">
        <is>
          <t>VRAUX</t>
        </is>
      </c>
      <c r="B569" s="10" t="inlineStr">
        <is>
          <t>117</t>
        </is>
      </c>
      <c r="C569" s="32" t="n">
        <v>6.9892</v>
      </c>
      <c r="D569" s="32" t="n">
        <v>17.5067</v>
      </c>
      <c r="E569" s="32" t="n">
        <v>17.5067</v>
      </c>
      <c r="F569" s="32" t="n">
        <v>40.11202892772908</v>
      </c>
      <c r="G569" s="32" t="n">
        <v>17.5067</v>
      </c>
      <c r="H569" s="10" t="inlineStr">
        <is>
          <t>NO</t>
        </is>
      </c>
      <c r="I569" s="10" t="inlineStr">
        <is>
          <t>450×550</t>
        </is>
      </c>
      <c r="J569" s="15" t="inlineStr">
        <is>
          <t>CUMPLE</t>
        </is>
      </c>
    </row>
    <row r="570">
      <c r="A570" s="27" t="inlineStr">
        <is>
          <t>VRAUX</t>
        </is>
      </c>
      <c r="B570" s="10" t="inlineStr">
        <is>
          <t>118</t>
        </is>
      </c>
      <c r="C570" s="32" t="n">
        <v>6.9774</v>
      </c>
      <c r="D570" s="32" t="n">
        <v>17.4949</v>
      </c>
      <c r="E570" s="32" t="n">
        <v>17.4949</v>
      </c>
      <c r="F570" s="32" t="n">
        <v>40.11202892772908</v>
      </c>
      <c r="G570" s="32" t="n">
        <v>17.4949</v>
      </c>
      <c r="H570" s="10" t="inlineStr">
        <is>
          <t>NO</t>
        </is>
      </c>
      <c r="I570" s="10" t="inlineStr">
        <is>
          <t>450×550</t>
        </is>
      </c>
      <c r="J570" s="15" t="inlineStr">
        <is>
          <t>CUMPLE</t>
        </is>
      </c>
    </row>
    <row r="571">
      <c r="A571" s="27" t="inlineStr">
        <is>
          <t>VRAUX</t>
        </is>
      </c>
      <c r="B571" s="10" t="inlineStr">
        <is>
          <t>119</t>
        </is>
      </c>
      <c r="C571" s="32" t="n">
        <v>6.9776</v>
      </c>
      <c r="D571" s="32" t="n">
        <v>17.4808</v>
      </c>
      <c r="E571" s="32" t="n">
        <v>17.4808</v>
      </c>
      <c r="F571" s="32" t="n">
        <v>40.11202892772908</v>
      </c>
      <c r="G571" s="32" t="n">
        <v>17.4808</v>
      </c>
      <c r="H571" s="10" t="inlineStr">
        <is>
          <t>NO</t>
        </is>
      </c>
      <c r="I571" s="10" t="inlineStr">
        <is>
          <t>450×550</t>
        </is>
      </c>
      <c r="J571" s="15" t="inlineStr">
        <is>
          <t>CUMPLE</t>
        </is>
      </c>
    </row>
    <row r="572">
      <c r="A572" s="27" t="inlineStr">
        <is>
          <t>VRAUX</t>
        </is>
      </c>
      <c r="B572" s="10" t="inlineStr">
        <is>
          <t>120</t>
        </is>
      </c>
      <c r="C572" s="32" t="n">
        <v>6.9756</v>
      </c>
      <c r="D572" s="32" t="n">
        <v>17.4794</v>
      </c>
      <c r="E572" s="32" t="n">
        <v>17.4794</v>
      </c>
      <c r="F572" s="32" t="n">
        <v>40.11202892772908</v>
      </c>
      <c r="G572" s="32" t="n">
        <v>17.4794</v>
      </c>
      <c r="H572" s="10" t="inlineStr">
        <is>
          <t>NO</t>
        </is>
      </c>
      <c r="I572" s="10" t="inlineStr">
        <is>
          <t>450×550</t>
        </is>
      </c>
      <c r="J572" s="15" t="inlineStr">
        <is>
          <t>CUMPLE</t>
        </is>
      </c>
    </row>
    <row r="573">
      <c r="A573" s="27" t="inlineStr">
        <is>
          <t>VRAUX</t>
        </is>
      </c>
      <c r="B573" s="10" t="inlineStr">
        <is>
          <t>121</t>
        </is>
      </c>
      <c r="C573" s="32" t="n">
        <v>0.5013</v>
      </c>
      <c r="D573" s="32" t="n">
        <v>2.1127</v>
      </c>
      <c r="E573" s="32" t="n">
        <v>2.1127</v>
      </c>
      <c r="F573" s="32" t="n">
        <v>40.11202892772908</v>
      </c>
      <c r="G573" s="32" t="n">
        <v>2.1127</v>
      </c>
      <c r="H573" s="10" t="inlineStr">
        <is>
          <t>NO</t>
        </is>
      </c>
      <c r="I573" s="10" t="inlineStr">
        <is>
          <t>450×550</t>
        </is>
      </c>
      <c r="J573" s="15" t="inlineStr">
        <is>
          <t>CUMPLE</t>
        </is>
      </c>
    </row>
    <row r="574">
      <c r="A574" s="27" t="inlineStr">
        <is>
          <t>VRAUX</t>
        </is>
      </c>
      <c r="B574" s="10" t="inlineStr">
        <is>
          <t>122</t>
        </is>
      </c>
      <c r="C574" s="32" t="n">
        <v>0.5047</v>
      </c>
      <c r="D574" s="32" t="n">
        <v>2.1162</v>
      </c>
      <c r="E574" s="32" t="n">
        <v>2.1162</v>
      </c>
      <c r="F574" s="32" t="n">
        <v>40.11202892772908</v>
      </c>
      <c r="G574" s="32" t="n">
        <v>2.1162</v>
      </c>
      <c r="H574" s="10" t="inlineStr">
        <is>
          <t>NO</t>
        </is>
      </c>
      <c r="I574" s="10" t="inlineStr">
        <is>
          <t>450×550</t>
        </is>
      </c>
      <c r="J574" s="15" t="inlineStr">
        <is>
          <t>CUMPLE</t>
        </is>
      </c>
    </row>
    <row r="575">
      <c r="A575" s="27" t="inlineStr">
        <is>
          <t>VRAUX</t>
        </is>
      </c>
      <c r="B575" s="10" t="inlineStr">
        <is>
          <t>123</t>
        </is>
      </c>
      <c r="C575" s="32" t="n">
        <v>0.5046</v>
      </c>
      <c r="D575" s="32" t="n">
        <v>2.1158</v>
      </c>
      <c r="E575" s="32" t="n">
        <v>2.1158</v>
      </c>
      <c r="F575" s="32" t="n">
        <v>40.11202892772908</v>
      </c>
      <c r="G575" s="32" t="n">
        <v>2.1158</v>
      </c>
      <c r="H575" s="10" t="inlineStr">
        <is>
          <t>NO</t>
        </is>
      </c>
      <c r="I575" s="10" t="inlineStr">
        <is>
          <t>450×550</t>
        </is>
      </c>
      <c r="J575" s="15" t="inlineStr">
        <is>
          <t>CUMPLE</t>
        </is>
      </c>
    </row>
    <row r="576">
      <c r="A576" s="27" t="inlineStr">
        <is>
          <t>VRAUX</t>
        </is>
      </c>
      <c r="B576" s="10" t="inlineStr">
        <is>
          <t>124</t>
        </is>
      </c>
      <c r="C576" s="32" t="n">
        <v>0.501</v>
      </c>
      <c r="D576" s="32" t="n">
        <v>2.1119</v>
      </c>
      <c r="E576" s="32" t="n">
        <v>2.1119</v>
      </c>
      <c r="F576" s="32" t="n">
        <v>40.11202892772908</v>
      </c>
      <c r="G576" s="32" t="n">
        <v>2.1119</v>
      </c>
      <c r="H576" s="10" t="inlineStr">
        <is>
          <t>NO</t>
        </is>
      </c>
      <c r="I576" s="10" t="inlineStr">
        <is>
          <t>450×550</t>
        </is>
      </c>
      <c r="J576" s="15" t="inlineStr">
        <is>
          <t>CUMPLE</t>
        </is>
      </c>
    </row>
    <row r="577">
      <c r="A577" s="27" t="inlineStr">
        <is>
          <t>VRAUX</t>
        </is>
      </c>
      <c r="B577" s="10" t="inlineStr">
        <is>
          <t>125</t>
        </is>
      </c>
      <c r="C577" s="32" t="n">
        <v>7.2038</v>
      </c>
      <c r="D577" s="32" t="n">
        <v>16.2699</v>
      </c>
      <c r="E577" s="32" t="n">
        <v>16.2699</v>
      </c>
      <c r="F577" s="32" t="n">
        <v>40.11202892772908</v>
      </c>
      <c r="G577" s="32" t="n">
        <v>16.2699</v>
      </c>
      <c r="H577" s="10" t="inlineStr">
        <is>
          <t>NO</t>
        </is>
      </c>
      <c r="I577" s="10" t="inlineStr">
        <is>
          <t>450×550</t>
        </is>
      </c>
      <c r="J577" s="15" t="inlineStr">
        <is>
          <t>CUMPLE</t>
        </is>
      </c>
    </row>
    <row r="578">
      <c r="A578" s="27" t="inlineStr">
        <is>
          <t>VRAUX</t>
        </is>
      </c>
      <c r="B578" s="10" t="inlineStr">
        <is>
          <t>126</t>
        </is>
      </c>
      <c r="C578" s="32" t="n">
        <v>7.192</v>
      </c>
      <c r="D578" s="32" t="n">
        <v>16.2582</v>
      </c>
      <c r="E578" s="32" t="n">
        <v>16.2582</v>
      </c>
      <c r="F578" s="32" t="n">
        <v>40.11202892772908</v>
      </c>
      <c r="G578" s="32" t="n">
        <v>16.2582</v>
      </c>
      <c r="H578" s="10" t="inlineStr">
        <is>
          <t>NO</t>
        </is>
      </c>
      <c r="I578" s="10" t="inlineStr">
        <is>
          <t>450×550</t>
        </is>
      </c>
      <c r="J578" s="15" t="inlineStr">
        <is>
          <t>CUMPLE</t>
        </is>
      </c>
    </row>
    <row r="579">
      <c r="A579" s="27" t="inlineStr">
        <is>
          <t>VRAUX</t>
        </is>
      </c>
      <c r="B579" s="10" t="inlineStr">
        <is>
          <t>127</t>
        </is>
      </c>
      <c r="C579" s="32" t="n">
        <v>7.1875</v>
      </c>
      <c r="D579" s="32" t="n">
        <v>16.2321</v>
      </c>
      <c r="E579" s="32" t="n">
        <v>16.2321</v>
      </c>
      <c r="F579" s="32" t="n">
        <v>40.11202892772908</v>
      </c>
      <c r="G579" s="32" t="n">
        <v>16.2321</v>
      </c>
      <c r="H579" s="10" t="inlineStr">
        <is>
          <t>NO</t>
        </is>
      </c>
      <c r="I579" s="10" t="inlineStr">
        <is>
          <t>450×550</t>
        </is>
      </c>
      <c r="J579" s="15" t="inlineStr">
        <is>
          <t>CUMPLE</t>
        </is>
      </c>
    </row>
    <row r="580">
      <c r="A580" s="27" t="inlineStr">
        <is>
          <t>VRAUX</t>
        </is>
      </c>
      <c r="B580" s="10" t="inlineStr">
        <is>
          <t>128</t>
        </is>
      </c>
      <c r="C580" s="32" t="n">
        <v>7.201</v>
      </c>
      <c r="D580" s="32" t="n">
        <v>16.2454</v>
      </c>
      <c r="E580" s="32" t="n">
        <v>16.2454</v>
      </c>
      <c r="F580" s="32" t="n">
        <v>40.11202892772908</v>
      </c>
      <c r="G580" s="32" t="n">
        <v>16.2454</v>
      </c>
      <c r="H580" s="10" t="inlineStr">
        <is>
          <t>NO</t>
        </is>
      </c>
      <c r="I580" s="10" t="inlineStr">
        <is>
          <t>450×550</t>
        </is>
      </c>
      <c r="J580" s="15" t="inlineStr">
        <is>
          <t>CUMPLE</t>
        </is>
      </c>
    </row>
    <row r="581">
      <c r="A581" s="27" t="inlineStr">
        <is>
          <t>VRAUX</t>
        </is>
      </c>
      <c r="B581" s="10" t="inlineStr">
        <is>
          <t>129</t>
        </is>
      </c>
      <c r="C581" s="32" t="n">
        <v>0.8167</v>
      </c>
      <c r="D581" s="32" t="n">
        <v>3.5684</v>
      </c>
      <c r="E581" s="32" t="n">
        <v>3.5684</v>
      </c>
      <c r="F581" s="32" t="n">
        <v>40.11202892772908</v>
      </c>
      <c r="G581" s="32" t="n">
        <v>3.5684</v>
      </c>
      <c r="H581" s="10" t="inlineStr">
        <is>
          <t>NO</t>
        </is>
      </c>
      <c r="I581" s="10" t="inlineStr">
        <is>
          <t>450×550</t>
        </is>
      </c>
      <c r="J581" s="15" t="inlineStr">
        <is>
          <t>CUMPLE</t>
        </is>
      </c>
    </row>
    <row r="582">
      <c r="A582" s="27" t="inlineStr">
        <is>
          <t>VRAUX</t>
        </is>
      </c>
      <c r="B582" s="10" t="inlineStr">
        <is>
          <t>130</t>
        </is>
      </c>
      <c r="C582" s="32" t="n">
        <v>0.8218</v>
      </c>
      <c r="D582" s="32" t="n">
        <v>3.5736</v>
      </c>
      <c r="E582" s="32" t="n">
        <v>3.5736</v>
      </c>
      <c r="F582" s="32" t="n">
        <v>40.11202892772908</v>
      </c>
      <c r="G582" s="32" t="n">
        <v>3.5736</v>
      </c>
      <c r="H582" s="10" t="inlineStr">
        <is>
          <t>NO</t>
        </is>
      </c>
      <c r="I582" s="10" t="inlineStr">
        <is>
          <t>450×550</t>
        </is>
      </c>
      <c r="J582" s="15" t="inlineStr">
        <is>
          <t>CUMPLE</t>
        </is>
      </c>
    </row>
    <row r="583">
      <c r="A583" s="27" t="inlineStr">
        <is>
          <t>VRAUX</t>
        </is>
      </c>
      <c r="B583" s="10" t="inlineStr">
        <is>
          <t>131</t>
        </is>
      </c>
      <c r="C583" s="32" t="n">
        <v>0.8206</v>
      </c>
      <c r="D583" s="32" t="n">
        <v>3.5718</v>
      </c>
      <c r="E583" s="32" t="n">
        <v>3.5718</v>
      </c>
      <c r="F583" s="32" t="n">
        <v>40.11202892772908</v>
      </c>
      <c r="G583" s="32" t="n">
        <v>3.5718</v>
      </c>
      <c r="H583" s="10" t="inlineStr">
        <is>
          <t>NO</t>
        </is>
      </c>
      <c r="I583" s="10" t="inlineStr">
        <is>
          <t>450×550</t>
        </is>
      </c>
      <c r="J583" s="15" t="inlineStr">
        <is>
          <t>CUMPLE</t>
        </is>
      </c>
    </row>
    <row r="584">
      <c r="A584" s="27" t="inlineStr">
        <is>
          <t>VRAUX</t>
        </is>
      </c>
      <c r="B584" s="10" t="inlineStr">
        <is>
          <t>132</t>
        </is>
      </c>
      <c r="C584" s="32" t="n">
        <v>0.8164</v>
      </c>
      <c r="D584" s="32" t="n">
        <v>3.5675</v>
      </c>
      <c r="E584" s="32" t="n">
        <v>3.5675</v>
      </c>
      <c r="F584" s="32" t="n">
        <v>40.11202892772908</v>
      </c>
      <c r="G584" s="32" t="n">
        <v>3.5675</v>
      </c>
      <c r="H584" s="10" t="inlineStr">
        <is>
          <t>NO</t>
        </is>
      </c>
      <c r="I584" s="10" t="inlineStr">
        <is>
          <t>450×550</t>
        </is>
      </c>
      <c r="J584" s="15" t="inlineStr">
        <is>
          <t>CUMPLE</t>
        </is>
      </c>
    </row>
    <row r="585">
      <c r="A585" s="27" t="inlineStr">
        <is>
          <t>VRAUX</t>
        </is>
      </c>
      <c r="B585" s="10" t="inlineStr">
        <is>
          <t>133</t>
        </is>
      </c>
      <c r="C585" s="32" t="n">
        <v>6.94</v>
      </c>
      <c r="D585" s="32" t="n">
        <v>13.5874</v>
      </c>
      <c r="E585" s="32" t="n">
        <v>13.5874</v>
      </c>
      <c r="F585" s="32" t="n">
        <v>40.11202892772908</v>
      </c>
      <c r="G585" s="32" t="n">
        <v>13.5874</v>
      </c>
      <c r="H585" s="10" t="inlineStr">
        <is>
          <t>NO</t>
        </is>
      </c>
      <c r="I585" s="10" t="inlineStr">
        <is>
          <t>450×550</t>
        </is>
      </c>
      <c r="J585" s="15" t="inlineStr">
        <is>
          <t>CUMPLE</t>
        </is>
      </c>
    </row>
    <row r="586">
      <c r="A586" s="27" t="inlineStr">
        <is>
          <t>VRAUX</t>
        </is>
      </c>
      <c r="B586" s="10" t="inlineStr">
        <is>
          <t>134</t>
        </is>
      </c>
      <c r="C586" s="32" t="n">
        <v>6.9284</v>
      </c>
      <c r="D586" s="32" t="n">
        <v>13.5756</v>
      </c>
      <c r="E586" s="32" t="n">
        <v>13.5756</v>
      </c>
      <c r="F586" s="32" t="n">
        <v>40.11202892772908</v>
      </c>
      <c r="G586" s="32" t="n">
        <v>13.5756</v>
      </c>
      <c r="H586" s="10" t="inlineStr">
        <is>
          <t>NO</t>
        </is>
      </c>
      <c r="I586" s="10" t="inlineStr">
        <is>
          <t>450×550</t>
        </is>
      </c>
      <c r="J586" s="15" t="inlineStr">
        <is>
          <t>CUMPLE</t>
        </is>
      </c>
    </row>
    <row r="587">
      <c r="A587" s="27" t="inlineStr">
        <is>
          <t>VRAUX</t>
        </is>
      </c>
      <c r="B587" s="10" t="inlineStr">
        <is>
          <t>135</t>
        </is>
      </c>
      <c r="C587" s="32" t="n">
        <v>6.9241</v>
      </c>
      <c r="D587" s="32" t="n">
        <v>13.544</v>
      </c>
      <c r="E587" s="32" t="n">
        <v>13.544</v>
      </c>
      <c r="F587" s="32" t="n">
        <v>40.11202892772908</v>
      </c>
      <c r="G587" s="32" t="n">
        <v>13.544</v>
      </c>
      <c r="H587" s="10" t="inlineStr">
        <is>
          <t>NO</t>
        </is>
      </c>
      <c r="I587" s="10" t="inlineStr">
        <is>
          <t>450×550</t>
        </is>
      </c>
      <c r="J587" s="15" t="inlineStr">
        <is>
          <t>CUMPLE</t>
        </is>
      </c>
    </row>
    <row r="588">
      <c r="A588" s="27" t="inlineStr">
        <is>
          <t>VRAUX</t>
        </is>
      </c>
      <c r="B588" s="10" t="inlineStr">
        <is>
          <t>136</t>
        </is>
      </c>
      <c r="C588" s="32" t="n">
        <v>6.9359</v>
      </c>
      <c r="D588" s="32" t="n">
        <v>13.5551</v>
      </c>
      <c r="E588" s="32" t="n">
        <v>13.5551</v>
      </c>
      <c r="F588" s="32" t="n">
        <v>40.11202892772908</v>
      </c>
      <c r="G588" s="32" t="n">
        <v>13.5551</v>
      </c>
      <c r="H588" s="10" t="inlineStr">
        <is>
          <t>NO</t>
        </is>
      </c>
      <c r="I588" s="10" t="inlineStr">
        <is>
          <t>450×550</t>
        </is>
      </c>
      <c r="J588" s="15" t="inlineStr">
        <is>
          <t>CUMPLE</t>
        </is>
      </c>
    </row>
    <row r="589">
      <c r="A589" s="27" t="inlineStr">
        <is>
          <t>VRAUX</t>
        </is>
      </c>
      <c r="B589" s="10" t="inlineStr">
        <is>
          <t>137</t>
        </is>
      </c>
      <c r="C589" s="32" t="n">
        <v>0.8777</v>
      </c>
      <c r="D589" s="32" t="n">
        <v>4.0902</v>
      </c>
      <c r="E589" s="32" t="n">
        <v>4.0902</v>
      </c>
      <c r="F589" s="32" t="n">
        <v>40.11202892772908</v>
      </c>
      <c r="G589" s="32" t="n">
        <v>4.0902</v>
      </c>
      <c r="H589" s="10" t="inlineStr">
        <is>
          <t>NO</t>
        </is>
      </c>
      <c r="I589" s="10" t="inlineStr">
        <is>
          <t>450×550</t>
        </is>
      </c>
      <c r="J589" s="15" t="inlineStr">
        <is>
          <t>CUMPLE</t>
        </is>
      </c>
    </row>
    <row r="590">
      <c r="A590" s="27" t="inlineStr">
        <is>
          <t>VRAUX</t>
        </is>
      </c>
      <c r="B590" s="10" t="inlineStr">
        <is>
          <t>138</t>
        </is>
      </c>
      <c r="C590" s="32" t="n">
        <v>0.8825</v>
      </c>
      <c r="D590" s="32" t="n">
        <v>4.0949</v>
      </c>
      <c r="E590" s="32" t="n">
        <v>4.0949</v>
      </c>
      <c r="F590" s="32" t="n">
        <v>40.11202892772908</v>
      </c>
      <c r="G590" s="32" t="n">
        <v>4.0949</v>
      </c>
      <c r="H590" s="10" t="inlineStr">
        <is>
          <t>NO</t>
        </is>
      </c>
      <c r="I590" s="10" t="inlineStr">
        <is>
          <t>450×550</t>
        </is>
      </c>
      <c r="J590" s="15" t="inlineStr">
        <is>
          <t>CUMPLE</t>
        </is>
      </c>
    </row>
    <row r="591">
      <c r="A591" s="27" t="inlineStr">
        <is>
          <t>VRAUX</t>
        </is>
      </c>
      <c r="B591" s="10" t="inlineStr">
        <is>
          <t>139</t>
        </is>
      </c>
      <c r="C591" s="32" t="n">
        <v>0.8818</v>
      </c>
      <c r="D591" s="32" t="n">
        <v>4.0948</v>
      </c>
      <c r="E591" s="32" t="n">
        <v>4.0948</v>
      </c>
      <c r="F591" s="32" t="n">
        <v>40.11202892772908</v>
      </c>
      <c r="G591" s="32" t="n">
        <v>4.0948</v>
      </c>
      <c r="H591" s="10" t="inlineStr">
        <is>
          <t>NO</t>
        </is>
      </c>
      <c r="I591" s="10" t="inlineStr">
        <is>
          <t>450×550</t>
        </is>
      </c>
      <c r="J591" s="15" t="inlineStr">
        <is>
          <t>CUMPLE</t>
        </is>
      </c>
    </row>
    <row r="592">
      <c r="A592" s="27" t="inlineStr">
        <is>
          <t>VRAUX</t>
        </is>
      </c>
      <c r="B592" s="10" t="inlineStr">
        <is>
          <t>140</t>
        </is>
      </c>
      <c r="C592" s="32" t="n">
        <v>0.8779</v>
      </c>
      <c r="D592" s="32" t="n">
        <v>4.0908</v>
      </c>
      <c r="E592" s="32" t="n">
        <v>4.0908</v>
      </c>
      <c r="F592" s="32" t="n">
        <v>40.11202892772908</v>
      </c>
      <c r="G592" s="32" t="n">
        <v>4.0908</v>
      </c>
      <c r="H592" s="10" t="inlineStr">
        <is>
          <t>NO</t>
        </is>
      </c>
      <c r="I592" s="10" t="inlineStr">
        <is>
          <t>450×550</t>
        </is>
      </c>
      <c r="J592" s="15" t="inlineStr">
        <is>
          <t>CUMPLE</t>
        </is>
      </c>
    </row>
    <row r="593">
      <c r="A593" s="27" t="inlineStr">
        <is>
          <t>VRAUX</t>
        </is>
      </c>
      <c r="B593" s="10" t="inlineStr">
        <is>
          <t>141</t>
        </is>
      </c>
      <c r="C593" s="32" t="n">
        <v>6.5561</v>
      </c>
      <c r="D593" s="32" t="n">
        <v>11.1232</v>
      </c>
      <c r="E593" s="32" t="n">
        <v>11.1232</v>
      </c>
      <c r="F593" s="32" t="n">
        <v>40.11202892772908</v>
      </c>
      <c r="G593" s="32" t="n">
        <v>11.1232</v>
      </c>
      <c r="H593" s="10" t="inlineStr">
        <is>
          <t>NO</t>
        </is>
      </c>
      <c r="I593" s="10" t="inlineStr">
        <is>
          <t>450×550</t>
        </is>
      </c>
      <c r="J593" s="15" t="inlineStr">
        <is>
          <t>CUMPLE</t>
        </is>
      </c>
    </row>
    <row r="594">
      <c r="A594" s="27" t="inlineStr">
        <is>
          <t>VRAUX</t>
        </is>
      </c>
      <c r="B594" s="10" t="inlineStr">
        <is>
          <t>142</t>
        </is>
      </c>
      <c r="C594" s="32" t="n">
        <v>6.5434</v>
      </c>
      <c r="D594" s="32" t="n">
        <v>11.1105</v>
      </c>
      <c r="E594" s="32" t="n">
        <v>11.1105</v>
      </c>
      <c r="F594" s="32" t="n">
        <v>40.11202892772908</v>
      </c>
      <c r="G594" s="32" t="n">
        <v>11.1105</v>
      </c>
      <c r="H594" s="10" t="inlineStr">
        <is>
          <t>NO</t>
        </is>
      </c>
      <c r="I594" s="10" t="inlineStr">
        <is>
          <t>450×550</t>
        </is>
      </c>
      <c r="J594" s="15" t="inlineStr">
        <is>
          <t>CUMPLE</t>
        </is>
      </c>
    </row>
    <row r="595">
      <c r="A595" s="27" t="inlineStr">
        <is>
          <t>VRAUX</t>
        </is>
      </c>
      <c r="B595" s="10" t="inlineStr">
        <is>
          <t>143</t>
        </is>
      </c>
      <c r="C595" s="32" t="n">
        <v>6.5384</v>
      </c>
      <c r="D595" s="32" t="n">
        <v>11.0735</v>
      </c>
      <c r="E595" s="32" t="n">
        <v>11.0735</v>
      </c>
      <c r="F595" s="32" t="n">
        <v>40.11202892772908</v>
      </c>
      <c r="G595" s="32" t="n">
        <v>11.0735</v>
      </c>
      <c r="H595" s="10" t="inlineStr">
        <is>
          <t>NO</t>
        </is>
      </c>
      <c r="I595" s="10" t="inlineStr">
        <is>
          <t>450×550</t>
        </is>
      </c>
      <c r="J595" s="15" t="inlineStr">
        <is>
          <t>CUMPLE</t>
        </is>
      </c>
    </row>
    <row r="596">
      <c r="A596" s="27" t="inlineStr">
        <is>
          <t>VRAUX</t>
        </is>
      </c>
      <c r="B596" s="10" t="inlineStr">
        <is>
          <t>144</t>
        </is>
      </c>
      <c r="C596" s="32" t="n">
        <v>6.5525</v>
      </c>
      <c r="D596" s="32" t="n">
        <v>11.0879</v>
      </c>
      <c r="E596" s="32" t="n">
        <v>11.0879</v>
      </c>
      <c r="F596" s="32" t="n">
        <v>40.11202892772908</v>
      </c>
      <c r="G596" s="32" t="n">
        <v>11.0879</v>
      </c>
      <c r="H596" s="10" t="inlineStr">
        <is>
          <t>NO</t>
        </is>
      </c>
      <c r="I596" s="10" t="inlineStr">
        <is>
          <t>450×550</t>
        </is>
      </c>
      <c r="J596" s="15" t="inlineStr">
        <is>
          <t>CUMPLE</t>
        </is>
      </c>
    </row>
  </sheetData>
  <autoFilter ref="A4:J596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3" customWidth="1" min="5" max="5"/>
    <col width="14" customWidth="1" min="6" max="6"/>
    <col width="14" customWidth="1" min="7" max="7"/>
    <col width="12" customWidth="1" min="8" max="8"/>
    <col width="16" customWidth="1" min="9" max="9"/>
    <col width="10" customWidth="1" min="10" max="10"/>
    <col width="10" customWidth="1" min="11" max="11"/>
    <col width="18" customWidth="1" min="12" max="12"/>
    <col width="25" customWidth="1" min="13" max="13"/>
    <col width="9" customWidth="1" min="14" max="14"/>
    <col width="13" customWidth="1" min="15" max="15"/>
    <col width="13" customWidth="1" min="16" max="16"/>
    <col width="15" customWidth="1" min="17" max="17"/>
    <col width="15" customWidth="1" min="18" max="18"/>
    <col width="14" customWidth="1" min="19" max="19"/>
    <col width="46" customWidth="1" min="20" max="20"/>
  </cols>
  <sheetData>
    <row r="1">
      <c r="A1" s="12" t="inlineStr">
        <is>
          <t>Grupo</t>
        </is>
      </c>
      <c r="B1" s="12" t="inlineStr">
        <is>
          <t>Frame</t>
        </is>
      </c>
      <c r="C1" s="12" t="inlineStr">
        <is>
          <t>Joint I</t>
        </is>
      </c>
      <c r="D1" s="12" t="inlineStr">
        <is>
          <t>Joint J</t>
        </is>
      </c>
      <c r="E1" s="12" t="inlineStr">
        <is>
          <t>L eje-eje (m)</t>
        </is>
      </c>
      <c r="F1" s="12" t="inlineStr">
        <is>
          <t>Centroide X (m)</t>
        </is>
      </c>
      <c r="G1" s="12" t="inlineStr">
        <is>
          <t>Centroide Y (m)</t>
        </is>
      </c>
      <c r="H1" s="12" t="inlineStr">
        <is>
          <t>Nivel Z (m)</t>
        </is>
      </c>
      <c r="I1" s="12" t="inlineStr">
        <is>
          <t>Sección (mm)</t>
        </is>
      </c>
      <c r="J1" s="12" t="inlineStr">
        <is>
          <t>Nº5 sup.</t>
        </is>
      </c>
      <c r="K1" s="12" t="inlineStr">
        <is>
          <t>Nº5 inf.</t>
        </is>
      </c>
      <c r="L1" s="12" t="inlineStr">
        <is>
          <t>Nº5 torsión dedicadas</t>
        </is>
      </c>
      <c r="M1" s="12" t="inlineStr">
        <is>
          <t>Estribo</t>
        </is>
      </c>
      <c r="N1" s="12" t="inlineStr">
        <is>
          <t>Ramas</t>
        </is>
      </c>
      <c r="O1" s="12" t="inlineStr">
        <is>
          <t>s extremo (mm)</t>
        </is>
      </c>
      <c r="P1" s="12" t="inlineStr">
        <is>
          <t>s centro (mm)</t>
        </is>
      </c>
      <c r="Q1" s="12" t="inlineStr">
        <is>
          <t>Interacción V-T</t>
        </is>
      </c>
      <c r="R1" s="12" t="inlineStr">
        <is>
          <t>Estribo práctico</t>
        </is>
      </c>
      <c r="S1" s="12" t="inlineStr">
        <is>
          <t>Estado</t>
        </is>
      </c>
      <c r="T1" s="12" t="inlineStr">
        <is>
          <t>Acción requerida</t>
        </is>
      </c>
    </row>
    <row r="2">
      <c r="A2" s="13" t="inlineStr">
        <is>
          <t>VC1</t>
        </is>
      </c>
      <c r="B2" s="10" t="inlineStr">
        <is>
          <t>148</t>
        </is>
      </c>
      <c r="C2" s="10" t="inlineStr">
        <is>
          <t>205</t>
        </is>
      </c>
      <c r="D2" s="10" t="inlineStr">
        <is>
          <t>206</t>
        </is>
      </c>
      <c r="E2" s="35" t="n">
        <v>3.75</v>
      </c>
      <c r="F2" s="35" t="n">
        <v>5.875</v>
      </c>
      <c r="G2" s="35" t="n">
        <v>37.7</v>
      </c>
      <c r="H2" s="35" t="n">
        <v>3.5</v>
      </c>
      <c r="I2" s="10" t="inlineStr">
        <is>
          <t>450×550</t>
        </is>
      </c>
      <c r="J2" s="10" t="n">
        <v>4</v>
      </c>
      <c r="K2" s="10" t="n">
        <v>4</v>
      </c>
      <c r="L2" s="10" t="n">
        <v>8</v>
      </c>
      <c r="M2" s="10" t="inlineStr">
        <is>
          <t>Nº3 cerrado</t>
        </is>
      </c>
      <c r="N2" s="10" t="n">
        <v>2</v>
      </c>
      <c r="O2" s="35" t="n">
        <v>120</v>
      </c>
      <c r="P2" s="35" t="n">
        <v>200</v>
      </c>
      <c r="Q2" s="35" t="n">
        <v>0.2538720927910208</v>
      </c>
      <c r="R2" s="10" t="inlineStr">
        <is>
          <t>SÍ</t>
        </is>
      </c>
      <c r="S2" s="15" t="inlineStr">
        <is>
          <t>CUMPLE</t>
        </is>
      </c>
      <c r="T2" s="3" t="inlineStr">
        <is>
          <t>coordinar con planta y reanálisis global</t>
        </is>
      </c>
    </row>
    <row r="3">
      <c r="A3" s="13" t="inlineStr">
        <is>
          <t>VC1</t>
        </is>
      </c>
      <c r="B3" s="10" t="inlineStr">
        <is>
          <t>149</t>
        </is>
      </c>
      <c r="C3" s="10" t="inlineStr">
        <is>
          <t>206</t>
        </is>
      </c>
      <c r="D3" s="10" t="inlineStr">
        <is>
          <t>207</t>
        </is>
      </c>
      <c r="E3" s="35" t="n">
        <v>3.75</v>
      </c>
      <c r="F3" s="35" t="n">
        <v>9.625</v>
      </c>
      <c r="G3" s="35" t="n">
        <v>37.7</v>
      </c>
      <c r="H3" s="35" t="n">
        <v>3.5</v>
      </c>
      <c r="I3" s="10" t="inlineStr">
        <is>
          <t>450×550</t>
        </is>
      </c>
      <c r="J3" s="10" t="n">
        <v>4</v>
      </c>
      <c r="K3" s="10" t="n">
        <v>4</v>
      </c>
      <c r="L3" s="10" t="n">
        <v>8</v>
      </c>
      <c r="M3" s="10" t="inlineStr">
        <is>
          <t>Nº3 cerrado</t>
        </is>
      </c>
      <c r="N3" s="10" t="n">
        <v>2</v>
      </c>
      <c r="O3" s="35" t="n">
        <v>120</v>
      </c>
      <c r="P3" s="35" t="n">
        <v>200</v>
      </c>
      <c r="Q3" s="35" t="n">
        <v>0.2538685855905584</v>
      </c>
      <c r="R3" s="10" t="inlineStr">
        <is>
          <t>SÍ</t>
        </is>
      </c>
      <c r="S3" s="15" t="inlineStr">
        <is>
          <t>CUMPLE</t>
        </is>
      </c>
      <c r="T3" s="3" t="inlineStr">
        <is>
          <t>coordinar con planta y reanálisis global</t>
        </is>
      </c>
    </row>
    <row r="4">
      <c r="A4" s="13" t="inlineStr">
        <is>
          <t>VC1</t>
        </is>
      </c>
      <c r="B4" s="10" t="inlineStr">
        <is>
          <t>153</t>
        </is>
      </c>
      <c r="C4" s="10" t="inlineStr">
        <is>
          <t>208</t>
        </is>
      </c>
      <c r="D4" s="10" t="inlineStr">
        <is>
          <t>209</t>
        </is>
      </c>
      <c r="E4" s="35" t="n">
        <v>3.75</v>
      </c>
      <c r="F4" s="35" t="n">
        <v>5.875</v>
      </c>
      <c r="G4" s="35" t="n">
        <v>-1.5</v>
      </c>
      <c r="H4" s="35" t="n">
        <v>3.5</v>
      </c>
      <c r="I4" s="10" t="inlineStr">
        <is>
          <t>450×550</t>
        </is>
      </c>
      <c r="J4" s="10" t="n">
        <v>4</v>
      </c>
      <c r="K4" s="10" t="n">
        <v>4</v>
      </c>
      <c r="L4" s="10" t="n">
        <v>8</v>
      </c>
      <c r="M4" s="10" t="inlineStr">
        <is>
          <t>Nº3 cerrado</t>
        </is>
      </c>
      <c r="N4" s="10" t="n">
        <v>2</v>
      </c>
      <c r="O4" s="35" t="n">
        <v>120</v>
      </c>
      <c r="P4" s="35" t="n">
        <v>200</v>
      </c>
      <c r="Q4" s="35" t="n">
        <v>0.2538697205990167</v>
      </c>
      <c r="R4" s="10" t="inlineStr">
        <is>
          <t>SÍ</t>
        </is>
      </c>
      <c r="S4" s="15" t="inlineStr">
        <is>
          <t>CUMPLE</t>
        </is>
      </c>
      <c r="T4" s="3" t="inlineStr">
        <is>
          <t>coordinar con planta y reanálisis global</t>
        </is>
      </c>
    </row>
    <row r="5">
      <c r="A5" s="13" t="inlineStr">
        <is>
          <t>VC1</t>
        </is>
      </c>
      <c r="B5" s="10" t="inlineStr">
        <is>
          <t>154</t>
        </is>
      </c>
      <c r="C5" s="10" t="inlineStr">
        <is>
          <t>209</t>
        </is>
      </c>
      <c r="D5" s="10" t="inlineStr">
        <is>
          <t>210</t>
        </is>
      </c>
      <c r="E5" s="35" t="n">
        <v>3.75</v>
      </c>
      <c r="F5" s="35" t="n">
        <v>9.625</v>
      </c>
      <c r="G5" s="35" t="n">
        <v>-1.5</v>
      </c>
      <c r="H5" s="35" t="n">
        <v>3.5</v>
      </c>
      <c r="I5" s="10" t="inlineStr">
        <is>
          <t>450×550</t>
        </is>
      </c>
      <c r="J5" s="10" t="n">
        <v>4</v>
      </c>
      <c r="K5" s="10" t="n">
        <v>4</v>
      </c>
      <c r="L5" s="10" t="n">
        <v>8</v>
      </c>
      <c r="M5" s="10" t="inlineStr">
        <is>
          <t>Nº3 cerrado</t>
        </is>
      </c>
      <c r="N5" s="10" t="n">
        <v>2</v>
      </c>
      <c r="O5" s="35" t="n">
        <v>120</v>
      </c>
      <c r="P5" s="35" t="n">
        <v>200</v>
      </c>
      <c r="Q5" s="35" t="n">
        <v>0.2538732277987723</v>
      </c>
      <c r="R5" s="10" t="inlineStr">
        <is>
          <t>SÍ</t>
        </is>
      </c>
      <c r="S5" s="15" t="inlineStr">
        <is>
          <t>CUMPLE</t>
        </is>
      </c>
      <c r="T5" s="3" t="inlineStr">
        <is>
          <t>coordinar con planta y reanálisis global</t>
        </is>
      </c>
    </row>
    <row r="6">
      <c r="A6" s="13" t="inlineStr">
        <is>
          <t>VC1</t>
        </is>
      </c>
      <c r="B6" s="10" t="inlineStr">
        <is>
          <t>158</t>
        </is>
      </c>
      <c r="C6" s="10" t="inlineStr">
        <is>
          <t>211</t>
        </is>
      </c>
      <c r="D6" s="10" t="inlineStr">
        <is>
          <t>212</t>
        </is>
      </c>
      <c r="E6" s="35" t="n">
        <v>3.75</v>
      </c>
      <c r="F6" s="35" t="n">
        <v>5.875</v>
      </c>
      <c r="G6" s="35" t="n">
        <v>-1.5</v>
      </c>
      <c r="H6" s="35" t="n">
        <v>6.5</v>
      </c>
      <c r="I6" s="10" t="inlineStr">
        <is>
          <t>450×550</t>
        </is>
      </c>
      <c r="J6" s="10" t="n">
        <v>4</v>
      </c>
      <c r="K6" s="10" t="n">
        <v>4</v>
      </c>
      <c r="L6" s="10" t="n">
        <v>8</v>
      </c>
      <c r="M6" s="10" t="inlineStr">
        <is>
          <t>Nº3 cerrado</t>
        </is>
      </c>
      <c r="N6" s="10" t="n">
        <v>2</v>
      </c>
      <c r="O6" s="35" t="n">
        <v>120</v>
      </c>
      <c r="P6" s="35" t="n">
        <v>200</v>
      </c>
      <c r="Q6" s="35" t="n">
        <v>0.2474056614097646</v>
      </c>
      <c r="R6" s="10" t="inlineStr">
        <is>
          <t>SÍ</t>
        </is>
      </c>
      <c r="S6" s="15" t="inlineStr">
        <is>
          <t>CUMPLE</t>
        </is>
      </c>
      <c r="T6" s="3" t="inlineStr">
        <is>
          <t>coordinar con planta y reanálisis global</t>
        </is>
      </c>
    </row>
    <row r="7">
      <c r="A7" s="13" t="inlineStr">
        <is>
          <t>VC1</t>
        </is>
      </c>
      <c r="B7" s="10" t="inlineStr">
        <is>
          <t>159</t>
        </is>
      </c>
      <c r="C7" s="10" t="inlineStr">
        <is>
          <t>212</t>
        </is>
      </c>
      <c r="D7" s="10" t="inlineStr">
        <is>
          <t>213</t>
        </is>
      </c>
      <c r="E7" s="35" t="n">
        <v>3.75</v>
      </c>
      <c r="F7" s="35" t="n">
        <v>9.625</v>
      </c>
      <c r="G7" s="35" t="n">
        <v>-1.5</v>
      </c>
      <c r="H7" s="35" t="n">
        <v>6.5</v>
      </c>
      <c r="I7" s="10" t="inlineStr">
        <is>
          <t>450×550</t>
        </is>
      </c>
      <c r="J7" s="10" t="n">
        <v>4</v>
      </c>
      <c r="K7" s="10" t="n">
        <v>4</v>
      </c>
      <c r="L7" s="10" t="n">
        <v>8</v>
      </c>
      <c r="M7" s="10" t="inlineStr">
        <is>
          <t>Nº3 cerrado</t>
        </is>
      </c>
      <c r="N7" s="10" t="n">
        <v>2</v>
      </c>
      <c r="O7" s="35" t="n">
        <v>120</v>
      </c>
      <c r="P7" s="35" t="n">
        <v>200</v>
      </c>
      <c r="Q7" s="35" t="n">
        <v>0.247409155579342</v>
      </c>
      <c r="R7" s="10" t="inlineStr">
        <is>
          <t>SÍ</t>
        </is>
      </c>
      <c r="S7" s="15" t="inlineStr">
        <is>
          <t>CUMPLE</t>
        </is>
      </c>
      <c r="T7" s="3" t="inlineStr">
        <is>
          <t>coordinar con planta y reanálisis global</t>
        </is>
      </c>
    </row>
    <row r="8">
      <c r="A8" s="13" t="inlineStr">
        <is>
          <t>VC1</t>
        </is>
      </c>
      <c r="B8" s="10" t="inlineStr">
        <is>
          <t>163</t>
        </is>
      </c>
      <c r="C8" s="10" t="inlineStr">
        <is>
          <t>214</t>
        </is>
      </c>
      <c r="D8" s="10" t="inlineStr">
        <is>
          <t>215</t>
        </is>
      </c>
      <c r="E8" s="35" t="n">
        <v>3.75</v>
      </c>
      <c r="F8" s="35" t="n">
        <v>5.875</v>
      </c>
      <c r="G8" s="35" t="n">
        <v>-1.5</v>
      </c>
      <c r="H8" s="35" t="n">
        <v>9.5</v>
      </c>
      <c r="I8" s="10" t="inlineStr">
        <is>
          <t>450×550</t>
        </is>
      </c>
      <c r="J8" s="10" t="n">
        <v>4</v>
      </c>
      <c r="K8" s="10" t="n">
        <v>4</v>
      </c>
      <c r="L8" s="10" t="n">
        <v>0</v>
      </c>
      <c r="M8" s="10" t="inlineStr">
        <is>
          <t>Nº3 cerrado</t>
        </is>
      </c>
      <c r="N8" s="10" t="n">
        <v>2</v>
      </c>
      <c r="O8" s="35" t="n">
        <v>120</v>
      </c>
      <c r="P8" s="35" t="n">
        <v>240</v>
      </c>
      <c r="Q8" s="35" t="n">
        <v>0.2335063498665097</v>
      </c>
      <c r="R8" s="10" t="inlineStr">
        <is>
          <t>SÍ</t>
        </is>
      </c>
      <c r="S8" s="15" t="inlineStr">
        <is>
          <t>CUMPLE</t>
        </is>
      </c>
      <c r="T8" s="3" t="inlineStr">
        <is>
          <t>coordinar con planta y reanálisis global</t>
        </is>
      </c>
    </row>
    <row r="9">
      <c r="A9" s="13" t="inlineStr">
        <is>
          <t>VC1</t>
        </is>
      </c>
      <c r="B9" s="10" t="inlineStr">
        <is>
          <t>164</t>
        </is>
      </c>
      <c r="C9" s="10" t="inlineStr">
        <is>
          <t>215</t>
        </is>
      </c>
      <c r="D9" s="10" t="inlineStr">
        <is>
          <t>216</t>
        </is>
      </c>
      <c r="E9" s="35" t="n">
        <v>3.75</v>
      </c>
      <c r="F9" s="35" t="n">
        <v>9.625</v>
      </c>
      <c r="G9" s="35" t="n">
        <v>-1.5</v>
      </c>
      <c r="H9" s="35" t="n">
        <v>9.5</v>
      </c>
      <c r="I9" s="10" t="inlineStr">
        <is>
          <t>450×550</t>
        </is>
      </c>
      <c r="J9" s="10" t="n">
        <v>4</v>
      </c>
      <c r="K9" s="10" t="n">
        <v>4</v>
      </c>
      <c r="L9" s="10" t="n">
        <v>0</v>
      </c>
      <c r="M9" s="10" t="inlineStr">
        <is>
          <t>Nº3 cerrado</t>
        </is>
      </c>
      <c r="N9" s="10" t="n">
        <v>2</v>
      </c>
      <c r="O9" s="35" t="n">
        <v>120</v>
      </c>
      <c r="P9" s="35" t="n">
        <v>240</v>
      </c>
      <c r="Q9" s="35" t="n">
        <v>0.2335127514735369</v>
      </c>
      <c r="R9" s="10" t="inlineStr">
        <is>
          <t>SÍ</t>
        </is>
      </c>
      <c r="S9" s="15" t="inlineStr">
        <is>
          <t>CUMPLE</t>
        </is>
      </c>
      <c r="T9" s="3" t="inlineStr">
        <is>
          <t>coordinar con planta y reanálisis global</t>
        </is>
      </c>
    </row>
    <row r="10">
      <c r="A10" s="13" t="inlineStr">
        <is>
          <t>VC1</t>
        </is>
      </c>
      <c r="B10" s="10" t="inlineStr">
        <is>
          <t>168</t>
        </is>
      </c>
      <c r="C10" s="10" t="inlineStr">
        <is>
          <t>217</t>
        </is>
      </c>
      <c r="D10" s="10" t="inlineStr">
        <is>
          <t>218</t>
        </is>
      </c>
      <c r="E10" s="35" t="n">
        <v>3.75</v>
      </c>
      <c r="F10" s="35" t="n">
        <v>5.875</v>
      </c>
      <c r="G10" s="35" t="n">
        <v>-1.5</v>
      </c>
      <c r="H10" s="35" t="n">
        <v>12.5</v>
      </c>
      <c r="I10" s="10" t="inlineStr">
        <is>
          <t>450×550</t>
        </is>
      </c>
      <c r="J10" s="10" t="n">
        <v>4</v>
      </c>
      <c r="K10" s="10" t="n">
        <v>4</v>
      </c>
      <c r="L10" s="10" t="n">
        <v>0</v>
      </c>
      <c r="M10" s="10" t="inlineStr">
        <is>
          <t>Nº3 cerrado</t>
        </is>
      </c>
      <c r="N10" s="10" t="n">
        <v>2</v>
      </c>
      <c r="O10" s="35" t="n">
        <v>120</v>
      </c>
      <c r="P10" s="35" t="n">
        <v>240</v>
      </c>
      <c r="Q10" s="35" t="n">
        <v>0.2204853299305412</v>
      </c>
      <c r="R10" s="10" t="inlineStr">
        <is>
          <t>SÍ</t>
        </is>
      </c>
      <c r="S10" s="15" t="inlineStr">
        <is>
          <t>CUMPLE</t>
        </is>
      </c>
      <c r="T10" s="3" t="inlineStr">
        <is>
          <t>coordinar con planta y reanálisis global</t>
        </is>
      </c>
    </row>
    <row r="11">
      <c r="A11" s="13" t="inlineStr">
        <is>
          <t>VC1</t>
        </is>
      </c>
      <c r="B11" s="10" t="inlineStr">
        <is>
          <t>169</t>
        </is>
      </c>
      <c r="C11" s="10" t="inlineStr">
        <is>
          <t>218</t>
        </is>
      </c>
      <c r="D11" s="10" t="inlineStr">
        <is>
          <t>219</t>
        </is>
      </c>
      <c r="E11" s="35" t="n">
        <v>3.75</v>
      </c>
      <c r="F11" s="35" t="n">
        <v>9.625</v>
      </c>
      <c r="G11" s="35" t="n">
        <v>-1.5</v>
      </c>
      <c r="H11" s="35" t="n">
        <v>12.5</v>
      </c>
      <c r="I11" s="10" t="inlineStr">
        <is>
          <t>450×550</t>
        </is>
      </c>
      <c r="J11" s="10" t="n">
        <v>4</v>
      </c>
      <c r="K11" s="10" t="n">
        <v>4</v>
      </c>
      <c r="L11" s="10" t="n">
        <v>0</v>
      </c>
      <c r="M11" s="10" t="inlineStr">
        <is>
          <t>Nº3 cerrado</t>
        </is>
      </c>
      <c r="N11" s="10" t="n">
        <v>2</v>
      </c>
      <c r="O11" s="35" t="n">
        <v>120</v>
      </c>
      <c r="P11" s="35" t="n">
        <v>240</v>
      </c>
      <c r="Q11" s="35" t="n">
        <v>0.2204912590830594</v>
      </c>
      <c r="R11" s="10" t="inlineStr">
        <is>
          <t>SÍ</t>
        </is>
      </c>
      <c r="S11" s="15" t="inlineStr">
        <is>
          <t>CUMPLE</t>
        </is>
      </c>
      <c r="T11" s="3" t="inlineStr">
        <is>
          <t>coordinar con planta y reanálisis global</t>
        </is>
      </c>
    </row>
    <row r="12">
      <c r="A12" s="13" t="inlineStr">
        <is>
          <t>VC1</t>
        </is>
      </c>
      <c r="B12" s="10" t="inlineStr">
        <is>
          <t>173</t>
        </is>
      </c>
      <c r="C12" s="10" t="inlineStr">
        <is>
          <t>220</t>
        </is>
      </c>
      <c r="D12" s="10" t="inlineStr">
        <is>
          <t>221</t>
        </is>
      </c>
      <c r="E12" s="35" t="n">
        <v>3.75</v>
      </c>
      <c r="F12" s="35" t="n">
        <v>5.875</v>
      </c>
      <c r="G12" s="35" t="n">
        <v>-1.5</v>
      </c>
      <c r="H12" s="35" t="n">
        <v>15.5</v>
      </c>
      <c r="I12" s="10" t="inlineStr">
        <is>
          <t>450×550</t>
        </is>
      </c>
      <c r="J12" s="10" t="n">
        <v>4</v>
      </c>
      <c r="K12" s="10" t="n">
        <v>4</v>
      </c>
      <c r="L12" s="10" t="n">
        <v>0</v>
      </c>
      <c r="M12" s="10" t="inlineStr">
        <is>
          <t>Nº3 cerrado</t>
        </is>
      </c>
      <c r="N12" s="10" t="n">
        <v>2</v>
      </c>
      <c r="O12" s="35" t="n">
        <v>120</v>
      </c>
      <c r="P12" s="35" t="n">
        <v>240</v>
      </c>
      <c r="Q12" s="35" t="n">
        <v>0.2072624055053836</v>
      </c>
      <c r="R12" s="10" t="inlineStr">
        <is>
          <t>SÍ</t>
        </is>
      </c>
      <c r="S12" s="15" t="inlineStr">
        <is>
          <t>CUMPLE</t>
        </is>
      </c>
      <c r="T12" s="3" t="inlineStr">
        <is>
          <t>coordinar con planta y reanálisis global</t>
        </is>
      </c>
    </row>
    <row r="13">
      <c r="A13" s="13" t="inlineStr">
        <is>
          <t>VC1</t>
        </is>
      </c>
      <c r="B13" s="10" t="inlineStr">
        <is>
          <t>174</t>
        </is>
      </c>
      <c r="C13" s="10" t="inlineStr">
        <is>
          <t>221</t>
        </is>
      </c>
      <c r="D13" s="10" t="inlineStr">
        <is>
          <t>222</t>
        </is>
      </c>
      <c r="E13" s="35" t="n">
        <v>3.75</v>
      </c>
      <c r="F13" s="35" t="n">
        <v>9.625</v>
      </c>
      <c r="G13" s="35" t="n">
        <v>-1.5</v>
      </c>
      <c r="H13" s="35" t="n">
        <v>15.5</v>
      </c>
      <c r="I13" s="10" t="inlineStr">
        <is>
          <t>450×550</t>
        </is>
      </c>
      <c r="J13" s="10" t="n">
        <v>4</v>
      </c>
      <c r="K13" s="10" t="n">
        <v>4</v>
      </c>
      <c r="L13" s="10" t="n">
        <v>0</v>
      </c>
      <c r="M13" s="10" t="inlineStr">
        <is>
          <t>Nº3 cerrado</t>
        </is>
      </c>
      <c r="N13" s="10" t="n">
        <v>2</v>
      </c>
      <c r="O13" s="35" t="n">
        <v>120</v>
      </c>
      <c r="P13" s="35" t="n">
        <v>240</v>
      </c>
      <c r="Q13" s="35" t="n">
        <v>0.2072679030572945</v>
      </c>
      <c r="R13" s="10" t="inlineStr">
        <is>
          <t>SÍ</t>
        </is>
      </c>
      <c r="S13" s="15" t="inlineStr">
        <is>
          <t>CUMPLE</t>
        </is>
      </c>
      <c r="T13" s="3" t="inlineStr">
        <is>
          <t>coordinar con planta y reanálisis global</t>
        </is>
      </c>
    </row>
    <row r="14">
      <c r="A14" s="13" t="inlineStr">
        <is>
          <t>VC1</t>
        </is>
      </c>
      <c r="B14" s="10" t="inlineStr">
        <is>
          <t>178</t>
        </is>
      </c>
      <c r="C14" s="10" t="inlineStr">
        <is>
          <t>223</t>
        </is>
      </c>
      <c r="D14" s="10" t="inlineStr">
        <is>
          <t>224</t>
        </is>
      </c>
      <c r="E14" s="35" t="n">
        <v>3.75</v>
      </c>
      <c r="F14" s="35" t="n">
        <v>5.875</v>
      </c>
      <c r="G14" s="35" t="n">
        <v>37.7</v>
      </c>
      <c r="H14" s="35" t="n">
        <v>6.5</v>
      </c>
      <c r="I14" s="10" t="inlineStr">
        <is>
          <t>450×550</t>
        </is>
      </c>
      <c r="J14" s="10" t="n">
        <v>4</v>
      </c>
      <c r="K14" s="10" t="n">
        <v>4</v>
      </c>
      <c r="L14" s="10" t="n">
        <v>8</v>
      </c>
      <c r="M14" s="10" t="inlineStr">
        <is>
          <t>Nº3 cerrado</t>
        </is>
      </c>
      <c r="N14" s="10" t="n">
        <v>2</v>
      </c>
      <c r="O14" s="35" t="n">
        <v>120</v>
      </c>
      <c r="P14" s="35" t="n">
        <v>200</v>
      </c>
      <c r="Q14" s="35" t="n">
        <v>0.247413229370185</v>
      </c>
      <c r="R14" s="10" t="inlineStr">
        <is>
          <t>SÍ</t>
        </is>
      </c>
      <c r="S14" s="15" t="inlineStr">
        <is>
          <t>CUMPLE</t>
        </is>
      </c>
      <c r="T14" s="3" t="inlineStr">
        <is>
          <t>coordinar con planta y reanálisis global</t>
        </is>
      </c>
    </row>
    <row r="15">
      <c r="A15" s="13" t="inlineStr">
        <is>
          <t>VC1</t>
        </is>
      </c>
      <c r="B15" s="10" t="inlineStr">
        <is>
          <t>179</t>
        </is>
      </c>
      <c r="C15" s="10" t="inlineStr">
        <is>
          <t>224</t>
        </is>
      </c>
      <c r="D15" s="10" t="inlineStr">
        <is>
          <t>225</t>
        </is>
      </c>
      <c r="E15" s="35" t="n">
        <v>3.75</v>
      </c>
      <c r="F15" s="35" t="n">
        <v>9.625</v>
      </c>
      <c r="G15" s="35" t="n">
        <v>37.7</v>
      </c>
      <c r="H15" s="35" t="n">
        <v>6.5</v>
      </c>
      <c r="I15" s="10" t="inlineStr">
        <is>
          <t>450×550</t>
        </is>
      </c>
      <c r="J15" s="10" t="n">
        <v>4</v>
      </c>
      <c r="K15" s="10" t="n">
        <v>4</v>
      </c>
      <c r="L15" s="10" t="n">
        <v>8</v>
      </c>
      <c r="M15" s="10" t="inlineStr">
        <is>
          <t>Nº3 cerrado</t>
        </is>
      </c>
      <c r="N15" s="10" t="n">
        <v>2</v>
      </c>
      <c r="O15" s="35" t="n">
        <v>120</v>
      </c>
      <c r="P15" s="35" t="n">
        <v>200</v>
      </c>
      <c r="Q15" s="35" t="n">
        <v>0.2474091473604958</v>
      </c>
      <c r="R15" s="10" t="inlineStr">
        <is>
          <t>SÍ</t>
        </is>
      </c>
      <c r="S15" s="15" t="inlineStr">
        <is>
          <t>CUMPLE</t>
        </is>
      </c>
      <c r="T15" s="3" t="inlineStr">
        <is>
          <t>coordinar con planta y reanálisis global</t>
        </is>
      </c>
    </row>
    <row r="16">
      <c r="A16" s="13" t="inlineStr">
        <is>
          <t>VC1</t>
        </is>
      </c>
      <c r="B16" s="10" t="inlineStr">
        <is>
          <t>183</t>
        </is>
      </c>
      <c r="C16" s="10" t="inlineStr">
        <is>
          <t>226</t>
        </is>
      </c>
      <c r="D16" s="10" t="inlineStr">
        <is>
          <t>227</t>
        </is>
      </c>
      <c r="E16" s="35" t="n">
        <v>3.75</v>
      </c>
      <c r="F16" s="35" t="n">
        <v>5.875</v>
      </c>
      <c r="G16" s="35" t="n">
        <v>37.7</v>
      </c>
      <c r="H16" s="35" t="n">
        <v>9.5</v>
      </c>
      <c r="I16" s="10" t="inlineStr">
        <is>
          <t>450×550</t>
        </is>
      </c>
      <c r="J16" s="10" t="n">
        <v>4</v>
      </c>
      <c r="K16" s="10" t="n">
        <v>4</v>
      </c>
      <c r="L16" s="10" t="n">
        <v>0</v>
      </c>
      <c r="M16" s="10" t="inlineStr">
        <is>
          <t>Nº3 cerrado</t>
        </is>
      </c>
      <c r="N16" s="10" t="n">
        <v>2</v>
      </c>
      <c r="O16" s="35" t="n">
        <v>120</v>
      </c>
      <c r="P16" s="35" t="n">
        <v>240</v>
      </c>
      <c r="Q16" s="35" t="n">
        <v>0.233511742105787</v>
      </c>
      <c r="R16" s="10" t="inlineStr">
        <is>
          <t>SÍ</t>
        </is>
      </c>
      <c r="S16" s="15" t="inlineStr">
        <is>
          <t>CUMPLE</t>
        </is>
      </c>
      <c r="T16" s="3" t="inlineStr">
        <is>
          <t>coordinar con planta y reanálisis global</t>
        </is>
      </c>
    </row>
    <row r="17">
      <c r="A17" s="13" t="inlineStr">
        <is>
          <t>VC1</t>
        </is>
      </c>
      <c r="B17" s="10" t="inlineStr">
        <is>
          <t>184</t>
        </is>
      </c>
      <c r="C17" s="10" t="inlineStr">
        <is>
          <t>227</t>
        </is>
      </c>
      <c r="D17" s="10" t="inlineStr">
        <is>
          <t>228</t>
        </is>
      </c>
      <c r="E17" s="35" t="n">
        <v>3.75</v>
      </c>
      <c r="F17" s="35" t="n">
        <v>9.625</v>
      </c>
      <c r="G17" s="35" t="n">
        <v>37.7</v>
      </c>
      <c r="H17" s="35" t="n">
        <v>9.5</v>
      </c>
      <c r="I17" s="10" t="inlineStr">
        <is>
          <t>450×550</t>
        </is>
      </c>
      <c r="J17" s="10" t="n">
        <v>4</v>
      </c>
      <c r="K17" s="10" t="n">
        <v>4</v>
      </c>
      <c r="L17" s="10" t="n">
        <v>0</v>
      </c>
      <c r="M17" s="10" t="inlineStr">
        <is>
          <t>Nº3 cerrado</t>
        </is>
      </c>
      <c r="N17" s="10" t="n">
        <v>2</v>
      </c>
      <c r="O17" s="35" t="n">
        <v>120</v>
      </c>
      <c r="P17" s="35" t="n">
        <v>240</v>
      </c>
      <c r="Q17" s="35" t="n">
        <v>0.2335065623946161</v>
      </c>
      <c r="R17" s="10" t="inlineStr">
        <is>
          <t>SÍ</t>
        </is>
      </c>
      <c r="S17" s="15" t="inlineStr">
        <is>
          <t>CUMPLE</t>
        </is>
      </c>
      <c r="T17" s="3" t="inlineStr">
        <is>
          <t>coordinar con planta y reanálisis global</t>
        </is>
      </c>
    </row>
    <row r="18">
      <c r="A18" s="13" t="inlineStr">
        <is>
          <t>VC1</t>
        </is>
      </c>
      <c r="B18" s="10" t="inlineStr">
        <is>
          <t>188</t>
        </is>
      </c>
      <c r="C18" s="10" t="inlineStr">
        <is>
          <t>229</t>
        </is>
      </c>
      <c r="D18" s="10" t="inlineStr">
        <is>
          <t>230</t>
        </is>
      </c>
      <c r="E18" s="35" t="n">
        <v>3.75</v>
      </c>
      <c r="F18" s="35" t="n">
        <v>5.875</v>
      </c>
      <c r="G18" s="35" t="n">
        <v>37.7</v>
      </c>
      <c r="H18" s="35" t="n">
        <v>12.5</v>
      </c>
      <c r="I18" s="10" t="inlineStr">
        <is>
          <t>450×550</t>
        </is>
      </c>
      <c r="J18" s="10" t="n">
        <v>4</v>
      </c>
      <c r="K18" s="10" t="n">
        <v>4</v>
      </c>
      <c r="L18" s="10" t="n">
        <v>0</v>
      </c>
      <c r="M18" s="10" t="inlineStr">
        <is>
          <t>Nº3 cerrado</t>
        </is>
      </c>
      <c r="N18" s="10" t="n">
        <v>2</v>
      </c>
      <c r="O18" s="35" t="n">
        <v>120</v>
      </c>
      <c r="P18" s="35" t="n">
        <v>240</v>
      </c>
      <c r="Q18" s="35" t="n">
        <v>0.2204920862253514</v>
      </c>
      <c r="R18" s="10" t="inlineStr">
        <is>
          <t>SÍ</t>
        </is>
      </c>
      <c r="S18" s="15" t="inlineStr">
        <is>
          <t>CUMPLE</t>
        </is>
      </c>
      <c r="T18" s="3" t="inlineStr">
        <is>
          <t>coordinar con planta y reanálisis global</t>
        </is>
      </c>
    </row>
    <row r="19">
      <c r="A19" s="13" t="inlineStr">
        <is>
          <t>VC1</t>
        </is>
      </c>
      <c r="B19" s="10" t="inlineStr">
        <is>
          <t>189</t>
        </is>
      </c>
      <c r="C19" s="10" t="inlineStr">
        <is>
          <t>230</t>
        </is>
      </c>
      <c r="D19" s="10" t="inlineStr">
        <is>
          <t>231</t>
        </is>
      </c>
      <c r="E19" s="35" t="n">
        <v>3.75</v>
      </c>
      <c r="F19" s="35" t="n">
        <v>9.625</v>
      </c>
      <c r="G19" s="35" t="n">
        <v>37.7</v>
      </c>
      <c r="H19" s="35" t="n">
        <v>12.5</v>
      </c>
      <c r="I19" s="10" t="inlineStr">
        <is>
          <t>450×550</t>
        </is>
      </c>
      <c r="J19" s="10" t="n">
        <v>4</v>
      </c>
      <c r="K19" s="10" t="n">
        <v>4</v>
      </c>
      <c r="L19" s="10" t="n">
        <v>0</v>
      </c>
      <c r="M19" s="10" t="inlineStr">
        <is>
          <t>Nº3 cerrado</t>
        </is>
      </c>
      <c r="N19" s="10" t="n">
        <v>2</v>
      </c>
      <c r="O19" s="35" t="n">
        <v>120</v>
      </c>
      <c r="P19" s="35" t="n">
        <v>240</v>
      </c>
      <c r="Q19" s="35" t="n">
        <v>0.2204870190026431</v>
      </c>
      <c r="R19" s="10" t="inlineStr">
        <is>
          <t>SÍ</t>
        </is>
      </c>
      <c r="S19" s="15" t="inlineStr">
        <is>
          <t>CUMPLE</t>
        </is>
      </c>
      <c r="T19" s="3" t="inlineStr">
        <is>
          <t>coordinar con planta y reanálisis global</t>
        </is>
      </c>
    </row>
    <row r="20">
      <c r="A20" s="13" t="inlineStr">
        <is>
          <t>VC1</t>
        </is>
      </c>
      <c r="B20" s="10" t="inlineStr">
        <is>
          <t>193</t>
        </is>
      </c>
      <c r="C20" s="10" t="inlineStr">
        <is>
          <t>232</t>
        </is>
      </c>
      <c r="D20" s="10" t="inlineStr">
        <is>
          <t>233</t>
        </is>
      </c>
      <c r="E20" s="35" t="n">
        <v>3.75</v>
      </c>
      <c r="F20" s="35" t="n">
        <v>5.875</v>
      </c>
      <c r="G20" s="35" t="n">
        <v>37.7</v>
      </c>
      <c r="H20" s="35" t="n">
        <v>15.5</v>
      </c>
      <c r="I20" s="10" t="inlineStr">
        <is>
          <t>450×550</t>
        </is>
      </c>
      <c r="J20" s="10" t="n">
        <v>4</v>
      </c>
      <c r="K20" s="10" t="n">
        <v>4</v>
      </c>
      <c r="L20" s="10" t="n">
        <v>0</v>
      </c>
      <c r="M20" s="10" t="inlineStr">
        <is>
          <t>Nº3 cerrado</t>
        </is>
      </c>
      <c r="N20" s="10" t="n">
        <v>2</v>
      </c>
      <c r="O20" s="35" t="n">
        <v>120</v>
      </c>
      <c r="P20" s="35" t="n">
        <v>240</v>
      </c>
      <c r="Q20" s="35" t="n">
        <v>0.2072675975543567</v>
      </c>
      <c r="R20" s="10" t="inlineStr">
        <is>
          <t>SÍ</t>
        </is>
      </c>
      <c r="S20" s="15" t="inlineStr">
        <is>
          <t>CUMPLE</t>
        </is>
      </c>
      <c r="T20" s="3" t="inlineStr">
        <is>
          <t>coordinar con planta y reanálisis global</t>
        </is>
      </c>
    </row>
    <row r="21">
      <c r="A21" s="13" t="inlineStr">
        <is>
          <t>VC1</t>
        </is>
      </c>
      <c r="B21" s="10" t="inlineStr">
        <is>
          <t>194</t>
        </is>
      </c>
      <c r="C21" s="10" t="inlineStr">
        <is>
          <t>233</t>
        </is>
      </c>
      <c r="D21" s="10" t="inlineStr">
        <is>
          <t>234</t>
        </is>
      </c>
      <c r="E21" s="35" t="n">
        <v>3.75</v>
      </c>
      <c r="F21" s="35" t="n">
        <v>9.625</v>
      </c>
      <c r="G21" s="35" t="n">
        <v>37.7</v>
      </c>
      <c r="H21" s="35" t="n">
        <v>15.5</v>
      </c>
      <c r="I21" s="10" t="inlineStr">
        <is>
          <t>450×550</t>
        </is>
      </c>
      <c r="J21" s="10" t="n">
        <v>4</v>
      </c>
      <c r="K21" s="10" t="n">
        <v>4</v>
      </c>
      <c r="L21" s="10" t="n">
        <v>0</v>
      </c>
      <c r="M21" s="10" t="inlineStr">
        <is>
          <t>Nº3 cerrado</t>
        </is>
      </c>
      <c r="N21" s="10" t="n">
        <v>2</v>
      </c>
      <c r="O21" s="35" t="n">
        <v>120</v>
      </c>
      <c r="P21" s="35" t="n">
        <v>240</v>
      </c>
      <c r="Q21" s="35" t="n">
        <v>0.2072634233875618</v>
      </c>
      <c r="R21" s="10" t="inlineStr">
        <is>
          <t>SÍ</t>
        </is>
      </c>
      <c r="S21" s="15" t="inlineStr">
        <is>
          <t>CUMPLE</t>
        </is>
      </c>
      <c r="T21" s="3" t="inlineStr">
        <is>
          <t>coordinar con planta y reanálisis global</t>
        </is>
      </c>
    </row>
    <row r="22">
      <c r="A22" s="16" t="inlineStr">
        <is>
          <t>VC2</t>
        </is>
      </c>
      <c r="B22" s="10" t="inlineStr">
        <is>
          <t>55</t>
        </is>
      </c>
      <c r="C22" s="10" t="inlineStr">
        <is>
          <t>1</t>
        </is>
      </c>
      <c r="D22" s="10" t="inlineStr">
        <is>
          <t>25</t>
        </is>
      </c>
      <c r="E22" s="35" t="n">
        <v>4</v>
      </c>
      <c r="F22" s="35" t="n">
        <v>2</v>
      </c>
      <c r="G22" s="35" t="n">
        <v>0</v>
      </c>
      <c r="H22" s="35" t="n">
        <v>3.5</v>
      </c>
      <c r="I22" s="10" t="inlineStr">
        <is>
          <t>450×550</t>
        </is>
      </c>
      <c r="J22" s="10" t="n">
        <v>5</v>
      </c>
      <c r="K22" s="10" t="n">
        <v>5</v>
      </c>
      <c r="L22" s="10" t="n">
        <v>8</v>
      </c>
      <c r="M22" s="10" t="inlineStr">
        <is>
          <t>Nº4 cerrado</t>
        </is>
      </c>
      <c r="N22" s="10" t="n">
        <v>2</v>
      </c>
      <c r="O22" s="35" t="n">
        <v>120</v>
      </c>
      <c r="P22" s="35" t="n">
        <v>140</v>
      </c>
      <c r="Q22" s="35" t="n">
        <v>0.54447337614105</v>
      </c>
      <c r="R22" s="10" t="inlineStr">
        <is>
          <t>SÍ</t>
        </is>
      </c>
      <c r="S22" s="15" t="inlineStr">
        <is>
          <t>CUMPLE</t>
        </is>
      </c>
      <c r="T22" s="3" t="inlineStr">
        <is>
          <t>coordinar con planta y reanálisis global</t>
        </is>
      </c>
    </row>
    <row r="23">
      <c r="A23" s="16" t="inlineStr">
        <is>
          <t>VC2</t>
        </is>
      </c>
      <c r="B23" s="10" t="inlineStr">
        <is>
          <t>56</t>
        </is>
      </c>
      <c r="C23" s="10" t="inlineStr">
        <is>
          <t>49</t>
        </is>
      </c>
      <c r="D23" s="10" t="inlineStr">
        <is>
          <t>50</t>
        </is>
      </c>
      <c r="E23" s="35" t="n">
        <v>4</v>
      </c>
      <c r="F23" s="35" t="n">
        <v>13.5</v>
      </c>
      <c r="G23" s="35" t="n">
        <v>0</v>
      </c>
      <c r="H23" s="35" t="n">
        <v>3.5</v>
      </c>
      <c r="I23" s="10" t="inlineStr">
        <is>
          <t>450×550</t>
        </is>
      </c>
      <c r="J23" s="10" t="n">
        <v>5</v>
      </c>
      <c r="K23" s="10" t="n">
        <v>5</v>
      </c>
      <c r="L23" s="10" t="n">
        <v>8</v>
      </c>
      <c r="M23" s="10" t="inlineStr">
        <is>
          <t>Nº4 cerrado</t>
        </is>
      </c>
      <c r="N23" s="10" t="n">
        <v>2</v>
      </c>
      <c r="O23" s="35" t="n">
        <v>120</v>
      </c>
      <c r="P23" s="35" t="n">
        <v>140</v>
      </c>
      <c r="Q23" s="35" t="n">
        <v>0.5444877922529566</v>
      </c>
      <c r="R23" s="10" t="inlineStr">
        <is>
          <t>SÍ</t>
        </is>
      </c>
      <c r="S23" s="15" t="inlineStr">
        <is>
          <t>CUMPLE</t>
        </is>
      </c>
      <c r="T23" s="3" t="inlineStr">
        <is>
          <t>coordinar con planta y reanálisis global</t>
        </is>
      </c>
    </row>
    <row r="24">
      <c r="A24" s="16" t="inlineStr">
        <is>
          <t>VC2</t>
        </is>
      </c>
      <c r="B24" s="10" t="inlineStr">
        <is>
          <t>93</t>
        </is>
      </c>
      <c r="C24" s="10" t="inlineStr">
        <is>
          <t>12</t>
        </is>
      </c>
      <c r="D24" s="10" t="inlineStr">
        <is>
          <t>13</t>
        </is>
      </c>
      <c r="E24" s="35" t="n">
        <v>4</v>
      </c>
      <c r="F24" s="35" t="n">
        <v>2</v>
      </c>
      <c r="G24" s="35" t="n">
        <v>36.2</v>
      </c>
      <c r="H24" s="35" t="n">
        <v>3.5</v>
      </c>
      <c r="I24" s="10" t="inlineStr">
        <is>
          <t>450×550</t>
        </is>
      </c>
      <c r="J24" s="10" t="n">
        <v>5</v>
      </c>
      <c r="K24" s="10" t="n">
        <v>5</v>
      </c>
      <c r="L24" s="10" t="n">
        <v>8</v>
      </c>
      <c r="M24" s="10" t="inlineStr">
        <is>
          <t>Nº4 cerrado</t>
        </is>
      </c>
      <c r="N24" s="10" t="n">
        <v>2</v>
      </c>
      <c r="O24" s="35" t="n">
        <v>120</v>
      </c>
      <c r="P24" s="35" t="n">
        <v>140</v>
      </c>
      <c r="Q24" s="35" t="n">
        <v>0.5444753562371117</v>
      </c>
      <c r="R24" s="10" t="inlineStr">
        <is>
          <t>SÍ</t>
        </is>
      </c>
      <c r="S24" s="15" t="inlineStr">
        <is>
          <t>CUMPLE</t>
        </is>
      </c>
      <c r="T24" s="3" t="inlineStr">
        <is>
          <t>coordinar con planta y reanálisis global</t>
        </is>
      </c>
    </row>
    <row r="25">
      <c r="A25" s="16" t="inlineStr">
        <is>
          <t>VC2</t>
        </is>
      </c>
      <c r="B25" s="10" t="inlineStr">
        <is>
          <t>94</t>
        </is>
      </c>
      <c r="C25" s="10" t="inlineStr">
        <is>
          <t>37</t>
        </is>
      </c>
      <c r="D25" s="10" t="inlineStr">
        <is>
          <t>61</t>
        </is>
      </c>
      <c r="E25" s="35" t="n">
        <v>4</v>
      </c>
      <c r="F25" s="35" t="n">
        <v>13.5</v>
      </c>
      <c r="G25" s="35" t="n">
        <v>36.2</v>
      </c>
      <c r="H25" s="35" t="n">
        <v>3.5</v>
      </c>
      <c r="I25" s="10" t="inlineStr">
        <is>
          <t>450×550</t>
        </is>
      </c>
      <c r="J25" s="10" t="n">
        <v>5</v>
      </c>
      <c r="K25" s="10" t="n">
        <v>5</v>
      </c>
      <c r="L25" s="10" t="n">
        <v>8</v>
      </c>
      <c r="M25" s="10" t="inlineStr">
        <is>
          <t>Nº4 cerrado</t>
        </is>
      </c>
      <c r="N25" s="10" t="n">
        <v>2</v>
      </c>
      <c r="O25" s="35" t="n">
        <v>120</v>
      </c>
      <c r="P25" s="35" t="n">
        <v>140</v>
      </c>
      <c r="Q25" s="35" t="n">
        <v>0.544460692593036</v>
      </c>
      <c r="R25" s="10" t="inlineStr">
        <is>
          <t>SÍ</t>
        </is>
      </c>
      <c r="S25" s="15" t="inlineStr">
        <is>
          <t>CUMPLE</t>
        </is>
      </c>
      <c r="T25" s="3" t="inlineStr">
        <is>
          <t>coordinar con planta y reanálisis global</t>
        </is>
      </c>
    </row>
    <row r="26">
      <c r="A26" s="16" t="inlineStr">
        <is>
          <t>VC2</t>
        </is>
      </c>
      <c r="B26" s="10" t="inlineStr">
        <is>
          <t>95</t>
        </is>
      </c>
      <c r="C26" s="10" t="inlineStr">
        <is>
          <t>25</t>
        </is>
      </c>
      <c r="D26" s="10" t="inlineStr">
        <is>
          <t>62</t>
        </is>
      </c>
      <c r="E26" s="35" t="n">
        <v>3.75</v>
      </c>
      <c r="F26" s="35" t="n">
        <v>5.875</v>
      </c>
      <c r="G26" s="35" t="n">
        <v>0</v>
      </c>
      <c r="H26" s="35" t="n">
        <v>3.5</v>
      </c>
      <c r="I26" s="10" t="inlineStr">
        <is>
          <t>450×550</t>
        </is>
      </c>
      <c r="J26" s="10" t="n">
        <v>4</v>
      </c>
      <c r="K26" s="10" t="n">
        <v>4</v>
      </c>
      <c r="L26" s="10" t="n">
        <v>0</v>
      </c>
      <c r="M26" s="10" t="inlineStr">
        <is>
          <t>Nº3 cerrado</t>
        </is>
      </c>
      <c r="N26" s="10" t="n">
        <v>2</v>
      </c>
      <c r="O26" s="35" t="n">
        <v>100</v>
      </c>
      <c r="P26" s="35" t="n">
        <v>100</v>
      </c>
      <c r="Q26" s="35" t="n">
        <v>0.4987845218648163</v>
      </c>
      <c r="R26" s="10" t="inlineStr">
        <is>
          <t>SÍ</t>
        </is>
      </c>
      <c r="S26" s="15" t="inlineStr">
        <is>
          <t>CUMPLE</t>
        </is>
      </c>
      <c r="T26" s="3" t="inlineStr">
        <is>
          <t>coordinar con planta y reanálisis global</t>
        </is>
      </c>
    </row>
    <row r="27">
      <c r="A27" s="16" t="inlineStr">
        <is>
          <t>VC2</t>
        </is>
      </c>
      <c r="B27" s="10" t="inlineStr">
        <is>
          <t>96</t>
        </is>
      </c>
      <c r="C27" s="10" t="inlineStr">
        <is>
          <t>62</t>
        </is>
      </c>
      <c r="D27" s="10" t="inlineStr">
        <is>
          <t>49</t>
        </is>
      </c>
      <c r="E27" s="35" t="n">
        <v>3.75</v>
      </c>
      <c r="F27" s="35" t="n">
        <v>9.625</v>
      </c>
      <c r="G27" s="35" t="n">
        <v>0</v>
      </c>
      <c r="H27" s="35" t="n">
        <v>3.5</v>
      </c>
      <c r="I27" s="10" t="inlineStr">
        <is>
          <t>450×550</t>
        </is>
      </c>
      <c r="J27" s="10" t="n">
        <v>4</v>
      </c>
      <c r="K27" s="10" t="n">
        <v>4</v>
      </c>
      <c r="L27" s="10" t="n">
        <v>0</v>
      </c>
      <c r="M27" s="10" t="inlineStr">
        <is>
          <t>Nº3 cerrado</t>
        </is>
      </c>
      <c r="N27" s="10" t="n">
        <v>2</v>
      </c>
      <c r="O27" s="35" t="n">
        <v>100</v>
      </c>
      <c r="P27" s="35" t="n">
        <v>100</v>
      </c>
      <c r="Q27" s="35" t="n">
        <v>0.4988003563417813</v>
      </c>
      <c r="R27" s="10" t="inlineStr">
        <is>
          <t>SÍ</t>
        </is>
      </c>
      <c r="S27" s="15" t="inlineStr">
        <is>
          <t>CUMPLE</t>
        </is>
      </c>
      <c r="T27" s="3" t="inlineStr">
        <is>
          <t>coordinar con planta y reanálisis global</t>
        </is>
      </c>
    </row>
    <row r="28">
      <c r="A28" s="16" t="inlineStr">
        <is>
          <t>VC2</t>
        </is>
      </c>
      <c r="B28" s="10" t="inlineStr">
        <is>
          <t>97</t>
        </is>
      </c>
      <c r="C28" s="10" t="inlineStr">
        <is>
          <t>13</t>
        </is>
      </c>
      <c r="D28" s="10" t="inlineStr">
        <is>
          <t>63</t>
        </is>
      </c>
      <c r="E28" s="35" t="n">
        <v>3.75</v>
      </c>
      <c r="F28" s="35" t="n">
        <v>5.875</v>
      </c>
      <c r="G28" s="35" t="n">
        <v>36.2</v>
      </c>
      <c r="H28" s="35" t="n">
        <v>3.5</v>
      </c>
      <c r="I28" s="10" t="inlineStr">
        <is>
          <t>450×550</t>
        </is>
      </c>
      <c r="J28" s="10" t="n">
        <v>4</v>
      </c>
      <c r="K28" s="10" t="n">
        <v>4</v>
      </c>
      <c r="L28" s="10" t="n">
        <v>0</v>
      </c>
      <c r="M28" s="10" t="inlineStr">
        <is>
          <t>Nº3 cerrado</t>
        </is>
      </c>
      <c r="N28" s="10" t="n">
        <v>2</v>
      </c>
      <c r="O28" s="35" t="n">
        <v>100</v>
      </c>
      <c r="P28" s="35" t="n">
        <v>100</v>
      </c>
      <c r="Q28" s="35" t="n">
        <v>0.4987890169241251</v>
      </c>
      <c r="R28" s="10" t="inlineStr">
        <is>
          <t>SÍ</t>
        </is>
      </c>
      <c r="S28" s="15" t="inlineStr">
        <is>
          <t>CUMPLE</t>
        </is>
      </c>
      <c r="T28" s="3" t="inlineStr">
        <is>
          <t>coordinar con planta y reanálisis global</t>
        </is>
      </c>
    </row>
    <row r="29">
      <c r="A29" s="16" t="inlineStr">
        <is>
          <t>VC2</t>
        </is>
      </c>
      <c r="B29" s="10" t="inlineStr">
        <is>
          <t>98</t>
        </is>
      </c>
      <c r="C29" s="10" t="inlineStr">
        <is>
          <t>63</t>
        </is>
      </c>
      <c r="D29" s="10" t="inlineStr">
        <is>
          <t>37</t>
        </is>
      </c>
      <c r="E29" s="35" t="n">
        <v>3.75</v>
      </c>
      <c r="F29" s="35" t="n">
        <v>9.625</v>
      </c>
      <c r="G29" s="35" t="n">
        <v>36.2</v>
      </c>
      <c r="H29" s="35" t="n">
        <v>3.5</v>
      </c>
      <c r="I29" s="10" t="inlineStr">
        <is>
          <t>450×550</t>
        </is>
      </c>
      <c r="J29" s="10" t="n">
        <v>4</v>
      </c>
      <c r="K29" s="10" t="n">
        <v>4</v>
      </c>
      <c r="L29" s="10" t="n">
        <v>0</v>
      </c>
      <c r="M29" s="10" t="inlineStr">
        <is>
          <t>Nº3 cerrado</t>
        </is>
      </c>
      <c r="N29" s="10" t="n">
        <v>2</v>
      </c>
      <c r="O29" s="35" t="n">
        <v>100</v>
      </c>
      <c r="P29" s="35" t="n">
        <v>100</v>
      </c>
      <c r="Q29" s="35" t="n">
        <v>0.4987746808132122</v>
      </c>
      <c r="R29" s="10" t="inlineStr">
        <is>
          <t>SÍ</t>
        </is>
      </c>
      <c r="S29" s="15" t="inlineStr">
        <is>
          <t>CUMPLE</t>
        </is>
      </c>
      <c r="T29" s="3" t="inlineStr">
        <is>
          <t>coordinar con planta y reanálisis global</t>
        </is>
      </c>
    </row>
    <row r="30">
      <c r="A30" s="16" t="inlineStr">
        <is>
          <t>VC2</t>
        </is>
      </c>
      <c r="B30" s="10" t="inlineStr">
        <is>
          <t>255</t>
        </is>
      </c>
      <c r="C30" s="10" t="inlineStr">
        <is>
          <t>127</t>
        </is>
      </c>
      <c r="D30" s="10" t="inlineStr">
        <is>
          <t>151</t>
        </is>
      </c>
      <c r="E30" s="35" t="n">
        <v>4</v>
      </c>
      <c r="F30" s="35" t="n">
        <v>2</v>
      </c>
      <c r="G30" s="35" t="n">
        <v>0</v>
      </c>
      <c r="H30" s="35" t="n">
        <v>6.5</v>
      </c>
      <c r="I30" s="10" t="inlineStr">
        <is>
          <t>450×550</t>
        </is>
      </c>
      <c r="J30" s="10" t="n">
        <v>5</v>
      </c>
      <c r="K30" s="10" t="n">
        <v>4</v>
      </c>
      <c r="L30" s="10" t="n">
        <v>0</v>
      </c>
      <c r="M30" s="10" t="inlineStr">
        <is>
          <t>Nº3 cerrado</t>
        </is>
      </c>
      <c r="N30" s="10" t="n">
        <v>2</v>
      </c>
      <c r="O30" s="35" t="n">
        <v>100</v>
      </c>
      <c r="P30" s="35" t="n">
        <v>100</v>
      </c>
      <c r="Q30" s="35" t="n">
        <v>0.4935386304852299</v>
      </c>
      <c r="R30" s="10" t="inlineStr">
        <is>
          <t>SÍ</t>
        </is>
      </c>
      <c r="S30" s="15" t="inlineStr">
        <is>
          <t>CUMPLE</t>
        </is>
      </c>
      <c r="T30" s="3" t="inlineStr">
        <is>
          <t>coordinar con planta y reanálisis global</t>
        </is>
      </c>
    </row>
    <row r="31">
      <c r="A31" s="16" t="inlineStr">
        <is>
          <t>VC2</t>
        </is>
      </c>
      <c r="B31" s="10" t="inlineStr">
        <is>
          <t>256</t>
        </is>
      </c>
      <c r="C31" s="10" t="inlineStr">
        <is>
          <t>175</t>
        </is>
      </c>
      <c r="D31" s="10" t="inlineStr">
        <is>
          <t>176</t>
        </is>
      </c>
      <c r="E31" s="35" t="n">
        <v>4</v>
      </c>
      <c r="F31" s="35" t="n">
        <v>13.5</v>
      </c>
      <c r="G31" s="35" t="n">
        <v>0</v>
      </c>
      <c r="H31" s="35" t="n">
        <v>6.5</v>
      </c>
      <c r="I31" s="10" t="inlineStr">
        <is>
          <t>450×550</t>
        </is>
      </c>
      <c r="J31" s="10" t="n">
        <v>5</v>
      </c>
      <c r="K31" s="10" t="n">
        <v>4</v>
      </c>
      <c r="L31" s="10" t="n">
        <v>0</v>
      </c>
      <c r="M31" s="10" t="inlineStr">
        <is>
          <t>Nº3 cerrado</t>
        </is>
      </c>
      <c r="N31" s="10" t="n">
        <v>2</v>
      </c>
      <c r="O31" s="35" t="n">
        <v>100</v>
      </c>
      <c r="P31" s="35" t="n">
        <v>100</v>
      </c>
      <c r="Q31" s="35" t="n">
        <v>0.4935562383475295</v>
      </c>
      <c r="R31" s="10" t="inlineStr">
        <is>
          <t>SÍ</t>
        </is>
      </c>
      <c r="S31" s="15" t="inlineStr">
        <is>
          <t>CUMPLE</t>
        </is>
      </c>
      <c r="T31" s="3" t="inlineStr">
        <is>
          <t>coordinar con planta y reanálisis global</t>
        </is>
      </c>
    </row>
    <row r="32">
      <c r="A32" s="16" t="inlineStr">
        <is>
          <t>VC2</t>
        </is>
      </c>
      <c r="B32" s="10" t="inlineStr">
        <is>
          <t>293</t>
        </is>
      </c>
      <c r="C32" s="10" t="inlineStr">
        <is>
          <t>138</t>
        </is>
      </c>
      <c r="D32" s="10" t="inlineStr">
        <is>
          <t>139</t>
        </is>
      </c>
      <c r="E32" s="35" t="n">
        <v>4</v>
      </c>
      <c r="F32" s="35" t="n">
        <v>2</v>
      </c>
      <c r="G32" s="35" t="n">
        <v>36.2</v>
      </c>
      <c r="H32" s="35" t="n">
        <v>6.5</v>
      </c>
      <c r="I32" s="10" t="inlineStr">
        <is>
          <t>450×550</t>
        </is>
      </c>
      <c r="J32" s="10" t="n">
        <v>5</v>
      </c>
      <c r="K32" s="10" t="n">
        <v>4</v>
      </c>
      <c r="L32" s="10" t="n">
        <v>0</v>
      </c>
      <c r="M32" s="10" t="inlineStr">
        <is>
          <t>Nº3 cerrado</t>
        </is>
      </c>
      <c r="N32" s="10" t="n">
        <v>2</v>
      </c>
      <c r="O32" s="35" t="n">
        <v>100</v>
      </c>
      <c r="P32" s="35" t="n">
        <v>100</v>
      </c>
      <c r="Q32" s="35" t="n">
        <v>0.4936034904049935</v>
      </c>
      <c r="R32" s="10" t="inlineStr">
        <is>
          <t>SÍ</t>
        </is>
      </c>
      <c r="S32" s="15" t="inlineStr">
        <is>
          <t>CUMPLE</t>
        </is>
      </c>
      <c r="T32" s="3" t="inlineStr">
        <is>
          <t>coordinar con planta y reanálisis global</t>
        </is>
      </c>
    </row>
    <row r="33">
      <c r="A33" s="16" t="inlineStr">
        <is>
          <t>VC2</t>
        </is>
      </c>
      <c r="B33" s="10" t="inlineStr">
        <is>
          <t>294</t>
        </is>
      </c>
      <c r="C33" s="10" t="inlineStr">
        <is>
          <t>163</t>
        </is>
      </c>
      <c r="D33" s="10" t="inlineStr">
        <is>
          <t>187</t>
        </is>
      </c>
      <c r="E33" s="35" t="n">
        <v>4</v>
      </c>
      <c r="F33" s="35" t="n">
        <v>13.5</v>
      </c>
      <c r="G33" s="35" t="n">
        <v>36.2</v>
      </c>
      <c r="H33" s="35" t="n">
        <v>6.5</v>
      </c>
      <c r="I33" s="10" t="inlineStr">
        <is>
          <t>450×550</t>
        </is>
      </c>
      <c r="J33" s="10" t="n">
        <v>5</v>
      </c>
      <c r="K33" s="10" t="n">
        <v>4</v>
      </c>
      <c r="L33" s="10" t="n">
        <v>0</v>
      </c>
      <c r="M33" s="10" t="inlineStr">
        <is>
          <t>Nº3 cerrado</t>
        </is>
      </c>
      <c r="N33" s="10" t="n">
        <v>2</v>
      </c>
      <c r="O33" s="35" t="n">
        <v>100</v>
      </c>
      <c r="P33" s="35" t="n">
        <v>100</v>
      </c>
      <c r="Q33" s="35" t="n">
        <v>0.4935833533272989</v>
      </c>
      <c r="R33" s="10" t="inlineStr">
        <is>
          <t>SÍ</t>
        </is>
      </c>
      <c r="S33" s="15" t="inlineStr">
        <is>
          <t>CUMPLE</t>
        </is>
      </c>
      <c r="T33" s="3" t="inlineStr">
        <is>
          <t>coordinar con planta y reanálisis global</t>
        </is>
      </c>
    </row>
    <row r="34">
      <c r="A34" s="16" t="inlineStr">
        <is>
          <t>VC2</t>
        </is>
      </c>
      <c r="B34" s="10" t="inlineStr">
        <is>
          <t>813</t>
        </is>
      </c>
      <c r="C34" s="10" t="inlineStr">
        <is>
          <t>491</t>
        </is>
      </c>
      <c r="D34" s="10" t="inlineStr">
        <is>
          <t>515</t>
        </is>
      </c>
      <c r="E34" s="35" t="n">
        <v>4</v>
      </c>
      <c r="F34" s="35" t="n">
        <v>2</v>
      </c>
      <c r="G34" s="35" t="n">
        <v>0</v>
      </c>
      <c r="H34" s="35" t="n">
        <v>9.5</v>
      </c>
      <c r="I34" s="10" t="inlineStr">
        <is>
          <t>450×550</t>
        </is>
      </c>
      <c r="J34" s="10" t="n">
        <v>4</v>
      </c>
      <c r="K34" s="10" t="n">
        <v>4</v>
      </c>
      <c r="L34" s="10" t="n">
        <v>0</v>
      </c>
      <c r="M34" s="10" t="inlineStr">
        <is>
          <t>Nº3 cerrado</t>
        </is>
      </c>
      <c r="N34" s="10" t="n">
        <v>2</v>
      </c>
      <c r="O34" s="35" t="n">
        <v>120</v>
      </c>
      <c r="P34" s="35" t="n">
        <v>170</v>
      </c>
      <c r="Q34" s="35" t="n">
        <v>0.3863134302569059</v>
      </c>
      <c r="R34" s="10" t="inlineStr">
        <is>
          <t>SÍ</t>
        </is>
      </c>
      <c r="S34" s="15" t="inlineStr">
        <is>
          <t>CUMPLE</t>
        </is>
      </c>
      <c r="T34" s="3" t="inlineStr">
        <is>
          <t>coordinar con planta y reanálisis global</t>
        </is>
      </c>
    </row>
    <row r="35">
      <c r="A35" s="16" t="inlineStr">
        <is>
          <t>VC2</t>
        </is>
      </c>
      <c r="B35" s="10" t="inlineStr">
        <is>
          <t>814</t>
        </is>
      </c>
      <c r="C35" s="10" t="inlineStr">
        <is>
          <t>539</t>
        </is>
      </c>
      <c r="D35" s="10" t="inlineStr">
        <is>
          <t>540</t>
        </is>
      </c>
      <c r="E35" s="35" t="n">
        <v>4</v>
      </c>
      <c r="F35" s="35" t="n">
        <v>13.5</v>
      </c>
      <c r="G35" s="35" t="n">
        <v>0</v>
      </c>
      <c r="H35" s="35" t="n">
        <v>9.5</v>
      </c>
      <c r="I35" s="10" t="inlineStr">
        <is>
          <t>450×550</t>
        </is>
      </c>
      <c r="J35" s="10" t="n">
        <v>4</v>
      </c>
      <c r="K35" s="10" t="n">
        <v>4</v>
      </c>
      <c r="L35" s="10" t="n">
        <v>0</v>
      </c>
      <c r="M35" s="10" t="inlineStr">
        <is>
          <t>Nº3 cerrado</t>
        </is>
      </c>
      <c r="N35" s="10" t="n">
        <v>2</v>
      </c>
      <c r="O35" s="35" t="n">
        <v>120</v>
      </c>
      <c r="P35" s="35" t="n">
        <v>170</v>
      </c>
      <c r="Q35" s="35" t="n">
        <v>0.3863394254044649</v>
      </c>
      <c r="R35" s="10" t="inlineStr">
        <is>
          <t>SÍ</t>
        </is>
      </c>
      <c r="S35" s="15" t="inlineStr">
        <is>
          <t>CUMPLE</t>
        </is>
      </c>
      <c r="T35" s="3" t="inlineStr">
        <is>
          <t>coordinar con planta y reanálisis global</t>
        </is>
      </c>
    </row>
    <row r="36">
      <c r="A36" s="16" t="inlineStr">
        <is>
          <t>VC2</t>
        </is>
      </c>
      <c r="B36" s="10" t="inlineStr">
        <is>
          <t>851</t>
        </is>
      </c>
      <c r="C36" s="10" t="inlineStr">
        <is>
          <t>502</t>
        </is>
      </c>
      <c r="D36" s="10" t="inlineStr">
        <is>
          <t>503</t>
        </is>
      </c>
      <c r="E36" s="35" t="n">
        <v>4</v>
      </c>
      <c r="F36" s="35" t="n">
        <v>2</v>
      </c>
      <c r="G36" s="35" t="n">
        <v>36.2</v>
      </c>
      <c r="H36" s="35" t="n">
        <v>9.5</v>
      </c>
      <c r="I36" s="10" t="inlineStr">
        <is>
          <t>450×550</t>
        </is>
      </c>
      <c r="J36" s="10" t="n">
        <v>4</v>
      </c>
      <c r="K36" s="10" t="n">
        <v>4</v>
      </c>
      <c r="L36" s="10" t="n">
        <v>0</v>
      </c>
      <c r="M36" s="10" t="inlineStr">
        <is>
          <t>Nº3 cerrado</t>
        </is>
      </c>
      <c r="N36" s="10" t="n">
        <v>2</v>
      </c>
      <c r="O36" s="35" t="n">
        <v>120</v>
      </c>
      <c r="P36" s="35" t="n">
        <v>170</v>
      </c>
      <c r="Q36" s="35" t="n">
        <v>0.3863761086110138</v>
      </c>
      <c r="R36" s="10" t="inlineStr">
        <is>
          <t>SÍ</t>
        </is>
      </c>
      <c r="S36" s="15" t="inlineStr">
        <is>
          <t>CUMPLE</t>
        </is>
      </c>
      <c r="T36" s="3" t="inlineStr">
        <is>
          <t>coordinar con planta y reanálisis global</t>
        </is>
      </c>
    </row>
    <row r="37">
      <c r="A37" s="16" t="inlineStr">
        <is>
          <t>VC2</t>
        </is>
      </c>
      <c r="B37" s="10" t="inlineStr">
        <is>
          <t>852</t>
        </is>
      </c>
      <c r="C37" s="10" t="inlineStr">
        <is>
          <t>527</t>
        </is>
      </c>
      <c r="D37" s="10" t="inlineStr">
        <is>
          <t>551</t>
        </is>
      </c>
      <c r="E37" s="35" t="n">
        <v>4</v>
      </c>
      <c r="F37" s="35" t="n">
        <v>13.5</v>
      </c>
      <c r="G37" s="35" t="n">
        <v>36.2</v>
      </c>
      <c r="H37" s="35" t="n">
        <v>9.5</v>
      </c>
      <c r="I37" s="10" t="inlineStr">
        <is>
          <t>450×550</t>
        </is>
      </c>
      <c r="J37" s="10" t="n">
        <v>4</v>
      </c>
      <c r="K37" s="10" t="n">
        <v>4</v>
      </c>
      <c r="L37" s="10" t="n">
        <v>0</v>
      </c>
      <c r="M37" s="10" t="inlineStr">
        <is>
          <t>Nº3 cerrado</t>
        </is>
      </c>
      <c r="N37" s="10" t="n">
        <v>2</v>
      </c>
      <c r="O37" s="35" t="n">
        <v>120</v>
      </c>
      <c r="P37" s="35" t="n">
        <v>170</v>
      </c>
      <c r="Q37" s="35" t="n">
        <v>0.3863539784651534</v>
      </c>
      <c r="R37" s="10" t="inlineStr">
        <is>
          <t>SÍ</t>
        </is>
      </c>
      <c r="S37" s="15" t="inlineStr">
        <is>
          <t>CUMPLE</t>
        </is>
      </c>
      <c r="T37" s="3" t="inlineStr">
        <is>
          <t>coordinar con planta y reanálisis global</t>
        </is>
      </c>
    </row>
    <row r="38">
      <c r="A38" s="16" t="inlineStr">
        <is>
          <t>VC2</t>
        </is>
      </c>
      <c r="B38" s="10" t="inlineStr">
        <is>
          <t>907</t>
        </is>
      </c>
      <c r="C38" s="10" t="inlineStr">
        <is>
          <t>552</t>
        </is>
      </c>
      <c r="D38" s="10" t="inlineStr">
        <is>
          <t>576</t>
        </is>
      </c>
      <c r="E38" s="35" t="n">
        <v>4</v>
      </c>
      <c r="F38" s="35" t="n">
        <v>2</v>
      </c>
      <c r="G38" s="35" t="n">
        <v>0</v>
      </c>
      <c r="H38" s="35" t="n">
        <v>12.5</v>
      </c>
      <c r="I38" s="10" t="inlineStr">
        <is>
          <t>450×550</t>
        </is>
      </c>
      <c r="J38" s="10" t="n">
        <v>4</v>
      </c>
      <c r="K38" s="10" t="n">
        <v>4</v>
      </c>
      <c r="L38" s="10" t="n">
        <v>0</v>
      </c>
      <c r="M38" s="10" t="inlineStr">
        <is>
          <t>Nº3 cerrado</t>
        </is>
      </c>
      <c r="N38" s="10" t="n">
        <v>2</v>
      </c>
      <c r="O38" s="35" t="n">
        <v>120</v>
      </c>
      <c r="P38" s="35" t="n">
        <v>240</v>
      </c>
      <c r="Q38" s="35" t="n">
        <v>0.2476097377572616</v>
      </c>
      <c r="R38" s="10" t="inlineStr">
        <is>
          <t>SÍ</t>
        </is>
      </c>
      <c r="S38" s="15" t="inlineStr">
        <is>
          <t>CUMPLE</t>
        </is>
      </c>
      <c r="T38" s="3" t="inlineStr">
        <is>
          <t>coordinar con planta y reanálisis global</t>
        </is>
      </c>
    </row>
    <row r="39">
      <c r="A39" s="16" t="inlineStr">
        <is>
          <t>VC2</t>
        </is>
      </c>
      <c r="B39" s="10" t="inlineStr">
        <is>
          <t>908</t>
        </is>
      </c>
      <c r="C39" s="10" t="inlineStr">
        <is>
          <t>600</t>
        </is>
      </c>
      <c r="D39" s="10" t="inlineStr">
        <is>
          <t>601</t>
        </is>
      </c>
      <c r="E39" s="35" t="n">
        <v>4</v>
      </c>
      <c r="F39" s="35" t="n">
        <v>13.5</v>
      </c>
      <c r="G39" s="35" t="n">
        <v>0</v>
      </c>
      <c r="H39" s="35" t="n">
        <v>12.5</v>
      </c>
      <c r="I39" s="10" t="inlineStr">
        <is>
          <t>450×550</t>
        </is>
      </c>
      <c r="J39" s="10" t="n">
        <v>4</v>
      </c>
      <c r="K39" s="10" t="n">
        <v>4</v>
      </c>
      <c r="L39" s="10" t="n">
        <v>0</v>
      </c>
      <c r="M39" s="10" t="inlineStr">
        <is>
          <t>Nº3 cerrado</t>
        </is>
      </c>
      <c r="N39" s="10" t="n">
        <v>2</v>
      </c>
      <c r="O39" s="35" t="n">
        <v>120</v>
      </c>
      <c r="P39" s="35" t="n">
        <v>240</v>
      </c>
      <c r="Q39" s="35" t="n">
        <v>0.2476431819674542</v>
      </c>
      <c r="R39" s="10" t="inlineStr">
        <is>
          <t>SÍ</t>
        </is>
      </c>
      <c r="S39" s="15" t="inlineStr">
        <is>
          <t>CUMPLE</t>
        </is>
      </c>
      <c r="T39" s="3" t="inlineStr">
        <is>
          <t>coordinar con planta y reanálisis global</t>
        </is>
      </c>
    </row>
    <row r="40">
      <c r="A40" s="16" t="inlineStr">
        <is>
          <t>VC2</t>
        </is>
      </c>
      <c r="B40" s="10" t="inlineStr">
        <is>
          <t>945</t>
        </is>
      </c>
      <c r="C40" s="10" t="inlineStr">
        <is>
          <t>563</t>
        </is>
      </c>
      <c r="D40" s="10" t="inlineStr">
        <is>
          <t>564</t>
        </is>
      </c>
      <c r="E40" s="35" t="n">
        <v>4</v>
      </c>
      <c r="F40" s="35" t="n">
        <v>2</v>
      </c>
      <c r="G40" s="35" t="n">
        <v>36.2</v>
      </c>
      <c r="H40" s="35" t="n">
        <v>12.5</v>
      </c>
      <c r="I40" s="10" t="inlineStr">
        <is>
          <t>450×550</t>
        </is>
      </c>
      <c r="J40" s="10" t="n">
        <v>4</v>
      </c>
      <c r="K40" s="10" t="n">
        <v>4</v>
      </c>
      <c r="L40" s="10" t="n">
        <v>0</v>
      </c>
      <c r="M40" s="10" t="inlineStr">
        <is>
          <t>Nº3 cerrado</t>
        </is>
      </c>
      <c r="N40" s="10" t="n">
        <v>2</v>
      </c>
      <c r="O40" s="35" t="n">
        <v>120</v>
      </c>
      <c r="P40" s="35" t="n">
        <v>240</v>
      </c>
      <c r="Q40" s="35" t="n">
        <v>0.2476747780168807</v>
      </c>
      <c r="R40" s="10" t="inlineStr">
        <is>
          <t>SÍ</t>
        </is>
      </c>
      <c r="S40" s="15" t="inlineStr">
        <is>
          <t>CUMPLE</t>
        </is>
      </c>
      <c r="T40" s="3" t="inlineStr">
        <is>
          <t>coordinar con planta y reanálisis global</t>
        </is>
      </c>
    </row>
    <row r="41">
      <c r="A41" s="16" t="inlineStr">
        <is>
          <t>VC2</t>
        </is>
      </c>
      <c r="B41" s="10" t="inlineStr">
        <is>
          <t>946</t>
        </is>
      </c>
      <c r="C41" s="10" t="inlineStr">
        <is>
          <t>588</t>
        </is>
      </c>
      <c r="D41" s="10" t="inlineStr">
        <is>
          <t>612</t>
        </is>
      </c>
      <c r="E41" s="35" t="n">
        <v>4</v>
      </c>
      <c r="F41" s="35" t="n">
        <v>13.5</v>
      </c>
      <c r="G41" s="35" t="n">
        <v>36.2</v>
      </c>
      <c r="H41" s="35" t="n">
        <v>12.5</v>
      </c>
      <c r="I41" s="10" t="inlineStr">
        <is>
          <t>450×550</t>
        </is>
      </c>
      <c r="J41" s="10" t="n">
        <v>4</v>
      </c>
      <c r="K41" s="10" t="n">
        <v>4</v>
      </c>
      <c r="L41" s="10" t="n">
        <v>0</v>
      </c>
      <c r="M41" s="10" t="inlineStr">
        <is>
          <t>Nº3 cerrado</t>
        </is>
      </c>
      <c r="N41" s="10" t="n">
        <v>2</v>
      </c>
      <c r="O41" s="35" t="n">
        <v>120</v>
      </c>
      <c r="P41" s="35" t="n">
        <v>240</v>
      </c>
      <c r="Q41" s="35" t="n">
        <v>0.2476496584244413</v>
      </c>
      <c r="R41" s="10" t="inlineStr">
        <is>
          <t>SÍ</t>
        </is>
      </c>
      <c r="S41" s="15" t="inlineStr">
        <is>
          <t>CUMPLE</t>
        </is>
      </c>
      <c r="T41" s="3" t="inlineStr">
        <is>
          <t>coordinar con planta y reanálisis global</t>
        </is>
      </c>
    </row>
    <row r="42">
      <c r="A42" s="16" t="inlineStr">
        <is>
          <t>VC2</t>
        </is>
      </c>
      <c r="B42" s="10" t="inlineStr">
        <is>
          <t>1001</t>
        </is>
      </c>
      <c r="C42" s="10" t="inlineStr">
        <is>
          <t>613</t>
        </is>
      </c>
      <c r="D42" s="10" t="inlineStr">
        <is>
          <t>637</t>
        </is>
      </c>
      <c r="E42" s="35" t="n">
        <v>4</v>
      </c>
      <c r="F42" s="35" t="n">
        <v>2</v>
      </c>
      <c r="G42" s="35" t="n">
        <v>0</v>
      </c>
      <c r="H42" s="35" t="n">
        <v>15.5</v>
      </c>
      <c r="I42" s="10" t="inlineStr">
        <is>
          <t>450×550</t>
        </is>
      </c>
      <c r="J42" s="10" t="n">
        <v>4</v>
      </c>
      <c r="K42" s="10" t="n">
        <v>4</v>
      </c>
      <c r="L42" s="10" t="n">
        <v>0</v>
      </c>
      <c r="M42" s="10" t="inlineStr">
        <is>
          <t>Nº3 cerrado</t>
        </is>
      </c>
      <c r="N42" s="10" t="n">
        <v>2</v>
      </c>
      <c r="O42" s="35" t="n">
        <v>120</v>
      </c>
      <c r="P42" s="35" t="n">
        <v>240</v>
      </c>
      <c r="Q42" s="35" t="n">
        <v>0.2095173206944784</v>
      </c>
      <c r="R42" s="10" t="inlineStr">
        <is>
          <t>SÍ</t>
        </is>
      </c>
      <c r="S42" s="15" t="inlineStr">
        <is>
          <t>CUMPLE</t>
        </is>
      </c>
      <c r="T42" s="3" t="inlineStr">
        <is>
          <t>coordinar con planta y reanálisis global</t>
        </is>
      </c>
    </row>
    <row r="43">
      <c r="A43" s="16" t="inlineStr">
        <is>
          <t>VC2</t>
        </is>
      </c>
      <c r="B43" s="10" t="inlineStr">
        <is>
          <t>1002</t>
        </is>
      </c>
      <c r="C43" s="10" t="inlineStr">
        <is>
          <t>661</t>
        </is>
      </c>
      <c r="D43" s="10" t="inlineStr">
        <is>
          <t>662</t>
        </is>
      </c>
      <c r="E43" s="35" t="n">
        <v>4</v>
      </c>
      <c r="F43" s="35" t="n">
        <v>13.5</v>
      </c>
      <c r="G43" s="35" t="n">
        <v>0</v>
      </c>
      <c r="H43" s="35" t="n">
        <v>15.5</v>
      </c>
      <c r="I43" s="10" t="inlineStr">
        <is>
          <t>450×550</t>
        </is>
      </c>
      <c r="J43" s="10" t="n">
        <v>4</v>
      </c>
      <c r="K43" s="10" t="n">
        <v>4</v>
      </c>
      <c r="L43" s="10" t="n">
        <v>0</v>
      </c>
      <c r="M43" s="10" t="inlineStr">
        <is>
          <t>Nº3 cerrado</t>
        </is>
      </c>
      <c r="N43" s="10" t="n">
        <v>2</v>
      </c>
      <c r="O43" s="35" t="n">
        <v>120</v>
      </c>
      <c r="P43" s="35" t="n">
        <v>240</v>
      </c>
      <c r="Q43" s="35" t="n">
        <v>0.2095384355541951</v>
      </c>
      <c r="R43" s="10" t="inlineStr">
        <is>
          <t>SÍ</t>
        </is>
      </c>
      <c r="S43" s="15" t="inlineStr">
        <is>
          <t>CUMPLE</t>
        </is>
      </c>
      <c r="T43" s="3" t="inlineStr">
        <is>
          <t>coordinar con planta y reanálisis global</t>
        </is>
      </c>
    </row>
    <row r="44">
      <c r="A44" s="16" t="inlineStr">
        <is>
          <t>VC2</t>
        </is>
      </c>
      <c r="B44" s="10" t="inlineStr">
        <is>
          <t>1039</t>
        </is>
      </c>
      <c r="C44" s="10" t="inlineStr">
        <is>
          <t>624</t>
        </is>
      </c>
      <c r="D44" s="10" t="inlineStr">
        <is>
          <t>625</t>
        </is>
      </c>
      <c r="E44" s="35" t="n">
        <v>4</v>
      </c>
      <c r="F44" s="35" t="n">
        <v>2</v>
      </c>
      <c r="G44" s="35" t="n">
        <v>36.2</v>
      </c>
      <c r="H44" s="35" t="n">
        <v>15.5</v>
      </c>
      <c r="I44" s="10" t="inlineStr">
        <is>
          <t>450×550</t>
        </is>
      </c>
      <c r="J44" s="10" t="n">
        <v>4</v>
      </c>
      <c r="K44" s="10" t="n">
        <v>4</v>
      </c>
      <c r="L44" s="10" t="n">
        <v>0</v>
      </c>
      <c r="M44" s="10" t="inlineStr">
        <is>
          <t>Nº3 cerrado</t>
        </is>
      </c>
      <c r="N44" s="10" t="n">
        <v>2</v>
      </c>
      <c r="O44" s="35" t="n">
        <v>120</v>
      </c>
      <c r="P44" s="35" t="n">
        <v>240</v>
      </c>
      <c r="Q44" s="35" t="n">
        <v>0.2095459808237203</v>
      </c>
      <c r="R44" s="10" t="inlineStr">
        <is>
          <t>SÍ</t>
        </is>
      </c>
      <c r="S44" s="15" t="inlineStr">
        <is>
          <t>CUMPLE</t>
        </is>
      </c>
      <c r="T44" s="3" t="inlineStr">
        <is>
          <t>coordinar con planta y reanálisis global</t>
        </is>
      </c>
    </row>
    <row r="45">
      <c r="A45" s="16" t="inlineStr">
        <is>
          <t>VC2</t>
        </is>
      </c>
      <c r="B45" s="10" t="inlineStr">
        <is>
          <t>1040</t>
        </is>
      </c>
      <c r="C45" s="10" t="inlineStr">
        <is>
          <t>649</t>
        </is>
      </c>
      <c r="D45" s="10" t="inlineStr">
        <is>
          <t>673</t>
        </is>
      </c>
      <c r="E45" s="35" t="n">
        <v>4</v>
      </c>
      <c r="F45" s="35" t="n">
        <v>13.5</v>
      </c>
      <c r="G45" s="35" t="n">
        <v>36.2</v>
      </c>
      <c r="H45" s="35" t="n">
        <v>15.5</v>
      </c>
      <c r="I45" s="10" t="inlineStr">
        <is>
          <t>450×550</t>
        </is>
      </c>
      <c r="J45" s="10" t="n">
        <v>4</v>
      </c>
      <c r="K45" s="10" t="n">
        <v>4</v>
      </c>
      <c r="L45" s="10" t="n">
        <v>0</v>
      </c>
      <c r="M45" s="10" t="inlineStr">
        <is>
          <t>Nº3 cerrado</t>
        </is>
      </c>
      <c r="N45" s="10" t="n">
        <v>2</v>
      </c>
      <c r="O45" s="35" t="n">
        <v>120</v>
      </c>
      <c r="P45" s="35" t="n">
        <v>240</v>
      </c>
      <c r="Q45" s="35" t="n">
        <v>0.209529668549996</v>
      </c>
      <c r="R45" s="10" t="inlineStr">
        <is>
          <t>SÍ</t>
        </is>
      </c>
      <c r="S45" s="15" t="inlineStr">
        <is>
          <t>CUMPLE</t>
        </is>
      </c>
      <c r="T45" s="3" t="inlineStr">
        <is>
          <t>coordinar con planta y reanálisis global</t>
        </is>
      </c>
    </row>
    <row r="46">
      <c r="A46" s="16" t="inlineStr">
        <is>
          <t>VC2</t>
        </is>
      </c>
      <c r="B46" s="10" t="inlineStr">
        <is>
          <t>1363</t>
        </is>
      </c>
      <c r="C46" s="10" t="inlineStr">
        <is>
          <t>151</t>
        </is>
      </c>
      <c r="D46" s="10" t="inlineStr">
        <is>
          <t>736</t>
        </is>
      </c>
      <c r="E46" s="35" t="n">
        <v>3.75</v>
      </c>
      <c r="F46" s="35" t="n">
        <v>5.875</v>
      </c>
      <c r="G46" s="35" t="n">
        <v>0</v>
      </c>
      <c r="H46" s="35" t="n">
        <v>6.5</v>
      </c>
      <c r="I46" s="10" t="inlineStr">
        <is>
          <t>450×550</t>
        </is>
      </c>
      <c r="J46" s="10" t="n">
        <v>4</v>
      </c>
      <c r="K46" s="10" t="n">
        <v>4</v>
      </c>
      <c r="L46" s="10" t="n">
        <v>0</v>
      </c>
      <c r="M46" s="10" t="inlineStr">
        <is>
          <t>Nº3 cerrado</t>
        </is>
      </c>
      <c r="N46" s="10" t="n">
        <v>2</v>
      </c>
      <c r="O46" s="35" t="n">
        <v>100</v>
      </c>
      <c r="P46" s="35" t="n">
        <v>100</v>
      </c>
      <c r="Q46" s="35" t="n">
        <v>0.4826393597087754</v>
      </c>
      <c r="R46" s="10" t="inlineStr">
        <is>
          <t>SÍ</t>
        </is>
      </c>
      <c r="S46" s="15" t="inlineStr">
        <is>
          <t>CUMPLE</t>
        </is>
      </c>
      <c r="T46" s="3" t="inlineStr">
        <is>
          <t>coordinar con planta y reanálisis global</t>
        </is>
      </c>
    </row>
    <row r="47">
      <c r="A47" s="16" t="inlineStr">
        <is>
          <t>VC2</t>
        </is>
      </c>
      <c r="B47" s="10" t="inlineStr">
        <is>
          <t>1364</t>
        </is>
      </c>
      <c r="C47" s="10" t="inlineStr">
        <is>
          <t>736</t>
        </is>
      </c>
      <c r="D47" s="10" t="inlineStr">
        <is>
          <t>175</t>
        </is>
      </c>
      <c r="E47" s="35" t="n">
        <v>3.75</v>
      </c>
      <c r="F47" s="35" t="n">
        <v>9.625</v>
      </c>
      <c r="G47" s="35" t="n">
        <v>0</v>
      </c>
      <c r="H47" s="35" t="n">
        <v>6.5</v>
      </c>
      <c r="I47" s="10" t="inlineStr">
        <is>
          <t>450×550</t>
        </is>
      </c>
      <c r="J47" s="10" t="n">
        <v>4</v>
      </c>
      <c r="K47" s="10" t="n">
        <v>4</v>
      </c>
      <c r="L47" s="10" t="n">
        <v>0</v>
      </c>
      <c r="M47" s="10" t="inlineStr">
        <is>
          <t>Nº3 cerrado</t>
        </is>
      </c>
      <c r="N47" s="10" t="n">
        <v>2</v>
      </c>
      <c r="O47" s="35" t="n">
        <v>100</v>
      </c>
      <c r="P47" s="35" t="n">
        <v>100</v>
      </c>
      <c r="Q47" s="35" t="n">
        <v>0.4826535680529255</v>
      </c>
      <c r="R47" s="10" t="inlineStr">
        <is>
          <t>SÍ</t>
        </is>
      </c>
      <c r="S47" s="15" t="inlineStr">
        <is>
          <t>CUMPLE</t>
        </is>
      </c>
      <c r="T47" s="3" t="inlineStr">
        <is>
          <t>coordinar con planta y reanálisis global</t>
        </is>
      </c>
    </row>
    <row r="48">
      <c r="A48" s="16" t="inlineStr">
        <is>
          <t>VC2</t>
        </is>
      </c>
      <c r="B48" s="10" t="inlineStr">
        <is>
          <t>1365</t>
        </is>
      </c>
      <c r="C48" s="10" t="inlineStr">
        <is>
          <t>139</t>
        </is>
      </c>
      <c r="D48" s="10" t="inlineStr">
        <is>
          <t>737</t>
        </is>
      </c>
      <c r="E48" s="35" t="n">
        <v>3.75</v>
      </c>
      <c r="F48" s="35" t="n">
        <v>5.875</v>
      </c>
      <c r="G48" s="35" t="n">
        <v>36.2</v>
      </c>
      <c r="H48" s="35" t="n">
        <v>6.5</v>
      </c>
      <c r="I48" s="10" t="inlineStr">
        <is>
          <t>450×550</t>
        </is>
      </c>
      <c r="J48" s="10" t="n">
        <v>4</v>
      </c>
      <c r="K48" s="10" t="n">
        <v>4</v>
      </c>
      <c r="L48" s="10" t="n">
        <v>0</v>
      </c>
      <c r="M48" s="10" t="inlineStr">
        <is>
          <t>Nº3 cerrado</t>
        </is>
      </c>
      <c r="N48" s="10" t="n">
        <v>2</v>
      </c>
      <c r="O48" s="35" t="n">
        <v>100</v>
      </c>
      <c r="P48" s="35" t="n">
        <v>100</v>
      </c>
      <c r="Q48" s="35" t="n">
        <v>0.4826948649869585</v>
      </c>
      <c r="R48" s="10" t="inlineStr">
        <is>
          <t>SÍ</t>
        </is>
      </c>
      <c r="S48" s="15" t="inlineStr">
        <is>
          <t>CUMPLE</t>
        </is>
      </c>
      <c r="T48" s="3" t="inlineStr">
        <is>
          <t>coordinar con planta y reanálisis global</t>
        </is>
      </c>
    </row>
    <row r="49">
      <c r="A49" s="16" t="inlineStr">
        <is>
          <t>VC2</t>
        </is>
      </c>
      <c r="B49" s="10" t="inlineStr">
        <is>
          <t>1366</t>
        </is>
      </c>
      <c r="C49" s="10" t="inlineStr">
        <is>
          <t>737</t>
        </is>
      </c>
      <c r="D49" s="10" t="inlineStr">
        <is>
          <t>163</t>
        </is>
      </c>
      <c r="E49" s="35" t="n">
        <v>3.75</v>
      </c>
      <c r="F49" s="35" t="n">
        <v>9.625</v>
      </c>
      <c r="G49" s="35" t="n">
        <v>36.2</v>
      </c>
      <c r="H49" s="35" t="n">
        <v>6.5</v>
      </c>
      <c r="I49" s="10" t="inlineStr">
        <is>
          <t>450×550</t>
        </is>
      </c>
      <c r="J49" s="10" t="n">
        <v>4</v>
      </c>
      <c r="K49" s="10" t="n">
        <v>4</v>
      </c>
      <c r="L49" s="10" t="n">
        <v>0</v>
      </c>
      <c r="M49" s="10" t="inlineStr">
        <is>
          <t>Nº3 cerrado</t>
        </is>
      </c>
      <c r="N49" s="10" t="n">
        <v>2</v>
      </c>
      <c r="O49" s="35" t="n">
        <v>100</v>
      </c>
      <c r="P49" s="35" t="n">
        <v>100</v>
      </c>
      <c r="Q49" s="35" t="n">
        <v>0.4826750681972168</v>
      </c>
      <c r="R49" s="10" t="inlineStr">
        <is>
          <t>SÍ</t>
        </is>
      </c>
      <c r="S49" s="15" t="inlineStr">
        <is>
          <t>CUMPLE</t>
        </is>
      </c>
      <c r="T49" s="3" t="inlineStr">
        <is>
          <t>coordinar con planta y reanálisis global</t>
        </is>
      </c>
    </row>
    <row r="50">
      <c r="A50" s="16" t="inlineStr">
        <is>
          <t>VC2</t>
        </is>
      </c>
      <c r="B50" s="10" t="inlineStr">
        <is>
          <t>1367</t>
        </is>
      </c>
      <c r="C50" s="10" t="inlineStr">
        <is>
          <t>515</t>
        </is>
      </c>
      <c r="D50" s="10" t="inlineStr">
        <is>
          <t>738</t>
        </is>
      </c>
      <c r="E50" s="35" t="n">
        <v>3.75</v>
      </c>
      <c r="F50" s="35" t="n">
        <v>5.875</v>
      </c>
      <c r="G50" s="35" t="n">
        <v>0</v>
      </c>
      <c r="H50" s="35" t="n">
        <v>9.5</v>
      </c>
      <c r="I50" s="10" t="inlineStr">
        <is>
          <t>450×550</t>
        </is>
      </c>
      <c r="J50" s="10" t="n">
        <v>4</v>
      </c>
      <c r="K50" s="10" t="n">
        <v>4</v>
      </c>
      <c r="L50" s="10" t="n">
        <v>0</v>
      </c>
      <c r="M50" s="10" t="inlineStr">
        <is>
          <t>Nº3 cerrado</t>
        </is>
      </c>
      <c r="N50" s="10" t="n">
        <v>2</v>
      </c>
      <c r="O50" s="35" t="n">
        <v>120</v>
      </c>
      <c r="P50" s="35" t="n">
        <v>160</v>
      </c>
      <c r="Q50" s="35" t="n">
        <v>0.3845902634485874</v>
      </c>
      <c r="R50" s="10" t="inlineStr">
        <is>
          <t>SÍ</t>
        </is>
      </c>
      <c r="S50" s="15" t="inlineStr">
        <is>
          <t>CUMPLE</t>
        </is>
      </c>
      <c r="T50" s="3" t="inlineStr">
        <is>
          <t>coordinar con planta y reanálisis global</t>
        </is>
      </c>
    </row>
    <row r="51">
      <c r="A51" s="16" t="inlineStr">
        <is>
          <t>VC2</t>
        </is>
      </c>
      <c r="B51" s="10" t="inlineStr">
        <is>
          <t>1368</t>
        </is>
      </c>
      <c r="C51" s="10" t="inlineStr">
        <is>
          <t>738</t>
        </is>
      </c>
      <c r="D51" s="10" t="inlineStr">
        <is>
          <t>539</t>
        </is>
      </c>
      <c r="E51" s="35" t="n">
        <v>3.75</v>
      </c>
      <c r="F51" s="35" t="n">
        <v>9.625</v>
      </c>
      <c r="G51" s="35" t="n">
        <v>0</v>
      </c>
      <c r="H51" s="35" t="n">
        <v>9.5</v>
      </c>
      <c r="I51" s="10" t="inlineStr">
        <is>
          <t>450×550</t>
        </is>
      </c>
      <c r="J51" s="10" t="n">
        <v>4</v>
      </c>
      <c r="K51" s="10" t="n">
        <v>4</v>
      </c>
      <c r="L51" s="10" t="n">
        <v>0</v>
      </c>
      <c r="M51" s="10" t="inlineStr">
        <is>
          <t>Nº3 cerrado</t>
        </is>
      </c>
      <c r="N51" s="10" t="n">
        <v>2</v>
      </c>
      <c r="O51" s="35" t="n">
        <v>120</v>
      </c>
      <c r="P51" s="35" t="n">
        <v>160</v>
      </c>
      <c r="Q51" s="35" t="n">
        <v>0.3846145086722936</v>
      </c>
      <c r="R51" s="10" t="inlineStr">
        <is>
          <t>SÍ</t>
        </is>
      </c>
      <c r="S51" s="15" t="inlineStr">
        <is>
          <t>CUMPLE</t>
        </is>
      </c>
      <c r="T51" s="3" t="inlineStr">
        <is>
          <t>coordinar con planta y reanálisis global</t>
        </is>
      </c>
    </row>
    <row r="52">
      <c r="A52" s="16" t="inlineStr">
        <is>
          <t>VC2</t>
        </is>
      </c>
      <c r="B52" s="10" t="inlineStr">
        <is>
          <t>1369</t>
        </is>
      </c>
      <c r="C52" s="10" t="inlineStr">
        <is>
          <t>503</t>
        </is>
      </c>
      <c r="D52" s="10" t="inlineStr">
        <is>
          <t>739</t>
        </is>
      </c>
      <c r="E52" s="35" t="n">
        <v>3.75</v>
      </c>
      <c r="F52" s="35" t="n">
        <v>5.875</v>
      </c>
      <c r="G52" s="35" t="n">
        <v>36.2</v>
      </c>
      <c r="H52" s="35" t="n">
        <v>9.5</v>
      </c>
      <c r="I52" s="10" t="inlineStr">
        <is>
          <t>450×550</t>
        </is>
      </c>
      <c r="J52" s="10" t="n">
        <v>4</v>
      </c>
      <c r="K52" s="10" t="n">
        <v>4</v>
      </c>
      <c r="L52" s="10" t="n">
        <v>0</v>
      </c>
      <c r="M52" s="10" t="inlineStr">
        <is>
          <t>Nº3 cerrado</t>
        </is>
      </c>
      <c r="N52" s="10" t="n">
        <v>2</v>
      </c>
      <c r="O52" s="35" t="n">
        <v>120</v>
      </c>
      <c r="P52" s="35" t="n">
        <v>160</v>
      </c>
      <c r="Q52" s="35" t="n">
        <v>0.3846475127852982</v>
      </c>
      <c r="R52" s="10" t="inlineStr">
        <is>
          <t>SÍ</t>
        </is>
      </c>
      <c r="S52" s="15" t="inlineStr">
        <is>
          <t>CUMPLE</t>
        </is>
      </c>
      <c r="T52" s="3" t="inlineStr">
        <is>
          <t>coordinar con planta y reanálisis global</t>
        </is>
      </c>
    </row>
    <row r="53">
      <c r="A53" s="16" t="inlineStr">
        <is>
          <t>VC2</t>
        </is>
      </c>
      <c r="B53" s="10" t="inlineStr">
        <is>
          <t>1370</t>
        </is>
      </c>
      <c r="C53" s="10" t="inlineStr">
        <is>
          <t>739</t>
        </is>
      </c>
      <c r="D53" s="10" t="inlineStr">
        <is>
          <t>527</t>
        </is>
      </c>
      <c r="E53" s="35" t="n">
        <v>3.75</v>
      </c>
      <c r="F53" s="35" t="n">
        <v>9.625</v>
      </c>
      <c r="G53" s="35" t="n">
        <v>36.2</v>
      </c>
      <c r="H53" s="35" t="n">
        <v>9.5</v>
      </c>
      <c r="I53" s="10" t="inlineStr">
        <is>
          <t>450×550</t>
        </is>
      </c>
      <c r="J53" s="10" t="n">
        <v>4</v>
      </c>
      <c r="K53" s="10" t="n">
        <v>4</v>
      </c>
      <c r="L53" s="10" t="n">
        <v>0</v>
      </c>
      <c r="M53" s="10" t="inlineStr">
        <is>
          <t>Nº3 cerrado</t>
        </is>
      </c>
      <c r="N53" s="10" t="n">
        <v>2</v>
      </c>
      <c r="O53" s="35" t="n">
        <v>120</v>
      </c>
      <c r="P53" s="35" t="n">
        <v>160</v>
      </c>
      <c r="Q53" s="35" t="n">
        <v>0.3846261142942061</v>
      </c>
      <c r="R53" s="10" t="inlineStr">
        <is>
          <t>SÍ</t>
        </is>
      </c>
      <c r="S53" s="15" t="inlineStr">
        <is>
          <t>CUMPLE</t>
        </is>
      </c>
      <c r="T53" s="3" t="inlineStr">
        <is>
          <t>coordinar con planta y reanálisis global</t>
        </is>
      </c>
    </row>
    <row r="54">
      <c r="A54" s="16" t="inlineStr">
        <is>
          <t>VC2</t>
        </is>
      </c>
      <c r="B54" s="10" t="inlineStr">
        <is>
          <t>1371</t>
        </is>
      </c>
      <c r="C54" s="10" t="inlineStr">
        <is>
          <t>576</t>
        </is>
      </c>
      <c r="D54" s="10" t="inlineStr">
        <is>
          <t>740</t>
        </is>
      </c>
      <c r="E54" s="35" t="n">
        <v>3.75</v>
      </c>
      <c r="F54" s="35" t="n">
        <v>5.875</v>
      </c>
      <c r="G54" s="35" t="n">
        <v>0</v>
      </c>
      <c r="H54" s="35" t="n">
        <v>12.5</v>
      </c>
      <c r="I54" s="10" t="inlineStr">
        <is>
          <t>450×550</t>
        </is>
      </c>
      <c r="J54" s="10" t="n">
        <v>4</v>
      </c>
      <c r="K54" s="10" t="n">
        <v>4</v>
      </c>
      <c r="L54" s="10" t="n">
        <v>0</v>
      </c>
      <c r="M54" s="10" t="inlineStr">
        <is>
          <t>Nº3 cerrado</t>
        </is>
      </c>
      <c r="N54" s="10" t="n">
        <v>2</v>
      </c>
      <c r="O54" s="35" t="n">
        <v>120</v>
      </c>
      <c r="P54" s="35" t="n">
        <v>240</v>
      </c>
      <c r="Q54" s="35" t="n">
        <v>0.2595318344536927</v>
      </c>
      <c r="R54" s="10" t="inlineStr">
        <is>
          <t>SÍ</t>
        </is>
      </c>
      <c r="S54" s="15" t="inlineStr">
        <is>
          <t>CUMPLE</t>
        </is>
      </c>
      <c r="T54" s="3" t="inlineStr">
        <is>
          <t>coordinar con planta y reanálisis global</t>
        </is>
      </c>
    </row>
    <row r="55">
      <c r="A55" s="16" t="inlineStr">
        <is>
          <t>VC2</t>
        </is>
      </c>
      <c r="B55" s="10" t="inlineStr">
        <is>
          <t>1372</t>
        </is>
      </c>
      <c r="C55" s="10" t="inlineStr">
        <is>
          <t>740</t>
        </is>
      </c>
      <c r="D55" s="10" t="inlineStr">
        <is>
          <t>600</t>
        </is>
      </c>
      <c r="E55" s="35" t="n">
        <v>3.75</v>
      </c>
      <c r="F55" s="35" t="n">
        <v>9.625</v>
      </c>
      <c r="G55" s="35" t="n">
        <v>0</v>
      </c>
      <c r="H55" s="35" t="n">
        <v>12.5</v>
      </c>
      <c r="I55" s="10" t="inlineStr">
        <is>
          <t>450×550</t>
        </is>
      </c>
      <c r="J55" s="10" t="n">
        <v>4</v>
      </c>
      <c r="K55" s="10" t="n">
        <v>4</v>
      </c>
      <c r="L55" s="10" t="n">
        <v>0</v>
      </c>
      <c r="M55" s="10" t="inlineStr">
        <is>
          <t>Nº3 cerrado</t>
        </is>
      </c>
      <c r="N55" s="10" t="n">
        <v>2</v>
      </c>
      <c r="O55" s="35" t="n">
        <v>120</v>
      </c>
      <c r="P55" s="35" t="n">
        <v>240</v>
      </c>
      <c r="Q55" s="35" t="n">
        <v>0.2595628884727956</v>
      </c>
      <c r="R55" s="10" t="inlineStr">
        <is>
          <t>SÍ</t>
        </is>
      </c>
      <c r="S55" s="15" t="inlineStr">
        <is>
          <t>CUMPLE</t>
        </is>
      </c>
      <c r="T55" s="3" t="inlineStr">
        <is>
          <t>coordinar con planta y reanálisis global</t>
        </is>
      </c>
    </row>
    <row r="56">
      <c r="A56" s="16" t="inlineStr">
        <is>
          <t>VC2</t>
        </is>
      </c>
      <c r="B56" s="10" t="inlineStr">
        <is>
          <t>1373</t>
        </is>
      </c>
      <c r="C56" s="10" t="inlineStr">
        <is>
          <t>564</t>
        </is>
      </c>
      <c r="D56" s="10" t="inlineStr">
        <is>
          <t>741</t>
        </is>
      </c>
      <c r="E56" s="35" t="n">
        <v>3.75</v>
      </c>
      <c r="F56" s="35" t="n">
        <v>5.875</v>
      </c>
      <c r="G56" s="35" t="n">
        <v>36.2</v>
      </c>
      <c r="H56" s="35" t="n">
        <v>12.5</v>
      </c>
      <c r="I56" s="10" t="inlineStr">
        <is>
          <t>450×550</t>
        </is>
      </c>
      <c r="J56" s="10" t="n">
        <v>4</v>
      </c>
      <c r="K56" s="10" t="n">
        <v>4</v>
      </c>
      <c r="L56" s="10" t="n">
        <v>0</v>
      </c>
      <c r="M56" s="10" t="inlineStr">
        <is>
          <t>Nº3 cerrado</t>
        </is>
      </c>
      <c r="N56" s="10" t="n">
        <v>2</v>
      </c>
      <c r="O56" s="35" t="n">
        <v>120</v>
      </c>
      <c r="P56" s="35" t="n">
        <v>240</v>
      </c>
      <c r="Q56" s="35" t="n">
        <v>0.259589771959273</v>
      </c>
      <c r="R56" s="10" t="inlineStr">
        <is>
          <t>SÍ</t>
        </is>
      </c>
      <c r="S56" s="15" t="inlineStr">
        <is>
          <t>CUMPLE</t>
        </is>
      </c>
      <c r="T56" s="3" t="inlineStr">
        <is>
          <t>coordinar con planta y reanálisis global</t>
        </is>
      </c>
    </row>
    <row r="57">
      <c r="A57" s="16" t="inlineStr">
        <is>
          <t>VC2</t>
        </is>
      </c>
      <c r="B57" s="10" t="inlineStr">
        <is>
          <t>1374</t>
        </is>
      </c>
      <c r="C57" s="10" t="inlineStr">
        <is>
          <t>741</t>
        </is>
      </c>
      <c r="D57" s="10" t="inlineStr">
        <is>
          <t>588</t>
        </is>
      </c>
      <c r="E57" s="35" t="n">
        <v>3.75</v>
      </c>
      <c r="F57" s="35" t="n">
        <v>9.625</v>
      </c>
      <c r="G57" s="35" t="n">
        <v>36.2</v>
      </c>
      <c r="H57" s="35" t="n">
        <v>12.5</v>
      </c>
      <c r="I57" s="10" t="inlineStr">
        <is>
          <t>450×550</t>
        </is>
      </c>
      <c r="J57" s="10" t="n">
        <v>4</v>
      </c>
      <c r="K57" s="10" t="n">
        <v>4</v>
      </c>
      <c r="L57" s="10" t="n">
        <v>0</v>
      </c>
      <c r="M57" s="10" t="inlineStr">
        <is>
          <t>Nº3 cerrado</t>
        </is>
      </c>
      <c r="N57" s="10" t="n">
        <v>2</v>
      </c>
      <c r="O57" s="35" t="n">
        <v>120</v>
      </c>
      <c r="P57" s="35" t="n">
        <v>240</v>
      </c>
      <c r="Q57" s="35" t="n">
        <v>0.2595669478801247</v>
      </c>
      <c r="R57" s="10" t="inlineStr">
        <is>
          <t>SÍ</t>
        </is>
      </c>
      <c r="S57" s="15" t="inlineStr">
        <is>
          <t>CUMPLE</t>
        </is>
      </c>
      <c r="T57" s="3" t="inlineStr">
        <is>
          <t>coordinar con planta y reanálisis global</t>
        </is>
      </c>
    </row>
    <row r="58">
      <c r="A58" s="16" t="inlineStr">
        <is>
          <t>VC2</t>
        </is>
      </c>
      <c r="B58" s="10" t="inlineStr">
        <is>
          <t>1375</t>
        </is>
      </c>
      <c r="C58" s="10" t="inlineStr">
        <is>
          <t>637</t>
        </is>
      </c>
      <c r="D58" s="10" t="inlineStr">
        <is>
          <t>742</t>
        </is>
      </c>
      <c r="E58" s="35" t="n">
        <v>3.75</v>
      </c>
      <c r="F58" s="35" t="n">
        <v>5.875</v>
      </c>
      <c r="G58" s="35" t="n">
        <v>0</v>
      </c>
      <c r="H58" s="35" t="n">
        <v>15.5</v>
      </c>
      <c r="I58" s="10" t="inlineStr">
        <is>
          <t>450×550</t>
        </is>
      </c>
      <c r="J58" s="10" t="n">
        <v>4</v>
      </c>
      <c r="K58" s="10" t="n">
        <v>4</v>
      </c>
      <c r="L58" s="10" t="n">
        <v>0</v>
      </c>
      <c r="M58" s="10" t="inlineStr">
        <is>
          <t>Nº3 cerrado</t>
        </is>
      </c>
      <c r="N58" s="10" t="n">
        <v>2</v>
      </c>
      <c r="O58" s="35" t="n">
        <v>120</v>
      </c>
      <c r="P58" s="35" t="n">
        <v>240</v>
      </c>
      <c r="Q58" s="35" t="n">
        <v>0.2184291299841784</v>
      </c>
      <c r="R58" s="10" t="inlineStr">
        <is>
          <t>SÍ</t>
        </is>
      </c>
      <c r="S58" s="15" t="inlineStr">
        <is>
          <t>CUMPLE</t>
        </is>
      </c>
      <c r="T58" s="3" t="inlineStr">
        <is>
          <t>coordinar con planta y reanálisis global</t>
        </is>
      </c>
    </row>
    <row r="59">
      <c r="A59" s="16" t="inlineStr">
        <is>
          <t>VC2</t>
        </is>
      </c>
      <c r="B59" s="10" t="inlineStr">
        <is>
          <t>1376</t>
        </is>
      </c>
      <c r="C59" s="10" t="inlineStr">
        <is>
          <t>742</t>
        </is>
      </c>
      <c r="D59" s="10" t="inlineStr">
        <is>
          <t>661</t>
        </is>
      </c>
      <c r="E59" s="35" t="n">
        <v>3.75</v>
      </c>
      <c r="F59" s="35" t="n">
        <v>9.625</v>
      </c>
      <c r="G59" s="35" t="n">
        <v>0</v>
      </c>
      <c r="H59" s="35" t="n">
        <v>15.5</v>
      </c>
      <c r="I59" s="10" t="inlineStr">
        <is>
          <t>450×550</t>
        </is>
      </c>
      <c r="J59" s="10" t="n">
        <v>4</v>
      </c>
      <c r="K59" s="10" t="n">
        <v>4</v>
      </c>
      <c r="L59" s="10" t="n">
        <v>0</v>
      </c>
      <c r="M59" s="10" t="inlineStr">
        <is>
          <t>Nº3 cerrado</t>
        </is>
      </c>
      <c r="N59" s="10" t="n">
        <v>2</v>
      </c>
      <c r="O59" s="35" t="n">
        <v>120</v>
      </c>
      <c r="P59" s="35" t="n">
        <v>240</v>
      </c>
      <c r="Q59" s="35" t="n">
        <v>0.2184513666792457</v>
      </c>
      <c r="R59" s="10" t="inlineStr">
        <is>
          <t>SÍ</t>
        </is>
      </c>
      <c r="S59" s="15" t="inlineStr">
        <is>
          <t>CUMPLE</t>
        </is>
      </c>
      <c r="T59" s="3" t="inlineStr">
        <is>
          <t>coordinar con planta y reanálisis global</t>
        </is>
      </c>
    </row>
    <row r="60">
      <c r="A60" s="16" t="inlineStr">
        <is>
          <t>VC2</t>
        </is>
      </c>
      <c r="B60" s="10" t="inlineStr">
        <is>
          <t>1377</t>
        </is>
      </c>
      <c r="C60" s="10" t="inlineStr">
        <is>
          <t>625</t>
        </is>
      </c>
      <c r="D60" s="10" t="inlineStr">
        <is>
          <t>743</t>
        </is>
      </c>
      <c r="E60" s="35" t="n">
        <v>3.75</v>
      </c>
      <c r="F60" s="35" t="n">
        <v>5.875</v>
      </c>
      <c r="G60" s="35" t="n">
        <v>36.2</v>
      </c>
      <c r="H60" s="35" t="n">
        <v>15.5</v>
      </c>
      <c r="I60" s="10" t="inlineStr">
        <is>
          <t>450×550</t>
        </is>
      </c>
      <c r="J60" s="10" t="n">
        <v>4</v>
      </c>
      <c r="K60" s="10" t="n">
        <v>4</v>
      </c>
      <c r="L60" s="10" t="n">
        <v>0</v>
      </c>
      <c r="M60" s="10" t="inlineStr">
        <is>
          <t>Nº3 cerrado</t>
        </is>
      </c>
      <c r="N60" s="10" t="n">
        <v>2</v>
      </c>
      <c r="O60" s="35" t="n">
        <v>120</v>
      </c>
      <c r="P60" s="35" t="n">
        <v>240</v>
      </c>
      <c r="Q60" s="35" t="n">
        <v>0.2184488394168498</v>
      </c>
      <c r="R60" s="10" t="inlineStr">
        <is>
          <t>SÍ</t>
        </is>
      </c>
      <c r="S60" s="15" t="inlineStr">
        <is>
          <t>CUMPLE</t>
        </is>
      </c>
      <c r="T60" s="3" t="inlineStr">
        <is>
          <t>coordinar con planta y reanálisis global</t>
        </is>
      </c>
    </row>
    <row r="61">
      <c r="A61" s="16" t="inlineStr">
        <is>
          <t>VC2</t>
        </is>
      </c>
      <c r="B61" s="10" t="inlineStr">
        <is>
          <t>1378</t>
        </is>
      </c>
      <c r="C61" s="10" t="inlineStr">
        <is>
          <t>743</t>
        </is>
      </c>
      <c r="D61" s="10" t="inlineStr">
        <is>
          <t>649</t>
        </is>
      </c>
      <c r="E61" s="35" t="n">
        <v>3.75</v>
      </c>
      <c r="F61" s="35" t="n">
        <v>9.625</v>
      </c>
      <c r="G61" s="35" t="n">
        <v>36.2</v>
      </c>
      <c r="H61" s="35" t="n">
        <v>15.5</v>
      </c>
      <c r="I61" s="10" t="inlineStr">
        <is>
          <t>450×550</t>
        </is>
      </c>
      <c r="J61" s="10" t="n">
        <v>4</v>
      </c>
      <c r="K61" s="10" t="n">
        <v>4</v>
      </c>
      <c r="L61" s="10" t="n">
        <v>0</v>
      </c>
      <c r="M61" s="10" t="inlineStr">
        <is>
          <t>Nº3 cerrado</t>
        </is>
      </c>
      <c r="N61" s="10" t="n">
        <v>2</v>
      </c>
      <c r="O61" s="35" t="n">
        <v>120</v>
      </c>
      <c r="P61" s="35" t="n">
        <v>240</v>
      </c>
      <c r="Q61" s="35" t="n">
        <v>0.2184325037394018</v>
      </c>
      <c r="R61" s="10" t="inlineStr">
        <is>
          <t>SÍ</t>
        </is>
      </c>
      <c r="S61" s="15" t="inlineStr">
        <is>
          <t>CUMPLE</t>
        </is>
      </c>
      <c r="T61" s="3" t="inlineStr">
        <is>
          <t>coordinar con planta y reanálisis global</t>
        </is>
      </c>
    </row>
    <row r="62">
      <c r="A62" s="17" t="inlineStr">
        <is>
          <t>VC3</t>
        </is>
      </c>
      <c r="B62" s="10" t="inlineStr">
        <is>
          <t>57</t>
        </is>
      </c>
      <c r="C62" s="10" t="inlineStr">
        <is>
          <t>2</t>
        </is>
      </c>
      <c r="D62" s="10" t="inlineStr">
        <is>
          <t>24</t>
        </is>
      </c>
      <c r="E62" s="35" t="n">
        <v>4</v>
      </c>
      <c r="F62" s="35" t="n">
        <v>2</v>
      </c>
      <c r="G62" s="35" t="n">
        <v>2.6</v>
      </c>
      <c r="H62" s="35" t="n">
        <v>3.5</v>
      </c>
      <c r="I62" s="10" t="inlineStr">
        <is>
          <t>450×550</t>
        </is>
      </c>
      <c r="J62" s="10" t="n">
        <v>5</v>
      </c>
      <c r="K62" s="10" t="n">
        <v>5</v>
      </c>
      <c r="L62" s="10" t="n">
        <v>0</v>
      </c>
      <c r="M62" s="10" t="inlineStr">
        <is>
          <t>Nº3 cerrado</t>
        </is>
      </c>
      <c r="N62" s="10" t="n">
        <v>2</v>
      </c>
      <c r="O62" s="35" t="n">
        <v>80</v>
      </c>
      <c r="P62" s="35" t="n">
        <v>80</v>
      </c>
      <c r="Q62" s="35" t="n">
        <v>0.5471507030051004</v>
      </c>
      <c r="R62" s="10" t="inlineStr">
        <is>
          <t>SÍ</t>
        </is>
      </c>
      <c r="S62" s="15" t="inlineStr">
        <is>
          <t>CUMPLE</t>
        </is>
      </c>
      <c r="T62" s="3" t="inlineStr">
        <is>
          <t>coordinar con planta y reanálisis global</t>
        </is>
      </c>
    </row>
    <row r="63">
      <c r="A63" s="17" t="inlineStr">
        <is>
          <t>VC3</t>
        </is>
      </c>
      <c r="B63" s="10" t="inlineStr">
        <is>
          <t>58</t>
        </is>
      </c>
      <c r="C63" s="10" t="inlineStr">
        <is>
          <t>24</t>
        </is>
      </c>
      <c r="D63" s="10" t="inlineStr">
        <is>
          <t>26</t>
        </is>
      </c>
      <c r="E63" s="35" t="n">
        <v>3.81477</v>
      </c>
      <c r="F63" s="35" t="n">
        <v>5.875</v>
      </c>
      <c r="G63" s="35" t="n">
        <v>2.95</v>
      </c>
      <c r="H63" s="35" t="n">
        <v>3.5</v>
      </c>
      <c r="I63" s="10" t="inlineStr">
        <is>
          <t>450×550</t>
        </is>
      </c>
      <c r="J63" s="10" t="n">
        <v>5</v>
      </c>
      <c r="K63" s="10" t="n">
        <v>4</v>
      </c>
      <c r="L63" s="10" t="n">
        <v>8</v>
      </c>
      <c r="M63" s="10" t="inlineStr">
        <is>
          <t>Nº4 cerrado</t>
        </is>
      </c>
      <c r="N63" s="10" t="n">
        <v>2</v>
      </c>
      <c r="O63" s="35" t="n">
        <v>120</v>
      </c>
      <c r="P63" s="35" t="n">
        <v>120</v>
      </c>
      <c r="Q63" s="35" t="n">
        <v>0.5817856217262671</v>
      </c>
      <c r="R63" s="10" t="inlineStr">
        <is>
          <t>SÍ</t>
        </is>
      </c>
      <c r="S63" s="15" t="inlineStr">
        <is>
          <t>CUMPLE</t>
        </is>
      </c>
      <c r="T63" s="3" t="inlineStr">
        <is>
          <t>coordinar con planta y reanálisis global</t>
        </is>
      </c>
    </row>
    <row r="64">
      <c r="A64" s="17" t="inlineStr">
        <is>
          <t>VC3</t>
        </is>
      </c>
      <c r="B64" s="10" t="inlineStr">
        <is>
          <t>59</t>
        </is>
      </c>
      <c r="C64" s="10" t="inlineStr">
        <is>
          <t>26</t>
        </is>
      </c>
      <c r="D64" s="10" t="inlineStr">
        <is>
          <t>48</t>
        </is>
      </c>
      <c r="E64" s="35" t="n">
        <v>3.81477</v>
      </c>
      <c r="F64" s="35" t="n">
        <v>9.625</v>
      </c>
      <c r="G64" s="35" t="n">
        <v>2.95</v>
      </c>
      <c r="H64" s="35" t="n">
        <v>3.5</v>
      </c>
      <c r="I64" s="10" t="inlineStr">
        <is>
          <t>450×550</t>
        </is>
      </c>
      <c r="J64" s="10" t="n">
        <v>5</v>
      </c>
      <c r="K64" s="10" t="n">
        <v>4</v>
      </c>
      <c r="L64" s="10" t="n">
        <v>8</v>
      </c>
      <c r="M64" s="10" t="inlineStr">
        <is>
          <t>Nº4 cerrado</t>
        </is>
      </c>
      <c r="N64" s="10" t="n">
        <v>2</v>
      </c>
      <c r="O64" s="35" t="n">
        <v>120</v>
      </c>
      <c r="P64" s="35" t="n">
        <v>120</v>
      </c>
      <c r="Q64" s="35" t="n">
        <v>0.5817579086067266</v>
      </c>
      <c r="R64" s="10" t="inlineStr">
        <is>
          <t>SÍ</t>
        </is>
      </c>
      <c r="S64" s="15" t="inlineStr">
        <is>
          <t>CUMPLE</t>
        </is>
      </c>
      <c r="T64" s="3" t="inlineStr">
        <is>
          <t>coordinar con planta y reanálisis global</t>
        </is>
      </c>
    </row>
    <row r="65">
      <c r="A65" s="17" t="inlineStr">
        <is>
          <t>VC3</t>
        </is>
      </c>
      <c r="B65" s="10" t="inlineStr">
        <is>
          <t>60</t>
        </is>
      </c>
      <c r="C65" s="10" t="inlineStr">
        <is>
          <t>48</t>
        </is>
      </c>
      <c r="D65" s="10" t="inlineStr">
        <is>
          <t>51</t>
        </is>
      </c>
      <c r="E65" s="35" t="n">
        <v>4</v>
      </c>
      <c r="F65" s="35" t="n">
        <v>13.5</v>
      </c>
      <c r="G65" s="35" t="n">
        <v>2.6</v>
      </c>
      <c r="H65" s="35" t="n">
        <v>3.5</v>
      </c>
      <c r="I65" s="10" t="inlineStr">
        <is>
          <t>450×550</t>
        </is>
      </c>
      <c r="J65" s="10" t="n">
        <v>5</v>
      </c>
      <c r="K65" s="10" t="n">
        <v>5</v>
      </c>
      <c r="L65" s="10" t="n">
        <v>0</v>
      </c>
      <c r="M65" s="10" t="inlineStr">
        <is>
          <t>Nº3 cerrado</t>
        </is>
      </c>
      <c r="N65" s="10" t="n">
        <v>2</v>
      </c>
      <c r="O65" s="35" t="n">
        <v>80</v>
      </c>
      <c r="P65" s="35" t="n">
        <v>80</v>
      </c>
      <c r="Q65" s="35" t="n">
        <v>0.5471633782648385</v>
      </c>
      <c r="R65" s="10" t="inlineStr">
        <is>
          <t>SÍ</t>
        </is>
      </c>
      <c r="S65" s="15" t="inlineStr">
        <is>
          <t>CUMPLE</t>
        </is>
      </c>
      <c r="T65" s="3" t="inlineStr">
        <is>
          <t>coordinar con planta y reanálisis global</t>
        </is>
      </c>
    </row>
    <row r="66">
      <c r="A66" s="17" t="inlineStr">
        <is>
          <t>VC3</t>
        </is>
      </c>
      <c r="B66" s="10" t="inlineStr">
        <is>
          <t>89</t>
        </is>
      </c>
      <c r="C66" s="10" t="inlineStr">
        <is>
          <t>11</t>
        </is>
      </c>
      <c r="D66" s="10" t="inlineStr">
        <is>
          <t>14</t>
        </is>
      </c>
      <c r="E66" s="35" t="n">
        <v>4</v>
      </c>
      <c r="F66" s="35" t="n">
        <v>2</v>
      </c>
      <c r="G66" s="35" t="n">
        <v>33.6</v>
      </c>
      <c r="H66" s="35" t="n">
        <v>3.5</v>
      </c>
      <c r="I66" s="10" t="inlineStr">
        <is>
          <t>450×550</t>
        </is>
      </c>
      <c r="J66" s="10" t="n">
        <v>5</v>
      </c>
      <c r="K66" s="10" t="n">
        <v>5</v>
      </c>
      <c r="L66" s="10" t="n">
        <v>0</v>
      </c>
      <c r="M66" s="10" t="inlineStr">
        <is>
          <t>Nº3 cerrado</t>
        </is>
      </c>
      <c r="N66" s="10" t="n">
        <v>2</v>
      </c>
      <c r="O66" s="35" t="n">
        <v>80</v>
      </c>
      <c r="P66" s="35" t="n">
        <v>80</v>
      </c>
      <c r="Q66" s="35" t="n">
        <v>0.5471471022937389</v>
      </c>
      <c r="R66" s="10" t="inlineStr">
        <is>
          <t>SÍ</t>
        </is>
      </c>
      <c r="S66" s="15" t="inlineStr">
        <is>
          <t>CUMPLE</t>
        </is>
      </c>
      <c r="T66" s="3" t="inlineStr">
        <is>
          <t>coordinar con planta y reanálisis global</t>
        </is>
      </c>
    </row>
    <row r="67">
      <c r="A67" s="17" t="inlineStr">
        <is>
          <t>VC3</t>
        </is>
      </c>
      <c r="B67" s="10" t="inlineStr">
        <is>
          <t>90</t>
        </is>
      </c>
      <c r="C67" s="10" t="inlineStr">
        <is>
          <t>14</t>
        </is>
      </c>
      <c r="D67" s="10" t="inlineStr">
        <is>
          <t>36</t>
        </is>
      </c>
      <c r="E67" s="35" t="n">
        <v>3.81477</v>
      </c>
      <c r="F67" s="35" t="n">
        <v>5.875</v>
      </c>
      <c r="G67" s="35" t="n">
        <v>33.25</v>
      </c>
      <c r="H67" s="35" t="n">
        <v>3.5</v>
      </c>
      <c r="I67" s="10" t="inlineStr">
        <is>
          <t>450×550</t>
        </is>
      </c>
      <c r="J67" s="10" t="n">
        <v>5</v>
      </c>
      <c r="K67" s="10" t="n">
        <v>4</v>
      </c>
      <c r="L67" s="10" t="n">
        <v>8</v>
      </c>
      <c r="M67" s="10" t="inlineStr">
        <is>
          <t>Nº4 cerrado</t>
        </is>
      </c>
      <c r="N67" s="10" t="n">
        <v>2</v>
      </c>
      <c r="O67" s="35" t="n">
        <v>120</v>
      </c>
      <c r="P67" s="35" t="n">
        <v>120</v>
      </c>
      <c r="Q67" s="35" t="n">
        <v>0.5817909842171486</v>
      </c>
      <c r="R67" s="10" t="inlineStr">
        <is>
          <t>SÍ</t>
        </is>
      </c>
      <c r="S67" s="15" t="inlineStr">
        <is>
          <t>CUMPLE</t>
        </is>
      </c>
      <c r="T67" s="3" t="inlineStr">
        <is>
          <t>coordinar con planta y reanálisis global</t>
        </is>
      </c>
    </row>
    <row r="68">
      <c r="A68" s="17" t="inlineStr">
        <is>
          <t>VC3</t>
        </is>
      </c>
      <c r="B68" s="10" t="inlineStr">
        <is>
          <t>91</t>
        </is>
      </c>
      <c r="C68" s="10" t="inlineStr">
        <is>
          <t>36</t>
        </is>
      </c>
      <c r="D68" s="10" t="inlineStr">
        <is>
          <t>38</t>
        </is>
      </c>
      <c r="E68" s="35" t="n">
        <v>3.81477</v>
      </c>
      <c r="F68" s="35" t="n">
        <v>9.625</v>
      </c>
      <c r="G68" s="35" t="n">
        <v>33.25</v>
      </c>
      <c r="H68" s="35" t="n">
        <v>3.5</v>
      </c>
      <c r="I68" s="10" t="inlineStr">
        <is>
          <t>450×550</t>
        </is>
      </c>
      <c r="J68" s="10" t="n">
        <v>5</v>
      </c>
      <c r="K68" s="10" t="n">
        <v>4</v>
      </c>
      <c r="L68" s="10" t="n">
        <v>8</v>
      </c>
      <c r="M68" s="10" t="inlineStr">
        <is>
          <t>Nº4 cerrado</t>
        </is>
      </c>
      <c r="N68" s="10" t="n">
        <v>2</v>
      </c>
      <c r="O68" s="35" t="n">
        <v>120</v>
      </c>
      <c r="P68" s="35" t="n">
        <v>120</v>
      </c>
      <c r="Q68" s="35" t="n">
        <v>0.5817452262324837</v>
      </c>
      <c r="R68" s="10" t="inlineStr">
        <is>
          <t>SÍ</t>
        </is>
      </c>
      <c r="S68" s="15" t="inlineStr">
        <is>
          <t>CUMPLE</t>
        </is>
      </c>
      <c r="T68" s="3" t="inlineStr">
        <is>
          <t>coordinar con planta y reanálisis global</t>
        </is>
      </c>
    </row>
    <row r="69">
      <c r="A69" s="17" t="inlineStr">
        <is>
          <t>VC3</t>
        </is>
      </c>
      <c r="B69" s="10" t="inlineStr">
        <is>
          <t>92</t>
        </is>
      </c>
      <c r="C69" s="10" t="inlineStr">
        <is>
          <t>38</t>
        </is>
      </c>
      <c r="D69" s="10" t="inlineStr">
        <is>
          <t>60</t>
        </is>
      </c>
      <c r="E69" s="35" t="n">
        <v>4</v>
      </c>
      <c r="F69" s="35" t="n">
        <v>13.5</v>
      </c>
      <c r="G69" s="35" t="n">
        <v>33.6</v>
      </c>
      <c r="H69" s="35" t="n">
        <v>3.5</v>
      </c>
      <c r="I69" s="10" t="inlineStr">
        <is>
          <t>450×550</t>
        </is>
      </c>
      <c r="J69" s="10" t="n">
        <v>5</v>
      </c>
      <c r="K69" s="10" t="n">
        <v>5</v>
      </c>
      <c r="L69" s="10" t="n">
        <v>0</v>
      </c>
      <c r="M69" s="10" t="inlineStr">
        <is>
          <t>Nº3 cerrado</t>
        </is>
      </c>
      <c r="N69" s="10" t="n">
        <v>2</v>
      </c>
      <c r="O69" s="35" t="n">
        <v>80</v>
      </c>
      <c r="P69" s="35" t="n">
        <v>80</v>
      </c>
      <c r="Q69" s="35" t="n">
        <v>0.5471356220182887</v>
      </c>
      <c r="R69" s="10" t="inlineStr">
        <is>
          <t>SÍ</t>
        </is>
      </c>
      <c r="S69" s="15" t="inlineStr">
        <is>
          <t>CUMPLE</t>
        </is>
      </c>
      <c r="T69" s="3" t="inlineStr">
        <is>
          <t>coordinar con planta y reanálisis global</t>
        </is>
      </c>
    </row>
    <row r="70">
      <c r="A70" s="17" t="inlineStr">
        <is>
          <t>VC3</t>
        </is>
      </c>
      <c r="B70" s="10" t="inlineStr">
        <is>
          <t>257</t>
        </is>
      </c>
      <c r="C70" s="10" t="inlineStr">
        <is>
          <t>128</t>
        </is>
      </c>
      <c r="D70" s="10" t="inlineStr">
        <is>
          <t>150</t>
        </is>
      </c>
      <c r="E70" s="35" t="n">
        <v>4</v>
      </c>
      <c r="F70" s="35" t="n">
        <v>2</v>
      </c>
      <c r="G70" s="35" t="n">
        <v>2.6</v>
      </c>
      <c r="H70" s="35" t="n">
        <v>6.5</v>
      </c>
      <c r="I70" s="10" t="inlineStr">
        <is>
          <t>450×550</t>
        </is>
      </c>
      <c r="J70" s="10" t="n">
        <v>5</v>
      </c>
      <c r="K70" s="10" t="n">
        <v>4</v>
      </c>
      <c r="L70" s="10" t="n">
        <v>0</v>
      </c>
      <c r="M70" s="10" t="inlineStr">
        <is>
          <t>Nº3 cerrado</t>
        </is>
      </c>
      <c r="N70" s="10" t="n">
        <v>2</v>
      </c>
      <c r="O70" s="35" t="n">
        <v>100</v>
      </c>
      <c r="P70" s="35" t="n">
        <v>100</v>
      </c>
      <c r="Q70" s="35" t="n">
        <v>0.4951669084526902</v>
      </c>
      <c r="R70" s="10" t="inlineStr">
        <is>
          <t>SÍ</t>
        </is>
      </c>
      <c r="S70" s="15" t="inlineStr">
        <is>
          <t>CUMPLE</t>
        </is>
      </c>
      <c r="T70" s="3" t="inlineStr">
        <is>
          <t>coordinar con planta y reanálisis global</t>
        </is>
      </c>
    </row>
    <row r="71">
      <c r="A71" s="17" t="inlineStr">
        <is>
          <t>VC3</t>
        </is>
      </c>
      <c r="B71" s="10" t="inlineStr">
        <is>
          <t>258</t>
        </is>
      </c>
      <c r="C71" s="10" t="inlineStr">
        <is>
          <t>150</t>
        </is>
      </c>
      <c r="D71" s="10" t="inlineStr">
        <is>
          <t>152</t>
        </is>
      </c>
      <c r="E71" s="35" t="n">
        <v>3.81477</v>
      </c>
      <c r="F71" s="35" t="n">
        <v>5.875</v>
      </c>
      <c r="G71" s="35" t="n">
        <v>2.95</v>
      </c>
      <c r="H71" s="35" t="n">
        <v>6.5</v>
      </c>
      <c r="I71" s="10" t="inlineStr">
        <is>
          <t>450×550</t>
        </is>
      </c>
      <c r="J71" s="10" t="n">
        <v>5</v>
      </c>
      <c r="K71" s="10" t="n">
        <v>4</v>
      </c>
      <c r="L71" s="10" t="n">
        <v>8</v>
      </c>
      <c r="M71" s="10" t="inlineStr">
        <is>
          <t>Nº4 cerrado</t>
        </is>
      </c>
      <c r="N71" s="10" t="n">
        <v>2</v>
      </c>
      <c r="O71" s="35" t="n">
        <v>120</v>
      </c>
      <c r="P71" s="35" t="n">
        <v>140</v>
      </c>
      <c r="Q71" s="35" t="n">
        <v>0.5464077070774125</v>
      </c>
      <c r="R71" s="10" t="inlineStr">
        <is>
          <t>SÍ</t>
        </is>
      </c>
      <c r="S71" s="15" t="inlineStr">
        <is>
          <t>CUMPLE</t>
        </is>
      </c>
      <c r="T71" s="3" t="inlineStr">
        <is>
          <t>coordinar con planta y reanálisis global</t>
        </is>
      </c>
    </row>
    <row r="72">
      <c r="A72" s="17" t="inlineStr">
        <is>
          <t>VC3</t>
        </is>
      </c>
      <c r="B72" s="10" t="inlineStr">
        <is>
          <t>259</t>
        </is>
      </c>
      <c r="C72" s="10" t="inlineStr">
        <is>
          <t>152</t>
        </is>
      </c>
      <c r="D72" s="10" t="inlineStr">
        <is>
          <t>174</t>
        </is>
      </c>
      <c r="E72" s="35" t="n">
        <v>3.81477</v>
      </c>
      <c r="F72" s="35" t="n">
        <v>9.625</v>
      </c>
      <c r="G72" s="35" t="n">
        <v>2.95</v>
      </c>
      <c r="H72" s="35" t="n">
        <v>6.5</v>
      </c>
      <c r="I72" s="10" t="inlineStr">
        <is>
          <t>450×550</t>
        </is>
      </c>
      <c r="J72" s="10" t="n">
        <v>5</v>
      </c>
      <c r="K72" s="10" t="n">
        <v>4</v>
      </c>
      <c r="L72" s="10" t="n">
        <v>8</v>
      </c>
      <c r="M72" s="10" t="inlineStr">
        <is>
          <t>Nº4 cerrado</t>
        </is>
      </c>
      <c r="N72" s="10" t="n">
        <v>2</v>
      </c>
      <c r="O72" s="35" t="n">
        <v>120</v>
      </c>
      <c r="P72" s="35" t="n">
        <v>140</v>
      </c>
      <c r="Q72" s="35" t="n">
        <v>0.546623465934908</v>
      </c>
      <c r="R72" s="10" t="inlineStr">
        <is>
          <t>SÍ</t>
        </is>
      </c>
      <c r="S72" s="15" t="inlineStr">
        <is>
          <t>CUMPLE</t>
        </is>
      </c>
      <c r="T72" s="3" t="inlineStr">
        <is>
          <t>coordinar con planta y reanálisis global</t>
        </is>
      </c>
    </row>
    <row r="73">
      <c r="A73" s="17" t="inlineStr">
        <is>
          <t>VC3</t>
        </is>
      </c>
      <c r="B73" s="10" t="inlineStr">
        <is>
          <t>260</t>
        </is>
      </c>
      <c r="C73" s="10" t="inlineStr">
        <is>
          <t>174</t>
        </is>
      </c>
      <c r="D73" s="10" t="inlineStr">
        <is>
          <t>177</t>
        </is>
      </c>
      <c r="E73" s="35" t="n">
        <v>4</v>
      </c>
      <c r="F73" s="35" t="n">
        <v>13.5</v>
      </c>
      <c r="G73" s="35" t="n">
        <v>2.6</v>
      </c>
      <c r="H73" s="35" t="n">
        <v>6.5</v>
      </c>
      <c r="I73" s="10" t="inlineStr">
        <is>
          <t>450×550</t>
        </is>
      </c>
      <c r="J73" s="10" t="n">
        <v>5</v>
      </c>
      <c r="K73" s="10" t="n">
        <v>4</v>
      </c>
      <c r="L73" s="10" t="n">
        <v>0</v>
      </c>
      <c r="M73" s="10" t="inlineStr">
        <is>
          <t>Nº3 cerrado</t>
        </is>
      </c>
      <c r="N73" s="10" t="n">
        <v>2</v>
      </c>
      <c r="O73" s="35" t="n">
        <v>100</v>
      </c>
      <c r="P73" s="35" t="n">
        <v>100</v>
      </c>
      <c r="Q73" s="35" t="n">
        <v>0.4951777356839785</v>
      </c>
      <c r="R73" s="10" t="inlineStr">
        <is>
          <t>SÍ</t>
        </is>
      </c>
      <c r="S73" s="15" t="inlineStr">
        <is>
          <t>CUMPLE</t>
        </is>
      </c>
      <c r="T73" s="3" t="inlineStr">
        <is>
          <t>coordinar con planta y reanálisis global</t>
        </is>
      </c>
    </row>
    <row r="74">
      <c r="A74" s="17" t="inlineStr">
        <is>
          <t>VC3</t>
        </is>
      </c>
      <c r="B74" s="10" t="inlineStr">
        <is>
          <t>289</t>
        </is>
      </c>
      <c r="C74" s="10" t="inlineStr">
        <is>
          <t>137</t>
        </is>
      </c>
      <c r="D74" s="10" t="inlineStr">
        <is>
          <t>140</t>
        </is>
      </c>
      <c r="E74" s="35" t="n">
        <v>4</v>
      </c>
      <c r="F74" s="35" t="n">
        <v>2</v>
      </c>
      <c r="G74" s="35" t="n">
        <v>33.6</v>
      </c>
      <c r="H74" s="35" t="n">
        <v>6.5</v>
      </c>
      <c r="I74" s="10" t="inlineStr">
        <is>
          <t>450×550</t>
        </is>
      </c>
      <c r="J74" s="10" t="n">
        <v>5</v>
      </c>
      <c r="K74" s="10" t="n">
        <v>4</v>
      </c>
      <c r="L74" s="10" t="n">
        <v>0</v>
      </c>
      <c r="M74" s="10" t="inlineStr">
        <is>
          <t>Nº3 cerrado</t>
        </is>
      </c>
      <c r="N74" s="10" t="n">
        <v>2</v>
      </c>
      <c r="O74" s="35" t="n">
        <v>100</v>
      </c>
      <c r="P74" s="35" t="n">
        <v>100</v>
      </c>
      <c r="Q74" s="35" t="n">
        <v>0.4952226175989557</v>
      </c>
      <c r="R74" s="10" t="inlineStr">
        <is>
          <t>SÍ</t>
        </is>
      </c>
      <c r="S74" s="15" t="inlineStr">
        <is>
          <t>CUMPLE</t>
        </is>
      </c>
      <c r="T74" s="3" t="inlineStr">
        <is>
          <t>coordinar con planta y reanálisis global</t>
        </is>
      </c>
    </row>
    <row r="75">
      <c r="A75" s="17" t="inlineStr">
        <is>
          <t>VC3</t>
        </is>
      </c>
      <c r="B75" s="10" t="inlineStr">
        <is>
          <t>290</t>
        </is>
      </c>
      <c r="C75" s="10" t="inlineStr">
        <is>
          <t>140</t>
        </is>
      </c>
      <c r="D75" s="10" t="inlineStr">
        <is>
          <t>162</t>
        </is>
      </c>
      <c r="E75" s="35" t="n">
        <v>3.81477</v>
      </c>
      <c r="F75" s="35" t="n">
        <v>5.875</v>
      </c>
      <c r="G75" s="35" t="n">
        <v>33.25</v>
      </c>
      <c r="H75" s="35" t="n">
        <v>6.5</v>
      </c>
      <c r="I75" s="10" t="inlineStr">
        <is>
          <t>450×550</t>
        </is>
      </c>
      <c r="J75" s="10" t="n">
        <v>5</v>
      </c>
      <c r="K75" s="10" t="n">
        <v>4</v>
      </c>
      <c r="L75" s="10" t="n">
        <v>8</v>
      </c>
      <c r="M75" s="10" t="inlineStr">
        <is>
          <t>Nº4 cerrado</t>
        </is>
      </c>
      <c r="N75" s="10" t="n">
        <v>2</v>
      </c>
      <c r="O75" s="35" t="n">
        <v>120</v>
      </c>
      <c r="P75" s="35" t="n">
        <v>140</v>
      </c>
      <c r="Q75" s="35" t="n">
        <v>0.5464372197278939</v>
      </c>
      <c r="R75" s="10" t="inlineStr">
        <is>
          <t>SÍ</t>
        </is>
      </c>
      <c r="S75" s="15" t="inlineStr">
        <is>
          <t>CUMPLE</t>
        </is>
      </c>
      <c r="T75" s="3" t="inlineStr">
        <is>
          <t>coordinar con planta y reanálisis global</t>
        </is>
      </c>
    </row>
    <row r="76">
      <c r="A76" s="17" t="inlineStr">
        <is>
          <t>VC3</t>
        </is>
      </c>
      <c r="B76" s="10" t="inlineStr">
        <is>
          <t>291</t>
        </is>
      </c>
      <c r="C76" s="10" t="inlineStr">
        <is>
          <t>162</t>
        </is>
      </c>
      <c r="D76" s="10" t="inlineStr">
        <is>
          <t>164</t>
        </is>
      </c>
      <c r="E76" s="35" t="n">
        <v>3.81477</v>
      </c>
      <c r="F76" s="35" t="n">
        <v>9.625</v>
      </c>
      <c r="G76" s="35" t="n">
        <v>33.25</v>
      </c>
      <c r="H76" s="35" t="n">
        <v>6.5</v>
      </c>
      <c r="I76" s="10" t="inlineStr">
        <is>
          <t>450×550</t>
        </is>
      </c>
      <c r="J76" s="10" t="n">
        <v>5</v>
      </c>
      <c r="K76" s="10" t="n">
        <v>4</v>
      </c>
      <c r="L76" s="10" t="n">
        <v>8</v>
      </c>
      <c r="M76" s="10" t="inlineStr">
        <is>
          <t>Nº4 cerrado</t>
        </is>
      </c>
      <c r="N76" s="10" t="n">
        <v>2</v>
      </c>
      <c r="O76" s="35" t="n">
        <v>120</v>
      </c>
      <c r="P76" s="35" t="n">
        <v>140</v>
      </c>
      <c r="Q76" s="35" t="n">
        <v>0.5464520638005228</v>
      </c>
      <c r="R76" s="10" t="inlineStr">
        <is>
          <t>SÍ</t>
        </is>
      </c>
      <c r="S76" s="15" t="inlineStr">
        <is>
          <t>CUMPLE</t>
        </is>
      </c>
      <c r="T76" s="3" t="inlineStr">
        <is>
          <t>coordinar con planta y reanálisis global</t>
        </is>
      </c>
    </row>
    <row r="77">
      <c r="A77" s="17" t="inlineStr">
        <is>
          <t>VC3</t>
        </is>
      </c>
      <c r="B77" s="10" t="inlineStr">
        <is>
          <t>292</t>
        </is>
      </c>
      <c r="C77" s="10" t="inlineStr">
        <is>
          <t>164</t>
        </is>
      </c>
      <c r="D77" s="10" t="inlineStr">
        <is>
          <t>186</t>
        </is>
      </c>
      <c r="E77" s="35" t="n">
        <v>4</v>
      </c>
      <c r="F77" s="35" t="n">
        <v>13.5</v>
      </c>
      <c r="G77" s="35" t="n">
        <v>33.6</v>
      </c>
      <c r="H77" s="35" t="n">
        <v>6.5</v>
      </c>
      <c r="I77" s="10" t="inlineStr">
        <is>
          <t>450×550</t>
        </is>
      </c>
      <c r="J77" s="10" t="n">
        <v>5</v>
      </c>
      <c r="K77" s="10" t="n">
        <v>4</v>
      </c>
      <c r="L77" s="10" t="n">
        <v>0</v>
      </c>
      <c r="M77" s="10" t="inlineStr">
        <is>
          <t>Nº3 cerrado</t>
        </is>
      </c>
      <c r="N77" s="10" t="n">
        <v>2</v>
      </c>
      <c r="O77" s="35" t="n">
        <v>100</v>
      </c>
      <c r="P77" s="35" t="n">
        <v>100</v>
      </c>
      <c r="Q77" s="35" t="n">
        <v>0.4952068243605471</v>
      </c>
      <c r="R77" s="10" t="inlineStr">
        <is>
          <t>SÍ</t>
        </is>
      </c>
      <c r="S77" s="15" t="inlineStr">
        <is>
          <t>CUMPLE</t>
        </is>
      </c>
      <c r="T77" s="3" t="inlineStr">
        <is>
          <t>coordinar con planta y reanálisis global</t>
        </is>
      </c>
    </row>
    <row r="78">
      <c r="A78" s="17" t="inlineStr">
        <is>
          <t>VC3</t>
        </is>
      </c>
      <c r="B78" s="10" t="inlineStr">
        <is>
          <t>815</t>
        </is>
      </c>
      <c r="C78" s="10" t="inlineStr">
        <is>
          <t>492</t>
        </is>
      </c>
      <c r="D78" s="10" t="inlineStr">
        <is>
          <t>514</t>
        </is>
      </c>
      <c r="E78" s="35" t="n">
        <v>4</v>
      </c>
      <c r="F78" s="35" t="n">
        <v>2</v>
      </c>
      <c r="G78" s="35" t="n">
        <v>2.6</v>
      </c>
      <c r="H78" s="35" t="n">
        <v>9.5</v>
      </c>
      <c r="I78" s="10" t="inlineStr">
        <is>
          <t>450×550</t>
        </is>
      </c>
      <c r="J78" s="10" t="n">
        <v>4</v>
      </c>
      <c r="K78" s="10" t="n">
        <v>4</v>
      </c>
      <c r="L78" s="10" t="n">
        <v>0</v>
      </c>
      <c r="M78" s="10" t="inlineStr">
        <is>
          <t>Nº3 cerrado</t>
        </is>
      </c>
      <c r="N78" s="10" t="n">
        <v>2</v>
      </c>
      <c r="O78" s="35" t="n">
        <v>120</v>
      </c>
      <c r="P78" s="35" t="n">
        <v>160</v>
      </c>
      <c r="Q78" s="35" t="n">
        <v>0.382586757305329</v>
      </c>
      <c r="R78" s="10" t="inlineStr">
        <is>
          <t>SÍ</t>
        </is>
      </c>
      <c r="S78" s="15" t="inlineStr">
        <is>
          <t>CUMPLE</t>
        </is>
      </c>
      <c r="T78" s="3" t="inlineStr">
        <is>
          <t>coordinar con planta y reanálisis global</t>
        </is>
      </c>
    </row>
    <row r="79">
      <c r="A79" s="17" t="inlineStr">
        <is>
          <t>VC3</t>
        </is>
      </c>
      <c r="B79" s="10" t="inlineStr">
        <is>
          <t>816</t>
        </is>
      </c>
      <c r="C79" s="10" t="inlineStr">
        <is>
          <t>514</t>
        </is>
      </c>
      <c r="D79" s="10" t="inlineStr">
        <is>
          <t>516</t>
        </is>
      </c>
      <c r="E79" s="35" t="n">
        <v>3.81477</v>
      </c>
      <c r="F79" s="35" t="n">
        <v>5.875</v>
      </c>
      <c r="G79" s="35" t="n">
        <v>2.95</v>
      </c>
      <c r="H79" s="35" t="n">
        <v>9.5</v>
      </c>
      <c r="I79" s="10" t="inlineStr">
        <is>
          <t>450×550</t>
        </is>
      </c>
      <c r="J79" s="10" t="n">
        <v>4</v>
      </c>
      <c r="K79" s="10" t="n">
        <v>4</v>
      </c>
      <c r="L79" s="10" t="n">
        <v>8</v>
      </c>
      <c r="M79" s="10" t="inlineStr">
        <is>
          <t>Nº3 cerrado</t>
        </is>
      </c>
      <c r="N79" s="10" t="n">
        <v>2</v>
      </c>
      <c r="O79" s="35" t="n">
        <v>100</v>
      </c>
      <c r="P79" s="35" t="n">
        <v>100</v>
      </c>
      <c r="Q79" s="35" t="n">
        <v>0.4433923535543111</v>
      </c>
      <c r="R79" s="10" t="inlineStr">
        <is>
          <t>SÍ</t>
        </is>
      </c>
      <c r="S79" s="15" t="inlineStr">
        <is>
          <t>CUMPLE</t>
        </is>
      </c>
      <c r="T79" s="3" t="inlineStr">
        <is>
          <t>coordinar con planta y reanálisis global</t>
        </is>
      </c>
    </row>
    <row r="80">
      <c r="A80" s="17" t="inlineStr">
        <is>
          <t>VC3</t>
        </is>
      </c>
      <c r="B80" s="10" t="inlineStr">
        <is>
          <t>817</t>
        </is>
      </c>
      <c r="C80" s="10" t="inlineStr">
        <is>
          <t>516</t>
        </is>
      </c>
      <c r="D80" s="10" t="inlineStr">
        <is>
          <t>538</t>
        </is>
      </c>
      <c r="E80" s="35" t="n">
        <v>3.81477</v>
      </c>
      <c r="F80" s="35" t="n">
        <v>9.625</v>
      </c>
      <c r="G80" s="35" t="n">
        <v>2.95</v>
      </c>
      <c r="H80" s="35" t="n">
        <v>9.5</v>
      </c>
      <c r="I80" s="10" t="inlineStr">
        <is>
          <t>450×550</t>
        </is>
      </c>
      <c r="J80" s="10" t="n">
        <v>4</v>
      </c>
      <c r="K80" s="10" t="n">
        <v>4</v>
      </c>
      <c r="L80" s="10" t="n">
        <v>8</v>
      </c>
      <c r="M80" s="10" t="inlineStr">
        <is>
          <t>Nº3 cerrado</t>
        </is>
      </c>
      <c r="N80" s="10" t="n">
        <v>2</v>
      </c>
      <c r="O80" s="35" t="n">
        <v>100</v>
      </c>
      <c r="P80" s="35" t="n">
        <v>100</v>
      </c>
      <c r="Q80" s="35" t="n">
        <v>0.4434168144959406</v>
      </c>
      <c r="R80" s="10" t="inlineStr">
        <is>
          <t>SÍ</t>
        </is>
      </c>
      <c r="S80" s="15" t="inlineStr">
        <is>
          <t>CUMPLE</t>
        </is>
      </c>
      <c r="T80" s="3" t="inlineStr">
        <is>
          <t>coordinar con planta y reanálisis global</t>
        </is>
      </c>
    </row>
    <row r="81">
      <c r="A81" s="17" t="inlineStr">
        <is>
          <t>VC3</t>
        </is>
      </c>
      <c r="B81" s="10" t="inlineStr">
        <is>
          <t>818</t>
        </is>
      </c>
      <c r="C81" s="10" t="inlineStr">
        <is>
          <t>538</t>
        </is>
      </c>
      <c r="D81" s="10" t="inlineStr">
        <is>
          <t>541</t>
        </is>
      </c>
      <c r="E81" s="35" t="n">
        <v>4</v>
      </c>
      <c r="F81" s="35" t="n">
        <v>13.5</v>
      </c>
      <c r="G81" s="35" t="n">
        <v>2.6</v>
      </c>
      <c r="H81" s="35" t="n">
        <v>9.5</v>
      </c>
      <c r="I81" s="10" t="inlineStr">
        <is>
          <t>450×550</t>
        </is>
      </c>
      <c r="J81" s="10" t="n">
        <v>4</v>
      </c>
      <c r="K81" s="10" t="n">
        <v>4</v>
      </c>
      <c r="L81" s="10" t="n">
        <v>0</v>
      </c>
      <c r="M81" s="10" t="inlineStr">
        <is>
          <t>Nº3 cerrado</t>
        </is>
      </c>
      <c r="N81" s="10" t="n">
        <v>2</v>
      </c>
      <c r="O81" s="35" t="n">
        <v>120</v>
      </c>
      <c r="P81" s="35" t="n">
        <v>160</v>
      </c>
      <c r="Q81" s="35" t="n">
        <v>0.382605763467752</v>
      </c>
      <c r="R81" s="10" t="inlineStr">
        <is>
          <t>SÍ</t>
        </is>
      </c>
      <c r="S81" s="15" t="inlineStr">
        <is>
          <t>CUMPLE</t>
        </is>
      </c>
      <c r="T81" s="3" t="inlineStr">
        <is>
          <t>coordinar con planta y reanálisis global</t>
        </is>
      </c>
    </row>
    <row r="82">
      <c r="A82" s="17" t="inlineStr">
        <is>
          <t>VC3</t>
        </is>
      </c>
      <c r="B82" s="10" t="inlineStr">
        <is>
          <t>847</t>
        </is>
      </c>
      <c r="C82" s="10" t="inlineStr">
        <is>
          <t>501</t>
        </is>
      </c>
      <c r="D82" s="10" t="inlineStr">
        <is>
          <t>504</t>
        </is>
      </c>
      <c r="E82" s="35" t="n">
        <v>4</v>
      </c>
      <c r="F82" s="35" t="n">
        <v>2</v>
      </c>
      <c r="G82" s="35" t="n">
        <v>33.6</v>
      </c>
      <c r="H82" s="35" t="n">
        <v>9.5</v>
      </c>
      <c r="I82" s="10" t="inlineStr">
        <is>
          <t>450×550</t>
        </is>
      </c>
      <c r="J82" s="10" t="n">
        <v>4</v>
      </c>
      <c r="K82" s="10" t="n">
        <v>4</v>
      </c>
      <c r="L82" s="10" t="n">
        <v>0</v>
      </c>
      <c r="M82" s="10" t="inlineStr">
        <is>
          <t>Nº3 cerrado</t>
        </is>
      </c>
      <c r="N82" s="10" t="n">
        <v>2</v>
      </c>
      <c r="O82" s="35" t="n">
        <v>120</v>
      </c>
      <c r="P82" s="35" t="n">
        <v>160</v>
      </c>
      <c r="Q82" s="35" t="n">
        <v>0.3826345425290421</v>
      </c>
      <c r="R82" s="10" t="inlineStr">
        <is>
          <t>SÍ</t>
        </is>
      </c>
      <c r="S82" s="15" t="inlineStr">
        <is>
          <t>CUMPLE</t>
        </is>
      </c>
      <c r="T82" s="3" t="inlineStr">
        <is>
          <t>coordinar con planta y reanálisis global</t>
        </is>
      </c>
    </row>
    <row r="83">
      <c r="A83" s="17" t="inlineStr">
        <is>
          <t>VC3</t>
        </is>
      </c>
      <c r="B83" s="10" t="inlineStr">
        <is>
          <t>848</t>
        </is>
      </c>
      <c r="C83" s="10" t="inlineStr">
        <is>
          <t>504</t>
        </is>
      </c>
      <c r="D83" s="10" t="inlineStr">
        <is>
          <t>526</t>
        </is>
      </c>
      <c r="E83" s="35" t="n">
        <v>3.81477</v>
      </c>
      <c r="F83" s="35" t="n">
        <v>5.875</v>
      </c>
      <c r="G83" s="35" t="n">
        <v>33.25</v>
      </c>
      <c r="H83" s="35" t="n">
        <v>9.5</v>
      </c>
      <c r="I83" s="10" t="inlineStr">
        <is>
          <t>450×550</t>
        </is>
      </c>
      <c r="J83" s="10" t="n">
        <v>4</v>
      </c>
      <c r="K83" s="10" t="n">
        <v>4</v>
      </c>
      <c r="L83" s="10" t="n">
        <v>8</v>
      </c>
      <c r="M83" s="10" t="inlineStr">
        <is>
          <t>Nº3 cerrado</t>
        </is>
      </c>
      <c r="N83" s="10" t="n">
        <v>2</v>
      </c>
      <c r="O83" s="35" t="n">
        <v>100</v>
      </c>
      <c r="P83" s="35" t="n">
        <v>100</v>
      </c>
      <c r="Q83" s="35" t="n">
        <v>0.4434620945110181</v>
      </c>
      <c r="R83" s="10" t="inlineStr">
        <is>
          <t>SÍ</t>
        </is>
      </c>
      <c r="S83" s="15" t="inlineStr">
        <is>
          <t>CUMPLE</t>
        </is>
      </c>
      <c r="T83" s="3" t="inlineStr">
        <is>
          <t>coordinar con planta y reanálisis global</t>
        </is>
      </c>
    </row>
    <row r="84">
      <c r="A84" s="17" t="inlineStr">
        <is>
          <t>VC3</t>
        </is>
      </c>
      <c r="B84" s="10" t="inlineStr">
        <is>
          <t>849</t>
        </is>
      </c>
      <c r="C84" s="10" t="inlineStr">
        <is>
          <t>526</t>
        </is>
      </c>
      <c r="D84" s="10" t="inlineStr">
        <is>
          <t>528</t>
        </is>
      </c>
      <c r="E84" s="35" t="n">
        <v>3.81477</v>
      </c>
      <c r="F84" s="35" t="n">
        <v>9.625</v>
      </c>
      <c r="G84" s="35" t="n">
        <v>33.25</v>
      </c>
      <c r="H84" s="35" t="n">
        <v>9.5</v>
      </c>
      <c r="I84" s="10" t="inlineStr">
        <is>
          <t>450×550</t>
        </is>
      </c>
      <c r="J84" s="10" t="n">
        <v>4</v>
      </c>
      <c r="K84" s="10" t="n">
        <v>4</v>
      </c>
      <c r="L84" s="10" t="n">
        <v>8</v>
      </c>
      <c r="M84" s="10" t="inlineStr">
        <is>
          <t>Nº3 cerrado</t>
        </is>
      </c>
      <c r="N84" s="10" t="n">
        <v>2</v>
      </c>
      <c r="O84" s="35" t="n">
        <v>100</v>
      </c>
      <c r="P84" s="35" t="n">
        <v>100</v>
      </c>
      <c r="Q84" s="35" t="n">
        <v>0.4434513223930047</v>
      </c>
      <c r="R84" s="10" t="inlineStr">
        <is>
          <t>SÍ</t>
        </is>
      </c>
      <c r="S84" s="15" t="inlineStr">
        <is>
          <t>CUMPLE</t>
        </is>
      </c>
      <c r="T84" s="3" t="inlineStr">
        <is>
          <t>coordinar con planta y reanálisis global</t>
        </is>
      </c>
    </row>
    <row r="85">
      <c r="A85" s="17" t="inlineStr">
        <is>
          <t>VC3</t>
        </is>
      </c>
      <c r="B85" s="10" t="inlineStr">
        <is>
          <t>850</t>
        </is>
      </c>
      <c r="C85" s="10" t="inlineStr">
        <is>
          <t>528</t>
        </is>
      </c>
      <c r="D85" s="10" t="inlineStr">
        <is>
          <t>550</t>
        </is>
      </c>
      <c r="E85" s="35" t="n">
        <v>4</v>
      </c>
      <c r="F85" s="35" t="n">
        <v>13.5</v>
      </c>
      <c r="G85" s="35" t="n">
        <v>33.6</v>
      </c>
      <c r="H85" s="35" t="n">
        <v>9.5</v>
      </c>
      <c r="I85" s="10" t="inlineStr">
        <is>
          <t>450×550</t>
        </is>
      </c>
      <c r="J85" s="10" t="n">
        <v>4</v>
      </c>
      <c r="K85" s="10" t="n">
        <v>4</v>
      </c>
      <c r="L85" s="10" t="n">
        <v>0</v>
      </c>
      <c r="M85" s="10" t="inlineStr">
        <is>
          <t>Nº3 cerrado</t>
        </is>
      </c>
      <c r="N85" s="10" t="n">
        <v>2</v>
      </c>
      <c r="O85" s="35" t="n">
        <v>120</v>
      </c>
      <c r="P85" s="35" t="n">
        <v>160</v>
      </c>
      <c r="Q85" s="35" t="n">
        <v>0.3826191976070097</v>
      </c>
      <c r="R85" s="10" t="inlineStr">
        <is>
          <t>SÍ</t>
        </is>
      </c>
      <c r="S85" s="15" t="inlineStr">
        <is>
          <t>CUMPLE</t>
        </is>
      </c>
      <c r="T85" s="3" t="inlineStr">
        <is>
          <t>coordinar con planta y reanálisis global</t>
        </is>
      </c>
    </row>
    <row r="86">
      <c r="A86" s="17" t="inlineStr">
        <is>
          <t>VC3</t>
        </is>
      </c>
      <c r="B86" s="10" t="inlineStr">
        <is>
          <t>909</t>
        </is>
      </c>
      <c r="C86" s="10" t="inlineStr">
        <is>
          <t>553</t>
        </is>
      </c>
      <c r="D86" s="10" t="inlineStr">
        <is>
          <t>575</t>
        </is>
      </c>
      <c r="E86" s="35" t="n">
        <v>4</v>
      </c>
      <c r="F86" s="35" t="n">
        <v>2</v>
      </c>
      <c r="G86" s="35" t="n">
        <v>2.6</v>
      </c>
      <c r="H86" s="35" t="n">
        <v>12.5</v>
      </c>
      <c r="I86" s="10" t="inlineStr">
        <is>
          <t>450×550</t>
        </is>
      </c>
      <c r="J86" s="10" t="n">
        <v>4</v>
      </c>
      <c r="K86" s="10" t="n">
        <v>4</v>
      </c>
      <c r="L86" s="10" t="n">
        <v>0</v>
      </c>
      <c r="M86" s="10" t="inlineStr">
        <is>
          <t>Nº3 cerrado</t>
        </is>
      </c>
      <c r="N86" s="10" t="n">
        <v>2</v>
      </c>
      <c r="O86" s="35" t="n">
        <v>120</v>
      </c>
      <c r="P86" s="35" t="n">
        <v>240</v>
      </c>
      <c r="Q86" s="35" t="n">
        <v>0.2386803843353263</v>
      </c>
      <c r="R86" s="10" t="inlineStr">
        <is>
          <t>SÍ</t>
        </is>
      </c>
      <c r="S86" s="15" t="inlineStr">
        <is>
          <t>CUMPLE</t>
        </is>
      </c>
      <c r="T86" s="3" t="inlineStr">
        <is>
          <t>coordinar con planta y reanálisis global</t>
        </is>
      </c>
    </row>
    <row r="87">
      <c r="A87" s="17" t="inlineStr">
        <is>
          <t>VC3</t>
        </is>
      </c>
      <c r="B87" s="10" t="inlineStr">
        <is>
          <t>910</t>
        </is>
      </c>
      <c r="C87" s="10" t="inlineStr">
        <is>
          <t>575</t>
        </is>
      </c>
      <c r="D87" s="10" t="inlineStr">
        <is>
          <t>577</t>
        </is>
      </c>
      <c r="E87" s="35" t="n">
        <v>3.81477</v>
      </c>
      <c r="F87" s="35" t="n">
        <v>5.875</v>
      </c>
      <c r="G87" s="35" t="n">
        <v>2.95</v>
      </c>
      <c r="H87" s="35" t="n">
        <v>12.5</v>
      </c>
      <c r="I87" s="10" t="inlineStr">
        <is>
          <t>450×550</t>
        </is>
      </c>
      <c r="J87" s="10" t="n">
        <v>4</v>
      </c>
      <c r="K87" s="10" t="n">
        <v>4</v>
      </c>
      <c r="L87" s="10" t="n">
        <v>8</v>
      </c>
      <c r="M87" s="10" t="inlineStr">
        <is>
          <t>Nº3 cerrado</t>
        </is>
      </c>
      <c r="N87" s="10" t="n">
        <v>2</v>
      </c>
      <c r="O87" s="35" t="n">
        <v>120</v>
      </c>
      <c r="P87" s="35" t="n">
        <v>200</v>
      </c>
      <c r="Q87" s="35" t="n">
        <v>0.3120831390910727</v>
      </c>
      <c r="R87" s="10" t="inlineStr">
        <is>
          <t>SÍ</t>
        </is>
      </c>
      <c r="S87" s="15" t="inlineStr">
        <is>
          <t>CUMPLE</t>
        </is>
      </c>
      <c r="T87" s="3" t="inlineStr">
        <is>
          <t>coordinar con planta y reanálisis global</t>
        </is>
      </c>
    </row>
    <row r="88">
      <c r="A88" s="17" t="inlineStr">
        <is>
          <t>VC3</t>
        </is>
      </c>
      <c r="B88" s="10" t="inlineStr">
        <is>
          <t>911</t>
        </is>
      </c>
      <c r="C88" s="10" t="inlineStr">
        <is>
          <t>577</t>
        </is>
      </c>
      <c r="D88" s="10" t="inlineStr">
        <is>
          <t>599</t>
        </is>
      </c>
      <c r="E88" s="35" t="n">
        <v>3.81477</v>
      </c>
      <c r="F88" s="35" t="n">
        <v>9.625</v>
      </c>
      <c r="G88" s="35" t="n">
        <v>2.95</v>
      </c>
      <c r="H88" s="35" t="n">
        <v>12.5</v>
      </c>
      <c r="I88" s="10" t="inlineStr">
        <is>
          <t>450×550</t>
        </is>
      </c>
      <c r="J88" s="10" t="n">
        <v>4</v>
      </c>
      <c r="K88" s="10" t="n">
        <v>4</v>
      </c>
      <c r="L88" s="10" t="n">
        <v>8</v>
      </c>
      <c r="M88" s="10" t="inlineStr">
        <is>
          <t>Nº3 cerrado</t>
        </is>
      </c>
      <c r="N88" s="10" t="n">
        <v>2</v>
      </c>
      <c r="O88" s="35" t="n">
        <v>120</v>
      </c>
      <c r="P88" s="35" t="n">
        <v>200</v>
      </c>
      <c r="Q88" s="35" t="n">
        <v>0.3120742577460953</v>
      </c>
      <c r="R88" s="10" t="inlineStr">
        <is>
          <t>SÍ</t>
        </is>
      </c>
      <c r="S88" s="15" t="inlineStr">
        <is>
          <t>CUMPLE</t>
        </is>
      </c>
      <c r="T88" s="3" t="inlineStr">
        <is>
          <t>coordinar con planta y reanálisis global</t>
        </is>
      </c>
    </row>
    <row r="89">
      <c r="A89" s="17" t="inlineStr">
        <is>
          <t>VC3</t>
        </is>
      </c>
      <c r="B89" s="10" t="inlineStr">
        <is>
          <t>912</t>
        </is>
      </c>
      <c r="C89" s="10" t="inlineStr">
        <is>
          <t>599</t>
        </is>
      </c>
      <c r="D89" s="10" t="inlineStr">
        <is>
          <t>602</t>
        </is>
      </c>
      <c r="E89" s="35" t="n">
        <v>4</v>
      </c>
      <c r="F89" s="35" t="n">
        <v>13.5</v>
      </c>
      <c r="G89" s="35" t="n">
        <v>2.6</v>
      </c>
      <c r="H89" s="35" t="n">
        <v>12.5</v>
      </c>
      <c r="I89" s="10" t="inlineStr">
        <is>
          <t>450×550</t>
        </is>
      </c>
      <c r="J89" s="10" t="n">
        <v>4</v>
      </c>
      <c r="K89" s="10" t="n">
        <v>4</v>
      </c>
      <c r="L89" s="10" t="n">
        <v>0</v>
      </c>
      <c r="M89" s="10" t="inlineStr">
        <is>
          <t>Nº3 cerrado</t>
        </is>
      </c>
      <c r="N89" s="10" t="n">
        <v>2</v>
      </c>
      <c r="O89" s="35" t="n">
        <v>120</v>
      </c>
      <c r="P89" s="35" t="n">
        <v>240</v>
      </c>
      <c r="Q89" s="35" t="n">
        <v>0.2387068020369922</v>
      </c>
      <c r="R89" s="10" t="inlineStr">
        <is>
          <t>SÍ</t>
        </is>
      </c>
      <c r="S89" s="15" t="inlineStr">
        <is>
          <t>CUMPLE</t>
        </is>
      </c>
      <c r="T89" s="3" t="inlineStr">
        <is>
          <t>coordinar con planta y reanálisis global</t>
        </is>
      </c>
    </row>
    <row r="90">
      <c r="A90" s="17" t="inlineStr">
        <is>
          <t>VC3</t>
        </is>
      </c>
      <c r="B90" s="10" t="inlineStr">
        <is>
          <t>941</t>
        </is>
      </c>
      <c r="C90" s="10" t="inlineStr">
        <is>
          <t>562</t>
        </is>
      </c>
      <c r="D90" s="10" t="inlineStr">
        <is>
          <t>565</t>
        </is>
      </c>
      <c r="E90" s="35" t="n">
        <v>4</v>
      </c>
      <c r="F90" s="35" t="n">
        <v>2</v>
      </c>
      <c r="G90" s="35" t="n">
        <v>33.6</v>
      </c>
      <c r="H90" s="35" t="n">
        <v>12.5</v>
      </c>
      <c r="I90" s="10" t="inlineStr">
        <is>
          <t>450×550</t>
        </is>
      </c>
      <c r="J90" s="10" t="n">
        <v>4</v>
      </c>
      <c r="K90" s="10" t="n">
        <v>4</v>
      </c>
      <c r="L90" s="10" t="n">
        <v>0</v>
      </c>
      <c r="M90" s="10" t="inlineStr">
        <is>
          <t>Nº3 cerrado</t>
        </is>
      </c>
      <c r="N90" s="10" t="n">
        <v>2</v>
      </c>
      <c r="O90" s="35" t="n">
        <v>120</v>
      </c>
      <c r="P90" s="35" t="n">
        <v>240</v>
      </c>
      <c r="Q90" s="35" t="n">
        <v>0.2387314390581283</v>
      </c>
      <c r="R90" s="10" t="inlineStr">
        <is>
          <t>SÍ</t>
        </is>
      </c>
      <c r="S90" s="15" t="inlineStr">
        <is>
          <t>CUMPLE</t>
        </is>
      </c>
      <c r="T90" s="3" t="inlineStr">
        <is>
          <t>coordinar con planta y reanálisis global</t>
        </is>
      </c>
    </row>
    <row r="91">
      <c r="A91" s="17" t="inlineStr">
        <is>
          <t>VC3</t>
        </is>
      </c>
      <c r="B91" s="10" t="inlineStr">
        <is>
          <t>942</t>
        </is>
      </c>
      <c r="C91" s="10" t="inlineStr">
        <is>
          <t>565</t>
        </is>
      </c>
      <c r="D91" s="10" t="inlineStr">
        <is>
          <t>587</t>
        </is>
      </c>
      <c r="E91" s="35" t="n">
        <v>3.81477</v>
      </c>
      <c r="F91" s="35" t="n">
        <v>5.875</v>
      </c>
      <c r="G91" s="35" t="n">
        <v>33.25</v>
      </c>
      <c r="H91" s="35" t="n">
        <v>12.5</v>
      </c>
      <c r="I91" s="10" t="inlineStr">
        <is>
          <t>450×550</t>
        </is>
      </c>
      <c r="J91" s="10" t="n">
        <v>4</v>
      </c>
      <c r="K91" s="10" t="n">
        <v>4</v>
      </c>
      <c r="L91" s="10" t="n">
        <v>8</v>
      </c>
      <c r="M91" s="10" t="inlineStr">
        <is>
          <t>Nº3 cerrado</t>
        </is>
      </c>
      <c r="N91" s="10" t="n">
        <v>2</v>
      </c>
      <c r="O91" s="35" t="n">
        <v>120</v>
      </c>
      <c r="P91" s="35" t="n">
        <v>200</v>
      </c>
      <c r="Q91" s="35" t="n">
        <v>0.3121723487047079</v>
      </c>
      <c r="R91" s="10" t="inlineStr">
        <is>
          <t>SÍ</t>
        </is>
      </c>
      <c r="S91" s="15" t="inlineStr">
        <is>
          <t>CUMPLE</t>
        </is>
      </c>
      <c r="T91" s="3" t="inlineStr">
        <is>
          <t>coordinar con planta y reanálisis global</t>
        </is>
      </c>
    </row>
    <row r="92">
      <c r="A92" s="17" t="inlineStr">
        <is>
          <t>VC3</t>
        </is>
      </c>
      <c r="B92" s="10" t="inlineStr">
        <is>
          <t>943</t>
        </is>
      </c>
      <c r="C92" s="10" t="inlineStr">
        <is>
          <t>587</t>
        </is>
      </c>
      <c r="D92" s="10" t="inlineStr">
        <is>
          <t>589</t>
        </is>
      </c>
      <c r="E92" s="35" t="n">
        <v>3.81477</v>
      </c>
      <c r="F92" s="35" t="n">
        <v>9.625</v>
      </c>
      <c r="G92" s="35" t="n">
        <v>33.25</v>
      </c>
      <c r="H92" s="35" t="n">
        <v>12.5</v>
      </c>
      <c r="I92" s="10" t="inlineStr">
        <is>
          <t>450×550</t>
        </is>
      </c>
      <c r="J92" s="10" t="n">
        <v>4</v>
      </c>
      <c r="K92" s="10" t="n">
        <v>4</v>
      </c>
      <c r="L92" s="10" t="n">
        <v>8</v>
      </c>
      <c r="M92" s="10" t="inlineStr">
        <is>
          <t>Nº3 cerrado</t>
        </is>
      </c>
      <c r="N92" s="10" t="n">
        <v>2</v>
      </c>
      <c r="O92" s="35" t="n">
        <v>120</v>
      </c>
      <c r="P92" s="35" t="n">
        <v>200</v>
      </c>
      <c r="Q92" s="35" t="n">
        <v>0.3121327986074027</v>
      </c>
      <c r="R92" s="10" t="inlineStr">
        <is>
          <t>SÍ</t>
        </is>
      </c>
      <c r="S92" s="15" t="inlineStr">
        <is>
          <t>CUMPLE</t>
        </is>
      </c>
      <c r="T92" s="3" t="inlineStr">
        <is>
          <t>coordinar con planta y reanálisis global</t>
        </is>
      </c>
    </row>
    <row r="93">
      <c r="A93" s="17" t="inlineStr">
        <is>
          <t>VC3</t>
        </is>
      </c>
      <c r="B93" s="10" t="inlineStr">
        <is>
          <t>944</t>
        </is>
      </c>
      <c r="C93" s="10" t="inlineStr">
        <is>
          <t>589</t>
        </is>
      </c>
      <c r="D93" s="10" t="inlineStr">
        <is>
          <t>611</t>
        </is>
      </c>
      <c r="E93" s="35" t="n">
        <v>4</v>
      </c>
      <c r="F93" s="35" t="n">
        <v>13.5</v>
      </c>
      <c r="G93" s="35" t="n">
        <v>33.6</v>
      </c>
      <c r="H93" s="35" t="n">
        <v>12.5</v>
      </c>
      <c r="I93" s="10" t="inlineStr">
        <is>
          <t>450×550</t>
        </is>
      </c>
      <c r="J93" s="10" t="n">
        <v>4</v>
      </c>
      <c r="K93" s="10" t="n">
        <v>4</v>
      </c>
      <c r="L93" s="10" t="n">
        <v>0</v>
      </c>
      <c r="M93" s="10" t="inlineStr">
        <is>
          <t>Nº3 cerrado</t>
        </is>
      </c>
      <c r="N93" s="10" t="n">
        <v>2</v>
      </c>
      <c r="O93" s="35" t="n">
        <v>120</v>
      </c>
      <c r="P93" s="35" t="n">
        <v>240</v>
      </c>
      <c r="Q93" s="35" t="n">
        <v>0.2387149011374435</v>
      </c>
      <c r="R93" s="10" t="inlineStr">
        <is>
          <t>SÍ</t>
        </is>
      </c>
      <c r="S93" s="15" t="inlineStr">
        <is>
          <t>CUMPLE</t>
        </is>
      </c>
      <c r="T93" s="3" t="inlineStr">
        <is>
          <t>coordinar con planta y reanálisis global</t>
        </is>
      </c>
    </row>
    <row r="94">
      <c r="A94" s="17" t="inlineStr">
        <is>
          <t>VC3</t>
        </is>
      </c>
      <c r="B94" s="10" t="inlineStr">
        <is>
          <t>1003</t>
        </is>
      </c>
      <c r="C94" s="10" t="inlineStr">
        <is>
          <t>614</t>
        </is>
      </c>
      <c r="D94" s="10" t="inlineStr">
        <is>
          <t>636</t>
        </is>
      </c>
      <c r="E94" s="35" t="n">
        <v>4</v>
      </c>
      <c r="F94" s="35" t="n">
        <v>2</v>
      </c>
      <c r="G94" s="35" t="n">
        <v>2.6</v>
      </c>
      <c r="H94" s="35" t="n">
        <v>15.5</v>
      </c>
      <c r="I94" s="10" t="inlineStr">
        <is>
          <t>450×550</t>
        </is>
      </c>
      <c r="J94" s="10" t="n">
        <v>4</v>
      </c>
      <c r="K94" s="10" t="n">
        <v>4</v>
      </c>
      <c r="L94" s="10" t="n">
        <v>0</v>
      </c>
      <c r="M94" s="10" t="inlineStr">
        <is>
          <t>Nº3 cerrado</t>
        </is>
      </c>
      <c r="N94" s="10" t="n">
        <v>2</v>
      </c>
      <c r="O94" s="35" t="n">
        <v>120</v>
      </c>
      <c r="P94" s="35" t="n">
        <v>240</v>
      </c>
      <c r="Q94" s="35" t="n">
        <v>0.1998889547414427</v>
      </c>
      <c r="R94" s="10" t="inlineStr">
        <is>
          <t>SÍ</t>
        </is>
      </c>
      <c r="S94" s="15" t="inlineStr">
        <is>
          <t>CUMPLE</t>
        </is>
      </c>
      <c r="T94" s="3" t="inlineStr">
        <is>
          <t>coordinar con planta y reanálisis global</t>
        </is>
      </c>
    </row>
    <row r="95">
      <c r="A95" s="17" t="inlineStr">
        <is>
          <t>VC3</t>
        </is>
      </c>
      <c r="B95" s="10" t="inlineStr">
        <is>
          <t>1004</t>
        </is>
      </c>
      <c r="C95" s="10" t="inlineStr">
        <is>
          <t>636</t>
        </is>
      </c>
      <c r="D95" s="10" t="inlineStr">
        <is>
          <t>638</t>
        </is>
      </c>
      <c r="E95" s="35" t="n">
        <v>3.81477</v>
      </c>
      <c r="F95" s="35" t="n">
        <v>5.875</v>
      </c>
      <c r="G95" s="35" t="n">
        <v>2.95</v>
      </c>
      <c r="H95" s="35" t="n">
        <v>15.5</v>
      </c>
      <c r="I95" s="10" t="inlineStr">
        <is>
          <t>450×550</t>
        </is>
      </c>
      <c r="J95" s="10" t="n">
        <v>4</v>
      </c>
      <c r="K95" s="10" t="n">
        <v>4</v>
      </c>
      <c r="L95" s="10" t="n">
        <v>8</v>
      </c>
      <c r="M95" s="10" t="inlineStr">
        <is>
          <t>Nº3 cerrado</t>
        </is>
      </c>
      <c r="N95" s="10" t="n">
        <v>2</v>
      </c>
      <c r="O95" s="35" t="n">
        <v>120</v>
      </c>
      <c r="P95" s="35" t="n">
        <v>200</v>
      </c>
      <c r="Q95" s="35" t="n">
        <v>0.2631285587328143</v>
      </c>
      <c r="R95" s="10" t="inlineStr">
        <is>
          <t>SÍ</t>
        </is>
      </c>
      <c r="S95" s="15" t="inlineStr">
        <is>
          <t>CUMPLE</t>
        </is>
      </c>
      <c r="T95" s="3" t="inlineStr">
        <is>
          <t>coordinar con planta y reanálisis global</t>
        </is>
      </c>
    </row>
    <row r="96">
      <c r="A96" s="17" t="inlineStr">
        <is>
          <t>VC3</t>
        </is>
      </c>
      <c r="B96" s="10" t="inlineStr">
        <is>
          <t>1005</t>
        </is>
      </c>
      <c r="C96" s="10" t="inlineStr">
        <is>
          <t>638</t>
        </is>
      </c>
      <c r="D96" s="10" t="inlineStr">
        <is>
          <t>660</t>
        </is>
      </c>
      <c r="E96" s="35" t="n">
        <v>3.81477</v>
      </c>
      <c r="F96" s="35" t="n">
        <v>9.625</v>
      </c>
      <c r="G96" s="35" t="n">
        <v>2.95</v>
      </c>
      <c r="H96" s="35" t="n">
        <v>15.5</v>
      </c>
      <c r="I96" s="10" t="inlineStr">
        <is>
          <t>450×550</t>
        </is>
      </c>
      <c r="J96" s="10" t="n">
        <v>4</v>
      </c>
      <c r="K96" s="10" t="n">
        <v>4</v>
      </c>
      <c r="L96" s="10" t="n">
        <v>8</v>
      </c>
      <c r="M96" s="10" t="inlineStr">
        <is>
          <t>Nº3 cerrado</t>
        </is>
      </c>
      <c r="N96" s="10" t="n">
        <v>2</v>
      </c>
      <c r="O96" s="35" t="n">
        <v>120</v>
      </c>
      <c r="P96" s="35" t="n">
        <v>200</v>
      </c>
      <c r="Q96" s="35" t="n">
        <v>0.2632077345340171</v>
      </c>
      <c r="R96" s="10" t="inlineStr">
        <is>
          <t>SÍ</t>
        </is>
      </c>
      <c r="S96" s="15" t="inlineStr">
        <is>
          <t>CUMPLE</t>
        </is>
      </c>
      <c r="T96" s="3" t="inlineStr">
        <is>
          <t>coordinar con planta y reanálisis global</t>
        </is>
      </c>
    </row>
    <row r="97">
      <c r="A97" s="17" t="inlineStr">
        <is>
          <t>VC3</t>
        </is>
      </c>
      <c r="B97" s="10" t="inlineStr">
        <is>
          <t>1006</t>
        </is>
      </c>
      <c r="C97" s="10" t="inlineStr">
        <is>
          <t>660</t>
        </is>
      </c>
      <c r="D97" s="10" t="inlineStr">
        <is>
          <t>663</t>
        </is>
      </c>
      <c r="E97" s="35" t="n">
        <v>4</v>
      </c>
      <c r="F97" s="35" t="n">
        <v>13.5</v>
      </c>
      <c r="G97" s="35" t="n">
        <v>2.6</v>
      </c>
      <c r="H97" s="35" t="n">
        <v>15.5</v>
      </c>
      <c r="I97" s="10" t="inlineStr">
        <is>
          <t>450×550</t>
        </is>
      </c>
      <c r="J97" s="10" t="n">
        <v>4</v>
      </c>
      <c r="K97" s="10" t="n">
        <v>4</v>
      </c>
      <c r="L97" s="10" t="n">
        <v>0</v>
      </c>
      <c r="M97" s="10" t="inlineStr">
        <is>
          <t>Nº3 cerrado</t>
        </is>
      </c>
      <c r="N97" s="10" t="n">
        <v>2</v>
      </c>
      <c r="O97" s="35" t="n">
        <v>120</v>
      </c>
      <c r="P97" s="35" t="n">
        <v>240</v>
      </c>
      <c r="Q97" s="35" t="n">
        <v>0.1998988697849192</v>
      </c>
      <c r="R97" s="10" t="inlineStr">
        <is>
          <t>SÍ</t>
        </is>
      </c>
      <c r="S97" s="15" t="inlineStr">
        <is>
          <t>CUMPLE</t>
        </is>
      </c>
      <c r="T97" s="3" t="inlineStr">
        <is>
          <t>coordinar con planta y reanálisis global</t>
        </is>
      </c>
    </row>
    <row r="98">
      <c r="A98" s="17" t="inlineStr">
        <is>
          <t>VC3</t>
        </is>
      </c>
      <c r="B98" s="10" t="inlineStr">
        <is>
          <t>1035</t>
        </is>
      </c>
      <c r="C98" s="10" t="inlineStr">
        <is>
          <t>623</t>
        </is>
      </c>
      <c r="D98" s="10" t="inlineStr">
        <is>
          <t>626</t>
        </is>
      </c>
      <c r="E98" s="35" t="n">
        <v>4</v>
      </c>
      <c r="F98" s="35" t="n">
        <v>2</v>
      </c>
      <c r="G98" s="35" t="n">
        <v>33.6</v>
      </c>
      <c r="H98" s="35" t="n">
        <v>15.5</v>
      </c>
      <c r="I98" s="10" t="inlineStr">
        <is>
          <t>450×550</t>
        </is>
      </c>
      <c r="J98" s="10" t="n">
        <v>4</v>
      </c>
      <c r="K98" s="10" t="n">
        <v>4</v>
      </c>
      <c r="L98" s="10" t="n">
        <v>0</v>
      </c>
      <c r="M98" s="10" t="inlineStr">
        <is>
          <t>Nº3 cerrado</t>
        </is>
      </c>
      <c r="N98" s="10" t="n">
        <v>2</v>
      </c>
      <c r="O98" s="35" t="n">
        <v>120</v>
      </c>
      <c r="P98" s="35" t="n">
        <v>240</v>
      </c>
      <c r="Q98" s="35" t="n">
        <v>0.1999004323256246</v>
      </c>
      <c r="R98" s="10" t="inlineStr">
        <is>
          <t>SÍ</t>
        </is>
      </c>
      <c r="S98" s="15" t="inlineStr">
        <is>
          <t>CUMPLE</t>
        </is>
      </c>
      <c r="T98" s="3" t="inlineStr">
        <is>
          <t>coordinar con planta y reanálisis global</t>
        </is>
      </c>
    </row>
    <row r="99">
      <c r="A99" s="17" t="inlineStr">
        <is>
          <t>VC3</t>
        </is>
      </c>
      <c r="B99" s="10" t="inlineStr">
        <is>
          <t>1036</t>
        </is>
      </c>
      <c r="C99" s="10" t="inlineStr">
        <is>
          <t>626</t>
        </is>
      </c>
      <c r="D99" s="10" t="inlineStr">
        <is>
          <t>648</t>
        </is>
      </c>
      <c r="E99" s="35" t="n">
        <v>3.81477</v>
      </c>
      <c r="F99" s="35" t="n">
        <v>5.875</v>
      </c>
      <c r="G99" s="35" t="n">
        <v>33.25</v>
      </c>
      <c r="H99" s="35" t="n">
        <v>15.5</v>
      </c>
      <c r="I99" s="10" t="inlineStr">
        <is>
          <t>450×550</t>
        </is>
      </c>
      <c r="J99" s="10" t="n">
        <v>4</v>
      </c>
      <c r="K99" s="10" t="n">
        <v>4</v>
      </c>
      <c r="L99" s="10" t="n">
        <v>8</v>
      </c>
      <c r="M99" s="10" t="inlineStr">
        <is>
          <t>Nº3 cerrado</t>
        </is>
      </c>
      <c r="N99" s="10" t="n">
        <v>2</v>
      </c>
      <c r="O99" s="35" t="n">
        <v>120</v>
      </c>
      <c r="P99" s="35" t="n">
        <v>200</v>
      </c>
      <c r="Q99" s="35" t="n">
        <v>0.2631313979347181</v>
      </c>
      <c r="R99" s="10" t="inlineStr">
        <is>
          <t>SÍ</t>
        </is>
      </c>
      <c r="S99" s="15" t="inlineStr">
        <is>
          <t>CUMPLE</t>
        </is>
      </c>
      <c r="T99" s="3" t="inlineStr">
        <is>
          <t>coordinar con planta y reanálisis global</t>
        </is>
      </c>
    </row>
    <row r="100">
      <c r="A100" s="17" t="inlineStr">
        <is>
          <t>VC3</t>
        </is>
      </c>
      <c r="B100" s="10" t="inlineStr">
        <is>
          <t>1037</t>
        </is>
      </c>
      <c r="C100" s="10" t="inlineStr">
        <is>
          <t>648</t>
        </is>
      </c>
      <c r="D100" s="10" t="inlineStr">
        <is>
          <t>650</t>
        </is>
      </c>
      <c r="E100" s="35" t="n">
        <v>3.81477</v>
      </c>
      <c r="F100" s="35" t="n">
        <v>9.625</v>
      </c>
      <c r="G100" s="35" t="n">
        <v>33.25</v>
      </c>
      <c r="H100" s="35" t="n">
        <v>15.5</v>
      </c>
      <c r="I100" s="10" t="inlineStr">
        <is>
          <t>450×550</t>
        </is>
      </c>
      <c r="J100" s="10" t="n">
        <v>4</v>
      </c>
      <c r="K100" s="10" t="n">
        <v>4</v>
      </c>
      <c r="L100" s="10" t="n">
        <v>8</v>
      </c>
      <c r="M100" s="10" t="inlineStr">
        <is>
          <t>Nº3 cerrado</t>
        </is>
      </c>
      <c r="N100" s="10" t="n">
        <v>2</v>
      </c>
      <c r="O100" s="35" t="n">
        <v>120</v>
      </c>
      <c r="P100" s="35" t="n">
        <v>200</v>
      </c>
      <c r="Q100" s="35" t="n">
        <v>0.2631094731972931</v>
      </c>
      <c r="R100" s="10" t="inlineStr">
        <is>
          <t>SÍ</t>
        </is>
      </c>
      <c r="S100" s="15" t="inlineStr">
        <is>
          <t>CUMPLE</t>
        </is>
      </c>
      <c r="T100" s="3" t="inlineStr">
        <is>
          <t>coordinar con planta y reanálisis global</t>
        </is>
      </c>
    </row>
    <row r="101">
      <c r="A101" s="17" t="inlineStr">
        <is>
          <t>VC3</t>
        </is>
      </c>
      <c r="B101" s="10" t="inlineStr">
        <is>
          <t>1038</t>
        </is>
      </c>
      <c r="C101" s="10" t="inlineStr">
        <is>
          <t>650</t>
        </is>
      </c>
      <c r="D101" s="10" t="inlineStr">
        <is>
          <t>672</t>
        </is>
      </c>
      <c r="E101" s="35" t="n">
        <v>4</v>
      </c>
      <c r="F101" s="35" t="n">
        <v>13.5</v>
      </c>
      <c r="G101" s="35" t="n">
        <v>33.6</v>
      </c>
      <c r="H101" s="35" t="n">
        <v>15.5</v>
      </c>
      <c r="I101" s="10" t="inlineStr">
        <is>
          <t>450×550</t>
        </is>
      </c>
      <c r="J101" s="10" t="n">
        <v>4</v>
      </c>
      <c r="K101" s="10" t="n">
        <v>4</v>
      </c>
      <c r="L101" s="10" t="n">
        <v>0</v>
      </c>
      <c r="M101" s="10" t="inlineStr">
        <is>
          <t>Nº3 cerrado</t>
        </is>
      </c>
      <c r="N101" s="10" t="n">
        <v>2</v>
      </c>
      <c r="O101" s="35" t="n">
        <v>120</v>
      </c>
      <c r="P101" s="35" t="n">
        <v>240</v>
      </c>
      <c r="Q101" s="35" t="n">
        <v>0.199895709828272</v>
      </c>
      <c r="R101" s="10" t="inlineStr">
        <is>
          <t>SÍ</t>
        </is>
      </c>
      <c r="S101" s="15" t="inlineStr">
        <is>
          <t>CUMPLE</t>
        </is>
      </c>
      <c r="T101" s="3" t="inlineStr">
        <is>
          <t>coordinar con planta y reanálisis global</t>
        </is>
      </c>
    </row>
    <row r="102">
      <c r="A102" s="18" t="inlineStr">
        <is>
          <t>VC4</t>
        </is>
      </c>
      <c r="B102" s="10" t="inlineStr">
        <is>
          <t>61</t>
        </is>
      </c>
      <c r="C102" s="10" t="inlineStr">
        <is>
          <t>3</t>
        </is>
      </c>
      <c r="D102" s="10" t="inlineStr">
        <is>
          <t>23</t>
        </is>
      </c>
      <c r="E102" s="35" t="n">
        <v>3.85</v>
      </c>
      <c r="F102" s="35" t="n">
        <v>1.925</v>
      </c>
      <c r="G102" s="35" t="n">
        <v>6.25</v>
      </c>
      <c r="H102" s="35" t="n">
        <v>3.5</v>
      </c>
      <c r="I102" s="10" t="inlineStr">
        <is>
          <t>450×550</t>
        </is>
      </c>
      <c r="J102" s="10" t="n">
        <v>6</v>
      </c>
      <c r="K102" s="10" t="n">
        <v>5</v>
      </c>
      <c r="L102" s="10" t="n">
        <v>8</v>
      </c>
      <c r="M102" s="10" t="inlineStr">
        <is>
          <t>Nº4 cerrado</t>
        </is>
      </c>
      <c r="N102" s="10" t="n">
        <v>4</v>
      </c>
      <c r="O102" s="35" t="n">
        <v>120</v>
      </c>
      <c r="P102" s="35" t="n">
        <v>120</v>
      </c>
      <c r="Q102" s="35" t="n">
        <v>1.073695339225447</v>
      </c>
      <c r="R102" s="10" t="inlineStr">
        <is>
          <t>SÍ</t>
        </is>
      </c>
      <c r="S102" s="19" t="inlineStr">
        <is>
          <t>NO CUMPLE</t>
        </is>
      </c>
      <c r="T102" s="3" t="inlineStr">
        <is>
          <t>aumentar sección por interacción V-T; demostrar compatibilidad antes de reducir Tu</t>
        </is>
      </c>
    </row>
    <row r="103">
      <c r="A103" s="18" t="inlineStr">
        <is>
          <t>VC4</t>
        </is>
      </c>
      <c r="B103" s="10" t="inlineStr">
        <is>
          <t>62</t>
        </is>
      </c>
      <c r="C103" s="10" t="inlineStr">
        <is>
          <t>47</t>
        </is>
      </c>
      <c r="D103" s="10" t="inlineStr">
        <is>
          <t>52</t>
        </is>
      </c>
      <c r="E103" s="35" t="n">
        <v>3.85</v>
      </c>
      <c r="F103" s="35" t="n">
        <v>13.575</v>
      </c>
      <c r="G103" s="35" t="n">
        <v>6.25</v>
      </c>
      <c r="H103" s="35" t="n">
        <v>3.5</v>
      </c>
      <c r="I103" s="10" t="inlineStr">
        <is>
          <t>450×550</t>
        </is>
      </c>
      <c r="J103" s="10" t="n">
        <v>6</v>
      </c>
      <c r="K103" s="10" t="n">
        <v>5</v>
      </c>
      <c r="L103" s="10" t="n">
        <v>8</v>
      </c>
      <c r="M103" s="10" t="inlineStr">
        <is>
          <t>Nº4 cerrado</t>
        </is>
      </c>
      <c r="N103" s="10" t="n">
        <v>4</v>
      </c>
      <c r="O103" s="35" t="n">
        <v>120</v>
      </c>
      <c r="P103" s="35" t="n">
        <v>120</v>
      </c>
      <c r="Q103" s="35" t="n">
        <v>1.073657738859551</v>
      </c>
      <c r="R103" s="10" t="inlineStr">
        <is>
          <t>SÍ</t>
        </is>
      </c>
      <c r="S103" s="19" t="inlineStr">
        <is>
          <t>NO CUMPLE</t>
        </is>
      </c>
      <c r="T103" s="3" t="inlineStr">
        <is>
          <t>aumentar sección por interacción V-T; demostrar compatibilidad antes de reducir Tu</t>
        </is>
      </c>
    </row>
    <row r="104">
      <c r="A104" s="18" t="inlineStr">
        <is>
          <t>VC4</t>
        </is>
      </c>
      <c r="B104" s="10" t="inlineStr">
        <is>
          <t>87</t>
        </is>
      </c>
      <c r="C104" s="10" t="inlineStr">
        <is>
          <t>10</t>
        </is>
      </c>
      <c r="D104" s="10" t="inlineStr">
        <is>
          <t>15</t>
        </is>
      </c>
      <c r="E104" s="35" t="n">
        <v>3.85</v>
      </c>
      <c r="F104" s="35" t="n">
        <v>1.925</v>
      </c>
      <c r="G104" s="35" t="n">
        <v>29.95</v>
      </c>
      <c r="H104" s="35" t="n">
        <v>3.5</v>
      </c>
      <c r="I104" s="10" t="inlineStr">
        <is>
          <t>450×550</t>
        </is>
      </c>
      <c r="J104" s="10" t="n">
        <v>6</v>
      </c>
      <c r="K104" s="10" t="n">
        <v>5</v>
      </c>
      <c r="L104" s="10" t="n">
        <v>8</v>
      </c>
      <c r="M104" s="10" t="inlineStr">
        <is>
          <t>Nº4 cerrado</t>
        </is>
      </c>
      <c r="N104" s="10" t="n">
        <v>4</v>
      </c>
      <c r="O104" s="35" t="n">
        <v>120</v>
      </c>
      <c r="P104" s="35" t="n">
        <v>120</v>
      </c>
      <c r="Q104" s="35" t="n">
        <v>1.073722703267391</v>
      </c>
      <c r="R104" s="10" t="inlineStr">
        <is>
          <t>SÍ</t>
        </is>
      </c>
      <c r="S104" s="19" t="inlineStr">
        <is>
          <t>NO CUMPLE</t>
        </is>
      </c>
      <c r="T104" s="3" t="inlineStr">
        <is>
          <t>aumentar sección por interacción V-T; demostrar compatibilidad antes de reducir Tu</t>
        </is>
      </c>
    </row>
    <row r="105">
      <c r="A105" s="18" t="inlineStr">
        <is>
          <t>VC4</t>
        </is>
      </c>
      <c r="B105" s="10" t="inlineStr">
        <is>
          <t>88</t>
        </is>
      </c>
      <c r="C105" s="10" t="inlineStr">
        <is>
          <t>39</t>
        </is>
      </c>
      <c r="D105" s="10" t="inlineStr">
        <is>
          <t>59</t>
        </is>
      </c>
      <c r="E105" s="35" t="n">
        <v>3.85</v>
      </c>
      <c r="F105" s="35" t="n">
        <v>13.575</v>
      </c>
      <c r="G105" s="35" t="n">
        <v>29.95</v>
      </c>
      <c r="H105" s="35" t="n">
        <v>3.5</v>
      </c>
      <c r="I105" s="10" t="inlineStr">
        <is>
          <t>450×550</t>
        </is>
      </c>
      <c r="J105" s="10" t="n">
        <v>6</v>
      </c>
      <c r="K105" s="10" t="n">
        <v>5</v>
      </c>
      <c r="L105" s="10" t="n">
        <v>8</v>
      </c>
      <c r="M105" s="10" t="inlineStr">
        <is>
          <t>Nº4 cerrado</t>
        </is>
      </c>
      <c r="N105" s="10" t="n">
        <v>4</v>
      </c>
      <c r="O105" s="35" t="n">
        <v>120</v>
      </c>
      <c r="P105" s="35" t="n">
        <v>120</v>
      </c>
      <c r="Q105" s="35" t="n">
        <v>1.073741193455616</v>
      </c>
      <c r="R105" s="10" t="inlineStr">
        <is>
          <t>SÍ</t>
        </is>
      </c>
      <c r="S105" s="19" t="inlineStr">
        <is>
          <t>NO CUMPLE</t>
        </is>
      </c>
      <c r="T105" s="3" t="inlineStr">
        <is>
          <t>aumentar sección por interacción V-T; demostrar compatibilidad antes de reducir Tu</t>
        </is>
      </c>
    </row>
    <row r="106">
      <c r="A106" s="18" t="inlineStr">
        <is>
          <t>VC4</t>
        </is>
      </c>
      <c r="B106" s="10" t="inlineStr">
        <is>
          <t>261</t>
        </is>
      </c>
      <c r="C106" s="10" t="inlineStr">
        <is>
          <t>129</t>
        </is>
      </c>
      <c r="D106" s="10" t="inlineStr">
        <is>
          <t>149</t>
        </is>
      </c>
      <c r="E106" s="35" t="n">
        <v>3.85</v>
      </c>
      <c r="F106" s="35" t="n">
        <v>1.925</v>
      </c>
      <c r="G106" s="35" t="n">
        <v>6.25</v>
      </c>
      <c r="H106" s="35" t="n">
        <v>6.5</v>
      </c>
      <c r="I106" s="10" t="inlineStr">
        <is>
          <t>450×550</t>
        </is>
      </c>
      <c r="J106" s="10" t="n">
        <v>5</v>
      </c>
      <c r="K106" s="10" t="n">
        <v>5</v>
      </c>
      <c r="L106" s="10" t="n">
        <v>8</v>
      </c>
      <c r="M106" s="10" t="inlineStr">
        <is>
          <t>Nº3 cerrado</t>
        </is>
      </c>
      <c r="N106" s="10" t="n">
        <v>4</v>
      </c>
      <c r="O106" s="35" t="n">
        <v>80</v>
      </c>
      <c r="P106" s="35" t="n">
        <v>80</v>
      </c>
      <c r="Q106" s="35" t="n">
        <v>0.9309946207206563</v>
      </c>
      <c r="R106" s="10" t="inlineStr">
        <is>
          <t>SÍ</t>
        </is>
      </c>
      <c r="S106" s="15" t="inlineStr">
        <is>
          <t>CUMPLE</t>
        </is>
      </c>
      <c r="T106" s="3" t="inlineStr">
        <is>
          <t>demostrar compatibilidad antes de reducir Tu</t>
        </is>
      </c>
    </row>
    <row r="107">
      <c r="A107" s="18" t="inlineStr">
        <is>
          <t>VC4</t>
        </is>
      </c>
      <c r="B107" s="10" t="inlineStr">
        <is>
          <t>262</t>
        </is>
      </c>
      <c r="C107" s="10" t="inlineStr">
        <is>
          <t>173</t>
        </is>
      </c>
      <c r="D107" s="10" t="inlineStr">
        <is>
          <t>178</t>
        </is>
      </c>
      <c r="E107" s="35" t="n">
        <v>3.85</v>
      </c>
      <c r="F107" s="35" t="n">
        <v>13.575</v>
      </c>
      <c r="G107" s="35" t="n">
        <v>6.25</v>
      </c>
      <c r="H107" s="35" t="n">
        <v>6.5</v>
      </c>
      <c r="I107" s="10" t="inlineStr">
        <is>
          <t>450×550</t>
        </is>
      </c>
      <c r="J107" s="10" t="n">
        <v>6</v>
      </c>
      <c r="K107" s="10" t="n">
        <v>5</v>
      </c>
      <c r="L107" s="10" t="n">
        <v>8</v>
      </c>
      <c r="M107" s="10" t="inlineStr">
        <is>
          <t>Nº3 cerrado</t>
        </is>
      </c>
      <c r="N107" s="10" t="n">
        <v>4</v>
      </c>
      <c r="O107" s="35" t="n">
        <v>80</v>
      </c>
      <c r="P107" s="35" t="n">
        <v>80</v>
      </c>
      <c r="Q107" s="35" t="n">
        <v>0.9310440197151062</v>
      </c>
      <c r="R107" s="10" t="inlineStr">
        <is>
          <t>SÍ</t>
        </is>
      </c>
      <c r="S107" s="15" t="inlineStr">
        <is>
          <t>CUMPLE</t>
        </is>
      </c>
      <c r="T107" s="3" t="inlineStr">
        <is>
          <t>demostrar compatibilidad antes de reducir Tu</t>
        </is>
      </c>
    </row>
    <row r="108">
      <c r="A108" s="18" t="inlineStr">
        <is>
          <t>VC4</t>
        </is>
      </c>
      <c r="B108" s="10" t="inlineStr">
        <is>
          <t>287</t>
        </is>
      </c>
      <c r="C108" s="10" t="inlineStr">
        <is>
          <t>136</t>
        </is>
      </c>
      <c r="D108" s="10" t="inlineStr">
        <is>
          <t>141</t>
        </is>
      </c>
      <c r="E108" s="35" t="n">
        <v>3.85</v>
      </c>
      <c r="F108" s="35" t="n">
        <v>1.925</v>
      </c>
      <c r="G108" s="35" t="n">
        <v>29.95</v>
      </c>
      <c r="H108" s="35" t="n">
        <v>6.5</v>
      </c>
      <c r="I108" s="10" t="inlineStr">
        <is>
          <t>450×550</t>
        </is>
      </c>
      <c r="J108" s="10" t="n">
        <v>5</v>
      </c>
      <c r="K108" s="10" t="n">
        <v>5</v>
      </c>
      <c r="L108" s="10" t="n">
        <v>8</v>
      </c>
      <c r="M108" s="10" t="inlineStr">
        <is>
          <t>Nº3 cerrado</t>
        </is>
      </c>
      <c r="N108" s="10" t="n">
        <v>4</v>
      </c>
      <c r="O108" s="35" t="n">
        <v>80</v>
      </c>
      <c r="P108" s="35" t="n">
        <v>80</v>
      </c>
      <c r="Q108" s="35" t="n">
        <v>0.9311339448392157</v>
      </c>
      <c r="R108" s="10" t="inlineStr">
        <is>
          <t>SÍ</t>
        </is>
      </c>
      <c r="S108" s="15" t="inlineStr">
        <is>
          <t>CUMPLE</t>
        </is>
      </c>
      <c r="T108" s="3" t="inlineStr">
        <is>
          <t>demostrar compatibilidad antes de reducir Tu</t>
        </is>
      </c>
    </row>
    <row r="109">
      <c r="A109" s="18" t="inlineStr">
        <is>
          <t>VC4</t>
        </is>
      </c>
      <c r="B109" s="10" t="inlineStr">
        <is>
          <t>288</t>
        </is>
      </c>
      <c r="C109" s="10" t="inlineStr">
        <is>
          <t>165</t>
        </is>
      </c>
      <c r="D109" s="10" t="inlineStr">
        <is>
          <t>185</t>
        </is>
      </c>
      <c r="E109" s="35" t="n">
        <v>3.85</v>
      </c>
      <c r="F109" s="35" t="n">
        <v>13.575</v>
      </c>
      <c r="G109" s="35" t="n">
        <v>29.95</v>
      </c>
      <c r="H109" s="35" t="n">
        <v>6.5</v>
      </c>
      <c r="I109" s="10" t="inlineStr">
        <is>
          <t>450×550</t>
        </is>
      </c>
      <c r="J109" s="10" t="n">
        <v>6</v>
      </c>
      <c r="K109" s="10" t="n">
        <v>5</v>
      </c>
      <c r="L109" s="10" t="n">
        <v>8</v>
      </c>
      <c r="M109" s="10" t="inlineStr">
        <is>
          <t>Nº3 cerrado</t>
        </is>
      </c>
      <c r="N109" s="10" t="n">
        <v>4</v>
      </c>
      <c r="O109" s="35" t="n">
        <v>80</v>
      </c>
      <c r="P109" s="35" t="n">
        <v>80</v>
      </c>
      <c r="Q109" s="35" t="n">
        <v>0.9311363275244209</v>
      </c>
      <c r="R109" s="10" t="inlineStr">
        <is>
          <t>SÍ</t>
        </is>
      </c>
      <c r="S109" s="15" t="inlineStr">
        <is>
          <t>CUMPLE</t>
        </is>
      </c>
      <c r="T109" s="3" t="inlineStr">
        <is>
          <t>demostrar compatibilidad antes de reducir Tu</t>
        </is>
      </c>
    </row>
    <row r="110">
      <c r="A110" s="18" t="inlineStr">
        <is>
          <t>VC4</t>
        </is>
      </c>
      <c r="B110" s="10" t="inlineStr">
        <is>
          <t>819</t>
        </is>
      </c>
      <c r="C110" s="10" t="inlineStr">
        <is>
          <t>493</t>
        </is>
      </c>
      <c r="D110" s="10" t="inlineStr">
        <is>
          <t>513</t>
        </is>
      </c>
      <c r="E110" s="35" t="n">
        <v>3.85</v>
      </c>
      <c r="F110" s="35" t="n">
        <v>1.925</v>
      </c>
      <c r="G110" s="35" t="n">
        <v>6.25</v>
      </c>
      <c r="H110" s="35" t="n">
        <v>9.5</v>
      </c>
      <c r="I110" s="10" t="inlineStr">
        <is>
          <t>450×550</t>
        </is>
      </c>
      <c r="J110" s="10" t="n">
        <v>4</v>
      </c>
      <c r="K110" s="10" t="n">
        <v>4</v>
      </c>
      <c r="L110" s="10" t="n">
        <v>8</v>
      </c>
      <c r="M110" s="10" t="inlineStr">
        <is>
          <t>Nº4 cerrado</t>
        </is>
      </c>
      <c r="N110" s="10" t="n">
        <v>2</v>
      </c>
      <c r="O110" s="35" t="n">
        <v>110</v>
      </c>
      <c r="P110" s="35" t="n">
        <v>110</v>
      </c>
      <c r="Q110" s="35" t="n">
        <v>0.6983620383729946</v>
      </c>
      <c r="R110" s="10" t="inlineStr">
        <is>
          <t>SÍ</t>
        </is>
      </c>
      <c r="S110" s="15" t="inlineStr">
        <is>
          <t>CUMPLE</t>
        </is>
      </c>
      <c r="T110" s="3" t="inlineStr">
        <is>
          <t>demostrar compatibilidad antes de reducir Tu</t>
        </is>
      </c>
    </row>
    <row r="111">
      <c r="A111" s="18" t="inlineStr">
        <is>
          <t>VC4</t>
        </is>
      </c>
      <c r="B111" s="10" t="inlineStr">
        <is>
          <t>820</t>
        </is>
      </c>
      <c r="C111" s="10" t="inlineStr">
        <is>
          <t>537</t>
        </is>
      </c>
      <c r="D111" s="10" t="inlineStr">
        <is>
          <t>542</t>
        </is>
      </c>
      <c r="E111" s="35" t="n">
        <v>3.85</v>
      </c>
      <c r="F111" s="35" t="n">
        <v>13.575</v>
      </c>
      <c r="G111" s="35" t="n">
        <v>6.25</v>
      </c>
      <c r="H111" s="35" t="n">
        <v>9.5</v>
      </c>
      <c r="I111" s="10" t="inlineStr">
        <is>
          <t>450×550</t>
        </is>
      </c>
      <c r="J111" s="10" t="n">
        <v>4</v>
      </c>
      <c r="K111" s="10" t="n">
        <v>4</v>
      </c>
      <c r="L111" s="10" t="n">
        <v>8</v>
      </c>
      <c r="M111" s="10" t="inlineStr">
        <is>
          <t>Nº4 cerrado</t>
        </is>
      </c>
      <c r="N111" s="10" t="n">
        <v>2</v>
      </c>
      <c r="O111" s="35" t="n">
        <v>110</v>
      </c>
      <c r="P111" s="35" t="n">
        <v>110</v>
      </c>
      <c r="Q111" s="35" t="n">
        <v>0.6983824013689793</v>
      </c>
      <c r="R111" s="10" t="inlineStr">
        <is>
          <t>SÍ</t>
        </is>
      </c>
      <c r="S111" s="15" t="inlineStr">
        <is>
          <t>CUMPLE</t>
        </is>
      </c>
      <c r="T111" s="3" t="inlineStr">
        <is>
          <t>demostrar compatibilidad antes de reducir Tu</t>
        </is>
      </c>
    </row>
    <row r="112">
      <c r="A112" s="18" t="inlineStr">
        <is>
          <t>VC4</t>
        </is>
      </c>
      <c r="B112" s="10" t="inlineStr">
        <is>
          <t>845</t>
        </is>
      </c>
      <c r="C112" s="10" t="inlineStr">
        <is>
          <t>500</t>
        </is>
      </c>
      <c r="D112" s="10" t="inlineStr">
        <is>
          <t>505</t>
        </is>
      </c>
      <c r="E112" s="35" t="n">
        <v>3.85</v>
      </c>
      <c r="F112" s="35" t="n">
        <v>1.925</v>
      </c>
      <c r="G112" s="35" t="n">
        <v>29.95</v>
      </c>
      <c r="H112" s="35" t="n">
        <v>9.5</v>
      </c>
      <c r="I112" s="10" t="inlineStr">
        <is>
          <t>450×550</t>
        </is>
      </c>
      <c r="J112" s="10" t="n">
        <v>4</v>
      </c>
      <c r="K112" s="10" t="n">
        <v>4</v>
      </c>
      <c r="L112" s="10" t="n">
        <v>8</v>
      </c>
      <c r="M112" s="10" t="inlineStr">
        <is>
          <t>Nº4 cerrado</t>
        </is>
      </c>
      <c r="N112" s="10" t="n">
        <v>2</v>
      </c>
      <c r="O112" s="35" t="n">
        <v>110</v>
      </c>
      <c r="P112" s="35" t="n">
        <v>110</v>
      </c>
      <c r="Q112" s="35" t="n">
        <v>0.6984893636503037</v>
      </c>
      <c r="R112" s="10" t="inlineStr">
        <is>
          <t>SÍ</t>
        </is>
      </c>
      <c r="S112" s="15" t="inlineStr">
        <is>
          <t>CUMPLE</t>
        </is>
      </c>
      <c r="T112" s="3" t="inlineStr">
        <is>
          <t>demostrar compatibilidad antes de reducir Tu</t>
        </is>
      </c>
    </row>
    <row r="113">
      <c r="A113" s="18" t="inlineStr">
        <is>
          <t>VC4</t>
        </is>
      </c>
      <c r="B113" s="10" t="inlineStr">
        <is>
          <t>846</t>
        </is>
      </c>
      <c r="C113" s="10" t="inlineStr">
        <is>
          <t>529</t>
        </is>
      </c>
      <c r="D113" s="10" t="inlineStr">
        <is>
          <t>549</t>
        </is>
      </c>
      <c r="E113" s="35" t="n">
        <v>3.85</v>
      </c>
      <c r="F113" s="35" t="n">
        <v>13.575</v>
      </c>
      <c r="G113" s="35" t="n">
        <v>29.95</v>
      </c>
      <c r="H113" s="35" t="n">
        <v>9.5</v>
      </c>
      <c r="I113" s="10" t="inlineStr">
        <is>
          <t>450×550</t>
        </is>
      </c>
      <c r="J113" s="10" t="n">
        <v>4</v>
      </c>
      <c r="K113" s="10" t="n">
        <v>4</v>
      </c>
      <c r="L113" s="10" t="n">
        <v>8</v>
      </c>
      <c r="M113" s="10" t="inlineStr">
        <is>
          <t>Nº4 cerrado</t>
        </is>
      </c>
      <c r="N113" s="10" t="n">
        <v>2</v>
      </c>
      <c r="O113" s="35" t="n">
        <v>110</v>
      </c>
      <c r="P113" s="35" t="n">
        <v>110</v>
      </c>
      <c r="Q113" s="35" t="n">
        <v>0.6984755382682543</v>
      </c>
      <c r="R113" s="10" t="inlineStr">
        <is>
          <t>SÍ</t>
        </is>
      </c>
      <c r="S113" s="15" t="inlineStr">
        <is>
          <t>CUMPLE</t>
        </is>
      </c>
      <c r="T113" s="3" t="inlineStr">
        <is>
          <t>demostrar compatibilidad antes de reducir Tu</t>
        </is>
      </c>
    </row>
    <row r="114">
      <c r="A114" s="18" t="inlineStr">
        <is>
          <t>VC4</t>
        </is>
      </c>
      <c r="B114" s="10" t="inlineStr">
        <is>
          <t>913</t>
        </is>
      </c>
      <c r="C114" s="10" t="inlineStr">
        <is>
          <t>554</t>
        </is>
      </c>
      <c r="D114" s="10" t="inlineStr">
        <is>
          <t>574</t>
        </is>
      </c>
      <c r="E114" s="35" t="n">
        <v>3.85</v>
      </c>
      <c r="F114" s="35" t="n">
        <v>1.925</v>
      </c>
      <c r="G114" s="35" t="n">
        <v>6.25</v>
      </c>
      <c r="H114" s="35" t="n">
        <v>12.5</v>
      </c>
      <c r="I114" s="10" t="inlineStr">
        <is>
          <t>450×550</t>
        </is>
      </c>
      <c r="J114" s="10" t="n">
        <v>4</v>
      </c>
      <c r="K114" s="10" t="n">
        <v>4</v>
      </c>
      <c r="L114" s="10" t="n">
        <v>8</v>
      </c>
      <c r="M114" s="10" t="inlineStr">
        <is>
          <t>Nº3 cerrado</t>
        </is>
      </c>
      <c r="N114" s="10" t="n">
        <v>2</v>
      </c>
      <c r="O114" s="35" t="n">
        <v>120</v>
      </c>
      <c r="P114" s="35" t="n">
        <v>130</v>
      </c>
      <c r="Q114" s="35" t="n">
        <v>0.4122977159387713</v>
      </c>
      <c r="R114" s="10" t="inlineStr">
        <is>
          <t>SÍ</t>
        </is>
      </c>
      <c r="S114" s="15" t="inlineStr">
        <is>
          <t>CUMPLE</t>
        </is>
      </c>
      <c r="T114" s="3" t="inlineStr">
        <is>
          <t>coordinar con planta y reanálisis global</t>
        </is>
      </c>
    </row>
    <row r="115">
      <c r="A115" s="18" t="inlineStr">
        <is>
          <t>VC4</t>
        </is>
      </c>
      <c r="B115" s="10" t="inlineStr">
        <is>
          <t>914</t>
        </is>
      </c>
      <c r="C115" s="10" t="inlineStr">
        <is>
          <t>598</t>
        </is>
      </c>
      <c r="D115" s="10" t="inlineStr">
        <is>
          <t>603</t>
        </is>
      </c>
      <c r="E115" s="35" t="n">
        <v>3.85</v>
      </c>
      <c r="F115" s="35" t="n">
        <v>13.575</v>
      </c>
      <c r="G115" s="35" t="n">
        <v>6.25</v>
      </c>
      <c r="H115" s="35" t="n">
        <v>12.5</v>
      </c>
      <c r="I115" s="10" t="inlineStr">
        <is>
          <t>450×550</t>
        </is>
      </c>
      <c r="J115" s="10" t="n">
        <v>4</v>
      </c>
      <c r="K115" s="10" t="n">
        <v>4</v>
      </c>
      <c r="L115" s="10" t="n">
        <v>8</v>
      </c>
      <c r="M115" s="10" t="inlineStr">
        <is>
          <t>Nº3 cerrado</t>
        </is>
      </c>
      <c r="N115" s="10" t="n">
        <v>2</v>
      </c>
      <c r="O115" s="35" t="n">
        <v>120</v>
      </c>
      <c r="P115" s="35" t="n">
        <v>130</v>
      </c>
      <c r="Q115" s="35" t="n">
        <v>0.4123174718257333</v>
      </c>
      <c r="R115" s="10" t="inlineStr">
        <is>
          <t>SÍ</t>
        </is>
      </c>
      <c r="S115" s="15" t="inlineStr">
        <is>
          <t>CUMPLE</t>
        </is>
      </c>
      <c r="T115" s="3" t="inlineStr">
        <is>
          <t>coordinar con planta y reanálisis global</t>
        </is>
      </c>
    </row>
    <row r="116">
      <c r="A116" s="18" t="inlineStr">
        <is>
          <t>VC4</t>
        </is>
      </c>
      <c r="B116" s="10" t="inlineStr">
        <is>
          <t>939</t>
        </is>
      </c>
      <c r="C116" s="10" t="inlineStr">
        <is>
          <t>561</t>
        </is>
      </c>
      <c r="D116" s="10" t="inlineStr">
        <is>
          <t>566</t>
        </is>
      </c>
      <c r="E116" s="35" t="n">
        <v>3.85</v>
      </c>
      <c r="F116" s="35" t="n">
        <v>1.925</v>
      </c>
      <c r="G116" s="35" t="n">
        <v>29.95</v>
      </c>
      <c r="H116" s="35" t="n">
        <v>12.5</v>
      </c>
      <c r="I116" s="10" t="inlineStr">
        <is>
          <t>450×550</t>
        </is>
      </c>
      <c r="J116" s="10" t="n">
        <v>4</v>
      </c>
      <c r="K116" s="10" t="n">
        <v>4</v>
      </c>
      <c r="L116" s="10" t="n">
        <v>8</v>
      </c>
      <c r="M116" s="10" t="inlineStr">
        <is>
          <t>Nº3 cerrado</t>
        </is>
      </c>
      <c r="N116" s="10" t="n">
        <v>2</v>
      </c>
      <c r="O116" s="35" t="n">
        <v>120</v>
      </c>
      <c r="P116" s="35" t="n">
        <v>130</v>
      </c>
      <c r="Q116" s="35" t="n">
        <v>0.4124160490494342</v>
      </c>
      <c r="R116" s="10" t="inlineStr">
        <is>
          <t>SÍ</t>
        </is>
      </c>
      <c r="S116" s="15" t="inlineStr">
        <is>
          <t>CUMPLE</t>
        </is>
      </c>
      <c r="T116" s="3" t="inlineStr">
        <is>
          <t>coordinar con planta y reanálisis global</t>
        </is>
      </c>
    </row>
    <row r="117">
      <c r="A117" s="18" t="inlineStr">
        <is>
          <t>VC4</t>
        </is>
      </c>
      <c r="B117" s="10" t="inlineStr">
        <is>
          <t>940</t>
        </is>
      </c>
      <c r="C117" s="10" t="inlineStr">
        <is>
          <t>590</t>
        </is>
      </c>
      <c r="D117" s="10" t="inlineStr">
        <is>
          <t>610</t>
        </is>
      </c>
      <c r="E117" s="35" t="n">
        <v>3.85</v>
      </c>
      <c r="F117" s="35" t="n">
        <v>13.575</v>
      </c>
      <c r="G117" s="35" t="n">
        <v>29.95</v>
      </c>
      <c r="H117" s="35" t="n">
        <v>12.5</v>
      </c>
      <c r="I117" s="10" t="inlineStr">
        <is>
          <t>450×550</t>
        </is>
      </c>
      <c r="J117" s="10" t="n">
        <v>4</v>
      </c>
      <c r="K117" s="10" t="n">
        <v>4</v>
      </c>
      <c r="L117" s="10" t="n">
        <v>8</v>
      </c>
      <c r="M117" s="10" t="inlineStr">
        <is>
          <t>Nº3 cerrado</t>
        </is>
      </c>
      <c r="N117" s="10" t="n">
        <v>2</v>
      </c>
      <c r="O117" s="35" t="n">
        <v>120</v>
      </c>
      <c r="P117" s="35" t="n">
        <v>130</v>
      </c>
      <c r="Q117" s="35" t="n">
        <v>0.4124050796022936</v>
      </c>
      <c r="R117" s="10" t="inlineStr">
        <is>
          <t>SÍ</t>
        </is>
      </c>
      <c r="S117" s="15" t="inlineStr">
        <is>
          <t>CUMPLE</t>
        </is>
      </c>
      <c r="T117" s="3" t="inlineStr">
        <is>
          <t>coordinar con planta y reanálisis global</t>
        </is>
      </c>
    </row>
    <row r="118">
      <c r="A118" s="18" t="inlineStr">
        <is>
          <t>VC4</t>
        </is>
      </c>
      <c r="B118" s="10" t="inlineStr">
        <is>
          <t>1007</t>
        </is>
      </c>
      <c r="C118" s="10" t="inlineStr">
        <is>
          <t>615</t>
        </is>
      </c>
      <c r="D118" s="10" t="inlineStr">
        <is>
          <t>635</t>
        </is>
      </c>
      <c r="E118" s="35" t="n">
        <v>3.85</v>
      </c>
      <c r="F118" s="35" t="n">
        <v>1.925</v>
      </c>
      <c r="G118" s="35" t="n">
        <v>6.25</v>
      </c>
      <c r="H118" s="35" t="n">
        <v>15.5</v>
      </c>
      <c r="I118" s="10" t="inlineStr">
        <is>
          <t>450×550</t>
        </is>
      </c>
      <c r="J118" s="10" t="n">
        <v>4</v>
      </c>
      <c r="K118" s="10" t="n">
        <v>4</v>
      </c>
      <c r="L118" s="10" t="n">
        <v>0</v>
      </c>
      <c r="M118" s="10" t="inlineStr">
        <is>
          <t>Nº3 cerrado</t>
        </is>
      </c>
      <c r="N118" s="10" t="n">
        <v>2</v>
      </c>
      <c r="O118" s="35" t="n">
        <v>120</v>
      </c>
      <c r="P118" s="35" t="n">
        <v>240</v>
      </c>
      <c r="Q118" s="35" t="n">
        <v>0.2284838400961786</v>
      </c>
      <c r="R118" s="10" t="inlineStr">
        <is>
          <t>SÍ</t>
        </is>
      </c>
      <c r="S118" s="15" t="inlineStr">
        <is>
          <t>CUMPLE</t>
        </is>
      </c>
      <c r="T118" s="3" t="inlineStr">
        <is>
          <t>coordinar con planta y reanálisis global</t>
        </is>
      </c>
    </row>
    <row r="119">
      <c r="A119" s="18" t="inlineStr">
        <is>
          <t>VC4</t>
        </is>
      </c>
      <c r="B119" s="10" t="inlineStr">
        <is>
          <t>1008</t>
        </is>
      </c>
      <c r="C119" s="10" t="inlineStr">
        <is>
          <t>659</t>
        </is>
      </c>
      <c r="D119" s="10" t="inlineStr">
        <is>
          <t>664</t>
        </is>
      </c>
      <c r="E119" s="35" t="n">
        <v>3.85</v>
      </c>
      <c r="F119" s="35" t="n">
        <v>13.575</v>
      </c>
      <c r="G119" s="35" t="n">
        <v>6.25</v>
      </c>
      <c r="H119" s="35" t="n">
        <v>15.5</v>
      </c>
      <c r="I119" s="10" t="inlineStr">
        <is>
          <t>450×550</t>
        </is>
      </c>
      <c r="J119" s="10" t="n">
        <v>4</v>
      </c>
      <c r="K119" s="10" t="n">
        <v>4</v>
      </c>
      <c r="L119" s="10" t="n">
        <v>0</v>
      </c>
      <c r="M119" s="10" t="inlineStr">
        <is>
          <t>Nº3 cerrado</t>
        </is>
      </c>
      <c r="N119" s="10" t="n">
        <v>2</v>
      </c>
      <c r="O119" s="35" t="n">
        <v>120</v>
      </c>
      <c r="P119" s="35" t="n">
        <v>240</v>
      </c>
      <c r="Q119" s="35" t="n">
        <v>0.2285177407150308</v>
      </c>
      <c r="R119" s="10" t="inlineStr">
        <is>
          <t>SÍ</t>
        </is>
      </c>
      <c r="S119" s="15" t="inlineStr">
        <is>
          <t>CUMPLE</t>
        </is>
      </c>
      <c r="T119" s="3" t="inlineStr">
        <is>
          <t>coordinar con planta y reanálisis global</t>
        </is>
      </c>
    </row>
    <row r="120">
      <c r="A120" s="18" t="inlineStr">
        <is>
          <t>VC4</t>
        </is>
      </c>
      <c r="B120" s="10" t="inlineStr">
        <is>
          <t>1033</t>
        </is>
      </c>
      <c r="C120" s="10" t="inlineStr">
        <is>
          <t>622</t>
        </is>
      </c>
      <c r="D120" s="10" t="inlineStr">
        <is>
          <t>627</t>
        </is>
      </c>
      <c r="E120" s="35" t="n">
        <v>3.85</v>
      </c>
      <c r="F120" s="35" t="n">
        <v>1.925</v>
      </c>
      <c r="G120" s="35" t="n">
        <v>29.95</v>
      </c>
      <c r="H120" s="35" t="n">
        <v>15.5</v>
      </c>
      <c r="I120" s="10" t="inlineStr">
        <is>
          <t>450×550</t>
        </is>
      </c>
      <c r="J120" s="10" t="n">
        <v>4</v>
      </c>
      <c r="K120" s="10" t="n">
        <v>4</v>
      </c>
      <c r="L120" s="10" t="n">
        <v>0</v>
      </c>
      <c r="M120" s="10" t="inlineStr">
        <is>
          <t>Nº3 cerrado</t>
        </is>
      </c>
      <c r="N120" s="10" t="n">
        <v>2</v>
      </c>
      <c r="O120" s="35" t="n">
        <v>120</v>
      </c>
      <c r="P120" s="35" t="n">
        <v>240</v>
      </c>
      <c r="Q120" s="35" t="n">
        <v>0.2285477985212881</v>
      </c>
      <c r="R120" s="10" t="inlineStr">
        <is>
          <t>SÍ</t>
        </is>
      </c>
      <c r="S120" s="15" t="inlineStr">
        <is>
          <t>CUMPLE</t>
        </is>
      </c>
      <c r="T120" s="3" t="inlineStr">
        <is>
          <t>coordinar con planta y reanálisis global</t>
        </is>
      </c>
    </row>
    <row r="121">
      <c r="A121" s="18" t="inlineStr">
        <is>
          <t>VC4</t>
        </is>
      </c>
      <c r="B121" s="10" t="inlineStr">
        <is>
          <t>1034</t>
        </is>
      </c>
      <c r="C121" s="10" t="inlineStr">
        <is>
          <t>651</t>
        </is>
      </c>
      <c r="D121" s="10" t="inlineStr">
        <is>
          <t>671</t>
        </is>
      </c>
      <c r="E121" s="35" t="n">
        <v>3.85</v>
      </c>
      <c r="F121" s="35" t="n">
        <v>13.575</v>
      </c>
      <c r="G121" s="35" t="n">
        <v>29.95</v>
      </c>
      <c r="H121" s="35" t="n">
        <v>15.5</v>
      </c>
      <c r="I121" s="10" t="inlineStr">
        <is>
          <t>450×550</t>
        </is>
      </c>
      <c r="J121" s="10" t="n">
        <v>4</v>
      </c>
      <c r="K121" s="10" t="n">
        <v>4</v>
      </c>
      <c r="L121" s="10" t="n">
        <v>0</v>
      </c>
      <c r="M121" s="10" t="inlineStr">
        <is>
          <t>Nº3 cerrado</t>
        </is>
      </c>
      <c r="N121" s="10" t="n">
        <v>2</v>
      </c>
      <c r="O121" s="35" t="n">
        <v>120</v>
      </c>
      <c r="P121" s="35" t="n">
        <v>240</v>
      </c>
      <c r="Q121" s="35" t="n">
        <v>0.2285270459318043</v>
      </c>
      <c r="R121" s="10" t="inlineStr">
        <is>
          <t>SÍ</t>
        </is>
      </c>
      <c r="S121" s="15" t="inlineStr">
        <is>
          <t>CUMPLE</t>
        </is>
      </c>
      <c r="T121" s="3" t="inlineStr">
        <is>
          <t>coordinar con planta y reanálisis global</t>
        </is>
      </c>
    </row>
    <row r="122">
      <c r="A122" s="15" t="inlineStr">
        <is>
          <t>VC5</t>
        </is>
      </c>
      <c r="B122" s="10" t="inlineStr">
        <is>
          <t>63</t>
        </is>
      </c>
      <c r="C122" s="10" t="inlineStr">
        <is>
          <t>4</t>
        </is>
      </c>
      <c r="D122" s="10" t="inlineStr">
        <is>
          <t>22</t>
        </is>
      </c>
      <c r="E122" s="35" t="n">
        <v>3.85</v>
      </c>
      <c r="F122" s="35" t="n">
        <v>1.925</v>
      </c>
      <c r="G122" s="35" t="n">
        <v>8.85</v>
      </c>
      <c r="H122" s="35" t="n">
        <v>3.5</v>
      </c>
      <c r="I122" s="10" t="inlineStr">
        <is>
          <t>450×550</t>
        </is>
      </c>
      <c r="J122" s="10" t="n">
        <v>6</v>
      </c>
      <c r="K122" s="10" t="n">
        <v>5</v>
      </c>
      <c r="L122" s="10" t="n">
        <v>8</v>
      </c>
      <c r="M122" s="10" t="inlineStr">
        <is>
          <t>Nº4 cerrado</t>
        </is>
      </c>
      <c r="N122" s="10" t="n">
        <v>4</v>
      </c>
      <c r="O122" s="35" t="n">
        <v>120</v>
      </c>
      <c r="P122" s="35" t="n">
        <v>120</v>
      </c>
      <c r="Q122" s="35" t="n">
        <v>1.008998117741166</v>
      </c>
      <c r="R122" s="10" t="inlineStr">
        <is>
          <t>SÍ</t>
        </is>
      </c>
      <c r="S122" s="19" t="inlineStr">
        <is>
          <t>NO CUMPLE</t>
        </is>
      </c>
      <c r="T122" s="3" t="inlineStr">
        <is>
          <t>aumentar sección por interacción V-T; demostrar compatibilidad antes de reducir Tu</t>
        </is>
      </c>
    </row>
    <row r="123">
      <c r="A123" s="15" t="inlineStr">
        <is>
          <t>VC5</t>
        </is>
      </c>
      <c r="B123" s="10" t="inlineStr">
        <is>
          <t>64</t>
        </is>
      </c>
      <c r="C123" s="10" t="inlineStr">
        <is>
          <t>22</t>
        </is>
      </c>
      <c r="D123" s="10" t="inlineStr">
        <is>
          <t>28</t>
        </is>
      </c>
      <c r="E123" s="35" t="n">
        <v>3.9</v>
      </c>
      <c r="F123" s="35" t="n">
        <v>5.8</v>
      </c>
      <c r="G123" s="35" t="n">
        <v>8.85</v>
      </c>
      <c r="H123" s="35" t="n">
        <v>3.5</v>
      </c>
      <c r="I123" s="10" t="inlineStr">
        <is>
          <t>450×550</t>
        </is>
      </c>
      <c r="J123" s="10" t="n">
        <v>6</v>
      </c>
      <c r="K123" s="10" t="n">
        <v>4</v>
      </c>
      <c r="L123" s="10" t="n">
        <v>12</v>
      </c>
      <c r="M123" s="10" t="inlineStr">
        <is>
          <t>Nº4 cerrado (referencia)</t>
        </is>
      </c>
      <c r="N123" s="10" t="n">
        <v>4</v>
      </c>
      <c r="O123" s="35" t="n">
        <v>100</v>
      </c>
      <c r="P123" s="35" t="n">
        <v>100</v>
      </c>
      <c r="Q123" s="35" t="n">
        <v>1.513278279340665</v>
      </c>
      <c r="R123" s="10" t="inlineStr">
        <is>
          <t>NO</t>
        </is>
      </c>
      <c r="S123" s="19" t="inlineStr">
        <is>
          <t>NO CUMPLE</t>
        </is>
      </c>
      <c r="T123" s="3" t="inlineStr">
        <is>
          <t>aumentar sección por interacción V-T; rediseñar sección/estribo; demostrar compatibilidad antes de reducir Tu</t>
        </is>
      </c>
    </row>
    <row r="124">
      <c r="A124" s="15" t="inlineStr">
        <is>
          <t>VC5</t>
        </is>
      </c>
      <c r="B124" s="10" t="inlineStr">
        <is>
          <t>65</t>
        </is>
      </c>
      <c r="C124" s="10" t="inlineStr">
        <is>
          <t>28</t>
        </is>
      </c>
      <c r="D124" s="10" t="inlineStr">
        <is>
          <t>46</t>
        </is>
      </c>
      <c r="E124" s="35" t="n">
        <v>3.9</v>
      </c>
      <c r="F124" s="35" t="n">
        <v>9.699999999999999</v>
      </c>
      <c r="G124" s="35" t="n">
        <v>8.85</v>
      </c>
      <c r="H124" s="35" t="n">
        <v>3.5</v>
      </c>
      <c r="I124" s="10" t="inlineStr">
        <is>
          <t>450×550</t>
        </is>
      </c>
      <c r="J124" s="10" t="n">
        <v>6</v>
      </c>
      <c r="K124" s="10" t="n">
        <v>4</v>
      </c>
      <c r="L124" s="10" t="n">
        <v>12</v>
      </c>
      <c r="M124" s="10" t="inlineStr">
        <is>
          <t>Nº4 cerrado (referencia)</t>
        </is>
      </c>
      <c r="N124" s="10" t="n">
        <v>4</v>
      </c>
      <c r="O124" s="35" t="n">
        <v>100</v>
      </c>
      <c r="P124" s="35" t="n">
        <v>100</v>
      </c>
      <c r="Q124" s="35" t="n">
        <v>1.513848554965946</v>
      </c>
      <c r="R124" s="10" t="inlineStr">
        <is>
          <t>NO</t>
        </is>
      </c>
      <c r="S124" s="19" t="inlineStr">
        <is>
          <t>NO CUMPLE</t>
        </is>
      </c>
      <c r="T124" s="3" t="inlineStr">
        <is>
          <t>aumentar sección por interacción V-T; rediseñar sección/estribo; demostrar compatibilidad antes de reducir Tu</t>
        </is>
      </c>
    </row>
    <row r="125">
      <c r="A125" s="15" t="inlineStr">
        <is>
          <t>VC5</t>
        </is>
      </c>
      <c r="B125" s="10" t="inlineStr">
        <is>
          <t>66</t>
        </is>
      </c>
      <c r="C125" s="10" t="inlineStr">
        <is>
          <t>46</t>
        </is>
      </c>
      <c r="D125" s="10" t="inlineStr">
        <is>
          <t>53</t>
        </is>
      </c>
      <c r="E125" s="35" t="n">
        <v>3.85</v>
      </c>
      <c r="F125" s="35" t="n">
        <v>13.575</v>
      </c>
      <c r="G125" s="35" t="n">
        <v>8.85</v>
      </c>
      <c r="H125" s="35" t="n">
        <v>3.5</v>
      </c>
      <c r="I125" s="10" t="inlineStr">
        <is>
          <t>450×550</t>
        </is>
      </c>
      <c r="J125" s="10" t="n">
        <v>6</v>
      </c>
      <c r="K125" s="10" t="n">
        <v>5</v>
      </c>
      <c r="L125" s="10" t="n">
        <v>8</v>
      </c>
      <c r="M125" s="10" t="inlineStr">
        <is>
          <t>Nº4 cerrado</t>
        </is>
      </c>
      <c r="N125" s="10" t="n">
        <v>4</v>
      </c>
      <c r="O125" s="35" t="n">
        <v>120</v>
      </c>
      <c r="P125" s="35" t="n">
        <v>120</v>
      </c>
      <c r="Q125" s="35" t="n">
        <v>1.009019407883495</v>
      </c>
      <c r="R125" s="10" t="inlineStr">
        <is>
          <t>SÍ</t>
        </is>
      </c>
      <c r="S125" s="19" t="inlineStr">
        <is>
          <t>NO CUMPLE</t>
        </is>
      </c>
      <c r="T125" s="3" t="inlineStr">
        <is>
          <t>aumentar sección por interacción V-T; demostrar compatibilidad antes de reducir Tu</t>
        </is>
      </c>
    </row>
    <row r="126">
      <c r="A126" s="15" t="inlineStr">
        <is>
          <t>VC5</t>
        </is>
      </c>
      <c r="B126" s="10" t="inlineStr">
        <is>
          <t>83</t>
        </is>
      </c>
      <c r="C126" s="10" t="inlineStr">
        <is>
          <t>9</t>
        </is>
      </c>
      <c r="D126" s="10" t="inlineStr">
        <is>
          <t>16</t>
        </is>
      </c>
      <c r="E126" s="35" t="n">
        <v>3.85</v>
      </c>
      <c r="F126" s="35" t="n">
        <v>1.925</v>
      </c>
      <c r="G126" s="35" t="n">
        <v>27.35</v>
      </c>
      <c r="H126" s="35" t="n">
        <v>3.5</v>
      </c>
      <c r="I126" s="10" t="inlineStr">
        <is>
          <t>450×550</t>
        </is>
      </c>
      <c r="J126" s="10" t="n">
        <v>6</v>
      </c>
      <c r="K126" s="10" t="n">
        <v>5</v>
      </c>
      <c r="L126" s="10" t="n">
        <v>8</v>
      </c>
      <c r="M126" s="10" t="inlineStr">
        <is>
          <t>Nº4 cerrado</t>
        </is>
      </c>
      <c r="N126" s="10" t="n">
        <v>4</v>
      </c>
      <c r="O126" s="35" t="n">
        <v>120</v>
      </c>
      <c r="P126" s="35" t="n">
        <v>120</v>
      </c>
      <c r="Q126" s="35" t="n">
        <v>1.008950662994767</v>
      </c>
      <c r="R126" s="10" t="inlineStr">
        <is>
          <t>SÍ</t>
        </is>
      </c>
      <c r="S126" s="19" t="inlineStr">
        <is>
          <t>NO CUMPLE</t>
        </is>
      </c>
      <c r="T126" s="3" t="inlineStr">
        <is>
          <t>aumentar sección por interacción V-T; demostrar compatibilidad antes de reducir Tu</t>
        </is>
      </c>
    </row>
    <row r="127">
      <c r="A127" s="15" t="inlineStr">
        <is>
          <t>VC5</t>
        </is>
      </c>
      <c r="B127" s="10" t="inlineStr">
        <is>
          <t>84</t>
        </is>
      </c>
      <c r="C127" s="10" t="inlineStr">
        <is>
          <t>16</t>
        </is>
      </c>
      <c r="D127" s="10" t="inlineStr">
        <is>
          <t>34</t>
        </is>
      </c>
      <c r="E127" s="35" t="n">
        <v>3.9</v>
      </c>
      <c r="F127" s="35" t="n">
        <v>5.8</v>
      </c>
      <c r="G127" s="35" t="n">
        <v>27.35</v>
      </c>
      <c r="H127" s="35" t="n">
        <v>3.5</v>
      </c>
      <c r="I127" s="10" t="inlineStr">
        <is>
          <t>450×550</t>
        </is>
      </c>
      <c r="J127" s="10" t="n">
        <v>6</v>
      </c>
      <c r="K127" s="10" t="n">
        <v>4</v>
      </c>
      <c r="L127" s="10" t="n">
        <v>12</v>
      </c>
      <c r="M127" s="10" t="inlineStr">
        <is>
          <t>Nº4 cerrado (referencia)</t>
        </is>
      </c>
      <c r="N127" s="10" t="n">
        <v>4</v>
      </c>
      <c r="O127" s="35" t="n">
        <v>100</v>
      </c>
      <c r="P127" s="35" t="n">
        <v>100</v>
      </c>
      <c r="Q127" s="35" t="n">
        <v>1.514060047269857</v>
      </c>
      <c r="R127" s="10" t="inlineStr">
        <is>
          <t>NO</t>
        </is>
      </c>
      <c r="S127" s="19" t="inlineStr">
        <is>
          <t>NO CUMPLE</t>
        </is>
      </c>
      <c r="T127" s="3" t="inlineStr">
        <is>
          <t>aumentar sección por interacción V-T; rediseñar sección/estribo; demostrar compatibilidad antes de reducir Tu</t>
        </is>
      </c>
    </row>
    <row r="128">
      <c r="A128" s="15" t="inlineStr">
        <is>
          <t>VC5</t>
        </is>
      </c>
      <c r="B128" s="10" t="inlineStr">
        <is>
          <t>85</t>
        </is>
      </c>
      <c r="C128" s="10" t="inlineStr">
        <is>
          <t>34</t>
        </is>
      </c>
      <c r="D128" s="10" t="inlineStr">
        <is>
          <t>40</t>
        </is>
      </c>
      <c r="E128" s="35" t="n">
        <v>3.9</v>
      </c>
      <c r="F128" s="35" t="n">
        <v>9.699999999999999</v>
      </c>
      <c r="G128" s="35" t="n">
        <v>27.35</v>
      </c>
      <c r="H128" s="35" t="n">
        <v>3.5</v>
      </c>
      <c r="I128" s="10" t="inlineStr">
        <is>
          <t>450×550</t>
        </is>
      </c>
      <c r="J128" s="10" t="n">
        <v>6</v>
      </c>
      <c r="K128" s="10" t="n">
        <v>4</v>
      </c>
      <c r="L128" s="10" t="n">
        <v>12</v>
      </c>
      <c r="M128" s="10" t="inlineStr">
        <is>
          <t>Nº4 cerrado (referencia)</t>
        </is>
      </c>
      <c r="N128" s="10" t="n">
        <v>4</v>
      </c>
      <c r="O128" s="35" t="n">
        <v>100</v>
      </c>
      <c r="P128" s="35" t="n">
        <v>100</v>
      </c>
      <c r="Q128" s="35" t="n">
        <v>1.513397112035998</v>
      </c>
      <c r="R128" s="10" t="inlineStr">
        <is>
          <t>NO</t>
        </is>
      </c>
      <c r="S128" s="19" t="inlineStr">
        <is>
          <t>NO CUMPLE</t>
        </is>
      </c>
      <c r="T128" s="3" t="inlineStr">
        <is>
          <t>aumentar sección por interacción V-T; rediseñar sección/estribo; demostrar compatibilidad antes de reducir Tu</t>
        </is>
      </c>
    </row>
    <row r="129">
      <c r="A129" s="15" t="inlineStr">
        <is>
          <t>VC5</t>
        </is>
      </c>
      <c r="B129" s="10" t="inlineStr">
        <is>
          <t>86</t>
        </is>
      </c>
      <c r="C129" s="10" t="inlineStr">
        <is>
          <t>40</t>
        </is>
      </c>
      <c r="D129" s="10" t="inlineStr">
        <is>
          <t>58</t>
        </is>
      </c>
      <c r="E129" s="35" t="n">
        <v>3.85</v>
      </c>
      <c r="F129" s="35" t="n">
        <v>13.575</v>
      </c>
      <c r="G129" s="35" t="n">
        <v>27.35</v>
      </c>
      <c r="H129" s="35" t="n">
        <v>3.5</v>
      </c>
      <c r="I129" s="10" t="inlineStr">
        <is>
          <t>450×550</t>
        </is>
      </c>
      <c r="J129" s="10" t="n">
        <v>6</v>
      </c>
      <c r="K129" s="10" t="n">
        <v>5</v>
      </c>
      <c r="L129" s="10" t="n">
        <v>8</v>
      </c>
      <c r="M129" s="10" t="inlineStr">
        <is>
          <t>Nº4 cerrado</t>
        </is>
      </c>
      <c r="N129" s="10" t="n">
        <v>4</v>
      </c>
      <c r="O129" s="35" t="n">
        <v>120</v>
      </c>
      <c r="P129" s="35" t="n">
        <v>120</v>
      </c>
      <c r="Q129" s="35" t="n">
        <v>1.008941236598016</v>
      </c>
      <c r="R129" s="10" t="inlineStr">
        <is>
          <t>SÍ</t>
        </is>
      </c>
      <c r="S129" s="19" t="inlineStr">
        <is>
          <t>NO CUMPLE</t>
        </is>
      </c>
      <c r="T129" s="3" t="inlineStr">
        <is>
          <t>aumentar sección por interacción V-T; demostrar compatibilidad antes de reducir Tu</t>
        </is>
      </c>
    </row>
    <row r="130">
      <c r="A130" s="15" t="inlineStr">
        <is>
          <t>VC5</t>
        </is>
      </c>
      <c r="B130" s="10" t="inlineStr">
        <is>
          <t>263</t>
        </is>
      </c>
      <c r="C130" s="10" t="inlineStr">
        <is>
          <t>130</t>
        </is>
      </c>
      <c r="D130" s="10" t="inlineStr">
        <is>
          <t>148</t>
        </is>
      </c>
      <c r="E130" s="35" t="n">
        <v>3.85</v>
      </c>
      <c r="F130" s="35" t="n">
        <v>1.925</v>
      </c>
      <c r="G130" s="35" t="n">
        <v>8.85</v>
      </c>
      <c r="H130" s="35" t="n">
        <v>6.5</v>
      </c>
      <c r="I130" s="10" t="inlineStr">
        <is>
          <t>450×550</t>
        </is>
      </c>
      <c r="J130" s="10" t="n">
        <v>5</v>
      </c>
      <c r="K130" s="10" t="n">
        <v>4</v>
      </c>
      <c r="L130" s="10" t="n">
        <v>8</v>
      </c>
      <c r="M130" s="10" t="inlineStr">
        <is>
          <t>Nº4 cerrado</t>
        </is>
      </c>
      <c r="N130" s="10" t="n">
        <v>2</v>
      </c>
      <c r="O130" s="35" t="n">
        <v>80</v>
      </c>
      <c r="P130" s="35" t="n">
        <v>80</v>
      </c>
      <c r="Q130" s="35" t="n">
        <v>0.9120245461043104</v>
      </c>
      <c r="R130" s="10" t="inlineStr">
        <is>
          <t>SÍ</t>
        </is>
      </c>
      <c r="S130" s="15" t="inlineStr">
        <is>
          <t>CUMPLE</t>
        </is>
      </c>
      <c r="T130" s="3" t="inlineStr">
        <is>
          <t>demostrar compatibilidad antes de reducir Tu</t>
        </is>
      </c>
    </row>
    <row r="131">
      <c r="A131" s="15" t="inlineStr">
        <is>
          <t>VC5</t>
        </is>
      </c>
      <c r="B131" s="10" t="inlineStr">
        <is>
          <t>264</t>
        </is>
      </c>
      <c r="C131" s="10" t="inlineStr">
        <is>
          <t>148</t>
        </is>
      </c>
      <c r="D131" s="10" t="inlineStr">
        <is>
          <t>154</t>
        </is>
      </c>
      <c r="E131" s="35" t="n">
        <v>3.9</v>
      </c>
      <c r="F131" s="35" t="n">
        <v>5.8</v>
      </c>
      <c r="G131" s="35" t="n">
        <v>8.85</v>
      </c>
      <c r="H131" s="35" t="n">
        <v>6.5</v>
      </c>
      <c r="I131" s="10" t="inlineStr">
        <is>
          <t>450×550</t>
        </is>
      </c>
      <c r="J131" s="10" t="n">
        <v>6</v>
      </c>
      <c r="K131" s="10" t="n">
        <v>4</v>
      </c>
      <c r="L131" s="10" t="n">
        <v>12</v>
      </c>
      <c r="M131" s="10" t="inlineStr">
        <is>
          <t>Nº4 cerrado (referencia)</t>
        </is>
      </c>
      <c r="N131" s="10" t="n">
        <v>4</v>
      </c>
      <c r="O131" s="35" t="n">
        <v>110</v>
      </c>
      <c r="P131" s="35" t="n">
        <v>110</v>
      </c>
      <c r="Q131" s="35" t="n">
        <v>1.357010490532617</v>
      </c>
      <c r="R131" s="10" t="inlineStr">
        <is>
          <t>NO</t>
        </is>
      </c>
      <c r="S131" s="19" t="inlineStr">
        <is>
          <t>NO CUMPLE</t>
        </is>
      </c>
      <c r="T131" s="3" t="inlineStr">
        <is>
          <t>aumentar sección por interacción V-T; rediseñar sección/estribo; demostrar compatibilidad antes de reducir Tu</t>
        </is>
      </c>
    </row>
    <row r="132">
      <c r="A132" s="15" t="inlineStr">
        <is>
          <t>VC5</t>
        </is>
      </c>
      <c r="B132" s="10" t="inlineStr">
        <is>
          <t>265</t>
        </is>
      </c>
      <c r="C132" s="10" t="inlineStr">
        <is>
          <t>154</t>
        </is>
      </c>
      <c r="D132" s="10" t="inlineStr">
        <is>
          <t>172</t>
        </is>
      </c>
      <c r="E132" s="35" t="n">
        <v>3.9</v>
      </c>
      <c r="F132" s="35" t="n">
        <v>9.699999999999999</v>
      </c>
      <c r="G132" s="35" t="n">
        <v>8.85</v>
      </c>
      <c r="H132" s="35" t="n">
        <v>6.5</v>
      </c>
      <c r="I132" s="10" t="inlineStr">
        <is>
          <t>450×550</t>
        </is>
      </c>
      <c r="J132" s="10" t="n">
        <v>6</v>
      </c>
      <c r="K132" s="10" t="n">
        <v>4</v>
      </c>
      <c r="L132" s="10" t="n">
        <v>12</v>
      </c>
      <c r="M132" s="10" t="inlineStr">
        <is>
          <t>Nº4 cerrado (referencia)</t>
        </is>
      </c>
      <c r="N132" s="10" t="n">
        <v>4</v>
      </c>
      <c r="O132" s="35" t="n">
        <v>110</v>
      </c>
      <c r="P132" s="35" t="n">
        <v>110</v>
      </c>
      <c r="Q132" s="35" t="n">
        <v>1.357140140721554</v>
      </c>
      <c r="R132" s="10" t="inlineStr">
        <is>
          <t>NO</t>
        </is>
      </c>
      <c r="S132" s="19" t="inlineStr">
        <is>
          <t>NO CUMPLE</t>
        </is>
      </c>
      <c r="T132" s="3" t="inlineStr">
        <is>
          <t>aumentar sección por interacción V-T; rediseñar sección/estribo; demostrar compatibilidad antes de reducir Tu</t>
        </is>
      </c>
    </row>
    <row r="133">
      <c r="A133" s="15" t="inlineStr">
        <is>
          <t>VC5</t>
        </is>
      </c>
      <c r="B133" s="10" t="inlineStr">
        <is>
          <t>266</t>
        </is>
      </c>
      <c r="C133" s="10" t="inlineStr">
        <is>
          <t>172</t>
        </is>
      </c>
      <c r="D133" s="10" t="inlineStr">
        <is>
          <t>179</t>
        </is>
      </c>
      <c r="E133" s="35" t="n">
        <v>3.85</v>
      </c>
      <c r="F133" s="35" t="n">
        <v>13.575</v>
      </c>
      <c r="G133" s="35" t="n">
        <v>8.85</v>
      </c>
      <c r="H133" s="35" t="n">
        <v>6.5</v>
      </c>
      <c r="I133" s="10" t="inlineStr">
        <is>
          <t>450×550</t>
        </is>
      </c>
      <c r="J133" s="10" t="n">
        <v>5</v>
      </c>
      <c r="K133" s="10" t="n">
        <v>4</v>
      </c>
      <c r="L133" s="10" t="n">
        <v>8</v>
      </c>
      <c r="M133" s="10" t="inlineStr">
        <is>
          <t>Nº4 cerrado</t>
        </is>
      </c>
      <c r="N133" s="10" t="n">
        <v>2</v>
      </c>
      <c r="O133" s="35" t="n">
        <v>80</v>
      </c>
      <c r="P133" s="35" t="n">
        <v>80</v>
      </c>
      <c r="Q133" s="35" t="n">
        <v>0.9119907555062592</v>
      </c>
      <c r="R133" s="10" t="inlineStr">
        <is>
          <t>SÍ</t>
        </is>
      </c>
      <c r="S133" s="15" t="inlineStr">
        <is>
          <t>CUMPLE</t>
        </is>
      </c>
      <c r="T133" s="3" t="inlineStr">
        <is>
          <t>demostrar compatibilidad antes de reducir Tu</t>
        </is>
      </c>
    </row>
    <row r="134">
      <c r="A134" s="15" t="inlineStr">
        <is>
          <t>VC5</t>
        </is>
      </c>
      <c r="B134" s="10" t="inlineStr">
        <is>
          <t>283</t>
        </is>
      </c>
      <c r="C134" s="10" t="inlineStr">
        <is>
          <t>135</t>
        </is>
      </c>
      <c r="D134" s="10" t="inlineStr">
        <is>
          <t>142</t>
        </is>
      </c>
      <c r="E134" s="35" t="n">
        <v>3.85</v>
      </c>
      <c r="F134" s="35" t="n">
        <v>1.925</v>
      </c>
      <c r="G134" s="35" t="n">
        <v>27.35</v>
      </c>
      <c r="H134" s="35" t="n">
        <v>6.5</v>
      </c>
      <c r="I134" s="10" t="inlineStr">
        <is>
          <t>450×550</t>
        </is>
      </c>
      <c r="J134" s="10" t="n">
        <v>5</v>
      </c>
      <c r="K134" s="10" t="n">
        <v>4</v>
      </c>
      <c r="L134" s="10" t="n">
        <v>8</v>
      </c>
      <c r="M134" s="10" t="inlineStr">
        <is>
          <t>Nº4 cerrado</t>
        </is>
      </c>
      <c r="N134" s="10" t="n">
        <v>2</v>
      </c>
      <c r="O134" s="35" t="n">
        <v>80</v>
      </c>
      <c r="P134" s="35" t="n">
        <v>80</v>
      </c>
      <c r="Q134" s="35" t="n">
        <v>0.9119621631928541</v>
      </c>
      <c r="R134" s="10" t="inlineStr">
        <is>
          <t>SÍ</t>
        </is>
      </c>
      <c r="S134" s="15" t="inlineStr">
        <is>
          <t>CUMPLE</t>
        </is>
      </c>
      <c r="T134" s="3" t="inlineStr">
        <is>
          <t>demostrar compatibilidad antes de reducir Tu</t>
        </is>
      </c>
    </row>
    <row r="135">
      <c r="A135" s="15" t="inlineStr">
        <is>
          <t>VC5</t>
        </is>
      </c>
      <c r="B135" s="10" t="inlineStr">
        <is>
          <t>284</t>
        </is>
      </c>
      <c r="C135" s="10" t="inlineStr">
        <is>
          <t>142</t>
        </is>
      </c>
      <c r="D135" s="10" t="inlineStr">
        <is>
          <t>160</t>
        </is>
      </c>
      <c r="E135" s="35" t="n">
        <v>3.9</v>
      </c>
      <c r="F135" s="35" t="n">
        <v>5.8</v>
      </c>
      <c r="G135" s="35" t="n">
        <v>27.35</v>
      </c>
      <c r="H135" s="35" t="n">
        <v>6.5</v>
      </c>
      <c r="I135" s="10" t="inlineStr">
        <is>
          <t>450×550</t>
        </is>
      </c>
      <c r="J135" s="10" t="n">
        <v>6</v>
      </c>
      <c r="K135" s="10" t="n">
        <v>4</v>
      </c>
      <c r="L135" s="10" t="n">
        <v>12</v>
      </c>
      <c r="M135" s="10" t="inlineStr">
        <is>
          <t>Nº4 cerrado (referencia)</t>
        </is>
      </c>
      <c r="N135" s="10" t="n">
        <v>4</v>
      </c>
      <c r="O135" s="35" t="n">
        <v>110</v>
      </c>
      <c r="P135" s="35" t="n">
        <v>110</v>
      </c>
      <c r="Q135" s="35" t="n">
        <v>1.357935543268299</v>
      </c>
      <c r="R135" s="10" t="inlineStr">
        <is>
          <t>NO</t>
        </is>
      </c>
      <c r="S135" s="19" t="inlineStr">
        <is>
          <t>NO CUMPLE</t>
        </is>
      </c>
      <c r="T135" s="3" t="inlineStr">
        <is>
          <t>aumentar sección por interacción V-T; rediseñar sección/estribo; demostrar compatibilidad antes de reducir Tu</t>
        </is>
      </c>
    </row>
    <row r="136">
      <c r="A136" s="15" t="inlineStr">
        <is>
          <t>VC5</t>
        </is>
      </c>
      <c r="B136" s="10" t="inlineStr">
        <is>
          <t>285</t>
        </is>
      </c>
      <c r="C136" s="10" t="inlineStr">
        <is>
          <t>160</t>
        </is>
      </c>
      <c r="D136" s="10" t="inlineStr">
        <is>
          <t>166</t>
        </is>
      </c>
      <c r="E136" s="35" t="n">
        <v>3.9</v>
      </c>
      <c r="F136" s="35" t="n">
        <v>9.699999999999999</v>
      </c>
      <c r="G136" s="35" t="n">
        <v>27.35</v>
      </c>
      <c r="H136" s="35" t="n">
        <v>6.5</v>
      </c>
      <c r="I136" s="10" t="inlineStr">
        <is>
          <t>450×550</t>
        </is>
      </c>
      <c r="J136" s="10" t="n">
        <v>6</v>
      </c>
      <c r="K136" s="10" t="n">
        <v>4</v>
      </c>
      <c r="L136" s="10" t="n">
        <v>12</v>
      </c>
      <c r="M136" s="10" t="inlineStr">
        <is>
          <t>Nº4 cerrado (referencia)</t>
        </is>
      </c>
      <c r="N136" s="10" t="n">
        <v>4</v>
      </c>
      <c r="O136" s="35" t="n">
        <v>110</v>
      </c>
      <c r="P136" s="35" t="n">
        <v>110</v>
      </c>
      <c r="Q136" s="35" t="n">
        <v>1.35721531186727</v>
      </c>
      <c r="R136" s="10" t="inlineStr">
        <is>
          <t>NO</t>
        </is>
      </c>
      <c r="S136" s="19" t="inlineStr">
        <is>
          <t>NO CUMPLE</t>
        </is>
      </c>
      <c r="T136" s="3" t="inlineStr">
        <is>
          <t>aumentar sección por interacción V-T; rediseñar sección/estribo; demostrar compatibilidad antes de reducir Tu</t>
        </is>
      </c>
    </row>
    <row r="137">
      <c r="A137" s="15" t="inlineStr">
        <is>
          <t>VC5</t>
        </is>
      </c>
      <c r="B137" s="10" t="inlineStr">
        <is>
          <t>286</t>
        </is>
      </c>
      <c r="C137" s="10" t="inlineStr">
        <is>
          <t>166</t>
        </is>
      </c>
      <c r="D137" s="10" t="inlineStr">
        <is>
          <t>184</t>
        </is>
      </c>
      <c r="E137" s="35" t="n">
        <v>3.85</v>
      </c>
      <c r="F137" s="35" t="n">
        <v>13.575</v>
      </c>
      <c r="G137" s="35" t="n">
        <v>27.35</v>
      </c>
      <c r="H137" s="35" t="n">
        <v>6.5</v>
      </c>
      <c r="I137" s="10" t="inlineStr">
        <is>
          <t>450×550</t>
        </is>
      </c>
      <c r="J137" s="10" t="n">
        <v>5</v>
      </c>
      <c r="K137" s="10" t="n">
        <v>4</v>
      </c>
      <c r="L137" s="10" t="n">
        <v>8</v>
      </c>
      <c r="M137" s="10" t="inlineStr">
        <is>
          <t>Nº4 cerrado</t>
        </is>
      </c>
      <c r="N137" s="10" t="n">
        <v>2</v>
      </c>
      <c r="O137" s="35" t="n">
        <v>80</v>
      </c>
      <c r="P137" s="35" t="n">
        <v>80</v>
      </c>
      <c r="Q137" s="35" t="n">
        <v>0.9119611333102671</v>
      </c>
      <c r="R137" s="10" t="inlineStr">
        <is>
          <t>SÍ</t>
        </is>
      </c>
      <c r="S137" s="15" t="inlineStr">
        <is>
          <t>CUMPLE</t>
        </is>
      </c>
      <c r="T137" s="3" t="inlineStr">
        <is>
          <t>demostrar compatibilidad antes de reducir Tu</t>
        </is>
      </c>
    </row>
    <row r="138">
      <c r="A138" s="15" t="inlineStr">
        <is>
          <t>VC5</t>
        </is>
      </c>
      <c r="B138" s="10" t="inlineStr">
        <is>
          <t>821</t>
        </is>
      </c>
      <c r="C138" s="10" t="inlineStr">
        <is>
          <t>494</t>
        </is>
      </c>
      <c r="D138" s="10" t="inlineStr">
        <is>
          <t>512</t>
        </is>
      </c>
      <c r="E138" s="35" t="n">
        <v>3.85</v>
      </c>
      <c r="F138" s="35" t="n">
        <v>1.925</v>
      </c>
      <c r="G138" s="35" t="n">
        <v>8.85</v>
      </c>
      <c r="H138" s="35" t="n">
        <v>9.5</v>
      </c>
      <c r="I138" s="10" t="inlineStr">
        <is>
          <t>450×550</t>
        </is>
      </c>
      <c r="J138" s="10" t="n">
        <v>4</v>
      </c>
      <c r="K138" s="10" t="n">
        <v>4</v>
      </c>
      <c r="L138" s="10" t="n">
        <v>8</v>
      </c>
      <c r="M138" s="10" t="inlineStr">
        <is>
          <t>Nº4 cerrado</t>
        </is>
      </c>
      <c r="N138" s="10" t="n">
        <v>2</v>
      </c>
      <c r="O138" s="35" t="n">
        <v>110</v>
      </c>
      <c r="P138" s="35" t="n">
        <v>110</v>
      </c>
      <c r="Q138" s="35" t="n">
        <v>0.6997203147997548</v>
      </c>
      <c r="R138" s="10" t="inlineStr">
        <is>
          <t>SÍ</t>
        </is>
      </c>
      <c r="S138" s="15" t="inlineStr">
        <is>
          <t>CUMPLE</t>
        </is>
      </c>
      <c r="T138" s="3" t="inlineStr">
        <is>
          <t>demostrar compatibilidad antes de reducir Tu</t>
        </is>
      </c>
    </row>
    <row r="139">
      <c r="A139" s="15" t="inlineStr">
        <is>
          <t>VC5</t>
        </is>
      </c>
      <c r="B139" s="10" t="inlineStr">
        <is>
          <t>822</t>
        </is>
      </c>
      <c r="C139" s="10" t="inlineStr">
        <is>
          <t>512</t>
        </is>
      </c>
      <c r="D139" s="10" t="inlineStr">
        <is>
          <t>518</t>
        </is>
      </c>
      <c r="E139" s="35" t="n">
        <v>3.9</v>
      </c>
      <c r="F139" s="35" t="n">
        <v>5.8</v>
      </c>
      <c r="G139" s="35" t="n">
        <v>8.85</v>
      </c>
      <c r="H139" s="35" t="n">
        <v>9.5</v>
      </c>
      <c r="I139" s="10" t="inlineStr">
        <is>
          <t>450×550</t>
        </is>
      </c>
      <c r="J139" s="10" t="n">
        <v>5</v>
      </c>
      <c r="K139" s="10" t="n">
        <v>4</v>
      </c>
      <c r="L139" s="10" t="n">
        <v>8</v>
      </c>
      <c r="M139" s="10" t="inlineStr">
        <is>
          <t>Nº4 cerrado</t>
        </is>
      </c>
      <c r="N139" s="10" t="n">
        <v>4</v>
      </c>
      <c r="O139" s="35" t="n">
        <v>120</v>
      </c>
      <c r="P139" s="35" t="n">
        <v>150</v>
      </c>
      <c r="Q139" s="35" t="n">
        <v>1.027205055133105</v>
      </c>
      <c r="R139" s="10" t="inlineStr">
        <is>
          <t>SÍ</t>
        </is>
      </c>
      <c r="S139" s="19" t="inlineStr">
        <is>
          <t>NO CUMPLE</t>
        </is>
      </c>
      <c r="T139" s="3" t="inlineStr">
        <is>
          <t>aumentar sección por interacción V-T; demostrar compatibilidad antes de reducir Tu</t>
        </is>
      </c>
    </row>
    <row r="140">
      <c r="A140" s="15" t="inlineStr">
        <is>
          <t>VC5</t>
        </is>
      </c>
      <c r="B140" s="10" t="inlineStr">
        <is>
          <t>823</t>
        </is>
      </c>
      <c r="C140" s="10" t="inlineStr">
        <is>
          <t>518</t>
        </is>
      </c>
      <c r="D140" s="10" t="inlineStr">
        <is>
          <t>536</t>
        </is>
      </c>
      <c r="E140" s="35" t="n">
        <v>3.9</v>
      </c>
      <c r="F140" s="35" t="n">
        <v>9.699999999999999</v>
      </c>
      <c r="G140" s="35" t="n">
        <v>8.85</v>
      </c>
      <c r="H140" s="35" t="n">
        <v>9.5</v>
      </c>
      <c r="I140" s="10" t="inlineStr">
        <is>
          <t>450×550</t>
        </is>
      </c>
      <c r="J140" s="10" t="n">
        <v>5</v>
      </c>
      <c r="K140" s="10" t="n">
        <v>4</v>
      </c>
      <c r="L140" s="10" t="n">
        <v>8</v>
      </c>
      <c r="M140" s="10" t="inlineStr">
        <is>
          <t>Nº4 cerrado</t>
        </is>
      </c>
      <c r="N140" s="10" t="n">
        <v>4</v>
      </c>
      <c r="O140" s="35" t="n">
        <v>120</v>
      </c>
      <c r="P140" s="35" t="n">
        <v>150</v>
      </c>
      <c r="Q140" s="35" t="n">
        <v>1.027808022419713</v>
      </c>
      <c r="R140" s="10" t="inlineStr">
        <is>
          <t>SÍ</t>
        </is>
      </c>
      <c r="S140" s="19" t="inlineStr">
        <is>
          <t>NO CUMPLE</t>
        </is>
      </c>
      <c r="T140" s="3" t="inlineStr">
        <is>
          <t>aumentar sección por interacción V-T; demostrar compatibilidad antes de reducir Tu</t>
        </is>
      </c>
    </row>
    <row r="141">
      <c r="A141" s="15" t="inlineStr">
        <is>
          <t>VC5</t>
        </is>
      </c>
      <c r="B141" s="10" t="inlineStr">
        <is>
          <t>824</t>
        </is>
      </c>
      <c r="C141" s="10" t="inlineStr">
        <is>
          <t>536</t>
        </is>
      </c>
      <c r="D141" s="10" t="inlineStr">
        <is>
          <t>543</t>
        </is>
      </c>
      <c r="E141" s="35" t="n">
        <v>3.85</v>
      </c>
      <c r="F141" s="35" t="n">
        <v>13.575</v>
      </c>
      <c r="G141" s="35" t="n">
        <v>8.85</v>
      </c>
      <c r="H141" s="35" t="n">
        <v>9.5</v>
      </c>
      <c r="I141" s="10" t="inlineStr">
        <is>
          <t>450×550</t>
        </is>
      </c>
      <c r="J141" s="10" t="n">
        <v>4</v>
      </c>
      <c r="K141" s="10" t="n">
        <v>4</v>
      </c>
      <c r="L141" s="10" t="n">
        <v>8</v>
      </c>
      <c r="M141" s="10" t="inlineStr">
        <is>
          <t>Nº4 cerrado</t>
        </is>
      </c>
      <c r="N141" s="10" t="n">
        <v>2</v>
      </c>
      <c r="O141" s="35" t="n">
        <v>110</v>
      </c>
      <c r="P141" s="35" t="n">
        <v>110</v>
      </c>
      <c r="Q141" s="35" t="n">
        <v>0.6997188922184636</v>
      </c>
      <c r="R141" s="10" t="inlineStr">
        <is>
          <t>SÍ</t>
        </is>
      </c>
      <c r="S141" s="15" t="inlineStr">
        <is>
          <t>CUMPLE</t>
        </is>
      </c>
      <c r="T141" s="3" t="inlineStr">
        <is>
          <t>demostrar compatibilidad antes de reducir Tu</t>
        </is>
      </c>
    </row>
    <row r="142">
      <c r="A142" s="15" t="inlineStr">
        <is>
          <t>VC5</t>
        </is>
      </c>
      <c r="B142" s="10" t="inlineStr">
        <is>
          <t>841</t>
        </is>
      </c>
      <c r="C142" s="10" t="inlineStr">
        <is>
          <t>499</t>
        </is>
      </c>
      <c r="D142" s="10" t="inlineStr">
        <is>
          <t>506</t>
        </is>
      </c>
      <c r="E142" s="35" t="n">
        <v>3.85</v>
      </c>
      <c r="F142" s="35" t="n">
        <v>1.925</v>
      </c>
      <c r="G142" s="35" t="n">
        <v>27.35</v>
      </c>
      <c r="H142" s="35" t="n">
        <v>9.5</v>
      </c>
      <c r="I142" s="10" t="inlineStr">
        <is>
          <t>450×550</t>
        </is>
      </c>
      <c r="J142" s="10" t="n">
        <v>4</v>
      </c>
      <c r="K142" s="10" t="n">
        <v>4</v>
      </c>
      <c r="L142" s="10" t="n">
        <v>8</v>
      </c>
      <c r="M142" s="10" t="inlineStr">
        <is>
          <t>Nº4 cerrado</t>
        </is>
      </c>
      <c r="N142" s="10" t="n">
        <v>2</v>
      </c>
      <c r="O142" s="35" t="n">
        <v>110</v>
      </c>
      <c r="P142" s="35" t="n">
        <v>110</v>
      </c>
      <c r="Q142" s="35" t="n">
        <v>0.6996172973936629</v>
      </c>
      <c r="R142" s="10" t="inlineStr">
        <is>
          <t>SÍ</t>
        </is>
      </c>
      <c r="S142" s="15" t="inlineStr">
        <is>
          <t>CUMPLE</t>
        </is>
      </c>
      <c r="T142" s="3" t="inlineStr">
        <is>
          <t>demostrar compatibilidad antes de reducir Tu</t>
        </is>
      </c>
    </row>
    <row r="143">
      <c r="A143" s="15" t="inlineStr">
        <is>
          <t>VC5</t>
        </is>
      </c>
      <c r="B143" s="10" t="inlineStr">
        <is>
          <t>842</t>
        </is>
      </c>
      <c r="C143" s="10" t="inlineStr">
        <is>
          <t>506</t>
        </is>
      </c>
      <c r="D143" s="10" t="inlineStr">
        <is>
          <t>524</t>
        </is>
      </c>
      <c r="E143" s="35" t="n">
        <v>3.9</v>
      </c>
      <c r="F143" s="35" t="n">
        <v>5.8</v>
      </c>
      <c r="G143" s="35" t="n">
        <v>27.35</v>
      </c>
      <c r="H143" s="35" t="n">
        <v>9.5</v>
      </c>
      <c r="I143" s="10" t="inlineStr">
        <is>
          <t>450×550</t>
        </is>
      </c>
      <c r="J143" s="10" t="n">
        <v>5</v>
      </c>
      <c r="K143" s="10" t="n">
        <v>4</v>
      </c>
      <c r="L143" s="10" t="n">
        <v>8</v>
      </c>
      <c r="M143" s="10" t="inlineStr">
        <is>
          <t>Nº4 cerrado</t>
        </is>
      </c>
      <c r="N143" s="10" t="n">
        <v>4</v>
      </c>
      <c r="O143" s="35" t="n">
        <v>120</v>
      </c>
      <c r="P143" s="35" t="n">
        <v>150</v>
      </c>
      <c r="Q143" s="35" t="n">
        <v>1.028216434525761</v>
      </c>
      <c r="R143" s="10" t="inlineStr">
        <is>
          <t>SÍ</t>
        </is>
      </c>
      <c r="S143" s="19" t="inlineStr">
        <is>
          <t>NO CUMPLE</t>
        </is>
      </c>
      <c r="T143" s="3" t="inlineStr">
        <is>
          <t>aumentar sección por interacción V-T; demostrar compatibilidad antes de reducir Tu</t>
        </is>
      </c>
    </row>
    <row r="144">
      <c r="A144" s="15" t="inlineStr">
        <is>
          <t>VC5</t>
        </is>
      </c>
      <c r="B144" s="10" t="inlineStr">
        <is>
          <t>843</t>
        </is>
      </c>
      <c r="C144" s="10" t="inlineStr">
        <is>
          <t>524</t>
        </is>
      </c>
      <c r="D144" s="10" t="inlineStr">
        <is>
          <t>530</t>
        </is>
      </c>
      <c r="E144" s="35" t="n">
        <v>3.9</v>
      </c>
      <c r="F144" s="35" t="n">
        <v>9.699999999999999</v>
      </c>
      <c r="G144" s="35" t="n">
        <v>27.35</v>
      </c>
      <c r="H144" s="35" t="n">
        <v>9.5</v>
      </c>
      <c r="I144" s="10" t="inlineStr">
        <is>
          <t>450×550</t>
        </is>
      </c>
      <c r="J144" s="10" t="n">
        <v>5</v>
      </c>
      <c r="K144" s="10" t="n">
        <v>4</v>
      </c>
      <c r="L144" s="10" t="n">
        <v>8</v>
      </c>
      <c r="M144" s="10" t="inlineStr">
        <is>
          <t>Nº4 cerrado</t>
        </is>
      </c>
      <c r="N144" s="10" t="n">
        <v>4</v>
      </c>
      <c r="O144" s="35" t="n">
        <v>120</v>
      </c>
      <c r="P144" s="35" t="n">
        <v>150</v>
      </c>
      <c r="Q144" s="35" t="n">
        <v>1.027523188093727</v>
      </c>
      <c r="R144" s="10" t="inlineStr">
        <is>
          <t>SÍ</t>
        </is>
      </c>
      <c r="S144" s="19" t="inlineStr">
        <is>
          <t>NO CUMPLE</t>
        </is>
      </c>
      <c r="T144" s="3" t="inlineStr">
        <is>
          <t>aumentar sección por interacción V-T; demostrar compatibilidad antes de reducir Tu</t>
        </is>
      </c>
    </row>
    <row r="145">
      <c r="A145" s="15" t="inlineStr">
        <is>
          <t>VC5</t>
        </is>
      </c>
      <c r="B145" s="10" t="inlineStr">
        <is>
          <t>844</t>
        </is>
      </c>
      <c r="C145" s="10" t="inlineStr">
        <is>
          <t>530</t>
        </is>
      </c>
      <c r="D145" s="10" t="inlineStr">
        <is>
          <t>548</t>
        </is>
      </c>
      <c r="E145" s="35" t="n">
        <v>3.85</v>
      </c>
      <c r="F145" s="35" t="n">
        <v>13.575</v>
      </c>
      <c r="G145" s="35" t="n">
        <v>27.35</v>
      </c>
      <c r="H145" s="35" t="n">
        <v>9.5</v>
      </c>
      <c r="I145" s="10" t="inlineStr">
        <is>
          <t>450×550</t>
        </is>
      </c>
      <c r="J145" s="10" t="n">
        <v>4</v>
      </c>
      <c r="K145" s="10" t="n">
        <v>4</v>
      </c>
      <c r="L145" s="10" t="n">
        <v>8</v>
      </c>
      <c r="M145" s="10" t="inlineStr">
        <is>
          <t>Nº4 cerrado</t>
        </is>
      </c>
      <c r="N145" s="10" t="n">
        <v>2</v>
      </c>
      <c r="O145" s="35" t="n">
        <v>110</v>
      </c>
      <c r="P145" s="35" t="n">
        <v>110</v>
      </c>
      <c r="Q145" s="35" t="n">
        <v>0.6996221883473541</v>
      </c>
      <c r="R145" s="10" t="inlineStr">
        <is>
          <t>SÍ</t>
        </is>
      </c>
      <c r="S145" s="15" t="inlineStr">
        <is>
          <t>CUMPLE</t>
        </is>
      </c>
      <c r="T145" s="3" t="inlineStr">
        <is>
          <t>demostrar compatibilidad antes de reducir Tu</t>
        </is>
      </c>
    </row>
    <row r="146">
      <c r="A146" s="15" t="inlineStr">
        <is>
          <t>VC5</t>
        </is>
      </c>
      <c r="B146" s="10" t="inlineStr">
        <is>
          <t>915</t>
        </is>
      </c>
      <c r="C146" s="10" t="inlineStr">
        <is>
          <t>555</t>
        </is>
      </c>
      <c r="D146" s="10" t="inlineStr">
        <is>
          <t>573</t>
        </is>
      </c>
      <c r="E146" s="35" t="n">
        <v>3.85</v>
      </c>
      <c r="F146" s="35" t="n">
        <v>1.925</v>
      </c>
      <c r="G146" s="35" t="n">
        <v>8.85</v>
      </c>
      <c r="H146" s="35" t="n">
        <v>12.5</v>
      </c>
      <c r="I146" s="10" t="inlineStr">
        <is>
          <t>450×550</t>
        </is>
      </c>
      <c r="J146" s="10" t="n">
        <v>4</v>
      </c>
      <c r="K146" s="10" t="n">
        <v>4</v>
      </c>
      <c r="L146" s="10" t="n">
        <v>8</v>
      </c>
      <c r="M146" s="10" t="inlineStr">
        <is>
          <t>Nº3 cerrado</t>
        </is>
      </c>
      <c r="N146" s="10" t="n">
        <v>2</v>
      </c>
      <c r="O146" s="35" t="n">
        <v>120</v>
      </c>
      <c r="P146" s="35" t="n">
        <v>120</v>
      </c>
      <c r="Q146" s="35" t="n">
        <v>0.4369112343533912</v>
      </c>
      <c r="R146" s="10" t="inlineStr">
        <is>
          <t>SÍ</t>
        </is>
      </c>
      <c r="S146" s="15" t="inlineStr">
        <is>
          <t>CUMPLE</t>
        </is>
      </c>
      <c r="T146" s="3" t="inlineStr">
        <is>
          <t>coordinar con planta y reanálisis global</t>
        </is>
      </c>
    </row>
    <row r="147">
      <c r="A147" s="15" t="inlineStr">
        <is>
          <t>VC5</t>
        </is>
      </c>
      <c r="B147" s="10" t="inlineStr">
        <is>
          <t>916</t>
        </is>
      </c>
      <c r="C147" s="10" t="inlineStr">
        <is>
          <t>573</t>
        </is>
      </c>
      <c r="D147" s="10" t="inlineStr">
        <is>
          <t>579</t>
        </is>
      </c>
      <c r="E147" s="35" t="n">
        <v>3.9</v>
      </c>
      <c r="F147" s="35" t="n">
        <v>5.8</v>
      </c>
      <c r="G147" s="35" t="n">
        <v>8.85</v>
      </c>
      <c r="H147" s="35" t="n">
        <v>12.5</v>
      </c>
      <c r="I147" s="10" t="inlineStr">
        <is>
          <t>450×550</t>
        </is>
      </c>
      <c r="J147" s="10" t="n">
        <v>4</v>
      </c>
      <c r="K147" s="10" t="n">
        <v>4</v>
      </c>
      <c r="L147" s="10" t="n">
        <v>8</v>
      </c>
      <c r="M147" s="10" t="inlineStr">
        <is>
          <t>Nº4 cerrado</t>
        </is>
      </c>
      <c r="N147" s="10" t="n">
        <v>2</v>
      </c>
      <c r="O147" s="35" t="n">
        <v>120</v>
      </c>
      <c r="P147" s="35" t="n">
        <v>130</v>
      </c>
      <c r="Q147" s="35" t="n">
        <v>0.624103291921182</v>
      </c>
      <c r="R147" s="10" t="inlineStr">
        <is>
          <t>SÍ</t>
        </is>
      </c>
      <c r="S147" s="15" t="inlineStr">
        <is>
          <t>CUMPLE</t>
        </is>
      </c>
      <c r="T147" s="3" t="inlineStr">
        <is>
          <t>demostrar compatibilidad antes de reducir Tu</t>
        </is>
      </c>
    </row>
    <row r="148">
      <c r="A148" s="15" t="inlineStr">
        <is>
          <t>VC5</t>
        </is>
      </c>
      <c r="B148" s="10" t="inlineStr">
        <is>
          <t>917</t>
        </is>
      </c>
      <c r="C148" s="10" t="inlineStr">
        <is>
          <t>579</t>
        </is>
      </c>
      <c r="D148" s="10" t="inlineStr">
        <is>
          <t>597</t>
        </is>
      </c>
      <c r="E148" s="35" t="n">
        <v>3.9</v>
      </c>
      <c r="F148" s="35" t="n">
        <v>9.699999999999999</v>
      </c>
      <c r="G148" s="35" t="n">
        <v>8.85</v>
      </c>
      <c r="H148" s="35" t="n">
        <v>12.5</v>
      </c>
      <c r="I148" s="10" t="inlineStr">
        <is>
          <t>450×550</t>
        </is>
      </c>
      <c r="J148" s="10" t="n">
        <v>4</v>
      </c>
      <c r="K148" s="10" t="n">
        <v>4</v>
      </c>
      <c r="L148" s="10" t="n">
        <v>8</v>
      </c>
      <c r="M148" s="10" t="inlineStr">
        <is>
          <t>Nº4 cerrado</t>
        </is>
      </c>
      <c r="N148" s="10" t="n">
        <v>2</v>
      </c>
      <c r="O148" s="35" t="n">
        <v>120</v>
      </c>
      <c r="P148" s="35" t="n">
        <v>130</v>
      </c>
      <c r="Q148" s="35" t="n">
        <v>0.6246623477202561</v>
      </c>
      <c r="R148" s="10" t="inlineStr">
        <is>
          <t>SÍ</t>
        </is>
      </c>
      <c r="S148" s="15" t="inlineStr">
        <is>
          <t>CUMPLE</t>
        </is>
      </c>
      <c r="T148" s="3" t="inlineStr">
        <is>
          <t>demostrar compatibilidad antes de reducir Tu</t>
        </is>
      </c>
    </row>
    <row r="149">
      <c r="A149" s="15" t="inlineStr">
        <is>
          <t>VC5</t>
        </is>
      </c>
      <c r="B149" s="10" t="inlineStr">
        <is>
          <t>918</t>
        </is>
      </c>
      <c r="C149" s="10" t="inlineStr">
        <is>
          <t>597</t>
        </is>
      </c>
      <c r="D149" s="10" t="inlineStr">
        <is>
          <t>604</t>
        </is>
      </c>
      <c r="E149" s="35" t="n">
        <v>3.85</v>
      </c>
      <c r="F149" s="35" t="n">
        <v>13.575</v>
      </c>
      <c r="G149" s="35" t="n">
        <v>8.85</v>
      </c>
      <c r="H149" s="35" t="n">
        <v>12.5</v>
      </c>
      <c r="I149" s="10" t="inlineStr">
        <is>
          <t>450×550</t>
        </is>
      </c>
      <c r="J149" s="10" t="n">
        <v>4</v>
      </c>
      <c r="K149" s="10" t="n">
        <v>4</v>
      </c>
      <c r="L149" s="10" t="n">
        <v>8</v>
      </c>
      <c r="M149" s="10" t="inlineStr">
        <is>
          <t>Nº3 cerrado</t>
        </is>
      </c>
      <c r="N149" s="10" t="n">
        <v>2</v>
      </c>
      <c r="O149" s="35" t="n">
        <v>120</v>
      </c>
      <c r="P149" s="35" t="n">
        <v>120</v>
      </c>
      <c r="Q149" s="35" t="n">
        <v>0.4368967828211162</v>
      </c>
      <c r="R149" s="10" t="inlineStr">
        <is>
          <t>SÍ</t>
        </is>
      </c>
      <c r="S149" s="15" t="inlineStr">
        <is>
          <t>CUMPLE</t>
        </is>
      </c>
      <c r="T149" s="3" t="inlineStr">
        <is>
          <t>coordinar con planta y reanálisis global</t>
        </is>
      </c>
    </row>
    <row r="150">
      <c r="A150" s="15" t="inlineStr">
        <is>
          <t>VC5</t>
        </is>
      </c>
      <c r="B150" s="10" t="inlineStr">
        <is>
          <t>935</t>
        </is>
      </c>
      <c r="C150" s="10" t="inlineStr">
        <is>
          <t>560</t>
        </is>
      </c>
      <c r="D150" s="10" t="inlineStr">
        <is>
          <t>567</t>
        </is>
      </c>
      <c r="E150" s="35" t="n">
        <v>3.85</v>
      </c>
      <c r="F150" s="35" t="n">
        <v>1.925</v>
      </c>
      <c r="G150" s="35" t="n">
        <v>27.35</v>
      </c>
      <c r="H150" s="35" t="n">
        <v>12.5</v>
      </c>
      <c r="I150" s="10" t="inlineStr">
        <is>
          <t>450×550</t>
        </is>
      </c>
      <c r="J150" s="10" t="n">
        <v>4</v>
      </c>
      <c r="K150" s="10" t="n">
        <v>4</v>
      </c>
      <c r="L150" s="10" t="n">
        <v>8</v>
      </c>
      <c r="M150" s="10" t="inlineStr">
        <is>
          <t>Nº3 cerrado</t>
        </is>
      </c>
      <c r="N150" s="10" t="n">
        <v>2</v>
      </c>
      <c r="O150" s="35" t="n">
        <v>120</v>
      </c>
      <c r="P150" s="35" t="n">
        <v>120</v>
      </c>
      <c r="Q150" s="35" t="n">
        <v>0.4367798361358701</v>
      </c>
      <c r="R150" s="10" t="inlineStr">
        <is>
          <t>SÍ</t>
        </is>
      </c>
      <c r="S150" s="15" t="inlineStr">
        <is>
          <t>CUMPLE</t>
        </is>
      </c>
      <c r="T150" s="3" t="inlineStr">
        <is>
          <t>coordinar con planta y reanálisis global</t>
        </is>
      </c>
    </row>
    <row r="151">
      <c r="A151" s="15" t="inlineStr">
        <is>
          <t>VC5</t>
        </is>
      </c>
      <c r="B151" s="10" t="inlineStr">
        <is>
          <t>936</t>
        </is>
      </c>
      <c r="C151" s="10" t="inlineStr">
        <is>
          <t>567</t>
        </is>
      </c>
      <c r="D151" s="10" t="inlineStr">
        <is>
          <t>585</t>
        </is>
      </c>
      <c r="E151" s="35" t="n">
        <v>3.9</v>
      </c>
      <c r="F151" s="35" t="n">
        <v>5.8</v>
      </c>
      <c r="G151" s="35" t="n">
        <v>27.35</v>
      </c>
      <c r="H151" s="35" t="n">
        <v>12.5</v>
      </c>
      <c r="I151" s="10" t="inlineStr">
        <is>
          <t>450×550</t>
        </is>
      </c>
      <c r="J151" s="10" t="n">
        <v>4</v>
      </c>
      <c r="K151" s="10" t="n">
        <v>4</v>
      </c>
      <c r="L151" s="10" t="n">
        <v>8</v>
      </c>
      <c r="M151" s="10" t="inlineStr">
        <is>
          <t>Nº4 cerrado</t>
        </is>
      </c>
      <c r="N151" s="10" t="n">
        <v>2</v>
      </c>
      <c r="O151" s="35" t="n">
        <v>120</v>
      </c>
      <c r="P151" s="35" t="n">
        <v>130</v>
      </c>
      <c r="Q151" s="35" t="n">
        <v>0.6251693912047752</v>
      </c>
      <c r="R151" s="10" t="inlineStr">
        <is>
          <t>SÍ</t>
        </is>
      </c>
      <c r="S151" s="15" t="inlineStr">
        <is>
          <t>CUMPLE</t>
        </is>
      </c>
      <c r="T151" s="3" t="inlineStr">
        <is>
          <t>demostrar compatibilidad antes de reducir Tu</t>
        </is>
      </c>
    </row>
    <row r="152">
      <c r="A152" s="15" t="inlineStr">
        <is>
          <t>VC5</t>
        </is>
      </c>
      <c r="B152" s="10" t="inlineStr">
        <is>
          <t>937</t>
        </is>
      </c>
      <c r="C152" s="10" t="inlineStr">
        <is>
          <t>585</t>
        </is>
      </c>
      <c r="D152" s="10" t="inlineStr">
        <is>
          <t>591</t>
        </is>
      </c>
      <c r="E152" s="35" t="n">
        <v>3.9</v>
      </c>
      <c r="F152" s="35" t="n">
        <v>9.699999999999999</v>
      </c>
      <c r="G152" s="35" t="n">
        <v>27.35</v>
      </c>
      <c r="H152" s="35" t="n">
        <v>12.5</v>
      </c>
      <c r="I152" s="10" t="inlineStr">
        <is>
          <t>450×550</t>
        </is>
      </c>
      <c r="J152" s="10" t="n">
        <v>4</v>
      </c>
      <c r="K152" s="10" t="n">
        <v>4</v>
      </c>
      <c r="L152" s="10" t="n">
        <v>8</v>
      </c>
      <c r="M152" s="10" t="inlineStr">
        <is>
          <t>Nº4 cerrado</t>
        </is>
      </c>
      <c r="N152" s="10" t="n">
        <v>2</v>
      </c>
      <c r="O152" s="35" t="n">
        <v>120</v>
      </c>
      <c r="P152" s="35" t="n">
        <v>130</v>
      </c>
      <c r="Q152" s="35" t="n">
        <v>0.624492564658279</v>
      </c>
      <c r="R152" s="10" t="inlineStr">
        <is>
          <t>SÍ</t>
        </is>
      </c>
      <c r="S152" s="15" t="inlineStr">
        <is>
          <t>CUMPLE</t>
        </is>
      </c>
      <c r="T152" s="3" t="inlineStr">
        <is>
          <t>demostrar compatibilidad antes de reducir Tu</t>
        </is>
      </c>
    </row>
    <row r="153">
      <c r="A153" s="15" t="inlineStr">
        <is>
          <t>VC5</t>
        </is>
      </c>
      <c r="B153" s="10" t="inlineStr">
        <is>
          <t>938</t>
        </is>
      </c>
      <c r="C153" s="10" t="inlineStr">
        <is>
          <t>591</t>
        </is>
      </c>
      <c r="D153" s="10" t="inlineStr">
        <is>
          <t>609</t>
        </is>
      </c>
      <c r="E153" s="35" t="n">
        <v>3.85</v>
      </c>
      <c r="F153" s="35" t="n">
        <v>13.575</v>
      </c>
      <c r="G153" s="35" t="n">
        <v>27.35</v>
      </c>
      <c r="H153" s="35" t="n">
        <v>12.5</v>
      </c>
      <c r="I153" s="10" t="inlineStr">
        <is>
          <t>450×550</t>
        </is>
      </c>
      <c r="J153" s="10" t="n">
        <v>4</v>
      </c>
      <c r="K153" s="10" t="n">
        <v>4</v>
      </c>
      <c r="L153" s="10" t="n">
        <v>8</v>
      </c>
      <c r="M153" s="10" t="inlineStr">
        <is>
          <t>Nº3 cerrado</t>
        </is>
      </c>
      <c r="N153" s="10" t="n">
        <v>2</v>
      </c>
      <c r="O153" s="35" t="n">
        <v>120</v>
      </c>
      <c r="P153" s="35" t="n">
        <v>120</v>
      </c>
      <c r="Q153" s="35" t="n">
        <v>0.4367917495428151</v>
      </c>
      <c r="R153" s="10" t="inlineStr">
        <is>
          <t>SÍ</t>
        </is>
      </c>
      <c r="S153" s="15" t="inlineStr">
        <is>
          <t>CUMPLE</t>
        </is>
      </c>
      <c r="T153" s="3" t="inlineStr">
        <is>
          <t>coordinar con planta y reanálisis global</t>
        </is>
      </c>
    </row>
    <row r="154">
      <c r="A154" s="15" t="inlineStr">
        <is>
          <t>VC5</t>
        </is>
      </c>
      <c r="B154" s="10" t="inlineStr">
        <is>
          <t>1009</t>
        </is>
      </c>
      <c r="C154" s="10" t="inlineStr">
        <is>
          <t>616</t>
        </is>
      </c>
      <c r="D154" s="10" t="inlineStr">
        <is>
          <t>634</t>
        </is>
      </c>
      <c r="E154" s="35" t="n">
        <v>3.85</v>
      </c>
      <c r="F154" s="35" t="n">
        <v>1.925</v>
      </c>
      <c r="G154" s="35" t="n">
        <v>8.85</v>
      </c>
      <c r="H154" s="35" t="n">
        <v>15.5</v>
      </c>
      <c r="I154" s="10" t="inlineStr">
        <is>
          <t>450×550</t>
        </is>
      </c>
      <c r="J154" s="10" t="n">
        <v>4</v>
      </c>
      <c r="K154" s="10" t="n">
        <v>4</v>
      </c>
      <c r="L154" s="10" t="n">
        <v>8</v>
      </c>
      <c r="M154" s="10" t="inlineStr">
        <is>
          <t>Nº3 cerrado</t>
        </is>
      </c>
      <c r="N154" s="10" t="n">
        <v>2</v>
      </c>
      <c r="O154" s="35" t="n">
        <v>120</v>
      </c>
      <c r="P154" s="35" t="n">
        <v>200</v>
      </c>
      <c r="Q154" s="35" t="n">
        <v>0.262169349734228</v>
      </c>
      <c r="R154" s="10" t="inlineStr">
        <is>
          <t>SÍ</t>
        </is>
      </c>
      <c r="S154" s="15" t="inlineStr">
        <is>
          <t>CUMPLE</t>
        </is>
      </c>
      <c r="T154" s="3" t="inlineStr">
        <is>
          <t>coordinar con planta y reanálisis global</t>
        </is>
      </c>
    </row>
    <row r="155">
      <c r="A155" s="15" t="inlineStr">
        <is>
          <t>VC5</t>
        </is>
      </c>
      <c r="B155" s="10" t="inlineStr">
        <is>
          <t>1010</t>
        </is>
      </c>
      <c r="C155" s="10" t="inlineStr">
        <is>
          <t>634</t>
        </is>
      </c>
      <c r="D155" s="10" t="inlineStr">
        <is>
          <t>640</t>
        </is>
      </c>
      <c r="E155" s="35" t="n">
        <v>3.9</v>
      </c>
      <c r="F155" s="35" t="n">
        <v>5.8</v>
      </c>
      <c r="G155" s="35" t="n">
        <v>8.85</v>
      </c>
      <c r="H155" s="35" t="n">
        <v>15.5</v>
      </c>
      <c r="I155" s="10" t="inlineStr">
        <is>
          <t>450×550</t>
        </is>
      </c>
      <c r="J155" s="10" t="n">
        <v>4</v>
      </c>
      <c r="K155" s="10" t="n">
        <v>4</v>
      </c>
      <c r="L155" s="10" t="n">
        <v>8</v>
      </c>
      <c r="M155" s="10" t="inlineStr">
        <is>
          <t>Nº3 cerrado</t>
        </is>
      </c>
      <c r="N155" s="10" t="n">
        <v>2</v>
      </c>
      <c r="O155" s="35" t="n">
        <v>120</v>
      </c>
      <c r="P155" s="35" t="n">
        <v>170</v>
      </c>
      <c r="Q155" s="35" t="n">
        <v>0.3402398583097684</v>
      </c>
      <c r="R155" s="10" t="inlineStr">
        <is>
          <t>SÍ</t>
        </is>
      </c>
      <c r="S155" s="15" t="inlineStr">
        <is>
          <t>CUMPLE</t>
        </is>
      </c>
      <c r="T155" s="3" t="inlineStr">
        <is>
          <t>coordinar con planta y reanálisis global</t>
        </is>
      </c>
    </row>
    <row r="156">
      <c r="A156" s="15" t="inlineStr">
        <is>
          <t>VC5</t>
        </is>
      </c>
      <c r="B156" s="10" t="inlineStr">
        <is>
          <t>1011</t>
        </is>
      </c>
      <c r="C156" s="10" t="inlineStr">
        <is>
          <t>640</t>
        </is>
      </c>
      <c r="D156" s="10" t="inlineStr">
        <is>
          <t>658</t>
        </is>
      </c>
      <c r="E156" s="35" t="n">
        <v>3.9</v>
      </c>
      <c r="F156" s="35" t="n">
        <v>9.699999999999999</v>
      </c>
      <c r="G156" s="35" t="n">
        <v>8.85</v>
      </c>
      <c r="H156" s="35" t="n">
        <v>15.5</v>
      </c>
      <c r="I156" s="10" t="inlineStr">
        <is>
          <t>450×550</t>
        </is>
      </c>
      <c r="J156" s="10" t="n">
        <v>4</v>
      </c>
      <c r="K156" s="10" t="n">
        <v>4</v>
      </c>
      <c r="L156" s="10" t="n">
        <v>8</v>
      </c>
      <c r="M156" s="10" t="inlineStr">
        <is>
          <t>Nº3 cerrado</t>
        </is>
      </c>
      <c r="N156" s="10" t="n">
        <v>2</v>
      </c>
      <c r="O156" s="35" t="n">
        <v>120</v>
      </c>
      <c r="P156" s="35" t="n">
        <v>170</v>
      </c>
      <c r="Q156" s="35" t="n">
        <v>0.340406563399397</v>
      </c>
      <c r="R156" s="10" t="inlineStr">
        <is>
          <t>SÍ</t>
        </is>
      </c>
      <c r="S156" s="15" t="inlineStr">
        <is>
          <t>CUMPLE</t>
        </is>
      </c>
      <c r="T156" s="3" t="inlineStr">
        <is>
          <t>coordinar con planta y reanálisis global</t>
        </is>
      </c>
    </row>
    <row r="157">
      <c r="A157" s="15" t="inlineStr">
        <is>
          <t>VC5</t>
        </is>
      </c>
      <c r="B157" s="10" t="inlineStr">
        <is>
          <t>1012</t>
        </is>
      </c>
      <c r="C157" s="10" t="inlineStr">
        <is>
          <t>658</t>
        </is>
      </c>
      <c r="D157" s="10" t="inlineStr">
        <is>
          <t>665</t>
        </is>
      </c>
      <c r="E157" s="35" t="n">
        <v>3.85</v>
      </c>
      <c r="F157" s="35" t="n">
        <v>13.575</v>
      </c>
      <c r="G157" s="35" t="n">
        <v>8.85</v>
      </c>
      <c r="H157" s="35" t="n">
        <v>15.5</v>
      </c>
      <c r="I157" s="10" t="inlineStr">
        <is>
          <t>450×550</t>
        </is>
      </c>
      <c r="J157" s="10" t="n">
        <v>4</v>
      </c>
      <c r="K157" s="10" t="n">
        <v>4</v>
      </c>
      <c r="L157" s="10" t="n">
        <v>8</v>
      </c>
      <c r="M157" s="10" t="inlineStr">
        <is>
          <t>Nº3 cerrado</t>
        </is>
      </c>
      <c r="N157" s="10" t="n">
        <v>2</v>
      </c>
      <c r="O157" s="35" t="n">
        <v>120</v>
      </c>
      <c r="P157" s="35" t="n">
        <v>200</v>
      </c>
      <c r="Q157" s="35" t="n">
        <v>0.2621382654543117</v>
      </c>
      <c r="R157" s="10" t="inlineStr">
        <is>
          <t>SÍ</t>
        </is>
      </c>
      <c r="S157" s="15" t="inlineStr">
        <is>
          <t>CUMPLE</t>
        </is>
      </c>
      <c r="T157" s="3" t="inlineStr">
        <is>
          <t>coordinar con planta y reanálisis global</t>
        </is>
      </c>
    </row>
    <row r="158">
      <c r="A158" s="15" t="inlineStr">
        <is>
          <t>VC5</t>
        </is>
      </c>
      <c r="B158" s="10" t="inlineStr">
        <is>
          <t>1029</t>
        </is>
      </c>
      <c r="C158" s="10" t="inlineStr">
        <is>
          <t>621</t>
        </is>
      </c>
      <c r="D158" s="10" t="inlineStr">
        <is>
          <t>628</t>
        </is>
      </c>
      <c r="E158" s="35" t="n">
        <v>3.85</v>
      </c>
      <c r="F158" s="35" t="n">
        <v>1.925</v>
      </c>
      <c r="G158" s="35" t="n">
        <v>27.35</v>
      </c>
      <c r="H158" s="35" t="n">
        <v>15.5</v>
      </c>
      <c r="I158" s="10" t="inlineStr">
        <is>
          <t>450×550</t>
        </is>
      </c>
      <c r="J158" s="10" t="n">
        <v>4</v>
      </c>
      <c r="K158" s="10" t="n">
        <v>4</v>
      </c>
      <c r="L158" s="10" t="n">
        <v>8</v>
      </c>
      <c r="M158" s="10" t="inlineStr">
        <is>
          <t>Nº3 cerrado</t>
        </is>
      </c>
      <c r="N158" s="10" t="n">
        <v>2</v>
      </c>
      <c r="O158" s="35" t="n">
        <v>120</v>
      </c>
      <c r="P158" s="35" t="n">
        <v>200</v>
      </c>
      <c r="Q158" s="35" t="n">
        <v>0.2620975276947045</v>
      </c>
      <c r="R158" s="10" t="inlineStr">
        <is>
          <t>SÍ</t>
        </is>
      </c>
      <c r="S158" s="15" t="inlineStr">
        <is>
          <t>CUMPLE</t>
        </is>
      </c>
      <c r="T158" s="3" t="inlineStr">
        <is>
          <t>coordinar con planta y reanálisis global</t>
        </is>
      </c>
    </row>
    <row r="159">
      <c r="A159" s="15" t="inlineStr">
        <is>
          <t>VC5</t>
        </is>
      </c>
      <c r="B159" s="10" t="inlineStr">
        <is>
          <t>1030</t>
        </is>
      </c>
      <c r="C159" s="10" t="inlineStr">
        <is>
          <t>628</t>
        </is>
      </c>
      <c r="D159" s="10" t="inlineStr">
        <is>
          <t>646</t>
        </is>
      </c>
      <c r="E159" s="35" t="n">
        <v>3.9</v>
      </c>
      <c r="F159" s="35" t="n">
        <v>5.8</v>
      </c>
      <c r="G159" s="35" t="n">
        <v>27.35</v>
      </c>
      <c r="H159" s="35" t="n">
        <v>15.5</v>
      </c>
      <c r="I159" s="10" t="inlineStr">
        <is>
          <t>450×550</t>
        </is>
      </c>
      <c r="J159" s="10" t="n">
        <v>4</v>
      </c>
      <c r="K159" s="10" t="n">
        <v>4</v>
      </c>
      <c r="L159" s="10" t="n">
        <v>8</v>
      </c>
      <c r="M159" s="10" t="inlineStr">
        <is>
          <t>Nº3 cerrado</t>
        </is>
      </c>
      <c r="N159" s="10" t="n">
        <v>2</v>
      </c>
      <c r="O159" s="35" t="n">
        <v>120</v>
      </c>
      <c r="P159" s="35" t="n">
        <v>170</v>
      </c>
      <c r="Q159" s="35" t="n">
        <v>0.3406681334238009</v>
      </c>
      <c r="R159" s="10" t="inlineStr">
        <is>
          <t>SÍ</t>
        </is>
      </c>
      <c r="S159" s="15" t="inlineStr">
        <is>
          <t>CUMPLE</t>
        </is>
      </c>
      <c r="T159" s="3" t="inlineStr">
        <is>
          <t>coordinar con planta y reanálisis global</t>
        </is>
      </c>
    </row>
    <row r="160">
      <c r="A160" s="15" t="inlineStr">
        <is>
          <t>VC5</t>
        </is>
      </c>
      <c r="B160" s="10" t="inlineStr">
        <is>
          <t>1031</t>
        </is>
      </c>
      <c r="C160" s="10" t="inlineStr">
        <is>
          <t>646</t>
        </is>
      </c>
      <c r="D160" s="10" t="inlineStr">
        <is>
          <t>652</t>
        </is>
      </c>
      <c r="E160" s="35" t="n">
        <v>3.9</v>
      </c>
      <c r="F160" s="35" t="n">
        <v>9.699999999999999</v>
      </c>
      <c r="G160" s="35" t="n">
        <v>27.35</v>
      </c>
      <c r="H160" s="35" t="n">
        <v>15.5</v>
      </c>
      <c r="I160" s="10" t="inlineStr">
        <is>
          <t>450×550</t>
        </is>
      </c>
      <c r="J160" s="10" t="n">
        <v>4</v>
      </c>
      <c r="K160" s="10" t="n">
        <v>4</v>
      </c>
      <c r="L160" s="10" t="n">
        <v>8</v>
      </c>
      <c r="M160" s="10" t="inlineStr">
        <is>
          <t>Nº3 cerrado</t>
        </is>
      </c>
      <c r="N160" s="10" t="n">
        <v>2</v>
      </c>
      <c r="O160" s="35" t="n">
        <v>120</v>
      </c>
      <c r="P160" s="35" t="n">
        <v>170</v>
      </c>
      <c r="Q160" s="35" t="n">
        <v>0.3403803740833433</v>
      </c>
      <c r="R160" s="10" t="inlineStr">
        <is>
          <t>SÍ</t>
        </is>
      </c>
      <c r="S160" s="15" t="inlineStr">
        <is>
          <t>CUMPLE</t>
        </is>
      </c>
      <c r="T160" s="3" t="inlineStr">
        <is>
          <t>coordinar con planta y reanálisis global</t>
        </is>
      </c>
    </row>
    <row r="161">
      <c r="A161" s="15" t="inlineStr">
        <is>
          <t>VC5</t>
        </is>
      </c>
      <c r="B161" s="10" t="inlineStr">
        <is>
          <t>1032</t>
        </is>
      </c>
      <c r="C161" s="10" t="inlineStr">
        <is>
          <t>652</t>
        </is>
      </c>
      <c r="D161" s="10" t="inlineStr">
        <is>
          <t>670</t>
        </is>
      </c>
      <c r="E161" s="35" t="n">
        <v>3.85</v>
      </c>
      <c r="F161" s="35" t="n">
        <v>13.575</v>
      </c>
      <c r="G161" s="35" t="n">
        <v>27.35</v>
      </c>
      <c r="H161" s="35" t="n">
        <v>15.5</v>
      </c>
      <c r="I161" s="10" t="inlineStr">
        <is>
          <t>450×550</t>
        </is>
      </c>
      <c r="J161" s="10" t="n">
        <v>4</v>
      </c>
      <c r="K161" s="10" t="n">
        <v>4</v>
      </c>
      <c r="L161" s="10" t="n">
        <v>8</v>
      </c>
      <c r="M161" s="10" t="inlineStr">
        <is>
          <t>Nº3 cerrado</t>
        </is>
      </c>
      <c r="N161" s="10" t="n">
        <v>2</v>
      </c>
      <c r="O161" s="35" t="n">
        <v>120</v>
      </c>
      <c r="P161" s="35" t="n">
        <v>200</v>
      </c>
      <c r="Q161" s="35" t="n">
        <v>0.2621168442683643</v>
      </c>
      <c r="R161" s="10" t="inlineStr">
        <is>
          <t>SÍ</t>
        </is>
      </c>
      <c r="S161" s="15" t="inlineStr">
        <is>
          <t>CUMPLE</t>
        </is>
      </c>
      <c r="T161" s="3" t="inlineStr">
        <is>
          <t>coordinar con planta y reanálisis global</t>
        </is>
      </c>
    </row>
    <row r="162">
      <c r="A162" s="20" t="inlineStr">
        <is>
          <t>VC6</t>
        </is>
      </c>
      <c r="B162" s="10" t="inlineStr">
        <is>
          <t>67</t>
        </is>
      </c>
      <c r="C162" s="10" t="inlineStr">
        <is>
          <t>5</t>
        </is>
      </c>
      <c r="D162" s="10" t="inlineStr">
        <is>
          <t>21</t>
        </is>
      </c>
      <c r="E162" s="35" t="n">
        <v>3.85</v>
      </c>
      <c r="F162" s="35" t="n">
        <v>1.925</v>
      </c>
      <c r="G162" s="35" t="n">
        <v>11.35</v>
      </c>
      <c r="H162" s="35" t="n">
        <v>3.5</v>
      </c>
      <c r="I162" s="10" t="inlineStr">
        <is>
          <t>450×550</t>
        </is>
      </c>
      <c r="J162" s="10" t="n">
        <v>6</v>
      </c>
      <c r="K162" s="10" t="n">
        <v>5</v>
      </c>
      <c r="L162" s="10" t="n">
        <v>0</v>
      </c>
      <c r="M162" s="10" t="inlineStr">
        <is>
          <t>Nº4 cerrado</t>
        </is>
      </c>
      <c r="N162" s="10" t="n">
        <v>2</v>
      </c>
      <c r="O162" s="35" t="n">
        <v>120</v>
      </c>
      <c r="P162" s="35" t="n">
        <v>120</v>
      </c>
      <c r="Q162" s="35" t="n">
        <v>0.6096143626084245</v>
      </c>
      <c r="R162" s="10" t="inlineStr">
        <is>
          <t>SÍ</t>
        </is>
      </c>
      <c r="S162" s="15" t="inlineStr">
        <is>
          <t>CUMPLE</t>
        </is>
      </c>
      <c r="T162" s="3" t="inlineStr">
        <is>
          <t>coordinar con planta y reanálisis global</t>
        </is>
      </c>
    </row>
    <row r="163">
      <c r="A163" s="20" t="inlineStr">
        <is>
          <t>VC6</t>
        </is>
      </c>
      <c r="B163" s="10" t="inlineStr">
        <is>
          <t>68</t>
        </is>
      </c>
      <c r="C163" s="10" t="inlineStr">
        <is>
          <t>21</t>
        </is>
      </c>
      <c r="D163" s="10" t="inlineStr">
        <is>
          <t>29</t>
        </is>
      </c>
      <c r="E163" s="35" t="n">
        <v>3.9</v>
      </c>
      <c r="F163" s="35" t="n">
        <v>5.8</v>
      </c>
      <c r="G163" s="35" t="n">
        <v>11.35</v>
      </c>
      <c r="H163" s="35" t="n">
        <v>3.5</v>
      </c>
      <c r="I163" s="10" t="inlineStr">
        <is>
          <t>450×550</t>
        </is>
      </c>
      <c r="J163" s="10" t="n">
        <v>5</v>
      </c>
      <c r="K163" s="10" t="n">
        <v>5</v>
      </c>
      <c r="L163" s="10" t="n">
        <v>12</v>
      </c>
      <c r="M163" s="10" t="inlineStr">
        <is>
          <t>Nº4 cerrado (referencia)</t>
        </is>
      </c>
      <c r="N163" s="10" t="n">
        <v>4</v>
      </c>
      <c r="O163" s="35" t="n">
        <v>110</v>
      </c>
      <c r="P163" s="35" t="n">
        <v>110</v>
      </c>
      <c r="Q163" s="35" t="n">
        <v>1.463980589275313</v>
      </c>
      <c r="R163" s="10" t="inlineStr">
        <is>
          <t>NO</t>
        </is>
      </c>
      <c r="S163" s="19" t="inlineStr">
        <is>
          <t>NO CUMPLE</t>
        </is>
      </c>
      <c r="T163" s="3" t="inlineStr">
        <is>
          <t>aumentar sección por interacción V-T; rediseñar sección/estribo; demostrar compatibilidad antes de reducir Tu</t>
        </is>
      </c>
    </row>
    <row r="164">
      <c r="A164" s="20" t="inlineStr">
        <is>
          <t>VC6</t>
        </is>
      </c>
      <c r="B164" s="10" t="inlineStr">
        <is>
          <t>69</t>
        </is>
      </c>
      <c r="C164" s="10" t="inlineStr">
        <is>
          <t>29</t>
        </is>
      </c>
      <c r="D164" s="10" t="inlineStr">
        <is>
          <t>45</t>
        </is>
      </c>
      <c r="E164" s="35" t="n">
        <v>3.9</v>
      </c>
      <c r="F164" s="35" t="n">
        <v>9.699999999999999</v>
      </c>
      <c r="G164" s="35" t="n">
        <v>11.35</v>
      </c>
      <c r="H164" s="35" t="n">
        <v>3.5</v>
      </c>
      <c r="I164" s="10" t="inlineStr">
        <is>
          <t>450×550</t>
        </is>
      </c>
      <c r="J164" s="10" t="n">
        <v>5</v>
      </c>
      <c r="K164" s="10" t="n">
        <v>5</v>
      </c>
      <c r="L164" s="10" t="n">
        <v>12</v>
      </c>
      <c r="M164" s="10" t="inlineStr">
        <is>
          <t>Nº4 cerrado (referencia)</t>
        </is>
      </c>
      <c r="N164" s="10" t="n">
        <v>4</v>
      </c>
      <c r="O164" s="35" t="n">
        <v>110</v>
      </c>
      <c r="P164" s="35" t="n">
        <v>110</v>
      </c>
      <c r="Q164" s="35" t="n">
        <v>1.463987822923968</v>
      </c>
      <c r="R164" s="10" t="inlineStr">
        <is>
          <t>NO</t>
        </is>
      </c>
      <c r="S164" s="19" t="inlineStr">
        <is>
          <t>NO CUMPLE</t>
        </is>
      </c>
      <c r="T164" s="3" t="inlineStr">
        <is>
          <t>aumentar sección por interacción V-T; rediseñar sección/estribo; demostrar compatibilidad antes de reducir Tu</t>
        </is>
      </c>
    </row>
    <row r="165">
      <c r="A165" s="20" t="inlineStr">
        <is>
          <t>VC6</t>
        </is>
      </c>
      <c r="B165" s="10" t="inlineStr">
        <is>
          <t>70</t>
        </is>
      </c>
      <c r="C165" s="10" t="inlineStr">
        <is>
          <t>45</t>
        </is>
      </c>
      <c r="D165" s="10" t="inlineStr">
        <is>
          <t>54</t>
        </is>
      </c>
      <c r="E165" s="35" t="n">
        <v>3.85</v>
      </c>
      <c r="F165" s="35" t="n">
        <v>13.575</v>
      </c>
      <c r="G165" s="35" t="n">
        <v>11.35</v>
      </c>
      <c r="H165" s="35" t="n">
        <v>3.5</v>
      </c>
      <c r="I165" s="10" t="inlineStr">
        <is>
          <t>450×550</t>
        </is>
      </c>
      <c r="J165" s="10" t="n">
        <v>6</v>
      </c>
      <c r="K165" s="10" t="n">
        <v>5</v>
      </c>
      <c r="L165" s="10" t="n">
        <v>0</v>
      </c>
      <c r="M165" s="10" t="inlineStr">
        <is>
          <t>Nº4 cerrado</t>
        </is>
      </c>
      <c r="N165" s="10" t="n">
        <v>2</v>
      </c>
      <c r="O165" s="35" t="n">
        <v>120</v>
      </c>
      <c r="P165" s="35" t="n">
        <v>120</v>
      </c>
      <c r="Q165" s="35" t="n">
        <v>0.6096203714046708</v>
      </c>
      <c r="R165" s="10" t="inlineStr">
        <is>
          <t>SÍ</t>
        </is>
      </c>
      <c r="S165" s="15" t="inlineStr">
        <is>
          <t>CUMPLE</t>
        </is>
      </c>
      <c r="T165" s="3" t="inlineStr">
        <is>
          <t>coordinar con planta y reanálisis global</t>
        </is>
      </c>
    </row>
    <row r="166">
      <c r="A166" s="20" t="inlineStr">
        <is>
          <t>VC6</t>
        </is>
      </c>
      <c r="B166" s="10" t="inlineStr">
        <is>
          <t>79</t>
        </is>
      </c>
      <c r="C166" s="10" t="inlineStr">
        <is>
          <t>8</t>
        </is>
      </c>
      <c r="D166" s="10" t="inlineStr">
        <is>
          <t>17</t>
        </is>
      </c>
      <c r="E166" s="35" t="n">
        <v>3.85</v>
      </c>
      <c r="F166" s="35" t="n">
        <v>1.925</v>
      </c>
      <c r="G166" s="35" t="n">
        <v>24.85</v>
      </c>
      <c r="H166" s="35" t="n">
        <v>3.5</v>
      </c>
      <c r="I166" s="10" t="inlineStr">
        <is>
          <t>450×550</t>
        </is>
      </c>
      <c r="J166" s="10" t="n">
        <v>6</v>
      </c>
      <c r="K166" s="10" t="n">
        <v>5</v>
      </c>
      <c r="L166" s="10" t="n">
        <v>0</v>
      </c>
      <c r="M166" s="10" t="inlineStr">
        <is>
          <t>Nº4 cerrado</t>
        </is>
      </c>
      <c r="N166" s="10" t="n">
        <v>2</v>
      </c>
      <c r="O166" s="35" t="n">
        <v>120</v>
      </c>
      <c r="P166" s="35" t="n">
        <v>120</v>
      </c>
      <c r="Q166" s="35" t="n">
        <v>0.6096200201226069</v>
      </c>
      <c r="R166" s="10" t="inlineStr">
        <is>
          <t>SÍ</t>
        </is>
      </c>
      <c r="S166" s="15" t="inlineStr">
        <is>
          <t>CUMPLE</t>
        </is>
      </c>
      <c r="T166" s="3" t="inlineStr">
        <is>
          <t>coordinar con planta y reanálisis global</t>
        </is>
      </c>
    </row>
    <row r="167">
      <c r="A167" s="20" t="inlineStr">
        <is>
          <t>VC6</t>
        </is>
      </c>
      <c r="B167" s="10" t="inlineStr">
        <is>
          <t>80</t>
        </is>
      </c>
      <c r="C167" s="10" t="inlineStr">
        <is>
          <t>17</t>
        </is>
      </c>
      <c r="D167" s="10" t="inlineStr">
        <is>
          <t>33</t>
        </is>
      </c>
      <c r="E167" s="35" t="n">
        <v>3.9</v>
      </c>
      <c r="F167" s="35" t="n">
        <v>5.8</v>
      </c>
      <c r="G167" s="35" t="n">
        <v>24.85</v>
      </c>
      <c r="H167" s="35" t="n">
        <v>3.5</v>
      </c>
      <c r="I167" s="10" t="inlineStr">
        <is>
          <t>450×550</t>
        </is>
      </c>
      <c r="J167" s="10" t="n">
        <v>5</v>
      </c>
      <c r="K167" s="10" t="n">
        <v>5</v>
      </c>
      <c r="L167" s="10" t="n">
        <v>12</v>
      </c>
      <c r="M167" s="10" t="inlineStr">
        <is>
          <t>Nº4 cerrado (referencia)</t>
        </is>
      </c>
      <c r="N167" s="10" t="n">
        <v>4</v>
      </c>
      <c r="O167" s="35" t="n">
        <v>110</v>
      </c>
      <c r="P167" s="35" t="n">
        <v>110</v>
      </c>
      <c r="Q167" s="35" t="n">
        <v>1.46402674763534</v>
      </c>
      <c r="R167" s="10" t="inlineStr">
        <is>
          <t>NO</t>
        </is>
      </c>
      <c r="S167" s="19" t="inlineStr">
        <is>
          <t>NO CUMPLE</t>
        </is>
      </c>
      <c r="T167" s="3" t="inlineStr">
        <is>
          <t>aumentar sección por interacción V-T; rediseñar sección/estribo; demostrar compatibilidad antes de reducir Tu</t>
        </is>
      </c>
    </row>
    <row r="168">
      <c r="A168" s="20" t="inlineStr">
        <is>
          <t>VC6</t>
        </is>
      </c>
      <c r="B168" s="10" t="inlineStr">
        <is>
          <t>81</t>
        </is>
      </c>
      <c r="C168" s="10" t="inlineStr">
        <is>
          <t>33</t>
        </is>
      </c>
      <c r="D168" s="10" t="inlineStr">
        <is>
          <t>41</t>
        </is>
      </c>
      <c r="E168" s="35" t="n">
        <v>3.9</v>
      </c>
      <c r="F168" s="35" t="n">
        <v>9.699999999999999</v>
      </c>
      <c r="G168" s="35" t="n">
        <v>24.85</v>
      </c>
      <c r="H168" s="35" t="n">
        <v>3.5</v>
      </c>
      <c r="I168" s="10" t="inlineStr">
        <is>
          <t>450×550</t>
        </is>
      </c>
      <c r="J168" s="10" t="n">
        <v>5</v>
      </c>
      <c r="K168" s="10" t="n">
        <v>5</v>
      </c>
      <c r="L168" s="10" t="n">
        <v>12</v>
      </c>
      <c r="M168" s="10" t="inlineStr">
        <is>
          <t>Nº4 cerrado (referencia)</t>
        </is>
      </c>
      <c r="N168" s="10" t="n">
        <v>4</v>
      </c>
      <c r="O168" s="35" t="n">
        <v>110</v>
      </c>
      <c r="P168" s="35" t="n">
        <v>110</v>
      </c>
      <c r="Q168" s="35" t="n">
        <v>1.464033050829298</v>
      </c>
      <c r="R168" s="10" t="inlineStr">
        <is>
          <t>NO</t>
        </is>
      </c>
      <c r="S168" s="19" t="inlineStr">
        <is>
          <t>NO CUMPLE</t>
        </is>
      </c>
      <c r="T168" s="3" t="inlineStr">
        <is>
          <t>aumentar sección por interacción V-T; rediseñar sección/estribo; demostrar compatibilidad antes de reducir Tu</t>
        </is>
      </c>
    </row>
    <row r="169">
      <c r="A169" s="20" t="inlineStr">
        <is>
          <t>VC6</t>
        </is>
      </c>
      <c r="B169" s="10" t="inlineStr">
        <is>
          <t>82</t>
        </is>
      </c>
      <c r="C169" s="10" t="inlineStr">
        <is>
          <t>41</t>
        </is>
      </c>
      <c r="D169" s="10" t="inlineStr">
        <is>
          <t>57</t>
        </is>
      </c>
      <c r="E169" s="35" t="n">
        <v>3.85</v>
      </c>
      <c r="F169" s="35" t="n">
        <v>13.575</v>
      </c>
      <c r="G169" s="35" t="n">
        <v>24.85</v>
      </c>
      <c r="H169" s="35" t="n">
        <v>3.5</v>
      </c>
      <c r="I169" s="10" t="inlineStr">
        <is>
          <t>450×550</t>
        </is>
      </c>
      <c r="J169" s="10" t="n">
        <v>6</v>
      </c>
      <c r="K169" s="10" t="n">
        <v>5</v>
      </c>
      <c r="L169" s="10" t="n">
        <v>0</v>
      </c>
      <c r="M169" s="10" t="inlineStr">
        <is>
          <t>Nº4 cerrado</t>
        </is>
      </c>
      <c r="N169" s="10" t="n">
        <v>2</v>
      </c>
      <c r="O169" s="35" t="n">
        <v>120</v>
      </c>
      <c r="P169" s="35" t="n">
        <v>120</v>
      </c>
      <c r="Q169" s="35" t="n">
        <v>0.6096153823286793</v>
      </c>
      <c r="R169" s="10" t="inlineStr">
        <is>
          <t>SÍ</t>
        </is>
      </c>
      <c r="S169" s="15" t="inlineStr">
        <is>
          <t>CUMPLE</t>
        </is>
      </c>
      <c r="T169" s="3" t="inlineStr">
        <is>
          <t>coordinar con planta y reanálisis global</t>
        </is>
      </c>
    </row>
    <row r="170">
      <c r="A170" s="20" t="inlineStr">
        <is>
          <t>VC6</t>
        </is>
      </c>
      <c r="B170" s="10" t="inlineStr">
        <is>
          <t>267</t>
        </is>
      </c>
      <c r="C170" s="10" t="inlineStr">
        <is>
          <t>131</t>
        </is>
      </c>
      <c r="D170" s="10" t="inlineStr">
        <is>
          <t>147</t>
        </is>
      </c>
      <c r="E170" s="35" t="n">
        <v>3.85</v>
      </c>
      <c r="F170" s="35" t="n">
        <v>1.925</v>
      </c>
      <c r="G170" s="35" t="n">
        <v>11.35</v>
      </c>
      <c r="H170" s="35" t="n">
        <v>6.5</v>
      </c>
      <c r="I170" s="10" t="inlineStr">
        <is>
          <t>450×550</t>
        </is>
      </c>
      <c r="J170" s="10" t="n">
        <v>5</v>
      </c>
      <c r="K170" s="10" t="n">
        <v>4</v>
      </c>
      <c r="L170" s="10" t="n">
        <v>0</v>
      </c>
      <c r="M170" s="10" t="inlineStr">
        <is>
          <t>Nº3 cerrado</t>
        </is>
      </c>
      <c r="N170" s="10" t="n">
        <v>2</v>
      </c>
      <c r="O170" s="35" t="n">
        <v>80</v>
      </c>
      <c r="P170" s="35" t="n">
        <v>80</v>
      </c>
      <c r="Q170" s="35" t="n">
        <v>0.5449141079540343</v>
      </c>
      <c r="R170" s="10" t="inlineStr">
        <is>
          <t>SÍ</t>
        </is>
      </c>
      <c r="S170" s="15" t="inlineStr">
        <is>
          <t>CUMPLE</t>
        </is>
      </c>
      <c r="T170" s="3" t="inlineStr">
        <is>
          <t>coordinar con planta y reanálisis global</t>
        </is>
      </c>
    </row>
    <row r="171">
      <c r="A171" s="20" t="inlineStr">
        <is>
          <t>VC6</t>
        </is>
      </c>
      <c r="B171" s="10" t="inlineStr">
        <is>
          <t>268</t>
        </is>
      </c>
      <c r="C171" s="10" t="inlineStr">
        <is>
          <t>147</t>
        </is>
      </c>
      <c r="D171" s="10" t="inlineStr">
        <is>
          <t>155</t>
        </is>
      </c>
      <c r="E171" s="35" t="n">
        <v>3.9</v>
      </c>
      <c r="F171" s="35" t="n">
        <v>5.8</v>
      </c>
      <c r="G171" s="35" t="n">
        <v>11.35</v>
      </c>
      <c r="H171" s="35" t="n">
        <v>6.5</v>
      </c>
      <c r="I171" s="10" t="inlineStr">
        <is>
          <t>450×550</t>
        </is>
      </c>
      <c r="J171" s="10" t="n">
        <v>5</v>
      </c>
      <c r="K171" s="10" t="n">
        <v>4</v>
      </c>
      <c r="L171" s="10" t="n">
        <v>12</v>
      </c>
      <c r="M171" s="10" t="inlineStr">
        <is>
          <t>Nº4 cerrado (referencia)</t>
        </is>
      </c>
      <c r="N171" s="10" t="n">
        <v>4</v>
      </c>
      <c r="O171" s="35" t="n">
        <v>120</v>
      </c>
      <c r="P171" s="35" t="n">
        <v>130</v>
      </c>
      <c r="Q171" s="35" t="n">
        <v>1.242322058258289</v>
      </c>
      <c r="R171" s="10" t="inlineStr">
        <is>
          <t>NO</t>
        </is>
      </c>
      <c r="S171" s="19" t="inlineStr">
        <is>
          <t>NO CUMPLE</t>
        </is>
      </c>
      <c r="T171" s="3" t="inlineStr">
        <is>
          <t>aumentar sección por interacción V-T; rediseñar sección/estribo; demostrar compatibilidad antes de reducir Tu</t>
        </is>
      </c>
    </row>
    <row r="172">
      <c r="A172" s="20" t="inlineStr">
        <is>
          <t>VC6</t>
        </is>
      </c>
      <c r="B172" s="10" t="inlineStr">
        <is>
          <t>269</t>
        </is>
      </c>
      <c r="C172" s="10" t="inlineStr">
        <is>
          <t>155</t>
        </is>
      </c>
      <c r="D172" s="10" t="inlineStr">
        <is>
          <t>171</t>
        </is>
      </c>
      <c r="E172" s="35" t="n">
        <v>3.9</v>
      </c>
      <c r="F172" s="35" t="n">
        <v>9.699999999999999</v>
      </c>
      <c r="G172" s="35" t="n">
        <v>11.35</v>
      </c>
      <c r="H172" s="35" t="n">
        <v>6.5</v>
      </c>
      <c r="I172" s="10" t="inlineStr">
        <is>
          <t>450×550</t>
        </is>
      </c>
      <c r="J172" s="10" t="n">
        <v>5</v>
      </c>
      <c r="K172" s="10" t="n">
        <v>4</v>
      </c>
      <c r="L172" s="10" t="n">
        <v>12</v>
      </c>
      <c r="M172" s="10" t="inlineStr">
        <is>
          <t>Nº4 cerrado (referencia)</t>
        </is>
      </c>
      <c r="N172" s="10" t="n">
        <v>4</v>
      </c>
      <c r="O172" s="35" t="n">
        <v>120</v>
      </c>
      <c r="P172" s="35" t="n">
        <v>130</v>
      </c>
      <c r="Q172" s="35" t="n">
        <v>1.242323148096848</v>
      </c>
      <c r="R172" s="10" t="inlineStr">
        <is>
          <t>NO</t>
        </is>
      </c>
      <c r="S172" s="19" t="inlineStr">
        <is>
          <t>NO CUMPLE</t>
        </is>
      </c>
      <c r="T172" s="3" t="inlineStr">
        <is>
          <t>aumentar sección por interacción V-T; rediseñar sección/estribo; demostrar compatibilidad antes de reducir Tu</t>
        </is>
      </c>
    </row>
    <row r="173">
      <c r="A173" s="20" t="inlineStr">
        <is>
          <t>VC6</t>
        </is>
      </c>
      <c r="B173" s="10" t="inlineStr">
        <is>
          <t>270</t>
        </is>
      </c>
      <c r="C173" s="10" t="inlineStr">
        <is>
          <t>171</t>
        </is>
      </c>
      <c r="D173" s="10" t="inlineStr">
        <is>
          <t>180</t>
        </is>
      </c>
      <c r="E173" s="35" t="n">
        <v>3.85</v>
      </c>
      <c r="F173" s="35" t="n">
        <v>13.575</v>
      </c>
      <c r="G173" s="35" t="n">
        <v>11.35</v>
      </c>
      <c r="H173" s="35" t="n">
        <v>6.5</v>
      </c>
      <c r="I173" s="10" t="inlineStr">
        <is>
          <t>450×550</t>
        </is>
      </c>
      <c r="J173" s="10" t="n">
        <v>5</v>
      </c>
      <c r="K173" s="10" t="n">
        <v>4</v>
      </c>
      <c r="L173" s="10" t="n">
        <v>0</v>
      </c>
      <c r="M173" s="10" t="inlineStr">
        <is>
          <t>Nº3 cerrado</t>
        </is>
      </c>
      <c r="N173" s="10" t="n">
        <v>2</v>
      </c>
      <c r="O173" s="35" t="n">
        <v>80</v>
      </c>
      <c r="P173" s="35" t="n">
        <v>80</v>
      </c>
      <c r="Q173" s="35" t="n">
        <v>0.5449190646563907</v>
      </c>
      <c r="R173" s="10" t="inlineStr">
        <is>
          <t>SÍ</t>
        </is>
      </c>
      <c r="S173" s="15" t="inlineStr">
        <is>
          <t>CUMPLE</t>
        </is>
      </c>
      <c r="T173" s="3" t="inlineStr">
        <is>
          <t>coordinar con planta y reanálisis global</t>
        </is>
      </c>
    </row>
    <row r="174">
      <c r="A174" s="20" t="inlineStr">
        <is>
          <t>VC6</t>
        </is>
      </c>
      <c r="B174" s="10" t="inlineStr">
        <is>
          <t>279</t>
        </is>
      </c>
      <c r="C174" s="10" t="inlineStr">
        <is>
          <t>134</t>
        </is>
      </c>
      <c r="D174" s="10" t="inlineStr">
        <is>
          <t>143</t>
        </is>
      </c>
      <c r="E174" s="35" t="n">
        <v>3.85</v>
      </c>
      <c r="F174" s="35" t="n">
        <v>1.925</v>
      </c>
      <c r="G174" s="35" t="n">
        <v>24.85</v>
      </c>
      <c r="H174" s="35" t="n">
        <v>6.5</v>
      </c>
      <c r="I174" s="10" t="inlineStr">
        <is>
          <t>450×550</t>
        </is>
      </c>
      <c r="J174" s="10" t="n">
        <v>5</v>
      </c>
      <c r="K174" s="10" t="n">
        <v>4</v>
      </c>
      <c r="L174" s="10" t="n">
        <v>0</v>
      </c>
      <c r="M174" s="10" t="inlineStr">
        <is>
          <t>Nº3 cerrado</t>
        </is>
      </c>
      <c r="N174" s="10" t="n">
        <v>2</v>
      </c>
      <c r="O174" s="35" t="n">
        <v>80</v>
      </c>
      <c r="P174" s="35" t="n">
        <v>80</v>
      </c>
      <c r="Q174" s="35" t="n">
        <v>0.5449400722716249</v>
      </c>
      <c r="R174" s="10" t="inlineStr">
        <is>
          <t>SÍ</t>
        </is>
      </c>
      <c r="S174" s="15" t="inlineStr">
        <is>
          <t>CUMPLE</t>
        </is>
      </c>
      <c r="T174" s="3" t="inlineStr">
        <is>
          <t>coordinar con planta y reanálisis global</t>
        </is>
      </c>
    </row>
    <row r="175">
      <c r="A175" s="20" t="inlineStr">
        <is>
          <t>VC6</t>
        </is>
      </c>
      <c r="B175" s="10" t="inlineStr">
        <is>
          <t>280</t>
        </is>
      </c>
      <c r="C175" s="10" t="inlineStr">
        <is>
          <t>143</t>
        </is>
      </c>
      <c r="D175" s="10" t="inlineStr">
        <is>
          <t>159</t>
        </is>
      </c>
      <c r="E175" s="35" t="n">
        <v>3.9</v>
      </c>
      <c r="F175" s="35" t="n">
        <v>5.8</v>
      </c>
      <c r="G175" s="35" t="n">
        <v>24.85</v>
      </c>
      <c r="H175" s="35" t="n">
        <v>6.5</v>
      </c>
      <c r="I175" s="10" t="inlineStr">
        <is>
          <t>450×550</t>
        </is>
      </c>
      <c r="J175" s="10" t="n">
        <v>5</v>
      </c>
      <c r="K175" s="10" t="n">
        <v>4</v>
      </c>
      <c r="L175" s="10" t="n">
        <v>12</v>
      </c>
      <c r="M175" s="10" t="inlineStr">
        <is>
          <t>Nº4 cerrado (referencia)</t>
        </is>
      </c>
      <c r="N175" s="10" t="n">
        <v>4</v>
      </c>
      <c r="O175" s="35" t="n">
        <v>120</v>
      </c>
      <c r="P175" s="35" t="n">
        <v>130</v>
      </c>
      <c r="Q175" s="35" t="n">
        <v>1.241479142698086</v>
      </c>
      <c r="R175" s="10" t="inlineStr">
        <is>
          <t>NO</t>
        </is>
      </c>
      <c r="S175" s="19" t="inlineStr">
        <is>
          <t>NO CUMPLE</t>
        </is>
      </c>
      <c r="T175" s="3" t="inlineStr">
        <is>
          <t>aumentar sección por interacción V-T; rediseñar sección/estribo; demostrar compatibilidad antes de reducir Tu</t>
        </is>
      </c>
    </row>
    <row r="176">
      <c r="A176" s="20" t="inlineStr">
        <is>
          <t>VC6</t>
        </is>
      </c>
      <c r="B176" s="10" t="inlineStr">
        <is>
          <t>281</t>
        </is>
      </c>
      <c r="C176" s="10" t="inlineStr">
        <is>
          <t>159</t>
        </is>
      </c>
      <c r="D176" s="10" t="inlineStr">
        <is>
          <t>167</t>
        </is>
      </c>
      <c r="E176" s="35" t="n">
        <v>3.9</v>
      </c>
      <c r="F176" s="35" t="n">
        <v>9.699999999999999</v>
      </c>
      <c r="G176" s="35" t="n">
        <v>24.85</v>
      </c>
      <c r="H176" s="35" t="n">
        <v>6.5</v>
      </c>
      <c r="I176" s="10" t="inlineStr">
        <is>
          <t>450×550</t>
        </is>
      </c>
      <c r="J176" s="10" t="n">
        <v>5</v>
      </c>
      <c r="K176" s="10" t="n">
        <v>4</v>
      </c>
      <c r="L176" s="10" t="n">
        <v>12</v>
      </c>
      <c r="M176" s="10" t="inlineStr">
        <is>
          <t>Nº4 cerrado (referencia)</t>
        </is>
      </c>
      <c r="N176" s="10" t="n">
        <v>4</v>
      </c>
      <c r="O176" s="35" t="n">
        <v>120</v>
      </c>
      <c r="P176" s="35" t="n">
        <v>130</v>
      </c>
      <c r="Q176" s="35" t="n">
        <v>1.24148795300047</v>
      </c>
      <c r="R176" s="10" t="inlineStr">
        <is>
          <t>NO</t>
        </is>
      </c>
      <c r="S176" s="19" t="inlineStr">
        <is>
          <t>NO CUMPLE</t>
        </is>
      </c>
      <c r="T176" s="3" t="inlineStr">
        <is>
          <t>aumentar sección por interacción V-T; rediseñar sección/estribo; demostrar compatibilidad antes de reducir Tu</t>
        </is>
      </c>
    </row>
    <row r="177">
      <c r="A177" s="20" t="inlineStr">
        <is>
          <t>VC6</t>
        </is>
      </c>
      <c r="B177" s="10" t="inlineStr">
        <is>
          <t>282</t>
        </is>
      </c>
      <c r="C177" s="10" t="inlineStr">
        <is>
          <t>167</t>
        </is>
      </c>
      <c r="D177" s="10" t="inlineStr">
        <is>
          <t>183</t>
        </is>
      </c>
      <c r="E177" s="35" t="n">
        <v>3.85</v>
      </c>
      <c r="F177" s="35" t="n">
        <v>13.575</v>
      </c>
      <c r="G177" s="35" t="n">
        <v>24.85</v>
      </c>
      <c r="H177" s="35" t="n">
        <v>6.5</v>
      </c>
      <c r="I177" s="10" t="inlineStr">
        <is>
          <t>450×550</t>
        </is>
      </c>
      <c r="J177" s="10" t="n">
        <v>5</v>
      </c>
      <c r="K177" s="10" t="n">
        <v>4</v>
      </c>
      <c r="L177" s="10" t="n">
        <v>0</v>
      </c>
      <c r="M177" s="10" t="inlineStr">
        <is>
          <t>Nº3 cerrado</t>
        </is>
      </c>
      <c r="N177" s="10" t="n">
        <v>2</v>
      </c>
      <c r="O177" s="35" t="n">
        <v>80</v>
      </c>
      <c r="P177" s="35" t="n">
        <v>80</v>
      </c>
      <c r="Q177" s="35" t="n">
        <v>0.544931137341507</v>
      </c>
      <c r="R177" s="10" t="inlineStr">
        <is>
          <t>SÍ</t>
        </is>
      </c>
      <c r="S177" s="15" t="inlineStr">
        <is>
          <t>CUMPLE</t>
        </is>
      </c>
      <c r="T177" s="3" t="inlineStr">
        <is>
          <t>coordinar con planta y reanálisis global</t>
        </is>
      </c>
    </row>
    <row r="178">
      <c r="A178" s="20" t="inlineStr">
        <is>
          <t>VC6</t>
        </is>
      </c>
      <c r="B178" s="10" t="inlineStr">
        <is>
          <t>825</t>
        </is>
      </c>
      <c r="C178" s="10" t="inlineStr">
        <is>
          <t>495</t>
        </is>
      </c>
      <c r="D178" s="10" t="inlineStr">
        <is>
          <t>511</t>
        </is>
      </c>
      <c r="E178" s="35" t="n">
        <v>3.85</v>
      </c>
      <c r="F178" s="35" t="n">
        <v>1.925</v>
      </c>
      <c r="G178" s="35" t="n">
        <v>11.35</v>
      </c>
      <c r="H178" s="35" t="n">
        <v>9.5</v>
      </c>
      <c r="I178" s="10" t="inlineStr">
        <is>
          <t>450×550</t>
        </is>
      </c>
      <c r="J178" s="10" t="n">
        <v>4</v>
      </c>
      <c r="K178" s="10" t="n">
        <v>4</v>
      </c>
      <c r="L178" s="10" t="n">
        <v>0</v>
      </c>
      <c r="M178" s="10" t="inlineStr">
        <is>
          <t>Nº3 cerrado</t>
        </is>
      </c>
      <c r="N178" s="10" t="n">
        <v>2</v>
      </c>
      <c r="O178" s="35" t="n">
        <v>120</v>
      </c>
      <c r="P178" s="35" t="n">
        <v>140</v>
      </c>
      <c r="Q178" s="35" t="n">
        <v>0.4170322598838249</v>
      </c>
      <c r="R178" s="10" t="inlineStr">
        <is>
          <t>SÍ</t>
        </is>
      </c>
      <c r="S178" s="15" t="inlineStr">
        <is>
          <t>CUMPLE</t>
        </is>
      </c>
      <c r="T178" s="3" t="inlineStr">
        <is>
          <t>coordinar con planta y reanálisis global</t>
        </is>
      </c>
    </row>
    <row r="179">
      <c r="A179" s="20" t="inlineStr">
        <is>
          <t>VC6</t>
        </is>
      </c>
      <c r="B179" s="10" t="inlineStr">
        <is>
          <t>826</t>
        </is>
      </c>
      <c r="C179" s="10" t="inlineStr">
        <is>
          <t>511</t>
        </is>
      </c>
      <c r="D179" s="10" t="inlineStr">
        <is>
          <t>519</t>
        </is>
      </c>
      <c r="E179" s="35" t="n">
        <v>3.9</v>
      </c>
      <c r="F179" s="35" t="n">
        <v>5.8</v>
      </c>
      <c r="G179" s="35" t="n">
        <v>11.35</v>
      </c>
      <c r="H179" s="35" t="n">
        <v>9.5</v>
      </c>
      <c r="I179" s="10" t="inlineStr">
        <is>
          <t>450×550</t>
        </is>
      </c>
      <c r="J179" s="10" t="n">
        <v>4</v>
      </c>
      <c r="K179" s="10" t="n">
        <v>4</v>
      </c>
      <c r="L179" s="10" t="n">
        <v>8</v>
      </c>
      <c r="M179" s="10" t="inlineStr">
        <is>
          <t>Nº4 cerrado</t>
        </is>
      </c>
      <c r="N179" s="10" t="n">
        <v>2</v>
      </c>
      <c r="O179" s="35" t="n">
        <v>90</v>
      </c>
      <c r="P179" s="35" t="n">
        <v>90</v>
      </c>
      <c r="Q179" s="35" t="n">
        <v>0.9163801489321461</v>
      </c>
      <c r="R179" s="10" t="inlineStr">
        <is>
          <t>SÍ</t>
        </is>
      </c>
      <c r="S179" s="15" t="inlineStr">
        <is>
          <t>CUMPLE</t>
        </is>
      </c>
      <c r="T179" s="3" t="inlineStr">
        <is>
          <t>demostrar compatibilidad antes de reducir Tu</t>
        </is>
      </c>
    </row>
    <row r="180">
      <c r="A180" s="20" t="inlineStr">
        <is>
          <t>VC6</t>
        </is>
      </c>
      <c r="B180" s="10" t="inlineStr">
        <is>
          <t>827</t>
        </is>
      </c>
      <c r="C180" s="10" t="inlineStr">
        <is>
          <t>519</t>
        </is>
      </c>
      <c r="D180" s="10" t="inlineStr">
        <is>
          <t>535</t>
        </is>
      </c>
      <c r="E180" s="35" t="n">
        <v>3.9</v>
      </c>
      <c r="F180" s="35" t="n">
        <v>9.699999999999999</v>
      </c>
      <c r="G180" s="35" t="n">
        <v>11.35</v>
      </c>
      <c r="H180" s="35" t="n">
        <v>9.5</v>
      </c>
      <c r="I180" s="10" t="inlineStr">
        <is>
          <t>450×550</t>
        </is>
      </c>
      <c r="J180" s="10" t="n">
        <v>4</v>
      </c>
      <c r="K180" s="10" t="n">
        <v>4</v>
      </c>
      <c r="L180" s="10" t="n">
        <v>8</v>
      </c>
      <c r="M180" s="10" t="inlineStr">
        <is>
          <t>Nº4 cerrado</t>
        </is>
      </c>
      <c r="N180" s="10" t="n">
        <v>2</v>
      </c>
      <c r="O180" s="35" t="n">
        <v>90</v>
      </c>
      <c r="P180" s="35" t="n">
        <v>90</v>
      </c>
      <c r="Q180" s="35" t="n">
        <v>0.9163824681321934</v>
      </c>
      <c r="R180" s="10" t="inlineStr">
        <is>
          <t>SÍ</t>
        </is>
      </c>
      <c r="S180" s="15" t="inlineStr">
        <is>
          <t>CUMPLE</t>
        </is>
      </c>
      <c r="T180" s="3" t="inlineStr">
        <is>
          <t>demostrar compatibilidad antes de reducir Tu</t>
        </is>
      </c>
    </row>
    <row r="181">
      <c r="A181" s="20" t="inlineStr">
        <is>
          <t>VC6</t>
        </is>
      </c>
      <c r="B181" s="10" t="inlineStr">
        <is>
          <t>828</t>
        </is>
      </c>
      <c r="C181" s="10" t="inlineStr">
        <is>
          <t>535</t>
        </is>
      </c>
      <c r="D181" s="10" t="inlineStr">
        <is>
          <t>544</t>
        </is>
      </c>
      <c r="E181" s="35" t="n">
        <v>3.85</v>
      </c>
      <c r="F181" s="35" t="n">
        <v>13.575</v>
      </c>
      <c r="G181" s="35" t="n">
        <v>11.35</v>
      </c>
      <c r="H181" s="35" t="n">
        <v>9.5</v>
      </c>
      <c r="I181" s="10" t="inlineStr">
        <is>
          <t>450×550</t>
        </is>
      </c>
      <c r="J181" s="10" t="n">
        <v>4</v>
      </c>
      <c r="K181" s="10" t="n">
        <v>4</v>
      </c>
      <c r="L181" s="10" t="n">
        <v>0</v>
      </c>
      <c r="M181" s="10" t="inlineStr">
        <is>
          <t>Nº3 cerrado</t>
        </is>
      </c>
      <c r="N181" s="10" t="n">
        <v>2</v>
      </c>
      <c r="O181" s="35" t="n">
        <v>120</v>
      </c>
      <c r="P181" s="35" t="n">
        <v>140</v>
      </c>
      <c r="Q181" s="35" t="n">
        <v>0.4170415267690828</v>
      </c>
      <c r="R181" s="10" t="inlineStr">
        <is>
          <t>SÍ</t>
        </is>
      </c>
      <c r="S181" s="15" t="inlineStr">
        <is>
          <t>CUMPLE</t>
        </is>
      </c>
      <c r="T181" s="3" t="inlineStr">
        <is>
          <t>coordinar con planta y reanálisis global</t>
        </is>
      </c>
    </row>
    <row r="182">
      <c r="A182" s="20" t="inlineStr">
        <is>
          <t>VC6</t>
        </is>
      </c>
      <c r="B182" s="10" t="inlineStr">
        <is>
          <t>837</t>
        </is>
      </c>
      <c r="C182" s="10" t="inlineStr">
        <is>
          <t>498</t>
        </is>
      </c>
      <c r="D182" s="10" t="inlineStr">
        <is>
          <t>507</t>
        </is>
      </c>
      <c r="E182" s="35" t="n">
        <v>3.85</v>
      </c>
      <c r="F182" s="35" t="n">
        <v>1.925</v>
      </c>
      <c r="G182" s="35" t="n">
        <v>24.85</v>
      </c>
      <c r="H182" s="35" t="n">
        <v>9.5</v>
      </c>
      <c r="I182" s="10" t="inlineStr">
        <is>
          <t>450×550</t>
        </is>
      </c>
      <c r="J182" s="10" t="n">
        <v>4</v>
      </c>
      <c r="K182" s="10" t="n">
        <v>4</v>
      </c>
      <c r="L182" s="10" t="n">
        <v>0</v>
      </c>
      <c r="M182" s="10" t="inlineStr">
        <is>
          <t>Nº3 cerrado</t>
        </is>
      </c>
      <c r="N182" s="10" t="n">
        <v>2</v>
      </c>
      <c r="O182" s="35" t="n">
        <v>120</v>
      </c>
      <c r="P182" s="35" t="n">
        <v>140</v>
      </c>
      <c r="Q182" s="35" t="n">
        <v>0.417051324001179</v>
      </c>
      <c r="R182" s="10" t="inlineStr">
        <is>
          <t>SÍ</t>
        </is>
      </c>
      <c r="S182" s="15" t="inlineStr">
        <is>
          <t>CUMPLE</t>
        </is>
      </c>
      <c r="T182" s="3" t="inlineStr">
        <is>
          <t>coordinar con planta y reanálisis global</t>
        </is>
      </c>
    </row>
    <row r="183">
      <c r="A183" s="20" t="inlineStr">
        <is>
          <t>VC6</t>
        </is>
      </c>
      <c r="B183" s="10" t="inlineStr">
        <is>
          <t>838</t>
        </is>
      </c>
      <c r="C183" s="10" t="inlineStr">
        <is>
          <t>507</t>
        </is>
      </c>
      <c r="D183" s="10" t="inlineStr">
        <is>
          <t>523</t>
        </is>
      </c>
      <c r="E183" s="35" t="n">
        <v>3.9</v>
      </c>
      <c r="F183" s="35" t="n">
        <v>5.8</v>
      </c>
      <c r="G183" s="35" t="n">
        <v>24.85</v>
      </c>
      <c r="H183" s="35" t="n">
        <v>9.5</v>
      </c>
      <c r="I183" s="10" t="inlineStr">
        <is>
          <t>450×550</t>
        </is>
      </c>
      <c r="J183" s="10" t="n">
        <v>4</v>
      </c>
      <c r="K183" s="10" t="n">
        <v>4</v>
      </c>
      <c r="L183" s="10" t="n">
        <v>8</v>
      </c>
      <c r="M183" s="10" t="inlineStr">
        <is>
          <t>Nº4 cerrado</t>
        </is>
      </c>
      <c r="N183" s="10" t="n">
        <v>2</v>
      </c>
      <c r="O183" s="35" t="n">
        <v>90</v>
      </c>
      <c r="P183" s="35" t="n">
        <v>90</v>
      </c>
      <c r="Q183" s="35" t="n">
        <v>0.9154310294188122</v>
      </c>
      <c r="R183" s="10" t="inlineStr">
        <is>
          <t>SÍ</t>
        </is>
      </c>
      <c r="S183" s="15" t="inlineStr">
        <is>
          <t>CUMPLE</t>
        </is>
      </c>
      <c r="T183" s="3" t="inlineStr">
        <is>
          <t>demostrar compatibilidad antes de reducir Tu</t>
        </is>
      </c>
    </row>
    <row r="184">
      <c r="A184" s="20" t="inlineStr">
        <is>
          <t>VC6</t>
        </is>
      </c>
      <c r="B184" s="10" t="inlineStr">
        <is>
          <t>839</t>
        </is>
      </c>
      <c r="C184" s="10" t="inlineStr">
        <is>
          <t>523</t>
        </is>
      </c>
      <c r="D184" s="10" t="inlineStr">
        <is>
          <t>531</t>
        </is>
      </c>
      <c r="E184" s="35" t="n">
        <v>3.9</v>
      </c>
      <c r="F184" s="35" t="n">
        <v>9.699999999999999</v>
      </c>
      <c r="G184" s="35" t="n">
        <v>24.85</v>
      </c>
      <c r="H184" s="35" t="n">
        <v>9.5</v>
      </c>
      <c r="I184" s="10" t="inlineStr">
        <is>
          <t>450×550</t>
        </is>
      </c>
      <c r="J184" s="10" t="n">
        <v>4</v>
      </c>
      <c r="K184" s="10" t="n">
        <v>4</v>
      </c>
      <c r="L184" s="10" t="n">
        <v>8</v>
      </c>
      <c r="M184" s="10" t="inlineStr">
        <is>
          <t>Nº4 cerrado</t>
        </is>
      </c>
      <c r="N184" s="10" t="n">
        <v>2</v>
      </c>
      <c r="O184" s="35" t="n">
        <v>90</v>
      </c>
      <c r="P184" s="35" t="n">
        <v>90</v>
      </c>
      <c r="Q184" s="35" t="n">
        <v>0.9154356875014801</v>
      </c>
      <c r="R184" s="10" t="inlineStr">
        <is>
          <t>SÍ</t>
        </is>
      </c>
      <c r="S184" s="15" t="inlineStr">
        <is>
          <t>CUMPLE</t>
        </is>
      </c>
      <c r="T184" s="3" t="inlineStr">
        <is>
          <t>demostrar compatibilidad antes de reducir Tu</t>
        </is>
      </c>
    </row>
    <row r="185">
      <c r="A185" s="20" t="inlineStr">
        <is>
          <t>VC6</t>
        </is>
      </c>
      <c r="B185" s="10" t="inlineStr">
        <is>
          <t>840</t>
        </is>
      </c>
      <c r="C185" s="10" t="inlineStr">
        <is>
          <t>531</t>
        </is>
      </c>
      <c r="D185" s="10" t="inlineStr">
        <is>
          <t>547</t>
        </is>
      </c>
      <c r="E185" s="35" t="n">
        <v>3.85</v>
      </c>
      <c r="F185" s="35" t="n">
        <v>13.575</v>
      </c>
      <c r="G185" s="35" t="n">
        <v>24.85</v>
      </c>
      <c r="H185" s="35" t="n">
        <v>9.5</v>
      </c>
      <c r="I185" s="10" t="inlineStr">
        <is>
          <t>450×550</t>
        </is>
      </c>
      <c r="J185" s="10" t="n">
        <v>4</v>
      </c>
      <c r="K185" s="10" t="n">
        <v>4</v>
      </c>
      <c r="L185" s="10" t="n">
        <v>0</v>
      </c>
      <c r="M185" s="10" t="inlineStr">
        <is>
          <t>Nº3 cerrado</t>
        </is>
      </c>
      <c r="N185" s="10" t="n">
        <v>2</v>
      </c>
      <c r="O185" s="35" t="n">
        <v>120</v>
      </c>
      <c r="P185" s="35" t="n">
        <v>140</v>
      </c>
      <c r="Q185" s="35" t="n">
        <v>0.417045997407169</v>
      </c>
      <c r="R185" s="10" t="inlineStr">
        <is>
          <t>SÍ</t>
        </is>
      </c>
      <c r="S185" s="15" t="inlineStr">
        <is>
          <t>CUMPLE</t>
        </is>
      </c>
      <c r="T185" s="3" t="inlineStr">
        <is>
          <t>coordinar con planta y reanálisis global</t>
        </is>
      </c>
    </row>
    <row r="186">
      <c r="A186" s="20" t="inlineStr">
        <is>
          <t>VC6</t>
        </is>
      </c>
      <c r="B186" s="10" t="inlineStr">
        <is>
          <t>919</t>
        </is>
      </c>
      <c r="C186" s="10" t="inlineStr">
        <is>
          <t>556</t>
        </is>
      </c>
      <c r="D186" s="10" t="inlineStr">
        <is>
          <t>572</t>
        </is>
      </c>
      <c r="E186" s="35" t="n">
        <v>3.85</v>
      </c>
      <c r="F186" s="35" t="n">
        <v>1.925</v>
      </c>
      <c r="G186" s="35" t="n">
        <v>11.35</v>
      </c>
      <c r="H186" s="35" t="n">
        <v>12.5</v>
      </c>
      <c r="I186" s="10" t="inlineStr">
        <is>
          <t>450×550</t>
        </is>
      </c>
      <c r="J186" s="10" t="n">
        <v>4</v>
      </c>
      <c r="K186" s="10" t="n">
        <v>4</v>
      </c>
      <c r="L186" s="10" t="n">
        <v>0</v>
      </c>
      <c r="M186" s="10" t="inlineStr">
        <is>
          <t>Nº3 cerrado</t>
        </is>
      </c>
      <c r="N186" s="10" t="n">
        <v>2</v>
      </c>
      <c r="O186" s="35" t="n">
        <v>120</v>
      </c>
      <c r="P186" s="35" t="n">
        <v>240</v>
      </c>
      <c r="Q186" s="35" t="n">
        <v>0.2538955460337702</v>
      </c>
      <c r="R186" s="10" t="inlineStr">
        <is>
          <t>SÍ</t>
        </is>
      </c>
      <c r="S186" s="15" t="inlineStr">
        <is>
          <t>CUMPLE</t>
        </is>
      </c>
      <c r="T186" s="3" t="inlineStr">
        <is>
          <t>coordinar con planta y reanálisis global</t>
        </is>
      </c>
    </row>
    <row r="187">
      <c r="A187" s="20" t="inlineStr">
        <is>
          <t>VC6</t>
        </is>
      </c>
      <c r="B187" s="10" t="inlineStr">
        <is>
          <t>920</t>
        </is>
      </c>
      <c r="C187" s="10" t="inlineStr">
        <is>
          <t>572</t>
        </is>
      </c>
      <c r="D187" s="10" t="inlineStr">
        <is>
          <t>580</t>
        </is>
      </c>
      <c r="E187" s="35" t="n">
        <v>3.9</v>
      </c>
      <c r="F187" s="35" t="n">
        <v>5.8</v>
      </c>
      <c r="G187" s="35" t="n">
        <v>11.35</v>
      </c>
      <c r="H187" s="35" t="n">
        <v>12.5</v>
      </c>
      <c r="I187" s="10" t="inlineStr">
        <is>
          <t>450×550</t>
        </is>
      </c>
      <c r="J187" s="10" t="n">
        <v>4</v>
      </c>
      <c r="K187" s="10" t="n">
        <v>4</v>
      </c>
      <c r="L187" s="10" t="n">
        <v>8</v>
      </c>
      <c r="M187" s="10" t="inlineStr">
        <is>
          <t>Nº3 cerrado</t>
        </is>
      </c>
      <c r="N187" s="10" t="n">
        <v>2</v>
      </c>
      <c r="O187" s="35" t="n">
        <v>100</v>
      </c>
      <c r="P187" s="35" t="n">
        <v>100</v>
      </c>
      <c r="Q187" s="35" t="n">
        <v>0.5175850934007532</v>
      </c>
      <c r="R187" s="10" t="inlineStr">
        <is>
          <t>SÍ</t>
        </is>
      </c>
      <c r="S187" s="15" t="inlineStr">
        <is>
          <t>CUMPLE</t>
        </is>
      </c>
      <c r="T187" s="3" t="inlineStr">
        <is>
          <t>coordinar con planta y reanálisis global</t>
        </is>
      </c>
    </row>
    <row r="188">
      <c r="A188" s="20" t="inlineStr">
        <is>
          <t>VC6</t>
        </is>
      </c>
      <c r="B188" s="10" t="inlineStr">
        <is>
          <t>921</t>
        </is>
      </c>
      <c r="C188" s="10" t="inlineStr">
        <is>
          <t>580</t>
        </is>
      </c>
      <c r="D188" s="10" t="inlineStr">
        <is>
          <t>596</t>
        </is>
      </c>
      <c r="E188" s="35" t="n">
        <v>3.9</v>
      </c>
      <c r="F188" s="35" t="n">
        <v>9.699999999999999</v>
      </c>
      <c r="G188" s="35" t="n">
        <v>11.35</v>
      </c>
      <c r="H188" s="35" t="n">
        <v>12.5</v>
      </c>
      <c r="I188" s="10" t="inlineStr">
        <is>
          <t>450×550</t>
        </is>
      </c>
      <c r="J188" s="10" t="n">
        <v>4</v>
      </c>
      <c r="K188" s="10" t="n">
        <v>4</v>
      </c>
      <c r="L188" s="10" t="n">
        <v>8</v>
      </c>
      <c r="M188" s="10" t="inlineStr">
        <is>
          <t>Nº3 cerrado</t>
        </is>
      </c>
      <c r="N188" s="10" t="n">
        <v>2</v>
      </c>
      <c r="O188" s="35" t="n">
        <v>100</v>
      </c>
      <c r="P188" s="35" t="n">
        <v>100</v>
      </c>
      <c r="Q188" s="35" t="n">
        <v>0.5175799258402766</v>
      </c>
      <c r="R188" s="10" t="inlineStr">
        <is>
          <t>SÍ</t>
        </is>
      </c>
      <c r="S188" s="15" t="inlineStr">
        <is>
          <t>CUMPLE</t>
        </is>
      </c>
      <c r="T188" s="3" t="inlineStr">
        <is>
          <t>coordinar con planta y reanálisis global</t>
        </is>
      </c>
    </row>
    <row r="189">
      <c r="A189" s="20" t="inlineStr">
        <is>
          <t>VC6</t>
        </is>
      </c>
      <c r="B189" s="10" t="inlineStr">
        <is>
          <t>922</t>
        </is>
      </c>
      <c r="C189" s="10" t="inlineStr">
        <is>
          <t>596</t>
        </is>
      </c>
      <c r="D189" s="10" t="inlineStr">
        <is>
          <t>605</t>
        </is>
      </c>
      <c r="E189" s="35" t="n">
        <v>3.85</v>
      </c>
      <c r="F189" s="35" t="n">
        <v>13.575</v>
      </c>
      <c r="G189" s="35" t="n">
        <v>11.35</v>
      </c>
      <c r="H189" s="35" t="n">
        <v>12.5</v>
      </c>
      <c r="I189" s="10" t="inlineStr">
        <is>
          <t>450×550</t>
        </is>
      </c>
      <c r="J189" s="10" t="n">
        <v>4</v>
      </c>
      <c r="K189" s="10" t="n">
        <v>4</v>
      </c>
      <c r="L189" s="10" t="n">
        <v>0</v>
      </c>
      <c r="M189" s="10" t="inlineStr">
        <is>
          <t>Nº3 cerrado</t>
        </is>
      </c>
      <c r="N189" s="10" t="n">
        <v>2</v>
      </c>
      <c r="O189" s="35" t="n">
        <v>120</v>
      </c>
      <c r="P189" s="35" t="n">
        <v>240</v>
      </c>
      <c r="Q189" s="35" t="n">
        <v>0.2539096906904822</v>
      </c>
      <c r="R189" s="10" t="inlineStr">
        <is>
          <t>SÍ</t>
        </is>
      </c>
      <c r="S189" s="15" t="inlineStr">
        <is>
          <t>CUMPLE</t>
        </is>
      </c>
      <c r="T189" s="3" t="inlineStr">
        <is>
          <t>coordinar con planta y reanálisis global</t>
        </is>
      </c>
    </row>
    <row r="190">
      <c r="A190" s="20" t="inlineStr">
        <is>
          <t>VC6</t>
        </is>
      </c>
      <c r="B190" s="10" t="inlineStr">
        <is>
          <t>931</t>
        </is>
      </c>
      <c r="C190" s="10" t="inlineStr">
        <is>
          <t>559</t>
        </is>
      </c>
      <c r="D190" s="10" t="inlineStr">
        <is>
          <t>568</t>
        </is>
      </c>
      <c r="E190" s="35" t="n">
        <v>3.85</v>
      </c>
      <c r="F190" s="35" t="n">
        <v>1.925</v>
      </c>
      <c r="G190" s="35" t="n">
        <v>24.85</v>
      </c>
      <c r="H190" s="35" t="n">
        <v>12.5</v>
      </c>
      <c r="I190" s="10" t="inlineStr">
        <is>
          <t>450×550</t>
        </is>
      </c>
      <c r="J190" s="10" t="n">
        <v>4</v>
      </c>
      <c r="K190" s="10" t="n">
        <v>4</v>
      </c>
      <c r="L190" s="10" t="n">
        <v>0</v>
      </c>
      <c r="M190" s="10" t="inlineStr">
        <is>
          <t>Nº3 cerrado</t>
        </is>
      </c>
      <c r="N190" s="10" t="n">
        <v>2</v>
      </c>
      <c r="O190" s="35" t="n">
        <v>120</v>
      </c>
      <c r="P190" s="35" t="n">
        <v>240</v>
      </c>
      <c r="Q190" s="35" t="n">
        <v>0.253909519401842</v>
      </c>
      <c r="R190" s="10" t="inlineStr">
        <is>
          <t>SÍ</t>
        </is>
      </c>
      <c r="S190" s="15" t="inlineStr">
        <is>
          <t>CUMPLE</t>
        </is>
      </c>
      <c r="T190" s="3" t="inlineStr">
        <is>
          <t>coordinar con planta y reanálisis global</t>
        </is>
      </c>
    </row>
    <row r="191">
      <c r="A191" s="20" t="inlineStr">
        <is>
          <t>VC6</t>
        </is>
      </c>
      <c r="B191" s="10" t="inlineStr">
        <is>
          <t>932</t>
        </is>
      </c>
      <c r="C191" s="10" t="inlineStr">
        <is>
          <t>568</t>
        </is>
      </c>
      <c r="D191" s="10" t="inlineStr">
        <is>
          <t>584</t>
        </is>
      </c>
      <c r="E191" s="35" t="n">
        <v>3.9</v>
      </c>
      <c r="F191" s="35" t="n">
        <v>5.8</v>
      </c>
      <c r="G191" s="35" t="n">
        <v>24.85</v>
      </c>
      <c r="H191" s="35" t="n">
        <v>12.5</v>
      </c>
      <c r="I191" s="10" t="inlineStr">
        <is>
          <t>450×550</t>
        </is>
      </c>
      <c r="J191" s="10" t="n">
        <v>4</v>
      </c>
      <c r="K191" s="10" t="n">
        <v>4</v>
      </c>
      <c r="L191" s="10" t="n">
        <v>8</v>
      </c>
      <c r="M191" s="10" t="inlineStr">
        <is>
          <t>Nº3 cerrado</t>
        </is>
      </c>
      <c r="N191" s="10" t="n">
        <v>2</v>
      </c>
      <c r="O191" s="35" t="n">
        <v>100</v>
      </c>
      <c r="P191" s="35" t="n">
        <v>100</v>
      </c>
      <c r="Q191" s="35" t="n">
        <v>0.5168066822220772</v>
      </c>
      <c r="R191" s="10" t="inlineStr">
        <is>
          <t>SÍ</t>
        </is>
      </c>
      <c r="S191" s="15" t="inlineStr">
        <is>
          <t>CUMPLE</t>
        </is>
      </c>
      <c r="T191" s="3" t="inlineStr">
        <is>
          <t>coordinar con planta y reanálisis global</t>
        </is>
      </c>
    </row>
    <row r="192">
      <c r="A192" s="20" t="inlineStr">
        <is>
          <t>VC6</t>
        </is>
      </c>
      <c r="B192" s="10" t="inlineStr">
        <is>
          <t>933</t>
        </is>
      </c>
      <c r="C192" s="10" t="inlineStr">
        <is>
          <t>584</t>
        </is>
      </c>
      <c r="D192" s="10" t="inlineStr">
        <is>
          <t>592</t>
        </is>
      </c>
      <c r="E192" s="35" t="n">
        <v>3.9</v>
      </c>
      <c r="F192" s="35" t="n">
        <v>9.699999999999999</v>
      </c>
      <c r="G192" s="35" t="n">
        <v>24.85</v>
      </c>
      <c r="H192" s="35" t="n">
        <v>12.5</v>
      </c>
      <c r="I192" s="10" t="inlineStr">
        <is>
          <t>450×550</t>
        </is>
      </c>
      <c r="J192" s="10" t="n">
        <v>4</v>
      </c>
      <c r="K192" s="10" t="n">
        <v>4</v>
      </c>
      <c r="L192" s="10" t="n">
        <v>8</v>
      </c>
      <c r="M192" s="10" t="inlineStr">
        <is>
          <t>Nº3 cerrado</t>
        </is>
      </c>
      <c r="N192" s="10" t="n">
        <v>2</v>
      </c>
      <c r="O192" s="35" t="n">
        <v>100</v>
      </c>
      <c r="P192" s="35" t="n">
        <v>100</v>
      </c>
      <c r="Q192" s="35" t="n">
        <v>0.5168078895003004</v>
      </c>
      <c r="R192" s="10" t="inlineStr">
        <is>
          <t>SÍ</t>
        </is>
      </c>
      <c r="S192" s="15" t="inlineStr">
        <is>
          <t>CUMPLE</t>
        </is>
      </c>
      <c r="T192" s="3" t="inlineStr">
        <is>
          <t>coordinar con planta y reanálisis global</t>
        </is>
      </c>
    </row>
    <row r="193">
      <c r="A193" s="20" t="inlineStr">
        <is>
          <t>VC6</t>
        </is>
      </c>
      <c r="B193" s="10" t="inlineStr">
        <is>
          <t>934</t>
        </is>
      </c>
      <c r="C193" s="10" t="inlineStr">
        <is>
          <t>592</t>
        </is>
      </c>
      <c r="D193" s="10" t="inlineStr">
        <is>
          <t>608</t>
        </is>
      </c>
      <c r="E193" s="35" t="n">
        <v>3.85</v>
      </c>
      <c r="F193" s="35" t="n">
        <v>13.575</v>
      </c>
      <c r="G193" s="35" t="n">
        <v>24.85</v>
      </c>
      <c r="H193" s="35" t="n">
        <v>12.5</v>
      </c>
      <c r="I193" s="10" t="inlineStr">
        <is>
          <t>450×550</t>
        </is>
      </c>
      <c r="J193" s="10" t="n">
        <v>4</v>
      </c>
      <c r="K193" s="10" t="n">
        <v>4</v>
      </c>
      <c r="L193" s="10" t="n">
        <v>0</v>
      </c>
      <c r="M193" s="10" t="inlineStr">
        <is>
          <t>Nº3 cerrado</t>
        </is>
      </c>
      <c r="N193" s="10" t="n">
        <v>2</v>
      </c>
      <c r="O193" s="35" t="n">
        <v>120</v>
      </c>
      <c r="P193" s="35" t="n">
        <v>240</v>
      </c>
      <c r="Q193" s="35" t="n">
        <v>0.2539060591774369</v>
      </c>
      <c r="R193" s="10" t="inlineStr">
        <is>
          <t>SÍ</t>
        </is>
      </c>
      <c r="S193" s="15" t="inlineStr">
        <is>
          <t>CUMPLE</t>
        </is>
      </c>
      <c r="T193" s="3" t="inlineStr">
        <is>
          <t>coordinar con planta y reanálisis global</t>
        </is>
      </c>
    </row>
    <row r="194">
      <c r="A194" s="20" t="inlineStr">
        <is>
          <t>VC6</t>
        </is>
      </c>
      <c r="B194" s="10" t="inlineStr">
        <is>
          <t>1013</t>
        </is>
      </c>
      <c r="C194" s="10" t="inlineStr">
        <is>
          <t>617</t>
        </is>
      </c>
      <c r="D194" s="10" t="inlineStr">
        <is>
          <t>633</t>
        </is>
      </c>
      <c r="E194" s="35" t="n">
        <v>3.85</v>
      </c>
      <c r="F194" s="35" t="n">
        <v>1.925</v>
      </c>
      <c r="G194" s="35" t="n">
        <v>11.35</v>
      </c>
      <c r="H194" s="35" t="n">
        <v>15.5</v>
      </c>
      <c r="I194" s="10" t="inlineStr">
        <is>
          <t>450×550</t>
        </is>
      </c>
      <c r="J194" s="10" t="n">
        <v>4</v>
      </c>
      <c r="K194" s="10" t="n">
        <v>4</v>
      </c>
      <c r="L194" s="10" t="n">
        <v>0</v>
      </c>
      <c r="M194" s="10" t="inlineStr">
        <is>
          <t>Nº3 cerrado</t>
        </is>
      </c>
      <c r="N194" s="10" t="n">
        <v>2</v>
      </c>
      <c r="O194" s="35" t="n">
        <v>120</v>
      </c>
      <c r="P194" s="35" t="n">
        <v>240</v>
      </c>
      <c r="Q194" s="35" t="n">
        <v>0.2121817088194541</v>
      </c>
      <c r="R194" s="10" t="inlineStr">
        <is>
          <t>SÍ</t>
        </is>
      </c>
      <c r="S194" s="15" t="inlineStr">
        <is>
          <t>CUMPLE</t>
        </is>
      </c>
      <c r="T194" s="3" t="inlineStr">
        <is>
          <t>coordinar con planta y reanálisis global</t>
        </is>
      </c>
    </row>
    <row r="195">
      <c r="A195" s="20" t="inlineStr">
        <is>
          <t>VC6</t>
        </is>
      </c>
      <c r="B195" s="10" t="inlineStr">
        <is>
          <t>1014</t>
        </is>
      </c>
      <c r="C195" s="10" t="inlineStr">
        <is>
          <t>633</t>
        </is>
      </c>
      <c r="D195" s="10" t="inlineStr">
        <is>
          <t>641</t>
        </is>
      </c>
      <c r="E195" s="35" t="n">
        <v>3.9</v>
      </c>
      <c r="F195" s="35" t="n">
        <v>5.8</v>
      </c>
      <c r="G195" s="35" t="n">
        <v>11.35</v>
      </c>
      <c r="H195" s="35" t="n">
        <v>15.5</v>
      </c>
      <c r="I195" s="10" t="inlineStr">
        <is>
          <t>450×550</t>
        </is>
      </c>
      <c r="J195" s="10" t="n">
        <v>4</v>
      </c>
      <c r="K195" s="10" t="n">
        <v>4</v>
      </c>
      <c r="L195" s="10" t="n">
        <v>0</v>
      </c>
      <c r="M195" s="10" t="inlineStr">
        <is>
          <t>Nº3 cerrado</t>
        </is>
      </c>
      <c r="N195" s="10" t="n">
        <v>2</v>
      </c>
      <c r="O195" s="35" t="n">
        <v>120</v>
      </c>
      <c r="P195" s="35" t="n">
        <v>240</v>
      </c>
      <c r="Q195" s="35" t="n">
        <v>0.2304245428052727</v>
      </c>
      <c r="R195" s="10" t="inlineStr">
        <is>
          <t>SÍ</t>
        </is>
      </c>
      <c r="S195" s="15" t="inlineStr">
        <is>
          <t>CUMPLE</t>
        </is>
      </c>
      <c r="T195" s="3" t="inlineStr">
        <is>
          <t>coordinar con planta y reanálisis global</t>
        </is>
      </c>
    </row>
    <row r="196">
      <c r="A196" s="20" t="inlineStr">
        <is>
          <t>VC6</t>
        </is>
      </c>
      <c r="B196" s="10" t="inlineStr">
        <is>
          <t>1015</t>
        </is>
      </c>
      <c r="C196" s="10" t="inlineStr">
        <is>
          <t>641</t>
        </is>
      </c>
      <c r="D196" s="10" t="inlineStr">
        <is>
          <t>657</t>
        </is>
      </c>
      <c r="E196" s="35" t="n">
        <v>3.9</v>
      </c>
      <c r="F196" s="35" t="n">
        <v>9.699999999999999</v>
      </c>
      <c r="G196" s="35" t="n">
        <v>11.35</v>
      </c>
      <c r="H196" s="35" t="n">
        <v>15.5</v>
      </c>
      <c r="I196" s="10" t="inlineStr">
        <is>
          <t>450×550</t>
        </is>
      </c>
      <c r="J196" s="10" t="n">
        <v>4</v>
      </c>
      <c r="K196" s="10" t="n">
        <v>4</v>
      </c>
      <c r="L196" s="10" t="n">
        <v>0</v>
      </c>
      <c r="M196" s="10" t="inlineStr">
        <is>
          <t>Nº3 cerrado</t>
        </is>
      </c>
      <c r="N196" s="10" t="n">
        <v>2</v>
      </c>
      <c r="O196" s="35" t="n">
        <v>120</v>
      </c>
      <c r="P196" s="35" t="n">
        <v>240</v>
      </c>
      <c r="Q196" s="35" t="n">
        <v>0.2304117111609536</v>
      </c>
      <c r="R196" s="10" t="inlineStr">
        <is>
          <t>SÍ</t>
        </is>
      </c>
      <c r="S196" s="15" t="inlineStr">
        <is>
          <t>CUMPLE</t>
        </is>
      </c>
      <c r="T196" s="3" t="inlineStr">
        <is>
          <t>coordinar con planta y reanálisis global</t>
        </is>
      </c>
    </row>
    <row r="197">
      <c r="A197" s="20" t="inlineStr">
        <is>
          <t>VC6</t>
        </is>
      </c>
      <c r="B197" s="10" t="inlineStr">
        <is>
          <t>1016</t>
        </is>
      </c>
      <c r="C197" s="10" t="inlineStr">
        <is>
          <t>657</t>
        </is>
      </c>
      <c r="D197" s="10" t="inlineStr">
        <is>
          <t>666</t>
        </is>
      </c>
      <c r="E197" s="35" t="n">
        <v>3.85</v>
      </c>
      <c r="F197" s="35" t="n">
        <v>13.575</v>
      </c>
      <c r="G197" s="35" t="n">
        <v>11.35</v>
      </c>
      <c r="H197" s="35" t="n">
        <v>15.5</v>
      </c>
      <c r="I197" s="10" t="inlineStr">
        <is>
          <t>450×550</t>
        </is>
      </c>
      <c r="J197" s="10" t="n">
        <v>4</v>
      </c>
      <c r="K197" s="10" t="n">
        <v>4</v>
      </c>
      <c r="L197" s="10" t="n">
        <v>0</v>
      </c>
      <c r="M197" s="10" t="inlineStr">
        <is>
          <t>Nº3 cerrado</t>
        </is>
      </c>
      <c r="N197" s="10" t="n">
        <v>2</v>
      </c>
      <c r="O197" s="35" t="n">
        <v>120</v>
      </c>
      <c r="P197" s="35" t="n">
        <v>240</v>
      </c>
      <c r="Q197" s="35" t="n">
        <v>0.2121875071855322</v>
      </c>
      <c r="R197" s="10" t="inlineStr">
        <is>
          <t>SÍ</t>
        </is>
      </c>
      <c r="S197" s="15" t="inlineStr">
        <is>
          <t>CUMPLE</t>
        </is>
      </c>
      <c r="T197" s="3" t="inlineStr">
        <is>
          <t>coordinar con planta y reanálisis global</t>
        </is>
      </c>
    </row>
    <row r="198">
      <c r="A198" s="20" t="inlineStr">
        <is>
          <t>VC6</t>
        </is>
      </c>
      <c r="B198" s="10" t="inlineStr">
        <is>
          <t>1025</t>
        </is>
      </c>
      <c r="C198" s="10" t="inlineStr">
        <is>
          <t>620</t>
        </is>
      </c>
      <c r="D198" s="10" t="inlineStr">
        <is>
          <t>629</t>
        </is>
      </c>
      <c r="E198" s="35" t="n">
        <v>3.85</v>
      </c>
      <c r="F198" s="35" t="n">
        <v>1.925</v>
      </c>
      <c r="G198" s="35" t="n">
        <v>24.85</v>
      </c>
      <c r="H198" s="35" t="n">
        <v>15.5</v>
      </c>
      <c r="I198" s="10" t="inlineStr">
        <is>
          <t>450×550</t>
        </is>
      </c>
      <c r="J198" s="10" t="n">
        <v>4</v>
      </c>
      <c r="K198" s="10" t="n">
        <v>4</v>
      </c>
      <c r="L198" s="10" t="n">
        <v>0</v>
      </c>
      <c r="M198" s="10" t="inlineStr">
        <is>
          <t>Nº3 cerrado</t>
        </is>
      </c>
      <c r="N198" s="10" t="n">
        <v>2</v>
      </c>
      <c r="O198" s="35" t="n">
        <v>120</v>
      </c>
      <c r="P198" s="35" t="n">
        <v>240</v>
      </c>
      <c r="Q198" s="35" t="n">
        <v>0.2120750629879958</v>
      </c>
      <c r="R198" s="10" t="inlineStr">
        <is>
          <t>SÍ</t>
        </is>
      </c>
      <c r="S198" s="15" t="inlineStr">
        <is>
          <t>CUMPLE</t>
        </is>
      </c>
      <c r="T198" s="3" t="inlineStr">
        <is>
          <t>coordinar con planta y reanálisis global</t>
        </is>
      </c>
    </row>
    <row r="199">
      <c r="A199" s="20" t="inlineStr">
        <is>
          <t>VC6</t>
        </is>
      </c>
      <c r="B199" s="10" t="inlineStr">
        <is>
          <t>1026</t>
        </is>
      </c>
      <c r="C199" s="10" t="inlineStr">
        <is>
          <t>629</t>
        </is>
      </c>
      <c r="D199" s="10" t="inlineStr">
        <is>
          <t>645</t>
        </is>
      </c>
      <c r="E199" s="35" t="n">
        <v>3.9</v>
      </c>
      <c r="F199" s="35" t="n">
        <v>5.8</v>
      </c>
      <c r="G199" s="35" t="n">
        <v>24.85</v>
      </c>
      <c r="H199" s="35" t="n">
        <v>15.5</v>
      </c>
      <c r="I199" s="10" t="inlineStr">
        <is>
          <t>450×550</t>
        </is>
      </c>
      <c r="J199" s="10" t="n">
        <v>4</v>
      </c>
      <c r="K199" s="10" t="n">
        <v>4</v>
      </c>
      <c r="L199" s="10" t="n">
        <v>0</v>
      </c>
      <c r="M199" s="10" t="inlineStr">
        <is>
          <t>Nº3 cerrado</t>
        </is>
      </c>
      <c r="N199" s="10" t="n">
        <v>2</v>
      </c>
      <c r="O199" s="35" t="n">
        <v>120</v>
      </c>
      <c r="P199" s="35" t="n">
        <v>240</v>
      </c>
      <c r="Q199" s="35" t="n">
        <v>0.2299200640686537</v>
      </c>
      <c r="R199" s="10" t="inlineStr">
        <is>
          <t>SÍ</t>
        </is>
      </c>
      <c r="S199" s="15" t="inlineStr">
        <is>
          <t>CUMPLE</t>
        </is>
      </c>
      <c r="T199" s="3" t="inlineStr">
        <is>
          <t>coordinar con planta y reanálisis global</t>
        </is>
      </c>
    </row>
    <row r="200">
      <c r="A200" s="20" t="inlineStr">
        <is>
          <t>VC6</t>
        </is>
      </c>
      <c r="B200" s="10" t="inlineStr">
        <is>
          <t>1027</t>
        </is>
      </c>
      <c r="C200" s="10" t="inlineStr">
        <is>
          <t>645</t>
        </is>
      </c>
      <c r="D200" s="10" t="inlineStr">
        <is>
          <t>653</t>
        </is>
      </c>
      <c r="E200" s="35" t="n">
        <v>3.9</v>
      </c>
      <c r="F200" s="35" t="n">
        <v>9.699999999999999</v>
      </c>
      <c r="G200" s="35" t="n">
        <v>24.85</v>
      </c>
      <c r="H200" s="35" t="n">
        <v>15.5</v>
      </c>
      <c r="I200" s="10" t="inlineStr">
        <is>
          <t>450×550</t>
        </is>
      </c>
      <c r="J200" s="10" t="n">
        <v>4</v>
      </c>
      <c r="K200" s="10" t="n">
        <v>4</v>
      </c>
      <c r="L200" s="10" t="n">
        <v>0</v>
      </c>
      <c r="M200" s="10" t="inlineStr">
        <is>
          <t>Nº3 cerrado</t>
        </is>
      </c>
      <c r="N200" s="10" t="n">
        <v>2</v>
      </c>
      <c r="O200" s="35" t="n">
        <v>120</v>
      </c>
      <c r="P200" s="35" t="n">
        <v>240</v>
      </c>
      <c r="Q200" s="35" t="n">
        <v>0.2299285650346036</v>
      </c>
      <c r="R200" s="10" t="inlineStr">
        <is>
          <t>SÍ</t>
        </is>
      </c>
      <c r="S200" s="15" t="inlineStr">
        <is>
          <t>CUMPLE</t>
        </is>
      </c>
      <c r="T200" s="3" t="inlineStr">
        <is>
          <t>coordinar con planta y reanálisis global</t>
        </is>
      </c>
    </row>
    <row r="201">
      <c r="A201" s="20" t="inlineStr">
        <is>
          <t>VC6</t>
        </is>
      </c>
      <c r="B201" s="10" t="inlineStr">
        <is>
          <t>1028</t>
        </is>
      </c>
      <c r="C201" s="10" t="inlineStr">
        <is>
          <t>653</t>
        </is>
      </c>
      <c r="D201" s="10" t="inlineStr">
        <is>
          <t>669</t>
        </is>
      </c>
      <c r="E201" s="35" t="n">
        <v>3.85</v>
      </c>
      <c r="F201" s="35" t="n">
        <v>13.575</v>
      </c>
      <c r="G201" s="35" t="n">
        <v>24.85</v>
      </c>
      <c r="H201" s="35" t="n">
        <v>15.5</v>
      </c>
      <c r="I201" s="10" t="inlineStr">
        <is>
          <t>450×550</t>
        </is>
      </c>
      <c r="J201" s="10" t="n">
        <v>4</v>
      </c>
      <c r="K201" s="10" t="n">
        <v>4</v>
      </c>
      <c r="L201" s="10" t="n">
        <v>0</v>
      </c>
      <c r="M201" s="10" t="inlineStr">
        <is>
          <t>Nº3 cerrado</t>
        </is>
      </c>
      <c r="N201" s="10" t="n">
        <v>2</v>
      </c>
      <c r="O201" s="35" t="n">
        <v>120</v>
      </c>
      <c r="P201" s="35" t="n">
        <v>240</v>
      </c>
      <c r="Q201" s="35" t="n">
        <v>0.2120757158507199</v>
      </c>
      <c r="R201" s="10" t="inlineStr">
        <is>
          <t>SÍ</t>
        </is>
      </c>
      <c r="S201" s="15" t="inlineStr">
        <is>
          <t>CUMPLE</t>
        </is>
      </c>
      <c r="T201" s="3" t="inlineStr">
        <is>
          <t>coordinar con planta y reanálisis global</t>
        </is>
      </c>
    </row>
    <row r="202">
      <c r="A202" s="21" t="inlineStr">
        <is>
          <t>VC7</t>
        </is>
      </c>
      <c r="B202" s="10" t="inlineStr">
        <is>
          <t>71</t>
        </is>
      </c>
      <c r="C202" s="10" t="inlineStr">
        <is>
          <t>6</t>
        </is>
      </c>
      <c r="D202" s="10" t="inlineStr">
        <is>
          <t>20</t>
        </is>
      </c>
      <c r="E202" s="35" t="n">
        <v>2.65</v>
      </c>
      <c r="F202" s="35" t="n">
        <v>1.325</v>
      </c>
      <c r="G202" s="35" t="n">
        <v>15.35</v>
      </c>
      <c r="H202" s="35" t="n">
        <v>3.5</v>
      </c>
      <c r="I202" s="10" t="inlineStr">
        <is>
          <t>450×550</t>
        </is>
      </c>
      <c r="J202" s="10" t="n">
        <v>7</v>
      </c>
      <c r="K202" s="10" t="n">
        <v>6</v>
      </c>
      <c r="L202" s="10" t="n">
        <v>8</v>
      </c>
      <c r="M202" s="10" t="inlineStr">
        <is>
          <t>Nº4 cerrado</t>
        </is>
      </c>
      <c r="N202" s="10" t="n">
        <v>4</v>
      </c>
      <c r="O202" s="35" t="n">
        <v>120</v>
      </c>
      <c r="P202" s="35" t="n">
        <v>120</v>
      </c>
      <c r="Q202" s="35" t="n">
        <v>1.0514726968251</v>
      </c>
      <c r="R202" s="10" t="inlineStr">
        <is>
          <t>SÍ</t>
        </is>
      </c>
      <c r="S202" s="19" t="inlineStr">
        <is>
          <t>NO CUMPLE</t>
        </is>
      </c>
      <c r="T202" s="3" t="inlineStr">
        <is>
          <t>aumentar sección por cortante; aumentar sección por interacción V-T</t>
        </is>
      </c>
    </row>
    <row r="203">
      <c r="A203" s="21" t="inlineStr">
        <is>
          <t>VC7</t>
        </is>
      </c>
      <c r="B203" s="10" t="inlineStr">
        <is>
          <t>72</t>
        </is>
      </c>
      <c r="C203" s="10" t="inlineStr">
        <is>
          <t>20</t>
        </is>
      </c>
      <c r="D203" s="10" t="inlineStr">
        <is>
          <t>30</t>
        </is>
      </c>
      <c r="E203" s="35" t="n">
        <v>5.1</v>
      </c>
      <c r="F203" s="35" t="n">
        <v>5.2</v>
      </c>
      <c r="G203" s="35" t="n">
        <v>15.35</v>
      </c>
      <c r="H203" s="35" t="n">
        <v>3.5</v>
      </c>
      <c r="I203" s="10" t="inlineStr">
        <is>
          <t>450×550</t>
        </is>
      </c>
      <c r="J203" s="10" t="n">
        <v>5</v>
      </c>
      <c r="K203" s="10" t="n">
        <v>4</v>
      </c>
      <c r="L203" s="10" t="n">
        <v>0</v>
      </c>
      <c r="M203" s="10" t="inlineStr">
        <is>
          <t>Nº3 cerrado</t>
        </is>
      </c>
      <c r="N203" s="10" t="n">
        <v>2</v>
      </c>
      <c r="O203" s="35" t="n">
        <v>120</v>
      </c>
      <c r="P203" s="35" t="n">
        <v>160</v>
      </c>
      <c r="Q203" s="35" t="n">
        <v>0.3979505566242955</v>
      </c>
      <c r="R203" s="10" t="inlineStr">
        <is>
          <t>SÍ</t>
        </is>
      </c>
      <c r="S203" s="15" t="inlineStr">
        <is>
          <t>CUMPLE</t>
        </is>
      </c>
      <c r="T203" s="3" t="inlineStr">
        <is>
          <t>coordinar con planta y reanálisis global</t>
        </is>
      </c>
    </row>
    <row r="204">
      <c r="A204" s="21" t="inlineStr">
        <is>
          <t>VC7</t>
        </is>
      </c>
      <c r="B204" s="10" t="inlineStr">
        <is>
          <t>73</t>
        </is>
      </c>
      <c r="C204" s="10" t="inlineStr">
        <is>
          <t>30</t>
        </is>
      </c>
      <c r="D204" s="10" t="inlineStr">
        <is>
          <t>44</t>
        </is>
      </c>
      <c r="E204" s="35" t="n">
        <v>5.1</v>
      </c>
      <c r="F204" s="35" t="n">
        <v>10.3</v>
      </c>
      <c r="G204" s="35" t="n">
        <v>15.35</v>
      </c>
      <c r="H204" s="35" t="n">
        <v>3.5</v>
      </c>
      <c r="I204" s="10" t="inlineStr">
        <is>
          <t>450×550</t>
        </is>
      </c>
      <c r="J204" s="10" t="n">
        <v>5</v>
      </c>
      <c r="K204" s="10" t="n">
        <v>4</v>
      </c>
      <c r="L204" s="10" t="n">
        <v>0</v>
      </c>
      <c r="M204" s="10" t="inlineStr">
        <is>
          <t>Nº3 cerrado</t>
        </is>
      </c>
      <c r="N204" s="10" t="n">
        <v>2</v>
      </c>
      <c r="O204" s="35" t="n">
        <v>120</v>
      </c>
      <c r="P204" s="35" t="n">
        <v>160</v>
      </c>
      <c r="Q204" s="35" t="n">
        <v>0.397952054296027</v>
      </c>
      <c r="R204" s="10" t="inlineStr">
        <is>
          <t>SÍ</t>
        </is>
      </c>
      <c r="S204" s="15" t="inlineStr">
        <is>
          <t>CUMPLE</t>
        </is>
      </c>
      <c r="T204" s="3" t="inlineStr">
        <is>
          <t>coordinar con planta y reanálisis global</t>
        </is>
      </c>
    </row>
    <row r="205">
      <c r="A205" s="21" t="inlineStr">
        <is>
          <t>VC7</t>
        </is>
      </c>
      <c r="B205" s="10" t="inlineStr">
        <is>
          <t>74</t>
        </is>
      </c>
      <c r="C205" s="10" t="inlineStr">
        <is>
          <t>44</t>
        </is>
      </c>
      <c r="D205" s="10" t="inlineStr">
        <is>
          <t>55</t>
        </is>
      </c>
      <c r="E205" s="35" t="n">
        <v>2.65</v>
      </c>
      <c r="F205" s="35" t="n">
        <v>14.175</v>
      </c>
      <c r="G205" s="35" t="n">
        <v>15.35</v>
      </c>
      <c r="H205" s="35" t="n">
        <v>3.5</v>
      </c>
      <c r="I205" s="10" t="inlineStr">
        <is>
          <t>450×550</t>
        </is>
      </c>
      <c r="J205" s="10" t="n">
        <v>7</v>
      </c>
      <c r="K205" s="10" t="n">
        <v>6</v>
      </c>
      <c r="L205" s="10" t="n">
        <v>8</v>
      </c>
      <c r="M205" s="10" t="inlineStr">
        <is>
          <t>Nº4 cerrado</t>
        </is>
      </c>
      <c r="N205" s="10" t="n">
        <v>4</v>
      </c>
      <c r="O205" s="35" t="n">
        <v>120</v>
      </c>
      <c r="P205" s="35" t="n">
        <v>120</v>
      </c>
      <c r="Q205" s="35" t="n">
        <v>1.051474391015813</v>
      </c>
      <c r="R205" s="10" t="inlineStr">
        <is>
          <t>SÍ</t>
        </is>
      </c>
      <c r="S205" s="19" t="inlineStr">
        <is>
          <t>NO CUMPLE</t>
        </is>
      </c>
      <c r="T205" s="3" t="inlineStr">
        <is>
          <t>aumentar sección por cortante; aumentar sección por interacción V-T</t>
        </is>
      </c>
    </row>
    <row r="206">
      <c r="A206" s="21" t="inlineStr">
        <is>
          <t>VC7</t>
        </is>
      </c>
      <c r="B206" s="10" t="inlineStr">
        <is>
          <t>75</t>
        </is>
      </c>
      <c r="C206" s="10" t="inlineStr">
        <is>
          <t>7</t>
        </is>
      </c>
      <c r="D206" s="10" t="inlineStr">
        <is>
          <t>18</t>
        </is>
      </c>
      <c r="E206" s="35" t="n">
        <v>2.65</v>
      </c>
      <c r="F206" s="35" t="n">
        <v>1.325</v>
      </c>
      <c r="G206" s="35" t="n">
        <v>20.85</v>
      </c>
      <c r="H206" s="35" t="n">
        <v>3.5</v>
      </c>
      <c r="I206" s="10" t="inlineStr">
        <is>
          <t>450×550</t>
        </is>
      </c>
      <c r="J206" s="10" t="n">
        <v>6</v>
      </c>
      <c r="K206" s="10" t="n">
        <v>6</v>
      </c>
      <c r="L206" s="10" t="n">
        <v>8</v>
      </c>
      <c r="M206" s="10" t="inlineStr">
        <is>
          <t>Nº4 cerrado</t>
        </is>
      </c>
      <c r="N206" s="10" t="n">
        <v>4</v>
      </c>
      <c r="O206" s="35" t="n">
        <v>120</v>
      </c>
      <c r="P206" s="35" t="n">
        <v>120</v>
      </c>
      <c r="Q206" s="35" t="n">
        <v>1.051892144753028</v>
      </c>
      <c r="R206" s="10" t="inlineStr">
        <is>
          <t>SÍ</t>
        </is>
      </c>
      <c r="S206" s="19" t="inlineStr">
        <is>
          <t>NO CUMPLE</t>
        </is>
      </c>
      <c r="T206" s="3" t="inlineStr">
        <is>
          <t>aumentar sección por cortante; aumentar sección por interacción V-T</t>
        </is>
      </c>
    </row>
    <row r="207">
      <c r="A207" s="21" t="inlineStr">
        <is>
          <t>VC7</t>
        </is>
      </c>
      <c r="B207" s="10" t="inlineStr">
        <is>
          <t>76</t>
        </is>
      </c>
      <c r="C207" s="10" t="inlineStr">
        <is>
          <t>18</t>
        </is>
      </c>
      <c r="D207" s="10" t="inlineStr">
        <is>
          <t>32</t>
        </is>
      </c>
      <c r="E207" s="35" t="n">
        <v>5.1</v>
      </c>
      <c r="F207" s="35" t="n">
        <v>5.2</v>
      </c>
      <c r="G207" s="35" t="n">
        <v>20.85</v>
      </c>
      <c r="H207" s="35" t="n">
        <v>3.5</v>
      </c>
      <c r="I207" s="10" t="inlineStr">
        <is>
          <t>450×550</t>
        </is>
      </c>
      <c r="J207" s="10" t="n">
        <v>5</v>
      </c>
      <c r="K207" s="10" t="n">
        <v>4</v>
      </c>
      <c r="L207" s="10" t="n">
        <v>0</v>
      </c>
      <c r="M207" s="10" t="inlineStr">
        <is>
          <t>Nº3 cerrado</t>
        </is>
      </c>
      <c r="N207" s="10" t="n">
        <v>2</v>
      </c>
      <c r="O207" s="35" t="n">
        <v>120</v>
      </c>
      <c r="P207" s="35" t="n">
        <v>160</v>
      </c>
      <c r="Q207" s="35" t="n">
        <v>0.3994709342278364</v>
      </c>
      <c r="R207" s="10" t="inlineStr">
        <is>
          <t>SÍ</t>
        </is>
      </c>
      <c r="S207" s="15" t="inlineStr">
        <is>
          <t>CUMPLE</t>
        </is>
      </c>
      <c r="T207" s="3" t="inlineStr">
        <is>
          <t>coordinar con planta y reanálisis global</t>
        </is>
      </c>
    </row>
    <row r="208">
      <c r="A208" s="21" t="inlineStr">
        <is>
          <t>VC7</t>
        </is>
      </c>
      <c r="B208" s="10" t="inlineStr">
        <is>
          <t>77</t>
        </is>
      </c>
      <c r="C208" s="10" t="inlineStr">
        <is>
          <t>32</t>
        </is>
      </c>
      <c r="D208" s="10" t="inlineStr">
        <is>
          <t>42</t>
        </is>
      </c>
      <c r="E208" s="35" t="n">
        <v>5.1</v>
      </c>
      <c r="F208" s="35" t="n">
        <v>10.3</v>
      </c>
      <c r="G208" s="35" t="n">
        <v>20.85</v>
      </c>
      <c r="H208" s="35" t="n">
        <v>3.5</v>
      </c>
      <c r="I208" s="10" t="inlineStr">
        <is>
          <t>450×550</t>
        </is>
      </c>
      <c r="J208" s="10" t="n">
        <v>5</v>
      </c>
      <c r="K208" s="10" t="n">
        <v>4</v>
      </c>
      <c r="L208" s="10" t="n">
        <v>0</v>
      </c>
      <c r="M208" s="10" t="inlineStr">
        <is>
          <t>Nº3 cerrado</t>
        </is>
      </c>
      <c r="N208" s="10" t="n">
        <v>2</v>
      </c>
      <c r="O208" s="35" t="n">
        <v>120</v>
      </c>
      <c r="P208" s="35" t="n">
        <v>160</v>
      </c>
      <c r="Q208" s="35" t="n">
        <v>0.3994708049066296</v>
      </c>
      <c r="R208" s="10" t="inlineStr">
        <is>
          <t>SÍ</t>
        </is>
      </c>
      <c r="S208" s="15" t="inlineStr">
        <is>
          <t>CUMPLE</t>
        </is>
      </c>
      <c r="T208" s="3" t="inlineStr">
        <is>
          <t>coordinar con planta y reanálisis global</t>
        </is>
      </c>
    </row>
    <row r="209">
      <c r="A209" s="21" t="inlineStr">
        <is>
          <t>VC7</t>
        </is>
      </c>
      <c r="B209" s="10" t="inlineStr">
        <is>
          <t>78</t>
        </is>
      </c>
      <c r="C209" s="10" t="inlineStr">
        <is>
          <t>42</t>
        </is>
      </c>
      <c r="D209" s="10" t="inlineStr">
        <is>
          <t>56</t>
        </is>
      </c>
      <c r="E209" s="35" t="n">
        <v>2.65</v>
      </c>
      <c r="F209" s="35" t="n">
        <v>14.175</v>
      </c>
      <c r="G209" s="35" t="n">
        <v>20.85</v>
      </c>
      <c r="H209" s="35" t="n">
        <v>3.5</v>
      </c>
      <c r="I209" s="10" t="inlineStr">
        <is>
          <t>450×550</t>
        </is>
      </c>
      <c r="J209" s="10" t="n">
        <v>6</v>
      </c>
      <c r="K209" s="10" t="n">
        <v>6</v>
      </c>
      <c r="L209" s="10" t="n">
        <v>8</v>
      </c>
      <c r="M209" s="10" t="inlineStr">
        <is>
          <t>Nº4 cerrado</t>
        </is>
      </c>
      <c r="N209" s="10" t="n">
        <v>4</v>
      </c>
      <c r="O209" s="35" t="n">
        <v>120</v>
      </c>
      <c r="P209" s="35" t="n">
        <v>120</v>
      </c>
      <c r="Q209" s="35" t="n">
        <v>1.051890460732207</v>
      </c>
      <c r="R209" s="10" t="inlineStr">
        <is>
          <t>SÍ</t>
        </is>
      </c>
      <c r="S209" s="19" t="inlineStr">
        <is>
          <t>NO CUMPLE</t>
        </is>
      </c>
      <c r="T209" s="3" t="inlineStr">
        <is>
          <t>aumentar sección por cortante; aumentar sección por interacción V-T</t>
        </is>
      </c>
    </row>
    <row r="210">
      <c r="A210" s="21" t="inlineStr">
        <is>
          <t>VC7</t>
        </is>
      </c>
      <c r="B210" s="10" t="inlineStr">
        <is>
          <t>271</t>
        </is>
      </c>
      <c r="C210" s="10" t="inlineStr">
        <is>
          <t>132</t>
        </is>
      </c>
      <c r="D210" s="10" t="inlineStr">
        <is>
          <t>146</t>
        </is>
      </c>
      <c r="E210" s="35" t="n">
        <v>2.65</v>
      </c>
      <c r="F210" s="35" t="n">
        <v>1.325</v>
      </c>
      <c r="G210" s="35" t="n">
        <v>15.35</v>
      </c>
      <c r="H210" s="35" t="n">
        <v>6.5</v>
      </c>
      <c r="I210" s="10" t="inlineStr">
        <is>
          <t>450×550</t>
        </is>
      </c>
      <c r="J210" s="10" t="n">
        <v>6</v>
      </c>
      <c r="K210" s="10" t="n">
        <v>6</v>
      </c>
      <c r="L210" s="10" t="n">
        <v>8</v>
      </c>
      <c r="M210" s="10" t="inlineStr">
        <is>
          <t>Nº4 cerrado</t>
        </is>
      </c>
      <c r="N210" s="10" t="n">
        <v>4</v>
      </c>
      <c r="O210" s="35" t="n">
        <v>120</v>
      </c>
      <c r="P210" s="35" t="n">
        <v>120</v>
      </c>
      <c r="Q210" s="35" t="n">
        <v>0.9519786300071919</v>
      </c>
      <c r="R210" s="10" t="inlineStr">
        <is>
          <t>SÍ</t>
        </is>
      </c>
      <c r="S210" s="15" t="inlineStr">
        <is>
          <t>CUMPLE</t>
        </is>
      </c>
      <c r="T210" s="3" t="inlineStr">
        <is>
          <t>coordinar con planta y reanálisis global</t>
        </is>
      </c>
    </row>
    <row r="211">
      <c r="A211" s="21" t="inlineStr">
        <is>
          <t>VC7</t>
        </is>
      </c>
      <c r="B211" s="10" t="inlineStr">
        <is>
          <t>272</t>
        </is>
      </c>
      <c r="C211" s="10" t="inlineStr">
        <is>
          <t>146</t>
        </is>
      </c>
      <c r="D211" s="10" t="inlineStr">
        <is>
          <t>156</t>
        </is>
      </c>
      <c r="E211" s="35" t="n">
        <v>5.1</v>
      </c>
      <c r="F211" s="35" t="n">
        <v>5.2</v>
      </c>
      <c r="G211" s="35" t="n">
        <v>15.35</v>
      </c>
      <c r="H211" s="35" t="n">
        <v>6.5</v>
      </c>
      <c r="I211" s="10" t="inlineStr">
        <is>
          <t>450×550</t>
        </is>
      </c>
      <c r="J211" s="10" t="n">
        <v>5</v>
      </c>
      <c r="K211" s="10" t="n">
        <v>4</v>
      </c>
      <c r="L211" s="10" t="n">
        <v>0</v>
      </c>
      <c r="M211" s="10" t="inlineStr">
        <is>
          <t>Nº3 cerrado</t>
        </is>
      </c>
      <c r="N211" s="10" t="n">
        <v>2</v>
      </c>
      <c r="O211" s="35" t="n">
        <v>120</v>
      </c>
      <c r="P211" s="35" t="n">
        <v>180</v>
      </c>
      <c r="Q211" s="35" t="n">
        <v>0.3745618494394241</v>
      </c>
      <c r="R211" s="10" t="inlineStr">
        <is>
          <t>SÍ</t>
        </is>
      </c>
      <c r="S211" s="15" t="inlineStr">
        <is>
          <t>CUMPLE</t>
        </is>
      </c>
      <c r="T211" s="3" t="inlineStr">
        <is>
          <t>coordinar con planta y reanálisis global</t>
        </is>
      </c>
    </row>
    <row r="212">
      <c r="A212" s="21" t="inlineStr">
        <is>
          <t>VC7</t>
        </is>
      </c>
      <c r="B212" s="10" t="inlineStr">
        <is>
          <t>273</t>
        </is>
      </c>
      <c r="C212" s="10" t="inlineStr">
        <is>
          <t>156</t>
        </is>
      </c>
      <c r="D212" s="10" t="inlineStr">
        <is>
          <t>170</t>
        </is>
      </c>
      <c r="E212" s="35" t="n">
        <v>5.1</v>
      </c>
      <c r="F212" s="35" t="n">
        <v>10.3</v>
      </c>
      <c r="G212" s="35" t="n">
        <v>15.35</v>
      </c>
      <c r="H212" s="35" t="n">
        <v>6.5</v>
      </c>
      <c r="I212" s="10" t="inlineStr">
        <is>
          <t>450×550</t>
        </is>
      </c>
      <c r="J212" s="10" t="n">
        <v>5</v>
      </c>
      <c r="K212" s="10" t="n">
        <v>4</v>
      </c>
      <c r="L212" s="10" t="n">
        <v>0</v>
      </c>
      <c r="M212" s="10" t="inlineStr">
        <is>
          <t>Nº3 cerrado</t>
        </is>
      </c>
      <c r="N212" s="10" t="n">
        <v>2</v>
      </c>
      <c r="O212" s="35" t="n">
        <v>120</v>
      </c>
      <c r="P212" s="35" t="n">
        <v>180</v>
      </c>
      <c r="Q212" s="35" t="n">
        <v>0.3745620473209729</v>
      </c>
      <c r="R212" s="10" t="inlineStr">
        <is>
          <t>SÍ</t>
        </is>
      </c>
      <c r="S212" s="15" t="inlineStr">
        <is>
          <t>CUMPLE</t>
        </is>
      </c>
      <c r="T212" s="3" t="inlineStr">
        <is>
          <t>coordinar con planta y reanálisis global</t>
        </is>
      </c>
    </row>
    <row r="213">
      <c r="A213" s="21" t="inlineStr">
        <is>
          <t>VC7</t>
        </is>
      </c>
      <c r="B213" s="10" t="inlineStr">
        <is>
          <t>274</t>
        </is>
      </c>
      <c r="C213" s="10" t="inlineStr">
        <is>
          <t>170</t>
        </is>
      </c>
      <c r="D213" s="10" t="inlineStr">
        <is>
          <t>181</t>
        </is>
      </c>
      <c r="E213" s="35" t="n">
        <v>2.65</v>
      </c>
      <c r="F213" s="35" t="n">
        <v>14.175</v>
      </c>
      <c r="G213" s="35" t="n">
        <v>15.35</v>
      </c>
      <c r="H213" s="35" t="n">
        <v>6.5</v>
      </c>
      <c r="I213" s="10" t="inlineStr">
        <is>
          <t>450×550</t>
        </is>
      </c>
      <c r="J213" s="10" t="n">
        <v>6</v>
      </c>
      <c r="K213" s="10" t="n">
        <v>6</v>
      </c>
      <c r="L213" s="10" t="n">
        <v>8</v>
      </c>
      <c r="M213" s="10" t="inlineStr">
        <is>
          <t>Nº4 cerrado</t>
        </is>
      </c>
      <c r="N213" s="10" t="n">
        <v>4</v>
      </c>
      <c r="O213" s="35" t="n">
        <v>120</v>
      </c>
      <c r="P213" s="35" t="n">
        <v>120</v>
      </c>
      <c r="Q213" s="35" t="n">
        <v>0.9519745392839765</v>
      </c>
      <c r="R213" s="10" t="inlineStr">
        <is>
          <t>SÍ</t>
        </is>
      </c>
      <c r="S213" s="15" t="inlineStr">
        <is>
          <t>CUMPLE</t>
        </is>
      </c>
      <c r="T213" s="3" t="inlineStr">
        <is>
          <t>coordinar con planta y reanálisis global</t>
        </is>
      </c>
    </row>
    <row r="214">
      <c r="A214" s="21" t="inlineStr">
        <is>
          <t>VC7</t>
        </is>
      </c>
      <c r="B214" s="10" t="inlineStr">
        <is>
          <t>275</t>
        </is>
      </c>
      <c r="C214" s="10" t="inlineStr">
        <is>
          <t>133</t>
        </is>
      </c>
      <c r="D214" s="10" t="inlineStr">
        <is>
          <t>144</t>
        </is>
      </c>
      <c r="E214" s="35" t="n">
        <v>2.65</v>
      </c>
      <c r="F214" s="35" t="n">
        <v>1.325</v>
      </c>
      <c r="G214" s="35" t="n">
        <v>20.85</v>
      </c>
      <c r="H214" s="35" t="n">
        <v>6.5</v>
      </c>
      <c r="I214" s="10" t="inlineStr">
        <is>
          <t>450×550</t>
        </is>
      </c>
      <c r="J214" s="10" t="n">
        <v>6</v>
      </c>
      <c r="K214" s="10" t="n">
        <v>6</v>
      </c>
      <c r="L214" s="10" t="n">
        <v>8</v>
      </c>
      <c r="M214" s="10" t="inlineStr">
        <is>
          <t>Nº4 cerrado</t>
        </is>
      </c>
      <c r="N214" s="10" t="n">
        <v>4</v>
      </c>
      <c r="O214" s="35" t="n">
        <v>120</v>
      </c>
      <c r="P214" s="35" t="n">
        <v>120</v>
      </c>
      <c r="Q214" s="35" t="n">
        <v>0.95283301523817</v>
      </c>
      <c r="R214" s="10" t="inlineStr">
        <is>
          <t>SÍ</t>
        </is>
      </c>
      <c r="S214" s="15" t="inlineStr">
        <is>
          <t>CUMPLE</t>
        </is>
      </c>
      <c r="T214" s="3" t="inlineStr">
        <is>
          <t>coordinar con planta y reanálisis global</t>
        </is>
      </c>
    </row>
    <row r="215">
      <c r="A215" s="21" t="inlineStr">
        <is>
          <t>VC7</t>
        </is>
      </c>
      <c r="B215" s="10" t="inlineStr">
        <is>
          <t>276</t>
        </is>
      </c>
      <c r="C215" s="10" t="inlineStr">
        <is>
          <t>144</t>
        </is>
      </c>
      <c r="D215" s="10" t="inlineStr">
        <is>
          <t>158</t>
        </is>
      </c>
      <c r="E215" s="35" t="n">
        <v>5.1</v>
      </c>
      <c r="F215" s="35" t="n">
        <v>5.2</v>
      </c>
      <c r="G215" s="35" t="n">
        <v>20.85</v>
      </c>
      <c r="H215" s="35" t="n">
        <v>6.5</v>
      </c>
      <c r="I215" s="10" t="inlineStr">
        <is>
          <t>450×550</t>
        </is>
      </c>
      <c r="J215" s="10" t="n">
        <v>5</v>
      </c>
      <c r="K215" s="10" t="n">
        <v>4</v>
      </c>
      <c r="L215" s="10" t="n">
        <v>0</v>
      </c>
      <c r="M215" s="10" t="inlineStr">
        <is>
          <t>Nº3 cerrado</t>
        </is>
      </c>
      <c r="N215" s="10" t="n">
        <v>2</v>
      </c>
      <c r="O215" s="35" t="n">
        <v>120</v>
      </c>
      <c r="P215" s="35" t="n">
        <v>180</v>
      </c>
      <c r="Q215" s="35" t="n">
        <v>0.3753272582820152</v>
      </c>
      <c r="R215" s="10" t="inlineStr">
        <is>
          <t>SÍ</t>
        </is>
      </c>
      <c r="S215" s="15" t="inlineStr">
        <is>
          <t>CUMPLE</t>
        </is>
      </c>
      <c r="T215" s="3" t="inlineStr">
        <is>
          <t>coordinar con planta y reanálisis global</t>
        </is>
      </c>
    </row>
    <row r="216">
      <c r="A216" s="21" t="inlineStr">
        <is>
          <t>VC7</t>
        </is>
      </c>
      <c r="B216" s="10" t="inlineStr">
        <is>
          <t>277</t>
        </is>
      </c>
      <c r="C216" s="10" t="inlineStr">
        <is>
          <t>158</t>
        </is>
      </c>
      <c r="D216" s="10" t="inlineStr">
        <is>
          <t>168</t>
        </is>
      </c>
      <c r="E216" s="35" t="n">
        <v>5.1</v>
      </c>
      <c r="F216" s="35" t="n">
        <v>10.3</v>
      </c>
      <c r="G216" s="35" t="n">
        <v>20.85</v>
      </c>
      <c r="H216" s="35" t="n">
        <v>6.5</v>
      </c>
      <c r="I216" s="10" t="inlineStr">
        <is>
          <t>450×550</t>
        </is>
      </c>
      <c r="J216" s="10" t="n">
        <v>5</v>
      </c>
      <c r="K216" s="10" t="n">
        <v>4</v>
      </c>
      <c r="L216" s="10" t="n">
        <v>0</v>
      </c>
      <c r="M216" s="10" t="inlineStr">
        <is>
          <t>Nº3 cerrado</t>
        </is>
      </c>
      <c r="N216" s="10" t="n">
        <v>2</v>
      </c>
      <c r="O216" s="35" t="n">
        <v>120</v>
      </c>
      <c r="P216" s="35" t="n">
        <v>180</v>
      </c>
      <c r="Q216" s="35" t="n">
        <v>0.3753243865924556</v>
      </c>
      <c r="R216" s="10" t="inlineStr">
        <is>
          <t>SÍ</t>
        </is>
      </c>
      <c r="S216" s="15" t="inlineStr">
        <is>
          <t>CUMPLE</t>
        </is>
      </c>
      <c r="T216" s="3" t="inlineStr">
        <is>
          <t>coordinar con planta y reanálisis global</t>
        </is>
      </c>
    </row>
    <row r="217">
      <c r="A217" s="21" t="inlineStr">
        <is>
          <t>VC7</t>
        </is>
      </c>
      <c r="B217" s="10" t="inlineStr">
        <is>
          <t>278</t>
        </is>
      </c>
      <c r="C217" s="10" t="inlineStr">
        <is>
          <t>168</t>
        </is>
      </c>
      <c r="D217" s="10" t="inlineStr">
        <is>
          <t>182</t>
        </is>
      </c>
      <c r="E217" s="35" t="n">
        <v>2.65</v>
      </c>
      <c r="F217" s="35" t="n">
        <v>14.175</v>
      </c>
      <c r="G217" s="35" t="n">
        <v>20.85</v>
      </c>
      <c r="H217" s="35" t="n">
        <v>6.5</v>
      </c>
      <c r="I217" s="10" t="inlineStr">
        <is>
          <t>450×550</t>
        </is>
      </c>
      <c r="J217" s="10" t="n">
        <v>6</v>
      </c>
      <c r="K217" s="10" t="n">
        <v>6</v>
      </c>
      <c r="L217" s="10" t="n">
        <v>8</v>
      </c>
      <c r="M217" s="10" t="inlineStr">
        <is>
          <t>Nº4 cerrado</t>
        </is>
      </c>
      <c r="N217" s="10" t="n">
        <v>4</v>
      </c>
      <c r="O217" s="35" t="n">
        <v>120</v>
      </c>
      <c r="P217" s="35" t="n">
        <v>120</v>
      </c>
      <c r="Q217" s="35" t="n">
        <v>0.9528304956904958</v>
      </c>
      <c r="R217" s="10" t="inlineStr">
        <is>
          <t>SÍ</t>
        </is>
      </c>
      <c r="S217" s="15" t="inlineStr">
        <is>
          <t>CUMPLE</t>
        </is>
      </c>
      <c r="T217" s="3" t="inlineStr">
        <is>
          <t>coordinar con planta y reanálisis global</t>
        </is>
      </c>
    </row>
    <row r="218">
      <c r="A218" s="21" t="inlineStr">
        <is>
          <t>VC7</t>
        </is>
      </c>
      <c r="B218" s="10" t="inlineStr">
        <is>
          <t>829</t>
        </is>
      </c>
      <c r="C218" s="10" t="inlineStr">
        <is>
          <t>496</t>
        </is>
      </c>
      <c r="D218" s="10" t="inlineStr">
        <is>
          <t>510</t>
        </is>
      </c>
      <c r="E218" s="35" t="n">
        <v>2.65</v>
      </c>
      <c r="F218" s="35" t="n">
        <v>1.325</v>
      </c>
      <c r="G218" s="35" t="n">
        <v>15.35</v>
      </c>
      <c r="H218" s="35" t="n">
        <v>9.5</v>
      </c>
      <c r="I218" s="10" t="inlineStr">
        <is>
          <t>450×550</t>
        </is>
      </c>
      <c r="J218" s="10" t="n">
        <v>5</v>
      </c>
      <c r="K218" s="10" t="n">
        <v>4</v>
      </c>
      <c r="L218" s="10" t="n">
        <v>8</v>
      </c>
      <c r="M218" s="10" t="inlineStr">
        <is>
          <t>Nº4 cerrado</t>
        </is>
      </c>
      <c r="N218" s="10" t="n">
        <v>2</v>
      </c>
      <c r="O218" s="35" t="n">
        <v>100</v>
      </c>
      <c r="P218" s="35" t="n">
        <v>100</v>
      </c>
      <c r="Q218" s="35" t="n">
        <v>0.6928904135191509</v>
      </c>
      <c r="R218" s="10" t="inlineStr">
        <is>
          <t>SÍ</t>
        </is>
      </c>
      <c r="S218" s="15" t="inlineStr">
        <is>
          <t>CUMPLE</t>
        </is>
      </c>
      <c r="T218" s="3" t="inlineStr">
        <is>
          <t>coordinar con planta y reanálisis global</t>
        </is>
      </c>
    </row>
    <row r="219">
      <c r="A219" s="21" t="inlineStr">
        <is>
          <t>VC7</t>
        </is>
      </c>
      <c r="B219" s="10" t="inlineStr">
        <is>
          <t>830</t>
        </is>
      </c>
      <c r="C219" s="10" t="inlineStr">
        <is>
          <t>510</t>
        </is>
      </c>
      <c r="D219" s="10" t="inlineStr">
        <is>
          <t>520</t>
        </is>
      </c>
      <c r="E219" s="35" t="n">
        <v>5.1</v>
      </c>
      <c r="F219" s="35" t="n">
        <v>5.2</v>
      </c>
      <c r="G219" s="35" t="n">
        <v>15.35</v>
      </c>
      <c r="H219" s="35" t="n">
        <v>9.5</v>
      </c>
      <c r="I219" s="10" t="inlineStr">
        <is>
          <t>450×550</t>
        </is>
      </c>
      <c r="J219" s="10" t="n">
        <v>4</v>
      </c>
      <c r="K219" s="10" t="n">
        <v>4</v>
      </c>
      <c r="L219" s="10" t="n">
        <v>0</v>
      </c>
      <c r="M219" s="10" t="inlineStr">
        <is>
          <t>Nº3 cerrado</t>
        </is>
      </c>
      <c r="N219" s="10" t="n">
        <v>2</v>
      </c>
      <c r="O219" s="35" t="n">
        <v>120</v>
      </c>
      <c r="P219" s="35" t="n">
        <v>240</v>
      </c>
      <c r="Q219" s="35" t="n">
        <v>0.3130227203041274</v>
      </c>
      <c r="R219" s="10" t="inlineStr">
        <is>
          <t>SÍ</t>
        </is>
      </c>
      <c r="S219" s="15" t="inlineStr">
        <is>
          <t>CUMPLE</t>
        </is>
      </c>
      <c r="T219" s="3" t="inlineStr">
        <is>
          <t>coordinar con planta y reanálisis global</t>
        </is>
      </c>
    </row>
    <row r="220">
      <c r="A220" s="21" t="inlineStr">
        <is>
          <t>VC7</t>
        </is>
      </c>
      <c r="B220" s="10" t="inlineStr">
        <is>
          <t>831</t>
        </is>
      </c>
      <c r="C220" s="10" t="inlineStr">
        <is>
          <t>520</t>
        </is>
      </c>
      <c r="D220" s="10" t="inlineStr">
        <is>
          <t>534</t>
        </is>
      </c>
      <c r="E220" s="35" t="n">
        <v>5.1</v>
      </c>
      <c r="F220" s="35" t="n">
        <v>10.3</v>
      </c>
      <c r="G220" s="35" t="n">
        <v>15.35</v>
      </c>
      <c r="H220" s="35" t="n">
        <v>9.5</v>
      </c>
      <c r="I220" s="10" t="inlineStr">
        <is>
          <t>450×550</t>
        </is>
      </c>
      <c r="J220" s="10" t="n">
        <v>4</v>
      </c>
      <c r="K220" s="10" t="n">
        <v>4</v>
      </c>
      <c r="L220" s="10" t="n">
        <v>0</v>
      </c>
      <c r="M220" s="10" t="inlineStr">
        <is>
          <t>Nº3 cerrado</t>
        </is>
      </c>
      <c r="N220" s="10" t="n">
        <v>2</v>
      </c>
      <c r="O220" s="35" t="n">
        <v>120</v>
      </c>
      <c r="P220" s="35" t="n">
        <v>240</v>
      </c>
      <c r="Q220" s="35" t="n">
        <v>0.3130251759325446</v>
      </c>
      <c r="R220" s="10" t="inlineStr">
        <is>
          <t>SÍ</t>
        </is>
      </c>
      <c r="S220" s="15" t="inlineStr">
        <is>
          <t>CUMPLE</t>
        </is>
      </c>
      <c r="T220" s="3" t="inlineStr">
        <is>
          <t>coordinar con planta y reanálisis global</t>
        </is>
      </c>
    </row>
    <row r="221">
      <c r="A221" s="21" t="inlineStr">
        <is>
          <t>VC7</t>
        </is>
      </c>
      <c r="B221" s="10" t="inlineStr">
        <is>
          <t>832</t>
        </is>
      </c>
      <c r="C221" s="10" t="inlineStr">
        <is>
          <t>534</t>
        </is>
      </c>
      <c r="D221" s="10" t="inlineStr">
        <is>
          <t>545</t>
        </is>
      </c>
      <c r="E221" s="35" t="n">
        <v>2.65</v>
      </c>
      <c r="F221" s="35" t="n">
        <v>14.175</v>
      </c>
      <c r="G221" s="35" t="n">
        <v>15.35</v>
      </c>
      <c r="H221" s="35" t="n">
        <v>9.5</v>
      </c>
      <c r="I221" s="10" t="inlineStr">
        <is>
          <t>450×550</t>
        </is>
      </c>
      <c r="J221" s="10" t="n">
        <v>5</v>
      </c>
      <c r="K221" s="10" t="n">
        <v>4</v>
      </c>
      <c r="L221" s="10" t="n">
        <v>8</v>
      </c>
      <c r="M221" s="10" t="inlineStr">
        <is>
          <t>Nº4 cerrado</t>
        </is>
      </c>
      <c r="N221" s="10" t="n">
        <v>2</v>
      </c>
      <c r="O221" s="35" t="n">
        <v>100</v>
      </c>
      <c r="P221" s="35" t="n">
        <v>100</v>
      </c>
      <c r="Q221" s="35" t="n">
        <v>0.6928905000928395</v>
      </c>
      <c r="R221" s="10" t="inlineStr">
        <is>
          <t>SÍ</t>
        </is>
      </c>
      <c r="S221" s="15" t="inlineStr">
        <is>
          <t>CUMPLE</t>
        </is>
      </c>
      <c r="T221" s="3" t="inlineStr">
        <is>
          <t>coordinar con planta y reanálisis global</t>
        </is>
      </c>
    </row>
    <row r="222">
      <c r="A222" s="21" t="inlineStr">
        <is>
          <t>VC7</t>
        </is>
      </c>
      <c r="B222" s="10" t="inlineStr">
        <is>
          <t>833</t>
        </is>
      </c>
      <c r="C222" s="10" t="inlineStr">
        <is>
          <t>497</t>
        </is>
      </c>
      <c r="D222" s="10" t="inlineStr">
        <is>
          <t>508</t>
        </is>
      </c>
      <c r="E222" s="35" t="n">
        <v>2.65</v>
      </c>
      <c r="F222" s="35" t="n">
        <v>1.325</v>
      </c>
      <c r="G222" s="35" t="n">
        <v>20.85</v>
      </c>
      <c r="H222" s="35" t="n">
        <v>9.5</v>
      </c>
      <c r="I222" s="10" t="inlineStr">
        <is>
          <t>450×550</t>
        </is>
      </c>
      <c r="J222" s="10" t="n">
        <v>5</v>
      </c>
      <c r="K222" s="10" t="n">
        <v>4</v>
      </c>
      <c r="L222" s="10" t="n">
        <v>8</v>
      </c>
      <c r="M222" s="10" t="inlineStr">
        <is>
          <t>Nº4 cerrado</t>
        </is>
      </c>
      <c r="N222" s="10" t="n">
        <v>2</v>
      </c>
      <c r="O222" s="35" t="n">
        <v>100</v>
      </c>
      <c r="P222" s="35" t="n">
        <v>100</v>
      </c>
      <c r="Q222" s="35" t="n">
        <v>0.6929446804903862</v>
      </c>
      <c r="R222" s="10" t="inlineStr">
        <is>
          <t>SÍ</t>
        </is>
      </c>
      <c r="S222" s="15" t="inlineStr">
        <is>
          <t>CUMPLE</t>
        </is>
      </c>
      <c r="T222" s="3" t="inlineStr">
        <is>
          <t>coordinar con planta y reanálisis global</t>
        </is>
      </c>
    </row>
    <row r="223">
      <c r="A223" s="21" t="inlineStr">
        <is>
          <t>VC7</t>
        </is>
      </c>
      <c r="B223" s="10" t="inlineStr">
        <is>
          <t>834</t>
        </is>
      </c>
      <c r="C223" s="10" t="inlineStr">
        <is>
          <t>508</t>
        </is>
      </c>
      <c r="D223" s="10" t="inlineStr">
        <is>
          <t>522</t>
        </is>
      </c>
      <c r="E223" s="35" t="n">
        <v>5.1</v>
      </c>
      <c r="F223" s="35" t="n">
        <v>5.2</v>
      </c>
      <c r="G223" s="35" t="n">
        <v>20.85</v>
      </c>
      <c r="H223" s="35" t="n">
        <v>9.5</v>
      </c>
      <c r="I223" s="10" t="inlineStr">
        <is>
          <t>450×550</t>
        </is>
      </c>
      <c r="J223" s="10" t="n">
        <v>4</v>
      </c>
      <c r="K223" s="10" t="n">
        <v>4</v>
      </c>
      <c r="L223" s="10" t="n">
        <v>0</v>
      </c>
      <c r="M223" s="10" t="inlineStr">
        <is>
          <t>Nº3 cerrado</t>
        </is>
      </c>
      <c r="N223" s="10" t="n">
        <v>2</v>
      </c>
      <c r="O223" s="35" t="n">
        <v>120</v>
      </c>
      <c r="P223" s="35" t="n">
        <v>240</v>
      </c>
      <c r="Q223" s="35" t="n">
        <v>0.3135947637233766</v>
      </c>
      <c r="R223" s="10" t="inlineStr">
        <is>
          <t>SÍ</t>
        </is>
      </c>
      <c r="S223" s="15" t="inlineStr">
        <is>
          <t>CUMPLE</t>
        </is>
      </c>
      <c r="T223" s="3" t="inlineStr">
        <is>
          <t>coordinar con planta y reanálisis global</t>
        </is>
      </c>
    </row>
    <row r="224">
      <c r="A224" s="21" t="inlineStr">
        <is>
          <t>VC7</t>
        </is>
      </c>
      <c r="B224" s="10" t="inlineStr">
        <is>
          <t>835</t>
        </is>
      </c>
      <c r="C224" s="10" t="inlineStr">
        <is>
          <t>522</t>
        </is>
      </c>
      <c r="D224" s="10" t="inlineStr">
        <is>
          <t>532</t>
        </is>
      </c>
      <c r="E224" s="35" t="n">
        <v>5.1</v>
      </c>
      <c r="F224" s="35" t="n">
        <v>10.3</v>
      </c>
      <c r="G224" s="35" t="n">
        <v>20.85</v>
      </c>
      <c r="H224" s="35" t="n">
        <v>9.5</v>
      </c>
      <c r="I224" s="10" t="inlineStr">
        <is>
          <t>450×550</t>
        </is>
      </c>
      <c r="J224" s="10" t="n">
        <v>4</v>
      </c>
      <c r="K224" s="10" t="n">
        <v>4</v>
      </c>
      <c r="L224" s="10" t="n">
        <v>0</v>
      </c>
      <c r="M224" s="10" t="inlineStr">
        <is>
          <t>Nº3 cerrado</t>
        </is>
      </c>
      <c r="N224" s="10" t="n">
        <v>2</v>
      </c>
      <c r="O224" s="35" t="n">
        <v>120</v>
      </c>
      <c r="P224" s="35" t="n">
        <v>240</v>
      </c>
      <c r="Q224" s="35" t="n">
        <v>0.3135952510904027</v>
      </c>
      <c r="R224" s="10" t="inlineStr">
        <is>
          <t>SÍ</t>
        </is>
      </c>
      <c r="S224" s="15" t="inlineStr">
        <is>
          <t>CUMPLE</t>
        </is>
      </c>
      <c r="T224" s="3" t="inlineStr">
        <is>
          <t>coordinar con planta y reanálisis global</t>
        </is>
      </c>
    </row>
    <row r="225">
      <c r="A225" s="21" t="inlineStr">
        <is>
          <t>VC7</t>
        </is>
      </c>
      <c r="B225" s="10" t="inlineStr">
        <is>
          <t>836</t>
        </is>
      </c>
      <c r="C225" s="10" t="inlineStr">
        <is>
          <t>532</t>
        </is>
      </c>
      <c r="D225" s="10" t="inlineStr">
        <is>
          <t>546</t>
        </is>
      </c>
      <c r="E225" s="35" t="n">
        <v>2.65</v>
      </c>
      <c r="F225" s="35" t="n">
        <v>14.175</v>
      </c>
      <c r="G225" s="35" t="n">
        <v>20.85</v>
      </c>
      <c r="H225" s="35" t="n">
        <v>9.5</v>
      </c>
      <c r="I225" s="10" t="inlineStr">
        <is>
          <t>450×550</t>
        </is>
      </c>
      <c r="J225" s="10" t="n">
        <v>5</v>
      </c>
      <c r="K225" s="10" t="n">
        <v>4</v>
      </c>
      <c r="L225" s="10" t="n">
        <v>8</v>
      </c>
      <c r="M225" s="10" t="inlineStr">
        <is>
          <t>Nº4 cerrado</t>
        </is>
      </c>
      <c r="N225" s="10" t="n">
        <v>2</v>
      </c>
      <c r="O225" s="35" t="n">
        <v>100</v>
      </c>
      <c r="P225" s="35" t="n">
        <v>100</v>
      </c>
      <c r="Q225" s="35" t="n">
        <v>0.6929472414412369</v>
      </c>
      <c r="R225" s="10" t="inlineStr">
        <is>
          <t>SÍ</t>
        </is>
      </c>
      <c r="S225" s="15" t="inlineStr">
        <is>
          <t>CUMPLE</t>
        </is>
      </c>
      <c r="T225" s="3" t="inlineStr">
        <is>
          <t>coordinar con planta y reanálisis global</t>
        </is>
      </c>
    </row>
    <row r="226">
      <c r="A226" s="21" t="inlineStr">
        <is>
          <t>VC7</t>
        </is>
      </c>
      <c r="B226" s="10" t="inlineStr">
        <is>
          <t>923</t>
        </is>
      </c>
      <c r="C226" s="10" t="inlineStr">
        <is>
          <t>557</t>
        </is>
      </c>
      <c r="D226" s="10" t="inlineStr">
        <is>
          <t>571</t>
        </is>
      </c>
      <c r="E226" s="35" t="n">
        <v>2.65</v>
      </c>
      <c r="F226" s="35" t="n">
        <v>1.325</v>
      </c>
      <c r="G226" s="35" t="n">
        <v>15.35</v>
      </c>
      <c r="H226" s="35" t="n">
        <v>12.5</v>
      </c>
      <c r="I226" s="10" t="inlineStr">
        <is>
          <t>450×550</t>
        </is>
      </c>
      <c r="J226" s="10" t="n">
        <v>4</v>
      </c>
      <c r="K226" s="10" t="n">
        <v>4</v>
      </c>
      <c r="L226" s="10" t="n">
        <v>8</v>
      </c>
      <c r="M226" s="10" t="inlineStr">
        <is>
          <t>Nº3 cerrado</t>
        </is>
      </c>
      <c r="N226" s="10" t="n">
        <v>2</v>
      </c>
      <c r="O226" s="35" t="n">
        <v>120</v>
      </c>
      <c r="P226" s="35" t="n">
        <v>130</v>
      </c>
      <c r="Q226" s="35" t="n">
        <v>0.3948644088712964</v>
      </c>
      <c r="R226" s="10" t="inlineStr">
        <is>
          <t>SÍ</t>
        </is>
      </c>
      <c r="S226" s="15" t="inlineStr">
        <is>
          <t>CUMPLE</t>
        </is>
      </c>
      <c r="T226" s="3" t="inlineStr">
        <is>
          <t>coordinar con planta y reanálisis global</t>
        </is>
      </c>
    </row>
    <row r="227">
      <c r="A227" s="21" t="inlineStr">
        <is>
          <t>VC7</t>
        </is>
      </c>
      <c r="B227" s="10" t="inlineStr">
        <is>
          <t>924</t>
        </is>
      </c>
      <c r="C227" s="10" t="inlineStr">
        <is>
          <t>571</t>
        </is>
      </c>
      <c r="D227" s="10" t="inlineStr">
        <is>
          <t>581</t>
        </is>
      </c>
      <c r="E227" s="35" t="n">
        <v>5.1</v>
      </c>
      <c r="F227" s="35" t="n">
        <v>5.2</v>
      </c>
      <c r="G227" s="35" t="n">
        <v>15.35</v>
      </c>
      <c r="H227" s="35" t="n">
        <v>12.5</v>
      </c>
      <c r="I227" s="10" t="inlineStr">
        <is>
          <t>450×550</t>
        </is>
      </c>
      <c r="J227" s="10" t="n">
        <v>4</v>
      </c>
      <c r="K227" s="10" t="n">
        <v>4</v>
      </c>
      <c r="L227" s="10" t="n">
        <v>0</v>
      </c>
      <c r="M227" s="10" t="inlineStr">
        <is>
          <t>Nº3 cerrado</t>
        </is>
      </c>
      <c r="N227" s="10" t="n">
        <v>2</v>
      </c>
      <c r="O227" s="35" t="n">
        <v>120</v>
      </c>
      <c r="P227" s="35" t="n">
        <v>240</v>
      </c>
      <c r="Q227" s="35" t="n">
        <v>0.2256822335010112</v>
      </c>
      <c r="R227" s="10" t="inlineStr">
        <is>
          <t>SÍ</t>
        </is>
      </c>
      <c r="S227" s="15" t="inlineStr">
        <is>
          <t>CUMPLE</t>
        </is>
      </c>
      <c r="T227" s="3" t="inlineStr">
        <is>
          <t>coordinar con planta y reanálisis global</t>
        </is>
      </c>
    </row>
    <row r="228">
      <c r="A228" s="21" t="inlineStr">
        <is>
          <t>VC7</t>
        </is>
      </c>
      <c r="B228" s="10" t="inlineStr">
        <is>
          <t>925</t>
        </is>
      </c>
      <c r="C228" s="10" t="inlineStr">
        <is>
          <t>581</t>
        </is>
      </c>
      <c r="D228" s="10" t="inlineStr">
        <is>
          <t>595</t>
        </is>
      </c>
      <c r="E228" s="35" t="n">
        <v>5.1</v>
      </c>
      <c r="F228" s="35" t="n">
        <v>10.3</v>
      </c>
      <c r="G228" s="35" t="n">
        <v>15.35</v>
      </c>
      <c r="H228" s="35" t="n">
        <v>12.5</v>
      </c>
      <c r="I228" s="10" t="inlineStr">
        <is>
          <t>450×550</t>
        </is>
      </c>
      <c r="J228" s="10" t="n">
        <v>4</v>
      </c>
      <c r="K228" s="10" t="n">
        <v>4</v>
      </c>
      <c r="L228" s="10" t="n">
        <v>0</v>
      </c>
      <c r="M228" s="10" t="inlineStr">
        <is>
          <t>Nº3 cerrado</t>
        </is>
      </c>
      <c r="N228" s="10" t="n">
        <v>2</v>
      </c>
      <c r="O228" s="35" t="n">
        <v>120</v>
      </c>
      <c r="P228" s="35" t="n">
        <v>240</v>
      </c>
      <c r="Q228" s="35" t="n">
        <v>0.2256866477110659</v>
      </c>
      <c r="R228" s="10" t="inlineStr">
        <is>
          <t>SÍ</t>
        </is>
      </c>
      <c r="S228" s="15" t="inlineStr">
        <is>
          <t>CUMPLE</t>
        </is>
      </c>
      <c r="T228" s="3" t="inlineStr">
        <is>
          <t>coordinar con planta y reanálisis global</t>
        </is>
      </c>
    </row>
    <row r="229">
      <c r="A229" s="21" t="inlineStr">
        <is>
          <t>VC7</t>
        </is>
      </c>
      <c r="B229" s="10" t="inlineStr">
        <is>
          <t>926</t>
        </is>
      </c>
      <c r="C229" s="10" t="inlineStr">
        <is>
          <t>595</t>
        </is>
      </c>
      <c r="D229" s="10" t="inlineStr">
        <is>
          <t>606</t>
        </is>
      </c>
      <c r="E229" s="35" t="n">
        <v>2.65</v>
      </c>
      <c r="F229" s="35" t="n">
        <v>14.175</v>
      </c>
      <c r="G229" s="35" t="n">
        <v>15.35</v>
      </c>
      <c r="H229" s="35" t="n">
        <v>12.5</v>
      </c>
      <c r="I229" s="10" t="inlineStr">
        <is>
          <t>450×550</t>
        </is>
      </c>
      <c r="J229" s="10" t="n">
        <v>4</v>
      </c>
      <c r="K229" s="10" t="n">
        <v>4</v>
      </c>
      <c r="L229" s="10" t="n">
        <v>8</v>
      </c>
      <c r="M229" s="10" t="inlineStr">
        <is>
          <t>Nº3 cerrado</t>
        </is>
      </c>
      <c r="N229" s="10" t="n">
        <v>2</v>
      </c>
      <c r="O229" s="35" t="n">
        <v>120</v>
      </c>
      <c r="P229" s="35" t="n">
        <v>130</v>
      </c>
      <c r="Q229" s="35" t="n">
        <v>0.3948692800346156</v>
      </c>
      <c r="R229" s="10" t="inlineStr">
        <is>
          <t>SÍ</t>
        </is>
      </c>
      <c r="S229" s="15" t="inlineStr">
        <is>
          <t>CUMPLE</t>
        </is>
      </c>
      <c r="T229" s="3" t="inlineStr">
        <is>
          <t>coordinar con planta y reanálisis global</t>
        </is>
      </c>
    </row>
    <row r="230">
      <c r="A230" s="21" t="inlineStr">
        <is>
          <t>VC7</t>
        </is>
      </c>
      <c r="B230" s="10" t="inlineStr">
        <is>
          <t>927</t>
        </is>
      </c>
      <c r="C230" s="10" t="inlineStr">
        <is>
          <t>558</t>
        </is>
      </c>
      <c r="D230" s="10" t="inlineStr">
        <is>
          <t>569</t>
        </is>
      </c>
      <c r="E230" s="35" t="n">
        <v>2.65</v>
      </c>
      <c r="F230" s="35" t="n">
        <v>1.325</v>
      </c>
      <c r="G230" s="35" t="n">
        <v>20.85</v>
      </c>
      <c r="H230" s="35" t="n">
        <v>12.5</v>
      </c>
      <c r="I230" s="10" t="inlineStr">
        <is>
          <t>450×550</t>
        </is>
      </c>
      <c r="J230" s="10" t="n">
        <v>4</v>
      </c>
      <c r="K230" s="10" t="n">
        <v>4</v>
      </c>
      <c r="L230" s="10" t="n">
        <v>0</v>
      </c>
      <c r="M230" s="10" t="inlineStr">
        <is>
          <t>Nº3 cerrado</t>
        </is>
      </c>
      <c r="N230" s="10" t="n">
        <v>2</v>
      </c>
      <c r="O230" s="35" t="n">
        <v>120</v>
      </c>
      <c r="P230" s="35" t="n">
        <v>170</v>
      </c>
      <c r="Q230" s="35" t="n">
        <v>0.3929669009672428</v>
      </c>
      <c r="R230" s="10" t="inlineStr">
        <is>
          <t>SÍ</t>
        </is>
      </c>
      <c r="S230" s="15" t="inlineStr">
        <is>
          <t>CUMPLE</t>
        </is>
      </c>
      <c r="T230" s="3" t="inlineStr">
        <is>
          <t>coordinar con planta y reanálisis global</t>
        </is>
      </c>
    </row>
    <row r="231">
      <c r="A231" s="21" t="inlineStr">
        <is>
          <t>VC7</t>
        </is>
      </c>
      <c r="B231" s="10" t="inlineStr">
        <is>
          <t>928</t>
        </is>
      </c>
      <c r="C231" s="10" t="inlineStr">
        <is>
          <t>569</t>
        </is>
      </c>
      <c r="D231" s="10" t="inlineStr">
        <is>
          <t>583</t>
        </is>
      </c>
      <c r="E231" s="35" t="n">
        <v>5.1</v>
      </c>
      <c r="F231" s="35" t="n">
        <v>5.2</v>
      </c>
      <c r="G231" s="35" t="n">
        <v>20.85</v>
      </c>
      <c r="H231" s="35" t="n">
        <v>12.5</v>
      </c>
      <c r="I231" s="10" t="inlineStr">
        <is>
          <t>450×550</t>
        </is>
      </c>
      <c r="J231" s="10" t="n">
        <v>4</v>
      </c>
      <c r="K231" s="10" t="n">
        <v>4</v>
      </c>
      <c r="L231" s="10" t="n">
        <v>0</v>
      </c>
      <c r="M231" s="10" t="inlineStr">
        <is>
          <t>Nº3 cerrado</t>
        </is>
      </c>
      <c r="N231" s="10" t="n">
        <v>2</v>
      </c>
      <c r="O231" s="35" t="n">
        <v>120</v>
      </c>
      <c r="P231" s="35" t="n">
        <v>240</v>
      </c>
      <c r="Q231" s="35" t="n">
        <v>0.2259773358292855</v>
      </c>
      <c r="R231" s="10" t="inlineStr">
        <is>
          <t>SÍ</t>
        </is>
      </c>
      <c r="S231" s="15" t="inlineStr">
        <is>
          <t>CUMPLE</t>
        </is>
      </c>
      <c r="T231" s="3" t="inlineStr">
        <is>
          <t>coordinar con planta y reanálisis global</t>
        </is>
      </c>
    </row>
    <row r="232">
      <c r="A232" s="21" t="inlineStr">
        <is>
          <t>VC7</t>
        </is>
      </c>
      <c r="B232" s="10" t="inlineStr">
        <is>
          <t>929</t>
        </is>
      </c>
      <c r="C232" s="10" t="inlineStr">
        <is>
          <t>583</t>
        </is>
      </c>
      <c r="D232" s="10" t="inlineStr">
        <is>
          <t>593</t>
        </is>
      </c>
      <c r="E232" s="35" t="n">
        <v>5.1</v>
      </c>
      <c r="F232" s="35" t="n">
        <v>10.3</v>
      </c>
      <c r="G232" s="35" t="n">
        <v>20.85</v>
      </c>
      <c r="H232" s="35" t="n">
        <v>12.5</v>
      </c>
      <c r="I232" s="10" t="inlineStr">
        <is>
          <t>450×550</t>
        </is>
      </c>
      <c r="J232" s="10" t="n">
        <v>4</v>
      </c>
      <c r="K232" s="10" t="n">
        <v>4</v>
      </c>
      <c r="L232" s="10" t="n">
        <v>0</v>
      </c>
      <c r="M232" s="10" t="inlineStr">
        <is>
          <t>Nº3 cerrado</t>
        </is>
      </c>
      <c r="N232" s="10" t="n">
        <v>2</v>
      </c>
      <c r="O232" s="35" t="n">
        <v>120</v>
      </c>
      <c r="P232" s="35" t="n">
        <v>240</v>
      </c>
      <c r="Q232" s="35" t="n">
        <v>0.2259795577095584</v>
      </c>
      <c r="R232" s="10" t="inlineStr">
        <is>
          <t>SÍ</t>
        </is>
      </c>
      <c r="S232" s="15" t="inlineStr">
        <is>
          <t>CUMPLE</t>
        </is>
      </c>
      <c r="T232" s="3" t="inlineStr">
        <is>
          <t>coordinar con planta y reanálisis global</t>
        </is>
      </c>
    </row>
    <row r="233">
      <c r="A233" s="21" t="inlineStr">
        <is>
          <t>VC7</t>
        </is>
      </c>
      <c r="B233" s="10" t="inlineStr">
        <is>
          <t>930</t>
        </is>
      </c>
      <c r="C233" s="10" t="inlineStr">
        <is>
          <t>593</t>
        </is>
      </c>
      <c r="D233" s="10" t="inlineStr">
        <is>
          <t>607</t>
        </is>
      </c>
      <c r="E233" s="35" t="n">
        <v>2.65</v>
      </c>
      <c r="F233" s="35" t="n">
        <v>14.175</v>
      </c>
      <c r="G233" s="35" t="n">
        <v>20.85</v>
      </c>
      <c r="H233" s="35" t="n">
        <v>12.5</v>
      </c>
      <c r="I233" s="10" t="inlineStr">
        <is>
          <t>450×550</t>
        </is>
      </c>
      <c r="J233" s="10" t="n">
        <v>4</v>
      </c>
      <c r="K233" s="10" t="n">
        <v>4</v>
      </c>
      <c r="L233" s="10" t="n">
        <v>0</v>
      </c>
      <c r="M233" s="10" t="inlineStr">
        <is>
          <t>Nº3 cerrado</t>
        </is>
      </c>
      <c r="N233" s="10" t="n">
        <v>2</v>
      </c>
      <c r="O233" s="35" t="n">
        <v>120</v>
      </c>
      <c r="P233" s="35" t="n">
        <v>170</v>
      </c>
      <c r="Q233" s="35" t="n">
        <v>0.3929758385403811</v>
      </c>
      <c r="R233" s="10" t="inlineStr">
        <is>
          <t>SÍ</t>
        </is>
      </c>
      <c r="S233" s="15" t="inlineStr">
        <is>
          <t>CUMPLE</t>
        </is>
      </c>
      <c r="T233" s="3" t="inlineStr">
        <is>
          <t>coordinar con planta y reanálisis global</t>
        </is>
      </c>
    </row>
    <row r="234">
      <c r="A234" s="21" t="inlineStr">
        <is>
          <t>VC7</t>
        </is>
      </c>
      <c r="B234" s="10" t="inlineStr">
        <is>
          <t>1017</t>
        </is>
      </c>
      <c r="C234" s="10" t="inlineStr">
        <is>
          <t>618</t>
        </is>
      </c>
      <c r="D234" s="10" t="inlineStr">
        <is>
          <t>632</t>
        </is>
      </c>
      <c r="E234" s="35" t="n">
        <v>2.65</v>
      </c>
      <c r="F234" s="35" t="n">
        <v>1.325</v>
      </c>
      <c r="G234" s="35" t="n">
        <v>15.35</v>
      </c>
      <c r="H234" s="35" t="n">
        <v>15.5</v>
      </c>
      <c r="I234" s="10" t="inlineStr">
        <is>
          <t>450×550</t>
        </is>
      </c>
      <c r="J234" s="10" t="n">
        <v>4</v>
      </c>
      <c r="K234" s="10" t="n">
        <v>4</v>
      </c>
      <c r="L234" s="10" t="n">
        <v>0</v>
      </c>
      <c r="M234" s="10" t="inlineStr">
        <is>
          <t>Nº3 cerrado</t>
        </is>
      </c>
      <c r="N234" s="10" t="n">
        <v>2</v>
      </c>
      <c r="O234" s="35" t="n">
        <v>120</v>
      </c>
      <c r="P234" s="35" t="n">
        <v>240</v>
      </c>
      <c r="Q234" s="35" t="n">
        <v>0.3309123119155729</v>
      </c>
      <c r="R234" s="10" t="inlineStr">
        <is>
          <t>SÍ</t>
        </is>
      </c>
      <c r="S234" s="15" t="inlineStr">
        <is>
          <t>CUMPLE</t>
        </is>
      </c>
      <c r="T234" s="3" t="inlineStr">
        <is>
          <t>coordinar con planta y reanálisis global</t>
        </is>
      </c>
    </row>
    <row r="235">
      <c r="A235" s="21" t="inlineStr">
        <is>
          <t>VC7</t>
        </is>
      </c>
      <c r="B235" s="10" t="inlineStr">
        <is>
          <t>1018</t>
        </is>
      </c>
      <c r="C235" s="10" t="inlineStr">
        <is>
          <t>632</t>
        </is>
      </c>
      <c r="D235" s="10" t="inlineStr">
        <is>
          <t>642</t>
        </is>
      </c>
      <c r="E235" s="35" t="n">
        <v>5.1</v>
      </c>
      <c r="F235" s="35" t="n">
        <v>5.2</v>
      </c>
      <c r="G235" s="35" t="n">
        <v>15.35</v>
      </c>
      <c r="H235" s="35" t="n">
        <v>15.5</v>
      </c>
      <c r="I235" s="10" t="inlineStr">
        <is>
          <t>450×550</t>
        </is>
      </c>
      <c r="J235" s="10" t="n">
        <v>4</v>
      </c>
      <c r="K235" s="10" t="n">
        <v>4</v>
      </c>
      <c r="L235" s="10" t="n">
        <v>0</v>
      </c>
      <c r="M235" s="10" t="inlineStr">
        <is>
          <t>Nº3 cerrado</t>
        </is>
      </c>
      <c r="N235" s="10" t="n">
        <v>2</v>
      </c>
      <c r="O235" s="35" t="n">
        <v>120</v>
      </c>
      <c r="P235" s="35" t="n">
        <v>240</v>
      </c>
      <c r="Q235" s="35" t="n">
        <v>0.1880958291587475</v>
      </c>
      <c r="R235" s="10" t="inlineStr">
        <is>
          <t>SÍ</t>
        </is>
      </c>
      <c r="S235" s="15" t="inlineStr">
        <is>
          <t>CUMPLE</t>
        </is>
      </c>
      <c r="T235" s="3" t="inlineStr">
        <is>
          <t>coordinar con planta y reanálisis global</t>
        </is>
      </c>
    </row>
    <row r="236">
      <c r="A236" s="21" t="inlineStr">
        <is>
          <t>VC7</t>
        </is>
      </c>
      <c r="B236" s="10" t="inlineStr">
        <is>
          <t>1019</t>
        </is>
      </c>
      <c r="C236" s="10" t="inlineStr">
        <is>
          <t>642</t>
        </is>
      </c>
      <c r="D236" s="10" t="inlineStr">
        <is>
          <t>656</t>
        </is>
      </c>
      <c r="E236" s="35" t="n">
        <v>5.1</v>
      </c>
      <c r="F236" s="35" t="n">
        <v>10.3</v>
      </c>
      <c r="G236" s="35" t="n">
        <v>15.35</v>
      </c>
      <c r="H236" s="35" t="n">
        <v>15.5</v>
      </c>
      <c r="I236" s="10" t="inlineStr">
        <is>
          <t>450×550</t>
        </is>
      </c>
      <c r="J236" s="10" t="n">
        <v>4</v>
      </c>
      <c r="K236" s="10" t="n">
        <v>4</v>
      </c>
      <c r="L236" s="10" t="n">
        <v>0</v>
      </c>
      <c r="M236" s="10" t="inlineStr">
        <is>
          <t>Nº3 cerrado</t>
        </is>
      </c>
      <c r="N236" s="10" t="n">
        <v>2</v>
      </c>
      <c r="O236" s="35" t="n">
        <v>120</v>
      </c>
      <c r="P236" s="35" t="n">
        <v>240</v>
      </c>
      <c r="Q236" s="35" t="n">
        <v>0.1880977832473849</v>
      </c>
      <c r="R236" s="10" t="inlineStr">
        <is>
          <t>SÍ</t>
        </is>
      </c>
      <c r="S236" s="15" t="inlineStr">
        <is>
          <t>CUMPLE</t>
        </is>
      </c>
      <c r="T236" s="3" t="inlineStr">
        <is>
          <t>coordinar con planta y reanálisis global</t>
        </is>
      </c>
    </row>
    <row r="237">
      <c r="A237" s="21" t="inlineStr">
        <is>
          <t>VC7</t>
        </is>
      </c>
      <c r="B237" s="10" t="inlineStr">
        <is>
          <t>1020</t>
        </is>
      </c>
      <c r="C237" s="10" t="inlineStr">
        <is>
          <t>656</t>
        </is>
      </c>
      <c r="D237" s="10" t="inlineStr">
        <is>
          <t>667</t>
        </is>
      </c>
      <c r="E237" s="35" t="n">
        <v>2.65</v>
      </c>
      <c r="F237" s="35" t="n">
        <v>14.175</v>
      </c>
      <c r="G237" s="35" t="n">
        <v>15.35</v>
      </c>
      <c r="H237" s="35" t="n">
        <v>15.5</v>
      </c>
      <c r="I237" s="10" t="inlineStr">
        <is>
          <t>450×550</t>
        </is>
      </c>
      <c r="J237" s="10" t="n">
        <v>4</v>
      </c>
      <c r="K237" s="10" t="n">
        <v>4</v>
      </c>
      <c r="L237" s="10" t="n">
        <v>0</v>
      </c>
      <c r="M237" s="10" t="inlineStr">
        <is>
          <t>Nº3 cerrado</t>
        </is>
      </c>
      <c r="N237" s="10" t="n">
        <v>2</v>
      </c>
      <c r="O237" s="35" t="n">
        <v>120</v>
      </c>
      <c r="P237" s="35" t="n">
        <v>240</v>
      </c>
      <c r="Q237" s="35" t="n">
        <v>0.33091902010091</v>
      </c>
      <c r="R237" s="10" t="inlineStr">
        <is>
          <t>SÍ</t>
        </is>
      </c>
      <c r="S237" s="15" t="inlineStr">
        <is>
          <t>CUMPLE</t>
        </is>
      </c>
      <c r="T237" s="3" t="inlineStr">
        <is>
          <t>coordinar con planta y reanálisis global</t>
        </is>
      </c>
    </row>
    <row r="238">
      <c r="A238" s="21" t="inlineStr">
        <is>
          <t>VC7</t>
        </is>
      </c>
      <c r="B238" s="10" t="inlineStr">
        <is>
          <t>1021</t>
        </is>
      </c>
      <c r="C238" s="10" t="inlineStr">
        <is>
          <t>619</t>
        </is>
      </c>
      <c r="D238" s="10" t="inlineStr">
        <is>
          <t>630</t>
        </is>
      </c>
      <c r="E238" s="35" t="n">
        <v>2.65</v>
      </c>
      <c r="F238" s="35" t="n">
        <v>1.325</v>
      </c>
      <c r="G238" s="35" t="n">
        <v>20.85</v>
      </c>
      <c r="H238" s="35" t="n">
        <v>15.5</v>
      </c>
      <c r="I238" s="10" t="inlineStr">
        <is>
          <t>450×550</t>
        </is>
      </c>
      <c r="J238" s="10" t="n">
        <v>4</v>
      </c>
      <c r="K238" s="10" t="n">
        <v>4</v>
      </c>
      <c r="L238" s="10" t="n">
        <v>0</v>
      </c>
      <c r="M238" s="10" t="inlineStr">
        <is>
          <t>Nº3 cerrado</t>
        </is>
      </c>
      <c r="N238" s="10" t="n">
        <v>2</v>
      </c>
      <c r="O238" s="35" t="n">
        <v>120</v>
      </c>
      <c r="P238" s="35" t="n">
        <v>240</v>
      </c>
      <c r="Q238" s="35" t="n">
        <v>0.3287654357127937</v>
      </c>
      <c r="R238" s="10" t="inlineStr">
        <is>
          <t>SÍ</t>
        </is>
      </c>
      <c r="S238" s="15" t="inlineStr">
        <is>
          <t>CUMPLE</t>
        </is>
      </c>
      <c r="T238" s="3" t="inlineStr">
        <is>
          <t>coordinar con planta y reanálisis global</t>
        </is>
      </c>
    </row>
    <row r="239">
      <c r="A239" s="21" t="inlineStr">
        <is>
          <t>VC7</t>
        </is>
      </c>
      <c r="B239" s="10" t="inlineStr">
        <is>
          <t>1022</t>
        </is>
      </c>
      <c r="C239" s="10" t="inlineStr">
        <is>
          <t>630</t>
        </is>
      </c>
      <c r="D239" s="10" t="inlineStr">
        <is>
          <t>644</t>
        </is>
      </c>
      <c r="E239" s="35" t="n">
        <v>5.1</v>
      </c>
      <c r="F239" s="35" t="n">
        <v>5.2</v>
      </c>
      <c r="G239" s="35" t="n">
        <v>20.85</v>
      </c>
      <c r="H239" s="35" t="n">
        <v>15.5</v>
      </c>
      <c r="I239" s="10" t="inlineStr">
        <is>
          <t>450×550</t>
        </is>
      </c>
      <c r="J239" s="10" t="n">
        <v>4</v>
      </c>
      <c r="K239" s="10" t="n">
        <v>4</v>
      </c>
      <c r="L239" s="10" t="n">
        <v>0</v>
      </c>
      <c r="M239" s="10" t="inlineStr">
        <is>
          <t>Nº3 cerrado</t>
        </is>
      </c>
      <c r="N239" s="10" t="n">
        <v>2</v>
      </c>
      <c r="O239" s="35" t="n">
        <v>120</v>
      </c>
      <c r="P239" s="35" t="n">
        <v>240</v>
      </c>
      <c r="Q239" s="35" t="n">
        <v>0.1883038131865545</v>
      </c>
      <c r="R239" s="10" t="inlineStr">
        <is>
          <t>SÍ</t>
        </is>
      </c>
      <c r="S239" s="15" t="inlineStr">
        <is>
          <t>CUMPLE</t>
        </is>
      </c>
      <c r="T239" s="3" t="inlineStr">
        <is>
          <t>coordinar con planta y reanálisis global</t>
        </is>
      </c>
    </row>
    <row r="240">
      <c r="A240" s="21" t="inlineStr">
        <is>
          <t>VC7</t>
        </is>
      </c>
      <c r="B240" s="10" t="inlineStr">
        <is>
          <t>1023</t>
        </is>
      </c>
      <c r="C240" s="10" t="inlineStr">
        <is>
          <t>644</t>
        </is>
      </c>
      <c r="D240" s="10" t="inlineStr">
        <is>
          <t>654</t>
        </is>
      </c>
      <c r="E240" s="35" t="n">
        <v>5.1</v>
      </c>
      <c r="F240" s="35" t="n">
        <v>10.3</v>
      </c>
      <c r="G240" s="35" t="n">
        <v>20.85</v>
      </c>
      <c r="H240" s="35" t="n">
        <v>15.5</v>
      </c>
      <c r="I240" s="10" t="inlineStr">
        <is>
          <t>450×550</t>
        </is>
      </c>
      <c r="J240" s="10" t="n">
        <v>4</v>
      </c>
      <c r="K240" s="10" t="n">
        <v>4</v>
      </c>
      <c r="L240" s="10" t="n">
        <v>0</v>
      </c>
      <c r="M240" s="10" t="inlineStr">
        <is>
          <t>Nº3 cerrado</t>
        </is>
      </c>
      <c r="N240" s="10" t="n">
        <v>2</v>
      </c>
      <c r="O240" s="35" t="n">
        <v>120</v>
      </c>
      <c r="P240" s="35" t="n">
        <v>240</v>
      </c>
      <c r="Q240" s="35" t="n">
        <v>0.1883060977078872</v>
      </c>
      <c r="R240" s="10" t="inlineStr">
        <is>
          <t>SÍ</t>
        </is>
      </c>
      <c r="S240" s="15" t="inlineStr">
        <is>
          <t>CUMPLE</t>
        </is>
      </c>
      <c r="T240" s="3" t="inlineStr">
        <is>
          <t>coordinar con planta y reanálisis global</t>
        </is>
      </c>
    </row>
    <row r="241">
      <c r="A241" s="21" t="inlineStr">
        <is>
          <t>VC7</t>
        </is>
      </c>
      <c r="B241" s="10" t="inlineStr">
        <is>
          <t>1024</t>
        </is>
      </c>
      <c r="C241" s="10" t="inlineStr">
        <is>
          <t>654</t>
        </is>
      </c>
      <c r="D241" s="10" t="inlineStr">
        <is>
          <t>668</t>
        </is>
      </c>
      <c r="E241" s="35" t="n">
        <v>2.65</v>
      </c>
      <c r="F241" s="35" t="n">
        <v>14.175</v>
      </c>
      <c r="G241" s="35" t="n">
        <v>20.85</v>
      </c>
      <c r="H241" s="35" t="n">
        <v>15.5</v>
      </c>
      <c r="I241" s="10" t="inlineStr">
        <is>
          <t>450×550</t>
        </is>
      </c>
      <c r="J241" s="10" t="n">
        <v>4</v>
      </c>
      <c r="K241" s="10" t="n">
        <v>4</v>
      </c>
      <c r="L241" s="10" t="n">
        <v>0</v>
      </c>
      <c r="M241" s="10" t="inlineStr">
        <is>
          <t>Nº3 cerrado</t>
        </is>
      </c>
      <c r="N241" s="10" t="n">
        <v>2</v>
      </c>
      <c r="O241" s="35" t="n">
        <v>120</v>
      </c>
      <c r="P241" s="35" t="n">
        <v>240</v>
      </c>
      <c r="Q241" s="35" t="n">
        <v>0.3287686980131304</v>
      </c>
      <c r="R241" s="10" t="inlineStr">
        <is>
          <t>SÍ</t>
        </is>
      </c>
      <c r="S241" s="15" t="inlineStr">
        <is>
          <t>CUMPLE</t>
        </is>
      </c>
      <c r="T241" s="3" t="inlineStr">
        <is>
          <t>coordinar con planta y reanálisis global</t>
        </is>
      </c>
    </row>
    <row r="242">
      <c r="A242" s="23" t="inlineStr">
        <is>
          <t>VR1</t>
        </is>
      </c>
      <c r="B242" s="10" t="inlineStr">
        <is>
          <t>201</t>
        </is>
      </c>
      <c r="C242" s="10" t="inlineStr">
        <is>
          <t>127</t>
        </is>
      </c>
      <c r="D242" s="10" t="inlineStr">
        <is>
          <t>128</t>
        </is>
      </c>
      <c r="E242" s="35" t="n">
        <v>2.6</v>
      </c>
      <c r="F242" s="35" t="n">
        <v>0</v>
      </c>
      <c r="G242" s="35" t="n">
        <v>1.3</v>
      </c>
      <c r="H242" s="35" t="n">
        <v>6.5</v>
      </c>
      <c r="I242" s="10" t="inlineStr">
        <is>
          <t>500×550</t>
        </is>
      </c>
      <c r="J242" s="10" t="n">
        <v>6</v>
      </c>
      <c r="K242" s="10" t="n">
        <v>5</v>
      </c>
      <c r="L242" s="10" t="n">
        <v>0</v>
      </c>
      <c r="M242" s="10" t="inlineStr">
        <is>
          <t>Nº4 cerrado</t>
        </is>
      </c>
      <c r="N242" s="10" t="n">
        <v>2</v>
      </c>
      <c r="O242" s="35" t="n">
        <v>90</v>
      </c>
      <c r="P242" s="35" t="n">
        <v>90</v>
      </c>
      <c r="Q242" s="35" t="n">
        <v>0.7253461427987926</v>
      </c>
      <c r="R242" s="10" t="inlineStr">
        <is>
          <t>SÍ</t>
        </is>
      </c>
      <c r="S242" s="15" t="inlineStr">
        <is>
          <t>CUMPLE</t>
        </is>
      </c>
      <c r="T242" s="3" t="inlineStr">
        <is>
          <t>coordinar con planta y reanálisis global</t>
        </is>
      </c>
    </row>
    <row r="243">
      <c r="A243" s="23" t="inlineStr">
        <is>
          <t>VR1</t>
        </is>
      </c>
      <c r="B243" s="10" t="inlineStr">
        <is>
          <t>202</t>
        </is>
      </c>
      <c r="C243" s="10" t="inlineStr">
        <is>
          <t>128</t>
        </is>
      </c>
      <c r="D243" s="10" t="inlineStr">
        <is>
          <t>129</t>
        </is>
      </c>
      <c r="E243" s="35" t="n">
        <v>3.65</v>
      </c>
      <c r="F243" s="35" t="n">
        <v>0</v>
      </c>
      <c r="G243" s="35" t="n">
        <v>4.425</v>
      </c>
      <c r="H243" s="35" t="n">
        <v>6.5</v>
      </c>
      <c r="I243" s="10" t="inlineStr">
        <is>
          <t>500×550</t>
        </is>
      </c>
      <c r="J243" s="10" t="n">
        <v>5</v>
      </c>
      <c r="K243" s="10" t="n">
        <v>5</v>
      </c>
      <c r="L243" s="10" t="n">
        <v>0</v>
      </c>
      <c r="M243" s="10" t="inlineStr">
        <is>
          <t>Nº3 cerrado</t>
        </is>
      </c>
      <c r="N243" s="10" t="n">
        <v>2</v>
      </c>
      <c r="O243" s="35" t="n">
        <v>80</v>
      </c>
      <c r="P243" s="35" t="n">
        <v>80</v>
      </c>
      <c r="Q243" s="35" t="n">
        <v>0.5288940770123722</v>
      </c>
      <c r="R243" s="10" t="inlineStr">
        <is>
          <t>SÍ</t>
        </is>
      </c>
      <c r="S243" s="15" t="inlineStr">
        <is>
          <t>CUMPLE</t>
        </is>
      </c>
      <c r="T243" s="3" t="inlineStr">
        <is>
          <t>coordinar con planta y reanálisis global</t>
        </is>
      </c>
    </row>
    <row r="244">
      <c r="A244" s="23" t="inlineStr">
        <is>
          <t>VR1</t>
        </is>
      </c>
      <c r="B244" s="10" t="inlineStr">
        <is>
          <t>203</t>
        </is>
      </c>
      <c r="C244" s="10" t="inlineStr">
        <is>
          <t>129</t>
        </is>
      </c>
      <c r="D244" s="10" t="inlineStr">
        <is>
          <t>130</t>
        </is>
      </c>
      <c r="E244" s="35" t="n">
        <v>2.6</v>
      </c>
      <c r="F244" s="35" t="n">
        <v>0</v>
      </c>
      <c r="G244" s="35" t="n">
        <v>7.55</v>
      </c>
      <c r="H244" s="35" t="n">
        <v>6.5</v>
      </c>
      <c r="I244" s="10" t="inlineStr">
        <is>
          <t>500×550</t>
        </is>
      </c>
      <c r="J244" s="10" t="n">
        <v>5</v>
      </c>
      <c r="K244" s="10" t="n">
        <v>5</v>
      </c>
      <c r="L244" s="10" t="n">
        <v>0</v>
      </c>
      <c r="M244" s="10" t="inlineStr">
        <is>
          <t>Nº4 cerrado</t>
        </is>
      </c>
      <c r="N244" s="10" t="n">
        <v>2</v>
      </c>
      <c r="O244" s="35" t="n">
        <v>90</v>
      </c>
      <c r="P244" s="35" t="n">
        <v>90</v>
      </c>
      <c r="Q244" s="35" t="n">
        <v>0.7068661822103515</v>
      </c>
      <c r="R244" s="10" t="inlineStr">
        <is>
          <t>SÍ</t>
        </is>
      </c>
      <c r="S244" s="15" t="inlineStr">
        <is>
          <t>CUMPLE</t>
        </is>
      </c>
      <c r="T244" s="3" t="inlineStr">
        <is>
          <t>coordinar con planta y reanálisis global</t>
        </is>
      </c>
    </row>
    <row r="245">
      <c r="A245" s="23" t="inlineStr">
        <is>
          <t>VR1</t>
        </is>
      </c>
      <c r="B245" s="10" t="inlineStr">
        <is>
          <t>204</t>
        </is>
      </c>
      <c r="C245" s="10" t="inlineStr">
        <is>
          <t>130</t>
        </is>
      </c>
      <c r="D245" s="10" t="inlineStr">
        <is>
          <t>131</t>
        </is>
      </c>
      <c r="E245" s="35" t="n">
        <v>2.5</v>
      </c>
      <c r="F245" s="35" t="n">
        <v>0</v>
      </c>
      <c r="G245" s="35" t="n">
        <v>10.1</v>
      </c>
      <c r="H245" s="35" t="n">
        <v>6.5</v>
      </c>
      <c r="I245" s="10" t="inlineStr">
        <is>
          <t>500×550</t>
        </is>
      </c>
      <c r="J245" s="10" t="n">
        <v>5</v>
      </c>
      <c r="K245" s="10" t="n">
        <v>5</v>
      </c>
      <c r="L245" s="10" t="n">
        <v>0</v>
      </c>
      <c r="M245" s="10" t="inlineStr">
        <is>
          <t>Nº4 cerrado</t>
        </is>
      </c>
      <c r="N245" s="10" t="n">
        <v>2</v>
      </c>
      <c r="O245" s="35" t="n">
        <v>80</v>
      </c>
      <c r="P245" s="35" t="n">
        <v>80</v>
      </c>
      <c r="Q245" s="35" t="n">
        <v>0.7632081195514328</v>
      </c>
      <c r="R245" s="10" t="inlineStr">
        <is>
          <t>SÍ</t>
        </is>
      </c>
      <c r="S245" s="15" t="inlineStr">
        <is>
          <t>CUMPLE</t>
        </is>
      </c>
      <c r="T245" s="3" t="inlineStr">
        <is>
          <t>coordinar con planta y reanálisis global</t>
        </is>
      </c>
    </row>
    <row r="246">
      <c r="A246" s="23" t="inlineStr">
        <is>
          <t>VR1</t>
        </is>
      </c>
      <c r="B246" s="10" t="inlineStr">
        <is>
          <t>205</t>
        </is>
      </c>
      <c r="C246" s="10" t="inlineStr">
        <is>
          <t>131</t>
        </is>
      </c>
      <c r="D246" s="10" t="inlineStr">
        <is>
          <t>132</t>
        </is>
      </c>
      <c r="E246" s="35" t="n">
        <v>4</v>
      </c>
      <c r="F246" s="35" t="n">
        <v>0</v>
      </c>
      <c r="G246" s="35" t="n">
        <v>13.35</v>
      </c>
      <c r="H246" s="35" t="n">
        <v>6.5</v>
      </c>
      <c r="I246" s="10" t="inlineStr">
        <is>
          <t>500×550</t>
        </is>
      </c>
      <c r="J246" s="10" t="n">
        <v>6</v>
      </c>
      <c r="K246" s="10" t="n">
        <v>5</v>
      </c>
      <c r="L246" s="10" t="n">
        <v>0</v>
      </c>
      <c r="M246" s="10" t="inlineStr">
        <is>
          <t>Nº3 cerrado</t>
        </is>
      </c>
      <c r="N246" s="10" t="n">
        <v>2</v>
      </c>
      <c r="O246" s="35" t="n">
        <v>90</v>
      </c>
      <c r="P246" s="35" t="n">
        <v>90</v>
      </c>
      <c r="Q246" s="35" t="n">
        <v>0.5092603757107567</v>
      </c>
      <c r="R246" s="10" t="inlineStr">
        <is>
          <t>SÍ</t>
        </is>
      </c>
      <c r="S246" s="15" t="inlineStr">
        <is>
          <t>CUMPLE</t>
        </is>
      </c>
      <c r="T246" s="3" t="inlineStr">
        <is>
          <t>coordinar con planta y reanálisis global</t>
        </is>
      </c>
    </row>
    <row r="247">
      <c r="A247" s="23" t="inlineStr">
        <is>
          <t>VR1</t>
        </is>
      </c>
      <c r="B247" s="10" t="inlineStr">
        <is>
          <t>206</t>
        </is>
      </c>
      <c r="C247" s="10" t="inlineStr">
        <is>
          <t>133</t>
        </is>
      </c>
      <c r="D247" s="10" t="inlineStr">
        <is>
          <t>134</t>
        </is>
      </c>
      <c r="E247" s="35" t="n">
        <v>4</v>
      </c>
      <c r="F247" s="35" t="n">
        <v>0</v>
      </c>
      <c r="G247" s="35" t="n">
        <v>22.85</v>
      </c>
      <c r="H247" s="35" t="n">
        <v>6.5</v>
      </c>
      <c r="I247" s="10" t="inlineStr">
        <is>
          <t>500×550</t>
        </is>
      </c>
      <c r="J247" s="10" t="n">
        <v>6</v>
      </c>
      <c r="K247" s="10" t="n">
        <v>5</v>
      </c>
      <c r="L247" s="10" t="n">
        <v>0</v>
      </c>
      <c r="M247" s="10" t="inlineStr">
        <is>
          <t>Nº3 cerrado</t>
        </is>
      </c>
      <c r="N247" s="10" t="n">
        <v>2</v>
      </c>
      <c r="O247" s="35" t="n">
        <v>90</v>
      </c>
      <c r="P247" s="35" t="n">
        <v>90</v>
      </c>
      <c r="Q247" s="35" t="n">
        <v>0.5094526659918538</v>
      </c>
      <c r="R247" s="10" t="inlineStr">
        <is>
          <t>SÍ</t>
        </is>
      </c>
      <c r="S247" s="15" t="inlineStr">
        <is>
          <t>CUMPLE</t>
        </is>
      </c>
      <c r="T247" s="3" t="inlineStr">
        <is>
          <t>coordinar con planta y reanálisis global</t>
        </is>
      </c>
    </row>
    <row r="248">
      <c r="A248" s="23" t="inlineStr">
        <is>
          <t>VR1</t>
        </is>
      </c>
      <c r="B248" s="10" t="inlineStr">
        <is>
          <t>207</t>
        </is>
      </c>
      <c r="C248" s="10" t="inlineStr">
        <is>
          <t>134</t>
        </is>
      </c>
      <c r="D248" s="10" t="inlineStr">
        <is>
          <t>135</t>
        </is>
      </c>
      <c r="E248" s="35" t="n">
        <v>2.5</v>
      </c>
      <c r="F248" s="35" t="n">
        <v>0</v>
      </c>
      <c r="G248" s="35" t="n">
        <v>26.1</v>
      </c>
      <c r="H248" s="35" t="n">
        <v>6.5</v>
      </c>
      <c r="I248" s="10" t="inlineStr">
        <is>
          <t>500×550</t>
        </is>
      </c>
      <c r="J248" s="10" t="n">
        <v>5</v>
      </c>
      <c r="K248" s="10" t="n">
        <v>5</v>
      </c>
      <c r="L248" s="10" t="n">
        <v>0</v>
      </c>
      <c r="M248" s="10" t="inlineStr">
        <is>
          <t>Nº4 cerrado</t>
        </is>
      </c>
      <c r="N248" s="10" t="n">
        <v>2</v>
      </c>
      <c r="O248" s="35" t="n">
        <v>80</v>
      </c>
      <c r="P248" s="35" t="n">
        <v>80</v>
      </c>
      <c r="Q248" s="35" t="n">
        <v>0.7633466177193418</v>
      </c>
      <c r="R248" s="10" t="inlineStr">
        <is>
          <t>SÍ</t>
        </is>
      </c>
      <c r="S248" s="15" t="inlineStr">
        <is>
          <t>CUMPLE</t>
        </is>
      </c>
      <c r="T248" s="3" t="inlineStr">
        <is>
          <t>coordinar con planta y reanálisis global</t>
        </is>
      </c>
    </row>
    <row r="249">
      <c r="A249" s="23" t="inlineStr">
        <is>
          <t>VR1</t>
        </is>
      </c>
      <c r="B249" s="10" t="inlineStr">
        <is>
          <t>208</t>
        </is>
      </c>
      <c r="C249" s="10" t="inlineStr">
        <is>
          <t>135</t>
        </is>
      </c>
      <c r="D249" s="10" t="inlineStr">
        <is>
          <t>136</t>
        </is>
      </c>
      <c r="E249" s="35" t="n">
        <v>2.6</v>
      </c>
      <c r="F249" s="35" t="n">
        <v>0</v>
      </c>
      <c r="G249" s="35" t="n">
        <v>28.65</v>
      </c>
      <c r="H249" s="35" t="n">
        <v>6.5</v>
      </c>
      <c r="I249" s="10" t="inlineStr">
        <is>
          <t>500×550</t>
        </is>
      </c>
      <c r="J249" s="10" t="n">
        <v>5</v>
      </c>
      <c r="K249" s="10" t="n">
        <v>5</v>
      </c>
      <c r="L249" s="10" t="n">
        <v>0</v>
      </c>
      <c r="M249" s="10" t="inlineStr">
        <is>
          <t>Nº4 cerrado</t>
        </is>
      </c>
      <c r="N249" s="10" t="n">
        <v>2</v>
      </c>
      <c r="O249" s="35" t="n">
        <v>90</v>
      </c>
      <c r="P249" s="35" t="n">
        <v>90</v>
      </c>
      <c r="Q249" s="35" t="n">
        <v>0.7067834901953468</v>
      </c>
      <c r="R249" s="10" t="inlineStr">
        <is>
          <t>SÍ</t>
        </is>
      </c>
      <c r="S249" s="15" t="inlineStr">
        <is>
          <t>CUMPLE</t>
        </is>
      </c>
      <c r="T249" s="3" t="inlineStr">
        <is>
          <t>coordinar con planta y reanálisis global</t>
        </is>
      </c>
    </row>
    <row r="250">
      <c r="A250" s="23" t="inlineStr">
        <is>
          <t>VR1</t>
        </is>
      </c>
      <c r="B250" s="10" t="inlineStr">
        <is>
          <t>209</t>
        </is>
      </c>
      <c r="C250" s="10" t="inlineStr">
        <is>
          <t>136</t>
        </is>
      </c>
      <c r="D250" s="10" t="inlineStr">
        <is>
          <t>137</t>
        </is>
      </c>
      <c r="E250" s="35" t="n">
        <v>3.65</v>
      </c>
      <c r="F250" s="35" t="n">
        <v>0</v>
      </c>
      <c r="G250" s="35" t="n">
        <v>31.775</v>
      </c>
      <c r="H250" s="35" t="n">
        <v>6.5</v>
      </c>
      <c r="I250" s="10" t="inlineStr">
        <is>
          <t>500×550</t>
        </is>
      </c>
      <c r="J250" s="10" t="n">
        <v>5</v>
      </c>
      <c r="K250" s="10" t="n">
        <v>5</v>
      </c>
      <c r="L250" s="10" t="n">
        <v>0</v>
      </c>
      <c r="M250" s="10" t="inlineStr">
        <is>
          <t>Nº3 cerrado</t>
        </is>
      </c>
      <c r="N250" s="10" t="n">
        <v>2</v>
      </c>
      <c r="O250" s="35" t="n">
        <v>80</v>
      </c>
      <c r="P250" s="35" t="n">
        <v>80</v>
      </c>
      <c r="Q250" s="35" t="n">
        <v>0.5289567901646295</v>
      </c>
      <c r="R250" s="10" t="inlineStr">
        <is>
          <t>SÍ</t>
        </is>
      </c>
      <c r="S250" s="15" t="inlineStr">
        <is>
          <t>CUMPLE</t>
        </is>
      </c>
      <c r="T250" s="3" t="inlineStr">
        <is>
          <t>coordinar con planta y reanálisis global</t>
        </is>
      </c>
    </row>
    <row r="251">
      <c r="A251" s="23" t="inlineStr">
        <is>
          <t>VR1</t>
        </is>
      </c>
      <c r="B251" s="10" t="inlineStr">
        <is>
          <t>210</t>
        </is>
      </c>
      <c r="C251" s="10" t="inlineStr">
        <is>
          <t>137</t>
        </is>
      </c>
      <c r="D251" s="10" t="inlineStr">
        <is>
          <t>138</t>
        </is>
      </c>
      <c r="E251" s="35" t="n">
        <v>2.6</v>
      </c>
      <c r="F251" s="35" t="n">
        <v>0</v>
      </c>
      <c r="G251" s="35" t="n">
        <v>34.9</v>
      </c>
      <c r="H251" s="35" t="n">
        <v>6.5</v>
      </c>
      <c r="I251" s="10" t="inlineStr">
        <is>
          <t>500×550</t>
        </is>
      </c>
      <c r="J251" s="10" t="n">
        <v>6</v>
      </c>
      <c r="K251" s="10" t="n">
        <v>5</v>
      </c>
      <c r="L251" s="10" t="n">
        <v>0</v>
      </c>
      <c r="M251" s="10" t="inlineStr">
        <is>
          <t>Nº4 cerrado</t>
        </is>
      </c>
      <c r="N251" s="10" t="n">
        <v>2</v>
      </c>
      <c r="O251" s="35" t="n">
        <v>90</v>
      </c>
      <c r="P251" s="35" t="n">
        <v>90</v>
      </c>
      <c r="Q251" s="35" t="n">
        <v>0.7254405143487708</v>
      </c>
      <c r="R251" s="10" t="inlineStr">
        <is>
          <t>SÍ</t>
        </is>
      </c>
      <c r="S251" s="15" t="inlineStr">
        <is>
          <t>CUMPLE</t>
        </is>
      </c>
      <c r="T251" s="3" t="inlineStr">
        <is>
          <t>coordinar con planta y reanálisis global</t>
        </is>
      </c>
    </row>
    <row r="252">
      <c r="A252" s="23" t="inlineStr">
        <is>
          <t>VR1</t>
        </is>
      </c>
      <c r="B252" s="10" t="inlineStr">
        <is>
          <t>245</t>
        </is>
      </c>
      <c r="C252" s="10" t="inlineStr">
        <is>
          <t>176</t>
        </is>
      </c>
      <c r="D252" s="10" t="inlineStr">
        <is>
          <t>177</t>
        </is>
      </c>
      <c r="E252" s="35" t="n">
        <v>2.6</v>
      </c>
      <c r="F252" s="35" t="n">
        <v>15.5</v>
      </c>
      <c r="G252" s="35" t="n">
        <v>1.3</v>
      </c>
      <c r="H252" s="35" t="n">
        <v>6.5</v>
      </c>
      <c r="I252" s="10" t="inlineStr">
        <is>
          <t>500×550</t>
        </is>
      </c>
      <c r="J252" s="10" t="n">
        <v>6</v>
      </c>
      <c r="K252" s="10" t="n">
        <v>5</v>
      </c>
      <c r="L252" s="10" t="n">
        <v>0</v>
      </c>
      <c r="M252" s="10" t="inlineStr">
        <is>
          <t>Nº4 cerrado</t>
        </is>
      </c>
      <c r="N252" s="10" t="n">
        <v>2</v>
      </c>
      <c r="O252" s="35" t="n">
        <v>90</v>
      </c>
      <c r="P252" s="35" t="n">
        <v>90</v>
      </c>
      <c r="Q252" s="35" t="n">
        <v>0.7253349461265881</v>
      </c>
      <c r="R252" s="10" t="inlineStr">
        <is>
          <t>SÍ</t>
        </is>
      </c>
      <c r="S252" s="15" t="inlineStr">
        <is>
          <t>CUMPLE</t>
        </is>
      </c>
      <c r="T252" s="3" t="inlineStr">
        <is>
          <t>coordinar con planta y reanálisis global</t>
        </is>
      </c>
    </row>
    <row r="253">
      <c r="A253" s="23" t="inlineStr">
        <is>
          <t>VR1</t>
        </is>
      </c>
      <c r="B253" s="10" t="inlineStr">
        <is>
          <t>246</t>
        </is>
      </c>
      <c r="C253" s="10" t="inlineStr">
        <is>
          <t>177</t>
        </is>
      </c>
      <c r="D253" s="10" t="inlineStr">
        <is>
          <t>178</t>
        </is>
      </c>
      <c r="E253" s="35" t="n">
        <v>3.65</v>
      </c>
      <c r="F253" s="35" t="n">
        <v>15.5</v>
      </c>
      <c r="G253" s="35" t="n">
        <v>4.425</v>
      </c>
      <c r="H253" s="35" t="n">
        <v>6.5</v>
      </c>
      <c r="I253" s="10" t="inlineStr">
        <is>
          <t>500×550</t>
        </is>
      </c>
      <c r="J253" s="10" t="n">
        <v>5</v>
      </c>
      <c r="K253" s="10" t="n">
        <v>5</v>
      </c>
      <c r="L253" s="10" t="n">
        <v>0</v>
      </c>
      <c r="M253" s="10" t="inlineStr">
        <is>
          <t>Nº3 cerrado</t>
        </is>
      </c>
      <c r="N253" s="10" t="n">
        <v>2</v>
      </c>
      <c r="O253" s="35" t="n">
        <v>80</v>
      </c>
      <c r="P253" s="35" t="n">
        <v>80</v>
      </c>
      <c r="Q253" s="35" t="n">
        <v>0.5288832833731671</v>
      </c>
      <c r="R253" s="10" t="inlineStr">
        <is>
          <t>SÍ</t>
        </is>
      </c>
      <c r="S253" s="15" t="inlineStr">
        <is>
          <t>CUMPLE</t>
        </is>
      </c>
      <c r="T253" s="3" t="inlineStr">
        <is>
          <t>coordinar con planta y reanálisis global</t>
        </is>
      </c>
    </row>
    <row r="254">
      <c r="A254" s="23" t="inlineStr">
        <is>
          <t>VR1</t>
        </is>
      </c>
      <c r="B254" s="10" t="inlineStr">
        <is>
          <t>247</t>
        </is>
      </c>
      <c r="C254" s="10" t="inlineStr">
        <is>
          <t>178</t>
        </is>
      </c>
      <c r="D254" s="10" t="inlineStr">
        <is>
          <t>179</t>
        </is>
      </c>
      <c r="E254" s="35" t="n">
        <v>2.6</v>
      </c>
      <c r="F254" s="35" t="n">
        <v>15.5</v>
      </c>
      <c r="G254" s="35" t="n">
        <v>7.55</v>
      </c>
      <c r="H254" s="35" t="n">
        <v>6.5</v>
      </c>
      <c r="I254" s="10" t="inlineStr">
        <is>
          <t>500×550</t>
        </is>
      </c>
      <c r="J254" s="10" t="n">
        <v>5</v>
      </c>
      <c r="K254" s="10" t="n">
        <v>5</v>
      </c>
      <c r="L254" s="10" t="n">
        <v>0</v>
      </c>
      <c r="M254" s="10" t="inlineStr">
        <is>
          <t>Nº4 cerrado</t>
        </is>
      </c>
      <c r="N254" s="10" t="n">
        <v>2</v>
      </c>
      <c r="O254" s="35" t="n">
        <v>90</v>
      </c>
      <c r="P254" s="35" t="n">
        <v>90</v>
      </c>
      <c r="Q254" s="35" t="n">
        <v>0.7068834740620209</v>
      </c>
      <c r="R254" s="10" t="inlineStr">
        <is>
          <t>SÍ</t>
        </is>
      </c>
      <c r="S254" s="15" t="inlineStr">
        <is>
          <t>CUMPLE</t>
        </is>
      </c>
      <c r="T254" s="3" t="inlineStr">
        <is>
          <t>coordinar con planta y reanálisis global</t>
        </is>
      </c>
    </row>
    <row r="255">
      <c r="A255" s="23" t="inlineStr">
        <is>
          <t>VR1</t>
        </is>
      </c>
      <c r="B255" s="10" t="inlineStr">
        <is>
          <t>248</t>
        </is>
      </c>
      <c r="C255" s="10" t="inlineStr">
        <is>
          <t>179</t>
        </is>
      </c>
      <c r="D255" s="10" t="inlineStr">
        <is>
          <t>180</t>
        </is>
      </c>
      <c r="E255" s="35" t="n">
        <v>2.5</v>
      </c>
      <c r="F255" s="35" t="n">
        <v>15.5</v>
      </c>
      <c r="G255" s="35" t="n">
        <v>10.1</v>
      </c>
      <c r="H255" s="35" t="n">
        <v>6.5</v>
      </c>
      <c r="I255" s="10" t="inlineStr">
        <is>
          <t>500×550</t>
        </is>
      </c>
      <c r="J255" s="10" t="n">
        <v>5</v>
      </c>
      <c r="K255" s="10" t="n">
        <v>5</v>
      </c>
      <c r="L255" s="10" t="n">
        <v>0</v>
      </c>
      <c r="M255" s="10" t="inlineStr">
        <is>
          <t>Nº4 cerrado</t>
        </is>
      </c>
      <c r="N255" s="10" t="n">
        <v>2</v>
      </c>
      <c r="O255" s="35" t="n">
        <v>80</v>
      </c>
      <c r="P255" s="35" t="n">
        <v>80</v>
      </c>
      <c r="Q255" s="35" t="n">
        <v>0.7631928007209899</v>
      </c>
      <c r="R255" s="10" t="inlineStr">
        <is>
          <t>SÍ</t>
        </is>
      </c>
      <c r="S255" s="15" t="inlineStr">
        <is>
          <t>CUMPLE</t>
        </is>
      </c>
      <c r="T255" s="3" t="inlineStr">
        <is>
          <t>coordinar con planta y reanálisis global</t>
        </is>
      </c>
    </row>
    <row r="256">
      <c r="A256" s="23" t="inlineStr">
        <is>
          <t>VR1</t>
        </is>
      </c>
      <c r="B256" s="10" t="inlineStr">
        <is>
          <t>249</t>
        </is>
      </c>
      <c r="C256" s="10" t="inlineStr">
        <is>
          <t>180</t>
        </is>
      </c>
      <c r="D256" s="10" t="inlineStr">
        <is>
          <t>181</t>
        </is>
      </c>
      <c r="E256" s="35" t="n">
        <v>4</v>
      </c>
      <c r="F256" s="35" t="n">
        <v>15.5</v>
      </c>
      <c r="G256" s="35" t="n">
        <v>13.35</v>
      </c>
      <c r="H256" s="35" t="n">
        <v>6.5</v>
      </c>
      <c r="I256" s="10" t="inlineStr">
        <is>
          <t>500×550</t>
        </is>
      </c>
      <c r="J256" s="10" t="n">
        <v>6</v>
      </c>
      <c r="K256" s="10" t="n">
        <v>5</v>
      </c>
      <c r="L256" s="10" t="n">
        <v>0</v>
      </c>
      <c r="M256" s="10" t="inlineStr">
        <is>
          <t>Nº3 cerrado</t>
        </is>
      </c>
      <c r="N256" s="10" t="n">
        <v>2</v>
      </c>
      <c r="O256" s="35" t="n">
        <v>90</v>
      </c>
      <c r="P256" s="35" t="n">
        <v>90</v>
      </c>
      <c r="Q256" s="35" t="n">
        <v>0.5092538894476795</v>
      </c>
      <c r="R256" s="10" t="inlineStr">
        <is>
          <t>SÍ</t>
        </is>
      </c>
      <c r="S256" s="15" t="inlineStr">
        <is>
          <t>CUMPLE</t>
        </is>
      </c>
      <c r="T256" s="3" t="inlineStr">
        <is>
          <t>coordinar con planta y reanálisis global</t>
        </is>
      </c>
    </row>
    <row r="257">
      <c r="A257" s="23" t="inlineStr">
        <is>
          <t>VR1</t>
        </is>
      </c>
      <c r="B257" s="10" t="inlineStr">
        <is>
          <t>250</t>
        </is>
      </c>
      <c r="C257" s="10" t="inlineStr">
        <is>
          <t>182</t>
        </is>
      </c>
      <c r="D257" s="10" t="inlineStr">
        <is>
          <t>183</t>
        </is>
      </c>
      <c r="E257" s="35" t="n">
        <v>4</v>
      </c>
      <c r="F257" s="35" t="n">
        <v>15.5</v>
      </c>
      <c r="G257" s="35" t="n">
        <v>22.85</v>
      </c>
      <c r="H257" s="35" t="n">
        <v>6.5</v>
      </c>
      <c r="I257" s="10" t="inlineStr">
        <is>
          <t>500×550</t>
        </is>
      </c>
      <c r="J257" s="10" t="n">
        <v>6</v>
      </c>
      <c r="K257" s="10" t="n">
        <v>5</v>
      </c>
      <c r="L257" s="10" t="n">
        <v>0</v>
      </c>
      <c r="M257" s="10" t="inlineStr">
        <is>
          <t>Nº3 cerrado</t>
        </is>
      </c>
      <c r="N257" s="10" t="n">
        <v>2</v>
      </c>
      <c r="O257" s="35" t="n">
        <v>90</v>
      </c>
      <c r="P257" s="35" t="n">
        <v>90</v>
      </c>
      <c r="Q257" s="35" t="n">
        <v>0.509459942801292</v>
      </c>
      <c r="R257" s="10" t="inlineStr">
        <is>
          <t>SÍ</t>
        </is>
      </c>
      <c r="S257" s="15" t="inlineStr">
        <is>
          <t>CUMPLE</t>
        </is>
      </c>
      <c r="T257" s="3" t="inlineStr">
        <is>
          <t>coordinar con planta y reanálisis global</t>
        </is>
      </c>
    </row>
    <row r="258">
      <c r="A258" s="23" t="inlineStr">
        <is>
          <t>VR1</t>
        </is>
      </c>
      <c r="B258" s="10" t="inlineStr">
        <is>
          <t>251</t>
        </is>
      </c>
      <c r="C258" s="10" t="inlineStr">
        <is>
          <t>183</t>
        </is>
      </c>
      <c r="D258" s="10" t="inlineStr">
        <is>
          <t>184</t>
        </is>
      </c>
      <c r="E258" s="35" t="n">
        <v>2.5</v>
      </c>
      <c r="F258" s="35" t="n">
        <v>15.5</v>
      </c>
      <c r="G258" s="35" t="n">
        <v>26.1</v>
      </c>
      <c r="H258" s="35" t="n">
        <v>6.5</v>
      </c>
      <c r="I258" s="10" t="inlineStr">
        <is>
          <t>500×550</t>
        </is>
      </c>
      <c r="J258" s="10" t="n">
        <v>5</v>
      </c>
      <c r="K258" s="10" t="n">
        <v>5</v>
      </c>
      <c r="L258" s="10" t="n">
        <v>0</v>
      </c>
      <c r="M258" s="10" t="inlineStr">
        <is>
          <t>Nº4 cerrado</t>
        </is>
      </c>
      <c r="N258" s="10" t="n">
        <v>2</v>
      </c>
      <c r="O258" s="35" t="n">
        <v>80</v>
      </c>
      <c r="P258" s="35" t="n">
        <v>80</v>
      </c>
      <c r="Q258" s="35" t="n">
        <v>0.7633605188220752</v>
      </c>
      <c r="R258" s="10" t="inlineStr">
        <is>
          <t>SÍ</t>
        </is>
      </c>
      <c r="S258" s="15" t="inlineStr">
        <is>
          <t>CUMPLE</t>
        </is>
      </c>
      <c r="T258" s="3" t="inlineStr">
        <is>
          <t>coordinar con planta y reanálisis global</t>
        </is>
      </c>
    </row>
    <row r="259">
      <c r="A259" s="23" t="inlineStr">
        <is>
          <t>VR1</t>
        </is>
      </c>
      <c r="B259" s="10" t="inlineStr">
        <is>
          <t>252</t>
        </is>
      </c>
      <c r="C259" s="10" t="inlineStr">
        <is>
          <t>184</t>
        </is>
      </c>
      <c r="D259" s="10" t="inlineStr">
        <is>
          <t>185</t>
        </is>
      </c>
      <c r="E259" s="35" t="n">
        <v>2.6</v>
      </c>
      <c r="F259" s="35" t="n">
        <v>15.5</v>
      </c>
      <c r="G259" s="35" t="n">
        <v>28.65</v>
      </c>
      <c r="H259" s="35" t="n">
        <v>6.5</v>
      </c>
      <c r="I259" s="10" t="inlineStr">
        <is>
          <t>500×550</t>
        </is>
      </c>
      <c r="J259" s="10" t="n">
        <v>5</v>
      </c>
      <c r="K259" s="10" t="n">
        <v>5</v>
      </c>
      <c r="L259" s="10" t="n">
        <v>0</v>
      </c>
      <c r="M259" s="10" t="inlineStr">
        <is>
          <t>Nº4 cerrado</t>
        </is>
      </c>
      <c r="N259" s="10" t="n">
        <v>2</v>
      </c>
      <c r="O259" s="35" t="n">
        <v>90</v>
      </c>
      <c r="P259" s="35" t="n">
        <v>90</v>
      </c>
      <c r="Q259" s="35" t="n">
        <v>0.7067684200591767</v>
      </c>
      <c r="R259" s="10" t="inlineStr">
        <is>
          <t>SÍ</t>
        </is>
      </c>
      <c r="S259" s="15" t="inlineStr">
        <is>
          <t>CUMPLE</t>
        </is>
      </c>
      <c r="T259" s="3" t="inlineStr">
        <is>
          <t>coordinar con planta y reanálisis global</t>
        </is>
      </c>
    </row>
    <row r="260">
      <c r="A260" s="23" t="inlineStr">
        <is>
          <t>VR1</t>
        </is>
      </c>
      <c r="B260" s="10" t="inlineStr">
        <is>
          <t>253</t>
        </is>
      </c>
      <c r="C260" s="10" t="inlineStr">
        <is>
          <t>185</t>
        </is>
      </c>
      <c r="D260" s="10" t="inlineStr">
        <is>
          <t>186</t>
        </is>
      </c>
      <c r="E260" s="35" t="n">
        <v>3.65</v>
      </c>
      <c r="F260" s="35" t="n">
        <v>15.5</v>
      </c>
      <c r="G260" s="35" t="n">
        <v>31.775</v>
      </c>
      <c r="H260" s="35" t="n">
        <v>6.5</v>
      </c>
      <c r="I260" s="10" t="inlineStr">
        <is>
          <t>500×550</t>
        </is>
      </c>
      <c r="J260" s="10" t="n">
        <v>5</v>
      </c>
      <c r="K260" s="10" t="n">
        <v>5</v>
      </c>
      <c r="L260" s="10" t="n">
        <v>0</v>
      </c>
      <c r="M260" s="10" t="inlineStr">
        <is>
          <t>Nº3 cerrado</t>
        </is>
      </c>
      <c r="N260" s="10" t="n">
        <v>2</v>
      </c>
      <c r="O260" s="35" t="n">
        <v>80</v>
      </c>
      <c r="P260" s="35" t="n">
        <v>80</v>
      </c>
      <c r="Q260" s="35" t="n">
        <v>0.5289652525053877</v>
      </c>
      <c r="R260" s="10" t="inlineStr">
        <is>
          <t>SÍ</t>
        </is>
      </c>
      <c r="S260" s="15" t="inlineStr">
        <is>
          <t>CUMPLE</t>
        </is>
      </c>
      <c r="T260" s="3" t="inlineStr">
        <is>
          <t>coordinar con planta y reanálisis global</t>
        </is>
      </c>
    </row>
    <row r="261">
      <c r="A261" s="23" t="inlineStr">
        <is>
          <t>VR1</t>
        </is>
      </c>
      <c r="B261" s="10" t="inlineStr">
        <is>
          <t>254</t>
        </is>
      </c>
      <c r="C261" s="10" t="inlineStr">
        <is>
          <t>186</t>
        </is>
      </c>
      <c r="D261" s="10" t="inlineStr">
        <is>
          <t>187</t>
        </is>
      </c>
      <c r="E261" s="35" t="n">
        <v>2.6</v>
      </c>
      <c r="F261" s="35" t="n">
        <v>15.5</v>
      </c>
      <c r="G261" s="35" t="n">
        <v>34.9</v>
      </c>
      <c r="H261" s="35" t="n">
        <v>6.5</v>
      </c>
      <c r="I261" s="10" t="inlineStr">
        <is>
          <t>500×550</t>
        </is>
      </c>
      <c r="J261" s="10" t="n">
        <v>6</v>
      </c>
      <c r="K261" s="10" t="n">
        <v>5</v>
      </c>
      <c r="L261" s="10" t="n">
        <v>0</v>
      </c>
      <c r="M261" s="10" t="inlineStr">
        <is>
          <t>Nº4 cerrado</t>
        </is>
      </c>
      <c r="N261" s="10" t="n">
        <v>2</v>
      </c>
      <c r="O261" s="35" t="n">
        <v>90</v>
      </c>
      <c r="P261" s="35" t="n">
        <v>90</v>
      </c>
      <c r="Q261" s="35" t="n">
        <v>0.7254531198457113</v>
      </c>
      <c r="R261" s="10" t="inlineStr">
        <is>
          <t>SÍ</t>
        </is>
      </c>
      <c r="S261" s="15" t="inlineStr">
        <is>
          <t>CUMPLE</t>
        </is>
      </c>
      <c r="T261" s="3" t="inlineStr">
        <is>
          <t>coordinar con planta y reanálisis global</t>
        </is>
      </c>
    </row>
    <row r="262">
      <c r="A262" s="23" t="inlineStr">
        <is>
          <t>VR1</t>
        </is>
      </c>
      <c r="B262" s="10" t="inlineStr">
        <is>
          <t>759</t>
        </is>
      </c>
      <c r="C262" s="10" t="inlineStr">
        <is>
          <t>491</t>
        </is>
      </c>
      <c r="D262" s="10" t="inlineStr">
        <is>
          <t>492</t>
        </is>
      </c>
      <c r="E262" s="35" t="n">
        <v>2.6</v>
      </c>
      <c r="F262" s="35" t="n">
        <v>0</v>
      </c>
      <c r="G262" s="35" t="n">
        <v>1.3</v>
      </c>
      <c r="H262" s="35" t="n">
        <v>9.5</v>
      </c>
      <c r="I262" s="10" t="inlineStr">
        <is>
          <t>500×550</t>
        </is>
      </c>
      <c r="J262" s="10" t="n">
        <v>5</v>
      </c>
      <c r="K262" s="10" t="n">
        <v>5</v>
      </c>
      <c r="L262" s="10" t="n">
        <v>0</v>
      </c>
      <c r="M262" s="10" t="inlineStr">
        <is>
          <t>Nº3 cerrado</t>
        </is>
      </c>
      <c r="N262" s="10" t="n">
        <v>2</v>
      </c>
      <c r="O262" s="35" t="n">
        <v>80</v>
      </c>
      <c r="P262" s="35" t="n">
        <v>80</v>
      </c>
      <c r="Q262" s="35" t="n">
        <v>0.5339374125854059</v>
      </c>
      <c r="R262" s="10" t="inlineStr">
        <is>
          <t>SÍ</t>
        </is>
      </c>
      <c r="S262" s="15" t="inlineStr">
        <is>
          <t>CUMPLE</t>
        </is>
      </c>
      <c r="T262" s="3" t="inlineStr">
        <is>
          <t>coordinar con planta y reanálisis global</t>
        </is>
      </c>
    </row>
    <row r="263">
      <c r="A263" s="23" t="inlineStr">
        <is>
          <t>VR1</t>
        </is>
      </c>
      <c r="B263" s="10" t="inlineStr">
        <is>
          <t>760</t>
        </is>
      </c>
      <c r="C263" s="10" t="inlineStr">
        <is>
          <t>492</t>
        </is>
      </c>
      <c r="D263" s="10" t="inlineStr">
        <is>
          <t>493</t>
        </is>
      </c>
      <c r="E263" s="35" t="n">
        <v>3.65</v>
      </c>
      <c r="F263" s="35" t="n">
        <v>0</v>
      </c>
      <c r="G263" s="35" t="n">
        <v>4.425</v>
      </c>
      <c r="H263" s="35" t="n">
        <v>9.5</v>
      </c>
      <c r="I263" s="10" t="inlineStr">
        <is>
          <t>500×550</t>
        </is>
      </c>
      <c r="J263" s="10" t="n">
        <v>5</v>
      </c>
      <c r="K263" s="10" t="n">
        <v>5</v>
      </c>
      <c r="L263" s="10" t="n">
        <v>0</v>
      </c>
      <c r="M263" s="10" t="inlineStr">
        <is>
          <t>Nº3 cerrado</t>
        </is>
      </c>
      <c r="N263" s="10" t="n">
        <v>2</v>
      </c>
      <c r="O263" s="35" t="n">
        <v>110</v>
      </c>
      <c r="P263" s="35" t="n">
        <v>110</v>
      </c>
      <c r="Q263" s="35" t="n">
        <v>0.4477075328539435</v>
      </c>
      <c r="R263" s="10" t="inlineStr">
        <is>
          <t>SÍ</t>
        </is>
      </c>
      <c r="S263" s="15" t="inlineStr">
        <is>
          <t>CUMPLE</t>
        </is>
      </c>
      <c r="T263" s="3" t="inlineStr">
        <is>
          <t>coordinar con planta y reanálisis global</t>
        </is>
      </c>
    </row>
    <row r="264">
      <c r="A264" s="23" t="inlineStr">
        <is>
          <t>VR1</t>
        </is>
      </c>
      <c r="B264" s="10" t="inlineStr">
        <is>
          <t>761</t>
        </is>
      </c>
      <c r="C264" s="10" t="inlineStr">
        <is>
          <t>493</t>
        </is>
      </c>
      <c r="D264" s="10" t="inlineStr">
        <is>
          <t>494</t>
        </is>
      </c>
      <c r="E264" s="35" t="n">
        <v>2.6</v>
      </c>
      <c r="F264" s="35" t="n">
        <v>0</v>
      </c>
      <c r="G264" s="35" t="n">
        <v>7.55</v>
      </c>
      <c r="H264" s="35" t="n">
        <v>9.5</v>
      </c>
      <c r="I264" s="10" t="inlineStr">
        <is>
          <t>500×550</t>
        </is>
      </c>
      <c r="J264" s="10" t="n">
        <v>5</v>
      </c>
      <c r="K264" s="10" t="n">
        <v>5</v>
      </c>
      <c r="L264" s="10" t="n">
        <v>0</v>
      </c>
      <c r="M264" s="10" t="inlineStr">
        <is>
          <t>Nº4 cerrado</t>
        </is>
      </c>
      <c r="N264" s="10" t="n">
        <v>2</v>
      </c>
      <c r="O264" s="35" t="n">
        <v>120</v>
      </c>
      <c r="P264" s="35" t="n">
        <v>140</v>
      </c>
      <c r="Q264" s="35" t="n">
        <v>0.5475937780279865</v>
      </c>
      <c r="R264" s="10" t="inlineStr">
        <is>
          <t>SÍ</t>
        </is>
      </c>
      <c r="S264" s="15" t="inlineStr">
        <is>
          <t>CUMPLE</t>
        </is>
      </c>
      <c r="T264" s="3" t="inlineStr">
        <is>
          <t>coordinar con planta y reanálisis global</t>
        </is>
      </c>
    </row>
    <row r="265">
      <c r="A265" s="23" t="inlineStr">
        <is>
          <t>VR1</t>
        </is>
      </c>
      <c r="B265" s="10" t="inlineStr">
        <is>
          <t>762</t>
        </is>
      </c>
      <c r="C265" s="10" t="inlineStr">
        <is>
          <t>494</t>
        </is>
      </c>
      <c r="D265" s="10" t="inlineStr">
        <is>
          <t>495</t>
        </is>
      </c>
      <c r="E265" s="35" t="n">
        <v>2.5</v>
      </c>
      <c r="F265" s="35" t="n">
        <v>0</v>
      </c>
      <c r="G265" s="35" t="n">
        <v>10.1</v>
      </c>
      <c r="H265" s="35" t="n">
        <v>9.5</v>
      </c>
      <c r="I265" s="10" t="inlineStr">
        <is>
          <t>500×550</t>
        </is>
      </c>
      <c r="J265" s="10" t="n">
        <v>5</v>
      </c>
      <c r="K265" s="10" t="n">
        <v>5</v>
      </c>
      <c r="L265" s="10" t="n">
        <v>0</v>
      </c>
      <c r="M265" s="10" t="inlineStr">
        <is>
          <t>Nº4 cerrado</t>
        </is>
      </c>
      <c r="N265" s="10" t="n">
        <v>2</v>
      </c>
      <c r="O265" s="35" t="n">
        <v>120</v>
      </c>
      <c r="P265" s="35" t="n">
        <v>120</v>
      </c>
      <c r="Q265" s="35" t="n">
        <v>0.5953857025166257</v>
      </c>
      <c r="R265" s="10" t="inlineStr">
        <is>
          <t>SÍ</t>
        </is>
      </c>
      <c r="S265" s="15" t="inlineStr">
        <is>
          <t>CUMPLE</t>
        </is>
      </c>
      <c r="T265" s="3" t="inlineStr">
        <is>
          <t>coordinar con planta y reanálisis global</t>
        </is>
      </c>
    </row>
    <row r="266">
      <c r="A266" s="23" t="inlineStr">
        <is>
          <t>VR1</t>
        </is>
      </c>
      <c r="B266" s="10" t="inlineStr">
        <is>
          <t>763</t>
        </is>
      </c>
      <c r="C266" s="10" t="inlineStr">
        <is>
          <t>495</t>
        </is>
      </c>
      <c r="D266" s="10" t="inlineStr">
        <is>
          <t>496</t>
        </is>
      </c>
      <c r="E266" s="35" t="n">
        <v>4</v>
      </c>
      <c r="F266" s="35" t="n">
        <v>0</v>
      </c>
      <c r="G266" s="35" t="n">
        <v>13.35</v>
      </c>
      <c r="H266" s="35" t="n">
        <v>9.5</v>
      </c>
      <c r="I266" s="10" t="inlineStr">
        <is>
          <t>500×550</t>
        </is>
      </c>
      <c r="J266" s="10" t="n">
        <v>5</v>
      </c>
      <c r="K266" s="10" t="n">
        <v>5</v>
      </c>
      <c r="L266" s="10" t="n">
        <v>0</v>
      </c>
      <c r="M266" s="10" t="inlineStr">
        <is>
          <t>Nº3 cerrado</t>
        </is>
      </c>
      <c r="N266" s="10" t="n">
        <v>2</v>
      </c>
      <c r="O266" s="35" t="n">
        <v>120</v>
      </c>
      <c r="P266" s="35" t="n">
        <v>130</v>
      </c>
      <c r="Q266" s="35" t="n">
        <v>0.4134872834209687</v>
      </c>
      <c r="R266" s="10" t="inlineStr">
        <is>
          <t>SÍ</t>
        </is>
      </c>
      <c r="S266" s="15" t="inlineStr">
        <is>
          <t>CUMPLE</t>
        </is>
      </c>
      <c r="T266" s="3" t="inlineStr">
        <is>
          <t>coordinar con planta y reanálisis global</t>
        </is>
      </c>
    </row>
    <row r="267">
      <c r="A267" s="23" t="inlineStr">
        <is>
          <t>VR1</t>
        </is>
      </c>
      <c r="B267" s="10" t="inlineStr">
        <is>
          <t>764</t>
        </is>
      </c>
      <c r="C267" s="10" t="inlineStr">
        <is>
          <t>497</t>
        </is>
      </c>
      <c r="D267" s="10" t="inlineStr">
        <is>
          <t>498</t>
        </is>
      </c>
      <c r="E267" s="35" t="n">
        <v>4</v>
      </c>
      <c r="F267" s="35" t="n">
        <v>0</v>
      </c>
      <c r="G267" s="35" t="n">
        <v>22.85</v>
      </c>
      <c r="H267" s="35" t="n">
        <v>9.5</v>
      </c>
      <c r="I267" s="10" t="inlineStr">
        <is>
          <t>500×550</t>
        </is>
      </c>
      <c r="J267" s="10" t="n">
        <v>5</v>
      </c>
      <c r="K267" s="10" t="n">
        <v>5</v>
      </c>
      <c r="L267" s="10" t="n">
        <v>0</v>
      </c>
      <c r="M267" s="10" t="inlineStr">
        <is>
          <t>Nº3 cerrado</t>
        </is>
      </c>
      <c r="N267" s="10" t="n">
        <v>2</v>
      </c>
      <c r="O267" s="35" t="n">
        <v>120</v>
      </c>
      <c r="P267" s="35" t="n">
        <v>130</v>
      </c>
      <c r="Q267" s="35" t="n">
        <v>0.4138146429099606</v>
      </c>
      <c r="R267" s="10" t="inlineStr">
        <is>
          <t>SÍ</t>
        </is>
      </c>
      <c r="S267" s="15" t="inlineStr">
        <is>
          <t>CUMPLE</t>
        </is>
      </c>
      <c r="T267" s="3" t="inlineStr">
        <is>
          <t>coordinar con planta y reanálisis global</t>
        </is>
      </c>
    </row>
    <row r="268">
      <c r="A268" s="23" t="inlineStr">
        <is>
          <t>VR1</t>
        </is>
      </c>
      <c r="B268" s="10" t="inlineStr">
        <is>
          <t>765</t>
        </is>
      </c>
      <c r="C268" s="10" t="inlineStr">
        <is>
          <t>498</t>
        </is>
      </c>
      <c r="D268" s="10" t="inlineStr">
        <is>
          <t>499</t>
        </is>
      </c>
      <c r="E268" s="35" t="n">
        <v>2.5</v>
      </c>
      <c r="F268" s="35" t="n">
        <v>0</v>
      </c>
      <c r="G268" s="35" t="n">
        <v>26.1</v>
      </c>
      <c r="H268" s="35" t="n">
        <v>9.5</v>
      </c>
      <c r="I268" s="10" t="inlineStr">
        <is>
          <t>500×550</t>
        </is>
      </c>
      <c r="J268" s="10" t="n">
        <v>5</v>
      </c>
      <c r="K268" s="10" t="n">
        <v>5</v>
      </c>
      <c r="L268" s="10" t="n">
        <v>0</v>
      </c>
      <c r="M268" s="10" t="inlineStr">
        <is>
          <t>Nº4 cerrado</t>
        </is>
      </c>
      <c r="N268" s="10" t="n">
        <v>2</v>
      </c>
      <c r="O268" s="35" t="n">
        <v>120</v>
      </c>
      <c r="P268" s="35" t="n">
        <v>120</v>
      </c>
      <c r="Q268" s="35" t="n">
        <v>0.5955619321469918</v>
      </c>
      <c r="R268" s="10" t="inlineStr">
        <is>
          <t>SÍ</t>
        </is>
      </c>
      <c r="S268" s="15" t="inlineStr">
        <is>
          <t>CUMPLE</t>
        </is>
      </c>
      <c r="T268" s="3" t="inlineStr">
        <is>
          <t>coordinar con planta y reanálisis global</t>
        </is>
      </c>
    </row>
    <row r="269">
      <c r="A269" s="23" t="inlineStr">
        <is>
          <t>VR1</t>
        </is>
      </c>
      <c r="B269" s="10" t="inlineStr">
        <is>
          <t>766</t>
        </is>
      </c>
      <c r="C269" s="10" t="inlineStr">
        <is>
          <t>499</t>
        </is>
      </c>
      <c r="D269" s="10" t="inlineStr">
        <is>
          <t>500</t>
        </is>
      </c>
      <c r="E269" s="35" t="n">
        <v>2.6</v>
      </c>
      <c r="F269" s="35" t="n">
        <v>0</v>
      </c>
      <c r="G269" s="35" t="n">
        <v>28.65</v>
      </c>
      <c r="H269" s="35" t="n">
        <v>9.5</v>
      </c>
      <c r="I269" s="10" t="inlineStr">
        <is>
          <t>500×550</t>
        </is>
      </c>
      <c r="J269" s="10" t="n">
        <v>5</v>
      </c>
      <c r="K269" s="10" t="n">
        <v>5</v>
      </c>
      <c r="L269" s="10" t="n">
        <v>0</v>
      </c>
      <c r="M269" s="10" t="inlineStr">
        <is>
          <t>Nº4 cerrado</t>
        </is>
      </c>
      <c r="N269" s="10" t="n">
        <v>2</v>
      </c>
      <c r="O269" s="35" t="n">
        <v>120</v>
      </c>
      <c r="P269" s="35" t="n">
        <v>140</v>
      </c>
      <c r="Q269" s="35" t="n">
        <v>0.5474886094731394</v>
      </c>
      <c r="R269" s="10" t="inlineStr">
        <is>
          <t>SÍ</t>
        </is>
      </c>
      <c r="S269" s="15" t="inlineStr">
        <is>
          <t>CUMPLE</t>
        </is>
      </c>
      <c r="T269" s="3" t="inlineStr">
        <is>
          <t>coordinar con planta y reanálisis global</t>
        </is>
      </c>
    </row>
    <row r="270">
      <c r="A270" s="23" t="inlineStr">
        <is>
          <t>VR1</t>
        </is>
      </c>
      <c r="B270" s="10" t="inlineStr">
        <is>
          <t>767</t>
        </is>
      </c>
      <c r="C270" s="10" t="inlineStr">
        <is>
          <t>500</t>
        </is>
      </c>
      <c r="D270" s="10" t="inlineStr">
        <is>
          <t>501</t>
        </is>
      </c>
      <c r="E270" s="35" t="n">
        <v>3.65</v>
      </c>
      <c r="F270" s="35" t="n">
        <v>0</v>
      </c>
      <c r="G270" s="35" t="n">
        <v>31.775</v>
      </c>
      <c r="H270" s="35" t="n">
        <v>9.5</v>
      </c>
      <c r="I270" s="10" t="inlineStr">
        <is>
          <t>500×550</t>
        </is>
      </c>
      <c r="J270" s="10" t="n">
        <v>5</v>
      </c>
      <c r="K270" s="10" t="n">
        <v>5</v>
      </c>
      <c r="L270" s="10" t="n">
        <v>0</v>
      </c>
      <c r="M270" s="10" t="inlineStr">
        <is>
          <t>Nº3 cerrado</t>
        </is>
      </c>
      <c r="N270" s="10" t="n">
        <v>2</v>
      </c>
      <c r="O270" s="35" t="n">
        <v>110</v>
      </c>
      <c r="P270" s="35" t="n">
        <v>110</v>
      </c>
      <c r="Q270" s="35" t="n">
        <v>0.447787615705465</v>
      </c>
      <c r="R270" s="10" t="inlineStr">
        <is>
          <t>SÍ</t>
        </is>
      </c>
      <c r="S270" s="15" t="inlineStr">
        <is>
          <t>CUMPLE</t>
        </is>
      </c>
      <c r="T270" s="3" t="inlineStr">
        <is>
          <t>coordinar con planta y reanálisis global</t>
        </is>
      </c>
    </row>
    <row r="271">
      <c r="A271" s="23" t="inlineStr">
        <is>
          <t>VR1</t>
        </is>
      </c>
      <c r="B271" s="10" t="inlineStr">
        <is>
          <t>768</t>
        </is>
      </c>
      <c r="C271" s="10" t="inlineStr">
        <is>
          <t>501</t>
        </is>
      </c>
      <c r="D271" s="10" t="inlineStr">
        <is>
          <t>502</t>
        </is>
      </c>
      <c r="E271" s="35" t="n">
        <v>2.6</v>
      </c>
      <c r="F271" s="35" t="n">
        <v>0</v>
      </c>
      <c r="G271" s="35" t="n">
        <v>34.9</v>
      </c>
      <c r="H271" s="35" t="n">
        <v>9.5</v>
      </c>
      <c r="I271" s="10" t="inlineStr">
        <is>
          <t>500×550</t>
        </is>
      </c>
      <c r="J271" s="10" t="n">
        <v>5</v>
      </c>
      <c r="K271" s="10" t="n">
        <v>5</v>
      </c>
      <c r="L271" s="10" t="n">
        <v>0</v>
      </c>
      <c r="M271" s="10" t="inlineStr">
        <is>
          <t>Nº3 cerrado</t>
        </is>
      </c>
      <c r="N271" s="10" t="n">
        <v>2</v>
      </c>
      <c r="O271" s="35" t="n">
        <v>80</v>
      </c>
      <c r="P271" s="35" t="n">
        <v>80</v>
      </c>
      <c r="Q271" s="35" t="n">
        <v>0.5340479050037747</v>
      </c>
      <c r="R271" s="10" t="inlineStr">
        <is>
          <t>SÍ</t>
        </is>
      </c>
      <c r="S271" s="15" t="inlineStr">
        <is>
          <t>CUMPLE</t>
        </is>
      </c>
      <c r="T271" s="3" t="inlineStr">
        <is>
          <t>coordinar con planta y reanálisis global</t>
        </is>
      </c>
    </row>
    <row r="272">
      <c r="A272" s="23" t="inlineStr">
        <is>
          <t>VR1</t>
        </is>
      </c>
      <c r="B272" s="10" t="inlineStr">
        <is>
          <t>803</t>
        </is>
      </c>
      <c r="C272" s="10" t="inlineStr">
        <is>
          <t>540</t>
        </is>
      </c>
      <c r="D272" s="10" t="inlineStr">
        <is>
          <t>541</t>
        </is>
      </c>
      <c r="E272" s="35" t="n">
        <v>2.6</v>
      </c>
      <c r="F272" s="35" t="n">
        <v>15.5</v>
      </c>
      <c r="G272" s="35" t="n">
        <v>1.3</v>
      </c>
      <c r="H272" s="35" t="n">
        <v>9.5</v>
      </c>
      <c r="I272" s="10" t="inlineStr">
        <is>
          <t>500×550</t>
        </is>
      </c>
      <c r="J272" s="10" t="n">
        <v>5</v>
      </c>
      <c r="K272" s="10" t="n">
        <v>5</v>
      </c>
      <c r="L272" s="10" t="n">
        <v>0</v>
      </c>
      <c r="M272" s="10" t="inlineStr">
        <is>
          <t>Nº3 cerrado</t>
        </is>
      </c>
      <c r="N272" s="10" t="n">
        <v>2</v>
      </c>
      <c r="O272" s="35" t="n">
        <v>80</v>
      </c>
      <c r="P272" s="35" t="n">
        <v>80</v>
      </c>
      <c r="Q272" s="35" t="n">
        <v>0.5339233717438702</v>
      </c>
      <c r="R272" s="10" t="inlineStr">
        <is>
          <t>SÍ</t>
        </is>
      </c>
      <c r="S272" s="15" t="inlineStr">
        <is>
          <t>CUMPLE</t>
        </is>
      </c>
      <c r="T272" s="3" t="inlineStr">
        <is>
          <t>coordinar con planta y reanálisis global</t>
        </is>
      </c>
    </row>
    <row r="273">
      <c r="A273" s="23" t="inlineStr">
        <is>
          <t>VR1</t>
        </is>
      </c>
      <c r="B273" s="10" t="inlineStr">
        <is>
          <t>804</t>
        </is>
      </c>
      <c r="C273" s="10" t="inlineStr">
        <is>
          <t>541</t>
        </is>
      </c>
      <c r="D273" s="10" t="inlineStr">
        <is>
          <t>542</t>
        </is>
      </c>
      <c r="E273" s="35" t="n">
        <v>3.65</v>
      </c>
      <c r="F273" s="35" t="n">
        <v>15.5</v>
      </c>
      <c r="G273" s="35" t="n">
        <v>4.425</v>
      </c>
      <c r="H273" s="35" t="n">
        <v>9.5</v>
      </c>
      <c r="I273" s="10" t="inlineStr">
        <is>
          <t>500×550</t>
        </is>
      </c>
      <c r="J273" s="10" t="n">
        <v>5</v>
      </c>
      <c r="K273" s="10" t="n">
        <v>5</v>
      </c>
      <c r="L273" s="10" t="n">
        <v>0</v>
      </c>
      <c r="M273" s="10" t="inlineStr">
        <is>
          <t>Nº3 cerrado</t>
        </is>
      </c>
      <c r="N273" s="10" t="n">
        <v>2</v>
      </c>
      <c r="O273" s="35" t="n">
        <v>110</v>
      </c>
      <c r="P273" s="35" t="n">
        <v>110</v>
      </c>
      <c r="Q273" s="35" t="n">
        <v>0.4476956453830552</v>
      </c>
      <c r="R273" s="10" t="inlineStr">
        <is>
          <t>SÍ</t>
        </is>
      </c>
      <c r="S273" s="15" t="inlineStr">
        <is>
          <t>CUMPLE</t>
        </is>
      </c>
      <c r="T273" s="3" t="inlineStr">
        <is>
          <t>coordinar con planta y reanálisis global</t>
        </is>
      </c>
    </row>
    <row r="274">
      <c r="A274" s="23" t="inlineStr">
        <is>
          <t>VR1</t>
        </is>
      </c>
      <c r="B274" s="10" t="inlineStr">
        <is>
          <t>805</t>
        </is>
      </c>
      <c r="C274" s="10" t="inlineStr">
        <is>
          <t>542</t>
        </is>
      </c>
      <c r="D274" s="10" t="inlineStr">
        <is>
          <t>543</t>
        </is>
      </c>
      <c r="E274" s="35" t="n">
        <v>2.6</v>
      </c>
      <c r="F274" s="35" t="n">
        <v>15.5</v>
      </c>
      <c r="G274" s="35" t="n">
        <v>7.55</v>
      </c>
      <c r="H274" s="35" t="n">
        <v>9.5</v>
      </c>
      <c r="I274" s="10" t="inlineStr">
        <is>
          <t>500×550</t>
        </is>
      </c>
      <c r="J274" s="10" t="n">
        <v>5</v>
      </c>
      <c r="K274" s="10" t="n">
        <v>5</v>
      </c>
      <c r="L274" s="10" t="n">
        <v>0</v>
      </c>
      <c r="M274" s="10" t="inlineStr">
        <is>
          <t>Nº4 cerrado</t>
        </is>
      </c>
      <c r="N274" s="10" t="n">
        <v>2</v>
      </c>
      <c r="O274" s="35" t="n">
        <v>120</v>
      </c>
      <c r="P274" s="35" t="n">
        <v>140</v>
      </c>
      <c r="Q274" s="35" t="n">
        <v>0.5476098997365362</v>
      </c>
      <c r="R274" s="10" t="inlineStr">
        <is>
          <t>SÍ</t>
        </is>
      </c>
      <c r="S274" s="15" t="inlineStr">
        <is>
          <t>CUMPLE</t>
        </is>
      </c>
      <c r="T274" s="3" t="inlineStr">
        <is>
          <t>coordinar con planta y reanálisis global</t>
        </is>
      </c>
    </row>
    <row r="275">
      <c r="A275" s="23" t="inlineStr">
        <is>
          <t>VR1</t>
        </is>
      </c>
      <c r="B275" s="10" t="inlineStr">
        <is>
          <t>806</t>
        </is>
      </c>
      <c r="C275" s="10" t="inlineStr">
        <is>
          <t>543</t>
        </is>
      </c>
      <c r="D275" s="10" t="inlineStr">
        <is>
          <t>544</t>
        </is>
      </c>
      <c r="E275" s="35" t="n">
        <v>2.5</v>
      </c>
      <c r="F275" s="35" t="n">
        <v>15.5</v>
      </c>
      <c r="G275" s="35" t="n">
        <v>10.1</v>
      </c>
      <c r="H275" s="35" t="n">
        <v>9.5</v>
      </c>
      <c r="I275" s="10" t="inlineStr">
        <is>
          <t>500×550</t>
        </is>
      </c>
      <c r="J275" s="10" t="n">
        <v>5</v>
      </c>
      <c r="K275" s="10" t="n">
        <v>5</v>
      </c>
      <c r="L275" s="10" t="n">
        <v>0</v>
      </c>
      <c r="M275" s="10" t="inlineStr">
        <is>
          <t>Nº4 cerrado</t>
        </is>
      </c>
      <c r="N275" s="10" t="n">
        <v>2</v>
      </c>
      <c r="O275" s="35" t="n">
        <v>120</v>
      </c>
      <c r="P275" s="35" t="n">
        <v>120</v>
      </c>
      <c r="Q275" s="35" t="n">
        <v>0.5953679954047382</v>
      </c>
      <c r="R275" s="10" t="inlineStr">
        <is>
          <t>SÍ</t>
        </is>
      </c>
      <c r="S275" s="15" t="inlineStr">
        <is>
          <t>CUMPLE</t>
        </is>
      </c>
      <c r="T275" s="3" t="inlineStr">
        <is>
          <t>coordinar con planta y reanálisis global</t>
        </is>
      </c>
    </row>
    <row r="276">
      <c r="A276" s="23" t="inlineStr">
        <is>
          <t>VR1</t>
        </is>
      </c>
      <c r="B276" s="10" t="inlineStr">
        <is>
          <t>807</t>
        </is>
      </c>
      <c r="C276" s="10" t="inlineStr">
        <is>
          <t>544</t>
        </is>
      </c>
      <c r="D276" s="10" t="inlineStr">
        <is>
          <t>545</t>
        </is>
      </c>
      <c r="E276" s="35" t="n">
        <v>4</v>
      </c>
      <c r="F276" s="35" t="n">
        <v>15.5</v>
      </c>
      <c r="G276" s="35" t="n">
        <v>13.35</v>
      </c>
      <c r="H276" s="35" t="n">
        <v>9.5</v>
      </c>
      <c r="I276" s="10" t="inlineStr">
        <is>
          <t>500×550</t>
        </is>
      </c>
      <c r="J276" s="10" t="n">
        <v>5</v>
      </c>
      <c r="K276" s="10" t="n">
        <v>5</v>
      </c>
      <c r="L276" s="10" t="n">
        <v>0</v>
      </c>
      <c r="M276" s="10" t="inlineStr">
        <is>
          <t>Nº3 cerrado</t>
        </is>
      </c>
      <c r="N276" s="10" t="n">
        <v>2</v>
      </c>
      <c r="O276" s="35" t="n">
        <v>120</v>
      </c>
      <c r="P276" s="35" t="n">
        <v>130</v>
      </c>
      <c r="Q276" s="35" t="n">
        <v>0.4134971027531835</v>
      </c>
      <c r="R276" s="10" t="inlineStr">
        <is>
          <t>SÍ</t>
        </is>
      </c>
      <c r="S276" s="15" t="inlineStr">
        <is>
          <t>CUMPLE</t>
        </is>
      </c>
      <c r="T276" s="3" t="inlineStr">
        <is>
          <t>coordinar con planta y reanálisis global</t>
        </is>
      </c>
    </row>
    <row r="277">
      <c r="A277" s="23" t="inlineStr">
        <is>
          <t>VR1</t>
        </is>
      </c>
      <c r="B277" s="10" t="inlineStr">
        <is>
          <t>808</t>
        </is>
      </c>
      <c r="C277" s="10" t="inlineStr">
        <is>
          <t>546</t>
        </is>
      </c>
      <c r="D277" s="10" t="inlineStr">
        <is>
          <t>547</t>
        </is>
      </c>
      <c r="E277" s="35" t="n">
        <v>4</v>
      </c>
      <c r="F277" s="35" t="n">
        <v>15.5</v>
      </c>
      <c r="G277" s="35" t="n">
        <v>22.85</v>
      </c>
      <c r="H277" s="35" t="n">
        <v>9.5</v>
      </c>
      <c r="I277" s="10" t="inlineStr">
        <is>
          <t>500×550</t>
        </is>
      </c>
      <c r="J277" s="10" t="n">
        <v>5</v>
      </c>
      <c r="K277" s="10" t="n">
        <v>5</v>
      </c>
      <c r="L277" s="10" t="n">
        <v>0</v>
      </c>
      <c r="M277" s="10" t="inlineStr">
        <is>
          <t>Nº3 cerrado</t>
        </is>
      </c>
      <c r="N277" s="10" t="n">
        <v>2</v>
      </c>
      <c r="O277" s="35" t="n">
        <v>120</v>
      </c>
      <c r="P277" s="35" t="n">
        <v>130</v>
      </c>
      <c r="Q277" s="35" t="n">
        <v>0.4138034482632593</v>
      </c>
      <c r="R277" s="10" t="inlineStr">
        <is>
          <t>SÍ</t>
        </is>
      </c>
      <c r="S277" s="15" t="inlineStr">
        <is>
          <t>CUMPLE</t>
        </is>
      </c>
      <c r="T277" s="3" t="inlineStr">
        <is>
          <t>coordinar con planta y reanálisis global</t>
        </is>
      </c>
    </row>
    <row r="278">
      <c r="A278" s="23" t="inlineStr">
        <is>
          <t>VR1</t>
        </is>
      </c>
      <c r="B278" s="10" t="inlineStr">
        <is>
          <t>809</t>
        </is>
      </c>
      <c r="C278" s="10" t="inlineStr">
        <is>
          <t>547</t>
        </is>
      </c>
      <c r="D278" s="10" t="inlineStr">
        <is>
          <t>548</t>
        </is>
      </c>
      <c r="E278" s="35" t="n">
        <v>2.5</v>
      </c>
      <c r="F278" s="35" t="n">
        <v>15.5</v>
      </c>
      <c r="G278" s="35" t="n">
        <v>26.1</v>
      </c>
      <c r="H278" s="35" t="n">
        <v>9.5</v>
      </c>
      <c r="I278" s="10" t="inlineStr">
        <is>
          <t>500×550</t>
        </is>
      </c>
      <c r="J278" s="10" t="n">
        <v>5</v>
      </c>
      <c r="K278" s="10" t="n">
        <v>5</v>
      </c>
      <c r="L278" s="10" t="n">
        <v>0</v>
      </c>
      <c r="M278" s="10" t="inlineStr">
        <is>
          <t>Nº4 cerrado</t>
        </is>
      </c>
      <c r="N278" s="10" t="n">
        <v>2</v>
      </c>
      <c r="O278" s="35" t="n">
        <v>120</v>
      </c>
      <c r="P278" s="35" t="n">
        <v>120</v>
      </c>
      <c r="Q278" s="35" t="n">
        <v>0.595579641088072</v>
      </c>
      <c r="R278" s="10" t="inlineStr">
        <is>
          <t>SÍ</t>
        </is>
      </c>
      <c r="S278" s="15" t="inlineStr">
        <is>
          <t>CUMPLE</t>
        </is>
      </c>
      <c r="T278" s="3" t="inlineStr">
        <is>
          <t>coordinar con planta y reanálisis global</t>
        </is>
      </c>
    </row>
    <row r="279">
      <c r="A279" s="23" t="inlineStr">
        <is>
          <t>VR1</t>
        </is>
      </c>
      <c r="B279" s="10" t="inlineStr">
        <is>
          <t>810</t>
        </is>
      </c>
      <c r="C279" s="10" t="inlineStr">
        <is>
          <t>548</t>
        </is>
      </c>
      <c r="D279" s="10" t="inlineStr">
        <is>
          <t>549</t>
        </is>
      </c>
      <c r="E279" s="35" t="n">
        <v>2.6</v>
      </c>
      <c r="F279" s="35" t="n">
        <v>15.5</v>
      </c>
      <c r="G279" s="35" t="n">
        <v>28.65</v>
      </c>
      <c r="H279" s="35" t="n">
        <v>9.5</v>
      </c>
      <c r="I279" s="10" t="inlineStr">
        <is>
          <t>500×550</t>
        </is>
      </c>
      <c r="J279" s="10" t="n">
        <v>5</v>
      </c>
      <c r="K279" s="10" t="n">
        <v>5</v>
      </c>
      <c r="L279" s="10" t="n">
        <v>0</v>
      </c>
      <c r="M279" s="10" t="inlineStr">
        <is>
          <t>Nº4 cerrado</t>
        </is>
      </c>
      <c r="N279" s="10" t="n">
        <v>2</v>
      </c>
      <c r="O279" s="35" t="n">
        <v>120</v>
      </c>
      <c r="P279" s="35" t="n">
        <v>140</v>
      </c>
      <c r="Q279" s="35" t="n">
        <v>0.5474706059022558</v>
      </c>
      <c r="R279" s="10" t="inlineStr">
        <is>
          <t>SÍ</t>
        </is>
      </c>
      <c r="S279" s="15" t="inlineStr">
        <is>
          <t>CUMPLE</t>
        </is>
      </c>
      <c r="T279" s="3" t="inlineStr">
        <is>
          <t>coordinar con planta y reanálisis global</t>
        </is>
      </c>
    </row>
    <row r="280">
      <c r="A280" s="23" t="inlineStr">
        <is>
          <t>VR1</t>
        </is>
      </c>
      <c r="B280" s="10" t="inlineStr">
        <is>
          <t>811</t>
        </is>
      </c>
      <c r="C280" s="10" t="inlineStr">
        <is>
          <t>549</t>
        </is>
      </c>
      <c r="D280" s="10" t="inlineStr">
        <is>
          <t>550</t>
        </is>
      </c>
      <c r="E280" s="35" t="n">
        <v>3.65</v>
      </c>
      <c r="F280" s="35" t="n">
        <v>15.5</v>
      </c>
      <c r="G280" s="35" t="n">
        <v>31.775</v>
      </c>
      <c r="H280" s="35" t="n">
        <v>9.5</v>
      </c>
      <c r="I280" s="10" t="inlineStr">
        <is>
          <t>500×550</t>
        </is>
      </c>
      <c r="J280" s="10" t="n">
        <v>5</v>
      </c>
      <c r="K280" s="10" t="n">
        <v>5</v>
      </c>
      <c r="L280" s="10" t="n">
        <v>0</v>
      </c>
      <c r="M280" s="10" t="inlineStr">
        <is>
          <t>Nº3 cerrado</t>
        </is>
      </c>
      <c r="N280" s="10" t="n">
        <v>2</v>
      </c>
      <c r="O280" s="35" t="n">
        <v>110</v>
      </c>
      <c r="P280" s="35" t="n">
        <v>110</v>
      </c>
      <c r="Q280" s="35" t="n">
        <v>0.4477985846221023</v>
      </c>
      <c r="R280" s="10" t="inlineStr">
        <is>
          <t>SÍ</t>
        </is>
      </c>
      <c r="S280" s="15" t="inlineStr">
        <is>
          <t>CUMPLE</t>
        </is>
      </c>
      <c r="T280" s="3" t="inlineStr">
        <is>
          <t>coordinar con planta y reanálisis global</t>
        </is>
      </c>
    </row>
    <row r="281">
      <c r="A281" s="23" t="inlineStr">
        <is>
          <t>VR1</t>
        </is>
      </c>
      <c r="B281" s="10" t="inlineStr">
        <is>
          <t>812</t>
        </is>
      </c>
      <c r="C281" s="10" t="inlineStr">
        <is>
          <t>550</t>
        </is>
      </c>
      <c r="D281" s="10" t="inlineStr">
        <is>
          <t>551</t>
        </is>
      </c>
      <c r="E281" s="35" t="n">
        <v>2.6</v>
      </c>
      <c r="F281" s="35" t="n">
        <v>15.5</v>
      </c>
      <c r="G281" s="35" t="n">
        <v>34.9</v>
      </c>
      <c r="H281" s="35" t="n">
        <v>9.5</v>
      </c>
      <c r="I281" s="10" t="inlineStr">
        <is>
          <t>500×550</t>
        </is>
      </c>
      <c r="J281" s="10" t="n">
        <v>5</v>
      </c>
      <c r="K281" s="10" t="n">
        <v>5</v>
      </c>
      <c r="L281" s="10" t="n">
        <v>0</v>
      </c>
      <c r="M281" s="10" t="inlineStr">
        <is>
          <t>Nº3 cerrado</t>
        </is>
      </c>
      <c r="N281" s="10" t="n">
        <v>2</v>
      </c>
      <c r="O281" s="35" t="n">
        <v>80</v>
      </c>
      <c r="P281" s="35" t="n">
        <v>80</v>
      </c>
      <c r="Q281" s="35" t="n">
        <v>0.5340618417889759</v>
      </c>
      <c r="R281" s="10" t="inlineStr">
        <is>
          <t>SÍ</t>
        </is>
      </c>
      <c r="S281" s="15" t="inlineStr">
        <is>
          <t>CUMPLE</t>
        </is>
      </c>
      <c r="T281" s="3" t="inlineStr">
        <is>
          <t>coordinar con planta y reanálisis global</t>
        </is>
      </c>
    </row>
    <row r="282">
      <c r="A282" s="23" t="inlineStr">
        <is>
          <t>VR1</t>
        </is>
      </c>
      <c r="B282" s="10" t="inlineStr">
        <is>
          <t>853</t>
        </is>
      </c>
      <c r="C282" s="10" t="inlineStr">
        <is>
          <t>552</t>
        </is>
      </c>
      <c r="D282" s="10" t="inlineStr">
        <is>
          <t>553</t>
        </is>
      </c>
      <c r="E282" s="35" t="n">
        <v>2.6</v>
      </c>
      <c r="F282" s="35" t="n">
        <v>0</v>
      </c>
      <c r="G282" s="35" t="n">
        <v>1.3</v>
      </c>
      <c r="H282" s="35" t="n">
        <v>12.5</v>
      </c>
      <c r="I282" s="10" t="inlineStr">
        <is>
          <t>500×550</t>
        </is>
      </c>
      <c r="J282" s="10" t="n">
        <v>5</v>
      </c>
      <c r="K282" s="10" t="n">
        <v>5</v>
      </c>
      <c r="L282" s="10" t="n">
        <v>0</v>
      </c>
      <c r="M282" s="10" t="inlineStr">
        <is>
          <t>Nº3 cerrado</t>
        </is>
      </c>
      <c r="N282" s="10" t="n">
        <v>2</v>
      </c>
      <c r="O282" s="35" t="n">
        <v>120</v>
      </c>
      <c r="P282" s="35" t="n">
        <v>120</v>
      </c>
      <c r="Q282" s="35" t="n">
        <v>0.4279751636415963</v>
      </c>
      <c r="R282" s="10" t="inlineStr">
        <is>
          <t>SÍ</t>
        </is>
      </c>
      <c r="S282" s="15" t="inlineStr">
        <is>
          <t>CUMPLE</t>
        </is>
      </c>
      <c r="T282" s="3" t="inlineStr">
        <is>
          <t>coordinar con planta y reanálisis global</t>
        </is>
      </c>
    </row>
    <row r="283">
      <c r="A283" s="23" t="inlineStr">
        <is>
          <t>VR1</t>
        </is>
      </c>
      <c r="B283" s="10" t="inlineStr">
        <is>
          <t>854</t>
        </is>
      </c>
      <c r="C283" s="10" t="inlineStr">
        <is>
          <t>553</t>
        </is>
      </c>
      <c r="D283" s="10" t="inlineStr">
        <is>
          <t>554</t>
        </is>
      </c>
      <c r="E283" s="35" t="n">
        <v>3.65</v>
      </c>
      <c r="F283" s="35" t="n">
        <v>0</v>
      </c>
      <c r="G283" s="35" t="n">
        <v>4.425</v>
      </c>
      <c r="H283" s="35" t="n">
        <v>12.5</v>
      </c>
      <c r="I283" s="10" t="inlineStr">
        <is>
          <t>500×550</t>
        </is>
      </c>
      <c r="J283" s="10" t="n">
        <v>5</v>
      </c>
      <c r="K283" s="10" t="n">
        <v>5</v>
      </c>
      <c r="L283" s="10" t="n">
        <v>0</v>
      </c>
      <c r="M283" s="10" t="inlineStr">
        <is>
          <t>Nº3 cerrado</t>
        </is>
      </c>
      <c r="N283" s="10" t="n">
        <v>2</v>
      </c>
      <c r="O283" s="35" t="n">
        <v>120</v>
      </c>
      <c r="P283" s="35" t="n">
        <v>210</v>
      </c>
      <c r="Q283" s="35" t="n">
        <v>0.3341848778045994</v>
      </c>
      <c r="R283" s="10" t="inlineStr">
        <is>
          <t>SÍ</t>
        </is>
      </c>
      <c r="S283" s="15" t="inlineStr">
        <is>
          <t>CUMPLE</t>
        </is>
      </c>
      <c r="T283" s="3" t="inlineStr">
        <is>
          <t>coordinar con planta y reanálisis global</t>
        </is>
      </c>
    </row>
    <row r="284">
      <c r="A284" s="23" t="inlineStr">
        <is>
          <t>VR1</t>
        </is>
      </c>
      <c r="B284" s="10" t="inlineStr">
        <is>
          <t>855</t>
        </is>
      </c>
      <c r="C284" s="10" t="inlineStr">
        <is>
          <t>554</t>
        </is>
      </c>
      <c r="D284" s="10" t="inlineStr">
        <is>
          <t>555</t>
        </is>
      </c>
      <c r="E284" s="35" t="n">
        <v>2.6</v>
      </c>
      <c r="F284" s="35" t="n">
        <v>0</v>
      </c>
      <c r="G284" s="35" t="n">
        <v>7.55</v>
      </c>
      <c r="H284" s="35" t="n">
        <v>12.5</v>
      </c>
      <c r="I284" s="10" t="inlineStr">
        <is>
          <t>500×550</t>
        </is>
      </c>
      <c r="J284" s="10" t="n">
        <v>5</v>
      </c>
      <c r="K284" s="10" t="n">
        <v>5</v>
      </c>
      <c r="L284" s="10" t="n">
        <v>0</v>
      </c>
      <c r="M284" s="10" t="inlineStr">
        <is>
          <t>Nº3 cerrado</t>
        </is>
      </c>
      <c r="N284" s="10" t="n">
        <v>2</v>
      </c>
      <c r="O284" s="35" t="n">
        <v>120</v>
      </c>
      <c r="P284" s="35" t="n">
        <v>120</v>
      </c>
      <c r="Q284" s="35" t="n">
        <v>0.4240135509000475</v>
      </c>
      <c r="R284" s="10" t="inlineStr">
        <is>
          <t>SÍ</t>
        </is>
      </c>
      <c r="S284" s="15" t="inlineStr">
        <is>
          <t>CUMPLE</t>
        </is>
      </c>
      <c r="T284" s="3" t="inlineStr">
        <is>
          <t>coordinar con planta y reanálisis global</t>
        </is>
      </c>
    </row>
    <row r="285">
      <c r="A285" s="23" t="inlineStr">
        <is>
          <t>VR1</t>
        </is>
      </c>
      <c r="B285" s="10" t="inlineStr">
        <is>
          <t>856</t>
        </is>
      </c>
      <c r="C285" s="10" t="inlineStr">
        <is>
          <t>555</t>
        </is>
      </c>
      <c r="D285" s="10" t="inlineStr">
        <is>
          <t>556</t>
        </is>
      </c>
      <c r="E285" s="35" t="n">
        <v>2.5</v>
      </c>
      <c r="F285" s="35" t="n">
        <v>0</v>
      </c>
      <c r="G285" s="35" t="n">
        <v>10.1</v>
      </c>
      <c r="H285" s="35" t="n">
        <v>12.5</v>
      </c>
      <c r="I285" s="10" t="inlineStr">
        <is>
          <t>500×550</t>
        </is>
      </c>
      <c r="J285" s="10" t="n">
        <v>5</v>
      </c>
      <c r="K285" s="10" t="n">
        <v>5</v>
      </c>
      <c r="L285" s="10" t="n">
        <v>0</v>
      </c>
      <c r="M285" s="10" t="inlineStr">
        <is>
          <t>Nº3 cerrado</t>
        </is>
      </c>
      <c r="N285" s="10" t="n">
        <v>2</v>
      </c>
      <c r="O285" s="35" t="n">
        <v>110</v>
      </c>
      <c r="P285" s="35" t="n">
        <v>110</v>
      </c>
      <c r="Q285" s="35" t="n">
        <v>0.4466087978359962</v>
      </c>
      <c r="R285" s="10" t="inlineStr">
        <is>
          <t>SÍ</t>
        </is>
      </c>
      <c r="S285" s="15" t="inlineStr">
        <is>
          <t>CUMPLE</t>
        </is>
      </c>
      <c r="T285" s="3" t="inlineStr">
        <is>
          <t>coordinar con planta y reanálisis global</t>
        </is>
      </c>
    </row>
    <row r="286">
      <c r="A286" s="23" t="inlineStr">
        <is>
          <t>VR1</t>
        </is>
      </c>
      <c r="B286" s="10" t="inlineStr">
        <is>
          <t>857</t>
        </is>
      </c>
      <c r="C286" s="10" t="inlineStr">
        <is>
          <t>556</t>
        </is>
      </c>
      <c r="D286" s="10" t="inlineStr">
        <is>
          <t>557</t>
        </is>
      </c>
      <c r="E286" s="35" t="n">
        <v>4</v>
      </c>
      <c r="F286" s="35" t="n">
        <v>0</v>
      </c>
      <c r="G286" s="35" t="n">
        <v>13.35</v>
      </c>
      <c r="H286" s="35" t="n">
        <v>12.5</v>
      </c>
      <c r="I286" s="10" t="inlineStr">
        <is>
          <t>500×550</t>
        </is>
      </c>
      <c r="J286" s="10" t="n">
        <v>5</v>
      </c>
      <c r="K286" s="10" t="n">
        <v>5</v>
      </c>
      <c r="L286" s="10" t="n">
        <v>0</v>
      </c>
      <c r="M286" s="10" t="inlineStr">
        <is>
          <t>Nº3 cerrado</t>
        </is>
      </c>
      <c r="N286" s="10" t="n">
        <v>2</v>
      </c>
      <c r="O286" s="35" t="n">
        <v>120</v>
      </c>
      <c r="P286" s="35" t="n">
        <v>240</v>
      </c>
      <c r="Q286" s="35" t="n">
        <v>0.3129861591424587</v>
      </c>
      <c r="R286" s="10" t="inlineStr">
        <is>
          <t>SÍ</t>
        </is>
      </c>
      <c r="S286" s="15" t="inlineStr">
        <is>
          <t>CUMPLE</t>
        </is>
      </c>
      <c r="T286" s="3" t="inlineStr">
        <is>
          <t>coordinar con planta y reanálisis global</t>
        </is>
      </c>
    </row>
    <row r="287">
      <c r="A287" s="23" t="inlineStr">
        <is>
          <t>VR1</t>
        </is>
      </c>
      <c r="B287" s="10" t="inlineStr">
        <is>
          <t>858</t>
        </is>
      </c>
      <c r="C287" s="10" t="inlineStr">
        <is>
          <t>558</t>
        </is>
      </c>
      <c r="D287" s="10" t="inlineStr">
        <is>
          <t>559</t>
        </is>
      </c>
      <c r="E287" s="35" t="n">
        <v>4</v>
      </c>
      <c r="F287" s="35" t="n">
        <v>0</v>
      </c>
      <c r="G287" s="35" t="n">
        <v>22.85</v>
      </c>
      <c r="H287" s="35" t="n">
        <v>12.5</v>
      </c>
      <c r="I287" s="10" t="inlineStr">
        <is>
          <t>500×550</t>
        </is>
      </c>
      <c r="J287" s="10" t="n">
        <v>5</v>
      </c>
      <c r="K287" s="10" t="n">
        <v>5</v>
      </c>
      <c r="L287" s="10" t="n">
        <v>0</v>
      </c>
      <c r="M287" s="10" t="inlineStr">
        <is>
          <t>Nº3 cerrado</t>
        </is>
      </c>
      <c r="N287" s="10" t="n">
        <v>2</v>
      </c>
      <c r="O287" s="35" t="n">
        <v>120</v>
      </c>
      <c r="P287" s="35" t="n">
        <v>240</v>
      </c>
      <c r="Q287" s="35" t="n">
        <v>0.3131110923438664</v>
      </c>
      <c r="R287" s="10" t="inlineStr">
        <is>
          <t>SÍ</t>
        </is>
      </c>
      <c r="S287" s="15" t="inlineStr">
        <is>
          <t>CUMPLE</t>
        </is>
      </c>
      <c r="T287" s="3" t="inlineStr">
        <is>
          <t>coordinar con planta y reanálisis global</t>
        </is>
      </c>
    </row>
    <row r="288">
      <c r="A288" s="23" t="inlineStr">
        <is>
          <t>VR1</t>
        </is>
      </c>
      <c r="B288" s="10" t="inlineStr">
        <is>
          <t>859</t>
        </is>
      </c>
      <c r="C288" s="10" t="inlineStr">
        <is>
          <t>559</t>
        </is>
      </c>
      <c r="D288" s="10" t="inlineStr">
        <is>
          <t>560</t>
        </is>
      </c>
      <c r="E288" s="35" t="n">
        <v>2.5</v>
      </c>
      <c r="F288" s="35" t="n">
        <v>0</v>
      </c>
      <c r="G288" s="35" t="n">
        <v>26.1</v>
      </c>
      <c r="H288" s="35" t="n">
        <v>12.5</v>
      </c>
      <c r="I288" s="10" t="inlineStr">
        <is>
          <t>500×550</t>
        </is>
      </c>
      <c r="J288" s="10" t="n">
        <v>5</v>
      </c>
      <c r="K288" s="10" t="n">
        <v>5</v>
      </c>
      <c r="L288" s="10" t="n">
        <v>0</v>
      </c>
      <c r="M288" s="10" t="inlineStr">
        <is>
          <t>Nº3 cerrado</t>
        </is>
      </c>
      <c r="N288" s="10" t="n">
        <v>2</v>
      </c>
      <c r="O288" s="35" t="n">
        <v>110</v>
      </c>
      <c r="P288" s="35" t="n">
        <v>110</v>
      </c>
      <c r="Q288" s="35" t="n">
        <v>0.4467624311481918</v>
      </c>
      <c r="R288" s="10" t="inlineStr">
        <is>
          <t>SÍ</t>
        </is>
      </c>
      <c r="S288" s="15" t="inlineStr">
        <is>
          <t>CUMPLE</t>
        </is>
      </c>
      <c r="T288" s="3" t="inlineStr">
        <is>
          <t>coordinar con planta y reanálisis global</t>
        </is>
      </c>
    </row>
    <row r="289">
      <c r="A289" s="23" t="inlineStr">
        <is>
          <t>VR1</t>
        </is>
      </c>
      <c r="B289" s="10" t="inlineStr">
        <is>
          <t>860</t>
        </is>
      </c>
      <c r="C289" s="10" t="inlineStr">
        <is>
          <t>560</t>
        </is>
      </c>
      <c r="D289" s="10" t="inlineStr">
        <is>
          <t>561</t>
        </is>
      </c>
      <c r="E289" s="35" t="n">
        <v>2.6</v>
      </c>
      <c r="F289" s="35" t="n">
        <v>0</v>
      </c>
      <c r="G289" s="35" t="n">
        <v>28.65</v>
      </c>
      <c r="H289" s="35" t="n">
        <v>12.5</v>
      </c>
      <c r="I289" s="10" t="inlineStr">
        <is>
          <t>500×550</t>
        </is>
      </c>
      <c r="J289" s="10" t="n">
        <v>5</v>
      </c>
      <c r="K289" s="10" t="n">
        <v>5</v>
      </c>
      <c r="L289" s="10" t="n">
        <v>0</v>
      </c>
      <c r="M289" s="10" t="inlineStr">
        <is>
          <t>Nº3 cerrado</t>
        </is>
      </c>
      <c r="N289" s="10" t="n">
        <v>2</v>
      </c>
      <c r="O289" s="35" t="n">
        <v>120</v>
      </c>
      <c r="P289" s="35" t="n">
        <v>120</v>
      </c>
      <c r="Q289" s="35" t="n">
        <v>0.4238868480609171</v>
      </c>
      <c r="R289" s="10" t="inlineStr">
        <is>
          <t>SÍ</t>
        </is>
      </c>
      <c r="S289" s="15" t="inlineStr">
        <is>
          <t>CUMPLE</t>
        </is>
      </c>
      <c r="T289" s="3" t="inlineStr">
        <is>
          <t>coordinar con planta y reanálisis global</t>
        </is>
      </c>
    </row>
    <row r="290">
      <c r="A290" s="23" t="inlineStr">
        <is>
          <t>VR1</t>
        </is>
      </c>
      <c r="B290" s="10" t="inlineStr">
        <is>
          <t>861</t>
        </is>
      </c>
      <c r="C290" s="10" t="inlineStr">
        <is>
          <t>561</t>
        </is>
      </c>
      <c r="D290" s="10" t="inlineStr">
        <is>
          <t>562</t>
        </is>
      </c>
      <c r="E290" s="35" t="n">
        <v>3.65</v>
      </c>
      <c r="F290" s="35" t="n">
        <v>0</v>
      </c>
      <c r="G290" s="35" t="n">
        <v>31.775</v>
      </c>
      <c r="H290" s="35" t="n">
        <v>12.5</v>
      </c>
      <c r="I290" s="10" t="inlineStr">
        <is>
          <t>500×550</t>
        </is>
      </c>
      <c r="J290" s="10" t="n">
        <v>5</v>
      </c>
      <c r="K290" s="10" t="n">
        <v>5</v>
      </c>
      <c r="L290" s="10" t="n">
        <v>0</v>
      </c>
      <c r="M290" s="10" t="inlineStr">
        <is>
          <t>Nº3 cerrado</t>
        </is>
      </c>
      <c r="N290" s="10" t="n">
        <v>2</v>
      </c>
      <c r="O290" s="35" t="n">
        <v>120</v>
      </c>
      <c r="P290" s="35" t="n">
        <v>210</v>
      </c>
      <c r="Q290" s="35" t="n">
        <v>0.3342779110630507</v>
      </c>
      <c r="R290" s="10" t="inlineStr">
        <is>
          <t>SÍ</t>
        </is>
      </c>
      <c r="S290" s="15" t="inlineStr">
        <is>
          <t>CUMPLE</t>
        </is>
      </c>
      <c r="T290" s="3" t="inlineStr">
        <is>
          <t>coordinar con planta y reanálisis global</t>
        </is>
      </c>
    </row>
    <row r="291">
      <c r="A291" s="23" t="inlineStr">
        <is>
          <t>VR1</t>
        </is>
      </c>
      <c r="B291" s="10" t="inlineStr">
        <is>
          <t>862</t>
        </is>
      </c>
      <c r="C291" s="10" t="inlineStr">
        <is>
          <t>562</t>
        </is>
      </c>
      <c r="D291" s="10" t="inlineStr">
        <is>
          <t>563</t>
        </is>
      </c>
      <c r="E291" s="35" t="n">
        <v>2.6</v>
      </c>
      <c r="F291" s="35" t="n">
        <v>0</v>
      </c>
      <c r="G291" s="35" t="n">
        <v>34.9</v>
      </c>
      <c r="H291" s="35" t="n">
        <v>12.5</v>
      </c>
      <c r="I291" s="10" t="inlineStr">
        <is>
          <t>500×550</t>
        </is>
      </c>
      <c r="J291" s="10" t="n">
        <v>5</v>
      </c>
      <c r="K291" s="10" t="n">
        <v>5</v>
      </c>
      <c r="L291" s="10" t="n">
        <v>0</v>
      </c>
      <c r="M291" s="10" t="inlineStr">
        <is>
          <t>Nº3 cerrado</t>
        </is>
      </c>
      <c r="N291" s="10" t="n">
        <v>2</v>
      </c>
      <c r="O291" s="35" t="n">
        <v>120</v>
      </c>
      <c r="P291" s="35" t="n">
        <v>120</v>
      </c>
      <c r="Q291" s="35" t="n">
        <v>0.4280918720480785</v>
      </c>
      <c r="R291" s="10" t="inlineStr">
        <is>
          <t>SÍ</t>
        </is>
      </c>
      <c r="S291" s="15" t="inlineStr">
        <is>
          <t>CUMPLE</t>
        </is>
      </c>
      <c r="T291" s="3" t="inlineStr">
        <is>
          <t>coordinar con planta y reanálisis global</t>
        </is>
      </c>
    </row>
    <row r="292">
      <c r="A292" s="23" t="inlineStr">
        <is>
          <t>VR1</t>
        </is>
      </c>
      <c r="B292" s="10" t="inlineStr">
        <is>
          <t>897</t>
        </is>
      </c>
      <c r="C292" s="10" t="inlineStr">
        <is>
          <t>601</t>
        </is>
      </c>
      <c r="D292" s="10" t="inlineStr">
        <is>
          <t>602</t>
        </is>
      </c>
      <c r="E292" s="35" t="n">
        <v>2.6</v>
      </c>
      <c r="F292" s="35" t="n">
        <v>15.5</v>
      </c>
      <c r="G292" s="35" t="n">
        <v>1.3</v>
      </c>
      <c r="H292" s="35" t="n">
        <v>12.5</v>
      </c>
      <c r="I292" s="10" t="inlineStr">
        <is>
          <t>500×550</t>
        </is>
      </c>
      <c r="J292" s="10" t="n">
        <v>5</v>
      </c>
      <c r="K292" s="10" t="n">
        <v>5</v>
      </c>
      <c r="L292" s="10" t="n">
        <v>0</v>
      </c>
      <c r="M292" s="10" t="inlineStr">
        <is>
          <t>Nº3 cerrado</t>
        </is>
      </c>
      <c r="N292" s="10" t="n">
        <v>2</v>
      </c>
      <c r="O292" s="35" t="n">
        <v>120</v>
      </c>
      <c r="P292" s="35" t="n">
        <v>120</v>
      </c>
      <c r="Q292" s="35" t="n">
        <v>0.4279574375728218</v>
      </c>
      <c r="R292" s="10" t="inlineStr">
        <is>
          <t>SÍ</t>
        </is>
      </c>
      <c r="S292" s="15" t="inlineStr">
        <is>
          <t>CUMPLE</t>
        </is>
      </c>
      <c r="T292" s="3" t="inlineStr">
        <is>
          <t>coordinar con planta y reanálisis global</t>
        </is>
      </c>
    </row>
    <row r="293">
      <c r="A293" s="23" t="inlineStr">
        <is>
          <t>VR1</t>
        </is>
      </c>
      <c r="B293" s="10" t="inlineStr">
        <is>
          <t>898</t>
        </is>
      </c>
      <c r="C293" s="10" t="inlineStr">
        <is>
          <t>602</t>
        </is>
      </c>
      <c r="D293" s="10" t="inlineStr">
        <is>
          <t>603</t>
        </is>
      </c>
      <c r="E293" s="35" t="n">
        <v>3.65</v>
      </c>
      <c r="F293" s="35" t="n">
        <v>15.5</v>
      </c>
      <c r="G293" s="35" t="n">
        <v>4.425</v>
      </c>
      <c r="H293" s="35" t="n">
        <v>12.5</v>
      </c>
      <c r="I293" s="10" t="inlineStr">
        <is>
          <t>500×550</t>
        </is>
      </c>
      <c r="J293" s="10" t="n">
        <v>5</v>
      </c>
      <c r="K293" s="10" t="n">
        <v>5</v>
      </c>
      <c r="L293" s="10" t="n">
        <v>0</v>
      </c>
      <c r="M293" s="10" t="inlineStr">
        <is>
          <t>Nº3 cerrado</t>
        </is>
      </c>
      <c r="N293" s="10" t="n">
        <v>2</v>
      </c>
      <c r="O293" s="35" t="n">
        <v>120</v>
      </c>
      <c r="P293" s="35" t="n">
        <v>210</v>
      </c>
      <c r="Q293" s="35" t="n">
        <v>0.33417114534363</v>
      </c>
      <c r="R293" s="10" t="inlineStr">
        <is>
          <t>SÍ</t>
        </is>
      </c>
      <c r="S293" s="15" t="inlineStr">
        <is>
          <t>CUMPLE</t>
        </is>
      </c>
      <c r="T293" s="3" t="inlineStr">
        <is>
          <t>coordinar con planta y reanálisis global</t>
        </is>
      </c>
    </row>
    <row r="294">
      <c r="A294" s="23" t="inlineStr">
        <is>
          <t>VR1</t>
        </is>
      </c>
      <c r="B294" s="10" t="inlineStr">
        <is>
          <t>899</t>
        </is>
      </c>
      <c r="C294" s="10" t="inlineStr">
        <is>
          <t>603</t>
        </is>
      </c>
      <c r="D294" s="10" t="inlineStr">
        <is>
          <t>604</t>
        </is>
      </c>
      <c r="E294" s="35" t="n">
        <v>2.6</v>
      </c>
      <c r="F294" s="35" t="n">
        <v>15.5</v>
      </c>
      <c r="G294" s="35" t="n">
        <v>7.55</v>
      </c>
      <c r="H294" s="35" t="n">
        <v>12.5</v>
      </c>
      <c r="I294" s="10" t="inlineStr">
        <is>
          <t>500×550</t>
        </is>
      </c>
      <c r="J294" s="10" t="n">
        <v>5</v>
      </c>
      <c r="K294" s="10" t="n">
        <v>5</v>
      </c>
      <c r="L294" s="10" t="n">
        <v>0</v>
      </c>
      <c r="M294" s="10" t="inlineStr">
        <is>
          <t>Nº3 cerrado</t>
        </is>
      </c>
      <c r="N294" s="10" t="n">
        <v>2</v>
      </c>
      <c r="O294" s="35" t="n">
        <v>120</v>
      </c>
      <c r="P294" s="35" t="n">
        <v>120</v>
      </c>
      <c r="Q294" s="35" t="n">
        <v>0.4240357031503174</v>
      </c>
      <c r="R294" s="10" t="inlineStr">
        <is>
          <t>SÍ</t>
        </is>
      </c>
      <c r="S294" s="15" t="inlineStr">
        <is>
          <t>CUMPLE</t>
        </is>
      </c>
      <c r="T294" s="3" t="inlineStr">
        <is>
          <t>coordinar con planta y reanálisis global</t>
        </is>
      </c>
    </row>
    <row r="295">
      <c r="A295" s="23" t="inlineStr">
        <is>
          <t>VR1</t>
        </is>
      </c>
      <c r="B295" s="10" t="inlineStr">
        <is>
          <t>900</t>
        </is>
      </c>
      <c r="C295" s="10" t="inlineStr">
        <is>
          <t>604</t>
        </is>
      </c>
      <c r="D295" s="10" t="inlineStr">
        <is>
          <t>605</t>
        </is>
      </c>
      <c r="E295" s="35" t="n">
        <v>2.5</v>
      </c>
      <c r="F295" s="35" t="n">
        <v>15.5</v>
      </c>
      <c r="G295" s="35" t="n">
        <v>10.1</v>
      </c>
      <c r="H295" s="35" t="n">
        <v>12.5</v>
      </c>
      <c r="I295" s="10" t="inlineStr">
        <is>
          <t>500×550</t>
        </is>
      </c>
      <c r="J295" s="10" t="n">
        <v>5</v>
      </c>
      <c r="K295" s="10" t="n">
        <v>5</v>
      </c>
      <c r="L295" s="10" t="n">
        <v>0</v>
      </c>
      <c r="M295" s="10" t="inlineStr">
        <is>
          <t>Nº3 cerrado</t>
        </is>
      </c>
      <c r="N295" s="10" t="n">
        <v>2</v>
      </c>
      <c r="O295" s="35" t="n">
        <v>110</v>
      </c>
      <c r="P295" s="35" t="n">
        <v>110</v>
      </c>
      <c r="Q295" s="35" t="n">
        <v>0.4465873115520077</v>
      </c>
      <c r="R295" s="10" t="inlineStr">
        <is>
          <t>SÍ</t>
        </is>
      </c>
      <c r="S295" s="15" t="inlineStr">
        <is>
          <t>CUMPLE</t>
        </is>
      </c>
      <c r="T295" s="3" t="inlineStr">
        <is>
          <t>coordinar con planta y reanálisis global</t>
        </is>
      </c>
    </row>
    <row r="296">
      <c r="A296" s="23" t="inlineStr">
        <is>
          <t>VR1</t>
        </is>
      </c>
      <c r="B296" s="10" t="inlineStr">
        <is>
          <t>901</t>
        </is>
      </c>
      <c r="C296" s="10" t="inlineStr">
        <is>
          <t>605</t>
        </is>
      </c>
      <c r="D296" s="10" t="inlineStr">
        <is>
          <t>606</t>
        </is>
      </c>
      <c r="E296" s="35" t="n">
        <v>4</v>
      </c>
      <c r="F296" s="35" t="n">
        <v>15.5</v>
      </c>
      <c r="G296" s="35" t="n">
        <v>13.35</v>
      </c>
      <c r="H296" s="35" t="n">
        <v>12.5</v>
      </c>
      <c r="I296" s="10" t="inlineStr">
        <is>
          <t>500×550</t>
        </is>
      </c>
      <c r="J296" s="10" t="n">
        <v>5</v>
      </c>
      <c r="K296" s="10" t="n">
        <v>5</v>
      </c>
      <c r="L296" s="10" t="n">
        <v>0</v>
      </c>
      <c r="M296" s="10" t="inlineStr">
        <is>
          <t>Nº3 cerrado</t>
        </is>
      </c>
      <c r="N296" s="10" t="n">
        <v>2</v>
      </c>
      <c r="O296" s="35" t="n">
        <v>120</v>
      </c>
      <c r="P296" s="35" t="n">
        <v>240</v>
      </c>
      <c r="Q296" s="35" t="n">
        <v>0.3129989305200083</v>
      </c>
      <c r="R296" s="10" t="inlineStr">
        <is>
          <t>SÍ</t>
        </is>
      </c>
      <c r="S296" s="15" t="inlineStr">
        <is>
          <t>CUMPLE</t>
        </is>
      </c>
      <c r="T296" s="3" t="inlineStr">
        <is>
          <t>coordinar con planta y reanálisis global</t>
        </is>
      </c>
    </row>
    <row r="297">
      <c r="A297" s="23" t="inlineStr">
        <is>
          <t>VR1</t>
        </is>
      </c>
      <c r="B297" s="10" t="inlineStr">
        <is>
          <t>902</t>
        </is>
      </c>
      <c r="C297" s="10" t="inlineStr">
        <is>
          <t>607</t>
        </is>
      </c>
      <c r="D297" s="10" t="inlineStr">
        <is>
          <t>608</t>
        </is>
      </c>
      <c r="E297" s="35" t="n">
        <v>4</v>
      </c>
      <c r="F297" s="35" t="n">
        <v>15.5</v>
      </c>
      <c r="G297" s="35" t="n">
        <v>22.85</v>
      </c>
      <c r="H297" s="35" t="n">
        <v>12.5</v>
      </c>
      <c r="I297" s="10" t="inlineStr">
        <is>
          <t>500×550</t>
        </is>
      </c>
      <c r="J297" s="10" t="n">
        <v>5</v>
      </c>
      <c r="K297" s="10" t="n">
        <v>5</v>
      </c>
      <c r="L297" s="10" t="n">
        <v>0</v>
      </c>
      <c r="M297" s="10" t="inlineStr">
        <is>
          <t>Nº3 cerrado</t>
        </is>
      </c>
      <c r="N297" s="10" t="n">
        <v>2</v>
      </c>
      <c r="O297" s="35" t="n">
        <v>120</v>
      </c>
      <c r="P297" s="35" t="n">
        <v>240</v>
      </c>
      <c r="Q297" s="35" t="n">
        <v>0.313098310912407</v>
      </c>
      <c r="R297" s="10" t="inlineStr">
        <is>
          <t>SÍ</t>
        </is>
      </c>
      <c r="S297" s="15" t="inlineStr">
        <is>
          <t>CUMPLE</t>
        </is>
      </c>
      <c r="T297" s="3" t="inlineStr">
        <is>
          <t>coordinar con planta y reanálisis global</t>
        </is>
      </c>
    </row>
    <row r="298">
      <c r="A298" s="23" t="inlineStr">
        <is>
          <t>VR1</t>
        </is>
      </c>
      <c r="B298" s="10" t="inlineStr">
        <is>
          <t>903</t>
        </is>
      </c>
      <c r="C298" s="10" t="inlineStr">
        <is>
          <t>608</t>
        </is>
      </c>
      <c r="D298" s="10" t="inlineStr">
        <is>
          <t>609</t>
        </is>
      </c>
      <c r="E298" s="35" t="n">
        <v>2.5</v>
      </c>
      <c r="F298" s="35" t="n">
        <v>15.5</v>
      </c>
      <c r="G298" s="35" t="n">
        <v>26.1</v>
      </c>
      <c r="H298" s="35" t="n">
        <v>12.5</v>
      </c>
      <c r="I298" s="10" t="inlineStr">
        <is>
          <t>500×550</t>
        </is>
      </c>
      <c r="J298" s="10" t="n">
        <v>5</v>
      </c>
      <c r="K298" s="10" t="n">
        <v>5</v>
      </c>
      <c r="L298" s="10" t="n">
        <v>0</v>
      </c>
      <c r="M298" s="10" t="inlineStr">
        <is>
          <t>Nº3 cerrado</t>
        </is>
      </c>
      <c r="N298" s="10" t="n">
        <v>2</v>
      </c>
      <c r="O298" s="35" t="n">
        <v>110</v>
      </c>
      <c r="P298" s="35" t="n">
        <v>110</v>
      </c>
      <c r="Q298" s="35" t="n">
        <v>0.4467838893491881</v>
      </c>
      <c r="R298" s="10" t="inlineStr">
        <is>
          <t>SÍ</t>
        </is>
      </c>
      <c r="S298" s="15" t="inlineStr">
        <is>
          <t>CUMPLE</t>
        </is>
      </c>
      <c r="T298" s="3" t="inlineStr">
        <is>
          <t>coordinar con planta y reanálisis global</t>
        </is>
      </c>
    </row>
    <row r="299">
      <c r="A299" s="23" t="inlineStr">
        <is>
          <t>VR1</t>
        </is>
      </c>
      <c r="B299" s="10" t="inlineStr">
        <is>
          <t>904</t>
        </is>
      </c>
      <c r="C299" s="10" t="inlineStr">
        <is>
          <t>609</t>
        </is>
      </c>
      <c r="D299" s="10" t="inlineStr">
        <is>
          <t>610</t>
        </is>
      </c>
      <c r="E299" s="35" t="n">
        <v>2.6</v>
      </c>
      <c r="F299" s="35" t="n">
        <v>15.5</v>
      </c>
      <c r="G299" s="35" t="n">
        <v>28.65</v>
      </c>
      <c r="H299" s="35" t="n">
        <v>12.5</v>
      </c>
      <c r="I299" s="10" t="inlineStr">
        <is>
          <t>500×550</t>
        </is>
      </c>
      <c r="J299" s="10" t="n">
        <v>5</v>
      </c>
      <c r="K299" s="10" t="n">
        <v>5</v>
      </c>
      <c r="L299" s="10" t="n">
        <v>0</v>
      </c>
      <c r="M299" s="10" t="inlineStr">
        <is>
          <t>Nº3 cerrado</t>
        </is>
      </c>
      <c r="N299" s="10" t="n">
        <v>2</v>
      </c>
      <c r="O299" s="35" t="n">
        <v>120</v>
      </c>
      <c r="P299" s="35" t="n">
        <v>120</v>
      </c>
      <c r="Q299" s="35" t="n">
        <v>0.4238650479795035</v>
      </c>
      <c r="R299" s="10" t="inlineStr">
        <is>
          <t>SÍ</t>
        </is>
      </c>
      <c r="S299" s="15" t="inlineStr">
        <is>
          <t>CUMPLE</t>
        </is>
      </c>
      <c r="T299" s="3" t="inlineStr">
        <is>
          <t>coordinar con planta y reanálisis global</t>
        </is>
      </c>
    </row>
    <row r="300">
      <c r="A300" s="23" t="inlineStr">
        <is>
          <t>VR1</t>
        </is>
      </c>
      <c r="B300" s="10" t="inlineStr">
        <is>
          <t>905</t>
        </is>
      </c>
      <c r="C300" s="10" t="inlineStr">
        <is>
          <t>610</t>
        </is>
      </c>
      <c r="D300" s="10" t="inlineStr">
        <is>
          <t>611</t>
        </is>
      </c>
      <c r="E300" s="35" t="n">
        <v>3.65</v>
      </c>
      <c r="F300" s="35" t="n">
        <v>15.5</v>
      </c>
      <c r="G300" s="35" t="n">
        <v>31.775</v>
      </c>
      <c r="H300" s="35" t="n">
        <v>12.5</v>
      </c>
      <c r="I300" s="10" t="inlineStr">
        <is>
          <t>500×550</t>
        </is>
      </c>
      <c r="J300" s="10" t="n">
        <v>5</v>
      </c>
      <c r="K300" s="10" t="n">
        <v>5</v>
      </c>
      <c r="L300" s="10" t="n">
        <v>0</v>
      </c>
      <c r="M300" s="10" t="inlineStr">
        <is>
          <t>Nº3 cerrado</t>
        </is>
      </c>
      <c r="N300" s="10" t="n">
        <v>2</v>
      </c>
      <c r="O300" s="35" t="n">
        <v>120</v>
      </c>
      <c r="P300" s="35" t="n">
        <v>210</v>
      </c>
      <c r="Q300" s="35" t="n">
        <v>0.3342927300993224</v>
      </c>
      <c r="R300" s="10" t="inlineStr">
        <is>
          <t>SÍ</t>
        </is>
      </c>
      <c r="S300" s="15" t="inlineStr">
        <is>
          <t>CUMPLE</t>
        </is>
      </c>
      <c r="T300" s="3" t="inlineStr">
        <is>
          <t>coordinar con planta y reanálisis global</t>
        </is>
      </c>
    </row>
    <row r="301">
      <c r="A301" s="23" t="inlineStr">
        <is>
          <t>VR1</t>
        </is>
      </c>
      <c r="B301" s="10" t="inlineStr">
        <is>
          <t>906</t>
        </is>
      </c>
      <c r="C301" s="10" t="inlineStr">
        <is>
          <t>611</t>
        </is>
      </c>
      <c r="D301" s="10" t="inlineStr">
        <is>
          <t>612</t>
        </is>
      </c>
      <c r="E301" s="35" t="n">
        <v>2.6</v>
      </c>
      <c r="F301" s="35" t="n">
        <v>15.5</v>
      </c>
      <c r="G301" s="35" t="n">
        <v>34.9</v>
      </c>
      <c r="H301" s="35" t="n">
        <v>12.5</v>
      </c>
      <c r="I301" s="10" t="inlineStr">
        <is>
          <t>500×550</t>
        </is>
      </c>
      <c r="J301" s="10" t="n">
        <v>5</v>
      </c>
      <c r="K301" s="10" t="n">
        <v>5</v>
      </c>
      <c r="L301" s="10" t="n">
        <v>0</v>
      </c>
      <c r="M301" s="10" t="inlineStr">
        <is>
          <t>Nº3 cerrado</t>
        </is>
      </c>
      <c r="N301" s="10" t="n">
        <v>2</v>
      </c>
      <c r="O301" s="35" t="n">
        <v>120</v>
      </c>
      <c r="P301" s="35" t="n">
        <v>120</v>
      </c>
      <c r="Q301" s="35" t="n">
        <v>0.4281095978456746</v>
      </c>
      <c r="R301" s="10" t="inlineStr">
        <is>
          <t>SÍ</t>
        </is>
      </c>
      <c r="S301" s="15" t="inlineStr">
        <is>
          <t>CUMPLE</t>
        </is>
      </c>
      <c r="T301" s="3" t="inlineStr">
        <is>
          <t>coordinar con planta y reanálisis global</t>
        </is>
      </c>
    </row>
    <row r="302">
      <c r="A302" s="23" t="inlineStr">
        <is>
          <t>VR1</t>
        </is>
      </c>
      <c r="B302" s="10" t="inlineStr">
        <is>
          <t>947</t>
        </is>
      </c>
      <c r="C302" s="10" t="inlineStr">
        <is>
          <t>613</t>
        </is>
      </c>
      <c r="D302" s="10" t="inlineStr">
        <is>
          <t>614</t>
        </is>
      </c>
      <c r="E302" s="35" t="n">
        <v>2.6</v>
      </c>
      <c r="F302" s="35" t="n">
        <v>0</v>
      </c>
      <c r="G302" s="35" t="n">
        <v>1.3</v>
      </c>
      <c r="H302" s="35" t="n">
        <v>15.5</v>
      </c>
      <c r="I302" s="10" t="inlineStr">
        <is>
          <t>500×550</t>
        </is>
      </c>
      <c r="J302" s="10" t="n">
        <v>5</v>
      </c>
      <c r="K302" s="10" t="n">
        <v>5</v>
      </c>
      <c r="L302" s="10" t="n">
        <v>0</v>
      </c>
      <c r="M302" s="10" t="inlineStr">
        <is>
          <t>Nº3 cerrado</t>
        </is>
      </c>
      <c r="N302" s="10" t="n">
        <v>2</v>
      </c>
      <c r="O302" s="35" t="n">
        <v>120</v>
      </c>
      <c r="P302" s="35" t="n">
        <v>160</v>
      </c>
      <c r="Q302" s="35" t="n">
        <v>0.3699592728681364</v>
      </c>
      <c r="R302" s="10" t="inlineStr">
        <is>
          <t>SÍ</t>
        </is>
      </c>
      <c r="S302" s="15" t="inlineStr">
        <is>
          <t>CUMPLE</t>
        </is>
      </c>
      <c r="T302" s="3" t="inlineStr">
        <is>
          <t>coordinar con planta y reanálisis global</t>
        </is>
      </c>
    </row>
    <row r="303">
      <c r="A303" s="23" t="inlineStr">
        <is>
          <t>VR1</t>
        </is>
      </c>
      <c r="B303" s="10" t="inlineStr">
        <is>
          <t>948</t>
        </is>
      </c>
      <c r="C303" s="10" t="inlineStr">
        <is>
          <t>614</t>
        </is>
      </c>
      <c r="D303" s="10" t="inlineStr">
        <is>
          <t>615</t>
        </is>
      </c>
      <c r="E303" s="35" t="n">
        <v>3.65</v>
      </c>
      <c r="F303" s="35" t="n">
        <v>0</v>
      </c>
      <c r="G303" s="35" t="n">
        <v>4.425</v>
      </c>
      <c r="H303" s="35" t="n">
        <v>15.5</v>
      </c>
      <c r="I303" s="10" t="inlineStr">
        <is>
          <t>500×550</t>
        </is>
      </c>
      <c r="J303" s="10" t="n">
        <v>5</v>
      </c>
      <c r="K303" s="10" t="n">
        <v>5</v>
      </c>
      <c r="L303" s="10" t="n">
        <v>0</v>
      </c>
      <c r="M303" s="10" t="inlineStr">
        <is>
          <t>Nº3 cerrado</t>
        </is>
      </c>
      <c r="N303" s="10" t="n">
        <v>2</v>
      </c>
      <c r="O303" s="35" t="n">
        <v>120</v>
      </c>
      <c r="P303" s="35" t="n">
        <v>240</v>
      </c>
      <c r="Q303" s="35" t="n">
        <v>0.281127674181841</v>
      </c>
      <c r="R303" s="10" t="inlineStr">
        <is>
          <t>SÍ</t>
        </is>
      </c>
      <c r="S303" s="15" t="inlineStr">
        <is>
          <t>CUMPLE</t>
        </is>
      </c>
      <c r="T303" s="3" t="inlineStr">
        <is>
          <t>coordinar con planta y reanálisis global</t>
        </is>
      </c>
    </row>
    <row r="304">
      <c r="A304" s="23" t="inlineStr">
        <is>
          <t>VR1</t>
        </is>
      </c>
      <c r="B304" s="10" t="inlineStr">
        <is>
          <t>949</t>
        </is>
      </c>
      <c r="C304" s="10" t="inlineStr">
        <is>
          <t>615</t>
        </is>
      </c>
      <c r="D304" s="10" t="inlineStr">
        <is>
          <t>616</t>
        </is>
      </c>
      <c r="E304" s="35" t="n">
        <v>2.6</v>
      </c>
      <c r="F304" s="35" t="n">
        <v>0</v>
      </c>
      <c r="G304" s="35" t="n">
        <v>7.55</v>
      </c>
      <c r="H304" s="35" t="n">
        <v>15.5</v>
      </c>
      <c r="I304" s="10" t="inlineStr">
        <is>
          <t>500×550</t>
        </is>
      </c>
      <c r="J304" s="10" t="n">
        <v>5</v>
      </c>
      <c r="K304" s="10" t="n">
        <v>5</v>
      </c>
      <c r="L304" s="10" t="n">
        <v>0</v>
      </c>
      <c r="M304" s="10" t="inlineStr">
        <is>
          <t>Nº3 cerrado</t>
        </is>
      </c>
      <c r="N304" s="10" t="n">
        <v>2</v>
      </c>
      <c r="O304" s="35" t="n">
        <v>120</v>
      </c>
      <c r="P304" s="35" t="n">
        <v>160</v>
      </c>
      <c r="Q304" s="35" t="n">
        <v>0.3661563541274678</v>
      </c>
      <c r="R304" s="10" t="inlineStr">
        <is>
          <t>SÍ</t>
        </is>
      </c>
      <c r="S304" s="15" t="inlineStr">
        <is>
          <t>CUMPLE</t>
        </is>
      </c>
      <c r="T304" s="3" t="inlineStr">
        <is>
          <t>coordinar con planta y reanálisis global</t>
        </is>
      </c>
    </row>
    <row r="305">
      <c r="A305" s="23" t="inlineStr">
        <is>
          <t>VR1</t>
        </is>
      </c>
      <c r="B305" s="10" t="inlineStr">
        <is>
          <t>950</t>
        </is>
      </c>
      <c r="C305" s="10" t="inlineStr">
        <is>
          <t>616</t>
        </is>
      </c>
      <c r="D305" s="10" t="inlineStr">
        <is>
          <t>617</t>
        </is>
      </c>
      <c r="E305" s="35" t="n">
        <v>2.5</v>
      </c>
      <c r="F305" s="35" t="n">
        <v>0</v>
      </c>
      <c r="G305" s="35" t="n">
        <v>10.1</v>
      </c>
      <c r="H305" s="35" t="n">
        <v>15.5</v>
      </c>
      <c r="I305" s="10" t="inlineStr">
        <is>
          <t>500×550</t>
        </is>
      </c>
      <c r="J305" s="10" t="n">
        <v>5</v>
      </c>
      <c r="K305" s="10" t="n">
        <v>5</v>
      </c>
      <c r="L305" s="10" t="n">
        <v>0</v>
      </c>
      <c r="M305" s="10" t="inlineStr">
        <is>
          <t>Nº3 cerrado</t>
        </is>
      </c>
      <c r="N305" s="10" t="n">
        <v>2</v>
      </c>
      <c r="O305" s="35" t="n">
        <v>120</v>
      </c>
      <c r="P305" s="35" t="n">
        <v>140</v>
      </c>
      <c r="Q305" s="35" t="n">
        <v>0.3870185374887062</v>
      </c>
      <c r="R305" s="10" t="inlineStr">
        <is>
          <t>SÍ</t>
        </is>
      </c>
      <c r="S305" s="15" t="inlineStr">
        <is>
          <t>CUMPLE</t>
        </is>
      </c>
      <c r="T305" s="3" t="inlineStr">
        <is>
          <t>coordinar con planta y reanálisis global</t>
        </is>
      </c>
    </row>
    <row r="306">
      <c r="A306" s="23" t="inlineStr">
        <is>
          <t>VR1</t>
        </is>
      </c>
      <c r="B306" s="10" t="inlineStr">
        <is>
          <t>951</t>
        </is>
      </c>
      <c r="C306" s="10" t="inlineStr">
        <is>
          <t>617</t>
        </is>
      </c>
      <c r="D306" s="10" t="inlineStr">
        <is>
          <t>618</t>
        </is>
      </c>
      <c r="E306" s="35" t="n">
        <v>4</v>
      </c>
      <c r="F306" s="35" t="n">
        <v>0</v>
      </c>
      <c r="G306" s="35" t="n">
        <v>13.35</v>
      </c>
      <c r="H306" s="35" t="n">
        <v>15.5</v>
      </c>
      <c r="I306" s="10" t="inlineStr">
        <is>
          <t>500×550</t>
        </is>
      </c>
      <c r="J306" s="10" t="n">
        <v>5</v>
      </c>
      <c r="K306" s="10" t="n">
        <v>5</v>
      </c>
      <c r="L306" s="10" t="n">
        <v>0</v>
      </c>
      <c r="M306" s="10" t="inlineStr">
        <is>
          <t>Nº3 cerrado</t>
        </is>
      </c>
      <c r="N306" s="10" t="n">
        <v>2</v>
      </c>
      <c r="O306" s="35" t="n">
        <v>120</v>
      </c>
      <c r="P306" s="35" t="n">
        <v>240</v>
      </c>
      <c r="Q306" s="35" t="n">
        <v>0.2747557963068792</v>
      </c>
      <c r="R306" s="10" t="inlineStr">
        <is>
          <t>SÍ</t>
        </is>
      </c>
      <c r="S306" s="15" t="inlineStr">
        <is>
          <t>CUMPLE</t>
        </is>
      </c>
      <c r="T306" s="3" t="inlineStr">
        <is>
          <t>coordinar con planta y reanálisis global</t>
        </is>
      </c>
    </row>
    <row r="307">
      <c r="A307" s="23" t="inlineStr">
        <is>
          <t>VR1</t>
        </is>
      </c>
      <c r="B307" s="10" t="inlineStr">
        <is>
          <t>952</t>
        </is>
      </c>
      <c r="C307" s="10" t="inlineStr">
        <is>
          <t>619</t>
        </is>
      </c>
      <c r="D307" s="10" t="inlineStr">
        <is>
          <t>620</t>
        </is>
      </c>
      <c r="E307" s="35" t="n">
        <v>4</v>
      </c>
      <c r="F307" s="35" t="n">
        <v>0</v>
      </c>
      <c r="G307" s="35" t="n">
        <v>22.85</v>
      </c>
      <c r="H307" s="35" t="n">
        <v>15.5</v>
      </c>
      <c r="I307" s="10" t="inlineStr">
        <is>
          <t>500×550</t>
        </is>
      </c>
      <c r="J307" s="10" t="n">
        <v>5</v>
      </c>
      <c r="K307" s="10" t="n">
        <v>5</v>
      </c>
      <c r="L307" s="10" t="n">
        <v>0</v>
      </c>
      <c r="M307" s="10" t="inlineStr">
        <is>
          <t>Nº3 cerrado</t>
        </is>
      </c>
      <c r="N307" s="10" t="n">
        <v>2</v>
      </c>
      <c r="O307" s="35" t="n">
        <v>120</v>
      </c>
      <c r="P307" s="35" t="n">
        <v>240</v>
      </c>
      <c r="Q307" s="35" t="n">
        <v>0.2749158855410437</v>
      </c>
      <c r="R307" s="10" t="inlineStr">
        <is>
          <t>SÍ</t>
        </is>
      </c>
      <c r="S307" s="15" t="inlineStr">
        <is>
          <t>CUMPLE</t>
        </is>
      </c>
      <c r="T307" s="3" t="inlineStr">
        <is>
          <t>coordinar con planta y reanálisis global</t>
        </is>
      </c>
    </row>
    <row r="308">
      <c r="A308" s="23" t="inlineStr">
        <is>
          <t>VR1</t>
        </is>
      </c>
      <c r="B308" s="10" t="inlineStr">
        <is>
          <t>953</t>
        </is>
      </c>
      <c r="C308" s="10" t="inlineStr">
        <is>
          <t>620</t>
        </is>
      </c>
      <c r="D308" s="10" t="inlineStr">
        <is>
          <t>621</t>
        </is>
      </c>
      <c r="E308" s="35" t="n">
        <v>2.5</v>
      </c>
      <c r="F308" s="35" t="n">
        <v>0</v>
      </c>
      <c r="G308" s="35" t="n">
        <v>26.1</v>
      </c>
      <c r="H308" s="35" t="n">
        <v>15.5</v>
      </c>
      <c r="I308" s="10" t="inlineStr">
        <is>
          <t>500×550</t>
        </is>
      </c>
      <c r="J308" s="10" t="n">
        <v>5</v>
      </c>
      <c r="K308" s="10" t="n">
        <v>5</v>
      </c>
      <c r="L308" s="10" t="n">
        <v>0</v>
      </c>
      <c r="M308" s="10" t="inlineStr">
        <is>
          <t>Nº3 cerrado</t>
        </is>
      </c>
      <c r="N308" s="10" t="n">
        <v>2</v>
      </c>
      <c r="O308" s="35" t="n">
        <v>120</v>
      </c>
      <c r="P308" s="35" t="n">
        <v>140</v>
      </c>
      <c r="Q308" s="35" t="n">
        <v>0.3871096959390024</v>
      </c>
      <c r="R308" s="10" t="inlineStr">
        <is>
          <t>SÍ</t>
        </is>
      </c>
      <c r="S308" s="15" t="inlineStr">
        <is>
          <t>CUMPLE</t>
        </is>
      </c>
      <c r="T308" s="3" t="inlineStr">
        <is>
          <t>coordinar con planta y reanálisis global</t>
        </is>
      </c>
    </row>
    <row r="309">
      <c r="A309" s="23" t="inlineStr">
        <is>
          <t>VR1</t>
        </is>
      </c>
      <c r="B309" s="10" t="inlineStr">
        <is>
          <t>954</t>
        </is>
      </c>
      <c r="C309" s="10" t="inlineStr">
        <is>
          <t>621</t>
        </is>
      </c>
      <c r="D309" s="10" t="inlineStr">
        <is>
          <t>622</t>
        </is>
      </c>
      <c r="E309" s="35" t="n">
        <v>2.6</v>
      </c>
      <c r="F309" s="35" t="n">
        <v>0</v>
      </c>
      <c r="G309" s="35" t="n">
        <v>28.65</v>
      </c>
      <c r="H309" s="35" t="n">
        <v>15.5</v>
      </c>
      <c r="I309" s="10" t="inlineStr">
        <is>
          <t>500×550</t>
        </is>
      </c>
      <c r="J309" s="10" t="n">
        <v>5</v>
      </c>
      <c r="K309" s="10" t="n">
        <v>5</v>
      </c>
      <c r="L309" s="10" t="n">
        <v>0</v>
      </c>
      <c r="M309" s="10" t="inlineStr">
        <is>
          <t>Nº3 cerrado</t>
        </is>
      </c>
      <c r="N309" s="10" t="n">
        <v>2</v>
      </c>
      <c r="O309" s="35" t="n">
        <v>120</v>
      </c>
      <c r="P309" s="35" t="n">
        <v>160</v>
      </c>
      <c r="Q309" s="35" t="n">
        <v>0.3660805773273416</v>
      </c>
      <c r="R309" s="10" t="inlineStr">
        <is>
          <t>SÍ</t>
        </is>
      </c>
      <c r="S309" s="15" t="inlineStr">
        <is>
          <t>CUMPLE</t>
        </is>
      </c>
      <c r="T309" s="3" t="inlineStr">
        <is>
          <t>coordinar con planta y reanálisis global</t>
        </is>
      </c>
    </row>
    <row r="310">
      <c r="A310" s="23" t="inlineStr">
        <is>
          <t>VR1</t>
        </is>
      </c>
      <c r="B310" s="10" t="inlineStr">
        <is>
          <t>955</t>
        </is>
      </c>
      <c r="C310" s="10" t="inlineStr">
        <is>
          <t>622</t>
        </is>
      </c>
      <c r="D310" s="10" t="inlineStr">
        <is>
          <t>623</t>
        </is>
      </c>
      <c r="E310" s="35" t="n">
        <v>3.65</v>
      </c>
      <c r="F310" s="35" t="n">
        <v>0</v>
      </c>
      <c r="G310" s="35" t="n">
        <v>31.775</v>
      </c>
      <c r="H310" s="35" t="n">
        <v>15.5</v>
      </c>
      <c r="I310" s="10" t="inlineStr">
        <is>
          <t>500×550</t>
        </is>
      </c>
      <c r="J310" s="10" t="n">
        <v>5</v>
      </c>
      <c r="K310" s="10" t="n">
        <v>5</v>
      </c>
      <c r="L310" s="10" t="n">
        <v>0</v>
      </c>
      <c r="M310" s="10" t="inlineStr">
        <is>
          <t>Nº3 cerrado</t>
        </is>
      </c>
      <c r="N310" s="10" t="n">
        <v>2</v>
      </c>
      <c r="O310" s="35" t="n">
        <v>120</v>
      </c>
      <c r="P310" s="35" t="n">
        <v>240</v>
      </c>
      <c r="Q310" s="35" t="n">
        <v>0.2811957537655774</v>
      </c>
      <c r="R310" s="10" t="inlineStr">
        <is>
          <t>SÍ</t>
        </is>
      </c>
      <c r="S310" s="15" t="inlineStr">
        <is>
          <t>CUMPLE</t>
        </is>
      </c>
      <c r="T310" s="3" t="inlineStr">
        <is>
          <t>coordinar con planta y reanálisis global</t>
        </is>
      </c>
    </row>
    <row r="311">
      <c r="A311" s="23" t="inlineStr">
        <is>
          <t>VR1</t>
        </is>
      </c>
      <c r="B311" s="10" t="inlineStr">
        <is>
          <t>956</t>
        </is>
      </c>
      <c r="C311" s="10" t="inlineStr">
        <is>
          <t>623</t>
        </is>
      </c>
      <c r="D311" s="10" t="inlineStr">
        <is>
          <t>624</t>
        </is>
      </c>
      <c r="E311" s="35" t="n">
        <v>2.6</v>
      </c>
      <c r="F311" s="35" t="n">
        <v>0</v>
      </c>
      <c r="G311" s="35" t="n">
        <v>34.9</v>
      </c>
      <c r="H311" s="35" t="n">
        <v>15.5</v>
      </c>
      <c r="I311" s="10" t="inlineStr">
        <is>
          <t>500×550</t>
        </is>
      </c>
      <c r="J311" s="10" t="n">
        <v>5</v>
      </c>
      <c r="K311" s="10" t="n">
        <v>5</v>
      </c>
      <c r="L311" s="10" t="n">
        <v>0</v>
      </c>
      <c r="M311" s="10" t="inlineStr">
        <is>
          <t>Nº3 cerrado</t>
        </is>
      </c>
      <c r="N311" s="10" t="n">
        <v>2</v>
      </c>
      <c r="O311" s="35" t="n">
        <v>120</v>
      </c>
      <c r="P311" s="35" t="n">
        <v>160</v>
      </c>
      <c r="Q311" s="35" t="n">
        <v>0.3700355891744294</v>
      </c>
      <c r="R311" s="10" t="inlineStr">
        <is>
          <t>SÍ</t>
        </is>
      </c>
      <c r="S311" s="15" t="inlineStr">
        <is>
          <t>CUMPLE</t>
        </is>
      </c>
      <c r="T311" s="3" t="inlineStr">
        <is>
          <t>coordinar con planta y reanálisis global</t>
        </is>
      </c>
    </row>
    <row r="312">
      <c r="A312" s="23" t="inlineStr">
        <is>
          <t>VR1</t>
        </is>
      </c>
      <c r="B312" s="10" t="inlineStr">
        <is>
          <t>991</t>
        </is>
      </c>
      <c r="C312" s="10" t="inlineStr">
        <is>
          <t>662</t>
        </is>
      </c>
      <c r="D312" s="10" t="inlineStr">
        <is>
          <t>663</t>
        </is>
      </c>
      <c r="E312" s="35" t="n">
        <v>2.6</v>
      </c>
      <c r="F312" s="35" t="n">
        <v>15.5</v>
      </c>
      <c r="G312" s="35" t="n">
        <v>1.3</v>
      </c>
      <c r="H312" s="35" t="n">
        <v>15.5</v>
      </c>
      <c r="I312" s="10" t="inlineStr">
        <is>
          <t>500×550</t>
        </is>
      </c>
      <c r="J312" s="10" t="n">
        <v>5</v>
      </c>
      <c r="K312" s="10" t="n">
        <v>5</v>
      </c>
      <c r="L312" s="10" t="n">
        <v>0</v>
      </c>
      <c r="M312" s="10" t="inlineStr">
        <is>
          <t>Nº3 cerrado</t>
        </is>
      </c>
      <c r="N312" s="10" t="n">
        <v>2</v>
      </c>
      <c r="O312" s="35" t="n">
        <v>120</v>
      </c>
      <c r="P312" s="35" t="n">
        <v>160</v>
      </c>
      <c r="Q312" s="35" t="n">
        <v>0.3699480043198234</v>
      </c>
      <c r="R312" s="10" t="inlineStr">
        <is>
          <t>SÍ</t>
        </is>
      </c>
      <c r="S312" s="15" t="inlineStr">
        <is>
          <t>CUMPLE</t>
        </is>
      </c>
      <c r="T312" s="3" t="inlineStr">
        <is>
          <t>coordinar con planta y reanálisis global</t>
        </is>
      </c>
    </row>
    <row r="313">
      <c r="A313" s="23" t="inlineStr">
        <is>
          <t>VR1</t>
        </is>
      </c>
      <c r="B313" s="10" t="inlineStr">
        <is>
          <t>992</t>
        </is>
      </c>
      <c r="C313" s="10" t="inlineStr">
        <is>
          <t>663</t>
        </is>
      </c>
      <c r="D313" s="10" t="inlineStr">
        <is>
          <t>664</t>
        </is>
      </c>
      <c r="E313" s="35" t="n">
        <v>3.65</v>
      </c>
      <c r="F313" s="35" t="n">
        <v>15.5</v>
      </c>
      <c r="G313" s="35" t="n">
        <v>4.425</v>
      </c>
      <c r="H313" s="35" t="n">
        <v>15.5</v>
      </c>
      <c r="I313" s="10" t="inlineStr">
        <is>
          <t>500×550</t>
        </is>
      </c>
      <c r="J313" s="10" t="n">
        <v>5</v>
      </c>
      <c r="K313" s="10" t="n">
        <v>5</v>
      </c>
      <c r="L313" s="10" t="n">
        <v>0</v>
      </c>
      <c r="M313" s="10" t="inlineStr">
        <is>
          <t>Nº3 cerrado</t>
        </is>
      </c>
      <c r="N313" s="10" t="n">
        <v>2</v>
      </c>
      <c r="O313" s="35" t="n">
        <v>120</v>
      </c>
      <c r="P313" s="35" t="n">
        <v>240</v>
      </c>
      <c r="Q313" s="35" t="n">
        <v>0.2811179294322869</v>
      </c>
      <c r="R313" s="10" t="inlineStr">
        <is>
          <t>SÍ</t>
        </is>
      </c>
      <c r="S313" s="15" t="inlineStr">
        <is>
          <t>CUMPLE</t>
        </is>
      </c>
      <c r="T313" s="3" t="inlineStr">
        <is>
          <t>coordinar con planta y reanálisis global</t>
        </is>
      </c>
    </row>
    <row r="314">
      <c r="A314" s="23" t="inlineStr">
        <is>
          <t>VR1</t>
        </is>
      </c>
      <c r="B314" s="10" t="inlineStr">
        <is>
          <t>993</t>
        </is>
      </c>
      <c r="C314" s="10" t="inlineStr">
        <is>
          <t>664</t>
        </is>
      </c>
      <c r="D314" s="10" t="inlineStr">
        <is>
          <t>665</t>
        </is>
      </c>
      <c r="E314" s="35" t="n">
        <v>2.6</v>
      </c>
      <c r="F314" s="35" t="n">
        <v>15.5</v>
      </c>
      <c r="G314" s="35" t="n">
        <v>7.55</v>
      </c>
      <c r="H314" s="35" t="n">
        <v>15.5</v>
      </c>
      <c r="I314" s="10" t="inlineStr">
        <is>
          <t>500×550</t>
        </is>
      </c>
      <c r="J314" s="10" t="n">
        <v>5</v>
      </c>
      <c r="K314" s="10" t="n">
        <v>5</v>
      </c>
      <c r="L314" s="10" t="n">
        <v>0</v>
      </c>
      <c r="M314" s="10" t="inlineStr">
        <is>
          <t>Nº3 cerrado</t>
        </is>
      </c>
      <c r="N314" s="10" t="n">
        <v>2</v>
      </c>
      <c r="O314" s="35" t="n">
        <v>120</v>
      </c>
      <c r="P314" s="35" t="n">
        <v>160</v>
      </c>
      <c r="Q314" s="35" t="n">
        <v>0.3661692389447502</v>
      </c>
      <c r="R314" s="10" t="inlineStr">
        <is>
          <t>SÍ</t>
        </is>
      </c>
      <c r="S314" s="15" t="inlineStr">
        <is>
          <t>CUMPLE</t>
        </is>
      </c>
      <c r="T314" s="3" t="inlineStr">
        <is>
          <t>coordinar con planta y reanálisis global</t>
        </is>
      </c>
    </row>
    <row r="315">
      <c r="A315" s="23" t="inlineStr">
        <is>
          <t>VR1</t>
        </is>
      </c>
      <c r="B315" s="10" t="inlineStr">
        <is>
          <t>994</t>
        </is>
      </c>
      <c r="C315" s="10" t="inlineStr">
        <is>
          <t>665</t>
        </is>
      </c>
      <c r="D315" s="10" t="inlineStr">
        <is>
          <t>666</t>
        </is>
      </c>
      <c r="E315" s="35" t="n">
        <v>2.5</v>
      </c>
      <c r="F315" s="35" t="n">
        <v>15.5</v>
      </c>
      <c r="G315" s="35" t="n">
        <v>10.1</v>
      </c>
      <c r="H315" s="35" t="n">
        <v>15.5</v>
      </c>
      <c r="I315" s="10" t="inlineStr">
        <is>
          <t>500×550</t>
        </is>
      </c>
      <c r="J315" s="10" t="n">
        <v>5</v>
      </c>
      <c r="K315" s="10" t="n">
        <v>5</v>
      </c>
      <c r="L315" s="10" t="n">
        <v>0</v>
      </c>
      <c r="M315" s="10" t="inlineStr">
        <is>
          <t>Nº3 cerrado</t>
        </is>
      </c>
      <c r="N315" s="10" t="n">
        <v>2</v>
      </c>
      <c r="O315" s="35" t="n">
        <v>120</v>
      </c>
      <c r="P315" s="35" t="n">
        <v>140</v>
      </c>
      <c r="Q315" s="35" t="n">
        <v>0.387004631916436</v>
      </c>
      <c r="R315" s="10" t="inlineStr">
        <is>
          <t>SÍ</t>
        </is>
      </c>
      <c r="S315" s="15" t="inlineStr">
        <is>
          <t>CUMPLE</t>
        </is>
      </c>
      <c r="T315" s="3" t="inlineStr">
        <is>
          <t>coordinar con planta y reanálisis global</t>
        </is>
      </c>
    </row>
    <row r="316">
      <c r="A316" s="23" t="inlineStr">
        <is>
          <t>VR1</t>
        </is>
      </c>
      <c r="B316" s="10" t="inlineStr">
        <is>
          <t>995</t>
        </is>
      </c>
      <c r="C316" s="10" t="inlineStr">
        <is>
          <t>666</t>
        </is>
      </c>
      <c r="D316" s="10" t="inlineStr">
        <is>
          <t>667</t>
        </is>
      </c>
      <c r="E316" s="35" t="n">
        <v>4</v>
      </c>
      <c r="F316" s="35" t="n">
        <v>15.5</v>
      </c>
      <c r="G316" s="35" t="n">
        <v>13.35</v>
      </c>
      <c r="H316" s="35" t="n">
        <v>15.5</v>
      </c>
      <c r="I316" s="10" t="inlineStr">
        <is>
          <t>500×550</t>
        </is>
      </c>
      <c r="J316" s="10" t="n">
        <v>5</v>
      </c>
      <c r="K316" s="10" t="n">
        <v>5</v>
      </c>
      <c r="L316" s="10" t="n">
        <v>0</v>
      </c>
      <c r="M316" s="10" t="inlineStr">
        <is>
          <t>Nº3 cerrado</t>
        </is>
      </c>
      <c r="N316" s="10" t="n">
        <v>2</v>
      </c>
      <c r="O316" s="35" t="n">
        <v>120</v>
      </c>
      <c r="P316" s="35" t="n">
        <v>240</v>
      </c>
      <c r="Q316" s="35" t="n">
        <v>0.2747646097663701</v>
      </c>
      <c r="R316" s="10" t="inlineStr">
        <is>
          <t>SÍ</t>
        </is>
      </c>
      <c r="S316" s="15" t="inlineStr">
        <is>
          <t>CUMPLE</t>
        </is>
      </c>
      <c r="T316" s="3" t="inlineStr">
        <is>
          <t>coordinar con planta y reanálisis global</t>
        </is>
      </c>
    </row>
    <row r="317">
      <c r="A317" s="23" t="inlineStr">
        <is>
          <t>VR1</t>
        </is>
      </c>
      <c r="B317" s="10" t="inlineStr">
        <is>
          <t>996</t>
        </is>
      </c>
      <c r="C317" s="10" t="inlineStr">
        <is>
          <t>668</t>
        </is>
      </c>
      <c r="D317" s="10" t="inlineStr">
        <is>
          <t>669</t>
        </is>
      </c>
      <c r="E317" s="35" t="n">
        <v>4</v>
      </c>
      <c r="F317" s="35" t="n">
        <v>15.5</v>
      </c>
      <c r="G317" s="35" t="n">
        <v>22.85</v>
      </c>
      <c r="H317" s="35" t="n">
        <v>15.5</v>
      </c>
      <c r="I317" s="10" t="inlineStr">
        <is>
          <t>500×550</t>
        </is>
      </c>
      <c r="J317" s="10" t="n">
        <v>5</v>
      </c>
      <c r="K317" s="10" t="n">
        <v>5</v>
      </c>
      <c r="L317" s="10" t="n">
        <v>0</v>
      </c>
      <c r="M317" s="10" t="inlineStr">
        <is>
          <t>Nº3 cerrado</t>
        </is>
      </c>
      <c r="N317" s="10" t="n">
        <v>2</v>
      </c>
      <c r="O317" s="35" t="n">
        <v>120</v>
      </c>
      <c r="P317" s="35" t="n">
        <v>240</v>
      </c>
      <c r="Q317" s="35" t="n">
        <v>0.2749070697291556</v>
      </c>
      <c r="R317" s="10" t="inlineStr">
        <is>
          <t>SÍ</t>
        </is>
      </c>
      <c r="S317" s="15" t="inlineStr">
        <is>
          <t>CUMPLE</t>
        </is>
      </c>
      <c r="T317" s="3" t="inlineStr">
        <is>
          <t>coordinar con planta y reanálisis global</t>
        </is>
      </c>
    </row>
    <row r="318">
      <c r="A318" s="23" t="inlineStr">
        <is>
          <t>VR1</t>
        </is>
      </c>
      <c r="B318" s="10" t="inlineStr">
        <is>
          <t>997</t>
        </is>
      </c>
      <c r="C318" s="10" t="inlineStr">
        <is>
          <t>669</t>
        </is>
      </c>
      <c r="D318" s="10" t="inlineStr">
        <is>
          <t>670</t>
        </is>
      </c>
      <c r="E318" s="35" t="n">
        <v>2.5</v>
      </c>
      <c r="F318" s="35" t="n">
        <v>15.5</v>
      </c>
      <c r="G318" s="35" t="n">
        <v>26.1</v>
      </c>
      <c r="H318" s="35" t="n">
        <v>15.5</v>
      </c>
      <c r="I318" s="10" t="inlineStr">
        <is>
          <t>500×550</t>
        </is>
      </c>
      <c r="J318" s="10" t="n">
        <v>5</v>
      </c>
      <c r="K318" s="10" t="n">
        <v>5</v>
      </c>
      <c r="L318" s="10" t="n">
        <v>0</v>
      </c>
      <c r="M318" s="10" t="inlineStr">
        <is>
          <t>Nº3 cerrado</t>
        </is>
      </c>
      <c r="N318" s="10" t="n">
        <v>2</v>
      </c>
      <c r="O318" s="35" t="n">
        <v>120</v>
      </c>
      <c r="P318" s="35" t="n">
        <v>140</v>
      </c>
      <c r="Q318" s="35" t="n">
        <v>0.3871222456345581</v>
      </c>
      <c r="R318" s="10" t="inlineStr">
        <is>
          <t>SÍ</t>
        </is>
      </c>
      <c r="S318" s="15" t="inlineStr">
        <is>
          <t>CUMPLE</t>
        </is>
      </c>
      <c r="T318" s="3" t="inlineStr">
        <is>
          <t>coordinar con planta y reanálisis global</t>
        </is>
      </c>
    </row>
    <row r="319">
      <c r="A319" s="23" t="inlineStr">
        <is>
          <t>VR1</t>
        </is>
      </c>
      <c r="B319" s="10" t="inlineStr">
        <is>
          <t>998</t>
        </is>
      </c>
      <c r="C319" s="10" t="inlineStr">
        <is>
          <t>670</t>
        </is>
      </c>
      <c r="D319" s="10" t="inlineStr">
        <is>
          <t>671</t>
        </is>
      </c>
      <c r="E319" s="35" t="n">
        <v>2.6</v>
      </c>
      <c r="F319" s="35" t="n">
        <v>15.5</v>
      </c>
      <c r="G319" s="35" t="n">
        <v>28.65</v>
      </c>
      <c r="H319" s="35" t="n">
        <v>15.5</v>
      </c>
      <c r="I319" s="10" t="inlineStr">
        <is>
          <t>500×550</t>
        </is>
      </c>
      <c r="J319" s="10" t="n">
        <v>5</v>
      </c>
      <c r="K319" s="10" t="n">
        <v>5</v>
      </c>
      <c r="L319" s="10" t="n">
        <v>0</v>
      </c>
      <c r="M319" s="10" t="inlineStr">
        <is>
          <t>Nº3 cerrado</t>
        </is>
      </c>
      <c r="N319" s="10" t="n">
        <v>2</v>
      </c>
      <c r="O319" s="35" t="n">
        <v>120</v>
      </c>
      <c r="P319" s="35" t="n">
        <v>160</v>
      </c>
      <c r="Q319" s="35" t="n">
        <v>0.3660689618944249</v>
      </c>
      <c r="R319" s="10" t="inlineStr">
        <is>
          <t>SÍ</t>
        </is>
      </c>
      <c r="S319" s="15" t="inlineStr">
        <is>
          <t>CUMPLE</t>
        </is>
      </c>
      <c r="T319" s="3" t="inlineStr">
        <is>
          <t>coordinar con planta y reanálisis global</t>
        </is>
      </c>
    </row>
    <row r="320">
      <c r="A320" s="23" t="inlineStr">
        <is>
          <t>VR1</t>
        </is>
      </c>
      <c r="B320" s="10" t="inlineStr">
        <is>
          <t>999</t>
        </is>
      </c>
      <c r="C320" s="10" t="inlineStr">
        <is>
          <t>671</t>
        </is>
      </c>
      <c r="D320" s="10" t="inlineStr">
        <is>
          <t>672</t>
        </is>
      </c>
      <c r="E320" s="35" t="n">
        <v>3.65</v>
      </c>
      <c r="F320" s="35" t="n">
        <v>15.5</v>
      </c>
      <c r="G320" s="35" t="n">
        <v>31.775</v>
      </c>
      <c r="H320" s="35" t="n">
        <v>15.5</v>
      </c>
      <c r="I320" s="10" t="inlineStr">
        <is>
          <t>500×550</t>
        </is>
      </c>
      <c r="J320" s="10" t="n">
        <v>5</v>
      </c>
      <c r="K320" s="10" t="n">
        <v>5</v>
      </c>
      <c r="L320" s="10" t="n">
        <v>0</v>
      </c>
      <c r="M320" s="10" t="inlineStr">
        <is>
          <t>Nº3 cerrado</t>
        </is>
      </c>
      <c r="N320" s="10" t="n">
        <v>2</v>
      </c>
      <c r="O320" s="35" t="n">
        <v>120</v>
      </c>
      <c r="P320" s="35" t="n">
        <v>240</v>
      </c>
      <c r="Q320" s="35" t="n">
        <v>0.2812042168001037</v>
      </c>
      <c r="R320" s="10" t="inlineStr">
        <is>
          <t>SÍ</t>
        </is>
      </c>
      <c r="S320" s="15" t="inlineStr">
        <is>
          <t>CUMPLE</t>
        </is>
      </c>
      <c r="T320" s="3" t="inlineStr">
        <is>
          <t>coordinar con planta y reanálisis global</t>
        </is>
      </c>
    </row>
    <row r="321">
      <c r="A321" s="23" t="inlineStr">
        <is>
          <t>VR1</t>
        </is>
      </c>
      <c r="B321" s="10" t="inlineStr">
        <is>
          <t>1000</t>
        </is>
      </c>
      <c r="C321" s="10" t="inlineStr">
        <is>
          <t>672</t>
        </is>
      </c>
      <c r="D321" s="10" t="inlineStr">
        <is>
          <t>673</t>
        </is>
      </c>
      <c r="E321" s="35" t="n">
        <v>2.6</v>
      </c>
      <c r="F321" s="35" t="n">
        <v>15.5</v>
      </c>
      <c r="G321" s="35" t="n">
        <v>34.9</v>
      </c>
      <c r="H321" s="35" t="n">
        <v>15.5</v>
      </c>
      <c r="I321" s="10" t="inlineStr">
        <is>
          <t>500×550</t>
        </is>
      </c>
      <c r="J321" s="10" t="n">
        <v>5</v>
      </c>
      <c r="K321" s="10" t="n">
        <v>5</v>
      </c>
      <c r="L321" s="10" t="n">
        <v>0</v>
      </c>
      <c r="M321" s="10" t="inlineStr">
        <is>
          <t>Nº3 cerrado</t>
        </is>
      </c>
      <c r="N321" s="10" t="n">
        <v>2</v>
      </c>
      <c r="O321" s="35" t="n">
        <v>120</v>
      </c>
      <c r="P321" s="35" t="n">
        <v>160</v>
      </c>
      <c r="Q321" s="35" t="n">
        <v>0.3700480287294177</v>
      </c>
      <c r="R321" s="10" t="inlineStr">
        <is>
          <t>SÍ</t>
        </is>
      </c>
      <c r="S321" s="15" t="inlineStr">
        <is>
          <t>CUMPLE</t>
        </is>
      </c>
      <c r="T321" s="3" t="inlineStr">
        <is>
          <t>coordinar con planta y reanálisis global</t>
        </is>
      </c>
    </row>
    <row r="322">
      <c r="A322" s="24" t="inlineStr">
        <is>
          <t>VR N1</t>
        </is>
      </c>
      <c r="B322" s="10" t="inlineStr">
        <is>
          <t>1</t>
        </is>
      </c>
      <c r="C322" s="10" t="inlineStr">
        <is>
          <t>1</t>
        </is>
      </c>
      <c r="D322" s="10" t="inlineStr">
        <is>
          <t>2</t>
        </is>
      </c>
      <c r="E322" s="35" t="n">
        <v>2.6</v>
      </c>
      <c r="F322" s="35" t="n">
        <v>0</v>
      </c>
      <c r="G322" s="35" t="n">
        <v>1.3</v>
      </c>
      <c r="H322" s="35" t="n">
        <v>3.5</v>
      </c>
      <c r="I322" s="10" t="inlineStr">
        <is>
          <t>500×550</t>
        </is>
      </c>
      <c r="J322" s="10" t="n">
        <v>6</v>
      </c>
      <c r="K322" s="10" t="n">
        <v>5</v>
      </c>
      <c r="L322" s="10" t="n">
        <v>0</v>
      </c>
      <c r="M322" s="10" t="inlineStr">
        <is>
          <t>Nº3 cerrado</t>
        </is>
      </c>
      <c r="N322" s="10" t="n">
        <v>4</v>
      </c>
      <c r="O322" s="35" t="n">
        <v>80</v>
      </c>
      <c r="P322" s="35" t="n">
        <v>80</v>
      </c>
      <c r="Q322" s="35" t="n">
        <v>0.8734297248466668</v>
      </c>
      <c r="R322" s="10" t="inlineStr">
        <is>
          <t>SÍ</t>
        </is>
      </c>
      <c r="S322" s="15" t="inlineStr">
        <is>
          <t>CUMPLE</t>
        </is>
      </c>
      <c r="T322" s="3" t="inlineStr">
        <is>
          <t>coordinar con planta y reanálisis global</t>
        </is>
      </c>
    </row>
    <row r="323">
      <c r="A323" s="24" t="inlineStr">
        <is>
          <t>VR N1</t>
        </is>
      </c>
      <c r="B323" s="10" t="inlineStr">
        <is>
          <t>2</t>
        </is>
      </c>
      <c r="C323" s="10" t="inlineStr">
        <is>
          <t>2</t>
        </is>
      </c>
      <c r="D323" s="10" t="inlineStr">
        <is>
          <t>3</t>
        </is>
      </c>
      <c r="E323" s="35" t="n">
        <v>3.65</v>
      </c>
      <c r="F323" s="35" t="n">
        <v>0</v>
      </c>
      <c r="G323" s="35" t="n">
        <v>4.425</v>
      </c>
      <c r="H323" s="35" t="n">
        <v>3.5</v>
      </c>
      <c r="I323" s="10" t="inlineStr">
        <is>
          <t>500×550</t>
        </is>
      </c>
      <c r="J323" s="10" t="n">
        <v>6</v>
      </c>
      <c r="K323" s="10" t="n">
        <v>5</v>
      </c>
      <c r="L323" s="10" t="n">
        <v>0</v>
      </c>
      <c r="M323" s="10" t="inlineStr">
        <is>
          <t>Nº4 cerrado</t>
        </is>
      </c>
      <c r="N323" s="10" t="n">
        <v>2</v>
      </c>
      <c r="O323" s="35" t="n">
        <v>120</v>
      </c>
      <c r="P323" s="35" t="n">
        <v>140</v>
      </c>
      <c r="Q323" s="35" t="n">
        <v>0.5585136425060123</v>
      </c>
      <c r="R323" s="10" t="inlineStr">
        <is>
          <t>SÍ</t>
        </is>
      </c>
      <c r="S323" s="15" t="inlineStr">
        <is>
          <t>CUMPLE</t>
        </is>
      </c>
      <c r="T323" s="3" t="inlineStr">
        <is>
          <t>coordinar con planta y reanálisis global</t>
        </is>
      </c>
    </row>
    <row r="324">
      <c r="A324" s="24" t="inlineStr">
        <is>
          <t>VR N1</t>
        </is>
      </c>
      <c r="B324" s="10" t="inlineStr">
        <is>
          <t>3</t>
        </is>
      </c>
      <c r="C324" s="10" t="inlineStr">
        <is>
          <t>3</t>
        </is>
      </c>
      <c r="D324" s="10" t="inlineStr">
        <is>
          <t>4</t>
        </is>
      </c>
      <c r="E324" s="35" t="n">
        <v>2.6</v>
      </c>
      <c r="F324" s="35" t="n">
        <v>0</v>
      </c>
      <c r="G324" s="35" t="n">
        <v>7.55</v>
      </c>
      <c r="H324" s="35" t="n">
        <v>3.5</v>
      </c>
      <c r="I324" s="10" t="inlineStr">
        <is>
          <t>500×550</t>
        </is>
      </c>
      <c r="J324" s="10" t="n">
        <v>5</v>
      </c>
      <c r="K324" s="10" t="n">
        <v>5</v>
      </c>
      <c r="L324" s="10" t="n">
        <v>0</v>
      </c>
      <c r="M324" s="10" t="inlineStr">
        <is>
          <t>Nº4 cerrado</t>
        </is>
      </c>
      <c r="N324" s="10" t="n">
        <v>2</v>
      </c>
      <c r="O324" s="35" t="n">
        <v>80</v>
      </c>
      <c r="P324" s="35" t="n">
        <v>80</v>
      </c>
      <c r="Q324" s="35" t="n">
        <v>0.7934220890336277</v>
      </c>
      <c r="R324" s="10" t="inlineStr">
        <is>
          <t>SÍ</t>
        </is>
      </c>
      <c r="S324" s="15" t="inlineStr">
        <is>
          <t>CUMPLE</t>
        </is>
      </c>
      <c r="T324" s="3" t="inlineStr">
        <is>
          <t>coordinar con planta y reanálisis global</t>
        </is>
      </c>
    </row>
    <row r="325">
      <c r="A325" s="24" t="inlineStr">
        <is>
          <t>VR N1</t>
        </is>
      </c>
      <c r="B325" s="10" t="inlineStr">
        <is>
          <t>4</t>
        </is>
      </c>
      <c r="C325" s="10" t="inlineStr">
        <is>
          <t>4</t>
        </is>
      </c>
      <c r="D325" s="10" t="inlineStr">
        <is>
          <t>5</t>
        </is>
      </c>
      <c r="E325" s="35" t="n">
        <v>2.5</v>
      </c>
      <c r="F325" s="35" t="n">
        <v>0</v>
      </c>
      <c r="G325" s="35" t="n">
        <v>10.1</v>
      </c>
      <c r="H325" s="35" t="n">
        <v>3.5</v>
      </c>
      <c r="I325" s="10" t="inlineStr">
        <is>
          <t>500×550</t>
        </is>
      </c>
      <c r="J325" s="10" t="n">
        <v>6</v>
      </c>
      <c r="K325" s="10" t="n">
        <v>5</v>
      </c>
      <c r="L325" s="10" t="n">
        <v>0</v>
      </c>
      <c r="M325" s="10" t="inlineStr">
        <is>
          <t>Nº3 cerrado</t>
        </is>
      </c>
      <c r="N325" s="10" t="n">
        <v>4</v>
      </c>
      <c r="O325" s="35" t="n">
        <v>80</v>
      </c>
      <c r="P325" s="35" t="n">
        <v>80</v>
      </c>
      <c r="Q325" s="35" t="n">
        <v>0.87332439117534</v>
      </c>
      <c r="R325" s="10" t="inlineStr">
        <is>
          <t>SÍ</t>
        </is>
      </c>
      <c r="S325" s="15" t="inlineStr">
        <is>
          <t>CUMPLE</t>
        </is>
      </c>
      <c r="T325" s="3" t="inlineStr">
        <is>
          <t>coordinar con planta y reanálisis global</t>
        </is>
      </c>
    </row>
    <row r="326">
      <c r="A326" s="24" t="inlineStr">
        <is>
          <t>VR N1</t>
        </is>
      </c>
      <c r="B326" s="10" t="inlineStr">
        <is>
          <t>5</t>
        </is>
      </c>
      <c r="C326" s="10" t="inlineStr">
        <is>
          <t>5</t>
        </is>
      </c>
      <c r="D326" s="10" t="inlineStr">
        <is>
          <t>6</t>
        </is>
      </c>
      <c r="E326" s="35" t="n">
        <v>4</v>
      </c>
      <c r="F326" s="35" t="n">
        <v>0</v>
      </c>
      <c r="G326" s="35" t="n">
        <v>13.35</v>
      </c>
      <c r="H326" s="35" t="n">
        <v>3.5</v>
      </c>
      <c r="I326" s="10" t="inlineStr">
        <is>
          <t>500×550</t>
        </is>
      </c>
      <c r="J326" s="10" t="n">
        <v>6</v>
      </c>
      <c r="K326" s="10" t="n">
        <v>5</v>
      </c>
      <c r="L326" s="10" t="n">
        <v>8</v>
      </c>
      <c r="M326" s="10" t="inlineStr">
        <is>
          <t>Nº4 cerrado</t>
        </is>
      </c>
      <c r="N326" s="10" t="n">
        <v>2</v>
      </c>
      <c r="O326" s="35" t="n">
        <v>120</v>
      </c>
      <c r="P326" s="35" t="n">
        <v>140</v>
      </c>
      <c r="Q326" s="35" t="n">
        <v>0.5103449618897222</v>
      </c>
      <c r="R326" s="10" t="inlineStr">
        <is>
          <t>SÍ</t>
        </is>
      </c>
      <c r="S326" s="15" t="inlineStr">
        <is>
          <t>CUMPLE</t>
        </is>
      </c>
      <c r="T326" s="3" t="inlineStr">
        <is>
          <t>coordinar con planta y reanálisis global</t>
        </is>
      </c>
    </row>
    <row r="327">
      <c r="A327" s="24" t="inlineStr">
        <is>
          <t>VR N1</t>
        </is>
      </c>
      <c r="B327" s="10" t="inlineStr">
        <is>
          <t>6</t>
        </is>
      </c>
      <c r="C327" s="10" t="inlineStr">
        <is>
          <t>7</t>
        </is>
      </c>
      <c r="D327" s="10" t="inlineStr">
        <is>
          <t>8</t>
        </is>
      </c>
      <c r="E327" s="35" t="n">
        <v>4</v>
      </c>
      <c r="F327" s="35" t="n">
        <v>0</v>
      </c>
      <c r="G327" s="35" t="n">
        <v>22.85</v>
      </c>
      <c r="H327" s="35" t="n">
        <v>3.5</v>
      </c>
      <c r="I327" s="10" t="inlineStr">
        <is>
          <t>500×550</t>
        </is>
      </c>
      <c r="J327" s="10" t="n">
        <v>6</v>
      </c>
      <c r="K327" s="10" t="n">
        <v>5</v>
      </c>
      <c r="L327" s="10" t="n">
        <v>8</v>
      </c>
      <c r="M327" s="10" t="inlineStr">
        <is>
          <t>Nº4 cerrado</t>
        </is>
      </c>
      <c r="N327" s="10" t="n">
        <v>2</v>
      </c>
      <c r="O327" s="35" t="n">
        <v>120</v>
      </c>
      <c r="P327" s="35" t="n">
        <v>140</v>
      </c>
      <c r="Q327" s="35" t="n">
        <v>0.5104986552297408</v>
      </c>
      <c r="R327" s="10" t="inlineStr">
        <is>
          <t>SÍ</t>
        </is>
      </c>
      <c r="S327" s="15" t="inlineStr">
        <is>
          <t>CUMPLE</t>
        </is>
      </c>
      <c r="T327" s="3" t="inlineStr">
        <is>
          <t>coordinar con planta y reanálisis global</t>
        </is>
      </c>
    </row>
    <row r="328">
      <c r="A328" s="24" t="inlineStr">
        <is>
          <t>VR N1</t>
        </is>
      </c>
      <c r="B328" s="10" t="inlineStr">
        <is>
          <t>7</t>
        </is>
      </c>
      <c r="C328" s="10" t="inlineStr">
        <is>
          <t>8</t>
        </is>
      </c>
      <c r="D328" s="10" t="inlineStr">
        <is>
          <t>9</t>
        </is>
      </c>
      <c r="E328" s="35" t="n">
        <v>2.5</v>
      </c>
      <c r="F328" s="35" t="n">
        <v>0</v>
      </c>
      <c r="G328" s="35" t="n">
        <v>26.1</v>
      </c>
      <c r="H328" s="35" t="n">
        <v>3.5</v>
      </c>
      <c r="I328" s="10" t="inlineStr">
        <is>
          <t>500×550</t>
        </is>
      </c>
      <c r="J328" s="10" t="n">
        <v>6</v>
      </c>
      <c r="K328" s="10" t="n">
        <v>5</v>
      </c>
      <c r="L328" s="10" t="n">
        <v>0</v>
      </c>
      <c r="M328" s="10" t="inlineStr">
        <is>
          <t>Nº3 cerrado</t>
        </is>
      </c>
      <c r="N328" s="10" t="n">
        <v>4</v>
      </c>
      <c r="O328" s="35" t="n">
        <v>80</v>
      </c>
      <c r="P328" s="35" t="n">
        <v>80</v>
      </c>
      <c r="Q328" s="35" t="n">
        <v>0.8734134226993918</v>
      </c>
      <c r="R328" s="10" t="inlineStr">
        <is>
          <t>SÍ</t>
        </is>
      </c>
      <c r="S328" s="15" t="inlineStr">
        <is>
          <t>CUMPLE</t>
        </is>
      </c>
      <c r="T328" s="3" t="inlineStr">
        <is>
          <t>coordinar con planta y reanálisis global</t>
        </is>
      </c>
    </row>
    <row r="329">
      <c r="A329" s="24" t="inlineStr">
        <is>
          <t>VR N1</t>
        </is>
      </c>
      <c r="B329" s="10" t="inlineStr">
        <is>
          <t>8</t>
        </is>
      </c>
      <c r="C329" s="10" t="inlineStr">
        <is>
          <t>9</t>
        </is>
      </c>
      <c r="D329" s="10" t="inlineStr">
        <is>
          <t>10</t>
        </is>
      </c>
      <c r="E329" s="35" t="n">
        <v>2.6</v>
      </c>
      <c r="F329" s="35" t="n">
        <v>0</v>
      </c>
      <c r="G329" s="35" t="n">
        <v>28.65</v>
      </c>
      <c r="H329" s="35" t="n">
        <v>3.5</v>
      </c>
      <c r="I329" s="10" t="inlineStr">
        <is>
          <t>500×550</t>
        </is>
      </c>
      <c r="J329" s="10" t="n">
        <v>5</v>
      </c>
      <c r="K329" s="10" t="n">
        <v>5</v>
      </c>
      <c r="L329" s="10" t="n">
        <v>0</v>
      </c>
      <c r="M329" s="10" t="inlineStr">
        <is>
          <t>Nº4 cerrado</t>
        </is>
      </c>
      <c r="N329" s="10" t="n">
        <v>2</v>
      </c>
      <c r="O329" s="35" t="n">
        <v>80</v>
      </c>
      <c r="P329" s="35" t="n">
        <v>80</v>
      </c>
      <c r="Q329" s="35" t="n">
        <v>0.7933665669504613</v>
      </c>
      <c r="R329" s="10" t="inlineStr">
        <is>
          <t>SÍ</t>
        </is>
      </c>
      <c r="S329" s="15" t="inlineStr">
        <is>
          <t>CUMPLE</t>
        </is>
      </c>
      <c r="T329" s="3" t="inlineStr">
        <is>
          <t>coordinar con planta y reanálisis global</t>
        </is>
      </c>
    </row>
    <row r="330">
      <c r="A330" s="24" t="inlineStr">
        <is>
          <t>VR N1</t>
        </is>
      </c>
      <c r="B330" s="10" t="inlineStr">
        <is>
          <t>9</t>
        </is>
      </c>
      <c r="C330" s="10" t="inlineStr">
        <is>
          <t>10</t>
        </is>
      </c>
      <c r="D330" s="10" t="inlineStr">
        <is>
          <t>11</t>
        </is>
      </c>
      <c r="E330" s="35" t="n">
        <v>3.65</v>
      </c>
      <c r="F330" s="35" t="n">
        <v>0</v>
      </c>
      <c r="G330" s="35" t="n">
        <v>31.775</v>
      </c>
      <c r="H330" s="35" t="n">
        <v>3.5</v>
      </c>
      <c r="I330" s="10" t="inlineStr">
        <is>
          <t>500×550</t>
        </is>
      </c>
      <c r="J330" s="10" t="n">
        <v>6</v>
      </c>
      <c r="K330" s="10" t="n">
        <v>5</v>
      </c>
      <c r="L330" s="10" t="n">
        <v>0</v>
      </c>
      <c r="M330" s="10" t="inlineStr">
        <is>
          <t>Nº4 cerrado</t>
        </is>
      </c>
      <c r="N330" s="10" t="n">
        <v>2</v>
      </c>
      <c r="O330" s="35" t="n">
        <v>120</v>
      </c>
      <c r="P330" s="35" t="n">
        <v>140</v>
      </c>
      <c r="Q330" s="35" t="n">
        <v>0.558554737073274</v>
      </c>
      <c r="R330" s="10" t="inlineStr">
        <is>
          <t>SÍ</t>
        </is>
      </c>
      <c r="S330" s="15" t="inlineStr">
        <is>
          <t>CUMPLE</t>
        </is>
      </c>
      <c r="T330" s="3" t="inlineStr">
        <is>
          <t>coordinar con planta y reanálisis global</t>
        </is>
      </c>
    </row>
    <row r="331">
      <c r="A331" s="24" t="inlineStr">
        <is>
          <t>VR N1</t>
        </is>
      </c>
      <c r="B331" s="10" t="inlineStr">
        <is>
          <t>10</t>
        </is>
      </c>
      <c r="C331" s="10" t="inlineStr">
        <is>
          <t>11</t>
        </is>
      </c>
      <c r="D331" s="10" t="inlineStr">
        <is>
          <t>12</t>
        </is>
      </c>
      <c r="E331" s="35" t="n">
        <v>2.6</v>
      </c>
      <c r="F331" s="35" t="n">
        <v>0</v>
      </c>
      <c r="G331" s="35" t="n">
        <v>34.9</v>
      </c>
      <c r="H331" s="35" t="n">
        <v>3.5</v>
      </c>
      <c r="I331" s="10" t="inlineStr">
        <is>
          <t>500×550</t>
        </is>
      </c>
      <c r="J331" s="10" t="n">
        <v>6</v>
      </c>
      <c r="K331" s="10" t="n">
        <v>5</v>
      </c>
      <c r="L331" s="10" t="n">
        <v>0</v>
      </c>
      <c r="M331" s="10" t="inlineStr">
        <is>
          <t>Nº3 cerrado</t>
        </is>
      </c>
      <c r="N331" s="10" t="n">
        <v>4</v>
      </c>
      <c r="O331" s="35" t="n">
        <v>80</v>
      </c>
      <c r="P331" s="35" t="n">
        <v>80</v>
      </c>
      <c r="Q331" s="35" t="n">
        <v>0.873475667061742</v>
      </c>
      <c r="R331" s="10" t="inlineStr">
        <is>
          <t>SÍ</t>
        </is>
      </c>
      <c r="S331" s="15" t="inlineStr">
        <is>
          <t>CUMPLE</t>
        </is>
      </c>
      <c r="T331" s="3" t="inlineStr">
        <is>
          <t>coordinar con planta y reanálisis global</t>
        </is>
      </c>
    </row>
    <row r="332">
      <c r="A332" s="24" t="inlineStr">
        <is>
          <t>VR N1</t>
        </is>
      </c>
      <c r="B332" s="10" t="inlineStr">
        <is>
          <t>45</t>
        </is>
      </c>
      <c r="C332" s="10" t="inlineStr">
        <is>
          <t>50</t>
        </is>
      </c>
      <c r="D332" s="10" t="inlineStr">
        <is>
          <t>51</t>
        </is>
      </c>
      <c r="E332" s="35" t="n">
        <v>2.6</v>
      </c>
      <c r="F332" s="35" t="n">
        <v>15.5</v>
      </c>
      <c r="G332" s="35" t="n">
        <v>1.3</v>
      </c>
      <c r="H332" s="35" t="n">
        <v>3.5</v>
      </c>
      <c r="I332" s="10" t="inlineStr">
        <is>
          <t>500×550</t>
        </is>
      </c>
      <c r="J332" s="10" t="n">
        <v>6</v>
      </c>
      <c r="K332" s="10" t="n">
        <v>5</v>
      </c>
      <c r="L332" s="10" t="n">
        <v>0</v>
      </c>
      <c r="M332" s="10" t="inlineStr">
        <is>
          <t>Nº3 cerrado</t>
        </is>
      </c>
      <c r="N332" s="10" t="n">
        <v>4</v>
      </c>
      <c r="O332" s="35" t="n">
        <v>80</v>
      </c>
      <c r="P332" s="35" t="n">
        <v>80</v>
      </c>
      <c r="Q332" s="35" t="n">
        <v>0.8734194892840459</v>
      </c>
      <c r="R332" s="10" t="inlineStr">
        <is>
          <t>SÍ</t>
        </is>
      </c>
      <c r="S332" s="15" t="inlineStr">
        <is>
          <t>CUMPLE</t>
        </is>
      </c>
      <c r="T332" s="3" t="inlineStr">
        <is>
          <t>coordinar con planta y reanálisis global</t>
        </is>
      </c>
    </row>
    <row r="333">
      <c r="A333" s="24" t="inlineStr">
        <is>
          <t>VR N1</t>
        </is>
      </c>
      <c r="B333" s="10" t="inlineStr">
        <is>
          <t>46</t>
        </is>
      </c>
      <c r="C333" s="10" t="inlineStr">
        <is>
          <t>51</t>
        </is>
      </c>
      <c r="D333" s="10" t="inlineStr">
        <is>
          <t>52</t>
        </is>
      </c>
      <c r="E333" s="35" t="n">
        <v>3.65</v>
      </c>
      <c r="F333" s="35" t="n">
        <v>15.5</v>
      </c>
      <c r="G333" s="35" t="n">
        <v>4.425</v>
      </c>
      <c r="H333" s="35" t="n">
        <v>3.5</v>
      </c>
      <c r="I333" s="10" t="inlineStr">
        <is>
          <t>500×550</t>
        </is>
      </c>
      <c r="J333" s="10" t="n">
        <v>6</v>
      </c>
      <c r="K333" s="10" t="n">
        <v>5</v>
      </c>
      <c r="L333" s="10" t="n">
        <v>0</v>
      </c>
      <c r="M333" s="10" t="inlineStr">
        <is>
          <t>Nº4 cerrado</t>
        </is>
      </c>
      <c r="N333" s="10" t="n">
        <v>2</v>
      </c>
      <c r="O333" s="35" t="n">
        <v>120</v>
      </c>
      <c r="P333" s="35" t="n">
        <v>140</v>
      </c>
      <c r="Q333" s="35" t="n">
        <v>0.5585093019509334</v>
      </c>
      <c r="R333" s="10" t="inlineStr">
        <is>
          <t>SÍ</t>
        </is>
      </c>
      <c r="S333" s="15" t="inlineStr">
        <is>
          <t>CUMPLE</t>
        </is>
      </c>
      <c r="T333" s="3" t="inlineStr">
        <is>
          <t>coordinar con planta y reanálisis global</t>
        </is>
      </c>
    </row>
    <row r="334">
      <c r="A334" s="24" t="inlineStr">
        <is>
          <t>VR N1</t>
        </is>
      </c>
      <c r="B334" s="10" t="inlineStr">
        <is>
          <t>47</t>
        </is>
      </c>
      <c r="C334" s="10" t="inlineStr">
        <is>
          <t>52</t>
        </is>
      </c>
      <c r="D334" s="10" t="inlineStr">
        <is>
          <t>53</t>
        </is>
      </c>
      <c r="E334" s="35" t="n">
        <v>2.6</v>
      </c>
      <c r="F334" s="35" t="n">
        <v>15.5</v>
      </c>
      <c r="G334" s="35" t="n">
        <v>7.55</v>
      </c>
      <c r="H334" s="35" t="n">
        <v>3.5</v>
      </c>
      <c r="I334" s="10" t="inlineStr">
        <is>
          <t>500×550</t>
        </is>
      </c>
      <c r="J334" s="10" t="n">
        <v>5</v>
      </c>
      <c r="K334" s="10" t="n">
        <v>5</v>
      </c>
      <c r="L334" s="10" t="n">
        <v>0</v>
      </c>
      <c r="M334" s="10" t="inlineStr">
        <is>
          <t>Nº4 cerrado</t>
        </is>
      </c>
      <c r="N334" s="10" t="n">
        <v>2</v>
      </c>
      <c r="O334" s="35" t="n">
        <v>80</v>
      </c>
      <c r="P334" s="35" t="n">
        <v>80</v>
      </c>
      <c r="Q334" s="35" t="n">
        <v>0.7934305695718595</v>
      </c>
      <c r="R334" s="10" t="inlineStr">
        <is>
          <t>SÍ</t>
        </is>
      </c>
      <c r="S334" s="15" t="inlineStr">
        <is>
          <t>CUMPLE</t>
        </is>
      </c>
      <c r="T334" s="3" t="inlineStr">
        <is>
          <t>coordinar con planta y reanálisis global</t>
        </is>
      </c>
    </row>
    <row r="335">
      <c r="A335" s="24" t="inlineStr">
        <is>
          <t>VR N1</t>
        </is>
      </c>
      <c r="B335" s="10" t="inlineStr">
        <is>
          <t>48</t>
        </is>
      </c>
      <c r="C335" s="10" t="inlineStr">
        <is>
          <t>53</t>
        </is>
      </c>
      <c r="D335" s="10" t="inlineStr">
        <is>
          <t>54</t>
        </is>
      </c>
      <c r="E335" s="35" t="n">
        <v>2.5</v>
      </c>
      <c r="F335" s="35" t="n">
        <v>15.5</v>
      </c>
      <c r="G335" s="35" t="n">
        <v>10.1</v>
      </c>
      <c r="H335" s="35" t="n">
        <v>3.5</v>
      </c>
      <c r="I335" s="10" t="inlineStr">
        <is>
          <t>500×550</t>
        </is>
      </c>
      <c r="J335" s="10" t="n">
        <v>6</v>
      </c>
      <c r="K335" s="10" t="n">
        <v>5</v>
      </c>
      <c r="L335" s="10" t="n">
        <v>0</v>
      </c>
      <c r="M335" s="10" t="inlineStr">
        <is>
          <t>Nº3 cerrado</t>
        </is>
      </c>
      <c r="N335" s="10" t="n">
        <v>4</v>
      </c>
      <c r="O335" s="35" t="n">
        <v>80</v>
      </c>
      <c r="P335" s="35" t="n">
        <v>80</v>
      </c>
      <c r="Q335" s="35" t="n">
        <v>0.8733143079262948</v>
      </c>
      <c r="R335" s="10" t="inlineStr">
        <is>
          <t>SÍ</t>
        </is>
      </c>
      <c r="S335" s="15" t="inlineStr">
        <is>
          <t>CUMPLE</t>
        </is>
      </c>
      <c r="T335" s="3" t="inlineStr">
        <is>
          <t>coordinar con planta y reanálisis global</t>
        </is>
      </c>
    </row>
    <row r="336">
      <c r="A336" s="24" t="inlineStr">
        <is>
          <t>VR N1</t>
        </is>
      </c>
      <c r="B336" s="10" t="inlineStr">
        <is>
          <t>49</t>
        </is>
      </c>
      <c r="C336" s="10" t="inlineStr">
        <is>
          <t>54</t>
        </is>
      </c>
      <c r="D336" s="10" t="inlineStr">
        <is>
          <t>55</t>
        </is>
      </c>
      <c r="E336" s="35" t="n">
        <v>4</v>
      </c>
      <c r="F336" s="35" t="n">
        <v>15.5</v>
      </c>
      <c r="G336" s="35" t="n">
        <v>13.35</v>
      </c>
      <c r="H336" s="35" t="n">
        <v>3.5</v>
      </c>
      <c r="I336" s="10" t="inlineStr">
        <is>
          <t>500×550</t>
        </is>
      </c>
      <c r="J336" s="10" t="n">
        <v>6</v>
      </c>
      <c r="K336" s="10" t="n">
        <v>5</v>
      </c>
      <c r="L336" s="10" t="n">
        <v>8</v>
      </c>
      <c r="M336" s="10" t="inlineStr">
        <is>
          <t>Nº4 cerrado</t>
        </is>
      </c>
      <c r="N336" s="10" t="n">
        <v>2</v>
      </c>
      <c r="O336" s="35" t="n">
        <v>120</v>
      </c>
      <c r="P336" s="35" t="n">
        <v>140</v>
      </c>
      <c r="Q336" s="35" t="n">
        <v>0.5103511543940108</v>
      </c>
      <c r="R336" s="10" t="inlineStr">
        <is>
          <t>SÍ</t>
        </is>
      </c>
      <c r="S336" s="15" t="inlineStr">
        <is>
          <t>CUMPLE</t>
        </is>
      </c>
      <c r="T336" s="3" t="inlineStr">
        <is>
          <t>coordinar con planta y reanálisis global</t>
        </is>
      </c>
    </row>
    <row r="337">
      <c r="A337" s="24" t="inlineStr">
        <is>
          <t>VR N1</t>
        </is>
      </c>
      <c r="B337" s="10" t="inlineStr">
        <is>
          <t>50</t>
        </is>
      </c>
      <c r="C337" s="10" t="inlineStr">
        <is>
          <t>56</t>
        </is>
      </c>
      <c r="D337" s="10" t="inlineStr">
        <is>
          <t>57</t>
        </is>
      </c>
      <c r="E337" s="35" t="n">
        <v>4</v>
      </c>
      <c r="F337" s="35" t="n">
        <v>15.5</v>
      </c>
      <c r="G337" s="35" t="n">
        <v>22.85</v>
      </c>
      <c r="H337" s="35" t="n">
        <v>3.5</v>
      </c>
      <c r="I337" s="10" t="inlineStr">
        <is>
          <t>500×550</t>
        </is>
      </c>
      <c r="J337" s="10" t="n">
        <v>6</v>
      </c>
      <c r="K337" s="10" t="n">
        <v>5</v>
      </c>
      <c r="L337" s="10" t="n">
        <v>8</v>
      </c>
      <c r="M337" s="10" t="inlineStr">
        <is>
          <t>Nº4 cerrado</t>
        </is>
      </c>
      <c r="N337" s="10" t="n">
        <v>2</v>
      </c>
      <c r="O337" s="35" t="n">
        <v>120</v>
      </c>
      <c r="P337" s="35" t="n">
        <v>140</v>
      </c>
      <c r="Q337" s="35" t="n">
        <v>0.5104924597891729</v>
      </c>
      <c r="R337" s="10" t="inlineStr">
        <is>
          <t>SÍ</t>
        </is>
      </c>
      <c r="S337" s="15" t="inlineStr">
        <is>
          <t>CUMPLE</t>
        </is>
      </c>
      <c r="T337" s="3" t="inlineStr">
        <is>
          <t>coordinar con planta y reanálisis global</t>
        </is>
      </c>
    </row>
    <row r="338">
      <c r="A338" s="24" t="inlineStr">
        <is>
          <t>VR N1</t>
        </is>
      </c>
      <c r="B338" s="10" t="inlineStr">
        <is>
          <t>51</t>
        </is>
      </c>
      <c r="C338" s="10" t="inlineStr">
        <is>
          <t>57</t>
        </is>
      </c>
      <c r="D338" s="10" t="inlineStr">
        <is>
          <t>58</t>
        </is>
      </c>
      <c r="E338" s="35" t="n">
        <v>2.5</v>
      </c>
      <c r="F338" s="35" t="n">
        <v>15.5</v>
      </c>
      <c r="G338" s="35" t="n">
        <v>26.1</v>
      </c>
      <c r="H338" s="35" t="n">
        <v>3.5</v>
      </c>
      <c r="I338" s="10" t="inlineStr">
        <is>
          <t>500×550</t>
        </is>
      </c>
      <c r="J338" s="10" t="n">
        <v>6</v>
      </c>
      <c r="K338" s="10" t="n">
        <v>5</v>
      </c>
      <c r="L338" s="10" t="n">
        <v>0</v>
      </c>
      <c r="M338" s="10" t="inlineStr">
        <is>
          <t>Nº3 cerrado</t>
        </is>
      </c>
      <c r="N338" s="10" t="n">
        <v>4</v>
      </c>
      <c r="O338" s="35" t="n">
        <v>80</v>
      </c>
      <c r="P338" s="35" t="n">
        <v>80</v>
      </c>
      <c r="Q338" s="35" t="n">
        <v>0.8734236858504989</v>
      </c>
      <c r="R338" s="10" t="inlineStr">
        <is>
          <t>SÍ</t>
        </is>
      </c>
      <c r="S338" s="15" t="inlineStr">
        <is>
          <t>CUMPLE</t>
        </is>
      </c>
      <c r="T338" s="3" t="inlineStr">
        <is>
          <t>coordinar con planta y reanálisis global</t>
        </is>
      </c>
    </row>
    <row r="339">
      <c r="A339" s="24" t="inlineStr">
        <is>
          <t>VR N1</t>
        </is>
      </c>
      <c r="B339" s="10" t="inlineStr">
        <is>
          <t>52</t>
        </is>
      </c>
      <c r="C339" s="10" t="inlineStr">
        <is>
          <t>58</t>
        </is>
      </c>
      <c r="D339" s="10" t="inlineStr">
        <is>
          <t>59</t>
        </is>
      </c>
      <c r="E339" s="35" t="n">
        <v>2.6</v>
      </c>
      <c r="F339" s="35" t="n">
        <v>15.5</v>
      </c>
      <c r="G339" s="35" t="n">
        <v>28.65</v>
      </c>
      <c r="H339" s="35" t="n">
        <v>3.5</v>
      </c>
      <c r="I339" s="10" t="inlineStr">
        <is>
          <t>500×550</t>
        </is>
      </c>
      <c r="J339" s="10" t="n">
        <v>5</v>
      </c>
      <c r="K339" s="10" t="n">
        <v>5</v>
      </c>
      <c r="L339" s="10" t="n">
        <v>0</v>
      </c>
      <c r="M339" s="10" t="inlineStr">
        <is>
          <t>Nº4 cerrado</t>
        </is>
      </c>
      <c r="N339" s="10" t="n">
        <v>2</v>
      </c>
      <c r="O339" s="35" t="n">
        <v>80</v>
      </c>
      <c r="P339" s="35" t="n">
        <v>80</v>
      </c>
      <c r="Q339" s="35" t="n">
        <v>0.7933571526643283</v>
      </c>
      <c r="R339" s="10" t="inlineStr">
        <is>
          <t>SÍ</t>
        </is>
      </c>
      <c r="S339" s="15" t="inlineStr">
        <is>
          <t>CUMPLE</t>
        </is>
      </c>
      <c r="T339" s="3" t="inlineStr">
        <is>
          <t>coordinar con planta y reanálisis global</t>
        </is>
      </c>
    </row>
    <row r="340">
      <c r="A340" s="24" t="inlineStr">
        <is>
          <t>VR N1</t>
        </is>
      </c>
      <c r="B340" s="10" t="inlineStr">
        <is>
          <t>53</t>
        </is>
      </c>
      <c r="C340" s="10" t="inlineStr">
        <is>
          <t>59</t>
        </is>
      </c>
      <c r="D340" s="10" t="inlineStr">
        <is>
          <t>60</t>
        </is>
      </c>
      <c r="E340" s="35" t="n">
        <v>3.65</v>
      </c>
      <c r="F340" s="35" t="n">
        <v>15.5</v>
      </c>
      <c r="G340" s="35" t="n">
        <v>31.775</v>
      </c>
      <c r="H340" s="35" t="n">
        <v>3.5</v>
      </c>
      <c r="I340" s="10" t="inlineStr">
        <is>
          <t>500×550</t>
        </is>
      </c>
      <c r="J340" s="10" t="n">
        <v>6</v>
      </c>
      <c r="K340" s="10" t="n">
        <v>5</v>
      </c>
      <c r="L340" s="10" t="n">
        <v>0</v>
      </c>
      <c r="M340" s="10" t="inlineStr">
        <is>
          <t>Nº4 cerrado</t>
        </is>
      </c>
      <c r="N340" s="10" t="n">
        <v>2</v>
      </c>
      <c r="O340" s="35" t="n">
        <v>120</v>
      </c>
      <c r="P340" s="35" t="n">
        <v>140</v>
      </c>
      <c r="Q340" s="35" t="n">
        <v>0.5585600845802376</v>
      </c>
      <c r="R340" s="10" t="inlineStr">
        <is>
          <t>SÍ</t>
        </is>
      </c>
      <c r="S340" s="15" t="inlineStr">
        <is>
          <t>CUMPLE</t>
        </is>
      </c>
      <c r="T340" s="3" t="inlineStr">
        <is>
          <t>coordinar con planta y reanálisis global</t>
        </is>
      </c>
    </row>
    <row r="341">
      <c r="A341" s="24" t="inlineStr">
        <is>
          <t>VR N1</t>
        </is>
      </c>
      <c r="B341" s="10" t="inlineStr">
        <is>
          <t>54</t>
        </is>
      </c>
      <c r="C341" s="10" t="inlineStr">
        <is>
          <t>60</t>
        </is>
      </c>
      <c r="D341" s="10" t="inlineStr">
        <is>
          <t>61</t>
        </is>
      </c>
      <c r="E341" s="35" t="n">
        <v>2.6</v>
      </c>
      <c r="F341" s="35" t="n">
        <v>15.5</v>
      </c>
      <c r="G341" s="35" t="n">
        <v>34.9</v>
      </c>
      <c r="H341" s="35" t="n">
        <v>3.5</v>
      </c>
      <c r="I341" s="10" t="inlineStr">
        <is>
          <t>500×550</t>
        </is>
      </c>
      <c r="J341" s="10" t="n">
        <v>6</v>
      </c>
      <c r="K341" s="10" t="n">
        <v>5</v>
      </c>
      <c r="L341" s="10" t="n">
        <v>0</v>
      </c>
      <c r="M341" s="10" t="inlineStr">
        <is>
          <t>Nº3 cerrado</t>
        </is>
      </c>
      <c r="N341" s="10" t="n">
        <v>4</v>
      </c>
      <c r="O341" s="35" t="n">
        <v>80</v>
      </c>
      <c r="P341" s="35" t="n">
        <v>80</v>
      </c>
      <c r="Q341" s="35" t="n">
        <v>0.8734845433591497</v>
      </c>
      <c r="R341" s="10" t="inlineStr">
        <is>
          <t>SÍ</t>
        </is>
      </c>
      <c r="S341" s="15" t="inlineStr">
        <is>
          <t>CUMPLE</t>
        </is>
      </c>
      <c r="T341" s="3" t="inlineStr">
        <is>
          <t>coordinar con planta y reanálisis global</t>
        </is>
      </c>
    </row>
    <row r="342">
      <c r="A342" s="24" t="inlineStr">
        <is>
          <t>VR N1</t>
        </is>
      </c>
      <c r="B342" s="10" t="inlineStr">
        <is>
          <t>99</t>
        </is>
      </c>
      <c r="C342" s="10" t="inlineStr">
        <is>
          <t>7</t>
        </is>
      </c>
      <c r="D342" s="10" t="inlineStr">
        <is>
          <t>6</t>
        </is>
      </c>
      <c r="E342" s="35" t="n">
        <v>5.5</v>
      </c>
      <c r="F342" s="35" t="n">
        <v>0</v>
      </c>
      <c r="G342" s="35" t="n">
        <v>18.1</v>
      </c>
      <c r="H342" s="35" t="n">
        <v>3.5</v>
      </c>
      <c r="I342" s="10" t="inlineStr">
        <is>
          <t>500×550</t>
        </is>
      </c>
      <c r="J342" s="10" t="n">
        <v>6</v>
      </c>
      <c r="K342" s="10" t="n">
        <v>5</v>
      </c>
      <c r="L342" s="10" t="n">
        <v>0</v>
      </c>
      <c r="M342" s="10" t="inlineStr">
        <is>
          <t>Nº3 cerrado</t>
        </is>
      </c>
      <c r="N342" s="10" t="n">
        <v>2</v>
      </c>
      <c r="O342" s="35" t="n">
        <v>120</v>
      </c>
      <c r="P342" s="35" t="n">
        <v>200</v>
      </c>
      <c r="Q342" s="35" t="n">
        <v>0.3410130371610193</v>
      </c>
      <c r="R342" s="10" t="inlineStr">
        <is>
          <t>SÍ</t>
        </is>
      </c>
      <c r="S342" s="15" t="inlineStr">
        <is>
          <t>CUMPLE</t>
        </is>
      </c>
      <c r="T342" s="3" t="inlineStr">
        <is>
          <t>coordinar con planta y reanálisis global</t>
        </is>
      </c>
    </row>
    <row r="343">
      <c r="A343" s="24" t="inlineStr">
        <is>
          <t>VR N1</t>
        </is>
      </c>
      <c r="B343" s="10" t="inlineStr">
        <is>
          <t>100</t>
        </is>
      </c>
      <c r="C343" s="10" t="inlineStr">
        <is>
          <t>56</t>
        </is>
      </c>
      <c r="D343" s="10" t="inlineStr">
        <is>
          <t>55</t>
        </is>
      </c>
      <c r="E343" s="35" t="n">
        <v>5.5</v>
      </c>
      <c r="F343" s="35" t="n">
        <v>15.5</v>
      </c>
      <c r="G343" s="35" t="n">
        <v>18.1</v>
      </c>
      <c r="H343" s="35" t="n">
        <v>3.5</v>
      </c>
      <c r="I343" s="10" t="inlineStr">
        <is>
          <t>500×550</t>
        </is>
      </c>
      <c r="J343" s="10" t="n">
        <v>6</v>
      </c>
      <c r="K343" s="10" t="n">
        <v>5</v>
      </c>
      <c r="L343" s="10" t="n">
        <v>0</v>
      </c>
      <c r="M343" s="10" t="inlineStr">
        <is>
          <t>Nº3 cerrado</t>
        </is>
      </c>
      <c r="N343" s="10" t="n">
        <v>2</v>
      </c>
      <c r="O343" s="35" t="n">
        <v>120</v>
      </c>
      <c r="P343" s="35" t="n">
        <v>200</v>
      </c>
      <c r="Q343" s="35" t="n">
        <v>0.3410146539464922</v>
      </c>
      <c r="R343" s="10" t="inlineStr">
        <is>
          <t>SÍ</t>
        </is>
      </c>
      <c r="S343" s="15" t="inlineStr">
        <is>
          <t>CUMPLE</t>
        </is>
      </c>
      <c r="T343" s="3" t="inlineStr">
        <is>
          <t>coordinar con planta y reanálisis global</t>
        </is>
      </c>
    </row>
    <row r="344">
      <c r="A344" s="25" t="inlineStr">
        <is>
          <t>VR2</t>
        </is>
      </c>
      <c r="B344" s="10" t="inlineStr">
        <is>
          <t>11</t>
        </is>
      </c>
      <c r="C344" s="10" t="inlineStr">
        <is>
          <t>13</t>
        </is>
      </c>
      <c r="D344" s="10" t="inlineStr">
        <is>
          <t>14</t>
        </is>
      </c>
      <c r="E344" s="35" t="n">
        <v>2.6</v>
      </c>
      <c r="F344" s="35" t="n">
        <v>4</v>
      </c>
      <c r="G344" s="35" t="n">
        <v>34.9</v>
      </c>
      <c r="H344" s="35" t="n">
        <v>3.5</v>
      </c>
      <c r="I344" s="10" t="inlineStr">
        <is>
          <t>500×550</t>
        </is>
      </c>
      <c r="J344" s="10" t="n">
        <v>7</v>
      </c>
      <c r="K344" s="10" t="n">
        <v>5</v>
      </c>
      <c r="L344" s="10" t="n">
        <v>0</v>
      </c>
      <c r="M344" s="10" t="inlineStr">
        <is>
          <t>Nº4 cerrado</t>
        </is>
      </c>
      <c r="N344" s="10" t="n">
        <v>4</v>
      </c>
      <c r="O344" s="35" t="n">
        <v>120</v>
      </c>
      <c r="P344" s="35" t="n">
        <v>120</v>
      </c>
      <c r="Q344" s="35" t="n">
        <v>0.9288168999018191</v>
      </c>
      <c r="R344" s="10" t="inlineStr">
        <is>
          <t>SÍ</t>
        </is>
      </c>
      <c r="S344" s="15" t="inlineStr">
        <is>
          <t>CUMPLE</t>
        </is>
      </c>
      <c r="T344" s="3" t="inlineStr">
        <is>
          <t>coordinar con planta y reanálisis global</t>
        </is>
      </c>
    </row>
    <row r="345">
      <c r="A345" s="25" t="inlineStr">
        <is>
          <t>VR2</t>
        </is>
      </c>
      <c r="B345" s="10" t="inlineStr">
        <is>
          <t>12</t>
        </is>
      </c>
      <c r="C345" s="10" t="inlineStr">
        <is>
          <t>14</t>
        </is>
      </c>
      <c r="D345" s="10" t="inlineStr">
        <is>
          <t>15</t>
        </is>
      </c>
      <c r="E345" s="35" t="n">
        <v>3.65308</v>
      </c>
      <c r="F345" s="35" t="n">
        <v>3.925</v>
      </c>
      <c r="G345" s="35" t="n">
        <v>31.775</v>
      </c>
      <c r="H345" s="35" t="n">
        <v>3.5</v>
      </c>
      <c r="I345" s="10" t="inlineStr">
        <is>
          <t>500×550</t>
        </is>
      </c>
      <c r="J345" s="10" t="n">
        <v>6</v>
      </c>
      <c r="K345" s="10" t="n">
        <v>5</v>
      </c>
      <c r="L345" s="10" t="n">
        <v>8</v>
      </c>
      <c r="M345" s="10" t="inlineStr">
        <is>
          <t>Nº4 cerrado</t>
        </is>
      </c>
      <c r="N345" s="10" t="n">
        <v>2</v>
      </c>
      <c r="O345" s="35" t="n">
        <v>80</v>
      </c>
      <c r="P345" s="35" t="n">
        <v>80</v>
      </c>
      <c r="Q345" s="35" t="n">
        <v>0.7499836646292913</v>
      </c>
      <c r="R345" s="10" t="inlineStr">
        <is>
          <t>SÍ</t>
        </is>
      </c>
      <c r="S345" s="15" t="inlineStr">
        <is>
          <t>CUMPLE</t>
        </is>
      </c>
      <c r="T345" s="3" t="inlineStr">
        <is>
          <t>demostrar compatibilidad antes de reducir Tu</t>
        </is>
      </c>
    </row>
    <row r="346">
      <c r="A346" s="25" t="inlineStr">
        <is>
          <t>VR2</t>
        </is>
      </c>
      <c r="B346" s="10" t="inlineStr">
        <is>
          <t>13</t>
        </is>
      </c>
      <c r="C346" s="10" t="inlineStr">
        <is>
          <t>15</t>
        </is>
      </c>
      <c r="D346" s="10" t="inlineStr">
        <is>
          <t>16</t>
        </is>
      </c>
      <c r="E346" s="35" t="n">
        <v>2.6</v>
      </c>
      <c r="F346" s="35" t="n">
        <v>3.85</v>
      </c>
      <c r="G346" s="35" t="n">
        <v>28.65</v>
      </c>
      <c r="H346" s="35" t="n">
        <v>3.5</v>
      </c>
      <c r="I346" s="10" t="inlineStr">
        <is>
          <t>500×550</t>
        </is>
      </c>
      <c r="J346" s="10" t="n">
        <v>6</v>
      </c>
      <c r="K346" s="10" t="n">
        <v>5</v>
      </c>
      <c r="L346" s="10" t="n">
        <v>8</v>
      </c>
      <c r="M346" s="10" t="inlineStr">
        <is>
          <t>Nº4 cerrado</t>
        </is>
      </c>
      <c r="N346" s="10" t="n">
        <v>4</v>
      </c>
      <c r="O346" s="35" t="n">
        <v>110</v>
      </c>
      <c r="P346" s="35" t="n">
        <v>110</v>
      </c>
      <c r="Q346" s="35" t="n">
        <v>0.9801112125553745</v>
      </c>
      <c r="R346" s="10" t="inlineStr">
        <is>
          <t>SÍ</t>
        </is>
      </c>
      <c r="S346" s="15" t="inlineStr">
        <is>
          <t>CUMPLE</t>
        </is>
      </c>
      <c r="T346" s="3" t="inlineStr">
        <is>
          <t>demostrar compatibilidad antes de reducir Tu</t>
        </is>
      </c>
    </row>
    <row r="347">
      <c r="A347" s="25" t="inlineStr">
        <is>
          <t>VR2</t>
        </is>
      </c>
      <c r="B347" s="10" t="inlineStr">
        <is>
          <t>14</t>
        </is>
      </c>
      <c r="C347" s="10" t="inlineStr">
        <is>
          <t>16</t>
        </is>
      </c>
      <c r="D347" s="10" t="inlineStr">
        <is>
          <t>17</t>
        </is>
      </c>
      <c r="E347" s="35" t="n">
        <v>2.5</v>
      </c>
      <c r="F347" s="35" t="n">
        <v>3.85</v>
      </c>
      <c r="G347" s="35" t="n">
        <v>26.1</v>
      </c>
      <c r="H347" s="35" t="n">
        <v>3.5</v>
      </c>
      <c r="I347" s="10" t="inlineStr">
        <is>
          <t>500×550</t>
        </is>
      </c>
      <c r="J347" s="10" t="n">
        <v>6</v>
      </c>
      <c r="K347" s="10" t="n">
        <v>5</v>
      </c>
      <c r="L347" s="10" t="n">
        <v>8</v>
      </c>
      <c r="M347" s="10" t="inlineStr">
        <is>
          <t>Nº4 cerrado</t>
        </is>
      </c>
      <c r="N347" s="10" t="n">
        <v>4</v>
      </c>
      <c r="O347" s="35" t="n">
        <v>120</v>
      </c>
      <c r="P347" s="35" t="n">
        <v>120</v>
      </c>
      <c r="Q347" s="35" t="n">
        <v>0.8802438325032451</v>
      </c>
      <c r="R347" s="10" t="inlineStr">
        <is>
          <t>SÍ</t>
        </is>
      </c>
      <c r="S347" s="15" t="inlineStr">
        <is>
          <t>CUMPLE</t>
        </is>
      </c>
      <c r="T347" s="3" t="inlineStr">
        <is>
          <t>coordinar con planta y reanálisis global</t>
        </is>
      </c>
    </row>
    <row r="348">
      <c r="A348" s="25" t="inlineStr">
        <is>
          <t>VR2</t>
        </is>
      </c>
      <c r="B348" s="10" t="inlineStr">
        <is>
          <t>15</t>
        </is>
      </c>
      <c r="C348" s="10" t="inlineStr">
        <is>
          <t>17</t>
        </is>
      </c>
      <c r="D348" s="10" t="inlineStr">
        <is>
          <t>18</t>
        </is>
      </c>
      <c r="E348" s="35" t="n">
        <v>4.17612</v>
      </c>
      <c r="F348" s="35" t="n">
        <v>3.25</v>
      </c>
      <c r="G348" s="35" t="n">
        <v>22.85</v>
      </c>
      <c r="H348" s="35" t="n">
        <v>3.5</v>
      </c>
      <c r="I348" s="10" t="inlineStr">
        <is>
          <t>500×550</t>
        </is>
      </c>
      <c r="J348" s="10" t="n">
        <v>6</v>
      </c>
      <c r="K348" s="10" t="n">
        <v>5</v>
      </c>
      <c r="L348" s="10" t="n">
        <v>0</v>
      </c>
      <c r="M348" s="10" t="inlineStr">
        <is>
          <t>Nº3 cerrado</t>
        </is>
      </c>
      <c r="N348" s="10" t="n">
        <v>2</v>
      </c>
      <c r="O348" s="35" t="n">
        <v>90</v>
      </c>
      <c r="P348" s="35" t="n">
        <v>90</v>
      </c>
      <c r="Q348" s="35" t="n">
        <v>0.4950223022160548</v>
      </c>
      <c r="R348" s="10" t="inlineStr">
        <is>
          <t>SÍ</t>
        </is>
      </c>
      <c r="S348" s="15" t="inlineStr">
        <is>
          <t>CUMPLE</t>
        </is>
      </c>
      <c r="T348" s="3" t="inlineStr">
        <is>
          <t>coordinar con planta y reanálisis global</t>
        </is>
      </c>
    </row>
    <row r="349">
      <c r="A349" s="25" t="inlineStr">
        <is>
          <t>VR2</t>
        </is>
      </c>
      <c r="B349" s="10" t="inlineStr">
        <is>
          <t>16</t>
        </is>
      </c>
      <c r="C349" s="10" t="inlineStr">
        <is>
          <t>18</t>
        </is>
      </c>
      <c r="D349" s="10" t="inlineStr">
        <is>
          <t>19</t>
        </is>
      </c>
      <c r="E349" s="35" t="n">
        <v>2.7</v>
      </c>
      <c r="F349" s="35" t="n">
        <v>2.65</v>
      </c>
      <c r="G349" s="35" t="n">
        <v>19.5</v>
      </c>
      <c r="H349" s="35" t="n">
        <v>3.5</v>
      </c>
      <c r="I349" s="10" t="inlineStr">
        <is>
          <t>500×550</t>
        </is>
      </c>
      <c r="J349" s="10" t="n">
        <v>6</v>
      </c>
      <c r="K349" s="10" t="n">
        <v>5</v>
      </c>
      <c r="L349" s="10" t="n">
        <v>12</v>
      </c>
      <c r="M349" s="10" t="inlineStr">
        <is>
          <t>Nº4 cerrado</t>
        </is>
      </c>
      <c r="N349" s="10" t="n">
        <v>4</v>
      </c>
      <c r="O349" s="35" t="n">
        <v>100</v>
      </c>
      <c r="P349" s="35" t="n">
        <v>100</v>
      </c>
      <c r="Q349" s="35" t="n">
        <v>1.150845762699365</v>
      </c>
      <c r="R349" s="10" t="inlineStr">
        <is>
          <t>SÍ</t>
        </is>
      </c>
      <c r="S349" s="19" t="inlineStr">
        <is>
          <t>NO CUMPLE</t>
        </is>
      </c>
      <c r="T349" s="3" t="inlineStr">
        <is>
          <t>aumentar sección por interacción V-T; demostrar compatibilidad antes de reducir Tu</t>
        </is>
      </c>
    </row>
    <row r="350">
      <c r="A350" s="25" t="inlineStr">
        <is>
          <t>VR2</t>
        </is>
      </c>
      <c r="B350" s="10" t="inlineStr">
        <is>
          <t>17</t>
        </is>
      </c>
      <c r="C350" s="10" t="inlineStr">
        <is>
          <t>19</t>
        </is>
      </c>
      <c r="D350" s="10" t="inlineStr">
        <is>
          <t>20</t>
        </is>
      </c>
      <c r="E350" s="35" t="n">
        <v>2.8</v>
      </c>
      <c r="F350" s="35" t="n">
        <v>2.65</v>
      </c>
      <c r="G350" s="35" t="n">
        <v>16.75</v>
      </c>
      <c r="H350" s="35" t="n">
        <v>3.5</v>
      </c>
      <c r="I350" s="10" t="inlineStr">
        <is>
          <t>500×550</t>
        </is>
      </c>
      <c r="J350" s="10" t="n">
        <v>6</v>
      </c>
      <c r="K350" s="10" t="n">
        <v>5</v>
      </c>
      <c r="L350" s="10" t="n">
        <v>8</v>
      </c>
      <c r="M350" s="10" t="inlineStr">
        <is>
          <t>Nº4 cerrado</t>
        </is>
      </c>
      <c r="N350" s="10" t="n">
        <v>4</v>
      </c>
      <c r="O350" s="35" t="n">
        <v>100</v>
      </c>
      <c r="P350" s="35" t="n">
        <v>100</v>
      </c>
      <c r="Q350" s="35" t="n">
        <v>1.110021159436471</v>
      </c>
      <c r="R350" s="10" t="inlineStr">
        <is>
          <t>SÍ</t>
        </is>
      </c>
      <c r="S350" s="19" t="inlineStr">
        <is>
          <t>NO CUMPLE</t>
        </is>
      </c>
      <c r="T350" s="3" t="inlineStr">
        <is>
          <t>aumentar sección por interacción V-T; demostrar compatibilidad antes de reducir Tu</t>
        </is>
      </c>
    </row>
    <row r="351">
      <c r="A351" s="25" t="inlineStr">
        <is>
          <t>VR2</t>
        </is>
      </c>
      <c r="B351" s="10" t="inlineStr">
        <is>
          <t>18</t>
        </is>
      </c>
      <c r="C351" s="10" t="inlineStr">
        <is>
          <t>20</t>
        </is>
      </c>
      <c r="D351" s="10" t="inlineStr">
        <is>
          <t>21</t>
        </is>
      </c>
      <c r="E351" s="35" t="n">
        <v>4.17612</v>
      </c>
      <c r="F351" s="35" t="n">
        <v>3.25</v>
      </c>
      <c r="G351" s="35" t="n">
        <v>13.35</v>
      </c>
      <c r="H351" s="35" t="n">
        <v>3.5</v>
      </c>
      <c r="I351" s="10" t="inlineStr">
        <is>
          <t>500×550</t>
        </is>
      </c>
      <c r="J351" s="10" t="n">
        <v>6</v>
      </c>
      <c r="K351" s="10" t="n">
        <v>5</v>
      </c>
      <c r="L351" s="10" t="n">
        <v>0</v>
      </c>
      <c r="M351" s="10" t="inlineStr">
        <is>
          <t>Nº3 cerrado</t>
        </is>
      </c>
      <c r="N351" s="10" t="n">
        <v>2</v>
      </c>
      <c r="O351" s="35" t="n">
        <v>90</v>
      </c>
      <c r="P351" s="35" t="n">
        <v>90</v>
      </c>
      <c r="Q351" s="35" t="n">
        <v>0.4951437926322039</v>
      </c>
      <c r="R351" s="10" t="inlineStr">
        <is>
          <t>SÍ</t>
        </is>
      </c>
      <c r="S351" s="15" t="inlineStr">
        <is>
          <t>CUMPLE</t>
        </is>
      </c>
      <c r="T351" s="3" t="inlineStr">
        <is>
          <t>coordinar con planta y reanálisis global</t>
        </is>
      </c>
    </row>
    <row r="352">
      <c r="A352" s="25" t="inlineStr">
        <is>
          <t>VR2</t>
        </is>
      </c>
      <c r="B352" s="10" t="inlineStr">
        <is>
          <t>19</t>
        </is>
      </c>
      <c r="C352" s="10" t="inlineStr">
        <is>
          <t>21</t>
        </is>
      </c>
      <c r="D352" s="10" t="inlineStr">
        <is>
          <t>22</t>
        </is>
      </c>
      <c r="E352" s="35" t="n">
        <v>2.5</v>
      </c>
      <c r="F352" s="35" t="n">
        <v>3.85</v>
      </c>
      <c r="G352" s="35" t="n">
        <v>10.1</v>
      </c>
      <c r="H352" s="35" t="n">
        <v>3.5</v>
      </c>
      <c r="I352" s="10" t="inlineStr">
        <is>
          <t>500×550</t>
        </is>
      </c>
      <c r="J352" s="10" t="n">
        <v>6</v>
      </c>
      <c r="K352" s="10" t="n">
        <v>5</v>
      </c>
      <c r="L352" s="10" t="n">
        <v>8</v>
      </c>
      <c r="M352" s="10" t="inlineStr">
        <is>
          <t>Nº4 cerrado</t>
        </is>
      </c>
      <c r="N352" s="10" t="n">
        <v>4</v>
      </c>
      <c r="O352" s="35" t="n">
        <v>120</v>
      </c>
      <c r="P352" s="35" t="n">
        <v>120</v>
      </c>
      <c r="Q352" s="35" t="n">
        <v>0.8800994955214909</v>
      </c>
      <c r="R352" s="10" t="inlineStr">
        <is>
          <t>SÍ</t>
        </is>
      </c>
      <c r="S352" s="15" t="inlineStr">
        <is>
          <t>CUMPLE</t>
        </is>
      </c>
      <c r="T352" s="3" t="inlineStr">
        <is>
          <t>coordinar con planta y reanálisis global</t>
        </is>
      </c>
    </row>
    <row r="353">
      <c r="A353" s="25" t="inlineStr">
        <is>
          <t>VR2</t>
        </is>
      </c>
      <c r="B353" s="10" t="inlineStr">
        <is>
          <t>20</t>
        </is>
      </c>
      <c r="C353" s="10" t="inlineStr">
        <is>
          <t>22</t>
        </is>
      </c>
      <c r="D353" s="10" t="inlineStr">
        <is>
          <t>23</t>
        </is>
      </c>
      <c r="E353" s="35" t="n">
        <v>2.6</v>
      </c>
      <c r="F353" s="35" t="n">
        <v>3.85</v>
      </c>
      <c r="G353" s="35" t="n">
        <v>7.55</v>
      </c>
      <c r="H353" s="35" t="n">
        <v>3.5</v>
      </c>
      <c r="I353" s="10" t="inlineStr">
        <is>
          <t>500×550</t>
        </is>
      </c>
      <c r="J353" s="10" t="n">
        <v>6</v>
      </c>
      <c r="K353" s="10" t="n">
        <v>5</v>
      </c>
      <c r="L353" s="10" t="n">
        <v>8</v>
      </c>
      <c r="M353" s="10" t="inlineStr">
        <is>
          <t>Nº4 cerrado</t>
        </is>
      </c>
      <c r="N353" s="10" t="n">
        <v>4</v>
      </c>
      <c r="O353" s="35" t="n">
        <v>110</v>
      </c>
      <c r="P353" s="35" t="n">
        <v>110</v>
      </c>
      <c r="Q353" s="35" t="n">
        <v>0.9804428838065866</v>
      </c>
      <c r="R353" s="10" t="inlineStr">
        <is>
          <t>SÍ</t>
        </is>
      </c>
      <c r="S353" s="15" t="inlineStr">
        <is>
          <t>CUMPLE</t>
        </is>
      </c>
      <c r="T353" s="3" t="inlineStr">
        <is>
          <t>demostrar compatibilidad antes de reducir Tu</t>
        </is>
      </c>
    </row>
    <row r="354">
      <c r="A354" s="25" t="inlineStr">
        <is>
          <t>VR2</t>
        </is>
      </c>
      <c r="B354" s="10" t="inlineStr">
        <is>
          <t>21</t>
        </is>
      </c>
      <c r="C354" s="10" t="inlineStr">
        <is>
          <t>23</t>
        </is>
      </c>
      <c r="D354" s="10" t="inlineStr">
        <is>
          <t>24</t>
        </is>
      </c>
      <c r="E354" s="35" t="n">
        <v>3.65308</v>
      </c>
      <c r="F354" s="35" t="n">
        <v>3.925</v>
      </c>
      <c r="G354" s="35" t="n">
        <v>4.425</v>
      </c>
      <c r="H354" s="35" t="n">
        <v>3.5</v>
      </c>
      <c r="I354" s="10" t="inlineStr">
        <is>
          <t>500×550</t>
        </is>
      </c>
      <c r="J354" s="10" t="n">
        <v>6</v>
      </c>
      <c r="K354" s="10" t="n">
        <v>5</v>
      </c>
      <c r="L354" s="10" t="n">
        <v>8</v>
      </c>
      <c r="M354" s="10" t="inlineStr">
        <is>
          <t>Nº4 cerrado</t>
        </is>
      </c>
      <c r="N354" s="10" t="n">
        <v>2</v>
      </c>
      <c r="O354" s="35" t="n">
        <v>80</v>
      </c>
      <c r="P354" s="35" t="n">
        <v>80</v>
      </c>
      <c r="Q354" s="35" t="n">
        <v>0.749809680272194</v>
      </c>
      <c r="R354" s="10" t="inlineStr">
        <is>
          <t>SÍ</t>
        </is>
      </c>
      <c r="S354" s="15" t="inlineStr">
        <is>
          <t>CUMPLE</t>
        </is>
      </c>
      <c r="T354" s="3" t="inlineStr">
        <is>
          <t>demostrar compatibilidad antes de reducir Tu</t>
        </is>
      </c>
    </row>
    <row r="355">
      <c r="A355" s="25" t="inlineStr">
        <is>
          <t>VR2</t>
        </is>
      </c>
      <c r="B355" s="10" t="inlineStr">
        <is>
          <t>22</t>
        </is>
      </c>
      <c r="C355" s="10" t="inlineStr">
        <is>
          <t>24</t>
        </is>
      </c>
      <c r="D355" s="10" t="inlineStr">
        <is>
          <t>25</t>
        </is>
      </c>
      <c r="E355" s="35" t="n">
        <v>2.6</v>
      </c>
      <c r="F355" s="35" t="n">
        <v>4</v>
      </c>
      <c r="G355" s="35" t="n">
        <v>1.3</v>
      </c>
      <c r="H355" s="35" t="n">
        <v>3.5</v>
      </c>
      <c r="I355" s="10" t="inlineStr">
        <is>
          <t>500×550</t>
        </is>
      </c>
      <c r="J355" s="10" t="n">
        <v>7</v>
      </c>
      <c r="K355" s="10" t="n">
        <v>5</v>
      </c>
      <c r="L355" s="10" t="n">
        <v>0</v>
      </c>
      <c r="M355" s="10" t="inlineStr">
        <is>
          <t>Nº4 cerrado</t>
        </is>
      </c>
      <c r="N355" s="10" t="n">
        <v>4</v>
      </c>
      <c r="O355" s="35" t="n">
        <v>120</v>
      </c>
      <c r="P355" s="35" t="n">
        <v>120</v>
      </c>
      <c r="Q355" s="35" t="n">
        <v>0.9287547105223719</v>
      </c>
      <c r="R355" s="10" t="inlineStr">
        <is>
          <t>SÍ</t>
        </is>
      </c>
      <c r="S355" s="15" t="inlineStr">
        <is>
          <t>CUMPLE</t>
        </is>
      </c>
      <c r="T355" s="3" t="inlineStr">
        <is>
          <t>coordinar con planta y reanálisis global</t>
        </is>
      </c>
    </row>
    <row r="356">
      <c r="A356" s="25" t="inlineStr">
        <is>
          <t>VR2</t>
        </is>
      </c>
      <c r="B356" s="10" t="inlineStr">
        <is>
          <t>33</t>
        </is>
      </c>
      <c r="C356" s="10" t="inlineStr">
        <is>
          <t>37</t>
        </is>
      </c>
      <c r="D356" s="10" t="inlineStr">
        <is>
          <t>38</t>
        </is>
      </c>
      <c r="E356" s="35" t="n">
        <v>2.6</v>
      </c>
      <c r="F356" s="35" t="n">
        <v>11.5</v>
      </c>
      <c r="G356" s="35" t="n">
        <v>34.9</v>
      </c>
      <c r="H356" s="35" t="n">
        <v>3.5</v>
      </c>
      <c r="I356" s="10" t="inlineStr">
        <is>
          <t>500×550</t>
        </is>
      </c>
      <c r="J356" s="10" t="n">
        <v>7</v>
      </c>
      <c r="K356" s="10" t="n">
        <v>5</v>
      </c>
      <c r="L356" s="10" t="n">
        <v>0</v>
      </c>
      <c r="M356" s="10" t="inlineStr">
        <is>
          <t>Nº4 cerrado</t>
        </is>
      </c>
      <c r="N356" s="10" t="n">
        <v>4</v>
      </c>
      <c r="O356" s="35" t="n">
        <v>120</v>
      </c>
      <c r="P356" s="35" t="n">
        <v>120</v>
      </c>
      <c r="Q356" s="35" t="n">
        <v>0.9288164490066448</v>
      </c>
      <c r="R356" s="10" t="inlineStr">
        <is>
          <t>SÍ</t>
        </is>
      </c>
      <c r="S356" s="15" t="inlineStr">
        <is>
          <t>CUMPLE</t>
        </is>
      </c>
      <c r="T356" s="3" t="inlineStr">
        <is>
          <t>coordinar con planta y reanálisis global</t>
        </is>
      </c>
    </row>
    <row r="357">
      <c r="A357" s="25" t="inlineStr">
        <is>
          <t>VR2</t>
        </is>
      </c>
      <c r="B357" s="10" t="inlineStr">
        <is>
          <t>34</t>
        </is>
      </c>
      <c r="C357" s="10" t="inlineStr">
        <is>
          <t>38</t>
        </is>
      </c>
      <c r="D357" s="10" t="inlineStr">
        <is>
          <t>39</t>
        </is>
      </c>
      <c r="E357" s="35" t="n">
        <v>3.65308</v>
      </c>
      <c r="F357" s="35" t="n">
        <v>11.575</v>
      </c>
      <c r="G357" s="35" t="n">
        <v>31.775</v>
      </c>
      <c r="H357" s="35" t="n">
        <v>3.5</v>
      </c>
      <c r="I357" s="10" t="inlineStr">
        <is>
          <t>500×550</t>
        </is>
      </c>
      <c r="J357" s="10" t="n">
        <v>6</v>
      </c>
      <c r="K357" s="10" t="n">
        <v>5</v>
      </c>
      <c r="L357" s="10" t="n">
        <v>8</v>
      </c>
      <c r="M357" s="10" t="inlineStr">
        <is>
          <t>Nº4 cerrado</t>
        </is>
      </c>
      <c r="N357" s="10" t="n">
        <v>2</v>
      </c>
      <c r="O357" s="35" t="n">
        <v>80</v>
      </c>
      <c r="P357" s="35" t="n">
        <v>80</v>
      </c>
      <c r="Q357" s="35" t="n">
        <v>0.7497767685591984</v>
      </c>
      <c r="R357" s="10" t="inlineStr">
        <is>
          <t>SÍ</t>
        </is>
      </c>
      <c r="S357" s="15" t="inlineStr">
        <is>
          <t>CUMPLE</t>
        </is>
      </c>
      <c r="T357" s="3" t="inlineStr">
        <is>
          <t>demostrar compatibilidad antes de reducir Tu</t>
        </is>
      </c>
    </row>
    <row r="358">
      <c r="A358" s="25" t="inlineStr">
        <is>
          <t>VR2</t>
        </is>
      </c>
      <c r="B358" s="10" t="inlineStr">
        <is>
          <t>35</t>
        </is>
      </c>
      <c r="C358" s="10" t="inlineStr">
        <is>
          <t>39</t>
        </is>
      </c>
      <c r="D358" s="10" t="inlineStr">
        <is>
          <t>40</t>
        </is>
      </c>
      <c r="E358" s="35" t="n">
        <v>2.6</v>
      </c>
      <c r="F358" s="35" t="n">
        <v>11.65</v>
      </c>
      <c r="G358" s="35" t="n">
        <v>28.65</v>
      </c>
      <c r="H358" s="35" t="n">
        <v>3.5</v>
      </c>
      <c r="I358" s="10" t="inlineStr">
        <is>
          <t>500×550</t>
        </is>
      </c>
      <c r="J358" s="10" t="n">
        <v>6</v>
      </c>
      <c r="K358" s="10" t="n">
        <v>5</v>
      </c>
      <c r="L358" s="10" t="n">
        <v>8</v>
      </c>
      <c r="M358" s="10" t="inlineStr">
        <is>
          <t>Nº4 cerrado</t>
        </is>
      </c>
      <c r="N358" s="10" t="n">
        <v>4</v>
      </c>
      <c r="O358" s="35" t="n">
        <v>110</v>
      </c>
      <c r="P358" s="35" t="n">
        <v>110</v>
      </c>
      <c r="Q358" s="35" t="n">
        <v>0.980497650493292</v>
      </c>
      <c r="R358" s="10" t="inlineStr">
        <is>
          <t>SÍ</t>
        </is>
      </c>
      <c r="S358" s="15" t="inlineStr">
        <is>
          <t>CUMPLE</t>
        </is>
      </c>
      <c r="T358" s="3" t="inlineStr">
        <is>
          <t>demostrar compatibilidad antes de reducir Tu</t>
        </is>
      </c>
    </row>
    <row r="359">
      <c r="A359" s="25" t="inlineStr">
        <is>
          <t>VR2</t>
        </is>
      </c>
      <c r="B359" s="10" t="inlineStr">
        <is>
          <t>36</t>
        </is>
      </c>
      <c r="C359" s="10" t="inlineStr">
        <is>
          <t>40</t>
        </is>
      </c>
      <c r="D359" s="10" t="inlineStr">
        <is>
          <t>41</t>
        </is>
      </c>
      <c r="E359" s="35" t="n">
        <v>2.5</v>
      </c>
      <c r="F359" s="35" t="n">
        <v>11.65</v>
      </c>
      <c r="G359" s="35" t="n">
        <v>26.1</v>
      </c>
      <c r="H359" s="35" t="n">
        <v>3.5</v>
      </c>
      <c r="I359" s="10" t="inlineStr">
        <is>
          <t>500×550</t>
        </is>
      </c>
      <c r="J359" s="10" t="n">
        <v>6</v>
      </c>
      <c r="K359" s="10" t="n">
        <v>5</v>
      </c>
      <c r="L359" s="10" t="n">
        <v>8</v>
      </c>
      <c r="M359" s="10" t="inlineStr">
        <is>
          <t>Nº4 cerrado</t>
        </is>
      </c>
      <c r="N359" s="10" t="n">
        <v>4</v>
      </c>
      <c r="O359" s="35" t="n">
        <v>120</v>
      </c>
      <c r="P359" s="35" t="n">
        <v>120</v>
      </c>
      <c r="Q359" s="35" t="n">
        <v>0.8802611065390606</v>
      </c>
      <c r="R359" s="10" t="inlineStr">
        <is>
          <t>SÍ</t>
        </is>
      </c>
      <c r="S359" s="15" t="inlineStr">
        <is>
          <t>CUMPLE</t>
        </is>
      </c>
      <c r="T359" s="3" t="inlineStr">
        <is>
          <t>coordinar con planta y reanálisis global</t>
        </is>
      </c>
    </row>
    <row r="360">
      <c r="A360" s="25" t="inlineStr">
        <is>
          <t>VR2</t>
        </is>
      </c>
      <c r="B360" s="10" t="inlineStr">
        <is>
          <t>37</t>
        </is>
      </c>
      <c r="C360" s="10" t="inlineStr">
        <is>
          <t>41</t>
        </is>
      </c>
      <c r="D360" s="10" t="inlineStr">
        <is>
          <t>42</t>
        </is>
      </c>
      <c r="E360" s="35" t="n">
        <v>4.17612</v>
      </c>
      <c r="F360" s="35" t="n">
        <v>12.25</v>
      </c>
      <c r="G360" s="35" t="n">
        <v>22.85</v>
      </c>
      <c r="H360" s="35" t="n">
        <v>3.5</v>
      </c>
      <c r="I360" s="10" t="inlineStr">
        <is>
          <t>500×550</t>
        </is>
      </c>
      <c r="J360" s="10" t="n">
        <v>6</v>
      </c>
      <c r="K360" s="10" t="n">
        <v>5</v>
      </c>
      <c r="L360" s="10" t="n">
        <v>0</v>
      </c>
      <c r="M360" s="10" t="inlineStr">
        <is>
          <t>Nº3 cerrado</t>
        </is>
      </c>
      <c r="N360" s="10" t="n">
        <v>2</v>
      </c>
      <c r="O360" s="35" t="n">
        <v>90</v>
      </c>
      <c r="P360" s="35" t="n">
        <v>90</v>
      </c>
      <c r="Q360" s="35" t="n">
        <v>0.4950240742694193</v>
      </c>
      <c r="R360" s="10" t="inlineStr">
        <is>
          <t>SÍ</t>
        </is>
      </c>
      <c r="S360" s="15" t="inlineStr">
        <is>
          <t>CUMPLE</t>
        </is>
      </c>
      <c r="T360" s="3" t="inlineStr">
        <is>
          <t>coordinar con planta y reanálisis global</t>
        </is>
      </c>
    </row>
    <row r="361">
      <c r="A361" s="25" t="inlineStr">
        <is>
          <t>VR2</t>
        </is>
      </c>
      <c r="B361" s="10" t="inlineStr">
        <is>
          <t>38</t>
        </is>
      </c>
      <c r="C361" s="10" t="inlineStr">
        <is>
          <t>42</t>
        </is>
      </c>
      <c r="D361" s="10" t="inlineStr">
        <is>
          <t>43</t>
        </is>
      </c>
      <c r="E361" s="35" t="n">
        <v>2.7</v>
      </c>
      <c r="F361" s="35" t="n">
        <v>12.85</v>
      </c>
      <c r="G361" s="35" t="n">
        <v>19.5</v>
      </c>
      <c r="H361" s="35" t="n">
        <v>3.5</v>
      </c>
      <c r="I361" s="10" t="inlineStr">
        <is>
          <t>500×550</t>
        </is>
      </c>
      <c r="J361" s="10" t="n">
        <v>6</v>
      </c>
      <c r="K361" s="10" t="n">
        <v>5</v>
      </c>
      <c r="L361" s="10" t="n">
        <v>12</v>
      </c>
      <c r="M361" s="10" t="inlineStr">
        <is>
          <t>Nº4 cerrado</t>
        </is>
      </c>
      <c r="N361" s="10" t="n">
        <v>4</v>
      </c>
      <c r="O361" s="35" t="n">
        <v>100</v>
      </c>
      <c r="P361" s="35" t="n">
        <v>100</v>
      </c>
      <c r="Q361" s="35" t="n">
        <v>1.150846214761396</v>
      </c>
      <c r="R361" s="10" t="inlineStr">
        <is>
          <t>SÍ</t>
        </is>
      </c>
      <c r="S361" s="19" t="inlineStr">
        <is>
          <t>NO CUMPLE</t>
        </is>
      </c>
      <c r="T361" s="3" t="inlineStr">
        <is>
          <t>aumentar sección por interacción V-T; demostrar compatibilidad antes de reducir Tu</t>
        </is>
      </c>
    </row>
    <row r="362">
      <c r="A362" s="25" t="inlineStr">
        <is>
          <t>VR2</t>
        </is>
      </c>
      <c r="B362" s="10" t="inlineStr">
        <is>
          <t>39</t>
        </is>
      </c>
      <c r="C362" s="10" t="inlineStr">
        <is>
          <t>43</t>
        </is>
      </c>
      <c r="D362" s="10" t="inlineStr">
        <is>
          <t>44</t>
        </is>
      </c>
      <c r="E362" s="35" t="n">
        <v>2.8</v>
      </c>
      <c r="F362" s="35" t="n">
        <v>12.85</v>
      </c>
      <c r="G362" s="35" t="n">
        <v>16.75</v>
      </c>
      <c r="H362" s="35" t="n">
        <v>3.5</v>
      </c>
      <c r="I362" s="10" t="inlineStr">
        <is>
          <t>500×550</t>
        </is>
      </c>
      <c r="J362" s="10" t="n">
        <v>6</v>
      </c>
      <c r="K362" s="10" t="n">
        <v>5</v>
      </c>
      <c r="L362" s="10" t="n">
        <v>8</v>
      </c>
      <c r="M362" s="10" t="inlineStr">
        <is>
          <t>Nº4 cerrado</t>
        </is>
      </c>
      <c r="N362" s="10" t="n">
        <v>4</v>
      </c>
      <c r="O362" s="35" t="n">
        <v>100</v>
      </c>
      <c r="P362" s="35" t="n">
        <v>100</v>
      </c>
      <c r="Q362" s="35" t="n">
        <v>1.110021329303855</v>
      </c>
      <c r="R362" s="10" t="inlineStr">
        <is>
          <t>SÍ</t>
        </is>
      </c>
      <c r="S362" s="19" t="inlineStr">
        <is>
          <t>NO CUMPLE</t>
        </is>
      </c>
      <c r="T362" s="3" t="inlineStr">
        <is>
          <t>aumentar sección por interacción V-T; demostrar compatibilidad antes de reducir Tu</t>
        </is>
      </c>
    </row>
    <row r="363">
      <c r="A363" s="25" t="inlineStr">
        <is>
          <t>VR2</t>
        </is>
      </c>
      <c r="B363" s="10" t="inlineStr">
        <is>
          <t>40</t>
        </is>
      </c>
      <c r="C363" s="10" t="inlineStr">
        <is>
          <t>44</t>
        </is>
      </c>
      <c r="D363" s="10" t="inlineStr">
        <is>
          <t>45</t>
        </is>
      </c>
      <c r="E363" s="35" t="n">
        <v>4.17612</v>
      </c>
      <c r="F363" s="35" t="n">
        <v>12.25</v>
      </c>
      <c r="G363" s="35" t="n">
        <v>13.35</v>
      </c>
      <c r="H363" s="35" t="n">
        <v>3.5</v>
      </c>
      <c r="I363" s="10" t="inlineStr">
        <is>
          <t>500×550</t>
        </is>
      </c>
      <c r="J363" s="10" t="n">
        <v>6</v>
      </c>
      <c r="K363" s="10" t="n">
        <v>5</v>
      </c>
      <c r="L363" s="10" t="n">
        <v>0</v>
      </c>
      <c r="M363" s="10" t="inlineStr">
        <is>
          <t>Nº3 cerrado</t>
        </is>
      </c>
      <c r="N363" s="10" t="n">
        <v>2</v>
      </c>
      <c r="O363" s="35" t="n">
        <v>90</v>
      </c>
      <c r="P363" s="35" t="n">
        <v>90</v>
      </c>
      <c r="Q363" s="35" t="n">
        <v>0.4951417445441928</v>
      </c>
      <c r="R363" s="10" t="inlineStr">
        <is>
          <t>SÍ</t>
        </is>
      </c>
      <c r="S363" s="15" t="inlineStr">
        <is>
          <t>CUMPLE</t>
        </is>
      </c>
      <c r="T363" s="3" t="inlineStr">
        <is>
          <t>coordinar con planta y reanálisis global</t>
        </is>
      </c>
    </row>
    <row r="364">
      <c r="A364" s="25" t="inlineStr">
        <is>
          <t>VR2</t>
        </is>
      </c>
      <c r="B364" s="10" t="inlineStr">
        <is>
          <t>41</t>
        </is>
      </c>
      <c r="C364" s="10" t="inlineStr">
        <is>
          <t>45</t>
        </is>
      </c>
      <c r="D364" s="10" t="inlineStr">
        <is>
          <t>46</t>
        </is>
      </c>
      <c r="E364" s="35" t="n">
        <v>2.5</v>
      </c>
      <c r="F364" s="35" t="n">
        <v>11.65</v>
      </c>
      <c r="G364" s="35" t="n">
        <v>10.1</v>
      </c>
      <c r="H364" s="35" t="n">
        <v>3.5</v>
      </c>
      <c r="I364" s="10" t="inlineStr">
        <is>
          <t>500×550</t>
        </is>
      </c>
      <c r="J364" s="10" t="n">
        <v>6</v>
      </c>
      <c r="K364" s="10" t="n">
        <v>5</v>
      </c>
      <c r="L364" s="10" t="n">
        <v>8</v>
      </c>
      <c r="M364" s="10" t="inlineStr">
        <is>
          <t>Nº4 cerrado</t>
        </is>
      </c>
      <c r="N364" s="10" t="n">
        <v>4</v>
      </c>
      <c r="O364" s="35" t="n">
        <v>120</v>
      </c>
      <c r="P364" s="35" t="n">
        <v>120</v>
      </c>
      <c r="Q364" s="35" t="n">
        <v>0.8800841541054234</v>
      </c>
      <c r="R364" s="10" t="inlineStr">
        <is>
          <t>SÍ</t>
        </is>
      </c>
      <c r="S364" s="15" t="inlineStr">
        <is>
          <t>CUMPLE</t>
        </is>
      </c>
      <c r="T364" s="3" t="inlineStr">
        <is>
          <t>coordinar con planta y reanálisis global</t>
        </is>
      </c>
    </row>
    <row r="365">
      <c r="A365" s="25" t="inlineStr">
        <is>
          <t>VR2</t>
        </is>
      </c>
      <c r="B365" s="10" t="inlineStr">
        <is>
          <t>42</t>
        </is>
      </c>
      <c r="C365" s="10" t="inlineStr">
        <is>
          <t>46</t>
        </is>
      </c>
      <c r="D365" s="10" t="inlineStr">
        <is>
          <t>47</t>
        </is>
      </c>
      <c r="E365" s="35" t="n">
        <v>2.6</v>
      </c>
      <c r="F365" s="35" t="n">
        <v>11.65</v>
      </c>
      <c r="G365" s="35" t="n">
        <v>7.55</v>
      </c>
      <c r="H365" s="35" t="n">
        <v>3.5</v>
      </c>
      <c r="I365" s="10" t="inlineStr">
        <is>
          <t>500×550</t>
        </is>
      </c>
      <c r="J365" s="10" t="n">
        <v>6</v>
      </c>
      <c r="K365" s="10" t="n">
        <v>5</v>
      </c>
      <c r="L365" s="10" t="n">
        <v>8</v>
      </c>
      <c r="M365" s="10" t="inlineStr">
        <is>
          <t>Nº4 cerrado</t>
        </is>
      </c>
      <c r="N365" s="10" t="n">
        <v>4</v>
      </c>
      <c r="O365" s="35" t="n">
        <v>110</v>
      </c>
      <c r="P365" s="35" t="n">
        <v>110</v>
      </c>
      <c r="Q365" s="35" t="n">
        <v>0.9800511198429765</v>
      </c>
      <c r="R365" s="10" t="inlineStr">
        <is>
          <t>SÍ</t>
        </is>
      </c>
      <c r="S365" s="15" t="inlineStr">
        <is>
          <t>CUMPLE</t>
        </is>
      </c>
      <c r="T365" s="3" t="inlineStr">
        <is>
          <t>demostrar compatibilidad antes de reducir Tu</t>
        </is>
      </c>
    </row>
    <row r="366">
      <c r="A366" s="25" t="inlineStr">
        <is>
          <t>VR2</t>
        </is>
      </c>
      <c r="B366" s="10" t="inlineStr">
        <is>
          <t>43</t>
        </is>
      </c>
      <c r="C366" s="10" t="inlineStr">
        <is>
          <t>47</t>
        </is>
      </c>
      <c r="D366" s="10" t="inlineStr">
        <is>
          <t>48</t>
        </is>
      </c>
      <c r="E366" s="35" t="n">
        <v>3.65308</v>
      </c>
      <c r="F366" s="35" t="n">
        <v>11.575</v>
      </c>
      <c r="G366" s="35" t="n">
        <v>4.425</v>
      </c>
      <c r="H366" s="35" t="n">
        <v>3.5</v>
      </c>
      <c r="I366" s="10" t="inlineStr">
        <is>
          <t>500×550</t>
        </is>
      </c>
      <c r="J366" s="10" t="n">
        <v>6</v>
      </c>
      <c r="K366" s="10" t="n">
        <v>5</v>
      </c>
      <c r="L366" s="10" t="n">
        <v>8</v>
      </c>
      <c r="M366" s="10" t="inlineStr">
        <is>
          <t>Nº4 cerrado</t>
        </is>
      </c>
      <c r="N366" s="10" t="n">
        <v>2</v>
      </c>
      <c r="O366" s="35" t="n">
        <v>80</v>
      </c>
      <c r="P366" s="35" t="n">
        <v>80</v>
      </c>
      <c r="Q366" s="35" t="n">
        <v>0.7497371908845825</v>
      </c>
      <c r="R366" s="10" t="inlineStr">
        <is>
          <t>SÍ</t>
        </is>
      </c>
      <c r="S366" s="15" t="inlineStr">
        <is>
          <t>CUMPLE</t>
        </is>
      </c>
      <c r="T366" s="3" t="inlineStr">
        <is>
          <t>demostrar compatibilidad antes de reducir Tu</t>
        </is>
      </c>
    </row>
    <row r="367">
      <c r="A367" s="25" t="inlineStr">
        <is>
          <t>VR2</t>
        </is>
      </c>
      <c r="B367" s="10" t="inlineStr">
        <is>
          <t>44</t>
        </is>
      </c>
      <c r="C367" s="10" t="inlineStr">
        <is>
          <t>48</t>
        </is>
      </c>
      <c r="D367" s="10" t="inlineStr">
        <is>
          <t>49</t>
        </is>
      </c>
      <c r="E367" s="35" t="n">
        <v>2.6</v>
      </c>
      <c r="F367" s="35" t="n">
        <v>11.5</v>
      </c>
      <c r="G367" s="35" t="n">
        <v>1.3</v>
      </c>
      <c r="H367" s="35" t="n">
        <v>3.5</v>
      </c>
      <c r="I367" s="10" t="inlineStr">
        <is>
          <t>500×550</t>
        </is>
      </c>
      <c r="J367" s="10" t="n">
        <v>7</v>
      </c>
      <c r="K367" s="10" t="n">
        <v>5</v>
      </c>
      <c r="L367" s="10" t="n">
        <v>0</v>
      </c>
      <c r="M367" s="10" t="inlineStr">
        <is>
          <t>Nº4 cerrado</t>
        </is>
      </c>
      <c r="N367" s="10" t="n">
        <v>4</v>
      </c>
      <c r="O367" s="35" t="n">
        <v>120</v>
      </c>
      <c r="P367" s="35" t="n">
        <v>120</v>
      </c>
      <c r="Q367" s="35" t="n">
        <v>0.9287561619599471</v>
      </c>
      <c r="R367" s="10" t="inlineStr">
        <is>
          <t>SÍ</t>
        </is>
      </c>
      <c r="S367" s="15" t="inlineStr">
        <is>
          <t>CUMPLE</t>
        </is>
      </c>
      <c r="T367" s="3" t="inlineStr">
        <is>
          <t>coordinar con planta y reanálisis global</t>
        </is>
      </c>
    </row>
    <row r="368">
      <c r="A368" s="25" t="inlineStr">
        <is>
          <t>VR2</t>
        </is>
      </c>
      <c r="B368" s="10" t="inlineStr">
        <is>
          <t>145</t>
        </is>
      </c>
      <c r="C368" s="10" t="inlineStr">
        <is>
          <t>13</t>
        </is>
      </c>
      <c r="D368" s="10" t="inlineStr">
        <is>
          <t>205</t>
        </is>
      </c>
      <c r="E368" s="35" t="n">
        <v>1.5</v>
      </c>
      <c r="F368" s="35" t="n">
        <v>4</v>
      </c>
      <c r="G368" s="35" t="n">
        <v>36.95</v>
      </c>
      <c r="H368" s="35" t="n">
        <v>3.5</v>
      </c>
      <c r="I368" s="10" t="inlineStr">
        <is>
          <t>500×550</t>
        </is>
      </c>
      <c r="J368" s="10" t="n">
        <v>5</v>
      </c>
      <c r="K368" s="10" t="n">
        <v>5</v>
      </c>
      <c r="L368" s="10" t="n">
        <v>16</v>
      </c>
      <c r="M368" s="10" t="inlineStr">
        <is>
          <t>Nº4 cerrado</t>
        </is>
      </c>
      <c r="N368" s="10" t="n">
        <v>4</v>
      </c>
      <c r="O368" s="35" t="n">
        <v>90</v>
      </c>
      <c r="P368" s="35" t="n">
        <v>90</v>
      </c>
      <c r="Q368" s="35" t="n">
        <v>1.453771920804485</v>
      </c>
      <c r="R368" s="10" t="inlineStr">
        <is>
          <t>SÍ</t>
        </is>
      </c>
      <c r="S368" s="19" t="inlineStr">
        <is>
          <t>NO CUMPLE</t>
        </is>
      </c>
      <c r="T368" s="3" t="inlineStr">
        <is>
          <t>aumentar sección por interacción V-T; demostrar compatibilidad antes de reducir Tu</t>
        </is>
      </c>
    </row>
    <row r="369">
      <c r="A369" s="25" t="inlineStr">
        <is>
          <t>VR2</t>
        </is>
      </c>
      <c r="B369" s="10" t="inlineStr">
        <is>
          <t>147</t>
        </is>
      </c>
      <c r="C369" s="10" t="inlineStr">
        <is>
          <t>37</t>
        </is>
      </c>
      <c r="D369" s="10" t="inlineStr">
        <is>
          <t>207</t>
        </is>
      </c>
      <c r="E369" s="35" t="n">
        <v>1.5</v>
      </c>
      <c r="F369" s="35" t="n">
        <v>11.5</v>
      </c>
      <c r="G369" s="35" t="n">
        <v>36.95</v>
      </c>
      <c r="H369" s="35" t="n">
        <v>3.5</v>
      </c>
      <c r="I369" s="10" t="inlineStr">
        <is>
          <t>500×550</t>
        </is>
      </c>
      <c r="J369" s="10" t="n">
        <v>5</v>
      </c>
      <c r="K369" s="10" t="n">
        <v>5</v>
      </c>
      <c r="L369" s="10" t="n">
        <v>16</v>
      </c>
      <c r="M369" s="10" t="inlineStr">
        <is>
          <t>Nº4 cerrado</t>
        </is>
      </c>
      <c r="N369" s="10" t="n">
        <v>4</v>
      </c>
      <c r="O369" s="35" t="n">
        <v>90</v>
      </c>
      <c r="P369" s="35" t="n">
        <v>90</v>
      </c>
      <c r="Q369" s="35" t="n">
        <v>1.453739995592746</v>
      </c>
      <c r="R369" s="10" t="inlineStr">
        <is>
          <t>SÍ</t>
        </is>
      </c>
      <c r="S369" s="19" t="inlineStr">
        <is>
          <t>NO CUMPLE</t>
        </is>
      </c>
      <c r="T369" s="3" t="inlineStr">
        <is>
          <t>aumentar sección por interacción V-T; demostrar compatibilidad antes de reducir Tu</t>
        </is>
      </c>
    </row>
    <row r="370">
      <c r="A370" s="25" t="inlineStr">
        <is>
          <t>VR2</t>
        </is>
      </c>
      <c r="B370" s="10" t="inlineStr">
        <is>
          <t>150</t>
        </is>
      </c>
      <c r="C370" s="10" t="inlineStr">
        <is>
          <t>25</t>
        </is>
      </c>
      <c r="D370" s="10" t="inlineStr">
        <is>
          <t>208</t>
        </is>
      </c>
      <c r="E370" s="35" t="n">
        <v>1.5</v>
      </c>
      <c r="F370" s="35" t="n">
        <v>4</v>
      </c>
      <c r="G370" s="35" t="n">
        <v>-0.75</v>
      </c>
      <c r="H370" s="35" t="n">
        <v>3.5</v>
      </c>
      <c r="I370" s="10" t="inlineStr">
        <is>
          <t>500×550</t>
        </is>
      </c>
      <c r="J370" s="10" t="n">
        <v>5</v>
      </c>
      <c r="K370" s="10" t="n">
        <v>5</v>
      </c>
      <c r="L370" s="10" t="n">
        <v>16</v>
      </c>
      <c r="M370" s="10" t="inlineStr">
        <is>
          <t>Nº4 cerrado</t>
        </is>
      </c>
      <c r="N370" s="10" t="n">
        <v>4</v>
      </c>
      <c r="O370" s="35" t="n">
        <v>90</v>
      </c>
      <c r="P370" s="35" t="n">
        <v>90</v>
      </c>
      <c r="Q370" s="35" t="n">
        <v>1.453768223829834</v>
      </c>
      <c r="R370" s="10" t="inlineStr">
        <is>
          <t>SÍ</t>
        </is>
      </c>
      <c r="S370" s="19" t="inlineStr">
        <is>
          <t>NO CUMPLE</t>
        </is>
      </c>
      <c r="T370" s="3" t="inlineStr">
        <is>
          <t>aumentar sección por interacción V-T; demostrar compatibilidad antes de reducir Tu</t>
        </is>
      </c>
    </row>
    <row r="371">
      <c r="A371" s="25" t="inlineStr">
        <is>
          <t>VR2</t>
        </is>
      </c>
      <c r="B371" s="10" t="inlineStr">
        <is>
          <t>152</t>
        </is>
      </c>
      <c r="C371" s="10" t="inlineStr">
        <is>
          <t>49</t>
        </is>
      </c>
      <c r="D371" s="10" t="inlineStr">
        <is>
          <t>210</t>
        </is>
      </c>
      <c r="E371" s="35" t="n">
        <v>1.5</v>
      </c>
      <c r="F371" s="35" t="n">
        <v>11.5</v>
      </c>
      <c r="G371" s="35" t="n">
        <v>-0.75</v>
      </c>
      <c r="H371" s="35" t="n">
        <v>3.5</v>
      </c>
      <c r="I371" s="10" t="inlineStr">
        <is>
          <t>500×550</t>
        </is>
      </c>
      <c r="J371" s="10" t="n">
        <v>5</v>
      </c>
      <c r="K371" s="10" t="n">
        <v>5</v>
      </c>
      <c r="L371" s="10" t="n">
        <v>16</v>
      </c>
      <c r="M371" s="10" t="inlineStr">
        <is>
          <t>Nº4 cerrado</t>
        </is>
      </c>
      <c r="N371" s="10" t="n">
        <v>4</v>
      </c>
      <c r="O371" s="35" t="n">
        <v>90</v>
      </c>
      <c r="P371" s="35" t="n">
        <v>90</v>
      </c>
      <c r="Q371" s="35" t="n">
        <v>1.45380091581807</v>
      </c>
      <c r="R371" s="10" t="inlineStr">
        <is>
          <t>SÍ</t>
        </is>
      </c>
      <c r="S371" s="19" t="inlineStr">
        <is>
          <t>NO CUMPLE</t>
        </is>
      </c>
      <c r="T371" s="3" t="inlineStr">
        <is>
          <t>aumentar sección por interacción V-T; demostrar compatibilidad antes de reducir Tu</t>
        </is>
      </c>
    </row>
    <row r="372">
      <c r="A372" s="25" t="inlineStr">
        <is>
          <t>VR2</t>
        </is>
      </c>
      <c r="B372" s="10" t="inlineStr">
        <is>
          <t>155</t>
        </is>
      </c>
      <c r="C372" s="10" t="inlineStr">
        <is>
          <t>151</t>
        </is>
      </c>
      <c r="D372" s="10" t="inlineStr">
        <is>
          <t>211</t>
        </is>
      </c>
      <c r="E372" s="35" t="n">
        <v>1.5</v>
      </c>
      <c r="F372" s="35" t="n">
        <v>4</v>
      </c>
      <c r="G372" s="35" t="n">
        <v>-0.75</v>
      </c>
      <c r="H372" s="35" t="n">
        <v>6.5</v>
      </c>
      <c r="I372" s="10" t="inlineStr">
        <is>
          <t>500×550</t>
        </is>
      </c>
      <c r="J372" s="10" t="n">
        <v>5</v>
      </c>
      <c r="K372" s="10" t="n">
        <v>5</v>
      </c>
      <c r="L372" s="10" t="n">
        <v>12</v>
      </c>
      <c r="M372" s="10" t="inlineStr">
        <is>
          <t>Nº4 cerrado</t>
        </is>
      </c>
      <c r="N372" s="10" t="n">
        <v>4</v>
      </c>
      <c r="O372" s="35" t="n">
        <v>90</v>
      </c>
      <c r="P372" s="35" t="n">
        <v>90</v>
      </c>
      <c r="Q372" s="35" t="n">
        <v>1.430290963814204</v>
      </c>
      <c r="R372" s="10" t="inlineStr">
        <is>
          <t>SÍ</t>
        </is>
      </c>
      <c r="S372" s="19" t="inlineStr">
        <is>
          <t>NO CUMPLE</t>
        </is>
      </c>
      <c r="T372" s="3" t="inlineStr">
        <is>
          <t>aumentar sección por interacción V-T; demostrar compatibilidad antes de reducir Tu</t>
        </is>
      </c>
    </row>
    <row r="373">
      <c r="A373" s="25" t="inlineStr">
        <is>
          <t>VR2</t>
        </is>
      </c>
      <c r="B373" s="10" t="inlineStr">
        <is>
          <t>157</t>
        </is>
      </c>
      <c r="C373" s="10" t="inlineStr">
        <is>
          <t>175</t>
        </is>
      </c>
      <c r="D373" s="10" t="inlineStr">
        <is>
          <t>213</t>
        </is>
      </c>
      <c r="E373" s="35" t="n">
        <v>1.5</v>
      </c>
      <c r="F373" s="35" t="n">
        <v>11.5</v>
      </c>
      <c r="G373" s="35" t="n">
        <v>-0.75</v>
      </c>
      <c r="H373" s="35" t="n">
        <v>6.5</v>
      </c>
      <c r="I373" s="10" t="inlineStr">
        <is>
          <t>500×550</t>
        </is>
      </c>
      <c r="J373" s="10" t="n">
        <v>5</v>
      </c>
      <c r="K373" s="10" t="n">
        <v>5</v>
      </c>
      <c r="L373" s="10" t="n">
        <v>12</v>
      </c>
      <c r="M373" s="10" t="inlineStr">
        <is>
          <t>Nº4 cerrado</t>
        </is>
      </c>
      <c r="N373" s="10" t="n">
        <v>4</v>
      </c>
      <c r="O373" s="35" t="n">
        <v>90</v>
      </c>
      <c r="P373" s="35" t="n">
        <v>90</v>
      </c>
      <c r="Q373" s="35" t="n">
        <v>1.430328063353024</v>
      </c>
      <c r="R373" s="10" t="inlineStr">
        <is>
          <t>SÍ</t>
        </is>
      </c>
      <c r="S373" s="19" t="inlineStr">
        <is>
          <t>NO CUMPLE</t>
        </is>
      </c>
      <c r="T373" s="3" t="inlineStr">
        <is>
          <t>aumentar sección por interacción V-T; demostrar compatibilidad antes de reducir Tu</t>
        </is>
      </c>
    </row>
    <row r="374">
      <c r="A374" s="25" t="inlineStr">
        <is>
          <t>VR2</t>
        </is>
      </c>
      <c r="B374" s="10" t="inlineStr">
        <is>
          <t>160</t>
        </is>
      </c>
      <c r="C374" s="10" t="inlineStr">
        <is>
          <t>515</t>
        </is>
      </c>
      <c r="D374" s="10" t="inlineStr">
        <is>
          <t>214</t>
        </is>
      </c>
      <c r="E374" s="35" t="n">
        <v>1.5</v>
      </c>
      <c r="F374" s="35" t="n">
        <v>4</v>
      </c>
      <c r="G374" s="35" t="n">
        <v>-0.75</v>
      </c>
      <c r="H374" s="35" t="n">
        <v>9.5</v>
      </c>
      <c r="I374" s="10" t="inlineStr">
        <is>
          <t>500×550</t>
        </is>
      </c>
      <c r="J374" s="10" t="n">
        <v>5</v>
      </c>
      <c r="K374" s="10" t="n">
        <v>5</v>
      </c>
      <c r="L374" s="10" t="n">
        <v>12</v>
      </c>
      <c r="M374" s="10" t="inlineStr">
        <is>
          <t>Nº4 cerrado</t>
        </is>
      </c>
      <c r="N374" s="10" t="n">
        <v>4</v>
      </c>
      <c r="O374" s="35" t="n">
        <v>100</v>
      </c>
      <c r="P374" s="35" t="n">
        <v>100</v>
      </c>
      <c r="Q374" s="35" t="n">
        <v>1.221970286856231</v>
      </c>
      <c r="R374" s="10" t="inlineStr">
        <is>
          <t>SÍ</t>
        </is>
      </c>
      <c r="S374" s="19" t="inlineStr">
        <is>
          <t>NO CUMPLE</t>
        </is>
      </c>
      <c r="T374" s="3" t="inlineStr">
        <is>
          <t>aumentar sección por interacción V-T; demostrar compatibilidad antes de reducir Tu</t>
        </is>
      </c>
    </row>
    <row r="375">
      <c r="A375" s="25" t="inlineStr">
        <is>
          <t>VR2</t>
        </is>
      </c>
      <c r="B375" s="10" t="inlineStr">
        <is>
          <t>162</t>
        </is>
      </c>
      <c r="C375" s="10" t="inlineStr">
        <is>
          <t>539</t>
        </is>
      </c>
      <c r="D375" s="10" t="inlineStr">
        <is>
          <t>216</t>
        </is>
      </c>
      <c r="E375" s="35" t="n">
        <v>1.5</v>
      </c>
      <c r="F375" s="35" t="n">
        <v>11.5</v>
      </c>
      <c r="G375" s="35" t="n">
        <v>-0.75</v>
      </c>
      <c r="H375" s="35" t="n">
        <v>9.5</v>
      </c>
      <c r="I375" s="10" t="inlineStr">
        <is>
          <t>500×550</t>
        </is>
      </c>
      <c r="J375" s="10" t="n">
        <v>5</v>
      </c>
      <c r="K375" s="10" t="n">
        <v>5</v>
      </c>
      <c r="L375" s="10" t="n">
        <v>12</v>
      </c>
      <c r="M375" s="10" t="inlineStr">
        <is>
          <t>Nº4 cerrado</t>
        </is>
      </c>
      <c r="N375" s="10" t="n">
        <v>4</v>
      </c>
      <c r="O375" s="35" t="n">
        <v>100</v>
      </c>
      <c r="P375" s="35" t="n">
        <v>100</v>
      </c>
      <c r="Q375" s="35" t="n">
        <v>1.22202153387057</v>
      </c>
      <c r="R375" s="10" t="inlineStr">
        <is>
          <t>SÍ</t>
        </is>
      </c>
      <c r="S375" s="19" t="inlineStr">
        <is>
          <t>NO CUMPLE</t>
        </is>
      </c>
      <c r="T375" s="3" t="inlineStr">
        <is>
          <t>aumentar sección por interacción V-T; demostrar compatibilidad antes de reducir Tu</t>
        </is>
      </c>
    </row>
    <row r="376">
      <c r="A376" s="25" t="inlineStr">
        <is>
          <t>VR2</t>
        </is>
      </c>
      <c r="B376" s="10" t="inlineStr">
        <is>
          <t>165</t>
        </is>
      </c>
      <c r="C376" s="10" t="inlineStr">
        <is>
          <t>576</t>
        </is>
      </c>
      <c r="D376" s="10" t="inlineStr">
        <is>
          <t>217</t>
        </is>
      </c>
      <c r="E376" s="35" t="n">
        <v>1.5</v>
      </c>
      <c r="F376" s="35" t="n">
        <v>4</v>
      </c>
      <c r="G376" s="35" t="n">
        <v>-0.75</v>
      </c>
      <c r="H376" s="35" t="n">
        <v>12.5</v>
      </c>
      <c r="I376" s="10" t="inlineStr">
        <is>
          <t>500×550</t>
        </is>
      </c>
      <c r="J376" s="10" t="n">
        <v>5</v>
      </c>
      <c r="K376" s="10" t="n">
        <v>5</v>
      </c>
      <c r="L376" s="10" t="n">
        <v>8</v>
      </c>
      <c r="M376" s="10" t="inlineStr">
        <is>
          <t>Nº4 cerrado</t>
        </is>
      </c>
      <c r="N376" s="10" t="n">
        <v>4</v>
      </c>
      <c r="O376" s="35" t="n">
        <v>110</v>
      </c>
      <c r="P376" s="35" t="n">
        <v>110</v>
      </c>
      <c r="Q376" s="35" t="n">
        <v>0.9987812340864187</v>
      </c>
      <c r="R376" s="10" t="inlineStr">
        <is>
          <t>SÍ</t>
        </is>
      </c>
      <c r="S376" s="15" t="inlineStr">
        <is>
          <t>CUMPLE</t>
        </is>
      </c>
      <c r="T376" s="3" t="inlineStr">
        <is>
          <t>demostrar compatibilidad antes de reducir Tu</t>
        </is>
      </c>
    </row>
    <row r="377">
      <c r="A377" s="25" t="inlineStr">
        <is>
          <t>VR2</t>
        </is>
      </c>
      <c r="B377" s="10" t="inlineStr">
        <is>
          <t>167</t>
        </is>
      </c>
      <c r="C377" s="10" t="inlineStr">
        <is>
          <t>600</t>
        </is>
      </c>
      <c r="D377" s="10" t="inlineStr">
        <is>
          <t>219</t>
        </is>
      </c>
      <c r="E377" s="35" t="n">
        <v>1.5</v>
      </c>
      <c r="F377" s="35" t="n">
        <v>11.5</v>
      </c>
      <c r="G377" s="35" t="n">
        <v>-0.75</v>
      </c>
      <c r="H377" s="35" t="n">
        <v>12.5</v>
      </c>
      <c r="I377" s="10" t="inlineStr">
        <is>
          <t>500×550</t>
        </is>
      </c>
      <c r="J377" s="10" t="n">
        <v>5</v>
      </c>
      <c r="K377" s="10" t="n">
        <v>5</v>
      </c>
      <c r="L377" s="10" t="n">
        <v>8</v>
      </c>
      <c r="M377" s="10" t="inlineStr">
        <is>
          <t>Nº4 cerrado</t>
        </is>
      </c>
      <c r="N377" s="10" t="n">
        <v>4</v>
      </c>
      <c r="O377" s="35" t="n">
        <v>110</v>
      </c>
      <c r="P377" s="35" t="n">
        <v>110</v>
      </c>
      <c r="Q377" s="35" t="n">
        <v>0.9988391020158279</v>
      </c>
      <c r="R377" s="10" t="inlineStr">
        <is>
          <t>SÍ</t>
        </is>
      </c>
      <c r="S377" s="15" t="inlineStr">
        <is>
          <t>CUMPLE</t>
        </is>
      </c>
      <c r="T377" s="3" t="inlineStr">
        <is>
          <t>demostrar compatibilidad antes de reducir Tu</t>
        </is>
      </c>
    </row>
    <row r="378">
      <c r="A378" s="25" t="inlineStr">
        <is>
          <t>VR2</t>
        </is>
      </c>
      <c r="B378" s="10" t="inlineStr">
        <is>
          <t>170</t>
        </is>
      </c>
      <c r="C378" s="10" t="inlineStr">
        <is>
          <t>637</t>
        </is>
      </c>
      <c r="D378" s="10" t="inlineStr">
        <is>
          <t>220</t>
        </is>
      </c>
      <c r="E378" s="35" t="n">
        <v>1.5</v>
      </c>
      <c r="F378" s="35" t="n">
        <v>4</v>
      </c>
      <c r="G378" s="35" t="n">
        <v>-0.75</v>
      </c>
      <c r="H378" s="35" t="n">
        <v>15.5</v>
      </c>
      <c r="I378" s="10" t="inlineStr">
        <is>
          <t>500×550</t>
        </is>
      </c>
      <c r="J378" s="10" t="n">
        <v>5</v>
      </c>
      <c r="K378" s="10" t="n">
        <v>5</v>
      </c>
      <c r="L378" s="10" t="n">
        <v>8</v>
      </c>
      <c r="M378" s="10" t="inlineStr">
        <is>
          <t>Nº3 cerrado</t>
        </is>
      </c>
      <c r="N378" s="10" t="n">
        <v>4</v>
      </c>
      <c r="O378" s="35" t="n">
        <v>80</v>
      </c>
      <c r="P378" s="35" t="n">
        <v>80</v>
      </c>
      <c r="Q378" s="35" t="n">
        <v>0.8007164560681224</v>
      </c>
      <c r="R378" s="10" t="inlineStr">
        <is>
          <t>SÍ</t>
        </is>
      </c>
      <c r="S378" s="15" t="inlineStr">
        <is>
          <t>CUMPLE</t>
        </is>
      </c>
      <c r="T378" s="3" t="inlineStr">
        <is>
          <t>coordinar con planta y reanálisis global</t>
        </is>
      </c>
    </row>
    <row r="379">
      <c r="A379" s="25" t="inlineStr">
        <is>
          <t>VR2</t>
        </is>
      </c>
      <c r="B379" s="10" t="inlineStr">
        <is>
          <t>172</t>
        </is>
      </c>
      <c r="C379" s="10" t="inlineStr">
        <is>
          <t>661</t>
        </is>
      </c>
      <c r="D379" s="10" t="inlineStr">
        <is>
          <t>222</t>
        </is>
      </c>
      <c r="E379" s="35" t="n">
        <v>1.5</v>
      </c>
      <c r="F379" s="35" t="n">
        <v>11.5</v>
      </c>
      <c r="G379" s="35" t="n">
        <v>-0.75</v>
      </c>
      <c r="H379" s="35" t="n">
        <v>15.5</v>
      </c>
      <c r="I379" s="10" t="inlineStr">
        <is>
          <t>500×550</t>
        </is>
      </c>
      <c r="J379" s="10" t="n">
        <v>5</v>
      </c>
      <c r="K379" s="10" t="n">
        <v>5</v>
      </c>
      <c r="L379" s="10" t="n">
        <v>8</v>
      </c>
      <c r="M379" s="10" t="inlineStr">
        <is>
          <t>Nº3 cerrado</t>
        </is>
      </c>
      <c r="N379" s="10" t="n">
        <v>4</v>
      </c>
      <c r="O379" s="35" t="n">
        <v>80</v>
      </c>
      <c r="P379" s="35" t="n">
        <v>80</v>
      </c>
      <c r="Q379" s="35" t="n">
        <v>0.8007400031730985</v>
      </c>
      <c r="R379" s="10" t="inlineStr">
        <is>
          <t>SÍ</t>
        </is>
      </c>
      <c r="S379" s="15" t="inlineStr">
        <is>
          <t>CUMPLE</t>
        </is>
      </c>
      <c r="T379" s="3" t="inlineStr">
        <is>
          <t>coordinar con planta y reanálisis global</t>
        </is>
      </c>
    </row>
    <row r="380">
      <c r="A380" s="25" t="inlineStr">
        <is>
          <t>VR2</t>
        </is>
      </c>
      <c r="B380" s="10" t="inlineStr">
        <is>
          <t>175</t>
        </is>
      </c>
      <c r="C380" s="10" t="inlineStr">
        <is>
          <t>139</t>
        </is>
      </c>
      <c r="D380" s="10" t="inlineStr">
        <is>
          <t>223</t>
        </is>
      </c>
      <c r="E380" s="35" t="n">
        <v>1.5</v>
      </c>
      <c r="F380" s="35" t="n">
        <v>4</v>
      </c>
      <c r="G380" s="35" t="n">
        <v>36.95</v>
      </c>
      <c r="H380" s="35" t="n">
        <v>6.5</v>
      </c>
      <c r="I380" s="10" t="inlineStr">
        <is>
          <t>500×550</t>
        </is>
      </c>
      <c r="J380" s="10" t="n">
        <v>5</v>
      </c>
      <c r="K380" s="10" t="n">
        <v>5</v>
      </c>
      <c r="L380" s="10" t="n">
        <v>12</v>
      </c>
      <c r="M380" s="10" t="inlineStr">
        <is>
          <t>Nº4 cerrado</t>
        </is>
      </c>
      <c r="N380" s="10" t="n">
        <v>4</v>
      </c>
      <c r="O380" s="35" t="n">
        <v>90</v>
      </c>
      <c r="P380" s="35" t="n">
        <v>90</v>
      </c>
      <c r="Q380" s="35" t="n">
        <v>1.430437561263016</v>
      </c>
      <c r="R380" s="10" t="inlineStr">
        <is>
          <t>SÍ</t>
        </is>
      </c>
      <c r="S380" s="19" t="inlineStr">
        <is>
          <t>NO CUMPLE</t>
        </is>
      </c>
      <c r="T380" s="3" t="inlineStr">
        <is>
          <t>aumentar sección por interacción V-T; demostrar compatibilidad antes de reducir Tu</t>
        </is>
      </c>
    </row>
    <row r="381">
      <c r="A381" s="25" t="inlineStr">
        <is>
          <t>VR2</t>
        </is>
      </c>
      <c r="B381" s="10" t="inlineStr">
        <is>
          <t>177</t>
        </is>
      </c>
      <c r="C381" s="10" t="inlineStr">
        <is>
          <t>163</t>
        </is>
      </c>
      <c r="D381" s="10" t="inlineStr">
        <is>
          <t>225</t>
        </is>
      </c>
      <c r="E381" s="35" t="n">
        <v>1.5</v>
      </c>
      <c r="F381" s="35" t="n">
        <v>11.5</v>
      </c>
      <c r="G381" s="35" t="n">
        <v>36.95</v>
      </c>
      <c r="H381" s="35" t="n">
        <v>6.5</v>
      </c>
      <c r="I381" s="10" t="inlineStr">
        <is>
          <t>500×550</t>
        </is>
      </c>
      <c r="J381" s="10" t="n">
        <v>5</v>
      </c>
      <c r="K381" s="10" t="n">
        <v>5</v>
      </c>
      <c r="L381" s="10" t="n">
        <v>12</v>
      </c>
      <c r="M381" s="10" t="inlineStr">
        <is>
          <t>Nº4 cerrado</t>
        </is>
      </c>
      <c r="N381" s="10" t="n">
        <v>4</v>
      </c>
      <c r="O381" s="35" t="n">
        <v>90</v>
      </c>
      <c r="P381" s="35" t="n">
        <v>90</v>
      </c>
      <c r="Q381" s="35" t="n">
        <v>1.430393602094399</v>
      </c>
      <c r="R381" s="10" t="inlineStr">
        <is>
          <t>SÍ</t>
        </is>
      </c>
      <c r="S381" s="19" t="inlineStr">
        <is>
          <t>NO CUMPLE</t>
        </is>
      </c>
      <c r="T381" s="3" t="inlineStr">
        <is>
          <t>aumentar sección por interacción V-T; demostrar compatibilidad antes de reducir Tu</t>
        </is>
      </c>
    </row>
    <row r="382">
      <c r="A382" s="25" t="inlineStr">
        <is>
          <t>VR2</t>
        </is>
      </c>
      <c r="B382" s="10" t="inlineStr">
        <is>
          <t>180</t>
        </is>
      </c>
      <c r="C382" s="10" t="inlineStr">
        <is>
          <t>503</t>
        </is>
      </c>
      <c r="D382" s="10" t="inlineStr">
        <is>
          <t>226</t>
        </is>
      </c>
      <c r="E382" s="35" t="n">
        <v>1.5</v>
      </c>
      <c r="F382" s="35" t="n">
        <v>4</v>
      </c>
      <c r="G382" s="35" t="n">
        <v>36.95</v>
      </c>
      <c r="H382" s="35" t="n">
        <v>9.5</v>
      </c>
      <c r="I382" s="10" t="inlineStr">
        <is>
          <t>500×550</t>
        </is>
      </c>
      <c r="J382" s="10" t="n">
        <v>5</v>
      </c>
      <c r="K382" s="10" t="n">
        <v>5</v>
      </c>
      <c r="L382" s="10" t="n">
        <v>12</v>
      </c>
      <c r="M382" s="10" t="inlineStr">
        <is>
          <t>Nº4 cerrado</t>
        </is>
      </c>
      <c r="N382" s="10" t="n">
        <v>4</v>
      </c>
      <c r="O382" s="35" t="n">
        <v>100</v>
      </c>
      <c r="P382" s="35" t="n">
        <v>100</v>
      </c>
      <c r="Q382" s="35" t="n">
        <v>1.222099694625471</v>
      </c>
      <c r="R382" s="10" t="inlineStr">
        <is>
          <t>SÍ</t>
        </is>
      </c>
      <c r="S382" s="19" t="inlineStr">
        <is>
          <t>NO CUMPLE</t>
        </is>
      </c>
      <c r="T382" s="3" t="inlineStr">
        <is>
          <t>aumentar sección por interacción V-T; demostrar compatibilidad antes de reducir Tu</t>
        </is>
      </c>
    </row>
    <row r="383">
      <c r="A383" s="25" t="inlineStr">
        <is>
          <t>VR2</t>
        </is>
      </c>
      <c r="B383" s="10" t="inlineStr">
        <is>
          <t>182</t>
        </is>
      </c>
      <c r="C383" s="10" t="inlineStr">
        <is>
          <t>527</t>
        </is>
      </c>
      <c r="D383" s="10" t="inlineStr">
        <is>
          <t>228</t>
        </is>
      </c>
      <c r="E383" s="35" t="n">
        <v>1.5</v>
      </c>
      <c r="F383" s="35" t="n">
        <v>11.5</v>
      </c>
      <c r="G383" s="35" t="n">
        <v>36.95</v>
      </c>
      <c r="H383" s="35" t="n">
        <v>9.5</v>
      </c>
      <c r="I383" s="10" t="inlineStr">
        <is>
          <t>500×550</t>
        </is>
      </c>
      <c r="J383" s="10" t="n">
        <v>5</v>
      </c>
      <c r="K383" s="10" t="n">
        <v>5</v>
      </c>
      <c r="L383" s="10" t="n">
        <v>12</v>
      </c>
      <c r="M383" s="10" t="inlineStr">
        <is>
          <t>Nº4 cerrado</t>
        </is>
      </c>
      <c r="N383" s="10" t="n">
        <v>4</v>
      </c>
      <c r="O383" s="35" t="n">
        <v>100</v>
      </c>
      <c r="P383" s="35" t="n">
        <v>100</v>
      </c>
      <c r="Q383" s="35" t="n">
        <v>1.222053417462757</v>
      </c>
      <c r="R383" s="10" t="inlineStr">
        <is>
          <t>SÍ</t>
        </is>
      </c>
      <c r="S383" s="19" t="inlineStr">
        <is>
          <t>NO CUMPLE</t>
        </is>
      </c>
      <c r="T383" s="3" t="inlineStr">
        <is>
          <t>aumentar sección por interacción V-T; demostrar compatibilidad antes de reducir Tu</t>
        </is>
      </c>
    </row>
    <row r="384">
      <c r="A384" s="25" t="inlineStr">
        <is>
          <t>VR2</t>
        </is>
      </c>
      <c r="B384" s="10" t="inlineStr">
        <is>
          <t>185</t>
        </is>
      </c>
      <c r="C384" s="10" t="inlineStr">
        <is>
          <t>564</t>
        </is>
      </c>
      <c r="D384" s="10" t="inlineStr">
        <is>
          <t>229</t>
        </is>
      </c>
      <c r="E384" s="35" t="n">
        <v>1.5</v>
      </c>
      <c r="F384" s="35" t="n">
        <v>4</v>
      </c>
      <c r="G384" s="35" t="n">
        <v>36.95</v>
      </c>
      <c r="H384" s="35" t="n">
        <v>12.5</v>
      </c>
      <c r="I384" s="10" t="inlineStr">
        <is>
          <t>500×550</t>
        </is>
      </c>
      <c r="J384" s="10" t="n">
        <v>5</v>
      </c>
      <c r="K384" s="10" t="n">
        <v>5</v>
      </c>
      <c r="L384" s="10" t="n">
        <v>8</v>
      </c>
      <c r="M384" s="10" t="inlineStr">
        <is>
          <t>Nº4 cerrado</t>
        </is>
      </c>
      <c r="N384" s="10" t="n">
        <v>4</v>
      </c>
      <c r="O384" s="35" t="n">
        <v>110</v>
      </c>
      <c r="P384" s="35" t="n">
        <v>110</v>
      </c>
      <c r="Q384" s="35" t="n">
        <v>0.9988950702757727</v>
      </c>
      <c r="R384" s="10" t="inlineStr">
        <is>
          <t>SÍ</t>
        </is>
      </c>
      <c r="S384" s="15" t="inlineStr">
        <is>
          <t>CUMPLE</t>
        </is>
      </c>
      <c r="T384" s="3" t="inlineStr">
        <is>
          <t>demostrar compatibilidad antes de reducir Tu</t>
        </is>
      </c>
    </row>
    <row r="385">
      <c r="A385" s="25" t="inlineStr">
        <is>
          <t>VR2</t>
        </is>
      </c>
      <c r="B385" s="10" t="inlineStr">
        <is>
          <t>187</t>
        </is>
      </c>
      <c r="C385" s="10" t="inlineStr">
        <is>
          <t>588</t>
        </is>
      </c>
      <c r="D385" s="10" t="inlineStr">
        <is>
          <t>231</t>
        </is>
      </c>
      <c r="E385" s="35" t="n">
        <v>1.5</v>
      </c>
      <c r="F385" s="35" t="n">
        <v>11.5</v>
      </c>
      <c r="G385" s="35" t="n">
        <v>36.95</v>
      </c>
      <c r="H385" s="35" t="n">
        <v>12.5</v>
      </c>
      <c r="I385" s="10" t="inlineStr">
        <is>
          <t>500×550</t>
        </is>
      </c>
      <c r="J385" s="10" t="n">
        <v>5</v>
      </c>
      <c r="K385" s="10" t="n">
        <v>5</v>
      </c>
      <c r="L385" s="10" t="n">
        <v>8</v>
      </c>
      <c r="M385" s="10" t="inlineStr">
        <is>
          <t>Nº4 cerrado</t>
        </is>
      </c>
      <c r="N385" s="10" t="n">
        <v>4</v>
      </c>
      <c r="O385" s="35" t="n">
        <v>110</v>
      </c>
      <c r="P385" s="35" t="n">
        <v>110</v>
      </c>
      <c r="Q385" s="35" t="n">
        <v>0.9988524106174131</v>
      </c>
      <c r="R385" s="10" t="inlineStr">
        <is>
          <t>SÍ</t>
        </is>
      </c>
      <c r="S385" s="15" t="inlineStr">
        <is>
          <t>CUMPLE</t>
        </is>
      </c>
      <c r="T385" s="3" t="inlineStr">
        <is>
          <t>demostrar compatibilidad antes de reducir Tu</t>
        </is>
      </c>
    </row>
    <row r="386">
      <c r="A386" s="25" t="inlineStr">
        <is>
          <t>VR2</t>
        </is>
      </c>
      <c r="B386" s="10" t="inlineStr">
        <is>
          <t>190</t>
        </is>
      </c>
      <c r="C386" s="10" t="inlineStr">
        <is>
          <t>625</t>
        </is>
      </c>
      <c r="D386" s="10" t="inlineStr">
        <is>
          <t>232</t>
        </is>
      </c>
      <c r="E386" s="35" t="n">
        <v>1.5</v>
      </c>
      <c r="F386" s="35" t="n">
        <v>4</v>
      </c>
      <c r="G386" s="35" t="n">
        <v>36.95</v>
      </c>
      <c r="H386" s="35" t="n">
        <v>15.5</v>
      </c>
      <c r="I386" s="10" t="inlineStr">
        <is>
          <t>500×550</t>
        </is>
      </c>
      <c r="J386" s="10" t="n">
        <v>5</v>
      </c>
      <c r="K386" s="10" t="n">
        <v>5</v>
      </c>
      <c r="L386" s="10" t="n">
        <v>8</v>
      </c>
      <c r="M386" s="10" t="inlineStr">
        <is>
          <t>Nº3 cerrado</t>
        </is>
      </c>
      <c r="N386" s="10" t="n">
        <v>4</v>
      </c>
      <c r="O386" s="35" t="n">
        <v>80</v>
      </c>
      <c r="P386" s="35" t="n">
        <v>80</v>
      </c>
      <c r="Q386" s="35" t="n">
        <v>0.8007563619047351</v>
      </c>
      <c r="R386" s="10" t="inlineStr">
        <is>
          <t>SÍ</t>
        </is>
      </c>
      <c r="S386" s="15" t="inlineStr">
        <is>
          <t>CUMPLE</t>
        </is>
      </c>
      <c r="T386" s="3" t="inlineStr">
        <is>
          <t>coordinar con planta y reanálisis global</t>
        </is>
      </c>
    </row>
    <row r="387">
      <c r="A387" s="25" t="inlineStr">
        <is>
          <t>VR2</t>
        </is>
      </c>
      <c r="B387" s="10" t="inlineStr">
        <is>
          <t>192</t>
        </is>
      </c>
      <c r="C387" s="10" t="inlineStr">
        <is>
          <t>649</t>
        </is>
      </c>
      <c r="D387" s="10" t="inlineStr">
        <is>
          <t>234</t>
        </is>
      </c>
      <c r="E387" s="35" t="n">
        <v>1.5</v>
      </c>
      <c r="F387" s="35" t="n">
        <v>11.5</v>
      </c>
      <c r="G387" s="35" t="n">
        <v>36.95</v>
      </c>
      <c r="H387" s="35" t="n">
        <v>15.5</v>
      </c>
      <c r="I387" s="10" t="inlineStr">
        <is>
          <t>500×550</t>
        </is>
      </c>
      <c r="J387" s="10" t="n">
        <v>5</v>
      </c>
      <c r="K387" s="10" t="n">
        <v>5</v>
      </c>
      <c r="L387" s="10" t="n">
        <v>8</v>
      </c>
      <c r="M387" s="10" t="inlineStr">
        <is>
          <t>Nº3 cerrado</t>
        </is>
      </c>
      <c r="N387" s="10" t="n">
        <v>4</v>
      </c>
      <c r="O387" s="35" t="n">
        <v>80</v>
      </c>
      <c r="P387" s="35" t="n">
        <v>80</v>
      </c>
      <c r="Q387" s="35" t="n">
        <v>0.8007400152816769</v>
      </c>
      <c r="R387" s="10" t="inlineStr">
        <is>
          <t>SÍ</t>
        </is>
      </c>
      <c r="S387" s="15" t="inlineStr">
        <is>
          <t>CUMPLE</t>
        </is>
      </c>
      <c r="T387" s="3" t="inlineStr">
        <is>
          <t>coordinar con planta y reanálisis global</t>
        </is>
      </c>
    </row>
    <row r="388">
      <c r="A388" s="25" t="inlineStr">
        <is>
          <t>VR2</t>
        </is>
      </c>
      <c r="B388" s="10" t="inlineStr">
        <is>
          <t>211</t>
        </is>
      </c>
      <c r="C388" s="10" t="inlineStr">
        <is>
          <t>139</t>
        </is>
      </c>
      <c r="D388" s="10" t="inlineStr">
        <is>
          <t>140</t>
        </is>
      </c>
      <c r="E388" s="35" t="n">
        <v>2.6</v>
      </c>
      <c r="F388" s="35" t="n">
        <v>4</v>
      </c>
      <c r="G388" s="35" t="n">
        <v>34.9</v>
      </c>
      <c r="H388" s="35" t="n">
        <v>6.5</v>
      </c>
      <c r="I388" s="10" t="inlineStr">
        <is>
          <t>500×550</t>
        </is>
      </c>
      <c r="J388" s="10" t="n">
        <v>6</v>
      </c>
      <c r="K388" s="10" t="n">
        <v>5</v>
      </c>
      <c r="L388" s="10" t="n">
        <v>0</v>
      </c>
      <c r="M388" s="10" t="inlineStr">
        <is>
          <t>Nº4 cerrado</t>
        </is>
      </c>
      <c r="N388" s="10" t="n">
        <v>2</v>
      </c>
      <c r="O388" s="35" t="n">
        <v>80</v>
      </c>
      <c r="P388" s="35" t="n">
        <v>80</v>
      </c>
      <c r="Q388" s="35" t="n">
        <v>0.7623237779499566</v>
      </c>
      <c r="R388" s="10" t="inlineStr">
        <is>
          <t>SÍ</t>
        </is>
      </c>
      <c r="S388" s="15" t="inlineStr">
        <is>
          <t>CUMPLE</t>
        </is>
      </c>
      <c r="T388" s="3" t="inlineStr">
        <is>
          <t>coordinar con planta y reanálisis global</t>
        </is>
      </c>
    </row>
    <row r="389">
      <c r="A389" s="25" t="inlineStr">
        <is>
          <t>VR2</t>
        </is>
      </c>
      <c r="B389" s="10" t="inlineStr">
        <is>
          <t>212</t>
        </is>
      </c>
      <c r="C389" s="10" t="inlineStr">
        <is>
          <t>140</t>
        </is>
      </c>
      <c r="D389" s="10" t="inlineStr">
        <is>
          <t>141</t>
        </is>
      </c>
      <c r="E389" s="35" t="n">
        <v>3.65308</v>
      </c>
      <c r="F389" s="35" t="n">
        <v>3.925</v>
      </c>
      <c r="G389" s="35" t="n">
        <v>31.775</v>
      </c>
      <c r="H389" s="35" t="n">
        <v>6.5</v>
      </c>
      <c r="I389" s="10" t="inlineStr">
        <is>
          <t>500×550</t>
        </is>
      </c>
      <c r="J389" s="10" t="n">
        <v>6</v>
      </c>
      <c r="K389" s="10" t="n">
        <v>5</v>
      </c>
      <c r="L389" s="10" t="n">
        <v>8</v>
      </c>
      <c r="M389" s="10" t="inlineStr">
        <is>
          <t>Nº4 cerrado</t>
        </is>
      </c>
      <c r="N389" s="10" t="n">
        <v>2</v>
      </c>
      <c r="O389" s="35" t="n">
        <v>90</v>
      </c>
      <c r="P389" s="35" t="n">
        <v>90</v>
      </c>
      <c r="Q389" s="35" t="n">
        <v>0.6782873158013212</v>
      </c>
      <c r="R389" s="10" t="inlineStr">
        <is>
          <t>SÍ</t>
        </is>
      </c>
      <c r="S389" s="15" t="inlineStr">
        <is>
          <t>CUMPLE</t>
        </is>
      </c>
      <c r="T389" s="3" t="inlineStr">
        <is>
          <t>demostrar compatibilidad antes de reducir Tu</t>
        </is>
      </c>
    </row>
    <row r="390">
      <c r="A390" s="25" t="inlineStr">
        <is>
          <t>VR2</t>
        </is>
      </c>
      <c r="B390" s="10" t="inlineStr">
        <is>
          <t>213</t>
        </is>
      </c>
      <c r="C390" s="10" t="inlineStr">
        <is>
          <t>141</t>
        </is>
      </c>
      <c r="D390" s="10" t="inlineStr">
        <is>
          <t>142</t>
        </is>
      </c>
      <c r="E390" s="35" t="n">
        <v>2.6</v>
      </c>
      <c r="F390" s="35" t="n">
        <v>3.85</v>
      </c>
      <c r="G390" s="35" t="n">
        <v>28.65</v>
      </c>
      <c r="H390" s="35" t="n">
        <v>6.5</v>
      </c>
      <c r="I390" s="10" t="inlineStr">
        <is>
          <t>500×550</t>
        </is>
      </c>
      <c r="J390" s="10" t="n">
        <v>6</v>
      </c>
      <c r="K390" s="10" t="n">
        <v>5</v>
      </c>
      <c r="L390" s="10" t="n">
        <v>8</v>
      </c>
      <c r="M390" s="10" t="inlineStr">
        <is>
          <t>Nº4 cerrado</t>
        </is>
      </c>
      <c r="N390" s="10" t="n">
        <v>4</v>
      </c>
      <c r="O390" s="35" t="n">
        <v>120</v>
      </c>
      <c r="P390" s="35" t="n">
        <v>120</v>
      </c>
      <c r="Q390" s="35" t="n">
        <v>0.8673206301954233</v>
      </c>
      <c r="R390" s="10" t="inlineStr">
        <is>
          <t>SÍ</t>
        </is>
      </c>
      <c r="S390" s="15" t="inlineStr">
        <is>
          <t>CUMPLE</t>
        </is>
      </c>
      <c r="T390" s="3" t="inlineStr">
        <is>
          <t>coordinar con planta y reanálisis global</t>
        </is>
      </c>
    </row>
    <row r="391">
      <c r="A391" s="25" t="inlineStr">
        <is>
          <t>VR2</t>
        </is>
      </c>
      <c r="B391" s="10" t="inlineStr">
        <is>
          <t>214</t>
        </is>
      </c>
      <c r="C391" s="10" t="inlineStr">
        <is>
          <t>142</t>
        </is>
      </c>
      <c r="D391" s="10" t="inlineStr">
        <is>
          <t>143</t>
        </is>
      </c>
      <c r="E391" s="35" t="n">
        <v>2.5</v>
      </c>
      <c r="F391" s="35" t="n">
        <v>3.85</v>
      </c>
      <c r="G391" s="35" t="n">
        <v>26.1</v>
      </c>
      <c r="H391" s="35" t="n">
        <v>6.5</v>
      </c>
      <c r="I391" s="10" t="inlineStr">
        <is>
          <t>500×550</t>
        </is>
      </c>
      <c r="J391" s="10" t="n">
        <v>5</v>
      </c>
      <c r="K391" s="10" t="n">
        <v>5</v>
      </c>
      <c r="L391" s="10" t="n">
        <v>8</v>
      </c>
      <c r="M391" s="10" t="inlineStr">
        <is>
          <t>Nº4 cerrado</t>
        </is>
      </c>
      <c r="N391" s="10" t="n">
        <v>2</v>
      </c>
      <c r="O391" s="35" t="n">
        <v>80</v>
      </c>
      <c r="P391" s="35" t="n">
        <v>80</v>
      </c>
      <c r="Q391" s="35" t="n">
        <v>0.7626316462629933</v>
      </c>
      <c r="R391" s="10" t="inlineStr">
        <is>
          <t>SÍ</t>
        </is>
      </c>
      <c r="S391" s="15" t="inlineStr">
        <is>
          <t>CUMPLE</t>
        </is>
      </c>
      <c r="T391" s="3" t="inlineStr">
        <is>
          <t>coordinar con planta y reanálisis global</t>
        </is>
      </c>
    </row>
    <row r="392">
      <c r="A392" s="25" t="inlineStr">
        <is>
          <t>VR2</t>
        </is>
      </c>
      <c r="B392" s="10" t="inlineStr">
        <is>
          <t>215</t>
        </is>
      </c>
      <c r="C392" s="10" t="inlineStr">
        <is>
          <t>143</t>
        </is>
      </c>
      <c r="D392" s="10" t="inlineStr">
        <is>
          <t>144</t>
        </is>
      </c>
      <c r="E392" s="35" t="n">
        <v>4.17612</v>
      </c>
      <c r="F392" s="35" t="n">
        <v>3.25</v>
      </c>
      <c r="G392" s="35" t="n">
        <v>22.85</v>
      </c>
      <c r="H392" s="35" t="n">
        <v>6.5</v>
      </c>
      <c r="I392" s="10" t="inlineStr">
        <is>
          <t>500×550</t>
        </is>
      </c>
      <c r="J392" s="10" t="n">
        <v>5</v>
      </c>
      <c r="K392" s="10" t="n">
        <v>5</v>
      </c>
      <c r="L392" s="10" t="n">
        <v>0</v>
      </c>
      <c r="M392" s="10" t="inlineStr">
        <is>
          <t>Nº3 cerrado</t>
        </is>
      </c>
      <c r="N392" s="10" t="n">
        <v>2</v>
      </c>
      <c r="O392" s="35" t="n">
        <v>100</v>
      </c>
      <c r="P392" s="35" t="n">
        <v>100</v>
      </c>
      <c r="Q392" s="35" t="n">
        <v>0.4751668523625123</v>
      </c>
      <c r="R392" s="10" t="inlineStr">
        <is>
          <t>SÍ</t>
        </is>
      </c>
      <c r="S392" s="15" t="inlineStr">
        <is>
          <t>CUMPLE</t>
        </is>
      </c>
      <c r="T392" s="3" t="inlineStr">
        <is>
          <t>coordinar con planta y reanálisis global</t>
        </is>
      </c>
    </row>
    <row r="393">
      <c r="A393" s="25" t="inlineStr">
        <is>
          <t>VR2</t>
        </is>
      </c>
      <c r="B393" s="10" t="inlineStr">
        <is>
          <t>216</t>
        </is>
      </c>
      <c r="C393" s="10" t="inlineStr">
        <is>
          <t>144</t>
        </is>
      </c>
      <c r="D393" s="10" t="inlineStr">
        <is>
          <t>145</t>
        </is>
      </c>
      <c r="E393" s="35" t="n">
        <v>2.7</v>
      </c>
      <c r="F393" s="35" t="n">
        <v>2.65</v>
      </c>
      <c r="G393" s="35" t="n">
        <v>19.5</v>
      </c>
      <c r="H393" s="35" t="n">
        <v>6.5</v>
      </c>
      <c r="I393" s="10" t="inlineStr">
        <is>
          <t>500×550</t>
        </is>
      </c>
      <c r="J393" s="10" t="n">
        <v>6</v>
      </c>
      <c r="K393" s="10" t="n">
        <v>5</v>
      </c>
      <c r="L393" s="10" t="n">
        <v>8</v>
      </c>
      <c r="M393" s="10" t="inlineStr">
        <is>
          <t>Nº4 cerrado</t>
        </is>
      </c>
      <c r="N393" s="10" t="n">
        <v>4</v>
      </c>
      <c r="O393" s="35" t="n">
        <v>110</v>
      </c>
      <c r="P393" s="35" t="n">
        <v>110</v>
      </c>
      <c r="Q393" s="35" t="n">
        <v>0.9998055390811448</v>
      </c>
      <c r="R393" s="10" t="inlineStr">
        <is>
          <t>SÍ</t>
        </is>
      </c>
      <c r="S393" s="15" t="inlineStr">
        <is>
          <t>CUMPLE</t>
        </is>
      </c>
      <c r="T393" s="3" t="inlineStr">
        <is>
          <t>demostrar compatibilidad antes de reducir Tu</t>
        </is>
      </c>
    </row>
    <row r="394">
      <c r="A394" s="25" t="inlineStr">
        <is>
          <t>VR2</t>
        </is>
      </c>
      <c r="B394" s="10" t="inlineStr">
        <is>
          <t>217</t>
        </is>
      </c>
      <c r="C394" s="10" t="inlineStr">
        <is>
          <t>145</t>
        </is>
      </c>
      <c r="D394" s="10" t="inlineStr">
        <is>
          <t>146</t>
        </is>
      </c>
      <c r="E394" s="35" t="n">
        <v>2.8</v>
      </c>
      <c r="F394" s="35" t="n">
        <v>2.65</v>
      </c>
      <c r="G394" s="35" t="n">
        <v>16.75</v>
      </c>
      <c r="H394" s="35" t="n">
        <v>6.5</v>
      </c>
      <c r="I394" s="10" t="inlineStr">
        <is>
          <t>500×550</t>
        </is>
      </c>
      <c r="J394" s="10" t="n">
        <v>6</v>
      </c>
      <c r="K394" s="10" t="n">
        <v>5</v>
      </c>
      <c r="L394" s="10" t="n">
        <v>8</v>
      </c>
      <c r="M394" s="10" t="inlineStr">
        <is>
          <t>Nº4 cerrado</t>
        </is>
      </c>
      <c r="N394" s="10" t="n">
        <v>4</v>
      </c>
      <c r="O394" s="35" t="n">
        <v>120</v>
      </c>
      <c r="P394" s="35" t="n">
        <v>120</v>
      </c>
      <c r="Q394" s="35" t="n">
        <v>0.9657199624864526</v>
      </c>
      <c r="R394" s="10" t="inlineStr">
        <is>
          <t>SÍ</t>
        </is>
      </c>
      <c r="S394" s="15" t="inlineStr">
        <is>
          <t>CUMPLE</t>
        </is>
      </c>
      <c r="T394" s="3" t="inlineStr">
        <is>
          <t>demostrar compatibilidad antes de reducir Tu</t>
        </is>
      </c>
    </row>
    <row r="395">
      <c r="A395" s="25" t="inlineStr">
        <is>
          <t>VR2</t>
        </is>
      </c>
      <c r="B395" s="10" t="inlineStr">
        <is>
          <t>218</t>
        </is>
      </c>
      <c r="C395" s="10" t="inlineStr">
        <is>
          <t>146</t>
        </is>
      </c>
      <c r="D395" s="10" t="inlineStr">
        <is>
          <t>147</t>
        </is>
      </c>
      <c r="E395" s="35" t="n">
        <v>4.17612</v>
      </c>
      <c r="F395" s="35" t="n">
        <v>3.25</v>
      </c>
      <c r="G395" s="35" t="n">
        <v>13.35</v>
      </c>
      <c r="H395" s="35" t="n">
        <v>6.5</v>
      </c>
      <c r="I395" s="10" t="inlineStr">
        <is>
          <t>500×550</t>
        </is>
      </c>
      <c r="J395" s="10" t="n">
        <v>5</v>
      </c>
      <c r="K395" s="10" t="n">
        <v>5</v>
      </c>
      <c r="L395" s="10" t="n">
        <v>0</v>
      </c>
      <c r="M395" s="10" t="inlineStr">
        <is>
          <t>Nº3 cerrado</t>
        </is>
      </c>
      <c r="N395" s="10" t="n">
        <v>2</v>
      </c>
      <c r="O395" s="35" t="n">
        <v>100</v>
      </c>
      <c r="P395" s="35" t="n">
        <v>100</v>
      </c>
      <c r="Q395" s="35" t="n">
        <v>0.4744994847484888</v>
      </c>
      <c r="R395" s="10" t="inlineStr">
        <is>
          <t>SÍ</t>
        </is>
      </c>
      <c r="S395" s="15" t="inlineStr">
        <is>
          <t>CUMPLE</t>
        </is>
      </c>
      <c r="T395" s="3" t="inlineStr">
        <is>
          <t>coordinar con planta y reanálisis global</t>
        </is>
      </c>
    </row>
    <row r="396">
      <c r="A396" s="25" t="inlineStr">
        <is>
          <t>VR2</t>
        </is>
      </c>
      <c r="B396" s="10" t="inlineStr">
        <is>
          <t>219</t>
        </is>
      </c>
      <c r="C396" s="10" t="inlineStr">
        <is>
          <t>147</t>
        </is>
      </c>
      <c r="D396" s="10" t="inlineStr">
        <is>
          <t>148</t>
        </is>
      </c>
      <c r="E396" s="35" t="n">
        <v>2.5</v>
      </c>
      <c r="F396" s="35" t="n">
        <v>3.85</v>
      </c>
      <c r="G396" s="35" t="n">
        <v>10.1</v>
      </c>
      <c r="H396" s="35" t="n">
        <v>6.5</v>
      </c>
      <c r="I396" s="10" t="inlineStr">
        <is>
          <t>500×550</t>
        </is>
      </c>
      <c r="J396" s="10" t="n">
        <v>5</v>
      </c>
      <c r="K396" s="10" t="n">
        <v>5</v>
      </c>
      <c r="L396" s="10" t="n">
        <v>8</v>
      </c>
      <c r="M396" s="10" t="inlineStr">
        <is>
          <t>Nº4 cerrado</t>
        </is>
      </c>
      <c r="N396" s="10" t="n">
        <v>2</v>
      </c>
      <c r="O396" s="35" t="n">
        <v>80</v>
      </c>
      <c r="P396" s="35" t="n">
        <v>80</v>
      </c>
      <c r="Q396" s="35" t="n">
        <v>0.7625062807195765</v>
      </c>
      <c r="R396" s="10" t="inlineStr">
        <is>
          <t>SÍ</t>
        </is>
      </c>
      <c r="S396" s="15" t="inlineStr">
        <is>
          <t>CUMPLE</t>
        </is>
      </c>
      <c r="T396" s="3" t="inlineStr">
        <is>
          <t>coordinar con planta y reanálisis global</t>
        </is>
      </c>
    </row>
    <row r="397">
      <c r="A397" s="25" t="inlineStr">
        <is>
          <t>VR2</t>
        </is>
      </c>
      <c r="B397" s="10" t="inlineStr">
        <is>
          <t>220</t>
        </is>
      </c>
      <c r="C397" s="10" t="inlineStr">
        <is>
          <t>148</t>
        </is>
      </c>
      <c r="D397" s="10" t="inlineStr">
        <is>
          <t>149</t>
        </is>
      </c>
      <c r="E397" s="35" t="n">
        <v>2.6</v>
      </c>
      <c r="F397" s="35" t="n">
        <v>3.85</v>
      </c>
      <c r="G397" s="35" t="n">
        <v>7.55</v>
      </c>
      <c r="H397" s="35" t="n">
        <v>6.5</v>
      </c>
      <c r="I397" s="10" t="inlineStr">
        <is>
          <t>500×550</t>
        </is>
      </c>
      <c r="J397" s="10" t="n">
        <v>6</v>
      </c>
      <c r="K397" s="10" t="n">
        <v>5</v>
      </c>
      <c r="L397" s="10" t="n">
        <v>8</v>
      </c>
      <c r="M397" s="10" t="inlineStr">
        <is>
          <t>Nº4 cerrado</t>
        </is>
      </c>
      <c r="N397" s="10" t="n">
        <v>4</v>
      </c>
      <c r="O397" s="35" t="n">
        <v>120</v>
      </c>
      <c r="P397" s="35" t="n">
        <v>120</v>
      </c>
      <c r="Q397" s="35" t="n">
        <v>0.8675968122651387</v>
      </c>
      <c r="R397" s="10" t="inlineStr">
        <is>
          <t>SÍ</t>
        </is>
      </c>
      <c r="S397" s="15" t="inlineStr">
        <is>
          <t>CUMPLE</t>
        </is>
      </c>
      <c r="T397" s="3" t="inlineStr">
        <is>
          <t>coordinar con planta y reanálisis global</t>
        </is>
      </c>
    </row>
    <row r="398">
      <c r="A398" s="25" t="inlineStr">
        <is>
          <t>VR2</t>
        </is>
      </c>
      <c r="B398" s="10" t="inlineStr">
        <is>
          <t>221</t>
        </is>
      </c>
      <c r="C398" s="10" t="inlineStr">
        <is>
          <t>149</t>
        </is>
      </c>
      <c r="D398" s="10" t="inlineStr">
        <is>
          <t>150</t>
        </is>
      </c>
      <c r="E398" s="35" t="n">
        <v>3.65308</v>
      </c>
      <c r="F398" s="35" t="n">
        <v>3.925</v>
      </c>
      <c r="G398" s="35" t="n">
        <v>4.425</v>
      </c>
      <c r="H398" s="35" t="n">
        <v>6.5</v>
      </c>
      <c r="I398" s="10" t="inlineStr">
        <is>
          <t>500×550</t>
        </is>
      </c>
      <c r="J398" s="10" t="n">
        <v>6</v>
      </c>
      <c r="K398" s="10" t="n">
        <v>5</v>
      </c>
      <c r="L398" s="10" t="n">
        <v>8</v>
      </c>
      <c r="M398" s="10" t="inlineStr">
        <is>
          <t>Nº4 cerrado</t>
        </is>
      </c>
      <c r="N398" s="10" t="n">
        <v>2</v>
      </c>
      <c r="O398" s="35" t="n">
        <v>90</v>
      </c>
      <c r="P398" s="35" t="n">
        <v>90</v>
      </c>
      <c r="Q398" s="35" t="n">
        <v>0.6781266516923887</v>
      </c>
      <c r="R398" s="10" t="inlineStr">
        <is>
          <t>SÍ</t>
        </is>
      </c>
      <c r="S398" s="15" t="inlineStr">
        <is>
          <t>CUMPLE</t>
        </is>
      </c>
      <c r="T398" s="3" t="inlineStr">
        <is>
          <t>demostrar compatibilidad antes de reducir Tu</t>
        </is>
      </c>
    </row>
    <row r="399">
      <c r="A399" s="25" t="inlineStr">
        <is>
          <t>VR2</t>
        </is>
      </c>
      <c r="B399" s="10" t="inlineStr">
        <is>
          <t>222</t>
        </is>
      </c>
      <c r="C399" s="10" t="inlineStr">
        <is>
          <t>150</t>
        </is>
      </c>
      <c r="D399" s="10" t="inlineStr">
        <is>
          <t>151</t>
        </is>
      </c>
      <c r="E399" s="35" t="n">
        <v>2.6</v>
      </c>
      <c r="F399" s="35" t="n">
        <v>4</v>
      </c>
      <c r="G399" s="35" t="n">
        <v>1.3</v>
      </c>
      <c r="H399" s="35" t="n">
        <v>6.5</v>
      </c>
      <c r="I399" s="10" t="inlineStr">
        <is>
          <t>500×550</t>
        </is>
      </c>
      <c r="J399" s="10" t="n">
        <v>6</v>
      </c>
      <c r="K399" s="10" t="n">
        <v>5</v>
      </c>
      <c r="L399" s="10" t="n">
        <v>0</v>
      </c>
      <c r="M399" s="10" t="inlineStr">
        <is>
          <t>Nº4 cerrado</t>
        </is>
      </c>
      <c r="N399" s="10" t="n">
        <v>2</v>
      </c>
      <c r="O399" s="35" t="n">
        <v>80</v>
      </c>
      <c r="P399" s="35" t="n">
        <v>80</v>
      </c>
      <c r="Q399" s="35" t="n">
        <v>0.7622162686698898</v>
      </c>
      <c r="R399" s="10" t="inlineStr">
        <is>
          <t>SÍ</t>
        </is>
      </c>
      <c r="S399" s="15" t="inlineStr">
        <is>
          <t>CUMPLE</t>
        </is>
      </c>
      <c r="T399" s="3" t="inlineStr">
        <is>
          <t>coordinar con planta y reanálisis global</t>
        </is>
      </c>
    </row>
    <row r="400">
      <c r="A400" s="25" t="inlineStr">
        <is>
          <t>VR2</t>
        </is>
      </c>
      <c r="B400" s="10" t="inlineStr">
        <is>
          <t>233</t>
        </is>
      </c>
      <c r="C400" s="10" t="inlineStr">
        <is>
          <t>163</t>
        </is>
      </c>
      <c r="D400" s="10" t="inlineStr">
        <is>
          <t>164</t>
        </is>
      </c>
      <c r="E400" s="35" t="n">
        <v>2.6</v>
      </c>
      <c r="F400" s="35" t="n">
        <v>11.5</v>
      </c>
      <c r="G400" s="35" t="n">
        <v>34.9</v>
      </c>
      <c r="H400" s="35" t="n">
        <v>6.5</v>
      </c>
      <c r="I400" s="10" t="inlineStr">
        <is>
          <t>500×550</t>
        </is>
      </c>
      <c r="J400" s="10" t="n">
        <v>6</v>
      </c>
      <c r="K400" s="10" t="n">
        <v>5</v>
      </c>
      <c r="L400" s="10" t="n">
        <v>0</v>
      </c>
      <c r="M400" s="10" t="inlineStr">
        <is>
          <t>Nº4 cerrado</t>
        </is>
      </c>
      <c r="N400" s="10" t="n">
        <v>2</v>
      </c>
      <c r="O400" s="35" t="n">
        <v>80</v>
      </c>
      <c r="P400" s="35" t="n">
        <v>80</v>
      </c>
      <c r="Q400" s="35" t="n">
        <v>0.762324513598084</v>
      </c>
      <c r="R400" s="10" t="inlineStr">
        <is>
          <t>SÍ</t>
        </is>
      </c>
      <c r="S400" s="15" t="inlineStr">
        <is>
          <t>CUMPLE</t>
        </is>
      </c>
      <c r="T400" s="3" t="inlineStr">
        <is>
          <t>coordinar con planta y reanálisis global</t>
        </is>
      </c>
    </row>
    <row r="401">
      <c r="A401" s="25" t="inlineStr">
        <is>
          <t>VR2</t>
        </is>
      </c>
      <c r="B401" s="10" t="inlineStr">
        <is>
          <t>234</t>
        </is>
      </c>
      <c r="C401" s="10" t="inlineStr">
        <is>
          <t>164</t>
        </is>
      </c>
      <c r="D401" s="10" t="inlineStr">
        <is>
          <t>165</t>
        </is>
      </c>
      <c r="E401" s="35" t="n">
        <v>3.65308</v>
      </c>
      <c r="F401" s="35" t="n">
        <v>11.575</v>
      </c>
      <c r="G401" s="35" t="n">
        <v>31.775</v>
      </c>
      <c r="H401" s="35" t="n">
        <v>6.5</v>
      </c>
      <c r="I401" s="10" t="inlineStr">
        <is>
          <t>500×550</t>
        </is>
      </c>
      <c r="J401" s="10" t="n">
        <v>6</v>
      </c>
      <c r="K401" s="10" t="n">
        <v>5</v>
      </c>
      <c r="L401" s="10" t="n">
        <v>8</v>
      </c>
      <c r="M401" s="10" t="inlineStr">
        <is>
          <t>Nº4 cerrado</t>
        </is>
      </c>
      <c r="N401" s="10" t="n">
        <v>2</v>
      </c>
      <c r="O401" s="35" t="n">
        <v>90</v>
      </c>
      <c r="P401" s="35" t="n">
        <v>90</v>
      </c>
      <c r="Q401" s="35" t="n">
        <v>0.6780713522346452</v>
      </c>
      <c r="R401" s="10" t="inlineStr">
        <is>
          <t>SÍ</t>
        </is>
      </c>
      <c r="S401" s="15" t="inlineStr">
        <is>
          <t>CUMPLE</t>
        </is>
      </c>
      <c r="T401" s="3" t="inlineStr">
        <is>
          <t>demostrar compatibilidad antes de reducir Tu</t>
        </is>
      </c>
    </row>
    <row r="402">
      <c r="A402" s="25" t="inlineStr">
        <is>
          <t>VR2</t>
        </is>
      </c>
      <c r="B402" s="10" t="inlineStr">
        <is>
          <t>235</t>
        </is>
      </c>
      <c r="C402" s="10" t="inlineStr">
        <is>
          <t>165</t>
        </is>
      </c>
      <c r="D402" s="10" t="inlineStr">
        <is>
          <t>166</t>
        </is>
      </c>
      <c r="E402" s="35" t="n">
        <v>2.6</v>
      </c>
      <c r="F402" s="35" t="n">
        <v>11.65</v>
      </c>
      <c r="G402" s="35" t="n">
        <v>28.65</v>
      </c>
      <c r="H402" s="35" t="n">
        <v>6.5</v>
      </c>
      <c r="I402" s="10" t="inlineStr">
        <is>
          <t>500×550</t>
        </is>
      </c>
      <c r="J402" s="10" t="n">
        <v>6</v>
      </c>
      <c r="K402" s="10" t="n">
        <v>5</v>
      </c>
      <c r="L402" s="10" t="n">
        <v>8</v>
      </c>
      <c r="M402" s="10" t="inlineStr">
        <is>
          <t>Nº4 cerrado</t>
        </is>
      </c>
      <c r="N402" s="10" t="n">
        <v>4</v>
      </c>
      <c r="O402" s="35" t="n">
        <v>120</v>
      </c>
      <c r="P402" s="35" t="n">
        <v>120</v>
      </c>
      <c r="Q402" s="35" t="n">
        <v>0.8677149701200143</v>
      </c>
      <c r="R402" s="10" t="inlineStr">
        <is>
          <t>SÍ</t>
        </is>
      </c>
      <c r="S402" s="15" t="inlineStr">
        <is>
          <t>CUMPLE</t>
        </is>
      </c>
      <c r="T402" s="3" t="inlineStr">
        <is>
          <t>coordinar con planta y reanálisis global</t>
        </is>
      </c>
    </row>
    <row r="403">
      <c r="A403" s="25" t="inlineStr">
        <is>
          <t>VR2</t>
        </is>
      </c>
      <c r="B403" s="10" t="inlineStr">
        <is>
          <t>236</t>
        </is>
      </c>
      <c r="C403" s="10" t="inlineStr">
        <is>
          <t>166</t>
        </is>
      </c>
      <c r="D403" s="10" t="inlineStr">
        <is>
          <t>167</t>
        </is>
      </c>
      <c r="E403" s="35" t="n">
        <v>2.5</v>
      </c>
      <c r="F403" s="35" t="n">
        <v>11.65</v>
      </c>
      <c r="G403" s="35" t="n">
        <v>26.1</v>
      </c>
      <c r="H403" s="35" t="n">
        <v>6.5</v>
      </c>
      <c r="I403" s="10" t="inlineStr">
        <is>
          <t>500×550</t>
        </is>
      </c>
      <c r="J403" s="10" t="n">
        <v>5</v>
      </c>
      <c r="K403" s="10" t="n">
        <v>5</v>
      </c>
      <c r="L403" s="10" t="n">
        <v>8</v>
      </c>
      <c r="M403" s="10" t="inlineStr">
        <is>
          <t>Nº4 cerrado</t>
        </is>
      </c>
      <c r="N403" s="10" t="n">
        <v>2</v>
      </c>
      <c r="O403" s="35" t="n">
        <v>80</v>
      </c>
      <c r="P403" s="35" t="n">
        <v>80</v>
      </c>
      <c r="Q403" s="35" t="n">
        <v>0.7626585722387224</v>
      </c>
      <c r="R403" s="10" t="inlineStr">
        <is>
          <t>SÍ</t>
        </is>
      </c>
      <c r="S403" s="15" t="inlineStr">
        <is>
          <t>CUMPLE</t>
        </is>
      </c>
      <c r="T403" s="3" t="inlineStr">
        <is>
          <t>coordinar con planta y reanálisis global</t>
        </is>
      </c>
    </row>
    <row r="404">
      <c r="A404" s="25" t="inlineStr">
        <is>
          <t>VR2</t>
        </is>
      </c>
      <c r="B404" s="10" t="inlineStr">
        <is>
          <t>237</t>
        </is>
      </c>
      <c r="C404" s="10" t="inlineStr">
        <is>
          <t>167</t>
        </is>
      </c>
      <c r="D404" s="10" t="inlineStr">
        <is>
          <t>168</t>
        </is>
      </c>
      <c r="E404" s="35" t="n">
        <v>4.17612</v>
      </c>
      <c r="F404" s="35" t="n">
        <v>12.25</v>
      </c>
      <c r="G404" s="35" t="n">
        <v>22.85</v>
      </c>
      <c r="H404" s="35" t="n">
        <v>6.5</v>
      </c>
      <c r="I404" s="10" t="inlineStr">
        <is>
          <t>500×550</t>
        </is>
      </c>
      <c r="J404" s="10" t="n">
        <v>5</v>
      </c>
      <c r="K404" s="10" t="n">
        <v>5</v>
      </c>
      <c r="L404" s="10" t="n">
        <v>0</v>
      </c>
      <c r="M404" s="10" t="inlineStr">
        <is>
          <t>Nº3 cerrado</t>
        </is>
      </c>
      <c r="N404" s="10" t="n">
        <v>2</v>
      </c>
      <c r="O404" s="35" t="n">
        <v>100</v>
      </c>
      <c r="P404" s="35" t="n">
        <v>100</v>
      </c>
      <c r="Q404" s="35" t="n">
        <v>0.4751697501461666</v>
      </c>
      <c r="R404" s="10" t="inlineStr">
        <is>
          <t>SÍ</t>
        </is>
      </c>
      <c r="S404" s="15" t="inlineStr">
        <is>
          <t>CUMPLE</t>
        </is>
      </c>
      <c r="T404" s="3" t="inlineStr">
        <is>
          <t>coordinar con planta y reanálisis global</t>
        </is>
      </c>
    </row>
    <row r="405">
      <c r="A405" s="25" t="inlineStr">
        <is>
          <t>VR2</t>
        </is>
      </c>
      <c r="B405" s="10" t="inlineStr">
        <is>
          <t>238</t>
        </is>
      </c>
      <c r="C405" s="10" t="inlineStr">
        <is>
          <t>168</t>
        </is>
      </c>
      <c r="D405" s="10" t="inlineStr">
        <is>
          <t>169</t>
        </is>
      </c>
      <c r="E405" s="35" t="n">
        <v>2.7</v>
      </c>
      <c r="F405" s="35" t="n">
        <v>12.85</v>
      </c>
      <c r="G405" s="35" t="n">
        <v>19.5</v>
      </c>
      <c r="H405" s="35" t="n">
        <v>6.5</v>
      </c>
      <c r="I405" s="10" t="inlineStr">
        <is>
          <t>500×550</t>
        </is>
      </c>
      <c r="J405" s="10" t="n">
        <v>6</v>
      </c>
      <c r="K405" s="10" t="n">
        <v>5</v>
      </c>
      <c r="L405" s="10" t="n">
        <v>8</v>
      </c>
      <c r="M405" s="10" t="inlineStr">
        <is>
          <t>Nº4 cerrado</t>
        </is>
      </c>
      <c r="N405" s="10" t="n">
        <v>4</v>
      </c>
      <c r="O405" s="35" t="n">
        <v>110</v>
      </c>
      <c r="P405" s="35" t="n">
        <v>110</v>
      </c>
      <c r="Q405" s="35" t="n">
        <v>0.9998020921572064</v>
      </c>
      <c r="R405" s="10" t="inlineStr">
        <is>
          <t>SÍ</t>
        </is>
      </c>
      <c r="S405" s="15" t="inlineStr">
        <is>
          <t>CUMPLE</t>
        </is>
      </c>
      <c r="T405" s="3" t="inlineStr">
        <is>
          <t>demostrar compatibilidad antes de reducir Tu</t>
        </is>
      </c>
    </row>
    <row r="406">
      <c r="A406" s="25" t="inlineStr">
        <is>
          <t>VR2</t>
        </is>
      </c>
      <c r="B406" s="10" t="inlineStr">
        <is>
          <t>239</t>
        </is>
      </c>
      <c r="C406" s="10" t="inlineStr">
        <is>
          <t>169</t>
        </is>
      </c>
      <c r="D406" s="10" t="inlineStr">
        <is>
          <t>170</t>
        </is>
      </c>
      <c r="E406" s="35" t="n">
        <v>2.8</v>
      </c>
      <c r="F406" s="35" t="n">
        <v>12.85</v>
      </c>
      <c r="G406" s="35" t="n">
        <v>16.75</v>
      </c>
      <c r="H406" s="35" t="n">
        <v>6.5</v>
      </c>
      <c r="I406" s="10" t="inlineStr">
        <is>
          <t>500×550</t>
        </is>
      </c>
      <c r="J406" s="10" t="n">
        <v>6</v>
      </c>
      <c r="K406" s="10" t="n">
        <v>5</v>
      </c>
      <c r="L406" s="10" t="n">
        <v>8</v>
      </c>
      <c r="M406" s="10" t="inlineStr">
        <is>
          <t>Nº4 cerrado</t>
        </is>
      </c>
      <c r="N406" s="10" t="n">
        <v>4</v>
      </c>
      <c r="O406" s="35" t="n">
        <v>120</v>
      </c>
      <c r="P406" s="35" t="n">
        <v>120</v>
      </c>
      <c r="Q406" s="35" t="n">
        <v>0.9657194203159482</v>
      </c>
      <c r="R406" s="10" t="inlineStr">
        <is>
          <t>SÍ</t>
        </is>
      </c>
      <c r="S406" s="15" t="inlineStr">
        <is>
          <t>CUMPLE</t>
        </is>
      </c>
      <c r="T406" s="3" t="inlineStr">
        <is>
          <t>demostrar compatibilidad antes de reducir Tu</t>
        </is>
      </c>
    </row>
    <row r="407">
      <c r="A407" s="25" t="inlineStr">
        <is>
          <t>VR2</t>
        </is>
      </c>
      <c r="B407" s="10" t="inlineStr">
        <is>
          <t>240</t>
        </is>
      </c>
      <c r="C407" s="10" t="inlineStr">
        <is>
          <t>170</t>
        </is>
      </c>
      <c r="D407" s="10" t="inlineStr">
        <is>
          <t>171</t>
        </is>
      </c>
      <c r="E407" s="35" t="n">
        <v>4.17612</v>
      </c>
      <c r="F407" s="35" t="n">
        <v>12.25</v>
      </c>
      <c r="G407" s="35" t="n">
        <v>13.35</v>
      </c>
      <c r="H407" s="35" t="n">
        <v>6.5</v>
      </c>
      <c r="I407" s="10" t="inlineStr">
        <is>
          <t>500×550</t>
        </is>
      </c>
      <c r="J407" s="10" t="n">
        <v>5</v>
      </c>
      <c r="K407" s="10" t="n">
        <v>5</v>
      </c>
      <c r="L407" s="10" t="n">
        <v>0</v>
      </c>
      <c r="M407" s="10" t="inlineStr">
        <is>
          <t>Nº3 cerrado</t>
        </is>
      </c>
      <c r="N407" s="10" t="n">
        <v>2</v>
      </c>
      <c r="O407" s="35" t="n">
        <v>100</v>
      </c>
      <c r="P407" s="35" t="n">
        <v>100</v>
      </c>
      <c r="Q407" s="35" t="n">
        <v>0.4744951249456047</v>
      </c>
      <c r="R407" s="10" t="inlineStr">
        <is>
          <t>SÍ</t>
        </is>
      </c>
      <c r="S407" s="15" t="inlineStr">
        <is>
          <t>CUMPLE</t>
        </is>
      </c>
      <c r="T407" s="3" t="inlineStr">
        <is>
          <t>coordinar con planta y reanálisis global</t>
        </is>
      </c>
    </row>
    <row r="408">
      <c r="A408" s="25" t="inlineStr">
        <is>
          <t>VR2</t>
        </is>
      </c>
      <c r="B408" s="10" t="inlineStr">
        <is>
          <t>241</t>
        </is>
      </c>
      <c r="C408" s="10" t="inlineStr">
        <is>
          <t>171</t>
        </is>
      </c>
      <c r="D408" s="10" t="inlineStr">
        <is>
          <t>172</t>
        </is>
      </c>
      <c r="E408" s="35" t="n">
        <v>2.5</v>
      </c>
      <c r="F408" s="35" t="n">
        <v>11.65</v>
      </c>
      <c r="G408" s="35" t="n">
        <v>10.1</v>
      </c>
      <c r="H408" s="35" t="n">
        <v>6.5</v>
      </c>
      <c r="I408" s="10" t="inlineStr">
        <is>
          <t>500×550</t>
        </is>
      </c>
      <c r="J408" s="10" t="n">
        <v>5</v>
      </c>
      <c r="K408" s="10" t="n">
        <v>5</v>
      </c>
      <c r="L408" s="10" t="n">
        <v>8</v>
      </c>
      <c r="M408" s="10" t="inlineStr">
        <is>
          <t>Nº4 cerrado</t>
        </is>
      </c>
      <c r="N408" s="10" t="n">
        <v>2</v>
      </c>
      <c r="O408" s="35" t="n">
        <v>80</v>
      </c>
      <c r="P408" s="35" t="n">
        <v>80</v>
      </c>
      <c r="Q408" s="35" t="n">
        <v>0.7624809334175736</v>
      </c>
      <c r="R408" s="10" t="inlineStr">
        <is>
          <t>SÍ</t>
        </is>
      </c>
      <c r="S408" s="15" t="inlineStr">
        <is>
          <t>CUMPLE</t>
        </is>
      </c>
      <c r="T408" s="3" t="inlineStr">
        <is>
          <t>coordinar con planta y reanálisis global</t>
        </is>
      </c>
    </row>
    <row r="409">
      <c r="A409" s="25" t="inlineStr">
        <is>
          <t>VR2</t>
        </is>
      </c>
      <c r="B409" s="10" t="inlineStr">
        <is>
          <t>242</t>
        </is>
      </c>
      <c r="C409" s="10" t="inlineStr">
        <is>
          <t>172</t>
        </is>
      </c>
      <c r="D409" s="10" t="inlineStr">
        <is>
          <t>173</t>
        </is>
      </c>
      <c r="E409" s="35" t="n">
        <v>2.6</v>
      </c>
      <c r="F409" s="35" t="n">
        <v>11.65</v>
      </c>
      <c r="G409" s="35" t="n">
        <v>7.55</v>
      </c>
      <c r="H409" s="35" t="n">
        <v>6.5</v>
      </c>
      <c r="I409" s="10" t="inlineStr">
        <is>
          <t>500×550</t>
        </is>
      </c>
      <c r="J409" s="10" t="n">
        <v>6</v>
      </c>
      <c r="K409" s="10" t="n">
        <v>5</v>
      </c>
      <c r="L409" s="10" t="n">
        <v>8</v>
      </c>
      <c r="M409" s="10" t="inlineStr">
        <is>
          <t>Nº4 cerrado</t>
        </is>
      </c>
      <c r="N409" s="10" t="n">
        <v>4</v>
      </c>
      <c r="O409" s="35" t="n">
        <v>120</v>
      </c>
      <c r="P409" s="35" t="n">
        <v>120</v>
      </c>
      <c r="Q409" s="35" t="n">
        <v>0.867657666784205</v>
      </c>
      <c r="R409" s="10" t="inlineStr">
        <is>
          <t>SÍ</t>
        </is>
      </c>
      <c r="S409" s="15" t="inlineStr">
        <is>
          <t>CUMPLE</t>
        </is>
      </c>
      <c r="T409" s="3" t="inlineStr">
        <is>
          <t>coordinar con planta y reanálisis global</t>
        </is>
      </c>
    </row>
    <row r="410">
      <c r="A410" s="25" t="inlineStr">
        <is>
          <t>VR2</t>
        </is>
      </c>
      <c r="B410" s="10" t="inlineStr">
        <is>
          <t>243</t>
        </is>
      </c>
      <c r="C410" s="10" t="inlineStr">
        <is>
          <t>173</t>
        </is>
      </c>
      <c r="D410" s="10" t="inlineStr">
        <is>
          <t>174</t>
        </is>
      </c>
      <c r="E410" s="35" t="n">
        <v>3.65308</v>
      </c>
      <c r="F410" s="35" t="n">
        <v>11.575</v>
      </c>
      <c r="G410" s="35" t="n">
        <v>4.425</v>
      </c>
      <c r="H410" s="35" t="n">
        <v>6.5</v>
      </c>
      <c r="I410" s="10" t="inlineStr">
        <is>
          <t>500×550</t>
        </is>
      </c>
      <c r="J410" s="10" t="n">
        <v>6</v>
      </c>
      <c r="K410" s="10" t="n">
        <v>5</v>
      </c>
      <c r="L410" s="10" t="n">
        <v>8</v>
      </c>
      <c r="M410" s="10" t="inlineStr">
        <is>
          <t>Nº4 cerrado</t>
        </is>
      </c>
      <c r="N410" s="10" t="n">
        <v>2</v>
      </c>
      <c r="O410" s="35" t="n">
        <v>90</v>
      </c>
      <c r="P410" s="35" t="n">
        <v>90</v>
      </c>
      <c r="Q410" s="35" t="n">
        <v>0.6782200992889156</v>
      </c>
      <c r="R410" s="10" t="inlineStr">
        <is>
          <t>SÍ</t>
        </is>
      </c>
      <c r="S410" s="15" t="inlineStr">
        <is>
          <t>CUMPLE</t>
        </is>
      </c>
      <c r="T410" s="3" t="inlineStr">
        <is>
          <t>demostrar compatibilidad antes de reducir Tu</t>
        </is>
      </c>
    </row>
    <row r="411">
      <c r="A411" s="25" t="inlineStr">
        <is>
          <t>VR2</t>
        </is>
      </c>
      <c r="B411" s="10" t="inlineStr">
        <is>
          <t>244</t>
        </is>
      </c>
      <c r="C411" s="10" t="inlineStr">
        <is>
          <t>174</t>
        </is>
      </c>
      <c r="D411" s="10" t="inlineStr">
        <is>
          <t>175</t>
        </is>
      </c>
      <c r="E411" s="35" t="n">
        <v>2.6</v>
      </c>
      <c r="F411" s="35" t="n">
        <v>11.5</v>
      </c>
      <c r="G411" s="35" t="n">
        <v>1.3</v>
      </c>
      <c r="H411" s="35" t="n">
        <v>6.5</v>
      </c>
      <c r="I411" s="10" t="inlineStr">
        <is>
          <t>500×550</t>
        </is>
      </c>
      <c r="J411" s="10" t="n">
        <v>6</v>
      </c>
      <c r="K411" s="10" t="n">
        <v>5</v>
      </c>
      <c r="L411" s="10" t="n">
        <v>0</v>
      </c>
      <c r="M411" s="10" t="inlineStr">
        <is>
          <t>Nº4 cerrado</t>
        </is>
      </c>
      <c r="N411" s="10" t="n">
        <v>2</v>
      </c>
      <c r="O411" s="35" t="n">
        <v>80</v>
      </c>
      <c r="P411" s="35" t="n">
        <v>80</v>
      </c>
      <c r="Q411" s="35" t="n">
        <v>0.7622130527773647</v>
      </c>
      <c r="R411" s="10" t="inlineStr">
        <is>
          <t>SÍ</t>
        </is>
      </c>
      <c r="S411" s="15" t="inlineStr">
        <is>
          <t>CUMPLE</t>
        </is>
      </c>
      <c r="T411" s="3" t="inlineStr">
        <is>
          <t>coordinar con planta y reanálisis global</t>
        </is>
      </c>
    </row>
    <row r="412">
      <c r="A412" s="25" t="inlineStr">
        <is>
          <t>VR2</t>
        </is>
      </c>
      <c r="B412" s="10" t="inlineStr">
        <is>
          <t>769</t>
        </is>
      </c>
      <c r="C412" s="10" t="inlineStr">
        <is>
          <t>503</t>
        </is>
      </c>
      <c r="D412" s="10" t="inlineStr">
        <is>
          <t>504</t>
        </is>
      </c>
      <c r="E412" s="35" t="n">
        <v>2.6</v>
      </c>
      <c r="F412" s="35" t="n">
        <v>4</v>
      </c>
      <c r="G412" s="35" t="n">
        <v>34.9</v>
      </c>
      <c r="H412" s="35" t="n">
        <v>9.5</v>
      </c>
      <c r="I412" s="10" t="inlineStr">
        <is>
          <t>500×550</t>
        </is>
      </c>
      <c r="J412" s="10" t="n">
        <v>5</v>
      </c>
      <c r="K412" s="10" t="n">
        <v>5</v>
      </c>
      <c r="L412" s="10" t="n">
        <v>0</v>
      </c>
      <c r="M412" s="10" t="inlineStr">
        <is>
          <t>Nº4 cerrado</t>
        </is>
      </c>
      <c r="N412" s="10" t="n">
        <v>2</v>
      </c>
      <c r="O412" s="35" t="n">
        <v>120</v>
      </c>
      <c r="P412" s="35" t="n">
        <v>130</v>
      </c>
      <c r="Q412" s="35" t="n">
        <v>0.5614397692543192</v>
      </c>
      <c r="R412" s="10" t="inlineStr">
        <is>
          <t>SÍ</t>
        </is>
      </c>
      <c r="S412" s="15" t="inlineStr">
        <is>
          <t>CUMPLE</t>
        </is>
      </c>
      <c r="T412" s="3" t="inlineStr">
        <is>
          <t>coordinar con planta y reanálisis global</t>
        </is>
      </c>
    </row>
    <row r="413">
      <c r="A413" s="25" t="inlineStr">
        <is>
          <t>VR2</t>
        </is>
      </c>
      <c r="B413" s="10" t="inlineStr">
        <is>
          <t>770</t>
        </is>
      </c>
      <c r="C413" s="10" t="inlineStr">
        <is>
          <t>504</t>
        </is>
      </c>
      <c r="D413" s="10" t="inlineStr">
        <is>
          <t>505</t>
        </is>
      </c>
      <c r="E413" s="35" t="n">
        <v>3.65308</v>
      </c>
      <c r="F413" s="35" t="n">
        <v>3.925</v>
      </c>
      <c r="G413" s="35" t="n">
        <v>31.775</v>
      </c>
      <c r="H413" s="35" t="n">
        <v>9.5</v>
      </c>
      <c r="I413" s="10" t="inlineStr">
        <is>
          <t>500×550</t>
        </is>
      </c>
      <c r="J413" s="10" t="n">
        <v>5</v>
      </c>
      <c r="K413" s="10" t="n">
        <v>5</v>
      </c>
      <c r="L413" s="10" t="n">
        <v>8</v>
      </c>
      <c r="M413" s="10" t="inlineStr">
        <is>
          <t>Nº4 cerrado</t>
        </is>
      </c>
      <c r="N413" s="10" t="n">
        <v>2</v>
      </c>
      <c r="O413" s="35" t="n">
        <v>120</v>
      </c>
      <c r="P413" s="35" t="n">
        <v>120</v>
      </c>
      <c r="Q413" s="35" t="n">
        <v>0.5787200310992944</v>
      </c>
      <c r="R413" s="10" t="inlineStr">
        <is>
          <t>SÍ</t>
        </is>
      </c>
      <c r="S413" s="15" t="inlineStr">
        <is>
          <t>CUMPLE</t>
        </is>
      </c>
      <c r="T413" s="3" t="inlineStr">
        <is>
          <t>coordinar con planta y reanálisis global</t>
        </is>
      </c>
    </row>
    <row r="414">
      <c r="A414" s="25" t="inlineStr">
        <is>
          <t>VR2</t>
        </is>
      </c>
      <c r="B414" s="10" t="inlineStr">
        <is>
          <t>771</t>
        </is>
      </c>
      <c r="C414" s="10" t="inlineStr">
        <is>
          <t>505</t>
        </is>
      </c>
      <c r="D414" s="10" t="inlineStr">
        <is>
          <t>506</t>
        </is>
      </c>
      <c r="E414" s="35" t="n">
        <v>2.6</v>
      </c>
      <c r="F414" s="35" t="n">
        <v>3.85</v>
      </c>
      <c r="G414" s="35" t="n">
        <v>28.65</v>
      </c>
      <c r="H414" s="35" t="n">
        <v>9.5</v>
      </c>
      <c r="I414" s="10" t="inlineStr">
        <is>
          <t>500×550</t>
        </is>
      </c>
      <c r="J414" s="10" t="n">
        <v>5</v>
      </c>
      <c r="K414" s="10" t="n">
        <v>5</v>
      </c>
      <c r="L414" s="10" t="n">
        <v>8</v>
      </c>
      <c r="M414" s="10" t="inlineStr">
        <is>
          <t>Nº4 cerrado</t>
        </is>
      </c>
      <c r="N414" s="10" t="n">
        <v>2</v>
      </c>
      <c r="O414" s="35" t="n">
        <v>80</v>
      </c>
      <c r="P414" s="35" t="n">
        <v>80</v>
      </c>
      <c r="Q414" s="35" t="n">
        <v>0.6961210997156122</v>
      </c>
      <c r="R414" s="10" t="inlineStr">
        <is>
          <t>SÍ</t>
        </is>
      </c>
      <c r="S414" s="15" t="inlineStr">
        <is>
          <t>CUMPLE</t>
        </is>
      </c>
      <c r="T414" s="3" t="inlineStr">
        <is>
          <t>coordinar con planta y reanálisis global</t>
        </is>
      </c>
    </row>
    <row r="415">
      <c r="A415" s="25" t="inlineStr">
        <is>
          <t>VR2</t>
        </is>
      </c>
      <c r="B415" s="10" t="inlineStr">
        <is>
          <t>772</t>
        </is>
      </c>
      <c r="C415" s="10" t="inlineStr">
        <is>
          <t>506</t>
        </is>
      </c>
      <c r="D415" s="10" t="inlineStr">
        <is>
          <t>507</t>
        </is>
      </c>
      <c r="E415" s="35" t="n">
        <v>2.5</v>
      </c>
      <c r="F415" s="35" t="n">
        <v>3.85</v>
      </c>
      <c r="G415" s="35" t="n">
        <v>26.1</v>
      </c>
      <c r="H415" s="35" t="n">
        <v>9.5</v>
      </c>
      <c r="I415" s="10" t="inlineStr">
        <is>
          <t>500×550</t>
        </is>
      </c>
      <c r="J415" s="10" t="n">
        <v>5</v>
      </c>
      <c r="K415" s="10" t="n">
        <v>5</v>
      </c>
      <c r="L415" s="10" t="n">
        <v>8</v>
      </c>
      <c r="M415" s="10" t="inlineStr">
        <is>
          <t>Nº4 cerrado</t>
        </is>
      </c>
      <c r="N415" s="10" t="n">
        <v>2</v>
      </c>
      <c r="O415" s="35" t="n">
        <v>110</v>
      </c>
      <c r="P415" s="35" t="n">
        <v>110</v>
      </c>
      <c r="Q415" s="35" t="n">
        <v>0.581397611610101</v>
      </c>
      <c r="R415" s="10" t="inlineStr">
        <is>
          <t>SÍ</t>
        </is>
      </c>
      <c r="S415" s="15" t="inlineStr">
        <is>
          <t>CUMPLE</t>
        </is>
      </c>
      <c r="T415" s="3" t="inlineStr">
        <is>
          <t>coordinar con planta y reanálisis global</t>
        </is>
      </c>
    </row>
    <row r="416">
      <c r="A416" s="25" t="inlineStr">
        <is>
          <t>VR2</t>
        </is>
      </c>
      <c r="B416" s="10" t="inlineStr">
        <is>
          <t>773</t>
        </is>
      </c>
      <c r="C416" s="10" t="inlineStr">
        <is>
          <t>507</t>
        </is>
      </c>
      <c r="D416" s="10" t="inlineStr">
        <is>
          <t>508</t>
        </is>
      </c>
      <c r="E416" s="35" t="n">
        <v>4.17612</v>
      </c>
      <c r="F416" s="35" t="n">
        <v>3.25</v>
      </c>
      <c r="G416" s="35" t="n">
        <v>22.85</v>
      </c>
      <c r="H416" s="35" t="n">
        <v>9.5</v>
      </c>
      <c r="I416" s="10" t="inlineStr">
        <is>
          <t>500×550</t>
        </is>
      </c>
      <c r="J416" s="10" t="n">
        <v>5</v>
      </c>
      <c r="K416" s="10" t="n">
        <v>5</v>
      </c>
      <c r="L416" s="10" t="n">
        <v>0</v>
      </c>
      <c r="M416" s="10" t="inlineStr">
        <is>
          <t>Nº3 cerrado</t>
        </is>
      </c>
      <c r="N416" s="10" t="n">
        <v>2</v>
      </c>
      <c r="O416" s="35" t="n">
        <v>120</v>
      </c>
      <c r="P416" s="35" t="n">
        <v>130</v>
      </c>
      <c r="Q416" s="35" t="n">
        <v>0.4073552115327133</v>
      </c>
      <c r="R416" s="10" t="inlineStr">
        <is>
          <t>SÍ</t>
        </is>
      </c>
      <c r="S416" s="15" t="inlineStr">
        <is>
          <t>CUMPLE</t>
        </is>
      </c>
      <c r="T416" s="3" t="inlineStr">
        <is>
          <t>coordinar con planta y reanálisis global</t>
        </is>
      </c>
    </row>
    <row r="417">
      <c r="A417" s="25" t="inlineStr">
        <is>
          <t>VR2</t>
        </is>
      </c>
      <c r="B417" s="10" t="inlineStr">
        <is>
          <t>774</t>
        </is>
      </c>
      <c r="C417" s="10" t="inlineStr">
        <is>
          <t>508</t>
        </is>
      </c>
      <c r="D417" s="10" t="inlineStr">
        <is>
          <t>509</t>
        </is>
      </c>
      <c r="E417" s="35" t="n">
        <v>2.7</v>
      </c>
      <c r="F417" s="35" t="n">
        <v>2.65</v>
      </c>
      <c r="G417" s="35" t="n">
        <v>19.5</v>
      </c>
      <c r="H417" s="35" t="n">
        <v>9.5</v>
      </c>
      <c r="I417" s="10" t="inlineStr">
        <is>
          <t>500×550</t>
        </is>
      </c>
      <c r="J417" s="10" t="n">
        <v>6</v>
      </c>
      <c r="K417" s="10" t="n">
        <v>5</v>
      </c>
      <c r="L417" s="10" t="n">
        <v>8</v>
      </c>
      <c r="M417" s="10" t="inlineStr">
        <is>
          <t>Nº3 cerrado</t>
        </is>
      </c>
      <c r="N417" s="10" t="n">
        <v>4</v>
      </c>
      <c r="O417" s="35" t="n">
        <v>80</v>
      </c>
      <c r="P417" s="35" t="n">
        <v>80</v>
      </c>
      <c r="Q417" s="35" t="n">
        <v>0.7930536308021416</v>
      </c>
      <c r="R417" s="10" t="inlineStr">
        <is>
          <t>SÍ</t>
        </is>
      </c>
      <c r="S417" s="15" t="inlineStr">
        <is>
          <t>CUMPLE</t>
        </is>
      </c>
      <c r="T417" s="3" t="inlineStr">
        <is>
          <t>demostrar compatibilidad antes de reducir Tu</t>
        </is>
      </c>
    </row>
    <row r="418">
      <c r="A418" s="25" t="inlineStr">
        <is>
          <t>VR2</t>
        </is>
      </c>
      <c r="B418" s="10" t="inlineStr">
        <is>
          <t>775</t>
        </is>
      </c>
      <c r="C418" s="10" t="inlineStr">
        <is>
          <t>509</t>
        </is>
      </c>
      <c r="D418" s="10" t="inlineStr">
        <is>
          <t>510</t>
        </is>
      </c>
      <c r="E418" s="35" t="n">
        <v>2.8</v>
      </c>
      <c r="F418" s="35" t="n">
        <v>2.65</v>
      </c>
      <c r="G418" s="35" t="n">
        <v>16.75</v>
      </c>
      <c r="H418" s="35" t="n">
        <v>9.5</v>
      </c>
      <c r="I418" s="10" t="inlineStr">
        <is>
          <t>500×550</t>
        </is>
      </c>
      <c r="J418" s="10" t="n">
        <v>6</v>
      </c>
      <c r="K418" s="10" t="n">
        <v>5</v>
      </c>
      <c r="L418" s="10" t="n">
        <v>8</v>
      </c>
      <c r="M418" s="10" t="inlineStr">
        <is>
          <t>Nº4 cerrado</t>
        </is>
      </c>
      <c r="N418" s="10" t="n">
        <v>2</v>
      </c>
      <c r="O418" s="35" t="n">
        <v>80</v>
      </c>
      <c r="P418" s="35" t="n">
        <v>80</v>
      </c>
      <c r="Q418" s="35" t="n">
        <v>0.7700498187472723</v>
      </c>
      <c r="R418" s="10" t="inlineStr">
        <is>
          <t>SÍ</t>
        </is>
      </c>
      <c r="S418" s="15" t="inlineStr">
        <is>
          <t>CUMPLE</t>
        </is>
      </c>
      <c r="T418" s="3" t="inlineStr">
        <is>
          <t>demostrar compatibilidad antes de reducir Tu</t>
        </is>
      </c>
    </row>
    <row r="419">
      <c r="A419" s="25" t="inlineStr">
        <is>
          <t>VR2</t>
        </is>
      </c>
      <c r="B419" s="10" t="inlineStr">
        <is>
          <t>776</t>
        </is>
      </c>
      <c r="C419" s="10" t="inlineStr">
        <is>
          <t>510</t>
        </is>
      </c>
      <c r="D419" s="10" t="inlineStr">
        <is>
          <t>511</t>
        </is>
      </c>
      <c r="E419" s="35" t="n">
        <v>4.17612</v>
      </c>
      <c r="F419" s="35" t="n">
        <v>3.25</v>
      </c>
      <c r="G419" s="35" t="n">
        <v>13.35</v>
      </c>
      <c r="H419" s="35" t="n">
        <v>9.5</v>
      </c>
      <c r="I419" s="10" t="inlineStr">
        <is>
          <t>500×550</t>
        </is>
      </c>
      <c r="J419" s="10" t="n">
        <v>5</v>
      </c>
      <c r="K419" s="10" t="n">
        <v>5</v>
      </c>
      <c r="L419" s="10" t="n">
        <v>0</v>
      </c>
      <c r="M419" s="10" t="inlineStr">
        <is>
          <t>Nº3 cerrado</t>
        </is>
      </c>
      <c r="N419" s="10" t="n">
        <v>2</v>
      </c>
      <c r="O419" s="35" t="n">
        <v>120</v>
      </c>
      <c r="P419" s="35" t="n">
        <v>130</v>
      </c>
      <c r="Q419" s="35" t="n">
        <v>0.4063780072531538</v>
      </c>
      <c r="R419" s="10" t="inlineStr">
        <is>
          <t>SÍ</t>
        </is>
      </c>
      <c r="S419" s="15" t="inlineStr">
        <is>
          <t>CUMPLE</t>
        </is>
      </c>
      <c r="T419" s="3" t="inlineStr">
        <is>
          <t>coordinar con planta y reanálisis global</t>
        </is>
      </c>
    </row>
    <row r="420">
      <c r="A420" s="25" t="inlineStr">
        <is>
          <t>VR2</t>
        </is>
      </c>
      <c r="B420" s="10" t="inlineStr">
        <is>
          <t>777</t>
        </is>
      </c>
      <c r="C420" s="10" t="inlineStr">
        <is>
          <t>511</t>
        </is>
      </c>
      <c r="D420" s="10" t="inlineStr">
        <is>
          <t>512</t>
        </is>
      </c>
      <c r="E420" s="35" t="n">
        <v>2.5</v>
      </c>
      <c r="F420" s="35" t="n">
        <v>3.85</v>
      </c>
      <c r="G420" s="35" t="n">
        <v>10.1</v>
      </c>
      <c r="H420" s="35" t="n">
        <v>9.5</v>
      </c>
      <c r="I420" s="10" t="inlineStr">
        <is>
          <t>500×550</t>
        </is>
      </c>
      <c r="J420" s="10" t="n">
        <v>5</v>
      </c>
      <c r="K420" s="10" t="n">
        <v>5</v>
      </c>
      <c r="L420" s="10" t="n">
        <v>8</v>
      </c>
      <c r="M420" s="10" t="inlineStr">
        <is>
          <t>Nº4 cerrado</t>
        </is>
      </c>
      <c r="N420" s="10" t="n">
        <v>2</v>
      </c>
      <c r="O420" s="35" t="n">
        <v>110</v>
      </c>
      <c r="P420" s="35" t="n">
        <v>110</v>
      </c>
      <c r="Q420" s="35" t="n">
        <v>0.5811824466090495</v>
      </c>
      <c r="R420" s="10" t="inlineStr">
        <is>
          <t>SÍ</t>
        </is>
      </c>
      <c r="S420" s="15" t="inlineStr">
        <is>
          <t>CUMPLE</t>
        </is>
      </c>
      <c r="T420" s="3" t="inlineStr">
        <is>
          <t>coordinar con planta y reanálisis global</t>
        </is>
      </c>
    </row>
    <row r="421">
      <c r="A421" s="25" t="inlineStr">
        <is>
          <t>VR2</t>
        </is>
      </c>
      <c r="B421" s="10" t="inlineStr">
        <is>
          <t>778</t>
        </is>
      </c>
      <c r="C421" s="10" t="inlineStr">
        <is>
          <t>512</t>
        </is>
      </c>
      <c r="D421" s="10" t="inlineStr">
        <is>
          <t>513</t>
        </is>
      </c>
      <c r="E421" s="35" t="n">
        <v>2.6</v>
      </c>
      <c r="F421" s="35" t="n">
        <v>3.85</v>
      </c>
      <c r="G421" s="35" t="n">
        <v>7.55</v>
      </c>
      <c r="H421" s="35" t="n">
        <v>9.5</v>
      </c>
      <c r="I421" s="10" t="inlineStr">
        <is>
          <t>500×550</t>
        </is>
      </c>
      <c r="J421" s="10" t="n">
        <v>5</v>
      </c>
      <c r="K421" s="10" t="n">
        <v>5</v>
      </c>
      <c r="L421" s="10" t="n">
        <v>8</v>
      </c>
      <c r="M421" s="10" t="inlineStr">
        <is>
          <t>Nº4 cerrado</t>
        </is>
      </c>
      <c r="N421" s="10" t="n">
        <v>2</v>
      </c>
      <c r="O421" s="35" t="n">
        <v>80</v>
      </c>
      <c r="P421" s="35" t="n">
        <v>80</v>
      </c>
      <c r="Q421" s="35" t="n">
        <v>0.6963489505952724</v>
      </c>
      <c r="R421" s="10" t="inlineStr">
        <is>
          <t>SÍ</t>
        </is>
      </c>
      <c r="S421" s="15" t="inlineStr">
        <is>
          <t>CUMPLE</t>
        </is>
      </c>
      <c r="T421" s="3" t="inlineStr">
        <is>
          <t>coordinar con planta y reanálisis global</t>
        </is>
      </c>
    </row>
    <row r="422">
      <c r="A422" s="25" t="inlineStr">
        <is>
          <t>VR2</t>
        </is>
      </c>
      <c r="B422" s="10" t="inlineStr">
        <is>
          <t>779</t>
        </is>
      </c>
      <c r="C422" s="10" t="inlineStr">
        <is>
          <t>513</t>
        </is>
      </c>
      <c r="D422" s="10" t="inlineStr">
        <is>
          <t>514</t>
        </is>
      </c>
      <c r="E422" s="35" t="n">
        <v>3.65308</v>
      </c>
      <c r="F422" s="35" t="n">
        <v>3.925</v>
      </c>
      <c r="G422" s="35" t="n">
        <v>4.425</v>
      </c>
      <c r="H422" s="35" t="n">
        <v>9.5</v>
      </c>
      <c r="I422" s="10" t="inlineStr">
        <is>
          <t>500×550</t>
        </is>
      </c>
      <c r="J422" s="10" t="n">
        <v>5</v>
      </c>
      <c r="K422" s="10" t="n">
        <v>5</v>
      </c>
      <c r="L422" s="10" t="n">
        <v>8</v>
      </c>
      <c r="M422" s="10" t="inlineStr">
        <is>
          <t>Nº4 cerrado</t>
        </is>
      </c>
      <c r="N422" s="10" t="n">
        <v>2</v>
      </c>
      <c r="O422" s="35" t="n">
        <v>120</v>
      </c>
      <c r="P422" s="35" t="n">
        <v>120</v>
      </c>
      <c r="Q422" s="35" t="n">
        <v>0.5785525261152668</v>
      </c>
      <c r="R422" s="10" t="inlineStr">
        <is>
          <t>SÍ</t>
        </is>
      </c>
      <c r="S422" s="15" t="inlineStr">
        <is>
          <t>CUMPLE</t>
        </is>
      </c>
      <c r="T422" s="3" t="inlineStr">
        <is>
          <t>coordinar con planta y reanálisis global</t>
        </is>
      </c>
    </row>
    <row r="423">
      <c r="A423" s="25" t="inlineStr">
        <is>
          <t>VR2</t>
        </is>
      </c>
      <c r="B423" s="10" t="inlineStr">
        <is>
          <t>780</t>
        </is>
      </c>
      <c r="C423" s="10" t="inlineStr">
        <is>
          <t>514</t>
        </is>
      </c>
      <c r="D423" s="10" t="inlineStr">
        <is>
          <t>515</t>
        </is>
      </c>
      <c r="E423" s="35" t="n">
        <v>2.6</v>
      </c>
      <c r="F423" s="35" t="n">
        <v>4</v>
      </c>
      <c r="G423" s="35" t="n">
        <v>1.3</v>
      </c>
      <c r="H423" s="35" t="n">
        <v>9.5</v>
      </c>
      <c r="I423" s="10" t="inlineStr">
        <is>
          <t>500×550</t>
        </is>
      </c>
      <c r="J423" s="10" t="n">
        <v>5</v>
      </c>
      <c r="K423" s="10" t="n">
        <v>5</v>
      </c>
      <c r="L423" s="10" t="n">
        <v>0</v>
      </c>
      <c r="M423" s="10" t="inlineStr">
        <is>
          <t>Nº4 cerrado</t>
        </is>
      </c>
      <c r="N423" s="10" t="n">
        <v>2</v>
      </c>
      <c r="O423" s="35" t="n">
        <v>120</v>
      </c>
      <c r="P423" s="35" t="n">
        <v>130</v>
      </c>
      <c r="Q423" s="35" t="n">
        <v>0.5613113648271911</v>
      </c>
      <c r="R423" s="10" t="inlineStr">
        <is>
          <t>SÍ</t>
        </is>
      </c>
      <c r="S423" s="15" t="inlineStr">
        <is>
          <t>CUMPLE</t>
        </is>
      </c>
      <c r="T423" s="3" t="inlineStr">
        <is>
          <t>coordinar con planta y reanálisis global</t>
        </is>
      </c>
    </row>
    <row r="424">
      <c r="A424" s="25" t="inlineStr">
        <is>
          <t>VR2</t>
        </is>
      </c>
      <c r="B424" s="10" t="inlineStr">
        <is>
          <t>791</t>
        </is>
      </c>
      <c r="C424" s="10" t="inlineStr">
        <is>
          <t>527</t>
        </is>
      </c>
      <c r="D424" s="10" t="inlineStr">
        <is>
          <t>528</t>
        </is>
      </c>
      <c r="E424" s="35" t="n">
        <v>2.6</v>
      </c>
      <c r="F424" s="35" t="n">
        <v>11.5</v>
      </c>
      <c r="G424" s="35" t="n">
        <v>34.9</v>
      </c>
      <c r="H424" s="35" t="n">
        <v>9.5</v>
      </c>
      <c r="I424" s="10" t="inlineStr">
        <is>
          <t>500×550</t>
        </is>
      </c>
      <c r="J424" s="10" t="n">
        <v>5</v>
      </c>
      <c r="K424" s="10" t="n">
        <v>5</v>
      </c>
      <c r="L424" s="10" t="n">
        <v>0</v>
      </c>
      <c r="M424" s="10" t="inlineStr">
        <is>
          <t>Nº4 cerrado</t>
        </is>
      </c>
      <c r="N424" s="10" t="n">
        <v>2</v>
      </c>
      <c r="O424" s="35" t="n">
        <v>120</v>
      </c>
      <c r="P424" s="35" t="n">
        <v>130</v>
      </c>
      <c r="Q424" s="35" t="n">
        <v>0.5614418864507273</v>
      </c>
      <c r="R424" s="10" t="inlineStr">
        <is>
          <t>SÍ</t>
        </is>
      </c>
      <c r="S424" s="15" t="inlineStr">
        <is>
          <t>CUMPLE</t>
        </is>
      </c>
      <c r="T424" s="3" t="inlineStr">
        <is>
          <t>coordinar con planta y reanálisis global</t>
        </is>
      </c>
    </row>
    <row r="425">
      <c r="A425" s="25" t="inlineStr">
        <is>
          <t>VR2</t>
        </is>
      </c>
      <c r="B425" s="10" t="inlineStr">
        <is>
          <t>792</t>
        </is>
      </c>
      <c r="C425" s="10" t="inlineStr">
        <is>
          <t>528</t>
        </is>
      </c>
      <c r="D425" s="10" t="inlineStr">
        <is>
          <t>529</t>
        </is>
      </c>
      <c r="E425" s="35" t="n">
        <v>3.65308</v>
      </c>
      <c r="F425" s="35" t="n">
        <v>11.575</v>
      </c>
      <c r="G425" s="35" t="n">
        <v>31.775</v>
      </c>
      <c r="H425" s="35" t="n">
        <v>9.5</v>
      </c>
      <c r="I425" s="10" t="inlineStr">
        <is>
          <t>500×550</t>
        </is>
      </c>
      <c r="J425" s="10" t="n">
        <v>5</v>
      </c>
      <c r="K425" s="10" t="n">
        <v>5</v>
      </c>
      <c r="L425" s="10" t="n">
        <v>8</v>
      </c>
      <c r="M425" s="10" t="inlineStr">
        <is>
          <t>Nº4 cerrado</t>
        </is>
      </c>
      <c r="N425" s="10" t="n">
        <v>2</v>
      </c>
      <c r="O425" s="35" t="n">
        <v>120</v>
      </c>
      <c r="P425" s="35" t="n">
        <v>120</v>
      </c>
      <c r="Q425" s="35" t="n">
        <v>0.5785433385516339</v>
      </c>
      <c r="R425" s="10" t="inlineStr">
        <is>
          <t>SÍ</t>
        </is>
      </c>
      <c r="S425" s="15" t="inlineStr">
        <is>
          <t>CUMPLE</t>
        </is>
      </c>
      <c r="T425" s="3" t="inlineStr">
        <is>
          <t>coordinar con planta y reanálisis global</t>
        </is>
      </c>
    </row>
    <row r="426">
      <c r="A426" s="25" t="inlineStr">
        <is>
          <t>VR2</t>
        </is>
      </c>
      <c r="B426" s="10" t="inlineStr">
        <is>
          <t>793</t>
        </is>
      </c>
      <c r="C426" s="10" t="inlineStr">
        <is>
          <t>529</t>
        </is>
      </c>
      <c r="D426" s="10" t="inlineStr">
        <is>
          <t>530</t>
        </is>
      </c>
      <c r="E426" s="35" t="n">
        <v>2.6</v>
      </c>
      <c r="F426" s="35" t="n">
        <v>11.65</v>
      </c>
      <c r="G426" s="35" t="n">
        <v>28.65</v>
      </c>
      <c r="H426" s="35" t="n">
        <v>9.5</v>
      </c>
      <c r="I426" s="10" t="inlineStr">
        <is>
          <t>500×550</t>
        </is>
      </c>
      <c r="J426" s="10" t="n">
        <v>5</v>
      </c>
      <c r="K426" s="10" t="n">
        <v>5</v>
      </c>
      <c r="L426" s="10" t="n">
        <v>8</v>
      </c>
      <c r="M426" s="10" t="inlineStr">
        <is>
          <t>Nº4 cerrado</t>
        </is>
      </c>
      <c r="N426" s="10" t="n">
        <v>2</v>
      </c>
      <c r="O426" s="35" t="n">
        <v>80</v>
      </c>
      <c r="P426" s="35" t="n">
        <v>80</v>
      </c>
      <c r="Q426" s="35" t="n">
        <v>0.6964947113835683</v>
      </c>
      <c r="R426" s="10" t="inlineStr">
        <is>
          <t>SÍ</t>
        </is>
      </c>
      <c r="S426" s="15" t="inlineStr">
        <is>
          <t>CUMPLE</t>
        </is>
      </c>
      <c r="T426" s="3" t="inlineStr">
        <is>
          <t>coordinar con planta y reanálisis global</t>
        </is>
      </c>
    </row>
    <row r="427">
      <c r="A427" s="25" t="inlineStr">
        <is>
          <t>VR2</t>
        </is>
      </c>
      <c r="B427" s="10" t="inlineStr">
        <is>
          <t>794</t>
        </is>
      </c>
      <c r="C427" s="10" t="inlineStr">
        <is>
          <t>530</t>
        </is>
      </c>
      <c r="D427" s="10" t="inlineStr">
        <is>
          <t>531</t>
        </is>
      </c>
      <c r="E427" s="35" t="n">
        <v>2.5</v>
      </c>
      <c r="F427" s="35" t="n">
        <v>11.65</v>
      </c>
      <c r="G427" s="35" t="n">
        <v>26.1</v>
      </c>
      <c r="H427" s="35" t="n">
        <v>9.5</v>
      </c>
      <c r="I427" s="10" t="inlineStr">
        <is>
          <t>500×550</t>
        </is>
      </c>
      <c r="J427" s="10" t="n">
        <v>5</v>
      </c>
      <c r="K427" s="10" t="n">
        <v>5</v>
      </c>
      <c r="L427" s="10" t="n">
        <v>8</v>
      </c>
      <c r="M427" s="10" t="inlineStr">
        <is>
          <t>Nº4 cerrado</t>
        </is>
      </c>
      <c r="N427" s="10" t="n">
        <v>2</v>
      </c>
      <c r="O427" s="35" t="n">
        <v>110</v>
      </c>
      <c r="P427" s="35" t="n">
        <v>110</v>
      </c>
      <c r="Q427" s="35" t="n">
        <v>0.58143019506842</v>
      </c>
      <c r="R427" s="10" t="inlineStr">
        <is>
          <t>SÍ</t>
        </is>
      </c>
      <c r="S427" s="15" t="inlineStr">
        <is>
          <t>CUMPLE</t>
        </is>
      </c>
      <c r="T427" s="3" t="inlineStr">
        <is>
          <t>coordinar con planta y reanálisis global</t>
        </is>
      </c>
    </row>
    <row r="428">
      <c r="A428" s="25" t="inlineStr">
        <is>
          <t>VR2</t>
        </is>
      </c>
      <c r="B428" s="10" t="inlineStr">
        <is>
          <t>795</t>
        </is>
      </c>
      <c r="C428" s="10" t="inlineStr">
        <is>
          <t>531</t>
        </is>
      </c>
      <c r="D428" s="10" t="inlineStr">
        <is>
          <t>532</t>
        </is>
      </c>
      <c r="E428" s="35" t="n">
        <v>4.17612</v>
      </c>
      <c r="F428" s="35" t="n">
        <v>12.25</v>
      </c>
      <c r="G428" s="35" t="n">
        <v>22.85</v>
      </c>
      <c r="H428" s="35" t="n">
        <v>9.5</v>
      </c>
      <c r="I428" s="10" t="inlineStr">
        <is>
          <t>500×550</t>
        </is>
      </c>
      <c r="J428" s="10" t="n">
        <v>5</v>
      </c>
      <c r="K428" s="10" t="n">
        <v>5</v>
      </c>
      <c r="L428" s="10" t="n">
        <v>0</v>
      </c>
      <c r="M428" s="10" t="inlineStr">
        <is>
          <t>Nº3 cerrado</t>
        </is>
      </c>
      <c r="N428" s="10" t="n">
        <v>2</v>
      </c>
      <c r="O428" s="35" t="n">
        <v>120</v>
      </c>
      <c r="P428" s="35" t="n">
        <v>130</v>
      </c>
      <c r="Q428" s="35" t="n">
        <v>0.407358714752072</v>
      </c>
      <c r="R428" s="10" t="inlineStr">
        <is>
          <t>SÍ</t>
        </is>
      </c>
      <c r="S428" s="15" t="inlineStr">
        <is>
          <t>CUMPLE</t>
        </is>
      </c>
      <c r="T428" s="3" t="inlineStr">
        <is>
          <t>coordinar con planta y reanálisis global</t>
        </is>
      </c>
    </row>
    <row r="429">
      <c r="A429" s="25" t="inlineStr">
        <is>
          <t>VR2</t>
        </is>
      </c>
      <c r="B429" s="10" t="inlineStr">
        <is>
          <t>796</t>
        </is>
      </c>
      <c r="C429" s="10" t="inlineStr">
        <is>
          <t>532</t>
        </is>
      </c>
      <c r="D429" s="10" t="inlineStr">
        <is>
          <t>533</t>
        </is>
      </c>
      <c r="E429" s="35" t="n">
        <v>2.7</v>
      </c>
      <c r="F429" s="35" t="n">
        <v>12.85</v>
      </c>
      <c r="G429" s="35" t="n">
        <v>19.5</v>
      </c>
      <c r="H429" s="35" t="n">
        <v>9.5</v>
      </c>
      <c r="I429" s="10" t="inlineStr">
        <is>
          <t>500×550</t>
        </is>
      </c>
      <c r="J429" s="10" t="n">
        <v>6</v>
      </c>
      <c r="K429" s="10" t="n">
        <v>5</v>
      </c>
      <c r="L429" s="10" t="n">
        <v>8</v>
      </c>
      <c r="M429" s="10" t="inlineStr">
        <is>
          <t>Nº3 cerrado</t>
        </is>
      </c>
      <c r="N429" s="10" t="n">
        <v>4</v>
      </c>
      <c r="O429" s="35" t="n">
        <v>80</v>
      </c>
      <c r="P429" s="35" t="n">
        <v>80</v>
      </c>
      <c r="Q429" s="35" t="n">
        <v>0.7930527500438546</v>
      </c>
      <c r="R429" s="10" t="inlineStr">
        <is>
          <t>SÍ</t>
        </is>
      </c>
      <c r="S429" s="15" t="inlineStr">
        <is>
          <t>CUMPLE</t>
        </is>
      </c>
      <c r="T429" s="3" t="inlineStr">
        <is>
          <t>demostrar compatibilidad antes de reducir Tu</t>
        </is>
      </c>
    </row>
    <row r="430">
      <c r="A430" s="25" t="inlineStr">
        <is>
          <t>VR2</t>
        </is>
      </c>
      <c r="B430" s="10" t="inlineStr">
        <is>
          <t>797</t>
        </is>
      </c>
      <c r="C430" s="10" t="inlineStr">
        <is>
          <t>533</t>
        </is>
      </c>
      <c r="D430" s="10" t="inlineStr">
        <is>
          <t>534</t>
        </is>
      </c>
      <c r="E430" s="35" t="n">
        <v>2.8</v>
      </c>
      <c r="F430" s="35" t="n">
        <v>12.85</v>
      </c>
      <c r="G430" s="35" t="n">
        <v>16.75</v>
      </c>
      <c r="H430" s="35" t="n">
        <v>9.5</v>
      </c>
      <c r="I430" s="10" t="inlineStr">
        <is>
          <t>500×550</t>
        </is>
      </c>
      <c r="J430" s="10" t="n">
        <v>6</v>
      </c>
      <c r="K430" s="10" t="n">
        <v>5</v>
      </c>
      <c r="L430" s="10" t="n">
        <v>8</v>
      </c>
      <c r="M430" s="10" t="inlineStr">
        <is>
          <t>Nº4 cerrado</t>
        </is>
      </c>
      <c r="N430" s="10" t="n">
        <v>2</v>
      </c>
      <c r="O430" s="35" t="n">
        <v>80</v>
      </c>
      <c r="P430" s="35" t="n">
        <v>80</v>
      </c>
      <c r="Q430" s="35" t="n">
        <v>0.770053002798621</v>
      </c>
      <c r="R430" s="10" t="inlineStr">
        <is>
          <t>SÍ</t>
        </is>
      </c>
      <c r="S430" s="15" t="inlineStr">
        <is>
          <t>CUMPLE</t>
        </is>
      </c>
      <c r="T430" s="3" t="inlineStr">
        <is>
          <t>demostrar compatibilidad antes de reducir Tu</t>
        </is>
      </c>
    </row>
    <row r="431">
      <c r="A431" s="25" t="inlineStr">
        <is>
          <t>VR2</t>
        </is>
      </c>
      <c r="B431" s="10" t="inlineStr">
        <is>
          <t>798</t>
        </is>
      </c>
      <c r="C431" s="10" t="inlineStr">
        <is>
          <t>534</t>
        </is>
      </c>
      <c r="D431" s="10" t="inlineStr">
        <is>
          <t>535</t>
        </is>
      </c>
      <c r="E431" s="35" t="n">
        <v>4.17612</v>
      </c>
      <c r="F431" s="35" t="n">
        <v>12.25</v>
      </c>
      <c r="G431" s="35" t="n">
        <v>13.35</v>
      </c>
      <c r="H431" s="35" t="n">
        <v>9.5</v>
      </c>
      <c r="I431" s="10" t="inlineStr">
        <is>
          <t>500×550</t>
        </is>
      </c>
      <c r="J431" s="10" t="n">
        <v>5</v>
      </c>
      <c r="K431" s="10" t="n">
        <v>5</v>
      </c>
      <c r="L431" s="10" t="n">
        <v>0</v>
      </c>
      <c r="M431" s="10" t="inlineStr">
        <is>
          <t>Nº3 cerrado</t>
        </is>
      </c>
      <c r="N431" s="10" t="n">
        <v>2</v>
      </c>
      <c r="O431" s="35" t="n">
        <v>120</v>
      </c>
      <c r="P431" s="35" t="n">
        <v>130</v>
      </c>
      <c r="Q431" s="35" t="n">
        <v>0.4063729452867905</v>
      </c>
      <c r="R431" s="10" t="inlineStr">
        <is>
          <t>SÍ</t>
        </is>
      </c>
      <c r="S431" s="15" t="inlineStr">
        <is>
          <t>CUMPLE</t>
        </is>
      </c>
      <c r="T431" s="3" t="inlineStr">
        <is>
          <t>coordinar con planta y reanálisis global</t>
        </is>
      </c>
    </row>
    <row r="432">
      <c r="A432" s="25" t="inlineStr">
        <is>
          <t>VR2</t>
        </is>
      </c>
      <c r="B432" s="10" t="inlineStr">
        <is>
          <t>799</t>
        </is>
      </c>
      <c r="C432" s="10" t="inlineStr">
        <is>
          <t>535</t>
        </is>
      </c>
      <c r="D432" s="10" t="inlineStr">
        <is>
          <t>536</t>
        </is>
      </c>
      <c r="E432" s="35" t="n">
        <v>2.5</v>
      </c>
      <c r="F432" s="35" t="n">
        <v>11.65</v>
      </c>
      <c r="G432" s="35" t="n">
        <v>10.1</v>
      </c>
      <c r="H432" s="35" t="n">
        <v>9.5</v>
      </c>
      <c r="I432" s="10" t="inlineStr">
        <is>
          <t>500×550</t>
        </is>
      </c>
      <c r="J432" s="10" t="n">
        <v>5</v>
      </c>
      <c r="K432" s="10" t="n">
        <v>5</v>
      </c>
      <c r="L432" s="10" t="n">
        <v>8</v>
      </c>
      <c r="M432" s="10" t="inlineStr">
        <is>
          <t>Nº4 cerrado</t>
        </is>
      </c>
      <c r="N432" s="10" t="n">
        <v>2</v>
      </c>
      <c r="O432" s="35" t="n">
        <v>110</v>
      </c>
      <c r="P432" s="35" t="n">
        <v>110</v>
      </c>
      <c r="Q432" s="35" t="n">
        <v>0.5811514999848916</v>
      </c>
      <c r="R432" s="10" t="inlineStr">
        <is>
          <t>SÍ</t>
        </is>
      </c>
      <c r="S432" s="15" t="inlineStr">
        <is>
          <t>CUMPLE</t>
        </is>
      </c>
      <c r="T432" s="3" t="inlineStr">
        <is>
          <t>coordinar con planta y reanálisis global</t>
        </is>
      </c>
    </row>
    <row r="433">
      <c r="A433" s="25" t="inlineStr">
        <is>
          <t>VR2</t>
        </is>
      </c>
      <c r="B433" s="10" t="inlineStr">
        <is>
          <t>800</t>
        </is>
      </c>
      <c r="C433" s="10" t="inlineStr">
        <is>
          <t>536</t>
        </is>
      </c>
      <c r="D433" s="10" t="inlineStr">
        <is>
          <t>537</t>
        </is>
      </c>
      <c r="E433" s="35" t="n">
        <v>2.6</v>
      </c>
      <c r="F433" s="35" t="n">
        <v>11.65</v>
      </c>
      <c r="G433" s="35" t="n">
        <v>7.55</v>
      </c>
      <c r="H433" s="35" t="n">
        <v>9.5</v>
      </c>
      <c r="I433" s="10" t="inlineStr">
        <is>
          <t>500×550</t>
        </is>
      </c>
      <c r="J433" s="10" t="n">
        <v>5</v>
      </c>
      <c r="K433" s="10" t="n">
        <v>5</v>
      </c>
      <c r="L433" s="10" t="n">
        <v>8</v>
      </c>
      <c r="M433" s="10" t="inlineStr">
        <is>
          <t>Nº4 cerrado</t>
        </is>
      </c>
      <c r="N433" s="10" t="n">
        <v>2</v>
      </c>
      <c r="O433" s="35" t="n">
        <v>80</v>
      </c>
      <c r="P433" s="35" t="n">
        <v>80</v>
      </c>
      <c r="Q433" s="35" t="n">
        <v>0.6959807054822112</v>
      </c>
      <c r="R433" s="10" t="inlineStr">
        <is>
          <t>SÍ</t>
        </is>
      </c>
      <c r="S433" s="15" t="inlineStr">
        <is>
          <t>CUMPLE</t>
        </is>
      </c>
      <c r="T433" s="3" t="inlineStr">
        <is>
          <t>coordinar con planta y reanálisis global</t>
        </is>
      </c>
    </row>
    <row r="434">
      <c r="A434" s="25" t="inlineStr">
        <is>
          <t>VR2</t>
        </is>
      </c>
      <c r="B434" s="10" t="inlineStr">
        <is>
          <t>801</t>
        </is>
      </c>
      <c r="C434" s="10" t="inlineStr">
        <is>
          <t>537</t>
        </is>
      </c>
      <c r="D434" s="10" t="inlineStr">
        <is>
          <t>538</t>
        </is>
      </c>
      <c r="E434" s="35" t="n">
        <v>3.65308</v>
      </c>
      <c r="F434" s="35" t="n">
        <v>11.575</v>
      </c>
      <c r="G434" s="35" t="n">
        <v>4.425</v>
      </c>
      <c r="H434" s="35" t="n">
        <v>9.5</v>
      </c>
      <c r="I434" s="10" t="inlineStr">
        <is>
          <t>500×550</t>
        </is>
      </c>
      <c r="J434" s="10" t="n">
        <v>5</v>
      </c>
      <c r="K434" s="10" t="n">
        <v>5</v>
      </c>
      <c r="L434" s="10" t="n">
        <v>8</v>
      </c>
      <c r="M434" s="10" t="inlineStr">
        <is>
          <t>Nº4 cerrado</t>
        </is>
      </c>
      <c r="N434" s="10" t="n">
        <v>2</v>
      </c>
      <c r="O434" s="35" t="n">
        <v>120</v>
      </c>
      <c r="P434" s="35" t="n">
        <v>120</v>
      </c>
      <c r="Q434" s="35" t="n">
        <v>0.5784328205286156</v>
      </c>
      <c r="R434" s="10" t="inlineStr">
        <is>
          <t>SÍ</t>
        </is>
      </c>
      <c r="S434" s="15" t="inlineStr">
        <is>
          <t>CUMPLE</t>
        </is>
      </c>
      <c r="T434" s="3" t="inlineStr">
        <is>
          <t>coordinar con planta y reanálisis global</t>
        </is>
      </c>
    </row>
    <row r="435">
      <c r="A435" s="25" t="inlineStr">
        <is>
          <t>VR2</t>
        </is>
      </c>
      <c r="B435" s="10" t="inlineStr">
        <is>
          <t>802</t>
        </is>
      </c>
      <c r="C435" s="10" t="inlineStr">
        <is>
          <t>538</t>
        </is>
      </c>
      <c r="D435" s="10" t="inlineStr">
        <is>
          <t>539</t>
        </is>
      </c>
      <c r="E435" s="35" t="n">
        <v>2.6</v>
      </c>
      <c r="F435" s="35" t="n">
        <v>11.5</v>
      </c>
      <c r="G435" s="35" t="n">
        <v>1.3</v>
      </c>
      <c r="H435" s="35" t="n">
        <v>9.5</v>
      </c>
      <c r="I435" s="10" t="inlineStr">
        <is>
          <t>500×550</t>
        </is>
      </c>
      <c r="J435" s="10" t="n">
        <v>5</v>
      </c>
      <c r="K435" s="10" t="n">
        <v>5</v>
      </c>
      <c r="L435" s="10" t="n">
        <v>0</v>
      </c>
      <c r="M435" s="10" t="inlineStr">
        <is>
          <t>Nº4 cerrado</t>
        </is>
      </c>
      <c r="N435" s="10" t="n">
        <v>2</v>
      </c>
      <c r="O435" s="35" t="n">
        <v>120</v>
      </c>
      <c r="P435" s="35" t="n">
        <v>130</v>
      </c>
      <c r="Q435" s="35" t="n">
        <v>0.5613125985433726</v>
      </c>
      <c r="R435" s="10" t="inlineStr">
        <is>
          <t>SÍ</t>
        </is>
      </c>
      <c r="S435" s="15" t="inlineStr">
        <is>
          <t>CUMPLE</t>
        </is>
      </c>
      <c r="T435" s="3" t="inlineStr">
        <is>
          <t>coordinar con planta y reanálisis global</t>
        </is>
      </c>
    </row>
    <row r="436">
      <c r="A436" s="25" t="inlineStr">
        <is>
          <t>VR2</t>
        </is>
      </c>
      <c r="B436" s="10" t="inlineStr">
        <is>
          <t>863</t>
        </is>
      </c>
      <c r="C436" s="10" t="inlineStr">
        <is>
          <t>564</t>
        </is>
      </c>
      <c r="D436" s="10" t="inlineStr">
        <is>
          <t>565</t>
        </is>
      </c>
      <c r="E436" s="35" t="n">
        <v>2.6</v>
      </c>
      <c r="F436" s="35" t="n">
        <v>4</v>
      </c>
      <c r="G436" s="35" t="n">
        <v>34.9</v>
      </c>
      <c r="H436" s="35" t="n">
        <v>12.5</v>
      </c>
      <c r="I436" s="10" t="inlineStr">
        <is>
          <t>500×550</t>
        </is>
      </c>
      <c r="J436" s="10" t="n">
        <v>5</v>
      </c>
      <c r="K436" s="10" t="n">
        <v>5</v>
      </c>
      <c r="L436" s="10" t="n">
        <v>0</v>
      </c>
      <c r="M436" s="10" t="inlineStr">
        <is>
          <t>Nº3 cerrado</t>
        </is>
      </c>
      <c r="N436" s="10" t="n">
        <v>2</v>
      </c>
      <c r="O436" s="35" t="n">
        <v>120</v>
      </c>
      <c r="P436" s="35" t="n">
        <v>120</v>
      </c>
      <c r="Q436" s="35" t="n">
        <v>0.4245860656503687</v>
      </c>
      <c r="R436" s="10" t="inlineStr">
        <is>
          <t>SÍ</t>
        </is>
      </c>
      <c r="S436" s="15" t="inlineStr">
        <is>
          <t>CUMPLE</t>
        </is>
      </c>
      <c r="T436" s="3" t="inlineStr">
        <is>
          <t>coordinar con planta y reanálisis global</t>
        </is>
      </c>
    </row>
    <row r="437">
      <c r="A437" s="25" t="inlineStr">
        <is>
          <t>VR2</t>
        </is>
      </c>
      <c r="B437" s="10" t="inlineStr">
        <is>
          <t>864</t>
        </is>
      </c>
      <c r="C437" s="10" t="inlineStr">
        <is>
          <t>565</t>
        </is>
      </c>
      <c r="D437" s="10" t="inlineStr">
        <is>
          <t>566</t>
        </is>
      </c>
      <c r="E437" s="35" t="n">
        <v>3.65308</v>
      </c>
      <c r="F437" s="35" t="n">
        <v>3.925</v>
      </c>
      <c r="G437" s="35" t="n">
        <v>31.775</v>
      </c>
      <c r="H437" s="35" t="n">
        <v>12.5</v>
      </c>
      <c r="I437" s="10" t="inlineStr">
        <is>
          <t>500×550</t>
        </is>
      </c>
      <c r="J437" s="10" t="n">
        <v>5</v>
      </c>
      <c r="K437" s="10" t="n">
        <v>5</v>
      </c>
      <c r="L437" s="10" t="n">
        <v>8</v>
      </c>
      <c r="M437" s="10" t="inlineStr">
        <is>
          <t>Nº3 cerrado</t>
        </is>
      </c>
      <c r="N437" s="10" t="n">
        <v>2</v>
      </c>
      <c r="O437" s="35" t="n">
        <v>100</v>
      </c>
      <c r="P437" s="35" t="n">
        <v>100</v>
      </c>
      <c r="Q437" s="35" t="n">
        <v>0.4392657151942566</v>
      </c>
      <c r="R437" s="10" t="inlineStr">
        <is>
          <t>SÍ</t>
        </is>
      </c>
      <c r="S437" s="15" t="inlineStr">
        <is>
          <t>CUMPLE</t>
        </is>
      </c>
      <c r="T437" s="3" t="inlineStr">
        <is>
          <t>coordinar con planta y reanálisis global</t>
        </is>
      </c>
    </row>
    <row r="438">
      <c r="A438" s="25" t="inlineStr">
        <is>
          <t>VR2</t>
        </is>
      </c>
      <c r="B438" s="10" t="inlineStr">
        <is>
          <t>865</t>
        </is>
      </c>
      <c r="C438" s="10" t="inlineStr">
        <is>
          <t>566</t>
        </is>
      </c>
      <c r="D438" s="10" t="inlineStr">
        <is>
          <t>567</t>
        </is>
      </c>
      <c r="E438" s="35" t="n">
        <v>2.6</v>
      </c>
      <c r="F438" s="35" t="n">
        <v>3.85</v>
      </c>
      <c r="G438" s="35" t="n">
        <v>28.65</v>
      </c>
      <c r="H438" s="35" t="n">
        <v>12.5</v>
      </c>
      <c r="I438" s="10" t="inlineStr">
        <is>
          <t>500×550</t>
        </is>
      </c>
      <c r="J438" s="10" t="n">
        <v>5</v>
      </c>
      <c r="K438" s="10" t="n">
        <v>5</v>
      </c>
      <c r="L438" s="10" t="n">
        <v>8</v>
      </c>
      <c r="M438" s="10" t="inlineStr">
        <is>
          <t>Nº3 cerrado</t>
        </is>
      </c>
      <c r="N438" s="10" t="n">
        <v>2</v>
      </c>
      <c r="O438" s="35" t="n">
        <v>80</v>
      </c>
      <c r="P438" s="35" t="n">
        <v>80</v>
      </c>
      <c r="Q438" s="35" t="n">
        <v>0.4924335034647915</v>
      </c>
      <c r="R438" s="10" t="inlineStr">
        <is>
          <t>SÍ</t>
        </is>
      </c>
      <c r="S438" s="15" t="inlineStr">
        <is>
          <t>CUMPLE</t>
        </is>
      </c>
      <c r="T438" s="3" t="inlineStr">
        <is>
          <t>coordinar con planta y reanálisis global</t>
        </is>
      </c>
    </row>
    <row r="439">
      <c r="A439" s="25" t="inlineStr">
        <is>
          <t>VR2</t>
        </is>
      </c>
      <c r="B439" s="10" t="inlineStr">
        <is>
          <t>866</t>
        </is>
      </c>
      <c r="C439" s="10" t="inlineStr">
        <is>
          <t>567</t>
        </is>
      </c>
      <c r="D439" s="10" t="inlineStr">
        <is>
          <t>568</t>
        </is>
      </c>
      <c r="E439" s="35" t="n">
        <v>2.5</v>
      </c>
      <c r="F439" s="35" t="n">
        <v>3.85</v>
      </c>
      <c r="G439" s="35" t="n">
        <v>26.1</v>
      </c>
      <c r="H439" s="35" t="n">
        <v>12.5</v>
      </c>
      <c r="I439" s="10" t="inlineStr">
        <is>
          <t>500×550</t>
        </is>
      </c>
      <c r="J439" s="10" t="n">
        <v>5</v>
      </c>
      <c r="K439" s="10" t="n">
        <v>5</v>
      </c>
      <c r="L439" s="10" t="n">
        <v>0</v>
      </c>
      <c r="M439" s="10" t="inlineStr">
        <is>
          <t>Nº3 cerrado</t>
        </is>
      </c>
      <c r="N439" s="10" t="n">
        <v>2</v>
      </c>
      <c r="O439" s="35" t="n">
        <v>110</v>
      </c>
      <c r="P439" s="35" t="n">
        <v>110</v>
      </c>
      <c r="Q439" s="35" t="n">
        <v>0.4489495688073731</v>
      </c>
      <c r="R439" s="10" t="inlineStr">
        <is>
          <t>SÍ</t>
        </is>
      </c>
      <c r="S439" s="15" t="inlineStr">
        <is>
          <t>CUMPLE</t>
        </is>
      </c>
      <c r="T439" s="3" t="inlineStr">
        <is>
          <t>coordinar con planta y reanálisis global</t>
        </is>
      </c>
    </row>
    <row r="440">
      <c r="A440" s="25" t="inlineStr">
        <is>
          <t>VR2</t>
        </is>
      </c>
      <c r="B440" s="10" t="inlineStr">
        <is>
          <t>867</t>
        </is>
      </c>
      <c r="C440" s="10" t="inlineStr">
        <is>
          <t>568</t>
        </is>
      </c>
      <c r="D440" s="10" t="inlineStr">
        <is>
          <t>569</t>
        </is>
      </c>
      <c r="E440" s="35" t="n">
        <v>4.17612</v>
      </c>
      <c r="F440" s="35" t="n">
        <v>3.25</v>
      </c>
      <c r="G440" s="35" t="n">
        <v>22.85</v>
      </c>
      <c r="H440" s="35" t="n">
        <v>12.5</v>
      </c>
      <c r="I440" s="10" t="inlineStr">
        <is>
          <t>500×550</t>
        </is>
      </c>
      <c r="J440" s="10" t="n">
        <v>5</v>
      </c>
      <c r="K440" s="10" t="n">
        <v>5</v>
      </c>
      <c r="L440" s="10" t="n">
        <v>0</v>
      </c>
      <c r="M440" s="10" t="inlineStr">
        <is>
          <t>Nº3 cerrado</t>
        </is>
      </c>
      <c r="N440" s="10" t="n">
        <v>2</v>
      </c>
      <c r="O440" s="35" t="n">
        <v>120</v>
      </c>
      <c r="P440" s="35" t="n">
        <v>240</v>
      </c>
      <c r="Q440" s="35" t="n">
        <v>0.3084202732194168</v>
      </c>
      <c r="R440" s="10" t="inlineStr">
        <is>
          <t>SÍ</t>
        </is>
      </c>
      <c r="S440" s="15" t="inlineStr">
        <is>
          <t>CUMPLE</t>
        </is>
      </c>
      <c r="T440" s="3" t="inlineStr">
        <is>
          <t>coordinar con planta y reanálisis global</t>
        </is>
      </c>
    </row>
    <row r="441">
      <c r="A441" s="25" t="inlineStr">
        <is>
          <t>VR2</t>
        </is>
      </c>
      <c r="B441" s="10" t="inlineStr">
        <is>
          <t>868</t>
        </is>
      </c>
      <c r="C441" s="10" t="inlineStr">
        <is>
          <t>569</t>
        </is>
      </c>
      <c r="D441" s="10" t="inlineStr">
        <is>
          <t>570</t>
        </is>
      </c>
      <c r="E441" s="35" t="n">
        <v>2.7</v>
      </c>
      <c r="F441" s="35" t="n">
        <v>2.65</v>
      </c>
      <c r="G441" s="35" t="n">
        <v>19.5</v>
      </c>
      <c r="H441" s="35" t="n">
        <v>12.5</v>
      </c>
      <c r="I441" s="10" t="inlineStr">
        <is>
          <t>500×550</t>
        </is>
      </c>
      <c r="J441" s="10" t="n">
        <v>5</v>
      </c>
      <c r="K441" s="10" t="n">
        <v>5</v>
      </c>
      <c r="L441" s="10" t="n">
        <v>8</v>
      </c>
      <c r="M441" s="10" t="inlineStr">
        <is>
          <t>Nº4 cerrado</t>
        </is>
      </c>
      <c r="N441" s="10" t="n">
        <v>2</v>
      </c>
      <c r="O441" s="35" t="n">
        <v>120</v>
      </c>
      <c r="P441" s="35" t="n">
        <v>130</v>
      </c>
      <c r="Q441" s="35" t="n">
        <v>0.5352254806067006</v>
      </c>
      <c r="R441" s="10" t="inlineStr">
        <is>
          <t>SÍ</t>
        </is>
      </c>
      <c r="S441" s="15" t="inlineStr">
        <is>
          <t>CUMPLE</t>
        </is>
      </c>
      <c r="T441" s="3" t="inlineStr">
        <is>
          <t>coordinar con planta y reanálisis global</t>
        </is>
      </c>
    </row>
    <row r="442">
      <c r="A442" s="25" t="inlineStr">
        <is>
          <t>VR2</t>
        </is>
      </c>
      <c r="B442" s="10" t="inlineStr">
        <is>
          <t>869</t>
        </is>
      </c>
      <c r="C442" s="10" t="inlineStr">
        <is>
          <t>570</t>
        </is>
      </c>
      <c r="D442" s="10" t="inlineStr">
        <is>
          <t>571</t>
        </is>
      </c>
      <c r="E442" s="35" t="n">
        <v>2.8</v>
      </c>
      <c r="F442" s="35" t="n">
        <v>2.65</v>
      </c>
      <c r="G442" s="35" t="n">
        <v>16.75</v>
      </c>
      <c r="H442" s="35" t="n">
        <v>12.5</v>
      </c>
      <c r="I442" s="10" t="inlineStr">
        <is>
          <t>500×550</t>
        </is>
      </c>
      <c r="J442" s="10" t="n">
        <v>5</v>
      </c>
      <c r="K442" s="10" t="n">
        <v>5</v>
      </c>
      <c r="L442" s="10" t="n">
        <v>8</v>
      </c>
      <c r="M442" s="10" t="inlineStr">
        <is>
          <t>Nº4 cerrado</t>
        </is>
      </c>
      <c r="N442" s="10" t="n">
        <v>2</v>
      </c>
      <c r="O442" s="35" t="n">
        <v>120</v>
      </c>
      <c r="P442" s="35" t="n">
        <v>130</v>
      </c>
      <c r="Q442" s="35" t="n">
        <v>0.5177055189668253</v>
      </c>
      <c r="R442" s="10" t="inlineStr">
        <is>
          <t>SÍ</t>
        </is>
      </c>
      <c r="S442" s="15" t="inlineStr">
        <is>
          <t>CUMPLE</t>
        </is>
      </c>
      <c r="T442" s="3" t="inlineStr">
        <is>
          <t>coordinar con planta y reanálisis global</t>
        </is>
      </c>
    </row>
    <row r="443">
      <c r="A443" s="25" t="inlineStr">
        <is>
          <t>VR2</t>
        </is>
      </c>
      <c r="B443" s="10" t="inlineStr">
        <is>
          <t>870</t>
        </is>
      </c>
      <c r="C443" s="10" t="inlineStr">
        <is>
          <t>571</t>
        </is>
      </c>
      <c r="D443" s="10" t="inlineStr">
        <is>
          <t>572</t>
        </is>
      </c>
      <c r="E443" s="35" t="n">
        <v>4.17612</v>
      </c>
      <c r="F443" s="35" t="n">
        <v>3.25</v>
      </c>
      <c r="G443" s="35" t="n">
        <v>13.35</v>
      </c>
      <c r="H443" s="35" t="n">
        <v>12.5</v>
      </c>
      <c r="I443" s="10" t="inlineStr">
        <is>
          <t>500×550</t>
        </is>
      </c>
      <c r="J443" s="10" t="n">
        <v>5</v>
      </c>
      <c r="K443" s="10" t="n">
        <v>5</v>
      </c>
      <c r="L443" s="10" t="n">
        <v>0</v>
      </c>
      <c r="M443" s="10" t="inlineStr">
        <is>
          <t>Nº3 cerrado</t>
        </is>
      </c>
      <c r="N443" s="10" t="n">
        <v>2</v>
      </c>
      <c r="O443" s="35" t="n">
        <v>120</v>
      </c>
      <c r="P443" s="35" t="n">
        <v>240</v>
      </c>
      <c r="Q443" s="35" t="n">
        <v>0.3073645365868547</v>
      </c>
      <c r="R443" s="10" t="inlineStr">
        <is>
          <t>SÍ</t>
        </is>
      </c>
      <c r="S443" s="15" t="inlineStr">
        <is>
          <t>CUMPLE</t>
        </is>
      </c>
      <c r="T443" s="3" t="inlineStr">
        <is>
          <t>coordinar con planta y reanálisis global</t>
        </is>
      </c>
    </row>
    <row r="444">
      <c r="A444" s="25" t="inlineStr">
        <is>
          <t>VR2</t>
        </is>
      </c>
      <c r="B444" s="10" t="inlineStr">
        <is>
          <t>871</t>
        </is>
      </c>
      <c r="C444" s="10" t="inlineStr">
        <is>
          <t>572</t>
        </is>
      </c>
      <c r="D444" s="10" t="inlineStr">
        <is>
          <t>573</t>
        </is>
      </c>
      <c r="E444" s="35" t="n">
        <v>2.5</v>
      </c>
      <c r="F444" s="35" t="n">
        <v>3.85</v>
      </c>
      <c r="G444" s="35" t="n">
        <v>10.1</v>
      </c>
      <c r="H444" s="35" t="n">
        <v>12.5</v>
      </c>
      <c r="I444" s="10" t="inlineStr">
        <is>
          <t>500×550</t>
        </is>
      </c>
      <c r="J444" s="10" t="n">
        <v>5</v>
      </c>
      <c r="K444" s="10" t="n">
        <v>5</v>
      </c>
      <c r="L444" s="10" t="n">
        <v>0</v>
      </c>
      <c r="M444" s="10" t="inlineStr">
        <is>
          <t>Nº3 cerrado</t>
        </is>
      </c>
      <c r="N444" s="10" t="n">
        <v>2</v>
      </c>
      <c r="O444" s="35" t="n">
        <v>110</v>
      </c>
      <c r="P444" s="35" t="n">
        <v>110</v>
      </c>
      <c r="Q444" s="35" t="n">
        <v>0.4487592407962692</v>
      </c>
      <c r="R444" s="10" t="inlineStr">
        <is>
          <t>SÍ</t>
        </is>
      </c>
      <c r="S444" s="15" t="inlineStr">
        <is>
          <t>CUMPLE</t>
        </is>
      </c>
      <c r="T444" s="3" t="inlineStr">
        <is>
          <t>coordinar con planta y reanálisis global</t>
        </is>
      </c>
    </row>
    <row r="445">
      <c r="A445" s="25" t="inlineStr">
        <is>
          <t>VR2</t>
        </is>
      </c>
      <c r="B445" s="10" t="inlineStr">
        <is>
          <t>872</t>
        </is>
      </c>
      <c r="C445" s="10" t="inlineStr">
        <is>
          <t>573</t>
        </is>
      </c>
      <c r="D445" s="10" t="inlineStr">
        <is>
          <t>574</t>
        </is>
      </c>
      <c r="E445" s="35" t="n">
        <v>2.6</v>
      </c>
      <c r="F445" s="35" t="n">
        <v>3.85</v>
      </c>
      <c r="G445" s="35" t="n">
        <v>7.55</v>
      </c>
      <c r="H445" s="35" t="n">
        <v>12.5</v>
      </c>
      <c r="I445" s="10" t="inlineStr">
        <is>
          <t>500×550</t>
        </is>
      </c>
      <c r="J445" s="10" t="n">
        <v>5</v>
      </c>
      <c r="K445" s="10" t="n">
        <v>5</v>
      </c>
      <c r="L445" s="10" t="n">
        <v>8</v>
      </c>
      <c r="M445" s="10" t="inlineStr">
        <is>
          <t>Nº3 cerrado</t>
        </is>
      </c>
      <c r="N445" s="10" t="n">
        <v>2</v>
      </c>
      <c r="O445" s="35" t="n">
        <v>80</v>
      </c>
      <c r="P445" s="35" t="n">
        <v>80</v>
      </c>
      <c r="Q445" s="35" t="n">
        <v>0.4929012072446509</v>
      </c>
      <c r="R445" s="10" t="inlineStr">
        <is>
          <t>SÍ</t>
        </is>
      </c>
      <c r="S445" s="15" t="inlineStr">
        <is>
          <t>CUMPLE</t>
        </is>
      </c>
      <c r="T445" s="3" t="inlineStr">
        <is>
          <t>coordinar con planta y reanálisis global</t>
        </is>
      </c>
    </row>
    <row r="446">
      <c r="A446" s="25" t="inlineStr">
        <is>
          <t>VR2</t>
        </is>
      </c>
      <c r="B446" s="10" t="inlineStr">
        <is>
          <t>873</t>
        </is>
      </c>
      <c r="C446" s="10" t="inlineStr">
        <is>
          <t>574</t>
        </is>
      </c>
      <c r="D446" s="10" t="inlineStr">
        <is>
          <t>575</t>
        </is>
      </c>
      <c r="E446" s="35" t="n">
        <v>3.65308</v>
      </c>
      <c r="F446" s="35" t="n">
        <v>3.925</v>
      </c>
      <c r="G446" s="35" t="n">
        <v>4.425</v>
      </c>
      <c r="H446" s="35" t="n">
        <v>12.5</v>
      </c>
      <c r="I446" s="10" t="inlineStr">
        <is>
          <t>500×550</t>
        </is>
      </c>
      <c r="J446" s="10" t="n">
        <v>5</v>
      </c>
      <c r="K446" s="10" t="n">
        <v>5</v>
      </c>
      <c r="L446" s="10" t="n">
        <v>8</v>
      </c>
      <c r="M446" s="10" t="inlineStr">
        <is>
          <t>Nº3 cerrado</t>
        </is>
      </c>
      <c r="N446" s="10" t="n">
        <v>2</v>
      </c>
      <c r="O446" s="35" t="n">
        <v>100</v>
      </c>
      <c r="P446" s="35" t="n">
        <v>100</v>
      </c>
      <c r="Q446" s="35" t="n">
        <v>0.4389716576035597</v>
      </c>
      <c r="R446" s="10" t="inlineStr">
        <is>
          <t>SÍ</t>
        </is>
      </c>
      <c r="S446" s="15" t="inlineStr">
        <is>
          <t>CUMPLE</t>
        </is>
      </c>
      <c r="T446" s="3" t="inlineStr">
        <is>
          <t>coordinar con planta y reanálisis global</t>
        </is>
      </c>
    </row>
    <row r="447">
      <c r="A447" s="25" t="inlineStr">
        <is>
          <t>VR2</t>
        </is>
      </c>
      <c r="B447" s="10" t="inlineStr">
        <is>
          <t>874</t>
        </is>
      </c>
      <c r="C447" s="10" t="inlineStr">
        <is>
          <t>575</t>
        </is>
      </c>
      <c r="D447" s="10" t="inlineStr">
        <is>
          <t>576</t>
        </is>
      </c>
      <c r="E447" s="35" t="n">
        <v>2.6</v>
      </c>
      <c r="F447" s="35" t="n">
        <v>4</v>
      </c>
      <c r="G447" s="35" t="n">
        <v>1.3</v>
      </c>
      <c r="H447" s="35" t="n">
        <v>12.5</v>
      </c>
      <c r="I447" s="10" t="inlineStr">
        <is>
          <t>500×550</t>
        </is>
      </c>
      <c r="J447" s="10" t="n">
        <v>5</v>
      </c>
      <c r="K447" s="10" t="n">
        <v>5</v>
      </c>
      <c r="L447" s="10" t="n">
        <v>0</v>
      </c>
      <c r="M447" s="10" t="inlineStr">
        <is>
          <t>Nº3 cerrado</t>
        </is>
      </c>
      <c r="N447" s="10" t="n">
        <v>2</v>
      </c>
      <c r="O447" s="35" t="n">
        <v>120</v>
      </c>
      <c r="P447" s="35" t="n">
        <v>120</v>
      </c>
      <c r="Q447" s="35" t="n">
        <v>0.424446211399417</v>
      </c>
      <c r="R447" s="10" t="inlineStr">
        <is>
          <t>SÍ</t>
        </is>
      </c>
      <c r="S447" s="15" t="inlineStr">
        <is>
          <t>CUMPLE</t>
        </is>
      </c>
      <c r="T447" s="3" t="inlineStr">
        <is>
          <t>coordinar con planta y reanálisis global</t>
        </is>
      </c>
    </row>
    <row r="448">
      <c r="A448" s="25" t="inlineStr">
        <is>
          <t>VR2</t>
        </is>
      </c>
      <c r="B448" s="10" t="inlineStr">
        <is>
          <t>885</t>
        </is>
      </c>
      <c r="C448" s="10" t="inlineStr">
        <is>
          <t>588</t>
        </is>
      </c>
      <c r="D448" s="10" t="inlineStr">
        <is>
          <t>589</t>
        </is>
      </c>
      <c r="E448" s="35" t="n">
        <v>2.6</v>
      </c>
      <c r="F448" s="35" t="n">
        <v>11.5</v>
      </c>
      <c r="G448" s="35" t="n">
        <v>34.9</v>
      </c>
      <c r="H448" s="35" t="n">
        <v>12.5</v>
      </c>
      <c r="I448" s="10" t="inlineStr">
        <is>
          <t>500×550</t>
        </is>
      </c>
      <c r="J448" s="10" t="n">
        <v>5</v>
      </c>
      <c r="K448" s="10" t="n">
        <v>5</v>
      </c>
      <c r="L448" s="10" t="n">
        <v>0</v>
      </c>
      <c r="M448" s="10" t="inlineStr">
        <is>
          <t>Nº3 cerrado</t>
        </is>
      </c>
      <c r="N448" s="10" t="n">
        <v>2</v>
      </c>
      <c r="O448" s="35" t="n">
        <v>120</v>
      </c>
      <c r="P448" s="35" t="n">
        <v>120</v>
      </c>
      <c r="Q448" s="35" t="n">
        <v>0.4245914632073031</v>
      </c>
      <c r="R448" s="10" t="inlineStr">
        <is>
          <t>SÍ</t>
        </is>
      </c>
      <c r="S448" s="15" t="inlineStr">
        <is>
          <t>CUMPLE</t>
        </is>
      </c>
      <c r="T448" s="3" t="inlineStr">
        <is>
          <t>coordinar con planta y reanálisis global</t>
        </is>
      </c>
    </row>
    <row r="449">
      <c r="A449" s="25" t="inlineStr">
        <is>
          <t>VR2</t>
        </is>
      </c>
      <c r="B449" s="10" t="inlineStr">
        <is>
          <t>886</t>
        </is>
      </c>
      <c r="C449" s="10" t="inlineStr">
        <is>
          <t>589</t>
        </is>
      </c>
      <c r="D449" s="10" t="inlineStr">
        <is>
          <t>590</t>
        </is>
      </c>
      <c r="E449" s="35" t="n">
        <v>3.65308</v>
      </c>
      <c r="F449" s="35" t="n">
        <v>11.575</v>
      </c>
      <c r="G449" s="35" t="n">
        <v>31.775</v>
      </c>
      <c r="H449" s="35" t="n">
        <v>12.5</v>
      </c>
      <c r="I449" s="10" t="inlineStr">
        <is>
          <t>500×550</t>
        </is>
      </c>
      <c r="J449" s="10" t="n">
        <v>5</v>
      </c>
      <c r="K449" s="10" t="n">
        <v>5</v>
      </c>
      <c r="L449" s="10" t="n">
        <v>8</v>
      </c>
      <c r="M449" s="10" t="inlineStr">
        <is>
          <t>Nº3 cerrado</t>
        </is>
      </c>
      <c r="N449" s="10" t="n">
        <v>2</v>
      </c>
      <c r="O449" s="35" t="n">
        <v>100</v>
      </c>
      <c r="P449" s="35" t="n">
        <v>100</v>
      </c>
      <c r="Q449" s="35" t="n">
        <v>0.4389806753964456</v>
      </c>
      <c r="R449" s="10" t="inlineStr">
        <is>
          <t>SÍ</t>
        </is>
      </c>
      <c r="S449" s="15" t="inlineStr">
        <is>
          <t>CUMPLE</t>
        </is>
      </c>
      <c r="T449" s="3" t="inlineStr">
        <is>
          <t>coordinar con planta y reanálisis global</t>
        </is>
      </c>
    </row>
    <row r="450">
      <c r="A450" s="25" t="inlineStr">
        <is>
          <t>VR2</t>
        </is>
      </c>
      <c r="B450" s="10" t="inlineStr">
        <is>
          <t>887</t>
        </is>
      </c>
      <c r="C450" s="10" t="inlineStr">
        <is>
          <t>590</t>
        </is>
      </c>
      <c r="D450" s="10" t="inlineStr">
        <is>
          <t>591</t>
        </is>
      </c>
      <c r="E450" s="35" t="n">
        <v>2.6</v>
      </c>
      <c r="F450" s="35" t="n">
        <v>11.65</v>
      </c>
      <c r="G450" s="35" t="n">
        <v>28.65</v>
      </c>
      <c r="H450" s="35" t="n">
        <v>12.5</v>
      </c>
      <c r="I450" s="10" t="inlineStr">
        <is>
          <t>500×550</t>
        </is>
      </c>
      <c r="J450" s="10" t="n">
        <v>5</v>
      </c>
      <c r="K450" s="10" t="n">
        <v>5</v>
      </c>
      <c r="L450" s="10" t="n">
        <v>8</v>
      </c>
      <c r="M450" s="10" t="inlineStr">
        <is>
          <t>Nº3 cerrado</t>
        </is>
      </c>
      <c r="N450" s="10" t="n">
        <v>2</v>
      </c>
      <c r="O450" s="35" t="n">
        <v>80</v>
      </c>
      <c r="P450" s="35" t="n">
        <v>80</v>
      </c>
      <c r="Q450" s="35" t="n">
        <v>0.4927797144382661</v>
      </c>
      <c r="R450" s="10" t="inlineStr">
        <is>
          <t>SÍ</t>
        </is>
      </c>
      <c r="S450" s="15" t="inlineStr">
        <is>
          <t>CUMPLE</t>
        </is>
      </c>
      <c r="T450" s="3" t="inlineStr">
        <is>
          <t>coordinar con planta y reanálisis global</t>
        </is>
      </c>
    </row>
    <row r="451">
      <c r="A451" s="25" t="inlineStr">
        <is>
          <t>VR2</t>
        </is>
      </c>
      <c r="B451" s="10" t="inlineStr">
        <is>
          <t>888</t>
        </is>
      </c>
      <c r="C451" s="10" t="inlineStr">
        <is>
          <t>591</t>
        </is>
      </c>
      <c r="D451" s="10" t="inlineStr">
        <is>
          <t>592</t>
        </is>
      </c>
      <c r="E451" s="35" t="n">
        <v>2.5</v>
      </c>
      <c r="F451" s="35" t="n">
        <v>11.65</v>
      </c>
      <c r="G451" s="35" t="n">
        <v>26.1</v>
      </c>
      <c r="H451" s="35" t="n">
        <v>12.5</v>
      </c>
      <c r="I451" s="10" t="inlineStr">
        <is>
          <t>500×550</t>
        </is>
      </c>
      <c r="J451" s="10" t="n">
        <v>5</v>
      </c>
      <c r="K451" s="10" t="n">
        <v>5</v>
      </c>
      <c r="L451" s="10" t="n">
        <v>0</v>
      </c>
      <c r="M451" s="10" t="inlineStr">
        <is>
          <t>Nº3 cerrado</t>
        </is>
      </c>
      <c r="N451" s="10" t="n">
        <v>2</v>
      </c>
      <c r="O451" s="35" t="n">
        <v>110</v>
      </c>
      <c r="P451" s="35" t="n">
        <v>110</v>
      </c>
      <c r="Q451" s="35" t="n">
        <v>0.4489856365331413</v>
      </c>
      <c r="R451" s="10" t="inlineStr">
        <is>
          <t>SÍ</t>
        </is>
      </c>
      <c r="S451" s="15" t="inlineStr">
        <is>
          <t>CUMPLE</t>
        </is>
      </c>
      <c r="T451" s="3" t="inlineStr">
        <is>
          <t>coordinar con planta y reanálisis global</t>
        </is>
      </c>
    </row>
    <row r="452">
      <c r="A452" s="25" t="inlineStr">
        <is>
          <t>VR2</t>
        </is>
      </c>
      <c r="B452" s="10" t="inlineStr">
        <is>
          <t>889</t>
        </is>
      </c>
      <c r="C452" s="10" t="inlineStr">
        <is>
          <t>592</t>
        </is>
      </c>
      <c r="D452" s="10" t="inlineStr">
        <is>
          <t>593</t>
        </is>
      </c>
      <c r="E452" s="35" t="n">
        <v>4.17612</v>
      </c>
      <c r="F452" s="35" t="n">
        <v>12.25</v>
      </c>
      <c r="G452" s="35" t="n">
        <v>22.85</v>
      </c>
      <c r="H452" s="35" t="n">
        <v>12.5</v>
      </c>
      <c r="I452" s="10" t="inlineStr">
        <is>
          <t>500×550</t>
        </is>
      </c>
      <c r="J452" s="10" t="n">
        <v>5</v>
      </c>
      <c r="K452" s="10" t="n">
        <v>5</v>
      </c>
      <c r="L452" s="10" t="n">
        <v>0</v>
      </c>
      <c r="M452" s="10" t="inlineStr">
        <is>
          <t>Nº3 cerrado</t>
        </is>
      </c>
      <c r="N452" s="10" t="n">
        <v>2</v>
      </c>
      <c r="O452" s="35" t="n">
        <v>120</v>
      </c>
      <c r="P452" s="35" t="n">
        <v>240</v>
      </c>
      <c r="Q452" s="35" t="n">
        <v>0.3084231856120515</v>
      </c>
      <c r="R452" s="10" t="inlineStr">
        <is>
          <t>SÍ</t>
        </is>
      </c>
      <c r="S452" s="15" t="inlineStr">
        <is>
          <t>CUMPLE</t>
        </is>
      </c>
      <c r="T452" s="3" t="inlineStr">
        <is>
          <t>coordinar con planta y reanálisis global</t>
        </is>
      </c>
    </row>
    <row r="453">
      <c r="A453" s="25" t="inlineStr">
        <is>
          <t>VR2</t>
        </is>
      </c>
      <c r="B453" s="10" t="inlineStr">
        <is>
          <t>890</t>
        </is>
      </c>
      <c r="C453" s="10" t="inlineStr">
        <is>
          <t>593</t>
        </is>
      </c>
      <c r="D453" s="10" t="inlineStr">
        <is>
          <t>594</t>
        </is>
      </c>
      <c r="E453" s="35" t="n">
        <v>2.7</v>
      </c>
      <c r="F453" s="35" t="n">
        <v>12.85</v>
      </c>
      <c r="G453" s="35" t="n">
        <v>19.5</v>
      </c>
      <c r="H453" s="35" t="n">
        <v>12.5</v>
      </c>
      <c r="I453" s="10" t="inlineStr">
        <is>
          <t>500×550</t>
        </is>
      </c>
      <c r="J453" s="10" t="n">
        <v>5</v>
      </c>
      <c r="K453" s="10" t="n">
        <v>5</v>
      </c>
      <c r="L453" s="10" t="n">
        <v>8</v>
      </c>
      <c r="M453" s="10" t="inlineStr">
        <is>
          <t>Nº4 cerrado</t>
        </is>
      </c>
      <c r="N453" s="10" t="n">
        <v>2</v>
      </c>
      <c r="O453" s="35" t="n">
        <v>120</v>
      </c>
      <c r="P453" s="35" t="n">
        <v>130</v>
      </c>
      <c r="Q453" s="35" t="n">
        <v>0.5352238145731399</v>
      </c>
      <c r="R453" s="10" t="inlineStr">
        <is>
          <t>SÍ</t>
        </is>
      </c>
      <c r="S453" s="15" t="inlineStr">
        <is>
          <t>CUMPLE</t>
        </is>
      </c>
      <c r="T453" s="3" t="inlineStr">
        <is>
          <t>coordinar con planta y reanálisis global</t>
        </is>
      </c>
    </row>
    <row r="454">
      <c r="A454" s="25" t="inlineStr">
        <is>
          <t>VR2</t>
        </is>
      </c>
      <c r="B454" s="10" t="inlineStr">
        <is>
          <t>891</t>
        </is>
      </c>
      <c r="C454" s="10" t="inlineStr">
        <is>
          <t>594</t>
        </is>
      </c>
      <c r="D454" s="10" t="inlineStr">
        <is>
          <t>595</t>
        </is>
      </c>
      <c r="E454" s="35" t="n">
        <v>2.8</v>
      </c>
      <c r="F454" s="35" t="n">
        <v>12.85</v>
      </c>
      <c r="G454" s="35" t="n">
        <v>16.75</v>
      </c>
      <c r="H454" s="35" t="n">
        <v>12.5</v>
      </c>
      <c r="I454" s="10" t="inlineStr">
        <is>
          <t>500×550</t>
        </is>
      </c>
      <c r="J454" s="10" t="n">
        <v>5</v>
      </c>
      <c r="K454" s="10" t="n">
        <v>5</v>
      </c>
      <c r="L454" s="10" t="n">
        <v>8</v>
      </c>
      <c r="M454" s="10" t="inlineStr">
        <is>
          <t>Nº4 cerrado</t>
        </is>
      </c>
      <c r="N454" s="10" t="n">
        <v>2</v>
      </c>
      <c r="O454" s="35" t="n">
        <v>120</v>
      </c>
      <c r="P454" s="35" t="n">
        <v>130</v>
      </c>
      <c r="Q454" s="35" t="n">
        <v>0.5177126817287385</v>
      </c>
      <c r="R454" s="10" t="inlineStr">
        <is>
          <t>SÍ</t>
        </is>
      </c>
      <c r="S454" s="15" t="inlineStr">
        <is>
          <t>CUMPLE</t>
        </is>
      </c>
      <c r="T454" s="3" t="inlineStr">
        <is>
          <t>coordinar con planta y reanálisis global</t>
        </is>
      </c>
    </row>
    <row r="455">
      <c r="A455" s="25" t="inlineStr">
        <is>
          <t>VR2</t>
        </is>
      </c>
      <c r="B455" s="10" t="inlineStr">
        <is>
          <t>892</t>
        </is>
      </c>
      <c r="C455" s="10" t="inlineStr">
        <is>
          <t>595</t>
        </is>
      </c>
      <c r="D455" s="10" t="inlineStr">
        <is>
          <t>596</t>
        </is>
      </c>
      <c r="E455" s="35" t="n">
        <v>4.17612</v>
      </c>
      <c r="F455" s="35" t="n">
        <v>12.25</v>
      </c>
      <c r="G455" s="35" t="n">
        <v>13.35</v>
      </c>
      <c r="H455" s="35" t="n">
        <v>12.5</v>
      </c>
      <c r="I455" s="10" t="inlineStr">
        <is>
          <t>500×550</t>
        </is>
      </c>
      <c r="J455" s="10" t="n">
        <v>5</v>
      </c>
      <c r="K455" s="10" t="n">
        <v>5</v>
      </c>
      <c r="L455" s="10" t="n">
        <v>0</v>
      </c>
      <c r="M455" s="10" t="inlineStr">
        <is>
          <t>Nº3 cerrado</t>
        </is>
      </c>
      <c r="N455" s="10" t="n">
        <v>2</v>
      </c>
      <c r="O455" s="35" t="n">
        <v>120</v>
      </c>
      <c r="P455" s="35" t="n">
        <v>240</v>
      </c>
      <c r="Q455" s="35" t="n">
        <v>0.3073576979764372</v>
      </c>
      <c r="R455" s="10" t="inlineStr">
        <is>
          <t>SÍ</t>
        </is>
      </c>
      <c r="S455" s="15" t="inlineStr">
        <is>
          <t>CUMPLE</t>
        </is>
      </c>
      <c r="T455" s="3" t="inlineStr">
        <is>
          <t>coordinar con planta y reanálisis global</t>
        </is>
      </c>
    </row>
    <row r="456">
      <c r="A456" s="25" t="inlineStr">
        <is>
          <t>VR2</t>
        </is>
      </c>
      <c r="B456" s="10" t="inlineStr">
        <is>
          <t>893</t>
        </is>
      </c>
      <c r="C456" s="10" t="inlineStr">
        <is>
          <t>596</t>
        </is>
      </c>
      <c r="D456" s="10" t="inlineStr">
        <is>
          <t>597</t>
        </is>
      </c>
      <c r="E456" s="35" t="n">
        <v>2.5</v>
      </c>
      <c r="F456" s="35" t="n">
        <v>11.65</v>
      </c>
      <c r="G456" s="35" t="n">
        <v>10.1</v>
      </c>
      <c r="H456" s="35" t="n">
        <v>12.5</v>
      </c>
      <c r="I456" s="10" t="inlineStr">
        <is>
          <t>500×550</t>
        </is>
      </c>
      <c r="J456" s="10" t="n">
        <v>5</v>
      </c>
      <c r="K456" s="10" t="n">
        <v>5</v>
      </c>
      <c r="L456" s="10" t="n">
        <v>0</v>
      </c>
      <c r="M456" s="10" t="inlineStr">
        <is>
          <t>Nº3 cerrado</t>
        </is>
      </c>
      <c r="N456" s="10" t="n">
        <v>2</v>
      </c>
      <c r="O456" s="35" t="n">
        <v>110</v>
      </c>
      <c r="P456" s="35" t="n">
        <v>110</v>
      </c>
      <c r="Q456" s="35" t="n">
        <v>0.4487198969406745</v>
      </c>
      <c r="R456" s="10" t="inlineStr">
        <is>
          <t>SÍ</t>
        </is>
      </c>
      <c r="S456" s="15" t="inlineStr">
        <is>
          <t>CUMPLE</t>
        </is>
      </c>
      <c r="T456" s="3" t="inlineStr">
        <is>
          <t>coordinar con planta y reanálisis global</t>
        </is>
      </c>
    </row>
    <row r="457">
      <c r="A457" s="25" t="inlineStr">
        <is>
          <t>VR2</t>
        </is>
      </c>
      <c r="B457" s="10" t="inlineStr">
        <is>
          <t>894</t>
        </is>
      </c>
      <c r="C457" s="10" t="inlineStr">
        <is>
          <t>597</t>
        </is>
      </c>
      <c r="D457" s="10" t="inlineStr">
        <is>
          <t>598</t>
        </is>
      </c>
      <c r="E457" s="35" t="n">
        <v>2.6</v>
      </c>
      <c r="F457" s="35" t="n">
        <v>11.65</v>
      </c>
      <c r="G457" s="35" t="n">
        <v>7.55</v>
      </c>
      <c r="H457" s="35" t="n">
        <v>12.5</v>
      </c>
      <c r="I457" s="10" t="inlineStr">
        <is>
          <t>500×550</t>
        </is>
      </c>
      <c r="J457" s="10" t="n">
        <v>5</v>
      </c>
      <c r="K457" s="10" t="n">
        <v>5</v>
      </c>
      <c r="L457" s="10" t="n">
        <v>8</v>
      </c>
      <c r="M457" s="10" t="inlineStr">
        <is>
          <t>Nº3 cerrado</t>
        </is>
      </c>
      <c r="N457" s="10" t="n">
        <v>2</v>
      </c>
      <c r="O457" s="35" t="n">
        <v>80</v>
      </c>
      <c r="P457" s="35" t="n">
        <v>80</v>
      </c>
      <c r="Q457" s="35" t="n">
        <v>0.4924967755773516</v>
      </c>
      <c r="R457" s="10" t="inlineStr">
        <is>
          <t>SÍ</t>
        </is>
      </c>
      <c r="S457" s="15" t="inlineStr">
        <is>
          <t>CUMPLE</t>
        </is>
      </c>
      <c r="T457" s="3" t="inlineStr">
        <is>
          <t>coordinar con planta y reanálisis global</t>
        </is>
      </c>
    </row>
    <row r="458">
      <c r="A458" s="25" t="inlineStr">
        <is>
          <t>VR2</t>
        </is>
      </c>
      <c r="B458" s="10" t="inlineStr">
        <is>
          <t>895</t>
        </is>
      </c>
      <c r="C458" s="10" t="inlineStr">
        <is>
          <t>598</t>
        </is>
      </c>
      <c r="D458" s="10" t="inlineStr">
        <is>
          <t>599</t>
        </is>
      </c>
      <c r="E458" s="35" t="n">
        <v>3.65308</v>
      </c>
      <c r="F458" s="35" t="n">
        <v>11.575</v>
      </c>
      <c r="G458" s="35" t="n">
        <v>4.425</v>
      </c>
      <c r="H458" s="35" t="n">
        <v>12.5</v>
      </c>
      <c r="I458" s="10" t="inlineStr">
        <is>
          <t>500×550</t>
        </is>
      </c>
      <c r="J458" s="10" t="n">
        <v>5</v>
      </c>
      <c r="K458" s="10" t="n">
        <v>5</v>
      </c>
      <c r="L458" s="10" t="n">
        <v>8</v>
      </c>
      <c r="M458" s="10" t="inlineStr">
        <is>
          <t>Nº3 cerrado</t>
        </is>
      </c>
      <c r="N458" s="10" t="n">
        <v>2</v>
      </c>
      <c r="O458" s="35" t="n">
        <v>100</v>
      </c>
      <c r="P458" s="35" t="n">
        <v>100</v>
      </c>
      <c r="Q458" s="35" t="n">
        <v>0.4388078050954695</v>
      </c>
      <c r="R458" s="10" t="inlineStr">
        <is>
          <t>SÍ</t>
        </is>
      </c>
      <c r="S458" s="15" t="inlineStr">
        <is>
          <t>CUMPLE</t>
        </is>
      </c>
      <c r="T458" s="3" t="inlineStr">
        <is>
          <t>coordinar con planta y reanálisis global</t>
        </is>
      </c>
    </row>
    <row r="459">
      <c r="A459" s="25" t="inlineStr">
        <is>
          <t>VR2</t>
        </is>
      </c>
      <c r="B459" s="10" t="inlineStr">
        <is>
          <t>896</t>
        </is>
      </c>
      <c r="C459" s="10" t="inlineStr">
        <is>
          <t>599</t>
        </is>
      </c>
      <c r="D459" s="10" t="inlineStr">
        <is>
          <t>600</t>
        </is>
      </c>
      <c r="E459" s="35" t="n">
        <v>2.6</v>
      </c>
      <c r="F459" s="35" t="n">
        <v>11.5</v>
      </c>
      <c r="G459" s="35" t="n">
        <v>1.3</v>
      </c>
      <c r="H459" s="35" t="n">
        <v>12.5</v>
      </c>
      <c r="I459" s="10" t="inlineStr">
        <is>
          <t>500×550</t>
        </is>
      </c>
      <c r="J459" s="10" t="n">
        <v>5</v>
      </c>
      <c r="K459" s="10" t="n">
        <v>5</v>
      </c>
      <c r="L459" s="10" t="n">
        <v>0</v>
      </c>
      <c r="M459" s="10" t="inlineStr">
        <is>
          <t>Nº3 cerrado</t>
        </is>
      </c>
      <c r="N459" s="10" t="n">
        <v>2</v>
      </c>
      <c r="O459" s="35" t="n">
        <v>120</v>
      </c>
      <c r="P459" s="35" t="n">
        <v>120</v>
      </c>
      <c r="Q459" s="35" t="n">
        <v>0.4244443270012613</v>
      </c>
      <c r="R459" s="10" t="inlineStr">
        <is>
          <t>SÍ</t>
        </is>
      </c>
      <c r="S459" s="15" t="inlineStr">
        <is>
          <t>CUMPLE</t>
        </is>
      </c>
      <c r="T459" s="3" t="inlineStr">
        <is>
          <t>coordinar con planta y reanálisis global</t>
        </is>
      </c>
    </row>
    <row r="460">
      <c r="A460" s="25" t="inlineStr">
        <is>
          <t>VR2</t>
        </is>
      </c>
      <c r="B460" s="10" t="inlineStr">
        <is>
          <t>957</t>
        </is>
      </c>
      <c r="C460" s="10" t="inlineStr">
        <is>
          <t>625</t>
        </is>
      </c>
      <c r="D460" s="10" t="inlineStr">
        <is>
          <t>626</t>
        </is>
      </c>
      <c r="E460" s="35" t="n">
        <v>2.6</v>
      </c>
      <c r="F460" s="35" t="n">
        <v>4</v>
      </c>
      <c r="G460" s="35" t="n">
        <v>34.9</v>
      </c>
      <c r="H460" s="35" t="n">
        <v>15.5</v>
      </c>
      <c r="I460" s="10" t="inlineStr">
        <is>
          <t>500×550</t>
        </is>
      </c>
      <c r="J460" s="10" t="n">
        <v>5</v>
      </c>
      <c r="K460" s="10" t="n">
        <v>5</v>
      </c>
      <c r="L460" s="10" t="n">
        <v>0</v>
      </c>
      <c r="M460" s="10" t="inlineStr">
        <is>
          <t>Nº3 cerrado</t>
        </is>
      </c>
      <c r="N460" s="10" t="n">
        <v>2</v>
      </c>
      <c r="O460" s="35" t="n">
        <v>120</v>
      </c>
      <c r="P460" s="35" t="n">
        <v>160</v>
      </c>
      <c r="Q460" s="35" t="n">
        <v>0.3747924720864595</v>
      </c>
      <c r="R460" s="10" t="inlineStr">
        <is>
          <t>SÍ</t>
        </is>
      </c>
      <c r="S460" s="15" t="inlineStr">
        <is>
          <t>CUMPLE</t>
        </is>
      </c>
      <c r="T460" s="3" t="inlineStr">
        <is>
          <t>coordinar con planta y reanálisis global</t>
        </is>
      </c>
    </row>
    <row r="461">
      <c r="A461" s="25" t="inlineStr">
        <is>
          <t>VR2</t>
        </is>
      </c>
      <c r="B461" s="10" t="inlineStr">
        <is>
          <t>958</t>
        </is>
      </c>
      <c r="C461" s="10" t="inlineStr">
        <is>
          <t>626</t>
        </is>
      </c>
      <c r="D461" s="10" t="inlineStr">
        <is>
          <t>627</t>
        </is>
      </c>
      <c r="E461" s="35" t="n">
        <v>3.65308</v>
      </c>
      <c r="F461" s="35" t="n">
        <v>3.925</v>
      </c>
      <c r="G461" s="35" t="n">
        <v>31.775</v>
      </c>
      <c r="H461" s="35" t="n">
        <v>15.5</v>
      </c>
      <c r="I461" s="10" t="inlineStr">
        <is>
          <t>500×550</t>
        </is>
      </c>
      <c r="J461" s="10" t="n">
        <v>5</v>
      </c>
      <c r="K461" s="10" t="n">
        <v>5</v>
      </c>
      <c r="L461" s="10" t="n">
        <v>8</v>
      </c>
      <c r="M461" s="10" t="inlineStr">
        <is>
          <t>Nº3 cerrado</t>
        </is>
      </c>
      <c r="N461" s="10" t="n">
        <v>2</v>
      </c>
      <c r="O461" s="35" t="n">
        <v>120</v>
      </c>
      <c r="P461" s="35" t="n">
        <v>130</v>
      </c>
      <c r="Q461" s="35" t="n">
        <v>0.3832646298319664</v>
      </c>
      <c r="R461" s="10" t="inlineStr">
        <is>
          <t>SÍ</t>
        </is>
      </c>
      <c r="S461" s="15" t="inlineStr">
        <is>
          <t>CUMPLE</t>
        </is>
      </c>
      <c r="T461" s="3" t="inlineStr">
        <is>
          <t>coordinar con planta y reanálisis global</t>
        </is>
      </c>
    </row>
    <row r="462">
      <c r="A462" s="25" t="inlineStr">
        <is>
          <t>VR2</t>
        </is>
      </c>
      <c r="B462" s="10" t="inlineStr">
        <is>
          <t>959</t>
        </is>
      </c>
      <c r="C462" s="10" t="inlineStr">
        <is>
          <t>627</t>
        </is>
      </c>
      <c r="D462" s="10" t="inlineStr">
        <is>
          <t>628</t>
        </is>
      </c>
      <c r="E462" s="35" t="n">
        <v>2.6</v>
      </c>
      <c r="F462" s="35" t="n">
        <v>3.85</v>
      </c>
      <c r="G462" s="35" t="n">
        <v>28.65</v>
      </c>
      <c r="H462" s="35" t="n">
        <v>15.5</v>
      </c>
      <c r="I462" s="10" t="inlineStr">
        <is>
          <t>500×550</t>
        </is>
      </c>
      <c r="J462" s="10" t="n">
        <v>5</v>
      </c>
      <c r="K462" s="10" t="n">
        <v>5</v>
      </c>
      <c r="L462" s="10" t="n">
        <v>8</v>
      </c>
      <c r="M462" s="10" t="inlineStr">
        <is>
          <t>Nº3 cerrado</t>
        </is>
      </c>
      <c r="N462" s="10" t="n">
        <v>2</v>
      </c>
      <c r="O462" s="35" t="n">
        <v>100</v>
      </c>
      <c r="P462" s="35" t="n">
        <v>100</v>
      </c>
      <c r="Q462" s="35" t="n">
        <v>0.4279741134724647</v>
      </c>
      <c r="R462" s="10" t="inlineStr">
        <is>
          <t>SÍ</t>
        </is>
      </c>
      <c r="S462" s="15" t="inlineStr">
        <is>
          <t>CUMPLE</t>
        </is>
      </c>
      <c r="T462" s="3" t="inlineStr">
        <is>
          <t>coordinar con planta y reanálisis global</t>
        </is>
      </c>
    </row>
    <row r="463">
      <c r="A463" s="25" t="inlineStr">
        <is>
          <t>VR2</t>
        </is>
      </c>
      <c r="B463" s="10" t="inlineStr">
        <is>
          <t>960</t>
        </is>
      </c>
      <c r="C463" s="10" t="inlineStr">
        <is>
          <t>628</t>
        </is>
      </c>
      <c r="D463" s="10" t="inlineStr">
        <is>
          <t>629</t>
        </is>
      </c>
      <c r="E463" s="35" t="n">
        <v>2.5</v>
      </c>
      <c r="F463" s="35" t="n">
        <v>3.85</v>
      </c>
      <c r="G463" s="35" t="n">
        <v>26.1</v>
      </c>
      <c r="H463" s="35" t="n">
        <v>15.5</v>
      </c>
      <c r="I463" s="10" t="inlineStr">
        <is>
          <t>500×550</t>
        </is>
      </c>
      <c r="J463" s="10" t="n">
        <v>5</v>
      </c>
      <c r="K463" s="10" t="n">
        <v>5</v>
      </c>
      <c r="L463" s="10" t="n">
        <v>0</v>
      </c>
      <c r="M463" s="10" t="inlineStr">
        <is>
          <t>Nº3 cerrado</t>
        </is>
      </c>
      <c r="N463" s="10" t="n">
        <v>2</v>
      </c>
      <c r="O463" s="35" t="n">
        <v>120</v>
      </c>
      <c r="P463" s="35" t="n">
        <v>150</v>
      </c>
      <c r="Q463" s="35" t="n">
        <v>0.3929307302996719</v>
      </c>
      <c r="R463" s="10" t="inlineStr">
        <is>
          <t>SÍ</t>
        </is>
      </c>
      <c r="S463" s="15" t="inlineStr">
        <is>
          <t>CUMPLE</t>
        </is>
      </c>
      <c r="T463" s="3" t="inlineStr">
        <is>
          <t>coordinar con planta y reanálisis global</t>
        </is>
      </c>
    </row>
    <row r="464">
      <c r="A464" s="25" t="inlineStr">
        <is>
          <t>VR2</t>
        </is>
      </c>
      <c r="B464" s="10" t="inlineStr">
        <is>
          <t>961</t>
        </is>
      </c>
      <c r="C464" s="10" t="inlineStr">
        <is>
          <t>629</t>
        </is>
      </c>
      <c r="D464" s="10" t="inlineStr">
        <is>
          <t>630</t>
        </is>
      </c>
      <c r="E464" s="35" t="n">
        <v>4.17612</v>
      </c>
      <c r="F464" s="35" t="n">
        <v>3.25</v>
      </c>
      <c r="G464" s="35" t="n">
        <v>22.85</v>
      </c>
      <c r="H464" s="35" t="n">
        <v>15.5</v>
      </c>
      <c r="I464" s="10" t="inlineStr">
        <is>
          <t>500×550</t>
        </is>
      </c>
      <c r="J464" s="10" t="n">
        <v>5</v>
      </c>
      <c r="K464" s="10" t="n">
        <v>5</v>
      </c>
      <c r="L464" s="10" t="n">
        <v>0</v>
      </c>
      <c r="M464" s="10" t="inlineStr">
        <is>
          <t>Nº3 cerrado</t>
        </is>
      </c>
      <c r="N464" s="10" t="n">
        <v>2</v>
      </c>
      <c r="O464" s="35" t="n">
        <v>120</v>
      </c>
      <c r="P464" s="35" t="n">
        <v>240</v>
      </c>
      <c r="Q464" s="35" t="n">
        <v>0.2736008857178271</v>
      </c>
      <c r="R464" s="10" t="inlineStr">
        <is>
          <t>SÍ</t>
        </is>
      </c>
      <c r="S464" s="15" t="inlineStr">
        <is>
          <t>CUMPLE</t>
        </is>
      </c>
      <c r="T464" s="3" t="inlineStr">
        <is>
          <t>coordinar con planta y reanálisis global</t>
        </is>
      </c>
    </row>
    <row r="465">
      <c r="A465" s="25" t="inlineStr">
        <is>
          <t>VR2</t>
        </is>
      </c>
      <c r="B465" s="10" t="inlineStr">
        <is>
          <t>962</t>
        </is>
      </c>
      <c r="C465" s="10" t="inlineStr">
        <is>
          <t>630</t>
        </is>
      </c>
      <c r="D465" s="10" t="inlineStr">
        <is>
          <t>631</t>
        </is>
      </c>
      <c r="E465" s="35" t="n">
        <v>2.7</v>
      </c>
      <c r="F465" s="35" t="n">
        <v>2.65</v>
      </c>
      <c r="G465" s="35" t="n">
        <v>19.5</v>
      </c>
      <c r="H465" s="35" t="n">
        <v>15.5</v>
      </c>
      <c r="I465" s="10" t="inlineStr">
        <is>
          <t>500×550</t>
        </is>
      </c>
      <c r="J465" s="10" t="n">
        <v>5</v>
      </c>
      <c r="K465" s="10" t="n">
        <v>5</v>
      </c>
      <c r="L465" s="10" t="n">
        <v>8</v>
      </c>
      <c r="M465" s="10" t="inlineStr">
        <is>
          <t>Nº3 cerrado</t>
        </is>
      </c>
      <c r="N465" s="10" t="n">
        <v>2</v>
      </c>
      <c r="O465" s="35" t="n">
        <v>90</v>
      </c>
      <c r="P465" s="35" t="n">
        <v>90</v>
      </c>
      <c r="Q465" s="35" t="n">
        <v>0.4386057899622346</v>
      </c>
      <c r="R465" s="10" t="inlineStr">
        <is>
          <t>SÍ</t>
        </is>
      </c>
      <c r="S465" s="15" t="inlineStr">
        <is>
          <t>CUMPLE</t>
        </is>
      </c>
      <c r="T465" s="3" t="inlineStr">
        <is>
          <t>coordinar con planta y reanálisis global</t>
        </is>
      </c>
    </row>
    <row r="466">
      <c r="A466" s="25" t="inlineStr">
        <is>
          <t>VR2</t>
        </is>
      </c>
      <c r="B466" s="10" t="inlineStr">
        <is>
          <t>963</t>
        </is>
      </c>
      <c r="C466" s="10" t="inlineStr">
        <is>
          <t>631</t>
        </is>
      </c>
      <c r="D466" s="10" t="inlineStr">
        <is>
          <t>632</t>
        </is>
      </c>
      <c r="E466" s="35" t="n">
        <v>2.8</v>
      </c>
      <c r="F466" s="35" t="n">
        <v>2.65</v>
      </c>
      <c r="G466" s="35" t="n">
        <v>16.75</v>
      </c>
      <c r="H466" s="35" t="n">
        <v>15.5</v>
      </c>
      <c r="I466" s="10" t="inlineStr">
        <is>
          <t>500×550</t>
        </is>
      </c>
      <c r="J466" s="10" t="n">
        <v>5</v>
      </c>
      <c r="K466" s="10" t="n">
        <v>5</v>
      </c>
      <c r="L466" s="10" t="n">
        <v>8</v>
      </c>
      <c r="M466" s="10" t="inlineStr">
        <is>
          <t>Nº3 cerrado</t>
        </is>
      </c>
      <c r="N466" s="10" t="n">
        <v>2</v>
      </c>
      <c r="O466" s="35" t="n">
        <v>100</v>
      </c>
      <c r="P466" s="35" t="n">
        <v>100</v>
      </c>
      <c r="Q466" s="35" t="n">
        <v>0.4246393901477297</v>
      </c>
      <c r="R466" s="10" t="inlineStr">
        <is>
          <t>SÍ</t>
        </is>
      </c>
      <c r="S466" s="15" t="inlineStr">
        <is>
          <t>CUMPLE</t>
        </is>
      </c>
      <c r="T466" s="3" t="inlineStr">
        <is>
          <t>coordinar con planta y reanálisis global</t>
        </is>
      </c>
    </row>
    <row r="467">
      <c r="A467" s="25" t="inlineStr">
        <is>
          <t>VR2</t>
        </is>
      </c>
      <c r="B467" s="10" t="inlineStr">
        <is>
          <t>964</t>
        </is>
      </c>
      <c r="C467" s="10" t="inlineStr">
        <is>
          <t>632</t>
        </is>
      </c>
      <c r="D467" s="10" t="inlineStr">
        <is>
          <t>633</t>
        </is>
      </c>
      <c r="E467" s="35" t="n">
        <v>4.17612</v>
      </c>
      <c r="F467" s="35" t="n">
        <v>3.25</v>
      </c>
      <c r="G467" s="35" t="n">
        <v>13.35</v>
      </c>
      <c r="H467" s="35" t="n">
        <v>15.5</v>
      </c>
      <c r="I467" s="10" t="inlineStr">
        <is>
          <t>500×550</t>
        </is>
      </c>
      <c r="J467" s="10" t="n">
        <v>5</v>
      </c>
      <c r="K467" s="10" t="n">
        <v>5</v>
      </c>
      <c r="L467" s="10" t="n">
        <v>0</v>
      </c>
      <c r="M467" s="10" t="inlineStr">
        <is>
          <t>Nº3 cerrado</t>
        </is>
      </c>
      <c r="N467" s="10" t="n">
        <v>2</v>
      </c>
      <c r="O467" s="35" t="n">
        <v>120</v>
      </c>
      <c r="P467" s="35" t="n">
        <v>240</v>
      </c>
      <c r="Q467" s="35" t="n">
        <v>0.2735748001706155</v>
      </c>
      <c r="R467" s="10" t="inlineStr">
        <is>
          <t>SÍ</t>
        </is>
      </c>
      <c r="S467" s="15" t="inlineStr">
        <is>
          <t>CUMPLE</t>
        </is>
      </c>
      <c r="T467" s="3" t="inlineStr">
        <is>
          <t>coordinar con planta y reanálisis global</t>
        </is>
      </c>
    </row>
    <row r="468">
      <c r="A468" s="25" t="inlineStr">
        <is>
          <t>VR2</t>
        </is>
      </c>
      <c r="B468" s="10" t="inlineStr">
        <is>
          <t>965</t>
        </is>
      </c>
      <c r="C468" s="10" t="inlineStr">
        <is>
          <t>633</t>
        </is>
      </c>
      <c r="D468" s="10" t="inlineStr">
        <is>
          <t>634</t>
        </is>
      </c>
      <c r="E468" s="35" t="n">
        <v>2.5</v>
      </c>
      <c r="F468" s="35" t="n">
        <v>3.85</v>
      </c>
      <c r="G468" s="35" t="n">
        <v>10.1</v>
      </c>
      <c r="H468" s="35" t="n">
        <v>15.5</v>
      </c>
      <c r="I468" s="10" t="inlineStr">
        <is>
          <t>500×550</t>
        </is>
      </c>
      <c r="J468" s="10" t="n">
        <v>5</v>
      </c>
      <c r="K468" s="10" t="n">
        <v>5</v>
      </c>
      <c r="L468" s="10" t="n">
        <v>0</v>
      </c>
      <c r="M468" s="10" t="inlineStr">
        <is>
          <t>Nº3 cerrado</t>
        </is>
      </c>
      <c r="N468" s="10" t="n">
        <v>2</v>
      </c>
      <c r="O468" s="35" t="n">
        <v>120</v>
      </c>
      <c r="P468" s="35" t="n">
        <v>150</v>
      </c>
      <c r="Q468" s="35" t="n">
        <v>0.3927661620455164</v>
      </c>
      <c r="R468" s="10" t="inlineStr">
        <is>
          <t>SÍ</t>
        </is>
      </c>
      <c r="S468" s="15" t="inlineStr">
        <is>
          <t>CUMPLE</t>
        </is>
      </c>
      <c r="T468" s="3" t="inlineStr">
        <is>
          <t>coordinar con planta y reanálisis global</t>
        </is>
      </c>
    </row>
    <row r="469">
      <c r="A469" s="25" t="inlineStr">
        <is>
          <t>VR2</t>
        </is>
      </c>
      <c r="B469" s="10" t="inlineStr">
        <is>
          <t>966</t>
        </is>
      </c>
      <c r="C469" s="10" t="inlineStr">
        <is>
          <t>634</t>
        </is>
      </c>
      <c r="D469" s="10" t="inlineStr">
        <is>
          <t>635</t>
        </is>
      </c>
      <c r="E469" s="35" t="n">
        <v>2.6</v>
      </c>
      <c r="F469" s="35" t="n">
        <v>3.85</v>
      </c>
      <c r="G469" s="35" t="n">
        <v>7.55</v>
      </c>
      <c r="H469" s="35" t="n">
        <v>15.5</v>
      </c>
      <c r="I469" s="10" t="inlineStr">
        <is>
          <t>500×550</t>
        </is>
      </c>
      <c r="J469" s="10" t="n">
        <v>5</v>
      </c>
      <c r="K469" s="10" t="n">
        <v>5</v>
      </c>
      <c r="L469" s="10" t="n">
        <v>8</v>
      </c>
      <c r="M469" s="10" t="inlineStr">
        <is>
          <t>Nº3 cerrado</t>
        </is>
      </c>
      <c r="N469" s="10" t="n">
        <v>2</v>
      </c>
      <c r="O469" s="35" t="n">
        <v>100</v>
      </c>
      <c r="P469" s="35" t="n">
        <v>100</v>
      </c>
      <c r="Q469" s="35" t="n">
        <v>0.4280865363895769</v>
      </c>
      <c r="R469" s="10" t="inlineStr">
        <is>
          <t>SÍ</t>
        </is>
      </c>
      <c r="S469" s="15" t="inlineStr">
        <is>
          <t>CUMPLE</t>
        </is>
      </c>
      <c r="T469" s="3" t="inlineStr">
        <is>
          <t>coordinar con planta y reanálisis global</t>
        </is>
      </c>
    </row>
    <row r="470">
      <c r="A470" s="25" t="inlineStr">
        <is>
          <t>VR2</t>
        </is>
      </c>
      <c r="B470" s="10" t="inlineStr">
        <is>
          <t>967</t>
        </is>
      </c>
      <c r="C470" s="10" t="inlineStr">
        <is>
          <t>635</t>
        </is>
      </c>
      <c r="D470" s="10" t="inlineStr">
        <is>
          <t>636</t>
        </is>
      </c>
      <c r="E470" s="35" t="n">
        <v>3.65308</v>
      </c>
      <c r="F470" s="35" t="n">
        <v>3.925</v>
      </c>
      <c r="G470" s="35" t="n">
        <v>4.425</v>
      </c>
      <c r="H470" s="35" t="n">
        <v>15.5</v>
      </c>
      <c r="I470" s="10" t="inlineStr">
        <is>
          <t>500×550</t>
        </is>
      </c>
      <c r="J470" s="10" t="n">
        <v>5</v>
      </c>
      <c r="K470" s="10" t="n">
        <v>5</v>
      </c>
      <c r="L470" s="10" t="n">
        <v>8</v>
      </c>
      <c r="M470" s="10" t="inlineStr">
        <is>
          <t>Nº3 cerrado</t>
        </is>
      </c>
      <c r="N470" s="10" t="n">
        <v>2</v>
      </c>
      <c r="O470" s="35" t="n">
        <v>120</v>
      </c>
      <c r="P470" s="35" t="n">
        <v>130</v>
      </c>
      <c r="Q470" s="35" t="n">
        <v>0.3830050093545217</v>
      </c>
      <c r="R470" s="10" t="inlineStr">
        <is>
          <t>SÍ</t>
        </is>
      </c>
      <c r="S470" s="15" t="inlineStr">
        <is>
          <t>CUMPLE</t>
        </is>
      </c>
      <c r="T470" s="3" t="inlineStr">
        <is>
          <t>coordinar con planta y reanálisis global</t>
        </is>
      </c>
    </row>
    <row r="471">
      <c r="A471" s="25" t="inlineStr">
        <is>
          <t>VR2</t>
        </is>
      </c>
      <c r="B471" s="10" t="inlineStr">
        <is>
          <t>968</t>
        </is>
      </c>
      <c r="C471" s="10" t="inlineStr">
        <is>
          <t>636</t>
        </is>
      </c>
      <c r="D471" s="10" t="inlineStr">
        <is>
          <t>637</t>
        </is>
      </c>
      <c r="E471" s="35" t="n">
        <v>2.6</v>
      </c>
      <c r="F471" s="35" t="n">
        <v>4</v>
      </c>
      <c r="G471" s="35" t="n">
        <v>1.3</v>
      </c>
      <c r="H471" s="35" t="n">
        <v>15.5</v>
      </c>
      <c r="I471" s="10" t="inlineStr">
        <is>
          <t>500×550</t>
        </is>
      </c>
      <c r="J471" s="10" t="n">
        <v>5</v>
      </c>
      <c r="K471" s="10" t="n">
        <v>5</v>
      </c>
      <c r="L471" s="10" t="n">
        <v>0</v>
      </c>
      <c r="M471" s="10" t="inlineStr">
        <is>
          <t>Nº3 cerrado</t>
        </is>
      </c>
      <c r="N471" s="10" t="n">
        <v>2</v>
      </c>
      <c r="O471" s="35" t="n">
        <v>120</v>
      </c>
      <c r="P471" s="35" t="n">
        <v>160</v>
      </c>
      <c r="Q471" s="35" t="n">
        <v>0.3746847190368616</v>
      </c>
      <c r="R471" s="10" t="inlineStr">
        <is>
          <t>SÍ</t>
        </is>
      </c>
      <c r="S471" s="15" t="inlineStr">
        <is>
          <t>CUMPLE</t>
        </is>
      </c>
      <c r="T471" s="3" t="inlineStr">
        <is>
          <t>coordinar con planta y reanálisis global</t>
        </is>
      </c>
    </row>
    <row r="472">
      <c r="A472" s="25" t="inlineStr">
        <is>
          <t>VR2</t>
        </is>
      </c>
      <c r="B472" s="10" t="inlineStr">
        <is>
          <t>979</t>
        </is>
      </c>
      <c r="C472" s="10" t="inlineStr">
        <is>
          <t>649</t>
        </is>
      </c>
      <c r="D472" s="10" t="inlineStr">
        <is>
          <t>650</t>
        </is>
      </c>
      <c r="E472" s="35" t="n">
        <v>2.6</v>
      </c>
      <c r="F472" s="35" t="n">
        <v>11.5</v>
      </c>
      <c r="G472" s="35" t="n">
        <v>34.9</v>
      </c>
      <c r="H472" s="35" t="n">
        <v>15.5</v>
      </c>
      <c r="I472" s="10" t="inlineStr">
        <is>
          <t>500×550</t>
        </is>
      </c>
      <c r="J472" s="10" t="n">
        <v>5</v>
      </c>
      <c r="K472" s="10" t="n">
        <v>5</v>
      </c>
      <c r="L472" s="10" t="n">
        <v>0</v>
      </c>
      <c r="M472" s="10" t="inlineStr">
        <is>
          <t>Nº3 cerrado</t>
        </is>
      </c>
      <c r="N472" s="10" t="n">
        <v>2</v>
      </c>
      <c r="O472" s="35" t="n">
        <v>120</v>
      </c>
      <c r="P472" s="35" t="n">
        <v>160</v>
      </c>
      <c r="Q472" s="35" t="n">
        <v>0.3747844426718486</v>
      </c>
      <c r="R472" s="10" t="inlineStr">
        <is>
          <t>SÍ</t>
        </is>
      </c>
      <c r="S472" s="15" t="inlineStr">
        <is>
          <t>CUMPLE</t>
        </is>
      </c>
      <c r="T472" s="3" t="inlineStr">
        <is>
          <t>coordinar con planta y reanálisis global</t>
        </is>
      </c>
    </row>
    <row r="473">
      <c r="A473" s="25" t="inlineStr">
        <is>
          <t>VR2</t>
        </is>
      </c>
      <c r="B473" s="10" t="inlineStr">
        <is>
          <t>980</t>
        </is>
      </c>
      <c r="C473" s="10" t="inlineStr">
        <is>
          <t>650</t>
        </is>
      </c>
      <c r="D473" s="10" t="inlineStr">
        <is>
          <t>651</t>
        </is>
      </c>
      <c r="E473" s="35" t="n">
        <v>3.65308</v>
      </c>
      <c r="F473" s="35" t="n">
        <v>11.575</v>
      </c>
      <c r="G473" s="35" t="n">
        <v>31.775</v>
      </c>
      <c r="H473" s="35" t="n">
        <v>15.5</v>
      </c>
      <c r="I473" s="10" t="inlineStr">
        <is>
          <t>500×550</t>
        </is>
      </c>
      <c r="J473" s="10" t="n">
        <v>5</v>
      </c>
      <c r="K473" s="10" t="n">
        <v>5</v>
      </c>
      <c r="L473" s="10" t="n">
        <v>8</v>
      </c>
      <c r="M473" s="10" t="inlineStr">
        <is>
          <t>Nº3 cerrado</t>
        </is>
      </c>
      <c r="N473" s="10" t="n">
        <v>2</v>
      </c>
      <c r="O473" s="35" t="n">
        <v>120</v>
      </c>
      <c r="P473" s="35" t="n">
        <v>130</v>
      </c>
      <c r="Q473" s="35" t="n">
        <v>0.3829602857549395</v>
      </c>
      <c r="R473" s="10" t="inlineStr">
        <is>
          <t>SÍ</t>
        </is>
      </c>
      <c r="S473" s="15" t="inlineStr">
        <is>
          <t>CUMPLE</t>
        </is>
      </c>
      <c r="T473" s="3" t="inlineStr">
        <is>
          <t>coordinar con planta y reanálisis global</t>
        </is>
      </c>
    </row>
    <row r="474">
      <c r="A474" s="25" t="inlineStr">
        <is>
          <t>VR2</t>
        </is>
      </c>
      <c r="B474" s="10" t="inlineStr">
        <is>
          <t>981</t>
        </is>
      </c>
      <c r="C474" s="10" t="inlineStr">
        <is>
          <t>651</t>
        </is>
      </c>
      <c r="D474" s="10" t="inlineStr">
        <is>
          <t>652</t>
        </is>
      </c>
      <c r="E474" s="35" t="n">
        <v>2.6</v>
      </c>
      <c r="F474" s="35" t="n">
        <v>11.65</v>
      </c>
      <c r="G474" s="35" t="n">
        <v>28.65</v>
      </c>
      <c r="H474" s="35" t="n">
        <v>15.5</v>
      </c>
      <c r="I474" s="10" t="inlineStr">
        <is>
          <t>500×550</t>
        </is>
      </c>
      <c r="J474" s="10" t="n">
        <v>5</v>
      </c>
      <c r="K474" s="10" t="n">
        <v>5</v>
      </c>
      <c r="L474" s="10" t="n">
        <v>8</v>
      </c>
      <c r="M474" s="10" t="inlineStr">
        <is>
          <t>Nº3 cerrado</t>
        </is>
      </c>
      <c r="N474" s="10" t="n">
        <v>2</v>
      </c>
      <c r="O474" s="35" t="n">
        <v>100</v>
      </c>
      <c r="P474" s="35" t="n">
        <v>100</v>
      </c>
      <c r="Q474" s="35" t="n">
        <v>0.4281911338676512</v>
      </c>
      <c r="R474" s="10" t="inlineStr">
        <is>
          <t>SÍ</t>
        </is>
      </c>
      <c r="S474" s="15" t="inlineStr">
        <is>
          <t>CUMPLE</t>
        </is>
      </c>
      <c r="T474" s="3" t="inlineStr">
        <is>
          <t>coordinar con planta y reanálisis global</t>
        </is>
      </c>
    </row>
    <row r="475">
      <c r="A475" s="25" t="inlineStr">
        <is>
          <t>VR2</t>
        </is>
      </c>
      <c r="B475" s="10" t="inlineStr">
        <is>
          <t>982</t>
        </is>
      </c>
      <c r="C475" s="10" t="inlineStr">
        <is>
          <t>652</t>
        </is>
      </c>
      <c r="D475" s="10" t="inlineStr">
        <is>
          <t>653</t>
        </is>
      </c>
      <c r="E475" s="35" t="n">
        <v>2.5</v>
      </c>
      <c r="F475" s="35" t="n">
        <v>11.65</v>
      </c>
      <c r="G475" s="35" t="n">
        <v>26.1</v>
      </c>
      <c r="H475" s="35" t="n">
        <v>15.5</v>
      </c>
      <c r="I475" s="10" t="inlineStr">
        <is>
          <t>500×550</t>
        </is>
      </c>
      <c r="J475" s="10" t="n">
        <v>5</v>
      </c>
      <c r="K475" s="10" t="n">
        <v>5</v>
      </c>
      <c r="L475" s="10" t="n">
        <v>0</v>
      </c>
      <c r="M475" s="10" t="inlineStr">
        <is>
          <t>Nº3 cerrado</t>
        </is>
      </c>
      <c r="N475" s="10" t="n">
        <v>2</v>
      </c>
      <c r="O475" s="35" t="n">
        <v>120</v>
      </c>
      <c r="P475" s="35" t="n">
        <v>150</v>
      </c>
      <c r="Q475" s="35" t="n">
        <v>0.3929640455813661</v>
      </c>
      <c r="R475" s="10" t="inlineStr">
        <is>
          <t>SÍ</t>
        </is>
      </c>
      <c r="S475" s="15" t="inlineStr">
        <is>
          <t>CUMPLE</t>
        </is>
      </c>
      <c r="T475" s="3" t="inlineStr">
        <is>
          <t>coordinar con planta y reanálisis global</t>
        </is>
      </c>
    </row>
    <row r="476">
      <c r="A476" s="25" t="inlineStr">
        <is>
          <t>VR2</t>
        </is>
      </c>
      <c r="B476" s="10" t="inlineStr">
        <is>
          <t>983</t>
        </is>
      </c>
      <c r="C476" s="10" t="inlineStr">
        <is>
          <t>653</t>
        </is>
      </c>
      <c r="D476" s="10" t="inlineStr">
        <is>
          <t>654</t>
        </is>
      </c>
      <c r="E476" s="35" t="n">
        <v>4.17612</v>
      </c>
      <c r="F476" s="35" t="n">
        <v>12.25</v>
      </c>
      <c r="G476" s="35" t="n">
        <v>22.85</v>
      </c>
      <c r="H476" s="35" t="n">
        <v>15.5</v>
      </c>
      <c r="I476" s="10" t="inlineStr">
        <is>
          <t>500×550</t>
        </is>
      </c>
      <c r="J476" s="10" t="n">
        <v>5</v>
      </c>
      <c r="K476" s="10" t="n">
        <v>5</v>
      </c>
      <c r="L476" s="10" t="n">
        <v>0</v>
      </c>
      <c r="M476" s="10" t="inlineStr">
        <is>
          <t>Nº3 cerrado</t>
        </is>
      </c>
      <c r="N476" s="10" t="n">
        <v>2</v>
      </c>
      <c r="O476" s="35" t="n">
        <v>120</v>
      </c>
      <c r="P476" s="35" t="n">
        <v>240</v>
      </c>
      <c r="Q476" s="35" t="n">
        <v>0.2735992362671702</v>
      </c>
      <c r="R476" s="10" t="inlineStr">
        <is>
          <t>SÍ</t>
        </is>
      </c>
      <c r="S476" s="15" t="inlineStr">
        <is>
          <t>CUMPLE</t>
        </is>
      </c>
      <c r="T476" s="3" t="inlineStr">
        <is>
          <t>coordinar con planta y reanálisis global</t>
        </is>
      </c>
    </row>
    <row r="477">
      <c r="A477" s="25" t="inlineStr">
        <is>
          <t>VR2</t>
        </is>
      </c>
      <c r="B477" s="10" t="inlineStr">
        <is>
          <t>984</t>
        </is>
      </c>
      <c r="C477" s="10" t="inlineStr">
        <is>
          <t>654</t>
        </is>
      </c>
      <c r="D477" s="10" t="inlineStr">
        <is>
          <t>655</t>
        </is>
      </c>
      <c r="E477" s="35" t="n">
        <v>2.7</v>
      </c>
      <c r="F477" s="35" t="n">
        <v>12.85</v>
      </c>
      <c r="G477" s="35" t="n">
        <v>19.5</v>
      </c>
      <c r="H477" s="35" t="n">
        <v>15.5</v>
      </c>
      <c r="I477" s="10" t="inlineStr">
        <is>
          <t>500×550</t>
        </is>
      </c>
      <c r="J477" s="10" t="n">
        <v>5</v>
      </c>
      <c r="K477" s="10" t="n">
        <v>5</v>
      </c>
      <c r="L477" s="10" t="n">
        <v>8</v>
      </c>
      <c r="M477" s="10" t="inlineStr">
        <is>
          <t>Nº3 cerrado</t>
        </is>
      </c>
      <c r="N477" s="10" t="n">
        <v>2</v>
      </c>
      <c r="O477" s="35" t="n">
        <v>90</v>
      </c>
      <c r="P477" s="35" t="n">
        <v>90</v>
      </c>
      <c r="Q477" s="35" t="n">
        <v>0.438605005299769</v>
      </c>
      <c r="R477" s="10" t="inlineStr">
        <is>
          <t>SÍ</t>
        </is>
      </c>
      <c r="S477" s="15" t="inlineStr">
        <is>
          <t>CUMPLE</t>
        </is>
      </c>
      <c r="T477" s="3" t="inlineStr">
        <is>
          <t>coordinar con planta y reanálisis global</t>
        </is>
      </c>
    </row>
    <row r="478">
      <c r="A478" s="25" t="inlineStr">
        <is>
          <t>VR2</t>
        </is>
      </c>
      <c r="B478" s="10" t="inlineStr">
        <is>
          <t>985</t>
        </is>
      </c>
      <c r="C478" s="10" t="inlineStr">
        <is>
          <t>655</t>
        </is>
      </c>
      <c r="D478" s="10" t="inlineStr">
        <is>
          <t>656</t>
        </is>
      </c>
      <c r="E478" s="35" t="n">
        <v>2.8</v>
      </c>
      <c r="F478" s="35" t="n">
        <v>12.85</v>
      </c>
      <c r="G478" s="35" t="n">
        <v>16.75</v>
      </c>
      <c r="H478" s="35" t="n">
        <v>15.5</v>
      </c>
      <c r="I478" s="10" t="inlineStr">
        <is>
          <t>500×550</t>
        </is>
      </c>
      <c r="J478" s="10" t="n">
        <v>5</v>
      </c>
      <c r="K478" s="10" t="n">
        <v>5</v>
      </c>
      <c r="L478" s="10" t="n">
        <v>8</v>
      </c>
      <c r="M478" s="10" t="inlineStr">
        <is>
          <t>Nº3 cerrado</t>
        </is>
      </c>
      <c r="N478" s="10" t="n">
        <v>2</v>
      </c>
      <c r="O478" s="35" t="n">
        <v>100</v>
      </c>
      <c r="P478" s="35" t="n">
        <v>100</v>
      </c>
      <c r="Q478" s="35" t="n">
        <v>0.4246438999857495</v>
      </c>
      <c r="R478" s="10" t="inlineStr">
        <is>
          <t>SÍ</t>
        </is>
      </c>
      <c r="S478" s="15" t="inlineStr">
        <is>
          <t>CUMPLE</t>
        </is>
      </c>
      <c r="T478" s="3" t="inlineStr">
        <is>
          <t>coordinar con planta y reanálisis global</t>
        </is>
      </c>
    </row>
    <row r="479">
      <c r="A479" s="25" t="inlineStr">
        <is>
          <t>VR2</t>
        </is>
      </c>
      <c r="B479" s="10" t="inlineStr">
        <is>
          <t>986</t>
        </is>
      </c>
      <c r="C479" s="10" t="inlineStr">
        <is>
          <t>656</t>
        </is>
      </c>
      <c r="D479" s="10" t="inlineStr">
        <is>
          <t>657</t>
        </is>
      </c>
      <c r="E479" s="35" t="n">
        <v>4.17612</v>
      </c>
      <c r="F479" s="35" t="n">
        <v>12.25</v>
      </c>
      <c r="G479" s="35" t="n">
        <v>13.35</v>
      </c>
      <c r="H479" s="35" t="n">
        <v>15.5</v>
      </c>
      <c r="I479" s="10" t="inlineStr">
        <is>
          <t>500×550</t>
        </is>
      </c>
      <c r="J479" s="10" t="n">
        <v>5</v>
      </c>
      <c r="K479" s="10" t="n">
        <v>5</v>
      </c>
      <c r="L479" s="10" t="n">
        <v>0</v>
      </c>
      <c r="M479" s="10" t="inlineStr">
        <is>
          <t>Nº3 cerrado</t>
        </is>
      </c>
      <c r="N479" s="10" t="n">
        <v>2</v>
      </c>
      <c r="O479" s="35" t="n">
        <v>120</v>
      </c>
      <c r="P479" s="35" t="n">
        <v>240</v>
      </c>
      <c r="Q479" s="35" t="n">
        <v>0.2735733757224424</v>
      </c>
      <c r="R479" s="10" t="inlineStr">
        <is>
          <t>SÍ</t>
        </is>
      </c>
      <c r="S479" s="15" t="inlineStr">
        <is>
          <t>CUMPLE</t>
        </is>
      </c>
      <c r="T479" s="3" t="inlineStr">
        <is>
          <t>coordinar con planta y reanálisis global</t>
        </is>
      </c>
    </row>
    <row r="480">
      <c r="A480" s="25" t="inlineStr">
        <is>
          <t>VR2</t>
        </is>
      </c>
      <c r="B480" s="10" t="inlineStr">
        <is>
          <t>987</t>
        </is>
      </c>
      <c r="C480" s="10" t="inlineStr">
        <is>
          <t>657</t>
        </is>
      </c>
      <c r="D480" s="10" t="inlineStr">
        <is>
          <t>658</t>
        </is>
      </c>
      <c r="E480" s="35" t="n">
        <v>2.5</v>
      </c>
      <c r="F480" s="35" t="n">
        <v>11.65</v>
      </c>
      <c r="G480" s="35" t="n">
        <v>10.1</v>
      </c>
      <c r="H480" s="35" t="n">
        <v>15.5</v>
      </c>
      <c r="I480" s="10" t="inlineStr">
        <is>
          <t>500×550</t>
        </is>
      </c>
      <c r="J480" s="10" t="n">
        <v>5</v>
      </c>
      <c r="K480" s="10" t="n">
        <v>5</v>
      </c>
      <c r="L480" s="10" t="n">
        <v>0</v>
      </c>
      <c r="M480" s="10" t="inlineStr">
        <is>
          <t>Nº3 cerrado</t>
        </is>
      </c>
      <c r="N480" s="10" t="n">
        <v>2</v>
      </c>
      <c r="O480" s="35" t="n">
        <v>120</v>
      </c>
      <c r="P480" s="35" t="n">
        <v>150</v>
      </c>
      <c r="Q480" s="35" t="n">
        <v>0.3927271852364715</v>
      </c>
      <c r="R480" s="10" t="inlineStr">
        <is>
          <t>SÍ</t>
        </is>
      </c>
      <c r="S480" s="15" t="inlineStr">
        <is>
          <t>CUMPLE</t>
        </is>
      </c>
      <c r="T480" s="3" t="inlineStr">
        <is>
          <t>coordinar con planta y reanálisis global</t>
        </is>
      </c>
    </row>
    <row r="481">
      <c r="A481" s="25" t="inlineStr">
        <is>
          <t>VR2</t>
        </is>
      </c>
      <c r="B481" s="10" t="inlineStr">
        <is>
          <t>988</t>
        </is>
      </c>
      <c r="C481" s="10" t="inlineStr">
        <is>
          <t>658</t>
        </is>
      </c>
      <c r="D481" s="10" t="inlineStr">
        <is>
          <t>659</t>
        </is>
      </c>
      <c r="E481" s="35" t="n">
        <v>2.6</v>
      </c>
      <c r="F481" s="35" t="n">
        <v>11.65</v>
      </c>
      <c r="G481" s="35" t="n">
        <v>7.55</v>
      </c>
      <c r="H481" s="35" t="n">
        <v>15.5</v>
      </c>
      <c r="I481" s="10" t="inlineStr">
        <is>
          <t>500×550</t>
        </is>
      </c>
      <c r="J481" s="10" t="n">
        <v>5</v>
      </c>
      <c r="K481" s="10" t="n">
        <v>5</v>
      </c>
      <c r="L481" s="10" t="n">
        <v>8</v>
      </c>
      <c r="M481" s="10" t="inlineStr">
        <is>
          <t>Nº3 cerrado</t>
        </is>
      </c>
      <c r="N481" s="10" t="n">
        <v>2</v>
      </c>
      <c r="O481" s="35" t="n">
        <v>100</v>
      </c>
      <c r="P481" s="35" t="n">
        <v>100</v>
      </c>
      <c r="Q481" s="35" t="n">
        <v>0.4278995544279728</v>
      </c>
      <c r="R481" s="10" t="inlineStr">
        <is>
          <t>SÍ</t>
        </is>
      </c>
      <c r="S481" s="15" t="inlineStr">
        <is>
          <t>CUMPLE</t>
        </is>
      </c>
      <c r="T481" s="3" t="inlineStr">
        <is>
          <t>coordinar con planta y reanálisis global</t>
        </is>
      </c>
    </row>
    <row r="482">
      <c r="A482" s="25" t="inlineStr">
        <is>
          <t>VR2</t>
        </is>
      </c>
      <c r="B482" s="10" t="inlineStr">
        <is>
          <t>989</t>
        </is>
      </c>
      <c r="C482" s="10" t="inlineStr">
        <is>
          <t>659</t>
        </is>
      </c>
      <c r="D482" s="10" t="inlineStr">
        <is>
          <t>660</t>
        </is>
      </c>
      <c r="E482" s="35" t="n">
        <v>3.65308</v>
      </c>
      <c r="F482" s="35" t="n">
        <v>11.575</v>
      </c>
      <c r="G482" s="35" t="n">
        <v>4.425</v>
      </c>
      <c r="H482" s="35" t="n">
        <v>15.5</v>
      </c>
      <c r="I482" s="10" t="inlineStr">
        <is>
          <t>500×550</t>
        </is>
      </c>
      <c r="J482" s="10" t="n">
        <v>5</v>
      </c>
      <c r="K482" s="10" t="n">
        <v>5</v>
      </c>
      <c r="L482" s="10" t="n">
        <v>8</v>
      </c>
      <c r="M482" s="10" t="inlineStr">
        <is>
          <t>Nº3 cerrado</t>
        </is>
      </c>
      <c r="N482" s="10" t="n">
        <v>2</v>
      </c>
      <c r="O482" s="35" t="n">
        <v>120</v>
      </c>
      <c r="P482" s="35" t="n">
        <v>130</v>
      </c>
      <c r="Q482" s="35" t="n">
        <v>0.3830192272577929</v>
      </c>
      <c r="R482" s="10" t="inlineStr">
        <is>
          <t>SÍ</t>
        </is>
      </c>
      <c r="S482" s="15" t="inlineStr">
        <is>
          <t>CUMPLE</t>
        </is>
      </c>
      <c r="T482" s="3" t="inlineStr">
        <is>
          <t>coordinar con planta y reanálisis global</t>
        </is>
      </c>
    </row>
    <row r="483">
      <c r="A483" s="25" t="inlineStr">
        <is>
          <t>VR2</t>
        </is>
      </c>
      <c r="B483" s="10" t="inlineStr">
        <is>
          <t>990</t>
        </is>
      </c>
      <c r="C483" s="10" t="inlineStr">
        <is>
          <t>660</t>
        </is>
      </c>
      <c r="D483" s="10" t="inlineStr">
        <is>
          <t>661</t>
        </is>
      </c>
      <c r="E483" s="35" t="n">
        <v>2.6</v>
      </c>
      <c r="F483" s="35" t="n">
        <v>11.5</v>
      </c>
      <c r="G483" s="35" t="n">
        <v>1.3</v>
      </c>
      <c r="H483" s="35" t="n">
        <v>15.5</v>
      </c>
      <c r="I483" s="10" t="inlineStr">
        <is>
          <t>500×550</t>
        </is>
      </c>
      <c r="J483" s="10" t="n">
        <v>5</v>
      </c>
      <c r="K483" s="10" t="n">
        <v>5</v>
      </c>
      <c r="L483" s="10" t="n">
        <v>0</v>
      </c>
      <c r="M483" s="10" t="inlineStr">
        <is>
          <t>Nº3 cerrado</t>
        </is>
      </c>
      <c r="N483" s="10" t="n">
        <v>2</v>
      </c>
      <c r="O483" s="35" t="n">
        <v>120</v>
      </c>
      <c r="P483" s="35" t="n">
        <v>160</v>
      </c>
      <c r="Q483" s="35" t="n">
        <v>0.3747000731738522</v>
      </c>
      <c r="R483" s="10" t="inlineStr">
        <is>
          <t>SÍ</t>
        </is>
      </c>
      <c r="S483" s="15" t="inlineStr">
        <is>
          <t>CUMPLE</t>
        </is>
      </c>
      <c r="T483" s="3" t="inlineStr">
        <is>
          <t>coordinar con planta y reanálisis global</t>
        </is>
      </c>
    </row>
    <row r="484">
      <c r="A484" s="26" t="inlineStr">
        <is>
          <t>VR3</t>
        </is>
      </c>
      <c r="B484" s="10" t="inlineStr">
        <is>
          <t>23</t>
        </is>
      </c>
      <c r="C484" s="10" t="inlineStr">
        <is>
          <t>26</t>
        </is>
      </c>
      <c r="D484" s="10" t="inlineStr">
        <is>
          <t>27</t>
        </is>
      </c>
      <c r="E484" s="35" t="n">
        <v>2.95</v>
      </c>
      <c r="F484" s="35" t="n">
        <v>7.75</v>
      </c>
      <c r="G484" s="35" t="n">
        <v>4.775</v>
      </c>
      <c r="H484" s="35" t="n">
        <v>3.5</v>
      </c>
      <c r="I484" s="10" t="inlineStr">
        <is>
          <t>500×550</t>
        </is>
      </c>
      <c r="J484" s="10" t="n">
        <v>8</v>
      </c>
      <c r="K484" s="10" t="n">
        <v>5</v>
      </c>
      <c r="L484" s="10" t="n">
        <v>8</v>
      </c>
      <c r="M484" s="10" t="inlineStr">
        <is>
          <t>Nº4 cerrado</t>
        </is>
      </c>
      <c r="N484" s="10" t="n">
        <v>2</v>
      </c>
      <c r="O484" s="35" t="n">
        <v>110</v>
      </c>
      <c r="P484" s="35" t="n">
        <v>110</v>
      </c>
      <c r="Q484" s="35" t="n">
        <v>0.5922197418278521</v>
      </c>
      <c r="R484" s="10" t="inlineStr">
        <is>
          <t>SÍ</t>
        </is>
      </c>
      <c r="S484" s="15" t="inlineStr">
        <is>
          <t>CUMPLE</t>
        </is>
      </c>
      <c r="T484" s="3" t="inlineStr">
        <is>
          <t>coordinar con planta y reanálisis global</t>
        </is>
      </c>
    </row>
    <row r="485">
      <c r="A485" s="26" t="inlineStr">
        <is>
          <t>VR3</t>
        </is>
      </c>
      <c r="B485" s="10" t="inlineStr">
        <is>
          <t>24</t>
        </is>
      </c>
      <c r="C485" s="10" t="inlineStr">
        <is>
          <t>27</t>
        </is>
      </c>
      <c r="D485" s="10" t="inlineStr">
        <is>
          <t>28</t>
        </is>
      </c>
      <c r="E485" s="35" t="n">
        <v>2.6</v>
      </c>
      <c r="F485" s="35" t="n">
        <v>7.75</v>
      </c>
      <c r="G485" s="35" t="n">
        <v>7.55</v>
      </c>
      <c r="H485" s="35" t="n">
        <v>3.5</v>
      </c>
      <c r="I485" s="10" t="inlineStr">
        <is>
          <t>500×550</t>
        </is>
      </c>
      <c r="J485" s="10" t="n">
        <v>8</v>
      </c>
      <c r="K485" s="10" t="n">
        <v>5</v>
      </c>
      <c r="L485" s="10" t="n">
        <v>0</v>
      </c>
      <c r="M485" s="10" t="inlineStr">
        <is>
          <t>Nº4 cerrado</t>
        </is>
      </c>
      <c r="N485" s="10" t="n">
        <v>2</v>
      </c>
      <c r="O485" s="35" t="n">
        <v>110</v>
      </c>
      <c r="P485" s="35" t="n">
        <v>110</v>
      </c>
      <c r="Q485" s="35" t="n">
        <v>0.6447628257558983</v>
      </c>
      <c r="R485" s="10" t="inlineStr">
        <is>
          <t>SÍ</t>
        </is>
      </c>
      <c r="S485" s="15" t="inlineStr">
        <is>
          <t>CUMPLE</t>
        </is>
      </c>
      <c r="T485" s="3" t="inlineStr">
        <is>
          <t>coordinar con planta y reanálisis global</t>
        </is>
      </c>
    </row>
    <row r="486">
      <c r="A486" s="26" t="inlineStr">
        <is>
          <t>VR3</t>
        </is>
      </c>
      <c r="B486" s="10" t="inlineStr">
        <is>
          <t>25</t>
        </is>
      </c>
      <c r="C486" s="10" t="inlineStr">
        <is>
          <t>28</t>
        </is>
      </c>
      <c r="D486" s="10" t="inlineStr">
        <is>
          <t>29</t>
        </is>
      </c>
      <c r="E486" s="35" t="n">
        <v>2.5</v>
      </c>
      <c r="F486" s="35" t="n">
        <v>7.75</v>
      </c>
      <c r="G486" s="35" t="n">
        <v>10.1</v>
      </c>
      <c r="H486" s="35" t="n">
        <v>3.5</v>
      </c>
      <c r="I486" s="10" t="inlineStr">
        <is>
          <t>500×550</t>
        </is>
      </c>
      <c r="J486" s="10" t="n">
        <v>7</v>
      </c>
      <c r="K486" s="10" t="n">
        <v>5</v>
      </c>
      <c r="L486" s="10" t="n">
        <v>0</v>
      </c>
      <c r="M486" s="10" t="inlineStr">
        <is>
          <t>Nº4 cerrado</t>
        </is>
      </c>
      <c r="N486" s="10" t="n">
        <v>4</v>
      </c>
      <c r="O486" s="35" t="n">
        <v>120</v>
      </c>
      <c r="P486" s="35" t="n">
        <v>120</v>
      </c>
      <c r="Q486" s="35" t="n">
        <v>0.8939961601562445</v>
      </c>
      <c r="R486" s="10" t="inlineStr">
        <is>
          <t>SÍ</t>
        </is>
      </c>
      <c r="S486" s="15" t="inlineStr">
        <is>
          <t>CUMPLE</t>
        </is>
      </c>
      <c r="T486" s="3" t="inlineStr">
        <is>
          <t>coordinar con planta y reanálisis global</t>
        </is>
      </c>
    </row>
    <row r="487">
      <c r="A487" s="26" t="inlineStr">
        <is>
          <t>VR3</t>
        </is>
      </c>
      <c r="B487" s="10" t="inlineStr">
        <is>
          <t>26</t>
        </is>
      </c>
      <c r="C487" s="10" t="inlineStr">
        <is>
          <t>29</t>
        </is>
      </c>
      <c r="D487" s="10" t="inlineStr">
        <is>
          <t>30</t>
        </is>
      </c>
      <c r="E487" s="35" t="n">
        <v>4</v>
      </c>
      <c r="F487" s="35" t="n">
        <v>7.75</v>
      </c>
      <c r="G487" s="35" t="n">
        <v>13.35</v>
      </c>
      <c r="H487" s="35" t="n">
        <v>3.5</v>
      </c>
      <c r="I487" s="10" t="inlineStr">
        <is>
          <t>500×550</t>
        </is>
      </c>
      <c r="J487" s="10" t="n">
        <v>6</v>
      </c>
      <c r="K487" s="10" t="n">
        <v>5</v>
      </c>
      <c r="L487" s="10" t="n">
        <v>0</v>
      </c>
      <c r="M487" s="10" t="inlineStr">
        <is>
          <t>Nº3 cerrado</t>
        </is>
      </c>
      <c r="N487" s="10" t="n">
        <v>2</v>
      </c>
      <c r="O487" s="35" t="n">
        <v>80</v>
      </c>
      <c r="P487" s="35" t="n">
        <v>80</v>
      </c>
      <c r="Q487" s="35" t="n">
        <v>0.5314231010377842</v>
      </c>
      <c r="R487" s="10" t="inlineStr">
        <is>
          <t>SÍ</t>
        </is>
      </c>
      <c r="S487" s="15" t="inlineStr">
        <is>
          <t>CUMPLE</t>
        </is>
      </c>
      <c r="T487" s="3" t="inlineStr">
        <is>
          <t>coordinar con planta y reanálisis global</t>
        </is>
      </c>
    </row>
    <row r="488">
      <c r="A488" s="26" t="inlineStr">
        <is>
          <t>VR3</t>
        </is>
      </c>
      <c r="B488" s="10" t="inlineStr">
        <is>
          <t>27</t>
        </is>
      </c>
      <c r="C488" s="10" t="inlineStr">
        <is>
          <t>30</t>
        </is>
      </c>
      <c r="D488" s="10" t="inlineStr">
        <is>
          <t>31</t>
        </is>
      </c>
      <c r="E488" s="35" t="n">
        <v>2.8</v>
      </c>
      <c r="F488" s="35" t="n">
        <v>7.75</v>
      </c>
      <c r="G488" s="35" t="n">
        <v>16.75</v>
      </c>
      <c r="H488" s="35" t="n">
        <v>3.5</v>
      </c>
      <c r="I488" s="10" t="inlineStr">
        <is>
          <t>500×550</t>
        </is>
      </c>
      <c r="J488" s="10" t="n">
        <v>5</v>
      </c>
      <c r="K488" s="10" t="n">
        <v>5</v>
      </c>
      <c r="L488" s="10" t="n">
        <v>0</v>
      </c>
      <c r="M488" s="10" t="inlineStr">
        <is>
          <t>Nº3 cerrado</t>
        </is>
      </c>
      <c r="N488" s="10" t="n">
        <v>2</v>
      </c>
      <c r="O488" s="35" t="n">
        <v>120</v>
      </c>
      <c r="P488" s="35" t="n">
        <v>120</v>
      </c>
      <c r="Q488" s="35" t="n">
        <v>0.4171359360148584</v>
      </c>
      <c r="R488" s="10" t="inlineStr">
        <is>
          <t>SÍ</t>
        </is>
      </c>
      <c r="S488" s="15" t="inlineStr">
        <is>
          <t>CUMPLE</t>
        </is>
      </c>
      <c r="T488" s="3" t="inlineStr">
        <is>
          <t>coordinar con planta y reanálisis global</t>
        </is>
      </c>
    </row>
    <row r="489">
      <c r="A489" s="26" t="inlineStr">
        <is>
          <t>VR3</t>
        </is>
      </c>
      <c r="B489" s="10" t="inlineStr">
        <is>
          <t>28</t>
        </is>
      </c>
      <c r="C489" s="10" t="inlineStr">
        <is>
          <t>31</t>
        </is>
      </c>
      <c r="D489" s="10" t="inlineStr">
        <is>
          <t>32</t>
        </is>
      </c>
      <c r="E489" s="35" t="n">
        <v>2.7</v>
      </c>
      <c r="F489" s="35" t="n">
        <v>7.75</v>
      </c>
      <c r="G489" s="35" t="n">
        <v>19.5</v>
      </c>
      <c r="H489" s="35" t="n">
        <v>3.5</v>
      </c>
      <c r="I489" s="10" t="inlineStr">
        <is>
          <t>500×550</t>
        </is>
      </c>
      <c r="J489" s="10" t="n">
        <v>5</v>
      </c>
      <c r="K489" s="10" t="n">
        <v>5</v>
      </c>
      <c r="L489" s="10" t="n">
        <v>0</v>
      </c>
      <c r="M489" s="10" t="inlineStr">
        <is>
          <t>Nº3 cerrado</t>
        </is>
      </c>
      <c r="N489" s="10" t="n">
        <v>2</v>
      </c>
      <c r="O489" s="35" t="n">
        <v>120</v>
      </c>
      <c r="P489" s="35" t="n">
        <v>120</v>
      </c>
      <c r="Q489" s="35" t="n">
        <v>0.4296859072584071</v>
      </c>
      <c r="R489" s="10" t="inlineStr">
        <is>
          <t>SÍ</t>
        </is>
      </c>
      <c r="S489" s="15" t="inlineStr">
        <is>
          <t>CUMPLE</t>
        </is>
      </c>
      <c r="T489" s="3" t="inlineStr">
        <is>
          <t>coordinar con planta y reanálisis global</t>
        </is>
      </c>
    </row>
    <row r="490">
      <c r="A490" s="26" t="inlineStr">
        <is>
          <t>VR3</t>
        </is>
      </c>
      <c r="B490" s="10" t="inlineStr">
        <is>
          <t>29</t>
        </is>
      </c>
      <c r="C490" s="10" t="inlineStr">
        <is>
          <t>32</t>
        </is>
      </c>
      <c r="D490" s="10" t="inlineStr">
        <is>
          <t>33</t>
        </is>
      </c>
      <c r="E490" s="35" t="n">
        <v>4</v>
      </c>
      <c r="F490" s="35" t="n">
        <v>7.75</v>
      </c>
      <c r="G490" s="35" t="n">
        <v>22.85</v>
      </c>
      <c r="H490" s="35" t="n">
        <v>3.5</v>
      </c>
      <c r="I490" s="10" t="inlineStr">
        <is>
          <t>500×550</t>
        </is>
      </c>
      <c r="J490" s="10" t="n">
        <v>6</v>
      </c>
      <c r="K490" s="10" t="n">
        <v>5</v>
      </c>
      <c r="L490" s="10" t="n">
        <v>0</v>
      </c>
      <c r="M490" s="10" t="inlineStr">
        <is>
          <t>Nº3 cerrado</t>
        </is>
      </c>
      <c r="N490" s="10" t="n">
        <v>2</v>
      </c>
      <c r="O490" s="35" t="n">
        <v>80</v>
      </c>
      <c r="P490" s="35" t="n">
        <v>80</v>
      </c>
      <c r="Q490" s="35" t="n">
        <v>0.5314043532867355</v>
      </c>
      <c r="R490" s="10" t="inlineStr">
        <is>
          <t>SÍ</t>
        </is>
      </c>
      <c r="S490" s="15" t="inlineStr">
        <is>
          <t>CUMPLE</t>
        </is>
      </c>
      <c r="T490" s="3" t="inlineStr">
        <is>
          <t>coordinar con planta y reanálisis global</t>
        </is>
      </c>
    </row>
    <row r="491">
      <c r="A491" s="26" t="inlineStr">
        <is>
          <t>VR3</t>
        </is>
      </c>
      <c r="B491" s="10" t="inlineStr">
        <is>
          <t>30</t>
        </is>
      </c>
      <c r="C491" s="10" t="inlineStr">
        <is>
          <t>33</t>
        </is>
      </c>
      <c r="D491" s="10" t="inlineStr">
        <is>
          <t>34</t>
        </is>
      </c>
      <c r="E491" s="35" t="n">
        <v>2.5</v>
      </c>
      <c r="F491" s="35" t="n">
        <v>7.75</v>
      </c>
      <c r="G491" s="35" t="n">
        <v>26.1</v>
      </c>
      <c r="H491" s="35" t="n">
        <v>3.5</v>
      </c>
      <c r="I491" s="10" t="inlineStr">
        <is>
          <t>500×550</t>
        </is>
      </c>
      <c r="J491" s="10" t="n">
        <v>7</v>
      </c>
      <c r="K491" s="10" t="n">
        <v>5</v>
      </c>
      <c r="L491" s="10" t="n">
        <v>0</v>
      </c>
      <c r="M491" s="10" t="inlineStr">
        <is>
          <t>Nº4 cerrado</t>
        </is>
      </c>
      <c r="N491" s="10" t="n">
        <v>4</v>
      </c>
      <c r="O491" s="35" t="n">
        <v>120</v>
      </c>
      <c r="P491" s="35" t="n">
        <v>120</v>
      </c>
      <c r="Q491" s="35" t="n">
        <v>0.8940937165537042</v>
      </c>
      <c r="R491" s="10" t="inlineStr">
        <is>
          <t>SÍ</t>
        </is>
      </c>
      <c r="S491" s="15" t="inlineStr">
        <is>
          <t>CUMPLE</t>
        </is>
      </c>
      <c r="T491" s="3" t="inlineStr">
        <is>
          <t>coordinar con planta y reanálisis global</t>
        </is>
      </c>
    </row>
    <row r="492">
      <c r="A492" s="26" t="inlineStr">
        <is>
          <t>VR3</t>
        </is>
      </c>
      <c r="B492" s="10" t="inlineStr">
        <is>
          <t>31</t>
        </is>
      </c>
      <c r="C492" s="10" t="inlineStr">
        <is>
          <t>34</t>
        </is>
      </c>
      <c r="D492" s="10" t="inlineStr">
        <is>
          <t>35</t>
        </is>
      </c>
      <c r="E492" s="35" t="n">
        <v>2.6</v>
      </c>
      <c r="F492" s="35" t="n">
        <v>7.75</v>
      </c>
      <c r="G492" s="35" t="n">
        <v>28.65</v>
      </c>
      <c r="H492" s="35" t="n">
        <v>3.5</v>
      </c>
      <c r="I492" s="10" t="inlineStr">
        <is>
          <t>500×550</t>
        </is>
      </c>
      <c r="J492" s="10" t="n">
        <v>8</v>
      </c>
      <c r="K492" s="10" t="n">
        <v>5</v>
      </c>
      <c r="L492" s="10" t="n">
        <v>0</v>
      </c>
      <c r="M492" s="10" t="inlineStr">
        <is>
          <t>Nº4 cerrado</t>
        </is>
      </c>
      <c r="N492" s="10" t="n">
        <v>2</v>
      </c>
      <c r="O492" s="35" t="n">
        <v>110</v>
      </c>
      <c r="P492" s="35" t="n">
        <v>110</v>
      </c>
      <c r="Q492" s="35" t="n">
        <v>0.6444865814867906</v>
      </c>
      <c r="R492" s="10" t="inlineStr">
        <is>
          <t>SÍ</t>
        </is>
      </c>
      <c r="S492" s="15" t="inlineStr">
        <is>
          <t>CUMPLE</t>
        </is>
      </c>
      <c r="T492" s="3" t="inlineStr">
        <is>
          <t>coordinar con planta y reanálisis global</t>
        </is>
      </c>
    </row>
    <row r="493">
      <c r="A493" s="26" t="inlineStr">
        <is>
          <t>VR3</t>
        </is>
      </c>
      <c r="B493" s="10" t="inlineStr">
        <is>
          <t>32</t>
        </is>
      </c>
      <c r="C493" s="10" t="inlineStr">
        <is>
          <t>35</t>
        </is>
      </c>
      <c r="D493" s="10" t="inlineStr">
        <is>
          <t>36</t>
        </is>
      </c>
      <c r="E493" s="35" t="n">
        <v>2.95</v>
      </c>
      <c r="F493" s="35" t="n">
        <v>7.75</v>
      </c>
      <c r="G493" s="35" t="n">
        <v>31.425</v>
      </c>
      <c r="H493" s="35" t="n">
        <v>3.5</v>
      </c>
      <c r="I493" s="10" t="inlineStr">
        <is>
          <t>500×550</t>
        </is>
      </c>
      <c r="J493" s="10" t="n">
        <v>8</v>
      </c>
      <c r="K493" s="10" t="n">
        <v>5</v>
      </c>
      <c r="L493" s="10" t="n">
        <v>0</v>
      </c>
      <c r="M493" s="10" t="inlineStr">
        <is>
          <t>Nº4 cerrado</t>
        </is>
      </c>
      <c r="N493" s="10" t="n">
        <v>2</v>
      </c>
      <c r="O493" s="35" t="n">
        <v>120</v>
      </c>
      <c r="P493" s="35" t="n">
        <v>130</v>
      </c>
      <c r="Q493" s="35" t="n">
        <v>0.5920262866473491</v>
      </c>
      <c r="R493" s="10" t="inlineStr">
        <is>
          <t>SÍ</t>
        </is>
      </c>
      <c r="S493" s="15" t="inlineStr">
        <is>
          <t>CUMPLE</t>
        </is>
      </c>
      <c r="T493" s="3" t="inlineStr">
        <is>
          <t>coordinar con planta y reanálisis global</t>
        </is>
      </c>
    </row>
    <row r="494">
      <c r="A494" s="26" t="inlineStr">
        <is>
          <t>VR3</t>
        </is>
      </c>
      <c r="B494" s="10" t="inlineStr">
        <is>
          <t>146</t>
        </is>
      </c>
      <c r="C494" s="10" t="inlineStr">
        <is>
          <t>63</t>
        </is>
      </c>
      <c r="D494" s="10" t="inlineStr">
        <is>
          <t>206</t>
        </is>
      </c>
      <c r="E494" s="35" t="n">
        <v>1.5</v>
      </c>
      <c r="F494" s="35" t="n">
        <v>7.75</v>
      </c>
      <c r="G494" s="35" t="n">
        <v>36.95</v>
      </c>
      <c r="H494" s="35" t="n">
        <v>3.5</v>
      </c>
      <c r="I494" s="10" t="inlineStr">
        <is>
          <t>500×550</t>
        </is>
      </c>
      <c r="J494" s="10" t="n">
        <v>5</v>
      </c>
      <c r="K494" s="10" t="n">
        <v>5</v>
      </c>
      <c r="L494" s="10" t="n">
        <v>16</v>
      </c>
      <c r="M494" s="10" t="inlineStr">
        <is>
          <t>Nº4 cerrado (referencia)</t>
        </is>
      </c>
      <c r="N494" s="10" t="n">
        <v>4</v>
      </c>
      <c r="O494" s="35" t="n">
        <v>80</v>
      </c>
      <c r="P494" s="35" t="n">
        <v>80</v>
      </c>
      <c r="Q494" s="35" t="n">
        <v>1.740585839534649</v>
      </c>
      <c r="R494" s="10" t="inlineStr">
        <is>
          <t>NO</t>
        </is>
      </c>
      <c r="S494" s="19" t="inlineStr">
        <is>
          <t>NO CUMPLE</t>
        </is>
      </c>
      <c r="T494" s="3" t="inlineStr">
        <is>
          <t>aumentar sección por interacción V-T; rediseñar sección/estribo; demostrar compatibilidad antes de reducir Tu</t>
        </is>
      </c>
    </row>
    <row r="495">
      <c r="A495" s="26" t="inlineStr">
        <is>
          <t>VR3</t>
        </is>
      </c>
      <c r="B495" s="10" t="inlineStr">
        <is>
          <t>151</t>
        </is>
      </c>
      <c r="C495" s="10" t="inlineStr">
        <is>
          <t>62</t>
        </is>
      </c>
      <c r="D495" s="10" t="inlineStr">
        <is>
          <t>209</t>
        </is>
      </c>
      <c r="E495" s="35" t="n">
        <v>1.5</v>
      </c>
      <c r="F495" s="35" t="n">
        <v>7.75</v>
      </c>
      <c r="G495" s="35" t="n">
        <v>-0.75</v>
      </c>
      <c r="H495" s="35" t="n">
        <v>3.5</v>
      </c>
      <c r="I495" s="10" t="inlineStr">
        <is>
          <t>500×550</t>
        </is>
      </c>
      <c r="J495" s="10" t="n">
        <v>5</v>
      </c>
      <c r="K495" s="10" t="n">
        <v>5</v>
      </c>
      <c r="L495" s="10" t="n">
        <v>16</v>
      </c>
      <c r="M495" s="10" t="inlineStr">
        <is>
          <t>Nº4 cerrado (referencia)</t>
        </is>
      </c>
      <c r="N495" s="10" t="n">
        <v>4</v>
      </c>
      <c r="O495" s="35" t="n">
        <v>80</v>
      </c>
      <c r="P495" s="35" t="n">
        <v>80</v>
      </c>
      <c r="Q495" s="35" t="n">
        <v>1.740624498346095</v>
      </c>
      <c r="R495" s="10" t="inlineStr">
        <is>
          <t>NO</t>
        </is>
      </c>
      <c r="S495" s="19" t="inlineStr">
        <is>
          <t>NO CUMPLE</t>
        </is>
      </c>
      <c r="T495" s="3" t="inlineStr">
        <is>
          <t>aumentar sección por interacción V-T; rediseñar sección/estribo; demostrar compatibilidad antes de reducir Tu</t>
        </is>
      </c>
    </row>
    <row r="496">
      <c r="A496" s="26" t="inlineStr">
        <is>
          <t>VR3</t>
        </is>
      </c>
      <c r="B496" s="10" t="inlineStr">
        <is>
          <t>156</t>
        </is>
      </c>
      <c r="C496" s="10" t="inlineStr">
        <is>
          <t>736</t>
        </is>
      </c>
      <c r="D496" s="10" t="inlineStr">
        <is>
          <t>212</t>
        </is>
      </c>
      <c r="E496" s="35" t="n">
        <v>1.5</v>
      </c>
      <c r="F496" s="35" t="n">
        <v>7.75</v>
      </c>
      <c r="G496" s="35" t="n">
        <v>-0.75</v>
      </c>
      <c r="H496" s="35" t="n">
        <v>6.5</v>
      </c>
      <c r="I496" s="10" t="inlineStr">
        <is>
          <t>500×550</t>
        </is>
      </c>
      <c r="J496" s="10" t="n">
        <v>5</v>
      </c>
      <c r="K496" s="10" t="n">
        <v>5</v>
      </c>
      <c r="L496" s="10" t="n">
        <v>16</v>
      </c>
      <c r="M496" s="10" t="inlineStr">
        <is>
          <t>Nº4 cerrado (referencia)</t>
        </is>
      </c>
      <c r="N496" s="10" t="n">
        <v>4</v>
      </c>
      <c r="O496" s="35" t="n">
        <v>80</v>
      </c>
      <c r="P496" s="35" t="n">
        <v>80</v>
      </c>
      <c r="Q496" s="35" t="n">
        <v>1.67558487600099</v>
      </c>
      <c r="R496" s="10" t="inlineStr">
        <is>
          <t>NO</t>
        </is>
      </c>
      <c r="S496" s="19" t="inlineStr">
        <is>
          <t>NO CUMPLE</t>
        </is>
      </c>
      <c r="T496" s="3" t="inlineStr">
        <is>
          <t>aumentar sección por interacción V-T; rediseñar sección/estribo; demostrar compatibilidad antes de reducir Tu</t>
        </is>
      </c>
    </row>
    <row r="497">
      <c r="A497" s="26" t="inlineStr">
        <is>
          <t>VR3</t>
        </is>
      </c>
      <c r="B497" s="10" t="inlineStr">
        <is>
          <t>161</t>
        </is>
      </c>
      <c r="C497" s="10" t="inlineStr">
        <is>
          <t>738</t>
        </is>
      </c>
      <c r="D497" s="10" t="inlineStr">
        <is>
          <t>215</t>
        </is>
      </c>
      <c r="E497" s="35" t="n">
        <v>1.5</v>
      </c>
      <c r="F497" s="35" t="n">
        <v>7.75</v>
      </c>
      <c r="G497" s="35" t="n">
        <v>-0.75</v>
      </c>
      <c r="H497" s="35" t="n">
        <v>9.5</v>
      </c>
      <c r="I497" s="10" t="inlineStr">
        <is>
          <t>500×550</t>
        </is>
      </c>
      <c r="J497" s="10" t="n">
        <v>5</v>
      </c>
      <c r="K497" s="10" t="n">
        <v>5</v>
      </c>
      <c r="L497" s="10" t="n">
        <v>12</v>
      </c>
      <c r="M497" s="10" t="inlineStr">
        <is>
          <t>Nº4 cerrado</t>
        </is>
      </c>
      <c r="N497" s="10" t="n">
        <v>4</v>
      </c>
      <c r="O497" s="35" t="n">
        <v>90</v>
      </c>
      <c r="P497" s="35" t="n">
        <v>90</v>
      </c>
      <c r="Q497" s="35" t="n">
        <v>1.385668601072978</v>
      </c>
      <c r="R497" s="10" t="inlineStr">
        <is>
          <t>SÍ</t>
        </is>
      </c>
      <c r="S497" s="19" t="inlineStr">
        <is>
          <t>NO CUMPLE</t>
        </is>
      </c>
      <c r="T497" s="3" t="inlineStr">
        <is>
          <t>aumentar sección por interacción V-T; demostrar compatibilidad antes de reducir Tu</t>
        </is>
      </c>
    </row>
    <row r="498">
      <c r="A498" s="26" t="inlineStr">
        <is>
          <t>VR3</t>
        </is>
      </c>
      <c r="B498" s="10" t="inlineStr">
        <is>
          <t>166</t>
        </is>
      </c>
      <c r="C498" s="10" t="inlineStr">
        <is>
          <t>740</t>
        </is>
      </c>
      <c r="D498" s="10" t="inlineStr">
        <is>
          <t>218</t>
        </is>
      </c>
      <c r="E498" s="35" t="n">
        <v>1.5</v>
      </c>
      <c r="F498" s="35" t="n">
        <v>7.75</v>
      </c>
      <c r="G498" s="35" t="n">
        <v>-0.75</v>
      </c>
      <c r="H498" s="35" t="n">
        <v>12.5</v>
      </c>
      <c r="I498" s="10" t="inlineStr">
        <is>
          <t>500×550</t>
        </is>
      </c>
      <c r="J498" s="10" t="n">
        <v>5</v>
      </c>
      <c r="K498" s="10" t="n">
        <v>5</v>
      </c>
      <c r="L498" s="10" t="n">
        <v>8</v>
      </c>
      <c r="M498" s="10" t="inlineStr">
        <is>
          <t>Nº4 cerrado</t>
        </is>
      </c>
      <c r="N498" s="10" t="n">
        <v>4</v>
      </c>
      <c r="O498" s="35" t="n">
        <v>110</v>
      </c>
      <c r="P498" s="35" t="n">
        <v>110</v>
      </c>
      <c r="Q498" s="35" t="n">
        <v>1.065921749372315</v>
      </c>
      <c r="R498" s="10" t="inlineStr">
        <is>
          <t>SÍ</t>
        </is>
      </c>
      <c r="S498" s="19" t="inlineStr">
        <is>
          <t>NO CUMPLE</t>
        </is>
      </c>
      <c r="T498" s="3" t="inlineStr">
        <is>
          <t>aumentar sección por interacción V-T; demostrar compatibilidad antes de reducir Tu</t>
        </is>
      </c>
    </row>
    <row r="499">
      <c r="A499" s="26" t="inlineStr">
        <is>
          <t>VR3</t>
        </is>
      </c>
      <c r="B499" s="10" t="inlineStr">
        <is>
          <t>171</t>
        </is>
      </c>
      <c r="C499" s="10" t="inlineStr">
        <is>
          <t>742</t>
        </is>
      </c>
      <c r="D499" s="10" t="inlineStr">
        <is>
          <t>221</t>
        </is>
      </c>
      <c r="E499" s="35" t="n">
        <v>1.5</v>
      </c>
      <c r="F499" s="35" t="n">
        <v>7.75</v>
      </c>
      <c r="G499" s="35" t="n">
        <v>-0.75</v>
      </c>
      <c r="H499" s="35" t="n">
        <v>15.5</v>
      </c>
      <c r="I499" s="10" t="inlineStr">
        <is>
          <t>500×550</t>
        </is>
      </c>
      <c r="J499" s="10" t="n">
        <v>5</v>
      </c>
      <c r="K499" s="10" t="n">
        <v>5</v>
      </c>
      <c r="L499" s="10" t="n">
        <v>8</v>
      </c>
      <c r="M499" s="10" t="inlineStr">
        <is>
          <t>Nº3 cerrado</t>
        </is>
      </c>
      <c r="N499" s="10" t="n">
        <v>4</v>
      </c>
      <c r="O499" s="35" t="n">
        <v>80</v>
      </c>
      <c r="P499" s="35" t="n">
        <v>80</v>
      </c>
      <c r="Q499" s="35" t="n">
        <v>0.8117950157490009</v>
      </c>
      <c r="R499" s="10" t="inlineStr">
        <is>
          <t>SÍ</t>
        </is>
      </c>
      <c r="S499" s="15" t="inlineStr">
        <is>
          <t>CUMPLE</t>
        </is>
      </c>
      <c r="T499" s="3" t="inlineStr">
        <is>
          <t>coordinar con planta y reanálisis global</t>
        </is>
      </c>
    </row>
    <row r="500">
      <c r="A500" s="26" t="inlineStr">
        <is>
          <t>VR3</t>
        </is>
      </c>
      <c r="B500" s="10" t="inlineStr">
        <is>
          <t>176</t>
        </is>
      </c>
      <c r="C500" s="10" t="inlineStr">
        <is>
          <t>737</t>
        </is>
      </c>
      <c r="D500" s="10" t="inlineStr">
        <is>
          <t>224</t>
        </is>
      </c>
      <c r="E500" s="35" t="n">
        <v>1.5</v>
      </c>
      <c r="F500" s="35" t="n">
        <v>7.75</v>
      </c>
      <c r="G500" s="35" t="n">
        <v>36.95</v>
      </c>
      <c r="H500" s="35" t="n">
        <v>6.5</v>
      </c>
      <c r="I500" s="10" t="inlineStr">
        <is>
          <t>500×550</t>
        </is>
      </c>
      <c r="J500" s="10" t="n">
        <v>5</v>
      </c>
      <c r="K500" s="10" t="n">
        <v>5</v>
      </c>
      <c r="L500" s="10" t="n">
        <v>16</v>
      </c>
      <c r="M500" s="10" t="inlineStr">
        <is>
          <t>Nº4 cerrado (referencia)</t>
        </is>
      </c>
      <c r="N500" s="10" t="n">
        <v>4</v>
      </c>
      <c r="O500" s="35" t="n">
        <v>80</v>
      </c>
      <c r="P500" s="35" t="n">
        <v>80</v>
      </c>
      <c r="Q500" s="35" t="n">
        <v>1.675730779585066</v>
      </c>
      <c r="R500" s="10" t="inlineStr">
        <is>
          <t>NO</t>
        </is>
      </c>
      <c r="S500" s="19" t="inlineStr">
        <is>
          <t>NO CUMPLE</t>
        </is>
      </c>
      <c r="T500" s="3" t="inlineStr">
        <is>
          <t>aumentar sección por interacción V-T; rediseñar sección/estribo; demostrar compatibilidad antes de reducir Tu</t>
        </is>
      </c>
    </row>
    <row r="501">
      <c r="A501" s="26" t="inlineStr">
        <is>
          <t>VR3</t>
        </is>
      </c>
      <c r="B501" s="10" t="inlineStr">
        <is>
          <t>181</t>
        </is>
      </c>
      <c r="C501" s="10" t="inlineStr">
        <is>
          <t>739</t>
        </is>
      </c>
      <c r="D501" s="10" t="inlineStr">
        <is>
          <t>227</t>
        </is>
      </c>
      <c r="E501" s="35" t="n">
        <v>1.5</v>
      </c>
      <c r="F501" s="35" t="n">
        <v>7.75</v>
      </c>
      <c r="G501" s="35" t="n">
        <v>36.95</v>
      </c>
      <c r="H501" s="35" t="n">
        <v>9.5</v>
      </c>
      <c r="I501" s="10" t="inlineStr">
        <is>
          <t>500×550</t>
        </is>
      </c>
      <c r="J501" s="10" t="n">
        <v>5</v>
      </c>
      <c r="K501" s="10" t="n">
        <v>5</v>
      </c>
      <c r="L501" s="10" t="n">
        <v>12</v>
      </c>
      <c r="M501" s="10" t="inlineStr">
        <is>
          <t>Nº4 cerrado</t>
        </is>
      </c>
      <c r="N501" s="10" t="n">
        <v>4</v>
      </c>
      <c r="O501" s="35" t="n">
        <v>90</v>
      </c>
      <c r="P501" s="35" t="n">
        <v>90</v>
      </c>
      <c r="Q501" s="35" t="n">
        <v>1.385777155086015</v>
      </c>
      <c r="R501" s="10" t="inlineStr">
        <is>
          <t>SÍ</t>
        </is>
      </c>
      <c r="S501" s="19" t="inlineStr">
        <is>
          <t>NO CUMPLE</t>
        </is>
      </c>
      <c r="T501" s="3" t="inlineStr">
        <is>
          <t>aumentar sección por interacción V-T; demostrar compatibilidad antes de reducir Tu</t>
        </is>
      </c>
    </row>
    <row r="502">
      <c r="A502" s="26" t="inlineStr">
        <is>
          <t>VR3</t>
        </is>
      </c>
      <c r="B502" s="10" t="inlineStr">
        <is>
          <t>186</t>
        </is>
      </c>
      <c r="C502" s="10" t="inlineStr">
        <is>
          <t>741</t>
        </is>
      </c>
      <c r="D502" s="10" t="inlineStr">
        <is>
          <t>230</t>
        </is>
      </c>
      <c r="E502" s="35" t="n">
        <v>1.5</v>
      </c>
      <c r="F502" s="35" t="n">
        <v>7.75</v>
      </c>
      <c r="G502" s="35" t="n">
        <v>36.95</v>
      </c>
      <c r="H502" s="35" t="n">
        <v>12.5</v>
      </c>
      <c r="I502" s="10" t="inlineStr">
        <is>
          <t>500×550</t>
        </is>
      </c>
      <c r="J502" s="10" t="n">
        <v>5</v>
      </c>
      <c r="K502" s="10" t="n">
        <v>5</v>
      </c>
      <c r="L502" s="10" t="n">
        <v>8</v>
      </c>
      <c r="M502" s="10" t="inlineStr">
        <is>
          <t>Nº4 cerrado</t>
        </is>
      </c>
      <c r="N502" s="10" t="n">
        <v>4</v>
      </c>
      <c r="O502" s="35" t="n">
        <v>110</v>
      </c>
      <c r="P502" s="35" t="n">
        <v>110</v>
      </c>
      <c r="Q502" s="35" t="n">
        <v>1.065998378988385</v>
      </c>
      <c r="R502" s="10" t="inlineStr">
        <is>
          <t>SÍ</t>
        </is>
      </c>
      <c r="S502" s="19" t="inlineStr">
        <is>
          <t>NO CUMPLE</t>
        </is>
      </c>
      <c r="T502" s="3" t="inlineStr">
        <is>
          <t>aumentar sección por interacción V-T; demostrar compatibilidad antes de reducir Tu</t>
        </is>
      </c>
    </row>
    <row r="503">
      <c r="A503" s="26" t="inlineStr">
        <is>
          <t>VR3</t>
        </is>
      </c>
      <c r="B503" s="10" t="inlineStr">
        <is>
          <t>191</t>
        </is>
      </c>
      <c r="C503" s="10" t="inlineStr">
        <is>
          <t>743</t>
        </is>
      </c>
      <c r="D503" s="10" t="inlineStr">
        <is>
          <t>233</t>
        </is>
      </c>
      <c r="E503" s="35" t="n">
        <v>1.5</v>
      </c>
      <c r="F503" s="35" t="n">
        <v>7.75</v>
      </c>
      <c r="G503" s="35" t="n">
        <v>36.95</v>
      </c>
      <c r="H503" s="35" t="n">
        <v>15.5</v>
      </c>
      <c r="I503" s="10" t="inlineStr">
        <is>
          <t>500×550</t>
        </is>
      </c>
      <c r="J503" s="10" t="n">
        <v>5</v>
      </c>
      <c r="K503" s="10" t="n">
        <v>5</v>
      </c>
      <c r="L503" s="10" t="n">
        <v>8</v>
      </c>
      <c r="M503" s="10" t="inlineStr">
        <is>
          <t>Nº3 cerrado</t>
        </is>
      </c>
      <c r="N503" s="10" t="n">
        <v>4</v>
      </c>
      <c r="O503" s="35" t="n">
        <v>80</v>
      </c>
      <c r="P503" s="35" t="n">
        <v>80</v>
      </c>
      <c r="Q503" s="35" t="n">
        <v>0.8118169370057495</v>
      </c>
      <c r="R503" s="10" t="inlineStr">
        <is>
          <t>SÍ</t>
        </is>
      </c>
      <c r="S503" s="15" t="inlineStr">
        <is>
          <t>CUMPLE</t>
        </is>
      </c>
      <c r="T503" s="3" t="inlineStr">
        <is>
          <t>coordinar con planta y reanálisis global</t>
        </is>
      </c>
    </row>
    <row r="504">
      <c r="A504" s="26" t="inlineStr">
        <is>
          <t>VR3</t>
        </is>
      </c>
      <c r="B504" s="10" t="inlineStr">
        <is>
          <t>223</t>
        </is>
      </c>
      <c r="C504" s="10" t="inlineStr">
        <is>
          <t>152</t>
        </is>
      </c>
      <c r="D504" s="10" t="inlineStr">
        <is>
          <t>153</t>
        </is>
      </c>
      <c r="E504" s="35" t="n">
        <v>2.95</v>
      </c>
      <c r="F504" s="35" t="n">
        <v>7.75</v>
      </c>
      <c r="G504" s="35" t="n">
        <v>4.775</v>
      </c>
      <c r="H504" s="35" t="n">
        <v>6.5</v>
      </c>
      <c r="I504" s="10" t="inlineStr">
        <is>
          <t>500×550</t>
        </is>
      </c>
      <c r="J504" s="10" t="n">
        <v>8</v>
      </c>
      <c r="K504" s="10" t="n">
        <v>5</v>
      </c>
      <c r="L504" s="10" t="n">
        <v>0</v>
      </c>
      <c r="M504" s="10" t="inlineStr">
        <is>
          <t>Nº4 cerrado</t>
        </is>
      </c>
      <c r="N504" s="10" t="n">
        <v>2</v>
      </c>
      <c r="O504" s="35" t="n">
        <v>120</v>
      </c>
      <c r="P504" s="35" t="n">
        <v>120</v>
      </c>
      <c r="Q504" s="35" t="n">
        <v>0.5967241563880572</v>
      </c>
      <c r="R504" s="10" t="inlineStr">
        <is>
          <t>SÍ</t>
        </is>
      </c>
      <c r="S504" s="15" t="inlineStr">
        <is>
          <t>CUMPLE</t>
        </is>
      </c>
      <c r="T504" s="3" t="inlineStr">
        <is>
          <t>coordinar con planta y reanálisis global</t>
        </is>
      </c>
    </row>
    <row r="505">
      <c r="A505" s="26" t="inlineStr">
        <is>
          <t>VR3</t>
        </is>
      </c>
      <c r="B505" s="10" t="inlineStr">
        <is>
          <t>224</t>
        </is>
      </c>
      <c r="C505" s="10" t="inlineStr">
        <is>
          <t>153</t>
        </is>
      </c>
      <c r="D505" s="10" t="inlineStr">
        <is>
          <t>154</t>
        </is>
      </c>
      <c r="E505" s="35" t="n">
        <v>2.6</v>
      </c>
      <c r="F505" s="35" t="n">
        <v>7.75</v>
      </c>
      <c r="G505" s="35" t="n">
        <v>7.55</v>
      </c>
      <c r="H505" s="35" t="n">
        <v>6.5</v>
      </c>
      <c r="I505" s="10" t="inlineStr">
        <is>
          <t>500×550</t>
        </is>
      </c>
      <c r="J505" s="10" t="n">
        <v>9</v>
      </c>
      <c r="K505" s="10" t="n">
        <v>5</v>
      </c>
      <c r="L505" s="10" t="n">
        <v>0</v>
      </c>
      <c r="M505" s="10" t="inlineStr">
        <is>
          <t>Nº4 cerrado</t>
        </is>
      </c>
      <c r="N505" s="10" t="n">
        <v>2</v>
      </c>
      <c r="O505" s="35" t="n">
        <v>100</v>
      </c>
      <c r="P505" s="35" t="n">
        <v>100</v>
      </c>
      <c r="Q505" s="35" t="n">
        <v>0.6792463833028244</v>
      </c>
      <c r="R505" s="10" t="inlineStr">
        <is>
          <t>SÍ</t>
        </is>
      </c>
      <c r="S505" s="15" t="inlineStr">
        <is>
          <t>CUMPLE</t>
        </is>
      </c>
      <c r="T505" s="3" t="inlineStr">
        <is>
          <t>coordinar con planta y reanálisis global</t>
        </is>
      </c>
    </row>
    <row r="506">
      <c r="A506" s="26" t="inlineStr">
        <is>
          <t>VR3</t>
        </is>
      </c>
      <c r="B506" s="10" t="inlineStr">
        <is>
          <t>225</t>
        </is>
      </c>
      <c r="C506" s="10" t="inlineStr">
        <is>
          <t>154</t>
        </is>
      </c>
      <c r="D506" s="10" t="inlineStr">
        <is>
          <t>155</t>
        </is>
      </c>
      <c r="E506" s="35" t="n">
        <v>2.5</v>
      </c>
      <c r="F506" s="35" t="n">
        <v>7.75</v>
      </c>
      <c r="G506" s="35" t="n">
        <v>10.1</v>
      </c>
      <c r="H506" s="35" t="n">
        <v>6.5</v>
      </c>
      <c r="I506" s="10" t="inlineStr">
        <is>
          <t>500×550</t>
        </is>
      </c>
      <c r="J506" s="10" t="n">
        <v>6</v>
      </c>
      <c r="K506" s="10" t="n">
        <v>5</v>
      </c>
      <c r="L506" s="10" t="n">
        <v>0</v>
      </c>
      <c r="M506" s="10" t="inlineStr">
        <is>
          <t>Nº4 cerrado</t>
        </is>
      </c>
      <c r="N506" s="10" t="n">
        <v>2</v>
      </c>
      <c r="O506" s="35" t="n">
        <v>90</v>
      </c>
      <c r="P506" s="35" t="n">
        <v>90</v>
      </c>
      <c r="Q506" s="35" t="n">
        <v>0.7389791324405901</v>
      </c>
      <c r="R506" s="10" t="inlineStr">
        <is>
          <t>SÍ</t>
        </is>
      </c>
      <c r="S506" s="15" t="inlineStr">
        <is>
          <t>CUMPLE</t>
        </is>
      </c>
      <c r="T506" s="3" t="inlineStr">
        <is>
          <t>coordinar con planta y reanálisis global</t>
        </is>
      </c>
    </row>
    <row r="507">
      <c r="A507" s="26" t="inlineStr">
        <is>
          <t>VR3</t>
        </is>
      </c>
      <c r="B507" s="10" t="inlineStr">
        <is>
          <t>226</t>
        </is>
      </c>
      <c r="C507" s="10" t="inlineStr">
        <is>
          <t>155</t>
        </is>
      </c>
      <c r="D507" s="10" t="inlineStr">
        <is>
          <t>156</t>
        </is>
      </c>
      <c r="E507" s="35" t="n">
        <v>4</v>
      </c>
      <c r="F507" s="35" t="n">
        <v>7.75</v>
      </c>
      <c r="G507" s="35" t="n">
        <v>13.35</v>
      </c>
      <c r="H507" s="35" t="n">
        <v>6.5</v>
      </c>
      <c r="I507" s="10" t="inlineStr">
        <is>
          <t>500×550</t>
        </is>
      </c>
      <c r="J507" s="10" t="n">
        <v>6</v>
      </c>
      <c r="K507" s="10" t="n">
        <v>5</v>
      </c>
      <c r="L507" s="10" t="n">
        <v>0</v>
      </c>
      <c r="M507" s="10" t="inlineStr">
        <is>
          <t>Nº3 cerrado</t>
        </is>
      </c>
      <c r="N507" s="10" t="n">
        <v>2</v>
      </c>
      <c r="O507" s="35" t="n">
        <v>90</v>
      </c>
      <c r="P507" s="35" t="n">
        <v>90</v>
      </c>
      <c r="Q507" s="35" t="n">
        <v>0.4951300165653325</v>
      </c>
      <c r="R507" s="10" t="inlineStr">
        <is>
          <t>SÍ</t>
        </is>
      </c>
      <c r="S507" s="15" t="inlineStr">
        <is>
          <t>CUMPLE</t>
        </is>
      </c>
      <c r="T507" s="3" t="inlineStr">
        <is>
          <t>coordinar con planta y reanálisis global</t>
        </is>
      </c>
    </row>
    <row r="508">
      <c r="A508" s="26" t="inlineStr">
        <is>
          <t>VR3</t>
        </is>
      </c>
      <c r="B508" s="10" t="inlineStr">
        <is>
          <t>227</t>
        </is>
      </c>
      <c r="C508" s="10" t="inlineStr">
        <is>
          <t>156</t>
        </is>
      </c>
      <c r="D508" s="10" t="inlineStr">
        <is>
          <t>157</t>
        </is>
      </c>
      <c r="E508" s="35" t="n">
        <v>2.8</v>
      </c>
      <c r="F508" s="35" t="n">
        <v>7.75</v>
      </c>
      <c r="G508" s="35" t="n">
        <v>16.75</v>
      </c>
      <c r="H508" s="35" t="n">
        <v>6.5</v>
      </c>
      <c r="I508" s="10" t="inlineStr">
        <is>
          <t>500×550</t>
        </is>
      </c>
      <c r="J508" s="10" t="n">
        <v>5</v>
      </c>
      <c r="K508" s="10" t="n">
        <v>5</v>
      </c>
      <c r="L508" s="10" t="n">
        <v>0</v>
      </c>
      <c r="M508" s="10" t="inlineStr">
        <is>
          <t>Nº3 cerrado</t>
        </is>
      </c>
      <c r="N508" s="10" t="n">
        <v>2</v>
      </c>
      <c r="O508" s="35" t="n">
        <v>120</v>
      </c>
      <c r="P508" s="35" t="n">
        <v>130</v>
      </c>
      <c r="Q508" s="35" t="n">
        <v>0.4107434531112257</v>
      </c>
      <c r="R508" s="10" t="inlineStr">
        <is>
          <t>SÍ</t>
        </is>
      </c>
      <c r="S508" s="15" t="inlineStr">
        <is>
          <t>CUMPLE</t>
        </is>
      </c>
      <c r="T508" s="3" t="inlineStr">
        <is>
          <t>coordinar con planta y reanálisis global</t>
        </is>
      </c>
    </row>
    <row r="509">
      <c r="A509" s="26" t="inlineStr">
        <is>
          <t>VR3</t>
        </is>
      </c>
      <c r="B509" s="10" t="inlineStr">
        <is>
          <t>228</t>
        </is>
      </c>
      <c r="C509" s="10" t="inlineStr">
        <is>
          <t>157</t>
        </is>
      </c>
      <c r="D509" s="10" t="inlineStr">
        <is>
          <t>158</t>
        </is>
      </c>
      <c r="E509" s="35" t="n">
        <v>2.7</v>
      </c>
      <c r="F509" s="35" t="n">
        <v>7.75</v>
      </c>
      <c r="G509" s="35" t="n">
        <v>19.5</v>
      </c>
      <c r="H509" s="35" t="n">
        <v>6.5</v>
      </c>
      <c r="I509" s="10" t="inlineStr">
        <is>
          <t>500×550</t>
        </is>
      </c>
      <c r="J509" s="10" t="n">
        <v>5</v>
      </c>
      <c r="K509" s="10" t="n">
        <v>5</v>
      </c>
      <c r="L509" s="10" t="n">
        <v>0</v>
      </c>
      <c r="M509" s="10" t="inlineStr">
        <is>
          <t>Nº3 cerrado</t>
        </is>
      </c>
      <c r="N509" s="10" t="n">
        <v>2</v>
      </c>
      <c r="O509" s="35" t="n">
        <v>120</v>
      </c>
      <c r="P509" s="35" t="n">
        <v>120</v>
      </c>
      <c r="Q509" s="35" t="n">
        <v>0.4233356113327232</v>
      </c>
      <c r="R509" s="10" t="inlineStr">
        <is>
          <t>SÍ</t>
        </is>
      </c>
      <c r="S509" s="15" t="inlineStr">
        <is>
          <t>CUMPLE</t>
        </is>
      </c>
      <c r="T509" s="3" t="inlineStr">
        <is>
          <t>coordinar con planta y reanálisis global</t>
        </is>
      </c>
    </row>
    <row r="510">
      <c r="A510" s="26" t="inlineStr">
        <is>
          <t>VR3</t>
        </is>
      </c>
      <c r="B510" s="10" t="inlineStr">
        <is>
          <t>229</t>
        </is>
      </c>
      <c r="C510" s="10" t="inlineStr">
        <is>
          <t>158</t>
        </is>
      </c>
      <c r="D510" s="10" t="inlineStr">
        <is>
          <t>159</t>
        </is>
      </c>
      <c r="E510" s="35" t="n">
        <v>4</v>
      </c>
      <c r="F510" s="35" t="n">
        <v>7.75</v>
      </c>
      <c r="G510" s="35" t="n">
        <v>22.85</v>
      </c>
      <c r="H510" s="35" t="n">
        <v>6.5</v>
      </c>
      <c r="I510" s="10" t="inlineStr">
        <is>
          <t>500×550</t>
        </is>
      </c>
      <c r="J510" s="10" t="n">
        <v>6</v>
      </c>
      <c r="K510" s="10" t="n">
        <v>5</v>
      </c>
      <c r="L510" s="10" t="n">
        <v>0</v>
      </c>
      <c r="M510" s="10" t="inlineStr">
        <is>
          <t>Nº3 cerrado</t>
        </is>
      </c>
      <c r="N510" s="10" t="n">
        <v>2</v>
      </c>
      <c r="O510" s="35" t="n">
        <v>90</v>
      </c>
      <c r="P510" s="35" t="n">
        <v>90</v>
      </c>
      <c r="Q510" s="35" t="n">
        <v>0.4952197501551978</v>
      </c>
      <c r="R510" s="10" t="inlineStr">
        <is>
          <t>SÍ</t>
        </is>
      </c>
      <c r="S510" s="15" t="inlineStr">
        <is>
          <t>CUMPLE</t>
        </is>
      </c>
      <c r="T510" s="3" t="inlineStr">
        <is>
          <t>coordinar con planta y reanálisis global</t>
        </is>
      </c>
    </row>
    <row r="511">
      <c r="A511" s="26" t="inlineStr">
        <is>
          <t>VR3</t>
        </is>
      </c>
      <c r="B511" s="10" t="inlineStr">
        <is>
          <t>230</t>
        </is>
      </c>
      <c r="C511" s="10" t="inlineStr">
        <is>
          <t>159</t>
        </is>
      </c>
      <c r="D511" s="10" t="inlineStr">
        <is>
          <t>160</t>
        </is>
      </c>
      <c r="E511" s="35" t="n">
        <v>2.5</v>
      </c>
      <c r="F511" s="35" t="n">
        <v>7.75</v>
      </c>
      <c r="G511" s="35" t="n">
        <v>26.1</v>
      </c>
      <c r="H511" s="35" t="n">
        <v>6.5</v>
      </c>
      <c r="I511" s="10" t="inlineStr">
        <is>
          <t>500×550</t>
        </is>
      </c>
      <c r="J511" s="10" t="n">
        <v>6</v>
      </c>
      <c r="K511" s="10" t="n">
        <v>5</v>
      </c>
      <c r="L511" s="10" t="n">
        <v>0</v>
      </c>
      <c r="M511" s="10" t="inlineStr">
        <is>
          <t>Nº4 cerrado</t>
        </is>
      </c>
      <c r="N511" s="10" t="n">
        <v>2</v>
      </c>
      <c r="O511" s="35" t="n">
        <v>90</v>
      </c>
      <c r="P511" s="35" t="n">
        <v>90</v>
      </c>
      <c r="Q511" s="35" t="n">
        <v>0.7389835033035463</v>
      </c>
      <c r="R511" s="10" t="inlineStr">
        <is>
          <t>SÍ</t>
        </is>
      </c>
      <c r="S511" s="15" t="inlineStr">
        <is>
          <t>CUMPLE</t>
        </is>
      </c>
      <c r="T511" s="3" t="inlineStr">
        <is>
          <t>coordinar con planta y reanálisis global</t>
        </is>
      </c>
    </row>
    <row r="512">
      <c r="A512" s="26" t="inlineStr">
        <is>
          <t>VR3</t>
        </is>
      </c>
      <c r="B512" s="10" t="inlineStr">
        <is>
          <t>231</t>
        </is>
      </c>
      <c r="C512" s="10" t="inlineStr">
        <is>
          <t>160</t>
        </is>
      </c>
      <c r="D512" s="10" t="inlineStr">
        <is>
          <t>161</t>
        </is>
      </c>
      <c r="E512" s="35" t="n">
        <v>2.6</v>
      </c>
      <c r="F512" s="35" t="n">
        <v>7.75</v>
      </c>
      <c r="G512" s="35" t="n">
        <v>28.65</v>
      </c>
      <c r="H512" s="35" t="n">
        <v>6.5</v>
      </c>
      <c r="I512" s="10" t="inlineStr">
        <is>
          <t>500×550</t>
        </is>
      </c>
      <c r="J512" s="10" t="n">
        <v>9</v>
      </c>
      <c r="K512" s="10" t="n">
        <v>5</v>
      </c>
      <c r="L512" s="10" t="n">
        <v>0</v>
      </c>
      <c r="M512" s="10" t="inlineStr">
        <is>
          <t>Nº4 cerrado</t>
        </is>
      </c>
      <c r="N512" s="10" t="n">
        <v>2</v>
      </c>
      <c r="O512" s="35" t="n">
        <v>100</v>
      </c>
      <c r="P512" s="35" t="n">
        <v>100</v>
      </c>
      <c r="Q512" s="35" t="n">
        <v>0.6793835536354896</v>
      </c>
      <c r="R512" s="10" t="inlineStr">
        <is>
          <t>SÍ</t>
        </is>
      </c>
      <c r="S512" s="15" t="inlineStr">
        <is>
          <t>CUMPLE</t>
        </is>
      </c>
      <c r="T512" s="3" t="inlineStr">
        <is>
          <t>coordinar con planta y reanálisis global</t>
        </is>
      </c>
    </row>
    <row r="513">
      <c r="A513" s="26" t="inlineStr">
        <is>
          <t>VR3</t>
        </is>
      </c>
      <c r="B513" s="10" t="inlineStr">
        <is>
          <t>232</t>
        </is>
      </c>
      <c r="C513" s="10" t="inlineStr">
        <is>
          <t>161</t>
        </is>
      </c>
      <c r="D513" s="10" t="inlineStr">
        <is>
          <t>162</t>
        </is>
      </c>
      <c r="E513" s="35" t="n">
        <v>2.95</v>
      </c>
      <c r="F513" s="35" t="n">
        <v>7.75</v>
      </c>
      <c r="G513" s="35" t="n">
        <v>31.425</v>
      </c>
      <c r="H513" s="35" t="n">
        <v>6.5</v>
      </c>
      <c r="I513" s="10" t="inlineStr">
        <is>
          <t>500×550</t>
        </is>
      </c>
      <c r="J513" s="10" t="n">
        <v>8</v>
      </c>
      <c r="K513" s="10" t="n">
        <v>5</v>
      </c>
      <c r="L513" s="10" t="n">
        <v>0</v>
      </c>
      <c r="M513" s="10" t="inlineStr">
        <is>
          <t>Nº4 cerrado</t>
        </is>
      </c>
      <c r="N513" s="10" t="n">
        <v>2</v>
      </c>
      <c r="O513" s="35" t="n">
        <v>120</v>
      </c>
      <c r="P513" s="35" t="n">
        <v>120</v>
      </c>
      <c r="Q513" s="35" t="n">
        <v>0.5967162277321343</v>
      </c>
      <c r="R513" s="10" t="inlineStr">
        <is>
          <t>SÍ</t>
        </is>
      </c>
      <c r="S513" s="15" t="inlineStr">
        <is>
          <t>CUMPLE</t>
        </is>
      </c>
      <c r="T513" s="3" t="inlineStr">
        <is>
          <t>coordinar con planta y reanálisis global</t>
        </is>
      </c>
    </row>
    <row r="514">
      <c r="A514" s="26" t="inlineStr">
        <is>
          <t>VR3</t>
        </is>
      </c>
      <c r="B514" s="10" t="inlineStr">
        <is>
          <t>781</t>
        </is>
      </c>
      <c r="C514" s="10" t="inlineStr">
        <is>
          <t>516</t>
        </is>
      </c>
      <c r="D514" s="10" t="inlineStr">
        <is>
          <t>517</t>
        </is>
      </c>
      <c r="E514" s="35" t="n">
        <v>2.95</v>
      </c>
      <c r="F514" s="35" t="n">
        <v>7.75</v>
      </c>
      <c r="G514" s="35" t="n">
        <v>4.775</v>
      </c>
      <c r="H514" s="35" t="n">
        <v>9.5</v>
      </c>
      <c r="I514" s="10" t="inlineStr">
        <is>
          <t>500×550</t>
        </is>
      </c>
      <c r="J514" s="10" t="n">
        <v>8</v>
      </c>
      <c r="K514" s="10" t="n">
        <v>5</v>
      </c>
      <c r="L514" s="10" t="n">
        <v>0</v>
      </c>
      <c r="M514" s="10" t="inlineStr">
        <is>
          <t>Nº4 cerrado</t>
        </is>
      </c>
      <c r="N514" s="10" t="n">
        <v>2</v>
      </c>
      <c r="O514" s="35" t="n">
        <v>120</v>
      </c>
      <c r="P514" s="35" t="n">
        <v>130</v>
      </c>
      <c r="Q514" s="35" t="n">
        <v>0.5853448672353559</v>
      </c>
      <c r="R514" s="10" t="inlineStr">
        <is>
          <t>SÍ</t>
        </is>
      </c>
      <c r="S514" s="15" t="inlineStr">
        <is>
          <t>CUMPLE</t>
        </is>
      </c>
      <c r="T514" s="3" t="inlineStr">
        <is>
          <t>coordinar con planta y reanálisis global</t>
        </is>
      </c>
    </row>
    <row r="515">
      <c r="A515" s="26" t="inlineStr">
        <is>
          <t>VR3</t>
        </is>
      </c>
      <c r="B515" s="10" t="inlineStr">
        <is>
          <t>782</t>
        </is>
      </c>
      <c r="C515" s="10" t="inlineStr">
        <is>
          <t>517</t>
        </is>
      </c>
      <c r="D515" s="10" t="inlineStr">
        <is>
          <t>518</t>
        </is>
      </c>
      <c r="E515" s="35" t="n">
        <v>2.6</v>
      </c>
      <c r="F515" s="35" t="n">
        <v>7.75</v>
      </c>
      <c r="G515" s="35" t="n">
        <v>7.55</v>
      </c>
      <c r="H515" s="35" t="n">
        <v>9.5</v>
      </c>
      <c r="I515" s="10" t="inlineStr">
        <is>
          <t>500×550</t>
        </is>
      </c>
      <c r="J515" s="10" t="n">
        <v>8</v>
      </c>
      <c r="K515" s="10" t="n">
        <v>5</v>
      </c>
      <c r="L515" s="10" t="n">
        <v>0</v>
      </c>
      <c r="M515" s="10" t="inlineStr">
        <is>
          <t>Nº4 cerrado</t>
        </is>
      </c>
      <c r="N515" s="10" t="n">
        <v>2</v>
      </c>
      <c r="O515" s="35" t="n">
        <v>110</v>
      </c>
      <c r="P515" s="35" t="n">
        <v>110</v>
      </c>
      <c r="Q515" s="35" t="n">
        <v>0.6442838508945309</v>
      </c>
      <c r="R515" s="10" t="inlineStr">
        <is>
          <t>SÍ</t>
        </is>
      </c>
      <c r="S515" s="15" t="inlineStr">
        <is>
          <t>CUMPLE</t>
        </is>
      </c>
      <c r="T515" s="3" t="inlineStr">
        <is>
          <t>coordinar con planta y reanálisis global</t>
        </is>
      </c>
    </row>
    <row r="516">
      <c r="A516" s="26" t="inlineStr">
        <is>
          <t>VR3</t>
        </is>
      </c>
      <c r="B516" s="10" t="inlineStr">
        <is>
          <t>783</t>
        </is>
      </c>
      <c r="C516" s="10" t="inlineStr">
        <is>
          <t>518</t>
        </is>
      </c>
      <c r="D516" s="10" t="inlineStr">
        <is>
          <t>519</t>
        </is>
      </c>
      <c r="E516" s="35" t="n">
        <v>2.5</v>
      </c>
      <c r="F516" s="35" t="n">
        <v>7.75</v>
      </c>
      <c r="G516" s="35" t="n">
        <v>10.1</v>
      </c>
      <c r="H516" s="35" t="n">
        <v>9.5</v>
      </c>
      <c r="I516" s="10" t="inlineStr">
        <is>
          <t>500×550</t>
        </is>
      </c>
      <c r="J516" s="10" t="n">
        <v>5</v>
      </c>
      <c r="K516" s="10" t="n">
        <v>5</v>
      </c>
      <c r="L516" s="10" t="n">
        <v>0</v>
      </c>
      <c r="M516" s="10" t="inlineStr">
        <is>
          <t>Nº3 cerrado</t>
        </is>
      </c>
      <c r="N516" s="10" t="n">
        <v>2</v>
      </c>
      <c r="O516" s="35" t="n">
        <v>80</v>
      </c>
      <c r="P516" s="35" t="n">
        <v>80</v>
      </c>
      <c r="Q516" s="35" t="n">
        <v>0.53399556342659</v>
      </c>
      <c r="R516" s="10" t="inlineStr">
        <is>
          <t>SÍ</t>
        </is>
      </c>
      <c r="S516" s="15" t="inlineStr">
        <is>
          <t>CUMPLE</t>
        </is>
      </c>
      <c r="T516" s="3" t="inlineStr">
        <is>
          <t>coordinar con planta y reanálisis global</t>
        </is>
      </c>
    </row>
    <row r="517">
      <c r="A517" s="26" t="inlineStr">
        <is>
          <t>VR3</t>
        </is>
      </c>
      <c r="B517" s="10" t="inlineStr">
        <is>
          <t>784</t>
        </is>
      </c>
      <c r="C517" s="10" t="inlineStr">
        <is>
          <t>519</t>
        </is>
      </c>
      <c r="D517" s="10" t="inlineStr">
        <is>
          <t>520</t>
        </is>
      </c>
      <c r="E517" s="35" t="n">
        <v>4</v>
      </c>
      <c r="F517" s="35" t="n">
        <v>7.75</v>
      </c>
      <c r="G517" s="35" t="n">
        <v>13.35</v>
      </c>
      <c r="H517" s="35" t="n">
        <v>9.5</v>
      </c>
      <c r="I517" s="10" t="inlineStr">
        <is>
          <t>500×550</t>
        </is>
      </c>
      <c r="J517" s="10" t="n">
        <v>6</v>
      </c>
      <c r="K517" s="10" t="n">
        <v>5</v>
      </c>
      <c r="L517" s="10" t="n">
        <v>0</v>
      </c>
      <c r="M517" s="10" t="inlineStr">
        <is>
          <t>Nº3 cerrado</t>
        </is>
      </c>
      <c r="N517" s="10" t="n">
        <v>2</v>
      </c>
      <c r="O517" s="35" t="n">
        <v>120</v>
      </c>
      <c r="P517" s="35" t="n">
        <v>120</v>
      </c>
      <c r="Q517" s="35" t="n">
        <v>0.419085192507587</v>
      </c>
      <c r="R517" s="10" t="inlineStr">
        <is>
          <t>SÍ</t>
        </is>
      </c>
      <c r="S517" s="15" t="inlineStr">
        <is>
          <t>CUMPLE</t>
        </is>
      </c>
      <c r="T517" s="3" t="inlineStr">
        <is>
          <t>coordinar con planta y reanálisis global</t>
        </is>
      </c>
    </row>
    <row r="518">
      <c r="A518" s="26" t="inlineStr">
        <is>
          <t>VR3</t>
        </is>
      </c>
      <c r="B518" s="10" t="inlineStr">
        <is>
          <t>785</t>
        </is>
      </c>
      <c r="C518" s="10" t="inlineStr">
        <is>
          <t>520</t>
        </is>
      </c>
      <c r="D518" s="10" t="inlineStr">
        <is>
          <t>521</t>
        </is>
      </c>
      <c r="E518" s="35" t="n">
        <v>2.8</v>
      </c>
      <c r="F518" s="35" t="n">
        <v>7.75</v>
      </c>
      <c r="G518" s="35" t="n">
        <v>16.75</v>
      </c>
      <c r="H518" s="35" t="n">
        <v>9.5</v>
      </c>
      <c r="I518" s="10" t="inlineStr">
        <is>
          <t>500×550</t>
        </is>
      </c>
      <c r="J518" s="10" t="n">
        <v>5</v>
      </c>
      <c r="K518" s="10" t="n">
        <v>5</v>
      </c>
      <c r="L518" s="10" t="n">
        <v>0</v>
      </c>
      <c r="M518" s="10" t="inlineStr">
        <is>
          <t>Nº3 cerrado</t>
        </is>
      </c>
      <c r="N518" s="10" t="n">
        <v>2</v>
      </c>
      <c r="O518" s="35" t="n">
        <v>120</v>
      </c>
      <c r="P518" s="35" t="n">
        <v>130</v>
      </c>
      <c r="Q518" s="35" t="n">
        <v>0.4013954753668385</v>
      </c>
      <c r="R518" s="10" t="inlineStr">
        <is>
          <t>SÍ</t>
        </is>
      </c>
      <c r="S518" s="15" t="inlineStr">
        <is>
          <t>CUMPLE</t>
        </is>
      </c>
      <c r="T518" s="3" t="inlineStr">
        <is>
          <t>coordinar con planta y reanálisis global</t>
        </is>
      </c>
    </row>
    <row r="519">
      <c r="A519" s="26" t="inlineStr">
        <is>
          <t>VR3</t>
        </is>
      </c>
      <c r="B519" s="10" t="inlineStr">
        <is>
          <t>786</t>
        </is>
      </c>
      <c r="C519" s="10" t="inlineStr">
        <is>
          <t>521</t>
        </is>
      </c>
      <c r="D519" s="10" t="inlineStr">
        <is>
          <t>522</t>
        </is>
      </c>
      <c r="E519" s="35" t="n">
        <v>2.7</v>
      </c>
      <c r="F519" s="35" t="n">
        <v>7.75</v>
      </c>
      <c r="G519" s="35" t="n">
        <v>19.5</v>
      </c>
      <c r="H519" s="35" t="n">
        <v>9.5</v>
      </c>
      <c r="I519" s="10" t="inlineStr">
        <is>
          <t>500×550</t>
        </is>
      </c>
      <c r="J519" s="10" t="n">
        <v>5</v>
      </c>
      <c r="K519" s="10" t="n">
        <v>5</v>
      </c>
      <c r="L519" s="10" t="n">
        <v>0</v>
      </c>
      <c r="M519" s="10" t="inlineStr">
        <is>
          <t>Nº3 cerrado</t>
        </is>
      </c>
      <c r="N519" s="10" t="n">
        <v>2</v>
      </c>
      <c r="O519" s="35" t="n">
        <v>120</v>
      </c>
      <c r="P519" s="35" t="n">
        <v>120</v>
      </c>
      <c r="Q519" s="35" t="n">
        <v>0.4140285790821998</v>
      </c>
      <c r="R519" s="10" t="inlineStr">
        <is>
          <t>SÍ</t>
        </is>
      </c>
      <c r="S519" s="15" t="inlineStr">
        <is>
          <t>CUMPLE</t>
        </is>
      </c>
      <c r="T519" s="3" t="inlineStr">
        <is>
          <t>coordinar con planta y reanálisis global</t>
        </is>
      </c>
    </row>
    <row r="520">
      <c r="A520" s="26" t="inlineStr">
        <is>
          <t>VR3</t>
        </is>
      </c>
      <c r="B520" s="10" t="inlineStr">
        <is>
          <t>787</t>
        </is>
      </c>
      <c r="C520" s="10" t="inlineStr">
        <is>
          <t>522</t>
        </is>
      </c>
      <c r="D520" s="10" t="inlineStr">
        <is>
          <t>523</t>
        </is>
      </c>
      <c r="E520" s="35" t="n">
        <v>4</v>
      </c>
      <c r="F520" s="35" t="n">
        <v>7.75</v>
      </c>
      <c r="G520" s="35" t="n">
        <v>22.85</v>
      </c>
      <c r="H520" s="35" t="n">
        <v>9.5</v>
      </c>
      <c r="I520" s="10" t="inlineStr">
        <is>
          <t>500×550</t>
        </is>
      </c>
      <c r="J520" s="10" t="n">
        <v>6</v>
      </c>
      <c r="K520" s="10" t="n">
        <v>5</v>
      </c>
      <c r="L520" s="10" t="n">
        <v>0</v>
      </c>
      <c r="M520" s="10" t="inlineStr">
        <is>
          <t>Nº3 cerrado</t>
        </is>
      </c>
      <c r="N520" s="10" t="n">
        <v>2</v>
      </c>
      <c r="O520" s="35" t="n">
        <v>120</v>
      </c>
      <c r="P520" s="35" t="n">
        <v>120</v>
      </c>
      <c r="Q520" s="35" t="n">
        <v>0.419215611701753</v>
      </c>
      <c r="R520" s="10" t="inlineStr">
        <is>
          <t>SÍ</t>
        </is>
      </c>
      <c r="S520" s="15" t="inlineStr">
        <is>
          <t>CUMPLE</t>
        </is>
      </c>
      <c r="T520" s="3" t="inlineStr">
        <is>
          <t>coordinar con planta y reanálisis global</t>
        </is>
      </c>
    </row>
    <row r="521">
      <c r="A521" s="26" t="inlineStr">
        <is>
          <t>VR3</t>
        </is>
      </c>
      <c r="B521" s="10" t="inlineStr">
        <is>
          <t>788</t>
        </is>
      </c>
      <c r="C521" s="10" t="inlineStr">
        <is>
          <t>523</t>
        </is>
      </c>
      <c r="D521" s="10" t="inlineStr">
        <is>
          <t>524</t>
        </is>
      </c>
      <c r="E521" s="35" t="n">
        <v>2.5</v>
      </c>
      <c r="F521" s="35" t="n">
        <v>7.75</v>
      </c>
      <c r="G521" s="35" t="n">
        <v>26.1</v>
      </c>
      <c r="H521" s="35" t="n">
        <v>9.5</v>
      </c>
      <c r="I521" s="10" t="inlineStr">
        <is>
          <t>500×550</t>
        </is>
      </c>
      <c r="J521" s="10" t="n">
        <v>5</v>
      </c>
      <c r="K521" s="10" t="n">
        <v>5</v>
      </c>
      <c r="L521" s="10" t="n">
        <v>0</v>
      </c>
      <c r="M521" s="10" t="inlineStr">
        <is>
          <t>Nº3 cerrado</t>
        </is>
      </c>
      <c r="N521" s="10" t="n">
        <v>2</v>
      </c>
      <c r="O521" s="35" t="n">
        <v>80</v>
      </c>
      <c r="P521" s="35" t="n">
        <v>80</v>
      </c>
      <c r="Q521" s="35" t="n">
        <v>0.5341043576049</v>
      </c>
      <c r="R521" s="10" t="inlineStr">
        <is>
          <t>SÍ</t>
        </is>
      </c>
      <c r="S521" s="15" t="inlineStr">
        <is>
          <t>CUMPLE</t>
        </is>
      </c>
      <c r="T521" s="3" t="inlineStr">
        <is>
          <t>coordinar con planta y reanálisis global</t>
        </is>
      </c>
    </row>
    <row r="522">
      <c r="A522" s="26" t="inlineStr">
        <is>
          <t>VR3</t>
        </is>
      </c>
      <c r="B522" s="10" t="inlineStr">
        <is>
          <t>789</t>
        </is>
      </c>
      <c r="C522" s="10" t="inlineStr">
        <is>
          <t>524</t>
        </is>
      </c>
      <c r="D522" s="10" t="inlineStr">
        <is>
          <t>525</t>
        </is>
      </c>
      <c r="E522" s="35" t="n">
        <v>2.6</v>
      </c>
      <c r="F522" s="35" t="n">
        <v>7.75</v>
      </c>
      <c r="G522" s="35" t="n">
        <v>28.65</v>
      </c>
      <c r="H522" s="35" t="n">
        <v>9.5</v>
      </c>
      <c r="I522" s="10" t="inlineStr">
        <is>
          <t>500×550</t>
        </is>
      </c>
      <c r="J522" s="10" t="n">
        <v>8</v>
      </c>
      <c r="K522" s="10" t="n">
        <v>5</v>
      </c>
      <c r="L522" s="10" t="n">
        <v>0</v>
      </c>
      <c r="M522" s="10" t="inlineStr">
        <is>
          <t>Nº4 cerrado</t>
        </is>
      </c>
      <c r="N522" s="10" t="n">
        <v>2</v>
      </c>
      <c r="O522" s="35" t="n">
        <v>110</v>
      </c>
      <c r="P522" s="35" t="n">
        <v>110</v>
      </c>
      <c r="Q522" s="35" t="n">
        <v>0.6444617901145774</v>
      </c>
      <c r="R522" s="10" t="inlineStr">
        <is>
          <t>SÍ</t>
        </is>
      </c>
      <c r="S522" s="15" t="inlineStr">
        <is>
          <t>CUMPLE</t>
        </is>
      </c>
      <c r="T522" s="3" t="inlineStr">
        <is>
          <t>coordinar con planta y reanálisis global</t>
        </is>
      </c>
    </row>
    <row r="523">
      <c r="A523" s="26" t="inlineStr">
        <is>
          <t>VR3</t>
        </is>
      </c>
      <c r="B523" s="10" t="inlineStr">
        <is>
          <t>790</t>
        </is>
      </c>
      <c r="C523" s="10" t="inlineStr">
        <is>
          <t>525</t>
        </is>
      </c>
      <c r="D523" s="10" t="inlineStr">
        <is>
          <t>526</t>
        </is>
      </c>
      <c r="E523" s="35" t="n">
        <v>2.95</v>
      </c>
      <c r="F523" s="35" t="n">
        <v>7.75</v>
      </c>
      <c r="G523" s="35" t="n">
        <v>31.425</v>
      </c>
      <c r="H523" s="35" t="n">
        <v>9.5</v>
      </c>
      <c r="I523" s="10" t="inlineStr">
        <is>
          <t>500×550</t>
        </is>
      </c>
      <c r="J523" s="10" t="n">
        <v>8</v>
      </c>
      <c r="K523" s="10" t="n">
        <v>5</v>
      </c>
      <c r="L523" s="10" t="n">
        <v>0</v>
      </c>
      <c r="M523" s="10" t="inlineStr">
        <is>
          <t>Nº4 cerrado</t>
        </is>
      </c>
      <c r="N523" s="10" t="n">
        <v>2</v>
      </c>
      <c r="O523" s="35" t="n">
        <v>120</v>
      </c>
      <c r="P523" s="35" t="n">
        <v>130</v>
      </c>
      <c r="Q523" s="35" t="n">
        <v>0.5857833209259422</v>
      </c>
      <c r="R523" s="10" t="inlineStr">
        <is>
          <t>SÍ</t>
        </is>
      </c>
      <c r="S523" s="15" t="inlineStr">
        <is>
          <t>CUMPLE</t>
        </is>
      </c>
      <c r="T523" s="3" t="inlineStr">
        <is>
          <t>coordinar con planta y reanálisis global</t>
        </is>
      </c>
    </row>
    <row r="524">
      <c r="A524" s="26" t="inlineStr">
        <is>
          <t>VR3</t>
        </is>
      </c>
      <c r="B524" s="10" t="inlineStr">
        <is>
          <t>875</t>
        </is>
      </c>
      <c r="C524" s="10" t="inlineStr">
        <is>
          <t>577</t>
        </is>
      </c>
      <c r="D524" s="10" t="inlineStr">
        <is>
          <t>578</t>
        </is>
      </c>
      <c r="E524" s="35" t="n">
        <v>2.95</v>
      </c>
      <c r="F524" s="35" t="n">
        <v>7.75</v>
      </c>
      <c r="G524" s="35" t="n">
        <v>4.775</v>
      </c>
      <c r="H524" s="35" t="n">
        <v>12.5</v>
      </c>
      <c r="I524" s="10" t="inlineStr">
        <is>
          <t>500×550</t>
        </is>
      </c>
      <c r="J524" s="10" t="n">
        <v>7</v>
      </c>
      <c r="K524" s="10" t="n">
        <v>5</v>
      </c>
      <c r="L524" s="10" t="n">
        <v>0</v>
      </c>
      <c r="M524" s="10" t="inlineStr">
        <is>
          <t>Nº3 cerrado</t>
        </is>
      </c>
      <c r="N524" s="10" t="n">
        <v>2</v>
      </c>
      <c r="O524" s="35" t="n">
        <v>80</v>
      </c>
      <c r="P524" s="35" t="n">
        <v>80</v>
      </c>
      <c r="Q524" s="35" t="n">
        <v>0.5456954154704611</v>
      </c>
      <c r="R524" s="10" t="inlineStr">
        <is>
          <t>SÍ</t>
        </is>
      </c>
      <c r="S524" s="15" t="inlineStr">
        <is>
          <t>CUMPLE</t>
        </is>
      </c>
      <c r="T524" s="3" t="inlineStr">
        <is>
          <t>coordinar con planta y reanálisis global</t>
        </is>
      </c>
    </row>
    <row r="525">
      <c r="A525" s="26" t="inlineStr">
        <is>
          <t>VR3</t>
        </is>
      </c>
      <c r="B525" s="10" t="inlineStr">
        <is>
          <t>876</t>
        </is>
      </c>
      <c r="C525" s="10" t="inlineStr">
        <is>
          <t>578</t>
        </is>
      </c>
      <c r="D525" s="10" t="inlineStr">
        <is>
          <t>579</t>
        </is>
      </c>
      <c r="E525" s="35" t="n">
        <v>2.6</v>
      </c>
      <c r="F525" s="35" t="n">
        <v>7.75</v>
      </c>
      <c r="G525" s="35" t="n">
        <v>7.55</v>
      </c>
      <c r="H525" s="35" t="n">
        <v>12.5</v>
      </c>
      <c r="I525" s="10" t="inlineStr">
        <is>
          <t>500×550</t>
        </is>
      </c>
      <c r="J525" s="10" t="n">
        <v>7</v>
      </c>
      <c r="K525" s="10" t="n">
        <v>5</v>
      </c>
      <c r="L525" s="10" t="n">
        <v>0</v>
      </c>
      <c r="M525" s="10" t="inlineStr">
        <is>
          <t>Nº4 cerrado</t>
        </is>
      </c>
      <c r="N525" s="10" t="n">
        <v>2</v>
      </c>
      <c r="O525" s="35" t="n">
        <v>120</v>
      </c>
      <c r="P525" s="35" t="n">
        <v>120</v>
      </c>
      <c r="Q525" s="35" t="n">
        <v>0.6031002281972823</v>
      </c>
      <c r="R525" s="10" t="inlineStr">
        <is>
          <t>SÍ</t>
        </is>
      </c>
      <c r="S525" s="15" t="inlineStr">
        <is>
          <t>CUMPLE</t>
        </is>
      </c>
      <c r="T525" s="3" t="inlineStr">
        <is>
          <t>coordinar con planta y reanálisis global</t>
        </is>
      </c>
    </row>
    <row r="526">
      <c r="A526" s="26" t="inlineStr">
        <is>
          <t>VR3</t>
        </is>
      </c>
      <c r="B526" s="10" t="inlineStr">
        <is>
          <t>877</t>
        </is>
      </c>
      <c r="C526" s="10" t="inlineStr">
        <is>
          <t>579</t>
        </is>
      </c>
      <c r="D526" s="10" t="inlineStr">
        <is>
          <t>580</t>
        </is>
      </c>
      <c r="E526" s="35" t="n">
        <v>2.5</v>
      </c>
      <c r="F526" s="35" t="n">
        <v>7.75</v>
      </c>
      <c r="G526" s="35" t="n">
        <v>10.1</v>
      </c>
      <c r="H526" s="35" t="n">
        <v>12.5</v>
      </c>
      <c r="I526" s="10" t="inlineStr">
        <is>
          <t>500×550</t>
        </is>
      </c>
      <c r="J526" s="10" t="n">
        <v>5</v>
      </c>
      <c r="K526" s="10" t="n">
        <v>5</v>
      </c>
      <c r="L526" s="10" t="n">
        <v>0</v>
      </c>
      <c r="M526" s="10" t="inlineStr">
        <is>
          <t>Nº3 cerrado</t>
        </is>
      </c>
      <c r="N526" s="10" t="n">
        <v>2</v>
      </c>
      <c r="O526" s="35" t="n">
        <v>120</v>
      </c>
      <c r="P526" s="35" t="n">
        <v>130</v>
      </c>
      <c r="Q526" s="35" t="n">
        <v>0.4130441009804646</v>
      </c>
      <c r="R526" s="10" t="inlineStr">
        <is>
          <t>SÍ</t>
        </is>
      </c>
      <c r="S526" s="15" t="inlineStr">
        <is>
          <t>CUMPLE</t>
        </is>
      </c>
      <c r="T526" s="3" t="inlineStr">
        <is>
          <t>coordinar con planta y reanálisis global</t>
        </is>
      </c>
    </row>
    <row r="527">
      <c r="A527" s="26" t="inlineStr">
        <is>
          <t>VR3</t>
        </is>
      </c>
      <c r="B527" s="10" t="inlineStr">
        <is>
          <t>878</t>
        </is>
      </c>
      <c r="C527" s="10" t="inlineStr">
        <is>
          <t>580</t>
        </is>
      </c>
      <c r="D527" s="10" t="inlineStr">
        <is>
          <t>581</t>
        </is>
      </c>
      <c r="E527" s="35" t="n">
        <v>4</v>
      </c>
      <c r="F527" s="35" t="n">
        <v>7.75</v>
      </c>
      <c r="G527" s="35" t="n">
        <v>13.35</v>
      </c>
      <c r="H527" s="35" t="n">
        <v>12.5</v>
      </c>
      <c r="I527" s="10" t="inlineStr">
        <is>
          <t>500×550</t>
        </is>
      </c>
      <c r="J527" s="10" t="n">
        <v>5</v>
      </c>
      <c r="K527" s="10" t="n">
        <v>5</v>
      </c>
      <c r="L527" s="10" t="n">
        <v>0</v>
      </c>
      <c r="M527" s="10" t="inlineStr">
        <is>
          <t>Nº3 cerrado</t>
        </is>
      </c>
      <c r="N527" s="10" t="n">
        <v>2</v>
      </c>
      <c r="O527" s="35" t="n">
        <v>120</v>
      </c>
      <c r="P527" s="35" t="n">
        <v>230</v>
      </c>
      <c r="Q527" s="35" t="n">
        <v>0.3233002989884011</v>
      </c>
      <c r="R527" s="10" t="inlineStr">
        <is>
          <t>SÍ</t>
        </is>
      </c>
      <c r="S527" s="15" t="inlineStr">
        <is>
          <t>CUMPLE</t>
        </is>
      </c>
      <c r="T527" s="3" t="inlineStr">
        <is>
          <t>coordinar con planta y reanálisis global</t>
        </is>
      </c>
    </row>
    <row r="528">
      <c r="A528" s="26" t="inlineStr">
        <is>
          <t>VR3</t>
        </is>
      </c>
      <c r="B528" s="10" t="inlineStr">
        <is>
          <t>879</t>
        </is>
      </c>
      <c r="C528" s="10" t="inlineStr">
        <is>
          <t>581</t>
        </is>
      </c>
      <c r="D528" s="10" t="inlineStr">
        <is>
          <t>582</t>
        </is>
      </c>
      <c r="E528" s="35" t="n">
        <v>2.8</v>
      </c>
      <c r="F528" s="35" t="n">
        <v>7.75</v>
      </c>
      <c r="G528" s="35" t="n">
        <v>16.75</v>
      </c>
      <c r="H528" s="35" t="n">
        <v>12.5</v>
      </c>
      <c r="I528" s="10" t="inlineStr">
        <is>
          <t>500×550</t>
        </is>
      </c>
      <c r="J528" s="10" t="n">
        <v>5</v>
      </c>
      <c r="K528" s="10" t="n">
        <v>5</v>
      </c>
      <c r="L528" s="10" t="n">
        <v>0</v>
      </c>
      <c r="M528" s="10" t="inlineStr">
        <is>
          <t>Nº3 cerrado</t>
        </is>
      </c>
      <c r="N528" s="10" t="n">
        <v>2</v>
      </c>
      <c r="O528" s="35" t="n">
        <v>120</v>
      </c>
      <c r="P528" s="35" t="n">
        <v>140</v>
      </c>
      <c r="Q528" s="35" t="n">
        <v>0.3874032929240863</v>
      </c>
      <c r="R528" s="10" t="inlineStr">
        <is>
          <t>SÍ</t>
        </is>
      </c>
      <c r="S528" s="15" t="inlineStr">
        <is>
          <t>CUMPLE</t>
        </is>
      </c>
      <c r="T528" s="3" t="inlineStr">
        <is>
          <t>coordinar con planta y reanálisis global</t>
        </is>
      </c>
    </row>
    <row r="529">
      <c r="A529" s="26" t="inlineStr">
        <is>
          <t>VR3</t>
        </is>
      </c>
      <c r="B529" s="10" t="inlineStr">
        <is>
          <t>880</t>
        </is>
      </c>
      <c r="C529" s="10" t="inlineStr">
        <is>
          <t>582</t>
        </is>
      </c>
      <c r="D529" s="10" t="inlineStr">
        <is>
          <t>583</t>
        </is>
      </c>
      <c r="E529" s="35" t="n">
        <v>2.7</v>
      </c>
      <c r="F529" s="35" t="n">
        <v>7.75</v>
      </c>
      <c r="G529" s="35" t="n">
        <v>19.5</v>
      </c>
      <c r="H529" s="35" t="n">
        <v>12.5</v>
      </c>
      <c r="I529" s="10" t="inlineStr">
        <is>
          <t>500×550</t>
        </is>
      </c>
      <c r="J529" s="10" t="n">
        <v>5</v>
      </c>
      <c r="K529" s="10" t="n">
        <v>5</v>
      </c>
      <c r="L529" s="10" t="n">
        <v>0</v>
      </c>
      <c r="M529" s="10" t="inlineStr">
        <is>
          <t>Nº3 cerrado</t>
        </is>
      </c>
      <c r="N529" s="10" t="n">
        <v>2</v>
      </c>
      <c r="O529" s="35" t="n">
        <v>120</v>
      </c>
      <c r="P529" s="35" t="n">
        <v>130</v>
      </c>
      <c r="Q529" s="35" t="n">
        <v>0.4000835458232259</v>
      </c>
      <c r="R529" s="10" t="inlineStr">
        <is>
          <t>SÍ</t>
        </is>
      </c>
      <c r="S529" s="15" t="inlineStr">
        <is>
          <t>CUMPLE</t>
        </is>
      </c>
      <c r="T529" s="3" t="inlineStr">
        <is>
          <t>coordinar con planta y reanálisis global</t>
        </is>
      </c>
    </row>
    <row r="530">
      <c r="A530" s="26" t="inlineStr">
        <is>
          <t>VR3</t>
        </is>
      </c>
      <c r="B530" s="10" t="inlineStr">
        <is>
          <t>881</t>
        </is>
      </c>
      <c r="C530" s="10" t="inlineStr">
        <is>
          <t>583</t>
        </is>
      </c>
      <c r="D530" s="10" t="inlineStr">
        <is>
          <t>584</t>
        </is>
      </c>
      <c r="E530" s="35" t="n">
        <v>4</v>
      </c>
      <c r="F530" s="35" t="n">
        <v>7.75</v>
      </c>
      <c r="G530" s="35" t="n">
        <v>22.85</v>
      </c>
      <c r="H530" s="35" t="n">
        <v>12.5</v>
      </c>
      <c r="I530" s="10" t="inlineStr">
        <is>
          <t>500×550</t>
        </is>
      </c>
      <c r="J530" s="10" t="n">
        <v>5</v>
      </c>
      <c r="K530" s="10" t="n">
        <v>5</v>
      </c>
      <c r="L530" s="10" t="n">
        <v>0</v>
      </c>
      <c r="M530" s="10" t="inlineStr">
        <is>
          <t>Nº3 cerrado</t>
        </is>
      </c>
      <c r="N530" s="10" t="n">
        <v>2</v>
      </c>
      <c r="O530" s="35" t="n">
        <v>120</v>
      </c>
      <c r="P530" s="35" t="n">
        <v>230</v>
      </c>
      <c r="Q530" s="35" t="n">
        <v>0.3233727470202331</v>
      </c>
      <c r="R530" s="10" t="inlineStr">
        <is>
          <t>SÍ</t>
        </is>
      </c>
      <c r="S530" s="15" t="inlineStr">
        <is>
          <t>CUMPLE</t>
        </is>
      </c>
      <c r="T530" s="3" t="inlineStr">
        <is>
          <t>coordinar con planta y reanálisis global</t>
        </is>
      </c>
    </row>
    <row r="531">
      <c r="A531" s="26" t="inlineStr">
        <is>
          <t>VR3</t>
        </is>
      </c>
      <c r="B531" s="10" t="inlineStr">
        <is>
          <t>882</t>
        </is>
      </c>
      <c r="C531" s="10" t="inlineStr">
        <is>
          <t>584</t>
        </is>
      </c>
      <c r="D531" s="10" t="inlineStr">
        <is>
          <t>585</t>
        </is>
      </c>
      <c r="E531" s="35" t="n">
        <v>2.5</v>
      </c>
      <c r="F531" s="35" t="n">
        <v>7.75</v>
      </c>
      <c r="G531" s="35" t="n">
        <v>26.1</v>
      </c>
      <c r="H531" s="35" t="n">
        <v>12.5</v>
      </c>
      <c r="I531" s="10" t="inlineStr">
        <is>
          <t>500×550</t>
        </is>
      </c>
      <c r="J531" s="10" t="n">
        <v>5</v>
      </c>
      <c r="K531" s="10" t="n">
        <v>5</v>
      </c>
      <c r="L531" s="10" t="n">
        <v>0</v>
      </c>
      <c r="M531" s="10" t="inlineStr">
        <is>
          <t>Nº3 cerrado</t>
        </is>
      </c>
      <c r="N531" s="10" t="n">
        <v>2</v>
      </c>
      <c r="O531" s="35" t="n">
        <v>120</v>
      </c>
      <c r="P531" s="35" t="n">
        <v>130</v>
      </c>
      <c r="Q531" s="35" t="n">
        <v>0.4129304852030324</v>
      </c>
      <c r="R531" s="10" t="inlineStr">
        <is>
          <t>SÍ</t>
        </is>
      </c>
      <c r="S531" s="15" t="inlineStr">
        <is>
          <t>CUMPLE</t>
        </is>
      </c>
      <c r="T531" s="3" t="inlineStr">
        <is>
          <t>coordinar con planta y reanálisis global</t>
        </is>
      </c>
    </row>
    <row r="532">
      <c r="A532" s="26" t="inlineStr">
        <is>
          <t>VR3</t>
        </is>
      </c>
      <c r="B532" s="10" t="inlineStr">
        <is>
          <t>883</t>
        </is>
      </c>
      <c r="C532" s="10" t="inlineStr">
        <is>
          <t>585</t>
        </is>
      </c>
      <c r="D532" s="10" t="inlineStr">
        <is>
          <t>586</t>
        </is>
      </c>
      <c r="E532" s="35" t="n">
        <v>2.6</v>
      </c>
      <c r="F532" s="35" t="n">
        <v>7.75</v>
      </c>
      <c r="G532" s="35" t="n">
        <v>28.65</v>
      </c>
      <c r="H532" s="35" t="n">
        <v>12.5</v>
      </c>
      <c r="I532" s="10" t="inlineStr">
        <is>
          <t>500×550</t>
        </is>
      </c>
      <c r="J532" s="10" t="n">
        <v>7</v>
      </c>
      <c r="K532" s="10" t="n">
        <v>5</v>
      </c>
      <c r="L532" s="10" t="n">
        <v>0</v>
      </c>
      <c r="M532" s="10" t="inlineStr">
        <is>
          <t>Nº4 cerrado</t>
        </is>
      </c>
      <c r="N532" s="10" t="n">
        <v>2</v>
      </c>
      <c r="O532" s="35" t="n">
        <v>120</v>
      </c>
      <c r="P532" s="35" t="n">
        <v>120</v>
      </c>
      <c r="Q532" s="35" t="n">
        <v>0.6036343763134809</v>
      </c>
      <c r="R532" s="10" t="inlineStr">
        <is>
          <t>SÍ</t>
        </is>
      </c>
      <c r="S532" s="15" t="inlineStr">
        <is>
          <t>CUMPLE</t>
        </is>
      </c>
      <c r="T532" s="3" t="inlineStr">
        <is>
          <t>coordinar con planta y reanálisis global</t>
        </is>
      </c>
    </row>
    <row r="533">
      <c r="A533" s="26" t="inlineStr">
        <is>
          <t>VR3</t>
        </is>
      </c>
      <c r="B533" s="10" t="inlineStr">
        <is>
          <t>884</t>
        </is>
      </c>
      <c r="C533" s="10" t="inlineStr">
        <is>
          <t>586</t>
        </is>
      </c>
      <c r="D533" s="10" t="inlineStr">
        <is>
          <t>587</t>
        </is>
      </c>
      <c r="E533" s="35" t="n">
        <v>2.95</v>
      </c>
      <c r="F533" s="35" t="n">
        <v>7.75</v>
      </c>
      <c r="G533" s="35" t="n">
        <v>31.425</v>
      </c>
      <c r="H533" s="35" t="n">
        <v>12.5</v>
      </c>
      <c r="I533" s="10" t="inlineStr">
        <is>
          <t>500×550</t>
        </is>
      </c>
      <c r="J533" s="10" t="n">
        <v>7</v>
      </c>
      <c r="K533" s="10" t="n">
        <v>5</v>
      </c>
      <c r="L533" s="10" t="n">
        <v>0</v>
      </c>
      <c r="M533" s="10" t="inlineStr">
        <is>
          <t>Nº3 cerrado</t>
        </is>
      </c>
      <c r="N533" s="10" t="n">
        <v>2</v>
      </c>
      <c r="O533" s="35" t="n">
        <v>80</v>
      </c>
      <c r="P533" s="35" t="n">
        <v>80</v>
      </c>
      <c r="Q533" s="35" t="n">
        <v>0.5465765484944887</v>
      </c>
      <c r="R533" s="10" t="inlineStr">
        <is>
          <t>SÍ</t>
        </is>
      </c>
      <c r="S533" s="15" t="inlineStr">
        <is>
          <t>CUMPLE</t>
        </is>
      </c>
      <c r="T533" s="3" t="inlineStr">
        <is>
          <t>coordinar con planta y reanálisis global</t>
        </is>
      </c>
    </row>
    <row r="534">
      <c r="A534" s="26" t="inlineStr">
        <is>
          <t>VR3</t>
        </is>
      </c>
      <c r="B534" s="10" t="inlineStr">
        <is>
          <t>969</t>
        </is>
      </c>
      <c r="C534" s="10" t="inlineStr">
        <is>
          <t>638</t>
        </is>
      </c>
      <c r="D534" s="10" t="inlineStr">
        <is>
          <t>639</t>
        </is>
      </c>
      <c r="E534" s="35" t="n">
        <v>2.95</v>
      </c>
      <c r="F534" s="35" t="n">
        <v>7.75</v>
      </c>
      <c r="G534" s="35" t="n">
        <v>4.775</v>
      </c>
      <c r="H534" s="35" t="n">
        <v>15.5</v>
      </c>
      <c r="I534" s="10" t="inlineStr">
        <is>
          <t>500×550</t>
        </is>
      </c>
      <c r="J534" s="10" t="n">
        <v>5</v>
      </c>
      <c r="K534" s="10" t="n">
        <v>5</v>
      </c>
      <c r="L534" s="10" t="n">
        <v>0</v>
      </c>
      <c r="M534" s="10" t="inlineStr">
        <is>
          <t>Nº3 cerrado</t>
        </is>
      </c>
      <c r="N534" s="10" t="n">
        <v>2</v>
      </c>
      <c r="O534" s="35" t="n">
        <v>90</v>
      </c>
      <c r="P534" s="35" t="n">
        <v>90</v>
      </c>
      <c r="Q534" s="35" t="n">
        <v>0.4800956561195345</v>
      </c>
      <c r="R534" s="10" t="inlineStr">
        <is>
          <t>SÍ</t>
        </is>
      </c>
      <c r="S534" s="15" t="inlineStr">
        <is>
          <t>CUMPLE</t>
        </is>
      </c>
      <c r="T534" s="3" t="inlineStr">
        <is>
          <t>coordinar con planta y reanálisis global</t>
        </is>
      </c>
    </row>
    <row r="535">
      <c r="A535" s="26" t="inlineStr">
        <is>
          <t>VR3</t>
        </is>
      </c>
      <c r="B535" s="10" t="inlineStr">
        <is>
          <t>970</t>
        </is>
      </c>
      <c r="C535" s="10" t="inlineStr">
        <is>
          <t>639</t>
        </is>
      </c>
      <c r="D535" s="10" t="inlineStr">
        <is>
          <t>640</t>
        </is>
      </c>
      <c r="E535" s="35" t="n">
        <v>2.6</v>
      </c>
      <c r="F535" s="35" t="n">
        <v>7.75</v>
      </c>
      <c r="G535" s="35" t="n">
        <v>7.55</v>
      </c>
      <c r="H535" s="35" t="n">
        <v>15.5</v>
      </c>
      <c r="I535" s="10" t="inlineStr">
        <is>
          <t>500×550</t>
        </is>
      </c>
      <c r="J535" s="10" t="n">
        <v>6</v>
      </c>
      <c r="K535" s="10" t="n">
        <v>5</v>
      </c>
      <c r="L535" s="10" t="n">
        <v>0</v>
      </c>
      <c r="M535" s="10" t="inlineStr">
        <is>
          <t>Nº4 cerrado</t>
        </is>
      </c>
      <c r="N535" s="10" t="n">
        <v>2</v>
      </c>
      <c r="O535" s="35" t="n">
        <v>120</v>
      </c>
      <c r="P535" s="35" t="n">
        <v>130</v>
      </c>
      <c r="Q535" s="35" t="n">
        <v>0.561051104487594</v>
      </c>
      <c r="R535" s="10" t="inlineStr">
        <is>
          <t>SÍ</t>
        </is>
      </c>
      <c r="S535" s="15" t="inlineStr">
        <is>
          <t>CUMPLE</t>
        </is>
      </c>
      <c r="T535" s="3" t="inlineStr">
        <is>
          <t>coordinar con planta y reanálisis global</t>
        </is>
      </c>
    </row>
    <row r="536">
      <c r="A536" s="26" t="inlineStr">
        <is>
          <t>VR3</t>
        </is>
      </c>
      <c r="B536" s="10" t="inlineStr">
        <is>
          <t>971</t>
        </is>
      </c>
      <c r="C536" s="10" t="inlineStr">
        <is>
          <t>640</t>
        </is>
      </c>
      <c r="D536" s="10" t="inlineStr">
        <is>
          <t>641</t>
        </is>
      </c>
      <c r="E536" s="35" t="n">
        <v>2.5</v>
      </c>
      <c r="F536" s="35" t="n">
        <v>7.75</v>
      </c>
      <c r="G536" s="35" t="n">
        <v>10.1</v>
      </c>
      <c r="H536" s="35" t="n">
        <v>15.5</v>
      </c>
      <c r="I536" s="10" t="inlineStr">
        <is>
          <t>500×550</t>
        </is>
      </c>
      <c r="J536" s="10" t="n">
        <v>5</v>
      </c>
      <c r="K536" s="10" t="n">
        <v>5</v>
      </c>
      <c r="L536" s="10" t="n">
        <v>0</v>
      </c>
      <c r="M536" s="10" t="inlineStr">
        <is>
          <t>Nº3 cerrado</t>
        </is>
      </c>
      <c r="N536" s="10" t="n">
        <v>2</v>
      </c>
      <c r="O536" s="35" t="n">
        <v>120</v>
      </c>
      <c r="P536" s="35" t="n">
        <v>150</v>
      </c>
      <c r="Q536" s="35" t="n">
        <v>0.3778875414918036</v>
      </c>
      <c r="R536" s="10" t="inlineStr">
        <is>
          <t>SÍ</t>
        </is>
      </c>
      <c r="S536" s="15" t="inlineStr">
        <is>
          <t>CUMPLE</t>
        </is>
      </c>
      <c r="T536" s="3" t="inlineStr">
        <is>
          <t>coordinar con planta y reanálisis global</t>
        </is>
      </c>
    </row>
    <row r="537">
      <c r="A537" s="26" t="inlineStr">
        <is>
          <t>VR3</t>
        </is>
      </c>
      <c r="B537" s="10" t="inlineStr">
        <is>
          <t>972</t>
        </is>
      </c>
      <c r="C537" s="10" t="inlineStr">
        <is>
          <t>641</t>
        </is>
      </c>
      <c r="D537" s="10" t="inlineStr">
        <is>
          <t>642</t>
        </is>
      </c>
      <c r="E537" s="35" t="n">
        <v>4</v>
      </c>
      <c r="F537" s="35" t="n">
        <v>7.75</v>
      </c>
      <c r="G537" s="35" t="n">
        <v>13.35</v>
      </c>
      <c r="H537" s="35" t="n">
        <v>15.5</v>
      </c>
      <c r="I537" s="10" t="inlineStr">
        <is>
          <t>500×550</t>
        </is>
      </c>
      <c r="J537" s="10" t="n">
        <v>5</v>
      </c>
      <c r="K537" s="10" t="n">
        <v>5</v>
      </c>
      <c r="L537" s="10" t="n">
        <v>0</v>
      </c>
      <c r="M537" s="10" t="inlineStr">
        <is>
          <t>Nº3 cerrado</t>
        </is>
      </c>
      <c r="N537" s="10" t="n">
        <v>2</v>
      </c>
      <c r="O537" s="35" t="n">
        <v>120</v>
      </c>
      <c r="P537" s="35" t="n">
        <v>240</v>
      </c>
      <c r="Q537" s="35" t="n">
        <v>0.2809096234810008</v>
      </c>
      <c r="R537" s="10" t="inlineStr">
        <is>
          <t>SÍ</t>
        </is>
      </c>
      <c r="S537" s="15" t="inlineStr">
        <is>
          <t>CUMPLE</t>
        </is>
      </c>
      <c r="T537" s="3" t="inlineStr">
        <is>
          <t>coordinar con planta y reanálisis global</t>
        </is>
      </c>
    </row>
    <row r="538">
      <c r="A538" s="26" t="inlineStr">
        <is>
          <t>VR3</t>
        </is>
      </c>
      <c r="B538" s="10" t="inlineStr">
        <is>
          <t>973</t>
        </is>
      </c>
      <c r="C538" s="10" t="inlineStr">
        <is>
          <t>642</t>
        </is>
      </c>
      <c r="D538" s="10" t="inlineStr">
        <is>
          <t>643</t>
        </is>
      </c>
      <c r="E538" s="35" t="n">
        <v>2.8</v>
      </c>
      <c r="F538" s="35" t="n">
        <v>7.75</v>
      </c>
      <c r="G538" s="35" t="n">
        <v>16.75</v>
      </c>
      <c r="H538" s="35" t="n">
        <v>15.5</v>
      </c>
      <c r="I538" s="10" t="inlineStr">
        <is>
          <t>500×550</t>
        </is>
      </c>
      <c r="J538" s="10" t="n">
        <v>5</v>
      </c>
      <c r="K538" s="10" t="n">
        <v>5</v>
      </c>
      <c r="L538" s="10" t="n">
        <v>0</v>
      </c>
      <c r="M538" s="10" t="inlineStr">
        <is>
          <t>Nº3 cerrado</t>
        </is>
      </c>
      <c r="N538" s="10" t="n">
        <v>2</v>
      </c>
      <c r="O538" s="35" t="n">
        <v>120</v>
      </c>
      <c r="P538" s="35" t="n">
        <v>170</v>
      </c>
      <c r="Q538" s="35" t="n">
        <v>0.3617925234559015</v>
      </c>
      <c r="R538" s="10" t="inlineStr">
        <is>
          <t>SÍ</t>
        </is>
      </c>
      <c r="S538" s="15" t="inlineStr">
        <is>
          <t>CUMPLE</t>
        </is>
      </c>
      <c r="T538" s="3" t="inlineStr">
        <is>
          <t>coordinar con planta y reanálisis global</t>
        </is>
      </c>
    </row>
    <row r="539">
      <c r="A539" s="26" t="inlineStr">
        <is>
          <t>VR3</t>
        </is>
      </c>
      <c r="B539" s="10" t="inlineStr">
        <is>
          <t>974</t>
        </is>
      </c>
      <c r="C539" s="10" t="inlineStr">
        <is>
          <t>643</t>
        </is>
      </c>
      <c r="D539" s="10" t="inlineStr">
        <is>
          <t>644</t>
        </is>
      </c>
      <c r="E539" s="35" t="n">
        <v>2.7</v>
      </c>
      <c r="F539" s="35" t="n">
        <v>7.75</v>
      </c>
      <c r="G539" s="35" t="n">
        <v>19.5</v>
      </c>
      <c r="H539" s="35" t="n">
        <v>15.5</v>
      </c>
      <c r="I539" s="10" t="inlineStr">
        <is>
          <t>500×550</t>
        </is>
      </c>
      <c r="J539" s="10" t="n">
        <v>5</v>
      </c>
      <c r="K539" s="10" t="n">
        <v>5</v>
      </c>
      <c r="L539" s="10" t="n">
        <v>0</v>
      </c>
      <c r="M539" s="10" t="inlineStr">
        <is>
          <t>Nº3 cerrado</t>
        </is>
      </c>
      <c r="N539" s="10" t="n">
        <v>2</v>
      </c>
      <c r="O539" s="35" t="n">
        <v>120</v>
      </c>
      <c r="P539" s="35" t="n">
        <v>160</v>
      </c>
      <c r="Q539" s="35" t="n">
        <v>0.3745422593023401</v>
      </c>
      <c r="R539" s="10" t="inlineStr">
        <is>
          <t>SÍ</t>
        </is>
      </c>
      <c r="S539" s="15" t="inlineStr">
        <is>
          <t>CUMPLE</t>
        </is>
      </c>
      <c r="T539" s="3" t="inlineStr">
        <is>
          <t>coordinar con planta y reanálisis global</t>
        </is>
      </c>
    </row>
    <row r="540">
      <c r="A540" s="26" t="inlineStr">
        <is>
          <t>VR3</t>
        </is>
      </c>
      <c r="B540" s="10" t="inlineStr">
        <is>
          <t>975</t>
        </is>
      </c>
      <c r="C540" s="10" t="inlineStr">
        <is>
          <t>644</t>
        </is>
      </c>
      <c r="D540" s="10" t="inlineStr">
        <is>
          <t>645</t>
        </is>
      </c>
      <c r="E540" s="35" t="n">
        <v>4</v>
      </c>
      <c r="F540" s="35" t="n">
        <v>7.75</v>
      </c>
      <c r="G540" s="35" t="n">
        <v>22.85</v>
      </c>
      <c r="H540" s="35" t="n">
        <v>15.5</v>
      </c>
      <c r="I540" s="10" t="inlineStr">
        <is>
          <t>500×550</t>
        </is>
      </c>
      <c r="J540" s="10" t="n">
        <v>5</v>
      </c>
      <c r="K540" s="10" t="n">
        <v>5</v>
      </c>
      <c r="L540" s="10" t="n">
        <v>0</v>
      </c>
      <c r="M540" s="10" t="inlineStr">
        <is>
          <t>Nº3 cerrado</t>
        </is>
      </c>
      <c r="N540" s="10" t="n">
        <v>2</v>
      </c>
      <c r="O540" s="35" t="n">
        <v>120</v>
      </c>
      <c r="P540" s="35" t="n">
        <v>240</v>
      </c>
      <c r="Q540" s="35" t="n">
        <v>0.2809716056167637</v>
      </c>
      <c r="R540" s="10" t="inlineStr">
        <is>
          <t>SÍ</t>
        </is>
      </c>
      <c r="S540" s="15" t="inlineStr">
        <is>
          <t>CUMPLE</t>
        </is>
      </c>
      <c r="T540" s="3" t="inlineStr">
        <is>
          <t>coordinar con planta y reanálisis global</t>
        </is>
      </c>
    </row>
    <row r="541">
      <c r="A541" s="26" t="inlineStr">
        <is>
          <t>VR3</t>
        </is>
      </c>
      <c r="B541" s="10" t="inlineStr">
        <is>
          <t>976</t>
        </is>
      </c>
      <c r="C541" s="10" t="inlineStr">
        <is>
          <t>645</t>
        </is>
      </c>
      <c r="D541" s="10" t="inlineStr">
        <is>
          <t>646</t>
        </is>
      </c>
      <c r="E541" s="35" t="n">
        <v>2.5</v>
      </c>
      <c r="F541" s="35" t="n">
        <v>7.75</v>
      </c>
      <c r="G541" s="35" t="n">
        <v>26.1</v>
      </c>
      <c r="H541" s="35" t="n">
        <v>15.5</v>
      </c>
      <c r="I541" s="10" t="inlineStr">
        <is>
          <t>500×550</t>
        </is>
      </c>
      <c r="J541" s="10" t="n">
        <v>5</v>
      </c>
      <c r="K541" s="10" t="n">
        <v>5</v>
      </c>
      <c r="L541" s="10" t="n">
        <v>0</v>
      </c>
      <c r="M541" s="10" t="inlineStr">
        <is>
          <t>Nº3 cerrado</t>
        </is>
      </c>
      <c r="N541" s="10" t="n">
        <v>2</v>
      </c>
      <c r="O541" s="35" t="n">
        <v>120</v>
      </c>
      <c r="P541" s="35" t="n">
        <v>150</v>
      </c>
      <c r="Q541" s="35" t="n">
        <v>0.3779558173316531</v>
      </c>
      <c r="R541" s="10" t="inlineStr">
        <is>
          <t>SÍ</t>
        </is>
      </c>
      <c r="S541" s="15" t="inlineStr">
        <is>
          <t>CUMPLE</t>
        </is>
      </c>
      <c r="T541" s="3" t="inlineStr">
        <is>
          <t>coordinar con planta y reanálisis global</t>
        </is>
      </c>
    </row>
    <row r="542">
      <c r="A542" s="26" t="inlineStr">
        <is>
          <t>VR3</t>
        </is>
      </c>
      <c r="B542" s="10" t="inlineStr">
        <is>
          <t>977</t>
        </is>
      </c>
      <c r="C542" s="10" t="inlineStr">
        <is>
          <t>646</t>
        </is>
      </c>
      <c r="D542" s="10" t="inlineStr">
        <is>
          <t>647</t>
        </is>
      </c>
      <c r="E542" s="35" t="n">
        <v>2.6</v>
      </c>
      <c r="F542" s="35" t="n">
        <v>7.75</v>
      </c>
      <c r="G542" s="35" t="n">
        <v>28.65</v>
      </c>
      <c r="H542" s="35" t="n">
        <v>15.5</v>
      </c>
      <c r="I542" s="10" t="inlineStr">
        <is>
          <t>500×550</t>
        </is>
      </c>
      <c r="J542" s="10" t="n">
        <v>6</v>
      </c>
      <c r="K542" s="10" t="n">
        <v>5</v>
      </c>
      <c r="L542" s="10" t="n">
        <v>0</v>
      </c>
      <c r="M542" s="10" t="inlineStr">
        <is>
          <t>Nº4 cerrado</t>
        </is>
      </c>
      <c r="N542" s="10" t="n">
        <v>2</v>
      </c>
      <c r="O542" s="35" t="n">
        <v>120</v>
      </c>
      <c r="P542" s="35" t="n">
        <v>130</v>
      </c>
      <c r="Q542" s="35" t="n">
        <v>0.5607013476686117</v>
      </c>
      <c r="R542" s="10" t="inlineStr">
        <is>
          <t>SÍ</t>
        </is>
      </c>
      <c r="S542" s="15" t="inlineStr">
        <is>
          <t>CUMPLE</t>
        </is>
      </c>
      <c r="T542" s="3" t="inlineStr">
        <is>
          <t>coordinar con planta y reanálisis global</t>
        </is>
      </c>
    </row>
    <row r="543">
      <c r="A543" s="26" t="inlineStr">
        <is>
          <t>VR3</t>
        </is>
      </c>
      <c r="B543" s="10" t="inlineStr">
        <is>
          <t>978</t>
        </is>
      </c>
      <c r="C543" s="10" t="inlineStr">
        <is>
          <t>647</t>
        </is>
      </c>
      <c r="D543" s="10" t="inlineStr">
        <is>
          <t>648</t>
        </is>
      </c>
      <c r="E543" s="35" t="n">
        <v>2.95</v>
      </c>
      <c r="F543" s="35" t="n">
        <v>7.75</v>
      </c>
      <c r="G543" s="35" t="n">
        <v>31.425</v>
      </c>
      <c r="H543" s="35" t="n">
        <v>15.5</v>
      </c>
      <c r="I543" s="10" t="inlineStr">
        <is>
          <t>500×550</t>
        </is>
      </c>
      <c r="J543" s="10" t="n">
        <v>5</v>
      </c>
      <c r="K543" s="10" t="n">
        <v>5</v>
      </c>
      <c r="L543" s="10" t="n">
        <v>0</v>
      </c>
      <c r="M543" s="10" t="inlineStr">
        <is>
          <t>Nº3 cerrado</t>
        </is>
      </c>
      <c r="N543" s="10" t="n">
        <v>2</v>
      </c>
      <c r="O543" s="35" t="n">
        <v>90</v>
      </c>
      <c r="P543" s="35" t="n">
        <v>90</v>
      </c>
      <c r="Q543" s="35" t="n">
        <v>0.4799212222542291</v>
      </c>
      <c r="R543" s="10" t="inlineStr">
        <is>
          <t>SÍ</t>
        </is>
      </c>
      <c r="S543" s="15" t="inlineStr">
        <is>
          <t>CUMPLE</t>
        </is>
      </c>
      <c r="T543" s="3" t="inlineStr">
        <is>
          <t>coordinar con planta y reanálisis global</t>
        </is>
      </c>
    </row>
    <row r="544">
      <c r="A544" s="26" t="inlineStr">
        <is>
          <t>VR3</t>
        </is>
      </c>
      <c r="B544" s="10" t="inlineStr">
        <is>
          <t>1353</t>
        </is>
      </c>
      <c r="C544" s="10" t="inlineStr">
        <is>
          <t>62</t>
        </is>
      </c>
      <c r="D544" s="10" t="inlineStr">
        <is>
          <t>26</t>
        </is>
      </c>
      <c r="E544" s="35" t="n">
        <v>3.3</v>
      </c>
      <c r="F544" s="35" t="n">
        <v>7.75</v>
      </c>
      <c r="G544" s="35" t="n">
        <v>1.65</v>
      </c>
      <c r="H544" s="35" t="n">
        <v>3.5</v>
      </c>
      <c r="I544" s="10" t="inlineStr">
        <is>
          <t>500×550</t>
        </is>
      </c>
      <c r="J544" s="10" t="n">
        <v>7</v>
      </c>
      <c r="K544" s="10" t="n">
        <v>5</v>
      </c>
      <c r="L544" s="10" t="n">
        <v>8</v>
      </c>
      <c r="M544" s="10" t="inlineStr">
        <is>
          <t>Nº4 cerrado</t>
        </is>
      </c>
      <c r="N544" s="10" t="n">
        <v>2</v>
      </c>
      <c r="O544" s="35" t="n">
        <v>80</v>
      </c>
      <c r="P544" s="35" t="n">
        <v>80</v>
      </c>
      <c r="Q544" s="35" t="n">
        <v>0.739558988246741</v>
      </c>
      <c r="R544" s="10" t="inlineStr">
        <is>
          <t>SÍ</t>
        </is>
      </c>
      <c r="S544" s="15" t="inlineStr">
        <is>
          <t>CUMPLE</t>
        </is>
      </c>
      <c r="T544" s="3" t="inlineStr">
        <is>
          <t>coordinar con planta y reanálisis global</t>
        </is>
      </c>
    </row>
    <row r="545">
      <c r="A545" s="26" t="inlineStr">
        <is>
          <t>VR3</t>
        </is>
      </c>
      <c r="B545" s="10" t="inlineStr">
        <is>
          <t>1354</t>
        </is>
      </c>
      <c r="C545" s="10" t="inlineStr">
        <is>
          <t>36</t>
        </is>
      </c>
      <c r="D545" s="10" t="inlineStr">
        <is>
          <t>63</t>
        </is>
      </c>
      <c r="E545" s="35" t="n">
        <v>3.3</v>
      </c>
      <c r="F545" s="35" t="n">
        <v>7.75</v>
      </c>
      <c r="G545" s="35" t="n">
        <v>34.55</v>
      </c>
      <c r="H545" s="35" t="n">
        <v>3.5</v>
      </c>
      <c r="I545" s="10" t="inlineStr">
        <is>
          <t>500×550</t>
        </is>
      </c>
      <c r="J545" s="10" t="n">
        <v>7</v>
      </c>
      <c r="K545" s="10" t="n">
        <v>5</v>
      </c>
      <c r="L545" s="10" t="n">
        <v>8</v>
      </c>
      <c r="M545" s="10" t="inlineStr">
        <is>
          <t>Nº4 cerrado</t>
        </is>
      </c>
      <c r="N545" s="10" t="n">
        <v>2</v>
      </c>
      <c r="O545" s="35" t="n">
        <v>80</v>
      </c>
      <c r="P545" s="35" t="n">
        <v>80</v>
      </c>
      <c r="Q545" s="35" t="n">
        <v>0.7395120528383762</v>
      </c>
      <c r="R545" s="10" t="inlineStr">
        <is>
          <t>SÍ</t>
        </is>
      </c>
      <c r="S545" s="15" t="inlineStr">
        <is>
          <t>CUMPLE</t>
        </is>
      </c>
      <c r="T545" s="3" t="inlineStr">
        <is>
          <t>coordinar con planta y reanálisis global</t>
        </is>
      </c>
    </row>
    <row r="546">
      <c r="A546" s="26" t="inlineStr">
        <is>
          <t>VR3</t>
        </is>
      </c>
      <c r="B546" s="10" t="inlineStr">
        <is>
          <t>1355</t>
        </is>
      </c>
      <c r="C546" s="10" t="inlineStr">
        <is>
          <t>736</t>
        </is>
      </c>
      <c r="D546" s="10" t="inlineStr">
        <is>
          <t>152</t>
        </is>
      </c>
      <c r="E546" s="35" t="n">
        <v>3.3</v>
      </c>
      <c r="F546" s="35" t="n">
        <v>7.75</v>
      </c>
      <c r="G546" s="35" t="n">
        <v>1.65</v>
      </c>
      <c r="H546" s="35" t="n">
        <v>6.5</v>
      </c>
      <c r="I546" s="10" t="inlineStr">
        <is>
          <t>500×550</t>
        </is>
      </c>
      <c r="J546" s="10" t="n">
        <v>6</v>
      </c>
      <c r="K546" s="10" t="n">
        <v>5</v>
      </c>
      <c r="L546" s="10" t="n">
        <v>8</v>
      </c>
      <c r="M546" s="10" t="inlineStr">
        <is>
          <t>Nº4 cerrado</t>
        </is>
      </c>
      <c r="N546" s="10" t="n">
        <v>2</v>
      </c>
      <c r="O546" s="35" t="n">
        <v>100</v>
      </c>
      <c r="P546" s="35" t="n">
        <v>100</v>
      </c>
      <c r="Q546" s="35" t="n">
        <v>0.6073183177496281</v>
      </c>
      <c r="R546" s="10" t="inlineStr">
        <is>
          <t>SÍ</t>
        </is>
      </c>
      <c r="S546" s="15" t="inlineStr">
        <is>
          <t>CUMPLE</t>
        </is>
      </c>
      <c r="T546" s="3" t="inlineStr">
        <is>
          <t>coordinar con planta y reanálisis global</t>
        </is>
      </c>
    </row>
    <row r="547">
      <c r="A547" s="26" t="inlineStr">
        <is>
          <t>VR3</t>
        </is>
      </c>
      <c r="B547" s="10" t="inlineStr">
        <is>
          <t>1356</t>
        </is>
      </c>
      <c r="C547" s="10" t="inlineStr">
        <is>
          <t>162</t>
        </is>
      </c>
      <c r="D547" s="10" t="inlineStr">
        <is>
          <t>737</t>
        </is>
      </c>
      <c r="E547" s="35" t="n">
        <v>3.3</v>
      </c>
      <c r="F547" s="35" t="n">
        <v>7.75</v>
      </c>
      <c r="G547" s="35" t="n">
        <v>34.55</v>
      </c>
      <c r="H547" s="35" t="n">
        <v>6.5</v>
      </c>
      <c r="I547" s="10" t="inlineStr">
        <is>
          <t>500×550</t>
        </is>
      </c>
      <c r="J547" s="10" t="n">
        <v>6</v>
      </c>
      <c r="K547" s="10" t="n">
        <v>5</v>
      </c>
      <c r="L547" s="10" t="n">
        <v>8</v>
      </c>
      <c r="M547" s="10" t="inlineStr">
        <is>
          <t>Nº4 cerrado</t>
        </is>
      </c>
      <c r="N547" s="10" t="n">
        <v>2</v>
      </c>
      <c r="O547" s="35" t="n">
        <v>100</v>
      </c>
      <c r="P547" s="35" t="n">
        <v>100</v>
      </c>
      <c r="Q547" s="35" t="n">
        <v>0.6072498424842558</v>
      </c>
      <c r="R547" s="10" t="inlineStr">
        <is>
          <t>SÍ</t>
        </is>
      </c>
      <c r="S547" s="15" t="inlineStr">
        <is>
          <t>CUMPLE</t>
        </is>
      </c>
      <c r="T547" s="3" t="inlineStr">
        <is>
          <t>coordinar con planta y reanálisis global</t>
        </is>
      </c>
    </row>
    <row r="548">
      <c r="A548" s="26" t="inlineStr">
        <is>
          <t>VR3</t>
        </is>
      </c>
      <c r="B548" s="10" t="inlineStr">
        <is>
          <t>1357</t>
        </is>
      </c>
      <c r="C548" s="10" t="inlineStr">
        <is>
          <t>738</t>
        </is>
      </c>
      <c r="D548" s="10" t="inlineStr">
        <is>
          <t>516</t>
        </is>
      </c>
      <c r="E548" s="35" t="n">
        <v>3.3</v>
      </c>
      <c r="F548" s="35" t="n">
        <v>7.75</v>
      </c>
      <c r="G548" s="35" t="n">
        <v>1.65</v>
      </c>
      <c r="H548" s="35" t="n">
        <v>9.5</v>
      </c>
      <c r="I548" s="10" t="inlineStr">
        <is>
          <t>500×550</t>
        </is>
      </c>
      <c r="J548" s="10" t="n">
        <v>5</v>
      </c>
      <c r="K548" s="10" t="n">
        <v>5</v>
      </c>
      <c r="L548" s="10" t="n">
        <v>8</v>
      </c>
      <c r="M548" s="10" t="inlineStr">
        <is>
          <t>Nº3 cerrado</t>
        </is>
      </c>
      <c r="N548" s="10" t="n">
        <v>2</v>
      </c>
      <c r="O548" s="35" t="n">
        <v>90</v>
      </c>
      <c r="P548" s="35" t="n">
        <v>90</v>
      </c>
      <c r="Q548" s="35" t="n">
        <v>0.4591751011085278</v>
      </c>
      <c r="R548" s="10" t="inlineStr">
        <is>
          <t>SÍ</t>
        </is>
      </c>
      <c r="S548" s="15" t="inlineStr">
        <is>
          <t>CUMPLE</t>
        </is>
      </c>
      <c r="T548" s="3" t="inlineStr">
        <is>
          <t>coordinar con planta y reanálisis global</t>
        </is>
      </c>
    </row>
    <row r="549">
      <c r="A549" s="26" t="inlineStr">
        <is>
          <t>VR3</t>
        </is>
      </c>
      <c r="B549" s="10" t="inlineStr">
        <is>
          <t>1358</t>
        </is>
      </c>
      <c r="C549" s="10" t="inlineStr">
        <is>
          <t>526</t>
        </is>
      </c>
      <c r="D549" s="10" t="inlineStr">
        <is>
          <t>739</t>
        </is>
      </c>
      <c r="E549" s="35" t="n">
        <v>3.3</v>
      </c>
      <c r="F549" s="35" t="n">
        <v>7.75</v>
      </c>
      <c r="G549" s="35" t="n">
        <v>34.55</v>
      </c>
      <c r="H549" s="35" t="n">
        <v>9.5</v>
      </c>
      <c r="I549" s="10" t="inlineStr">
        <is>
          <t>500×550</t>
        </is>
      </c>
      <c r="J549" s="10" t="n">
        <v>5</v>
      </c>
      <c r="K549" s="10" t="n">
        <v>5</v>
      </c>
      <c r="L549" s="10" t="n">
        <v>8</v>
      </c>
      <c r="M549" s="10" t="inlineStr">
        <is>
          <t>Nº3 cerrado</t>
        </is>
      </c>
      <c r="N549" s="10" t="n">
        <v>2</v>
      </c>
      <c r="O549" s="35" t="n">
        <v>90</v>
      </c>
      <c r="P549" s="35" t="n">
        <v>90</v>
      </c>
      <c r="Q549" s="35" t="n">
        <v>0.4592472016894599</v>
      </c>
      <c r="R549" s="10" t="inlineStr">
        <is>
          <t>SÍ</t>
        </is>
      </c>
      <c r="S549" s="15" t="inlineStr">
        <is>
          <t>CUMPLE</t>
        </is>
      </c>
      <c r="T549" s="3" t="inlineStr">
        <is>
          <t>coordinar con planta y reanálisis global</t>
        </is>
      </c>
    </row>
    <row r="550">
      <c r="A550" s="26" t="inlineStr">
        <is>
          <t>VR3</t>
        </is>
      </c>
      <c r="B550" s="10" t="inlineStr">
        <is>
          <t>1359</t>
        </is>
      </c>
      <c r="C550" s="10" t="inlineStr">
        <is>
          <t>740</t>
        </is>
      </c>
      <c r="D550" s="10" t="inlineStr">
        <is>
          <t>577</t>
        </is>
      </c>
      <c r="E550" s="35" t="n">
        <v>3.3</v>
      </c>
      <c r="F550" s="35" t="n">
        <v>7.75</v>
      </c>
      <c r="G550" s="35" t="n">
        <v>1.65</v>
      </c>
      <c r="H550" s="35" t="n">
        <v>12.5</v>
      </c>
      <c r="I550" s="10" t="inlineStr">
        <is>
          <t>500×550</t>
        </is>
      </c>
      <c r="J550" s="10" t="n">
        <v>5</v>
      </c>
      <c r="K550" s="10" t="n">
        <v>5</v>
      </c>
      <c r="L550" s="10" t="n">
        <v>0</v>
      </c>
      <c r="M550" s="10" t="inlineStr">
        <is>
          <t>Nº3 cerrado</t>
        </is>
      </c>
      <c r="N550" s="10" t="n">
        <v>2</v>
      </c>
      <c r="O550" s="35" t="n">
        <v>120</v>
      </c>
      <c r="P550" s="35" t="n">
        <v>200</v>
      </c>
      <c r="Q550" s="35" t="n">
        <v>0.3452169454191099</v>
      </c>
      <c r="R550" s="10" t="inlineStr">
        <is>
          <t>SÍ</t>
        </is>
      </c>
      <c r="S550" s="15" t="inlineStr">
        <is>
          <t>CUMPLE</t>
        </is>
      </c>
      <c r="T550" s="3" t="inlineStr">
        <is>
          <t>coordinar con planta y reanálisis global</t>
        </is>
      </c>
    </row>
    <row r="551">
      <c r="A551" s="26" t="inlineStr">
        <is>
          <t>VR3</t>
        </is>
      </c>
      <c r="B551" s="10" t="inlineStr">
        <is>
          <t>1360</t>
        </is>
      </c>
      <c r="C551" s="10" t="inlineStr">
        <is>
          <t>587</t>
        </is>
      </c>
      <c r="D551" s="10" t="inlineStr">
        <is>
          <t>741</t>
        </is>
      </c>
      <c r="E551" s="35" t="n">
        <v>3.3</v>
      </c>
      <c r="F551" s="35" t="n">
        <v>7.75</v>
      </c>
      <c r="G551" s="35" t="n">
        <v>34.55</v>
      </c>
      <c r="H551" s="35" t="n">
        <v>12.5</v>
      </c>
      <c r="I551" s="10" t="inlineStr">
        <is>
          <t>500×550</t>
        </is>
      </c>
      <c r="J551" s="10" t="n">
        <v>5</v>
      </c>
      <c r="K551" s="10" t="n">
        <v>5</v>
      </c>
      <c r="L551" s="10" t="n">
        <v>0</v>
      </c>
      <c r="M551" s="10" t="inlineStr">
        <is>
          <t>Nº3 cerrado</t>
        </is>
      </c>
      <c r="N551" s="10" t="n">
        <v>2</v>
      </c>
      <c r="O551" s="35" t="n">
        <v>120</v>
      </c>
      <c r="P551" s="35" t="n">
        <v>200</v>
      </c>
      <c r="Q551" s="35" t="n">
        <v>0.3453205823551229</v>
      </c>
      <c r="R551" s="10" t="inlineStr">
        <is>
          <t>SÍ</t>
        </is>
      </c>
      <c r="S551" s="15" t="inlineStr">
        <is>
          <t>CUMPLE</t>
        </is>
      </c>
      <c r="T551" s="3" t="inlineStr">
        <is>
          <t>coordinar con planta y reanálisis global</t>
        </is>
      </c>
    </row>
    <row r="552">
      <c r="A552" s="26" t="inlineStr">
        <is>
          <t>VR3</t>
        </is>
      </c>
      <c r="B552" s="10" t="inlineStr">
        <is>
          <t>1361</t>
        </is>
      </c>
      <c r="C552" s="10" t="inlineStr">
        <is>
          <t>742</t>
        </is>
      </c>
      <c r="D552" s="10" t="inlineStr">
        <is>
          <t>638</t>
        </is>
      </c>
      <c r="E552" s="35" t="n">
        <v>3.3</v>
      </c>
      <c r="F552" s="35" t="n">
        <v>7.75</v>
      </c>
      <c r="G552" s="35" t="n">
        <v>1.65</v>
      </c>
      <c r="H552" s="35" t="n">
        <v>15.5</v>
      </c>
      <c r="I552" s="10" t="inlineStr">
        <is>
          <t>500×550</t>
        </is>
      </c>
      <c r="J552" s="10" t="n">
        <v>5</v>
      </c>
      <c r="K552" s="10" t="n">
        <v>5</v>
      </c>
      <c r="L552" s="10" t="n">
        <v>0</v>
      </c>
      <c r="M552" s="10" t="inlineStr">
        <is>
          <t>Nº3 cerrado</t>
        </is>
      </c>
      <c r="N552" s="10" t="n">
        <v>2</v>
      </c>
      <c r="O552" s="35" t="n">
        <v>120</v>
      </c>
      <c r="P552" s="35" t="n">
        <v>240</v>
      </c>
      <c r="Q552" s="35" t="n">
        <v>0.2920359825060373</v>
      </c>
      <c r="R552" s="10" t="inlineStr">
        <is>
          <t>SÍ</t>
        </is>
      </c>
      <c r="S552" s="15" t="inlineStr">
        <is>
          <t>CUMPLE</t>
        </is>
      </c>
      <c r="T552" s="3" t="inlineStr">
        <is>
          <t>coordinar con planta y reanálisis global</t>
        </is>
      </c>
    </row>
    <row r="553">
      <c r="A553" s="26" t="inlineStr">
        <is>
          <t>VR3</t>
        </is>
      </c>
      <c r="B553" s="10" t="inlineStr">
        <is>
          <t>1362</t>
        </is>
      </c>
      <c r="C553" s="10" t="inlineStr">
        <is>
          <t>648</t>
        </is>
      </c>
      <c r="D553" s="10" t="inlineStr">
        <is>
          <t>743</t>
        </is>
      </c>
      <c r="E553" s="35" t="n">
        <v>3.3</v>
      </c>
      <c r="F553" s="35" t="n">
        <v>7.75</v>
      </c>
      <c r="G553" s="35" t="n">
        <v>34.55</v>
      </c>
      <c r="H553" s="35" t="n">
        <v>15.5</v>
      </c>
      <c r="I553" s="10" t="inlineStr">
        <is>
          <t>500×550</t>
        </is>
      </c>
      <c r="J553" s="10" t="n">
        <v>5</v>
      </c>
      <c r="K553" s="10" t="n">
        <v>5</v>
      </c>
      <c r="L553" s="10" t="n">
        <v>0</v>
      </c>
      <c r="M553" s="10" t="inlineStr">
        <is>
          <t>Nº3 cerrado</t>
        </is>
      </c>
      <c r="N553" s="10" t="n">
        <v>2</v>
      </c>
      <c r="O553" s="35" t="n">
        <v>120</v>
      </c>
      <c r="P553" s="35" t="n">
        <v>240</v>
      </c>
      <c r="Q553" s="35" t="n">
        <v>0.2921236350429166</v>
      </c>
      <c r="R553" s="10" t="inlineStr">
        <is>
          <t>SÍ</t>
        </is>
      </c>
      <c r="S553" s="15" t="inlineStr">
        <is>
          <t>CUMPLE</t>
        </is>
      </c>
      <c r="T553" s="3" t="inlineStr">
        <is>
          <t>coordinar con planta y reanálisis global</t>
        </is>
      </c>
    </row>
    <row r="554">
      <c r="A554" s="27" t="inlineStr">
        <is>
          <t>VRAUX</t>
        </is>
      </c>
      <c r="B554" s="10" t="inlineStr">
        <is>
          <t>105</t>
        </is>
      </c>
      <c r="C554" s="10" t="inlineStr">
        <is>
          <t>72</t>
        </is>
      </c>
      <c r="D554" s="10" t="inlineStr">
        <is>
          <t>73</t>
        </is>
      </c>
      <c r="E554" s="35" t="n">
        <v>2.6</v>
      </c>
      <c r="F554" s="35" t="n">
        <v>1.63</v>
      </c>
      <c r="G554" s="35" t="n">
        <v>7.55</v>
      </c>
      <c r="H554" s="35" t="n">
        <v>3.5</v>
      </c>
      <c r="I554" s="10" t="inlineStr">
        <is>
          <t>450×550</t>
        </is>
      </c>
      <c r="J554" s="10" t="n">
        <v>4</v>
      </c>
      <c r="K554" s="10" t="n">
        <v>4</v>
      </c>
      <c r="L554" s="10" t="n">
        <v>0</v>
      </c>
      <c r="M554" s="10" t="inlineStr">
        <is>
          <t>Nº3 cerrado</t>
        </is>
      </c>
      <c r="N554" s="10" t="n">
        <v>2</v>
      </c>
      <c r="O554" s="35" t="n">
        <v>120</v>
      </c>
      <c r="P554" s="35" t="n">
        <v>240</v>
      </c>
      <c r="Q554" s="35" t="n">
        <v>0.3250872676588423</v>
      </c>
      <c r="R554" s="10" t="inlineStr">
        <is>
          <t>SÍ</t>
        </is>
      </c>
      <c r="S554" s="15" t="inlineStr">
        <is>
          <t>CUMPLE</t>
        </is>
      </c>
      <c r="T554" s="3" t="inlineStr">
        <is>
          <t>coordinar con planta y reanálisis global</t>
        </is>
      </c>
    </row>
    <row r="555">
      <c r="A555" s="27" t="inlineStr">
        <is>
          <t>VRAUX</t>
        </is>
      </c>
      <c r="B555" s="10" t="inlineStr">
        <is>
          <t>106</t>
        </is>
      </c>
      <c r="C555" s="10" t="inlineStr">
        <is>
          <t>74</t>
        </is>
      </c>
      <c r="D555" s="10" t="inlineStr">
        <is>
          <t>75</t>
        </is>
      </c>
      <c r="E555" s="35" t="n">
        <v>2.6</v>
      </c>
      <c r="F555" s="35" t="n">
        <v>13.87</v>
      </c>
      <c r="G555" s="35" t="n">
        <v>7.55</v>
      </c>
      <c r="H555" s="35" t="n">
        <v>3.5</v>
      </c>
      <c r="I555" s="10" t="inlineStr">
        <is>
          <t>450×550</t>
        </is>
      </c>
      <c r="J555" s="10" t="n">
        <v>4</v>
      </c>
      <c r="K555" s="10" t="n">
        <v>4</v>
      </c>
      <c r="L555" s="10" t="n">
        <v>0</v>
      </c>
      <c r="M555" s="10" t="inlineStr">
        <is>
          <t>Nº3 cerrado</t>
        </is>
      </c>
      <c r="N555" s="10" t="n">
        <v>2</v>
      </c>
      <c r="O555" s="35" t="n">
        <v>120</v>
      </c>
      <c r="P555" s="35" t="n">
        <v>240</v>
      </c>
      <c r="Q555" s="35" t="n">
        <v>0.3250804504105458</v>
      </c>
      <c r="R555" s="10" t="inlineStr">
        <is>
          <t>SÍ</t>
        </is>
      </c>
      <c r="S555" s="15" t="inlineStr">
        <is>
          <t>CUMPLE</t>
        </is>
      </c>
      <c r="T555" s="3" t="inlineStr">
        <is>
          <t>coordinar con planta y reanálisis global</t>
        </is>
      </c>
    </row>
    <row r="556">
      <c r="A556" s="27" t="inlineStr">
        <is>
          <t>VRAUX</t>
        </is>
      </c>
      <c r="B556" s="10" t="inlineStr">
        <is>
          <t>107</t>
        </is>
      </c>
      <c r="C556" s="10" t="inlineStr">
        <is>
          <t>76</t>
        </is>
      </c>
      <c r="D556" s="10" t="inlineStr">
        <is>
          <t>77</t>
        </is>
      </c>
      <c r="E556" s="35" t="n">
        <v>2.6</v>
      </c>
      <c r="F556" s="35" t="n">
        <v>1.63</v>
      </c>
      <c r="G556" s="35" t="n">
        <v>28.65</v>
      </c>
      <c r="H556" s="35" t="n">
        <v>3.5</v>
      </c>
      <c r="I556" s="10" t="inlineStr">
        <is>
          <t>450×550</t>
        </is>
      </c>
      <c r="J556" s="10" t="n">
        <v>4</v>
      </c>
      <c r="K556" s="10" t="n">
        <v>4</v>
      </c>
      <c r="L556" s="10" t="n">
        <v>0</v>
      </c>
      <c r="M556" s="10" t="inlineStr">
        <is>
          <t>Nº3 cerrado</t>
        </is>
      </c>
      <c r="N556" s="10" t="n">
        <v>2</v>
      </c>
      <c r="O556" s="35" t="n">
        <v>120</v>
      </c>
      <c r="P556" s="35" t="n">
        <v>240</v>
      </c>
      <c r="Q556" s="35" t="n">
        <v>0.3250995387138456</v>
      </c>
      <c r="R556" s="10" t="inlineStr">
        <is>
          <t>SÍ</t>
        </is>
      </c>
      <c r="S556" s="15" t="inlineStr">
        <is>
          <t>CUMPLE</t>
        </is>
      </c>
      <c r="T556" s="3" t="inlineStr">
        <is>
          <t>coordinar con planta y reanálisis global</t>
        </is>
      </c>
    </row>
    <row r="557">
      <c r="A557" s="27" t="inlineStr">
        <is>
          <t>VRAUX</t>
        </is>
      </c>
      <c r="B557" s="10" t="inlineStr">
        <is>
          <t>108</t>
        </is>
      </c>
      <c r="C557" s="10" t="inlineStr">
        <is>
          <t>78</t>
        </is>
      </c>
      <c r="D557" s="10" t="inlineStr">
        <is>
          <t>79</t>
        </is>
      </c>
      <c r="E557" s="35" t="n">
        <v>2.6</v>
      </c>
      <c r="F557" s="35" t="n">
        <v>13.87</v>
      </c>
      <c r="G557" s="35" t="n">
        <v>28.65</v>
      </c>
      <c r="H557" s="35" t="n">
        <v>3.5</v>
      </c>
      <c r="I557" s="10" t="inlineStr">
        <is>
          <t>450×550</t>
        </is>
      </c>
      <c r="J557" s="10" t="n">
        <v>4</v>
      </c>
      <c r="K557" s="10" t="n">
        <v>4</v>
      </c>
      <c r="L557" s="10" t="n">
        <v>0</v>
      </c>
      <c r="M557" s="10" t="inlineStr">
        <is>
          <t>Nº3 cerrado</t>
        </is>
      </c>
      <c r="N557" s="10" t="n">
        <v>2</v>
      </c>
      <c r="O557" s="35" t="n">
        <v>120</v>
      </c>
      <c r="P557" s="35" t="n">
        <v>240</v>
      </c>
      <c r="Q557" s="35" t="n">
        <v>0.3251011366220093</v>
      </c>
      <c r="R557" s="10" t="inlineStr">
        <is>
          <t>SÍ</t>
        </is>
      </c>
      <c r="S557" s="15" t="inlineStr">
        <is>
          <t>CUMPLE</t>
        </is>
      </c>
      <c r="T557" s="3" t="inlineStr">
        <is>
          <t>coordinar con planta y reanálisis global</t>
        </is>
      </c>
    </row>
    <row r="558">
      <c r="A558" s="27" t="inlineStr">
        <is>
          <t>VRAUX</t>
        </is>
      </c>
      <c r="B558" s="10" t="inlineStr">
        <is>
          <t>109</t>
        </is>
      </c>
      <c r="C558" s="10" t="inlineStr">
        <is>
          <t>68</t>
        </is>
      </c>
      <c r="D558" s="10" t="inlineStr">
        <is>
          <t>69</t>
        </is>
      </c>
      <c r="E558" s="35" t="n">
        <v>2.5</v>
      </c>
      <c r="F558" s="35" t="n">
        <v>4.85</v>
      </c>
      <c r="G558" s="35" t="n">
        <v>26.1</v>
      </c>
      <c r="H558" s="35" t="n">
        <v>3.5</v>
      </c>
      <c r="I558" s="10" t="inlineStr">
        <is>
          <t>450×550</t>
        </is>
      </c>
      <c r="J558" s="10" t="n">
        <v>4</v>
      </c>
      <c r="K558" s="10" t="n">
        <v>4</v>
      </c>
      <c r="L558" s="10" t="n">
        <v>8</v>
      </c>
      <c r="M558" s="10" t="inlineStr">
        <is>
          <t>Nº3 cerrado</t>
        </is>
      </c>
      <c r="N558" s="10" t="n">
        <v>2</v>
      </c>
      <c r="O558" s="35" t="n">
        <v>120</v>
      </c>
      <c r="P558" s="35" t="n">
        <v>130</v>
      </c>
      <c r="Q558" s="35" t="n">
        <v>0.3910620796162126</v>
      </c>
      <c r="R558" s="10" t="inlineStr">
        <is>
          <t>SÍ</t>
        </is>
      </c>
      <c r="S558" s="15" t="inlineStr">
        <is>
          <t>CUMPLE</t>
        </is>
      </c>
      <c r="T558" s="3" t="inlineStr">
        <is>
          <t>coordinar con planta y reanálisis global</t>
        </is>
      </c>
    </row>
    <row r="559">
      <c r="A559" s="27" t="inlineStr">
        <is>
          <t>VRAUX</t>
        </is>
      </c>
      <c r="B559" s="10" t="inlineStr">
        <is>
          <t>110</t>
        </is>
      </c>
      <c r="C559" s="10" t="inlineStr">
        <is>
          <t>70</t>
        </is>
      </c>
      <c r="D559" s="10" t="inlineStr">
        <is>
          <t>71</t>
        </is>
      </c>
      <c r="E559" s="35" t="n">
        <v>2.5</v>
      </c>
      <c r="F559" s="35" t="n">
        <v>10.65</v>
      </c>
      <c r="G559" s="35" t="n">
        <v>26.1</v>
      </c>
      <c r="H559" s="35" t="n">
        <v>3.5</v>
      </c>
      <c r="I559" s="10" t="inlineStr">
        <is>
          <t>450×550</t>
        </is>
      </c>
      <c r="J559" s="10" t="n">
        <v>4</v>
      </c>
      <c r="K559" s="10" t="n">
        <v>4</v>
      </c>
      <c r="L559" s="10" t="n">
        <v>8</v>
      </c>
      <c r="M559" s="10" t="inlineStr">
        <is>
          <t>Nº3 cerrado</t>
        </is>
      </c>
      <c r="N559" s="10" t="n">
        <v>2</v>
      </c>
      <c r="O559" s="35" t="n">
        <v>120</v>
      </c>
      <c r="P559" s="35" t="n">
        <v>130</v>
      </c>
      <c r="Q559" s="35" t="n">
        <v>0.3909681119842119</v>
      </c>
      <c r="R559" s="10" t="inlineStr">
        <is>
          <t>SÍ</t>
        </is>
      </c>
      <c r="S559" s="15" t="inlineStr">
        <is>
          <t>CUMPLE</t>
        </is>
      </c>
      <c r="T559" s="3" t="inlineStr">
        <is>
          <t>coordinar con planta y reanálisis global</t>
        </is>
      </c>
    </row>
    <row r="560">
      <c r="A560" s="27" t="inlineStr">
        <is>
          <t>VRAUX</t>
        </is>
      </c>
      <c r="B560" s="10" t="inlineStr">
        <is>
          <t>111</t>
        </is>
      </c>
      <c r="C560" s="10" t="inlineStr">
        <is>
          <t>64</t>
        </is>
      </c>
      <c r="D560" s="10" t="inlineStr">
        <is>
          <t>65</t>
        </is>
      </c>
      <c r="E560" s="35" t="n">
        <v>2.5</v>
      </c>
      <c r="F560" s="35" t="n">
        <v>4.85</v>
      </c>
      <c r="G560" s="35" t="n">
        <v>10.1</v>
      </c>
      <c r="H560" s="35" t="n">
        <v>3.5</v>
      </c>
      <c r="I560" s="10" t="inlineStr">
        <is>
          <t>450×550</t>
        </is>
      </c>
      <c r="J560" s="10" t="n">
        <v>4</v>
      </c>
      <c r="K560" s="10" t="n">
        <v>4</v>
      </c>
      <c r="L560" s="10" t="n">
        <v>8</v>
      </c>
      <c r="M560" s="10" t="inlineStr">
        <is>
          <t>Nº3 cerrado</t>
        </is>
      </c>
      <c r="N560" s="10" t="n">
        <v>2</v>
      </c>
      <c r="O560" s="35" t="n">
        <v>120</v>
      </c>
      <c r="P560" s="35" t="n">
        <v>130</v>
      </c>
      <c r="Q560" s="35" t="n">
        <v>0.3909090537741811</v>
      </c>
      <c r="R560" s="10" t="inlineStr">
        <is>
          <t>SÍ</t>
        </is>
      </c>
      <c r="S560" s="15" t="inlineStr">
        <is>
          <t>CUMPLE</t>
        </is>
      </c>
      <c r="T560" s="3" t="inlineStr">
        <is>
          <t>coordinar con planta y reanálisis global</t>
        </is>
      </c>
    </row>
    <row r="561">
      <c r="A561" s="27" t="inlineStr">
        <is>
          <t>VRAUX</t>
        </is>
      </c>
      <c r="B561" s="10" t="inlineStr">
        <is>
          <t>112</t>
        </is>
      </c>
      <c r="C561" s="10" t="inlineStr">
        <is>
          <t>66</t>
        </is>
      </c>
      <c r="D561" s="10" t="inlineStr">
        <is>
          <t>67</t>
        </is>
      </c>
      <c r="E561" s="35" t="n">
        <v>2.5</v>
      </c>
      <c r="F561" s="35" t="n">
        <v>10.65</v>
      </c>
      <c r="G561" s="35" t="n">
        <v>10.1</v>
      </c>
      <c r="H561" s="35" t="n">
        <v>3.5</v>
      </c>
      <c r="I561" s="10" t="inlineStr">
        <is>
          <t>450×550</t>
        </is>
      </c>
      <c r="J561" s="10" t="n">
        <v>4</v>
      </c>
      <c r="K561" s="10" t="n">
        <v>4</v>
      </c>
      <c r="L561" s="10" t="n">
        <v>8</v>
      </c>
      <c r="M561" s="10" t="inlineStr">
        <is>
          <t>Nº3 cerrado</t>
        </is>
      </c>
      <c r="N561" s="10" t="n">
        <v>2</v>
      </c>
      <c r="O561" s="35" t="n">
        <v>120</v>
      </c>
      <c r="P561" s="35" t="n">
        <v>130</v>
      </c>
      <c r="Q561" s="35" t="n">
        <v>0.3910032592908115</v>
      </c>
      <c r="R561" s="10" t="inlineStr">
        <is>
          <t>SÍ</t>
        </is>
      </c>
      <c r="S561" s="15" t="inlineStr">
        <is>
          <t>CUMPLE</t>
        </is>
      </c>
      <c r="T561" s="3" t="inlineStr">
        <is>
          <t>coordinar con planta y reanálisis global</t>
        </is>
      </c>
    </row>
    <row r="562">
      <c r="A562" s="27" t="inlineStr">
        <is>
          <t>VRAUX</t>
        </is>
      </c>
      <c r="B562" s="10" t="inlineStr">
        <is>
          <t>113</t>
        </is>
      </c>
      <c r="C562" s="10" t="inlineStr">
        <is>
          <t>80</t>
        </is>
      </c>
      <c r="D562" s="10" t="inlineStr">
        <is>
          <t>81</t>
        </is>
      </c>
      <c r="E562" s="35" t="n">
        <v>2.6</v>
      </c>
      <c r="F562" s="35" t="n">
        <v>1.63</v>
      </c>
      <c r="G562" s="35" t="n">
        <v>7.55</v>
      </c>
      <c r="H562" s="35" t="n">
        <v>6.5</v>
      </c>
      <c r="I562" s="10" t="inlineStr">
        <is>
          <t>450×550</t>
        </is>
      </c>
      <c r="J562" s="10" t="n">
        <v>4</v>
      </c>
      <c r="K562" s="10" t="n">
        <v>4</v>
      </c>
      <c r="L562" s="10" t="n">
        <v>0</v>
      </c>
      <c r="M562" s="10" t="inlineStr">
        <is>
          <t>Nº3 cerrado</t>
        </is>
      </c>
      <c r="N562" s="10" t="n">
        <v>2</v>
      </c>
      <c r="O562" s="35" t="n">
        <v>120</v>
      </c>
      <c r="P562" s="35" t="n">
        <v>240</v>
      </c>
      <c r="Q562" s="35" t="n">
        <v>0.318615041075286</v>
      </c>
      <c r="R562" s="10" t="inlineStr">
        <is>
          <t>SÍ</t>
        </is>
      </c>
      <c r="S562" s="15" t="inlineStr">
        <is>
          <t>CUMPLE</t>
        </is>
      </c>
      <c r="T562" s="3" t="inlineStr">
        <is>
          <t>coordinar con planta y reanálisis global</t>
        </is>
      </c>
    </row>
    <row r="563">
      <c r="A563" s="27" t="inlineStr">
        <is>
          <t>VRAUX</t>
        </is>
      </c>
      <c r="B563" s="10" t="inlineStr">
        <is>
          <t>114</t>
        </is>
      </c>
      <c r="C563" s="10" t="inlineStr">
        <is>
          <t>82</t>
        </is>
      </c>
      <c r="D563" s="10" t="inlineStr">
        <is>
          <t>83</t>
        </is>
      </c>
      <c r="E563" s="35" t="n">
        <v>2.6</v>
      </c>
      <c r="F563" s="35" t="n">
        <v>13.87</v>
      </c>
      <c r="G563" s="35" t="n">
        <v>7.55</v>
      </c>
      <c r="H563" s="35" t="n">
        <v>6.5</v>
      </c>
      <c r="I563" s="10" t="inlineStr">
        <is>
          <t>450×550</t>
        </is>
      </c>
      <c r="J563" s="10" t="n">
        <v>4</v>
      </c>
      <c r="K563" s="10" t="n">
        <v>4</v>
      </c>
      <c r="L563" s="10" t="n">
        <v>0</v>
      </c>
      <c r="M563" s="10" t="inlineStr">
        <is>
          <t>Nº3 cerrado</t>
        </is>
      </c>
      <c r="N563" s="10" t="n">
        <v>2</v>
      </c>
      <c r="O563" s="35" t="n">
        <v>120</v>
      </c>
      <c r="P563" s="35" t="n">
        <v>240</v>
      </c>
      <c r="Q563" s="35" t="n">
        <v>0.3186078189631241</v>
      </c>
      <c r="R563" s="10" t="inlineStr">
        <is>
          <t>SÍ</t>
        </is>
      </c>
      <c r="S563" s="15" t="inlineStr">
        <is>
          <t>CUMPLE</t>
        </is>
      </c>
      <c r="T563" s="3" t="inlineStr">
        <is>
          <t>coordinar con planta y reanálisis global</t>
        </is>
      </c>
    </row>
    <row r="564">
      <c r="A564" s="27" t="inlineStr">
        <is>
          <t>VRAUX</t>
        </is>
      </c>
      <c r="B564" s="10" t="inlineStr">
        <is>
          <t>115</t>
        </is>
      </c>
      <c r="C564" s="10" t="inlineStr">
        <is>
          <t>84</t>
        </is>
      </c>
      <c r="D564" s="10" t="inlineStr">
        <is>
          <t>85</t>
        </is>
      </c>
      <c r="E564" s="35" t="n">
        <v>2.6</v>
      </c>
      <c r="F564" s="35" t="n">
        <v>1.63</v>
      </c>
      <c r="G564" s="35" t="n">
        <v>28.65</v>
      </c>
      <c r="H564" s="35" t="n">
        <v>6.5</v>
      </c>
      <c r="I564" s="10" t="inlineStr">
        <is>
          <t>450×550</t>
        </is>
      </c>
      <c r="J564" s="10" t="n">
        <v>4</v>
      </c>
      <c r="K564" s="10" t="n">
        <v>4</v>
      </c>
      <c r="L564" s="10" t="n">
        <v>0</v>
      </c>
      <c r="M564" s="10" t="inlineStr">
        <is>
          <t>Nº3 cerrado</t>
        </is>
      </c>
      <c r="N564" s="10" t="n">
        <v>2</v>
      </c>
      <c r="O564" s="35" t="n">
        <v>120</v>
      </c>
      <c r="P564" s="35" t="n">
        <v>240</v>
      </c>
      <c r="Q564" s="35" t="n">
        <v>0.318591577415029</v>
      </c>
      <c r="R564" s="10" t="inlineStr">
        <is>
          <t>SÍ</t>
        </is>
      </c>
      <c r="S564" s="15" t="inlineStr">
        <is>
          <t>CUMPLE</t>
        </is>
      </c>
      <c r="T564" s="3" t="inlineStr">
        <is>
          <t>coordinar con planta y reanálisis global</t>
        </is>
      </c>
    </row>
    <row r="565">
      <c r="A565" s="27" t="inlineStr">
        <is>
          <t>VRAUX</t>
        </is>
      </c>
      <c r="B565" s="10" t="inlineStr">
        <is>
          <t>116</t>
        </is>
      </c>
      <c r="C565" s="10" t="inlineStr">
        <is>
          <t>86</t>
        </is>
      </c>
      <c r="D565" s="10" t="inlineStr">
        <is>
          <t>87</t>
        </is>
      </c>
      <c r="E565" s="35" t="n">
        <v>2.6</v>
      </c>
      <c r="F565" s="35" t="n">
        <v>13.87</v>
      </c>
      <c r="G565" s="35" t="n">
        <v>28.65</v>
      </c>
      <c r="H565" s="35" t="n">
        <v>6.5</v>
      </c>
      <c r="I565" s="10" t="inlineStr">
        <is>
          <t>450×550</t>
        </is>
      </c>
      <c r="J565" s="10" t="n">
        <v>4</v>
      </c>
      <c r="K565" s="10" t="n">
        <v>4</v>
      </c>
      <c r="L565" s="10" t="n">
        <v>0</v>
      </c>
      <c r="M565" s="10" t="inlineStr">
        <is>
          <t>Nº3 cerrado</t>
        </is>
      </c>
      <c r="N565" s="10" t="n">
        <v>2</v>
      </c>
      <c r="O565" s="35" t="n">
        <v>120</v>
      </c>
      <c r="P565" s="35" t="n">
        <v>240</v>
      </c>
      <c r="Q565" s="35" t="n">
        <v>0.3185885689683383</v>
      </c>
      <c r="R565" s="10" t="inlineStr">
        <is>
          <t>SÍ</t>
        </is>
      </c>
      <c r="S565" s="15" t="inlineStr">
        <is>
          <t>CUMPLE</t>
        </is>
      </c>
      <c r="T565" s="3" t="inlineStr">
        <is>
          <t>coordinar con planta y reanálisis global</t>
        </is>
      </c>
    </row>
    <row r="566">
      <c r="A566" s="27" t="inlineStr">
        <is>
          <t>VRAUX</t>
        </is>
      </c>
      <c r="B566" s="10" t="inlineStr">
        <is>
          <t>117</t>
        </is>
      </c>
      <c r="C566" s="10" t="inlineStr">
        <is>
          <t>88</t>
        </is>
      </c>
      <c r="D566" s="10" t="inlineStr">
        <is>
          <t>89</t>
        </is>
      </c>
      <c r="E566" s="35" t="n">
        <v>2.5</v>
      </c>
      <c r="F566" s="35" t="n">
        <v>4.85</v>
      </c>
      <c r="G566" s="35" t="n">
        <v>26.1</v>
      </c>
      <c r="H566" s="35" t="n">
        <v>6.5</v>
      </c>
      <c r="I566" s="10" t="inlineStr">
        <is>
          <t>450×550</t>
        </is>
      </c>
      <c r="J566" s="10" t="n">
        <v>4</v>
      </c>
      <c r="K566" s="10" t="n">
        <v>4</v>
      </c>
      <c r="L566" s="10" t="n">
        <v>8</v>
      </c>
      <c r="M566" s="10" t="inlineStr">
        <is>
          <t>Nº3 cerrado</t>
        </is>
      </c>
      <c r="N566" s="10" t="n">
        <v>2</v>
      </c>
      <c r="O566" s="35" t="n">
        <v>120</v>
      </c>
      <c r="P566" s="35" t="n">
        <v>130</v>
      </c>
      <c r="Q566" s="35" t="n">
        <v>0.389316707525919</v>
      </c>
      <c r="R566" s="10" t="inlineStr">
        <is>
          <t>SÍ</t>
        </is>
      </c>
      <c r="S566" s="15" t="inlineStr">
        <is>
          <t>CUMPLE</t>
        </is>
      </c>
      <c r="T566" s="3" t="inlineStr">
        <is>
          <t>coordinar con planta y reanálisis global</t>
        </is>
      </c>
    </row>
    <row r="567">
      <c r="A567" s="27" t="inlineStr">
        <is>
          <t>VRAUX</t>
        </is>
      </c>
      <c r="B567" s="10" t="inlineStr">
        <is>
          <t>118</t>
        </is>
      </c>
      <c r="C567" s="10" t="inlineStr">
        <is>
          <t>90</t>
        </is>
      </c>
      <c r="D567" s="10" t="inlineStr">
        <is>
          <t>91</t>
        </is>
      </c>
      <c r="E567" s="35" t="n">
        <v>2.5</v>
      </c>
      <c r="F567" s="35" t="n">
        <v>10.65</v>
      </c>
      <c r="G567" s="35" t="n">
        <v>26.1</v>
      </c>
      <c r="H567" s="35" t="n">
        <v>6.5</v>
      </c>
      <c r="I567" s="10" t="inlineStr">
        <is>
          <t>450×550</t>
        </is>
      </c>
      <c r="J567" s="10" t="n">
        <v>4</v>
      </c>
      <c r="K567" s="10" t="n">
        <v>4</v>
      </c>
      <c r="L567" s="10" t="n">
        <v>8</v>
      </c>
      <c r="M567" s="10" t="inlineStr">
        <is>
          <t>Nº3 cerrado</t>
        </is>
      </c>
      <c r="N567" s="10" t="n">
        <v>2</v>
      </c>
      <c r="O567" s="35" t="n">
        <v>120</v>
      </c>
      <c r="P567" s="35" t="n">
        <v>130</v>
      </c>
      <c r="Q567" s="35" t="n">
        <v>0.3892164465523792</v>
      </c>
      <c r="R567" s="10" t="inlineStr">
        <is>
          <t>SÍ</t>
        </is>
      </c>
      <c r="S567" s="15" t="inlineStr">
        <is>
          <t>CUMPLE</t>
        </is>
      </c>
      <c r="T567" s="3" t="inlineStr">
        <is>
          <t>coordinar con planta y reanálisis global</t>
        </is>
      </c>
    </row>
    <row r="568">
      <c r="A568" s="27" t="inlineStr">
        <is>
          <t>VRAUX</t>
        </is>
      </c>
      <c r="B568" s="10" t="inlineStr">
        <is>
          <t>119</t>
        </is>
      </c>
      <c r="C568" s="10" t="inlineStr">
        <is>
          <t>92</t>
        </is>
      </c>
      <c r="D568" s="10" t="inlineStr">
        <is>
          <t>93</t>
        </is>
      </c>
      <c r="E568" s="35" t="n">
        <v>2.5</v>
      </c>
      <c r="F568" s="35" t="n">
        <v>4.85</v>
      </c>
      <c r="G568" s="35" t="n">
        <v>10.1</v>
      </c>
      <c r="H568" s="35" t="n">
        <v>6.5</v>
      </c>
      <c r="I568" s="10" t="inlineStr">
        <is>
          <t>450×550</t>
        </is>
      </c>
      <c r="J568" s="10" t="n">
        <v>4</v>
      </c>
      <c r="K568" s="10" t="n">
        <v>4</v>
      </c>
      <c r="L568" s="10" t="n">
        <v>8</v>
      </c>
      <c r="M568" s="10" t="inlineStr">
        <is>
          <t>Nº3 cerrado</t>
        </is>
      </c>
      <c r="N568" s="10" t="n">
        <v>2</v>
      </c>
      <c r="O568" s="35" t="n">
        <v>120</v>
      </c>
      <c r="P568" s="35" t="n">
        <v>130</v>
      </c>
      <c r="Q568" s="35" t="n">
        <v>0.3891087431559941</v>
      </c>
      <c r="R568" s="10" t="inlineStr">
        <is>
          <t>SÍ</t>
        </is>
      </c>
      <c r="S568" s="15" t="inlineStr">
        <is>
          <t>CUMPLE</t>
        </is>
      </c>
      <c r="T568" s="3" t="inlineStr">
        <is>
          <t>coordinar con planta y reanálisis global</t>
        </is>
      </c>
    </row>
    <row r="569">
      <c r="A569" s="27" t="inlineStr">
        <is>
          <t>VRAUX</t>
        </is>
      </c>
      <c r="B569" s="10" t="inlineStr">
        <is>
          <t>120</t>
        </is>
      </c>
      <c r="C569" s="10" t="inlineStr">
        <is>
          <t>94</t>
        </is>
      </c>
      <c r="D569" s="10" t="inlineStr">
        <is>
          <t>95</t>
        </is>
      </c>
      <c r="E569" s="35" t="n">
        <v>2.5</v>
      </c>
      <c r="F569" s="35" t="n">
        <v>10.65</v>
      </c>
      <c r="G569" s="35" t="n">
        <v>10.1</v>
      </c>
      <c r="H569" s="35" t="n">
        <v>6.5</v>
      </c>
      <c r="I569" s="10" t="inlineStr">
        <is>
          <t>450×550</t>
        </is>
      </c>
      <c r="J569" s="10" t="n">
        <v>4</v>
      </c>
      <c r="K569" s="10" t="n">
        <v>4</v>
      </c>
      <c r="L569" s="10" t="n">
        <v>8</v>
      </c>
      <c r="M569" s="10" t="inlineStr">
        <is>
          <t>Nº3 cerrado</t>
        </is>
      </c>
      <c r="N569" s="10" t="n">
        <v>2</v>
      </c>
      <c r="O569" s="35" t="n">
        <v>120</v>
      </c>
      <c r="P569" s="35" t="n">
        <v>130</v>
      </c>
      <c r="Q569" s="35" t="n">
        <v>0.3890988695513194</v>
      </c>
      <c r="R569" s="10" t="inlineStr">
        <is>
          <t>SÍ</t>
        </is>
      </c>
      <c r="S569" s="15" t="inlineStr">
        <is>
          <t>CUMPLE</t>
        </is>
      </c>
      <c r="T569" s="3" t="inlineStr">
        <is>
          <t>coordinar con planta y reanálisis global</t>
        </is>
      </c>
    </row>
    <row r="570">
      <c r="A570" s="27" t="inlineStr">
        <is>
          <t>VRAUX</t>
        </is>
      </c>
      <c r="B570" s="10" t="inlineStr">
        <is>
          <t>121</t>
        </is>
      </c>
      <c r="C570" s="10" t="inlineStr">
        <is>
          <t>96</t>
        </is>
      </c>
      <c r="D570" s="10" t="inlineStr">
        <is>
          <t>97</t>
        </is>
      </c>
      <c r="E570" s="35" t="n">
        <v>2.6</v>
      </c>
      <c r="F570" s="35" t="n">
        <v>1.63</v>
      </c>
      <c r="G570" s="35" t="n">
        <v>7.55</v>
      </c>
      <c r="H570" s="35" t="n">
        <v>9.5</v>
      </c>
      <c r="I570" s="10" t="inlineStr">
        <is>
          <t>450×550</t>
        </is>
      </c>
      <c r="J570" s="10" t="n">
        <v>4</v>
      </c>
      <c r="K570" s="10" t="n">
        <v>4</v>
      </c>
      <c r="L570" s="10" t="n">
        <v>0</v>
      </c>
      <c r="M570" s="10" t="inlineStr">
        <is>
          <t>Nº3 cerrado</t>
        </is>
      </c>
      <c r="N570" s="10" t="n">
        <v>2</v>
      </c>
      <c r="O570" s="35" t="n">
        <v>120</v>
      </c>
      <c r="P570" s="35" t="n">
        <v>240</v>
      </c>
      <c r="Q570" s="35" t="n">
        <v>0.3106836580182293</v>
      </c>
      <c r="R570" s="10" t="inlineStr">
        <is>
          <t>SÍ</t>
        </is>
      </c>
      <c r="S570" s="15" t="inlineStr">
        <is>
          <t>CUMPLE</t>
        </is>
      </c>
      <c r="T570" s="3" t="inlineStr">
        <is>
          <t>coordinar con planta y reanálisis global</t>
        </is>
      </c>
    </row>
    <row r="571">
      <c r="A571" s="27" t="inlineStr">
        <is>
          <t>VRAUX</t>
        </is>
      </c>
      <c r="B571" s="10" t="inlineStr">
        <is>
          <t>122</t>
        </is>
      </c>
      <c r="C571" s="10" t="inlineStr">
        <is>
          <t>98</t>
        </is>
      </c>
      <c r="D571" s="10" t="inlineStr">
        <is>
          <t>99</t>
        </is>
      </c>
      <c r="E571" s="35" t="n">
        <v>2.6</v>
      </c>
      <c r="F571" s="35" t="n">
        <v>13.87</v>
      </c>
      <c r="G571" s="35" t="n">
        <v>7.55</v>
      </c>
      <c r="H571" s="35" t="n">
        <v>9.5</v>
      </c>
      <c r="I571" s="10" t="inlineStr">
        <is>
          <t>450×550</t>
        </is>
      </c>
      <c r="J571" s="10" t="n">
        <v>4</v>
      </c>
      <c r="K571" s="10" t="n">
        <v>4</v>
      </c>
      <c r="L571" s="10" t="n">
        <v>0</v>
      </c>
      <c r="M571" s="10" t="inlineStr">
        <is>
          <t>Nº3 cerrado</t>
        </is>
      </c>
      <c r="N571" s="10" t="n">
        <v>2</v>
      </c>
      <c r="O571" s="35" t="n">
        <v>120</v>
      </c>
      <c r="P571" s="35" t="n">
        <v>240</v>
      </c>
      <c r="Q571" s="35" t="n">
        <v>0.3106878617820634</v>
      </c>
      <c r="R571" s="10" t="inlineStr">
        <is>
          <t>SÍ</t>
        </is>
      </c>
      <c r="S571" s="15" t="inlineStr">
        <is>
          <t>CUMPLE</t>
        </is>
      </c>
      <c r="T571" s="3" t="inlineStr">
        <is>
          <t>coordinar con planta y reanálisis global</t>
        </is>
      </c>
    </row>
    <row r="572">
      <c r="A572" s="27" t="inlineStr">
        <is>
          <t>VRAUX</t>
        </is>
      </c>
      <c r="B572" s="10" t="inlineStr">
        <is>
          <t>123</t>
        </is>
      </c>
      <c r="C572" s="10" t="inlineStr">
        <is>
          <t>100</t>
        </is>
      </c>
      <c r="D572" s="10" t="inlineStr">
        <is>
          <t>101</t>
        </is>
      </c>
      <c r="E572" s="35" t="n">
        <v>2.6</v>
      </c>
      <c r="F572" s="35" t="n">
        <v>1.63</v>
      </c>
      <c r="G572" s="35" t="n">
        <v>28.65</v>
      </c>
      <c r="H572" s="35" t="n">
        <v>9.5</v>
      </c>
      <c r="I572" s="10" t="inlineStr">
        <is>
          <t>450×550</t>
        </is>
      </c>
      <c r="J572" s="10" t="n">
        <v>4</v>
      </c>
      <c r="K572" s="10" t="n">
        <v>4</v>
      </c>
      <c r="L572" s="10" t="n">
        <v>0</v>
      </c>
      <c r="M572" s="10" t="inlineStr">
        <is>
          <t>Nº3 cerrado</t>
        </is>
      </c>
      <c r="N572" s="10" t="n">
        <v>2</v>
      </c>
      <c r="O572" s="35" t="n">
        <v>120</v>
      </c>
      <c r="P572" s="35" t="n">
        <v>240</v>
      </c>
      <c r="Q572" s="35" t="n">
        <v>0.3106517925731109</v>
      </c>
      <c r="R572" s="10" t="inlineStr">
        <is>
          <t>SÍ</t>
        </is>
      </c>
      <c r="S572" s="15" t="inlineStr">
        <is>
          <t>CUMPLE</t>
        </is>
      </c>
      <c r="T572" s="3" t="inlineStr">
        <is>
          <t>coordinar con planta y reanálisis global</t>
        </is>
      </c>
    </row>
    <row r="573">
      <c r="A573" s="27" t="inlineStr">
        <is>
          <t>VRAUX</t>
        </is>
      </c>
      <c r="B573" s="10" t="inlineStr">
        <is>
          <t>124</t>
        </is>
      </c>
      <c r="C573" s="10" t="inlineStr">
        <is>
          <t>102</t>
        </is>
      </c>
      <c r="D573" s="10" t="inlineStr">
        <is>
          <t>103</t>
        </is>
      </c>
      <c r="E573" s="35" t="n">
        <v>2.6</v>
      </c>
      <c r="F573" s="35" t="n">
        <v>13.87</v>
      </c>
      <c r="G573" s="35" t="n">
        <v>28.65</v>
      </c>
      <c r="H573" s="35" t="n">
        <v>9.5</v>
      </c>
      <c r="I573" s="10" t="inlineStr">
        <is>
          <t>450×550</t>
        </is>
      </c>
      <c r="J573" s="10" t="n">
        <v>4</v>
      </c>
      <c r="K573" s="10" t="n">
        <v>4</v>
      </c>
      <c r="L573" s="10" t="n">
        <v>0</v>
      </c>
      <c r="M573" s="10" t="inlineStr">
        <is>
          <t>Nº3 cerrado</t>
        </is>
      </c>
      <c r="N573" s="10" t="n">
        <v>2</v>
      </c>
      <c r="O573" s="35" t="n">
        <v>120</v>
      </c>
      <c r="P573" s="35" t="n">
        <v>240</v>
      </c>
      <c r="Q573" s="35" t="n">
        <v>0.3106500157230251</v>
      </c>
      <c r="R573" s="10" t="inlineStr">
        <is>
          <t>SÍ</t>
        </is>
      </c>
      <c r="S573" s="15" t="inlineStr">
        <is>
          <t>CUMPLE</t>
        </is>
      </c>
      <c r="T573" s="3" t="inlineStr">
        <is>
          <t>coordinar con planta y reanálisis global</t>
        </is>
      </c>
    </row>
    <row r="574">
      <c r="A574" s="27" t="inlineStr">
        <is>
          <t>VRAUX</t>
        </is>
      </c>
      <c r="B574" s="10" t="inlineStr">
        <is>
          <t>125</t>
        </is>
      </c>
      <c r="C574" s="10" t="inlineStr">
        <is>
          <t>104</t>
        </is>
      </c>
      <c r="D574" s="10" t="inlineStr">
        <is>
          <t>105</t>
        </is>
      </c>
      <c r="E574" s="35" t="n">
        <v>2.5</v>
      </c>
      <c r="F574" s="35" t="n">
        <v>4.85</v>
      </c>
      <c r="G574" s="35" t="n">
        <v>26.1</v>
      </c>
      <c r="H574" s="35" t="n">
        <v>9.5</v>
      </c>
      <c r="I574" s="10" t="inlineStr">
        <is>
          <t>450×550</t>
        </is>
      </c>
      <c r="J574" s="10" t="n">
        <v>4</v>
      </c>
      <c r="K574" s="10" t="n">
        <v>4</v>
      </c>
      <c r="L574" s="10" t="n">
        <v>8</v>
      </c>
      <c r="M574" s="10" t="inlineStr">
        <is>
          <t>Nº3 cerrado</t>
        </is>
      </c>
      <c r="N574" s="10" t="n">
        <v>2</v>
      </c>
      <c r="O574" s="35" t="n">
        <v>120</v>
      </c>
      <c r="P574" s="35" t="n">
        <v>140</v>
      </c>
      <c r="Q574" s="35" t="n">
        <v>0.3744162015361336</v>
      </c>
      <c r="R574" s="10" t="inlineStr">
        <is>
          <t>SÍ</t>
        </is>
      </c>
      <c r="S574" s="15" t="inlineStr">
        <is>
          <t>CUMPLE</t>
        </is>
      </c>
      <c r="T574" s="3" t="inlineStr">
        <is>
          <t>coordinar con planta y reanálisis global</t>
        </is>
      </c>
    </row>
    <row r="575">
      <c r="A575" s="27" t="inlineStr">
        <is>
          <t>VRAUX</t>
        </is>
      </c>
      <c r="B575" s="10" t="inlineStr">
        <is>
          <t>126</t>
        </is>
      </c>
      <c r="C575" s="10" t="inlineStr">
        <is>
          <t>106</t>
        </is>
      </c>
      <c r="D575" s="10" t="inlineStr">
        <is>
          <t>107</t>
        </is>
      </c>
      <c r="E575" s="35" t="n">
        <v>2.5</v>
      </c>
      <c r="F575" s="35" t="n">
        <v>10.65</v>
      </c>
      <c r="G575" s="35" t="n">
        <v>26.1</v>
      </c>
      <c r="H575" s="35" t="n">
        <v>9.5</v>
      </c>
      <c r="I575" s="10" t="inlineStr">
        <is>
          <t>450×550</t>
        </is>
      </c>
      <c r="J575" s="10" t="n">
        <v>4</v>
      </c>
      <c r="K575" s="10" t="n">
        <v>4</v>
      </c>
      <c r="L575" s="10" t="n">
        <v>8</v>
      </c>
      <c r="M575" s="10" t="inlineStr">
        <is>
          <t>Nº3 cerrado</t>
        </is>
      </c>
      <c r="N575" s="10" t="n">
        <v>2</v>
      </c>
      <c r="O575" s="35" t="n">
        <v>120</v>
      </c>
      <c r="P575" s="35" t="n">
        <v>140</v>
      </c>
      <c r="Q575" s="35" t="n">
        <v>0.3743194053421285</v>
      </c>
      <c r="R575" s="10" t="inlineStr">
        <is>
          <t>SÍ</t>
        </is>
      </c>
      <c r="S575" s="15" t="inlineStr">
        <is>
          <t>CUMPLE</t>
        </is>
      </c>
      <c r="T575" s="3" t="inlineStr">
        <is>
          <t>coordinar con planta y reanálisis global</t>
        </is>
      </c>
    </row>
    <row r="576">
      <c r="A576" s="27" t="inlineStr">
        <is>
          <t>VRAUX</t>
        </is>
      </c>
      <c r="B576" s="10" t="inlineStr">
        <is>
          <t>127</t>
        </is>
      </c>
      <c r="C576" s="10" t="inlineStr">
        <is>
          <t>108</t>
        </is>
      </c>
      <c r="D576" s="10" t="inlineStr">
        <is>
          <t>109</t>
        </is>
      </c>
      <c r="E576" s="35" t="n">
        <v>2.5</v>
      </c>
      <c r="F576" s="35" t="n">
        <v>4.85</v>
      </c>
      <c r="G576" s="35" t="n">
        <v>10.1</v>
      </c>
      <c r="H576" s="35" t="n">
        <v>9.5</v>
      </c>
      <c r="I576" s="10" t="inlineStr">
        <is>
          <t>450×550</t>
        </is>
      </c>
      <c r="J576" s="10" t="n">
        <v>4</v>
      </c>
      <c r="K576" s="10" t="n">
        <v>4</v>
      </c>
      <c r="L576" s="10" t="n">
        <v>8</v>
      </c>
      <c r="M576" s="10" t="inlineStr">
        <is>
          <t>Nº3 cerrado</t>
        </is>
      </c>
      <c r="N576" s="10" t="n">
        <v>2</v>
      </c>
      <c r="O576" s="35" t="n">
        <v>120</v>
      </c>
      <c r="P576" s="35" t="n">
        <v>140</v>
      </c>
      <c r="Q576" s="35" t="n">
        <v>0.3741532715423951</v>
      </c>
      <c r="R576" s="10" t="inlineStr">
        <is>
          <t>SÍ</t>
        </is>
      </c>
      <c r="S576" s="15" t="inlineStr">
        <is>
          <t>CUMPLE</t>
        </is>
      </c>
      <c r="T576" s="3" t="inlineStr">
        <is>
          <t>coordinar con planta y reanálisis global</t>
        </is>
      </c>
    </row>
    <row r="577">
      <c r="A577" s="27" t="inlineStr">
        <is>
          <t>VRAUX</t>
        </is>
      </c>
      <c r="B577" s="10" t="inlineStr">
        <is>
          <t>128</t>
        </is>
      </c>
      <c r="C577" s="10" t="inlineStr">
        <is>
          <t>110</t>
        </is>
      </c>
      <c r="D577" s="10" t="inlineStr">
        <is>
          <t>111</t>
        </is>
      </c>
      <c r="E577" s="35" t="n">
        <v>2.5</v>
      </c>
      <c r="F577" s="35" t="n">
        <v>10.65</v>
      </c>
      <c r="G577" s="35" t="n">
        <v>10.1</v>
      </c>
      <c r="H577" s="35" t="n">
        <v>9.5</v>
      </c>
      <c r="I577" s="10" t="inlineStr">
        <is>
          <t>450×550</t>
        </is>
      </c>
      <c r="J577" s="10" t="n">
        <v>4</v>
      </c>
      <c r="K577" s="10" t="n">
        <v>4</v>
      </c>
      <c r="L577" s="10" t="n">
        <v>8</v>
      </c>
      <c r="M577" s="10" t="inlineStr">
        <is>
          <t>Nº3 cerrado</t>
        </is>
      </c>
      <c r="N577" s="10" t="n">
        <v>2</v>
      </c>
      <c r="O577" s="35" t="n">
        <v>120</v>
      </c>
      <c r="P577" s="35" t="n">
        <v>140</v>
      </c>
      <c r="Q577" s="35" t="n">
        <v>0.3742497552561431</v>
      </c>
      <c r="R577" s="10" t="inlineStr">
        <is>
          <t>SÍ</t>
        </is>
      </c>
      <c r="S577" s="15" t="inlineStr">
        <is>
          <t>CUMPLE</t>
        </is>
      </c>
      <c r="T577" s="3" t="inlineStr">
        <is>
          <t>coordinar con planta y reanálisis global</t>
        </is>
      </c>
    </row>
    <row r="578">
      <c r="A578" s="27" t="inlineStr">
        <is>
          <t>VRAUX</t>
        </is>
      </c>
      <c r="B578" s="10" t="inlineStr">
        <is>
          <t>129</t>
        </is>
      </c>
      <c r="C578" s="10" t="inlineStr">
        <is>
          <t>112</t>
        </is>
      </c>
      <c r="D578" s="10" t="inlineStr">
        <is>
          <t>113</t>
        </is>
      </c>
      <c r="E578" s="35" t="n">
        <v>2.6</v>
      </c>
      <c r="F578" s="35" t="n">
        <v>1.63</v>
      </c>
      <c r="G578" s="35" t="n">
        <v>7.55</v>
      </c>
      <c r="H578" s="35" t="n">
        <v>12.5</v>
      </c>
      <c r="I578" s="10" t="inlineStr">
        <is>
          <t>450×550</t>
        </is>
      </c>
      <c r="J578" s="10" t="n">
        <v>4</v>
      </c>
      <c r="K578" s="10" t="n">
        <v>4</v>
      </c>
      <c r="L578" s="10" t="n">
        <v>0</v>
      </c>
      <c r="M578" s="10" t="inlineStr">
        <is>
          <t>Nº3 cerrado</t>
        </is>
      </c>
      <c r="N578" s="10" t="n">
        <v>2</v>
      </c>
      <c r="O578" s="35" t="n">
        <v>120</v>
      </c>
      <c r="P578" s="35" t="n">
        <v>240</v>
      </c>
      <c r="Q578" s="35" t="n">
        <v>0.3023592350692376</v>
      </c>
      <c r="R578" s="10" t="inlineStr">
        <is>
          <t>SÍ</t>
        </is>
      </c>
      <c r="S578" s="15" t="inlineStr">
        <is>
          <t>CUMPLE</t>
        </is>
      </c>
      <c r="T578" s="3" t="inlineStr">
        <is>
          <t>coordinar con planta y reanálisis global</t>
        </is>
      </c>
    </row>
    <row r="579">
      <c r="A579" s="27" t="inlineStr">
        <is>
          <t>VRAUX</t>
        </is>
      </c>
      <c r="B579" s="10" t="inlineStr">
        <is>
          <t>130</t>
        </is>
      </c>
      <c r="C579" s="10" t="inlineStr">
        <is>
          <t>114</t>
        </is>
      </c>
      <c r="D579" s="10" t="inlineStr">
        <is>
          <t>115</t>
        </is>
      </c>
      <c r="E579" s="35" t="n">
        <v>2.6</v>
      </c>
      <c r="F579" s="35" t="n">
        <v>13.87</v>
      </c>
      <c r="G579" s="35" t="n">
        <v>7.55</v>
      </c>
      <c r="H579" s="35" t="n">
        <v>12.5</v>
      </c>
      <c r="I579" s="10" t="inlineStr">
        <is>
          <t>450×550</t>
        </is>
      </c>
      <c r="J579" s="10" t="n">
        <v>4</v>
      </c>
      <c r="K579" s="10" t="n">
        <v>4</v>
      </c>
      <c r="L579" s="10" t="n">
        <v>0</v>
      </c>
      <c r="M579" s="10" t="inlineStr">
        <is>
          <t>Nº3 cerrado</t>
        </is>
      </c>
      <c r="N579" s="10" t="n">
        <v>2</v>
      </c>
      <c r="O579" s="35" t="n">
        <v>120</v>
      </c>
      <c r="P579" s="35" t="n">
        <v>240</v>
      </c>
      <c r="Q579" s="35" t="n">
        <v>0.3023624272135276</v>
      </c>
      <c r="R579" s="10" t="inlineStr">
        <is>
          <t>SÍ</t>
        </is>
      </c>
      <c r="S579" s="15" t="inlineStr">
        <is>
          <t>CUMPLE</t>
        </is>
      </c>
      <c r="T579" s="3" t="inlineStr">
        <is>
          <t>coordinar con planta y reanálisis global</t>
        </is>
      </c>
    </row>
    <row r="580">
      <c r="A580" s="27" t="inlineStr">
        <is>
          <t>VRAUX</t>
        </is>
      </c>
      <c r="B580" s="10" t="inlineStr">
        <is>
          <t>131</t>
        </is>
      </c>
      <c r="C580" s="10" t="inlineStr">
        <is>
          <t>116</t>
        </is>
      </c>
      <c r="D580" s="10" t="inlineStr">
        <is>
          <t>117</t>
        </is>
      </c>
      <c r="E580" s="35" t="n">
        <v>2.6</v>
      </c>
      <c r="F580" s="35" t="n">
        <v>1.63</v>
      </c>
      <c r="G580" s="35" t="n">
        <v>28.65</v>
      </c>
      <c r="H580" s="35" t="n">
        <v>12.5</v>
      </c>
      <c r="I580" s="10" t="inlineStr">
        <is>
          <t>450×550</t>
        </is>
      </c>
      <c r="J580" s="10" t="n">
        <v>4</v>
      </c>
      <c r="K580" s="10" t="n">
        <v>4</v>
      </c>
      <c r="L580" s="10" t="n">
        <v>0</v>
      </c>
      <c r="M580" s="10" t="inlineStr">
        <is>
          <t>Nº3 cerrado</t>
        </is>
      </c>
      <c r="N580" s="10" t="n">
        <v>2</v>
      </c>
      <c r="O580" s="35" t="n">
        <v>120</v>
      </c>
      <c r="P580" s="35" t="n">
        <v>240</v>
      </c>
      <c r="Q580" s="35" t="n">
        <v>0.3023202535808547</v>
      </c>
      <c r="R580" s="10" t="inlineStr">
        <is>
          <t>SÍ</t>
        </is>
      </c>
      <c r="S580" s="15" t="inlineStr">
        <is>
          <t>CUMPLE</t>
        </is>
      </c>
      <c r="T580" s="3" t="inlineStr">
        <is>
          <t>coordinar con planta y reanálisis global</t>
        </is>
      </c>
    </row>
    <row r="581">
      <c r="A581" s="27" t="inlineStr">
        <is>
          <t>VRAUX</t>
        </is>
      </c>
      <c r="B581" s="10" t="inlineStr">
        <is>
          <t>132</t>
        </is>
      </c>
      <c r="C581" s="10" t="inlineStr">
        <is>
          <t>118</t>
        </is>
      </c>
      <c r="D581" s="10" t="inlineStr">
        <is>
          <t>119</t>
        </is>
      </c>
      <c r="E581" s="35" t="n">
        <v>2.6</v>
      </c>
      <c r="F581" s="35" t="n">
        <v>13.87</v>
      </c>
      <c r="G581" s="35" t="n">
        <v>28.65</v>
      </c>
      <c r="H581" s="35" t="n">
        <v>12.5</v>
      </c>
      <c r="I581" s="10" t="inlineStr">
        <is>
          <t>450×550</t>
        </is>
      </c>
      <c r="J581" s="10" t="n">
        <v>4</v>
      </c>
      <c r="K581" s="10" t="n">
        <v>4</v>
      </c>
      <c r="L581" s="10" t="n">
        <v>0</v>
      </c>
      <c r="M581" s="10" t="inlineStr">
        <is>
          <t>Nº3 cerrado</t>
        </is>
      </c>
      <c r="N581" s="10" t="n">
        <v>2</v>
      </c>
      <c r="O581" s="35" t="n">
        <v>120</v>
      </c>
      <c r="P581" s="35" t="n">
        <v>240</v>
      </c>
      <c r="Q581" s="35" t="n">
        <v>0.3023169580792532</v>
      </c>
      <c r="R581" s="10" t="inlineStr">
        <is>
          <t>SÍ</t>
        </is>
      </c>
      <c r="S581" s="15" t="inlineStr">
        <is>
          <t>CUMPLE</t>
        </is>
      </c>
      <c r="T581" s="3" t="inlineStr">
        <is>
          <t>coordinar con planta y reanálisis global</t>
        </is>
      </c>
    </row>
    <row r="582">
      <c r="A582" s="27" t="inlineStr">
        <is>
          <t>VRAUX</t>
        </is>
      </c>
      <c r="B582" s="10" t="inlineStr">
        <is>
          <t>133</t>
        </is>
      </c>
      <c r="C582" s="10" t="inlineStr">
        <is>
          <t>120</t>
        </is>
      </c>
      <c r="D582" s="10" t="inlineStr">
        <is>
          <t>121</t>
        </is>
      </c>
      <c r="E582" s="35" t="n">
        <v>2.5</v>
      </c>
      <c r="F582" s="35" t="n">
        <v>4.85</v>
      </c>
      <c r="G582" s="35" t="n">
        <v>26.1</v>
      </c>
      <c r="H582" s="35" t="n">
        <v>12.5</v>
      </c>
      <c r="I582" s="10" t="inlineStr">
        <is>
          <t>450×550</t>
        </is>
      </c>
      <c r="J582" s="10" t="n">
        <v>4</v>
      </c>
      <c r="K582" s="10" t="n">
        <v>4</v>
      </c>
      <c r="L582" s="10" t="n">
        <v>8</v>
      </c>
      <c r="M582" s="10" t="inlineStr">
        <is>
          <t>Nº3 cerrado</t>
        </is>
      </c>
      <c r="N582" s="10" t="n">
        <v>2</v>
      </c>
      <c r="O582" s="35" t="n">
        <v>120</v>
      </c>
      <c r="P582" s="35" t="n">
        <v>160</v>
      </c>
      <c r="Q582" s="35" t="n">
        <v>0.3506759453860401</v>
      </c>
      <c r="R582" s="10" t="inlineStr">
        <is>
          <t>SÍ</t>
        </is>
      </c>
      <c r="S582" s="15" t="inlineStr">
        <is>
          <t>CUMPLE</t>
        </is>
      </c>
      <c r="T582" s="3" t="inlineStr">
        <is>
          <t>coordinar con planta y reanálisis global</t>
        </is>
      </c>
    </row>
    <row r="583">
      <c r="A583" s="27" t="inlineStr">
        <is>
          <t>VRAUX</t>
        </is>
      </c>
      <c r="B583" s="10" t="inlineStr">
        <is>
          <t>134</t>
        </is>
      </c>
      <c r="C583" s="10" t="inlineStr">
        <is>
          <t>122</t>
        </is>
      </c>
      <c r="D583" s="10" t="inlineStr">
        <is>
          <t>123</t>
        </is>
      </c>
      <c r="E583" s="35" t="n">
        <v>2.5</v>
      </c>
      <c r="F583" s="35" t="n">
        <v>10.65</v>
      </c>
      <c r="G583" s="35" t="n">
        <v>26.1</v>
      </c>
      <c r="H583" s="35" t="n">
        <v>12.5</v>
      </c>
      <c r="I583" s="10" t="inlineStr">
        <is>
          <t>450×550</t>
        </is>
      </c>
      <c r="J583" s="10" t="n">
        <v>4</v>
      </c>
      <c r="K583" s="10" t="n">
        <v>4</v>
      </c>
      <c r="L583" s="10" t="n">
        <v>8</v>
      </c>
      <c r="M583" s="10" t="inlineStr">
        <is>
          <t>Nº3 cerrado</t>
        </is>
      </c>
      <c r="N583" s="10" t="n">
        <v>2</v>
      </c>
      <c r="O583" s="35" t="n">
        <v>120</v>
      </c>
      <c r="P583" s="35" t="n">
        <v>160</v>
      </c>
      <c r="Q583" s="35" t="n">
        <v>0.3505854193674046</v>
      </c>
      <c r="R583" s="10" t="inlineStr">
        <is>
          <t>SÍ</t>
        </is>
      </c>
      <c r="S583" s="15" t="inlineStr">
        <is>
          <t>CUMPLE</t>
        </is>
      </c>
      <c r="T583" s="3" t="inlineStr">
        <is>
          <t>coordinar con planta y reanálisis global</t>
        </is>
      </c>
    </row>
    <row r="584">
      <c r="A584" s="27" t="inlineStr">
        <is>
          <t>VRAUX</t>
        </is>
      </c>
      <c r="B584" s="10" t="inlineStr">
        <is>
          <t>135</t>
        </is>
      </c>
      <c r="C584" s="10" t="inlineStr">
        <is>
          <t>124</t>
        </is>
      </c>
      <c r="D584" s="10" t="inlineStr">
        <is>
          <t>125</t>
        </is>
      </c>
      <c r="E584" s="35" t="n">
        <v>2.5</v>
      </c>
      <c r="F584" s="35" t="n">
        <v>4.85</v>
      </c>
      <c r="G584" s="35" t="n">
        <v>10.1</v>
      </c>
      <c r="H584" s="35" t="n">
        <v>12.5</v>
      </c>
      <c r="I584" s="10" t="inlineStr">
        <is>
          <t>450×550</t>
        </is>
      </c>
      <c r="J584" s="10" t="n">
        <v>4</v>
      </c>
      <c r="K584" s="10" t="n">
        <v>4</v>
      </c>
      <c r="L584" s="10" t="n">
        <v>8</v>
      </c>
      <c r="M584" s="10" t="inlineStr">
        <is>
          <t>Nº3 cerrado</t>
        </is>
      </c>
      <c r="N584" s="10" t="n">
        <v>2</v>
      </c>
      <c r="O584" s="35" t="n">
        <v>120</v>
      </c>
      <c r="P584" s="35" t="n">
        <v>160</v>
      </c>
      <c r="Q584" s="35" t="n">
        <v>0.350395223661838</v>
      </c>
      <c r="R584" s="10" t="inlineStr">
        <is>
          <t>SÍ</t>
        </is>
      </c>
      <c r="S584" s="15" t="inlineStr">
        <is>
          <t>CUMPLE</t>
        </is>
      </c>
      <c r="T584" s="3" t="inlineStr">
        <is>
          <t>coordinar con planta y reanálisis global</t>
        </is>
      </c>
    </row>
    <row r="585">
      <c r="A585" s="27" t="inlineStr">
        <is>
          <t>VRAUX</t>
        </is>
      </c>
      <c r="B585" s="10" t="inlineStr">
        <is>
          <t>136</t>
        </is>
      </c>
      <c r="C585" s="10" t="inlineStr">
        <is>
          <t>126</t>
        </is>
      </c>
      <c r="D585" s="10" t="inlineStr">
        <is>
          <t>188</t>
        </is>
      </c>
      <c r="E585" s="35" t="n">
        <v>2.5</v>
      </c>
      <c r="F585" s="35" t="n">
        <v>10.65</v>
      </c>
      <c r="G585" s="35" t="n">
        <v>10.1</v>
      </c>
      <c r="H585" s="35" t="n">
        <v>12.5</v>
      </c>
      <c r="I585" s="10" t="inlineStr">
        <is>
          <t>450×550</t>
        </is>
      </c>
      <c r="J585" s="10" t="n">
        <v>4</v>
      </c>
      <c r="K585" s="10" t="n">
        <v>4</v>
      </c>
      <c r="L585" s="10" t="n">
        <v>8</v>
      </c>
      <c r="M585" s="10" t="inlineStr">
        <is>
          <t>Nº3 cerrado</t>
        </is>
      </c>
      <c r="N585" s="10" t="n">
        <v>2</v>
      </c>
      <c r="O585" s="35" t="n">
        <v>120</v>
      </c>
      <c r="P585" s="35" t="n">
        <v>160</v>
      </c>
      <c r="Q585" s="35" t="n">
        <v>0.3504749503146437</v>
      </c>
      <c r="R585" s="10" t="inlineStr">
        <is>
          <t>SÍ</t>
        </is>
      </c>
      <c r="S585" s="15" t="inlineStr">
        <is>
          <t>CUMPLE</t>
        </is>
      </c>
      <c r="T585" s="3" t="inlineStr">
        <is>
          <t>coordinar con planta y reanálisis global</t>
        </is>
      </c>
    </row>
    <row r="586">
      <c r="A586" s="27" t="inlineStr">
        <is>
          <t>VRAUX</t>
        </is>
      </c>
      <c r="B586" s="10" t="inlineStr">
        <is>
          <t>137</t>
        </is>
      </c>
      <c r="C586" s="10" t="inlineStr">
        <is>
          <t>189</t>
        </is>
      </c>
      <c r="D586" s="10" t="inlineStr">
        <is>
          <t>190</t>
        </is>
      </c>
      <c r="E586" s="35" t="n">
        <v>2.6</v>
      </c>
      <c r="F586" s="35" t="n">
        <v>1.63</v>
      </c>
      <c r="G586" s="35" t="n">
        <v>7.55</v>
      </c>
      <c r="H586" s="35" t="n">
        <v>15.5</v>
      </c>
      <c r="I586" s="10" t="inlineStr">
        <is>
          <t>450×550</t>
        </is>
      </c>
      <c r="J586" s="10" t="n">
        <v>4</v>
      </c>
      <c r="K586" s="10" t="n">
        <v>4</v>
      </c>
      <c r="L586" s="10" t="n">
        <v>0</v>
      </c>
      <c r="M586" s="10" t="inlineStr">
        <is>
          <t>Nº3 cerrado</t>
        </is>
      </c>
      <c r="N586" s="10" t="n">
        <v>2</v>
      </c>
      <c r="O586" s="35" t="n">
        <v>120</v>
      </c>
      <c r="P586" s="35" t="n">
        <v>240</v>
      </c>
      <c r="Q586" s="35" t="n">
        <v>0.2925449143589621</v>
      </c>
      <c r="R586" s="10" t="inlineStr">
        <is>
          <t>SÍ</t>
        </is>
      </c>
      <c r="S586" s="15" t="inlineStr">
        <is>
          <t>CUMPLE</t>
        </is>
      </c>
      <c r="T586" s="3" t="inlineStr">
        <is>
          <t>coordinar con planta y reanálisis global</t>
        </is>
      </c>
    </row>
    <row r="587">
      <c r="A587" s="27" t="inlineStr">
        <is>
          <t>VRAUX</t>
        </is>
      </c>
      <c r="B587" s="10" t="inlineStr">
        <is>
          <t>138</t>
        </is>
      </c>
      <c r="C587" s="10" t="inlineStr">
        <is>
          <t>191</t>
        </is>
      </c>
      <c r="D587" s="10" t="inlineStr">
        <is>
          <t>192</t>
        </is>
      </c>
      <c r="E587" s="35" t="n">
        <v>2.6</v>
      </c>
      <c r="F587" s="35" t="n">
        <v>13.87</v>
      </c>
      <c r="G587" s="35" t="n">
        <v>7.55</v>
      </c>
      <c r="H587" s="35" t="n">
        <v>15.5</v>
      </c>
      <c r="I587" s="10" t="inlineStr">
        <is>
          <t>450×550</t>
        </is>
      </c>
      <c r="J587" s="10" t="n">
        <v>4</v>
      </c>
      <c r="K587" s="10" t="n">
        <v>4</v>
      </c>
      <c r="L587" s="10" t="n">
        <v>0</v>
      </c>
      <c r="M587" s="10" t="inlineStr">
        <is>
          <t>Nº3 cerrado</t>
        </is>
      </c>
      <c r="N587" s="10" t="n">
        <v>2</v>
      </c>
      <c r="O587" s="35" t="n">
        <v>120</v>
      </c>
      <c r="P587" s="35" t="n">
        <v>240</v>
      </c>
      <c r="Q587" s="35" t="n">
        <v>0.2925540854195952</v>
      </c>
      <c r="R587" s="10" t="inlineStr">
        <is>
          <t>SÍ</t>
        </is>
      </c>
      <c r="S587" s="15" t="inlineStr">
        <is>
          <t>CUMPLE</t>
        </is>
      </c>
      <c r="T587" s="3" t="inlineStr">
        <is>
          <t>coordinar con planta y reanálisis global</t>
        </is>
      </c>
    </row>
    <row r="588">
      <c r="A588" s="27" t="inlineStr">
        <is>
          <t>VRAUX</t>
        </is>
      </c>
      <c r="B588" s="10" t="inlineStr">
        <is>
          <t>139</t>
        </is>
      </c>
      <c r="C588" s="10" t="inlineStr">
        <is>
          <t>193</t>
        </is>
      </c>
      <c r="D588" s="10" t="inlineStr">
        <is>
          <t>194</t>
        </is>
      </c>
      <c r="E588" s="35" t="n">
        <v>2.6</v>
      </c>
      <c r="F588" s="35" t="n">
        <v>1.63</v>
      </c>
      <c r="G588" s="35" t="n">
        <v>28.65</v>
      </c>
      <c r="H588" s="35" t="n">
        <v>15.5</v>
      </c>
      <c r="I588" s="10" t="inlineStr">
        <is>
          <t>450×550</t>
        </is>
      </c>
      <c r="J588" s="10" t="n">
        <v>4</v>
      </c>
      <c r="K588" s="10" t="n">
        <v>4</v>
      </c>
      <c r="L588" s="10" t="n">
        <v>0</v>
      </c>
      <c r="M588" s="10" t="inlineStr">
        <is>
          <t>Nº3 cerrado</t>
        </is>
      </c>
      <c r="N588" s="10" t="n">
        <v>2</v>
      </c>
      <c r="O588" s="35" t="n">
        <v>120</v>
      </c>
      <c r="P588" s="35" t="n">
        <v>240</v>
      </c>
      <c r="Q588" s="35" t="n">
        <v>0.2925321191560368</v>
      </c>
      <c r="R588" s="10" t="inlineStr">
        <is>
          <t>SÍ</t>
        </is>
      </c>
      <c r="S588" s="15" t="inlineStr">
        <is>
          <t>CUMPLE</t>
        </is>
      </c>
      <c r="T588" s="3" t="inlineStr">
        <is>
          <t>coordinar con planta y reanálisis global</t>
        </is>
      </c>
    </row>
    <row r="589">
      <c r="A589" s="27" t="inlineStr">
        <is>
          <t>VRAUX</t>
        </is>
      </c>
      <c r="B589" s="10" t="inlineStr">
        <is>
          <t>140</t>
        </is>
      </c>
      <c r="C589" s="10" t="inlineStr">
        <is>
          <t>195</t>
        </is>
      </c>
      <c r="D589" s="10" t="inlineStr">
        <is>
          <t>196</t>
        </is>
      </c>
      <c r="E589" s="35" t="n">
        <v>2.6</v>
      </c>
      <c r="F589" s="35" t="n">
        <v>13.87</v>
      </c>
      <c r="G589" s="35" t="n">
        <v>28.65</v>
      </c>
      <c r="H589" s="35" t="n">
        <v>15.5</v>
      </c>
      <c r="I589" s="10" t="inlineStr">
        <is>
          <t>450×550</t>
        </is>
      </c>
      <c r="J589" s="10" t="n">
        <v>4</v>
      </c>
      <c r="K589" s="10" t="n">
        <v>4</v>
      </c>
      <c r="L589" s="10" t="n">
        <v>0</v>
      </c>
      <c r="M589" s="10" t="inlineStr">
        <is>
          <t>Nº3 cerrado</t>
        </is>
      </c>
      <c r="N589" s="10" t="n">
        <v>2</v>
      </c>
      <c r="O589" s="35" t="n">
        <v>120</v>
      </c>
      <c r="P589" s="35" t="n">
        <v>240</v>
      </c>
      <c r="Q589" s="35" t="n">
        <v>0.2925241101819865</v>
      </c>
      <c r="R589" s="10" t="inlineStr">
        <is>
          <t>SÍ</t>
        </is>
      </c>
      <c r="S589" s="15" t="inlineStr">
        <is>
          <t>CUMPLE</t>
        </is>
      </c>
      <c r="T589" s="3" t="inlineStr">
        <is>
          <t>coordinar con planta y reanálisis global</t>
        </is>
      </c>
    </row>
    <row r="590">
      <c r="A590" s="27" t="inlineStr">
        <is>
          <t>VRAUX</t>
        </is>
      </c>
      <c r="B590" s="10" t="inlineStr">
        <is>
          <t>141</t>
        </is>
      </c>
      <c r="C590" s="10" t="inlineStr">
        <is>
          <t>197</t>
        </is>
      </c>
      <c r="D590" s="10" t="inlineStr">
        <is>
          <t>198</t>
        </is>
      </c>
      <c r="E590" s="35" t="n">
        <v>2.5</v>
      </c>
      <c r="F590" s="35" t="n">
        <v>4.85</v>
      </c>
      <c r="G590" s="35" t="n">
        <v>26.1</v>
      </c>
      <c r="H590" s="35" t="n">
        <v>15.5</v>
      </c>
      <c r="I590" s="10" t="inlineStr">
        <is>
          <t>450×550</t>
        </is>
      </c>
      <c r="J590" s="10" t="n">
        <v>4</v>
      </c>
      <c r="K590" s="10" t="n">
        <v>4</v>
      </c>
      <c r="L590" s="10" t="n">
        <v>8</v>
      </c>
      <c r="M590" s="10" t="inlineStr">
        <is>
          <t>Nº3 cerrado</t>
        </is>
      </c>
      <c r="N590" s="10" t="n">
        <v>2</v>
      </c>
      <c r="O590" s="35" t="n">
        <v>120</v>
      </c>
      <c r="P590" s="35" t="n">
        <v>190</v>
      </c>
      <c r="Q590" s="35" t="n">
        <v>0.3284439000690294</v>
      </c>
      <c r="R590" s="10" t="inlineStr">
        <is>
          <t>SÍ</t>
        </is>
      </c>
      <c r="S590" s="15" t="inlineStr">
        <is>
          <t>CUMPLE</t>
        </is>
      </c>
      <c r="T590" s="3" t="inlineStr">
        <is>
          <t>coordinar con planta y reanálisis global</t>
        </is>
      </c>
    </row>
    <row r="591">
      <c r="A591" s="27" t="inlineStr">
        <is>
          <t>VRAUX</t>
        </is>
      </c>
      <c r="B591" s="10" t="inlineStr">
        <is>
          <t>142</t>
        </is>
      </c>
      <c r="C591" s="10" t="inlineStr">
        <is>
          <t>199</t>
        </is>
      </c>
      <c r="D591" s="10" t="inlineStr">
        <is>
          <t>200</t>
        </is>
      </c>
      <c r="E591" s="35" t="n">
        <v>2.5</v>
      </c>
      <c r="F591" s="35" t="n">
        <v>10.65</v>
      </c>
      <c r="G591" s="35" t="n">
        <v>26.1</v>
      </c>
      <c r="H591" s="35" t="n">
        <v>15.5</v>
      </c>
      <c r="I591" s="10" t="inlineStr">
        <is>
          <t>450×550</t>
        </is>
      </c>
      <c r="J591" s="10" t="n">
        <v>4</v>
      </c>
      <c r="K591" s="10" t="n">
        <v>4</v>
      </c>
      <c r="L591" s="10" t="n">
        <v>8</v>
      </c>
      <c r="M591" s="10" t="inlineStr">
        <is>
          <t>Nº3 cerrado</t>
        </is>
      </c>
      <c r="N591" s="10" t="n">
        <v>2</v>
      </c>
      <c r="O591" s="35" t="n">
        <v>120</v>
      </c>
      <c r="P591" s="35" t="n">
        <v>190</v>
      </c>
      <c r="Q591" s="35" t="n">
        <v>0.3283620894905159</v>
      </c>
      <c r="R591" s="10" t="inlineStr">
        <is>
          <t>SÍ</t>
        </is>
      </c>
      <c r="S591" s="15" t="inlineStr">
        <is>
          <t>CUMPLE</t>
        </is>
      </c>
      <c r="T591" s="3" t="inlineStr">
        <is>
          <t>coordinar con planta y reanálisis global</t>
        </is>
      </c>
    </row>
    <row r="592">
      <c r="A592" s="27" t="inlineStr">
        <is>
          <t>VRAUX</t>
        </is>
      </c>
      <c r="B592" s="10" t="inlineStr">
        <is>
          <t>143</t>
        </is>
      </c>
      <c r="C592" s="10" t="inlineStr">
        <is>
          <t>201</t>
        </is>
      </c>
      <c r="D592" s="10" t="inlineStr">
        <is>
          <t>202</t>
        </is>
      </c>
      <c r="E592" s="35" t="n">
        <v>2.5</v>
      </c>
      <c r="F592" s="35" t="n">
        <v>4.85</v>
      </c>
      <c r="G592" s="35" t="n">
        <v>10.1</v>
      </c>
      <c r="H592" s="35" t="n">
        <v>15.5</v>
      </c>
      <c r="I592" s="10" t="inlineStr">
        <is>
          <t>450×550</t>
        </is>
      </c>
      <c r="J592" s="10" t="n">
        <v>4</v>
      </c>
      <c r="K592" s="10" t="n">
        <v>4</v>
      </c>
      <c r="L592" s="10" t="n">
        <v>8</v>
      </c>
      <c r="M592" s="10" t="inlineStr">
        <is>
          <t>Nº3 cerrado</t>
        </is>
      </c>
      <c r="N592" s="10" t="n">
        <v>2</v>
      </c>
      <c r="O592" s="35" t="n">
        <v>120</v>
      </c>
      <c r="P592" s="35" t="n">
        <v>190</v>
      </c>
      <c r="Q592" s="35" t="n">
        <v>0.3281943901447601</v>
      </c>
      <c r="R592" s="10" t="inlineStr">
        <is>
          <t>SÍ</t>
        </is>
      </c>
      <c r="S592" s="15" t="inlineStr">
        <is>
          <t>CUMPLE</t>
        </is>
      </c>
      <c r="T592" s="3" t="inlineStr">
        <is>
          <t>coordinar con planta y reanálisis global</t>
        </is>
      </c>
    </row>
    <row r="593">
      <c r="A593" s="27" t="inlineStr">
        <is>
          <t>VRAUX</t>
        </is>
      </c>
      <c r="B593" s="10" t="inlineStr">
        <is>
          <t>144</t>
        </is>
      </c>
      <c r="C593" s="10" t="inlineStr">
        <is>
          <t>203</t>
        </is>
      </c>
      <c r="D593" s="10" t="inlineStr">
        <is>
          <t>204</t>
        </is>
      </c>
      <c r="E593" s="35" t="n">
        <v>2.5</v>
      </c>
      <c r="F593" s="35" t="n">
        <v>10.65</v>
      </c>
      <c r="G593" s="35" t="n">
        <v>10.1</v>
      </c>
      <c r="H593" s="35" t="n">
        <v>15.5</v>
      </c>
      <c r="I593" s="10" t="inlineStr">
        <is>
          <t>450×550</t>
        </is>
      </c>
      <c r="J593" s="10" t="n">
        <v>4</v>
      </c>
      <c r="K593" s="10" t="n">
        <v>4</v>
      </c>
      <c r="L593" s="10" t="n">
        <v>8</v>
      </c>
      <c r="M593" s="10" t="inlineStr">
        <is>
          <t>Nº3 cerrado</t>
        </is>
      </c>
      <c r="N593" s="10" t="n">
        <v>2</v>
      </c>
      <c r="O593" s="35" t="n">
        <v>120</v>
      </c>
      <c r="P593" s="35" t="n">
        <v>190</v>
      </c>
      <c r="Q593" s="35" t="n">
        <v>0.3282751980090117</v>
      </c>
      <c r="R593" s="10" t="inlineStr">
        <is>
          <t>SÍ</t>
        </is>
      </c>
      <c r="S593" s="15" t="inlineStr">
        <is>
          <t>CUMPLE</t>
        </is>
      </c>
      <c r="T593" s="3" t="inlineStr">
        <is>
          <t>coordinar con planta y reanálisis global</t>
        </is>
      </c>
    </row>
  </sheetData>
  <autoFilter ref="A1:T5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26" customWidth="1" min="10" max="10"/>
  </cols>
  <sheetData>
    <row r="1">
      <c r="A1" s="28" t="inlineStr">
        <is>
          <t>AUDITORÍA DE DATOS Y RESULTADOS</t>
        </is>
      </c>
    </row>
    <row r="3">
      <c r="A3" s="2" t="inlineStr">
        <is>
          <t>Fuente SAP</t>
        </is>
      </c>
      <c r="B3" s="3" t="inlineStr">
        <is>
          <t>resultados sap.xlsx — SAP2000 v26, unidades kN, m, C</t>
        </is>
      </c>
    </row>
    <row r="4">
      <c r="A4" s="2" t="inlineStr">
        <is>
          <t>Filas Element Forces - Frames</t>
        </is>
      </c>
      <c r="B4" s="3" t="inlineStr">
        <is>
          <t>20.656</t>
        </is>
      </c>
    </row>
    <row r="5">
      <c r="A5" s="2" t="inlineStr">
        <is>
          <t>Vigas incluidas en grupos</t>
        </is>
      </c>
      <c r="B5" s="3" t="inlineStr">
        <is>
          <t>592</t>
        </is>
      </c>
    </row>
    <row r="6">
      <c r="A6" s="2" t="inlineStr">
        <is>
          <t>Envolventes</t>
        </is>
      </c>
      <c r="B6" s="3" t="inlineStr">
        <is>
          <t>ENVFLEX y ENVCORT, máximos y mínimos</t>
        </is>
      </c>
    </row>
    <row r="7">
      <c r="A7" s="2" t="inlineStr">
        <is>
          <t>Grupos con estado NO CUMPLE</t>
        </is>
      </c>
      <c r="B7" s="3" t="inlineStr">
        <is>
          <t>6</t>
        </is>
      </c>
    </row>
    <row r="8">
      <c r="A8" s="2" t="inlineStr">
        <is>
          <t>Vigas con estado NO CUMPLE</t>
        </is>
      </c>
      <c r="B8" s="3" t="inlineStr">
        <is>
          <t>56</t>
        </is>
      </c>
    </row>
    <row r="9">
      <c r="A9" s="2" t="inlineStr">
        <is>
          <t>Criterio de torsión</t>
        </is>
      </c>
      <c r="B9" s="3" t="inlineStr">
        <is>
          <t>Tu bruto de ambas envolventes, sin recorte automático a φTcr.</t>
        </is>
      </c>
    </row>
    <row r="10">
      <c r="A10" s="2" t="inlineStr">
        <is>
          <t>Criterio de Al</t>
        </is>
      </c>
      <c r="B10" s="3" t="inlineStr">
        <is>
          <t>Barras Nº5 dedicadas, adicionales al acero requerido por flexión.</t>
        </is>
      </c>
    </row>
    <row r="11">
      <c r="A11" s="2" t="inlineStr">
        <is>
          <t>Condición de emisión</t>
        </is>
      </c>
      <c r="B11" s="3" t="inlineStr">
        <is>
          <t>NO EMITIR PARA CONSTRUCCIÓN: existen incumplimientos y falta reanálisis/plantas de localización.</t>
        </is>
      </c>
    </row>
    <row r="12">
      <c r="A12" s="36" t="inlineStr">
        <is>
          <t>Archivo</t>
        </is>
      </c>
      <c r="B12" s="37" t="inlineStr">
        <is>
          <t>SHA-256</t>
        </is>
      </c>
    </row>
    <row r="13">
      <c r="A13" s="4" t="inlineStr">
        <is>
          <t>resultados sap.xlsx</t>
        </is>
      </c>
      <c r="B13" s="4" t="inlineStr">
        <is>
          <t>b2512557f93de5f96e4f0bccf5b9319477488b2c433c8c706e7d7b6bea1096e9</t>
        </is>
      </c>
    </row>
    <row r="18">
      <c r="A18" s="36" t="inlineStr">
        <is>
          <t>Grupo</t>
        </is>
      </c>
      <c r="B18" s="36" t="inlineStr">
        <is>
          <t>N</t>
        </is>
      </c>
      <c r="C18" s="36" t="inlineStr">
        <is>
          <t>L estación mín</t>
        </is>
      </c>
      <c r="D18" s="36" t="inlineStr">
        <is>
          <t>L estación máx</t>
        </is>
      </c>
      <c r="E18" s="36" t="inlineStr">
        <is>
          <t>Frame Mu−</t>
        </is>
      </c>
      <c r="F18" s="36" t="inlineStr">
        <is>
          <t>Frame Mu+</t>
        </is>
      </c>
      <c r="G18" s="36" t="inlineStr">
        <is>
          <t>Frame Vu</t>
        </is>
      </c>
      <c r="H18" s="36" t="inlineStr">
        <is>
          <t>Estado</t>
        </is>
      </c>
      <c r="I18" s="36" t="inlineStr">
        <is>
          <t>Sección adoptada</t>
        </is>
      </c>
      <c r="J18" s="36" t="inlineStr">
        <is>
          <t>Nota</t>
        </is>
      </c>
    </row>
    <row r="19">
      <c r="A19" s="13" t="inlineStr">
        <is>
          <t>VC1</t>
        </is>
      </c>
      <c r="B19" s="10" t="n">
        <v>20</v>
      </c>
      <c r="C19" s="10" t="n">
        <v>3.75</v>
      </c>
      <c r="D19" s="10" t="n">
        <v>3.75</v>
      </c>
      <c r="E19" s="10" t="inlineStr">
        <is>
          <t>154</t>
        </is>
      </c>
      <c r="F19" s="10" t="inlineStr">
        <is>
          <t>153</t>
        </is>
      </c>
      <c r="G19" s="10" t="inlineStr">
        <is>
          <t>154</t>
        </is>
      </c>
      <c r="H19" s="10" t="inlineStr">
        <is>
          <t>CUMPLE</t>
        </is>
      </c>
      <c r="I19" s="10" t="inlineStr">
        <is>
          <t>450×550 mm</t>
        </is>
      </c>
      <c r="J19" s="10" t="inlineStr">
        <is>
          <t>Verificado, sujeto a coordinación global</t>
        </is>
      </c>
    </row>
    <row r="20">
      <c r="A20" s="16" t="inlineStr">
        <is>
          <t>VC2</t>
        </is>
      </c>
      <c r="B20" s="10" t="n">
        <v>40</v>
      </c>
      <c r="C20" s="10" t="n">
        <v>3.75</v>
      </c>
      <c r="D20" s="10" t="n">
        <v>4</v>
      </c>
      <c r="E20" s="10" t="inlineStr">
        <is>
          <t>56</t>
        </is>
      </c>
      <c r="F20" s="10" t="inlineStr">
        <is>
          <t>55</t>
        </is>
      </c>
      <c r="G20" s="10" t="inlineStr">
        <is>
          <t>56</t>
        </is>
      </c>
      <c r="H20" s="10" t="inlineStr">
        <is>
          <t>CUMPLE</t>
        </is>
      </c>
      <c r="I20" s="10" t="inlineStr">
        <is>
          <t>450×550 mm</t>
        </is>
      </c>
      <c r="J20" s="10" t="inlineStr">
        <is>
          <t>Verificado, sujeto a coordinación global</t>
        </is>
      </c>
    </row>
    <row r="21">
      <c r="A21" s="17" t="inlineStr">
        <is>
          <t>VC3</t>
        </is>
      </c>
      <c r="B21" s="10" t="n">
        <v>40</v>
      </c>
      <c r="C21" s="10" t="n">
        <v>3.81477</v>
      </c>
      <c r="D21" s="10" t="n">
        <v>4</v>
      </c>
      <c r="E21" s="10" t="inlineStr">
        <is>
          <t>60</t>
        </is>
      </c>
      <c r="F21" s="10" t="inlineStr">
        <is>
          <t>57</t>
        </is>
      </c>
      <c r="G21" s="10" t="inlineStr">
        <is>
          <t>58</t>
        </is>
      </c>
      <c r="H21" s="10" t="inlineStr">
        <is>
          <t>CUMPLE</t>
        </is>
      </c>
      <c r="I21" s="10" t="inlineStr">
        <is>
          <t>450×550 mm</t>
        </is>
      </c>
      <c r="J21" s="10" t="inlineStr">
        <is>
          <t>Verificado, sujeto a coordinación global</t>
        </is>
      </c>
    </row>
    <row r="22">
      <c r="A22" s="18" t="inlineStr">
        <is>
          <t>VC4</t>
        </is>
      </c>
      <c r="B22" s="10" t="n">
        <v>20</v>
      </c>
      <c r="C22" s="10" t="n">
        <v>3.85</v>
      </c>
      <c r="D22" s="10" t="n">
        <v>3.85</v>
      </c>
      <c r="E22" s="10" t="inlineStr">
        <is>
          <t>61</t>
        </is>
      </c>
      <c r="F22" s="10" t="inlineStr">
        <is>
          <t>62</t>
        </is>
      </c>
      <c r="G22" s="10" t="inlineStr">
        <is>
          <t>61</t>
        </is>
      </c>
      <c r="H22" s="10" t="inlineStr">
        <is>
          <t>NO CUMPLE</t>
        </is>
      </c>
      <c r="I22" s="10" t="inlineStr">
        <is>
          <t>450×550 mm</t>
        </is>
      </c>
      <c r="J22" s="10" t="inlineStr">
        <is>
          <t>NO EMITIR: contiene frames no conformes</t>
        </is>
      </c>
    </row>
    <row r="23">
      <c r="A23" s="15" t="inlineStr">
        <is>
          <t>VC5</t>
        </is>
      </c>
      <c r="B23" s="10" t="n">
        <v>40</v>
      </c>
      <c r="C23" s="10" t="n">
        <v>3.85</v>
      </c>
      <c r="D23" s="10" t="n">
        <v>3.9</v>
      </c>
      <c r="E23" s="10" t="inlineStr">
        <is>
          <t>84</t>
        </is>
      </c>
      <c r="F23" s="10" t="inlineStr">
        <is>
          <t>63</t>
        </is>
      </c>
      <c r="G23" s="10" t="inlineStr">
        <is>
          <t>84</t>
        </is>
      </c>
      <c r="H23" s="10" t="inlineStr">
        <is>
          <t>NO CUMPLE</t>
        </is>
      </c>
      <c r="I23" s="10" t="inlineStr">
        <is>
          <t>450×550 mm</t>
        </is>
      </c>
      <c r="J23" s="10" t="inlineStr">
        <is>
          <t>NO EMITIR: contiene frames no conformes</t>
        </is>
      </c>
    </row>
    <row r="24">
      <c r="A24" s="20" t="inlineStr">
        <is>
          <t>VC6</t>
        </is>
      </c>
      <c r="B24" s="10" t="n">
        <v>40</v>
      </c>
      <c r="C24" s="10" t="n">
        <v>3.85</v>
      </c>
      <c r="D24" s="10" t="n">
        <v>3.9</v>
      </c>
      <c r="E24" s="10" t="inlineStr">
        <is>
          <t>70</t>
        </is>
      </c>
      <c r="F24" s="10" t="inlineStr">
        <is>
          <t>67</t>
        </is>
      </c>
      <c r="G24" s="10" t="inlineStr">
        <is>
          <t>70</t>
        </is>
      </c>
      <c r="H24" s="10" t="inlineStr">
        <is>
          <t>NO CUMPLE</t>
        </is>
      </c>
      <c r="I24" s="10" t="inlineStr">
        <is>
          <t>450×550 mm</t>
        </is>
      </c>
      <c r="J24" s="10" t="inlineStr">
        <is>
          <t>NO EMITIR: contiene frames no conformes</t>
        </is>
      </c>
    </row>
    <row r="25">
      <c r="A25" s="21" t="inlineStr">
        <is>
          <t>VC7</t>
        </is>
      </c>
      <c r="B25" s="10" t="n">
        <v>40</v>
      </c>
      <c r="C25" s="10" t="n">
        <v>2.65</v>
      </c>
      <c r="D25" s="10" t="n">
        <v>5.1</v>
      </c>
      <c r="E25" s="10" t="inlineStr">
        <is>
          <t>74</t>
        </is>
      </c>
      <c r="F25" s="10" t="inlineStr">
        <is>
          <t>75</t>
        </is>
      </c>
      <c r="G25" s="10" t="inlineStr">
        <is>
          <t>75</t>
        </is>
      </c>
      <c r="H25" s="10" t="inlineStr">
        <is>
          <t>NO CUMPLE</t>
        </is>
      </c>
      <c r="I25" s="10" t="inlineStr">
        <is>
          <t>450×550 mm</t>
        </is>
      </c>
      <c r="J25" s="10" t="inlineStr">
        <is>
          <t>NO EMITIR: contiene frames no conformes</t>
        </is>
      </c>
    </row>
    <row r="26">
      <c r="A26" s="23" t="inlineStr">
        <is>
          <t>VR1</t>
        </is>
      </c>
      <c r="B26" s="10" t="n">
        <v>80</v>
      </c>
      <c r="C26" s="10" t="n">
        <v>2.5</v>
      </c>
      <c r="D26" s="10" t="n">
        <v>4</v>
      </c>
      <c r="E26" s="10" t="inlineStr">
        <is>
          <t>254</t>
        </is>
      </c>
      <c r="F26" s="10" t="inlineStr">
        <is>
          <t>251</t>
        </is>
      </c>
      <c r="G26" s="10" t="inlineStr">
        <is>
          <t>251</t>
        </is>
      </c>
      <c r="H26" s="10" t="inlineStr">
        <is>
          <t>CUMPLE</t>
        </is>
      </c>
      <c r="I26" s="10" t="inlineStr">
        <is>
          <t>500×550 mm</t>
        </is>
      </c>
      <c r="J26" s="10" t="inlineStr">
        <is>
          <t>Verificado, sujeto a coordinación global</t>
        </is>
      </c>
    </row>
    <row r="27">
      <c r="A27" s="24" t="inlineStr">
        <is>
          <t>VR N1</t>
        </is>
      </c>
      <c r="B27" s="10" t="n">
        <v>22</v>
      </c>
      <c r="C27" s="10" t="n">
        <v>2.5</v>
      </c>
      <c r="D27" s="10" t="n">
        <v>5.5</v>
      </c>
      <c r="E27" s="10" t="inlineStr">
        <is>
          <t>54</t>
        </is>
      </c>
      <c r="F27" s="10" t="inlineStr">
        <is>
          <t>45</t>
        </is>
      </c>
      <c r="G27" s="10" t="inlineStr">
        <is>
          <t>54</t>
        </is>
      </c>
      <c r="H27" s="10" t="inlineStr">
        <is>
          <t>CUMPLE</t>
        </is>
      </c>
      <c r="I27" s="10" t="inlineStr">
        <is>
          <t>500×550 mm</t>
        </is>
      </c>
      <c r="J27" s="10" t="inlineStr">
        <is>
          <t>Verificado, sujeto a coordinación global</t>
        </is>
      </c>
    </row>
    <row r="28">
      <c r="A28" s="25" t="inlineStr">
        <is>
          <t>VR2</t>
        </is>
      </c>
      <c r="B28" s="10" t="n">
        <v>140</v>
      </c>
      <c r="C28" s="10" t="n">
        <v>1.5</v>
      </c>
      <c r="D28" s="10" t="n">
        <v>4.17612</v>
      </c>
      <c r="E28" s="10" t="inlineStr">
        <is>
          <t>33</t>
        </is>
      </c>
      <c r="F28" s="10" t="inlineStr">
        <is>
          <t>44</t>
        </is>
      </c>
      <c r="G28" s="10" t="inlineStr">
        <is>
          <t>11</t>
        </is>
      </c>
      <c r="H28" s="10" t="inlineStr">
        <is>
          <t>NO CUMPLE</t>
        </is>
      </c>
      <c r="I28" s="10" t="inlineStr">
        <is>
          <t>500×550 mm</t>
        </is>
      </c>
      <c r="J28" s="10" t="inlineStr">
        <is>
          <t>NO EMITIR: contiene frames no conformes</t>
        </is>
      </c>
    </row>
    <row r="29">
      <c r="A29" s="26" t="inlineStr">
        <is>
          <t>VR3</t>
        </is>
      </c>
      <c r="B29" s="10" t="n">
        <v>70</v>
      </c>
      <c r="C29" s="10" t="n">
        <v>1.5</v>
      </c>
      <c r="D29" s="10" t="n">
        <v>4</v>
      </c>
      <c r="E29" s="10" t="inlineStr">
        <is>
          <t>231</t>
        </is>
      </c>
      <c r="F29" s="10" t="inlineStr">
        <is>
          <t>30</t>
        </is>
      </c>
      <c r="G29" s="10" t="inlineStr">
        <is>
          <t>30</t>
        </is>
      </c>
      <c r="H29" s="10" t="inlineStr">
        <is>
          <t>NO CUMPLE</t>
        </is>
      </c>
      <c r="I29" s="10" t="inlineStr">
        <is>
          <t>500×550 mm</t>
        </is>
      </c>
      <c r="J29" s="10" t="inlineStr">
        <is>
          <t>NO EMITIR: contiene frames no conformes</t>
        </is>
      </c>
    </row>
    <row r="30">
      <c r="A30" s="27" t="inlineStr">
        <is>
          <t>VRAUX</t>
        </is>
      </c>
      <c r="B30" s="10" t="n">
        <v>40</v>
      </c>
      <c r="C30" s="10" t="n">
        <v>2.5</v>
      </c>
      <c r="D30" s="10" t="n">
        <v>2.6</v>
      </c>
      <c r="E30" s="10" t="inlineStr">
        <is>
          <t>112</t>
        </is>
      </c>
      <c r="F30" s="10" t="inlineStr">
        <is>
          <t>109</t>
        </is>
      </c>
      <c r="G30" s="10" t="inlineStr">
        <is>
          <t>109</t>
        </is>
      </c>
      <c r="H30" s="10" t="inlineStr">
        <is>
          <t>CUMPLE</t>
        </is>
      </c>
      <c r="I30" s="10" t="inlineStr">
        <is>
          <t>450×550 mm</t>
        </is>
      </c>
      <c r="J30" s="10" t="inlineStr">
        <is>
          <t>Verificado, sujeto a coordinación global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2026-07-18T00:57:34Z</dcterms:created>
  <dcterms:modified xmlns:dcterms="http://purl.org/dc/terms/" xmlns:xsi="http://www.w3.org/2001/XMLSchema-instance" xsi:type="dcterms:W3CDTF">2026-07-18T00:57:36Z</dcterms:modified>
</cp:coreProperties>
</file>