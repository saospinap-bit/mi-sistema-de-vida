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gas de Carga (agrupado)" sheetId="1" state="visible" r:id="rId1"/>
    <sheet xmlns:r="http://schemas.openxmlformats.org/officeDocument/2006/relationships" name="Vigas de Rigidez (agrupado)" sheetId="2" state="visible" r:id="rId2"/>
    <sheet xmlns:r="http://schemas.openxmlformats.org/officeDocument/2006/relationships" name="Todas las Vigas" sheetId="3" state="visible" r:id="rId3"/>
    <sheet xmlns:r="http://schemas.openxmlformats.org/officeDocument/2006/relationships" name="Viguetas (agrupado)" sheetId="4" state="visible" r:id="rId4"/>
    <sheet xmlns:r="http://schemas.openxmlformats.org/officeDocument/2006/relationships" name="Todas las Vigu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###"/>
    <numFmt numFmtId="165" formatCode="0.0"/>
    <numFmt numFmtId="166" formatCode="0.000"/>
    <numFmt numFmtId="167" formatCode="0.00000"/>
  </numFmts>
  <fonts count="4">
    <font>
      <name val="Calibri"/>
      <family val="2"/>
      <color theme="1"/>
      <sz val="11"/>
      <scheme val="minor"/>
    </font>
    <font>
      <b val="1"/>
      <color rgb="001F4E78"/>
      <sz val="11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DA9BB"/>
      </left>
      <right style="thin">
        <color rgb="009DA9BB"/>
      </right>
      <top style="thin">
        <color rgb="009DA9BB"/>
      </top>
      <bottom style="thin">
        <color rgb="009DA9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1" t="inlineStr">
        <is>
          <t>VIGAS DE CARGA - AGRUPADO POR LONGITUD + CONDICION DE APOYO (12 grupos, con la mayor solicitacion de cada grupo). Seccion 0.30x0.40. Azul=entrada.</t>
        </is>
      </c>
    </row>
    <row r="2">
      <c r="A2" s="2" t="inlineStr">
        <is>
          <t>f'c</t>
        </is>
      </c>
      <c r="B2" s="3" t="n">
        <v>28</v>
      </c>
      <c r="C2" s="2" t="inlineStr">
        <is>
          <t>fy</t>
        </is>
      </c>
      <c r="D2" s="3" t="n">
        <v>420</v>
      </c>
      <c r="E2" s="2" t="inlineStr">
        <is>
          <t>rec</t>
        </is>
      </c>
      <c r="F2" s="3" t="n">
        <v>40</v>
      </c>
      <c r="G2" s="2" t="inlineStr">
        <is>
          <t>db#5</t>
        </is>
      </c>
      <c r="H2" s="3" t="n">
        <v>15.9</v>
      </c>
      <c r="I2" s="2" t="inlineStr">
        <is>
          <t>Ab#5</t>
        </is>
      </c>
      <c r="J2" s="3" t="n">
        <v>199</v>
      </c>
      <c r="K2" s="2" t="inlineStr">
        <is>
          <t>estr#3</t>
        </is>
      </c>
      <c r="L2" s="3" t="n">
        <v>9.5</v>
      </c>
      <c r="M2" s="2" t="inlineStr">
        <is>
          <t>Av</t>
        </is>
      </c>
      <c r="N2" s="3" t="n">
        <v>142</v>
      </c>
    </row>
    <row r="3">
      <c r="A3" s="4" t="inlineStr">
        <is>
          <t>ID</t>
        </is>
      </c>
      <c r="B3" s="4" t="inlineStr">
        <is>
          <t>L=Ln [m]</t>
        </is>
      </c>
      <c r="C3" s="4" t="inlineStr">
        <is>
          <t>Seccion</t>
        </is>
      </c>
      <c r="D3" s="4" t="inlineStr">
        <is>
          <t>b [m]</t>
        </is>
      </c>
      <c r="E3" s="4" t="inlineStr">
        <is>
          <t>h [m]</t>
        </is>
      </c>
      <c r="F3" s="4" t="inlineStr">
        <is>
          <t>Mu- [kN.m]</t>
        </is>
      </c>
      <c r="G3" s="4" t="inlineStr">
        <is>
          <t>Mu+ [kN.m]</t>
        </is>
      </c>
      <c r="H3" s="4" t="inlineStr">
        <is>
          <t>Vu [kN]</t>
        </is>
      </c>
      <c r="I3" s="4" t="inlineStr">
        <is>
          <t>Tu [kN.m]</t>
        </is>
      </c>
      <c r="J3" s="4" t="inlineStr">
        <is>
          <t>d [mm]</t>
        </is>
      </c>
      <c r="K3" s="4" t="inlineStr">
        <is>
          <t>Rn-</t>
        </is>
      </c>
      <c r="L3" s="4" t="inlineStr">
        <is>
          <t>rho-</t>
        </is>
      </c>
      <c r="M3" s="4" t="inlineStr">
        <is>
          <t>As- req</t>
        </is>
      </c>
      <c r="N3" s="4" t="inlineStr">
        <is>
          <t>As min</t>
        </is>
      </c>
      <c r="O3" s="4" t="inlineStr">
        <is>
          <t>As- dise</t>
        </is>
      </c>
      <c r="P3" s="4" t="inlineStr">
        <is>
          <t>N#5 sup</t>
        </is>
      </c>
      <c r="Q3" s="4" t="inlineStr">
        <is>
          <t>As- col</t>
        </is>
      </c>
      <c r="R3" s="4" t="inlineStr">
        <is>
          <t>a- [mm]</t>
        </is>
      </c>
      <c r="S3" s="4" t="inlineStr">
        <is>
          <t>phiMn-</t>
        </is>
      </c>
      <c r="T3" s="4" t="inlineStr">
        <is>
          <t>Chk-</t>
        </is>
      </c>
      <c r="U3" s="4" t="inlineStr">
        <is>
          <t>Rn+</t>
        </is>
      </c>
      <c r="V3" s="4" t="inlineStr">
        <is>
          <t>rho+</t>
        </is>
      </c>
      <c r="W3" s="4" t="inlineStr">
        <is>
          <t>As+ req</t>
        </is>
      </c>
      <c r="X3" s="4" t="inlineStr">
        <is>
          <t>As+ dise</t>
        </is>
      </c>
      <c r="Y3" s="4" t="inlineStr">
        <is>
          <t>N#5 inf</t>
        </is>
      </c>
      <c r="Z3" s="4" t="inlineStr">
        <is>
          <t>As+ col</t>
        </is>
      </c>
      <c r="AA3" s="4" t="inlineStr">
        <is>
          <t>phiMn+</t>
        </is>
      </c>
      <c r="AB3" s="4" t="inlineStr">
        <is>
          <t>Chk+</t>
        </is>
      </c>
      <c r="AC3" s="4" t="inlineStr">
        <is>
          <t>Vc [kN]</t>
        </is>
      </c>
      <c r="AD3" s="4" t="inlineStr">
        <is>
          <t>Vs req</t>
        </is>
      </c>
      <c r="AE3" s="4" t="inlineStr">
        <is>
          <t>s estr [mm]</t>
        </is>
      </c>
      <c r="AF3" s="4" t="inlineStr">
        <is>
          <t>Vs max</t>
        </is>
      </c>
      <c r="AG3" s="4" t="inlineStr">
        <is>
          <t>Chk V</t>
        </is>
      </c>
      <c r="AH3" s="4" t="inlineStr">
        <is>
          <t>T umbral</t>
        </is>
      </c>
      <c r="AI3" s="4" t="inlineStr">
        <is>
          <t>Torsion?</t>
        </is>
      </c>
      <c r="AJ3" s="4" t="inlineStr">
        <is>
          <t>At/s</t>
        </is>
      </c>
      <c r="AK3" s="4" t="inlineStr">
        <is>
          <t>Mpr-</t>
        </is>
      </c>
      <c r="AL3" s="4" t="inlineStr">
        <is>
          <t>Mpr+</t>
        </is>
      </c>
      <c r="AM3" s="4" t="inlineStr">
        <is>
          <t>Ve [kN]</t>
        </is>
      </c>
      <c r="AN3" s="4" t="inlineStr">
        <is>
          <t>V dis [kN]</t>
        </is>
      </c>
    </row>
    <row r="4">
      <c r="A4" s="5" t="inlineStr">
        <is>
          <t>VC-1 (2.50 Ext, 20)</t>
        </is>
      </c>
      <c r="B4" s="6" t="n">
        <v>2.5</v>
      </c>
      <c r="C4" s="7" t="inlineStr">
        <is>
          <t>VC</t>
        </is>
      </c>
      <c r="D4" s="8">
        <f>IF(C4="VR",0.35,0.30)</f>
        <v>0.3</v>
      </c>
      <c r="E4" s="6" t="n">
        <v>0.4</v>
      </c>
      <c r="F4" s="9" t="n">
        <v>10.4</v>
      </c>
      <c r="G4" s="9" t="n">
        <v>4</v>
      </c>
      <c r="H4" s="9" t="n">
        <v>14.2</v>
      </c>
      <c r="I4" s="6" t="n">
        <v>1.9</v>
      </c>
      <c r="J4" s="10">
        <f>E4*1000-$F$2-$L$2-$H$2/2</f>
        <v>342.55</v>
      </c>
      <c r="K4" s="11">
        <f>F4*1000000/(0.9*(D4*1000)*J4^2)</f>
        <v>0.3282627711</v>
      </c>
      <c r="L4" s="12">
        <f>(0.85*$B$2/$D$2)*(1-SQRT(1-2*K4/(0.85*$B$2)))</f>
        <v>0.0007870436534</v>
      </c>
      <c r="M4" s="13">
        <f>L4*(D4*1000)*J4</f>
        <v>80.88054104</v>
      </c>
      <c r="N4" s="13">
        <f>MAX(0.25*SQRT($B$2)/$D$2,1.4/$D$2)*(D4*1000)*J4</f>
        <v>342.55</v>
      </c>
      <c r="O4" s="13">
        <f>MAX(M4,N4)</f>
        <v>342.55</v>
      </c>
      <c r="P4" s="14">
        <f>ROUNDUP(O4/$J$2,0)</f>
        <v>2</v>
      </c>
      <c r="Q4" s="13">
        <f>P4*$J$2</f>
        <v>398</v>
      </c>
      <c r="R4" s="10">
        <f>Q4*$D$2/(0.85*$B$2*(D4*1000))</f>
        <v>23.41176471</v>
      </c>
      <c r="S4" s="10">
        <f>0.9*Q4*$D$2*(J4-R4/2)/1000000</f>
        <v>49.77351244</v>
      </c>
      <c r="T4" s="15" t="str">
        <f>IF(AND(S4&gt;=F4,O4&lt;=0.025*(D4*1000)*J4,O4&gt;=N4),"CUMPLE","REVISAR")</f>
        <v>CUMPLE</v>
      </c>
      <c r="U4" s="11">
        <f>G4*1000000/(0.9*(D4*1000)*J4^2)</f>
        <v>0.126254912</v>
      </c>
      <c r="V4" s="12">
        <f>(0.85*$B$2/$D$2)*(1-SQRT(1-2*U4/(0.85*$B$2)))</f>
        <v>0.0003014085253</v>
      </c>
      <c r="W4" s="13">
        <f>V4*(D4*1000)*J4</f>
        <v>30.97424711</v>
      </c>
      <c r="X4" s="13">
        <f>MAX(W4,N4)</f>
        <v>342.55</v>
      </c>
      <c r="Y4" s="14">
        <f>ROUNDUP(X4/$J$2,0)</f>
        <v>2</v>
      </c>
      <c r="Z4" s="13">
        <f>Y4*$J$2</f>
        <v>398</v>
      </c>
      <c r="AA4" s="10">
        <f>0.9*Z4*$D$2*(J4-(Z4*$D$2/(0.85*$B$2*(D4*1000)))/2)/1000000</f>
        <v>49.77351244</v>
      </c>
      <c r="AB4" s="15" t="str">
        <f>IF(AA4&gt;=G4,"CUMPLE","REVISAR")</f>
        <v>CUMPLE</v>
      </c>
      <c r="AC4" s="10">
        <f>0.17*SQRT($B$2)*(D4*1000)*J4/1000</f>
        <v>92.44281538</v>
      </c>
      <c r="AD4" s="10">
        <f>MAX(H4/0.75-AC4,0)</f>
        <v>0</v>
      </c>
      <c r="AE4" s="14">
        <f>IF(AD4&gt;0,MIN($N$2*$D$2*J4/(AD4*1000),MIN(J4/4,6*$H$2,150)),MIN(J4/4,6*$H$2,150))</f>
        <v>85.6375</v>
      </c>
      <c r="AF4" s="10">
        <f>0.66*SQRT($B$2)*(D4*1000)*J4/1000</f>
        <v>358.8956362</v>
      </c>
      <c r="AG4" s="15" t="str">
        <f>IF(AD4&lt;=AF4,"CUMPLE","AUMENTAR SECCION")</f>
        <v>CUMPLE</v>
      </c>
      <c r="AH4" s="10">
        <f>0.75*0.083*SQRT($B$2)*(((D4*1000)*(E4*1000))^2/(2*((D4*1000)+(E4*1000))))/1000000</f>
        <v>3.388073536</v>
      </c>
      <c r="AI4" s="15" t="str">
        <f>IF(I4&gt;AH4,"SI","No")</f>
        <v>No</v>
      </c>
      <c r="AJ4" s="11">
        <f>IF(I4&gt;AH4,I4*1000000/(0.75*2*0.85*((D4*1000-2*$F$2)*(E4*1000-2*$F$2))*$D$2),0)</f>
        <v>0</v>
      </c>
      <c r="AK4" s="10">
        <f>1.25*Q4*$D$2*(J4-(1.25*Q4*$D$2/(0.85*$B$2*(D4*1000)))/2)/1000000</f>
        <v>68.51839235</v>
      </c>
      <c r="AL4" s="10">
        <f>1.25*Z4*$D$2*(J4-(1.25*Z4*$D$2/(0.85*$B$2*(D4*1000)))/2)/1000000</f>
        <v>68.51839235</v>
      </c>
      <c r="AM4" s="10">
        <f>(AK4+AL4)/B4</f>
        <v>54.81471388</v>
      </c>
      <c r="AN4" s="10">
        <f>MAX(H4,AM4)</f>
        <v>54.81471388</v>
      </c>
    </row>
    <row r="5">
      <c r="A5" s="5" t="inlineStr">
        <is>
          <t>VC-2 (2.60 Ext, 20)</t>
        </is>
      </c>
      <c r="B5" s="6" t="n">
        <v>2.6</v>
      </c>
      <c r="C5" s="7" t="inlineStr">
        <is>
          <t>VC</t>
        </is>
      </c>
      <c r="D5" s="8">
        <f>IF(C5="VR",0.35,0.30)</f>
        <v>0.3</v>
      </c>
      <c r="E5" s="6" t="n">
        <v>0.4</v>
      </c>
      <c r="F5" s="9" t="n">
        <v>6.9</v>
      </c>
      <c r="G5" s="9" t="n">
        <v>2.3</v>
      </c>
      <c r="H5" s="9" t="n">
        <v>12</v>
      </c>
      <c r="I5" s="6" t="n">
        <v>0.3</v>
      </c>
      <c r="J5" s="10">
        <f>E5*1000-$F$2-$L$2-$H$2/2</f>
        <v>342.55</v>
      </c>
      <c r="K5" s="11">
        <f>F5*1000000/(0.9*(D5*1000)*J5^2)</f>
        <v>0.2177897232</v>
      </c>
      <c r="L5" s="12">
        <f>(0.85*$B$2/$D$2)*(1-SQRT(1-2*K5/(0.85*$B$2)))</f>
        <v>0.0005209414896</v>
      </c>
      <c r="M5" s="13">
        <f>L5*(D5*1000)*J5</f>
        <v>53.53455218</v>
      </c>
      <c r="N5" s="13">
        <f>MAX(0.25*SQRT($B$2)/$D$2,1.4/$D$2)*(D5*1000)*J5</f>
        <v>342.55</v>
      </c>
      <c r="O5" s="13">
        <f>MAX(M5,N5)</f>
        <v>342.55</v>
      </c>
      <c r="P5" s="14">
        <f>ROUNDUP(O5/$J$2,0)</f>
        <v>2</v>
      </c>
      <c r="Q5" s="13">
        <f>P5*$J$2</f>
        <v>398</v>
      </c>
      <c r="R5" s="10">
        <f>Q5*$D$2/(0.85*$B$2*(D5*1000))</f>
        <v>23.41176471</v>
      </c>
      <c r="S5" s="10">
        <f>0.9*Q5*$D$2*(J5-R5/2)/1000000</f>
        <v>49.77351244</v>
      </c>
      <c r="T5" s="15" t="str">
        <f>IF(AND(S5&gt;=F5,O5&lt;=0.025*(D5*1000)*J5,O5&gt;=N5),"CUMPLE","REVISAR")</f>
        <v>CUMPLE</v>
      </c>
      <c r="U5" s="11">
        <f>G5*1000000/(0.9*(D5*1000)*J5^2)</f>
        <v>0.07259657439</v>
      </c>
      <c r="V5" s="12">
        <f>(0.85*$B$2/$D$2)*(1-SQRT(1-2*U5/(0.85*$B$2)))</f>
        <v>0.0001731134124</v>
      </c>
      <c r="W5" s="13">
        <f>V5*(D5*1000)*J5</f>
        <v>17.78999983</v>
      </c>
      <c r="X5" s="13">
        <f>MAX(W5,N5)</f>
        <v>342.55</v>
      </c>
      <c r="Y5" s="14">
        <f>ROUNDUP(X5/$J$2,0)</f>
        <v>2</v>
      </c>
      <c r="Z5" s="13">
        <f>Y5*$J$2</f>
        <v>398</v>
      </c>
      <c r="AA5" s="10">
        <f>0.9*Z5*$D$2*(J5-(Z5*$D$2/(0.85*$B$2*(D5*1000)))/2)/1000000</f>
        <v>49.77351244</v>
      </c>
      <c r="AB5" s="15" t="str">
        <f>IF(AA5&gt;=G5,"CUMPLE","REVISAR")</f>
        <v>CUMPLE</v>
      </c>
      <c r="AC5" s="10">
        <f>0.17*SQRT($B$2)*(D5*1000)*J5/1000</f>
        <v>92.44281538</v>
      </c>
      <c r="AD5" s="10">
        <f>MAX(H5/0.75-AC5,0)</f>
        <v>0</v>
      </c>
      <c r="AE5" s="14">
        <f>IF(AD5&gt;0,MIN($N$2*$D$2*J5/(AD5*1000),MIN(J5/4,6*$H$2,150)),MIN(J5/4,6*$H$2,150))</f>
        <v>85.6375</v>
      </c>
      <c r="AF5" s="10">
        <f>0.66*SQRT($B$2)*(D5*1000)*J5/1000</f>
        <v>358.8956362</v>
      </c>
      <c r="AG5" s="15" t="str">
        <f>IF(AD5&lt;=AF5,"CUMPLE","AUMENTAR SECCION")</f>
        <v>CUMPLE</v>
      </c>
      <c r="AH5" s="10">
        <f>0.75*0.083*SQRT($B$2)*(((D5*1000)*(E5*1000))^2/(2*((D5*1000)+(E5*1000))))/1000000</f>
        <v>3.388073536</v>
      </c>
      <c r="AI5" s="15" t="str">
        <f>IF(I5&gt;AH5,"SI","No")</f>
        <v>No</v>
      </c>
      <c r="AJ5" s="11">
        <f>IF(I5&gt;AH5,I5*1000000/(0.75*2*0.85*((D5*1000-2*$F$2)*(E5*1000-2*$F$2))*$D$2),0)</f>
        <v>0</v>
      </c>
      <c r="AK5" s="10">
        <f>1.25*Q5*$D$2*(J5-(1.25*Q5*$D$2/(0.85*$B$2*(D5*1000)))/2)/1000000</f>
        <v>68.51839235</v>
      </c>
      <c r="AL5" s="10">
        <f>1.25*Z5*$D$2*(J5-(1.25*Z5*$D$2/(0.85*$B$2*(D5*1000)))/2)/1000000</f>
        <v>68.51839235</v>
      </c>
      <c r="AM5" s="10">
        <f>(AK5+AL5)/B5</f>
        <v>52.70645566</v>
      </c>
      <c r="AN5" s="10">
        <f>MAX(H5,AM5)</f>
        <v>52.70645566</v>
      </c>
    </row>
    <row r="6">
      <c r="A6" s="5" t="inlineStr">
        <is>
          <t>VC-3 (2.65 Ext, 20)</t>
        </is>
      </c>
      <c r="B6" s="6" t="n">
        <v>2.65</v>
      </c>
      <c r="C6" s="7" t="inlineStr">
        <is>
          <t>VC</t>
        </is>
      </c>
      <c r="D6" s="8">
        <f>IF(C6="VR",0.35,0.30)</f>
        <v>0.3</v>
      </c>
      <c r="E6" s="6" t="n">
        <v>0.4</v>
      </c>
      <c r="F6" s="9" t="n">
        <v>118.8</v>
      </c>
      <c r="G6" s="9" t="n">
        <v>102.8</v>
      </c>
      <c r="H6" s="9" t="n">
        <v>88.3</v>
      </c>
      <c r="I6" s="6" t="n">
        <v>0</v>
      </c>
      <c r="J6" s="10">
        <f>E6*1000-$F$2-$L$2-$H$2/2</f>
        <v>342.55</v>
      </c>
      <c r="K6" s="11">
        <f>F6*1000000/(0.9*(D6*1000)*J6^2)</f>
        <v>3.749770886</v>
      </c>
      <c r="L6" s="12">
        <f>(0.85*$B$2/$D$2)*(1-SQRT(1-2*K6/(0.85*$B$2)))</f>
        <v>0.009770311012</v>
      </c>
      <c r="M6" s="13">
        <f>L6*(D6*1000)*J6</f>
        <v>1004.046011</v>
      </c>
      <c r="N6" s="13">
        <f>MAX(0.25*SQRT($B$2)/$D$2,1.4/$D$2)*(D6*1000)*J6</f>
        <v>342.55</v>
      </c>
      <c r="O6" s="13">
        <f>MAX(M6,N6)</f>
        <v>1004.046011</v>
      </c>
      <c r="P6" s="14">
        <f>ROUNDUP(O6/$J$2,0)</f>
        <v>6</v>
      </c>
      <c r="Q6" s="13">
        <f>P6*$J$2</f>
        <v>1194</v>
      </c>
      <c r="R6" s="10">
        <f>Q6*$D$2/(0.85*$B$2*(D6*1000))</f>
        <v>70.23529412</v>
      </c>
      <c r="S6" s="10">
        <f>0.9*Q6*$D$2*(J6-R6/2)/1000000</f>
        <v>138.7540587</v>
      </c>
      <c r="T6" s="15" t="str">
        <f>IF(AND(S6&gt;=F6,O6&lt;=0.025*(D6*1000)*J6,O6&gt;=N6),"CUMPLE","REVISAR")</f>
        <v>CUMPLE</v>
      </c>
      <c r="U6" s="11">
        <f>G6*1000000/(0.9*(D6*1000)*J6^2)</f>
        <v>3.244751238</v>
      </c>
      <c r="V6" s="12">
        <f>(0.85*$B$2/$D$2)*(1-SQRT(1-2*U6/(0.85*$B$2)))</f>
        <v>0.008339207425</v>
      </c>
      <c r="W6" s="13">
        <f>V6*(D6*1000)*J6</f>
        <v>856.978651</v>
      </c>
      <c r="X6" s="13">
        <f>MAX(W6,N6)</f>
        <v>856.978651</v>
      </c>
      <c r="Y6" s="14">
        <f>ROUNDUP(X6/$J$2,0)</f>
        <v>5</v>
      </c>
      <c r="Z6" s="13">
        <f>Y6*$J$2</f>
        <v>995</v>
      </c>
      <c r="AA6" s="10">
        <f>0.9*Z6*$D$2*(J6-(Z6*$D$2/(0.85*$B$2*(D6*1000)))/2)/1000000</f>
        <v>117.829732</v>
      </c>
      <c r="AB6" s="15" t="str">
        <f>IF(AA6&gt;=G6,"CUMPLE","REVISAR")</f>
        <v>CUMPLE</v>
      </c>
      <c r="AC6" s="10">
        <f>0.17*SQRT($B$2)*(D6*1000)*J6/1000</f>
        <v>92.44281538</v>
      </c>
      <c r="AD6" s="10">
        <f>MAX(H6/0.75-AC6,0)</f>
        <v>25.29051795</v>
      </c>
      <c r="AE6" s="14">
        <f>IF(AD6&gt;0,MIN($N$2*$D$2*J6/(AD6*1000),MIN(J6/4,6*$H$2,150)),MIN(J6/4,6*$H$2,150))</f>
        <v>85.6375</v>
      </c>
      <c r="AF6" s="10">
        <f>0.66*SQRT($B$2)*(D6*1000)*J6/1000</f>
        <v>358.8956362</v>
      </c>
      <c r="AG6" s="15" t="str">
        <f>IF(AD6&lt;=AF6,"CUMPLE","AUMENTAR SECCION")</f>
        <v>CUMPLE</v>
      </c>
      <c r="AH6" s="10">
        <f>0.75*0.083*SQRT($B$2)*(((D6*1000)*(E6*1000))^2/(2*((D6*1000)+(E6*1000))))/1000000</f>
        <v>3.388073536</v>
      </c>
      <c r="AI6" s="15" t="str">
        <f>IF(I6&gt;AH6,"SI","No")</f>
        <v>No</v>
      </c>
      <c r="AJ6" s="11">
        <f>IF(I6&gt;AH6,I6*1000000/(0.75*2*0.85*((D6*1000-2*$F$2)*(E6*1000-2*$F$2))*$D$2),0)</f>
        <v>0</v>
      </c>
      <c r="AK6" s="10">
        <f>1.25*Q6*$D$2*(J6-(1.25*Q6*$D$2/(0.85*$B$2*(D6*1000)))/2)/1000000</f>
        <v>187.2105962</v>
      </c>
      <c r="AL6" s="10">
        <f>1.25*Z6*$D$2*(J6-(1.25*Z6*$D$2/(0.85*$B$2*(D6*1000)))/2)/1000000</f>
        <v>159.8306178</v>
      </c>
      <c r="AM6" s="10">
        <f>(AK6+AL6)/B6</f>
        <v>130.9589487</v>
      </c>
      <c r="AN6" s="10">
        <f>MAX(H6,AM6)</f>
        <v>130.9589487</v>
      </c>
    </row>
    <row r="7">
      <c r="A7" s="5" t="inlineStr">
        <is>
          <t>VC-4 (3.75 Ext, 28)</t>
        </is>
      </c>
      <c r="B7" s="6" t="n">
        <v>3.75</v>
      </c>
      <c r="C7" s="7" t="inlineStr">
        <is>
          <t>VC</t>
        </is>
      </c>
      <c r="D7" s="8">
        <f>IF(C7="VR",0.35,0.30)</f>
        <v>0.3</v>
      </c>
      <c r="E7" s="6" t="n">
        <v>0.4</v>
      </c>
      <c r="F7" s="9" t="n">
        <v>106</v>
      </c>
      <c r="G7" s="9" t="n">
        <v>89.59999999999999</v>
      </c>
      <c r="H7" s="9" t="n">
        <v>64.90000000000001</v>
      </c>
      <c r="I7" s="6" t="n">
        <v>0</v>
      </c>
      <c r="J7" s="10">
        <f>E7*1000-$F$2-$L$2-$H$2/2</f>
        <v>342.55</v>
      </c>
      <c r="K7" s="11">
        <f>F7*1000000/(0.9*(D7*1000)*J7^2)</f>
        <v>3.345755167</v>
      </c>
      <c r="L7" s="12">
        <f>(0.85*$B$2/$D$2)*(1-SQRT(1-2*K7/(0.85*$B$2)))</f>
        <v>0.008622017764</v>
      </c>
      <c r="M7" s="13">
        <f>L7*(D7*1000)*J7</f>
        <v>886.0416556</v>
      </c>
      <c r="N7" s="13">
        <f>MAX(0.25*SQRT($B$2)/$D$2,1.4/$D$2)*(D7*1000)*J7</f>
        <v>342.55</v>
      </c>
      <c r="O7" s="13">
        <f>MAX(M7,N7)</f>
        <v>886.0416556</v>
      </c>
      <c r="P7" s="14">
        <f>ROUNDUP(O7/$J$2,0)</f>
        <v>5</v>
      </c>
      <c r="Q7" s="13">
        <f>P7*$J$2</f>
        <v>995</v>
      </c>
      <c r="R7" s="10">
        <f>Q7*$D$2/(0.85*$B$2*(D7*1000))</f>
        <v>58.52941176</v>
      </c>
      <c r="S7" s="10">
        <f>0.9*Q7*$D$2*(J7-R7/2)/1000000</f>
        <v>117.829732</v>
      </c>
      <c r="T7" s="15" t="str">
        <f>IF(AND(S7&gt;=F7,O7&lt;=0.025*(D7*1000)*J7,O7&gt;=N7),"CUMPLE","REVISAR")</f>
        <v>CUMPLE</v>
      </c>
      <c r="U7" s="11">
        <f>G7*1000000/(0.9*(D7*1000)*J7^2)</f>
        <v>2.828110028</v>
      </c>
      <c r="V7" s="12">
        <f>(0.85*$B$2/$D$2)*(1-SQRT(1-2*U7/(0.85*$B$2)))</f>
        <v>0.007189699199</v>
      </c>
      <c r="W7" s="13">
        <f>V7*(D7*1000)*J7</f>
        <v>738.8494382</v>
      </c>
      <c r="X7" s="13">
        <f>MAX(W7,N7)</f>
        <v>738.8494382</v>
      </c>
      <c r="Y7" s="14">
        <f>ROUNDUP(X7/$J$2,0)</f>
        <v>4</v>
      </c>
      <c r="Z7" s="13">
        <f>Y7*$J$2</f>
        <v>796</v>
      </c>
      <c r="AA7" s="10">
        <f>0.9*Z7*$D$2*(J7-(Z7*$D$2/(0.85*$B$2*(D7*1000)))/2)/1000000</f>
        <v>96.02486534</v>
      </c>
      <c r="AB7" s="15" t="str">
        <f>IF(AA7&gt;=G7,"CUMPLE","REVISAR")</f>
        <v>CUMPLE</v>
      </c>
      <c r="AC7" s="10">
        <f>0.17*SQRT($B$2)*(D7*1000)*J7/1000</f>
        <v>92.44281538</v>
      </c>
      <c r="AD7" s="10">
        <f>MAX(H7/0.75-AC7,0)</f>
        <v>0</v>
      </c>
      <c r="AE7" s="14">
        <f>IF(AD7&gt;0,MIN($N$2*$D$2*J7/(AD7*1000),MIN(J7/4,6*$H$2,150)),MIN(J7/4,6*$H$2,150))</f>
        <v>85.6375</v>
      </c>
      <c r="AF7" s="10">
        <f>0.66*SQRT($B$2)*(D7*1000)*J7/1000</f>
        <v>358.8956362</v>
      </c>
      <c r="AG7" s="15" t="str">
        <f>IF(AD7&lt;=AF7,"CUMPLE","AUMENTAR SECCION")</f>
        <v>CUMPLE</v>
      </c>
      <c r="AH7" s="10">
        <f>0.75*0.083*SQRT($B$2)*(((D7*1000)*(E7*1000))^2/(2*((D7*1000)+(E7*1000))))/1000000</f>
        <v>3.388073536</v>
      </c>
      <c r="AI7" s="15" t="str">
        <f>IF(I7&gt;AH7,"SI","No")</f>
        <v>No</v>
      </c>
      <c r="AJ7" s="11">
        <f>IF(I7&gt;AH7,I7*1000000/(0.75*2*0.85*((D7*1000-2*$F$2)*(E7*1000-2*$F$2))*$D$2),0)</f>
        <v>0</v>
      </c>
      <c r="AK7" s="10">
        <f>1.25*Q7*$D$2*(J7-(1.25*Q7*$D$2/(0.85*$B$2*(D7*1000)))/2)/1000000</f>
        <v>159.8306178</v>
      </c>
      <c r="AL7" s="10">
        <f>1.25*Z7*$D$2*(J7-(1.25*Z7*$D$2/(0.85*$B$2*(D7*1000)))/2)/1000000</f>
        <v>130.9219244</v>
      </c>
      <c r="AM7" s="10">
        <f>(AK7+AL7)/B7</f>
        <v>77.53401126</v>
      </c>
      <c r="AN7" s="10">
        <f>MAX(H7,AM7)</f>
        <v>77.53401126</v>
      </c>
    </row>
    <row r="8">
      <c r="A8" s="5" t="inlineStr">
        <is>
          <t>VC-5 (3.75 Int, 12)</t>
        </is>
      </c>
      <c r="B8" s="6" t="n">
        <v>3.75</v>
      </c>
      <c r="C8" s="7" t="inlineStr">
        <is>
          <t>VC</t>
        </is>
      </c>
      <c r="D8" s="8">
        <f>IF(C8="VR",0.35,0.30)</f>
        <v>0.3</v>
      </c>
      <c r="E8" s="6" t="n">
        <v>0.4</v>
      </c>
      <c r="F8" s="9" t="n">
        <v>25</v>
      </c>
      <c r="G8" s="9" t="n">
        <v>16.5</v>
      </c>
      <c r="H8" s="9" t="n">
        <v>21.7</v>
      </c>
      <c r="I8" s="6" t="n">
        <v>0</v>
      </c>
      <c r="J8" s="10">
        <f>E8*1000-$F$2-$L$2-$H$2/2</f>
        <v>342.55</v>
      </c>
      <c r="K8" s="11">
        <f>F8*1000000/(0.9*(D8*1000)*J8^2)</f>
        <v>0.7890931999</v>
      </c>
      <c r="L8" s="12">
        <f>(0.85*$B$2/$D$2)*(1-SQRT(1-2*K8/(0.85*$B$2)))</f>
        <v>0.00191101673</v>
      </c>
      <c r="M8" s="13">
        <f>L8*(D8*1000)*J8</f>
        <v>196.3856342</v>
      </c>
      <c r="N8" s="13">
        <f>MAX(0.25*SQRT($B$2)/$D$2,1.4/$D$2)*(D8*1000)*J8</f>
        <v>342.55</v>
      </c>
      <c r="O8" s="13">
        <f>MAX(M8,N8)</f>
        <v>342.55</v>
      </c>
      <c r="P8" s="14">
        <f>ROUNDUP(O8/$J$2,0)</f>
        <v>2</v>
      </c>
      <c r="Q8" s="13">
        <f>P8*$J$2</f>
        <v>398</v>
      </c>
      <c r="R8" s="10">
        <f>Q8*$D$2/(0.85*$B$2*(D8*1000))</f>
        <v>23.41176471</v>
      </c>
      <c r="S8" s="10">
        <f>0.9*Q8*$D$2*(J8-R8/2)/1000000</f>
        <v>49.77351244</v>
      </c>
      <c r="T8" s="15" t="str">
        <f>IF(AND(S8&gt;=F8,O8&lt;=0.025*(D8*1000)*J8,O8&gt;=N8),"CUMPLE","REVISAR")</f>
        <v>CUMPLE</v>
      </c>
      <c r="U8" s="11">
        <f>G8*1000000/(0.9*(D8*1000)*J8^2)</f>
        <v>0.5208015119</v>
      </c>
      <c r="V8" s="12">
        <f>(0.85*$B$2/$D$2)*(1-SQRT(1-2*U8/(0.85*$B$2)))</f>
        <v>0.001253875997</v>
      </c>
      <c r="W8" s="13">
        <f>V8*(D8*1000)*J8</f>
        <v>128.8545668</v>
      </c>
      <c r="X8" s="13">
        <f>MAX(W8,N8)</f>
        <v>342.55</v>
      </c>
      <c r="Y8" s="14">
        <f>ROUNDUP(X8/$J$2,0)</f>
        <v>2</v>
      </c>
      <c r="Z8" s="13">
        <f>Y8*$J$2</f>
        <v>398</v>
      </c>
      <c r="AA8" s="10">
        <f>0.9*Z8*$D$2*(J8-(Z8*$D$2/(0.85*$B$2*(D8*1000)))/2)/1000000</f>
        <v>49.77351244</v>
      </c>
      <c r="AB8" s="15" t="str">
        <f>IF(AA8&gt;=G8,"CUMPLE","REVISAR")</f>
        <v>CUMPLE</v>
      </c>
      <c r="AC8" s="10">
        <f>0.17*SQRT($B$2)*(D8*1000)*J8/1000</f>
        <v>92.44281538</v>
      </c>
      <c r="AD8" s="10">
        <f>MAX(H8/0.75-AC8,0)</f>
        <v>0</v>
      </c>
      <c r="AE8" s="14">
        <f>IF(AD8&gt;0,MIN($N$2*$D$2*J8/(AD8*1000),MIN(J8/4,6*$H$2,150)),MIN(J8/4,6*$H$2,150))</f>
        <v>85.6375</v>
      </c>
      <c r="AF8" s="10">
        <f>0.66*SQRT($B$2)*(D8*1000)*J8/1000</f>
        <v>358.8956362</v>
      </c>
      <c r="AG8" s="15" t="str">
        <f>IF(AD8&lt;=AF8,"CUMPLE","AUMENTAR SECCION")</f>
        <v>CUMPLE</v>
      </c>
      <c r="AH8" s="10">
        <f>0.75*0.083*SQRT($B$2)*(((D8*1000)*(E8*1000))^2/(2*((D8*1000)+(E8*1000))))/1000000</f>
        <v>3.388073536</v>
      </c>
      <c r="AI8" s="15" t="str">
        <f>IF(I8&gt;AH8,"SI","No")</f>
        <v>No</v>
      </c>
      <c r="AJ8" s="11">
        <f>IF(I8&gt;AH8,I8*1000000/(0.75*2*0.85*((D8*1000-2*$F$2)*(E8*1000-2*$F$2))*$D$2),0)</f>
        <v>0</v>
      </c>
      <c r="AK8" s="10">
        <f>1.25*Q8*$D$2*(J8-(1.25*Q8*$D$2/(0.85*$B$2*(D8*1000)))/2)/1000000</f>
        <v>68.51839235</v>
      </c>
      <c r="AL8" s="10">
        <f>1.25*Z8*$D$2*(J8-(1.25*Z8*$D$2/(0.85*$B$2*(D8*1000)))/2)/1000000</f>
        <v>68.51839235</v>
      </c>
      <c r="AM8" s="10">
        <f>(AK8+AL8)/B8</f>
        <v>36.54314259</v>
      </c>
      <c r="AN8" s="10">
        <f>MAX(H8,AM8)</f>
        <v>36.54314259</v>
      </c>
    </row>
    <row r="9">
      <c r="A9" s="5" t="inlineStr">
        <is>
          <t>VC-6 (3.81 Ext, 16)</t>
        </is>
      </c>
      <c r="B9" s="6" t="n">
        <v>3.81</v>
      </c>
      <c r="C9" s="7" t="inlineStr">
        <is>
          <t>VC</t>
        </is>
      </c>
      <c r="D9" s="8">
        <f>IF(C9="VR",0.35,0.30)</f>
        <v>0.3</v>
      </c>
      <c r="E9" s="6" t="n">
        <v>0.4</v>
      </c>
      <c r="F9" s="9" t="n">
        <v>113.9</v>
      </c>
      <c r="G9" s="9" t="n">
        <v>81.09999999999999</v>
      </c>
      <c r="H9" s="9" t="n">
        <v>73.5</v>
      </c>
      <c r="I9" s="6" t="n">
        <v>6.9</v>
      </c>
      <c r="J9" s="10">
        <f>E9*1000-$F$2-$L$2-$H$2/2</f>
        <v>342.55</v>
      </c>
      <c r="K9" s="11">
        <f>F9*1000000/(0.9*(D9*1000)*J9^2)</f>
        <v>3.595108619</v>
      </c>
      <c r="L9" s="12">
        <f>(0.85*$B$2/$D$2)*(1-SQRT(1-2*K9/(0.85*$B$2)))</f>
        <v>0.009327439421</v>
      </c>
      <c r="M9" s="13">
        <f>L9*(D9*1000)*J9</f>
        <v>958.5343121</v>
      </c>
      <c r="N9" s="13">
        <f>MAX(0.25*SQRT($B$2)/$D$2,1.4/$D$2)*(D9*1000)*J9</f>
        <v>342.55</v>
      </c>
      <c r="O9" s="13">
        <f>MAX(M9,N9)</f>
        <v>958.5343121</v>
      </c>
      <c r="P9" s="14">
        <f>ROUNDUP(O9/$J$2,0)</f>
        <v>5</v>
      </c>
      <c r="Q9" s="13">
        <f>P9*$J$2</f>
        <v>995</v>
      </c>
      <c r="R9" s="10">
        <f>Q9*$D$2/(0.85*$B$2*(D9*1000))</f>
        <v>58.52941176</v>
      </c>
      <c r="S9" s="10">
        <f>0.9*Q9*$D$2*(J9-R9/2)/1000000</f>
        <v>117.829732</v>
      </c>
      <c r="T9" s="15" t="str">
        <f>IF(AND(S9&gt;=F9,O9&lt;=0.025*(D9*1000)*J9,O9&gt;=N9),"CUMPLE","REVISAR")</f>
        <v>CUMPLE</v>
      </c>
      <c r="U9" s="11">
        <f>G9*1000000/(0.9*(D9*1000)*J9^2)</f>
        <v>2.55981834</v>
      </c>
      <c r="V9" s="12">
        <f>(0.85*$B$2/$D$2)*(1-SQRT(1-2*U9/(0.85*$B$2)))</f>
        <v>0.006463414983</v>
      </c>
      <c r="W9" s="13">
        <f>V9*(D9*1000)*J9</f>
        <v>664.2128408</v>
      </c>
      <c r="X9" s="13">
        <f>MAX(W9,N9)</f>
        <v>664.2128408</v>
      </c>
      <c r="Y9" s="14">
        <f>ROUNDUP(X9/$J$2,0)</f>
        <v>4</v>
      </c>
      <c r="Z9" s="13">
        <f>Y9*$J$2</f>
        <v>796</v>
      </c>
      <c r="AA9" s="10">
        <f>0.9*Z9*$D$2*(J9-(Z9*$D$2/(0.85*$B$2*(D9*1000)))/2)/1000000</f>
        <v>96.02486534</v>
      </c>
      <c r="AB9" s="15" t="str">
        <f>IF(AA9&gt;=G9,"CUMPLE","REVISAR")</f>
        <v>CUMPLE</v>
      </c>
      <c r="AC9" s="10">
        <f>0.17*SQRT($B$2)*(D9*1000)*J9/1000</f>
        <v>92.44281538</v>
      </c>
      <c r="AD9" s="10">
        <f>MAX(H9/0.75-AC9,0)</f>
        <v>5.557184616</v>
      </c>
      <c r="AE9" s="14">
        <f>IF(AD9&gt;0,MIN($N$2*$D$2*J9/(AD9*1000),MIN(J9/4,6*$H$2,150)),MIN(J9/4,6*$H$2,150))</f>
        <v>85.6375</v>
      </c>
      <c r="AF9" s="10">
        <f>0.66*SQRT($B$2)*(D9*1000)*J9/1000</f>
        <v>358.8956362</v>
      </c>
      <c r="AG9" s="15" t="str">
        <f>IF(AD9&lt;=AF9,"CUMPLE","AUMENTAR SECCION")</f>
        <v>CUMPLE</v>
      </c>
      <c r="AH9" s="10">
        <f>0.75*0.083*SQRT($B$2)*(((D9*1000)*(E9*1000))^2/(2*((D9*1000)+(E9*1000))))/1000000</f>
        <v>3.388073536</v>
      </c>
      <c r="AI9" s="15" t="str">
        <f>IF(I9&gt;AH9,"SI","No")</f>
        <v>SI</v>
      </c>
      <c r="AJ9" s="11">
        <f>IF(I9&gt;AH9,I9*1000000/(0.75*2*0.85*((D9*1000-2*$F$2)*(E9*1000-2*$F$2))*$D$2),0)</f>
        <v>0.1830277566</v>
      </c>
      <c r="AK9" s="10">
        <f>1.25*Q9*$D$2*(J9-(1.25*Q9*$D$2/(0.85*$B$2*(D9*1000)))/2)/1000000</f>
        <v>159.8306178</v>
      </c>
      <c r="AL9" s="10">
        <f>1.25*Z9*$D$2*(J9-(1.25*Z9*$D$2/(0.85*$B$2*(D9*1000)))/2)/1000000</f>
        <v>130.9219244</v>
      </c>
      <c r="AM9" s="10">
        <f>(AK9+AL9)/B9</f>
        <v>76.31300321</v>
      </c>
      <c r="AN9" s="10">
        <f>MAX(H9,AM9)</f>
        <v>76.31300321</v>
      </c>
    </row>
    <row r="10">
      <c r="A10" s="5" t="inlineStr">
        <is>
          <t>VC-7 (3.81 Int, 4)</t>
        </is>
      </c>
      <c r="B10" s="6" t="n">
        <v>3.81</v>
      </c>
      <c r="C10" s="7" t="inlineStr">
        <is>
          <t>VC</t>
        </is>
      </c>
      <c r="D10" s="8">
        <f>IF(C10="VR",0.35,0.30)</f>
        <v>0.3</v>
      </c>
      <c r="E10" s="6" t="n">
        <v>0.4</v>
      </c>
      <c r="F10" s="9" t="n">
        <v>105.7</v>
      </c>
      <c r="G10" s="9" t="n">
        <v>74.2</v>
      </c>
      <c r="H10" s="9" t="n">
        <v>68.40000000000001</v>
      </c>
      <c r="I10" s="6" t="n">
        <v>6.5</v>
      </c>
      <c r="J10" s="10">
        <f>E10*1000-$F$2-$L$2-$H$2/2</f>
        <v>342.55</v>
      </c>
      <c r="K10" s="11">
        <f>F10*1000000/(0.9*(D10*1000)*J10^2)</f>
        <v>3.336286049</v>
      </c>
      <c r="L10" s="12">
        <f>(0.85*$B$2/$D$2)*(1-SQRT(1-2*K10/(0.85*$B$2)))</f>
        <v>0.008595433615</v>
      </c>
      <c r="M10" s="13">
        <f>L10*(D10*1000)*J10</f>
        <v>883.3097355</v>
      </c>
      <c r="N10" s="13">
        <f>MAX(0.25*SQRT($B$2)/$D$2,1.4/$D$2)*(D10*1000)*J10</f>
        <v>342.55</v>
      </c>
      <c r="O10" s="13">
        <f>MAX(M10,N10)</f>
        <v>883.3097355</v>
      </c>
      <c r="P10" s="14">
        <f>ROUNDUP(O10/$J$2,0)</f>
        <v>5</v>
      </c>
      <c r="Q10" s="13">
        <f>P10*$J$2</f>
        <v>995</v>
      </c>
      <c r="R10" s="10">
        <f>Q10*$D$2/(0.85*$B$2*(D10*1000))</f>
        <v>58.52941176</v>
      </c>
      <c r="S10" s="10">
        <f>0.9*Q10*$D$2*(J10-R10/2)/1000000</f>
        <v>117.829732</v>
      </c>
      <c r="T10" s="15" t="str">
        <f>IF(AND(S10&gt;=F10,O10&lt;=0.025*(D10*1000)*J10,O10&gt;=N10),"CUMPLE","REVISAR")</f>
        <v>CUMPLE</v>
      </c>
      <c r="U10" s="11">
        <f>G10*1000000/(0.9*(D10*1000)*J10^2)</f>
        <v>2.342028617</v>
      </c>
      <c r="V10" s="12">
        <f>(0.85*$B$2/$D$2)*(1-SQRT(1-2*U10/(0.85*$B$2)))</f>
        <v>0.00588148049</v>
      </c>
      <c r="W10" s="13">
        <f>V10*(D10*1000)*J10</f>
        <v>604.4103425</v>
      </c>
      <c r="X10" s="13">
        <f>MAX(W10,N10)</f>
        <v>604.4103425</v>
      </c>
      <c r="Y10" s="14">
        <f>ROUNDUP(X10/$J$2,0)</f>
        <v>4</v>
      </c>
      <c r="Z10" s="13">
        <f>Y10*$J$2</f>
        <v>796</v>
      </c>
      <c r="AA10" s="10">
        <f>0.9*Z10*$D$2*(J10-(Z10*$D$2/(0.85*$B$2*(D10*1000)))/2)/1000000</f>
        <v>96.02486534</v>
      </c>
      <c r="AB10" s="15" t="str">
        <f>IF(AA10&gt;=G10,"CUMPLE","REVISAR")</f>
        <v>CUMPLE</v>
      </c>
      <c r="AC10" s="10">
        <f>0.17*SQRT($B$2)*(D10*1000)*J10/1000</f>
        <v>92.44281538</v>
      </c>
      <c r="AD10" s="10">
        <f>MAX(H10/0.75-AC10,0)</f>
        <v>0</v>
      </c>
      <c r="AE10" s="14">
        <f>IF(AD10&gt;0,MIN($N$2*$D$2*J10/(AD10*1000),MIN(J10/4,6*$H$2,150)),MIN(J10/4,6*$H$2,150))</f>
        <v>85.6375</v>
      </c>
      <c r="AF10" s="10">
        <f>0.66*SQRT($B$2)*(D10*1000)*J10/1000</f>
        <v>358.8956362</v>
      </c>
      <c r="AG10" s="15" t="str">
        <f>IF(AD10&lt;=AF10,"CUMPLE","AUMENTAR SECCION")</f>
        <v>CUMPLE</v>
      </c>
      <c r="AH10" s="10">
        <f>0.75*0.083*SQRT($B$2)*(((D10*1000)*(E10*1000))^2/(2*((D10*1000)+(E10*1000))))/1000000</f>
        <v>3.388073536</v>
      </c>
      <c r="AI10" s="15" t="str">
        <f>IF(I10&gt;AH10,"SI","No")</f>
        <v>SI</v>
      </c>
      <c r="AJ10" s="11">
        <f>IF(I10&gt;AH10,I10*1000000/(0.75*2*0.85*((D10*1000-2*$F$2)*(E10*1000-2*$F$2))*$D$2),0)</f>
        <v>0.1724174518</v>
      </c>
      <c r="AK10" s="10">
        <f>1.25*Q10*$D$2*(J10-(1.25*Q10*$D$2/(0.85*$B$2*(D10*1000)))/2)/1000000</f>
        <v>159.8306178</v>
      </c>
      <c r="AL10" s="10">
        <f>1.25*Z10*$D$2*(J10-(1.25*Z10*$D$2/(0.85*$B$2*(D10*1000)))/2)/1000000</f>
        <v>130.9219244</v>
      </c>
      <c r="AM10" s="10">
        <f>(AK10+AL10)/B10</f>
        <v>76.31300321</v>
      </c>
      <c r="AN10" s="10">
        <f>MAX(H10,AM10)</f>
        <v>76.31300321</v>
      </c>
    </row>
    <row r="11">
      <c r="A11" s="5" t="inlineStr">
        <is>
          <t>VC-8 (3.85 Int, 60)</t>
        </is>
      </c>
      <c r="B11" s="6" t="n">
        <v>3.85</v>
      </c>
      <c r="C11" s="7" t="inlineStr">
        <is>
          <t>VC</t>
        </is>
      </c>
      <c r="D11" s="8">
        <f>IF(C11="VR",0.35,0.30)</f>
        <v>0.3</v>
      </c>
      <c r="E11" s="6" t="n">
        <v>0.4</v>
      </c>
      <c r="F11" s="9" t="n">
        <v>121.6</v>
      </c>
      <c r="G11" s="9" t="n">
        <v>93.3</v>
      </c>
      <c r="H11" s="9" t="n">
        <v>77.90000000000001</v>
      </c>
      <c r="I11" s="6" t="n">
        <v>0</v>
      </c>
      <c r="J11" s="10">
        <f>E11*1000-$F$2-$L$2-$H$2/2</f>
        <v>342.55</v>
      </c>
      <c r="K11" s="11">
        <f>F11*1000000/(0.9*(D11*1000)*J11^2)</f>
        <v>3.838149324</v>
      </c>
      <c r="L11" s="12">
        <f>(0.85*$B$2/$D$2)*(1-SQRT(1-2*K11/(0.85*$B$2)))</f>
        <v>0.01002526849</v>
      </c>
      <c r="M11" s="13">
        <f>L11*(D11*1000)*J11</f>
        <v>1030.246717</v>
      </c>
      <c r="N11" s="13">
        <f>MAX(0.25*SQRT($B$2)/$D$2,1.4/$D$2)*(D11*1000)*J11</f>
        <v>342.55</v>
      </c>
      <c r="O11" s="13">
        <f>MAX(M11,N11)</f>
        <v>1030.246717</v>
      </c>
      <c r="P11" s="14">
        <f>ROUNDUP(O11/$J$2,0)</f>
        <v>6</v>
      </c>
      <c r="Q11" s="13">
        <f>P11*$J$2</f>
        <v>1194</v>
      </c>
      <c r="R11" s="10">
        <f>Q11*$D$2/(0.85*$B$2*(D11*1000))</f>
        <v>70.23529412</v>
      </c>
      <c r="S11" s="10">
        <f>0.9*Q11*$D$2*(J11-R11/2)/1000000</f>
        <v>138.7540587</v>
      </c>
      <c r="T11" s="15" t="str">
        <f>IF(AND(S11&gt;=F11,O11&lt;=0.025*(D11*1000)*J11,O11&gt;=N11),"CUMPLE","REVISAR")</f>
        <v>CUMPLE</v>
      </c>
      <c r="U11" s="11">
        <f>G11*1000000/(0.9*(D11*1000)*J11^2)</f>
        <v>2.944895822</v>
      </c>
      <c r="V11" s="12">
        <f>(0.85*$B$2/$D$2)*(1-SQRT(1-2*U11/(0.85*$B$2)))</f>
        <v>0.007509198435</v>
      </c>
      <c r="W11" s="13">
        <f>V11*(D11*1000)*J11</f>
        <v>771.6827771</v>
      </c>
      <c r="X11" s="13">
        <f>MAX(W11,N11)</f>
        <v>771.6827771</v>
      </c>
      <c r="Y11" s="14">
        <f>ROUNDUP(X11/$J$2,0)</f>
        <v>4</v>
      </c>
      <c r="Z11" s="13">
        <f>Y11*$J$2</f>
        <v>796</v>
      </c>
      <c r="AA11" s="10">
        <f>0.9*Z11*$D$2*(J11-(Z11*$D$2/(0.85*$B$2*(D11*1000)))/2)/1000000</f>
        <v>96.02486534</v>
      </c>
      <c r="AB11" s="15" t="str">
        <f>IF(AA11&gt;=G11,"CUMPLE","REVISAR")</f>
        <v>CUMPLE</v>
      </c>
      <c r="AC11" s="10">
        <f>0.17*SQRT($B$2)*(D11*1000)*J11/1000</f>
        <v>92.44281538</v>
      </c>
      <c r="AD11" s="10">
        <f>MAX(H11/0.75-AC11,0)</f>
        <v>11.42385128</v>
      </c>
      <c r="AE11" s="14">
        <f>IF(AD11&gt;0,MIN($N$2*$D$2*J11/(AD11*1000),MIN(J11/4,6*$H$2,150)),MIN(J11/4,6*$H$2,150))</f>
        <v>85.6375</v>
      </c>
      <c r="AF11" s="10">
        <f>0.66*SQRT($B$2)*(D11*1000)*J11/1000</f>
        <v>358.8956362</v>
      </c>
      <c r="AG11" s="15" t="str">
        <f>IF(AD11&lt;=AF11,"CUMPLE","AUMENTAR SECCION")</f>
        <v>CUMPLE</v>
      </c>
      <c r="AH11" s="10">
        <f>0.75*0.083*SQRT($B$2)*(((D11*1000)*(E11*1000))^2/(2*((D11*1000)+(E11*1000))))/1000000</f>
        <v>3.388073536</v>
      </c>
      <c r="AI11" s="15" t="str">
        <f>IF(I11&gt;AH11,"SI","No")</f>
        <v>No</v>
      </c>
      <c r="AJ11" s="11">
        <f>IF(I11&gt;AH11,I11*1000000/(0.75*2*0.85*((D11*1000-2*$F$2)*(E11*1000-2*$F$2))*$D$2),0)</f>
        <v>0</v>
      </c>
      <c r="AK11" s="10">
        <f>1.25*Q11*$D$2*(J11-(1.25*Q11*$D$2/(0.85*$B$2*(D11*1000)))/2)/1000000</f>
        <v>187.2105962</v>
      </c>
      <c r="AL11" s="10">
        <f>1.25*Z11*$D$2*(J11-(1.25*Z11*$D$2/(0.85*$B$2*(D11*1000)))/2)/1000000</f>
        <v>130.9219244</v>
      </c>
      <c r="AM11" s="10">
        <f>(AK11+AL11)/B11</f>
        <v>82.63182353</v>
      </c>
      <c r="AN11" s="10">
        <f>MAX(H11,AM11)</f>
        <v>82.63182353</v>
      </c>
    </row>
    <row r="12">
      <c r="A12" s="5" t="inlineStr">
        <is>
          <t>VC-9 (3.90 Int, 40)</t>
        </is>
      </c>
      <c r="B12" s="6" t="n">
        <v>3.9</v>
      </c>
      <c r="C12" s="7" t="inlineStr">
        <is>
          <t>VC</t>
        </is>
      </c>
      <c r="D12" s="8">
        <f>IF(C12="VR",0.35,0.30)</f>
        <v>0.3</v>
      </c>
      <c r="E12" s="6" t="n">
        <v>0.4</v>
      </c>
      <c r="F12" s="9" t="n">
        <v>128.9</v>
      </c>
      <c r="G12" s="9" t="n">
        <v>90.7</v>
      </c>
      <c r="H12" s="9" t="n">
        <v>91.90000000000001</v>
      </c>
      <c r="I12" s="6" t="n">
        <v>0</v>
      </c>
      <c r="J12" s="10">
        <f>E12*1000-$F$2-$L$2-$H$2/2</f>
        <v>342.55</v>
      </c>
      <c r="K12" s="11">
        <f>F12*1000000/(0.9*(D12*1000)*J12^2)</f>
        <v>4.068564539</v>
      </c>
      <c r="L12" s="12">
        <f>(0.85*$B$2/$D$2)*(1-SQRT(1-2*K12/(0.85*$B$2)))</f>
        <v>0.01069662762</v>
      </c>
      <c r="M12" s="13">
        <f>L12*(D12*1000)*J12</f>
        <v>1099.238938</v>
      </c>
      <c r="N12" s="13">
        <f>MAX(0.25*SQRT($B$2)/$D$2,1.4/$D$2)*(D12*1000)*J12</f>
        <v>342.55</v>
      </c>
      <c r="O12" s="13">
        <f>MAX(M12,N12)</f>
        <v>1099.238938</v>
      </c>
      <c r="P12" s="14">
        <f>ROUNDUP(O12/$J$2,0)</f>
        <v>6</v>
      </c>
      <c r="Q12" s="13">
        <f>P12*$J$2</f>
        <v>1194</v>
      </c>
      <c r="R12" s="10">
        <f>Q12*$D$2/(0.85*$B$2*(D12*1000))</f>
        <v>70.23529412</v>
      </c>
      <c r="S12" s="10">
        <f>0.9*Q12*$D$2*(J12-R12/2)/1000000</f>
        <v>138.7540587</v>
      </c>
      <c r="T12" s="15" t="str">
        <f>IF(AND(S12&gt;=F12,O12&lt;=0.025*(D12*1000)*J12,O12&gt;=N12),"CUMPLE","REVISAR")</f>
        <v>CUMPLE</v>
      </c>
      <c r="U12" s="11">
        <f>G12*1000000/(0.9*(D12*1000)*J12^2)</f>
        <v>2.862830129</v>
      </c>
      <c r="V12" s="12">
        <f>(0.85*$B$2/$D$2)*(1-SQRT(1-2*U12/(0.85*$B$2)))</f>
        <v>0.007284469533</v>
      </c>
      <c r="W12" s="13">
        <f>V12*(D12*1000)*J12</f>
        <v>748.5885116</v>
      </c>
      <c r="X12" s="13">
        <f>MAX(W12,N12)</f>
        <v>748.5885116</v>
      </c>
      <c r="Y12" s="14">
        <f>ROUNDUP(X12/$J$2,0)</f>
        <v>4</v>
      </c>
      <c r="Z12" s="13">
        <f>Y12*$J$2</f>
        <v>796</v>
      </c>
      <c r="AA12" s="10">
        <f>0.9*Z12*$D$2*(J12-(Z12*$D$2/(0.85*$B$2*(D12*1000)))/2)/1000000</f>
        <v>96.02486534</v>
      </c>
      <c r="AB12" s="15" t="str">
        <f>IF(AA12&gt;=G12,"CUMPLE","REVISAR")</f>
        <v>CUMPLE</v>
      </c>
      <c r="AC12" s="10">
        <f>0.17*SQRT($B$2)*(D12*1000)*J12/1000</f>
        <v>92.44281538</v>
      </c>
      <c r="AD12" s="10">
        <f>MAX(H12/0.75-AC12,0)</f>
        <v>30.09051795</v>
      </c>
      <c r="AE12" s="14">
        <f>IF(AD12&gt;0,MIN($N$2*$D$2*J12/(AD12*1000),MIN(J12/4,6*$H$2,150)),MIN(J12/4,6*$H$2,150))</f>
        <v>85.6375</v>
      </c>
      <c r="AF12" s="10">
        <f>0.66*SQRT($B$2)*(D12*1000)*J12/1000</f>
        <v>358.8956362</v>
      </c>
      <c r="AG12" s="15" t="str">
        <f>IF(AD12&lt;=AF12,"CUMPLE","AUMENTAR SECCION")</f>
        <v>CUMPLE</v>
      </c>
      <c r="AH12" s="10">
        <f>0.75*0.083*SQRT($B$2)*(((D12*1000)*(E12*1000))^2/(2*((D12*1000)+(E12*1000))))/1000000</f>
        <v>3.388073536</v>
      </c>
      <c r="AI12" s="15" t="str">
        <f>IF(I12&gt;AH12,"SI","No")</f>
        <v>No</v>
      </c>
      <c r="AJ12" s="11">
        <f>IF(I12&gt;AH12,I12*1000000/(0.75*2*0.85*((D12*1000-2*$F$2)*(E12*1000-2*$F$2))*$D$2),0)</f>
        <v>0</v>
      </c>
      <c r="AK12" s="10">
        <f>1.25*Q12*$D$2*(J12-(1.25*Q12*$D$2/(0.85*$B$2*(D12*1000)))/2)/1000000</f>
        <v>187.2105962</v>
      </c>
      <c r="AL12" s="10">
        <f>1.25*Z12*$D$2*(J12-(1.25*Z12*$D$2/(0.85*$B$2*(D12*1000)))/2)/1000000</f>
        <v>130.9219244</v>
      </c>
      <c r="AM12" s="10">
        <f>(AK12+AL12)/B12</f>
        <v>81.57244118</v>
      </c>
      <c r="AN12" s="10">
        <f>MAX(H12,AM12)</f>
        <v>91.9</v>
      </c>
    </row>
    <row r="13">
      <c r="A13" s="5" t="inlineStr">
        <is>
          <t>VC-10 (4.00 Int, 40)</t>
        </is>
      </c>
      <c r="B13" s="6" t="n">
        <v>4</v>
      </c>
      <c r="C13" s="7" t="inlineStr">
        <is>
          <t>VC</t>
        </is>
      </c>
      <c r="D13" s="8">
        <f>IF(C13="VR",0.35,0.30)</f>
        <v>0.3</v>
      </c>
      <c r="E13" s="6" t="n">
        <v>0.4</v>
      </c>
      <c r="F13" s="9" t="n">
        <v>104</v>
      </c>
      <c r="G13" s="9" t="n">
        <v>87.2</v>
      </c>
      <c r="H13" s="9" t="n">
        <v>60.1</v>
      </c>
      <c r="I13" s="6" t="n">
        <v>0</v>
      </c>
      <c r="J13" s="10">
        <f>E13*1000-$F$2-$L$2-$H$2/2</f>
        <v>342.55</v>
      </c>
      <c r="K13" s="11">
        <f>F13*1000000/(0.9*(D13*1000)*J13^2)</f>
        <v>3.282627711</v>
      </c>
      <c r="L13" s="12">
        <f>(0.85*$B$2/$D$2)*(1-SQRT(1-2*K13/(0.85*$B$2)))</f>
        <v>0.008445066931</v>
      </c>
      <c r="M13" s="13">
        <f>L13*(D13*1000)*J13</f>
        <v>867.8573032</v>
      </c>
      <c r="N13" s="13">
        <f>MAX(0.25*SQRT($B$2)/$D$2,1.4/$D$2)*(D13*1000)*J13</f>
        <v>342.55</v>
      </c>
      <c r="O13" s="13">
        <f>MAX(M13,N13)</f>
        <v>867.8573032</v>
      </c>
      <c r="P13" s="14">
        <f>ROUNDUP(O13/$J$2,0)</f>
        <v>5</v>
      </c>
      <c r="Q13" s="13">
        <f>P13*$J$2</f>
        <v>995</v>
      </c>
      <c r="R13" s="10">
        <f>Q13*$D$2/(0.85*$B$2*(D13*1000))</f>
        <v>58.52941176</v>
      </c>
      <c r="S13" s="10">
        <f>0.9*Q13*$D$2*(J13-R13/2)/1000000</f>
        <v>117.829732</v>
      </c>
      <c r="T13" s="15" t="str">
        <f>IF(AND(S13&gt;=F13,O13&lt;=0.025*(D13*1000)*J13,O13&gt;=N13),"CUMPLE","REVISAR")</f>
        <v>CUMPLE</v>
      </c>
      <c r="U13" s="11">
        <f>G13*1000000/(0.9*(D13*1000)*J13^2)</f>
        <v>2.752357081</v>
      </c>
      <c r="V13" s="12">
        <f>(0.85*$B$2/$D$2)*(1-SQRT(1-2*U13/(0.85*$B$2)))</f>
        <v>0.006983555036</v>
      </c>
      <c r="W13" s="13">
        <f>V13*(D13*1000)*J13</f>
        <v>717.6650333</v>
      </c>
      <c r="X13" s="13">
        <f>MAX(W13,N13)</f>
        <v>717.6650333</v>
      </c>
      <c r="Y13" s="14">
        <f>ROUNDUP(X13/$J$2,0)</f>
        <v>4</v>
      </c>
      <c r="Z13" s="13">
        <f>Y13*$J$2</f>
        <v>796</v>
      </c>
      <c r="AA13" s="10">
        <f>0.9*Z13*$D$2*(J13-(Z13*$D$2/(0.85*$B$2*(D13*1000)))/2)/1000000</f>
        <v>96.02486534</v>
      </c>
      <c r="AB13" s="15" t="str">
        <f>IF(AA13&gt;=G13,"CUMPLE","REVISAR")</f>
        <v>CUMPLE</v>
      </c>
      <c r="AC13" s="10">
        <f>0.17*SQRT($B$2)*(D13*1000)*J13/1000</f>
        <v>92.44281538</v>
      </c>
      <c r="AD13" s="10">
        <f>MAX(H13/0.75-AC13,0)</f>
        <v>0</v>
      </c>
      <c r="AE13" s="14">
        <f>IF(AD13&gt;0,MIN($N$2*$D$2*J13/(AD13*1000),MIN(J13/4,6*$H$2,150)),MIN(J13/4,6*$H$2,150))</f>
        <v>85.6375</v>
      </c>
      <c r="AF13" s="10">
        <f>0.66*SQRT($B$2)*(D13*1000)*J13/1000</f>
        <v>358.8956362</v>
      </c>
      <c r="AG13" s="15" t="str">
        <f>IF(AD13&lt;=AF13,"CUMPLE","AUMENTAR SECCION")</f>
        <v>CUMPLE</v>
      </c>
      <c r="AH13" s="10">
        <f>0.75*0.083*SQRT($B$2)*(((D13*1000)*(E13*1000))^2/(2*((D13*1000)+(E13*1000))))/1000000</f>
        <v>3.388073536</v>
      </c>
      <c r="AI13" s="15" t="str">
        <f>IF(I13&gt;AH13,"SI","No")</f>
        <v>No</v>
      </c>
      <c r="AJ13" s="11">
        <f>IF(I13&gt;AH13,I13*1000000/(0.75*2*0.85*((D13*1000-2*$F$2)*(E13*1000-2*$F$2))*$D$2),0)</f>
        <v>0</v>
      </c>
      <c r="AK13" s="10">
        <f>1.25*Q13*$D$2*(J13-(1.25*Q13*$D$2/(0.85*$B$2*(D13*1000)))/2)/1000000</f>
        <v>159.8306178</v>
      </c>
      <c r="AL13" s="10">
        <f>1.25*Z13*$D$2*(J13-(1.25*Z13*$D$2/(0.85*$B$2*(D13*1000)))/2)/1000000</f>
        <v>130.9219244</v>
      </c>
      <c r="AM13" s="10">
        <f>(AK13+AL13)/B13</f>
        <v>72.68813556</v>
      </c>
      <c r="AN13" s="10">
        <f>MAX(H13,AM13)</f>
        <v>72.68813556</v>
      </c>
    </row>
    <row r="14">
      <c r="A14" s="5" t="inlineStr">
        <is>
          <t>VC-11 (5.10 Ext, 16)</t>
        </is>
      </c>
      <c r="B14" s="6" t="n">
        <v>5.1</v>
      </c>
      <c r="C14" s="7" t="inlineStr">
        <is>
          <t>VC</t>
        </is>
      </c>
      <c r="D14" s="8">
        <f>IF(C14="VR",0.35,0.30)</f>
        <v>0.3</v>
      </c>
      <c r="E14" s="6" t="n">
        <v>0.4</v>
      </c>
      <c r="F14" s="9" t="n">
        <v>97.5</v>
      </c>
      <c r="G14" s="9" t="n">
        <v>71</v>
      </c>
      <c r="H14" s="9" t="n">
        <v>50</v>
      </c>
      <c r="I14" s="6" t="n">
        <v>0</v>
      </c>
      <c r="J14" s="10">
        <f>E14*1000-$F$2-$L$2-$H$2/2</f>
        <v>342.55</v>
      </c>
      <c r="K14" s="11">
        <f>F14*1000000/(0.9*(D14*1000)*J14^2)</f>
        <v>3.07746348</v>
      </c>
      <c r="L14" s="12">
        <f>(0.85*$B$2/$D$2)*(1-SQRT(1-2*K14/(0.85*$B$2)))</f>
        <v>0.007874408491</v>
      </c>
      <c r="M14" s="13">
        <f>L14*(D14*1000)*J14</f>
        <v>809.2135885</v>
      </c>
      <c r="N14" s="13">
        <f>MAX(0.25*SQRT($B$2)/$D$2,1.4/$D$2)*(D14*1000)*J14</f>
        <v>342.55</v>
      </c>
      <c r="O14" s="13">
        <f>MAX(M14,N14)</f>
        <v>809.2135885</v>
      </c>
      <c r="P14" s="14">
        <f>ROUNDUP(O14/$J$2,0)</f>
        <v>5</v>
      </c>
      <c r="Q14" s="13">
        <f>P14*$J$2</f>
        <v>995</v>
      </c>
      <c r="R14" s="10">
        <f>Q14*$D$2/(0.85*$B$2*(D14*1000))</f>
        <v>58.52941176</v>
      </c>
      <c r="S14" s="10">
        <f>0.9*Q14*$D$2*(J14-R14/2)/1000000</f>
        <v>117.829732</v>
      </c>
      <c r="T14" s="15" t="str">
        <f>IF(AND(S14&gt;=F14,O14&lt;=0.025*(D14*1000)*J14,O14&gt;=N14),"CUMPLE","REVISAR")</f>
        <v>CUMPLE</v>
      </c>
      <c r="U14" s="11">
        <f>G14*1000000/(0.9*(D14*1000)*J14^2)</f>
        <v>2.241024688</v>
      </c>
      <c r="V14" s="12">
        <f>(0.85*$B$2/$D$2)*(1-SQRT(1-2*U14/(0.85*$B$2)))</f>
        <v>0.005613849275</v>
      </c>
      <c r="W14" s="13">
        <f>V14*(D14*1000)*J14</f>
        <v>576.9072207</v>
      </c>
      <c r="X14" s="13">
        <f>MAX(W14,N14)</f>
        <v>576.9072207</v>
      </c>
      <c r="Y14" s="14">
        <f>ROUNDUP(X14/$J$2,0)</f>
        <v>3</v>
      </c>
      <c r="Z14" s="13">
        <f>Y14*$J$2</f>
        <v>597</v>
      </c>
      <c r="AA14" s="10">
        <f>0.9*Z14*$D$2*(J14-(Z14*$D$2/(0.85*$B$2*(D14*1000)))/2)/1000000</f>
        <v>73.33945883</v>
      </c>
      <c r="AB14" s="15" t="str">
        <f>IF(AA14&gt;=G14,"CUMPLE","REVISAR")</f>
        <v>CUMPLE</v>
      </c>
      <c r="AC14" s="10">
        <f>0.17*SQRT($B$2)*(D14*1000)*J14/1000</f>
        <v>92.44281538</v>
      </c>
      <c r="AD14" s="10">
        <f>MAX(H14/0.75-AC14,0)</f>
        <v>0</v>
      </c>
      <c r="AE14" s="14">
        <f>IF(AD14&gt;0,MIN($N$2*$D$2*J14/(AD14*1000),MIN(J14/4,6*$H$2,150)),MIN(J14/4,6*$H$2,150))</f>
        <v>85.6375</v>
      </c>
      <c r="AF14" s="10">
        <f>0.66*SQRT($B$2)*(D14*1000)*J14/1000</f>
        <v>358.8956362</v>
      </c>
      <c r="AG14" s="15" t="str">
        <f>IF(AD14&lt;=AF14,"CUMPLE","AUMENTAR SECCION")</f>
        <v>CUMPLE</v>
      </c>
      <c r="AH14" s="10">
        <f>0.75*0.083*SQRT($B$2)*(((D14*1000)*(E14*1000))^2/(2*((D14*1000)+(E14*1000))))/1000000</f>
        <v>3.388073536</v>
      </c>
      <c r="AI14" s="15" t="str">
        <f>IF(I14&gt;AH14,"SI","No")</f>
        <v>No</v>
      </c>
      <c r="AJ14" s="11">
        <f>IF(I14&gt;AH14,I14*1000000/(0.75*2*0.85*((D14*1000-2*$F$2)*(E14*1000-2*$F$2))*$D$2),0)</f>
        <v>0</v>
      </c>
      <c r="AK14" s="10">
        <f>1.25*Q14*$D$2*(J14-(1.25*Q14*$D$2/(0.85*$B$2*(D14*1000)))/2)/1000000</f>
        <v>159.8306178</v>
      </c>
      <c r="AL14" s="10">
        <f>1.25*Z14*$D$2*(J14-(1.25*Z14*$D$2/(0.85*$B$2*(D14*1000)))/2)/1000000</f>
        <v>100.4845159</v>
      </c>
      <c r="AM14" s="10">
        <f>(AK14+AL14)/B14</f>
        <v>51.04218309</v>
      </c>
      <c r="AN14" s="10">
        <f>MAX(H14,AM14)</f>
        <v>51.04218309</v>
      </c>
    </row>
    <row r="15">
      <c r="A15" s="5" t="inlineStr">
        <is>
          <t>VC-12 (5.10 Int, 4)</t>
        </is>
      </c>
      <c r="B15" s="6" t="n">
        <v>5.1</v>
      </c>
      <c r="C15" s="7" t="inlineStr">
        <is>
          <t>VC</t>
        </is>
      </c>
      <c r="D15" s="8">
        <f>IF(C15="VR",0.35,0.30)</f>
        <v>0.3</v>
      </c>
      <c r="E15" s="6" t="n">
        <v>0.4</v>
      </c>
      <c r="F15" s="9" t="n">
        <v>93.3</v>
      </c>
      <c r="G15" s="9" t="n">
        <v>68.09999999999999</v>
      </c>
      <c r="H15" s="9" t="n">
        <v>48.5</v>
      </c>
      <c r="I15" s="6" t="n">
        <v>0</v>
      </c>
      <c r="J15" s="10">
        <f>E15*1000-$F$2-$L$2-$H$2/2</f>
        <v>342.55</v>
      </c>
      <c r="K15" s="11">
        <f>F15*1000000/(0.9*(D15*1000)*J15^2)</f>
        <v>2.944895822</v>
      </c>
      <c r="L15" s="12">
        <f>(0.85*$B$2/$D$2)*(1-SQRT(1-2*K15/(0.85*$B$2)))</f>
        <v>0.007509198435</v>
      </c>
      <c r="M15" s="13">
        <f>L15*(D15*1000)*J15</f>
        <v>771.6827771</v>
      </c>
      <c r="N15" s="13">
        <f>MAX(0.25*SQRT($B$2)/$D$2,1.4/$D$2)*(D15*1000)*J15</f>
        <v>342.55</v>
      </c>
      <c r="O15" s="13">
        <f>MAX(M15,N15)</f>
        <v>771.6827771</v>
      </c>
      <c r="P15" s="14">
        <f>ROUNDUP(O15/$J$2,0)</f>
        <v>4</v>
      </c>
      <c r="Q15" s="13">
        <f>P15*$J$2</f>
        <v>796</v>
      </c>
      <c r="R15" s="10">
        <f>Q15*$D$2/(0.85*$B$2*(D15*1000))</f>
        <v>46.82352941</v>
      </c>
      <c r="S15" s="10">
        <f>0.9*Q15*$D$2*(J15-R15/2)/1000000</f>
        <v>96.02486534</v>
      </c>
      <c r="T15" s="15" t="str">
        <f>IF(AND(S15&gt;=F15,O15&lt;=0.025*(D15*1000)*J15,O15&gt;=N15),"CUMPLE","REVISAR")</f>
        <v>CUMPLE</v>
      </c>
      <c r="U15" s="11">
        <f>G15*1000000/(0.9*(D15*1000)*J15^2)</f>
        <v>2.149489876</v>
      </c>
      <c r="V15" s="12">
        <f>(0.85*$B$2/$D$2)*(1-SQRT(1-2*U15/(0.85*$B$2)))</f>
        <v>0.005372514628</v>
      </c>
      <c r="W15" s="13">
        <f>V15*(D15*1000)*J15</f>
        <v>552.1064658</v>
      </c>
      <c r="X15" s="13">
        <f>MAX(W15,N15)</f>
        <v>552.1064658</v>
      </c>
      <c r="Y15" s="14">
        <f>ROUNDUP(X15/$J$2,0)</f>
        <v>3</v>
      </c>
      <c r="Z15" s="13">
        <f>Y15*$J$2</f>
        <v>597</v>
      </c>
      <c r="AA15" s="10">
        <f>0.9*Z15*$D$2*(J15-(Z15*$D$2/(0.85*$B$2*(D15*1000)))/2)/1000000</f>
        <v>73.33945883</v>
      </c>
      <c r="AB15" s="15" t="str">
        <f>IF(AA15&gt;=G15,"CUMPLE","REVISAR")</f>
        <v>CUMPLE</v>
      </c>
      <c r="AC15" s="10">
        <f>0.17*SQRT($B$2)*(D15*1000)*J15/1000</f>
        <v>92.44281538</v>
      </c>
      <c r="AD15" s="10">
        <f>MAX(H15/0.75-AC15,0)</f>
        <v>0</v>
      </c>
      <c r="AE15" s="14">
        <f>IF(AD15&gt;0,MIN($N$2*$D$2*J15/(AD15*1000),MIN(J15/4,6*$H$2,150)),MIN(J15/4,6*$H$2,150))</f>
        <v>85.6375</v>
      </c>
      <c r="AF15" s="10">
        <f>0.66*SQRT($B$2)*(D15*1000)*J15/1000</f>
        <v>358.8956362</v>
      </c>
      <c r="AG15" s="15" t="str">
        <f>IF(AD15&lt;=AF15,"CUMPLE","AUMENTAR SECCION")</f>
        <v>CUMPLE</v>
      </c>
      <c r="AH15" s="10">
        <f>0.75*0.083*SQRT($B$2)*(((D15*1000)*(E15*1000))^2/(2*((D15*1000)+(E15*1000))))/1000000</f>
        <v>3.388073536</v>
      </c>
      <c r="AI15" s="15" t="str">
        <f>IF(I15&gt;AH15,"SI","No")</f>
        <v>No</v>
      </c>
      <c r="AJ15" s="11">
        <f>IF(I15&gt;AH15,I15*1000000/(0.75*2*0.85*((D15*1000-2*$F$2)*(E15*1000-2*$F$2))*$D$2),0)</f>
        <v>0</v>
      </c>
      <c r="AK15" s="10">
        <f>1.25*Q15*$D$2*(J15-(1.25*Q15*$D$2/(0.85*$B$2*(D15*1000)))/2)/1000000</f>
        <v>130.9219244</v>
      </c>
      <c r="AL15" s="10">
        <f>1.25*Z15*$D$2*(J15-(1.25*Z15*$D$2/(0.85*$B$2*(D15*1000)))/2)/1000000</f>
        <v>100.4845159</v>
      </c>
      <c r="AM15" s="10">
        <f>(AK15+AL15)/B15</f>
        <v>45.37381183</v>
      </c>
      <c r="AN15" s="10">
        <f>MAX(H15,AM15)</f>
        <v>48.5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1" t="inlineStr">
        <is>
          <t>VIGAS DE RIGIDEZ - AGRUPADO POR LONGITUD + CONDICION DE APOYO (16 grupos). Seccion 0.35x0.40. Azul=entrada.</t>
        </is>
      </c>
    </row>
    <row r="2">
      <c r="A2" s="2" t="inlineStr">
        <is>
          <t>f'c</t>
        </is>
      </c>
      <c r="B2" s="3" t="n">
        <v>28</v>
      </c>
      <c r="C2" s="2" t="inlineStr">
        <is>
          <t>fy</t>
        </is>
      </c>
      <c r="D2" s="3" t="n">
        <v>420</v>
      </c>
      <c r="E2" s="2" t="inlineStr">
        <is>
          <t>rec</t>
        </is>
      </c>
      <c r="F2" s="3" t="n">
        <v>40</v>
      </c>
      <c r="G2" s="2" t="inlineStr">
        <is>
          <t>db#5</t>
        </is>
      </c>
      <c r="H2" s="3" t="n">
        <v>15.9</v>
      </c>
      <c r="I2" s="2" t="inlineStr">
        <is>
          <t>Ab#5</t>
        </is>
      </c>
      <c r="J2" s="3" t="n">
        <v>199</v>
      </c>
      <c r="K2" s="2" t="inlineStr">
        <is>
          <t>estr#3</t>
        </is>
      </c>
      <c r="L2" s="3" t="n">
        <v>9.5</v>
      </c>
      <c r="M2" s="2" t="inlineStr">
        <is>
          <t>Av</t>
        </is>
      </c>
      <c r="N2" s="3" t="n">
        <v>142</v>
      </c>
    </row>
    <row r="3">
      <c r="A3" s="4" t="inlineStr">
        <is>
          <t>ID</t>
        </is>
      </c>
      <c r="B3" s="4" t="inlineStr">
        <is>
          <t>L=Ln [m]</t>
        </is>
      </c>
      <c r="C3" s="4" t="inlineStr">
        <is>
          <t>Seccion</t>
        </is>
      </c>
      <c r="D3" s="4" t="inlineStr">
        <is>
          <t>b [m]</t>
        </is>
      </c>
      <c r="E3" s="4" t="inlineStr">
        <is>
          <t>h [m]</t>
        </is>
      </c>
      <c r="F3" s="4" t="inlineStr">
        <is>
          <t>Mu- [kN.m]</t>
        </is>
      </c>
      <c r="G3" s="4" t="inlineStr">
        <is>
          <t>Mu+ [kN.m]</t>
        </is>
      </c>
      <c r="H3" s="4" t="inlineStr">
        <is>
          <t>Vu [kN]</t>
        </is>
      </c>
      <c r="I3" s="4" t="inlineStr">
        <is>
          <t>Tu [kN.m]</t>
        </is>
      </c>
      <c r="J3" s="4" t="inlineStr">
        <is>
          <t>d [mm]</t>
        </is>
      </c>
      <c r="K3" s="4" t="inlineStr">
        <is>
          <t>Rn-</t>
        </is>
      </c>
      <c r="L3" s="4" t="inlineStr">
        <is>
          <t>rho-</t>
        </is>
      </c>
      <c r="M3" s="4" t="inlineStr">
        <is>
          <t>As- req</t>
        </is>
      </c>
      <c r="N3" s="4" t="inlineStr">
        <is>
          <t>As min</t>
        </is>
      </c>
      <c r="O3" s="4" t="inlineStr">
        <is>
          <t>As- dise</t>
        </is>
      </c>
      <c r="P3" s="4" t="inlineStr">
        <is>
          <t>N#5 sup</t>
        </is>
      </c>
      <c r="Q3" s="4" t="inlineStr">
        <is>
          <t>As- col</t>
        </is>
      </c>
      <c r="R3" s="4" t="inlineStr">
        <is>
          <t>a- [mm]</t>
        </is>
      </c>
      <c r="S3" s="4" t="inlineStr">
        <is>
          <t>phiMn-</t>
        </is>
      </c>
      <c r="T3" s="4" t="inlineStr">
        <is>
          <t>Chk-</t>
        </is>
      </c>
      <c r="U3" s="4" t="inlineStr">
        <is>
          <t>Rn+</t>
        </is>
      </c>
      <c r="V3" s="4" t="inlineStr">
        <is>
          <t>rho+</t>
        </is>
      </c>
      <c r="W3" s="4" t="inlineStr">
        <is>
          <t>As+ req</t>
        </is>
      </c>
      <c r="X3" s="4" t="inlineStr">
        <is>
          <t>As+ dise</t>
        </is>
      </c>
      <c r="Y3" s="4" t="inlineStr">
        <is>
          <t>N#5 inf</t>
        </is>
      </c>
      <c r="Z3" s="4" t="inlineStr">
        <is>
          <t>As+ col</t>
        </is>
      </c>
      <c r="AA3" s="4" t="inlineStr">
        <is>
          <t>phiMn+</t>
        </is>
      </c>
      <c r="AB3" s="4" t="inlineStr">
        <is>
          <t>Chk+</t>
        </is>
      </c>
      <c r="AC3" s="4" t="inlineStr">
        <is>
          <t>Vc [kN]</t>
        </is>
      </c>
      <c r="AD3" s="4" t="inlineStr">
        <is>
          <t>Vs req</t>
        </is>
      </c>
      <c r="AE3" s="4" t="inlineStr">
        <is>
          <t>s estr [mm]</t>
        </is>
      </c>
      <c r="AF3" s="4" t="inlineStr">
        <is>
          <t>Vs max</t>
        </is>
      </c>
      <c r="AG3" s="4" t="inlineStr">
        <is>
          <t>Chk V</t>
        </is>
      </c>
      <c r="AH3" s="4" t="inlineStr">
        <is>
          <t>T umbral</t>
        </is>
      </c>
      <c r="AI3" s="4" t="inlineStr">
        <is>
          <t>Torsion?</t>
        </is>
      </c>
      <c r="AJ3" s="4" t="inlineStr">
        <is>
          <t>At/s</t>
        </is>
      </c>
      <c r="AK3" s="4" t="inlineStr">
        <is>
          <t>Mpr-</t>
        </is>
      </c>
      <c r="AL3" s="4" t="inlineStr">
        <is>
          <t>Mpr+</t>
        </is>
      </c>
      <c r="AM3" s="4" t="inlineStr">
        <is>
          <t>Ve [kN]</t>
        </is>
      </c>
      <c r="AN3" s="4" t="inlineStr">
        <is>
          <t>V dis [kN]</t>
        </is>
      </c>
    </row>
    <row r="4">
      <c r="A4" s="5" t="inlineStr">
        <is>
          <t>VR-1 (1.50 Ext, 30)</t>
        </is>
      </c>
      <c r="B4" s="6" t="n">
        <v>1.5</v>
      </c>
      <c r="C4" s="7" t="inlineStr">
        <is>
          <t>VR</t>
        </is>
      </c>
      <c r="D4" s="8">
        <f>IF(C4="VR",0.35,0.30)</f>
        <v>0.35</v>
      </c>
      <c r="E4" s="6" t="n">
        <v>0.4</v>
      </c>
      <c r="F4" s="9" t="n">
        <v>57.9</v>
      </c>
      <c r="G4" s="9" t="n">
        <v>55</v>
      </c>
      <c r="H4" s="9" t="n">
        <v>81.2</v>
      </c>
      <c r="I4" s="6" t="n">
        <v>25.7</v>
      </c>
      <c r="J4" s="10">
        <f>E4*1000-$F$2-$L$2-$H$2/2</f>
        <v>342.55</v>
      </c>
      <c r="K4" s="11">
        <f>F4*1000000/(0.9*(D4*1000)*J4^2)</f>
        <v>1.566462729</v>
      </c>
      <c r="L4" s="12">
        <f>(0.85*$B$2/$D$2)*(1-SQRT(1-2*K4/(0.85*$B$2)))</f>
        <v>0.003861223585</v>
      </c>
      <c r="M4" s="13">
        <f>L4*(D4*1000)*J4</f>
        <v>462.9317486</v>
      </c>
      <c r="N4" s="13">
        <f>MAX(0.25*SQRT($B$2)/$D$2,1.4/$D$2)*(D4*1000)*J4</f>
        <v>399.6416667</v>
      </c>
      <c r="O4" s="13">
        <f>MAX(M4,N4)</f>
        <v>462.9317486</v>
      </c>
      <c r="P4" s="14">
        <f>ROUNDUP(O4/$J$2,0)</f>
        <v>3</v>
      </c>
      <c r="Q4" s="13">
        <f>P4*$J$2</f>
        <v>597</v>
      </c>
      <c r="R4" s="10">
        <f>Q4*$D$2/(0.85*$B$2*(D4*1000))</f>
        <v>30.10084034</v>
      </c>
      <c r="S4" s="10">
        <f>0.9*Q4*$D$2*(J4-R4/2)/1000000</f>
        <v>73.90552018</v>
      </c>
      <c r="T4" s="15" t="str">
        <f>IF(AND(S4&gt;=F4,O4&lt;=0.025*(D4*1000)*J4,O4&gt;=N4),"CUMPLE","REVISAR")</f>
        <v>CUMPLE</v>
      </c>
      <c r="U4" s="11">
        <f>G4*1000000/(0.9*(D4*1000)*J4^2)</f>
        <v>1.48800432</v>
      </c>
      <c r="V4" s="12">
        <f>(0.85*$B$2/$D$2)*(1-SQRT(1-2*U4/(0.85*$B$2)))</f>
        <v>0.003661137371</v>
      </c>
      <c r="W4" s="13">
        <f>V4*(D4*1000)*J4</f>
        <v>438.9429122</v>
      </c>
      <c r="X4" s="13">
        <f>MAX(W4,N4)</f>
        <v>438.9429122</v>
      </c>
      <c r="Y4" s="14">
        <f>ROUNDUP(X4/$J$2,0)</f>
        <v>3</v>
      </c>
      <c r="Z4" s="13">
        <f>Y4*$J$2</f>
        <v>597</v>
      </c>
      <c r="AA4" s="10">
        <f>0.9*Z4*$D$2*(J4-(Z4*$D$2/(0.85*$B$2*(D4*1000)))/2)/1000000</f>
        <v>73.90552018</v>
      </c>
      <c r="AB4" s="15" t="str">
        <f>IF(AA4&gt;=G4,"CUMPLE","REVISAR")</f>
        <v>CUMPLE</v>
      </c>
      <c r="AC4" s="10">
        <f>0.17*SQRT($B$2)*(D4*1000)*J4/1000</f>
        <v>107.8499513</v>
      </c>
      <c r="AD4" s="10">
        <f>MAX(H4/0.75-AC4,0)</f>
        <v>0.4167153857</v>
      </c>
      <c r="AE4" s="14">
        <f>IF(AD4&gt;0,MIN($N$2*$D$2*J4/(AD4*1000),MIN(J4/4,6*$H$2,150)),MIN(J4/4,6*$H$2,150))</f>
        <v>85.6375</v>
      </c>
      <c r="AF4" s="10">
        <f>0.66*SQRT($B$2)*(D4*1000)*J4/1000</f>
        <v>418.7115756</v>
      </c>
      <c r="AG4" s="15" t="str">
        <f>IF(AD4&lt;=AF4,"CUMPLE","AUMENTAR SECCION")</f>
        <v>CUMPLE</v>
      </c>
      <c r="AH4" s="10">
        <f>0.75*0.083*SQRT($B$2)*(((D4*1000)*(E4*1000))^2/(2*((D4*1000)+(E4*1000))))/1000000</f>
        <v>4.304108233</v>
      </c>
      <c r="AI4" s="15" t="str">
        <f>IF(I4&gt;AH4,"SI","No")</f>
        <v>SI</v>
      </c>
      <c r="AJ4" s="11">
        <f>IF(I4&gt;AH4,I4*1000000/(0.75*2*0.85*((D4*1000-2*$F$2)*(E4*1000-2*$F$2))*$D$2),0)</f>
        <v>0.5554691012</v>
      </c>
      <c r="AK4" s="10">
        <f>1.25*Q4*$D$2*(J4-(1.25*Q4*$D$2/(0.85*$B$2*(D4*1000)))/2)/1000000</f>
        <v>101.4672613</v>
      </c>
      <c r="AL4" s="10">
        <f>1.25*Z4*$D$2*(J4-(1.25*Z4*$D$2/(0.85*$B$2*(D4*1000)))/2)/1000000</f>
        <v>101.4672613</v>
      </c>
      <c r="AM4" s="10">
        <f>(AK4+AL4)/B4</f>
        <v>135.2896818</v>
      </c>
      <c r="AN4" s="10">
        <f>MAX(H4,AM4)</f>
        <v>135.2896818</v>
      </c>
    </row>
    <row r="5">
      <c r="A5" s="5" t="inlineStr">
        <is>
          <t>VR-2 (2.50 Ext, 32)</t>
        </is>
      </c>
      <c r="B5" s="6" t="n">
        <v>2.5</v>
      </c>
      <c r="C5" s="7" t="inlineStr">
        <is>
          <t>VR</t>
        </is>
      </c>
      <c r="D5" s="8">
        <f>IF(C5="VR",0.35,0.30)</f>
        <v>0.35</v>
      </c>
      <c r="E5" s="6" t="n">
        <v>0.4</v>
      </c>
      <c r="F5" s="9" t="n">
        <v>32.4</v>
      </c>
      <c r="G5" s="9" t="n">
        <v>11</v>
      </c>
      <c r="H5" s="9" t="n">
        <v>56.9</v>
      </c>
      <c r="I5" s="6" t="n">
        <v>0.6</v>
      </c>
      <c r="J5" s="10">
        <f>E5*1000-$F$2-$L$2-$H$2/2</f>
        <v>342.55</v>
      </c>
      <c r="K5" s="11">
        <f>F5*1000000/(0.9*(D5*1000)*J5^2)</f>
        <v>0.8765698175</v>
      </c>
      <c r="L5" s="12">
        <f>(0.85*$B$2/$D$2)*(1-SQRT(1-2*K5/(0.85*$B$2)))</f>
        <v>0.002126989381</v>
      </c>
      <c r="M5" s="13">
        <f>L5*(D5*1000)*J5</f>
        <v>255.0100743</v>
      </c>
      <c r="N5" s="13">
        <f>MAX(0.25*SQRT($B$2)/$D$2,1.4/$D$2)*(D5*1000)*J5</f>
        <v>399.6416667</v>
      </c>
      <c r="O5" s="13">
        <f>MAX(M5,N5)</f>
        <v>399.6416667</v>
      </c>
      <c r="P5" s="14">
        <f>ROUNDUP(O5/$J$2,0)</f>
        <v>3</v>
      </c>
      <c r="Q5" s="13">
        <f>P5*$J$2</f>
        <v>597</v>
      </c>
      <c r="R5" s="10">
        <f>Q5*$D$2/(0.85*$B$2*(D5*1000))</f>
        <v>30.10084034</v>
      </c>
      <c r="S5" s="10">
        <f>0.9*Q5*$D$2*(J5-R5/2)/1000000</f>
        <v>73.90552018</v>
      </c>
      <c r="T5" s="15" t="str">
        <f>IF(AND(S5&gt;=F5,O5&lt;=0.025*(D5*1000)*J5,O5&gt;=N5),"CUMPLE","REVISAR")</f>
        <v>CUMPLE</v>
      </c>
      <c r="U5" s="11">
        <f>G5*1000000/(0.9*(D5*1000)*J5^2)</f>
        <v>0.297600864</v>
      </c>
      <c r="V5" s="12">
        <f>(0.85*$B$2/$D$2)*(1-SQRT(1-2*U5/(0.85*$B$2)))</f>
        <v>0.0007130598475</v>
      </c>
      <c r="W5" s="13">
        <f>V5*(D5*1000)*J5</f>
        <v>85.49052776</v>
      </c>
      <c r="X5" s="13">
        <f>MAX(W5,N5)</f>
        <v>399.6416667</v>
      </c>
      <c r="Y5" s="14">
        <f>ROUNDUP(X5/$J$2,0)</f>
        <v>3</v>
      </c>
      <c r="Z5" s="13">
        <f>Y5*$J$2</f>
        <v>597</v>
      </c>
      <c r="AA5" s="10">
        <f>0.9*Z5*$D$2*(J5-(Z5*$D$2/(0.85*$B$2*(D5*1000)))/2)/1000000</f>
        <v>73.90552018</v>
      </c>
      <c r="AB5" s="15" t="str">
        <f>IF(AA5&gt;=G5,"CUMPLE","REVISAR")</f>
        <v>CUMPLE</v>
      </c>
      <c r="AC5" s="10">
        <f>0.17*SQRT($B$2)*(D5*1000)*J5/1000</f>
        <v>107.8499513</v>
      </c>
      <c r="AD5" s="10">
        <f>MAX(H5/0.75-AC5,0)</f>
        <v>0</v>
      </c>
      <c r="AE5" s="14">
        <f>IF(AD5&gt;0,MIN($N$2*$D$2*J5/(AD5*1000),MIN(J5/4,6*$H$2,150)),MIN(J5/4,6*$H$2,150))</f>
        <v>85.6375</v>
      </c>
      <c r="AF5" s="10">
        <f>0.66*SQRT($B$2)*(D5*1000)*J5/1000</f>
        <v>418.7115756</v>
      </c>
      <c r="AG5" s="15" t="str">
        <f>IF(AD5&lt;=AF5,"CUMPLE","AUMENTAR SECCION")</f>
        <v>CUMPLE</v>
      </c>
      <c r="AH5" s="10">
        <f>0.75*0.083*SQRT($B$2)*(((D5*1000)*(E5*1000))^2/(2*((D5*1000)+(E5*1000))))/1000000</f>
        <v>4.304108233</v>
      </c>
      <c r="AI5" s="15" t="str">
        <f>IF(I5&gt;AH5,"SI","No")</f>
        <v>No</v>
      </c>
      <c r="AJ5" s="11">
        <f>IF(I5&gt;AH5,I5*1000000/(0.75*2*0.85*((D5*1000-2*$F$2)*(E5*1000-2*$F$2))*$D$2),0)</f>
        <v>0</v>
      </c>
      <c r="AK5" s="10">
        <f>1.25*Q5*$D$2*(J5-(1.25*Q5*$D$2/(0.85*$B$2*(D5*1000)))/2)/1000000</f>
        <v>101.4672613</v>
      </c>
      <c r="AL5" s="10">
        <f>1.25*Z5*$D$2*(J5-(1.25*Z5*$D$2/(0.85*$B$2*(D5*1000)))/2)/1000000</f>
        <v>101.4672613</v>
      </c>
      <c r="AM5" s="10">
        <f>(AK5+AL5)/B5</f>
        <v>81.17380906</v>
      </c>
      <c r="AN5" s="10">
        <f>MAX(H5,AM5)</f>
        <v>81.17380906</v>
      </c>
    </row>
    <row r="6">
      <c r="A6" s="5" t="inlineStr">
        <is>
          <t>VR-3 (2.50 Int, 18)</t>
        </is>
      </c>
      <c r="B6" s="6" t="n">
        <v>2.5</v>
      </c>
      <c r="C6" s="7" t="inlineStr">
        <is>
          <t>VR</t>
        </is>
      </c>
      <c r="D6" s="8">
        <f>IF(C6="VR",0.35,0.30)</f>
        <v>0.35</v>
      </c>
      <c r="E6" s="6" t="n">
        <v>0.4</v>
      </c>
      <c r="F6" s="9" t="n">
        <v>27.2</v>
      </c>
      <c r="G6" s="9" t="n">
        <v>10.3</v>
      </c>
      <c r="H6" s="9" t="n">
        <v>54.8</v>
      </c>
      <c r="I6" s="6" t="n">
        <v>0.4</v>
      </c>
      <c r="J6" s="10">
        <f>E6*1000-$F$2-$L$2-$H$2/2</f>
        <v>342.55</v>
      </c>
      <c r="K6" s="11">
        <f>F6*1000000/(0.9*(D6*1000)*J6^2)</f>
        <v>0.7358857727</v>
      </c>
      <c r="L6" s="12">
        <f>(0.85*$B$2/$D$2)*(1-SQRT(1-2*K6/(0.85*$B$2)))</f>
        <v>0.001780067576</v>
      </c>
      <c r="M6" s="13">
        <f>L6*(D6*1000)*J6</f>
        <v>213.4167518</v>
      </c>
      <c r="N6" s="13">
        <f>MAX(0.25*SQRT($B$2)/$D$2,1.4/$D$2)*(D6*1000)*J6</f>
        <v>399.6416667</v>
      </c>
      <c r="O6" s="13">
        <f>MAX(M6,N6)</f>
        <v>399.6416667</v>
      </c>
      <c r="P6" s="14">
        <f>ROUNDUP(O6/$J$2,0)</f>
        <v>3</v>
      </c>
      <c r="Q6" s="13">
        <f>P6*$J$2</f>
        <v>597</v>
      </c>
      <c r="R6" s="10">
        <f>Q6*$D$2/(0.85*$B$2*(D6*1000))</f>
        <v>30.10084034</v>
      </c>
      <c r="S6" s="10">
        <f>0.9*Q6*$D$2*(J6-R6/2)/1000000</f>
        <v>73.90552018</v>
      </c>
      <c r="T6" s="15" t="str">
        <f>IF(AND(S6&gt;=F6,O6&lt;=0.025*(D6*1000)*J6,O6&gt;=N6),"CUMPLE","REVISAR")</f>
        <v>CUMPLE</v>
      </c>
      <c r="U6" s="11">
        <f>G6*1000000/(0.9*(D6*1000)*J6^2)</f>
        <v>0.2786626272</v>
      </c>
      <c r="V6" s="12">
        <f>(0.85*$B$2/$D$2)*(1-SQRT(1-2*U6/(0.85*$B$2)))</f>
        <v>0.0006674127972</v>
      </c>
      <c r="W6" s="13">
        <f>V6*(D6*1000)*J6</f>
        <v>80.01778878</v>
      </c>
      <c r="X6" s="13">
        <f>MAX(W6,N6)</f>
        <v>399.6416667</v>
      </c>
      <c r="Y6" s="14">
        <f>ROUNDUP(X6/$J$2,0)</f>
        <v>3</v>
      </c>
      <c r="Z6" s="13">
        <f>Y6*$J$2</f>
        <v>597</v>
      </c>
      <c r="AA6" s="10">
        <f>0.9*Z6*$D$2*(J6-(Z6*$D$2/(0.85*$B$2*(D6*1000)))/2)/1000000</f>
        <v>73.90552018</v>
      </c>
      <c r="AB6" s="15" t="str">
        <f>IF(AA6&gt;=G6,"CUMPLE","REVISAR")</f>
        <v>CUMPLE</v>
      </c>
      <c r="AC6" s="10">
        <f>0.17*SQRT($B$2)*(D6*1000)*J6/1000</f>
        <v>107.8499513</v>
      </c>
      <c r="AD6" s="10">
        <f>MAX(H6/0.75-AC6,0)</f>
        <v>0</v>
      </c>
      <c r="AE6" s="14">
        <f>IF(AD6&gt;0,MIN($N$2*$D$2*J6/(AD6*1000),MIN(J6/4,6*$H$2,150)),MIN(J6/4,6*$H$2,150))</f>
        <v>85.6375</v>
      </c>
      <c r="AF6" s="10">
        <f>0.66*SQRT($B$2)*(D6*1000)*J6/1000</f>
        <v>418.7115756</v>
      </c>
      <c r="AG6" s="15" t="str">
        <f>IF(AD6&lt;=AF6,"CUMPLE","AUMENTAR SECCION")</f>
        <v>CUMPLE</v>
      </c>
      <c r="AH6" s="10">
        <f>0.75*0.083*SQRT($B$2)*(((D6*1000)*(E6*1000))^2/(2*((D6*1000)+(E6*1000))))/1000000</f>
        <v>4.304108233</v>
      </c>
      <c r="AI6" s="15" t="str">
        <f>IF(I6&gt;AH6,"SI","No")</f>
        <v>No</v>
      </c>
      <c r="AJ6" s="11">
        <f>IF(I6&gt;AH6,I6*1000000/(0.75*2*0.85*((D6*1000-2*$F$2)*(E6*1000-2*$F$2))*$D$2),0)</f>
        <v>0</v>
      </c>
      <c r="AK6" s="10">
        <f>1.25*Q6*$D$2*(J6-(1.25*Q6*$D$2/(0.85*$B$2*(D6*1000)))/2)/1000000</f>
        <v>101.4672613</v>
      </c>
      <c r="AL6" s="10">
        <f>1.25*Z6*$D$2*(J6-(1.25*Z6*$D$2/(0.85*$B$2*(D6*1000)))/2)/1000000</f>
        <v>101.4672613</v>
      </c>
      <c r="AM6" s="10">
        <f>(AK6+AL6)/B6</f>
        <v>81.17380906</v>
      </c>
      <c r="AN6" s="10">
        <f>MAX(H6,AM6)</f>
        <v>81.17380906</v>
      </c>
    </row>
    <row r="7">
      <c r="A7" s="5" t="inlineStr">
        <is>
          <t>VR-4 (2.60 Ext, 30)</t>
        </is>
      </c>
      <c r="B7" s="6" t="n">
        <v>2.6</v>
      </c>
      <c r="C7" s="7" t="inlineStr">
        <is>
          <t>VR</t>
        </is>
      </c>
      <c r="D7" s="8">
        <f>IF(C7="VR",0.35,0.30)</f>
        <v>0.35</v>
      </c>
      <c r="E7" s="6" t="n">
        <v>0.4</v>
      </c>
      <c r="F7" s="9" t="n">
        <v>97.09999999999999</v>
      </c>
      <c r="G7" s="9" t="n">
        <v>86.8</v>
      </c>
      <c r="H7" s="9" t="n">
        <v>154.3</v>
      </c>
      <c r="I7" s="6" t="n">
        <v>2.5</v>
      </c>
      <c r="J7" s="10">
        <f>E7*1000-$F$2-$L$2-$H$2/2</f>
        <v>342.55</v>
      </c>
      <c r="K7" s="11">
        <f>F7*1000000/(0.9*(D7*1000)*J7^2)</f>
        <v>2.62700399</v>
      </c>
      <c r="L7" s="12">
        <f>(0.85*$B$2/$D$2)*(1-SQRT(1-2*K7/(0.85*$B$2)))</f>
        <v>0.006644301483</v>
      </c>
      <c r="M7" s="13">
        <f>L7*(D7*1000)*J7</f>
        <v>796.6019155</v>
      </c>
      <c r="N7" s="13">
        <f>MAX(0.25*SQRT($B$2)/$D$2,1.4/$D$2)*(D7*1000)*J7</f>
        <v>399.6416667</v>
      </c>
      <c r="O7" s="13">
        <f>MAX(M7,N7)</f>
        <v>796.6019155</v>
      </c>
      <c r="P7" s="14">
        <f>ROUNDUP(O7/$J$2,0)</f>
        <v>5</v>
      </c>
      <c r="Q7" s="13">
        <f>P7*$J$2</f>
        <v>995</v>
      </c>
      <c r="R7" s="10">
        <f>Q7*$D$2/(0.85*$B$2*(D7*1000))</f>
        <v>50.16806723</v>
      </c>
      <c r="S7" s="10">
        <f>0.9*Q7*$D$2*(J7-R7/2)/1000000</f>
        <v>119.4021246</v>
      </c>
      <c r="T7" s="15" t="str">
        <f>IF(AND(S7&gt;=F7,O7&lt;=0.025*(D7*1000)*J7,O7&gt;=N7),"CUMPLE","REVISAR")</f>
        <v>CUMPLE</v>
      </c>
      <c r="U7" s="11">
        <f>G7*1000000/(0.9*(D7*1000)*J7^2)</f>
        <v>2.348341363</v>
      </c>
      <c r="V7" s="12">
        <f>(0.85*$B$2/$D$2)*(1-SQRT(1-2*U7/(0.85*$B$2)))</f>
        <v>0.005898254285</v>
      </c>
      <c r="W7" s="13">
        <f>V7*(D7*1000)*J7</f>
        <v>707.1564519</v>
      </c>
      <c r="X7" s="13">
        <f>MAX(W7,N7)</f>
        <v>707.1564519</v>
      </c>
      <c r="Y7" s="14">
        <f>ROUNDUP(X7/$J$2,0)</f>
        <v>4</v>
      </c>
      <c r="Z7" s="13">
        <f>Y7*$J$2</f>
        <v>796</v>
      </c>
      <c r="AA7" s="10">
        <f>0.9*Z7*$D$2*(J7-(Z7*$D$2/(0.85*$B$2*(D7*1000)))/2)/1000000</f>
        <v>97.03119664</v>
      </c>
      <c r="AB7" s="15" t="str">
        <f>IF(AA7&gt;=G7,"CUMPLE","REVISAR")</f>
        <v>CUMPLE</v>
      </c>
      <c r="AC7" s="10">
        <f>0.17*SQRT($B$2)*(D7*1000)*J7/1000</f>
        <v>107.8499513</v>
      </c>
      <c r="AD7" s="10">
        <f>MAX(H7/0.75-AC7,0)</f>
        <v>97.88338205</v>
      </c>
      <c r="AE7" s="14">
        <f>IF(AD7&gt;0,MIN($N$2*$D$2*J7/(AD7*1000),MIN(J7/4,6*$H$2,150)),MIN(J7/4,6*$H$2,150))</f>
        <v>85.6375</v>
      </c>
      <c r="AF7" s="10">
        <f>0.66*SQRT($B$2)*(D7*1000)*J7/1000</f>
        <v>418.7115756</v>
      </c>
      <c r="AG7" s="15" t="str">
        <f>IF(AD7&lt;=AF7,"CUMPLE","AUMENTAR SECCION")</f>
        <v>CUMPLE</v>
      </c>
      <c r="AH7" s="10">
        <f>0.75*0.083*SQRT($B$2)*(((D7*1000)*(E7*1000))^2/(2*((D7*1000)+(E7*1000))))/1000000</f>
        <v>4.304108233</v>
      </c>
      <c r="AI7" s="15" t="str">
        <f>IF(I7&gt;AH7,"SI","No")</f>
        <v>No</v>
      </c>
      <c r="AJ7" s="11">
        <f>IF(I7&gt;AH7,I7*1000000/(0.75*2*0.85*((D7*1000-2*$F$2)*(E7*1000-2*$F$2))*$D$2),0)</f>
        <v>0</v>
      </c>
      <c r="AK7" s="10">
        <f>1.25*Q7*$D$2*(J7-(1.25*Q7*$D$2/(0.85*$B$2*(D7*1000)))/2)/1000000</f>
        <v>162.5604662</v>
      </c>
      <c r="AL7" s="10">
        <f>1.25*Z7*$D$2*(J7-(1.25*Z7*$D$2/(0.85*$B$2*(D7*1000)))/2)/1000000</f>
        <v>132.6690274</v>
      </c>
      <c r="AM7" s="10">
        <f>(AK7+AL7)/B7</f>
        <v>113.5498052</v>
      </c>
      <c r="AN7" s="10">
        <f>MAX(H7,AM7)</f>
        <v>154.3</v>
      </c>
    </row>
    <row r="8">
      <c r="A8" s="5" t="inlineStr">
        <is>
          <t>VR-5 (2.60 Int, 60)</t>
        </is>
      </c>
      <c r="B8" s="6" t="n">
        <v>2.6</v>
      </c>
      <c r="C8" s="7" t="inlineStr">
        <is>
          <t>VR</t>
        </is>
      </c>
      <c r="D8" s="8">
        <f>IF(C8="VR",0.35,0.30)</f>
        <v>0.35</v>
      </c>
      <c r="E8" s="6" t="n">
        <v>0.4</v>
      </c>
      <c r="F8" s="9" t="n">
        <v>28.9</v>
      </c>
      <c r="G8" s="9" t="n">
        <v>14.4</v>
      </c>
      <c r="H8" s="9" t="n">
        <v>56</v>
      </c>
      <c r="I8" s="6" t="n">
        <v>6.4</v>
      </c>
      <c r="J8" s="10">
        <f>E8*1000-$F$2-$L$2-$H$2/2</f>
        <v>342.55</v>
      </c>
      <c r="K8" s="11">
        <f>F8*1000000/(0.9*(D8*1000)*J8^2)</f>
        <v>0.7818786335</v>
      </c>
      <c r="L8" s="12">
        <f>(0.85*$B$2/$D$2)*(1-SQRT(1-2*K8/(0.85*$B$2)))</f>
        <v>0.001893242565</v>
      </c>
      <c r="M8" s="13">
        <f>L8*(D8*1000)*J8</f>
        <v>226.9855843</v>
      </c>
      <c r="N8" s="13">
        <f>MAX(0.25*SQRT($B$2)/$D$2,1.4/$D$2)*(D8*1000)*J8</f>
        <v>399.6416667</v>
      </c>
      <c r="O8" s="13">
        <f>MAX(M8,N8)</f>
        <v>399.6416667</v>
      </c>
      <c r="P8" s="14">
        <f>ROUNDUP(O8/$J$2,0)</f>
        <v>3</v>
      </c>
      <c r="Q8" s="13">
        <f>P8*$J$2</f>
        <v>597</v>
      </c>
      <c r="R8" s="10">
        <f>Q8*$D$2/(0.85*$B$2*(D8*1000))</f>
        <v>30.10084034</v>
      </c>
      <c r="S8" s="10">
        <f>0.9*Q8*$D$2*(J8-R8/2)/1000000</f>
        <v>73.90552018</v>
      </c>
      <c r="T8" s="15" t="str">
        <f>IF(AND(S8&gt;=F8,O8&lt;=0.025*(D8*1000)*J8,O8&gt;=N8),"CUMPLE","REVISAR")</f>
        <v>CUMPLE</v>
      </c>
      <c r="U8" s="11">
        <f>G8*1000000/(0.9*(D8*1000)*J8^2)</f>
        <v>0.3895865855</v>
      </c>
      <c r="V8" s="12">
        <f>(0.85*$B$2/$D$2)*(1-SQRT(1-2*U8/(0.85*$B$2)))</f>
        <v>0.0009353059067</v>
      </c>
      <c r="W8" s="13">
        <f>V8*(D8*1000)*J8</f>
        <v>112.1361634</v>
      </c>
      <c r="X8" s="13">
        <f>MAX(W8,N8)</f>
        <v>399.6416667</v>
      </c>
      <c r="Y8" s="14">
        <f>ROUNDUP(X8/$J$2,0)</f>
        <v>3</v>
      </c>
      <c r="Z8" s="13">
        <f>Y8*$J$2</f>
        <v>597</v>
      </c>
      <c r="AA8" s="10">
        <f>0.9*Z8*$D$2*(J8-(Z8*$D$2/(0.85*$B$2*(D8*1000)))/2)/1000000</f>
        <v>73.90552018</v>
      </c>
      <c r="AB8" s="15" t="str">
        <f>IF(AA8&gt;=G8,"CUMPLE","REVISAR")</f>
        <v>CUMPLE</v>
      </c>
      <c r="AC8" s="10">
        <f>0.17*SQRT($B$2)*(D8*1000)*J8/1000</f>
        <v>107.8499513</v>
      </c>
      <c r="AD8" s="10">
        <f>MAX(H8/0.75-AC8,0)</f>
        <v>0</v>
      </c>
      <c r="AE8" s="14">
        <f>IF(AD8&gt;0,MIN($N$2*$D$2*J8/(AD8*1000),MIN(J8/4,6*$H$2,150)),MIN(J8/4,6*$H$2,150))</f>
        <v>85.6375</v>
      </c>
      <c r="AF8" s="10">
        <f>0.66*SQRT($B$2)*(D8*1000)*J8/1000</f>
        <v>418.7115756</v>
      </c>
      <c r="AG8" s="15" t="str">
        <f>IF(AD8&lt;=AF8,"CUMPLE","AUMENTAR SECCION")</f>
        <v>CUMPLE</v>
      </c>
      <c r="AH8" s="10">
        <f>0.75*0.083*SQRT($B$2)*(((D8*1000)*(E8*1000))^2/(2*((D8*1000)+(E8*1000))))/1000000</f>
        <v>4.304108233</v>
      </c>
      <c r="AI8" s="15" t="str">
        <f>IF(I8&gt;AH8,"SI","No")</f>
        <v>SI</v>
      </c>
      <c r="AJ8" s="11">
        <f>IF(I8&gt;AH8,I8*1000000/(0.75*2*0.85*((D8*1000-2*$F$2)*(E8*1000-2*$F$2))*$D$2),0)</f>
        <v>0.1383269357</v>
      </c>
      <c r="AK8" s="10">
        <f>1.25*Q8*$D$2*(J8-(1.25*Q8*$D$2/(0.85*$B$2*(D8*1000)))/2)/1000000</f>
        <v>101.4672613</v>
      </c>
      <c r="AL8" s="10">
        <f>1.25*Z8*$D$2*(J8-(1.25*Z8*$D$2/(0.85*$B$2*(D8*1000)))/2)/1000000</f>
        <v>101.4672613</v>
      </c>
      <c r="AM8" s="10">
        <f>(AK8+AL8)/B8</f>
        <v>78.05173948</v>
      </c>
      <c r="AN8" s="10">
        <f>MAX(H8,AM8)</f>
        <v>78.05173948</v>
      </c>
    </row>
    <row r="9">
      <c r="A9" s="5" t="inlineStr">
        <is>
          <t>VR-6 (2.70 Ext, 15)</t>
        </is>
      </c>
      <c r="B9" s="6" t="n">
        <v>2.7</v>
      </c>
      <c r="C9" s="7" t="inlineStr">
        <is>
          <t>VR</t>
        </is>
      </c>
      <c r="D9" s="8">
        <f>IF(C9="VR",0.35,0.30)</f>
        <v>0.35</v>
      </c>
      <c r="E9" s="6" t="n">
        <v>0.4</v>
      </c>
      <c r="F9" s="9" t="n">
        <v>81.09999999999999</v>
      </c>
      <c r="G9" s="9" t="n">
        <v>42.6</v>
      </c>
      <c r="H9" s="9" t="n">
        <v>88.7</v>
      </c>
      <c r="I9" s="6" t="n">
        <v>4.2</v>
      </c>
      <c r="J9" s="10">
        <f>E9*1000-$F$2-$L$2-$H$2/2</f>
        <v>342.55</v>
      </c>
      <c r="K9" s="11">
        <f>F9*1000000/(0.9*(D9*1000)*J9^2)</f>
        <v>2.194130006</v>
      </c>
      <c r="L9" s="12">
        <f>(0.85*$B$2/$D$2)*(1-SQRT(1-2*K9/(0.85*$B$2)))</f>
        <v>0.005490067678</v>
      </c>
      <c r="M9" s="13">
        <f>L9*(D9*1000)*J9</f>
        <v>658.217939</v>
      </c>
      <c r="N9" s="13">
        <f>MAX(0.25*SQRT($B$2)/$D$2,1.4/$D$2)*(D9*1000)*J9</f>
        <v>399.6416667</v>
      </c>
      <c r="O9" s="13">
        <f>MAX(M9,N9)</f>
        <v>658.217939</v>
      </c>
      <c r="P9" s="14">
        <f>ROUNDUP(O9/$J$2,0)</f>
        <v>4</v>
      </c>
      <c r="Q9" s="13">
        <f>P9*$J$2</f>
        <v>796</v>
      </c>
      <c r="R9" s="10">
        <f>Q9*$D$2/(0.85*$B$2*(D9*1000))</f>
        <v>40.13445378</v>
      </c>
      <c r="S9" s="10">
        <f>0.9*Q9*$D$2*(J9-R9/2)/1000000</f>
        <v>97.03119664</v>
      </c>
      <c r="T9" s="15" t="str">
        <f>IF(AND(S9&gt;=F9,O9&lt;=0.025*(D9*1000)*J9,O9&gt;=N9),"CUMPLE","REVISAR")</f>
        <v>CUMPLE</v>
      </c>
      <c r="U9" s="11">
        <f>G9*1000000/(0.9*(D9*1000)*J9^2)</f>
        <v>1.152526982</v>
      </c>
      <c r="V9" s="12">
        <f>(0.85*$B$2/$D$2)*(1-SQRT(1-2*U9/(0.85*$B$2)))</f>
        <v>0.002813980878</v>
      </c>
      <c r="W9" s="13">
        <f>V9*(D9*1000)*J9</f>
        <v>337.3752024</v>
      </c>
      <c r="X9" s="13">
        <f>MAX(W9,N9)</f>
        <v>399.6416667</v>
      </c>
      <c r="Y9" s="14">
        <f>ROUNDUP(X9/$J$2,0)</f>
        <v>3</v>
      </c>
      <c r="Z9" s="13">
        <f>Y9*$J$2</f>
        <v>597</v>
      </c>
      <c r="AA9" s="10">
        <f>0.9*Z9*$D$2*(J9-(Z9*$D$2/(0.85*$B$2*(D9*1000)))/2)/1000000</f>
        <v>73.90552018</v>
      </c>
      <c r="AB9" s="15" t="str">
        <f>IF(AA9&gt;=G9,"CUMPLE","REVISAR")</f>
        <v>CUMPLE</v>
      </c>
      <c r="AC9" s="10">
        <f>0.17*SQRT($B$2)*(D9*1000)*J9/1000</f>
        <v>107.8499513</v>
      </c>
      <c r="AD9" s="10">
        <f>MAX(H9/0.75-AC9,0)</f>
        <v>10.41671539</v>
      </c>
      <c r="AE9" s="14">
        <f>IF(AD9&gt;0,MIN($N$2*$D$2*J9/(AD9*1000),MIN(J9/4,6*$H$2,150)),MIN(J9/4,6*$H$2,150))</f>
        <v>85.6375</v>
      </c>
      <c r="AF9" s="10">
        <f>0.66*SQRT($B$2)*(D9*1000)*J9/1000</f>
        <v>418.7115756</v>
      </c>
      <c r="AG9" s="15" t="str">
        <f>IF(AD9&lt;=AF9,"CUMPLE","AUMENTAR SECCION")</f>
        <v>CUMPLE</v>
      </c>
      <c r="AH9" s="10">
        <f>0.75*0.083*SQRT($B$2)*(((D9*1000)*(E9*1000))^2/(2*((D9*1000)+(E9*1000))))/1000000</f>
        <v>4.304108233</v>
      </c>
      <c r="AI9" s="15" t="str">
        <f>IF(I9&gt;AH9,"SI","No")</f>
        <v>No</v>
      </c>
      <c r="AJ9" s="11">
        <f>IF(I9&gt;AH9,I9*1000000/(0.75*2*0.85*((D9*1000-2*$F$2)*(E9*1000-2*$F$2))*$D$2),0)</f>
        <v>0</v>
      </c>
      <c r="AK9" s="10">
        <f>1.25*Q9*$D$2*(J9-(1.25*Q9*$D$2/(0.85*$B$2*(D9*1000)))/2)/1000000</f>
        <v>132.6690274</v>
      </c>
      <c r="AL9" s="10">
        <f>1.25*Z9*$D$2*(J9-(1.25*Z9*$D$2/(0.85*$B$2*(D9*1000)))/2)/1000000</f>
        <v>101.4672613</v>
      </c>
      <c r="AM9" s="10">
        <f>(AK9+AL9)/B9</f>
        <v>86.71714395</v>
      </c>
      <c r="AN9" s="10">
        <f>MAX(H9,AM9)</f>
        <v>88.7</v>
      </c>
    </row>
    <row r="10">
      <c r="A10" s="5" t="inlineStr">
        <is>
          <t>VR-7 (2.80 Ext, 15)</t>
        </is>
      </c>
      <c r="B10" s="6" t="n">
        <v>2.8</v>
      </c>
      <c r="C10" s="7" t="inlineStr">
        <is>
          <t>VR</t>
        </is>
      </c>
      <c r="D10" s="8">
        <f>IF(C10="VR",0.35,0.30)</f>
        <v>0.35</v>
      </c>
      <c r="E10" s="6" t="n">
        <v>0.4</v>
      </c>
      <c r="F10" s="9" t="n">
        <v>78.8</v>
      </c>
      <c r="G10" s="9" t="n">
        <v>37.4</v>
      </c>
      <c r="H10" s="9" t="n">
        <v>85.90000000000001</v>
      </c>
      <c r="I10" s="6" t="n">
        <v>4</v>
      </c>
      <c r="J10" s="10">
        <f>E10*1000-$F$2-$L$2-$H$2/2</f>
        <v>342.55</v>
      </c>
      <c r="K10" s="11">
        <f>F10*1000000/(0.9*(D10*1000)*J10^2)</f>
        <v>2.131904371</v>
      </c>
      <c r="L10" s="12">
        <f>(0.85*$B$2/$D$2)*(1-SQRT(1-2*K10/(0.85*$B$2)))</f>
        <v>0.005326279752</v>
      </c>
      <c r="M10" s="13">
        <f>L10*(D10*1000)*J10</f>
        <v>638.5809952</v>
      </c>
      <c r="N10" s="13">
        <f>MAX(0.25*SQRT($B$2)/$D$2,1.4/$D$2)*(D10*1000)*J10</f>
        <v>399.6416667</v>
      </c>
      <c r="O10" s="13">
        <f>MAX(M10,N10)</f>
        <v>638.5809952</v>
      </c>
      <c r="P10" s="14">
        <f>ROUNDUP(O10/$J$2,0)</f>
        <v>4</v>
      </c>
      <c r="Q10" s="13">
        <f>P10*$J$2</f>
        <v>796</v>
      </c>
      <c r="R10" s="10">
        <f>Q10*$D$2/(0.85*$B$2*(D10*1000))</f>
        <v>40.13445378</v>
      </c>
      <c r="S10" s="10">
        <f>0.9*Q10*$D$2*(J10-R10/2)/1000000</f>
        <v>97.03119664</v>
      </c>
      <c r="T10" s="15" t="str">
        <f>IF(AND(S10&gt;=F10,O10&lt;=0.025*(D10*1000)*J10,O10&gt;=N10),"CUMPLE","REVISAR")</f>
        <v>CUMPLE</v>
      </c>
      <c r="U10" s="11">
        <f>G10*1000000/(0.9*(D10*1000)*J10^2)</f>
        <v>1.011842937</v>
      </c>
      <c r="V10" s="12">
        <f>(0.85*$B$2/$D$2)*(1-SQRT(1-2*U10/(0.85*$B$2)))</f>
        <v>0.002462661944</v>
      </c>
      <c r="W10" s="13">
        <f>V10*(D10*1000)*J10</f>
        <v>295.2546971</v>
      </c>
      <c r="X10" s="13">
        <f>MAX(W10,N10)</f>
        <v>399.6416667</v>
      </c>
      <c r="Y10" s="14">
        <f>ROUNDUP(X10/$J$2,0)</f>
        <v>3</v>
      </c>
      <c r="Z10" s="13">
        <f>Y10*$J$2</f>
        <v>597</v>
      </c>
      <c r="AA10" s="10">
        <f>0.9*Z10*$D$2*(J10-(Z10*$D$2/(0.85*$B$2*(D10*1000)))/2)/1000000</f>
        <v>73.90552018</v>
      </c>
      <c r="AB10" s="15" t="str">
        <f>IF(AA10&gt;=G10,"CUMPLE","REVISAR")</f>
        <v>CUMPLE</v>
      </c>
      <c r="AC10" s="10">
        <f>0.17*SQRT($B$2)*(D10*1000)*J10/1000</f>
        <v>107.8499513</v>
      </c>
      <c r="AD10" s="10">
        <f>MAX(H10/0.75-AC10,0)</f>
        <v>6.683382052</v>
      </c>
      <c r="AE10" s="14">
        <f>IF(AD10&gt;0,MIN($N$2*$D$2*J10/(AD10*1000),MIN(J10/4,6*$H$2,150)),MIN(J10/4,6*$H$2,150))</f>
        <v>85.6375</v>
      </c>
      <c r="AF10" s="10">
        <f>0.66*SQRT($B$2)*(D10*1000)*J10/1000</f>
        <v>418.7115756</v>
      </c>
      <c r="AG10" s="15" t="str">
        <f>IF(AD10&lt;=AF10,"CUMPLE","AUMENTAR SECCION")</f>
        <v>CUMPLE</v>
      </c>
      <c r="AH10" s="10">
        <f>0.75*0.083*SQRT($B$2)*(((D10*1000)*(E10*1000))^2/(2*((D10*1000)+(E10*1000))))/1000000</f>
        <v>4.304108233</v>
      </c>
      <c r="AI10" s="15" t="str">
        <f>IF(I10&gt;AH10,"SI","No")</f>
        <v>No</v>
      </c>
      <c r="AJ10" s="11">
        <f>IF(I10&gt;AH10,I10*1000000/(0.75*2*0.85*((D10*1000-2*$F$2)*(E10*1000-2*$F$2))*$D$2),0)</f>
        <v>0</v>
      </c>
      <c r="AK10" s="10">
        <f>1.25*Q10*$D$2*(J10-(1.25*Q10*$D$2/(0.85*$B$2*(D10*1000)))/2)/1000000</f>
        <v>132.6690274</v>
      </c>
      <c r="AL10" s="10">
        <f>1.25*Z10*$D$2*(J10-(1.25*Z10*$D$2/(0.85*$B$2*(D10*1000)))/2)/1000000</f>
        <v>101.4672613</v>
      </c>
      <c r="AM10" s="10">
        <f>(AK10+AL10)/B10</f>
        <v>83.6201031</v>
      </c>
      <c r="AN10" s="10">
        <f>MAX(H10,AM10)</f>
        <v>85.9</v>
      </c>
    </row>
    <row r="11">
      <c r="A11" s="5" t="inlineStr">
        <is>
          <t>VR-8 (2.95 Ext, 10)</t>
        </is>
      </c>
      <c r="B11" s="6" t="n">
        <v>2.95</v>
      </c>
      <c r="C11" s="7" t="inlineStr">
        <is>
          <t>VR</t>
        </is>
      </c>
      <c r="D11" s="8">
        <f>IF(C11="VR",0.35,0.30)</f>
        <v>0.35</v>
      </c>
      <c r="E11" s="6" t="n">
        <v>0.4</v>
      </c>
      <c r="F11" s="9" t="n">
        <v>56</v>
      </c>
      <c r="G11" s="9" t="n">
        <v>45.8</v>
      </c>
      <c r="H11" s="9" t="n">
        <v>95.40000000000001</v>
      </c>
      <c r="I11" s="6" t="n">
        <v>1.7</v>
      </c>
      <c r="J11" s="10">
        <f>E11*1000-$F$2-$L$2-$H$2/2</f>
        <v>342.55</v>
      </c>
      <c r="K11" s="11">
        <f>F11*1000000/(0.9*(D11*1000)*J11^2)</f>
        <v>1.515058944</v>
      </c>
      <c r="L11" s="12">
        <f>(0.85*$B$2/$D$2)*(1-SQRT(1-2*K11/(0.85*$B$2)))</f>
        <v>0.003730047188</v>
      </c>
      <c r="M11" s="13">
        <f>L11*(D11*1000)*J11</f>
        <v>447.2046825</v>
      </c>
      <c r="N11" s="13">
        <f>MAX(0.25*SQRT($B$2)/$D$2,1.4/$D$2)*(D11*1000)*J11</f>
        <v>399.6416667</v>
      </c>
      <c r="O11" s="13">
        <f>MAX(M11,N11)</f>
        <v>447.2046825</v>
      </c>
      <c r="P11" s="14">
        <f>ROUNDUP(O11/$J$2,0)</f>
        <v>3</v>
      </c>
      <c r="Q11" s="13">
        <f>P11*$J$2</f>
        <v>597</v>
      </c>
      <c r="R11" s="10">
        <f>Q11*$D$2/(0.85*$B$2*(D11*1000))</f>
        <v>30.10084034</v>
      </c>
      <c r="S11" s="10">
        <f>0.9*Q11*$D$2*(J11-R11/2)/1000000</f>
        <v>73.90552018</v>
      </c>
      <c r="T11" s="15" t="str">
        <f>IF(AND(S11&gt;=F11,O11&lt;=0.025*(D11*1000)*J11,O11&gt;=N11),"CUMPLE","REVISAR")</f>
        <v>CUMPLE</v>
      </c>
      <c r="U11" s="11">
        <f>G11*1000000/(0.9*(D11*1000)*J11^2)</f>
        <v>1.239101779</v>
      </c>
      <c r="V11" s="12">
        <f>(0.85*$B$2/$D$2)*(1-SQRT(1-2*U11/(0.85*$B$2)))</f>
        <v>0.003031320918</v>
      </c>
      <c r="W11" s="13">
        <f>V11*(D11*1000)*J11</f>
        <v>363.4326431</v>
      </c>
      <c r="X11" s="13">
        <f>MAX(W11,N11)</f>
        <v>399.6416667</v>
      </c>
      <c r="Y11" s="14">
        <f>ROUNDUP(X11/$J$2,0)</f>
        <v>3</v>
      </c>
      <c r="Z11" s="13">
        <f>Y11*$J$2</f>
        <v>597</v>
      </c>
      <c r="AA11" s="10">
        <f>0.9*Z11*$D$2*(J11-(Z11*$D$2/(0.85*$B$2*(D11*1000)))/2)/1000000</f>
        <v>73.90552018</v>
      </c>
      <c r="AB11" s="15" t="str">
        <f>IF(AA11&gt;=G11,"CUMPLE","REVISAR")</f>
        <v>CUMPLE</v>
      </c>
      <c r="AC11" s="10">
        <f>0.17*SQRT($B$2)*(D11*1000)*J11/1000</f>
        <v>107.8499513</v>
      </c>
      <c r="AD11" s="10">
        <f>MAX(H11/0.75-AC11,0)</f>
        <v>19.35004872</v>
      </c>
      <c r="AE11" s="14">
        <f>IF(AD11&gt;0,MIN($N$2*$D$2*J11/(AD11*1000),MIN(J11/4,6*$H$2,150)),MIN(J11/4,6*$H$2,150))</f>
        <v>85.6375</v>
      </c>
      <c r="AF11" s="10">
        <f>0.66*SQRT($B$2)*(D11*1000)*J11/1000</f>
        <v>418.7115756</v>
      </c>
      <c r="AG11" s="15" t="str">
        <f>IF(AD11&lt;=AF11,"CUMPLE","AUMENTAR SECCION")</f>
        <v>CUMPLE</v>
      </c>
      <c r="AH11" s="10">
        <f>0.75*0.083*SQRT($B$2)*(((D11*1000)*(E11*1000))^2/(2*((D11*1000)+(E11*1000))))/1000000</f>
        <v>4.304108233</v>
      </c>
      <c r="AI11" s="15" t="str">
        <f>IF(I11&gt;AH11,"SI","No")</f>
        <v>No</v>
      </c>
      <c r="AJ11" s="11">
        <f>IF(I11&gt;AH11,I11*1000000/(0.75*2*0.85*((D11*1000-2*$F$2)*(E11*1000-2*$F$2))*$D$2),0)</f>
        <v>0</v>
      </c>
      <c r="AK11" s="10">
        <f>1.25*Q11*$D$2*(J11-(1.25*Q11*$D$2/(0.85*$B$2*(D11*1000)))/2)/1000000</f>
        <v>101.4672613</v>
      </c>
      <c r="AL11" s="10">
        <f>1.25*Z11*$D$2*(J11-(1.25*Z11*$D$2/(0.85*$B$2*(D11*1000)))/2)/1000000</f>
        <v>101.4672613</v>
      </c>
      <c r="AM11" s="10">
        <f>(AK11+AL11)/B11</f>
        <v>68.79136361</v>
      </c>
      <c r="AN11" s="10">
        <f>MAX(H11,AM11)</f>
        <v>95.4</v>
      </c>
    </row>
    <row r="12">
      <c r="A12" s="5" t="inlineStr">
        <is>
          <t>VR-9 (3.30 Ext, 6)</t>
        </is>
      </c>
      <c r="B12" s="6" t="n">
        <v>3.3</v>
      </c>
      <c r="C12" s="7" t="inlineStr">
        <is>
          <t>VR</t>
        </is>
      </c>
      <c r="D12" s="8">
        <f>IF(C12="VR",0.35,0.30)</f>
        <v>0.35</v>
      </c>
      <c r="E12" s="6" t="n">
        <v>0.4</v>
      </c>
      <c r="F12" s="9" t="n">
        <v>39</v>
      </c>
      <c r="G12" s="9" t="n">
        <v>14.9</v>
      </c>
      <c r="H12" s="9" t="n">
        <v>58.4</v>
      </c>
      <c r="I12" s="6" t="n">
        <v>0.8</v>
      </c>
      <c r="J12" s="10">
        <f>E12*1000-$F$2-$L$2-$H$2/2</f>
        <v>342.55</v>
      </c>
      <c r="K12" s="11">
        <f>F12*1000000/(0.9*(D12*1000)*J12^2)</f>
        <v>1.055130336</v>
      </c>
      <c r="L12" s="12">
        <f>(0.85*$B$2/$D$2)*(1-SQRT(1-2*K12/(0.85*$B$2)))</f>
        <v>0.002570517068</v>
      </c>
      <c r="M12" s="13">
        <f>L12*(D12*1000)*J12</f>
        <v>308.1857175</v>
      </c>
      <c r="N12" s="13">
        <f>MAX(0.25*SQRT($B$2)/$D$2,1.4/$D$2)*(D12*1000)*J12</f>
        <v>399.6416667</v>
      </c>
      <c r="O12" s="13">
        <f>MAX(M12,N12)</f>
        <v>399.6416667</v>
      </c>
      <c r="P12" s="14">
        <f>ROUNDUP(O12/$J$2,0)</f>
        <v>3</v>
      </c>
      <c r="Q12" s="13">
        <f>P12*$J$2</f>
        <v>597</v>
      </c>
      <c r="R12" s="10">
        <f>Q12*$D$2/(0.85*$B$2*(D12*1000))</f>
        <v>30.10084034</v>
      </c>
      <c r="S12" s="10">
        <f>0.9*Q12*$D$2*(J12-R12/2)/1000000</f>
        <v>73.90552018</v>
      </c>
      <c r="T12" s="15" t="str">
        <f>IF(AND(S12&gt;=F12,O12&lt;=0.025*(D12*1000)*J12,O12&gt;=N12),"CUMPLE","REVISAR")</f>
        <v>CUMPLE</v>
      </c>
      <c r="U12" s="11">
        <f>G12*1000000/(0.9*(D12*1000)*J12^2)</f>
        <v>0.4031138975</v>
      </c>
      <c r="V12" s="12">
        <f>(0.85*$B$2/$D$2)*(1-SQRT(1-2*U12/(0.85*$B$2)))</f>
        <v>0.0009680639453</v>
      </c>
      <c r="W12" s="13">
        <f>V12*(D12*1000)*J12</f>
        <v>116.0636066</v>
      </c>
      <c r="X12" s="13">
        <f>MAX(W12,N12)</f>
        <v>399.6416667</v>
      </c>
      <c r="Y12" s="14">
        <f>ROUNDUP(X12/$J$2,0)</f>
        <v>3</v>
      </c>
      <c r="Z12" s="13">
        <f>Y12*$J$2</f>
        <v>597</v>
      </c>
      <c r="AA12" s="10">
        <f>0.9*Z12*$D$2*(J12-(Z12*$D$2/(0.85*$B$2*(D12*1000)))/2)/1000000</f>
        <v>73.90552018</v>
      </c>
      <c r="AB12" s="15" t="str">
        <f>IF(AA12&gt;=G12,"CUMPLE","REVISAR")</f>
        <v>CUMPLE</v>
      </c>
      <c r="AC12" s="10">
        <f>0.17*SQRT($B$2)*(D12*1000)*J12/1000</f>
        <v>107.8499513</v>
      </c>
      <c r="AD12" s="10">
        <f>MAX(H12/0.75-AC12,0)</f>
        <v>0</v>
      </c>
      <c r="AE12" s="14">
        <f>IF(AD12&gt;0,MIN($N$2*$D$2*J12/(AD12*1000),MIN(J12/4,6*$H$2,150)),MIN(J12/4,6*$H$2,150))</f>
        <v>85.6375</v>
      </c>
      <c r="AF12" s="10">
        <f>0.66*SQRT($B$2)*(D12*1000)*J12/1000</f>
        <v>418.7115756</v>
      </c>
      <c r="AG12" s="15" t="str">
        <f>IF(AD12&lt;=AF12,"CUMPLE","AUMENTAR SECCION")</f>
        <v>CUMPLE</v>
      </c>
      <c r="AH12" s="10">
        <f>0.75*0.083*SQRT($B$2)*(((D12*1000)*(E12*1000))^2/(2*((D12*1000)+(E12*1000))))/1000000</f>
        <v>4.304108233</v>
      </c>
      <c r="AI12" s="15" t="str">
        <f>IF(I12&gt;AH12,"SI","No")</f>
        <v>No</v>
      </c>
      <c r="AJ12" s="11">
        <f>IF(I12&gt;AH12,I12*1000000/(0.75*2*0.85*((D12*1000-2*$F$2)*(E12*1000-2*$F$2))*$D$2),0)</f>
        <v>0</v>
      </c>
      <c r="AK12" s="10">
        <f>1.25*Q12*$D$2*(J12-(1.25*Q12*$D$2/(0.85*$B$2*(D12*1000)))/2)/1000000</f>
        <v>101.4672613</v>
      </c>
      <c r="AL12" s="10">
        <f>1.25*Z12*$D$2*(J12-(1.25*Z12*$D$2/(0.85*$B$2*(D12*1000)))/2)/1000000</f>
        <v>101.4672613</v>
      </c>
      <c r="AM12" s="10">
        <f>(AK12+AL12)/B12</f>
        <v>61.49530989</v>
      </c>
      <c r="AN12" s="10">
        <f>MAX(H12,AM12)</f>
        <v>61.49530989</v>
      </c>
    </row>
    <row r="13">
      <c r="A13" s="5" t="inlineStr">
        <is>
          <t>VR-10 (3.30 Int, 4)</t>
        </is>
      </c>
      <c r="B13" s="6" t="n">
        <v>3.3</v>
      </c>
      <c r="C13" s="7" t="inlineStr">
        <is>
          <t>VR</t>
        </is>
      </c>
      <c r="D13" s="8">
        <f>IF(C13="VR",0.35,0.30)</f>
        <v>0.35</v>
      </c>
      <c r="E13" s="6" t="n">
        <v>0.4</v>
      </c>
      <c r="F13" s="9" t="n">
        <v>36.9</v>
      </c>
      <c r="G13" s="9" t="n">
        <v>14.7</v>
      </c>
      <c r="H13" s="9" t="n">
        <v>57.3</v>
      </c>
      <c r="I13" s="6" t="n">
        <v>1.1</v>
      </c>
      <c r="J13" s="10">
        <f>E13*1000-$F$2-$L$2-$H$2/2</f>
        <v>342.55</v>
      </c>
      <c r="K13" s="11">
        <f>F13*1000000/(0.9*(D13*1000)*J13^2)</f>
        <v>0.9983156254</v>
      </c>
      <c r="L13" s="12">
        <f>(0.85*$B$2/$D$2)*(1-SQRT(1-2*K13/(0.85*$B$2)))</f>
        <v>0.002429001202</v>
      </c>
      <c r="M13" s="13">
        <f>L13*(D13*1000)*J13</f>
        <v>291.2190266</v>
      </c>
      <c r="N13" s="13">
        <f>MAX(0.25*SQRT($B$2)/$D$2,1.4/$D$2)*(D13*1000)*J13</f>
        <v>399.6416667</v>
      </c>
      <c r="O13" s="13">
        <f>MAX(M13,N13)</f>
        <v>399.6416667</v>
      </c>
      <c r="P13" s="14">
        <f>ROUNDUP(O13/$J$2,0)</f>
        <v>3</v>
      </c>
      <c r="Q13" s="13">
        <f>P13*$J$2</f>
        <v>597</v>
      </c>
      <c r="R13" s="10">
        <f>Q13*$D$2/(0.85*$B$2*(D13*1000))</f>
        <v>30.10084034</v>
      </c>
      <c r="S13" s="10">
        <f>0.9*Q13*$D$2*(J13-R13/2)/1000000</f>
        <v>73.90552018</v>
      </c>
      <c r="T13" s="15" t="str">
        <f>IF(AND(S13&gt;=F13,O13&lt;=0.025*(D13*1000)*J13,O13&gt;=N13),"CUMPLE","REVISAR")</f>
        <v>CUMPLE</v>
      </c>
      <c r="U13" s="11">
        <f>G13*1000000/(0.9*(D13*1000)*J13^2)</f>
        <v>0.3977029727</v>
      </c>
      <c r="V13" s="12">
        <f>(0.85*$B$2/$D$2)*(1-SQRT(1-2*U13/(0.85*$B$2)))</f>
        <v>0.0009549584185</v>
      </c>
      <c r="W13" s="13">
        <f>V13*(D13*1000)*J13</f>
        <v>114.4923522</v>
      </c>
      <c r="X13" s="13">
        <f>MAX(W13,N13)</f>
        <v>399.6416667</v>
      </c>
      <c r="Y13" s="14">
        <f>ROUNDUP(X13/$J$2,0)</f>
        <v>3</v>
      </c>
      <c r="Z13" s="13">
        <f>Y13*$J$2</f>
        <v>597</v>
      </c>
      <c r="AA13" s="10">
        <f>0.9*Z13*$D$2*(J13-(Z13*$D$2/(0.85*$B$2*(D13*1000)))/2)/1000000</f>
        <v>73.90552018</v>
      </c>
      <c r="AB13" s="15" t="str">
        <f>IF(AA13&gt;=G13,"CUMPLE","REVISAR")</f>
        <v>CUMPLE</v>
      </c>
      <c r="AC13" s="10">
        <f>0.17*SQRT($B$2)*(D13*1000)*J13/1000</f>
        <v>107.8499513</v>
      </c>
      <c r="AD13" s="10">
        <f>MAX(H13/0.75-AC13,0)</f>
        <v>0</v>
      </c>
      <c r="AE13" s="14">
        <f>IF(AD13&gt;0,MIN($N$2*$D$2*J13/(AD13*1000),MIN(J13/4,6*$H$2,150)),MIN(J13/4,6*$H$2,150))</f>
        <v>85.6375</v>
      </c>
      <c r="AF13" s="10">
        <f>0.66*SQRT($B$2)*(D13*1000)*J13/1000</f>
        <v>418.7115756</v>
      </c>
      <c r="AG13" s="15" t="str">
        <f>IF(AD13&lt;=AF13,"CUMPLE","AUMENTAR SECCION")</f>
        <v>CUMPLE</v>
      </c>
      <c r="AH13" s="10">
        <f>0.75*0.083*SQRT($B$2)*(((D13*1000)*(E13*1000))^2/(2*((D13*1000)+(E13*1000))))/1000000</f>
        <v>4.304108233</v>
      </c>
      <c r="AI13" s="15" t="str">
        <f>IF(I13&gt;AH13,"SI","No")</f>
        <v>No</v>
      </c>
      <c r="AJ13" s="11">
        <f>IF(I13&gt;AH13,I13*1000000/(0.75*2*0.85*((D13*1000-2*$F$2)*(E13*1000-2*$F$2))*$D$2),0)</f>
        <v>0</v>
      </c>
      <c r="AK13" s="10">
        <f>1.25*Q13*$D$2*(J13-(1.25*Q13*$D$2/(0.85*$B$2*(D13*1000)))/2)/1000000</f>
        <v>101.4672613</v>
      </c>
      <c r="AL13" s="10">
        <f>1.25*Z13*$D$2*(J13-(1.25*Z13*$D$2/(0.85*$B$2*(D13*1000)))/2)/1000000</f>
        <v>101.4672613</v>
      </c>
      <c r="AM13" s="10">
        <f>(AK13+AL13)/B13</f>
        <v>61.49530989</v>
      </c>
      <c r="AN13" s="10">
        <f>MAX(H13,AM13)</f>
        <v>61.49530989</v>
      </c>
    </row>
    <row r="14">
      <c r="A14" s="5" t="inlineStr">
        <is>
          <t>VR-11 (3.65 Ext, 12)</t>
        </is>
      </c>
      <c r="B14" s="6" t="n">
        <v>3.65</v>
      </c>
      <c r="C14" s="7" t="inlineStr">
        <is>
          <t>VR</t>
        </is>
      </c>
      <c r="D14" s="8">
        <f>IF(C14="VR",0.35,0.30)</f>
        <v>0.35</v>
      </c>
      <c r="E14" s="6" t="n">
        <v>0.4</v>
      </c>
      <c r="F14" s="9" t="n">
        <v>38.1</v>
      </c>
      <c r="G14" s="9" t="n">
        <v>34.6</v>
      </c>
      <c r="H14" s="9" t="n">
        <v>109.7</v>
      </c>
      <c r="I14" s="6" t="n">
        <v>5.7</v>
      </c>
      <c r="J14" s="10">
        <f>E14*1000-$F$2-$L$2-$H$2/2</f>
        <v>342.55</v>
      </c>
      <c r="K14" s="11">
        <f>F14*1000000/(0.9*(D14*1000)*J14^2)</f>
        <v>1.030781174</v>
      </c>
      <c r="L14" s="12">
        <f>(0.85*$B$2/$D$2)*(1-SQRT(1-2*K14/(0.85*$B$2)))</f>
        <v>0.00250982213</v>
      </c>
      <c r="M14" s="13">
        <f>L14*(D14*1000)*J14</f>
        <v>300.9088498</v>
      </c>
      <c r="N14" s="13">
        <f>MAX(0.25*SQRT($B$2)/$D$2,1.4/$D$2)*(D14*1000)*J14</f>
        <v>399.6416667</v>
      </c>
      <c r="O14" s="13">
        <f>MAX(M14,N14)</f>
        <v>399.6416667</v>
      </c>
      <c r="P14" s="14">
        <f>ROUNDUP(O14/$J$2,0)</f>
        <v>3</v>
      </c>
      <c r="Q14" s="13">
        <f>P14*$J$2</f>
        <v>597</v>
      </c>
      <c r="R14" s="10">
        <f>Q14*$D$2/(0.85*$B$2*(D14*1000))</f>
        <v>30.10084034</v>
      </c>
      <c r="S14" s="10">
        <f>0.9*Q14*$D$2*(J14-R14/2)/1000000</f>
        <v>73.90552018</v>
      </c>
      <c r="T14" s="15" t="str">
        <f>IF(AND(S14&gt;=F14,O14&lt;=0.025*(D14*1000)*J14,O14&gt;=N14),"CUMPLE","REVISAR")</f>
        <v>CUMPLE</v>
      </c>
      <c r="U14" s="11">
        <f>G14*1000000/(0.9*(D14*1000)*J14^2)</f>
        <v>0.9360899903</v>
      </c>
      <c r="V14" s="12">
        <f>(0.85*$B$2/$D$2)*(1-SQRT(1-2*U14/(0.85*$B$2)))</f>
        <v>0.002274430093</v>
      </c>
      <c r="W14" s="13">
        <f>V14*(D14*1000)*J14</f>
        <v>272.68711</v>
      </c>
      <c r="X14" s="13">
        <f>MAX(W14,N14)</f>
        <v>399.6416667</v>
      </c>
      <c r="Y14" s="14">
        <f>ROUNDUP(X14/$J$2,0)</f>
        <v>3</v>
      </c>
      <c r="Z14" s="13">
        <f>Y14*$J$2</f>
        <v>597</v>
      </c>
      <c r="AA14" s="10">
        <f>0.9*Z14*$D$2*(J14-(Z14*$D$2/(0.85*$B$2*(D14*1000)))/2)/1000000</f>
        <v>73.90552018</v>
      </c>
      <c r="AB14" s="15" t="str">
        <f>IF(AA14&gt;=G14,"CUMPLE","REVISAR")</f>
        <v>CUMPLE</v>
      </c>
      <c r="AC14" s="10">
        <f>0.17*SQRT($B$2)*(D14*1000)*J14/1000</f>
        <v>107.8499513</v>
      </c>
      <c r="AD14" s="10">
        <f>MAX(H14/0.75-AC14,0)</f>
        <v>38.41671539</v>
      </c>
      <c r="AE14" s="14">
        <f>IF(AD14&gt;0,MIN($N$2*$D$2*J14/(AD14*1000),MIN(J14/4,6*$H$2,150)),MIN(J14/4,6*$H$2,150))</f>
        <v>85.6375</v>
      </c>
      <c r="AF14" s="10">
        <f>0.66*SQRT($B$2)*(D14*1000)*J14/1000</f>
        <v>418.7115756</v>
      </c>
      <c r="AG14" s="15" t="str">
        <f>IF(AD14&lt;=AF14,"CUMPLE","AUMENTAR SECCION")</f>
        <v>CUMPLE</v>
      </c>
      <c r="AH14" s="10">
        <f>0.75*0.083*SQRT($B$2)*(((D14*1000)*(E14*1000))^2/(2*((D14*1000)+(E14*1000))))/1000000</f>
        <v>4.304108233</v>
      </c>
      <c r="AI14" s="15" t="str">
        <f>IF(I14&gt;AH14,"SI","No")</f>
        <v>SI</v>
      </c>
      <c r="AJ14" s="11">
        <f>IF(I14&gt;AH14,I14*1000000/(0.75*2*0.85*((D14*1000-2*$F$2)*(E14*1000-2*$F$2))*$D$2),0)</f>
        <v>0.1231974271</v>
      </c>
      <c r="AK14" s="10">
        <f>1.25*Q14*$D$2*(J14-(1.25*Q14*$D$2/(0.85*$B$2*(D14*1000)))/2)/1000000</f>
        <v>101.4672613</v>
      </c>
      <c r="AL14" s="10">
        <f>1.25*Z14*$D$2*(J14-(1.25*Z14*$D$2/(0.85*$B$2*(D14*1000)))/2)/1000000</f>
        <v>101.4672613</v>
      </c>
      <c r="AM14" s="10">
        <f>(AK14+AL14)/B14</f>
        <v>55.59849936</v>
      </c>
      <c r="AN14" s="10">
        <f>MAX(H14,AM14)</f>
        <v>109.7</v>
      </c>
    </row>
    <row r="15">
      <c r="A15" s="5" t="inlineStr">
        <is>
          <t>VR-12 (3.65 Int, 28)</t>
        </is>
      </c>
      <c r="B15" s="6" t="n">
        <v>3.65</v>
      </c>
      <c r="C15" s="7" t="inlineStr">
        <is>
          <t>VR</t>
        </is>
      </c>
      <c r="D15" s="8">
        <f>IF(C15="VR",0.35,0.30)</f>
        <v>0.35</v>
      </c>
      <c r="E15" s="6" t="n">
        <v>0.4</v>
      </c>
      <c r="F15" s="9" t="n">
        <v>46.7</v>
      </c>
      <c r="G15" s="9" t="n">
        <v>35</v>
      </c>
      <c r="H15" s="9" t="n">
        <v>110.6</v>
      </c>
      <c r="I15" s="6" t="n">
        <v>6</v>
      </c>
      <c r="J15" s="10">
        <f>E15*1000-$F$2-$L$2-$H$2/2</f>
        <v>342.55</v>
      </c>
      <c r="K15" s="11">
        <f>F15*1000000/(0.9*(D15*1000)*J15^2)</f>
        <v>1.263450941</v>
      </c>
      <c r="L15" s="12">
        <f>(0.85*$B$2/$D$2)*(1-SQRT(1-2*K15/(0.85*$B$2)))</f>
        <v>0.003092606666</v>
      </c>
      <c r="M15" s="13">
        <f>L15*(D15*1000)*J15</f>
        <v>370.7803447</v>
      </c>
      <c r="N15" s="13">
        <f>MAX(0.25*SQRT($B$2)/$D$2,1.4/$D$2)*(D15*1000)*J15</f>
        <v>399.6416667</v>
      </c>
      <c r="O15" s="13">
        <f>MAX(M15,N15)</f>
        <v>399.6416667</v>
      </c>
      <c r="P15" s="14">
        <f>ROUNDUP(O15/$J$2,0)</f>
        <v>3</v>
      </c>
      <c r="Q15" s="13">
        <f>P15*$J$2</f>
        <v>597</v>
      </c>
      <c r="R15" s="10">
        <f>Q15*$D$2/(0.85*$B$2*(D15*1000))</f>
        <v>30.10084034</v>
      </c>
      <c r="S15" s="10">
        <f>0.9*Q15*$D$2*(J15-R15/2)/1000000</f>
        <v>73.90552018</v>
      </c>
      <c r="T15" s="15" t="str">
        <f>IF(AND(S15&gt;=F15,O15&lt;=0.025*(D15*1000)*J15,O15&gt;=N15),"CUMPLE","REVISAR")</f>
        <v>CUMPLE</v>
      </c>
      <c r="U15" s="11">
        <f>G15*1000000/(0.9*(D15*1000)*J15^2)</f>
        <v>0.9469118398</v>
      </c>
      <c r="V15" s="12">
        <f>(0.85*$B$2/$D$2)*(1-SQRT(1-2*U15/(0.85*$B$2)))</f>
        <v>0.002301280456</v>
      </c>
      <c r="W15" s="13">
        <f>V15*(D15*1000)*J15</f>
        <v>275.9062671</v>
      </c>
      <c r="X15" s="13">
        <f>MAX(W15,N15)</f>
        <v>399.6416667</v>
      </c>
      <c r="Y15" s="14">
        <f>ROUNDUP(X15/$J$2,0)</f>
        <v>3</v>
      </c>
      <c r="Z15" s="13">
        <f>Y15*$J$2</f>
        <v>597</v>
      </c>
      <c r="AA15" s="10">
        <f>0.9*Z15*$D$2*(J15-(Z15*$D$2/(0.85*$B$2*(D15*1000)))/2)/1000000</f>
        <v>73.90552018</v>
      </c>
      <c r="AB15" s="15" t="str">
        <f>IF(AA15&gt;=G15,"CUMPLE","REVISAR")</f>
        <v>CUMPLE</v>
      </c>
      <c r="AC15" s="10">
        <f>0.17*SQRT($B$2)*(D15*1000)*J15/1000</f>
        <v>107.8499513</v>
      </c>
      <c r="AD15" s="10">
        <f>MAX(H15/0.75-AC15,0)</f>
        <v>39.61671539</v>
      </c>
      <c r="AE15" s="14">
        <f>IF(AD15&gt;0,MIN($N$2*$D$2*J15/(AD15*1000),MIN(J15/4,6*$H$2,150)),MIN(J15/4,6*$H$2,150))</f>
        <v>85.6375</v>
      </c>
      <c r="AF15" s="10">
        <f>0.66*SQRT($B$2)*(D15*1000)*J15/1000</f>
        <v>418.7115756</v>
      </c>
      <c r="AG15" s="15" t="str">
        <f>IF(AD15&lt;=AF15,"CUMPLE","AUMENTAR SECCION")</f>
        <v>CUMPLE</v>
      </c>
      <c r="AH15" s="10">
        <f>0.75*0.083*SQRT($B$2)*(((D15*1000)*(E15*1000))^2/(2*((D15*1000)+(E15*1000))))/1000000</f>
        <v>4.304108233</v>
      </c>
      <c r="AI15" s="15" t="str">
        <f>IF(I15&gt;AH15,"SI","No")</f>
        <v>SI</v>
      </c>
      <c r="AJ15" s="11">
        <f>IF(I15&gt;AH15,I15*1000000/(0.75*2*0.85*((D15*1000-2*$F$2)*(E15*1000-2*$F$2))*$D$2),0)</f>
        <v>0.1296815022</v>
      </c>
      <c r="AK15" s="10">
        <f>1.25*Q15*$D$2*(J15-(1.25*Q15*$D$2/(0.85*$B$2*(D15*1000)))/2)/1000000</f>
        <v>101.4672613</v>
      </c>
      <c r="AL15" s="10">
        <f>1.25*Z15*$D$2*(J15-(1.25*Z15*$D$2/(0.85*$B$2*(D15*1000)))/2)/1000000</f>
        <v>101.4672613</v>
      </c>
      <c r="AM15" s="10">
        <f>(AK15+AL15)/B15</f>
        <v>55.59849936</v>
      </c>
      <c r="AN15" s="10">
        <f>MAX(H15,AM15)</f>
        <v>110.6</v>
      </c>
    </row>
    <row r="16">
      <c r="A16" s="5" t="inlineStr">
        <is>
          <t>VR-13 (4.00 Ext, 8)</t>
        </is>
      </c>
      <c r="B16" s="6" t="n">
        <v>4</v>
      </c>
      <c r="C16" s="7" t="inlineStr">
        <is>
          <t>VR</t>
        </is>
      </c>
      <c r="D16" s="8">
        <f>IF(C16="VR",0.35,0.30)</f>
        <v>0.35</v>
      </c>
      <c r="E16" s="6" t="n">
        <v>0.4</v>
      </c>
      <c r="F16" s="9" t="n">
        <v>65.2</v>
      </c>
      <c r="G16" s="9" t="n">
        <v>22.8</v>
      </c>
      <c r="H16" s="9" t="n">
        <v>74</v>
      </c>
      <c r="I16" s="6" t="n">
        <v>0.4</v>
      </c>
      <c r="J16" s="10">
        <f>E16*1000-$F$2-$L$2-$H$2/2</f>
        <v>342.55</v>
      </c>
      <c r="K16" s="11">
        <f>F16*1000000/(0.9*(D16*1000)*J16^2)</f>
        <v>1.763961485</v>
      </c>
      <c r="L16" s="12">
        <f>(0.85*$B$2/$D$2)*(1-SQRT(1-2*K16/(0.85*$B$2)))</f>
        <v>0.00436827755</v>
      </c>
      <c r="M16" s="13">
        <f>L16*(D16*1000)*J16</f>
        <v>523.7237162</v>
      </c>
      <c r="N16" s="13">
        <f>MAX(0.25*SQRT($B$2)/$D$2,1.4/$D$2)*(D16*1000)*J16</f>
        <v>399.6416667</v>
      </c>
      <c r="O16" s="13">
        <f>MAX(M16,N16)</f>
        <v>523.7237162</v>
      </c>
      <c r="P16" s="14">
        <f>ROUNDUP(O16/$J$2,0)</f>
        <v>3</v>
      </c>
      <c r="Q16" s="13">
        <f>P16*$J$2</f>
        <v>597</v>
      </c>
      <c r="R16" s="10">
        <f>Q16*$D$2/(0.85*$B$2*(D16*1000))</f>
        <v>30.10084034</v>
      </c>
      <c r="S16" s="10">
        <f>0.9*Q16*$D$2*(J16-R16/2)/1000000</f>
        <v>73.90552018</v>
      </c>
      <c r="T16" s="15" t="str">
        <f>IF(AND(S16&gt;=F16,O16&lt;=0.025*(D16*1000)*J16,O16&gt;=N16),"CUMPLE","REVISAR")</f>
        <v>CUMPLE</v>
      </c>
      <c r="U16" s="11">
        <f>G16*1000000/(0.9*(D16*1000)*J16^2)</f>
        <v>0.6168454271</v>
      </c>
      <c r="V16" s="12">
        <f>(0.85*$B$2/$D$2)*(1-SQRT(1-2*U16/(0.85*$B$2)))</f>
        <v>0.001488221982</v>
      </c>
      <c r="W16" s="13">
        <f>V16*(D16*1000)*J16</f>
        <v>178.426654</v>
      </c>
      <c r="X16" s="13">
        <f>MAX(W16,N16)</f>
        <v>399.6416667</v>
      </c>
      <c r="Y16" s="14">
        <f>ROUNDUP(X16/$J$2,0)</f>
        <v>3</v>
      </c>
      <c r="Z16" s="13">
        <f>Y16*$J$2</f>
        <v>597</v>
      </c>
      <c r="AA16" s="10">
        <f>0.9*Z16*$D$2*(J16-(Z16*$D$2/(0.85*$B$2*(D16*1000)))/2)/1000000</f>
        <v>73.90552018</v>
      </c>
      <c r="AB16" s="15" t="str">
        <f>IF(AA16&gt;=G16,"CUMPLE","REVISAR")</f>
        <v>CUMPLE</v>
      </c>
      <c r="AC16" s="10">
        <f>0.17*SQRT($B$2)*(D16*1000)*J16/1000</f>
        <v>107.8499513</v>
      </c>
      <c r="AD16" s="10">
        <f>MAX(H16/0.75-AC16,0)</f>
        <v>0</v>
      </c>
      <c r="AE16" s="14">
        <f>IF(AD16&gt;0,MIN($N$2*$D$2*J16/(AD16*1000),MIN(J16/4,6*$H$2,150)),MIN(J16/4,6*$H$2,150))</f>
        <v>85.6375</v>
      </c>
      <c r="AF16" s="10">
        <f>0.66*SQRT($B$2)*(D16*1000)*J16/1000</f>
        <v>418.7115756</v>
      </c>
      <c r="AG16" s="15" t="str">
        <f>IF(AD16&lt;=AF16,"CUMPLE","AUMENTAR SECCION")</f>
        <v>CUMPLE</v>
      </c>
      <c r="AH16" s="10">
        <f>0.75*0.083*SQRT($B$2)*(((D16*1000)*(E16*1000))^2/(2*((D16*1000)+(E16*1000))))/1000000</f>
        <v>4.304108233</v>
      </c>
      <c r="AI16" s="15" t="str">
        <f>IF(I16&gt;AH16,"SI","No")</f>
        <v>No</v>
      </c>
      <c r="AJ16" s="11">
        <f>IF(I16&gt;AH16,I16*1000000/(0.75*2*0.85*((D16*1000-2*$F$2)*(E16*1000-2*$F$2))*$D$2),0)</f>
        <v>0</v>
      </c>
      <c r="AK16" s="10">
        <f>1.25*Q16*$D$2*(J16-(1.25*Q16*$D$2/(0.85*$B$2*(D16*1000)))/2)/1000000</f>
        <v>101.4672613</v>
      </c>
      <c r="AL16" s="10">
        <f>1.25*Z16*$D$2*(J16-(1.25*Z16*$D$2/(0.85*$B$2*(D16*1000)))/2)/1000000</f>
        <v>101.4672613</v>
      </c>
      <c r="AM16" s="10">
        <f>(AK16+AL16)/B16</f>
        <v>50.73363066</v>
      </c>
      <c r="AN16" s="10">
        <f>MAX(H16,AM16)</f>
        <v>74</v>
      </c>
    </row>
    <row r="17">
      <c r="A17" s="5" t="inlineStr">
        <is>
          <t>VR-14 (4.00 Int, 22)</t>
        </is>
      </c>
      <c r="B17" s="6" t="n">
        <v>4</v>
      </c>
      <c r="C17" s="7" t="inlineStr">
        <is>
          <t>VR</t>
        </is>
      </c>
      <c r="D17" s="8">
        <f>IF(C17="VR",0.35,0.30)</f>
        <v>0.35</v>
      </c>
      <c r="E17" s="6" t="n">
        <v>0.4</v>
      </c>
      <c r="F17" s="9" t="n">
        <v>60.9</v>
      </c>
      <c r="G17" s="9" t="n">
        <v>27.5</v>
      </c>
      <c r="H17" s="9" t="n">
        <v>85.2</v>
      </c>
      <c r="I17" s="6" t="n">
        <v>5.5</v>
      </c>
      <c r="J17" s="10">
        <f>E17*1000-$F$2-$L$2-$H$2/2</f>
        <v>342.55</v>
      </c>
      <c r="K17" s="11">
        <f>F17*1000000/(0.9*(D17*1000)*J17^2)</f>
        <v>1.647626601</v>
      </c>
      <c r="L17" s="12">
        <f>(0.85*$B$2/$D$2)*(1-SQRT(1-2*K17/(0.85*$B$2)))</f>
        <v>0.004069010286</v>
      </c>
      <c r="M17" s="13">
        <f>L17*(D17*1000)*J17</f>
        <v>487.8438157</v>
      </c>
      <c r="N17" s="13">
        <f>MAX(0.25*SQRT($B$2)/$D$2,1.4/$D$2)*(D17*1000)*J17</f>
        <v>399.6416667</v>
      </c>
      <c r="O17" s="13">
        <f>MAX(M17,N17)</f>
        <v>487.8438157</v>
      </c>
      <c r="P17" s="14">
        <f>ROUNDUP(O17/$J$2,0)</f>
        <v>3</v>
      </c>
      <c r="Q17" s="13">
        <f>P17*$J$2</f>
        <v>597</v>
      </c>
      <c r="R17" s="10">
        <f>Q17*$D$2/(0.85*$B$2*(D17*1000))</f>
        <v>30.10084034</v>
      </c>
      <c r="S17" s="10">
        <f>0.9*Q17*$D$2*(J17-R17/2)/1000000</f>
        <v>73.90552018</v>
      </c>
      <c r="T17" s="15" t="str">
        <f>IF(AND(S17&gt;=F17,O17&lt;=0.025*(D17*1000)*J17,O17&gt;=N17),"CUMPLE","REVISAR")</f>
        <v>CUMPLE</v>
      </c>
      <c r="U17" s="11">
        <f>G17*1000000/(0.9*(D17*1000)*J17^2)</f>
        <v>0.7440021599</v>
      </c>
      <c r="V17" s="12">
        <f>(0.85*$B$2/$D$2)*(1-SQRT(1-2*U17/(0.85*$B$2)))</f>
        <v>0.001800022669</v>
      </c>
      <c r="W17" s="13">
        <f>V17*(D17*1000)*J17</f>
        <v>215.8092179</v>
      </c>
      <c r="X17" s="13">
        <f>MAX(W17,N17)</f>
        <v>399.6416667</v>
      </c>
      <c r="Y17" s="14">
        <f>ROUNDUP(X17/$J$2,0)</f>
        <v>3</v>
      </c>
      <c r="Z17" s="13">
        <f>Y17*$J$2</f>
        <v>597</v>
      </c>
      <c r="AA17" s="10">
        <f>0.9*Z17*$D$2*(J17-(Z17*$D$2/(0.85*$B$2*(D17*1000)))/2)/1000000</f>
        <v>73.90552018</v>
      </c>
      <c r="AB17" s="15" t="str">
        <f>IF(AA17&gt;=G17,"CUMPLE","REVISAR")</f>
        <v>CUMPLE</v>
      </c>
      <c r="AC17" s="10">
        <f>0.17*SQRT($B$2)*(D17*1000)*J17/1000</f>
        <v>107.8499513</v>
      </c>
      <c r="AD17" s="10">
        <f>MAX(H17/0.75-AC17,0)</f>
        <v>5.750048719</v>
      </c>
      <c r="AE17" s="14">
        <f>IF(AD17&gt;0,MIN($N$2*$D$2*J17/(AD17*1000),MIN(J17/4,6*$H$2,150)),MIN(J17/4,6*$H$2,150))</f>
        <v>85.6375</v>
      </c>
      <c r="AF17" s="10">
        <f>0.66*SQRT($B$2)*(D17*1000)*J17/1000</f>
        <v>418.7115756</v>
      </c>
      <c r="AG17" s="15" t="str">
        <f>IF(AD17&lt;=AF17,"CUMPLE","AUMENTAR SECCION")</f>
        <v>CUMPLE</v>
      </c>
      <c r="AH17" s="10">
        <f>0.75*0.083*SQRT($B$2)*(((D17*1000)*(E17*1000))^2/(2*((D17*1000)+(E17*1000))))/1000000</f>
        <v>4.304108233</v>
      </c>
      <c r="AI17" s="15" t="str">
        <f>IF(I17&gt;AH17,"SI","No")</f>
        <v>SI</v>
      </c>
      <c r="AJ17" s="11">
        <f>IF(I17&gt;AH17,I17*1000000/(0.75*2*0.85*((D17*1000-2*$F$2)*(E17*1000-2*$F$2))*$D$2),0)</f>
        <v>0.1188747104</v>
      </c>
      <c r="AK17" s="10">
        <f>1.25*Q17*$D$2*(J17-(1.25*Q17*$D$2/(0.85*$B$2*(D17*1000)))/2)/1000000</f>
        <v>101.4672613</v>
      </c>
      <c r="AL17" s="10">
        <f>1.25*Z17*$D$2*(J17-(1.25*Z17*$D$2/(0.85*$B$2*(D17*1000)))/2)/1000000</f>
        <v>101.4672613</v>
      </c>
      <c r="AM17" s="10">
        <f>(AK17+AL17)/B17</f>
        <v>50.73363066</v>
      </c>
      <c r="AN17" s="10">
        <f>MAX(H17,AM17)</f>
        <v>85.2</v>
      </c>
    </row>
    <row r="18">
      <c r="A18" s="5" t="inlineStr">
        <is>
          <t>VR-15 (4.18 Int, 20)</t>
        </is>
      </c>
      <c r="B18" s="6" t="n">
        <v>4.18</v>
      </c>
      <c r="C18" s="7" t="inlineStr">
        <is>
          <t>VR</t>
        </is>
      </c>
      <c r="D18" s="8">
        <f>IF(C18="VR",0.35,0.30)</f>
        <v>0.35</v>
      </c>
      <c r="E18" s="6" t="n">
        <v>0.4</v>
      </c>
      <c r="F18" s="9" t="n">
        <v>78</v>
      </c>
      <c r="G18" s="9" t="n">
        <v>26.2</v>
      </c>
      <c r="H18" s="9" t="n">
        <v>79.2</v>
      </c>
      <c r="I18" s="6" t="n">
        <v>0.8</v>
      </c>
      <c r="J18" s="10">
        <f>E18*1000-$F$2-$L$2-$H$2/2</f>
        <v>342.55</v>
      </c>
      <c r="K18" s="11">
        <f>F18*1000000/(0.9*(D18*1000)*J18^2)</f>
        <v>2.110260672</v>
      </c>
      <c r="L18" s="12">
        <f>(0.85*$B$2/$D$2)*(1-SQRT(1-2*K18/(0.85*$B$2)))</f>
        <v>0.005269432385</v>
      </c>
      <c r="M18" s="13">
        <f>L18*(D18*1000)*J18</f>
        <v>631.7654223</v>
      </c>
      <c r="N18" s="13">
        <f>MAX(0.25*SQRT($B$2)/$D$2,1.4/$D$2)*(D18*1000)*J18</f>
        <v>399.6416667</v>
      </c>
      <c r="O18" s="13">
        <f>MAX(M18,N18)</f>
        <v>631.7654223</v>
      </c>
      <c r="P18" s="14">
        <f>ROUNDUP(O18/$J$2,0)</f>
        <v>4</v>
      </c>
      <c r="Q18" s="13">
        <f>P18*$J$2</f>
        <v>796</v>
      </c>
      <c r="R18" s="10">
        <f>Q18*$D$2/(0.85*$B$2*(D18*1000))</f>
        <v>40.13445378</v>
      </c>
      <c r="S18" s="10">
        <f>0.9*Q18*$D$2*(J18-R18/2)/1000000</f>
        <v>97.03119664</v>
      </c>
      <c r="T18" s="15" t="str">
        <f>IF(AND(S18&gt;=F18,O18&lt;=0.025*(D18*1000)*J18,O18&gt;=N18),"CUMPLE","REVISAR")</f>
        <v>CUMPLE</v>
      </c>
      <c r="U18" s="11">
        <f>G18*1000000/(0.9*(D18*1000)*J18^2)</f>
        <v>0.7088311487</v>
      </c>
      <c r="V18" s="12">
        <f>(0.85*$B$2/$D$2)*(1-SQRT(1-2*U18/(0.85*$B$2)))</f>
        <v>0.001713602932</v>
      </c>
      <c r="W18" s="13">
        <f>V18*(D18*1000)*J18</f>
        <v>205.4481395</v>
      </c>
      <c r="X18" s="13">
        <f>MAX(W18,N18)</f>
        <v>399.6416667</v>
      </c>
      <c r="Y18" s="14">
        <f>ROUNDUP(X18/$J$2,0)</f>
        <v>3</v>
      </c>
      <c r="Z18" s="13">
        <f>Y18*$J$2</f>
        <v>597</v>
      </c>
      <c r="AA18" s="10">
        <f>0.9*Z18*$D$2*(J18-(Z18*$D$2/(0.85*$B$2*(D18*1000)))/2)/1000000</f>
        <v>73.90552018</v>
      </c>
      <c r="AB18" s="15" t="str">
        <f>IF(AA18&gt;=G18,"CUMPLE","REVISAR")</f>
        <v>CUMPLE</v>
      </c>
      <c r="AC18" s="10">
        <f>0.17*SQRT($B$2)*(D18*1000)*J18/1000</f>
        <v>107.8499513</v>
      </c>
      <c r="AD18" s="10">
        <f>MAX(H18/0.75-AC18,0)</f>
        <v>0</v>
      </c>
      <c r="AE18" s="14">
        <f>IF(AD18&gt;0,MIN($N$2*$D$2*J18/(AD18*1000),MIN(J18/4,6*$H$2,150)),MIN(J18/4,6*$H$2,150))</f>
        <v>85.6375</v>
      </c>
      <c r="AF18" s="10">
        <f>0.66*SQRT($B$2)*(D18*1000)*J18/1000</f>
        <v>418.7115756</v>
      </c>
      <c r="AG18" s="15" t="str">
        <f>IF(AD18&lt;=AF18,"CUMPLE","AUMENTAR SECCION")</f>
        <v>CUMPLE</v>
      </c>
      <c r="AH18" s="10">
        <f>0.75*0.083*SQRT($B$2)*(((D18*1000)*(E18*1000))^2/(2*((D18*1000)+(E18*1000))))/1000000</f>
        <v>4.304108233</v>
      </c>
      <c r="AI18" s="15" t="str">
        <f>IF(I18&gt;AH18,"SI","No")</f>
        <v>No</v>
      </c>
      <c r="AJ18" s="11">
        <f>IF(I18&gt;AH18,I18*1000000/(0.75*2*0.85*((D18*1000-2*$F$2)*(E18*1000-2*$F$2))*$D$2),0)</f>
        <v>0</v>
      </c>
      <c r="AK18" s="10">
        <f>1.25*Q18*$D$2*(J18-(1.25*Q18*$D$2/(0.85*$B$2*(D18*1000)))/2)/1000000</f>
        <v>132.6690274</v>
      </c>
      <c r="AL18" s="10">
        <f>1.25*Z18*$D$2*(J18-(1.25*Z18*$D$2/(0.85*$B$2*(D18*1000)))/2)/1000000</f>
        <v>101.4672613</v>
      </c>
      <c r="AM18" s="10">
        <f>(AK18+AL18)/B18</f>
        <v>56.01346619</v>
      </c>
      <c r="AN18" s="10">
        <f>MAX(H18,AM18)</f>
        <v>79.2</v>
      </c>
    </row>
    <row r="19">
      <c r="A19" s="5" t="inlineStr">
        <is>
          <t>VR-16 (5.50 Int, 2)</t>
        </is>
      </c>
      <c r="B19" s="6" t="n">
        <v>5.5</v>
      </c>
      <c r="C19" s="7" t="inlineStr">
        <is>
          <t>VR</t>
        </is>
      </c>
      <c r="D19" s="8">
        <f>IF(C19="VR",0.35,0.30)</f>
        <v>0.35</v>
      </c>
      <c r="E19" s="6" t="n">
        <v>0.4</v>
      </c>
      <c r="F19" s="9" t="n">
        <v>103.8</v>
      </c>
      <c r="G19" s="9" t="n">
        <v>50.6</v>
      </c>
      <c r="H19" s="9" t="n">
        <v>113.3</v>
      </c>
      <c r="I19" s="6" t="n">
        <v>0</v>
      </c>
      <c r="J19" s="10">
        <f>E19*1000-$F$2-$L$2-$H$2/2</f>
        <v>342.55</v>
      </c>
      <c r="K19" s="11">
        <f>F19*1000000/(0.9*(D19*1000)*J19^2)</f>
        <v>2.808269971</v>
      </c>
      <c r="L19" s="12">
        <f>(0.85*$B$2/$D$2)*(1-SQRT(1-2*K19/(0.85*$B$2)))</f>
        <v>0.007135626135</v>
      </c>
      <c r="M19" s="13">
        <f>L19*(D19*1000)*J19</f>
        <v>855.5080564</v>
      </c>
      <c r="N19" s="13">
        <f>MAX(0.25*SQRT($B$2)/$D$2,1.4/$D$2)*(D19*1000)*J19</f>
        <v>399.6416667</v>
      </c>
      <c r="O19" s="13">
        <f>MAX(M19,N19)</f>
        <v>855.5080564</v>
      </c>
      <c r="P19" s="14">
        <f>ROUNDUP(O19/$J$2,0)</f>
        <v>5</v>
      </c>
      <c r="Q19" s="13">
        <f>P19*$J$2</f>
        <v>995</v>
      </c>
      <c r="R19" s="10">
        <f>Q19*$D$2/(0.85*$B$2*(D19*1000))</f>
        <v>50.16806723</v>
      </c>
      <c r="S19" s="10">
        <f>0.9*Q19*$D$2*(J19-R19/2)/1000000</f>
        <v>119.4021246</v>
      </c>
      <c r="T19" s="15" t="str">
        <f>IF(AND(S19&gt;=F19,O19&lt;=0.025*(D19*1000)*J19,O19&gt;=N19),"CUMPLE","REVISAR")</f>
        <v>CUMPLE</v>
      </c>
      <c r="U19" s="11">
        <f>G19*1000000/(0.9*(D19*1000)*J19^2)</f>
        <v>1.368963974</v>
      </c>
      <c r="V19" s="12">
        <f>(0.85*$B$2/$D$2)*(1-SQRT(1-2*U19/(0.85*$B$2)))</f>
        <v>0.003358992417</v>
      </c>
      <c r="W19" s="13">
        <f>V19*(D19*1000)*J19</f>
        <v>402.7179983</v>
      </c>
      <c r="X19" s="13">
        <f>MAX(W19,N19)</f>
        <v>402.7179983</v>
      </c>
      <c r="Y19" s="14">
        <f>ROUNDUP(X19/$J$2,0)</f>
        <v>3</v>
      </c>
      <c r="Z19" s="13">
        <f>Y19*$J$2</f>
        <v>597</v>
      </c>
      <c r="AA19" s="10">
        <f>0.9*Z19*$D$2*(J19-(Z19*$D$2/(0.85*$B$2*(D19*1000)))/2)/1000000</f>
        <v>73.90552018</v>
      </c>
      <c r="AB19" s="15" t="str">
        <f>IF(AA19&gt;=G19,"CUMPLE","REVISAR")</f>
        <v>CUMPLE</v>
      </c>
      <c r="AC19" s="10">
        <f>0.17*SQRT($B$2)*(D19*1000)*J19/1000</f>
        <v>107.8499513</v>
      </c>
      <c r="AD19" s="10">
        <f>MAX(H19/0.75-AC19,0)</f>
        <v>43.21671539</v>
      </c>
      <c r="AE19" s="14">
        <f>IF(AD19&gt;0,MIN($N$2*$D$2*J19/(AD19*1000),MIN(J19/4,6*$H$2,150)),MIN(J19/4,6*$H$2,150))</f>
        <v>85.6375</v>
      </c>
      <c r="AF19" s="10">
        <f>0.66*SQRT($B$2)*(D19*1000)*J19/1000</f>
        <v>418.7115756</v>
      </c>
      <c r="AG19" s="15" t="str">
        <f>IF(AD19&lt;=AF19,"CUMPLE","AUMENTAR SECCION")</f>
        <v>CUMPLE</v>
      </c>
      <c r="AH19" s="10">
        <f>0.75*0.083*SQRT($B$2)*(((D19*1000)*(E19*1000))^2/(2*((D19*1000)+(E19*1000))))/1000000</f>
        <v>4.304108233</v>
      </c>
      <c r="AI19" s="15" t="str">
        <f>IF(I19&gt;AH19,"SI","No")</f>
        <v>No</v>
      </c>
      <c r="AJ19" s="11">
        <f>IF(I19&gt;AH19,I19*1000000/(0.75*2*0.85*((D19*1000-2*$F$2)*(E19*1000-2*$F$2))*$D$2),0)</f>
        <v>0</v>
      </c>
      <c r="AK19" s="10">
        <f>1.25*Q19*$D$2*(J19-(1.25*Q19*$D$2/(0.85*$B$2*(D19*1000)))/2)/1000000</f>
        <v>162.5604662</v>
      </c>
      <c r="AL19" s="10">
        <f>1.25*Z19*$D$2*(J19-(1.25*Z19*$D$2/(0.85*$B$2*(D19*1000)))/2)/1000000</f>
        <v>101.4672613</v>
      </c>
      <c r="AM19" s="10">
        <f>(AK19+AL19)/B19</f>
        <v>48.00504136</v>
      </c>
      <c r="AN19" s="10">
        <f>MAX(H19,AM19)</f>
        <v>113.3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1" t="inlineStr">
        <is>
          <t>TODAS LAS VIGAS (592) - cada una con su envolvente de diseno (sismo/R=5). Seccion por longitud (mixtas=VC).</t>
        </is>
      </c>
    </row>
    <row r="2">
      <c r="A2" s="2" t="inlineStr">
        <is>
          <t>f'c</t>
        </is>
      </c>
      <c r="B2" s="3" t="n">
        <v>28</v>
      </c>
      <c r="C2" s="2" t="inlineStr">
        <is>
          <t>fy</t>
        </is>
      </c>
      <c r="D2" s="3" t="n">
        <v>420</v>
      </c>
      <c r="E2" s="2" t="inlineStr">
        <is>
          <t>rec</t>
        </is>
      </c>
      <c r="F2" s="3" t="n">
        <v>40</v>
      </c>
      <c r="G2" s="2" t="inlineStr">
        <is>
          <t>db#5</t>
        </is>
      </c>
      <c r="H2" s="3" t="n">
        <v>15.9</v>
      </c>
      <c r="I2" s="2" t="inlineStr">
        <is>
          <t>Ab#5</t>
        </is>
      </c>
      <c r="J2" s="3" t="n">
        <v>199</v>
      </c>
      <c r="K2" s="2" t="inlineStr">
        <is>
          <t>estr#3</t>
        </is>
      </c>
      <c r="L2" s="3" t="n">
        <v>9.5</v>
      </c>
      <c r="M2" s="2" t="inlineStr">
        <is>
          <t>Av</t>
        </is>
      </c>
      <c r="N2" s="3" t="n">
        <v>142</v>
      </c>
    </row>
    <row r="3">
      <c r="A3" s="4" t="inlineStr">
        <is>
          <t>ID</t>
        </is>
      </c>
      <c r="B3" s="4" t="inlineStr">
        <is>
          <t>L=Ln [m]</t>
        </is>
      </c>
      <c r="C3" s="4" t="inlineStr">
        <is>
          <t>Seccion</t>
        </is>
      </c>
      <c r="D3" s="4" t="inlineStr">
        <is>
          <t>b [m]</t>
        </is>
      </c>
      <c r="E3" s="4" t="inlineStr">
        <is>
          <t>h [m]</t>
        </is>
      </c>
      <c r="F3" s="4" t="inlineStr">
        <is>
          <t>Mu- [kN.m]</t>
        </is>
      </c>
      <c r="G3" s="4" t="inlineStr">
        <is>
          <t>Mu+ [kN.m]</t>
        </is>
      </c>
      <c r="H3" s="4" t="inlineStr">
        <is>
          <t>Vu [kN]</t>
        </is>
      </c>
      <c r="I3" s="4" t="inlineStr">
        <is>
          <t>Tu [kN.m]</t>
        </is>
      </c>
      <c r="J3" s="4" t="inlineStr">
        <is>
          <t>d [mm]</t>
        </is>
      </c>
      <c r="K3" s="4" t="inlineStr">
        <is>
          <t>Rn-</t>
        </is>
      </c>
      <c r="L3" s="4" t="inlineStr">
        <is>
          <t>rho-</t>
        </is>
      </c>
      <c r="M3" s="4" t="inlineStr">
        <is>
          <t>As- req</t>
        </is>
      </c>
      <c r="N3" s="4" t="inlineStr">
        <is>
          <t>As min</t>
        </is>
      </c>
      <c r="O3" s="4" t="inlineStr">
        <is>
          <t>As- dise</t>
        </is>
      </c>
      <c r="P3" s="4" t="inlineStr">
        <is>
          <t>N#5 sup</t>
        </is>
      </c>
      <c r="Q3" s="4" t="inlineStr">
        <is>
          <t>As- col</t>
        </is>
      </c>
      <c r="R3" s="4" t="inlineStr">
        <is>
          <t>a- [mm]</t>
        </is>
      </c>
      <c r="S3" s="4" t="inlineStr">
        <is>
          <t>phiMn-</t>
        </is>
      </c>
      <c r="T3" s="4" t="inlineStr">
        <is>
          <t>Chk-</t>
        </is>
      </c>
      <c r="U3" s="4" t="inlineStr">
        <is>
          <t>Rn+</t>
        </is>
      </c>
      <c r="V3" s="4" t="inlineStr">
        <is>
          <t>rho+</t>
        </is>
      </c>
      <c r="W3" s="4" t="inlineStr">
        <is>
          <t>As+ req</t>
        </is>
      </c>
      <c r="X3" s="4" t="inlineStr">
        <is>
          <t>As+ dise</t>
        </is>
      </c>
      <c r="Y3" s="4" t="inlineStr">
        <is>
          <t>N#5 inf</t>
        </is>
      </c>
      <c r="Z3" s="4" t="inlineStr">
        <is>
          <t>As+ col</t>
        </is>
      </c>
      <c r="AA3" s="4" t="inlineStr">
        <is>
          <t>phiMn+</t>
        </is>
      </c>
      <c r="AB3" s="4" t="inlineStr">
        <is>
          <t>Chk+</t>
        </is>
      </c>
      <c r="AC3" s="4" t="inlineStr">
        <is>
          <t>Vc [kN]</t>
        </is>
      </c>
      <c r="AD3" s="4" t="inlineStr">
        <is>
          <t>Vs req</t>
        </is>
      </c>
      <c r="AE3" s="4" t="inlineStr">
        <is>
          <t>s estr [mm]</t>
        </is>
      </c>
      <c r="AF3" s="4" t="inlineStr">
        <is>
          <t>Vs max</t>
        </is>
      </c>
      <c r="AG3" s="4" t="inlineStr">
        <is>
          <t>Chk V</t>
        </is>
      </c>
      <c r="AH3" s="4" t="inlineStr">
        <is>
          <t>T umbral</t>
        </is>
      </c>
      <c r="AI3" s="4" t="inlineStr">
        <is>
          <t>Torsion?</t>
        </is>
      </c>
      <c r="AJ3" s="4" t="inlineStr">
        <is>
          <t>At/s</t>
        </is>
      </c>
      <c r="AK3" s="4" t="inlineStr">
        <is>
          <t>Mpr-</t>
        </is>
      </c>
      <c r="AL3" s="4" t="inlineStr">
        <is>
          <t>Mpr+</t>
        </is>
      </c>
      <c r="AM3" s="4" t="inlineStr">
        <is>
          <t>Ve [kN]</t>
        </is>
      </c>
      <c r="AN3" s="4" t="inlineStr">
        <is>
          <t>V dis [kN]</t>
        </is>
      </c>
    </row>
    <row r="4">
      <c r="A4" s="5" t="inlineStr">
        <is>
          <t>F1</t>
        </is>
      </c>
      <c r="B4" s="6" t="n">
        <v>2.6</v>
      </c>
      <c r="C4" s="7" t="inlineStr">
        <is>
          <t>VC</t>
        </is>
      </c>
      <c r="D4" s="8">
        <f>IF(C4="VR",0.35,0.30)</f>
        <v>0.3</v>
      </c>
      <c r="E4" s="6" t="n">
        <v>0.4</v>
      </c>
      <c r="F4" s="9" t="n">
        <v>26.2</v>
      </c>
      <c r="G4" s="9" t="n">
        <v>11.6</v>
      </c>
      <c r="H4" s="9" t="n">
        <v>55.9</v>
      </c>
      <c r="I4" s="6" t="n">
        <v>6.4</v>
      </c>
      <c r="J4" s="10">
        <f>E4*1000-$F$2-$L$2-$H$2/2</f>
        <v>342.55</v>
      </c>
      <c r="K4" s="11">
        <f>F4*1000000/(0.9*(D4*1000)*J4^2)</f>
        <v>0.8279165853</v>
      </c>
      <c r="L4" s="12">
        <f>(0.85*$B$2/$D$2)*(1-SQRT(1-2*K4/(0.85*$B$2)))</f>
        <v>0.002006763187</v>
      </c>
      <c r="M4" s="13">
        <f>L4*(D4*1000)*J4</f>
        <v>206.2250189</v>
      </c>
      <c r="N4" s="13">
        <f>MAX(0.25*SQRT($B$2)/$D$2,1.4/$D$2)*(D4*1000)*J4</f>
        <v>342.55</v>
      </c>
      <c r="O4" s="13">
        <f>MAX(M4,N4)</f>
        <v>342.55</v>
      </c>
      <c r="P4" s="14">
        <f>ROUNDUP(O4/$J$2,0)</f>
        <v>2</v>
      </c>
      <c r="Q4" s="13">
        <f>P4*$J$2</f>
        <v>398</v>
      </c>
      <c r="R4" s="10">
        <f>Q4*$D$2/(0.85*$B$2*(D4*1000))</f>
        <v>23.41176471</v>
      </c>
      <c r="S4" s="10">
        <f>0.9*Q4*$D$2*(J4-R4/2)/1000000</f>
        <v>49.77351244</v>
      </c>
      <c r="T4" s="15" t="str">
        <f>IF(AND(S4&gt;=F4,O4&lt;=0.025*(D4*1000)*J4,O4&gt;=N4),"CUMPLE","REVISAR")</f>
        <v>CUMPLE</v>
      </c>
      <c r="U4" s="11">
        <f>G4*1000000/(0.9*(D4*1000)*J4^2)</f>
        <v>0.3661392447</v>
      </c>
      <c r="V4" s="12">
        <f>(0.85*$B$2/$D$2)*(1-SQRT(1-2*U4/(0.85*$B$2)))</f>
        <v>0.0008785708722</v>
      </c>
      <c r="W4" s="13">
        <f>V4*(D4*1000)*J4</f>
        <v>90.28633568</v>
      </c>
      <c r="X4" s="13">
        <f>MAX(W4,N4)</f>
        <v>342.55</v>
      </c>
      <c r="Y4" s="14">
        <f>ROUNDUP(X4/$J$2,0)</f>
        <v>2</v>
      </c>
      <c r="Z4" s="13">
        <f>Y4*$J$2</f>
        <v>398</v>
      </c>
      <c r="AA4" s="10">
        <f>0.9*Z4*$D$2*(J4-(Z4*$D$2/(0.85*$B$2*(D4*1000)))/2)/1000000</f>
        <v>49.77351244</v>
      </c>
      <c r="AB4" s="15" t="str">
        <f>IF(AA4&gt;=G4,"CUMPLE","REVISAR")</f>
        <v>CUMPLE</v>
      </c>
      <c r="AC4" s="10">
        <f>0.17*SQRT($B$2)*(D4*1000)*J4/1000</f>
        <v>92.44281538</v>
      </c>
      <c r="AD4" s="10">
        <f>MAX(H4/0.75-AC4,0)</f>
        <v>0</v>
      </c>
      <c r="AE4" s="14">
        <f>IF(AD4&gt;0,MIN($N$2*$D$2*J4/(AD4*1000),MIN(J4/4,6*$H$2,150)),MIN(J4/4,6*$H$2,150))</f>
        <v>85.6375</v>
      </c>
      <c r="AF4" s="10">
        <f>0.66*SQRT($B$2)*(D4*1000)*J4/1000</f>
        <v>358.8956362</v>
      </c>
      <c r="AG4" s="15" t="str">
        <f>IF(AD4&lt;=AF4,"CUMPLE","AUMENTAR SECCION")</f>
        <v>CUMPLE</v>
      </c>
      <c r="AH4" s="10">
        <f>0.75*0.083*SQRT($B$2)*(((D4*1000)*(E4*1000))^2/(2*((D4*1000)+(E4*1000))))/1000000</f>
        <v>3.388073536</v>
      </c>
      <c r="AI4" s="15" t="str">
        <f>IF(I4&gt;AH4,"SI","No")</f>
        <v>SI</v>
      </c>
      <c r="AJ4" s="11">
        <f>IF(I4&gt;AH4,I4*1000000/(0.75*2*0.85*((D4*1000-2*$F$2)*(E4*1000-2*$F$2))*$D$2),0)</f>
        <v>0.1696852984</v>
      </c>
      <c r="AK4" s="10">
        <f>1.25*Q4*$D$2*(J4-(1.25*Q4*$D$2/(0.85*$B$2*(D4*1000)))/2)/1000000</f>
        <v>68.51839235</v>
      </c>
      <c r="AL4" s="10">
        <f>1.25*Z4*$D$2*(J4-(1.25*Z4*$D$2/(0.85*$B$2*(D4*1000)))/2)/1000000</f>
        <v>68.51839235</v>
      </c>
      <c r="AM4" s="10">
        <f>(AK4+AL4)/B4</f>
        <v>52.70645566</v>
      </c>
      <c r="AN4" s="10">
        <f>MAX(H4,AM4)</f>
        <v>55.88</v>
      </c>
    </row>
    <row r="5">
      <c r="A5" s="5" t="inlineStr">
        <is>
          <t>F2</t>
        </is>
      </c>
      <c r="B5" s="6" t="n">
        <v>3.65</v>
      </c>
      <c r="C5" s="7" t="inlineStr">
        <is>
          <t>VR</t>
        </is>
      </c>
      <c r="D5" s="8">
        <f>IF(C5="VR",0.35,0.30)</f>
        <v>0.35</v>
      </c>
      <c r="E5" s="6" t="n">
        <v>0.4</v>
      </c>
      <c r="F5" s="9" t="n">
        <v>46.7</v>
      </c>
      <c r="G5" s="9" t="n">
        <v>22.9</v>
      </c>
      <c r="H5" s="9" t="n">
        <v>75.7</v>
      </c>
      <c r="I5" s="6" t="n">
        <v>0.22</v>
      </c>
      <c r="J5" s="10">
        <f>E5*1000-$F$2-$L$2-$H$2/2</f>
        <v>342.55</v>
      </c>
      <c r="K5" s="11">
        <f>F5*1000000/(0.9*(D5*1000)*J5^2)</f>
        <v>1.263992033</v>
      </c>
      <c r="L5" s="12">
        <f>(0.85*$B$2/$D$2)*(1-SQRT(1-2*K5/(0.85*$B$2)))</f>
        <v>0.003093969368</v>
      </c>
      <c r="M5" s="13">
        <f>L5*(D5*1000)*J5</f>
        <v>370.9437225</v>
      </c>
      <c r="N5" s="13">
        <f>MAX(0.25*SQRT($B$2)/$D$2,1.4/$D$2)*(D5*1000)*J5</f>
        <v>399.6416667</v>
      </c>
      <c r="O5" s="13">
        <f>MAX(M5,N5)</f>
        <v>399.6416667</v>
      </c>
      <c r="P5" s="14">
        <f>ROUNDUP(O5/$J$2,0)</f>
        <v>3</v>
      </c>
      <c r="Q5" s="13">
        <f>P5*$J$2</f>
        <v>597</v>
      </c>
      <c r="R5" s="10">
        <f>Q5*$D$2/(0.85*$B$2*(D5*1000))</f>
        <v>30.10084034</v>
      </c>
      <c r="S5" s="10">
        <f>0.9*Q5*$D$2*(J5-R5/2)/1000000</f>
        <v>73.90552018</v>
      </c>
      <c r="T5" s="15" t="str">
        <f>IF(AND(S5&gt;=F5,O5&lt;=0.025*(D5*1000)*J5,O5&gt;=N5),"CUMPLE","REVISAR")</f>
        <v>CUMPLE</v>
      </c>
      <c r="U5" s="11">
        <f>G5*1000000/(0.9*(D5*1000)*J5^2)</f>
        <v>0.6184687045</v>
      </c>
      <c r="V5" s="12">
        <f>(0.85*$B$2/$D$2)*(1-SQRT(1-2*U5/(0.85*$B$2)))</f>
        <v>0.001492191313</v>
      </c>
      <c r="W5" s="13">
        <f>V5*(D5*1000)*J5</f>
        <v>178.902547</v>
      </c>
      <c r="X5" s="13">
        <f>MAX(W5,N5)</f>
        <v>399.6416667</v>
      </c>
      <c r="Y5" s="14">
        <f>ROUNDUP(X5/$J$2,0)</f>
        <v>3</v>
      </c>
      <c r="Z5" s="13">
        <f>Y5*$J$2</f>
        <v>597</v>
      </c>
      <c r="AA5" s="10">
        <f>0.9*Z5*$D$2*(J5-(Z5*$D$2/(0.85*$B$2*(D5*1000)))/2)/1000000</f>
        <v>73.90552018</v>
      </c>
      <c r="AB5" s="15" t="str">
        <f>IF(AA5&gt;=G5,"CUMPLE","REVISAR")</f>
        <v>CUMPLE</v>
      </c>
      <c r="AC5" s="10">
        <f>0.17*SQRT($B$2)*(D5*1000)*J5/1000</f>
        <v>107.8499513</v>
      </c>
      <c r="AD5" s="10">
        <f>MAX(H5/0.75-AC5,0)</f>
        <v>0</v>
      </c>
      <c r="AE5" s="14">
        <f>IF(AD5&gt;0,MIN($N$2*$D$2*J5/(AD5*1000),MIN(J5/4,6*$H$2,150)),MIN(J5/4,6*$H$2,150))</f>
        <v>85.6375</v>
      </c>
      <c r="AF5" s="10">
        <f>0.66*SQRT($B$2)*(D5*1000)*J5/1000</f>
        <v>418.7115756</v>
      </c>
      <c r="AG5" s="15" t="str">
        <f>IF(AD5&lt;=AF5,"CUMPLE","AUMENTAR SECCION")</f>
        <v>CUMPLE</v>
      </c>
      <c r="AH5" s="10">
        <f>0.75*0.083*SQRT($B$2)*(((D5*1000)*(E5*1000))^2/(2*((D5*1000)+(E5*1000))))/1000000</f>
        <v>4.304108233</v>
      </c>
      <c r="AI5" s="15" t="str">
        <f>IF(I5&gt;AH5,"SI","No")</f>
        <v>No</v>
      </c>
      <c r="AJ5" s="11">
        <f>IF(I5&gt;AH5,I5*1000000/(0.75*2*0.85*((D5*1000-2*$F$2)*(E5*1000-2*$F$2))*$D$2),0)</f>
        <v>0</v>
      </c>
      <c r="AK5" s="10">
        <f>1.25*Q5*$D$2*(J5-(1.25*Q5*$D$2/(0.85*$B$2*(D5*1000)))/2)/1000000</f>
        <v>101.4672613</v>
      </c>
      <c r="AL5" s="10">
        <f>1.25*Z5*$D$2*(J5-(1.25*Z5*$D$2/(0.85*$B$2*(D5*1000)))/2)/1000000</f>
        <v>101.4672613</v>
      </c>
      <c r="AM5" s="10">
        <f>(AK5+AL5)/B5</f>
        <v>55.59849936</v>
      </c>
      <c r="AN5" s="10">
        <f>MAX(H5,AM5)</f>
        <v>75.71</v>
      </c>
    </row>
    <row r="6">
      <c r="A6" s="5" t="inlineStr">
        <is>
          <t>F3</t>
        </is>
      </c>
      <c r="B6" s="6" t="n">
        <v>2.6</v>
      </c>
      <c r="C6" s="7" t="inlineStr">
        <is>
          <t>VC</t>
        </is>
      </c>
      <c r="D6" s="8">
        <f>IF(C6="VR",0.35,0.30)</f>
        <v>0.3</v>
      </c>
      <c r="E6" s="6" t="n">
        <v>0.4</v>
      </c>
      <c r="F6" s="9" t="n">
        <v>25.6</v>
      </c>
      <c r="G6" s="9" t="n">
        <v>11.6</v>
      </c>
      <c r="H6" s="9" t="n">
        <v>55.4</v>
      </c>
      <c r="I6" s="6" t="n">
        <v>0.07000000000000001</v>
      </c>
      <c r="J6" s="10">
        <f>E6*1000-$F$2-$L$2-$H$2/2</f>
        <v>342.55</v>
      </c>
      <c r="K6" s="11">
        <f>F6*1000000/(0.9*(D6*1000)*J6^2)</f>
        <v>0.8086627112</v>
      </c>
      <c r="L6" s="12">
        <f>(0.85*$B$2/$D$2)*(1-SQRT(1-2*K6/(0.85*$B$2)))</f>
        <v>0.001959258227</v>
      </c>
      <c r="M6" s="13">
        <f>L6*(D6*1000)*J6</f>
        <v>201.3431716</v>
      </c>
      <c r="N6" s="13">
        <f>MAX(0.25*SQRT($B$2)/$D$2,1.4/$D$2)*(D6*1000)*J6</f>
        <v>342.55</v>
      </c>
      <c r="O6" s="13">
        <f>MAX(M6,N6)</f>
        <v>342.55</v>
      </c>
      <c r="P6" s="14">
        <f>ROUNDUP(O6/$J$2,0)</f>
        <v>2</v>
      </c>
      <c r="Q6" s="13">
        <f>P6*$J$2</f>
        <v>398</v>
      </c>
      <c r="R6" s="10">
        <f>Q6*$D$2/(0.85*$B$2*(D6*1000))</f>
        <v>23.41176471</v>
      </c>
      <c r="S6" s="10">
        <f>0.9*Q6*$D$2*(J6-R6/2)/1000000</f>
        <v>49.77351244</v>
      </c>
      <c r="T6" s="15" t="str">
        <f>IF(AND(S6&gt;=F6,O6&lt;=0.025*(D6*1000)*J6,O6&gt;=N6),"CUMPLE","REVISAR")</f>
        <v>CUMPLE</v>
      </c>
      <c r="U6" s="11">
        <f>G6*1000000/(0.9*(D6*1000)*J6^2)</f>
        <v>0.3661392447</v>
      </c>
      <c r="V6" s="12">
        <f>(0.85*$B$2/$D$2)*(1-SQRT(1-2*U6/(0.85*$B$2)))</f>
        <v>0.0008785708722</v>
      </c>
      <c r="W6" s="13">
        <f>V6*(D6*1000)*J6</f>
        <v>90.28633568</v>
      </c>
      <c r="X6" s="13">
        <f>MAX(W6,N6)</f>
        <v>342.55</v>
      </c>
      <c r="Y6" s="14">
        <f>ROUNDUP(X6/$J$2,0)</f>
        <v>2</v>
      </c>
      <c r="Z6" s="13">
        <f>Y6*$J$2</f>
        <v>398</v>
      </c>
      <c r="AA6" s="10">
        <f>0.9*Z6*$D$2*(J6-(Z6*$D$2/(0.85*$B$2*(D6*1000)))/2)/1000000</f>
        <v>49.77351244</v>
      </c>
      <c r="AB6" s="15" t="str">
        <f>IF(AA6&gt;=G6,"CUMPLE","REVISAR")</f>
        <v>CUMPLE</v>
      </c>
      <c r="AC6" s="10">
        <f>0.17*SQRT($B$2)*(D6*1000)*J6/1000</f>
        <v>92.44281538</v>
      </c>
      <c r="AD6" s="10">
        <f>MAX(H6/0.75-AC6,0)</f>
        <v>0</v>
      </c>
      <c r="AE6" s="14">
        <f>IF(AD6&gt;0,MIN($N$2*$D$2*J6/(AD6*1000),MIN(J6/4,6*$H$2,150)),MIN(J6/4,6*$H$2,150))</f>
        <v>85.6375</v>
      </c>
      <c r="AF6" s="10">
        <f>0.66*SQRT($B$2)*(D6*1000)*J6/1000</f>
        <v>358.8956362</v>
      </c>
      <c r="AG6" s="15" t="str">
        <f>IF(AD6&lt;=AF6,"CUMPLE","AUMENTAR SECCION")</f>
        <v>CUMPLE</v>
      </c>
      <c r="AH6" s="10">
        <f>0.75*0.083*SQRT($B$2)*(((D6*1000)*(E6*1000))^2/(2*((D6*1000)+(E6*1000))))/1000000</f>
        <v>3.388073536</v>
      </c>
      <c r="AI6" s="15" t="str">
        <f>IF(I6&gt;AH6,"SI","No")</f>
        <v>No</v>
      </c>
      <c r="AJ6" s="11">
        <f>IF(I6&gt;AH6,I6*1000000/(0.75*2*0.85*((D6*1000-2*$F$2)*(E6*1000-2*$F$2))*$D$2),0)</f>
        <v>0</v>
      </c>
      <c r="AK6" s="10">
        <f>1.25*Q6*$D$2*(J6-(1.25*Q6*$D$2/(0.85*$B$2*(D6*1000)))/2)/1000000</f>
        <v>68.51839235</v>
      </c>
      <c r="AL6" s="10">
        <f>1.25*Z6*$D$2*(J6-(1.25*Z6*$D$2/(0.85*$B$2*(D6*1000)))/2)/1000000</f>
        <v>68.51839235</v>
      </c>
      <c r="AM6" s="10">
        <f>(AK6+AL6)/B6</f>
        <v>52.70645566</v>
      </c>
      <c r="AN6" s="10">
        <f>MAX(H6,AM6)</f>
        <v>55.4</v>
      </c>
    </row>
    <row r="7">
      <c r="A7" s="5" t="inlineStr">
        <is>
          <t>F4</t>
        </is>
      </c>
      <c r="B7" s="6" t="n">
        <v>2.5</v>
      </c>
      <c r="C7" s="7" t="inlineStr">
        <is>
          <t>VC</t>
        </is>
      </c>
      <c r="D7" s="8">
        <f>IF(C7="VR",0.35,0.30)</f>
        <v>0.3</v>
      </c>
      <c r="E7" s="6" t="n">
        <v>0.4</v>
      </c>
      <c r="F7" s="9" t="n">
        <v>25.6</v>
      </c>
      <c r="G7" s="9" t="n">
        <v>10.3</v>
      </c>
      <c r="H7" s="9" t="n">
        <v>54.8</v>
      </c>
      <c r="I7" s="6" t="n">
        <v>0.41</v>
      </c>
      <c r="J7" s="10">
        <f>E7*1000-$F$2-$L$2-$H$2/2</f>
        <v>342.55</v>
      </c>
      <c r="K7" s="11">
        <f>F7*1000000/(0.9*(D7*1000)*J7^2)</f>
        <v>0.8070845248</v>
      </c>
      <c r="L7" s="12">
        <f>(0.85*$B$2/$D$2)*(1-SQRT(1-2*K7/(0.85*$B$2)))</f>
        <v>0.001955366206</v>
      </c>
      <c r="M7" s="13">
        <f>L7*(D7*1000)*J7</f>
        <v>200.9432082</v>
      </c>
      <c r="N7" s="13">
        <f>MAX(0.25*SQRT($B$2)/$D$2,1.4/$D$2)*(D7*1000)*J7</f>
        <v>342.55</v>
      </c>
      <c r="O7" s="13">
        <f>MAX(M7,N7)</f>
        <v>342.55</v>
      </c>
      <c r="P7" s="14">
        <f>ROUNDUP(O7/$J$2,0)</f>
        <v>2</v>
      </c>
      <c r="Q7" s="13">
        <f>P7*$J$2</f>
        <v>398</v>
      </c>
      <c r="R7" s="10">
        <f>Q7*$D$2/(0.85*$B$2*(D7*1000))</f>
        <v>23.41176471</v>
      </c>
      <c r="S7" s="10">
        <f>0.9*Q7*$D$2*(J7-R7/2)/1000000</f>
        <v>49.77351244</v>
      </c>
      <c r="T7" s="15" t="str">
        <f>IF(AND(S7&gt;=F7,O7&lt;=0.025*(D7*1000)*J7,O7&gt;=N7),"CUMPLE","REVISAR")</f>
        <v>CUMPLE</v>
      </c>
      <c r="U7" s="11">
        <f>G7*1000000/(0.9*(D7*1000)*J7^2)</f>
        <v>0.3238438492</v>
      </c>
      <c r="V7" s="12">
        <f>(0.85*$B$2/$D$2)*(1-SQRT(1-2*U7/(0.85*$B$2)))</f>
        <v>0.0007763752414</v>
      </c>
      <c r="W7" s="13">
        <f>V7*(D7*1000)*J7</f>
        <v>79.78420168</v>
      </c>
      <c r="X7" s="13">
        <f>MAX(W7,N7)</f>
        <v>342.55</v>
      </c>
      <c r="Y7" s="14">
        <f>ROUNDUP(X7/$J$2,0)</f>
        <v>2</v>
      </c>
      <c r="Z7" s="13">
        <f>Y7*$J$2</f>
        <v>398</v>
      </c>
      <c r="AA7" s="10">
        <f>0.9*Z7*$D$2*(J7-(Z7*$D$2/(0.85*$B$2*(D7*1000)))/2)/1000000</f>
        <v>49.77351244</v>
      </c>
      <c r="AB7" s="15" t="str">
        <f>IF(AA7&gt;=G7,"CUMPLE","REVISAR")</f>
        <v>CUMPLE</v>
      </c>
      <c r="AC7" s="10">
        <f>0.17*SQRT($B$2)*(D7*1000)*J7/1000</f>
        <v>92.44281538</v>
      </c>
      <c r="AD7" s="10">
        <f>MAX(H7/0.75-AC7,0)</f>
        <v>0</v>
      </c>
      <c r="AE7" s="14">
        <f>IF(AD7&gt;0,MIN($N$2*$D$2*J7/(AD7*1000),MIN(J7/4,6*$H$2,150)),MIN(J7/4,6*$H$2,150))</f>
        <v>85.6375</v>
      </c>
      <c r="AF7" s="10">
        <f>0.66*SQRT($B$2)*(D7*1000)*J7/1000</f>
        <v>358.8956362</v>
      </c>
      <c r="AG7" s="15" t="str">
        <f>IF(AD7&lt;=AF7,"CUMPLE","AUMENTAR SECCION")</f>
        <v>CUMPLE</v>
      </c>
      <c r="AH7" s="10">
        <f>0.75*0.083*SQRT($B$2)*(((D7*1000)*(E7*1000))^2/(2*((D7*1000)+(E7*1000))))/1000000</f>
        <v>3.388073536</v>
      </c>
      <c r="AI7" s="15" t="str">
        <f>IF(I7&gt;AH7,"SI","No")</f>
        <v>No</v>
      </c>
      <c r="AJ7" s="11">
        <f>IF(I7&gt;AH7,I7*1000000/(0.75*2*0.85*((D7*1000-2*$F$2)*(E7*1000-2*$F$2))*$D$2),0)</f>
        <v>0</v>
      </c>
      <c r="AK7" s="10">
        <f>1.25*Q7*$D$2*(J7-(1.25*Q7*$D$2/(0.85*$B$2*(D7*1000)))/2)/1000000</f>
        <v>68.51839235</v>
      </c>
      <c r="AL7" s="10">
        <f>1.25*Z7*$D$2*(J7-(1.25*Z7*$D$2/(0.85*$B$2*(D7*1000)))/2)/1000000</f>
        <v>68.51839235</v>
      </c>
      <c r="AM7" s="10">
        <f>(AK7+AL7)/B7</f>
        <v>54.81471388</v>
      </c>
      <c r="AN7" s="10">
        <f>MAX(H7,AM7)</f>
        <v>54.81471388</v>
      </c>
    </row>
    <row r="8">
      <c r="A8" s="5" t="inlineStr">
        <is>
          <t>F5</t>
        </is>
      </c>
      <c r="B8" s="6" t="n">
        <v>4</v>
      </c>
      <c r="C8" s="7" t="inlineStr">
        <is>
          <t>VC</t>
        </is>
      </c>
      <c r="D8" s="8">
        <f>IF(C8="VR",0.35,0.30)</f>
        <v>0.3</v>
      </c>
      <c r="E8" s="6" t="n">
        <v>0.4</v>
      </c>
      <c r="F8" s="9" t="n">
        <v>60.5</v>
      </c>
      <c r="G8" s="9" t="n">
        <v>27.5</v>
      </c>
      <c r="H8" s="9" t="n">
        <v>85.2</v>
      </c>
      <c r="I8" s="6" t="n">
        <v>5.5</v>
      </c>
      <c r="J8" s="10">
        <f>E8*1000-$F$2-$L$2-$H$2/2</f>
        <v>342.55</v>
      </c>
      <c r="K8" s="11">
        <f>F8*1000000/(0.9*(D8*1000)*J8^2)</f>
        <v>1.909921181</v>
      </c>
      <c r="L8" s="12">
        <f>(0.85*$B$2/$D$2)*(1-SQRT(1-2*K8/(0.85*$B$2)))</f>
        <v>0.004746193303</v>
      </c>
      <c r="M8" s="13">
        <f>L8*(D8*1000)*J8</f>
        <v>487.7425548</v>
      </c>
      <c r="N8" s="13">
        <f>MAX(0.25*SQRT($B$2)/$D$2,1.4/$D$2)*(D8*1000)*J8</f>
        <v>342.55</v>
      </c>
      <c r="O8" s="13">
        <f>MAX(M8,N8)</f>
        <v>487.7425548</v>
      </c>
      <c r="P8" s="14">
        <f>ROUNDUP(O8/$J$2,0)</f>
        <v>3</v>
      </c>
      <c r="Q8" s="13">
        <f>P8*$J$2</f>
        <v>597</v>
      </c>
      <c r="R8" s="10">
        <f>Q8*$D$2/(0.85*$B$2*(D8*1000))</f>
        <v>35.11764706</v>
      </c>
      <c r="S8" s="10">
        <f>0.9*Q8*$D$2*(J8-R8/2)/1000000</f>
        <v>73.33945883</v>
      </c>
      <c r="T8" s="15" t="str">
        <f>IF(AND(S8&gt;=F8,O8&lt;=0.025*(D8*1000)*J8,O8&gt;=N8),"CUMPLE","REVISAR")</f>
        <v>CUMPLE</v>
      </c>
      <c r="U8" s="11">
        <f>G8*1000000/(0.9*(D8*1000)*J8^2)</f>
        <v>0.8667399707</v>
      </c>
      <c r="V8" s="12">
        <f>(0.85*$B$2/$D$2)*(1-SQRT(1-2*U8/(0.85*$B$2)))</f>
        <v>0.002102677656</v>
      </c>
      <c r="W8" s="13">
        <f>V8*(D8*1000)*J8</f>
        <v>216.0816693</v>
      </c>
      <c r="X8" s="13">
        <f>MAX(W8,N8)</f>
        <v>342.55</v>
      </c>
      <c r="Y8" s="14">
        <f>ROUNDUP(X8/$J$2,0)</f>
        <v>2</v>
      </c>
      <c r="Z8" s="13">
        <f>Y8*$J$2</f>
        <v>398</v>
      </c>
      <c r="AA8" s="10">
        <f>0.9*Z8*$D$2*(J8-(Z8*$D$2/(0.85*$B$2*(D8*1000)))/2)/1000000</f>
        <v>49.77351244</v>
      </c>
      <c r="AB8" s="15" t="str">
        <f>IF(AA8&gt;=G8,"CUMPLE","REVISAR")</f>
        <v>CUMPLE</v>
      </c>
      <c r="AC8" s="10">
        <f>0.17*SQRT($B$2)*(D8*1000)*J8/1000</f>
        <v>92.44281538</v>
      </c>
      <c r="AD8" s="10">
        <f>MAX(H8/0.75-AC8,0)</f>
        <v>21.11718462</v>
      </c>
      <c r="AE8" s="14">
        <f>IF(AD8&gt;0,MIN($N$2*$D$2*J8/(AD8*1000),MIN(J8/4,6*$H$2,150)),MIN(J8/4,6*$H$2,150))</f>
        <v>85.6375</v>
      </c>
      <c r="AF8" s="10">
        <f>0.66*SQRT($B$2)*(D8*1000)*J8/1000</f>
        <v>358.8956362</v>
      </c>
      <c r="AG8" s="15" t="str">
        <f>IF(AD8&lt;=AF8,"CUMPLE","AUMENTAR SECCION")</f>
        <v>CUMPLE</v>
      </c>
      <c r="AH8" s="10">
        <f>0.75*0.083*SQRT($B$2)*(((D8*1000)*(E8*1000))^2/(2*((D8*1000)+(E8*1000))))/1000000</f>
        <v>3.388073536</v>
      </c>
      <c r="AI8" s="15" t="str">
        <f>IF(I8&gt;AH8,"SI","No")</f>
        <v>SI</v>
      </c>
      <c r="AJ8" s="11">
        <f>IF(I8&gt;AH8,I8*1000000/(0.75*2*0.85*((D8*1000-2*$F$2)*(E8*1000-2*$F$2))*$D$2),0)</f>
        <v>0.1458386385</v>
      </c>
      <c r="AK8" s="10">
        <f>1.25*Q8*$D$2*(J8-(1.25*Q8*$D$2/(0.85*$B$2*(D8*1000)))/2)/1000000</f>
        <v>100.4845159</v>
      </c>
      <c r="AL8" s="10">
        <f>1.25*Z8*$D$2*(J8-(1.25*Z8*$D$2/(0.85*$B$2*(D8*1000)))/2)/1000000</f>
        <v>68.51839235</v>
      </c>
      <c r="AM8" s="10">
        <f>(AK8+AL8)/B8</f>
        <v>42.25072707</v>
      </c>
      <c r="AN8" s="10">
        <f>MAX(H8,AM8)</f>
        <v>85.17</v>
      </c>
    </row>
    <row r="9">
      <c r="A9" s="5" t="inlineStr">
        <is>
          <t>F6</t>
        </is>
      </c>
      <c r="B9" s="6" t="n">
        <v>4</v>
      </c>
      <c r="C9" s="7" t="inlineStr">
        <is>
          <t>VC</t>
        </is>
      </c>
      <c r="D9" s="8">
        <f>IF(C9="VR",0.35,0.30)</f>
        <v>0.3</v>
      </c>
      <c r="E9" s="6" t="n">
        <v>0.4</v>
      </c>
      <c r="F9" s="9" t="n">
        <v>60.5</v>
      </c>
      <c r="G9" s="9" t="n">
        <v>27.5</v>
      </c>
      <c r="H9" s="9" t="n">
        <v>85.2</v>
      </c>
      <c r="I9" s="6" t="n">
        <v>5.5</v>
      </c>
      <c r="J9" s="10">
        <f>E9*1000-$F$2-$L$2-$H$2/2</f>
        <v>342.55</v>
      </c>
      <c r="K9" s="11">
        <f>F9*1000000/(0.9*(D9*1000)*J9^2)</f>
        <v>1.909289906</v>
      </c>
      <c r="L9" s="12">
        <f>(0.85*$B$2/$D$2)*(1-SQRT(1-2*K9/(0.85*$B$2)))</f>
        <v>0.004744552897</v>
      </c>
      <c r="M9" s="13">
        <f>L9*(D9*1000)*J9</f>
        <v>487.5739785</v>
      </c>
      <c r="N9" s="13">
        <f>MAX(0.25*SQRT($B$2)/$D$2,1.4/$D$2)*(D9*1000)*J9</f>
        <v>342.55</v>
      </c>
      <c r="O9" s="13">
        <f>MAX(M9,N9)</f>
        <v>487.5739785</v>
      </c>
      <c r="P9" s="14">
        <f>ROUNDUP(O9/$J$2,0)</f>
        <v>3</v>
      </c>
      <c r="Q9" s="13">
        <f>P9*$J$2</f>
        <v>597</v>
      </c>
      <c r="R9" s="10">
        <f>Q9*$D$2/(0.85*$B$2*(D9*1000))</f>
        <v>35.11764706</v>
      </c>
      <c r="S9" s="10">
        <f>0.9*Q9*$D$2*(J9-R9/2)/1000000</f>
        <v>73.33945883</v>
      </c>
      <c r="T9" s="15" t="str">
        <f>IF(AND(S9&gt;=F9,O9&lt;=0.025*(D9*1000)*J9,O9&gt;=N9),"CUMPLE","REVISAR")</f>
        <v>CUMPLE</v>
      </c>
      <c r="U9" s="11">
        <f>G9*1000000/(0.9*(D9*1000)*J9^2)</f>
        <v>0.8667399707</v>
      </c>
      <c r="V9" s="12">
        <f>(0.85*$B$2/$D$2)*(1-SQRT(1-2*U9/(0.85*$B$2)))</f>
        <v>0.002102677656</v>
      </c>
      <c r="W9" s="13">
        <f>V9*(D9*1000)*J9</f>
        <v>216.0816693</v>
      </c>
      <c r="X9" s="13">
        <f>MAX(W9,N9)</f>
        <v>342.55</v>
      </c>
      <c r="Y9" s="14">
        <f>ROUNDUP(X9/$J$2,0)</f>
        <v>2</v>
      </c>
      <c r="Z9" s="13">
        <f>Y9*$J$2</f>
        <v>398</v>
      </c>
      <c r="AA9" s="10">
        <f>0.9*Z9*$D$2*(J9-(Z9*$D$2/(0.85*$B$2*(D9*1000)))/2)/1000000</f>
        <v>49.77351244</v>
      </c>
      <c r="AB9" s="15" t="str">
        <f>IF(AA9&gt;=G9,"CUMPLE","REVISAR")</f>
        <v>CUMPLE</v>
      </c>
      <c r="AC9" s="10">
        <f>0.17*SQRT($B$2)*(D9*1000)*J9/1000</f>
        <v>92.44281538</v>
      </c>
      <c r="AD9" s="10">
        <f>MAX(H9/0.75-AC9,0)</f>
        <v>21.10385128</v>
      </c>
      <c r="AE9" s="14">
        <f>IF(AD9&gt;0,MIN($N$2*$D$2*J9/(AD9*1000),MIN(J9/4,6*$H$2,150)),MIN(J9/4,6*$H$2,150))</f>
        <v>85.6375</v>
      </c>
      <c r="AF9" s="10">
        <f>0.66*SQRT($B$2)*(D9*1000)*J9/1000</f>
        <v>358.8956362</v>
      </c>
      <c r="AG9" s="15" t="str">
        <f>IF(AD9&lt;=AF9,"CUMPLE","AUMENTAR SECCION")</f>
        <v>CUMPLE</v>
      </c>
      <c r="AH9" s="10">
        <f>0.75*0.083*SQRT($B$2)*(((D9*1000)*(E9*1000))^2/(2*((D9*1000)+(E9*1000))))/1000000</f>
        <v>3.388073536</v>
      </c>
      <c r="AI9" s="15" t="str">
        <f>IF(I9&gt;AH9,"SI","No")</f>
        <v>SI</v>
      </c>
      <c r="AJ9" s="11">
        <f>IF(I9&gt;AH9,I9*1000000/(0.75*2*0.85*((D9*1000-2*$F$2)*(E9*1000-2*$F$2))*$D$2),0)</f>
        <v>0.1460243188</v>
      </c>
      <c r="AK9" s="10">
        <f>1.25*Q9*$D$2*(J9-(1.25*Q9*$D$2/(0.85*$B$2*(D9*1000)))/2)/1000000</f>
        <v>100.4845159</v>
      </c>
      <c r="AL9" s="10">
        <f>1.25*Z9*$D$2*(J9-(1.25*Z9*$D$2/(0.85*$B$2*(D9*1000)))/2)/1000000</f>
        <v>68.51839235</v>
      </c>
      <c r="AM9" s="10">
        <f>(AK9+AL9)/B9</f>
        <v>42.25072707</v>
      </c>
      <c r="AN9" s="10">
        <f>MAX(H9,AM9)</f>
        <v>85.16</v>
      </c>
    </row>
    <row r="10">
      <c r="A10" s="5" t="inlineStr">
        <is>
          <t>F7</t>
        </is>
      </c>
      <c r="B10" s="6" t="n">
        <v>2.5</v>
      </c>
      <c r="C10" s="7" t="inlineStr">
        <is>
          <t>VC</t>
        </is>
      </c>
      <c r="D10" s="8">
        <f>IF(C10="VR",0.35,0.30)</f>
        <v>0.3</v>
      </c>
      <c r="E10" s="6" t="n">
        <v>0.4</v>
      </c>
      <c r="F10" s="9" t="n">
        <v>25.6</v>
      </c>
      <c r="G10" s="9" t="n">
        <v>10.3</v>
      </c>
      <c r="H10" s="9" t="n">
        <v>54.8</v>
      </c>
      <c r="I10" s="6" t="n">
        <v>0.41</v>
      </c>
      <c r="J10" s="10">
        <f>E10*1000-$F$2-$L$2-$H$2/2</f>
        <v>342.55</v>
      </c>
      <c r="K10" s="11">
        <f>F10*1000000/(0.9*(D10*1000)*J10^2)</f>
        <v>0.8070845248</v>
      </c>
      <c r="L10" s="12">
        <f>(0.85*$B$2/$D$2)*(1-SQRT(1-2*K10/(0.85*$B$2)))</f>
        <v>0.001955366206</v>
      </c>
      <c r="M10" s="13">
        <f>L10*(D10*1000)*J10</f>
        <v>200.9432082</v>
      </c>
      <c r="N10" s="13">
        <f>MAX(0.25*SQRT($B$2)/$D$2,1.4/$D$2)*(D10*1000)*J10</f>
        <v>342.55</v>
      </c>
      <c r="O10" s="13">
        <f>MAX(M10,N10)</f>
        <v>342.55</v>
      </c>
      <c r="P10" s="14">
        <f>ROUNDUP(O10/$J$2,0)</f>
        <v>2</v>
      </c>
      <c r="Q10" s="13">
        <f>P10*$J$2</f>
        <v>398</v>
      </c>
      <c r="R10" s="10">
        <f>Q10*$D$2/(0.85*$B$2*(D10*1000))</f>
        <v>23.41176471</v>
      </c>
      <c r="S10" s="10">
        <f>0.9*Q10*$D$2*(J10-R10/2)/1000000</f>
        <v>49.77351244</v>
      </c>
      <c r="T10" s="15" t="str">
        <f>IF(AND(S10&gt;=F10,O10&lt;=0.025*(D10*1000)*J10,O10&gt;=N10),"CUMPLE","REVISAR")</f>
        <v>CUMPLE</v>
      </c>
      <c r="U10" s="11">
        <f>G10*1000000/(0.9*(D10*1000)*J10^2)</f>
        <v>0.3238438492</v>
      </c>
      <c r="V10" s="12">
        <f>(0.85*$B$2/$D$2)*(1-SQRT(1-2*U10/(0.85*$B$2)))</f>
        <v>0.0007763752414</v>
      </c>
      <c r="W10" s="13">
        <f>V10*(D10*1000)*J10</f>
        <v>79.78420168</v>
      </c>
      <c r="X10" s="13">
        <f>MAX(W10,N10)</f>
        <v>342.55</v>
      </c>
      <c r="Y10" s="14">
        <f>ROUNDUP(X10/$J$2,0)</f>
        <v>2</v>
      </c>
      <c r="Z10" s="13">
        <f>Y10*$J$2</f>
        <v>398</v>
      </c>
      <c r="AA10" s="10">
        <f>0.9*Z10*$D$2*(J10-(Z10*$D$2/(0.85*$B$2*(D10*1000)))/2)/1000000</f>
        <v>49.77351244</v>
      </c>
      <c r="AB10" s="15" t="str">
        <f>IF(AA10&gt;=G10,"CUMPLE","REVISAR")</f>
        <v>CUMPLE</v>
      </c>
      <c r="AC10" s="10">
        <f>0.17*SQRT($B$2)*(D10*1000)*J10/1000</f>
        <v>92.44281538</v>
      </c>
      <c r="AD10" s="10">
        <f>MAX(H10/0.75-AC10,0)</f>
        <v>0</v>
      </c>
      <c r="AE10" s="14">
        <f>IF(AD10&gt;0,MIN($N$2*$D$2*J10/(AD10*1000),MIN(J10/4,6*$H$2,150)),MIN(J10/4,6*$H$2,150))</f>
        <v>85.6375</v>
      </c>
      <c r="AF10" s="10">
        <f>0.66*SQRT($B$2)*(D10*1000)*J10/1000</f>
        <v>358.8956362</v>
      </c>
      <c r="AG10" s="15" t="str">
        <f>IF(AD10&lt;=AF10,"CUMPLE","AUMENTAR SECCION")</f>
        <v>CUMPLE</v>
      </c>
      <c r="AH10" s="10">
        <f>0.75*0.083*SQRT($B$2)*(((D10*1000)*(E10*1000))^2/(2*((D10*1000)+(E10*1000))))/1000000</f>
        <v>3.388073536</v>
      </c>
      <c r="AI10" s="15" t="str">
        <f>IF(I10&gt;AH10,"SI","No")</f>
        <v>No</v>
      </c>
      <c r="AJ10" s="11">
        <f>IF(I10&gt;AH10,I10*1000000/(0.75*2*0.85*((D10*1000-2*$F$2)*(E10*1000-2*$F$2))*$D$2),0)</f>
        <v>0</v>
      </c>
      <c r="AK10" s="10">
        <f>1.25*Q10*$D$2*(J10-(1.25*Q10*$D$2/(0.85*$B$2*(D10*1000)))/2)/1000000</f>
        <v>68.51839235</v>
      </c>
      <c r="AL10" s="10">
        <f>1.25*Z10*$D$2*(J10-(1.25*Z10*$D$2/(0.85*$B$2*(D10*1000)))/2)/1000000</f>
        <v>68.51839235</v>
      </c>
      <c r="AM10" s="10">
        <f>(AK10+AL10)/B10</f>
        <v>54.81471388</v>
      </c>
      <c r="AN10" s="10">
        <f>MAX(H10,AM10)</f>
        <v>54.81471388</v>
      </c>
    </row>
    <row r="11">
      <c r="A11" s="5" t="inlineStr">
        <is>
          <t>F8</t>
        </is>
      </c>
      <c r="B11" s="6" t="n">
        <v>2.6</v>
      </c>
      <c r="C11" s="7" t="inlineStr">
        <is>
          <t>VC</t>
        </is>
      </c>
      <c r="D11" s="8">
        <f>IF(C11="VR",0.35,0.30)</f>
        <v>0.3</v>
      </c>
      <c r="E11" s="6" t="n">
        <v>0.4</v>
      </c>
      <c r="F11" s="9" t="n">
        <v>25.6</v>
      </c>
      <c r="G11" s="9" t="n">
        <v>11.6</v>
      </c>
      <c r="H11" s="9" t="n">
        <v>55.4</v>
      </c>
      <c r="I11" s="6" t="n">
        <v>0.07000000000000001</v>
      </c>
      <c r="J11" s="10">
        <f>E11*1000-$F$2-$L$2-$H$2/2</f>
        <v>342.55</v>
      </c>
      <c r="K11" s="11">
        <f>F11*1000000/(0.9*(D11*1000)*J11^2)</f>
        <v>0.8086627112</v>
      </c>
      <c r="L11" s="12">
        <f>(0.85*$B$2/$D$2)*(1-SQRT(1-2*K11/(0.85*$B$2)))</f>
        <v>0.001959258227</v>
      </c>
      <c r="M11" s="13">
        <f>L11*(D11*1000)*J11</f>
        <v>201.3431716</v>
      </c>
      <c r="N11" s="13">
        <f>MAX(0.25*SQRT($B$2)/$D$2,1.4/$D$2)*(D11*1000)*J11</f>
        <v>342.55</v>
      </c>
      <c r="O11" s="13">
        <f>MAX(M11,N11)</f>
        <v>342.55</v>
      </c>
      <c r="P11" s="14">
        <f>ROUNDUP(O11/$J$2,0)</f>
        <v>2</v>
      </c>
      <c r="Q11" s="13">
        <f>P11*$J$2</f>
        <v>398</v>
      </c>
      <c r="R11" s="10">
        <f>Q11*$D$2/(0.85*$B$2*(D11*1000))</f>
        <v>23.41176471</v>
      </c>
      <c r="S11" s="10">
        <f>0.9*Q11*$D$2*(J11-R11/2)/1000000</f>
        <v>49.77351244</v>
      </c>
      <c r="T11" s="15" t="str">
        <f>IF(AND(S11&gt;=F11,O11&lt;=0.025*(D11*1000)*J11,O11&gt;=N11),"CUMPLE","REVISAR")</f>
        <v>CUMPLE</v>
      </c>
      <c r="U11" s="11">
        <f>G11*1000000/(0.9*(D11*1000)*J11^2)</f>
        <v>0.3661392447</v>
      </c>
      <c r="V11" s="12">
        <f>(0.85*$B$2/$D$2)*(1-SQRT(1-2*U11/(0.85*$B$2)))</f>
        <v>0.0008785708722</v>
      </c>
      <c r="W11" s="13">
        <f>V11*(D11*1000)*J11</f>
        <v>90.28633568</v>
      </c>
      <c r="X11" s="13">
        <f>MAX(W11,N11)</f>
        <v>342.55</v>
      </c>
      <c r="Y11" s="14">
        <f>ROUNDUP(X11/$J$2,0)</f>
        <v>2</v>
      </c>
      <c r="Z11" s="13">
        <f>Y11*$J$2</f>
        <v>398</v>
      </c>
      <c r="AA11" s="10">
        <f>0.9*Z11*$D$2*(J11-(Z11*$D$2/(0.85*$B$2*(D11*1000)))/2)/1000000</f>
        <v>49.77351244</v>
      </c>
      <c r="AB11" s="15" t="str">
        <f>IF(AA11&gt;=G11,"CUMPLE","REVISAR")</f>
        <v>CUMPLE</v>
      </c>
      <c r="AC11" s="10">
        <f>0.17*SQRT($B$2)*(D11*1000)*J11/1000</f>
        <v>92.44281538</v>
      </c>
      <c r="AD11" s="10">
        <f>MAX(H11/0.75-AC11,0)</f>
        <v>0</v>
      </c>
      <c r="AE11" s="14">
        <f>IF(AD11&gt;0,MIN($N$2*$D$2*J11/(AD11*1000),MIN(J11/4,6*$H$2,150)),MIN(J11/4,6*$H$2,150))</f>
        <v>85.6375</v>
      </c>
      <c r="AF11" s="10">
        <f>0.66*SQRT($B$2)*(D11*1000)*J11/1000</f>
        <v>358.8956362</v>
      </c>
      <c r="AG11" s="15" t="str">
        <f>IF(AD11&lt;=AF11,"CUMPLE","AUMENTAR SECCION")</f>
        <v>CUMPLE</v>
      </c>
      <c r="AH11" s="10">
        <f>0.75*0.083*SQRT($B$2)*(((D11*1000)*(E11*1000))^2/(2*((D11*1000)+(E11*1000))))/1000000</f>
        <v>3.388073536</v>
      </c>
      <c r="AI11" s="15" t="str">
        <f>IF(I11&gt;AH11,"SI","No")</f>
        <v>No</v>
      </c>
      <c r="AJ11" s="11">
        <f>IF(I11&gt;AH11,I11*1000000/(0.75*2*0.85*((D11*1000-2*$F$2)*(E11*1000-2*$F$2))*$D$2),0)</f>
        <v>0</v>
      </c>
      <c r="AK11" s="10">
        <f>1.25*Q11*$D$2*(J11-(1.25*Q11*$D$2/(0.85*$B$2*(D11*1000)))/2)/1000000</f>
        <v>68.51839235</v>
      </c>
      <c r="AL11" s="10">
        <f>1.25*Z11*$D$2*(J11-(1.25*Z11*$D$2/(0.85*$B$2*(D11*1000)))/2)/1000000</f>
        <v>68.51839235</v>
      </c>
      <c r="AM11" s="10">
        <f>(AK11+AL11)/B11</f>
        <v>52.70645566</v>
      </c>
      <c r="AN11" s="10">
        <f>MAX(H11,AM11)</f>
        <v>55.4</v>
      </c>
    </row>
    <row r="12">
      <c r="A12" s="5" t="inlineStr">
        <is>
          <t>F9</t>
        </is>
      </c>
      <c r="B12" s="6" t="n">
        <v>3.65</v>
      </c>
      <c r="C12" s="7" t="inlineStr">
        <is>
          <t>VR</t>
        </is>
      </c>
      <c r="D12" s="8">
        <f>IF(C12="VR",0.35,0.30)</f>
        <v>0.35</v>
      </c>
      <c r="E12" s="6" t="n">
        <v>0.4</v>
      </c>
      <c r="F12" s="9" t="n">
        <v>46.7</v>
      </c>
      <c r="G12" s="9" t="n">
        <v>22.9</v>
      </c>
      <c r="H12" s="9" t="n">
        <v>75.7</v>
      </c>
      <c r="I12" s="6" t="n">
        <v>0.22</v>
      </c>
      <c r="J12" s="10">
        <f>E12*1000-$F$2-$L$2-$H$2/2</f>
        <v>342.55</v>
      </c>
      <c r="K12" s="11">
        <f>F12*1000000/(0.9*(D12*1000)*J12^2)</f>
        <v>1.263992033</v>
      </c>
      <c r="L12" s="12">
        <f>(0.85*$B$2/$D$2)*(1-SQRT(1-2*K12/(0.85*$B$2)))</f>
        <v>0.003093969368</v>
      </c>
      <c r="M12" s="13">
        <f>L12*(D12*1000)*J12</f>
        <v>370.9437225</v>
      </c>
      <c r="N12" s="13">
        <f>MAX(0.25*SQRT($B$2)/$D$2,1.4/$D$2)*(D12*1000)*J12</f>
        <v>399.6416667</v>
      </c>
      <c r="O12" s="13">
        <f>MAX(M12,N12)</f>
        <v>399.6416667</v>
      </c>
      <c r="P12" s="14">
        <f>ROUNDUP(O12/$J$2,0)</f>
        <v>3</v>
      </c>
      <c r="Q12" s="13">
        <f>P12*$J$2</f>
        <v>597</v>
      </c>
      <c r="R12" s="10">
        <f>Q12*$D$2/(0.85*$B$2*(D12*1000))</f>
        <v>30.10084034</v>
      </c>
      <c r="S12" s="10">
        <f>0.9*Q12*$D$2*(J12-R12/2)/1000000</f>
        <v>73.90552018</v>
      </c>
      <c r="T12" s="15" t="str">
        <f>IF(AND(S12&gt;=F12,O12&lt;=0.025*(D12*1000)*J12,O12&gt;=N12),"CUMPLE","REVISAR")</f>
        <v>CUMPLE</v>
      </c>
      <c r="U12" s="11">
        <f>G12*1000000/(0.9*(D12*1000)*J12^2)</f>
        <v>0.6184687045</v>
      </c>
      <c r="V12" s="12">
        <f>(0.85*$B$2/$D$2)*(1-SQRT(1-2*U12/(0.85*$B$2)))</f>
        <v>0.001492191313</v>
      </c>
      <c r="W12" s="13">
        <f>V12*(D12*1000)*J12</f>
        <v>178.902547</v>
      </c>
      <c r="X12" s="13">
        <f>MAX(W12,N12)</f>
        <v>399.6416667</v>
      </c>
      <c r="Y12" s="14">
        <f>ROUNDUP(X12/$J$2,0)</f>
        <v>3</v>
      </c>
      <c r="Z12" s="13">
        <f>Y12*$J$2</f>
        <v>597</v>
      </c>
      <c r="AA12" s="10">
        <f>0.9*Z12*$D$2*(J12-(Z12*$D$2/(0.85*$B$2*(D12*1000)))/2)/1000000</f>
        <v>73.90552018</v>
      </c>
      <c r="AB12" s="15" t="str">
        <f>IF(AA12&gt;=G12,"CUMPLE","REVISAR")</f>
        <v>CUMPLE</v>
      </c>
      <c r="AC12" s="10">
        <f>0.17*SQRT($B$2)*(D12*1000)*J12/1000</f>
        <v>107.8499513</v>
      </c>
      <c r="AD12" s="10">
        <f>MAX(H12/0.75-AC12,0)</f>
        <v>0</v>
      </c>
      <c r="AE12" s="14">
        <f>IF(AD12&gt;0,MIN($N$2*$D$2*J12/(AD12*1000),MIN(J12/4,6*$H$2,150)),MIN(J12/4,6*$H$2,150))</f>
        <v>85.6375</v>
      </c>
      <c r="AF12" s="10">
        <f>0.66*SQRT($B$2)*(D12*1000)*J12/1000</f>
        <v>418.7115756</v>
      </c>
      <c r="AG12" s="15" t="str">
        <f>IF(AD12&lt;=AF12,"CUMPLE","AUMENTAR SECCION")</f>
        <v>CUMPLE</v>
      </c>
      <c r="AH12" s="10">
        <f>0.75*0.083*SQRT($B$2)*(((D12*1000)*(E12*1000))^2/(2*((D12*1000)+(E12*1000))))/1000000</f>
        <v>4.304108233</v>
      </c>
      <c r="AI12" s="15" t="str">
        <f>IF(I12&gt;AH12,"SI","No")</f>
        <v>No</v>
      </c>
      <c r="AJ12" s="11">
        <f>IF(I12&gt;AH12,I12*1000000/(0.75*2*0.85*((D12*1000-2*$F$2)*(E12*1000-2*$F$2))*$D$2),0)</f>
        <v>0</v>
      </c>
      <c r="AK12" s="10">
        <f>1.25*Q12*$D$2*(J12-(1.25*Q12*$D$2/(0.85*$B$2*(D12*1000)))/2)/1000000</f>
        <v>101.4672613</v>
      </c>
      <c r="AL12" s="10">
        <f>1.25*Z12*$D$2*(J12-(1.25*Z12*$D$2/(0.85*$B$2*(D12*1000)))/2)/1000000</f>
        <v>101.4672613</v>
      </c>
      <c r="AM12" s="10">
        <f>(AK12+AL12)/B12</f>
        <v>55.59849936</v>
      </c>
      <c r="AN12" s="10">
        <f>MAX(H12,AM12)</f>
        <v>75.71</v>
      </c>
    </row>
    <row r="13">
      <c r="A13" s="5" t="inlineStr">
        <is>
          <t>F10</t>
        </is>
      </c>
      <c r="B13" s="6" t="n">
        <v>2.6</v>
      </c>
      <c r="C13" s="7" t="inlineStr">
        <is>
          <t>VC</t>
        </is>
      </c>
      <c r="D13" s="8">
        <f>IF(C13="VR",0.35,0.30)</f>
        <v>0.3</v>
      </c>
      <c r="E13" s="6" t="n">
        <v>0.4</v>
      </c>
      <c r="F13" s="9" t="n">
        <v>26.2</v>
      </c>
      <c r="G13" s="9" t="n">
        <v>11.6</v>
      </c>
      <c r="H13" s="9" t="n">
        <v>55.9</v>
      </c>
      <c r="I13" s="6" t="n">
        <v>6.4</v>
      </c>
      <c r="J13" s="10">
        <f>E13*1000-$F$2-$L$2-$H$2/2</f>
        <v>342.55</v>
      </c>
      <c r="K13" s="11">
        <f>F13*1000000/(0.9*(D13*1000)*J13^2)</f>
        <v>0.8279165853</v>
      </c>
      <c r="L13" s="12">
        <f>(0.85*$B$2/$D$2)*(1-SQRT(1-2*K13/(0.85*$B$2)))</f>
        <v>0.002006763187</v>
      </c>
      <c r="M13" s="13">
        <f>L13*(D13*1000)*J13</f>
        <v>206.2250189</v>
      </c>
      <c r="N13" s="13">
        <f>MAX(0.25*SQRT($B$2)/$D$2,1.4/$D$2)*(D13*1000)*J13</f>
        <v>342.55</v>
      </c>
      <c r="O13" s="13">
        <f>MAX(M13,N13)</f>
        <v>342.55</v>
      </c>
      <c r="P13" s="14">
        <f>ROUNDUP(O13/$J$2,0)</f>
        <v>2</v>
      </c>
      <c r="Q13" s="13">
        <f>P13*$J$2</f>
        <v>398</v>
      </c>
      <c r="R13" s="10">
        <f>Q13*$D$2/(0.85*$B$2*(D13*1000))</f>
        <v>23.41176471</v>
      </c>
      <c r="S13" s="10">
        <f>0.9*Q13*$D$2*(J13-R13/2)/1000000</f>
        <v>49.77351244</v>
      </c>
      <c r="T13" s="15" t="str">
        <f>IF(AND(S13&gt;=F13,O13&lt;=0.025*(D13*1000)*J13,O13&gt;=N13),"CUMPLE","REVISAR")</f>
        <v>CUMPLE</v>
      </c>
      <c r="U13" s="11">
        <f>G13*1000000/(0.9*(D13*1000)*J13^2)</f>
        <v>0.3661392447</v>
      </c>
      <c r="V13" s="12">
        <f>(0.85*$B$2/$D$2)*(1-SQRT(1-2*U13/(0.85*$B$2)))</f>
        <v>0.0008785708722</v>
      </c>
      <c r="W13" s="13">
        <f>V13*(D13*1000)*J13</f>
        <v>90.28633568</v>
      </c>
      <c r="X13" s="13">
        <f>MAX(W13,N13)</f>
        <v>342.55</v>
      </c>
      <c r="Y13" s="14">
        <f>ROUNDUP(X13/$J$2,0)</f>
        <v>2</v>
      </c>
      <c r="Z13" s="13">
        <f>Y13*$J$2</f>
        <v>398</v>
      </c>
      <c r="AA13" s="10">
        <f>0.9*Z13*$D$2*(J13-(Z13*$D$2/(0.85*$B$2*(D13*1000)))/2)/1000000</f>
        <v>49.77351244</v>
      </c>
      <c r="AB13" s="15" t="str">
        <f>IF(AA13&gt;=G13,"CUMPLE","REVISAR")</f>
        <v>CUMPLE</v>
      </c>
      <c r="AC13" s="10">
        <f>0.17*SQRT($B$2)*(D13*1000)*J13/1000</f>
        <v>92.44281538</v>
      </c>
      <c r="AD13" s="10">
        <f>MAX(H13/0.75-AC13,0)</f>
        <v>0</v>
      </c>
      <c r="AE13" s="14">
        <f>IF(AD13&gt;0,MIN($N$2*$D$2*J13/(AD13*1000),MIN(J13/4,6*$H$2,150)),MIN(J13/4,6*$H$2,150))</f>
        <v>85.6375</v>
      </c>
      <c r="AF13" s="10">
        <f>0.66*SQRT($B$2)*(D13*1000)*J13/1000</f>
        <v>358.8956362</v>
      </c>
      <c r="AG13" s="15" t="str">
        <f>IF(AD13&lt;=AF13,"CUMPLE","AUMENTAR SECCION")</f>
        <v>CUMPLE</v>
      </c>
      <c r="AH13" s="10">
        <f>0.75*0.083*SQRT($B$2)*(((D13*1000)*(E13*1000))^2/(2*((D13*1000)+(E13*1000))))/1000000</f>
        <v>3.388073536</v>
      </c>
      <c r="AI13" s="15" t="str">
        <f>IF(I13&gt;AH13,"SI","No")</f>
        <v>SI</v>
      </c>
      <c r="AJ13" s="11">
        <f>IF(I13&gt;AH13,I13*1000000/(0.75*2*0.85*((D13*1000-2*$F$2)*(E13*1000-2*$F$2))*$D$2),0)</f>
        <v>0.1696852984</v>
      </c>
      <c r="AK13" s="10">
        <f>1.25*Q13*$D$2*(J13-(1.25*Q13*$D$2/(0.85*$B$2*(D13*1000)))/2)/1000000</f>
        <v>68.51839235</v>
      </c>
      <c r="AL13" s="10">
        <f>1.25*Z13*$D$2*(J13-(1.25*Z13*$D$2/(0.85*$B$2*(D13*1000)))/2)/1000000</f>
        <v>68.51839235</v>
      </c>
      <c r="AM13" s="10">
        <f>(AK13+AL13)/B13</f>
        <v>52.70645566</v>
      </c>
      <c r="AN13" s="10">
        <f>MAX(H13,AM13)</f>
        <v>55.88</v>
      </c>
    </row>
    <row r="14">
      <c r="A14" s="5" t="inlineStr">
        <is>
          <t>F11</t>
        </is>
      </c>
      <c r="B14" s="6" t="n">
        <v>2.6</v>
      </c>
      <c r="C14" s="7" t="inlineStr">
        <is>
          <t>VC</t>
        </is>
      </c>
      <c r="D14" s="8">
        <f>IF(C14="VR",0.35,0.30)</f>
        <v>0.3</v>
      </c>
      <c r="E14" s="6" t="n">
        <v>0.4</v>
      </c>
      <c r="F14" s="9" t="n">
        <v>22.9</v>
      </c>
      <c r="G14" s="9" t="n">
        <v>8.9</v>
      </c>
      <c r="H14" s="9" t="n">
        <v>44.1</v>
      </c>
      <c r="I14" s="6" t="n">
        <v>0.45</v>
      </c>
      <c r="J14" s="10">
        <f>E14*1000-$F$2-$L$2-$H$2/2</f>
        <v>342.55</v>
      </c>
      <c r="K14" s="11">
        <f>F14*1000000/(0.9*(D14*1000)*J14^2)</f>
        <v>0.721546822</v>
      </c>
      <c r="L14" s="12">
        <f>(0.85*$B$2/$D$2)*(1-SQRT(1-2*K14/(0.85*$B$2)))</f>
        <v>0.001744831297</v>
      </c>
      <c r="M14" s="13">
        <f>L14*(D14*1000)*J14</f>
        <v>179.3075882</v>
      </c>
      <c r="N14" s="13">
        <f>MAX(0.25*SQRT($B$2)/$D$2,1.4/$D$2)*(D14*1000)*J14</f>
        <v>342.55</v>
      </c>
      <c r="O14" s="13">
        <f>MAX(M14,N14)</f>
        <v>342.55</v>
      </c>
      <c r="P14" s="14">
        <f>ROUNDUP(O14/$J$2,0)</f>
        <v>2</v>
      </c>
      <c r="Q14" s="13">
        <f>P14*$J$2</f>
        <v>398</v>
      </c>
      <c r="R14" s="10">
        <f>Q14*$D$2/(0.85*$B$2*(D14*1000))</f>
        <v>23.41176471</v>
      </c>
      <c r="S14" s="10">
        <f>0.9*Q14*$D$2*(J14-R14/2)/1000000</f>
        <v>49.77351244</v>
      </c>
      <c r="T14" s="15" t="str">
        <f>IF(AND(S14&gt;=F14,O14&lt;=0.025*(D14*1000)*J14,O14&gt;=N14),"CUMPLE","REVISAR")</f>
        <v>CUMPLE</v>
      </c>
      <c r="U14" s="11">
        <f>G14*1000000/(0.9*(D14*1000)*J14^2)</f>
        <v>0.281864091</v>
      </c>
      <c r="V14" s="12">
        <f>(0.85*$B$2/$D$2)*(1-SQRT(1-2*U14/(0.85*$B$2)))</f>
        <v>0.0006751267086</v>
      </c>
      <c r="W14" s="13">
        <f>V14*(D14*1000)*J14</f>
        <v>69.37939621</v>
      </c>
      <c r="X14" s="13">
        <f>MAX(W14,N14)</f>
        <v>342.55</v>
      </c>
      <c r="Y14" s="14">
        <f>ROUNDUP(X14/$J$2,0)</f>
        <v>2</v>
      </c>
      <c r="Z14" s="13">
        <f>Y14*$J$2</f>
        <v>398</v>
      </c>
      <c r="AA14" s="10">
        <f>0.9*Z14*$D$2*(J14-(Z14*$D$2/(0.85*$B$2*(D14*1000)))/2)/1000000</f>
        <v>49.77351244</v>
      </c>
      <c r="AB14" s="15" t="str">
        <f>IF(AA14&gt;=G14,"CUMPLE","REVISAR")</f>
        <v>CUMPLE</v>
      </c>
      <c r="AC14" s="10">
        <f>0.17*SQRT($B$2)*(D14*1000)*J14/1000</f>
        <v>92.44281538</v>
      </c>
      <c r="AD14" s="10">
        <f>MAX(H14/0.75-AC14,0)</f>
        <v>0</v>
      </c>
      <c r="AE14" s="14">
        <f>IF(AD14&gt;0,MIN($N$2*$D$2*J14/(AD14*1000),MIN(J14/4,6*$H$2,150)),MIN(J14/4,6*$H$2,150))</f>
        <v>85.6375</v>
      </c>
      <c r="AF14" s="10">
        <f>0.66*SQRT($B$2)*(D14*1000)*J14/1000</f>
        <v>358.8956362</v>
      </c>
      <c r="AG14" s="15" t="str">
        <f>IF(AD14&lt;=AF14,"CUMPLE","AUMENTAR SECCION")</f>
        <v>CUMPLE</v>
      </c>
      <c r="AH14" s="10">
        <f>0.75*0.083*SQRT($B$2)*(((D14*1000)*(E14*1000))^2/(2*((D14*1000)+(E14*1000))))/1000000</f>
        <v>3.388073536</v>
      </c>
      <c r="AI14" s="15" t="str">
        <f>IF(I14&gt;AH14,"SI","No")</f>
        <v>No</v>
      </c>
      <c r="AJ14" s="11">
        <f>IF(I14&gt;AH14,I14*1000000/(0.75*2*0.85*((D14*1000-2*$F$2)*(E14*1000-2*$F$2))*$D$2),0)</f>
        <v>0</v>
      </c>
      <c r="AK14" s="10">
        <f>1.25*Q14*$D$2*(J14-(1.25*Q14*$D$2/(0.85*$B$2*(D14*1000)))/2)/1000000</f>
        <v>68.51839235</v>
      </c>
      <c r="AL14" s="10">
        <f>1.25*Z14*$D$2*(J14-(1.25*Z14*$D$2/(0.85*$B$2*(D14*1000)))/2)/1000000</f>
        <v>68.51839235</v>
      </c>
      <c r="AM14" s="10">
        <f>(AK14+AL14)/B14</f>
        <v>52.70645566</v>
      </c>
      <c r="AN14" s="10">
        <f>MAX(H14,AM14)</f>
        <v>52.70645566</v>
      </c>
    </row>
    <row r="15">
      <c r="A15" s="5" t="inlineStr">
        <is>
          <t>F12</t>
        </is>
      </c>
      <c r="B15" s="6" t="n">
        <v>3.65</v>
      </c>
      <c r="C15" s="7" t="inlineStr">
        <is>
          <t>VR</t>
        </is>
      </c>
      <c r="D15" s="8">
        <f>IF(C15="VR",0.35,0.30)</f>
        <v>0.35</v>
      </c>
      <c r="E15" s="6" t="n">
        <v>0.4</v>
      </c>
      <c r="F15" s="9" t="n">
        <v>35.8</v>
      </c>
      <c r="G15" s="9" t="n">
        <v>32.3</v>
      </c>
      <c r="H15" s="9" t="n">
        <v>103.4</v>
      </c>
      <c r="I15" s="6" t="n">
        <v>6</v>
      </c>
      <c r="J15" s="10">
        <f>E15*1000-$F$2-$L$2-$H$2/2</f>
        <v>342.55</v>
      </c>
      <c r="K15" s="11">
        <f>F15*1000000/(0.9*(D15*1000)*J15^2)</f>
        <v>0.9693671778</v>
      </c>
      <c r="L15" s="12">
        <f>(0.85*$B$2/$D$2)*(1-SQRT(1-2*K15/(0.85*$B$2)))</f>
        <v>0.002357037309</v>
      </c>
      <c r="M15" s="13">
        <f>L15*(D15*1000)*J15</f>
        <v>282.5910956</v>
      </c>
      <c r="N15" s="13">
        <f>MAX(0.25*SQRT($B$2)/$D$2,1.4/$D$2)*(D15*1000)*J15</f>
        <v>399.6416667</v>
      </c>
      <c r="O15" s="13">
        <f>MAX(M15,N15)</f>
        <v>399.6416667</v>
      </c>
      <c r="P15" s="14">
        <f>ROUNDUP(O15/$J$2,0)</f>
        <v>3</v>
      </c>
      <c r="Q15" s="13">
        <f>P15*$J$2</f>
        <v>597</v>
      </c>
      <c r="R15" s="10">
        <f>Q15*$D$2/(0.85*$B$2*(D15*1000))</f>
        <v>30.10084034</v>
      </c>
      <c r="S15" s="10">
        <f>0.9*Q15*$D$2*(J15-R15/2)/1000000</f>
        <v>73.90552018</v>
      </c>
      <c r="T15" s="15" t="str">
        <f>IF(AND(S15&gt;=F15,O15&lt;=0.025*(D15*1000)*J15,O15&gt;=N15),"CUMPLE","REVISAR")</f>
        <v>CUMPLE</v>
      </c>
      <c r="U15" s="11">
        <f>G15*1000000/(0.9*(D15*1000)*J15^2)</f>
        <v>0.8735938088</v>
      </c>
      <c r="V15" s="12">
        <f>(0.85*$B$2/$D$2)*(1-SQRT(1-2*U15/(0.85*$B$2)))</f>
        <v>0.002119627806</v>
      </c>
      <c r="W15" s="13">
        <f>V15*(D15*1000)*J15</f>
        <v>254.1274768</v>
      </c>
      <c r="X15" s="13">
        <f>MAX(W15,N15)</f>
        <v>399.6416667</v>
      </c>
      <c r="Y15" s="14">
        <f>ROUNDUP(X15/$J$2,0)</f>
        <v>3</v>
      </c>
      <c r="Z15" s="13">
        <f>Y15*$J$2</f>
        <v>597</v>
      </c>
      <c r="AA15" s="10">
        <f>0.9*Z15*$D$2*(J15-(Z15*$D$2/(0.85*$B$2*(D15*1000)))/2)/1000000</f>
        <v>73.90552018</v>
      </c>
      <c r="AB15" s="15" t="str">
        <f>IF(AA15&gt;=G15,"CUMPLE","REVISAR")</f>
        <v>CUMPLE</v>
      </c>
      <c r="AC15" s="10">
        <f>0.17*SQRT($B$2)*(D15*1000)*J15/1000</f>
        <v>107.8499513</v>
      </c>
      <c r="AD15" s="10">
        <f>MAX(H15/0.75-AC15,0)</f>
        <v>30.01671539</v>
      </c>
      <c r="AE15" s="14">
        <f>IF(AD15&gt;0,MIN($N$2*$D$2*J15/(AD15*1000),MIN(J15/4,6*$H$2,150)),MIN(J15/4,6*$H$2,150))</f>
        <v>85.6375</v>
      </c>
      <c r="AF15" s="10">
        <f>0.66*SQRT($B$2)*(D15*1000)*J15/1000</f>
        <v>418.7115756</v>
      </c>
      <c r="AG15" s="15" t="str">
        <f>IF(AD15&lt;=AF15,"CUMPLE","AUMENTAR SECCION")</f>
        <v>CUMPLE</v>
      </c>
      <c r="AH15" s="10">
        <f>0.75*0.083*SQRT($B$2)*(((D15*1000)*(E15*1000))^2/(2*((D15*1000)+(E15*1000))))/1000000</f>
        <v>4.304108233</v>
      </c>
      <c r="AI15" s="15" t="str">
        <f>IF(I15&gt;AH15,"SI","No")</f>
        <v>SI</v>
      </c>
      <c r="AJ15" s="11">
        <f>IF(I15&gt;AH15,I15*1000000/(0.75*2*0.85*((D15*1000-2*$F$2)*(E15*1000-2*$F$2))*$D$2),0)</f>
        <v>0.1296382751</v>
      </c>
      <c r="AK15" s="10">
        <f>1.25*Q15*$D$2*(J15-(1.25*Q15*$D$2/(0.85*$B$2*(D15*1000)))/2)/1000000</f>
        <v>101.4672613</v>
      </c>
      <c r="AL15" s="10">
        <f>1.25*Z15*$D$2*(J15-(1.25*Z15*$D$2/(0.85*$B$2*(D15*1000)))/2)/1000000</f>
        <v>101.4672613</v>
      </c>
      <c r="AM15" s="10">
        <f>(AK15+AL15)/B15</f>
        <v>55.55283949</v>
      </c>
      <c r="AN15" s="10">
        <f>MAX(H15,AM15)</f>
        <v>103.4</v>
      </c>
    </row>
    <row r="16">
      <c r="A16" s="5" t="inlineStr">
        <is>
          <t>F13</t>
        </is>
      </c>
      <c r="B16" s="6" t="n">
        <v>2.6</v>
      </c>
      <c r="C16" s="7" t="inlineStr">
        <is>
          <t>VC</t>
        </is>
      </c>
      <c r="D16" s="8">
        <f>IF(C16="VR",0.35,0.30)</f>
        <v>0.3</v>
      </c>
      <c r="E16" s="6" t="n">
        <v>0.4</v>
      </c>
      <c r="F16" s="9" t="n">
        <v>20.9</v>
      </c>
      <c r="G16" s="9" t="n">
        <v>12.5</v>
      </c>
      <c r="H16" s="9" t="n">
        <v>45.3</v>
      </c>
      <c r="I16" s="6" t="n">
        <v>2.29</v>
      </c>
      <c r="J16" s="10">
        <f>E16*1000-$F$2-$L$2-$H$2/2</f>
        <v>342.55</v>
      </c>
      <c r="K16" s="11">
        <f>F16*1000000/(0.9*(D16*1000)*J16^2)</f>
        <v>0.6609444642</v>
      </c>
      <c r="L16" s="12">
        <f>(0.85*$B$2/$D$2)*(1-SQRT(1-2*K16/(0.85*$B$2)))</f>
        <v>0.001596157158</v>
      </c>
      <c r="M16" s="13">
        <f>L16*(D16*1000)*J16</f>
        <v>164.0290903</v>
      </c>
      <c r="N16" s="13">
        <f>MAX(0.25*SQRT($B$2)/$D$2,1.4/$D$2)*(D16*1000)*J16</f>
        <v>342.55</v>
      </c>
      <c r="O16" s="13">
        <f>MAX(M16,N16)</f>
        <v>342.55</v>
      </c>
      <c r="P16" s="14">
        <f>ROUNDUP(O16/$J$2,0)</f>
        <v>2</v>
      </c>
      <c r="Q16" s="13">
        <f>P16*$J$2</f>
        <v>398</v>
      </c>
      <c r="R16" s="10">
        <f>Q16*$D$2/(0.85*$B$2*(D16*1000))</f>
        <v>23.41176471</v>
      </c>
      <c r="S16" s="10">
        <f>0.9*Q16*$D$2*(J16-R16/2)/1000000</f>
        <v>49.77351244</v>
      </c>
      <c r="T16" s="15" t="str">
        <f>IF(AND(S16&gt;=F16,O16&lt;=0.025*(D16*1000)*J16,O16&gt;=N16),"CUMPLE","REVISAR")</f>
        <v>CUMPLE</v>
      </c>
      <c r="U16" s="11">
        <f>G16*1000000/(0.9*(D16*1000)*J16^2)</f>
        <v>0.3939153254</v>
      </c>
      <c r="V16" s="12">
        <f>(0.85*$B$2/$D$2)*(1-SQRT(1-2*U16/(0.85*$B$2)))</f>
        <v>0.0009457863838</v>
      </c>
      <c r="W16" s="13">
        <f>V16*(D16*1000)*J16</f>
        <v>97.19373773</v>
      </c>
      <c r="X16" s="13">
        <f>MAX(W16,N16)</f>
        <v>342.55</v>
      </c>
      <c r="Y16" s="14">
        <f>ROUNDUP(X16/$J$2,0)</f>
        <v>2</v>
      </c>
      <c r="Z16" s="13">
        <f>Y16*$J$2</f>
        <v>398</v>
      </c>
      <c r="AA16" s="10">
        <f>0.9*Z16*$D$2*(J16-(Z16*$D$2/(0.85*$B$2*(D16*1000)))/2)/1000000</f>
        <v>49.77351244</v>
      </c>
      <c r="AB16" s="15" t="str">
        <f>IF(AA16&gt;=G16,"CUMPLE","REVISAR")</f>
        <v>CUMPLE</v>
      </c>
      <c r="AC16" s="10">
        <f>0.17*SQRT($B$2)*(D16*1000)*J16/1000</f>
        <v>92.44281538</v>
      </c>
      <c r="AD16" s="10">
        <f>MAX(H16/0.75-AC16,0)</f>
        <v>0</v>
      </c>
      <c r="AE16" s="14">
        <f>IF(AD16&gt;0,MIN($N$2*$D$2*J16/(AD16*1000),MIN(J16/4,6*$H$2,150)),MIN(J16/4,6*$H$2,150))</f>
        <v>85.6375</v>
      </c>
      <c r="AF16" s="10">
        <f>0.66*SQRT($B$2)*(D16*1000)*J16/1000</f>
        <v>358.8956362</v>
      </c>
      <c r="AG16" s="15" t="str">
        <f>IF(AD16&lt;=AF16,"CUMPLE","AUMENTAR SECCION")</f>
        <v>CUMPLE</v>
      </c>
      <c r="AH16" s="10">
        <f>0.75*0.083*SQRT($B$2)*(((D16*1000)*(E16*1000))^2/(2*((D16*1000)+(E16*1000))))/1000000</f>
        <v>3.388073536</v>
      </c>
      <c r="AI16" s="15" t="str">
        <f>IF(I16&gt;AH16,"SI","No")</f>
        <v>No</v>
      </c>
      <c r="AJ16" s="11">
        <f>IF(I16&gt;AH16,I16*1000000/(0.75*2*0.85*((D16*1000-2*$F$2)*(E16*1000-2*$F$2))*$D$2),0)</f>
        <v>0</v>
      </c>
      <c r="AK16" s="10">
        <f>1.25*Q16*$D$2*(J16-(1.25*Q16*$D$2/(0.85*$B$2*(D16*1000)))/2)/1000000</f>
        <v>68.51839235</v>
      </c>
      <c r="AL16" s="10">
        <f>1.25*Z16*$D$2*(J16-(1.25*Z16*$D$2/(0.85*$B$2*(D16*1000)))/2)/1000000</f>
        <v>68.51839235</v>
      </c>
      <c r="AM16" s="10">
        <f>(AK16+AL16)/B16</f>
        <v>52.70645566</v>
      </c>
      <c r="AN16" s="10">
        <f>MAX(H16,AM16)</f>
        <v>52.70645566</v>
      </c>
    </row>
    <row r="17">
      <c r="A17" s="5" t="inlineStr">
        <is>
          <t>F14</t>
        </is>
      </c>
      <c r="B17" s="6" t="n">
        <v>2.5</v>
      </c>
      <c r="C17" s="7" t="inlineStr">
        <is>
          <t>VC</t>
        </is>
      </c>
      <c r="D17" s="8">
        <f>IF(C17="VR",0.35,0.30)</f>
        <v>0.3</v>
      </c>
      <c r="E17" s="6" t="n">
        <v>0.4</v>
      </c>
      <c r="F17" s="9" t="n">
        <v>23.2</v>
      </c>
      <c r="G17" s="9" t="n">
        <v>8.6</v>
      </c>
      <c r="H17" s="9" t="n">
        <v>45</v>
      </c>
      <c r="I17" s="6" t="n">
        <v>0.46</v>
      </c>
      <c r="J17" s="10">
        <f>E17*1000-$F$2-$L$2-$H$2/2</f>
        <v>342.55</v>
      </c>
      <c r="K17" s="11">
        <f>F17*1000000/(0.9*(D17*1000)*J17^2)</f>
        <v>0.7325941268</v>
      </c>
      <c r="L17" s="12">
        <f>(0.85*$B$2/$D$2)*(1-SQRT(1-2*K17/(0.85*$B$2)))</f>
        <v>0.001771976744</v>
      </c>
      <c r="M17" s="13">
        <f>L17*(D17*1000)*J17</f>
        <v>182.0971901</v>
      </c>
      <c r="N17" s="13">
        <f>MAX(0.25*SQRT($B$2)/$D$2,1.4/$D$2)*(D17*1000)*J17</f>
        <v>342.55</v>
      </c>
      <c r="O17" s="13">
        <f>MAX(M17,N17)</f>
        <v>342.55</v>
      </c>
      <c r="P17" s="14">
        <f>ROUNDUP(O17/$J$2,0)</f>
        <v>2</v>
      </c>
      <c r="Q17" s="13">
        <f>P17*$J$2</f>
        <v>398</v>
      </c>
      <c r="R17" s="10">
        <f>Q17*$D$2/(0.85*$B$2*(D17*1000))</f>
        <v>23.41176471</v>
      </c>
      <c r="S17" s="10">
        <f>0.9*Q17*$D$2*(J17-R17/2)/1000000</f>
        <v>49.77351244</v>
      </c>
      <c r="T17" s="15" t="str">
        <f>IF(AND(S17&gt;=F17,O17&lt;=0.025*(D17*1000)*J17,O17&gt;=N17),"CUMPLE","REVISAR")</f>
        <v>CUMPLE</v>
      </c>
      <c r="U17" s="11">
        <f>G17*1000000/(0.9*(D17*1000)*J17^2)</f>
        <v>0.271763698</v>
      </c>
      <c r="V17" s="12">
        <f>(0.85*$B$2/$D$2)*(1-SQRT(1-2*U17/(0.85*$B$2)))</f>
        <v>0.0006507934722</v>
      </c>
      <c r="W17" s="13">
        <f>V17*(D17*1000)*J17</f>
        <v>66.87879117</v>
      </c>
      <c r="X17" s="13">
        <f>MAX(W17,N17)</f>
        <v>342.55</v>
      </c>
      <c r="Y17" s="14">
        <f>ROUNDUP(X17/$J$2,0)</f>
        <v>2</v>
      </c>
      <c r="Z17" s="13">
        <f>Y17*$J$2</f>
        <v>398</v>
      </c>
      <c r="AA17" s="10">
        <f>0.9*Z17*$D$2*(J17-(Z17*$D$2/(0.85*$B$2*(D17*1000)))/2)/1000000</f>
        <v>49.77351244</v>
      </c>
      <c r="AB17" s="15" t="str">
        <f>IF(AA17&gt;=G17,"CUMPLE","REVISAR")</f>
        <v>CUMPLE</v>
      </c>
      <c r="AC17" s="10">
        <f>0.17*SQRT($B$2)*(D17*1000)*J17/1000</f>
        <v>92.44281538</v>
      </c>
      <c r="AD17" s="10">
        <f>MAX(H17/0.75-AC17,0)</f>
        <v>0</v>
      </c>
      <c r="AE17" s="14">
        <f>IF(AD17&gt;0,MIN($N$2*$D$2*J17/(AD17*1000),MIN(J17/4,6*$H$2,150)),MIN(J17/4,6*$H$2,150))</f>
        <v>85.6375</v>
      </c>
      <c r="AF17" s="10">
        <f>0.66*SQRT($B$2)*(D17*1000)*J17/1000</f>
        <v>358.8956362</v>
      </c>
      <c r="AG17" s="15" t="str">
        <f>IF(AD17&lt;=AF17,"CUMPLE","AUMENTAR SECCION")</f>
        <v>CUMPLE</v>
      </c>
      <c r="AH17" s="10">
        <f>0.75*0.083*SQRT($B$2)*(((D17*1000)*(E17*1000))^2/(2*((D17*1000)+(E17*1000))))/1000000</f>
        <v>3.388073536</v>
      </c>
      <c r="AI17" s="15" t="str">
        <f>IF(I17&gt;AH17,"SI","No")</f>
        <v>No</v>
      </c>
      <c r="AJ17" s="11">
        <f>IF(I17&gt;AH17,I17*1000000/(0.75*2*0.85*((D17*1000-2*$F$2)*(E17*1000-2*$F$2))*$D$2),0)</f>
        <v>0</v>
      </c>
      <c r="AK17" s="10">
        <f>1.25*Q17*$D$2*(J17-(1.25*Q17*$D$2/(0.85*$B$2*(D17*1000)))/2)/1000000</f>
        <v>68.51839235</v>
      </c>
      <c r="AL17" s="10">
        <f>1.25*Z17*$D$2*(J17-(1.25*Z17*$D$2/(0.85*$B$2*(D17*1000)))/2)/1000000</f>
        <v>68.51839235</v>
      </c>
      <c r="AM17" s="10">
        <f>(AK17+AL17)/B17</f>
        <v>54.81471388</v>
      </c>
      <c r="AN17" s="10">
        <f>MAX(H17,AM17)</f>
        <v>54.81471388</v>
      </c>
    </row>
    <row r="18">
      <c r="A18" s="5" t="inlineStr">
        <is>
          <t>F15</t>
        </is>
      </c>
      <c r="B18" s="6" t="n">
        <v>4.18</v>
      </c>
      <c r="C18" s="7" t="inlineStr">
        <is>
          <t>VR</t>
        </is>
      </c>
      <c r="D18" s="8">
        <f>IF(C18="VR",0.35,0.30)</f>
        <v>0.35</v>
      </c>
      <c r="E18" s="6" t="n">
        <v>0.4</v>
      </c>
      <c r="F18" s="9" t="n">
        <v>75.90000000000001</v>
      </c>
      <c r="G18" s="9" t="n">
        <v>25.6</v>
      </c>
      <c r="H18" s="9" t="n">
        <v>78.3</v>
      </c>
      <c r="I18" s="6" t="n">
        <v>0.44</v>
      </c>
      <c r="J18" s="10">
        <f>E18*1000-$F$2-$L$2-$H$2/2</f>
        <v>342.55</v>
      </c>
      <c r="K18" s="11">
        <f>F18*1000000/(0.9*(D18*1000)*J18^2)</f>
        <v>2.0542576</v>
      </c>
      <c r="L18" s="12">
        <f>(0.85*$B$2/$D$2)*(1-SQRT(1-2*K18/(0.85*$B$2)))</f>
        <v>0.005122630816</v>
      </c>
      <c r="M18" s="13">
        <f>L18*(D18*1000)*J18</f>
        <v>614.1650151</v>
      </c>
      <c r="N18" s="13">
        <f>MAX(0.25*SQRT($B$2)/$D$2,1.4/$D$2)*(D18*1000)*J18</f>
        <v>399.6416667</v>
      </c>
      <c r="O18" s="13">
        <f>MAX(M18,N18)</f>
        <v>614.1650151</v>
      </c>
      <c r="P18" s="14">
        <f>ROUNDUP(O18/$J$2,0)</f>
        <v>4</v>
      </c>
      <c r="Q18" s="13">
        <f>P18*$J$2</f>
        <v>796</v>
      </c>
      <c r="R18" s="10">
        <f>Q18*$D$2/(0.85*$B$2*(D18*1000))</f>
        <v>40.13445378</v>
      </c>
      <c r="S18" s="10">
        <f>0.9*Q18*$D$2*(J18-R18/2)/1000000</f>
        <v>97.03119664</v>
      </c>
      <c r="T18" s="15" t="str">
        <f>IF(AND(S18&gt;=F18,O18&lt;=0.025*(D18*1000)*J18,O18&gt;=N18),"CUMPLE","REVISAR")</f>
        <v>CUMPLE</v>
      </c>
      <c r="U18" s="11">
        <f>G18*1000000/(0.9*(D18*1000)*J18^2)</f>
        <v>0.6925983743</v>
      </c>
      <c r="V18" s="12">
        <f>(0.85*$B$2/$D$2)*(1-SQRT(1-2*U18/(0.85*$B$2)))</f>
        <v>0.001673762703</v>
      </c>
      <c r="W18" s="13">
        <f>V18*(D18*1000)*J18</f>
        <v>200.6715949</v>
      </c>
      <c r="X18" s="13">
        <f>MAX(W18,N18)</f>
        <v>399.6416667</v>
      </c>
      <c r="Y18" s="14">
        <f>ROUNDUP(X18/$J$2,0)</f>
        <v>3</v>
      </c>
      <c r="Z18" s="13">
        <f>Y18*$J$2</f>
        <v>597</v>
      </c>
      <c r="AA18" s="10">
        <f>0.9*Z18*$D$2*(J18-(Z18*$D$2/(0.85*$B$2*(D18*1000)))/2)/1000000</f>
        <v>73.90552018</v>
      </c>
      <c r="AB18" s="15" t="str">
        <f>IF(AA18&gt;=G18,"CUMPLE","REVISAR")</f>
        <v>CUMPLE</v>
      </c>
      <c r="AC18" s="10">
        <f>0.17*SQRT($B$2)*(D18*1000)*J18/1000</f>
        <v>107.8499513</v>
      </c>
      <c r="AD18" s="10">
        <f>MAX(H18/0.75-AC18,0)</f>
        <v>0</v>
      </c>
      <c r="AE18" s="14">
        <f>IF(AD18&gt;0,MIN($N$2*$D$2*J18/(AD18*1000),MIN(J18/4,6*$H$2,150)),MIN(J18/4,6*$H$2,150))</f>
        <v>85.6375</v>
      </c>
      <c r="AF18" s="10">
        <f>0.66*SQRT($B$2)*(D18*1000)*J18/1000</f>
        <v>418.7115756</v>
      </c>
      <c r="AG18" s="15" t="str">
        <f>IF(AD18&lt;=AF18,"CUMPLE","AUMENTAR SECCION")</f>
        <v>CUMPLE</v>
      </c>
      <c r="AH18" s="10">
        <f>0.75*0.083*SQRT($B$2)*(((D18*1000)*(E18*1000))^2/(2*((D18*1000)+(E18*1000))))/1000000</f>
        <v>4.304108233</v>
      </c>
      <c r="AI18" s="15" t="str">
        <f>IF(I18&gt;AH18,"SI","No")</f>
        <v>No</v>
      </c>
      <c r="AJ18" s="11">
        <f>IF(I18&gt;AH18,I18*1000000/(0.75*2*0.85*((D18*1000-2*$F$2)*(E18*1000-2*$F$2))*$D$2),0)</f>
        <v>0</v>
      </c>
      <c r="AK18" s="10">
        <f>1.25*Q18*$D$2*(J18-(1.25*Q18*$D$2/(0.85*$B$2*(D18*1000)))/2)/1000000</f>
        <v>132.6690274</v>
      </c>
      <c r="AL18" s="10">
        <f>1.25*Z18*$D$2*(J18-(1.25*Z18*$D$2/(0.85*$B$2*(D18*1000)))/2)/1000000</f>
        <v>101.4672613</v>
      </c>
      <c r="AM18" s="10">
        <f>(AK18+AL18)/B18</f>
        <v>56.06711894</v>
      </c>
      <c r="AN18" s="10">
        <f>MAX(H18,AM18)</f>
        <v>78.26</v>
      </c>
    </row>
    <row r="19">
      <c r="A19" s="5" t="inlineStr">
        <is>
          <t>F16</t>
        </is>
      </c>
      <c r="B19" s="6" t="n">
        <v>2.7</v>
      </c>
      <c r="C19" s="7" t="inlineStr">
        <is>
          <t>VR</t>
        </is>
      </c>
      <c r="D19" s="8">
        <f>IF(C19="VR",0.35,0.30)</f>
        <v>0.35</v>
      </c>
      <c r="E19" s="6" t="n">
        <v>0.4</v>
      </c>
      <c r="F19" s="9" t="n">
        <v>31.6</v>
      </c>
      <c r="G19" s="9" t="n">
        <v>10.5</v>
      </c>
      <c r="H19" s="9" t="n">
        <v>51.9</v>
      </c>
      <c r="I19" s="6" t="n">
        <v>4.19</v>
      </c>
      <c r="J19" s="10">
        <f>E19*1000-$F$2-$L$2-$H$2/2</f>
        <v>342.55</v>
      </c>
      <c r="K19" s="11">
        <f>F19*1000000/(0.9*(D19*1000)*J19^2)</f>
        <v>0.8541144795</v>
      </c>
      <c r="L19" s="12">
        <f>(0.85*$B$2/$D$2)*(1-SQRT(1-2*K19/(0.85*$B$2)))</f>
        <v>0.00207146747</v>
      </c>
      <c r="M19" s="13">
        <f>L19*(D19*1000)*J19</f>
        <v>248.3534136</v>
      </c>
      <c r="N19" s="13">
        <f>MAX(0.25*SQRT($B$2)/$D$2,1.4/$D$2)*(D19*1000)*J19</f>
        <v>399.6416667</v>
      </c>
      <c r="O19" s="13">
        <f>MAX(M19,N19)</f>
        <v>399.6416667</v>
      </c>
      <c r="P19" s="14">
        <f>ROUNDUP(O19/$J$2,0)</f>
        <v>3</v>
      </c>
      <c r="Q19" s="13">
        <f>P19*$J$2</f>
        <v>597</v>
      </c>
      <c r="R19" s="10">
        <f>Q19*$D$2/(0.85*$B$2*(D19*1000))</f>
        <v>30.10084034</v>
      </c>
      <c r="S19" s="10">
        <f>0.9*Q19*$D$2*(J19-R19/2)/1000000</f>
        <v>73.90552018</v>
      </c>
      <c r="T19" s="15" t="str">
        <f>IF(AND(S19&gt;=F19,O19&lt;=0.025*(D19*1000)*J19,O19&gt;=N19),"CUMPLE","REVISAR")</f>
        <v>CUMPLE</v>
      </c>
      <c r="U19" s="11">
        <f>G19*1000000/(0.9*(D19*1000)*J19^2)</f>
        <v>0.2846146444</v>
      </c>
      <c r="V19" s="12">
        <f>(0.85*$B$2/$D$2)*(1-SQRT(1-2*U19/(0.85*$B$2)))</f>
        <v>0.0006817550025</v>
      </c>
      <c r="W19" s="13">
        <f>V19*(D19*1000)*J19</f>
        <v>81.73731164</v>
      </c>
      <c r="X19" s="13">
        <f>MAX(W19,N19)</f>
        <v>399.6416667</v>
      </c>
      <c r="Y19" s="14">
        <f>ROUNDUP(X19/$J$2,0)</f>
        <v>3</v>
      </c>
      <c r="Z19" s="13">
        <f>Y19*$J$2</f>
        <v>597</v>
      </c>
      <c r="AA19" s="10">
        <f>0.9*Z19*$D$2*(J19-(Z19*$D$2/(0.85*$B$2*(D19*1000)))/2)/1000000</f>
        <v>73.90552018</v>
      </c>
      <c r="AB19" s="15" t="str">
        <f>IF(AA19&gt;=G19,"CUMPLE","REVISAR")</f>
        <v>CUMPLE</v>
      </c>
      <c r="AC19" s="10">
        <f>0.17*SQRT($B$2)*(D19*1000)*J19/1000</f>
        <v>107.8499513</v>
      </c>
      <c r="AD19" s="10">
        <f>MAX(H19/0.75-AC19,0)</f>
        <v>0</v>
      </c>
      <c r="AE19" s="14">
        <f>IF(AD19&gt;0,MIN($N$2*$D$2*J19/(AD19*1000),MIN(J19/4,6*$H$2,150)),MIN(J19/4,6*$H$2,150))</f>
        <v>85.6375</v>
      </c>
      <c r="AF19" s="10">
        <f>0.66*SQRT($B$2)*(D19*1000)*J19/1000</f>
        <v>418.7115756</v>
      </c>
      <c r="AG19" s="15" t="str">
        <f>IF(AD19&lt;=AF19,"CUMPLE","AUMENTAR SECCION")</f>
        <v>CUMPLE</v>
      </c>
      <c r="AH19" s="10">
        <f>0.75*0.083*SQRT($B$2)*(((D19*1000)*(E19*1000))^2/(2*((D19*1000)+(E19*1000))))/1000000</f>
        <v>4.304108233</v>
      </c>
      <c r="AI19" s="15" t="str">
        <f>IF(I19&gt;AH19,"SI","No")</f>
        <v>No</v>
      </c>
      <c r="AJ19" s="11">
        <f>IF(I19&gt;AH19,I19*1000000/(0.75*2*0.85*((D19*1000-2*$F$2)*(E19*1000-2*$F$2))*$D$2),0)</f>
        <v>0</v>
      </c>
      <c r="AK19" s="10">
        <f>1.25*Q19*$D$2*(J19-(1.25*Q19*$D$2/(0.85*$B$2*(D19*1000)))/2)/1000000</f>
        <v>101.4672613</v>
      </c>
      <c r="AL19" s="10">
        <f>1.25*Z19*$D$2*(J19-(1.25*Z19*$D$2/(0.85*$B$2*(D19*1000)))/2)/1000000</f>
        <v>101.4672613</v>
      </c>
      <c r="AM19" s="10">
        <f>(AK19+AL19)/B19</f>
        <v>75.16093431</v>
      </c>
      <c r="AN19" s="10">
        <f>MAX(H19,AM19)</f>
        <v>75.16093431</v>
      </c>
    </row>
    <row r="20">
      <c r="A20" s="5" t="inlineStr">
        <is>
          <t>F17</t>
        </is>
      </c>
      <c r="B20" s="6" t="n">
        <v>2.8</v>
      </c>
      <c r="C20" s="7" t="inlineStr">
        <is>
          <t>VR</t>
        </is>
      </c>
      <c r="D20" s="8">
        <f>IF(C20="VR",0.35,0.30)</f>
        <v>0.35</v>
      </c>
      <c r="E20" s="6" t="n">
        <v>0.4</v>
      </c>
      <c r="F20" s="9" t="n">
        <v>32.4</v>
      </c>
      <c r="G20" s="9" t="n">
        <v>10.8</v>
      </c>
      <c r="H20" s="9" t="n">
        <v>52.8</v>
      </c>
      <c r="I20" s="6" t="n">
        <v>4.04</v>
      </c>
      <c r="J20" s="10">
        <f>E20*1000-$F$2-$L$2-$H$2/2</f>
        <v>342.55</v>
      </c>
      <c r="K20" s="11">
        <f>F20*1000000/(0.9*(D20*1000)*J20^2)</f>
        <v>0.8773814562</v>
      </c>
      <c r="L20" s="12">
        <f>(0.85*$B$2/$D$2)*(1-SQRT(1-2*K20/(0.85*$B$2)))</f>
        <v>0.002128997255</v>
      </c>
      <c r="M20" s="13">
        <f>L20*(D20*1000)*J20</f>
        <v>255.2508034</v>
      </c>
      <c r="N20" s="13">
        <f>MAX(0.25*SQRT($B$2)/$D$2,1.4/$D$2)*(D20*1000)*J20</f>
        <v>399.6416667</v>
      </c>
      <c r="O20" s="13">
        <f>MAX(M20,N20)</f>
        <v>399.6416667</v>
      </c>
      <c r="P20" s="14">
        <f>ROUNDUP(O20/$J$2,0)</f>
        <v>3</v>
      </c>
      <c r="Q20" s="13">
        <f>P20*$J$2</f>
        <v>597</v>
      </c>
      <c r="R20" s="10">
        <f>Q20*$D$2/(0.85*$B$2*(D20*1000))</f>
        <v>30.10084034</v>
      </c>
      <c r="S20" s="10">
        <f>0.9*Q20*$D$2*(J20-R20/2)/1000000</f>
        <v>73.90552018</v>
      </c>
      <c r="T20" s="15" t="str">
        <f>IF(AND(S20&gt;=F20,O20&lt;=0.025*(D20*1000)*J20,O20&gt;=N20),"CUMPLE","REVISAR")</f>
        <v>CUMPLE</v>
      </c>
      <c r="U20" s="11">
        <f>G20*1000000/(0.9*(D20*1000)*J20^2)</f>
        <v>0.2924604854</v>
      </c>
      <c r="V20" s="12">
        <f>(0.85*$B$2/$D$2)*(1-SQRT(1-2*U20/(0.85*$B$2)))</f>
        <v>0.0007006662525</v>
      </c>
      <c r="W20" s="13">
        <f>V20*(D20*1000)*J20</f>
        <v>84.00462868</v>
      </c>
      <c r="X20" s="13">
        <f>MAX(W20,N20)</f>
        <v>399.6416667</v>
      </c>
      <c r="Y20" s="14">
        <f>ROUNDUP(X20/$J$2,0)</f>
        <v>3</v>
      </c>
      <c r="Z20" s="13">
        <f>Y20*$J$2</f>
        <v>597</v>
      </c>
      <c r="AA20" s="10">
        <f>0.9*Z20*$D$2*(J20-(Z20*$D$2/(0.85*$B$2*(D20*1000)))/2)/1000000</f>
        <v>73.90552018</v>
      </c>
      <c r="AB20" s="15" t="str">
        <f>IF(AA20&gt;=G20,"CUMPLE","REVISAR")</f>
        <v>CUMPLE</v>
      </c>
      <c r="AC20" s="10">
        <f>0.17*SQRT($B$2)*(D20*1000)*J20/1000</f>
        <v>107.8499513</v>
      </c>
      <c r="AD20" s="10">
        <f>MAX(H20/0.75-AC20,0)</f>
        <v>0</v>
      </c>
      <c r="AE20" s="14">
        <f>IF(AD20&gt;0,MIN($N$2*$D$2*J20/(AD20*1000),MIN(J20/4,6*$H$2,150)),MIN(J20/4,6*$H$2,150))</f>
        <v>85.6375</v>
      </c>
      <c r="AF20" s="10">
        <f>0.66*SQRT($B$2)*(D20*1000)*J20/1000</f>
        <v>418.7115756</v>
      </c>
      <c r="AG20" s="15" t="str">
        <f>IF(AD20&lt;=AF20,"CUMPLE","AUMENTAR SECCION")</f>
        <v>CUMPLE</v>
      </c>
      <c r="AH20" s="10">
        <f>0.75*0.083*SQRT($B$2)*(((D20*1000)*(E20*1000))^2/(2*((D20*1000)+(E20*1000))))/1000000</f>
        <v>4.304108233</v>
      </c>
      <c r="AI20" s="15" t="str">
        <f>IF(I20&gt;AH20,"SI","No")</f>
        <v>No</v>
      </c>
      <c r="AJ20" s="11">
        <f>IF(I20&gt;AH20,I20*1000000/(0.75*2*0.85*((D20*1000-2*$F$2)*(E20*1000-2*$F$2))*$D$2),0)</f>
        <v>0</v>
      </c>
      <c r="AK20" s="10">
        <f>1.25*Q20*$D$2*(J20-(1.25*Q20*$D$2/(0.85*$B$2*(D20*1000)))/2)/1000000</f>
        <v>101.4672613</v>
      </c>
      <c r="AL20" s="10">
        <f>1.25*Z20*$D$2*(J20-(1.25*Z20*$D$2/(0.85*$B$2*(D20*1000)))/2)/1000000</f>
        <v>101.4672613</v>
      </c>
      <c r="AM20" s="10">
        <f>(AK20+AL20)/B20</f>
        <v>72.47661523</v>
      </c>
      <c r="AN20" s="10">
        <f>MAX(H20,AM20)</f>
        <v>72.47661523</v>
      </c>
    </row>
    <row r="21">
      <c r="A21" s="5" t="inlineStr">
        <is>
          <t>F18</t>
        </is>
      </c>
      <c r="B21" s="6" t="n">
        <v>4.18</v>
      </c>
      <c r="C21" s="7" t="inlineStr">
        <is>
          <t>VR</t>
        </is>
      </c>
      <c r="D21" s="8">
        <f>IF(C21="VR",0.35,0.30)</f>
        <v>0.35</v>
      </c>
      <c r="E21" s="6" t="n">
        <v>0.4</v>
      </c>
      <c r="F21" s="9" t="n">
        <v>76</v>
      </c>
      <c r="G21" s="9" t="n">
        <v>25.6</v>
      </c>
      <c r="H21" s="9" t="n">
        <v>78.3</v>
      </c>
      <c r="I21" s="6" t="n">
        <v>0.44</v>
      </c>
      <c r="J21" s="10">
        <f>E21*1000-$F$2-$L$2-$H$2/2</f>
        <v>342.55</v>
      </c>
      <c r="K21" s="11">
        <f>F21*1000000/(0.9*(D21*1000)*J21^2)</f>
        <v>2.056692516</v>
      </c>
      <c r="L21" s="12">
        <f>(0.85*$B$2/$D$2)*(1-SQRT(1-2*K21/(0.85*$B$2)))</f>
        <v>0.005129004798</v>
      </c>
      <c r="M21" s="13">
        <f>L21*(D21*1000)*J21</f>
        <v>614.9292078</v>
      </c>
      <c r="N21" s="13">
        <f>MAX(0.25*SQRT($B$2)/$D$2,1.4/$D$2)*(D21*1000)*J21</f>
        <v>399.6416667</v>
      </c>
      <c r="O21" s="13">
        <f>MAX(M21,N21)</f>
        <v>614.9292078</v>
      </c>
      <c r="P21" s="14">
        <f>ROUNDUP(O21/$J$2,0)</f>
        <v>4</v>
      </c>
      <c r="Q21" s="13">
        <f>P21*$J$2</f>
        <v>796</v>
      </c>
      <c r="R21" s="10">
        <f>Q21*$D$2/(0.85*$B$2*(D21*1000))</f>
        <v>40.13445378</v>
      </c>
      <c r="S21" s="10">
        <f>0.9*Q21*$D$2*(J21-R21/2)/1000000</f>
        <v>97.03119664</v>
      </c>
      <c r="T21" s="15" t="str">
        <f>IF(AND(S21&gt;=F21,O21&lt;=0.025*(D21*1000)*J21,O21&gt;=N21),"CUMPLE","REVISAR")</f>
        <v>CUMPLE</v>
      </c>
      <c r="U21" s="11">
        <f>G21*1000000/(0.9*(D21*1000)*J21^2)</f>
        <v>0.693410013</v>
      </c>
      <c r="V21" s="12">
        <f>(0.85*$B$2/$D$2)*(1-SQRT(1-2*U21/(0.85*$B$2)))</f>
        <v>0.001675754029</v>
      </c>
      <c r="W21" s="13">
        <f>V21*(D21*1000)*J21</f>
        <v>200.91034</v>
      </c>
      <c r="X21" s="13">
        <f>MAX(W21,N21)</f>
        <v>399.6416667</v>
      </c>
      <c r="Y21" s="14">
        <f>ROUNDUP(X21/$J$2,0)</f>
        <v>3</v>
      </c>
      <c r="Z21" s="13">
        <f>Y21*$J$2</f>
        <v>597</v>
      </c>
      <c r="AA21" s="10">
        <f>0.9*Z21*$D$2*(J21-(Z21*$D$2/(0.85*$B$2*(D21*1000)))/2)/1000000</f>
        <v>73.90552018</v>
      </c>
      <c r="AB21" s="15" t="str">
        <f>IF(AA21&gt;=G21,"CUMPLE","REVISAR")</f>
        <v>CUMPLE</v>
      </c>
      <c r="AC21" s="10">
        <f>0.17*SQRT($B$2)*(D21*1000)*J21/1000</f>
        <v>107.8499513</v>
      </c>
      <c r="AD21" s="10">
        <f>MAX(H21/0.75-AC21,0)</f>
        <v>0</v>
      </c>
      <c r="AE21" s="14">
        <f>IF(AD21&gt;0,MIN($N$2*$D$2*J21/(AD21*1000),MIN(J21/4,6*$H$2,150)),MIN(J21/4,6*$H$2,150))</f>
        <v>85.6375</v>
      </c>
      <c r="AF21" s="10">
        <f>0.66*SQRT($B$2)*(D21*1000)*J21/1000</f>
        <v>418.7115756</v>
      </c>
      <c r="AG21" s="15" t="str">
        <f>IF(AD21&lt;=AF21,"CUMPLE","AUMENTAR SECCION")</f>
        <v>CUMPLE</v>
      </c>
      <c r="AH21" s="10">
        <f>0.75*0.083*SQRT($B$2)*(((D21*1000)*(E21*1000))^2/(2*((D21*1000)+(E21*1000))))/1000000</f>
        <v>4.304108233</v>
      </c>
      <c r="AI21" s="15" t="str">
        <f>IF(I21&gt;AH21,"SI","No")</f>
        <v>No</v>
      </c>
      <c r="AJ21" s="11">
        <f>IF(I21&gt;AH21,I21*1000000/(0.75*2*0.85*((D21*1000-2*$F$2)*(E21*1000-2*$F$2))*$D$2),0)</f>
        <v>0</v>
      </c>
      <c r="AK21" s="10">
        <f>1.25*Q21*$D$2*(J21-(1.25*Q21*$D$2/(0.85*$B$2*(D21*1000)))/2)/1000000</f>
        <v>132.6690274</v>
      </c>
      <c r="AL21" s="10">
        <f>1.25*Z21*$D$2*(J21-(1.25*Z21*$D$2/(0.85*$B$2*(D21*1000)))/2)/1000000</f>
        <v>101.4672613</v>
      </c>
      <c r="AM21" s="10">
        <f>(AK21+AL21)/B21</f>
        <v>56.06711894</v>
      </c>
      <c r="AN21" s="10">
        <f>MAX(H21,AM21)</f>
        <v>78.3</v>
      </c>
    </row>
    <row r="22">
      <c r="A22" s="5" t="inlineStr">
        <is>
          <t>F19</t>
        </is>
      </c>
      <c r="B22" s="6" t="n">
        <v>2.5</v>
      </c>
      <c r="C22" s="7" t="inlineStr">
        <is>
          <t>VC</t>
        </is>
      </c>
      <c r="D22" s="8">
        <f>IF(C22="VR",0.35,0.30)</f>
        <v>0.3</v>
      </c>
      <c r="E22" s="6" t="n">
        <v>0.4</v>
      </c>
      <c r="F22" s="9" t="n">
        <v>23.2</v>
      </c>
      <c r="G22" s="9" t="n">
        <v>8.6</v>
      </c>
      <c r="H22" s="9" t="n">
        <v>45</v>
      </c>
      <c r="I22" s="6" t="n">
        <v>0.46</v>
      </c>
      <c r="J22" s="10">
        <f>E22*1000-$F$2-$L$2-$H$2/2</f>
        <v>342.55</v>
      </c>
      <c r="K22" s="11">
        <f>F22*1000000/(0.9*(D22*1000)*J22^2)</f>
        <v>0.7332254013</v>
      </c>
      <c r="L22" s="12">
        <f>(0.85*$B$2/$D$2)*(1-SQRT(1-2*K22/(0.85*$B$2)))</f>
        <v>0.001773528318</v>
      </c>
      <c r="M22" s="13">
        <f>L22*(D22*1000)*J22</f>
        <v>182.2566376</v>
      </c>
      <c r="N22" s="13">
        <f>MAX(0.25*SQRT($B$2)/$D$2,1.4/$D$2)*(D22*1000)*J22</f>
        <v>342.55</v>
      </c>
      <c r="O22" s="13">
        <f>MAX(M22,N22)</f>
        <v>342.55</v>
      </c>
      <c r="P22" s="14">
        <f>ROUNDUP(O22/$J$2,0)</f>
        <v>2</v>
      </c>
      <c r="Q22" s="13">
        <f>P22*$J$2</f>
        <v>398</v>
      </c>
      <c r="R22" s="10">
        <f>Q22*$D$2/(0.85*$B$2*(D22*1000))</f>
        <v>23.41176471</v>
      </c>
      <c r="S22" s="10">
        <f>0.9*Q22*$D$2*(J22-R22/2)/1000000</f>
        <v>49.77351244</v>
      </c>
      <c r="T22" s="15" t="str">
        <f>IF(AND(S22&gt;=F22,O22&lt;=0.025*(D22*1000)*J22,O22&gt;=N22),"CUMPLE","REVISAR")</f>
        <v>CUMPLE</v>
      </c>
      <c r="U22" s="11">
        <f>G22*1000000/(0.9*(D22*1000)*J22^2)</f>
        <v>0.271763698</v>
      </c>
      <c r="V22" s="12">
        <f>(0.85*$B$2/$D$2)*(1-SQRT(1-2*U22/(0.85*$B$2)))</f>
        <v>0.0006507934722</v>
      </c>
      <c r="W22" s="13">
        <f>V22*(D22*1000)*J22</f>
        <v>66.87879117</v>
      </c>
      <c r="X22" s="13">
        <f>MAX(W22,N22)</f>
        <v>342.55</v>
      </c>
      <c r="Y22" s="14">
        <f>ROUNDUP(X22/$J$2,0)</f>
        <v>2</v>
      </c>
      <c r="Z22" s="13">
        <f>Y22*$J$2</f>
        <v>398</v>
      </c>
      <c r="AA22" s="10">
        <f>0.9*Z22*$D$2*(J22-(Z22*$D$2/(0.85*$B$2*(D22*1000)))/2)/1000000</f>
        <v>49.77351244</v>
      </c>
      <c r="AB22" s="15" t="str">
        <f>IF(AA22&gt;=G22,"CUMPLE","REVISAR")</f>
        <v>CUMPLE</v>
      </c>
      <c r="AC22" s="10">
        <f>0.17*SQRT($B$2)*(D22*1000)*J22/1000</f>
        <v>92.44281538</v>
      </c>
      <c r="AD22" s="10">
        <f>MAX(H22/0.75-AC22,0)</f>
        <v>0</v>
      </c>
      <c r="AE22" s="14">
        <f>IF(AD22&gt;0,MIN($N$2*$D$2*J22/(AD22*1000),MIN(J22/4,6*$H$2,150)),MIN(J22/4,6*$H$2,150))</f>
        <v>85.6375</v>
      </c>
      <c r="AF22" s="10">
        <f>0.66*SQRT($B$2)*(D22*1000)*J22/1000</f>
        <v>358.8956362</v>
      </c>
      <c r="AG22" s="15" t="str">
        <f>IF(AD22&lt;=AF22,"CUMPLE","AUMENTAR SECCION")</f>
        <v>CUMPLE</v>
      </c>
      <c r="AH22" s="10">
        <f>0.75*0.083*SQRT($B$2)*(((D22*1000)*(E22*1000))^2/(2*((D22*1000)+(E22*1000))))/1000000</f>
        <v>3.388073536</v>
      </c>
      <c r="AI22" s="15" t="str">
        <f>IF(I22&gt;AH22,"SI","No")</f>
        <v>No</v>
      </c>
      <c r="AJ22" s="11">
        <f>IF(I22&gt;AH22,I22*1000000/(0.75*2*0.85*((D22*1000-2*$F$2)*(E22*1000-2*$F$2))*$D$2),0)</f>
        <v>0</v>
      </c>
      <c r="AK22" s="10">
        <f>1.25*Q22*$D$2*(J22-(1.25*Q22*$D$2/(0.85*$B$2*(D22*1000)))/2)/1000000</f>
        <v>68.51839235</v>
      </c>
      <c r="AL22" s="10">
        <f>1.25*Z22*$D$2*(J22-(1.25*Z22*$D$2/(0.85*$B$2*(D22*1000)))/2)/1000000</f>
        <v>68.51839235</v>
      </c>
      <c r="AM22" s="10">
        <f>(AK22+AL22)/B22</f>
        <v>54.81471388</v>
      </c>
      <c r="AN22" s="10">
        <f>MAX(H22,AM22)</f>
        <v>54.81471388</v>
      </c>
    </row>
    <row r="23">
      <c r="A23" s="5" t="inlineStr">
        <is>
          <t>F20</t>
        </is>
      </c>
      <c r="B23" s="6" t="n">
        <v>2.6</v>
      </c>
      <c r="C23" s="7" t="inlineStr">
        <is>
          <t>VC</t>
        </is>
      </c>
      <c r="D23" s="8">
        <f>IF(C23="VR",0.35,0.30)</f>
        <v>0.3</v>
      </c>
      <c r="E23" s="6" t="n">
        <v>0.4</v>
      </c>
      <c r="F23" s="9" t="n">
        <v>20.8</v>
      </c>
      <c r="G23" s="9" t="n">
        <v>11.8</v>
      </c>
      <c r="H23" s="9" t="n">
        <v>45.1</v>
      </c>
      <c r="I23" s="6" t="n">
        <v>2.29</v>
      </c>
      <c r="J23" s="10">
        <f>E23*1000-$F$2-$L$2-$H$2/2</f>
        <v>342.55</v>
      </c>
      <c r="K23" s="11">
        <f>F23*1000000/(0.9*(D23*1000)*J23^2)</f>
        <v>0.6577880914</v>
      </c>
      <c r="L23" s="12">
        <f>(0.85*$B$2/$D$2)*(1-SQRT(1-2*K23/(0.85*$B$2)))</f>
        <v>0.001588424708</v>
      </c>
      <c r="M23" s="13">
        <f>L23*(D23*1000)*J23</f>
        <v>163.2344651</v>
      </c>
      <c r="N23" s="13">
        <f>MAX(0.25*SQRT($B$2)/$D$2,1.4/$D$2)*(D23*1000)*J23</f>
        <v>342.55</v>
      </c>
      <c r="O23" s="13">
        <f>MAX(M23,N23)</f>
        <v>342.55</v>
      </c>
      <c r="P23" s="14">
        <f>ROUNDUP(O23/$J$2,0)</f>
        <v>2</v>
      </c>
      <c r="Q23" s="13">
        <f>P23*$J$2</f>
        <v>398</v>
      </c>
      <c r="R23" s="10">
        <f>Q23*$D$2/(0.85*$B$2*(D23*1000))</f>
        <v>23.41176471</v>
      </c>
      <c r="S23" s="10">
        <f>0.9*Q23*$D$2*(J23-R23/2)/1000000</f>
        <v>49.77351244</v>
      </c>
      <c r="T23" s="15" t="str">
        <f>IF(AND(S23&gt;=F23,O23&lt;=0.025*(D23*1000)*J23,O23&gt;=N23),"CUMPLE","REVISAR")</f>
        <v>CUMPLE</v>
      </c>
      <c r="U23" s="11">
        <f>G23*1000000/(0.9*(D23*1000)*J23^2)</f>
        <v>0.3711894412</v>
      </c>
      <c r="V23" s="12">
        <f>(0.85*$B$2/$D$2)*(1-SQRT(1-2*U23/(0.85*$B$2)))</f>
        <v>0.0008907858494</v>
      </c>
      <c r="W23" s="13">
        <f>V23*(D23*1000)*J23</f>
        <v>91.54160782</v>
      </c>
      <c r="X23" s="13">
        <f>MAX(W23,N23)</f>
        <v>342.55</v>
      </c>
      <c r="Y23" s="14">
        <f>ROUNDUP(X23/$J$2,0)</f>
        <v>2</v>
      </c>
      <c r="Z23" s="13">
        <f>Y23*$J$2</f>
        <v>398</v>
      </c>
      <c r="AA23" s="10">
        <f>0.9*Z23*$D$2*(J23-(Z23*$D$2/(0.85*$B$2*(D23*1000)))/2)/1000000</f>
        <v>49.77351244</v>
      </c>
      <c r="AB23" s="15" t="str">
        <f>IF(AA23&gt;=G23,"CUMPLE","REVISAR")</f>
        <v>CUMPLE</v>
      </c>
      <c r="AC23" s="10">
        <f>0.17*SQRT($B$2)*(D23*1000)*J23/1000</f>
        <v>92.44281538</v>
      </c>
      <c r="AD23" s="10">
        <f>MAX(H23/0.75-AC23,0)</f>
        <v>0</v>
      </c>
      <c r="AE23" s="14">
        <f>IF(AD23&gt;0,MIN($N$2*$D$2*J23/(AD23*1000),MIN(J23/4,6*$H$2,150)),MIN(J23/4,6*$H$2,150))</f>
        <v>85.6375</v>
      </c>
      <c r="AF23" s="10">
        <f>0.66*SQRT($B$2)*(D23*1000)*J23/1000</f>
        <v>358.8956362</v>
      </c>
      <c r="AG23" s="15" t="str">
        <f>IF(AD23&lt;=AF23,"CUMPLE","AUMENTAR SECCION")</f>
        <v>CUMPLE</v>
      </c>
      <c r="AH23" s="10">
        <f>0.75*0.083*SQRT($B$2)*(((D23*1000)*(E23*1000))^2/(2*((D23*1000)+(E23*1000))))/1000000</f>
        <v>3.388073536</v>
      </c>
      <c r="AI23" s="15" t="str">
        <f>IF(I23&gt;AH23,"SI","No")</f>
        <v>No</v>
      </c>
      <c r="AJ23" s="11">
        <f>IF(I23&gt;AH23,I23*1000000/(0.75*2*0.85*((D23*1000-2*$F$2)*(E23*1000-2*$F$2))*$D$2),0)</f>
        <v>0</v>
      </c>
      <c r="AK23" s="10">
        <f>1.25*Q23*$D$2*(J23-(1.25*Q23*$D$2/(0.85*$B$2*(D23*1000)))/2)/1000000</f>
        <v>68.51839235</v>
      </c>
      <c r="AL23" s="10">
        <f>1.25*Z23*$D$2*(J23-(1.25*Z23*$D$2/(0.85*$B$2*(D23*1000)))/2)/1000000</f>
        <v>68.51839235</v>
      </c>
      <c r="AM23" s="10">
        <f>(AK23+AL23)/B23</f>
        <v>52.70645566</v>
      </c>
      <c r="AN23" s="10">
        <f>MAX(H23,AM23)</f>
        <v>52.70645566</v>
      </c>
    </row>
    <row r="24">
      <c r="A24" s="5" t="inlineStr">
        <is>
          <t>F21</t>
        </is>
      </c>
      <c r="B24" s="6" t="n">
        <v>3.65</v>
      </c>
      <c r="C24" s="7" t="inlineStr">
        <is>
          <t>VR</t>
        </is>
      </c>
      <c r="D24" s="8">
        <f>IF(C24="VR",0.35,0.30)</f>
        <v>0.35</v>
      </c>
      <c r="E24" s="6" t="n">
        <v>0.4</v>
      </c>
      <c r="F24" s="9" t="n">
        <v>35.8</v>
      </c>
      <c r="G24" s="9" t="n">
        <v>26.8</v>
      </c>
      <c r="H24" s="9" t="n">
        <v>103.3</v>
      </c>
      <c r="I24" s="6" t="n">
        <v>6</v>
      </c>
      <c r="J24" s="10">
        <f>E24*1000-$F$2-$L$2-$H$2/2</f>
        <v>342.55</v>
      </c>
      <c r="K24" s="11">
        <f>F24*1000000/(0.9*(D24*1000)*J24^2)</f>
        <v>0.9680144466</v>
      </c>
      <c r="L24" s="12">
        <f>(0.85*$B$2/$D$2)*(1-SQRT(1-2*K24/(0.85*$B$2)))</f>
        <v>0.002353676843</v>
      </c>
      <c r="M24" s="13">
        <f>L24*(D24*1000)*J24</f>
        <v>282.1882009</v>
      </c>
      <c r="N24" s="13">
        <f>MAX(0.25*SQRT($B$2)/$D$2,1.4/$D$2)*(D24*1000)*J24</f>
        <v>399.6416667</v>
      </c>
      <c r="O24" s="13">
        <f>MAX(M24,N24)</f>
        <v>399.6416667</v>
      </c>
      <c r="P24" s="14">
        <f>ROUNDUP(O24/$J$2,0)</f>
        <v>3</v>
      </c>
      <c r="Q24" s="13">
        <f>P24*$J$2</f>
        <v>597</v>
      </c>
      <c r="R24" s="10">
        <f>Q24*$D$2/(0.85*$B$2*(D24*1000))</f>
        <v>30.10084034</v>
      </c>
      <c r="S24" s="10">
        <f>0.9*Q24*$D$2*(J24-R24/2)/1000000</f>
        <v>73.90552018</v>
      </c>
      <c r="T24" s="15" t="str">
        <f>IF(AND(S24&gt;=F24,O24&lt;=0.025*(D24*1000)*J24,O24&gt;=N24),"CUMPLE","REVISAR")</f>
        <v>CUMPLE</v>
      </c>
      <c r="U24" s="11">
        <f>G24*1000000/(0.9*(D24*1000)*J24^2)</f>
        <v>0.7247933768</v>
      </c>
      <c r="V24" s="12">
        <f>(0.85*$B$2/$D$2)*(1-SQRT(1-2*U24/(0.85*$B$2)))</f>
        <v>0.001752807342</v>
      </c>
      <c r="W24" s="13">
        <f>V24*(D24*1000)*J24</f>
        <v>210.1484542</v>
      </c>
      <c r="X24" s="13">
        <f>MAX(W24,N24)</f>
        <v>399.6416667</v>
      </c>
      <c r="Y24" s="14">
        <f>ROUNDUP(X24/$J$2,0)</f>
        <v>3</v>
      </c>
      <c r="Z24" s="13">
        <f>Y24*$J$2</f>
        <v>597</v>
      </c>
      <c r="AA24" s="10">
        <f>0.9*Z24*$D$2*(J24-(Z24*$D$2/(0.85*$B$2*(D24*1000)))/2)/1000000</f>
        <v>73.90552018</v>
      </c>
      <c r="AB24" s="15" t="str">
        <f>IF(AA24&gt;=G24,"CUMPLE","REVISAR")</f>
        <v>CUMPLE</v>
      </c>
      <c r="AC24" s="10">
        <f>0.17*SQRT($B$2)*(D24*1000)*J24/1000</f>
        <v>107.8499513</v>
      </c>
      <c r="AD24" s="10">
        <f>MAX(H24/0.75-AC24,0)</f>
        <v>29.84338205</v>
      </c>
      <c r="AE24" s="14">
        <f>IF(AD24&gt;0,MIN($N$2*$D$2*J24/(AD24*1000),MIN(J24/4,6*$H$2,150)),MIN(J24/4,6*$H$2,150))</f>
        <v>85.6375</v>
      </c>
      <c r="AF24" s="10">
        <f>0.66*SQRT($B$2)*(D24*1000)*J24/1000</f>
        <v>418.7115756</v>
      </c>
      <c r="AG24" s="15" t="str">
        <f>IF(AD24&lt;=AF24,"CUMPLE","AUMENTAR SECCION")</f>
        <v>CUMPLE</v>
      </c>
      <c r="AH24" s="10">
        <f>0.75*0.083*SQRT($B$2)*(((D24*1000)*(E24*1000))^2/(2*((D24*1000)+(E24*1000))))/1000000</f>
        <v>4.304108233</v>
      </c>
      <c r="AI24" s="15" t="str">
        <f>IF(I24&gt;AH24,"SI","No")</f>
        <v>SI</v>
      </c>
      <c r="AJ24" s="11">
        <f>IF(I24&gt;AH24,I24*1000000/(0.75*2*0.85*((D24*1000-2*$F$2)*(E24*1000-2*$F$2))*$D$2),0)</f>
        <v>0.1296166615</v>
      </c>
      <c r="AK24" s="10">
        <f>1.25*Q24*$D$2*(J24-(1.25*Q24*$D$2/(0.85*$B$2*(D24*1000)))/2)/1000000</f>
        <v>101.4672613</v>
      </c>
      <c r="AL24" s="10">
        <f>1.25*Z24*$D$2*(J24-(1.25*Z24*$D$2/(0.85*$B$2*(D24*1000)))/2)/1000000</f>
        <v>101.4672613</v>
      </c>
      <c r="AM24" s="10">
        <f>(AK24+AL24)/B24</f>
        <v>55.55283949</v>
      </c>
      <c r="AN24" s="10">
        <f>MAX(H24,AM24)</f>
        <v>103.27</v>
      </c>
    </row>
    <row r="25">
      <c r="A25" s="5" t="inlineStr">
        <is>
          <t>F22</t>
        </is>
      </c>
      <c r="B25" s="6" t="n">
        <v>2.6</v>
      </c>
      <c r="C25" s="7" t="inlineStr">
        <is>
          <t>VC</t>
        </is>
      </c>
      <c r="D25" s="8">
        <f>IF(C25="VR",0.35,0.30)</f>
        <v>0.3</v>
      </c>
      <c r="E25" s="6" t="n">
        <v>0.4</v>
      </c>
      <c r="F25" s="9" t="n">
        <v>22.9</v>
      </c>
      <c r="G25" s="9" t="n">
        <v>8.9</v>
      </c>
      <c r="H25" s="9" t="n">
        <v>44.1</v>
      </c>
      <c r="I25" s="6" t="n">
        <v>0.45</v>
      </c>
      <c r="J25" s="10">
        <f>E25*1000-$F$2-$L$2-$H$2/2</f>
        <v>342.55</v>
      </c>
      <c r="K25" s="11">
        <f>F25*1000000/(0.9*(D25*1000)*J25^2)</f>
        <v>0.7212311847</v>
      </c>
      <c r="L25" s="12">
        <f>(0.85*$B$2/$D$2)*(1-SQRT(1-2*K25/(0.85*$B$2)))</f>
        <v>0.001744055909</v>
      </c>
      <c r="M25" s="13">
        <f>L25*(D25*1000)*J25</f>
        <v>179.2279055</v>
      </c>
      <c r="N25" s="13">
        <f>MAX(0.25*SQRT($B$2)/$D$2,1.4/$D$2)*(D25*1000)*J25</f>
        <v>342.55</v>
      </c>
      <c r="O25" s="13">
        <f>MAX(M25,N25)</f>
        <v>342.55</v>
      </c>
      <c r="P25" s="14">
        <f>ROUNDUP(O25/$J$2,0)</f>
        <v>2</v>
      </c>
      <c r="Q25" s="13">
        <f>P25*$J$2</f>
        <v>398</v>
      </c>
      <c r="R25" s="10">
        <f>Q25*$D$2/(0.85*$B$2*(D25*1000))</f>
        <v>23.41176471</v>
      </c>
      <c r="S25" s="10">
        <f>0.9*Q25*$D$2*(J25-R25/2)/1000000</f>
        <v>49.77351244</v>
      </c>
      <c r="T25" s="15" t="str">
        <f>IF(AND(S25&gt;=F25,O25&lt;=0.025*(D25*1000)*J25,O25&gt;=N25),"CUMPLE","REVISAR")</f>
        <v>CUMPLE</v>
      </c>
      <c r="U25" s="11">
        <f>G25*1000000/(0.9*(D25*1000)*J25^2)</f>
        <v>0.281864091</v>
      </c>
      <c r="V25" s="12">
        <f>(0.85*$B$2/$D$2)*(1-SQRT(1-2*U25/(0.85*$B$2)))</f>
        <v>0.0006751267086</v>
      </c>
      <c r="W25" s="13">
        <f>V25*(D25*1000)*J25</f>
        <v>69.37939621</v>
      </c>
      <c r="X25" s="13">
        <f>MAX(W25,N25)</f>
        <v>342.55</v>
      </c>
      <c r="Y25" s="14">
        <f>ROUNDUP(X25/$J$2,0)</f>
        <v>2</v>
      </c>
      <c r="Z25" s="13">
        <f>Y25*$J$2</f>
        <v>398</v>
      </c>
      <c r="AA25" s="10">
        <f>0.9*Z25*$D$2*(J25-(Z25*$D$2/(0.85*$B$2*(D25*1000)))/2)/1000000</f>
        <v>49.77351244</v>
      </c>
      <c r="AB25" s="15" t="str">
        <f>IF(AA25&gt;=G25,"CUMPLE","REVISAR")</f>
        <v>CUMPLE</v>
      </c>
      <c r="AC25" s="10">
        <f>0.17*SQRT($B$2)*(D25*1000)*J25/1000</f>
        <v>92.44281538</v>
      </c>
      <c r="AD25" s="10">
        <f>MAX(H25/0.75-AC25,0)</f>
        <v>0</v>
      </c>
      <c r="AE25" s="14">
        <f>IF(AD25&gt;0,MIN($N$2*$D$2*J25/(AD25*1000),MIN(J25/4,6*$H$2,150)),MIN(J25/4,6*$H$2,150))</f>
        <v>85.6375</v>
      </c>
      <c r="AF25" s="10">
        <f>0.66*SQRT($B$2)*(D25*1000)*J25/1000</f>
        <v>358.8956362</v>
      </c>
      <c r="AG25" s="15" t="str">
        <f>IF(AD25&lt;=AF25,"CUMPLE","AUMENTAR SECCION")</f>
        <v>CUMPLE</v>
      </c>
      <c r="AH25" s="10">
        <f>0.75*0.083*SQRT($B$2)*(((D25*1000)*(E25*1000))^2/(2*((D25*1000)+(E25*1000))))/1000000</f>
        <v>3.388073536</v>
      </c>
      <c r="AI25" s="15" t="str">
        <f>IF(I25&gt;AH25,"SI","No")</f>
        <v>No</v>
      </c>
      <c r="AJ25" s="11">
        <f>IF(I25&gt;AH25,I25*1000000/(0.75*2*0.85*((D25*1000-2*$F$2)*(E25*1000-2*$F$2))*$D$2),0)</f>
        <v>0</v>
      </c>
      <c r="AK25" s="10">
        <f>1.25*Q25*$D$2*(J25-(1.25*Q25*$D$2/(0.85*$B$2*(D25*1000)))/2)/1000000</f>
        <v>68.51839235</v>
      </c>
      <c r="AL25" s="10">
        <f>1.25*Z25*$D$2*(J25-(1.25*Z25*$D$2/(0.85*$B$2*(D25*1000)))/2)/1000000</f>
        <v>68.51839235</v>
      </c>
      <c r="AM25" s="10">
        <f>(AK25+AL25)/B25</f>
        <v>52.70645566</v>
      </c>
      <c r="AN25" s="10">
        <f>MAX(H25,AM25)</f>
        <v>52.70645566</v>
      </c>
    </row>
    <row r="26">
      <c r="A26" s="5" t="inlineStr">
        <is>
          <t>F23</t>
        </is>
      </c>
      <c r="B26" s="6" t="n">
        <v>2.95</v>
      </c>
      <c r="C26" s="7" t="inlineStr">
        <is>
          <t>VR</t>
        </is>
      </c>
      <c r="D26" s="8">
        <f>IF(C26="VR",0.35,0.30)</f>
        <v>0.35</v>
      </c>
      <c r="E26" s="6" t="n">
        <v>0.4</v>
      </c>
      <c r="F26" s="9" t="n">
        <v>55.8</v>
      </c>
      <c r="G26" s="9" t="n">
        <v>18.6</v>
      </c>
      <c r="H26" s="9" t="n">
        <v>95.09999999999999</v>
      </c>
      <c r="I26" s="6" t="n">
        <v>1.68</v>
      </c>
      <c r="J26" s="10">
        <f>E26*1000-$F$2-$L$2-$H$2/2</f>
        <v>342.55</v>
      </c>
      <c r="K26" s="11">
        <f>F26*1000000/(0.9*(D26*1000)*J26^2)</f>
        <v>1.50883638</v>
      </c>
      <c r="L26" s="12">
        <f>(0.85*$B$2/$D$2)*(1-SQRT(1-2*K26/(0.85*$B$2)))</f>
        <v>0.003714189989</v>
      </c>
      <c r="M26" s="13">
        <f>L26*(D26*1000)*J26</f>
        <v>445.3035233</v>
      </c>
      <c r="N26" s="13">
        <f>MAX(0.25*SQRT($B$2)/$D$2,1.4/$D$2)*(D26*1000)*J26</f>
        <v>399.6416667</v>
      </c>
      <c r="O26" s="13">
        <f>MAX(M26,N26)</f>
        <v>445.3035233</v>
      </c>
      <c r="P26" s="14">
        <f>ROUNDUP(O26/$J$2,0)</f>
        <v>3</v>
      </c>
      <c r="Q26" s="13">
        <f>P26*$J$2</f>
        <v>597</v>
      </c>
      <c r="R26" s="10">
        <f>Q26*$D$2/(0.85*$B$2*(D26*1000))</f>
        <v>30.10084034</v>
      </c>
      <c r="S26" s="10">
        <f>0.9*Q26*$D$2*(J26-R26/2)/1000000</f>
        <v>73.90552018</v>
      </c>
      <c r="T26" s="15" t="str">
        <f>IF(AND(S26&gt;=F26,O26&lt;=0.025*(D26*1000)*J26,O26&gt;=N26),"CUMPLE","REVISAR")</f>
        <v>CUMPLE</v>
      </c>
      <c r="U26" s="11">
        <f>G26*1000000/(0.9*(D26*1000)*J26^2)</f>
        <v>0.5029454601</v>
      </c>
      <c r="V26" s="12">
        <f>(0.85*$B$2/$D$2)*(1-SQRT(1-2*U26/(0.85*$B$2)))</f>
        <v>0.001210416618</v>
      </c>
      <c r="W26" s="13">
        <f>V26*(D26*1000)*J26</f>
        <v>145.1198743</v>
      </c>
      <c r="X26" s="13">
        <f>MAX(W26,N26)</f>
        <v>399.6416667</v>
      </c>
      <c r="Y26" s="14">
        <f>ROUNDUP(X26/$J$2,0)</f>
        <v>3</v>
      </c>
      <c r="Z26" s="13">
        <f>Y26*$J$2</f>
        <v>597</v>
      </c>
      <c r="AA26" s="10">
        <f>0.9*Z26*$D$2*(J26-(Z26*$D$2/(0.85*$B$2*(D26*1000)))/2)/1000000</f>
        <v>73.90552018</v>
      </c>
      <c r="AB26" s="15" t="str">
        <f>IF(AA26&gt;=G26,"CUMPLE","REVISAR")</f>
        <v>CUMPLE</v>
      </c>
      <c r="AC26" s="10">
        <f>0.17*SQRT($B$2)*(D26*1000)*J26/1000</f>
        <v>107.8499513</v>
      </c>
      <c r="AD26" s="10">
        <f>MAX(H26/0.75-AC26,0)</f>
        <v>18.89671539</v>
      </c>
      <c r="AE26" s="14">
        <f>IF(AD26&gt;0,MIN($N$2*$D$2*J26/(AD26*1000),MIN(J26/4,6*$H$2,150)),MIN(J26/4,6*$H$2,150))</f>
        <v>85.6375</v>
      </c>
      <c r="AF26" s="10">
        <f>0.66*SQRT($B$2)*(D26*1000)*J26/1000</f>
        <v>418.7115756</v>
      </c>
      <c r="AG26" s="15" t="str">
        <f>IF(AD26&lt;=AF26,"CUMPLE","AUMENTAR SECCION")</f>
        <v>CUMPLE</v>
      </c>
      <c r="AH26" s="10">
        <f>0.75*0.083*SQRT($B$2)*(((D26*1000)*(E26*1000))^2/(2*((D26*1000)+(E26*1000))))/1000000</f>
        <v>4.304108233</v>
      </c>
      <c r="AI26" s="15" t="str">
        <f>IF(I26&gt;AH26,"SI","No")</f>
        <v>No</v>
      </c>
      <c r="AJ26" s="11">
        <f>IF(I26&gt;AH26,I26*1000000/(0.75*2*0.85*((D26*1000-2*$F$2)*(E26*1000-2*$F$2))*$D$2),0)</f>
        <v>0</v>
      </c>
      <c r="AK26" s="10">
        <f>1.25*Q26*$D$2*(J26-(1.25*Q26*$D$2/(0.85*$B$2*(D26*1000)))/2)/1000000</f>
        <v>101.4672613</v>
      </c>
      <c r="AL26" s="10">
        <f>1.25*Z26*$D$2*(J26-(1.25*Z26*$D$2/(0.85*$B$2*(D26*1000)))/2)/1000000</f>
        <v>101.4672613</v>
      </c>
      <c r="AM26" s="10">
        <f>(AK26+AL26)/B26</f>
        <v>68.79136361</v>
      </c>
      <c r="AN26" s="10">
        <f>MAX(H26,AM26)</f>
        <v>95.06</v>
      </c>
    </row>
    <row r="27">
      <c r="A27" s="5" t="inlineStr">
        <is>
          <t>F24</t>
        </is>
      </c>
      <c r="B27" s="6" t="n">
        <v>2.6</v>
      </c>
      <c r="C27" s="7" t="inlineStr">
        <is>
          <t>VC</t>
        </is>
      </c>
      <c r="D27" s="8">
        <f>IF(C27="VR",0.35,0.30)</f>
        <v>0.3</v>
      </c>
      <c r="E27" s="6" t="n">
        <v>0.4</v>
      </c>
      <c r="F27" s="9" t="n">
        <v>80.3</v>
      </c>
      <c r="G27" s="9" t="n">
        <v>70.09999999999999</v>
      </c>
      <c r="H27" s="9" t="n">
        <v>130.4</v>
      </c>
      <c r="I27" s="6" t="n">
        <v>1.68</v>
      </c>
      <c r="J27" s="10">
        <f>E27*1000-$F$2-$L$2-$H$2/2</f>
        <v>342.55</v>
      </c>
      <c r="K27" s="11">
        <f>F27*1000000/(0.9*(D27*1000)*J27^2)</f>
        <v>2.533620446</v>
      </c>
      <c r="L27" s="12">
        <f>(0.85*$B$2/$D$2)*(1-SQRT(1-2*K27/(0.85*$B$2)))</f>
        <v>0.006393057759</v>
      </c>
      <c r="M27" s="13">
        <f>L27*(D27*1000)*J27</f>
        <v>656.9825806</v>
      </c>
      <c r="N27" s="13">
        <f>MAX(0.25*SQRT($B$2)/$D$2,1.4/$D$2)*(D27*1000)*J27</f>
        <v>342.55</v>
      </c>
      <c r="O27" s="13">
        <f>MAX(M27,N27)</f>
        <v>656.9825806</v>
      </c>
      <c r="P27" s="14">
        <f>ROUNDUP(O27/$J$2,0)</f>
        <v>4</v>
      </c>
      <c r="Q27" s="13">
        <f>P27*$J$2</f>
        <v>796</v>
      </c>
      <c r="R27" s="10">
        <f>Q27*$D$2/(0.85*$B$2*(D27*1000))</f>
        <v>46.82352941</v>
      </c>
      <c r="S27" s="10">
        <f>0.9*Q27*$D$2*(J27-R27/2)/1000000</f>
        <v>96.02486534</v>
      </c>
      <c r="T27" s="15" t="str">
        <f>IF(AND(S27&gt;=F27,O27&lt;=0.025*(D27*1000)*J27,O27&gt;=N27),"CUMPLE","REVISAR")</f>
        <v>CUMPLE</v>
      </c>
      <c r="U27" s="11">
        <f>G27*1000000/(0.9*(D27*1000)*J27^2)</f>
        <v>2.212617332</v>
      </c>
      <c r="V27" s="12">
        <f>(0.85*$B$2/$D$2)*(1-SQRT(1-2*U27/(0.85*$B$2)))</f>
        <v>0.005538830408</v>
      </c>
      <c r="W27" s="13">
        <f>V27*(D27*1000)*J27</f>
        <v>569.1979069</v>
      </c>
      <c r="X27" s="13">
        <f>MAX(W27,N27)</f>
        <v>569.1979069</v>
      </c>
      <c r="Y27" s="14">
        <f>ROUNDUP(X27/$J$2,0)</f>
        <v>3</v>
      </c>
      <c r="Z27" s="13">
        <f>Y27*$J$2</f>
        <v>597</v>
      </c>
      <c r="AA27" s="10">
        <f>0.9*Z27*$D$2*(J27-(Z27*$D$2/(0.85*$B$2*(D27*1000)))/2)/1000000</f>
        <v>73.33945883</v>
      </c>
      <c r="AB27" s="15" t="str">
        <f>IF(AA27&gt;=G27,"CUMPLE","REVISAR")</f>
        <v>CUMPLE</v>
      </c>
      <c r="AC27" s="10">
        <f>0.17*SQRT($B$2)*(D27*1000)*J27/1000</f>
        <v>92.44281538</v>
      </c>
      <c r="AD27" s="10">
        <f>MAX(H27/0.75-AC27,0)</f>
        <v>81.39718462</v>
      </c>
      <c r="AE27" s="14">
        <f>IF(AD27&gt;0,MIN($N$2*$D$2*J27/(AD27*1000),MIN(J27/4,6*$H$2,150)),MIN(J27/4,6*$H$2,150))</f>
        <v>85.6375</v>
      </c>
      <c r="AF27" s="10">
        <f>0.66*SQRT($B$2)*(D27*1000)*J27/1000</f>
        <v>358.8956362</v>
      </c>
      <c r="AG27" s="15" t="str">
        <f>IF(AD27&lt;=AF27,"CUMPLE","AUMENTAR SECCION")</f>
        <v>CUMPLE</v>
      </c>
      <c r="AH27" s="10">
        <f>0.75*0.083*SQRT($B$2)*(((D27*1000)*(E27*1000))^2/(2*((D27*1000)+(E27*1000))))/1000000</f>
        <v>3.388073536</v>
      </c>
      <c r="AI27" s="15" t="str">
        <f>IF(I27&gt;AH27,"SI","No")</f>
        <v>No</v>
      </c>
      <c r="AJ27" s="11">
        <f>IF(I27&gt;AH27,I27*1000000/(0.75*2*0.85*((D27*1000-2*$F$2)*(E27*1000-2*$F$2))*$D$2),0)</f>
        <v>0</v>
      </c>
      <c r="AK27" s="10">
        <f>1.25*Q27*$D$2*(J27-(1.25*Q27*$D$2/(0.85*$B$2*(D27*1000)))/2)/1000000</f>
        <v>130.9219244</v>
      </c>
      <c r="AL27" s="10">
        <f>1.25*Z27*$D$2*(J27-(1.25*Z27*$D$2/(0.85*$B$2*(D27*1000)))/2)/1000000</f>
        <v>100.4845159</v>
      </c>
      <c r="AM27" s="10">
        <f>(AK27+AL27)/B27</f>
        <v>89.00247705</v>
      </c>
      <c r="AN27" s="10">
        <f>MAX(H27,AM27)</f>
        <v>130.38</v>
      </c>
    </row>
    <row r="28">
      <c r="A28" s="5" t="inlineStr">
        <is>
          <t>F25</t>
        </is>
      </c>
      <c r="B28" s="6" t="n">
        <v>2.5</v>
      </c>
      <c r="C28" s="7" t="inlineStr">
        <is>
          <t>VC</t>
        </is>
      </c>
      <c r="D28" s="8">
        <f>IF(C28="VR",0.35,0.30)</f>
        <v>0.3</v>
      </c>
      <c r="E28" s="6" t="n">
        <v>0.4</v>
      </c>
      <c r="F28" s="9" t="n">
        <v>16.9</v>
      </c>
      <c r="G28" s="9" t="n">
        <v>7.3</v>
      </c>
      <c r="H28" s="9" t="n">
        <v>39.9</v>
      </c>
      <c r="I28" s="6" t="n">
        <v>0.05</v>
      </c>
      <c r="J28" s="10">
        <f>E28*1000-$F$2-$L$2-$H$2/2</f>
        <v>342.55</v>
      </c>
      <c r="K28" s="11">
        <f>F28*1000000/(0.9*(D28*1000)*J28^2)</f>
        <v>0.532164454</v>
      </c>
      <c r="L28" s="12">
        <f>(0.85*$B$2/$D$2)*(1-SQRT(1-2*K28/(0.85*$B$2)))</f>
        <v>0.001281549721</v>
      </c>
      <c r="M28" s="13">
        <f>L28*(D28*1000)*J28</f>
        <v>131.6984571</v>
      </c>
      <c r="N28" s="13">
        <f>MAX(0.25*SQRT($B$2)/$D$2,1.4/$D$2)*(D28*1000)*J28</f>
        <v>342.55</v>
      </c>
      <c r="O28" s="13">
        <f>MAX(M28,N28)</f>
        <v>342.55</v>
      </c>
      <c r="P28" s="14">
        <f>ROUNDUP(O28/$J$2,0)</f>
        <v>2</v>
      </c>
      <c r="Q28" s="13">
        <f>P28*$J$2</f>
        <v>398</v>
      </c>
      <c r="R28" s="10">
        <f>Q28*$D$2/(0.85*$B$2*(D28*1000))</f>
        <v>23.41176471</v>
      </c>
      <c r="S28" s="10">
        <f>0.9*Q28*$D$2*(J28-R28/2)/1000000</f>
        <v>49.77351244</v>
      </c>
      <c r="T28" s="15" t="str">
        <f>IF(AND(S28&gt;=F28,O28&lt;=0.025*(D28*1000)*J28,O28&gt;=N28),"CUMPLE","REVISAR")</f>
        <v>CUMPLE</v>
      </c>
      <c r="U28" s="11">
        <f>G28*1000000/(0.9*(D28*1000)*J28^2)</f>
        <v>0.2316777635</v>
      </c>
      <c r="V28" s="12">
        <f>(0.85*$B$2/$D$2)*(1-SQRT(1-2*U28/(0.85*$B$2)))</f>
        <v>0.0005543249831</v>
      </c>
      <c r="W28" s="13">
        <f>V28*(D28*1000)*J28</f>
        <v>56.96520688</v>
      </c>
      <c r="X28" s="13">
        <f>MAX(W28,N28)</f>
        <v>342.55</v>
      </c>
      <c r="Y28" s="14">
        <f>ROUNDUP(X28/$J$2,0)</f>
        <v>2</v>
      </c>
      <c r="Z28" s="13">
        <f>Y28*$J$2</f>
        <v>398</v>
      </c>
      <c r="AA28" s="10">
        <f>0.9*Z28*$D$2*(J28-(Z28*$D$2/(0.85*$B$2*(D28*1000)))/2)/1000000</f>
        <v>49.77351244</v>
      </c>
      <c r="AB28" s="15" t="str">
        <f>IF(AA28&gt;=G28,"CUMPLE","REVISAR")</f>
        <v>CUMPLE</v>
      </c>
      <c r="AC28" s="10">
        <f>0.17*SQRT($B$2)*(D28*1000)*J28/1000</f>
        <v>92.44281538</v>
      </c>
      <c r="AD28" s="10">
        <f>MAX(H28/0.75-AC28,0)</f>
        <v>0</v>
      </c>
      <c r="AE28" s="14">
        <f>IF(AD28&gt;0,MIN($N$2*$D$2*J28/(AD28*1000),MIN(J28/4,6*$H$2,150)),MIN(J28/4,6*$H$2,150))</f>
        <v>85.6375</v>
      </c>
      <c r="AF28" s="10">
        <f>0.66*SQRT($B$2)*(D28*1000)*J28/1000</f>
        <v>358.8956362</v>
      </c>
      <c r="AG28" s="15" t="str">
        <f>IF(AD28&lt;=AF28,"CUMPLE","AUMENTAR SECCION")</f>
        <v>CUMPLE</v>
      </c>
      <c r="AH28" s="10">
        <f>0.75*0.083*SQRT($B$2)*(((D28*1000)*(E28*1000))^2/(2*((D28*1000)+(E28*1000))))/1000000</f>
        <v>3.388073536</v>
      </c>
      <c r="AI28" s="15" t="str">
        <f>IF(I28&gt;AH28,"SI","No")</f>
        <v>No</v>
      </c>
      <c r="AJ28" s="11">
        <f>IF(I28&gt;AH28,I28*1000000/(0.75*2*0.85*((D28*1000-2*$F$2)*(E28*1000-2*$F$2))*$D$2),0)</f>
        <v>0</v>
      </c>
      <c r="AK28" s="10">
        <f>1.25*Q28*$D$2*(J28-(1.25*Q28*$D$2/(0.85*$B$2*(D28*1000)))/2)/1000000</f>
        <v>68.51839235</v>
      </c>
      <c r="AL28" s="10">
        <f>1.25*Z28*$D$2*(J28-(1.25*Z28*$D$2/(0.85*$B$2*(D28*1000)))/2)/1000000</f>
        <v>68.51839235</v>
      </c>
      <c r="AM28" s="10">
        <f>(AK28+AL28)/B28</f>
        <v>54.81471388</v>
      </c>
      <c r="AN28" s="10">
        <f>MAX(H28,AM28)</f>
        <v>54.81471388</v>
      </c>
    </row>
    <row r="29">
      <c r="A29" s="5" t="inlineStr">
        <is>
          <t>F26</t>
        </is>
      </c>
      <c r="B29" s="6" t="n">
        <v>4</v>
      </c>
      <c r="C29" s="7" t="inlineStr">
        <is>
          <t>VC</t>
        </is>
      </c>
      <c r="D29" s="8">
        <f>IF(C29="VR",0.35,0.30)</f>
        <v>0.3</v>
      </c>
      <c r="E29" s="6" t="n">
        <v>0.4</v>
      </c>
      <c r="F29" s="9" t="n">
        <v>51.6</v>
      </c>
      <c r="G29" s="9" t="n">
        <v>21.1</v>
      </c>
      <c r="H29" s="9" t="n">
        <v>68.09999999999999</v>
      </c>
      <c r="I29" s="6" t="n">
        <v>0.54</v>
      </c>
      <c r="J29" s="10">
        <f>E29*1000-$F$2-$L$2-$H$2/2</f>
        <v>342.55</v>
      </c>
      <c r="K29" s="11">
        <f>F29*1000000/(0.9*(D29*1000)*J29^2)</f>
        <v>1.628372727</v>
      </c>
      <c r="L29" s="12">
        <f>(0.85*$B$2/$D$2)*(1-SQRT(1-2*K29/(0.85*$B$2)))</f>
        <v>0.004019644466</v>
      </c>
      <c r="M29" s="13">
        <f>L29*(D29*1000)*J29</f>
        <v>413.0787635</v>
      </c>
      <c r="N29" s="13">
        <f>MAX(0.25*SQRT($B$2)/$D$2,1.4/$D$2)*(D29*1000)*J29</f>
        <v>342.55</v>
      </c>
      <c r="O29" s="13">
        <f>MAX(M29,N29)</f>
        <v>413.0787635</v>
      </c>
      <c r="P29" s="14">
        <f>ROUNDUP(O29/$J$2,0)</f>
        <v>3</v>
      </c>
      <c r="Q29" s="13">
        <f>P29*$J$2</f>
        <v>597</v>
      </c>
      <c r="R29" s="10">
        <f>Q29*$D$2/(0.85*$B$2*(D29*1000))</f>
        <v>35.11764706</v>
      </c>
      <c r="S29" s="10">
        <f>0.9*Q29*$D$2*(J29-R29/2)/1000000</f>
        <v>73.33945883</v>
      </c>
      <c r="T29" s="15" t="str">
        <f>IF(AND(S29&gt;=F29,O29&lt;=0.025*(D29*1000)*J29,O29&gt;=N29),"CUMPLE","REVISAR")</f>
        <v>CUMPLE</v>
      </c>
      <c r="U29" s="11">
        <f>G29*1000000/(0.9*(D29*1000)*J29^2)</f>
        <v>0.6675728471</v>
      </c>
      <c r="V29" s="12">
        <f>(0.85*$B$2/$D$2)*(1-SQRT(1-2*U29/(0.85*$B$2)))</f>
        <v>0.001612398836</v>
      </c>
      <c r="W29" s="13">
        <f>V29*(D29*1000)*J29</f>
        <v>165.6981664</v>
      </c>
      <c r="X29" s="13">
        <f>MAX(W29,N29)</f>
        <v>342.55</v>
      </c>
      <c r="Y29" s="14">
        <f>ROUNDUP(X29/$J$2,0)</f>
        <v>2</v>
      </c>
      <c r="Z29" s="13">
        <f>Y29*$J$2</f>
        <v>398</v>
      </c>
      <c r="AA29" s="10">
        <f>0.9*Z29*$D$2*(J29-(Z29*$D$2/(0.85*$B$2*(D29*1000)))/2)/1000000</f>
        <v>49.77351244</v>
      </c>
      <c r="AB29" s="15" t="str">
        <f>IF(AA29&gt;=G29,"CUMPLE","REVISAR")</f>
        <v>CUMPLE</v>
      </c>
      <c r="AC29" s="10">
        <f>0.17*SQRT($B$2)*(D29*1000)*J29/1000</f>
        <v>92.44281538</v>
      </c>
      <c r="AD29" s="10">
        <f>MAX(H29/0.75-AC29,0)</f>
        <v>0</v>
      </c>
      <c r="AE29" s="14">
        <f>IF(AD29&gt;0,MIN($N$2*$D$2*J29/(AD29*1000),MIN(J29/4,6*$H$2,150)),MIN(J29/4,6*$H$2,150))</f>
        <v>85.6375</v>
      </c>
      <c r="AF29" s="10">
        <f>0.66*SQRT($B$2)*(D29*1000)*J29/1000</f>
        <v>358.8956362</v>
      </c>
      <c r="AG29" s="15" t="str">
        <f>IF(AD29&lt;=AF29,"CUMPLE","AUMENTAR SECCION")</f>
        <v>CUMPLE</v>
      </c>
      <c r="AH29" s="10">
        <f>0.75*0.083*SQRT($B$2)*(((D29*1000)*(E29*1000))^2/(2*((D29*1000)+(E29*1000))))/1000000</f>
        <v>3.388073536</v>
      </c>
      <c r="AI29" s="15" t="str">
        <f>IF(I29&gt;AH29,"SI","No")</f>
        <v>No</v>
      </c>
      <c r="AJ29" s="11">
        <f>IF(I29&gt;AH29,I29*1000000/(0.75*2*0.85*((D29*1000-2*$F$2)*(E29*1000-2*$F$2))*$D$2),0)</f>
        <v>0</v>
      </c>
      <c r="AK29" s="10">
        <f>1.25*Q29*$D$2*(J29-(1.25*Q29*$D$2/(0.85*$B$2*(D29*1000)))/2)/1000000</f>
        <v>100.4845159</v>
      </c>
      <c r="AL29" s="10">
        <f>1.25*Z29*$D$2*(J29-(1.25*Z29*$D$2/(0.85*$B$2*(D29*1000)))/2)/1000000</f>
        <v>68.51839235</v>
      </c>
      <c r="AM29" s="10">
        <f>(AK29+AL29)/B29</f>
        <v>42.25072707</v>
      </c>
      <c r="AN29" s="10">
        <f>MAX(H29,AM29)</f>
        <v>68.09</v>
      </c>
    </row>
    <row r="30">
      <c r="A30" s="5" t="inlineStr">
        <is>
          <t>F27</t>
        </is>
      </c>
      <c r="B30" s="6" t="n">
        <v>2.8</v>
      </c>
      <c r="C30" s="7" t="inlineStr">
        <is>
          <t>VR</t>
        </is>
      </c>
      <c r="D30" s="8">
        <f>IF(C30="VR",0.35,0.30)</f>
        <v>0.35</v>
      </c>
      <c r="E30" s="6" t="n">
        <v>0.4</v>
      </c>
      <c r="F30" s="9" t="n">
        <v>78.7</v>
      </c>
      <c r="G30" s="9" t="n">
        <v>37.2</v>
      </c>
      <c r="H30" s="9" t="n">
        <v>85.8</v>
      </c>
      <c r="I30" s="6" t="n">
        <v>0</v>
      </c>
      <c r="J30" s="10">
        <f>E30*1000-$F$2-$L$2-$H$2/2</f>
        <v>342.55</v>
      </c>
      <c r="K30" s="11">
        <f>F30*1000000/(0.9*(D30*1000)*J30^2)</f>
        <v>2.128928362</v>
      </c>
      <c r="L30" s="12">
        <f>(0.85*$B$2/$D$2)*(1-SQRT(1-2*K30/(0.85*$B$2)))</f>
        <v>0.005318459508</v>
      </c>
      <c r="M30" s="13">
        <f>L30*(D30*1000)*J30</f>
        <v>637.6434065</v>
      </c>
      <c r="N30" s="13">
        <f>MAX(0.25*SQRT($B$2)/$D$2,1.4/$D$2)*(D30*1000)*J30</f>
        <v>399.6416667</v>
      </c>
      <c r="O30" s="13">
        <f>MAX(M30,N30)</f>
        <v>637.6434065</v>
      </c>
      <c r="P30" s="14">
        <f>ROUNDUP(O30/$J$2,0)</f>
        <v>4</v>
      </c>
      <c r="Q30" s="13">
        <f>P30*$J$2</f>
        <v>796</v>
      </c>
      <c r="R30" s="10">
        <f>Q30*$D$2/(0.85*$B$2*(D30*1000))</f>
        <v>40.13445378</v>
      </c>
      <c r="S30" s="10">
        <f>0.9*Q30*$D$2*(J30-R30/2)/1000000</f>
        <v>97.03119664</v>
      </c>
      <c r="T30" s="15" t="str">
        <f>IF(AND(S30&gt;=F30,O30&lt;=0.025*(D30*1000)*J30,O30&gt;=N30),"CUMPLE","REVISAR")</f>
        <v>CUMPLE</v>
      </c>
      <c r="U30" s="11">
        <f>G30*1000000/(0.9*(D30*1000)*J30^2)</f>
        <v>1.007514198</v>
      </c>
      <c r="V30" s="12">
        <f>(0.85*$B$2/$D$2)*(1-SQRT(1-2*U30/(0.85*$B$2)))</f>
        <v>0.002451888233</v>
      </c>
      <c r="W30" s="13">
        <f>V30*(D30*1000)*J30</f>
        <v>293.9630099</v>
      </c>
      <c r="X30" s="13">
        <f>MAX(W30,N30)</f>
        <v>399.6416667</v>
      </c>
      <c r="Y30" s="14">
        <f>ROUNDUP(X30/$J$2,0)</f>
        <v>3</v>
      </c>
      <c r="Z30" s="13">
        <f>Y30*$J$2</f>
        <v>597</v>
      </c>
      <c r="AA30" s="10">
        <f>0.9*Z30*$D$2*(J30-(Z30*$D$2/(0.85*$B$2*(D30*1000)))/2)/1000000</f>
        <v>73.90552018</v>
      </c>
      <c r="AB30" s="15" t="str">
        <f>IF(AA30&gt;=G30,"CUMPLE","REVISAR")</f>
        <v>CUMPLE</v>
      </c>
      <c r="AC30" s="10">
        <f>0.17*SQRT($B$2)*(D30*1000)*J30/1000</f>
        <v>107.8499513</v>
      </c>
      <c r="AD30" s="10">
        <f>MAX(H30/0.75-AC30,0)</f>
        <v>6.563382052</v>
      </c>
      <c r="AE30" s="14">
        <f>IF(AD30&gt;0,MIN($N$2*$D$2*J30/(AD30*1000),MIN(J30/4,6*$H$2,150)),MIN(J30/4,6*$H$2,150))</f>
        <v>85.6375</v>
      </c>
      <c r="AF30" s="10">
        <f>0.66*SQRT($B$2)*(D30*1000)*J30/1000</f>
        <v>418.7115756</v>
      </c>
      <c r="AG30" s="15" t="str">
        <f>IF(AD30&lt;=AF30,"CUMPLE","AUMENTAR SECCION")</f>
        <v>CUMPLE</v>
      </c>
      <c r="AH30" s="10">
        <f>0.75*0.083*SQRT($B$2)*(((D30*1000)*(E30*1000))^2/(2*((D30*1000)+(E30*1000))))/1000000</f>
        <v>4.304108233</v>
      </c>
      <c r="AI30" s="15" t="str">
        <f>IF(I30&gt;AH30,"SI","No")</f>
        <v>No</v>
      </c>
      <c r="AJ30" s="11">
        <f>IF(I30&gt;AH30,I30*1000000/(0.75*2*0.85*((D30*1000-2*$F$2)*(E30*1000-2*$F$2))*$D$2),0)</f>
        <v>0</v>
      </c>
      <c r="AK30" s="10">
        <f>1.25*Q30*$D$2*(J30-(1.25*Q30*$D$2/(0.85*$B$2*(D30*1000)))/2)/1000000</f>
        <v>132.6690274</v>
      </c>
      <c r="AL30" s="10">
        <f>1.25*Z30*$D$2*(J30-(1.25*Z30*$D$2/(0.85*$B$2*(D30*1000)))/2)/1000000</f>
        <v>101.4672613</v>
      </c>
      <c r="AM30" s="10">
        <f>(AK30+AL30)/B30</f>
        <v>83.6201031</v>
      </c>
      <c r="AN30" s="10">
        <f>MAX(H30,AM30)</f>
        <v>85.81</v>
      </c>
    </row>
    <row r="31">
      <c r="A31" s="5" t="inlineStr">
        <is>
          <t>F28</t>
        </is>
      </c>
      <c r="B31" s="6" t="n">
        <v>2.7</v>
      </c>
      <c r="C31" s="7" t="inlineStr">
        <is>
          <t>VR</t>
        </is>
      </c>
      <c r="D31" s="8">
        <f>IF(C31="VR",0.35,0.30)</f>
        <v>0.35</v>
      </c>
      <c r="E31" s="6" t="n">
        <v>0.4</v>
      </c>
      <c r="F31" s="9" t="n">
        <v>81.09999999999999</v>
      </c>
      <c r="G31" s="9" t="n">
        <v>42.6</v>
      </c>
      <c r="H31" s="9" t="n">
        <v>88.7</v>
      </c>
      <c r="I31" s="6" t="n">
        <v>0</v>
      </c>
      <c r="J31" s="10">
        <f>E31*1000-$F$2-$L$2-$H$2/2</f>
        <v>342.55</v>
      </c>
      <c r="K31" s="11">
        <f>F31*1000000/(0.9*(D31*1000)*J31^2)</f>
        <v>2.195212191</v>
      </c>
      <c r="L31" s="12">
        <f>(0.85*$B$2/$D$2)*(1-SQRT(1-2*K31/(0.85*$B$2)))</f>
        <v>0.005492920801</v>
      </c>
      <c r="M31" s="13">
        <f>L31*(D31*1000)*J31</f>
        <v>658.5600071</v>
      </c>
      <c r="N31" s="13">
        <f>MAX(0.25*SQRT($B$2)/$D$2,1.4/$D$2)*(D31*1000)*J31</f>
        <v>399.6416667</v>
      </c>
      <c r="O31" s="13">
        <f>MAX(M31,N31)</f>
        <v>658.5600071</v>
      </c>
      <c r="P31" s="14">
        <f>ROUNDUP(O31/$J$2,0)</f>
        <v>4</v>
      </c>
      <c r="Q31" s="13">
        <f>P31*$J$2</f>
        <v>796</v>
      </c>
      <c r="R31" s="10">
        <f>Q31*$D$2/(0.85*$B$2*(D31*1000))</f>
        <v>40.13445378</v>
      </c>
      <c r="S31" s="10">
        <f>0.9*Q31*$D$2*(J31-R31/2)/1000000</f>
        <v>97.03119664</v>
      </c>
      <c r="T31" s="15" t="str">
        <f>IF(AND(S31&gt;=F31,O31&lt;=0.025*(D31*1000)*J31,O31&gt;=N31),"CUMPLE","REVISAR")</f>
        <v>CUMPLE</v>
      </c>
      <c r="U31" s="11">
        <f>G31*1000000/(0.9*(D31*1000)*J31^2)</f>
        <v>1.152526982</v>
      </c>
      <c r="V31" s="12">
        <f>(0.85*$B$2/$D$2)*(1-SQRT(1-2*U31/(0.85*$B$2)))</f>
        <v>0.002813980878</v>
      </c>
      <c r="W31" s="13">
        <f>V31*(D31*1000)*J31</f>
        <v>337.3752024</v>
      </c>
      <c r="X31" s="13">
        <f>MAX(W31,N31)</f>
        <v>399.6416667</v>
      </c>
      <c r="Y31" s="14">
        <f>ROUNDUP(X31/$J$2,0)</f>
        <v>3</v>
      </c>
      <c r="Z31" s="13">
        <f>Y31*$J$2</f>
        <v>597</v>
      </c>
      <c r="AA31" s="10">
        <f>0.9*Z31*$D$2*(J31-(Z31*$D$2/(0.85*$B$2*(D31*1000)))/2)/1000000</f>
        <v>73.90552018</v>
      </c>
      <c r="AB31" s="15" t="str">
        <f>IF(AA31&gt;=G31,"CUMPLE","REVISAR")</f>
        <v>CUMPLE</v>
      </c>
      <c r="AC31" s="10">
        <f>0.17*SQRT($B$2)*(D31*1000)*J31/1000</f>
        <v>107.8499513</v>
      </c>
      <c r="AD31" s="10">
        <f>MAX(H31/0.75-AC31,0)</f>
        <v>10.35004872</v>
      </c>
      <c r="AE31" s="14">
        <f>IF(AD31&gt;0,MIN($N$2*$D$2*J31/(AD31*1000),MIN(J31/4,6*$H$2,150)),MIN(J31/4,6*$H$2,150))</f>
        <v>85.6375</v>
      </c>
      <c r="AF31" s="10">
        <f>0.66*SQRT($B$2)*(D31*1000)*J31/1000</f>
        <v>418.7115756</v>
      </c>
      <c r="AG31" s="15" t="str">
        <f>IF(AD31&lt;=AF31,"CUMPLE","AUMENTAR SECCION")</f>
        <v>CUMPLE</v>
      </c>
      <c r="AH31" s="10">
        <f>0.75*0.083*SQRT($B$2)*(((D31*1000)*(E31*1000))^2/(2*((D31*1000)+(E31*1000))))/1000000</f>
        <v>4.304108233</v>
      </c>
      <c r="AI31" s="15" t="str">
        <f>IF(I31&gt;AH31,"SI","No")</f>
        <v>No</v>
      </c>
      <c r="AJ31" s="11">
        <f>IF(I31&gt;AH31,I31*1000000/(0.75*2*0.85*((D31*1000-2*$F$2)*(E31*1000-2*$F$2))*$D$2),0)</f>
        <v>0</v>
      </c>
      <c r="AK31" s="10">
        <f>1.25*Q31*$D$2*(J31-(1.25*Q31*$D$2/(0.85*$B$2*(D31*1000)))/2)/1000000</f>
        <v>132.6690274</v>
      </c>
      <c r="AL31" s="10">
        <f>1.25*Z31*$D$2*(J31-(1.25*Z31*$D$2/(0.85*$B$2*(D31*1000)))/2)/1000000</f>
        <v>101.4672613</v>
      </c>
      <c r="AM31" s="10">
        <f>(AK31+AL31)/B31</f>
        <v>86.71714395</v>
      </c>
      <c r="AN31" s="10">
        <f>MAX(H31,AM31)</f>
        <v>88.65</v>
      </c>
    </row>
    <row r="32">
      <c r="A32" s="5" t="inlineStr">
        <is>
          <t>F29</t>
        </is>
      </c>
      <c r="B32" s="6" t="n">
        <v>4</v>
      </c>
      <c r="C32" s="7" t="inlineStr">
        <is>
          <t>VC</t>
        </is>
      </c>
      <c r="D32" s="8">
        <f>IF(C32="VR",0.35,0.30)</f>
        <v>0.3</v>
      </c>
      <c r="E32" s="6" t="n">
        <v>0.4</v>
      </c>
      <c r="F32" s="9" t="n">
        <v>51.7</v>
      </c>
      <c r="G32" s="9" t="n">
        <v>21.1</v>
      </c>
      <c r="H32" s="9" t="n">
        <v>68.09999999999999</v>
      </c>
      <c r="I32" s="6" t="n">
        <v>0.54</v>
      </c>
      <c r="J32" s="10">
        <f>E32*1000-$F$2-$L$2-$H$2/2</f>
        <v>342.55</v>
      </c>
      <c r="K32" s="11">
        <f>F32*1000000/(0.9*(D32*1000)*J32^2)</f>
        <v>1.6315291</v>
      </c>
      <c r="L32" s="12">
        <f>(0.85*$B$2/$D$2)*(1-SQRT(1-2*K32/(0.85*$B$2)))</f>
        <v>0.004027734051</v>
      </c>
      <c r="M32" s="13">
        <f>L32*(D32*1000)*J32</f>
        <v>413.9100897</v>
      </c>
      <c r="N32" s="13">
        <f>MAX(0.25*SQRT($B$2)/$D$2,1.4/$D$2)*(D32*1000)*J32</f>
        <v>342.55</v>
      </c>
      <c r="O32" s="13">
        <f>MAX(M32,N32)</f>
        <v>413.9100897</v>
      </c>
      <c r="P32" s="14">
        <f>ROUNDUP(O32/$J$2,0)</f>
        <v>3</v>
      </c>
      <c r="Q32" s="13">
        <f>P32*$J$2</f>
        <v>597</v>
      </c>
      <c r="R32" s="10">
        <f>Q32*$D$2/(0.85*$B$2*(D32*1000))</f>
        <v>35.11764706</v>
      </c>
      <c r="S32" s="10">
        <f>0.9*Q32*$D$2*(J32-R32/2)/1000000</f>
        <v>73.33945883</v>
      </c>
      <c r="T32" s="15" t="str">
        <f>IF(AND(S32&gt;=F32,O32&lt;=0.025*(D32*1000)*J32,O32&gt;=N32),"CUMPLE","REVISAR")</f>
        <v>CUMPLE</v>
      </c>
      <c r="U32" s="11">
        <f>G32*1000000/(0.9*(D32*1000)*J32^2)</f>
        <v>0.6675728471</v>
      </c>
      <c r="V32" s="12">
        <f>(0.85*$B$2/$D$2)*(1-SQRT(1-2*U32/(0.85*$B$2)))</f>
        <v>0.001612398836</v>
      </c>
      <c r="W32" s="13">
        <f>V32*(D32*1000)*J32</f>
        <v>165.6981664</v>
      </c>
      <c r="X32" s="13">
        <f>MAX(W32,N32)</f>
        <v>342.55</v>
      </c>
      <c r="Y32" s="14">
        <f>ROUNDUP(X32/$J$2,0)</f>
        <v>2</v>
      </c>
      <c r="Z32" s="13">
        <f>Y32*$J$2</f>
        <v>398</v>
      </c>
      <c r="AA32" s="10">
        <f>0.9*Z32*$D$2*(J32-(Z32*$D$2/(0.85*$B$2*(D32*1000)))/2)/1000000</f>
        <v>49.77351244</v>
      </c>
      <c r="AB32" s="15" t="str">
        <f>IF(AA32&gt;=G32,"CUMPLE","REVISAR")</f>
        <v>CUMPLE</v>
      </c>
      <c r="AC32" s="10">
        <f>0.17*SQRT($B$2)*(D32*1000)*J32/1000</f>
        <v>92.44281538</v>
      </c>
      <c r="AD32" s="10">
        <f>MAX(H32/0.75-AC32,0)</f>
        <v>0</v>
      </c>
      <c r="AE32" s="14">
        <f>IF(AD32&gt;0,MIN($N$2*$D$2*J32/(AD32*1000),MIN(J32/4,6*$H$2,150)),MIN(J32/4,6*$H$2,150))</f>
        <v>85.6375</v>
      </c>
      <c r="AF32" s="10">
        <f>0.66*SQRT($B$2)*(D32*1000)*J32/1000</f>
        <v>358.8956362</v>
      </c>
      <c r="AG32" s="15" t="str">
        <f>IF(AD32&lt;=AF32,"CUMPLE","AUMENTAR SECCION")</f>
        <v>CUMPLE</v>
      </c>
      <c r="AH32" s="10">
        <f>0.75*0.083*SQRT($B$2)*(((D32*1000)*(E32*1000))^2/(2*((D32*1000)+(E32*1000))))/1000000</f>
        <v>3.388073536</v>
      </c>
      <c r="AI32" s="15" t="str">
        <f>IF(I32&gt;AH32,"SI","No")</f>
        <v>No</v>
      </c>
      <c r="AJ32" s="11">
        <f>IF(I32&gt;AH32,I32*1000000/(0.75*2*0.85*((D32*1000-2*$F$2)*(E32*1000-2*$F$2))*$D$2),0)</f>
        <v>0</v>
      </c>
      <c r="AK32" s="10">
        <f>1.25*Q32*$D$2*(J32-(1.25*Q32*$D$2/(0.85*$B$2*(D32*1000)))/2)/1000000</f>
        <v>100.4845159</v>
      </c>
      <c r="AL32" s="10">
        <f>1.25*Z32*$D$2*(J32-(1.25*Z32*$D$2/(0.85*$B$2*(D32*1000)))/2)/1000000</f>
        <v>68.51839235</v>
      </c>
      <c r="AM32" s="10">
        <f>(AK32+AL32)/B32</f>
        <v>42.25072707</v>
      </c>
      <c r="AN32" s="10">
        <f>MAX(H32,AM32)</f>
        <v>68.14</v>
      </c>
    </row>
    <row r="33">
      <c r="A33" s="5" t="inlineStr">
        <is>
          <t>F30</t>
        </is>
      </c>
      <c r="B33" s="6" t="n">
        <v>2.5</v>
      </c>
      <c r="C33" s="7" t="inlineStr">
        <is>
          <t>VC</t>
        </is>
      </c>
      <c r="D33" s="8">
        <f>IF(C33="VR",0.35,0.30)</f>
        <v>0.3</v>
      </c>
      <c r="E33" s="6" t="n">
        <v>0.4</v>
      </c>
      <c r="F33" s="9" t="n">
        <v>16.9</v>
      </c>
      <c r="G33" s="9" t="n">
        <v>7.3</v>
      </c>
      <c r="H33" s="9" t="n">
        <v>39.9</v>
      </c>
      <c r="I33" s="6" t="n">
        <v>0.05</v>
      </c>
      <c r="J33" s="10">
        <f>E33*1000-$F$2-$L$2-$H$2/2</f>
        <v>342.55</v>
      </c>
      <c r="K33" s="11">
        <f>F33*1000000/(0.9*(D33*1000)*J33^2)</f>
        <v>0.5324800913</v>
      </c>
      <c r="L33" s="12">
        <f>(0.85*$B$2/$D$2)*(1-SQRT(1-2*K33/(0.85*$B$2)))</f>
        <v>0.001282318633</v>
      </c>
      <c r="M33" s="13">
        <f>L33*(D33*1000)*J33</f>
        <v>131.7774743</v>
      </c>
      <c r="N33" s="13">
        <f>MAX(0.25*SQRT($B$2)/$D$2,1.4/$D$2)*(D33*1000)*J33</f>
        <v>342.55</v>
      </c>
      <c r="O33" s="13">
        <f>MAX(M33,N33)</f>
        <v>342.55</v>
      </c>
      <c r="P33" s="14">
        <f>ROUNDUP(O33/$J$2,0)</f>
        <v>2</v>
      </c>
      <c r="Q33" s="13">
        <f>P33*$J$2</f>
        <v>398</v>
      </c>
      <c r="R33" s="10">
        <f>Q33*$D$2/(0.85*$B$2*(D33*1000))</f>
        <v>23.41176471</v>
      </c>
      <c r="S33" s="10">
        <f>0.9*Q33*$D$2*(J33-R33/2)/1000000</f>
        <v>49.77351244</v>
      </c>
      <c r="T33" s="15" t="str">
        <f>IF(AND(S33&gt;=F33,O33&lt;=0.025*(D33*1000)*J33,O33&gt;=N33),"CUMPLE","REVISAR")</f>
        <v>CUMPLE</v>
      </c>
      <c r="U33" s="11">
        <f>G33*1000000/(0.9*(D33*1000)*J33^2)</f>
        <v>0.2316777635</v>
      </c>
      <c r="V33" s="12">
        <f>(0.85*$B$2/$D$2)*(1-SQRT(1-2*U33/(0.85*$B$2)))</f>
        <v>0.0005543249831</v>
      </c>
      <c r="W33" s="13">
        <f>V33*(D33*1000)*J33</f>
        <v>56.96520688</v>
      </c>
      <c r="X33" s="13">
        <f>MAX(W33,N33)</f>
        <v>342.55</v>
      </c>
      <c r="Y33" s="14">
        <f>ROUNDUP(X33/$J$2,0)</f>
        <v>2</v>
      </c>
      <c r="Z33" s="13">
        <f>Y33*$J$2</f>
        <v>398</v>
      </c>
      <c r="AA33" s="10">
        <f>0.9*Z33*$D$2*(J33-(Z33*$D$2/(0.85*$B$2*(D33*1000)))/2)/1000000</f>
        <v>49.77351244</v>
      </c>
      <c r="AB33" s="15" t="str">
        <f>IF(AA33&gt;=G33,"CUMPLE","REVISAR")</f>
        <v>CUMPLE</v>
      </c>
      <c r="AC33" s="10">
        <f>0.17*SQRT($B$2)*(D33*1000)*J33/1000</f>
        <v>92.44281538</v>
      </c>
      <c r="AD33" s="10">
        <f>MAX(H33/0.75-AC33,0)</f>
        <v>0</v>
      </c>
      <c r="AE33" s="14">
        <f>IF(AD33&gt;0,MIN($N$2*$D$2*J33/(AD33*1000),MIN(J33/4,6*$H$2,150)),MIN(J33/4,6*$H$2,150))</f>
        <v>85.6375</v>
      </c>
      <c r="AF33" s="10">
        <f>0.66*SQRT($B$2)*(D33*1000)*J33/1000</f>
        <v>358.8956362</v>
      </c>
      <c r="AG33" s="15" t="str">
        <f>IF(AD33&lt;=AF33,"CUMPLE","AUMENTAR SECCION")</f>
        <v>CUMPLE</v>
      </c>
      <c r="AH33" s="10">
        <f>0.75*0.083*SQRT($B$2)*(((D33*1000)*(E33*1000))^2/(2*((D33*1000)+(E33*1000))))/1000000</f>
        <v>3.388073536</v>
      </c>
      <c r="AI33" s="15" t="str">
        <f>IF(I33&gt;AH33,"SI","No")</f>
        <v>No</v>
      </c>
      <c r="AJ33" s="11">
        <f>IF(I33&gt;AH33,I33*1000000/(0.75*2*0.85*((D33*1000-2*$F$2)*(E33*1000-2*$F$2))*$D$2),0)</f>
        <v>0</v>
      </c>
      <c r="AK33" s="10">
        <f>1.25*Q33*$D$2*(J33-(1.25*Q33*$D$2/(0.85*$B$2*(D33*1000)))/2)/1000000</f>
        <v>68.51839235</v>
      </c>
      <c r="AL33" s="10">
        <f>1.25*Z33*$D$2*(J33-(1.25*Z33*$D$2/(0.85*$B$2*(D33*1000)))/2)/1000000</f>
        <v>68.51839235</v>
      </c>
      <c r="AM33" s="10">
        <f>(AK33+AL33)/B33</f>
        <v>54.81471388</v>
      </c>
      <c r="AN33" s="10">
        <f>MAX(H33,AM33)</f>
        <v>54.81471388</v>
      </c>
    </row>
    <row r="34">
      <c r="A34" s="5" t="inlineStr">
        <is>
          <t>F31</t>
        </is>
      </c>
      <c r="B34" s="6" t="n">
        <v>2.6</v>
      </c>
      <c r="C34" s="7" t="inlineStr">
        <is>
          <t>VC</t>
        </is>
      </c>
      <c r="D34" s="8">
        <f>IF(C34="VR",0.35,0.30)</f>
        <v>0.3</v>
      </c>
      <c r="E34" s="6" t="n">
        <v>0.4</v>
      </c>
      <c r="F34" s="9" t="n">
        <v>80.5</v>
      </c>
      <c r="G34" s="9" t="n">
        <v>26.9</v>
      </c>
      <c r="H34" s="9" t="n">
        <v>130.8</v>
      </c>
      <c r="I34" s="6" t="n">
        <v>1.68</v>
      </c>
      <c r="J34" s="10">
        <f>E34*1000-$F$2-$L$2-$H$2/2</f>
        <v>342.55</v>
      </c>
      <c r="K34" s="11">
        <f>F34*1000000/(0.9*(D34*1000)*J34^2)</f>
        <v>2.54245829</v>
      </c>
      <c r="L34" s="12">
        <f>(0.85*$B$2/$D$2)*(1-SQRT(1-2*K34/(0.85*$B$2)))</f>
        <v>0.006416781715</v>
      </c>
      <c r="M34" s="13">
        <f>L34*(D34*1000)*J34</f>
        <v>659.420573</v>
      </c>
      <c r="N34" s="13">
        <f>MAX(0.25*SQRT($B$2)/$D$2,1.4/$D$2)*(D34*1000)*J34</f>
        <v>342.55</v>
      </c>
      <c r="O34" s="13">
        <f>MAX(M34,N34)</f>
        <v>659.420573</v>
      </c>
      <c r="P34" s="14">
        <f>ROUNDUP(O34/$J$2,0)</f>
        <v>4</v>
      </c>
      <c r="Q34" s="13">
        <f>P34*$J$2</f>
        <v>796</v>
      </c>
      <c r="R34" s="10">
        <f>Q34*$D$2/(0.85*$B$2*(D34*1000))</f>
        <v>46.82352941</v>
      </c>
      <c r="S34" s="10">
        <f>0.9*Q34*$D$2*(J34-R34/2)/1000000</f>
        <v>96.02486534</v>
      </c>
      <c r="T34" s="15" t="str">
        <f>IF(AND(S34&gt;=F34,O34&lt;=0.025*(D34*1000)*J34,O34&gt;=N34),"CUMPLE","REVISAR")</f>
        <v>CUMPLE</v>
      </c>
      <c r="U34" s="11">
        <f>G34*1000000/(0.9*(D34*1000)*J34^2)</f>
        <v>0.8474860967</v>
      </c>
      <c r="V34" s="12">
        <f>(0.85*$B$2/$D$2)*(1-SQRT(1-2*U34/(0.85*$B$2)))</f>
        <v>0.002055089262</v>
      </c>
      <c r="W34" s="13">
        <f>V34*(D34*1000)*J34</f>
        <v>211.191248</v>
      </c>
      <c r="X34" s="13">
        <f>MAX(W34,N34)</f>
        <v>342.55</v>
      </c>
      <c r="Y34" s="14">
        <f>ROUNDUP(X34/$J$2,0)</f>
        <v>2</v>
      </c>
      <c r="Z34" s="13">
        <f>Y34*$J$2</f>
        <v>398</v>
      </c>
      <c r="AA34" s="10">
        <f>0.9*Z34*$D$2*(J34-(Z34*$D$2/(0.85*$B$2*(D34*1000)))/2)/1000000</f>
        <v>49.77351244</v>
      </c>
      <c r="AB34" s="15" t="str">
        <f>IF(AA34&gt;=G34,"CUMPLE","REVISAR")</f>
        <v>CUMPLE</v>
      </c>
      <c r="AC34" s="10">
        <f>0.17*SQRT($B$2)*(D34*1000)*J34/1000</f>
        <v>92.44281538</v>
      </c>
      <c r="AD34" s="10">
        <f>MAX(H34/0.75-AC34,0)</f>
        <v>81.91718462</v>
      </c>
      <c r="AE34" s="14">
        <f>IF(AD34&gt;0,MIN($N$2*$D$2*J34/(AD34*1000),MIN(J34/4,6*$H$2,150)),MIN(J34/4,6*$H$2,150))</f>
        <v>85.6375</v>
      </c>
      <c r="AF34" s="10">
        <f>0.66*SQRT($B$2)*(D34*1000)*J34/1000</f>
        <v>358.8956362</v>
      </c>
      <c r="AG34" s="15" t="str">
        <f>IF(AD34&lt;=AF34,"CUMPLE","AUMENTAR SECCION")</f>
        <v>CUMPLE</v>
      </c>
      <c r="AH34" s="10">
        <f>0.75*0.083*SQRT($B$2)*(((D34*1000)*(E34*1000))^2/(2*((D34*1000)+(E34*1000))))/1000000</f>
        <v>3.388073536</v>
      </c>
      <c r="AI34" s="15" t="str">
        <f>IF(I34&gt;AH34,"SI","No")</f>
        <v>No</v>
      </c>
      <c r="AJ34" s="11">
        <f>IF(I34&gt;AH34,I34*1000000/(0.75*2*0.85*((D34*1000-2*$F$2)*(E34*1000-2*$F$2))*$D$2),0)</f>
        <v>0</v>
      </c>
      <c r="AK34" s="10">
        <f>1.25*Q34*$D$2*(J34-(1.25*Q34*$D$2/(0.85*$B$2*(D34*1000)))/2)/1000000</f>
        <v>130.9219244</v>
      </c>
      <c r="AL34" s="10">
        <f>1.25*Z34*$D$2*(J34-(1.25*Z34*$D$2/(0.85*$B$2*(D34*1000)))/2)/1000000</f>
        <v>68.51839235</v>
      </c>
      <c r="AM34" s="10">
        <f>(AK34+AL34)/B34</f>
        <v>76.70781414</v>
      </c>
      <c r="AN34" s="10">
        <f>MAX(H34,AM34)</f>
        <v>130.77</v>
      </c>
    </row>
    <row r="35">
      <c r="A35" s="5" t="inlineStr">
        <is>
          <t>F32</t>
        </is>
      </c>
      <c r="B35" s="6" t="n">
        <v>2.95</v>
      </c>
      <c r="C35" s="7" t="inlineStr">
        <is>
          <t>VR</t>
        </is>
      </c>
      <c r="D35" s="8">
        <f>IF(C35="VR",0.35,0.30)</f>
        <v>0.35</v>
      </c>
      <c r="E35" s="6" t="n">
        <v>0.4</v>
      </c>
      <c r="F35" s="9" t="n">
        <v>56</v>
      </c>
      <c r="G35" s="9" t="n">
        <v>45.8</v>
      </c>
      <c r="H35" s="9" t="n">
        <v>95.40000000000001</v>
      </c>
      <c r="I35" s="6" t="n">
        <v>1.68</v>
      </c>
      <c r="J35" s="10">
        <f>E35*1000-$F$2-$L$2-$H$2/2</f>
        <v>342.55</v>
      </c>
      <c r="K35" s="11">
        <f>F35*1000000/(0.9*(D35*1000)*J35^2)</f>
        <v>1.514788398</v>
      </c>
      <c r="L35" s="12">
        <f>(0.85*$B$2/$D$2)*(1-SQRT(1-2*K35/(0.85*$B$2)))</f>
        <v>0.003729357646</v>
      </c>
      <c r="M35" s="13">
        <f>L35*(D35*1000)*J35</f>
        <v>447.1220115</v>
      </c>
      <c r="N35" s="13">
        <f>MAX(0.25*SQRT($B$2)/$D$2,1.4/$D$2)*(D35*1000)*J35</f>
        <v>399.6416667</v>
      </c>
      <c r="O35" s="13">
        <f>MAX(M35,N35)</f>
        <v>447.1220115</v>
      </c>
      <c r="P35" s="14">
        <f>ROUNDUP(O35/$J$2,0)</f>
        <v>3</v>
      </c>
      <c r="Q35" s="13">
        <f>P35*$J$2</f>
        <v>597</v>
      </c>
      <c r="R35" s="10">
        <f>Q35*$D$2/(0.85*$B$2*(D35*1000))</f>
        <v>30.10084034</v>
      </c>
      <c r="S35" s="10">
        <f>0.9*Q35*$D$2*(J35-R35/2)/1000000</f>
        <v>73.90552018</v>
      </c>
      <c r="T35" s="15" t="str">
        <f>IF(AND(S35&gt;=F35,O35&lt;=0.025*(D35*1000)*J35,O35&gt;=N35),"CUMPLE","REVISAR")</f>
        <v>CUMPLE</v>
      </c>
      <c r="U35" s="11">
        <f>G35*1000000/(0.9*(D35*1000)*J35^2)</f>
        <v>1.239372325</v>
      </c>
      <c r="V35" s="12">
        <f>(0.85*$B$2/$D$2)*(1-SQRT(1-2*U35/(0.85*$B$2)))</f>
        <v>0.003032001486</v>
      </c>
      <c r="W35" s="13">
        <f>V35*(D35*1000)*J35</f>
        <v>363.5142381</v>
      </c>
      <c r="X35" s="13">
        <f>MAX(W35,N35)</f>
        <v>399.6416667</v>
      </c>
      <c r="Y35" s="14">
        <f>ROUNDUP(X35/$J$2,0)</f>
        <v>3</v>
      </c>
      <c r="Z35" s="13">
        <f>Y35*$J$2</f>
        <v>597</v>
      </c>
      <c r="AA35" s="10">
        <f>0.9*Z35*$D$2*(J35-(Z35*$D$2/(0.85*$B$2*(D35*1000)))/2)/1000000</f>
        <v>73.90552018</v>
      </c>
      <c r="AB35" s="15" t="str">
        <f>IF(AA35&gt;=G35,"CUMPLE","REVISAR")</f>
        <v>CUMPLE</v>
      </c>
      <c r="AC35" s="10">
        <f>0.17*SQRT($B$2)*(D35*1000)*J35/1000</f>
        <v>107.8499513</v>
      </c>
      <c r="AD35" s="10">
        <f>MAX(H35/0.75-AC35,0)</f>
        <v>19.31004872</v>
      </c>
      <c r="AE35" s="14">
        <f>IF(AD35&gt;0,MIN($N$2*$D$2*J35/(AD35*1000),MIN(J35/4,6*$H$2,150)),MIN(J35/4,6*$H$2,150))</f>
        <v>85.6375</v>
      </c>
      <c r="AF35" s="10">
        <f>0.66*SQRT($B$2)*(D35*1000)*J35/1000</f>
        <v>418.7115756</v>
      </c>
      <c r="AG35" s="15" t="str">
        <f>IF(AD35&lt;=AF35,"CUMPLE","AUMENTAR SECCION")</f>
        <v>CUMPLE</v>
      </c>
      <c r="AH35" s="10">
        <f>0.75*0.083*SQRT($B$2)*(((D35*1000)*(E35*1000))^2/(2*((D35*1000)+(E35*1000))))/1000000</f>
        <v>4.304108233</v>
      </c>
      <c r="AI35" s="15" t="str">
        <f>IF(I35&gt;AH35,"SI","No")</f>
        <v>No</v>
      </c>
      <c r="AJ35" s="11">
        <f>IF(I35&gt;AH35,I35*1000000/(0.75*2*0.85*((D35*1000-2*$F$2)*(E35*1000-2*$F$2))*$D$2),0)</f>
        <v>0</v>
      </c>
      <c r="AK35" s="10">
        <f>1.25*Q35*$D$2*(J35-(1.25*Q35*$D$2/(0.85*$B$2*(D35*1000)))/2)/1000000</f>
        <v>101.4672613</v>
      </c>
      <c r="AL35" s="10">
        <f>1.25*Z35*$D$2*(J35-(1.25*Z35*$D$2/(0.85*$B$2*(D35*1000)))/2)/1000000</f>
        <v>101.4672613</v>
      </c>
      <c r="AM35" s="10">
        <f>(AK35+AL35)/B35</f>
        <v>68.79136361</v>
      </c>
      <c r="AN35" s="10">
        <f>MAX(H35,AM35)</f>
        <v>95.37</v>
      </c>
    </row>
    <row r="36">
      <c r="A36" s="5" t="inlineStr">
        <is>
          <t>F33</t>
        </is>
      </c>
      <c r="B36" s="6" t="n">
        <v>2.6</v>
      </c>
      <c r="C36" s="7" t="inlineStr">
        <is>
          <t>VC</t>
        </is>
      </c>
      <c r="D36" s="8">
        <f>IF(C36="VR",0.35,0.30)</f>
        <v>0.3</v>
      </c>
      <c r="E36" s="6" t="n">
        <v>0.4</v>
      </c>
      <c r="F36" s="9" t="n">
        <v>22.9</v>
      </c>
      <c r="G36" s="9" t="n">
        <v>8.9</v>
      </c>
      <c r="H36" s="9" t="n">
        <v>44.1</v>
      </c>
      <c r="I36" s="6" t="n">
        <v>0.45</v>
      </c>
      <c r="J36" s="10">
        <f>E36*1000-$F$2-$L$2-$H$2/2</f>
        <v>342.55</v>
      </c>
      <c r="K36" s="11">
        <f>F36*1000000/(0.9*(D36*1000)*J36^2)</f>
        <v>0.7212311847</v>
      </c>
      <c r="L36" s="12">
        <f>(0.85*$B$2/$D$2)*(1-SQRT(1-2*K36/(0.85*$B$2)))</f>
        <v>0.001744055909</v>
      </c>
      <c r="M36" s="13">
        <f>L36*(D36*1000)*J36</f>
        <v>179.2279055</v>
      </c>
      <c r="N36" s="13">
        <f>MAX(0.25*SQRT($B$2)/$D$2,1.4/$D$2)*(D36*1000)*J36</f>
        <v>342.55</v>
      </c>
      <c r="O36" s="13">
        <f>MAX(M36,N36)</f>
        <v>342.55</v>
      </c>
      <c r="P36" s="14">
        <f>ROUNDUP(O36/$J$2,0)</f>
        <v>2</v>
      </c>
      <c r="Q36" s="13">
        <f>P36*$J$2</f>
        <v>398</v>
      </c>
      <c r="R36" s="10">
        <f>Q36*$D$2/(0.85*$B$2*(D36*1000))</f>
        <v>23.41176471</v>
      </c>
      <c r="S36" s="10">
        <f>0.9*Q36*$D$2*(J36-R36/2)/1000000</f>
        <v>49.77351244</v>
      </c>
      <c r="T36" s="15" t="str">
        <f>IF(AND(S36&gt;=F36,O36&lt;=0.025*(D36*1000)*J36,O36&gt;=N36),"CUMPLE","REVISAR")</f>
        <v>CUMPLE</v>
      </c>
      <c r="U36" s="11">
        <f>G36*1000000/(0.9*(D36*1000)*J36^2)</f>
        <v>0.281864091</v>
      </c>
      <c r="V36" s="12">
        <f>(0.85*$B$2/$D$2)*(1-SQRT(1-2*U36/(0.85*$B$2)))</f>
        <v>0.0006751267086</v>
      </c>
      <c r="W36" s="13">
        <f>V36*(D36*1000)*J36</f>
        <v>69.37939621</v>
      </c>
      <c r="X36" s="13">
        <f>MAX(W36,N36)</f>
        <v>342.55</v>
      </c>
      <c r="Y36" s="14">
        <f>ROUNDUP(X36/$J$2,0)</f>
        <v>2</v>
      </c>
      <c r="Z36" s="13">
        <f>Y36*$J$2</f>
        <v>398</v>
      </c>
      <c r="AA36" s="10">
        <f>0.9*Z36*$D$2*(J36-(Z36*$D$2/(0.85*$B$2*(D36*1000)))/2)/1000000</f>
        <v>49.77351244</v>
      </c>
      <c r="AB36" s="15" t="str">
        <f>IF(AA36&gt;=G36,"CUMPLE","REVISAR")</f>
        <v>CUMPLE</v>
      </c>
      <c r="AC36" s="10">
        <f>0.17*SQRT($B$2)*(D36*1000)*J36/1000</f>
        <v>92.44281538</v>
      </c>
      <c r="AD36" s="10">
        <f>MAX(H36/0.75-AC36,0)</f>
        <v>0</v>
      </c>
      <c r="AE36" s="14">
        <f>IF(AD36&gt;0,MIN($N$2*$D$2*J36/(AD36*1000),MIN(J36/4,6*$H$2,150)),MIN(J36/4,6*$H$2,150))</f>
        <v>85.6375</v>
      </c>
      <c r="AF36" s="10">
        <f>0.66*SQRT($B$2)*(D36*1000)*J36/1000</f>
        <v>358.8956362</v>
      </c>
      <c r="AG36" s="15" t="str">
        <f>IF(AD36&lt;=AF36,"CUMPLE","AUMENTAR SECCION")</f>
        <v>CUMPLE</v>
      </c>
      <c r="AH36" s="10">
        <f>0.75*0.083*SQRT($B$2)*(((D36*1000)*(E36*1000))^2/(2*((D36*1000)+(E36*1000))))/1000000</f>
        <v>3.388073536</v>
      </c>
      <c r="AI36" s="15" t="str">
        <f>IF(I36&gt;AH36,"SI","No")</f>
        <v>No</v>
      </c>
      <c r="AJ36" s="11">
        <f>IF(I36&gt;AH36,I36*1000000/(0.75*2*0.85*((D36*1000-2*$F$2)*(E36*1000-2*$F$2))*$D$2),0)</f>
        <v>0</v>
      </c>
      <c r="AK36" s="10">
        <f>1.25*Q36*$D$2*(J36-(1.25*Q36*$D$2/(0.85*$B$2*(D36*1000)))/2)/1000000</f>
        <v>68.51839235</v>
      </c>
      <c r="AL36" s="10">
        <f>1.25*Z36*$D$2*(J36-(1.25*Z36*$D$2/(0.85*$B$2*(D36*1000)))/2)/1000000</f>
        <v>68.51839235</v>
      </c>
      <c r="AM36" s="10">
        <f>(AK36+AL36)/B36</f>
        <v>52.70645566</v>
      </c>
      <c r="AN36" s="10">
        <f>MAX(H36,AM36)</f>
        <v>52.70645566</v>
      </c>
    </row>
    <row r="37">
      <c r="A37" s="5" t="inlineStr">
        <is>
          <t>F34</t>
        </is>
      </c>
      <c r="B37" s="6" t="n">
        <v>3.65</v>
      </c>
      <c r="C37" s="7" t="inlineStr">
        <is>
          <t>VR</t>
        </is>
      </c>
      <c r="D37" s="8">
        <f>IF(C37="VR",0.35,0.30)</f>
        <v>0.35</v>
      </c>
      <c r="E37" s="6" t="n">
        <v>0.4</v>
      </c>
      <c r="F37" s="9" t="n">
        <v>35.8</v>
      </c>
      <c r="G37" s="9" t="n">
        <v>32.2</v>
      </c>
      <c r="H37" s="9" t="n">
        <v>103.3</v>
      </c>
      <c r="I37" s="6" t="n">
        <v>6</v>
      </c>
      <c r="J37" s="10">
        <f>E37*1000-$F$2-$L$2-$H$2/2</f>
        <v>342.55</v>
      </c>
      <c r="K37" s="11">
        <f>F37*1000000/(0.9*(D37*1000)*J37^2)</f>
        <v>0.9680144466</v>
      </c>
      <c r="L37" s="12">
        <f>(0.85*$B$2/$D$2)*(1-SQRT(1-2*K37/(0.85*$B$2)))</f>
        <v>0.002353676843</v>
      </c>
      <c r="M37" s="13">
        <f>L37*(D37*1000)*J37</f>
        <v>282.1882009</v>
      </c>
      <c r="N37" s="13">
        <f>MAX(0.25*SQRT($B$2)/$D$2,1.4/$D$2)*(D37*1000)*J37</f>
        <v>399.6416667</v>
      </c>
      <c r="O37" s="13">
        <f>MAX(M37,N37)</f>
        <v>399.6416667</v>
      </c>
      <c r="P37" s="14">
        <f>ROUNDUP(O37/$J$2,0)</f>
        <v>3</v>
      </c>
      <c r="Q37" s="13">
        <f>P37*$J$2</f>
        <v>597</v>
      </c>
      <c r="R37" s="10">
        <f>Q37*$D$2/(0.85*$B$2*(D37*1000))</f>
        <v>30.10084034</v>
      </c>
      <c r="S37" s="10">
        <f>0.9*Q37*$D$2*(J37-R37/2)/1000000</f>
        <v>73.90552018</v>
      </c>
      <c r="T37" s="15" t="str">
        <f>IF(AND(S37&gt;=F37,O37&lt;=0.025*(D37*1000)*J37,O37&gt;=N37),"CUMPLE","REVISAR")</f>
        <v>CUMPLE</v>
      </c>
      <c r="U37" s="11">
        <f>G37*1000000/(0.9*(D37*1000)*J37^2)</f>
        <v>0.8725116239</v>
      </c>
      <c r="V37" s="12">
        <f>(0.85*$B$2/$D$2)*(1-SQRT(1-2*U37/(0.85*$B$2)))</f>
        <v>0.002116951117</v>
      </c>
      <c r="W37" s="13">
        <f>V37*(D37*1000)*J37</f>
        <v>253.8065618</v>
      </c>
      <c r="X37" s="13">
        <f>MAX(W37,N37)</f>
        <v>399.6416667</v>
      </c>
      <c r="Y37" s="14">
        <f>ROUNDUP(X37/$J$2,0)</f>
        <v>3</v>
      </c>
      <c r="Z37" s="13">
        <f>Y37*$J$2</f>
        <v>597</v>
      </c>
      <c r="AA37" s="10">
        <f>0.9*Z37*$D$2*(J37-(Z37*$D$2/(0.85*$B$2*(D37*1000)))/2)/1000000</f>
        <v>73.90552018</v>
      </c>
      <c r="AB37" s="15" t="str">
        <f>IF(AA37&gt;=G37,"CUMPLE","REVISAR")</f>
        <v>CUMPLE</v>
      </c>
      <c r="AC37" s="10">
        <f>0.17*SQRT($B$2)*(D37*1000)*J37/1000</f>
        <v>107.8499513</v>
      </c>
      <c r="AD37" s="10">
        <f>MAX(H37/0.75-AC37,0)</f>
        <v>29.84338205</v>
      </c>
      <c r="AE37" s="14">
        <f>IF(AD37&gt;0,MIN($N$2*$D$2*J37/(AD37*1000),MIN(J37/4,6*$H$2,150)),MIN(J37/4,6*$H$2,150))</f>
        <v>85.6375</v>
      </c>
      <c r="AF37" s="10">
        <f>0.66*SQRT($B$2)*(D37*1000)*J37/1000</f>
        <v>418.7115756</v>
      </c>
      <c r="AG37" s="15" t="str">
        <f>IF(AD37&lt;=AF37,"CUMPLE","AUMENTAR SECCION")</f>
        <v>CUMPLE</v>
      </c>
      <c r="AH37" s="10">
        <f>0.75*0.083*SQRT($B$2)*(((D37*1000)*(E37*1000))^2/(2*((D37*1000)+(E37*1000))))/1000000</f>
        <v>4.304108233</v>
      </c>
      <c r="AI37" s="15" t="str">
        <f>IF(I37&gt;AH37,"SI","No")</f>
        <v>SI</v>
      </c>
      <c r="AJ37" s="11">
        <f>IF(I37&gt;AH37,I37*1000000/(0.75*2*0.85*((D37*1000-2*$F$2)*(E37*1000-2*$F$2))*$D$2),0)</f>
        <v>0.1296166615</v>
      </c>
      <c r="AK37" s="10">
        <f>1.25*Q37*$D$2*(J37-(1.25*Q37*$D$2/(0.85*$B$2*(D37*1000)))/2)/1000000</f>
        <v>101.4672613</v>
      </c>
      <c r="AL37" s="10">
        <f>1.25*Z37*$D$2*(J37-(1.25*Z37*$D$2/(0.85*$B$2*(D37*1000)))/2)/1000000</f>
        <v>101.4672613</v>
      </c>
      <c r="AM37" s="10">
        <f>(AK37+AL37)/B37</f>
        <v>55.55283949</v>
      </c>
      <c r="AN37" s="10">
        <f>MAX(H37,AM37)</f>
        <v>103.27</v>
      </c>
    </row>
    <row r="38">
      <c r="A38" s="5" t="inlineStr">
        <is>
          <t>F35</t>
        </is>
      </c>
      <c r="B38" s="6" t="n">
        <v>2.6</v>
      </c>
      <c r="C38" s="7" t="inlineStr">
        <is>
          <t>VC</t>
        </is>
      </c>
      <c r="D38" s="8">
        <f>IF(C38="VR",0.35,0.30)</f>
        <v>0.3</v>
      </c>
      <c r="E38" s="6" t="n">
        <v>0.4</v>
      </c>
      <c r="F38" s="9" t="n">
        <v>20.8</v>
      </c>
      <c r="G38" s="9" t="n">
        <v>12.4</v>
      </c>
      <c r="H38" s="9" t="n">
        <v>45.2</v>
      </c>
      <c r="I38" s="6" t="n">
        <v>2.29</v>
      </c>
      <c r="J38" s="10">
        <f>E38*1000-$F$2-$L$2-$H$2/2</f>
        <v>342.55</v>
      </c>
      <c r="K38" s="11">
        <f>F38*1000000/(0.9*(D38*1000)*J38^2)</f>
        <v>0.6577880914</v>
      </c>
      <c r="L38" s="12">
        <f>(0.85*$B$2/$D$2)*(1-SQRT(1-2*K38/(0.85*$B$2)))</f>
        <v>0.001588424708</v>
      </c>
      <c r="M38" s="13">
        <f>L38*(D38*1000)*J38</f>
        <v>163.2344651</v>
      </c>
      <c r="N38" s="13">
        <f>MAX(0.25*SQRT($B$2)/$D$2,1.4/$D$2)*(D38*1000)*J38</f>
        <v>342.55</v>
      </c>
      <c r="O38" s="13">
        <f>MAX(M38,N38)</f>
        <v>342.55</v>
      </c>
      <c r="P38" s="14">
        <f>ROUNDUP(O38/$J$2,0)</f>
        <v>2</v>
      </c>
      <c r="Q38" s="13">
        <f>P38*$J$2</f>
        <v>398</v>
      </c>
      <c r="R38" s="10">
        <f>Q38*$D$2/(0.85*$B$2*(D38*1000))</f>
        <v>23.41176471</v>
      </c>
      <c r="S38" s="10">
        <f>0.9*Q38*$D$2*(J38-R38/2)/1000000</f>
        <v>49.77351244</v>
      </c>
      <c r="T38" s="15" t="str">
        <f>IF(AND(S38&gt;=F38,O38&lt;=0.025*(D38*1000)*J38,O38&gt;=N38),"CUMPLE","REVISAR")</f>
        <v>CUMPLE</v>
      </c>
      <c r="U38" s="11">
        <f>G38*1000000/(0.9*(D38*1000)*J38^2)</f>
        <v>0.3907589526</v>
      </c>
      <c r="V38" s="12">
        <f>(0.85*$B$2/$D$2)*(1-SQRT(1-2*U38/(0.85*$B$2)))</f>
        <v>0.0009381441746</v>
      </c>
      <c r="W38" s="13">
        <f>V38*(D38*1000)*J38</f>
        <v>96.40838611</v>
      </c>
      <c r="X38" s="13">
        <f>MAX(W38,N38)</f>
        <v>342.55</v>
      </c>
      <c r="Y38" s="14">
        <f>ROUNDUP(X38/$J$2,0)</f>
        <v>2</v>
      </c>
      <c r="Z38" s="13">
        <f>Y38*$J$2</f>
        <v>398</v>
      </c>
      <c r="AA38" s="10">
        <f>0.9*Z38*$D$2*(J38-(Z38*$D$2/(0.85*$B$2*(D38*1000)))/2)/1000000</f>
        <v>49.77351244</v>
      </c>
      <c r="AB38" s="15" t="str">
        <f>IF(AA38&gt;=G38,"CUMPLE","REVISAR")</f>
        <v>CUMPLE</v>
      </c>
      <c r="AC38" s="10">
        <f>0.17*SQRT($B$2)*(D38*1000)*J38/1000</f>
        <v>92.44281538</v>
      </c>
      <c r="AD38" s="10">
        <f>MAX(H38/0.75-AC38,0)</f>
        <v>0</v>
      </c>
      <c r="AE38" s="14">
        <f>IF(AD38&gt;0,MIN($N$2*$D$2*J38/(AD38*1000),MIN(J38/4,6*$H$2,150)),MIN(J38/4,6*$H$2,150))</f>
        <v>85.6375</v>
      </c>
      <c r="AF38" s="10">
        <f>0.66*SQRT($B$2)*(D38*1000)*J38/1000</f>
        <v>358.8956362</v>
      </c>
      <c r="AG38" s="15" t="str">
        <f>IF(AD38&lt;=AF38,"CUMPLE","AUMENTAR SECCION")</f>
        <v>CUMPLE</v>
      </c>
      <c r="AH38" s="10">
        <f>0.75*0.083*SQRT($B$2)*(((D38*1000)*(E38*1000))^2/(2*((D38*1000)+(E38*1000))))/1000000</f>
        <v>3.388073536</v>
      </c>
      <c r="AI38" s="15" t="str">
        <f>IF(I38&gt;AH38,"SI","No")</f>
        <v>No</v>
      </c>
      <c r="AJ38" s="11">
        <f>IF(I38&gt;AH38,I38*1000000/(0.75*2*0.85*((D38*1000-2*$F$2)*(E38*1000-2*$F$2))*$D$2),0)</f>
        <v>0</v>
      </c>
      <c r="AK38" s="10">
        <f>1.25*Q38*$D$2*(J38-(1.25*Q38*$D$2/(0.85*$B$2*(D38*1000)))/2)/1000000</f>
        <v>68.51839235</v>
      </c>
      <c r="AL38" s="10">
        <f>1.25*Z38*$D$2*(J38-(1.25*Z38*$D$2/(0.85*$B$2*(D38*1000)))/2)/1000000</f>
        <v>68.51839235</v>
      </c>
      <c r="AM38" s="10">
        <f>(AK38+AL38)/B38</f>
        <v>52.70645566</v>
      </c>
      <c r="AN38" s="10">
        <f>MAX(H38,AM38)</f>
        <v>52.70645566</v>
      </c>
    </row>
    <row r="39">
      <c r="A39" s="5" t="inlineStr">
        <is>
          <t>F36</t>
        </is>
      </c>
      <c r="B39" s="6" t="n">
        <v>2.5</v>
      </c>
      <c r="C39" s="7" t="inlineStr">
        <is>
          <t>VC</t>
        </is>
      </c>
      <c r="D39" s="8">
        <f>IF(C39="VR",0.35,0.30)</f>
        <v>0.3</v>
      </c>
      <c r="E39" s="6" t="n">
        <v>0.4</v>
      </c>
      <c r="F39" s="9" t="n">
        <v>23.2</v>
      </c>
      <c r="G39" s="9" t="n">
        <v>8.6</v>
      </c>
      <c r="H39" s="9" t="n">
        <v>45</v>
      </c>
      <c r="I39" s="6" t="n">
        <v>0.46</v>
      </c>
      <c r="J39" s="10">
        <f>E39*1000-$F$2-$L$2-$H$2/2</f>
        <v>342.55</v>
      </c>
      <c r="K39" s="11">
        <f>F39*1000000/(0.9*(D39*1000)*J39^2)</f>
        <v>0.732909764</v>
      </c>
      <c r="L39" s="12">
        <f>(0.85*$B$2/$D$2)*(1-SQRT(1-2*K39/(0.85*$B$2)))</f>
        <v>0.001772752526</v>
      </c>
      <c r="M39" s="13">
        <f>L39*(D39*1000)*J39</f>
        <v>182.1769133</v>
      </c>
      <c r="N39" s="13">
        <f>MAX(0.25*SQRT($B$2)/$D$2,1.4/$D$2)*(D39*1000)*J39</f>
        <v>342.55</v>
      </c>
      <c r="O39" s="13">
        <f>MAX(M39,N39)</f>
        <v>342.55</v>
      </c>
      <c r="P39" s="14">
        <f>ROUNDUP(O39/$J$2,0)</f>
        <v>2</v>
      </c>
      <c r="Q39" s="13">
        <f>P39*$J$2</f>
        <v>398</v>
      </c>
      <c r="R39" s="10">
        <f>Q39*$D$2/(0.85*$B$2*(D39*1000))</f>
        <v>23.41176471</v>
      </c>
      <c r="S39" s="10">
        <f>0.9*Q39*$D$2*(J39-R39/2)/1000000</f>
        <v>49.77351244</v>
      </c>
      <c r="T39" s="15" t="str">
        <f>IF(AND(S39&gt;=F39,O39&lt;=0.025*(D39*1000)*J39,O39&gt;=N39),"CUMPLE","REVISAR")</f>
        <v>CUMPLE</v>
      </c>
      <c r="U39" s="11">
        <f>G39*1000000/(0.9*(D39*1000)*J39^2)</f>
        <v>0.271763698</v>
      </c>
      <c r="V39" s="12">
        <f>(0.85*$B$2/$D$2)*(1-SQRT(1-2*U39/(0.85*$B$2)))</f>
        <v>0.0006507934722</v>
      </c>
      <c r="W39" s="13">
        <f>V39*(D39*1000)*J39</f>
        <v>66.87879117</v>
      </c>
      <c r="X39" s="13">
        <f>MAX(W39,N39)</f>
        <v>342.55</v>
      </c>
      <c r="Y39" s="14">
        <f>ROUNDUP(X39/$J$2,0)</f>
        <v>2</v>
      </c>
      <c r="Z39" s="13">
        <f>Y39*$J$2</f>
        <v>398</v>
      </c>
      <c r="AA39" s="10">
        <f>0.9*Z39*$D$2*(J39-(Z39*$D$2/(0.85*$B$2*(D39*1000)))/2)/1000000</f>
        <v>49.77351244</v>
      </c>
      <c r="AB39" s="15" t="str">
        <f>IF(AA39&gt;=G39,"CUMPLE","REVISAR")</f>
        <v>CUMPLE</v>
      </c>
      <c r="AC39" s="10">
        <f>0.17*SQRT($B$2)*(D39*1000)*J39/1000</f>
        <v>92.44281538</v>
      </c>
      <c r="AD39" s="10">
        <f>MAX(H39/0.75-AC39,0)</f>
        <v>0</v>
      </c>
      <c r="AE39" s="14">
        <f>IF(AD39&gt;0,MIN($N$2*$D$2*J39/(AD39*1000),MIN(J39/4,6*$H$2,150)),MIN(J39/4,6*$H$2,150))</f>
        <v>85.6375</v>
      </c>
      <c r="AF39" s="10">
        <f>0.66*SQRT($B$2)*(D39*1000)*J39/1000</f>
        <v>358.8956362</v>
      </c>
      <c r="AG39" s="15" t="str">
        <f>IF(AD39&lt;=AF39,"CUMPLE","AUMENTAR SECCION")</f>
        <v>CUMPLE</v>
      </c>
      <c r="AH39" s="10">
        <f>0.75*0.083*SQRT($B$2)*(((D39*1000)*(E39*1000))^2/(2*((D39*1000)+(E39*1000))))/1000000</f>
        <v>3.388073536</v>
      </c>
      <c r="AI39" s="15" t="str">
        <f>IF(I39&gt;AH39,"SI","No")</f>
        <v>No</v>
      </c>
      <c r="AJ39" s="11">
        <f>IF(I39&gt;AH39,I39*1000000/(0.75*2*0.85*((D39*1000-2*$F$2)*(E39*1000-2*$F$2))*$D$2),0)</f>
        <v>0</v>
      </c>
      <c r="AK39" s="10">
        <f>1.25*Q39*$D$2*(J39-(1.25*Q39*$D$2/(0.85*$B$2*(D39*1000)))/2)/1000000</f>
        <v>68.51839235</v>
      </c>
      <c r="AL39" s="10">
        <f>1.25*Z39*$D$2*(J39-(1.25*Z39*$D$2/(0.85*$B$2*(D39*1000)))/2)/1000000</f>
        <v>68.51839235</v>
      </c>
      <c r="AM39" s="10">
        <f>(AK39+AL39)/B39</f>
        <v>54.81471388</v>
      </c>
      <c r="AN39" s="10">
        <f>MAX(H39,AM39)</f>
        <v>54.81471388</v>
      </c>
    </row>
    <row r="40">
      <c r="A40" s="5" t="inlineStr">
        <is>
          <t>F37</t>
        </is>
      </c>
      <c r="B40" s="6" t="n">
        <v>4.18</v>
      </c>
      <c r="C40" s="7" t="inlineStr">
        <is>
          <t>VR</t>
        </is>
      </c>
      <c r="D40" s="8">
        <f>IF(C40="VR",0.35,0.30)</f>
        <v>0.35</v>
      </c>
      <c r="E40" s="6" t="n">
        <v>0.4</v>
      </c>
      <c r="F40" s="9" t="n">
        <v>75.90000000000001</v>
      </c>
      <c r="G40" s="9" t="n">
        <v>25.6</v>
      </c>
      <c r="H40" s="9" t="n">
        <v>78.3</v>
      </c>
      <c r="I40" s="6" t="n">
        <v>0.44</v>
      </c>
      <c r="J40" s="10">
        <f>E40*1000-$F$2-$L$2-$H$2/2</f>
        <v>342.55</v>
      </c>
      <c r="K40" s="11">
        <f>F40*1000000/(0.9*(D40*1000)*J40^2)</f>
        <v>2.0542576</v>
      </c>
      <c r="L40" s="12">
        <f>(0.85*$B$2/$D$2)*(1-SQRT(1-2*K40/(0.85*$B$2)))</f>
        <v>0.005122630816</v>
      </c>
      <c r="M40" s="13">
        <f>L40*(D40*1000)*J40</f>
        <v>614.1650151</v>
      </c>
      <c r="N40" s="13">
        <f>MAX(0.25*SQRT($B$2)/$D$2,1.4/$D$2)*(D40*1000)*J40</f>
        <v>399.6416667</v>
      </c>
      <c r="O40" s="13">
        <f>MAX(M40,N40)</f>
        <v>614.1650151</v>
      </c>
      <c r="P40" s="14">
        <f>ROUNDUP(O40/$J$2,0)</f>
        <v>4</v>
      </c>
      <c r="Q40" s="13">
        <f>P40*$J$2</f>
        <v>796</v>
      </c>
      <c r="R40" s="10">
        <f>Q40*$D$2/(0.85*$B$2*(D40*1000))</f>
        <v>40.13445378</v>
      </c>
      <c r="S40" s="10">
        <f>0.9*Q40*$D$2*(J40-R40/2)/1000000</f>
        <v>97.03119664</v>
      </c>
      <c r="T40" s="15" t="str">
        <f>IF(AND(S40&gt;=F40,O40&lt;=0.025*(D40*1000)*J40,O40&gt;=N40),"CUMPLE","REVISAR")</f>
        <v>CUMPLE</v>
      </c>
      <c r="U40" s="11">
        <f>G40*1000000/(0.9*(D40*1000)*J40^2)</f>
        <v>0.6925983743</v>
      </c>
      <c r="V40" s="12">
        <f>(0.85*$B$2/$D$2)*(1-SQRT(1-2*U40/(0.85*$B$2)))</f>
        <v>0.001673762703</v>
      </c>
      <c r="W40" s="13">
        <f>V40*(D40*1000)*J40</f>
        <v>200.6715949</v>
      </c>
      <c r="X40" s="13">
        <f>MAX(W40,N40)</f>
        <v>399.6416667</v>
      </c>
      <c r="Y40" s="14">
        <f>ROUNDUP(X40/$J$2,0)</f>
        <v>3</v>
      </c>
      <c r="Z40" s="13">
        <f>Y40*$J$2</f>
        <v>597</v>
      </c>
      <c r="AA40" s="10">
        <f>0.9*Z40*$D$2*(J40-(Z40*$D$2/(0.85*$B$2*(D40*1000)))/2)/1000000</f>
        <v>73.90552018</v>
      </c>
      <c r="AB40" s="15" t="str">
        <f>IF(AA40&gt;=G40,"CUMPLE","REVISAR")</f>
        <v>CUMPLE</v>
      </c>
      <c r="AC40" s="10">
        <f>0.17*SQRT($B$2)*(D40*1000)*J40/1000</f>
        <v>107.8499513</v>
      </c>
      <c r="AD40" s="10">
        <f>MAX(H40/0.75-AC40,0)</f>
        <v>0</v>
      </c>
      <c r="AE40" s="14">
        <f>IF(AD40&gt;0,MIN($N$2*$D$2*J40/(AD40*1000),MIN(J40/4,6*$H$2,150)),MIN(J40/4,6*$H$2,150))</f>
        <v>85.6375</v>
      </c>
      <c r="AF40" s="10">
        <f>0.66*SQRT($B$2)*(D40*1000)*J40/1000</f>
        <v>418.7115756</v>
      </c>
      <c r="AG40" s="15" t="str">
        <f>IF(AD40&lt;=AF40,"CUMPLE","AUMENTAR SECCION")</f>
        <v>CUMPLE</v>
      </c>
      <c r="AH40" s="10">
        <f>0.75*0.083*SQRT($B$2)*(((D40*1000)*(E40*1000))^2/(2*((D40*1000)+(E40*1000))))/1000000</f>
        <v>4.304108233</v>
      </c>
      <c r="AI40" s="15" t="str">
        <f>IF(I40&gt;AH40,"SI","No")</f>
        <v>No</v>
      </c>
      <c r="AJ40" s="11">
        <f>IF(I40&gt;AH40,I40*1000000/(0.75*2*0.85*((D40*1000-2*$F$2)*(E40*1000-2*$F$2))*$D$2),0)</f>
        <v>0</v>
      </c>
      <c r="AK40" s="10">
        <f>1.25*Q40*$D$2*(J40-(1.25*Q40*$D$2/(0.85*$B$2*(D40*1000)))/2)/1000000</f>
        <v>132.6690274</v>
      </c>
      <c r="AL40" s="10">
        <f>1.25*Z40*$D$2*(J40-(1.25*Z40*$D$2/(0.85*$B$2*(D40*1000)))/2)/1000000</f>
        <v>101.4672613</v>
      </c>
      <c r="AM40" s="10">
        <f>(AK40+AL40)/B40</f>
        <v>56.06711894</v>
      </c>
      <c r="AN40" s="10">
        <f>MAX(H40,AM40)</f>
        <v>78.26</v>
      </c>
    </row>
    <row r="41">
      <c r="A41" s="5" t="inlineStr">
        <is>
          <t>F38</t>
        </is>
      </c>
      <c r="B41" s="6" t="n">
        <v>2.7</v>
      </c>
      <c r="C41" s="7" t="inlineStr">
        <is>
          <t>VR</t>
        </is>
      </c>
      <c r="D41" s="8">
        <f>IF(C41="VR",0.35,0.30)</f>
        <v>0.35</v>
      </c>
      <c r="E41" s="6" t="n">
        <v>0.4</v>
      </c>
      <c r="F41" s="9" t="n">
        <v>31.6</v>
      </c>
      <c r="G41" s="9" t="n">
        <v>10.5</v>
      </c>
      <c r="H41" s="9" t="n">
        <v>51.9</v>
      </c>
      <c r="I41" s="6" t="n">
        <v>4.19</v>
      </c>
      <c r="J41" s="10">
        <f>E41*1000-$F$2-$L$2-$H$2/2</f>
        <v>342.55</v>
      </c>
      <c r="K41" s="11">
        <f>F41*1000000/(0.9*(D41*1000)*J41^2)</f>
        <v>0.8541144795</v>
      </c>
      <c r="L41" s="12">
        <f>(0.85*$B$2/$D$2)*(1-SQRT(1-2*K41/(0.85*$B$2)))</f>
        <v>0.00207146747</v>
      </c>
      <c r="M41" s="13">
        <f>L41*(D41*1000)*J41</f>
        <v>248.3534136</v>
      </c>
      <c r="N41" s="13">
        <f>MAX(0.25*SQRT($B$2)/$D$2,1.4/$D$2)*(D41*1000)*J41</f>
        <v>399.6416667</v>
      </c>
      <c r="O41" s="13">
        <f>MAX(M41,N41)</f>
        <v>399.6416667</v>
      </c>
      <c r="P41" s="14">
        <f>ROUNDUP(O41/$J$2,0)</f>
        <v>3</v>
      </c>
      <c r="Q41" s="13">
        <f>P41*$J$2</f>
        <v>597</v>
      </c>
      <c r="R41" s="10">
        <f>Q41*$D$2/(0.85*$B$2*(D41*1000))</f>
        <v>30.10084034</v>
      </c>
      <c r="S41" s="10">
        <f>0.9*Q41*$D$2*(J41-R41/2)/1000000</f>
        <v>73.90552018</v>
      </c>
      <c r="T41" s="15" t="str">
        <f>IF(AND(S41&gt;=F41,O41&lt;=0.025*(D41*1000)*J41,O41&gt;=N41),"CUMPLE","REVISAR")</f>
        <v>CUMPLE</v>
      </c>
      <c r="U41" s="11">
        <f>G41*1000000/(0.9*(D41*1000)*J41^2)</f>
        <v>0.2846146444</v>
      </c>
      <c r="V41" s="12">
        <f>(0.85*$B$2/$D$2)*(1-SQRT(1-2*U41/(0.85*$B$2)))</f>
        <v>0.0006817550025</v>
      </c>
      <c r="W41" s="13">
        <f>V41*(D41*1000)*J41</f>
        <v>81.73731164</v>
      </c>
      <c r="X41" s="13">
        <f>MAX(W41,N41)</f>
        <v>399.6416667</v>
      </c>
      <c r="Y41" s="14">
        <f>ROUNDUP(X41/$J$2,0)</f>
        <v>3</v>
      </c>
      <c r="Z41" s="13">
        <f>Y41*$J$2</f>
        <v>597</v>
      </c>
      <c r="AA41" s="10">
        <f>0.9*Z41*$D$2*(J41-(Z41*$D$2/(0.85*$B$2*(D41*1000)))/2)/1000000</f>
        <v>73.90552018</v>
      </c>
      <c r="AB41" s="15" t="str">
        <f>IF(AA41&gt;=G41,"CUMPLE","REVISAR")</f>
        <v>CUMPLE</v>
      </c>
      <c r="AC41" s="10">
        <f>0.17*SQRT($B$2)*(D41*1000)*J41/1000</f>
        <v>107.8499513</v>
      </c>
      <c r="AD41" s="10">
        <f>MAX(H41/0.75-AC41,0)</f>
        <v>0</v>
      </c>
      <c r="AE41" s="14">
        <f>IF(AD41&gt;0,MIN($N$2*$D$2*J41/(AD41*1000),MIN(J41/4,6*$H$2,150)),MIN(J41/4,6*$H$2,150))</f>
        <v>85.6375</v>
      </c>
      <c r="AF41" s="10">
        <f>0.66*SQRT($B$2)*(D41*1000)*J41/1000</f>
        <v>418.7115756</v>
      </c>
      <c r="AG41" s="15" t="str">
        <f>IF(AD41&lt;=AF41,"CUMPLE","AUMENTAR SECCION")</f>
        <v>CUMPLE</v>
      </c>
      <c r="AH41" s="10">
        <f>0.75*0.083*SQRT($B$2)*(((D41*1000)*(E41*1000))^2/(2*((D41*1000)+(E41*1000))))/1000000</f>
        <v>4.304108233</v>
      </c>
      <c r="AI41" s="15" t="str">
        <f>IF(I41&gt;AH41,"SI","No")</f>
        <v>No</v>
      </c>
      <c r="AJ41" s="11">
        <f>IF(I41&gt;AH41,I41*1000000/(0.75*2*0.85*((D41*1000-2*$F$2)*(E41*1000-2*$F$2))*$D$2),0)</f>
        <v>0</v>
      </c>
      <c r="AK41" s="10">
        <f>1.25*Q41*$D$2*(J41-(1.25*Q41*$D$2/(0.85*$B$2*(D41*1000)))/2)/1000000</f>
        <v>101.4672613</v>
      </c>
      <c r="AL41" s="10">
        <f>1.25*Z41*$D$2*(J41-(1.25*Z41*$D$2/(0.85*$B$2*(D41*1000)))/2)/1000000</f>
        <v>101.4672613</v>
      </c>
      <c r="AM41" s="10">
        <f>(AK41+AL41)/B41</f>
        <v>75.16093431</v>
      </c>
      <c r="AN41" s="10">
        <f>MAX(H41,AM41)</f>
        <v>75.16093431</v>
      </c>
    </row>
    <row r="42">
      <c r="A42" s="5" t="inlineStr">
        <is>
          <t>F39</t>
        </is>
      </c>
      <c r="B42" s="6" t="n">
        <v>2.8</v>
      </c>
      <c r="C42" s="7" t="inlineStr">
        <is>
          <t>VR</t>
        </is>
      </c>
      <c r="D42" s="8">
        <f>IF(C42="VR",0.35,0.30)</f>
        <v>0.35</v>
      </c>
      <c r="E42" s="6" t="n">
        <v>0.4</v>
      </c>
      <c r="F42" s="9" t="n">
        <v>32.4</v>
      </c>
      <c r="G42" s="9" t="n">
        <v>10.8</v>
      </c>
      <c r="H42" s="9" t="n">
        <v>52.8</v>
      </c>
      <c r="I42" s="6" t="n">
        <v>4.04</v>
      </c>
      <c r="J42" s="10">
        <f>E42*1000-$F$2-$L$2-$H$2/2</f>
        <v>342.55</v>
      </c>
      <c r="K42" s="11">
        <f>F42*1000000/(0.9*(D42*1000)*J42^2)</f>
        <v>0.8773814562</v>
      </c>
      <c r="L42" s="12">
        <f>(0.85*$B$2/$D$2)*(1-SQRT(1-2*K42/(0.85*$B$2)))</f>
        <v>0.002128997255</v>
      </c>
      <c r="M42" s="13">
        <f>L42*(D42*1000)*J42</f>
        <v>255.2508034</v>
      </c>
      <c r="N42" s="13">
        <f>MAX(0.25*SQRT($B$2)/$D$2,1.4/$D$2)*(D42*1000)*J42</f>
        <v>399.6416667</v>
      </c>
      <c r="O42" s="13">
        <f>MAX(M42,N42)</f>
        <v>399.6416667</v>
      </c>
      <c r="P42" s="14">
        <f>ROUNDUP(O42/$J$2,0)</f>
        <v>3</v>
      </c>
      <c r="Q42" s="13">
        <f>P42*$J$2</f>
        <v>597</v>
      </c>
      <c r="R42" s="10">
        <f>Q42*$D$2/(0.85*$B$2*(D42*1000))</f>
        <v>30.10084034</v>
      </c>
      <c r="S42" s="10">
        <f>0.9*Q42*$D$2*(J42-R42/2)/1000000</f>
        <v>73.90552018</v>
      </c>
      <c r="T42" s="15" t="str">
        <f>IF(AND(S42&gt;=F42,O42&lt;=0.025*(D42*1000)*J42,O42&gt;=N42),"CUMPLE","REVISAR")</f>
        <v>CUMPLE</v>
      </c>
      <c r="U42" s="11">
        <f>G42*1000000/(0.9*(D42*1000)*J42^2)</f>
        <v>0.2924604854</v>
      </c>
      <c r="V42" s="12">
        <f>(0.85*$B$2/$D$2)*(1-SQRT(1-2*U42/(0.85*$B$2)))</f>
        <v>0.0007006662525</v>
      </c>
      <c r="W42" s="13">
        <f>V42*(D42*1000)*J42</f>
        <v>84.00462868</v>
      </c>
      <c r="X42" s="13">
        <f>MAX(W42,N42)</f>
        <v>399.6416667</v>
      </c>
      <c r="Y42" s="14">
        <f>ROUNDUP(X42/$J$2,0)</f>
        <v>3</v>
      </c>
      <c r="Z42" s="13">
        <f>Y42*$J$2</f>
        <v>597</v>
      </c>
      <c r="AA42" s="10">
        <f>0.9*Z42*$D$2*(J42-(Z42*$D$2/(0.85*$B$2*(D42*1000)))/2)/1000000</f>
        <v>73.90552018</v>
      </c>
      <c r="AB42" s="15" t="str">
        <f>IF(AA42&gt;=G42,"CUMPLE","REVISAR")</f>
        <v>CUMPLE</v>
      </c>
      <c r="AC42" s="10">
        <f>0.17*SQRT($B$2)*(D42*1000)*J42/1000</f>
        <v>107.8499513</v>
      </c>
      <c r="AD42" s="10">
        <f>MAX(H42/0.75-AC42,0)</f>
        <v>0</v>
      </c>
      <c r="AE42" s="14">
        <f>IF(AD42&gt;0,MIN($N$2*$D$2*J42/(AD42*1000),MIN(J42/4,6*$H$2,150)),MIN(J42/4,6*$H$2,150))</f>
        <v>85.6375</v>
      </c>
      <c r="AF42" s="10">
        <f>0.66*SQRT($B$2)*(D42*1000)*J42/1000</f>
        <v>418.7115756</v>
      </c>
      <c r="AG42" s="15" t="str">
        <f>IF(AD42&lt;=AF42,"CUMPLE","AUMENTAR SECCION")</f>
        <v>CUMPLE</v>
      </c>
      <c r="AH42" s="10">
        <f>0.75*0.083*SQRT($B$2)*(((D42*1000)*(E42*1000))^2/(2*((D42*1000)+(E42*1000))))/1000000</f>
        <v>4.304108233</v>
      </c>
      <c r="AI42" s="15" t="str">
        <f>IF(I42&gt;AH42,"SI","No")</f>
        <v>No</v>
      </c>
      <c r="AJ42" s="11">
        <f>IF(I42&gt;AH42,I42*1000000/(0.75*2*0.85*((D42*1000-2*$F$2)*(E42*1000-2*$F$2))*$D$2),0)</f>
        <v>0</v>
      </c>
      <c r="AK42" s="10">
        <f>1.25*Q42*$D$2*(J42-(1.25*Q42*$D$2/(0.85*$B$2*(D42*1000)))/2)/1000000</f>
        <v>101.4672613</v>
      </c>
      <c r="AL42" s="10">
        <f>1.25*Z42*$D$2*(J42-(1.25*Z42*$D$2/(0.85*$B$2*(D42*1000)))/2)/1000000</f>
        <v>101.4672613</v>
      </c>
      <c r="AM42" s="10">
        <f>(AK42+AL42)/B42</f>
        <v>72.47661523</v>
      </c>
      <c r="AN42" s="10">
        <f>MAX(H42,AM42)</f>
        <v>72.47661523</v>
      </c>
    </row>
    <row r="43">
      <c r="A43" s="5" t="inlineStr">
        <is>
          <t>F40</t>
        </is>
      </c>
      <c r="B43" s="6" t="n">
        <v>4.18</v>
      </c>
      <c r="C43" s="7" t="inlineStr">
        <is>
          <t>VR</t>
        </is>
      </c>
      <c r="D43" s="8">
        <f>IF(C43="VR",0.35,0.30)</f>
        <v>0.35</v>
      </c>
      <c r="E43" s="6" t="n">
        <v>0.4</v>
      </c>
      <c r="F43" s="9" t="n">
        <v>76</v>
      </c>
      <c r="G43" s="9" t="n">
        <v>25.6</v>
      </c>
      <c r="H43" s="9" t="n">
        <v>78.3</v>
      </c>
      <c r="I43" s="6" t="n">
        <v>0.44</v>
      </c>
      <c r="J43" s="10">
        <f>E43*1000-$F$2-$L$2-$H$2/2</f>
        <v>342.55</v>
      </c>
      <c r="K43" s="11">
        <f>F43*1000000/(0.9*(D43*1000)*J43^2)</f>
        <v>2.056692516</v>
      </c>
      <c r="L43" s="12">
        <f>(0.85*$B$2/$D$2)*(1-SQRT(1-2*K43/(0.85*$B$2)))</f>
        <v>0.005129004798</v>
      </c>
      <c r="M43" s="13">
        <f>L43*(D43*1000)*J43</f>
        <v>614.9292078</v>
      </c>
      <c r="N43" s="13">
        <f>MAX(0.25*SQRT($B$2)/$D$2,1.4/$D$2)*(D43*1000)*J43</f>
        <v>399.6416667</v>
      </c>
      <c r="O43" s="13">
        <f>MAX(M43,N43)</f>
        <v>614.9292078</v>
      </c>
      <c r="P43" s="14">
        <f>ROUNDUP(O43/$J$2,0)</f>
        <v>4</v>
      </c>
      <c r="Q43" s="13">
        <f>P43*$J$2</f>
        <v>796</v>
      </c>
      <c r="R43" s="10">
        <f>Q43*$D$2/(0.85*$B$2*(D43*1000))</f>
        <v>40.13445378</v>
      </c>
      <c r="S43" s="10">
        <f>0.9*Q43*$D$2*(J43-R43/2)/1000000</f>
        <v>97.03119664</v>
      </c>
      <c r="T43" s="15" t="str">
        <f>IF(AND(S43&gt;=F43,O43&lt;=0.025*(D43*1000)*J43,O43&gt;=N43),"CUMPLE","REVISAR")</f>
        <v>CUMPLE</v>
      </c>
      <c r="U43" s="11">
        <f>G43*1000000/(0.9*(D43*1000)*J43^2)</f>
        <v>0.693410013</v>
      </c>
      <c r="V43" s="12">
        <f>(0.85*$B$2/$D$2)*(1-SQRT(1-2*U43/(0.85*$B$2)))</f>
        <v>0.001675754029</v>
      </c>
      <c r="W43" s="13">
        <f>V43*(D43*1000)*J43</f>
        <v>200.91034</v>
      </c>
      <c r="X43" s="13">
        <f>MAX(W43,N43)</f>
        <v>399.6416667</v>
      </c>
      <c r="Y43" s="14">
        <f>ROUNDUP(X43/$J$2,0)</f>
        <v>3</v>
      </c>
      <c r="Z43" s="13">
        <f>Y43*$J$2</f>
        <v>597</v>
      </c>
      <c r="AA43" s="10">
        <f>0.9*Z43*$D$2*(J43-(Z43*$D$2/(0.85*$B$2*(D43*1000)))/2)/1000000</f>
        <v>73.90552018</v>
      </c>
      <c r="AB43" s="15" t="str">
        <f>IF(AA43&gt;=G43,"CUMPLE","REVISAR")</f>
        <v>CUMPLE</v>
      </c>
      <c r="AC43" s="10">
        <f>0.17*SQRT($B$2)*(D43*1000)*J43/1000</f>
        <v>107.8499513</v>
      </c>
      <c r="AD43" s="10">
        <f>MAX(H43/0.75-AC43,0)</f>
        <v>0</v>
      </c>
      <c r="AE43" s="14">
        <f>IF(AD43&gt;0,MIN($N$2*$D$2*J43/(AD43*1000),MIN(J43/4,6*$H$2,150)),MIN(J43/4,6*$H$2,150))</f>
        <v>85.6375</v>
      </c>
      <c r="AF43" s="10">
        <f>0.66*SQRT($B$2)*(D43*1000)*J43/1000</f>
        <v>418.7115756</v>
      </c>
      <c r="AG43" s="15" t="str">
        <f>IF(AD43&lt;=AF43,"CUMPLE","AUMENTAR SECCION")</f>
        <v>CUMPLE</v>
      </c>
      <c r="AH43" s="10">
        <f>0.75*0.083*SQRT($B$2)*(((D43*1000)*(E43*1000))^2/(2*((D43*1000)+(E43*1000))))/1000000</f>
        <v>4.304108233</v>
      </c>
      <c r="AI43" s="15" t="str">
        <f>IF(I43&gt;AH43,"SI","No")</f>
        <v>No</v>
      </c>
      <c r="AJ43" s="11">
        <f>IF(I43&gt;AH43,I43*1000000/(0.75*2*0.85*((D43*1000-2*$F$2)*(E43*1000-2*$F$2))*$D$2),0)</f>
        <v>0</v>
      </c>
      <c r="AK43" s="10">
        <f>1.25*Q43*$D$2*(J43-(1.25*Q43*$D$2/(0.85*$B$2*(D43*1000)))/2)/1000000</f>
        <v>132.6690274</v>
      </c>
      <c r="AL43" s="10">
        <f>1.25*Z43*$D$2*(J43-(1.25*Z43*$D$2/(0.85*$B$2*(D43*1000)))/2)/1000000</f>
        <v>101.4672613</v>
      </c>
      <c r="AM43" s="10">
        <f>(AK43+AL43)/B43</f>
        <v>56.06711894</v>
      </c>
      <c r="AN43" s="10">
        <f>MAX(H43,AM43)</f>
        <v>78.3</v>
      </c>
    </row>
    <row r="44">
      <c r="A44" s="5" t="inlineStr">
        <is>
          <t>F41</t>
        </is>
      </c>
      <c r="B44" s="6" t="n">
        <v>2.5</v>
      </c>
      <c r="C44" s="7" t="inlineStr">
        <is>
          <t>VC</t>
        </is>
      </c>
      <c r="D44" s="8">
        <f>IF(C44="VR",0.35,0.30)</f>
        <v>0.3</v>
      </c>
      <c r="E44" s="6" t="n">
        <v>0.4</v>
      </c>
      <c r="F44" s="9" t="n">
        <v>23.2</v>
      </c>
      <c r="G44" s="9" t="n">
        <v>8.6</v>
      </c>
      <c r="H44" s="9" t="n">
        <v>45</v>
      </c>
      <c r="I44" s="6" t="n">
        <v>0.46</v>
      </c>
      <c r="J44" s="10">
        <f>E44*1000-$F$2-$L$2-$H$2/2</f>
        <v>342.55</v>
      </c>
      <c r="K44" s="11">
        <f>F44*1000000/(0.9*(D44*1000)*J44^2)</f>
        <v>0.7325941268</v>
      </c>
      <c r="L44" s="12">
        <f>(0.85*$B$2/$D$2)*(1-SQRT(1-2*K44/(0.85*$B$2)))</f>
        <v>0.001771976744</v>
      </c>
      <c r="M44" s="13">
        <f>L44*(D44*1000)*J44</f>
        <v>182.0971901</v>
      </c>
      <c r="N44" s="13">
        <f>MAX(0.25*SQRT($B$2)/$D$2,1.4/$D$2)*(D44*1000)*J44</f>
        <v>342.55</v>
      </c>
      <c r="O44" s="13">
        <f>MAX(M44,N44)</f>
        <v>342.55</v>
      </c>
      <c r="P44" s="14">
        <f>ROUNDUP(O44/$J$2,0)</f>
        <v>2</v>
      </c>
      <c r="Q44" s="13">
        <f>P44*$J$2</f>
        <v>398</v>
      </c>
      <c r="R44" s="10">
        <f>Q44*$D$2/(0.85*$B$2*(D44*1000))</f>
        <v>23.41176471</v>
      </c>
      <c r="S44" s="10">
        <f>0.9*Q44*$D$2*(J44-R44/2)/1000000</f>
        <v>49.77351244</v>
      </c>
      <c r="T44" s="15" t="str">
        <f>IF(AND(S44&gt;=F44,O44&lt;=0.025*(D44*1000)*J44,O44&gt;=N44),"CUMPLE","REVISAR")</f>
        <v>CUMPLE</v>
      </c>
      <c r="U44" s="11">
        <f>G44*1000000/(0.9*(D44*1000)*J44^2)</f>
        <v>0.271763698</v>
      </c>
      <c r="V44" s="12">
        <f>(0.85*$B$2/$D$2)*(1-SQRT(1-2*U44/(0.85*$B$2)))</f>
        <v>0.0006507934722</v>
      </c>
      <c r="W44" s="13">
        <f>V44*(D44*1000)*J44</f>
        <v>66.87879117</v>
      </c>
      <c r="X44" s="13">
        <f>MAX(W44,N44)</f>
        <v>342.55</v>
      </c>
      <c r="Y44" s="14">
        <f>ROUNDUP(X44/$J$2,0)</f>
        <v>2</v>
      </c>
      <c r="Z44" s="13">
        <f>Y44*$J$2</f>
        <v>398</v>
      </c>
      <c r="AA44" s="10">
        <f>0.9*Z44*$D$2*(J44-(Z44*$D$2/(0.85*$B$2*(D44*1000)))/2)/1000000</f>
        <v>49.77351244</v>
      </c>
      <c r="AB44" s="15" t="str">
        <f>IF(AA44&gt;=G44,"CUMPLE","REVISAR")</f>
        <v>CUMPLE</v>
      </c>
      <c r="AC44" s="10">
        <f>0.17*SQRT($B$2)*(D44*1000)*J44/1000</f>
        <v>92.44281538</v>
      </c>
      <c r="AD44" s="10">
        <f>MAX(H44/0.75-AC44,0)</f>
        <v>0</v>
      </c>
      <c r="AE44" s="14">
        <f>IF(AD44&gt;0,MIN($N$2*$D$2*J44/(AD44*1000),MIN(J44/4,6*$H$2,150)),MIN(J44/4,6*$H$2,150))</f>
        <v>85.6375</v>
      </c>
      <c r="AF44" s="10">
        <f>0.66*SQRT($B$2)*(D44*1000)*J44/1000</f>
        <v>358.8956362</v>
      </c>
      <c r="AG44" s="15" t="str">
        <f>IF(AD44&lt;=AF44,"CUMPLE","AUMENTAR SECCION")</f>
        <v>CUMPLE</v>
      </c>
      <c r="AH44" s="10">
        <f>0.75*0.083*SQRT($B$2)*(((D44*1000)*(E44*1000))^2/(2*((D44*1000)+(E44*1000))))/1000000</f>
        <v>3.388073536</v>
      </c>
      <c r="AI44" s="15" t="str">
        <f>IF(I44&gt;AH44,"SI","No")</f>
        <v>No</v>
      </c>
      <c r="AJ44" s="11">
        <f>IF(I44&gt;AH44,I44*1000000/(0.75*2*0.85*((D44*1000-2*$F$2)*(E44*1000-2*$F$2))*$D$2),0)</f>
        <v>0</v>
      </c>
      <c r="AK44" s="10">
        <f>1.25*Q44*$D$2*(J44-(1.25*Q44*$D$2/(0.85*$B$2*(D44*1000)))/2)/1000000</f>
        <v>68.51839235</v>
      </c>
      <c r="AL44" s="10">
        <f>1.25*Z44*$D$2*(J44-(1.25*Z44*$D$2/(0.85*$B$2*(D44*1000)))/2)/1000000</f>
        <v>68.51839235</v>
      </c>
      <c r="AM44" s="10">
        <f>(AK44+AL44)/B44</f>
        <v>54.81471388</v>
      </c>
      <c r="AN44" s="10">
        <f>MAX(H44,AM44)</f>
        <v>54.81471388</v>
      </c>
    </row>
    <row r="45">
      <c r="A45" s="5" t="inlineStr">
        <is>
          <t>F42</t>
        </is>
      </c>
      <c r="B45" s="6" t="n">
        <v>2.6</v>
      </c>
      <c r="C45" s="7" t="inlineStr">
        <is>
          <t>VC</t>
        </is>
      </c>
      <c r="D45" s="8">
        <f>IF(C45="VR",0.35,0.30)</f>
        <v>0.3</v>
      </c>
      <c r="E45" s="6" t="n">
        <v>0.4</v>
      </c>
      <c r="F45" s="9" t="n">
        <v>21</v>
      </c>
      <c r="G45" s="9" t="n">
        <v>11.8</v>
      </c>
      <c r="H45" s="9" t="n">
        <v>45.4</v>
      </c>
      <c r="I45" s="6" t="n">
        <v>2.29</v>
      </c>
      <c r="J45" s="10">
        <f>E45*1000-$F$2-$L$2-$H$2/2</f>
        <v>342.55</v>
      </c>
      <c r="K45" s="11">
        <f>F45*1000000/(0.9*(D45*1000)*J45^2)</f>
        <v>0.6615757388</v>
      </c>
      <c r="L45" s="12">
        <f>(0.85*$B$2/$D$2)*(1-SQRT(1-2*K45/(0.85*$B$2)))</f>
        <v>0.001597703778</v>
      </c>
      <c r="M45" s="13">
        <f>L45*(D45*1000)*J45</f>
        <v>164.1880287</v>
      </c>
      <c r="N45" s="13">
        <f>MAX(0.25*SQRT($B$2)/$D$2,1.4/$D$2)*(D45*1000)*J45</f>
        <v>342.55</v>
      </c>
      <c r="O45" s="13">
        <f>MAX(M45,N45)</f>
        <v>342.55</v>
      </c>
      <c r="P45" s="14">
        <f>ROUNDUP(O45/$J$2,0)</f>
        <v>2</v>
      </c>
      <c r="Q45" s="13">
        <f>P45*$J$2</f>
        <v>398</v>
      </c>
      <c r="R45" s="10">
        <f>Q45*$D$2/(0.85*$B$2*(D45*1000))</f>
        <v>23.41176471</v>
      </c>
      <c r="S45" s="10">
        <f>0.9*Q45*$D$2*(J45-R45/2)/1000000</f>
        <v>49.77351244</v>
      </c>
      <c r="T45" s="15" t="str">
        <f>IF(AND(S45&gt;=F45,O45&lt;=0.025*(D45*1000)*J45,O45&gt;=N45),"CUMPLE","REVISAR")</f>
        <v>CUMPLE</v>
      </c>
      <c r="U45" s="11">
        <f>G45*1000000/(0.9*(D45*1000)*J45^2)</f>
        <v>0.3724519903</v>
      </c>
      <c r="V45" s="12">
        <f>(0.85*$B$2/$D$2)*(1-SQRT(1-2*U45/(0.85*$B$2)))</f>
        <v>0.0008938400117</v>
      </c>
      <c r="W45" s="13">
        <f>V45*(D45*1000)*J45</f>
        <v>91.8554688</v>
      </c>
      <c r="X45" s="13">
        <f>MAX(W45,N45)</f>
        <v>342.55</v>
      </c>
      <c r="Y45" s="14">
        <f>ROUNDUP(X45/$J$2,0)</f>
        <v>2</v>
      </c>
      <c r="Z45" s="13">
        <f>Y45*$J$2</f>
        <v>398</v>
      </c>
      <c r="AA45" s="10">
        <f>0.9*Z45*$D$2*(J45-(Z45*$D$2/(0.85*$B$2*(D45*1000)))/2)/1000000</f>
        <v>49.77351244</v>
      </c>
      <c r="AB45" s="15" t="str">
        <f>IF(AA45&gt;=G45,"CUMPLE","REVISAR")</f>
        <v>CUMPLE</v>
      </c>
      <c r="AC45" s="10">
        <f>0.17*SQRT($B$2)*(D45*1000)*J45/1000</f>
        <v>92.44281538</v>
      </c>
      <c r="AD45" s="10">
        <f>MAX(H45/0.75-AC45,0)</f>
        <v>0</v>
      </c>
      <c r="AE45" s="14">
        <f>IF(AD45&gt;0,MIN($N$2*$D$2*J45/(AD45*1000),MIN(J45/4,6*$H$2,150)),MIN(J45/4,6*$H$2,150))</f>
        <v>85.6375</v>
      </c>
      <c r="AF45" s="10">
        <f>0.66*SQRT($B$2)*(D45*1000)*J45/1000</f>
        <v>358.8956362</v>
      </c>
      <c r="AG45" s="15" t="str">
        <f>IF(AD45&lt;=AF45,"CUMPLE","AUMENTAR SECCION")</f>
        <v>CUMPLE</v>
      </c>
      <c r="AH45" s="10">
        <f>0.75*0.083*SQRT($B$2)*(((D45*1000)*(E45*1000))^2/(2*((D45*1000)+(E45*1000))))/1000000</f>
        <v>3.388073536</v>
      </c>
      <c r="AI45" s="15" t="str">
        <f>IF(I45&gt;AH45,"SI","No")</f>
        <v>No</v>
      </c>
      <c r="AJ45" s="11">
        <f>IF(I45&gt;AH45,I45*1000000/(0.75*2*0.85*((D45*1000-2*$F$2)*(E45*1000-2*$F$2))*$D$2),0)</f>
        <v>0</v>
      </c>
      <c r="AK45" s="10">
        <f>1.25*Q45*$D$2*(J45-(1.25*Q45*$D$2/(0.85*$B$2*(D45*1000)))/2)/1000000</f>
        <v>68.51839235</v>
      </c>
      <c r="AL45" s="10">
        <f>1.25*Z45*$D$2*(J45-(1.25*Z45*$D$2/(0.85*$B$2*(D45*1000)))/2)/1000000</f>
        <v>68.51839235</v>
      </c>
      <c r="AM45" s="10">
        <f>(AK45+AL45)/B45</f>
        <v>52.70645566</v>
      </c>
      <c r="AN45" s="10">
        <f>MAX(H45,AM45)</f>
        <v>52.70645566</v>
      </c>
    </row>
    <row r="46">
      <c r="A46" s="5" t="inlineStr">
        <is>
          <t>F43</t>
        </is>
      </c>
      <c r="B46" s="6" t="n">
        <v>3.65</v>
      </c>
      <c r="C46" s="7" t="inlineStr">
        <is>
          <t>VR</t>
        </is>
      </c>
      <c r="D46" s="8">
        <f>IF(C46="VR",0.35,0.30)</f>
        <v>0.35</v>
      </c>
      <c r="E46" s="6" t="n">
        <v>0.4</v>
      </c>
      <c r="F46" s="9" t="n">
        <v>35.9</v>
      </c>
      <c r="G46" s="9" t="n">
        <v>26.9</v>
      </c>
      <c r="H46" s="9" t="n">
        <v>103.5</v>
      </c>
      <c r="I46" s="6" t="n">
        <v>6</v>
      </c>
      <c r="J46" s="10">
        <f>E46*1000-$F$2-$L$2-$H$2/2</f>
        <v>342.55</v>
      </c>
      <c r="K46" s="11">
        <f>F46*1000000/(0.9*(D46*1000)*J46^2)</f>
        <v>0.970719909</v>
      </c>
      <c r="L46" s="12">
        <f>(0.85*$B$2/$D$2)*(1-SQRT(1-2*K46/(0.85*$B$2)))</f>
        <v>0.002360397984</v>
      </c>
      <c r="M46" s="13">
        <f>L46*(D46*1000)*J46</f>
        <v>282.9940153</v>
      </c>
      <c r="N46" s="13">
        <f>MAX(0.25*SQRT($B$2)/$D$2,1.4/$D$2)*(D46*1000)*J46</f>
        <v>399.6416667</v>
      </c>
      <c r="O46" s="13">
        <f>MAX(M46,N46)</f>
        <v>399.6416667</v>
      </c>
      <c r="P46" s="14">
        <f>ROUNDUP(O46/$J$2,0)</f>
        <v>3</v>
      </c>
      <c r="Q46" s="13">
        <f>P46*$J$2</f>
        <v>597</v>
      </c>
      <c r="R46" s="10">
        <f>Q46*$D$2/(0.85*$B$2*(D46*1000))</f>
        <v>30.10084034</v>
      </c>
      <c r="S46" s="10">
        <f>0.9*Q46*$D$2*(J46-R46/2)/1000000</f>
        <v>73.90552018</v>
      </c>
      <c r="T46" s="15" t="str">
        <f>IF(AND(S46&gt;=F46,O46&lt;=0.025*(D46*1000)*J46,O46&gt;=N46),"CUMPLE","REVISAR")</f>
        <v>CUMPLE</v>
      </c>
      <c r="U46" s="11">
        <f>G46*1000000/(0.9*(D46*1000)*J46^2)</f>
        <v>0.7274988392</v>
      </c>
      <c r="V46" s="12">
        <f>(0.85*$B$2/$D$2)*(1-SQRT(1-2*U46/(0.85*$B$2)))</f>
        <v>0.001759454932</v>
      </c>
      <c r="W46" s="13">
        <f>V46*(D46*1000)*J46</f>
        <v>210.9454504</v>
      </c>
      <c r="X46" s="13">
        <f>MAX(W46,N46)</f>
        <v>399.6416667</v>
      </c>
      <c r="Y46" s="14">
        <f>ROUNDUP(X46/$J$2,0)</f>
        <v>3</v>
      </c>
      <c r="Z46" s="13">
        <f>Y46*$J$2</f>
        <v>597</v>
      </c>
      <c r="AA46" s="10">
        <f>0.9*Z46*$D$2*(J46-(Z46*$D$2/(0.85*$B$2*(D46*1000)))/2)/1000000</f>
        <v>73.90552018</v>
      </c>
      <c r="AB46" s="15" t="str">
        <f>IF(AA46&gt;=G46,"CUMPLE","REVISAR")</f>
        <v>CUMPLE</v>
      </c>
      <c r="AC46" s="10">
        <f>0.17*SQRT($B$2)*(D46*1000)*J46/1000</f>
        <v>107.8499513</v>
      </c>
      <c r="AD46" s="10">
        <f>MAX(H46/0.75-AC46,0)</f>
        <v>30.19004872</v>
      </c>
      <c r="AE46" s="14">
        <f>IF(AD46&gt;0,MIN($N$2*$D$2*J46/(AD46*1000),MIN(J46/4,6*$H$2,150)),MIN(J46/4,6*$H$2,150))</f>
        <v>85.6375</v>
      </c>
      <c r="AF46" s="10">
        <f>0.66*SQRT($B$2)*(D46*1000)*J46/1000</f>
        <v>418.7115756</v>
      </c>
      <c r="AG46" s="15" t="str">
        <f>IF(AD46&lt;=AF46,"CUMPLE","AUMENTAR SECCION")</f>
        <v>CUMPLE</v>
      </c>
      <c r="AH46" s="10">
        <f>0.75*0.083*SQRT($B$2)*(((D46*1000)*(E46*1000))^2/(2*((D46*1000)+(E46*1000))))/1000000</f>
        <v>4.304108233</v>
      </c>
      <c r="AI46" s="15" t="str">
        <f>IF(I46&gt;AH46,"SI","No")</f>
        <v>SI</v>
      </c>
      <c r="AJ46" s="11">
        <f>IF(I46&gt;AH46,I46*1000000/(0.75*2*0.85*((D46*1000-2*$F$2)*(E46*1000-2*$F$2))*$D$2),0)</f>
        <v>0.1296598886</v>
      </c>
      <c r="AK46" s="10">
        <f>1.25*Q46*$D$2*(J46-(1.25*Q46*$D$2/(0.85*$B$2*(D46*1000)))/2)/1000000</f>
        <v>101.4672613</v>
      </c>
      <c r="AL46" s="10">
        <f>1.25*Z46*$D$2*(J46-(1.25*Z46*$D$2/(0.85*$B$2*(D46*1000)))/2)/1000000</f>
        <v>101.4672613</v>
      </c>
      <c r="AM46" s="10">
        <f>(AK46+AL46)/B46</f>
        <v>55.55283949</v>
      </c>
      <c r="AN46" s="10">
        <f>MAX(H46,AM46)</f>
        <v>103.53</v>
      </c>
    </row>
    <row r="47">
      <c r="A47" s="5" t="inlineStr">
        <is>
          <t>F44</t>
        </is>
      </c>
      <c r="B47" s="6" t="n">
        <v>2.6</v>
      </c>
      <c r="C47" s="7" t="inlineStr">
        <is>
          <t>VC</t>
        </is>
      </c>
      <c r="D47" s="8">
        <f>IF(C47="VR",0.35,0.30)</f>
        <v>0.3</v>
      </c>
      <c r="E47" s="6" t="n">
        <v>0.4</v>
      </c>
      <c r="F47" s="9" t="n">
        <v>22.9</v>
      </c>
      <c r="G47" s="9" t="n">
        <v>8.9</v>
      </c>
      <c r="H47" s="9" t="n">
        <v>44.1</v>
      </c>
      <c r="I47" s="6" t="n">
        <v>0.45</v>
      </c>
      <c r="J47" s="10">
        <f>E47*1000-$F$2-$L$2-$H$2/2</f>
        <v>342.55</v>
      </c>
      <c r="K47" s="11">
        <f>F47*1000000/(0.9*(D47*1000)*J47^2)</f>
        <v>0.7218624592</v>
      </c>
      <c r="L47" s="12">
        <f>(0.85*$B$2/$D$2)*(1-SQRT(1-2*K47/(0.85*$B$2)))</f>
        <v>0.001745606695</v>
      </c>
      <c r="M47" s="13">
        <f>L47*(D47*1000)*J47</f>
        <v>179.387272</v>
      </c>
      <c r="N47" s="13">
        <f>MAX(0.25*SQRT($B$2)/$D$2,1.4/$D$2)*(D47*1000)*J47</f>
        <v>342.55</v>
      </c>
      <c r="O47" s="13">
        <f>MAX(M47,N47)</f>
        <v>342.55</v>
      </c>
      <c r="P47" s="14">
        <f>ROUNDUP(O47/$J$2,0)</f>
        <v>2</v>
      </c>
      <c r="Q47" s="13">
        <f>P47*$J$2</f>
        <v>398</v>
      </c>
      <c r="R47" s="10">
        <f>Q47*$D$2/(0.85*$B$2*(D47*1000))</f>
        <v>23.41176471</v>
      </c>
      <c r="S47" s="10">
        <f>0.9*Q47*$D$2*(J47-R47/2)/1000000</f>
        <v>49.77351244</v>
      </c>
      <c r="T47" s="15" t="str">
        <f>IF(AND(S47&gt;=F47,O47&lt;=0.025*(D47*1000)*J47,O47&gt;=N47),"CUMPLE","REVISAR")</f>
        <v>CUMPLE</v>
      </c>
      <c r="U47" s="11">
        <f>G47*1000000/(0.9*(D47*1000)*J47^2)</f>
        <v>0.281864091</v>
      </c>
      <c r="V47" s="12">
        <f>(0.85*$B$2/$D$2)*(1-SQRT(1-2*U47/(0.85*$B$2)))</f>
        <v>0.0006751267086</v>
      </c>
      <c r="W47" s="13">
        <f>V47*(D47*1000)*J47</f>
        <v>69.37939621</v>
      </c>
      <c r="X47" s="13">
        <f>MAX(W47,N47)</f>
        <v>342.55</v>
      </c>
      <c r="Y47" s="14">
        <f>ROUNDUP(X47/$J$2,0)</f>
        <v>2</v>
      </c>
      <c r="Z47" s="13">
        <f>Y47*$J$2</f>
        <v>398</v>
      </c>
      <c r="AA47" s="10">
        <f>0.9*Z47*$D$2*(J47-(Z47*$D$2/(0.85*$B$2*(D47*1000)))/2)/1000000</f>
        <v>49.77351244</v>
      </c>
      <c r="AB47" s="15" t="str">
        <f>IF(AA47&gt;=G47,"CUMPLE","REVISAR")</f>
        <v>CUMPLE</v>
      </c>
      <c r="AC47" s="10">
        <f>0.17*SQRT($B$2)*(D47*1000)*J47/1000</f>
        <v>92.44281538</v>
      </c>
      <c r="AD47" s="10">
        <f>MAX(H47/0.75-AC47,0)</f>
        <v>0</v>
      </c>
      <c r="AE47" s="14">
        <f>IF(AD47&gt;0,MIN($N$2*$D$2*J47/(AD47*1000),MIN(J47/4,6*$H$2,150)),MIN(J47/4,6*$H$2,150))</f>
        <v>85.6375</v>
      </c>
      <c r="AF47" s="10">
        <f>0.66*SQRT($B$2)*(D47*1000)*J47/1000</f>
        <v>358.8956362</v>
      </c>
      <c r="AG47" s="15" t="str">
        <f>IF(AD47&lt;=AF47,"CUMPLE","AUMENTAR SECCION")</f>
        <v>CUMPLE</v>
      </c>
      <c r="AH47" s="10">
        <f>0.75*0.083*SQRT($B$2)*(((D47*1000)*(E47*1000))^2/(2*((D47*1000)+(E47*1000))))/1000000</f>
        <v>3.388073536</v>
      </c>
      <c r="AI47" s="15" t="str">
        <f>IF(I47&gt;AH47,"SI","No")</f>
        <v>No</v>
      </c>
      <c r="AJ47" s="11">
        <f>IF(I47&gt;AH47,I47*1000000/(0.75*2*0.85*((D47*1000-2*$F$2)*(E47*1000-2*$F$2))*$D$2),0)</f>
        <v>0</v>
      </c>
      <c r="AK47" s="10">
        <f>1.25*Q47*$D$2*(J47-(1.25*Q47*$D$2/(0.85*$B$2*(D47*1000)))/2)/1000000</f>
        <v>68.51839235</v>
      </c>
      <c r="AL47" s="10">
        <f>1.25*Z47*$D$2*(J47-(1.25*Z47*$D$2/(0.85*$B$2*(D47*1000)))/2)/1000000</f>
        <v>68.51839235</v>
      </c>
      <c r="AM47" s="10">
        <f>(AK47+AL47)/B47</f>
        <v>52.70645566</v>
      </c>
      <c r="AN47" s="10">
        <f>MAX(H47,AM47)</f>
        <v>52.70645566</v>
      </c>
    </row>
    <row r="48">
      <c r="A48" s="5" t="inlineStr">
        <is>
          <t>F45</t>
        </is>
      </c>
      <c r="B48" s="6" t="n">
        <v>2.6</v>
      </c>
      <c r="C48" s="7" t="inlineStr">
        <is>
          <t>VC</t>
        </is>
      </c>
      <c r="D48" s="8">
        <f>IF(C48="VR",0.35,0.30)</f>
        <v>0.3</v>
      </c>
      <c r="E48" s="6" t="n">
        <v>0.4</v>
      </c>
      <c r="F48" s="9" t="n">
        <v>26.2</v>
      </c>
      <c r="G48" s="9" t="n">
        <v>11.6</v>
      </c>
      <c r="H48" s="9" t="n">
        <v>55.9</v>
      </c>
      <c r="I48" s="6" t="n">
        <v>6.4</v>
      </c>
      <c r="J48" s="10">
        <f>E48*1000-$F$2-$L$2-$H$2/2</f>
        <v>342.55</v>
      </c>
      <c r="K48" s="11">
        <f>F48*1000000/(0.9*(D48*1000)*J48^2)</f>
        <v>0.8279165853</v>
      </c>
      <c r="L48" s="12">
        <f>(0.85*$B$2/$D$2)*(1-SQRT(1-2*K48/(0.85*$B$2)))</f>
        <v>0.002006763187</v>
      </c>
      <c r="M48" s="13">
        <f>L48*(D48*1000)*J48</f>
        <v>206.2250189</v>
      </c>
      <c r="N48" s="13">
        <f>MAX(0.25*SQRT($B$2)/$D$2,1.4/$D$2)*(D48*1000)*J48</f>
        <v>342.55</v>
      </c>
      <c r="O48" s="13">
        <f>MAX(M48,N48)</f>
        <v>342.55</v>
      </c>
      <c r="P48" s="14">
        <f>ROUNDUP(O48/$J$2,0)</f>
        <v>2</v>
      </c>
      <c r="Q48" s="13">
        <f>P48*$J$2</f>
        <v>398</v>
      </c>
      <c r="R48" s="10">
        <f>Q48*$D$2/(0.85*$B$2*(D48*1000))</f>
        <v>23.41176471</v>
      </c>
      <c r="S48" s="10">
        <f>0.9*Q48*$D$2*(J48-R48/2)/1000000</f>
        <v>49.77351244</v>
      </c>
      <c r="T48" s="15" t="str">
        <f>IF(AND(S48&gt;=F48,O48&lt;=0.025*(D48*1000)*J48,O48&gt;=N48),"CUMPLE","REVISAR")</f>
        <v>CUMPLE</v>
      </c>
      <c r="U48" s="11">
        <f>G48*1000000/(0.9*(D48*1000)*J48^2)</f>
        <v>0.3661392447</v>
      </c>
      <c r="V48" s="12">
        <f>(0.85*$B$2/$D$2)*(1-SQRT(1-2*U48/(0.85*$B$2)))</f>
        <v>0.0008785708722</v>
      </c>
      <c r="W48" s="13">
        <f>V48*(D48*1000)*J48</f>
        <v>90.28633568</v>
      </c>
      <c r="X48" s="13">
        <f>MAX(W48,N48)</f>
        <v>342.55</v>
      </c>
      <c r="Y48" s="14">
        <f>ROUNDUP(X48/$J$2,0)</f>
        <v>2</v>
      </c>
      <c r="Z48" s="13">
        <f>Y48*$J$2</f>
        <v>398</v>
      </c>
      <c r="AA48" s="10">
        <f>0.9*Z48*$D$2*(J48-(Z48*$D$2/(0.85*$B$2*(D48*1000)))/2)/1000000</f>
        <v>49.77351244</v>
      </c>
      <c r="AB48" s="15" t="str">
        <f>IF(AA48&gt;=G48,"CUMPLE","REVISAR")</f>
        <v>CUMPLE</v>
      </c>
      <c r="AC48" s="10">
        <f>0.17*SQRT($B$2)*(D48*1000)*J48/1000</f>
        <v>92.44281538</v>
      </c>
      <c r="AD48" s="10">
        <f>MAX(H48/0.75-AC48,0)</f>
        <v>0</v>
      </c>
      <c r="AE48" s="14">
        <f>IF(AD48&gt;0,MIN($N$2*$D$2*J48/(AD48*1000),MIN(J48/4,6*$H$2,150)),MIN(J48/4,6*$H$2,150))</f>
        <v>85.6375</v>
      </c>
      <c r="AF48" s="10">
        <f>0.66*SQRT($B$2)*(D48*1000)*J48/1000</f>
        <v>358.8956362</v>
      </c>
      <c r="AG48" s="15" t="str">
        <f>IF(AD48&lt;=AF48,"CUMPLE","AUMENTAR SECCION")</f>
        <v>CUMPLE</v>
      </c>
      <c r="AH48" s="10">
        <f>0.75*0.083*SQRT($B$2)*(((D48*1000)*(E48*1000))^2/(2*((D48*1000)+(E48*1000))))/1000000</f>
        <v>3.388073536</v>
      </c>
      <c r="AI48" s="15" t="str">
        <f>IF(I48&gt;AH48,"SI","No")</f>
        <v>SI</v>
      </c>
      <c r="AJ48" s="11">
        <f>IF(I48&gt;AH48,I48*1000000/(0.75*2*0.85*((D48*1000-2*$F$2)*(E48*1000-2*$F$2))*$D$2),0)</f>
        <v>0.1696852984</v>
      </c>
      <c r="AK48" s="10">
        <f>1.25*Q48*$D$2*(J48-(1.25*Q48*$D$2/(0.85*$B$2*(D48*1000)))/2)/1000000</f>
        <v>68.51839235</v>
      </c>
      <c r="AL48" s="10">
        <f>1.25*Z48*$D$2*(J48-(1.25*Z48*$D$2/(0.85*$B$2*(D48*1000)))/2)/1000000</f>
        <v>68.51839235</v>
      </c>
      <c r="AM48" s="10">
        <f>(AK48+AL48)/B48</f>
        <v>52.70645566</v>
      </c>
      <c r="AN48" s="10">
        <f>MAX(H48,AM48)</f>
        <v>55.88</v>
      </c>
    </row>
    <row r="49">
      <c r="A49" s="5" t="inlineStr">
        <is>
          <t>F46</t>
        </is>
      </c>
      <c r="B49" s="6" t="n">
        <v>3.65</v>
      </c>
      <c r="C49" s="7" t="inlineStr">
        <is>
          <t>VR</t>
        </is>
      </c>
      <c r="D49" s="8">
        <f>IF(C49="VR",0.35,0.30)</f>
        <v>0.35</v>
      </c>
      <c r="E49" s="6" t="n">
        <v>0.4</v>
      </c>
      <c r="F49" s="9" t="n">
        <v>46.7</v>
      </c>
      <c r="G49" s="9" t="n">
        <v>22.9</v>
      </c>
      <c r="H49" s="9" t="n">
        <v>75.7</v>
      </c>
      <c r="I49" s="6" t="n">
        <v>0.22</v>
      </c>
      <c r="J49" s="10">
        <f>E49*1000-$F$2-$L$2-$H$2/2</f>
        <v>342.55</v>
      </c>
      <c r="K49" s="11">
        <f>F49*1000000/(0.9*(D49*1000)*J49^2)</f>
        <v>1.263992033</v>
      </c>
      <c r="L49" s="12">
        <f>(0.85*$B$2/$D$2)*(1-SQRT(1-2*K49/(0.85*$B$2)))</f>
        <v>0.003093969368</v>
      </c>
      <c r="M49" s="13">
        <f>L49*(D49*1000)*J49</f>
        <v>370.9437225</v>
      </c>
      <c r="N49" s="13">
        <f>MAX(0.25*SQRT($B$2)/$D$2,1.4/$D$2)*(D49*1000)*J49</f>
        <v>399.6416667</v>
      </c>
      <c r="O49" s="13">
        <f>MAX(M49,N49)</f>
        <v>399.6416667</v>
      </c>
      <c r="P49" s="14">
        <f>ROUNDUP(O49/$J$2,0)</f>
        <v>3</v>
      </c>
      <c r="Q49" s="13">
        <f>P49*$J$2</f>
        <v>597</v>
      </c>
      <c r="R49" s="10">
        <f>Q49*$D$2/(0.85*$B$2*(D49*1000))</f>
        <v>30.10084034</v>
      </c>
      <c r="S49" s="10">
        <f>0.9*Q49*$D$2*(J49-R49/2)/1000000</f>
        <v>73.90552018</v>
      </c>
      <c r="T49" s="15" t="str">
        <f>IF(AND(S49&gt;=F49,O49&lt;=0.025*(D49*1000)*J49,O49&gt;=N49),"CUMPLE","REVISAR")</f>
        <v>CUMPLE</v>
      </c>
      <c r="U49" s="11">
        <f>G49*1000000/(0.9*(D49*1000)*J49^2)</f>
        <v>0.6184687045</v>
      </c>
      <c r="V49" s="12">
        <f>(0.85*$B$2/$D$2)*(1-SQRT(1-2*U49/(0.85*$B$2)))</f>
        <v>0.001492191313</v>
      </c>
      <c r="W49" s="13">
        <f>V49*(D49*1000)*J49</f>
        <v>178.902547</v>
      </c>
      <c r="X49" s="13">
        <f>MAX(W49,N49)</f>
        <v>399.6416667</v>
      </c>
      <c r="Y49" s="14">
        <f>ROUNDUP(X49/$J$2,0)</f>
        <v>3</v>
      </c>
      <c r="Z49" s="13">
        <f>Y49*$J$2</f>
        <v>597</v>
      </c>
      <c r="AA49" s="10">
        <f>0.9*Z49*$D$2*(J49-(Z49*$D$2/(0.85*$B$2*(D49*1000)))/2)/1000000</f>
        <v>73.90552018</v>
      </c>
      <c r="AB49" s="15" t="str">
        <f>IF(AA49&gt;=G49,"CUMPLE","REVISAR")</f>
        <v>CUMPLE</v>
      </c>
      <c r="AC49" s="10">
        <f>0.17*SQRT($B$2)*(D49*1000)*J49/1000</f>
        <v>107.8499513</v>
      </c>
      <c r="AD49" s="10">
        <f>MAX(H49/0.75-AC49,0)</f>
        <v>0</v>
      </c>
      <c r="AE49" s="14">
        <f>IF(AD49&gt;0,MIN($N$2*$D$2*J49/(AD49*1000),MIN(J49/4,6*$H$2,150)),MIN(J49/4,6*$H$2,150))</f>
        <v>85.6375</v>
      </c>
      <c r="AF49" s="10">
        <f>0.66*SQRT($B$2)*(D49*1000)*J49/1000</f>
        <v>418.7115756</v>
      </c>
      <c r="AG49" s="15" t="str">
        <f>IF(AD49&lt;=AF49,"CUMPLE","AUMENTAR SECCION")</f>
        <v>CUMPLE</v>
      </c>
      <c r="AH49" s="10">
        <f>0.75*0.083*SQRT($B$2)*(((D49*1000)*(E49*1000))^2/(2*((D49*1000)+(E49*1000))))/1000000</f>
        <v>4.304108233</v>
      </c>
      <c r="AI49" s="15" t="str">
        <f>IF(I49&gt;AH49,"SI","No")</f>
        <v>No</v>
      </c>
      <c r="AJ49" s="11">
        <f>IF(I49&gt;AH49,I49*1000000/(0.75*2*0.85*((D49*1000-2*$F$2)*(E49*1000-2*$F$2))*$D$2),0)</f>
        <v>0</v>
      </c>
      <c r="AK49" s="10">
        <f>1.25*Q49*$D$2*(J49-(1.25*Q49*$D$2/(0.85*$B$2*(D49*1000)))/2)/1000000</f>
        <v>101.4672613</v>
      </c>
      <c r="AL49" s="10">
        <f>1.25*Z49*$D$2*(J49-(1.25*Z49*$D$2/(0.85*$B$2*(D49*1000)))/2)/1000000</f>
        <v>101.4672613</v>
      </c>
      <c r="AM49" s="10">
        <f>(AK49+AL49)/B49</f>
        <v>55.59849936</v>
      </c>
      <c r="AN49" s="10">
        <f>MAX(H49,AM49)</f>
        <v>75.71</v>
      </c>
    </row>
    <row r="50">
      <c r="A50" s="5" t="inlineStr">
        <is>
          <t>F47</t>
        </is>
      </c>
      <c r="B50" s="6" t="n">
        <v>2.6</v>
      </c>
      <c r="C50" s="7" t="inlineStr">
        <is>
          <t>VC</t>
        </is>
      </c>
      <c r="D50" s="8">
        <f>IF(C50="VR",0.35,0.30)</f>
        <v>0.3</v>
      </c>
      <c r="E50" s="6" t="n">
        <v>0.4</v>
      </c>
      <c r="F50" s="9" t="n">
        <v>25.6</v>
      </c>
      <c r="G50" s="9" t="n">
        <v>11.6</v>
      </c>
      <c r="H50" s="9" t="n">
        <v>55.4</v>
      </c>
      <c r="I50" s="6" t="n">
        <v>0.07000000000000001</v>
      </c>
      <c r="J50" s="10">
        <f>E50*1000-$F$2-$L$2-$H$2/2</f>
        <v>342.55</v>
      </c>
      <c r="K50" s="11">
        <f>F50*1000000/(0.9*(D50*1000)*J50^2)</f>
        <v>0.8086627112</v>
      </c>
      <c r="L50" s="12">
        <f>(0.85*$B$2/$D$2)*(1-SQRT(1-2*K50/(0.85*$B$2)))</f>
        <v>0.001959258227</v>
      </c>
      <c r="M50" s="13">
        <f>L50*(D50*1000)*J50</f>
        <v>201.3431716</v>
      </c>
      <c r="N50" s="13">
        <f>MAX(0.25*SQRT($B$2)/$D$2,1.4/$D$2)*(D50*1000)*J50</f>
        <v>342.55</v>
      </c>
      <c r="O50" s="13">
        <f>MAX(M50,N50)</f>
        <v>342.55</v>
      </c>
      <c r="P50" s="14">
        <f>ROUNDUP(O50/$J$2,0)</f>
        <v>2</v>
      </c>
      <c r="Q50" s="13">
        <f>P50*$J$2</f>
        <v>398</v>
      </c>
      <c r="R50" s="10">
        <f>Q50*$D$2/(0.85*$B$2*(D50*1000))</f>
        <v>23.41176471</v>
      </c>
      <c r="S50" s="10">
        <f>0.9*Q50*$D$2*(J50-R50/2)/1000000</f>
        <v>49.77351244</v>
      </c>
      <c r="T50" s="15" t="str">
        <f>IF(AND(S50&gt;=F50,O50&lt;=0.025*(D50*1000)*J50,O50&gt;=N50),"CUMPLE","REVISAR")</f>
        <v>CUMPLE</v>
      </c>
      <c r="U50" s="11">
        <f>G50*1000000/(0.9*(D50*1000)*J50^2)</f>
        <v>0.3661392447</v>
      </c>
      <c r="V50" s="12">
        <f>(0.85*$B$2/$D$2)*(1-SQRT(1-2*U50/(0.85*$B$2)))</f>
        <v>0.0008785708722</v>
      </c>
      <c r="W50" s="13">
        <f>V50*(D50*1000)*J50</f>
        <v>90.28633568</v>
      </c>
      <c r="X50" s="13">
        <f>MAX(W50,N50)</f>
        <v>342.55</v>
      </c>
      <c r="Y50" s="14">
        <f>ROUNDUP(X50/$J$2,0)</f>
        <v>2</v>
      </c>
      <c r="Z50" s="13">
        <f>Y50*$J$2</f>
        <v>398</v>
      </c>
      <c r="AA50" s="10">
        <f>0.9*Z50*$D$2*(J50-(Z50*$D$2/(0.85*$B$2*(D50*1000)))/2)/1000000</f>
        <v>49.77351244</v>
      </c>
      <c r="AB50" s="15" t="str">
        <f>IF(AA50&gt;=G50,"CUMPLE","REVISAR")</f>
        <v>CUMPLE</v>
      </c>
      <c r="AC50" s="10">
        <f>0.17*SQRT($B$2)*(D50*1000)*J50/1000</f>
        <v>92.44281538</v>
      </c>
      <c r="AD50" s="10">
        <f>MAX(H50/0.75-AC50,0)</f>
        <v>0</v>
      </c>
      <c r="AE50" s="14">
        <f>IF(AD50&gt;0,MIN($N$2*$D$2*J50/(AD50*1000),MIN(J50/4,6*$H$2,150)),MIN(J50/4,6*$H$2,150))</f>
        <v>85.6375</v>
      </c>
      <c r="AF50" s="10">
        <f>0.66*SQRT($B$2)*(D50*1000)*J50/1000</f>
        <v>358.8956362</v>
      </c>
      <c r="AG50" s="15" t="str">
        <f>IF(AD50&lt;=AF50,"CUMPLE","AUMENTAR SECCION")</f>
        <v>CUMPLE</v>
      </c>
      <c r="AH50" s="10">
        <f>0.75*0.083*SQRT($B$2)*(((D50*1000)*(E50*1000))^2/(2*((D50*1000)+(E50*1000))))/1000000</f>
        <v>3.388073536</v>
      </c>
      <c r="AI50" s="15" t="str">
        <f>IF(I50&gt;AH50,"SI","No")</f>
        <v>No</v>
      </c>
      <c r="AJ50" s="11">
        <f>IF(I50&gt;AH50,I50*1000000/(0.75*2*0.85*((D50*1000-2*$F$2)*(E50*1000-2*$F$2))*$D$2),0)</f>
        <v>0</v>
      </c>
      <c r="AK50" s="10">
        <f>1.25*Q50*$D$2*(J50-(1.25*Q50*$D$2/(0.85*$B$2*(D50*1000)))/2)/1000000</f>
        <v>68.51839235</v>
      </c>
      <c r="AL50" s="10">
        <f>1.25*Z50*$D$2*(J50-(1.25*Z50*$D$2/(0.85*$B$2*(D50*1000)))/2)/1000000</f>
        <v>68.51839235</v>
      </c>
      <c r="AM50" s="10">
        <f>(AK50+AL50)/B50</f>
        <v>52.70645566</v>
      </c>
      <c r="AN50" s="10">
        <f>MAX(H50,AM50)</f>
        <v>55.4</v>
      </c>
    </row>
    <row r="51">
      <c r="A51" s="5" t="inlineStr">
        <is>
          <t>F48</t>
        </is>
      </c>
      <c r="B51" s="6" t="n">
        <v>2.5</v>
      </c>
      <c r="C51" s="7" t="inlineStr">
        <is>
          <t>VC</t>
        </is>
      </c>
      <c r="D51" s="8">
        <f>IF(C51="VR",0.35,0.30)</f>
        <v>0.3</v>
      </c>
      <c r="E51" s="6" t="n">
        <v>0.4</v>
      </c>
      <c r="F51" s="9" t="n">
        <v>25.6</v>
      </c>
      <c r="G51" s="9" t="n">
        <v>10.3</v>
      </c>
      <c r="H51" s="9" t="n">
        <v>54.8</v>
      </c>
      <c r="I51" s="6" t="n">
        <v>0.41</v>
      </c>
      <c r="J51" s="10">
        <f>E51*1000-$F$2-$L$2-$H$2/2</f>
        <v>342.55</v>
      </c>
      <c r="K51" s="11">
        <f>F51*1000000/(0.9*(D51*1000)*J51^2)</f>
        <v>0.8070845248</v>
      </c>
      <c r="L51" s="12">
        <f>(0.85*$B$2/$D$2)*(1-SQRT(1-2*K51/(0.85*$B$2)))</f>
        <v>0.001955366206</v>
      </c>
      <c r="M51" s="13">
        <f>L51*(D51*1000)*J51</f>
        <v>200.9432082</v>
      </c>
      <c r="N51" s="13">
        <f>MAX(0.25*SQRT($B$2)/$D$2,1.4/$D$2)*(D51*1000)*J51</f>
        <v>342.55</v>
      </c>
      <c r="O51" s="13">
        <f>MAX(M51,N51)</f>
        <v>342.55</v>
      </c>
      <c r="P51" s="14">
        <f>ROUNDUP(O51/$J$2,0)</f>
        <v>2</v>
      </c>
      <c r="Q51" s="13">
        <f>P51*$J$2</f>
        <v>398</v>
      </c>
      <c r="R51" s="10">
        <f>Q51*$D$2/(0.85*$B$2*(D51*1000))</f>
        <v>23.41176471</v>
      </c>
      <c r="S51" s="10">
        <f>0.9*Q51*$D$2*(J51-R51/2)/1000000</f>
        <v>49.77351244</v>
      </c>
      <c r="T51" s="15" t="str">
        <f>IF(AND(S51&gt;=F51,O51&lt;=0.025*(D51*1000)*J51,O51&gt;=N51),"CUMPLE","REVISAR")</f>
        <v>CUMPLE</v>
      </c>
      <c r="U51" s="11">
        <f>G51*1000000/(0.9*(D51*1000)*J51^2)</f>
        <v>0.3238438492</v>
      </c>
      <c r="V51" s="12">
        <f>(0.85*$B$2/$D$2)*(1-SQRT(1-2*U51/(0.85*$B$2)))</f>
        <v>0.0007763752414</v>
      </c>
      <c r="W51" s="13">
        <f>V51*(D51*1000)*J51</f>
        <v>79.78420168</v>
      </c>
      <c r="X51" s="13">
        <f>MAX(W51,N51)</f>
        <v>342.55</v>
      </c>
      <c r="Y51" s="14">
        <f>ROUNDUP(X51/$J$2,0)</f>
        <v>2</v>
      </c>
      <c r="Z51" s="13">
        <f>Y51*$J$2</f>
        <v>398</v>
      </c>
      <c r="AA51" s="10">
        <f>0.9*Z51*$D$2*(J51-(Z51*$D$2/(0.85*$B$2*(D51*1000)))/2)/1000000</f>
        <v>49.77351244</v>
      </c>
      <c r="AB51" s="15" t="str">
        <f>IF(AA51&gt;=G51,"CUMPLE","REVISAR")</f>
        <v>CUMPLE</v>
      </c>
      <c r="AC51" s="10">
        <f>0.17*SQRT($B$2)*(D51*1000)*J51/1000</f>
        <v>92.44281538</v>
      </c>
      <c r="AD51" s="10">
        <f>MAX(H51/0.75-AC51,0)</f>
        <v>0</v>
      </c>
      <c r="AE51" s="14">
        <f>IF(AD51&gt;0,MIN($N$2*$D$2*J51/(AD51*1000),MIN(J51/4,6*$H$2,150)),MIN(J51/4,6*$H$2,150))</f>
        <v>85.6375</v>
      </c>
      <c r="AF51" s="10">
        <f>0.66*SQRT($B$2)*(D51*1000)*J51/1000</f>
        <v>358.8956362</v>
      </c>
      <c r="AG51" s="15" t="str">
        <f>IF(AD51&lt;=AF51,"CUMPLE","AUMENTAR SECCION")</f>
        <v>CUMPLE</v>
      </c>
      <c r="AH51" s="10">
        <f>0.75*0.083*SQRT($B$2)*(((D51*1000)*(E51*1000))^2/(2*((D51*1000)+(E51*1000))))/1000000</f>
        <v>3.388073536</v>
      </c>
      <c r="AI51" s="15" t="str">
        <f>IF(I51&gt;AH51,"SI","No")</f>
        <v>No</v>
      </c>
      <c r="AJ51" s="11">
        <f>IF(I51&gt;AH51,I51*1000000/(0.75*2*0.85*((D51*1000-2*$F$2)*(E51*1000-2*$F$2))*$D$2),0)</f>
        <v>0</v>
      </c>
      <c r="AK51" s="10">
        <f>1.25*Q51*$D$2*(J51-(1.25*Q51*$D$2/(0.85*$B$2*(D51*1000)))/2)/1000000</f>
        <v>68.51839235</v>
      </c>
      <c r="AL51" s="10">
        <f>1.25*Z51*$D$2*(J51-(1.25*Z51*$D$2/(0.85*$B$2*(D51*1000)))/2)/1000000</f>
        <v>68.51839235</v>
      </c>
      <c r="AM51" s="10">
        <f>(AK51+AL51)/B51</f>
        <v>54.81471388</v>
      </c>
      <c r="AN51" s="10">
        <f>MAX(H51,AM51)</f>
        <v>54.81471388</v>
      </c>
    </row>
    <row r="52">
      <c r="A52" s="5" t="inlineStr">
        <is>
          <t>F49</t>
        </is>
      </c>
      <c r="B52" s="6" t="n">
        <v>4</v>
      </c>
      <c r="C52" s="7" t="inlineStr">
        <is>
          <t>VC</t>
        </is>
      </c>
      <c r="D52" s="8">
        <f>IF(C52="VR",0.35,0.30)</f>
        <v>0.3</v>
      </c>
      <c r="E52" s="6" t="n">
        <v>0.4</v>
      </c>
      <c r="F52" s="9" t="n">
        <v>60.5</v>
      </c>
      <c r="G52" s="9" t="n">
        <v>27.5</v>
      </c>
      <c r="H52" s="9" t="n">
        <v>85.2</v>
      </c>
      <c r="I52" s="6" t="n">
        <v>5.5</v>
      </c>
      <c r="J52" s="10">
        <f>E52*1000-$F$2-$L$2-$H$2/2</f>
        <v>342.55</v>
      </c>
      <c r="K52" s="11">
        <f>F52*1000000/(0.9*(D52*1000)*J52^2)</f>
        <v>1.909921181</v>
      </c>
      <c r="L52" s="12">
        <f>(0.85*$B$2/$D$2)*(1-SQRT(1-2*K52/(0.85*$B$2)))</f>
        <v>0.004746193303</v>
      </c>
      <c r="M52" s="13">
        <f>L52*(D52*1000)*J52</f>
        <v>487.7425548</v>
      </c>
      <c r="N52" s="13">
        <f>MAX(0.25*SQRT($B$2)/$D$2,1.4/$D$2)*(D52*1000)*J52</f>
        <v>342.55</v>
      </c>
      <c r="O52" s="13">
        <f>MAX(M52,N52)</f>
        <v>487.7425548</v>
      </c>
      <c r="P52" s="14">
        <f>ROUNDUP(O52/$J$2,0)</f>
        <v>3</v>
      </c>
      <c r="Q52" s="13">
        <f>P52*$J$2</f>
        <v>597</v>
      </c>
      <c r="R52" s="10">
        <f>Q52*$D$2/(0.85*$B$2*(D52*1000))</f>
        <v>35.11764706</v>
      </c>
      <c r="S52" s="10">
        <f>0.9*Q52*$D$2*(J52-R52/2)/1000000</f>
        <v>73.33945883</v>
      </c>
      <c r="T52" s="15" t="str">
        <f>IF(AND(S52&gt;=F52,O52&lt;=0.025*(D52*1000)*J52,O52&gt;=N52),"CUMPLE","REVISAR")</f>
        <v>CUMPLE</v>
      </c>
      <c r="U52" s="11">
        <f>G52*1000000/(0.9*(D52*1000)*J52^2)</f>
        <v>0.8667399707</v>
      </c>
      <c r="V52" s="12">
        <f>(0.85*$B$2/$D$2)*(1-SQRT(1-2*U52/(0.85*$B$2)))</f>
        <v>0.002102677656</v>
      </c>
      <c r="W52" s="13">
        <f>V52*(D52*1000)*J52</f>
        <v>216.0816693</v>
      </c>
      <c r="X52" s="13">
        <f>MAX(W52,N52)</f>
        <v>342.55</v>
      </c>
      <c r="Y52" s="14">
        <f>ROUNDUP(X52/$J$2,0)</f>
        <v>2</v>
      </c>
      <c r="Z52" s="13">
        <f>Y52*$J$2</f>
        <v>398</v>
      </c>
      <c r="AA52" s="10">
        <f>0.9*Z52*$D$2*(J52-(Z52*$D$2/(0.85*$B$2*(D52*1000)))/2)/1000000</f>
        <v>49.77351244</v>
      </c>
      <c r="AB52" s="15" t="str">
        <f>IF(AA52&gt;=G52,"CUMPLE","REVISAR")</f>
        <v>CUMPLE</v>
      </c>
      <c r="AC52" s="10">
        <f>0.17*SQRT($B$2)*(D52*1000)*J52/1000</f>
        <v>92.44281538</v>
      </c>
      <c r="AD52" s="10">
        <f>MAX(H52/0.75-AC52,0)</f>
        <v>21.11718462</v>
      </c>
      <c r="AE52" s="14">
        <f>IF(AD52&gt;0,MIN($N$2*$D$2*J52/(AD52*1000),MIN(J52/4,6*$H$2,150)),MIN(J52/4,6*$H$2,150))</f>
        <v>85.6375</v>
      </c>
      <c r="AF52" s="10">
        <f>0.66*SQRT($B$2)*(D52*1000)*J52/1000</f>
        <v>358.8956362</v>
      </c>
      <c r="AG52" s="15" t="str">
        <f>IF(AD52&lt;=AF52,"CUMPLE","AUMENTAR SECCION")</f>
        <v>CUMPLE</v>
      </c>
      <c r="AH52" s="10">
        <f>0.75*0.083*SQRT($B$2)*(((D52*1000)*(E52*1000))^2/(2*((D52*1000)+(E52*1000))))/1000000</f>
        <v>3.388073536</v>
      </c>
      <c r="AI52" s="15" t="str">
        <f>IF(I52&gt;AH52,"SI","No")</f>
        <v>SI</v>
      </c>
      <c r="AJ52" s="11">
        <f>IF(I52&gt;AH52,I52*1000000/(0.75*2*0.85*((D52*1000-2*$F$2)*(E52*1000-2*$F$2))*$D$2),0)</f>
        <v>0.1458386385</v>
      </c>
      <c r="AK52" s="10">
        <f>1.25*Q52*$D$2*(J52-(1.25*Q52*$D$2/(0.85*$B$2*(D52*1000)))/2)/1000000</f>
        <v>100.4845159</v>
      </c>
      <c r="AL52" s="10">
        <f>1.25*Z52*$D$2*(J52-(1.25*Z52*$D$2/(0.85*$B$2*(D52*1000)))/2)/1000000</f>
        <v>68.51839235</v>
      </c>
      <c r="AM52" s="10">
        <f>(AK52+AL52)/B52</f>
        <v>42.25072707</v>
      </c>
      <c r="AN52" s="10">
        <f>MAX(H52,AM52)</f>
        <v>85.17</v>
      </c>
    </row>
    <row r="53">
      <c r="A53" s="5" t="inlineStr">
        <is>
          <t>F50</t>
        </is>
      </c>
      <c r="B53" s="6" t="n">
        <v>4</v>
      </c>
      <c r="C53" s="7" t="inlineStr">
        <is>
          <t>VC</t>
        </is>
      </c>
      <c r="D53" s="8">
        <f>IF(C53="VR",0.35,0.30)</f>
        <v>0.3</v>
      </c>
      <c r="E53" s="6" t="n">
        <v>0.4</v>
      </c>
      <c r="F53" s="9" t="n">
        <v>60.5</v>
      </c>
      <c r="G53" s="9" t="n">
        <v>27.5</v>
      </c>
      <c r="H53" s="9" t="n">
        <v>85.2</v>
      </c>
      <c r="I53" s="6" t="n">
        <v>5.5</v>
      </c>
      <c r="J53" s="10">
        <f>E53*1000-$F$2-$L$2-$H$2/2</f>
        <v>342.55</v>
      </c>
      <c r="K53" s="11">
        <f>F53*1000000/(0.9*(D53*1000)*J53^2)</f>
        <v>1.909289906</v>
      </c>
      <c r="L53" s="12">
        <f>(0.85*$B$2/$D$2)*(1-SQRT(1-2*K53/(0.85*$B$2)))</f>
        <v>0.004744552897</v>
      </c>
      <c r="M53" s="13">
        <f>L53*(D53*1000)*J53</f>
        <v>487.5739785</v>
      </c>
      <c r="N53" s="13">
        <f>MAX(0.25*SQRT($B$2)/$D$2,1.4/$D$2)*(D53*1000)*J53</f>
        <v>342.55</v>
      </c>
      <c r="O53" s="13">
        <f>MAX(M53,N53)</f>
        <v>487.5739785</v>
      </c>
      <c r="P53" s="14">
        <f>ROUNDUP(O53/$J$2,0)</f>
        <v>3</v>
      </c>
      <c r="Q53" s="13">
        <f>P53*$J$2</f>
        <v>597</v>
      </c>
      <c r="R53" s="10">
        <f>Q53*$D$2/(0.85*$B$2*(D53*1000))</f>
        <v>35.11764706</v>
      </c>
      <c r="S53" s="10">
        <f>0.9*Q53*$D$2*(J53-R53/2)/1000000</f>
        <v>73.33945883</v>
      </c>
      <c r="T53" s="15" t="str">
        <f>IF(AND(S53&gt;=F53,O53&lt;=0.025*(D53*1000)*J53,O53&gt;=N53),"CUMPLE","REVISAR")</f>
        <v>CUMPLE</v>
      </c>
      <c r="U53" s="11">
        <f>G53*1000000/(0.9*(D53*1000)*J53^2)</f>
        <v>0.8667399707</v>
      </c>
      <c r="V53" s="12">
        <f>(0.85*$B$2/$D$2)*(1-SQRT(1-2*U53/(0.85*$B$2)))</f>
        <v>0.002102677656</v>
      </c>
      <c r="W53" s="13">
        <f>V53*(D53*1000)*J53</f>
        <v>216.0816693</v>
      </c>
      <c r="X53" s="13">
        <f>MAX(W53,N53)</f>
        <v>342.55</v>
      </c>
      <c r="Y53" s="14">
        <f>ROUNDUP(X53/$J$2,0)</f>
        <v>2</v>
      </c>
      <c r="Z53" s="13">
        <f>Y53*$J$2</f>
        <v>398</v>
      </c>
      <c r="AA53" s="10">
        <f>0.9*Z53*$D$2*(J53-(Z53*$D$2/(0.85*$B$2*(D53*1000)))/2)/1000000</f>
        <v>49.77351244</v>
      </c>
      <c r="AB53" s="15" t="str">
        <f>IF(AA53&gt;=G53,"CUMPLE","REVISAR")</f>
        <v>CUMPLE</v>
      </c>
      <c r="AC53" s="10">
        <f>0.17*SQRT($B$2)*(D53*1000)*J53/1000</f>
        <v>92.44281538</v>
      </c>
      <c r="AD53" s="10">
        <f>MAX(H53/0.75-AC53,0)</f>
        <v>21.10385128</v>
      </c>
      <c r="AE53" s="14">
        <f>IF(AD53&gt;0,MIN($N$2*$D$2*J53/(AD53*1000),MIN(J53/4,6*$H$2,150)),MIN(J53/4,6*$H$2,150))</f>
        <v>85.6375</v>
      </c>
      <c r="AF53" s="10">
        <f>0.66*SQRT($B$2)*(D53*1000)*J53/1000</f>
        <v>358.8956362</v>
      </c>
      <c r="AG53" s="15" t="str">
        <f>IF(AD53&lt;=AF53,"CUMPLE","AUMENTAR SECCION")</f>
        <v>CUMPLE</v>
      </c>
      <c r="AH53" s="10">
        <f>0.75*0.083*SQRT($B$2)*(((D53*1000)*(E53*1000))^2/(2*((D53*1000)+(E53*1000))))/1000000</f>
        <v>3.388073536</v>
      </c>
      <c r="AI53" s="15" t="str">
        <f>IF(I53&gt;AH53,"SI","No")</f>
        <v>SI</v>
      </c>
      <c r="AJ53" s="11">
        <f>IF(I53&gt;AH53,I53*1000000/(0.75*2*0.85*((D53*1000-2*$F$2)*(E53*1000-2*$F$2))*$D$2),0)</f>
        <v>0.1460243188</v>
      </c>
      <c r="AK53" s="10">
        <f>1.25*Q53*$D$2*(J53-(1.25*Q53*$D$2/(0.85*$B$2*(D53*1000)))/2)/1000000</f>
        <v>100.4845159</v>
      </c>
      <c r="AL53" s="10">
        <f>1.25*Z53*$D$2*(J53-(1.25*Z53*$D$2/(0.85*$B$2*(D53*1000)))/2)/1000000</f>
        <v>68.51839235</v>
      </c>
      <c r="AM53" s="10">
        <f>(AK53+AL53)/B53</f>
        <v>42.25072707</v>
      </c>
      <c r="AN53" s="10">
        <f>MAX(H53,AM53)</f>
        <v>85.16</v>
      </c>
    </row>
    <row r="54">
      <c r="A54" s="5" t="inlineStr">
        <is>
          <t>F51</t>
        </is>
      </c>
      <c r="B54" s="6" t="n">
        <v>2.5</v>
      </c>
      <c r="C54" s="7" t="inlineStr">
        <is>
          <t>VC</t>
        </is>
      </c>
      <c r="D54" s="8">
        <f>IF(C54="VR",0.35,0.30)</f>
        <v>0.3</v>
      </c>
      <c r="E54" s="6" t="n">
        <v>0.4</v>
      </c>
      <c r="F54" s="9" t="n">
        <v>25.6</v>
      </c>
      <c r="G54" s="9" t="n">
        <v>10.3</v>
      </c>
      <c r="H54" s="9" t="n">
        <v>54.8</v>
      </c>
      <c r="I54" s="6" t="n">
        <v>0.41</v>
      </c>
      <c r="J54" s="10">
        <f>E54*1000-$F$2-$L$2-$H$2/2</f>
        <v>342.55</v>
      </c>
      <c r="K54" s="11">
        <f>F54*1000000/(0.9*(D54*1000)*J54^2)</f>
        <v>0.8070845248</v>
      </c>
      <c r="L54" s="12">
        <f>(0.85*$B$2/$D$2)*(1-SQRT(1-2*K54/(0.85*$B$2)))</f>
        <v>0.001955366206</v>
      </c>
      <c r="M54" s="13">
        <f>L54*(D54*1000)*J54</f>
        <v>200.9432082</v>
      </c>
      <c r="N54" s="13">
        <f>MAX(0.25*SQRT($B$2)/$D$2,1.4/$D$2)*(D54*1000)*J54</f>
        <v>342.55</v>
      </c>
      <c r="O54" s="13">
        <f>MAX(M54,N54)</f>
        <v>342.55</v>
      </c>
      <c r="P54" s="14">
        <f>ROUNDUP(O54/$J$2,0)</f>
        <v>2</v>
      </c>
      <c r="Q54" s="13">
        <f>P54*$J$2</f>
        <v>398</v>
      </c>
      <c r="R54" s="10">
        <f>Q54*$D$2/(0.85*$B$2*(D54*1000))</f>
        <v>23.41176471</v>
      </c>
      <c r="S54" s="10">
        <f>0.9*Q54*$D$2*(J54-R54/2)/1000000</f>
        <v>49.77351244</v>
      </c>
      <c r="T54" s="15" t="str">
        <f>IF(AND(S54&gt;=F54,O54&lt;=0.025*(D54*1000)*J54,O54&gt;=N54),"CUMPLE","REVISAR")</f>
        <v>CUMPLE</v>
      </c>
      <c r="U54" s="11">
        <f>G54*1000000/(0.9*(D54*1000)*J54^2)</f>
        <v>0.3238438492</v>
      </c>
      <c r="V54" s="12">
        <f>(0.85*$B$2/$D$2)*(1-SQRT(1-2*U54/(0.85*$B$2)))</f>
        <v>0.0007763752414</v>
      </c>
      <c r="W54" s="13">
        <f>V54*(D54*1000)*J54</f>
        <v>79.78420168</v>
      </c>
      <c r="X54" s="13">
        <f>MAX(W54,N54)</f>
        <v>342.55</v>
      </c>
      <c r="Y54" s="14">
        <f>ROUNDUP(X54/$J$2,0)</f>
        <v>2</v>
      </c>
      <c r="Z54" s="13">
        <f>Y54*$J$2</f>
        <v>398</v>
      </c>
      <c r="AA54" s="10">
        <f>0.9*Z54*$D$2*(J54-(Z54*$D$2/(0.85*$B$2*(D54*1000)))/2)/1000000</f>
        <v>49.77351244</v>
      </c>
      <c r="AB54" s="15" t="str">
        <f>IF(AA54&gt;=G54,"CUMPLE","REVISAR")</f>
        <v>CUMPLE</v>
      </c>
      <c r="AC54" s="10">
        <f>0.17*SQRT($B$2)*(D54*1000)*J54/1000</f>
        <v>92.44281538</v>
      </c>
      <c r="AD54" s="10">
        <f>MAX(H54/0.75-AC54,0)</f>
        <v>0</v>
      </c>
      <c r="AE54" s="14">
        <f>IF(AD54&gt;0,MIN($N$2*$D$2*J54/(AD54*1000),MIN(J54/4,6*$H$2,150)),MIN(J54/4,6*$H$2,150))</f>
        <v>85.6375</v>
      </c>
      <c r="AF54" s="10">
        <f>0.66*SQRT($B$2)*(D54*1000)*J54/1000</f>
        <v>358.8956362</v>
      </c>
      <c r="AG54" s="15" t="str">
        <f>IF(AD54&lt;=AF54,"CUMPLE","AUMENTAR SECCION")</f>
        <v>CUMPLE</v>
      </c>
      <c r="AH54" s="10">
        <f>0.75*0.083*SQRT($B$2)*(((D54*1000)*(E54*1000))^2/(2*((D54*1000)+(E54*1000))))/1000000</f>
        <v>3.388073536</v>
      </c>
      <c r="AI54" s="15" t="str">
        <f>IF(I54&gt;AH54,"SI","No")</f>
        <v>No</v>
      </c>
      <c r="AJ54" s="11">
        <f>IF(I54&gt;AH54,I54*1000000/(0.75*2*0.85*((D54*1000-2*$F$2)*(E54*1000-2*$F$2))*$D$2),0)</f>
        <v>0</v>
      </c>
      <c r="AK54" s="10">
        <f>1.25*Q54*$D$2*(J54-(1.25*Q54*$D$2/(0.85*$B$2*(D54*1000)))/2)/1000000</f>
        <v>68.51839235</v>
      </c>
      <c r="AL54" s="10">
        <f>1.25*Z54*$D$2*(J54-(1.25*Z54*$D$2/(0.85*$B$2*(D54*1000)))/2)/1000000</f>
        <v>68.51839235</v>
      </c>
      <c r="AM54" s="10">
        <f>(AK54+AL54)/B54</f>
        <v>54.81471388</v>
      </c>
      <c r="AN54" s="10">
        <f>MAX(H54,AM54)</f>
        <v>54.81471388</v>
      </c>
    </row>
    <row r="55">
      <c r="A55" s="5" t="inlineStr">
        <is>
          <t>F52</t>
        </is>
      </c>
      <c r="B55" s="6" t="n">
        <v>2.6</v>
      </c>
      <c r="C55" s="7" t="inlineStr">
        <is>
          <t>VC</t>
        </is>
      </c>
      <c r="D55" s="8">
        <f>IF(C55="VR",0.35,0.30)</f>
        <v>0.3</v>
      </c>
      <c r="E55" s="6" t="n">
        <v>0.4</v>
      </c>
      <c r="F55" s="9" t="n">
        <v>25.6</v>
      </c>
      <c r="G55" s="9" t="n">
        <v>11.6</v>
      </c>
      <c r="H55" s="9" t="n">
        <v>55.4</v>
      </c>
      <c r="I55" s="6" t="n">
        <v>0.07000000000000001</v>
      </c>
      <c r="J55" s="10">
        <f>E55*1000-$F$2-$L$2-$H$2/2</f>
        <v>342.55</v>
      </c>
      <c r="K55" s="11">
        <f>F55*1000000/(0.9*(D55*1000)*J55^2)</f>
        <v>0.8086627112</v>
      </c>
      <c r="L55" s="12">
        <f>(0.85*$B$2/$D$2)*(1-SQRT(1-2*K55/(0.85*$B$2)))</f>
        <v>0.001959258227</v>
      </c>
      <c r="M55" s="13">
        <f>L55*(D55*1000)*J55</f>
        <v>201.3431716</v>
      </c>
      <c r="N55" s="13">
        <f>MAX(0.25*SQRT($B$2)/$D$2,1.4/$D$2)*(D55*1000)*J55</f>
        <v>342.55</v>
      </c>
      <c r="O55" s="13">
        <f>MAX(M55,N55)</f>
        <v>342.55</v>
      </c>
      <c r="P55" s="14">
        <f>ROUNDUP(O55/$J$2,0)</f>
        <v>2</v>
      </c>
      <c r="Q55" s="13">
        <f>P55*$J$2</f>
        <v>398</v>
      </c>
      <c r="R55" s="10">
        <f>Q55*$D$2/(0.85*$B$2*(D55*1000))</f>
        <v>23.41176471</v>
      </c>
      <c r="S55" s="10">
        <f>0.9*Q55*$D$2*(J55-R55/2)/1000000</f>
        <v>49.77351244</v>
      </c>
      <c r="T55" s="15" t="str">
        <f>IF(AND(S55&gt;=F55,O55&lt;=0.025*(D55*1000)*J55,O55&gt;=N55),"CUMPLE","REVISAR")</f>
        <v>CUMPLE</v>
      </c>
      <c r="U55" s="11">
        <f>G55*1000000/(0.9*(D55*1000)*J55^2)</f>
        <v>0.3661392447</v>
      </c>
      <c r="V55" s="12">
        <f>(0.85*$B$2/$D$2)*(1-SQRT(1-2*U55/(0.85*$B$2)))</f>
        <v>0.0008785708722</v>
      </c>
      <c r="W55" s="13">
        <f>V55*(D55*1000)*J55</f>
        <v>90.28633568</v>
      </c>
      <c r="X55" s="13">
        <f>MAX(W55,N55)</f>
        <v>342.55</v>
      </c>
      <c r="Y55" s="14">
        <f>ROUNDUP(X55/$J$2,0)</f>
        <v>2</v>
      </c>
      <c r="Z55" s="13">
        <f>Y55*$J$2</f>
        <v>398</v>
      </c>
      <c r="AA55" s="10">
        <f>0.9*Z55*$D$2*(J55-(Z55*$D$2/(0.85*$B$2*(D55*1000)))/2)/1000000</f>
        <v>49.77351244</v>
      </c>
      <c r="AB55" s="15" t="str">
        <f>IF(AA55&gt;=G55,"CUMPLE","REVISAR")</f>
        <v>CUMPLE</v>
      </c>
      <c r="AC55" s="10">
        <f>0.17*SQRT($B$2)*(D55*1000)*J55/1000</f>
        <v>92.44281538</v>
      </c>
      <c r="AD55" s="10">
        <f>MAX(H55/0.75-AC55,0)</f>
        <v>0</v>
      </c>
      <c r="AE55" s="14">
        <f>IF(AD55&gt;0,MIN($N$2*$D$2*J55/(AD55*1000),MIN(J55/4,6*$H$2,150)),MIN(J55/4,6*$H$2,150))</f>
        <v>85.6375</v>
      </c>
      <c r="AF55" s="10">
        <f>0.66*SQRT($B$2)*(D55*1000)*J55/1000</f>
        <v>358.8956362</v>
      </c>
      <c r="AG55" s="15" t="str">
        <f>IF(AD55&lt;=AF55,"CUMPLE","AUMENTAR SECCION")</f>
        <v>CUMPLE</v>
      </c>
      <c r="AH55" s="10">
        <f>0.75*0.083*SQRT($B$2)*(((D55*1000)*(E55*1000))^2/(2*((D55*1000)+(E55*1000))))/1000000</f>
        <v>3.388073536</v>
      </c>
      <c r="AI55" s="15" t="str">
        <f>IF(I55&gt;AH55,"SI","No")</f>
        <v>No</v>
      </c>
      <c r="AJ55" s="11">
        <f>IF(I55&gt;AH55,I55*1000000/(0.75*2*0.85*((D55*1000-2*$F$2)*(E55*1000-2*$F$2))*$D$2),0)</f>
        <v>0</v>
      </c>
      <c r="AK55" s="10">
        <f>1.25*Q55*$D$2*(J55-(1.25*Q55*$D$2/(0.85*$B$2*(D55*1000)))/2)/1000000</f>
        <v>68.51839235</v>
      </c>
      <c r="AL55" s="10">
        <f>1.25*Z55*$D$2*(J55-(1.25*Z55*$D$2/(0.85*$B$2*(D55*1000)))/2)/1000000</f>
        <v>68.51839235</v>
      </c>
      <c r="AM55" s="10">
        <f>(AK55+AL55)/B55</f>
        <v>52.70645566</v>
      </c>
      <c r="AN55" s="10">
        <f>MAX(H55,AM55)</f>
        <v>55.4</v>
      </c>
    </row>
    <row r="56">
      <c r="A56" s="5" t="inlineStr">
        <is>
          <t>F53</t>
        </is>
      </c>
      <c r="B56" s="6" t="n">
        <v>3.65</v>
      </c>
      <c r="C56" s="7" t="inlineStr">
        <is>
          <t>VR</t>
        </is>
      </c>
      <c r="D56" s="8">
        <f>IF(C56="VR",0.35,0.30)</f>
        <v>0.35</v>
      </c>
      <c r="E56" s="6" t="n">
        <v>0.4</v>
      </c>
      <c r="F56" s="9" t="n">
        <v>46.7</v>
      </c>
      <c r="G56" s="9" t="n">
        <v>22.9</v>
      </c>
      <c r="H56" s="9" t="n">
        <v>75.7</v>
      </c>
      <c r="I56" s="6" t="n">
        <v>0.22</v>
      </c>
      <c r="J56" s="10">
        <f>E56*1000-$F$2-$L$2-$H$2/2</f>
        <v>342.55</v>
      </c>
      <c r="K56" s="11">
        <f>F56*1000000/(0.9*(D56*1000)*J56^2)</f>
        <v>1.263992033</v>
      </c>
      <c r="L56" s="12">
        <f>(0.85*$B$2/$D$2)*(1-SQRT(1-2*K56/(0.85*$B$2)))</f>
        <v>0.003093969368</v>
      </c>
      <c r="M56" s="13">
        <f>L56*(D56*1000)*J56</f>
        <v>370.9437225</v>
      </c>
      <c r="N56" s="13">
        <f>MAX(0.25*SQRT($B$2)/$D$2,1.4/$D$2)*(D56*1000)*J56</f>
        <v>399.6416667</v>
      </c>
      <c r="O56" s="13">
        <f>MAX(M56,N56)</f>
        <v>399.6416667</v>
      </c>
      <c r="P56" s="14">
        <f>ROUNDUP(O56/$J$2,0)</f>
        <v>3</v>
      </c>
      <c r="Q56" s="13">
        <f>P56*$J$2</f>
        <v>597</v>
      </c>
      <c r="R56" s="10">
        <f>Q56*$D$2/(0.85*$B$2*(D56*1000))</f>
        <v>30.10084034</v>
      </c>
      <c r="S56" s="10">
        <f>0.9*Q56*$D$2*(J56-R56/2)/1000000</f>
        <v>73.90552018</v>
      </c>
      <c r="T56" s="15" t="str">
        <f>IF(AND(S56&gt;=F56,O56&lt;=0.025*(D56*1000)*J56,O56&gt;=N56),"CUMPLE","REVISAR")</f>
        <v>CUMPLE</v>
      </c>
      <c r="U56" s="11">
        <f>G56*1000000/(0.9*(D56*1000)*J56^2)</f>
        <v>0.6184687045</v>
      </c>
      <c r="V56" s="12">
        <f>(0.85*$B$2/$D$2)*(1-SQRT(1-2*U56/(0.85*$B$2)))</f>
        <v>0.001492191313</v>
      </c>
      <c r="W56" s="13">
        <f>V56*(D56*1000)*J56</f>
        <v>178.902547</v>
      </c>
      <c r="X56" s="13">
        <f>MAX(W56,N56)</f>
        <v>399.6416667</v>
      </c>
      <c r="Y56" s="14">
        <f>ROUNDUP(X56/$J$2,0)</f>
        <v>3</v>
      </c>
      <c r="Z56" s="13">
        <f>Y56*$J$2</f>
        <v>597</v>
      </c>
      <c r="AA56" s="10">
        <f>0.9*Z56*$D$2*(J56-(Z56*$D$2/(0.85*$B$2*(D56*1000)))/2)/1000000</f>
        <v>73.90552018</v>
      </c>
      <c r="AB56" s="15" t="str">
        <f>IF(AA56&gt;=G56,"CUMPLE","REVISAR")</f>
        <v>CUMPLE</v>
      </c>
      <c r="AC56" s="10">
        <f>0.17*SQRT($B$2)*(D56*1000)*J56/1000</f>
        <v>107.8499513</v>
      </c>
      <c r="AD56" s="10">
        <f>MAX(H56/0.75-AC56,0)</f>
        <v>0</v>
      </c>
      <c r="AE56" s="14">
        <f>IF(AD56&gt;0,MIN($N$2*$D$2*J56/(AD56*1000),MIN(J56/4,6*$H$2,150)),MIN(J56/4,6*$H$2,150))</f>
        <v>85.6375</v>
      </c>
      <c r="AF56" s="10">
        <f>0.66*SQRT($B$2)*(D56*1000)*J56/1000</f>
        <v>418.7115756</v>
      </c>
      <c r="AG56" s="15" t="str">
        <f>IF(AD56&lt;=AF56,"CUMPLE","AUMENTAR SECCION")</f>
        <v>CUMPLE</v>
      </c>
      <c r="AH56" s="10">
        <f>0.75*0.083*SQRT($B$2)*(((D56*1000)*(E56*1000))^2/(2*((D56*1000)+(E56*1000))))/1000000</f>
        <v>4.304108233</v>
      </c>
      <c r="AI56" s="15" t="str">
        <f>IF(I56&gt;AH56,"SI","No")</f>
        <v>No</v>
      </c>
      <c r="AJ56" s="11">
        <f>IF(I56&gt;AH56,I56*1000000/(0.75*2*0.85*((D56*1000-2*$F$2)*(E56*1000-2*$F$2))*$D$2),0)</f>
        <v>0</v>
      </c>
      <c r="AK56" s="10">
        <f>1.25*Q56*$D$2*(J56-(1.25*Q56*$D$2/(0.85*$B$2*(D56*1000)))/2)/1000000</f>
        <v>101.4672613</v>
      </c>
      <c r="AL56" s="10">
        <f>1.25*Z56*$D$2*(J56-(1.25*Z56*$D$2/(0.85*$B$2*(D56*1000)))/2)/1000000</f>
        <v>101.4672613</v>
      </c>
      <c r="AM56" s="10">
        <f>(AK56+AL56)/B56</f>
        <v>55.59849936</v>
      </c>
      <c r="AN56" s="10">
        <f>MAX(H56,AM56)</f>
        <v>75.71</v>
      </c>
    </row>
    <row r="57">
      <c r="A57" s="5" t="inlineStr">
        <is>
          <t>F54</t>
        </is>
      </c>
      <c r="B57" s="6" t="n">
        <v>2.6</v>
      </c>
      <c r="C57" s="7" t="inlineStr">
        <is>
          <t>VC</t>
        </is>
      </c>
      <c r="D57" s="8">
        <f>IF(C57="VR",0.35,0.30)</f>
        <v>0.3</v>
      </c>
      <c r="E57" s="6" t="n">
        <v>0.4</v>
      </c>
      <c r="F57" s="9" t="n">
        <v>26.2</v>
      </c>
      <c r="G57" s="9" t="n">
        <v>11.6</v>
      </c>
      <c r="H57" s="9" t="n">
        <v>55.9</v>
      </c>
      <c r="I57" s="6" t="n">
        <v>6.4</v>
      </c>
      <c r="J57" s="10">
        <f>E57*1000-$F$2-$L$2-$H$2/2</f>
        <v>342.55</v>
      </c>
      <c r="K57" s="11">
        <f>F57*1000000/(0.9*(D57*1000)*J57^2)</f>
        <v>0.8279165853</v>
      </c>
      <c r="L57" s="12">
        <f>(0.85*$B$2/$D$2)*(1-SQRT(1-2*K57/(0.85*$B$2)))</f>
        <v>0.002006763187</v>
      </c>
      <c r="M57" s="13">
        <f>L57*(D57*1000)*J57</f>
        <v>206.2250189</v>
      </c>
      <c r="N57" s="13">
        <f>MAX(0.25*SQRT($B$2)/$D$2,1.4/$D$2)*(D57*1000)*J57</f>
        <v>342.55</v>
      </c>
      <c r="O57" s="13">
        <f>MAX(M57,N57)</f>
        <v>342.55</v>
      </c>
      <c r="P57" s="14">
        <f>ROUNDUP(O57/$J$2,0)</f>
        <v>2</v>
      </c>
      <c r="Q57" s="13">
        <f>P57*$J$2</f>
        <v>398</v>
      </c>
      <c r="R57" s="10">
        <f>Q57*$D$2/(0.85*$B$2*(D57*1000))</f>
        <v>23.41176471</v>
      </c>
      <c r="S57" s="10">
        <f>0.9*Q57*$D$2*(J57-R57/2)/1000000</f>
        <v>49.77351244</v>
      </c>
      <c r="T57" s="15" t="str">
        <f>IF(AND(S57&gt;=F57,O57&lt;=0.025*(D57*1000)*J57,O57&gt;=N57),"CUMPLE","REVISAR")</f>
        <v>CUMPLE</v>
      </c>
      <c r="U57" s="11">
        <f>G57*1000000/(0.9*(D57*1000)*J57^2)</f>
        <v>0.3661392447</v>
      </c>
      <c r="V57" s="12">
        <f>(0.85*$B$2/$D$2)*(1-SQRT(1-2*U57/(0.85*$B$2)))</f>
        <v>0.0008785708722</v>
      </c>
      <c r="W57" s="13">
        <f>V57*(D57*1000)*J57</f>
        <v>90.28633568</v>
      </c>
      <c r="X57" s="13">
        <f>MAX(W57,N57)</f>
        <v>342.55</v>
      </c>
      <c r="Y57" s="14">
        <f>ROUNDUP(X57/$J$2,0)</f>
        <v>2</v>
      </c>
      <c r="Z57" s="13">
        <f>Y57*$J$2</f>
        <v>398</v>
      </c>
      <c r="AA57" s="10">
        <f>0.9*Z57*$D$2*(J57-(Z57*$D$2/(0.85*$B$2*(D57*1000)))/2)/1000000</f>
        <v>49.77351244</v>
      </c>
      <c r="AB57" s="15" t="str">
        <f>IF(AA57&gt;=G57,"CUMPLE","REVISAR")</f>
        <v>CUMPLE</v>
      </c>
      <c r="AC57" s="10">
        <f>0.17*SQRT($B$2)*(D57*1000)*J57/1000</f>
        <v>92.44281538</v>
      </c>
      <c r="AD57" s="10">
        <f>MAX(H57/0.75-AC57,0)</f>
        <v>0</v>
      </c>
      <c r="AE57" s="14">
        <f>IF(AD57&gt;0,MIN($N$2*$D$2*J57/(AD57*1000),MIN(J57/4,6*$H$2,150)),MIN(J57/4,6*$H$2,150))</f>
        <v>85.6375</v>
      </c>
      <c r="AF57" s="10">
        <f>0.66*SQRT($B$2)*(D57*1000)*J57/1000</f>
        <v>358.8956362</v>
      </c>
      <c r="AG57" s="15" t="str">
        <f>IF(AD57&lt;=AF57,"CUMPLE","AUMENTAR SECCION")</f>
        <v>CUMPLE</v>
      </c>
      <c r="AH57" s="10">
        <f>0.75*0.083*SQRT($B$2)*(((D57*1000)*(E57*1000))^2/(2*((D57*1000)+(E57*1000))))/1000000</f>
        <v>3.388073536</v>
      </c>
      <c r="AI57" s="15" t="str">
        <f>IF(I57&gt;AH57,"SI","No")</f>
        <v>SI</v>
      </c>
      <c r="AJ57" s="11">
        <f>IF(I57&gt;AH57,I57*1000000/(0.75*2*0.85*((D57*1000-2*$F$2)*(E57*1000-2*$F$2))*$D$2),0)</f>
        <v>0.1696852984</v>
      </c>
      <c r="AK57" s="10">
        <f>1.25*Q57*$D$2*(J57-(1.25*Q57*$D$2/(0.85*$B$2*(D57*1000)))/2)/1000000</f>
        <v>68.51839235</v>
      </c>
      <c r="AL57" s="10">
        <f>1.25*Z57*$D$2*(J57-(1.25*Z57*$D$2/(0.85*$B$2*(D57*1000)))/2)/1000000</f>
        <v>68.51839235</v>
      </c>
      <c r="AM57" s="10">
        <f>(AK57+AL57)/B57</f>
        <v>52.70645566</v>
      </c>
      <c r="AN57" s="10">
        <f>MAX(H57,AM57)</f>
        <v>55.88</v>
      </c>
    </row>
    <row r="58">
      <c r="A58" s="5" t="inlineStr">
        <is>
          <t>F55</t>
        </is>
      </c>
      <c r="B58" s="6" t="n">
        <v>4</v>
      </c>
      <c r="C58" s="7" t="inlineStr">
        <is>
          <t>VC</t>
        </is>
      </c>
      <c r="D58" s="8">
        <f>IF(C58="VR",0.35,0.30)</f>
        <v>0.3</v>
      </c>
      <c r="E58" s="6" t="n">
        <v>0.4</v>
      </c>
      <c r="F58" s="9" t="n">
        <v>88.2</v>
      </c>
      <c r="G58" s="9" t="n">
        <v>70.59999999999999</v>
      </c>
      <c r="H58" s="9" t="n">
        <v>52.1</v>
      </c>
      <c r="I58" s="6" t="n">
        <v>0</v>
      </c>
      <c r="J58" s="10">
        <f>E58*1000-$F$2-$L$2-$H$2/2</f>
        <v>342.55</v>
      </c>
      <c r="K58" s="11">
        <f>F58*1000000/(0.9*(D58*1000)*J58^2)</f>
        <v>2.783605172</v>
      </c>
      <c r="L58" s="12">
        <f>(0.85*$B$2/$D$2)*(1-SQRT(1-2*K58/(0.85*$B$2)))</f>
        <v>0.007068485684</v>
      </c>
      <c r="M58" s="13">
        <f>L58*(D58*1000)*J58</f>
        <v>726.3929313</v>
      </c>
      <c r="N58" s="13">
        <f>MAX(0.25*SQRT($B$2)/$D$2,1.4/$D$2)*(D58*1000)*J58</f>
        <v>342.55</v>
      </c>
      <c r="O58" s="13">
        <f>MAX(M58,N58)</f>
        <v>726.3929313</v>
      </c>
      <c r="P58" s="14">
        <f>ROUNDUP(O58/$J$2,0)</f>
        <v>4</v>
      </c>
      <c r="Q58" s="13">
        <f>P58*$J$2</f>
        <v>796</v>
      </c>
      <c r="R58" s="10">
        <f>Q58*$D$2/(0.85*$B$2*(D58*1000))</f>
        <v>46.82352941</v>
      </c>
      <c r="S58" s="10">
        <f>0.9*Q58*$D$2*(J58-R58/2)/1000000</f>
        <v>96.02486534</v>
      </c>
      <c r="T58" s="15" t="str">
        <f>IF(AND(S58&gt;=F58,O58&lt;=0.025*(D58*1000)*J58,O58&gt;=N58),"CUMPLE","REVISAR")</f>
        <v>CUMPLE</v>
      </c>
      <c r="U58" s="11">
        <f>G58*1000000/(0.9*(D58*1000)*J58^2)</f>
        <v>2.229346108</v>
      </c>
      <c r="V58" s="12">
        <f>(0.85*$B$2/$D$2)*(1-SQRT(1-2*U58/(0.85*$B$2)))</f>
        <v>0.005582994849</v>
      </c>
      <c r="W58" s="13">
        <f>V58*(D58*1000)*J58</f>
        <v>573.7364657</v>
      </c>
      <c r="X58" s="13">
        <f>MAX(W58,N58)</f>
        <v>573.7364657</v>
      </c>
      <c r="Y58" s="14">
        <f>ROUNDUP(X58/$J$2,0)</f>
        <v>3</v>
      </c>
      <c r="Z58" s="13">
        <f>Y58*$J$2</f>
        <v>597</v>
      </c>
      <c r="AA58" s="10">
        <f>0.9*Z58*$D$2*(J58-(Z58*$D$2/(0.85*$B$2*(D58*1000)))/2)/1000000</f>
        <v>73.33945883</v>
      </c>
      <c r="AB58" s="15" t="str">
        <f>IF(AA58&gt;=G58,"CUMPLE","REVISAR")</f>
        <v>CUMPLE</v>
      </c>
      <c r="AC58" s="10">
        <f>0.17*SQRT($B$2)*(D58*1000)*J58/1000</f>
        <v>92.44281538</v>
      </c>
      <c r="AD58" s="10">
        <f>MAX(H58/0.75-AC58,0)</f>
        <v>0</v>
      </c>
      <c r="AE58" s="14">
        <f>IF(AD58&gt;0,MIN($N$2*$D$2*J58/(AD58*1000),MIN(J58/4,6*$H$2,150)),MIN(J58/4,6*$H$2,150))</f>
        <v>85.6375</v>
      </c>
      <c r="AF58" s="10">
        <f>0.66*SQRT($B$2)*(D58*1000)*J58/1000</f>
        <v>358.8956362</v>
      </c>
      <c r="AG58" s="15" t="str">
        <f>IF(AD58&lt;=AF58,"CUMPLE","AUMENTAR SECCION")</f>
        <v>CUMPLE</v>
      </c>
      <c r="AH58" s="10">
        <f>0.75*0.083*SQRT($B$2)*(((D58*1000)*(E58*1000))^2/(2*((D58*1000)+(E58*1000))))/1000000</f>
        <v>3.388073536</v>
      </c>
      <c r="AI58" s="15" t="str">
        <f>IF(I58&gt;AH58,"SI","No")</f>
        <v>No</v>
      </c>
      <c r="AJ58" s="11">
        <f>IF(I58&gt;AH58,I58*1000000/(0.75*2*0.85*((D58*1000-2*$F$2)*(E58*1000-2*$F$2))*$D$2),0)</f>
        <v>0</v>
      </c>
      <c r="AK58" s="10">
        <f>1.25*Q58*$D$2*(J58-(1.25*Q58*$D$2/(0.85*$B$2*(D58*1000)))/2)/1000000</f>
        <v>130.9219244</v>
      </c>
      <c r="AL58" s="10">
        <f>1.25*Z58*$D$2*(J58-(1.25*Z58*$D$2/(0.85*$B$2*(D58*1000)))/2)/1000000</f>
        <v>100.4845159</v>
      </c>
      <c r="AM58" s="10">
        <f>(AK58+AL58)/B58</f>
        <v>57.85161008</v>
      </c>
      <c r="AN58" s="10">
        <f>MAX(H58,AM58)</f>
        <v>57.85161008</v>
      </c>
    </row>
    <row r="59">
      <c r="A59" s="5" t="inlineStr">
        <is>
          <t>F56</t>
        </is>
      </c>
      <c r="B59" s="6" t="n">
        <v>4</v>
      </c>
      <c r="C59" s="7" t="inlineStr">
        <is>
          <t>VC</t>
        </is>
      </c>
      <c r="D59" s="8">
        <f>IF(C59="VR",0.35,0.30)</f>
        <v>0.3</v>
      </c>
      <c r="E59" s="6" t="n">
        <v>0.4</v>
      </c>
      <c r="F59" s="9" t="n">
        <v>88.2</v>
      </c>
      <c r="G59" s="9" t="n">
        <v>70.59999999999999</v>
      </c>
      <c r="H59" s="9" t="n">
        <v>52.1</v>
      </c>
      <c r="I59" s="6" t="n">
        <v>0</v>
      </c>
      <c r="J59" s="10">
        <f>E59*1000-$F$2-$L$2-$H$2/2</f>
        <v>342.55</v>
      </c>
      <c r="K59" s="11">
        <f>F59*1000000/(0.9*(D59*1000)*J59^2)</f>
        <v>2.783605172</v>
      </c>
      <c r="L59" s="12">
        <f>(0.85*$B$2/$D$2)*(1-SQRT(1-2*K59/(0.85*$B$2)))</f>
        <v>0.007068485684</v>
      </c>
      <c r="M59" s="13">
        <f>L59*(D59*1000)*J59</f>
        <v>726.3929313</v>
      </c>
      <c r="N59" s="13">
        <f>MAX(0.25*SQRT($B$2)/$D$2,1.4/$D$2)*(D59*1000)*J59</f>
        <v>342.55</v>
      </c>
      <c r="O59" s="13">
        <f>MAX(M59,N59)</f>
        <v>726.3929313</v>
      </c>
      <c r="P59" s="14">
        <f>ROUNDUP(O59/$J$2,0)</f>
        <v>4</v>
      </c>
      <c r="Q59" s="13">
        <f>P59*$J$2</f>
        <v>796</v>
      </c>
      <c r="R59" s="10">
        <f>Q59*$D$2/(0.85*$B$2*(D59*1000))</f>
        <v>46.82352941</v>
      </c>
      <c r="S59" s="10">
        <f>0.9*Q59*$D$2*(J59-R59/2)/1000000</f>
        <v>96.02486534</v>
      </c>
      <c r="T59" s="15" t="str">
        <f>IF(AND(S59&gt;=F59,O59&lt;=0.025*(D59*1000)*J59,O59&gt;=N59),"CUMPLE","REVISAR")</f>
        <v>CUMPLE</v>
      </c>
      <c r="U59" s="11">
        <f>G59*1000000/(0.9*(D59*1000)*J59^2)</f>
        <v>2.229346108</v>
      </c>
      <c r="V59" s="12">
        <f>(0.85*$B$2/$D$2)*(1-SQRT(1-2*U59/(0.85*$B$2)))</f>
        <v>0.005582994849</v>
      </c>
      <c r="W59" s="13">
        <f>V59*(D59*1000)*J59</f>
        <v>573.7364657</v>
      </c>
      <c r="X59" s="13">
        <f>MAX(W59,N59)</f>
        <v>573.7364657</v>
      </c>
      <c r="Y59" s="14">
        <f>ROUNDUP(X59/$J$2,0)</f>
        <v>3</v>
      </c>
      <c r="Z59" s="13">
        <f>Y59*$J$2</f>
        <v>597</v>
      </c>
      <c r="AA59" s="10">
        <f>0.9*Z59*$D$2*(J59-(Z59*$D$2/(0.85*$B$2*(D59*1000)))/2)/1000000</f>
        <v>73.33945883</v>
      </c>
      <c r="AB59" s="15" t="str">
        <f>IF(AA59&gt;=G59,"CUMPLE","REVISAR")</f>
        <v>CUMPLE</v>
      </c>
      <c r="AC59" s="10">
        <f>0.17*SQRT($B$2)*(D59*1000)*J59/1000</f>
        <v>92.44281538</v>
      </c>
      <c r="AD59" s="10">
        <f>MAX(H59/0.75-AC59,0)</f>
        <v>0</v>
      </c>
      <c r="AE59" s="14">
        <f>IF(AD59&gt;0,MIN($N$2*$D$2*J59/(AD59*1000),MIN(J59/4,6*$H$2,150)),MIN(J59/4,6*$H$2,150))</f>
        <v>85.6375</v>
      </c>
      <c r="AF59" s="10">
        <f>0.66*SQRT($B$2)*(D59*1000)*J59/1000</f>
        <v>358.8956362</v>
      </c>
      <c r="AG59" s="15" t="str">
        <f>IF(AD59&lt;=AF59,"CUMPLE","AUMENTAR SECCION")</f>
        <v>CUMPLE</v>
      </c>
      <c r="AH59" s="10">
        <f>0.75*0.083*SQRT($B$2)*(((D59*1000)*(E59*1000))^2/(2*((D59*1000)+(E59*1000))))/1000000</f>
        <v>3.388073536</v>
      </c>
      <c r="AI59" s="15" t="str">
        <f>IF(I59&gt;AH59,"SI","No")</f>
        <v>No</v>
      </c>
      <c r="AJ59" s="11">
        <f>IF(I59&gt;AH59,I59*1000000/(0.75*2*0.85*((D59*1000-2*$F$2)*(E59*1000-2*$F$2))*$D$2),0)</f>
        <v>0</v>
      </c>
      <c r="AK59" s="10">
        <f>1.25*Q59*$D$2*(J59-(1.25*Q59*$D$2/(0.85*$B$2*(D59*1000)))/2)/1000000</f>
        <v>130.9219244</v>
      </c>
      <c r="AL59" s="10">
        <f>1.25*Z59*$D$2*(J59-(1.25*Z59*$D$2/(0.85*$B$2*(D59*1000)))/2)/1000000</f>
        <v>100.4845159</v>
      </c>
      <c r="AM59" s="10">
        <f>(AK59+AL59)/B59</f>
        <v>57.85161008</v>
      </c>
      <c r="AN59" s="10">
        <f>MAX(H59,AM59)</f>
        <v>57.85161008</v>
      </c>
    </row>
    <row r="60">
      <c r="A60" s="5" t="inlineStr">
        <is>
          <t>F57</t>
        </is>
      </c>
      <c r="B60" s="6" t="n">
        <v>4</v>
      </c>
      <c r="C60" s="7" t="inlineStr">
        <is>
          <t>VC</t>
        </is>
      </c>
      <c r="D60" s="8">
        <f>IF(C60="VR",0.35,0.30)</f>
        <v>0.3</v>
      </c>
      <c r="E60" s="6" t="n">
        <v>0.4</v>
      </c>
      <c r="F60" s="9" t="n">
        <v>102.5</v>
      </c>
      <c r="G60" s="9" t="n">
        <v>87.2</v>
      </c>
      <c r="H60" s="9" t="n">
        <v>59.5</v>
      </c>
      <c r="I60" s="6" t="n">
        <v>0</v>
      </c>
      <c r="J60" s="10">
        <f>E60*1000-$F$2-$L$2-$H$2/2</f>
        <v>342.55</v>
      </c>
      <c r="K60" s="11">
        <f>F60*1000000/(0.9*(D60*1000)*J60^2)</f>
        <v>3.233703933</v>
      </c>
      <c r="L60" s="12">
        <f>(0.85*$B$2/$D$2)*(1-SQRT(1-2*K60/(0.85*$B$2)))</f>
        <v>0.008308375387</v>
      </c>
      <c r="M60" s="13">
        <f>L60*(D60*1000)*J60</f>
        <v>853.8101966</v>
      </c>
      <c r="N60" s="13">
        <f>MAX(0.25*SQRT($B$2)/$D$2,1.4/$D$2)*(D60*1000)*J60</f>
        <v>342.55</v>
      </c>
      <c r="O60" s="13">
        <f>MAX(M60,N60)</f>
        <v>853.8101966</v>
      </c>
      <c r="P60" s="14">
        <f>ROUNDUP(O60/$J$2,0)</f>
        <v>5</v>
      </c>
      <c r="Q60" s="13">
        <f>P60*$J$2</f>
        <v>995</v>
      </c>
      <c r="R60" s="10">
        <f>Q60*$D$2/(0.85*$B$2*(D60*1000))</f>
        <v>58.52941176</v>
      </c>
      <c r="S60" s="10">
        <f>0.9*Q60*$D$2*(J60-R60/2)/1000000</f>
        <v>117.829732</v>
      </c>
      <c r="T60" s="15" t="str">
        <f>IF(AND(S60&gt;=F60,O60&lt;=0.025*(D60*1000)*J60,O60&gt;=N60),"CUMPLE","REVISAR")</f>
        <v>CUMPLE</v>
      </c>
      <c r="U60" s="11">
        <f>G60*1000000/(0.9*(D60*1000)*J60^2)</f>
        <v>2.752672718</v>
      </c>
      <c r="V60" s="12">
        <f>(0.85*$B$2/$D$2)*(1-SQRT(1-2*U60/(0.85*$B$2)))</f>
        <v>0.006984412196</v>
      </c>
      <c r="W60" s="13">
        <f>V60*(D60*1000)*J60</f>
        <v>717.7531193</v>
      </c>
      <c r="X60" s="13">
        <f>MAX(W60,N60)</f>
        <v>717.7531193</v>
      </c>
      <c r="Y60" s="14">
        <f>ROUNDUP(X60/$J$2,0)</f>
        <v>4</v>
      </c>
      <c r="Z60" s="13">
        <f>Y60*$J$2</f>
        <v>796</v>
      </c>
      <c r="AA60" s="10">
        <f>0.9*Z60*$D$2*(J60-(Z60*$D$2/(0.85*$B$2*(D60*1000)))/2)/1000000</f>
        <v>96.02486534</v>
      </c>
      <c r="AB60" s="15" t="str">
        <f>IF(AA60&gt;=G60,"CUMPLE","REVISAR")</f>
        <v>CUMPLE</v>
      </c>
      <c r="AC60" s="10">
        <f>0.17*SQRT($B$2)*(D60*1000)*J60/1000</f>
        <v>92.44281538</v>
      </c>
      <c r="AD60" s="10">
        <f>MAX(H60/0.75-AC60,0)</f>
        <v>0</v>
      </c>
      <c r="AE60" s="14">
        <f>IF(AD60&gt;0,MIN($N$2*$D$2*J60/(AD60*1000),MIN(J60/4,6*$H$2,150)),MIN(J60/4,6*$H$2,150))</f>
        <v>85.6375</v>
      </c>
      <c r="AF60" s="10">
        <f>0.66*SQRT($B$2)*(D60*1000)*J60/1000</f>
        <v>358.8956362</v>
      </c>
      <c r="AG60" s="15" t="str">
        <f>IF(AD60&lt;=AF60,"CUMPLE","AUMENTAR SECCION")</f>
        <v>CUMPLE</v>
      </c>
      <c r="AH60" s="10">
        <f>0.75*0.083*SQRT($B$2)*(((D60*1000)*(E60*1000))^2/(2*((D60*1000)+(E60*1000))))/1000000</f>
        <v>3.388073536</v>
      </c>
      <c r="AI60" s="15" t="str">
        <f>IF(I60&gt;AH60,"SI","No")</f>
        <v>No</v>
      </c>
      <c r="AJ60" s="11">
        <f>IF(I60&gt;AH60,I60*1000000/(0.75*2*0.85*((D60*1000-2*$F$2)*(E60*1000-2*$F$2))*$D$2),0)</f>
        <v>0</v>
      </c>
      <c r="AK60" s="10">
        <f>1.25*Q60*$D$2*(J60-(1.25*Q60*$D$2/(0.85*$B$2*(D60*1000)))/2)/1000000</f>
        <v>159.8306178</v>
      </c>
      <c r="AL60" s="10">
        <f>1.25*Z60*$D$2*(J60-(1.25*Z60*$D$2/(0.85*$B$2*(D60*1000)))/2)/1000000</f>
        <v>130.9219244</v>
      </c>
      <c r="AM60" s="10">
        <f>(AK60+AL60)/B60</f>
        <v>72.68813556</v>
      </c>
      <c r="AN60" s="10">
        <f>MAX(H60,AM60)</f>
        <v>72.68813556</v>
      </c>
    </row>
    <row r="61">
      <c r="A61" s="5" t="inlineStr">
        <is>
          <t>F58</t>
        </is>
      </c>
      <c r="B61" s="6" t="n">
        <v>3.81</v>
      </c>
      <c r="C61" s="7" t="inlineStr">
        <is>
          <t>VC</t>
        </is>
      </c>
      <c r="D61" s="8">
        <f>IF(C61="VR",0.35,0.30)</f>
        <v>0.3</v>
      </c>
      <c r="E61" s="6" t="n">
        <v>0.4</v>
      </c>
      <c r="F61" s="9" t="n">
        <v>105.7</v>
      </c>
      <c r="G61" s="9" t="n">
        <v>74.2</v>
      </c>
      <c r="H61" s="9" t="n">
        <v>68.3</v>
      </c>
      <c r="I61" s="6" t="n">
        <v>6.47</v>
      </c>
      <c r="J61" s="10">
        <f>E61*1000-$F$2-$L$2-$H$2/2</f>
        <v>342.55</v>
      </c>
      <c r="K61" s="11">
        <f>F61*1000000/(0.9*(D61*1000)*J61^2)</f>
        <v>3.3350235</v>
      </c>
      <c r="L61" s="12">
        <f>(0.85*$B$2/$D$2)*(1-SQRT(1-2*K61/(0.85*$B$2)))</f>
        <v>0.008591890173</v>
      </c>
      <c r="M61" s="13">
        <f>L61*(D61*1000)*J61</f>
        <v>882.9455936</v>
      </c>
      <c r="N61" s="13">
        <f>MAX(0.25*SQRT($B$2)/$D$2,1.4/$D$2)*(D61*1000)*J61</f>
        <v>342.55</v>
      </c>
      <c r="O61" s="13">
        <f>MAX(M61,N61)</f>
        <v>882.9455936</v>
      </c>
      <c r="P61" s="14">
        <f>ROUNDUP(O61/$J$2,0)</f>
        <v>5</v>
      </c>
      <c r="Q61" s="13">
        <f>P61*$J$2</f>
        <v>995</v>
      </c>
      <c r="R61" s="10">
        <f>Q61*$D$2/(0.85*$B$2*(D61*1000))</f>
        <v>58.52941176</v>
      </c>
      <c r="S61" s="10">
        <f>0.9*Q61*$D$2*(J61-R61/2)/1000000</f>
        <v>117.829732</v>
      </c>
      <c r="T61" s="15" t="str">
        <f>IF(AND(S61&gt;=F61,O61&lt;=0.025*(D61*1000)*J61,O61&gt;=N61),"CUMPLE","REVISAR")</f>
        <v>CUMPLE</v>
      </c>
      <c r="U61" s="11">
        <f>G61*1000000/(0.9*(D61*1000)*J61^2)</f>
        <v>2.342028617</v>
      </c>
      <c r="V61" s="12">
        <f>(0.85*$B$2/$D$2)*(1-SQRT(1-2*U61/(0.85*$B$2)))</f>
        <v>0.00588148049</v>
      </c>
      <c r="W61" s="13">
        <f>V61*(D61*1000)*J61</f>
        <v>604.4103425</v>
      </c>
      <c r="X61" s="13">
        <f>MAX(W61,N61)</f>
        <v>604.4103425</v>
      </c>
      <c r="Y61" s="14">
        <f>ROUNDUP(X61/$J$2,0)</f>
        <v>4</v>
      </c>
      <c r="Z61" s="13">
        <f>Y61*$J$2</f>
        <v>796</v>
      </c>
      <c r="AA61" s="10">
        <f>0.9*Z61*$D$2*(J61-(Z61*$D$2/(0.85*$B$2*(D61*1000)))/2)/1000000</f>
        <v>96.02486534</v>
      </c>
      <c r="AB61" s="15" t="str">
        <f>IF(AA61&gt;=G61,"CUMPLE","REVISAR")</f>
        <v>CUMPLE</v>
      </c>
      <c r="AC61" s="10">
        <f>0.17*SQRT($B$2)*(D61*1000)*J61/1000</f>
        <v>92.44281538</v>
      </c>
      <c r="AD61" s="10">
        <f>MAX(H61/0.75-AC61,0)</f>
        <v>0</v>
      </c>
      <c r="AE61" s="14">
        <f>IF(AD61&gt;0,MIN($N$2*$D$2*J61/(AD61*1000),MIN(J61/4,6*$H$2,150)),MIN(J61/4,6*$H$2,150))</f>
        <v>85.6375</v>
      </c>
      <c r="AF61" s="10">
        <f>0.66*SQRT($B$2)*(D61*1000)*J61/1000</f>
        <v>358.8956362</v>
      </c>
      <c r="AG61" s="15" t="str">
        <f>IF(AD61&lt;=AF61,"CUMPLE","AUMENTAR SECCION")</f>
        <v>CUMPLE</v>
      </c>
      <c r="AH61" s="10">
        <f>0.75*0.083*SQRT($B$2)*(((D61*1000)*(E61*1000))^2/(2*((D61*1000)+(E61*1000))))/1000000</f>
        <v>3.388073536</v>
      </c>
      <c r="AI61" s="15" t="str">
        <f>IF(I61&gt;AH61,"SI","No")</f>
        <v>SI</v>
      </c>
      <c r="AJ61" s="11">
        <f>IF(I61&gt;AH61,I61*1000000/(0.75*2*0.85*((D61*1000-2*$F$2)*(E61*1000-2*$F$2))*$D$2),0)</f>
        <v>0.1716482047</v>
      </c>
      <c r="AK61" s="10">
        <f>1.25*Q61*$D$2*(J61-(1.25*Q61*$D$2/(0.85*$B$2*(D61*1000)))/2)/1000000</f>
        <v>159.8306178</v>
      </c>
      <c r="AL61" s="10">
        <f>1.25*Z61*$D$2*(J61-(1.25*Z61*$D$2/(0.85*$B$2*(D61*1000)))/2)/1000000</f>
        <v>130.9219244</v>
      </c>
      <c r="AM61" s="10">
        <f>(AK61+AL61)/B61</f>
        <v>76.21298617</v>
      </c>
      <c r="AN61" s="10">
        <f>MAX(H61,AM61)</f>
        <v>76.21298617</v>
      </c>
    </row>
    <row r="62">
      <c r="A62" s="5" t="inlineStr">
        <is>
          <t>F59</t>
        </is>
      </c>
      <c r="B62" s="6" t="n">
        <v>3.81</v>
      </c>
      <c r="C62" s="7" t="inlineStr">
        <is>
          <t>VC</t>
        </is>
      </c>
      <c r="D62" s="8">
        <f>IF(C62="VR",0.35,0.30)</f>
        <v>0.3</v>
      </c>
      <c r="E62" s="6" t="n">
        <v>0.4</v>
      </c>
      <c r="F62" s="9" t="n">
        <v>105.7</v>
      </c>
      <c r="G62" s="9" t="n">
        <v>74.2</v>
      </c>
      <c r="H62" s="9" t="n">
        <v>68.40000000000001</v>
      </c>
      <c r="I62" s="6" t="n">
        <v>6.47</v>
      </c>
      <c r="J62" s="10">
        <f>E62*1000-$F$2-$L$2-$H$2/2</f>
        <v>342.55</v>
      </c>
      <c r="K62" s="11">
        <f>F62*1000000/(0.9*(D62*1000)*J62^2)</f>
        <v>3.335339137</v>
      </c>
      <c r="L62" s="12">
        <f>(0.85*$B$2/$D$2)*(1-SQRT(1-2*K62/(0.85*$B$2)))</f>
        <v>0.008592776009</v>
      </c>
      <c r="M62" s="13">
        <f>L62*(D62*1000)*J62</f>
        <v>883.0366266</v>
      </c>
      <c r="N62" s="13">
        <f>MAX(0.25*SQRT($B$2)/$D$2,1.4/$D$2)*(D62*1000)*J62</f>
        <v>342.55</v>
      </c>
      <c r="O62" s="13">
        <f>MAX(M62,N62)</f>
        <v>883.0366266</v>
      </c>
      <c r="P62" s="14">
        <f>ROUNDUP(O62/$J$2,0)</f>
        <v>5</v>
      </c>
      <c r="Q62" s="13">
        <f>P62*$J$2</f>
        <v>995</v>
      </c>
      <c r="R62" s="10">
        <f>Q62*$D$2/(0.85*$B$2*(D62*1000))</f>
        <v>58.52941176</v>
      </c>
      <c r="S62" s="10">
        <f>0.9*Q62*$D$2*(J62-R62/2)/1000000</f>
        <v>117.829732</v>
      </c>
      <c r="T62" s="15" t="str">
        <f>IF(AND(S62&gt;=F62,O62&lt;=0.025*(D62*1000)*J62,O62&gt;=N62),"CUMPLE","REVISAR")</f>
        <v>CUMPLE</v>
      </c>
      <c r="U62" s="11">
        <f>G62*1000000/(0.9*(D62*1000)*J62^2)</f>
        <v>2.342028617</v>
      </c>
      <c r="V62" s="12">
        <f>(0.85*$B$2/$D$2)*(1-SQRT(1-2*U62/(0.85*$B$2)))</f>
        <v>0.00588148049</v>
      </c>
      <c r="W62" s="13">
        <f>V62*(D62*1000)*J62</f>
        <v>604.4103425</v>
      </c>
      <c r="X62" s="13">
        <f>MAX(W62,N62)</f>
        <v>604.4103425</v>
      </c>
      <c r="Y62" s="14">
        <f>ROUNDUP(X62/$J$2,0)</f>
        <v>4</v>
      </c>
      <c r="Z62" s="13">
        <f>Y62*$J$2</f>
        <v>796</v>
      </c>
      <c r="AA62" s="10">
        <f>0.9*Z62*$D$2*(J62-(Z62*$D$2/(0.85*$B$2*(D62*1000)))/2)/1000000</f>
        <v>96.02486534</v>
      </c>
      <c r="AB62" s="15" t="str">
        <f>IF(AA62&gt;=G62,"CUMPLE","REVISAR")</f>
        <v>CUMPLE</v>
      </c>
      <c r="AC62" s="10">
        <f>0.17*SQRT($B$2)*(D62*1000)*J62/1000</f>
        <v>92.44281538</v>
      </c>
      <c r="AD62" s="10">
        <f>MAX(H62/0.75-AC62,0)</f>
        <v>0</v>
      </c>
      <c r="AE62" s="14">
        <f>IF(AD62&gt;0,MIN($N$2*$D$2*J62/(AD62*1000),MIN(J62/4,6*$H$2,150)),MIN(J62/4,6*$H$2,150))</f>
        <v>85.6375</v>
      </c>
      <c r="AF62" s="10">
        <f>0.66*SQRT($B$2)*(D62*1000)*J62/1000</f>
        <v>358.8956362</v>
      </c>
      <c r="AG62" s="15" t="str">
        <f>IF(AD62&lt;=AF62,"CUMPLE","AUMENTAR SECCION")</f>
        <v>CUMPLE</v>
      </c>
      <c r="AH62" s="10">
        <f>0.75*0.083*SQRT($B$2)*(((D62*1000)*(E62*1000))^2/(2*((D62*1000)+(E62*1000))))/1000000</f>
        <v>3.388073536</v>
      </c>
      <c r="AI62" s="15" t="str">
        <f>IF(I62&gt;AH62,"SI","No")</f>
        <v>SI</v>
      </c>
      <c r="AJ62" s="11">
        <f>IF(I62&gt;AH62,I62*1000000/(0.75*2*0.85*((D62*1000-2*$F$2)*(E62*1000-2*$F$2))*$D$2),0)</f>
        <v>0.1716747305</v>
      </c>
      <c r="AK62" s="10">
        <f>1.25*Q62*$D$2*(J62-(1.25*Q62*$D$2/(0.85*$B$2*(D62*1000)))/2)/1000000</f>
        <v>159.8306178</v>
      </c>
      <c r="AL62" s="10">
        <f>1.25*Z62*$D$2*(J62-(1.25*Z62*$D$2/(0.85*$B$2*(D62*1000)))/2)/1000000</f>
        <v>130.9219244</v>
      </c>
      <c r="AM62" s="10">
        <f>(AK62+AL62)/B62</f>
        <v>76.21298617</v>
      </c>
      <c r="AN62" s="10">
        <f>MAX(H62,AM62)</f>
        <v>76.21298617</v>
      </c>
    </row>
    <row r="63">
      <c r="A63" s="5" t="inlineStr">
        <is>
          <t>F60</t>
        </is>
      </c>
      <c r="B63" s="6" t="n">
        <v>4</v>
      </c>
      <c r="C63" s="7" t="inlineStr">
        <is>
          <t>VC</t>
        </is>
      </c>
      <c r="D63" s="8">
        <f>IF(C63="VR",0.35,0.30)</f>
        <v>0.3</v>
      </c>
      <c r="E63" s="6" t="n">
        <v>0.4</v>
      </c>
      <c r="F63" s="9" t="n">
        <v>102.5</v>
      </c>
      <c r="G63" s="9" t="n">
        <v>87.2</v>
      </c>
      <c r="H63" s="9" t="n">
        <v>59.5</v>
      </c>
      <c r="I63" s="6" t="n">
        <v>0</v>
      </c>
      <c r="J63" s="10">
        <f>E63*1000-$F$2-$L$2-$H$2/2</f>
        <v>342.55</v>
      </c>
      <c r="K63" s="11">
        <f>F63*1000000/(0.9*(D63*1000)*J63^2)</f>
        <v>3.233703933</v>
      </c>
      <c r="L63" s="12">
        <f>(0.85*$B$2/$D$2)*(1-SQRT(1-2*K63/(0.85*$B$2)))</f>
        <v>0.008308375387</v>
      </c>
      <c r="M63" s="13">
        <f>L63*(D63*1000)*J63</f>
        <v>853.8101966</v>
      </c>
      <c r="N63" s="13">
        <f>MAX(0.25*SQRT($B$2)/$D$2,1.4/$D$2)*(D63*1000)*J63</f>
        <v>342.55</v>
      </c>
      <c r="O63" s="13">
        <f>MAX(M63,N63)</f>
        <v>853.8101966</v>
      </c>
      <c r="P63" s="14">
        <f>ROUNDUP(O63/$J$2,0)</f>
        <v>5</v>
      </c>
      <c r="Q63" s="13">
        <f>P63*$J$2</f>
        <v>995</v>
      </c>
      <c r="R63" s="10">
        <f>Q63*$D$2/(0.85*$B$2*(D63*1000))</f>
        <v>58.52941176</v>
      </c>
      <c r="S63" s="10">
        <f>0.9*Q63*$D$2*(J63-R63/2)/1000000</f>
        <v>117.829732</v>
      </c>
      <c r="T63" s="15" t="str">
        <f>IF(AND(S63&gt;=F63,O63&lt;=0.025*(D63*1000)*J63,O63&gt;=N63),"CUMPLE","REVISAR")</f>
        <v>CUMPLE</v>
      </c>
      <c r="U63" s="11">
        <f>G63*1000000/(0.9*(D63*1000)*J63^2)</f>
        <v>2.752357081</v>
      </c>
      <c r="V63" s="12">
        <f>(0.85*$B$2/$D$2)*(1-SQRT(1-2*U63/(0.85*$B$2)))</f>
        <v>0.006983555036</v>
      </c>
      <c r="W63" s="13">
        <f>V63*(D63*1000)*J63</f>
        <v>717.6650333</v>
      </c>
      <c r="X63" s="13">
        <f>MAX(W63,N63)</f>
        <v>717.6650333</v>
      </c>
      <c r="Y63" s="14">
        <f>ROUNDUP(X63/$J$2,0)</f>
        <v>4</v>
      </c>
      <c r="Z63" s="13">
        <f>Y63*$J$2</f>
        <v>796</v>
      </c>
      <c r="AA63" s="10">
        <f>0.9*Z63*$D$2*(J63-(Z63*$D$2/(0.85*$B$2*(D63*1000)))/2)/1000000</f>
        <v>96.02486534</v>
      </c>
      <c r="AB63" s="15" t="str">
        <f>IF(AA63&gt;=G63,"CUMPLE","REVISAR")</f>
        <v>CUMPLE</v>
      </c>
      <c r="AC63" s="10">
        <f>0.17*SQRT($B$2)*(D63*1000)*J63/1000</f>
        <v>92.44281538</v>
      </c>
      <c r="AD63" s="10">
        <f>MAX(H63/0.75-AC63,0)</f>
        <v>0</v>
      </c>
      <c r="AE63" s="14">
        <f>IF(AD63&gt;0,MIN($N$2*$D$2*J63/(AD63*1000),MIN(J63/4,6*$H$2,150)),MIN(J63/4,6*$H$2,150))</f>
        <v>85.6375</v>
      </c>
      <c r="AF63" s="10">
        <f>0.66*SQRT($B$2)*(D63*1000)*J63/1000</f>
        <v>358.8956362</v>
      </c>
      <c r="AG63" s="15" t="str">
        <f>IF(AD63&lt;=AF63,"CUMPLE","AUMENTAR SECCION")</f>
        <v>CUMPLE</v>
      </c>
      <c r="AH63" s="10">
        <f>0.75*0.083*SQRT($B$2)*(((D63*1000)*(E63*1000))^2/(2*((D63*1000)+(E63*1000))))/1000000</f>
        <v>3.388073536</v>
      </c>
      <c r="AI63" s="15" t="str">
        <f>IF(I63&gt;AH63,"SI","No")</f>
        <v>No</v>
      </c>
      <c r="AJ63" s="11">
        <f>IF(I63&gt;AH63,I63*1000000/(0.75*2*0.85*((D63*1000-2*$F$2)*(E63*1000-2*$F$2))*$D$2),0)</f>
        <v>0</v>
      </c>
      <c r="AK63" s="10">
        <f>1.25*Q63*$D$2*(J63-(1.25*Q63*$D$2/(0.85*$B$2*(D63*1000)))/2)/1000000</f>
        <v>159.8306178</v>
      </c>
      <c r="AL63" s="10">
        <f>1.25*Z63*$D$2*(J63-(1.25*Z63*$D$2/(0.85*$B$2*(D63*1000)))/2)/1000000</f>
        <v>130.9219244</v>
      </c>
      <c r="AM63" s="10">
        <f>(AK63+AL63)/B63</f>
        <v>72.68813556</v>
      </c>
      <c r="AN63" s="10">
        <f>MAX(H63,AM63)</f>
        <v>72.68813556</v>
      </c>
    </row>
    <row r="64">
      <c r="A64" s="5" t="inlineStr">
        <is>
          <t>F61</t>
        </is>
      </c>
      <c r="B64" s="6" t="n">
        <v>3.85</v>
      </c>
      <c r="C64" s="7" t="inlineStr">
        <is>
          <t>VC</t>
        </is>
      </c>
      <c r="D64" s="8">
        <f>IF(C64="VR",0.35,0.30)</f>
        <v>0.3</v>
      </c>
      <c r="E64" s="6" t="n">
        <v>0.4</v>
      </c>
      <c r="F64" s="9" t="n">
        <v>121.5</v>
      </c>
      <c r="G64" s="9" t="n">
        <v>93.3</v>
      </c>
      <c r="H64" s="9" t="n">
        <v>76.90000000000001</v>
      </c>
      <c r="I64" s="6" t="n">
        <v>0</v>
      </c>
      <c r="J64" s="10">
        <f>E64*1000-$F$2-$L$2-$H$2/2</f>
        <v>342.55</v>
      </c>
      <c r="K64" s="11">
        <f>F64*1000000/(0.9*(D64*1000)*J64^2)</f>
        <v>3.835939863</v>
      </c>
      <c r="L64" s="12">
        <f>(0.85*$B$2/$D$2)*(1-SQRT(1-2*K64/(0.85*$B$2)))</f>
        <v>0.01001887757</v>
      </c>
      <c r="M64" s="13">
        <f>L64*(D64*1000)*J64</f>
        <v>1029.589954</v>
      </c>
      <c r="N64" s="13">
        <f>MAX(0.25*SQRT($B$2)/$D$2,1.4/$D$2)*(D64*1000)*J64</f>
        <v>342.55</v>
      </c>
      <c r="O64" s="13">
        <f>MAX(M64,N64)</f>
        <v>1029.589954</v>
      </c>
      <c r="P64" s="14">
        <f>ROUNDUP(O64/$J$2,0)</f>
        <v>6</v>
      </c>
      <c r="Q64" s="13">
        <f>P64*$J$2</f>
        <v>1194</v>
      </c>
      <c r="R64" s="10">
        <f>Q64*$D$2/(0.85*$B$2*(D64*1000))</f>
        <v>70.23529412</v>
      </c>
      <c r="S64" s="10">
        <f>0.9*Q64*$D$2*(J64-R64/2)/1000000</f>
        <v>138.7540587</v>
      </c>
      <c r="T64" s="15" t="str">
        <f>IF(AND(S64&gt;=F64,O64&lt;=0.025*(D64*1000)*J64,O64&gt;=N64),"CUMPLE","REVISAR")</f>
        <v>CUMPLE</v>
      </c>
      <c r="U64" s="11">
        <f>G64*1000000/(0.9*(D64*1000)*J64^2)</f>
        <v>2.944264547</v>
      </c>
      <c r="V64" s="12">
        <f>(0.85*$B$2/$D$2)*(1-SQRT(1-2*U64/(0.85*$B$2)))</f>
        <v>0.00750746583</v>
      </c>
      <c r="W64" s="13">
        <f>V64*(D64*1000)*J64</f>
        <v>771.504726</v>
      </c>
      <c r="X64" s="13">
        <f>MAX(W64,N64)</f>
        <v>771.504726</v>
      </c>
      <c r="Y64" s="14">
        <f>ROUNDUP(X64/$J$2,0)</f>
        <v>4</v>
      </c>
      <c r="Z64" s="13">
        <f>Y64*$J$2</f>
        <v>796</v>
      </c>
      <c r="AA64" s="10">
        <f>0.9*Z64*$D$2*(J64-(Z64*$D$2/(0.85*$B$2*(D64*1000)))/2)/1000000</f>
        <v>96.02486534</v>
      </c>
      <c r="AB64" s="15" t="str">
        <f>IF(AA64&gt;=G64,"CUMPLE","REVISAR")</f>
        <v>CUMPLE</v>
      </c>
      <c r="AC64" s="10">
        <f>0.17*SQRT($B$2)*(D64*1000)*J64/1000</f>
        <v>92.44281538</v>
      </c>
      <c r="AD64" s="10">
        <f>MAX(H64/0.75-AC64,0)</f>
        <v>10.14385128</v>
      </c>
      <c r="AE64" s="14">
        <f>IF(AD64&gt;0,MIN($N$2*$D$2*J64/(AD64*1000),MIN(J64/4,6*$H$2,150)),MIN(J64/4,6*$H$2,150))</f>
        <v>85.6375</v>
      </c>
      <c r="AF64" s="10">
        <f>0.66*SQRT($B$2)*(D64*1000)*J64/1000</f>
        <v>358.8956362</v>
      </c>
      <c r="AG64" s="15" t="str">
        <f>IF(AD64&lt;=AF64,"CUMPLE","AUMENTAR SECCION")</f>
        <v>CUMPLE</v>
      </c>
      <c r="AH64" s="10">
        <f>0.75*0.083*SQRT($B$2)*(((D64*1000)*(E64*1000))^2/(2*((D64*1000)+(E64*1000))))/1000000</f>
        <v>3.388073536</v>
      </c>
      <c r="AI64" s="15" t="str">
        <f>IF(I64&gt;AH64,"SI","No")</f>
        <v>No</v>
      </c>
      <c r="AJ64" s="11">
        <f>IF(I64&gt;AH64,I64*1000000/(0.75*2*0.85*((D64*1000-2*$F$2)*(E64*1000-2*$F$2))*$D$2),0)</f>
        <v>0</v>
      </c>
      <c r="AK64" s="10">
        <f>1.25*Q64*$D$2*(J64-(1.25*Q64*$D$2/(0.85*$B$2*(D64*1000)))/2)/1000000</f>
        <v>187.2105962</v>
      </c>
      <c r="AL64" s="10">
        <f>1.25*Z64*$D$2*(J64-(1.25*Z64*$D$2/(0.85*$B$2*(D64*1000)))/2)/1000000</f>
        <v>130.9219244</v>
      </c>
      <c r="AM64" s="10">
        <f>(AK64+AL64)/B64</f>
        <v>82.63182353</v>
      </c>
      <c r="AN64" s="10">
        <f>MAX(H64,AM64)</f>
        <v>82.63182353</v>
      </c>
    </row>
    <row r="65">
      <c r="A65" s="5" t="inlineStr">
        <is>
          <t>F62</t>
        </is>
      </c>
      <c r="B65" s="6" t="n">
        <v>3.85</v>
      </c>
      <c r="C65" s="7" t="inlineStr">
        <is>
          <t>VC</t>
        </is>
      </c>
      <c r="D65" s="8">
        <f>IF(C65="VR",0.35,0.30)</f>
        <v>0.3</v>
      </c>
      <c r="E65" s="6" t="n">
        <v>0.4</v>
      </c>
      <c r="F65" s="9" t="n">
        <v>121.5</v>
      </c>
      <c r="G65" s="9" t="n">
        <v>93.3</v>
      </c>
      <c r="H65" s="9" t="n">
        <v>76.90000000000001</v>
      </c>
      <c r="I65" s="6" t="n">
        <v>0</v>
      </c>
      <c r="J65" s="10">
        <f>E65*1000-$F$2-$L$2-$H$2/2</f>
        <v>342.55</v>
      </c>
      <c r="K65" s="11">
        <f>F65*1000000/(0.9*(D65*1000)*J65^2)</f>
        <v>3.835308589</v>
      </c>
      <c r="L65" s="12">
        <f>(0.85*$B$2/$D$2)*(1-SQRT(1-2*K65/(0.85*$B$2)))</f>
        <v>0.01001705176</v>
      </c>
      <c r="M65" s="13">
        <f>L65*(D65*1000)*J65</f>
        <v>1029.402324</v>
      </c>
      <c r="N65" s="13">
        <f>MAX(0.25*SQRT($B$2)/$D$2,1.4/$D$2)*(D65*1000)*J65</f>
        <v>342.55</v>
      </c>
      <c r="O65" s="13">
        <f>MAX(M65,N65)</f>
        <v>1029.402324</v>
      </c>
      <c r="P65" s="14">
        <f>ROUNDUP(O65/$J$2,0)</f>
        <v>6</v>
      </c>
      <c r="Q65" s="13">
        <f>P65*$J$2</f>
        <v>1194</v>
      </c>
      <c r="R65" s="10">
        <f>Q65*$D$2/(0.85*$B$2*(D65*1000))</f>
        <v>70.23529412</v>
      </c>
      <c r="S65" s="10">
        <f>0.9*Q65*$D$2*(J65-R65/2)/1000000</f>
        <v>138.7540587</v>
      </c>
      <c r="T65" s="15" t="str">
        <f>IF(AND(S65&gt;=F65,O65&lt;=0.025*(D65*1000)*J65,O65&gt;=N65),"CUMPLE","REVISAR")</f>
        <v>CUMPLE</v>
      </c>
      <c r="U65" s="11">
        <f>G65*1000000/(0.9*(D65*1000)*J65^2)</f>
        <v>2.944580185</v>
      </c>
      <c r="V65" s="12">
        <f>(0.85*$B$2/$D$2)*(1-SQRT(1-2*U65/(0.85*$B$2)))</f>
        <v>0.007508332125</v>
      </c>
      <c r="W65" s="13">
        <f>V65*(D65*1000)*J65</f>
        <v>771.5937508</v>
      </c>
      <c r="X65" s="13">
        <f>MAX(W65,N65)</f>
        <v>771.5937508</v>
      </c>
      <c r="Y65" s="14">
        <f>ROUNDUP(X65/$J$2,0)</f>
        <v>4</v>
      </c>
      <c r="Z65" s="13">
        <f>Y65*$J$2</f>
        <v>796</v>
      </c>
      <c r="AA65" s="10">
        <f>0.9*Z65*$D$2*(J65-(Z65*$D$2/(0.85*$B$2*(D65*1000)))/2)/1000000</f>
        <v>96.02486534</v>
      </c>
      <c r="AB65" s="15" t="str">
        <f>IF(AA65&gt;=G65,"CUMPLE","REVISAR")</f>
        <v>CUMPLE</v>
      </c>
      <c r="AC65" s="10">
        <f>0.17*SQRT($B$2)*(D65*1000)*J65/1000</f>
        <v>92.44281538</v>
      </c>
      <c r="AD65" s="10">
        <f>MAX(H65/0.75-AC65,0)</f>
        <v>10.14385128</v>
      </c>
      <c r="AE65" s="14">
        <f>IF(AD65&gt;0,MIN($N$2*$D$2*J65/(AD65*1000),MIN(J65/4,6*$H$2,150)),MIN(J65/4,6*$H$2,150))</f>
        <v>85.6375</v>
      </c>
      <c r="AF65" s="10">
        <f>0.66*SQRT($B$2)*(D65*1000)*J65/1000</f>
        <v>358.8956362</v>
      </c>
      <c r="AG65" s="15" t="str">
        <f>IF(AD65&lt;=AF65,"CUMPLE","AUMENTAR SECCION")</f>
        <v>CUMPLE</v>
      </c>
      <c r="AH65" s="10">
        <f>0.75*0.083*SQRT($B$2)*(((D65*1000)*(E65*1000))^2/(2*((D65*1000)+(E65*1000))))/1000000</f>
        <v>3.388073536</v>
      </c>
      <c r="AI65" s="15" t="str">
        <f>IF(I65&gt;AH65,"SI","No")</f>
        <v>No</v>
      </c>
      <c r="AJ65" s="11">
        <f>IF(I65&gt;AH65,I65*1000000/(0.75*2*0.85*((D65*1000-2*$F$2)*(E65*1000-2*$F$2))*$D$2),0)</f>
        <v>0</v>
      </c>
      <c r="AK65" s="10">
        <f>1.25*Q65*$D$2*(J65-(1.25*Q65*$D$2/(0.85*$B$2*(D65*1000)))/2)/1000000</f>
        <v>187.2105962</v>
      </c>
      <c r="AL65" s="10">
        <f>1.25*Z65*$D$2*(J65-(1.25*Z65*$D$2/(0.85*$B$2*(D65*1000)))/2)/1000000</f>
        <v>130.9219244</v>
      </c>
      <c r="AM65" s="10">
        <f>(AK65+AL65)/B65</f>
        <v>82.63182353</v>
      </c>
      <c r="AN65" s="10">
        <f>MAX(H65,AM65)</f>
        <v>82.63182353</v>
      </c>
    </row>
    <row r="66">
      <c r="A66" s="5" t="inlineStr">
        <is>
          <t>F63</t>
        </is>
      </c>
      <c r="B66" s="6" t="n">
        <v>3.85</v>
      </c>
      <c r="C66" s="7" t="inlineStr">
        <is>
          <t>VC</t>
        </is>
      </c>
      <c r="D66" s="8">
        <f>IF(C66="VR",0.35,0.30)</f>
        <v>0.3</v>
      </c>
      <c r="E66" s="6" t="n">
        <v>0.4</v>
      </c>
      <c r="F66" s="9" t="n">
        <v>117.6</v>
      </c>
      <c r="G66" s="9" t="n">
        <v>88.2</v>
      </c>
      <c r="H66" s="9" t="n">
        <v>76.7</v>
      </c>
      <c r="I66" s="6" t="n">
        <v>0</v>
      </c>
      <c r="J66" s="10">
        <f>E66*1000-$F$2-$L$2-$H$2/2</f>
        <v>342.55</v>
      </c>
      <c r="K66" s="11">
        <f>F66*1000000/(0.9*(D66*1000)*J66^2)</f>
        <v>3.712525687</v>
      </c>
      <c r="L66" s="12">
        <f>(0.85*$B$2/$D$2)*(1-SQRT(1-2*K66/(0.85*$B$2)))</f>
        <v>0.009663278858</v>
      </c>
      <c r="M66" s="13">
        <f>L66*(D66*1000)*J66</f>
        <v>993.0468519</v>
      </c>
      <c r="N66" s="13">
        <f>MAX(0.25*SQRT($B$2)/$D$2,1.4/$D$2)*(D66*1000)*J66</f>
        <v>342.55</v>
      </c>
      <c r="O66" s="13">
        <f>MAX(M66,N66)</f>
        <v>993.0468519</v>
      </c>
      <c r="P66" s="14">
        <f>ROUNDUP(O66/$J$2,0)</f>
        <v>5</v>
      </c>
      <c r="Q66" s="13">
        <f>P66*$J$2</f>
        <v>995</v>
      </c>
      <c r="R66" s="10">
        <f>Q66*$D$2/(0.85*$B$2*(D66*1000))</f>
        <v>58.52941176</v>
      </c>
      <c r="S66" s="10">
        <f>0.9*Q66*$D$2*(J66-R66/2)/1000000</f>
        <v>117.829732</v>
      </c>
      <c r="T66" s="15" t="str">
        <f>IF(AND(S66&gt;=F66,O66&lt;=0.025*(D66*1000)*J66,O66&gt;=N66),"CUMPLE","REVISAR")</f>
        <v>CUMPLE</v>
      </c>
      <c r="U66" s="11">
        <f>G66*1000000/(0.9*(D66*1000)*J66^2)</f>
        <v>2.785498996</v>
      </c>
      <c r="V66" s="12">
        <f>(0.85*$B$2/$D$2)*(1-SQRT(1-2*U66/(0.85*$B$2)))</f>
        <v>0.007073637671</v>
      </c>
      <c r="W66" s="13">
        <f>V66*(D66*1000)*J66</f>
        <v>726.9223752</v>
      </c>
      <c r="X66" s="13">
        <f>MAX(W66,N66)</f>
        <v>726.9223752</v>
      </c>
      <c r="Y66" s="14">
        <f>ROUNDUP(X66/$J$2,0)</f>
        <v>4</v>
      </c>
      <c r="Z66" s="13">
        <f>Y66*$J$2</f>
        <v>796</v>
      </c>
      <c r="AA66" s="10">
        <f>0.9*Z66*$D$2*(J66-(Z66*$D$2/(0.85*$B$2*(D66*1000)))/2)/1000000</f>
        <v>96.02486534</v>
      </c>
      <c r="AB66" s="15" t="str">
        <f>IF(AA66&gt;=G66,"CUMPLE","REVISAR")</f>
        <v>CUMPLE</v>
      </c>
      <c r="AC66" s="10">
        <f>0.17*SQRT($B$2)*(D66*1000)*J66/1000</f>
        <v>92.44281538</v>
      </c>
      <c r="AD66" s="10">
        <f>MAX(H66/0.75-AC66,0)</f>
        <v>9.757184616</v>
      </c>
      <c r="AE66" s="14">
        <f>IF(AD66&gt;0,MIN($N$2*$D$2*J66/(AD66*1000),MIN(J66/4,6*$H$2,150)),MIN(J66/4,6*$H$2,150))</f>
        <v>85.6375</v>
      </c>
      <c r="AF66" s="10">
        <f>0.66*SQRT($B$2)*(D66*1000)*J66/1000</f>
        <v>358.8956362</v>
      </c>
      <c r="AG66" s="15" t="str">
        <f>IF(AD66&lt;=AF66,"CUMPLE","AUMENTAR SECCION")</f>
        <v>CUMPLE</v>
      </c>
      <c r="AH66" s="10">
        <f>0.75*0.083*SQRT($B$2)*(((D66*1000)*(E66*1000))^2/(2*((D66*1000)+(E66*1000))))/1000000</f>
        <v>3.388073536</v>
      </c>
      <c r="AI66" s="15" t="str">
        <f>IF(I66&gt;AH66,"SI","No")</f>
        <v>No</v>
      </c>
      <c r="AJ66" s="11">
        <f>IF(I66&gt;AH66,I66*1000000/(0.75*2*0.85*((D66*1000-2*$F$2)*(E66*1000-2*$F$2))*$D$2),0)</f>
        <v>0</v>
      </c>
      <c r="AK66" s="10">
        <f>1.25*Q66*$D$2*(J66-(1.25*Q66*$D$2/(0.85*$B$2*(D66*1000)))/2)/1000000</f>
        <v>159.8306178</v>
      </c>
      <c r="AL66" s="10">
        <f>1.25*Z66*$D$2*(J66-(1.25*Z66*$D$2/(0.85*$B$2*(D66*1000)))/2)/1000000</f>
        <v>130.9219244</v>
      </c>
      <c r="AM66" s="10">
        <f>(AK66+AL66)/B66</f>
        <v>75.52014084</v>
      </c>
      <c r="AN66" s="10">
        <f>MAX(H66,AM66)</f>
        <v>76.65</v>
      </c>
    </row>
    <row r="67">
      <c r="A67" s="5" t="inlineStr">
        <is>
          <t>F64</t>
        </is>
      </c>
      <c r="B67" s="6" t="n">
        <v>3.9</v>
      </c>
      <c r="C67" s="7" t="inlineStr">
        <is>
          <t>VC</t>
        </is>
      </c>
      <c r="D67" s="8">
        <f>IF(C67="VR",0.35,0.30)</f>
        <v>0.3</v>
      </c>
      <c r="E67" s="6" t="n">
        <v>0.4</v>
      </c>
      <c r="F67" s="9" t="n">
        <v>123.2</v>
      </c>
      <c r="G67" s="9" t="n">
        <v>84.2</v>
      </c>
      <c r="H67" s="9" t="n">
        <v>87</v>
      </c>
      <c r="I67" s="6" t="n">
        <v>0</v>
      </c>
      <c r="J67" s="10">
        <f>E67*1000-$F$2-$L$2-$H$2/2</f>
        <v>342.55</v>
      </c>
      <c r="K67" s="11">
        <f>F67*1000000/(0.9*(D67*1000)*J67^2)</f>
        <v>3.890229475</v>
      </c>
      <c r="L67" s="12">
        <f>(0.85*$B$2/$D$2)*(1-SQRT(1-2*K67/(0.85*$B$2)))</f>
        <v>0.01017616603</v>
      </c>
      <c r="M67" s="13">
        <f>L67*(D67*1000)*J67</f>
        <v>1045.753702</v>
      </c>
      <c r="N67" s="13">
        <f>MAX(0.25*SQRT($B$2)/$D$2,1.4/$D$2)*(D67*1000)*J67</f>
        <v>342.55</v>
      </c>
      <c r="O67" s="13">
        <f>MAX(M67,N67)</f>
        <v>1045.753702</v>
      </c>
      <c r="P67" s="14">
        <f>ROUNDUP(O67/$J$2,0)</f>
        <v>6</v>
      </c>
      <c r="Q67" s="13">
        <f>P67*$J$2</f>
        <v>1194</v>
      </c>
      <c r="R67" s="10">
        <f>Q67*$D$2/(0.85*$B$2*(D67*1000))</f>
        <v>70.23529412</v>
      </c>
      <c r="S67" s="10">
        <f>0.9*Q67*$D$2*(J67-R67/2)/1000000</f>
        <v>138.7540587</v>
      </c>
      <c r="T67" s="15" t="str">
        <f>IF(AND(S67&gt;=F67,O67&lt;=0.025*(D67*1000)*J67,O67&gt;=N67),"CUMPLE","REVISAR")</f>
        <v>CUMPLE</v>
      </c>
      <c r="U67" s="11">
        <f>G67*1000000/(0.9*(D67*1000)*J67^2)</f>
        <v>2.656087711</v>
      </c>
      <c r="V67" s="12">
        <f>(0.85*$B$2/$D$2)*(1-SQRT(1-2*U67/(0.85*$B$2)))</f>
        <v>0.006722807881</v>
      </c>
      <c r="W67" s="13">
        <f>V67*(D67*1000)*J67</f>
        <v>690.8693519</v>
      </c>
      <c r="X67" s="13">
        <f>MAX(W67,N67)</f>
        <v>690.8693519</v>
      </c>
      <c r="Y67" s="14">
        <f>ROUNDUP(X67/$J$2,0)</f>
        <v>4</v>
      </c>
      <c r="Z67" s="13">
        <f>Y67*$J$2</f>
        <v>796</v>
      </c>
      <c r="AA67" s="10">
        <f>0.9*Z67*$D$2*(J67-(Z67*$D$2/(0.85*$B$2*(D67*1000)))/2)/1000000</f>
        <v>96.02486534</v>
      </c>
      <c r="AB67" s="15" t="str">
        <f>IF(AA67&gt;=G67,"CUMPLE","REVISAR")</f>
        <v>CUMPLE</v>
      </c>
      <c r="AC67" s="10">
        <f>0.17*SQRT($B$2)*(D67*1000)*J67/1000</f>
        <v>92.44281538</v>
      </c>
      <c r="AD67" s="10">
        <f>MAX(H67/0.75-AC67,0)</f>
        <v>23.54385128</v>
      </c>
      <c r="AE67" s="14">
        <f>IF(AD67&gt;0,MIN($N$2*$D$2*J67/(AD67*1000),MIN(J67/4,6*$H$2,150)),MIN(J67/4,6*$H$2,150))</f>
        <v>85.6375</v>
      </c>
      <c r="AF67" s="10">
        <f>0.66*SQRT($B$2)*(D67*1000)*J67/1000</f>
        <v>358.8956362</v>
      </c>
      <c r="AG67" s="15" t="str">
        <f>IF(AD67&lt;=AF67,"CUMPLE","AUMENTAR SECCION")</f>
        <v>CUMPLE</v>
      </c>
      <c r="AH67" s="10">
        <f>0.75*0.083*SQRT($B$2)*(((D67*1000)*(E67*1000))^2/(2*((D67*1000)+(E67*1000))))/1000000</f>
        <v>3.388073536</v>
      </c>
      <c r="AI67" s="15" t="str">
        <f>IF(I67&gt;AH67,"SI","No")</f>
        <v>No</v>
      </c>
      <c r="AJ67" s="11">
        <f>IF(I67&gt;AH67,I67*1000000/(0.75*2*0.85*((D67*1000-2*$F$2)*(E67*1000-2*$F$2))*$D$2),0)</f>
        <v>0</v>
      </c>
      <c r="AK67" s="10">
        <f>1.25*Q67*$D$2*(J67-(1.25*Q67*$D$2/(0.85*$B$2*(D67*1000)))/2)/1000000</f>
        <v>187.2105962</v>
      </c>
      <c r="AL67" s="10">
        <f>1.25*Z67*$D$2*(J67-(1.25*Z67*$D$2/(0.85*$B$2*(D67*1000)))/2)/1000000</f>
        <v>130.9219244</v>
      </c>
      <c r="AM67" s="10">
        <f>(AK67+AL67)/B67</f>
        <v>81.57244118</v>
      </c>
      <c r="AN67" s="10">
        <f>MAX(H67,AM67)</f>
        <v>86.99</v>
      </c>
    </row>
    <row r="68">
      <c r="A68" s="5" t="inlineStr">
        <is>
          <t>F65</t>
        </is>
      </c>
      <c r="B68" s="6" t="n">
        <v>3.9</v>
      </c>
      <c r="C68" s="7" t="inlineStr">
        <is>
          <t>VC</t>
        </is>
      </c>
      <c r="D68" s="8">
        <f>IF(C68="VR",0.35,0.30)</f>
        <v>0.3</v>
      </c>
      <c r="E68" s="6" t="n">
        <v>0.4</v>
      </c>
      <c r="F68" s="9" t="n">
        <v>123.2</v>
      </c>
      <c r="G68" s="9" t="n">
        <v>84.2</v>
      </c>
      <c r="H68" s="9" t="n">
        <v>86.90000000000001</v>
      </c>
      <c r="I68" s="6" t="n">
        <v>0</v>
      </c>
      <c r="J68" s="10">
        <f>E68*1000-$F$2-$L$2-$H$2/2</f>
        <v>342.55</v>
      </c>
      <c r="K68" s="11">
        <f>F68*1000000/(0.9*(D68*1000)*J68^2)</f>
        <v>3.887704377</v>
      </c>
      <c r="L68" s="12">
        <f>(0.85*$B$2/$D$2)*(1-SQRT(1-2*K68/(0.85*$B$2)))</f>
        <v>0.01016883849</v>
      </c>
      <c r="M68" s="13">
        <f>L68*(D68*1000)*J68</f>
        <v>1045.000687</v>
      </c>
      <c r="N68" s="13">
        <f>MAX(0.25*SQRT($B$2)/$D$2,1.4/$D$2)*(D68*1000)*J68</f>
        <v>342.55</v>
      </c>
      <c r="O68" s="13">
        <f>MAX(M68,N68)</f>
        <v>1045.000687</v>
      </c>
      <c r="P68" s="14">
        <f>ROUNDUP(O68/$J$2,0)</f>
        <v>6</v>
      </c>
      <c r="Q68" s="13">
        <f>P68*$J$2</f>
        <v>1194</v>
      </c>
      <c r="R68" s="10">
        <f>Q68*$D$2/(0.85*$B$2*(D68*1000))</f>
        <v>70.23529412</v>
      </c>
      <c r="S68" s="10">
        <f>0.9*Q68*$D$2*(J68-R68/2)/1000000</f>
        <v>138.7540587</v>
      </c>
      <c r="T68" s="15" t="str">
        <f>IF(AND(S68&gt;=F68,O68&lt;=0.025*(D68*1000)*J68,O68&gt;=N68),"CUMPLE","REVISAR")</f>
        <v>CUMPLE</v>
      </c>
      <c r="U68" s="11">
        <f>G68*1000000/(0.9*(D68*1000)*J68^2)</f>
        <v>2.658612809</v>
      </c>
      <c r="V68" s="12">
        <f>(0.85*$B$2/$D$2)*(1-SQRT(1-2*U68/(0.85*$B$2)))</f>
        <v>0.006729629763</v>
      </c>
      <c r="W68" s="13">
        <f>V68*(D68*1000)*J68</f>
        <v>691.5704026</v>
      </c>
      <c r="X68" s="13">
        <f>MAX(W68,N68)</f>
        <v>691.5704026</v>
      </c>
      <c r="Y68" s="14">
        <f>ROUNDUP(X68/$J$2,0)</f>
        <v>4</v>
      </c>
      <c r="Z68" s="13">
        <f>Y68*$J$2</f>
        <v>796</v>
      </c>
      <c r="AA68" s="10">
        <f>0.9*Z68*$D$2*(J68-(Z68*$D$2/(0.85*$B$2*(D68*1000)))/2)/1000000</f>
        <v>96.02486534</v>
      </c>
      <c r="AB68" s="15" t="str">
        <f>IF(AA68&gt;=G68,"CUMPLE","REVISAR")</f>
        <v>CUMPLE</v>
      </c>
      <c r="AC68" s="10">
        <f>0.17*SQRT($B$2)*(D68*1000)*J68/1000</f>
        <v>92.44281538</v>
      </c>
      <c r="AD68" s="10">
        <f>MAX(H68/0.75-AC68,0)</f>
        <v>23.47718462</v>
      </c>
      <c r="AE68" s="14">
        <f>IF(AD68&gt;0,MIN($N$2*$D$2*J68/(AD68*1000),MIN(J68/4,6*$H$2,150)),MIN(J68/4,6*$H$2,150))</f>
        <v>85.6375</v>
      </c>
      <c r="AF68" s="10">
        <f>0.66*SQRT($B$2)*(D68*1000)*J68/1000</f>
        <v>358.8956362</v>
      </c>
      <c r="AG68" s="15" t="str">
        <f>IF(AD68&lt;=AF68,"CUMPLE","AUMENTAR SECCION")</f>
        <v>CUMPLE</v>
      </c>
      <c r="AH68" s="10">
        <f>0.75*0.083*SQRT($B$2)*(((D68*1000)*(E68*1000))^2/(2*((D68*1000)+(E68*1000))))/1000000</f>
        <v>3.388073536</v>
      </c>
      <c r="AI68" s="15" t="str">
        <f>IF(I68&gt;AH68,"SI","No")</f>
        <v>No</v>
      </c>
      <c r="AJ68" s="11">
        <f>IF(I68&gt;AH68,I68*1000000/(0.75*2*0.85*((D68*1000-2*$F$2)*(E68*1000-2*$F$2))*$D$2),0)</f>
        <v>0</v>
      </c>
      <c r="AK68" s="10">
        <f>1.25*Q68*$D$2*(J68-(1.25*Q68*$D$2/(0.85*$B$2*(D68*1000)))/2)/1000000</f>
        <v>187.2105962</v>
      </c>
      <c r="AL68" s="10">
        <f>1.25*Z68*$D$2*(J68-(1.25*Z68*$D$2/(0.85*$B$2*(D68*1000)))/2)/1000000</f>
        <v>130.9219244</v>
      </c>
      <c r="AM68" s="10">
        <f>(AK68+AL68)/B68</f>
        <v>81.57244118</v>
      </c>
      <c r="AN68" s="10">
        <f>MAX(H68,AM68)</f>
        <v>86.94</v>
      </c>
    </row>
    <row r="69">
      <c r="A69" s="5" t="inlineStr">
        <is>
          <t>F66</t>
        </is>
      </c>
      <c r="B69" s="6" t="n">
        <v>3.85</v>
      </c>
      <c r="C69" s="7" t="inlineStr">
        <is>
          <t>VC</t>
        </is>
      </c>
      <c r="D69" s="8">
        <f>IF(C69="VR",0.35,0.30)</f>
        <v>0.3</v>
      </c>
      <c r="E69" s="6" t="n">
        <v>0.4</v>
      </c>
      <c r="F69" s="9" t="n">
        <v>117.6</v>
      </c>
      <c r="G69" s="9" t="n">
        <v>88.2</v>
      </c>
      <c r="H69" s="9" t="n">
        <v>76.7</v>
      </c>
      <c r="I69" s="6" t="n">
        <v>0</v>
      </c>
      <c r="J69" s="10">
        <f>E69*1000-$F$2-$L$2-$H$2/2</f>
        <v>342.55</v>
      </c>
      <c r="K69" s="11">
        <f>F69*1000000/(0.9*(D69*1000)*J69^2)</f>
        <v>3.712841324</v>
      </c>
      <c r="L69" s="12">
        <f>(0.85*$B$2/$D$2)*(1-SQRT(1-2*K69/(0.85*$B$2)))</f>
        <v>0.009664184886</v>
      </c>
      <c r="M69" s="13">
        <f>L69*(D69*1000)*J69</f>
        <v>993.1399598</v>
      </c>
      <c r="N69" s="13">
        <f>MAX(0.25*SQRT($B$2)/$D$2,1.4/$D$2)*(D69*1000)*J69</f>
        <v>342.55</v>
      </c>
      <c r="O69" s="13">
        <f>MAX(M69,N69)</f>
        <v>993.1399598</v>
      </c>
      <c r="P69" s="14">
        <f>ROUNDUP(O69/$J$2,0)</f>
        <v>5</v>
      </c>
      <c r="Q69" s="13">
        <f>P69*$J$2</f>
        <v>995</v>
      </c>
      <c r="R69" s="10">
        <f>Q69*$D$2/(0.85*$B$2*(D69*1000))</f>
        <v>58.52941176</v>
      </c>
      <c r="S69" s="10">
        <f>0.9*Q69*$D$2*(J69-R69/2)/1000000</f>
        <v>117.829732</v>
      </c>
      <c r="T69" s="15" t="str">
        <f>IF(AND(S69&gt;=F69,O69&lt;=0.025*(D69*1000)*J69,O69&gt;=N69),"CUMPLE","REVISAR")</f>
        <v>CUMPLE</v>
      </c>
      <c r="U69" s="11">
        <f>G69*1000000/(0.9*(D69*1000)*J69^2)</f>
        <v>2.785183358</v>
      </c>
      <c r="V69" s="12">
        <f>(0.85*$B$2/$D$2)*(1-SQRT(1-2*U69/(0.85*$B$2)))</f>
        <v>0.007072778969</v>
      </c>
      <c r="W69" s="13">
        <f>V69*(D69*1000)*J69</f>
        <v>726.8341307</v>
      </c>
      <c r="X69" s="13">
        <f>MAX(W69,N69)</f>
        <v>726.8341307</v>
      </c>
      <c r="Y69" s="14">
        <f>ROUNDUP(X69/$J$2,0)</f>
        <v>4</v>
      </c>
      <c r="Z69" s="13">
        <f>Y69*$J$2</f>
        <v>796</v>
      </c>
      <c r="AA69" s="10">
        <f>0.9*Z69*$D$2*(J69-(Z69*$D$2/(0.85*$B$2*(D69*1000)))/2)/1000000</f>
        <v>96.02486534</v>
      </c>
      <c r="AB69" s="15" t="str">
        <f>IF(AA69&gt;=G69,"CUMPLE","REVISAR")</f>
        <v>CUMPLE</v>
      </c>
      <c r="AC69" s="10">
        <f>0.17*SQRT($B$2)*(D69*1000)*J69/1000</f>
        <v>92.44281538</v>
      </c>
      <c r="AD69" s="10">
        <f>MAX(H69/0.75-AC69,0)</f>
        <v>9.757184616</v>
      </c>
      <c r="AE69" s="14">
        <f>IF(AD69&gt;0,MIN($N$2*$D$2*J69/(AD69*1000),MIN(J69/4,6*$H$2,150)),MIN(J69/4,6*$H$2,150))</f>
        <v>85.6375</v>
      </c>
      <c r="AF69" s="10">
        <f>0.66*SQRT($B$2)*(D69*1000)*J69/1000</f>
        <v>358.8956362</v>
      </c>
      <c r="AG69" s="15" t="str">
        <f>IF(AD69&lt;=AF69,"CUMPLE","AUMENTAR SECCION")</f>
        <v>CUMPLE</v>
      </c>
      <c r="AH69" s="10">
        <f>0.75*0.083*SQRT($B$2)*(((D69*1000)*(E69*1000))^2/(2*((D69*1000)+(E69*1000))))/1000000</f>
        <v>3.388073536</v>
      </c>
      <c r="AI69" s="15" t="str">
        <f>IF(I69&gt;AH69,"SI","No")</f>
        <v>No</v>
      </c>
      <c r="AJ69" s="11">
        <f>IF(I69&gt;AH69,I69*1000000/(0.75*2*0.85*((D69*1000-2*$F$2)*(E69*1000-2*$F$2))*$D$2),0)</f>
        <v>0</v>
      </c>
      <c r="AK69" s="10">
        <f>1.25*Q69*$D$2*(J69-(1.25*Q69*$D$2/(0.85*$B$2*(D69*1000)))/2)/1000000</f>
        <v>159.8306178</v>
      </c>
      <c r="AL69" s="10">
        <f>1.25*Z69*$D$2*(J69-(1.25*Z69*$D$2/(0.85*$B$2*(D69*1000)))/2)/1000000</f>
        <v>130.9219244</v>
      </c>
      <c r="AM69" s="10">
        <f>(AK69+AL69)/B69</f>
        <v>75.52014084</v>
      </c>
      <c r="AN69" s="10">
        <f>MAX(H69,AM69)</f>
        <v>76.65</v>
      </c>
    </row>
    <row r="70">
      <c r="A70" s="5" t="inlineStr">
        <is>
          <t>F67</t>
        </is>
      </c>
      <c r="B70" s="6" t="n">
        <v>3.85</v>
      </c>
      <c r="C70" s="7" t="inlineStr">
        <is>
          <t>VC</t>
        </is>
      </c>
      <c r="D70" s="8">
        <f>IF(C70="VR",0.35,0.30)</f>
        <v>0.3</v>
      </c>
      <c r="E70" s="6" t="n">
        <v>0.4</v>
      </c>
      <c r="F70" s="9" t="n">
        <v>107.2</v>
      </c>
      <c r="G70" s="9" t="n">
        <v>92.59999999999999</v>
      </c>
      <c r="H70" s="9" t="n">
        <v>64</v>
      </c>
      <c r="I70" s="6" t="n">
        <v>0</v>
      </c>
      <c r="J70" s="10">
        <f>E70*1000-$F$2-$L$2-$H$2/2</f>
        <v>342.55</v>
      </c>
      <c r="K70" s="11">
        <f>F70*1000000/(0.9*(D70*1000)*J70^2)</f>
        <v>3.384578553</v>
      </c>
      <c r="L70" s="12">
        <f>(0.85*$B$2/$D$2)*(1-SQRT(1-2*K70/(0.85*$B$2)))</f>
        <v>0.008731166914</v>
      </c>
      <c r="M70" s="13">
        <f>L70*(D70*1000)*J70</f>
        <v>897.2583679</v>
      </c>
      <c r="N70" s="13">
        <f>MAX(0.25*SQRT($B$2)/$D$2,1.4/$D$2)*(D70*1000)*J70</f>
        <v>342.55</v>
      </c>
      <c r="O70" s="13">
        <f>MAX(M70,N70)</f>
        <v>897.2583679</v>
      </c>
      <c r="P70" s="14">
        <f>ROUNDUP(O70/$J$2,0)</f>
        <v>5</v>
      </c>
      <c r="Q70" s="13">
        <f>P70*$J$2</f>
        <v>995</v>
      </c>
      <c r="R70" s="10">
        <f>Q70*$D$2/(0.85*$B$2*(D70*1000))</f>
        <v>58.52941176</v>
      </c>
      <c r="S70" s="10">
        <f>0.9*Q70*$D$2*(J70-R70/2)/1000000</f>
        <v>117.829732</v>
      </c>
      <c r="T70" s="15" t="str">
        <f>IF(AND(S70&gt;=F70,O70&lt;=0.025*(D70*1000)*J70,O70&gt;=N70),"CUMPLE","REVISAR")</f>
        <v>CUMPLE</v>
      </c>
      <c r="U70" s="11">
        <f>G70*1000000/(0.9*(D70*1000)*J70^2)</f>
        <v>2.922801212</v>
      </c>
      <c r="V70" s="12">
        <f>(0.85*$B$2/$D$2)*(1-SQRT(1-2*U70/(0.85*$B$2)))</f>
        <v>0.007448593558</v>
      </c>
      <c r="W70" s="13">
        <f>V70*(D70*1000)*J70</f>
        <v>765.454717</v>
      </c>
      <c r="X70" s="13">
        <f>MAX(W70,N70)</f>
        <v>765.454717</v>
      </c>
      <c r="Y70" s="14">
        <f>ROUNDUP(X70/$J$2,0)</f>
        <v>4</v>
      </c>
      <c r="Z70" s="13">
        <f>Y70*$J$2</f>
        <v>796</v>
      </c>
      <c r="AA70" s="10">
        <f>0.9*Z70*$D$2*(J70-(Z70*$D$2/(0.85*$B$2*(D70*1000)))/2)/1000000</f>
        <v>96.02486534</v>
      </c>
      <c r="AB70" s="15" t="str">
        <f>IF(AA70&gt;=G70,"CUMPLE","REVISAR")</f>
        <v>CUMPLE</v>
      </c>
      <c r="AC70" s="10">
        <f>0.17*SQRT($B$2)*(D70*1000)*J70/1000</f>
        <v>92.44281538</v>
      </c>
      <c r="AD70" s="10">
        <f>MAX(H70/0.75-AC70,0)</f>
        <v>0</v>
      </c>
      <c r="AE70" s="14">
        <f>IF(AD70&gt;0,MIN($N$2*$D$2*J70/(AD70*1000),MIN(J70/4,6*$H$2,150)),MIN(J70/4,6*$H$2,150))</f>
        <v>85.6375</v>
      </c>
      <c r="AF70" s="10">
        <f>0.66*SQRT($B$2)*(D70*1000)*J70/1000</f>
        <v>358.8956362</v>
      </c>
      <c r="AG70" s="15" t="str">
        <f>IF(AD70&lt;=AF70,"CUMPLE","AUMENTAR SECCION")</f>
        <v>CUMPLE</v>
      </c>
      <c r="AH70" s="10">
        <f>0.75*0.083*SQRT($B$2)*(((D70*1000)*(E70*1000))^2/(2*((D70*1000)+(E70*1000))))/1000000</f>
        <v>3.388073536</v>
      </c>
      <c r="AI70" s="15" t="str">
        <f>IF(I70&gt;AH70,"SI","No")</f>
        <v>No</v>
      </c>
      <c r="AJ70" s="11">
        <f>IF(I70&gt;AH70,I70*1000000/(0.75*2*0.85*((D70*1000-2*$F$2)*(E70*1000-2*$F$2))*$D$2),0)</f>
        <v>0</v>
      </c>
      <c r="AK70" s="10">
        <f>1.25*Q70*$D$2*(J70-(1.25*Q70*$D$2/(0.85*$B$2*(D70*1000)))/2)/1000000</f>
        <v>159.8306178</v>
      </c>
      <c r="AL70" s="10">
        <f>1.25*Z70*$D$2*(J70-(1.25*Z70*$D$2/(0.85*$B$2*(D70*1000)))/2)/1000000</f>
        <v>130.9219244</v>
      </c>
      <c r="AM70" s="10">
        <f>(AK70+AL70)/B70</f>
        <v>75.52014084</v>
      </c>
      <c r="AN70" s="10">
        <f>MAX(H70,AM70)</f>
        <v>75.52014084</v>
      </c>
    </row>
    <row r="71">
      <c r="A71" s="5" t="inlineStr">
        <is>
          <t>F68</t>
        </is>
      </c>
      <c r="B71" s="6" t="n">
        <v>3.9</v>
      </c>
      <c r="C71" s="7" t="inlineStr">
        <is>
          <t>VC</t>
        </is>
      </c>
      <c r="D71" s="8">
        <f>IF(C71="VR",0.35,0.30)</f>
        <v>0.3</v>
      </c>
      <c r="E71" s="6" t="n">
        <v>0.4</v>
      </c>
      <c r="F71" s="9" t="n">
        <v>112.7</v>
      </c>
      <c r="G71" s="9" t="n">
        <v>88.2</v>
      </c>
      <c r="H71" s="9" t="n">
        <v>74</v>
      </c>
      <c r="I71" s="6" t="n">
        <v>0</v>
      </c>
      <c r="J71" s="10">
        <f>E71*1000-$F$2-$L$2-$H$2/2</f>
        <v>342.55</v>
      </c>
      <c r="K71" s="11">
        <f>F71*1000000/(0.9*(D71*1000)*J71^2)</f>
        <v>3.557547782</v>
      </c>
      <c r="L71" s="12">
        <f>(0.85*$B$2/$D$2)*(1-SQRT(1-2*K71/(0.85*$B$2)))</f>
        <v>0.009220508761</v>
      </c>
      <c r="M71" s="13">
        <f>L71*(D71*1000)*J71</f>
        <v>947.5455828</v>
      </c>
      <c r="N71" s="13">
        <f>MAX(0.25*SQRT($B$2)/$D$2,1.4/$D$2)*(D71*1000)*J71</f>
        <v>342.55</v>
      </c>
      <c r="O71" s="13">
        <f>MAX(M71,N71)</f>
        <v>947.5455828</v>
      </c>
      <c r="P71" s="14">
        <f>ROUNDUP(O71/$J$2,0)</f>
        <v>5</v>
      </c>
      <c r="Q71" s="13">
        <f>P71*$J$2</f>
        <v>995</v>
      </c>
      <c r="R71" s="10">
        <f>Q71*$D$2/(0.85*$B$2*(D71*1000))</f>
        <v>58.52941176</v>
      </c>
      <c r="S71" s="10">
        <f>0.9*Q71*$D$2*(J71-R71/2)/1000000</f>
        <v>117.829732</v>
      </c>
      <c r="T71" s="15" t="str">
        <f>IF(AND(S71&gt;=F71,O71&lt;=0.025*(D71*1000)*J71,O71&gt;=N71),"CUMPLE","REVISAR")</f>
        <v>CUMPLE</v>
      </c>
      <c r="U71" s="11">
        <f>G71*1000000/(0.9*(D71*1000)*J71^2)</f>
        <v>2.782342623</v>
      </c>
      <c r="V71" s="12">
        <f>(0.85*$B$2/$D$2)*(1-SQRT(1-2*U71/(0.85*$B$2)))</f>
        <v>0.007065051323</v>
      </c>
      <c r="W71" s="13">
        <f>V71*(D71*1000)*J71</f>
        <v>726.0399993</v>
      </c>
      <c r="X71" s="13">
        <f>MAX(W71,N71)</f>
        <v>726.0399993</v>
      </c>
      <c r="Y71" s="14">
        <f>ROUNDUP(X71/$J$2,0)</f>
        <v>4</v>
      </c>
      <c r="Z71" s="13">
        <f>Y71*$J$2</f>
        <v>796</v>
      </c>
      <c r="AA71" s="10">
        <f>0.9*Z71*$D$2*(J71-(Z71*$D$2/(0.85*$B$2*(D71*1000)))/2)/1000000</f>
        <v>96.02486534</v>
      </c>
      <c r="AB71" s="15" t="str">
        <f>IF(AA71&gt;=G71,"CUMPLE","REVISAR")</f>
        <v>CUMPLE</v>
      </c>
      <c r="AC71" s="10">
        <f>0.17*SQRT($B$2)*(D71*1000)*J71/1000</f>
        <v>92.44281538</v>
      </c>
      <c r="AD71" s="10">
        <f>MAX(H71/0.75-AC71,0)</f>
        <v>6.277184616</v>
      </c>
      <c r="AE71" s="14">
        <f>IF(AD71&gt;0,MIN($N$2*$D$2*J71/(AD71*1000),MIN(J71/4,6*$H$2,150)),MIN(J71/4,6*$H$2,150))</f>
        <v>85.6375</v>
      </c>
      <c r="AF71" s="10">
        <f>0.66*SQRT($B$2)*(D71*1000)*J71/1000</f>
        <v>358.8956362</v>
      </c>
      <c r="AG71" s="15" t="str">
        <f>IF(AD71&lt;=AF71,"CUMPLE","AUMENTAR SECCION")</f>
        <v>CUMPLE</v>
      </c>
      <c r="AH71" s="10">
        <f>0.75*0.083*SQRT($B$2)*(((D71*1000)*(E71*1000))^2/(2*((D71*1000)+(E71*1000))))/1000000</f>
        <v>3.388073536</v>
      </c>
      <c r="AI71" s="15" t="str">
        <f>IF(I71&gt;AH71,"SI","No")</f>
        <v>No</v>
      </c>
      <c r="AJ71" s="11">
        <f>IF(I71&gt;AH71,I71*1000000/(0.75*2*0.85*((D71*1000-2*$F$2)*(E71*1000-2*$F$2))*$D$2),0)</f>
        <v>0</v>
      </c>
      <c r="AK71" s="10">
        <f>1.25*Q71*$D$2*(J71-(1.25*Q71*$D$2/(0.85*$B$2*(D71*1000)))/2)/1000000</f>
        <v>159.8306178</v>
      </c>
      <c r="AL71" s="10">
        <f>1.25*Z71*$D$2*(J71-(1.25*Z71*$D$2/(0.85*$B$2*(D71*1000)))/2)/1000000</f>
        <v>130.9219244</v>
      </c>
      <c r="AM71" s="10">
        <f>(AK71+AL71)/B71</f>
        <v>74.55193391</v>
      </c>
      <c r="AN71" s="10">
        <f>MAX(H71,AM71)</f>
        <v>74.55193391</v>
      </c>
    </row>
    <row r="72">
      <c r="A72" s="5" t="inlineStr">
        <is>
          <t>F69</t>
        </is>
      </c>
      <c r="B72" s="6" t="n">
        <v>3.9</v>
      </c>
      <c r="C72" s="7" t="inlineStr">
        <is>
          <t>VC</t>
        </is>
      </c>
      <c r="D72" s="8">
        <f>IF(C72="VR",0.35,0.30)</f>
        <v>0.3</v>
      </c>
      <c r="E72" s="6" t="n">
        <v>0.4</v>
      </c>
      <c r="F72" s="9" t="n">
        <v>112.7</v>
      </c>
      <c r="G72" s="9" t="n">
        <v>88.2</v>
      </c>
      <c r="H72" s="9" t="n">
        <v>74</v>
      </c>
      <c r="I72" s="6" t="n">
        <v>0</v>
      </c>
      <c r="J72" s="10">
        <f>E72*1000-$F$2-$L$2-$H$2/2</f>
        <v>342.55</v>
      </c>
      <c r="K72" s="11">
        <f>F72*1000000/(0.9*(D72*1000)*J72^2)</f>
        <v>3.557232145</v>
      </c>
      <c r="L72" s="12">
        <f>(0.85*$B$2/$D$2)*(1-SQRT(1-2*K72/(0.85*$B$2)))</f>
        <v>0.009219611205</v>
      </c>
      <c r="M72" s="13">
        <f>L72*(D72*1000)*J72</f>
        <v>947.4533455</v>
      </c>
      <c r="N72" s="13">
        <f>MAX(0.25*SQRT($B$2)/$D$2,1.4/$D$2)*(D72*1000)*J72</f>
        <v>342.55</v>
      </c>
      <c r="O72" s="13">
        <f>MAX(M72,N72)</f>
        <v>947.4533455</v>
      </c>
      <c r="P72" s="14">
        <f>ROUNDUP(O72/$J$2,0)</f>
        <v>5</v>
      </c>
      <c r="Q72" s="13">
        <f>P72*$J$2</f>
        <v>995</v>
      </c>
      <c r="R72" s="10">
        <f>Q72*$D$2/(0.85*$B$2*(D72*1000))</f>
        <v>58.52941176</v>
      </c>
      <c r="S72" s="10">
        <f>0.9*Q72*$D$2*(J72-R72/2)/1000000</f>
        <v>117.829732</v>
      </c>
      <c r="T72" s="15" t="str">
        <f>IF(AND(S72&gt;=F72,O72&lt;=0.025*(D72*1000)*J72,O72&gt;=N72),"CUMPLE","REVISAR")</f>
        <v>CUMPLE</v>
      </c>
      <c r="U72" s="11">
        <f>G72*1000000/(0.9*(D72*1000)*J72^2)</f>
        <v>2.782342623</v>
      </c>
      <c r="V72" s="12">
        <f>(0.85*$B$2/$D$2)*(1-SQRT(1-2*U72/(0.85*$B$2)))</f>
        <v>0.007065051323</v>
      </c>
      <c r="W72" s="13">
        <f>V72*(D72*1000)*J72</f>
        <v>726.0399993</v>
      </c>
      <c r="X72" s="13">
        <f>MAX(W72,N72)</f>
        <v>726.0399993</v>
      </c>
      <c r="Y72" s="14">
        <f>ROUNDUP(X72/$J$2,0)</f>
        <v>4</v>
      </c>
      <c r="Z72" s="13">
        <f>Y72*$J$2</f>
        <v>796</v>
      </c>
      <c r="AA72" s="10">
        <f>0.9*Z72*$D$2*(J72-(Z72*$D$2/(0.85*$B$2*(D72*1000)))/2)/1000000</f>
        <v>96.02486534</v>
      </c>
      <c r="AB72" s="15" t="str">
        <f>IF(AA72&gt;=G72,"CUMPLE","REVISAR")</f>
        <v>CUMPLE</v>
      </c>
      <c r="AC72" s="10">
        <f>0.17*SQRT($B$2)*(D72*1000)*J72/1000</f>
        <v>92.44281538</v>
      </c>
      <c r="AD72" s="10">
        <f>MAX(H72/0.75-AC72,0)</f>
        <v>6.263851283</v>
      </c>
      <c r="AE72" s="14">
        <f>IF(AD72&gt;0,MIN($N$2*$D$2*J72/(AD72*1000),MIN(J72/4,6*$H$2,150)),MIN(J72/4,6*$H$2,150))</f>
        <v>85.6375</v>
      </c>
      <c r="AF72" s="10">
        <f>0.66*SQRT($B$2)*(D72*1000)*J72/1000</f>
        <v>358.8956362</v>
      </c>
      <c r="AG72" s="15" t="str">
        <f>IF(AD72&lt;=AF72,"CUMPLE","AUMENTAR SECCION")</f>
        <v>CUMPLE</v>
      </c>
      <c r="AH72" s="10">
        <f>0.75*0.083*SQRT($B$2)*(((D72*1000)*(E72*1000))^2/(2*((D72*1000)+(E72*1000))))/1000000</f>
        <v>3.388073536</v>
      </c>
      <c r="AI72" s="15" t="str">
        <f>IF(I72&gt;AH72,"SI","No")</f>
        <v>No</v>
      </c>
      <c r="AJ72" s="11">
        <f>IF(I72&gt;AH72,I72*1000000/(0.75*2*0.85*((D72*1000-2*$F$2)*(E72*1000-2*$F$2))*$D$2),0)</f>
        <v>0</v>
      </c>
      <c r="AK72" s="10">
        <f>1.25*Q72*$D$2*(J72-(1.25*Q72*$D$2/(0.85*$B$2*(D72*1000)))/2)/1000000</f>
        <v>159.8306178</v>
      </c>
      <c r="AL72" s="10">
        <f>1.25*Z72*$D$2*(J72-(1.25*Z72*$D$2/(0.85*$B$2*(D72*1000)))/2)/1000000</f>
        <v>130.9219244</v>
      </c>
      <c r="AM72" s="10">
        <f>(AK72+AL72)/B72</f>
        <v>74.55193391</v>
      </c>
      <c r="AN72" s="10">
        <f>MAX(H72,AM72)</f>
        <v>74.55193391</v>
      </c>
    </row>
    <row r="73">
      <c r="A73" s="5" t="inlineStr">
        <is>
          <t>F70</t>
        </is>
      </c>
      <c r="B73" s="6" t="n">
        <v>3.85</v>
      </c>
      <c r="C73" s="7" t="inlineStr">
        <is>
          <t>VC</t>
        </is>
      </c>
      <c r="D73" s="8">
        <f>IF(C73="VR",0.35,0.30)</f>
        <v>0.3</v>
      </c>
      <c r="E73" s="6" t="n">
        <v>0.4</v>
      </c>
      <c r="F73" s="9" t="n">
        <v>107.2</v>
      </c>
      <c r="G73" s="9" t="n">
        <v>92.59999999999999</v>
      </c>
      <c r="H73" s="9" t="n">
        <v>64</v>
      </c>
      <c r="I73" s="6" t="n">
        <v>0</v>
      </c>
      <c r="J73" s="10">
        <f>E73*1000-$F$2-$L$2-$H$2/2</f>
        <v>342.55</v>
      </c>
      <c r="K73" s="11">
        <f>F73*1000000/(0.9*(D73*1000)*J73^2)</f>
        <v>3.38489419</v>
      </c>
      <c r="L73" s="12">
        <f>(0.85*$B$2/$D$2)*(1-SQRT(1-2*K73/(0.85*$B$2)))</f>
        <v>0.008732055324</v>
      </c>
      <c r="M73" s="13">
        <f>L73*(D73*1000)*J73</f>
        <v>897.3496654</v>
      </c>
      <c r="N73" s="13">
        <f>MAX(0.25*SQRT($B$2)/$D$2,1.4/$D$2)*(D73*1000)*J73</f>
        <v>342.55</v>
      </c>
      <c r="O73" s="13">
        <f>MAX(M73,N73)</f>
        <v>897.3496654</v>
      </c>
      <c r="P73" s="14">
        <f>ROUNDUP(O73/$J$2,0)</f>
        <v>5</v>
      </c>
      <c r="Q73" s="13">
        <f>P73*$J$2</f>
        <v>995</v>
      </c>
      <c r="R73" s="10">
        <f>Q73*$D$2/(0.85*$B$2*(D73*1000))</f>
        <v>58.52941176</v>
      </c>
      <c r="S73" s="10">
        <f>0.9*Q73*$D$2*(J73-R73/2)/1000000</f>
        <v>117.829732</v>
      </c>
      <c r="T73" s="15" t="str">
        <f>IF(AND(S73&gt;=F73,O73&lt;=0.025*(D73*1000)*J73,O73&gt;=N73),"CUMPLE","REVISAR")</f>
        <v>CUMPLE</v>
      </c>
      <c r="U73" s="11">
        <f>G73*1000000/(0.9*(D73*1000)*J73^2)</f>
        <v>2.922485575</v>
      </c>
      <c r="V73" s="12">
        <f>(0.85*$B$2/$D$2)*(1-SQRT(1-2*U73/(0.85*$B$2)))</f>
        <v>0.007447728315</v>
      </c>
      <c r="W73" s="13">
        <f>V73*(D73*1000)*J73</f>
        <v>765.3658003</v>
      </c>
      <c r="X73" s="13">
        <f>MAX(W73,N73)</f>
        <v>765.3658003</v>
      </c>
      <c r="Y73" s="14">
        <f>ROUNDUP(X73/$J$2,0)</f>
        <v>4</v>
      </c>
      <c r="Z73" s="13">
        <f>Y73*$J$2</f>
        <v>796</v>
      </c>
      <c r="AA73" s="10">
        <f>0.9*Z73*$D$2*(J73-(Z73*$D$2/(0.85*$B$2*(D73*1000)))/2)/1000000</f>
        <v>96.02486534</v>
      </c>
      <c r="AB73" s="15" t="str">
        <f>IF(AA73&gt;=G73,"CUMPLE","REVISAR")</f>
        <v>CUMPLE</v>
      </c>
      <c r="AC73" s="10">
        <f>0.17*SQRT($B$2)*(D73*1000)*J73/1000</f>
        <v>92.44281538</v>
      </c>
      <c r="AD73" s="10">
        <f>MAX(H73/0.75-AC73,0)</f>
        <v>0</v>
      </c>
      <c r="AE73" s="14">
        <f>IF(AD73&gt;0,MIN($N$2*$D$2*J73/(AD73*1000),MIN(J73/4,6*$H$2,150)),MIN(J73/4,6*$H$2,150))</f>
        <v>85.6375</v>
      </c>
      <c r="AF73" s="10">
        <f>0.66*SQRT($B$2)*(D73*1000)*J73/1000</f>
        <v>358.8956362</v>
      </c>
      <c r="AG73" s="15" t="str">
        <f>IF(AD73&lt;=AF73,"CUMPLE","AUMENTAR SECCION")</f>
        <v>CUMPLE</v>
      </c>
      <c r="AH73" s="10">
        <f>0.75*0.083*SQRT($B$2)*(((D73*1000)*(E73*1000))^2/(2*((D73*1000)+(E73*1000))))/1000000</f>
        <v>3.388073536</v>
      </c>
      <c r="AI73" s="15" t="str">
        <f>IF(I73&gt;AH73,"SI","No")</f>
        <v>No</v>
      </c>
      <c r="AJ73" s="11">
        <f>IF(I73&gt;AH73,I73*1000000/(0.75*2*0.85*((D73*1000-2*$F$2)*(E73*1000-2*$F$2))*$D$2),0)</f>
        <v>0</v>
      </c>
      <c r="AK73" s="10">
        <f>1.25*Q73*$D$2*(J73-(1.25*Q73*$D$2/(0.85*$B$2*(D73*1000)))/2)/1000000</f>
        <v>159.8306178</v>
      </c>
      <c r="AL73" s="10">
        <f>1.25*Z73*$D$2*(J73-(1.25*Z73*$D$2/(0.85*$B$2*(D73*1000)))/2)/1000000</f>
        <v>130.9219244</v>
      </c>
      <c r="AM73" s="10">
        <f>(AK73+AL73)/B73</f>
        <v>75.52014084</v>
      </c>
      <c r="AN73" s="10">
        <f>MAX(H73,AM73)</f>
        <v>75.52014084</v>
      </c>
    </row>
    <row r="74">
      <c r="A74" s="5" t="inlineStr">
        <is>
          <t>F71</t>
        </is>
      </c>
      <c r="B74" s="6" t="n">
        <v>2.65</v>
      </c>
      <c r="C74" s="7" t="inlineStr">
        <is>
          <t>VC</t>
        </is>
      </c>
      <c r="D74" s="8">
        <f>IF(C74="VR",0.35,0.30)</f>
        <v>0.3</v>
      </c>
      <c r="E74" s="6" t="n">
        <v>0.4</v>
      </c>
      <c r="F74" s="9" t="n">
        <v>118.7</v>
      </c>
      <c r="G74" s="9" t="n">
        <v>102.2</v>
      </c>
      <c r="H74" s="9" t="n">
        <v>87.5</v>
      </c>
      <c r="I74" s="6" t="n">
        <v>0</v>
      </c>
      <c r="J74" s="10">
        <f>E74*1000-$F$2-$L$2-$H$2/2</f>
        <v>342.55</v>
      </c>
      <c r="K74" s="11">
        <f>F74*1000000/(0.9*(D74*1000)*J74^2)</f>
        <v>3.746298876</v>
      </c>
      <c r="L74" s="12">
        <f>(0.85*$B$2/$D$2)*(1-SQRT(1-2*K74/(0.85*$B$2)))</f>
        <v>0.009760323116</v>
      </c>
      <c r="M74" s="13">
        <f>L74*(D74*1000)*J74</f>
        <v>1003.019605</v>
      </c>
      <c r="N74" s="13">
        <f>MAX(0.25*SQRT($B$2)/$D$2,1.4/$D$2)*(D74*1000)*J74</f>
        <v>342.55</v>
      </c>
      <c r="O74" s="13">
        <f>MAX(M74,N74)</f>
        <v>1003.019605</v>
      </c>
      <c r="P74" s="14">
        <f>ROUNDUP(O74/$J$2,0)</f>
        <v>6</v>
      </c>
      <c r="Q74" s="13">
        <f>P74*$J$2</f>
        <v>1194</v>
      </c>
      <c r="R74" s="10">
        <f>Q74*$D$2/(0.85*$B$2*(D74*1000))</f>
        <v>70.23529412</v>
      </c>
      <c r="S74" s="10">
        <f>0.9*Q74*$D$2*(J74-R74/2)/1000000</f>
        <v>138.7540587</v>
      </c>
      <c r="T74" s="15" t="str">
        <f>IF(AND(S74&gt;=F74,O74&lt;=0.025*(D74*1000)*J74,O74&gt;=N74),"CUMPLE","REVISAR")</f>
        <v>CUMPLE</v>
      </c>
      <c r="U74" s="11">
        <f>G74*1000000/(0.9*(D74*1000)*J74^2)</f>
        <v>3.226759913</v>
      </c>
      <c r="V74" s="12">
        <f>(0.85*$B$2/$D$2)*(1-SQRT(1-2*U74/(0.85*$B$2)))</f>
        <v>0.008289005306</v>
      </c>
      <c r="W74" s="13">
        <f>V74*(D74*1000)*J74</f>
        <v>851.8196303</v>
      </c>
      <c r="X74" s="13">
        <f>MAX(W74,N74)</f>
        <v>851.8196303</v>
      </c>
      <c r="Y74" s="14">
        <f>ROUNDUP(X74/$J$2,0)</f>
        <v>5</v>
      </c>
      <c r="Z74" s="13">
        <f>Y74*$J$2</f>
        <v>995</v>
      </c>
      <c r="AA74" s="10">
        <f>0.9*Z74*$D$2*(J74-(Z74*$D$2/(0.85*$B$2*(D74*1000)))/2)/1000000</f>
        <v>117.829732</v>
      </c>
      <c r="AB74" s="15" t="str">
        <f>IF(AA74&gt;=G74,"CUMPLE","REVISAR")</f>
        <v>CUMPLE</v>
      </c>
      <c r="AC74" s="10">
        <f>0.17*SQRT($B$2)*(D74*1000)*J74/1000</f>
        <v>92.44281538</v>
      </c>
      <c r="AD74" s="10">
        <f>MAX(H74/0.75-AC74,0)</f>
        <v>24.26385128</v>
      </c>
      <c r="AE74" s="14">
        <f>IF(AD74&gt;0,MIN($N$2*$D$2*J74/(AD74*1000),MIN(J74/4,6*$H$2,150)),MIN(J74/4,6*$H$2,150))</f>
        <v>85.6375</v>
      </c>
      <c r="AF74" s="10">
        <f>0.66*SQRT($B$2)*(D74*1000)*J74/1000</f>
        <v>358.8956362</v>
      </c>
      <c r="AG74" s="15" t="str">
        <f>IF(AD74&lt;=AF74,"CUMPLE","AUMENTAR SECCION")</f>
        <v>CUMPLE</v>
      </c>
      <c r="AH74" s="10">
        <f>0.75*0.083*SQRT($B$2)*(((D74*1000)*(E74*1000))^2/(2*((D74*1000)+(E74*1000))))/1000000</f>
        <v>3.388073536</v>
      </c>
      <c r="AI74" s="15" t="str">
        <f>IF(I74&gt;AH74,"SI","No")</f>
        <v>No</v>
      </c>
      <c r="AJ74" s="11">
        <f>IF(I74&gt;AH74,I74*1000000/(0.75*2*0.85*((D74*1000-2*$F$2)*(E74*1000-2*$F$2))*$D$2),0)</f>
        <v>0</v>
      </c>
      <c r="AK74" s="10">
        <f>1.25*Q74*$D$2*(J74-(1.25*Q74*$D$2/(0.85*$B$2*(D74*1000)))/2)/1000000</f>
        <v>187.2105962</v>
      </c>
      <c r="AL74" s="10">
        <f>1.25*Z74*$D$2*(J74-(1.25*Z74*$D$2/(0.85*$B$2*(D74*1000)))/2)/1000000</f>
        <v>159.8306178</v>
      </c>
      <c r="AM74" s="10">
        <f>(AK74+AL74)/B74</f>
        <v>130.9589487</v>
      </c>
      <c r="AN74" s="10">
        <f>MAX(H74,AM74)</f>
        <v>130.9589487</v>
      </c>
    </row>
    <row r="75">
      <c r="A75" s="5" t="inlineStr">
        <is>
          <t>F72</t>
        </is>
      </c>
      <c r="B75" s="6" t="n">
        <v>5.1</v>
      </c>
      <c r="C75" s="7" t="inlineStr">
        <is>
          <t>VC</t>
        </is>
      </c>
      <c r="D75" s="8">
        <f>IF(C75="VR",0.35,0.30)</f>
        <v>0.3</v>
      </c>
      <c r="E75" s="6" t="n">
        <v>0.4</v>
      </c>
      <c r="F75" s="9" t="n">
        <v>93.2</v>
      </c>
      <c r="G75" s="9" t="n">
        <v>68.09999999999999</v>
      </c>
      <c r="H75" s="9" t="n">
        <v>48.4</v>
      </c>
      <c r="I75" s="6" t="n">
        <v>0</v>
      </c>
      <c r="J75" s="10">
        <f>E75*1000-$F$2-$L$2-$H$2/2</f>
        <v>342.55</v>
      </c>
      <c r="K75" s="11">
        <f>F75*1000000/(0.9*(D75*1000)*J75^2)</f>
        <v>2.942370724</v>
      </c>
      <c r="L75" s="12">
        <f>(0.85*$B$2/$D$2)*(1-SQRT(1-2*K75/(0.85*$B$2)))</f>
        <v>0.007502268382</v>
      </c>
      <c r="M75" s="13">
        <f>L75*(D75*1000)*J75</f>
        <v>770.9706103</v>
      </c>
      <c r="N75" s="13">
        <f>MAX(0.25*SQRT($B$2)/$D$2,1.4/$D$2)*(D75*1000)*J75</f>
        <v>342.55</v>
      </c>
      <c r="O75" s="13">
        <f>MAX(M75,N75)</f>
        <v>770.9706103</v>
      </c>
      <c r="P75" s="14">
        <f>ROUNDUP(O75/$J$2,0)</f>
        <v>4</v>
      </c>
      <c r="Q75" s="13">
        <f>P75*$J$2</f>
        <v>796</v>
      </c>
      <c r="R75" s="10">
        <f>Q75*$D$2/(0.85*$B$2*(D75*1000))</f>
        <v>46.82352941</v>
      </c>
      <c r="S75" s="10">
        <f>0.9*Q75*$D$2*(J75-R75/2)/1000000</f>
        <v>96.02486534</v>
      </c>
      <c r="T75" s="15" t="str">
        <f>IF(AND(S75&gt;=F75,O75&lt;=0.025*(D75*1000)*J75,O75&gt;=N75),"CUMPLE","REVISAR")</f>
        <v>CUMPLE</v>
      </c>
      <c r="U75" s="11">
        <f>G75*1000000/(0.9*(D75*1000)*J75^2)</f>
        <v>2.148858602</v>
      </c>
      <c r="V75" s="12">
        <f>(0.85*$B$2/$D$2)*(1-SQRT(1-2*U75/(0.85*$B$2)))</f>
        <v>0.005370854194</v>
      </c>
      <c r="W75" s="13">
        <f>V75*(D75*1000)*J75</f>
        <v>551.9358312</v>
      </c>
      <c r="X75" s="13">
        <f>MAX(W75,N75)</f>
        <v>551.9358312</v>
      </c>
      <c r="Y75" s="14">
        <f>ROUNDUP(X75/$J$2,0)</f>
        <v>3</v>
      </c>
      <c r="Z75" s="13">
        <f>Y75*$J$2</f>
        <v>597</v>
      </c>
      <c r="AA75" s="10">
        <f>0.9*Z75*$D$2*(J75-(Z75*$D$2/(0.85*$B$2*(D75*1000)))/2)/1000000</f>
        <v>73.33945883</v>
      </c>
      <c r="AB75" s="15" t="str">
        <f>IF(AA75&gt;=G75,"CUMPLE","REVISAR")</f>
        <v>CUMPLE</v>
      </c>
      <c r="AC75" s="10">
        <f>0.17*SQRT($B$2)*(D75*1000)*J75/1000</f>
        <v>92.44281538</v>
      </c>
      <c r="AD75" s="10">
        <f>MAX(H75/0.75-AC75,0)</f>
        <v>0</v>
      </c>
      <c r="AE75" s="14">
        <f>IF(AD75&gt;0,MIN($N$2*$D$2*J75/(AD75*1000),MIN(J75/4,6*$H$2,150)),MIN(J75/4,6*$H$2,150))</f>
        <v>85.6375</v>
      </c>
      <c r="AF75" s="10">
        <f>0.66*SQRT($B$2)*(D75*1000)*J75/1000</f>
        <v>358.8956362</v>
      </c>
      <c r="AG75" s="15" t="str">
        <f>IF(AD75&lt;=AF75,"CUMPLE","AUMENTAR SECCION")</f>
        <v>CUMPLE</v>
      </c>
      <c r="AH75" s="10">
        <f>0.75*0.083*SQRT($B$2)*(((D75*1000)*(E75*1000))^2/(2*((D75*1000)+(E75*1000))))/1000000</f>
        <v>3.388073536</v>
      </c>
      <c r="AI75" s="15" t="str">
        <f>IF(I75&gt;AH75,"SI","No")</f>
        <v>No</v>
      </c>
      <c r="AJ75" s="11">
        <f>IF(I75&gt;AH75,I75*1000000/(0.75*2*0.85*((D75*1000-2*$F$2)*(E75*1000-2*$F$2))*$D$2),0)</f>
        <v>0</v>
      </c>
      <c r="AK75" s="10">
        <f>1.25*Q75*$D$2*(J75-(1.25*Q75*$D$2/(0.85*$B$2*(D75*1000)))/2)/1000000</f>
        <v>130.9219244</v>
      </c>
      <c r="AL75" s="10">
        <f>1.25*Z75*$D$2*(J75-(1.25*Z75*$D$2/(0.85*$B$2*(D75*1000)))/2)/1000000</f>
        <v>100.4845159</v>
      </c>
      <c r="AM75" s="10">
        <f>(AK75+AL75)/B75</f>
        <v>45.37381183</v>
      </c>
      <c r="AN75" s="10">
        <f>MAX(H75,AM75)</f>
        <v>48.43</v>
      </c>
    </row>
    <row r="76">
      <c r="A76" s="5" t="inlineStr">
        <is>
          <t>F73</t>
        </is>
      </c>
      <c r="B76" s="6" t="n">
        <v>5.1</v>
      </c>
      <c r="C76" s="7" t="inlineStr">
        <is>
          <t>VC</t>
        </is>
      </c>
      <c r="D76" s="8">
        <f>IF(C76="VR",0.35,0.30)</f>
        <v>0.3</v>
      </c>
      <c r="E76" s="6" t="n">
        <v>0.4</v>
      </c>
      <c r="F76" s="9" t="n">
        <v>93.2</v>
      </c>
      <c r="G76" s="9" t="n">
        <v>68.09999999999999</v>
      </c>
      <c r="H76" s="9" t="n">
        <v>48.4</v>
      </c>
      <c r="I76" s="6" t="n">
        <v>0</v>
      </c>
      <c r="J76" s="10">
        <f>E76*1000-$F$2-$L$2-$H$2/2</f>
        <v>342.55</v>
      </c>
      <c r="K76" s="11">
        <f>F76*1000000/(0.9*(D76*1000)*J76^2)</f>
        <v>2.942370724</v>
      </c>
      <c r="L76" s="12">
        <f>(0.85*$B$2/$D$2)*(1-SQRT(1-2*K76/(0.85*$B$2)))</f>
        <v>0.007502268382</v>
      </c>
      <c r="M76" s="13">
        <f>L76*(D76*1000)*J76</f>
        <v>770.9706103</v>
      </c>
      <c r="N76" s="13">
        <f>MAX(0.25*SQRT($B$2)/$D$2,1.4/$D$2)*(D76*1000)*J76</f>
        <v>342.55</v>
      </c>
      <c r="O76" s="13">
        <f>MAX(M76,N76)</f>
        <v>770.9706103</v>
      </c>
      <c r="P76" s="14">
        <f>ROUNDUP(O76/$J$2,0)</f>
        <v>4</v>
      </c>
      <c r="Q76" s="13">
        <f>P76*$J$2</f>
        <v>796</v>
      </c>
      <c r="R76" s="10">
        <f>Q76*$D$2/(0.85*$B$2*(D76*1000))</f>
        <v>46.82352941</v>
      </c>
      <c r="S76" s="10">
        <f>0.9*Q76*$D$2*(J76-R76/2)/1000000</f>
        <v>96.02486534</v>
      </c>
      <c r="T76" s="15" t="str">
        <f>IF(AND(S76&gt;=F76,O76&lt;=0.025*(D76*1000)*J76,O76&gt;=N76),"CUMPLE","REVISAR")</f>
        <v>CUMPLE</v>
      </c>
      <c r="U76" s="11">
        <f>G76*1000000/(0.9*(D76*1000)*J76^2)</f>
        <v>2.148858602</v>
      </c>
      <c r="V76" s="12">
        <f>(0.85*$B$2/$D$2)*(1-SQRT(1-2*U76/(0.85*$B$2)))</f>
        <v>0.005370854194</v>
      </c>
      <c r="W76" s="13">
        <f>V76*(D76*1000)*J76</f>
        <v>551.9358312</v>
      </c>
      <c r="X76" s="13">
        <f>MAX(W76,N76)</f>
        <v>551.9358312</v>
      </c>
      <c r="Y76" s="14">
        <f>ROUNDUP(X76/$J$2,0)</f>
        <v>3</v>
      </c>
      <c r="Z76" s="13">
        <f>Y76*$J$2</f>
        <v>597</v>
      </c>
      <c r="AA76" s="10">
        <f>0.9*Z76*$D$2*(J76-(Z76*$D$2/(0.85*$B$2*(D76*1000)))/2)/1000000</f>
        <v>73.33945883</v>
      </c>
      <c r="AB76" s="15" t="str">
        <f>IF(AA76&gt;=G76,"CUMPLE","REVISAR")</f>
        <v>CUMPLE</v>
      </c>
      <c r="AC76" s="10">
        <f>0.17*SQRT($B$2)*(D76*1000)*J76/1000</f>
        <v>92.44281538</v>
      </c>
      <c r="AD76" s="10">
        <f>MAX(H76/0.75-AC76,0)</f>
        <v>0</v>
      </c>
      <c r="AE76" s="14">
        <f>IF(AD76&gt;0,MIN($N$2*$D$2*J76/(AD76*1000),MIN(J76/4,6*$H$2,150)),MIN(J76/4,6*$H$2,150))</f>
        <v>85.6375</v>
      </c>
      <c r="AF76" s="10">
        <f>0.66*SQRT($B$2)*(D76*1000)*J76/1000</f>
        <v>358.8956362</v>
      </c>
      <c r="AG76" s="15" t="str">
        <f>IF(AD76&lt;=AF76,"CUMPLE","AUMENTAR SECCION")</f>
        <v>CUMPLE</v>
      </c>
      <c r="AH76" s="10">
        <f>0.75*0.083*SQRT($B$2)*(((D76*1000)*(E76*1000))^2/(2*((D76*1000)+(E76*1000))))/1000000</f>
        <v>3.388073536</v>
      </c>
      <c r="AI76" s="15" t="str">
        <f>IF(I76&gt;AH76,"SI","No")</f>
        <v>No</v>
      </c>
      <c r="AJ76" s="11">
        <f>IF(I76&gt;AH76,I76*1000000/(0.75*2*0.85*((D76*1000-2*$F$2)*(E76*1000-2*$F$2))*$D$2),0)</f>
        <v>0</v>
      </c>
      <c r="AK76" s="10">
        <f>1.25*Q76*$D$2*(J76-(1.25*Q76*$D$2/(0.85*$B$2*(D76*1000)))/2)/1000000</f>
        <v>130.9219244</v>
      </c>
      <c r="AL76" s="10">
        <f>1.25*Z76*$D$2*(J76-(1.25*Z76*$D$2/(0.85*$B$2*(D76*1000)))/2)/1000000</f>
        <v>100.4845159</v>
      </c>
      <c r="AM76" s="10">
        <f>(AK76+AL76)/B76</f>
        <v>45.37381183</v>
      </c>
      <c r="AN76" s="10">
        <f>MAX(H76,AM76)</f>
        <v>48.43</v>
      </c>
    </row>
    <row r="77">
      <c r="A77" s="5" t="inlineStr">
        <is>
          <t>F74</t>
        </is>
      </c>
      <c r="B77" s="6" t="n">
        <v>2.65</v>
      </c>
      <c r="C77" s="7" t="inlineStr">
        <is>
          <t>VC</t>
        </is>
      </c>
      <c r="D77" s="8">
        <f>IF(C77="VR",0.35,0.30)</f>
        <v>0.3</v>
      </c>
      <c r="E77" s="6" t="n">
        <v>0.4</v>
      </c>
      <c r="F77" s="9" t="n">
        <v>118.7</v>
      </c>
      <c r="G77" s="9" t="n">
        <v>102.2</v>
      </c>
      <c r="H77" s="9" t="n">
        <v>87.5</v>
      </c>
      <c r="I77" s="6" t="n">
        <v>0</v>
      </c>
      <c r="J77" s="10">
        <f>E77*1000-$F$2-$L$2-$H$2/2</f>
        <v>342.55</v>
      </c>
      <c r="K77" s="11">
        <f>F77*1000000/(0.9*(D77*1000)*J77^2)</f>
        <v>3.746298876</v>
      </c>
      <c r="L77" s="12">
        <f>(0.85*$B$2/$D$2)*(1-SQRT(1-2*K77/(0.85*$B$2)))</f>
        <v>0.009760323116</v>
      </c>
      <c r="M77" s="13">
        <f>L77*(D77*1000)*J77</f>
        <v>1003.019605</v>
      </c>
      <c r="N77" s="13">
        <f>MAX(0.25*SQRT($B$2)/$D$2,1.4/$D$2)*(D77*1000)*J77</f>
        <v>342.55</v>
      </c>
      <c r="O77" s="13">
        <f>MAX(M77,N77)</f>
        <v>1003.019605</v>
      </c>
      <c r="P77" s="14">
        <f>ROUNDUP(O77/$J$2,0)</f>
        <v>6</v>
      </c>
      <c r="Q77" s="13">
        <f>P77*$J$2</f>
        <v>1194</v>
      </c>
      <c r="R77" s="10">
        <f>Q77*$D$2/(0.85*$B$2*(D77*1000))</f>
        <v>70.23529412</v>
      </c>
      <c r="S77" s="10">
        <f>0.9*Q77*$D$2*(J77-R77/2)/1000000</f>
        <v>138.7540587</v>
      </c>
      <c r="T77" s="15" t="str">
        <f>IF(AND(S77&gt;=F77,O77&lt;=0.025*(D77*1000)*J77,O77&gt;=N77),"CUMPLE","REVISAR")</f>
        <v>CUMPLE</v>
      </c>
      <c r="U77" s="11">
        <f>G77*1000000/(0.9*(D77*1000)*J77^2)</f>
        <v>3.226759913</v>
      </c>
      <c r="V77" s="12">
        <f>(0.85*$B$2/$D$2)*(1-SQRT(1-2*U77/(0.85*$B$2)))</f>
        <v>0.008289005306</v>
      </c>
      <c r="W77" s="13">
        <f>V77*(D77*1000)*J77</f>
        <v>851.8196303</v>
      </c>
      <c r="X77" s="13">
        <f>MAX(W77,N77)</f>
        <v>851.8196303</v>
      </c>
      <c r="Y77" s="14">
        <f>ROUNDUP(X77/$J$2,0)</f>
        <v>5</v>
      </c>
      <c r="Z77" s="13">
        <f>Y77*$J$2</f>
        <v>995</v>
      </c>
      <c r="AA77" s="10">
        <f>0.9*Z77*$D$2*(J77-(Z77*$D$2/(0.85*$B$2*(D77*1000)))/2)/1000000</f>
        <v>117.829732</v>
      </c>
      <c r="AB77" s="15" t="str">
        <f>IF(AA77&gt;=G77,"CUMPLE","REVISAR")</f>
        <v>CUMPLE</v>
      </c>
      <c r="AC77" s="10">
        <f>0.17*SQRT($B$2)*(D77*1000)*J77/1000</f>
        <v>92.44281538</v>
      </c>
      <c r="AD77" s="10">
        <f>MAX(H77/0.75-AC77,0)</f>
        <v>24.26385128</v>
      </c>
      <c r="AE77" s="14">
        <f>IF(AD77&gt;0,MIN($N$2*$D$2*J77/(AD77*1000),MIN(J77/4,6*$H$2,150)),MIN(J77/4,6*$H$2,150))</f>
        <v>85.6375</v>
      </c>
      <c r="AF77" s="10">
        <f>0.66*SQRT($B$2)*(D77*1000)*J77/1000</f>
        <v>358.8956362</v>
      </c>
      <c r="AG77" s="15" t="str">
        <f>IF(AD77&lt;=AF77,"CUMPLE","AUMENTAR SECCION")</f>
        <v>CUMPLE</v>
      </c>
      <c r="AH77" s="10">
        <f>0.75*0.083*SQRT($B$2)*(((D77*1000)*(E77*1000))^2/(2*((D77*1000)+(E77*1000))))/1000000</f>
        <v>3.388073536</v>
      </c>
      <c r="AI77" s="15" t="str">
        <f>IF(I77&gt;AH77,"SI","No")</f>
        <v>No</v>
      </c>
      <c r="AJ77" s="11">
        <f>IF(I77&gt;AH77,I77*1000000/(0.75*2*0.85*((D77*1000-2*$F$2)*(E77*1000-2*$F$2))*$D$2),0)</f>
        <v>0</v>
      </c>
      <c r="AK77" s="10">
        <f>1.25*Q77*$D$2*(J77-(1.25*Q77*$D$2/(0.85*$B$2*(D77*1000)))/2)/1000000</f>
        <v>187.2105962</v>
      </c>
      <c r="AL77" s="10">
        <f>1.25*Z77*$D$2*(J77-(1.25*Z77*$D$2/(0.85*$B$2*(D77*1000)))/2)/1000000</f>
        <v>159.8306178</v>
      </c>
      <c r="AM77" s="10">
        <f>(AK77+AL77)/B77</f>
        <v>130.9589487</v>
      </c>
      <c r="AN77" s="10">
        <f>MAX(H77,AM77)</f>
        <v>130.9589487</v>
      </c>
    </row>
    <row r="78">
      <c r="A78" s="5" t="inlineStr">
        <is>
          <t>F75</t>
        </is>
      </c>
      <c r="B78" s="6" t="n">
        <v>2.65</v>
      </c>
      <c r="C78" s="7" t="inlineStr">
        <is>
          <t>VC</t>
        </is>
      </c>
      <c r="D78" s="8">
        <f>IF(C78="VR",0.35,0.30)</f>
        <v>0.3</v>
      </c>
      <c r="E78" s="6" t="n">
        <v>0.4</v>
      </c>
      <c r="F78" s="9" t="n">
        <v>118.8</v>
      </c>
      <c r="G78" s="9" t="n">
        <v>102.2</v>
      </c>
      <c r="H78" s="9" t="n">
        <v>87.59999999999999</v>
      </c>
      <c r="I78" s="6" t="n">
        <v>0</v>
      </c>
      <c r="J78" s="10">
        <f>E78*1000-$F$2-$L$2-$H$2/2</f>
        <v>342.55</v>
      </c>
      <c r="K78" s="11">
        <f>F78*1000000/(0.9*(D78*1000)*J78^2)</f>
        <v>3.751033435</v>
      </c>
      <c r="L78" s="12">
        <f>(0.85*$B$2/$D$2)*(1-SQRT(1-2*K78/(0.85*$B$2)))</f>
        <v>0.009773943502</v>
      </c>
      <c r="M78" s="13">
        <f>L78*(D78*1000)*J78</f>
        <v>1004.419304</v>
      </c>
      <c r="N78" s="13">
        <f>MAX(0.25*SQRT($B$2)/$D$2,1.4/$D$2)*(D78*1000)*J78</f>
        <v>342.55</v>
      </c>
      <c r="O78" s="13">
        <f>MAX(M78,N78)</f>
        <v>1004.419304</v>
      </c>
      <c r="P78" s="14">
        <f>ROUNDUP(O78/$J$2,0)</f>
        <v>6</v>
      </c>
      <c r="Q78" s="13">
        <f>P78*$J$2</f>
        <v>1194</v>
      </c>
      <c r="R78" s="10">
        <f>Q78*$D$2/(0.85*$B$2*(D78*1000))</f>
        <v>70.23529412</v>
      </c>
      <c r="S78" s="10">
        <f>0.9*Q78*$D$2*(J78-R78/2)/1000000</f>
        <v>138.7540587</v>
      </c>
      <c r="T78" s="15" t="str">
        <f>IF(AND(S78&gt;=F78,O78&lt;=0.025*(D78*1000)*J78,O78&gt;=N78),"CUMPLE","REVISAR")</f>
        <v>CUMPLE</v>
      </c>
      <c r="U78" s="11">
        <f>G78*1000000/(0.9*(D78*1000)*J78^2)</f>
        <v>3.224866089</v>
      </c>
      <c r="V78" s="12">
        <f>(0.85*$B$2/$D$2)*(1-SQRT(1-2*U78/(0.85*$B$2)))</f>
        <v>0.008283723902</v>
      </c>
      <c r="W78" s="13">
        <f>V78*(D78*1000)*J78</f>
        <v>851.2768868</v>
      </c>
      <c r="X78" s="13">
        <f>MAX(W78,N78)</f>
        <v>851.2768868</v>
      </c>
      <c r="Y78" s="14">
        <f>ROUNDUP(X78/$J$2,0)</f>
        <v>5</v>
      </c>
      <c r="Z78" s="13">
        <f>Y78*$J$2</f>
        <v>995</v>
      </c>
      <c r="AA78" s="10">
        <f>0.9*Z78*$D$2*(J78-(Z78*$D$2/(0.85*$B$2*(D78*1000)))/2)/1000000</f>
        <v>117.829732</v>
      </c>
      <c r="AB78" s="15" t="str">
        <f>IF(AA78&gt;=G78,"CUMPLE","REVISAR")</f>
        <v>CUMPLE</v>
      </c>
      <c r="AC78" s="10">
        <f>0.17*SQRT($B$2)*(D78*1000)*J78/1000</f>
        <v>92.44281538</v>
      </c>
      <c r="AD78" s="10">
        <f>MAX(H78/0.75-AC78,0)</f>
        <v>24.39718462</v>
      </c>
      <c r="AE78" s="14">
        <f>IF(AD78&gt;0,MIN($N$2*$D$2*J78/(AD78*1000),MIN(J78/4,6*$H$2,150)),MIN(J78/4,6*$H$2,150))</f>
        <v>85.6375</v>
      </c>
      <c r="AF78" s="10">
        <f>0.66*SQRT($B$2)*(D78*1000)*J78/1000</f>
        <v>358.8956362</v>
      </c>
      <c r="AG78" s="15" t="str">
        <f>IF(AD78&lt;=AF78,"CUMPLE","AUMENTAR SECCION")</f>
        <v>CUMPLE</v>
      </c>
      <c r="AH78" s="10">
        <f>0.75*0.083*SQRT($B$2)*(((D78*1000)*(E78*1000))^2/(2*((D78*1000)+(E78*1000))))/1000000</f>
        <v>3.388073536</v>
      </c>
      <c r="AI78" s="15" t="str">
        <f>IF(I78&gt;AH78,"SI","No")</f>
        <v>No</v>
      </c>
      <c r="AJ78" s="11">
        <f>IF(I78&gt;AH78,I78*1000000/(0.75*2*0.85*((D78*1000-2*$F$2)*(E78*1000-2*$F$2))*$D$2),0)</f>
        <v>0</v>
      </c>
      <c r="AK78" s="10">
        <f>1.25*Q78*$D$2*(J78-(1.25*Q78*$D$2/(0.85*$B$2*(D78*1000)))/2)/1000000</f>
        <v>187.2105962</v>
      </c>
      <c r="AL78" s="10">
        <f>1.25*Z78*$D$2*(J78-(1.25*Z78*$D$2/(0.85*$B$2*(D78*1000)))/2)/1000000</f>
        <v>159.8306178</v>
      </c>
      <c r="AM78" s="10">
        <f>(AK78+AL78)/B78</f>
        <v>130.9589487</v>
      </c>
      <c r="AN78" s="10">
        <f>MAX(H78,AM78)</f>
        <v>130.9589487</v>
      </c>
    </row>
    <row r="79">
      <c r="A79" s="5" t="inlineStr">
        <is>
          <t>F76</t>
        </is>
      </c>
      <c r="B79" s="6" t="n">
        <v>5.1</v>
      </c>
      <c r="C79" s="7" t="inlineStr">
        <is>
          <t>VC</t>
        </is>
      </c>
      <c r="D79" s="8">
        <f>IF(C79="VR",0.35,0.30)</f>
        <v>0.3</v>
      </c>
      <c r="E79" s="6" t="n">
        <v>0.4</v>
      </c>
      <c r="F79" s="9" t="n">
        <v>93.3</v>
      </c>
      <c r="G79" s="9" t="n">
        <v>68.09999999999999</v>
      </c>
      <c r="H79" s="9" t="n">
        <v>48.5</v>
      </c>
      <c r="I79" s="6" t="n">
        <v>0</v>
      </c>
      <c r="J79" s="10">
        <f>E79*1000-$F$2-$L$2-$H$2/2</f>
        <v>342.55</v>
      </c>
      <c r="K79" s="11">
        <f>F79*1000000/(0.9*(D79*1000)*J79^2)</f>
        <v>2.945842734</v>
      </c>
      <c r="L79" s="12">
        <f>(0.85*$B$2/$D$2)*(1-SQRT(1-2*K79/(0.85*$B$2)))</f>
        <v>0.007511797456</v>
      </c>
      <c r="M79" s="13">
        <f>L79*(D79*1000)*J79</f>
        <v>771.9498656</v>
      </c>
      <c r="N79" s="13">
        <f>MAX(0.25*SQRT($B$2)/$D$2,1.4/$D$2)*(D79*1000)*J79</f>
        <v>342.55</v>
      </c>
      <c r="O79" s="13">
        <f>MAX(M79,N79)</f>
        <v>771.9498656</v>
      </c>
      <c r="P79" s="14">
        <f>ROUNDUP(O79/$J$2,0)</f>
        <v>4</v>
      </c>
      <c r="Q79" s="13">
        <f>P79*$J$2</f>
        <v>796</v>
      </c>
      <c r="R79" s="10">
        <f>Q79*$D$2/(0.85*$B$2*(D79*1000))</f>
        <v>46.82352941</v>
      </c>
      <c r="S79" s="10">
        <f>0.9*Q79*$D$2*(J79-R79/2)/1000000</f>
        <v>96.02486534</v>
      </c>
      <c r="T79" s="15" t="str">
        <f>IF(AND(S79&gt;=F79,O79&lt;=0.025*(D79*1000)*J79,O79&gt;=N79),"CUMPLE","REVISAR")</f>
        <v>CUMPLE</v>
      </c>
      <c r="U79" s="11">
        <f>G79*1000000/(0.9*(D79*1000)*J79^2)</f>
        <v>2.150752426</v>
      </c>
      <c r="V79" s="12">
        <f>(0.85*$B$2/$D$2)*(1-SQRT(1-2*U79/(0.85*$B$2)))</f>
        <v>0.005375835659</v>
      </c>
      <c r="W79" s="13">
        <f>V79*(D79*1000)*J79</f>
        <v>552.4477515</v>
      </c>
      <c r="X79" s="13">
        <f>MAX(W79,N79)</f>
        <v>552.4477515</v>
      </c>
      <c r="Y79" s="14">
        <f>ROUNDUP(X79/$J$2,0)</f>
        <v>3</v>
      </c>
      <c r="Z79" s="13">
        <f>Y79*$J$2</f>
        <v>597</v>
      </c>
      <c r="AA79" s="10">
        <f>0.9*Z79*$D$2*(J79-(Z79*$D$2/(0.85*$B$2*(D79*1000)))/2)/1000000</f>
        <v>73.33945883</v>
      </c>
      <c r="AB79" s="15" t="str">
        <f>IF(AA79&gt;=G79,"CUMPLE","REVISAR")</f>
        <v>CUMPLE</v>
      </c>
      <c r="AC79" s="10">
        <f>0.17*SQRT($B$2)*(D79*1000)*J79/1000</f>
        <v>92.44281538</v>
      </c>
      <c r="AD79" s="10">
        <f>MAX(H79/0.75-AC79,0)</f>
        <v>0</v>
      </c>
      <c r="AE79" s="14">
        <f>IF(AD79&gt;0,MIN($N$2*$D$2*J79/(AD79*1000),MIN(J79/4,6*$H$2,150)),MIN(J79/4,6*$H$2,150))</f>
        <v>85.6375</v>
      </c>
      <c r="AF79" s="10">
        <f>0.66*SQRT($B$2)*(D79*1000)*J79/1000</f>
        <v>358.8956362</v>
      </c>
      <c r="AG79" s="15" t="str">
        <f>IF(AD79&lt;=AF79,"CUMPLE","AUMENTAR SECCION")</f>
        <v>CUMPLE</v>
      </c>
      <c r="AH79" s="10">
        <f>0.75*0.083*SQRT($B$2)*(((D79*1000)*(E79*1000))^2/(2*((D79*1000)+(E79*1000))))/1000000</f>
        <v>3.388073536</v>
      </c>
      <c r="AI79" s="15" t="str">
        <f>IF(I79&gt;AH79,"SI","No")</f>
        <v>No</v>
      </c>
      <c r="AJ79" s="11">
        <f>IF(I79&gt;AH79,I79*1000000/(0.75*2*0.85*((D79*1000-2*$F$2)*(E79*1000-2*$F$2))*$D$2),0)</f>
        <v>0</v>
      </c>
      <c r="AK79" s="10">
        <f>1.25*Q79*$D$2*(J79-(1.25*Q79*$D$2/(0.85*$B$2*(D79*1000)))/2)/1000000</f>
        <v>130.9219244</v>
      </c>
      <c r="AL79" s="10">
        <f>1.25*Z79*$D$2*(J79-(1.25*Z79*$D$2/(0.85*$B$2*(D79*1000)))/2)/1000000</f>
        <v>100.4845159</v>
      </c>
      <c r="AM79" s="10">
        <f>(AK79+AL79)/B79</f>
        <v>45.37381183</v>
      </c>
      <c r="AN79" s="10">
        <f>MAX(H79,AM79)</f>
        <v>48.47</v>
      </c>
    </row>
    <row r="80">
      <c r="A80" s="5" t="inlineStr">
        <is>
          <t>F77</t>
        </is>
      </c>
      <c r="B80" s="6" t="n">
        <v>5.1</v>
      </c>
      <c r="C80" s="7" t="inlineStr">
        <is>
          <t>VC</t>
        </is>
      </c>
      <c r="D80" s="8">
        <f>IF(C80="VR",0.35,0.30)</f>
        <v>0.3</v>
      </c>
      <c r="E80" s="6" t="n">
        <v>0.4</v>
      </c>
      <c r="F80" s="9" t="n">
        <v>93.3</v>
      </c>
      <c r="G80" s="9" t="n">
        <v>68.09999999999999</v>
      </c>
      <c r="H80" s="9" t="n">
        <v>48.5</v>
      </c>
      <c r="I80" s="6" t="n">
        <v>0</v>
      </c>
      <c r="J80" s="10">
        <f>E80*1000-$F$2-$L$2-$H$2/2</f>
        <v>342.55</v>
      </c>
      <c r="K80" s="11">
        <f>F80*1000000/(0.9*(D80*1000)*J80^2)</f>
        <v>2.945842734</v>
      </c>
      <c r="L80" s="12">
        <f>(0.85*$B$2/$D$2)*(1-SQRT(1-2*K80/(0.85*$B$2)))</f>
        <v>0.007511797456</v>
      </c>
      <c r="M80" s="13">
        <f>L80*(D80*1000)*J80</f>
        <v>771.9498656</v>
      </c>
      <c r="N80" s="13">
        <f>MAX(0.25*SQRT($B$2)/$D$2,1.4/$D$2)*(D80*1000)*J80</f>
        <v>342.55</v>
      </c>
      <c r="O80" s="13">
        <f>MAX(M80,N80)</f>
        <v>771.9498656</v>
      </c>
      <c r="P80" s="14">
        <f>ROUNDUP(O80/$J$2,0)</f>
        <v>4</v>
      </c>
      <c r="Q80" s="13">
        <f>P80*$J$2</f>
        <v>796</v>
      </c>
      <c r="R80" s="10">
        <f>Q80*$D$2/(0.85*$B$2*(D80*1000))</f>
        <v>46.82352941</v>
      </c>
      <c r="S80" s="10">
        <f>0.9*Q80*$D$2*(J80-R80/2)/1000000</f>
        <v>96.02486534</v>
      </c>
      <c r="T80" s="15" t="str">
        <f>IF(AND(S80&gt;=F80,O80&lt;=0.025*(D80*1000)*J80,O80&gt;=N80),"CUMPLE","REVISAR")</f>
        <v>CUMPLE</v>
      </c>
      <c r="U80" s="11">
        <f>G80*1000000/(0.9*(D80*1000)*J80^2)</f>
        <v>2.150752426</v>
      </c>
      <c r="V80" s="12">
        <f>(0.85*$B$2/$D$2)*(1-SQRT(1-2*U80/(0.85*$B$2)))</f>
        <v>0.005375835659</v>
      </c>
      <c r="W80" s="13">
        <f>V80*(D80*1000)*J80</f>
        <v>552.4477515</v>
      </c>
      <c r="X80" s="13">
        <f>MAX(W80,N80)</f>
        <v>552.4477515</v>
      </c>
      <c r="Y80" s="14">
        <f>ROUNDUP(X80/$J$2,0)</f>
        <v>3</v>
      </c>
      <c r="Z80" s="13">
        <f>Y80*$J$2</f>
        <v>597</v>
      </c>
      <c r="AA80" s="10">
        <f>0.9*Z80*$D$2*(J80-(Z80*$D$2/(0.85*$B$2*(D80*1000)))/2)/1000000</f>
        <v>73.33945883</v>
      </c>
      <c r="AB80" s="15" t="str">
        <f>IF(AA80&gt;=G80,"CUMPLE","REVISAR")</f>
        <v>CUMPLE</v>
      </c>
      <c r="AC80" s="10">
        <f>0.17*SQRT($B$2)*(D80*1000)*J80/1000</f>
        <v>92.44281538</v>
      </c>
      <c r="AD80" s="10">
        <f>MAX(H80/0.75-AC80,0)</f>
        <v>0</v>
      </c>
      <c r="AE80" s="14">
        <f>IF(AD80&gt;0,MIN($N$2*$D$2*J80/(AD80*1000),MIN(J80/4,6*$H$2,150)),MIN(J80/4,6*$H$2,150))</f>
        <v>85.6375</v>
      </c>
      <c r="AF80" s="10">
        <f>0.66*SQRT($B$2)*(D80*1000)*J80/1000</f>
        <v>358.8956362</v>
      </c>
      <c r="AG80" s="15" t="str">
        <f>IF(AD80&lt;=AF80,"CUMPLE","AUMENTAR SECCION")</f>
        <v>CUMPLE</v>
      </c>
      <c r="AH80" s="10">
        <f>0.75*0.083*SQRT($B$2)*(((D80*1000)*(E80*1000))^2/(2*((D80*1000)+(E80*1000))))/1000000</f>
        <v>3.388073536</v>
      </c>
      <c r="AI80" s="15" t="str">
        <f>IF(I80&gt;AH80,"SI","No")</f>
        <v>No</v>
      </c>
      <c r="AJ80" s="11">
        <f>IF(I80&gt;AH80,I80*1000000/(0.75*2*0.85*((D80*1000-2*$F$2)*(E80*1000-2*$F$2))*$D$2),0)</f>
        <v>0</v>
      </c>
      <c r="AK80" s="10">
        <f>1.25*Q80*$D$2*(J80-(1.25*Q80*$D$2/(0.85*$B$2*(D80*1000)))/2)/1000000</f>
        <v>130.9219244</v>
      </c>
      <c r="AL80" s="10">
        <f>1.25*Z80*$D$2*(J80-(1.25*Z80*$D$2/(0.85*$B$2*(D80*1000)))/2)/1000000</f>
        <v>100.4845159</v>
      </c>
      <c r="AM80" s="10">
        <f>(AK80+AL80)/B80</f>
        <v>45.37381183</v>
      </c>
      <c r="AN80" s="10">
        <f>MAX(H80,AM80)</f>
        <v>48.47</v>
      </c>
    </row>
    <row r="81">
      <c r="A81" s="5" t="inlineStr">
        <is>
          <t>F78</t>
        </is>
      </c>
      <c r="B81" s="6" t="n">
        <v>2.65</v>
      </c>
      <c r="C81" s="7" t="inlineStr">
        <is>
          <t>VC</t>
        </is>
      </c>
      <c r="D81" s="8">
        <f>IF(C81="VR",0.35,0.30)</f>
        <v>0.3</v>
      </c>
      <c r="E81" s="6" t="n">
        <v>0.4</v>
      </c>
      <c r="F81" s="9" t="n">
        <v>118.8</v>
      </c>
      <c r="G81" s="9" t="n">
        <v>102.2</v>
      </c>
      <c r="H81" s="9" t="n">
        <v>87.59999999999999</v>
      </c>
      <c r="I81" s="6" t="n">
        <v>0</v>
      </c>
      <c r="J81" s="10">
        <f>E81*1000-$F$2-$L$2-$H$2/2</f>
        <v>342.55</v>
      </c>
      <c r="K81" s="11">
        <f>F81*1000000/(0.9*(D81*1000)*J81^2)</f>
        <v>3.751033435</v>
      </c>
      <c r="L81" s="12">
        <f>(0.85*$B$2/$D$2)*(1-SQRT(1-2*K81/(0.85*$B$2)))</f>
        <v>0.009773943502</v>
      </c>
      <c r="M81" s="13">
        <f>L81*(D81*1000)*J81</f>
        <v>1004.419304</v>
      </c>
      <c r="N81" s="13">
        <f>MAX(0.25*SQRT($B$2)/$D$2,1.4/$D$2)*(D81*1000)*J81</f>
        <v>342.55</v>
      </c>
      <c r="O81" s="13">
        <f>MAX(M81,N81)</f>
        <v>1004.419304</v>
      </c>
      <c r="P81" s="14">
        <f>ROUNDUP(O81/$J$2,0)</f>
        <v>6</v>
      </c>
      <c r="Q81" s="13">
        <f>P81*$J$2</f>
        <v>1194</v>
      </c>
      <c r="R81" s="10">
        <f>Q81*$D$2/(0.85*$B$2*(D81*1000))</f>
        <v>70.23529412</v>
      </c>
      <c r="S81" s="10">
        <f>0.9*Q81*$D$2*(J81-R81/2)/1000000</f>
        <v>138.7540587</v>
      </c>
      <c r="T81" s="15" t="str">
        <f>IF(AND(S81&gt;=F81,O81&lt;=0.025*(D81*1000)*J81,O81&gt;=N81),"CUMPLE","REVISAR")</f>
        <v>CUMPLE</v>
      </c>
      <c r="U81" s="11">
        <f>G81*1000000/(0.9*(D81*1000)*J81^2)</f>
        <v>3.224866089</v>
      </c>
      <c r="V81" s="12">
        <f>(0.85*$B$2/$D$2)*(1-SQRT(1-2*U81/(0.85*$B$2)))</f>
        <v>0.008283723902</v>
      </c>
      <c r="W81" s="13">
        <f>V81*(D81*1000)*J81</f>
        <v>851.2768868</v>
      </c>
      <c r="X81" s="13">
        <f>MAX(W81,N81)</f>
        <v>851.2768868</v>
      </c>
      <c r="Y81" s="14">
        <f>ROUNDUP(X81/$J$2,0)</f>
        <v>5</v>
      </c>
      <c r="Z81" s="13">
        <f>Y81*$J$2</f>
        <v>995</v>
      </c>
      <c r="AA81" s="10">
        <f>0.9*Z81*$D$2*(J81-(Z81*$D$2/(0.85*$B$2*(D81*1000)))/2)/1000000</f>
        <v>117.829732</v>
      </c>
      <c r="AB81" s="15" t="str">
        <f>IF(AA81&gt;=G81,"CUMPLE","REVISAR")</f>
        <v>CUMPLE</v>
      </c>
      <c r="AC81" s="10">
        <f>0.17*SQRT($B$2)*(D81*1000)*J81/1000</f>
        <v>92.44281538</v>
      </c>
      <c r="AD81" s="10">
        <f>MAX(H81/0.75-AC81,0)</f>
        <v>24.39718462</v>
      </c>
      <c r="AE81" s="14">
        <f>IF(AD81&gt;0,MIN($N$2*$D$2*J81/(AD81*1000),MIN(J81/4,6*$H$2,150)),MIN(J81/4,6*$H$2,150))</f>
        <v>85.6375</v>
      </c>
      <c r="AF81" s="10">
        <f>0.66*SQRT($B$2)*(D81*1000)*J81/1000</f>
        <v>358.8956362</v>
      </c>
      <c r="AG81" s="15" t="str">
        <f>IF(AD81&lt;=AF81,"CUMPLE","AUMENTAR SECCION")</f>
        <v>CUMPLE</v>
      </c>
      <c r="AH81" s="10">
        <f>0.75*0.083*SQRT($B$2)*(((D81*1000)*(E81*1000))^2/(2*((D81*1000)+(E81*1000))))/1000000</f>
        <v>3.388073536</v>
      </c>
      <c r="AI81" s="15" t="str">
        <f>IF(I81&gt;AH81,"SI","No")</f>
        <v>No</v>
      </c>
      <c r="AJ81" s="11">
        <f>IF(I81&gt;AH81,I81*1000000/(0.75*2*0.85*((D81*1000-2*$F$2)*(E81*1000-2*$F$2))*$D$2),0)</f>
        <v>0</v>
      </c>
      <c r="AK81" s="10">
        <f>1.25*Q81*$D$2*(J81-(1.25*Q81*$D$2/(0.85*$B$2*(D81*1000)))/2)/1000000</f>
        <v>187.2105962</v>
      </c>
      <c r="AL81" s="10">
        <f>1.25*Z81*$D$2*(J81-(1.25*Z81*$D$2/(0.85*$B$2*(D81*1000)))/2)/1000000</f>
        <v>159.8306178</v>
      </c>
      <c r="AM81" s="10">
        <f>(AK81+AL81)/B81</f>
        <v>130.9589487</v>
      </c>
      <c r="AN81" s="10">
        <f>MAX(H81,AM81)</f>
        <v>130.9589487</v>
      </c>
    </row>
    <row r="82">
      <c r="A82" s="5" t="inlineStr">
        <is>
          <t>F79</t>
        </is>
      </c>
      <c r="B82" s="6" t="n">
        <v>3.85</v>
      </c>
      <c r="C82" s="7" t="inlineStr">
        <is>
          <t>VC</t>
        </is>
      </c>
      <c r="D82" s="8">
        <f>IF(C82="VR",0.35,0.30)</f>
        <v>0.3</v>
      </c>
      <c r="E82" s="6" t="n">
        <v>0.4</v>
      </c>
      <c r="F82" s="9" t="n">
        <v>107.2</v>
      </c>
      <c r="G82" s="9" t="n">
        <v>92.59999999999999</v>
      </c>
      <c r="H82" s="9" t="n">
        <v>64</v>
      </c>
      <c r="I82" s="6" t="n">
        <v>0</v>
      </c>
      <c r="J82" s="10">
        <f>E82*1000-$F$2-$L$2-$H$2/2</f>
        <v>342.55</v>
      </c>
      <c r="K82" s="11">
        <f>F82*1000000/(0.9*(D82*1000)*J82^2)</f>
        <v>3.384578553</v>
      </c>
      <c r="L82" s="12">
        <f>(0.85*$B$2/$D$2)*(1-SQRT(1-2*K82/(0.85*$B$2)))</f>
        <v>0.008731166914</v>
      </c>
      <c r="M82" s="13">
        <f>L82*(D82*1000)*J82</f>
        <v>897.2583679</v>
      </c>
      <c r="N82" s="13">
        <f>MAX(0.25*SQRT($B$2)/$D$2,1.4/$D$2)*(D82*1000)*J82</f>
        <v>342.55</v>
      </c>
      <c r="O82" s="13">
        <f>MAX(M82,N82)</f>
        <v>897.2583679</v>
      </c>
      <c r="P82" s="14">
        <f>ROUNDUP(O82/$J$2,0)</f>
        <v>5</v>
      </c>
      <c r="Q82" s="13">
        <f>P82*$J$2</f>
        <v>995</v>
      </c>
      <c r="R82" s="10">
        <f>Q82*$D$2/(0.85*$B$2*(D82*1000))</f>
        <v>58.52941176</v>
      </c>
      <c r="S82" s="10">
        <f>0.9*Q82*$D$2*(J82-R82/2)/1000000</f>
        <v>117.829732</v>
      </c>
      <c r="T82" s="15" t="str">
        <f>IF(AND(S82&gt;=F82,O82&lt;=0.025*(D82*1000)*J82,O82&gt;=N82),"CUMPLE","REVISAR")</f>
        <v>CUMPLE</v>
      </c>
      <c r="U82" s="11">
        <f>G82*1000000/(0.9*(D82*1000)*J82^2)</f>
        <v>2.922801212</v>
      </c>
      <c r="V82" s="12">
        <f>(0.85*$B$2/$D$2)*(1-SQRT(1-2*U82/(0.85*$B$2)))</f>
        <v>0.007448593558</v>
      </c>
      <c r="W82" s="13">
        <f>V82*(D82*1000)*J82</f>
        <v>765.454717</v>
      </c>
      <c r="X82" s="13">
        <f>MAX(W82,N82)</f>
        <v>765.454717</v>
      </c>
      <c r="Y82" s="14">
        <f>ROUNDUP(X82/$J$2,0)</f>
        <v>4</v>
      </c>
      <c r="Z82" s="13">
        <f>Y82*$J$2</f>
        <v>796</v>
      </c>
      <c r="AA82" s="10">
        <f>0.9*Z82*$D$2*(J82-(Z82*$D$2/(0.85*$B$2*(D82*1000)))/2)/1000000</f>
        <v>96.02486534</v>
      </c>
      <c r="AB82" s="15" t="str">
        <f>IF(AA82&gt;=G82,"CUMPLE","REVISAR")</f>
        <v>CUMPLE</v>
      </c>
      <c r="AC82" s="10">
        <f>0.17*SQRT($B$2)*(D82*1000)*J82/1000</f>
        <v>92.44281538</v>
      </c>
      <c r="AD82" s="10">
        <f>MAX(H82/0.75-AC82,0)</f>
        <v>0</v>
      </c>
      <c r="AE82" s="14">
        <f>IF(AD82&gt;0,MIN($N$2*$D$2*J82/(AD82*1000),MIN(J82/4,6*$H$2,150)),MIN(J82/4,6*$H$2,150))</f>
        <v>85.6375</v>
      </c>
      <c r="AF82" s="10">
        <f>0.66*SQRT($B$2)*(D82*1000)*J82/1000</f>
        <v>358.8956362</v>
      </c>
      <c r="AG82" s="15" t="str">
        <f>IF(AD82&lt;=AF82,"CUMPLE","AUMENTAR SECCION")</f>
        <v>CUMPLE</v>
      </c>
      <c r="AH82" s="10">
        <f>0.75*0.083*SQRT($B$2)*(((D82*1000)*(E82*1000))^2/(2*((D82*1000)+(E82*1000))))/1000000</f>
        <v>3.388073536</v>
      </c>
      <c r="AI82" s="15" t="str">
        <f>IF(I82&gt;AH82,"SI","No")</f>
        <v>No</v>
      </c>
      <c r="AJ82" s="11">
        <f>IF(I82&gt;AH82,I82*1000000/(0.75*2*0.85*((D82*1000-2*$F$2)*(E82*1000-2*$F$2))*$D$2),0)</f>
        <v>0</v>
      </c>
      <c r="AK82" s="10">
        <f>1.25*Q82*$D$2*(J82-(1.25*Q82*$D$2/(0.85*$B$2*(D82*1000)))/2)/1000000</f>
        <v>159.8306178</v>
      </c>
      <c r="AL82" s="10">
        <f>1.25*Z82*$D$2*(J82-(1.25*Z82*$D$2/(0.85*$B$2*(D82*1000)))/2)/1000000</f>
        <v>130.9219244</v>
      </c>
      <c r="AM82" s="10">
        <f>(AK82+AL82)/B82</f>
        <v>75.52014084</v>
      </c>
      <c r="AN82" s="10">
        <f>MAX(H82,AM82)</f>
        <v>75.52014084</v>
      </c>
    </row>
    <row r="83">
      <c r="A83" s="5" t="inlineStr">
        <is>
          <t>F80</t>
        </is>
      </c>
      <c r="B83" s="6" t="n">
        <v>3.9</v>
      </c>
      <c r="C83" s="7" t="inlineStr">
        <is>
          <t>VC</t>
        </is>
      </c>
      <c r="D83" s="8">
        <f>IF(C83="VR",0.35,0.30)</f>
        <v>0.3</v>
      </c>
      <c r="E83" s="6" t="n">
        <v>0.4</v>
      </c>
      <c r="F83" s="9" t="n">
        <v>112.7</v>
      </c>
      <c r="G83" s="9" t="n">
        <v>88.2</v>
      </c>
      <c r="H83" s="9" t="n">
        <v>74</v>
      </c>
      <c r="I83" s="6" t="n">
        <v>0</v>
      </c>
      <c r="J83" s="10">
        <f>E83*1000-$F$2-$L$2-$H$2/2</f>
        <v>342.55</v>
      </c>
      <c r="K83" s="11">
        <f>F83*1000000/(0.9*(D83*1000)*J83^2)</f>
        <v>3.557232145</v>
      </c>
      <c r="L83" s="12">
        <f>(0.85*$B$2/$D$2)*(1-SQRT(1-2*K83/(0.85*$B$2)))</f>
        <v>0.009219611205</v>
      </c>
      <c r="M83" s="13">
        <f>L83*(D83*1000)*J83</f>
        <v>947.4533455</v>
      </c>
      <c r="N83" s="13">
        <f>MAX(0.25*SQRT($B$2)/$D$2,1.4/$D$2)*(D83*1000)*J83</f>
        <v>342.55</v>
      </c>
      <c r="O83" s="13">
        <f>MAX(M83,N83)</f>
        <v>947.4533455</v>
      </c>
      <c r="P83" s="14">
        <f>ROUNDUP(O83/$J$2,0)</f>
        <v>5</v>
      </c>
      <c r="Q83" s="13">
        <f>P83*$J$2</f>
        <v>995</v>
      </c>
      <c r="R83" s="10">
        <f>Q83*$D$2/(0.85*$B$2*(D83*1000))</f>
        <v>58.52941176</v>
      </c>
      <c r="S83" s="10">
        <f>0.9*Q83*$D$2*(J83-R83/2)/1000000</f>
        <v>117.829732</v>
      </c>
      <c r="T83" s="15" t="str">
        <f>IF(AND(S83&gt;=F83,O83&lt;=0.025*(D83*1000)*J83,O83&gt;=N83),"CUMPLE","REVISAR")</f>
        <v>CUMPLE</v>
      </c>
      <c r="U83" s="11">
        <f>G83*1000000/(0.9*(D83*1000)*J83^2)</f>
        <v>2.782342623</v>
      </c>
      <c r="V83" s="12">
        <f>(0.85*$B$2/$D$2)*(1-SQRT(1-2*U83/(0.85*$B$2)))</f>
        <v>0.007065051323</v>
      </c>
      <c r="W83" s="13">
        <f>V83*(D83*1000)*J83</f>
        <v>726.0399993</v>
      </c>
      <c r="X83" s="13">
        <f>MAX(W83,N83)</f>
        <v>726.0399993</v>
      </c>
      <c r="Y83" s="14">
        <f>ROUNDUP(X83/$J$2,0)</f>
        <v>4</v>
      </c>
      <c r="Z83" s="13">
        <f>Y83*$J$2</f>
        <v>796</v>
      </c>
      <c r="AA83" s="10">
        <f>0.9*Z83*$D$2*(J83-(Z83*$D$2/(0.85*$B$2*(D83*1000)))/2)/1000000</f>
        <v>96.02486534</v>
      </c>
      <c r="AB83" s="15" t="str">
        <f>IF(AA83&gt;=G83,"CUMPLE","REVISAR")</f>
        <v>CUMPLE</v>
      </c>
      <c r="AC83" s="10">
        <f>0.17*SQRT($B$2)*(D83*1000)*J83/1000</f>
        <v>92.44281538</v>
      </c>
      <c r="AD83" s="10">
        <f>MAX(H83/0.75-AC83,0)</f>
        <v>6.277184616</v>
      </c>
      <c r="AE83" s="14">
        <f>IF(AD83&gt;0,MIN($N$2*$D$2*J83/(AD83*1000),MIN(J83/4,6*$H$2,150)),MIN(J83/4,6*$H$2,150))</f>
        <v>85.6375</v>
      </c>
      <c r="AF83" s="10">
        <f>0.66*SQRT($B$2)*(D83*1000)*J83/1000</f>
        <v>358.8956362</v>
      </c>
      <c r="AG83" s="15" t="str">
        <f>IF(AD83&lt;=AF83,"CUMPLE","AUMENTAR SECCION")</f>
        <v>CUMPLE</v>
      </c>
      <c r="AH83" s="10">
        <f>0.75*0.083*SQRT($B$2)*(((D83*1000)*(E83*1000))^2/(2*((D83*1000)+(E83*1000))))/1000000</f>
        <v>3.388073536</v>
      </c>
      <c r="AI83" s="15" t="str">
        <f>IF(I83&gt;AH83,"SI","No")</f>
        <v>No</v>
      </c>
      <c r="AJ83" s="11">
        <f>IF(I83&gt;AH83,I83*1000000/(0.75*2*0.85*((D83*1000-2*$F$2)*(E83*1000-2*$F$2))*$D$2),0)</f>
        <v>0</v>
      </c>
      <c r="AK83" s="10">
        <f>1.25*Q83*$D$2*(J83-(1.25*Q83*$D$2/(0.85*$B$2*(D83*1000)))/2)/1000000</f>
        <v>159.8306178</v>
      </c>
      <c r="AL83" s="10">
        <f>1.25*Z83*$D$2*(J83-(1.25*Z83*$D$2/(0.85*$B$2*(D83*1000)))/2)/1000000</f>
        <v>130.9219244</v>
      </c>
      <c r="AM83" s="10">
        <f>(AK83+AL83)/B83</f>
        <v>74.55193391</v>
      </c>
      <c r="AN83" s="10">
        <f>MAX(H83,AM83)</f>
        <v>74.55193391</v>
      </c>
    </row>
    <row r="84">
      <c r="A84" s="5" t="inlineStr">
        <is>
          <t>F81</t>
        </is>
      </c>
      <c r="B84" s="6" t="n">
        <v>3.9</v>
      </c>
      <c r="C84" s="7" t="inlineStr">
        <is>
          <t>VC</t>
        </is>
      </c>
      <c r="D84" s="8">
        <f>IF(C84="VR",0.35,0.30)</f>
        <v>0.3</v>
      </c>
      <c r="E84" s="6" t="n">
        <v>0.4</v>
      </c>
      <c r="F84" s="9" t="n">
        <v>112.7</v>
      </c>
      <c r="G84" s="9" t="n">
        <v>88.2</v>
      </c>
      <c r="H84" s="9" t="n">
        <v>74</v>
      </c>
      <c r="I84" s="6" t="n">
        <v>0</v>
      </c>
      <c r="J84" s="10">
        <f>E84*1000-$F$2-$L$2-$H$2/2</f>
        <v>342.55</v>
      </c>
      <c r="K84" s="11">
        <f>F84*1000000/(0.9*(D84*1000)*J84^2)</f>
        <v>3.557547782</v>
      </c>
      <c r="L84" s="12">
        <f>(0.85*$B$2/$D$2)*(1-SQRT(1-2*K84/(0.85*$B$2)))</f>
        <v>0.009220508761</v>
      </c>
      <c r="M84" s="13">
        <f>L84*(D84*1000)*J84</f>
        <v>947.5455828</v>
      </c>
      <c r="N84" s="13">
        <f>MAX(0.25*SQRT($B$2)/$D$2,1.4/$D$2)*(D84*1000)*J84</f>
        <v>342.55</v>
      </c>
      <c r="O84" s="13">
        <f>MAX(M84,N84)</f>
        <v>947.5455828</v>
      </c>
      <c r="P84" s="14">
        <f>ROUNDUP(O84/$J$2,0)</f>
        <v>5</v>
      </c>
      <c r="Q84" s="13">
        <f>P84*$J$2</f>
        <v>995</v>
      </c>
      <c r="R84" s="10">
        <f>Q84*$D$2/(0.85*$B$2*(D84*1000))</f>
        <v>58.52941176</v>
      </c>
      <c r="S84" s="10">
        <f>0.9*Q84*$D$2*(J84-R84/2)/1000000</f>
        <v>117.829732</v>
      </c>
      <c r="T84" s="15" t="str">
        <f>IF(AND(S84&gt;=F84,O84&lt;=0.025*(D84*1000)*J84,O84&gt;=N84),"CUMPLE","REVISAR")</f>
        <v>CUMPLE</v>
      </c>
      <c r="U84" s="11">
        <f>G84*1000000/(0.9*(D84*1000)*J84^2)</f>
        <v>2.782342623</v>
      </c>
      <c r="V84" s="12">
        <f>(0.85*$B$2/$D$2)*(1-SQRT(1-2*U84/(0.85*$B$2)))</f>
        <v>0.007065051323</v>
      </c>
      <c r="W84" s="13">
        <f>V84*(D84*1000)*J84</f>
        <v>726.0399993</v>
      </c>
      <c r="X84" s="13">
        <f>MAX(W84,N84)</f>
        <v>726.0399993</v>
      </c>
      <c r="Y84" s="14">
        <f>ROUNDUP(X84/$J$2,0)</f>
        <v>4</v>
      </c>
      <c r="Z84" s="13">
        <f>Y84*$J$2</f>
        <v>796</v>
      </c>
      <c r="AA84" s="10">
        <f>0.9*Z84*$D$2*(J84-(Z84*$D$2/(0.85*$B$2*(D84*1000)))/2)/1000000</f>
        <v>96.02486534</v>
      </c>
      <c r="AB84" s="15" t="str">
        <f>IF(AA84&gt;=G84,"CUMPLE","REVISAR")</f>
        <v>CUMPLE</v>
      </c>
      <c r="AC84" s="10">
        <f>0.17*SQRT($B$2)*(D84*1000)*J84/1000</f>
        <v>92.44281538</v>
      </c>
      <c r="AD84" s="10">
        <f>MAX(H84/0.75-AC84,0)</f>
        <v>6.29051795</v>
      </c>
      <c r="AE84" s="14">
        <f>IF(AD84&gt;0,MIN($N$2*$D$2*J84/(AD84*1000),MIN(J84/4,6*$H$2,150)),MIN(J84/4,6*$H$2,150))</f>
        <v>85.6375</v>
      </c>
      <c r="AF84" s="10">
        <f>0.66*SQRT($B$2)*(D84*1000)*J84/1000</f>
        <v>358.8956362</v>
      </c>
      <c r="AG84" s="15" t="str">
        <f>IF(AD84&lt;=AF84,"CUMPLE","AUMENTAR SECCION")</f>
        <v>CUMPLE</v>
      </c>
      <c r="AH84" s="10">
        <f>0.75*0.083*SQRT($B$2)*(((D84*1000)*(E84*1000))^2/(2*((D84*1000)+(E84*1000))))/1000000</f>
        <v>3.388073536</v>
      </c>
      <c r="AI84" s="15" t="str">
        <f>IF(I84&gt;AH84,"SI","No")</f>
        <v>No</v>
      </c>
      <c r="AJ84" s="11">
        <f>IF(I84&gt;AH84,I84*1000000/(0.75*2*0.85*((D84*1000-2*$F$2)*(E84*1000-2*$F$2))*$D$2),0)</f>
        <v>0</v>
      </c>
      <c r="AK84" s="10">
        <f>1.25*Q84*$D$2*(J84-(1.25*Q84*$D$2/(0.85*$B$2*(D84*1000)))/2)/1000000</f>
        <v>159.8306178</v>
      </c>
      <c r="AL84" s="10">
        <f>1.25*Z84*$D$2*(J84-(1.25*Z84*$D$2/(0.85*$B$2*(D84*1000)))/2)/1000000</f>
        <v>130.9219244</v>
      </c>
      <c r="AM84" s="10">
        <f>(AK84+AL84)/B84</f>
        <v>74.55193391</v>
      </c>
      <c r="AN84" s="10">
        <f>MAX(H84,AM84)</f>
        <v>74.55193391</v>
      </c>
    </row>
    <row r="85">
      <c r="A85" s="5" t="inlineStr">
        <is>
          <t>F82</t>
        </is>
      </c>
      <c r="B85" s="6" t="n">
        <v>3.85</v>
      </c>
      <c r="C85" s="7" t="inlineStr">
        <is>
          <t>VC</t>
        </is>
      </c>
      <c r="D85" s="8">
        <f>IF(C85="VR",0.35,0.30)</f>
        <v>0.3</v>
      </c>
      <c r="E85" s="6" t="n">
        <v>0.4</v>
      </c>
      <c r="F85" s="9" t="n">
        <v>107.2</v>
      </c>
      <c r="G85" s="9" t="n">
        <v>92.59999999999999</v>
      </c>
      <c r="H85" s="9" t="n">
        <v>64</v>
      </c>
      <c r="I85" s="6" t="n">
        <v>0</v>
      </c>
      <c r="J85" s="10">
        <f>E85*1000-$F$2-$L$2-$H$2/2</f>
        <v>342.55</v>
      </c>
      <c r="K85" s="11">
        <f>F85*1000000/(0.9*(D85*1000)*J85^2)</f>
        <v>3.384578553</v>
      </c>
      <c r="L85" s="12">
        <f>(0.85*$B$2/$D$2)*(1-SQRT(1-2*K85/(0.85*$B$2)))</f>
        <v>0.008731166914</v>
      </c>
      <c r="M85" s="13">
        <f>L85*(D85*1000)*J85</f>
        <v>897.2583679</v>
      </c>
      <c r="N85" s="13">
        <f>MAX(0.25*SQRT($B$2)/$D$2,1.4/$D$2)*(D85*1000)*J85</f>
        <v>342.55</v>
      </c>
      <c r="O85" s="13">
        <f>MAX(M85,N85)</f>
        <v>897.2583679</v>
      </c>
      <c r="P85" s="14">
        <f>ROUNDUP(O85/$J$2,0)</f>
        <v>5</v>
      </c>
      <c r="Q85" s="13">
        <f>P85*$J$2</f>
        <v>995</v>
      </c>
      <c r="R85" s="10">
        <f>Q85*$D$2/(0.85*$B$2*(D85*1000))</f>
        <v>58.52941176</v>
      </c>
      <c r="S85" s="10">
        <f>0.9*Q85*$D$2*(J85-R85/2)/1000000</f>
        <v>117.829732</v>
      </c>
      <c r="T85" s="15" t="str">
        <f>IF(AND(S85&gt;=F85,O85&lt;=0.025*(D85*1000)*J85,O85&gt;=N85),"CUMPLE","REVISAR")</f>
        <v>CUMPLE</v>
      </c>
      <c r="U85" s="11">
        <f>G85*1000000/(0.9*(D85*1000)*J85^2)</f>
        <v>2.922801212</v>
      </c>
      <c r="V85" s="12">
        <f>(0.85*$B$2/$D$2)*(1-SQRT(1-2*U85/(0.85*$B$2)))</f>
        <v>0.007448593558</v>
      </c>
      <c r="W85" s="13">
        <f>V85*(D85*1000)*J85</f>
        <v>765.454717</v>
      </c>
      <c r="X85" s="13">
        <f>MAX(W85,N85)</f>
        <v>765.454717</v>
      </c>
      <c r="Y85" s="14">
        <f>ROUNDUP(X85/$J$2,0)</f>
        <v>4</v>
      </c>
      <c r="Z85" s="13">
        <f>Y85*$J$2</f>
        <v>796</v>
      </c>
      <c r="AA85" s="10">
        <f>0.9*Z85*$D$2*(J85-(Z85*$D$2/(0.85*$B$2*(D85*1000)))/2)/1000000</f>
        <v>96.02486534</v>
      </c>
      <c r="AB85" s="15" t="str">
        <f>IF(AA85&gt;=G85,"CUMPLE","REVISAR")</f>
        <v>CUMPLE</v>
      </c>
      <c r="AC85" s="10">
        <f>0.17*SQRT($B$2)*(D85*1000)*J85/1000</f>
        <v>92.44281538</v>
      </c>
      <c r="AD85" s="10">
        <f>MAX(H85/0.75-AC85,0)</f>
        <v>0</v>
      </c>
      <c r="AE85" s="14">
        <f>IF(AD85&gt;0,MIN($N$2*$D$2*J85/(AD85*1000),MIN(J85/4,6*$H$2,150)),MIN(J85/4,6*$H$2,150))</f>
        <v>85.6375</v>
      </c>
      <c r="AF85" s="10">
        <f>0.66*SQRT($B$2)*(D85*1000)*J85/1000</f>
        <v>358.8956362</v>
      </c>
      <c r="AG85" s="15" t="str">
        <f>IF(AD85&lt;=AF85,"CUMPLE","AUMENTAR SECCION")</f>
        <v>CUMPLE</v>
      </c>
      <c r="AH85" s="10">
        <f>0.75*0.083*SQRT($B$2)*(((D85*1000)*(E85*1000))^2/(2*((D85*1000)+(E85*1000))))/1000000</f>
        <v>3.388073536</v>
      </c>
      <c r="AI85" s="15" t="str">
        <f>IF(I85&gt;AH85,"SI","No")</f>
        <v>No</v>
      </c>
      <c r="AJ85" s="11">
        <f>IF(I85&gt;AH85,I85*1000000/(0.75*2*0.85*((D85*1000-2*$F$2)*(E85*1000-2*$F$2))*$D$2),0)</f>
        <v>0</v>
      </c>
      <c r="AK85" s="10">
        <f>1.25*Q85*$D$2*(J85-(1.25*Q85*$D$2/(0.85*$B$2*(D85*1000)))/2)/1000000</f>
        <v>159.8306178</v>
      </c>
      <c r="AL85" s="10">
        <f>1.25*Z85*$D$2*(J85-(1.25*Z85*$D$2/(0.85*$B$2*(D85*1000)))/2)/1000000</f>
        <v>130.9219244</v>
      </c>
      <c r="AM85" s="10">
        <f>(AK85+AL85)/B85</f>
        <v>75.52014084</v>
      </c>
      <c r="AN85" s="10">
        <f>MAX(H85,AM85)</f>
        <v>75.52014084</v>
      </c>
    </row>
    <row r="86">
      <c r="A86" s="5" t="inlineStr">
        <is>
          <t>F83</t>
        </is>
      </c>
      <c r="B86" s="6" t="n">
        <v>3.85</v>
      </c>
      <c r="C86" s="7" t="inlineStr">
        <is>
          <t>VC</t>
        </is>
      </c>
      <c r="D86" s="8">
        <f>IF(C86="VR",0.35,0.30)</f>
        <v>0.3</v>
      </c>
      <c r="E86" s="6" t="n">
        <v>0.4</v>
      </c>
      <c r="F86" s="9" t="n">
        <v>117.6</v>
      </c>
      <c r="G86" s="9" t="n">
        <v>88.2</v>
      </c>
      <c r="H86" s="9" t="n">
        <v>76.7</v>
      </c>
      <c r="I86" s="6" t="n">
        <v>0</v>
      </c>
      <c r="J86" s="10">
        <f>E86*1000-$F$2-$L$2-$H$2/2</f>
        <v>342.55</v>
      </c>
      <c r="K86" s="11">
        <f>F86*1000000/(0.9*(D86*1000)*J86^2)</f>
        <v>3.712525687</v>
      </c>
      <c r="L86" s="12">
        <f>(0.85*$B$2/$D$2)*(1-SQRT(1-2*K86/(0.85*$B$2)))</f>
        <v>0.009663278858</v>
      </c>
      <c r="M86" s="13">
        <f>L86*(D86*1000)*J86</f>
        <v>993.0468519</v>
      </c>
      <c r="N86" s="13">
        <f>MAX(0.25*SQRT($B$2)/$D$2,1.4/$D$2)*(D86*1000)*J86</f>
        <v>342.55</v>
      </c>
      <c r="O86" s="13">
        <f>MAX(M86,N86)</f>
        <v>993.0468519</v>
      </c>
      <c r="P86" s="14">
        <f>ROUNDUP(O86/$J$2,0)</f>
        <v>5</v>
      </c>
      <c r="Q86" s="13">
        <f>P86*$J$2</f>
        <v>995</v>
      </c>
      <c r="R86" s="10">
        <f>Q86*$D$2/(0.85*$B$2*(D86*1000))</f>
        <v>58.52941176</v>
      </c>
      <c r="S86" s="10">
        <f>0.9*Q86*$D$2*(J86-R86/2)/1000000</f>
        <v>117.829732</v>
      </c>
      <c r="T86" s="15" t="str">
        <f>IF(AND(S86&gt;=F86,O86&lt;=0.025*(D86*1000)*J86,O86&gt;=N86),"CUMPLE","REVISAR")</f>
        <v>CUMPLE</v>
      </c>
      <c r="U86" s="11">
        <f>G86*1000000/(0.9*(D86*1000)*J86^2)</f>
        <v>2.785183358</v>
      </c>
      <c r="V86" s="12">
        <f>(0.85*$B$2/$D$2)*(1-SQRT(1-2*U86/(0.85*$B$2)))</f>
        <v>0.007072778969</v>
      </c>
      <c r="W86" s="13">
        <f>V86*(D86*1000)*J86</f>
        <v>726.8341307</v>
      </c>
      <c r="X86" s="13">
        <f>MAX(W86,N86)</f>
        <v>726.8341307</v>
      </c>
      <c r="Y86" s="14">
        <f>ROUNDUP(X86/$J$2,0)</f>
        <v>4</v>
      </c>
      <c r="Z86" s="13">
        <f>Y86*$J$2</f>
        <v>796</v>
      </c>
      <c r="AA86" s="10">
        <f>0.9*Z86*$D$2*(J86-(Z86*$D$2/(0.85*$B$2*(D86*1000)))/2)/1000000</f>
        <v>96.02486534</v>
      </c>
      <c r="AB86" s="15" t="str">
        <f>IF(AA86&gt;=G86,"CUMPLE","REVISAR")</f>
        <v>CUMPLE</v>
      </c>
      <c r="AC86" s="10">
        <f>0.17*SQRT($B$2)*(D86*1000)*J86/1000</f>
        <v>92.44281538</v>
      </c>
      <c r="AD86" s="10">
        <f>MAX(H86/0.75-AC86,0)</f>
        <v>9.757184616</v>
      </c>
      <c r="AE86" s="14">
        <f>IF(AD86&gt;0,MIN($N$2*$D$2*J86/(AD86*1000),MIN(J86/4,6*$H$2,150)),MIN(J86/4,6*$H$2,150))</f>
        <v>85.6375</v>
      </c>
      <c r="AF86" s="10">
        <f>0.66*SQRT($B$2)*(D86*1000)*J86/1000</f>
        <v>358.8956362</v>
      </c>
      <c r="AG86" s="15" t="str">
        <f>IF(AD86&lt;=AF86,"CUMPLE","AUMENTAR SECCION")</f>
        <v>CUMPLE</v>
      </c>
      <c r="AH86" s="10">
        <f>0.75*0.083*SQRT($B$2)*(((D86*1000)*(E86*1000))^2/(2*((D86*1000)+(E86*1000))))/1000000</f>
        <v>3.388073536</v>
      </c>
      <c r="AI86" s="15" t="str">
        <f>IF(I86&gt;AH86,"SI","No")</f>
        <v>No</v>
      </c>
      <c r="AJ86" s="11">
        <f>IF(I86&gt;AH86,I86*1000000/(0.75*2*0.85*((D86*1000-2*$F$2)*(E86*1000-2*$F$2))*$D$2),0)</f>
        <v>0</v>
      </c>
      <c r="AK86" s="10">
        <f>1.25*Q86*$D$2*(J86-(1.25*Q86*$D$2/(0.85*$B$2*(D86*1000)))/2)/1000000</f>
        <v>159.8306178</v>
      </c>
      <c r="AL86" s="10">
        <f>1.25*Z86*$D$2*(J86-(1.25*Z86*$D$2/(0.85*$B$2*(D86*1000)))/2)/1000000</f>
        <v>130.9219244</v>
      </c>
      <c r="AM86" s="10">
        <f>(AK86+AL86)/B86</f>
        <v>75.52014084</v>
      </c>
      <c r="AN86" s="10">
        <f>MAX(H86,AM86)</f>
        <v>76.65</v>
      </c>
    </row>
    <row r="87">
      <c r="A87" s="5" t="inlineStr">
        <is>
          <t>F84</t>
        </is>
      </c>
      <c r="B87" s="6" t="n">
        <v>3.9</v>
      </c>
      <c r="C87" s="7" t="inlineStr">
        <is>
          <t>VC</t>
        </is>
      </c>
      <c r="D87" s="8">
        <f>IF(C87="VR",0.35,0.30)</f>
        <v>0.3</v>
      </c>
      <c r="E87" s="6" t="n">
        <v>0.4</v>
      </c>
      <c r="F87" s="9" t="n">
        <v>123.2</v>
      </c>
      <c r="G87" s="9" t="n">
        <v>84.2</v>
      </c>
      <c r="H87" s="9" t="n">
        <v>86.90000000000001</v>
      </c>
      <c r="I87" s="6" t="n">
        <v>0</v>
      </c>
      <c r="J87" s="10">
        <f>E87*1000-$F$2-$L$2-$H$2/2</f>
        <v>342.55</v>
      </c>
      <c r="K87" s="11">
        <f>F87*1000000/(0.9*(D87*1000)*J87^2)</f>
        <v>3.887704377</v>
      </c>
      <c r="L87" s="12">
        <f>(0.85*$B$2/$D$2)*(1-SQRT(1-2*K87/(0.85*$B$2)))</f>
        <v>0.01016883849</v>
      </c>
      <c r="M87" s="13">
        <f>L87*(D87*1000)*J87</f>
        <v>1045.000687</v>
      </c>
      <c r="N87" s="13">
        <f>MAX(0.25*SQRT($B$2)/$D$2,1.4/$D$2)*(D87*1000)*J87</f>
        <v>342.55</v>
      </c>
      <c r="O87" s="13">
        <f>MAX(M87,N87)</f>
        <v>1045.000687</v>
      </c>
      <c r="P87" s="14">
        <f>ROUNDUP(O87/$J$2,0)</f>
        <v>6</v>
      </c>
      <c r="Q87" s="13">
        <f>P87*$J$2</f>
        <v>1194</v>
      </c>
      <c r="R87" s="10">
        <f>Q87*$D$2/(0.85*$B$2*(D87*1000))</f>
        <v>70.23529412</v>
      </c>
      <c r="S87" s="10">
        <f>0.9*Q87*$D$2*(J87-R87/2)/1000000</f>
        <v>138.7540587</v>
      </c>
      <c r="T87" s="15" t="str">
        <f>IF(AND(S87&gt;=F87,O87&lt;=0.025*(D87*1000)*J87,O87&gt;=N87),"CUMPLE","REVISAR")</f>
        <v>CUMPLE</v>
      </c>
      <c r="U87" s="11">
        <f>G87*1000000/(0.9*(D87*1000)*J87^2)</f>
        <v>2.658297172</v>
      </c>
      <c r="V87" s="12">
        <f>(0.85*$B$2/$D$2)*(1-SQRT(1-2*U87/(0.85*$B$2)))</f>
        <v>0.006728776977</v>
      </c>
      <c r="W87" s="13">
        <f>V87*(D87*1000)*J87</f>
        <v>691.482766</v>
      </c>
      <c r="X87" s="13">
        <f>MAX(W87,N87)</f>
        <v>691.482766</v>
      </c>
      <c r="Y87" s="14">
        <f>ROUNDUP(X87/$J$2,0)</f>
        <v>4</v>
      </c>
      <c r="Z87" s="13">
        <f>Y87*$J$2</f>
        <v>796</v>
      </c>
      <c r="AA87" s="10">
        <f>0.9*Z87*$D$2*(J87-(Z87*$D$2/(0.85*$B$2*(D87*1000)))/2)/1000000</f>
        <v>96.02486534</v>
      </c>
      <c r="AB87" s="15" t="str">
        <f>IF(AA87&gt;=G87,"CUMPLE","REVISAR")</f>
        <v>CUMPLE</v>
      </c>
      <c r="AC87" s="10">
        <f>0.17*SQRT($B$2)*(D87*1000)*J87/1000</f>
        <v>92.44281538</v>
      </c>
      <c r="AD87" s="10">
        <f>MAX(H87/0.75-AC87,0)</f>
        <v>23.45051795</v>
      </c>
      <c r="AE87" s="14">
        <f>IF(AD87&gt;0,MIN($N$2*$D$2*J87/(AD87*1000),MIN(J87/4,6*$H$2,150)),MIN(J87/4,6*$H$2,150))</f>
        <v>85.6375</v>
      </c>
      <c r="AF87" s="10">
        <f>0.66*SQRT($B$2)*(D87*1000)*J87/1000</f>
        <v>358.8956362</v>
      </c>
      <c r="AG87" s="15" t="str">
        <f>IF(AD87&lt;=AF87,"CUMPLE","AUMENTAR SECCION")</f>
        <v>CUMPLE</v>
      </c>
      <c r="AH87" s="10">
        <f>0.75*0.083*SQRT($B$2)*(((D87*1000)*(E87*1000))^2/(2*((D87*1000)+(E87*1000))))/1000000</f>
        <v>3.388073536</v>
      </c>
      <c r="AI87" s="15" t="str">
        <f>IF(I87&gt;AH87,"SI","No")</f>
        <v>No</v>
      </c>
      <c r="AJ87" s="11">
        <f>IF(I87&gt;AH87,I87*1000000/(0.75*2*0.85*((D87*1000-2*$F$2)*(E87*1000-2*$F$2))*$D$2),0)</f>
        <v>0</v>
      </c>
      <c r="AK87" s="10">
        <f>1.25*Q87*$D$2*(J87-(1.25*Q87*$D$2/(0.85*$B$2*(D87*1000)))/2)/1000000</f>
        <v>187.2105962</v>
      </c>
      <c r="AL87" s="10">
        <f>1.25*Z87*$D$2*(J87-(1.25*Z87*$D$2/(0.85*$B$2*(D87*1000)))/2)/1000000</f>
        <v>130.9219244</v>
      </c>
      <c r="AM87" s="10">
        <f>(AK87+AL87)/B87</f>
        <v>81.57244118</v>
      </c>
      <c r="AN87" s="10">
        <f>MAX(H87,AM87)</f>
        <v>86.92</v>
      </c>
    </row>
    <row r="88">
      <c r="A88" s="5" t="inlineStr">
        <is>
          <t>F85</t>
        </is>
      </c>
      <c r="B88" s="6" t="n">
        <v>3.9</v>
      </c>
      <c r="C88" s="7" t="inlineStr">
        <is>
          <t>VC</t>
        </is>
      </c>
      <c r="D88" s="8">
        <f>IF(C88="VR",0.35,0.30)</f>
        <v>0.3</v>
      </c>
      <c r="E88" s="6" t="n">
        <v>0.4</v>
      </c>
      <c r="F88" s="9" t="n">
        <v>123.2</v>
      </c>
      <c r="G88" s="9" t="n">
        <v>84.2</v>
      </c>
      <c r="H88" s="9" t="n">
        <v>87</v>
      </c>
      <c r="I88" s="6" t="n">
        <v>0</v>
      </c>
      <c r="J88" s="10">
        <f>E88*1000-$F$2-$L$2-$H$2/2</f>
        <v>342.55</v>
      </c>
      <c r="K88" s="11">
        <f>F88*1000000/(0.9*(D88*1000)*J88^2)</f>
        <v>3.890229475</v>
      </c>
      <c r="L88" s="12">
        <f>(0.85*$B$2/$D$2)*(1-SQRT(1-2*K88/(0.85*$B$2)))</f>
        <v>0.01017616603</v>
      </c>
      <c r="M88" s="13">
        <f>L88*(D88*1000)*J88</f>
        <v>1045.753702</v>
      </c>
      <c r="N88" s="13">
        <f>MAX(0.25*SQRT($B$2)/$D$2,1.4/$D$2)*(D88*1000)*J88</f>
        <v>342.55</v>
      </c>
      <c r="O88" s="13">
        <f>MAX(M88,N88)</f>
        <v>1045.753702</v>
      </c>
      <c r="P88" s="14">
        <f>ROUNDUP(O88/$J$2,0)</f>
        <v>6</v>
      </c>
      <c r="Q88" s="13">
        <f>P88*$J$2</f>
        <v>1194</v>
      </c>
      <c r="R88" s="10">
        <f>Q88*$D$2/(0.85*$B$2*(D88*1000))</f>
        <v>70.23529412</v>
      </c>
      <c r="S88" s="10">
        <f>0.9*Q88*$D$2*(J88-R88/2)/1000000</f>
        <v>138.7540587</v>
      </c>
      <c r="T88" s="15" t="str">
        <f>IF(AND(S88&gt;=F88,O88&lt;=0.025*(D88*1000)*J88,O88&gt;=N88),"CUMPLE","REVISAR")</f>
        <v>CUMPLE</v>
      </c>
      <c r="U88" s="11">
        <f>G88*1000000/(0.9*(D88*1000)*J88^2)</f>
        <v>2.656403348</v>
      </c>
      <c r="V88" s="12">
        <f>(0.85*$B$2/$D$2)*(1-SQRT(1-2*U88/(0.85*$B$2)))</f>
        <v>0.006723660565</v>
      </c>
      <c r="W88" s="13">
        <f>V88*(D88*1000)*J88</f>
        <v>690.956978</v>
      </c>
      <c r="X88" s="13">
        <f>MAX(W88,N88)</f>
        <v>690.956978</v>
      </c>
      <c r="Y88" s="14">
        <f>ROUNDUP(X88/$J$2,0)</f>
        <v>4</v>
      </c>
      <c r="Z88" s="13">
        <f>Y88*$J$2</f>
        <v>796</v>
      </c>
      <c r="AA88" s="10">
        <f>0.9*Z88*$D$2*(J88-(Z88*$D$2/(0.85*$B$2*(D88*1000)))/2)/1000000</f>
        <v>96.02486534</v>
      </c>
      <c r="AB88" s="15" t="str">
        <f>IF(AA88&gt;=G88,"CUMPLE","REVISAR")</f>
        <v>CUMPLE</v>
      </c>
      <c r="AC88" s="10">
        <f>0.17*SQRT($B$2)*(D88*1000)*J88/1000</f>
        <v>92.44281538</v>
      </c>
      <c r="AD88" s="10">
        <f>MAX(H88/0.75-AC88,0)</f>
        <v>23.54385128</v>
      </c>
      <c r="AE88" s="14">
        <f>IF(AD88&gt;0,MIN($N$2*$D$2*J88/(AD88*1000),MIN(J88/4,6*$H$2,150)),MIN(J88/4,6*$H$2,150))</f>
        <v>85.6375</v>
      </c>
      <c r="AF88" s="10">
        <f>0.66*SQRT($B$2)*(D88*1000)*J88/1000</f>
        <v>358.8956362</v>
      </c>
      <c r="AG88" s="15" t="str">
        <f>IF(AD88&lt;=AF88,"CUMPLE","AUMENTAR SECCION")</f>
        <v>CUMPLE</v>
      </c>
      <c r="AH88" s="10">
        <f>0.75*0.083*SQRT($B$2)*(((D88*1000)*(E88*1000))^2/(2*((D88*1000)+(E88*1000))))/1000000</f>
        <v>3.388073536</v>
      </c>
      <c r="AI88" s="15" t="str">
        <f>IF(I88&gt;AH88,"SI","No")</f>
        <v>No</v>
      </c>
      <c r="AJ88" s="11">
        <f>IF(I88&gt;AH88,I88*1000000/(0.75*2*0.85*((D88*1000-2*$F$2)*(E88*1000-2*$F$2))*$D$2),0)</f>
        <v>0</v>
      </c>
      <c r="AK88" s="10">
        <f>1.25*Q88*$D$2*(J88-(1.25*Q88*$D$2/(0.85*$B$2*(D88*1000)))/2)/1000000</f>
        <v>187.2105962</v>
      </c>
      <c r="AL88" s="10">
        <f>1.25*Z88*$D$2*(J88-(1.25*Z88*$D$2/(0.85*$B$2*(D88*1000)))/2)/1000000</f>
        <v>130.9219244</v>
      </c>
      <c r="AM88" s="10">
        <f>(AK88+AL88)/B88</f>
        <v>81.57244118</v>
      </c>
      <c r="AN88" s="10">
        <f>MAX(H88,AM88)</f>
        <v>86.99</v>
      </c>
    </row>
    <row r="89">
      <c r="A89" s="5" t="inlineStr">
        <is>
          <t>F86</t>
        </is>
      </c>
      <c r="B89" s="6" t="n">
        <v>3.85</v>
      </c>
      <c r="C89" s="7" t="inlineStr">
        <is>
          <t>VC</t>
        </is>
      </c>
      <c r="D89" s="8">
        <f>IF(C89="VR",0.35,0.30)</f>
        <v>0.3</v>
      </c>
      <c r="E89" s="6" t="n">
        <v>0.4</v>
      </c>
      <c r="F89" s="9" t="n">
        <v>117.6</v>
      </c>
      <c r="G89" s="9" t="n">
        <v>88.2</v>
      </c>
      <c r="H89" s="9" t="n">
        <v>76.7</v>
      </c>
      <c r="I89" s="6" t="n">
        <v>0</v>
      </c>
      <c r="J89" s="10">
        <f>E89*1000-$F$2-$L$2-$H$2/2</f>
        <v>342.55</v>
      </c>
      <c r="K89" s="11">
        <f>F89*1000000/(0.9*(D89*1000)*J89^2)</f>
        <v>3.712525687</v>
      </c>
      <c r="L89" s="12">
        <f>(0.85*$B$2/$D$2)*(1-SQRT(1-2*K89/(0.85*$B$2)))</f>
        <v>0.009663278858</v>
      </c>
      <c r="M89" s="13">
        <f>L89*(D89*1000)*J89</f>
        <v>993.0468519</v>
      </c>
      <c r="N89" s="13">
        <f>MAX(0.25*SQRT($B$2)/$D$2,1.4/$D$2)*(D89*1000)*J89</f>
        <v>342.55</v>
      </c>
      <c r="O89" s="13">
        <f>MAX(M89,N89)</f>
        <v>993.0468519</v>
      </c>
      <c r="P89" s="14">
        <f>ROUNDUP(O89/$J$2,0)</f>
        <v>5</v>
      </c>
      <c r="Q89" s="13">
        <f>P89*$J$2</f>
        <v>995</v>
      </c>
      <c r="R89" s="10">
        <f>Q89*$D$2/(0.85*$B$2*(D89*1000))</f>
        <v>58.52941176</v>
      </c>
      <c r="S89" s="10">
        <f>0.9*Q89*$D$2*(J89-R89/2)/1000000</f>
        <v>117.829732</v>
      </c>
      <c r="T89" s="15" t="str">
        <f>IF(AND(S89&gt;=F89,O89&lt;=0.025*(D89*1000)*J89,O89&gt;=N89),"CUMPLE","REVISAR")</f>
        <v>CUMPLE</v>
      </c>
      <c r="U89" s="11">
        <f>G89*1000000/(0.9*(D89*1000)*J89^2)</f>
        <v>2.785498996</v>
      </c>
      <c r="V89" s="12">
        <f>(0.85*$B$2/$D$2)*(1-SQRT(1-2*U89/(0.85*$B$2)))</f>
        <v>0.007073637671</v>
      </c>
      <c r="W89" s="13">
        <f>V89*(D89*1000)*J89</f>
        <v>726.9223752</v>
      </c>
      <c r="X89" s="13">
        <f>MAX(W89,N89)</f>
        <v>726.9223752</v>
      </c>
      <c r="Y89" s="14">
        <f>ROUNDUP(X89/$J$2,0)</f>
        <v>4</v>
      </c>
      <c r="Z89" s="13">
        <f>Y89*$J$2</f>
        <v>796</v>
      </c>
      <c r="AA89" s="10">
        <f>0.9*Z89*$D$2*(J89-(Z89*$D$2/(0.85*$B$2*(D89*1000)))/2)/1000000</f>
        <v>96.02486534</v>
      </c>
      <c r="AB89" s="15" t="str">
        <f>IF(AA89&gt;=G89,"CUMPLE","REVISAR")</f>
        <v>CUMPLE</v>
      </c>
      <c r="AC89" s="10">
        <f>0.17*SQRT($B$2)*(D89*1000)*J89/1000</f>
        <v>92.44281538</v>
      </c>
      <c r="AD89" s="10">
        <f>MAX(H89/0.75-AC89,0)</f>
        <v>9.757184616</v>
      </c>
      <c r="AE89" s="14">
        <f>IF(AD89&gt;0,MIN($N$2*$D$2*J89/(AD89*1000),MIN(J89/4,6*$H$2,150)),MIN(J89/4,6*$H$2,150))</f>
        <v>85.6375</v>
      </c>
      <c r="AF89" s="10">
        <f>0.66*SQRT($B$2)*(D89*1000)*J89/1000</f>
        <v>358.8956362</v>
      </c>
      <c r="AG89" s="15" t="str">
        <f>IF(AD89&lt;=AF89,"CUMPLE","AUMENTAR SECCION")</f>
        <v>CUMPLE</v>
      </c>
      <c r="AH89" s="10">
        <f>0.75*0.083*SQRT($B$2)*(((D89*1000)*(E89*1000))^2/(2*((D89*1000)+(E89*1000))))/1000000</f>
        <v>3.388073536</v>
      </c>
      <c r="AI89" s="15" t="str">
        <f>IF(I89&gt;AH89,"SI","No")</f>
        <v>No</v>
      </c>
      <c r="AJ89" s="11">
        <f>IF(I89&gt;AH89,I89*1000000/(0.75*2*0.85*((D89*1000-2*$F$2)*(E89*1000-2*$F$2))*$D$2),0)</f>
        <v>0</v>
      </c>
      <c r="AK89" s="10">
        <f>1.25*Q89*$D$2*(J89-(1.25*Q89*$D$2/(0.85*$B$2*(D89*1000)))/2)/1000000</f>
        <v>159.8306178</v>
      </c>
      <c r="AL89" s="10">
        <f>1.25*Z89*$D$2*(J89-(1.25*Z89*$D$2/(0.85*$B$2*(D89*1000)))/2)/1000000</f>
        <v>130.9219244</v>
      </c>
      <c r="AM89" s="10">
        <f>(AK89+AL89)/B89</f>
        <v>75.52014084</v>
      </c>
      <c r="AN89" s="10">
        <f>MAX(H89,AM89)</f>
        <v>76.65</v>
      </c>
    </row>
    <row r="90">
      <c r="A90" s="5" t="inlineStr">
        <is>
          <t>F87</t>
        </is>
      </c>
      <c r="B90" s="6" t="n">
        <v>3.85</v>
      </c>
      <c r="C90" s="7" t="inlineStr">
        <is>
          <t>VC</t>
        </is>
      </c>
      <c r="D90" s="8">
        <f>IF(C90="VR",0.35,0.30)</f>
        <v>0.3</v>
      </c>
      <c r="E90" s="6" t="n">
        <v>0.4</v>
      </c>
      <c r="F90" s="9" t="n">
        <v>121.5</v>
      </c>
      <c r="G90" s="9" t="n">
        <v>93.3</v>
      </c>
      <c r="H90" s="9" t="n">
        <v>76.90000000000001</v>
      </c>
      <c r="I90" s="6" t="n">
        <v>0</v>
      </c>
      <c r="J90" s="10">
        <f>E90*1000-$F$2-$L$2-$H$2/2</f>
        <v>342.55</v>
      </c>
      <c r="K90" s="11">
        <f>F90*1000000/(0.9*(D90*1000)*J90^2)</f>
        <v>3.835308589</v>
      </c>
      <c r="L90" s="12">
        <f>(0.85*$B$2/$D$2)*(1-SQRT(1-2*K90/(0.85*$B$2)))</f>
        <v>0.01001705176</v>
      </c>
      <c r="M90" s="13">
        <f>L90*(D90*1000)*J90</f>
        <v>1029.402324</v>
      </c>
      <c r="N90" s="13">
        <f>MAX(0.25*SQRT($B$2)/$D$2,1.4/$D$2)*(D90*1000)*J90</f>
        <v>342.55</v>
      </c>
      <c r="O90" s="13">
        <f>MAX(M90,N90)</f>
        <v>1029.402324</v>
      </c>
      <c r="P90" s="14">
        <f>ROUNDUP(O90/$J$2,0)</f>
        <v>6</v>
      </c>
      <c r="Q90" s="13">
        <f>P90*$J$2</f>
        <v>1194</v>
      </c>
      <c r="R90" s="10">
        <f>Q90*$D$2/(0.85*$B$2*(D90*1000))</f>
        <v>70.23529412</v>
      </c>
      <c r="S90" s="10">
        <f>0.9*Q90*$D$2*(J90-R90/2)/1000000</f>
        <v>138.7540587</v>
      </c>
      <c r="T90" s="15" t="str">
        <f>IF(AND(S90&gt;=F90,O90&lt;=0.025*(D90*1000)*J90,O90&gt;=N90),"CUMPLE","REVISAR")</f>
        <v>CUMPLE</v>
      </c>
      <c r="U90" s="11">
        <f>G90*1000000/(0.9*(D90*1000)*J90^2)</f>
        <v>2.944580185</v>
      </c>
      <c r="V90" s="12">
        <f>(0.85*$B$2/$D$2)*(1-SQRT(1-2*U90/(0.85*$B$2)))</f>
        <v>0.007508332125</v>
      </c>
      <c r="W90" s="13">
        <f>V90*(D90*1000)*J90</f>
        <v>771.5937508</v>
      </c>
      <c r="X90" s="13">
        <f>MAX(W90,N90)</f>
        <v>771.5937508</v>
      </c>
      <c r="Y90" s="14">
        <f>ROUNDUP(X90/$J$2,0)</f>
        <v>4</v>
      </c>
      <c r="Z90" s="13">
        <f>Y90*$J$2</f>
        <v>796</v>
      </c>
      <c r="AA90" s="10">
        <f>0.9*Z90*$D$2*(J90-(Z90*$D$2/(0.85*$B$2*(D90*1000)))/2)/1000000</f>
        <v>96.02486534</v>
      </c>
      <c r="AB90" s="15" t="str">
        <f>IF(AA90&gt;=G90,"CUMPLE","REVISAR")</f>
        <v>CUMPLE</v>
      </c>
      <c r="AC90" s="10">
        <f>0.17*SQRT($B$2)*(D90*1000)*J90/1000</f>
        <v>92.44281538</v>
      </c>
      <c r="AD90" s="10">
        <f>MAX(H90/0.75-AC90,0)</f>
        <v>10.14385128</v>
      </c>
      <c r="AE90" s="14">
        <f>IF(AD90&gt;0,MIN($N$2*$D$2*J90/(AD90*1000),MIN(J90/4,6*$H$2,150)),MIN(J90/4,6*$H$2,150))</f>
        <v>85.6375</v>
      </c>
      <c r="AF90" s="10">
        <f>0.66*SQRT($B$2)*(D90*1000)*J90/1000</f>
        <v>358.8956362</v>
      </c>
      <c r="AG90" s="15" t="str">
        <f>IF(AD90&lt;=AF90,"CUMPLE","AUMENTAR SECCION")</f>
        <v>CUMPLE</v>
      </c>
      <c r="AH90" s="10">
        <f>0.75*0.083*SQRT($B$2)*(((D90*1000)*(E90*1000))^2/(2*((D90*1000)+(E90*1000))))/1000000</f>
        <v>3.388073536</v>
      </c>
      <c r="AI90" s="15" t="str">
        <f>IF(I90&gt;AH90,"SI","No")</f>
        <v>No</v>
      </c>
      <c r="AJ90" s="11">
        <f>IF(I90&gt;AH90,I90*1000000/(0.75*2*0.85*((D90*1000-2*$F$2)*(E90*1000-2*$F$2))*$D$2),0)</f>
        <v>0</v>
      </c>
      <c r="AK90" s="10">
        <f>1.25*Q90*$D$2*(J90-(1.25*Q90*$D$2/(0.85*$B$2*(D90*1000)))/2)/1000000</f>
        <v>187.2105962</v>
      </c>
      <c r="AL90" s="10">
        <f>1.25*Z90*$D$2*(J90-(1.25*Z90*$D$2/(0.85*$B$2*(D90*1000)))/2)/1000000</f>
        <v>130.9219244</v>
      </c>
      <c r="AM90" s="10">
        <f>(AK90+AL90)/B90</f>
        <v>82.63182353</v>
      </c>
      <c r="AN90" s="10">
        <f>MAX(H90,AM90)</f>
        <v>82.63182353</v>
      </c>
    </row>
    <row r="91">
      <c r="A91" s="5" t="inlineStr">
        <is>
          <t>F88</t>
        </is>
      </c>
      <c r="B91" s="6" t="n">
        <v>3.85</v>
      </c>
      <c r="C91" s="7" t="inlineStr">
        <is>
          <t>VC</t>
        </is>
      </c>
      <c r="D91" s="8">
        <f>IF(C91="VR",0.35,0.30)</f>
        <v>0.3</v>
      </c>
      <c r="E91" s="6" t="n">
        <v>0.4</v>
      </c>
      <c r="F91" s="9" t="n">
        <v>121.5</v>
      </c>
      <c r="G91" s="9" t="n">
        <v>93.3</v>
      </c>
      <c r="H91" s="9" t="n">
        <v>76.90000000000001</v>
      </c>
      <c r="I91" s="6" t="n">
        <v>0</v>
      </c>
      <c r="J91" s="10">
        <f>E91*1000-$F$2-$L$2-$H$2/2</f>
        <v>342.55</v>
      </c>
      <c r="K91" s="11">
        <f>F91*1000000/(0.9*(D91*1000)*J91^2)</f>
        <v>3.835939863</v>
      </c>
      <c r="L91" s="12">
        <f>(0.85*$B$2/$D$2)*(1-SQRT(1-2*K91/(0.85*$B$2)))</f>
        <v>0.01001887757</v>
      </c>
      <c r="M91" s="13">
        <f>L91*(D91*1000)*J91</f>
        <v>1029.589954</v>
      </c>
      <c r="N91" s="13">
        <f>MAX(0.25*SQRT($B$2)/$D$2,1.4/$D$2)*(D91*1000)*J91</f>
        <v>342.55</v>
      </c>
      <c r="O91" s="13">
        <f>MAX(M91,N91)</f>
        <v>1029.589954</v>
      </c>
      <c r="P91" s="14">
        <f>ROUNDUP(O91/$J$2,0)</f>
        <v>6</v>
      </c>
      <c r="Q91" s="13">
        <f>P91*$J$2</f>
        <v>1194</v>
      </c>
      <c r="R91" s="10">
        <f>Q91*$D$2/(0.85*$B$2*(D91*1000))</f>
        <v>70.23529412</v>
      </c>
      <c r="S91" s="10">
        <f>0.9*Q91*$D$2*(J91-R91/2)/1000000</f>
        <v>138.7540587</v>
      </c>
      <c r="T91" s="15" t="str">
        <f>IF(AND(S91&gt;=F91,O91&lt;=0.025*(D91*1000)*J91,O91&gt;=N91),"CUMPLE","REVISAR")</f>
        <v>CUMPLE</v>
      </c>
      <c r="U91" s="11">
        <f>G91*1000000/(0.9*(D91*1000)*J91^2)</f>
        <v>2.944264547</v>
      </c>
      <c r="V91" s="12">
        <f>(0.85*$B$2/$D$2)*(1-SQRT(1-2*U91/(0.85*$B$2)))</f>
        <v>0.00750746583</v>
      </c>
      <c r="W91" s="13">
        <f>V91*(D91*1000)*J91</f>
        <v>771.504726</v>
      </c>
      <c r="X91" s="13">
        <f>MAX(W91,N91)</f>
        <v>771.504726</v>
      </c>
      <c r="Y91" s="14">
        <f>ROUNDUP(X91/$J$2,0)</f>
        <v>4</v>
      </c>
      <c r="Z91" s="13">
        <f>Y91*$J$2</f>
        <v>796</v>
      </c>
      <c r="AA91" s="10">
        <f>0.9*Z91*$D$2*(J91-(Z91*$D$2/(0.85*$B$2*(D91*1000)))/2)/1000000</f>
        <v>96.02486534</v>
      </c>
      <c r="AB91" s="15" t="str">
        <f>IF(AA91&gt;=G91,"CUMPLE","REVISAR")</f>
        <v>CUMPLE</v>
      </c>
      <c r="AC91" s="10">
        <f>0.17*SQRT($B$2)*(D91*1000)*J91/1000</f>
        <v>92.44281538</v>
      </c>
      <c r="AD91" s="10">
        <f>MAX(H91/0.75-AC91,0)</f>
        <v>10.14385128</v>
      </c>
      <c r="AE91" s="14">
        <f>IF(AD91&gt;0,MIN($N$2*$D$2*J91/(AD91*1000),MIN(J91/4,6*$H$2,150)),MIN(J91/4,6*$H$2,150))</f>
        <v>85.6375</v>
      </c>
      <c r="AF91" s="10">
        <f>0.66*SQRT($B$2)*(D91*1000)*J91/1000</f>
        <v>358.8956362</v>
      </c>
      <c r="AG91" s="15" t="str">
        <f>IF(AD91&lt;=AF91,"CUMPLE","AUMENTAR SECCION")</f>
        <v>CUMPLE</v>
      </c>
      <c r="AH91" s="10">
        <f>0.75*0.083*SQRT($B$2)*(((D91*1000)*(E91*1000))^2/(2*((D91*1000)+(E91*1000))))/1000000</f>
        <v>3.388073536</v>
      </c>
      <c r="AI91" s="15" t="str">
        <f>IF(I91&gt;AH91,"SI","No")</f>
        <v>No</v>
      </c>
      <c r="AJ91" s="11">
        <f>IF(I91&gt;AH91,I91*1000000/(0.75*2*0.85*((D91*1000-2*$F$2)*(E91*1000-2*$F$2))*$D$2),0)</f>
        <v>0</v>
      </c>
      <c r="AK91" s="10">
        <f>1.25*Q91*$D$2*(J91-(1.25*Q91*$D$2/(0.85*$B$2*(D91*1000)))/2)/1000000</f>
        <v>187.2105962</v>
      </c>
      <c r="AL91" s="10">
        <f>1.25*Z91*$D$2*(J91-(1.25*Z91*$D$2/(0.85*$B$2*(D91*1000)))/2)/1000000</f>
        <v>130.9219244</v>
      </c>
      <c r="AM91" s="10">
        <f>(AK91+AL91)/B91</f>
        <v>82.63182353</v>
      </c>
      <c r="AN91" s="10">
        <f>MAX(H91,AM91)</f>
        <v>82.63182353</v>
      </c>
    </row>
    <row r="92">
      <c r="A92" s="5" t="inlineStr">
        <is>
          <t>F89</t>
        </is>
      </c>
      <c r="B92" s="6" t="n">
        <v>4</v>
      </c>
      <c r="C92" s="7" t="inlineStr">
        <is>
          <t>VC</t>
        </is>
      </c>
      <c r="D92" s="8">
        <f>IF(C92="VR",0.35,0.30)</f>
        <v>0.3</v>
      </c>
      <c r="E92" s="6" t="n">
        <v>0.4</v>
      </c>
      <c r="F92" s="9" t="n">
        <v>102.5</v>
      </c>
      <c r="G92" s="9" t="n">
        <v>87.2</v>
      </c>
      <c r="H92" s="9" t="n">
        <v>59.5</v>
      </c>
      <c r="I92" s="6" t="n">
        <v>0</v>
      </c>
      <c r="J92" s="10">
        <f>E92*1000-$F$2-$L$2-$H$2/2</f>
        <v>342.55</v>
      </c>
      <c r="K92" s="11">
        <f>F92*1000000/(0.9*(D92*1000)*J92^2)</f>
        <v>3.233703933</v>
      </c>
      <c r="L92" s="12">
        <f>(0.85*$B$2/$D$2)*(1-SQRT(1-2*K92/(0.85*$B$2)))</f>
        <v>0.008308375387</v>
      </c>
      <c r="M92" s="13">
        <f>L92*(D92*1000)*J92</f>
        <v>853.8101966</v>
      </c>
      <c r="N92" s="13">
        <f>MAX(0.25*SQRT($B$2)/$D$2,1.4/$D$2)*(D92*1000)*J92</f>
        <v>342.55</v>
      </c>
      <c r="O92" s="13">
        <f>MAX(M92,N92)</f>
        <v>853.8101966</v>
      </c>
      <c r="P92" s="14">
        <f>ROUNDUP(O92/$J$2,0)</f>
        <v>5</v>
      </c>
      <c r="Q92" s="13">
        <f>P92*$J$2</f>
        <v>995</v>
      </c>
      <c r="R92" s="10">
        <f>Q92*$D$2/(0.85*$B$2*(D92*1000))</f>
        <v>58.52941176</v>
      </c>
      <c r="S92" s="10">
        <f>0.9*Q92*$D$2*(J92-R92/2)/1000000</f>
        <v>117.829732</v>
      </c>
      <c r="T92" s="15" t="str">
        <f>IF(AND(S92&gt;=F92,O92&lt;=0.025*(D92*1000)*J92,O92&gt;=N92),"CUMPLE","REVISAR")</f>
        <v>CUMPLE</v>
      </c>
      <c r="U92" s="11">
        <f>G92*1000000/(0.9*(D92*1000)*J92^2)</f>
        <v>2.752357081</v>
      </c>
      <c r="V92" s="12">
        <f>(0.85*$B$2/$D$2)*(1-SQRT(1-2*U92/(0.85*$B$2)))</f>
        <v>0.006983555036</v>
      </c>
      <c r="W92" s="13">
        <f>V92*(D92*1000)*J92</f>
        <v>717.6650333</v>
      </c>
      <c r="X92" s="13">
        <f>MAX(W92,N92)</f>
        <v>717.6650333</v>
      </c>
      <c r="Y92" s="14">
        <f>ROUNDUP(X92/$J$2,0)</f>
        <v>4</v>
      </c>
      <c r="Z92" s="13">
        <f>Y92*$J$2</f>
        <v>796</v>
      </c>
      <c r="AA92" s="10">
        <f>0.9*Z92*$D$2*(J92-(Z92*$D$2/(0.85*$B$2*(D92*1000)))/2)/1000000</f>
        <v>96.02486534</v>
      </c>
      <c r="AB92" s="15" t="str">
        <f>IF(AA92&gt;=G92,"CUMPLE","REVISAR")</f>
        <v>CUMPLE</v>
      </c>
      <c r="AC92" s="10">
        <f>0.17*SQRT($B$2)*(D92*1000)*J92/1000</f>
        <v>92.44281538</v>
      </c>
      <c r="AD92" s="10">
        <f>MAX(H92/0.75-AC92,0)</f>
        <v>0</v>
      </c>
      <c r="AE92" s="14">
        <f>IF(AD92&gt;0,MIN($N$2*$D$2*J92/(AD92*1000),MIN(J92/4,6*$H$2,150)),MIN(J92/4,6*$H$2,150))</f>
        <v>85.6375</v>
      </c>
      <c r="AF92" s="10">
        <f>0.66*SQRT($B$2)*(D92*1000)*J92/1000</f>
        <v>358.8956362</v>
      </c>
      <c r="AG92" s="15" t="str">
        <f>IF(AD92&lt;=AF92,"CUMPLE","AUMENTAR SECCION")</f>
        <v>CUMPLE</v>
      </c>
      <c r="AH92" s="10">
        <f>0.75*0.083*SQRT($B$2)*(((D92*1000)*(E92*1000))^2/(2*((D92*1000)+(E92*1000))))/1000000</f>
        <v>3.388073536</v>
      </c>
      <c r="AI92" s="15" t="str">
        <f>IF(I92&gt;AH92,"SI","No")</f>
        <v>No</v>
      </c>
      <c r="AJ92" s="11">
        <f>IF(I92&gt;AH92,I92*1000000/(0.75*2*0.85*((D92*1000-2*$F$2)*(E92*1000-2*$F$2))*$D$2),0)</f>
        <v>0</v>
      </c>
      <c r="AK92" s="10">
        <f>1.25*Q92*$D$2*(J92-(1.25*Q92*$D$2/(0.85*$B$2*(D92*1000)))/2)/1000000</f>
        <v>159.8306178</v>
      </c>
      <c r="AL92" s="10">
        <f>1.25*Z92*$D$2*(J92-(1.25*Z92*$D$2/(0.85*$B$2*(D92*1000)))/2)/1000000</f>
        <v>130.9219244</v>
      </c>
      <c r="AM92" s="10">
        <f>(AK92+AL92)/B92</f>
        <v>72.68813556</v>
      </c>
      <c r="AN92" s="10">
        <f>MAX(H92,AM92)</f>
        <v>72.68813556</v>
      </c>
    </row>
    <row r="93">
      <c r="A93" s="5" t="inlineStr">
        <is>
          <t>F90</t>
        </is>
      </c>
      <c r="B93" s="6" t="n">
        <v>3.81</v>
      </c>
      <c r="C93" s="7" t="inlineStr">
        <is>
          <t>VC</t>
        </is>
      </c>
      <c r="D93" s="8">
        <f>IF(C93="VR",0.35,0.30)</f>
        <v>0.3</v>
      </c>
      <c r="E93" s="6" t="n">
        <v>0.4</v>
      </c>
      <c r="F93" s="9" t="n">
        <v>105.7</v>
      </c>
      <c r="G93" s="9" t="n">
        <v>74.2</v>
      </c>
      <c r="H93" s="9" t="n">
        <v>68.40000000000001</v>
      </c>
      <c r="I93" s="6" t="n">
        <v>6.47</v>
      </c>
      <c r="J93" s="10">
        <f>E93*1000-$F$2-$L$2-$H$2/2</f>
        <v>342.55</v>
      </c>
      <c r="K93" s="11">
        <f>F93*1000000/(0.9*(D93*1000)*J93^2)</f>
        <v>3.335970412</v>
      </c>
      <c r="L93" s="12">
        <f>(0.85*$B$2/$D$2)*(1-SQRT(1-2*K93/(0.85*$B$2)))</f>
        <v>0.00859454773</v>
      </c>
      <c r="M93" s="13">
        <f>L93*(D93*1000)*J93</f>
        <v>883.2186975</v>
      </c>
      <c r="N93" s="13">
        <f>MAX(0.25*SQRT($B$2)/$D$2,1.4/$D$2)*(D93*1000)*J93</f>
        <v>342.55</v>
      </c>
      <c r="O93" s="13">
        <f>MAX(M93,N93)</f>
        <v>883.2186975</v>
      </c>
      <c r="P93" s="14">
        <f>ROUNDUP(O93/$J$2,0)</f>
        <v>5</v>
      </c>
      <c r="Q93" s="13">
        <f>P93*$J$2</f>
        <v>995</v>
      </c>
      <c r="R93" s="10">
        <f>Q93*$D$2/(0.85*$B$2*(D93*1000))</f>
        <v>58.52941176</v>
      </c>
      <c r="S93" s="10">
        <f>0.9*Q93*$D$2*(J93-R93/2)/1000000</f>
        <v>117.829732</v>
      </c>
      <c r="T93" s="15" t="str">
        <f>IF(AND(S93&gt;=F93,O93&lt;=0.025*(D93*1000)*J93,O93&gt;=N93),"CUMPLE","REVISAR")</f>
        <v>CUMPLE</v>
      </c>
      <c r="U93" s="11">
        <f>G93*1000000/(0.9*(D93*1000)*J93^2)</f>
        <v>2.342028617</v>
      </c>
      <c r="V93" s="12">
        <f>(0.85*$B$2/$D$2)*(1-SQRT(1-2*U93/(0.85*$B$2)))</f>
        <v>0.00588148049</v>
      </c>
      <c r="W93" s="13">
        <f>V93*(D93*1000)*J93</f>
        <v>604.4103425</v>
      </c>
      <c r="X93" s="13">
        <f>MAX(W93,N93)</f>
        <v>604.4103425</v>
      </c>
      <c r="Y93" s="14">
        <f>ROUNDUP(X93/$J$2,0)</f>
        <v>4</v>
      </c>
      <c r="Z93" s="13">
        <f>Y93*$J$2</f>
        <v>796</v>
      </c>
      <c r="AA93" s="10">
        <f>0.9*Z93*$D$2*(J93-(Z93*$D$2/(0.85*$B$2*(D93*1000)))/2)/1000000</f>
        <v>96.02486534</v>
      </c>
      <c r="AB93" s="15" t="str">
        <f>IF(AA93&gt;=G93,"CUMPLE","REVISAR")</f>
        <v>CUMPLE</v>
      </c>
      <c r="AC93" s="10">
        <f>0.17*SQRT($B$2)*(D93*1000)*J93/1000</f>
        <v>92.44281538</v>
      </c>
      <c r="AD93" s="10">
        <f>MAX(H93/0.75-AC93,0)</f>
        <v>0</v>
      </c>
      <c r="AE93" s="14">
        <f>IF(AD93&gt;0,MIN($N$2*$D$2*J93/(AD93*1000),MIN(J93/4,6*$H$2,150)),MIN(J93/4,6*$H$2,150))</f>
        <v>85.6375</v>
      </c>
      <c r="AF93" s="10">
        <f>0.66*SQRT($B$2)*(D93*1000)*J93/1000</f>
        <v>358.8956362</v>
      </c>
      <c r="AG93" s="15" t="str">
        <f>IF(AD93&lt;=AF93,"CUMPLE","AUMENTAR SECCION")</f>
        <v>CUMPLE</v>
      </c>
      <c r="AH93" s="10">
        <f>0.75*0.083*SQRT($B$2)*(((D93*1000)*(E93*1000))^2/(2*((D93*1000)+(E93*1000))))/1000000</f>
        <v>3.388073536</v>
      </c>
      <c r="AI93" s="15" t="str">
        <f>IF(I93&gt;AH93,"SI","No")</f>
        <v>SI</v>
      </c>
      <c r="AJ93" s="11">
        <f>IF(I93&gt;AH93,I93*1000000/(0.75*2*0.85*((D93*1000-2*$F$2)*(E93*1000-2*$F$2))*$D$2),0)</f>
        <v>0.1716747305</v>
      </c>
      <c r="AK93" s="10">
        <f>1.25*Q93*$D$2*(J93-(1.25*Q93*$D$2/(0.85*$B$2*(D93*1000)))/2)/1000000</f>
        <v>159.8306178</v>
      </c>
      <c r="AL93" s="10">
        <f>1.25*Z93*$D$2*(J93-(1.25*Z93*$D$2/(0.85*$B$2*(D93*1000)))/2)/1000000</f>
        <v>130.9219244</v>
      </c>
      <c r="AM93" s="10">
        <f>(AK93+AL93)/B93</f>
        <v>76.21298617</v>
      </c>
      <c r="AN93" s="10">
        <f>MAX(H93,AM93)</f>
        <v>76.21298617</v>
      </c>
    </row>
    <row r="94">
      <c r="A94" s="5" t="inlineStr">
        <is>
          <t>F91</t>
        </is>
      </c>
      <c r="B94" s="6" t="n">
        <v>3.81</v>
      </c>
      <c r="C94" s="7" t="inlineStr">
        <is>
          <t>VC</t>
        </is>
      </c>
      <c r="D94" s="8">
        <f>IF(C94="VR",0.35,0.30)</f>
        <v>0.3</v>
      </c>
      <c r="E94" s="6" t="n">
        <v>0.4</v>
      </c>
      <c r="F94" s="9" t="n">
        <v>105.7</v>
      </c>
      <c r="G94" s="9" t="n">
        <v>74.2</v>
      </c>
      <c r="H94" s="9" t="n">
        <v>68.3</v>
      </c>
      <c r="I94" s="6" t="n">
        <v>6.47</v>
      </c>
      <c r="J94" s="10">
        <f>E94*1000-$F$2-$L$2-$H$2/2</f>
        <v>342.55</v>
      </c>
      <c r="K94" s="11">
        <f>F94*1000000/(0.9*(D94*1000)*J94^2)</f>
        <v>3.3350235</v>
      </c>
      <c r="L94" s="12">
        <f>(0.85*$B$2/$D$2)*(1-SQRT(1-2*K94/(0.85*$B$2)))</f>
        <v>0.008591890173</v>
      </c>
      <c r="M94" s="13">
        <f>L94*(D94*1000)*J94</f>
        <v>882.9455936</v>
      </c>
      <c r="N94" s="13">
        <f>MAX(0.25*SQRT($B$2)/$D$2,1.4/$D$2)*(D94*1000)*J94</f>
        <v>342.55</v>
      </c>
      <c r="O94" s="13">
        <f>MAX(M94,N94)</f>
        <v>882.9455936</v>
      </c>
      <c r="P94" s="14">
        <f>ROUNDUP(O94/$J$2,0)</f>
        <v>5</v>
      </c>
      <c r="Q94" s="13">
        <f>P94*$J$2</f>
        <v>995</v>
      </c>
      <c r="R94" s="10">
        <f>Q94*$D$2/(0.85*$B$2*(D94*1000))</f>
        <v>58.52941176</v>
      </c>
      <c r="S94" s="10">
        <f>0.9*Q94*$D$2*(J94-R94/2)/1000000</f>
        <v>117.829732</v>
      </c>
      <c r="T94" s="15" t="str">
        <f>IF(AND(S94&gt;=F94,O94&lt;=0.025*(D94*1000)*J94,O94&gt;=N94),"CUMPLE","REVISAR")</f>
        <v>CUMPLE</v>
      </c>
      <c r="U94" s="11">
        <f>G94*1000000/(0.9*(D94*1000)*J94^2)</f>
        <v>2.342028617</v>
      </c>
      <c r="V94" s="12">
        <f>(0.85*$B$2/$D$2)*(1-SQRT(1-2*U94/(0.85*$B$2)))</f>
        <v>0.00588148049</v>
      </c>
      <c r="W94" s="13">
        <f>V94*(D94*1000)*J94</f>
        <v>604.4103425</v>
      </c>
      <c r="X94" s="13">
        <f>MAX(W94,N94)</f>
        <v>604.4103425</v>
      </c>
      <c r="Y94" s="14">
        <f>ROUNDUP(X94/$J$2,0)</f>
        <v>4</v>
      </c>
      <c r="Z94" s="13">
        <f>Y94*$J$2</f>
        <v>796</v>
      </c>
      <c r="AA94" s="10">
        <f>0.9*Z94*$D$2*(J94-(Z94*$D$2/(0.85*$B$2*(D94*1000)))/2)/1000000</f>
        <v>96.02486534</v>
      </c>
      <c r="AB94" s="15" t="str">
        <f>IF(AA94&gt;=G94,"CUMPLE","REVISAR")</f>
        <v>CUMPLE</v>
      </c>
      <c r="AC94" s="10">
        <f>0.17*SQRT($B$2)*(D94*1000)*J94/1000</f>
        <v>92.44281538</v>
      </c>
      <c r="AD94" s="10">
        <f>MAX(H94/0.75-AC94,0)</f>
        <v>0</v>
      </c>
      <c r="AE94" s="14">
        <f>IF(AD94&gt;0,MIN($N$2*$D$2*J94/(AD94*1000),MIN(J94/4,6*$H$2,150)),MIN(J94/4,6*$H$2,150))</f>
        <v>85.6375</v>
      </c>
      <c r="AF94" s="10">
        <f>0.66*SQRT($B$2)*(D94*1000)*J94/1000</f>
        <v>358.8956362</v>
      </c>
      <c r="AG94" s="15" t="str">
        <f>IF(AD94&lt;=AF94,"CUMPLE","AUMENTAR SECCION")</f>
        <v>CUMPLE</v>
      </c>
      <c r="AH94" s="10">
        <f>0.75*0.083*SQRT($B$2)*(((D94*1000)*(E94*1000))^2/(2*((D94*1000)+(E94*1000))))/1000000</f>
        <v>3.388073536</v>
      </c>
      <c r="AI94" s="15" t="str">
        <f>IF(I94&gt;AH94,"SI","No")</f>
        <v>SI</v>
      </c>
      <c r="AJ94" s="11">
        <f>IF(I94&gt;AH94,I94*1000000/(0.75*2*0.85*((D94*1000-2*$F$2)*(E94*1000-2*$F$2))*$D$2),0)</f>
        <v>0.1716482047</v>
      </c>
      <c r="AK94" s="10">
        <f>1.25*Q94*$D$2*(J94-(1.25*Q94*$D$2/(0.85*$B$2*(D94*1000)))/2)/1000000</f>
        <v>159.8306178</v>
      </c>
      <c r="AL94" s="10">
        <f>1.25*Z94*$D$2*(J94-(1.25*Z94*$D$2/(0.85*$B$2*(D94*1000)))/2)/1000000</f>
        <v>130.9219244</v>
      </c>
      <c r="AM94" s="10">
        <f>(AK94+AL94)/B94</f>
        <v>76.21298617</v>
      </c>
      <c r="AN94" s="10">
        <f>MAX(H94,AM94)</f>
        <v>76.21298617</v>
      </c>
    </row>
    <row r="95">
      <c r="A95" s="5" t="inlineStr">
        <is>
          <t>F92</t>
        </is>
      </c>
      <c r="B95" s="6" t="n">
        <v>4</v>
      </c>
      <c r="C95" s="7" t="inlineStr">
        <is>
          <t>VC</t>
        </is>
      </c>
      <c r="D95" s="8">
        <f>IF(C95="VR",0.35,0.30)</f>
        <v>0.3</v>
      </c>
      <c r="E95" s="6" t="n">
        <v>0.4</v>
      </c>
      <c r="F95" s="9" t="n">
        <v>102.5</v>
      </c>
      <c r="G95" s="9" t="n">
        <v>87.2</v>
      </c>
      <c r="H95" s="9" t="n">
        <v>59.5</v>
      </c>
      <c r="I95" s="6" t="n">
        <v>0</v>
      </c>
      <c r="J95" s="10">
        <f>E95*1000-$F$2-$L$2-$H$2/2</f>
        <v>342.55</v>
      </c>
      <c r="K95" s="11">
        <f>F95*1000000/(0.9*(D95*1000)*J95^2)</f>
        <v>3.233703933</v>
      </c>
      <c r="L95" s="12">
        <f>(0.85*$B$2/$D$2)*(1-SQRT(1-2*K95/(0.85*$B$2)))</f>
        <v>0.008308375387</v>
      </c>
      <c r="M95" s="13">
        <f>L95*(D95*1000)*J95</f>
        <v>853.8101966</v>
      </c>
      <c r="N95" s="13">
        <f>MAX(0.25*SQRT($B$2)/$D$2,1.4/$D$2)*(D95*1000)*J95</f>
        <v>342.55</v>
      </c>
      <c r="O95" s="13">
        <f>MAX(M95,N95)</f>
        <v>853.8101966</v>
      </c>
      <c r="P95" s="14">
        <f>ROUNDUP(O95/$J$2,0)</f>
        <v>5</v>
      </c>
      <c r="Q95" s="13">
        <f>P95*$J$2</f>
        <v>995</v>
      </c>
      <c r="R95" s="10">
        <f>Q95*$D$2/(0.85*$B$2*(D95*1000))</f>
        <v>58.52941176</v>
      </c>
      <c r="S95" s="10">
        <f>0.9*Q95*$D$2*(J95-R95/2)/1000000</f>
        <v>117.829732</v>
      </c>
      <c r="T95" s="15" t="str">
        <f>IF(AND(S95&gt;=F95,O95&lt;=0.025*(D95*1000)*J95,O95&gt;=N95),"CUMPLE","REVISAR")</f>
        <v>CUMPLE</v>
      </c>
      <c r="U95" s="11">
        <f>G95*1000000/(0.9*(D95*1000)*J95^2)</f>
        <v>2.752672718</v>
      </c>
      <c r="V95" s="12">
        <f>(0.85*$B$2/$D$2)*(1-SQRT(1-2*U95/(0.85*$B$2)))</f>
        <v>0.006984412196</v>
      </c>
      <c r="W95" s="13">
        <f>V95*(D95*1000)*J95</f>
        <v>717.7531193</v>
      </c>
      <c r="X95" s="13">
        <f>MAX(W95,N95)</f>
        <v>717.7531193</v>
      </c>
      <c r="Y95" s="14">
        <f>ROUNDUP(X95/$J$2,0)</f>
        <v>4</v>
      </c>
      <c r="Z95" s="13">
        <f>Y95*$J$2</f>
        <v>796</v>
      </c>
      <c r="AA95" s="10">
        <f>0.9*Z95*$D$2*(J95-(Z95*$D$2/(0.85*$B$2*(D95*1000)))/2)/1000000</f>
        <v>96.02486534</v>
      </c>
      <c r="AB95" s="15" t="str">
        <f>IF(AA95&gt;=G95,"CUMPLE","REVISAR")</f>
        <v>CUMPLE</v>
      </c>
      <c r="AC95" s="10">
        <f>0.17*SQRT($B$2)*(D95*1000)*J95/1000</f>
        <v>92.44281538</v>
      </c>
      <c r="AD95" s="10">
        <f>MAX(H95/0.75-AC95,0)</f>
        <v>0</v>
      </c>
      <c r="AE95" s="14">
        <f>IF(AD95&gt;0,MIN($N$2*$D$2*J95/(AD95*1000),MIN(J95/4,6*$H$2,150)),MIN(J95/4,6*$H$2,150))</f>
        <v>85.6375</v>
      </c>
      <c r="AF95" s="10">
        <f>0.66*SQRT($B$2)*(D95*1000)*J95/1000</f>
        <v>358.8956362</v>
      </c>
      <c r="AG95" s="15" t="str">
        <f>IF(AD95&lt;=AF95,"CUMPLE","AUMENTAR SECCION")</f>
        <v>CUMPLE</v>
      </c>
      <c r="AH95" s="10">
        <f>0.75*0.083*SQRT($B$2)*(((D95*1000)*(E95*1000))^2/(2*((D95*1000)+(E95*1000))))/1000000</f>
        <v>3.388073536</v>
      </c>
      <c r="AI95" s="15" t="str">
        <f>IF(I95&gt;AH95,"SI","No")</f>
        <v>No</v>
      </c>
      <c r="AJ95" s="11">
        <f>IF(I95&gt;AH95,I95*1000000/(0.75*2*0.85*((D95*1000-2*$F$2)*(E95*1000-2*$F$2))*$D$2),0)</f>
        <v>0</v>
      </c>
      <c r="AK95" s="10">
        <f>1.25*Q95*$D$2*(J95-(1.25*Q95*$D$2/(0.85*$B$2*(D95*1000)))/2)/1000000</f>
        <v>159.8306178</v>
      </c>
      <c r="AL95" s="10">
        <f>1.25*Z95*$D$2*(J95-(1.25*Z95*$D$2/(0.85*$B$2*(D95*1000)))/2)/1000000</f>
        <v>130.9219244</v>
      </c>
      <c r="AM95" s="10">
        <f>(AK95+AL95)/B95</f>
        <v>72.68813556</v>
      </c>
      <c r="AN95" s="10">
        <f>MAX(H95,AM95)</f>
        <v>72.68813556</v>
      </c>
    </row>
    <row r="96">
      <c r="A96" s="5" t="inlineStr">
        <is>
          <t>F93</t>
        </is>
      </c>
      <c r="B96" s="6" t="n">
        <v>4</v>
      </c>
      <c r="C96" s="7" t="inlineStr">
        <is>
          <t>VC</t>
        </is>
      </c>
      <c r="D96" s="8">
        <f>IF(C96="VR",0.35,0.30)</f>
        <v>0.3</v>
      </c>
      <c r="E96" s="6" t="n">
        <v>0.4</v>
      </c>
      <c r="F96" s="9" t="n">
        <v>88.2</v>
      </c>
      <c r="G96" s="9" t="n">
        <v>70.59999999999999</v>
      </c>
      <c r="H96" s="9" t="n">
        <v>52.1</v>
      </c>
      <c r="I96" s="6" t="n">
        <v>0</v>
      </c>
      <c r="J96" s="10">
        <f>E96*1000-$F$2-$L$2-$H$2/2</f>
        <v>342.55</v>
      </c>
      <c r="K96" s="11">
        <f>F96*1000000/(0.9*(D96*1000)*J96^2)</f>
        <v>2.783605172</v>
      </c>
      <c r="L96" s="12">
        <f>(0.85*$B$2/$D$2)*(1-SQRT(1-2*K96/(0.85*$B$2)))</f>
        <v>0.007068485684</v>
      </c>
      <c r="M96" s="13">
        <f>L96*(D96*1000)*J96</f>
        <v>726.3929313</v>
      </c>
      <c r="N96" s="13">
        <f>MAX(0.25*SQRT($B$2)/$D$2,1.4/$D$2)*(D96*1000)*J96</f>
        <v>342.55</v>
      </c>
      <c r="O96" s="13">
        <f>MAX(M96,N96)</f>
        <v>726.3929313</v>
      </c>
      <c r="P96" s="14">
        <f>ROUNDUP(O96/$J$2,0)</f>
        <v>4</v>
      </c>
      <c r="Q96" s="13">
        <f>P96*$J$2</f>
        <v>796</v>
      </c>
      <c r="R96" s="10">
        <f>Q96*$D$2/(0.85*$B$2*(D96*1000))</f>
        <v>46.82352941</v>
      </c>
      <c r="S96" s="10">
        <f>0.9*Q96*$D$2*(J96-R96/2)/1000000</f>
        <v>96.02486534</v>
      </c>
      <c r="T96" s="15" t="str">
        <f>IF(AND(S96&gt;=F96,O96&lt;=0.025*(D96*1000)*J96,O96&gt;=N96),"CUMPLE","REVISAR")</f>
        <v>CUMPLE</v>
      </c>
      <c r="U96" s="11">
        <f>G96*1000000/(0.9*(D96*1000)*J96^2)</f>
        <v>2.229346108</v>
      </c>
      <c r="V96" s="12">
        <f>(0.85*$B$2/$D$2)*(1-SQRT(1-2*U96/(0.85*$B$2)))</f>
        <v>0.005582994849</v>
      </c>
      <c r="W96" s="13">
        <f>V96*(D96*1000)*J96</f>
        <v>573.7364657</v>
      </c>
      <c r="X96" s="13">
        <f>MAX(W96,N96)</f>
        <v>573.7364657</v>
      </c>
      <c r="Y96" s="14">
        <f>ROUNDUP(X96/$J$2,0)</f>
        <v>3</v>
      </c>
      <c r="Z96" s="13">
        <f>Y96*$J$2</f>
        <v>597</v>
      </c>
      <c r="AA96" s="10">
        <f>0.9*Z96*$D$2*(J96-(Z96*$D$2/(0.85*$B$2*(D96*1000)))/2)/1000000</f>
        <v>73.33945883</v>
      </c>
      <c r="AB96" s="15" t="str">
        <f>IF(AA96&gt;=G96,"CUMPLE","REVISAR")</f>
        <v>CUMPLE</v>
      </c>
      <c r="AC96" s="10">
        <f>0.17*SQRT($B$2)*(D96*1000)*J96/1000</f>
        <v>92.44281538</v>
      </c>
      <c r="AD96" s="10">
        <f>MAX(H96/0.75-AC96,0)</f>
        <v>0</v>
      </c>
      <c r="AE96" s="14">
        <f>IF(AD96&gt;0,MIN($N$2*$D$2*J96/(AD96*1000),MIN(J96/4,6*$H$2,150)),MIN(J96/4,6*$H$2,150))</f>
        <v>85.6375</v>
      </c>
      <c r="AF96" s="10">
        <f>0.66*SQRT($B$2)*(D96*1000)*J96/1000</f>
        <v>358.8956362</v>
      </c>
      <c r="AG96" s="15" t="str">
        <f>IF(AD96&lt;=AF96,"CUMPLE","AUMENTAR SECCION")</f>
        <v>CUMPLE</v>
      </c>
      <c r="AH96" s="10">
        <f>0.75*0.083*SQRT($B$2)*(((D96*1000)*(E96*1000))^2/(2*((D96*1000)+(E96*1000))))/1000000</f>
        <v>3.388073536</v>
      </c>
      <c r="AI96" s="15" t="str">
        <f>IF(I96&gt;AH96,"SI","No")</f>
        <v>No</v>
      </c>
      <c r="AJ96" s="11">
        <f>IF(I96&gt;AH96,I96*1000000/(0.75*2*0.85*((D96*1000-2*$F$2)*(E96*1000-2*$F$2))*$D$2),0)</f>
        <v>0</v>
      </c>
      <c r="AK96" s="10">
        <f>1.25*Q96*$D$2*(J96-(1.25*Q96*$D$2/(0.85*$B$2*(D96*1000)))/2)/1000000</f>
        <v>130.9219244</v>
      </c>
      <c r="AL96" s="10">
        <f>1.25*Z96*$D$2*(J96-(1.25*Z96*$D$2/(0.85*$B$2*(D96*1000)))/2)/1000000</f>
        <v>100.4845159</v>
      </c>
      <c r="AM96" s="10">
        <f>(AK96+AL96)/B96</f>
        <v>57.85161008</v>
      </c>
      <c r="AN96" s="10">
        <f>MAX(H96,AM96)</f>
        <v>57.85161008</v>
      </c>
    </row>
    <row r="97">
      <c r="A97" s="5" t="inlineStr">
        <is>
          <t>F94</t>
        </is>
      </c>
      <c r="B97" s="6" t="n">
        <v>4</v>
      </c>
      <c r="C97" s="7" t="inlineStr">
        <is>
          <t>VC</t>
        </is>
      </c>
      <c r="D97" s="8">
        <f>IF(C97="VR",0.35,0.30)</f>
        <v>0.3</v>
      </c>
      <c r="E97" s="6" t="n">
        <v>0.4</v>
      </c>
      <c r="F97" s="9" t="n">
        <v>88.2</v>
      </c>
      <c r="G97" s="9" t="n">
        <v>70.59999999999999</v>
      </c>
      <c r="H97" s="9" t="n">
        <v>52.1</v>
      </c>
      <c r="I97" s="6" t="n">
        <v>0</v>
      </c>
      <c r="J97" s="10">
        <f>E97*1000-$F$2-$L$2-$H$2/2</f>
        <v>342.55</v>
      </c>
      <c r="K97" s="11">
        <f>F97*1000000/(0.9*(D97*1000)*J97^2)</f>
        <v>2.783605172</v>
      </c>
      <c r="L97" s="12">
        <f>(0.85*$B$2/$D$2)*(1-SQRT(1-2*K97/(0.85*$B$2)))</f>
        <v>0.007068485684</v>
      </c>
      <c r="M97" s="13">
        <f>L97*(D97*1000)*J97</f>
        <v>726.3929313</v>
      </c>
      <c r="N97" s="13">
        <f>MAX(0.25*SQRT($B$2)/$D$2,1.4/$D$2)*(D97*1000)*J97</f>
        <v>342.55</v>
      </c>
      <c r="O97" s="13">
        <f>MAX(M97,N97)</f>
        <v>726.3929313</v>
      </c>
      <c r="P97" s="14">
        <f>ROUNDUP(O97/$J$2,0)</f>
        <v>4</v>
      </c>
      <c r="Q97" s="13">
        <f>P97*$J$2</f>
        <v>796</v>
      </c>
      <c r="R97" s="10">
        <f>Q97*$D$2/(0.85*$B$2*(D97*1000))</f>
        <v>46.82352941</v>
      </c>
      <c r="S97" s="10">
        <f>0.9*Q97*$D$2*(J97-R97/2)/1000000</f>
        <v>96.02486534</v>
      </c>
      <c r="T97" s="15" t="str">
        <f>IF(AND(S97&gt;=F97,O97&lt;=0.025*(D97*1000)*J97,O97&gt;=N97),"CUMPLE","REVISAR")</f>
        <v>CUMPLE</v>
      </c>
      <c r="U97" s="11">
        <f>G97*1000000/(0.9*(D97*1000)*J97^2)</f>
        <v>2.229346108</v>
      </c>
      <c r="V97" s="12">
        <f>(0.85*$B$2/$D$2)*(1-SQRT(1-2*U97/(0.85*$B$2)))</f>
        <v>0.005582994849</v>
      </c>
      <c r="W97" s="13">
        <f>V97*(D97*1000)*J97</f>
        <v>573.7364657</v>
      </c>
      <c r="X97" s="13">
        <f>MAX(W97,N97)</f>
        <v>573.7364657</v>
      </c>
      <c r="Y97" s="14">
        <f>ROUNDUP(X97/$J$2,0)</f>
        <v>3</v>
      </c>
      <c r="Z97" s="13">
        <f>Y97*$J$2</f>
        <v>597</v>
      </c>
      <c r="AA97" s="10">
        <f>0.9*Z97*$D$2*(J97-(Z97*$D$2/(0.85*$B$2*(D97*1000)))/2)/1000000</f>
        <v>73.33945883</v>
      </c>
      <c r="AB97" s="15" t="str">
        <f>IF(AA97&gt;=G97,"CUMPLE","REVISAR")</f>
        <v>CUMPLE</v>
      </c>
      <c r="AC97" s="10">
        <f>0.17*SQRT($B$2)*(D97*1000)*J97/1000</f>
        <v>92.44281538</v>
      </c>
      <c r="AD97" s="10">
        <f>MAX(H97/0.75-AC97,0)</f>
        <v>0</v>
      </c>
      <c r="AE97" s="14">
        <f>IF(AD97&gt;0,MIN($N$2*$D$2*J97/(AD97*1000),MIN(J97/4,6*$H$2,150)),MIN(J97/4,6*$H$2,150))</f>
        <v>85.6375</v>
      </c>
      <c r="AF97" s="10">
        <f>0.66*SQRT($B$2)*(D97*1000)*J97/1000</f>
        <v>358.8956362</v>
      </c>
      <c r="AG97" s="15" t="str">
        <f>IF(AD97&lt;=AF97,"CUMPLE","AUMENTAR SECCION")</f>
        <v>CUMPLE</v>
      </c>
      <c r="AH97" s="10">
        <f>0.75*0.083*SQRT($B$2)*(((D97*1000)*(E97*1000))^2/(2*((D97*1000)+(E97*1000))))/1000000</f>
        <v>3.388073536</v>
      </c>
      <c r="AI97" s="15" t="str">
        <f>IF(I97&gt;AH97,"SI","No")</f>
        <v>No</v>
      </c>
      <c r="AJ97" s="11">
        <f>IF(I97&gt;AH97,I97*1000000/(0.75*2*0.85*((D97*1000-2*$F$2)*(E97*1000-2*$F$2))*$D$2),0)</f>
        <v>0</v>
      </c>
      <c r="AK97" s="10">
        <f>1.25*Q97*$D$2*(J97-(1.25*Q97*$D$2/(0.85*$B$2*(D97*1000)))/2)/1000000</f>
        <v>130.9219244</v>
      </c>
      <c r="AL97" s="10">
        <f>1.25*Z97*$D$2*(J97-(1.25*Z97*$D$2/(0.85*$B$2*(D97*1000)))/2)/1000000</f>
        <v>100.4845159</v>
      </c>
      <c r="AM97" s="10">
        <f>(AK97+AL97)/B97</f>
        <v>57.85161008</v>
      </c>
      <c r="AN97" s="10">
        <f>MAX(H97,AM97)</f>
        <v>57.85161008</v>
      </c>
    </row>
    <row r="98">
      <c r="A98" s="5" t="inlineStr">
        <is>
          <t>F95</t>
        </is>
      </c>
      <c r="B98" s="6" t="n">
        <v>3.75</v>
      </c>
      <c r="C98" s="7" t="inlineStr">
        <is>
          <t>VC</t>
        </is>
      </c>
      <c r="D98" s="8">
        <f>IF(C98="VR",0.35,0.30)</f>
        <v>0.3</v>
      </c>
      <c r="E98" s="6" t="n">
        <v>0.4</v>
      </c>
      <c r="F98" s="9" t="n">
        <v>100.1</v>
      </c>
      <c r="G98" s="9" t="n">
        <v>84.2</v>
      </c>
      <c r="H98" s="9" t="n">
        <v>61.6</v>
      </c>
      <c r="I98" s="6" t="n">
        <v>0</v>
      </c>
      <c r="J98" s="10">
        <f>E98*1000-$F$2-$L$2-$H$2/2</f>
        <v>342.55</v>
      </c>
      <c r="K98" s="11">
        <f>F98*1000000/(0.9*(D98*1000)*J98^2)</f>
        <v>3.158266623</v>
      </c>
      <c r="L98" s="12">
        <f>(0.85*$B$2/$D$2)*(1-SQRT(1-2*K98/(0.85*$B$2)))</f>
        <v>0.008098359768</v>
      </c>
      <c r="M98" s="13">
        <f>L98*(D98*1000)*J98</f>
        <v>832.2279415</v>
      </c>
      <c r="N98" s="13">
        <f>MAX(0.25*SQRT($B$2)/$D$2,1.4/$D$2)*(D98*1000)*J98</f>
        <v>342.55</v>
      </c>
      <c r="O98" s="13">
        <f>MAX(M98,N98)</f>
        <v>832.2279415</v>
      </c>
      <c r="P98" s="14">
        <f>ROUNDUP(O98/$J$2,0)</f>
        <v>5</v>
      </c>
      <c r="Q98" s="13">
        <f>P98*$J$2</f>
        <v>995</v>
      </c>
      <c r="R98" s="10">
        <f>Q98*$D$2/(0.85*$B$2*(D98*1000))</f>
        <v>58.52941176</v>
      </c>
      <c r="S98" s="10">
        <f>0.9*Q98*$D$2*(J98-R98/2)/1000000</f>
        <v>117.829732</v>
      </c>
      <c r="T98" s="15" t="str">
        <f>IF(AND(S98&gt;=F98,O98&lt;=0.025*(D98*1000)*J98,O98&gt;=N98),"CUMPLE","REVISAR")</f>
        <v>CUMPLE</v>
      </c>
      <c r="U98" s="11">
        <f>G98*1000000/(0.9*(D98*1000)*J98^2)</f>
        <v>2.658297172</v>
      </c>
      <c r="V98" s="12">
        <f>(0.85*$B$2/$D$2)*(1-SQRT(1-2*U98/(0.85*$B$2)))</f>
        <v>0.006728776977</v>
      </c>
      <c r="W98" s="13">
        <f>V98*(D98*1000)*J98</f>
        <v>691.482766</v>
      </c>
      <c r="X98" s="13">
        <f>MAX(W98,N98)</f>
        <v>691.482766</v>
      </c>
      <c r="Y98" s="14">
        <f>ROUNDUP(X98/$J$2,0)</f>
        <v>4</v>
      </c>
      <c r="Z98" s="13">
        <f>Y98*$J$2</f>
        <v>796</v>
      </c>
      <c r="AA98" s="10">
        <f>0.9*Z98*$D$2*(J98-(Z98*$D$2/(0.85*$B$2*(D98*1000)))/2)/1000000</f>
        <v>96.02486534</v>
      </c>
      <c r="AB98" s="15" t="str">
        <f>IF(AA98&gt;=G98,"CUMPLE","REVISAR")</f>
        <v>CUMPLE</v>
      </c>
      <c r="AC98" s="10">
        <f>0.17*SQRT($B$2)*(D98*1000)*J98/1000</f>
        <v>92.44281538</v>
      </c>
      <c r="AD98" s="10">
        <f>MAX(H98/0.75-AC98,0)</f>
        <v>0</v>
      </c>
      <c r="AE98" s="14">
        <f>IF(AD98&gt;0,MIN($N$2*$D$2*J98/(AD98*1000),MIN(J98/4,6*$H$2,150)),MIN(J98/4,6*$H$2,150))</f>
        <v>85.6375</v>
      </c>
      <c r="AF98" s="10">
        <f>0.66*SQRT($B$2)*(D98*1000)*J98/1000</f>
        <v>358.8956362</v>
      </c>
      <c r="AG98" s="15" t="str">
        <f>IF(AD98&lt;=AF98,"CUMPLE","AUMENTAR SECCION")</f>
        <v>CUMPLE</v>
      </c>
      <c r="AH98" s="10">
        <f>0.75*0.083*SQRT($B$2)*(((D98*1000)*(E98*1000))^2/(2*((D98*1000)+(E98*1000))))/1000000</f>
        <v>3.388073536</v>
      </c>
      <c r="AI98" s="15" t="str">
        <f>IF(I98&gt;AH98,"SI","No")</f>
        <v>No</v>
      </c>
      <c r="AJ98" s="11">
        <f>IF(I98&gt;AH98,I98*1000000/(0.75*2*0.85*((D98*1000-2*$F$2)*(E98*1000-2*$F$2))*$D$2),0)</f>
        <v>0</v>
      </c>
      <c r="AK98" s="10">
        <f>1.25*Q98*$D$2*(J98-(1.25*Q98*$D$2/(0.85*$B$2*(D98*1000)))/2)/1000000</f>
        <v>159.8306178</v>
      </c>
      <c r="AL98" s="10">
        <f>1.25*Z98*$D$2*(J98-(1.25*Z98*$D$2/(0.85*$B$2*(D98*1000)))/2)/1000000</f>
        <v>130.9219244</v>
      </c>
      <c r="AM98" s="10">
        <f>(AK98+AL98)/B98</f>
        <v>77.53401126</v>
      </c>
      <c r="AN98" s="10">
        <f>MAX(H98,AM98)</f>
        <v>77.53401126</v>
      </c>
    </row>
    <row r="99">
      <c r="A99" s="5" t="inlineStr">
        <is>
          <t>F96</t>
        </is>
      </c>
      <c r="B99" s="6" t="n">
        <v>3.75</v>
      </c>
      <c r="C99" s="7" t="inlineStr">
        <is>
          <t>VC</t>
        </is>
      </c>
      <c r="D99" s="8">
        <f>IF(C99="VR",0.35,0.30)</f>
        <v>0.3</v>
      </c>
      <c r="E99" s="6" t="n">
        <v>0.4</v>
      </c>
      <c r="F99" s="9" t="n">
        <v>100</v>
      </c>
      <c r="G99" s="9" t="n">
        <v>84.2</v>
      </c>
      <c r="H99" s="9" t="n">
        <v>61.6</v>
      </c>
      <c r="I99" s="6" t="n">
        <v>0</v>
      </c>
      <c r="J99" s="10">
        <f>E99*1000-$F$2-$L$2-$H$2/2</f>
        <v>342.55</v>
      </c>
      <c r="K99" s="11">
        <f>F99*1000000/(0.9*(D99*1000)*J99^2)</f>
        <v>3.157950986</v>
      </c>
      <c r="L99" s="12">
        <f>(0.85*$B$2/$D$2)*(1-SQRT(1-2*K99/(0.85*$B$2)))</f>
        <v>0.008097482949</v>
      </c>
      <c r="M99" s="13">
        <f>L99*(D99*1000)*J99</f>
        <v>832.1378353</v>
      </c>
      <c r="N99" s="13">
        <f>MAX(0.25*SQRT($B$2)/$D$2,1.4/$D$2)*(D99*1000)*J99</f>
        <v>342.55</v>
      </c>
      <c r="O99" s="13">
        <f>MAX(M99,N99)</f>
        <v>832.1378353</v>
      </c>
      <c r="P99" s="14">
        <f>ROUNDUP(O99/$J$2,0)</f>
        <v>5</v>
      </c>
      <c r="Q99" s="13">
        <f>P99*$J$2</f>
        <v>995</v>
      </c>
      <c r="R99" s="10">
        <f>Q99*$D$2/(0.85*$B$2*(D99*1000))</f>
        <v>58.52941176</v>
      </c>
      <c r="S99" s="10">
        <f>0.9*Q99*$D$2*(J99-R99/2)/1000000</f>
        <v>117.829732</v>
      </c>
      <c r="T99" s="15" t="str">
        <f>IF(AND(S99&gt;=F99,O99&lt;=0.025*(D99*1000)*J99,O99&gt;=N99),"CUMPLE","REVISAR")</f>
        <v>CUMPLE</v>
      </c>
      <c r="U99" s="11">
        <f>G99*1000000/(0.9*(D99*1000)*J99^2)</f>
        <v>2.658297172</v>
      </c>
      <c r="V99" s="12">
        <f>(0.85*$B$2/$D$2)*(1-SQRT(1-2*U99/(0.85*$B$2)))</f>
        <v>0.006728776977</v>
      </c>
      <c r="W99" s="13">
        <f>V99*(D99*1000)*J99</f>
        <v>691.482766</v>
      </c>
      <c r="X99" s="13">
        <f>MAX(W99,N99)</f>
        <v>691.482766</v>
      </c>
      <c r="Y99" s="14">
        <f>ROUNDUP(X99/$J$2,0)</f>
        <v>4</v>
      </c>
      <c r="Z99" s="13">
        <f>Y99*$J$2</f>
        <v>796</v>
      </c>
      <c r="AA99" s="10">
        <f>0.9*Z99*$D$2*(J99-(Z99*$D$2/(0.85*$B$2*(D99*1000)))/2)/1000000</f>
        <v>96.02486534</v>
      </c>
      <c r="AB99" s="15" t="str">
        <f>IF(AA99&gt;=G99,"CUMPLE","REVISAR")</f>
        <v>CUMPLE</v>
      </c>
      <c r="AC99" s="10">
        <f>0.17*SQRT($B$2)*(D99*1000)*J99/1000</f>
        <v>92.44281538</v>
      </c>
      <c r="AD99" s="10">
        <f>MAX(H99/0.75-AC99,0)</f>
        <v>0</v>
      </c>
      <c r="AE99" s="14">
        <f>IF(AD99&gt;0,MIN($N$2*$D$2*J99/(AD99*1000),MIN(J99/4,6*$H$2,150)),MIN(J99/4,6*$H$2,150))</f>
        <v>85.6375</v>
      </c>
      <c r="AF99" s="10">
        <f>0.66*SQRT($B$2)*(D99*1000)*J99/1000</f>
        <v>358.8956362</v>
      </c>
      <c r="AG99" s="15" t="str">
        <f>IF(AD99&lt;=AF99,"CUMPLE","AUMENTAR SECCION")</f>
        <v>CUMPLE</v>
      </c>
      <c r="AH99" s="10">
        <f>0.75*0.083*SQRT($B$2)*(((D99*1000)*(E99*1000))^2/(2*((D99*1000)+(E99*1000))))/1000000</f>
        <v>3.388073536</v>
      </c>
      <c r="AI99" s="15" t="str">
        <f>IF(I99&gt;AH99,"SI","No")</f>
        <v>No</v>
      </c>
      <c r="AJ99" s="11">
        <f>IF(I99&gt;AH99,I99*1000000/(0.75*2*0.85*((D99*1000-2*$F$2)*(E99*1000-2*$F$2))*$D$2),0)</f>
        <v>0</v>
      </c>
      <c r="AK99" s="10">
        <f>1.25*Q99*$D$2*(J99-(1.25*Q99*$D$2/(0.85*$B$2*(D99*1000)))/2)/1000000</f>
        <v>159.8306178</v>
      </c>
      <c r="AL99" s="10">
        <f>1.25*Z99*$D$2*(J99-(1.25*Z99*$D$2/(0.85*$B$2*(D99*1000)))/2)/1000000</f>
        <v>130.9219244</v>
      </c>
      <c r="AM99" s="10">
        <f>(AK99+AL99)/B99</f>
        <v>77.53401126</v>
      </c>
      <c r="AN99" s="10">
        <f>MAX(H99,AM99)</f>
        <v>77.53401126</v>
      </c>
    </row>
    <row r="100">
      <c r="A100" s="5" t="inlineStr">
        <is>
          <t>F97</t>
        </is>
      </c>
      <c r="B100" s="6" t="n">
        <v>3.75</v>
      </c>
      <c r="C100" s="7" t="inlineStr">
        <is>
          <t>VC</t>
        </is>
      </c>
      <c r="D100" s="8">
        <f>IF(C100="VR",0.35,0.30)</f>
        <v>0.3</v>
      </c>
      <c r="E100" s="6" t="n">
        <v>0.4</v>
      </c>
      <c r="F100" s="9" t="n">
        <v>100.1</v>
      </c>
      <c r="G100" s="9" t="n">
        <v>84.2</v>
      </c>
      <c r="H100" s="9" t="n">
        <v>61.6</v>
      </c>
      <c r="I100" s="6" t="n">
        <v>0</v>
      </c>
      <c r="J100" s="10">
        <f>E100*1000-$F$2-$L$2-$H$2/2</f>
        <v>342.55</v>
      </c>
      <c r="K100" s="11">
        <f>F100*1000000/(0.9*(D100*1000)*J100^2)</f>
        <v>3.158266623</v>
      </c>
      <c r="L100" s="12">
        <f>(0.85*$B$2/$D$2)*(1-SQRT(1-2*K100/(0.85*$B$2)))</f>
        <v>0.008098359768</v>
      </c>
      <c r="M100" s="13">
        <f>L100*(D100*1000)*J100</f>
        <v>832.2279415</v>
      </c>
      <c r="N100" s="13">
        <f>MAX(0.25*SQRT($B$2)/$D$2,1.4/$D$2)*(D100*1000)*J100</f>
        <v>342.55</v>
      </c>
      <c r="O100" s="13">
        <f>MAX(M100,N100)</f>
        <v>832.2279415</v>
      </c>
      <c r="P100" s="14">
        <f>ROUNDUP(O100/$J$2,0)</f>
        <v>5</v>
      </c>
      <c r="Q100" s="13">
        <f>P100*$J$2</f>
        <v>995</v>
      </c>
      <c r="R100" s="10">
        <f>Q100*$D$2/(0.85*$B$2*(D100*1000))</f>
        <v>58.52941176</v>
      </c>
      <c r="S100" s="10">
        <f>0.9*Q100*$D$2*(J100-R100/2)/1000000</f>
        <v>117.829732</v>
      </c>
      <c r="T100" s="15" t="str">
        <f>IF(AND(S100&gt;=F100,O100&lt;=0.025*(D100*1000)*J100,O100&gt;=N100),"CUMPLE","REVISAR")</f>
        <v>CUMPLE</v>
      </c>
      <c r="U100" s="11">
        <f>G100*1000000/(0.9*(D100*1000)*J100^2)</f>
        <v>2.658297172</v>
      </c>
      <c r="V100" s="12">
        <f>(0.85*$B$2/$D$2)*(1-SQRT(1-2*U100/(0.85*$B$2)))</f>
        <v>0.006728776977</v>
      </c>
      <c r="W100" s="13">
        <f>V100*(D100*1000)*J100</f>
        <v>691.482766</v>
      </c>
      <c r="X100" s="13">
        <f>MAX(W100,N100)</f>
        <v>691.482766</v>
      </c>
      <c r="Y100" s="14">
        <f>ROUNDUP(X100/$J$2,0)</f>
        <v>4</v>
      </c>
      <c r="Z100" s="13">
        <f>Y100*$J$2</f>
        <v>796</v>
      </c>
      <c r="AA100" s="10">
        <f>0.9*Z100*$D$2*(J100-(Z100*$D$2/(0.85*$B$2*(D100*1000)))/2)/1000000</f>
        <v>96.02486534</v>
      </c>
      <c r="AB100" s="15" t="str">
        <f>IF(AA100&gt;=G100,"CUMPLE","REVISAR")</f>
        <v>CUMPLE</v>
      </c>
      <c r="AC100" s="10">
        <f>0.17*SQRT($B$2)*(D100*1000)*J100/1000</f>
        <v>92.44281538</v>
      </c>
      <c r="AD100" s="10">
        <f>MAX(H100/0.75-AC100,0)</f>
        <v>0</v>
      </c>
      <c r="AE100" s="14">
        <f>IF(AD100&gt;0,MIN($N$2*$D$2*J100/(AD100*1000),MIN(J100/4,6*$H$2,150)),MIN(J100/4,6*$H$2,150))</f>
        <v>85.6375</v>
      </c>
      <c r="AF100" s="10">
        <f>0.66*SQRT($B$2)*(D100*1000)*J100/1000</f>
        <v>358.8956362</v>
      </c>
      <c r="AG100" s="15" t="str">
        <f>IF(AD100&lt;=AF100,"CUMPLE","AUMENTAR SECCION")</f>
        <v>CUMPLE</v>
      </c>
      <c r="AH100" s="10">
        <f>0.75*0.083*SQRT($B$2)*(((D100*1000)*(E100*1000))^2/(2*((D100*1000)+(E100*1000))))/1000000</f>
        <v>3.388073536</v>
      </c>
      <c r="AI100" s="15" t="str">
        <f>IF(I100&gt;AH100,"SI","No")</f>
        <v>No</v>
      </c>
      <c r="AJ100" s="11">
        <f>IF(I100&gt;AH100,I100*1000000/(0.75*2*0.85*((D100*1000-2*$F$2)*(E100*1000-2*$F$2))*$D$2),0)</f>
        <v>0</v>
      </c>
      <c r="AK100" s="10">
        <f>1.25*Q100*$D$2*(J100-(1.25*Q100*$D$2/(0.85*$B$2*(D100*1000)))/2)/1000000</f>
        <v>159.8306178</v>
      </c>
      <c r="AL100" s="10">
        <f>1.25*Z100*$D$2*(J100-(1.25*Z100*$D$2/(0.85*$B$2*(D100*1000)))/2)/1000000</f>
        <v>130.9219244</v>
      </c>
      <c r="AM100" s="10">
        <f>(AK100+AL100)/B100</f>
        <v>77.53401126</v>
      </c>
      <c r="AN100" s="10">
        <f>MAX(H100,AM100)</f>
        <v>77.53401126</v>
      </c>
    </row>
    <row r="101">
      <c r="A101" s="5" t="inlineStr">
        <is>
          <t>F98</t>
        </is>
      </c>
      <c r="B101" s="6" t="n">
        <v>3.75</v>
      </c>
      <c r="C101" s="7" t="inlineStr">
        <is>
          <t>VC</t>
        </is>
      </c>
      <c r="D101" s="8">
        <f>IF(C101="VR",0.35,0.30)</f>
        <v>0.3</v>
      </c>
      <c r="E101" s="6" t="n">
        <v>0.4</v>
      </c>
      <c r="F101" s="9" t="n">
        <v>100.1</v>
      </c>
      <c r="G101" s="9" t="n">
        <v>84.2</v>
      </c>
      <c r="H101" s="9" t="n">
        <v>61.6</v>
      </c>
      <c r="I101" s="6" t="n">
        <v>0</v>
      </c>
      <c r="J101" s="10">
        <f>E101*1000-$F$2-$L$2-$H$2/2</f>
        <v>342.55</v>
      </c>
      <c r="K101" s="11">
        <f>F101*1000000/(0.9*(D101*1000)*J101^2)</f>
        <v>3.158266623</v>
      </c>
      <c r="L101" s="12">
        <f>(0.85*$B$2/$D$2)*(1-SQRT(1-2*K101/(0.85*$B$2)))</f>
        <v>0.008098359768</v>
      </c>
      <c r="M101" s="13">
        <f>L101*(D101*1000)*J101</f>
        <v>832.2279415</v>
      </c>
      <c r="N101" s="13">
        <f>MAX(0.25*SQRT($B$2)/$D$2,1.4/$D$2)*(D101*1000)*J101</f>
        <v>342.55</v>
      </c>
      <c r="O101" s="13">
        <f>MAX(M101,N101)</f>
        <v>832.2279415</v>
      </c>
      <c r="P101" s="14">
        <f>ROUNDUP(O101/$J$2,0)</f>
        <v>5</v>
      </c>
      <c r="Q101" s="13">
        <f>P101*$J$2</f>
        <v>995</v>
      </c>
      <c r="R101" s="10">
        <f>Q101*$D$2/(0.85*$B$2*(D101*1000))</f>
        <v>58.52941176</v>
      </c>
      <c r="S101" s="10">
        <f>0.9*Q101*$D$2*(J101-R101/2)/1000000</f>
        <v>117.829732</v>
      </c>
      <c r="T101" s="15" t="str">
        <f>IF(AND(S101&gt;=F101,O101&lt;=0.025*(D101*1000)*J101,O101&gt;=N101),"CUMPLE","REVISAR")</f>
        <v>CUMPLE</v>
      </c>
      <c r="U101" s="11">
        <f>G101*1000000/(0.9*(D101*1000)*J101^2)</f>
        <v>2.658297172</v>
      </c>
      <c r="V101" s="12">
        <f>(0.85*$B$2/$D$2)*(1-SQRT(1-2*U101/(0.85*$B$2)))</f>
        <v>0.006728776977</v>
      </c>
      <c r="W101" s="13">
        <f>V101*(D101*1000)*J101</f>
        <v>691.482766</v>
      </c>
      <c r="X101" s="13">
        <f>MAX(W101,N101)</f>
        <v>691.482766</v>
      </c>
      <c r="Y101" s="14">
        <f>ROUNDUP(X101/$J$2,0)</f>
        <v>4</v>
      </c>
      <c r="Z101" s="13">
        <f>Y101*$J$2</f>
        <v>796</v>
      </c>
      <c r="AA101" s="10">
        <f>0.9*Z101*$D$2*(J101-(Z101*$D$2/(0.85*$B$2*(D101*1000)))/2)/1000000</f>
        <v>96.02486534</v>
      </c>
      <c r="AB101" s="15" t="str">
        <f>IF(AA101&gt;=G101,"CUMPLE","REVISAR")</f>
        <v>CUMPLE</v>
      </c>
      <c r="AC101" s="10">
        <f>0.17*SQRT($B$2)*(D101*1000)*J101/1000</f>
        <v>92.44281538</v>
      </c>
      <c r="AD101" s="10">
        <f>MAX(H101/0.75-AC101,0)</f>
        <v>0</v>
      </c>
      <c r="AE101" s="14">
        <f>IF(AD101&gt;0,MIN($N$2*$D$2*J101/(AD101*1000),MIN(J101/4,6*$H$2,150)),MIN(J101/4,6*$H$2,150))</f>
        <v>85.6375</v>
      </c>
      <c r="AF101" s="10">
        <f>0.66*SQRT($B$2)*(D101*1000)*J101/1000</f>
        <v>358.8956362</v>
      </c>
      <c r="AG101" s="15" t="str">
        <f>IF(AD101&lt;=AF101,"CUMPLE","AUMENTAR SECCION")</f>
        <v>CUMPLE</v>
      </c>
      <c r="AH101" s="10">
        <f>0.75*0.083*SQRT($B$2)*(((D101*1000)*(E101*1000))^2/(2*((D101*1000)+(E101*1000))))/1000000</f>
        <v>3.388073536</v>
      </c>
      <c r="AI101" s="15" t="str">
        <f>IF(I101&gt;AH101,"SI","No")</f>
        <v>No</v>
      </c>
      <c r="AJ101" s="11">
        <f>IF(I101&gt;AH101,I101*1000000/(0.75*2*0.85*((D101*1000-2*$F$2)*(E101*1000-2*$F$2))*$D$2),0)</f>
        <v>0</v>
      </c>
      <c r="AK101" s="10">
        <f>1.25*Q101*$D$2*(J101-(1.25*Q101*$D$2/(0.85*$B$2*(D101*1000)))/2)/1000000</f>
        <v>159.8306178</v>
      </c>
      <c r="AL101" s="10">
        <f>1.25*Z101*$D$2*(J101-(1.25*Z101*$D$2/(0.85*$B$2*(D101*1000)))/2)/1000000</f>
        <v>130.9219244</v>
      </c>
      <c r="AM101" s="10">
        <f>(AK101+AL101)/B101</f>
        <v>77.53401126</v>
      </c>
      <c r="AN101" s="10">
        <f>MAX(H101,AM101)</f>
        <v>77.53401126</v>
      </c>
    </row>
    <row r="102">
      <c r="A102" s="5" t="inlineStr">
        <is>
          <t>F99</t>
        </is>
      </c>
      <c r="B102" s="6" t="n">
        <v>5.5</v>
      </c>
      <c r="C102" s="7" t="inlineStr">
        <is>
          <t>VR</t>
        </is>
      </c>
      <c r="D102" s="8">
        <f>IF(C102="VR",0.35,0.30)</f>
        <v>0.35</v>
      </c>
      <c r="E102" s="6" t="n">
        <v>0.4</v>
      </c>
      <c r="F102" s="9" t="n">
        <v>103.8</v>
      </c>
      <c r="G102" s="9" t="n">
        <v>50.6</v>
      </c>
      <c r="H102" s="9" t="n">
        <v>113.3</v>
      </c>
      <c r="I102" s="6" t="n">
        <v>0.01</v>
      </c>
      <c r="J102" s="10">
        <f>E102*1000-$F$2-$L$2-$H$2/2</f>
        <v>342.55</v>
      </c>
      <c r="K102" s="11">
        <f>F102*1000000/(0.9*(D102*1000)*J102^2)</f>
        <v>2.809352156</v>
      </c>
      <c r="L102" s="12">
        <f>(0.85*$B$2/$D$2)*(1-SQRT(1-2*K102/(0.85*$B$2)))</f>
        <v>0.007138574053</v>
      </c>
      <c r="M102" s="13">
        <f>L102*(D102*1000)*J102</f>
        <v>855.8614896</v>
      </c>
      <c r="N102" s="13">
        <f>MAX(0.25*SQRT($B$2)/$D$2,1.4/$D$2)*(D102*1000)*J102</f>
        <v>399.6416667</v>
      </c>
      <c r="O102" s="13">
        <f>MAX(M102,N102)</f>
        <v>855.8614896</v>
      </c>
      <c r="P102" s="14">
        <f>ROUNDUP(O102/$J$2,0)</f>
        <v>5</v>
      </c>
      <c r="Q102" s="13">
        <f>P102*$J$2</f>
        <v>995</v>
      </c>
      <c r="R102" s="10">
        <f>Q102*$D$2/(0.85*$B$2*(D102*1000))</f>
        <v>50.16806723</v>
      </c>
      <c r="S102" s="10">
        <f>0.9*Q102*$D$2*(J102-R102/2)/1000000</f>
        <v>119.4021246</v>
      </c>
      <c r="T102" s="15" t="str">
        <f>IF(AND(S102&gt;=F102,O102&lt;=0.025*(D102*1000)*J102,O102&gt;=N102),"CUMPLE","REVISAR")</f>
        <v>CUMPLE</v>
      </c>
      <c r="U102" s="11">
        <f>G102*1000000/(0.9*(D102*1000)*J102^2)</f>
        <v>1.369775613</v>
      </c>
      <c r="V102" s="12">
        <f>(0.85*$B$2/$D$2)*(1-SQRT(1-2*U102/(0.85*$B$2)))</f>
        <v>0.003361046697</v>
      </c>
      <c r="W102" s="13">
        <f>V102*(D102*1000)*J102</f>
        <v>402.9642911</v>
      </c>
      <c r="X102" s="13">
        <f>MAX(W102,N102)</f>
        <v>402.9642911</v>
      </c>
      <c r="Y102" s="14">
        <f>ROUNDUP(X102/$J$2,0)</f>
        <v>3</v>
      </c>
      <c r="Z102" s="13">
        <f>Y102*$J$2</f>
        <v>597</v>
      </c>
      <c r="AA102" s="10">
        <f>0.9*Z102*$D$2*(J102-(Z102*$D$2/(0.85*$B$2*(D102*1000)))/2)/1000000</f>
        <v>73.90552018</v>
      </c>
      <c r="AB102" s="15" t="str">
        <f>IF(AA102&gt;=G102,"CUMPLE","REVISAR")</f>
        <v>CUMPLE</v>
      </c>
      <c r="AC102" s="10">
        <f>0.17*SQRT($B$2)*(D102*1000)*J102/1000</f>
        <v>107.8499513</v>
      </c>
      <c r="AD102" s="10">
        <f>MAX(H102/0.75-AC102,0)</f>
        <v>43.17671539</v>
      </c>
      <c r="AE102" s="14">
        <f>IF(AD102&gt;0,MIN($N$2*$D$2*J102/(AD102*1000),MIN(J102/4,6*$H$2,150)),MIN(J102/4,6*$H$2,150))</f>
        <v>85.6375</v>
      </c>
      <c r="AF102" s="10">
        <f>0.66*SQRT($B$2)*(D102*1000)*J102/1000</f>
        <v>418.7115756</v>
      </c>
      <c r="AG102" s="15" t="str">
        <f>IF(AD102&lt;=AF102,"CUMPLE","AUMENTAR SECCION")</f>
        <v>CUMPLE</v>
      </c>
      <c r="AH102" s="10">
        <f>0.75*0.083*SQRT($B$2)*(((D102*1000)*(E102*1000))^2/(2*((D102*1000)+(E102*1000))))/1000000</f>
        <v>4.304108233</v>
      </c>
      <c r="AI102" s="15" t="str">
        <f>IF(I102&gt;AH102,"SI","No")</f>
        <v>No</v>
      </c>
      <c r="AJ102" s="11">
        <f>IF(I102&gt;AH102,I102*1000000/(0.75*2*0.85*((D102*1000-2*$F$2)*(E102*1000-2*$F$2))*$D$2),0)</f>
        <v>0</v>
      </c>
      <c r="AK102" s="10">
        <f>1.25*Q102*$D$2*(J102-(1.25*Q102*$D$2/(0.85*$B$2*(D102*1000)))/2)/1000000</f>
        <v>162.5604662</v>
      </c>
      <c r="AL102" s="10">
        <f>1.25*Z102*$D$2*(J102-(1.25*Z102*$D$2/(0.85*$B$2*(D102*1000)))/2)/1000000</f>
        <v>101.4672613</v>
      </c>
      <c r="AM102" s="10">
        <f>(AK102+AL102)/B102</f>
        <v>48.00504136</v>
      </c>
      <c r="AN102" s="10">
        <f>MAX(H102,AM102)</f>
        <v>113.27</v>
      </c>
    </row>
    <row r="103">
      <c r="A103" s="5" t="inlineStr">
        <is>
          <t>F100</t>
        </is>
      </c>
      <c r="B103" s="6" t="n">
        <v>5.5</v>
      </c>
      <c r="C103" s="7" t="inlineStr">
        <is>
          <t>VR</t>
        </is>
      </c>
      <c r="D103" s="8">
        <f>IF(C103="VR",0.35,0.30)</f>
        <v>0.35</v>
      </c>
      <c r="E103" s="6" t="n">
        <v>0.4</v>
      </c>
      <c r="F103" s="9" t="n">
        <v>103.8</v>
      </c>
      <c r="G103" s="9" t="n">
        <v>50.6</v>
      </c>
      <c r="H103" s="9" t="n">
        <v>113.3</v>
      </c>
      <c r="I103" s="6" t="n">
        <v>0.01</v>
      </c>
      <c r="J103" s="10">
        <f>E103*1000-$F$2-$L$2-$H$2/2</f>
        <v>342.55</v>
      </c>
      <c r="K103" s="11">
        <f>F103*1000000/(0.9*(D103*1000)*J103^2)</f>
        <v>2.809352156</v>
      </c>
      <c r="L103" s="12">
        <f>(0.85*$B$2/$D$2)*(1-SQRT(1-2*K103/(0.85*$B$2)))</f>
        <v>0.007138574053</v>
      </c>
      <c r="M103" s="13">
        <f>L103*(D103*1000)*J103</f>
        <v>855.8614896</v>
      </c>
      <c r="N103" s="13">
        <f>MAX(0.25*SQRT($B$2)/$D$2,1.4/$D$2)*(D103*1000)*J103</f>
        <v>399.6416667</v>
      </c>
      <c r="O103" s="13">
        <f>MAX(M103,N103)</f>
        <v>855.8614896</v>
      </c>
      <c r="P103" s="14">
        <f>ROUNDUP(O103/$J$2,0)</f>
        <v>5</v>
      </c>
      <c r="Q103" s="13">
        <f>P103*$J$2</f>
        <v>995</v>
      </c>
      <c r="R103" s="10">
        <f>Q103*$D$2/(0.85*$B$2*(D103*1000))</f>
        <v>50.16806723</v>
      </c>
      <c r="S103" s="10">
        <f>0.9*Q103*$D$2*(J103-R103/2)/1000000</f>
        <v>119.4021246</v>
      </c>
      <c r="T103" s="15" t="str">
        <f>IF(AND(S103&gt;=F103,O103&lt;=0.025*(D103*1000)*J103,O103&gt;=N103),"CUMPLE","REVISAR")</f>
        <v>CUMPLE</v>
      </c>
      <c r="U103" s="11">
        <f>G103*1000000/(0.9*(D103*1000)*J103^2)</f>
        <v>1.369775613</v>
      </c>
      <c r="V103" s="12">
        <f>(0.85*$B$2/$D$2)*(1-SQRT(1-2*U103/(0.85*$B$2)))</f>
        <v>0.003361046697</v>
      </c>
      <c r="W103" s="13">
        <f>V103*(D103*1000)*J103</f>
        <v>402.9642911</v>
      </c>
      <c r="X103" s="13">
        <f>MAX(W103,N103)</f>
        <v>402.9642911</v>
      </c>
      <c r="Y103" s="14">
        <f>ROUNDUP(X103/$J$2,0)</f>
        <v>3</v>
      </c>
      <c r="Z103" s="13">
        <f>Y103*$J$2</f>
        <v>597</v>
      </c>
      <c r="AA103" s="10">
        <f>0.9*Z103*$D$2*(J103-(Z103*$D$2/(0.85*$B$2*(D103*1000)))/2)/1000000</f>
        <v>73.90552018</v>
      </c>
      <c r="AB103" s="15" t="str">
        <f>IF(AA103&gt;=G103,"CUMPLE","REVISAR")</f>
        <v>CUMPLE</v>
      </c>
      <c r="AC103" s="10">
        <f>0.17*SQRT($B$2)*(D103*1000)*J103/1000</f>
        <v>107.8499513</v>
      </c>
      <c r="AD103" s="10">
        <f>MAX(H103/0.75-AC103,0)</f>
        <v>43.17671539</v>
      </c>
      <c r="AE103" s="14">
        <f>IF(AD103&gt;0,MIN($N$2*$D$2*J103/(AD103*1000),MIN(J103/4,6*$H$2,150)),MIN(J103/4,6*$H$2,150))</f>
        <v>85.6375</v>
      </c>
      <c r="AF103" s="10">
        <f>0.66*SQRT($B$2)*(D103*1000)*J103/1000</f>
        <v>418.7115756</v>
      </c>
      <c r="AG103" s="15" t="str">
        <f>IF(AD103&lt;=AF103,"CUMPLE","AUMENTAR SECCION")</f>
        <v>CUMPLE</v>
      </c>
      <c r="AH103" s="10">
        <f>0.75*0.083*SQRT($B$2)*(((D103*1000)*(E103*1000))^2/(2*((D103*1000)+(E103*1000))))/1000000</f>
        <v>4.304108233</v>
      </c>
      <c r="AI103" s="15" t="str">
        <f>IF(I103&gt;AH103,"SI","No")</f>
        <v>No</v>
      </c>
      <c r="AJ103" s="11">
        <f>IF(I103&gt;AH103,I103*1000000/(0.75*2*0.85*((D103*1000-2*$F$2)*(E103*1000-2*$F$2))*$D$2),0)</f>
        <v>0</v>
      </c>
      <c r="AK103" s="10">
        <f>1.25*Q103*$D$2*(J103-(1.25*Q103*$D$2/(0.85*$B$2*(D103*1000)))/2)/1000000</f>
        <v>162.5604662</v>
      </c>
      <c r="AL103" s="10">
        <f>1.25*Z103*$D$2*(J103-(1.25*Z103*$D$2/(0.85*$B$2*(D103*1000)))/2)/1000000</f>
        <v>101.4672613</v>
      </c>
      <c r="AM103" s="10">
        <f>(AK103+AL103)/B103</f>
        <v>48.00504136</v>
      </c>
      <c r="AN103" s="10">
        <f>MAX(H103,AM103)</f>
        <v>113.27</v>
      </c>
    </row>
    <row r="104">
      <c r="A104" s="5" t="inlineStr">
        <is>
          <t>F105</t>
        </is>
      </c>
      <c r="B104" s="6" t="n">
        <v>2.6</v>
      </c>
      <c r="C104" s="7" t="inlineStr">
        <is>
          <t>VC</t>
        </is>
      </c>
      <c r="D104" s="8">
        <f>IF(C104="VR",0.35,0.30)</f>
        <v>0.3</v>
      </c>
      <c r="E104" s="6" t="n">
        <v>0.4</v>
      </c>
      <c r="F104" s="9" t="n">
        <v>6.5</v>
      </c>
      <c r="G104" s="9" t="n">
        <v>2.2</v>
      </c>
      <c r="H104" s="9" t="n">
        <v>11.2</v>
      </c>
      <c r="I104" s="6" t="n">
        <v>0.31</v>
      </c>
      <c r="J104" s="10">
        <f>E104*1000-$F$2-$L$2-$H$2/2</f>
        <v>342.55</v>
      </c>
      <c r="K104" s="11">
        <f>F104*1000000/(0.9*(D104*1000)*J104^2)</f>
        <v>0.2035860456</v>
      </c>
      <c r="L104" s="12">
        <f>(0.85*$B$2/$D$2)*(1-SQRT(1-2*K104/(0.85*$B$2)))</f>
        <v>0.0004868197992</v>
      </c>
      <c r="M104" s="13">
        <f>L104*(D104*1000)*J104</f>
        <v>50.02803666</v>
      </c>
      <c r="N104" s="13">
        <f>MAX(0.25*SQRT($B$2)/$D$2,1.4/$D$2)*(D104*1000)*J104</f>
        <v>342.55</v>
      </c>
      <c r="O104" s="13">
        <f>MAX(M104,N104)</f>
        <v>342.55</v>
      </c>
      <c r="P104" s="14">
        <f>ROUNDUP(O104/$J$2,0)</f>
        <v>2</v>
      </c>
      <c r="Q104" s="13">
        <f>P104*$J$2</f>
        <v>398</v>
      </c>
      <c r="R104" s="10">
        <f>Q104*$D$2/(0.85*$B$2*(D104*1000))</f>
        <v>23.41176471</v>
      </c>
      <c r="S104" s="10">
        <f>0.9*Q104*$D$2*(J104-R104/2)/1000000</f>
        <v>49.77351244</v>
      </c>
      <c r="T104" s="15" t="str">
        <f>IF(AND(S104&gt;=F104,O104&lt;=0.025*(D104*1000)*J104,O104&gt;=N104),"CUMPLE","REVISAR")</f>
        <v>CUMPLE</v>
      </c>
      <c r="U104" s="11">
        <f>G104*1000000/(0.9*(D104*1000)*J104^2)</f>
        <v>0.07038711343</v>
      </c>
      <c r="V104" s="12">
        <f>(0.85*$B$2/$D$2)*(1-SQRT(1-2*U104/(0.85*$B$2)))</f>
        <v>0.0001678369173</v>
      </c>
      <c r="W104" s="13">
        <f>V104*(D104*1000)*J104</f>
        <v>17.24776081</v>
      </c>
      <c r="X104" s="13">
        <f>MAX(W104,N104)</f>
        <v>342.55</v>
      </c>
      <c r="Y104" s="14">
        <f>ROUNDUP(X104/$J$2,0)</f>
        <v>2</v>
      </c>
      <c r="Z104" s="13">
        <f>Y104*$J$2</f>
        <v>398</v>
      </c>
      <c r="AA104" s="10">
        <f>0.9*Z104*$D$2*(J104-(Z104*$D$2/(0.85*$B$2*(D104*1000)))/2)/1000000</f>
        <v>49.77351244</v>
      </c>
      <c r="AB104" s="15" t="str">
        <f>IF(AA104&gt;=G104,"CUMPLE","REVISAR")</f>
        <v>CUMPLE</v>
      </c>
      <c r="AC104" s="10">
        <f>0.17*SQRT($B$2)*(D104*1000)*J104/1000</f>
        <v>92.44281538</v>
      </c>
      <c r="AD104" s="10">
        <f>MAX(H104/0.75-AC104,0)</f>
        <v>0</v>
      </c>
      <c r="AE104" s="14">
        <f>IF(AD104&gt;0,MIN($N$2*$D$2*J104/(AD104*1000),MIN(J104/4,6*$H$2,150)),MIN(J104/4,6*$H$2,150))</f>
        <v>85.6375</v>
      </c>
      <c r="AF104" s="10">
        <f>0.66*SQRT($B$2)*(D104*1000)*J104/1000</f>
        <v>358.8956362</v>
      </c>
      <c r="AG104" s="15" t="str">
        <f>IF(AD104&lt;=AF104,"CUMPLE","AUMENTAR SECCION")</f>
        <v>CUMPLE</v>
      </c>
      <c r="AH104" s="10">
        <f>0.75*0.083*SQRT($B$2)*(((D104*1000)*(E104*1000))^2/(2*((D104*1000)+(E104*1000))))/1000000</f>
        <v>3.388073536</v>
      </c>
      <c r="AI104" s="15" t="str">
        <f>IF(I104&gt;AH104,"SI","No")</f>
        <v>No</v>
      </c>
      <c r="AJ104" s="11">
        <f>IF(I104&gt;AH104,I104*1000000/(0.75*2*0.85*((D104*1000-2*$F$2)*(E104*1000-2*$F$2))*$D$2),0)</f>
        <v>0</v>
      </c>
      <c r="AK104" s="10">
        <f>1.25*Q104*$D$2*(J104-(1.25*Q104*$D$2/(0.85*$B$2*(D104*1000)))/2)/1000000</f>
        <v>68.51839235</v>
      </c>
      <c r="AL104" s="10">
        <f>1.25*Z104*$D$2*(J104-(1.25*Z104*$D$2/(0.85*$B$2*(D104*1000)))/2)/1000000</f>
        <v>68.51839235</v>
      </c>
      <c r="AM104" s="10">
        <f>(AK104+AL104)/B104</f>
        <v>52.70645566</v>
      </c>
      <c r="AN104" s="10">
        <f>MAX(H104,AM104)</f>
        <v>52.70645566</v>
      </c>
    </row>
    <row r="105">
      <c r="A105" s="5" t="inlineStr">
        <is>
          <t>F106</t>
        </is>
      </c>
      <c r="B105" s="6" t="n">
        <v>2.6</v>
      </c>
      <c r="C105" s="7" t="inlineStr">
        <is>
          <t>VC</t>
        </is>
      </c>
      <c r="D105" s="8">
        <f>IF(C105="VR",0.35,0.30)</f>
        <v>0.3</v>
      </c>
      <c r="E105" s="6" t="n">
        <v>0.4</v>
      </c>
      <c r="F105" s="9" t="n">
        <v>6.5</v>
      </c>
      <c r="G105" s="9" t="n">
        <v>2.2</v>
      </c>
      <c r="H105" s="9" t="n">
        <v>11.2</v>
      </c>
      <c r="I105" s="6" t="n">
        <v>0.3</v>
      </c>
      <c r="J105" s="10">
        <f>E105*1000-$F$2-$L$2-$H$2/2</f>
        <v>342.55</v>
      </c>
      <c r="K105" s="11">
        <f>F105*1000000/(0.9*(D105*1000)*J105^2)</f>
        <v>0.2035860456</v>
      </c>
      <c r="L105" s="12">
        <f>(0.85*$B$2/$D$2)*(1-SQRT(1-2*K105/(0.85*$B$2)))</f>
        <v>0.0004868197992</v>
      </c>
      <c r="M105" s="13">
        <f>L105*(D105*1000)*J105</f>
        <v>50.02803666</v>
      </c>
      <c r="N105" s="13">
        <f>MAX(0.25*SQRT($B$2)/$D$2,1.4/$D$2)*(D105*1000)*J105</f>
        <v>342.55</v>
      </c>
      <c r="O105" s="13">
        <f>MAX(M105,N105)</f>
        <v>342.55</v>
      </c>
      <c r="P105" s="14">
        <f>ROUNDUP(O105/$J$2,0)</f>
        <v>2</v>
      </c>
      <c r="Q105" s="13">
        <f>P105*$J$2</f>
        <v>398</v>
      </c>
      <c r="R105" s="10">
        <f>Q105*$D$2/(0.85*$B$2*(D105*1000))</f>
        <v>23.41176471</v>
      </c>
      <c r="S105" s="10">
        <f>0.9*Q105*$D$2*(J105-R105/2)/1000000</f>
        <v>49.77351244</v>
      </c>
      <c r="T105" s="15" t="str">
        <f>IF(AND(S105&gt;=F105,O105&lt;=0.025*(D105*1000)*J105,O105&gt;=N105),"CUMPLE","REVISAR")</f>
        <v>CUMPLE</v>
      </c>
      <c r="U105" s="11">
        <f>G105*1000000/(0.9*(D105*1000)*J105^2)</f>
        <v>0.07038711343</v>
      </c>
      <c r="V105" s="12">
        <f>(0.85*$B$2/$D$2)*(1-SQRT(1-2*U105/(0.85*$B$2)))</f>
        <v>0.0001678369173</v>
      </c>
      <c r="W105" s="13">
        <f>V105*(D105*1000)*J105</f>
        <v>17.24776081</v>
      </c>
      <c r="X105" s="13">
        <f>MAX(W105,N105)</f>
        <v>342.55</v>
      </c>
      <c r="Y105" s="14">
        <f>ROUNDUP(X105/$J$2,0)</f>
        <v>2</v>
      </c>
      <c r="Z105" s="13">
        <f>Y105*$J$2</f>
        <v>398</v>
      </c>
      <c r="AA105" s="10">
        <f>0.9*Z105*$D$2*(J105-(Z105*$D$2/(0.85*$B$2*(D105*1000)))/2)/1000000</f>
        <v>49.77351244</v>
      </c>
      <c r="AB105" s="15" t="str">
        <f>IF(AA105&gt;=G105,"CUMPLE","REVISAR")</f>
        <v>CUMPLE</v>
      </c>
      <c r="AC105" s="10">
        <f>0.17*SQRT($B$2)*(D105*1000)*J105/1000</f>
        <v>92.44281538</v>
      </c>
      <c r="AD105" s="10">
        <f>MAX(H105/0.75-AC105,0)</f>
        <v>0</v>
      </c>
      <c r="AE105" s="14">
        <f>IF(AD105&gt;0,MIN($N$2*$D$2*J105/(AD105*1000),MIN(J105/4,6*$H$2,150)),MIN(J105/4,6*$H$2,150))</f>
        <v>85.6375</v>
      </c>
      <c r="AF105" s="10">
        <f>0.66*SQRT($B$2)*(D105*1000)*J105/1000</f>
        <v>358.8956362</v>
      </c>
      <c r="AG105" s="15" t="str">
        <f>IF(AD105&lt;=AF105,"CUMPLE","AUMENTAR SECCION")</f>
        <v>CUMPLE</v>
      </c>
      <c r="AH105" s="10">
        <f>0.75*0.083*SQRT($B$2)*(((D105*1000)*(E105*1000))^2/(2*((D105*1000)+(E105*1000))))/1000000</f>
        <v>3.388073536</v>
      </c>
      <c r="AI105" s="15" t="str">
        <f>IF(I105&gt;AH105,"SI","No")</f>
        <v>No</v>
      </c>
      <c r="AJ105" s="11">
        <f>IF(I105&gt;AH105,I105*1000000/(0.75*2*0.85*((D105*1000-2*$F$2)*(E105*1000-2*$F$2))*$D$2),0)</f>
        <v>0</v>
      </c>
      <c r="AK105" s="10">
        <f>1.25*Q105*$D$2*(J105-(1.25*Q105*$D$2/(0.85*$B$2*(D105*1000)))/2)/1000000</f>
        <v>68.51839235</v>
      </c>
      <c r="AL105" s="10">
        <f>1.25*Z105*$D$2*(J105-(1.25*Z105*$D$2/(0.85*$B$2*(D105*1000)))/2)/1000000</f>
        <v>68.51839235</v>
      </c>
      <c r="AM105" s="10">
        <f>(AK105+AL105)/B105</f>
        <v>52.70645566</v>
      </c>
      <c r="AN105" s="10">
        <f>MAX(H105,AM105)</f>
        <v>52.70645566</v>
      </c>
    </row>
    <row r="106">
      <c r="A106" s="5" t="inlineStr">
        <is>
          <t>F107</t>
        </is>
      </c>
      <c r="B106" s="6" t="n">
        <v>2.6</v>
      </c>
      <c r="C106" s="7" t="inlineStr">
        <is>
          <t>VC</t>
        </is>
      </c>
      <c r="D106" s="8">
        <f>IF(C106="VR",0.35,0.30)</f>
        <v>0.3</v>
      </c>
      <c r="E106" s="6" t="n">
        <v>0.4</v>
      </c>
      <c r="F106" s="9" t="n">
        <v>6.5</v>
      </c>
      <c r="G106" s="9" t="n">
        <v>2.2</v>
      </c>
      <c r="H106" s="9" t="n">
        <v>11.2</v>
      </c>
      <c r="I106" s="6" t="n">
        <v>0.3</v>
      </c>
      <c r="J106" s="10">
        <f>E106*1000-$F$2-$L$2-$H$2/2</f>
        <v>342.55</v>
      </c>
      <c r="K106" s="11">
        <f>F106*1000000/(0.9*(D106*1000)*J106^2)</f>
        <v>0.2035860456</v>
      </c>
      <c r="L106" s="12">
        <f>(0.85*$B$2/$D$2)*(1-SQRT(1-2*K106/(0.85*$B$2)))</f>
        <v>0.0004868197992</v>
      </c>
      <c r="M106" s="13">
        <f>L106*(D106*1000)*J106</f>
        <v>50.02803666</v>
      </c>
      <c r="N106" s="13">
        <f>MAX(0.25*SQRT($B$2)/$D$2,1.4/$D$2)*(D106*1000)*J106</f>
        <v>342.55</v>
      </c>
      <c r="O106" s="13">
        <f>MAX(M106,N106)</f>
        <v>342.55</v>
      </c>
      <c r="P106" s="14">
        <f>ROUNDUP(O106/$J$2,0)</f>
        <v>2</v>
      </c>
      <c r="Q106" s="13">
        <f>P106*$J$2</f>
        <v>398</v>
      </c>
      <c r="R106" s="10">
        <f>Q106*$D$2/(0.85*$B$2*(D106*1000))</f>
        <v>23.41176471</v>
      </c>
      <c r="S106" s="10">
        <f>0.9*Q106*$D$2*(J106-R106/2)/1000000</f>
        <v>49.77351244</v>
      </c>
      <c r="T106" s="15" t="str">
        <f>IF(AND(S106&gt;=F106,O106&lt;=0.025*(D106*1000)*J106,O106&gt;=N106),"CUMPLE","REVISAR")</f>
        <v>CUMPLE</v>
      </c>
      <c r="U106" s="11">
        <f>G106*1000000/(0.9*(D106*1000)*J106^2)</f>
        <v>0.07038711343</v>
      </c>
      <c r="V106" s="12">
        <f>(0.85*$B$2/$D$2)*(1-SQRT(1-2*U106/(0.85*$B$2)))</f>
        <v>0.0001678369173</v>
      </c>
      <c r="W106" s="13">
        <f>V106*(D106*1000)*J106</f>
        <v>17.24776081</v>
      </c>
      <c r="X106" s="13">
        <f>MAX(W106,N106)</f>
        <v>342.55</v>
      </c>
      <c r="Y106" s="14">
        <f>ROUNDUP(X106/$J$2,0)</f>
        <v>2</v>
      </c>
      <c r="Z106" s="13">
        <f>Y106*$J$2</f>
        <v>398</v>
      </c>
      <c r="AA106" s="10">
        <f>0.9*Z106*$D$2*(J106-(Z106*$D$2/(0.85*$B$2*(D106*1000)))/2)/1000000</f>
        <v>49.77351244</v>
      </c>
      <c r="AB106" s="15" t="str">
        <f>IF(AA106&gt;=G106,"CUMPLE","REVISAR")</f>
        <v>CUMPLE</v>
      </c>
      <c r="AC106" s="10">
        <f>0.17*SQRT($B$2)*(D106*1000)*J106/1000</f>
        <v>92.44281538</v>
      </c>
      <c r="AD106" s="10">
        <f>MAX(H106/0.75-AC106,0)</f>
        <v>0</v>
      </c>
      <c r="AE106" s="14">
        <f>IF(AD106&gt;0,MIN($N$2*$D$2*J106/(AD106*1000),MIN(J106/4,6*$H$2,150)),MIN(J106/4,6*$H$2,150))</f>
        <v>85.6375</v>
      </c>
      <c r="AF106" s="10">
        <f>0.66*SQRT($B$2)*(D106*1000)*J106/1000</f>
        <v>358.8956362</v>
      </c>
      <c r="AG106" s="15" t="str">
        <f>IF(AD106&lt;=AF106,"CUMPLE","AUMENTAR SECCION")</f>
        <v>CUMPLE</v>
      </c>
      <c r="AH106" s="10">
        <f>0.75*0.083*SQRT($B$2)*(((D106*1000)*(E106*1000))^2/(2*((D106*1000)+(E106*1000))))/1000000</f>
        <v>3.388073536</v>
      </c>
      <c r="AI106" s="15" t="str">
        <f>IF(I106&gt;AH106,"SI","No")</f>
        <v>No</v>
      </c>
      <c r="AJ106" s="11">
        <f>IF(I106&gt;AH106,I106*1000000/(0.75*2*0.85*((D106*1000-2*$F$2)*(E106*1000-2*$F$2))*$D$2),0)</f>
        <v>0</v>
      </c>
      <c r="AK106" s="10">
        <f>1.25*Q106*$D$2*(J106-(1.25*Q106*$D$2/(0.85*$B$2*(D106*1000)))/2)/1000000</f>
        <v>68.51839235</v>
      </c>
      <c r="AL106" s="10">
        <f>1.25*Z106*$D$2*(J106-(1.25*Z106*$D$2/(0.85*$B$2*(D106*1000)))/2)/1000000</f>
        <v>68.51839235</v>
      </c>
      <c r="AM106" s="10">
        <f>(AK106+AL106)/B106</f>
        <v>52.70645566</v>
      </c>
      <c r="AN106" s="10">
        <f>MAX(H106,AM106)</f>
        <v>52.70645566</v>
      </c>
    </row>
    <row r="107">
      <c r="A107" s="5" t="inlineStr">
        <is>
          <t>F108</t>
        </is>
      </c>
      <c r="B107" s="6" t="n">
        <v>2.6</v>
      </c>
      <c r="C107" s="7" t="inlineStr">
        <is>
          <t>VC</t>
        </is>
      </c>
      <c r="D107" s="8">
        <f>IF(C107="VR",0.35,0.30)</f>
        <v>0.3</v>
      </c>
      <c r="E107" s="6" t="n">
        <v>0.4</v>
      </c>
      <c r="F107" s="9" t="n">
        <v>6.5</v>
      </c>
      <c r="G107" s="9" t="n">
        <v>2.2</v>
      </c>
      <c r="H107" s="9" t="n">
        <v>11.2</v>
      </c>
      <c r="I107" s="6" t="n">
        <v>0.31</v>
      </c>
      <c r="J107" s="10">
        <f>E107*1000-$F$2-$L$2-$H$2/2</f>
        <v>342.55</v>
      </c>
      <c r="K107" s="11">
        <f>F107*1000000/(0.9*(D107*1000)*J107^2)</f>
        <v>0.2035860456</v>
      </c>
      <c r="L107" s="12">
        <f>(0.85*$B$2/$D$2)*(1-SQRT(1-2*K107/(0.85*$B$2)))</f>
        <v>0.0004868197992</v>
      </c>
      <c r="M107" s="13">
        <f>L107*(D107*1000)*J107</f>
        <v>50.02803666</v>
      </c>
      <c r="N107" s="13">
        <f>MAX(0.25*SQRT($B$2)/$D$2,1.4/$D$2)*(D107*1000)*J107</f>
        <v>342.55</v>
      </c>
      <c r="O107" s="13">
        <f>MAX(M107,N107)</f>
        <v>342.55</v>
      </c>
      <c r="P107" s="14">
        <f>ROUNDUP(O107/$J$2,0)</f>
        <v>2</v>
      </c>
      <c r="Q107" s="13">
        <f>P107*$J$2</f>
        <v>398</v>
      </c>
      <c r="R107" s="10">
        <f>Q107*$D$2/(0.85*$B$2*(D107*1000))</f>
        <v>23.41176471</v>
      </c>
      <c r="S107" s="10">
        <f>0.9*Q107*$D$2*(J107-R107/2)/1000000</f>
        <v>49.77351244</v>
      </c>
      <c r="T107" s="15" t="str">
        <f>IF(AND(S107&gt;=F107,O107&lt;=0.025*(D107*1000)*J107,O107&gt;=N107),"CUMPLE","REVISAR")</f>
        <v>CUMPLE</v>
      </c>
      <c r="U107" s="11">
        <f>G107*1000000/(0.9*(D107*1000)*J107^2)</f>
        <v>0.07038711343</v>
      </c>
      <c r="V107" s="12">
        <f>(0.85*$B$2/$D$2)*(1-SQRT(1-2*U107/(0.85*$B$2)))</f>
        <v>0.0001678369173</v>
      </c>
      <c r="W107" s="13">
        <f>V107*(D107*1000)*J107</f>
        <v>17.24776081</v>
      </c>
      <c r="X107" s="13">
        <f>MAX(W107,N107)</f>
        <v>342.55</v>
      </c>
      <c r="Y107" s="14">
        <f>ROUNDUP(X107/$J$2,0)</f>
        <v>2</v>
      </c>
      <c r="Z107" s="13">
        <f>Y107*$J$2</f>
        <v>398</v>
      </c>
      <c r="AA107" s="10">
        <f>0.9*Z107*$D$2*(J107-(Z107*$D$2/(0.85*$B$2*(D107*1000)))/2)/1000000</f>
        <v>49.77351244</v>
      </c>
      <c r="AB107" s="15" t="str">
        <f>IF(AA107&gt;=G107,"CUMPLE","REVISAR")</f>
        <v>CUMPLE</v>
      </c>
      <c r="AC107" s="10">
        <f>0.17*SQRT($B$2)*(D107*1000)*J107/1000</f>
        <v>92.44281538</v>
      </c>
      <c r="AD107" s="10">
        <f>MAX(H107/0.75-AC107,0)</f>
        <v>0</v>
      </c>
      <c r="AE107" s="14">
        <f>IF(AD107&gt;0,MIN($N$2*$D$2*J107/(AD107*1000),MIN(J107/4,6*$H$2,150)),MIN(J107/4,6*$H$2,150))</f>
        <v>85.6375</v>
      </c>
      <c r="AF107" s="10">
        <f>0.66*SQRT($B$2)*(D107*1000)*J107/1000</f>
        <v>358.8956362</v>
      </c>
      <c r="AG107" s="15" t="str">
        <f>IF(AD107&lt;=AF107,"CUMPLE","AUMENTAR SECCION")</f>
        <v>CUMPLE</v>
      </c>
      <c r="AH107" s="10">
        <f>0.75*0.083*SQRT($B$2)*(((D107*1000)*(E107*1000))^2/(2*((D107*1000)+(E107*1000))))/1000000</f>
        <v>3.388073536</v>
      </c>
      <c r="AI107" s="15" t="str">
        <f>IF(I107&gt;AH107,"SI","No")</f>
        <v>No</v>
      </c>
      <c r="AJ107" s="11">
        <f>IF(I107&gt;AH107,I107*1000000/(0.75*2*0.85*((D107*1000-2*$F$2)*(E107*1000-2*$F$2))*$D$2),0)</f>
        <v>0</v>
      </c>
      <c r="AK107" s="10">
        <f>1.25*Q107*$D$2*(J107-(1.25*Q107*$D$2/(0.85*$B$2*(D107*1000)))/2)/1000000</f>
        <v>68.51839235</v>
      </c>
      <c r="AL107" s="10">
        <f>1.25*Z107*$D$2*(J107-(1.25*Z107*$D$2/(0.85*$B$2*(D107*1000)))/2)/1000000</f>
        <v>68.51839235</v>
      </c>
      <c r="AM107" s="10">
        <f>(AK107+AL107)/B107</f>
        <v>52.70645566</v>
      </c>
      <c r="AN107" s="10">
        <f>MAX(H107,AM107)</f>
        <v>52.70645566</v>
      </c>
    </row>
    <row r="108">
      <c r="A108" s="5" t="inlineStr">
        <is>
          <t>F109</t>
        </is>
      </c>
      <c r="B108" s="6" t="n">
        <v>2.5</v>
      </c>
      <c r="C108" s="7" t="inlineStr">
        <is>
          <t>VC</t>
        </is>
      </c>
      <c r="D108" s="8">
        <f>IF(C108="VR",0.35,0.30)</f>
        <v>0.3</v>
      </c>
      <c r="E108" s="6" t="n">
        <v>0.4</v>
      </c>
      <c r="F108" s="9" t="n">
        <v>5</v>
      </c>
      <c r="G108" s="9" t="n">
        <v>2</v>
      </c>
      <c r="H108" s="9" t="n">
        <v>10.6</v>
      </c>
      <c r="I108" s="6" t="n">
        <v>1.01</v>
      </c>
      <c r="J108" s="10">
        <f>E108*1000-$F$2-$L$2-$H$2/2</f>
        <v>342.55</v>
      </c>
      <c r="K108" s="11">
        <f>F108*1000000/(0.9*(D108*1000)*J108^2)</f>
        <v>0.1590811891</v>
      </c>
      <c r="L108" s="12">
        <f>(0.85*$B$2/$D$2)*(1-SQRT(1-2*K108/(0.85*$B$2)))</f>
        <v>0.0003800391159</v>
      </c>
      <c r="M108" s="13">
        <f>L108*(D108*1000)*J108</f>
        <v>39.05471975</v>
      </c>
      <c r="N108" s="13">
        <f>MAX(0.25*SQRT($B$2)/$D$2,1.4/$D$2)*(D108*1000)*J108</f>
        <v>342.55</v>
      </c>
      <c r="O108" s="13">
        <f>MAX(M108,N108)</f>
        <v>342.55</v>
      </c>
      <c r="P108" s="14">
        <f>ROUNDUP(O108/$J$2,0)</f>
        <v>2</v>
      </c>
      <c r="Q108" s="13">
        <f>P108*$J$2</f>
        <v>398</v>
      </c>
      <c r="R108" s="10">
        <f>Q108*$D$2/(0.85*$B$2*(D108*1000))</f>
        <v>23.41176471</v>
      </c>
      <c r="S108" s="10">
        <f>0.9*Q108*$D$2*(J108-R108/2)/1000000</f>
        <v>49.77351244</v>
      </c>
      <c r="T108" s="15" t="str">
        <f>IF(AND(S108&gt;=F108,O108&lt;=0.025*(D108*1000)*J108,O108&gt;=N108),"CUMPLE","REVISAR")</f>
        <v>CUMPLE</v>
      </c>
      <c r="U108" s="11">
        <f>G108*1000000/(0.9*(D108*1000)*J108^2)</f>
        <v>0.06249618143</v>
      </c>
      <c r="V108" s="12">
        <f>(0.85*$B$2/$D$2)*(1-SQRT(1-2*U108/(0.85*$B$2)))</f>
        <v>0.0001489963135</v>
      </c>
      <c r="W108" s="13">
        <f>V108*(D108*1000)*J108</f>
        <v>15.31160615</v>
      </c>
      <c r="X108" s="13">
        <f>MAX(W108,N108)</f>
        <v>342.55</v>
      </c>
      <c r="Y108" s="14">
        <f>ROUNDUP(X108/$J$2,0)</f>
        <v>2</v>
      </c>
      <c r="Z108" s="13">
        <f>Y108*$J$2</f>
        <v>398</v>
      </c>
      <c r="AA108" s="10">
        <f>0.9*Z108*$D$2*(J108-(Z108*$D$2/(0.85*$B$2*(D108*1000)))/2)/1000000</f>
        <v>49.77351244</v>
      </c>
      <c r="AB108" s="15" t="str">
        <f>IF(AA108&gt;=G108,"CUMPLE","REVISAR")</f>
        <v>CUMPLE</v>
      </c>
      <c r="AC108" s="10">
        <f>0.17*SQRT($B$2)*(D108*1000)*J108/1000</f>
        <v>92.44281538</v>
      </c>
      <c r="AD108" s="10">
        <f>MAX(H108/0.75-AC108,0)</f>
        <v>0</v>
      </c>
      <c r="AE108" s="14">
        <f>IF(AD108&gt;0,MIN($N$2*$D$2*J108/(AD108*1000),MIN(J108/4,6*$H$2,150)),MIN(J108/4,6*$H$2,150))</f>
        <v>85.6375</v>
      </c>
      <c r="AF108" s="10">
        <f>0.66*SQRT($B$2)*(D108*1000)*J108/1000</f>
        <v>358.8956362</v>
      </c>
      <c r="AG108" s="15" t="str">
        <f>IF(AD108&lt;=AF108,"CUMPLE","AUMENTAR SECCION")</f>
        <v>CUMPLE</v>
      </c>
      <c r="AH108" s="10">
        <f>0.75*0.083*SQRT($B$2)*(((D108*1000)*(E108*1000))^2/(2*((D108*1000)+(E108*1000))))/1000000</f>
        <v>3.388073536</v>
      </c>
      <c r="AI108" s="15" t="str">
        <f>IF(I108&gt;AH108,"SI","No")</f>
        <v>No</v>
      </c>
      <c r="AJ108" s="11">
        <f>IF(I108&gt;AH108,I108*1000000/(0.75*2*0.85*((D108*1000-2*$F$2)*(E108*1000-2*$F$2))*$D$2),0)</f>
        <v>0</v>
      </c>
      <c r="AK108" s="10">
        <f>1.25*Q108*$D$2*(J108-(1.25*Q108*$D$2/(0.85*$B$2*(D108*1000)))/2)/1000000</f>
        <v>68.51839235</v>
      </c>
      <c r="AL108" s="10">
        <f>1.25*Z108*$D$2*(J108-(1.25*Z108*$D$2/(0.85*$B$2*(D108*1000)))/2)/1000000</f>
        <v>68.51839235</v>
      </c>
      <c r="AM108" s="10">
        <f>(AK108+AL108)/B108</f>
        <v>54.81471388</v>
      </c>
      <c r="AN108" s="10">
        <f>MAX(H108,AM108)</f>
        <v>54.81471388</v>
      </c>
    </row>
    <row r="109">
      <c r="A109" s="5" t="inlineStr">
        <is>
          <t>F110</t>
        </is>
      </c>
      <c r="B109" s="6" t="n">
        <v>2.5</v>
      </c>
      <c r="C109" s="7" t="inlineStr">
        <is>
          <t>VC</t>
        </is>
      </c>
      <c r="D109" s="8">
        <f>IF(C109="VR",0.35,0.30)</f>
        <v>0.3</v>
      </c>
      <c r="E109" s="6" t="n">
        <v>0.4</v>
      </c>
      <c r="F109" s="9" t="n">
        <v>5</v>
      </c>
      <c r="G109" s="9" t="n">
        <v>2</v>
      </c>
      <c r="H109" s="9" t="n">
        <v>10.6</v>
      </c>
      <c r="I109" s="6" t="n">
        <v>1.02</v>
      </c>
      <c r="J109" s="10">
        <f>E109*1000-$F$2-$L$2-$H$2/2</f>
        <v>342.55</v>
      </c>
      <c r="K109" s="11">
        <f>F109*1000000/(0.9*(D109*1000)*J109^2)</f>
        <v>0.1587655518</v>
      </c>
      <c r="L109" s="12">
        <f>(0.85*$B$2/$D$2)*(1-SQRT(1-2*K109/(0.85*$B$2)))</f>
        <v>0.0003792825295</v>
      </c>
      <c r="M109" s="13">
        <f>L109*(D109*1000)*J109</f>
        <v>38.97696915</v>
      </c>
      <c r="N109" s="13">
        <f>MAX(0.25*SQRT($B$2)/$D$2,1.4/$D$2)*(D109*1000)*J109</f>
        <v>342.55</v>
      </c>
      <c r="O109" s="13">
        <f>MAX(M109,N109)</f>
        <v>342.55</v>
      </c>
      <c r="P109" s="14">
        <f>ROUNDUP(O109/$J$2,0)</f>
        <v>2</v>
      </c>
      <c r="Q109" s="13">
        <f>P109*$J$2</f>
        <v>398</v>
      </c>
      <c r="R109" s="10">
        <f>Q109*$D$2/(0.85*$B$2*(D109*1000))</f>
        <v>23.41176471</v>
      </c>
      <c r="S109" s="10">
        <f>0.9*Q109*$D$2*(J109-R109/2)/1000000</f>
        <v>49.77351244</v>
      </c>
      <c r="T109" s="15" t="str">
        <f>IF(AND(S109&gt;=F109,O109&lt;=0.025*(D109*1000)*J109,O109&gt;=N109),"CUMPLE","REVISAR")</f>
        <v>CUMPLE</v>
      </c>
      <c r="U109" s="11">
        <f>G109*1000000/(0.9*(D109*1000)*J109^2)</f>
        <v>0.06249618143</v>
      </c>
      <c r="V109" s="12">
        <f>(0.85*$B$2/$D$2)*(1-SQRT(1-2*U109/(0.85*$B$2)))</f>
        <v>0.0001489963135</v>
      </c>
      <c r="W109" s="13">
        <f>V109*(D109*1000)*J109</f>
        <v>15.31160615</v>
      </c>
      <c r="X109" s="13">
        <f>MAX(W109,N109)</f>
        <v>342.55</v>
      </c>
      <c r="Y109" s="14">
        <f>ROUNDUP(X109/$J$2,0)</f>
        <v>2</v>
      </c>
      <c r="Z109" s="13">
        <f>Y109*$J$2</f>
        <v>398</v>
      </c>
      <c r="AA109" s="10">
        <f>0.9*Z109*$D$2*(J109-(Z109*$D$2/(0.85*$B$2*(D109*1000)))/2)/1000000</f>
        <v>49.77351244</v>
      </c>
      <c r="AB109" s="15" t="str">
        <f>IF(AA109&gt;=G109,"CUMPLE","REVISAR")</f>
        <v>CUMPLE</v>
      </c>
      <c r="AC109" s="10">
        <f>0.17*SQRT($B$2)*(D109*1000)*J109/1000</f>
        <v>92.44281538</v>
      </c>
      <c r="AD109" s="10">
        <f>MAX(H109/0.75-AC109,0)</f>
        <v>0</v>
      </c>
      <c r="AE109" s="14">
        <f>IF(AD109&gt;0,MIN($N$2*$D$2*J109/(AD109*1000),MIN(J109/4,6*$H$2,150)),MIN(J109/4,6*$H$2,150))</f>
        <v>85.6375</v>
      </c>
      <c r="AF109" s="10">
        <f>0.66*SQRT($B$2)*(D109*1000)*J109/1000</f>
        <v>358.8956362</v>
      </c>
      <c r="AG109" s="15" t="str">
        <f>IF(AD109&lt;=AF109,"CUMPLE","AUMENTAR SECCION")</f>
        <v>CUMPLE</v>
      </c>
      <c r="AH109" s="10">
        <f>0.75*0.083*SQRT($B$2)*(((D109*1000)*(E109*1000))^2/(2*((D109*1000)+(E109*1000))))/1000000</f>
        <v>3.388073536</v>
      </c>
      <c r="AI109" s="15" t="str">
        <f>IF(I109&gt;AH109,"SI","No")</f>
        <v>No</v>
      </c>
      <c r="AJ109" s="11">
        <f>IF(I109&gt;AH109,I109*1000000/(0.75*2*0.85*((D109*1000-2*$F$2)*(E109*1000-2*$F$2))*$D$2),0)</f>
        <v>0</v>
      </c>
      <c r="AK109" s="10">
        <f>1.25*Q109*$D$2*(J109-(1.25*Q109*$D$2/(0.85*$B$2*(D109*1000)))/2)/1000000</f>
        <v>68.51839235</v>
      </c>
      <c r="AL109" s="10">
        <f>1.25*Z109*$D$2*(J109-(1.25*Z109*$D$2/(0.85*$B$2*(D109*1000)))/2)/1000000</f>
        <v>68.51839235</v>
      </c>
      <c r="AM109" s="10">
        <f>(AK109+AL109)/B109</f>
        <v>54.81471388</v>
      </c>
      <c r="AN109" s="10">
        <f>MAX(H109,AM109)</f>
        <v>54.81471388</v>
      </c>
    </row>
    <row r="110">
      <c r="A110" s="5" t="inlineStr">
        <is>
          <t>F111</t>
        </is>
      </c>
      <c r="B110" s="6" t="n">
        <v>2.5</v>
      </c>
      <c r="C110" s="7" t="inlineStr">
        <is>
          <t>VC</t>
        </is>
      </c>
      <c r="D110" s="8">
        <f>IF(C110="VR",0.35,0.30)</f>
        <v>0.3</v>
      </c>
      <c r="E110" s="6" t="n">
        <v>0.4</v>
      </c>
      <c r="F110" s="9" t="n">
        <v>5</v>
      </c>
      <c r="G110" s="9" t="n">
        <v>2</v>
      </c>
      <c r="H110" s="9" t="n">
        <v>10.6</v>
      </c>
      <c r="I110" s="6" t="n">
        <v>1.02</v>
      </c>
      <c r="J110" s="10">
        <f>E110*1000-$F$2-$L$2-$H$2/2</f>
        <v>342.55</v>
      </c>
      <c r="K110" s="11">
        <f>F110*1000000/(0.9*(D110*1000)*J110^2)</f>
        <v>0.1587655518</v>
      </c>
      <c r="L110" s="12">
        <f>(0.85*$B$2/$D$2)*(1-SQRT(1-2*K110/(0.85*$B$2)))</f>
        <v>0.0003792825295</v>
      </c>
      <c r="M110" s="13">
        <f>L110*(D110*1000)*J110</f>
        <v>38.97696915</v>
      </c>
      <c r="N110" s="13">
        <f>MAX(0.25*SQRT($B$2)/$D$2,1.4/$D$2)*(D110*1000)*J110</f>
        <v>342.55</v>
      </c>
      <c r="O110" s="13">
        <f>MAX(M110,N110)</f>
        <v>342.55</v>
      </c>
      <c r="P110" s="14">
        <f>ROUNDUP(O110/$J$2,0)</f>
        <v>2</v>
      </c>
      <c r="Q110" s="13">
        <f>P110*$J$2</f>
        <v>398</v>
      </c>
      <c r="R110" s="10">
        <f>Q110*$D$2/(0.85*$B$2*(D110*1000))</f>
        <v>23.41176471</v>
      </c>
      <c r="S110" s="10">
        <f>0.9*Q110*$D$2*(J110-R110/2)/1000000</f>
        <v>49.77351244</v>
      </c>
      <c r="T110" s="15" t="str">
        <f>IF(AND(S110&gt;=F110,O110&lt;=0.025*(D110*1000)*J110,O110&gt;=N110),"CUMPLE","REVISAR")</f>
        <v>CUMPLE</v>
      </c>
      <c r="U110" s="11">
        <f>G110*1000000/(0.9*(D110*1000)*J110^2)</f>
        <v>0.06249618143</v>
      </c>
      <c r="V110" s="12">
        <f>(0.85*$B$2/$D$2)*(1-SQRT(1-2*U110/(0.85*$B$2)))</f>
        <v>0.0001489963135</v>
      </c>
      <c r="W110" s="13">
        <f>V110*(D110*1000)*J110</f>
        <v>15.31160615</v>
      </c>
      <c r="X110" s="13">
        <f>MAX(W110,N110)</f>
        <v>342.55</v>
      </c>
      <c r="Y110" s="14">
        <f>ROUNDUP(X110/$J$2,0)</f>
        <v>2</v>
      </c>
      <c r="Z110" s="13">
        <f>Y110*$J$2</f>
        <v>398</v>
      </c>
      <c r="AA110" s="10">
        <f>0.9*Z110*$D$2*(J110-(Z110*$D$2/(0.85*$B$2*(D110*1000)))/2)/1000000</f>
        <v>49.77351244</v>
      </c>
      <c r="AB110" s="15" t="str">
        <f>IF(AA110&gt;=G110,"CUMPLE","REVISAR")</f>
        <v>CUMPLE</v>
      </c>
      <c r="AC110" s="10">
        <f>0.17*SQRT($B$2)*(D110*1000)*J110/1000</f>
        <v>92.44281538</v>
      </c>
      <c r="AD110" s="10">
        <f>MAX(H110/0.75-AC110,0)</f>
        <v>0</v>
      </c>
      <c r="AE110" s="14">
        <f>IF(AD110&gt;0,MIN($N$2*$D$2*J110/(AD110*1000),MIN(J110/4,6*$H$2,150)),MIN(J110/4,6*$H$2,150))</f>
        <v>85.6375</v>
      </c>
      <c r="AF110" s="10">
        <f>0.66*SQRT($B$2)*(D110*1000)*J110/1000</f>
        <v>358.8956362</v>
      </c>
      <c r="AG110" s="15" t="str">
        <f>IF(AD110&lt;=AF110,"CUMPLE","AUMENTAR SECCION")</f>
        <v>CUMPLE</v>
      </c>
      <c r="AH110" s="10">
        <f>0.75*0.083*SQRT($B$2)*(((D110*1000)*(E110*1000))^2/(2*((D110*1000)+(E110*1000))))/1000000</f>
        <v>3.388073536</v>
      </c>
      <c r="AI110" s="15" t="str">
        <f>IF(I110&gt;AH110,"SI","No")</f>
        <v>No</v>
      </c>
      <c r="AJ110" s="11">
        <f>IF(I110&gt;AH110,I110*1000000/(0.75*2*0.85*((D110*1000-2*$F$2)*(E110*1000-2*$F$2))*$D$2),0)</f>
        <v>0</v>
      </c>
      <c r="AK110" s="10">
        <f>1.25*Q110*$D$2*(J110-(1.25*Q110*$D$2/(0.85*$B$2*(D110*1000)))/2)/1000000</f>
        <v>68.51839235</v>
      </c>
      <c r="AL110" s="10">
        <f>1.25*Z110*$D$2*(J110-(1.25*Z110*$D$2/(0.85*$B$2*(D110*1000)))/2)/1000000</f>
        <v>68.51839235</v>
      </c>
      <c r="AM110" s="10">
        <f>(AK110+AL110)/B110</f>
        <v>54.81471388</v>
      </c>
      <c r="AN110" s="10">
        <f>MAX(H110,AM110)</f>
        <v>54.81471388</v>
      </c>
    </row>
    <row r="111">
      <c r="A111" s="5" t="inlineStr">
        <is>
          <t>F112</t>
        </is>
      </c>
      <c r="B111" s="6" t="n">
        <v>2.5</v>
      </c>
      <c r="C111" s="7" t="inlineStr">
        <is>
          <t>VC</t>
        </is>
      </c>
      <c r="D111" s="8">
        <f>IF(C111="VR",0.35,0.30)</f>
        <v>0.3</v>
      </c>
      <c r="E111" s="6" t="n">
        <v>0.4</v>
      </c>
      <c r="F111" s="9" t="n">
        <v>5</v>
      </c>
      <c r="G111" s="9" t="n">
        <v>2</v>
      </c>
      <c r="H111" s="9" t="n">
        <v>10.6</v>
      </c>
      <c r="I111" s="6" t="n">
        <v>1.01</v>
      </c>
      <c r="J111" s="10">
        <f>E111*1000-$F$2-$L$2-$H$2/2</f>
        <v>342.55</v>
      </c>
      <c r="K111" s="11">
        <f>F111*1000000/(0.9*(D111*1000)*J111^2)</f>
        <v>0.1590811891</v>
      </c>
      <c r="L111" s="12">
        <f>(0.85*$B$2/$D$2)*(1-SQRT(1-2*K111/(0.85*$B$2)))</f>
        <v>0.0003800391159</v>
      </c>
      <c r="M111" s="13">
        <f>L111*(D111*1000)*J111</f>
        <v>39.05471975</v>
      </c>
      <c r="N111" s="13">
        <f>MAX(0.25*SQRT($B$2)/$D$2,1.4/$D$2)*(D111*1000)*J111</f>
        <v>342.55</v>
      </c>
      <c r="O111" s="13">
        <f>MAX(M111,N111)</f>
        <v>342.55</v>
      </c>
      <c r="P111" s="14">
        <f>ROUNDUP(O111/$J$2,0)</f>
        <v>2</v>
      </c>
      <c r="Q111" s="13">
        <f>P111*$J$2</f>
        <v>398</v>
      </c>
      <c r="R111" s="10">
        <f>Q111*$D$2/(0.85*$B$2*(D111*1000))</f>
        <v>23.41176471</v>
      </c>
      <c r="S111" s="10">
        <f>0.9*Q111*$D$2*(J111-R111/2)/1000000</f>
        <v>49.77351244</v>
      </c>
      <c r="T111" s="15" t="str">
        <f>IF(AND(S111&gt;=F111,O111&lt;=0.025*(D111*1000)*J111,O111&gt;=N111),"CUMPLE","REVISAR")</f>
        <v>CUMPLE</v>
      </c>
      <c r="U111" s="11">
        <f>G111*1000000/(0.9*(D111*1000)*J111^2)</f>
        <v>0.06249618143</v>
      </c>
      <c r="V111" s="12">
        <f>(0.85*$B$2/$D$2)*(1-SQRT(1-2*U111/(0.85*$B$2)))</f>
        <v>0.0001489963135</v>
      </c>
      <c r="W111" s="13">
        <f>V111*(D111*1000)*J111</f>
        <v>15.31160615</v>
      </c>
      <c r="X111" s="13">
        <f>MAX(W111,N111)</f>
        <v>342.55</v>
      </c>
      <c r="Y111" s="14">
        <f>ROUNDUP(X111/$J$2,0)</f>
        <v>2</v>
      </c>
      <c r="Z111" s="13">
        <f>Y111*$J$2</f>
        <v>398</v>
      </c>
      <c r="AA111" s="10">
        <f>0.9*Z111*$D$2*(J111-(Z111*$D$2/(0.85*$B$2*(D111*1000)))/2)/1000000</f>
        <v>49.77351244</v>
      </c>
      <c r="AB111" s="15" t="str">
        <f>IF(AA111&gt;=G111,"CUMPLE","REVISAR")</f>
        <v>CUMPLE</v>
      </c>
      <c r="AC111" s="10">
        <f>0.17*SQRT($B$2)*(D111*1000)*J111/1000</f>
        <v>92.44281538</v>
      </c>
      <c r="AD111" s="10">
        <f>MAX(H111/0.75-AC111,0)</f>
        <v>0</v>
      </c>
      <c r="AE111" s="14">
        <f>IF(AD111&gt;0,MIN($N$2*$D$2*J111/(AD111*1000),MIN(J111/4,6*$H$2,150)),MIN(J111/4,6*$H$2,150))</f>
        <v>85.6375</v>
      </c>
      <c r="AF111" s="10">
        <f>0.66*SQRT($B$2)*(D111*1000)*J111/1000</f>
        <v>358.8956362</v>
      </c>
      <c r="AG111" s="15" t="str">
        <f>IF(AD111&lt;=AF111,"CUMPLE","AUMENTAR SECCION")</f>
        <v>CUMPLE</v>
      </c>
      <c r="AH111" s="10">
        <f>0.75*0.083*SQRT($B$2)*(((D111*1000)*(E111*1000))^2/(2*((D111*1000)+(E111*1000))))/1000000</f>
        <v>3.388073536</v>
      </c>
      <c r="AI111" s="15" t="str">
        <f>IF(I111&gt;AH111,"SI","No")</f>
        <v>No</v>
      </c>
      <c r="AJ111" s="11">
        <f>IF(I111&gt;AH111,I111*1000000/(0.75*2*0.85*((D111*1000-2*$F$2)*(E111*1000-2*$F$2))*$D$2),0)</f>
        <v>0</v>
      </c>
      <c r="AK111" s="10">
        <f>1.25*Q111*$D$2*(J111-(1.25*Q111*$D$2/(0.85*$B$2*(D111*1000)))/2)/1000000</f>
        <v>68.51839235</v>
      </c>
      <c r="AL111" s="10">
        <f>1.25*Z111*$D$2*(J111-(1.25*Z111*$D$2/(0.85*$B$2*(D111*1000)))/2)/1000000</f>
        <v>68.51839235</v>
      </c>
      <c r="AM111" s="10">
        <f>(AK111+AL111)/B111</f>
        <v>54.81471388</v>
      </c>
      <c r="AN111" s="10">
        <f>MAX(H111,AM111)</f>
        <v>54.81471388</v>
      </c>
    </row>
    <row r="112">
      <c r="A112" s="5" t="inlineStr">
        <is>
          <t>F113</t>
        </is>
      </c>
      <c r="B112" s="6" t="n">
        <v>2.6</v>
      </c>
      <c r="C112" s="7" t="inlineStr">
        <is>
          <t>VC</t>
        </is>
      </c>
      <c r="D112" s="8">
        <f>IF(C112="VR",0.35,0.30)</f>
        <v>0.3</v>
      </c>
      <c r="E112" s="6" t="n">
        <v>0.4</v>
      </c>
      <c r="F112" s="9" t="n">
        <v>6.4</v>
      </c>
      <c r="G112" s="9" t="n">
        <v>2.2</v>
      </c>
      <c r="H112" s="9" t="n">
        <v>11.4</v>
      </c>
      <c r="I112" s="6" t="n">
        <v>0.31</v>
      </c>
      <c r="J112" s="10">
        <f>E112*1000-$F$2-$L$2-$H$2/2</f>
        <v>342.55</v>
      </c>
      <c r="K112" s="11">
        <f>F112*1000000/(0.9*(D112*1000)*J112^2)</f>
        <v>0.202954771</v>
      </c>
      <c r="L112" s="12">
        <f>(0.85*$B$2/$D$2)*(1-SQRT(1-2*K112/(0.85*$B$2)))</f>
        <v>0.0004853037606</v>
      </c>
      <c r="M112" s="13">
        <f>L112*(D112*1000)*J112</f>
        <v>49.87224096</v>
      </c>
      <c r="N112" s="13">
        <f>MAX(0.25*SQRT($B$2)/$D$2,1.4/$D$2)*(D112*1000)*J112</f>
        <v>342.55</v>
      </c>
      <c r="O112" s="13">
        <f>MAX(M112,N112)</f>
        <v>342.55</v>
      </c>
      <c r="P112" s="14">
        <f>ROUNDUP(O112/$J$2,0)</f>
        <v>2</v>
      </c>
      <c r="Q112" s="13">
        <f>P112*$J$2</f>
        <v>398</v>
      </c>
      <c r="R112" s="10">
        <f>Q112*$D$2/(0.85*$B$2*(D112*1000))</f>
        <v>23.41176471</v>
      </c>
      <c r="S112" s="10">
        <f>0.9*Q112*$D$2*(J112-R112/2)/1000000</f>
        <v>49.77351244</v>
      </c>
      <c r="T112" s="15" t="str">
        <f>IF(AND(S112&gt;=F112,O112&lt;=0.025*(D112*1000)*J112,O112&gt;=N112),"CUMPLE","REVISAR")</f>
        <v>CUMPLE</v>
      </c>
      <c r="U112" s="11">
        <f>G112*1000000/(0.9*(D112*1000)*J112^2)</f>
        <v>0.07038711343</v>
      </c>
      <c r="V112" s="12">
        <f>(0.85*$B$2/$D$2)*(1-SQRT(1-2*U112/(0.85*$B$2)))</f>
        <v>0.0001678369173</v>
      </c>
      <c r="W112" s="13">
        <f>V112*(D112*1000)*J112</f>
        <v>17.24776081</v>
      </c>
      <c r="X112" s="13">
        <f>MAX(W112,N112)</f>
        <v>342.55</v>
      </c>
      <c r="Y112" s="14">
        <f>ROUNDUP(X112/$J$2,0)</f>
        <v>2</v>
      </c>
      <c r="Z112" s="13">
        <f>Y112*$J$2</f>
        <v>398</v>
      </c>
      <c r="AA112" s="10">
        <f>0.9*Z112*$D$2*(J112-(Z112*$D$2/(0.85*$B$2*(D112*1000)))/2)/1000000</f>
        <v>49.77351244</v>
      </c>
      <c r="AB112" s="15" t="str">
        <f>IF(AA112&gt;=G112,"CUMPLE","REVISAR")</f>
        <v>CUMPLE</v>
      </c>
      <c r="AC112" s="10">
        <f>0.17*SQRT($B$2)*(D112*1000)*J112/1000</f>
        <v>92.44281538</v>
      </c>
      <c r="AD112" s="10">
        <f>MAX(H112/0.75-AC112,0)</f>
        <v>0</v>
      </c>
      <c r="AE112" s="14">
        <f>IF(AD112&gt;0,MIN($N$2*$D$2*J112/(AD112*1000),MIN(J112/4,6*$H$2,150)),MIN(J112/4,6*$H$2,150))</f>
        <v>85.6375</v>
      </c>
      <c r="AF112" s="10">
        <f>0.66*SQRT($B$2)*(D112*1000)*J112/1000</f>
        <v>358.8956362</v>
      </c>
      <c r="AG112" s="15" t="str">
        <f>IF(AD112&lt;=AF112,"CUMPLE","AUMENTAR SECCION")</f>
        <v>CUMPLE</v>
      </c>
      <c r="AH112" s="10">
        <f>0.75*0.083*SQRT($B$2)*(((D112*1000)*(E112*1000))^2/(2*((D112*1000)+(E112*1000))))/1000000</f>
        <v>3.388073536</v>
      </c>
      <c r="AI112" s="15" t="str">
        <f>IF(I112&gt;AH112,"SI","No")</f>
        <v>No</v>
      </c>
      <c r="AJ112" s="11">
        <f>IF(I112&gt;AH112,I112*1000000/(0.75*2*0.85*((D112*1000-2*$F$2)*(E112*1000-2*$F$2))*$D$2),0)</f>
        <v>0</v>
      </c>
      <c r="AK112" s="10">
        <f>1.25*Q112*$D$2*(J112-(1.25*Q112*$D$2/(0.85*$B$2*(D112*1000)))/2)/1000000</f>
        <v>68.51839235</v>
      </c>
      <c r="AL112" s="10">
        <f>1.25*Z112*$D$2*(J112-(1.25*Z112*$D$2/(0.85*$B$2*(D112*1000)))/2)/1000000</f>
        <v>68.51839235</v>
      </c>
      <c r="AM112" s="10">
        <f>(AK112+AL112)/B112</f>
        <v>52.70645566</v>
      </c>
      <c r="AN112" s="10">
        <f>MAX(H112,AM112)</f>
        <v>52.70645566</v>
      </c>
    </row>
    <row r="113">
      <c r="A113" s="5" t="inlineStr">
        <is>
          <t>F114</t>
        </is>
      </c>
      <c r="B113" s="6" t="n">
        <v>2.6</v>
      </c>
      <c r="C113" s="7" t="inlineStr">
        <is>
          <t>VC</t>
        </is>
      </c>
      <c r="D113" s="8">
        <f>IF(C113="VR",0.35,0.30)</f>
        <v>0.3</v>
      </c>
      <c r="E113" s="6" t="n">
        <v>0.4</v>
      </c>
      <c r="F113" s="9" t="n">
        <v>6.4</v>
      </c>
      <c r="G113" s="9" t="n">
        <v>2.2</v>
      </c>
      <c r="H113" s="9" t="n">
        <v>11.4</v>
      </c>
      <c r="I113" s="6" t="n">
        <v>0.31</v>
      </c>
      <c r="J113" s="10">
        <f>E113*1000-$F$2-$L$2-$H$2/2</f>
        <v>342.55</v>
      </c>
      <c r="K113" s="11">
        <f>F113*1000000/(0.9*(D113*1000)*J113^2)</f>
        <v>0.202954771</v>
      </c>
      <c r="L113" s="12">
        <f>(0.85*$B$2/$D$2)*(1-SQRT(1-2*K113/(0.85*$B$2)))</f>
        <v>0.0004853037606</v>
      </c>
      <c r="M113" s="13">
        <f>L113*(D113*1000)*J113</f>
        <v>49.87224096</v>
      </c>
      <c r="N113" s="13">
        <f>MAX(0.25*SQRT($B$2)/$D$2,1.4/$D$2)*(D113*1000)*J113</f>
        <v>342.55</v>
      </c>
      <c r="O113" s="13">
        <f>MAX(M113,N113)</f>
        <v>342.55</v>
      </c>
      <c r="P113" s="14">
        <f>ROUNDUP(O113/$J$2,0)</f>
        <v>2</v>
      </c>
      <c r="Q113" s="13">
        <f>P113*$J$2</f>
        <v>398</v>
      </c>
      <c r="R113" s="10">
        <f>Q113*$D$2/(0.85*$B$2*(D113*1000))</f>
        <v>23.41176471</v>
      </c>
      <c r="S113" s="10">
        <f>0.9*Q113*$D$2*(J113-R113/2)/1000000</f>
        <v>49.77351244</v>
      </c>
      <c r="T113" s="15" t="str">
        <f>IF(AND(S113&gt;=F113,O113&lt;=0.025*(D113*1000)*J113,O113&gt;=N113),"CUMPLE","REVISAR")</f>
        <v>CUMPLE</v>
      </c>
      <c r="U113" s="11">
        <f>G113*1000000/(0.9*(D113*1000)*J113^2)</f>
        <v>0.07038711343</v>
      </c>
      <c r="V113" s="12">
        <f>(0.85*$B$2/$D$2)*(1-SQRT(1-2*U113/(0.85*$B$2)))</f>
        <v>0.0001678369173</v>
      </c>
      <c r="W113" s="13">
        <f>V113*(D113*1000)*J113</f>
        <v>17.24776081</v>
      </c>
      <c r="X113" s="13">
        <f>MAX(W113,N113)</f>
        <v>342.55</v>
      </c>
      <c r="Y113" s="14">
        <f>ROUNDUP(X113/$J$2,0)</f>
        <v>2</v>
      </c>
      <c r="Z113" s="13">
        <f>Y113*$J$2</f>
        <v>398</v>
      </c>
      <c r="AA113" s="10">
        <f>0.9*Z113*$D$2*(J113-(Z113*$D$2/(0.85*$B$2*(D113*1000)))/2)/1000000</f>
        <v>49.77351244</v>
      </c>
      <c r="AB113" s="15" t="str">
        <f>IF(AA113&gt;=G113,"CUMPLE","REVISAR")</f>
        <v>CUMPLE</v>
      </c>
      <c r="AC113" s="10">
        <f>0.17*SQRT($B$2)*(D113*1000)*J113/1000</f>
        <v>92.44281538</v>
      </c>
      <c r="AD113" s="10">
        <f>MAX(H113/0.75-AC113,0)</f>
        <v>0</v>
      </c>
      <c r="AE113" s="14">
        <f>IF(AD113&gt;0,MIN($N$2*$D$2*J113/(AD113*1000),MIN(J113/4,6*$H$2,150)),MIN(J113/4,6*$H$2,150))</f>
        <v>85.6375</v>
      </c>
      <c r="AF113" s="10">
        <f>0.66*SQRT($B$2)*(D113*1000)*J113/1000</f>
        <v>358.8956362</v>
      </c>
      <c r="AG113" s="15" t="str">
        <f>IF(AD113&lt;=AF113,"CUMPLE","AUMENTAR SECCION")</f>
        <v>CUMPLE</v>
      </c>
      <c r="AH113" s="10">
        <f>0.75*0.083*SQRT($B$2)*(((D113*1000)*(E113*1000))^2/(2*((D113*1000)+(E113*1000))))/1000000</f>
        <v>3.388073536</v>
      </c>
      <c r="AI113" s="15" t="str">
        <f>IF(I113&gt;AH113,"SI","No")</f>
        <v>No</v>
      </c>
      <c r="AJ113" s="11">
        <f>IF(I113&gt;AH113,I113*1000000/(0.75*2*0.85*((D113*1000-2*$F$2)*(E113*1000-2*$F$2))*$D$2),0)</f>
        <v>0</v>
      </c>
      <c r="AK113" s="10">
        <f>1.25*Q113*$D$2*(J113-(1.25*Q113*$D$2/(0.85*$B$2*(D113*1000)))/2)/1000000</f>
        <v>68.51839235</v>
      </c>
      <c r="AL113" s="10">
        <f>1.25*Z113*$D$2*(J113-(1.25*Z113*$D$2/(0.85*$B$2*(D113*1000)))/2)/1000000</f>
        <v>68.51839235</v>
      </c>
      <c r="AM113" s="10">
        <f>(AK113+AL113)/B113</f>
        <v>52.70645566</v>
      </c>
      <c r="AN113" s="10">
        <f>MAX(H113,AM113)</f>
        <v>52.70645566</v>
      </c>
    </row>
    <row r="114">
      <c r="A114" s="5" t="inlineStr">
        <is>
          <t>F115</t>
        </is>
      </c>
      <c r="B114" s="6" t="n">
        <v>2.6</v>
      </c>
      <c r="C114" s="7" t="inlineStr">
        <is>
          <t>VC</t>
        </is>
      </c>
      <c r="D114" s="8">
        <f>IF(C114="VR",0.35,0.30)</f>
        <v>0.3</v>
      </c>
      <c r="E114" s="6" t="n">
        <v>0.4</v>
      </c>
      <c r="F114" s="9" t="n">
        <v>6.4</v>
      </c>
      <c r="G114" s="9" t="n">
        <v>2.2</v>
      </c>
      <c r="H114" s="9" t="n">
        <v>11.4</v>
      </c>
      <c r="I114" s="6" t="n">
        <v>0.31</v>
      </c>
      <c r="J114" s="10">
        <f>E114*1000-$F$2-$L$2-$H$2/2</f>
        <v>342.55</v>
      </c>
      <c r="K114" s="11">
        <f>F114*1000000/(0.9*(D114*1000)*J114^2)</f>
        <v>0.202954771</v>
      </c>
      <c r="L114" s="12">
        <f>(0.85*$B$2/$D$2)*(1-SQRT(1-2*K114/(0.85*$B$2)))</f>
        <v>0.0004853037606</v>
      </c>
      <c r="M114" s="13">
        <f>L114*(D114*1000)*J114</f>
        <v>49.87224096</v>
      </c>
      <c r="N114" s="13">
        <f>MAX(0.25*SQRT($B$2)/$D$2,1.4/$D$2)*(D114*1000)*J114</f>
        <v>342.55</v>
      </c>
      <c r="O114" s="13">
        <f>MAX(M114,N114)</f>
        <v>342.55</v>
      </c>
      <c r="P114" s="14">
        <f>ROUNDUP(O114/$J$2,0)</f>
        <v>2</v>
      </c>
      <c r="Q114" s="13">
        <f>P114*$J$2</f>
        <v>398</v>
      </c>
      <c r="R114" s="10">
        <f>Q114*$D$2/(0.85*$B$2*(D114*1000))</f>
        <v>23.41176471</v>
      </c>
      <c r="S114" s="10">
        <f>0.9*Q114*$D$2*(J114-R114/2)/1000000</f>
        <v>49.77351244</v>
      </c>
      <c r="T114" s="15" t="str">
        <f>IF(AND(S114&gt;=F114,O114&lt;=0.025*(D114*1000)*J114,O114&gt;=N114),"CUMPLE","REVISAR")</f>
        <v>CUMPLE</v>
      </c>
      <c r="U114" s="11">
        <f>G114*1000000/(0.9*(D114*1000)*J114^2)</f>
        <v>0.07038711343</v>
      </c>
      <c r="V114" s="12">
        <f>(0.85*$B$2/$D$2)*(1-SQRT(1-2*U114/(0.85*$B$2)))</f>
        <v>0.0001678369173</v>
      </c>
      <c r="W114" s="13">
        <f>V114*(D114*1000)*J114</f>
        <v>17.24776081</v>
      </c>
      <c r="X114" s="13">
        <f>MAX(W114,N114)</f>
        <v>342.55</v>
      </c>
      <c r="Y114" s="14">
        <f>ROUNDUP(X114/$J$2,0)</f>
        <v>2</v>
      </c>
      <c r="Z114" s="13">
        <f>Y114*$J$2</f>
        <v>398</v>
      </c>
      <c r="AA114" s="10">
        <f>0.9*Z114*$D$2*(J114-(Z114*$D$2/(0.85*$B$2*(D114*1000)))/2)/1000000</f>
        <v>49.77351244</v>
      </c>
      <c r="AB114" s="15" t="str">
        <f>IF(AA114&gt;=G114,"CUMPLE","REVISAR")</f>
        <v>CUMPLE</v>
      </c>
      <c r="AC114" s="10">
        <f>0.17*SQRT($B$2)*(D114*1000)*J114/1000</f>
        <v>92.44281538</v>
      </c>
      <c r="AD114" s="10">
        <f>MAX(H114/0.75-AC114,0)</f>
        <v>0</v>
      </c>
      <c r="AE114" s="14">
        <f>IF(AD114&gt;0,MIN($N$2*$D$2*J114/(AD114*1000),MIN(J114/4,6*$H$2,150)),MIN(J114/4,6*$H$2,150))</f>
        <v>85.6375</v>
      </c>
      <c r="AF114" s="10">
        <f>0.66*SQRT($B$2)*(D114*1000)*J114/1000</f>
        <v>358.8956362</v>
      </c>
      <c r="AG114" s="15" t="str">
        <f>IF(AD114&lt;=AF114,"CUMPLE","AUMENTAR SECCION")</f>
        <v>CUMPLE</v>
      </c>
      <c r="AH114" s="10">
        <f>0.75*0.083*SQRT($B$2)*(((D114*1000)*(E114*1000))^2/(2*((D114*1000)+(E114*1000))))/1000000</f>
        <v>3.388073536</v>
      </c>
      <c r="AI114" s="15" t="str">
        <f>IF(I114&gt;AH114,"SI","No")</f>
        <v>No</v>
      </c>
      <c r="AJ114" s="11">
        <f>IF(I114&gt;AH114,I114*1000000/(0.75*2*0.85*((D114*1000-2*$F$2)*(E114*1000-2*$F$2))*$D$2),0)</f>
        <v>0</v>
      </c>
      <c r="AK114" s="10">
        <f>1.25*Q114*$D$2*(J114-(1.25*Q114*$D$2/(0.85*$B$2*(D114*1000)))/2)/1000000</f>
        <v>68.51839235</v>
      </c>
      <c r="AL114" s="10">
        <f>1.25*Z114*$D$2*(J114-(1.25*Z114*$D$2/(0.85*$B$2*(D114*1000)))/2)/1000000</f>
        <v>68.51839235</v>
      </c>
      <c r="AM114" s="10">
        <f>(AK114+AL114)/B114</f>
        <v>52.70645566</v>
      </c>
      <c r="AN114" s="10">
        <f>MAX(H114,AM114)</f>
        <v>52.70645566</v>
      </c>
    </row>
    <row r="115">
      <c r="A115" s="5" t="inlineStr">
        <is>
          <t>F116</t>
        </is>
      </c>
      <c r="B115" s="6" t="n">
        <v>2.6</v>
      </c>
      <c r="C115" s="7" t="inlineStr">
        <is>
          <t>VC</t>
        </is>
      </c>
      <c r="D115" s="8">
        <f>IF(C115="VR",0.35,0.30)</f>
        <v>0.3</v>
      </c>
      <c r="E115" s="6" t="n">
        <v>0.4</v>
      </c>
      <c r="F115" s="9" t="n">
        <v>6.4</v>
      </c>
      <c r="G115" s="9" t="n">
        <v>2.2</v>
      </c>
      <c r="H115" s="9" t="n">
        <v>11.4</v>
      </c>
      <c r="I115" s="6" t="n">
        <v>0.31</v>
      </c>
      <c r="J115" s="10">
        <f>E115*1000-$F$2-$L$2-$H$2/2</f>
        <v>342.55</v>
      </c>
      <c r="K115" s="11">
        <f>F115*1000000/(0.9*(D115*1000)*J115^2)</f>
        <v>0.202954771</v>
      </c>
      <c r="L115" s="12">
        <f>(0.85*$B$2/$D$2)*(1-SQRT(1-2*K115/(0.85*$B$2)))</f>
        <v>0.0004853037606</v>
      </c>
      <c r="M115" s="13">
        <f>L115*(D115*1000)*J115</f>
        <v>49.87224096</v>
      </c>
      <c r="N115" s="13">
        <f>MAX(0.25*SQRT($B$2)/$D$2,1.4/$D$2)*(D115*1000)*J115</f>
        <v>342.55</v>
      </c>
      <c r="O115" s="13">
        <f>MAX(M115,N115)</f>
        <v>342.55</v>
      </c>
      <c r="P115" s="14">
        <f>ROUNDUP(O115/$J$2,0)</f>
        <v>2</v>
      </c>
      <c r="Q115" s="13">
        <f>P115*$J$2</f>
        <v>398</v>
      </c>
      <c r="R115" s="10">
        <f>Q115*$D$2/(0.85*$B$2*(D115*1000))</f>
        <v>23.41176471</v>
      </c>
      <c r="S115" s="10">
        <f>0.9*Q115*$D$2*(J115-R115/2)/1000000</f>
        <v>49.77351244</v>
      </c>
      <c r="T115" s="15" t="str">
        <f>IF(AND(S115&gt;=F115,O115&lt;=0.025*(D115*1000)*J115,O115&gt;=N115),"CUMPLE","REVISAR")</f>
        <v>CUMPLE</v>
      </c>
      <c r="U115" s="11">
        <f>G115*1000000/(0.9*(D115*1000)*J115^2)</f>
        <v>0.07038711343</v>
      </c>
      <c r="V115" s="12">
        <f>(0.85*$B$2/$D$2)*(1-SQRT(1-2*U115/(0.85*$B$2)))</f>
        <v>0.0001678369173</v>
      </c>
      <c r="W115" s="13">
        <f>V115*(D115*1000)*J115</f>
        <v>17.24776081</v>
      </c>
      <c r="X115" s="13">
        <f>MAX(W115,N115)</f>
        <v>342.55</v>
      </c>
      <c r="Y115" s="14">
        <f>ROUNDUP(X115/$J$2,0)</f>
        <v>2</v>
      </c>
      <c r="Z115" s="13">
        <f>Y115*$J$2</f>
        <v>398</v>
      </c>
      <c r="AA115" s="10">
        <f>0.9*Z115*$D$2*(J115-(Z115*$D$2/(0.85*$B$2*(D115*1000)))/2)/1000000</f>
        <v>49.77351244</v>
      </c>
      <c r="AB115" s="15" t="str">
        <f>IF(AA115&gt;=G115,"CUMPLE","REVISAR")</f>
        <v>CUMPLE</v>
      </c>
      <c r="AC115" s="10">
        <f>0.17*SQRT($B$2)*(D115*1000)*J115/1000</f>
        <v>92.44281538</v>
      </c>
      <c r="AD115" s="10">
        <f>MAX(H115/0.75-AC115,0)</f>
        <v>0</v>
      </c>
      <c r="AE115" s="14">
        <f>IF(AD115&gt;0,MIN($N$2*$D$2*J115/(AD115*1000),MIN(J115/4,6*$H$2,150)),MIN(J115/4,6*$H$2,150))</f>
        <v>85.6375</v>
      </c>
      <c r="AF115" s="10">
        <f>0.66*SQRT($B$2)*(D115*1000)*J115/1000</f>
        <v>358.8956362</v>
      </c>
      <c r="AG115" s="15" t="str">
        <f>IF(AD115&lt;=AF115,"CUMPLE","AUMENTAR SECCION")</f>
        <v>CUMPLE</v>
      </c>
      <c r="AH115" s="10">
        <f>0.75*0.083*SQRT($B$2)*(((D115*1000)*(E115*1000))^2/(2*((D115*1000)+(E115*1000))))/1000000</f>
        <v>3.388073536</v>
      </c>
      <c r="AI115" s="15" t="str">
        <f>IF(I115&gt;AH115,"SI","No")</f>
        <v>No</v>
      </c>
      <c r="AJ115" s="11">
        <f>IF(I115&gt;AH115,I115*1000000/(0.75*2*0.85*((D115*1000-2*$F$2)*(E115*1000-2*$F$2))*$D$2),0)</f>
        <v>0</v>
      </c>
      <c r="AK115" s="10">
        <f>1.25*Q115*$D$2*(J115-(1.25*Q115*$D$2/(0.85*$B$2*(D115*1000)))/2)/1000000</f>
        <v>68.51839235</v>
      </c>
      <c r="AL115" s="10">
        <f>1.25*Z115*$D$2*(J115-(1.25*Z115*$D$2/(0.85*$B$2*(D115*1000)))/2)/1000000</f>
        <v>68.51839235</v>
      </c>
      <c r="AM115" s="10">
        <f>(AK115+AL115)/B115</f>
        <v>52.70645566</v>
      </c>
      <c r="AN115" s="10">
        <f>MAX(H115,AM115)</f>
        <v>52.70645566</v>
      </c>
    </row>
    <row r="116">
      <c r="A116" s="5" t="inlineStr">
        <is>
          <t>F117</t>
        </is>
      </c>
      <c r="B116" s="6" t="n">
        <v>2.5</v>
      </c>
      <c r="C116" s="7" t="inlineStr">
        <is>
          <t>VC</t>
        </is>
      </c>
      <c r="D116" s="8">
        <f>IF(C116="VR",0.35,0.30)</f>
        <v>0.3</v>
      </c>
      <c r="E116" s="6" t="n">
        <v>0.4</v>
      </c>
      <c r="F116" s="9" t="n">
        <v>7.3</v>
      </c>
      <c r="G116" s="9" t="n">
        <v>2.4</v>
      </c>
      <c r="H116" s="9" t="n">
        <v>12.1</v>
      </c>
      <c r="I116" s="6" t="n">
        <v>1.41</v>
      </c>
      <c r="J116" s="10">
        <f>E116*1000-$F$2-$L$2-$H$2/2</f>
        <v>342.55</v>
      </c>
      <c r="K116" s="11">
        <f>F116*1000000/(0.9*(D116*1000)*J116^2)</f>
        <v>0.2310464889</v>
      </c>
      <c r="L116" s="12">
        <f>(0.85*$B$2/$D$2)*(1-SQRT(1-2*K116/(0.85*$B$2)))</f>
        <v>0.0005528071207</v>
      </c>
      <c r="M116" s="13">
        <f>L116*(D116*1000)*J116</f>
        <v>56.80922376</v>
      </c>
      <c r="N116" s="13">
        <f>MAX(0.25*SQRT($B$2)/$D$2,1.4/$D$2)*(D116*1000)*J116</f>
        <v>342.55</v>
      </c>
      <c r="O116" s="13">
        <f>MAX(M116,N116)</f>
        <v>342.55</v>
      </c>
      <c r="P116" s="14">
        <f>ROUNDUP(O116/$J$2,0)</f>
        <v>2</v>
      </c>
      <c r="Q116" s="13">
        <f>P116*$J$2</f>
        <v>398</v>
      </c>
      <c r="R116" s="10">
        <f>Q116*$D$2/(0.85*$B$2*(D116*1000))</f>
        <v>23.41176471</v>
      </c>
      <c r="S116" s="10">
        <f>0.9*Q116*$D$2*(J116-R116/2)/1000000</f>
        <v>49.77351244</v>
      </c>
      <c r="T116" s="15" t="str">
        <f>IF(AND(S116&gt;=F116,O116&lt;=0.025*(D116*1000)*J116,O116&gt;=N116),"CUMPLE","REVISAR")</f>
        <v>CUMPLE</v>
      </c>
      <c r="U116" s="11">
        <f>G116*1000000/(0.9*(D116*1000)*J116^2)</f>
        <v>0.07449039807</v>
      </c>
      <c r="V116" s="12">
        <f>(0.85*$B$2/$D$2)*(1-SQRT(1-2*U116/(0.85*$B$2)))</f>
        <v>0.0001776365147</v>
      </c>
      <c r="W116" s="13">
        <f>V116*(D116*1000)*J116</f>
        <v>18.25481644</v>
      </c>
      <c r="X116" s="13">
        <f>MAX(W116,N116)</f>
        <v>342.55</v>
      </c>
      <c r="Y116" s="14">
        <f>ROUNDUP(X116/$J$2,0)</f>
        <v>2</v>
      </c>
      <c r="Z116" s="13">
        <f>Y116*$J$2</f>
        <v>398</v>
      </c>
      <c r="AA116" s="10">
        <f>0.9*Z116*$D$2*(J116-(Z116*$D$2/(0.85*$B$2*(D116*1000)))/2)/1000000</f>
        <v>49.77351244</v>
      </c>
      <c r="AB116" s="15" t="str">
        <f>IF(AA116&gt;=G116,"CUMPLE","REVISAR")</f>
        <v>CUMPLE</v>
      </c>
      <c r="AC116" s="10">
        <f>0.17*SQRT($B$2)*(D116*1000)*J116/1000</f>
        <v>92.44281538</v>
      </c>
      <c r="AD116" s="10">
        <f>MAX(H116/0.75-AC116,0)</f>
        <v>0</v>
      </c>
      <c r="AE116" s="14">
        <f>IF(AD116&gt;0,MIN($N$2*$D$2*J116/(AD116*1000),MIN(J116/4,6*$H$2,150)),MIN(J116/4,6*$H$2,150))</f>
        <v>85.6375</v>
      </c>
      <c r="AF116" s="10">
        <f>0.66*SQRT($B$2)*(D116*1000)*J116/1000</f>
        <v>358.8956362</v>
      </c>
      <c r="AG116" s="15" t="str">
        <f>IF(AD116&lt;=AF116,"CUMPLE","AUMENTAR SECCION")</f>
        <v>CUMPLE</v>
      </c>
      <c r="AH116" s="10">
        <f>0.75*0.083*SQRT($B$2)*(((D116*1000)*(E116*1000))^2/(2*((D116*1000)+(E116*1000))))/1000000</f>
        <v>3.388073536</v>
      </c>
      <c r="AI116" s="15" t="str">
        <f>IF(I116&gt;AH116,"SI","No")</f>
        <v>No</v>
      </c>
      <c r="AJ116" s="11">
        <f>IF(I116&gt;AH116,I116*1000000/(0.75*2*0.85*((D116*1000-2*$F$2)*(E116*1000-2*$F$2))*$D$2),0)</f>
        <v>0</v>
      </c>
      <c r="AK116" s="10">
        <f>1.25*Q116*$D$2*(J116-(1.25*Q116*$D$2/(0.85*$B$2*(D116*1000)))/2)/1000000</f>
        <v>68.51839235</v>
      </c>
      <c r="AL116" s="10">
        <f>1.25*Z116*$D$2*(J116-(1.25*Z116*$D$2/(0.85*$B$2*(D116*1000)))/2)/1000000</f>
        <v>68.51839235</v>
      </c>
      <c r="AM116" s="10">
        <f>(AK116+AL116)/B116</f>
        <v>54.81471388</v>
      </c>
      <c r="AN116" s="10">
        <f>MAX(H116,AM116)</f>
        <v>54.81471388</v>
      </c>
    </row>
    <row r="117">
      <c r="A117" s="5" t="inlineStr">
        <is>
          <t>F118</t>
        </is>
      </c>
      <c r="B117" s="6" t="n">
        <v>2.5</v>
      </c>
      <c r="C117" s="7" t="inlineStr">
        <is>
          <t>VC</t>
        </is>
      </c>
      <c r="D117" s="8">
        <f>IF(C117="VR",0.35,0.30)</f>
        <v>0.3</v>
      </c>
      <c r="E117" s="6" t="n">
        <v>0.4</v>
      </c>
      <c r="F117" s="9" t="n">
        <v>7.3</v>
      </c>
      <c r="G117" s="9" t="n">
        <v>2.4</v>
      </c>
      <c r="H117" s="9" t="n">
        <v>12.1</v>
      </c>
      <c r="I117" s="6" t="n">
        <v>1.42</v>
      </c>
      <c r="J117" s="10">
        <f>E117*1000-$F$2-$L$2-$H$2/2</f>
        <v>342.55</v>
      </c>
      <c r="K117" s="11">
        <f>F117*1000000/(0.9*(D117*1000)*J117^2)</f>
        <v>0.2304152144</v>
      </c>
      <c r="L117" s="12">
        <f>(0.85*$B$2/$D$2)*(1-SQRT(1-2*K117/(0.85*$B$2)))</f>
        <v>0.0005512892993</v>
      </c>
      <c r="M117" s="13">
        <f>L117*(D117*1000)*J117</f>
        <v>56.65324485</v>
      </c>
      <c r="N117" s="13">
        <f>MAX(0.25*SQRT($B$2)/$D$2,1.4/$D$2)*(D117*1000)*J117</f>
        <v>342.55</v>
      </c>
      <c r="O117" s="13">
        <f>MAX(M117,N117)</f>
        <v>342.55</v>
      </c>
      <c r="P117" s="14">
        <f>ROUNDUP(O117/$J$2,0)</f>
        <v>2</v>
      </c>
      <c r="Q117" s="13">
        <f>P117*$J$2</f>
        <v>398</v>
      </c>
      <c r="R117" s="10">
        <f>Q117*$D$2/(0.85*$B$2*(D117*1000))</f>
        <v>23.41176471</v>
      </c>
      <c r="S117" s="10">
        <f>0.9*Q117*$D$2*(J117-R117/2)/1000000</f>
        <v>49.77351244</v>
      </c>
      <c r="T117" s="15" t="str">
        <f>IF(AND(S117&gt;=F117,O117&lt;=0.025*(D117*1000)*J117,O117&gt;=N117),"CUMPLE","REVISAR")</f>
        <v>CUMPLE</v>
      </c>
      <c r="U117" s="11">
        <f>G117*1000000/(0.9*(D117*1000)*J117^2)</f>
        <v>0.07449039807</v>
      </c>
      <c r="V117" s="12">
        <f>(0.85*$B$2/$D$2)*(1-SQRT(1-2*U117/(0.85*$B$2)))</f>
        <v>0.0001776365147</v>
      </c>
      <c r="W117" s="13">
        <f>V117*(D117*1000)*J117</f>
        <v>18.25481644</v>
      </c>
      <c r="X117" s="13">
        <f>MAX(W117,N117)</f>
        <v>342.55</v>
      </c>
      <c r="Y117" s="14">
        <f>ROUNDUP(X117/$J$2,0)</f>
        <v>2</v>
      </c>
      <c r="Z117" s="13">
        <f>Y117*$J$2</f>
        <v>398</v>
      </c>
      <c r="AA117" s="10">
        <f>0.9*Z117*$D$2*(J117-(Z117*$D$2/(0.85*$B$2*(D117*1000)))/2)/1000000</f>
        <v>49.77351244</v>
      </c>
      <c r="AB117" s="15" t="str">
        <f>IF(AA117&gt;=G117,"CUMPLE","REVISAR")</f>
        <v>CUMPLE</v>
      </c>
      <c r="AC117" s="10">
        <f>0.17*SQRT($B$2)*(D117*1000)*J117/1000</f>
        <v>92.44281538</v>
      </c>
      <c r="AD117" s="10">
        <f>MAX(H117/0.75-AC117,0)</f>
        <v>0</v>
      </c>
      <c r="AE117" s="14">
        <f>IF(AD117&gt;0,MIN($N$2*$D$2*J117/(AD117*1000),MIN(J117/4,6*$H$2,150)),MIN(J117/4,6*$H$2,150))</f>
        <v>85.6375</v>
      </c>
      <c r="AF117" s="10">
        <f>0.66*SQRT($B$2)*(D117*1000)*J117/1000</f>
        <v>358.8956362</v>
      </c>
      <c r="AG117" s="15" t="str">
        <f>IF(AD117&lt;=AF117,"CUMPLE","AUMENTAR SECCION")</f>
        <v>CUMPLE</v>
      </c>
      <c r="AH117" s="10">
        <f>0.75*0.083*SQRT($B$2)*(((D117*1000)*(E117*1000))^2/(2*((D117*1000)+(E117*1000))))/1000000</f>
        <v>3.388073536</v>
      </c>
      <c r="AI117" s="15" t="str">
        <f>IF(I117&gt;AH117,"SI","No")</f>
        <v>No</v>
      </c>
      <c r="AJ117" s="11">
        <f>IF(I117&gt;AH117,I117*1000000/(0.75*2*0.85*((D117*1000-2*$F$2)*(E117*1000-2*$F$2))*$D$2),0)</f>
        <v>0</v>
      </c>
      <c r="AK117" s="10">
        <f>1.25*Q117*$D$2*(J117-(1.25*Q117*$D$2/(0.85*$B$2*(D117*1000)))/2)/1000000</f>
        <v>68.51839235</v>
      </c>
      <c r="AL117" s="10">
        <f>1.25*Z117*$D$2*(J117-(1.25*Z117*$D$2/(0.85*$B$2*(D117*1000)))/2)/1000000</f>
        <v>68.51839235</v>
      </c>
      <c r="AM117" s="10">
        <f>(AK117+AL117)/B117</f>
        <v>54.81471388</v>
      </c>
      <c r="AN117" s="10">
        <f>MAX(H117,AM117)</f>
        <v>54.81471388</v>
      </c>
    </row>
    <row r="118">
      <c r="A118" s="5" t="inlineStr">
        <is>
          <t>F119</t>
        </is>
      </c>
      <c r="B118" s="6" t="n">
        <v>2.5</v>
      </c>
      <c r="C118" s="7" t="inlineStr">
        <is>
          <t>VC</t>
        </is>
      </c>
      <c r="D118" s="8">
        <f>IF(C118="VR",0.35,0.30)</f>
        <v>0.3</v>
      </c>
      <c r="E118" s="6" t="n">
        <v>0.4</v>
      </c>
      <c r="F118" s="9" t="n">
        <v>7.3</v>
      </c>
      <c r="G118" s="9" t="n">
        <v>2.4</v>
      </c>
      <c r="H118" s="9" t="n">
        <v>12.1</v>
      </c>
      <c r="I118" s="6" t="n">
        <v>1.42</v>
      </c>
      <c r="J118" s="10">
        <f>E118*1000-$F$2-$L$2-$H$2/2</f>
        <v>342.55</v>
      </c>
      <c r="K118" s="11">
        <f>F118*1000000/(0.9*(D118*1000)*J118^2)</f>
        <v>0.2307308516</v>
      </c>
      <c r="L118" s="12">
        <f>(0.85*$B$2/$D$2)*(1-SQRT(1-2*K118/(0.85*$B$2)))</f>
        <v>0.0005520482049</v>
      </c>
      <c r="M118" s="13">
        <f>L118*(D118*1000)*J118</f>
        <v>56.73123377</v>
      </c>
      <c r="N118" s="13">
        <f>MAX(0.25*SQRT($B$2)/$D$2,1.4/$D$2)*(D118*1000)*J118</f>
        <v>342.55</v>
      </c>
      <c r="O118" s="13">
        <f>MAX(M118,N118)</f>
        <v>342.55</v>
      </c>
      <c r="P118" s="14">
        <f>ROUNDUP(O118/$J$2,0)</f>
        <v>2</v>
      </c>
      <c r="Q118" s="13">
        <f>P118*$J$2</f>
        <v>398</v>
      </c>
      <c r="R118" s="10">
        <f>Q118*$D$2/(0.85*$B$2*(D118*1000))</f>
        <v>23.41176471</v>
      </c>
      <c r="S118" s="10">
        <f>0.9*Q118*$D$2*(J118-R118/2)/1000000</f>
        <v>49.77351244</v>
      </c>
      <c r="T118" s="15" t="str">
        <f>IF(AND(S118&gt;=F118,O118&lt;=0.025*(D118*1000)*J118,O118&gt;=N118),"CUMPLE","REVISAR")</f>
        <v>CUMPLE</v>
      </c>
      <c r="U118" s="11">
        <f>G118*1000000/(0.9*(D118*1000)*J118^2)</f>
        <v>0.07449039807</v>
      </c>
      <c r="V118" s="12">
        <f>(0.85*$B$2/$D$2)*(1-SQRT(1-2*U118/(0.85*$B$2)))</f>
        <v>0.0001776365147</v>
      </c>
      <c r="W118" s="13">
        <f>V118*(D118*1000)*J118</f>
        <v>18.25481644</v>
      </c>
      <c r="X118" s="13">
        <f>MAX(W118,N118)</f>
        <v>342.55</v>
      </c>
      <c r="Y118" s="14">
        <f>ROUNDUP(X118/$J$2,0)</f>
        <v>2</v>
      </c>
      <c r="Z118" s="13">
        <f>Y118*$J$2</f>
        <v>398</v>
      </c>
      <c r="AA118" s="10">
        <f>0.9*Z118*$D$2*(J118-(Z118*$D$2/(0.85*$B$2*(D118*1000)))/2)/1000000</f>
        <v>49.77351244</v>
      </c>
      <c r="AB118" s="15" t="str">
        <f>IF(AA118&gt;=G118,"CUMPLE","REVISAR")</f>
        <v>CUMPLE</v>
      </c>
      <c r="AC118" s="10">
        <f>0.17*SQRT($B$2)*(D118*1000)*J118/1000</f>
        <v>92.44281538</v>
      </c>
      <c r="AD118" s="10">
        <f>MAX(H118/0.75-AC118,0)</f>
        <v>0</v>
      </c>
      <c r="AE118" s="14">
        <f>IF(AD118&gt;0,MIN($N$2*$D$2*J118/(AD118*1000),MIN(J118/4,6*$H$2,150)),MIN(J118/4,6*$H$2,150))</f>
        <v>85.6375</v>
      </c>
      <c r="AF118" s="10">
        <f>0.66*SQRT($B$2)*(D118*1000)*J118/1000</f>
        <v>358.8956362</v>
      </c>
      <c r="AG118" s="15" t="str">
        <f>IF(AD118&lt;=AF118,"CUMPLE","AUMENTAR SECCION")</f>
        <v>CUMPLE</v>
      </c>
      <c r="AH118" s="10">
        <f>0.75*0.083*SQRT($B$2)*(((D118*1000)*(E118*1000))^2/(2*((D118*1000)+(E118*1000))))/1000000</f>
        <v>3.388073536</v>
      </c>
      <c r="AI118" s="15" t="str">
        <f>IF(I118&gt;AH118,"SI","No")</f>
        <v>No</v>
      </c>
      <c r="AJ118" s="11">
        <f>IF(I118&gt;AH118,I118*1000000/(0.75*2*0.85*((D118*1000-2*$F$2)*(E118*1000-2*$F$2))*$D$2),0)</f>
        <v>0</v>
      </c>
      <c r="AK118" s="10">
        <f>1.25*Q118*$D$2*(J118-(1.25*Q118*$D$2/(0.85*$B$2*(D118*1000)))/2)/1000000</f>
        <v>68.51839235</v>
      </c>
      <c r="AL118" s="10">
        <f>1.25*Z118*$D$2*(J118-(1.25*Z118*$D$2/(0.85*$B$2*(D118*1000)))/2)/1000000</f>
        <v>68.51839235</v>
      </c>
      <c r="AM118" s="10">
        <f>(AK118+AL118)/B118</f>
        <v>54.81471388</v>
      </c>
      <c r="AN118" s="10">
        <f>MAX(H118,AM118)</f>
        <v>54.81471388</v>
      </c>
    </row>
    <row r="119">
      <c r="A119" s="5" t="inlineStr">
        <is>
          <t>F120</t>
        </is>
      </c>
      <c r="B119" s="6" t="n">
        <v>2.5</v>
      </c>
      <c r="C119" s="7" t="inlineStr">
        <is>
          <t>VC</t>
        </is>
      </c>
      <c r="D119" s="8">
        <f>IF(C119="VR",0.35,0.30)</f>
        <v>0.3</v>
      </c>
      <c r="E119" s="6" t="n">
        <v>0.4</v>
      </c>
      <c r="F119" s="9" t="n">
        <v>7.3</v>
      </c>
      <c r="G119" s="9" t="n">
        <v>2.4</v>
      </c>
      <c r="H119" s="9" t="n">
        <v>12.1</v>
      </c>
      <c r="I119" s="6" t="n">
        <v>1.42</v>
      </c>
      <c r="J119" s="10">
        <f>E119*1000-$F$2-$L$2-$H$2/2</f>
        <v>342.55</v>
      </c>
      <c r="K119" s="11">
        <f>F119*1000000/(0.9*(D119*1000)*J119^2)</f>
        <v>0.2300995771</v>
      </c>
      <c r="L119" s="12">
        <f>(0.85*$B$2/$D$2)*(1-SQRT(1-2*K119/(0.85*$B$2)))</f>
        <v>0.0005505304041</v>
      </c>
      <c r="M119" s="13">
        <f>L119*(D119*1000)*J119</f>
        <v>56.57525698</v>
      </c>
      <c r="N119" s="13">
        <f>MAX(0.25*SQRT($B$2)/$D$2,1.4/$D$2)*(D119*1000)*J119</f>
        <v>342.55</v>
      </c>
      <c r="O119" s="13">
        <f>MAX(M119,N119)</f>
        <v>342.55</v>
      </c>
      <c r="P119" s="14">
        <f>ROUNDUP(O119/$J$2,0)</f>
        <v>2</v>
      </c>
      <c r="Q119" s="13">
        <f>P119*$J$2</f>
        <v>398</v>
      </c>
      <c r="R119" s="10">
        <f>Q119*$D$2/(0.85*$B$2*(D119*1000))</f>
        <v>23.41176471</v>
      </c>
      <c r="S119" s="10">
        <f>0.9*Q119*$D$2*(J119-R119/2)/1000000</f>
        <v>49.77351244</v>
      </c>
      <c r="T119" s="15" t="str">
        <f>IF(AND(S119&gt;=F119,O119&lt;=0.025*(D119*1000)*J119,O119&gt;=N119),"CUMPLE","REVISAR")</f>
        <v>CUMPLE</v>
      </c>
      <c r="U119" s="11">
        <f>G119*1000000/(0.9*(D119*1000)*J119^2)</f>
        <v>0.07417476079</v>
      </c>
      <c r="V119" s="12">
        <f>(0.85*$B$2/$D$2)*(1-SQRT(1-2*U119/(0.85*$B$2)))</f>
        <v>0.0001768826392</v>
      </c>
      <c r="W119" s="13">
        <f>V119*(D119*1000)*J119</f>
        <v>18.17734442</v>
      </c>
      <c r="X119" s="13">
        <f>MAX(W119,N119)</f>
        <v>342.55</v>
      </c>
      <c r="Y119" s="14">
        <f>ROUNDUP(X119/$J$2,0)</f>
        <v>2</v>
      </c>
      <c r="Z119" s="13">
        <f>Y119*$J$2</f>
        <v>398</v>
      </c>
      <c r="AA119" s="10">
        <f>0.9*Z119*$D$2*(J119-(Z119*$D$2/(0.85*$B$2*(D119*1000)))/2)/1000000</f>
        <v>49.77351244</v>
      </c>
      <c r="AB119" s="15" t="str">
        <f>IF(AA119&gt;=G119,"CUMPLE","REVISAR")</f>
        <v>CUMPLE</v>
      </c>
      <c r="AC119" s="10">
        <f>0.17*SQRT($B$2)*(D119*1000)*J119/1000</f>
        <v>92.44281538</v>
      </c>
      <c r="AD119" s="10">
        <f>MAX(H119/0.75-AC119,0)</f>
        <v>0</v>
      </c>
      <c r="AE119" s="14">
        <f>IF(AD119&gt;0,MIN($N$2*$D$2*J119/(AD119*1000),MIN(J119/4,6*$H$2,150)),MIN(J119/4,6*$H$2,150))</f>
        <v>85.6375</v>
      </c>
      <c r="AF119" s="10">
        <f>0.66*SQRT($B$2)*(D119*1000)*J119/1000</f>
        <v>358.8956362</v>
      </c>
      <c r="AG119" s="15" t="str">
        <f>IF(AD119&lt;=AF119,"CUMPLE","AUMENTAR SECCION")</f>
        <v>CUMPLE</v>
      </c>
      <c r="AH119" s="10">
        <f>0.75*0.083*SQRT($B$2)*(((D119*1000)*(E119*1000))^2/(2*((D119*1000)+(E119*1000))))/1000000</f>
        <v>3.388073536</v>
      </c>
      <c r="AI119" s="15" t="str">
        <f>IF(I119&gt;AH119,"SI","No")</f>
        <v>No</v>
      </c>
      <c r="AJ119" s="11">
        <f>IF(I119&gt;AH119,I119*1000000/(0.75*2*0.85*((D119*1000-2*$F$2)*(E119*1000-2*$F$2))*$D$2),0)</f>
        <v>0</v>
      </c>
      <c r="AK119" s="10">
        <f>1.25*Q119*$D$2*(J119-(1.25*Q119*$D$2/(0.85*$B$2*(D119*1000)))/2)/1000000</f>
        <v>68.51839235</v>
      </c>
      <c r="AL119" s="10">
        <f>1.25*Z119*$D$2*(J119-(1.25*Z119*$D$2/(0.85*$B$2*(D119*1000)))/2)/1000000</f>
        <v>68.51839235</v>
      </c>
      <c r="AM119" s="10">
        <f>(AK119+AL119)/B119</f>
        <v>54.81471388</v>
      </c>
      <c r="AN119" s="10">
        <f>MAX(H119,AM119)</f>
        <v>54.81471388</v>
      </c>
    </row>
    <row r="120">
      <c r="A120" s="5" t="inlineStr">
        <is>
          <t>F121</t>
        </is>
      </c>
      <c r="B120" s="6" t="n">
        <v>2.6</v>
      </c>
      <c r="C120" s="7" t="inlineStr">
        <is>
          <t>VC</t>
        </is>
      </c>
      <c r="D120" s="8">
        <f>IF(C120="VR",0.35,0.30)</f>
        <v>0.3</v>
      </c>
      <c r="E120" s="6" t="n">
        <v>0.4</v>
      </c>
      <c r="F120" s="9" t="n">
        <v>6.6</v>
      </c>
      <c r="G120" s="9" t="n">
        <v>2.2</v>
      </c>
      <c r="H120" s="9" t="n">
        <v>11.6</v>
      </c>
      <c r="I120" s="6" t="n">
        <v>0.3</v>
      </c>
      <c r="J120" s="10">
        <f>E120*1000-$F$2-$L$2-$H$2/2</f>
        <v>342.55</v>
      </c>
      <c r="K120" s="11">
        <f>F120*1000000/(0.9*(D120*1000)*J120^2)</f>
        <v>0.2070580556</v>
      </c>
      <c r="L120" s="12">
        <f>(0.85*$B$2/$D$2)*(1-SQRT(1-2*K120/(0.85*$B$2)))</f>
        <v>0.0004951587428</v>
      </c>
      <c r="M120" s="13">
        <f>L120*(D120*1000)*J120</f>
        <v>50.8849882</v>
      </c>
      <c r="N120" s="13">
        <f>MAX(0.25*SQRT($B$2)/$D$2,1.4/$D$2)*(D120*1000)*J120</f>
        <v>342.55</v>
      </c>
      <c r="O120" s="13">
        <f>MAX(M120,N120)</f>
        <v>342.55</v>
      </c>
      <c r="P120" s="14">
        <f>ROUNDUP(O120/$J$2,0)</f>
        <v>2</v>
      </c>
      <c r="Q120" s="13">
        <f>P120*$J$2</f>
        <v>398</v>
      </c>
      <c r="R120" s="10">
        <f>Q120*$D$2/(0.85*$B$2*(D120*1000))</f>
        <v>23.41176471</v>
      </c>
      <c r="S120" s="10">
        <f>0.9*Q120*$D$2*(J120-R120/2)/1000000</f>
        <v>49.77351244</v>
      </c>
      <c r="T120" s="15" t="str">
        <f>IF(AND(S120&gt;=F120,O120&lt;=0.025*(D120*1000)*J120,O120&gt;=N120),"CUMPLE","REVISAR")</f>
        <v>CUMPLE</v>
      </c>
      <c r="U120" s="11">
        <f>G120*1000000/(0.9*(D120*1000)*J120^2)</f>
        <v>0.07038711343</v>
      </c>
      <c r="V120" s="12">
        <f>(0.85*$B$2/$D$2)*(1-SQRT(1-2*U120/(0.85*$B$2)))</f>
        <v>0.0001678369173</v>
      </c>
      <c r="W120" s="13">
        <f>V120*(D120*1000)*J120</f>
        <v>17.24776081</v>
      </c>
      <c r="X120" s="13">
        <f>MAX(W120,N120)</f>
        <v>342.55</v>
      </c>
      <c r="Y120" s="14">
        <f>ROUNDUP(X120/$J$2,0)</f>
        <v>2</v>
      </c>
      <c r="Z120" s="13">
        <f>Y120*$J$2</f>
        <v>398</v>
      </c>
      <c r="AA120" s="10">
        <f>0.9*Z120*$D$2*(J120-(Z120*$D$2/(0.85*$B$2*(D120*1000)))/2)/1000000</f>
        <v>49.77351244</v>
      </c>
      <c r="AB120" s="15" t="str">
        <f>IF(AA120&gt;=G120,"CUMPLE","REVISAR")</f>
        <v>CUMPLE</v>
      </c>
      <c r="AC120" s="10">
        <f>0.17*SQRT($B$2)*(D120*1000)*J120/1000</f>
        <v>92.44281538</v>
      </c>
      <c r="AD120" s="10">
        <f>MAX(H120/0.75-AC120,0)</f>
        <v>0</v>
      </c>
      <c r="AE120" s="14">
        <f>IF(AD120&gt;0,MIN($N$2*$D$2*J120/(AD120*1000),MIN(J120/4,6*$H$2,150)),MIN(J120/4,6*$H$2,150))</f>
        <v>85.6375</v>
      </c>
      <c r="AF120" s="10">
        <f>0.66*SQRT($B$2)*(D120*1000)*J120/1000</f>
        <v>358.8956362</v>
      </c>
      <c r="AG120" s="15" t="str">
        <f>IF(AD120&lt;=AF120,"CUMPLE","AUMENTAR SECCION")</f>
        <v>CUMPLE</v>
      </c>
      <c r="AH120" s="10">
        <f>0.75*0.083*SQRT($B$2)*(((D120*1000)*(E120*1000))^2/(2*((D120*1000)+(E120*1000))))/1000000</f>
        <v>3.388073536</v>
      </c>
      <c r="AI120" s="15" t="str">
        <f>IF(I120&gt;AH120,"SI","No")</f>
        <v>No</v>
      </c>
      <c r="AJ120" s="11">
        <f>IF(I120&gt;AH120,I120*1000000/(0.75*2*0.85*((D120*1000-2*$F$2)*(E120*1000-2*$F$2))*$D$2),0)</f>
        <v>0</v>
      </c>
      <c r="AK120" s="10">
        <f>1.25*Q120*$D$2*(J120-(1.25*Q120*$D$2/(0.85*$B$2*(D120*1000)))/2)/1000000</f>
        <v>68.51839235</v>
      </c>
      <c r="AL120" s="10">
        <f>1.25*Z120*$D$2*(J120-(1.25*Z120*$D$2/(0.85*$B$2*(D120*1000)))/2)/1000000</f>
        <v>68.51839235</v>
      </c>
      <c r="AM120" s="10">
        <f>(AK120+AL120)/B120</f>
        <v>52.70645566</v>
      </c>
      <c r="AN120" s="10">
        <f>MAX(H120,AM120)</f>
        <v>52.70645566</v>
      </c>
    </row>
    <row r="121">
      <c r="A121" s="5" t="inlineStr">
        <is>
          <t>F122</t>
        </is>
      </c>
      <c r="B121" s="6" t="n">
        <v>2.6</v>
      </c>
      <c r="C121" s="7" t="inlineStr">
        <is>
          <t>VC</t>
        </is>
      </c>
      <c r="D121" s="8">
        <f>IF(C121="VR",0.35,0.30)</f>
        <v>0.3</v>
      </c>
      <c r="E121" s="6" t="n">
        <v>0.4</v>
      </c>
      <c r="F121" s="9" t="n">
        <v>6.6</v>
      </c>
      <c r="G121" s="9" t="n">
        <v>2.2</v>
      </c>
      <c r="H121" s="9" t="n">
        <v>11.7</v>
      </c>
      <c r="I121" s="6" t="n">
        <v>0.3</v>
      </c>
      <c r="J121" s="10">
        <f>E121*1000-$F$2-$L$2-$H$2/2</f>
        <v>342.55</v>
      </c>
      <c r="K121" s="11">
        <f>F121*1000000/(0.9*(D121*1000)*J121^2)</f>
        <v>0.2073736929</v>
      </c>
      <c r="L121" s="12">
        <f>(0.85*$B$2/$D$2)*(1-SQRT(1-2*K121/(0.85*$B$2)))</f>
        <v>0.0004959168899</v>
      </c>
      <c r="M121" s="13">
        <f>L121*(D121*1000)*J121</f>
        <v>50.96289919</v>
      </c>
      <c r="N121" s="13">
        <f>MAX(0.25*SQRT($B$2)/$D$2,1.4/$D$2)*(D121*1000)*J121</f>
        <v>342.55</v>
      </c>
      <c r="O121" s="13">
        <f>MAX(M121,N121)</f>
        <v>342.55</v>
      </c>
      <c r="P121" s="14">
        <f>ROUNDUP(O121/$J$2,0)</f>
        <v>2</v>
      </c>
      <c r="Q121" s="13">
        <f>P121*$J$2</f>
        <v>398</v>
      </c>
      <c r="R121" s="10">
        <f>Q121*$D$2/(0.85*$B$2*(D121*1000))</f>
        <v>23.41176471</v>
      </c>
      <c r="S121" s="10">
        <f>0.9*Q121*$D$2*(J121-R121/2)/1000000</f>
        <v>49.77351244</v>
      </c>
      <c r="T121" s="15" t="str">
        <f>IF(AND(S121&gt;=F121,O121&lt;=0.025*(D121*1000)*J121,O121&gt;=N121),"CUMPLE","REVISAR")</f>
        <v>CUMPLE</v>
      </c>
      <c r="U121" s="11">
        <f>G121*1000000/(0.9*(D121*1000)*J121^2)</f>
        <v>0.07038711343</v>
      </c>
      <c r="V121" s="12">
        <f>(0.85*$B$2/$D$2)*(1-SQRT(1-2*U121/(0.85*$B$2)))</f>
        <v>0.0001678369173</v>
      </c>
      <c r="W121" s="13">
        <f>V121*(D121*1000)*J121</f>
        <v>17.24776081</v>
      </c>
      <c r="X121" s="13">
        <f>MAX(W121,N121)</f>
        <v>342.55</v>
      </c>
      <c r="Y121" s="14">
        <f>ROUNDUP(X121/$J$2,0)</f>
        <v>2</v>
      </c>
      <c r="Z121" s="13">
        <f>Y121*$J$2</f>
        <v>398</v>
      </c>
      <c r="AA121" s="10">
        <f>0.9*Z121*$D$2*(J121-(Z121*$D$2/(0.85*$B$2*(D121*1000)))/2)/1000000</f>
        <v>49.77351244</v>
      </c>
      <c r="AB121" s="15" t="str">
        <f>IF(AA121&gt;=G121,"CUMPLE","REVISAR")</f>
        <v>CUMPLE</v>
      </c>
      <c r="AC121" s="10">
        <f>0.17*SQRT($B$2)*(D121*1000)*J121/1000</f>
        <v>92.44281538</v>
      </c>
      <c r="AD121" s="10">
        <f>MAX(H121/0.75-AC121,0)</f>
        <v>0</v>
      </c>
      <c r="AE121" s="14">
        <f>IF(AD121&gt;0,MIN($N$2*$D$2*J121/(AD121*1000),MIN(J121/4,6*$H$2,150)),MIN(J121/4,6*$H$2,150))</f>
        <v>85.6375</v>
      </c>
      <c r="AF121" s="10">
        <f>0.66*SQRT($B$2)*(D121*1000)*J121/1000</f>
        <v>358.8956362</v>
      </c>
      <c r="AG121" s="15" t="str">
        <f>IF(AD121&lt;=AF121,"CUMPLE","AUMENTAR SECCION")</f>
        <v>CUMPLE</v>
      </c>
      <c r="AH121" s="10">
        <f>0.75*0.083*SQRT($B$2)*(((D121*1000)*(E121*1000))^2/(2*((D121*1000)+(E121*1000))))/1000000</f>
        <v>3.388073536</v>
      </c>
      <c r="AI121" s="15" t="str">
        <f>IF(I121&gt;AH121,"SI","No")</f>
        <v>No</v>
      </c>
      <c r="AJ121" s="11">
        <f>IF(I121&gt;AH121,I121*1000000/(0.75*2*0.85*((D121*1000-2*$F$2)*(E121*1000-2*$F$2))*$D$2),0)</f>
        <v>0</v>
      </c>
      <c r="AK121" s="10">
        <f>1.25*Q121*$D$2*(J121-(1.25*Q121*$D$2/(0.85*$B$2*(D121*1000)))/2)/1000000</f>
        <v>68.51839235</v>
      </c>
      <c r="AL121" s="10">
        <f>1.25*Z121*$D$2*(J121-(1.25*Z121*$D$2/(0.85*$B$2*(D121*1000)))/2)/1000000</f>
        <v>68.51839235</v>
      </c>
      <c r="AM121" s="10">
        <f>(AK121+AL121)/B121</f>
        <v>52.70645566</v>
      </c>
      <c r="AN121" s="10">
        <f>MAX(H121,AM121)</f>
        <v>52.70645566</v>
      </c>
    </row>
    <row r="122">
      <c r="A122" s="5" t="inlineStr">
        <is>
          <t>F123</t>
        </is>
      </c>
      <c r="B122" s="6" t="n">
        <v>2.6</v>
      </c>
      <c r="C122" s="7" t="inlineStr">
        <is>
          <t>VC</t>
        </is>
      </c>
      <c r="D122" s="8">
        <f>IF(C122="VR",0.35,0.30)</f>
        <v>0.3</v>
      </c>
      <c r="E122" s="6" t="n">
        <v>0.4</v>
      </c>
      <c r="F122" s="9" t="n">
        <v>6.6</v>
      </c>
      <c r="G122" s="9" t="n">
        <v>2.2</v>
      </c>
      <c r="H122" s="9" t="n">
        <v>11.7</v>
      </c>
      <c r="I122" s="6" t="n">
        <v>0.3</v>
      </c>
      <c r="J122" s="10">
        <f>E122*1000-$F$2-$L$2-$H$2/2</f>
        <v>342.55</v>
      </c>
      <c r="K122" s="11">
        <f>F122*1000000/(0.9*(D122*1000)*J122^2)</f>
        <v>0.2073736929</v>
      </c>
      <c r="L122" s="12">
        <f>(0.85*$B$2/$D$2)*(1-SQRT(1-2*K122/(0.85*$B$2)))</f>
        <v>0.0004959168899</v>
      </c>
      <c r="M122" s="13">
        <f>L122*(D122*1000)*J122</f>
        <v>50.96289919</v>
      </c>
      <c r="N122" s="13">
        <f>MAX(0.25*SQRT($B$2)/$D$2,1.4/$D$2)*(D122*1000)*J122</f>
        <v>342.55</v>
      </c>
      <c r="O122" s="13">
        <f>MAX(M122,N122)</f>
        <v>342.55</v>
      </c>
      <c r="P122" s="14">
        <f>ROUNDUP(O122/$J$2,0)</f>
        <v>2</v>
      </c>
      <c r="Q122" s="13">
        <f>P122*$J$2</f>
        <v>398</v>
      </c>
      <c r="R122" s="10">
        <f>Q122*$D$2/(0.85*$B$2*(D122*1000))</f>
        <v>23.41176471</v>
      </c>
      <c r="S122" s="10">
        <f>0.9*Q122*$D$2*(J122-R122/2)/1000000</f>
        <v>49.77351244</v>
      </c>
      <c r="T122" s="15" t="str">
        <f>IF(AND(S122&gt;=F122,O122&lt;=0.025*(D122*1000)*J122,O122&gt;=N122),"CUMPLE","REVISAR")</f>
        <v>CUMPLE</v>
      </c>
      <c r="U122" s="11">
        <f>G122*1000000/(0.9*(D122*1000)*J122^2)</f>
        <v>0.07038711343</v>
      </c>
      <c r="V122" s="12">
        <f>(0.85*$B$2/$D$2)*(1-SQRT(1-2*U122/(0.85*$B$2)))</f>
        <v>0.0001678369173</v>
      </c>
      <c r="W122" s="13">
        <f>V122*(D122*1000)*J122</f>
        <v>17.24776081</v>
      </c>
      <c r="X122" s="13">
        <f>MAX(W122,N122)</f>
        <v>342.55</v>
      </c>
      <c r="Y122" s="14">
        <f>ROUNDUP(X122/$J$2,0)</f>
        <v>2</v>
      </c>
      <c r="Z122" s="13">
        <f>Y122*$J$2</f>
        <v>398</v>
      </c>
      <c r="AA122" s="10">
        <f>0.9*Z122*$D$2*(J122-(Z122*$D$2/(0.85*$B$2*(D122*1000)))/2)/1000000</f>
        <v>49.77351244</v>
      </c>
      <c r="AB122" s="15" t="str">
        <f>IF(AA122&gt;=G122,"CUMPLE","REVISAR")</f>
        <v>CUMPLE</v>
      </c>
      <c r="AC122" s="10">
        <f>0.17*SQRT($B$2)*(D122*1000)*J122/1000</f>
        <v>92.44281538</v>
      </c>
      <c r="AD122" s="10">
        <f>MAX(H122/0.75-AC122,0)</f>
        <v>0</v>
      </c>
      <c r="AE122" s="14">
        <f>IF(AD122&gt;0,MIN($N$2*$D$2*J122/(AD122*1000),MIN(J122/4,6*$H$2,150)),MIN(J122/4,6*$H$2,150))</f>
        <v>85.6375</v>
      </c>
      <c r="AF122" s="10">
        <f>0.66*SQRT($B$2)*(D122*1000)*J122/1000</f>
        <v>358.8956362</v>
      </c>
      <c r="AG122" s="15" t="str">
        <f>IF(AD122&lt;=AF122,"CUMPLE","AUMENTAR SECCION")</f>
        <v>CUMPLE</v>
      </c>
      <c r="AH122" s="10">
        <f>0.75*0.083*SQRT($B$2)*(((D122*1000)*(E122*1000))^2/(2*((D122*1000)+(E122*1000))))/1000000</f>
        <v>3.388073536</v>
      </c>
      <c r="AI122" s="15" t="str">
        <f>IF(I122&gt;AH122,"SI","No")</f>
        <v>No</v>
      </c>
      <c r="AJ122" s="11">
        <f>IF(I122&gt;AH122,I122*1000000/(0.75*2*0.85*((D122*1000-2*$F$2)*(E122*1000-2*$F$2))*$D$2),0)</f>
        <v>0</v>
      </c>
      <c r="AK122" s="10">
        <f>1.25*Q122*$D$2*(J122-(1.25*Q122*$D$2/(0.85*$B$2*(D122*1000)))/2)/1000000</f>
        <v>68.51839235</v>
      </c>
      <c r="AL122" s="10">
        <f>1.25*Z122*$D$2*(J122-(1.25*Z122*$D$2/(0.85*$B$2*(D122*1000)))/2)/1000000</f>
        <v>68.51839235</v>
      </c>
      <c r="AM122" s="10">
        <f>(AK122+AL122)/B122</f>
        <v>52.70645566</v>
      </c>
      <c r="AN122" s="10">
        <f>MAX(H122,AM122)</f>
        <v>52.70645566</v>
      </c>
    </row>
    <row r="123">
      <c r="A123" s="5" t="inlineStr">
        <is>
          <t>F124</t>
        </is>
      </c>
      <c r="B123" s="6" t="n">
        <v>2.6</v>
      </c>
      <c r="C123" s="7" t="inlineStr">
        <is>
          <t>VC</t>
        </is>
      </c>
      <c r="D123" s="8">
        <f>IF(C123="VR",0.35,0.30)</f>
        <v>0.3</v>
      </c>
      <c r="E123" s="6" t="n">
        <v>0.4</v>
      </c>
      <c r="F123" s="9" t="n">
        <v>6.6</v>
      </c>
      <c r="G123" s="9" t="n">
        <v>2.2</v>
      </c>
      <c r="H123" s="9" t="n">
        <v>11.6</v>
      </c>
      <c r="I123" s="6" t="n">
        <v>0.3</v>
      </c>
      <c r="J123" s="10">
        <f>E123*1000-$F$2-$L$2-$H$2/2</f>
        <v>342.55</v>
      </c>
      <c r="K123" s="11">
        <f>F123*1000000/(0.9*(D123*1000)*J123^2)</f>
        <v>0.2070580556</v>
      </c>
      <c r="L123" s="12">
        <f>(0.85*$B$2/$D$2)*(1-SQRT(1-2*K123/(0.85*$B$2)))</f>
        <v>0.0004951587428</v>
      </c>
      <c r="M123" s="13">
        <f>L123*(D123*1000)*J123</f>
        <v>50.8849882</v>
      </c>
      <c r="N123" s="13">
        <f>MAX(0.25*SQRT($B$2)/$D$2,1.4/$D$2)*(D123*1000)*J123</f>
        <v>342.55</v>
      </c>
      <c r="O123" s="13">
        <f>MAX(M123,N123)</f>
        <v>342.55</v>
      </c>
      <c r="P123" s="14">
        <f>ROUNDUP(O123/$J$2,0)</f>
        <v>2</v>
      </c>
      <c r="Q123" s="13">
        <f>P123*$J$2</f>
        <v>398</v>
      </c>
      <c r="R123" s="10">
        <f>Q123*$D$2/(0.85*$B$2*(D123*1000))</f>
        <v>23.41176471</v>
      </c>
      <c r="S123" s="10">
        <f>0.9*Q123*$D$2*(J123-R123/2)/1000000</f>
        <v>49.77351244</v>
      </c>
      <c r="T123" s="15" t="str">
        <f>IF(AND(S123&gt;=F123,O123&lt;=0.025*(D123*1000)*J123,O123&gt;=N123),"CUMPLE","REVISAR")</f>
        <v>CUMPLE</v>
      </c>
      <c r="U123" s="11">
        <f>G123*1000000/(0.9*(D123*1000)*J123^2)</f>
        <v>0.07038711343</v>
      </c>
      <c r="V123" s="12">
        <f>(0.85*$B$2/$D$2)*(1-SQRT(1-2*U123/(0.85*$B$2)))</f>
        <v>0.0001678369173</v>
      </c>
      <c r="W123" s="13">
        <f>V123*(D123*1000)*J123</f>
        <v>17.24776081</v>
      </c>
      <c r="X123" s="13">
        <f>MAX(W123,N123)</f>
        <v>342.55</v>
      </c>
      <c r="Y123" s="14">
        <f>ROUNDUP(X123/$J$2,0)</f>
        <v>2</v>
      </c>
      <c r="Z123" s="13">
        <f>Y123*$J$2</f>
        <v>398</v>
      </c>
      <c r="AA123" s="10">
        <f>0.9*Z123*$D$2*(J123-(Z123*$D$2/(0.85*$B$2*(D123*1000)))/2)/1000000</f>
        <v>49.77351244</v>
      </c>
      <c r="AB123" s="15" t="str">
        <f>IF(AA123&gt;=G123,"CUMPLE","REVISAR")</f>
        <v>CUMPLE</v>
      </c>
      <c r="AC123" s="10">
        <f>0.17*SQRT($B$2)*(D123*1000)*J123/1000</f>
        <v>92.44281538</v>
      </c>
      <c r="AD123" s="10">
        <f>MAX(H123/0.75-AC123,0)</f>
        <v>0</v>
      </c>
      <c r="AE123" s="14">
        <f>IF(AD123&gt;0,MIN($N$2*$D$2*J123/(AD123*1000),MIN(J123/4,6*$H$2,150)),MIN(J123/4,6*$H$2,150))</f>
        <v>85.6375</v>
      </c>
      <c r="AF123" s="10">
        <f>0.66*SQRT($B$2)*(D123*1000)*J123/1000</f>
        <v>358.8956362</v>
      </c>
      <c r="AG123" s="15" t="str">
        <f>IF(AD123&lt;=AF123,"CUMPLE","AUMENTAR SECCION")</f>
        <v>CUMPLE</v>
      </c>
      <c r="AH123" s="10">
        <f>0.75*0.083*SQRT($B$2)*(((D123*1000)*(E123*1000))^2/(2*((D123*1000)+(E123*1000))))/1000000</f>
        <v>3.388073536</v>
      </c>
      <c r="AI123" s="15" t="str">
        <f>IF(I123&gt;AH123,"SI","No")</f>
        <v>No</v>
      </c>
      <c r="AJ123" s="11">
        <f>IF(I123&gt;AH123,I123*1000000/(0.75*2*0.85*((D123*1000-2*$F$2)*(E123*1000-2*$F$2))*$D$2),0)</f>
        <v>0</v>
      </c>
      <c r="AK123" s="10">
        <f>1.25*Q123*$D$2*(J123-(1.25*Q123*$D$2/(0.85*$B$2*(D123*1000)))/2)/1000000</f>
        <v>68.51839235</v>
      </c>
      <c r="AL123" s="10">
        <f>1.25*Z123*$D$2*(J123-(1.25*Z123*$D$2/(0.85*$B$2*(D123*1000)))/2)/1000000</f>
        <v>68.51839235</v>
      </c>
      <c r="AM123" s="10">
        <f>(AK123+AL123)/B123</f>
        <v>52.70645566</v>
      </c>
      <c r="AN123" s="10">
        <f>MAX(H123,AM123)</f>
        <v>52.70645566</v>
      </c>
    </row>
    <row r="124">
      <c r="A124" s="5" t="inlineStr">
        <is>
          <t>F125</t>
        </is>
      </c>
      <c r="B124" s="6" t="n">
        <v>2.5</v>
      </c>
      <c r="C124" s="7" t="inlineStr">
        <is>
          <t>VC</t>
        </is>
      </c>
      <c r="D124" s="8">
        <f>IF(C124="VR",0.35,0.30)</f>
        <v>0.3</v>
      </c>
      <c r="E124" s="6" t="n">
        <v>0.4</v>
      </c>
      <c r="F124" s="9" t="n">
        <v>9.1</v>
      </c>
      <c r="G124" s="9" t="n">
        <v>3.2</v>
      </c>
      <c r="H124" s="9" t="n">
        <v>13</v>
      </c>
      <c r="I124" s="6" t="n">
        <v>1.63</v>
      </c>
      <c r="J124" s="10">
        <f>E124*1000-$F$2-$L$2-$H$2/2</f>
        <v>342.55</v>
      </c>
      <c r="K124" s="11">
        <f>F124*1000000/(0.9*(D124*1000)*J124^2)</f>
        <v>0.2872299248</v>
      </c>
      <c r="L124" s="12">
        <f>(0.85*$B$2/$D$2)*(1-SQRT(1-2*K124/(0.85*$B$2)))</f>
        <v>0.0006880580427</v>
      </c>
      <c r="M124" s="13">
        <f>L124*(D124*1000)*J124</f>
        <v>70.70828475</v>
      </c>
      <c r="N124" s="13">
        <f>MAX(0.25*SQRT($B$2)/$D$2,1.4/$D$2)*(D124*1000)*J124</f>
        <v>342.55</v>
      </c>
      <c r="O124" s="13">
        <f>MAX(M124,N124)</f>
        <v>342.55</v>
      </c>
      <c r="P124" s="14">
        <f>ROUNDUP(O124/$J$2,0)</f>
        <v>2</v>
      </c>
      <c r="Q124" s="13">
        <f>P124*$J$2</f>
        <v>398</v>
      </c>
      <c r="R124" s="10">
        <f>Q124*$D$2/(0.85*$B$2*(D124*1000))</f>
        <v>23.41176471</v>
      </c>
      <c r="S124" s="10">
        <f>0.9*Q124*$D$2*(J124-R124/2)/1000000</f>
        <v>49.77351244</v>
      </c>
      <c r="T124" s="15" t="str">
        <f>IF(AND(S124&gt;=F124,O124&lt;=0.025*(D124*1000)*J124,O124&gt;=N124),"CUMPLE","REVISAR")</f>
        <v>CUMPLE</v>
      </c>
      <c r="U124" s="11">
        <f>G124*1000000/(0.9*(D124*1000)*J124^2)</f>
        <v>0.1010039296</v>
      </c>
      <c r="V124" s="12">
        <f>(0.85*$B$2/$D$2)*(1-SQRT(1-2*U124/(0.85*$B$2)))</f>
        <v>0.0002409980176</v>
      </c>
      <c r="W124" s="13">
        <f>V124*(D124*1000)*J124</f>
        <v>24.76616128</v>
      </c>
      <c r="X124" s="13">
        <f>MAX(W124,N124)</f>
        <v>342.55</v>
      </c>
      <c r="Y124" s="14">
        <f>ROUNDUP(X124/$J$2,0)</f>
        <v>2</v>
      </c>
      <c r="Z124" s="13">
        <f>Y124*$J$2</f>
        <v>398</v>
      </c>
      <c r="AA124" s="10">
        <f>0.9*Z124*$D$2*(J124-(Z124*$D$2/(0.85*$B$2*(D124*1000)))/2)/1000000</f>
        <v>49.77351244</v>
      </c>
      <c r="AB124" s="15" t="str">
        <f>IF(AA124&gt;=G124,"CUMPLE","REVISAR")</f>
        <v>CUMPLE</v>
      </c>
      <c r="AC124" s="10">
        <f>0.17*SQRT($B$2)*(D124*1000)*J124/1000</f>
        <v>92.44281538</v>
      </c>
      <c r="AD124" s="10">
        <f>MAX(H124/0.75-AC124,0)</f>
        <v>0</v>
      </c>
      <c r="AE124" s="14">
        <f>IF(AD124&gt;0,MIN($N$2*$D$2*J124/(AD124*1000),MIN(J124/4,6*$H$2,150)),MIN(J124/4,6*$H$2,150))</f>
        <v>85.6375</v>
      </c>
      <c r="AF124" s="10">
        <f>0.66*SQRT($B$2)*(D124*1000)*J124/1000</f>
        <v>358.8956362</v>
      </c>
      <c r="AG124" s="15" t="str">
        <f>IF(AD124&lt;=AF124,"CUMPLE","AUMENTAR SECCION")</f>
        <v>CUMPLE</v>
      </c>
      <c r="AH124" s="10">
        <f>0.75*0.083*SQRT($B$2)*(((D124*1000)*(E124*1000))^2/(2*((D124*1000)+(E124*1000))))/1000000</f>
        <v>3.388073536</v>
      </c>
      <c r="AI124" s="15" t="str">
        <f>IF(I124&gt;AH124,"SI","No")</f>
        <v>No</v>
      </c>
      <c r="AJ124" s="11">
        <f>IF(I124&gt;AH124,I124*1000000/(0.75*2*0.85*((D124*1000-2*$F$2)*(E124*1000-2*$F$2))*$D$2),0)</f>
        <v>0</v>
      </c>
      <c r="AK124" s="10">
        <f>1.25*Q124*$D$2*(J124-(1.25*Q124*$D$2/(0.85*$B$2*(D124*1000)))/2)/1000000</f>
        <v>68.51839235</v>
      </c>
      <c r="AL124" s="10">
        <f>1.25*Z124*$D$2*(J124-(1.25*Z124*$D$2/(0.85*$B$2*(D124*1000)))/2)/1000000</f>
        <v>68.51839235</v>
      </c>
      <c r="AM124" s="10">
        <f>(AK124+AL124)/B124</f>
        <v>54.81471388</v>
      </c>
      <c r="AN124" s="10">
        <f>MAX(H124,AM124)</f>
        <v>54.81471388</v>
      </c>
    </row>
    <row r="125">
      <c r="A125" s="5" t="inlineStr">
        <is>
          <t>F126</t>
        </is>
      </c>
      <c r="B125" s="6" t="n">
        <v>2.5</v>
      </c>
      <c r="C125" s="7" t="inlineStr">
        <is>
          <t>VC</t>
        </is>
      </c>
      <c r="D125" s="8">
        <f>IF(C125="VR",0.35,0.30)</f>
        <v>0.3</v>
      </c>
      <c r="E125" s="6" t="n">
        <v>0.4</v>
      </c>
      <c r="F125" s="9" t="n">
        <v>9.1</v>
      </c>
      <c r="G125" s="9" t="n">
        <v>3.2</v>
      </c>
      <c r="H125" s="9" t="n">
        <v>13</v>
      </c>
      <c r="I125" s="6" t="n">
        <v>1.64</v>
      </c>
      <c r="J125" s="10">
        <f>E125*1000-$F$2-$L$2-$H$2/2</f>
        <v>342.55</v>
      </c>
      <c r="K125" s="11">
        <f>F125*1000000/(0.9*(D125*1000)*J125^2)</f>
        <v>0.2869142875</v>
      </c>
      <c r="L125" s="12">
        <f>(0.85*$B$2/$D$2)*(1-SQRT(1-2*K125/(0.85*$B$2)))</f>
        <v>0.0006872972933</v>
      </c>
      <c r="M125" s="13">
        <f>L125*(D125*1000)*J125</f>
        <v>70.63010634</v>
      </c>
      <c r="N125" s="13">
        <f>MAX(0.25*SQRT($B$2)/$D$2,1.4/$D$2)*(D125*1000)*J125</f>
        <v>342.55</v>
      </c>
      <c r="O125" s="13">
        <f>MAX(M125,N125)</f>
        <v>342.55</v>
      </c>
      <c r="P125" s="14">
        <f>ROUNDUP(O125/$J$2,0)</f>
        <v>2</v>
      </c>
      <c r="Q125" s="13">
        <f>P125*$J$2</f>
        <v>398</v>
      </c>
      <c r="R125" s="10">
        <f>Q125*$D$2/(0.85*$B$2*(D125*1000))</f>
        <v>23.41176471</v>
      </c>
      <c r="S125" s="10">
        <f>0.9*Q125*$D$2*(J125-R125/2)/1000000</f>
        <v>49.77351244</v>
      </c>
      <c r="T125" s="15" t="str">
        <f>IF(AND(S125&gt;=F125,O125&lt;=0.025*(D125*1000)*J125,O125&gt;=N125),"CUMPLE","REVISAR")</f>
        <v>CUMPLE</v>
      </c>
      <c r="U125" s="11">
        <f>G125*1000000/(0.9*(D125*1000)*J125^2)</f>
        <v>0.1006882923</v>
      </c>
      <c r="V125" s="12">
        <f>(0.85*$B$2/$D$2)*(1-SQRT(1-2*U125/(0.85*$B$2)))</f>
        <v>0.0002402432955</v>
      </c>
      <c r="W125" s="13">
        <f>V125*(D125*1000)*J125</f>
        <v>24.68860227</v>
      </c>
      <c r="X125" s="13">
        <f>MAX(W125,N125)</f>
        <v>342.55</v>
      </c>
      <c r="Y125" s="14">
        <f>ROUNDUP(X125/$J$2,0)</f>
        <v>2</v>
      </c>
      <c r="Z125" s="13">
        <f>Y125*$J$2</f>
        <v>398</v>
      </c>
      <c r="AA125" s="10">
        <f>0.9*Z125*$D$2*(J125-(Z125*$D$2/(0.85*$B$2*(D125*1000)))/2)/1000000</f>
        <v>49.77351244</v>
      </c>
      <c r="AB125" s="15" t="str">
        <f>IF(AA125&gt;=G125,"CUMPLE","REVISAR")</f>
        <v>CUMPLE</v>
      </c>
      <c r="AC125" s="10">
        <f>0.17*SQRT($B$2)*(D125*1000)*J125/1000</f>
        <v>92.44281538</v>
      </c>
      <c r="AD125" s="10">
        <f>MAX(H125/0.75-AC125,0)</f>
        <v>0</v>
      </c>
      <c r="AE125" s="14">
        <f>IF(AD125&gt;0,MIN($N$2*$D$2*J125/(AD125*1000),MIN(J125/4,6*$H$2,150)),MIN(J125/4,6*$H$2,150))</f>
        <v>85.6375</v>
      </c>
      <c r="AF125" s="10">
        <f>0.66*SQRT($B$2)*(D125*1000)*J125/1000</f>
        <v>358.8956362</v>
      </c>
      <c r="AG125" s="15" t="str">
        <f>IF(AD125&lt;=AF125,"CUMPLE","AUMENTAR SECCION")</f>
        <v>CUMPLE</v>
      </c>
      <c r="AH125" s="10">
        <f>0.75*0.083*SQRT($B$2)*(((D125*1000)*(E125*1000))^2/(2*((D125*1000)+(E125*1000))))/1000000</f>
        <v>3.388073536</v>
      </c>
      <c r="AI125" s="15" t="str">
        <f>IF(I125&gt;AH125,"SI","No")</f>
        <v>No</v>
      </c>
      <c r="AJ125" s="11">
        <f>IF(I125&gt;AH125,I125*1000000/(0.75*2*0.85*((D125*1000-2*$F$2)*(E125*1000-2*$F$2))*$D$2),0)</f>
        <v>0</v>
      </c>
      <c r="AK125" s="10">
        <f>1.25*Q125*$D$2*(J125-(1.25*Q125*$D$2/(0.85*$B$2*(D125*1000)))/2)/1000000</f>
        <v>68.51839235</v>
      </c>
      <c r="AL125" s="10">
        <f>1.25*Z125*$D$2*(J125-(1.25*Z125*$D$2/(0.85*$B$2*(D125*1000)))/2)/1000000</f>
        <v>68.51839235</v>
      </c>
      <c r="AM125" s="10">
        <f>(AK125+AL125)/B125</f>
        <v>54.81471388</v>
      </c>
      <c r="AN125" s="10">
        <f>MAX(H125,AM125)</f>
        <v>54.81471388</v>
      </c>
    </row>
    <row r="126">
      <c r="A126" s="5" t="inlineStr">
        <is>
          <t>F127</t>
        </is>
      </c>
      <c r="B126" s="6" t="n">
        <v>2.5</v>
      </c>
      <c r="C126" s="7" t="inlineStr">
        <is>
          <t>VC</t>
        </is>
      </c>
      <c r="D126" s="8">
        <f>IF(C126="VR",0.35,0.30)</f>
        <v>0.3</v>
      </c>
      <c r="E126" s="6" t="n">
        <v>0.4</v>
      </c>
      <c r="F126" s="9" t="n">
        <v>9.1</v>
      </c>
      <c r="G126" s="9" t="n">
        <v>3.2</v>
      </c>
      <c r="H126" s="9" t="n">
        <v>13</v>
      </c>
      <c r="I126" s="6" t="n">
        <v>1.64</v>
      </c>
      <c r="J126" s="10">
        <f>E126*1000-$F$2-$L$2-$H$2/2</f>
        <v>342.55</v>
      </c>
      <c r="K126" s="11">
        <f>F126*1000000/(0.9*(D126*1000)*J126^2)</f>
        <v>0.2872299248</v>
      </c>
      <c r="L126" s="12">
        <f>(0.85*$B$2/$D$2)*(1-SQRT(1-2*K126/(0.85*$B$2)))</f>
        <v>0.0006880580427</v>
      </c>
      <c r="M126" s="13">
        <f>L126*(D126*1000)*J126</f>
        <v>70.70828475</v>
      </c>
      <c r="N126" s="13">
        <f>MAX(0.25*SQRT($B$2)/$D$2,1.4/$D$2)*(D126*1000)*J126</f>
        <v>342.55</v>
      </c>
      <c r="O126" s="13">
        <f>MAX(M126,N126)</f>
        <v>342.55</v>
      </c>
      <c r="P126" s="14">
        <f>ROUNDUP(O126/$J$2,0)</f>
        <v>2</v>
      </c>
      <c r="Q126" s="13">
        <f>P126*$J$2</f>
        <v>398</v>
      </c>
      <c r="R126" s="10">
        <f>Q126*$D$2/(0.85*$B$2*(D126*1000))</f>
        <v>23.41176471</v>
      </c>
      <c r="S126" s="10">
        <f>0.9*Q126*$D$2*(J126-R126/2)/1000000</f>
        <v>49.77351244</v>
      </c>
      <c r="T126" s="15" t="str">
        <f>IF(AND(S126&gt;=F126,O126&lt;=0.025*(D126*1000)*J126,O126&gt;=N126),"CUMPLE","REVISAR")</f>
        <v>CUMPLE</v>
      </c>
      <c r="U126" s="11">
        <f>G126*1000000/(0.9*(D126*1000)*J126^2)</f>
        <v>0.1010039296</v>
      </c>
      <c r="V126" s="12">
        <f>(0.85*$B$2/$D$2)*(1-SQRT(1-2*U126/(0.85*$B$2)))</f>
        <v>0.0002409980176</v>
      </c>
      <c r="W126" s="13">
        <f>V126*(D126*1000)*J126</f>
        <v>24.76616128</v>
      </c>
      <c r="X126" s="13">
        <f>MAX(W126,N126)</f>
        <v>342.55</v>
      </c>
      <c r="Y126" s="14">
        <f>ROUNDUP(X126/$J$2,0)</f>
        <v>2</v>
      </c>
      <c r="Z126" s="13">
        <f>Y126*$J$2</f>
        <v>398</v>
      </c>
      <c r="AA126" s="10">
        <f>0.9*Z126*$D$2*(J126-(Z126*$D$2/(0.85*$B$2*(D126*1000)))/2)/1000000</f>
        <v>49.77351244</v>
      </c>
      <c r="AB126" s="15" t="str">
        <f>IF(AA126&gt;=G126,"CUMPLE","REVISAR")</f>
        <v>CUMPLE</v>
      </c>
      <c r="AC126" s="10">
        <f>0.17*SQRT($B$2)*(D126*1000)*J126/1000</f>
        <v>92.44281538</v>
      </c>
      <c r="AD126" s="10">
        <f>MAX(H126/0.75-AC126,0)</f>
        <v>0</v>
      </c>
      <c r="AE126" s="14">
        <f>IF(AD126&gt;0,MIN($N$2*$D$2*J126/(AD126*1000),MIN(J126/4,6*$H$2,150)),MIN(J126/4,6*$H$2,150))</f>
        <v>85.6375</v>
      </c>
      <c r="AF126" s="10">
        <f>0.66*SQRT($B$2)*(D126*1000)*J126/1000</f>
        <v>358.8956362</v>
      </c>
      <c r="AG126" s="15" t="str">
        <f>IF(AD126&lt;=AF126,"CUMPLE","AUMENTAR SECCION")</f>
        <v>CUMPLE</v>
      </c>
      <c r="AH126" s="10">
        <f>0.75*0.083*SQRT($B$2)*(((D126*1000)*(E126*1000))^2/(2*((D126*1000)+(E126*1000))))/1000000</f>
        <v>3.388073536</v>
      </c>
      <c r="AI126" s="15" t="str">
        <f>IF(I126&gt;AH126,"SI","No")</f>
        <v>No</v>
      </c>
      <c r="AJ126" s="11">
        <f>IF(I126&gt;AH126,I126*1000000/(0.75*2*0.85*((D126*1000-2*$F$2)*(E126*1000-2*$F$2))*$D$2),0)</f>
        <v>0</v>
      </c>
      <c r="AK126" s="10">
        <f>1.25*Q126*$D$2*(J126-(1.25*Q126*$D$2/(0.85*$B$2*(D126*1000)))/2)/1000000</f>
        <v>68.51839235</v>
      </c>
      <c r="AL126" s="10">
        <f>1.25*Z126*$D$2*(J126-(1.25*Z126*$D$2/(0.85*$B$2*(D126*1000)))/2)/1000000</f>
        <v>68.51839235</v>
      </c>
      <c r="AM126" s="10">
        <f>(AK126+AL126)/B126</f>
        <v>54.81471388</v>
      </c>
      <c r="AN126" s="10">
        <f>MAX(H126,AM126)</f>
        <v>54.81471388</v>
      </c>
    </row>
    <row r="127">
      <c r="A127" s="5" t="inlineStr">
        <is>
          <t>F128</t>
        </is>
      </c>
      <c r="B127" s="6" t="n">
        <v>2.5</v>
      </c>
      <c r="C127" s="7" t="inlineStr">
        <is>
          <t>VC</t>
        </is>
      </c>
      <c r="D127" s="8">
        <f>IF(C127="VR",0.35,0.30)</f>
        <v>0.3</v>
      </c>
      <c r="E127" s="6" t="n">
        <v>0.4</v>
      </c>
      <c r="F127" s="9" t="n">
        <v>9.1</v>
      </c>
      <c r="G127" s="9" t="n">
        <v>3.2</v>
      </c>
      <c r="H127" s="9" t="n">
        <v>13</v>
      </c>
      <c r="I127" s="6" t="n">
        <v>1.63</v>
      </c>
      <c r="J127" s="10">
        <f>E127*1000-$F$2-$L$2-$H$2/2</f>
        <v>342.55</v>
      </c>
      <c r="K127" s="11">
        <f>F127*1000000/(0.9*(D127*1000)*J127^2)</f>
        <v>0.287545562</v>
      </c>
      <c r="L127" s="12">
        <f>(0.85*$B$2/$D$2)*(1-SQRT(1-2*K127/(0.85*$B$2)))</f>
        <v>0.0006888188024</v>
      </c>
      <c r="M127" s="13">
        <f>L127*(D127*1000)*J127</f>
        <v>70.78646423</v>
      </c>
      <c r="N127" s="13">
        <f>MAX(0.25*SQRT($B$2)/$D$2,1.4/$D$2)*(D127*1000)*J127</f>
        <v>342.55</v>
      </c>
      <c r="O127" s="13">
        <f>MAX(M127,N127)</f>
        <v>342.55</v>
      </c>
      <c r="P127" s="14">
        <f>ROUNDUP(O127/$J$2,0)</f>
        <v>2</v>
      </c>
      <c r="Q127" s="13">
        <f>P127*$J$2</f>
        <v>398</v>
      </c>
      <c r="R127" s="10">
        <f>Q127*$D$2/(0.85*$B$2*(D127*1000))</f>
        <v>23.41176471</v>
      </c>
      <c r="S127" s="10">
        <f>0.9*Q127*$D$2*(J127-R127/2)/1000000</f>
        <v>49.77351244</v>
      </c>
      <c r="T127" s="15" t="str">
        <f>IF(AND(S127&gt;=F127,O127&lt;=0.025*(D127*1000)*J127,O127&gt;=N127),"CUMPLE","REVISAR")</f>
        <v>CUMPLE</v>
      </c>
      <c r="U127" s="11">
        <f>G127*1000000/(0.9*(D127*1000)*J127^2)</f>
        <v>0.1010039296</v>
      </c>
      <c r="V127" s="12">
        <f>(0.85*$B$2/$D$2)*(1-SQRT(1-2*U127/(0.85*$B$2)))</f>
        <v>0.0002409980176</v>
      </c>
      <c r="W127" s="13">
        <f>V127*(D127*1000)*J127</f>
        <v>24.76616128</v>
      </c>
      <c r="X127" s="13">
        <f>MAX(W127,N127)</f>
        <v>342.55</v>
      </c>
      <c r="Y127" s="14">
        <f>ROUNDUP(X127/$J$2,0)</f>
        <v>2</v>
      </c>
      <c r="Z127" s="13">
        <f>Y127*$J$2</f>
        <v>398</v>
      </c>
      <c r="AA127" s="10">
        <f>0.9*Z127*$D$2*(J127-(Z127*$D$2/(0.85*$B$2*(D127*1000)))/2)/1000000</f>
        <v>49.77351244</v>
      </c>
      <c r="AB127" s="15" t="str">
        <f>IF(AA127&gt;=G127,"CUMPLE","REVISAR")</f>
        <v>CUMPLE</v>
      </c>
      <c r="AC127" s="10">
        <f>0.17*SQRT($B$2)*(D127*1000)*J127/1000</f>
        <v>92.44281538</v>
      </c>
      <c r="AD127" s="10">
        <f>MAX(H127/0.75-AC127,0)</f>
        <v>0</v>
      </c>
      <c r="AE127" s="14">
        <f>IF(AD127&gt;0,MIN($N$2*$D$2*J127/(AD127*1000),MIN(J127/4,6*$H$2,150)),MIN(J127/4,6*$H$2,150))</f>
        <v>85.6375</v>
      </c>
      <c r="AF127" s="10">
        <f>0.66*SQRT($B$2)*(D127*1000)*J127/1000</f>
        <v>358.8956362</v>
      </c>
      <c r="AG127" s="15" t="str">
        <f>IF(AD127&lt;=AF127,"CUMPLE","AUMENTAR SECCION")</f>
        <v>CUMPLE</v>
      </c>
      <c r="AH127" s="10">
        <f>0.75*0.083*SQRT($B$2)*(((D127*1000)*(E127*1000))^2/(2*((D127*1000)+(E127*1000))))/1000000</f>
        <v>3.388073536</v>
      </c>
      <c r="AI127" s="15" t="str">
        <f>IF(I127&gt;AH127,"SI","No")</f>
        <v>No</v>
      </c>
      <c r="AJ127" s="11">
        <f>IF(I127&gt;AH127,I127*1000000/(0.75*2*0.85*((D127*1000-2*$F$2)*(E127*1000-2*$F$2))*$D$2),0)</f>
        <v>0</v>
      </c>
      <c r="AK127" s="10">
        <f>1.25*Q127*$D$2*(J127-(1.25*Q127*$D$2/(0.85*$B$2*(D127*1000)))/2)/1000000</f>
        <v>68.51839235</v>
      </c>
      <c r="AL127" s="10">
        <f>1.25*Z127*$D$2*(J127-(1.25*Z127*$D$2/(0.85*$B$2*(D127*1000)))/2)/1000000</f>
        <v>68.51839235</v>
      </c>
      <c r="AM127" s="10">
        <f>(AK127+AL127)/B127</f>
        <v>54.81471388</v>
      </c>
      <c r="AN127" s="10">
        <f>MAX(H127,AM127)</f>
        <v>54.81471388</v>
      </c>
    </row>
    <row r="128">
      <c r="A128" s="5" t="inlineStr">
        <is>
          <t>F129</t>
        </is>
      </c>
      <c r="B128" s="6" t="n">
        <v>2.6</v>
      </c>
      <c r="C128" s="7" t="inlineStr">
        <is>
          <t>VC</t>
        </is>
      </c>
      <c r="D128" s="8">
        <f>IF(C128="VR",0.35,0.30)</f>
        <v>0.3</v>
      </c>
      <c r="E128" s="6" t="n">
        <v>0.4</v>
      </c>
      <c r="F128" s="9" t="n">
        <v>6.3</v>
      </c>
      <c r="G128" s="9" t="n">
        <v>2.2</v>
      </c>
      <c r="H128" s="9" t="n">
        <v>11.7</v>
      </c>
      <c r="I128" s="6" t="n">
        <v>0.29</v>
      </c>
      <c r="J128" s="10">
        <f>E128*1000-$F$2-$L$2-$H$2/2</f>
        <v>342.55</v>
      </c>
      <c r="K128" s="11">
        <f>F128*1000000/(0.9*(D128*1000)*J128^2)</f>
        <v>0.1991671236</v>
      </c>
      <c r="L128" s="12">
        <f>(0.85*$B$2/$D$2)*(1-SQRT(1-2*K128/(0.85*$B$2)))</f>
        <v>0.0004762083881</v>
      </c>
      <c r="M128" s="13">
        <f>L128*(D128*1000)*J128</f>
        <v>48.937555</v>
      </c>
      <c r="N128" s="13">
        <f>MAX(0.25*SQRT($B$2)/$D$2,1.4/$D$2)*(D128*1000)*J128</f>
        <v>342.55</v>
      </c>
      <c r="O128" s="13">
        <f>MAX(M128,N128)</f>
        <v>342.55</v>
      </c>
      <c r="P128" s="14">
        <f>ROUNDUP(O128/$J$2,0)</f>
        <v>2</v>
      </c>
      <c r="Q128" s="13">
        <f>P128*$J$2</f>
        <v>398</v>
      </c>
      <c r="R128" s="10">
        <f>Q128*$D$2/(0.85*$B$2*(D128*1000))</f>
        <v>23.41176471</v>
      </c>
      <c r="S128" s="10">
        <f>0.9*Q128*$D$2*(J128-R128/2)/1000000</f>
        <v>49.77351244</v>
      </c>
      <c r="T128" s="15" t="str">
        <f>IF(AND(S128&gt;=F128,O128&lt;=0.025*(D128*1000)*J128,O128&gt;=N128),"CUMPLE","REVISAR")</f>
        <v>CUMPLE</v>
      </c>
      <c r="U128" s="11">
        <f>G128*1000000/(0.9*(D128*1000)*J128^2)</f>
        <v>0.07038711343</v>
      </c>
      <c r="V128" s="12">
        <f>(0.85*$B$2/$D$2)*(1-SQRT(1-2*U128/(0.85*$B$2)))</f>
        <v>0.0001678369173</v>
      </c>
      <c r="W128" s="13">
        <f>V128*(D128*1000)*J128</f>
        <v>17.24776081</v>
      </c>
      <c r="X128" s="13">
        <f>MAX(W128,N128)</f>
        <v>342.55</v>
      </c>
      <c r="Y128" s="14">
        <f>ROUNDUP(X128/$J$2,0)</f>
        <v>2</v>
      </c>
      <c r="Z128" s="13">
        <f>Y128*$J$2</f>
        <v>398</v>
      </c>
      <c r="AA128" s="10">
        <f>0.9*Z128*$D$2*(J128-(Z128*$D$2/(0.85*$B$2*(D128*1000)))/2)/1000000</f>
        <v>49.77351244</v>
      </c>
      <c r="AB128" s="15" t="str">
        <f>IF(AA128&gt;=G128,"CUMPLE","REVISAR")</f>
        <v>CUMPLE</v>
      </c>
      <c r="AC128" s="10">
        <f>0.17*SQRT($B$2)*(D128*1000)*J128/1000</f>
        <v>92.44281538</v>
      </c>
      <c r="AD128" s="10">
        <f>MAX(H128/0.75-AC128,0)</f>
        <v>0</v>
      </c>
      <c r="AE128" s="14">
        <f>IF(AD128&gt;0,MIN($N$2*$D$2*J128/(AD128*1000),MIN(J128/4,6*$H$2,150)),MIN(J128/4,6*$H$2,150))</f>
        <v>85.6375</v>
      </c>
      <c r="AF128" s="10">
        <f>0.66*SQRT($B$2)*(D128*1000)*J128/1000</f>
        <v>358.8956362</v>
      </c>
      <c r="AG128" s="15" t="str">
        <f>IF(AD128&lt;=AF128,"CUMPLE","AUMENTAR SECCION")</f>
        <v>CUMPLE</v>
      </c>
      <c r="AH128" s="10">
        <f>0.75*0.083*SQRT($B$2)*(((D128*1000)*(E128*1000))^2/(2*((D128*1000)+(E128*1000))))/1000000</f>
        <v>3.388073536</v>
      </c>
      <c r="AI128" s="15" t="str">
        <f>IF(I128&gt;AH128,"SI","No")</f>
        <v>No</v>
      </c>
      <c r="AJ128" s="11">
        <f>IF(I128&gt;AH128,I128*1000000/(0.75*2*0.85*((D128*1000-2*$F$2)*(E128*1000-2*$F$2))*$D$2),0)</f>
        <v>0</v>
      </c>
      <c r="AK128" s="10">
        <f>1.25*Q128*$D$2*(J128-(1.25*Q128*$D$2/(0.85*$B$2*(D128*1000)))/2)/1000000</f>
        <v>68.51839235</v>
      </c>
      <c r="AL128" s="10">
        <f>1.25*Z128*$D$2*(J128-(1.25*Z128*$D$2/(0.85*$B$2*(D128*1000)))/2)/1000000</f>
        <v>68.51839235</v>
      </c>
      <c r="AM128" s="10">
        <f>(AK128+AL128)/B128</f>
        <v>52.70645566</v>
      </c>
      <c r="AN128" s="10">
        <f>MAX(H128,AM128)</f>
        <v>52.70645566</v>
      </c>
    </row>
    <row r="129">
      <c r="A129" s="5" t="inlineStr">
        <is>
          <t>F130</t>
        </is>
      </c>
      <c r="B129" s="6" t="n">
        <v>2.6</v>
      </c>
      <c r="C129" s="7" t="inlineStr">
        <is>
          <t>VC</t>
        </is>
      </c>
      <c r="D129" s="8">
        <f>IF(C129="VR",0.35,0.30)</f>
        <v>0.3</v>
      </c>
      <c r="E129" s="6" t="n">
        <v>0.4</v>
      </c>
      <c r="F129" s="9" t="n">
        <v>6.3</v>
      </c>
      <c r="G129" s="9" t="n">
        <v>2.2</v>
      </c>
      <c r="H129" s="9" t="n">
        <v>11.7</v>
      </c>
      <c r="I129" s="6" t="n">
        <v>0.29</v>
      </c>
      <c r="J129" s="10">
        <f>E129*1000-$F$2-$L$2-$H$2/2</f>
        <v>342.55</v>
      </c>
      <c r="K129" s="11">
        <f>F129*1000000/(0.9*(D129*1000)*J129^2)</f>
        <v>0.1997983982</v>
      </c>
      <c r="L129" s="12">
        <f>(0.85*$B$2/$D$2)*(1-SQRT(1-2*K129/(0.85*$B$2)))</f>
        <v>0.0004777241813</v>
      </c>
      <c r="M129" s="13">
        <f>L129*(D129*1000)*J129</f>
        <v>49.09332549</v>
      </c>
      <c r="N129" s="13">
        <f>MAX(0.25*SQRT($B$2)/$D$2,1.4/$D$2)*(D129*1000)*J129</f>
        <v>342.55</v>
      </c>
      <c r="O129" s="13">
        <f>MAX(M129,N129)</f>
        <v>342.55</v>
      </c>
      <c r="P129" s="14">
        <f>ROUNDUP(O129/$J$2,0)</f>
        <v>2</v>
      </c>
      <c r="Q129" s="13">
        <f>P129*$J$2</f>
        <v>398</v>
      </c>
      <c r="R129" s="10">
        <f>Q129*$D$2/(0.85*$B$2*(D129*1000))</f>
        <v>23.41176471</v>
      </c>
      <c r="S129" s="10">
        <f>0.9*Q129*$D$2*(J129-R129/2)/1000000</f>
        <v>49.77351244</v>
      </c>
      <c r="T129" s="15" t="str">
        <f>IF(AND(S129&gt;=F129,O129&lt;=0.025*(D129*1000)*J129,O129&gt;=N129),"CUMPLE","REVISAR")</f>
        <v>CUMPLE</v>
      </c>
      <c r="U129" s="11">
        <f>G129*1000000/(0.9*(D129*1000)*J129^2)</f>
        <v>0.07038711343</v>
      </c>
      <c r="V129" s="12">
        <f>(0.85*$B$2/$D$2)*(1-SQRT(1-2*U129/(0.85*$B$2)))</f>
        <v>0.0001678369173</v>
      </c>
      <c r="W129" s="13">
        <f>V129*(D129*1000)*J129</f>
        <v>17.24776081</v>
      </c>
      <c r="X129" s="13">
        <f>MAX(W129,N129)</f>
        <v>342.55</v>
      </c>
      <c r="Y129" s="14">
        <f>ROUNDUP(X129/$J$2,0)</f>
        <v>2</v>
      </c>
      <c r="Z129" s="13">
        <f>Y129*$J$2</f>
        <v>398</v>
      </c>
      <c r="AA129" s="10">
        <f>0.9*Z129*$D$2*(J129-(Z129*$D$2/(0.85*$B$2*(D129*1000)))/2)/1000000</f>
        <v>49.77351244</v>
      </c>
      <c r="AB129" s="15" t="str">
        <f>IF(AA129&gt;=G129,"CUMPLE","REVISAR")</f>
        <v>CUMPLE</v>
      </c>
      <c r="AC129" s="10">
        <f>0.17*SQRT($B$2)*(D129*1000)*J129/1000</f>
        <v>92.44281538</v>
      </c>
      <c r="AD129" s="10">
        <f>MAX(H129/0.75-AC129,0)</f>
        <v>0</v>
      </c>
      <c r="AE129" s="14">
        <f>IF(AD129&gt;0,MIN($N$2*$D$2*J129/(AD129*1000),MIN(J129/4,6*$H$2,150)),MIN(J129/4,6*$H$2,150))</f>
        <v>85.6375</v>
      </c>
      <c r="AF129" s="10">
        <f>0.66*SQRT($B$2)*(D129*1000)*J129/1000</f>
        <v>358.8956362</v>
      </c>
      <c r="AG129" s="15" t="str">
        <f>IF(AD129&lt;=AF129,"CUMPLE","AUMENTAR SECCION")</f>
        <v>CUMPLE</v>
      </c>
      <c r="AH129" s="10">
        <f>0.75*0.083*SQRT($B$2)*(((D129*1000)*(E129*1000))^2/(2*((D129*1000)+(E129*1000))))/1000000</f>
        <v>3.388073536</v>
      </c>
      <c r="AI129" s="15" t="str">
        <f>IF(I129&gt;AH129,"SI","No")</f>
        <v>No</v>
      </c>
      <c r="AJ129" s="11">
        <f>IF(I129&gt;AH129,I129*1000000/(0.75*2*0.85*((D129*1000-2*$F$2)*(E129*1000-2*$F$2))*$D$2),0)</f>
        <v>0</v>
      </c>
      <c r="AK129" s="10">
        <f>1.25*Q129*$D$2*(J129-(1.25*Q129*$D$2/(0.85*$B$2*(D129*1000)))/2)/1000000</f>
        <v>68.51839235</v>
      </c>
      <c r="AL129" s="10">
        <f>1.25*Z129*$D$2*(J129-(1.25*Z129*$D$2/(0.85*$B$2*(D129*1000)))/2)/1000000</f>
        <v>68.51839235</v>
      </c>
      <c r="AM129" s="10">
        <f>(AK129+AL129)/B129</f>
        <v>52.70645566</v>
      </c>
      <c r="AN129" s="10">
        <f>MAX(H129,AM129)</f>
        <v>52.70645566</v>
      </c>
    </row>
    <row r="130">
      <c r="A130" s="5" t="inlineStr">
        <is>
          <t>F131</t>
        </is>
      </c>
      <c r="B130" s="6" t="n">
        <v>2.6</v>
      </c>
      <c r="C130" s="7" t="inlineStr">
        <is>
          <t>VC</t>
        </is>
      </c>
      <c r="D130" s="8">
        <f>IF(C130="VR",0.35,0.30)</f>
        <v>0.3</v>
      </c>
      <c r="E130" s="6" t="n">
        <v>0.4</v>
      </c>
      <c r="F130" s="9" t="n">
        <v>6.3</v>
      </c>
      <c r="G130" s="9" t="n">
        <v>2.2</v>
      </c>
      <c r="H130" s="9" t="n">
        <v>11.7</v>
      </c>
      <c r="I130" s="6" t="n">
        <v>0.29</v>
      </c>
      <c r="J130" s="10">
        <f>E130*1000-$F$2-$L$2-$H$2/2</f>
        <v>342.55</v>
      </c>
      <c r="K130" s="11">
        <f>F130*1000000/(0.9*(D130*1000)*J130^2)</f>
        <v>0.1994827609</v>
      </c>
      <c r="L130" s="12">
        <f>(0.85*$B$2/$D$2)*(1-SQRT(1-2*K130/(0.85*$B$2)))</f>
        <v>0.0004769662796</v>
      </c>
      <c r="M130" s="13">
        <f>L130*(D130*1000)*J130</f>
        <v>49.01543972</v>
      </c>
      <c r="N130" s="13">
        <f>MAX(0.25*SQRT($B$2)/$D$2,1.4/$D$2)*(D130*1000)*J130</f>
        <v>342.55</v>
      </c>
      <c r="O130" s="13">
        <f>MAX(M130,N130)</f>
        <v>342.55</v>
      </c>
      <c r="P130" s="14">
        <f>ROUNDUP(O130/$J$2,0)</f>
        <v>2</v>
      </c>
      <c r="Q130" s="13">
        <f>P130*$J$2</f>
        <v>398</v>
      </c>
      <c r="R130" s="10">
        <f>Q130*$D$2/(0.85*$B$2*(D130*1000))</f>
        <v>23.41176471</v>
      </c>
      <c r="S130" s="10">
        <f>0.9*Q130*$D$2*(J130-R130/2)/1000000</f>
        <v>49.77351244</v>
      </c>
      <c r="T130" s="15" t="str">
        <f>IF(AND(S130&gt;=F130,O130&lt;=0.025*(D130*1000)*J130,O130&gt;=N130),"CUMPLE","REVISAR")</f>
        <v>CUMPLE</v>
      </c>
      <c r="U130" s="11">
        <f>G130*1000000/(0.9*(D130*1000)*J130^2)</f>
        <v>0.07038711343</v>
      </c>
      <c r="V130" s="12">
        <f>(0.85*$B$2/$D$2)*(1-SQRT(1-2*U130/(0.85*$B$2)))</f>
        <v>0.0001678369173</v>
      </c>
      <c r="W130" s="13">
        <f>V130*(D130*1000)*J130</f>
        <v>17.24776081</v>
      </c>
      <c r="X130" s="13">
        <f>MAX(W130,N130)</f>
        <v>342.55</v>
      </c>
      <c r="Y130" s="14">
        <f>ROUNDUP(X130/$J$2,0)</f>
        <v>2</v>
      </c>
      <c r="Z130" s="13">
        <f>Y130*$J$2</f>
        <v>398</v>
      </c>
      <c r="AA130" s="10">
        <f>0.9*Z130*$D$2*(J130-(Z130*$D$2/(0.85*$B$2*(D130*1000)))/2)/1000000</f>
        <v>49.77351244</v>
      </c>
      <c r="AB130" s="15" t="str">
        <f>IF(AA130&gt;=G130,"CUMPLE","REVISAR")</f>
        <v>CUMPLE</v>
      </c>
      <c r="AC130" s="10">
        <f>0.17*SQRT($B$2)*(D130*1000)*J130/1000</f>
        <v>92.44281538</v>
      </c>
      <c r="AD130" s="10">
        <f>MAX(H130/0.75-AC130,0)</f>
        <v>0</v>
      </c>
      <c r="AE130" s="14">
        <f>IF(AD130&gt;0,MIN($N$2*$D$2*J130/(AD130*1000),MIN(J130/4,6*$H$2,150)),MIN(J130/4,6*$H$2,150))</f>
        <v>85.6375</v>
      </c>
      <c r="AF130" s="10">
        <f>0.66*SQRT($B$2)*(D130*1000)*J130/1000</f>
        <v>358.8956362</v>
      </c>
      <c r="AG130" s="15" t="str">
        <f>IF(AD130&lt;=AF130,"CUMPLE","AUMENTAR SECCION")</f>
        <v>CUMPLE</v>
      </c>
      <c r="AH130" s="10">
        <f>0.75*0.083*SQRT($B$2)*(((D130*1000)*(E130*1000))^2/(2*((D130*1000)+(E130*1000))))/1000000</f>
        <v>3.388073536</v>
      </c>
      <c r="AI130" s="15" t="str">
        <f>IF(I130&gt;AH130,"SI","No")</f>
        <v>No</v>
      </c>
      <c r="AJ130" s="11">
        <f>IF(I130&gt;AH130,I130*1000000/(0.75*2*0.85*((D130*1000-2*$F$2)*(E130*1000-2*$F$2))*$D$2),0)</f>
        <v>0</v>
      </c>
      <c r="AK130" s="10">
        <f>1.25*Q130*$D$2*(J130-(1.25*Q130*$D$2/(0.85*$B$2*(D130*1000)))/2)/1000000</f>
        <v>68.51839235</v>
      </c>
      <c r="AL130" s="10">
        <f>1.25*Z130*$D$2*(J130-(1.25*Z130*$D$2/(0.85*$B$2*(D130*1000)))/2)/1000000</f>
        <v>68.51839235</v>
      </c>
      <c r="AM130" s="10">
        <f>(AK130+AL130)/B130</f>
        <v>52.70645566</v>
      </c>
      <c r="AN130" s="10">
        <f>MAX(H130,AM130)</f>
        <v>52.70645566</v>
      </c>
    </row>
    <row r="131">
      <c r="A131" s="5" t="inlineStr">
        <is>
          <t>F132</t>
        </is>
      </c>
      <c r="B131" s="6" t="n">
        <v>2.6</v>
      </c>
      <c r="C131" s="7" t="inlineStr">
        <is>
          <t>VC</t>
        </is>
      </c>
      <c r="D131" s="8">
        <f>IF(C131="VR",0.35,0.30)</f>
        <v>0.3</v>
      </c>
      <c r="E131" s="6" t="n">
        <v>0.4</v>
      </c>
      <c r="F131" s="9" t="n">
        <v>6.3</v>
      </c>
      <c r="G131" s="9" t="n">
        <v>2.2</v>
      </c>
      <c r="H131" s="9" t="n">
        <v>11.7</v>
      </c>
      <c r="I131" s="6" t="n">
        <v>0.29</v>
      </c>
      <c r="J131" s="10">
        <f>E131*1000-$F$2-$L$2-$H$2/2</f>
        <v>342.55</v>
      </c>
      <c r="K131" s="11">
        <f>F131*1000000/(0.9*(D131*1000)*J131^2)</f>
        <v>0.1991671236</v>
      </c>
      <c r="L131" s="12">
        <f>(0.85*$B$2/$D$2)*(1-SQRT(1-2*K131/(0.85*$B$2)))</f>
        <v>0.0004762083881</v>
      </c>
      <c r="M131" s="13">
        <f>L131*(D131*1000)*J131</f>
        <v>48.937555</v>
      </c>
      <c r="N131" s="13">
        <f>MAX(0.25*SQRT($B$2)/$D$2,1.4/$D$2)*(D131*1000)*J131</f>
        <v>342.55</v>
      </c>
      <c r="O131" s="13">
        <f>MAX(M131,N131)</f>
        <v>342.55</v>
      </c>
      <c r="P131" s="14">
        <f>ROUNDUP(O131/$J$2,0)</f>
        <v>2</v>
      </c>
      <c r="Q131" s="13">
        <f>P131*$J$2</f>
        <v>398</v>
      </c>
      <c r="R131" s="10">
        <f>Q131*$D$2/(0.85*$B$2*(D131*1000))</f>
        <v>23.41176471</v>
      </c>
      <c r="S131" s="10">
        <f>0.9*Q131*$D$2*(J131-R131/2)/1000000</f>
        <v>49.77351244</v>
      </c>
      <c r="T131" s="15" t="str">
        <f>IF(AND(S131&gt;=F131,O131&lt;=0.025*(D131*1000)*J131,O131&gt;=N131),"CUMPLE","REVISAR")</f>
        <v>CUMPLE</v>
      </c>
      <c r="U131" s="11">
        <f>G131*1000000/(0.9*(D131*1000)*J131^2)</f>
        <v>0.07038711343</v>
      </c>
      <c r="V131" s="12">
        <f>(0.85*$B$2/$D$2)*(1-SQRT(1-2*U131/(0.85*$B$2)))</f>
        <v>0.0001678369173</v>
      </c>
      <c r="W131" s="13">
        <f>V131*(D131*1000)*J131</f>
        <v>17.24776081</v>
      </c>
      <c r="X131" s="13">
        <f>MAX(W131,N131)</f>
        <v>342.55</v>
      </c>
      <c r="Y131" s="14">
        <f>ROUNDUP(X131/$J$2,0)</f>
        <v>2</v>
      </c>
      <c r="Z131" s="13">
        <f>Y131*$J$2</f>
        <v>398</v>
      </c>
      <c r="AA131" s="10">
        <f>0.9*Z131*$D$2*(J131-(Z131*$D$2/(0.85*$B$2*(D131*1000)))/2)/1000000</f>
        <v>49.77351244</v>
      </c>
      <c r="AB131" s="15" t="str">
        <f>IF(AA131&gt;=G131,"CUMPLE","REVISAR")</f>
        <v>CUMPLE</v>
      </c>
      <c r="AC131" s="10">
        <f>0.17*SQRT($B$2)*(D131*1000)*J131/1000</f>
        <v>92.44281538</v>
      </c>
      <c r="AD131" s="10">
        <f>MAX(H131/0.75-AC131,0)</f>
        <v>0</v>
      </c>
      <c r="AE131" s="14">
        <f>IF(AD131&gt;0,MIN($N$2*$D$2*J131/(AD131*1000),MIN(J131/4,6*$H$2,150)),MIN(J131/4,6*$H$2,150))</f>
        <v>85.6375</v>
      </c>
      <c r="AF131" s="10">
        <f>0.66*SQRT($B$2)*(D131*1000)*J131/1000</f>
        <v>358.8956362</v>
      </c>
      <c r="AG131" s="15" t="str">
        <f>IF(AD131&lt;=AF131,"CUMPLE","AUMENTAR SECCION")</f>
        <v>CUMPLE</v>
      </c>
      <c r="AH131" s="10">
        <f>0.75*0.083*SQRT($B$2)*(((D131*1000)*(E131*1000))^2/(2*((D131*1000)+(E131*1000))))/1000000</f>
        <v>3.388073536</v>
      </c>
      <c r="AI131" s="15" t="str">
        <f>IF(I131&gt;AH131,"SI","No")</f>
        <v>No</v>
      </c>
      <c r="AJ131" s="11">
        <f>IF(I131&gt;AH131,I131*1000000/(0.75*2*0.85*((D131*1000-2*$F$2)*(E131*1000-2*$F$2))*$D$2),0)</f>
        <v>0</v>
      </c>
      <c r="AK131" s="10">
        <f>1.25*Q131*$D$2*(J131-(1.25*Q131*$D$2/(0.85*$B$2*(D131*1000)))/2)/1000000</f>
        <v>68.51839235</v>
      </c>
      <c r="AL131" s="10">
        <f>1.25*Z131*$D$2*(J131-(1.25*Z131*$D$2/(0.85*$B$2*(D131*1000)))/2)/1000000</f>
        <v>68.51839235</v>
      </c>
      <c r="AM131" s="10">
        <f>(AK131+AL131)/B131</f>
        <v>52.70645566</v>
      </c>
      <c r="AN131" s="10">
        <f>MAX(H131,AM131)</f>
        <v>52.70645566</v>
      </c>
    </row>
    <row r="132">
      <c r="A132" s="5" t="inlineStr">
        <is>
          <t>F133</t>
        </is>
      </c>
      <c r="B132" s="6" t="n">
        <v>2.5</v>
      </c>
      <c r="C132" s="7" t="inlineStr">
        <is>
          <t>VC</t>
        </is>
      </c>
      <c r="D132" s="8">
        <f>IF(C132="VR",0.35,0.30)</f>
        <v>0.3</v>
      </c>
      <c r="E132" s="6" t="n">
        <v>0.4</v>
      </c>
      <c r="F132" s="9" t="n">
        <v>10.3</v>
      </c>
      <c r="G132" s="9" t="n">
        <v>3.9</v>
      </c>
      <c r="H132" s="9" t="n">
        <v>13.9</v>
      </c>
      <c r="I132" s="6" t="n">
        <v>1.77</v>
      </c>
      <c r="J132" s="10">
        <f>E132*1000-$F$2-$L$2-$H$2/2</f>
        <v>342.55</v>
      </c>
      <c r="K132" s="11">
        <f>F132*1000000/(0.9*(D132*1000)*J132^2)</f>
        <v>0.3260533102</v>
      </c>
      <c r="L132" s="12">
        <f>(0.85*$B$2/$D$2)*(1-SQRT(1-2*K132/(0.85*$B$2)))</f>
        <v>0.0007817091928</v>
      </c>
      <c r="M132" s="13">
        <f>L132*(D132*1000)*J132</f>
        <v>80.3323452</v>
      </c>
      <c r="N132" s="13">
        <f>MAX(0.25*SQRT($B$2)/$D$2,1.4/$D$2)*(D132*1000)*J132</f>
        <v>342.55</v>
      </c>
      <c r="O132" s="13">
        <f>MAX(M132,N132)</f>
        <v>342.55</v>
      </c>
      <c r="P132" s="14">
        <f>ROUNDUP(O132/$J$2,0)</f>
        <v>2</v>
      </c>
      <c r="Q132" s="13">
        <f>P132*$J$2</f>
        <v>398</v>
      </c>
      <c r="R132" s="10">
        <f>Q132*$D$2/(0.85*$B$2*(D132*1000))</f>
        <v>23.41176471</v>
      </c>
      <c r="S132" s="10">
        <f>0.9*Q132*$D$2*(J132-R132/2)/1000000</f>
        <v>49.77351244</v>
      </c>
      <c r="T132" s="15" t="str">
        <f>IF(AND(S132&gt;=F132,O132&lt;=0.025*(D132*1000)*J132,O132&gt;=N132),"CUMPLE","REVISAR")</f>
        <v>CUMPLE</v>
      </c>
      <c r="U132" s="11">
        <f>G132*1000000/(0.9*(D132*1000)*J132^2)</f>
        <v>0.1243610883</v>
      </c>
      <c r="V132" s="12">
        <f>(0.85*$B$2/$D$2)*(1-SQRT(1-2*U132/(0.85*$B$2)))</f>
        <v>0.0002968754916</v>
      </c>
      <c r="W132" s="13">
        <f>V132*(D132*1000)*J132</f>
        <v>30.50840989</v>
      </c>
      <c r="X132" s="13">
        <f>MAX(W132,N132)</f>
        <v>342.55</v>
      </c>
      <c r="Y132" s="14">
        <f>ROUNDUP(X132/$J$2,0)</f>
        <v>2</v>
      </c>
      <c r="Z132" s="13">
        <f>Y132*$J$2</f>
        <v>398</v>
      </c>
      <c r="AA132" s="10">
        <f>0.9*Z132*$D$2*(J132-(Z132*$D$2/(0.85*$B$2*(D132*1000)))/2)/1000000</f>
        <v>49.77351244</v>
      </c>
      <c r="AB132" s="15" t="str">
        <f>IF(AA132&gt;=G132,"CUMPLE","REVISAR")</f>
        <v>CUMPLE</v>
      </c>
      <c r="AC132" s="10">
        <f>0.17*SQRT($B$2)*(D132*1000)*J132/1000</f>
        <v>92.44281538</v>
      </c>
      <c r="AD132" s="10">
        <f>MAX(H132/0.75-AC132,0)</f>
        <v>0</v>
      </c>
      <c r="AE132" s="14">
        <f>IF(AD132&gt;0,MIN($N$2*$D$2*J132/(AD132*1000),MIN(J132/4,6*$H$2,150)),MIN(J132/4,6*$H$2,150))</f>
        <v>85.6375</v>
      </c>
      <c r="AF132" s="10">
        <f>0.66*SQRT($B$2)*(D132*1000)*J132/1000</f>
        <v>358.8956362</v>
      </c>
      <c r="AG132" s="15" t="str">
        <f>IF(AD132&lt;=AF132,"CUMPLE","AUMENTAR SECCION")</f>
        <v>CUMPLE</v>
      </c>
      <c r="AH132" s="10">
        <f>0.75*0.083*SQRT($B$2)*(((D132*1000)*(E132*1000))^2/(2*((D132*1000)+(E132*1000))))/1000000</f>
        <v>3.388073536</v>
      </c>
      <c r="AI132" s="15" t="str">
        <f>IF(I132&gt;AH132,"SI","No")</f>
        <v>No</v>
      </c>
      <c r="AJ132" s="11">
        <f>IF(I132&gt;AH132,I132*1000000/(0.75*2*0.85*((D132*1000-2*$F$2)*(E132*1000-2*$F$2))*$D$2),0)</f>
        <v>0</v>
      </c>
      <c r="AK132" s="10">
        <f>1.25*Q132*$D$2*(J132-(1.25*Q132*$D$2/(0.85*$B$2*(D132*1000)))/2)/1000000</f>
        <v>68.51839235</v>
      </c>
      <c r="AL132" s="10">
        <f>1.25*Z132*$D$2*(J132-(1.25*Z132*$D$2/(0.85*$B$2*(D132*1000)))/2)/1000000</f>
        <v>68.51839235</v>
      </c>
      <c r="AM132" s="10">
        <f>(AK132+AL132)/B132</f>
        <v>54.81471388</v>
      </c>
      <c r="AN132" s="10">
        <f>MAX(H132,AM132)</f>
        <v>54.81471388</v>
      </c>
    </row>
    <row r="133">
      <c r="A133" s="5" t="inlineStr">
        <is>
          <t>F134</t>
        </is>
      </c>
      <c r="B133" s="6" t="n">
        <v>2.5</v>
      </c>
      <c r="C133" s="7" t="inlineStr">
        <is>
          <t>VC</t>
        </is>
      </c>
      <c r="D133" s="8">
        <f>IF(C133="VR",0.35,0.30)</f>
        <v>0.3</v>
      </c>
      <c r="E133" s="6" t="n">
        <v>0.4</v>
      </c>
      <c r="F133" s="9" t="n">
        <v>10.3</v>
      </c>
      <c r="G133" s="9" t="n">
        <v>3.9</v>
      </c>
      <c r="H133" s="9" t="n">
        <v>13.9</v>
      </c>
      <c r="I133" s="6" t="n">
        <v>1.78</v>
      </c>
      <c r="J133" s="10">
        <f>E133*1000-$F$2-$L$2-$H$2/2</f>
        <v>342.55</v>
      </c>
      <c r="K133" s="11">
        <f>F133*1000000/(0.9*(D133*1000)*J133^2)</f>
        <v>0.3260533102</v>
      </c>
      <c r="L133" s="12">
        <f>(0.85*$B$2/$D$2)*(1-SQRT(1-2*K133/(0.85*$B$2)))</f>
        <v>0.0007817091928</v>
      </c>
      <c r="M133" s="13">
        <f>L133*(D133*1000)*J133</f>
        <v>80.3323452</v>
      </c>
      <c r="N133" s="13">
        <f>MAX(0.25*SQRT($B$2)/$D$2,1.4/$D$2)*(D133*1000)*J133</f>
        <v>342.55</v>
      </c>
      <c r="O133" s="13">
        <f>MAX(M133,N133)</f>
        <v>342.55</v>
      </c>
      <c r="P133" s="14">
        <f>ROUNDUP(O133/$J$2,0)</f>
        <v>2</v>
      </c>
      <c r="Q133" s="13">
        <f>P133*$J$2</f>
        <v>398</v>
      </c>
      <c r="R133" s="10">
        <f>Q133*$D$2/(0.85*$B$2*(D133*1000))</f>
        <v>23.41176471</v>
      </c>
      <c r="S133" s="10">
        <f>0.9*Q133*$D$2*(J133-R133/2)/1000000</f>
        <v>49.77351244</v>
      </c>
      <c r="T133" s="15" t="str">
        <f>IF(AND(S133&gt;=F133,O133&lt;=0.025*(D133*1000)*J133,O133&gt;=N133),"CUMPLE","REVISAR")</f>
        <v>CUMPLE</v>
      </c>
      <c r="U133" s="11">
        <f>G133*1000000/(0.9*(D133*1000)*J133^2)</f>
        <v>0.124045451</v>
      </c>
      <c r="V133" s="12">
        <f>(0.85*$B$2/$D$2)*(1-SQRT(1-2*U133/(0.85*$B$2)))</f>
        <v>0.0002961200214</v>
      </c>
      <c r="W133" s="13">
        <f>V133*(D133*1000)*J133</f>
        <v>30.430774</v>
      </c>
      <c r="X133" s="13">
        <f>MAX(W133,N133)</f>
        <v>342.55</v>
      </c>
      <c r="Y133" s="14">
        <f>ROUNDUP(X133/$J$2,0)</f>
        <v>2</v>
      </c>
      <c r="Z133" s="13">
        <f>Y133*$J$2</f>
        <v>398</v>
      </c>
      <c r="AA133" s="10">
        <f>0.9*Z133*$D$2*(J133-(Z133*$D$2/(0.85*$B$2*(D133*1000)))/2)/1000000</f>
        <v>49.77351244</v>
      </c>
      <c r="AB133" s="15" t="str">
        <f>IF(AA133&gt;=G133,"CUMPLE","REVISAR")</f>
        <v>CUMPLE</v>
      </c>
      <c r="AC133" s="10">
        <f>0.17*SQRT($B$2)*(D133*1000)*J133/1000</f>
        <v>92.44281538</v>
      </c>
      <c r="AD133" s="10">
        <f>MAX(H133/0.75-AC133,0)</f>
        <v>0</v>
      </c>
      <c r="AE133" s="14">
        <f>IF(AD133&gt;0,MIN($N$2*$D$2*J133/(AD133*1000),MIN(J133/4,6*$H$2,150)),MIN(J133/4,6*$H$2,150))</f>
        <v>85.6375</v>
      </c>
      <c r="AF133" s="10">
        <f>0.66*SQRT($B$2)*(D133*1000)*J133/1000</f>
        <v>358.8956362</v>
      </c>
      <c r="AG133" s="15" t="str">
        <f>IF(AD133&lt;=AF133,"CUMPLE","AUMENTAR SECCION")</f>
        <v>CUMPLE</v>
      </c>
      <c r="AH133" s="10">
        <f>0.75*0.083*SQRT($B$2)*(((D133*1000)*(E133*1000))^2/(2*((D133*1000)+(E133*1000))))/1000000</f>
        <v>3.388073536</v>
      </c>
      <c r="AI133" s="15" t="str">
        <f>IF(I133&gt;AH133,"SI","No")</f>
        <v>No</v>
      </c>
      <c r="AJ133" s="11">
        <f>IF(I133&gt;AH133,I133*1000000/(0.75*2*0.85*((D133*1000-2*$F$2)*(E133*1000-2*$F$2))*$D$2),0)</f>
        <v>0</v>
      </c>
      <c r="AK133" s="10">
        <f>1.25*Q133*$D$2*(J133-(1.25*Q133*$D$2/(0.85*$B$2*(D133*1000)))/2)/1000000</f>
        <v>68.51839235</v>
      </c>
      <c r="AL133" s="10">
        <f>1.25*Z133*$D$2*(J133-(1.25*Z133*$D$2/(0.85*$B$2*(D133*1000)))/2)/1000000</f>
        <v>68.51839235</v>
      </c>
      <c r="AM133" s="10">
        <f>(AK133+AL133)/B133</f>
        <v>54.81471388</v>
      </c>
      <c r="AN133" s="10">
        <f>MAX(H133,AM133)</f>
        <v>54.81471388</v>
      </c>
    </row>
    <row r="134">
      <c r="A134" s="5" t="inlineStr">
        <is>
          <t>F135</t>
        </is>
      </c>
      <c r="B134" s="6" t="n">
        <v>2.5</v>
      </c>
      <c r="C134" s="7" t="inlineStr">
        <is>
          <t>VC</t>
        </is>
      </c>
      <c r="D134" s="8">
        <f>IF(C134="VR",0.35,0.30)</f>
        <v>0.3</v>
      </c>
      <c r="E134" s="6" t="n">
        <v>0.4</v>
      </c>
      <c r="F134" s="9" t="n">
        <v>10.3</v>
      </c>
      <c r="G134" s="9" t="n">
        <v>3.9</v>
      </c>
      <c r="H134" s="9" t="n">
        <v>13.9</v>
      </c>
      <c r="I134" s="6" t="n">
        <v>1.78</v>
      </c>
      <c r="J134" s="10">
        <f>E134*1000-$F$2-$L$2-$H$2/2</f>
        <v>342.55</v>
      </c>
      <c r="K134" s="11">
        <f>F134*1000000/(0.9*(D134*1000)*J134^2)</f>
        <v>0.3263689475</v>
      </c>
      <c r="L134" s="12">
        <f>(0.85*$B$2/$D$2)*(1-SQRT(1-2*K134/(0.85*$B$2)))</f>
        <v>0.0007824712274</v>
      </c>
      <c r="M134" s="13">
        <f>L134*(D134*1000)*J134</f>
        <v>80.41065569</v>
      </c>
      <c r="N134" s="13">
        <f>MAX(0.25*SQRT($B$2)/$D$2,1.4/$D$2)*(D134*1000)*J134</f>
        <v>342.55</v>
      </c>
      <c r="O134" s="13">
        <f>MAX(M134,N134)</f>
        <v>342.55</v>
      </c>
      <c r="P134" s="14">
        <f>ROUNDUP(O134/$J$2,0)</f>
        <v>2</v>
      </c>
      <c r="Q134" s="13">
        <f>P134*$J$2</f>
        <v>398</v>
      </c>
      <c r="R134" s="10">
        <f>Q134*$D$2/(0.85*$B$2*(D134*1000))</f>
        <v>23.41176471</v>
      </c>
      <c r="S134" s="10">
        <f>0.9*Q134*$D$2*(J134-R134/2)/1000000</f>
        <v>49.77351244</v>
      </c>
      <c r="T134" s="15" t="str">
        <f>IF(AND(S134&gt;=F134,O134&lt;=0.025*(D134*1000)*J134,O134&gt;=N134),"CUMPLE","REVISAR")</f>
        <v>CUMPLE</v>
      </c>
      <c r="U134" s="11">
        <f>G134*1000000/(0.9*(D134*1000)*J134^2)</f>
        <v>0.1243610883</v>
      </c>
      <c r="V134" s="12">
        <f>(0.85*$B$2/$D$2)*(1-SQRT(1-2*U134/(0.85*$B$2)))</f>
        <v>0.0002968754916</v>
      </c>
      <c r="W134" s="13">
        <f>V134*(D134*1000)*J134</f>
        <v>30.50840989</v>
      </c>
      <c r="X134" s="13">
        <f>MAX(W134,N134)</f>
        <v>342.55</v>
      </c>
      <c r="Y134" s="14">
        <f>ROUNDUP(X134/$J$2,0)</f>
        <v>2</v>
      </c>
      <c r="Z134" s="13">
        <f>Y134*$J$2</f>
        <v>398</v>
      </c>
      <c r="AA134" s="10">
        <f>0.9*Z134*$D$2*(J134-(Z134*$D$2/(0.85*$B$2*(D134*1000)))/2)/1000000</f>
        <v>49.77351244</v>
      </c>
      <c r="AB134" s="15" t="str">
        <f>IF(AA134&gt;=G134,"CUMPLE","REVISAR")</f>
        <v>CUMPLE</v>
      </c>
      <c r="AC134" s="10">
        <f>0.17*SQRT($B$2)*(D134*1000)*J134/1000</f>
        <v>92.44281538</v>
      </c>
      <c r="AD134" s="10">
        <f>MAX(H134/0.75-AC134,0)</f>
        <v>0</v>
      </c>
      <c r="AE134" s="14">
        <f>IF(AD134&gt;0,MIN($N$2*$D$2*J134/(AD134*1000),MIN(J134/4,6*$H$2,150)),MIN(J134/4,6*$H$2,150))</f>
        <v>85.6375</v>
      </c>
      <c r="AF134" s="10">
        <f>0.66*SQRT($B$2)*(D134*1000)*J134/1000</f>
        <v>358.8956362</v>
      </c>
      <c r="AG134" s="15" t="str">
        <f>IF(AD134&lt;=AF134,"CUMPLE","AUMENTAR SECCION")</f>
        <v>CUMPLE</v>
      </c>
      <c r="AH134" s="10">
        <f>0.75*0.083*SQRT($B$2)*(((D134*1000)*(E134*1000))^2/(2*((D134*1000)+(E134*1000))))/1000000</f>
        <v>3.388073536</v>
      </c>
      <c r="AI134" s="15" t="str">
        <f>IF(I134&gt;AH134,"SI","No")</f>
        <v>No</v>
      </c>
      <c r="AJ134" s="11">
        <f>IF(I134&gt;AH134,I134*1000000/(0.75*2*0.85*((D134*1000-2*$F$2)*(E134*1000-2*$F$2))*$D$2),0)</f>
        <v>0</v>
      </c>
      <c r="AK134" s="10">
        <f>1.25*Q134*$D$2*(J134-(1.25*Q134*$D$2/(0.85*$B$2*(D134*1000)))/2)/1000000</f>
        <v>68.51839235</v>
      </c>
      <c r="AL134" s="10">
        <f>1.25*Z134*$D$2*(J134-(1.25*Z134*$D$2/(0.85*$B$2*(D134*1000)))/2)/1000000</f>
        <v>68.51839235</v>
      </c>
      <c r="AM134" s="10">
        <f>(AK134+AL134)/B134</f>
        <v>54.81471388</v>
      </c>
      <c r="AN134" s="10">
        <f>MAX(H134,AM134)</f>
        <v>54.81471388</v>
      </c>
    </row>
    <row r="135">
      <c r="A135" s="5" t="inlineStr">
        <is>
          <t>F136</t>
        </is>
      </c>
      <c r="B135" s="6" t="n">
        <v>2.5</v>
      </c>
      <c r="C135" s="7" t="inlineStr">
        <is>
          <t>VC</t>
        </is>
      </c>
      <c r="D135" s="8">
        <f>IF(C135="VR",0.35,0.30)</f>
        <v>0.3</v>
      </c>
      <c r="E135" s="6" t="n">
        <v>0.4</v>
      </c>
      <c r="F135" s="9" t="n">
        <v>10.3</v>
      </c>
      <c r="G135" s="9" t="n">
        <v>3.9</v>
      </c>
      <c r="H135" s="9" t="n">
        <v>13.9</v>
      </c>
      <c r="I135" s="6" t="n">
        <v>1.77</v>
      </c>
      <c r="J135" s="10">
        <f>E135*1000-$F$2-$L$2-$H$2/2</f>
        <v>342.55</v>
      </c>
      <c r="K135" s="11">
        <f>F135*1000000/(0.9*(D135*1000)*J135^2)</f>
        <v>0.3263689475</v>
      </c>
      <c r="L135" s="12">
        <f>(0.85*$B$2/$D$2)*(1-SQRT(1-2*K135/(0.85*$B$2)))</f>
        <v>0.0007824712274</v>
      </c>
      <c r="M135" s="13">
        <f>L135*(D135*1000)*J135</f>
        <v>80.41065569</v>
      </c>
      <c r="N135" s="13">
        <f>MAX(0.25*SQRT($B$2)/$D$2,1.4/$D$2)*(D135*1000)*J135</f>
        <v>342.55</v>
      </c>
      <c r="O135" s="13">
        <f>MAX(M135,N135)</f>
        <v>342.55</v>
      </c>
      <c r="P135" s="14">
        <f>ROUNDUP(O135/$J$2,0)</f>
        <v>2</v>
      </c>
      <c r="Q135" s="13">
        <f>P135*$J$2</f>
        <v>398</v>
      </c>
      <c r="R135" s="10">
        <f>Q135*$D$2/(0.85*$B$2*(D135*1000))</f>
        <v>23.41176471</v>
      </c>
      <c r="S135" s="10">
        <f>0.9*Q135*$D$2*(J135-R135/2)/1000000</f>
        <v>49.77351244</v>
      </c>
      <c r="T135" s="15" t="str">
        <f>IF(AND(S135&gt;=F135,O135&lt;=0.025*(D135*1000)*J135,O135&gt;=N135),"CUMPLE","REVISAR")</f>
        <v>CUMPLE</v>
      </c>
      <c r="U135" s="11">
        <f>G135*1000000/(0.9*(D135*1000)*J135^2)</f>
        <v>0.1243610883</v>
      </c>
      <c r="V135" s="12">
        <f>(0.85*$B$2/$D$2)*(1-SQRT(1-2*U135/(0.85*$B$2)))</f>
        <v>0.0002968754916</v>
      </c>
      <c r="W135" s="13">
        <f>V135*(D135*1000)*J135</f>
        <v>30.50840989</v>
      </c>
      <c r="X135" s="13">
        <f>MAX(W135,N135)</f>
        <v>342.55</v>
      </c>
      <c r="Y135" s="14">
        <f>ROUNDUP(X135/$J$2,0)</f>
        <v>2</v>
      </c>
      <c r="Z135" s="13">
        <f>Y135*$J$2</f>
        <v>398</v>
      </c>
      <c r="AA135" s="10">
        <f>0.9*Z135*$D$2*(J135-(Z135*$D$2/(0.85*$B$2*(D135*1000)))/2)/1000000</f>
        <v>49.77351244</v>
      </c>
      <c r="AB135" s="15" t="str">
        <f>IF(AA135&gt;=G135,"CUMPLE","REVISAR")</f>
        <v>CUMPLE</v>
      </c>
      <c r="AC135" s="10">
        <f>0.17*SQRT($B$2)*(D135*1000)*J135/1000</f>
        <v>92.44281538</v>
      </c>
      <c r="AD135" s="10">
        <f>MAX(H135/0.75-AC135,0)</f>
        <v>0</v>
      </c>
      <c r="AE135" s="14">
        <f>IF(AD135&gt;0,MIN($N$2*$D$2*J135/(AD135*1000),MIN(J135/4,6*$H$2,150)),MIN(J135/4,6*$H$2,150))</f>
        <v>85.6375</v>
      </c>
      <c r="AF135" s="10">
        <f>0.66*SQRT($B$2)*(D135*1000)*J135/1000</f>
        <v>358.8956362</v>
      </c>
      <c r="AG135" s="15" t="str">
        <f>IF(AD135&lt;=AF135,"CUMPLE","AUMENTAR SECCION")</f>
        <v>CUMPLE</v>
      </c>
      <c r="AH135" s="10">
        <f>0.75*0.083*SQRT($B$2)*(((D135*1000)*(E135*1000))^2/(2*((D135*1000)+(E135*1000))))/1000000</f>
        <v>3.388073536</v>
      </c>
      <c r="AI135" s="15" t="str">
        <f>IF(I135&gt;AH135,"SI","No")</f>
        <v>No</v>
      </c>
      <c r="AJ135" s="11">
        <f>IF(I135&gt;AH135,I135*1000000/(0.75*2*0.85*((D135*1000-2*$F$2)*(E135*1000-2*$F$2))*$D$2),0)</f>
        <v>0</v>
      </c>
      <c r="AK135" s="10">
        <f>1.25*Q135*$D$2*(J135-(1.25*Q135*$D$2/(0.85*$B$2*(D135*1000)))/2)/1000000</f>
        <v>68.51839235</v>
      </c>
      <c r="AL135" s="10">
        <f>1.25*Z135*$D$2*(J135-(1.25*Z135*$D$2/(0.85*$B$2*(D135*1000)))/2)/1000000</f>
        <v>68.51839235</v>
      </c>
      <c r="AM135" s="10">
        <f>(AK135+AL135)/B135</f>
        <v>54.81471388</v>
      </c>
      <c r="AN135" s="10">
        <f>MAX(H135,AM135)</f>
        <v>54.81471388</v>
      </c>
    </row>
    <row r="136">
      <c r="A136" s="5" t="inlineStr">
        <is>
          <t>F137</t>
        </is>
      </c>
      <c r="B136" s="6" t="n">
        <v>2.6</v>
      </c>
      <c r="C136" s="7" t="inlineStr">
        <is>
          <t>VC</t>
        </is>
      </c>
      <c r="D136" s="8">
        <f>IF(C136="VR",0.35,0.30)</f>
        <v>0.3</v>
      </c>
      <c r="E136" s="6" t="n">
        <v>0.4</v>
      </c>
      <c r="F136" s="9" t="n">
        <v>6.9</v>
      </c>
      <c r="G136" s="9" t="n">
        <v>2.3</v>
      </c>
      <c r="H136" s="9" t="n">
        <v>11.9</v>
      </c>
      <c r="I136" s="6" t="n">
        <v>0.2</v>
      </c>
      <c r="J136" s="10">
        <f>E136*1000-$F$2-$L$2-$H$2/2</f>
        <v>342.55</v>
      </c>
      <c r="K136" s="11">
        <f>F136*1000000/(0.9*(D136*1000)*J136^2)</f>
        <v>0.216527174</v>
      </c>
      <c r="L136" s="12">
        <f>(0.85*$B$2/$D$2)*(1-SQRT(1-2*K136/(0.85*$B$2)))</f>
        <v>0.0005179076108</v>
      </c>
      <c r="M136" s="13">
        <f>L136*(D136*1000)*J136</f>
        <v>53.22277563</v>
      </c>
      <c r="N136" s="13">
        <f>MAX(0.25*SQRT($B$2)/$D$2,1.4/$D$2)*(D136*1000)*J136</f>
        <v>342.55</v>
      </c>
      <c r="O136" s="13">
        <f>MAX(M136,N136)</f>
        <v>342.55</v>
      </c>
      <c r="P136" s="14">
        <f>ROUNDUP(O136/$J$2,0)</f>
        <v>2</v>
      </c>
      <c r="Q136" s="13">
        <f>P136*$J$2</f>
        <v>398</v>
      </c>
      <c r="R136" s="10">
        <f>Q136*$D$2/(0.85*$B$2*(D136*1000))</f>
        <v>23.41176471</v>
      </c>
      <c r="S136" s="10">
        <f>0.9*Q136*$D$2*(J136-R136/2)/1000000</f>
        <v>49.77351244</v>
      </c>
      <c r="T136" s="15" t="str">
        <f>IF(AND(S136&gt;=F136,O136&lt;=0.025*(D136*1000)*J136,O136&gt;=N136),"CUMPLE","REVISAR")</f>
        <v>CUMPLE</v>
      </c>
      <c r="U136" s="11">
        <f>G136*1000000/(0.9*(D136*1000)*J136^2)</f>
        <v>0.07228093711</v>
      </c>
      <c r="V136" s="12">
        <f>(0.85*$B$2/$D$2)*(1-SQRT(1-2*U136/(0.85*$B$2)))</f>
        <v>0.0001723595972</v>
      </c>
      <c r="W136" s="13">
        <f>V136*(D136*1000)*J136</f>
        <v>17.71253401</v>
      </c>
      <c r="X136" s="13">
        <f>MAX(W136,N136)</f>
        <v>342.55</v>
      </c>
      <c r="Y136" s="14">
        <f>ROUNDUP(X136/$J$2,0)</f>
        <v>2</v>
      </c>
      <c r="Z136" s="13">
        <f>Y136*$J$2</f>
        <v>398</v>
      </c>
      <c r="AA136" s="10">
        <f>0.9*Z136*$D$2*(J136-(Z136*$D$2/(0.85*$B$2*(D136*1000)))/2)/1000000</f>
        <v>49.77351244</v>
      </c>
      <c r="AB136" s="15" t="str">
        <f>IF(AA136&gt;=G136,"CUMPLE","REVISAR")</f>
        <v>CUMPLE</v>
      </c>
      <c r="AC136" s="10">
        <f>0.17*SQRT($B$2)*(D136*1000)*J136/1000</f>
        <v>92.44281538</v>
      </c>
      <c r="AD136" s="10">
        <f>MAX(H136/0.75-AC136,0)</f>
        <v>0</v>
      </c>
      <c r="AE136" s="14">
        <f>IF(AD136&gt;0,MIN($N$2*$D$2*J136/(AD136*1000),MIN(J136/4,6*$H$2,150)),MIN(J136/4,6*$H$2,150))</f>
        <v>85.6375</v>
      </c>
      <c r="AF136" s="10">
        <f>0.66*SQRT($B$2)*(D136*1000)*J136/1000</f>
        <v>358.8956362</v>
      </c>
      <c r="AG136" s="15" t="str">
        <f>IF(AD136&lt;=AF136,"CUMPLE","AUMENTAR SECCION")</f>
        <v>CUMPLE</v>
      </c>
      <c r="AH136" s="10">
        <f>0.75*0.083*SQRT($B$2)*(((D136*1000)*(E136*1000))^2/(2*((D136*1000)+(E136*1000))))/1000000</f>
        <v>3.388073536</v>
      </c>
      <c r="AI136" s="15" t="str">
        <f>IF(I136&gt;AH136,"SI","No")</f>
        <v>No</v>
      </c>
      <c r="AJ136" s="11">
        <f>IF(I136&gt;AH136,I136*1000000/(0.75*2*0.85*((D136*1000-2*$F$2)*(E136*1000-2*$F$2))*$D$2),0)</f>
        <v>0</v>
      </c>
      <c r="AK136" s="10">
        <f>1.25*Q136*$D$2*(J136-(1.25*Q136*$D$2/(0.85*$B$2*(D136*1000)))/2)/1000000</f>
        <v>68.51839235</v>
      </c>
      <c r="AL136" s="10">
        <f>1.25*Z136*$D$2*(J136-(1.25*Z136*$D$2/(0.85*$B$2*(D136*1000)))/2)/1000000</f>
        <v>68.51839235</v>
      </c>
      <c r="AM136" s="10">
        <f>(AK136+AL136)/B136</f>
        <v>52.70645566</v>
      </c>
      <c r="AN136" s="10">
        <f>MAX(H136,AM136)</f>
        <v>52.70645566</v>
      </c>
    </row>
    <row r="137">
      <c r="A137" s="5" t="inlineStr">
        <is>
          <t>F138</t>
        </is>
      </c>
      <c r="B137" s="6" t="n">
        <v>2.6</v>
      </c>
      <c r="C137" s="7" t="inlineStr">
        <is>
          <t>VC</t>
        </is>
      </c>
      <c r="D137" s="8">
        <f>IF(C137="VR",0.35,0.30)</f>
        <v>0.3</v>
      </c>
      <c r="E137" s="6" t="n">
        <v>0.4</v>
      </c>
      <c r="F137" s="9" t="n">
        <v>6.9</v>
      </c>
      <c r="G137" s="9" t="n">
        <v>2.3</v>
      </c>
      <c r="H137" s="9" t="n">
        <v>12</v>
      </c>
      <c r="I137" s="6" t="n">
        <v>0.2</v>
      </c>
      <c r="J137" s="10">
        <f>E137*1000-$F$2-$L$2-$H$2/2</f>
        <v>342.55</v>
      </c>
      <c r="K137" s="11">
        <f>F137*1000000/(0.9*(D137*1000)*J137^2)</f>
        <v>0.2171584486</v>
      </c>
      <c r="L137" s="12">
        <f>(0.85*$B$2/$D$2)*(1-SQRT(1-2*K137/(0.85*$B$2)))</f>
        <v>0.0005194245297</v>
      </c>
      <c r="M137" s="13">
        <f>L137*(D137*1000)*J137</f>
        <v>53.3786618</v>
      </c>
      <c r="N137" s="13">
        <f>MAX(0.25*SQRT($B$2)/$D$2,1.4/$D$2)*(D137*1000)*J137</f>
        <v>342.55</v>
      </c>
      <c r="O137" s="13">
        <f>MAX(M137,N137)</f>
        <v>342.55</v>
      </c>
      <c r="P137" s="14">
        <f>ROUNDUP(O137/$J$2,0)</f>
        <v>2</v>
      </c>
      <c r="Q137" s="13">
        <f>P137*$J$2</f>
        <v>398</v>
      </c>
      <c r="R137" s="10">
        <f>Q137*$D$2/(0.85*$B$2*(D137*1000))</f>
        <v>23.41176471</v>
      </c>
      <c r="S137" s="10">
        <f>0.9*Q137*$D$2*(J137-R137/2)/1000000</f>
        <v>49.77351244</v>
      </c>
      <c r="T137" s="15" t="str">
        <f>IF(AND(S137&gt;=F137,O137&lt;=0.025*(D137*1000)*J137,O137&gt;=N137),"CUMPLE","REVISAR")</f>
        <v>CUMPLE</v>
      </c>
      <c r="U137" s="11">
        <f>G137*1000000/(0.9*(D137*1000)*J137^2)</f>
        <v>0.07228093711</v>
      </c>
      <c r="V137" s="12">
        <f>(0.85*$B$2/$D$2)*(1-SQRT(1-2*U137/(0.85*$B$2)))</f>
        <v>0.0001723595972</v>
      </c>
      <c r="W137" s="13">
        <f>V137*(D137*1000)*J137</f>
        <v>17.71253401</v>
      </c>
      <c r="X137" s="13">
        <f>MAX(W137,N137)</f>
        <v>342.55</v>
      </c>
      <c r="Y137" s="14">
        <f>ROUNDUP(X137/$J$2,0)</f>
        <v>2</v>
      </c>
      <c r="Z137" s="13">
        <f>Y137*$J$2</f>
        <v>398</v>
      </c>
      <c r="AA137" s="10">
        <f>0.9*Z137*$D$2*(J137-(Z137*$D$2/(0.85*$B$2*(D137*1000)))/2)/1000000</f>
        <v>49.77351244</v>
      </c>
      <c r="AB137" s="15" t="str">
        <f>IF(AA137&gt;=G137,"CUMPLE","REVISAR")</f>
        <v>CUMPLE</v>
      </c>
      <c r="AC137" s="10">
        <f>0.17*SQRT($B$2)*(D137*1000)*J137/1000</f>
        <v>92.44281538</v>
      </c>
      <c r="AD137" s="10">
        <f>MAX(H137/0.75-AC137,0)</f>
        <v>0</v>
      </c>
      <c r="AE137" s="14">
        <f>IF(AD137&gt;0,MIN($N$2*$D$2*J137/(AD137*1000),MIN(J137/4,6*$H$2,150)),MIN(J137/4,6*$H$2,150))</f>
        <v>85.6375</v>
      </c>
      <c r="AF137" s="10">
        <f>0.66*SQRT($B$2)*(D137*1000)*J137/1000</f>
        <v>358.8956362</v>
      </c>
      <c r="AG137" s="15" t="str">
        <f>IF(AD137&lt;=AF137,"CUMPLE","AUMENTAR SECCION")</f>
        <v>CUMPLE</v>
      </c>
      <c r="AH137" s="10">
        <f>0.75*0.083*SQRT($B$2)*(((D137*1000)*(E137*1000))^2/(2*((D137*1000)+(E137*1000))))/1000000</f>
        <v>3.388073536</v>
      </c>
      <c r="AI137" s="15" t="str">
        <f>IF(I137&gt;AH137,"SI","No")</f>
        <v>No</v>
      </c>
      <c r="AJ137" s="11">
        <f>IF(I137&gt;AH137,I137*1000000/(0.75*2*0.85*((D137*1000-2*$F$2)*(E137*1000-2*$F$2))*$D$2),0)</f>
        <v>0</v>
      </c>
      <c r="AK137" s="10">
        <f>1.25*Q137*$D$2*(J137-(1.25*Q137*$D$2/(0.85*$B$2*(D137*1000)))/2)/1000000</f>
        <v>68.51839235</v>
      </c>
      <c r="AL137" s="10">
        <f>1.25*Z137*$D$2*(J137-(1.25*Z137*$D$2/(0.85*$B$2*(D137*1000)))/2)/1000000</f>
        <v>68.51839235</v>
      </c>
      <c r="AM137" s="10">
        <f>(AK137+AL137)/B137</f>
        <v>52.70645566</v>
      </c>
      <c r="AN137" s="10">
        <f>MAX(H137,AM137)</f>
        <v>52.70645566</v>
      </c>
    </row>
    <row r="138">
      <c r="A138" s="5" t="inlineStr">
        <is>
          <t>F139</t>
        </is>
      </c>
      <c r="B138" s="6" t="n">
        <v>2.6</v>
      </c>
      <c r="C138" s="7" t="inlineStr">
        <is>
          <t>VC</t>
        </is>
      </c>
      <c r="D138" s="8">
        <f>IF(C138="VR",0.35,0.30)</f>
        <v>0.3</v>
      </c>
      <c r="E138" s="6" t="n">
        <v>0.4</v>
      </c>
      <c r="F138" s="9" t="n">
        <v>6.9</v>
      </c>
      <c r="G138" s="9" t="n">
        <v>2.3</v>
      </c>
      <c r="H138" s="9" t="n">
        <v>12</v>
      </c>
      <c r="I138" s="6" t="n">
        <v>0.2</v>
      </c>
      <c r="J138" s="10">
        <f>E138*1000-$F$2-$L$2-$H$2/2</f>
        <v>342.55</v>
      </c>
      <c r="K138" s="11">
        <f>F138*1000000/(0.9*(D138*1000)*J138^2)</f>
        <v>0.2171584486</v>
      </c>
      <c r="L138" s="12">
        <f>(0.85*$B$2/$D$2)*(1-SQRT(1-2*K138/(0.85*$B$2)))</f>
        <v>0.0005194245297</v>
      </c>
      <c r="M138" s="13">
        <f>L138*(D138*1000)*J138</f>
        <v>53.3786618</v>
      </c>
      <c r="N138" s="13">
        <f>MAX(0.25*SQRT($B$2)/$D$2,1.4/$D$2)*(D138*1000)*J138</f>
        <v>342.55</v>
      </c>
      <c r="O138" s="13">
        <f>MAX(M138,N138)</f>
        <v>342.55</v>
      </c>
      <c r="P138" s="14">
        <f>ROUNDUP(O138/$J$2,0)</f>
        <v>2</v>
      </c>
      <c r="Q138" s="13">
        <f>P138*$J$2</f>
        <v>398</v>
      </c>
      <c r="R138" s="10">
        <f>Q138*$D$2/(0.85*$B$2*(D138*1000))</f>
        <v>23.41176471</v>
      </c>
      <c r="S138" s="10">
        <f>0.9*Q138*$D$2*(J138-R138/2)/1000000</f>
        <v>49.77351244</v>
      </c>
      <c r="T138" s="15" t="str">
        <f>IF(AND(S138&gt;=F138,O138&lt;=0.025*(D138*1000)*J138,O138&gt;=N138),"CUMPLE","REVISAR")</f>
        <v>CUMPLE</v>
      </c>
      <c r="U138" s="11">
        <f>G138*1000000/(0.9*(D138*1000)*J138^2)</f>
        <v>0.07228093711</v>
      </c>
      <c r="V138" s="12">
        <f>(0.85*$B$2/$D$2)*(1-SQRT(1-2*U138/(0.85*$B$2)))</f>
        <v>0.0001723595972</v>
      </c>
      <c r="W138" s="13">
        <f>V138*(D138*1000)*J138</f>
        <v>17.71253401</v>
      </c>
      <c r="X138" s="13">
        <f>MAX(W138,N138)</f>
        <v>342.55</v>
      </c>
      <c r="Y138" s="14">
        <f>ROUNDUP(X138/$J$2,0)</f>
        <v>2</v>
      </c>
      <c r="Z138" s="13">
        <f>Y138*$J$2</f>
        <v>398</v>
      </c>
      <c r="AA138" s="10">
        <f>0.9*Z138*$D$2*(J138-(Z138*$D$2/(0.85*$B$2*(D138*1000)))/2)/1000000</f>
        <v>49.77351244</v>
      </c>
      <c r="AB138" s="15" t="str">
        <f>IF(AA138&gt;=G138,"CUMPLE","REVISAR")</f>
        <v>CUMPLE</v>
      </c>
      <c r="AC138" s="10">
        <f>0.17*SQRT($B$2)*(D138*1000)*J138/1000</f>
        <v>92.44281538</v>
      </c>
      <c r="AD138" s="10">
        <f>MAX(H138/0.75-AC138,0)</f>
        <v>0</v>
      </c>
      <c r="AE138" s="14">
        <f>IF(AD138&gt;0,MIN($N$2*$D$2*J138/(AD138*1000),MIN(J138/4,6*$H$2,150)),MIN(J138/4,6*$H$2,150))</f>
        <v>85.6375</v>
      </c>
      <c r="AF138" s="10">
        <f>0.66*SQRT($B$2)*(D138*1000)*J138/1000</f>
        <v>358.8956362</v>
      </c>
      <c r="AG138" s="15" t="str">
        <f>IF(AD138&lt;=AF138,"CUMPLE","AUMENTAR SECCION")</f>
        <v>CUMPLE</v>
      </c>
      <c r="AH138" s="10">
        <f>0.75*0.083*SQRT($B$2)*(((D138*1000)*(E138*1000))^2/(2*((D138*1000)+(E138*1000))))/1000000</f>
        <v>3.388073536</v>
      </c>
      <c r="AI138" s="15" t="str">
        <f>IF(I138&gt;AH138,"SI","No")</f>
        <v>No</v>
      </c>
      <c r="AJ138" s="11">
        <f>IF(I138&gt;AH138,I138*1000000/(0.75*2*0.85*((D138*1000-2*$F$2)*(E138*1000-2*$F$2))*$D$2),0)</f>
        <v>0</v>
      </c>
      <c r="AK138" s="10">
        <f>1.25*Q138*$D$2*(J138-(1.25*Q138*$D$2/(0.85*$B$2*(D138*1000)))/2)/1000000</f>
        <v>68.51839235</v>
      </c>
      <c r="AL138" s="10">
        <f>1.25*Z138*$D$2*(J138-(1.25*Z138*$D$2/(0.85*$B$2*(D138*1000)))/2)/1000000</f>
        <v>68.51839235</v>
      </c>
      <c r="AM138" s="10">
        <f>(AK138+AL138)/B138</f>
        <v>52.70645566</v>
      </c>
      <c r="AN138" s="10">
        <f>MAX(H138,AM138)</f>
        <v>52.70645566</v>
      </c>
    </row>
    <row r="139">
      <c r="A139" s="5" t="inlineStr">
        <is>
          <t>F140</t>
        </is>
      </c>
      <c r="B139" s="6" t="n">
        <v>2.6</v>
      </c>
      <c r="C139" s="7" t="inlineStr">
        <is>
          <t>VC</t>
        </is>
      </c>
      <c r="D139" s="8">
        <f>IF(C139="VR",0.35,0.30)</f>
        <v>0.3</v>
      </c>
      <c r="E139" s="6" t="n">
        <v>0.4</v>
      </c>
      <c r="F139" s="9" t="n">
        <v>6.9</v>
      </c>
      <c r="G139" s="9" t="n">
        <v>2.3</v>
      </c>
      <c r="H139" s="9" t="n">
        <v>11.9</v>
      </c>
      <c r="I139" s="6" t="n">
        <v>0.2</v>
      </c>
      <c r="J139" s="10">
        <f>E139*1000-$F$2-$L$2-$H$2/2</f>
        <v>342.55</v>
      </c>
      <c r="K139" s="11">
        <f>F139*1000000/(0.9*(D139*1000)*J139^2)</f>
        <v>0.2168428113</v>
      </c>
      <c r="L139" s="12">
        <f>(0.85*$B$2/$D$2)*(1-SQRT(1-2*K139/(0.85*$B$2)))</f>
        <v>0.0005186660652</v>
      </c>
      <c r="M139" s="13">
        <f>L139*(D139*1000)*J139</f>
        <v>53.30071819</v>
      </c>
      <c r="N139" s="13">
        <f>MAX(0.25*SQRT($B$2)/$D$2,1.4/$D$2)*(D139*1000)*J139</f>
        <v>342.55</v>
      </c>
      <c r="O139" s="13">
        <f>MAX(M139,N139)</f>
        <v>342.55</v>
      </c>
      <c r="P139" s="14">
        <f>ROUNDUP(O139/$J$2,0)</f>
        <v>2</v>
      </c>
      <c r="Q139" s="13">
        <f>P139*$J$2</f>
        <v>398</v>
      </c>
      <c r="R139" s="10">
        <f>Q139*$D$2/(0.85*$B$2*(D139*1000))</f>
        <v>23.41176471</v>
      </c>
      <c r="S139" s="10">
        <f>0.9*Q139*$D$2*(J139-R139/2)/1000000</f>
        <v>49.77351244</v>
      </c>
      <c r="T139" s="15" t="str">
        <f>IF(AND(S139&gt;=F139,O139&lt;=0.025*(D139*1000)*J139,O139&gt;=N139),"CUMPLE","REVISAR")</f>
        <v>CUMPLE</v>
      </c>
      <c r="U139" s="11">
        <f>G139*1000000/(0.9*(D139*1000)*J139^2)</f>
        <v>0.07228093711</v>
      </c>
      <c r="V139" s="12">
        <f>(0.85*$B$2/$D$2)*(1-SQRT(1-2*U139/(0.85*$B$2)))</f>
        <v>0.0001723595972</v>
      </c>
      <c r="W139" s="13">
        <f>V139*(D139*1000)*J139</f>
        <v>17.71253401</v>
      </c>
      <c r="X139" s="13">
        <f>MAX(W139,N139)</f>
        <v>342.55</v>
      </c>
      <c r="Y139" s="14">
        <f>ROUNDUP(X139/$J$2,0)</f>
        <v>2</v>
      </c>
      <c r="Z139" s="13">
        <f>Y139*$J$2</f>
        <v>398</v>
      </c>
      <c r="AA139" s="10">
        <f>0.9*Z139*$D$2*(J139-(Z139*$D$2/(0.85*$B$2*(D139*1000)))/2)/1000000</f>
        <v>49.77351244</v>
      </c>
      <c r="AB139" s="15" t="str">
        <f>IF(AA139&gt;=G139,"CUMPLE","REVISAR")</f>
        <v>CUMPLE</v>
      </c>
      <c r="AC139" s="10">
        <f>0.17*SQRT($B$2)*(D139*1000)*J139/1000</f>
        <v>92.44281538</v>
      </c>
      <c r="AD139" s="10">
        <f>MAX(H139/0.75-AC139,0)</f>
        <v>0</v>
      </c>
      <c r="AE139" s="14">
        <f>IF(AD139&gt;0,MIN($N$2*$D$2*J139/(AD139*1000),MIN(J139/4,6*$H$2,150)),MIN(J139/4,6*$H$2,150))</f>
        <v>85.6375</v>
      </c>
      <c r="AF139" s="10">
        <f>0.66*SQRT($B$2)*(D139*1000)*J139/1000</f>
        <v>358.8956362</v>
      </c>
      <c r="AG139" s="15" t="str">
        <f>IF(AD139&lt;=AF139,"CUMPLE","AUMENTAR SECCION")</f>
        <v>CUMPLE</v>
      </c>
      <c r="AH139" s="10">
        <f>0.75*0.083*SQRT($B$2)*(((D139*1000)*(E139*1000))^2/(2*((D139*1000)+(E139*1000))))/1000000</f>
        <v>3.388073536</v>
      </c>
      <c r="AI139" s="15" t="str">
        <f>IF(I139&gt;AH139,"SI","No")</f>
        <v>No</v>
      </c>
      <c r="AJ139" s="11">
        <f>IF(I139&gt;AH139,I139*1000000/(0.75*2*0.85*((D139*1000-2*$F$2)*(E139*1000-2*$F$2))*$D$2),0)</f>
        <v>0</v>
      </c>
      <c r="AK139" s="10">
        <f>1.25*Q139*$D$2*(J139-(1.25*Q139*$D$2/(0.85*$B$2*(D139*1000)))/2)/1000000</f>
        <v>68.51839235</v>
      </c>
      <c r="AL139" s="10">
        <f>1.25*Z139*$D$2*(J139-(1.25*Z139*$D$2/(0.85*$B$2*(D139*1000)))/2)/1000000</f>
        <v>68.51839235</v>
      </c>
      <c r="AM139" s="10">
        <f>(AK139+AL139)/B139</f>
        <v>52.70645566</v>
      </c>
      <c r="AN139" s="10">
        <f>MAX(H139,AM139)</f>
        <v>52.70645566</v>
      </c>
    </row>
    <row r="140">
      <c r="A140" s="5" t="inlineStr">
        <is>
          <t>F141</t>
        </is>
      </c>
      <c r="B140" s="6" t="n">
        <v>2.5</v>
      </c>
      <c r="C140" s="7" t="inlineStr">
        <is>
          <t>VC</t>
        </is>
      </c>
      <c r="D140" s="8">
        <f>IF(C140="VR",0.35,0.30)</f>
        <v>0.3</v>
      </c>
      <c r="E140" s="6" t="n">
        <v>0.4</v>
      </c>
      <c r="F140" s="9" t="n">
        <v>10.4</v>
      </c>
      <c r="G140" s="9" t="n">
        <v>4</v>
      </c>
      <c r="H140" s="9" t="n">
        <v>14.2</v>
      </c>
      <c r="I140" s="6" t="n">
        <v>1.86</v>
      </c>
      <c r="J140" s="10">
        <f>E140*1000-$F$2-$L$2-$H$2/2</f>
        <v>342.55</v>
      </c>
      <c r="K140" s="11">
        <f>F140*1000000/(0.9*(D140*1000)*J140^2)</f>
        <v>0.3295253203</v>
      </c>
      <c r="L140" s="12">
        <f>(0.85*$B$2/$D$2)*(1-SQRT(1-2*K140/(0.85*$B$2)))</f>
        <v>0.0007900921453</v>
      </c>
      <c r="M140" s="13">
        <f>L140*(D140*1000)*J140</f>
        <v>81.19381931</v>
      </c>
      <c r="N140" s="13">
        <f>MAX(0.25*SQRT($B$2)/$D$2,1.4/$D$2)*(D140*1000)*J140</f>
        <v>342.55</v>
      </c>
      <c r="O140" s="13">
        <f>MAX(M140,N140)</f>
        <v>342.55</v>
      </c>
      <c r="P140" s="14">
        <f>ROUNDUP(O140/$J$2,0)</f>
        <v>2</v>
      </c>
      <c r="Q140" s="13">
        <f>P140*$J$2</f>
        <v>398</v>
      </c>
      <c r="R140" s="10">
        <f>Q140*$D$2/(0.85*$B$2*(D140*1000))</f>
        <v>23.41176471</v>
      </c>
      <c r="S140" s="10">
        <f>0.9*Q140*$D$2*(J140-R140/2)/1000000</f>
        <v>49.77351244</v>
      </c>
      <c r="T140" s="15" t="str">
        <f>IF(AND(S140&gt;=F140,O140&lt;=0.025*(D140*1000)*J140,O140&gt;=N140),"CUMPLE","REVISAR")</f>
        <v>CUMPLE</v>
      </c>
      <c r="U140" s="11">
        <f>G140*1000000/(0.9*(D140*1000)*J140^2)</f>
        <v>0.126254912</v>
      </c>
      <c r="V140" s="12">
        <f>(0.85*$B$2/$D$2)*(1-SQRT(1-2*U140/(0.85*$B$2)))</f>
        <v>0.0003014085253</v>
      </c>
      <c r="W140" s="13">
        <f>V140*(D140*1000)*J140</f>
        <v>30.97424711</v>
      </c>
      <c r="X140" s="13">
        <f>MAX(W140,N140)</f>
        <v>342.55</v>
      </c>
      <c r="Y140" s="14">
        <f>ROUNDUP(X140/$J$2,0)</f>
        <v>2</v>
      </c>
      <c r="Z140" s="13">
        <f>Y140*$J$2</f>
        <v>398</v>
      </c>
      <c r="AA140" s="10">
        <f>0.9*Z140*$D$2*(J140-(Z140*$D$2/(0.85*$B$2*(D140*1000)))/2)/1000000</f>
        <v>49.77351244</v>
      </c>
      <c r="AB140" s="15" t="str">
        <f>IF(AA140&gt;=G140,"CUMPLE","REVISAR")</f>
        <v>CUMPLE</v>
      </c>
      <c r="AC140" s="10">
        <f>0.17*SQRT($B$2)*(D140*1000)*J140/1000</f>
        <v>92.44281538</v>
      </c>
      <c r="AD140" s="10">
        <f>MAX(H140/0.75-AC140,0)</f>
        <v>0</v>
      </c>
      <c r="AE140" s="14">
        <f>IF(AD140&gt;0,MIN($N$2*$D$2*J140/(AD140*1000),MIN(J140/4,6*$H$2,150)),MIN(J140/4,6*$H$2,150))</f>
        <v>85.6375</v>
      </c>
      <c r="AF140" s="10">
        <f>0.66*SQRT($B$2)*(D140*1000)*J140/1000</f>
        <v>358.8956362</v>
      </c>
      <c r="AG140" s="15" t="str">
        <f>IF(AD140&lt;=AF140,"CUMPLE","AUMENTAR SECCION")</f>
        <v>CUMPLE</v>
      </c>
      <c r="AH140" s="10">
        <f>0.75*0.083*SQRT($B$2)*(((D140*1000)*(E140*1000))^2/(2*((D140*1000)+(E140*1000))))/1000000</f>
        <v>3.388073536</v>
      </c>
      <c r="AI140" s="15" t="str">
        <f>IF(I140&gt;AH140,"SI","No")</f>
        <v>No</v>
      </c>
      <c r="AJ140" s="11">
        <f>IF(I140&gt;AH140,I140*1000000/(0.75*2*0.85*((D140*1000-2*$F$2)*(E140*1000-2*$F$2))*$D$2),0)</f>
        <v>0</v>
      </c>
      <c r="AK140" s="10">
        <f>1.25*Q140*$D$2*(J140-(1.25*Q140*$D$2/(0.85*$B$2*(D140*1000)))/2)/1000000</f>
        <v>68.51839235</v>
      </c>
      <c r="AL140" s="10">
        <f>1.25*Z140*$D$2*(J140-(1.25*Z140*$D$2/(0.85*$B$2*(D140*1000)))/2)/1000000</f>
        <v>68.51839235</v>
      </c>
      <c r="AM140" s="10">
        <f>(AK140+AL140)/B140</f>
        <v>54.81471388</v>
      </c>
      <c r="AN140" s="10">
        <f>MAX(H140,AM140)</f>
        <v>54.81471388</v>
      </c>
    </row>
    <row r="141">
      <c r="A141" s="5" t="inlineStr">
        <is>
          <t>F142</t>
        </is>
      </c>
      <c r="B141" s="6" t="n">
        <v>2.5</v>
      </c>
      <c r="C141" s="7" t="inlineStr">
        <is>
          <t>VC</t>
        </is>
      </c>
      <c r="D141" s="8">
        <f>IF(C141="VR",0.35,0.30)</f>
        <v>0.3</v>
      </c>
      <c r="E141" s="6" t="n">
        <v>0.4</v>
      </c>
      <c r="F141" s="9" t="n">
        <v>10.4</v>
      </c>
      <c r="G141" s="9" t="n">
        <v>4</v>
      </c>
      <c r="H141" s="9" t="n">
        <v>14.2</v>
      </c>
      <c r="I141" s="6" t="n">
        <v>1.87</v>
      </c>
      <c r="J141" s="10">
        <f>E141*1000-$F$2-$L$2-$H$2/2</f>
        <v>342.55</v>
      </c>
      <c r="K141" s="11">
        <f>F141*1000000/(0.9*(D141*1000)*J141^2)</f>
        <v>0.329209683</v>
      </c>
      <c r="L141" s="12">
        <f>(0.85*$B$2/$D$2)*(1-SQRT(1-2*K141/(0.85*$B$2)))</f>
        <v>0.0007893300067</v>
      </c>
      <c r="M141" s="13">
        <f>L141*(D141*1000)*J141</f>
        <v>81.11549814</v>
      </c>
      <c r="N141" s="13">
        <f>MAX(0.25*SQRT($B$2)/$D$2,1.4/$D$2)*(D141*1000)*J141</f>
        <v>342.55</v>
      </c>
      <c r="O141" s="13">
        <f>MAX(M141,N141)</f>
        <v>342.55</v>
      </c>
      <c r="P141" s="14">
        <f>ROUNDUP(O141/$J$2,0)</f>
        <v>2</v>
      </c>
      <c r="Q141" s="13">
        <f>P141*$J$2</f>
        <v>398</v>
      </c>
      <c r="R141" s="10">
        <f>Q141*$D$2/(0.85*$B$2*(D141*1000))</f>
        <v>23.41176471</v>
      </c>
      <c r="S141" s="10">
        <f>0.9*Q141*$D$2*(J141-R141/2)/1000000</f>
        <v>49.77351244</v>
      </c>
      <c r="T141" s="15" t="str">
        <f>IF(AND(S141&gt;=F141,O141&lt;=0.025*(D141*1000)*J141,O141&gt;=N141),"CUMPLE","REVISAR")</f>
        <v>CUMPLE</v>
      </c>
      <c r="U141" s="11">
        <f>G141*1000000/(0.9*(D141*1000)*J141^2)</f>
        <v>0.126254912</v>
      </c>
      <c r="V141" s="12">
        <f>(0.85*$B$2/$D$2)*(1-SQRT(1-2*U141/(0.85*$B$2)))</f>
        <v>0.0003014085253</v>
      </c>
      <c r="W141" s="13">
        <f>V141*(D141*1000)*J141</f>
        <v>30.97424711</v>
      </c>
      <c r="X141" s="13">
        <f>MAX(W141,N141)</f>
        <v>342.55</v>
      </c>
      <c r="Y141" s="14">
        <f>ROUNDUP(X141/$J$2,0)</f>
        <v>2</v>
      </c>
      <c r="Z141" s="13">
        <f>Y141*$J$2</f>
        <v>398</v>
      </c>
      <c r="AA141" s="10">
        <f>0.9*Z141*$D$2*(J141-(Z141*$D$2/(0.85*$B$2*(D141*1000)))/2)/1000000</f>
        <v>49.77351244</v>
      </c>
      <c r="AB141" s="15" t="str">
        <f>IF(AA141&gt;=G141,"CUMPLE","REVISAR")</f>
        <v>CUMPLE</v>
      </c>
      <c r="AC141" s="10">
        <f>0.17*SQRT($B$2)*(D141*1000)*J141/1000</f>
        <v>92.44281538</v>
      </c>
      <c r="AD141" s="10">
        <f>MAX(H141/0.75-AC141,0)</f>
        <v>0</v>
      </c>
      <c r="AE141" s="14">
        <f>IF(AD141&gt;0,MIN($N$2*$D$2*J141/(AD141*1000),MIN(J141/4,6*$H$2,150)),MIN(J141/4,6*$H$2,150))</f>
        <v>85.6375</v>
      </c>
      <c r="AF141" s="10">
        <f>0.66*SQRT($B$2)*(D141*1000)*J141/1000</f>
        <v>358.8956362</v>
      </c>
      <c r="AG141" s="15" t="str">
        <f>IF(AD141&lt;=AF141,"CUMPLE","AUMENTAR SECCION")</f>
        <v>CUMPLE</v>
      </c>
      <c r="AH141" s="10">
        <f>0.75*0.083*SQRT($B$2)*(((D141*1000)*(E141*1000))^2/(2*((D141*1000)+(E141*1000))))/1000000</f>
        <v>3.388073536</v>
      </c>
      <c r="AI141" s="15" t="str">
        <f>IF(I141&gt;AH141,"SI","No")</f>
        <v>No</v>
      </c>
      <c r="AJ141" s="11">
        <f>IF(I141&gt;AH141,I141*1000000/(0.75*2*0.85*((D141*1000-2*$F$2)*(E141*1000-2*$F$2))*$D$2),0)</f>
        <v>0</v>
      </c>
      <c r="AK141" s="10">
        <f>1.25*Q141*$D$2*(J141-(1.25*Q141*$D$2/(0.85*$B$2*(D141*1000)))/2)/1000000</f>
        <v>68.51839235</v>
      </c>
      <c r="AL141" s="10">
        <f>1.25*Z141*$D$2*(J141-(1.25*Z141*$D$2/(0.85*$B$2*(D141*1000)))/2)/1000000</f>
        <v>68.51839235</v>
      </c>
      <c r="AM141" s="10">
        <f>(AK141+AL141)/B141</f>
        <v>54.81471388</v>
      </c>
      <c r="AN141" s="10">
        <f>MAX(H141,AM141)</f>
        <v>54.81471388</v>
      </c>
    </row>
    <row r="142">
      <c r="A142" s="5" t="inlineStr">
        <is>
          <t>F143</t>
        </is>
      </c>
      <c r="B142" s="6" t="n">
        <v>2.5</v>
      </c>
      <c r="C142" s="7" t="inlineStr">
        <is>
          <t>VC</t>
        </is>
      </c>
      <c r="D142" s="8">
        <f>IF(C142="VR",0.35,0.30)</f>
        <v>0.3</v>
      </c>
      <c r="E142" s="6" t="n">
        <v>0.4</v>
      </c>
      <c r="F142" s="9" t="n">
        <v>10.4</v>
      </c>
      <c r="G142" s="9" t="n">
        <v>4</v>
      </c>
      <c r="H142" s="9" t="n">
        <v>14.2</v>
      </c>
      <c r="I142" s="6" t="n">
        <v>1.87</v>
      </c>
      <c r="J142" s="10">
        <f>E142*1000-$F$2-$L$2-$H$2/2</f>
        <v>342.55</v>
      </c>
      <c r="K142" s="11">
        <f>F142*1000000/(0.9*(D142*1000)*J142^2)</f>
        <v>0.3295253203</v>
      </c>
      <c r="L142" s="12">
        <f>(0.85*$B$2/$D$2)*(1-SQRT(1-2*K142/(0.85*$B$2)))</f>
        <v>0.0007900921453</v>
      </c>
      <c r="M142" s="13">
        <f>L142*(D142*1000)*J142</f>
        <v>81.19381931</v>
      </c>
      <c r="N142" s="13">
        <f>MAX(0.25*SQRT($B$2)/$D$2,1.4/$D$2)*(D142*1000)*J142</f>
        <v>342.55</v>
      </c>
      <c r="O142" s="13">
        <f>MAX(M142,N142)</f>
        <v>342.55</v>
      </c>
      <c r="P142" s="14">
        <f>ROUNDUP(O142/$J$2,0)</f>
        <v>2</v>
      </c>
      <c r="Q142" s="13">
        <f>P142*$J$2</f>
        <v>398</v>
      </c>
      <c r="R142" s="10">
        <f>Q142*$D$2/(0.85*$B$2*(D142*1000))</f>
        <v>23.41176471</v>
      </c>
      <c r="S142" s="10">
        <f>0.9*Q142*$D$2*(J142-R142/2)/1000000</f>
        <v>49.77351244</v>
      </c>
      <c r="T142" s="15" t="str">
        <f>IF(AND(S142&gt;=F142,O142&lt;=0.025*(D142*1000)*J142,O142&gt;=N142),"CUMPLE","REVISAR")</f>
        <v>CUMPLE</v>
      </c>
      <c r="U142" s="11">
        <f>G142*1000000/(0.9*(D142*1000)*J142^2)</f>
        <v>0.126254912</v>
      </c>
      <c r="V142" s="12">
        <f>(0.85*$B$2/$D$2)*(1-SQRT(1-2*U142/(0.85*$B$2)))</f>
        <v>0.0003014085253</v>
      </c>
      <c r="W142" s="13">
        <f>V142*(D142*1000)*J142</f>
        <v>30.97424711</v>
      </c>
      <c r="X142" s="13">
        <f>MAX(W142,N142)</f>
        <v>342.55</v>
      </c>
      <c r="Y142" s="14">
        <f>ROUNDUP(X142/$J$2,0)</f>
        <v>2</v>
      </c>
      <c r="Z142" s="13">
        <f>Y142*$J$2</f>
        <v>398</v>
      </c>
      <c r="AA142" s="10">
        <f>0.9*Z142*$D$2*(J142-(Z142*$D$2/(0.85*$B$2*(D142*1000)))/2)/1000000</f>
        <v>49.77351244</v>
      </c>
      <c r="AB142" s="15" t="str">
        <f>IF(AA142&gt;=G142,"CUMPLE","REVISAR")</f>
        <v>CUMPLE</v>
      </c>
      <c r="AC142" s="10">
        <f>0.17*SQRT($B$2)*(D142*1000)*J142/1000</f>
        <v>92.44281538</v>
      </c>
      <c r="AD142" s="10">
        <f>MAX(H142/0.75-AC142,0)</f>
        <v>0</v>
      </c>
      <c r="AE142" s="14">
        <f>IF(AD142&gt;0,MIN($N$2*$D$2*J142/(AD142*1000),MIN(J142/4,6*$H$2,150)),MIN(J142/4,6*$H$2,150))</f>
        <v>85.6375</v>
      </c>
      <c r="AF142" s="10">
        <f>0.66*SQRT($B$2)*(D142*1000)*J142/1000</f>
        <v>358.8956362</v>
      </c>
      <c r="AG142" s="15" t="str">
        <f>IF(AD142&lt;=AF142,"CUMPLE","AUMENTAR SECCION")</f>
        <v>CUMPLE</v>
      </c>
      <c r="AH142" s="10">
        <f>0.75*0.083*SQRT($B$2)*(((D142*1000)*(E142*1000))^2/(2*((D142*1000)+(E142*1000))))/1000000</f>
        <v>3.388073536</v>
      </c>
      <c r="AI142" s="15" t="str">
        <f>IF(I142&gt;AH142,"SI","No")</f>
        <v>No</v>
      </c>
      <c r="AJ142" s="11">
        <f>IF(I142&gt;AH142,I142*1000000/(0.75*2*0.85*((D142*1000-2*$F$2)*(E142*1000-2*$F$2))*$D$2),0)</f>
        <v>0</v>
      </c>
      <c r="AK142" s="10">
        <f>1.25*Q142*$D$2*(J142-(1.25*Q142*$D$2/(0.85*$B$2*(D142*1000)))/2)/1000000</f>
        <v>68.51839235</v>
      </c>
      <c r="AL142" s="10">
        <f>1.25*Z142*$D$2*(J142-(1.25*Z142*$D$2/(0.85*$B$2*(D142*1000)))/2)/1000000</f>
        <v>68.51839235</v>
      </c>
      <c r="AM142" s="10">
        <f>(AK142+AL142)/B142</f>
        <v>54.81471388</v>
      </c>
      <c r="AN142" s="10">
        <f>MAX(H142,AM142)</f>
        <v>54.81471388</v>
      </c>
    </row>
    <row r="143">
      <c r="A143" s="5" t="inlineStr">
        <is>
          <t>F144</t>
        </is>
      </c>
      <c r="B143" s="6" t="n">
        <v>2.5</v>
      </c>
      <c r="C143" s="7" t="inlineStr">
        <is>
          <t>VC</t>
        </is>
      </c>
      <c r="D143" s="8">
        <f>IF(C143="VR",0.35,0.30)</f>
        <v>0.3</v>
      </c>
      <c r="E143" s="6" t="n">
        <v>0.4</v>
      </c>
      <c r="F143" s="9" t="n">
        <v>10.4</v>
      </c>
      <c r="G143" s="9" t="n">
        <v>4</v>
      </c>
      <c r="H143" s="9" t="n">
        <v>14.2</v>
      </c>
      <c r="I143" s="6" t="n">
        <v>1.86</v>
      </c>
      <c r="J143" s="10">
        <f>E143*1000-$F$2-$L$2-$H$2/2</f>
        <v>342.55</v>
      </c>
      <c r="K143" s="11">
        <f>F143*1000000/(0.9*(D143*1000)*J143^2)</f>
        <v>0.3298409575</v>
      </c>
      <c r="L143" s="12">
        <f>(0.85*$B$2/$D$2)*(1-SQRT(1-2*K143/(0.85*$B$2)))</f>
        <v>0.0007908542942</v>
      </c>
      <c r="M143" s="13">
        <f>L143*(D143*1000)*J143</f>
        <v>81.27214155</v>
      </c>
      <c r="N143" s="13">
        <f>MAX(0.25*SQRT($B$2)/$D$2,1.4/$D$2)*(D143*1000)*J143</f>
        <v>342.55</v>
      </c>
      <c r="O143" s="13">
        <f>MAX(M143,N143)</f>
        <v>342.55</v>
      </c>
      <c r="P143" s="14">
        <f>ROUNDUP(O143/$J$2,0)</f>
        <v>2</v>
      </c>
      <c r="Q143" s="13">
        <f>P143*$J$2</f>
        <v>398</v>
      </c>
      <c r="R143" s="10">
        <f>Q143*$D$2/(0.85*$B$2*(D143*1000))</f>
        <v>23.41176471</v>
      </c>
      <c r="S143" s="10">
        <f>0.9*Q143*$D$2*(J143-R143/2)/1000000</f>
        <v>49.77351244</v>
      </c>
      <c r="T143" s="15" t="str">
        <f>IF(AND(S143&gt;=F143,O143&lt;=0.025*(D143*1000)*J143,O143&gt;=N143),"CUMPLE","REVISAR")</f>
        <v>CUMPLE</v>
      </c>
      <c r="U143" s="11">
        <f>G143*1000000/(0.9*(D143*1000)*J143^2)</f>
        <v>0.1265705493</v>
      </c>
      <c r="V143" s="12">
        <f>(0.85*$B$2/$D$2)*(1-SQRT(1-2*U143/(0.85*$B$2)))</f>
        <v>0.0003021640664</v>
      </c>
      <c r="W143" s="13">
        <f>V143*(D143*1000)*J143</f>
        <v>31.05189028</v>
      </c>
      <c r="X143" s="13">
        <f>MAX(W143,N143)</f>
        <v>342.55</v>
      </c>
      <c r="Y143" s="14">
        <f>ROUNDUP(X143/$J$2,0)</f>
        <v>2</v>
      </c>
      <c r="Z143" s="13">
        <f>Y143*$J$2</f>
        <v>398</v>
      </c>
      <c r="AA143" s="10">
        <f>0.9*Z143*$D$2*(J143-(Z143*$D$2/(0.85*$B$2*(D143*1000)))/2)/1000000</f>
        <v>49.77351244</v>
      </c>
      <c r="AB143" s="15" t="str">
        <f>IF(AA143&gt;=G143,"CUMPLE","REVISAR")</f>
        <v>CUMPLE</v>
      </c>
      <c r="AC143" s="10">
        <f>0.17*SQRT($B$2)*(D143*1000)*J143/1000</f>
        <v>92.44281538</v>
      </c>
      <c r="AD143" s="10">
        <f>MAX(H143/0.75-AC143,0)</f>
        <v>0</v>
      </c>
      <c r="AE143" s="14">
        <f>IF(AD143&gt;0,MIN($N$2*$D$2*J143/(AD143*1000),MIN(J143/4,6*$H$2,150)),MIN(J143/4,6*$H$2,150))</f>
        <v>85.6375</v>
      </c>
      <c r="AF143" s="10">
        <f>0.66*SQRT($B$2)*(D143*1000)*J143/1000</f>
        <v>358.8956362</v>
      </c>
      <c r="AG143" s="15" t="str">
        <f>IF(AD143&lt;=AF143,"CUMPLE","AUMENTAR SECCION")</f>
        <v>CUMPLE</v>
      </c>
      <c r="AH143" s="10">
        <f>0.75*0.083*SQRT($B$2)*(((D143*1000)*(E143*1000))^2/(2*((D143*1000)+(E143*1000))))/1000000</f>
        <v>3.388073536</v>
      </c>
      <c r="AI143" s="15" t="str">
        <f>IF(I143&gt;AH143,"SI","No")</f>
        <v>No</v>
      </c>
      <c r="AJ143" s="11">
        <f>IF(I143&gt;AH143,I143*1000000/(0.75*2*0.85*((D143*1000-2*$F$2)*(E143*1000-2*$F$2))*$D$2),0)</f>
        <v>0</v>
      </c>
      <c r="AK143" s="10">
        <f>1.25*Q143*$D$2*(J143-(1.25*Q143*$D$2/(0.85*$B$2*(D143*1000)))/2)/1000000</f>
        <v>68.51839235</v>
      </c>
      <c r="AL143" s="10">
        <f>1.25*Z143*$D$2*(J143-(1.25*Z143*$D$2/(0.85*$B$2*(D143*1000)))/2)/1000000</f>
        <v>68.51839235</v>
      </c>
      <c r="AM143" s="10">
        <f>(AK143+AL143)/B143</f>
        <v>54.81471388</v>
      </c>
      <c r="AN143" s="10">
        <f>MAX(H143,AM143)</f>
        <v>54.81471388</v>
      </c>
    </row>
    <row r="144">
      <c r="A144" s="5" t="inlineStr">
        <is>
          <t>F145</t>
        </is>
      </c>
      <c r="B144" s="6" t="n">
        <v>1.5</v>
      </c>
      <c r="C144" s="7" t="inlineStr">
        <is>
          <t>VR</t>
        </is>
      </c>
      <c r="D144" s="8">
        <f>IF(C144="VR",0.35,0.30)</f>
        <v>0.35</v>
      </c>
      <c r="E144" s="6" t="n">
        <v>0.4</v>
      </c>
      <c r="F144" s="9" t="n">
        <v>30.3</v>
      </c>
      <c r="G144" s="9" t="n">
        <v>27.3</v>
      </c>
      <c r="H144" s="9" t="n">
        <v>44.4</v>
      </c>
      <c r="I144" s="6" t="n">
        <v>23.64</v>
      </c>
      <c r="J144" s="10">
        <f>E144*1000-$F$2-$L$2-$H$2/2</f>
        <v>342.55</v>
      </c>
      <c r="K144" s="11">
        <f>F144*1000000/(0.9*(D144*1000)*J144^2)</f>
        <v>0.8200256533</v>
      </c>
      <c r="L144" s="12">
        <f>(0.85*$B$2/$D$2)*(1-SQRT(1-2*K144/(0.85*$B$2)))</f>
        <v>0.00198728895</v>
      </c>
      <c r="M144" s="13">
        <f>L144*(D144*1000)*J144</f>
        <v>238.2610404</v>
      </c>
      <c r="N144" s="13">
        <f>MAX(0.25*SQRT($B$2)/$D$2,1.4/$D$2)*(D144*1000)*J144</f>
        <v>399.6416667</v>
      </c>
      <c r="O144" s="13">
        <f>MAX(M144,N144)</f>
        <v>399.6416667</v>
      </c>
      <c r="P144" s="14">
        <f>ROUNDUP(O144/$J$2,0)</f>
        <v>3</v>
      </c>
      <c r="Q144" s="13">
        <f>P144*$J$2</f>
        <v>597</v>
      </c>
      <c r="R144" s="10">
        <f>Q144*$D$2/(0.85*$B$2*(D144*1000))</f>
        <v>30.10084034</v>
      </c>
      <c r="S144" s="10">
        <f>0.9*Q144*$D$2*(J144-R144/2)/1000000</f>
        <v>73.90552018</v>
      </c>
      <c r="T144" s="15" t="str">
        <f>IF(AND(S144&gt;=F144,O144&lt;=0.025*(D144*1000)*J144,O144&gt;=N144),"CUMPLE","REVISAR")</f>
        <v>CUMPLE</v>
      </c>
      <c r="U144" s="11">
        <f>G144*1000000/(0.9*(D144*1000)*J144^2)</f>
        <v>0.73967342</v>
      </c>
      <c r="V144" s="12">
        <f>(0.85*$B$2/$D$2)*(1-SQRT(1-2*U144/(0.85*$B$2)))</f>
        <v>0.00178937905</v>
      </c>
      <c r="W144" s="13">
        <f>V144*(D144*1000)*J144</f>
        <v>214.5331277</v>
      </c>
      <c r="X144" s="13">
        <f>MAX(W144,N144)</f>
        <v>399.6416667</v>
      </c>
      <c r="Y144" s="14">
        <f>ROUNDUP(X144/$J$2,0)</f>
        <v>3</v>
      </c>
      <c r="Z144" s="13">
        <f>Y144*$J$2</f>
        <v>597</v>
      </c>
      <c r="AA144" s="10">
        <f>0.9*Z144*$D$2*(J144-(Z144*$D$2/(0.85*$B$2*(D144*1000)))/2)/1000000</f>
        <v>73.90552018</v>
      </c>
      <c r="AB144" s="15" t="str">
        <f>IF(AA144&gt;=G144,"CUMPLE","REVISAR")</f>
        <v>CUMPLE</v>
      </c>
      <c r="AC144" s="10">
        <f>0.17*SQRT($B$2)*(D144*1000)*J144/1000</f>
        <v>107.8499513</v>
      </c>
      <c r="AD144" s="10">
        <f>MAX(H144/0.75-AC144,0)</f>
        <v>0</v>
      </c>
      <c r="AE144" s="14">
        <f>IF(AD144&gt;0,MIN($N$2*$D$2*J144/(AD144*1000),MIN(J144/4,6*$H$2,150)),MIN(J144/4,6*$H$2,150))</f>
        <v>85.6375</v>
      </c>
      <c r="AF144" s="10">
        <f>0.66*SQRT($B$2)*(D144*1000)*J144/1000</f>
        <v>418.7115756</v>
      </c>
      <c r="AG144" s="15" t="str">
        <f>IF(AD144&lt;=AF144,"CUMPLE","AUMENTAR SECCION")</f>
        <v>CUMPLE</v>
      </c>
      <c r="AH144" s="10">
        <f>0.75*0.083*SQRT($B$2)*(((D144*1000)*(E144*1000))^2/(2*((D144*1000)+(E144*1000))))/1000000</f>
        <v>4.304108233</v>
      </c>
      <c r="AI144" s="15" t="str">
        <f>IF(I144&gt;AH144,"SI","No")</f>
        <v>SI</v>
      </c>
      <c r="AJ144" s="11">
        <f>IF(I144&gt;AH144,I144*1000000/(0.75*2*0.85*((D144*1000-2*$F$2)*(E144*1000-2*$F$2))*$D$2),0)</f>
        <v>0.5108370509</v>
      </c>
      <c r="AK144" s="10">
        <f>1.25*Q144*$D$2*(J144-(1.25*Q144*$D$2/(0.85*$B$2*(D144*1000)))/2)/1000000</f>
        <v>101.4672613</v>
      </c>
      <c r="AL144" s="10">
        <f>1.25*Z144*$D$2*(J144-(1.25*Z144*$D$2/(0.85*$B$2*(D144*1000)))/2)/1000000</f>
        <v>101.4672613</v>
      </c>
      <c r="AM144" s="10">
        <f>(AK144+AL144)/B144</f>
        <v>135.2896818</v>
      </c>
      <c r="AN144" s="10">
        <f>MAX(H144,AM144)</f>
        <v>135.2896818</v>
      </c>
    </row>
    <row r="145">
      <c r="A145" s="5" t="inlineStr">
        <is>
          <t>F146</t>
        </is>
      </c>
      <c r="B145" s="6" t="n">
        <v>1.5</v>
      </c>
      <c r="C145" s="7" t="inlineStr">
        <is>
          <t>VR</t>
        </is>
      </c>
      <c r="D145" s="8">
        <f>IF(C145="VR",0.35,0.30)</f>
        <v>0.35</v>
      </c>
      <c r="E145" s="6" t="n">
        <v>0.4</v>
      </c>
      <c r="F145" s="9" t="n">
        <v>51.1</v>
      </c>
      <c r="G145" s="9" t="n">
        <v>47.6</v>
      </c>
      <c r="H145" s="9" t="n">
        <v>72.8</v>
      </c>
      <c r="I145" s="6" t="n">
        <v>24.56</v>
      </c>
      <c r="J145" s="10">
        <f>E145*1000-$F$2-$L$2-$H$2/2</f>
        <v>342.55</v>
      </c>
      <c r="K145" s="11">
        <f>F145*1000000/(0.9*(D145*1000)*J145^2)</f>
        <v>1.382761832</v>
      </c>
      <c r="L145" s="12">
        <f>(0.85*$B$2/$D$2)*(1-SQRT(1-2*K145/(0.85*$B$2)))</f>
        <v>0.00339392596</v>
      </c>
      <c r="M145" s="13">
        <f>L145*(D145*1000)*J145</f>
        <v>406.9062682</v>
      </c>
      <c r="N145" s="13">
        <f>MAX(0.25*SQRT($B$2)/$D$2,1.4/$D$2)*(D145*1000)*J145</f>
        <v>399.6416667</v>
      </c>
      <c r="O145" s="13">
        <f>MAX(M145,N145)</f>
        <v>406.9062682</v>
      </c>
      <c r="P145" s="14">
        <f>ROUNDUP(O145/$J$2,0)</f>
        <v>3</v>
      </c>
      <c r="Q145" s="13">
        <f>P145*$J$2</f>
        <v>597</v>
      </c>
      <c r="R145" s="10">
        <f>Q145*$D$2/(0.85*$B$2*(D145*1000))</f>
        <v>30.10084034</v>
      </c>
      <c r="S145" s="10">
        <f>0.9*Q145*$D$2*(J145-R145/2)/1000000</f>
        <v>73.90552018</v>
      </c>
      <c r="T145" s="15" t="str">
        <f>IF(AND(S145&gt;=F145,O145&lt;=0.025*(D145*1000)*J145,O145&gt;=N145),"CUMPLE","REVISAR")</f>
        <v>CUMPLE</v>
      </c>
      <c r="U145" s="11">
        <f>G145*1000000/(0.9*(D145*1000)*J145^2)</f>
        <v>1.289152833</v>
      </c>
      <c r="V145" s="12">
        <f>(0.85*$B$2/$D$2)*(1-SQRT(1-2*U145/(0.85*$B$2)))</f>
        <v>0.003157373329</v>
      </c>
      <c r="W145" s="13">
        <f>V145*(D145*1000)*J145</f>
        <v>378.5453818</v>
      </c>
      <c r="X145" s="13">
        <f>MAX(W145,N145)</f>
        <v>399.6416667</v>
      </c>
      <c r="Y145" s="14">
        <f>ROUNDUP(X145/$J$2,0)</f>
        <v>3</v>
      </c>
      <c r="Z145" s="13">
        <f>Y145*$J$2</f>
        <v>597</v>
      </c>
      <c r="AA145" s="10">
        <f>0.9*Z145*$D$2*(J145-(Z145*$D$2/(0.85*$B$2*(D145*1000)))/2)/1000000</f>
        <v>73.90552018</v>
      </c>
      <c r="AB145" s="15" t="str">
        <f>IF(AA145&gt;=G145,"CUMPLE","REVISAR")</f>
        <v>CUMPLE</v>
      </c>
      <c r="AC145" s="10">
        <f>0.17*SQRT($B$2)*(D145*1000)*J145/1000</f>
        <v>107.8499513</v>
      </c>
      <c r="AD145" s="10">
        <f>MAX(H145/0.75-AC145,0)</f>
        <v>0</v>
      </c>
      <c r="AE145" s="14">
        <f>IF(AD145&gt;0,MIN($N$2*$D$2*J145/(AD145*1000),MIN(J145/4,6*$H$2,150)),MIN(J145/4,6*$H$2,150))</f>
        <v>85.6375</v>
      </c>
      <c r="AF145" s="10">
        <f>0.66*SQRT($B$2)*(D145*1000)*J145/1000</f>
        <v>418.7115756</v>
      </c>
      <c r="AG145" s="15" t="str">
        <f>IF(AD145&lt;=AF145,"CUMPLE","AUMENTAR SECCION")</f>
        <v>CUMPLE</v>
      </c>
      <c r="AH145" s="10">
        <f>0.75*0.083*SQRT($B$2)*(((D145*1000)*(E145*1000))^2/(2*((D145*1000)+(E145*1000))))/1000000</f>
        <v>4.304108233</v>
      </c>
      <c r="AI145" s="15" t="str">
        <f>IF(I145&gt;AH145,"SI","No")</f>
        <v>SI</v>
      </c>
      <c r="AJ145" s="11">
        <f>IF(I145&gt;AH145,I145*1000000/(0.75*2*0.85*((D145*1000-2*$F$2)*(E145*1000-2*$F$2))*$D$2),0)</f>
        <v>0.5307431615</v>
      </c>
      <c r="AK145" s="10">
        <f>1.25*Q145*$D$2*(J145-(1.25*Q145*$D$2/(0.85*$B$2*(D145*1000)))/2)/1000000</f>
        <v>101.4672613</v>
      </c>
      <c r="AL145" s="10">
        <f>1.25*Z145*$D$2*(J145-(1.25*Z145*$D$2/(0.85*$B$2*(D145*1000)))/2)/1000000</f>
        <v>101.4672613</v>
      </c>
      <c r="AM145" s="10">
        <f>(AK145+AL145)/B145</f>
        <v>135.2896818</v>
      </c>
      <c r="AN145" s="10">
        <f>MAX(H145,AM145)</f>
        <v>135.2896818</v>
      </c>
    </row>
    <row r="146">
      <c r="A146" s="5" t="inlineStr">
        <is>
          <t>F147</t>
        </is>
      </c>
      <c r="B146" s="6" t="n">
        <v>1.5</v>
      </c>
      <c r="C146" s="7" t="inlineStr">
        <is>
          <t>VR</t>
        </is>
      </c>
      <c r="D146" s="8">
        <f>IF(C146="VR",0.35,0.30)</f>
        <v>0.35</v>
      </c>
      <c r="E146" s="6" t="n">
        <v>0.4</v>
      </c>
      <c r="F146" s="9" t="n">
        <v>30.3</v>
      </c>
      <c r="G146" s="9" t="n">
        <v>27.3</v>
      </c>
      <c r="H146" s="9" t="n">
        <v>44.4</v>
      </c>
      <c r="I146" s="6" t="n">
        <v>23.64</v>
      </c>
      <c r="J146" s="10">
        <f>E146*1000-$F$2-$L$2-$H$2/2</f>
        <v>342.55</v>
      </c>
      <c r="K146" s="11">
        <f>F146*1000000/(0.9*(D146*1000)*J146^2)</f>
        <v>0.8200256533</v>
      </c>
      <c r="L146" s="12">
        <f>(0.85*$B$2/$D$2)*(1-SQRT(1-2*K146/(0.85*$B$2)))</f>
        <v>0.00198728895</v>
      </c>
      <c r="M146" s="13">
        <f>L146*(D146*1000)*J146</f>
        <v>238.2610404</v>
      </c>
      <c r="N146" s="13">
        <f>MAX(0.25*SQRT($B$2)/$D$2,1.4/$D$2)*(D146*1000)*J146</f>
        <v>399.6416667</v>
      </c>
      <c r="O146" s="13">
        <f>MAX(M146,N146)</f>
        <v>399.6416667</v>
      </c>
      <c r="P146" s="14">
        <f>ROUNDUP(O146/$J$2,0)</f>
        <v>3</v>
      </c>
      <c r="Q146" s="13">
        <f>P146*$J$2</f>
        <v>597</v>
      </c>
      <c r="R146" s="10">
        <f>Q146*$D$2/(0.85*$B$2*(D146*1000))</f>
        <v>30.10084034</v>
      </c>
      <c r="S146" s="10">
        <f>0.9*Q146*$D$2*(J146-R146/2)/1000000</f>
        <v>73.90552018</v>
      </c>
      <c r="T146" s="15" t="str">
        <f>IF(AND(S146&gt;=F146,O146&lt;=0.025*(D146*1000)*J146,O146&gt;=N146),"CUMPLE","REVISAR")</f>
        <v>CUMPLE</v>
      </c>
      <c r="U146" s="11">
        <f>G146*1000000/(0.9*(D146*1000)*J146^2)</f>
        <v>0.73967342</v>
      </c>
      <c r="V146" s="12">
        <f>(0.85*$B$2/$D$2)*(1-SQRT(1-2*U146/(0.85*$B$2)))</f>
        <v>0.00178937905</v>
      </c>
      <c r="W146" s="13">
        <f>V146*(D146*1000)*J146</f>
        <v>214.5331277</v>
      </c>
      <c r="X146" s="13">
        <f>MAX(W146,N146)</f>
        <v>399.6416667</v>
      </c>
      <c r="Y146" s="14">
        <f>ROUNDUP(X146/$J$2,0)</f>
        <v>3</v>
      </c>
      <c r="Z146" s="13">
        <f>Y146*$J$2</f>
        <v>597</v>
      </c>
      <c r="AA146" s="10">
        <f>0.9*Z146*$D$2*(J146-(Z146*$D$2/(0.85*$B$2*(D146*1000)))/2)/1000000</f>
        <v>73.90552018</v>
      </c>
      <c r="AB146" s="15" t="str">
        <f>IF(AA146&gt;=G146,"CUMPLE","REVISAR")</f>
        <v>CUMPLE</v>
      </c>
      <c r="AC146" s="10">
        <f>0.17*SQRT($B$2)*(D146*1000)*J146/1000</f>
        <v>107.8499513</v>
      </c>
      <c r="AD146" s="10">
        <f>MAX(H146/0.75-AC146,0)</f>
        <v>0</v>
      </c>
      <c r="AE146" s="14">
        <f>IF(AD146&gt;0,MIN($N$2*$D$2*J146/(AD146*1000),MIN(J146/4,6*$H$2,150)),MIN(J146/4,6*$H$2,150))</f>
        <v>85.6375</v>
      </c>
      <c r="AF146" s="10">
        <f>0.66*SQRT($B$2)*(D146*1000)*J146/1000</f>
        <v>418.7115756</v>
      </c>
      <c r="AG146" s="15" t="str">
        <f>IF(AD146&lt;=AF146,"CUMPLE","AUMENTAR SECCION")</f>
        <v>CUMPLE</v>
      </c>
      <c r="AH146" s="10">
        <f>0.75*0.083*SQRT($B$2)*(((D146*1000)*(E146*1000))^2/(2*((D146*1000)+(E146*1000))))/1000000</f>
        <v>4.304108233</v>
      </c>
      <c r="AI146" s="15" t="str">
        <f>IF(I146&gt;AH146,"SI","No")</f>
        <v>SI</v>
      </c>
      <c r="AJ146" s="11">
        <f>IF(I146&gt;AH146,I146*1000000/(0.75*2*0.85*((D146*1000-2*$F$2)*(E146*1000-2*$F$2))*$D$2),0)</f>
        <v>0.5108370509</v>
      </c>
      <c r="AK146" s="10">
        <f>1.25*Q146*$D$2*(J146-(1.25*Q146*$D$2/(0.85*$B$2*(D146*1000)))/2)/1000000</f>
        <v>101.4672613</v>
      </c>
      <c r="AL146" s="10">
        <f>1.25*Z146*$D$2*(J146-(1.25*Z146*$D$2/(0.85*$B$2*(D146*1000)))/2)/1000000</f>
        <v>101.4672613</v>
      </c>
      <c r="AM146" s="10">
        <f>(AK146+AL146)/B146</f>
        <v>135.2896818</v>
      </c>
      <c r="AN146" s="10">
        <f>MAX(H146,AM146)</f>
        <v>135.2896818</v>
      </c>
    </row>
    <row r="147">
      <c r="A147" s="5" t="inlineStr">
        <is>
          <t>F148</t>
        </is>
      </c>
      <c r="B147" s="6" t="n">
        <v>3.75</v>
      </c>
      <c r="C147" s="7" t="inlineStr">
        <is>
          <t>VC</t>
        </is>
      </c>
      <c r="D147" s="8">
        <f>IF(C147="VR",0.35,0.30)</f>
        <v>0.3</v>
      </c>
      <c r="E147" s="6" t="n">
        <v>0.4</v>
      </c>
      <c r="F147" s="9" t="n">
        <v>23.6</v>
      </c>
      <c r="G147" s="9" t="n">
        <v>16.1</v>
      </c>
      <c r="H147" s="9" t="n">
        <v>21.6</v>
      </c>
      <c r="I147" s="6" t="n">
        <v>0</v>
      </c>
      <c r="J147" s="10">
        <f>E147*1000-$F$2-$L$2-$H$2/2</f>
        <v>342.55</v>
      </c>
      <c r="K147" s="11">
        <f>F147*1000000/(0.9*(D147*1000)*J147^2)</f>
        <v>0.7458508925</v>
      </c>
      <c r="L147" s="12">
        <f>(0.85*$B$2/$D$2)*(1-SQRT(1-2*K147/(0.85*$B$2)))</f>
        <v>0.001804569011</v>
      </c>
      <c r="M147" s="13">
        <f>L147*(D147*1000)*J147</f>
        <v>185.4465344</v>
      </c>
      <c r="N147" s="13">
        <f>MAX(0.25*SQRT($B$2)/$D$2,1.4/$D$2)*(D147*1000)*J147</f>
        <v>342.55</v>
      </c>
      <c r="O147" s="13">
        <f>MAX(M147,N147)</f>
        <v>342.55</v>
      </c>
      <c r="P147" s="14">
        <f>ROUNDUP(O147/$J$2,0)</f>
        <v>2</v>
      </c>
      <c r="Q147" s="13">
        <f>P147*$J$2</f>
        <v>398</v>
      </c>
      <c r="R147" s="10">
        <f>Q147*$D$2/(0.85*$B$2*(D147*1000))</f>
        <v>23.41176471</v>
      </c>
      <c r="S147" s="10">
        <f>0.9*Q147*$D$2*(J147-R147/2)/1000000</f>
        <v>49.77351244</v>
      </c>
      <c r="T147" s="15" t="str">
        <f>IF(AND(S147&gt;=F147,O147&lt;=0.025*(D147*1000)*J147,O147&gt;=N147),"CUMPLE","REVISAR")</f>
        <v>CUMPLE</v>
      </c>
      <c r="U147" s="11">
        <f>G147*1000000/(0.9*(D147*1000)*J147^2)</f>
        <v>0.5081760207</v>
      </c>
      <c r="V147" s="12">
        <f>(0.85*$B$2/$D$2)*(1-SQRT(1-2*U147/(0.85*$B$2)))</f>
        <v>0.001223143615</v>
      </c>
      <c r="W147" s="13">
        <f>V147*(D147*1000)*J147</f>
        <v>125.6963536</v>
      </c>
      <c r="X147" s="13">
        <f>MAX(W147,N147)</f>
        <v>342.55</v>
      </c>
      <c r="Y147" s="14">
        <f>ROUNDUP(X147/$J$2,0)</f>
        <v>2</v>
      </c>
      <c r="Z147" s="13">
        <f>Y147*$J$2</f>
        <v>398</v>
      </c>
      <c r="AA147" s="10">
        <f>0.9*Z147*$D$2*(J147-(Z147*$D$2/(0.85*$B$2*(D147*1000)))/2)/1000000</f>
        <v>49.77351244</v>
      </c>
      <c r="AB147" s="15" t="str">
        <f>IF(AA147&gt;=G147,"CUMPLE","REVISAR")</f>
        <v>CUMPLE</v>
      </c>
      <c r="AC147" s="10">
        <f>0.17*SQRT($B$2)*(D147*1000)*J147/1000</f>
        <v>92.44281538</v>
      </c>
      <c r="AD147" s="10">
        <f>MAX(H147/0.75-AC147,0)</f>
        <v>0</v>
      </c>
      <c r="AE147" s="14">
        <f>IF(AD147&gt;0,MIN($N$2*$D$2*J147/(AD147*1000),MIN(J147/4,6*$H$2,150)),MIN(J147/4,6*$H$2,150))</f>
        <v>85.6375</v>
      </c>
      <c r="AF147" s="10">
        <f>0.66*SQRT($B$2)*(D147*1000)*J147/1000</f>
        <v>358.8956362</v>
      </c>
      <c r="AG147" s="15" t="str">
        <f>IF(AD147&lt;=AF147,"CUMPLE","AUMENTAR SECCION")</f>
        <v>CUMPLE</v>
      </c>
      <c r="AH147" s="10">
        <f>0.75*0.083*SQRT($B$2)*(((D147*1000)*(E147*1000))^2/(2*((D147*1000)+(E147*1000))))/1000000</f>
        <v>3.388073536</v>
      </c>
      <c r="AI147" s="15" t="str">
        <f>IF(I147&gt;AH147,"SI","No")</f>
        <v>No</v>
      </c>
      <c r="AJ147" s="11">
        <f>IF(I147&gt;AH147,I147*1000000/(0.75*2*0.85*((D147*1000-2*$F$2)*(E147*1000-2*$F$2))*$D$2),0)</f>
        <v>0</v>
      </c>
      <c r="AK147" s="10">
        <f>1.25*Q147*$D$2*(J147-(1.25*Q147*$D$2/(0.85*$B$2*(D147*1000)))/2)/1000000</f>
        <v>68.51839235</v>
      </c>
      <c r="AL147" s="10">
        <f>1.25*Z147*$D$2*(J147-(1.25*Z147*$D$2/(0.85*$B$2*(D147*1000)))/2)/1000000</f>
        <v>68.51839235</v>
      </c>
      <c r="AM147" s="10">
        <f>(AK147+AL147)/B147</f>
        <v>36.54314259</v>
      </c>
      <c r="AN147" s="10">
        <f>MAX(H147,AM147)</f>
        <v>36.54314259</v>
      </c>
    </row>
    <row r="148">
      <c r="A148" s="5" t="inlineStr">
        <is>
          <t>F149</t>
        </is>
      </c>
      <c r="B148" s="6" t="n">
        <v>3.75</v>
      </c>
      <c r="C148" s="7" t="inlineStr">
        <is>
          <t>VC</t>
        </is>
      </c>
      <c r="D148" s="8">
        <f>IF(C148="VR",0.35,0.30)</f>
        <v>0.3</v>
      </c>
      <c r="E148" s="6" t="n">
        <v>0.4</v>
      </c>
      <c r="F148" s="9" t="n">
        <v>23.6</v>
      </c>
      <c r="G148" s="9" t="n">
        <v>16.1</v>
      </c>
      <c r="H148" s="9" t="n">
        <v>21.6</v>
      </c>
      <c r="I148" s="6" t="n">
        <v>0</v>
      </c>
      <c r="J148" s="10">
        <f>E148*1000-$F$2-$L$2-$H$2/2</f>
        <v>342.55</v>
      </c>
      <c r="K148" s="11">
        <f>F148*1000000/(0.9*(D148*1000)*J148^2)</f>
        <v>0.7461665298</v>
      </c>
      <c r="L148" s="12">
        <f>(0.85*$B$2/$D$2)*(1-SQRT(1-2*K148/(0.85*$B$2)))</f>
        <v>0.001805345254</v>
      </c>
      <c r="M148" s="13">
        <f>L148*(D148*1000)*J148</f>
        <v>185.526305</v>
      </c>
      <c r="N148" s="13">
        <f>MAX(0.25*SQRT($B$2)/$D$2,1.4/$D$2)*(D148*1000)*J148</f>
        <v>342.55</v>
      </c>
      <c r="O148" s="13">
        <f>MAX(M148,N148)</f>
        <v>342.55</v>
      </c>
      <c r="P148" s="14">
        <f>ROUNDUP(O148/$J$2,0)</f>
        <v>2</v>
      </c>
      <c r="Q148" s="13">
        <f>P148*$J$2</f>
        <v>398</v>
      </c>
      <c r="R148" s="10">
        <f>Q148*$D$2/(0.85*$B$2*(D148*1000))</f>
        <v>23.41176471</v>
      </c>
      <c r="S148" s="10">
        <f>0.9*Q148*$D$2*(J148-R148/2)/1000000</f>
        <v>49.77351244</v>
      </c>
      <c r="T148" s="15" t="str">
        <f>IF(AND(S148&gt;=F148,O148&lt;=0.025*(D148*1000)*J148,O148&gt;=N148),"CUMPLE","REVISAR")</f>
        <v>CUMPLE</v>
      </c>
      <c r="U148" s="11">
        <f>G148*1000000/(0.9*(D148*1000)*J148^2)</f>
        <v>0.5081760207</v>
      </c>
      <c r="V148" s="12">
        <f>(0.85*$B$2/$D$2)*(1-SQRT(1-2*U148/(0.85*$B$2)))</f>
        <v>0.001223143615</v>
      </c>
      <c r="W148" s="13">
        <f>V148*(D148*1000)*J148</f>
        <v>125.6963536</v>
      </c>
      <c r="X148" s="13">
        <f>MAX(W148,N148)</f>
        <v>342.55</v>
      </c>
      <c r="Y148" s="14">
        <f>ROUNDUP(X148/$J$2,0)</f>
        <v>2</v>
      </c>
      <c r="Z148" s="13">
        <f>Y148*$J$2</f>
        <v>398</v>
      </c>
      <c r="AA148" s="10">
        <f>0.9*Z148*$D$2*(J148-(Z148*$D$2/(0.85*$B$2*(D148*1000)))/2)/1000000</f>
        <v>49.77351244</v>
      </c>
      <c r="AB148" s="15" t="str">
        <f>IF(AA148&gt;=G148,"CUMPLE","REVISAR")</f>
        <v>CUMPLE</v>
      </c>
      <c r="AC148" s="10">
        <f>0.17*SQRT($B$2)*(D148*1000)*J148/1000</f>
        <v>92.44281538</v>
      </c>
      <c r="AD148" s="10">
        <f>MAX(H148/0.75-AC148,0)</f>
        <v>0</v>
      </c>
      <c r="AE148" s="14">
        <f>IF(AD148&gt;0,MIN($N$2*$D$2*J148/(AD148*1000),MIN(J148/4,6*$H$2,150)),MIN(J148/4,6*$H$2,150))</f>
        <v>85.6375</v>
      </c>
      <c r="AF148" s="10">
        <f>0.66*SQRT($B$2)*(D148*1000)*J148/1000</f>
        <v>358.8956362</v>
      </c>
      <c r="AG148" s="15" t="str">
        <f>IF(AD148&lt;=AF148,"CUMPLE","AUMENTAR SECCION")</f>
        <v>CUMPLE</v>
      </c>
      <c r="AH148" s="10">
        <f>0.75*0.083*SQRT($B$2)*(((D148*1000)*(E148*1000))^2/(2*((D148*1000)+(E148*1000))))/1000000</f>
        <v>3.388073536</v>
      </c>
      <c r="AI148" s="15" t="str">
        <f>IF(I148&gt;AH148,"SI","No")</f>
        <v>No</v>
      </c>
      <c r="AJ148" s="11">
        <f>IF(I148&gt;AH148,I148*1000000/(0.75*2*0.85*((D148*1000-2*$F$2)*(E148*1000-2*$F$2))*$D$2),0)</f>
        <v>0</v>
      </c>
      <c r="AK148" s="10">
        <f>1.25*Q148*$D$2*(J148-(1.25*Q148*$D$2/(0.85*$B$2*(D148*1000)))/2)/1000000</f>
        <v>68.51839235</v>
      </c>
      <c r="AL148" s="10">
        <f>1.25*Z148*$D$2*(J148-(1.25*Z148*$D$2/(0.85*$B$2*(D148*1000)))/2)/1000000</f>
        <v>68.51839235</v>
      </c>
      <c r="AM148" s="10">
        <f>(AK148+AL148)/B148</f>
        <v>36.54314259</v>
      </c>
      <c r="AN148" s="10">
        <f>MAX(H148,AM148)</f>
        <v>36.54314259</v>
      </c>
    </row>
    <row r="149">
      <c r="A149" s="5" t="inlineStr">
        <is>
          <t>F150</t>
        </is>
      </c>
      <c r="B149" s="6" t="n">
        <v>1.5</v>
      </c>
      <c r="C149" s="7" t="inlineStr">
        <is>
          <t>VR</t>
        </is>
      </c>
      <c r="D149" s="8">
        <f>IF(C149="VR",0.35,0.30)</f>
        <v>0.35</v>
      </c>
      <c r="E149" s="6" t="n">
        <v>0.4</v>
      </c>
      <c r="F149" s="9" t="n">
        <v>30.3</v>
      </c>
      <c r="G149" s="9" t="n">
        <v>27.3</v>
      </c>
      <c r="H149" s="9" t="n">
        <v>44.4</v>
      </c>
      <c r="I149" s="6" t="n">
        <v>23.64</v>
      </c>
      <c r="J149" s="10">
        <f>E149*1000-$F$2-$L$2-$H$2/2</f>
        <v>342.55</v>
      </c>
      <c r="K149" s="11">
        <f>F149*1000000/(0.9*(D149*1000)*J149^2)</f>
        <v>0.8200256533</v>
      </c>
      <c r="L149" s="12">
        <f>(0.85*$B$2/$D$2)*(1-SQRT(1-2*K149/(0.85*$B$2)))</f>
        <v>0.00198728895</v>
      </c>
      <c r="M149" s="13">
        <f>L149*(D149*1000)*J149</f>
        <v>238.2610404</v>
      </c>
      <c r="N149" s="13">
        <f>MAX(0.25*SQRT($B$2)/$D$2,1.4/$D$2)*(D149*1000)*J149</f>
        <v>399.6416667</v>
      </c>
      <c r="O149" s="13">
        <f>MAX(M149,N149)</f>
        <v>399.6416667</v>
      </c>
      <c r="P149" s="14">
        <f>ROUNDUP(O149/$J$2,0)</f>
        <v>3</v>
      </c>
      <c r="Q149" s="13">
        <f>P149*$J$2</f>
        <v>597</v>
      </c>
      <c r="R149" s="10">
        <f>Q149*$D$2/(0.85*$B$2*(D149*1000))</f>
        <v>30.10084034</v>
      </c>
      <c r="S149" s="10">
        <f>0.9*Q149*$D$2*(J149-R149/2)/1000000</f>
        <v>73.90552018</v>
      </c>
      <c r="T149" s="15" t="str">
        <f>IF(AND(S149&gt;=F149,O149&lt;=0.025*(D149*1000)*J149,O149&gt;=N149),"CUMPLE","REVISAR")</f>
        <v>CUMPLE</v>
      </c>
      <c r="U149" s="11">
        <f>G149*1000000/(0.9*(D149*1000)*J149^2)</f>
        <v>0.73967342</v>
      </c>
      <c r="V149" s="12">
        <f>(0.85*$B$2/$D$2)*(1-SQRT(1-2*U149/(0.85*$B$2)))</f>
        <v>0.00178937905</v>
      </c>
      <c r="W149" s="13">
        <f>V149*(D149*1000)*J149</f>
        <v>214.5331277</v>
      </c>
      <c r="X149" s="13">
        <f>MAX(W149,N149)</f>
        <v>399.6416667</v>
      </c>
      <c r="Y149" s="14">
        <f>ROUNDUP(X149/$J$2,0)</f>
        <v>3</v>
      </c>
      <c r="Z149" s="13">
        <f>Y149*$J$2</f>
        <v>597</v>
      </c>
      <c r="AA149" s="10">
        <f>0.9*Z149*$D$2*(J149-(Z149*$D$2/(0.85*$B$2*(D149*1000)))/2)/1000000</f>
        <v>73.90552018</v>
      </c>
      <c r="AB149" s="15" t="str">
        <f>IF(AA149&gt;=G149,"CUMPLE","REVISAR")</f>
        <v>CUMPLE</v>
      </c>
      <c r="AC149" s="10">
        <f>0.17*SQRT($B$2)*(D149*1000)*J149/1000</f>
        <v>107.8499513</v>
      </c>
      <c r="AD149" s="10">
        <f>MAX(H149/0.75-AC149,0)</f>
        <v>0</v>
      </c>
      <c r="AE149" s="14">
        <f>IF(AD149&gt;0,MIN($N$2*$D$2*J149/(AD149*1000),MIN(J149/4,6*$H$2,150)),MIN(J149/4,6*$H$2,150))</f>
        <v>85.6375</v>
      </c>
      <c r="AF149" s="10">
        <f>0.66*SQRT($B$2)*(D149*1000)*J149/1000</f>
        <v>418.7115756</v>
      </c>
      <c r="AG149" s="15" t="str">
        <f>IF(AD149&lt;=AF149,"CUMPLE","AUMENTAR SECCION")</f>
        <v>CUMPLE</v>
      </c>
      <c r="AH149" s="10">
        <f>0.75*0.083*SQRT($B$2)*(((D149*1000)*(E149*1000))^2/(2*((D149*1000)+(E149*1000))))/1000000</f>
        <v>4.304108233</v>
      </c>
      <c r="AI149" s="15" t="str">
        <f>IF(I149&gt;AH149,"SI","No")</f>
        <v>SI</v>
      </c>
      <c r="AJ149" s="11">
        <f>IF(I149&gt;AH149,I149*1000000/(0.75*2*0.85*((D149*1000-2*$F$2)*(E149*1000-2*$F$2))*$D$2),0)</f>
        <v>0.5108370509</v>
      </c>
      <c r="AK149" s="10">
        <f>1.25*Q149*$D$2*(J149-(1.25*Q149*$D$2/(0.85*$B$2*(D149*1000)))/2)/1000000</f>
        <v>101.4672613</v>
      </c>
      <c r="AL149" s="10">
        <f>1.25*Z149*$D$2*(J149-(1.25*Z149*$D$2/(0.85*$B$2*(D149*1000)))/2)/1000000</f>
        <v>101.4672613</v>
      </c>
      <c r="AM149" s="10">
        <f>(AK149+AL149)/B149</f>
        <v>135.2896818</v>
      </c>
      <c r="AN149" s="10">
        <f>MAX(H149,AM149)</f>
        <v>135.2896818</v>
      </c>
    </row>
    <row r="150">
      <c r="A150" s="5" t="inlineStr">
        <is>
          <t>F151</t>
        </is>
      </c>
      <c r="B150" s="6" t="n">
        <v>1.5</v>
      </c>
      <c r="C150" s="7" t="inlineStr">
        <is>
          <t>VR</t>
        </is>
      </c>
      <c r="D150" s="8">
        <f>IF(C150="VR",0.35,0.30)</f>
        <v>0.35</v>
      </c>
      <c r="E150" s="6" t="n">
        <v>0.4</v>
      </c>
      <c r="F150" s="9" t="n">
        <v>51.1</v>
      </c>
      <c r="G150" s="9" t="n">
        <v>47.6</v>
      </c>
      <c r="H150" s="9" t="n">
        <v>72.8</v>
      </c>
      <c r="I150" s="6" t="n">
        <v>24.56</v>
      </c>
      <c r="J150" s="10">
        <f>E150*1000-$F$2-$L$2-$H$2/2</f>
        <v>342.55</v>
      </c>
      <c r="K150" s="11">
        <f>F150*1000000/(0.9*(D150*1000)*J150^2)</f>
        <v>1.382761832</v>
      </c>
      <c r="L150" s="12">
        <f>(0.85*$B$2/$D$2)*(1-SQRT(1-2*K150/(0.85*$B$2)))</f>
        <v>0.00339392596</v>
      </c>
      <c r="M150" s="13">
        <f>L150*(D150*1000)*J150</f>
        <v>406.9062682</v>
      </c>
      <c r="N150" s="13">
        <f>MAX(0.25*SQRT($B$2)/$D$2,1.4/$D$2)*(D150*1000)*J150</f>
        <v>399.6416667</v>
      </c>
      <c r="O150" s="13">
        <f>MAX(M150,N150)</f>
        <v>406.9062682</v>
      </c>
      <c r="P150" s="14">
        <f>ROUNDUP(O150/$J$2,0)</f>
        <v>3</v>
      </c>
      <c r="Q150" s="13">
        <f>P150*$J$2</f>
        <v>597</v>
      </c>
      <c r="R150" s="10">
        <f>Q150*$D$2/(0.85*$B$2*(D150*1000))</f>
        <v>30.10084034</v>
      </c>
      <c r="S150" s="10">
        <f>0.9*Q150*$D$2*(J150-R150/2)/1000000</f>
        <v>73.90552018</v>
      </c>
      <c r="T150" s="15" t="str">
        <f>IF(AND(S150&gt;=F150,O150&lt;=0.025*(D150*1000)*J150,O150&gt;=N150),"CUMPLE","REVISAR")</f>
        <v>CUMPLE</v>
      </c>
      <c r="U150" s="11">
        <f>G150*1000000/(0.9*(D150*1000)*J150^2)</f>
        <v>1.289152833</v>
      </c>
      <c r="V150" s="12">
        <f>(0.85*$B$2/$D$2)*(1-SQRT(1-2*U150/(0.85*$B$2)))</f>
        <v>0.003157373329</v>
      </c>
      <c r="W150" s="13">
        <f>V150*(D150*1000)*J150</f>
        <v>378.5453818</v>
      </c>
      <c r="X150" s="13">
        <f>MAX(W150,N150)</f>
        <v>399.6416667</v>
      </c>
      <c r="Y150" s="14">
        <f>ROUNDUP(X150/$J$2,0)</f>
        <v>3</v>
      </c>
      <c r="Z150" s="13">
        <f>Y150*$J$2</f>
        <v>597</v>
      </c>
      <c r="AA150" s="10">
        <f>0.9*Z150*$D$2*(J150-(Z150*$D$2/(0.85*$B$2*(D150*1000)))/2)/1000000</f>
        <v>73.90552018</v>
      </c>
      <c r="AB150" s="15" t="str">
        <f>IF(AA150&gt;=G150,"CUMPLE","REVISAR")</f>
        <v>CUMPLE</v>
      </c>
      <c r="AC150" s="10">
        <f>0.17*SQRT($B$2)*(D150*1000)*J150/1000</f>
        <v>107.8499513</v>
      </c>
      <c r="AD150" s="10">
        <f>MAX(H150/0.75-AC150,0)</f>
        <v>0</v>
      </c>
      <c r="AE150" s="14">
        <f>IF(AD150&gt;0,MIN($N$2*$D$2*J150/(AD150*1000),MIN(J150/4,6*$H$2,150)),MIN(J150/4,6*$H$2,150))</f>
        <v>85.6375</v>
      </c>
      <c r="AF150" s="10">
        <f>0.66*SQRT($B$2)*(D150*1000)*J150/1000</f>
        <v>418.7115756</v>
      </c>
      <c r="AG150" s="15" t="str">
        <f>IF(AD150&lt;=AF150,"CUMPLE","AUMENTAR SECCION")</f>
        <v>CUMPLE</v>
      </c>
      <c r="AH150" s="10">
        <f>0.75*0.083*SQRT($B$2)*(((D150*1000)*(E150*1000))^2/(2*((D150*1000)+(E150*1000))))/1000000</f>
        <v>4.304108233</v>
      </c>
      <c r="AI150" s="15" t="str">
        <f>IF(I150&gt;AH150,"SI","No")</f>
        <v>SI</v>
      </c>
      <c r="AJ150" s="11">
        <f>IF(I150&gt;AH150,I150*1000000/(0.75*2*0.85*((D150*1000-2*$F$2)*(E150*1000-2*$F$2))*$D$2),0)</f>
        <v>0.5307431615</v>
      </c>
      <c r="AK150" s="10">
        <f>1.25*Q150*$D$2*(J150-(1.25*Q150*$D$2/(0.85*$B$2*(D150*1000)))/2)/1000000</f>
        <v>101.4672613</v>
      </c>
      <c r="AL150" s="10">
        <f>1.25*Z150*$D$2*(J150-(1.25*Z150*$D$2/(0.85*$B$2*(D150*1000)))/2)/1000000</f>
        <v>101.4672613</v>
      </c>
      <c r="AM150" s="10">
        <f>(AK150+AL150)/B150</f>
        <v>135.2896818</v>
      </c>
      <c r="AN150" s="10">
        <f>MAX(H150,AM150)</f>
        <v>135.2896818</v>
      </c>
    </row>
    <row r="151">
      <c r="A151" s="5" t="inlineStr">
        <is>
          <t>F152</t>
        </is>
      </c>
      <c r="B151" s="6" t="n">
        <v>1.5</v>
      </c>
      <c r="C151" s="7" t="inlineStr">
        <is>
          <t>VR</t>
        </is>
      </c>
      <c r="D151" s="8">
        <f>IF(C151="VR",0.35,0.30)</f>
        <v>0.35</v>
      </c>
      <c r="E151" s="6" t="n">
        <v>0.4</v>
      </c>
      <c r="F151" s="9" t="n">
        <v>30.3</v>
      </c>
      <c r="G151" s="9" t="n">
        <v>27.3</v>
      </c>
      <c r="H151" s="9" t="n">
        <v>44.4</v>
      </c>
      <c r="I151" s="6" t="n">
        <v>23.64</v>
      </c>
      <c r="J151" s="10">
        <f>E151*1000-$F$2-$L$2-$H$2/2</f>
        <v>342.55</v>
      </c>
      <c r="K151" s="11">
        <f>F151*1000000/(0.9*(D151*1000)*J151^2)</f>
        <v>0.8200256533</v>
      </c>
      <c r="L151" s="12">
        <f>(0.85*$B$2/$D$2)*(1-SQRT(1-2*K151/(0.85*$B$2)))</f>
        <v>0.00198728895</v>
      </c>
      <c r="M151" s="13">
        <f>L151*(D151*1000)*J151</f>
        <v>238.2610404</v>
      </c>
      <c r="N151" s="13">
        <f>MAX(0.25*SQRT($B$2)/$D$2,1.4/$D$2)*(D151*1000)*J151</f>
        <v>399.6416667</v>
      </c>
      <c r="O151" s="13">
        <f>MAX(M151,N151)</f>
        <v>399.6416667</v>
      </c>
      <c r="P151" s="14">
        <f>ROUNDUP(O151/$J$2,0)</f>
        <v>3</v>
      </c>
      <c r="Q151" s="13">
        <f>P151*$J$2</f>
        <v>597</v>
      </c>
      <c r="R151" s="10">
        <f>Q151*$D$2/(0.85*$B$2*(D151*1000))</f>
        <v>30.10084034</v>
      </c>
      <c r="S151" s="10">
        <f>0.9*Q151*$D$2*(J151-R151/2)/1000000</f>
        <v>73.90552018</v>
      </c>
      <c r="T151" s="15" t="str">
        <f>IF(AND(S151&gt;=F151,O151&lt;=0.025*(D151*1000)*J151,O151&gt;=N151),"CUMPLE","REVISAR")</f>
        <v>CUMPLE</v>
      </c>
      <c r="U151" s="11">
        <f>G151*1000000/(0.9*(D151*1000)*J151^2)</f>
        <v>0.73967342</v>
      </c>
      <c r="V151" s="12">
        <f>(0.85*$B$2/$D$2)*(1-SQRT(1-2*U151/(0.85*$B$2)))</f>
        <v>0.00178937905</v>
      </c>
      <c r="W151" s="13">
        <f>V151*(D151*1000)*J151</f>
        <v>214.5331277</v>
      </c>
      <c r="X151" s="13">
        <f>MAX(W151,N151)</f>
        <v>399.6416667</v>
      </c>
      <c r="Y151" s="14">
        <f>ROUNDUP(X151/$J$2,0)</f>
        <v>3</v>
      </c>
      <c r="Z151" s="13">
        <f>Y151*$J$2</f>
        <v>597</v>
      </c>
      <c r="AA151" s="10">
        <f>0.9*Z151*$D$2*(J151-(Z151*$D$2/(0.85*$B$2*(D151*1000)))/2)/1000000</f>
        <v>73.90552018</v>
      </c>
      <c r="AB151" s="15" t="str">
        <f>IF(AA151&gt;=G151,"CUMPLE","REVISAR")</f>
        <v>CUMPLE</v>
      </c>
      <c r="AC151" s="10">
        <f>0.17*SQRT($B$2)*(D151*1000)*J151/1000</f>
        <v>107.8499513</v>
      </c>
      <c r="AD151" s="10">
        <f>MAX(H151/0.75-AC151,0)</f>
        <v>0</v>
      </c>
      <c r="AE151" s="14">
        <f>IF(AD151&gt;0,MIN($N$2*$D$2*J151/(AD151*1000),MIN(J151/4,6*$H$2,150)),MIN(J151/4,6*$H$2,150))</f>
        <v>85.6375</v>
      </c>
      <c r="AF151" s="10">
        <f>0.66*SQRT($B$2)*(D151*1000)*J151/1000</f>
        <v>418.7115756</v>
      </c>
      <c r="AG151" s="15" t="str">
        <f>IF(AD151&lt;=AF151,"CUMPLE","AUMENTAR SECCION")</f>
        <v>CUMPLE</v>
      </c>
      <c r="AH151" s="10">
        <f>0.75*0.083*SQRT($B$2)*(((D151*1000)*(E151*1000))^2/(2*((D151*1000)+(E151*1000))))/1000000</f>
        <v>4.304108233</v>
      </c>
      <c r="AI151" s="15" t="str">
        <f>IF(I151&gt;AH151,"SI","No")</f>
        <v>SI</v>
      </c>
      <c r="AJ151" s="11">
        <f>IF(I151&gt;AH151,I151*1000000/(0.75*2*0.85*((D151*1000-2*$F$2)*(E151*1000-2*$F$2))*$D$2),0)</f>
        <v>0.5108370509</v>
      </c>
      <c r="AK151" s="10">
        <f>1.25*Q151*$D$2*(J151-(1.25*Q151*$D$2/(0.85*$B$2*(D151*1000)))/2)/1000000</f>
        <v>101.4672613</v>
      </c>
      <c r="AL151" s="10">
        <f>1.25*Z151*$D$2*(J151-(1.25*Z151*$D$2/(0.85*$B$2*(D151*1000)))/2)/1000000</f>
        <v>101.4672613</v>
      </c>
      <c r="AM151" s="10">
        <f>(AK151+AL151)/B151</f>
        <v>135.2896818</v>
      </c>
      <c r="AN151" s="10">
        <f>MAX(H151,AM151)</f>
        <v>135.2896818</v>
      </c>
    </row>
    <row r="152">
      <c r="A152" s="5" t="inlineStr">
        <is>
          <t>F153</t>
        </is>
      </c>
      <c r="B152" s="6" t="n">
        <v>3.75</v>
      </c>
      <c r="C152" s="7" t="inlineStr">
        <is>
          <t>VC</t>
        </is>
      </c>
      <c r="D152" s="8">
        <f>IF(C152="VR",0.35,0.30)</f>
        <v>0.3</v>
      </c>
      <c r="E152" s="6" t="n">
        <v>0.4</v>
      </c>
      <c r="F152" s="9" t="n">
        <v>23.6</v>
      </c>
      <c r="G152" s="9" t="n">
        <v>16.1</v>
      </c>
      <c r="H152" s="9" t="n">
        <v>21.6</v>
      </c>
      <c r="I152" s="6" t="n">
        <v>0</v>
      </c>
      <c r="J152" s="10">
        <f>E152*1000-$F$2-$L$2-$H$2/2</f>
        <v>342.55</v>
      </c>
      <c r="K152" s="11">
        <f>F152*1000000/(0.9*(D152*1000)*J152^2)</f>
        <v>0.7461665298</v>
      </c>
      <c r="L152" s="12">
        <f>(0.85*$B$2/$D$2)*(1-SQRT(1-2*K152/(0.85*$B$2)))</f>
        <v>0.001805345254</v>
      </c>
      <c r="M152" s="13">
        <f>L152*(D152*1000)*J152</f>
        <v>185.526305</v>
      </c>
      <c r="N152" s="13">
        <f>MAX(0.25*SQRT($B$2)/$D$2,1.4/$D$2)*(D152*1000)*J152</f>
        <v>342.55</v>
      </c>
      <c r="O152" s="13">
        <f>MAX(M152,N152)</f>
        <v>342.55</v>
      </c>
      <c r="P152" s="14">
        <f>ROUNDUP(O152/$J$2,0)</f>
        <v>2</v>
      </c>
      <c r="Q152" s="13">
        <f>P152*$J$2</f>
        <v>398</v>
      </c>
      <c r="R152" s="10">
        <f>Q152*$D$2/(0.85*$B$2*(D152*1000))</f>
        <v>23.41176471</v>
      </c>
      <c r="S152" s="10">
        <f>0.9*Q152*$D$2*(J152-R152/2)/1000000</f>
        <v>49.77351244</v>
      </c>
      <c r="T152" s="15" t="str">
        <f>IF(AND(S152&gt;=F152,O152&lt;=0.025*(D152*1000)*J152,O152&gt;=N152),"CUMPLE","REVISAR")</f>
        <v>CUMPLE</v>
      </c>
      <c r="U152" s="11">
        <f>G152*1000000/(0.9*(D152*1000)*J152^2)</f>
        <v>0.5081760207</v>
      </c>
      <c r="V152" s="12">
        <f>(0.85*$B$2/$D$2)*(1-SQRT(1-2*U152/(0.85*$B$2)))</f>
        <v>0.001223143615</v>
      </c>
      <c r="W152" s="13">
        <f>V152*(D152*1000)*J152</f>
        <v>125.6963536</v>
      </c>
      <c r="X152" s="13">
        <f>MAX(W152,N152)</f>
        <v>342.55</v>
      </c>
      <c r="Y152" s="14">
        <f>ROUNDUP(X152/$J$2,0)</f>
        <v>2</v>
      </c>
      <c r="Z152" s="13">
        <f>Y152*$J$2</f>
        <v>398</v>
      </c>
      <c r="AA152" s="10">
        <f>0.9*Z152*$D$2*(J152-(Z152*$D$2/(0.85*$B$2*(D152*1000)))/2)/1000000</f>
        <v>49.77351244</v>
      </c>
      <c r="AB152" s="15" t="str">
        <f>IF(AA152&gt;=G152,"CUMPLE","REVISAR")</f>
        <v>CUMPLE</v>
      </c>
      <c r="AC152" s="10">
        <f>0.17*SQRT($B$2)*(D152*1000)*J152/1000</f>
        <v>92.44281538</v>
      </c>
      <c r="AD152" s="10">
        <f>MAX(H152/0.75-AC152,0)</f>
        <v>0</v>
      </c>
      <c r="AE152" s="14">
        <f>IF(AD152&gt;0,MIN($N$2*$D$2*J152/(AD152*1000),MIN(J152/4,6*$H$2,150)),MIN(J152/4,6*$H$2,150))</f>
        <v>85.6375</v>
      </c>
      <c r="AF152" s="10">
        <f>0.66*SQRT($B$2)*(D152*1000)*J152/1000</f>
        <v>358.8956362</v>
      </c>
      <c r="AG152" s="15" t="str">
        <f>IF(AD152&lt;=AF152,"CUMPLE","AUMENTAR SECCION")</f>
        <v>CUMPLE</v>
      </c>
      <c r="AH152" s="10">
        <f>0.75*0.083*SQRT($B$2)*(((D152*1000)*(E152*1000))^2/(2*((D152*1000)+(E152*1000))))/1000000</f>
        <v>3.388073536</v>
      </c>
      <c r="AI152" s="15" t="str">
        <f>IF(I152&gt;AH152,"SI","No")</f>
        <v>No</v>
      </c>
      <c r="AJ152" s="11">
        <f>IF(I152&gt;AH152,I152*1000000/(0.75*2*0.85*((D152*1000-2*$F$2)*(E152*1000-2*$F$2))*$D$2),0)</f>
        <v>0</v>
      </c>
      <c r="AK152" s="10">
        <f>1.25*Q152*$D$2*(J152-(1.25*Q152*$D$2/(0.85*$B$2*(D152*1000)))/2)/1000000</f>
        <v>68.51839235</v>
      </c>
      <c r="AL152" s="10">
        <f>1.25*Z152*$D$2*(J152-(1.25*Z152*$D$2/(0.85*$B$2*(D152*1000)))/2)/1000000</f>
        <v>68.51839235</v>
      </c>
      <c r="AM152" s="10">
        <f>(AK152+AL152)/B152</f>
        <v>36.54314259</v>
      </c>
      <c r="AN152" s="10">
        <f>MAX(H152,AM152)</f>
        <v>36.54314259</v>
      </c>
    </row>
    <row r="153">
      <c r="A153" s="5" t="inlineStr">
        <is>
          <t>F154</t>
        </is>
      </c>
      <c r="B153" s="6" t="n">
        <v>3.75</v>
      </c>
      <c r="C153" s="7" t="inlineStr">
        <is>
          <t>VC</t>
        </is>
      </c>
      <c r="D153" s="8">
        <f>IF(C153="VR",0.35,0.30)</f>
        <v>0.3</v>
      </c>
      <c r="E153" s="6" t="n">
        <v>0.4</v>
      </c>
      <c r="F153" s="9" t="n">
        <v>23.6</v>
      </c>
      <c r="G153" s="9" t="n">
        <v>16.1</v>
      </c>
      <c r="H153" s="9" t="n">
        <v>21.6</v>
      </c>
      <c r="I153" s="6" t="n">
        <v>0</v>
      </c>
      <c r="J153" s="10">
        <f>E153*1000-$F$2-$L$2-$H$2/2</f>
        <v>342.55</v>
      </c>
      <c r="K153" s="11">
        <f>F153*1000000/(0.9*(D153*1000)*J153^2)</f>
        <v>0.7458508925</v>
      </c>
      <c r="L153" s="12">
        <f>(0.85*$B$2/$D$2)*(1-SQRT(1-2*K153/(0.85*$B$2)))</f>
        <v>0.001804569011</v>
      </c>
      <c r="M153" s="13">
        <f>L153*(D153*1000)*J153</f>
        <v>185.4465344</v>
      </c>
      <c r="N153" s="13">
        <f>MAX(0.25*SQRT($B$2)/$D$2,1.4/$D$2)*(D153*1000)*J153</f>
        <v>342.55</v>
      </c>
      <c r="O153" s="13">
        <f>MAX(M153,N153)</f>
        <v>342.55</v>
      </c>
      <c r="P153" s="14">
        <f>ROUNDUP(O153/$J$2,0)</f>
        <v>2</v>
      </c>
      <c r="Q153" s="13">
        <f>P153*$J$2</f>
        <v>398</v>
      </c>
      <c r="R153" s="10">
        <f>Q153*$D$2/(0.85*$B$2*(D153*1000))</f>
        <v>23.41176471</v>
      </c>
      <c r="S153" s="10">
        <f>0.9*Q153*$D$2*(J153-R153/2)/1000000</f>
        <v>49.77351244</v>
      </c>
      <c r="T153" s="15" t="str">
        <f>IF(AND(S153&gt;=F153,O153&lt;=0.025*(D153*1000)*J153,O153&gt;=N153),"CUMPLE","REVISAR")</f>
        <v>CUMPLE</v>
      </c>
      <c r="U153" s="11">
        <f>G153*1000000/(0.9*(D153*1000)*J153^2)</f>
        <v>0.5081760207</v>
      </c>
      <c r="V153" s="12">
        <f>(0.85*$B$2/$D$2)*(1-SQRT(1-2*U153/(0.85*$B$2)))</f>
        <v>0.001223143615</v>
      </c>
      <c r="W153" s="13">
        <f>V153*(D153*1000)*J153</f>
        <v>125.6963536</v>
      </c>
      <c r="X153" s="13">
        <f>MAX(W153,N153)</f>
        <v>342.55</v>
      </c>
      <c r="Y153" s="14">
        <f>ROUNDUP(X153/$J$2,0)</f>
        <v>2</v>
      </c>
      <c r="Z153" s="13">
        <f>Y153*$J$2</f>
        <v>398</v>
      </c>
      <c r="AA153" s="10">
        <f>0.9*Z153*$D$2*(J153-(Z153*$D$2/(0.85*$B$2*(D153*1000)))/2)/1000000</f>
        <v>49.77351244</v>
      </c>
      <c r="AB153" s="15" t="str">
        <f>IF(AA153&gt;=G153,"CUMPLE","REVISAR")</f>
        <v>CUMPLE</v>
      </c>
      <c r="AC153" s="10">
        <f>0.17*SQRT($B$2)*(D153*1000)*J153/1000</f>
        <v>92.44281538</v>
      </c>
      <c r="AD153" s="10">
        <f>MAX(H153/0.75-AC153,0)</f>
        <v>0</v>
      </c>
      <c r="AE153" s="14">
        <f>IF(AD153&gt;0,MIN($N$2*$D$2*J153/(AD153*1000),MIN(J153/4,6*$H$2,150)),MIN(J153/4,6*$H$2,150))</f>
        <v>85.6375</v>
      </c>
      <c r="AF153" s="10">
        <f>0.66*SQRT($B$2)*(D153*1000)*J153/1000</f>
        <v>358.8956362</v>
      </c>
      <c r="AG153" s="15" t="str">
        <f>IF(AD153&lt;=AF153,"CUMPLE","AUMENTAR SECCION")</f>
        <v>CUMPLE</v>
      </c>
      <c r="AH153" s="10">
        <f>0.75*0.083*SQRT($B$2)*(((D153*1000)*(E153*1000))^2/(2*((D153*1000)+(E153*1000))))/1000000</f>
        <v>3.388073536</v>
      </c>
      <c r="AI153" s="15" t="str">
        <f>IF(I153&gt;AH153,"SI","No")</f>
        <v>No</v>
      </c>
      <c r="AJ153" s="11">
        <f>IF(I153&gt;AH153,I153*1000000/(0.75*2*0.85*((D153*1000-2*$F$2)*(E153*1000-2*$F$2))*$D$2),0)</f>
        <v>0</v>
      </c>
      <c r="AK153" s="10">
        <f>1.25*Q153*$D$2*(J153-(1.25*Q153*$D$2/(0.85*$B$2*(D153*1000)))/2)/1000000</f>
        <v>68.51839235</v>
      </c>
      <c r="AL153" s="10">
        <f>1.25*Z153*$D$2*(J153-(1.25*Z153*$D$2/(0.85*$B$2*(D153*1000)))/2)/1000000</f>
        <v>68.51839235</v>
      </c>
      <c r="AM153" s="10">
        <f>(AK153+AL153)/B153</f>
        <v>36.54314259</v>
      </c>
      <c r="AN153" s="10">
        <f>MAX(H153,AM153)</f>
        <v>36.54314259</v>
      </c>
    </row>
    <row r="154">
      <c r="A154" s="5" t="inlineStr">
        <is>
          <t>F155</t>
        </is>
      </c>
      <c r="B154" s="6" t="n">
        <v>1.5</v>
      </c>
      <c r="C154" s="7" t="inlineStr">
        <is>
          <t>VR</t>
        </is>
      </c>
      <c r="D154" s="8">
        <f>IF(C154="VR",0.35,0.30)</f>
        <v>0.35</v>
      </c>
      <c r="E154" s="6" t="n">
        <v>0.4</v>
      </c>
      <c r="F154" s="9" t="n">
        <v>31</v>
      </c>
      <c r="G154" s="9" t="n">
        <v>28</v>
      </c>
      <c r="H154" s="9" t="n">
        <v>45.3</v>
      </c>
      <c r="I154" s="6" t="n">
        <v>25.02</v>
      </c>
      <c r="J154" s="10">
        <f>E154*1000-$F$2-$L$2-$H$2/2</f>
        <v>342.55</v>
      </c>
      <c r="K154" s="11">
        <f>F154*1000000/(0.9*(D154*1000)*J154^2)</f>
        <v>0.8381522514</v>
      </c>
      <c r="L154" s="12">
        <f>(0.85*$B$2/$D$2)*(1-SQRT(1-2*K154/(0.85*$B$2)))</f>
        <v>0.002032034397</v>
      </c>
      <c r="M154" s="13">
        <f>L154*(D154*1000)*J154</f>
        <v>243.6256839</v>
      </c>
      <c r="N154" s="13">
        <f>MAX(0.25*SQRT($B$2)/$D$2,1.4/$D$2)*(D154*1000)*J154</f>
        <v>399.6416667</v>
      </c>
      <c r="O154" s="13">
        <f>MAX(M154,N154)</f>
        <v>399.6416667</v>
      </c>
      <c r="P154" s="14">
        <f>ROUNDUP(O154/$J$2,0)</f>
        <v>3</v>
      </c>
      <c r="Q154" s="13">
        <f>P154*$J$2</f>
        <v>597</v>
      </c>
      <c r="R154" s="10">
        <f>Q154*$D$2/(0.85*$B$2*(D154*1000))</f>
        <v>30.10084034</v>
      </c>
      <c r="S154" s="10">
        <f>0.9*Q154*$D$2*(J154-R154/2)/1000000</f>
        <v>73.90552018</v>
      </c>
      <c r="T154" s="15" t="str">
        <f>IF(AND(S154&gt;=F154,O154&lt;=0.025*(D154*1000)*J154,O154&gt;=N154),"CUMPLE","REVISAR")</f>
        <v>CUMPLE</v>
      </c>
      <c r="U154" s="11">
        <f>G154*1000000/(0.9*(D154*1000)*J154^2)</f>
        <v>0.7578000181</v>
      </c>
      <c r="V154" s="12">
        <f>(0.85*$B$2/$D$2)*(1-SQRT(1-2*U154/(0.85*$B$2)))</f>
        <v>0.001833962995</v>
      </c>
      <c r="W154" s="13">
        <f>V154*(D154*1000)*J154</f>
        <v>219.8784084</v>
      </c>
      <c r="X154" s="13">
        <f>MAX(W154,N154)</f>
        <v>399.6416667</v>
      </c>
      <c r="Y154" s="14">
        <f>ROUNDUP(X154/$J$2,0)</f>
        <v>3</v>
      </c>
      <c r="Z154" s="13">
        <f>Y154*$J$2</f>
        <v>597</v>
      </c>
      <c r="AA154" s="10">
        <f>0.9*Z154*$D$2*(J154-(Z154*$D$2/(0.85*$B$2*(D154*1000)))/2)/1000000</f>
        <v>73.90552018</v>
      </c>
      <c r="AB154" s="15" t="str">
        <f>IF(AA154&gt;=G154,"CUMPLE","REVISAR")</f>
        <v>CUMPLE</v>
      </c>
      <c r="AC154" s="10">
        <f>0.17*SQRT($B$2)*(D154*1000)*J154/1000</f>
        <v>107.8499513</v>
      </c>
      <c r="AD154" s="10">
        <f>MAX(H154/0.75-AC154,0)</f>
        <v>0</v>
      </c>
      <c r="AE154" s="14">
        <f>IF(AD154&gt;0,MIN($N$2*$D$2*J154/(AD154*1000),MIN(J154/4,6*$H$2,150)),MIN(J154/4,6*$H$2,150))</f>
        <v>85.6375</v>
      </c>
      <c r="AF154" s="10">
        <f>0.66*SQRT($B$2)*(D154*1000)*J154/1000</f>
        <v>418.7115756</v>
      </c>
      <c r="AG154" s="15" t="str">
        <f>IF(AD154&lt;=AF154,"CUMPLE","AUMENTAR SECCION")</f>
        <v>CUMPLE</v>
      </c>
      <c r="AH154" s="10">
        <f>0.75*0.083*SQRT($B$2)*(((D154*1000)*(E154*1000))^2/(2*((D154*1000)+(E154*1000))))/1000000</f>
        <v>4.304108233</v>
      </c>
      <c r="AI154" s="15" t="str">
        <f>IF(I154&gt;AH154,"SI","No")</f>
        <v>SI</v>
      </c>
      <c r="AJ154" s="11">
        <f>IF(I154&gt;AH154,I154*1000000/(0.75*2*0.85*((D154*1000-2*$F$2)*(E154*1000-2*$F$2))*$D$2),0)</f>
        <v>0.54068541</v>
      </c>
      <c r="AK154" s="10">
        <f>1.25*Q154*$D$2*(J154-(1.25*Q154*$D$2/(0.85*$B$2*(D154*1000)))/2)/1000000</f>
        <v>101.4672613</v>
      </c>
      <c r="AL154" s="10">
        <f>1.25*Z154*$D$2*(J154-(1.25*Z154*$D$2/(0.85*$B$2*(D154*1000)))/2)/1000000</f>
        <v>101.4672613</v>
      </c>
      <c r="AM154" s="10">
        <f>(AK154+AL154)/B154</f>
        <v>135.2896818</v>
      </c>
      <c r="AN154" s="10">
        <f>MAX(H154,AM154)</f>
        <v>135.2896818</v>
      </c>
    </row>
    <row r="155">
      <c r="A155" s="5" t="inlineStr">
        <is>
          <t>F156</t>
        </is>
      </c>
      <c r="B155" s="6" t="n">
        <v>1.5</v>
      </c>
      <c r="C155" s="7" t="inlineStr">
        <is>
          <t>VR</t>
        </is>
      </c>
      <c r="D155" s="8">
        <f>IF(C155="VR",0.35,0.30)</f>
        <v>0.35</v>
      </c>
      <c r="E155" s="6" t="n">
        <v>0.4</v>
      </c>
      <c r="F155" s="9" t="n">
        <v>50.4</v>
      </c>
      <c r="G155" s="9" t="n">
        <v>46.9</v>
      </c>
      <c r="H155" s="9" t="n">
        <v>71.8</v>
      </c>
      <c r="I155" s="6" t="n">
        <v>25.7</v>
      </c>
      <c r="J155" s="10">
        <f>E155*1000-$F$2-$L$2-$H$2/2</f>
        <v>342.55</v>
      </c>
      <c r="K155" s="11">
        <f>F155*1000000/(0.9*(D155*1000)*J155^2)</f>
        <v>1.362470864</v>
      </c>
      <c r="L155" s="12">
        <f>(0.85*$B$2/$D$2)*(1-SQRT(1-2*K155/(0.85*$B$2)))</f>
        <v>0.003342561021</v>
      </c>
      <c r="M155" s="13">
        <f>L155*(D155*1000)*J155</f>
        <v>400.7479972</v>
      </c>
      <c r="N155" s="13">
        <f>MAX(0.25*SQRT($B$2)/$D$2,1.4/$D$2)*(D155*1000)*J155</f>
        <v>399.6416667</v>
      </c>
      <c r="O155" s="13">
        <f>MAX(M155,N155)</f>
        <v>400.7479972</v>
      </c>
      <c r="P155" s="14">
        <f>ROUNDUP(O155/$J$2,0)</f>
        <v>3</v>
      </c>
      <c r="Q155" s="13">
        <f>P155*$J$2</f>
        <v>597</v>
      </c>
      <c r="R155" s="10">
        <f>Q155*$D$2/(0.85*$B$2*(D155*1000))</f>
        <v>30.10084034</v>
      </c>
      <c r="S155" s="10">
        <f>0.9*Q155*$D$2*(J155-R155/2)/1000000</f>
        <v>73.90552018</v>
      </c>
      <c r="T155" s="15" t="str">
        <f>IF(AND(S155&gt;=F155,O155&lt;=0.025*(D155*1000)*J155,O155&gt;=N155),"CUMPLE","REVISAR")</f>
        <v>CUMPLE</v>
      </c>
      <c r="U155" s="11">
        <f>G155*1000000/(0.9*(D155*1000)*J155^2)</f>
        <v>1.268861865</v>
      </c>
      <c r="V155" s="12">
        <f>(0.85*$B$2/$D$2)*(1-SQRT(1-2*U155/(0.85*$B$2)))</f>
        <v>0.003106235245</v>
      </c>
      <c r="W155" s="13">
        <f>V155*(D155*1000)*J155</f>
        <v>372.4143091</v>
      </c>
      <c r="X155" s="13">
        <f>MAX(W155,N155)</f>
        <v>399.6416667</v>
      </c>
      <c r="Y155" s="14">
        <f>ROUNDUP(X155/$J$2,0)</f>
        <v>3</v>
      </c>
      <c r="Z155" s="13">
        <f>Y155*$J$2</f>
        <v>597</v>
      </c>
      <c r="AA155" s="10">
        <f>0.9*Z155*$D$2*(J155-(Z155*$D$2/(0.85*$B$2*(D155*1000)))/2)/1000000</f>
        <v>73.90552018</v>
      </c>
      <c r="AB155" s="15" t="str">
        <f>IF(AA155&gt;=G155,"CUMPLE","REVISAR")</f>
        <v>CUMPLE</v>
      </c>
      <c r="AC155" s="10">
        <f>0.17*SQRT($B$2)*(D155*1000)*J155/1000</f>
        <v>107.8499513</v>
      </c>
      <c r="AD155" s="10">
        <f>MAX(H155/0.75-AC155,0)</f>
        <v>0</v>
      </c>
      <c r="AE155" s="14">
        <f>IF(AD155&gt;0,MIN($N$2*$D$2*J155/(AD155*1000),MIN(J155/4,6*$H$2,150)),MIN(J155/4,6*$H$2,150))</f>
        <v>85.6375</v>
      </c>
      <c r="AF155" s="10">
        <f>0.66*SQRT($B$2)*(D155*1000)*J155/1000</f>
        <v>418.7115756</v>
      </c>
      <c r="AG155" s="15" t="str">
        <f>IF(AD155&lt;=AF155,"CUMPLE","AUMENTAR SECCION")</f>
        <v>CUMPLE</v>
      </c>
      <c r="AH155" s="10">
        <f>0.75*0.083*SQRT($B$2)*(((D155*1000)*(E155*1000))^2/(2*((D155*1000)+(E155*1000))))/1000000</f>
        <v>4.304108233</v>
      </c>
      <c r="AI155" s="15" t="str">
        <f>IF(I155&gt;AH155,"SI","No")</f>
        <v>SI</v>
      </c>
      <c r="AJ155" s="11">
        <f>IF(I155&gt;AH155,I155*1000000/(0.75*2*0.85*((D155*1000-2*$F$2)*(E155*1000-2*$F$2))*$D$2),0)</f>
        <v>0.5555771691</v>
      </c>
      <c r="AK155" s="10">
        <f>1.25*Q155*$D$2*(J155-(1.25*Q155*$D$2/(0.85*$B$2*(D155*1000)))/2)/1000000</f>
        <v>101.4672613</v>
      </c>
      <c r="AL155" s="10">
        <f>1.25*Z155*$D$2*(J155-(1.25*Z155*$D$2/(0.85*$B$2*(D155*1000)))/2)/1000000</f>
        <v>101.4672613</v>
      </c>
      <c r="AM155" s="10">
        <f>(AK155+AL155)/B155</f>
        <v>135.2896818</v>
      </c>
      <c r="AN155" s="10">
        <f>MAX(H155,AM155)</f>
        <v>135.2896818</v>
      </c>
    </row>
    <row r="156">
      <c r="A156" s="5" t="inlineStr">
        <is>
          <t>F157</t>
        </is>
      </c>
      <c r="B156" s="6" t="n">
        <v>1.5</v>
      </c>
      <c r="C156" s="7" t="inlineStr">
        <is>
          <t>VR</t>
        </is>
      </c>
      <c r="D156" s="8">
        <f>IF(C156="VR",0.35,0.30)</f>
        <v>0.35</v>
      </c>
      <c r="E156" s="6" t="n">
        <v>0.4</v>
      </c>
      <c r="F156" s="9" t="n">
        <v>31</v>
      </c>
      <c r="G156" s="9" t="n">
        <v>28</v>
      </c>
      <c r="H156" s="9" t="n">
        <v>45.3</v>
      </c>
      <c r="I156" s="6" t="n">
        <v>25.02</v>
      </c>
      <c r="J156" s="10">
        <f>E156*1000-$F$2-$L$2-$H$2/2</f>
        <v>342.55</v>
      </c>
      <c r="K156" s="11">
        <f>F156*1000000/(0.9*(D156*1000)*J156^2)</f>
        <v>0.8381522514</v>
      </c>
      <c r="L156" s="12">
        <f>(0.85*$B$2/$D$2)*(1-SQRT(1-2*K156/(0.85*$B$2)))</f>
        <v>0.002032034397</v>
      </c>
      <c r="M156" s="13">
        <f>L156*(D156*1000)*J156</f>
        <v>243.6256839</v>
      </c>
      <c r="N156" s="13">
        <f>MAX(0.25*SQRT($B$2)/$D$2,1.4/$D$2)*(D156*1000)*J156</f>
        <v>399.6416667</v>
      </c>
      <c r="O156" s="13">
        <f>MAX(M156,N156)</f>
        <v>399.6416667</v>
      </c>
      <c r="P156" s="14">
        <f>ROUNDUP(O156/$J$2,0)</f>
        <v>3</v>
      </c>
      <c r="Q156" s="13">
        <f>P156*$J$2</f>
        <v>597</v>
      </c>
      <c r="R156" s="10">
        <f>Q156*$D$2/(0.85*$B$2*(D156*1000))</f>
        <v>30.10084034</v>
      </c>
      <c r="S156" s="10">
        <f>0.9*Q156*$D$2*(J156-R156/2)/1000000</f>
        <v>73.90552018</v>
      </c>
      <c r="T156" s="15" t="str">
        <f>IF(AND(S156&gt;=F156,O156&lt;=0.025*(D156*1000)*J156,O156&gt;=N156),"CUMPLE","REVISAR")</f>
        <v>CUMPLE</v>
      </c>
      <c r="U156" s="11">
        <f>G156*1000000/(0.9*(D156*1000)*J156^2)</f>
        <v>0.7578000181</v>
      </c>
      <c r="V156" s="12">
        <f>(0.85*$B$2/$D$2)*(1-SQRT(1-2*U156/(0.85*$B$2)))</f>
        <v>0.001833962995</v>
      </c>
      <c r="W156" s="13">
        <f>V156*(D156*1000)*J156</f>
        <v>219.8784084</v>
      </c>
      <c r="X156" s="13">
        <f>MAX(W156,N156)</f>
        <v>399.6416667</v>
      </c>
      <c r="Y156" s="14">
        <f>ROUNDUP(X156/$J$2,0)</f>
        <v>3</v>
      </c>
      <c r="Z156" s="13">
        <f>Y156*$J$2</f>
        <v>597</v>
      </c>
      <c r="AA156" s="10">
        <f>0.9*Z156*$D$2*(J156-(Z156*$D$2/(0.85*$B$2*(D156*1000)))/2)/1000000</f>
        <v>73.90552018</v>
      </c>
      <c r="AB156" s="15" t="str">
        <f>IF(AA156&gt;=G156,"CUMPLE","REVISAR")</f>
        <v>CUMPLE</v>
      </c>
      <c r="AC156" s="10">
        <f>0.17*SQRT($B$2)*(D156*1000)*J156/1000</f>
        <v>107.8499513</v>
      </c>
      <c r="AD156" s="10">
        <f>MAX(H156/0.75-AC156,0)</f>
        <v>0</v>
      </c>
      <c r="AE156" s="14">
        <f>IF(AD156&gt;0,MIN($N$2*$D$2*J156/(AD156*1000),MIN(J156/4,6*$H$2,150)),MIN(J156/4,6*$H$2,150))</f>
        <v>85.6375</v>
      </c>
      <c r="AF156" s="10">
        <f>0.66*SQRT($B$2)*(D156*1000)*J156/1000</f>
        <v>418.7115756</v>
      </c>
      <c r="AG156" s="15" t="str">
        <f>IF(AD156&lt;=AF156,"CUMPLE","AUMENTAR SECCION")</f>
        <v>CUMPLE</v>
      </c>
      <c r="AH156" s="10">
        <f>0.75*0.083*SQRT($B$2)*(((D156*1000)*(E156*1000))^2/(2*((D156*1000)+(E156*1000))))/1000000</f>
        <v>4.304108233</v>
      </c>
      <c r="AI156" s="15" t="str">
        <f>IF(I156&gt;AH156,"SI","No")</f>
        <v>SI</v>
      </c>
      <c r="AJ156" s="11">
        <f>IF(I156&gt;AH156,I156*1000000/(0.75*2*0.85*((D156*1000-2*$F$2)*(E156*1000-2*$F$2))*$D$2),0)</f>
        <v>0.54068541</v>
      </c>
      <c r="AK156" s="10">
        <f>1.25*Q156*$D$2*(J156-(1.25*Q156*$D$2/(0.85*$B$2*(D156*1000)))/2)/1000000</f>
        <v>101.4672613</v>
      </c>
      <c r="AL156" s="10">
        <f>1.25*Z156*$D$2*(J156-(1.25*Z156*$D$2/(0.85*$B$2*(D156*1000)))/2)/1000000</f>
        <v>101.4672613</v>
      </c>
      <c r="AM156" s="10">
        <f>(AK156+AL156)/B156</f>
        <v>135.2896818</v>
      </c>
      <c r="AN156" s="10">
        <f>MAX(H156,AM156)</f>
        <v>135.2896818</v>
      </c>
    </row>
    <row r="157">
      <c r="A157" s="5" t="inlineStr">
        <is>
          <t>F158</t>
        </is>
      </c>
      <c r="B157" s="6" t="n">
        <v>3.75</v>
      </c>
      <c r="C157" s="7" t="inlineStr">
        <is>
          <t>VC</t>
        </is>
      </c>
      <c r="D157" s="8">
        <f>IF(C157="VR",0.35,0.30)</f>
        <v>0.3</v>
      </c>
      <c r="E157" s="6" t="n">
        <v>0.4</v>
      </c>
      <c r="F157" s="9" t="n">
        <v>25</v>
      </c>
      <c r="G157" s="9" t="n">
        <v>16.5</v>
      </c>
      <c r="H157" s="9" t="n">
        <v>21.5</v>
      </c>
      <c r="I157" s="6" t="n">
        <v>0</v>
      </c>
      <c r="J157" s="10">
        <f>E157*1000-$F$2-$L$2-$H$2/2</f>
        <v>342.55</v>
      </c>
      <c r="K157" s="11">
        <f>F157*1000000/(0.9*(D157*1000)*J157^2)</f>
        <v>0.7897244744</v>
      </c>
      <c r="L157" s="12">
        <f>(0.85*$B$2/$D$2)*(1-SQRT(1-2*K157/(0.85*$B$2)))</f>
        <v>0.001912572243</v>
      </c>
      <c r="M157" s="13">
        <f>L157*(D157*1000)*J157</f>
        <v>196.5454866</v>
      </c>
      <c r="N157" s="13">
        <f>MAX(0.25*SQRT($B$2)/$D$2,1.4/$D$2)*(D157*1000)*J157</f>
        <v>342.55</v>
      </c>
      <c r="O157" s="13">
        <f>MAX(M157,N157)</f>
        <v>342.55</v>
      </c>
      <c r="P157" s="14">
        <f>ROUNDUP(O157/$J$2,0)</f>
        <v>2</v>
      </c>
      <c r="Q157" s="13">
        <f>P157*$J$2</f>
        <v>398</v>
      </c>
      <c r="R157" s="10">
        <f>Q157*$D$2/(0.85*$B$2*(D157*1000))</f>
        <v>23.41176471</v>
      </c>
      <c r="S157" s="10">
        <f>0.9*Q157*$D$2*(J157-R157/2)/1000000</f>
        <v>49.77351244</v>
      </c>
      <c r="T157" s="15" t="str">
        <f>IF(AND(S157&gt;=F157,O157&lt;=0.025*(D157*1000)*J157,O157&gt;=N157),"CUMPLE","REVISAR")</f>
        <v>CUMPLE</v>
      </c>
      <c r="U157" s="11">
        <f>G157*1000000/(0.9*(D157*1000)*J157^2)</f>
        <v>0.5217484238</v>
      </c>
      <c r="V157" s="12">
        <f>(0.85*$B$2/$D$2)*(1-SQRT(1-2*U157/(0.85*$B$2)))</f>
        <v>0.001256181613</v>
      </c>
      <c r="W157" s="13">
        <f>V157*(D157*1000)*J157</f>
        <v>129.0915034</v>
      </c>
      <c r="X157" s="13">
        <f>MAX(W157,N157)</f>
        <v>342.55</v>
      </c>
      <c r="Y157" s="14">
        <f>ROUNDUP(X157/$J$2,0)</f>
        <v>2</v>
      </c>
      <c r="Z157" s="13">
        <f>Y157*$J$2</f>
        <v>398</v>
      </c>
      <c r="AA157" s="10">
        <f>0.9*Z157*$D$2*(J157-(Z157*$D$2/(0.85*$B$2*(D157*1000)))/2)/1000000</f>
        <v>49.77351244</v>
      </c>
      <c r="AB157" s="15" t="str">
        <f>IF(AA157&gt;=G157,"CUMPLE","REVISAR")</f>
        <v>CUMPLE</v>
      </c>
      <c r="AC157" s="10">
        <f>0.17*SQRT($B$2)*(D157*1000)*J157/1000</f>
        <v>92.44281538</v>
      </c>
      <c r="AD157" s="10">
        <f>MAX(H157/0.75-AC157,0)</f>
        <v>0</v>
      </c>
      <c r="AE157" s="14">
        <f>IF(AD157&gt;0,MIN($N$2*$D$2*J157/(AD157*1000),MIN(J157/4,6*$H$2,150)),MIN(J157/4,6*$H$2,150))</f>
        <v>85.6375</v>
      </c>
      <c r="AF157" s="10">
        <f>0.66*SQRT($B$2)*(D157*1000)*J157/1000</f>
        <v>358.8956362</v>
      </c>
      <c r="AG157" s="15" t="str">
        <f>IF(AD157&lt;=AF157,"CUMPLE","AUMENTAR SECCION")</f>
        <v>CUMPLE</v>
      </c>
      <c r="AH157" s="10">
        <f>0.75*0.083*SQRT($B$2)*(((D157*1000)*(E157*1000))^2/(2*((D157*1000)+(E157*1000))))/1000000</f>
        <v>3.388073536</v>
      </c>
      <c r="AI157" s="15" t="str">
        <f>IF(I157&gt;AH157,"SI","No")</f>
        <v>No</v>
      </c>
      <c r="AJ157" s="11">
        <f>IF(I157&gt;AH157,I157*1000000/(0.75*2*0.85*((D157*1000-2*$F$2)*(E157*1000-2*$F$2))*$D$2),0)</f>
        <v>0</v>
      </c>
      <c r="AK157" s="10">
        <f>1.25*Q157*$D$2*(J157-(1.25*Q157*$D$2/(0.85*$B$2*(D157*1000)))/2)/1000000</f>
        <v>68.51839235</v>
      </c>
      <c r="AL157" s="10">
        <f>1.25*Z157*$D$2*(J157-(1.25*Z157*$D$2/(0.85*$B$2*(D157*1000)))/2)/1000000</f>
        <v>68.51839235</v>
      </c>
      <c r="AM157" s="10">
        <f>(AK157+AL157)/B157</f>
        <v>36.54314259</v>
      </c>
      <c r="AN157" s="10">
        <f>MAX(H157,AM157)</f>
        <v>36.54314259</v>
      </c>
    </row>
    <row r="158">
      <c r="A158" s="5" t="inlineStr">
        <is>
          <t>F159</t>
        </is>
      </c>
      <c r="B158" s="6" t="n">
        <v>3.75</v>
      </c>
      <c r="C158" s="7" t="inlineStr">
        <is>
          <t>VC</t>
        </is>
      </c>
      <c r="D158" s="8">
        <f>IF(C158="VR",0.35,0.30)</f>
        <v>0.3</v>
      </c>
      <c r="E158" s="6" t="n">
        <v>0.4</v>
      </c>
      <c r="F158" s="9" t="n">
        <v>25</v>
      </c>
      <c r="G158" s="9" t="n">
        <v>16.5</v>
      </c>
      <c r="H158" s="9" t="n">
        <v>21.5</v>
      </c>
      <c r="I158" s="6" t="n">
        <v>0</v>
      </c>
      <c r="J158" s="10">
        <f>E158*1000-$F$2-$L$2-$H$2/2</f>
        <v>342.55</v>
      </c>
      <c r="K158" s="11">
        <f>F158*1000000/(0.9*(D158*1000)*J158^2)</f>
        <v>0.7897244744</v>
      </c>
      <c r="L158" s="12">
        <f>(0.85*$B$2/$D$2)*(1-SQRT(1-2*K158/(0.85*$B$2)))</f>
        <v>0.001912572243</v>
      </c>
      <c r="M158" s="13">
        <f>L158*(D158*1000)*J158</f>
        <v>196.5454866</v>
      </c>
      <c r="N158" s="13">
        <f>MAX(0.25*SQRT($B$2)/$D$2,1.4/$D$2)*(D158*1000)*J158</f>
        <v>342.55</v>
      </c>
      <c r="O158" s="13">
        <f>MAX(M158,N158)</f>
        <v>342.55</v>
      </c>
      <c r="P158" s="14">
        <f>ROUNDUP(O158/$J$2,0)</f>
        <v>2</v>
      </c>
      <c r="Q158" s="13">
        <f>P158*$J$2</f>
        <v>398</v>
      </c>
      <c r="R158" s="10">
        <f>Q158*$D$2/(0.85*$B$2*(D158*1000))</f>
        <v>23.41176471</v>
      </c>
      <c r="S158" s="10">
        <f>0.9*Q158*$D$2*(J158-R158/2)/1000000</f>
        <v>49.77351244</v>
      </c>
      <c r="T158" s="15" t="str">
        <f>IF(AND(S158&gt;=F158,O158&lt;=0.025*(D158*1000)*J158,O158&gt;=N158),"CUMPLE","REVISAR")</f>
        <v>CUMPLE</v>
      </c>
      <c r="U158" s="11">
        <f>G158*1000000/(0.9*(D158*1000)*J158^2)</f>
        <v>0.5217484238</v>
      </c>
      <c r="V158" s="12">
        <f>(0.85*$B$2/$D$2)*(1-SQRT(1-2*U158/(0.85*$B$2)))</f>
        <v>0.001256181613</v>
      </c>
      <c r="W158" s="13">
        <f>V158*(D158*1000)*J158</f>
        <v>129.0915034</v>
      </c>
      <c r="X158" s="13">
        <f>MAX(W158,N158)</f>
        <v>342.55</v>
      </c>
      <c r="Y158" s="14">
        <f>ROUNDUP(X158/$J$2,0)</f>
        <v>2</v>
      </c>
      <c r="Z158" s="13">
        <f>Y158*$J$2</f>
        <v>398</v>
      </c>
      <c r="AA158" s="10">
        <f>0.9*Z158*$D$2*(J158-(Z158*$D$2/(0.85*$B$2*(D158*1000)))/2)/1000000</f>
        <v>49.77351244</v>
      </c>
      <c r="AB158" s="15" t="str">
        <f>IF(AA158&gt;=G158,"CUMPLE","REVISAR")</f>
        <v>CUMPLE</v>
      </c>
      <c r="AC158" s="10">
        <f>0.17*SQRT($B$2)*(D158*1000)*J158/1000</f>
        <v>92.44281538</v>
      </c>
      <c r="AD158" s="10">
        <f>MAX(H158/0.75-AC158,0)</f>
        <v>0</v>
      </c>
      <c r="AE158" s="14">
        <f>IF(AD158&gt;0,MIN($N$2*$D$2*J158/(AD158*1000),MIN(J158/4,6*$H$2,150)),MIN(J158/4,6*$H$2,150))</f>
        <v>85.6375</v>
      </c>
      <c r="AF158" s="10">
        <f>0.66*SQRT($B$2)*(D158*1000)*J158/1000</f>
        <v>358.8956362</v>
      </c>
      <c r="AG158" s="15" t="str">
        <f>IF(AD158&lt;=AF158,"CUMPLE","AUMENTAR SECCION")</f>
        <v>CUMPLE</v>
      </c>
      <c r="AH158" s="10">
        <f>0.75*0.083*SQRT($B$2)*(((D158*1000)*(E158*1000))^2/(2*((D158*1000)+(E158*1000))))/1000000</f>
        <v>3.388073536</v>
      </c>
      <c r="AI158" s="15" t="str">
        <f>IF(I158&gt;AH158,"SI","No")</f>
        <v>No</v>
      </c>
      <c r="AJ158" s="11">
        <f>IF(I158&gt;AH158,I158*1000000/(0.75*2*0.85*((D158*1000-2*$F$2)*(E158*1000-2*$F$2))*$D$2),0)</f>
        <v>0</v>
      </c>
      <c r="AK158" s="10">
        <f>1.25*Q158*$D$2*(J158-(1.25*Q158*$D$2/(0.85*$B$2*(D158*1000)))/2)/1000000</f>
        <v>68.51839235</v>
      </c>
      <c r="AL158" s="10">
        <f>1.25*Z158*$D$2*(J158-(1.25*Z158*$D$2/(0.85*$B$2*(D158*1000)))/2)/1000000</f>
        <v>68.51839235</v>
      </c>
      <c r="AM158" s="10">
        <f>(AK158+AL158)/B158</f>
        <v>36.54314259</v>
      </c>
      <c r="AN158" s="10">
        <f>MAX(H158,AM158)</f>
        <v>36.54314259</v>
      </c>
    </row>
    <row r="159">
      <c r="A159" s="5" t="inlineStr">
        <is>
          <t>F160</t>
        </is>
      </c>
      <c r="B159" s="6" t="n">
        <v>1.5</v>
      </c>
      <c r="C159" s="7" t="inlineStr">
        <is>
          <t>VR</t>
        </is>
      </c>
      <c r="D159" s="8">
        <f>IF(C159="VR",0.35,0.30)</f>
        <v>0.35</v>
      </c>
      <c r="E159" s="6" t="n">
        <v>0.4</v>
      </c>
      <c r="F159" s="9" t="n">
        <v>29.9</v>
      </c>
      <c r="G159" s="9" t="n">
        <v>27</v>
      </c>
      <c r="H159" s="9" t="n">
        <v>43.9</v>
      </c>
      <c r="I159" s="6" t="n">
        <v>21.38</v>
      </c>
      <c r="J159" s="10">
        <f>E159*1000-$F$2-$L$2-$H$2/2</f>
        <v>342.55</v>
      </c>
      <c r="K159" s="11">
        <f>F159*1000000/(0.9*(D159*1000)*J159^2)</f>
        <v>0.8097448962</v>
      </c>
      <c r="L159" s="12">
        <f>(0.85*$B$2/$D$2)*(1-SQRT(1-2*K159/(0.85*$B$2)))</f>
        <v>0.0019619272</v>
      </c>
      <c r="M159" s="13">
        <f>L159*(D159*1000)*J159</f>
        <v>235.2203569</v>
      </c>
      <c r="N159" s="13">
        <f>MAX(0.25*SQRT($B$2)/$D$2,1.4/$D$2)*(D159*1000)*J159</f>
        <v>399.6416667</v>
      </c>
      <c r="O159" s="13">
        <f>MAX(M159,N159)</f>
        <v>399.6416667</v>
      </c>
      <c r="P159" s="14">
        <f>ROUNDUP(O159/$J$2,0)</f>
        <v>3</v>
      </c>
      <c r="Q159" s="13">
        <f>P159*$J$2</f>
        <v>597</v>
      </c>
      <c r="R159" s="10">
        <f>Q159*$D$2/(0.85*$B$2*(D159*1000))</f>
        <v>30.10084034</v>
      </c>
      <c r="S159" s="10">
        <f>0.9*Q159*$D$2*(J159-R159/2)/1000000</f>
        <v>73.90552018</v>
      </c>
      <c r="T159" s="15" t="str">
        <f>IF(AND(S159&gt;=F159,O159&lt;=0.025*(D159*1000)*J159,O159&gt;=N159),"CUMPLE","REVISAR")</f>
        <v>CUMPLE</v>
      </c>
      <c r="U159" s="11">
        <f>G159*1000000/(0.9*(D159*1000)*J159^2)</f>
        <v>0.7293926629</v>
      </c>
      <c r="V159" s="12">
        <f>(0.85*$B$2/$D$2)*(1-SQRT(1-2*U159/(0.85*$B$2)))</f>
        <v>0.001764108723</v>
      </c>
      <c r="W159" s="13">
        <f>V159*(D159*1000)*J159</f>
        <v>211.5034051</v>
      </c>
      <c r="X159" s="13">
        <f>MAX(W159,N159)</f>
        <v>399.6416667</v>
      </c>
      <c r="Y159" s="14">
        <f>ROUNDUP(X159/$J$2,0)</f>
        <v>3</v>
      </c>
      <c r="Z159" s="13">
        <f>Y159*$J$2</f>
        <v>597</v>
      </c>
      <c r="AA159" s="10">
        <f>0.9*Z159*$D$2*(J159-(Z159*$D$2/(0.85*$B$2*(D159*1000)))/2)/1000000</f>
        <v>73.90552018</v>
      </c>
      <c r="AB159" s="15" t="str">
        <f>IF(AA159&gt;=G159,"CUMPLE","REVISAR")</f>
        <v>CUMPLE</v>
      </c>
      <c r="AC159" s="10">
        <f>0.17*SQRT($B$2)*(D159*1000)*J159/1000</f>
        <v>107.8499513</v>
      </c>
      <c r="AD159" s="10">
        <f>MAX(H159/0.75-AC159,0)</f>
        <v>0</v>
      </c>
      <c r="AE159" s="14">
        <f>IF(AD159&gt;0,MIN($N$2*$D$2*J159/(AD159*1000),MIN(J159/4,6*$H$2,150)),MIN(J159/4,6*$H$2,150))</f>
        <v>85.6375</v>
      </c>
      <c r="AF159" s="10">
        <f>0.66*SQRT($B$2)*(D159*1000)*J159/1000</f>
        <v>418.7115756</v>
      </c>
      <c r="AG159" s="15" t="str">
        <f>IF(AD159&lt;=AF159,"CUMPLE","AUMENTAR SECCION")</f>
        <v>CUMPLE</v>
      </c>
      <c r="AH159" s="10">
        <f>0.75*0.083*SQRT($B$2)*(((D159*1000)*(E159*1000))^2/(2*((D159*1000)+(E159*1000))))/1000000</f>
        <v>4.304108233</v>
      </c>
      <c r="AI159" s="15" t="str">
        <f>IF(I159&gt;AH159,"SI","No")</f>
        <v>SI</v>
      </c>
      <c r="AJ159" s="11">
        <f>IF(I159&gt;AH159,I159*1000000/(0.75*2*0.85*((D159*1000-2*$F$2)*(E159*1000-2*$F$2))*$D$2),0)</f>
        <v>0.4620551924</v>
      </c>
      <c r="AK159" s="10">
        <f>1.25*Q159*$D$2*(J159-(1.25*Q159*$D$2/(0.85*$B$2*(D159*1000)))/2)/1000000</f>
        <v>101.4672613</v>
      </c>
      <c r="AL159" s="10">
        <f>1.25*Z159*$D$2*(J159-(1.25*Z159*$D$2/(0.85*$B$2*(D159*1000)))/2)/1000000</f>
        <v>101.4672613</v>
      </c>
      <c r="AM159" s="10">
        <f>(AK159+AL159)/B159</f>
        <v>135.2896818</v>
      </c>
      <c r="AN159" s="10">
        <f>MAX(H159,AM159)</f>
        <v>135.2896818</v>
      </c>
    </row>
    <row r="160">
      <c r="A160" s="5" t="inlineStr">
        <is>
          <t>F161</t>
        </is>
      </c>
      <c r="B160" s="6" t="n">
        <v>1.5</v>
      </c>
      <c r="C160" s="7" t="inlineStr">
        <is>
          <t>VR</t>
        </is>
      </c>
      <c r="D160" s="8">
        <f>IF(C160="VR",0.35,0.30)</f>
        <v>0.35</v>
      </c>
      <c r="E160" s="6" t="n">
        <v>0.4</v>
      </c>
      <c r="F160" s="9" t="n">
        <v>49.9</v>
      </c>
      <c r="G160" s="9" t="n">
        <v>46.4</v>
      </c>
      <c r="H160" s="9" t="n">
        <v>71.09999999999999</v>
      </c>
      <c r="I160" s="6" t="n">
        <v>20.47</v>
      </c>
      <c r="J160" s="10">
        <f>E160*1000-$F$2-$L$2-$H$2/2</f>
        <v>342.55</v>
      </c>
      <c r="K160" s="11">
        <f>F160*1000000/(0.9*(D160*1000)*J160^2)</f>
        <v>1.348673006</v>
      </c>
      <c r="L160" s="12">
        <f>(0.85*$B$2/$D$2)*(1-SQRT(1-2*K160/(0.85*$B$2)))</f>
        <v>0.003307661105</v>
      </c>
      <c r="M160" s="13">
        <f>L160*(D160*1000)*J160</f>
        <v>396.563759</v>
      </c>
      <c r="N160" s="13">
        <f>MAX(0.25*SQRT($B$2)/$D$2,1.4/$D$2)*(D160*1000)*J160</f>
        <v>399.6416667</v>
      </c>
      <c r="O160" s="13">
        <f>MAX(M160,N160)</f>
        <v>399.6416667</v>
      </c>
      <c r="P160" s="14">
        <f>ROUNDUP(O160/$J$2,0)</f>
        <v>3</v>
      </c>
      <c r="Q160" s="13">
        <f>P160*$J$2</f>
        <v>597</v>
      </c>
      <c r="R160" s="10">
        <f>Q160*$D$2/(0.85*$B$2*(D160*1000))</f>
        <v>30.10084034</v>
      </c>
      <c r="S160" s="10">
        <f>0.9*Q160*$D$2*(J160-R160/2)/1000000</f>
        <v>73.90552018</v>
      </c>
      <c r="T160" s="15" t="str">
        <f>IF(AND(S160&gt;=F160,O160&lt;=0.025*(D160*1000)*J160,O160&gt;=N160),"CUMPLE","REVISAR")</f>
        <v>CUMPLE</v>
      </c>
      <c r="U160" s="11">
        <f>G160*1000000/(0.9*(D160*1000)*J160^2)</f>
        <v>1.254793461</v>
      </c>
      <c r="V160" s="12">
        <f>(0.85*$B$2/$D$2)*(1-SQRT(1-2*U160/(0.85*$B$2)))</f>
        <v>0.003070808149</v>
      </c>
      <c r="W160" s="13">
        <f>V160*(D160*1000)*J160</f>
        <v>368.166866</v>
      </c>
      <c r="X160" s="13">
        <f>MAX(W160,N160)</f>
        <v>399.6416667</v>
      </c>
      <c r="Y160" s="14">
        <f>ROUNDUP(X160/$J$2,0)</f>
        <v>3</v>
      </c>
      <c r="Z160" s="13">
        <f>Y160*$J$2</f>
        <v>597</v>
      </c>
      <c r="AA160" s="10">
        <f>0.9*Z160*$D$2*(J160-(Z160*$D$2/(0.85*$B$2*(D160*1000)))/2)/1000000</f>
        <v>73.90552018</v>
      </c>
      <c r="AB160" s="15" t="str">
        <f>IF(AA160&gt;=G160,"CUMPLE","REVISAR")</f>
        <v>CUMPLE</v>
      </c>
      <c r="AC160" s="10">
        <f>0.17*SQRT($B$2)*(D160*1000)*J160/1000</f>
        <v>107.8499513</v>
      </c>
      <c r="AD160" s="10">
        <f>MAX(H160/0.75-AC160,0)</f>
        <v>0</v>
      </c>
      <c r="AE160" s="14">
        <f>IF(AD160&gt;0,MIN($N$2*$D$2*J160/(AD160*1000),MIN(J160/4,6*$H$2,150)),MIN(J160/4,6*$H$2,150))</f>
        <v>85.6375</v>
      </c>
      <c r="AF160" s="10">
        <f>0.66*SQRT($B$2)*(D160*1000)*J160/1000</f>
        <v>418.7115756</v>
      </c>
      <c r="AG160" s="15" t="str">
        <f>IF(AD160&lt;=AF160,"CUMPLE","AUMENTAR SECCION")</f>
        <v>CUMPLE</v>
      </c>
      <c r="AH160" s="10">
        <f>0.75*0.083*SQRT($B$2)*(((D160*1000)*(E160*1000))^2/(2*((D160*1000)+(E160*1000))))/1000000</f>
        <v>4.304108233</v>
      </c>
      <c r="AI160" s="15" t="str">
        <f>IF(I160&gt;AH160,"SI","No")</f>
        <v>SI</v>
      </c>
      <c r="AJ160" s="11">
        <f>IF(I160&gt;AH160,I160*1000000/(0.75*2*0.85*((D160*1000-2*$F$2)*(E160*1000-2*$F$2))*$D$2),0)</f>
        <v>0.4423436041</v>
      </c>
      <c r="AK160" s="10">
        <f>1.25*Q160*$D$2*(J160-(1.25*Q160*$D$2/(0.85*$B$2*(D160*1000)))/2)/1000000</f>
        <v>101.4672613</v>
      </c>
      <c r="AL160" s="10">
        <f>1.25*Z160*$D$2*(J160-(1.25*Z160*$D$2/(0.85*$B$2*(D160*1000)))/2)/1000000</f>
        <v>101.4672613</v>
      </c>
      <c r="AM160" s="10">
        <f>(AK160+AL160)/B160</f>
        <v>135.2896818</v>
      </c>
      <c r="AN160" s="10">
        <f>MAX(H160,AM160)</f>
        <v>135.2896818</v>
      </c>
    </row>
    <row r="161">
      <c r="A161" s="5" t="inlineStr">
        <is>
          <t>F162</t>
        </is>
      </c>
      <c r="B161" s="6" t="n">
        <v>1.5</v>
      </c>
      <c r="C161" s="7" t="inlineStr">
        <is>
          <t>VR</t>
        </is>
      </c>
      <c r="D161" s="8">
        <f>IF(C161="VR",0.35,0.30)</f>
        <v>0.35</v>
      </c>
      <c r="E161" s="6" t="n">
        <v>0.4</v>
      </c>
      <c r="F161" s="9" t="n">
        <v>29.9</v>
      </c>
      <c r="G161" s="9" t="n">
        <v>27</v>
      </c>
      <c r="H161" s="9" t="n">
        <v>43.9</v>
      </c>
      <c r="I161" s="6" t="n">
        <v>21.38</v>
      </c>
      <c r="J161" s="10">
        <f>E161*1000-$F$2-$L$2-$H$2/2</f>
        <v>342.55</v>
      </c>
      <c r="K161" s="11">
        <f>F161*1000000/(0.9*(D161*1000)*J161^2)</f>
        <v>0.8097448962</v>
      </c>
      <c r="L161" s="12">
        <f>(0.85*$B$2/$D$2)*(1-SQRT(1-2*K161/(0.85*$B$2)))</f>
        <v>0.0019619272</v>
      </c>
      <c r="M161" s="13">
        <f>L161*(D161*1000)*J161</f>
        <v>235.2203569</v>
      </c>
      <c r="N161" s="13">
        <f>MAX(0.25*SQRT($B$2)/$D$2,1.4/$D$2)*(D161*1000)*J161</f>
        <v>399.6416667</v>
      </c>
      <c r="O161" s="13">
        <f>MAX(M161,N161)</f>
        <v>399.6416667</v>
      </c>
      <c r="P161" s="14">
        <f>ROUNDUP(O161/$J$2,0)</f>
        <v>3</v>
      </c>
      <c r="Q161" s="13">
        <f>P161*$J$2</f>
        <v>597</v>
      </c>
      <c r="R161" s="10">
        <f>Q161*$D$2/(0.85*$B$2*(D161*1000))</f>
        <v>30.10084034</v>
      </c>
      <c r="S161" s="10">
        <f>0.9*Q161*$D$2*(J161-R161/2)/1000000</f>
        <v>73.90552018</v>
      </c>
      <c r="T161" s="15" t="str">
        <f>IF(AND(S161&gt;=F161,O161&lt;=0.025*(D161*1000)*J161,O161&gt;=N161),"CUMPLE","REVISAR")</f>
        <v>CUMPLE</v>
      </c>
      <c r="U161" s="11">
        <f>G161*1000000/(0.9*(D161*1000)*J161^2)</f>
        <v>0.7293926629</v>
      </c>
      <c r="V161" s="12">
        <f>(0.85*$B$2/$D$2)*(1-SQRT(1-2*U161/(0.85*$B$2)))</f>
        <v>0.001764108723</v>
      </c>
      <c r="W161" s="13">
        <f>V161*(D161*1000)*J161</f>
        <v>211.5034051</v>
      </c>
      <c r="X161" s="13">
        <f>MAX(W161,N161)</f>
        <v>399.6416667</v>
      </c>
      <c r="Y161" s="14">
        <f>ROUNDUP(X161/$J$2,0)</f>
        <v>3</v>
      </c>
      <c r="Z161" s="13">
        <f>Y161*$J$2</f>
        <v>597</v>
      </c>
      <c r="AA161" s="10">
        <f>0.9*Z161*$D$2*(J161-(Z161*$D$2/(0.85*$B$2*(D161*1000)))/2)/1000000</f>
        <v>73.90552018</v>
      </c>
      <c r="AB161" s="15" t="str">
        <f>IF(AA161&gt;=G161,"CUMPLE","REVISAR")</f>
        <v>CUMPLE</v>
      </c>
      <c r="AC161" s="10">
        <f>0.17*SQRT($B$2)*(D161*1000)*J161/1000</f>
        <v>107.8499513</v>
      </c>
      <c r="AD161" s="10">
        <f>MAX(H161/0.75-AC161,0)</f>
        <v>0</v>
      </c>
      <c r="AE161" s="14">
        <f>IF(AD161&gt;0,MIN($N$2*$D$2*J161/(AD161*1000),MIN(J161/4,6*$H$2,150)),MIN(J161/4,6*$H$2,150))</f>
        <v>85.6375</v>
      </c>
      <c r="AF161" s="10">
        <f>0.66*SQRT($B$2)*(D161*1000)*J161/1000</f>
        <v>418.7115756</v>
      </c>
      <c r="AG161" s="15" t="str">
        <f>IF(AD161&lt;=AF161,"CUMPLE","AUMENTAR SECCION")</f>
        <v>CUMPLE</v>
      </c>
      <c r="AH161" s="10">
        <f>0.75*0.083*SQRT($B$2)*(((D161*1000)*(E161*1000))^2/(2*((D161*1000)+(E161*1000))))/1000000</f>
        <v>4.304108233</v>
      </c>
      <c r="AI161" s="15" t="str">
        <f>IF(I161&gt;AH161,"SI","No")</f>
        <v>SI</v>
      </c>
      <c r="AJ161" s="11">
        <f>IF(I161&gt;AH161,I161*1000000/(0.75*2*0.85*((D161*1000-2*$F$2)*(E161*1000-2*$F$2))*$D$2),0)</f>
        <v>0.4620335789</v>
      </c>
      <c r="AK161" s="10">
        <f>1.25*Q161*$D$2*(J161-(1.25*Q161*$D$2/(0.85*$B$2*(D161*1000)))/2)/1000000</f>
        <v>101.4672613</v>
      </c>
      <c r="AL161" s="10">
        <f>1.25*Z161*$D$2*(J161-(1.25*Z161*$D$2/(0.85*$B$2*(D161*1000)))/2)/1000000</f>
        <v>101.4672613</v>
      </c>
      <c r="AM161" s="10">
        <f>(AK161+AL161)/B161</f>
        <v>135.2896818</v>
      </c>
      <c r="AN161" s="10">
        <f>MAX(H161,AM161)</f>
        <v>135.2896818</v>
      </c>
    </row>
    <row r="162">
      <c r="A162" s="5" t="inlineStr">
        <is>
          <t>F163</t>
        </is>
      </c>
      <c r="B162" s="6" t="n">
        <v>3.75</v>
      </c>
      <c r="C162" s="7" t="inlineStr">
        <is>
          <t>VC</t>
        </is>
      </c>
      <c r="D162" s="8">
        <f>IF(C162="VR",0.35,0.30)</f>
        <v>0.3</v>
      </c>
      <c r="E162" s="6" t="n">
        <v>0.4</v>
      </c>
      <c r="F162" s="9" t="n">
        <v>21.4</v>
      </c>
      <c r="G162" s="9" t="n">
        <v>13.4</v>
      </c>
      <c r="H162" s="9" t="n">
        <v>20.1</v>
      </c>
      <c r="I162" s="6" t="n">
        <v>0</v>
      </c>
      <c r="J162" s="10">
        <f>E162*1000-$F$2-$L$2-$H$2/2</f>
        <v>342.55</v>
      </c>
      <c r="K162" s="11">
        <f>F162*1000000/(0.9*(D162*1000)*J162^2)</f>
        <v>0.6748325045</v>
      </c>
      <c r="L162" s="12">
        <f>(0.85*$B$2/$D$2)*(1-SQRT(1-2*K162/(0.85*$B$2)))</f>
        <v>0.001630192841</v>
      </c>
      <c r="M162" s="13">
        <f>L162*(D162*1000)*J162</f>
        <v>167.5267673</v>
      </c>
      <c r="N162" s="13">
        <f>MAX(0.25*SQRT($B$2)/$D$2,1.4/$D$2)*(D162*1000)*J162</f>
        <v>342.55</v>
      </c>
      <c r="O162" s="13">
        <f>MAX(M162,N162)</f>
        <v>342.55</v>
      </c>
      <c r="P162" s="14">
        <f>ROUNDUP(O162/$J$2,0)</f>
        <v>2</v>
      </c>
      <c r="Q162" s="13">
        <f>P162*$J$2</f>
        <v>398</v>
      </c>
      <c r="R162" s="10">
        <f>Q162*$D$2/(0.85*$B$2*(D162*1000))</f>
        <v>23.41176471</v>
      </c>
      <c r="S162" s="10">
        <f>0.9*Q162*$D$2*(J162-R162/2)/1000000</f>
        <v>49.77351244</v>
      </c>
      <c r="T162" s="15" t="str">
        <f>IF(AND(S162&gt;=F162,O162&lt;=0.025*(D162*1000)*J162,O162&gt;=N162),"CUMPLE","REVISAR")</f>
        <v>CUMPLE</v>
      </c>
      <c r="U162" s="11">
        <f>G162*1000000/(0.9*(D162*1000)*J162^2)</f>
        <v>0.4226383179</v>
      </c>
      <c r="V162" s="12">
        <f>(0.85*$B$2/$D$2)*(1-SQRT(1-2*U162/(0.85*$B$2)))</f>
        <v>0.001015378714</v>
      </c>
      <c r="W162" s="13">
        <f>V162*(D162*1000)*J162</f>
        <v>104.3453936</v>
      </c>
      <c r="X162" s="13">
        <f>MAX(W162,N162)</f>
        <v>342.55</v>
      </c>
      <c r="Y162" s="14">
        <f>ROUNDUP(X162/$J$2,0)</f>
        <v>2</v>
      </c>
      <c r="Z162" s="13">
        <f>Y162*$J$2</f>
        <v>398</v>
      </c>
      <c r="AA162" s="10">
        <f>0.9*Z162*$D$2*(J162-(Z162*$D$2/(0.85*$B$2*(D162*1000)))/2)/1000000</f>
        <v>49.77351244</v>
      </c>
      <c r="AB162" s="15" t="str">
        <f>IF(AA162&gt;=G162,"CUMPLE","REVISAR")</f>
        <v>CUMPLE</v>
      </c>
      <c r="AC162" s="10">
        <f>0.17*SQRT($B$2)*(D162*1000)*J162/1000</f>
        <v>92.44281538</v>
      </c>
      <c r="AD162" s="10">
        <f>MAX(H162/0.75-AC162,0)</f>
        <v>0</v>
      </c>
      <c r="AE162" s="14">
        <f>IF(AD162&gt;0,MIN($N$2*$D$2*J162/(AD162*1000),MIN(J162/4,6*$H$2,150)),MIN(J162/4,6*$H$2,150))</f>
        <v>85.6375</v>
      </c>
      <c r="AF162" s="10">
        <f>0.66*SQRT($B$2)*(D162*1000)*J162/1000</f>
        <v>358.8956362</v>
      </c>
      <c r="AG162" s="15" t="str">
        <f>IF(AD162&lt;=AF162,"CUMPLE","AUMENTAR SECCION")</f>
        <v>CUMPLE</v>
      </c>
      <c r="AH162" s="10">
        <f>0.75*0.083*SQRT($B$2)*(((D162*1000)*(E162*1000))^2/(2*((D162*1000)+(E162*1000))))/1000000</f>
        <v>3.388073536</v>
      </c>
      <c r="AI162" s="15" t="str">
        <f>IF(I162&gt;AH162,"SI","No")</f>
        <v>No</v>
      </c>
      <c r="AJ162" s="11">
        <f>IF(I162&gt;AH162,I162*1000000/(0.75*2*0.85*((D162*1000-2*$F$2)*(E162*1000-2*$F$2))*$D$2),0)</f>
        <v>0</v>
      </c>
      <c r="AK162" s="10">
        <f>1.25*Q162*$D$2*(J162-(1.25*Q162*$D$2/(0.85*$B$2*(D162*1000)))/2)/1000000</f>
        <v>68.51839235</v>
      </c>
      <c r="AL162" s="10">
        <f>1.25*Z162*$D$2*(J162-(1.25*Z162*$D$2/(0.85*$B$2*(D162*1000)))/2)/1000000</f>
        <v>68.51839235</v>
      </c>
      <c r="AM162" s="10">
        <f>(AK162+AL162)/B162</f>
        <v>36.54314259</v>
      </c>
      <c r="AN162" s="10">
        <f>MAX(H162,AM162)</f>
        <v>36.54314259</v>
      </c>
    </row>
    <row r="163">
      <c r="A163" s="5" t="inlineStr">
        <is>
          <t>F164</t>
        </is>
      </c>
      <c r="B163" s="6" t="n">
        <v>3.75</v>
      </c>
      <c r="C163" s="7" t="inlineStr">
        <is>
          <t>VC</t>
        </is>
      </c>
      <c r="D163" s="8">
        <f>IF(C163="VR",0.35,0.30)</f>
        <v>0.3</v>
      </c>
      <c r="E163" s="6" t="n">
        <v>0.4</v>
      </c>
      <c r="F163" s="9" t="n">
        <v>21.4</v>
      </c>
      <c r="G163" s="9" t="n">
        <v>13.4</v>
      </c>
      <c r="H163" s="9" t="n">
        <v>20.1</v>
      </c>
      <c r="I163" s="6" t="n">
        <v>0</v>
      </c>
      <c r="J163" s="10">
        <f>E163*1000-$F$2-$L$2-$H$2/2</f>
        <v>342.55</v>
      </c>
      <c r="K163" s="11">
        <f>F163*1000000/(0.9*(D163*1000)*J163^2)</f>
        <v>0.6748325045</v>
      </c>
      <c r="L163" s="12">
        <f>(0.85*$B$2/$D$2)*(1-SQRT(1-2*K163/(0.85*$B$2)))</f>
        <v>0.001630192841</v>
      </c>
      <c r="M163" s="13">
        <f>L163*(D163*1000)*J163</f>
        <v>167.5267673</v>
      </c>
      <c r="N163" s="13">
        <f>MAX(0.25*SQRT($B$2)/$D$2,1.4/$D$2)*(D163*1000)*J163</f>
        <v>342.55</v>
      </c>
      <c r="O163" s="13">
        <f>MAX(M163,N163)</f>
        <v>342.55</v>
      </c>
      <c r="P163" s="14">
        <f>ROUNDUP(O163/$J$2,0)</f>
        <v>2</v>
      </c>
      <c r="Q163" s="13">
        <f>P163*$J$2</f>
        <v>398</v>
      </c>
      <c r="R163" s="10">
        <f>Q163*$D$2/(0.85*$B$2*(D163*1000))</f>
        <v>23.41176471</v>
      </c>
      <c r="S163" s="10">
        <f>0.9*Q163*$D$2*(J163-R163/2)/1000000</f>
        <v>49.77351244</v>
      </c>
      <c r="T163" s="15" t="str">
        <f>IF(AND(S163&gt;=F163,O163&lt;=0.025*(D163*1000)*J163,O163&gt;=N163),"CUMPLE","REVISAR")</f>
        <v>CUMPLE</v>
      </c>
      <c r="U163" s="11">
        <f>G163*1000000/(0.9*(D163*1000)*J163^2)</f>
        <v>0.4226383179</v>
      </c>
      <c r="V163" s="12">
        <f>(0.85*$B$2/$D$2)*(1-SQRT(1-2*U163/(0.85*$B$2)))</f>
        <v>0.001015378714</v>
      </c>
      <c r="W163" s="13">
        <f>V163*(D163*1000)*J163</f>
        <v>104.3453936</v>
      </c>
      <c r="X163" s="13">
        <f>MAX(W163,N163)</f>
        <v>342.55</v>
      </c>
      <c r="Y163" s="14">
        <f>ROUNDUP(X163/$J$2,0)</f>
        <v>2</v>
      </c>
      <c r="Z163" s="13">
        <f>Y163*$J$2</f>
        <v>398</v>
      </c>
      <c r="AA163" s="10">
        <f>0.9*Z163*$D$2*(J163-(Z163*$D$2/(0.85*$B$2*(D163*1000)))/2)/1000000</f>
        <v>49.77351244</v>
      </c>
      <c r="AB163" s="15" t="str">
        <f>IF(AA163&gt;=G163,"CUMPLE","REVISAR")</f>
        <v>CUMPLE</v>
      </c>
      <c r="AC163" s="10">
        <f>0.17*SQRT($B$2)*(D163*1000)*J163/1000</f>
        <v>92.44281538</v>
      </c>
      <c r="AD163" s="10">
        <f>MAX(H163/0.75-AC163,0)</f>
        <v>0</v>
      </c>
      <c r="AE163" s="14">
        <f>IF(AD163&gt;0,MIN($N$2*$D$2*J163/(AD163*1000),MIN(J163/4,6*$H$2,150)),MIN(J163/4,6*$H$2,150))</f>
        <v>85.6375</v>
      </c>
      <c r="AF163" s="10">
        <f>0.66*SQRT($B$2)*(D163*1000)*J163/1000</f>
        <v>358.8956362</v>
      </c>
      <c r="AG163" s="15" t="str">
        <f>IF(AD163&lt;=AF163,"CUMPLE","AUMENTAR SECCION")</f>
        <v>CUMPLE</v>
      </c>
      <c r="AH163" s="10">
        <f>0.75*0.083*SQRT($B$2)*(((D163*1000)*(E163*1000))^2/(2*((D163*1000)+(E163*1000))))/1000000</f>
        <v>3.388073536</v>
      </c>
      <c r="AI163" s="15" t="str">
        <f>IF(I163&gt;AH163,"SI","No")</f>
        <v>No</v>
      </c>
      <c r="AJ163" s="11">
        <f>IF(I163&gt;AH163,I163*1000000/(0.75*2*0.85*((D163*1000-2*$F$2)*(E163*1000-2*$F$2))*$D$2),0)</f>
        <v>0</v>
      </c>
      <c r="AK163" s="10">
        <f>1.25*Q163*$D$2*(J163-(1.25*Q163*$D$2/(0.85*$B$2*(D163*1000)))/2)/1000000</f>
        <v>68.51839235</v>
      </c>
      <c r="AL163" s="10">
        <f>1.25*Z163*$D$2*(J163-(1.25*Z163*$D$2/(0.85*$B$2*(D163*1000)))/2)/1000000</f>
        <v>68.51839235</v>
      </c>
      <c r="AM163" s="10">
        <f>(AK163+AL163)/B163</f>
        <v>36.54314259</v>
      </c>
      <c r="AN163" s="10">
        <f>MAX(H163,AM163)</f>
        <v>36.54314259</v>
      </c>
    </row>
    <row r="164">
      <c r="A164" s="5" t="inlineStr">
        <is>
          <t>F165</t>
        </is>
      </c>
      <c r="B164" s="6" t="n">
        <v>1.5</v>
      </c>
      <c r="C164" s="7" t="inlineStr">
        <is>
          <t>VR</t>
        </is>
      </c>
      <c r="D164" s="8">
        <f>IF(C164="VR",0.35,0.30)</f>
        <v>0.35</v>
      </c>
      <c r="E164" s="6" t="n">
        <v>0.4</v>
      </c>
      <c r="F164" s="9" t="n">
        <v>33.7</v>
      </c>
      <c r="G164" s="9" t="n">
        <v>30.8</v>
      </c>
      <c r="H164" s="9" t="n">
        <v>48.9</v>
      </c>
      <c r="I164" s="6" t="n">
        <v>16.23</v>
      </c>
      <c r="J164" s="10">
        <f>E164*1000-$F$2-$L$2-$H$2/2</f>
        <v>342.55</v>
      </c>
      <c r="K164" s="11">
        <f>F164*1000000/(0.9*(D164*1000)*J164^2)</f>
        <v>0.9122819211</v>
      </c>
      <c r="L164" s="12">
        <f>(0.85*$B$2/$D$2)*(1-SQRT(1-2*K164/(0.85*$B$2)))</f>
        <v>0.0022154059</v>
      </c>
      <c r="M164" s="13">
        <f>L164*(D164*1000)*J164</f>
        <v>265.6105519</v>
      </c>
      <c r="N164" s="13">
        <f>MAX(0.25*SQRT($B$2)/$D$2,1.4/$D$2)*(D164*1000)*J164</f>
        <v>399.6416667</v>
      </c>
      <c r="O164" s="13">
        <f>MAX(M164,N164)</f>
        <v>399.6416667</v>
      </c>
      <c r="P164" s="14">
        <f>ROUNDUP(O164/$J$2,0)</f>
        <v>3</v>
      </c>
      <c r="Q164" s="13">
        <f>P164*$J$2</f>
        <v>597</v>
      </c>
      <c r="R164" s="10">
        <f>Q164*$D$2/(0.85*$B$2*(D164*1000))</f>
        <v>30.10084034</v>
      </c>
      <c r="S164" s="10">
        <f>0.9*Q164*$D$2*(J164-R164/2)/1000000</f>
        <v>73.90552018</v>
      </c>
      <c r="T164" s="15" t="str">
        <f>IF(AND(S164&gt;=F164,O164&lt;=0.025*(D164*1000)*J164,O164&gt;=N164),"CUMPLE","REVISAR")</f>
        <v>CUMPLE</v>
      </c>
      <c r="U164" s="11">
        <f>G164*1000000/(0.9*(D164*1000)*J164^2)</f>
        <v>0.8319296879</v>
      </c>
      <c r="V164" s="12">
        <f>(0.85*$B$2/$D$2)*(1-SQRT(1-2*U164/(0.85*$B$2)))</f>
        <v>0.00201666989</v>
      </c>
      <c r="W164" s="13">
        <f>V164*(D164*1000)*J164</f>
        <v>241.7835948</v>
      </c>
      <c r="X164" s="13">
        <f>MAX(W164,N164)</f>
        <v>399.6416667</v>
      </c>
      <c r="Y164" s="14">
        <f>ROUNDUP(X164/$J$2,0)</f>
        <v>3</v>
      </c>
      <c r="Z164" s="13">
        <f>Y164*$J$2</f>
        <v>597</v>
      </c>
      <c r="AA164" s="10">
        <f>0.9*Z164*$D$2*(J164-(Z164*$D$2/(0.85*$B$2*(D164*1000)))/2)/1000000</f>
        <v>73.90552018</v>
      </c>
      <c r="AB164" s="15" t="str">
        <f>IF(AA164&gt;=G164,"CUMPLE","REVISAR")</f>
        <v>CUMPLE</v>
      </c>
      <c r="AC164" s="10">
        <f>0.17*SQRT($B$2)*(D164*1000)*J164/1000</f>
        <v>107.8499513</v>
      </c>
      <c r="AD164" s="10">
        <f>MAX(H164/0.75-AC164,0)</f>
        <v>0</v>
      </c>
      <c r="AE164" s="14">
        <f>IF(AD164&gt;0,MIN($N$2*$D$2*J164/(AD164*1000),MIN(J164/4,6*$H$2,150)),MIN(J164/4,6*$H$2,150))</f>
        <v>85.6375</v>
      </c>
      <c r="AF164" s="10">
        <f>0.66*SQRT($B$2)*(D164*1000)*J164/1000</f>
        <v>418.7115756</v>
      </c>
      <c r="AG164" s="15" t="str">
        <f>IF(AD164&lt;=AF164,"CUMPLE","AUMENTAR SECCION")</f>
        <v>CUMPLE</v>
      </c>
      <c r="AH164" s="10">
        <f>0.75*0.083*SQRT($B$2)*(((D164*1000)*(E164*1000))^2/(2*((D164*1000)+(E164*1000))))/1000000</f>
        <v>4.304108233</v>
      </c>
      <c r="AI164" s="15" t="str">
        <f>IF(I164&gt;AH164,"SI","No")</f>
        <v>SI</v>
      </c>
      <c r="AJ164" s="11">
        <f>IF(I164&gt;AH164,I164*1000000/(0.75*2*0.85*((D164*1000-2*$F$2)*(E164*1000-2*$F$2))*$D$2),0)</f>
        <v>0.3507452364</v>
      </c>
      <c r="AK164" s="10">
        <f>1.25*Q164*$D$2*(J164-(1.25*Q164*$D$2/(0.85*$B$2*(D164*1000)))/2)/1000000</f>
        <v>101.4672613</v>
      </c>
      <c r="AL164" s="10">
        <f>1.25*Z164*$D$2*(J164-(1.25*Z164*$D$2/(0.85*$B$2*(D164*1000)))/2)/1000000</f>
        <v>101.4672613</v>
      </c>
      <c r="AM164" s="10">
        <f>(AK164+AL164)/B164</f>
        <v>135.2896818</v>
      </c>
      <c r="AN164" s="10">
        <f>MAX(H164,AM164)</f>
        <v>135.2896818</v>
      </c>
    </row>
    <row r="165">
      <c r="A165" s="5" t="inlineStr">
        <is>
          <t>F166</t>
        </is>
      </c>
      <c r="B165" s="6" t="n">
        <v>1.5</v>
      </c>
      <c r="C165" s="7" t="inlineStr">
        <is>
          <t>VR</t>
        </is>
      </c>
      <c r="D165" s="8">
        <f>IF(C165="VR",0.35,0.30)</f>
        <v>0.35</v>
      </c>
      <c r="E165" s="6" t="n">
        <v>0.4</v>
      </c>
      <c r="F165" s="9" t="n">
        <v>57.9</v>
      </c>
      <c r="G165" s="9" t="n">
        <v>55</v>
      </c>
      <c r="H165" s="9" t="n">
        <v>81.2</v>
      </c>
      <c r="I165" s="6" t="n">
        <v>13.2</v>
      </c>
      <c r="J165" s="10">
        <f>E165*1000-$F$2-$L$2-$H$2/2</f>
        <v>342.55</v>
      </c>
      <c r="K165" s="11">
        <f>F165*1000000/(0.9*(D165*1000)*J165^2)</f>
        <v>1.567274368</v>
      </c>
      <c r="L165" s="12">
        <f>(0.85*$B$2/$D$2)*(1-SQRT(1-2*K165/(0.85*$B$2)))</f>
        <v>0.003863297404</v>
      </c>
      <c r="M165" s="13">
        <f>L165*(D165*1000)*J165</f>
        <v>463.1803841</v>
      </c>
      <c r="N165" s="13">
        <f>MAX(0.25*SQRT($B$2)/$D$2,1.4/$D$2)*(D165*1000)*J165</f>
        <v>399.6416667</v>
      </c>
      <c r="O165" s="13">
        <f>MAX(M165,N165)</f>
        <v>463.1803841</v>
      </c>
      <c r="P165" s="14">
        <f>ROUNDUP(O165/$J$2,0)</f>
        <v>3</v>
      </c>
      <c r="Q165" s="13">
        <f>P165*$J$2</f>
        <v>597</v>
      </c>
      <c r="R165" s="10">
        <f>Q165*$D$2/(0.85*$B$2*(D165*1000))</f>
        <v>30.10084034</v>
      </c>
      <c r="S165" s="10">
        <f>0.9*Q165*$D$2*(J165-R165/2)/1000000</f>
        <v>73.90552018</v>
      </c>
      <c r="T165" s="15" t="str">
        <f>IF(AND(S165&gt;=F165,O165&lt;=0.025*(D165*1000)*J165,O165&gt;=N165),"CUMPLE","REVISAR")</f>
        <v>CUMPLE</v>
      </c>
      <c r="U165" s="11">
        <f>G165*1000000/(0.9*(D165*1000)*J165^2)</f>
        <v>1.486922135</v>
      </c>
      <c r="V165" s="12">
        <f>(0.85*$B$2/$D$2)*(1-SQRT(1-2*U165/(0.85*$B$2)))</f>
        <v>0.003658382841</v>
      </c>
      <c r="W165" s="13">
        <f>V165*(D165*1000)*J165</f>
        <v>438.6126648</v>
      </c>
      <c r="X165" s="13">
        <f>MAX(W165,N165)</f>
        <v>438.6126648</v>
      </c>
      <c r="Y165" s="14">
        <f>ROUNDUP(X165/$J$2,0)</f>
        <v>3</v>
      </c>
      <c r="Z165" s="13">
        <f>Y165*$J$2</f>
        <v>597</v>
      </c>
      <c r="AA165" s="10">
        <f>0.9*Z165*$D$2*(J165-(Z165*$D$2/(0.85*$B$2*(D165*1000)))/2)/1000000</f>
        <v>73.90552018</v>
      </c>
      <c r="AB165" s="15" t="str">
        <f>IF(AA165&gt;=G165,"CUMPLE","REVISAR")</f>
        <v>CUMPLE</v>
      </c>
      <c r="AC165" s="10">
        <f>0.17*SQRT($B$2)*(D165*1000)*J165/1000</f>
        <v>107.8499513</v>
      </c>
      <c r="AD165" s="10">
        <f>MAX(H165/0.75-AC165,0)</f>
        <v>0.4167153857</v>
      </c>
      <c r="AE165" s="14">
        <f>IF(AD165&gt;0,MIN($N$2*$D$2*J165/(AD165*1000),MIN(J165/4,6*$H$2,150)),MIN(J165/4,6*$H$2,150))</f>
        <v>85.6375</v>
      </c>
      <c r="AF165" s="10">
        <f>0.66*SQRT($B$2)*(D165*1000)*J165/1000</f>
        <v>418.7115756</v>
      </c>
      <c r="AG165" s="15" t="str">
        <f>IF(AD165&lt;=AF165,"CUMPLE","AUMENTAR SECCION")</f>
        <v>CUMPLE</v>
      </c>
      <c r="AH165" s="10">
        <f>0.75*0.083*SQRT($B$2)*(((D165*1000)*(E165*1000))^2/(2*((D165*1000)+(E165*1000))))/1000000</f>
        <v>4.304108233</v>
      </c>
      <c r="AI165" s="15" t="str">
        <f>IF(I165&gt;AH165,"SI","No")</f>
        <v>SI</v>
      </c>
      <c r="AJ165" s="11">
        <f>IF(I165&gt;AH165,I165*1000000/(0.75*2*0.85*((D165*1000-2*$F$2)*(E165*1000-2*$F$2))*$D$2),0)</f>
        <v>0.2852560777</v>
      </c>
      <c r="AK165" s="10">
        <f>1.25*Q165*$D$2*(J165-(1.25*Q165*$D$2/(0.85*$B$2*(D165*1000)))/2)/1000000</f>
        <v>101.4672613</v>
      </c>
      <c r="AL165" s="10">
        <f>1.25*Z165*$D$2*(J165-(1.25*Z165*$D$2/(0.85*$B$2*(D165*1000)))/2)/1000000</f>
        <v>101.4672613</v>
      </c>
      <c r="AM165" s="10">
        <f>(AK165+AL165)/B165</f>
        <v>135.2896818</v>
      </c>
      <c r="AN165" s="10">
        <f>MAX(H165,AM165)</f>
        <v>135.2896818</v>
      </c>
    </row>
    <row r="166">
      <c r="A166" s="5" t="inlineStr">
        <is>
          <t>F167</t>
        </is>
      </c>
      <c r="B166" s="6" t="n">
        <v>1.5</v>
      </c>
      <c r="C166" s="7" t="inlineStr">
        <is>
          <t>VR</t>
        </is>
      </c>
      <c r="D166" s="8">
        <f>IF(C166="VR",0.35,0.30)</f>
        <v>0.35</v>
      </c>
      <c r="E166" s="6" t="n">
        <v>0.4</v>
      </c>
      <c r="F166" s="9" t="n">
        <v>33.7</v>
      </c>
      <c r="G166" s="9" t="n">
        <v>30.8</v>
      </c>
      <c r="H166" s="9" t="n">
        <v>48.9</v>
      </c>
      <c r="I166" s="6" t="n">
        <v>16.23</v>
      </c>
      <c r="J166" s="10">
        <f>E166*1000-$F$2-$L$2-$H$2/2</f>
        <v>342.55</v>
      </c>
      <c r="K166" s="11">
        <f>F166*1000000/(0.9*(D166*1000)*J166^2)</f>
        <v>0.9122819211</v>
      </c>
      <c r="L166" s="12">
        <f>(0.85*$B$2/$D$2)*(1-SQRT(1-2*K166/(0.85*$B$2)))</f>
        <v>0.0022154059</v>
      </c>
      <c r="M166" s="13">
        <f>L166*(D166*1000)*J166</f>
        <v>265.6105519</v>
      </c>
      <c r="N166" s="13">
        <f>MAX(0.25*SQRT($B$2)/$D$2,1.4/$D$2)*(D166*1000)*J166</f>
        <v>399.6416667</v>
      </c>
      <c r="O166" s="13">
        <f>MAX(M166,N166)</f>
        <v>399.6416667</v>
      </c>
      <c r="P166" s="14">
        <f>ROUNDUP(O166/$J$2,0)</f>
        <v>3</v>
      </c>
      <c r="Q166" s="13">
        <f>P166*$J$2</f>
        <v>597</v>
      </c>
      <c r="R166" s="10">
        <f>Q166*$D$2/(0.85*$B$2*(D166*1000))</f>
        <v>30.10084034</v>
      </c>
      <c r="S166" s="10">
        <f>0.9*Q166*$D$2*(J166-R166/2)/1000000</f>
        <v>73.90552018</v>
      </c>
      <c r="T166" s="15" t="str">
        <f>IF(AND(S166&gt;=F166,O166&lt;=0.025*(D166*1000)*J166,O166&gt;=N166),"CUMPLE","REVISAR")</f>
        <v>CUMPLE</v>
      </c>
      <c r="U166" s="11">
        <f>G166*1000000/(0.9*(D166*1000)*J166^2)</f>
        <v>0.8319296879</v>
      </c>
      <c r="V166" s="12">
        <f>(0.85*$B$2/$D$2)*(1-SQRT(1-2*U166/(0.85*$B$2)))</f>
        <v>0.00201666989</v>
      </c>
      <c r="W166" s="13">
        <f>V166*(D166*1000)*J166</f>
        <v>241.7835948</v>
      </c>
      <c r="X166" s="13">
        <f>MAX(W166,N166)</f>
        <v>399.6416667</v>
      </c>
      <c r="Y166" s="14">
        <f>ROUNDUP(X166/$J$2,0)</f>
        <v>3</v>
      </c>
      <c r="Z166" s="13">
        <f>Y166*$J$2</f>
        <v>597</v>
      </c>
      <c r="AA166" s="10">
        <f>0.9*Z166*$D$2*(J166-(Z166*$D$2/(0.85*$B$2*(D166*1000)))/2)/1000000</f>
        <v>73.90552018</v>
      </c>
      <c r="AB166" s="15" t="str">
        <f>IF(AA166&gt;=G166,"CUMPLE","REVISAR")</f>
        <v>CUMPLE</v>
      </c>
      <c r="AC166" s="10">
        <f>0.17*SQRT($B$2)*(D166*1000)*J166/1000</f>
        <v>107.8499513</v>
      </c>
      <c r="AD166" s="10">
        <f>MAX(H166/0.75-AC166,0)</f>
        <v>0</v>
      </c>
      <c r="AE166" s="14">
        <f>IF(AD166&gt;0,MIN($N$2*$D$2*J166/(AD166*1000),MIN(J166/4,6*$H$2,150)),MIN(J166/4,6*$H$2,150))</f>
        <v>85.6375</v>
      </c>
      <c r="AF166" s="10">
        <f>0.66*SQRT($B$2)*(D166*1000)*J166/1000</f>
        <v>418.7115756</v>
      </c>
      <c r="AG166" s="15" t="str">
        <f>IF(AD166&lt;=AF166,"CUMPLE","AUMENTAR SECCION")</f>
        <v>CUMPLE</v>
      </c>
      <c r="AH166" s="10">
        <f>0.75*0.083*SQRT($B$2)*(((D166*1000)*(E166*1000))^2/(2*((D166*1000)+(E166*1000))))/1000000</f>
        <v>4.304108233</v>
      </c>
      <c r="AI166" s="15" t="str">
        <f>IF(I166&gt;AH166,"SI","No")</f>
        <v>SI</v>
      </c>
      <c r="AJ166" s="11">
        <f>IF(I166&gt;AH166,I166*1000000/(0.75*2*0.85*((D166*1000-2*$F$2)*(E166*1000-2*$F$2))*$D$2),0)</f>
        <v>0.3507236228</v>
      </c>
      <c r="AK166" s="10">
        <f>1.25*Q166*$D$2*(J166-(1.25*Q166*$D$2/(0.85*$B$2*(D166*1000)))/2)/1000000</f>
        <v>101.4672613</v>
      </c>
      <c r="AL166" s="10">
        <f>1.25*Z166*$D$2*(J166-(1.25*Z166*$D$2/(0.85*$B$2*(D166*1000)))/2)/1000000</f>
        <v>101.4672613</v>
      </c>
      <c r="AM166" s="10">
        <f>(AK166+AL166)/B166</f>
        <v>135.2896818</v>
      </c>
      <c r="AN166" s="10">
        <f>MAX(H166,AM166)</f>
        <v>135.2896818</v>
      </c>
    </row>
    <row r="167">
      <c r="A167" s="5" t="inlineStr">
        <is>
          <t>F168</t>
        </is>
      </c>
      <c r="B167" s="6" t="n">
        <v>3.75</v>
      </c>
      <c r="C167" s="7" t="inlineStr">
        <is>
          <t>VC</t>
        </is>
      </c>
      <c r="D167" s="8">
        <f>IF(C167="VR",0.35,0.30)</f>
        <v>0.3</v>
      </c>
      <c r="E167" s="6" t="n">
        <v>0.4</v>
      </c>
      <c r="F167" s="9" t="n">
        <v>16.2</v>
      </c>
      <c r="G167" s="9" t="n">
        <v>10.4</v>
      </c>
      <c r="H167" s="9" t="n">
        <v>18.1</v>
      </c>
      <c r="I167" s="6" t="n">
        <v>0</v>
      </c>
      <c r="J167" s="10">
        <f>E167*1000-$F$2-$L$2-$H$2/2</f>
        <v>342.55</v>
      </c>
      <c r="K167" s="11">
        <f>F167*1000000/(0.9*(D167*1000)*J167^2)</f>
        <v>0.5122793054</v>
      </c>
      <c r="L167" s="12">
        <f>(0.85*$B$2/$D$2)*(1-SQRT(1-2*K167/(0.85*$B$2)))</f>
        <v>0.00123312977</v>
      </c>
      <c r="M167" s="13">
        <f>L167*(D167*1000)*J167</f>
        <v>126.7225808</v>
      </c>
      <c r="N167" s="13">
        <f>MAX(0.25*SQRT($B$2)/$D$2,1.4/$D$2)*(D167*1000)*J167</f>
        <v>342.55</v>
      </c>
      <c r="O167" s="13">
        <f>MAX(M167,N167)</f>
        <v>342.55</v>
      </c>
      <c r="P167" s="14">
        <f>ROUNDUP(O167/$J$2,0)</f>
        <v>2</v>
      </c>
      <c r="Q167" s="13">
        <f>P167*$J$2</f>
        <v>398</v>
      </c>
      <c r="R167" s="10">
        <f>Q167*$D$2/(0.85*$B$2*(D167*1000))</f>
        <v>23.41176471</v>
      </c>
      <c r="S167" s="10">
        <f>0.9*Q167*$D$2*(J167-R167/2)/1000000</f>
        <v>49.77351244</v>
      </c>
      <c r="T167" s="15" t="str">
        <f>IF(AND(S167&gt;=F167,O167&lt;=0.025*(D167*1000)*J167,O167&gt;=N167),"CUMPLE","REVISAR")</f>
        <v>CUMPLE</v>
      </c>
      <c r="U167" s="11">
        <f>G167*1000000/(0.9*(D167*1000)*J167^2)</f>
        <v>0.3285784084</v>
      </c>
      <c r="V167" s="12">
        <f>(0.85*$B$2/$D$2)*(1-SQRT(1-2*U167/(0.85*$B$2)))</f>
        <v>0.0007878057608</v>
      </c>
      <c r="W167" s="13">
        <f>V167*(D167*1000)*J167</f>
        <v>80.95885901</v>
      </c>
      <c r="X167" s="13">
        <f>MAX(W167,N167)</f>
        <v>342.55</v>
      </c>
      <c r="Y167" s="14">
        <f>ROUNDUP(X167/$J$2,0)</f>
        <v>2</v>
      </c>
      <c r="Z167" s="13">
        <f>Y167*$J$2</f>
        <v>398</v>
      </c>
      <c r="AA167" s="10">
        <f>0.9*Z167*$D$2*(J167-(Z167*$D$2/(0.85*$B$2*(D167*1000)))/2)/1000000</f>
        <v>49.77351244</v>
      </c>
      <c r="AB167" s="15" t="str">
        <f>IF(AA167&gt;=G167,"CUMPLE","REVISAR")</f>
        <v>CUMPLE</v>
      </c>
      <c r="AC167" s="10">
        <f>0.17*SQRT($B$2)*(D167*1000)*J167/1000</f>
        <v>92.44281538</v>
      </c>
      <c r="AD167" s="10">
        <f>MAX(H167/0.75-AC167,0)</f>
        <v>0</v>
      </c>
      <c r="AE167" s="14">
        <f>IF(AD167&gt;0,MIN($N$2*$D$2*J167/(AD167*1000),MIN(J167/4,6*$H$2,150)),MIN(J167/4,6*$H$2,150))</f>
        <v>85.6375</v>
      </c>
      <c r="AF167" s="10">
        <f>0.66*SQRT($B$2)*(D167*1000)*J167/1000</f>
        <v>358.8956362</v>
      </c>
      <c r="AG167" s="15" t="str">
        <f>IF(AD167&lt;=AF167,"CUMPLE","AUMENTAR SECCION")</f>
        <v>CUMPLE</v>
      </c>
      <c r="AH167" s="10">
        <f>0.75*0.083*SQRT($B$2)*(((D167*1000)*(E167*1000))^2/(2*((D167*1000)+(E167*1000))))/1000000</f>
        <v>3.388073536</v>
      </c>
      <c r="AI167" s="15" t="str">
        <f>IF(I167&gt;AH167,"SI","No")</f>
        <v>No</v>
      </c>
      <c r="AJ167" s="11">
        <f>IF(I167&gt;AH167,I167*1000000/(0.75*2*0.85*((D167*1000-2*$F$2)*(E167*1000-2*$F$2))*$D$2),0)</f>
        <v>0</v>
      </c>
      <c r="AK167" s="10">
        <f>1.25*Q167*$D$2*(J167-(1.25*Q167*$D$2/(0.85*$B$2*(D167*1000)))/2)/1000000</f>
        <v>68.51839235</v>
      </c>
      <c r="AL167" s="10">
        <f>1.25*Z167*$D$2*(J167-(1.25*Z167*$D$2/(0.85*$B$2*(D167*1000)))/2)/1000000</f>
        <v>68.51839235</v>
      </c>
      <c r="AM167" s="10">
        <f>(AK167+AL167)/B167</f>
        <v>36.54314259</v>
      </c>
      <c r="AN167" s="10">
        <f>MAX(H167,AM167)</f>
        <v>36.54314259</v>
      </c>
    </row>
    <row r="168">
      <c r="A168" s="5" t="inlineStr">
        <is>
          <t>F169</t>
        </is>
      </c>
      <c r="B168" s="6" t="n">
        <v>3.75</v>
      </c>
      <c r="C168" s="7" t="inlineStr">
        <is>
          <t>VC</t>
        </is>
      </c>
      <c r="D168" s="8">
        <f>IF(C168="VR",0.35,0.30)</f>
        <v>0.3</v>
      </c>
      <c r="E168" s="6" t="n">
        <v>0.4</v>
      </c>
      <c r="F168" s="9" t="n">
        <v>16.2</v>
      </c>
      <c r="G168" s="9" t="n">
        <v>10.4</v>
      </c>
      <c r="H168" s="9" t="n">
        <v>18.1</v>
      </c>
      <c r="I168" s="6" t="n">
        <v>0</v>
      </c>
      <c r="J168" s="10">
        <f>E168*1000-$F$2-$L$2-$H$2/2</f>
        <v>342.55</v>
      </c>
      <c r="K168" s="11">
        <f>F168*1000000/(0.9*(D168*1000)*J168^2)</f>
        <v>0.5122793054</v>
      </c>
      <c r="L168" s="12">
        <f>(0.85*$B$2/$D$2)*(1-SQRT(1-2*K168/(0.85*$B$2)))</f>
        <v>0.00123312977</v>
      </c>
      <c r="M168" s="13">
        <f>L168*(D168*1000)*J168</f>
        <v>126.7225808</v>
      </c>
      <c r="N168" s="13">
        <f>MAX(0.25*SQRT($B$2)/$D$2,1.4/$D$2)*(D168*1000)*J168</f>
        <v>342.55</v>
      </c>
      <c r="O168" s="13">
        <f>MAX(M168,N168)</f>
        <v>342.55</v>
      </c>
      <c r="P168" s="14">
        <f>ROUNDUP(O168/$J$2,0)</f>
        <v>2</v>
      </c>
      <c r="Q168" s="13">
        <f>P168*$J$2</f>
        <v>398</v>
      </c>
      <c r="R168" s="10">
        <f>Q168*$D$2/(0.85*$B$2*(D168*1000))</f>
        <v>23.41176471</v>
      </c>
      <c r="S168" s="10">
        <f>0.9*Q168*$D$2*(J168-R168/2)/1000000</f>
        <v>49.77351244</v>
      </c>
      <c r="T168" s="15" t="str">
        <f>IF(AND(S168&gt;=F168,O168&lt;=0.025*(D168*1000)*J168,O168&gt;=N168),"CUMPLE","REVISAR")</f>
        <v>CUMPLE</v>
      </c>
      <c r="U168" s="11">
        <f>G168*1000000/(0.9*(D168*1000)*J168^2)</f>
        <v>0.3285784084</v>
      </c>
      <c r="V168" s="12">
        <f>(0.85*$B$2/$D$2)*(1-SQRT(1-2*U168/(0.85*$B$2)))</f>
        <v>0.0007878057608</v>
      </c>
      <c r="W168" s="13">
        <f>V168*(D168*1000)*J168</f>
        <v>80.95885901</v>
      </c>
      <c r="X168" s="13">
        <f>MAX(W168,N168)</f>
        <v>342.55</v>
      </c>
      <c r="Y168" s="14">
        <f>ROUNDUP(X168/$J$2,0)</f>
        <v>2</v>
      </c>
      <c r="Z168" s="13">
        <f>Y168*$J$2</f>
        <v>398</v>
      </c>
      <c r="AA168" s="10">
        <f>0.9*Z168*$D$2*(J168-(Z168*$D$2/(0.85*$B$2*(D168*1000)))/2)/1000000</f>
        <v>49.77351244</v>
      </c>
      <c r="AB168" s="15" t="str">
        <f>IF(AA168&gt;=G168,"CUMPLE","REVISAR")</f>
        <v>CUMPLE</v>
      </c>
      <c r="AC168" s="10">
        <f>0.17*SQRT($B$2)*(D168*1000)*J168/1000</f>
        <v>92.44281538</v>
      </c>
      <c r="AD168" s="10">
        <f>MAX(H168/0.75-AC168,0)</f>
        <v>0</v>
      </c>
      <c r="AE168" s="14">
        <f>IF(AD168&gt;0,MIN($N$2*$D$2*J168/(AD168*1000),MIN(J168/4,6*$H$2,150)),MIN(J168/4,6*$H$2,150))</f>
        <v>85.6375</v>
      </c>
      <c r="AF168" s="10">
        <f>0.66*SQRT($B$2)*(D168*1000)*J168/1000</f>
        <v>358.8956362</v>
      </c>
      <c r="AG168" s="15" t="str">
        <f>IF(AD168&lt;=AF168,"CUMPLE","AUMENTAR SECCION")</f>
        <v>CUMPLE</v>
      </c>
      <c r="AH168" s="10">
        <f>0.75*0.083*SQRT($B$2)*(((D168*1000)*(E168*1000))^2/(2*((D168*1000)+(E168*1000))))/1000000</f>
        <v>3.388073536</v>
      </c>
      <c r="AI168" s="15" t="str">
        <f>IF(I168&gt;AH168,"SI","No")</f>
        <v>No</v>
      </c>
      <c r="AJ168" s="11">
        <f>IF(I168&gt;AH168,I168*1000000/(0.75*2*0.85*((D168*1000-2*$F$2)*(E168*1000-2*$F$2))*$D$2),0)</f>
        <v>0</v>
      </c>
      <c r="AK168" s="10">
        <f>1.25*Q168*$D$2*(J168-(1.25*Q168*$D$2/(0.85*$B$2*(D168*1000)))/2)/1000000</f>
        <v>68.51839235</v>
      </c>
      <c r="AL168" s="10">
        <f>1.25*Z168*$D$2*(J168-(1.25*Z168*$D$2/(0.85*$B$2*(D168*1000)))/2)/1000000</f>
        <v>68.51839235</v>
      </c>
      <c r="AM168" s="10">
        <f>(AK168+AL168)/B168</f>
        <v>36.54314259</v>
      </c>
      <c r="AN168" s="10">
        <f>MAX(H168,AM168)</f>
        <v>36.54314259</v>
      </c>
    </row>
    <row r="169">
      <c r="A169" s="5" t="inlineStr">
        <is>
          <t>F170</t>
        </is>
      </c>
      <c r="B169" s="6" t="n">
        <v>1.5</v>
      </c>
      <c r="C169" s="7" t="inlineStr">
        <is>
          <t>VR</t>
        </is>
      </c>
      <c r="D169" s="8">
        <f>IF(C169="VR",0.35,0.30)</f>
        <v>0.35</v>
      </c>
      <c r="E169" s="6" t="n">
        <v>0.4</v>
      </c>
      <c r="F169" s="9" t="n">
        <v>30.2</v>
      </c>
      <c r="G169" s="9" t="n">
        <v>27.2</v>
      </c>
      <c r="H169" s="9" t="n">
        <v>44.2</v>
      </c>
      <c r="I169" s="6" t="n">
        <v>10.63</v>
      </c>
      <c r="J169" s="10">
        <f>E169*1000-$F$2-$L$2-$H$2/2</f>
        <v>342.55</v>
      </c>
      <c r="K169" s="11">
        <f>F169*1000000/(0.9*(D169*1000)*J169^2)</f>
        <v>0.8175907371</v>
      </c>
      <c r="L169" s="12">
        <f>(0.85*$B$2/$D$2)*(1-SQRT(1-2*K169/(0.85*$B$2)))</f>
        <v>0.001981281157</v>
      </c>
      <c r="M169" s="13">
        <f>L169*(D169*1000)*J169</f>
        <v>237.5407511</v>
      </c>
      <c r="N169" s="13">
        <f>MAX(0.25*SQRT($B$2)/$D$2,1.4/$D$2)*(D169*1000)*J169</f>
        <v>399.6416667</v>
      </c>
      <c r="O169" s="13">
        <f>MAX(M169,N169)</f>
        <v>399.6416667</v>
      </c>
      <c r="P169" s="14">
        <f>ROUNDUP(O169/$J$2,0)</f>
        <v>3</v>
      </c>
      <c r="Q169" s="13">
        <f>P169*$J$2</f>
        <v>597</v>
      </c>
      <c r="R169" s="10">
        <f>Q169*$D$2/(0.85*$B$2*(D169*1000))</f>
        <v>30.10084034</v>
      </c>
      <c r="S169" s="10">
        <f>0.9*Q169*$D$2*(J169-R169/2)/1000000</f>
        <v>73.90552018</v>
      </c>
      <c r="T169" s="15" t="str">
        <f>IF(AND(S169&gt;=F169,O169&lt;=0.025*(D169*1000)*J169,O169&gt;=N169),"CUMPLE","REVISAR")</f>
        <v>CUMPLE</v>
      </c>
      <c r="U169" s="11">
        <f>G169*1000000/(0.9*(D169*1000)*J169^2)</f>
        <v>0.7372385039</v>
      </c>
      <c r="V169" s="12">
        <f>(0.85*$B$2/$D$2)*(1-SQRT(1-2*U169/(0.85*$B$2)))</f>
        <v>0.001783392921</v>
      </c>
      <c r="W169" s="13">
        <f>V169*(D169*1000)*J169</f>
        <v>213.8154358</v>
      </c>
      <c r="X169" s="13">
        <f>MAX(W169,N169)</f>
        <v>399.6416667</v>
      </c>
      <c r="Y169" s="14">
        <f>ROUNDUP(X169/$J$2,0)</f>
        <v>3</v>
      </c>
      <c r="Z169" s="13">
        <f>Y169*$J$2</f>
        <v>597</v>
      </c>
      <c r="AA169" s="10">
        <f>0.9*Z169*$D$2*(J169-(Z169*$D$2/(0.85*$B$2*(D169*1000)))/2)/1000000</f>
        <v>73.90552018</v>
      </c>
      <c r="AB169" s="15" t="str">
        <f>IF(AA169&gt;=G169,"CUMPLE","REVISAR")</f>
        <v>CUMPLE</v>
      </c>
      <c r="AC169" s="10">
        <f>0.17*SQRT($B$2)*(D169*1000)*J169/1000</f>
        <v>107.8499513</v>
      </c>
      <c r="AD169" s="10">
        <f>MAX(H169/0.75-AC169,0)</f>
        <v>0</v>
      </c>
      <c r="AE169" s="14">
        <f>IF(AD169&gt;0,MIN($N$2*$D$2*J169/(AD169*1000),MIN(J169/4,6*$H$2,150)),MIN(J169/4,6*$H$2,150))</f>
        <v>85.6375</v>
      </c>
      <c r="AF169" s="10">
        <f>0.66*SQRT($B$2)*(D169*1000)*J169/1000</f>
        <v>418.7115756</v>
      </c>
      <c r="AG169" s="15" t="str">
        <f>IF(AD169&lt;=AF169,"CUMPLE","AUMENTAR SECCION")</f>
        <v>CUMPLE</v>
      </c>
      <c r="AH169" s="10">
        <f>0.75*0.083*SQRT($B$2)*(((D169*1000)*(E169*1000))^2/(2*((D169*1000)+(E169*1000))))/1000000</f>
        <v>4.304108233</v>
      </c>
      <c r="AI169" s="15" t="str">
        <f>IF(I169&gt;AH169,"SI","No")</f>
        <v>SI</v>
      </c>
      <c r="AJ169" s="11">
        <f>IF(I169&gt;AH169,I169*1000000/(0.75*2*0.85*((D169*1000-2*$F$2)*(E169*1000-2*$F$2))*$D$2),0)</f>
        <v>0.229795622</v>
      </c>
      <c r="AK169" s="10">
        <f>1.25*Q169*$D$2*(J169-(1.25*Q169*$D$2/(0.85*$B$2*(D169*1000)))/2)/1000000</f>
        <v>101.4672613</v>
      </c>
      <c r="AL169" s="10">
        <f>1.25*Z169*$D$2*(J169-(1.25*Z169*$D$2/(0.85*$B$2*(D169*1000)))/2)/1000000</f>
        <v>101.4672613</v>
      </c>
      <c r="AM169" s="10">
        <f>(AK169+AL169)/B169</f>
        <v>135.2896818</v>
      </c>
      <c r="AN169" s="10">
        <f>MAX(H169,AM169)</f>
        <v>135.2896818</v>
      </c>
    </row>
    <row r="170">
      <c r="A170" s="5" t="inlineStr">
        <is>
          <t>F171</t>
        </is>
      </c>
      <c r="B170" s="6" t="n">
        <v>1.5</v>
      </c>
      <c r="C170" s="7" t="inlineStr">
        <is>
          <t>VR</t>
        </is>
      </c>
      <c r="D170" s="8">
        <f>IF(C170="VR",0.35,0.30)</f>
        <v>0.35</v>
      </c>
      <c r="E170" s="6" t="n">
        <v>0.4</v>
      </c>
      <c r="F170" s="9" t="n">
        <v>51.5</v>
      </c>
      <c r="G170" s="9" t="n">
        <v>48.5</v>
      </c>
      <c r="H170" s="9" t="n">
        <v>72.59999999999999</v>
      </c>
      <c r="I170" s="6" t="n">
        <v>6.3</v>
      </c>
      <c r="J170" s="10">
        <f>E170*1000-$F$2-$L$2-$H$2/2</f>
        <v>342.55</v>
      </c>
      <c r="K170" s="11">
        <f>F170*1000000/(0.9*(D170*1000)*J170^2)</f>
        <v>1.392501497</v>
      </c>
      <c r="L170" s="12">
        <f>(0.85*$B$2/$D$2)*(1-SQRT(1-2*K170/(0.85*$B$2)))</f>
        <v>0.003418598731</v>
      </c>
      <c r="M170" s="13">
        <f>L170*(D170*1000)*J170</f>
        <v>409.8643483</v>
      </c>
      <c r="N170" s="13">
        <f>MAX(0.25*SQRT($B$2)/$D$2,1.4/$D$2)*(D170*1000)*J170</f>
        <v>399.6416667</v>
      </c>
      <c r="O170" s="13">
        <f>MAX(M170,N170)</f>
        <v>409.8643483</v>
      </c>
      <c r="P170" s="14">
        <f>ROUNDUP(O170/$J$2,0)</f>
        <v>3</v>
      </c>
      <c r="Q170" s="13">
        <f>P170*$J$2</f>
        <v>597</v>
      </c>
      <c r="R170" s="10">
        <f>Q170*$D$2/(0.85*$B$2*(D170*1000))</f>
        <v>30.10084034</v>
      </c>
      <c r="S170" s="10">
        <f>0.9*Q170*$D$2*(J170-R170/2)/1000000</f>
        <v>73.90552018</v>
      </c>
      <c r="T170" s="15" t="str">
        <f>IF(AND(S170&gt;=F170,O170&lt;=0.025*(D170*1000)*J170,O170&gt;=N170),"CUMPLE","REVISAR")</f>
        <v>CUMPLE</v>
      </c>
      <c r="U170" s="11">
        <f>G170*1000000/(0.9*(D170*1000)*J170^2)</f>
        <v>1.312149264</v>
      </c>
      <c r="V170" s="12">
        <f>(0.85*$B$2/$D$2)*(1-SQRT(1-2*U170/(0.85*$B$2)))</f>
        <v>0.003215388969</v>
      </c>
      <c r="W170" s="13">
        <f>V170*(D170*1000)*J170</f>
        <v>385.5010219</v>
      </c>
      <c r="X170" s="13">
        <f>MAX(W170,N170)</f>
        <v>399.6416667</v>
      </c>
      <c r="Y170" s="14">
        <f>ROUNDUP(X170/$J$2,0)</f>
        <v>3</v>
      </c>
      <c r="Z170" s="13">
        <f>Y170*$J$2</f>
        <v>597</v>
      </c>
      <c r="AA170" s="10">
        <f>0.9*Z170*$D$2*(J170-(Z170*$D$2/(0.85*$B$2*(D170*1000)))/2)/1000000</f>
        <v>73.90552018</v>
      </c>
      <c r="AB170" s="15" t="str">
        <f>IF(AA170&gt;=G170,"CUMPLE","REVISAR")</f>
        <v>CUMPLE</v>
      </c>
      <c r="AC170" s="10">
        <f>0.17*SQRT($B$2)*(D170*1000)*J170/1000</f>
        <v>107.8499513</v>
      </c>
      <c r="AD170" s="10">
        <f>MAX(H170/0.75-AC170,0)</f>
        <v>0</v>
      </c>
      <c r="AE170" s="14">
        <f>IF(AD170&gt;0,MIN($N$2*$D$2*J170/(AD170*1000),MIN(J170/4,6*$H$2,150)),MIN(J170/4,6*$H$2,150))</f>
        <v>85.6375</v>
      </c>
      <c r="AF170" s="10">
        <f>0.66*SQRT($B$2)*(D170*1000)*J170/1000</f>
        <v>418.7115756</v>
      </c>
      <c r="AG170" s="15" t="str">
        <f>IF(AD170&lt;=AF170,"CUMPLE","AUMENTAR SECCION")</f>
        <v>CUMPLE</v>
      </c>
      <c r="AH170" s="10">
        <f>0.75*0.083*SQRT($B$2)*(((D170*1000)*(E170*1000))^2/(2*((D170*1000)+(E170*1000))))/1000000</f>
        <v>4.304108233</v>
      </c>
      <c r="AI170" s="15" t="str">
        <f>IF(I170&gt;AH170,"SI","No")</f>
        <v>SI</v>
      </c>
      <c r="AJ170" s="11">
        <f>IF(I170&gt;AH170,I170*1000000/(0.75*2*0.85*((D170*1000-2*$F$2)*(E170*1000-2*$F$2))*$D$2),0)</f>
        <v>0.1362304181</v>
      </c>
      <c r="AK170" s="10">
        <f>1.25*Q170*$D$2*(J170-(1.25*Q170*$D$2/(0.85*$B$2*(D170*1000)))/2)/1000000</f>
        <v>101.4672613</v>
      </c>
      <c r="AL170" s="10">
        <f>1.25*Z170*$D$2*(J170-(1.25*Z170*$D$2/(0.85*$B$2*(D170*1000)))/2)/1000000</f>
        <v>101.4672613</v>
      </c>
      <c r="AM170" s="10">
        <f>(AK170+AL170)/B170</f>
        <v>135.2896818</v>
      </c>
      <c r="AN170" s="10">
        <f>MAX(H170,AM170)</f>
        <v>135.2896818</v>
      </c>
    </row>
    <row r="171">
      <c r="A171" s="5" t="inlineStr">
        <is>
          <t>F172</t>
        </is>
      </c>
      <c r="B171" s="6" t="n">
        <v>1.5</v>
      </c>
      <c r="C171" s="7" t="inlineStr">
        <is>
          <t>VR</t>
        </is>
      </c>
      <c r="D171" s="8">
        <f>IF(C171="VR",0.35,0.30)</f>
        <v>0.35</v>
      </c>
      <c r="E171" s="6" t="n">
        <v>0.4</v>
      </c>
      <c r="F171" s="9" t="n">
        <v>30.2</v>
      </c>
      <c r="G171" s="9" t="n">
        <v>27.2</v>
      </c>
      <c r="H171" s="9" t="n">
        <v>44.2</v>
      </c>
      <c r="I171" s="6" t="n">
        <v>10.63</v>
      </c>
      <c r="J171" s="10">
        <f>E171*1000-$F$2-$L$2-$H$2/2</f>
        <v>342.55</v>
      </c>
      <c r="K171" s="11">
        <f>F171*1000000/(0.9*(D171*1000)*J171^2)</f>
        <v>0.8175907371</v>
      </c>
      <c r="L171" s="12">
        <f>(0.85*$B$2/$D$2)*(1-SQRT(1-2*K171/(0.85*$B$2)))</f>
        <v>0.001981281157</v>
      </c>
      <c r="M171" s="13">
        <f>L171*(D171*1000)*J171</f>
        <v>237.5407511</v>
      </c>
      <c r="N171" s="13">
        <f>MAX(0.25*SQRT($B$2)/$D$2,1.4/$D$2)*(D171*1000)*J171</f>
        <v>399.6416667</v>
      </c>
      <c r="O171" s="13">
        <f>MAX(M171,N171)</f>
        <v>399.6416667</v>
      </c>
      <c r="P171" s="14">
        <f>ROUNDUP(O171/$J$2,0)</f>
        <v>3</v>
      </c>
      <c r="Q171" s="13">
        <f>P171*$J$2</f>
        <v>597</v>
      </c>
      <c r="R171" s="10">
        <f>Q171*$D$2/(0.85*$B$2*(D171*1000))</f>
        <v>30.10084034</v>
      </c>
      <c r="S171" s="10">
        <f>0.9*Q171*$D$2*(J171-R171/2)/1000000</f>
        <v>73.90552018</v>
      </c>
      <c r="T171" s="15" t="str">
        <f>IF(AND(S171&gt;=F171,O171&lt;=0.025*(D171*1000)*J171,O171&gt;=N171),"CUMPLE","REVISAR")</f>
        <v>CUMPLE</v>
      </c>
      <c r="U171" s="11">
        <f>G171*1000000/(0.9*(D171*1000)*J171^2)</f>
        <v>0.7372385039</v>
      </c>
      <c r="V171" s="12">
        <f>(0.85*$B$2/$D$2)*(1-SQRT(1-2*U171/(0.85*$B$2)))</f>
        <v>0.001783392921</v>
      </c>
      <c r="W171" s="13">
        <f>V171*(D171*1000)*J171</f>
        <v>213.8154358</v>
      </c>
      <c r="X171" s="13">
        <f>MAX(W171,N171)</f>
        <v>399.6416667</v>
      </c>
      <c r="Y171" s="14">
        <f>ROUNDUP(X171/$J$2,0)</f>
        <v>3</v>
      </c>
      <c r="Z171" s="13">
        <f>Y171*$J$2</f>
        <v>597</v>
      </c>
      <c r="AA171" s="10">
        <f>0.9*Z171*$D$2*(J171-(Z171*$D$2/(0.85*$B$2*(D171*1000)))/2)/1000000</f>
        <v>73.90552018</v>
      </c>
      <c r="AB171" s="15" t="str">
        <f>IF(AA171&gt;=G171,"CUMPLE","REVISAR")</f>
        <v>CUMPLE</v>
      </c>
      <c r="AC171" s="10">
        <f>0.17*SQRT($B$2)*(D171*1000)*J171/1000</f>
        <v>107.8499513</v>
      </c>
      <c r="AD171" s="10">
        <f>MAX(H171/0.75-AC171,0)</f>
        <v>0</v>
      </c>
      <c r="AE171" s="14">
        <f>IF(AD171&gt;0,MIN($N$2*$D$2*J171/(AD171*1000),MIN(J171/4,6*$H$2,150)),MIN(J171/4,6*$H$2,150))</f>
        <v>85.6375</v>
      </c>
      <c r="AF171" s="10">
        <f>0.66*SQRT($B$2)*(D171*1000)*J171/1000</f>
        <v>418.7115756</v>
      </c>
      <c r="AG171" s="15" t="str">
        <f>IF(AD171&lt;=AF171,"CUMPLE","AUMENTAR SECCION")</f>
        <v>CUMPLE</v>
      </c>
      <c r="AH171" s="10">
        <f>0.75*0.083*SQRT($B$2)*(((D171*1000)*(E171*1000))^2/(2*((D171*1000)+(E171*1000))))/1000000</f>
        <v>4.304108233</v>
      </c>
      <c r="AI171" s="15" t="str">
        <f>IF(I171&gt;AH171,"SI","No")</f>
        <v>SI</v>
      </c>
      <c r="AJ171" s="11">
        <f>IF(I171&gt;AH171,I171*1000000/(0.75*2*0.85*((D171*1000-2*$F$2)*(E171*1000-2*$F$2))*$D$2),0)</f>
        <v>0.2297740084</v>
      </c>
      <c r="AK171" s="10">
        <f>1.25*Q171*$D$2*(J171-(1.25*Q171*$D$2/(0.85*$B$2*(D171*1000)))/2)/1000000</f>
        <v>101.4672613</v>
      </c>
      <c r="AL171" s="10">
        <f>1.25*Z171*$D$2*(J171-(1.25*Z171*$D$2/(0.85*$B$2*(D171*1000)))/2)/1000000</f>
        <v>101.4672613</v>
      </c>
      <c r="AM171" s="10">
        <f>(AK171+AL171)/B171</f>
        <v>135.2896818</v>
      </c>
      <c r="AN171" s="10">
        <f>MAX(H171,AM171)</f>
        <v>135.2896818</v>
      </c>
    </row>
    <row r="172">
      <c r="A172" s="5" t="inlineStr">
        <is>
          <t>F173</t>
        </is>
      </c>
      <c r="B172" s="6" t="n">
        <v>3.75</v>
      </c>
      <c r="C172" s="7" t="inlineStr">
        <is>
          <t>VC</t>
        </is>
      </c>
      <c r="D172" s="8">
        <f>IF(C172="VR",0.35,0.30)</f>
        <v>0.3</v>
      </c>
      <c r="E172" s="6" t="n">
        <v>0.4</v>
      </c>
      <c r="F172" s="9" t="n">
        <v>10.6</v>
      </c>
      <c r="G172" s="9" t="n">
        <v>8.699999999999999</v>
      </c>
      <c r="H172" s="9" t="n">
        <v>15.6</v>
      </c>
      <c r="I172" s="6" t="n">
        <v>0</v>
      </c>
      <c r="J172" s="10">
        <f>E172*1000-$F$2-$L$2-$H$2/2</f>
        <v>342.55</v>
      </c>
      <c r="K172" s="11">
        <f>F172*1000000/(0.9*(D172*1000)*J172^2)</f>
        <v>0.3355224286</v>
      </c>
      <c r="L172" s="12">
        <f>(0.85*$B$2/$D$2)*(1-SQRT(1-2*K172/(0.85*$B$2)))</f>
        <v>0.0008045747534</v>
      </c>
      <c r="M172" s="13">
        <f>L172*(D172*1000)*J172</f>
        <v>82.68212454</v>
      </c>
      <c r="N172" s="13">
        <f>MAX(0.25*SQRT($B$2)/$D$2,1.4/$D$2)*(D172*1000)*J172</f>
        <v>342.55</v>
      </c>
      <c r="O172" s="13">
        <f>MAX(M172,N172)</f>
        <v>342.55</v>
      </c>
      <c r="P172" s="14">
        <f>ROUNDUP(O172/$J$2,0)</f>
        <v>2</v>
      </c>
      <c r="Q172" s="13">
        <f>P172*$J$2</f>
        <v>398</v>
      </c>
      <c r="R172" s="10">
        <f>Q172*$D$2/(0.85*$B$2*(D172*1000))</f>
        <v>23.41176471</v>
      </c>
      <c r="S172" s="10">
        <f>0.9*Q172*$D$2*(J172-R172/2)/1000000</f>
        <v>49.77351244</v>
      </c>
      <c r="T172" s="15" t="str">
        <f>IF(AND(S172&gt;=F172,O172&lt;=0.025*(D172*1000)*J172,O172&gt;=N172),"CUMPLE","REVISAR")</f>
        <v>CUMPLE</v>
      </c>
      <c r="U172" s="11">
        <f>G172*1000000/(0.9*(D172*1000)*J172^2)</f>
        <v>0.2730262472</v>
      </c>
      <c r="V172" s="12">
        <f>(0.85*$B$2/$D$2)*(1-SQRT(1-2*U172/(0.85*$B$2)))</f>
        <v>0.0006538345487</v>
      </c>
      <c r="W172" s="13">
        <f>V172*(D172*1000)*J172</f>
        <v>67.19130739</v>
      </c>
      <c r="X172" s="13">
        <f>MAX(W172,N172)</f>
        <v>342.55</v>
      </c>
      <c r="Y172" s="14">
        <f>ROUNDUP(X172/$J$2,0)</f>
        <v>2</v>
      </c>
      <c r="Z172" s="13">
        <f>Y172*$J$2</f>
        <v>398</v>
      </c>
      <c r="AA172" s="10">
        <f>0.9*Z172*$D$2*(J172-(Z172*$D$2/(0.85*$B$2*(D172*1000)))/2)/1000000</f>
        <v>49.77351244</v>
      </c>
      <c r="AB172" s="15" t="str">
        <f>IF(AA172&gt;=G172,"CUMPLE","REVISAR")</f>
        <v>CUMPLE</v>
      </c>
      <c r="AC172" s="10">
        <f>0.17*SQRT($B$2)*(D172*1000)*J172/1000</f>
        <v>92.44281538</v>
      </c>
      <c r="AD172" s="10">
        <f>MAX(H172/0.75-AC172,0)</f>
        <v>0</v>
      </c>
      <c r="AE172" s="14">
        <f>IF(AD172&gt;0,MIN($N$2*$D$2*J172/(AD172*1000),MIN(J172/4,6*$H$2,150)),MIN(J172/4,6*$H$2,150))</f>
        <v>85.6375</v>
      </c>
      <c r="AF172" s="10">
        <f>0.66*SQRT($B$2)*(D172*1000)*J172/1000</f>
        <v>358.8956362</v>
      </c>
      <c r="AG172" s="15" t="str">
        <f>IF(AD172&lt;=AF172,"CUMPLE","AUMENTAR SECCION")</f>
        <v>CUMPLE</v>
      </c>
      <c r="AH172" s="10">
        <f>0.75*0.083*SQRT($B$2)*(((D172*1000)*(E172*1000))^2/(2*((D172*1000)+(E172*1000))))/1000000</f>
        <v>3.388073536</v>
      </c>
      <c r="AI172" s="15" t="str">
        <f>IF(I172&gt;AH172,"SI","No")</f>
        <v>No</v>
      </c>
      <c r="AJ172" s="11">
        <f>IF(I172&gt;AH172,I172*1000000/(0.75*2*0.85*((D172*1000-2*$F$2)*(E172*1000-2*$F$2))*$D$2),0)</f>
        <v>0</v>
      </c>
      <c r="AK172" s="10">
        <f>1.25*Q172*$D$2*(J172-(1.25*Q172*$D$2/(0.85*$B$2*(D172*1000)))/2)/1000000</f>
        <v>68.51839235</v>
      </c>
      <c r="AL172" s="10">
        <f>1.25*Z172*$D$2*(J172-(1.25*Z172*$D$2/(0.85*$B$2*(D172*1000)))/2)/1000000</f>
        <v>68.51839235</v>
      </c>
      <c r="AM172" s="10">
        <f>(AK172+AL172)/B172</f>
        <v>36.54314259</v>
      </c>
      <c r="AN172" s="10">
        <f>MAX(H172,AM172)</f>
        <v>36.54314259</v>
      </c>
    </row>
    <row r="173">
      <c r="A173" s="5" t="inlineStr">
        <is>
          <t>F174</t>
        </is>
      </c>
      <c r="B173" s="6" t="n">
        <v>3.75</v>
      </c>
      <c r="C173" s="7" t="inlineStr">
        <is>
          <t>VC</t>
        </is>
      </c>
      <c r="D173" s="8">
        <f>IF(C173="VR",0.35,0.30)</f>
        <v>0.3</v>
      </c>
      <c r="E173" s="6" t="n">
        <v>0.4</v>
      </c>
      <c r="F173" s="9" t="n">
        <v>10.6</v>
      </c>
      <c r="G173" s="9" t="n">
        <v>8.699999999999999</v>
      </c>
      <c r="H173" s="9" t="n">
        <v>15.6</v>
      </c>
      <c r="I173" s="6" t="n">
        <v>0</v>
      </c>
      <c r="J173" s="10">
        <f>E173*1000-$F$2-$L$2-$H$2/2</f>
        <v>342.55</v>
      </c>
      <c r="K173" s="11">
        <f>F173*1000000/(0.9*(D173*1000)*J173^2)</f>
        <v>0.3355224286</v>
      </c>
      <c r="L173" s="12">
        <f>(0.85*$B$2/$D$2)*(1-SQRT(1-2*K173/(0.85*$B$2)))</f>
        <v>0.0008045747534</v>
      </c>
      <c r="M173" s="13">
        <f>L173*(D173*1000)*J173</f>
        <v>82.68212454</v>
      </c>
      <c r="N173" s="13">
        <f>MAX(0.25*SQRT($B$2)/$D$2,1.4/$D$2)*(D173*1000)*J173</f>
        <v>342.55</v>
      </c>
      <c r="O173" s="13">
        <f>MAX(M173,N173)</f>
        <v>342.55</v>
      </c>
      <c r="P173" s="14">
        <f>ROUNDUP(O173/$J$2,0)</f>
        <v>2</v>
      </c>
      <c r="Q173" s="13">
        <f>P173*$J$2</f>
        <v>398</v>
      </c>
      <c r="R173" s="10">
        <f>Q173*$D$2/(0.85*$B$2*(D173*1000))</f>
        <v>23.41176471</v>
      </c>
      <c r="S173" s="10">
        <f>0.9*Q173*$D$2*(J173-R173/2)/1000000</f>
        <v>49.77351244</v>
      </c>
      <c r="T173" s="15" t="str">
        <f>IF(AND(S173&gt;=F173,O173&lt;=0.025*(D173*1000)*J173,O173&gt;=N173),"CUMPLE","REVISAR")</f>
        <v>CUMPLE</v>
      </c>
      <c r="U173" s="11">
        <f>G173*1000000/(0.9*(D173*1000)*J173^2)</f>
        <v>0.2730262472</v>
      </c>
      <c r="V173" s="12">
        <f>(0.85*$B$2/$D$2)*(1-SQRT(1-2*U173/(0.85*$B$2)))</f>
        <v>0.0006538345487</v>
      </c>
      <c r="W173" s="13">
        <f>V173*(D173*1000)*J173</f>
        <v>67.19130739</v>
      </c>
      <c r="X173" s="13">
        <f>MAX(W173,N173)</f>
        <v>342.55</v>
      </c>
      <c r="Y173" s="14">
        <f>ROUNDUP(X173/$J$2,0)</f>
        <v>2</v>
      </c>
      <c r="Z173" s="13">
        <f>Y173*$J$2</f>
        <v>398</v>
      </c>
      <c r="AA173" s="10">
        <f>0.9*Z173*$D$2*(J173-(Z173*$D$2/(0.85*$B$2*(D173*1000)))/2)/1000000</f>
        <v>49.77351244</v>
      </c>
      <c r="AB173" s="15" t="str">
        <f>IF(AA173&gt;=G173,"CUMPLE","REVISAR")</f>
        <v>CUMPLE</v>
      </c>
      <c r="AC173" s="10">
        <f>0.17*SQRT($B$2)*(D173*1000)*J173/1000</f>
        <v>92.44281538</v>
      </c>
      <c r="AD173" s="10">
        <f>MAX(H173/0.75-AC173,0)</f>
        <v>0</v>
      </c>
      <c r="AE173" s="14">
        <f>IF(AD173&gt;0,MIN($N$2*$D$2*J173/(AD173*1000),MIN(J173/4,6*$H$2,150)),MIN(J173/4,6*$H$2,150))</f>
        <v>85.6375</v>
      </c>
      <c r="AF173" s="10">
        <f>0.66*SQRT($B$2)*(D173*1000)*J173/1000</f>
        <v>358.8956362</v>
      </c>
      <c r="AG173" s="15" t="str">
        <f>IF(AD173&lt;=AF173,"CUMPLE","AUMENTAR SECCION")</f>
        <v>CUMPLE</v>
      </c>
      <c r="AH173" s="10">
        <f>0.75*0.083*SQRT($B$2)*(((D173*1000)*(E173*1000))^2/(2*((D173*1000)+(E173*1000))))/1000000</f>
        <v>3.388073536</v>
      </c>
      <c r="AI173" s="15" t="str">
        <f>IF(I173&gt;AH173,"SI","No")</f>
        <v>No</v>
      </c>
      <c r="AJ173" s="11">
        <f>IF(I173&gt;AH173,I173*1000000/(0.75*2*0.85*((D173*1000-2*$F$2)*(E173*1000-2*$F$2))*$D$2),0)</f>
        <v>0</v>
      </c>
      <c r="AK173" s="10">
        <f>1.25*Q173*$D$2*(J173-(1.25*Q173*$D$2/(0.85*$B$2*(D173*1000)))/2)/1000000</f>
        <v>68.51839235</v>
      </c>
      <c r="AL173" s="10">
        <f>1.25*Z173*$D$2*(J173-(1.25*Z173*$D$2/(0.85*$B$2*(D173*1000)))/2)/1000000</f>
        <v>68.51839235</v>
      </c>
      <c r="AM173" s="10">
        <f>(AK173+AL173)/B173</f>
        <v>36.54314259</v>
      </c>
      <c r="AN173" s="10">
        <f>MAX(H173,AM173)</f>
        <v>36.54314259</v>
      </c>
    </row>
    <row r="174">
      <c r="A174" s="5" t="inlineStr">
        <is>
          <t>F175</t>
        </is>
      </c>
      <c r="B174" s="6" t="n">
        <v>1.5</v>
      </c>
      <c r="C174" s="7" t="inlineStr">
        <is>
          <t>VR</t>
        </is>
      </c>
      <c r="D174" s="8">
        <f>IF(C174="VR",0.35,0.30)</f>
        <v>0.35</v>
      </c>
      <c r="E174" s="6" t="n">
        <v>0.4</v>
      </c>
      <c r="F174" s="9" t="n">
        <v>31</v>
      </c>
      <c r="G174" s="9" t="n">
        <v>28</v>
      </c>
      <c r="H174" s="9" t="n">
        <v>45.3</v>
      </c>
      <c r="I174" s="6" t="n">
        <v>25.02</v>
      </c>
      <c r="J174" s="10">
        <f>E174*1000-$F$2-$L$2-$H$2/2</f>
        <v>342.55</v>
      </c>
      <c r="K174" s="11">
        <f>F174*1000000/(0.9*(D174*1000)*J174^2)</f>
        <v>0.8381522514</v>
      </c>
      <c r="L174" s="12">
        <f>(0.85*$B$2/$D$2)*(1-SQRT(1-2*K174/(0.85*$B$2)))</f>
        <v>0.002032034397</v>
      </c>
      <c r="M174" s="13">
        <f>L174*(D174*1000)*J174</f>
        <v>243.6256839</v>
      </c>
      <c r="N174" s="13">
        <f>MAX(0.25*SQRT($B$2)/$D$2,1.4/$D$2)*(D174*1000)*J174</f>
        <v>399.6416667</v>
      </c>
      <c r="O174" s="13">
        <f>MAX(M174,N174)</f>
        <v>399.6416667</v>
      </c>
      <c r="P174" s="14">
        <f>ROUNDUP(O174/$J$2,0)</f>
        <v>3</v>
      </c>
      <c r="Q174" s="13">
        <f>P174*$J$2</f>
        <v>597</v>
      </c>
      <c r="R174" s="10">
        <f>Q174*$D$2/(0.85*$B$2*(D174*1000))</f>
        <v>30.10084034</v>
      </c>
      <c r="S174" s="10">
        <f>0.9*Q174*$D$2*(J174-R174/2)/1000000</f>
        <v>73.90552018</v>
      </c>
      <c r="T174" s="15" t="str">
        <f>IF(AND(S174&gt;=F174,O174&lt;=0.025*(D174*1000)*J174,O174&gt;=N174),"CUMPLE","REVISAR")</f>
        <v>CUMPLE</v>
      </c>
      <c r="U174" s="11">
        <f>G174*1000000/(0.9*(D174*1000)*J174^2)</f>
        <v>0.7578000181</v>
      </c>
      <c r="V174" s="12">
        <f>(0.85*$B$2/$D$2)*(1-SQRT(1-2*U174/(0.85*$B$2)))</f>
        <v>0.001833962995</v>
      </c>
      <c r="W174" s="13">
        <f>V174*(D174*1000)*J174</f>
        <v>219.8784084</v>
      </c>
      <c r="X174" s="13">
        <f>MAX(W174,N174)</f>
        <v>399.6416667</v>
      </c>
      <c r="Y174" s="14">
        <f>ROUNDUP(X174/$J$2,0)</f>
        <v>3</v>
      </c>
      <c r="Z174" s="13">
        <f>Y174*$J$2</f>
        <v>597</v>
      </c>
      <c r="AA174" s="10">
        <f>0.9*Z174*$D$2*(J174-(Z174*$D$2/(0.85*$B$2*(D174*1000)))/2)/1000000</f>
        <v>73.90552018</v>
      </c>
      <c r="AB174" s="15" t="str">
        <f>IF(AA174&gt;=G174,"CUMPLE","REVISAR")</f>
        <v>CUMPLE</v>
      </c>
      <c r="AC174" s="10">
        <f>0.17*SQRT($B$2)*(D174*1000)*J174/1000</f>
        <v>107.8499513</v>
      </c>
      <c r="AD174" s="10">
        <f>MAX(H174/0.75-AC174,0)</f>
        <v>0</v>
      </c>
      <c r="AE174" s="14">
        <f>IF(AD174&gt;0,MIN($N$2*$D$2*J174/(AD174*1000),MIN(J174/4,6*$H$2,150)),MIN(J174/4,6*$H$2,150))</f>
        <v>85.6375</v>
      </c>
      <c r="AF174" s="10">
        <f>0.66*SQRT($B$2)*(D174*1000)*J174/1000</f>
        <v>418.7115756</v>
      </c>
      <c r="AG174" s="15" t="str">
        <f>IF(AD174&lt;=AF174,"CUMPLE","AUMENTAR SECCION")</f>
        <v>CUMPLE</v>
      </c>
      <c r="AH174" s="10">
        <f>0.75*0.083*SQRT($B$2)*(((D174*1000)*(E174*1000))^2/(2*((D174*1000)+(E174*1000))))/1000000</f>
        <v>4.304108233</v>
      </c>
      <c r="AI174" s="15" t="str">
        <f>IF(I174&gt;AH174,"SI","No")</f>
        <v>SI</v>
      </c>
      <c r="AJ174" s="11">
        <f>IF(I174&gt;AH174,I174*1000000/(0.75*2*0.85*((D174*1000-2*$F$2)*(E174*1000-2*$F$2))*$D$2),0)</f>
        <v>0.54068541</v>
      </c>
      <c r="AK174" s="10">
        <f>1.25*Q174*$D$2*(J174-(1.25*Q174*$D$2/(0.85*$B$2*(D174*1000)))/2)/1000000</f>
        <v>101.4672613</v>
      </c>
      <c r="AL174" s="10">
        <f>1.25*Z174*$D$2*(J174-(1.25*Z174*$D$2/(0.85*$B$2*(D174*1000)))/2)/1000000</f>
        <v>101.4672613</v>
      </c>
      <c r="AM174" s="10">
        <f>(AK174+AL174)/B174</f>
        <v>135.2896818</v>
      </c>
      <c r="AN174" s="10">
        <f>MAX(H174,AM174)</f>
        <v>135.2896818</v>
      </c>
    </row>
    <row r="175">
      <c r="A175" s="5" t="inlineStr">
        <is>
          <t>F176</t>
        </is>
      </c>
      <c r="B175" s="6" t="n">
        <v>1.5</v>
      </c>
      <c r="C175" s="7" t="inlineStr">
        <is>
          <t>VR</t>
        </is>
      </c>
      <c r="D175" s="8">
        <f>IF(C175="VR",0.35,0.30)</f>
        <v>0.35</v>
      </c>
      <c r="E175" s="6" t="n">
        <v>0.4</v>
      </c>
      <c r="F175" s="9" t="n">
        <v>50.4</v>
      </c>
      <c r="G175" s="9" t="n">
        <v>46.9</v>
      </c>
      <c r="H175" s="9" t="n">
        <v>71.8</v>
      </c>
      <c r="I175" s="6" t="n">
        <v>25.7</v>
      </c>
      <c r="J175" s="10">
        <f>E175*1000-$F$2-$L$2-$H$2/2</f>
        <v>342.55</v>
      </c>
      <c r="K175" s="11">
        <f>F175*1000000/(0.9*(D175*1000)*J175^2)</f>
        <v>1.362470864</v>
      </c>
      <c r="L175" s="12">
        <f>(0.85*$B$2/$D$2)*(1-SQRT(1-2*K175/(0.85*$B$2)))</f>
        <v>0.003342561021</v>
      </c>
      <c r="M175" s="13">
        <f>L175*(D175*1000)*J175</f>
        <v>400.7479972</v>
      </c>
      <c r="N175" s="13">
        <f>MAX(0.25*SQRT($B$2)/$D$2,1.4/$D$2)*(D175*1000)*J175</f>
        <v>399.6416667</v>
      </c>
      <c r="O175" s="13">
        <f>MAX(M175,N175)</f>
        <v>400.7479972</v>
      </c>
      <c r="P175" s="14">
        <f>ROUNDUP(O175/$J$2,0)</f>
        <v>3</v>
      </c>
      <c r="Q175" s="13">
        <f>P175*$J$2</f>
        <v>597</v>
      </c>
      <c r="R175" s="10">
        <f>Q175*$D$2/(0.85*$B$2*(D175*1000))</f>
        <v>30.10084034</v>
      </c>
      <c r="S175" s="10">
        <f>0.9*Q175*$D$2*(J175-R175/2)/1000000</f>
        <v>73.90552018</v>
      </c>
      <c r="T175" s="15" t="str">
        <f>IF(AND(S175&gt;=F175,O175&lt;=0.025*(D175*1000)*J175,O175&gt;=N175),"CUMPLE","REVISAR")</f>
        <v>CUMPLE</v>
      </c>
      <c r="U175" s="11">
        <f>G175*1000000/(0.9*(D175*1000)*J175^2)</f>
        <v>1.268861865</v>
      </c>
      <c r="V175" s="12">
        <f>(0.85*$B$2/$D$2)*(1-SQRT(1-2*U175/(0.85*$B$2)))</f>
        <v>0.003106235245</v>
      </c>
      <c r="W175" s="13">
        <f>V175*(D175*1000)*J175</f>
        <v>372.4143091</v>
      </c>
      <c r="X175" s="13">
        <f>MAX(W175,N175)</f>
        <v>399.6416667</v>
      </c>
      <c r="Y175" s="14">
        <f>ROUNDUP(X175/$J$2,0)</f>
        <v>3</v>
      </c>
      <c r="Z175" s="13">
        <f>Y175*$J$2</f>
        <v>597</v>
      </c>
      <c r="AA175" s="10">
        <f>0.9*Z175*$D$2*(J175-(Z175*$D$2/(0.85*$B$2*(D175*1000)))/2)/1000000</f>
        <v>73.90552018</v>
      </c>
      <c r="AB175" s="15" t="str">
        <f>IF(AA175&gt;=G175,"CUMPLE","REVISAR")</f>
        <v>CUMPLE</v>
      </c>
      <c r="AC175" s="10">
        <f>0.17*SQRT($B$2)*(D175*1000)*J175/1000</f>
        <v>107.8499513</v>
      </c>
      <c r="AD175" s="10">
        <f>MAX(H175/0.75-AC175,0)</f>
        <v>0</v>
      </c>
      <c r="AE175" s="14">
        <f>IF(AD175&gt;0,MIN($N$2*$D$2*J175/(AD175*1000),MIN(J175/4,6*$H$2,150)),MIN(J175/4,6*$H$2,150))</f>
        <v>85.6375</v>
      </c>
      <c r="AF175" s="10">
        <f>0.66*SQRT($B$2)*(D175*1000)*J175/1000</f>
        <v>418.7115756</v>
      </c>
      <c r="AG175" s="15" t="str">
        <f>IF(AD175&lt;=AF175,"CUMPLE","AUMENTAR SECCION")</f>
        <v>CUMPLE</v>
      </c>
      <c r="AH175" s="10">
        <f>0.75*0.083*SQRT($B$2)*(((D175*1000)*(E175*1000))^2/(2*((D175*1000)+(E175*1000))))/1000000</f>
        <v>4.304108233</v>
      </c>
      <c r="AI175" s="15" t="str">
        <f>IF(I175&gt;AH175,"SI","No")</f>
        <v>SI</v>
      </c>
      <c r="AJ175" s="11">
        <f>IF(I175&gt;AH175,I175*1000000/(0.75*2*0.85*((D175*1000-2*$F$2)*(E175*1000-2*$F$2))*$D$2),0)</f>
        <v>0.5555771691</v>
      </c>
      <c r="AK175" s="10">
        <f>1.25*Q175*$D$2*(J175-(1.25*Q175*$D$2/(0.85*$B$2*(D175*1000)))/2)/1000000</f>
        <v>101.4672613</v>
      </c>
      <c r="AL175" s="10">
        <f>1.25*Z175*$D$2*(J175-(1.25*Z175*$D$2/(0.85*$B$2*(D175*1000)))/2)/1000000</f>
        <v>101.4672613</v>
      </c>
      <c r="AM175" s="10">
        <f>(AK175+AL175)/B175</f>
        <v>135.2896818</v>
      </c>
      <c r="AN175" s="10">
        <f>MAX(H175,AM175)</f>
        <v>135.2896818</v>
      </c>
    </row>
    <row r="176">
      <c r="A176" s="5" t="inlineStr">
        <is>
          <t>F177</t>
        </is>
      </c>
      <c r="B176" s="6" t="n">
        <v>1.5</v>
      </c>
      <c r="C176" s="7" t="inlineStr">
        <is>
          <t>VR</t>
        </is>
      </c>
      <c r="D176" s="8">
        <f>IF(C176="VR",0.35,0.30)</f>
        <v>0.35</v>
      </c>
      <c r="E176" s="6" t="n">
        <v>0.4</v>
      </c>
      <c r="F176" s="9" t="n">
        <v>31</v>
      </c>
      <c r="G176" s="9" t="n">
        <v>28</v>
      </c>
      <c r="H176" s="9" t="n">
        <v>45.3</v>
      </c>
      <c r="I176" s="6" t="n">
        <v>25.02</v>
      </c>
      <c r="J176" s="10">
        <f>E176*1000-$F$2-$L$2-$H$2/2</f>
        <v>342.55</v>
      </c>
      <c r="K176" s="11">
        <f>F176*1000000/(0.9*(D176*1000)*J176^2)</f>
        <v>0.8381522514</v>
      </c>
      <c r="L176" s="12">
        <f>(0.85*$B$2/$D$2)*(1-SQRT(1-2*K176/(0.85*$B$2)))</f>
        <v>0.002032034397</v>
      </c>
      <c r="M176" s="13">
        <f>L176*(D176*1000)*J176</f>
        <v>243.6256839</v>
      </c>
      <c r="N176" s="13">
        <f>MAX(0.25*SQRT($B$2)/$D$2,1.4/$D$2)*(D176*1000)*J176</f>
        <v>399.6416667</v>
      </c>
      <c r="O176" s="13">
        <f>MAX(M176,N176)</f>
        <v>399.6416667</v>
      </c>
      <c r="P176" s="14">
        <f>ROUNDUP(O176/$J$2,0)</f>
        <v>3</v>
      </c>
      <c r="Q176" s="13">
        <f>P176*$J$2</f>
        <v>597</v>
      </c>
      <c r="R176" s="10">
        <f>Q176*$D$2/(0.85*$B$2*(D176*1000))</f>
        <v>30.10084034</v>
      </c>
      <c r="S176" s="10">
        <f>0.9*Q176*$D$2*(J176-R176/2)/1000000</f>
        <v>73.90552018</v>
      </c>
      <c r="T176" s="15" t="str">
        <f>IF(AND(S176&gt;=F176,O176&lt;=0.025*(D176*1000)*J176,O176&gt;=N176),"CUMPLE","REVISAR")</f>
        <v>CUMPLE</v>
      </c>
      <c r="U176" s="11">
        <f>G176*1000000/(0.9*(D176*1000)*J176^2)</f>
        <v>0.7578000181</v>
      </c>
      <c r="V176" s="12">
        <f>(0.85*$B$2/$D$2)*(1-SQRT(1-2*U176/(0.85*$B$2)))</f>
        <v>0.001833962995</v>
      </c>
      <c r="W176" s="13">
        <f>V176*(D176*1000)*J176</f>
        <v>219.8784084</v>
      </c>
      <c r="X176" s="13">
        <f>MAX(W176,N176)</f>
        <v>399.6416667</v>
      </c>
      <c r="Y176" s="14">
        <f>ROUNDUP(X176/$J$2,0)</f>
        <v>3</v>
      </c>
      <c r="Z176" s="13">
        <f>Y176*$J$2</f>
        <v>597</v>
      </c>
      <c r="AA176" s="10">
        <f>0.9*Z176*$D$2*(J176-(Z176*$D$2/(0.85*$B$2*(D176*1000)))/2)/1000000</f>
        <v>73.90552018</v>
      </c>
      <c r="AB176" s="15" t="str">
        <f>IF(AA176&gt;=G176,"CUMPLE","REVISAR")</f>
        <v>CUMPLE</v>
      </c>
      <c r="AC176" s="10">
        <f>0.17*SQRT($B$2)*(D176*1000)*J176/1000</f>
        <v>107.8499513</v>
      </c>
      <c r="AD176" s="10">
        <f>MAX(H176/0.75-AC176,0)</f>
        <v>0</v>
      </c>
      <c r="AE176" s="14">
        <f>IF(AD176&gt;0,MIN($N$2*$D$2*J176/(AD176*1000),MIN(J176/4,6*$H$2,150)),MIN(J176/4,6*$H$2,150))</f>
        <v>85.6375</v>
      </c>
      <c r="AF176" s="10">
        <f>0.66*SQRT($B$2)*(D176*1000)*J176/1000</f>
        <v>418.7115756</v>
      </c>
      <c r="AG176" s="15" t="str">
        <f>IF(AD176&lt;=AF176,"CUMPLE","AUMENTAR SECCION")</f>
        <v>CUMPLE</v>
      </c>
      <c r="AH176" s="10">
        <f>0.75*0.083*SQRT($B$2)*(((D176*1000)*(E176*1000))^2/(2*((D176*1000)+(E176*1000))))/1000000</f>
        <v>4.304108233</v>
      </c>
      <c r="AI176" s="15" t="str">
        <f>IF(I176&gt;AH176,"SI","No")</f>
        <v>SI</v>
      </c>
      <c r="AJ176" s="11">
        <f>IF(I176&gt;AH176,I176*1000000/(0.75*2*0.85*((D176*1000-2*$F$2)*(E176*1000-2*$F$2))*$D$2),0)</f>
        <v>0.5407070236</v>
      </c>
      <c r="AK176" s="10">
        <f>1.25*Q176*$D$2*(J176-(1.25*Q176*$D$2/(0.85*$B$2*(D176*1000)))/2)/1000000</f>
        <v>101.4672613</v>
      </c>
      <c r="AL176" s="10">
        <f>1.25*Z176*$D$2*(J176-(1.25*Z176*$D$2/(0.85*$B$2*(D176*1000)))/2)/1000000</f>
        <v>101.4672613</v>
      </c>
      <c r="AM176" s="10">
        <f>(AK176+AL176)/B176</f>
        <v>135.2896818</v>
      </c>
      <c r="AN176" s="10">
        <f>MAX(H176,AM176)</f>
        <v>135.2896818</v>
      </c>
    </row>
    <row r="177">
      <c r="A177" s="5" t="inlineStr">
        <is>
          <t>F178</t>
        </is>
      </c>
      <c r="B177" s="6" t="n">
        <v>3.75</v>
      </c>
      <c r="C177" s="7" t="inlineStr">
        <is>
          <t>VC</t>
        </is>
      </c>
      <c r="D177" s="8">
        <f>IF(C177="VR",0.35,0.30)</f>
        <v>0.3</v>
      </c>
      <c r="E177" s="6" t="n">
        <v>0.4</v>
      </c>
      <c r="F177" s="9" t="n">
        <v>25</v>
      </c>
      <c r="G177" s="9" t="n">
        <v>16.5</v>
      </c>
      <c r="H177" s="9" t="n">
        <v>21.5</v>
      </c>
      <c r="I177" s="6" t="n">
        <v>0</v>
      </c>
      <c r="J177" s="10">
        <f>E177*1000-$F$2-$L$2-$H$2/2</f>
        <v>342.55</v>
      </c>
      <c r="K177" s="11">
        <f>F177*1000000/(0.9*(D177*1000)*J177^2)</f>
        <v>0.7897244744</v>
      </c>
      <c r="L177" s="12">
        <f>(0.85*$B$2/$D$2)*(1-SQRT(1-2*K177/(0.85*$B$2)))</f>
        <v>0.001912572243</v>
      </c>
      <c r="M177" s="13">
        <f>L177*(D177*1000)*J177</f>
        <v>196.5454866</v>
      </c>
      <c r="N177" s="13">
        <f>MAX(0.25*SQRT($B$2)/$D$2,1.4/$D$2)*(D177*1000)*J177</f>
        <v>342.55</v>
      </c>
      <c r="O177" s="13">
        <f>MAX(M177,N177)</f>
        <v>342.55</v>
      </c>
      <c r="P177" s="14">
        <f>ROUNDUP(O177/$J$2,0)</f>
        <v>2</v>
      </c>
      <c r="Q177" s="13">
        <f>P177*$J$2</f>
        <v>398</v>
      </c>
      <c r="R177" s="10">
        <f>Q177*$D$2/(0.85*$B$2*(D177*1000))</f>
        <v>23.41176471</v>
      </c>
      <c r="S177" s="10">
        <f>0.9*Q177*$D$2*(J177-R177/2)/1000000</f>
        <v>49.77351244</v>
      </c>
      <c r="T177" s="15" t="str">
        <f>IF(AND(S177&gt;=F177,O177&lt;=0.025*(D177*1000)*J177,O177&gt;=N177),"CUMPLE","REVISAR")</f>
        <v>CUMPLE</v>
      </c>
      <c r="U177" s="11">
        <f>G177*1000000/(0.9*(D177*1000)*J177^2)</f>
        <v>0.5217484238</v>
      </c>
      <c r="V177" s="12">
        <f>(0.85*$B$2/$D$2)*(1-SQRT(1-2*U177/(0.85*$B$2)))</f>
        <v>0.001256181613</v>
      </c>
      <c r="W177" s="13">
        <f>V177*(D177*1000)*J177</f>
        <v>129.0915034</v>
      </c>
      <c r="X177" s="13">
        <f>MAX(W177,N177)</f>
        <v>342.55</v>
      </c>
      <c r="Y177" s="14">
        <f>ROUNDUP(X177/$J$2,0)</f>
        <v>2</v>
      </c>
      <c r="Z177" s="13">
        <f>Y177*$J$2</f>
        <v>398</v>
      </c>
      <c r="AA177" s="10">
        <f>0.9*Z177*$D$2*(J177-(Z177*$D$2/(0.85*$B$2*(D177*1000)))/2)/1000000</f>
        <v>49.77351244</v>
      </c>
      <c r="AB177" s="15" t="str">
        <f>IF(AA177&gt;=G177,"CUMPLE","REVISAR")</f>
        <v>CUMPLE</v>
      </c>
      <c r="AC177" s="10">
        <f>0.17*SQRT($B$2)*(D177*1000)*J177/1000</f>
        <v>92.44281538</v>
      </c>
      <c r="AD177" s="10">
        <f>MAX(H177/0.75-AC177,0)</f>
        <v>0</v>
      </c>
      <c r="AE177" s="14">
        <f>IF(AD177&gt;0,MIN($N$2*$D$2*J177/(AD177*1000),MIN(J177/4,6*$H$2,150)),MIN(J177/4,6*$H$2,150))</f>
        <v>85.6375</v>
      </c>
      <c r="AF177" s="10">
        <f>0.66*SQRT($B$2)*(D177*1000)*J177/1000</f>
        <v>358.8956362</v>
      </c>
      <c r="AG177" s="15" t="str">
        <f>IF(AD177&lt;=AF177,"CUMPLE","AUMENTAR SECCION")</f>
        <v>CUMPLE</v>
      </c>
      <c r="AH177" s="10">
        <f>0.75*0.083*SQRT($B$2)*(((D177*1000)*(E177*1000))^2/(2*((D177*1000)+(E177*1000))))/1000000</f>
        <v>3.388073536</v>
      </c>
      <c r="AI177" s="15" t="str">
        <f>IF(I177&gt;AH177,"SI","No")</f>
        <v>No</v>
      </c>
      <c r="AJ177" s="11">
        <f>IF(I177&gt;AH177,I177*1000000/(0.75*2*0.85*((D177*1000-2*$F$2)*(E177*1000-2*$F$2))*$D$2),0)</f>
        <v>0</v>
      </c>
      <c r="AK177" s="10">
        <f>1.25*Q177*$D$2*(J177-(1.25*Q177*$D$2/(0.85*$B$2*(D177*1000)))/2)/1000000</f>
        <v>68.51839235</v>
      </c>
      <c r="AL177" s="10">
        <f>1.25*Z177*$D$2*(J177-(1.25*Z177*$D$2/(0.85*$B$2*(D177*1000)))/2)/1000000</f>
        <v>68.51839235</v>
      </c>
      <c r="AM177" s="10">
        <f>(AK177+AL177)/B177</f>
        <v>36.54314259</v>
      </c>
      <c r="AN177" s="10">
        <f>MAX(H177,AM177)</f>
        <v>36.54314259</v>
      </c>
    </row>
    <row r="178">
      <c r="A178" s="5" t="inlineStr">
        <is>
          <t>F179</t>
        </is>
      </c>
      <c r="B178" s="6" t="n">
        <v>3.75</v>
      </c>
      <c r="C178" s="7" t="inlineStr">
        <is>
          <t>VC</t>
        </is>
      </c>
      <c r="D178" s="8">
        <f>IF(C178="VR",0.35,0.30)</f>
        <v>0.3</v>
      </c>
      <c r="E178" s="6" t="n">
        <v>0.4</v>
      </c>
      <c r="F178" s="9" t="n">
        <v>25</v>
      </c>
      <c r="G178" s="9" t="n">
        <v>16.5</v>
      </c>
      <c r="H178" s="9" t="n">
        <v>21.5</v>
      </c>
      <c r="I178" s="6" t="n">
        <v>0</v>
      </c>
      <c r="J178" s="10">
        <f>E178*1000-$F$2-$L$2-$H$2/2</f>
        <v>342.55</v>
      </c>
      <c r="K178" s="11">
        <f>F178*1000000/(0.9*(D178*1000)*J178^2)</f>
        <v>0.7897244744</v>
      </c>
      <c r="L178" s="12">
        <f>(0.85*$B$2/$D$2)*(1-SQRT(1-2*K178/(0.85*$B$2)))</f>
        <v>0.001912572243</v>
      </c>
      <c r="M178" s="13">
        <f>L178*(D178*1000)*J178</f>
        <v>196.5454866</v>
      </c>
      <c r="N178" s="13">
        <f>MAX(0.25*SQRT($B$2)/$D$2,1.4/$D$2)*(D178*1000)*J178</f>
        <v>342.55</v>
      </c>
      <c r="O178" s="13">
        <f>MAX(M178,N178)</f>
        <v>342.55</v>
      </c>
      <c r="P178" s="14">
        <f>ROUNDUP(O178/$J$2,0)</f>
        <v>2</v>
      </c>
      <c r="Q178" s="13">
        <f>P178*$J$2</f>
        <v>398</v>
      </c>
      <c r="R178" s="10">
        <f>Q178*$D$2/(0.85*$B$2*(D178*1000))</f>
        <v>23.41176471</v>
      </c>
      <c r="S178" s="10">
        <f>0.9*Q178*$D$2*(J178-R178/2)/1000000</f>
        <v>49.77351244</v>
      </c>
      <c r="T178" s="15" t="str">
        <f>IF(AND(S178&gt;=F178,O178&lt;=0.025*(D178*1000)*J178,O178&gt;=N178),"CUMPLE","REVISAR")</f>
        <v>CUMPLE</v>
      </c>
      <c r="U178" s="11">
        <f>G178*1000000/(0.9*(D178*1000)*J178^2)</f>
        <v>0.5217484238</v>
      </c>
      <c r="V178" s="12">
        <f>(0.85*$B$2/$D$2)*(1-SQRT(1-2*U178/(0.85*$B$2)))</f>
        <v>0.001256181613</v>
      </c>
      <c r="W178" s="13">
        <f>V178*(D178*1000)*J178</f>
        <v>129.0915034</v>
      </c>
      <c r="X178" s="13">
        <f>MAX(W178,N178)</f>
        <v>342.55</v>
      </c>
      <c r="Y178" s="14">
        <f>ROUNDUP(X178/$J$2,0)</f>
        <v>2</v>
      </c>
      <c r="Z178" s="13">
        <f>Y178*$J$2</f>
        <v>398</v>
      </c>
      <c r="AA178" s="10">
        <f>0.9*Z178*$D$2*(J178-(Z178*$D$2/(0.85*$B$2*(D178*1000)))/2)/1000000</f>
        <v>49.77351244</v>
      </c>
      <c r="AB178" s="15" t="str">
        <f>IF(AA178&gt;=G178,"CUMPLE","REVISAR")</f>
        <v>CUMPLE</v>
      </c>
      <c r="AC178" s="10">
        <f>0.17*SQRT($B$2)*(D178*1000)*J178/1000</f>
        <v>92.44281538</v>
      </c>
      <c r="AD178" s="10">
        <f>MAX(H178/0.75-AC178,0)</f>
        <v>0</v>
      </c>
      <c r="AE178" s="14">
        <f>IF(AD178&gt;0,MIN($N$2*$D$2*J178/(AD178*1000),MIN(J178/4,6*$H$2,150)),MIN(J178/4,6*$H$2,150))</f>
        <v>85.6375</v>
      </c>
      <c r="AF178" s="10">
        <f>0.66*SQRT($B$2)*(D178*1000)*J178/1000</f>
        <v>358.8956362</v>
      </c>
      <c r="AG178" s="15" t="str">
        <f>IF(AD178&lt;=AF178,"CUMPLE","AUMENTAR SECCION")</f>
        <v>CUMPLE</v>
      </c>
      <c r="AH178" s="10">
        <f>0.75*0.083*SQRT($B$2)*(((D178*1000)*(E178*1000))^2/(2*((D178*1000)+(E178*1000))))/1000000</f>
        <v>3.388073536</v>
      </c>
      <c r="AI178" s="15" t="str">
        <f>IF(I178&gt;AH178,"SI","No")</f>
        <v>No</v>
      </c>
      <c r="AJ178" s="11">
        <f>IF(I178&gt;AH178,I178*1000000/(0.75*2*0.85*((D178*1000-2*$F$2)*(E178*1000-2*$F$2))*$D$2),0)</f>
        <v>0</v>
      </c>
      <c r="AK178" s="10">
        <f>1.25*Q178*$D$2*(J178-(1.25*Q178*$D$2/(0.85*$B$2*(D178*1000)))/2)/1000000</f>
        <v>68.51839235</v>
      </c>
      <c r="AL178" s="10">
        <f>1.25*Z178*$D$2*(J178-(1.25*Z178*$D$2/(0.85*$B$2*(D178*1000)))/2)/1000000</f>
        <v>68.51839235</v>
      </c>
      <c r="AM178" s="10">
        <f>(AK178+AL178)/B178</f>
        <v>36.54314259</v>
      </c>
      <c r="AN178" s="10">
        <f>MAX(H178,AM178)</f>
        <v>36.54314259</v>
      </c>
    </row>
    <row r="179">
      <c r="A179" s="5" t="inlineStr">
        <is>
          <t>F180</t>
        </is>
      </c>
      <c r="B179" s="6" t="n">
        <v>1.5</v>
      </c>
      <c r="C179" s="7" t="inlineStr">
        <is>
          <t>VR</t>
        </is>
      </c>
      <c r="D179" s="8">
        <f>IF(C179="VR",0.35,0.30)</f>
        <v>0.35</v>
      </c>
      <c r="E179" s="6" t="n">
        <v>0.4</v>
      </c>
      <c r="F179" s="9" t="n">
        <v>29.9</v>
      </c>
      <c r="G179" s="9" t="n">
        <v>27</v>
      </c>
      <c r="H179" s="9" t="n">
        <v>43.9</v>
      </c>
      <c r="I179" s="6" t="n">
        <v>21.38</v>
      </c>
      <c r="J179" s="10">
        <f>E179*1000-$F$2-$L$2-$H$2/2</f>
        <v>342.55</v>
      </c>
      <c r="K179" s="11">
        <f>F179*1000000/(0.9*(D179*1000)*J179^2)</f>
        <v>0.8097448962</v>
      </c>
      <c r="L179" s="12">
        <f>(0.85*$B$2/$D$2)*(1-SQRT(1-2*K179/(0.85*$B$2)))</f>
        <v>0.0019619272</v>
      </c>
      <c r="M179" s="13">
        <f>L179*(D179*1000)*J179</f>
        <v>235.2203569</v>
      </c>
      <c r="N179" s="13">
        <f>MAX(0.25*SQRT($B$2)/$D$2,1.4/$D$2)*(D179*1000)*J179</f>
        <v>399.6416667</v>
      </c>
      <c r="O179" s="13">
        <f>MAX(M179,N179)</f>
        <v>399.6416667</v>
      </c>
      <c r="P179" s="14">
        <f>ROUNDUP(O179/$J$2,0)</f>
        <v>3</v>
      </c>
      <c r="Q179" s="13">
        <f>P179*$J$2</f>
        <v>597</v>
      </c>
      <c r="R179" s="10">
        <f>Q179*$D$2/(0.85*$B$2*(D179*1000))</f>
        <v>30.10084034</v>
      </c>
      <c r="S179" s="10">
        <f>0.9*Q179*$D$2*(J179-R179/2)/1000000</f>
        <v>73.90552018</v>
      </c>
      <c r="T179" s="15" t="str">
        <f>IF(AND(S179&gt;=F179,O179&lt;=0.025*(D179*1000)*J179,O179&gt;=N179),"CUMPLE","REVISAR")</f>
        <v>CUMPLE</v>
      </c>
      <c r="U179" s="11">
        <f>G179*1000000/(0.9*(D179*1000)*J179^2)</f>
        <v>0.7293926629</v>
      </c>
      <c r="V179" s="12">
        <f>(0.85*$B$2/$D$2)*(1-SQRT(1-2*U179/(0.85*$B$2)))</f>
        <v>0.001764108723</v>
      </c>
      <c r="W179" s="13">
        <f>V179*(D179*1000)*J179</f>
        <v>211.5034051</v>
      </c>
      <c r="X179" s="13">
        <f>MAX(W179,N179)</f>
        <v>399.6416667</v>
      </c>
      <c r="Y179" s="14">
        <f>ROUNDUP(X179/$J$2,0)</f>
        <v>3</v>
      </c>
      <c r="Z179" s="13">
        <f>Y179*$J$2</f>
        <v>597</v>
      </c>
      <c r="AA179" s="10">
        <f>0.9*Z179*$D$2*(J179-(Z179*$D$2/(0.85*$B$2*(D179*1000)))/2)/1000000</f>
        <v>73.90552018</v>
      </c>
      <c r="AB179" s="15" t="str">
        <f>IF(AA179&gt;=G179,"CUMPLE","REVISAR")</f>
        <v>CUMPLE</v>
      </c>
      <c r="AC179" s="10">
        <f>0.17*SQRT($B$2)*(D179*1000)*J179/1000</f>
        <v>107.8499513</v>
      </c>
      <c r="AD179" s="10">
        <f>MAX(H179/0.75-AC179,0)</f>
        <v>0</v>
      </c>
      <c r="AE179" s="14">
        <f>IF(AD179&gt;0,MIN($N$2*$D$2*J179/(AD179*1000),MIN(J179/4,6*$H$2,150)),MIN(J179/4,6*$H$2,150))</f>
        <v>85.6375</v>
      </c>
      <c r="AF179" s="10">
        <f>0.66*SQRT($B$2)*(D179*1000)*J179/1000</f>
        <v>418.7115756</v>
      </c>
      <c r="AG179" s="15" t="str">
        <f>IF(AD179&lt;=AF179,"CUMPLE","AUMENTAR SECCION")</f>
        <v>CUMPLE</v>
      </c>
      <c r="AH179" s="10">
        <f>0.75*0.083*SQRT($B$2)*(((D179*1000)*(E179*1000))^2/(2*((D179*1000)+(E179*1000))))/1000000</f>
        <v>4.304108233</v>
      </c>
      <c r="AI179" s="15" t="str">
        <f>IF(I179&gt;AH179,"SI","No")</f>
        <v>SI</v>
      </c>
      <c r="AJ179" s="11">
        <f>IF(I179&gt;AH179,I179*1000000/(0.75*2*0.85*((D179*1000-2*$F$2)*(E179*1000-2*$F$2))*$D$2),0)</f>
        <v>0.4620551924</v>
      </c>
      <c r="AK179" s="10">
        <f>1.25*Q179*$D$2*(J179-(1.25*Q179*$D$2/(0.85*$B$2*(D179*1000)))/2)/1000000</f>
        <v>101.4672613</v>
      </c>
      <c r="AL179" s="10">
        <f>1.25*Z179*$D$2*(J179-(1.25*Z179*$D$2/(0.85*$B$2*(D179*1000)))/2)/1000000</f>
        <v>101.4672613</v>
      </c>
      <c r="AM179" s="10">
        <f>(AK179+AL179)/B179</f>
        <v>135.2896818</v>
      </c>
      <c r="AN179" s="10">
        <f>MAX(H179,AM179)</f>
        <v>135.2896818</v>
      </c>
    </row>
    <row r="180">
      <c r="A180" s="5" t="inlineStr">
        <is>
          <t>F181</t>
        </is>
      </c>
      <c r="B180" s="6" t="n">
        <v>1.5</v>
      </c>
      <c r="C180" s="7" t="inlineStr">
        <is>
          <t>VR</t>
        </is>
      </c>
      <c r="D180" s="8">
        <f>IF(C180="VR",0.35,0.30)</f>
        <v>0.35</v>
      </c>
      <c r="E180" s="6" t="n">
        <v>0.4</v>
      </c>
      <c r="F180" s="9" t="n">
        <v>49.9</v>
      </c>
      <c r="G180" s="9" t="n">
        <v>46.4</v>
      </c>
      <c r="H180" s="9" t="n">
        <v>71.09999999999999</v>
      </c>
      <c r="I180" s="6" t="n">
        <v>20.47</v>
      </c>
      <c r="J180" s="10">
        <f>E180*1000-$F$2-$L$2-$H$2/2</f>
        <v>342.55</v>
      </c>
      <c r="K180" s="11">
        <f>F180*1000000/(0.9*(D180*1000)*J180^2)</f>
        <v>1.348673006</v>
      </c>
      <c r="L180" s="12">
        <f>(0.85*$B$2/$D$2)*(1-SQRT(1-2*K180/(0.85*$B$2)))</f>
        <v>0.003307661105</v>
      </c>
      <c r="M180" s="13">
        <f>L180*(D180*1000)*J180</f>
        <v>396.563759</v>
      </c>
      <c r="N180" s="13">
        <f>MAX(0.25*SQRT($B$2)/$D$2,1.4/$D$2)*(D180*1000)*J180</f>
        <v>399.6416667</v>
      </c>
      <c r="O180" s="13">
        <f>MAX(M180,N180)</f>
        <v>399.6416667</v>
      </c>
      <c r="P180" s="14">
        <f>ROUNDUP(O180/$J$2,0)</f>
        <v>3</v>
      </c>
      <c r="Q180" s="13">
        <f>P180*$J$2</f>
        <v>597</v>
      </c>
      <c r="R180" s="10">
        <f>Q180*$D$2/(0.85*$B$2*(D180*1000))</f>
        <v>30.10084034</v>
      </c>
      <c r="S180" s="10">
        <f>0.9*Q180*$D$2*(J180-R180/2)/1000000</f>
        <v>73.90552018</v>
      </c>
      <c r="T180" s="15" t="str">
        <f>IF(AND(S180&gt;=F180,O180&lt;=0.025*(D180*1000)*J180,O180&gt;=N180),"CUMPLE","REVISAR")</f>
        <v>CUMPLE</v>
      </c>
      <c r="U180" s="11">
        <f>G180*1000000/(0.9*(D180*1000)*J180^2)</f>
        <v>1.254793461</v>
      </c>
      <c r="V180" s="12">
        <f>(0.85*$B$2/$D$2)*(1-SQRT(1-2*U180/(0.85*$B$2)))</f>
        <v>0.003070808149</v>
      </c>
      <c r="W180" s="13">
        <f>V180*(D180*1000)*J180</f>
        <v>368.166866</v>
      </c>
      <c r="X180" s="13">
        <f>MAX(W180,N180)</f>
        <v>399.6416667</v>
      </c>
      <c r="Y180" s="14">
        <f>ROUNDUP(X180/$J$2,0)</f>
        <v>3</v>
      </c>
      <c r="Z180" s="13">
        <f>Y180*$J$2</f>
        <v>597</v>
      </c>
      <c r="AA180" s="10">
        <f>0.9*Z180*$D$2*(J180-(Z180*$D$2/(0.85*$B$2*(D180*1000)))/2)/1000000</f>
        <v>73.90552018</v>
      </c>
      <c r="AB180" s="15" t="str">
        <f>IF(AA180&gt;=G180,"CUMPLE","REVISAR")</f>
        <v>CUMPLE</v>
      </c>
      <c r="AC180" s="10">
        <f>0.17*SQRT($B$2)*(D180*1000)*J180/1000</f>
        <v>107.8499513</v>
      </c>
      <c r="AD180" s="10">
        <f>MAX(H180/0.75-AC180,0)</f>
        <v>0</v>
      </c>
      <c r="AE180" s="14">
        <f>IF(AD180&gt;0,MIN($N$2*$D$2*J180/(AD180*1000),MIN(J180/4,6*$H$2,150)),MIN(J180/4,6*$H$2,150))</f>
        <v>85.6375</v>
      </c>
      <c r="AF180" s="10">
        <f>0.66*SQRT($B$2)*(D180*1000)*J180/1000</f>
        <v>418.7115756</v>
      </c>
      <c r="AG180" s="15" t="str">
        <f>IF(AD180&lt;=AF180,"CUMPLE","AUMENTAR SECCION")</f>
        <v>CUMPLE</v>
      </c>
      <c r="AH180" s="10">
        <f>0.75*0.083*SQRT($B$2)*(((D180*1000)*(E180*1000))^2/(2*((D180*1000)+(E180*1000))))/1000000</f>
        <v>4.304108233</v>
      </c>
      <c r="AI180" s="15" t="str">
        <f>IF(I180&gt;AH180,"SI","No")</f>
        <v>SI</v>
      </c>
      <c r="AJ180" s="11">
        <f>IF(I180&gt;AH180,I180*1000000/(0.75*2*0.85*((D180*1000-2*$F$2)*(E180*1000-2*$F$2))*$D$2),0)</f>
        <v>0.4423436041</v>
      </c>
      <c r="AK180" s="10">
        <f>1.25*Q180*$D$2*(J180-(1.25*Q180*$D$2/(0.85*$B$2*(D180*1000)))/2)/1000000</f>
        <v>101.4672613</v>
      </c>
      <c r="AL180" s="10">
        <f>1.25*Z180*$D$2*(J180-(1.25*Z180*$D$2/(0.85*$B$2*(D180*1000)))/2)/1000000</f>
        <v>101.4672613</v>
      </c>
      <c r="AM180" s="10">
        <f>(AK180+AL180)/B180</f>
        <v>135.2896818</v>
      </c>
      <c r="AN180" s="10">
        <f>MAX(H180,AM180)</f>
        <v>135.2896818</v>
      </c>
    </row>
    <row r="181">
      <c r="A181" s="5" t="inlineStr">
        <is>
          <t>F182</t>
        </is>
      </c>
      <c r="B181" s="6" t="n">
        <v>1.5</v>
      </c>
      <c r="C181" s="7" t="inlineStr">
        <is>
          <t>VR</t>
        </is>
      </c>
      <c r="D181" s="8">
        <f>IF(C181="VR",0.35,0.30)</f>
        <v>0.35</v>
      </c>
      <c r="E181" s="6" t="n">
        <v>0.4</v>
      </c>
      <c r="F181" s="9" t="n">
        <v>29.9</v>
      </c>
      <c r="G181" s="9" t="n">
        <v>27</v>
      </c>
      <c r="H181" s="9" t="n">
        <v>43.9</v>
      </c>
      <c r="I181" s="6" t="n">
        <v>21.38</v>
      </c>
      <c r="J181" s="10">
        <f>E181*1000-$F$2-$L$2-$H$2/2</f>
        <v>342.55</v>
      </c>
      <c r="K181" s="11">
        <f>F181*1000000/(0.9*(D181*1000)*J181^2)</f>
        <v>0.8097448962</v>
      </c>
      <c r="L181" s="12">
        <f>(0.85*$B$2/$D$2)*(1-SQRT(1-2*K181/(0.85*$B$2)))</f>
        <v>0.0019619272</v>
      </c>
      <c r="M181" s="13">
        <f>L181*(D181*1000)*J181</f>
        <v>235.2203569</v>
      </c>
      <c r="N181" s="13">
        <f>MAX(0.25*SQRT($B$2)/$D$2,1.4/$D$2)*(D181*1000)*J181</f>
        <v>399.6416667</v>
      </c>
      <c r="O181" s="13">
        <f>MAX(M181,N181)</f>
        <v>399.6416667</v>
      </c>
      <c r="P181" s="14">
        <f>ROUNDUP(O181/$J$2,0)</f>
        <v>3</v>
      </c>
      <c r="Q181" s="13">
        <f>P181*$J$2</f>
        <v>597</v>
      </c>
      <c r="R181" s="10">
        <f>Q181*$D$2/(0.85*$B$2*(D181*1000))</f>
        <v>30.10084034</v>
      </c>
      <c r="S181" s="10">
        <f>0.9*Q181*$D$2*(J181-R181/2)/1000000</f>
        <v>73.90552018</v>
      </c>
      <c r="T181" s="15" t="str">
        <f>IF(AND(S181&gt;=F181,O181&lt;=0.025*(D181*1000)*J181,O181&gt;=N181),"CUMPLE","REVISAR")</f>
        <v>CUMPLE</v>
      </c>
      <c r="U181" s="11">
        <f>G181*1000000/(0.9*(D181*1000)*J181^2)</f>
        <v>0.7293926629</v>
      </c>
      <c r="V181" s="12">
        <f>(0.85*$B$2/$D$2)*(1-SQRT(1-2*U181/(0.85*$B$2)))</f>
        <v>0.001764108723</v>
      </c>
      <c r="W181" s="13">
        <f>V181*(D181*1000)*J181</f>
        <v>211.5034051</v>
      </c>
      <c r="X181" s="13">
        <f>MAX(W181,N181)</f>
        <v>399.6416667</v>
      </c>
      <c r="Y181" s="14">
        <f>ROUNDUP(X181/$J$2,0)</f>
        <v>3</v>
      </c>
      <c r="Z181" s="13">
        <f>Y181*$J$2</f>
        <v>597</v>
      </c>
      <c r="AA181" s="10">
        <f>0.9*Z181*$D$2*(J181-(Z181*$D$2/(0.85*$B$2*(D181*1000)))/2)/1000000</f>
        <v>73.90552018</v>
      </c>
      <c r="AB181" s="15" t="str">
        <f>IF(AA181&gt;=G181,"CUMPLE","REVISAR")</f>
        <v>CUMPLE</v>
      </c>
      <c r="AC181" s="10">
        <f>0.17*SQRT($B$2)*(D181*1000)*J181/1000</f>
        <v>107.8499513</v>
      </c>
      <c r="AD181" s="10">
        <f>MAX(H181/0.75-AC181,0)</f>
        <v>0</v>
      </c>
      <c r="AE181" s="14">
        <f>IF(AD181&gt;0,MIN($N$2*$D$2*J181/(AD181*1000),MIN(J181/4,6*$H$2,150)),MIN(J181/4,6*$H$2,150))</f>
        <v>85.6375</v>
      </c>
      <c r="AF181" s="10">
        <f>0.66*SQRT($B$2)*(D181*1000)*J181/1000</f>
        <v>418.7115756</v>
      </c>
      <c r="AG181" s="15" t="str">
        <f>IF(AD181&lt;=AF181,"CUMPLE","AUMENTAR SECCION")</f>
        <v>CUMPLE</v>
      </c>
      <c r="AH181" s="10">
        <f>0.75*0.083*SQRT($B$2)*(((D181*1000)*(E181*1000))^2/(2*((D181*1000)+(E181*1000))))/1000000</f>
        <v>4.304108233</v>
      </c>
      <c r="AI181" s="15" t="str">
        <f>IF(I181&gt;AH181,"SI","No")</f>
        <v>SI</v>
      </c>
      <c r="AJ181" s="11">
        <f>IF(I181&gt;AH181,I181*1000000/(0.75*2*0.85*((D181*1000-2*$F$2)*(E181*1000-2*$F$2))*$D$2),0)</f>
        <v>0.4620551924</v>
      </c>
      <c r="AK181" s="10">
        <f>1.25*Q181*$D$2*(J181-(1.25*Q181*$D$2/(0.85*$B$2*(D181*1000)))/2)/1000000</f>
        <v>101.4672613</v>
      </c>
      <c r="AL181" s="10">
        <f>1.25*Z181*$D$2*(J181-(1.25*Z181*$D$2/(0.85*$B$2*(D181*1000)))/2)/1000000</f>
        <v>101.4672613</v>
      </c>
      <c r="AM181" s="10">
        <f>(AK181+AL181)/B181</f>
        <v>135.2896818</v>
      </c>
      <c r="AN181" s="10">
        <f>MAX(H181,AM181)</f>
        <v>135.2896818</v>
      </c>
    </row>
    <row r="182">
      <c r="A182" s="5" t="inlineStr">
        <is>
          <t>F183</t>
        </is>
      </c>
      <c r="B182" s="6" t="n">
        <v>3.75</v>
      </c>
      <c r="C182" s="7" t="inlineStr">
        <is>
          <t>VC</t>
        </is>
      </c>
      <c r="D182" s="8">
        <f>IF(C182="VR",0.35,0.30)</f>
        <v>0.3</v>
      </c>
      <c r="E182" s="6" t="n">
        <v>0.4</v>
      </c>
      <c r="F182" s="9" t="n">
        <v>21.4</v>
      </c>
      <c r="G182" s="9" t="n">
        <v>13.4</v>
      </c>
      <c r="H182" s="9" t="n">
        <v>20.1</v>
      </c>
      <c r="I182" s="6" t="n">
        <v>0</v>
      </c>
      <c r="J182" s="10">
        <f>E182*1000-$F$2-$L$2-$H$2/2</f>
        <v>342.55</v>
      </c>
      <c r="K182" s="11">
        <f>F182*1000000/(0.9*(D182*1000)*J182^2)</f>
        <v>0.6748325045</v>
      </c>
      <c r="L182" s="12">
        <f>(0.85*$B$2/$D$2)*(1-SQRT(1-2*K182/(0.85*$B$2)))</f>
        <v>0.001630192841</v>
      </c>
      <c r="M182" s="13">
        <f>L182*(D182*1000)*J182</f>
        <v>167.5267673</v>
      </c>
      <c r="N182" s="13">
        <f>MAX(0.25*SQRT($B$2)/$D$2,1.4/$D$2)*(D182*1000)*J182</f>
        <v>342.55</v>
      </c>
      <c r="O182" s="13">
        <f>MAX(M182,N182)</f>
        <v>342.55</v>
      </c>
      <c r="P182" s="14">
        <f>ROUNDUP(O182/$J$2,0)</f>
        <v>2</v>
      </c>
      <c r="Q182" s="13">
        <f>P182*$J$2</f>
        <v>398</v>
      </c>
      <c r="R182" s="10">
        <f>Q182*$D$2/(0.85*$B$2*(D182*1000))</f>
        <v>23.41176471</v>
      </c>
      <c r="S182" s="10">
        <f>0.9*Q182*$D$2*(J182-R182/2)/1000000</f>
        <v>49.77351244</v>
      </c>
      <c r="T182" s="15" t="str">
        <f>IF(AND(S182&gt;=F182,O182&lt;=0.025*(D182*1000)*J182,O182&gt;=N182),"CUMPLE","REVISAR")</f>
        <v>CUMPLE</v>
      </c>
      <c r="U182" s="11">
        <f>G182*1000000/(0.9*(D182*1000)*J182^2)</f>
        <v>0.4226383179</v>
      </c>
      <c r="V182" s="12">
        <f>(0.85*$B$2/$D$2)*(1-SQRT(1-2*U182/(0.85*$B$2)))</f>
        <v>0.001015378714</v>
      </c>
      <c r="W182" s="13">
        <f>V182*(D182*1000)*J182</f>
        <v>104.3453936</v>
      </c>
      <c r="X182" s="13">
        <f>MAX(W182,N182)</f>
        <v>342.55</v>
      </c>
      <c r="Y182" s="14">
        <f>ROUNDUP(X182/$J$2,0)</f>
        <v>2</v>
      </c>
      <c r="Z182" s="13">
        <f>Y182*$J$2</f>
        <v>398</v>
      </c>
      <c r="AA182" s="10">
        <f>0.9*Z182*$D$2*(J182-(Z182*$D$2/(0.85*$B$2*(D182*1000)))/2)/1000000</f>
        <v>49.77351244</v>
      </c>
      <c r="AB182" s="15" t="str">
        <f>IF(AA182&gt;=G182,"CUMPLE","REVISAR")</f>
        <v>CUMPLE</v>
      </c>
      <c r="AC182" s="10">
        <f>0.17*SQRT($B$2)*(D182*1000)*J182/1000</f>
        <v>92.44281538</v>
      </c>
      <c r="AD182" s="10">
        <f>MAX(H182/0.75-AC182,0)</f>
        <v>0</v>
      </c>
      <c r="AE182" s="14">
        <f>IF(AD182&gt;0,MIN($N$2*$D$2*J182/(AD182*1000),MIN(J182/4,6*$H$2,150)),MIN(J182/4,6*$H$2,150))</f>
        <v>85.6375</v>
      </c>
      <c r="AF182" s="10">
        <f>0.66*SQRT($B$2)*(D182*1000)*J182/1000</f>
        <v>358.8956362</v>
      </c>
      <c r="AG182" s="15" t="str">
        <f>IF(AD182&lt;=AF182,"CUMPLE","AUMENTAR SECCION")</f>
        <v>CUMPLE</v>
      </c>
      <c r="AH182" s="10">
        <f>0.75*0.083*SQRT($B$2)*(((D182*1000)*(E182*1000))^2/(2*((D182*1000)+(E182*1000))))/1000000</f>
        <v>3.388073536</v>
      </c>
      <c r="AI182" s="15" t="str">
        <f>IF(I182&gt;AH182,"SI","No")</f>
        <v>No</v>
      </c>
      <c r="AJ182" s="11">
        <f>IF(I182&gt;AH182,I182*1000000/(0.75*2*0.85*((D182*1000-2*$F$2)*(E182*1000-2*$F$2))*$D$2),0)</f>
        <v>0</v>
      </c>
      <c r="AK182" s="10">
        <f>1.25*Q182*$D$2*(J182-(1.25*Q182*$D$2/(0.85*$B$2*(D182*1000)))/2)/1000000</f>
        <v>68.51839235</v>
      </c>
      <c r="AL182" s="10">
        <f>1.25*Z182*$D$2*(J182-(1.25*Z182*$D$2/(0.85*$B$2*(D182*1000)))/2)/1000000</f>
        <v>68.51839235</v>
      </c>
      <c r="AM182" s="10">
        <f>(AK182+AL182)/B182</f>
        <v>36.54314259</v>
      </c>
      <c r="AN182" s="10">
        <f>MAX(H182,AM182)</f>
        <v>36.54314259</v>
      </c>
    </row>
    <row r="183">
      <c r="A183" s="5" t="inlineStr">
        <is>
          <t>F184</t>
        </is>
      </c>
      <c r="B183" s="6" t="n">
        <v>3.75</v>
      </c>
      <c r="C183" s="7" t="inlineStr">
        <is>
          <t>VC</t>
        </is>
      </c>
      <c r="D183" s="8">
        <f>IF(C183="VR",0.35,0.30)</f>
        <v>0.3</v>
      </c>
      <c r="E183" s="6" t="n">
        <v>0.4</v>
      </c>
      <c r="F183" s="9" t="n">
        <v>21.4</v>
      </c>
      <c r="G183" s="9" t="n">
        <v>13.4</v>
      </c>
      <c r="H183" s="9" t="n">
        <v>20.1</v>
      </c>
      <c r="I183" s="6" t="n">
        <v>0</v>
      </c>
      <c r="J183" s="10">
        <f>E183*1000-$F$2-$L$2-$H$2/2</f>
        <v>342.55</v>
      </c>
      <c r="K183" s="11">
        <f>F183*1000000/(0.9*(D183*1000)*J183^2)</f>
        <v>0.6748325045</v>
      </c>
      <c r="L183" s="12">
        <f>(0.85*$B$2/$D$2)*(1-SQRT(1-2*K183/(0.85*$B$2)))</f>
        <v>0.001630192841</v>
      </c>
      <c r="M183" s="13">
        <f>L183*(D183*1000)*J183</f>
        <v>167.5267673</v>
      </c>
      <c r="N183" s="13">
        <f>MAX(0.25*SQRT($B$2)/$D$2,1.4/$D$2)*(D183*1000)*J183</f>
        <v>342.55</v>
      </c>
      <c r="O183" s="13">
        <f>MAX(M183,N183)</f>
        <v>342.55</v>
      </c>
      <c r="P183" s="14">
        <f>ROUNDUP(O183/$J$2,0)</f>
        <v>2</v>
      </c>
      <c r="Q183" s="13">
        <f>P183*$J$2</f>
        <v>398</v>
      </c>
      <c r="R183" s="10">
        <f>Q183*$D$2/(0.85*$B$2*(D183*1000))</f>
        <v>23.41176471</v>
      </c>
      <c r="S183" s="10">
        <f>0.9*Q183*$D$2*(J183-R183/2)/1000000</f>
        <v>49.77351244</v>
      </c>
      <c r="T183" s="15" t="str">
        <f>IF(AND(S183&gt;=F183,O183&lt;=0.025*(D183*1000)*J183,O183&gt;=N183),"CUMPLE","REVISAR")</f>
        <v>CUMPLE</v>
      </c>
      <c r="U183" s="11">
        <f>G183*1000000/(0.9*(D183*1000)*J183^2)</f>
        <v>0.4226383179</v>
      </c>
      <c r="V183" s="12">
        <f>(0.85*$B$2/$D$2)*(1-SQRT(1-2*U183/(0.85*$B$2)))</f>
        <v>0.001015378714</v>
      </c>
      <c r="W183" s="13">
        <f>V183*(D183*1000)*J183</f>
        <v>104.3453936</v>
      </c>
      <c r="X183" s="13">
        <f>MAX(W183,N183)</f>
        <v>342.55</v>
      </c>
      <c r="Y183" s="14">
        <f>ROUNDUP(X183/$J$2,0)</f>
        <v>2</v>
      </c>
      <c r="Z183" s="13">
        <f>Y183*$J$2</f>
        <v>398</v>
      </c>
      <c r="AA183" s="10">
        <f>0.9*Z183*$D$2*(J183-(Z183*$D$2/(0.85*$B$2*(D183*1000)))/2)/1000000</f>
        <v>49.77351244</v>
      </c>
      <c r="AB183" s="15" t="str">
        <f>IF(AA183&gt;=G183,"CUMPLE","REVISAR")</f>
        <v>CUMPLE</v>
      </c>
      <c r="AC183" s="10">
        <f>0.17*SQRT($B$2)*(D183*1000)*J183/1000</f>
        <v>92.44281538</v>
      </c>
      <c r="AD183" s="10">
        <f>MAX(H183/0.75-AC183,0)</f>
        <v>0</v>
      </c>
      <c r="AE183" s="14">
        <f>IF(AD183&gt;0,MIN($N$2*$D$2*J183/(AD183*1000),MIN(J183/4,6*$H$2,150)),MIN(J183/4,6*$H$2,150))</f>
        <v>85.6375</v>
      </c>
      <c r="AF183" s="10">
        <f>0.66*SQRT($B$2)*(D183*1000)*J183/1000</f>
        <v>358.8956362</v>
      </c>
      <c r="AG183" s="15" t="str">
        <f>IF(AD183&lt;=AF183,"CUMPLE","AUMENTAR SECCION")</f>
        <v>CUMPLE</v>
      </c>
      <c r="AH183" s="10">
        <f>0.75*0.083*SQRT($B$2)*(((D183*1000)*(E183*1000))^2/(2*((D183*1000)+(E183*1000))))/1000000</f>
        <v>3.388073536</v>
      </c>
      <c r="AI183" s="15" t="str">
        <f>IF(I183&gt;AH183,"SI","No")</f>
        <v>No</v>
      </c>
      <c r="AJ183" s="11">
        <f>IF(I183&gt;AH183,I183*1000000/(0.75*2*0.85*((D183*1000-2*$F$2)*(E183*1000-2*$F$2))*$D$2),0)</f>
        <v>0</v>
      </c>
      <c r="AK183" s="10">
        <f>1.25*Q183*$D$2*(J183-(1.25*Q183*$D$2/(0.85*$B$2*(D183*1000)))/2)/1000000</f>
        <v>68.51839235</v>
      </c>
      <c r="AL183" s="10">
        <f>1.25*Z183*$D$2*(J183-(1.25*Z183*$D$2/(0.85*$B$2*(D183*1000)))/2)/1000000</f>
        <v>68.51839235</v>
      </c>
      <c r="AM183" s="10">
        <f>(AK183+AL183)/B183</f>
        <v>36.54314259</v>
      </c>
      <c r="AN183" s="10">
        <f>MAX(H183,AM183)</f>
        <v>36.54314259</v>
      </c>
    </row>
    <row r="184">
      <c r="A184" s="5" t="inlineStr">
        <is>
          <t>F185</t>
        </is>
      </c>
      <c r="B184" s="6" t="n">
        <v>1.5</v>
      </c>
      <c r="C184" s="7" t="inlineStr">
        <is>
          <t>VR</t>
        </is>
      </c>
      <c r="D184" s="8">
        <f>IF(C184="VR",0.35,0.30)</f>
        <v>0.35</v>
      </c>
      <c r="E184" s="6" t="n">
        <v>0.4</v>
      </c>
      <c r="F184" s="9" t="n">
        <v>33.7</v>
      </c>
      <c r="G184" s="9" t="n">
        <v>30.8</v>
      </c>
      <c r="H184" s="9" t="n">
        <v>48.9</v>
      </c>
      <c r="I184" s="6" t="n">
        <v>16.23</v>
      </c>
      <c r="J184" s="10">
        <f>E184*1000-$F$2-$L$2-$H$2/2</f>
        <v>342.55</v>
      </c>
      <c r="K184" s="11">
        <f>F184*1000000/(0.9*(D184*1000)*J184^2)</f>
        <v>0.9122819211</v>
      </c>
      <c r="L184" s="12">
        <f>(0.85*$B$2/$D$2)*(1-SQRT(1-2*K184/(0.85*$B$2)))</f>
        <v>0.0022154059</v>
      </c>
      <c r="M184" s="13">
        <f>L184*(D184*1000)*J184</f>
        <v>265.6105519</v>
      </c>
      <c r="N184" s="13">
        <f>MAX(0.25*SQRT($B$2)/$D$2,1.4/$D$2)*(D184*1000)*J184</f>
        <v>399.6416667</v>
      </c>
      <c r="O184" s="13">
        <f>MAX(M184,N184)</f>
        <v>399.6416667</v>
      </c>
      <c r="P184" s="14">
        <f>ROUNDUP(O184/$J$2,0)</f>
        <v>3</v>
      </c>
      <c r="Q184" s="13">
        <f>P184*$J$2</f>
        <v>597</v>
      </c>
      <c r="R184" s="10">
        <f>Q184*$D$2/(0.85*$B$2*(D184*1000))</f>
        <v>30.10084034</v>
      </c>
      <c r="S184" s="10">
        <f>0.9*Q184*$D$2*(J184-R184/2)/1000000</f>
        <v>73.90552018</v>
      </c>
      <c r="T184" s="15" t="str">
        <f>IF(AND(S184&gt;=F184,O184&lt;=0.025*(D184*1000)*J184,O184&gt;=N184),"CUMPLE","REVISAR")</f>
        <v>CUMPLE</v>
      </c>
      <c r="U184" s="11">
        <f>G184*1000000/(0.9*(D184*1000)*J184^2)</f>
        <v>0.8319296879</v>
      </c>
      <c r="V184" s="12">
        <f>(0.85*$B$2/$D$2)*(1-SQRT(1-2*U184/(0.85*$B$2)))</f>
        <v>0.00201666989</v>
      </c>
      <c r="W184" s="13">
        <f>V184*(D184*1000)*J184</f>
        <v>241.7835948</v>
      </c>
      <c r="X184" s="13">
        <f>MAX(W184,N184)</f>
        <v>399.6416667</v>
      </c>
      <c r="Y184" s="14">
        <f>ROUNDUP(X184/$J$2,0)</f>
        <v>3</v>
      </c>
      <c r="Z184" s="13">
        <f>Y184*$J$2</f>
        <v>597</v>
      </c>
      <c r="AA184" s="10">
        <f>0.9*Z184*$D$2*(J184-(Z184*$D$2/(0.85*$B$2*(D184*1000)))/2)/1000000</f>
        <v>73.90552018</v>
      </c>
      <c r="AB184" s="15" t="str">
        <f>IF(AA184&gt;=G184,"CUMPLE","REVISAR")</f>
        <v>CUMPLE</v>
      </c>
      <c r="AC184" s="10">
        <f>0.17*SQRT($B$2)*(D184*1000)*J184/1000</f>
        <v>107.8499513</v>
      </c>
      <c r="AD184" s="10">
        <f>MAX(H184/0.75-AC184,0)</f>
        <v>0</v>
      </c>
      <c r="AE184" s="14">
        <f>IF(AD184&gt;0,MIN($N$2*$D$2*J184/(AD184*1000),MIN(J184/4,6*$H$2,150)),MIN(J184/4,6*$H$2,150))</f>
        <v>85.6375</v>
      </c>
      <c r="AF184" s="10">
        <f>0.66*SQRT($B$2)*(D184*1000)*J184/1000</f>
        <v>418.7115756</v>
      </c>
      <c r="AG184" s="15" t="str">
        <f>IF(AD184&lt;=AF184,"CUMPLE","AUMENTAR SECCION")</f>
        <v>CUMPLE</v>
      </c>
      <c r="AH184" s="10">
        <f>0.75*0.083*SQRT($B$2)*(((D184*1000)*(E184*1000))^2/(2*((D184*1000)+(E184*1000))))/1000000</f>
        <v>4.304108233</v>
      </c>
      <c r="AI184" s="15" t="str">
        <f>IF(I184&gt;AH184,"SI","No")</f>
        <v>SI</v>
      </c>
      <c r="AJ184" s="11">
        <f>IF(I184&gt;AH184,I184*1000000/(0.75*2*0.85*((D184*1000-2*$F$2)*(E184*1000-2*$F$2))*$D$2),0)</f>
        <v>0.3507452364</v>
      </c>
      <c r="AK184" s="10">
        <f>1.25*Q184*$D$2*(J184-(1.25*Q184*$D$2/(0.85*$B$2*(D184*1000)))/2)/1000000</f>
        <v>101.4672613</v>
      </c>
      <c r="AL184" s="10">
        <f>1.25*Z184*$D$2*(J184-(1.25*Z184*$D$2/(0.85*$B$2*(D184*1000)))/2)/1000000</f>
        <v>101.4672613</v>
      </c>
      <c r="AM184" s="10">
        <f>(AK184+AL184)/B184</f>
        <v>135.2896818</v>
      </c>
      <c r="AN184" s="10">
        <f>MAX(H184,AM184)</f>
        <v>135.2896818</v>
      </c>
    </row>
    <row r="185">
      <c r="A185" s="5" t="inlineStr">
        <is>
          <t>F186</t>
        </is>
      </c>
      <c r="B185" s="6" t="n">
        <v>1.5</v>
      </c>
      <c r="C185" s="7" t="inlineStr">
        <is>
          <t>VR</t>
        </is>
      </c>
      <c r="D185" s="8">
        <f>IF(C185="VR",0.35,0.30)</f>
        <v>0.35</v>
      </c>
      <c r="E185" s="6" t="n">
        <v>0.4</v>
      </c>
      <c r="F185" s="9" t="n">
        <v>57.9</v>
      </c>
      <c r="G185" s="9" t="n">
        <v>55</v>
      </c>
      <c r="H185" s="9" t="n">
        <v>81.2</v>
      </c>
      <c r="I185" s="6" t="n">
        <v>13.2</v>
      </c>
      <c r="J185" s="10">
        <f>E185*1000-$F$2-$L$2-$H$2/2</f>
        <v>342.55</v>
      </c>
      <c r="K185" s="11">
        <f>F185*1000000/(0.9*(D185*1000)*J185^2)</f>
        <v>1.567274368</v>
      </c>
      <c r="L185" s="12">
        <f>(0.85*$B$2/$D$2)*(1-SQRT(1-2*K185/(0.85*$B$2)))</f>
        <v>0.003863297404</v>
      </c>
      <c r="M185" s="13">
        <f>L185*(D185*1000)*J185</f>
        <v>463.1803841</v>
      </c>
      <c r="N185" s="13">
        <f>MAX(0.25*SQRT($B$2)/$D$2,1.4/$D$2)*(D185*1000)*J185</f>
        <v>399.6416667</v>
      </c>
      <c r="O185" s="13">
        <f>MAX(M185,N185)</f>
        <v>463.1803841</v>
      </c>
      <c r="P185" s="14">
        <f>ROUNDUP(O185/$J$2,0)</f>
        <v>3</v>
      </c>
      <c r="Q185" s="13">
        <f>P185*$J$2</f>
        <v>597</v>
      </c>
      <c r="R185" s="10">
        <f>Q185*$D$2/(0.85*$B$2*(D185*1000))</f>
        <v>30.10084034</v>
      </c>
      <c r="S185" s="10">
        <f>0.9*Q185*$D$2*(J185-R185/2)/1000000</f>
        <v>73.90552018</v>
      </c>
      <c r="T185" s="15" t="str">
        <f>IF(AND(S185&gt;=F185,O185&lt;=0.025*(D185*1000)*J185,O185&gt;=N185),"CUMPLE","REVISAR")</f>
        <v>CUMPLE</v>
      </c>
      <c r="U185" s="11">
        <f>G185*1000000/(0.9*(D185*1000)*J185^2)</f>
        <v>1.486922135</v>
      </c>
      <c r="V185" s="12">
        <f>(0.85*$B$2/$D$2)*(1-SQRT(1-2*U185/(0.85*$B$2)))</f>
        <v>0.003658382841</v>
      </c>
      <c r="W185" s="13">
        <f>V185*(D185*1000)*J185</f>
        <v>438.6126648</v>
      </c>
      <c r="X185" s="13">
        <f>MAX(W185,N185)</f>
        <v>438.6126648</v>
      </c>
      <c r="Y185" s="14">
        <f>ROUNDUP(X185/$J$2,0)</f>
        <v>3</v>
      </c>
      <c r="Z185" s="13">
        <f>Y185*$J$2</f>
        <v>597</v>
      </c>
      <c r="AA185" s="10">
        <f>0.9*Z185*$D$2*(J185-(Z185*$D$2/(0.85*$B$2*(D185*1000)))/2)/1000000</f>
        <v>73.90552018</v>
      </c>
      <c r="AB185" s="15" t="str">
        <f>IF(AA185&gt;=G185,"CUMPLE","REVISAR")</f>
        <v>CUMPLE</v>
      </c>
      <c r="AC185" s="10">
        <f>0.17*SQRT($B$2)*(D185*1000)*J185/1000</f>
        <v>107.8499513</v>
      </c>
      <c r="AD185" s="10">
        <f>MAX(H185/0.75-AC185,0)</f>
        <v>0.4167153857</v>
      </c>
      <c r="AE185" s="14">
        <f>IF(AD185&gt;0,MIN($N$2*$D$2*J185/(AD185*1000),MIN(J185/4,6*$H$2,150)),MIN(J185/4,6*$H$2,150))</f>
        <v>85.6375</v>
      </c>
      <c r="AF185" s="10">
        <f>0.66*SQRT($B$2)*(D185*1000)*J185/1000</f>
        <v>418.7115756</v>
      </c>
      <c r="AG185" s="15" t="str">
        <f>IF(AD185&lt;=AF185,"CUMPLE","AUMENTAR SECCION")</f>
        <v>CUMPLE</v>
      </c>
      <c r="AH185" s="10">
        <f>0.75*0.083*SQRT($B$2)*(((D185*1000)*(E185*1000))^2/(2*((D185*1000)+(E185*1000))))/1000000</f>
        <v>4.304108233</v>
      </c>
      <c r="AI185" s="15" t="str">
        <f>IF(I185&gt;AH185,"SI","No")</f>
        <v>SI</v>
      </c>
      <c r="AJ185" s="11">
        <f>IF(I185&gt;AH185,I185*1000000/(0.75*2*0.85*((D185*1000-2*$F$2)*(E185*1000-2*$F$2))*$D$2),0)</f>
        <v>0.2852560777</v>
      </c>
      <c r="AK185" s="10">
        <f>1.25*Q185*$D$2*(J185-(1.25*Q185*$D$2/(0.85*$B$2*(D185*1000)))/2)/1000000</f>
        <v>101.4672613</v>
      </c>
      <c r="AL185" s="10">
        <f>1.25*Z185*$D$2*(J185-(1.25*Z185*$D$2/(0.85*$B$2*(D185*1000)))/2)/1000000</f>
        <v>101.4672613</v>
      </c>
      <c r="AM185" s="10">
        <f>(AK185+AL185)/B185</f>
        <v>135.2896818</v>
      </c>
      <c r="AN185" s="10">
        <f>MAX(H185,AM185)</f>
        <v>135.2896818</v>
      </c>
    </row>
    <row r="186">
      <c r="A186" s="5" t="inlineStr">
        <is>
          <t>F187</t>
        </is>
      </c>
      <c r="B186" s="6" t="n">
        <v>1.5</v>
      </c>
      <c r="C186" s="7" t="inlineStr">
        <is>
          <t>VR</t>
        </is>
      </c>
      <c r="D186" s="8">
        <f>IF(C186="VR",0.35,0.30)</f>
        <v>0.35</v>
      </c>
      <c r="E186" s="6" t="n">
        <v>0.4</v>
      </c>
      <c r="F186" s="9" t="n">
        <v>33.7</v>
      </c>
      <c r="G186" s="9" t="n">
        <v>30.8</v>
      </c>
      <c r="H186" s="9" t="n">
        <v>48.9</v>
      </c>
      <c r="I186" s="6" t="n">
        <v>16.23</v>
      </c>
      <c r="J186" s="10">
        <f>E186*1000-$F$2-$L$2-$H$2/2</f>
        <v>342.55</v>
      </c>
      <c r="K186" s="11">
        <f>F186*1000000/(0.9*(D186*1000)*J186^2)</f>
        <v>0.9122819211</v>
      </c>
      <c r="L186" s="12">
        <f>(0.85*$B$2/$D$2)*(1-SQRT(1-2*K186/(0.85*$B$2)))</f>
        <v>0.0022154059</v>
      </c>
      <c r="M186" s="13">
        <f>L186*(D186*1000)*J186</f>
        <v>265.6105519</v>
      </c>
      <c r="N186" s="13">
        <f>MAX(0.25*SQRT($B$2)/$D$2,1.4/$D$2)*(D186*1000)*J186</f>
        <v>399.6416667</v>
      </c>
      <c r="O186" s="13">
        <f>MAX(M186,N186)</f>
        <v>399.6416667</v>
      </c>
      <c r="P186" s="14">
        <f>ROUNDUP(O186/$J$2,0)</f>
        <v>3</v>
      </c>
      <c r="Q186" s="13">
        <f>P186*$J$2</f>
        <v>597</v>
      </c>
      <c r="R186" s="10">
        <f>Q186*$D$2/(0.85*$B$2*(D186*1000))</f>
        <v>30.10084034</v>
      </c>
      <c r="S186" s="10">
        <f>0.9*Q186*$D$2*(J186-R186/2)/1000000</f>
        <v>73.90552018</v>
      </c>
      <c r="T186" s="15" t="str">
        <f>IF(AND(S186&gt;=F186,O186&lt;=0.025*(D186*1000)*J186,O186&gt;=N186),"CUMPLE","REVISAR")</f>
        <v>CUMPLE</v>
      </c>
      <c r="U186" s="11">
        <f>G186*1000000/(0.9*(D186*1000)*J186^2)</f>
        <v>0.8319296879</v>
      </c>
      <c r="V186" s="12">
        <f>(0.85*$B$2/$D$2)*(1-SQRT(1-2*U186/(0.85*$B$2)))</f>
        <v>0.00201666989</v>
      </c>
      <c r="W186" s="13">
        <f>V186*(D186*1000)*J186</f>
        <v>241.7835948</v>
      </c>
      <c r="X186" s="13">
        <f>MAX(W186,N186)</f>
        <v>399.6416667</v>
      </c>
      <c r="Y186" s="14">
        <f>ROUNDUP(X186/$J$2,0)</f>
        <v>3</v>
      </c>
      <c r="Z186" s="13">
        <f>Y186*$J$2</f>
        <v>597</v>
      </c>
      <c r="AA186" s="10">
        <f>0.9*Z186*$D$2*(J186-(Z186*$D$2/(0.85*$B$2*(D186*1000)))/2)/1000000</f>
        <v>73.90552018</v>
      </c>
      <c r="AB186" s="15" t="str">
        <f>IF(AA186&gt;=G186,"CUMPLE","REVISAR")</f>
        <v>CUMPLE</v>
      </c>
      <c r="AC186" s="10">
        <f>0.17*SQRT($B$2)*(D186*1000)*J186/1000</f>
        <v>107.8499513</v>
      </c>
      <c r="AD186" s="10">
        <f>MAX(H186/0.75-AC186,0)</f>
        <v>0</v>
      </c>
      <c r="AE186" s="14">
        <f>IF(AD186&gt;0,MIN($N$2*$D$2*J186/(AD186*1000),MIN(J186/4,6*$H$2,150)),MIN(J186/4,6*$H$2,150))</f>
        <v>85.6375</v>
      </c>
      <c r="AF186" s="10">
        <f>0.66*SQRT($B$2)*(D186*1000)*J186/1000</f>
        <v>418.7115756</v>
      </c>
      <c r="AG186" s="15" t="str">
        <f>IF(AD186&lt;=AF186,"CUMPLE","AUMENTAR SECCION")</f>
        <v>CUMPLE</v>
      </c>
      <c r="AH186" s="10">
        <f>0.75*0.083*SQRT($B$2)*(((D186*1000)*(E186*1000))^2/(2*((D186*1000)+(E186*1000))))/1000000</f>
        <v>4.304108233</v>
      </c>
      <c r="AI186" s="15" t="str">
        <f>IF(I186&gt;AH186,"SI","No")</f>
        <v>SI</v>
      </c>
      <c r="AJ186" s="11">
        <f>IF(I186&gt;AH186,I186*1000000/(0.75*2*0.85*((D186*1000-2*$F$2)*(E186*1000-2*$F$2))*$D$2),0)</f>
        <v>0.3507452364</v>
      </c>
      <c r="AK186" s="10">
        <f>1.25*Q186*$D$2*(J186-(1.25*Q186*$D$2/(0.85*$B$2*(D186*1000)))/2)/1000000</f>
        <v>101.4672613</v>
      </c>
      <c r="AL186" s="10">
        <f>1.25*Z186*$D$2*(J186-(1.25*Z186*$D$2/(0.85*$B$2*(D186*1000)))/2)/1000000</f>
        <v>101.4672613</v>
      </c>
      <c r="AM186" s="10">
        <f>(AK186+AL186)/B186</f>
        <v>135.2896818</v>
      </c>
      <c r="AN186" s="10">
        <f>MAX(H186,AM186)</f>
        <v>135.2896818</v>
      </c>
    </row>
    <row r="187">
      <c r="A187" s="5" t="inlineStr">
        <is>
          <t>F188</t>
        </is>
      </c>
      <c r="B187" s="6" t="n">
        <v>3.75</v>
      </c>
      <c r="C187" s="7" t="inlineStr">
        <is>
          <t>VC</t>
        </is>
      </c>
      <c r="D187" s="8">
        <f>IF(C187="VR",0.35,0.30)</f>
        <v>0.3</v>
      </c>
      <c r="E187" s="6" t="n">
        <v>0.4</v>
      </c>
      <c r="F187" s="9" t="n">
        <v>16.2</v>
      </c>
      <c r="G187" s="9" t="n">
        <v>10.4</v>
      </c>
      <c r="H187" s="9" t="n">
        <v>18.1</v>
      </c>
      <c r="I187" s="6" t="n">
        <v>0</v>
      </c>
      <c r="J187" s="10">
        <f>E187*1000-$F$2-$L$2-$H$2/2</f>
        <v>342.55</v>
      </c>
      <c r="K187" s="11">
        <f>F187*1000000/(0.9*(D187*1000)*J187^2)</f>
        <v>0.5122793054</v>
      </c>
      <c r="L187" s="12">
        <f>(0.85*$B$2/$D$2)*(1-SQRT(1-2*K187/(0.85*$B$2)))</f>
        <v>0.00123312977</v>
      </c>
      <c r="M187" s="13">
        <f>L187*(D187*1000)*J187</f>
        <v>126.7225808</v>
      </c>
      <c r="N187" s="13">
        <f>MAX(0.25*SQRT($B$2)/$D$2,1.4/$D$2)*(D187*1000)*J187</f>
        <v>342.55</v>
      </c>
      <c r="O187" s="13">
        <f>MAX(M187,N187)</f>
        <v>342.55</v>
      </c>
      <c r="P187" s="14">
        <f>ROUNDUP(O187/$J$2,0)</f>
        <v>2</v>
      </c>
      <c r="Q187" s="13">
        <f>P187*$J$2</f>
        <v>398</v>
      </c>
      <c r="R187" s="10">
        <f>Q187*$D$2/(0.85*$B$2*(D187*1000))</f>
        <v>23.41176471</v>
      </c>
      <c r="S187" s="10">
        <f>0.9*Q187*$D$2*(J187-R187/2)/1000000</f>
        <v>49.77351244</v>
      </c>
      <c r="T187" s="15" t="str">
        <f>IF(AND(S187&gt;=F187,O187&lt;=0.025*(D187*1000)*J187,O187&gt;=N187),"CUMPLE","REVISAR")</f>
        <v>CUMPLE</v>
      </c>
      <c r="U187" s="11">
        <f>G187*1000000/(0.9*(D187*1000)*J187^2)</f>
        <v>0.3285784084</v>
      </c>
      <c r="V187" s="12">
        <f>(0.85*$B$2/$D$2)*(1-SQRT(1-2*U187/(0.85*$B$2)))</f>
        <v>0.0007878057608</v>
      </c>
      <c r="W187" s="13">
        <f>V187*(D187*1000)*J187</f>
        <v>80.95885901</v>
      </c>
      <c r="X187" s="13">
        <f>MAX(W187,N187)</f>
        <v>342.55</v>
      </c>
      <c r="Y187" s="14">
        <f>ROUNDUP(X187/$J$2,0)</f>
        <v>2</v>
      </c>
      <c r="Z187" s="13">
        <f>Y187*$J$2</f>
        <v>398</v>
      </c>
      <c r="AA187" s="10">
        <f>0.9*Z187*$D$2*(J187-(Z187*$D$2/(0.85*$B$2*(D187*1000)))/2)/1000000</f>
        <v>49.77351244</v>
      </c>
      <c r="AB187" s="15" t="str">
        <f>IF(AA187&gt;=G187,"CUMPLE","REVISAR")</f>
        <v>CUMPLE</v>
      </c>
      <c r="AC187" s="10">
        <f>0.17*SQRT($B$2)*(D187*1000)*J187/1000</f>
        <v>92.44281538</v>
      </c>
      <c r="AD187" s="10">
        <f>MAX(H187/0.75-AC187,0)</f>
        <v>0</v>
      </c>
      <c r="AE187" s="14">
        <f>IF(AD187&gt;0,MIN($N$2*$D$2*J187/(AD187*1000),MIN(J187/4,6*$H$2,150)),MIN(J187/4,6*$H$2,150))</f>
        <v>85.6375</v>
      </c>
      <c r="AF187" s="10">
        <f>0.66*SQRT($B$2)*(D187*1000)*J187/1000</f>
        <v>358.8956362</v>
      </c>
      <c r="AG187" s="15" t="str">
        <f>IF(AD187&lt;=AF187,"CUMPLE","AUMENTAR SECCION")</f>
        <v>CUMPLE</v>
      </c>
      <c r="AH187" s="10">
        <f>0.75*0.083*SQRT($B$2)*(((D187*1000)*(E187*1000))^2/(2*((D187*1000)+(E187*1000))))/1000000</f>
        <v>3.388073536</v>
      </c>
      <c r="AI187" s="15" t="str">
        <f>IF(I187&gt;AH187,"SI","No")</f>
        <v>No</v>
      </c>
      <c r="AJ187" s="11">
        <f>IF(I187&gt;AH187,I187*1000000/(0.75*2*0.85*((D187*1000-2*$F$2)*(E187*1000-2*$F$2))*$D$2),0)</f>
        <v>0</v>
      </c>
      <c r="AK187" s="10">
        <f>1.25*Q187*$D$2*(J187-(1.25*Q187*$D$2/(0.85*$B$2*(D187*1000)))/2)/1000000</f>
        <v>68.51839235</v>
      </c>
      <c r="AL187" s="10">
        <f>1.25*Z187*$D$2*(J187-(1.25*Z187*$D$2/(0.85*$B$2*(D187*1000)))/2)/1000000</f>
        <v>68.51839235</v>
      </c>
      <c r="AM187" s="10">
        <f>(AK187+AL187)/B187</f>
        <v>36.54314259</v>
      </c>
      <c r="AN187" s="10">
        <f>MAX(H187,AM187)</f>
        <v>36.54314259</v>
      </c>
    </row>
    <row r="188">
      <c r="A188" s="5" t="inlineStr">
        <is>
          <t>F189</t>
        </is>
      </c>
      <c r="B188" s="6" t="n">
        <v>3.75</v>
      </c>
      <c r="C188" s="7" t="inlineStr">
        <is>
          <t>VC</t>
        </is>
      </c>
      <c r="D188" s="8">
        <f>IF(C188="VR",0.35,0.30)</f>
        <v>0.3</v>
      </c>
      <c r="E188" s="6" t="n">
        <v>0.4</v>
      </c>
      <c r="F188" s="9" t="n">
        <v>16.2</v>
      </c>
      <c r="G188" s="9" t="n">
        <v>10.4</v>
      </c>
      <c r="H188" s="9" t="n">
        <v>18.1</v>
      </c>
      <c r="I188" s="6" t="n">
        <v>0</v>
      </c>
      <c r="J188" s="10">
        <f>E188*1000-$F$2-$L$2-$H$2/2</f>
        <v>342.55</v>
      </c>
      <c r="K188" s="11">
        <f>F188*1000000/(0.9*(D188*1000)*J188^2)</f>
        <v>0.5122793054</v>
      </c>
      <c r="L188" s="12">
        <f>(0.85*$B$2/$D$2)*(1-SQRT(1-2*K188/(0.85*$B$2)))</f>
        <v>0.00123312977</v>
      </c>
      <c r="M188" s="13">
        <f>L188*(D188*1000)*J188</f>
        <v>126.7225808</v>
      </c>
      <c r="N188" s="13">
        <f>MAX(0.25*SQRT($B$2)/$D$2,1.4/$D$2)*(D188*1000)*J188</f>
        <v>342.55</v>
      </c>
      <c r="O188" s="13">
        <f>MAX(M188,N188)</f>
        <v>342.55</v>
      </c>
      <c r="P188" s="14">
        <f>ROUNDUP(O188/$J$2,0)</f>
        <v>2</v>
      </c>
      <c r="Q188" s="13">
        <f>P188*$J$2</f>
        <v>398</v>
      </c>
      <c r="R188" s="10">
        <f>Q188*$D$2/(0.85*$B$2*(D188*1000))</f>
        <v>23.41176471</v>
      </c>
      <c r="S188" s="10">
        <f>0.9*Q188*$D$2*(J188-R188/2)/1000000</f>
        <v>49.77351244</v>
      </c>
      <c r="T188" s="15" t="str">
        <f>IF(AND(S188&gt;=F188,O188&lt;=0.025*(D188*1000)*J188,O188&gt;=N188),"CUMPLE","REVISAR")</f>
        <v>CUMPLE</v>
      </c>
      <c r="U188" s="11">
        <f>G188*1000000/(0.9*(D188*1000)*J188^2)</f>
        <v>0.3285784084</v>
      </c>
      <c r="V188" s="12">
        <f>(0.85*$B$2/$D$2)*(1-SQRT(1-2*U188/(0.85*$B$2)))</f>
        <v>0.0007878057608</v>
      </c>
      <c r="W188" s="13">
        <f>V188*(D188*1000)*J188</f>
        <v>80.95885901</v>
      </c>
      <c r="X188" s="13">
        <f>MAX(W188,N188)</f>
        <v>342.55</v>
      </c>
      <c r="Y188" s="14">
        <f>ROUNDUP(X188/$J$2,0)</f>
        <v>2</v>
      </c>
      <c r="Z188" s="13">
        <f>Y188*$J$2</f>
        <v>398</v>
      </c>
      <c r="AA188" s="10">
        <f>0.9*Z188*$D$2*(J188-(Z188*$D$2/(0.85*$B$2*(D188*1000)))/2)/1000000</f>
        <v>49.77351244</v>
      </c>
      <c r="AB188" s="15" t="str">
        <f>IF(AA188&gt;=G188,"CUMPLE","REVISAR")</f>
        <v>CUMPLE</v>
      </c>
      <c r="AC188" s="10">
        <f>0.17*SQRT($B$2)*(D188*1000)*J188/1000</f>
        <v>92.44281538</v>
      </c>
      <c r="AD188" s="10">
        <f>MAX(H188/0.75-AC188,0)</f>
        <v>0</v>
      </c>
      <c r="AE188" s="14">
        <f>IF(AD188&gt;0,MIN($N$2*$D$2*J188/(AD188*1000),MIN(J188/4,6*$H$2,150)),MIN(J188/4,6*$H$2,150))</f>
        <v>85.6375</v>
      </c>
      <c r="AF188" s="10">
        <f>0.66*SQRT($B$2)*(D188*1000)*J188/1000</f>
        <v>358.8956362</v>
      </c>
      <c r="AG188" s="15" t="str">
        <f>IF(AD188&lt;=AF188,"CUMPLE","AUMENTAR SECCION")</f>
        <v>CUMPLE</v>
      </c>
      <c r="AH188" s="10">
        <f>0.75*0.083*SQRT($B$2)*(((D188*1000)*(E188*1000))^2/(2*((D188*1000)+(E188*1000))))/1000000</f>
        <v>3.388073536</v>
      </c>
      <c r="AI188" s="15" t="str">
        <f>IF(I188&gt;AH188,"SI","No")</f>
        <v>No</v>
      </c>
      <c r="AJ188" s="11">
        <f>IF(I188&gt;AH188,I188*1000000/(0.75*2*0.85*((D188*1000-2*$F$2)*(E188*1000-2*$F$2))*$D$2),0)</f>
        <v>0</v>
      </c>
      <c r="AK188" s="10">
        <f>1.25*Q188*$D$2*(J188-(1.25*Q188*$D$2/(0.85*$B$2*(D188*1000)))/2)/1000000</f>
        <v>68.51839235</v>
      </c>
      <c r="AL188" s="10">
        <f>1.25*Z188*$D$2*(J188-(1.25*Z188*$D$2/(0.85*$B$2*(D188*1000)))/2)/1000000</f>
        <v>68.51839235</v>
      </c>
      <c r="AM188" s="10">
        <f>(AK188+AL188)/B188</f>
        <v>36.54314259</v>
      </c>
      <c r="AN188" s="10">
        <f>MAX(H188,AM188)</f>
        <v>36.54314259</v>
      </c>
    </row>
    <row r="189">
      <c r="A189" s="5" t="inlineStr">
        <is>
          <t>F190</t>
        </is>
      </c>
      <c r="B189" s="6" t="n">
        <v>1.5</v>
      </c>
      <c r="C189" s="7" t="inlineStr">
        <is>
          <t>VR</t>
        </is>
      </c>
      <c r="D189" s="8">
        <f>IF(C189="VR",0.35,0.30)</f>
        <v>0.35</v>
      </c>
      <c r="E189" s="6" t="n">
        <v>0.4</v>
      </c>
      <c r="F189" s="9" t="n">
        <v>30.2</v>
      </c>
      <c r="G189" s="9" t="n">
        <v>27.2</v>
      </c>
      <c r="H189" s="9" t="n">
        <v>44.2</v>
      </c>
      <c r="I189" s="6" t="n">
        <v>10.63</v>
      </c>
      <c r="J189" s="10">
        <f>E189*1000-$F$2-$L$2-$H$2/2</f>
        <v>342.55</v>
      </c>
      <c r="K189" s="11">
        <f>F189*1000000/(0.9*(D189*1000)*J189^2)</f>
        <v>0.8175907371</v>
      </c>
      <c r="L189" s="12">
        <f>(0.85*$B$2/$D$2)*(1-SQRT(1-2*K189/(0.85*$B$2)))</f>
        <v>0.001981281157</v>
      </c>
      <c r="M189" s="13">
        <f>L189*(D189*1000)*J189</f>
        <v>237.5407511</v>
      </c>
      <c r="N189" s="13">
        <f>MAX(0.25*SQRT($B$2)/$D$2,1.4/$D$2)*(D189*1000)*J189</f>
        <v>399.6416667</v>
      </c>
      <c r="O189" s="13">
        <f>MAX(M189,N189)</f>
        <v>399.6416667</v>
      </c>
      <c r="P189" s="14">
        <f>ROUNDUP(O189/$J$2,0)</f>
        <v>3</v>
      </c>
      <c r="Q189" s="13">
        <f>P189*$J$2</f>
        <v>597</v>
      </c>
      <c r="R189" s="10">
        <f>Q189*$D$2/(0.85*$B$2*(D189*1000))</f>
        <v>30.10084034</v>
      </c>
      <c r="S189" s="10">
        <f>0.9*Q189*$D$2*(J189-R189/2)/1000000</f>
        <v>73.90552018</v>
      </c>
      <c r="T189" s="15" t="str">
        <f>IF(AND(S189&gt;=F189,O189&lt;=0.025*(D189*1000)*J189,O189&gt;=N189),"CUMPLE","REVISAR")</f>
        <v>CUMPLE</v>
      </c>
      <c r="U189" s="11">
        <f>G189*1000000/(0.9*(D189*1000)*J189^2)</f>
        <v>0.7372385039</v>
      </c>
      <c r="V189" s="12">
        <f>(0.85*$B$2/$D$2)*(1-SQRT(1-2*U189/(0.85*$B$2)))</f>
        <v>0.001783392921</v>
      </c>
      <c r="W189" s="13">
        <f>V189*(D189*1000)*J189</f>
        <v>213.8154358</v>
      </c>
      <c r="X189" s="13">
        <f>MAX(W189,N189)</f>
        <v>399.6416667</v>
      </c>
      <c r="Y189" s="14">
        <f>ROUNDUP(X189/$J$2,0)</f>
        <v>3</v>
      </c>
      <c r="Z189" s="13">
        <f>Y189*$J$2</f>
        <v>597</v>
      </c>
      <c r="AA189" s="10">
        <f>0.9*Z189*$D$2*(J189-(Z189*$D$2/(0.85*$B$2*(D189*1000)))/2)/1000000</f>
        <v>73.90552018</v>
      </c>
      <c r="AB189" s="15" t="str">
        <f>IF(AA189&gt;=G189,"CUMPLE","REVISAR")</f>
        <v>CUMPLE</v>
      </c>
      <c r="AC189" s="10">
        <f>0.17*SQRT($B$2)*(D189*1000)*J189/1000</f>
        <v>107.8499513</v>
      </c>
      <c r="AD189" s="10">
        <f>MAX(H189/0.75-AC189,0)</f>
        <v>0</v>
      </c>
      <c r="AE189" s="14">
        <f>IF(AD189&gt;0,MIN($N$2*$D$2*J189/(AD189*1000),MIN(J189/4,6*$H$2,150)),MIN(J189/4,6*$H$2,150))</f>
        <v>85.6375</v>
      </c>
      <c r="AF189" s="10">
        <f>0.66*SQRT($B$2)*(D189*1000)*J189/1000</f>
        <v>418.7115756</v>
      </c>
      <c r="AG189" s="15" t="str">
        <f>IF(AD189&lt;=AF189,"CUMPLE","AUMENTAR SECCION")</f>
        <v>CUMPLE</v>
      </c>
      <c r="AH189" s="10">
        <f>0.75*0.083*SQRT($B$2)*(((D189*1000)*(E189*1000))^2/(2*((D189*1000)+(E189*1000))))/1000000</f>
        <v>4.304108233</v>
      </c>
      <c r="AI189" s="15" t="str">
        <f>IF(I189&gt;AH189,"SI","No")</f>
        <v>SI</v>
      </c>
      <c r="AJ189" s="11">
        <f>IF(I189&gt;AH189,I189*1000000/(0.75*2*0.85*((D189*1000-2*$F$2)*(E189*1000-2*$F$2))*$D$2),0)</f>
        <v>0.229795622</v>
      </c>
      <c r="AK189" s="10">
        <f>1.25*Q189*$D$2*(J189-(1.25*Q189*$D$2/(0.85*$B$2*(D189*1000)))/2)/1000000</f>
        <v>101.4672613</v>
      </c>
      <c r="AL189" s="10">
        <f>1.25*Z189*$D$2*(J189-(1.25*Z189*$D$2/(0.85*$B$2*(D189*1000)))/2)/1000000</f>
        <v>101.4672613</v>
      </c>
      <c r="AM189" s="10">
        <f>(AK189+AL189)/B189</f>
        <v>135.2896818</v>
      </c>
      <c r="AN189" s="10">
        <f>MAX(H189,AM189)</f>
        <v>135.2896818</v>
      </c>
    </row>
    <row r="190">
      <c r="A190" s="5" t="inlineStr">
        <is>
          <t>F191</t>
        </is>
      </c>
      <c r="B190" s="6" t="n">
        <v>1.5</v>
      </c>
      <c r="C190" s="7" t="inlineStr">
        <is>
          <t>VR</t>
        </is>
      </c>
      <c r="D190" s="8">
        <f>IF(C190="VR",0.35,0.30)</f>
        <v>0.35</v>
      </c>
      <c r="E190" s="6" t="n">
        <v>0.4</v>
      </c>
      <c r="F190" s="9" t="n">
        <v>51.5</v>
      </c>
      <c r="G190" s="9" t="n">
        <v>48.5</v>
      </c>
      <c r="H190" s="9" t="n">
        <v>72.59999999999999</v>
      </c>
      <c r="I190" s="6" t="n">
        <v>6.3</v>
      </c>
      <c r="J190" s="10">
        <f>E190*1000-$F$2-$L$2-$H$2/2</f>
        <v>342.55</v>
      </c>
      <c r="K190" s="11">
        <f>F190*1000000/(0.9*(D190*1000)*J190^2)</f>
        <v>1.392501497</v>
      </c>
      <c r="L190" s="12">
        <f>(0.85*$B$2/$D$2)*(1-SQRT(1-2*K190/(0.85*$B$2)))</f>
        <v>0.003418598731</v>
      </c>
      <c r="M190" s="13">
        <f>L190*(D190*1000)*J190</f>
        <v>409.8643483</v>
      </c>
      <c r="N190" s="13">
        <f>MAX(0.25*SQRT($B$2)/$D$2,1.4/$D$2)*(D190*1000)*J190</f>
        <v>399.6416667</v>
      </c>
      <c r="O190" s="13">
        <f>MAX(M190,N190)</f>
        <v>409.8643483</v>
      </c>
      <c r="P190" s="14">
        <f>ROUNDUP(O190/$J$2,0)</f>
        <v>3</v>
      </c>
      <c r="Q190" s="13">
        <f>P190*$J$2</f>
        <v>597</v>
      </c>
      <c r="R190" s="10">
        <f>Q190*$D$2/(0.85*$B$2*(D190*1000))</f>
        <v>30.10084034</v>
      </c>
      <c r="S190" s="10">
        <f>0.9*Q190*$D$2*(J190-R190/2)/1000000</f>
        <v>73.90552018</v>
      </c>
      <c r="T190" s="15" t="str">
        <f>IF(AND(S190&gt;=F190,O190&lt;=0.025*(D190*1000)*J190,O190&gt;=N190),"CUMPLE","REVISAR")</f>
        <v>CUMPLE</v>
      </c>
      <c r="U190" s="11">
        <f>G190*1000000/(0.9*(D190*1000)*J190^2)</f>
        <v>1.312149264</v>
      </c>
      <c r="V190" s="12">
        <f>(0.85*$B$2/$D$2)*(1-SQRT(1-2*U190/(0.85*$B$2)))</f>
        <v>0.003215388969</v>
      </c>
      <c r="W190" s="13">
        <f>V190*(D190*1000)*J190</f>
        <v>385.5010219</v>
      </c>
      <c r="X190" s="13">
        <f>MAX(W190,N190)</f>
        <v>399.6416667</v>
      </c>
      <c r="Y190" s="14">
        <f>ROUNDUP(X190/$J$2,0)</f>
        <v>3</v>
      </c>
      <c r="Z190" s="13">
        <f>Y190*$J$2</f>
        <v>597</v>
      </c>
      <c r="AA190" s="10">
        <f>0.9*Z190*$D$2*(J190-(Z190*$D$2/(0.85*$B$2*(D190*1000)))/2)/1000000</f>
        <v>73.90552018</v>
      </c>
      <c r="AB190" s="15" t="str">
        <f>IF(AA190&gt;=G190,"CUMPLE","REVISAR")</f>
        <v>CUMPLE</v>
      </c>
      <c r="AC190" s="10">
        <f>0.17*SQRT($B$2)*(D190*1000)*J190/1000</f>
        <v>107.8499513</v>
      </c>
      <c r="AD190" s="10">
        <f>MAX(H190/0.75-AC190,0)</f>
        <v>0</v>
      </c>
      <c r="AE190" s="14">
        <f>IF(AD190&gt;0,MIN($N$2*$D$2*J190/(AD190*1000),MIN(J190/4,6*$H$2,150)),MIN(J190/4,6*$H$2,150))</f>
        <v>85.6375</v>
      </c>
      <c r="AF190" s="10">
        <f>0.66*SQRT($B$2)*(D190*1000)*J190/1000</f>
        <v>418.7115756</v>
      </c>
      <c r="AG190" s="15" t="str">
        <f>IF(AD190&lt;=AF190,"CUMPLE","AUMENTAR SECCION")</f>
        <v>CUMPLE</v>
      </c>
      <c r="AH190" s="10">
        <f>0.75*0.083*SQRT($B$2)*(((D190*1000)*(E190*1000))^2/(2*((D190*1000)+(E190*1000))))/1000000</f>
        <v>4.304108233</v>
      </c>
      <c r="AI190" s="15" t="str">
        <f>IF(I190&gt;AH190,"SI","No")</f>
        <v>SI</v>
      </c>
      <c r="AJ190" s="11">
        <f>IF(I190&gt;AH190,I190*1000000/(0.75*2*0.85*((D190*1000-2*$F$2)*(E190*1000-2*$F$2))*$D$2),0)</f>
        <v>0.1362304181</v>
      </c>
      <c r="AK190" s="10">
        <f>1.25*Q190*$D$2*(J190-(1.25*Q190*$D$2/(0.85*$B$2*(D190*1000)))/2)/1000000</f>
        <v>101.4672613</v>
      </c>
      <c r="AL190" s="10">
        <f>1.25*Z190*$D$2*(J190-(1.25*Z190*$D$2/(0.85*$B$2*(D190*1000)))/2)/1000000</f>
        <v>101.4672613</v>
      </c>
      <c r="AM190" s="10">
        <f>(AK190+AL190)/B190</f>
        <v>135.2896818</v>
      </c>
      <c r="AN190" s="10">
        <f>MAX(H190,AM190)</f>
        <v>135.2896818</v>
      </c>
    </row>
    <row r="191">
      <c r="A191" s="5" t="inlineStr">
        <is>
          <t>F192</t>
        </is>
      </c>
      <c r="B191" s="6" t="n">
        <v>1.5</v>
      </c>
      <c r="C191" s="7" t="inlineStr">
        <is>
          <t>VR</t>
        </is>
      </c>
      <c r="D191" s="8">
        <f>IF(C191="VR",0.35,0.30)</f>
        <v>0.35</v>
      </c>
      <c r="E191" s="6" t="n">
        <v>0.4</v>
      </c>
      <c r="F191" s="9" t="n">
        <v>30.2</v>
      </c>
      <c r="G191" s="9" t="n">
        <v>27.2</v>
      </c>
      <c r="H191" s="9" t="n">
        <v>44.2</v>
      </c>
      <c r="I191" s="6" t="n">
        <v>10.63</v>
      </c>
      <c r="J191" s="10">
        <f>E191*1000-$F$2-$L$2-$H$2/2</f>
        <v>342.55</v>
      </c>
      <c r="K191" s="11">
        <f>F191*1000000/(0.9*(D191*1000)*J191^2)</f>
        <v>0.8175907371</v>
      </c>
      <c r="L191" s="12">
        <f>(0.85*$B$2/$D$2)*(1-SQRT(1-2*K191/(0.85*$B$2)))</f>
        <v>0.001981281157</v>
      </c>
      <c r="M191" s="13">
        <f>L191*(D191*1000)*J191</f>
        <v>237.5407511</v>
      </c>
      <c r="N191" s="13">
        <f>MAX(0.25*SQRT($B$2)/$D$2,1.4/$D$2)*(D191*1000)*J191</f>
        <v>399.6416667</v>
      </c>
      <c r="O191" s="13">
        <f>MAX(M191,N191)</f>
        <v>399.6416667</v>
      </c>
      <c r="P191" s="14">
        <f>ROUNDUP(O191/$J$2,0)</f>
        <v>3</v>
      </c>
      <c r="Q191" s="13">
        <f>P191*$J$2</f>
        <v>597</v>
      </c>
      <c r="R191" s="10">
        <f>Q191*$D$2/(0.85*$B$2*(D191*1000))</f>
        <v>30.10084034</v>
      </c>
      <c r="S191" s="10">
        <f>0.9*Q191*$D$2*(J191-R191/2)/1000000</f>
        <v>73.90552018</v>
      </c>
      <c r="T191" s="15" t="str">
        <f>IF(AND(S191&gt;=F191,O191&lt;=0.025*(D191*1000)*J191,O191&gt;=N191),"CUMPLE","REVISAR")</f>
        <v>CUMPLE</v>
      </c>
      <c r="U191" s="11">
        <f>G191*1000000/(0.9*(D191*1000)*J191^2)</f>
        <v>0.7372385039</v>
      </c>
      <c r="V191" s="12">
        <f>(0.85*$B$2/$D$2)*(1-SQRT(1-2*U191/(0.85*$B$2)))</f>
        <v>0.001783392921</v>
      </c>
      <c r="W191" s="13">
        <f>V191*(D191*1000)*J191</f>
        <v>213.8154358</v>
      </c>
      <c r="X191" s="13">
        <f>MAX(W191,N191)</f>
        <v>399.6416667</v>
      </c>
      <c r="Y191" s="14">
        <f>ROUNDUP(X191/$J$2,0)</f>
        <v>3</v>
      </c>
      <c r="Z191" s="13">
        <f>Y191*$J$2</f>
        <v>597</v>
      </c>
      <c r="AA191" s="10">
        <f>0.9*Z191*$D$2*(J191-(Z191*$D$2/(0.85*$B$2*(D191*1000)))/2)/1000000</f>
        <v>73.90552018</v>
      </c>
      <c r="AB191" s="15" t="str">
        <f>IF(AA191&gt;=G191,"CUMPLE","REVISAR")</f>
        <v>CUMPLE</v>
      </c>
      <c r="AC191" s="10">
        <f>0.17*SQRT($B$2)*(D191*1000)*J191/1000</f>
        <v>107.8499513</v>
      </c>
      <c r="AD191" s="10">
        <f>MAX(H191/0.75-AC191,0)</f>
        <v>0</v>
      </c>
      <c r="AE191" s="14">
        <f>IF(AD191&gt;0,MIN($N$2*$D$2*J191/(AD191*1000),MIN(J191/4,6*$H$2,150)),MIN(J191/4,6*$H$2,150))</f>
        <v>85.6375</v>
      </c>
      <c r="AF191" s="10">
        <f>0.66*SQRT($B$2)*(D191*1000)*J191/1000</f>
        <v>418.7115756</v>
      </c>
      <c r="AG191" s="15" t="str">
        <f>IF(AD191&lt;=AF191,"CUMPLE","AUMENTAR SECCION")</f>
        <v>CUMPLE</v>
      </c>
      <c r="AH191" s="10">
        <f>0.75*0.083*SQRT($B$2)*(((D191*1000)*(E191*1000))^2/(2*((D191*1000)+(E191*1000))))/1000000</f>
        <v>4.304108233</v>
      </c>
      <c r="AI191" s="15" t="str">
        <f>IF(I191&gt;AH191,"SI","No")</f>
        <v>SI</v>
      </c>
      <c r="AJ191" s="11">
        <f>IF(I191&gt;AH191,I191*1000000/(0.75*2*0.85*((D191*1000-2*$F$2)*(E191*1000-2*$F$2))*$D$2),0)</f>
        <v>0.2298172355</v>
      </c>
      <c r="AK191" s="10">
        <f>1.25*Q191*$D$2*(J191-(1.25*Q191*$D$2/(0.85*$B$2*(D191*1000)))/2)/1000000</f>
        <v>101.4672613</v>
      </c>
      <c r="AL191" s="10">
        <f>1.25*Z191*$D$2*(J191-(1.25*Z191*$D$2/(0.85*$B$2*(D191*1000)))/2)/1000000</f>
        <v>101.4672613</v>
      </c>
      <c r="AM191" s="10">
        <f>(AK191+AL191)/B191</f>
        <v>135.2896818</v>
      </c>
      <c r="AN191" s="10">
        <f>MAX(H191,AM191)</f>
        <v>135.2896818</v>
      </c>
    </row>
    <row r="192">
      <c r="A192" s="5" t="inlineStr">
        <is>
          <t>F193</t>
        </is>
      </c>
      <c r="B192" s="6" t="n">
        <v>3.75</v>
      </c>
      <c r="C192" s="7" t="inlineStr">
        <is>
          <t>VC</t>
        </is>
      </c>
      <c r="D192" s="8">
        <f>IF(C192="VR",0.35,0.30)</f>
        <v>0.3</v>
      </c>
      <c r="E192" s="6" t="n">
        <v>0.4</v>
      </c>
      <c r="F192" s="9" t="n">
        <v>10.6</v>
      </c>
      <c r="G192" s="9" t="n">
        <v>8.699999999999999</v>
      </c>
      <c r="H192" s="9" t="n">
        <v>15.6</v>
      </c>
      <c r="I192" s="6" t="n">
        <v>0</v>
      </c>
      <c r="J192" s="10">
        <f>E192*1000-$F$2-$L$2-$H$2/2</f>
        <v>342.55</v>
      </c>
      <c r="K192" s="11">
        <f>F192*1000000/(0.9*(D192*1000)*J192^2)</f>
        <v>0.3355224286</v>
      </c>
      <c r="L192" s="12">
        <f>(0.85*$B$2/$D$2)*(1-SQRT(1-2*K192/(0.85*$B$2)))</f>
        <v>0.0008045747534</v>
      </c>
      <c r="M192" s="13">
        <f>L192*(D192*1000)*J192</f>
        <v>82.68212454</v>
      </c>
      <c r="N192" s="13">
        <f>MAX(0.25*SQRT($B$2)/$D$2,1.4/$D$2)*(D192*1000)*J192</f>
        <v>342.55</v>
      </c>
      <c r="O192" s="13">
        <f>MAX(M192,N192)</f>
        <v>342.55</v>
      </c>
      <c r="P192" s="14">
        <f>ROUNDUP(O192/$J$2,0)</f>
        <v>2</v>
      </c>
      <c r="Q192" s="13">
        <f>P192*$J$2</f>
        <v>398</v>
      </c>
      <c r="R192" s="10">
        <f>Q192*$D$2/(0.85*$B$2*(D192*1000))</f>
        <v>23.41176471</v>
      </c>
      <c r="S192" s="10">
        <f>0.9*Q192*$D$2*(J192-R192/2)/1000000</f>
        <v>49.77351244</v>
      </c>
      <c r="T192" s="15" t="str">
        <f>IF(AND(S192&gt;=F192,O192&lt;=0.025*(D192*1000)*J192,O192&gt;=N192),"CUMPLE","REVISAR")</f>
        <v>CUMPLE</v>
      </c>
      <c r="U192" s="11">
        <f>G192*1000000/(0.9*(D192*1000)*J192^2)</f>
        <v>0.2730262472</v>
      </c>
      <c r="V192" s="12">
        <f>(0.85*$B$2/$D$2)*(1-SQRT(1-2*U192/(0.85*$B$2)))</f>
        <v>0.0006538345487</v>
      </c>
      <c r="W192" s="13">
        <f>V192*(D192*1000)*J192</f>
        <v>67.19130739</v>
      </c>
      <c r="X192" s="13">
        <f>MAX(W192,N192)</f>
        <v>342.55</v>
      </c>
      <c r="Y192" s="14">
        <f>ROUNDUP(X192/$J$2,0)</f>
        <v>2</v>
      </c>
      <c r="Z192" s="13">
        <f>Y192*$J$2</f>
        <v>398</v>
      </c>
      <c r="AA192" s="10">
        <f>0.9*Z192*$D$2*(J192-(Z192*$D$2/(0.85*$B$2*(D192*1000)))/2)/1000000</f>
        <v>49.77351244</v>
      </c>
      <c r="AB192" s="15" t="str">
        <f>IF(AA192&gt;=G192,"CUMPLE","REVISAR")</f>
        <v>CUMPLE</v>
      </c>
      <c r="AC192" s="10">
        <f>0.17*SQRT($B$2)*(D192*1000)*J192/1000</f>
        <v>92.44281538</v>
      </c>
      <c r="AD192" s="10">
        <f>MAX(H192/0.75-AC192,0)</f>
        <v>0</v>
      </c>
      <c r="AE192" s="14">
        <f>IF(AD192&gt;0,MIN($N$2*$D$2*J192/(AD192*1000),MIN(J192/4,6*$H$2,150)),MIN(J192/4,6*$H$2,150))</f>
        <v>85.6375</v>
      </c>
      <c r="AF192" s="10">
        <f>0.66*SQRT($B$2)*(D192*1000)*J192/1000</f>
        <v>358.8956362</v>
      </c>
      <c r="AG192" s="15" t="str">
        <f>IF(AD192&lt;=AF192,"CUMPLE","AUMENTAR SECCION")</f>
        <v>CUMPLE</v>
      </c>
      <c r="AH192" s="10">
        <f>0.75*0.083*SQRT($B$2)*(((D192*1000)*(E192*1000))^2/(2*((D192*1000)+(E192*1000))))/1000000</f>
        <v>3.388073536</v>
      </c>
      <c r="AI192" s="15" t="str">
        <f>IF(I192&gt;AH192,"SI","No")</f>
        <v>No</v>
      </c>
      <c r="AJ192" s="11">
        <f>IF(I192&gt;AH192,I192*1000000/(0.75*2*0.85*((D192*1000-2*$F$2)*(E192*1000-2*$F$2))*$D$2),0)</f>
        <v>0</v>
      </c>
      <c r="AK192" s="10">
        <f>1.25*Q192*$D$2*(J192-(1.25*Q192*$D$2/(0.85*$B$2*(D192*1000)))/2)/1000000</f>
        <v>68.51839235</v>
      </c>
      <c r="AL192" s="10">
        <f>1.25*Z192*$D$2*(J192-(1.25*Z192*$D$2/(0.85*$B$2*(D192*1000)))/2)/1000000</f>
        <v>68.51839235</v>
      </c>
      <c r="AM192" s="10">
        <f>(AK192+AL192)/B192</f>
        <v>36.54314259</v>
      </c>
      <c r="AN192" s="10">
        <f>MAX(H192,AM192)</f>
        <v>36.54314259</v>
      </c>
    </row>
    <row r="193">
      <c r="A193" s="5" t="inlineStr">
        <is>
          <t>F194</t>
        </is>
      </c>
      <c r="B193" s="6" t="n">
        <v>3.75</v>
      </c>
      <c r="C193" s="7" t="inlineStr">
        <is>
          <t>VC</t>
        </is>
      </c>
      <c r="D193" s="8">
        <f>IF(C193="VR",0.35,0.30)</f>
        <v>0.3</v>
      </c>
      <c r="E193" s="6" t="n">
        <v>0.4</v>
      </c>
      <c r="F193" s="9" t="n">
        <v>10.6</v>
      </c>
      <c r="G193" s="9" t="n">
        <v>8.699999999999999</v>
      </c>
      <c r="H193" s="9" t="n">
        <v>15.6</v>
      </c>
      <c r="I193" s="6" t="n">
        <v>0</v>
      </c>
      <c r="J193" s="10">
        <f>E193*1000-$F$2-$L$2-$H$2/2</f>
        <v>342.55</v>
      </c>
      <c r="K193" s="11">
        <f>F193*1000000/(0.9*(D193*1000)*J193^2)</f>
        <v>0.3355224286</v>
      </c>
      <c r="L193" s="12">
        <f>(0.85*$B$2/$D$2)*(1-SQRT(1-2*K193/(0.85*$B$2)))</f>
        <v>0.0008045747534</v>
      </c>
      <c r="M193" s="13">
        <f>L193*(D193*1000)*J193</f>
        <v>82.68212454</v>
      </c>
      <c r="N193" s="13">
        <f>MAX(0.25*SQRT($B$2)/$D$2,1.4/$D$2)*(D193*1000)*J193</f>
        <v>342.55</v>
      </c>
      <c r="O193" s="13">
        <f>MAX(M193,N193)</f>
        <v>342.55</v>
      </c>
      <c r="P193" s="14">
        <f>ROUNDUP(O193/$J$2,0)</f>
        <v>2</v>
      </c>
      <c r="Q193" s="13">
        <f>P193*$J$2</f>
        <v>398</v>
      </c>
      <c r="R193" s="10">
        <f>Q193*$D$2/(0.85*$B$2*(D193*1000))</f>
        <v>23.41176471</v>
      </c>
      <c r="S193" s="10">
        <f>0.9*Q193*$D$2*(J193-R193/2)/1000000</f>
        <v>49.77351244</v>
      </c>
      <c r="T193" s="15" t="str">
        <f>IF(AND(S193&gt;=F193,O193&lt;=0.025*(D193*1000)*J193,O193&gt;=N193),"CUMPLE","REVISAR")</f>
        <v>CUMPLE</v>
      </c>
      <c r="U193" s="11">
        <f>G193*1000000/(0.9*(D193*1000)*J193^2)</f>
        <v>0.2730262472</v>
      </c>
      <c r="V193" s="12">
        <f>(0.85*$B$2/$D$2)*(1-SQRT(1-2*U193/(0.85*$B$2)))</f>
        <v>0.0006538345487</v>
      </c>
      <c r="W193" s="13">
        <f>V193*(D193*1000)*J193</f>
        <v>67.19130739</v>
      </c>
      <c r="X193" s="13">
        <f>MAX(W193,N193)</f>
        <v>342.55</v>
      </c>
      <c r="Y193" s="14">
        <f>ROUNDUP(X193/$J$2,0)</f>
        <v>2</v>
      </c>
      <c r="Z193" s="13">
        <f>Y193*$J$2</f>
        <v>398</v>
      </c>
      <c r="AA193" s="10">
        <f>0.9*Z193*$D$2*(J193-(Z193*$D$2/(0.85*$B$2*(D193*1000)))/2)/1000000</f>
        <v>49.77351244</v>
      </c>
      <c r="AB193" s="15" t="str">
        <f>IF(AA193&gt;=G193,"CUMPLE","REVISAR")</f>
        <v>CUMPLE</v>
      </c>
      <c r="AC193" s="10">
        <f>0.17*SQRT($B$2)*(D193*1000)*J193/1000</f>
        <v>92.44281538</v>
      </c>
      <c r="AD193" s="10">
        <f>MAX(H193/0.75-AC193,0)</f>
        <v>0</v>
      </c>
      <c r="AE193" s="14">
        <f>IF(AD193&gt;0,MIN($N$2*$D$2*J193/(AD193*1000),MIN(J193/4,6*$H$2,150)),MIN(J193/4,6*$H$2,150))</f>
        <v>85.6375</v>
      </c>
      <c r="AF193" s="10">
        <f>0.66*SQRT($B$2)*(D193*1000)*J193/1000</f>
        <v>358.8956362</v>
      </c>
      <c r="AG193" s="15" t="str">
        <f>IF(AD193&lt;=AF193,"CUMPLE","AUMENTAR SECCION")</f>
        <v>CUMPLE</v>
      </c>
      <c r="AH193" s="10">
        <f>0.75*0.083*SQRT($B$2)*(((D193*1000)*(E193*1000))^2/(2*((D193*1000)+(E193*1000))))/1000000</f>
        <v>3.388073536</v>
      </c>
      <c r="AI193" s="15" t="str">
        <f>IF(I193&gt;AH193,"SI","No")</f>
        <v>No</v>
      </c>
      <c r="AJ193" s="11">
        <f>IF(I193&gt;AH193,I193*1000000/(0.75*2*0.85*((D193*1000-2*$F$2)*(E193*1000-2*$F$2))*$D$2),0)</f>
        <v>0</v>
      </c>
      <c r="AK193" s="10">
        <f>1.25*Q193*$D$2*(J193-(1.25*Q193*$D$2/(0.85*$B$2*(D193*1000)))/2)/1000000</f>
        <v>68.51839235</v>
      </c>
      <c r="AL193" s="10">
        <f>1.25*Z193*$D$2*(J193-(1.25*Z193*$D$2/(0.85*$B$2*(D193*1000)))/2)/1000000</f>
        <v>68.51839235</v>
      </c>
      <c r="AM193" s="10">
        <f>(AK193+AL193)/B193</f>
        <v>36.54314259</v>
      </c>
      <c r="AN193" s="10">
        <f>MAX(H193,AM193)</f>
        <v>36.54314259</v>
      </c>
    </row>
    <row r="194">
      <c r="A194" s="5" t="inlineStr">
        <is>
          <t>F201</t>
        </is>
      </c>
      <c r="B194" s="6" t="n">
        <v>2.6</v>
      </c>
      <c r="C194" s="7" t="inlineStr">
        <is>
          <t>VC</t>
        </is>
      </c>
      <c r="D194" s="8">
        <f>IF(C194="VR",0.35,0.30)</f>
        <v>0.3</v>
      </c>
      <c r="E194" s="6" t="n">
        <v>0.4</v>
      </c>
      <c r="F194" s="9" t="n">
        <v>27</v>
      </c>
      <c r="G194" s="9" t="n">
        <v>11</v>
      </c>
      <c r="H194" s="9" t="n">
        <v>54.7</v>
      </c>
      <c r="I194" s="6" t="n">
        <v>5.53</v>
      </c>
      <c r="J194" s="10">
        <f>E194*1000-$F$2-$L$2-$H$2/2</f>
        <v>342.55</v>
      </c>
      <c r="K194" s="11">
        <f>F194*1000000/(0.9*(D194*1000)*J194^2)</f>
        <v>0.8522206559</v>
      </c>
      <c r="L194" s="12">
        <f>(0.85*$B$2/$D$2)*(1-SQRT(1-2*K194/(0.85*$B$2)))</f>
        <v>0.00206678748</v>
      </c>
      <c r="M194" s="13">
        <f>L194*(D194*1000)*J194</f>
        <v>212.3934154</v>
      </c>
      <c r="N194" s="13">
        <f>MAX(0.25*SQRT($B$2)/$D$2,1.4/$D$2)*(D194*1000)*J194</f>
        <v>342.55</v>
      </c>
      <c r="O194" s="13">
        <f>MAX(M194,N194)</f>
        <v>342.55</v>
      </c>
      <c r="P194" s="14">
        <f>ROUNDUP(O194/$J$2,0)</f>
        <v>2</v>
      </c>
      <c r="Q194" s="13">
        <f>P194*$J$2</f>
        <v>398</v>
      </c>
      <c r="R194" s="10">
        <f>Q194*$D$2/(0.85*$B$2*(D194*1000))</f>
        <v>23.41176471</v>
      </c>
      <c r="S194" s="10">
        <f>0.9*Q194*$D$2*(J194-R194/2)/1000000</f>
        <v>49.77351244</v>
      </c>
      <c r="T194" s="15" t="str">
        <f>IF(AND(S194&gt;=F194,O194&lt;=0.025*(D194*1000)*J194,O194&gt;=N194),"CUMPLE","REVISAR")</f>
        <v>CUMPLE</v>
      </c>
      <c r="U194" s="11">
        <f>G194*1000000/(0.9*(D194*1000)*J194^2)</f>
        <v>0.3484635571</v>
      </c>
      <c r="V194" s="12">
        <f>(0.85*$B$2/$D$2)*(1-SQRT(1-2*U194/(0.85*$B$2)))</f>
        <v>0.0008358394976</v>
      </c>
      <c r="W194" s="13">
        <f>V194*(D194*1000)*J194</f>
        <v>85.89504597</v>
      </c>
      <c r="X194" s="13">
        <f>MAX(W194,N194)</f>
        <v>342.55</v>
      </c>
      <c r="Y194" s="14">
        <f>ROUNDUP(X194/$J$2,0)</f>
        <v>2</v>
      </c>
      <c r="Z194" s="13">
        <f>Y194*$J$2</f>
        <v>398</v>
      </c>
      <c r="AA194" s="10">
        <f>0.9*Z194*$D$2*(J194-(Z194*$D$2/(0.85*$B$2*(D194*1000)))/2)/1000000</f>
        <v>49.77351244</v>
      </c>
      <c r="AB194" s="15" t="str">
        <f>IF(AA194&gt;=G194,"CUMPLE","REVISAR")</f>
        <v>CUMPLE</v>
      </c>
      <c r="AC194" s="10">
        <f>0.17*SQRT($B$2)*(D194*1000)*J194/1000</f>
        <v>92.44281538</v>
      </c>
      <c r="AD194" s="10">
        <f>MAX(H194/0.75-AC194,0)</f>
        <v>0</v>
      </c>
      <c r="AE194" s="14">
        <f>IF(AD194&gt;0,MIN($N$2*$D$2*J194/(AD194*1000),MIN(J194/4,6*$H$2,150)),MIN(J194/4,6*$H$2,150))</f>
        <v>85.6375</v>
      </c>
      <c r="AF194" s="10">
        <f>0.66*SQRT($B$2)*(D194*1000)*J194/1000</f>
        <v>358.8956362</v>
      </c>
      <c r="AG194" s="15" t="str">
        <f>IF(AD194&lt;=AF194,"CUMPLE","AUMENTAR SECCION")</f>
        <v>CUMPLE</v>
      </c>
      <c r="AH194" s="10">
        <f>0.75*0.083*SQRT($B$2)*(((D194*1000)*(E194*1000))^2/(2*((D194*1000)+(E194*1000))))/1000000</f>
        <v>3.388073536</v>
      </c>
      <c r="AI194" s="15" t="str">
        <f>IF(I194&gt;AH194,"SI","No")</f>
        <v>SI</v>
      </c>
      <c r="AJ194" s="11">
        <f>IF(I194&gt;AH194,I194*1000000/(0.75*2*0.85*((D194*1000-2*$F$2)*(E194*1000-2*$F$2))*$D$2),0)</f>
        <v>0.1467405144</v>
      </c>
      <c r="AK194" s="10">
        <f>1.25*Q194*$D$2*(J194-(1.25*Q194*$D$2/(0.85*$B$2*(D194*1000)))/2)/1000000</f>
        <v>68.51839235</v>
      </c>
      <c r="AL194" s="10">
        <f>1.25*Z194*$D$2*(J194-(1.25*Z194*$D$2/(0.85*$B$2*(D194*1000)))/2)/1000000</f>
        <v>68.51839235</v>
      </c>
      <c r="AM194" s="10">
        <f>(AK194+AL194)/B194</f>
        <v>52.70645566</v>
      </c>
      <c r="AN194" s="10">
        <f>MAX(H194,AM194)</f>
        <v>54.73</v>
      </c>
    </row>
    <row r="195">
      <c r="A195" s="5" t="inlineStr">
        <is>
          <t>F202</t>
        </is>
      </c>
      <c r="B195" s="6" t="n">
        <v>3.65</v>
      </c>
      <c r="C195" s="7" t="inlineStr">
        <is>
          <t>VR</t>
        </is>
      </c>
      <c r="D195" s="8">
        <f>IF(C195="VR",0.35,0.30)</f>
        <v>0.35</v>
      </c>
      <c r="E195" s="6" t="n">
        <v>0.4</v>
      </c>
      <c r="F195" s="9" t="n">
        <v>45.1</v>
      </c>
      <c r="G195" s="9" t="n">
        <v>21.8</v>
      </c>
      <c r="H195" s="9" t="n">
        <v>72.40000000000001</v>
      </c>
      <c r="I195" s="6" t="n">
        <v>0.15</v>
      </c>
      <c r="J195" s="10">
        <f>E195*1000-$F$2-$L$2-$H$2/2</f>
        <v>342.55</v>
      </c>
      <c r="K195" s="11">
        <f>F195*1000000/(0.9*(D195*1000)*J195^2)</f>
        <v>1.220434088</v>
      </c>
      <c r="L195" s="12">
        <f>(0.85*$B$2/$D$2)*(1-SQRT(1-2*K195/(0.85*$B$2)))</f>
        <v>0.00298438256</v>
      </c>
      <c r="M195" s="13">
        <f>L195*(D195*1000)*J195</f>
        <v>357.8050861</v>
      </c>
      <c r="N195" s="13">
        <f>MAX(0.25*SQRT($B$2)/$D$2,1.4/$D$2)*(D195*1000)*J195</f>
        <v>399.6416667</v>
      </c>
      <c r="O195" s="13">
        <f>MAX(M195,N195)</f>
        <v>399.6416667</v>
      </c>
      <c r="P195" s="14">
        <f>ROUNDUP(O195/$J$2,0)</f>
        <v>3</v>
      </c>
      <c r="Q195" s="13">
        <f>P195*$J$2</f>
        <v>597</v>
      </c>
      <c r="R195" s="10">
        <f>Q195*$D$2/(0.85*$B$2*(D195*1000))</f>
        <v>30.10084034</v>
      </c>
      <c r="S195" s="10">
        <f>0.9*Q195*$D$2*(J195-R195/2)/1000000</f>
        <v>73.90552018</v>
      </c>
      <c r="T195" s="15" t="str">
        <f>IF(AND(S195&gt;=F195,O195&lt;=0.025*(D195*1000)*J195,O195&gt;=N195),"CUMPLE","REVISAR")</f>
        <v>CUMPLE</v>
      </c>
      <c r="U195" s="11">
        <f>G195*1000000/(0.9*(D195*1000)*J195^2)</f>
        <v>0.5884380719</v>
      </c>
      <c r="V195" s="12">
        <f>(0.85*$B$2/$D$2)*(1-SQRT(1-2*U195/(0.85*$B$2)))</f>
        <v>0.001418804857</v>
      </c>
      <c r="W195" s="13">
        <f>V195*(D195*1000)*J195</f>
        <v>170.1040613</v>
      </c>
      <c r="X195" s="13">
        <f>MAX(W195,N195)</f>
        <v>399.6416667</v>
      </c>
      <c r="Y195" s="14">
        <f>ROUNDUP(X195/$J$2,0)</f>
        <v>3</v>
      </c>
      <c r="Z195" s="13">
        <f>Y195*$J$2</f>
        <v>597</v>
      </c>
      <c r="AA195" s="10">
        <f>0.9*Z195*$D$2*(J195-(Z195*$D$2/(0.85*$B$2*(D195*1000)))/2)/1000000</f>
        <v>73.90552018</v>
      </c>
      <c r="AB195" s="15" t="str">
        <f>IF(AA195&gt;=G195,"CUMPLE","REVISAR")</f>
        <v>CUMPLE</v>
      </c>
      <c r="AC195" s="10">
        <f>0.17*SQRT($B$2)*(D195*1000)*J195/1000</f>
        <v>107.8499513</v>
      </c>
      <c r="AD195" s="10">
        <f>MAX(H195/0.75-AC195,0)</f>
        <v>0</v>
      </c>
      <c r="AE195" s="14">
        <f>IF(AD195&gt;0,MIN($N$2*$D$2*J195/(AD195*1000),MIN(J195/4,6*$H$2,150)),MIN(J195/4,6*$H$2,150))</f>
        <v>85.6375</v>
      </c>
      <c r="AF195" s="10">
        <f>0.66*SQRT($B$2)*(D195*1000)*J195/1000</f>
        <v>418.7115756</v>
      </c>
      <c r="AG195" s="15" t="str">
        <f>IF(AD195&lt;=AF195,"CUMPLE","AUMENTAR SECCION")</f>
        <v>CUMPLE</v>
      </c>
      <c r="AH195" s="10">
        <f>0.75*0.083*SQRT($B$2)*(((D195*1000)*(E195*1000))^2/(2*((D195*1000)+(E195*1000))))/1000000</f>
        <v>4.304108233</v>
      </c>
      <c r="AI195" s="15" t="str">
        <f>IF(I195&gt;AH195,"SI","No")</f>
        <v>No</v>
      </c>
      <c r="AJ195" s="11">
        <f>IF(I195&gt;AH195,I195*1000000/(0.75*2*0.85*((D195*1000-2*$F$2)*(E195*1000-2*$F$2))*$D$2),0)</f>
        <v>0</v>
      </c>
      <c r="AK195" s="10">
        <f>1.25*Q195*$D$2*(J195-(1.25*Q195*$D$2/(0.85*$B$2*(D195*1000)))/2)/1000000</f>
        <v>101.4672613</v>
      </c>
      <c r="AL195" s="10">
        <f>1.25*Z195*$D$2*(J195-(1.25*Z195*$D$2/(0.85*$B$2*(D195*1000)))/2)/1000000</f>
        <v>101.4672613</v>
      </c>
      <c r="AM195" s="10">
        <f>(AK195+AL195)/B195</f>
        <v>55.59849936</v>
      </c>
      <c r="AN195" s="10">
        <f>MAX(H195,AM195)</f>
        <v>72.4</v>
      </c>
    </row>
    <row r="196">
      <c r="A196" s="5" t="inlineStr">
        <is>
          <t>F203</t>
        </is>
      </c>
      <c r="B196" s="6" t="n">
        <v>2.6</v>
      </c>
      <c r="C196" s="7" t="inlineStr">
        <is>
          <t>VC</t>
        </is>
      </c>
      <c r="D196" s="8">
        <f>IF(C196="VR",0.35,0.30)</f>
        <v>0.3</v>
      </c>
      <c r="E196" s="6" t="n">
        <v>0.4</v>
      </c>
      <c r="F196" s="9" t="n">
        <v>26</v>
      </c>
      <c r="G196" s="9" t="n">
        <v>11</v>
      </c>
      <c r="H196" s="9" t="n">
        <v>53.9</v>
      </c>
      <c r="I196" s="6" t="n">
        <v>0.06</v>
      </c>
      <c r="J196" s="10">
        <f>E196*1000-$F$2-$L$2-$H$2/2</f>
        <v>342.55</v>
      </c>
      <c r="K196" s="11">
        <f>F196*1000000/(0.9*(D196*1000)*J196^2)</f>
        <v>0.819710016</v>
      </c>
      <c r="L196" s="12">
        <f>(0.85*$B$2/$D$2)*(1-SQRT(1-2*K196/(0.85*$B$2)))</f>
        <v>0.001986510124</v>
      </c>
      <c r="M196" s="13">
        <f>L196*(D196*1000)*J196</f>
        <v>204.1437129</v>
      </c>
      <c r="N196" s="13">
        <f>MAX(0.25*SQRT($B$2)/$D$2,1.4/$D$2)*(D196*1000)*J196</f>
        <v>342.55</v>
      </c>
      <c r="O196" s="13">
        <f>MAX(M196,N196)</f>
        <v>342.55</v>
      </c>
      <c r="P196" s="14">
        <f>ROUNDUP(O196/$J$2,0)</f>
        <v>2</v>
      </c>
      <c r="Q196" s="13">
        <f>P196*$J$2</f>
        <v>398</v>
      </c>
      <c r="R196" s="10">
        <f>Q196*$D$2/(0.85*$B$2*(D196*1000))</f>
        <v>23.41176471</v>
      </c>
      <c r="S196" s="10">
        <f>0.9*Q196*$D$2*(J196-R196/2)/1000000</f>
        <v>49.77351244</v>
      </c>
      <c r="T196" s="15" t="str">
        <f>IF(AND(S196&gt;=F196,O196&lt;=0.025*(D196*1000)*J196,O196&gt;=N196),"CUMPLE","REVISAR")</f>
        <v>CUMPLE</v>
      </c>
      <c r="U196" s="11">
        <f>G196*1000000/(0.9*(D196*1000)*J196^2)</f>
        <v>0.3484635571</v>
      </c>
      <c r="V196" s="12">
        <f>(0.85*$B$2/$D$2)*(1-SQRT(1-2*U196/(0.85*$B$2)))</f>
        <v>0.0008358394976</v>
      </c>
      <c r="W196" s="13">
        <f>V196*(D196*1000)*J196</f>
        <v>85.89504597</v>
      </c>
      <c r="X196" s="13">
        <f>MAX(W196,N196)</f>
        <v>342.55</v>
      </c>
      <c r="Y196" s="14">
        <f>ROUNDUP(X196/$J$2,0)</f>
        <v>2</v>
      </c>
      <c r="Z196" s="13">
        <f>Y196*$J$2</f>
        <v>398</v>
      </c>
      <c r="AA196" s="10">
        <f>0.9*Z196*$D$2*(J196-(Z196*$D$2/(0.85*$B$2*(D196*1000)))/2)/1000000</f>
        <v>49.77351244</v>
      </c>
      <c r="AB196" s="15" t="str">
        <f>IF(AA196&gt;=G196,"CUMPLE","REVISAR")</f>
        <v>CUMPLE</v>
      </c>
      <c r="AC196" s="10">
        <f>0.17*SQRT($B$2)*(D196*1000)*J196/1000</f>
        <v>92.44281538</v>
      </c>
      <c r="AD196" s="10">
        <f>MAX(H196/0.75-AC196,0)</f>
        <v>0</v>
      </c>
      <c r="AE196" s="14">
        <f>IF(AD196&gt;0,MIN($N$2*$D$2*J196/(AD196*1000),MIN(J196/4,6*$H$2,150)),MIN(J196/4,6*$H$2,150))</f>
        <v>85.6375</v>
      </c>
      <c r="AF196" s="10">
        <f>0.66*SQRT($B$2)*(D196*1000)*J196/1000</f>
        <v>358.8956362</v>
      </c>
      <c r="AG196" s="15" t="str">
        <f>IF(AD196&lt;=AF196,"CUMPLE","AUMENTAR SECCION")</f>
        <v>CUMPLE</v>
      </c>
      <c r="AH196" s="10">
        <f>0.75*0.083*SQRT($B$2)*(((D196*1000)*(E196*1000))^2/(2*((D196*1000)+(E196*1000))))/1000000</f>
        <v>3.388073536</v>
      </c>
      <c r="AI196" s="15" t="str">
        <f>IF(I196&gt;AH196,"SI","No")</f>
        <v>No</v>
      </c>
      <c r="AJ196" s="11">
        <f>IF(I196&gt;AH196,I196*1000000/(0.75*2*0.85*((D196*1000-2*$F$2)*(E196*1000-2*$F$2))*$D$2),0)</f>
        <v>0</v>
      </c>
      <c r="AK196" s="10">
        <f>1.25*Q196*$D$2*(J196-(1.25*Q196*$D$2/(0.85*$B$2*(D196*1000)))/2)/1000000</f>
        <v>68.51839235</v>
      </c>
      <c r="AL196" s="10">
        <f>1.25*Z196*$D$2*(J196-(1.25*Z196*$D$2/(0.85*$B$2*(D196*1000)))/2)/1000000</f>
        <v>68.51839235</v>
      </c>
      <c r="AM196" s="10">
        <f>(AK196+AL196)/B196</f>
        <v>52.70645566</v>
      </c>
      <c r="AN196" s="10">
        <f>MAX(H196,AM196)</f>
        <v>53.94</v>
      </c>
    </row>
    <row r="197">
      <c r="A197" s="5" t="inlineStr">
        <is>
          <t>F204</t>
        </is>
      </c>
      <c r="B197" s="6" t="n">
        <v>2.5</v>
      </c>
      <c r="C197" s="7" t="inlineStr">
        <is>
          <t>VC</t>
        </is>
      </c>
      <c r="D197" s="8">
        <f>IF(C197="VR",0.35,0.30)</f>
        <v>0.3</v>
      </c>
      <c r="E197" s="6" t="n">
        <v>0.4</v>
      </c>
      <c r="F197" s="9" t="n">
        <v>27.2</v>
      </c>
      <c r="G197" s="9" t="n">
        <v>10.3</v>
      </c>
      <c r="H197" s="9" t="n">
        <v>54.4</v>
      </c>
      <c r="I197" s="6" t="n">
        <v>0.29</v>
      </c>
      <c r="J197" s="10">
        <f>E197*1000-$F$2-$L$2-$H$2/2</f>
        <v>342.55</v>
      </c>
      <c r="K197" s="11">
        <f>F197*1000000/(0.9*(D197*1000)*J197^2)</f>
        <v>0.8588490387</v>
      </c>
      <c r="L197" s="12">
        <f>(0.85*$B$2/$D$2)*(1-SQRT(1-2*K197/(0.85*$B$2)))</f>
        <v>0.002083169198</v>
      </c>
      <c r="M197" s="13">
        <f>L197*(D197*1000)*J197</f>
        <v>214.0768826</v>
      </c>
      <c r="N197" s="13">
        <f>MAX(0.25*SQRT($B$2)/$D$2,1.4/$D$2)*(D197*1000)*J197</f>
        <v>342.55</v>
      </c>
      <c r="O197" s="13">
        <f>MAX(M197,N197)</f>
        <v>342.55</v>
      </c>
      <c r="P197" s="14">
        <f>ROUNDUP(O197/$J$2,0)</f>
        <v>2</v>
      </c>
      <c r="Q197" s="13">
        <f>P197*$J$2</f>
        <v>398</v>
      </c>
      <c r="R197" s="10">
        <f>Q197*$D$2/(0.85*$B$2*(D197*1000))</f>
        <v>23.41176471</v>
      </c>
      <c r="S197" s="10">
        <f>0.9*Q197*$D$2*(J197-R197/2)/1000000</f>
        <v>49.77351244</v>
      </c>
      <c r="T197" s="15" t="str">
        <f>IF(AND(S197&gt;=F197,O197&lt;=0.025*(D197*1000)*J197,O197&gt;=N197),"CUMPLE","REVISAR")</f>
        <v>CUMPLE</v>
      </c>
      <c r="U197" s="11">
        <f>G197*1000000/(0.9*(D197*1000)*J197^2)</f>
        <v>0.3263689475</v>
      </c>
      <c r="V197" s="12">
        <f>(0.85*$B$2/$D$2)*(1-SQRT(1-2*U197/(0.85*$B$2)))</f>
        <v>0.0007824712274</v>
      </c>
      <c r="W197" s="13">
        <f>V197*(D197*1000)*J197</f>
        <v>80.41065569</v>
      </c>
      <c r="X197" s="13">
        <f>MAX(W197,N197)</f>
        <v>342.55</v>
      </c>
      <c r="Y197" s="14">
        <f>ROUNDUP(X197/$J$2,0)</f>
        <v>2</v>
      </c>
      <c r="Z197" s="13">
        <f>Y197*$J$2</f>
        <v>398</v>
      </c>
      <c r="AA197" s="10">
        <f>0.9*Z197*$D$2*(J197-(Z197*$D$2/(0.85*$B$2*(D197*1000)))/2)/1000000</f>
        <v>49.77351244</v>
      </c>
      <c r="AB197" s="15" t="str">
        <f>IF(AA197&gt;=G197,"CUMPLE","REVISAR")</f>
        <v>CUMPLE</v>
      </c>
      <c r="AC197" s="10">
        <f>0.17*SQRT($B$2)*(D197*1000)*J197/1000</f>
        <v>92.44281538</v>
      </c>
      <c r="AD197" s="10">
        <f>MAX(H197/0.75-AC197,0)</f>
        <v>0</v>
      </c>
      <c r="AE197" s="14">
        <f>IF(AD197&gt;0,MIN($N$2*$D$2*J197/(AD197*1000),MIN(J197/4,6*$H$2,150)),MIN(J197/4,6*$H$2,150))</f>
        <v>85.6375</v>
      </c>
      <c r="AF197" s="10">
        <f>0.66*SQRT($B$2)*(D197*1000)*J197/1000</f>
        <v>358.8956362</v>
      </c>
      <c r="AG197" s="15" t="str">
        <f>IF(AD197&lt;=AF197,"CUMPLE","AUMENTAR SECCION")</f>
        <v>CUMPLE</v>
      </c>
      <c r="AH197" s="10">
        <f>0.75*0.083*SQRT($B$2)*(((D197*1000)*(E197*1000))^2/(2*((D197*1000)+(E197*1000))))/1000000</f>
        <v>3.388073536</v>
      </c>
      <c r="AI197" s="15" t="str">
        <f>IF(I197&gt;AH197,"SI","No")</f>
        <v>No</v>
      </c>
      <c r="AJ197" s="11">
        <f>IF(I197&gt;AH197,I197*1000000/(0.75*2*0.85*((D197*1000-2*$F$2)*(E197*1000-2*$F$2))*$D$2),0)</f>
        <v>0</v>
      </c>
      <c r="AK197" s="10">
        <f>1.25*Q197*$D$2*(J197-(1.25*Q197*$D$2/(0.85*$B$2*(D197*1000)))/2)/1000000</f>
        <v>68.51839235</v>
      </c>
      <c r="AL197" s="10">
        <f>1.25*Z197*$D$2*(J197-(1.25*Z197*$D$2/(0.85*$B$2*(D197*1000)))/2)/1000000</f>
        <v>68.51839235</v>
      </c>
      <c r="AM197" s="10">
        <f>(AK197+AL197)/B197</f>
        <v>54.81471388</v>
      </c>
      <c r="AN197" s="10">
        <f>MAX(H197,AM197)</f>
        <v>54.81471388</v>
      </c>
    </row>
    <row r="198">
      <c r="A198" s="5" t="inlineStr">
        <is>
          <t>F205</t>
        </is>
      </c>
      <c r="B198" s="6" t="n">
        <v>4</v>
      </c>
      <c r="C198" s="7" t="inlineStr">
        <is>
          <t>VC</t>
        </is>
      </c>
      <c r="D198" s="8">
        <f>IF(C198="VR",0.35,0.30)</f>
        <v>0.3</v>
      </c>
      <c r="E198" s="6" t="n">
        <v>0.4</v>
      </c>
      <c r="F198" s="9" t="n">
        <v>59.2</v>
      </c>
      <c r="G198" s="9" t="n">
        <v>26.1</v>
      </c>
      <c r="H198" s="9" t="n">
        <v>81.90000000000001</v>
      </c>
      <c r="I198" s="6" t="n">
        <v>4.48</v>
      </c>
      <c r="J198" s="10">
        <f>E198*1000-$F$2-$L$2-$H$2/2</f>
        <v>342.55</v>
      </c>
      <c r="K198" s="11">
        <f>F198*1000000/(0.9*(D198*1000)*J198^2)</f>
        <v>1.870150884</v>
      </c>
      <c r="L198" s="12">
        <f>(0.85*$B$2/$D$2)*(1-SQRT(1-2*K198/(0.85*$B$2)))</f>
        <v>0.004642948789</v>
      </c>
      <c r="M198" s="13">
        <f>L198*(D198*1000)*J198</f>
        <v>477.1326323</v>
      </c>
      <c r="N198" s="13">
        <f>MAX(0.25*SQRT($B$2)/$D$2,1.4/$D$2)*(D198*1000)*J198</f>
        <v>342.55</v>
      </c>
      <c r="O198" s="13">
        <f>MAX(M198,N198)</f>
        <v>477.1326323</v>
      </c>
      <c r="P198" s="14">
        <f>ROUNDUP(O198/$J$2,0)</f>
        <v>3</v>
      </c>
      <c r="Q198" s="13">
        <f>P198*$J$2</f>
        <v>597</v>
      </c>
      <c r="R198" s="10">
        <f>Q198*$D$2/(0.85*$B$2*(D198*1000))</f>
        <v>35.11764706</v>
      </c>
      <c r="S198" s="10">
        <f>0.9*Q198*$D$2*(J198-R198/2)/1000000</f>
        <v>73.33945883</v>
      </c>
      <c r="T198" s="15" t="str">
        <f>IF(AND(S198&gt;=F198,O198&lt;=0.025*(D198*1000)*J198,O198&gt;=N198),"CUMPLE","REVISAR")</f>
        <v>CUMPLE</v>
      </c>
      <c r="U198" s="11">
        <f>G198*1000000/(0.9*(D198*1000)*J198^2)</f>
        <v>0.8247602125</v>
      </c>
      <c r="V198" s="12">
        <f>(0.85*$B$2/$D$2)*(1-SQRT(1-2*U198/(0.85*$B$2)))</f>
        <v>0.00199897266</v>
      </c>
      <c r="W198" s="13">
        <f>V198*(D198*1000)*J198</f>
        <v>205.4244254</v>
      </c>
      <c r="X198" s="13">
        <f>MAX(W198,N198)</f>
        <v>342.55</v>
      </c>
      <c r="Y198" s="14">
        <f>ROUNDUP(X198/$J$2,0)</f>
        <v>2</v>
      </c>
      <c r="Z198" s="13">
        <f>Y198*$J$2</f>
        <v>398</v>
      </c>
      <c r="AA198" s="10">
        <f>0.9*Z198*$D$2*(J198-(Z198*$D$2/(0.85*$B$2*(D198*1000)))/2)/1000000</f>
        <v>49.77351244</v>
      </c>
      <c r="AB198" s="15" t="str">
        <f>IF(AA198&gt;=G198,"CUMPLE","REVISAR")</f>
        <v>CUMPLE</v>
      </c>
      <c r="AC198" s="10">
        <f>0.17*SQRT($B$2)*(D198*1000)*J198/1000</f>
        <v>92.44281538</v>
      </c>
      <c r="AD198" s="10">
        <f>MAX(H198/0.75-AC198,0)</f>
        <v>16.73051795</v>
      </c>
      <c r="AE198" s="14">
        <f>IF(AD198&gt;0,MIN($N$2*$D$2*J198/(AD198*1000),MIN(J198/4,6*$H$2,150)),MIN(J198/4,6*$H$2,150))</f>
        <v>85.6375</v>
      </c>
      <c r="AF198" s="10">
        <f>0.66*SQRT($B$2)*(D198*1000)*J198/1000</f>
        <v>358.8956362</v>
      </c>
      <c r="AG198" s="15" t="str">
        <f>IF(AD198&lt;=AF198,"CUMPLE","AUMENTAR SECCION")</f>
        <v>CUMPLE</v>
      </c>
      <c r="AH198" s="10">
        <f>0.75*0.083*SQRT($B$2)*(((D198*1000)*(E198*1000))^2/(2*((D198*1000)+(E198*1000))))/1000000</f>
        <v>3.388073536</v>
      </c>
      <c r="AI198" s="15" t="str">
        <f>IF(I198&gt;AH198,"SI","No")</f>
        <v>SI</v>
      </c>
      <c r="AJ198" s="11">
        <f>IF(I198&gt;AH198,I198*1000000/(0.75*2*0.85*((D198*1000-2*$F$2)*(E198*1000-2*$F$2))*$D$2),0)</f>
        <v>0.1187558357</v>
      </c>
      <c r="AK198" s="10">
        <f>1.25*Q198*$D$2*(J198-(1.25*Q198*$D$2/(0.85*$B$2*(D198*1000)))/2)/1000000</f>
        <v>100.4845159</v>
      </c>
      <c r="AL198" s="10">
        <f>1.25*Z198*$D$2*(J198-(1.25*Z198*$D$2/(0.85*$B$2*(D198*1000)))/2)/1000000</f>
        <v>68.51839235</v>
      </c>
      <c r="AM198" s="10">
        <f>(AK198+AL198)/B198</f>
        <v>42.25072707</v>
      </c>
      <c r="AN198" s="10">
        <f>MAX(H198,AM198)</f>
        <v>81.88</v>
      </c>
    </row>
    <row r="199">
      <c r="A199" s="5" t="inlineStr">
        <is>
          <t>F206</t>
        </is>
      </c>
      <c r="B199" s="6" t="n">
        <v>4</v>
      </c>
      <c r="C199" s="7" t="inlineStr">
        <is>
          <t>VC</t>
        </is>
      </c>
      <c r="D199" s="8">
        <f>IF(C199="VR",0.35,0.30)</f>
        <v>0.3</v>
      </c>
      <c r="E199" s="6" t="n">
        <v>0.4</v>
      </c>
      <c r="F199" s="9" t="n">
        <v>59.2</v>
      </c>
      <c r="G199" s="9" t="n">
        <v>26.1</v>
      </c>
      <c r="H199" s="9" t="n">
        <v>81.90000000000001</v>
      </c>
      <c r="I199" s="6" t="n">
        <v>4.49</v>
      </c>
      <c r="J199" s="10">
        <f>E199*1000-$F$2-$L$2-$H$2/2</f>
        <v>342.55</v>
      </c>
      <c r="K199" s="11">
        <f>F199*1000000/(0.9*(D199*1000)*J199^2)</f>
        <v>1.869203972</v>
      </c>
      <c r="L199" s="12">
        <f>(0.85*$B$2/$D$2)*(1-SQRT(1-2*K199/(0.85*$B$2)))</f>
        <v>0.004640493083</v>
      </c>
      <c r="M199" s="13">
        <f>L199*(D199*1000)*J199</f>
        <v>476.8802717</v>
      </c>
      <c r="N199" s="13">
        <f>MAX(0.25*SQRT($B$2)/$D$2,1.4/$D$2)*(D199*1000)*J199</f>
        <v>342.55</v>
      </c>
      <c r="O199" s="13">
        <f>MAX(M199,N199)</f>
        <v>476.8802717</v>
      </c>
      <c r="P199" s="14">
        <f>ROUNDUP(O199/$J$2,0)</f>
        <v>3</v>
      </c>
      <c r="Q199" s="13">
        <f>P199*$J$2</f>
        <v>597</v>
      </c>
      <c r="R199" s="10">
        <f>Q199*$D$2/(0.85*$B$2*(D199*1000))</f>
        <v>35.11764706</v>
      </c>
      <c r="S199" s="10">
        <f>0.9*Q199*$D$2*(J199-R199/2)/1000000</f>
        <v>73.33945883</v>
      </c>
      <c r="T199" s="15" t="str">
        <f>IF(AND(S199&gt;=F199,O199&lt;=0.025*(D199*1000)*J199,O199&gt;=N199),"CUMPLE","REVISAR")</f>
        <v>CUMPLE</v>
      </c>
      <c r="U199" s="11">
        <f>G199*1000000/(0.9*(D199*1000)*J199^2)</f>
        <v>0.8247602125</v>
      </c>
      <c r="V199" s="12">
        <f>(0.85*$B$2/$D$2)*(1-SQRT(1-2*U199/(0.85*$B$2)))</f>
        <v>0.00199897266</v>
      </c>
      <c r="W199" s="13">
        <f>V199*(D199*1000)*J199</f>
        <v>205.4244254</v>
      </c>
      <c r="X199" s="13">
        <f>MAX(W199,N199)</f>
        <v>342.55</v>
      </c>
      <c r="Y199" s="14">
        <f>ROUNDUP(X199/$J$2,0)</f>
        <v>2</v>
      </c>
      <c r="Z199" s="13">
        <f>Y199*$J$2</f>
        <v>398</v>
      </c>
      <c r="AA199" s="10">
        <f>0.9*Z199*$D$2*(J199-(Z199*$D$2/(0.85*$B$2*(D199*1000)))/2)/1000000</f>
        <v>49.77351244</v>
      </c>
      <c r="AB199" s="15" t="str">
        <f>IF(AA199&gt;=G199,"CUMPLE","REVISAR")</f>
        <v>CUMPLE</v>
      </c>
      <c r="AC199" s="10">
        <f>0.17*SQRT($B$2)*(D199*1000)*J199/1000</f>
        <v>92.44281538</v>
      </c>
      <c r="AD199" s="10">
        <f>MAX(H199/0.75-AC199,0)</f>
        <v>16.70385128</v>
      </c>
      <c r="AE199" s="14">
        <f>IF(AD199&gt;0,MIN($N$2*$D$2*J199/(AD199*1000),MIN(J199/4,6*$H$2,150)),MIN(J199/4,6*$H$2,150))</f>
        <v>85.6375</v>
      </c>
      <c r="AF199" s="10">
        <f>0.66*SQRT($B$2)*(D199*1000)*J199/1000</f>
        <v>358.8956362</v>
      </c>
      <c r="AG199" s="15" t="str">
        <f>IF(AD199&lt;=AF199,"CUMPLE","AUMENTAR SECCION")</f>
        <v>CUMPLE</v>
      </c>
      <c r="AH199" s="10">
        <f>0.75*0.083*SQRT($B$2)*(((D199*1000)*(E199*1000))^2/(2*((D199*1000)+(E199*1000))))/1000000</f>
        <v>3.388073536</v>
      </c>
      <c r="AI199" s="15" t="str">
        <f>IF(I199&gt;AH199,"SI","No")</f>
        <v>SI</v>
      </c>
      <c r="AJ199" s="11">
        <f>IF(I199&gt;AH199,I199*1000000/(0.75*2*0.85*((D199*1000-2*$F$2)*(E199*1000-2*$F$2))*$D$2),0)</f>
        <v>0.119047619</v>
      </c>
      <c r="AK199" s="10">
        <f>1.25*Q199*$D$2*(J199-(1.25*Q199*$D$2/(0.85*$B$2*(D199*1000)))/2)/1000000</f>
        <v>100.4845159</v>
      </c>
      <c r="AL199" s="10">
        <f>1.25*Z199*$D$2*(J199-(1.25*Z199*$D$2/(0.85*$B$2*(D199*1000)))/2)/1000000</f>
        <v>68.51839235</v>
      </c>
      <c r="AM199" s="10">
        <f>(AK199+AL199)/B199</f>
        <v>42.25072707</v>
      </c>
      <c r="AN199" s="10">
        <f>MAX(H199,AM199)</f>
        <v>81.86</v>
      </c>
    </row>
    <row r="200">
      <c r="A200" s="5" t="inlineStr">
        <is>
          <t>F207</t>
        </is>
      </c>
      <c r="B200" s="6" t="n">
        <v>2.5</v>
      </c>
      <c r="C200" s="7" t="inlineStr">
        <is>
          <t>VC</t>
        </is>
      </c>
      <c r="D200" s="8">
        <f>IF(C200="VR",0.35,0.30)</f>
        <v>0.3</v>
      </c>
      <c r="E200" s="6" t="n">
        <v>0.4</v>
      </c>
      <c r="F200" s="9" t="n">
        <v>27.2</v>
      </c>
      <c r="G200" s="9" t="n">
        <v>10.3</v>
      </c>
      <c r="H200" s="9" t="n">
        <v>54.4</v>
      </c>
      <c r="I200" s="6" t="n">
        <v>0.29</v>
      </c>
      <c r="J200" s="10">
        <f>E200*1000-$F$2-$L$2-$H$2/2</f>
        <v>342.55</v>
      </c>
      <c r="K200" s="11">
        <f>F200*1000000/(0.9*(D200*1000)*J200^2)</f>
        <v>0.8585334015</v>
      </c>
      <c r="L200" s="12">
        <f>(0.85*$B$2/$D$2)*(1-SQRT(1-2*K200/(0.85*$B$2)))</f>
        <v>0.002082389005</v>
      </c>
      <c r="M200" s="13">
        <f>L200*(D200*1000)*J200</f>
        <v>213.9967061</v>
      </c>
      <c r="N200" s="13">
        <f>MAX(0.25*SQRT($B$2)/$D$2,1.4/$D$2)*(D200*1000)*J200</f>
        <v>342.55</v>
      </c>
      <c r="O200" s="13">
        <f>MAX(M200,N200)</f>
        <v>342.55</v>
      </c>
      <c r="P200" s="14">
        <f>ROUNDUP(O200/$J$2,0)</f>
        <v>2</v>
      </c>
      <c r="Q200" s="13">
        <f>P200*$J$2</f>
        <v>398</v>
      </c>
      <c r="R200" s="10">
        <f>Q200*$D$2/(0.85*$B$2*(D200*1000))</f>
        <v>23.41176471</v>
      </c>
      <c r="S200" s="10">
        <f>0.9*Q200*$D$2*(J200-R200/2)/1000000</f>
        <v>49.77351244</v>
      </c>
      <c r="T200" s="15" t="str">
        <f>IF(AND(S200&gt;=F200,O200&lt;=0.025*(D200*1000)*J200,O200&gt;=N200),"CUMPLE","REVISAR")</f>
        <v>CUMPLE</v>
      </c>
      <c r="U200" s="11">
        <f>G200*1000000/(0.9*(D200*1000)*J200^2)</f>
        <v>0.3263689475</v>
      </c>
      <c r="V200" s="12">
        <f>(0.85*$B$2/$D$2)*(1-SQRT(1-2*U200/(0.85*$B$2)))</f>
        <v>0.0007824712274</v>
      </c>
      <c r="W200" s="13">
        <f>V200*(D200*1000)*J200</f>
        <v>80.41065569</v>
      </c>
      <c r="X200" s="13">
        <f>MAX(W200,N200)</f>
        <v>342.55</v>
      </c>
      <c r="Y200" s="14">
        <f>ROUNDUP(X200/$J$2,0)</f>
        <v>2</v>
      </c>
      <c r="Z200" s="13">
        <f>Y200*$J$2</f>
        <v>398</v>
      </c>
      <c r="AA200" s="10">
        <f>0.9*Z200*$D$2*(J200-(Z200*$D$2/(0.85*$B$2*(D200*1000)))/2)/1000000</f>
        <v>49.77351244</v>
      </c>
      <c r="AB200" s="15" t="str">
        <f>IF(AA200&gt;=G200,"CUMPLE","REVISAR")</f>
        <v>CUMPLE</v>
      </c>
      <c r="AC200" s="10">
        <f>0.17*SQRT($B$2)*(D200*1000)*J200/1000</f>
        <v>92.44281538</v>
      </c>
      <c r="AD200" s="10">
        <f>MAX(H200/0.75-AC200,0)</f>
        <v>0</v>
      </c>
      <c r="AE200" s="14">
        <f>IF(AD200&gt;0,MIN($N$2*$D$2*J200/(AD200*1000),MIN(J200/4,6*$H$2,150)),MIN(J200/4,6*$H$2,150))</f>
        <v>85.6375</v>
      </c>
      <c r="AF200" s="10">
        <f>0.66*SQRT($B$2)*(D200*1000)*J200/1000</f>
        <v>358.8956362</v>
      </c>
      <c r="AG200" s="15" t="str">
        <f>IF(AD200&lt;=AF200,"CUMPLE","AUMENTAR SECCION")</f>
        <v>CUMPLE</v>
      </c>
      <c r="AH200" s="10">
        <f>0.75*0.083*SQRT($B$2)*(((D200*1000)*(E200*1000))^2/(2*((D200*1000)+(E200*1000))))/1000000</f>
        <v>3.388073536</v>
      </c>
      <c r="AI200" s="15" t="str">
        <f>IF(I200&gt;AH200,"SI","No")</f>
        <v>No</v>
      </c>
      <c r="AJ200" s="11">
        <f>IF(I200&gt;AH200,I200*1000000/(0.75*2*0.85*((D200*1000-2*$F$2)*(E200*1000-2*$F$2))*$D$2),0)</f>
        <v>0</v>
      </c>
      <c r="AK200" s="10">
        <f>1.25*Q200*$D$2*(J200-(1.25*Q200*$D$2/(0.85*$B$2*(D200*1000)))/2)/1000000</f>
        <v>68.51839235</v>
      </c>
      <c r="AL200" s="10">
        <f>1.25*Z200*$D$2*(J200-(1.25*Z200*$D$2/(0.85*$B$2*(D200*1000)))/2)/1000000</f>
        <v>68.51839235</v>
      </c>
      <c r="AM200" s="10">
        <f>(AK200+AL200)/B200</f>
        <v>54.81471388</v>
      </c>
      <c r="AN200" s="10">
        <f>MAX(H200,AM200)</f>
        <v>54.81471388</v>
      </c>
    </row>
    <row r="201">
      <c r="A201" s="5" t="inlineStr">
        <is>
          <t>F208</t>
        </is>
      </c>
      <c r="B201" s="6" t="n">
        <v>2.6</v>
      </c>
      <c r="C201" s="7" t="inlineStr">
        <is>
          <t>VC</t>
        </is>
      </c>
      <c r="D201" s="8">
        <f>IF(C201="VR",0.35,0.30)</f>
        <v>0.3</v>
      </c>
      <c r="E201" s="6" t="n">
        <v>0.4</v>
      </c>
      <c r="F201" s="9" t="n">
        <v>26</v>
      </c>
      <c r="G201" s="9" t="n">
        <v>11</v>
      </c>
      <c r="H201" s="9" t="n">
        <v>54</v>
      </c>
      <c r="I201" s="6" t="n">
        <v>0.06</v>
      </c>
      <c r="J201" s="10">
        <f>E201*1000-$F$2-$L$2-$H$2/2</f>
        <v>342.55</v>
      </c>
      <c r="K201" s="11">
        <f>F201*1000000/(0.9*(D201*1000)*J201^2)</f>
        <v>0.8200256533</v>
      </c>
      <c r="L201" s="12">
        <f>(0.85*$B$2/$D$2)*(1-SQRT(1-2*K201/(0.85*$B$2)))</f>
        <v>0.00198728895</v>
      </c>
      <c r="M201" s="13">
        <f>L201*(D201*1000)*J201</f>
        <v>204.2237489</v>
      </c>
      <c r="N201" s="13">
        <f>MAX(0.25*SQRT($B$2)/$D$2,1.4/$D$2)*(D201*1000)*J201</f>
        <v>342.55</v>
      </c>
      <c r="O201" s="13">
        <f>MAX(M201,N201)</f>
        <v>342.55</v>
      </c>
      <c r="P201" s="14">
        <f>ROUNDUP(O201/$J$2,0)</f>
        <v>2</v>
      </c>
      <c r="Q201" s="13">
        <f>P201*$J$2</f>
        <v>398</v>
      </c>
      <c r="R201" s="10">
        <f>Q201*$D$2/(0.85*$B$2*(D201*1000))</f>
        <v>23.41176471</v>
      </c>
      <c r="S201" s="10">
        <f>0.9*Q201*$D$2*(J201-R201/2)/1000000</f>
        <v>49.77351244</v>
      </c>
      <c r="T201" s="15" t="str">
        <f>IF(AND(S201&gt;=F201,O201&lt;=0.025*(D201*1000)*J201,O201&gt;=N201),"CUMPLE","REVISAR")</f>
        <v>CUMPLE</v>
      </c>
      <c r="U201" s="11">
        <f>G201*1000000/(0.9*(D201*1000)*J201^2)</f>
        <v>0.3484635571</v>
      </c>
      <c r="V201" s="12">
        <f>(0.85*$B$2/$D$2)*(1-SQRT(1-2*U201/(0.85*$B$2)))</f>
        <v>0.0008358394976</v>
      </c>
      <c r="W201" s="13">
        <f>V201*(D201*1000)*J201</f>
        <v>85.89504597</v>
      </c>
      <c r="X201" s="13">
        <f>MAX(W201,N201)</f>
        <v>342.55</v>
      </c>
      <c r="Y201" s="14">
        <f>ROUNDUP(X201/$J$2,0)</f>
        <v>2</v>
      </c>
      <c r="Z201" s="13">
        <f>Y201*$J$2</f>
        <v>398</v>
      </c>
      <c r="AA201" s="10">
        <f>0.9*Z201*$D$2*(J201-(Z201*$D$2/(0.85*$B$2*(D201*1000)))/2)/1000000</f>
        <v>49.77351244</v>
      </c>
      <c r="AB201" s="15" t="str">
        <f>IF(AA201&gt;=G201,"CUMPLE","REVISAR")</f>
        <v>CUMPLE</v>
      </c>
      <c r="AC201" s="10">
        <f>0.17*SQRT($B$2)*(D201*1000)*J201/1000</f>
        <v>92.44281538</v>
      </c>
      <c r="AD201" s="10">
        <f>MAX(H201/0.75-AC201,0)</f>
        <v>0</v>
      </c>
      <c r="AE201" s="14">
        <f>IF(AD201&gt;0,MIN($N$2*$D$2*J201/(AD201*1000),MIN(J201/4,6*$H$2,150)),MIN(J201/4,6*$H$2,150))</f>
        <v>85.6375</v>
      </c>
      <c r="AF201" s="10">
        <f>0.66*SQRT($B$2)*(D201*1000)*J201/1000</f>
        <v>358.8956362</v>
      </c>
      <c r="AG201" s="15" t="str">
        <f>IF(AD201&lt;=AF201,"CUMPLE","AUMENTAR SECCION")</f>
        <v>CUMPLE</v>
      </c>
      <c r="AH201" s="10">
        <f>0.75*0.083*SQRT($B$2)*(((D201*1000)*(E201*1000))^2/(2*((D201*1000)+(E201*1000))))/1000000</f>
        <v>3.388073536</v>
      </c>
      <c r="AI201" s="15" t="str">
        <f>IF(I201&gt;AH201,"SI","No")</f>
        <v>No</v>
      </c>
      <c r="AJ201" s="11">
        <f>IF(I201&gt;AH201,I201*1000000/(0.75*2*0.85*((D201*1000-2*$F$2)*(E201*1000-2*$F$2))*$D$2),0)</f>
        <v>0</v>
      </c>
      <c r="AK201" s="10">
        <f>1.25*Q201*$D$2*(J201-(1.25*Q201*$D$2/(0.85*$B$2*(D201*1000)))/2)/1000000</f>
        <v>68.51839235</v>
      </c>
      <c r="AL201" s="10">
        <f>1.25*Z201*$D$2*(J201-(1.25*Z201*$D$2/(0.85*$B$2*(D201*1000)))/2)/1000000</f>
        <v>68.51839235</v>
      </c>
      <c r="AM201" s="10">
        <f>(AK201+AL201)/B201</f>
        <v>52.70645566</v>
      </c>
      <c r="AN201" s="10">
        <f>MAX(H201,AM201)</f>
        <v>53.95</v>
      </c>
    </row>
    <row r="202">
      <c r="A202" s="5" t="inlineStr">
        <is>
          <t>F209</t>
        </is>
      </c>
      <c r="B202" s="6" t="n">
        <v>3.65</v>
      </c>
      <c r="C202" s="7" t="inlineStr">
        <is>
          <t>VR</t>
        </is>
      </c>
      <c r="D202" s="8">
        <f>IF(C202="VR",0.35,0.30)</f>
        <v>0.35</v>
      </c>
      <c r="E202" s="6" t="n">
        <v>0.4</v>
      </c>
      <c r="F202" s="9" t="n">
        <v>45.1</v>
      </c>
      <c r="G202" s="9" t="n">
        <v>21.8</v>
      </c>
      <c r="H202" s="9" t="n">
        <v>72.40000000000001</v>
      </c>
      <c r="I202" s="6" t="n">
        <v>0.15</v>
      </c>
      <c r="J202" s="10">
        <f>E202*1000-$F$2-$L$2-$H$2/2</f>
        <v>342.55</v>
      </c>
      <c r="K202" s="11">
        <f>F202*1000000/(0.9*(D202*1000)*J202^2)</f>
        <v>1.220434088</v>
      </c>
      <c r="L202" s="12">
        <f>(0.85*$B$2/$D$2)*(1-SQRT(1-2*K202/(0.85*$B$2)))</f>
        <v>0.00298438256</v>
      </c>
      <c r="M202" s="13">
        <f>L202*(D202*1000)*J202</f>
        <v>357.8050861</v>
      </c>
      <c r="N202" s="13">
        <f>MAX(0.25*SQRT($B$2)/$D$2,1.4/$D$2)*(D202*1000)*J202</f>
        <v>399.6416667</v>
      </c>
      <c r="O202" s="13">
        <f>MAX(M202,N202)</f>
        <v>399.6416667</v>
      </c>
      <c r="P202" s="14">
        <f>ROUNDUP(O202/$J$2,0)</f>
        <v>3</v>
      </c>
      <c r="Q202" s="13">
        <f>P202*$J$2</f>
        <v>597</v>
      </c>
      <c r="R202" s="10">
        <f>Q202*$D$2/(0.85*$B$2*(D202*1000))</f>
        <v>30.10084034</v>
      </c>
      <c r="S202" s="10">
        <f>0.9*Q202*$D$2*(J202-R202/2)/1000000</f>
        <v>73.90552018</v>
      </c>
      <c r="T202" s="15" t="str">
        <f>IF(AND(S202&gt;=F202,O202&lt;=0.025*(D202*1000)*J202,O202&gt;=N202),"CUMPLE","REVISAR")</f>
        <v>CUMPLE</v>
      </c>
      <c r="U202" s="11">
        <f>G202*1000000/(0.9*(D202*1000)*J202^2)</f>
        <v>0.5884380719</v>
      </c>
      <c r="V202" s="12">
        <f>(0.85*$B$2/$D$2)*(1-SQRT(1-2*U202/(0.85*$B$2)))</f>
        <v>0.001418804857</v>
      </c>
      <c r="W202" s="13">
        <f>V202*(D202*1000)*J202</f>
        <v>170.1040613</v>
      </c>
      <c r="X202" s="13">
        <f>MAX(W202,N202)</f>
        <v>399.6416667</v>
      </c>
      <c r="Y202" s="14">
        <f>ROUNDUP(X202/$J$2,0)</f>
        <v>3</v>
      </c>
      <c r="Z202" s="13">
        <f>Y202*$J$2</f>
        <v>597</v>
      </c>
      <c r="AA202" s="10">
        <f>0.9*Z202*$D$2*(J202-(Z202*$D$2/(0.85*$B$2*(D202*1000)))/2)/1000000</f>
        <v>73.90552018</v>
      </c>
      <c r="AB202" s="15" t="str">
        <f>IF(AA202&gt;=G202,"CUMPLE","REVISAR")</f>
        <v>CUMPLE</v>
      </c>
      <c r="AC202" s="10">
        <f>0.17*SQRT($B$2)*(D202*1000)*J202/1000</f>
        <v>107.8499513</v>
      </c>
      <c r="AD202" s="10">
        <f>MAX(H202/0.75-AC202,0)</f>
        <v>0</v>
      </c>
      <c r="AE202" s="14">
        <f>IF(AD202&gt;0,MIN($N$2*$D$2*J202/(AD202*1000),MIN(J202/4,6*$H$2,150)),MIN(J202/4,6*$H$2,150))</f>
        <v>85.6375</v>
      </c>
      <c r="AF202" s="10">
        <f>0.66*SQRT($B$2)*(D202*1000)*J202/1000</f>
        <v>418.7115756</v>
      </c>
      <c r="AG202" s="15" t="str">
        <f>IF(AD202&lt;=AF202,"CUMPLE","AUMENTAR SECCION")</f>
        <v>CUMPLE</v>
      </c>
      <c r="AH202" s="10">
        <f>0.75*0.083*SQRT($B$2)*(((D202*1000)*(E202*1000))^2/(2*((D202*1000)+(E202*1000))))/1000000</f>
        <v>4.304108233</v>
      </c>
      <c r="AI202" s="15" t="str">
        <f>IF(I202&gt;AH202,"SI","No")</f>
        <v>No</v>
      </c>
      <c r="AJ202" s="11">
        <f>IF(I202&gt;AH202,I202*1000000/(0.75*2*0.85*((D202*1000-2*$F$2)*(E202*1000-2*$F$2))*$D$2),0)</f>
        <v>0</v>
      </c>
      <c r="AK202" s="10">
        <f>1.25*Q202*$D$2*(J202-(1.25*Q202*$D$2/(0.85*$B$2*(D202*1000)))/2)/1000000</f>
        <v>101.4672613</v>
      </c>
      <c r="AL202" s="10">
        <f>1.25*Z202*$D$2*(J202-(1.25*Z202*$D$2/(0.85*$B$2*(D202*1000)))/2)/1000000</f>
        <v>101.4672613</v>
      </c>
      <c r="AM202" s="10">
        <f>(AK202+AL202)/B202</f>
        <v>55.59849936</v>
      </c>
      <c r="AN202" s="10">
        <f>MAX(H202,AM202)</f>
        <v>72.4</v>
      </c>
    </row>
    <row r="203">
      <c r="A203" s="5" t="inlineStr">
        <is>
          <t>F210</t>
        </is>
      </c>
      <c r="B203" s="6" t="n">
        <v>2.6</v>
      </c>
      <c r="C203" s="7" t="inlineStr">
        <is>
          <t>VC</t>
        </is>
      </c>
      <c r="D203" s="8">
        <f>IF(C203="VR",0.35,0.30)</f>
        <v>0.3</v>
      </c>
      <c r="E203" s="6" t="n">
        <v>0.4</v>
      </c>
      <c r="F203" s="9" t="n">
        <v>27</v>
      </c>
      <c r="G203" s="9" t="n">
        <v>11</v>
      </c>
      <c r="H203" s="9" t="n">
        <v>54.7</v>
      </c>
      <c r="I203" s="6" t="n">
        <v>5.53</v>
      </c>
      <c r="J203" s="10">
        <f>E203*1000-$F$2-$L$2-$H$2/2</f>
        <v>342.55</v>
      </c>
      <c r="K203" s="11">
        <f>F203*1000000/(0.9*(D203*1000)*J203^2)</f>
        <v>0.8522206559</v>
      </c>
      <c r="L203" s="12">
        <f>(0.85*$B$2/$D$2)*(1-SQRT(1-2*K203/(0.85*$B$2)))</f>
        <v>0.00206678748</v>
      </c>
      <c r="M203" s="13">
        <f>L203*(D203*1000)*J203</f>
        <v>212.3934154</v>
      </c>
      <c r="N203" s="13">
        <f>MAX(0.25*SQRT($B$2)/$D$2,1.4/$D$2)*(D203*1000)*J203</f>
        <v>342.55</v>
      </c>
      <c r="O203" s="13">
        <f>MAX(M203,N203)</f>
        <v>342.55</v>
      </c>
      <c r="P203" s="14">
        <f>ROUNDUP(O203/$J$2,0)</f>
        <v>2</v>
      </c>
      <c r="Q203" s="13">
        <f>P203*$J$2</f>
        <v>398</v>
      </c>
      <c r="R203" s="10">
        <f>Q203*$D$2/(0.85*$B$2*(D203*1000))</f>
        <v>23.41176471</v>
      </c>
      <c r="S203" s="10">
        <f>0.9*Q203*$D$2*(J203-R203/2)/1000000</f>
        <v>49.77351244</v>
      </c>
      <c r="T203" s="15" t="str">
        <f>IF(AND(S203&gt;=F203,O203&lt;=0.025*(D203*1000)*J203,O203&gt;=N203),"CUMPLE","REVISAR")</f>
        <v>CUMPLE</v>
      </c>
      <c r="U203" s="11">
        <f>G203*1000000/(0.9*(D203*1000)*J203^2)</f>
        <v>0.3484635571</v>
      </c>
      <c r="V203" s="12">
        <f>(0.85*$B$2/$D$2)*(1-SQRT(1-2*U203/(0.85*$B$2)))</f>
        <v>0.0008358394976</v>
      </c>
      <c r="W203" s="13">
        <f>V203*(D203*1000)*J203</f>
        <v>85.89504597</v>
      </c>
      <c r="X203" s="13">
        <f>MAX(W203,N203)</f>
        <v>342.55</v>
      </c>
      <c r="Y203" s="14">
        <f>ROUNDUP(X203/$J$2,0)</f>
        <v>2</v>
      </c>
      <c r="Z203" s="13">
        <f>Y203*$J$2</f>
        <v>398</v>
      </c>
      <c r="AA203" s="10">
        <f>0.9*Z203*$D$2*(J203-(Z203*$D$2/(0.85*$B$2*(D203*1000)))/2)/1000000</f>
        <v>49.77351244</v>
      </c>
      <c r="AB203" s="15" t="str">
        <f>IF(AA203&gt;=G203,"CUMPLE","REVISAR")</f>
        <v>CUMPLE</v>
      </c>
      <c r="AC203" s="10">
        <f>0.17*SQRT($B$2)*(D203*1000)*J203/1000</f>
        <v>92.44281538</v>
      </c>
      <c r="AD203" s="10">
        <f>MAX(H203/0.75-AC203,0)</f>
        <v>0</v>
      </c>
      <c r="AE203" s="14">
        <f>IF(AD203&gt;0,MIN($N$2*$D$2*J203/(AD203*1000),MIN(J203/4,6*$H$2,150)),MIN(J203/4,6*$H$2,150))</f>
        <v>85.6375</v>
      </c>
      <c r="AF203" s="10">
        <f>0.66*SQRT($B$2)*(D203*1000)*J203/1000</f>
        <v>358.8956362</v>
      </c>
      <c r="AG203" s="15" t="str">
        <f>IF(AD203&lt;=AF203,"CUMPLE","AUMENTAR SECCION")</f>
        <v>CUMPLE</v>
      </c>
      <c r="AH203" s="10">
        <f>0.75*0.083*SQRT($B$2)*(((D203*1000)*(E203*1000))^2/(2*((D203*1000)+(E203*1000))))/1000000</f>
        <v>3.388073536</v>
      </c>
      <c r="AI203" s="15" t="str">
        <f>IF(I203&gt;AH203,"SI","No")</f>
        <v>SI</v>
      </c>
      <c r="AJ203" s="11">
        <f>IF(I203&gt;AH203,I203*1000000/(0.75*2*0.85*((D203*1000-2*$F$2)*(E203*1000-2*$F$2))*$D$2),0)</f>
        <v>0.1467405144</v>
      </c>
      <c r="AK203" s="10">
        <f>1.25*Q203*$D$2*(J203-(1.25*Q203*$D$2/(0.85*$B$2*(D203*1000)))/2)/1000000</f>
        <v>68.51839235</v>
      </c>
      <c r="AL203" s="10">
        <f>1.25*Z203*$D$2*(J203-(1.25*Z203*$D$2/(0.85*$B$2*(D203*1000)))/2)/1000000</f>
        <v>68.51839235</v>
      </c>
      <c r="AM203" s="10">
        <f>(AK203+AL203)/B203</f>
        <v>52.70645566</v>
      </c>
      <c r="AN203" s="10">
        <f>MAX(H203,AM203)</f>
        <v>54.73</v>
      </c>
    </row>
    <row r="204">
      <c r="A204" s="5" t="inlineStr">
        <is>
          <t>F211</t>
        </is>
      </c>
      <c r="B204" s="6" t="n">
        <v>2.6</v>
      </c>
      <c r="C204" s="7" t="inlineStr">
        <is>
          <t>VC</t>
        </is>
      </c>
      <c r="D204" s="8">
        <f>IF(C204="VR",0.35,0.30)</f>
        <v>0.3</v>
      </c>
      <c r="E204" s="6" t="n">
        <v>0.4</v>
      </c>
      <c r="F204" s="9" t="n">
        <v>26.3</v>
      </c>
      <c r="G204" s="9" t="n">
        <v>8.9</v>
      </c>
      <c r="H204" s="9" t="n">
        <v>46.2</v>
      </c>
      <c r="I204" s="6" t="n">
        <v>0.44</v>
      </c>
      <c r="J204" s="10">
        <f>E204*1000-$F$2-$L$2-$H$2/2</f>
        <v>342.55</v>
      </c>
      <c r="K204" s="11">
        <f>F204*1000000/(0.9*(D204*1000)*J204^2)</f>
        <v>0.8294947717</v>
      </c>
      <c r="L204" s="12">
        <f>(0.85*$B$2/$D$2)*(1-SQRT(1-2*K204/(0.85*$B$2)))</f>
        <v>0.002010658867</v>
      </c>
      <c r="M204" s="13">
        <f>L204*(D204*1000)*J204</f>
        <v>206.6253585</v>
      </c>
      <c r="N204" s="13">
        <f>MAX(0.25*SQRT($B$2)/$D$2,1.4/$D$2)*(D204*1000)*J204</f>
        <v>342.55</v>
      </c>
      <c r="O204" s="13">
        <f>MAX(M204,N204)</f>
        <v>342.55</v>
      </c>
      <c r="P204" s="14">
        <f>ROUNDUP(O204/$J$2,0)</f>
        <v>2</v>
      </c>
      <c r="Q204" s="13">
        <f>P204*$J$2</f>
        <v>398</v>
      </c>
      <c r="R204" s="10">
        <f>Q204*$D$2/(0.85*$B$2*(D204*1000))</f>
        <v>23.41176471</v>
      </c>
      <c r="S204" s="10">
        <f>0.9*Q204*$D$2*(J204-R204/2)/1000000</f>
        <v>49.77351244</v>
      </c>
      <c r="T204" s="15" t="str">
        <f>IF(AND(S204&gt;=F204,O204&lt;=0.025*(D204*1000)*J204,O204&gt;=N204),"CUMPLE","REVISAR")</f>
        <v>CUMPLE</v>
      </c>
      <c r="U204" s="11">
        <f>G204*1000000/(0.9*(D204*1000)*J204^2)</f>
        <v>0.281864091</v>
      </c>
      <c r="V204" s="12">
        <f>(0.85*$B$2/$D$2)*(1-SQRT(1-2*U204/(0.85*$B$2)))</f>
        <v>0.0006751267086</v>
      </c>
      <c r="W204" s="13">
        <f>V204*(D204*1000)*J204</f>
        <v>69.37939621</v>
      </c>
      <c r="X204" s="13">
        <f>MAX(W204,N204)</f>
        <v>342.55</v>
      </c>
      <c r="Y204" s="14">
        <f>ROUNDUP(X204/$J$2,0)</f>
        <v>2</v>
      </c>
      <c r="Z204" s="13">
        <f>Y204*$J$2</f>
        <v>398</v>
      </c>
      <c r="AA204" s="10">
        <f>0.9*Z204*$D$2*(J204-(Z204*$D$2/(0.85*$B$2*(D204*1000)))/2)/1000000</f>
        <v>49.77351244</v>
      </c>
      <c r="AB204" s="15" t="str">
        <f>IF(AA204&gt;=G204,"CUMPLE","REVISAR")</f>
        <v>CUMPLE</v>
      </c>
      <c r="AC204" s="10">
        <f>0.17*SQRT($B$2)*(D204*1000)*J204/1000</f>
        <v>92.44281538</v>
      </c>
      <c r="AD204" s="10">
        <f>MAX(H204/0.75-AC204,0)</f>
        <v>0</v>
      </c>
      <c r="AE204" s="14">
        <f>IF(AD204&gt;0,MIN($N$2*$D$2*J204/(AD204*1000),MIN(J204/4,6*$H$2,150)),MIN(J204/4,6*$H$2,150))</f>
        <v>85.6375</v>
      </c>
      <c r="AF204" s="10">
        <f>0.66*SQRT($B$2)*(D204*1000)*J204/1000</f>
        <v>358.8956362</v>
      </c>
      <c r="AG204" s="15" t="str">
        <f>IF(AD204&lt;=AF204,"CUMPLE","AUMENTAR SECCION")</f>
        <v>CUMPLE</v>
      </c>
      <c r="AH204" s="10">
        <f>0.75*0.083*SQRT($B$2)*(((D204*1000)*(E204*1000))^2/(2*((D204*1000)+(E204*1000))))/1000000</f>
        <v>3.388073536</v>
      </c>
      <c r="AI204" s="15" t="str">
        <f>IF(I204&gt;AH204,"SI","No")</f>
        <v>No</v>
      </c>
      <c r="AJ204" s="11">
        <f>IF(I204&gt;AH204,I204*1000000/(0.75*2*0.85*((D204*1000-2*$F$2)*(E204*1000-2*$F$2))*$D$2),0)</f>
        <v>0</v>
      </c>
      <c r="AK204" s="10">
        <f>1.25*Q204*$D$2*(J204-(1.25*Q204*$D$2/(0.85*$B$2*(D204*1000)))/2)/1000000</f>
        <v>68.51839235</v>
      </c>
      <c r="AL204" s="10">
        <f>1.25*Z204*$D$2*(J204-(1.25*Z204*$D$2/(0.85*$B$2*(D204*1000)))/2)/1000000</f>
        <v>68.51839235</v>
      </c>
      <c r="AM204" s="10">
        <f>(AK204+AL204)/B204</f>
        <v>52.70645566</v>
      </c>
      <c r="AN204" s="10">
        <f>MAX(H204,AM204)</f>
        <v>52.70645566</v>
      </c>
    </row>
    <row r="205">
      <c r="A205" s="5" t="inlineStr">
        <is>
          <t>F212</t>
        </is>
      </c>
      <c r="B205" s="6" t="n">
        <v>3.65</v>
      </c>
      <c r="C205" s="7" t="inlineStr">
        <is>
          <t>VR</t>
        </is>
      </c>
      <c r="D205" s="8">
        <f>IF(C205="VR",0.35,0.30)</f>
        <v>0.35</v>
      </c>
      <c r="E205" s="6" t="n">
        <v>0.4</v>
      </c>
      <c r="F205" s="9" t="n">
        <v>38.5</v>
      </c>
      <c r="G205" s="9" t="n">
        <v>35</v>
      </c>
      <c r="H205" s="9" t="n">
        <v>110.6</v>
      </c>
      <c r="I205" s="6" t="n">
        <v>5.99</v>
      </c>
      <c r="J205" s="10">
        <f>E205*1000-$F$2-$L$2-$H$2/2</f>
        <v>342.55</v>
      </c>
      <c r="K205" s="11">
        <f>F205*1000000/(0.9*(D205*1000)*J205^2)</f>
        <v>1.041332478</v>
      </c>
      <c r="L205" s="12">
        <f>(0.85*$B$2/$D$2)*(1-SQRT(1-2*K205/(0.85*$B$2)))</f>
        <v>0.002536114914</v>
      </c>
      <c r="M205" s="13">
        <f>L205*(D205*1000)*J205</f>
        <v>304.0611573</v>
      </c>
      <c r="N205" s="13">
        <f>MAX(0.25*SQRT($B$2)/$D$2,1.4/$D$2)*(D205*1000)*J205</f>
        <v>399.6416667</v>
      </c>
      <c r="O205" s="13">
        <f>MAX(M205,N205)</f>
        <v>399.6416667</v>
      </c>
      <c r="P205" s="14">
        <f>ROUNDUP(O205/$J$2,0)</f>
        <v>3</v>
      </c>
      <c r="Q205" s="13">
        <f>P205*$J$2</f>
        <v>597</v>
      </c>
      <c r="R205" s="10">
        <f>Q205*$D$2/(0.85*$B$2*(D205*1000))</f>
        <v>30.10084034</v>
      </c>
      <c r="S205" s="10">
        <f>0.9*Q205*$D$2*(J205-R205/2)/1000000</f>
        <v>73.90552018</v>
      </c>
      <c r="T205" s="15" t="str">
        <f>IF(AND(S205&gt;=F205,O205&lt;=0.025*(D205*1000)*J205,O205&gt;=N205),"CUMPLE","REVISAR")</f>
        <v>CUMPLE</v>
      </c>
      <c r="U205" s="11">
        <f>G205*1000000/(0.9*(D205*1000)*J205^2)</f>
        <v>0.9458296549</v>
      </c>
      <c r="V205" s="12">
        <f>(0.85*$B$2/$D$2)*(1-SQRT(1-2*U205/(0.85*$B$2)))</f>
        <v>0.002298594823</v>
      </c>
      <c r="W205" s="13">
        <f>V205*(D205*1000)*J205</f>
        <v>275.5842798</v>
      </c>
      <c r="X205" s="13">
        <f>MAX(W205,N205)</f>
        <v>399.6416667</v>
      </c>
      <c r="Y205" s="14">
        <f>ROUNDUP(X205/$J$2,0)</f>
        <v>3</v>
      </c>
      <c r="Z205" s="13">
        <f>Y205*$J$2</f>
        <v>597</v>
      </c>
      <c r="AA205" s="10">
        <f>0.9*Z205*$D$2*(J205-(Z205*$D$2/(0.85*$B$2*(D205*1000)))/2)/1000000</f>
        <v>73.90552018</v>
      </c>
      <c r="AB205" s="15" t="str">
        <f>IF(AA205&gt;=G205,"CUMPLE","REVISAR")</f>
        <v>CUMPLE</v>
      </c>
      <c r="AC205" s="10">
        <f>0.17*SQRT($B$2)*(D205*1000)*J205/1000</f>
        <v>107.8499513</v>
      </c>
      <c r="AD205" s="10">
        <f>MAX(H205/0.75-AC205,0)</f>
        <v>39.64338205</v>
      </c>
      <c r="AE205" s="14">
        <f>IF(AD205&gt;0,MIN($N$2*$D$2*J205/(AD205*1000),MIN(J205/4,6*$H$2,150)),MIN(J205/4,6*$H$2,150))</f>
        <v>85.6375</v>
      </c>
      <c r="AF205" s="10">
        <f>0.66*SQRT($B$2)*(D205*1000)*J205/1000</f>
        <v>418.7115756</v>
      </c>
      <c r="AG205" s="15" t="str">
        <f>IF(AD205&lt;=AF205,"CUMPLE","AUMENTAR SECCION")</f>
        <v>CUMPLE</v>
      </c>
      <c r="AH205" s="10">
        <f>0.75*0.083*SQRT($B$2)*(((D205*1000)*(E205*1000))^2/(2*((D205*1000)+(E205*1000))))/1000000</f>
        <v>4.304108233</v>
      </c>
      <c r="AI205" s="15" t="str">
        <f>IF(I205&gt;AH205,"SI","No")</f>
        <v>SI</v>
      </c>
      <c r="AJ205" s="11">
        <f>IF(I205&gt;AH205,I205*1000000/(0.75*2*0.85*((D205*1000-2*$F$2)*(E205*1000-2*$F$2))*$D$2),0)</f>
        <v>0.1293572985</v>
      </c>
      <c r="AK205" s="10">
        <f>1.25*Q205*$D$2*(J205-(1.25*Q205*$D$2/(0.85*$B$2*(D205*1000)))/2)/1000000</f>
        <v>101.4672613</v>
      </c>
      <c r="AL205" s="10">
        <f>1.25*Z205*$D$2*(J205-(1.25*Z205*$D$2/(0.85*$B$2*(D205*1000)))/2)/1000000</f>
        <v>101.4672613</v>
      </c>
      <c r="AM205" s="10">
        <f>(AK205+AL205)/B205</f>
        <v>55.55283949</v>
      </c>
      <c r="AN205" s="10">
        <f>MAX(H205,AM205)</f>
        <v>110.62</v>
      </c>
    </row>
    <row r="206">
      <c r="A206" s="5" t="inlineStr">
        <is>
          <t>F213</t>
        </is>
      </c>
      <c r="B206" s="6" t="n">
        <v>2.6</v>
      </c>
      <c r="C206" s="7" t="inlineStr">
        <is>
          <t>VC</t>
        </is>
      </c>
      <c r="D206" s="8">
        <f>IF(C206="VR",0.35,0.30)</f>
        <v>0.3</v>
      </c>
      <c r="E206" s="6" t="n">
        <v>0.4</v>
      </c>
      <c r="F206" s="9" t="n">
        <v>22.3</v>
      </c>
      <c r="G206" s="9" t="n">
        <v>13.8</v>
      </c>
      <c r="H206" s="9" t="n">
        <v>47.3</v>
      </c>
      <c r="I206" s="6" t="n">
        <v>1.87</v>
      </c>
      <c r="J206" s="10">
        <f>E206*1000-$F$2-$L$2-$H$2/2</f>
        <v>342.55</v>
      </c>
      <c r="K206" s="11">
        <f>F206*1000000/(0.9*(D206*1000)*J206^2)</f>
        <v>0.7032398597</v>
      </c>
      <c r="L206" s="12">
        <f>(0.85*$B$2/$D$2)*(1-SQRT(1-2*K206/(0.85*$B$2)))</f>
        <v>0.001699876926</v>
      </c>
      <c r="M206" s="13">
        <f>L206*(D206*1000)*J206</f>
        <v>174.6878523</v>
      </c>
      <c r="N206" s="13">
        <f>MAX(0.25*SQRT($B$2)/$D$2,1.4/$D$2)*(D206*1000)*J206</f>
        <v>342.55</v>
      </c>
      <c r="O206" s="13">
        <f>MAX(M206,N206)</f>
        <v>342.55</v>
      </c>
      <c r="P206" s="14">
        <f>ROUNDUP(O206/$J$2,0)</f>
        <v>2</v>
      </c>
      <c r="Q206" s="13">
        <f>P206*$J$2</f>
        <v>398</v>
      </c>
      <c r="R206" s="10">
        <f>Q206*$D$2/(0.85*$B$2*(D206*1000))</f>
        <v>23.41176471</v>
      </c>
      <c r="S206" s="10">
        <f>0.9*Q206*$D$2*(J206-R206/2)/1000000</f>
        <v>49.77351244</v>
      </c>
      <c r="T206" s="15" t="str">
        <f>IF(AND(S206&gt;=F206,O206&lt;=0.025*(D206*1000)*J206,O206&gt;=N206),"CUMPLE","REVISAR")</f>
        <v>CUMPLE</v>
      </c>
      <c r="U206" s="11">
        <f>G206*1000000/(0.9*(D206*1000)*J206^2)</f>
        <v>0.4362107209</v>
      </c>
      <c r="V206" s="12">
        <f>(0.85*$B$2/$D$2)*(1-SQRT(1-2*U206/(0.85*$B$2)))</f>
        <v>0.001048293297</v>
      </c>
      <c r="W206" s="13">
        <f>V206*(D206*1000)*J206</f>
        <v>107.7278607</v>
      </c>
      <c r="X206" s="13">
        <f>MAX(W206,N206)</f>
        <v>342.55</v>
      </c>
      <c r="Y206" s="14">
        <f>ROUNDUP(X206/$J$2,0)</f>
        <v>2</v>
      </c>
      <c r="Z206" s="13">
        <f>Y206*$J$2</f>
        <v>398</v>
      </c>
      <c r="AA206" s="10">
        <f>0.9*Z206*$D$2*(J206-(Z206*$D$2/(0.85*$B$2*(D206*1000)))/2)/1000000</f>
        <v>49.77351244</v>
      </c>
      <c r="AB206" s="15" t="str">
        <f>IF(AA206&gt;=G206,"CUMPLE","REVISAR")</f>
        <v>CUMPLE</v>
      </c>
      <c r="AC206" s="10">
        <f>0.17*SQRT($B$2)*(D206*1000)*J206/1000</f>
        <v>92.44281538</v>
      </c>
      <c r="AD206" s="10">
        <f>MAX(H206/0.75-AC206,0)</f>
        <v>0</v>
      </c>
      <c r="AE206" s="14">
        <f>IF(AD206&gt;0,MIN($N$2*$D$2*J206/(AD206*1000),MIN(J206/4,6*$H$2,150)),MIN(J206/4,6*$H$2,150))</f>
        <v>85.6375</v>
      </c>
      <c r="AF206" s="10">
        <f>0.66*SQRT($B$2)*(D206*1000)*J206/1000</f>
        <v>358.8956362</v>
      </c>
      <c r="AG206" s="15" t="str">
        <f>IF(AD206&lt;=AF206,"CUMPLE","AUMENTAR SECCION")</f>
        <v>CUMPLE</v>
      </c>
      <c r="AH206" s="10">
        <f>0.75*0.083*SQRT($B$2)*(((D206*1000)*(E206*1000))^2/(2*((D206*1000)+(E206*1000))))/1000000</f>
        <v>3.388073536</v>
      </c>
      <c r="AI206" s="15" t="str">
        <f>IF(I206&gt;AH206,"SI","No")</f>
        <v>No</v>
      </c>
      <c r="AJ206" s="11">
        <f>IF(I206&gt;AH206,I206*1000000/(0.75*2*0.85*((D206*1000-2*$F$2)*(E206*1000-2*$F$2))*$D$2),0)</f>
        <v>0</v>
      </c>
      <c r="AK206" s="10">
        <f>1.25*Q206*$D$2*(J206-(1.25*Q206*$D$2/(0.85*$B$2*(D206*1000)))/2)/1000000</f>
        <v>68.51839235</v>
      </c>
      <c r="AL206" s="10">
        <f>1.25*Z206*$D$2*(J206-(1.25*Z206*$D$2/(0.85*$B$2*(D206*1000)))/2)/1000000</f>
        <v>68.51839235</v>
      </c>
      <c r="AM206" s="10">
        <f>(AK206+AL206)/B206</f>
        <v>52.70645566</v>
      </c>
      <c r="AN206" s="10">
        <f>MAX(H206,AM206)</f>
        <v>52.70645566</v>
      </c>
    </row>
    <row r="207">
      <c r="A207" s="5" t="inlineStr">
        <is>
          <t>F214</t>
        </is>
      </c>
      <c r="B207" s="6" t="n">
        <v>2.5</v>
      </c>
      <c r="C207" s="7" t="inlineStr">
        <is>
          <t>VC</t>
        </is>
      </c>
      <c r="D207" s="8">
        <f>IF(C207="VR",0.35,0.30)</f>
        <v>0.3</v>
      </c>
      <c r="E207" s="6" t="n">
        <v>0.4</v>
      </c>
      <c r="F207" s="9" t="n">
        <v>27.6</v>
      </c>
      <c r="G207" s="9" t="n">
        <v>9.5</v>
      </c>
      <c r="H207" s="9" t="n">
        <v>48.5</v>
      </c>
      <c r="I207" s="6" t="n">
        <v>0.42</v>
      </c>
      <c r="J207" s="10">
        <f>E207*1000-$F$2-$L$2-$H$2/2</f>
        <v>342.55</v>
      </c>
      <c r="K207" s="11">
        <f>F207*1000000/(0.9*(D207*1000)*J207^2)</f>
        <v>0.8724214418</v>
      </c>
      <c r="L207" s="12">
        <f>(0.85*$B$2/$D$2)*(1-SQRT(1-2*K207/(0.85*$B$2)))</f>
        <v>0.002116728065</v>
      </c>
      <c r="M207" s="13">
        <f>L207*(D207*1000)*J207</f>
        <v>217.5255596</v>
      </c>
      <c r="N207" s="13">
        <f>MAX(0.25*SQRT($B$2)/$D$2,1.4/$D$2)*(D207*1000)*J207</f>
        <v>342.55</v>
      </c>
      <c r="O207" s="13">
        <f>MAX(M207,N207)</f>
        <v>342.55</v>
      </c>
      <c r="P207" s="14">
        <f>ROUNDUP(O207/$J$2,0)</f>
        <v>2</v>
      </c>
      <c r="Q207" s="13">
        <f>P207*$J$2</f>
        <v>398</v>
      </c>
      <c r="R207" s="10">
        <f>Q207*$D$2/(0.85*$B$2*(D207*1000))</f>
        <v>23.41176471</v>
      </c>
      <c r="S207" s="10">
        <f>0.9*Q207*$D$2*(J207-R207/2)/1000000</f>
        <v>49.77351244</v>
      </c>
      <c r="T207" s="15" t="str">
        <f>IF(AND(S207&gt;=F207,O207&lt;=0.025*(D207*1000)*J207,O207&gt;=N207),"CUMPLE","REVISAR")</f>
        <v>CUMPLE</v>
      </c>
      <c r="U207" s="11">
        <f>G207*1000000/(0.9*(D207*1000)*J207^2)</f>
        <v>0.2995397787</v>
      </c>
      <c r="V207" s="12">
        <f>(0.85*$B$2/$D$2)*(1-SQRT(1-2*U207/(0.85*$B$2)))</f>
        <v>0.0007177353376</v>
      </c>
      <c r="W207" s="13">
        <f>V207*(D207*1000)*J207</f>
        <v>73.75807197</v>
      </c>
      <c r="X207" s="13">
        <f>MAX(W207,N207)</f>
        <v>342.55</v>
      </c>
      <c r="Y207" s="14">
        <f>ROUNDUP(X207/$J$2,0)</f>
        <v>2</v>
      </c>
      <c r="Z207" s="13">
        <f>Y207*$J$2</f>
        <v>398</v>
      </c>
      <c r="AA207" s="10">
        <f>0.9*Z207*$D$2*(J207-(Z207*$D$2/(0.85*$B$2*(D207*1000)))/2)/1000000</f>
        <v>49.77351244</v>
      </c>
      <c r="AB207" s="15" t="str">
        <f>IF(AA207&gt;=G207,"CUMPLE","REVISAR")</f>
        <v>CUMPLE</v>
      </c>
      <c r="AC207" s="10">
        <f>0.17*SQRT($B$2)*(D207*1000)*J207/1000</f>
        <v>92.44281538</v>
      </c>
      <c r="AD207" s="10">
        <f>MAX(H207/0.75-AC207,0)</f>
        <v>0</v>
      </c>
      <c r="AE207" s="14">
        <f>IF(AD207&gt;0,MIN($N$2*$D$2*J207/(AD207*1000),MIN(J207/4,6*$H$2,150)),MIN(J207/4,6*$H$2,150))</f>
        <v>85.6375</v>
      </c>
      <c r="AF207" s="10">
        <f>0.66*SQRT($B$2)*(D207*1000)*J207/1000</f>
        <v>358.8956362</v>
      </c>
      <c r="AG207" s="15" t="str">
        <f>IF(AD207&lt;=AF207,"CUMPLE","AUMENTAR SECCION")</f>
        <v>CUMPLE</v>
      </c>
      <c r="AH207" s="10">
        <f>0.75*0.083*SQRT($B$2)*(((D207*1000)*(E207*1000))^2/(2*((D207*1000)+(E207*1000))))/1000000</f>
        <v>3.388073536</v>
      </c>
      <c r="AI207" s="15" t="str">
        <f>IF(I207&gt;AH207,"SI","No")</f>
        <v>No</v>
      </c>
      <c r="AJ207" s="11">
        <f>IF(I207&gt;AH207,I207*1000000/(0.75*2*0.85*((D207*1000-2*$F$2)*(E207*1000-2*$F$2))*$D$2),0)</f>
        <v>0</v>
      </c>
      <c r="AK207" s="10">
        <f>1.25*Q207*$D$2*(J207-(1.25*Q207*$D$2/(0.85*$B$2*(D207*1000)))/2)/1000000</f>
        <v>68.51839235</v>
      </c>
      <c r="AL207" s="10">
        <f>1.25*Z207*$D$2*(J207-(1.25*Z207*$D$2/(0.85*$B$2*(D207*1000)))/2)/1000000</f>
        <v>68.51839235</v>
      </c>
      <c r="AM207" s="10">
        <f>(AK207+AL207)/B207</f>
        <v>54.81471388</v>
      </c>
      <c r="AN207" s="10">
        <f>MAX(H207,AM207)</f>
        <v>54.81471388</v>
      </c>
    </row>
    <row r="208">
      <c r="A208" s="5" t="inlineStr">
        <is>
          <t>F215</t>
        </is>
      </c>
      <c r="B208" s="6" t="n">
        <v>4.18</v>
      </c>
      <c r="C208" s="7" t="inlineStr">
        <is>
          <t>VR</t>
        </is>
      </c>
      <c r="D208" s="8">
        <f>IF(C208="VR",0.35,0.30)</f>
        <v>0.35</v>
      </c>
      <c r="E208" s="6" t="n">
        <v>0.4</v>
      </c>
      <c r="F208" s="9" t="n">
        <v>77.8</v>
      </c>
      <c r="G208" s="9" t="n">
        <v>26.2</v>
      </c>
      <c r="H208" s="9" t="n">
        <v>79.09999999999999</v>
      </c>
      <c r="I208" s="6" t="n">
        <v>0.36</v>
      </c>
      <c r="J208" s="10">
        <f>E208*1000-$F$2-$L$2-$H$2/2</f>
        <v>342.55</v>
      </c>
      <c r="K208" s="11">
        <f>F208*1000000/(0.9*(D208*1000)*J208^2)</f>
        <v>2.105120293</v>
      </c>
      <c r="L208" s="12">
        <f>(0.85*$B$2/$D$2)*(1-SQRT(1-2*K208/(0.85*$B$2)))</f>
        <v>0.005255940373</v>
      </c>
      <c r="M208" s="13">
        <f>L208*(D208*1000)*J208</f>
        <v>630.1478312</v>
      </c>
      <c r="N208" s="13">
        <f>MAX(0.25*SQRT($B$2)/$D$2,1.4/$D$2)*(D208*1000)*J208</f>
        <v>399.6416667</v>
      </c>
      <c r="O208" s="13">
        <f>MAX(M208,N208)</f>
        <v>630.1478312</v>
      </c>
      <c r="P208" s="14">
        <f>ROUNDUP(O208/$J$2,0)</f>
        <v>4</v>
      </c>
      <c r="Q208" s="13">
        <f>P208*$J$2</f>
        <v>796</v>
      </c>
      <c r="R208" s="10">
        <f>Q208*$D$2/(0.85*$B$2*(D208*1000))</f>
        <v>40.13445378</v>
      </c>
      <c r="S208" s="10">
        <f>0.9*Q208*$D$2*(J208-R208/2)/1000000</f>
        <v>97.03119664</v>
      </c>
      <c r="T208" s="15" t="str">
        <f>IF(AND(S208&gt;=F208,O208&lt;=0.025*(D208*1000)*J208,O208&gt;=N208),"CUMPLE","REVISAR")</f>
        <v>CUMPLE</v>
      </c>
      <c r="U208" s="11">
        <f>G208*1000000/(0.9*(D208*1000)*J208^2)</f>
        <v>0.7082900562</v>
      </c>
      <c r="V208" s="12">
        <f>(0.85*$B$2/$D$2)*(1-SQRT(1-2*U208/(0.85*$B$2)))</f>
        <v>0.001712274459</v>
      </c>
      <c r="W208" s="13">
        <f>V208*(D208*1000)*J208</f>
        <v>205.2888656</v>
      </c>
      <c r="X208" s="13">
        <f>MAX(W208,N208)</f>
        <v>399.6416667</v>
      </c>
      <c r="Y208" s="14">
        <f>ROUNDUP(X208/$J$2,0)</f>
        <v>3</v>
      </c>
      <c r="Z208" s="13">
        <f>Y208*$J$2</f>
        <v>597</v>
      </c>
      <c r="AA208" s="10">
        <f>0.9*Z208*$D$2*(J208-(Z208*$D$2/(0.85*$B$2*(D208*1000)))/2)/1000000</f>
        <v>73.90552018</v>
      </c>
      <c r="AB208" s="15" t="str">
        <f>IF(AA208&gt;=G208,"CUMPLE","REVISAR")</f>
        <v>CUMPLE</v>
      </c>
      <c r="AC208" s="10">
        <f>0.17*SQRT($B$2)*(D208*1000)*J208/1000</f>
        <v>107.8499513</v>
      </c>
      <c r="AD208" s="10">
        <f>MAX(H208/0.75-AC208,0)</f>
        <v>0</v>
      </c>
      <c r="AE208" s="14">
        <f>IF(AD208&gt;0,MIN($N$2*$D$2*J208/(AD208*1000),MIN(J208/4,6*$H$2,150)),MIN(J208/4,6*$H$2,150))</f>
        <v>85.6375</v>
      </c>
      <c r="AF208" s="10">
        <f>0.66*SQRT($B$2)*(D208*1000)*J208/1000</f>
        <v>418.7115756</v>
      </c>
      <c r="AG208" s="15" t="str">
        <f>IF(AD208&lt;=AF208,"CUMPLE","AUMENTAR SECCION")</f>
        <v>CUMPLE</v>
      </c>
      <c r="AH208" s="10">
        <f>0.75*0.083*SQRT($B$2)*(((D208*1000)*(E208*1000))^2/(2*((D208*1000)+(E208*1000))))/1000000</f>
        <v>4.304108233</v>
      </c>
      <c r="AI208" s="15" t="str">
        <f>IF(I208&gt;AH208,"SI","No")</f>
        <v>No</v>
      </c>
      <c r="AJ208" s="11">
        <f>IF(I208&gt;AH208,I208*1000000/(0.75*2*0.85*((D208*1000-2*$F$2)*(E208*1000-2*$F$2))*$D$2),0)</f>
        <v>0</v>
      </c>
      <c r="AK208" s="10">
        <f>1.25*Q208*$D$2*(J208-(1.25*Q208*$D$2/(0.85*$B$2*(D208*1000)))/2)/1000000</f>
        <v>132.6690274</v>
      </c>
      <c r="AL208" s="10">
        <f>1.25*Z208*$D$2*(J208-(1.25*Z208*$D$2/(0.85*$B$2*(D208*1000)))/2)/1000000</f>
        <v>101.4672613</v>
      </c>
      <c r="AM208" s="10">
        <f>(AK208+AL208)/B208</f>
        <v>56.06711894</v>
      </c>
      <c r="AN208" s="10">
        <f>MAX(H208,AM208)</f>
        <v>79.14</v>
      </c>
    </row>
    <row r="209">
      <c r="A209" s="5" t="inlineStr">
        <is>
          <t>F216</t>
        </is>
      </c>
      <c r="B209" s="6" t="n">
        <v>2.7</v>
      </c>
      <c r="C209" s="7" t="inlineStr">
        <is>
          <t>VR</t>
        </is>
      </c>
      <c r="D209" s="8">
        <f>IF(C209="VR",0.35,0.30)</f>
        <v>0.35</v>
      </c>
      <c r="E209" s="6" t="n">
        <v>0.4</v>
      </c>
      <c r="F209" s="9" t="n">
        <v>40.2</v>
      </c>
      <c r="G209" s="9" t="n">
        <v>13.4</v>
      </c>
      <c r="H209" s="9" t="n">
        <v>59.6</v>
      </c>
      <c r="I209" s="6" t="n">
        <v>3.25</v>
      </c>
      <c r="J209" s="10">
        <f>E209*1000-$F$2-$L$2-$H$2/2</f>
        <v>342.55</v>
      </c>
      <c r="K209" s="11">
        <f>F209*1000000/(0.9*(D209*1000)*J209^2)</f>
        <v>1.087054792</v>
      </c>
      <c r="L209" s="12">
        <f>(0.85*$B$2/$D$2)*(1-SQRT(1-2*K209/(0.85*$B$2)))</f>
        <v>0.0026501982</v>
      </c>
      <c r="M209" s="13">
        <f>L209*(D209*1000)*J209</f>
        <v>317.7388877</v>
      </c>
      <c r="N209" s="13">
        <f>MAX(0.25*SQRT($B$2)/$D$2,1.4/$D$2)*(D209*1000)*J209</f>
        <v>399.6416667</v>
      </c>
      <c r="O209" s="13">
        <f>MAX(M209,N209)</f>
        <v>399.6416667</v>
      </c>
      <c r="P209" s="14">
        <f>ROUNDUP(O209/$J$2,0)</f>
        <v>3</v>
      </c>
      <c r="Q209" s="13">
        <f>P209*$J$2</f>
        <v>597</v>
      </c>
      <c r="R209" s="10">
        <f>Q209*$D$2/(0.85*$B$2*(D209*1000))</f>
        <v>30.10084034</v>
      </c>
      <c r="S209" s="10">
        <f>0.9*Q209*$D$2*(J209-R209/2)/1000000</f>
        <v>73.90552018</v>
      </c>
      <c r="T209" s="15" t="str">
        <f>IF(AND(S209&gt;=F209,O209&lt;=0.025*(D209*1000)*J209,O209&gt;=N209),"CUMPLE","REVISAR")</f>
        <v>CUMPLE</v>
      </c>
      <c r="U209" s="11">
        <f>G209*1000000/(0.9*(D209*1000)*J209^2)</f>
        <v>0.3622614153</v>
      </c>
      <c r="V209" s="12">
        <f>(0.85*$B$2/$D$2)*(1-SQRT(1-2*U209/(0.85*$B$2)))</f>
        <v>0.0008691933297</v>
      </c>
      <c r="W209" s="13">
        <f>V209*(D209*1000)*J209</f>
        <v>104.2097613</v>
      </c>
      <c r="X209" s="13">
        <f>MAX(W209,N209)</f>
        <v>399.6416667</v>
      </c>
      <c r="Y209" s="14">
        <f>ROUNDUP(X209/$J$2,0)</f>
        <v>3</v>
      </c>
      <c r="Z209" s="13">
        <f>Y209*$J$2</f>
        <v>597</v>
      </c>
      <c r="AA209" s="10">
        <f>0.9*Z209*$D$2*(J209-(Z209*$D$2/(0.85*$B$2*(D209*1000)))/2)/1000000</f>
        <v>73.90552018</v>
      </c>
      <c r="AB209" s="15" t="str">
        <f>IF(AA209&gt;=G209,"CUMPLE","REVISAR")</f>
        <v>CUMPLE</v>
      </c>
      <c r="AC209" s="10">
        <f>0.17*SQRT($B$2)*(D209*1000)*J209/1000</f>
        <v>107.8499513</v>
      </c>
      <c r="AD209" s="10">
        <f>MAX(H209/0.75-AC209,0)</f>
        <v>0</v>
      </c>
      <c r="AE209" s="14">
        <f>IF(AD209&gt;0,MIN($N$2*$D$2*J209/(AD209*1000),MIN(J209/4,6*$H$2,150)),MIN(J209/4,6*$H$2,150))</f>
        <v>85.6375</v>
      </c>
      <c r="AF209" s="10">
        <f>0.66*SQRT($B$2)*(D209*1000)*J209/1000</f>
        <v>418.7115756</v>
      </c>
      <c r="AG209" s="15" t="str">
        <f>IF(AD209&lt;=AF209,"CUMPLE","AUMENTAR SECCION")</f>
        <v>CUMPLE</v>
      </c>
      <c r="AH209" s="10">
        <f>0.75*0.083*SQRT($B$2)*(((D209*1000)*(E209*1000))^2/(2*((D209*1000)+(E209*1000))))/1000000</f>
        <v>4.304108233</v>
      </c>
      <c r="AI209" s="15" t="str">
        <f>IF(I209&gt;AH209,"SI","No")</f>
        <v>No</v>
      </c>
      <c r="AJ209" s="11">
        <f>IF(I209&gt;AH209,I209*1000000/(0.75*2*0.85*((D209*1000-2*$F$2)*(E209*1000-2*$F$2))*$D$2),0)</f>
        <v>0</v>
      </c>
      <c r="AK209" s="10">
        <f>1.25*Q209*$D$2*(J209-(1.25*Q209*$D$2/(0.85*$B$2*(D209*1000)))/2)/1000000</f>
        <v>101.4672613</v>
      </c>
      <c r="AL209" s="10">
        <f>1.25*Z209*$D$2*(J209-(1.25*Z209*$D$2/(0.85*$B$2*(D209*1000)))/2)/1000000</f>
        <v>101.4672613</v>
      </c>
      <c r="AM209" s="10">
        <f>(AK209+AL209)/B209</f>
        <v>75.16093431</v>
      </c>
      <c r="AN209" s="10">
        <f>MAX(H209,AM209)</f>
        <v>75.16093431</v>
      </c>
    </row>
    <row r="210">
      <c r="A210" s="5" t="inlineStr">
        <is>
          <t>F217</t>
        </is>
      </c>
      <c r="B210" s="6" t="n">
        <v>2.8</v>
      </c>
      <c r="C210" s="7" t="inlineStr">
        <is>
          <t>VR</t>
        </is>
      </c>
      <c r="D210" s="8">
        <f>IF(C210="VR",0.35,0.30)</f>
        <v>0.35</v>
      </c>
      <c r="E210" s="6" t="n">
        <v>0.4</v>
      </c>
      <c r="F210" s="9" t="n">
        <v>40.8</v>
      </c>
      <c r="G210" s="9" t="n">
        <v>13.6</v>
      </c>
      <c r="H210" s="9" t="n">
        <v>60.1</v>
      </c>
      <c r="I210" s="6" t="n">
        <v>3.14</v>
      </c>
      <c r="J210" s="10">
        <f>E210*1000-$F$2-$L$2-$H$2/2</f>
        <v>342.55</v>
      </c>
      <c r="K210" s="11">
        <f>F210*1000000/(0.9*(D210*1000)*J210^2)</f>
        <v>1.102746474</v>
      </c>
      <c r="L210" s="12">
        <f>(0.85*$B$2/$D$2)*(1-SQRT(1-2*K210/(0.85*$B$2)))</f>
        <v>0.002689406619</v>
      </c>
      <c r="M210" s="13">
        <f>L210*(D210*1000)*J210</f>
        <v>322.4396831</v>
      </c>
      <c r="N210" s="13">
        <f>MAX(0.25*SQRT($B$2)/$D$2,1.4/$D$2)*(D210*1000)*J210</f>
        <v>399.6416667</v>
      </c>
      <c r="O210" s="13">
        <f>MAX(M210,N210)</f>
        <v>399.6416667</v>
      </c>
      <c r="P210" s="14">
        <f>ROUNDUP(O210/$J$2,0)</f>
        <v>3</v>
      </c>
      <c r="Q210" s="13">
        <f>P210*$J$2</f>
        <v>597</v>
      </c>
      <c r="R210" s="10">
        <f>Q210*$D$2/(0.85*$B$2*(D210*1000))</f>
        <v>30.10084034</v>
      </c>
      <c r="S210" s="10">
        <f>0.9*Q210*$D$2*(J210-R210/2)/1000000</f>
        <v>73.90552018</v>
      </c>
      <c r="T210" s="15" t="str">
        <f>IF(AND(S210&gt;=F210,O210&lt;=0.025*(D210*1000)*J210,O210&gt;=N210),"CUMPLE","REVISAR")</f>
        <v>CUMPLE</v>
      </c>
      <c r="U210" s="11">
        <f>G210*1000000/(0.9*(D210*1000)*J210^2)</f>
        <v>0.3676723401</v>
      </c>
      <c r="V210" s="12">
        <f>(0.85*$B$2/$D$2)*(1-SQRT(1-2*U210/(0.85*$B$2)))</f>
        <v>0.0008822787076</v>
      </c>
      <c r="W210" s="13">
        <f>V210*(D210*1000)*J210</f>
        <v>105.7785999</v>
      </c>
      <c r="X210" s="13">
        <f>MAX(W210,N210)</f>
        <v>399.6416667</v>
      </c>
      <c r="Y210" s="14">
        <f>ROUNDUP(X210/$J$2,0)</f>
        <v>3</v>
      </c>
      <c r="Z210" s="13">
        <f>Y210*$J$2</f>
        <v>597</v>
      </c>
      <c r="AA210" s="10">
        <f>0.9*Z210*$D$2*(J210-(Z210*$D$2/(0.85*$B$2*(D210*1000)))/2)/1000000</f>
        <v>73.90552018</v>
      </c>
      <c r="AB210" s="15" t="str">
        <f>IF(AA210&gt;=G210,"CUMPLE","REVISAR")</f>
        <v>CUMPLE</v>
      </c>
      <c r="AC210" s="10">
        <f>0.17*SQRT($B$2)*(D210*1000)*J210/1000</f>
        <v>107.8499513</v>
      </c>
      <c r="AD210" s="10">
        <f>MAX(H210/0.75-AC210,0)</f>
        <v>0</v>
      </c>
      <c r="AE210" s="14">
        <f>IF(AD210&gt;0,MIN($N$2*$D$2*J210/(AD210*1000),MIN(J210/4,6*$H$2,150)),MIN(J210/4,6*$H$2,150))</f>
        <v>85.6375</v>
      </c>
      <c r="AF210" s="10">
        <f>0.66*SQRT($B$2)*(D210*1000)*J210/1000</f>
        <v>418.7115756</v>
      </c>
      <c r="AG210" s="15" t="str">
        <f>IF(AD210&lt;=AF210,"CUMPLE","AUMENTAR SECCION")</f>
        <v>CUMPLE</v>
      </c>
      <c r="AH210" s="10">
        <f>0.75*0.083*SQRT($B$2)*(((D210*1000)*(E210*1000))^2/(2*((D210*1000)+(E210*1000))))/1000000</f>
        <v>4.304108233</v>
      </c>
      <c r="AI210" s="15" t="str">
        <f>IF(I210&gt;AH210,"SI","No")</f>
        <v>No</v>
      </c>
      <c r="AJ210" s="11">
        <f>IF(I210&gt;AH210,I210*1000000/(0.75*2*0.85*((D210*1000-2*$F$2)*(E210*1000-2*$F$2))*$D$2),0)</f>
        <v>0</v>
      </c>
      <c r="AK210" s="10">
        <f>1.25*Q210*$D$2*(J210-(1.25*Q210*$D$2/(0.85*$B$2*(D210*1000)))/2)/1000000</f>
        <v>101.4672613</v>
      </c>
      <c r="AL210" s="10">
        <f>1.25*Z210*$D$2*(J210-(1.25*Z210*$D$2/(0.85*$B$2*(D210*1000)))/2)/1000000</f>
        <v>101.4672613</v>
      </c>
      <c r="AM210" s="10">
        <f>(AK210+AL210)/B210</f>
        <v>72.47661523</v>
      </c>
      <c r="AN210" s="10">
        <f>MAX(H210,AM210)</f>
        <v>72.47661523</v>
      </c>
    </row>
    <row r="211">
      <c r="A211" s="5" t="inlineStr">
        <is>
          <t>F218</t>
        </is>
      </c>
      <c r="B211" s="6" t="n">
        <v>4.18</v>
      </c>
      <c r="C211" s="7" t="inlineStr">
        <is>
          <t>VR</t>
        </is>
      </c>
      <c r="D211" s="8">
        <f>IF(C211="VR",0.35,0.30)</f>
        <v>0.35</v>
      </c>
      <c r="E211" s="6" t="n">
        <v>0.4</v>
      </c>
      <c r="F211" s="9" t="n">
        <v>78</v>
      </c>
      <c r="G211" s="9" t="n">
        <v>26.2</v>
      </c>
      <c r="H211" s="9" t="n">
        <v>79.2</v>
      </c>
      <c r="I211" s="6" t="n">
        <v>0.36</v>
      </c>
      <c r="J211" s="10">
        <f>E211*1000-$F$2-$L$2-$H$2/2</f>
        <v>342.55</v>
      </c>
      <c r="K211" s="11">
        <f>F211*1000000/(0.9*(D211*1000)*J211^2)</f>
        <v>2.109449033</v>
      </c>
      <c r="L211" s="12">
        <f>(0.85*$B$2/$D$2)*(1-SQRT(1-2*K211/(0.85*$B$2)))</f>
        <v>0.005267301832</v>
      </c>
      <c r="M211" s="13">
        <f>L211*(D211*1000)*J211</f>
        <v>631.5099849</v>
      </c>
      <c r="N211" s="13">
        <f>MAX(0.25*SQRT($B$2)/$D$2,1.4/$D$2)*(D211*1000)*J211</f>
        <v>399.6416667</v>
      </c>
      <c r="O211" s="13">
        <f>MAX(M211,N211)</f>
        <v>631.5099849</v>
      </c>
      <c r="P211" s="14">
        <f>ROUNDUP(O211/$J$2,0)</f>
        <v>4</v>
      </c>
      <c r="Q211" s="13">
        <f>P211*$J$2</f>
        <v>796</v>
      </c>
      <c r="R211" s="10">
        <f>Q211*$D$2/(0.85*$B$2*(D211*1000))</f>
        <v>40.13445378</v>
      </c>
      <c r="S211" s="10">
        <f>0.9*Q211*$D$2*(J211-R211/2)/1000000</f>
        <v>97.03119664</v>
      </c>
      <c r="T211" s="15" t="str">
        <f>IF(AND(S211&gt;=F211,O211&lt;=0.025*(D211*1000)*J211,O211&gt;=N211),"CUMPLE","REVISAR")</f>
        <v>CUMPLE</v>
      </c>
      <c r="U211" s="11">
        <f>G211*1000000/(0.9*(D211*1000)*J211^2)</f>
        <v>0.7096427874</v>
      </c>
      <c r="V211" s="12">
        <f>(0.85*$B$2/$D$2)*(1-SQRT(1-2*U211/(0.85*$B$2)))</f>
        <v>0.001715595701</v>
      </c>
      <c r="W211" s="13">
        <f>V211*(D211*1000)*J211</f>
        <v>205.6870576</v>
      </c>
      <c r="X211" s="13">
        <f>MAX(W211,N211)</f>
        <v>399.6416667</v>
      </c>
      <c r="Y211" s="14">
        <f>ROUNDUP(X211/$J$2,0)</f>
        <v>3</v>
      </c>
      <c r="Z211" s="13">
        <f>Y211*$J$2</f>
        <v>597</v>
      </c>
      <c r="AA211" s="10">
        <f>0.9*Z211*$D$2*(J211-(Z211*$D$2/(0.85*$B$2*(D211*1000)))/2)/1000000</f>
        <v>73.90552018</v>
      </c>
      <c r="AB211" s="15" t="str">
        <f>IF(AA211&gt;=G211,"CUMPLE","REVISAR")</f>
        <v>CUMPLE</v>
      </c>
      <c r="AC211" s="10">
        <f>0.17*SQRT($B$2)*(D211*1000)*J211/1000</f>
        <v>107.8499513</v>
      </c>
      <c r="AD211" s="10">
        <f>MAX(H211/0.75-AC211,0)</f>
        <v>0</v>
      </c>
      <c r="AE211" s="14">
        <f>IF(AD211&gt;0,MIN($N$2*$D$2*J211/(AD211*1000),MIN(J211/4,6*$H$2,150)),MIN(J211/4,6*$H$2,150))</f>
        <v>85.6375</v>
      </c>
      <c r="AF211" s="10">
        <f>0.66*SQRT($B$2)*(D211*1000)*J211/1000</f>
        <v>418.7115756</v>
      </c>
      <c r="AG211" s="15" t="str">
        <f>IF(AD211&lt;=AF211,"CUMPLE","AUMENTAR SECCION")</f>
        <v>CUMPLE</v>
      </c>
      <c r="AH211" s="10">
        <f>0.75*0.083*SQRT($B$2)*(((D211*1000)*(E211*1000))^2/(2*((D211*1000)+(E211*1000))))/1000000</f>
        <v>4.304108233</v>
      </c>
      <c r="AI211" s="15" t="str">
        <f>IF(I211&gt;AH211,"SI","No")</f>
        <v>No</v>
      </c>
      <c r="AJ211" s="11">
        <f>IF(I211&gt;AH211,I211*1000000/(0.75*2*0.85*((D211*1000-2*$F$2)*(E211*1000-2*$F$2))*$D$2),0)</f>
        <v>0</v>
      </c>
      <c r="AK211" s="10">
        <f>1.25*Q211*$D$2*(J211-(1.25*Q211*$D$2/(0.85*$B$2*(D211*1000)))/2)/1000000</f>
        <v>132.6690274</v>
      </c>
      <c r="AL211" s="10">
        <f>1.25*Z211*$D$2*(J211-(1.25*Z211*$D$2/(0.85*$B$2*(D211*1000)))/2)/1000000</f>
        <v>101.4672613</v>
      </c>
      <c r="AM211" s="10">
        <f>(AK211+AL211)/B211</f>
        <v>56.06711894</v>
      </c>
      <c r="AN211" s="10">
        <f>MAX(H211,AM211)</f>
        <v>79.22</v>
      </c>
    </row>
    <row r="212">
      <c r="A212" s="5" t="inlineStr">
        <is>
          <t>F219</t>
        </is>
      </c>
      <c r="B212" s="6" t="n">
        <v>2.5</v>
      </c>
      <c r="C212" s="7" t="inlineStr">
        <is>
          <t>VC</t>
        </is>
      </c>
      <c r="D212" s="8">
        <f>IF(C212="VR",0.35,0.30)</f>
        <v>0.3</v>
      </c>
      <c r="E212" s="6" t="n">
        <v>0.4</v>
      </c>
      <c r="F212" s="9" t="n">
        <v>27.7</v>
      </c>
      <c r="G212" s="9" t="n">
        <v>9.5</v>
      </c>
      <c r="H212" s="9" t="n">
        <v>48.6</v>
      </c>
      <c r="I212" s="6" t="n">
        <v>0.42</v>
      </c>
      <c r="J212" s="10">
        <f>E212*1000-$F$2-$L$2-$H$2/2</f>
        <v>342.55</v>
      </c>
      <c r="K212" s="11">
        <f>F212*1000000/(0.9*(D212*1000)*J212^2)</f>
        <v>0.8733683536</v>
      </c>
      <c r="L212" s="12">
        <f>(0.85*$B$2/$D$2)*(1-SQRT(1-2*K212/(0.85*$B$2)))</f>
        <v>0.002119070152</v>
      </c>
      <c r="M212" s="13">
        <f>L212*(D212*1000)*J212</f>
        <v>217.7662442</v>
      </c>
      <c r="N212" s="13">
        <f>MAX(0.25*SQRT($B$2)/$D$2,1.4/$D$2)*(D212*1000)*J212</f>
        <v>342.55</v>
      </c>
      <c r="O212" s="13">
        <f>MAX(M212,N212)</f>
        <v>342.55</v>
      </c>
      <c r="P212" s="14">
        <f>ROUNDUP(O212/$J$2,0)</f>
        <v>2</v>
      </c>
      <c r="Q212" s="13">
        <f>P212*$J$2</f>
        <v>398</v>
      </c>
      <c r="R212" s="10">
        <f>Q212*$D$2/(0.85*$B$2*(D212*1000))</f>
        <v>23.41176471</v>
      </c>
      <c r="S212" s="10">
        <f>0.9*Q212*$D$2*(J212-R212/2)/1000000</f>
        <v>49.77351244</v>
      </c>
      <c r="T212" s="15" t="str">
        <f>IF(AND(S212&gt;=F212,O212&lt;=0.025*(D212*1000)*J212,O212&gt;=N212),"CUMPLE","REVISAR")</f>
        <v>CUMPLE</v>
      </c>
      <c r="U212" s="11">
        <f>G212*1000000/(0.9*(D212*1000)*J212^2)</f>
        <v>0.299855416</v>
      </c>
      <c r="V212" s="12">
        <f>(0.85*$B$2/$D$2)*(1-SQRT(1-2*U212/(0.85*$B$2)))</f>
        <v>0.0007184965009</v>
      </c>
      <c r="W212" s="13">
        <f>V212*(D212*1000)*J212</f>
        <v>73.83629291</v>
      </c>
      <c r="X212" s="13">
        <f>MAX(W212,N212)</f>
        <v>342.55</v>
      </c>
      <c r="Y212" s="14">
        <f>ROUNDUP(X212/$J$2,0)</f>
        <v>2</v>
      </c>
      <c r="Z212" s="13">
        <f>Y212*$J$2</f>
        <v>398</v>
      </c>
      <c r="AA212" s="10">
        <f>0.9*Z212*$D$2*(J212-(Z212*$D$2/(0.85*$B$2*(D212*1000)))/2)/1000000</f>
        <v>49.77351244</v>
      </c>
      <c r="AB212" s="15" t="str">
        <f>IF(AA212&gt;=G212,"CUMPLE","REVISAR")</f>
        <v>CUMPLE</v>
      </c>
      <c r="AC212" s="10">
        <f>0.17*SQRT($B$2)*(D212*1000)*J212/1000</f>
        <v>92.44281538</v>
      </c>
      <c r="AD212" s="10">
        <f>MAX(H212/0.75-AC212,0)</f>
        <v>0</v>
      </c>
      <c r="AE212" s="14">
        <f>IF(AD212&gt;0,MIN($N$2*$D$2*J212/(AD212*1000),MIN(J212/4,6*$H$2,150)),MIN(J212/4,6*$H$2,150))</f>
        <v>85.6375</v>
      </c>
      <c r="AF212" s="10">
        <f>0.66*SQRT($B$2)*(D212*1000)*J212/1000</f>
        <v>358.8956362</v>
      </c>
      <c r="AG212" s="15" t="str">
        <f>IF(AD212&lt;=AF212,"CUMPLE","AUMENTAR SECCION")</f>
        <v>CUMPLE</v>
      </c>
      <c r="AH212" s="10">
        <f>0.75*0.083*SQRT($B$2)*(((D212*1000)*(E212*1000))^2/(2*((D212*1000)+(E212*1000))))/1000000</f>
        <v>3.388073536</v>
      </c>
      <c r="AI212" s="15" t="str">
        <f>IF(I212&gt;AH212,"SI","No")</f>
        <v>No</v>
      </c>
      <c r="AJ212" s="11">
        <f>IF(I212&gt;AH212,I212*1000000/(0.75*2*0.85*((D212*1000-2*$F$2)*(E212*1000-2*$F$2))*$D$2),0)</f>
        <v>0</v>
      </c>
      <c r="AK212" s="10">
        <f>1.25*Q212*$D$2*(J212-(1.25*Q212*$D$2/(0.85*$B$2*(D212*1000)))/2)/1000000</f>
        <v>68.51839235</v>
      </c>
      <c r="AL212" s="10">
        <f>1.25*Z212*$D$2*(J212-(1.25*Z212*$D$2/(0.85*$B$2*(D212*1000)))/2)/1000000</f>
        <v>68.51839235</v>
      </c>
      <c r="AM212" s="10">
        <f>(AK212+AL212)/B212</f>
        <v>54.81471388</v>
      </c>
      <c r="AN212" s="10">
        <f>MAX(H212,AM212)</f>
        <v>54.81471388</v>
      </c>
    </row>
    <row r="213">
      <c r="A213" s="5" t="inlineStr">
        <is>
          <t>F220</t>
        </is>
      </c>
      <c r="B213" s="6" t="n">
        <v>2.6</v>
      </c>
      <c r="C213" s="7" t="inlineStr">
        <is>
          <t>VC</t>
        </is>
      </c>
      <c r="D213" s="8">
        <f>IF(C213="VR",0.35,0.30)</f>
        <v>0.3</v>
      </c>
      <c r="E213" s="6" t="n">
        <v>0.4</v>
      </c>
      <c r="F213" s="9" t="n">
        <v>22.1</v>
      </c>
      <c r="G213" s="9" t="n">
        <v>12.7</v>
      </c>
      <c r="H213" s="9" t="n">
        <v>47.1</v>
      </c>
      <c r="I213" s="6" t="n">
        <v>1.87</v>
      </c>
      <c r="J213" s="10">
        <f>E213*1000-$F$2-$L$2-$H$2/2</f>
        <v>342.55</v>
      </c>
      <c r="K213" s="11">
        <f>F213*1000000/(0.9*(D213*1000)*J213^2)</f>
        <v>0.6991365751</v>
      </c>
      <c r="L213" s="12">
        <f>(0.85*$B$2/$D$2)*(1-SQRT(1-2*K213/(0.85*$B$2)))</f>
        <v>0.00168980599</v>
      </c>
      <c r="M213" s="13">
        <f>L213*(D213*1000)*J213</f>
        <v>173.6529125</v>
      </c>
      <c r="N213" s="13">
        <f>MAX(0.25*SQRT($B$2)/$D$2,1.4/$D$2)*(D213*1000)*J213</f>
        <v>342.55</v>
      </c>
      <c r="O213" s="13">
        <f>MAX(M213,N213)</f>
        <v>342.55</v>
      </c>
      <c r="P213" s="14">
        <f>ROUNDUP(O213/$J$2,0)</f>
        <v>2</v>
      </c>
      <c r="Q213" s="13">
        <f>P213*$J$2</f>
        <v>398</v>
      </c>
      <c r="R213" s="10">
        <f>Q213*$D$2/(0.85*$B$2*(D213*1000))</f>
        <v>23.41176471</v>
      </c>
      <c r="S213" s="10">
        <f>0.9*Q213*$D$2*(J213-R213/2)/1000000</f>
        <v>49.77351244</v>
      </c>
      <c r="T213" s="15" t="str">
        <f>IF(AND(S213&gt;=F213,O213&lt;=0.025*(D213*1000)*J213,O213&gt;=N213),"CUMPLE","REVISAR")</f>
        <v>CUMPLE</v>
      </c>
      <c r="U213" s="11">
        <f>G213*1000000/(0.9*(D213*1000)*J213^2)</f>
        <v>0.3992811591</v>
      </c>
      <c r="V213" s="12">
        <f>(0.85*$B$2/$D$2)*(1-SQRT(1-2*U213/(0.85*$B$2)))</f>
        <v>0.0009587805453</v>
      </c>
      <c r="W213" s="13">
        <f>V213*(D213*1000)*J213</f>
        <v>98.52908274</v>
      </c>
      <c r="X213" s="13">
        <f>MAX(W213,N213)</f>
        <v>342.55</v>
      </c>
      <c r="Y213" s="14">
        <f>ROUNDUP(X213/$J$2,0)</f>
        <v>2</v>
      </c>
      <c r="Z213" s="13">
        <f>Y213*$J$2</f>
        <v>398</v>
      </c>
      <c r="AA213" s="10">
        <f>0.9*Z213*$D$2*(J213-(Z213*$D$2/(0.85*$B$2*(D213*1000)))/2)/1000000</f>
        <v>49.77351244</v>
      </c>
      <c r="AB213" s="15" t="str">
        <f>IF(AA213&gt;=G213,"CUMPLE","REVISAR")</f>
        <v>CUMPLE</v>
      </c>
      <c r="AC213" s="10">
        <f>0.17*SQRT($B$2)*(D213*1000)*J213/1000</f>
        <v>92.44281538</v>
      </c>
      <c r="AD213" s="10">
        <f>MAX(H213/0.75-AC213,0)</f>
        <v>0</v>
      </c>
      <c r="AE213" s="14">
        <f>IF(AD213&gt;0,MIN($N$2*$D$2*J213/(AD213*1000),MIN(J213/4,6*$H$2,150)),MIN(J213/4,6*$H$2,150))</f>
        <v>85.6375</v>
      </c>
      <c r="AF213" s="10">
        <f>0.66*SQRT($B$2)*(D213*1000)*J213/1000</f>
        <v>358.8956362</v>
      </c>
      <c r="AG213" s="15" t="str">
        <f>IF(AD213&lt;=AF213,"CUMPLE","AUMENTAR SECCION")</f>
        <v>CUMPLE</v>
      </c>
      <c r="AH213" s="10">
        <f>0.75*0.083*SQRT($B$2)*(((D213*1000)*(E213*1000))^2/(2*((D213*1000)+(E213*1000))))/1000000</f>
        <v>3.388073536</v>
      </c>
      <c r="AI213" s="15" t="str">
        <f>IF(I213&gt;AH213,"SI","No")</f>
        <v>No</v>
      </c>
      <c r="AJ213" s="11">
        <f>IF(I213&gt;AH213,I213*1000000/(0.75*2*0.85*((D213*1000-2*$F$2)*(E213*1000-2*$F$2))*$D$2),0)</f>
        <v>0</v>
      </c>
      <c r="AK213" s="10">
        <f>1.25*Q213*$D$2*(J213-(1.25*Q213*$D$2/(0.85*$B$2*(D213*1000)))/2)/1000000</f>
        <v>68.51839235</v>
      </c>
      <c r="AL213" s="10">
        <f>1.25*Z213*$D$2*(J213-(1.25*Z213*$D$2/(0.85*$B$2*(D213*1000)))/2)/1000000</f>
        <v>68.51839235</v>
      </c>
      <c r="AM213" s="10">
        <f>(AK213+AL213)/B213</f>
        <v>52.70645566</v>
      </c>
      <c r="AN213" s="10">
        <f>MAX(H213,AM213)</f>
        <v>52.70645566</v>
      </c>
    </row>
    <row r="214">
      <c r="A214" s="5" t="inlineStr">
        <is>
          <t>F221</t>
        </is>
      </c>
      <c r="B214" s="6" t="n">
        <v>3.65</v>
      </c>
      <c r="C214" s="7" t="inlineStr">
        <is>
          <t>VR</t>
        </is>
      </c>
      <c r="D214" s="8">
        <f>IF(C214="VR",0.35,0.30)</f>
        <v>0.35</v>
      </c>
      <c r="E214" s="6" t="n">
        <v>0.4</v>
      </c>
      <c r="F214" s="9" t="n">
        <v>38.5</v>
      </c>
      <c r="G214" s="9" t="n">
        <v>23.8</v>
      </c>
      <c r="H214" s="9" t="n">
        <v>110.5</v>
      </c>
      <c r="I214" s="6" t="n">
        <v>5.99</v>
      </c>
      <c r="J214" s="10">
        <f>E214*1000-$F$2-$L$2-$H$2/2</f>
        <v>342.55</v>
      </c>
      <c r="K214" s="11">
        <f>F214*1000000/(0.9*(D214*1000)*J214^2)</f>
        <v>1.040250293</v>
      </c>
      <c r="L214" s="12">
        <f>(0.85*$B$2/$D$2)*(1-SQRT(1-2*K214/(0.85*$B$2)))</f>
        <v>0.002533417631</v>
      </c>
      <c r="M214" s="13">
        <f>L214*(D214*1000)*J214</f>
        <v>303.7377733</v>
      </c>
      <c r="N214" s="13">
        <f>MAX(0.25*SQRT($B$2)/$D$2,1.4/$D$2)*(D214*1000)*J214</f>
        <v>399.6416667</v>
      </c>
      <c r="O214" s="13">
        <f>MAX(M214,N214)</f>
        <v>399.6416667</v>
      </c>
      <c r="P214" s="14">
        <f>ROUNDUP(O214/$J$2,0)</f>
        <v>3</v>
      </c>
      <c r="Q214" s="13">
        <f>P214*$J$2</f>
        <v>597</v>
      </c>
      <c r="R214" s="10">
        <f>Q214*$D$2/(0.85*$B$2*(D214*1000))</f>
        <v>30.10084034</v>
      </c>
      <c r="S214" s="10">
        <f>0.9*Q214*$D$2*(J214-R214/2)/1000000</f>
        <v>73.90552018</v>
      </c>
      <c r="T214" s="15" t="str">
        <f>IF(AND(S214&gt;=F214,O214&lt;=0.025*(D214*1000)*J214,O214&gt;=N214),"CUMPLE","REVISAR")</f>
        <v>CUMPLE</v>
      </c>
      <c r="U214" s="11">
        <f>G214*1000000/(0.9*(D214*1000)*J214^2)</f>
        <v>0.6439000511</v>
      </c>
      <c r="V214" s="12">
        <f>(0.85*$B$2/$D$2)*(1-SQRT(1-2*U214/(0.85*$B$2)))</f>
        <v>0.001554414819</v>
      </c>
      <c r="W214" s="13">
        <f>V214*(D214*1000)*J214</f>
        <v>186.3626787</v>
      </c>
      <c r="X214" s="13">
        <f>MAX(W214,N214)</f>
        <v>399.6416667</v>
      </c>
      <c r="Y214" s="14">
        <f>ROUNDUP(X214/$J$2,0)</f>
        <v>3</v>
      </c>
      <c r="Z214" s="13">
        <f>Y214*$J$2</f>
        <v>597</v>
      </c>
      <c r="AA214" s="10">
        <f>0.9*Z214*$D$2*(J214-(Z214*$D$2/(0.85*$B$2*(D214*1000)))/2)/1000000</f>
        <v>73.90552018</v>
      </c>
      <c r="AB214" s="15" t="str">
        <f>IF(AA214&gt;=G214,"CUMPLE","REVISAR")</f>
        <v>CUMPLE</v>
      </c>
      <c r="AC214" s="10">
        <f>0.17*SQRT($B$2)*(D214*1000)*J214/1000</f>
        <v>107.8499513</v>
      </c>
      <c r="AD214" s="10">
        <f>MAX(H214/0.75-AC214,0)</f>
        <v>39.47004872</v>
      </c>
      <c r="AE214" s="14">
        <f>IF(AD214&gt;0,MIN($N$2*$D$2*J214/(AD214*1000),MIN(J214/4,6*$H$2,150)),MIN(J214/4,6*$H$2,150))</f>
        <v>85.6375</v>
      </c>
      <c r="AF214" s="10">
        <f>0.66*SQRT($B$2)*(D214*1000)*J214/1000</f>
        <v>418.7115756</v>
      </c>
      <c r="AG214" s="15" t="str">
        <f>IF(AD214&lt;=AF214,"CUMPLE","AUMENTAR SECCION")</f>
        <v>CUMPLE</v>
      </c>
      <c r="AH214" s="10">
        <f>0.75*0.083*SQRT($B$2)*(((D214*1000)*(E214*1000))^2/(2*((D214*1000)+(E214*1000))))/1000000</f>
        <v>4.304108233</v>
      </c>
      <c r="AI214" s="15" t="str">
        <f>IF(I214&gt;AH214,"SI","No")</f>
        <v>SI</v>
      </c>
      <c r="AJ214" s="11">
        <f>IF(I214&gt;AH214,I214*1000000/(0.75*2*0.85*((D214*1000-2*$F$2)*(E214*1000-2*$F$2))*$D$2),0)</f>
        <v>0.1293572985</v>
      </c>
      <c r="AK214" s="10">
        <f>1.25*Q214*$D$2*(J214-(1.25*Q214*$D$2/(0.85*$B$2*(D214*1000)))/2)/1000000</f>
        <v>101.4672613</v>
      </c>
      <c r="AL214" s="10">
        <f>1.25*Z214*$D$2*(J214-(1.25*Z214*$D$2/(0.85*$B$2*(D214*1000)))/2)/1000000</f>
        <v>101.4672613</v>
      </c>
      <c r="AM214" s="10">
        <f>(AK214+AL214)/B214</f>
        <v>55.55283949</v>
      </c>
      <c r="AN214" s="10">
        <f>MAX(H214,AM214)</f>
        <v>110.49</v>
      </c>
    </row>
    <row r="215">
      <c r="A215" s="5" t="inlineStr">
        <is>
          <t>F222</t>
        </is>
      </c>
      <c r="B215" s="6" t="n">
        <v>2.6</v>
      </c>
      <c r="C215" s="7" t="inlineStr">
        <is>
          <t>VC</t>
        </is>
      </c>
      <c r="D215" s="8">
        <f>IF(C215="VR",0.35,0.30)</f>
        <v>0.3</v>
      </c>
      <c r="E215" s="6" t="n">
        <v>0.4</v>
      </c>
      <c r="F215" s="9" t="n">
        <v>26.2</v>
      </c>
      <c r="G215" s="9" t="n">
        <v>8.9</v>
      </c>
      <c r="H215" s="9" t="n">
        <v>46.2</v>
      </c>
      <c r="I215" s="6" t="n">
        <v>0.44</v>
      </c>
      <c r="J215" s="10">
        <f>E215*1000-$F$2-$L$2-$H$2/2</f>
        <v>342.55</v>
      </c>
      <c r="K215" s="11">
        <f>F215*1000000/(0.9*(D215*1000)*J215^2)</f>
        <v>0.8285478599</v>
      </c>
      <c r="L215" s="12">
        <f>(0.85*$B$2/$D$2)*(1-SQRT(1-2*K215/(0.85*$B$2)))</f>
        <v>0.002008321426</v>
      </c>
      <c r="M215" s="13">
        <f>L215*(D215*1000)*J215</f>
        <v>206.3851513</v>
      </c>
      <c r="N215" s="13">
        <f>MAX(0.25*SQRT($B$2)/$D$2,1.4/$D$2)*(D215*1000)*J215</f>
        <v>342.55</v>
      </c>
      <c r="O215" s="13">
        <f>MAX(M215,N215)</f>
        <v>342.55</v>
      </c>
      <c r="P215" s="14">
        <f>ROUNDUP(O215/$J$2,0)</f>
        <v>2</v>
      </c>
      <c r="Q215" s="13">
        <f>P215*$J$2</f>
        <v>398</v>
      </c>
      <c r="R215" s="10">
        <f>Q215*$D$2/(0.85*$B$2*(D215*1000))</f>
        <v>23.41176471</v>
      </c>
      <c r="S215" s="10">
        <f>0.9*Q215*$D$2*(J215-R215/2)/1000000</f>
        <v>49.77351244</v>
      </c>
      <c r="T215" s="15" t="str">
        <f>IF(AND(S215&gt;=F215,O215&lt;=0.025*(D215*1000)*J215,O215&gt;=N215),"CUMPLE","REVISAR")</f>
        <v>CUMPLE</v>
      </c>
      <c r="U215" s="11">
        <f>G215*1000000/(0.9*(D215*1000)*J215^2)</f>
        <v>0.281864091</v>
      </c>
      <c r="V215" s="12">
        <f>(0.85*$B$2/$D$2)*(1-SQRT(1-2*U215/(0.85*$B$2)))</f>
        <v>0.0006751267086</v>
      </c>
      <c r="W215" s="13">
        <f>V215*(D215*1000)*J215</f>
        <v>69.37939621</v>
      </c>
      <c r="X215" s="13">
        <f>MAX(W215,N215)</f>
        <v>342.55</v>
      </c>
      <c r="Y215" s="14">
        <f>ROUNDUP(X215/$J$2,0)</f>
        <v>2</v>
      </c>
      <c r="Z215" s="13">
        <f>Y215*$J$2</f>
        <v>398</v>
      </c>
      <c r="AA215" s="10">
        <f>0.9*Z215*$D$2*(J215-(Z215*$D$2/(0.85*$B$2*(D215*1000)))/2)/1000000</f>
        <v>49.77351244</v>
      </c>
      <c r="AB215" s="15" t="str">
        <f>IF(AA215&gt;=G215,"CUMPLE","REVISAR")</f>
        <v>CUMPLE</v>
      </c>
      <c r="AC215" s="10">
        <f>0.17*SQRT($B$2)*(D215*1000)*J215/1000</f>
        <v>92.44281538</v>
      </c>
      <c r="AD215" s="10">
        <f>MAX(H215/0.75-AC215,0)</f>
        <v>0</v>
      </c>
      <c r="AE215" s="14">
        <f>IF(AD215&gt;0,MIN($N$2*$D$2*J215/(AD215*1000),MIN(J215/4,6*$H$2,150)),MIN(J215/4,6*$H$2,150))</f>
        <v>85.6375</v>
      </c>
      <c r="AF215" s="10">
        <f>0.66*SQRT($B$2)*(D215*1000)*J215/1000</f>
        <v>358.8956362</v>
      </c>
      <c r="AG215" s="15" t="str">
        <f>IF(AD215&lt;=AF215,"CUMPLE","AUMENTAR SECCION")</f>
        <v>CUMPLE</v>
      </c>
      <c r="AH215" s="10">
        <f>0.75*0.083*SQRT($B$2)*(((D215*1000)*(E215*1000))^2/(2*((D215*1000)+(E215*1000))))/1000000</f>
        <v>3.388073536</v>
      </c>
      <c r="AI215" s="15" t="str">
        <f>IF(I215&gt;AH215,"SI","No")</f>
        <v>No</v>
      </c>
      <c r="AJ215" s="11">
        <f>IF(I215&gt;AH215,I215*1000000/(0.75*2*0.85*((D215*1000-2*$F$2)*(E215*1000-2*$F$2))*$D$2),0)</f>
        <v>0</v>
      </c>
      <c r="AK215" s="10">
        <f>1.25*Q215*$D$2*(J215-(1.25*Q215*$D$2/(0.85*$B$2*(D215*1000)))/2)/1000000</f>
        <v>68.51839235</v>
      </c>
      <c r="AL215" s="10">
        <f>1.25*Z215*$D$2*(J215-(1.25*Z215*$D$2/(0.85*$B$2*(D215*1000)))/2)/1000000</f>
        <v>68.51839235</v>
      </c>
      <c r="AM215" s="10">
        <f>(AK215+AL215)/B215</f>
        <v>52.70645566</v>
      </c>
      <c r="AN215" s="10">
        <f>MAX(H215,AM215)</f>
        <v>52.70645566</v>
      </c>
    </row>
    <row r="216">
      <c r="A216" s="5" t="inlineStr">
        <is>
          <t>F223</t>
        </is>
      </c>
      <c r="B216" s="6" t="n">
        <v>2.95</v>
      </c>
      <c r="C216" s="7" t="inlineStr">
        <is>
          <t>VR</t>
        </is>
      </c>
      <c r="D216" s="8">
        <f>IF(C216="VR",0.35,0.30)</f>
        <v>0.35</v>
      </c>
      <c r="E216" s="6" t="n">
        <v>0.4</v>
      </c>
      <c r="F216" s="9" t="n">
        <v>52.3</v>
      </c>
      <c r="G216" s="9" t="n">
        <v>17.4</v>
      </c>
      <c r="H216" s="9" t="n">
        <v>90</v>
      </c>
      <c r="I216" s="6" t="n">
        <v>1.45</v>
      </c>
      <c r="J216" s="10">
        <f>E216*1000-$F$2-$L$2-$H$2/2</f>
        <v>342.55</v>
      </c>
      <c r="K216" s="11">
        <f>F216*1000000/(0.9*(D216*1000)*J216^2)</f>
        <v>1.414415742</v>
      </c>
      <c r="L216" s="12">
        <f>(0.85*$B$2/$D$2)*(1-SQRT(1-2*K216/(0.85*$B$2)))</f>
        <v>0.003474154308</v>
      </c>
      <c r="M216" s="13">
        <f>L216*(D216*1000)*J216</f>
        <v>416.5250453</v>
      </c>
      <c r="N216" s="13">
        <f>MAX(0.25*SQRT($B$2)/$D$2,1.4/$D$2)*(D216*1000)*J216</f>
        <v>399.6416667</v>
      </c>
      <c r="O216" s="13">
        <f>MAX(M216,N216)</f>
        <v>416.5250453</v>
      </c>
      <c r="P216" s="14">
        <f>ROUNDUP(O216/$J$2,0)</f>
        <v>3</v>
      </c>
      <c r="Q216" s="13">
        <f>P216*$J$2</f>
        <v>597</v>
      </c>
      <c r="R216" s="10">
        <f>Q216*$D$2/(0.85*$B$2*(D216*1000))</f>
        <v>30.10084034</v>
      </c>
      <c r="S216" s="10">
        <f>0.9*Q216*$D$2*(J216-R216/2)/1000000</f>
        <v>73.90552018</v>
      </c>
      <c r="T216" s="15" t="str">
        <f>IF(AND(S216&gt;=F216,O216&lt;=0.025*(D216*1000)*J216,O216&gt;=N216),"CUMPLE","REVISAR")</f>
        <v>CUMPLE</v>
      </c>
      <c r="U216" s="11">
        <f>G216*1000000/(0.9*(D216*1000)*J216^2)</f>
        <v>0.4715620962</v>
      </c>
      <c r="V216" s="12">
        <f>(0.85*$B$2/$D$2)*(1-SQRT(1-2*U216/(0.85*$B$2)))</f>
        <v>0.001134115886</v>
      </c>
      <c r="W216" s="13">
        <f>V216*(D216*1000)*J216</f>
        <v>135.9719888</v>
      </c>
      <c r="X216" s="13">
        <f>MAX(W216,N216)</f>
        <v>399.6416667</v>
      </c>
      <c r="Y216" s="14">
        <f>ROUNDUP(X216/$J$2,0)</f>
        <v>3</v>
      </c>
      <c r="Z216" s="13">
        <f>Y216*$J$2</f>
        <v>597</v>
      </c>
      <c r="AA216" s="10">
        <f>0.9*Z216*$D$2*(J216-(Z216*$D$2/(0.85*$B$2*(D216*1000)))/2)/1000000</f>
        <v>73.90552018</v>
      </c>
      <c r="AB216" s="15" t="str">
        <f>IF(AA216&gt;=G216,"CUMPLE","REVISAR")</f>
        <v>CUMPLE</v>
      </c>
      <c r="AC216" s="10">
        <f>0.17*SQRT($B$2)*(D216*1000)*J216/1000</f>
        <v>107.8499513</v>
      </c>
      <c r="AD216" s="10">
        <f>MAX(H216/0.75-AC216,0)</f>
        <v>12.19004872</v>
      </c>
      <c r="AE216" s="14">
        <f>IF(AD216&gt;0,MIN($N$2*$D$2*J216/(AD216*1000),MIN(J216/4,6*$H$2,150)),MIN(J216/4,6*$H$2,150))</f>
        <v>85.6375</v>
      </c>
      <c r="AF216" s="10">
        <f>0.66*SQRT($B$2)*(D216*1000)*J216/1000</f>
        <v>418.7115756</v>
      </c>
      <c r="AG216" s="15" t="str">
        <f>IF(AD216&lt;=AF216,"CUMPLE","AUMENTAR SECCION")</f>
        <v>CUMPLE</v>
      </c>
      <c r="AH216" s="10">
        <f>0.75*0.083*SQRT($B$2)*(((D216*1000)*(E216*1000))^2/(2*((D216*1000)+(E216*1000))))/1000000</f>
        <v>4.304108233</v>
      </c>
      <c r="AI216" s="15" t="str">
        <f>IF(I216&gt;AH216,"SI","No")</f>
        <v>No</v>
      </c>
      <c r="AJ216" s="11">
        <f>IF(I216&gt;AH216,I216*1000000/(0.75*2*0.85*((D216*1000-2*$F$2)*(E216*1000-2*$F$2))*$D$2),0)</f>
        <v>0</v>
      </c>
      <c r="AK216" s="10">
        <f>1.25*Q216*$D$2*(J216-(1.25*Q216*$D$2/(0.85*$B$2*(D216*1000)))/2)/1000000</f>
        <v>101.4672613</v>
      </c>
      <c r="AL216" s="10">
        <f>1.25*Z216*$D$2*(J216-(1.25*Z216*$D$2/(0.85*$B$2*(D216*1000)))/2)/1000000</f>
        <v>101.4672613</v>
      </c>
      <c r="AM216" s="10">
        <f>(AK216+AL216)/B216</f>
        <v>68.79136361</v>
      </c>
      <c r="AN216" s="10">
        <f>MAX(H216,AM216)</f>
        <v>90.03</v>
      </c>
    </row>
    <row r="217">
      <c r="A217" s="5" t="inlineStr">
        <is>
          <t>F224</t>
        </is>
      </c>
      <c r="B217" s="6" t="n">
        <v>2.6</v>
      </c>
      <c r="C217" s="7" t="inlineStr">
        <is>
          <t>VC</t>
        </is>
      </c>
      <c r="D217" s="8">
        <f>IF(C217="VR",0.35,0.30)</f>
        <v>0.3</v>
      </c>
      <c r="E217" s="6" t="n">
        <v>0.4</v>
      </c>
      <c r="F217" s="9" t="n">
        <v>90.90000000000001</v>
      </c>
      <c r="G217" s="9" t="n">
        <v>80.8</v>
      </c>
      <c r="H217" s="9" t="n">
        <v>145.8</v>
      </c>
      <c r="I217" s="6" t="n">
        <v>1.45</v>
      </c>
      <c r="J217" s="10">
        <f>E217*1000-$F$2-$L$2-$H$2/2</f>
        <v>342.55</v>
      </c>
      <c r="K217" s="11">
        <f>F217*1000000/(0.9*(D217*1000)*J217^2)</f>
        <v>2.870405424</v>
      </c>
      <c r="L217" s="12">
        <f>(0.85*$B$2/$D$2)*(1-SQRT(1-2*K217/(0.85*$B$2)))</f>
        <v>0.007305170877</v>
      </c>
      <c r="M217" s="13">
        <f>L217*(D217*1000)*J217</f>
        <v>750.7158852</v>
      </c>
      <c r="N217" s="13">
        <f>MAX(0.25*SQRT($B$2)/$D$2,1.4/$D$2)*(D217*1000)*J217</f>
        <v>342.55</v>
      </c>
      <c r="O217" s="13">
        <f>MAX(M217,N217)</f>
        <v>750.7158852</v>
      </c>
      <c r="P217" s="14">
        <f>ROUNDUP(O217/$J$2,0)</f>
        <v>4</v>
      </c>
      <c r="Q217" s="13">
        <f>P217*$J$2</f>
        <v>796</v>
      </c>
      <c r="R217" s="10">
        <f>Q217*$D$2/(0.85*$B$2*(D217*1000))</f>
        <v>46.82352941</v>
      </c>
      <c r="S217" s="10">
        <f>0.9*Q217*$D$2*(J217-R217/2)/1000000</f>
        <v>96.02486534</v>
      </c>
      <c r="T217" s="15" t="str">
        <f>IF(AND(S217&gt;=F217,O217&lt;=0.025*(D217*1000)*J217,O217&gt;=N217),"CUMPLE","REVISAR")</f>
        <v>CUMPLE</v>
      </c>
      <c r="U217" s="11">
        <f>G217*1000000/(0.9*(D217*1000)*J217^2)</f>
        <v>2.54940231</v>
      </c>
      <c r="V217" s="12">
        <f>(0.85*$B$2/$D$2)*(1-SQRT(1-2*U217/(0.85*$B$2)))</f>
        <v>0.006435429827</v>
      </c>
      <c r="W217" s="13">
        <f>V217*(D217*1000)*J217</f>
        <v>661.3369462</v>
      </c>
      <c r="X217" s="13">
        <f>MAX(W217,N217)</f>
        <v>661.3369462</v>
      </c>
      <c r="Y217" s="14">
        <f>ROUNDUP(X217/$J$2,0)</f>
        <v>4</v>
      </c>
      <c r="Z217" s="13">
        <f>Y217*$J$2</f>
        <v>796</v>
      </c>
      <c r="AA217" s="10">
        <f>0.9*Z217*$D$2*(J217-(Z217*$D$2/(0.85*$B$2*(D217*1000)))/2)/1000000</f>
        <v>96.02486534</v>
      </c>
      <c r="AB217" s="15" t="str">
        <f>IF(AA217&gt;=G217,"CUMPLE","REVISAR")</f>
        <v>CUMPLE</v>
      </c>
      <c r="AC217" s="10">
        <f>0.17*SQRT($B$2)*(D217*1000)*J217/1000</f>
        <v>92.44281538</v>
      </c>
      <c r="AD217" s="10">
        <f>MAX(H217/0.75-AC217,0)</f>
        <v>101.9038513</v>
      </c>
      <c r="AE217" s="14">
        <f>IF(AD217&gt;0,MIN($N$2*$D$2*J217/(AD217*1000),MIN(J217/4,6*$H$2,150)),MIN(J217/4,6*$H$2,150))</f>
        <v>85.6375</v>
      </c>
      <c r="AF217" s="10">
        <f>0.66*SQRT($B$2)*(D217*1000)*J217/1000</f>
        <v>358.8956362</v>
      </c>
      <c r="AG217" s="15" t="str">
        <f>IF(AD217&lt;=AF217,"CUMPLE","AUMENTAR SECCION")</f>
        <v>CUMPLE</v>
      </c>
      <c r="AH217" s="10">
        <f>0.75*0.083*SQRT($B$2)*(((D217*1000)*(E217*1000))^2/(2*((D217*1000)+(E217*1000))))/1000000</f>
        <v>3.388073536</v>
      </c>
      <c r="AI217" s="15" t="str">
        <f>IF(I217&gt;AH217,"SI","No")</f>
        <v>No</v>
      </c>
      <c r="AJ217" s="11">
        <f>IF(I217&gt;AH217,I217*1000000/(0.75*2*0.85*((D217*1000-2*$F$2)*(E217*1000-2*$F$2))*$D$2),0)</f>
        <v>0</v>
      </c>
      <c r="AK217" s="10">
        <f>1.25*Q217*$D$2*(J217-(1.25*Q217*$D$2/(0.85*$B$2*(D217*1000)))/2)/1000000</f>
        <v>130.9219244</v>
      </c>
      <c r="AL217" s="10">
        <f>1.25*Z217*$D$2*(J217-(1.25*Z217*$D$2/(0.85*$B$2*(D217*1000)))/2)/1000000</f>
        <v>130.9219244</v>
      </c>
      <c r="AM217" s="10">
        <f>(AK217+AL217)/B217</f>
        <v>100.7091726</v>
      </c>
      <c r="AN217" s="10">
        <f>MAX(H217,AM217)</f>
        <v>145.76</v>
      </c>
    </row>
    <row r="218">
      <c r="A218" s="5" t="inlineStr">
        <is>
          <t>F225</t>
        </is>
      </c>
      <c r="B218" s="6" t="n">
        <v>2.5</v>
      </c>
      <c r="C218" s="7" t="inlineStr">
        <is>
          <t>VC</t>
        </is>
      </c>
      <c r="D218" s="8">
        <f>IF(C218="VR",0.35,0.30)</f>
        <v>0.3</v>
      </c>
      <c r="E218" s="6" t="n">
        <v>0.4</v>
      </c>
      <c r="F218" s="9" t="n">
        <v>17.2</v>
      </c>
      <c r="G218" s="9" t="n">
        <v>7.4</v>
      </c>
      <c r="H218" s="9" t="n">
        <v>40.2</v>
      </c>
      <c r="I218" s="6" t="n">
        <v>0.03</v>
      </c>
      <c r="J218" s="10">
        <f>E218*1000-$F$2-$L$2-$H$2/2</f>
        <v>342.55</v>
      </c>
      <c r="K218" s="11">
        <f>F218*1000000/(0.9*(D218*1000)*J218^2)</f>
        <v>0.5432117588</v>
      </c>
      <c r="L218" s="12">
        <f>(0.85*$B$2/$D$2)*(1-SQRT(1-2*K218/(0.85*$B$2)))</f>
        <v>0.001308467994</v>
      </c>
      <c r="M218" s="13">
        <f>L218*(D218*1000)*J218</f>
        <v>134.4647134</v>
      </c>
      <c r="N218" s="13">
        <f>MAX(0.25*SQRT($B$2)/$D$2,1.4/$D$2)*(D218*1000)*J218</f>
        <v>342.55</v>
      </c>
      <c r="O218" s="13">
        <f>MAX(M218,N218)</f>
        <v>342.55</v>
      </c>
      <c r="P218" s="14">
        <f>ROUNDUP(O218/$J$2,0)</f>
        <v>2</v>
      </c>
      <c r="Q218" s="13">
        <f>P218*$J$2</f>
        <v>398</v>
      </c>
      <c r="R218" s="10">
        <f>Q218*$D$2/(0.85*$B$2*(D218*1000))</f>
        <v>23.41176471</v>
      </c>
      <c r="S218" s="10">
        <f>0.9*Q218*$D$2*(J218-R218/2)/1000000</f>
        <v>49.77351244</v>
      </c>
      <c r="T218" s="15" t="str">
        <f>IF(AND(S218&gt;=F218,O218&lt;=0.025*(D218*1000)*J218,O218&gt;=N218),"CUMPLE","REVISAR")</f>
        <v>CUMPLE</v>
      </c>
      <c r="U218" s="11">
        <f>G218*1000000/(0.9*(D218*1000)*J218^2)</f>
        <v>0.2338872244</v>
      </c>
      <c r="V218" s="12">
        <f>(0.85*$B$2/$D$2)*(1-SQRT(1-2*U218/(0.85*$B$2)))</f>
        <v>0.0005596378247</v>
      </c>
      <c r="W218" s="13">
        <f>V218*(D218*1000)*J218</f>
        <v>57.51118106</v>
      </c>
      <c r="X218" s="13">
        <f>MAX(W218,N218)</f>
        <v>342.55</v>
      </c>
      <c r="Y218" s="14">
        <f>ROUNDUP(X218/$J$2,0)</f>
        <v>2</v>
      </c>
      <c r="Z218" s="13">
        <f>Y218*$J$2</f>
        <v>398</v>
      </c>
      <c r="AA218" s="10">
        <f>0.9*Z218*$D$2*(J218-(Z218*$D$2/(0.85*$B$2*(D218*1000)))/2)/1000000</f>
        <v>49.77351244</v>
      </c>
      <c r="AB218" s="15" t="str">
        <f>IF(AA218&gt;=G218,"CUMPLE","REVISAR")</f>
        <v>CUMPLE</v>
      </c>
      <c r="AC218" s="10">
        <f>0.17*SQRT($B$2)*(D218*1000)*J218/1000</f>
        <v>92.44281538</v>
      </c>
      <c r="AD218" s="10">
        <f>MAX(H218/0.75-AC218,0)</f>
        <v>0</v>
      </c>
      <c r="AE218" s="14">
        <f>IF(AD218&gt;0,MIN($N$2*$D$2*J218/(AD218*1000),MIN(J218/4,6*$H$2,150)),MIN(J218/4,6*$H$2,150))</f>
        <v>85.6375</v>
      </c>
      <c r="AF218" s="10">
        <f>0.66*SQRT($B$2)*(D218*1000)*J218/1000</f>
        <v>358.8956362</v>
      </c>
      <c r="AG218" s="15" t="str">
        <f>IF(AD218&lt;=AF218,"CUMPLE","AUMENTAR SECCION")</f>
        <v>CUMPLE</v>
      </c>
      <c r="AH218" s="10">
        <f>0.75*0.083*SQRT($B$2)*(((D218*1000)*(E218*1000))^2/(2*((D218*1000)+(E218*1000))))/1000000</f>
        <v>3.388073536</v>
      </c>
      <c r="AI218" s="15" t="str">
        <f>IF(I218&gt;AH218,"SI","No")</f>
        <v>No</v>
      </c>
      <c r="AJ218" s="11">
        <f>IF(I218&gt;AH218,I218*1000000/(0.75*2*0.85*((D218*1000-2*$F$2)*(E218*1000-2*$F$2))*$D$2),0)</f>
        <v>0</v>
      </c>
      <c r="AK218" s="10">
        <f>1.25*Q218*$D$2*(J218-(1.25*Q218*$D$2/(0.85*$B$2*(D218*1000)))/2)/1000000</f>
        <v>68.51839235</v>
      </c>
      <c r="AL218" s="10">
        <f>1.25*Z218*$D$2*(J218-(1.25*Z218*$D$2/(0.85*$B$2*(D218*1000)))/2)/1000000</f>
        <v>68.51839235</v>
      </c>
      <c r="AM218" s="10">
        <f>(AK218+AL218)/B218</f>
        <v>54.81471388</v>
      </c>
      <c r="AN218" s="10">
        <f>MAX(H218,AM218)</f>
        <v>54.81471388</v>
      </c>
    </row>
    <row r="219">
      <c r="A219" s="5" t="inlineStr">
        <is>
          <t>F226</t>
        </is>
      </c>
      <c r="B219" s="6" t="n">
        <v>4</v>
      </c>
      <c r="C219" s="7" t="inlineStr">
        <is>
          <t>VC</t>
        </is>
      </c>
      <c r="D219" s="8">
        <f>IF(C219="VR",0.35,0.30)</f>
        <v>0.3</v>
      </c>
      <c r="E219" s="6" t="n">
        <v>0.4</v>
      </c>
      <c r="F219" s="9" t="n">
        <v>58</v>
      </c>
      <c r="G219" s="9" t="n">
        <v>21.1</v>
      </c>
      <c r="H219" s="9" t="n">
        <v>71.3</v>
      </c>
      <c r="I219" s="6" t="n">
        <v>0.44</v>
      </c>
      <c r="J219" s="10">
        <f>E219*1000-$F$2-$L$2-$H$2/2</f>
        <v>342.55</v>
      </c>
      <c r="K219" s="11">
        <f>F219*1000000/(0.9*(D219*1000)*J219^2)</f>
        <v>1.83227441</v>
      </c>
      <c r="L219" s="12">
        <f>(0.85*$B$2/$D$2)*(1-SQRT(1-2*K219/(0.85*$B$2)))</f>
        <v>0.004544810813</v>
      </c>
      <c r="M219" s="13">
        <f>L219*(D219*1000)*J219</f>
        <v>467.0474832</v>
      </c>
      <c r="N219" s="13">
        <f>MAX(0.25*SQRT($B$2)/$D$2,1.4/$D$2)*(D219*1000)*J219</f>
        <v>342.55</v>
      </c>
      <c r="O219" s="13">
        <f>MAX(M219,N219)</f>
        <v>467.0474832</v>
      </c>
      <c r="P219" s="14">
        <f>ROUNDUP(O219/$J$2,0)</f>
        <v>3</v>
      </c>
      <c r="Q219" s="13">
        <f>P219*$J$2</f>
        <v>597</v>
      </c>
      <c r="R219" s="10">
        <f>Q219*$D$2/(0.85*$B$2*(D219*1000))</f>
        <v>35.11764706</v>
      </c>
      <c r="S219" s="10">
        <f>0.9*Q219*$D$2*(J219-R219/2)/1000000</f>
        <v>73.33945883</v>
      </c>
      <c r="T219" s="15" t="str">
        <f>IF(AND(S219&gt;=F219,O219&lt;=0.025*(D219*1000)*J219,O219&gt;=N219),"CUMPLE","REVISAR")</f>
        <v>CUMPLE</v>
      </c>
      <c r="U219" s="11">
        <f>G219*1000000/(0.9*(D219*1000)*J219^2)</f>
        <v>0.6675728471</v>
      </c>
      <c r="V219" s="12">
        <f>(0.85*$B$2/$D$2)*(1-SQRT(1-2*U219/(0.85*$B$2)))</f>
        <v>0.001612398836</v>
      </c>
      <c r="W219" s="13">
        <f>V219*(D219*1000)*J219</f>
        <v>165.6981664</v>
      </c>
      <c r="X219" s="13">
        <f>MAX(W219,N219)</f>
        <v>342.55</v>
      </c>
      <c r="Y219" s="14">
        <f>ROUNDUP(X219/$J$2,0)</f>
        <v>2</v>
      </c>
      <c r="Z219" s="13">
        <f>Y219*$J$2</f>
        <v>398</v>
      </c>
      <c r="AA219" s="10">
        <f>0.9*Z219*$D$2*(J219-(Z219*$D$2/(0.85*$B$2*(D219*1000)))/2)/1000000</f>
        <v>49.77351244</v>
      </c>
      <c r="AB219" s="15" t="str">
        <f>IF(AA219&gt;=G219,"CUMPLE","REVISAR")</f>
        <v>CUMPLE</v>
      </c>
      <c r="AC219" s="10">
        <f>0.17*SQRT($B$2)*(D219*1000)*J219/1000</f>
        <v>92.44281538</v>
      </c>
      <c r="AD219" s="10">
        <f>MAX(H219/0.75-AC219,0)</f>
        <v>2.637184616</v>
      </c>
      <c r="AE219" s="14">
        <f>IF(AD219&gt;0,MIN($N$2*$D$2*J219/(AD219*1000),MIN(J219/4,6*$H$2,150)),MIN(J219/4,6*$H$2,150))</f>
        <v>85.6375</v>
      </c>
      <c r="AF219" s="10">
        <f>0.66*SQRT($B$2)*(D219*1000)*J219/1000</f>
        <v>358.8956362</v>
      </c>
      <c r="AG219" s="15" t="str">
        <f>IF(AD219&lt;=AF219,"CUMPLE","AUMENTAR SECCION")</f>
        <v>CUMPLE</v>
      </c>
      <c r="AH219" s="10">
        <f>0.75*0.083*SQRT($B$2)*(((D219*1000)*(E219*1000))^2/(2*((D219*1000)+(E219*1000))))/1000000</f>
        <v>3.388073536</v>
      </c>
      <c r="AI219" s="15" t="str">
        <f>IF(I219&gt;AH219,"SI","No")</f>
        <v>No</v>
      </c>
      <c r="AJ219" s="11">
        <f>IF(I219&gt;AH219,I219*1000000/(0.75*2*0.85*((D219*1000-2*$F$2)*(E219*1000-2*$F$2))*$D$2),0)</f>
        <v>0</v>
      </c>
      <c r="AK219" s="10">
        <f>1.25*Q219*$D$2*(J219-(1.25*Q219*$D$2/(0.85*$B$2*(D219*1000)))/2)/1000000</f>
        <v>100.4845159</v>
      </c>
      <c r="AL219" s="10">
        <f>1.25*Z219*$D$2*(J219-(1.25*Z219*$D$2/(0.85*$B$2*(D219*1000)))/2)/1000000</f>
        <v>68.51839235</v>
      </c>
      <c r="AM219" s="10">
        <f>(AK219+AL219)/B219</f>
        <v>42.25072707</v>
      </c>
      <c r="AN219" s="10">
        <f>MAX(H219,AM219)</f>
        <v>71.31</v>
      </c>
    </row>
    <row r="220">
      <c r="A220" s="5" t="inlineStr">
        <is>
          <t>F227</t>
        </is>
      </c>
      <c r="B220" s="6" t="n">
        <v>2.8</v>
      </c>
      <c r="C220" s="7" t="inlineStr">
        <is>
          <t>VR</t>
        </is>
      </c>
      <c r="D220" s="8">
        <f>IF(C220="VR",0.35,0.30)</f>
        <v>0.35</v>
      </c>
      <c r="E220" s="6" t="n">
        <v>0.4</v>
      </c>
      <c r="F220" s="9" t="n">
        <v>78.8</v>
      </c>
      <c r="G220" s="9" t="n">
        <v>37.3</v>
      </c>
      <c r="H220" s="9" t="n">
        <v>85.90000000000001</v>
      </c>
      <c r="I220" s="6" t="n">
        <v>0</v>
      </c>
      <c r="J220" s="10">
        <f>E220*1000-$F$2-$L$2-$H$2/2</f>
        <v>342.55</v>
      </c>
      <c r="K220" s="11">
        <f>F220*1000000/(0.9*(D220*1000)*J220^2)</f>
        <v>2.13055164</v>
      </c>
      <c r="L220" s="12">
        <f>(0.85*$B$2/$D$2)*(1-SQRT(1-2*K220/(0.85*$B$2)))</f>
        <v>0.005322724948</v>
      </c>
      <c r="M220" s="13">
        <f>L220*(D220*1000)*J220</f>
        <v>638.1548008</v>
      </c>
      <c r="N220" s="13">
        <f>MAX(0.25*SQRT($B$2)/$D$2,1.4/$D$2)*(D220*1000)*J220</f>
        <v>399.6416667</v>
      </c>
      <c r="O220" s="13">
        <f>MAX(M220,N220)</f>
        <v>638.1548008</v>
      </c>
      <c r="P220" s="14">
        <f>ROUNDUP(O220/$J$2,0)</f>
        <v>4</v>
      </c>
      <c r="Q220" s="13">
        <f>P220*$J$2</f>
        <v>796</v>
      </c>
      <c r="R220" s="10">
        <f>Q220*$D$2/(0.85*$B$2*(D220*1000))</f>
        <v>40.13445378</v>
      </c>
      <c r="S220" s="10">
        <f>0.9*Q220*$D$2*(J220-R220/2)/1000000</f>
        <v>97.03119664</v>
      </c>
      <c r="T220" s="15" t="str">
        <f>IF(AND(S220&gt;=F220,O220&lt;=0.025*(D220*1000)*J220,O220&gt;=N220),"CUMPLE","REVISAR")</f>
        <v>CUMPLE</v>
      </c>
      <c r="U220" s="11">
        <f>G220*1000000/(0.9*(D220*1000)*J220^2)</f>
        <v>1.009408021</v>
      </c>
      <c r="V220" s="12">
        <f>(0.85*$B$2/$D$2)*(1-SQRT(1-2*U220/(0.85*$B$2)))</f>
        <v>0.002456601468</v>
      </c>
      <c r="W220" s="13">
        <f>V220*(D220*1000)*J220</f>
        <v>294.5280915</v>
      </c>
      <c r="X220" s="13">
        <f>MAX(W220,N220)</f>
        <v>399.6416667</v>
      </c>
      <c r="Y220" s="14">
        <f>ROUNDUP(X220/$J$2,0)</f>
        <v>3</v>
      </c>
      <c r="Z220" s="13">
        <f>Y220*$J$2</f>
        <v>597</v>
      </c>
      <c r="AA220" s="10">
        <f>0.9*Z220*$D$2*(J220-(Z220*$D$2/(0.85*$B$2*(D220*1000)))/2)/1000000</f>
        <v>73.90552018</v>
      </c>
      <c r="AB220" s="15" t="str">
        <f>IF(AA220&gt;=G220,"CUMPLE","REVISAR")</f>
        <v>CUMPLE</v>
      </c>
      <c r="AC220" s="10">
        <f>0.17*SQRT($B$2)*(D220*1000)*J220/1000</f>
        <v>107.8499513</v>
      </c>
      <c r="AD220" s="10">
        <f>MAX(H220/0.75-AC220,0)</f>
        <v>6.630048719</v>
      </c>
      <c r="AE220" s="14">
        <f>IF(AD220&gt;0,MIN($N$2*$D$2*J220/(AD220*1000),MIN(J220/4,6*$H$2,150)),MIN(J220/4,6*$H$2,150))</f>
        <v>85.6375</v>
      </c>
      <c r="AF220" s="10">
        <f>0.66*SQRT($B$2)*(D220*1000)*J220/1000</f>
        <v>418.7115756</v>
      </c>
      <c r="AG220" s="15" t="str">
        <f>IF(AD220&lt;=AF220,"CUMPLE","AUMENTAR SECCION")</f>
        <v>CUMPLE</v>
      </c>
      <c r="AH220" s="10">
        <f>0.75*0.083*SQRT($B$2)*(((D220*1000)*(E220*1000))^2/(2*((D220*1000)+(E220*1000))))/1000000</f>
        <v>4.304108233</v>
      </c>
      <c r="AI220" s="15" t="str">
        <f>IF(I220&gt;AH220,"SI","No")</f>
        <v>No</v>
      </c>
      <c r="AJ220" s="11">
        <f>IF(I220&gt;AH220,I220*1000000/(0.75*2*0.85*((D220*1000-2*$F$2)*(E220*1000-2*$F$2))*$D$2),0)</f>
        <v>0</v>
      </c>
      <c r="AK220" s="10">
        <f>1.25*Q220*$D$2*(J220-(1.25*Q220*$D$2/(0.85*$B$2*(D220*1000)))/2)/1000000</f>
        <v>132.6690274</v>
      </c>
      <c r="AL220" s="10">
        <f>1.25*Z220*$D$2*(J220-(1.25*Z220*$D$2/(0.85*$B$2*(D220*1000)))/2)/1000000</f>
        <v>101.4672613</v>
      </c>
      <c r="AM220" s="10">
        <f>(AK220+AL220)/B220</f>
        <v>83.6201031</v>
      </c>
      <c r="AN220" s="10">
        <f>MAX(H220,AM220)</f>
        <v>85.86</v>
      </c>
    </row>
    <row r="221">
      <c r="A221" s="5" t="inlineStr">
        <is>
          <t>F228</t>
        </is>
      </c>
      <c r="B221" s="6" t="n">
        <v>2.7</v>
      </c>
      <c r="C221" s="7" t="inlineStr">
        <is>
          <t>VR</t>
        </is>
      </c>
      <c r="D221" s="8">
        <f>IF(C221="VR",0.35,0.30)</f>
        <v>0.35</v>
      </c>
      <c r="E221" s="6" t="n">
        <v>0.4</v>
      </c>
      <c r="F221" s="9" t="n">
        <v>81.09999999999999</v>
      </c>
      <c r="G221" s="9" t="n">
        <v>42.5</v>
      </c>
      <c r="H221" s="9" t="n">
        <v>88.59999999999999</v>
      </c>
      <c r="I221" s="6" t="n">
        <v>0</v>
      </c>
      <c r="J221" s="10">
        <f>E221*1000-$F$2-$L$2-$H$2/2</f>
        <v>342.55</v>
      </c>
      <c r="K221" s="11">
        <f>F221*1000000/(0.9*(D221*1000)*J221^2)</f>
        <v>2.193588914</v>
      </c>
      <c r="L221" s="12">
        <f>(0.85*$B$2/$D$2)*(1-SQRT(1-2*K221/(0.85*$B$2)))</f>
        <v>0.005488641176</v>
      </c>
      <c r="M221" s="13">
        <f>L221*(D221*1000)*J221</f>
        <v>658.0469121</v>
      </c>
      <c r="N221" s="13">
        <f>MAX(0.25*SQRT($B$2)/$D$2,1.4/$D$2)*(D221*1000)*J221</f>
        <v>399.6416667</v>
      </c>
      <c r="O221" s="13">
        <f>MAX(M221,N221)</f>
        <v>658.0469121</v>
      </c>
      <c r="P221" s="14">
        <f>ROUNDUP(O221/$J$2,0)</f>
        <v>4</v>
      </c>
      <c r="Q221" s="13">
        <f>P221*$J$2</f>
        <v>796</v>
      </c>
      <c r="R221" s="10">
        <f>Q221*$D$2/(0.85*$B$2*(D221*1000))</f>
        <v>40.13445378</v>
      </c>
      <c r="S221" s="10">
        <f>0.9*Q221*$D$2*(J221-R221/2)/1000000</f>
        <v>97.03119664</v>
      </c>
      <c r="T221" s="15" t="str">
        <f>IF(AND(S221&gt;=F221,O221&lt;=0.025*(D221*1000)*J221,O221&gt;=N221),"CUMPLE","REVISAR")</f>
        <v>CUMPLE</v>
      </c>
      <c r="U221" s="11">
        <f>G221*1000000/(0.9*(D221*1000)*J221^2)</f>
        <v>1.150903705</v>
      </c>
      <c r="V221" s="12">
        <f>(0.85*$B$2/$D$2)*(1-SQRT(1-2*U221/(0.85*$B$2)))</f>
        <v>0.002809914129</v>
      </c>
      <c r="W221" s="13">
        <f>V221*(D221*1000)*J221</f>
        <v>336.8876297</v>
      </c>
      <c r="X221" s="13">
        <f>MAX(W221,N221)</f>
        <v>399.6416667</v>
      </c>
      <c r="Y221" s="14">
        <f>ROUNDUP(X221/$J$2,0)</f>
        <v>3</v>
      </c>
      <c r="Z221" s="13">
        <f>Y221*$J$2</f>
        <v>597</v>
      </c>
      <c r="AA221" s="10">
        <f>0.9*Z221*$D$2*(J221-(Z221*$D$2/(0.85*$B$2*(D221*1000)))/2)/1000000</f>
        <v>73.90552018</v>
      </c>
      <c r="AB221" s="15" t="str">
        <f>IF(AA221&gt;=G221,"CUMPLE","REVISAR")</f>
        <v>CUMPLE</v>
      </c>
      <c r="AC221" s="10">
        <f>0.17*SQRT($B$2)*(D221*1000)*J221/1000</f>
        <v>107.8499513</v>
      </c>
      <c r="AD221" s="10">
        <f>MAX(H221/0.75-AC221,0)</f>
        <v>10.29671539</v>
      </c>
      <c r="AE221" s="14">
        <f>IF(AD221&gt;0,MIN($N$2*$D$2*J221/(AD221*1000),MIN(J221/4,6*$H$2,150)),MIN(J221/4,6*$H$2,150))</f>
        <v>85.6375</v>
      </c>
      <c r="AF221" s="10">
        <f>0.66*SQRT($B$2)*(D221*1000)*J221/1000</f>
        <v>418.7115756</v>
      </c>
      <c r="AG221" s="15" t="str">
        <f>IF(AD221&lt;=AF221,"CUMPLE","AUMENTAR SECCION")</f>
        <v>CUMPLE</v>
      </c>
      <c r="AH221" s="10">
        <f>0.75*0.083*SQRT($B$2)*(((D221*1000)*(E221*1000))^2/(2*((D221*1000)+(E221*1000))))/1000000</f>
        <v>4.304108233</v>
      </c>
      <c r="AI221" s="15" t="str">
        <f>IF(I221&gt;AH221,"SI","No")</f>
        <v>No</v>
      </c>
      <c r="AJ221" s="11">
        <f>IF(I221&gt;AH221,I221*1000000/(0.75*2*0.85*((D221*1000-2*$F$2)*(E221*1000-2*$F$2))*$D$2),0)</f>
        <v>0</v>
      </c>
      <c r="AK221" s="10">
        <f>1.25*Q221*$D$2*(J221-(1.25*Q221*$D$2/(0.85*$B$2*(D221*1000)))/2)/1000000</f>
        <v>132.6690274</v>
      </c>
      <c r="AL221" s="10">
        <f>1.25*Z221*$D$2*(J221-(1.25*Z221*$D$2/(0.85*$B$2*(D221*1000)))/2)/1000000</f>
        <v>101.4672613</v>
      </c>
      <c r="AM221" s="10">
        <f>(AK221+AL221)/B221</f>
        <v>86.71714395</v>
      </c>
      <c r="AN221" s="10">
        <f>MAX(H221,AM221)</f>
        <v>88.61</v>
      </c>
    </row>
    <row r="222">
      <c r="A222" s="5" t="inlineStr">
        <is>
          <t>F229</t>
        </is>
      </c>
      <c r="B222" s="6" t="n">
        <v>4</v>
      </c>
      <c r="C222" s="7" t="inlineStr">
        <is>
          <t>VC</t>
        </is>
      </c>
      <c r="D222" s="8">
        <f>IF(C222="VR",0.35,0.30)</f>
        <v>0.3</v>
      </c>
      <c r="E222" s="6" t="n">
        <v>0.4</v>
      </c>
      <c r="F222" s="9" t="n">
        <v>58.2</v>
      </c>
      <c r="G222" s="9" t="n">
        <v>21.2</v>
      </c>
      <c r="H222" s="9" t="n">
        <v>71.40000000000001</v>
      </c>
      <c r="I222" s="6" t="n">
        <v>0.44</v>
      </c>
      <c r="J222" s="10">
        <f>E222*1000-$F$2-$L$2-$H$2/2</f>
        <v>342.55</v>
      </c>
      <c r="K222" s="11">
        <f>F222*1000000/(0.9*(D222*1000)*J222^2)</f>
        <v>1.837324607</v>
      </c>
      <c r="L222" s="12">
        <f>(0.85*$B$2/$D$2)*(1-SQRT(1-2*K222/(0.85*$B$2)))</f>
        <v>0.004557885198</v>
      </c>
      <c r="M222" s="13">
        <f>L222*(D222*1000)*J222</f>
        <v>468.3910724</v>
      </c>
      <c r="N222" s="13">
        <f>MAX(0.25*SQRT($B$2)/$D$2,1.4/$D$2)*(D222*1000)*J222</f>
        <v>342.55</v>
      </c>
      <c r="O222" s="13">
        <f>MAX(M222,N222)</f>
        <v>468.3910724</v>
      </c>
      <c r="P222" s="14">
        <f>ROUNDUP(O222/$J$2,0)</f>
        <v>3</v>
      </c>
      <c r="Q222" s="13">
        <f>P222*$J$2</f>
        <v>597</v>
      </c>
      <c r="R222" s="10">
        <f>Q222*$D$2/(0.85*$B$2*(D222*1000))</f>
        <v>35.11764706</v>
      </c>
      <c r="S222" s="10">
        <f>0.9*Q222*$D$2*(J222-R222/2)/1000000</f>
        <v>73.33945883</v>
      </c>
      <c r="T222" s="15" t="str">
        <f>IF(AND(S222&gt;=F222,O222&lt;=0.025*(D222*1000)*J222,O222&gt;=N222),"CUMPLE","REVISAR")</f>
        <v>CUMPLE</v>
      </c>
      <c r="U222" s="11">
        <f>G222*1000000/(0.9*(D222*1000)*J222^2)</f>
        <v>0.6678884844</v>
      </c>
      <c r="V222" s="12">
        <f>(0.85*$B$2/$D$2)*(1-SQRT(1-2*U222/(0.85*$B$2)))</f>
        <v>0.001613172369</v>
      </c>
      <c r="W222" s="13">
        <f>V222*(D222*1000)*J222</f>
        <v>165.7776585</v>
      </c>
      <c r="X222" s="13">
        <f>MAX(W222,N222)</f>
        <v>342.55</v>
      </c>
      <c r="Y222" s="14">
        <f>ROUNDUP(X222/$J$2,0)</f>
        <v>2</v>
      </c>
      <c r="Z222" s="13">
        <f>Y222*$J$2</f>
        <v>398</v>
      </c>
      <c r="AA222" s="10">
        <f>0.9*Z222*$D$2*(J222-(Z222*$D$2/(0.85*$B$2*(D222*1000)))/2)/1000000</f>
        <v>49.77351244</v>
      </c>
      <c r="AB222" s="15" t="str">
        <f>IF(AA222&gt;=G222,"CUMPLE","REVISAR")</f>
        <v>CUMPLE</v>
      </c>
      <c r="AC222" s="10">
        <f>0.17*SQRT($B$2)*(D222*1000)*J222/1000</f>
        <v>92.44281538</v>
      </c>
      <c r="AD222" s="10">
        <f>MAX(H222/0.75-AC222,0)</f>
        <v>2.743851283</v>
      </c>
      <c r="AE222" s="14">
        <f>IF(AD222&gt;0,MIN($N$2*$D$2*J222/(AD222*1000),MIN(J222/4,6*$H$2,150)),MIN(J222/4,6*$H$2,150))</f>
        <v>85.6375</v>
      </c>
      <c r="AF222" s="10">
        <f>0.66*SQRT($B$2)*(D222*1000)*J222/1000</f>
        <v>358.8956362</v>
      </c>
      <c r="AG222" s="15" t="str">
        <f>IF(AD222&lt;=AF222,"CUMPLE","AUMENTAR SECCION")</f>
        <v>CUMPLE</v>
      </c>
      <c r="AH222" s="10">
        <f>0.75*0.083*SQRT($B$2)*(((D222*1000)*(E222*1000))^2/(2*((D222*1000)+(E222*1000))))/1000000</f>
        <v>3.388073536</v>
      </c>
      <c r="AI222" s="15" t="str">
        <f>IF(I222&gt;AH222,"SI","No")</f>
        <v>No</v>
      </c>
      <c r="AJ222" s="11">
        <f>IF(I222&gt;AH222,I222*1000000/(0.75*2*0.85*((D222*1000-2*$F$2)*(E222*1000-2*$F$2))*$D$2),0)</f>
        <v>0</v>
      </c>
      <c r="AK222" s="10">
        <f>1.25*Q222*$D$2*(J222-(1.25*Q222*$D$2/(0.85*$B$2*(D222*1000)))/2)/1000000</f>
        <v>100.4845159</v>
      </c>
      <c r="AL222" s="10">
        <f>1.25*Z222*$D$2*(J222-(1.25*Z222*$D$2/(0.85*$B$2*(D222*1000)))/2)/1000000</f>
        <v>68.51839235</v>
      </c>
      <c r="AM222" s="10">
        <f>(AK222+AL222)/B222</f>
        <v>42.25072707</v>
      </c>
      <c r="AN222" s="10">
        <f>MAX(H222,AM222)</f>
        <v>71.39</v>
      </c>
    </row>
    <row r="223">
      <c r="A223" s="5" t="inlineStr">
        <is>
          <t>F230</t>
        </is>
      </c>
      <c r="B223" s="6" t="n">
        <v>2.5</v>
      </c>
      <c r="C223" s="7" t="inlineStr">
        <is>
          <t>VC</t>
        </is>
      </c>
      <c r="D223" s="8">
        <f>IF(C223="VR",0.35,0.30)</f>
        <v>0.3</v>
      </c>
      <c r="E223" s="6" t="n">
        <v>0.4</v>
      </c>
      <c r="F223" s="9" t="n">
        <v>17.2</v>
      </c>
      <c r="G223" s="9" t="n">
        <v>7.4</v>
      </c>
      <c r="H223" s="9" t="n">
        <v>40.2</v>
      </c>
      <c r="I223" s="6" t="n">
        <v>0.03</v>
      </c>
      <c r="J223" s="10">
        <f>E223*1000-$F$2-$L$2-$H$2/2</f>
        <v>342.55</v>
      </c>
      <c r="K223" s="11">
        <f>F223*1000000/(0.9*(D223*1000)*J223^2)</f>
        <v>0.5435273961</v>
      </c>
      <c r="L223" s="12">
        <f>(0.85*$B$2/$D$2)*(1-SQRT(1-2*K223/(0.85*$B$2)))</f>
        <v>0.001309237279</v>
      </c>
      <c r="M223" s="13">
        <f>L223*(D223*1000)*J223</f>
        <v>134.543769</v>
      </c>
      <c r="N223" s="13">
        <f>MAX(0.25*SQRT($B$2)/$D$2,1.4/$D$2)*(D223*1000)*J223</f>
        <v>342.55</v>
      </c>
      <c r="O223" s="13">
        <f>MAX(M223,N223)</f>
        <v>342.55</v>
      </c>
      <c r="P223" s="14">
        <f>ROUNDUP(O223/$J$2,0)</f>
        <v>2</v>
      </c>
      <c r="Q223" s="13">
        <f>P223*$J$2</f>
        <v>398</v>
      </c>
      <c r="R223" s="10">
        <f>Q223*$D$2/(0.85*$B$2*(D223*1000))</f>
        <v>23.41176471</v>
      </c>
      <c r="S223" s="10">
        <f>0.9*Q223*$D$2*(J223-R223/2)/1000000</f>
        <v>49.77351244</v>
      </c>
      <c r="T223" s="15" t="str">
        <f>IF(AND(S223&gt;=F223,O223&lt;=0.025*(D223*1000)*J223,O223&gt;=N223),"CUMPLE","REVISAR")</f>
        <v>CUMPLE</v>
      </c>
      <c r="U223" s="11">
        <f>G223*1000000/(0.9*(D223*1000)*J223^2)</f>
        <v>0.2338872244</v>
      </c>
      <c r="V223" s="12">
        <f>(0.85*$B$2/$D$2)*(1-SQRT(1-2*U223/(0.85*$B$2)))</f>
        <v>0.0005596378247</v>
      </c>
      <c r="W223" s="13">
        <f>V223*(D223*1000)*J223</f>
        <v>57.51118106</v>
      </c>
      <c r="X223" s="13">
        <f>MAX(W223,N223)</f>
        <v>342.55</v>
      </c>
      <c r="Y223" s="14">
        <f>ROUNDUP(X223/$J$2,0)</f>
        <v>2</v>
      </c>
      <c r="Z223" s="13">
        <f>Y223*$J$2</f>
        <v>398</v>
      </c>
      <c r="AA223" s="10">
        <f>0.9*Z223*$D$2*(J223-(Z223*$D$2/(0.85*$B$2*(D223*1000)))/2)/1000000</f>
        <v>49.77351244</v>
      </c>
      <c r="AB223" s="15" t="str">
        <f>IF(AA223&gt;=G223,"CUMPLE","REVISAR")</f>
        <v>CUMPLE</v>
      </c>
      <c r="AC223" s="10">
        <f>0.17*SQRT($B$2)*(D223*1000)*J223/1000</f>
        <v>92.44281538</v>
      </c>
      <c r="AD223" s="10">
        <f>MAX(H223/0.75-AC223,0)</f>
        <v>0</v>
      </c>
      <c r="AE223" s="14">
        <f>IF(AD223&gt;0,MIN($N$2*$D$2*J223/(AD223*1000),MIN(J223/4,6*$H$2,150)),MIN(J223/4,6*$H$2,150))</f>
        <v>85.6375</v>
      </c>
      <c r="AF223" s="10">
        <f>0.66*SQRT($B$2)*(D223*1000)*J223/1000</f>
        <v>358.8956362</v>
      </c>
      <c r="AG223" s="15" t="str">
        <f>IF(AD223&lt;=AF223,"CUMPLE","AUMENTAR SECCION")</f>
        <v>CUMPLE</v>
      </c>
      <c r="AH223" s="10">
        <f>0.75*0.083*SQRT($B$2)*(((D223*1000)*(E223*1000))^2/(2*((D223*1000)+(E223*1000))))/1000000</f>
        <v>3.388073536</v>
      </c>
      <c r="AI223" s="15" t="str">
        <f>IF(I223&gt;AH223,"SI","No")</f>
        <v>No</v>
      </c>
      <c r="AJ223" s="11">
        <f>IF(I223&gt;AH223,I223*1000000/(0.75*2*0.85*((D223*1000-2*$F$2)*(E223*1000-2*$F$2))*$D$2),0)</f>
        <v>0</v>
      </c>
      <c r="AK223" s="10">
        <f>1.25*Q223*$D$2*(J223-(1.25*Q223*$D$2/(0.85*$B$2*(D223*1000)))/2)/1000000</f>
        <v>68.51839235</v>
      </c>
      <c r="AL223" s="10">
        <f>1.25*Z223*$D$2*(J223-(1.25*Z223*$D$2/(0.85*$B$2*(D223*1000)))/2)/1000000</f>
        <v>68.51839235</v>
      </c>
      <c r="AM223" s="10">
        <f>(AK223+AL223)/B223</f>
        <v>54.81471388</v>
      </c>
      <c r="AN223" s="10">
        <f>MAX(H223,AM223)</f>
        <v>54.81471388</v>
      </c>
    </row>
    <row r="224">
      <c r="A224" s="5" t="inlineStr">
        <is>
          <t>F231</t>
        </is>
      </c>
      <c r="B224" s="6" t="n">
        <v>2.6</v>
      </c>
      <c r="C224" s="7" t="inlineStr">
        <is>
          <t>VC</t>
        </is>
      </c>
      <c r="D224" s="8">
        <f>IF(C224="VR",0.35,0.30)</f>
        <v>0.3</v>
      </c>
      <c r="E224" s="6" t="n">
        <v>0.4</v>
      </c>
      <c r="F224" s="9" t="n">
        <v>90.5</v>
      </c>
      <c r="G224" s="9" t="n">
        <v>33.6</v>
      </c>
      <c r="H224" s="9" t="n">
        <v>145.1</v>
      </c>
      <c r="I224" s="6" t="n">
        <v>1.45</v>
      </c>
      <c r="J224" s="10">
        <f>E224*1000-$F$2-$L$2-$H$2/2</f>
        <v>342.55</v>
      </c>
      <c r="K224" s="11">
        <f>F224*1000000/(0.9*(D224*1000)*J224^2)</f>
        <v>2.856517384</v>
      </c>
      <c r="L224" s="12">
        <f>(0.85*$B$2/$D$2)*(1-SQRT(1-2*K224/(0.85*$B$2)))</f>
        <v>0.00726722504</v>
      </c>
      <c r="M224" s="13">
        <f>L224*(D224*1000)*J224</f>
        <v>746.8163813</v>
      </c>
      <c r="N224" s="13">
        <f>MAX(0.25*SQRT($B$2)/$D$2,1.4/$D$2)*(D224*1000)*J224</f>
        <v>342.55</v>
      </c>
      <c r="O224" s="13">
        <f>MAX(M224,N224)</f>
        <v>746.8163813</v>
      </c>
      <c r="P224" s="14">
        <f>ROUNDUP(O224/$J$2,0)</f>
        <v>4</v>
      </c>
      <c r="Q224" s="13">
        <f>P224*$J$2</f>
        <v>796</v>
      </c>
      <c r="R224" s="10">
        <f>Q224*$D$2/(0.85*$B$2*(D224*1000))</f>
        <v>46.82352941</v>
      </c>
      <c r="S224" s="10">
        <f>0.9*Q224*$D$2*(J224-R224/2)/1000000</f>
        <v>96.02486534</v>
      </c>
      <c r="T224" s="15" t="str">
        <f>IF(AND(S224&gt;=F224,O224&lt;=0.025*(D224*1000)*J224,O224&gt;=N224),"CUMPLE","REVISAR")</f>
        <v>CUMPLE</v>
      </c>
      <c r="U224" s="11">
        <f>G224*1000000/(0.9*(D224*1000)*J224^2)</f>
        <v>1.060541261</v>
      </c>
      <c r="V224" s="12">
        <f>(0.85*$B$2/$D$2)*(1-SQRT(1-2*U224/(0.85*$B$2)))</f>
        <v>0.002584014082</v>
      </c>
      <c r="W224" s="13">
        <f>V224*(D224*1000)*J224</f>
        <v>265.5462071</v>
      </c>
      <c r="X224" s="13">
        <f>MAX(W224,N224)</f>
        <v>342.55</v>
      </c>
      <c r="Y224" s="14">
        <f>ROUNDUP(X224/$J$2,0)</f>
        <v>2</v>
      </c>
      <c r="Z224" s="13">
        <f>Y224*$J$2</f>
        <v>398</v>
      </c>
      <c r="AA224" s="10">
        <f>0.9*Z224*$D$2*(J224-(Z224*$D$2/(0.85*$B$2*(D224*1000)))/2)/1000000</f>
        <v>49.77351244</v>
      </c>
      <c r="AB224" s="15" t="str">
        <f>IF(AA224&gt;=G224,"CUMPLE","REVISAR")</f>
        <v>CUMPLE</v>
      </c>
      <c r="AC224" s="10">
        <f>0.17*SQRT($B$2)*(D224*1000)*J224/1000</f>
        <v>92.44281538</v>
      </c>
      <c r="AD224" s="10">
        <f>MAX(H224/0.75-AC224,0)</f>
        <v>101.0505179</v>
      </c>
      <c r="AE224" s="14">
        <f>IF(AD224&gt;0,MIN($N$2*$D$2*J224/(AD224*1000),MIN(J224/4,6*$H$2,150)),MIN(J224/4,6*$H$2,150))</f>
        <v>85.6375</v>
      </c>
      <c r="AF224" s="10">
        <f>0.66*SQRT($B$2)*(D224*1000)*J224/1000</f>
        <v>358.8956362</v>
      </c>
      <c r="AG224" s="15" t="str">
        <f>IF(AD224&lt;=AF224,"CUMPLE","AUMENTAR SECCION")</f>
        <v>CUMPLE</v>
      </c>
      <c r="AH224" s="10">
        <f>0.75*0.083*SQRT($B$2)*(((D224*1000)*(E224*1000))^2/(2*((D224*1000)+(E224*1000))))/1000000</f>
        <v>3.388073536</v>
      </c>
      <c r="AI224" s="15" t="str">
        <f>IF(I224&gt;AH224,"SI","No")</f>
        <v>No</v>
      </c>
      <c r="AJ224" s="11">
        <f>IF(I224&gt;AH224,I224*1000000/(0.75*2*0.85*((D224*1000-2*$F$2)*(E224*1000-2*$F$2))*$D$2),0)</f>
        <v>0</v>
      </c>
      <c r="AK224" s="10">
        <f>1.25*Q224*$D$2*(J224-(1.25*Q224*$D$2/(0.85*$B$2*(D224*1000)))/2)/1000000</f>
        <v>130.9219244</v>
      </c>
      <c r="AL224" s="10">
        <f>1.25*Z224*$D$2*(J224-(1.25*Z224*$D$2/(0.85*$B$2*(D224*1000)))/2)/1000000</f>
        <v>68.51839235</v>
      </c>
      <c r="AM224" s="10">
        <f>(AK224+AL224)/B224</f>
        <v>76.70781414</v>
      </c>
      <c r="AN224" s="10">
        <f>MAX(H224,AM224)</f>
        <v>145.12</v>
      </c>
    </row>
    <row r="225">
      <c r="A225" s="5" t="inlineStr">
        <is>
          <t>F232</t>
        </is>
      </c>
      <c r="B225" s="6" t="n">
        <v>2.95</v>
      </c>
      <c r="C225" s="7" t="inlineStr">
        <is>
          <t>VR</t>
        </is>
      </c>
      <c r="D225" s="8">
        <f>IF(C225="VR",0.35,0.30)</f>
        <v>0.35</v>
      </c>
      <c r="E225" s="6" t="n">
        <v>0.4</v>
      </c>
      <c r="F225" s="9" t="n">
        <v>51.9</v>
      </c>
      <c r="G225" s="9" t="n">
        <v>41.8</v>
      </c>
      <c r="H225" s="9" t="n">
        <v>89.5</v>
      </c>
      <c r="I225" s="6" t="n">
        <v>1.45</v>
      </c>
      <c r="J225" s="10">
        <f>E225*1000-$F$2-$L$2-$H$2/2</f>
        <v>342.55</v>
      </c>
      <c r="K225" s="11">
        <f>F225*1000000/(0.9*(D225*1000)*J225^2)</f>
        <v>1.404946624</v>
      </c>
      <c r="L225" s="12">
        <f>(0.85*$B$2/$D$2)*(1-SQRT(1-2*K225/(0.85*$B$2)))</f>
        <v>0.003450141696</v>
      </c>
      <c r="M225" s="13">
        <f>L225*(D225*1000)*J225</f>
        <v>413.6461132</v>
      </c>
      <c r="N225" s="13">
        <f>MAX(0.25*SQRT($B$2)/$D$2,1.4/$D$2)*(D225*1000)*J225</f>
        <v>399.6416667</v>
      </c>
      <c r="O225" s="13">
        <f>MAX(M225,N225)</f>
        <v>413.6461132</v>
      </c>
      <c r="P225" s="14">
        <f>ROUNDUP(O225/$J$2,0)</f>
        <v>3</v>
      </c>
      <c r="Q225" s="13">
        <f>P225*$J$2</f>
        <v>597</v>
      </c>
      <c r="R225" s="10">
        <f>Q225*$D$2/(0.85*$B$2*(D225*1000))</f>
        <v>30.10084034</v>
      </c>
      <c r="S225" s="10">
        <f>0.9*Q225*$D$2*(J225-R225/2)/1000000</f>
        <v>73.90552018</v>
      </c>
      <c r="T225" s="15" t="str">
        <f>IF(AND(S225&gt;=F225,O225&lt;=0.025*(D225*1000)*J225,O225&gt;=N225),"CUMPLE","REVISAR")</f>
        <v>CUMPLE</v>
      </c>
      <c r="U225" s="11">
        <f>G225*1000000/(0.9*(D225*1000)*J225^2)</f>
        <v>1.129530552</v>
      </c>
      <c r="V225" s="12">
        <f>(0.85*$B$2/$D$2)*(1-SQRT(1-2*U225/(0.85*$B$2)))</f>
        <v>0.002756397212</v>
      </c>
      <c r="W225" s="13">
        <f>V225*(D225*1000)*J225</f>
        <v>330.4713527</v>
      </c>
      <c r="X225" s="13">
        <f>MAX(W225,N225)</f>
        <v>399.6416667</v>
      </c>
      <c r="Y225" s="14">
        <f>ROUNDUP(X225/$J$2,0)</f>
        <v>3</v>
      </c>
      <c r="Z225" s="13">
        <f>Y225*$J$2</f>
        <v>597</v>
      </c>
      <c r="AA225" s="10">
        <f>0.9*Z225*$D$2*(J225-(Z225*$D$2/(0.85*$B$2*(D225*1000)))/2)/1000000</f>
        <v>73.90552018</v>
      </c>
      <c r="AB225" s="15" t="str">
        <f>IF(AA225&gt;=G225,"CUMPLE","REVISAR")</f>
        <v>CUMPLE</v>
      </c>
      <c r="AC225" s="10">
        <f>0.17*SQRT($B$2)*(D225*1000)*J225/1000</f>
        <v>107.8499513</v>
      </c>
      <c r="AD225" s="10">
        <f>MAX(H225/0.75-AC225,0)</f>
        <v>11.51004872</v>
      </c>
      <c r="AE225" s="14">
        <f>IF(AD225&gt;0,MIN($N$2*$D$2*J225/(AD225*1000),MIN(J225/4,6*$H$2,150)),MIN(J225/4,6*$H$2,150))</f>
        <v>85.6375</v>
      </c>
      <c r="AF225" s="10">
        <f>0.66*SQRT($B$2)*(D225*1000)*J225/1000</f>
        <v>418.7115756</v>
      </c>
      <c r="AG225" s="15" t="str">
        <f>IF(AD225&lt;=AF225,"CUMPLE","AUMENTAR SECCION")</f>
        <v>CUMPLE</v>
      </c>
      <c r="AH225" s="10">
        <f>0.75*0.083*SQRT($B$2)*(((D225*1000)*(E225*1000))^2/(2*((D225*1000)+(E225*1000))))/1000000</f>
        <v>4.304108233</v>
      </c>
      <c r="AI225" s="15" t="str">
        <f>IF(I225&gt;AH225,"SI","No")</f>
        <v>No</v>
      </c>
      <c r="AJ225" s="11">
        <f>IF(I225&gt;AH225,I225*1000000/(0.75*2*0.85*((D225*1000-2*$F$2)*(E225*1000-2*$F$2))*$D$2),0)</f>
        <v>0</v>
      </c>
      <c r="AK225" s="10">
        <f>1.25*Q225*$D$2*(J225-(1.25*Q225*$D$2/(0.85*$B$2*(D225*1000)))/2)/1000000</f>
        <v>101.4672613</v>
      </c>
      <c r="AL225" s="10">
        <f>1.25*Z225*$D$2*(J225-(1.25*Z225*$D$2/(0.85*$B$2*(D225*1000)))/2)/1000000</f>
        <v>101.4672613</v>
      </c>
      <c r="AM225" s="10">
        <f>(AK225+AL225)/B225</f>
        <v>68.79136361</v>
      </c>
      <c r="AN225" s="10">
        <f>MAX(H225,AM225)</f>
        <v>89.52</v>
      </c>
    </row>
    <row r="226">
      <c r="A226" s="5" t="inlineStr">
        <is>
          <t>F233</t>
        </is>
      </c>
      <c r="B226" s="6" t="n">
        <v>2.6</v>
      </c>
      <c r="C226" s="7" t="inlineStr">
        <is>
          <t>VC</t>
        </is>
      </c>
      <c r="D226" s="8">
        <f>IF(C226="VR",0.35,0.30)</f>
        <v>0.3</v>
      </c>
      <c r="E226" s="6" t="n">
        <v>0.4</v>
      </c>
      <c r="F226" s="9" t="n">
        <v>26.2</v>
      </c>
      <c r="G226" s="9" t="n">
        <v>8.9</v>
      </c>
      <c r="H226" s="9" t="n">
        <v>46.2</v>
      </c>
      <c r="I226" s="6" t="n">
        <v>0.44</v>
      </c>
      <c r="J226" s="10">
        <f>E226*1000-$F$2-$L$2-$H$2/2</f>
        <v>342.55</v>
      </c>
      <c r="K226" s="11">
        <f>F226*1000000/(0.9*(D226*1000)*J226^2)</f>
        <v>0.8285478599</v>
      </c>
      <c r="L226" s="12">
        <f>(0.85*$B$2/$D$2)*(1-SQRT(1-2*K226/(0.85*$B$2)))</f>
        <v>0.002008321426</v>
      </c>
      <c r="M226" s="13">
        <f>L226*(D226*1000)*J226</f>
        <v>206.3851513</v>
      </c>
      <c r="N226" s="13">
        <f>MAX(0.25*SQRT($B$2)/$D$2,1.4/$D$2)*(D226*1000)*J226</f>
        <v>342.55</v>
      </c>
      <c r="O226" s="13">
        <f>MAX(M226,N226)</f>
        <v>342.55</v>
      </c>
      <c r="P226" s="14">
        <f>ROUNDUP(O226/$J$2,0)</f>
        <v>2</v>
      </c>
      <c r="Q226" s="13">
        <f>P226*$J$2</f>
        <v>398</v>
      </c>
      <c r="R226" s="10">
        <f>Q226*$D$2/(0.85*$B$2*(D226*1000))</f>
        <v>23.41176471</v>
      </c>
      <c r="S226" s="10">
        <f>0.9*Q226*$D$2*(J226-R226/2)/1000000</f>
        <v>49.77351244</v>
      </c>
      <c r="T226" s="15" t="str">
        <f>IF(AND(S226&gt;=F226,O226&lt;=0.025*(D226*1000)*J226,O226&gt;=N226),"CUMPLE","REVISAR")</f>
        <v>CUMPLE</v>
      </c>
      <c r="U226" s="11">
        <f>G226*1000000/(0.9*(D226*1000)*J226^2)</f>
        <v>0.281864091</v>
      </c>
      <c r="V226" s="12">
        <f>(0.85*$B$2/$D$2)*(1-SQRT(1-2*U226/(0.85*$B$2)))</f>
        <v>0.0006751267086</v>
      </c>
      <c r="W226" s="13">
        <f>V226*(D226*1000)*J226</f>
        <v>69.37939621</v>
      </c>
      <c r="X226" s="13">
        <f>MAX(W226,N226)</f>
        <v>342.55</v>
      </c>
      <c r="Y226" s="14">
        <f>ROUNDUP(X226/$J$2,0)</f>
        <v>2</v>
      </c>
      <c r="Z226" s="13">
        <f>Y226*$J$2</f>
        <v>398</v>
      </c>
      <c r="AA226" s="10">
        <f>0.9*Z226*$D$2*(J226-(Z226*$D$2/(0.85*$B$2*(D226*1000)))/2)/1000000</f>
        <v>49.77351244</v>
      </c>
      <c r="AB226" s="15" t="str">
        <f>IF(AA226&gt;=G226,"CUMPLE","REVISAR")</f>
        <v>CUMPLE</v>
      </c>
      <c r="AC226" s="10">
        <f>0.17*SQRT($B$2)*(D226*1000)*J226/1000</f>
        <v>92.44281538</v>
      </c>
      <c r="AD226" s="10">
        <f>MAX(H226/0.75-AC226,0)</f>
        <v>0</v>
      </c>
      <c r="AE226" s="14">
        <f>IF(AD226&gt;0,MIN($N$2*$D$2*J226/(AD226*1000),MIN(J226/4,6*$H$2,150)),MIN(J226/4,6*$H$2,150))</f>
        <v>85.6375</v>
      </c>
      <c r="AF226" s="10">
        <f>0.66*SQRT($B$2)*(D226*1000)*J226/1000</f>
        <v>358.8956362</v>
      </c>
      <c r="AG226" s="15" t="str">
        <f>IF(AD226&lt;=AF226,"CUMPLE","AUMENTAR SECCION")</f>
        <v>CUMPLE</v>
      </c>
      <c r="AH226" s="10">
        <f>0.75*0.083*SQRT($B$2)*(((D226*1000)*(E226*1000))^2/(2*((D226*1000)+(E226*1000))))/1000000</f>
        <v>3.388073536</v>
      </c>
      <c r="AI226" s="15" t="str">
        <f>IF(I226&gt;AH226,"SI","No")</f>
        <v>No</v>
      </c>
      <c r="AJ226" s="11">
        <f>IF(I226&gt;AH226,I226*1000000/(0.75*2*0.85*((D226*1000-2*$F$2)*(E226*1000-2*$F$2))*$D$2),0)</f>
        <v>0</v>
      </c>
      <c r="AK226" s="10">
        <f>1.25*Q226*$D$2*(J226-(1.25*Q226*$D$2/(0.85*$B$2*(D226*1000)))/2)/1000000</f>
        <v>68.51839235</v>
      </c>
      <c r="AL226" s="10">
        <f>1.25*Z226*$D$2*(J226-(1.25*Z226*$D$2/(0.85*$B$2*(D226*1000)))/2)/1000000</f>
        <v>68.51839235</v>
      </c>
      <c r="AM226" s="10">
        <f>(AK226+AL226)/B226</f>
        <v>52.70645566</v>
      </c>
      <c r="AN226" s="10">
        <f>MAX(H226,AM226)</f>
        <v>52.70645566</v>
      </c>
    </row>
    <row r="227">
      <c r="A227" s="5" t="inlineStr">
        <is>
          <t>F234</t>
        </is>
      </c>
      <c r="B227" s="6" t="n">
        <v>3.65</v>
      </c>
      <c r="C227" s="7" t="inlineStr">
        <is>
          <t>VR</t>
        </is>
      </c>
      <c r="D227" s="8">
        <f>IF(C227="VR",0.35,0.30)</f>
        <v>0.35</v>
      </c>
      <c r="E227" s="6" t="n">
        <v>0.4</v>
      </c>
      <c r="F227" s="9" t="n">
        <v>38.5</v>
      </c>
      <c r="G227" s="9" t="n">
        <v>34.9</v>
      </c>
      <c r="H227" s="9" t="n">
        <v>110.5</v>
      </c>
      <c r="I227" s="6" t="n">
        <v>5.99</v>
      </c>
      <c r="J227" s="10">
        <f>E227*1000-$F$2-$L$2-$H$2/2</f>
        <v>342.55</v>
      </c>
      <c r="K227" s="11">
        <f>F227*1000000/(0.9*(D227*1000)*J227^2)</f>
        <v>1.040250293</v>
      </c>
      <c r="L227" s="12">
        <f>(0.85*$B$2/$D$2)*(1-SQRT(1-2*K227/(0.85*$B$2)))</f>
        <v>0.002533417631</v>
      </c>
      <c r="M227" s="13">
        <f>L227*(D227*1000)*J227</f>
        <v>303.7377733</v>
      </c>
      <c r="N227" s="13">
        <f>MAX(0.25*SQRT($B$2)/$D$2,1.4/$D$2)*(D227*1000)*J227</f>
        <v>399.6416667</v>
      </c>
      <c r="O227" s="13">
        <f>MAX(M227,N227)</f>
        <v>399.6416667</v>
      </c>
      <c r="P227" s="14">
        <f>ROUNDUP(O227/$J$2,0)</f>
        <v>3</v>
      </c>
      <c r="Q227" s="13">
        <f>P227*$J$2</f>
        <v>597</v>
      </c>
      <c r="R227" s="10">
        <f>Q227*$D$2/(0.85*$B$2*(D227*1000))</f>
        <v>30.10084034</v>
      </c>
      <c r="S227" s="10">
        <f>0.9*Q227*$D$2*(J227-R227/2)/1000000</f>
        <v>73.90552018</v>
      </c>
      <c r="T227" s="15" t="str">
        <f>IF(AND(S227&gt;=F227,O227&lt;=0.025*(D227*1000)*J227,O227&gt;=N227),"CUMPLE","REVISAR")</f>
        <v>CUMPLE</v>
      </c>
      <c r="U227" s="11">
        <f>G227*1000000/(0.9*(D227*1000)*J227^2)</f>
        <v>0.9444769237</v>
      </c>
      <c r="V227" s="12">
        <f>(0.85*$B$2/$D$2)*(1-SQRT(1-2*U227/(0.85*$B$2)))</f>
        <v>0.002295237968</v>
      </c>
      <c r="W227" s="13">
        <f>V227*(D227*1000)*J227</f>
        <v>275.1818181</v>
      </c>
      <c r="X227" s="13">
        <f>MAX(W227,N227)</f>
        <v>399.6416667</v>
      </c>
      <c r="Y227" s="14">
        <f>ROUNDUP(X227/$J$2,0)</f>
        <v>3</v>
      </c>
      <c r="Z227" s="13">
        <f>Y227*$J$2</f>
        <v>597</v>
      </c>
      <c r="AA227" s="10">
        <f>0.9*Z227*$D$2*(J227-(Z227*$D$2/(0.85*$B$2*(D227*1000)))/2)/1000000</f>
        <v>73.90552018</v>
      </c>
      <c r="AB227" s="15" t="str">
        <f>IF(AA227&gt;=G227,"CUMPLE","REVISAR")</f>
        <v>CUMPLE</v>
      </c>
      <c r="AC227" s="10">
        <f>0.17*SQRT($B$2)*(D227*1000)*J227/1000</f>
        <v>107.8499513</v>
      </c>
      <c r="AD227" s="10">
        <f>MAX(H227/0.75-AC227,0)</f>
        <v>39.48338205</v>
      </c>
      <c r="AE227" s="14">
        <f>IF(AD227&gt;0,MIN($N$2*$D$2*J227/(AD227*1000),MIN(J227/4,6*$H$2,150)),MIN(J227/4,6*$H$2,150))</f>
        <v>85.6375</v>
      </c>
      <c r="AF227" s="10">
        <f>0.66*SQRT($B$2)*(D227*1000)*J227/1000</f>
        <v>418.7115756</v>
      </c>
      <c r="AG227" s="15" t="str">
        <f>IF(AD227&lt;=AF227,"CUMPLE","AUMENTAR SECCION")</f>
        <v>CUMPLE</v>
      </c>
      <c r="AH227" s="10">
        <f>0.75*0.083*SQRT($B$2)*(((D227*1000)*(E227*1000))^2/(2*((D227*1000)+(E227*1000))))/1000000</f>
        <v>4.304108233</v>
      </c>
      <c r="AI227" s="15" t="str">
        <f>IF(I227&gt;AH227,"SI","No")</f>
        <v>SI</v>
      </c>
      <c r="AJ227" s="11">
        <f>IF(I227&gt;AH227,I227*1000000/(0.75*2*0.85*((D227*1000-2*$F$2)*(E227*1000-2*$F$2))*$D$2),0)</f>
        <v>0.1293789121</v>
      </c>
      <c r="AK227" s="10">
        <f>1.25*Q227*$D$2*(J227-(1.25*Q227*$D$2/(0.85*$B$2*(D227*1000)))/2)/1000000</f>
        <v>101.4672613</v>
      </c>
      <c r="AL227" s="10">
        <f>1.25*Z227*$D$2*(J227-(1.25*Z227*$D$2/(0.85*$B$2*(D227*1000)))/2)/1000000</f>
        <v>101.4672613</v>
      </c>
      <c r="AM227" s="10">
        <f>(AK227+AL227)/B227</f>
        <v>55.55283949</v>
      </c>
      <c r="AN227" s="10">
        <f>MAX(H227,AM227)</f>
        <v>110.5</v>
      </c>
    </row>
    <row r="228">
      <c r="A228" s="5" t="inlineStr">
        <is>
          <t>F235</t>
        </is>
      </c>
      <c r="B228" s="6" t="n">
        <v>2.6</v>
      </c>
      <c r="C228" s="7" t="inlineStr">
        <is>
          <t>VC</t>
        </is>
      </c>
      <c r="D228" s="8">
        <f>IF(C228="VR",0.35,0.30)</f>
        <v>0.3</v>
      </c>
      <c r="E228" s="6" t="n">
        <v>0.4</v>
      </c>
      <c r="F228" s="9" t="n">
        <v>22.1</v>
      </c>
      <c r="G228" s="9" t="n">
        <v>13.7</v>
      </c>
      <c r="H228" s="9" t="n">
        <v>47.1</v>
      </c>
      <c r="I228" s="6" t="n">
        <v>1.87</v>
      </c>
      <c r="J228" s="10">
        <f>E228*1000-$F$2-$L$2-$H$2/2</f>
        <v>342.55</v>
      </c>
      <c r="K228" s="11">
        <f>F228*1000000/(0.9*(D228*1000)*J228^2)</f>
        <v>0.6991365751</v>
      </c>
      <c r="L228" s="12">
        <f>(0.85*$B$2/$D$2)*(1-SQRT(1-2*K228/(0.85*$B$2)))</f>
        <v>0.00168980599</v>
      </c>
      <c r="M228" s="13">
        <f>L228*(D228*1000)*J228</f>
        <v>173.6529125</v>
      </c>
      <c r="N228" s="13">
        <f>MAX(0.25*SQRT($B$2)/$D$2,1.4/$D$2)*(D228*1000)*J228</f>
        <v>342.55</v>
      </c>
      <c r="O228" s="13">
        <f>MAX(M228,N228)</f>
        <v>342.55</v>
      </c>
      <c r="P228" s="14">
        <f>ROUNDUP(O228/$J$2,0)</f>
        <v>2</v>
      </c>
      <c r="Q228" s="13">
        <f>P228*$J$2</f>
        <v>398</v>
      </c>
      <c r="R228" s="10">
        <f>Q228*$D$2/(0.85*$B$2*(D228*1000))</f>
        <v>23.41176471</v>
      </c>
      <c r="S228" s="10">
        <f>0.9*Q228*$D$2*(J228-R228/2)/1000000</f>
        <v>49.77351244</v>
      </c>
      <c r="T228" s="15" t="str">
        <f>IF(AND(S228&gt;=F228,O228&lt;=0.025*(D228*1000)*J228,O228&gt;=N228),"CUMPLE","REVISAR")</f>
        <v>CUMPLE</v>
      </c>
      <c r="U228" s="11">
        <f>G228*1000000/(0.9*(D228*1000)*J228^2)</f>
        <v>0.4324230735</v>
      </c>
      <c r="V228" s="12">
        <f>(0.85*$B$2/$D$2)*(1-SQRT(1-2*U228/(0.85*$B$2)))</f>
        <v>0.001039105873</v>
      </c>
      <c r="W228" s="13">
        <f>V228*(D228*1000)*J228</f>
        <v>106.7837151</v>
      </c>
      <c r="X228" s="13">
        <f>MAX(W228,N228)</f>
        <v>342.55</v>
      </c>
      <c r="Y228" s="14">
        <f>ROUNDUP(X228/$J$2,0)</f>
        <v>2</v>
      </c>
      <c r="Z228" s="13">
        <f>Y228*$J$2</f>
        <v>398</v>
      </c>
      <c r="AA228" s="10">
        <f>0.9*Z228*$D$2*(J228-(Z228*$D$2/(0.85*$B$2*(D228*1000)))/2)/1000000</f>
        <v>49.77351244</v>
      </c>
      <c r="AB228" s="15" t="str">
        <f>IF(AA228&gt;=G228,"CUMPLE","REVISAR")</f>
        <v>CUMPLE</v>
      </c>
      <c r="AC228" s="10">
        <f>0.17*SQRT($B$2)*(D228*1000)*J228/1000</f>
        <v>92.44281538</v>
      </c>
      <c r="AD228" s="10">
        <f>MAX(H228/0.75-AC228,0)</f>
        <v>0</v>
      </c>
      <c r="AE228" s="14">
        <f>IF(AD228&gt;0,MIN($N$2*$D$2*J228/(AD228*1000),MIN(J228/4,6*$H$2,150)),MIN(J228/4,6*$H$2,150))</f>
        <v>85.6375</v>
      </c>
      <c r="AF228" s="10">
        <f>0.66*SQRT($B$2)*(D228*1000)*J228/1000</f>
        <v>358.8956362</v>
      </c>
      <c r="AG228" s="15" t="str">
        <f>IF(AD228&lt;=AF228,"CUMPLE","AUMENTAR SECCION")</f>
        <v>CUMPLE</v>
      </c>
      <c r="AH228" s="10">
        <f>0.75*0.083*SQRT($B$2)*(((D228*1000)*(E228*1000))^2/(2*((D228*1000)+(E228*1000))))/1000000</f>
        <v>3.388073536</v>
      </c>
      <c r="AI228" s="15" t="str">
        <f>IF(I228&gt;AH228,"SI","No")</f>
        <v>No</v>
      </c>
      <c r="AJ228" s="11">
        <f>IF(I228&gt;AH228,I228*1000000/(0.75*2*0.85*((D228*1000-2*$F$2)*(E228*1000-2*$F$2))*$D$2),0)</f>
        <v>0</v>
      </c>
      <c r="AK228" s="10">
        <f>1.25*Q228*$D$2*(J228-(1.25*Q228*$D$2/(0.85*$B$2*(D228*1000)))/2)/1000000</f>
        <v>68.51839235</v>
      </c>
      <c r="AL228" s="10">
        <f>1.25*Z228*$D$2*(J228-(1.25*Z228*$D$2/(0.85*$B$2*(D228*1000)))/2)/1000000</f>
        <v>68.51839235</v>
      </c>
      <c r="AM228" s="10">
        <f>(AK228+AL228)/B228</f>
        <v>52.70645566</v>
      </c>
      <c r="AN228" s="10">
        <f>MAX(H228,AM228)</f>
        <v>52.70645566</v>
      </c>
    </row>
    <row r="229">
      <c r="A229" s="5" t="inlineStr">
        <is>
          <t>F236</t>
        </is>
      </c>
      <c r="B229" s="6" t="n">
        <v>2.5</v>
      </c>
      <c r="C229" s="7" t="inlineStr">
        <is>
          <t>VC</t>
        </is>
      </c>
      <c r="D229" s="8">
        <f>IF(C229="VR",0.35,0.30)</f>
        <v>0.3</v>
      </c>
      <c r="E229" s="6" t="n">
        <v>0.4</v>
      </c>
      <c r="F229" s="9" t="n">
        <v>27.7</v>
      </c>
      <c r="G229" s="9" t="n">
        <v>9.5</v>
      </c>
      <c r="H229" s="9" t="n">
        <v>48.6</v>
      </c>
      <c r="I229" s="6" t="n">
        <v>0.42</v>
      </c>
      <c r="J229" s="10">
        <f>E229*1000-$F$2-$L$2-$H$2/2</f>
        <v>342.55</v>
      </c>
      <c r="K229" s="11">
        <f>F229*1000000/(0.9*(D229*1000)*J229^2)</f>
        <v>0.8730527163</v>
      </c>
      <c r="L229" s="12">
        <f>(0.85*$B$2/$D$2)*(1-SQRT(1-2*K229/(0.85*$B$2)))</f>
        <v>0.002118289445</v>
      </c>
      <c r="M229" s="13">
        <f>L229*(D229*1000)*J229</f>
        <v>217.6860148</v>
      </c>
      <c r="N229" s="13">
        <f>MAX(0.25*SQRT($B$2)/$D$2,1.4/$D$2)*(D229*1000)*J229</f>
        <v>342.55</v>
      </c>
      <c r="O229" s="13">
        <f>MAX(M229,N229)</f>
        <v>342.55</v>
      </c>
      <c r="P229" s="14">
        <f>ROUNDUP(O229/$J$2,0)</f>
        <v>2</v>
      </c>
      <c r="Q229" s="13">
        <f>P229*$J$2</f>
        <v>398</v>
      </c>
      <c r="R229" s="10">
        <f>Q229*$D$2/(0.85*$B$2*(D229*1000))</f>
        <v>23.41176471</v>
      </c>
      <c r="S229" s="10">
        <f>0.9*Q229*$D$2*(J229-R229/2)/1000000</f>
        <v>49.77351244</v>
      </c>
      <c r="T229" s="15" t="str">
        <f>IF(AND(S229&gt;=F229,O229&lt;=0.025*(D229*1000)*J229,O229&gt;=N229),"CUMPLE","REVISAR")</f>
        <v>CUMPLE</v>
      </c>
      <c r="U229" s="11">
        <f>G229*1000000/(0.9*(D229*1000)*J229^2)</f>
        <v>0.299855416</v>
      </c>
      <c r="V229" s="12">
        <f>(0.85*$B$2/$D$2)*(1-SQRT(1-2*U229/(0.85*$B$2)))</f>
        <v>0.0007184965009</v>
      </c>
      <c r="W229" s="13">
        <f>V229*(D229*1000)*J229</f>
        <v>73.83629291</v>
      </c>
      <c r="X229" s="13">
        <f>MAX(W229,N229)</f>
        <v>342.55</v>
      </c>
      <c r="Y229" s="14">
        <f>ROUNDUP(X229/$J$2,0)</f>
        <v>2</v>
      </c>
      <c r="Z229" s="13">
        <f>Y229*$J$2</f>
        <v>398</v>
      </c>
      <c r="AA229" s="10">
        <f>0.9*Z229*$D$2*(J229-(Z229*$D$2/(0.85*$B$2*(D229*1000)))/2)/1000000</f>
        <v>49.77351244</v>
      </c>
      <c r="AB229" s="15" t="str">
        <f>IF(AA229&gt;=G229,"CUMPLE","REVISAR")</f>
        <v>CUMPLE</v>
      </c>
      <c r="AC229" s="10">
        <f>0.17*SQRT($B$2)*(D229*1000)*J229/1000</f>
        <v>92.44281538</v>
      </c>
      <c r="AD229" s="10">
        <f>MAX(H229/0.75-AC229,0)</f>
        <v>0</v>
      </c>
      <c r="AE229" s="14">
        <f>IF(AD229&gt;0,MIN($N$2*$D$2*J229/(AD229*1000),MIN(J229/4,6*$H$2,150)),MIN(J229/4,6*$H$2,150))</f>
        <v>85.6375</v>
      </c>
      <c r="AF229" s="10">
        <f>0.66*SQRT($B$2)*(D229*1000)*J229/1000</f>
        <v>358.8956362</v>
      </c>
      <c r="AG229" s="15" t="str">
        <f>IF(AD229&lt;=AF229,"CUMPLE","AUMENTAR SECCION")</f>
        <v>CUMPLE</v>
      </c>
      <c r="AH229" s="10">
        <f>0.75*0.083*SQRT($B$2)*(((D229*1000)*(E229*1000))^2/(2*((D229*1000)+(E229*1000))))/1000000</f>
        <v>3.388073536</v>
      </c>
      <c r="AI229" s="15" t="str">
        <f>IF(I229&gt;AH229,"SI","No")</f>
        <v>No</v>
      </c>
      <c r="AJ229" s="11">
        <f>IF(I229&gt;AH229,I229*1000000/(0.75*2*0.85*((D229*1000-2*$F$2)*(E229*1000-2*$F$2))*$D$2),0)</f>
        <v>0</v>
      </c>
      <c r="AK229" s="10">
        <f>1.25*Q229*$D$2*(J229-(1.25*Q229*$D$2/(0.85*$B$2*(D229*1000)))/2)/1000000</f>
        <v>68.51839235</v>
      </c>
      <c r="AL229" s="10">
        <f>1.25*Z229*$D$2*(J229-(1.25*Z229*$D$2/(0.85*$B$2*(D229*1000)))/2)/1000000</f>
        <v>68.51839235</v>
      </c>
      <c r="AM229" s="10">
        <f>(AK229+AL229)/B229</f>
        <v>54.81471388</v>
      </c>
      <c r="AN229" s="10">
        <f>MAX(H229,AM229)</f>
        <v>54.81471388</v>
      </c>
    </row>
    <row r="230">
      <c r="A230" s="5" t="inlineStr">
        <is>
          <t>F237</t>
        </is>
      </c>
      <c r="B230" s="6" t="n">
        <v>4.18</v>
      </c>
      <c r="C230" s="7" t="inlineStr">
        <is>
          <t>VR</t>
        </is>
      </c>
      <c r="D230" s="8">
        <f>IF(C230="VR",0.35,0.30)</f>
        <v>0.35</v>
      </c>
      <c r="E230" s="6" t="n">
        <v>0.4</v>
      </c>
      <c r="F230" s="9" t="n">
        <v>77.8</v>
      </c>
      <c r="G230" s="9" t="n">
        <v>26.2</v>
      </c>
      <c r="H230" s="9" t="n">
        <v>79.09999999999999</v>
      </c>
      <c r="I230" s="6" t="n">
        <v>0.36</v>
      </c>
      <c r="J230" s="10">
        <f>E230*1000-$F$2-$L$2-$H$2/2</f>
        <v>342.55</v>
      </c>
      <c r="K230" s="11">
        <f>F230*1000000/(0.9*(D230*1000)*J230^2)</f>
        <v>2.105120293</v>
      </c>
      <c r="L230" s="12">
        <f>(0.85*$B$2/$D$2)*(1-SQRT(1-2*K230/(0.85*$B$2)))</f>
        <v>0.005255940373</v>
      </c>
      <c r="M230" s="13">
        <f>L230*(D230*1000)*J230</f>
        <v>630.1478312</v>
      </c>
      <c r="N230" s="13">
        <f>MAX(0.25*SQRT($B$2)/$D$2,1.4/$D$2)*(D230*1000)*J230</f>
        <v>399.6416667</v>
      </c>
      <c r="O230" s="13">
        <f>MAX(M230,N230)</f>
        <v>630.1478312</v>
      </c>
      <c r="P230" s="14">
        <f>ROUNDUP(O230/$J$2,0)</f>
        <v>4</v>
      </c>
      <c r="Q230" s="13">
        <f>P230*$J$2</f>
        <v>796</v>
      </c>
      <c r="R230" s="10">
        <f>Q230*$D$2/(0.85*$B$2*(D230*1000))</f>
        <v>40.13445378</v>
      </c>
      <c r="S230" s="10">
        <f>0.9*Q230*$D$2*(J230-R230/2)/1000000</f>
        <v>97.03119664</v>
      </c>
      <c r="T230" s="15" t="str">
        <f>IF(AND(S230&gt;=F230,O230&lt;=0.025*(D230*1000)*J230,O230&gt;=N230),"CUMPLE","REVISAR")</f>
        <v>CUMPLE</v>
      </c>
      <c r="U230" s="11">
        <f>G230*1000000/(0.9*(D230*1000)*J230^2)</f>
        <v>0.7082900562</v>
      </c>
      <c r="V230" s="12">
        <f>(0.85*$B$2/$D$2)*(1-SQRT(1-2*U230/(0.85*$B$2)))</f>
        <v>0.001712274459</v>
      </c>
      <c r="W230" s="13">
        <f>V230*(D230*1000)*J230</f>
        <v>205.2888656</v>
      </c>
      <c r="X230" s="13">
        <f>MAX(W230,N230)</f>
        <v>399.6416667</v>
      </c>
      <c r="Y230" s="14">
        <f>ROUNDUP(X230/$J$2,0)</f>
        <v>3</v>
      </c>
      <c r="Z230" s="13">
        <f>Y230*$J$2</f>
        <v>597</v>
      </c>
      <c r="AA230" s="10">
        <f>0.9*Z230*$D$2*(J230-(Z230*$D$2/(0.85*$B$2*(D230*1000)))/2)/1000000</f>
        <v>73.90552018</v>
      </c>
      <c r="AB230" s="15" t="str">
        <f>IF(AA230&gt;=G230,"CUMPLE","REVISAR")</f>
        <v>CUMPLE</v>
      </c>
      <c r="AC230" s="10">
        <f>0.17*SQRT($B$2)*(D230*1000)*J230/1000</f>
        <v>107.8499513</v>
      </c>
      <c r="AD230" s="10">
        <f>MAX(H230/0.75-AC230,0)</f>
        <v>0</v>
      </c>
      <c r="AE230" s="14">
        <f>IF(AD230&gt;0,MIN($N$2*$D$2*J230/(AD230*1000),MIN(J230/4,6*$H$2,150)),MIN(J230/4,6*$H$2,150))</f>
        <v>85.6375</v>
      </c>
      <c r="AF230" s="10">
        <f>0.66*SQRT($B$2)*(D230*1000)*J230/1000</f>
        <v>418.7115756</v>
      </c>
      <c r="AG230" s="15" t="str">
        <f>IF(AD230&lt;=AF230,"CUMPLE","AUMENTAR SECCION")</f>
        <v>CUMPLE</v>
      </c>
      <c r="AH230" s="10">
        <f>0.75*0.083*SQRT($B$2)*(((D230*1000)*(E230*1000))^2/(2*((D230*1000)+(E230*1000))))/1000000</f>
        <v>4.304108233</v>
      </c>
      <c r="AI230" s="15" t="str">
        <f>IF(I230&gt;AH230,"SI","No")</f>
        <v>No</v>
      </c>
      <c r="AJ230" s="11">
        <f>IF(I230&gt;AH230,I230*1000000/(0.75*2*0.85*((D230*1000-2*$F$2)*(E230*1000-2*$F$2))*$D$2),0)</f>
        <v>0</v>
      </c>
      <c r="AK230" s="10">
        <f>1.25*Q230*$D$2*(J230-(1.25*Q230*$D$2/(0.85*$B$2*(D230*1000)))/2)/1000000</f>
        <v>132.6690274</v>
      </c>
      <c r="AL230" s="10">
        <f>1.25*Z230*$D$2*(J230-(1.25*Z230*$D$2/(0.85*$B$2*(D230*1000)))/2)/1000000</f>
        <v>101.4672613</v>
      </c>
      <c r="AM230" s="10">
        <f>(AK230+AL230)/B230</f>
        <v>56.06711894</v>
      </c>
      <c r="AN230" s="10">
        <f>MAX(H230,AM230)</f>
        <v>79.14</v>
      </c>
    </row>
    <row r="231">
      <c r="A231" s="5" t="inlineStr">
        <is>
          <t>F238</t>
        </is>
      </c>
      <c r="B231" s="6" t="n">
        <v>2.7</v>
      </c>
      <c r="C231" s="7" t="inlineStr">
        <is>
          <t>VR</t>
        </is>
      </c>
      <c r="D231" s="8">
        <f>IF(C231="VR",0.35,0.30)</f>
        <v>0.35</v>
      </c>
      <c r="E231" s="6" t="n">
        <v>0.4</v>
      </c>
      <c r="F231" s="9" t="n">
        <v>40.2</v>
      </c>
      <c r="G231" s="9" t="n">
        <v>13.4</v>
      </c>
      <c r="H231" s="9" t="n">
        <v>59.6</v>
      </c>
      <c r="I231" s="6" t="n">
        <v>3.25</v>
      </c>
      <c r="J231" s="10">
        <f>E231*1000-$F$2-$L$2-$H$2/2</f>
        <v>342.55</v>
      </c>
      <c r="K231" s="11">
        <f>F231*1000000/(0.9*(D231*1000)*J231^2)</f>
        <v>1.087054792</v>
      </c>
      <c r="L231" s="12">
        <f>(0.85*$B$2/$D$2)*(1-SQRT(1-2*K231/(0.85*$B$2)))</f>
        <v>0.0026501982</v>
      </c>
      <c r="M231" s="13">
        <f>L231*(D231*1000)*J231</f>
        <v>317.7388877</v>
      </c>
      <c r="N231" s="13">
        <f>MAX(0.25*SQRT($B$2)/$D$2,1.4/$D$2)*(D231*1000)*J231</f>
        <v>399.6416667</v>
      </c>
      <c r="O231" s="13">
        <f>MAX(M231,N231)</f>
        <v>399.6416667</v>
      </c>
      <c r="P231" s="14">
        <f>ROUNDUP(O231/$J$2,0)</f>
        <v>3</v>
      </c>
      <c r="Q231" s="13">
        <f>P231*$J$2</f>
        <v>597</v>
      </c>
      <c r="R231" s="10">
        <f>Q231*$D$2/(0.85*$B$2*(D231*1000))</f>
        <v>30.10084034</v>
      </c>
      <c r="S231" s="10">
        <f>0.9*Q231*$D$2*(J231-R231/2)/1000000</f>
        <v>73.90552018</v>
      </c>
      <c r="T231" s="15" t="str">
        <f>IF(AND(S231&gt;=F231,O231&lt;=0.025*(D231*1000)*J231,O231&gt;=N231),"CUMPLE","REVISAR")</f>
        <v>CUMPLE</v>
      </c>
      <c r="U231" s="11">
        <f>G231*1000000/(0.9*(D231*1000)*J231^2)</f>
        <v>0.3622614153</v>
      </c>
      <c r="V231" s="12">
        <f>(0.85*$B$2/$D$2)*(1-SQRT(1-2*U231/(0.85*$B$2)))</f>
        <v>0.0008691933297</v>
      </c>
      <c r="W231" s="13">
        <f>V231*(D231*1000)*J231</f>
        <v>104.2097613</v>
      </c>
      <c r="X231" s="13">
        <f>MAX(W231,N231)</f>
        <v>399.6416667</v>
      </c>
      <c r="Y231" s="14">
        <f>ROUNDUP(X231/$J$2,0)</f>
        <v>3</v>
      </c>
      <c r="Z231" s="13">
        <f>Y231*$J$2</f>
        <v>597</v>
      </c>
      <c r="AA231" s="10">
        <f>0.9*Z231*$D$2*(J231-(Z231*$D$2/(0.85*$B$2*(D231*1000)))/2)/1000000</f>
        <v>73.90552018</v>
      </c>
      <c r="AB231" s="15" t="str">
        <f>IF(AA231&gt;=G231,"CUMPLE","REVISAR")</f>
        <v>CUMPLE</v>
      </c>
      <c r="AC231" s="10">
        <f>0.17*SQRT($B$2)*(D231*1000)*J231/1000</f>
        <v>107.8499513</v>
      </c>
      <c r="AD231" s="10">
        <f>MAX(H231/0.75-AC231,0)</f>
        <v>0</v>
      </c>
      <c r="AE231" s="14">
        <f>IF(AD231&gt;0,MIN($N$2*$D$2*J231/(AD231*1000),MIN(J231/4,6*$H$2,150)),MIN(J231/4,6*$H$2,150))</f>
        <v>85.6375</v>
      </c>
      <c r="AF231" s="10">
        <f>0.66*SQRT($B$2)*(D231*1000)*J231/1000</f>
        <v>418.7115756</v>
      </c>
      <c r="AG231" s="15" t="str">
        <f>IF(AD231&lt;=AF231,"CUMPLE","AUMENTAR SECCION")</f>
        <v>CUMPLE</v>
      </c>
      <c r="AH231" s="10">
        <f>0.75*0.083*SQRT($B$2)*(((D231*1000)*(E231*1000))^2/(2*((D231*1000)+(E231*1000))))/1000000</f>
        <v>4.304108233</v>
      </c>
      <c r="AI231" s="15" t="str">
        <f>IF(I231&gt;AH231,"SI","No")</f>
        <v>No</v>
      </c>
      <c r="AJ231" s="11">
        <f>IF(I231&gt;AH231,I231*1000000/(0.75*2*0.85*((D231*1000-2*$F$2)*(E231*1000-2*$F$2))*$D$2),0)</f>
        <v>0</v>
      </c>
      <c r="AK231" s="10">
        <f>1.25*Q231*$D$2*(J231-(1.25*Q231*$D$2/(0.85*$B$2*(D231*1000)))/2)/1000000</f>
        <v>101.4672613</v>
      </c>
      <c r="AL231" s="10">
        <f>1.25*Z231*$D$2*(J231-(1.25*Z231*$D$2/(0.85*$B$2*(D231*1000)))/2)/1000000</f>
        <v>101.4672613</v>
      </c>
      <c r="AM231" s="10">
        <f>(AK231+AL231)/B231</f>
        <v>75.16093431</v>
      </c>
      <c r="AN231" s="10">
        <f>MAX(H231,AM231)</f>
        <v>75.16093431</v>
      </c>
    </row>
    <row r="232">
      <c r="A232" s="5" t="inlineStr">
        <is>
          <t>F239</t>
        </is>
      </c>
      <c r="B232" s="6" t="n">
        <v>2.8</v>
      </c>
      <c r="C232" s="7" t="inlineStr">
        <is>
          <t>VR</t>
        </is>
      </c>
      <c r="D232" s="8">
        <f>IF(C232="VR",0.35,0.30)</f>
        <v>0.35</v>
      </c>
      <c r="E232" s="6" t="n">
        <v>0.4</v>
      </c>
      <c r="F232" s="9" t="n">
        <v>40.8</v>
      </c>
      <c r="G232" s="9" t="n">
        <v>13.6</v>
      </c>
      <c r="H232" s="9" t="n">
        <v>60.1</v>
      </c>
      <c r="I232" s="6" t="n">
        <v>3.14</v>
      </c>
      <c r="J232" s="10">
        <f>E232*1000-$F$2-$L$2-$H$2/2</f>
        <v>342.55</v>
      </c>
      <c r="K232" s="11">
        <f>F232*1000000/(0.9*(D232*1000)*J232^2)</f>
        <v>1.102746474</v>
      </c>
      <c r="L232" s="12">
        <f>(0.85*$B$2/$D$2)*(1-SQRT(1-2*K232/(0.85*$B$2)))</f>
        <v>0.002689406619</v>
      </c>
      <c r="M232" s="13">
        <f>L232*(D232*1000)*J232</f>
        <v>322.4396831</v>
      </c>
      <c r="N232" s="13">
        <f>MAX(0.25*SQRT($B$2)/$D$2,1.4/$D$2)*(D232*1000)*J232</f>
        <v>399.6416667</v>
      </c>
      <c r="O232" s="13">
        <f>MAX(M232,N232)</f>
        <v>399.6416667</v>
      </c>
      <c r="P232" s="14">
        <f>ROUNDUP(O232/$J$2,0)</f>
        <v>3</v>
      </c>
      <c r="Q232" s="13">
        <f>P232*$J$2</f>
        <v>597</v>
      </c>
      <c r="R232" s="10">
        <f>Q232*$D$2/(0.85*$B$2*(D232*1000))</f>
        <v>30.10084034</v>
      </c>
      <c r="S232" s="10">
        <f>0.9*Q232*$D$2*(J232-R232/2)/1000000</f>
        <v>73.90552018</v>
      </c>
      <c r="T232" s="15" t="str">
        <f>IF(AND(S232&gt;=F232,O232&lt;=0.025*(D232*1000)*J232,O232&gt;=N232),"CUMPLE","REVISAR")</f>
        <v>CUMPLE</v>
      </c>
      <c r="U232" s="11">
        <f>G232*1000000/(0.9*(D232*1000)*J232^2)</f>
        <v>0.3676723401</v>
      </c>
      <c r="V232" s="12">
        <f>(0.85*$B$2/$D$2)*(1-SQRT(1-2*U232/(0.85*$B$2)))</f>
        <v>0.0008822787076</v>
      </c>
      <c r="W232" s="13">
        <f>V232*(D232*1000)*J232</f>
        <v>105.7785999</v>
      </c>
      <c r="X232" s="13">
        <f>MAX(W232,N232)</f>
        <v>399.6416667</v>
      </c>
      <c r="Y232" s="14">
        <f>ROUNDUP(X232/$J$2,0)</f>
        <v>3</v>
      </c>
      <c r="Z232" s="13">
        <f>Y232*$J$2</f>
        <v>597</v>
      </c>
      <c r="AA232" s="10">
        <f>0.9*Z232*$D$2*(J232-(Z232*$D$2/(0.85*$B$2*(D232*1000)))/2)/1000000</f>
        <v>73.90552018</v>
      </c>
      <c r="AB232" s="15" t="str">
        <f>IF(AA232&gt;=G232,"CUMPLE","REVISAR")</f>
        <v>CUMPLE</v>
      </c>
      <c r="AC232" s="10">
        <f>0.17*SQRT($B$2)*(D232*1000)*J232/1000</f>
        <v>107.8499513</v>
      </c>
      <c r="AD232" s="10">
        <f>MAX(H232/0.75-AC232,0)</f>
        <v>0</v>
      </c>
      <c r="AE232" s="14">
        <f>IF(AD232&gt;0,MIN($N$2*$D$2*J232/(AD232*1000),MIN(J232/4,6*$H$2,150)),MIN(J232/4,6*$H$2,150))</f>
        <v>85.6375</v>
      </c>
      <c r="AF232" s="10">
        <f>0.66*SQRT($B$2)*(D232*1000)*J232/1000</f>
        <v>418.7115756</v>
      </c>
      <c r="AG232" s="15" t="str">
        <f>IF(AD232&lt;=AF232,"CUMPLE","AUMENTAR SECCION")</f>
        <v>CUMPLE</v>
      </c>
      <c r="AH232" s="10">
        <f>0.75*0.083*SQRT($B$2)*(((D232*1000)*(E232*1000))^2/(2*((D232*1000)+(E232*1000))))/1000000</f>
        <v>4.304108233</v>
      </c>
      <c r="AI232" s="15" t="str">
        <f>IF(I232&gt;AH232,"SI","No")</f>
        <v>No</v>
      </c>
      <c r="AJ232" s="11">
        <f>IF(I232&gt;AH232,I232*1000000/(0.75*2*0.85*((D232*1000-2*$F$2)*(E232*1000-2*$F$2))*$D$2),0)</f>
        <v>0</v>
      </c>
      <c r="AK232" s="10">
        <f>1.25*Q232*$D$2*(J232-(1.25*Q232*$D$2/(0.85*$B$2*(D232*1000)))/2)/1000000</f>
        <v>101.4672613</v>
      </c>
      <c r="AL232" s="10">
        <f>1.25*Z232*$D$2*(J232-(1.25*Z232*$D$2/(0.85*$B$2*(D232*1000)))/2)/1000000</f>
        <v>101.4672613</v>
      </c>
      <c r="AM232" s="10">
        <f>(AK232+AL232)/B232</f>
        <v>72.47661523</v>
      </c>
      <c r="AN232" s="10">
        <f>MAX(H232,AM232)</f>
        <v>72.47661523</v>
      </c>
    </row>
    <row r="233">
      <c r="A233" s="5" t="inlineStr">
        <is>
          <t>F240</t>
        </is>
      </c>
      <c r="B233" s="6" t="n">
        <v>4.18</v>
      </c>
      <c r="C233" s="7" t="inlineStr">
        <is>
          <t>VR</t>
        </is>
      </c>
      <c r="D233" s="8">
        <f>IF(C233="VR",0.35,0.30)</f>
        <v>0.35</v>
      </c>
      <c r="E233" s="6" t="n">
        <v>0.4</v>
      </c>
      <c r="F233" s="9" t="n">
        <v>78</v>
      </c>
      <c r="G233" s="9" t="n">
        <v>26.2</v>
      </c>
      <c r="H233" s="9" t="n">
        <v>79.2</v>
      </c>
      <c r="I233" s="6" t="n">
        <v>0.36</v>
      </c>
      <c r="J233" s="10">
        <f>E233*1000-$F$2-$L$2-$H$2/2</f>
        <v>342.55</v>
      </c>
      <c r="K233" s="11">
        <f>F233*1000000/(0.9*(D233*1000)*J233^2)</f>
        <v>2.109449033</v>
      </c>
      <c r="L233" s="12">
        <f>(0.85*$B$2/$D$2)*(1-SQRT(1-2*K233/(0.85*$B$2)))</f>
        <v>0.005267301832</v>
      </c>
      <c r="M233" s="13">
        <f>L233*(D233*1000)*J233</f>
        <v>631.5099849</v>
      </c>
      <c r="N233" s="13">
        <f>MAX(0.25*SQRT($B$2)/$D$2,1.4/$D$2)*(D233*1000)*J233</f>
        <v>399.6416667</v>
      </c>
      <c r="O233" s="13">
        <f>MAX(M233,N233)</f>
        <v>631.5099849</v>
      </c>
      <c r="P233" s="14">
        <f>ROUNDUP(O233/$J$2,0)</f>
        <v>4</v>
      </c>
      <c r="Q233" s="13">
        <f>P233*$J$2</f>
        <v>796</v>
      </c>
      <c r="R233" s="10">
        <f>Q233*$D$2/(0.85*$B$2*(D233*1000))</f>
        <v>40.13445378</v>
      </c>
      <c r="S233" s="10">
        <f>0.9*Q233*$D$2*(J233-R233/2)/1000000</f>
        <v>97.03119664</v>
      </c>
      <c r="T233" s="15" t="str">
        <f>IF(AND(S233&gt;=F233,O233&lt;=0.025*(D233*1000)*J233,O233&gt;=N233),"CUMPLE","REVISAR")</f>
        <v>CUMPLE</v>
      </c>
      <c r="U233" s="11">
        <f>G233*1000000/(0.9*(D233*1000)*J233^2)</f>
        <v>0.7096427874</v>
      </c>
      <c r="V233" s="12">
        <f>(0.85*$B$2/$D$2)*(1-SQRT(1-2*U233/(0.85*$B$2)))</f>
        <v>0.001715595701</v>
      </c>
      <c r="W233" s="13">
        <f>V233*(D233*1000)*J233</f>
        <v>205.6870576</v>
      </c>
      <c r="X233" s="13">
        <f>MAX(W233,N233)</f>
        <v>399.6416667</v>
      </c>
      <c r="Y233" s="14">
        <f>ROUNDUP(X233/$J$2,0)</f>
        <v>3</v>
      </c>
      <c r="Z233" s="13">
        <f>Y233*$J$2</f>
        <v>597</v>
      </c>
      <c r="AA233" s="10">
        <f>0.9*Z233*$D$2*(J233-(Z233*$D$2/(0.85*$B$2*(D233*1000)))/2)/1000000</f>
        <v>73.90552018</v>
      </c>
      <c r="AB233" s="15" t="str">
        <f>IF(AA233&gt;=G233,"CUMPLE","REVISAR")</f>
        <v>CUMPLE</v>
      </c>
      <c r="AC233" s="10">
        <f>0.17*SQRT($B$2)*(D233*1000)*J233/1000</f>
        <v>107.8499513</v>
      </c>
      <c r="AD233" s="10">
        <f>MAX(H233/0.75-AC233,0)</f>
        <v>0</v>
      </c>
      <c r="AE233" s="14">
        <f>IF(AD233&gt;0,MIN($N$2*$D$2*J233/(AD233*1000),MIN(J233/4,6*$H$2,150)),MIN(J233/4,6*$H$2,150))</f>
        <v>85.6375</v>
      </c>
      <c r="AF233" s="10">
        <f>0.66*SQRT($B$2)*(D233*1000)*J233/1000</f>
        <v>418.7115756</v>
      </c>
      <c r="AG233" s="15" t="str">
        <f>IF(AD233&lt;=AF233,"CUMPLE","AUMENTAR SECCION")</f>
        <v>CUMPLE</v>
      </c>
      <c r="AH233" s="10">
        <f>0.75*0.083*SQRT($B$2)*(((D233*1000)*(E233*1000))^2/(2*((D233*1000)+(E233*1000))))/1000000</f>
        <v>4.304108233</v>
      </c>
      <c r="AI233" s="15" t="str">
        <f>IF(I233&gt;AH233,"SI","No")</f>
        <v>No</v>
      </c>
      <c r="AJ233" s="11">
        <f>IF(I233&gt;AH233,I233*1000000/(0.75*2*0.85*((D233*1000-2*$F$2)*(E233*1000-2*$F$2))*$D$2),0)</f>
        <v>0</v>
      </c>
      <c r="AK233" s="10">
        <f>1.25*Q233*$D$2*(J233-(1.25*Q233*$D$2/(0.85*$B$2*(D233*1000)))/2)/1000000</f>
        <v>132.6690274</v>
      </c>
      <c r="AL233" s="10">
        <f>1.25*Z233*$D$2*(J233-(1.25*Z233*$D$2/(0.85*$B$2*(D233*1000)))/2)/1000000</f>
        <v>101.4672613</v>
      </c>
      <c r="AM233" s="10">
        <f>(AK233+AL233)/B233</f>
        <v>56.06711894</v>
      </c>
      <c r="AN233" s="10">
        <f>MAX(H233,AM233)</f>
        <v>79.22</v>
      </c>
    </row>
    <row r="234">
      <c r="A234" s="5" t="inlineStr">
        <is>
          <t>F241</t>
        </is>
      </c>
      <c r="B234" s="6" t="n">
        <v>2.5</v>
      </c>
      <c r="C234" s="7" t="inlineStr">
        <is>
          <t>VC</t>
        </is>
      </c>
      <c r="D234" s="8">
        <f>IF(C234="VR",0.35,0.30)</f>
        <v>0.3</v>
      </c>
      <c r="E234" s="6" t="n">
        <v>0.4</v>
      </c>
      <c r="F234" s="9" t="n">
        <v>27.6</v>
      </c>
      <c r="G234" s="9" t="n">
        <v>9.5</v>
      </c>
      <c r="H234" s="9" t="n">
        <v>48.5</v>
      </c>
      <c r="I234" s="6" t="n">
        <v>0.42</v>
      </c>
      <c r="J234" s="10">
        <f>E234*1000-$F$2-$L$2-$H$2/2</f>
        <v>342.55</v>
      </c>
      <c r="K234" s="11">
        <f>F234*1000000/(0.9*(D234*1000)*J234^2)</f>
        <v>0.8724214418</v>
      </c>
      <c r="L234" s="12">
        <f>(0.85*$B$2/$D$2)*(1-SQRT(1-2*K234/(0.85*$B$2)))</f>
        <v>0.002116728065</v>
      </c>
      <c r="M234" s="13">
        <f>L234*(D234*1000)*J234</f>
        <v>217.5255596</v>
      </c>
      <c r="N234" s="13">
        <f>MAX(0.25*SQRT($B$2)/$D$2,1.4/$D$2)*(D234*1000)*J234</f>
        <v>342.55</v>
      </c>
      <c r="O234" s="13">
        <f>MAX(M234,N234)</f>
        <v>342.55</v>
      </c>
      <c r="P234" s="14">
        <f>ROUNDUP(O234/$J$2,0)</f>
        <v>2</v>
      </c>
      <c r="Q234" s="13">
        <f>P234*$J$2</f>
        <v>398</v>
      </c>
      <c r="R234" s="10">
        <f>Q234*$D$2/(0.85*$B$2*(D234*1000))</f>
        <v>23.41176471</v>
      </c>
      <c r="S234" s="10">
        <f>0.9*Q234*$D$2*(J234-R234/2)/1000000</f>
        <v>49.77351244</v>
      </c>
      <c r="T234" s="15" t="str">
        <f>IF(AND(S234&gt;=F234,O234&lt;=0.025*(D234*1000)*J234,O234&gt;=N234),"CUMPLE","REVISAR")</f>
        <v>CUMPLE</v>
      </c>
      <c r="U234" s="11">
        <f>G234*1000000/(0.9*(D234*1000)*J234^2)</f>
        <v>0.2995397787</v>
      </c>
      <c r="V234" s="12">
        <f>(0.85*$B$2/$D$2)*(1-SQRT(1-2*U234/(0.85*$B$2)))</f>
        <v>0.0007177353376</v>
      </c>
      <c r="W234" s="13">
        <f>V234*(D234*1000)*J234</f>
        <v>73.75807197</v>
      </c>
      <c r="X234" s="13">
        <f>MAX(W234,N234)</f>
        <v>342.55</v>
      </c>
      <c r="Y234" s="14">
        <f>ROUNDUP(X234/$J$2,0)</f>
        <v>2</v>
      </c>
      <c r="Z234" s="13">
        <f>Y234*$J$2</f>
        <v>398</v>
      </c>
      <c r="AA234" s="10">
        <f>0.9*Z234*$D$2*(J234-(Z234*$D$2/(0.85*$B$2*(D234*1000)))/2)/1000000</f>
        <v>49.77351244</v>
      </c>
      <c r="AB234" s="15" t="str">
        <f>IF(AA234&gt;=G234,"CUMPLE","REVISAR")</f>
        <v>CUMPLE</v>
      </c>
      <c r="AC234" s="10">
        <f>0.17*SQRT($B$2)*(D234*1000)*J234/1000</f>
        <v>92.44281538</v>
      </c>
      <c r="AD234" s="10">
        <f>MAX(H234/0.75-AC234,0)</f>
        <v>0</v>
      </c>
      <c r="AE234" s="14">
        <f>IF(AD234&gt;0,MIN($N$2*$D$2*J234/(AD234*1000),MIN(J234/4,6*$H$2,150)),MIN(J234/4,6*$H$2,150))</f>
        <v>85.6375</v>
      </c>
      <c r="AF234" s="10">
        <f>0.66*SQRT($B$2)*(D234*1000)*J234/1000</f>
        <v>358.8956362</v>
      </c>
      <c r="AG234" s="15" t="str">
        <f>IF(AD234&lt;=AF234,"CUMPLE","AUMENTAR SECCION")</f>
        <v>CUMPLE</v>
      </c>
      <c r="AH234" s="10">
        <f>0.75*0.083*SQRT($B$2)*(((D234*1000)*(E234*1000))^2/(2*((D234*1000)+(E234*1000))))/1000000</f>
        <v>3.388073536</v>
      </c>
      <c r="AI234" s="15" t="str">
        <f>IF(I234&gt;AH234,"SI","No")</f>
        <v>No</v>
      </c>
      <c r="AJ234" s="11">
        <f>IF(I234&gt;AH234,I234*1000000/(0.75*2*0.85*((D234*1000-2*$F$2)*(E234*1000-2*$F$2))*$D$2),0)</f>
        <v>0</v>
      </c>
      <c r="AK234" s="10">
        <f>1.25*Q234*$D$2*(J234-(1.25*Q234*$D$2/(0.85*$B$2*(D234*1000)))/2)/1000000</f>
        <v>68.51839235</v>
      </c>
      <c r="AL234" s="10">
        <f>1.25*Z234*$D$2*(J234-(1.25*Z234*$D$2/(0.85*$B$2*(D234*1000)))/2)/1000000</f>
        <v>68.51839235</v>
      </c>
      <c r="AM234" s="10">
        <f>(AK234+AL234)/B234</f>
        <v>54.81471388</v>
      </c>
      <c r="AN234" s="10">
        <f>MAX(H234,AM234)</f>
        <v>54.81471388</v>
      </c>
    </row>
    <row r="235">
      <c r="A235" s="5" t="inlineStr">
        <is>
          <t>F242</t>
        </is>
      </c>
      <c r="B235" s="6" t="n">
        <v>2.6</v>
      </c>
      <c r="C235" s="7" t="inlineStr">
        <is>
          <t>VC</t>
        </is>
      </c>
      <c r="D235" s="8">
        <f>IF(C235="VR",0.35,0.30)</f>
        <v>0.3</v>
      </c>
      <c r="E235" s="6" t="n">
        <v>0.4</v>
      </c>
      <c r="F235" s="9" t="n">
        <v>22.2</v>
      </c>
      <c r="G235" s="9" t="n">
        <v>12.6</v>
      </c>
      <c r="H235" s="9" t="n">
        <v>47.2</v>
      </c>
      <c r="I235" s="6" t="n">
        <v>1.87</v>
      </c>
      <c r="J235" s="10">
        <f>E235*1000-$F$2-$L$2-$H$2/2</f>
        <v>342.55</v>
      </c>
      <c r="K235" s="11">
        <f>F235*1000000/(0.9*(D235*1000)*J235^2)</f>
        <v>0.7010303988</v>
      </c>
      <c r="L235" s="12">
        <f>(0.85*$B$2/$D$2)*(1-SQRT(1-2*K235/(0.85*$B$2)))</f>
        <v>0.001694453885</v>
      </c>
      <c r="M235" s="13">
        <f>L235*(D235*1000)*J235</f>
        <v>174.1305535</v>
      </c>
      <c r="N235" s="13">
        <f>MAX(0.25*SQRT($B$2)/$D$2,1.4/$D$2)*(D235*1000)*J235</f>
        <v>342.55</v>
      </c>
      <c r="O235" s="13">
        <f>MAX(M235,N235)</f>
        <v>342.55</v>
      </c>
      <c r="P235" s="14">
        <f>ROUNDUP(O235/$J$2,0)</f>
        <v>2</v>
      </c>
      <c r="Q235" s="13">
        <f>P235*$J$2</f>
        <v>398</v>
      </c>
      <c r="R235" s="10">
        <f>Q235*$D$2/(0.85*$B$2*(D235*1000))</f>
        <v>23.41176471</v>
      </c>
      <c r="S235" s="10">
        <f>0.9*Q235*$D$2*(J235-R235/2)/1000000</f>
        <v>49.77351244</v>
      </c>
      <c r="T235" s="15" t="str">
        <f>IF(AND(S235&gt;=F235,O235&lt;=0.025*(D235*1000)*J235,O235&gt;=N235),"CUMPLE","REVISAR")</f>
        <v>CUMPLE</v>
      </c>
      <c r="U235" s="11">
        <f>G235*1000000/(0.9*(D235*1000)*J235^2)</f>
        <v>0.3973873355</v>
      </c>
      <c r="V235" s="12">
        <f>(0.85*$B$2/$D$2)*(1-SQRT(1-2*U235/(0.85*$B$2)))</f>
        <v>0.0009541940246</v>
      </c>
      <c r="W235" s="13">
        <f>V235*(D235*1000)*J235</f>
        <v>98.05774894</v>
      </c>
      <c r="X235" s="13">
        <f>MAX(W235,N235)</f>
        <v>342.55</v>
      </c>
      <c r="Y235" s="14">
        <f>ROUNDUP(X235/$J$2,0)</f>
        <v>2</v>
      </c>
      <c r="Z235" s="13">
        <f>Y235*$J$2</f>
        <v>398</v>
      </c>
      <c r="AA235" s="10">
        <f>0.9*Z235*$D$2*(J235-(Z235*$D$2/(0.85*$B$2*(D235*1000)))/2)/1000000</f>
        <v>49.77351244</v>
      </c>
      <c r="AB235" s="15" t="str">
        <f>IF(AA235&gt;=G235,"CUMPLE","REVISAR")</f>
        <v>CUMPLE</v>
      </c>
      <c r="AC235" s="10">
        <f>0.17*SQRT($B$2)*(D235*1000)*J235/1000</f>
        <v>92.44281538</v>
      </c>
      <c r="AD235" s="10">
        <f>MAX(H235/0.75-AC235,0)</f>
        <v>0</v>
      </c>
      <c r="AE235" s="14">
        <f>IF(AD235&gt;0,MIN($N$2*$D$2*J235/(AD235*1000),MIN(J235/4,6*$H$2,150)),MIN(J235/4,6*$H$2,150))</f>
        <v>85.6375</v>
      </c>
      <c r="AF235" s="10">
        <f>0.66*SQRT($B$2)*(D235*1000)*J235/1000</f>
        <v>358.8956362</v>
      </c>
      <c r="AG235" s="15" t="str">
        <f>IF(AD235&lt;=AF235,"CUMPLE","AUMENTAR SECCION")</f>
        <v>CUMPLE</v>
      </c>
      <c r="AH235" s="10">
        <f>0.75*0.083*SQRT($B$2)*(((D235*1000)*(E235*1000))^2/(2*((D235*1000)+(E235*1000))))/1000000</f>
        <v>3.388073536</v>
      </c>
      <c r="AI235" s="15" t="str">
        <f>IF(I235&gt;AH235,"SI","No")</f>
        <v>No</v>
      </c>
      <c r="AJ235" s="11">
        <f>IF(I235&gt;AH235,I235*1000000/(0.75*2*0.85*((D235*1000-2*$F$2)*(E235*1000-2*$F$2))*$D$2),0)</f>
        <v>0</v>
      </c>
      <c r="AK235" s="10">
        <f>1.25*Q235*$D$2*(J235-(1.25*Q235*$D$2/(0.85*$B$2*(D235*1000)))/2)/1000000</f>
        <v>68.51839235</v>
      </c>
      <c r="AL235" s="10">
        <f>1.25*Z235*$D$2*(J235-(1.25*Z235*$D$2/(0.85*$B$2*(D235*1000)))/2)/1000000</f>
        <v>68.51839235</v>
      </c>
      <c r="AM235" s="10">
        <f>(AK235+AL235)/B235</f>
        <v>52.70645566</v>
      </c>
      <c r="AN235" s="10">
        <f>MAX(H235,AM235)</f>
        <v>52.70645566</v>
      </c>
    </row>
    <row r="236">
      <c r="A236" s="5" t="inlineStr">
        <is>
          <t>F243</t>
        </is>
      </c>
      <c r="B236" s="6" t="n">
        <v>3.65</v>
      </c>
      <c r="C236" s="7" t="inlineStr">
        <is>
          <t>VR</t>
        </is>
      </c>
      <c r="D236" s="8">
        <f>IF(C236="VR",0.35,0.30)</f>
        <v>0.35</v>
      </c>
      <c r="E236" s="6" t="n">
        <v>0.4</v>
      </c>
      <c r="F236" s="9" t="n">
        <v>38.4</v>
      </c>
      <c r="G236" s="9" t="n">
        <v>23.8</v>
      </c>
      <c r="H236" s="9" t="n">
        <v>110.4</v>
      </c>
      <c r="I236" s="6" t="n">
        <v>5.98</v>
      </c>
      <c r="J236" s="10">
        <f>E236*1000-$F$2-$L$2-$H$2/2</f>
        <v>342.55</v>
      </c>
      <c r="K236" s="11">
        <f>F236*1000000/(0.9*(D236*1000)*J236^2)</f>
        <v>1.039438654</v>
      </c>
      <c r="L236" s="12">
        <f>(0.85*$B$2/$D$2)*(1-SQRT(1-2*K236/(0.85*$B$2)))</f>
        <v>0.002531394756</v>
      </c>
      <c r="M236" s="13">
        <f>L236*(D236*1000)*J236</f>
        <v>303.4952458</v>
      </c>
      <c r="N236" s="13">
        <f>MAX(0.25*SQRT($B$2)/$D$2,1.4/$D$2)*(D236*1000)*J236</f>
        <v>399.6416667</v>
      </c>
      <c r="O236" s="13">
        <f>MAX(M236,N236)</f>
        <v>399.6416667</v>
      </c>
      <c r="P236" s="14">
        <f>ROUNDUP(O236/$J$2,0)</f>
        <v>3</v>
      </c>
      <c r="Q236" s="13">
        <f>P236*$J$2</f>
        <v>597</v>
      </c>
      <c r="R236" s="10">
        <f>Q236*$D$2/(0.85*$B$2*(D236*1000))</f>
        <v>30.10084034</v>
      </c>
      <c r="S236" s="10">
        <f>0.9*Q236*$D$2*(J236-R236/2)/1000000</f>
        <v>73.90552018</v>
      </c>
      <c r="T236" s="15" t="str">
        <f>IF(AND(S236&gt;=F236,O236&lt;=0.025*(D236*1000)*J236,O236&gt;=N236),"CUMPLE","REVISAR")</f>
        <v>CUMPLE</v>
      </c>
      <c r="U236" s="11">
        <f>G236*1000000/(0.9*(D236*1000)*J236^2)</f>
        <v>0.6447116898</v>
      </c>
      <c r="V236" s="12">
        <f>(0.85*$B$2/$D$2)*(1-SQRT(1-2*U236/(0.85*$B$2)))</f>
        <v>0.001556401833</v>
      </c>
      <c r="W236" s="13">
        <f>V236*(D236*1000)*J236</f>
        <v>186.6009067</v>
      </c>
      <c r="X236" s="13">
        <f>MAX(W236,N236)</f>
        <v>399.6416667</v>
      </c>
      <c r="Y236" s="14">
        <f>ROUNDUP(X236/$J$2,0)</f>
        <v>3</v>
      </c>
      <c r="Z236" s="13">
        <f>Y236*$J$2</f>
        <v>597</v>
      </c>
      <c r="AA236" s="10">
        <f>0.9*Z236*$D$2*(J236-(Z236*$D$2/(0.85*$B$2*(D236*1000)))/2)/1000000</f>
        <v>73.90552018</v>
      </c>
      <c r="AB236" s="15" t="str">
        <f>IF(AA236&gt;=G236,"CUMPLE","REVISAR")</f>
        <v>CUMPLE</v>
      </c>
      <c r="AC236" s="10">
        <f>0.17*SQRT($B$2)*(D236*1000)*J236/1000</f>
        <v>107.8499513</v>
      </c>
      <c r="AD236" s="10">
        <f>MAX(H236/0.75-AC236,0)</f>
        <v>39.40338205</v>
      </c>
      <c r="AE236" s="14">
        <f>IF(AD236&gt;0,MIN($N$2*$D$2*J236/(AD236*1000),MIN(J236/4,6*$H$2,150)),MIN(J236/4,6*$H$2,150))</f>
        <v>85.6375</v>
      </c>
      <c r="AF236" s="10">
        <f>0.66*SQRT($B$2)*(D236*1000)*J236/1000</f>
        <v>418.7115756</v>
      </c>
      <c r="AG236" s="15" t="str">
        <f>IF(AD236&lt;=AF236,"CUMPLE","AUMENTAR SECCION")</f>
        <v>CUMPLE</v>
      </c>
      <c r="AH236" s="10">
        <f>0.75*0.083*SQRT($B$2)*(((D236*1000)*(E236*1000))^2/(2*((D236*1000)+(E236*1000))))/1000000</f>
        <v>4.304108233</v>
      </c>
      <c r="AI236" s="15" t="str">
        <f>IF(I236&gt;AH236,"SI","No")</f>
        <v>SI</v>
      </c>
      <c r="AJ236" s="11">
        <f>IF(I236&gt;AH236,I236*1000000/(0.75*2*0.85*((D236*1000-2*$F$2)*(E236*1000-2*$F$2))*$D$2),0)</f>
        <v>0.1292924577</v>
      </c>
      <c r="AK236" s="10">
        <f>1.25*Q236*$D$2*(J236-(1.25*Q236*$D$2/(0.85*$B$2*(D236*1000)))/2)/1000000</f>
        <v>101.4672613</v>
      </c>
      <c r="AL236" s="10">
        <f>1.25*Z236*$D$2*(J236-(1.25*Z236*$D$2/(0.85*$B$2*(D236*1000)))/2)/1000000</f>
        <v>101.4672613</v>
      </c>
      <c r="AM236" s="10">
        <f>(AK236+AL236)/B236</f>
        <v>55.55283949</v>
      </c>
      <c r="AN236" s="10">
        <f>MAX(H236,AM236)</f>
        <v>110.44</v>
      </c>
    </row>
    <row r="237">
      <c r="A237" s="5" t="inlineStr">
        <is>
          <t>F244</t>
        </is>
      </c>
      <c r="B237" s="6" t="n">
        <v>2.6</v>
      </c>
      <c r="C237" s="7" t="inlineStr">
        <is>
          <t>VC</t>
        </is>
      </c>
      <c r="D237" s="8">
        <f>IF(C237="VR",0.35,0.30)</f>
        <v>0.3</v>
      </c>
      <c r="E237" s="6" t="n">
        <v>0.4</v>
      </c>
      <c r="F237" s="9" t="n">
        <v>26.3</v>
      </c>
      <c r="G237" s="9" t="n">
        <v>8.9</v>
      </c>
      <c r="H237" s="9" t="n">
        <v>46.2</v>
      </c>
      <c r="I237" s="6" t="n">
        <v>0.43</v>
      </c>
      <c r="J237" s="10">
        <f>E237*1000-$F$2-$L$2-$H$2/2</f>
        <v>342.55</v>
      </c>
      <c r="K237" s="11">
        <f>F237*1000000/(0.9*(D237*1000)*J237^2)</f>
        <v>0.829810409</v>
      </c>
      <c r="L237" s="12">
        <f>(0.85*$B$2/$D$2)*(1-SQRT(1-2*K237/(0.85*$B$2)))</f>
        <v>0.002011438036</v>
      </c>
      <c r="M237" s="13">
        <f>L237*(D237*1000)*J237</f>
        <v>206.7054298</v>
      </c>
      <c r="N237" s="13">
        <f>MAX(0.25*SQRT($B$2)/$D$2,1.4/$D$2)*(D237*1000)*J237</f>
        <v>342.55</v>
      </c>
      <c r="O237" s="13">
        <f>MAX(M237,N237)</f>
        <v>342.55</v>
      </c>
      <c r="P237" s="14">
        <f>ROUNDUP(O237/$J$2,0)</f>
        <v>2</v>
      </c>
      <c r="Q237" s="13">
        <f>P237*$J$2</f>
        <v>398</v>
      </c>
      <c r="R237" s="10">
        <f>Q237*$D$2/(0.85*$B$2*(D237*1000))</f>
        <v>23.41176471</v>
      </c>
      <c r="S237" s="10">
        <f>0.9*Q237*$D$2*(J237-R237/2)/1000000</f>
        <v>49.77351244</v>
      </c>
      <c r="T237" s="15" t="str">
        <f>IF(AND(S237&gt;=F237,O237&lt;=0.025*(D237*1000)*J237,O237&gt;=N237),"CUMPLE","REVISAR")</f>
        <v>CUMPLE</v>
      </c>
      <c r="U237" s="11">
        <f>G237*1000000/(0.9*(D237*1000)*J237^2)</f>
        <v>0.281864091</v>
      </c>
      <c r="V237" s="12">
        <f>(0.85*$B$2/$D$2)*(1-SQRT(1-2*U237/(0.85*$B$2)))</f>
        <v>0.0006751267086</v>
      </c>
      <c r="W237" s="13">
        <f>V237*(D237*1000)*J237</f>
        <v>69.37939621</v>
      </c>
      <c r="X237" s="13">
        <f>MAX(W237,N237)</f>
        <v>342.55</v>
      </c>
      <c r="Y237" s="14">
        <f>ROUNDUP(X237/$J$2,0)</f>
        <v>2</v>
      </c>
      <c r="Z237" s="13">
        <f>Y237*$J$2</f>
        <v>398</v>
      </c>
      <c r="AA237" s="10">
        <f>0.9*Z237*$D$2*(J237-(Z237*$D$2/(0.85*$B$2*(D237*1000)))/2)/1000000</f>
        <v>49.77351244</v>
      </c>
      <c r="AB237" s="15" t="str">
        <f>IF(AA237&gt;=G237,"CUMPLE","REVISAR")</f>
        <v>CUMPLE</v>
      </c>
      <c r="AC237" s="10">
        <f>0.17*SQRT($B$2)*(D237*1000)*J237/1000</f>
        <v>92.44281538</v>
      </c>
      <c r="AD237" s="10">
        <f>MAX(H237/0.75-AC237,0)</f>
        <v>0</v>
      </c>
      <c r="AE237" s="14">
        <f>IF(AD237&gt;0,MIN($N$2*$D$2*J237/(AD237*1000),MIN(J237/4,6*$H$2,150)),MIN(J237/4,6*$H$2,150))</f>
        <v>85.6375</v>
      </c>
      <c r="AF237" s="10">
        <f>0.66*SQRT($B$2)*(D237*1000)*J237/1000</f>
        <v>358.8956362</v>
      </c>
      <c r="AG237" s="15" t="str">
        <f>IF(AD237&lt;=AF237,"CUMPLE","AUMENTAR SECCION")</f>
        <v>CUMPLE</v>
      </c>
      <c r="AH237" s="10">
        <f>0.75*0.083*SQRT($B$2)*(((D237*1000)*(E237*1000))^2/(2*((D237*1000)+(E237*1000))))/1000000</f>
        <v>3.388073536</v>
      </c>
      <c r="AI237" s="15" t="str">
        <f>IF(I237&gt;AH237,"SI","No")</f>
        <v>No</v>
      </c>
      <c r="AJ237" s="11">
        <f>IF(I237&gt;AH237,I237*1000000/(0.75*2*0.85*((D237*1000-2*$F$2)*(E237*1000-2*$F$2))*$D$2),0)</f>
        <v>0</v>
      </c>
      <c r="AK237" s="10">
        <f>1.25*Q237*$D$2*(J237-(1.25*Q237*$D$2/(0.85*$B$2*(D237*1000)))/2)/1000000</f>
        <v>68.51839235</v>
      </c>
      <c r="AL237" s="10">
        <f>1.25*Z237*$D$2*(J237-(1.25*Z237*$D$2/(0.85*$B$2*(D237*1000)))/2)/1000000</f>
        <v>68.51839235</v>
      </c>
      <c r="AM237" s="10">
        <f>(AK237+AL237)/B237</f>
        <v>52.70645566</v>
      </c>
      <c r="AN237" s="10">
        <f>MAX(H237,AM237)</f>
        <v>52.70645566</v>
      </c>
    </row>
    <row r="238">
      <c r="A238" s="5" t="inlineStr">
        <is>
          <t>F245</t>
        </is>
      </c>
      <c r="B238" s="6" t="n">
        <v>2.6</v>
      </c>
      <c r="C238" s="7" t="inlineStr">
        <is>
          <t>VC</t>
        </is>
      </c>
      <c r="D238" s="8">
        <f>IF(C238="VR",0.35,0.30)</f>
        <v>0.3</v>
      </c>
      <c r="E238" s="6" t="n">
        <v>0.4</v>
      </c>
      <c r="F238" s="9" t="n">
        <v>27</v>
      </c>
      <c r="G238" s="9" t="n">
        <v>11</v>
      </c>
      <c r="H238" s="9" t="n">
        <v>54.7</v>
      </c>
      <c r="I238" s="6" t="n">
        <v>5.53</v>
      </c>
      <c r="J238" s="10">
        <f>E238*1000-$F$2-$L$2-$H$2/2</f>
        <v>342.55</v>
      </c>
      <c r="K238" s="11">
        <f>F238*1000000/(0.9*(D238*1000)*J238^2)</f>
        <v>0.8522206559</v>
      </c>
      <c r="L238" s="12">
        <f>(0.85*$B$2/$D$2)*(1-SQRT(1-2*K238/(0.85*$B$2)))</f>
        <v>0.00206678748</v>
      </c>
      <c r="M238" s="13">
        <f>L238*(D238*1000)*J238</f>
        <v>212.3934154</v>
      </c>
      <c r="N238" s="13">
        <f>MAX(0.25*SQRT($B$2)/$D$2,1.4/$D$2)*(D238*1000)*J238</f>
        <v>342.55</v>
      </c>
      <c r="O238" s="13">
        <f>MAX(M238,N238)</f>
        <v>342.55</v>
      </c>
      <c r="P238" s="14">
        <f>ROUNDUP(O238/$J$2,0)</f>
        <v>2</v>
      </c>
      <c r="Q238" s="13">
        <f>P238*$J$2</f>
        <v>398</v>
      </c>
      <c r="R238" s="10">
        <f>Q238*$D$2/(0.85*$B$2*(D238*1000))</f>
        <v>23.41176471</v>
      </c>
      <c r="S238" s="10">
        <f>0.9*Q238*$D$2*(J238-R238/2)/1000000</f>
        <v>49.77351244</v>
      </c>
      <c r="T238" s="15" t="str">
        <f>IF(AND(S238&gt;=F238,O238&lt;=0.025*(D238*1000)*J238,O238&gt;=N238),"CUMPLE","REVISAR")</f>
        <v>CUMPLE</v>
      </c>
      <c r="U238" s="11">
        <f>G238*1000000/(0.9*(D238*1000)*J238^2)</f>
        <v>0.3484635571</v>
      </c>
      <c r="V238" s="12">
        <f>(0.85*$B$2/$D$2)*(1-SQRT(1-2*U238/(0.85*$B$2)))</f>
        <v>0.0008358394976</v>
      </c>
      <c r="W238" s="13">
        <f>V238*(D238*1000)*J238</f>
        <v>85.89504597</v>
      </c>
      <c r="X238" s="13">
        <f>MAX(W238,N238)</f>
        <v>342.55</v>
      </c>
      <c r="Y238" s="14">
        <f>ROUNDUP(X238/$J$2,0)</f>
        <v>2</v>
      </c>
      <c r="Z238" s="13">
        <f>Y238*$J$2</f>
        <v>398</v>
      </c>
      <c r="AA238" s="10">
        <f>0.9*Z238*$D$2*(J238-(Z238*$D$2/(0.85*$B$2*(D238*1000)))/2)/1000000</f>
        <v>49.77351244</v>
      </c>
      <c r="AB238" s="15" t="str">
        <f>IF(AA238&gt;=G238,"CUMPLE","REVISAR")</f>
        <v>CUMPLE</v>
      </c>
      <c r="AC238" s="10">
        <f>0.17*SQRT($B$2)*(D238*1000)*J238/1000</f>
        <v>92.44281538</v>
      </c>
      <c r="AD238" s="10">
        <f>MAX(H238/0.75-AC238,0)</f>
        <v>0</v>
      </c>
      <c r="AE238" s="14">
        <f>IF(AD238&gt;0,MIN($N$2*$D$2*J238/(AD238*1000),MIN(J238/4,6*$H$2,150)),MIN(J238/4,6*$H$2,150))</f>
        <v>85.6375</v>
      </c>
      <c r="AF238" s="10">
        <f>0.66*SQRT($B$2)*(D238*1000)*J238/1000</f>
        <v>358.8956362</v>
      </c>
      <c r="AG238" s="15" t="str">
        <f>IF(AD238&lt;=AF238,"CUMPLE","AUMENTAR SECCION")</f>
        <v>CUMPLE</v>
      </c>
      <c r="AH238" s="10">
        <f>0.75*0.083*SQRT($B$2)*(((D238*1000)*(E238*1000))^2/(2*((D238*1000)+(E238*1000))))/1000000</f>
        <v>3.388073536</v>
      </c>
      <c r="AI238" s="15" t="str">
        <f>IF(I238&gt;AH238,"SI","No")</f>
        <v>SI</v>
      </c>
      <c r="AJ238" s="11">
        <f>IF(I238&gt;AH238,I238*1000000/(0.75*2*0.85*((D238*1000-2*$F$2)*(E238*1000-2*$F$2))*$D$2),0)</f>
        <v>0.1467405144</v>
      </c>
      <c r="AK238" s="10">
        <f>1.25*Q238*$D$2*(J238-(1.25*Q238*$D$2/(0.85*$B$2*(D238*1000)))/2)/1000000</f>
        <v>68.51839235</v>
      </c>
      <c r="AL238" s="10">
        <f>1.25*Z238*$D$2*(J238-(1.25*Z238*$D$2/(0.85*$B$2*(D238*1000)))/2)/1000000</f>
        <v>68.51839235</v>
      </c>
      <c r="AM238" s="10">
        <f>(AK238+AL238)/B238</f>
        <v>52.70645566</v>
      </c>
      <c r="AN238" s="10">
        <f>MAX(H238,AM238)</f>
        <v>54.73</v>
      </c>
    </row>
    <row r="239">
      <c r="A239" s="5" t="inlineStr">
        <is>
          <t>F246</t>
        </is>
      </c>
      <c r="B239" s="6" t="n">
        <v>3.65</v>
      </c>
      <c r="C239" s="7" t="inlineStr">
        <is>
          <t>VR</t>
        </is>
      </c>
      <c r="D239" s="8">
        <f>IF(C239="VR",0.35,0.30)</f>
        <v>0.35</v>
      </c>
      <c r="E239" s="6" t="n">
        <v>0.4</v>
      </c>
      <c r="F239" s="9" t="n">
        <v>45.1</v>
      </c>
      <c r="G239" s="9" t="n">
        <v>21.8</v>
      </c>
      <c r="H239" s="9" t="n">
        <v>72.40000000000001</v>
      </c>
      <c r="I239" s="6" t="n">
        <v>0.15</v>
      </c>
      <c r="J239" s="10">
        <f>E239*1000-$F$2-$L$2-$H$2/2</f>
        <v>342.55</v>
      </c>
      <c r="K239" s="11">
        <f>F239*1000000/(0.9*(D239*1000)*J239^2)</f>
        <v>1.220434088</v>
      </c>
      <c r="L239" s="12">
        <f>(0.85*$B$2/$D$2)*(1-SQRT(1-2*K239/(0.85*$B$2)))</f>
        <v>0.00298438256</v>
      </c>
      <c r="M239" s="13">
        <f>L239*(D239*1000)*J239</f>
        <v>357.8050861</v>
      </c>
      <c r="N239" s="13">
        <f>MAX(0.25*SQRT($B$2)/$D$2,1.4/$D$2)*(D239*1000)*J239</f>
        <v>399.6416667</v>
      </c>
      <c r="O239" s="13">
        <f>MAX(M239,N239)</f>
        <v>399.6416667</v>
      </c>
      <c r="P239" s="14">
        <f>ROUNDUP(O239/$J$2,0)</f>
        <v>3</v>
      </c>
      <c r="Q239" s="13">
        <f>P239*$J$2</f>
        <v>597</v>
      </c>
      <c r="R239" s="10">
        <f>Q239*$D$2/(0.85*$B$2*(D239*1000))</f>
        <v>30.10084034</v>
      </c>
      <c r="S239" s="10">
        <f>0.9*Q239*$D$2*(J239-R239/2)/1000000</f>
        <v>73.90552018</v>
      </c>
      <c r="T239" s="15" t="str">
        <f>IF(AND(S239&gt;=F239,O239&lt;=0.025*(D239*1000)*J239,O239&gt;=N239),"CUMPLE","REVISAR")</f>
        <v>CUMPLE</v>
      </c>
      <c r="U239" s="11">
        <f>G239*1000000/(0.9*(D239*1000)*J239^2)</f>
        <v>0.5884380719</v>
      </c>
      <c r="V239" s="12">
        <f>(0.85*$B$2/$D$2)*(1-SQRT(1-2*U239/(0.85*$B$2)))</f>
        <v>0.001418804857</v>
      </c>
      <c r="W239" s="13">
        <f>V239*(D239*1000)*J239</f>
        <v>170.1040613</v>
      </c>
      <c r="X239" s="13">
        <f>MAX(W239,N239)</f>
        <v>399.6416667</v>
      </c>
      <c r="Y239" s="14">
        <f>ROUNDUP(X239/$J$2,0)</f>
        <v>3</v>
      </c>
      <c r="Z239" s="13">
        <f>Y239*$J$2</f>
        <v>597</v>
      </c>
      <c r="AA239" s="10">
        <f>0.9*Z239*$D$2*(J239-(Z239*$D$2/(0.85*$B$2*(D239*1000)))/2)/1000000</f>
        <v>73.90552018</v>
      </c>
      <c r="AB239" s="15" t="str">
        <f>IF(AA239&gt;=G239,"CUMPLE","REVISAR")</f>
        <v>CUMPLE</v>
      </c>
      <c r="AC239" s="10">
        <f>0.17*SQRT($B$2)*(D239*1000)*J239/1000</f>
        <v>107.8499513</v>
      </c>
      <c r="AD239" s="10">
        <f>MAX(H239/0.75-AC239,0)</f>
        <v>0</v>
      </c>
      <c r="AE239" s="14">
        <f>IF(AD239&gt;0,MIN($N$2*$D$2*J239/(AD239*1000),MIN(J239/4,6*$H$2,150)),MIN(J239/4,6*$H$2,150))</f>
        <v>85.6375</v>
      </c>
      <c r="AF239" s="10">
        <f>0.66*SQRT($B$2)*(D239*1000)*J239/1000</f>
        <v>418.7115756</v>
      </c>
      <c r="AG239" s="15" t="str">
        <f>IF(AD239&lt;=AF239,"CUMPLE","AUMENTAR SECCION")</f>
        <v>CUMPLE</v>
      </c>
      <c r="AH239" s="10">
        <f>0.75*0.083*SQRT($B$2)*(((D239*1000)*(E239*1000))^2/(2*((D239*1000)+(E239*1000))))/1000000</f>
        <v>4.304108233</v>
      </c>
      <c r="AI239" s="15" t="str">
        <f>IF(I239&gt;AH239,"SI","No")</f>
        <v>No</v>
      </c>
      <c r="AJ239" s="11">
        <f>IF(I239&gt;AH239,I239*1000000/(0.75*2*0.85*((D239*1000-2*$F$2)*(E239*1000-2*$F$2))*$D$2),0)</f>
        <v>0</v>
      </c>
      <c r="AK239" s="10">
        <f>1.25*Q239*$D$2*(J239-(1.25*Q239*$D$2/(0.85*$B$2*(D239*1000)))/2)/1000000</f>
        <v>101.4672613</v>
      </c>
      <c r="AL239" s="10">
        <f>1.25*Z239*$D$2*(J239-(1.25*Z239*$D$2/(0.85*$B$2*(D239*1000)))/2)/1000000</f>
        <v>101.4672613</v>
      </c>
      <c r="AM239" s="10">
        <f>(AK239+AL239)/B239</f>
        <v>55.59849936</v>
      </c>
      <c r="AN239" s="10">
        <f>MAX(H239,AM239)</f>
        <v>72.4</v>
      </c>
    </row>
    <row r="240">
      <c r="A240" s="5" t="inlineStr">
        <is>
          <t>F247</t>
        </is>
      </c>
      <c r="B240" s="6" t="n">
        <v>2.6</v>
      </c>
      <c r="C240" s="7" t="inlineStr">
        <is>
          <t>VC</t>
        </is>
      </c>
      <c r="D240" s="8">
        <f>IF(C240="VR",0.35,0.30)</f>
        <v>0.3</v>
      </c>
      <c r="E240" s="6" t="n">
        <v>0.4</v>
      </c>
      <c r="F240" s="9" t="n">
        <v>26</v>
      </c>
      <c r="G240" s="9" t="n">
        <v>11</v>
      </c>
      <c r="H240" s="9" t="n">
        <v>53.9</v>
      </c>
      <c r="I240" s="6" t="n">
        <v>0.06</v>
      </c>
      <c r="J240" s="10">
        <f>E240*1000-$F$2-$L$2-$H$2/2</f>
        <v>342.55</v>
      </c>
      <c r="K240" s="11">
        <f>F240*1000000/(0.9*(D240*1000)*J240^2)</f>
        <v>0.819710016</v>
      </c>
      <c r="L240" s="12">
        <f>(0.85*$B$2/$D$2)*(1-SQRT(1-2*K240/(0.85*$B$2)))</f>
        <v>0.001986510124</v>
      </c>
      <c r="M240" s="13">
        <f>L240*(D240*1000)*J240</f>
        <v>204.1437129</v>
      </c>
      <c r="N240" s="13">
        <f>MAX(0.25*SQRT($B$2)/$D$2,1.4/$D$2)*(D240*1000)*J240</f>
        <v>342.55</v>
      </c>
      <c r="O240" s="13">
        <f>MAX(M240,N240)</f>
        <v>342.55</v>
      </c>
      <c r="P240" s="14">
        <f>ROUNDUP(O240/$J$2,0)</f>
        <v>2</v>
      </c>
      <c r="Q240" s="13">
        <f>P240*$J$2</f>
        <v>398</v>
      </c>
      <c r="R240" s="10">
        <f>Q240*$D$2/(0.85*$B$2*(D240*1000))</f>
        <v>23.41176471</v>
      </c>
      <c r="S240" s="10">
        <f>0.9*Q240*$D$2*(J240-R240/2)/1000000</f>
        <v>49.77351244</v>
      </c>
      <c r="T240" s="15" t="str">
        <f>IF(AND(S240&gt;=F240,O240&lt;=0.025*(D240*1000)*J240,O240&gt;=N240),"CUMPLE","REVISAR")</f>
        <v>CUMPLE</v>
      </c>
      <c r="U240" s="11">
        <f>G240*1000000/(0.9*(D240*1000)*J240^2)</f>
        <v>0.3484635571</v>
      </c>
      <c r="V240" s="12">
        <f>(0.85*$B$2/$D$2)*(1-SQRT(1-2*U240/(0.85*$B$2)))</f>
        <v>0.0008358394976</v>
      </c>
      <c r="W240" s="13">
        <f>V240*(D240*1000)*J240</f>
        <v>85.89504597</v>
      </c>
      <c r="X240" s="13">
        <f>MAX(W240,N240)</f>
        <v>342.55</v>
      </c>
      <c r="Y240" s="14">
        <f>ROUNDUP(X240/$J$2,0)</f>
        <v>2</v>
      </c>
      <c r="Z240" s="13">
        <f>Y240*$J$2</f>
        <v>398</v>
      </c>
      <c r="AA240" s="10">
        <f>0.9*Z240*$D$2*(J240-(Z240*$D$2/(0.85*$B$2*(D240*1000)))/2)/1000000</f>
        <v>49.77351244</v>
      </c>
      <c r="AB240" s="15" t="str">
        <f>IF(AA240&gt;=G240,"CUMPLE","REVISAR")</f>
        <v>CUMPLE</v>
      </c>
      <c r="AC240" s="10">
        <f>0.17*SQRT($B$2)*(D240*1000)*J240/1000</f>
        <v>92.44281538</v>
      </c>
      <c r="AD240" s="10">
        <f>MAX(H240/0.75-AC240,0)</f>
        <v>0</v>
      </c>
      <c r="AE240" s="14">
        <f>IF(AD240&gt;0,MIN($N$2*$D$2*J240/(AD240*1000),MIN(J240/4,6*$H$2,150)),MIN(J240/4,6*$H$2,150))</f>
        <v>85.6375</v>
      </c>
      <c r="AF240" s="10">
        <f>0.66*SQRT($B$2)*(D240*1000)*J240/1000</f>
        <v>358.8956362</v>
      </c>
      <c r="AG240" s="15" t="str">
        <f>IF(AD240&lt;=AF240,"CUMPLE","AUMENTAR SECCION")</f>
        <v>CUMPLE</v>
      </c>
      <c r="AH240" s="10">
        <f>0.75*0.083*SQRT($B$2)*(((D240*1000)*(E240*1000))^2/(2*((D240*1000)+(E240*1000))))/1000000</f>
        <v>3.388073536</v>
      </c>
      <c r="AI240" s="15" t="str">
        <f>IF(I240&gt;AH240,"SI","No")</f>
        <v>No</v>
      </c>
      <c r="AJ240" s="11">
        <f>IF(I240&gt;AH240,I240*1000000/(0.75*2*0.85*((D240*1000-2*$F$2)*(E240*1000-2*$F$2))*$D$2),0)</f>
        <v>0</v>
      </c>
      <c r="AK240" s="10">
        <f>1.25*Q240*$D$2*(J240-(1.25*Q240*$D$2/(0.85*$B$2*(D240*1000)))/2)/1000000</f>
        <v>68.51839235</v>
      </c>
      <c r="AL240" s="10">
        <f>1.25*Z240*$D$2*(J240-(1.25*Z240*$D$2/(0.85*$B$2*(D240*1000)))/2)/1000000</f>
        <v>68.51839235</v>
      </c>
      <c r="AM240" s="10">
        <f>(AK240+AL240)/B240</f>
        <v>52.70645566</v>
      </c>
      <c r="AN240" s="10">
        <f>MAX(H240,AM240)</f>
        <v>53.94</v>
      </c>
    </row>
    <row r="241">
      <c r="A241" s="5" t="inlineStr">
        <is>
          <t>F248</t>
        </is>
      </c>
      <c r="B241" s="6" t="n">
        <v>2.5</v>
      </c>
      <c r="C241" s="7" t="inlineStr">
        <is>
          <t>VC</t>
        </is>
      </c>
      <c r="D241" s="8">
        <f>IF(C241="VR",0.35,0.30)</f>
        <v>0.3</v>
      </c>
      <c r="E241" s="6" t="n">
        <v>0.4</v>
      </c>
      <c r="F241" s="9" t="n">
        <v>27.2</v>
      </c>
      <c r="G241" s="9" t="n">
        <v>10.3</v>
      </c>
      <c r="H241" s="9" t="n">
        <v>54.4</v>
      </c>
      <c r="I241" s="6" t="n">
        <v>0.29</v>
      </c>
      <c r="J241" s="10">
        <f>E241*1000-$F$2-$L$2-$H$2/2</f>
        <v>342.55</v>
      </c>
      <c r="K241" s="11">
        <f>F241*1000000/(0.9*(D241*1000)*J241^2)</f>
        <v>0.8585334015</v>
      </c>
      <c r="L241" s="12">
        <f>(0.85*$B$2/$D$2)*(1-SQRT(1-2*K241/(0.85*$B$2)))</f>
        <v>0.002082389005</v>
      </c>
      <c r="M241" s="13">
        <f>L241*(D241*1000)*J241</f>
        <v>213.9967061</v>
      </c>
      <c r="N241" s="13">
        <f>MAX(0.25*SQRT($B$2)/$D$2,1.4/$D$2)*(D241*1000)*J241</f>
        <v>342.55</v>
      </c>
      <c r="O241" s="13">
        <f>MAX(M241,N241)</f>
        <v>342.55</v>
      </c>
      <c r="P241" s="14">
        <f>ROUNDUP(O241/$J$2,0)</f>
        <v>2</v>
      </c>
      <c r="Q241" s="13">
        <f>P241*$J$2</f>
        <v>398</v>
      </c>
      <c r="R241" s="10">
        <f>Q241*$D$2/(0.85*$B$2*(D241*1000))</f>
        <v>23.41176471</v>
      </c>
      <c r="S241" s="10">
        <f>0.9*Q241*$D$2*(J241-R241/2)/1000000</f>
        <v>49.77351244</v>
      </c>
      <c r="T241" s="15" t="str">
        <f>IF(AND(S241&gt;=F241,O241&lt;=0.025*(D241*1000)*J241,O241&gt;=N241),"CUMPLE","REVISAR")</f>
        <v>CUMPLE</v>
      </c>
      <c r="U241" s="11">
        <f>G241*1000000/(0.9*(D241*1000)*J241^2)</f>
        <v>0.3263689475</v>
      </c>
      <c r="V241" s="12">
        <f>(0.85*$B$2/$D$2)*(1-SQRT(1-2*U241/(0.85*$B$2)))</f>
        <v>0.0007824712274</v>
      </c>
      <c r="W241" s="13">
        <f>V241*(D241*1000)*J241</f>
        <v>80.41065569</v>
      </c>
      <c r="X241" s="13">
        <f>MAX(W241,N241)</f>
        <v>342.55</v>
      </c>
      <c r="Y241" s="14">
        <f>ROUNDUP(X241/$J$2,0)</f>
        <v>2</v>
      </c>
      <c r="Z241" s="13">
        <f>Y241*$J$2</f>
        <v>398</v>
      </c>
      <c r="AA241" s="10">
        <f>0.9*Z241*$D$2*(J241-(Z241*$D$2/(0.85*$B$2*(D241*1000)))/2)/1000000</f>
        <v>49.77351244</v>
      </c>
      <c r="AB241" s="15" t="str">
        <f>IF(AA241&gt;=G241,"CUMPLE","REVISAR")</f>
        <v>CUMPLE</v>
      </c>
      <c r="AC241" s="10">
        <f>0.17*SQRT($B$2)*(D241*1000)*J241/1000</f>
        <v>92.44281538</v>
      </c>
      <c r="AD241" s="10">
        <f>MAX(H241/0.75-AC241,0)</f>
        <v>0</v>
      </c>
      <c r="AE241" s="14">
        <f>IF(AD241&gt;0,MIN($N$2*$D$2*J241/(AD241*1000),MIN(J241/4,6*$H$2,150)),MIN(J241/4,6*$H$2,150))</f>
        <v>85.6375</v>
      </c>
      <c r="AF241" s="10">
        <f>0.66*SQRT($B$2)*(D241*1000)*J241/1000</f>
        <v>358.8956362</v>
      </c>
      <c r="AG241" s="15" t="str">
        <f>IF(AD241&lt;=AF241,"CUMPLE","AUMENTAR SECCION")</f>
        <v>CUMPLE</v>
      </c>
      <c r="AH241" s="10">
        <f>0.75*0.083*SQRT($B$2)*(((D241*1000)*(E241*1000))^2/(2*((D241*1000)+(E241*1000))))/1000000</f>
        <v>3.388073536</v>
      </c>
      <c r="AI241" s="15" t="str">
        <f>IF(I241&gt;AH241,"SI","No")</f>
        <v>No</v>
      </c>
      <c r="AJ241" s="11">
        <f>IF(I241&gt;AH241,I241*1000000/(0.75*2*0.85*((D241*1000-2*$F$2)*(E241*1000-2*$F$2))*$D$2),0)</f>
        <v>0</v>
      </c>
      <c r="AK241" s="10">
        <f>1.25*Q241*$D$2*(J241-(1.25*Q241*$D$2/(0.85*$B$2*(D241*1000)))/2)/1000000</f>
        <v>68.51839235</v>
      </c>
      <c r="AL241" s="10">
        <f>1.25*Z241*$D$2*(J241-(1.25*Z241*$D$2/(0.85*$B$2*(D241*1000)))/2)/1000000</f>
        <v>68.51839235</v>
      </c>
      <c r="AM241" s="10">
        <f>(AK241+AL241)/B241</f>
        <v>54.81471388</v>
      </c>
      <c r="AN241" s="10">
        <f>MAX(H241,AM241)</f>
        <v>54.81471388</v>
      </c>
    </row>
    <row r="242">
      <c r="A242" s="5" t="inlineStr">
        <is>
          <t>F249</t>
        </is>
      </c>
      <c r="B242" s="6" t="n">
        <v>4</v>
      </c>
      <c r="C242" s="7" t="inlineStr">
        <is>
          <t>VC</t>
        </is>
      </c>
      <c r="D242" s="8">
        <f>IF(C242="VR",0.35,0.30)</f>
        <v>0.3</v>
      </c>
      <c r="E242" s="6" t="n">
        <v>0.4</v>
      </c>
      <c r="F242" s="9" t="n">
        <v>59.2</v>
      </c>
      <c r="G242" s="9" t="n">
        <v>26.1</v>
      </c>
      <c r="H242" s="9" t="n">
        <v>81.90000000000001</v>
      </c>
      <c r="I242" s="6" t="n">
        <v>4.48</v>
      </c>
      <c r="J242" s="10">
        <f>E242*1000-$F$2-$L$2-$H$2/2</f>
        <v>342.55</v>
      </c>
      <c r="K242" s="11">
        <f>F242*1000000/(0.9*(D242*1000)*J242^2)</f>
        <v>1.870150884</v>
      </c>
      <c r="L242" s="12">
        <f>(0.85*$B$2/$D$2)*(1-SQRT(1-2*K242/(0.85*$B$2)))</f>
        <v>0.004642948789</v>
      </c>
      <c r="M242" s="13">
        <f>L242*(D242*1000)*J242</f>
        <v>477.1326323</v>
      </c>
      <c r="N242" s="13">
        <f>MAX(0.25*SQRT($B$2)/$D$2,1.4/$D$2)*(D242*1000)*J242</f>
        <v>342.55</v>
      </c>
      <c r="O242" s="13">
        <f>MAX(M242,N242)</f>
        <v>477.1326323</v>
      </c>
      <c r="P242" s="14">
        <f>ROUNDUP(O242/$J$2,0)</f>
        <v>3</v>
      </c>
      <c r="Q242" s="13">
        <f>P242*$J$2</f>
        <v>597</v>
      </c>
      <c r="R242" s="10">
        <f>Q242*$D$2/(0.85*$B$2*(D242*1000))</f>
        <v>35.11764706</v>
      </c>
      <c r="S242" s="10">
        <f>0.9*Q242*$D$2*(J242-R242/2)/1000000</f>
        <v>73.33945883</v>
      </c>
      <c r="T242" s="15" t="str">
        <f>IF(AND(S242&gt;=F242,O242&lt;=0.025*(D242*1000)*J242,O242&gt;=N242),"CUMPLE","REVISAR")</f>
        <v>CUMPLE</v>
      </c>
      <c r="U242" s="11">
        <f>G242*1000000/(0.9*(D242*1000)*J242^2)</f>
        <v>0.8247602125</v>
      </c>
      <c r="V242" s="12">
        <f>(0.85*$B$2/$D$2)*(1-SQRT(1-2*U242/(0.85*$B$2)))</f>
        <v>0.00199897266</v>
      </c>
      <c r="W242" s="13">
        <f>V242*(D242*1000)*J242</f>
        <v>205.4244254</v>
      </c>
      <c r="X242" s="13">
        <f>MAX(W242,N242)</f>
        <v>342.55</v>
      </c>
      <c r="Y242" s="14">
        <f>ROUNDUP(X242/$J$2,0)</f>
        <v>2</v>
      </c>
      <c r="Z242" s="13">
        <f>Y242*$J$2</f>
        <v>398</v>
      </c>
      <c r="AA242" s="10">
        <f>0.9*Z242*$D$2*(J242-(Z242*$D$2/(0.85*$B$2*(D242*1000)))/2)/1000000</f>
        <v>49.77351244</v>
      </c>
      <c r="AB242" s="15" t="str">
        <f>IF(AA242&gt;=G242,"CUMPLE","REVISAR")</f>
        <v>CUMPLE</v>
      </c>
      <c r="AC242" s="10">
        <f>0.17*SQRT($B$2)*(D242*1000)*J242/1000</f>
        <v>92.44281538</v>
      </c>
      <c r="AD242" s="10">
        <f>MAX(H242/0.75-AC242,0)</f>
        <v>16.73051795</v>
      </c>
      <c r="AE242" s="14">
        <f>IF(AD242&gt;0,MIN($N$2*$D$2*J242/(AD242*1000),MIN(J242/4,6*$H$2,150)),MIN(J242/4,6*$H$2,150))</f>
        <v>85.6375</v>
      </c>
      <c r="AF242" s="10">
        <f>0.66*SQRT($B$2)*(D242*1000)*J242/1000</f>
        <v>358.8956362</v>
      </c>
      <c r="AG242" s="15" t="str">
        <f>IF(AD242&lt;=AF242,"CUMPLE","AUMENTAR SECCION")</f>
        <v>CUMPLE</v>
      </c>
      <c r="AH242" s="10">
        <f>0.75*0.083*SQRT($B$2)*(((D242*1000)*(E242*1000))^2/(2*((D242*1000)+(E242*1000))))/1000000</f>
        <v>3.388073536</v>
      </c>
      <c r="AI242" s="15" t="str">
        <f>IF(I242&gt;AH242,"SI","No")</f>
        <v>SI</v>
      </c>
      <c r="AJ242" s="11">
        <f>IF(I242&gt;AH242,I242*1000000/(0.75*2*0.85*((D242*1000-2*$F$2)*(E242*1000-2*$F$2))*$D$2),0)</f>
        <v>0.1187558357</v>
      </c>
      <c r="AK242" s="10">
        <f>1.25*Q242*$D$2*(J242-(1.25*Q242*$D$2/(0.85*$B$2*(D242*1000)))/2)/1000000</f>
        <v>100.4845159</v>
      </c>
      <c r="AL242" s="10">
        <f>1.25*Z242*$D$2*(J242-(1.25*Z242*$D$2/(0.85*$B$2*(D242*1000)))/2)/1000000</f>
        <v>68.51839235</v>
      </c>
      <c r="AM242" s="10">
        <f>(AK242+AL242)/B242</f>
        <v>42.25072707</v>
      </c>
      <c r="AN242" s="10">
        <f>MAX(H242,AM242)</f>
        <v>81.88</v>
      </c>
    </row>
    <row r="243">
      <c r="A243" s="5" t="inlineStr">
        <is>
          <t>F250</t>
        </is>
      </c>
      <c r="B243" s="6" t="n">
        <v>4</v>
      </c>
      <c r="C243" s="7" t="inlineStr">
        <is>
          <t>VC</t>
        </is>
      </c>
      <c r="D243" s="8">
        <f>IF(C243="VR",0.35,0.30)</f>
        <v>0.3</v>
      </c>
      <c r="E243" s="6" t="n">
        <v>0.4</v>
      </c>
      <c r="F243" s="9" t="n">
        <v>59.2</v>
      </c>
      <c r="G243" s="9" t="n">
        <v>26.1</v>
      </c>
      <c r="H243" s="9" t="n">
        <v>81.90000000000001</v>
      </c>
      <c r="I243" s="6" t="n">
        <v>4.49</v>
      </c>
      <c r="J243" s="10">
        <f>E243*1000-$F$2-$L$2-$H$2/2</f>
        <v>342.55</v>
      </c>
      <c r="K243" s="11">
        <f>F243*1000000/(0.9*(D243*1000)*J243^2)</f>
        <v>1.869203972</v>
      </c>
      <c r="L243" s="12">
        <f>(0.85*$B$2/$D$2)*(1-SQRT(1-2*K243/(0.85*$B$2)))</f>
        <v>0.004640493083</v>
      </c>
      <c r="M243" s="13">
        <f>L243*(D243*1000)*J243</f>
        <v>476.8802717</v>
      </c>
      <c r="N243" s="13">
        <f>MAX(0.25*SQRT($B$2)/$D$2,1.4/$D$2)*(D243*1000)*J243</f>
        <v>342.55</v>
      </c>
      <c r="O243" s="13">
        <f>MAX(M243,N243)</f>
        <v>476.8802717</v>
      </c>
      <c r="P243" s="14">
        <f>ROUNDUP(O243/$J$2,0)</f>
        <v>3</v>
      </c>
      <c r="Q243" s="13">
        <f>P243*$J$2</f>
        <v>597</v>
      </c>
      <c r="R243" s="10">
        <f>Q243*$D$2/(0.85*$B$2*(D243*1000))</f>
        <v>35.11764706</v>
      </c>
      <c r="S243" s="10">
        <f>0.9*Q243*$D$2*(J243-R243/2)/1000000</f>
        <v>73.33945883</v>
      </c>
      <c r="T243" s="15" t="str">
        <f>IF(AND(S243&gt;=F243,O243&lt;=0.025*(D243*1000)*J243,O243&gt;=N243),"CUMPLE","REVISAR")</f>
        <v>CUMPLE</v>
      </c>
      <c r="U243" s="11">
        <f>G243*1000000/(0.9*(D243*1000)*J243^2)</f>
        <v>0.8247602125</v>
      </c>
      <c r="V243" s="12">
        <f>(0.85*$B$2/$D$2)*(1-SQRT(1-2*U243/(0.85*$B$2)))</f>
        <v>0.00199897266</v>
      </c>
      <c r="W243" s="13">
        <f>V243*(D243*1000)*J243</f>
        <v>205.4244254</v>
      </c>
      <c r="X243" s="13">
        <f>MAX(W243,N243)</f>
        <v>342.55</v>
      </c>
      <c r="Y243" s="14">
        <f>ROUNDUP(X243/$J$2,0)</f>
        <v>2</v>
      </c>
      <c r="Z243" s="13">
        <f>Y243*$J$2</f>
        <v>398</v>
      </c>
      <c r="AA243" s="10">
        <f>0.9*Z243*$D$2*(J243-(Z243*$D$2/(0.85*$B$2*(D243*1000)))/2)/1000000</f>
        <v>49.77351244</v>
      </c>
      <c r="AB243" s="15" t="str">
        <f>IF(AA243&gt;=G243,"CUMPLE","REVISAR")</f>
        <v>CUMPLE</v>
      </c>
      <c r="AC243" s="10">
        <f>0.17*SQRT($B$2)*(D243*1000)*J243/1000</f>
        <v>92.44281538</v>
      </c>
      <c r="AD243" s="10">
        <f>MAX(H243/0.75-AC243,0)</f>
        <v>16.70385128</v>
      </c>
      <c r="AE243" s="14">
        <f>IF(AD243&gt;0,MIN($N$2*$D$2*J243/(AD243*1000),MIN(J243/4,6*$H$2,150)),MIN(J243/4,6*$H$2,150))</f>
        <v>85.6375</v>
      </c>
      <c r="AF243" s="10">
        <f>0.66*SQRT($B$2)*(D243*1000)*J243/1000</f>
        <v>358.8956362</v>
      </c>
      <c r="AG243" s="15" t="str">
        <f>IF(AD243&lt;=AF243,"CUMPLE","AUMENTAR SECCION")</f>
        <v>CUMPLE</v>
      </c>
      <c r="AH243" s="10">
        <f>0.75*0.083*SQRT($B$2)*(((D243*1000)*(E243*1000))^2/(2*((D243*1000)+(E243*1000))))/1000000</f>
        <v>3.388073536</v>
      </c>
      <c r="AI243" s="15" t="str">
        <f>IF(I243&gt;AH243,"SI","No")</f>
        <v>SI</v>
      </c>
      <c r="AJ243" s="11">
        <f>IF(I243&gt;AH243,I243*1000000/(0.75*2*0.85*((D243*1000-2*$F$2)*(E243*1000-2*$F$2))*$D$2),0)</f>
        <v>0.119047619</v>
      </c>
      <c r="AK243" s="10">
        <f>1.25*Q243*$D$2*(J243-(1.25*Q243*$D$2/(0.85*$B$2*(D243*1000)))/2)/1000000</f>
        <v>100.4845159</v>
      </c>
      <c r="AL243" s="10">
        <f>1.25*Z243*$D$2*(J243-(1.25*Z243*$D$2/(0.85*$B$2*(D243*1000)))/2)/1000000</f>
        <v>68.51839235</v>
      </c>
      <c r="AM243" s="10">
        <f>(AK243+AL243)/B243</f>
        <v>42.25072707</v>
      </c>
      <c r="AN243" s="10">
        <f>MAX(H243,AM243)</f>
        <v>81.86</v>
      </c>
    </row>
    <row r="244">
      <c r="A244" s="5" t="inlineStr">
        <is>
          <t>F251</t>
        </is>
      </c>
      <c r="B244" s="6" t="n">
        <v>2.5</v>
      </c>
      <c r="C244" s="7" t="inlineStr">
        <is>
          <t>VC</t>
        </is>
      </c>
      <c r="D244" s="8">
        <f>IF(C244="VR",0.35,0.30)</f>
        <v>0.3</v>
      </c>
      <c r="E244" s="6" t="n">
        <v>0.4</v>
      </c>
      <c r="F244" s="9" t="n">
        <v>27.2</v>
      </c>
      <c r="G244" s="9" t="n">
        <v>10.3</v>
      </c>
      <c r="H244" s="9" t="n">
        <v>54.4</v>
      </c>
      <c r="I244" s="6" t="n">
        <v>0.29</v>
      </c>
      <c r="J244" s="10">
        <f>E244*1000-$F$2-$L$2-$H$2/2</f>
        <v>342.55</v>
      </c>
      <c r="K244" s="11">
        <f>F244*1000000/(0.9*(D244*1000)*J244^2)</f>
        <v>0.8585334015</v>
      </c>
      <c r="L244" s="12">
        <f>(0.85*$B$2/$D$2)*(1-SQRT(1-2*K244/(0.85*$B$2)))</f>
        <v>0.002082389005</v>
      </c>
      <c r="M244" s="13">
        <f>L244*(D244*1000)*J244</f>
        <v>213.9967061</v>
      </c>
      <c r="N244" s="13">
        <f>MAX(0.25*SQRT($B$2)/$D$2,1.4/$D$2)*(D244*1000)*J244</f>
        <v>342.55</v>
      </c>
      <c r="O244" s="13">
        <f>MAX(M244,N244)</f>
        <v>342.55</v>
      </c>
      <c r="P244" s="14">
        <f>ROUNDUP(O244/$J$2,0)</f>
        <v>2</v>
      </c>
      <c r="Q244" s="13">
        <f>P244*$J$2</f>
        <v>398</v>
      </c>
      <c r="R244" s="10">
        <f>Q244*$D$2/(0.85*$B$2*(D244*1000))</f>
        <v>23.41176471</v>
      </c>
      <c r="S244" s="10">
        <f>0.9*Q244*$D$2*(J244-R244/2)/1000000</f>
        <v>49.77351244</v>
      </c>
      <c r="T244" s="15" t="str">
        <f>IF(AND(S244&gt;=F244,O244&lt;=0.025*(D244*1000)*J244,O244&gt;=N244),"CUMPLE","REVISAR")</f>
        <v>CUMPLE</v>
      </c>
      <c r="U244" s="11">
        <f>G244*1000000/(0.9*(D244*1000)*J244^2)</f>
        <v>0.3263689475</v>
      </c>
      <c r="V244" s="12">
        <f>(0.85*$B$2/$D$2)*(1-SQRT(1-2*U244/(0.85*$B$2)))</f>
        <v>0.0007824712274</v>
      </c>
      <c r="W244" s="13">
        <f>V244*(D244*1000)*J244</f>
        <v>80.41065569</v>
      </c>
      <c r="X244" s="13">
        <f>MAX(W244,N244)</f>
        <v>342.55</v>
      </c>
      <c r="Y244" s="14">
        <f>ROUNDUP(X244/$J$2,0)</f>
        <v>2</v>
      </c>
      <c r="Z244" s="13">
        <f>Y244*$J$2</f>
        <v>398</v>
      </c>
      <c r="AA244" s="10">
        <f>0.9*Z244*$D$2*(J244-(Z244*$D$2/(0.85*$B$2*(D244*1000)))/2)/1000000</f>
        <v>49.77351244</v>
      </c>
      <c r="AB244" s="15" t="str">
        <f>IF(AA244&gt;=G244,"CUMPLE","REVISAR")</f>
        <v>CUMPLE</v>
      </c>
      <c r="AC244" s="10">
        <f>0.17*SQRT($B$2)*(D244*1000)*J244/1000</f>
        <v>92.44281538</v>
      </c>
      <c r="AD244" s="10">
        <f>MAX(H244/0.75-AC244,0)</f>
        <v>0</v>
      </c>
      <c r="AE244" s="14">
        <f>IF(AD244&gt;0,MIN($N$2*$D$2*J244/(AD244*1000),MIN(J244/4,6*$H$2,150)),MIN(J244/4,6*$H$2,150))</f>
        <v>85.6375</v>
      </c>
      <c r="AF244" s="10">
        <f>0.66*SQRT($B$2)*(D244*1000)*J244/1000</f>
        <v>358.8956362</v>
      </c>
      <c r="AG244" s="15" t="str">
        <f>IF(AD244&lt;=AF244,"CUMPLE","AUMENTAR SECCION")</f>
        <v>CUMPLE</v>
      </c>
      <c r="AH244" s="10">
        <f>0.75*0.083*SQRT($B$2)*(((D244*1000)*(E244*1000))^2/(2*((D244*1000)+(E244*1000))))/1000000</f>
        <v>3.388073536</v>
      </c>
      <c r="AI244" s="15" t="str">
        <f>IF(I244&gt;AH244,"SI","No")</f>
        <v>No</v>
      </c>
      <c r="AJ244" s="11">
        <f>IF(I244&gt;AH244,I244*1000000/(0.75*2*0.85*((D244*1000-2*$F$2)*(E244*1000-2*$F$2))*$D$2),0)</f>
        <v>0</v>
      </c>
      <c r="AK244" s="10">
        <f>1.25*Q244*$D$2*(J244-(1.25*Q244*$D$2/(0.85*$B$2*(D244*1000)))/2)/1000000</f>
        <v>68.51839235</v>
      </c>
      <c r="AL244" s="10">
        <f>1.25*Z244*$D$2*(J244-(1.25*Z244*$D$2/(0.85*$B$2*(D244*1000)))/2)/1000000</f>
        <v>68.51839235</v>
      </c>
      <c r="AM244" s="10">
        <f>(AK244+AL244)/B244</f>
        <v>54.81471388</v>
      </c>
      <c r="AN244" s="10">
        <f>MAX(H244,AM244)</f>
        <v>54.81471388</v>
      </c>
    </row>
    <row r="245">
      <c r="A245" s="5" t="inlineStr">
        <is>
          <t>F252</t>
        </is>
      </c>
      <c r="B245" s="6" t="n">
        <v>2.6</v>
      </c>
      <c r="C245" s="7" t="inlineStr">
        <is>
          <t>VC</t>
        </is>
      </c>
      <c r="D245" s="8">
        <f>IF(C245="VR",0.35,0.30)</f>
        <v>0.3</v>
      </c>
      <c r="E245" s="6" t="n">
        <v>0.4</v>
      </c>
      <c r="F245" s="9" t="n">
        <v>26</v>
      </c>
      <c r="G245" s="9" t="n">
        <v>11</v>
      </c>
      <c r="H245" s="9" t="n">
        <v>54</v>
      </c>
      <c r="I245" s="6" t="n">
        <v>0.06</v>
      </c>
      <c r="J245" s="10">
        <f>E245*1000-$F$2-$L$2-$H$2/2</f>
        <v>342.55</v>
      </c>
      <c r="K245" s="11">
        <f>F245*1000000/(0.9*(D245*1000)*J245^2)</f>
        <v>0.819710016</v>
      </c>
      <c r="L245" s="12">
        <f>(0.85*$B$2/$D$2)*(1-SQRT(1-2*K245/(0.85*$B$2)))</f>
        <v>0.001986510124</v>
      </c>
      <c r="M245" s="13">
        <f>L245*(D245*1000)*J245</f>
        <v>204.1437129</v>
      </c>
      <c r="N245" s="13">
        <f>MAX(0.25*SQRT($B$2)/$D$2,1.4/$D$2)*(D245*1000)*J245</f>
        <v>342.55</v>
      </c>
      <c r="O245" s="13">
        <f>MAX(M245,N245)</f>
        <v>342.55</v>
      </c>
      <c r="P245" s="14">
        <f>ROUNDUP(O245/$J$2,0)</f>
        <v>2</v>
      </c>
      <c r="Q245" s="13">
        <f>P245*$J$2</f>
        <v>398</v>
      </c>
      <c r="R245" s="10">
        <f>Q245*$D$2/(0.85*$B$2*(D245*1000))</f>
        <v>23.41176471</v>
      </c>
      <c r="S245" s="10">
        <f>0.9*Q245*$D$2*(J245-R245/2)/1000000</f>
        <v>49.77351244</v>
      </c>
      <c r="T245" s="15" t="str">
        <f>IF(AND(S245&gt;=F245,O245&lt;=0.025*(D245*1000)*J245,O245&gt;=N245),"CUMPLE","REVISAR")</f>
        <v>CUMPLE</v>
      </c>
      <c r="U245" s="11">
        <f>G245*1000000/(0.9*(D245*1000)*J245^2)</f>
        <v>0.3484635571</v>
      </c>
      <c r="V245" s="12">
        <f>(0.85*$B$2/$D$2)*(1-SQRT(1-2*U245/(0.85*$B$2)))</f>
        <v>0.0008358394976</v>
      </c>
      <c r="W245" s="13">
        <f>V245*(D245*1000)*J245</f>
        <v>85.89504597</v>
      </c>
      <c r="X245" s="13">
        <f>MAX(W245,N245)</f>
        <v>342.55</v>
      </c>
      <c r="Y245" s="14">
        <f>ROUNDUP(X245/$J$2,0)</f>
        <v>2</v>
      </c>
      <c r="Z245" s="13">
        <f>Y245*$J$2</f>
        <v>398</v>
      </c>
      <c r="AA245" s="10">
        <f>0.9*Z245*$D$2*(J245-(Z245*$D$2/(0.85*$B$2*(D245*1000)))/2)/1000000</f>
        <v>49.77351244</v>
      </c>
      <c r="AB245" s="15" t="str">
        <f>IF(AA245&gt;=G245,"CUMPLE","REVISAR")</f>
        <v>CUMPLE</v>
      </c>
      <c r="AC245" s="10">
        <f>0.17*SQRT($B$2)*(D245*1000)*J245/1000</f>
        <v>92.44281538</v>
      </c>
      <c r="AD245" s="10">
        <f>MAX(H245/0.75-AC245,0)</f>
        <v>0</v>
      </c>
      <c r="AE245" s="14">
        <f>IF(AD245&gt;0,MIN($N$2*$D$2*J245/(AD245*1000),MIN(J245/4,6*$H$2,150)),MIN(J245/4,6*$H$2,150))</f>
        <v>85.6375</v>
      </c>
      <c r="AF245" s="10">
        <f>0.66*SQRT($B$2)*(D245*1000)*J245/1000</f>
        <v>358.8956362</v>
      </c>
      <c r="AG245" s="15" t="str">
        <f>IF(AD245&lt;=AF245,"CUMPLE","AUMENTAR SECCION")</f>
        <v>CUMPLE</v>
      </c>
      <c r="AH245" s="10">
        <f>0.75*0.083*SQRT($B$2)*(((D245*1000)*(E245*1000))^2/(2*((D245*1000)+(E245*1000))))/1000000</f>
        <v>3.388073536</v>
      </c>
      <c r="AI245" s="15" t="str">
        <f>IF(I245&gt;AH245,"SI","No")</f>
        <v>No</v>
      </c>
      <c r="AJ245" s="11">
        <f>IF(I245&gt;AH245,I245*1000000/(0.75*2*0.85*((D245*1000-2*$F$2)*(E245*1000-2*$F$2))*$D$2),0)</f>
        <v>0</v>
      </c>
      <c r="AK245" s="10">
        <f>1.25*Q245*$D$2*(J245-(1.25*Q245*$D$2/(0.85*$B$2*(D245*1000)))/2)/1000000</f>
        <v>68.51839235</v>
      </c>
      <c r="AL245" s="10">
        <f>1.25*Z245*$D$2*(J245-(1.25*Z245*$D$2/(0.85*$B$2*(D245*1000)))/2)/1000000</f>
        <v>68.51839235</v>
      </c>
      <c r="AM245" s="10">
        <f>(AK245+AL245)/B245</f>
        <v>52.70645566</v>
      </c>
      <c r="AN245" s="10">
        <f>MAX(H245,AM245)</f>
        <v>53.95</v>
      </c>
    </row>
    <row r="246">
      <c r="A246" s="5" t="inlineStr">
        <is>
          <t>F253</t>
        </is>
      </c>
      <c r="B246" s="6" t="n">
        <v>3.65</v>
      </c>
      <c r="C246" s="7" t="inlineStr">
        <is>
          <t>VR</t>
        </is>
      </c>
      <c r="D246" s="8">
        <f>IF(C246="VR",0.35,0.30)</f>
        <v>0.35</v>
      </c>
      <c r="E246" s="6" t="n">
        <v>0.4</v>
      </c>
      <c r="F246" s="9" t="n">
        <v>45.1</v>
      </c>
      <c r="G246" s="9" t="n">
        <v>21.8</v>
      </c>
      <c r="H246" s="9" t="n">
        <v>72.40000000000001</v>
      </c>
      <c r="I246" s="6" t="n">
        <v>0.15</v>
      </c>
      <c r="J246" s="10">
        <f>E246*1000-$F$2-$L$2-$H$2/2</f>
        <v>342.55</v>
      </c>
      <c r="K246" s="11">
        <f>F246*1000000/(0.9*(D246*1000)*J246^2)</f>
        <v>1.220434088</v>
      </c>
      <c r="L246" s="12">
        <f>(0.85*$B$2/$D$2)*(1-SQRT(1-2*K246/(0.85*$B$2)))</f>
        <v>0.00298438256</v>
      </c>
      <c r="M246" s="13">
        <f>L246*(D246*1000)*J246</f>
        <v>357.8050861</v>
      </c>
      <c r="N246" s="13">
        <f>MAX(0.25*SQRT($B$2)/$D$2,1.4/$D$2)*(D246*1000)*J246</f>
        <v>399.6416667</v>
      </c>
      <c r="O246" s="13">
        <f>MAX(M246,N246)</f>
        <v>399.6416667</v>
      </c>
      <c r="P246" s="14">
        <f>ROUNDUP(O246/$J$2,0)</f>
        <v>3</v>
      </c>
      <c r="Q246" s="13">
        <f>P246*$J$2</f>
        <v>597</v>
      </c>
      <c r="R246" s="10">
        <f>Q246*$D$2/(0.85*$B$2*(D246*1000))</f>
        <v>30.10084034</v>
      </c>
      <c r="S246" s="10">
        <f>0.9*Q246*$D$2*(J246-R246/2)/1000000</f>
        <v>73.90552018</v>
      </c>
      <c r="T246" s="15" t="str">
        <f>IF(AND(S246&gt;=F246,O246&lt;=0.025*(D246*1000)*J246,O246&gt;=N246),"CUMPLE","REVISAR")</f>
        <v>CUMPLE</v>
      </c>
      <c r="U246" s="11">
        <f>G246*1000000/(0.9*(D246*1000)*J246^2)</f>
        <v>0.5884380719</v>
      </c>
      <c r="V246" s="12">
        <f>(0.85*$B$2/$D$2)*(1-SQRT(1-2*U246/(0.85*$B$2)))</f>
        <v>0.001418804857</v>
      </c>
      <c r="W246" s="13">
        <f>V246*(D246*1000)*J246</f>
        <v>170.1040613</v>
      </c>
      <c r="X246" s="13">
        <f>MAX(W246,N246)</f>
        <v>399.6416667</v>
      </c>
      <c r="Y246" s="14">
        <f>ROUNDUP(X246/$J$2,0)</f>
        <v>3</v>
      </c>
      <c r="Z246" s="13">
        <f>Y246*$J$2</f>
        <v>597</v>
      </c>
      <c r="AA246" s="10">
        <f>0.9*Z246*$D$2*(J246-(Z246*$D$2/(0.85*$B$2*(D246*1000)))/2)/1000000</f>
        <v>73.90552018</v>
      </c>
      <c r="AB246" s="15" t="str">
        <f>IF(AA246&gt;=G246,"CUMPLE","REVISAR")</f>
        <v>CUMPLE</v>
      </c>
      <c r="AC246" s="10">
        <f>0.17*SQRT($B$2)*(D246*1000)*J246/1000</f>
        <v>107.8499513</v>
      </c>
      <c r="AD246" s="10">
        <f>MAX(H246/0.75-AC246,0)</f>
        <v>0</v>
      </c>
      <c r="AE246" s="14">
        <f>IF(AD246&gt;0,MIN($N$2*$D$2*J246/(AD246*1000),MIN(J246/4,6*$H$2,150)),MIN(J246/4,6*$H$2,150))</f>
        <v>85.6375</v>
      </c>
      <c r="AF246" s="10">
        <f>0.66*SQRT($B$2)*(D246*1000)*J246/1000</f>
        <v>418.7115756</v>
      </c>
      <c r="AG246" s="15" t="str">
        <f>IF(AD246&lt;=AF246,"CUMPLE","AUMENTAR SECCION")</f>
        <v>CUMPLE</v>
      </c>
      <c r="AH246" s="10">
        <f>0.75*0.083*SQRT($B$2)*(((D246*1000)*(E246*1000))^2/(2*((D246*1000)+(E246*1000))))/1000000</f>
        <v>4.304108233</v>
      </c>
      <c r="AI246" s="15" t="str">
        <f>IF(I246&gt;AH246,"SI","No")</f>
        <v>No</v>
      </c>
      <c r="AJ246" s="11">
        <f>IF(I246&gt;AH246,I246*1000000/(0.75*2*0.85*((D246*1000-2*$F$2)*(E246*1000-2*$F$2))*$D$2),0)</f>
        <v>0</v>
      </c>
      <c r="AK246" s="10">
        <f>1.25*Q246*$D$2*(J246-(1.25*Q246*$D$2/(0.85*$B$2*(D246*1000)))/2)/1000000</f>
        <v>101.4672613</v>
      </c>
      <c r="AL246" s="10">
        <f>1.25*Z246*$D$2*(J246-(1.25*Z246*$D$2/(0.85*$B$2*(D246*1000)))/2)/1000000</f>
        <v>101.4672613</v>
      </c>
      <c r="AM246" s="10">
        <f>(AK246+AL246)/B246</f>
        <v>55.59849936</v>
      </c>
      <c r="AN246" s="10">
        <f>MAX(H246,AM246)</f>
        <v>72.4</v>
      </c>
    </row>
    <row r="247">
      <c r="A247" s="5" t="inlineStr">
        <is>
          <t>F254</t>
        </is>
      </c>
      <c r="B247" s="6" t="n">
        <v>2.6</v>
      </c>
      <c r="C247" s="7" t="inlineStr">
        <is>
          <t>VC</t>
        </is>
      </c>
      <c r="D247" s="8">
        <f>IF(C247="VR",0.35,0.30)</f>
        <v>0.3</v>
      </c>
      <c r="E247" s="6" t="n">
        <v>0.4</v>
      </c>
      <c r="F247" s="9" t="n">
        <v>27</v>
      </c>
      <c r="G247" s="9" t="n">
        <v>11</v>
      </c>
      <c r="H247" s="9" t="n">
        <v>54.7</v>
      </c>
      <c r="I247" s="6" t="n">
        <v>5.53</v>
      </c>
      <c r="J247" s="10">
        <f>E247*1000-$F$2-$L$2-$H$2/2</f>
        <v>342.55</v>
      </c>
      <c r="K247" s="11">
        <f>F247*1000000/(0.9*(D247*1000)*J247^2)</f>
        <v>0.8522206559</v>
      </c>
      <c r="L247" s="12">
        <f>(0.85*$B$2/$D$2)*(1-SQRT(1-2*K247/(0.85*$B$2)))</f>
        <v>0.00206678748</v>
      </c>
      <c r="M247" s="13">
        <f>L247*(D247*1000)*J247</f>
        <v>212.3934154</v>
      </c>
      <c r="N247" s="13">
        <f>MAX(0.25*SQRT($B$2)/$D$2,1.4/$D$2)*(D247*1000)*J247</f>
        <v>342.55</v>
      </c>
      <c r="O247" s="13">
        <f>MAX(M247,N247)</f>
        <v>342.55</v>
      </c>
      <c r="P247" s="14">
        <f>ROUNDUP(O247/$J$2,0)</f>
        <v>2</v>
      </c>
      <c r="Q247" s="13">
        <f>P247*$J$2</f>
        <v>398</v>
      </c>
      <c r="R247" s="10">
        <f>Q247*$D$2/(0.85*$B$2*(D247*1000))</f>
        <v>23.41176471</v>
      </c>
      <c r="S247" s="10">
        <f>0.9*Q247*$D$2*(J247-R247/2)/1000000</f>
        <v>49.77351244</v>
      </c>
      <c r="T247" s="15" t="str">
        <f>IF(AND(S247&gt;=F247,O247&lt;=0.025*(D247*1000)*J247,O247&gt;=N247),"CUMPLE","REVISAR")</f>
        <v>CUMPLE</v>
      </c>
      <c r="U247" s="11">
        <f>G247*1000000/(0.9*(D247*1000)*J247^2)</f>
        <v>0.3484635571</v>
      </c>
      <c r="V247" s="12">
        <f>(0.85*$B$2/$D$2)*(1-SQRT(1-2*U247/(0.85*$B$2)))</f>
        <v>0.0008358394976</v>
      </c>
      <c r="W247" s="13">
        <f>V247*(D247*1000)*J247</f>
        <v>85.89504597</v>
      </c>
      <c r="X247" s="13">
        <f>MAX(W247,N247)</f>
        <v>342.55</v>
      </c>
      <c r="Y247" s="14">
        <f>ROUNDUP(X247/$J$2,0)</f>
        <v>2</v>
      </c>
      <c r="Z247" s="13">
        <f>Y247*$J$2</f>
        <v>398</v>
      </c>
      <c r="AA247" s="10">
        <f>0.9*Z247*$D$2*(J247-(Z247*$D$2/(0.85*$B$2*(D247*1000)))/2)/1000000</f>
        <v>49.77351244</v>
      </c>
      <c r="AB247" s="15" t="str">
        <f>IF(AA247&gt;=G247,"CUMPLE","REVISAR")</f>
        <v>CUMPLE</v>
      </c>
      <c r="AC247" s="10">
        <f>0.17*SQRT($B$2)*(D247*1000)*J247/1000</f>
        <v>92.44281538</v>
      </c>
      <c r="AD247" s="10">
        <f>MAX(H247/0.75-AC247,0)</f>
        <v>0</v>
      </c>
      <c r="AE247" s="14">
        <f>IF(AD247&gt;0,MIN($N$2*$D$2*J247/(AD247*1000),MIN(J247/4,6*$H$2,150)),MIN(J247/4,6*$H$2,150))</f>
        <v>85.6375</v>
      </c>
      <c r="AF247" s="10">
        <f>0.66*SQRT($B$2)*(D247*1000)*J247/1000</f>
        <v>358.8956362</v>
      </c>
      <c r="AG247" s="15" t="str">
        <f>IF(AD247&lt;=AF247,"CUMPLE","AUMENTAR SECCION")</f>
        <v>CUMPLE</v>
      </c>
      <c r="AH247" s="10">
        <f>0.75*0.083*SQRT($B$2)*(((D247*1000)*(E247*1000))^2/(2*((D247*1000)+(E247*1000))))/1000000</f>
        <v>3.388073536</v>
      </c>
      <c r="AI247" s="15" t="str">
        <f>IF(I247&gt;AH247,"SI","No")</f>
        <v>SI</v>
      </c>
      <c r="AJ247" s="11">
        <f>IF(I247&gt;AH247,I247*1000000/(0.75*2*0.85*((D247*1000-2*$F$2)*(E247*1000-2*$F$2))*$D$2),0)</f>
        <v>0.1467405144</v>
      </c>
      <c r="AK247" s="10">
        <f>1.25*Q247*$D$2*(J247-(1.25*Q247*$D$2/(0.85*$B$2*(D247*1000)))/2)/1000000</f>
        <v>68.51839235</v>
      </c>
      <c r="AL247" s="10">
        <f>1.25*Z247*$D$2*(J247-(1.25*Z247*$D$2/(0.85*$B$2*(D247*1000)))/2)/1000000</f>
        <v>68.51839235</v>
      </c>
      <c r="AM247" s="10">
        <f>(AK247+AL247)/B247</f>
        <v>52.70645566</v>
      </c>
      <c r="AN247" s="10">
        <f>MAX(H247,AM247)</f>
        <v>54.73</v>
      </c>
    </row>
    <row r="248">
      <c r="A248" s="5" t="inlineStr">
        <is>
          <t>F255</t>
        </is>
      </c>
      <c r="B248" s="6" t="n">
        <v>4</v>
      </c>
      <c r="C248" s="7" t="inlineStr">
        <is>
          <t>VC</t>
        </is>
      </c>
      <c r="D248" s="8">
        <f>IF(C248="VR",0.35,0.30)</f>
        <v>0.3</v>
      </c>
      <c r="E248" s="6" t="n">
        <v>0.4</v>
      </c>
      <c r="F248" s="9" t="n">
        <v>90.7</v>
      </c>
      <c r="G248" s="9" t="n">
        <v>74.40000000000001</v>
      </c>
      <c r="H248" s="9" t="n">
        <v>53.4</v>
      </c>
      <c r="I248" s="6" t="n">
        <v>0</v>
      </c>
      <c r="J248" s="10">
        <f>E248*1000-$F$2-$L$2-$H$2/2</f>
        <v>342.55</v>
      </c>
      <c r="K248" s="11">
        <f>F248*1000000/(0.9*(D248*1000)*J248^2)</f>
        <v>2.862198855</v>
      </c>
      <c r="L248" s="12">
        <f>(0.85*$B$2/$D$2)*(1-SQRT(1-2*K248/(0.85*$B$2)))</f>
        <v>0.007282744813</v>
      </c>
      <c r="M248" s="13">
        <f>L248*(D248*1000)*J248</f>
        <v>748.4112707</v>
      </c>
      <c r="N248" s="13">
        <f>MAX(0.25*SQRT($B$2)/$D$2,1.4/$D$2)*(D248*1000)*J248</f>
        <v>342.55</v>
      </c>
      <c r="O248" s="13">
        <f>MAX(M248,N248)</f>
        <v>748.4112707</v>
      </c>
      <c r="P248" s="14">
        <f>ROUNDUP(O248/$J$2,0)</f>
        <v>4</v>
      </c>
      <c r="Q248" s="13">
        <f>P248*$J$2</f>
        <v>796</v>
      </c>
      <c r="R248" s="10">
        <f>Q248*$D$2/(0.85*$B$2*(D248*1000))</f>
        <v>46.82352941</v>
      </c>
      <c r="S248" s="10">
        <f>0.9*Q248*$D$2*(J248-R248/2)/1000000</f>
        <v>96.02486534</v>
      </c>
      <c r="T248" s="15" t="str">
        <f>IF(AND(S248&gt;=F248,O248&lt;=0.025*(D248*1000)*J248,O248&gt;=N248),"CUMPLE","REVISAR")</f>
        <v>CUMPLE</v>
      </c>
      <c r="U248" s="11">
        <f>G248*1000000/(0.9*(D248*1000)*J248^2)</f>
        <v>2.347078814</v>
      </c>
      <c r="V248" s="12">
        <f>(0.85*$B$2/$D$2)*(1-SQRT(1-2*U248/(0.85*$B$2)))</f>
        <v>0.005894899083</v>
      </c>
      <c r="W248" s="13">
        <f>V248*(D248*1000)*J248</f>
        <v>605.7893042</v>
      </c>
      <c r="X248" s="13">
        <f>MAX(W248,N248)</f>
        <v>605.7893042</v>
      </c>
      <c r="Y248" s="14">
        <f>ROUNDUP(X248/$J$2,0)</f>
        <v>4</v>
      </c>
      <c r="Z248" s="13">
        <f>Y248*$J$2</f>
        <v>796</v>
      </c>
      <c r="AA248" s="10">
        <f>0.9*Z248*$D$2*(J248-(Z248*$D$2/(0.85*$B$2*(D248*1000)))/2)/1000000</f>
        <v>96.02486534</v>
      </c>
      <c r="AB248" s="15" t="str">
        <f>IF(AA248&gt;=G248,"CUMPLE","REVISAR")</f>
        <v>CUMPLE</v>
      </c>
      <c r="AC248" s="10">
        <f>0.17*SQRT($B$2)*(D248*1000)*J248/1000</f>
        <v>92.44281538</v>
      </c>
      <c r="AD248" s="10">
        <f>MAX(H248/0.75-AC248,0)</f>
        <v>0</v>
      </c>
      <c r="AE248" s="14">
        <f>IF(AD248&gt;0,MIN($N$2*$D$2*J248/(AD248*1000),MIN(J248/4,6*$H$2,150)),MIN(J248/4,6*$H$2,150))</f>
        <v>85.6375</v>
      </c>
      <c r="AF248" s="10">
        <f>0.66*SQRT($B$2)*(D248*1000)*J248/1000</f>
        <v>358.8956362</v>
      </c>
      <c r="AG248" s="15" t="str">
        <f>IF(AD248&lt;=AF248,"CUMPLE","AUMENTAR SECCION")</f>
        <v>CUMPLE</v>
      </c>
      <c r="AH248" s="10">
        <f>0.75*0.083*SQRT($B$2)*(((D248*1000)*(E248*1000))^2/(2*((D248*1000)+(E248*1000))))/1000000</f>
        <v>3.388073536</v>
      </c>
      <c r="AI248" s="15" t="str">
        <f>IF(I248&gt;AH248,"SI","No")</f>
        <v>No</v>
      </c>
      <c r="AJ248" s="11">
        <f>IF(I248&gt;AH248,I248*1000000/(0.75*2*0.85*((D248*1000-2*$F$2)*(E248*1000-2*$F$2))*$D$2),0)</f>
        <v>0</v>
      </c>
      <c r="AK248" s="10">
        <f>1.25*Q248*$D$2*(J248-(1.25*Q248*$D$2/(0.85*$B$2*(D248*1000)))/2)/1000000</f>
        <v>130.9219244</v>
      </c>
      <c r="AL248" s="10">
        <f>1.25*Z248*$D$2*(J248-(1.25*Z248*$D$2/(0.85*$B$2*(D248*1000)))/2)/1000000</f>
        <v>130.9219244</v>
      </c>
      <c r="AM248" s="10">
        <f>(AK248+AL248)/B248</f>
        <v>65.46096221</v>
      </c>
      <c r="AN248" s="10">
        <f>MAX(H248,AM248)</f>
        <v>65.46096221</v>
      </c>
    </row>
    <row r="249">
      <c r="A249" s="5" t="inlineStr">
        <is>
          <t>F256</t>
        </is>
      </c>
      <c r="B249" s="6" t="n">
        <v>4</v>
      </c>
      <c r="C249" s="7" t="inlineStr">
        <is>
          <t>VC</t>
        </is>
      </c>
      <c r="D249" s="8">
        <f>IF(C249="VR",0.35,0.30)</f>
        <v>0.3</v>
      </c>
      <c r="E249" s="6" t="n">
        <v>0.4</v>
      </c>
      <c r="F249" s="9" t="n">
        <v>90.7</v>
      </c>
      <c r="G249" s="9" t="n">
        <v>74.40000000000001</v>
      </c>
      <c r="H249" s="9" t="n">
        <v>53.4</v>
      </c>
      <c r="I249" s="6" t="n">
        <v>0</v>
      </c>
      <c r="J249" s="10">
        <f>E249*1000-$F$2-$L$2-$H$2/2</f>
        <v>342.55</v>
      </c>
      <c r="K249" s="11">
        <f>F249*1000000/(0.9*(D249*1000)*J249^2)</f>
        <v>2.861883217</v>
      </c>
      <c r="L249" s="12">
        <f>(0.85*$B$2/$D$2)*(1-SQRT(1-2*K249/(0.85*$B$2)))</f>
        <v>0.007281882475</v>
      </c>
      <c r="M249" s="13">
        <f>L249*(D249*1000)*J249</f>
        <v>748.3226526</v>
      </c>
      <c r="N249" s="13">
        <f>MAX(0.25*SQRT($B$2)/$D$2,1.4/$D$2)*(D249*1000)*J249</f>
        <v>342.55</v>
      </c>
      <c r="O249" s="13">
        <f>MAX(M249,N249)</f>
        <v>748.3226526</v>
      </c>
      <c r="P249" s="14">
        <f>ROUNDUP(O249/$J$2,0)</f>
        <v>4</v>
      </c>
      <c r="Q249" s="13">
        <f>P249*$J$2</f>
        <v>796</v>
      </c>
      <c r="R249" s="10">
        <f>Q249*$D$2/(0.85*$B$2*(D249*1000))</f>
        <v>46.82352941</v>
      </c>
      <c r="S249" s="10">
        <f>0.9*Q249*$D$2*(J249-R249/2)/1000000</f>
        <v>96.02486534</v>
      </c>
      <c r="T249" s="15" t="str">
        <f>IF(AND(S249&gt;=F249,O249&lt;=0.025*(D249*1000)*J249,O249&gt;=N249),"CUMPLE","REVISAR")</f>
        <v>CUMPLE</v>
      </c>
      <c r="U249" s="11">
        <f>G249*1000000/(0.9*(D249*1000)*J249^2)</f>
        <v>2.347078814</v>
      </c>
      <c r="V249" s="12">
        <f>(0.85*$B$2/$D$2)*(1-SQRT(1-2*U249/(0.85*$B$2)))</f>
        <v>0.005894899083</v>
      </c>
      <c r="W249" s="13">
        <f>V249*(D249*1000)*J249</f>
        <v>605.7893042</v>
      </c>
      <c r="X249" s="13">
        <f>MAX(W249,N249)</f>
        <v>605.7893042</v>
      </c>
      <c r="Y249" s="14">
        <f>ROUNDUP(X249/$J$2,0)</f>
        <v>4</v>
      </c>
      <c r="Z249" s="13">
        <f>Y249*$J$2</f>
        <v>796</v>
      </c>
      <c r="AA249" s="10">
        <f>0.9*Z249*$D$2*(J249-(Z249*$D$2/(0.85*$B$2*(D249*1000)))/2)/1000000</f>
        <v>96.02486534</v>
      </c>
      <c r="AB249" s="15" t="str">
        <f>IF(AA249&gt;=G249,"CUMPLE","REVISAR")</f>
        <v>CUMPLE</v>
      </c>
      <c r="AC249" s="10">
        <f>0.17*SQRT($B$2)*(D249*1000)*J249/1000</f>
        <v>92.44281538</v>
      </c>
      <c r="AD249" s="10">
        <f>MAX(H249/0.75-AC249,0)</f>
        <v>0</v>
      </c>
      <c r="AE249" s="14">
        <f>IF(AD249&gt;0,MIN($N$2*$D$2*J249/(AD249*1000),MIN(J249/4,6*$H$2,150)),MIN(J249/4,6*$H$2,150))</f>
        <v>85.6375</v>
      </c>
      <c r="AF249" s="10">
        <f>0.66*SQRT($B$2)*(D249*1000)*J249/1000</f>
        <v>358.8956362</v>
      </c>
      <c r="AG249" s="15" t="str">
        <f>IF(AD249&lt;=AF249,"CUMPLE","AUMENTAR SECCION")</f>
        <v>CUMPLE</v>
      </c>
      <c r="AH249" s="10">
        <f>0.75*0.083*SQRT($B$2)*(((D249*1000)*(E249*1000))^2/(2*((D249*1000)+(E249*1000))))/1000000</f>
        <v>3.388073536</v>
      </c>
      <c r="AI249" s="15" t="str">
        <f>IF(I249&gt;AH249,"SI","No")</f>
        <v>No</v>
      </c>
      <c r="AJ249" s="11">
        <f>IF(I249&gt;AH249,I249*1000000/(0.75*2*0.85*((D249*1000-2*$F$2)*(E249*1000-2*$F$2))*$D$2),0)</f>
        <v>0</v>
      </c>
      <c r="AK249" s="10">
        <f>1.25*Q249*$D$2*(J249-(1.25*Q249*$D$2/(0.85*$B$2*(D249*1000)))/2)/1000000</f>
        <v>130.9219244</v>
      </c>
      <c r="AL249" s="10">
        <f>1.25*Z249*$D$2*(J249-(1.25*Z249*$D$2/(0.85*$B$2*(D249*1000)))/2)/1000000</f>
        <v>130.9219244</v>
      </c>
      <c r="AM249" s="10">
        <f>(AK249+AL249)/B249</f>
        <v>65.46096221</v>
      </c>
      <c r="AN249" s="10">
        <f>MAX(H249,AM249)</f>
        <v>65.46096221</v>
      </c>
    </row>
    <row r="250">
      <c r="A250" s="5" t="inlineStr">
        <is>
          <t>F257</t>
        </is>
      </c>
      <c r="B250" s="6" t="n">
        <v>4</v>
      </c>
      <c r="C250" s="7" t="inlineStr">
        <is>
          <t>VC</t>
        </is>
      </c>
      <c r="D250" s="8">
        <f>IF(C250="VR",0.35,0.30)</f>
        <v>0.3</v>
      </c>
      <c r="E250" s="6" t="n">
        <v>0.4</v>
      </c>
      <c r="F250" s="9" t="n">
        <v>104</v>
      </c>
      <c r="G250" s="9" t="n">
        <v>87.09999999999999</v>
      </c>
      <c r="H250" s="9" t="n">
        <v>60</v>
      </c>
      <c r="I250" s="6" t="n">
        <v>0</v>
      </c>
      <c r="J250" s="10">
        <f>E250*1000-$F$2-$L$2-$H$2/2</f>
        <v>342.55</v>
      </c>
      <c r="K250" s="11">
        <f>F250*1000000/(0.9*(D250*1000)*J250^2)</f>
        <v>3.282312074</v>
      </c>
      <c r="L250" s="12">
        <f>(0.85*$B$2/$D$2)*(1-SQRT(1-2*K250/(0.85*$B$2)))</f>
        <v>0.008444183809</v>
      </c>
      <c r="M250" s="13">
        <f>L250*(D250*1000)*J250</f>
        <v>867.7665491</v>
      </c>
      <c r="N250" s="13">
        <f>MAX(0.25*SQRT($B$2)/$D$2,1.4/$D$2)*(D250*1000)*J250</f>
        <v>342.55</v>
      </c>
      <c r="O250" s="13">
        <f>MAX(M250,N250)</f>
        <v>867.7665491</v>
      </c>
      <c r="P250" s="14">
        <f>ROUNDUP(O250/$J$2,0)</f>
        <v>5</v>
      </c>
      <c r="Q250" s="13">
        <f>P250*$J$2</f>
        <v>995</v>
      </c>
      <c r="R250" s="10">
        <f>Q250*$D$2/(0.85*$B$2*(D250*1000))</f>
        <v>58.52941176</v>
      </c>
      <c r="S250" s="10">
        <f>0.9*Q250*$D$2*(J250-R250/2)/1000000</f>
        <v>117.829732</v>
      </c>
      <c r="T250" s="15" t="str">
        <f>IF(AND(S250&gt;=F250,O250&lt;=0.025*(D250*1000)*J250,O250&gt;=N250),"CUMPLE","REVISAR")</f>
        <v>CUMPLE</v>
      </c>
      <c r="U250" s="11">
        <f>G250*1000000/(0.9*(D250*1000)*J250^2)</f>
        <v>2.748885071</v>
      </c>
      <c r="V250" s="12">
        <f>(0.85*$B$2/$D$2)*(1-SQRT(1-2*U250/(0.85*$B$2)))</f>
        <v>0.006974127258</v>
      </c>
      <c r="W250" s="13">
        <f>V250*(D250*1000)*J250</f>
        <v>716.6961877</v>
      </c>
      <c r="X250" s="13">
        <f>MAX(W250,N250)</f>
        <v>716.6961877</v>
      </c>
      <c r="Y250" s="14">
        <f>ROUNDUP(X250/$J$2,0)</f>
        <v>4</v>
      </c>
      <c r="Z250" s="13">
        <f>Y250*$J$2</f>
        <v>796</v>
      </c>
      <c r="AA250" s="10">
        <f>0.9*Z250*$D$2*(J250-(Z250*$D$2/(0.85*$B$2*(D250*1000)))/2)/1000000</f>
        <v>96.02486534</v>
      </c>
      <c r="AB250" s="15" t="str">
        <f>IF(AA250&gt;=G250,"CUMPLE","REVISAR")</f>
        <v>CUMPLE</v>
      </c>
      <c r="AC250" s="10">
        <f>0.17*SQRT($B$2)*(D250*1000)*J250/1000</f>
        <v>92.44281538</v>
      </c>
      <c r="AD250" s="10">
        <f>MAX(H250/0.75-AC250,0)</f>
        <v>0</v>
      </c>
      <c r="AE250" s="14">
        <f>IF(AD250&gt;0,MIN($N$2*$D$2*J250/(AD250*1000),MIN(J250/4,6*$H$2,150)),MIN(J250/4,6*$H$2,150))</f>
        <v>85.6375</v>
      </c>
      <c r="AF250" s="10">
        <f>0.66*SQRT($B$2)*(D250*1000)*J250/1000</f>
        <v>358.8956362</v>
      </c>
      <c r="AG250" s="15" t="str">
        <f>IF(AD250&lt;=AF250,"CUMPLE","AUMENTAR SECCION")</f>
        <v>CUMPLE</v>
      </c>
      <c r="AH250" s="10">
        <f>0.75*0.083*SQRT($B$2)*(((D250*1000)*(E250*1000))^2/(2*((D250*1000)+(E250*1000))))/1000000</f>
        <v>3.388073536</v>
      </c>
      <c r="AI250" s="15" t="str">
        <f>IF(I250&gt;AH250,"SI","No")</f>
        <v>No</v>
      </c>
      <c r="AJ250" s="11">
        <f>IF(I250&gt;AH250,I250*1000000/(0.75*2*0.85*((D250*1000-2*$F$2)*(E250*1000-2*$F$2))*$D$2),0)</f>
        <v>0</v>
      </c>
      <c r="AK250" s="10">
        <f>1.25*Q250*$D$2*(J250-(1.25*Q250*$D$2/(0.85*$B$2*(D250*1000)))/2)/1000000</f>
        <v>159.8306178</v>
      </c>
      <c r="AL250" s="10">
        <f>1.25*Z250*$D$2*(J250-(1.25*Z250*$D$2/(0.85*$B$2*(D250*1000)))/2)/1000000</f>
        <v>130.9219244</v>
      </c>
      <c r="AM250" s="10">
        <f>(AK250+AL250)/B250</f>
        <v>72.68813556</v>
      </c>
      <c r="AN250" s="10">
        <f>MAX(H250,AM250)</f>
        <v>72.68813556</v>
      </c>
    </row>
    <row r="251">
      <c r="A251" s="5" t="inlineStr">
        <is>
          <t>F258</t>
        </is>
      </c>
      <c r="B251" s="6" t="n">
        <v>3.81</v>
      </c>
      <c r="C251" s="7" t="inlineStr">
        <is>
          <t>VC</t>
        </is>
      </c>
      <c r="D251" s="8">
        <f>IF(C251="VR",0.35,0.30)</f>
        <v>0.3</v>
      </c>
      <c r="E251" s="6" t="n">
        <v>0.4</v>
      </c>
      <c r="F251" s="9" t="n">
        <v>113.9</v>
      </c>
      <c r="G251" s="9" t="n">
        <v>81.09999999999999</v>
      </c>
      <c r="H251" s="9" t="n">
        <v>73.40000000000001</v>
      </c>
      <c r="I251" s="6" t="n">
        <v>6.94</v>
      </c>
      <c r="J251" s="10">
        <f>E251*1000-$F$2-$L$2-$H$2/2</f>
        <v>342.55</v>
      </c>
      <c r="K251" s="11">
        <f>F251*1000000/(0.9*(D251*1000)*J251^2)</f>
        <v>3.595108619</v>
      </c>
      <c r="L251" s="12">
        <f>(0.85*$B$2/$D$2)*(1-SQRT(1-2*K251/(0.85*$B$2)))</f>
        <v>0.009327439421</v>
      </c>
      <c r="M251" s="13">
        <f>L251*(D251*1000)*J251</f>
        <v>958.5343121</v>
      </c>
      <c r="N251" s="13">
        <f>MAX(0.25*SQRT($B$2)/$D$2,1.4/$D$2)*(D251*1000)*J251</f>
        <v>342.55</v>
      </c>
      <c r="O251" s="13">
        <f>MAX(M251,N251)</f>
        <v>958.5343121</v>
      </c>
      <c r="P251" s="14">
        <f>ROUNDUP(O251/$J$2,0)</f>
        <v>5</v>
      </c>
      <c r="Q251" s="13">
        <f>P251*$J$2</f>
        <v>995</v>
      </c>
      <c r="R251" s="10">
        <f>Q251*$D$2/(0.85*$B$2*(D251*1000))</f>
        <v>58.52941176</v>
      </c>
      <c r="S251" s="10">
        <f>0.9*Q251*$D$2*(J251-R251/2)/1000000</f>
        <v>117.829732</v>
      </c>
      <c r="T251" s="15" t="str">
        <f>IF(AND(S251&gt;=F251,O251&lt;=0.025*(D251*1000)*J251,O251&gt;=N251),"CUMPLE","REVISAR")</f>
        <v>CUMPLE</v>
      </c>
      <c r="U251" s="11">
        <f>G251*1000000/(0.9*(D251*1000)*J251^2)</f>
        <v>2.558871429</v>
      </c>
      <c r="V251" s="12">
        <f>(0.85*$B$2/$D$2)*(1-SQRT(1-2*U251/(0.85*$B$2)))</f>
        <v>0.006460870234</v>
      </c>
      <c r="W251" s="13">
        <f>V251*(D251*1000)*J251</f>
        <v>663.9513296</v>
      </c>
      <c r="X251" s="13">
        <f>MAX(W251,N251)</f>
        <v>663.9513296</v>
      </c>
      <c r="Y251" s="14">
        <f>ROUNDUP(X251/$J$2,0)</f>
        <v>4</v>
      </c>
      <c r="Z251" s="13">
        <f>Y251*$J$2</f>
        <v>796</v>
      </c>
      <c r="AA251" s="10">
        <f>0.9*Z251*$D$2*(J251-(Z251*$D$2/(0.85*$B$2*(D251*1000)))/2)/1000000</f>
        <v>96.02486534</v>
      </c>
      <c r="AB251" s="15" t="str">
        <f>IF(AA251&gt;=G251,"CUMPLE","REVISAR")</f>
        <v>CUMPLE</v>
      </c>
      <c r="AC251" s="10">
        <f>0.17*SQRT($B$2)*(D251*1000)*J251/1000</f>
        <v>92.44281538</v>
      </c>
      <c r="AD251" s="10">
        <f>MAX(H251/0.75-AC251,0)</f>
        <v>5.45051795</v>
      </c>
      <c r="AE251" s="14">
        <f>IF(AD251&gt;0,MIN($N$2*$D$2*J251/(AD251*1000),MIN(J251/4,6*$H$2,150)),MIN(J251/4,6*$H$2,150))</f>
        <v>85.6375</v>
      </c>
      <c r="AF251" s="10">
        <f>0.66*SQRT($B$2)*(D251*1000)*J251/1000</f>
        <v>358.8956362</v>
      </c>
      <c r="AG251" s="15" t="str">
        <f>IF(AD251&lt;=AF251,"CUMPLE","AUMENTAR SECCION")</f>
        <v>CUMPLE</v>
      </c>
      <c r="AH251" s="10">
        <f>0.75*0.083*SQRT($B$2)*(((D251*1000)*(E251*1000))^2/(2*((D251*1000)+(E251*1000))))/1000000</f>
        <v>3.388073536</v>
      </c>
      <c r="AI251" s="15" t="str">
        <f>IF(I251&gt;AH251,"SI","No")</f>
        <v>SI</v>
      </c>
      <c r="AJ251" s="11">
        <f>IF(I251&gt;AH251,I251*1000000/(0.75*2*0.85*((D251*1000-2*$F$2)*(E251*1000-2*$F$2))*$D$2),0)</f>
        <v>0.183982684</v>
      </c>
      <c r="AK251" s="10">
        <f>1.25*Q251*$D$2*(J251-(1.25*Q251*$D$2/(0.85*$B$2*(D251*1000)))/2)/1000000</f>
        <v>159.8306178</v>
      </c>
      <c r="AL251" s="10">
        <f>1.25*Z251*$D$2*(J251-(1.25*Z251*$D$2/(0.85*$B$2*(D251*1000)))/2)/1000000</f>
        <v>130.9219244</v>
      </c>
      <c r="AM251" s="10">
        <f>(AK251+AL251)/B251</f>
        <v>76.21298617</v>
      </c>
      <c r="AN251" s="10">
        <f>MAX(H251,AM251)</f>
        <v>76.21298617</v>
      </c>
    </row>
    <row r="252">
      <c r="A252" s="5" t="inlineStr">
        <is>
          <t>F259</t>
        </is>
      </c>
      <c r="B252" s="6" t="n">
        <v>3.81</v>
      </c>
      <c r="C252" s="7" t="inlineStr">
        <is>
          <t>VC</t>
        </is>
      </c>
      <c r="D252" s="8">
        <f>IF(C252="VR",0.35,0.30)</f>
        <v>0.3</v>
      </c>
      <c r="E252" s="6" t="n">
        <v>0.4</v>
      </c>
      <c r="F252" s="9" t="n">
        <v>113.9</v>
      </c>
      <c r="G252" s="9" t="n">
        <v>81.09999999999999</v>
      </c>
      <c r="H252" s="9" t="n">
        <v>73.40000000000001</v>
      </c>
      <c r="I252" s="6" t="n">
        <v>6.93</v>
      </c>
      <c r="J252" s="10">
        <f>E252*1000-$F$2-$L$2-$H$2/2</f>
        <v>342.55</v>
      </c>
      <c r="K252" s="11">
        <f>F252*1000000/(0.9*(D252*1000)*J252^2)</f>
        <v>3.594792981</v>
      </c>
      <c r="L252" s="12">
        <f>(0.85*$B$2/$D$2)*(1-SQRT(1-2*K252/(0.85*$B$2)))</f>
        <v>0.009326539837</v>
      </c>
      <c r="M252" s="13">
        <f>L252*(D252*1000)*J252</f>
        <v>958.4418664</v>
      </c>
      <c r="N252" s="13">
        <f>MAX(0.25*SQRT($B$2)/$D$2,1.4/$D$2)*(D252*1000)*J252</f>
        <v>342.55</v>
      </c>
      <c r="O252" s="13">
        <f>MAX(M252,N252)</f>
        <v>958.4418664</v>
      </c>
      <c r="P252" s="14">
        <f>ROUNDUP(O252/$J$2,0)</f>
        <v>5</v>
      </c>
      <c r="Q252" s="13">
        <f>P252*$J$2</f>
        <v>995</v>
      </c>
      <c r="R252" s="10">
        <f>Q252*$D$2/(0.85*$B$2*(D252*1000))</f>
        <v>58.52941176</v>
      </c>
      <c r="S252" s="10">
        <f>0.9*Q252*$D$2*(J252-R252/2)/1000000</f>
        <v>117.829732</v>
      </c>
      <c r="T252" s="15" t="str">
        <f>IF(AND(S252&gt;=F252,O252&lt;=0.025*(D252*1000)*J252,O252&gt;=N252),"CUMPLE","REVISAR")</f>
        <v>CUMPLE</v>
      </c>
      <c r="U252" s="11">
        <f>G252*1000000/(0.9*(D252*1000)*J252^2)</f>
        <v>2.558555791</v>
      </c>
      <c r="V252" s="12">
        <f>(0.85*$B$2/$D$2)*(1-SQRT(1-2*U252/(0.85*$B$2)))</f>
        <v>0.006460022012</v>
      </c>
      <c r="W252" s="13">
        <f>V252*(D252*1000)*J252</f>
        <v>663.8641621</v>
      </c>
      <c r="X252" s="13">
        <f>MAX(W252,N252)</f>
        <v>663.8641621</v>
      </c>
      <c r="Y252" s="14">
        <f>ROUNDUP(X252/$J$2,0)</f>
        <v>4</v>
      </c>
      <c r="Z252" s="13">
        <f>Y252*$J$2</f>
        <v>796</v>
      </c>
      <c r="AA252" s="10">
        <f>0.9*Z252*$D$2*(J252-(Z252*$D$2/(0.85*$B$2*(D252*1000)))/2)/1000000</f>
        <v>96.02486534</v>
      </c>
      <c r="AB252" s="15" t="str">
        <f>IF(AA252&gt;=G252,"CUMPLE","REVISAR")</f>
        <v>CUMPLE</v>
      </c>
      <c r="AC252" s="10">
        <f>0.17*SQRT($B$2)*(D252*1000)*J252/1000</f>
        <v>92.44281538</v>
      </c>
      <c r="AD252" s="10">
        <f>MAX(H252/0.75-AC252,0)</f>
        <v>5.437184616</v>
      </c>
      <c r="AE252" s="14">
        <f>IF(AD252&gt;0,MIN($N$2*$D$2*J252/(AD252*1000),MIN(J252/4,6*$H$2,150)),MIN(J252/4,6*$H$2,150))</f>
        <v>85.6375</v>
      </c>
      <c r="AF252" s="10">
        <f>0.66*SQRT($B$2)*(D252*1000)*J252/1000</f>
        <v>358.8956362</v>
      </c>
      <c r="AG252" s="15" t="str">
        <f>IF(AD252&lt;=AF252,"CUMPLE","AUMENTAR SECCION")</f>
        <v>CUMPLE</v>
      </c>
      <c r="AH252" s="10">
        <f>0.75*0.083*SQRT($B$2)*(((D252*1000)*(E252*1000))^2/(2*((D252*1000)+(E252*1000))))/1000000</f>
        <v>3.388073536</v>
      </c>
      <c r="AI252" s="15" t="str">
        <f>IF(I252&gt;AH252,"SI","No")</f>
        <v>SI</v>
      </c>
      <c r="AJ252" s="11">
        <f>IF(I252&gt;AH252,I252*1000000/(0.75*2*0.85*((D252*1000-2*$F$2)*(E252*1000-2*$F$2))*$D$2),0)</f>
        <v>0.1839561582</v>
      </c>
      <c r="AK252" s="10">
        <f>1.25*Q252*$D$2*(J252-(1.25*Q252*$D$2/(0.85*$B$2*(D252*1000)))/2)/1000000</f>
        <v>159.8306178</v>
      </c>
      <c r="AL252" s="10">
        <f>1.25*Z252*$D$2*(J252-(1.25*Z252*$D$2/(0.85*$B$2*(D252*1000)))/2)/1000000</f>
        <v>130.9219244</v>
      </c>
      <c r="AM252" s="10">
        <f>(AK252+AL252)/B252</f>
        <v>76.21298617</v>
      </c>
      <c r="AN252" s="10">
        <f>MAX(H252,AM252)</f>
        <v>76.21298617</v>
      </c>
    </row>
    <row r="253">
      <c r="A253" s="5" t="inlineStr">
        <is>
          <t>F260</t>
        </is>
      </c>
      <c r="B253" s="6" t="n">
        <v>4</v>
      </c>
      <c r="C253" s="7" t="inlineStr">
        <is>
          <t>VC</t>
        </is>
      </c>
      <c r="D253" s="8">
        <f>IF(C253="VR",0.35,0.30)</f>
        <v>0.3</v>
      </c>
      <c r="E253" s="6" t="n">
        <v>0.4</v>
      </c>
      <c r="F253" s="9" t="n">
        <v>104</v>
      </c>
      <c r="G253" s="9" t="n">
        <v>87.09999999999999</v>
      </c>
      <c r="H253" s="9" t="n">
        <v>60.1</v>
      </c>
      <c r="I253" s="6" t="n">
        <v>0</v>
      </c>
      <c r="J253" s="10">
        <f>E253*1000-$F$2-$L$2-$H$2/2</f>
        <v>342.55</v>
      </c>
      <c r="K253" s="11">
        <f>F253*1000000/(0.9*(D253*1000)*J253^2)</f>
        <v>3.282627711</v>
      </c>
      <c r="L253" s="12">
        <f>(0.85*$B$2/$D$2)*(1-SQRT(1-2*K253/(0.85*$B$2)))</f>
        <v>0.008445066931</v>
      </c>
      <c r="M253" s="13">
        <f>L253*(D253*1000)*J253</f>
        <v>867.8573032</v>
      </c>
      <c r="N253" s="13">
        <f>MAX(0.25*SQRT($B$2)/$D$2,1.4/$D$2)*(D253*1000)*J253</f>
        <v>342.55</v>
      </c>
      <c r="O253" s="13">
        <f>MAX(M253,N253)</f>
        <v>867.8573032</v>
      </c>
      <c r="P253" s="14">
        <f>ROUNDUP(O253/$J$2,0)</f>
        <v>5</v>
      </c>
      <c r="Q253" s="13">
        <f>P253*$J$2</f>
        <v>995</v>
      </c>
      <c r="R253" s="10">
        <f>Q253*$D$2/(0.85*$B$2*(D253*1000))</f>
        <v>58.52941176</v>
      </c>
      <c r="S253" s="10">
        <f>0.9*Q253*$D$2*(J253-R253/2)/1000000</f>
        <v>117.829732</v>
      </c>
      <c r="T253" s="15" t="str">
        <f>IF(AND(S253&gt;=F253,O253&lt;=0.025*(D253*1000)*J253,O253&gt;=N253),"CUMPLE","REVISAR")</f>
        <v>CUMPLE</v>
      </c>
      <c r="U253" s="11">
        <f>G253*1000000/(0.9*(D253*1000)*J253^2)</f>
        <v>2.748885071</v>
      </c>
      <c r="V253" s="12">
        <f>(0.85*$B$2/$D$2)*(1-SQRT(1-2*U253/(0.85*$B$2)))</f>
        <v>0.006974127258</v>
      </c>
      <c r="W253" s="13">
        <f>V253*(D253*1000)*J253</f>
        <v>716.6961877</v>
      </c>
      <c r="X253" s="13">
        <f>MAX(W253,N253)</f>
        <v>716.6961877</v>
      </c>
      <c r="Y253" s="14">
        <f>ROUNDUP(X253/$J$2,0)</f>
        <v>4</v>
      </c>
      <c r="Z253" s="13">
        <f>Y253*$J$2</f>
        <v>796</v>
      </c>
      <c r="AA253" s="10">
        <f>0.9*Z253*$D$2*(J253-(Z253*$D$2/(0.85*$B$2*(D253*1000)))/2)/1000000</f>
        <v>96.02486534</v>
      </c>
      <c r="AB253" s="15" t="str">
        <f>IF(AA253&gt;=G253,"CUMPLE","REVISAR")</f>
        <v>CUMPLE</v>
      </c>
      <c r="AC253" s="10">
        <f>0.17*SQRT($B$2)*(D253*1000)*J253/1000</f>
        <v>92.44281538</v>
      </c>
      <c r="AD253" s="10">
        <f>MAX(H253/0.75-AC253,0)</f>
        <v>0</v>
      </c>
      <c r="AE253" s="14">
        <f>IF(AD253&gt;0,MIN($N$2*$D$2*J253/(AD253*1000),MIN(J253/4,6*$H$2,150)),MIN(J253/4,6*$H$2,150))</f>
        <v>85.6375</v>
      </c>
      <c r="AF253" s="10">
        <f>0.66*SQRT($B$2)*(D253*1000)*J253/1000</f>
        <v>358.8956362</v>
      </c>
      <c r="AG253" s="15" t="str">
        <f>IF(AD253&lt;=AF253,"CUMPLE","AUMENTAR SECCION")</f>
        <v>CUMPLE</v>
      </c>
      <c r="AH253" s="10">
        <f>0.75*0.083*SQRT($B$2)*(((D253*1000)*(E253*1000))^2/(2*((D253*1000)+(E253*1000))))/1000000</f>
        <v>3.388073536</v>
      </c>
      <c r="AI253" s="15" t="str">
        <f>IF(I253&gt;AH253,"SI","No")</f>
        <v>No</v>
      </c>
      <c r="AJ253" s="11">
        <f>IF(I253&gt;AH253,I253*1000000/(0.75*2*0.85*((D253*1000-2*$F$2)*(E253*1000-2*$F$2))*$D$2),0)</f>
        <v>0</v>
      </c>
      <c r="AK253" s="10">
        <f>1.25*Q253*$D$2*(J253-(1.25*Q253*$D$2/(0.85*$B$2*(D253*1000)))/2)/1000000</f>
        <v>159.8306178</v>
      </c>
      <c r="AL253" s="10">
        <f>1.25*Z253*$D$2*(J253-(1.25*Z253*$D$2/(0.85*$B$2*(D253*1000)))/2)/1000000</f>
        <v>130.9219244</v>
      </c>
      <c r="AM253" s="10">
        <f>(AK253+AL253)/B253</f>
        <v>72.68813556</v>
      </c>
      <c r="AN253" s="10">
        <f>MAX(H253,AM253)</f>
        <v>72.68813556</v>
      </c>
    </row>
    <row r="254">
      <c r="A254" s="5" t="inlineStr">
        <is>
          <t>F261</t>
        </is>
      </c>
      <c r="B254" s="6" t="n">
        <v>3.85</v>
      </c>
      <c r="C254" s="7" t="inlineStr">
        <is>
          <t>VC</t>
        </is>
      </c>
      <c r="D254" s="8">
        <f>IF(C254="VR",0.35,0.30)</f>
        <v>0.3</v>
      </c>
      <c r="E254" s="6" t="n">
        <v>0.4</v>
      </c>
      <c r="F254" s="9" t="n">
        <v>121.6</v>
      </c>
      <c r="G254" s="9" t="n">
        <v>92.3</v>
      </c>
      <c r="H254" s="9" t="n">
        <v>77.2</v>
      </c>
      <c r="I254" s="6" t="n">
        <v>0</v>
      </c>
      <c r="J254" s="10">
        <f>E254*1000-$F$2-$L$2-$H$2/2</f>
        <v>342.55</v>
      </c>
      <c r="K254" s="11">
        <f>F254*1000000/(0.9*(D254*1000)*J254^2)</f>
        <v>3.837202412</v>
      </c>
      <c r="L254" s="12">
        <f>(0.85*$B$2/$D$2)*(1-SQRT(1-2*K254/(0.85*$B$2)))</f>
        <v>0.01002252942</v>
      </c>
      <c r="M254" s="13">
        <f>L254*(D254*1000)*J254</f>
        <v>1029.965236</v>
      </c>
      <c r="N254" s="13">
        <f>MAX(0.25*SQRT($B$2)/$D$2,1.4/$D$2)*(D254*1000)*J254</f>
        <v>342.55</v>
      </c>
      <c r="O254" s="13">
        <f>MAX(M254,N254)</f>
        <v>1029.965236</v>
      </c>
      <c r="P254" s="14">
        <f>ROUNDUP(O254/$J$2,0)</f>
        <v>6</v>
      </c>
      <c r="Q254" s="13">
        <f>P254*$J$2</f>
        <v>1194</v>
      </c>
      <c r="R254" s="10">
        <f>Q254*$D$2/(0.85*$B$2*(D254*1000))</f>
        <v>70.23529412</v>
      </c>
      <c r="S254" s="10">
        <f>0.9*Q254*$D$2*(J254-R254/2)/1000000</f>
        <v>138.7540587</v>
      </c>
      <c r="T254" s="15" t="str">
        <f>IF(AND(S254&gt;=F254,O254&lt;=0.025*(D254*1000)*J254,O254&gt;=N254),"CUMPLE","REVISAR")</f>
        <v>CUMPLE</v>
      </c>
      <c r="U254" s="11">
        <f>G254*1000000/(0.9*(D254*1000)*J254^2)</f>
        <v>2.913332094</v>
      </c>
      <c r="V254" s="12">
        <f>(0.85*$B$2/$D$2)*(1-SQRT(1-2*U254/(0.85*$B$2)))</f>
        <v>0.007422642873</v>
      </c>
      <c r="W254" s="13">
        <f>V254*(D254*1000)*J254</f>
        <v>762.7878948</v>
      </c>
      <c r="X254" s="13">
        <f>MAX(W254,N254)</f>
        <v>762.7878948</v>
      </c>
      <c r="Y254" s="14">
        <f>ROUNDUP(X254/$J$2,0)</f>
        <v>4</v>
      </c>
      <c r="Z254" s="13">
        <f>Y254*$J$2</f>
        <v>796</v>
      </c>
      <c r="AA254" s="10">
        <f>0.9*Z254*$D$2*(J254-(Z254*$D$2/(0.85*$B$2*(D254*1000)))/2)/1000000</f>
        <v>96.02486534</v>
      </c>
      <c r="AB254" s="15" t="str">
        <f>IF(AA254&gt;=G254,"CUMPLE","REVISAR")</f>
        <v>CUMPLE</v>
      </c>
      <c r="AC254" s="10">
        <f>0.17*SQRT($B$2)*(D254*1000)*J254/1000</f>
        <v>92.44281538</v>
      </c>
      <c r="AD254" s="10">
        <f>MAX(H254/0.75-AC254,0)</f>
        <v>10.51718462</v>
      </c>
      <c r="AE254" s="14">
        <f>IF(AD254&gt;0,MIN($N$2*$D$2*J254/(AD254*1000),MIN(J254/4,6*$H$2,150)),MIN(J254/4,6*$H$2,150))</f>
        <v>85.6375</v>
      </c>
      <c r="AF254" s="10">
        <f>0.66*SQRT($B$2)*(D254*1000)*J254/1000</f>
        <v>358.8956362</v>
      </c>
      <c r="AG254" s="15" t="str">
        <f>IF(AD254&lt;=AF254,"CUMPLE","AUMENTAR SECCION")</f>
        <v>CUMPLE</v>
      </c>
      <c r="AH254" s="10">
        <f>0.75*0.083*SQRT($B$2)*(((D254*1000)*(E254*1000))^2/(2*((D254*1000)+(E254*1000))))/1000000</f>
        <v>3.388073536</v>
      </c>
      <c r="AI254" s="15" t="str">
        <f>IF(I254&gt;AH254,"SI","No")</f>
        <v>No</v>
      </c>
      <c r="AJ254" s="11">
        <f>IF(I254&gt;AH254,I254*1000000/(0.75*2*0.85*((D254*1000-2*$F$2)*(E254*1000-2*$F$2))*$D$2),0)</f>
        <v>0</v>
      </c>
      <c r="AK254" s="10">
        <f>1.25*Q254*$D$2*(J254-(1.25*Q254*$D$2/(0.85*$B$2*(D254*1000)))/2)/1000000</f>
        <v>187.2105962</v>
      </c>
      <c r="AL254" s="10">
        <f>1.25*Z254*$D$2*(J254-(1.25*Z254*$D$2/(0.85*$B$2*(D254*1000)))/2)/1000000</f>
        <v>130.9219244</v>
      </c>
      <c r="AM254" s="10">
        <f>(AK254+AL254)/B254</f>
        <v>82.63182353</v>
      </c>
      <c r="AN254" s="10">
        <f>MAX(H254,AM254)</f>
        <v>82.63182353</v>
      </c>
    </row>
    <row r="255">
      <c r="A255" s="5" t="inlineStr">
        <is>
          <t>F262</t>
        </is>
      </c>
      <c r="B255" s="6" t="n">
        <v>3.85</v>
      </c>
      <c r="C255" s="7" t="inlineStr">
        <is>
          <t>VC</t>
        </is>
      </c>
      <c r="D255" s="8">
        <f>IF(C255="VR",0.35,0.30)</f>
        <v>0.3</v>
      </c>
      <c r="E255" s="6" t="n">
        <v>0.4</v>
      </c>
      <c r="F255" s="9" t="n">
        <v>121.5</v>
      </c>
      <c r="G255" s="9" t="n">
        <v>92.3</v>
      </c>
      <c r="H255" s="9" t="n">
        <v>77.2</v>
      </c>
      <c r="I255" s="6" t="n">
        <v>0</v>
      </c>
      <c r="J255" s="10">
        <f>E255*1000-$F$2-$L$2-$H$2/2</f>
        <v>342.55</v>
      </c>
      <c r="K255" s="11">
        <f>F255*1000000/(0.9*(D255*1000)*J255^2)</f>
        <v>3.836255501</v>
      </c>
      <c r="L255" s="12">
        <f>(0.85*$B$2/$D$2)*(1-SQRT(1-2*K255/(0.85*$B$2)))</f>
        <v>0.01001979051</v>
      </c>
      <c r="M255" s="13">
        <f>L255*(D255*1000)*J255</f>
        <v>1029.683771</v>
      </c>
      <c r="N255" s="13">
        <f>MAX(0.25*SQRT($B$2)/$D$2,1.4/$D$2)*(D255*1000)*J255</f>
        <v>342.55</v>
      </c>
      <c r="O255" s="13">
        <f>MAX(M255,N255)</f>
        <v>1029.683771</v>
      </c>
      <c r="P255" s="14">
        <f>ROUNDUP(O255/$J$2,0)</f>
        <v>6</v>
      </c>
      <c r="Q255" s="13">
        <f>P255*$J$2</f>
        <v>1194</v>
      </c>
      <c r="R255" s="10">
        <f>Q255*$D$2/(0.85*$B$2*(D255*1000))</f>
        <v>70.23529412</v>
      </c>
      <c r="S255" s="10">
        <f>0.9*Q255*$D$2*(J255-R255/2)/1000000</f>
        <v>138.7540587</v>
      </c>
      <c r="T255" s="15" t="str">
        <f>IF(AND(S255&gt;=F255,O255&lt;=0.025*(D255*1000)*J255,O255&gt;=N255),"CUMPLE","REVISAR")</f>
        <v>CUMPLE</v>
      </c>
      <c r="U255" s="11">
        <f>G255*1000000/(0.9*(D255*1000)*J255^2)</f>
        <v>2.913647731</v>
      </c>
      <c r="V255" s="12">
        <f>(0.85*$B$2/$D$2)*(1-SQRT(1-2*U255/(0.85*$B$2)))</f>
        <v>0.007423507675</v>
      </c>
      <c r="W255" s="13">
        <f>V255*(D255*1000)*J255</f>
        <v>762.8767663</v>
      </c>
      <c r="X255" s="13">
        <f>MAX(W255,N255)</f>
        <v>762.8767663</v>
      </c>
      <c r="Y255" s="14">
        <f>ROUNDUP(X255/$J$2,0)</f>
        <v>4</v>
      </c>
      <c r="Z255" s="13">
        <f>Y255*$J$2</f>
        <v>796</v>
      </c>
      <c r="AA255" s="10">
        <f>0.9*Z255*$D$2*(J255-(Z255*$D$2/(0.85*$B$2*(D255*1000)))/2)/1000000</f>
        <v>96.02486534</v>
      </c>
      <c r="AB255" s="15" t="str">
        <f>IF(AA255&gt;=G255,"CUMPLE","REVISAR")</f>
        <v>CUMPLE</v>
      </c>
      <c r="AC255" s="10">
        <f>0.17*SQRT($B$2)*(D255*1000)*J255/1000</f>
        <v>92.44281538</v>
      </c>
      <c r="AD255" s="10">
        <f>MAX(H255/0.75-AC255,0)</f>
        <v>10.53051795</v>
      </c>
      <c r="AE255" s="14">
        <f>IF(AD255&gt;0,MIN($N$2*$D$2*J255/(AD255*1000),MIN(J255/4,6*$H$2,150)),MIN(J255/4,6*$H$2,150))</f>
        <v>85.6375</v>
      </c>
      <c r="AF255" s="10">
        <f>0.66*SQRT($B$2)*(D255*1000)*J255/1000</f>
        <v>358.8956362</v>
      </c>
      <c r="AG255" s="15" t="str">
        <f>IF(AD255&lt;=AF255,"CUMPLE","AUMENTAR SECCION")</f>
        <v>CUMPLE</v>
      </c>
      <c r="AH255" s="10">
        <f>0.75*0.083*SQRT($B$2)*(((D255*1000)*(E255*1000))^2/(2*((D255*1000)+(E255*1000))))/1000000</f>
        <v>3.388073536</v>
      </c>
      <c r="AI255" s="15" t="str">
        <f>IF(I255&gt;AH255,"SI","No")</f>
        <v>No</v>
      </c>
      <c r="AJ255" s="11">
        <f>IF(I255&gt;AH255,I255*1000000/(0.75*2*0.85*((D255*1000-2*$F$2)*(E255*1000-2*$F$2))*$D$2),0)</f>
        <v>0</v>
      </c>
      <c r="AK255" s="10">
        <f>1.25*Q255*$D$2*(J255-(1.25*Q255*$D$2/(0.85*$B$2*(D255*1000)))/2)/1000000</f>
        <v>187.2105962</v>
      </c>
      <c r="AL255" s="10">
        <f>1.25*Z255*$D$2*(J255-(1.25*Z255*$D$2/(0.85*$B$2*(D255*1000)))/2)/1000000</f>
        <v>130.9219244</v>
      </c>
      <c r="AM255" s="10">
        <f>(AK255+AL255)/B255</f>
        <v>82.63182353</v>
      </c>
      <c r="AN255" s="10">
        <f>MAX(H255,AM255)</f>
        <v>82.63182353</v>
      </c>
    </row>
    <row r="256">
      <c r="A256" s="5" t="inlineStr">
        <is>
          <t>F263</t>
        </is>
      </c>
      <c r="B256" s="6" t="n">
        <v>3.85</v>
      </c>
      <c r="C256" s="7" t="inlineStr">
        <is>
          <t>VC</t>
        </is>
      </c>
      <c r="D256" s="8">
        <f>IF(C256="VR",0.35,0.30)</f>
        <v>0.3</v>
      </c>
      <c r="E256" s="6" t="n">
        <v>0.4</v>
      </c>
      <c r="F256" s="9" t="n">
        <v>119.1</v>
      </c>
      <c r="G256" s="9" t="n">
        <v>87.8</v>
      </c>
      <c r="H256" s="9" t="n">
        <v>77.90000000000001</v>
      </c>
      <c r="I256" s="6" t="n">
        <v>0</v>
      </c>
      <c r="J256" s="10">
        <f>E256*1000-$F$2-$L$2-$H$2/2</f>
        <v>342.55</v>
      </c>
      <c r="K256" s="11">
        <f>F256*1000000/(0.9*(D256*1000)*J256^2)</f>
        <v>3.760502553</v>
      </c>
      <c r="L256" s="12">
        <f>(0.85*$B$2/$D$2)*(1-SQRT(1-2*K256/(0.85*$B$2)))</f>
        <v>0.009801196149</v>
      </c>
      <c r="M256" s="13">
        <f>L256*(D256*1000)*J256</f>
        <v>1007.219922</v>
      </c>
      <c r="N256" s="13">
        <f>MAX(0.25*SQRT($B$2)/$D$2,1.4/$D$2)*(D256*1000)*J256</f>
        <v>342.55</v>
      </c>
      <c r="O256" s="13">
        <f>MAX(M256,N256)</f>
        <v>1007.219922</v>
      </c>
      <c r="P256" s="14">
        <f>ROUNDUP(O256/$J$2,0)</f>
        <v>6</v>
      </c>
      <c r="Q256" s="13">
        <f>P256*$J$2</f>
        <v>1194</v>
      </c>
      <c r="R256" s="10">
        <f>Q256*$D$2/(0.85*$B$2*(D256*1000))</f>
        <v>70.23529412</v>
      </c>
      <c r="S256" s="10">
        <f>0.9*Q256*$D$2*(J256-R256/2)/1000000</f>
        <v>138.7540587</v>
      </c>
      <c r="T256" s="15" t="str">
        <f>IF(AND(S256&gt;=F256,O256&lt;=0.025*(D256*1000)*J256,O256&gt;=N256),"CUMPLE","REVISAR")</f>
        <v>CUMPLE</v>
      </c>
      <c r="U256" s="11">
        <f>G256*1000000/(0.9*(D256*1000)*J256^2)</f>
        <v>2.771926593</v>
      </c>
      <c r="V256" s="12">
        <f>(0.85*$B$2/$D$2)*(1-SQRT(1-2*U256/(0.85*$B$2)))</f>
        <v>0.007036726918</v>
      </c>
      <c r="W256" s="13">
        <f>V256*(D256*1000)*J256</f>
        <v>723.1292417</v>
      </c>
      <c r="X256" s="13">
        <f>MAX(W256,N256)</f>
        <v>723.1292417</v>
      </c>
      <c r="Y256" s="14">
        <f>ROUNDUP(X256/$J$2,0)</f>
        <v>4</v>
      </c>
      <c r="Z256" s="13">
        <f>Y256*$J$2</f>
        <v>796</v>
      </c>
      <c r="AA256" s="10">
        <f>0.9*Z256*$D$2*(J256-(Z256*$D$2/(0.85*$B$2*(D256*1000)))/2)/1000000</f>
        <v>96.02486534</v>
      </c>
      <c r="AB256" s="15" t="str">
        <f>IF(AA256&gt;=G256,"CUMPLE","REVISAR")</f>
        <v>CUMPLE</v>
      </c>
      <c r="AC256" s="10">
        <f>0.17*SQRT($B$2)*(D256*1000)*J256/1000</f>
        <v>92.44281538</v>
      </c>
      <c r="AD256" s="10">
        <f>MAX(H256/0.75-AC256,0)</f>
        <v>11.47718462</v>
      </c>
      <c r="AE256" s="14">
        <f>IF(AD256&gt;0,MIN($N$2*$D$2*J256/(AD256*1000),MIN(J256/4,6*$H$2,150)),MIN(J256/4,6*$H$2,150))</f>
        <v>85.6375</v>
      </c>
      <c r="AF256" s="10">
        <f>0.66*SQRT($B$2)*(D256*1000)*J256/1000</f>
        <v>358.8956362</v>
      </c>
      <c r="AG256" s="15" t="str">
        <f>IF(AD256&lt;=AF256,"CUMPLE","AUMENTAR SECCION")</f>
        <v>CUMPLE</v>
      </c>
      <c r="AH256" s="10">
        <f>0.75*0.083*SQRT($B$2)*(((D256*1000)*(E256*1000))^2/(2*((D256*1000)+(E256*1000))))/1000000</f>
        <v>3.388073536</v>
      </c>
      <c r="AI256" s="15" t="str">
        <f>IF(I256&gt;AH256,"SI","No")</f>
        <v>No</v>
      </c>
      <c r="AJ256" s="11">
        <f>IF(I256&gt;AH256,I256*1000000/(0.75*2*0.85*((D256*1000-2*$F$2)*(E256*1000-2*$F$2))*$D$2),0)</f>
        <v>0</v>
      </c>
      <c r="AK256" s="10">
        <f>1.25*Q256*$D$2*(J256-(1.25*Q256*$D$2/(0.85*$B$2*(D256*1000)))/2)/1000000</f>
        <v>187.2105962</v>
      </c>
      <c r="AL256" s="10">
        <f>1.25*Z256*$D$2*(J256-(1.25*Z256*$D$2/(0.85*$B$2*(D256*1000)))/2)/1000000</f>
        <v>130.9219244</v>
      </c>
      <c r="AM256" s="10">
        <f>(AK256+AL256)/B256</f>
        <v>82.63182353</v>
      </c>
      <c r="AN256" s="10">
        <f>MAX(H256,AM256)</f>
        <v>82.63182353</v>
      </c>
    </row>
    <row r="257">
      <c r="A257" s="5" t="inlineStr">
        <is>
          <t>F264</t>
        </is>
      </c>
      <c r="B257" s="6" t="n">
        <v>3.9</v>
      </c>
      <c r="C257" s="7" t="inlineStr">
        <is>
          <t>VC</t>
        </is>
      </c>
      <c r="D257" s="8">
        <f>IF(C257="VR",0.35,0.30)</f>
        <v>0.3</v>
      </c>
      <c r="E257" s="6" t="n">
        <v>0.4</v>
      </c>
      <c r="F257" s="9" t="n">
        <v>128.8</v>
      </c>
      <c r="G257" s="9" t="n">
        <v>87.2</v>
      </c>
      <c r="H257" s="9" t="n">
        <v>91.90000000000001</v>
      </c>
      <c r="I257" s="6" t="n">
        <v>0</v>
      </c>
      <c r="J257" s="10">
        <f>E257*1000-$F$2-$L$2-$H$2/2</f>
        <v>342.55</v>
      </c>
      <c r="K257" s="11">
        <f>F257*1000000/(0.9*(D257*1000)*J257^2)</f>
        <v>4.066670715</v>
      </c>
      <c r="L257" s="12">
        <f>(0.85*$B$2/$D$2)*(1-SQRT(1-2*K257/(0.85*$B$2)))</f>
        <v>0.01069106965</v>
      </c>
      <c r="M257" s="13">
        <f>L257*(D257*1000)*J257</f>
        <v>1098.667772</v>
      </c>
      <c r="N257" s="13">
        <f>MAX(0.25*SQRT($B$2)/$D$2,1.4/$D$2)*(D257*1000)*J257</f>
        <v>342.55</v>
      </c>
      <c r="O257" s="13">
        <f>MAX(M257,N257)</f>
        <v>1098.667772</v>
      </c>
      <c r="P257" s="14">
        <f>ROUNDUP(O257/$J$2,0)</f>
        <v>6</v>
      </c>
      <c r="Q257" s="13">
        <f>P257*$J$2</f>
        <v>1194</v>
      </c>
      <c r="R257" s="10">
        <f>Q257*$D$2/(0.85*$B$2*(D257*1000))</f>
        <v>70.23529412</v>
      </c>
      <c r="S257" s="10">
        <f>0.9*Q257*$D$2*(J257-R257/2)/1000000</f>
        <v>138.7540587</v>
      </c>
      <c r="T257" s="15" t="str">
        <f>IF(AND(S257&gt;=F257,O257&lt;=0.025*(D257*1000)*J257,O257&gt;=N257),"CUMPLE","REVISAR")</f>
        <v>CUMPLE</v>
      </c>
      <c r="U257" s="11">
        <f>G257*1000000/(0.9*(D257*1000)*J257^2)</f>
        <v>2.752041444</v>
      </c>
      <c r="V257" s="12">
        <f>(0.85*$B$2/$D$2)*(1-SQRT(1-2*U257/(0.85*$B$2)))</f>
        <v>0.006982697892</v>
      </c>
      <c r="W257" s="13">
        <f>V257*(D257*1000)*J257</f>
        <v>717.5769488</v>
      </c>
      <c r="X257" s="13">
        <f>MAX(W257,N257)</f>
        <v>717.5769488</v>
      </c>
      <c r="Y257" s="14">
        <f>ROUNDUP(X257/$J$2,0)</f>
        <v>4</v>
      </c>
      <c r="Z257" s="13">
        <f>Y257*$J$2</f>
        <v>796</v>
      </c>
      <c r="AA257" s="10">
        <f>0.9*Z257*$D$2*(J257-(Z257*$D$2/(0.85*$B$2*(D257*1000)))/2)/1000000</f>
        <v>96.02486534</v>
      </c>
      <c r="AB257" s="15" t="str">
        <f>IF(AA257&gt;=G257,"CUMPLE","REVISAR")</f>
        <v>CUMPLE</v>
      </c>
      <c r="AC257" s="10">
        <f>0.17*SQRT($B$2)*(D257*1000)*J257/1000</f>
        <v>92.44281538</v>
      </c>
      <c r="AD257" s="10">
        <f>MAX(H257/0.75-AC257,0)</f>
        <v>30.06385128</v>
      </c>
      <c r="AE257" s="14">
        <f>IF(AD257&gt;0,MIN($N$2*$D$2*J257/(AD257*1000),MIN(J257/4,6*$H$2,150)),MIN(J257/4,6*$H$2,150))</f>
        <v>85.6375</v>
      </c>
      <c r="AF257" s="10">
        <f>0.66*SQRT($B$2)*(D257*1000)*J257/1000</f>
        <v>358.8956362</v>
      </c>
      <c r="AG257" s="15" t="str">
        <f>IF(AD257&lt;=AF257,"CUMPLE","AUMENTAR SECCION")</f>
        <v>CUMPLE</v>
      </c>
      <c r="AH257" s="10">
        <f>0.75*0.083*SQRT($B$2)*(((D257*1000)*(E257*1000))^2/(2*((D257*1000)+(E257*1000))))/1000000</f>
        <v>3.388073536</v>
      </c>
      <c r="AI257" s="15" t="str">
        <f>IF(I257&gt;AH257,"SI","No")</f>
        <v>No</v>
      </c>
      <c r="AJ257" s="11">
        <f>IF(I257&gt;AH257,I257*1000000/(0.75*2*0.85*((D257*1000-2*$F$2)*(E257*1000-2*$F$2))*$D$2),0)</f>
        <v>0</v>
      </c>
      <c r="AK257" s="10">
        <f>1.25*Q257*$D$2*(J257-(1.25*Q257*$D$2/(0.85*$B$2*(D257*1000)))/2)/1000000</f>
        <v>187.2105962</v>
      </c>
      <c r="AL257" s="10">
        <f>1.25*Z257*$D$2*(J257-(1.25*Z257*$D$2/(0.85*$B$2*(D257*1000)))/2)/1000000</f>
        <v>130.9219244</v>
      </c>
      <c r="AM257" s="10">
        <f>(AK257+AL257)/B257</f>
        <v>81.57244118</v>
      </c>
      <c r="AN257" s="10">
        <f>MAX(H257,AM257)</f>
        <v>91.88</v>
      </c>
    </row>
    <row r="258">
      <c r="A258" s="5" t="inlineStr">
        <is>
          <t>F265</t>
        </is>
      </c>
      <c r="B258" s="6" t="n">
        <v>3.9</v>
      </c>
      <c r="C258" s="7" t="inlineStr">
        <is>
          <t>VC</t>
        </is>
      </c>
      <c r="D258" s="8">
        <f>IF(C258="VR",0.35,0.30)</f>
        <v>0.3</v>
      </c>
      <c r="E258" s="6" t="n">
        <v>0.4</v>
      </c>
      <c r="F258" s="9" t="n">
        <v>128.8</v>
      </c>
      <c r="G258" s="9" t="n">
        <v>87.2</v>
      </c>
      <c r="H258" s="9" t="n">
        <v>91.90000000000001</v>
      </c>
      <c r="I258" s="6" t="n">
        <v>0</v>
      </c>
      <c r="J258" s="10">
        <f>E258*1000-$F$2-$L$2-$H$2/2</f>
        <v>342.55</v>
      </c>
      <c r="K258" s="11">
        <f>F258*1000000/(0.9*(D258*1000)*J258^2)</f>
        <v>4.066355078</v>
      </c>
      <c r="L258" s="12">
        <f>(0.85*$B$2/$D$2)*(1-SQRT(1-2*K258/(0.85*$B$2)))</f>
        <v>0.01069014338</v>
      </c>
      <c r="M258" s="13">
        <f>L258*(D258*1000)*J258</f>
        <v>1098.572585</v>
      </c>
      <c r="N258" s="13">
        <f>MAX(0.25*SQRT($B$2)/$D$2,1.4/$D$2)*(D258*1000)*J258</f>
        <v>342.55</v>
      </c>
      <c r="O258" s="13">
        <f>MAX(M258,N258)</f>
        <v>1098.572585</v>
      </c>
      <c r="P258" s="14">
        <f>ROUNDUP(O258/$J$2,0)</f>
        <v>6</v>
      </c>
      <c r="Q258" s="13">
        <f>P258*$J$2</f>
        <v>1194</v>
      </c>
      <c r="R258" s="10">
        <f>Q258*$D$2/(0.85*$B$2*(D258*1000))</f>
        <v>70.23529412</v>
      </c>
      <c r="S258" s="10">
        <f>0.9*Q258*$D$2*(J258-R258/2)/1000000</f>
        <v>138.7540587</v>
      </c>
      <c r="T258" s="15" t="str">
        <f>IF(AND(S258&gt;=F258,O258&lt;=0.025*(D258*1000)*J258,O258&gt;=N258),"CUMPLE","REVISAR")</f>
        <v>CUMPLE</v>
      </c>
      <c r="U258" s="11">
        <f>G258*1000000/(0.9*(D258*1000)*J258^2)</f>
        <v>2.752041444</v>
      </c>
      <c r="V258" s="12">
        <f>(0.85*$B$2/$D$2)*(1-SQRT(1-2*U258/(0.85*$B$2)))</f>
        <v>0.006982697892</v>
      </c>
      <c r="W258" s="13">
        <f>V258*(D258*1000)*J258</f>
        <v>717.5769488</v>
      </c>
      <c r="X258" s="13">
        <f>MAX(W258,N258)</f>
        <v>717.5769488</v>
      </c>
      <c r="Y258" s="14">
        <f>ROUNDUP(X258/$J$2,0)</f>
        <v>4</v>
      </c>
      <c r="Z258" s="13">
        <f>Y258*$J$2</f>
        <v>796</v>
      </c>
      <c r="AA258" s="10">
        <f>0.9*Z258*$D$2*(J258-(Z258*$D$2/(0.85*$B$2*(D258*1000)))/2)/1000000</f>
        <v>96.02486534</v>
      </c>
      <c r="AB258" s="15" t="str">
        <f>IF(AA258&gt;=G258,"CUMPLE","REVISAR")</f>
        <v>CUMPLE</v>
      </c>
      <c r="AC258" s="10">
        <f>0.17*SQRT($B$2)*(D258*1000)*J258/1000</f>
        <v>92.44281538</v>
      </c>
      <c r="AD258" s="10">
        <f>MAX(H258/0.75-AC258,0)</f>
        <v>30.05051795</v>
      </c>
      <c r="AE258" s="14">
        <f>IF(AD258&gt;0,MIN($N$2*$D$2*J258/(AD258*1000),MIN(J258/4,6*$H$2,150)),MIN(J258/4,6*$H$2,150))</f>
        <v>85.6375</v>
      </c>
      <c r="AF258" s="10">
        <f>0.66*SQRT($B$2)*(D258*1000)*J258/1000</f>
        <v>358.8956362</v>
      </c>
      <c r="AG258" s="15" t="str">
        <f>IF(AD258&lt;=AF258,"CUMPLE","AUMENTAR SECCION")</f>
        <v>CUMPLE</v>
      </c>
      <c r="AH258" s="10">
        <f>0.75*0.083*SQRT($B$2)*(((D258*1000)*(E258*1000))^2/(2*((D258*1000)+(E258*1000))))/1000000</f>
        <v>3.388073536</v>
      </c>
      <c r="AI258" s="15" t="str">
        <f>IF(I258&gt;AH258,"SI","No")</f>
        <v>No</v>
      </c>
      <c r="AJ258" s="11">
        <f>IF(I258&gt;AH258,I258*1000000/(0.75*2*0.85*((D258*1000-2*$F$2)*(E258*1000-2*$F$2))*$D$2),0)</f>
        <v>0</v>
      </c>
      <c r="AK258" s="10">
        <f>1.25*Q258*$D$2*(J258-(1.25*Q258*$D$2/(0.85*$B$2*(D258*1000)))/2)/1000000</f>
        <v>187.2105962</v>
      </c>
      <c r="AL258" s="10">
        <f>1.25*Z258*$D$2*(J258-(1.25*Z258*$D$2/(0.85*$B$2*(D258*1000)))/2)/1000000</f>
        <v>130.9219244</v>
      </c>
      <c r="AM258" s="10">
        <f>(AK258+AL258)/B258</f>
        <v>81.57244118</v>
      </c>
      <c r="AN258" s="10">
        <f>MAX(H258,AM258)</f>
        <v>91.87</v>
      </c>
    </row>
    <row r="259">
      <c r="A259" s="5" t="inlineStr">
        <is>
          <t>F266</t>
        </is>
      </c>
      <c r="B259" s="6" t="n">
        <v>3.85</v>
      </c>
      <c r="C259" s="7" t="inlineStr">
        <is>
          <t>VC</t>
        </is>
      </c>
      <c r="D259" s="8">
        <f>IF(C259="VR",0.35,0.30)</f>
        <v>0.3</v>
      </c>
      <c r="E259" s="6" t="n">
        <v>0.4</v>
      </c>
      <c r="F259" s="9" t="n">
        <v>119.2</v>
      </c>
      <c r="G259" s="9" t="n">
        <v>87.8</v>
      </c>
      <c r="H259" s="9" t="n">
        <v>78</v>
      </c>
      <c r="I259" s="6" t="n">
        <v>0</v>
      </c>
      <c r="J259" s="10">
        <f>E259*1000-$F$2-$L$2-$H$2/2</f>
        <v>342.55</v>
      </c>
      <c r="K259" s="11">
        <f>F259*1000000/(0.9*(D259*1000)*J259^2)</f>
        <v>3.760818191</v>
      </c>
      <c r="L259" s="12">
        <f>(0.85*$B$2/$D$2)*(1-SQRT(1-2*K259/(0.85*$B$2)))</f>
        <v>0.009802104843</v>
      </c>
      <c r="M259" s="13">
        <f>L259*(D259*1000)*J259</f>
        <v>1007.313304</v>
      </c>
      <c r="N259" s="13">
        <f>MAX(0.25*SQRT($B$2)/$D$2,1.4/$D$2)*(D259*1000)*J259</f>
        <v>342.55</v>
      </c>
      <c r="O259" s="13">
        <f>MAX(M259,N259)</f>
        <v>1007.313304</v>
      </c>
      <c r="P259" s="14">
        <f>ROUNDUP(O259/$J$2,0)</f>
        <v>6</v>
      </c>
      <c r="Q259" s="13">
        <f>P259*$J$2</f>
        <v>1194</v>
      </c>
      <c r="R259" s="10">
        <f>Q259*$D$2/(0.85*$B$2*(D259*1000))</f>
        <v>70.23529412</v>
      </c>
      <c r="S259" s="10">
        <f>0.9*Q259*$D$2*(J259-R259/2)/1000000</f>
        <v>138.7540587</v>
      </c>
      <c r="T259" s="15" t="str">
        <f>IF(AND(S259&gt;=F259,O259&lt;=0.025*(D259*1000)*J259,O259&gt;=N259),"CUMPLE","REVISAR")</f>
        <v>CUMPLE</v>
      </c>
      <c r="U259" s="11">
        <f>G259*1000000/(0.9*(D259*1000)*J259^2)</f>
        <v>2.771610955</v>
      </c>
      <c r="V259" s="12">
        <f>(0.85*$B$2/$D$2)*(1-SQRT(1-2*U259/(0.85*$B$2)))</f>
        <v>0.007035868855</v>
      </c>
      <c r="W259" s="13">
        <f>V259*(D259*1000)*J259</f>
        <v>723.0410629</v>
      </c>
      <c r="X259" s="13">
        <f>MAX(W259,N259)</f>
        <v>723.0410629</v>
      </c>
      <c r="Y259" s="14">
        <f>ROUNDUP(X259/$J$2,0)</f>
        <v>4</v>
      </c>
      <c r="Z259" s="13">
        <f>Y259*$J$2</f>
        <v>796</v>
      </c>
      <c r="AA259" s="10">
        <f>0.9*Z259*$D$2*(J259-(Z259*$D$2/(0.85*$B$2*(D259*1000)))/2)/1000000</f>
        <v>96.02486534</v>
      </c>
      <c r="AB259" s="15" t="str">
        <f>IF(AA259&gt;=G259,"CUMPLE","REVISAR")</f>
        <v>CUMPLE</v>
      </c>
      <c r="AC259" s="10">
        <f>0.17*SQRT($B$2)*(D259*1000)*J259/1000</f>
        <v>92.44281538</v>
      </c>
      <c r="AD259" s="10">
        <f>MAX(H259/0.75-AC259,0)</f>
        <v>11.49051795</v>
      </c>
      <c r="AE259" s="14">
        <f>IF(AD259&gt;0,MIN($N$2*$D$2*J259/(AD259*1000),MIN(J259/4,6*$H$2,150)),MIN(J259/4,6*$H$2,150))</f>
        <v>85.6375</v>
      </c>
      <c r="AF259" s="10">
        <f>0.66*SQRT($B$2)*(D259*1000)*J259/1000</f>
        <v>358.8956362</v>
      </c>
      <c r="AG259" s="15" t="str">
        <f>IF(AD259&lt;=AF259,"CUMPLE","AUMENTAR SECCION")</f>
        <v>CUMPLE</v>
      </c>
      <c r="AH259" s="10">
        <f>0.75*0.083*SQRT($B$2)*(((D259*1000)*(E259*1000))^2/(2*((D259*1000)+(E259*1000))))/1000000</f>
        <v>3.388073536</v>
      </c>
      <c r="AI259" s="15" t="str">
        <f>IF(I259&gt;AH259,"SI","No")</f>
        <v>No</v>
      </c>
      <c r="AJ259" s="11">
        <f>IF(I259&gt;AH259,I259*1000000/(0.75*2*0.85*((D259*1000-2*$F$2)*(E259*1000-2*$F$2))*$D$2),0)</f>
        <v>0</v>
      </c>
      <c r="AK259" s="10">
        <f>1.25*Q259*$D$2*(J259-(1.25*Q259*$D$2/(0.85*$B$2*(D259*1000)))/2)/1000000</f>
        <v>187.2105962</v>
      </c>
      <c r="AL259" s="10">
        <f>1.25*Z259*$D$2*(J259-(1.25*Z259*$D$2/(0.85*$B$2*(D259*1000)))/2)/1000000</f>
        <v>130.9219244</v>
      </c>
      <c r="AM259" s="10">
        <f>(AK259+AL259)/B259</f>
        <v>82.63182353</v>
      </c>
      <c r="AN259" s="10">
        <f>MAX(H259,AM259)</f>
        <v>82.63182353</v>
      </c>
    </row>
    <row r="260">
      <c r="A260" s="5" t="inlineStr">
        <is>
          <t>F267</t>
        </is>
      </c>
      <c r="B260" s="6" t="n">
        <v>3.85</v>
      </c>
      <c r="C260" s="7" t="inlineStr">
        <is>
          <t>VC</t>
        </is>
      </c>
      <c r="D260" s="8">
        <f>IF(C260="VR",0.35,0.30)</f>
        <v>0.3</v>
      </c>
      <c r="E260" s="6" t="n">
        <v>0.4</v>
      </c>
      <c r="F260" s="9" t="n">
        <v>108.5</v>
      </c>
      <c r="G260" s="9" t="n">
        <v>92.5</v>
      </c>
      <c r="H260" s="9" t="n">
        <v>64.8</v>
      </c>
      <c r="I260" s="6" t="n">
        <v>0</v>
      </c>
      <c r="J260" s="10">
        <f>E260*1000-$F$2-$L$2-$H$2/2</f>
        <v>342.55</v>
      </c>
      <c r="K260" s="11">
        <f>F260*1000000/(0.9*(D260*1000)*J260^2)</f>
        <v>3.424980125</v>
      </c>
      <c r="L260" s="12">
        <f>(0.85*$B$2/$D$2)*(1-SQRT(1-2*K260/(0.85*$B$2)))</f>
        <v>0.008845017541</v>
      </c>
      <c r="M260" s="13">
        <f>L260*(D260*1000)*J260</f>
        <v>908.9582276</v>
      </c>
      <c r="N260" s="13">
        <f>MAX(0.25*SQRT($B$2)/$D$2,1.4/$D$2)*(D260*1000)*J260</f>
        <v>342.55</v>
      </c>
      <c r="O260" s="13">
        <f>MAX(M260,N260)</f>
        <v>908.9582276</v>
      </c>
      <c r="P260" s="14">
        <f>ROUNDUP(O260/$J$2,0)</f>
        <v>5</v>
      </c>
      <c r="Q260" s="13">
        <f>P260*$J$2</f>
        <v>995</v>
      </c>
      <c r="R260" s="10">
        <f>Q260*$D$2/(0.85*$B$2*(D260*1000))</f>
        <v>58.52941176</v>
      </c>
      <c r="S260" s="10">
        <f>0.9*Q260*$D$2*(J260-R260/2)/1000000</f>
        <v>117.829732</v>
      </c>
      <c r="T260" s="15" t="str">
        <f>IF(AND(S260&gt;=F260,O260&lt;=0.025*(D260*1000)*J260,O260&gt;=N260),"CUMPLE","REVISAR")</f>
        <v>CUMPLE</v>
      </c>
      <c r="U260" s="11">
        <f>G260*1000000/(0.9*(D260*1000)*J260^2)</f>
        <v>2.920907389</v>
      </c>
      <c r="V260" s="12">
        <f>(0.85*$B$2/$D$2)*(1-SQRT(1-2*U260/(0.85*$B$2)))</f>
        <v>0.007443402327</v>
      </c>
      <c r="W260" s="13">
        <f>V260*(D260*1000)*J260</f>
        <v>764.9212401</v>
      </c>
      <c r="X260" s="13">
        <f>MAX(W260,N260)</f>
        <v>764.9212401</v>
      </c>
      <c r="Y260" s="14">
        <f>ROUNDUP(X260/$J$2,0)</f>
        <v>4</v>
      </c>
      <c r="Z260" s="13">
        <f>Y260*$J$2</f>
        <v>796</v>
      </c>
      <c r="AA260" s="10">
        <f>0.9*Z260*$D$2*(J260-(Z260*$D$2/(0.85*$B$2*(D260*1000)))/2)/1000000</f>
        <v>96.02486534</v>
      </c>
      <c r="AB260" s="15" t="str">
        <f>IF(AA260&gt;=G260,"CUMPLE","REVISAR")</f>
        <v>CUMPLE</v>
      </c>
      <c r="AC260" s="10">
        <f>0.17*SQRT($B$2)*(D260*1000)*J260/1000</f>
        <v>92.44281538</v>
      </c>
      <c r="AD260" s="10">
        <f>MAX(H260/0.75-AC260,0)</f>
        <v>0</v>
      </c>
      <c r="AE260" s="14">
        <f>IF(AD260&gt;0,MIN($N$2*$D$2*J260/(AD260*1000),MIN(J260/4,6*$H$2,150)),MIN(J260/4,6*$H$2,150))</f>
        <v>85.6375</v>
      </c>
      <c r="AF260" s="10">
        <f>0.66*SQRT($B$2)*(D260*1000)*J260/1000</f>
        <v>358.8956362</v>
      </c>
      <c r="AG260" s="15" t="str">
        <f>IF(AD260&lt;=AF260,"CUMPLE","AUMENTAR SECCION")</f>
        <v>CUMPLE</v>
      </c>
      <c r="AH260" s="10">
        <f>0.75*0.083*SQRT($B$2)*(((D260*1000)*(E260*1000))^2/(2*((D260*1000)+(E260*1000))))/1000000</f>
        <v>3.388073536</v>
      </c>
      <c r="AI260" s="15" t="str">
        <f>IF(I260&gt;AH260,"SI","No")</f>
        <v>No</v>
      </c>
      <c r="AJ260" s="11">
        <f>IF(I260&gt;AH260,I260*1000000/(0.75*2*0.85*((D260*1000-2*$F$2)*(E260*1000-2*$F$2))*$D$2),0)</f>
        <v>0</v>
      </c>
      <c r="AK260" s="10">
        <f>1.25*Q260*$D$2*(J260-(1.25*Q260*$D$2/(0.85*$B$2*(D260*1000)))/2)/1000000</f>
        <v>159.8306178</v>
      </c>
      <c r="AL260" s="10">
        <f>1.25*Z260*$D$2*(J260-(1.25*Z260*$D$2/(0.85*$B$2*(D260*1000)))/2)/1000000</f>
        <v>130.9219244</v>
      </c>
      <c r="AM260" s="10">
        <f>(AK260+AL260)/B260</f>
        <v>75.52014084</v>
      </c>
      <c r="AN260" s="10">
        <f>MAX(H260,AM260)</f>
        <v>75.52014084</v>
      </c>
    </row>
    <row r="261">
      <c r="A261" s="5" t="inlineStr">
        <is>
          <t>F268</t>
        </is>
      </c>
      <c r="B261" s="6" t="n">
        <v>3.9</v>
      </c>
      <c r="C261" s="7" t="inlineStr">
        <is>
          <t>VC</t>
        </is>
      </c>
      <c r="D261" s="8">
        <f>IF(C261="VR",0.35,0.30)</f>
        <v>0.3</v>
      </c>
      <c r="E261" s="6" t="n">
        <v>0.4</v>
      </c>
      <c r="F261" s="9" t="n">
        <v>114.7</v>
      </c>
      <c r="G261" s="9" t="n">
        <v>90.7</v>
      </c>
      <c r="H261" s="9" t="n">
        <v>74.5</v>
      </c>
      <c r="I261" s="6" t="n">
        <v>0</v>
      </c>
      <c r="J261" s="10">
        <f>E261*1000-$F$2-$L$2-$H$2/2</f>
        <v>342.55</v>
      </c>
      <c r="K261" s="11">
        <f>F261*1000000/(0.9*(D261*1000)*J261^2)</f>
        <v>3.620675238</v>
      </c>
      <c r="L261" s="12">
        <f>(0.85*$B$2/$D$2)*(1-SQRT(1-2*K261/(0.85*$B$2)))</f>
        <v>0.009400362526</v>
      </c>
      <c r="M261" s="13">
        <f>L261*(D261*1000)*J261</f>
        <v>966.028255</v>
      </c>
      <c r="N261" s="13">
        <f>MAX(0.25*SQRT($B$2)/$D$2,1.4/$D$2)*(D261*1000)*J261</f>
        <v>342.55</v>
      </c>
      <c r="O261" s="13">
        <f>MAX(M261,N261)</f>
        <v>966.028255</v>
      </c>
      <c r="P261" s="14">
        <f>ROUNDUP(O261/$J$2,0)</f>
        <v>5</v>
      </c>
      <c r="Q261" s="13">
        <f>P261*$J$2</f>
        <v>995</v>
      </c>
      <c r="R261" s="10">
        <f>Q261*$D$2/(0.85*$B$2*(D261*1000))</f>
        <v>58.52941176</v>
      </c>
      <c r="S261" s="10">
        <f>0.9*Q261*$D$2*(J261-R261/2)/1000000</f>
        <v>117.829732</v>
      </c>
      <c r="T261" s="15" t="str">
        <f>IF(AND(S261&gt;=F261,O261&lt;=0.025*(D261*1000)*J261,O261&gt;=N261),"CUMPLE","REVISAR")</f>
        <v>CUMPLE</v>
      </c>
      <c r="U261" s="11">
        <f>G261*1000000/(0.9*(D261*1000)*J261^2)</f>
        <v>2.861251943</v>
      </c>
      <c r="V261" s="12">
        <f>(0.85*$B$2/$D$2)*(1-SQRT(1-2*U261/(0.85*$B$2)))</f>
        <v>0.007280157845</v>
      </c>
      <c r="W261" s="13">
        <f>V261*(D261*1000)*J261</f>
        <v>748.145421</v>
      </c>
      <c r="X261" s="13">
        <f>MAX(W261,N261)</f>
        <v>748.145421</v>
      </c>
      <c r="Y261" s="14">
        <f>ROUNDUP(X261/$J$2,0)</f>
        <v>4</v>
      </c>
      <c r="Z261" s="13">
        <f>Y261*$J$2</f>
        <v>796</v>
      </c>
      <c r="AA261" s="10">
        <f>0.9*Z261*$D$2*(J261-(Z261*$D$2/(0.85*$B$2*(D261*1000)))/2)/1000000</f>
        <v>96.02486534</v>
      </c>
      <c r="AB261" s="15" t="str">
        <f>IF(AA261&gt;=G261,"CUMPLE","REVISAR")</f>
        <v>CUMPLE</v>
      </c>
      <c r="AC261" s="10">
        <f>0.17*SQRT($B$2)*(D261*1000)*J261/1000</f>
        <v>92.44281538</v>
      </c>
      <c r="AD261" s="10">
        <f>MAX(H261/0.75-AC261,0)</f>
        <v>6.943851283</v>
      </c>
      <c r="AE261" s="14">
        <f>IF(AD261&gt;0,MIN($N$2*$D$2*J261/(AD261*1000),MIN(J261/4,6*$H$2,150)),MIN(J261/4,6*$H$2,150))</f>
        <v>85.6375</v>
      </c>
      <c r="AF261" s="10">
        <f>0.66*SQRT($B$2)*(D261*1000)*J261/1000</f>
        <v>358.8956362</v>
      </c>
      <c r="AG261" s="15" t="str">
        <f>IF(AD261&lt;=AF261,"CUMPLE","AUMENTAR SECCION")</f>
        <v>CUMPLE</v>
      </c>
      <c r="AH261" s="10">
        <f>0.75*0.083*SQRT($B$2)*(((D261*1000)*(E261*1000))^2/(2*((D261*1000)+(E261*1000))))/1000000</f>
        <v>3.388073536</v>
      </c>
      <c r="AI261" s="15" t="str">
        <f>IF(I261&gt;AH261,"SI","No")</f>
        <v>No</v>
      </c>
      <c r="AJ261" s="11">
        <f>IF(I261&gt;AH261,I261*1000000/(0.75*2*0.85*((D261*1000-2*$F$2)*(E261*1000-2*$F$2))*$D$2),0)</f>
        <v>0</v>
      </c>
      <c r="AK261" s="10">
        <f>1.25*Q261*$D$2*(J261-(1.25*Q261*$D$2/(0.85*$B$2*(D261*1000)))/2)/1000000</f>
        <v>159.8306178</v>
      </c>
      <c r="AL261" s="10">
        <f>1.25*Z261*$D$2*(J261-(1.25*Z261*$D$2/(0.85*$B$2*(D261*1000)))/2)/1000000</f>
        <v>130.9219244</v>
      </c>
      <c r="AM261" s="10">
        <f>(AK261+AL261)/B261</f>
        <v>74.55193391</v>
      </c>
      <c r="AN261" s="10">
        <f>MAX(H261,AM261)</f>
        <v>74.55193391</v>
      </c>
    </row>
    <row r="262">
      <c r="A262" s="5" t="inlineStr">
        <is>
          <t>F269</t>
        </is>
      </c>
      <c r="B262" s="6" t="n">
        <v>3.9</v>
      </c>
      <c r="C262" s="7" t="inlineStr">
        <is>
          <t>VC</t>
        </is>
      </c>
      <c r="D262" s="8">
        <f>IF(C262="VR",0.35,0.30)</f>
        <v>0.3</v>
      </c>
      <c r="E262" s="6" t="n">
        <v>0.4</v>
      </c>
      <c r="F262" s="9" t="n">
        <v>114.7</v>
      </c>
      <c r="G262" s="9" t="n">
        <v>90.7</v>
      </c>
      <c r="H262" s="9" t="n">
        <v>74.5</v>
      </c>
      <c r="I262" s="6" t="n">
        <v>0</v>
      </c>
      <c r="J262" s="10">
        <f>E262*1000-$F$2-$L$2-$H$2/2</f>
        <v>342.55</v>
      </c>
      <c r="K262" s="11">
        <f>F262*1000000/(0.9*(D262*1000)*J262^2)</f>
        <v>3.620990876</v>
      </c>
      <c r="L262" s="12">
        <f>(0.85*$B$2/$D$2)*(1-SQRT(1-2*K262/(0.85*$B$2)))</f>
        <v>0.009401263514</v>
      </c>
      <c r="M262" s="13">
        <f>L262*(D262*1000)*J262</f>
        <v>966.120845</v>
      </c>
      <c r="N262" s="13">
        <f>MAX(0.25*SQRT($B$2)/$D$2,1.4/$D$2)*(D262*1000)*J262</f>
        <v>342.55</v>
      </c>
      <c r="O262" s="13">
        <f>MAX(M262,N262)</f>
        <v>966.120845</v>
      </c>
      <c r="P262" s="14">
        <f>ROUNDUP(O262/$J$2,0)</f>
        <v>5</v>
      </c>
      <c r="Q262" s="13">
        <f>P262*$J$2</f>
        <v>995</v>
      </c>
      <c r="R262" s="10">
        <f>Q262*$D$2/(0.85*$B$2*(D262*1000))</f>
        <v>58.52941176</v>
      </c>
      <c r="S262" s="10">
        <f>0.9*Q262*$D$2*(J262-R262/2)/1000000</f>
        <v>117.829732</v>
      </c>
      <c r="T262" s="15" t="str">
        <f>IF(AND(S262&gt;=F262,O262&lt;=0.025*(D262*1000)*J262,O262&gt;=N262),"CUMPLE","REVISAR")</f>
        <v>CUMPLE</v>
      </c>
      <c r="U262" s="11">
        <f>G262*1000000/(0.9*(D262*1000)*J262^2)</f>
        <v>2.861251943</v>
      </c>
      <c r="V262" s="12">
        <f>(0.85*$B$2/$D$2)*(1-SQRT(1-2*U262/(0.85*$B$2)))</f>
        <v>0.007280157845</v>
      </c>
      <c r="W262" s="13">
        <f>V262*(D262*1000)*J262</f>
        <v>748.145421</v>
      </c>
      <c r="X262" s="13">
        <f>MAX(W262,N262)</f>
        <v>748.145421</v>
      </c>
      <c r="Y262" s="14">
        <f>ROUNDUP(X262/$J$2,0)</f>
        <v>4</v>
      </c>
      <c r="Z262" s="13">
        <f>Y262*$J$2</f>
        <v>796</v>
      </c>
      <c r="AA262" s="10">
        <f>0.9*Z262*$D$2*(J262-(Z262*$D$2/(0.85*$B$2*(D262*1000)))/2)/1000000</f>
        <v>96.02486534</v>
      </c>
      <c r="AB262" s="15" t="str">
        <f>IF(AA262&gt;=G262,"CUMPLE","REVISAR")</f>
        <v>CUMPLE</v>
      </c>
      <c r="AC262" s="10">
        <f>0.17*SQRT($B$2)*(D262*1000)*J262/1000</f>
        <v>92.44281538</v>
      </c>
      <c r="AD262" s="10">
        <f>MAX(H262/0.75-AC262,0)</f>
        <v>6.957184616</v>
      </c>
      <c r="AE262" s="14">
        <f>IF(AD262&gt;0,MIN($N$2*$D$2*J262/(AD262*1000),MIN(J262/4,6*$H$2,150)),MIN(J262/4,6*$H$2,150))</f>
        <v>85.6375</v>
      </c>
      <c r="AF262" s="10">
        <f>0.66*SQRT($B$2)*(D262*1000)*J262/1000</f>
        <v>358.8956362</v>
      </c>
      <c r="AG262" s="15" t="str">
        <f>IF(AD262&lt;=AF262,"CUMPLE","AUMENTAR SECCION")</f>
        <v>CUMPLE</v>
      </c>
      <c r="AH262" s="10">
        <f>0.75*0.083*SQRT($B$2)*(((D262*1000)*(E262*1000))^2/(2*((D262*1000)+(E262*1000))))/1000000</f>
        <v>3.388073536</v>
      </c>
      <c r="AI262" s="15" t="str">
        <f>IF(I262&gt;AH262,"SI","No")</f>
        <v>No</v>
      </c>
      <c r="AJ262" s="11">
        <f>IF(I262&gt;AH262,I262*1000000/(0.75*2*0.85*((D262*1000-2*$F$2)*(E262*1000-2*$F$2))*$D$2),0)</f>
        <v>0</v>
      </c>
      <c r="AK262" s="10">
        <f>1.25*Q262*$D$2*(J262-(1.25*Q262*$D$2/(0.85*$B$2*(D262*1000)))/2)/1000000</f>
        <v>159.8306178</v>
      </c>
      <c r="AL262" s="10">
        <f>1.25*Z262*$D$2*(J262-(1.25*Z262*$D$2/(0.85*$B$2*(D262*1000)))/2)/1000000</f>
        <v>130.9219244</v>
      </c>
      <c r="AM262" s="10">
        <f>(AK262+AL262)/B262</f>
        <v>74.55193391</v>
      </c>
      <c r="AN262" s="10">
        <f>MAX(H262,AM262)</f>
        <v>74.55193391</v>
      </c>
    </row>
    <row r="263">
      <c r="A263" s="5" t="inlineStr">
        <is>
          <t>F270</t>
        </is>
      </c>
      <c r="B263" s="6" t="n">
        <v>3.85</v>
      </c>
      <c r="C263" s="7" t="inlineStr">
        <is>
          <t>VC</t>
        </is>
      </c>
      <c r="D263" s="8">
        <f>IF(C263="VR",0.35,0.30)</f>
        <v>0.3</v>
      </c>
      <c r="E263" s="6" t="n">
        <v>0.4</v>
      </c>
      <c r="F263" s="9" t="n">
        <v>108.5</v>
      </c>
      <c r="G263" s="9" t="n">
        <v>92.5</v>
      </c>
      <c r="H263" s="9" t="n">
        <v>64.8</v>
      </c>
      <c r="I263" s="6" t="n">
        <v>0</v>
      </c>
      <c r="J263" s="10">
        <f>E263*1000-$F$2-$L$2-$H$2/2</f>
        <v>342.55</v>
      </c>
      <c r="K263" s="11">
        <f>F263*1000000/(0.9*(D263*1000)*J263^2)</f>
        <v>3.424980125</v>
      </c>
      <c r="L263" s="12">
        <f>(0.85*$B$2/$D$2)*(1-SQRT(1-2*K263/(0.85*$B$2)))</f>
        <v>0.008845017541</v>
      </c>
      <c r="M263" s="13">
        <f>L263*(D263*1000)*J263</f>
        <v>908.9582276</v>
      </c>
      <c r="N263" s="13">
        <f>MAX(0.25*SQRT($B$2)/$D$2,1.4/$D$2)*(D263*1000)*J263</f>
        <v>342.55</v>
      </c>
      <c r="O263" s="13">
        <f>MAX(M263,N263)</f>
        <v>908.9582276</v>
      </c>
      <c r="P263" s="14">
        <f>ROUNDUP(O263/$J$2,0)</f>
        <v>5</v>
      </c>
      <c r="Q263" s="13">
        <f>P263*$J$2</f>
        <v>995</v>
      </c>
      <c r="R263" s="10">
        <f>Q263*$D$2/(0.85*$B$2*(D263*1000))</f>
        <v>58.52941176</v>
      </c>
      <c r="S263" s="10">
        <f>0.9*Q263*$D$2*(J263-R263/2)/1000000</f>
        <v>117.829732</v>
      </c>
      <c r="T263" s="15" t="str">
        <f>IF(AND(S263&gt;=F263,O263&lt;=0.025*(D263*1000)*J263,O263&gt;=N263),"CUMPLE","REVISAR")</f>
        <v>CUMPLE</v>
      </c>
      <c r="U263" s="11">
        <f>G263*1000000/(0.9*(D263*1000)*J263^2)</f>
        <v>2.920907389</v>
      </c>
      <c r="V263" s="12">
        <f>(0.85*$B$2/$D$2)*(1-SQRT(1-2*U263/(0.85*$B$2)))</f>
        <v>0.007443402327</v>
      </c>
      <c r="W263" s="13">
        <f>V263*(D263*1000)*J263</f>
        <v>764.9212401</v>
      </c>
      <c r="X263" s="13">
        <f>MAX(W263,N263)</f>
        <v>764.9212401</v>
      </c>
      <c r="Y263" s="14">
        <f>ROUNDUP(X263/$J$2,0)</f>
        <v>4</v>
      </c>
      <c r="Z263" s="13">
        <f>Y263*$J$2</f>
        <v>796</v>
      </c>
      <c r="AA263" s="10">
        <f>0.9*Z263*$D$2*(J263-(Z263*$D$2/(0.85*$B$2*(D263*1000)))/2)/1000000</f>
        <v>96.02486534</v>
      </c>
      <c r="AB263" s="15" t="str">
        <f>IF(AA263&gt;=G263,"CUMPLE","REVISAR")</f>
        <v>CUMPLE</v>
      </c>
      <c r="AC263" s="10">
        <f>0.17*SQRT($B$2)*(D263*1000)*J263/1000</f>
        <v>92.44281538</v>
      </c>
      <c r="AD263" s="10">
        <f>MAX(H263/0.75-AC263,0)</f>
        <v>0</v>
      </c>
      <c r="AE263" s="14">
        <f>IF(AD263&gt;0,MIN($N$2*$D$2*J263/(AD263*1000),MIN(J263/4,6*$H$2,150)),MIN(J263/4,6*$H$2,150))</f>
        <v>85.6375</v>
      </c>
      <c r="AF263" s="10">
        <f>0.66*SQRT($B$2)*(D263*1000)*J263/1000</f>
        <v>358.8956362</v>
      </c>
      <c r="AG263" s="15" t="str">
        <f>IF(AD263&lt;=AF263,"CUMPLE","AUMENTAR SECCION")</f>
        <v>CUMPLE</v>
      </c>
      <c r="AH263" s="10">
        <f>0.75*0.083*SQRT($B$2)*(((D263*1000)*(E263*1000))^2/(2*((D263*1000)+(E263*1000))))/1000000</f>
        <v>3.388073536</v>
      </c>
      <c r="AI263" s="15" t="str">
        <f>IF(I263&gt;AH263,"SI","No")</f>
        <v>No</v>
      </c>
      <c r="AJ263" s="11">
        <f>IF(I263&gt;AH263,I263*1000000/(0.75*2*0.85*((D263*1000-2*$F$2)*(E263*1000-2*$F$2))*$D$2),0)</f>
        <v>0</v>
      </c>
      <c r="AK263" s="10">
        <f>1.25*Q263*$D$2*(J263-(1.25*Q263*$D$2/(0.85*$B$2*(D263*1000)))/2)/1000000</f>
        <v>159.8306178</v>
      </c>
      <c r="AL263" s="10">
        <f>1.25*Z263*$D$2*(J263-(1.25*Z263*$D$2/(0.85*$B$2*(D263*1000)))/2)/1000000</f>
        <v>130.9219244</v>
      </c>
      <c r="AM263" s="10">
        <f>(AK263+AL263)/B263</f>
        <v>75.52014084</v>
      </c>
      <c r="AN263" s="10">
        <f>MAX(H263,AM263)</f>
        <v>75.52014084</v>
      </c>
    </row>
    <row r="264">
      <c r="A264" s="5" t="inlineStr">
        <is>
          <t>F271</t>
        </is>
      </c>
      <c r="B264" s="6" t="n">
        <v>2.65</v>
      </c>
      <c r="C264" s="7" t="inlineStr">
        <is>
          <t>VC</t>
        </is>
      </c>
      <c r="D264" s="8">
        <f>IF(C264="VR",0.35,0.30)</f>
        <v>0.3</v>
      </c>
      <c r="E264" s="6" t="n">
        <v>0.4</v>
      </c>
      <c r="F264" s="9" t="n">
        <v>117.5</v>
      </c>
      <c r="G264" s="9" t="n">
        <v>102.8</v>
      </c>
      <c r="H264" s="9" t="n">
        <v>88.09999999999999</v>
      </c>
      <c r="I264" s="6" t="n">
        <v>0</v>
      </c>
      <c r="J264" s="10">
        <f>E264*1000-$F$2-$L$2-$H$2/2</f>
        <v>342.55</v>
      </c>
      <c r="K264" s="11">
        <f>F264*1000000/(0.9*(D264*1000)*J264^2)</f>
        <v>3.709369314</v>
      </c>
      <c r="L264" s="12">
        <f>(0.85*$B$2/$D$2)*(1-SQRT(1-2*K264/(0.85*$B$2)))</f>
        <v>0.009654219537</v>
      </c>
      <c r="M264" s="13">
        <f>L264*(D264*1000)*J264</f>
        <v>992.1158707</v>
      </c>
      <c r="N264" s="13">
        <f>MAX(0.25*SQRT($B$2)/$D$2,1.4/$D$2)*(D264*1000)*J264</f>
        <v>342.55</v>
      </c>
      <c r="O264" s="13">
        <f>MAX(M264,N264)</f>
        <v>992.1158707</v>
      </c>
      <c r="P264" s="14">
        <f>ROUNDUP(O264/$J$2,0)</f>
        <v>5</v>
      </c>
      <c r="Q264" s="13">
        <f>P264*$J$2</f>
        <v>995</v>
      </c>
      <c r="R264" s="10">
        <f>Q264*$D$2/(0.85*$B$2*(D264*1000))</f>
        <v>58.52941176</v>
      </c>
      <c r="S264" s="10">
        <f>0.9*Q264*$D$2*(J264-R264/2)/1000000</f>
        <v>117.829732</v>
      </c>
      <c r="T264" s="15" t="str">
        <f>IF(AND(S264&gt;=F264,O264&lt;=0.025*(D264*1000)*J264,O264&gt;=N264),"CUMPLE","REVISAR")</f>
        <v>CUMPLE</v>
      </c>
      <c r="U264" s="11">
        <f>G264*1000000/(0.9*(D264*1000)*J264^2)</f>
        <v>3.246013787</v>
      </c>
      <c r="V264" s="12">
        <f>(0.85*$B$2/$D$2)*(1-SQRT(1-2*U264/(0.85*$B$2)))</f>
        <v>0.008342732339</v>
      </c>
      <c r="W264" s="13">
        <f>V264*(D264*1000)*J264</f>
        <v>857.3408888</v>
      </c>
      <c r="X264" s="13">
        <f>MAX(W264,N264)</f>
        <v>857.3408888</v>
      </c>
      <c r="Y264" s="14">
        <f>ROUNDUP(X264/$J$2,0)</f>
        <v>5</v>
      </c>
      <c r="Z264" s="13">
        <f>Y264*$J$2</f>
        <v>995</v>
      </c>
      <c r="AA264" s="10">
        <f>0.9*Z264*$D$2*(J264-(Z264*$D$2/(0.85*$B$2*(D264*1000)))/2)/1000000</f>
        <v>117.829732</v>
      </c>
      <c r="AB264" s="15" t="str">
        <f>IF(AA264&gt;=G264,"CUMPLE","REVISAR")</f>
        <v>CUMPLE</v>
      </c>
      <c r="AC264" s="10">
        <f>0.17*SQRT($B$2)*(D264*1000)*J264/1000</f>
        <v>92.44281538</v>
      </c>
      <c r="AD264" s="10">
        <f>MAX(H264/0.75-AC264,0)</f>
        <v>25.05051795</v>
      </c>
      <c r="AE264" s="14">
        <f>IF(AD264&gt;0,MIN($N$2*$D$2*J264/(AD264*1000),MIN(J264/4,6*$H$2,150)),MIN(J264/4,6*$H$2,150))</f>
        <v>85.6375</v>
      </c>
      <c r="AF264" s="10">
        <f>0.66*SQRT($B$2)*(D264*1000)*J264/1000</f>
        <v>358.8956362</v>
      </c>
      <c r="AG264" s="15" t="str">
        <f>IF(AD264&lt;=AF264,"CUMPLE","AUMENTAR SECCION")</f>
        <v>CUMPLE</v>
      </c>
      <c r="AH264" s="10">
        <f>0.75*0.083*SQRT($B$2)*(((D264*1000)*(E264*1000))^2/(2*((D264*1000)+(E264*1000))))/1000000</f>
        <v>3.388073536</v>
      </c>
      <c r="AI264" s="15" t="str">
        <f>IF(I264&gt;AH264,"SI","No")</f>
        <v>No</v>
      </c>
      <c r="AJ264" s="11">
        <f>IF(I264&gt;AH264,I264*1000000/(0.75*2*0.85*((D264*1000-2*$F$2)*(E264*1000-2*$F$2))*$D$2),0)</f>
        <v>0</v>
      </c>
      <c r="AK264" s="10">
        <f>1.25*Q264*$D$2*(J264-(1.25*Q264*$D$2/(0.85*$B$2*(D264*1000)))/2)/1000000</f>
        <v>159.8306178</v>
      </c>
      <c r="AL264" s="10">
        <f>1.25*Z264*$D$2*(J264-(1.25*Z264*$D$2/(0.85*$B$2*(D264*1000)))/2)/1000000</f>
        <v>159.8306178</v>
      </c>
      <c r="AM264" s="10">
        <f>(AK264+AL264)/B264</f>
        <v>120.6268814</v>
      </c>
      <c r="AN264" s="10">
        <f>MAX(H264,AM264)</f>
        <v>120.6268814</v>
      </c>
    </row>
    <row r="265">
      <c r="A265" s="5" t="inlineStr">
        <is>
          <t>F272</t>
        </is>
      </c>
      <c r="B265" s="6" t="n">
        <v>5.1</v>
      </c>
      <c r="C265" s="7" t="inlineStr">
        <is>
          <t>VC</t>
        </is>
      </c>
      <c r="D265" s="8">
        <f>IF(C265="VR",0.35,0.30)</f>
        <v>0.3</v>
      </c>
      <c r="E265" s="6" t="n">
        <v>0.4</v>
      </c>
      <c r="F265" s="9" t="n">
        <v>97.3</v>
      </c>
      <c r="G265" s="9" t="n">
        <v>70.8</v>
      </c>
      <c r="H265" s="9" t="n">
        <v>50</v>
      </c>
      <c r="I265" s="6" t="n">
        <v>0</v>
      </c>
      <c r="J265" s="10">
        <f>E265*1000-$F$2-$L$2-$H$2/2</f>
        <v>342.55</v>
      </c>
      <c r="K265" s="11">
        <f>F265*1000000/(0.9*(D265*1000)*J265^2)</f>
        <v>3.070519459</v>
      </c>
      <c r="L265" s="12">
        <f>(0.85*$B$2/$D$2)*(1-SQRT(1-2*K265/(0.85*$B$2)))</f>
        <v>0.007855210623</v>
      </c>
      <c r="M265" s="13">
        <f>L265*(D265*1000)*J265</f>
        <v>807.2407196</v>
      </c>
      <c r="N265" s="13">
        <f>MAX(0.25*SQRT($B$2)/$D$2,1.4/$D$2)*(D265*1000)*J265</f>
        <v>342.55</v>
      </c>
      <c r="O265" s="13">
        <f>MAX(M265,N265)</f>
        <v>807.2407196</v>
      </c>
      <c r="P265" s="14">
        <f>ROUNDUP(O265/$J$2,0)</f>
        <v>5</v>
      </c>
      <c r="Q265" s="13">
        <f>P265*$J$2</f>
        <v>995</v>
      </c>
      <c r="R265" s="10">
        <f>Q265*$D$2/(0.85*$B$2*(D265*1000))</f>
        <v>58.52941176</v>
      </c>
      <c r="S265" s="10">
        <f>0.9*Q265*$D$2*(J265-R265/2)/1000000</f>
        <v>117.829732</v>
      </c>
      <c r="T265" s="15" t="str">
        <f>IF(AND(S265&gt;=F265,O265&lt;=0.025*(D265*1000)*J265,O265&gt;=N265),"CUMPLE","REVISAR")</f>
        <v>CUMPLE</v>
      </c>
      <c r="U265" s="11">
        <f>G265*1000000/(0.9*(D265*1000)*J265^2)</f>
        <v>2.235974491</v>
      </c>
      <c r="V265" s="12">
        <f>(0.85*$B$2/$D$2)*(1-SQRT(1-2*U265/(0.85*$B$2)))</f>
        <v>0.005600504533</v>
      </c>
      <c r="W265" s="13">
        <f>V265*(D265*1000)*J265</f>
        <v>575.5358483</v>
      </c>
      <c r="X265" s="13">
        <f>MAX(W265,N265)</f>
        <v>575.5358483</v>
      </c>
      <c r="Y265" s="14">
        <f>ROUNDUP(X265/$J$2,0)</f>
        <v>3</v>
      </c>
      <c r="Z265" s="13">
        <f>Y265*$J$2</f>
        <v>597</v>
      </c>
      <c r="AA265" s="10">
        <f>0.9*Z265*$D$2*(J265-(Z265*$D$2/(0.85*$B$2*(D265*1000)))/2)/1000000</f>
        <v>73.33945883</v>
      </c>
      <c r="AB265" s="15" t="str">
        <f>IF(AA265&gt;=G265,"CUMPLE","REVISAR")</f>
        <v>CUMPLE</v>
      </c>
      <c r="AC265" s="10">
        <f>0.17*SQRT($B$2)*(D265*1000)*J265/1000</f>
        <v>92.44281538</v>
      </c>
      <c r="AD265" s="10">
        <f>MAX(H265/0.75-AC265,0)</f>
        <v>0</v>
      </c>
      <c r="AE265" s="14">
        <f>IF(AD265&gt;0,MIN($N$2*$D$2*J265/(AD265*1000),MIN(J265/4,6*$H$2,150)),MIN(J265/4,6*$H$2,150))</f>
        <v>85.6375</v>
      </c>
      <c r="AF265" s="10">
        <f>0.66*SQRT($B$2)*(D265*1000)*J265/1000</f>
        <v>358.8956362</v>
      </c>
      <c r="AG265" s="15" t="str">
        <f>IF(AD265&lt;=AF265,"CUMPLE","AUMENTAR SECCION")</f>
        <v>CUMPLE</v>
      </c>
      <c r="AH265" s="10">
        <f>0.75*0.083*SQRT($B$2)*(((D265*1000)*(E265*1000))^2/(2*((D265*1000)+(E265*1000))))/1000000</f>
        <v>3.388073536</v>
      </c>
      <c r="AI265" s="15" t="str">
        <f>IF(I265&gt;AH265,"SI","No")</f>
        <v>No</v>
      </c>
      <c r="AJ265" s="11">
        <f>IF(I265&gt;AH265,I265*1000000/(0.75*2*0.85*((D265*1000-2*$F$2)*(E265*1000-2*$F$2))*$D$2),0)</f>
        <v>0</v>
      </c>
      <c r="AK265" s="10">
        <f>1.25*Q265*$D$2*(J265-(1.25*Q265*$D$2/(0.85*$B$2*(D265*1000)))/2)/1000000</f>
        <v>159.8306178</v>
      </c>
      <c r="AL265" s="10">
        <f>1.25*Z265*$D$2*(J265-(1.25*Z265*$D$2/(0.85*$B$2*(D265*1000)))/2)/1000000</f>
        <v>100.4845159</v>
      </c>
      <c r="AM265" s="10">
        <f>(AK265+AL265)/B265</f>
        <v>51.04218309</v>
      </c>
      <c r="AN265" s="10">
        <f>MAX(H265,AM265)</f>
        <v>51.04218309</v>
      </c>
    </row>
    <row r="266">
      <c r="A266" s="5" t="inlineStr">
        <is>
          <t>F273</t>
        </is>
      </c>
      <c r="B266" s="6" t="n">
        <v>5.1</v>
      </c>
      <c r="C266" s="7" t="inlineStr">
        <is>
          <t>VC</t>
        </is>
      </c>
      <c r="D266" s="8">
        <f>IF(C266="VR",0.35,0.30)</f>
        <v>0.3</v>
      </c>
      <c r="E266" s="6" t="n">
        <v>0.4</v>
      </c>
      <c r="F266" s="9" t="n">
        <v>97.3</v>
      </c>
      <c r="G266" s="9" t="n">
        <v>70.8</v>
      </c>
      <c r="H266" s="9" t="n">
        <v>50</v>
      </c>
      <c r="I266" s="6" t="n">
        <v>0</v>
      </c>
      <c r="J266" s="10">
        <f>E266*1000-$F$2-$L$2-$H$2/2</f>
        <v>342.55</v>
      </c>
      <c r="K266" s="11">
        <f>F266*1000000/(0.9*(D266*1000)*J266^2)</f>
        <v>3.070519459</v>
      </c>
      <c r="L266" s="12">
        <f>(0.85*$B$2/$D$2)*(1-SQRT(1-2*K266/(0.85*$B$2)))</f>
        <v>0.007855210623</v>
      </c>
      <c r="M266" s="13">
        <f>L266*(D266*1000)*J266</f>
        <v>807.2407196</v>
      </c>
      <c r="N266" s="13">
        <f>MAX(0.25*SQRT($B$2)/$D$2,1.4/$D$2)*(D266*1000)*J266</f>
        <v>342.55</v>
      </c>
      <c r="O266" s="13">
        <f>MAX(M266,N266)</f>
        <v>807.2407196</v>
      </c>
      <c r="P266" s="14">
        <f>ROUNDUP(O266/$J$2,0)</f>
        <v>5</v>
      </c>
      <c r="Q266" s="13">
        <f>P266*$J$2</f>
        <v>995</v>
      </c>
      <c r="R266" s="10">
        <f>Q266*$D$2/(0.85*$B$2*(D266*1000))</f>
        <v>58.52941176</v>
      </c>
      <c r="S266" s="10">
        <f>0.9*Q266*$D$2*(J266-R266/2)/1000000</f>
        <v>117.829732</v>
      </c>
      <c r="T266" s="15" t="str">
        <f>IF(AND(S266&gt;=F266,O266&lt;=0.025*(D266*1000)*J266,O266&gt;=N266),"CUMPLE","REVISAR")</f>
        <v>CUMPLE</v>
      </c>
      <c r="U266" s="11">
        <f>G266*1000000/(0.9*(D266*1000)*J266^2)</f>
        <v>2.235974491</v>
      </c>
      <c r="V266" s="12">
        <f>(0.85*$B$2/$D$2)*(1-SQRT(1-2*U266/(0.85*$B$2)))</f>
        <v>0.005600504533</v>
      </c>
      <c r="W266" s="13">
        <f>V266*(D266*1000)*J266</f>
        <v>575.5358483</v>
      </c>
      <c r="X266" s="13">
        <f>MAX(W266,N266)</f>
        <v>575.5358483</v>
      </c>
      <c r="Y266" s="14">
        <f>ROUNDUP(X266/$J$2,0)</f>
        <v>3</v>
      </c>
      <c r="Z266" s="13">
        <f>Y266*$J$2</f>
        <v>597</v>
      </c>
      <c r="AA266" s="10">
        <f>0.9*Z266*$D$2*(J266-(Z266*$D$2/(0.85*$B$2*(D266*1000)))/2)/1000000</f>
        <v>73.33945883</v>
      </c>
      <c r="AB266" s="15" t="str">
        <f>IF(AA266&gt;=G266,"CUMPLE","REVISAR")</f>
        <v>CUMPLE</v>
      </c>
      <c r="AC266" s="10">
        <f>0.17*SQRT($B$2)*(D266*1000)*J266/1000</f>
        <v>92.44281538</v>
      </c>
      <c r="AD266" s="10">
        <f>MAX(H266/0.75-AC266,0)</f>
        <v>0</v>
      </c>
      <c r="AE266" s="14">
        <f>IF(AD266&gt;0,MIN($N$2*$D$2*J266/(AD266*1000),MIN(J266/4,6*$H$2,150)),MIN(J266/4,6*$H$2,150))</f>
        <v>85.6375</v>
      </c>
      <c r="AF266" s="10">
        <f>0.66*SQRT($B$2)*(D266*1000)*J266/1000</f>
        <v>358.8956362</v>
      </c>
      <c r="AG266" s="15" t="str">
        <f>IF(AD266&lt;=AF266,"CUMPLE","AUMENTAR SECCION")</f>
        <v>CUMPLE</v>
      </c>
      <c r="AH266" s="10">
        <f>0.75*0.083*SQRT($B$2)*(((D266*1000)*(E266*1000))^2/(2*((D266*1000)+(E266*1000))))/1000000</f>
        <v>3.388073536</v>
      </c>
      <c r="AI266" s="15" t="str">
        <f>IF(I266&gt;AH266,"SI","No")</f>
        <v>No</v>
      </c>
      <c r="AJ266" s="11">
        <f>IF(I266&gt;AH266,I266*1000000/(0.75*2*0.85*((D266*1000-2*$F$2)*(E266*1000-2*$F$2))*$D$2),0)</f>
        <v>0</v>
      </c>
      <c r="AK266" s="10">
        <f>1.25*Q266*$D$2*(J266-(1.25*Q266*$D$2/(0.85*$B$2*(D266*1000)))/2)/1000000</f>
        <v>159.8306178</v>
      </c>
      <c r="AL266" s="10">
        <f>1.25*Z266*$D$2*(J266-(1.25*Z266*$D$2/(0.85*$B$2*(D266*1000)))/2)/1000000</f>
        <v>100.4845159</v>
      </c>
      <c r="AM266" s="10">
        <f>(AK266+AL266)/B266</f>
        <v>51.04218309</v>
      </c>
      <c r="AN266" s="10">
        <f>MAX(H266,AM266)</f>
        <v>51.04218309</v>
      </c>
    </row>
    <row r="267">
      <c r="A267" s="5" t="inlineStr">
        <is>
          <t>F274</t>
        </is>
      </c>
      <c r="B267" s="6" t="n">
        <v>2.65</v>
      </c>
      <c r="C267" s="7" t="inlineStr">
        <is>
          <t>VC</t>
        </is>
      </c>
      <c r="D267" s="8">
        <f>IF(C267="VR",0.35,0.30)</f>
        <v>0.3</v>
      </c>
      <c r="E267" s="6" t="n">
        <v>0.4</v>
      </c>
      <c r="F267" s="9" t="n">
        <v>117.5</v>
      </c>
      <c r="G267" s="9" t="n">
        <v>102.8</v>
      </c>
      <c r="H267" s="9" t="n">
        <v>88.09999999999999</v>
      </c>
      <c r="I267" s="6" t="n">
        <v>0</v>
      </c>
      <c r="J267" s="10">
        <f>E267*1000-$F$2-$L$2-$H$2/2</f>
        <v>342.55</v>
      </c>
      <c r="K267" s="11">
        <f>F267*1000000/(0.9*(D267*1000)*J267^2)</f>
        <v>3.709369314</v>
      </c>
      <c r="L267" s="12">
        <f>(0.85*$B$2/$D$2)*(1-SQRT(1-2*K267/(0.85*$B$2)))</f>
        <v>0.009654219537</v>
      </c>
      <c r="M267" s="13">
        <f>L267*(D267*1000)*J267</f>
        <v>992.1158707</v>
      </c>
      <c r="N267" s="13">
        <f>MAX(0.25*SQRT($B$2)/$D$2,1.4/$D$2)*(D267*1000)*J267</f>
        <v>342.55</v>
      </c>
      <c r="O267" s="13">
        <f>MAX(M267,N267)</f>
        <v>992.1158707</v>
      </c>
      <c r="P267" s="14">
        <f>ROUNDUP(O267/$J$2,0)</f>
        <v>5</v>
      </c>
      <c r="Q267" s="13">
        <f>P267*$J$2</f>
        <v>995</v>
      </c>
      <c r="R267" s="10">
        <f>Q267*$D$2/(0.85*$B$2*(D267*1000))</f>
        <v>58.52941176</v>
      </c>
      <c r="S267" s="10">
        <f>0.9*Q267*$D$2*(J267-R267/2)/1000000</f>
        <v>117.829732</v>
      </c>
      <c r="T267" s="15" t="str">
        <f>IF(AND(S267&gt;=F267,O267&lt;=0.025*(D267*1000)*J267,O267&gt;=N267),"CUMPLE","REVISAR")</f>
        <v>CUMPLE</v>
      </c>
      <c r="U267" s="11">
        <f>G267*1000000/(0.9*(D267*1000)*J267^2)</f>
        <v>3.246013787</v>
      </c>
      <c r="V267" s="12">
        <f>(0.85*$B$2/$D$2)*(1-SQRT(1-2*U267/(0.85*$B$2)))</f>
        <v>0.008342732339</v>
      </c>
      <c r="W267" s="13">
        <f>V267*(D267*1000)*J267</f>
        <v>857.3408888</v>
      </c>
      <c r="X267" s="13">
        <f>MAX(W267,N267)</f>
        <v>857.3408888</v>
      </c>
      <c r="Y267" s="14">
        <f>ROUNDUP(X267/$J$2,0)</f>
        <v>5</v>
      </c>
      <c r="Z267" s="13">
        <f>Y267*$J$2</f>
        <v>995</v>
      </c>
      <c r="AA267" s="10">
        <f>0.9*Z267*$D$2*(J267-(Z267*$D$2/(0.85*$B$2*(D267*1000)))/2)/1000000</f>
        <v>117.829732</v>
      </c>
      <c r="AB267" s="15" t="str">
        <f>IF(AA267&gt;=G267,"CUMPLE","REVISAR")</f>
        <v>CUMPLE</v>
      </c>
      <c r="AC267" s="10">
        <f>0.17*SQRT($B$2)*(D267*1000)*J267/1000</f>
        <v>92.44281538</v>
      </c>
      <c r="AD267" s="10">
        <f>MAX(H267/0.75-AC267,0)</f>
        <v>25.05051795</v>
      </c>
      <c r="AE267" s="14">
        <f>IF(AD267&gt;0,MIN($N$2*$D$2*J267/(AD267*1000),MIN(J267/4,6*$H$2,150)),MIN(J267/4,6*$H$2,150))</f>
        <v>85.6375</v>
      </c>
      <c r="AF267" s="10">
        <f>0.66*SQRT($B$2)*(D267*1000)*J267/1000</f>
        <v>358.8956362</v>
      </c>
      <c r="AG267" s="15" t="str">
        <f>IF(AD267&lt;=AF267,"CUMPLE","AUMENTAR SECCION")</f>
        <v>CUMPLE</v>
      </c>
      <c r="AH267" s="10">
        <f>0.75*0.083*SQRT($B$2)*(((D267*1000)*(E267*1000))^2/(2*((D267*1000)+(E267*1000))))/1000000</f>
        <v>3.388073536</v>
      </c>
      <c r="AI267" s="15" t="str">
        <f>IF(I267&gt;AH267,"SI","No")</f>
        <v>No</v>
      </c>
      <c r="AJ267" s="11">
        <f>IF(I267&gt;AH267,I267*1000000/(0.75*2*0.85*((D267*1000-2*$F$2)*(E267*1000-2*$F$2))*$D$2),0)</f>
        <v>0</v>
      </c>
      <c r="AK267" s="10">
        <f>1.25*Q267*$D$2*(J267-(1.25*Q267*$D$2/(0.85*$B$2*(D267*1000)))/2)/1000000</f>
        <v>159.8306178</v>
      </c>
      <c r="AL267" s="10">
        <f>1.25*Z267*$D$2*(J267-(1.25*Z267*$D$2/(0.85*$B$2*(D267*1000)))/2)/1000000</f>
        <v>159.8306178</v>
      </c>
      <c r="AM267" s="10">
        <f>(AK267+AL267)/B267</f>
        <v>120.6268814</v>
      </c>
      <c r="AN267" s="10">
        <f>MAX(H267,AM267)</f>
        <v>120.6268814</v>
      </c>
    </row>
    <row r="268">
      <c r="A268" s="5" t="inlineStr">
        <is>
          <t>F275</t>
        </is>
      </c>
      <c r="B268" s="6" t="n">
        <v>2.65</v>
      </c>
      <c r="C268" s="7" t="inlineStr">
        <is>
          <t>VC</t>
        </is>
      </c>
      <c r="D268" s="8">
        <f>IF(C268="VR",0.35,0.30)</f>
        <v>0.3</v>
      </c>
      <c r="E268" s="6" t="n">
        <v>0.4</v>
      </c>
      <c r="F268" s="9" t="n">
        <v>117.8</v>
      </c>
      <c r="G268" s="9" t="n">
        <v>102.7</v>
      </c>
      <c r="H268" s="9" t="n">
        <v>88.3</v>
      </c>
      <c r="I268" s="6" t="n">
        <v>0</v>
      </c>
      <c r="J268" s="10">
        <f>E268*1000-$F$2-$L$2-$H$2/2</f>
        <v>342.55</v>
      </c>
      <c r="K268" s="11">
        <f>F268*1000000/(0.9*(D268*1000)*J268^2)</f>
        <v>3.716944609</v>
      </c>
      <c r="L268" s="12">
        <f>(0.85*$B$2/$D$2)*(1-SQRT(1-2*K268/(0.85*$B$2)))</f>
        <v>0.009675964842</v>
      </c>
      <c r="M268" s="13">
        <f>L268*(D268*1000)*J268</f>
        <v>994.350527</v>
      </c>
      <c r="N268" s="13">
        <f>MAX(0.25*SQRT($B$2)/$D$2,1.4/$D$2)*(D268*1000)*J268</f>
        <v>342.55</v>
      </c>
      <c r="O268" s="13">
        <f>MAX(M268,N268)</f>
        <v>994.350527</v>
      </c>
      <c r="P268" s="14">
        <f>ROUNDUP(O268/$J$2,0)</f>
        <v>5</v>
      </c>
      <c r="Q268" s="13">
        <f>P268*$J$2</f>
        <v>995</v>
      </c>
      <c r="R268" s="10">
        <f>Q268*$D$2/(0.85*$B$2*(D268*1000))</f>
        <v>58.52941176</v>
      </c>
      <c r="S268" s="10">
        <f>0.9*Q268*$D$2*(J268-R268/2)/1000000</f>
        <v>117.829732</v>
      </c>
      <c r="T268" s="15" t="str">
        <f>IF(AND(S268&gt;=F268,O268&lt;=0.025*(D268*1000)*J268,O268&gt;=N268),"CUMPLE","REVISAR")</f>
        <v>CUMPLE</v>
      </c>
      <c r="U268" s="11">
        <f>G268*1000000/(0.9*(D268*1000)*J268^2)</f>
        <v>3.24222614</v>
      </c>
      <c r="V268" s="12">
        <f>(0.85*$B$2/$D$2)*(1-SQRT(1-2*U268/(0.85*$B$2)))</f>
        <v>0.008332158368</v>
      </c>
      <c r="W268" s="13">
        <f>V268*(D268*1000)*J268</f>
        <v>856.2542547</v>
      </c>
      <c r="X268" s="13">
        <f>MAX(W268,N268)</f>
        <v>856.2542547</v>
      </c>
      <c r="Y268" s="14">
        <f>ROUNDUP(X268/$J$2,0)</f>
        <v>5</v>
      </c>
      <c r="Z268" s="13">
        <f>Y268*$J$2</f>
        <v>995</v>
      </c>
      <c r="AA268" s="10">
        <f>0.9*Z268*$D$2*(J268-(Z268*$D$2/(0.85*$B$2*(D268*1000)))/2)/1000000</f>
        <v>117.829732</v>
      </c>
      <c r="AB268" s="15" t="str">
        <f>IF(AA268&gt;=G268,"CUMPLE","REVISAR")</f>
        <v>CUMPLE</v>
      </c>
      <c r="AC268" s="10">
        <f>0.17*SQRT($B$2)*(D268*1000)*J268/1000</f>
        <v>92.44281538</v>
      </c>
      <c r="AD268" s="10">
        <f>MAX(H268/0.75-AC268,0)</f>
        <v>25.26385128</v>
      </c>
      <c r="AE268" s="14">
        <f>IF(AD268&gt;0,MIN($N$2*$D$2*J268/(AD268*1000),MIN(J268/4,6*$H$2,150)),MIN(J268/4,6*$H$2,150))</f>
        <v>85.6375</v>
      </c>
      <c r="AF268" s="10">
        <f>0.66*SQRT($B$2)*(D268*1000)*J268/1000</f>
        <v>358.8956362</v>
      </c>
      <c r="AG268" s="15" t="str">
        <f>IF(AD268&lt;=AF268,"CUMPLE","AUMENTAR SECCION")</f>
        <v>CUMPLE</v>
      </c>
      <c r="AH268" s="10">
        <f>0.75*0.083*SQRT($B$2)*(((D268*1000)*(E268*1000))^2/(2*((D268*1000)+(E268*1000))))/1000000</f>
        <v>3.388073536</v>
      </c>
      <c r="AI268" s="15" t="str">
        <f>IF(I268&gt;AH268,"SI","No")</f>
        <v>No</v>
      </c>
      <c r="AJ268" s="11">
        <f>IF(I268&gt;AH268,I268*1000000/(0.75*2*0.85*((D268*1000-2*$F$2)*(E268*1000-2*$F$2))*$D$2),0)</f>
        <v>0</v>
      </c>
      <c r="AK268" s="10">
        <f>1.25*Q268*$D$2*(J268-(1.25*Q268*$D$2/(0.85*$B$2*(D268*1000)))/2)/1000000</f>
        <v>159.8306178</v>
      </c>
      <c r="AL268" s="10">
        <f>1.25*Z268*$D$2*(J268-(1.25*Z268*$D$2/(0.85*$B$2*(D268*1000)))/2)/1000000</f>
        <v>159.8306178</v>
      </c>
      <c r="AM268" s="10">
        <f>(AK268+AL268)/B268</f>
        <v>120.6268814</v>
      </c>
      <c r="AN268" s="10">
        <f>MAX(H268,AM268)</f>
        <v>120.6268814</v>
      </c>
    </row>
    <row r="269">
      <c r="A269" s="5" t="inlineStr">
        <is>
          <t>F276</t>
        </is>
      </c>
      <c r="B269" s="6" t="n">
        <v>5.1</v>
      </c>
      <c r="C269" s="7" t="inlineStr">
        <is>
          <t>VC</t>
        </is>
      </c>
      <c r="D269" s="8">
        <f>IF(C269="VR",0.35,0.30)</f>
        <v>0.3</v>
      </c>
      <c r="E269" s="6" t="n">
        <v>0.4</v>
      </c>
      <c r="F269" s="9" t="n">
        <v>97.5</v>
      </c>
      <c r="G269" s="9" t="n">
        <v>71</v>
      </c>
      <c r="H269" s="9" t="n">
        <v>50</v>
      </c>
      <c r="I269" s="6" t="n">
        <v>0</v>
      </c>
      <c r="J269" s="10">
        <f>E269*1000-$F$2-$L$2-$H$2/2</f>
        <v>342.55</v>
      </c>
      <c r="K269" s="11">
        <f>F269*1000000/(0.9*(D269*1000)*J269^2)</f>
        <v>3.07620093</v>
      </c>
      <c r="L269" s="12">
        <f>(0.85*$B$2/$D$2)*(1-SQRT(1-2*K269/(0.85*$B$2)))</f>
        <v>0.007870917407</v>
      </c>
      <c r="M269" s="13">
        <f>L269*(D269*1000)*J269</f>
        <v>808.8548274</v>
      </c>
      <c r="N269" s="13">
        <f>MAX(0.25*SQRT($B$2)/$D$2,1.4/$D$2)*(D269*1000)*J269</f>
        <v>342.55</v>
      </c>
      <c r="O269" s="13">
        <f>MAX(M269,N269)</f>
        <v>808.8548274</v>
      </c>
      <c r="P269" s="14">
        <f>ROUNDUP(O269/$J$2,0)</f>
        <v>5</v>
      </c>
      <c r="Q269" s="13">
        <f>P269*$J$2</f>
        <v>995</v>
      </c>
      <c r="R269" s="10">
        <f>Q269*$D$2/(0.85*$B$2*(D269*1000))</f>
        <v>58.52941176</v>
      </c>
      <c r="S269" s="10">
        <f>0.9*Q269*$D$2*(J269-R269/2)/1000000</f>
        <v>117.829732</v>
      </c>
      <c r="T269" s="15" t="str">
        <f>IF(AND(S269&gt;=F269,O269&lt;=0.025*(D269*1000)*J269,O269&gt;=N269),"CUMPLE","REVISAR")</f>
        <v>CUMPLE</v>
      </c>
      <c r="U269" s="11">
        <f>G269*1000000/(0.9*(D269*1000)*J269^2)</f>
        <v>2.239446501</v>
      </c>
      <c r="V269" s="12">
        <f>(0.85*$B$2/$D$2)*(1-SQRT(1-2*U269/(0.85*$B$2)))</f>
        <v>0.005609678668</v>
      </c>
      <c r="W269" s="13">
        <f>V269*(D269*1000)*J269</f>
        <v>576.4786283</v>
      </c>
      <c r="X269" s="13">
        <f>MAX(W269,N269)</f>
        <v>576.4786283</v>
      </c>
      <c r="Y269" s="14">
        <f>ROUNDUP(X269/$J$2,0)</f>
        <v>3</v>
      </c>
      <c r="Z269" s="13">
        <f>Y269*$J$2</f>
        <v>597</v>
      </c>
      <c r="AA269" s="10">
        <f>0.9*Z269*$D$2*(J269-(Z269*$D$2/(0.85*$B$2*(D269*1000)))/2)/1000000</f>
        <v>73.33945883</v>
      </c>
      <c r="AB269" s="15" t="str">
        <f>IF(AA269&gt;=G269,"CUMPLE","REVISAR")</f>
        <v>CUMPLE</v>
      </c>
      <c r="AC269" s="10">
        <f>0.17*SQRT($B$2)*(D269*1000)*J269/1000</f>
        <v>92.44281538</v>
      </c>
      <c r="AD269" s="10">
        <f>MAX(H269/0.75-AC269,0)</f>
        <v>0</v>
      </c>
      <c r="AE269" s="14">
        <f>IF(AD269&gt;0,MIN($N$2*$D$2*J269/(AD269*1000),MIN(J269/4,6*$H$2,150)),MIN(J269/4,6*$H$2,150))</f>
        <v>85.6375</v>
      </c>
      <c r="AF269" s="10">
        <f>0.66*SQRT($B$2)*(D269*1000)*J269/1000</f>
        <v>358.8956362</v>
      </c>
      <c r="AG269" s="15" t="str">
        <f>IF(AD269&lt;=AF269,"CUMPLE","AUMENTAR SECCION")</f>
        <v>CUMPLE</v>
      </c>
      <c r="AH269" s="10">
        <f>0.75*0.083*SQRT($B$2)*(((D269*1000)*(E269*1000))^2/(2*((D269*1000)+(E269*1000))))/1000000</f>
        <v>3.388073536</v>
      </c>
      <c r="AI269" s="15" t="str">
        <f>IF(I269&gt;AH269,"SI","No")</f>
        <v>No</v>
      </c>
      <c r="AJ269" s="11">
        <f>IF(I269&gt;AH269,I269*1000000/(0.75*2*0.85*((D269*1000-2*$F$2)*(E269*1000-2*$F$2))*$D$2),0)</f>
        <v>0</v>
      </c>
      <c r="AK269" s="10">
        <f>1.25*Q269*$D$2*(J269-(1.25*Q269*$D$2/(0.85*$B$2*(D269*1000)))/2)/1000000</f>
        <v>159.8306178</v>
      </c>
      <c r="AL269" s="10">
        <f>1.25*Z269*$D$2*(J269-(1.25*Z269*$D$2/(0.85*$B$2*(D269*1000)))/2)/1000000</f>
        <v>100.4845159</v>
      </c>
      <c r="AM269" s="10">
        <f>(AK269+AL269)/B269</f>
        <v>51.04218309</v>
      </c>
      <c r="AN269" s="10">
        <f>MAX(H269,AM269)</f>
        <v>51.04218309</v>
      </c>
    </row>
    <row r="270">
      <c r="A270" s="5" t="inlineStr">
        <is>
          <t>F277</t>
        </is>
      </c>
      <c r="B270" s="6" t="n">
        <v>5.1</v>
      </c>
      <c r="C270" s="7" t="inlineStr">
        <is>
          <t>VC</t>
        </is>
      </c>
      <c r="D270" s="8">
        <f>IF(C270="VR",0.35,0.30)</f>
        <v>0.3</v>
      </c>
      <c r="E270" s="6" t="n">
        <v>0.4</v>
      </c>
      <c r="F270" s="9" t="n">
        <v>97.5</v>
      </c>
      <c r="G270" s="9" t="n">
        <v>71</v>
      </c>
      <c r="H270" s="9" t="n">
        <v>50</v>
      </c>
      <c r="I270" s="6" t="n">
        <v>0</v>
      </c>
      <c r="J270" s="10">
        <f>E270*1000-$F$2-$L$2-$H$2/2</f>
        <v>342.55</v>
      </c>
      <c r="K270" s="11">
        <f>F270*1000000/(0.9*(D270*1000)*J270^2)</f>
        <v>3.07620093</v>
      </c>
      <c r="L270" s="12">
        <f>(0.85*$B$2/$D$2)*(1-SQRT(1-2*K270/(0.85*$B$2)))</f>
        <v>0.007870917407</v>
      </c>
      <c r="M270" s="13">
        <f>L270*(D270*1000)*J270</f>
        <v>808.8548274</v>
      </c>
      <c r="N270" s="13">
        <f>MAX(0.25*SQRT($B$2)/$D$2,1.4/$D$2)*(D270*1000)*J270</f>
        <v>342.55</v>
      </c>
      <c r="O270" s="13">
        <f>MAX(M270,N270)</f>
        <v>808.8548274</v>
      </c>
      <c r="P270" s="14">
        <f>ROUNDUP(O270/$J$2,0)</f>
        <v>5</v>
      </c>
      <c r="Q270" s="13">
        <f>P270*$J$2</f>
        <v>995</v>
      </c>
      <c r="R270" s="10">
        <f>Q270*$D$2/(0.85*$B$2*(D270*1000))</f>
        <v>58.52941176</v>
      </c>
      <c r="S270" s="10">
        <f>0.9*Q270*$D$2*(J270-R270/2)/1000000</f>
        <v>117.829732</v>
      </c>
      <c r="T270" s="15" t="str">
        <f>IF(AND(S270&gt;=F270,O270&lt;=0.025*(D270*1000)*J270,O270&gt;=N270),"CUMPLE","REVISAR")</f>
        <v>CUMPLE</v>
      </c>
      <c r="U270" s="11">
        <f>G270*1000000/(0.9*(D270*1000)*J270^2)</f>
        <v>2.239446501</v>
      </c>
      <c r="V270" s="12">
        <f>(0.85*$B$2/$D$2)*(1-SQRT(1-2*U270/(0.85*$B$2)))</f>
        <v>0.005609678668</v>
      </c>
      <c r="W270" s="13">
        <f>V270*(D270*1000)*J270</f>
        <v>576.4786283</v>
      </c>
      <c r="X270" s="13">
        <f>MAX(W270,N270)</f>
        <v>576.4786283</v>
      </c>
      <c r="Y270" s="14">
        <f>ROUNDUP(X270/$J$2,0)</f>
        <v>3</v>
      </c>
      <c r="Z270" s="13">
        <f>Y270*$J$2</f>
        <v>597</v>
      </c>
      <c r="AA270" s="10">
        <f>0.9*Z270*$D$2*(J270-(Z270*$D$2/(0.85*$B$2*(D270*1000)))/2)/1000000</f>
        <v>73.33945883</v>
      </c>
      <c r="AB270" s="15" t="str">
        <f>IF(AA270&gt;=G270,"CUMPLE","REVISAR")</f>
        <v>CUMPLE</v>
      </c>
      <c r="AC270" s="10">
        <f>0.17*SQRT($B$2)*(D270*1000)*J270/1000</f>
        <v>92.44281538</v>
      </c>
      <c r="AD270" s="10">
        <f>MAX(H270/0.75-AC270,0)</f>
        <v>0</v>
      </c>
      <c r="AE270" s="14">
        <f>IF(AD270&gt;0,MIN($N$2*$D$2*J270/(AD270*1000),MIN(J270/4,6*$H$2,150)),MIN(J270/4,6*$H$2,150))</f>
        <v>85.6375</v>
      </c>
      <c r="AF270" s="10">
        <f>0.66*SQRT($B$2)*(D270*1000)*J270/1000</f>
        <v>358.8956362</v>
      </c>
      <c r="AG270" s="15" t="str">
        <f>IF(AD270&lt;=AF270,"CUMPLE","AUMENTAR SECCION")</f>
        <v>CUMPLE</v>
      </c>
      <c r="AH270" s="10">
        <f>0.75*0.083*SQRT($B$2)*(((D270*1000)*(E270*1000))^2/(2*((D270*1000)+(E270*1000))))/1000000</f>
        <v>3.388073536</v>
      </c>
      <c r="AI270" s="15" t="str">
        <f>IF(I270&gt;AH270,"SI","No")</f>
        <v>No</v>
      </c>
      <c r="AJ270" s="11">
        <f>IF(I270&gt;AH270,I270*1000000/(0.75*2*0.85*((D270*1000-2*$F$2)*(E270*1000-2*$F$2))*$D$2),0)</f>
        <v>0</v>
      </c>
      <c r="AK270" s="10">
        <f>1.25*Q270*$D$2*(J270-(1.25*Q270*$D$2/(0.85*$B$2*(D270*1000)))/2)/1000000</f>
        <v>159.8306178</v>
      </c>
      <c r="AL270" s="10">
        <f>1.25*Z270*$D$2*(J270-(1.25*Z270*$D$2/(0.85*$B$2*(D270*1000)))/2)/1000000</f>
        <v>100.4845159</v>
      </c>
      <c r="AM270" s="10">
        <f>(AK270+AL270)/B270</f>
        <v>51.04218309</v>
      </c>
      <c r="AN270" s="10">
        <f>MAX(H270,AM270)</f>
        <v>51.04218309</v>
      </c>
    </row>
    <row r="271">
      <c r="A271" s="5" t="inlineStr">
        <is>
          <t>F278</t>
        </is>
      </c>
      <c r="B271" s="6" t="n">
        <v>2.65</v>
      </c>
      <c r="C271" s="7" t="inlineStr">
        <is>
          <t>VC</t>
        </is>
      </c>
      <c r="D271" s="8">
        <f>IF(C271="VR",0.35,0.30)</f>
        <v>0.3</v>
      </c>
      <c r="E271" s="6" t="n">
        <v>0.4</v>
      </c>
      <c r="F271" s="9" t="n">
        <v>117.8</v>
      </c>
      <c r="G271" s="9" t="n">
        <v>102.7</v>
      </c>
      <c r="H271" s="9" t="n">
        <v>88.3</v>
      </c>
      <c r="I271" s="6" t="n">
        <v>0</v>
      </c>
      <c r="J271" s="10">
        <f>E271*1000-$F$2-$L$2-$H$2/2</f>
        <v>342.55</v>
      </c>
      <c r="K271" s="11">
        <f>F271*1000000/(0.9*(D271*1000)*J271^2)</f>
        <v>3.716944609</v>
      </c>
      <c r="L271" s="12">
        <f>(0.85*$B$2/$D$2)*(1-SQRT(1-2*K271/(0.85*$B$2)))</f>
        <v>0.009675964842</v>
      </c>
      <c r="M271" s="13">
        <f>L271*(D271*1000)*J271</f>
        <v>994.350527</v>
      </c>
      <c r="N271" s="13">
        <f>MAX(0.25*SQRT($B$2)/$D$2,1.4/$D$2)*(D271*1000)*J271</f>
        <v>342.55</v>
      </c>
      <c r="O271" s="13">
        <f>MAX(M271,N271)</f>
        <v>994.350527</v>
      </c>
      <c r="P271" s="14">
        <f>ROUNDUP(O271/$J$2,0)</f>
        <v>5</v>
      </c>
      <c r="Q271" s="13">
        <f>P271*$J$2</f>
        <v>995</v>
      </c>
      <c r="R271" s="10">
        <f>Q271*$D$2/(0.85*$B$2*(D271*1000))</f>
        <v>58.52941176</v>
      </c>
      <c r="S271" s="10">
        <f>0.9*Q271*$D$2*(J271-R271/2)/1000000</f>
        <v>117.829732</v>
      </c>
      <c r="T271" s="15" t="str">
        <f>IF(AND(S271&gt;=F271,O271&lt;=0.025*(D271*1000)*J271,O271&gt;=N271),"CUMPLE","REVISAR")</f>
        <v>CUMPLE</v>
      </c>
      <c r="U271" s="11">
        <f>G271*1000000/(0.9*(D271*1000)*J271^2)</f>
        <v>3.24222614</v>
      </c>
      <c r="V271" s="12">
        <f>(0.85*$B$2/$D$2)*(1-SQRT(1-2*U271/(0.85*$B$2)))</f>
        <v>0.008332158368</v>
      </c>
      <c r="W271" s="13">
        <f>V271*(D271*1000)*J271</f>
        <v>856.2542547</v>
      </c>
      <c r="X271" s="13">
        <f>MAX(W271,N271)</f>
        <v>856.2542547</v>
      </c>
      <c r="Y271" s="14">
        <f>ROUNDUP(X271/$J$2,0)</f>
        <v>5</v>
      </c>
      <c r="Z271" s="13">
        <f>Y271*$J$2</f>
        <v>995</v>
      </c>
      <c r="AA271" s="10">
        <f>0.9*Z271*$D$2*(J271-(Z271*$D$2/(0.85*$B$2*(D271*1000)))/2)/1000000</f>
        <v>117.829732</v>
      </c>
      <c r="AB271" s="15" t="str">
        <f>IF(AA271&gt;=G271,"CUMPLE","REVISAR")</f>
        <v>CUMPLE</v>
      </c>
      <c r="AC271" s="10">
        <f>0.17*SQRT($B$2)*(D271*1000)*J271/1000</f>
        <v>92.44281538</v>
      </c>
      <c r="AD271" s="10">
        <f>MAX(H271/0.75-AC271,0)</f>
        <v>25.26385128</v>
      </c>
      <c r="AE271" s="14">
        <f>IF(AD271&gt;0,MIN($N$2*$D$2*J271/(AD271*1000),MIN(J271/4,6*$H$2,150)),MIN(J271/4,6*$H$2,150))</f>
        <v>85.6375</v>
      </c>
      <c r="AF271" s="10">
        <f>0.66*SQRT($B$2)*(D271*1000)*J271/1000</f>
        <v>358.8956362</v>
      </c>
      <c r="AG271" s="15" t="str">
        <f>IF(AD271&lt;=AF271,"CUMPLE","AUMENTAR SECCION")</f>
        <v>CUMPLE</v>
      </c>
      <c r="AH271" s="10">
        <f>0.75*0.083*SQRT($B$2)*(((D271*1000)*(E271*1000))^2/(2*((D271*1000)+(E271*1000))))/1000000</f>
        <v>3.388073536</v>
      </c>
      <c r="AI271" s="15" t="str">
        <f>IF(I271&gt;AH271,"SI","No")</f>
        <v>No</v>
      </c>
      <c r="AJ271" s="11">
        <f>IF(I271&gt;AH271,I271*1000000/(0.75*2*0.85*((D271*1000-2*$F$2)*(E271*1000-2*$F$2))*$D$2),0)</f>
        <v>0</v>
      </c>
      <c r="AK271" s="10">
        <f>1.25*Q271*$D$2*(J271-(1.25*Q271*$D$2/(0.85*$B$2*(D271*1000)))/2)/1000000</f>
        <v>159.8306178</v>
      </c>
      <c r="AL271" s="10">
        <f>1.25*Z271*$D$2*(J271-(1.25*Z271*$D$2/(0.85*$B$2*(D271*1000)))/2)/1000000</f>
        <v>159.8306178</v>
      </c>
      <c r="AM271" s="10">
        <f>(AK271+AL271)/B271</f>
        <v>120.6268814</v>
      </c>
      <c r="AN271" s="10">
        <f>MAX(H271,AM271)</f>
        <v>120.6268814</v>
      </c>
    </row>
    <row r="272">
      <c r="A272" s="5" t="inlineStr">
        <is>
          <t>F279</t>
        </is>
      </c>
      <c r="B272" s="6" t="n">
        <v>3.85</v>
      </c>
      <c r="C272" s="7" t="inlineStr">
        <is>
          <t>VC</t>
        </is>
      </c>
      <c r="D272" s="8">
        <f>IF(C272="VR",0.35,0.30)</f>
        <v>0.3</v>
      </c>
      <c r="E272" s="6" t="n">
        <v>0.4</v>
      </c>
      <c r="F272" s="9" t="n">
        <v>108.5</v>
      </c>
      <c r="G272" s="9" t="n">
        <v>92.5</v>
      </c>
      <c r="H272" s="9" t="n">
        <v>64.8</v>
      </c>
      <c r="I272" s="6" t="n">
        <v>0</v>
      </c>
      <c r="J272" s="10">
        <f>E272*1000-$F$2-$L$2-$H$2/2</f>
        <v>342.55</v>
      </c>
      <c r="K272" s="11">
        <f>F272*1000000/(0.9*(D272*1000)*J272^2)</f>
        <v>3.424980125</v>
      </c>
      <c r="L272" s="12">
        <f>(0.85*$B$2/$D$2)*(1-SQRT(1-2*K272/(0.85*$B$2)))</f>
        <v>0.008845017541</v>
      </c>
      <c r="M272" s="13">
        <f>L272*(D272*1000)*J272</f>
        <v>908.9582276</v>
      </c>
      <c r="N272" s="13">
        <f>MAX(0.25*SQRT($B$2)/$D$2,1.4/$D$2)*(D272*1000)*J272</f>
        <v>342.55</v>
      </c>
      <c r="O272" s="13">
        <f>MAX(M272,N272)</f>
        <v>908.9582276</v>
      </c>
      <c r="P272" s="14">
        <f>ROUNDUP(O272/$J$2,0)</f>
        <v>5</v>
      </c>
      <c r="Q272" s="13">
        <f>P272*$J$2</f>
        <v>995</v>
      </c>
      <c r="R272" s="10">
        <f>Q272*$D$2/(0.85*$B$2*(D272*1000))</f>
        <v>58.52941176</v>
      </c>
      <c r="S272" s="10">
        <f>0.9*Q272*$D$2*(J272-R272/2)/1000000</f>
        <v>117.829732</v>
      </c>
      <c r="T272" s="15" t="str">
        <f>IF(AND(S272&gt;=F272,O272&lt;=0.025*(D272*1000)*J272,O272&gt;=N272),"CUMPLE","REVISAR")</f>
        <v>CUMPLE</v>
      </c>
      <c r="U272" s="11">
        <f>G272*1000000/(0.9*(D272*1000)*J272^2)</f>
        <v>2.920907389</v>
      </c>
      <c r="V272" s="12">
        <f>(0.85*$B$2/$D$2)*(1-SQRT(1-2*U272/(0.85*$B$2)))</f>
        <v>0.007443402327</v>
      </c>
      <c r="W272" s="13">
        <f>V272*(D272*1000)*J272</f>
        <v>764.9212401</v>
      </c>
      <c r="X272" s="13">
        <f>MAX(W272,N272)</f>
        <v>764.9212401</v>
      </c>
      <c r="Y272" s="14">
        <f>ROUNDUP(X272/$J$2,0)</f>
        <v>4</v>
      </c>
      <c r="Z272" s="13">
        <f>Y272*$J$2</f>
        <v>796</v>
      </c>
      <c r="AA272" s="10">
        <f>0.9*Z272*$D$2*(J272-(Z272*$D$2/(0.85*$B$2*(D272*1000)))/2)/1000000</f>
        <v>96.02486534</v>
      </c>
      <c r="AB272" s="15" t="str">
        <f>IF(AA272&gt;=G272,"CUMPLE","REVISAR")</f>
        <v>CUMPLE</v>
      </c>
      <c r="AC272" s="10">
        <f>0.17*SQRT($B$2)*(D272*1000)*J272/1000</f>
        <v>92.44281538</v>
      </c>
      <c r="AD272" s="10">
        <f>MAX(H272/0.75-AC272,0)</f>
        <v>0</v>
      </c>
      <c r="AE272" s="14">
        <f>IF(AD272&gt;0,MIN($N$2*$D$2*J272/(AD272*1000),MIN(J272/4,6*$H$2,150)),MIN(J272/4,6*$H$2,150))</f>
        <v>85.6375</v>
      </c>
      <c r="AF272" s="10">
        <f>0.66*SQRT($B$2)*(D272*1000)*J272/1000</f>
        <v>358.8956362</v>
      </c>
      <c r="AG272" s="15" t="str">
        <f>IF(AD272&lt;=AF272,"CUMPLE","AUMENTAR SECCION")</f>
        <v>CUMPLE</v>
      </c>
      <c r="AH272" s="10">
        <f>0.75*0.083*SQRT($B$2)*(((D272*1000)*(E272*1000))^2/(2*((D272*1000)+(E272*1000))))/1000000</f>
        <v>3.388073536</v>
      </c>
      <c r="AI272" s="15" t="str">
        <f>IF(I272&gt;AH272,"SI","No")</f>
        <v>No</v>
      </c>
      <c r="AJ272" s="11">
        <f>IF(I272&gt;AH272,I272*1000000/(0.75*2*0.85*((D272*1000-2*$F$2)*(E272*1000-2*$F$2))*$D$2),0)</f>
        <v>0</v>
      </c>
      <c r="AK272" s="10">
        <f>1.25*Q272*$D$2*(J272-(1.25*Q272*$D$2/(0.85*$B$2*(D272*1000)))/2)/1000000</f>
        <v>159.8306178</v>
      </c>
      <c r="AL272" s="10">
        <f>1.25*Z272*$D$2*(J272-(1.25*Z272*$D$2/(0.85*$B$2*(D272*1000)))/2)/1000000</f>
        <v>130.9219244</v>
      </c>
      <c r="AM272" s="10">
        <f>(AK272+AL272)/B272</f>
        <v>75.52014084</v>
      </c>
      <c r="AN272" s="10">
        <f>MAX(H272,AM272)</f>
        <v>75.52014084</v>
      </c>
    </row>
    <row r="273">
      <c r="A273" s="5" t="inlineStr">
        <is>
          <t>F280</t>
        </is>
      </c>
      <c r="B273" s="6" t="n">
        <v>3.9</v>
      </c>
      <c r="C273" s="7" t="inlineStr">
        <is>
          <t>VC</t>
        </is>
      </c>
      <c r="D273" s="8">
        <f>IF(C273="VR",0.35,0.30)</f>
        <v>0.3</v>
      </c>
      <c r="E273" s="6" t="n">
        <v>0.4</v>
      </c>
      <c r="F273" s="9" t="n">
        <v>114.7</v>
      </c>
      <c r="G273" s="9" t="n">
        <v>90.7</v>
      </c>
      <c r="H273" s="9" t="n">
        <v>74.5</v>
      </c>
      <c r="I273" s="6" t="n">
        <v>0</v>
      </c>
      <c r="J273" s="10">
        <f>E273*1000-$F$2-$L$2-$H$2/2</f>
        <v>342.55</v>
      </c>
      <c r="K273" s="11">
        <f>F273*1000000/(0.9*(D273*1000)*J273^2)</f>
        <v>3.620990876</v>
      </c>
      <c r="L273" s="12">
        <f>(0.85*$B$2/$D$2)*(1-SQRT(1-2*K273/(0.85*$B$2)))</f>
        <v>0.009401263514</v>
      </c>
      <c r="M273" s="13">
        <f>L273*(D273*1000)*J273</f>
        <v>966.120845</v>
      </c>
      <c r="N273" s="13">
        <f>MAX(0.25*SQRT($B$2)/$D$2,1.4/$D$2)*(D273*1000)*J273</f>
        <v>342.55</v>
      </c>
      <c r="O273" s="13">
        <f>MAX(M273,N273)</f>
        <v>966.120845</v>
      </c>
      <c r="P273" s="14">
        <f>ROUNDUP(O273/$J$2,0)</f>
        <v>5</v>
      </c>
      <c r="Q273" s="13">
        <f>P273*$J$2</f>
        <v>995</v>
      </c>
      <c r="R273" s="10">
        <f>Q273*$D$2/(0.85*$B$2*(D273*1000))</f>
        <v>58.52941176</v>
      </c>
      <c r="S273" s="10">
        <f>0.9*Q273*$D$2*(J273-R273/2)/1000000</f>
        <v>117.829732</v>
      </c>
      <c r="T273" s="15" t="str">
        <f>IF(AND(S273&gt;=F273,O273&lt;=0.025*(D273*1000)*J273,O273&gt;=N273),"CUMPLE","REVISAR")</f>
        <v>CUMPLE</v>
      </c>
      <c r="U273" s="11">
        <f>G273*1000000/(0.9*(D273*1000)*J273^2)</f>
        <v>2.86156758</v>
      </c>
      <c r="V273" s="12">
        <f>(0.85*$B$2/$D$2)*(1-SQRT(1-2*U273/(0.85*$B$2)))</f>
        <v>0.007281020153</v>
      </c>
      <c r="W273" s="13">
        <f>V273*(D273*1000)*J273</f>
        <v>748.234036</v>
      </c>
      <c r="X273" s="13">
        <f>MAX(W273,N273)</f>
        <v>748.234036</v>
      </c>
      <c r="Y273" s="14">
        <f>ROUNDUP(X273/$J$2,0)</f>
        <v>4</v>
      </c>
      <c r="Z273" s="13">
        <f>Y273*$J$2</f>
        <v>796</v>
      </c>
      <c r="AA273" s="10">
        <f>0.9*Z273*$D$2*(J273-(Z273*$D$2/(0.85*$B$2*(D273*1000)))/2)/1000000</f>
        <v>96.02486534</v>
      </c>
      <c r="AB273" s="15" t="str">
        <f>IF(AA273&gt;=G273,"CUMPLE","REVISAR")</f>
        <v>CUMPLE</v>
      </c>
      <c r="AC273" s="10">
        <f>0.17*SQRT($B$2)*(D273*1000)*J273/1000</f>
        <v>92.44281538</v>
      </c>
      <c r="AD273" s="10">
        <f>MAX(H273/0.75-AC273,0)</f>
        <v>6.943851283</v>
      </c>
      <c r="AE273" s="14">
        <f>IF(AD273&gt;0,MIN($N$2*$D$2*J273/(AD273*1000),MIN(J273/4,6*$H$2,150)),MIN(J273/4,6*$H$2,150))</f>
        <v>85.6375</v>
      </c>
      <c r="AF273" s="10">
        <f>0.66*SQRT($B$2)*(D273*1000)*J273/1000</f>
        <v>358.8956362</v>
      </c>
      <c r="AG273" s="15" t="str">
        <f>IF(AD273&lt;=AF273,"CUMPLE","AUMENTAR SECCION")</f>
        <v>CUMPLE</v>
      </c>
      <c r="AH273" s="10">
        <f>0.75*0.083*SQRT($B$2)*(((D273*1000)*(E273*1000))^2/(2*((D273*1000)+(E273*1000))))/1000000</f>
        <v>3.388073536</v>
      </c>
      <c r="AI273" s="15" t="str">
        <f>IF(I273&gt;AH273,"SI","No")</f>
        <v>No</v>
      </c>
      <c r="AJ273" s="11">
        <f>IF(I273&gt;AH273,I273*1000000/(0.75*2*0.85*((D273*1000-2*$F$2)*(E273*1000-2*$F$2))*$D$2),0)</f>
        <v>0</v>
      </c>
      <c r="AK273" s="10">
        <f>1.25*Q273*$D$2*(J273-(1.25*Q273*$D$2/(0.85*$B$2*(D273*1000)))/2)/1000000</f>
        <v>159.8306178</v>
      </c>
      <c r="AL273" s="10">
        <f>1.25*Z273*$D$2*(J273-(1.25*Z273*$D$2/(0.85*$B$2*(D273*1000)))/2)/1000000</f>
        <v>130.9219244</v>
      </c>
      <c r="AM273" s="10">
        <f>(AK273+AL273)/B273</f>
        <v>74.55193391</v>
      </c>
      <c r="AN273" s="10">
        <f>MAX(H273,AM273)</f>
        <v>74.55193391</v>
      </c>
    </row>
    <row r="274">
      <c r="A274" s="5" t="inlineStr">
        <is>
          <t>F281</t>
        </is>
      </c>
      <c r="B274" s="6" t="n">
        <v>3.9</v>
      </c>
      <c r="C274" s="7" t="inlineStr">
        <is>
          <t>VC</t>
        </is>
      </c>
      <c r="D274" s="8">
        <f>IF(C274="VR",0.35,0.30)</f>
        <v>0.3</v>
      </c>
      <c r="E274" s="6" t="n">
        <v>0.4</v>
      </c>
      <c r="F274" s="9" t="n">
        <v>114.7</v>
      </c>
      <c r="G274" s="9" t="n">
        <v>90.7</v>
      </c>
      <c r="H274" s="9" t="n">
        <v>74.5</v>
      </c>
      <c r="I274" s="6" t="n">
        <v>0</v>
      </c>
      <c r="J274" s="10">
        <f>E274*1000-$F$2-$L$2-$H$2/2</f>
        <v>342.55</v>
      </c>
      <c r="K274" s="11">
        <f>F274*1000000/(0.9*(D274*1000)*J274^2)</f>
        <v>3.621306513</v>
      </c>
      <c r="L274" s="12">
        <f>(0.85*$B$2/$D$2)*(1-SQRT(1-2*K274/(0.85*$B$2)))</f>
        <v>0.00940216452</v>
      </c>
      <c r="M274" s="13">
        <f>L274*(D274*1000)*J274</f>
        <v>966.2134369</v>
      </c>
      <c r="N274" s="13">
        <f>MAX(0.25*SQRT($B$2)/$D$2,1.4/$D$2)*(D274*1000)*J274</f>
        <v>342.55</v>
      </c>
      <c r="O274" s="13">
        <f>MAX(M274,N274)</f>
        <v>966.2134369</v>
      </c>
      <c r="P274" s="14">
        <f>ROUNDUP(O274/$J$2,0)</f>
        <v>5</v>
      </c>
      <c r="Q274" s="13">
        <f>P274*$J$2</f>
        <v>995</v>
      </c>
      <c r="R274" s="10">
        <f>Q274*$D$2/(0.85*$B$2*(D274*1000))</f>
        <v>58.52941176</v>
      </c>
      <c r="S274" s="10">
        <f>0.9*Q274*$D$2*(J274-R274/2)/1000000</f>
        <v>117.829732</v>
      </c>
      <c r="T274" s="15" t="str">
        <f>IF(AND(S274&gt;=F274,O274&lt;=0.025*(D274*1000)*J274,O274&gt;=N274),"CUMPLE","REVISAR")</f>
        <v>CUMPLE</v>
      </c>
      <c r="U274" s="11">
        <f>G274*1000000/(0.9*(D274*1000)*J274^2)</f>
        <v>2.86156758</v>
      </c>
      <c r="V274" s="12">
        <f>(0.85*$B$2/$D$2)*(1-SQRT(1-2*U274/(0.85*$B$2)))</f>
        <v>0.007281020153</v>
      </c>
      <c r="W274" s="13">
        <f>V274*(D274*1000)*J274</f>
        <v>748.234036</v>
      </c>
      <c r="X274" s="13">
        <f>MAX(W274,N274)</f>
        <v>748.234036</v>
      </c>
      <c r="Y274" s="14">
        <f>ROUNDUP(X274/$J$2,0)</f>
        <v>4</v>
      </c>
      <c r="Z274" s="13">
        <f>Y274*$J$2</f>
        <v>796</v>
      </c>
      <c r="AA274" s="10">
        <f>0.9*Z274*$D$2*(J274-(Z274*$D$2/(0.85*$B$2*(D274*1000)))/2)/1000000</f>
        <v>96.02486534</v>
      </c>
      <c r="AB274" s="15" t="str">
        <f>IF(AA274&gt;=G274,"CUMPLE","REVISAR")</f>
        <v>CUMPLE</v>
      </c>
      <c r="AC274" s="10">
        <f>0.17*SQRT($B$2)*(D274*1000)*J274/1000</f>
        <v>92.44281538</v>
      </c>
      <c r="AD274" s="10">
        <f>MAX(H274/0.75-AC274,0)</f>
        <v>6.957184616</v>
      </c>
      <c r="AE274" s="14">
        <f>IF(AD274&gt;0,MIN($N$2*$D$2*J274/(AD274*1000),MIN(J274/4,6*$H$2,150)),MIN(J274/4,6*$H$2,150))</f>
        <v>85.6375</v>
      </c>
      <c r="AF274" s="10">
        <f>0.66*SQRT($B$2)*(D274*1000)*J274/1000</f>
        <v>358.8956362</v>
      </c>
      <c r="AG274" s="15" t="str">
        <f>IF(AD274&lt;=AF274,"CUMPLE","AUMENTAR SECCION")</f>
        <v>CUMPLE</v>
      </c>
      <c r="AH274" s="10">
        <f>0.75*0.083*SQRT($B$2)*(((D274*1000)*(E274*1000))^2/(2*((D274*1000)+(E274*1000))))/1000000</f>
        <v>3.388073536</v>
      </c>
      <c r="AI274" s="15" t="str">
        <f>IF(I274&gt;AH274,"SI","No")</f>
        <v>No</v>
      </c>
      <c r="AJ274" s="11">
        <f>IF(I274&gt;AH274,I274*1000000/(0.75*2*0.85*((D274*1000-2*$F$2)*(E274*1000-2*$F$2))*$D$2),0)</f>
        <v>0</v>
      </c>
      <c r="AK274" s="10">
        <f>1.25*Q274*$D$2*(J274-(1.25*Q274*$D$2/(0.85*$B$2*(D274*1000)))/2)/1000000</f>
        <v>159.8306178</v>
      </c>
      <c r="AL274" s="10">
        <f>1.25*Z274*$D$2*(J274-(1.25*Z274*$D$2/(0.85*$B$2*(D274*1000)))/2)/1000000</f>
        <v>130.9219244</v>
      </c>
      <c r="AM274" s="10">
        <f>(AK274+AL274)/B274</f>
        <v>74.55193391</v>
      </c>
      <c r="AN274" s="10">
        <f>MAX(H274,AM274)</f>
        <v>74.55193391</v>
      </c>
    </row>
    <row r="275">
      <c r="A275" s="5" t="inlineStr">
        <is>
          <t>F282</t>
        </is>
      </c>
      <c r="B275" s="6" t="n">
        <v>3.85</v>
      </c>
      <c r="C275" s="7" t="inlineStr">
        <is>
          <t>VC</t>
        </is>
      </c>
      <c r="D275" s="8">
        <f>IF(C275="VR",0.35,0.30)</f>
        <v>0.3</v>
      </c>
      <c r="E275" s="6" t="n">
        <v>0.4</v>
      </c>
      <c r="F275" s="9" t="n">
        <v>108.5</v>
      </c>
      <c r="G275" s="9" t="n">
        <v>92.5</v>
      </c>
      <c r="H275" s="9" t="n">
        <v>64.8</v>
      </c>
      <c r="I275" s="6" t="n">
        <v>0</v>
      </c>
      <c r="J275" s="10">
        <f>E275*1000-$F$2-$L$2-$H$2/2</f>
        <v>342.55</v>
      </c>
      <c r="K275" s="11">
        <f>F275*1000000/(0.9*(D275*1000)*J275^2)</f>
        <v>3.424980125</v>
      </c>
      <c r="L275" s="12">
        <f>(0.85*$B$2/$D$2)*(1-SQRT(1-2*K275/(0.85*$B$2)))</f>
        <v>0.008845017541</v>
      </c>
      <c r="M275" s="13">
        <f>L275*(D275*1000)*J275</f>
        <v>908.9582276</v>
      </c>
      <c r="N275" s="13">
        <f>MAX(0.25*SQRT($B$2)/$D$2,1.4/$D$2)*(D275*1000)*J275</f>
        <v>342.55</v>
      </c>
      <c r="O275" s="13">
        <f>MAX(M275,N275)</f>
        <v>908.9582276</v>
      </c>
      <c r="P275" s="14">
        <f>ROUNDUP(O275/$J$2,0)</f>
        <v>5</v>
      </c>
      <c r="Q275" s="13">
        <f>P275*$J$2</f>
        <v>995</v>
      </c>
      <c r="R275" s="10">
        <f>Q275*$D$2/(0.85*$B$2*(D275*1000))</f>
        <v>58.52941176</v>
      </c>
      <c r="S275" s="10">
        <f>0.9*Q275*$D$2*(J275-R275/2)/1000000</f>
        <v>117.829732</v>
      </c>
      <c r="T275" s="15" t="str">
        <f>IF(AND(S275&gt;=F275,O275&lt;=0.025*(D275*1000)*J275,O275&gt;=N275),"CUMPLE","REVISAR")</f>
        <v>CUMPLE</v>
      </c>
      <c r="U275" s="11">
        <f>G275*1000000/(0.9*(D275*1000)*J275^2)</f>
        <v>2.920907389</v>
      </c>
      <c r="V275" s="12">
        <f>(0.85*$B$2/$D$2)*(1-SQRT(1-2*U275/(0.85*$B$2)))</f>
        <v>0.007443402327</v>
      </c>
      <c r="W275" s="13">
        <f>V275*(D275*1000)*J275</f>
        <v>764.9212401</v>
      </c>
      <c r="X275" s="13">
        <f>MAX(W275,N275)</f>
        <v>764.9212401</v>
      </c>
      <c r="Y275" s="14">
        <f>ROUNDUP(X275/$J$2,0)</f>
        <v>4</v>
      </c>
      <c r="Z275" s="13">
        <f>Y275*$J$2</f>
        <v>796</v>
      </c>
      <c r="AA275" s="10">
        <f>0.9*Z275*$D$2*(J275-(Z275*$D$2/(0.85*$B$2*(D275*1000)))/2)/1000000</f>
        <v>96.02486534</v>
      </c>
      <c r="AB275" s="15" t="str">
        <f>IF(AA275&gt;=G275,"CUMPLE","REVISAR")</f>
        <v>CUMPLE</v>
      </c>
      <c r="AC275" s="10">
        <f>0.17*SQRT($B$2)*(D275*1000)*J275/1000</f>
        <v>92.44281538</v>
      </c>
      <c r="AD275" s="10">
        <f>MAX(H275/0.75-AC275,0)</f>
        <v>0</v>
      </c>
      <c r="AE275" s="14">
        <f>IF(AD275&gt;0,MIN($N$2*$D$2*J275/(AD275*1000),MIN(J275/4,6*$H$2,150)),MIN(J275/4,6*$H$2,150))</f>
        <v>85.6375</v>
      </c>
      <c r="AF275" s="10">
        <f>0.66*SQRT($B$2)*(D275*1000)*J275/1000</f>
        <v>358.8956362</v>
      </c>
      <c r="AG275" s="15" t="str">
        <f>IF(AD275&lt;=AF275,"CUMPLE","AUMENTAR SECCION")</f>
        <v>CUMPLE</v>
      </c>
      <c r="AH275" s="10">
        <f>0.75*0.083*SQRT($B$2)*(((D275*1000)*(E275*1000))^2/(2*((D275*1000)+(E275*1000))))/1000000</f>
        <v>3.388073536</v>
      </c>
      <c r="AI275" s="15" t="str">
        <f>IF(I275&gt;AH275,"SI","No")</f>
        <v>No</v>
      </c>
      <c r="AJ275" s="11">
        <f>IF(I275&gt;AH275,I275*1000000/(0.75*2*0.85*((D275*1000-2*$F$2)*(E275*1000-2*$F$2))*$D$2),0)</f>
        <v>0</v>
      </c>
      <c r="AK275" s="10">
        <f>1.25*Q275*$D$2*(J275-(1.25*Q275*$D$2/(0.85*$B$2*(D275*1000)))/2)/1000000</f>
        <v>159.8306178</v>
      </c>
      <c r="AL275" s="10">
        <f>1.25*Z275*$D$2*(J275-(1.25*Z275*$D$2/(0.85*$B$2*(D275*1000)))/2)/1000000</f>
        <v>130.9219244</v>
      </c>
      <c r="AM275" s="10">
        <f>(AK275+AL275)/B275</f>
        <v>75.52014084</v>
      </c>
      <c r="AN275" s="10">
        <f>MAX(H275,AM275)</f>
        <v>75.52014084</v>
      </c>
    </row>
    <row r="276">
      <c r="A276" s="5" t="inlineStr">
        <is>
          <t>F283</t>
        </is>
      </c>
      <c r="B276" s="6" t="n">
        <v>3.85</v>
      </c>
      <c r="C276" s="7" t="inlineStr">
        <is>
          <t>VC</t>
        </is>
      </c>
      <c r="D276" s="8">
        <f>IF(C276="VR",0.35,0.30)</f>
        <v>0.3</v>
      </c>
      <c r="E276" s="6" t="n">
        <v>0.4</v>
      </c>
      <c r="F276" s="9" t="n">
        <v>119.2</v>
      </c>
      <c r="G276" s="9" t="n">
        <v>87.8</v>
      </c>
      <c r="H276" s="9" t="n">
        <v>78</v>
      </c>
      <c r="I276" s="6" t="n">
        <v>0</v>
      </c>
      <c r="J276" s="10">
        <f>E276*1000-$F$2-$L$2-$H$2/2</f>
        <v>342.55</v>
      </c>
      <c r="K276" s="11">
        <f>F276*1000000/(0.9*(D276*1000)*J276^2)</f>
        <v>3.760818191</v>
      </c>
      <c r="L276" s="12">
        <f>(0.85*$B$2/$D$2)*(1-SQRT(1-2*K276/(0.85*$B$2)))</f>
        <v>0.009802104843</v>
      </c>
      <c r="M276" s="13">
        <f>L276*(D276*1000)*J276</f>
        <v>1007.313304</v>
      </c>
      <c r="N276" s="13">
        <f>MAX(0.25*SQRT($B$2)/$D$2,1.4/$D$2)*(D276*1000)*J276</f>
        <v>342.55</v>
      </c>
      <c r="O276" s="13">
        <f>MAX(M276,N276)</f>
        <v>1007.313304</v>
      </c>
      <c r="P276" s="14">
        <f>ROUNDUP(O276/$J$2,0)</f>
        <v>6</v>
      </c>
      <c r="Q276" s="13">
        <f>P276*$J$2</f>
        <v>1194</v>
      </c>
      <c r="R276" s="10">
        <f>Q276*$D$2/(0.85*$B$2*(D276*1000))</f>
        <v>70.23529412</v>
      </c>
      <c r="S276" s="10">
        <f>0.9*Q276*$D$2*(J276-R276/2)/1000000</f>
        <v>138.7540587</v>
      </c>
      <c r="T276" s="15" t="str">
        <f>IF(AND(S276&gt;=F276,O276&lt;=0.025*(D276*1000)*J276,O276&gt;=N276),"CUMPLE","REVISAR")</f>
        <v>CUMPLE</v>
      </c>
      <c r="U276" s="11">
        <f>G276*1000000/(0.9*(D276*1000)*J276^2)</f>
        <v>2.771610955</v>
      </c>
      <c r="V276" s="12">
        <f>(0.85*$B$2/$D$2)*(1-SQRT(1-2*U276/(0.85*$B$2)))</f>
        <v>0.007035868855</v>
      </c>
      <c r="W276" s="13">
        <f>V276*(D276*1000)*J276</f>
        <v>723.0410629</v>
      </c>
      <c r="X276" s="13">
        <f>MAX(W276,N276)</f>
        <v>723.0410629</v>
      </c>
      <c r="Y276" s="14">
        <f>ROUNDUP(X276/$J$2,0)</f>
        <v>4</v>
      </c>
      <c r="Z276" s="13">
        <f>Y276*$J$2</f>
        <v>796</v>
      </c>
      <c r="AA276" s="10">
        <f>0.9*Z276*$D$2*(J276-(Z276*$D$2/(0.85*$B$2*(D276*1000)))/2)/1000000</f>
        <v>96.02486534</v>
      </c>
      <c r="AB276" s="15" t="str">
        <f>IF(AA276&gt;=G276,"CUMPLE","REVISAR")</f>
        <v>CUMPLE</v>
      </c>
      <c r="AC276" s="10">
        <f>0.17*SQRT($B$2)*(D276*1000)*J276/1000</f>
        <v>92.44281538</v>
      </c>
      <c r="AD276" s="10">
        <f>MAX(H276/0.75-AC276,0)</f>
        <v>11.49051795</v>
      </c>
      <c r="AE276" s="14">
        <f>IF(AD276&gt;0,MIN($N$2*$D$2*J276/(AD276*1000),MIN(J276/4,6*$H$2,150)),MIN(J276/4,6*$H$2,150))</f>
        <v>85.6375</v>
      </c>
      <c r="AF276" s="10">
        <f>0.66*SQRT($B$2)*(D276*1000)*J276/1000</f>
        <v>358.8956362</v>
      </c>
      <c r="AG276" s="15" t="str">
        <f>IF(AD276&lt;=AF276,"CUMPLE","AUMENTAR SECCION")</f>
        <v>CUMPLE</v>
      </c>
      <c r="AH276" s="10">
        <f>0.75*0.083*SQRT($B$2)*(((D276*1000)*(E276*1000))^2/(2*((D276*1000)+(E276*1000))))/1000000</f>
        <v>3.388073536</v>
      </c>
      <c r="AI276" s="15" t="str">
        <f>IF(I276&gt;AH276,"SI","No")</f>
        <v>No</v>
      </c>
      <c r="AJ276" s="11">
        <f>IF(I276&gt;AH276,I276*1000000/(0.75*2*0.85*((D276*1000-2*$F$2)*(E276*1000-2*$F$2))*$D$2),0)</f>
        <v>0</v>
      </c>
      <c r="AK276" s="10">
        <f>1.25*Q276*$D$2*(J276-(1.25*Q276*$D$2/(0.85*$B$2*(D276*1000)))/2)/1000000</f>
        <v>187.2105962</v>
      </c>
      <c r="AL276" s="10">
        <f>1.25*Z276*$D$2*(J276-(1.25*Z276*$D$2/(0.85*$B$2*(D276*1000)))/2)/1000000</f>
        <v>130.9219244</v>
      </c>
      <c r="AM276" s="10">
        <f>(AK276+AL276)/B276</f>
        <v>82.63182353</v>
      </c>
      <c r="AN276" s="10">
        <f>MAX(H276,AM276)</f>
        <v>82.63182353</v>
      </c>
    </row>
    <row r="277">
      <c r="A277" s="5" t="inlineStr">
        <is>
          <t>F284</t>
        </is>
      </c>
      <c r="B277" s="6" t="n">
        <v>3.9</v>
      </c>
      <c r="C277" s="7" t="inlineStr">
        <is>
          <t>VC</t>
        </is>
      </c>
      <c r="D277" s="8">
        <f>IF(C277="VR",0.35,0.30)</f>
        <v>0.3</v>
      </c>
      <c r="E277" s="6" t="n">
        <v>0.4</v>
      </c>
      <c r="F277" s="9" t="n">
        <v>128.8</v>
      </c>
      <c r="G277" s="9" t="n">
        <v>87.3</v>
      </c>
      <c r="H277" s="9" t="n">
        <v>91.8</v>
      </c>
      <c r="I277" s="6" t="n">
        <v>0</v>
      </c>
      <c r="J277" s="10">
        <f>E277*1000-$F$2-$L$2-$H$2/2</f>
        <v>342.55</v>
      </c>
      <c r="K277" s="11">
        <f>F277*1000000/(0.9*(D277*1000)*J277^2)</f>
        <v>4.064145617</v>
      </c>
      <c r="L277" s="12">
        <f>(0.85*$B$2/$D$2)*(1-SQRT(1-2*K277/(0.85*$B$2)))</f>
        <v>0.01068366005</v>
      </c>
      <c r="M277" s="13">
        <f>L277*(D277*1000)*J277</f>
        <v>1097.906325</v>
      </c>
      <c r="N277" s="13">
        <f>MAX(0.25*SQRT($B$2)/$D$2,1.4/$D$2)*(D277*1000)*J277</f>
        <v>342.55</v>
      </c>
      <c r="O277" s="13">
        <f>MAX(M277,N277)</f>
        <v>1097.906325</v>
      </c>
      <c r="P277" s="14">
        <f>ROUNDUP(O277/$J$2,0)</f>
        <v>6</v>
      </c>
      <c r="Q277" s="13">
        <f>P277*$J$2</f>
        <v>1194</v>
      </c>
      <c r="R277" s="10">
        <f>Q277*$D$2/(0.85*$B$2*(D277*1000))</f>
        <v>70.23529412</v>
      </c>
      <c r="S277" s="10">
        <f>0.9*Q277*$D$2*(J277-R277/2)/1000000</f>
        <v>138.7540587</v>
      </c>
      <c r="T277" s="15" t="str">
        <f>IF(AND(S277&gt;=F277,O277&lt;=0.025*(D277*1000)*J277,O277&gt;=N277),"CUMPLE","REVISAR")</f>
        <v>CUMPLE</v>
      </c>
      <c r="U277" s="11">
        <f>G277*1000000/(0.9*(D277*1000)*J277^2)</f>
        <v>2.754566542</v>
      </c>
      <c r="V277" s="12">
        <f>(0.85*$B$2/$D$2)*(1-SQRT(1-2*U277/(0.85*$B$2)))</f>
        <v>0.006989555463</v>
      </c>
      <c r="W277" s="13">
        <f>V277*(D277*1000)*J277</f>
        <v>718.2816672</v>
      </c>
      <c r="X277" s="13">
        <f>MAX(W277,N277)</f>
        <v>718.2816672</v>
      </c>
      <c r="Y277" s="14">
        <f>ROUNDUP(X277/$J$2,0)</f>
        <v>4</v>
      </c>
      <c r="Z277" s="13">
        <f>Y277*$J$2</f>
        <v>796</v>
      </c>
      <c r="AA277" s="10">
        <f>0.9*Z277*$D$2*(J277-(Z277*$D$2/(0.85*$B$2*(D277*1000)))/2)/1000000</f>
        <v>96.02486534</v>
      </c>
      <c r="AB277" s="15" t="str">
        <f>IF(AA277&gt;=G277,"CUMPLE","REVISAR")</f>
        <v>CUMPLE</v>
      </c>
      <c r="AC277" s="10">
        <f>0.17*SQRT($B$2)*(D277*1000)*J277/1000</f>
        <v>92.44281538</v>
      </c>
      <c r="AD277" s="10">
        <f>MAX(H277/0.75-AC277,0)</f>
        <v>29.95718462</v>
      </c>
      <c r="AE277" s="14">
        <f>IF(AD277&gt;0,MIN($N$2*$D$2*J277/(AD277*1000),MIN(J277/4,6*$H$2,150)),MIN(J277/4,6*$H$2,150))</f>
        <v>85.6375</v>
      </c>
      <c r="AF277" s="10">
        <f>0.66*SQRT($B$2)*(D277*1000)*J277/1000</f>
        <v>358.8956362</v>
      </c>
      <c r="AG277" s="15" t="str">
        <f>IF(AD277&lt;=AF277,"CUMPLE","AUMENTAR SECCION")</f>
        <v>CUMPLE</v>
      </c>
      <c r="AH277" s="10">
        <f>0.75*0.083*SQRT($B$2)*(((D277*1000)*(E277*1000))^2/(2*((D277*1000)+(E277*1000))))/1000000</f>
        <v>3.388073536</v>
      </c>
      <c r="AI277" s="15" t="str">
        <f>IF(I277&gt;AH277,"SI","No")</f>
        <v>No</v>
      </c>
      <c r="AJ277" s="11">
        <f>IF(I277&gt;AH277,I277*1000000/(0.75*2*0.85*((D277*1000-2*$F$2)*(E277*1000-2*$F$2))*$D$2),0)</f>
        <v>0</v>
      </c>
      <c r="AK277" s="10">
        <f>1.25*Q277*$D$2*(J277-(1.25*Q277*$D$2/(0.85*$B$2*(D277*1000)))/2)/1000000</f>
        <v>187.2105962</v>
      </c>
      <c r="AL277" s="10">
        <f>1.25*Z277*$D$2*(J277-(1.25*Z277*$D$2/(0.85*$B$2*(D277*1000)))/2)/1000000</f>
        <v>130.9219244</v>
      </c>
      <c r="AM277" s="10">
        <f>(AK277+AL277)/B277</f>
        <v>81.57244118</v>
      </c>
      <c r="AN277" s="10">
        <f>MAX(H277,AM277)</f>
        <v>91.8</v>
      </c>
    </row>
    <row r="278">
      <c r="A278" s="5" t="inlineStr">
        <is>
          <t>F285</t>
        </is>
      </c>
      <c r="B278" s="6" t="n">
        <v>3.9</v>
      </c>
      <c r="C278" s="7" t="inlineStr">
        <is>
          <t>VC</t>
        </is>
      </c>
      <c r="D278" s="8">
        <f>IF(C278="VR",0.35,0.30)</f>
        <v>0.3</v>
      </c>
      <c r="E278" s="6" t="n">
        <v>0.4</v>
      </c>
      <c r="F278" s="9" t="n">
        <v>128.8</v>
      </c>
      <c r="G278" s="9" t="n">
        <v>87.2</v>
      </c>
      <c r="H278" s="9" t="n">
        <v>91.90000000000001</v>
      </c>
      <c r="I278" s="6" t="n">
        <v>0</v>
      </c>
      <c r="J278" s="10">
        <f>E278*1000-$F$2-$L$2-$H$2/2</f>
        <v>342.55</v>
      </c>
      <c r="K278" s="11">
        <f>F278*1000000/(0.9*(D278*1000)*J278^2)</f>
        <v>4.066986352</v>
      </c>
      <c r="L278" s="12">
        <f>(0.85*$B$2/$D$2)*(1-SQRT(1-2*K278/(0.85*$B$2)))</f>
        <v>0.01069199593</v>
      </c>
      <c r="M278" s="13">
        <f>L278*(D278*1000)*J278</f>
        <v>1098.762962</v>
      </c>
      <c r="N278" s="13">
        <f>MAX(0.25*SQRT($B$2)/$D$2,1.4/$D$2)*(D278*1000)*J278</f>
        <v>342.55</v>
      </c>
      <c r="O278" s="13">
        <f>MAX(M278,N278)</f>
        <v>1098.762962</v>
      </c>
      <c r="P278" s="14">
        <f>ROUNDUP(O278/$J$2,0)</f>
        <v>6</v>
      </c>
      <c r="Q278" s="13">
        <f>P278*$J$2</f>
        <v>1194</v>
      </c>
      <c r="R278" s="10">
        <f>Q278*$D$2/(0.85*$B$2*(D278*1000))</f>
        <v>70.23529412</v>
      </c>
      <c r="S278" s="10">
        <f>0.9*Q278*$D$2*(J278-R278/2)/1000000</f>
        <v>138.7540587</v>
      </c>
      <c r="T278" s="15" t="str">
        <f>IF(AND(S278&gt;=F278,O278&lt;=0.025*(D278*1000)*J278,O278&gt;=N278),"CUMPLE","REVISAR")</f>
        <v>CUMPLE</v>
      </c>
      <c r="U278" s="11">
        <f>G278*1000000/(0.9*(D278*1000)*J278^2)</f>
        <v>2.752357081</v>
      </c>
      <c r="V278" s="12">
        <f>(0.85*$B$2/$D$2)*(1-SQRT(1-2*U278/(0.85*$B$2)))</f>
        <v>0.006983555036</v>
      </c>
      <c r="W278" s="13">
        <f>V278*(D278*1000)*J278</f>
        <v>717.6650333</v>
      </c>
      <c r="X278" s="13">
        <f>MAX(W278,N278)</f>
        <v>717.6650333</v>
      </c>
      <c r="Y278" s="14">
        <f>ROUNDUP(X278/$J$2,0)</f>
        <v>4</v>
      </c>
      <c r="Z278" s="13">
        <f>Y278*$J$2</f>
        <v>796</v>
      </c>
      <c r="AA278" s="10">
        <f>0.9*Z278*$D$2*(J278-(Z278*$D$2/(0.85*$B$2*(D278*1000)))/2)/1000000</f>
        <v>96.02486534</v>
      </c>
      <c r="AB278" s="15" t="str">
        <f>IF(AA278&gt;=G278,"CUMPLE","REVISAR")</f>
        <v>CUMPLE</v>
      </c>
      <c r="AC278" s="10">
        <f>0.17*SQRT($B$2)*(D278*1000)*J278/1000</f>
        <v>92.44281538</v>
      </c>
      <c r="AD278" s="10">
        <f>MAX(H278/0.75-AC278,0)</f>
        <v>30.07718462</v>
      </c>
      <c r="AE278" s="14">
        <f>IF(AD278&gt;0,MIN($N$2*$D$2*J278/(AD278*1000),MIN(J278/4,6*$H$2,150)),MIN(J278/4,6*$H$2,150))</f>
        <v>85.6375</v>
      </c>
      <c r="AF278" s="10">
        <f>0.66*SQRT($B$2)*(D278*1000)*J278/1000</f>
        <v>358.8956362</v>
      </c>
      <c r="AG278" s="15" t="str">
        <f>IF(AD278&lt;=AF278,"CUMPLE","AUMENTAR SECCION")</f>
        <v>CUMPLE</v>
      </c>
      <c r="AH278" s="10">
        <f>0.75*0.083*SQRT($B$2)*(((D278*1000)*(E278*1000))^2/(2*((D278*1000)+(E278*1000))))/1000000</f>
        <v>3.388073536</v>
      </c>
      <c r="AI278" s="15" t="str">
        <f>IF(I278&gt;AH278,"SI","No")</f>
        <v>No</v>
      </c>
      <c r="AJ278" s="11">
        <f>IF(I278&gt;AH278,I278*1000000/(0.75*2*0.85*((D278*1000-2*$F$2)*(E278*1000-2*$F$2))*$D$2),0)</f>
        <v>0</v>
      </c>
      <c r="AK278" s="10">
        <f>1.25*Q278*$D$2*(J278-(1.25*Q278*$D$2/(0.85*$B$2*(D278*1000)))/2)/1000000</f>
        <v>187.2105962</v>
      </c>
      <c r="AL278" s="10">
        <f>1.25*Z278*$D$2*(J278-(1.25*Z278*$D$2/(0.85*$B$2*(D278*1000)))/2)/1000000</f>
        <v>130.9219244</v>
      </c>
      <c r="AM278" s="10">
        <f>(AK278+AL278)/B278</f>
        <v>81.57244118</v>
      </c>
      <c r="AN278" s="10">
        <f>MAX(H278,AM278)</f>
        <v>91.89</v>
      </c>
    </row>
    <row r="279">
      <c r="A279" s="5" t="inlineStr">
        <is>
          <t>F286</t>
        </is>
      </c>
      <c r="B279" s="6" t="n">
        <v>3.85</v>
      </c>
      <c r="C279" s="7" t="inlineStr">
        <is>
          <t>VC</t>
        </is>
      </c>
      <c r="D279" s="8">
        <f>IF(C279="VR",0.35,0.30)</f>
        <v>0.3</v>
      </c>
      <c r="E279" s="6" t="n">
        <v>0.4</v>
      </c>
      <c r="F279" s="9" t="n">
        <v>119.1</v>
      </c>
      <c r="G279" s="9" t="n">
        <v>87.8</v>
      </c>
      <c r="H279" s="9" t="n">
        <v>77.90000000000001</v>
      </c>
      <c r="I279" s="6" t="n">
        <v>0</v>
      </c>
      <c r="J279" s="10">
        <f>E279*1000-$F$2-$L$2-$H$2/2</f>
        <v>342.55</v>
      </c>
      <c r="K279" s="11">
        <f>F279*1000000/(0.9*(D279*1000)*J279^2)</f>
        <v>3.760502553</v>
      </c>
      <c r="L279" s="12">
        <f>(0.85*$B$2/$D$2)*(1-SQRT(1-2*K279/(0.85*$B$2)))</f>
        <v>0.009801196149</v>
      </c>
      <c r="M279" s="13">
        <f>L279*(D279*1000)*J279</f>
        <v>1007.219922</v>
      </c>
      <c r="N279" s="13">
        <f>MAX(0.25*SQRT($B$2)/$D$2,1.4/$D$2)*(D279*1000)*J279</f>
        <v>342.55</v>
      </c>
      <c r="O279" s="13">
        <f>MAX(M279,N279)</f>
        <v>1007.219922</v>
      </c>
      <c r="P279" s="14">
        <f>ROUNDUP(O279/$J$2,0)</f>
        <v>6</v>
      </c>
      <c r="Q279" s="13">
        <f>P279*$J$2</f>
        <v>1194</v>
      </c>
      <c r="R279" s="10">
        <f>Q279*$D$2/(0.85*$B$2*(D279*1000))</f>
        <v>70.23529412</v>
      </c>
      <c r="S279" s="10">
        <f>0.9*Q279*$D$2*(J279-R279/2)/1000000</f>
        <v>138.7540587</v>
      </c>
      <c r="T279" s="15" t="str">
        <f>IF(AND(S279&gt;=F279,O279&lt;=0.025*(D279*1000)*J279,O279&gt;=N279),"CUMPLE","REVISAR")</f>
        <v>CUMPLE</v>
      </c>
      <c r="U279" s="11">
        <f>G279*1000000/(0.9*(D279*1000)*J279^2)</f>
        <v>2.771926593</v>
      </c>
      <c r="V279" s="12">
        <f>(0.85*$B$2/$D$2)*(1-SQRT(1-2*U279/(0.85*$B$2)))</f>
        <v>0.007036726918</v>
      </c>
      <c r="W279" s="13">
        <f>V279*(D279*1000)*J279</f>
        <v>723.1292417</v>
      </c>
      <c r="X279" s="13">
        <f>MAX(W279,N279)</f>
        <v>723.1292417</v>
      </c>
      <c r="Y279" s="14">
        <f>ROUNDUP(X279/$J$2,0)</f>
        <v>4</v>
      </c>
      <c r="Z279" s="13">
        <f>Y279*$J$2</f>
        <v>796</v>
      </c>
      <c r="AA279" s="10">
        <f>0.9*Z279*$D$2*(J279-(Z279*$D$2/(0.85*$B$2*(D279*1000)))/2)/1000000</f>
        <v>96.02486534</v>
      </c>
      <c r="AB279" s="15" t="str">
        <f>IF(AA279&gt;=G279,"CUMPLE","REVISAR")</f>
        <v>CUMPLE</v>
      </c>
      <c r="AC279" s="10">
        <f>0.17*SQRT($B$2)*(D279*1000)*J279/1000</f>
        <v>92.44281538</v>
      </c>
      <c r="AD279" s="10">
        <f>MAX(H279/0.75-AC279,0)</f>
        <v>11.47718462</v>
      </c>
      <c r="AE279" s="14">
        <f>IF(AD279&gt;0,MIN($N$2*$D$2*J279/(AD279*1000),MIN(J279/4,6*$H$2,150)),MIN(J279/4,6*$H$2,150))</f>
        <v>85.6375</v>
      </c>
      <c r="AF279" s="10">
        <f>0.66*SQRT($B$2)*(D279*1000)*J279/1000</f>
        <v>358.8956362</v>
      </c>
      <c r="AG279" s="15" t="str">
        <f>IF(AD279&lt;=AF279,"CUMPLE","AUMENTAR SECCION")</f>
        <v>CUMPLE</v>
      </c>
      <c r="AH279" s="10">
        <f>0.75*0.083*SQRT($B$2)*(((D279*1000)*(E279*1000))^2/(2*((D279*1000)+(E279*1000))))/1000000</f>
        <v>3.388073536</v>
      </c>
      <c r="AI279" s="15" t="str">
        <f>IF(I279&gt;AH279,"SI","No")</f>
        <v>No</v>
      </c>
      <c r="AJ279" s="11">
        <f>IF(I279&gt;AH279,I279*1000000/(0.75*2*0.85*((D279*1000-2*$F$2)*(E279*1000-2*$F$2))*$D$2),0)</f>
        <v>0</v>
      </c>
      <c r="AK279" s="10">
        <f>1.25*Q279*$D$2*(J279-(1.25*Q279*$D$2/(0.85*$B$2*(D279*1000)))/2)/1000000</f>
        <v>187.2105962</v>
      </c>
      <c r="AL279" s="10">
        <f>1.25*Z279*$D$2*(J279-(1.25*Z279*$D$2/(0.85*$B$2*(D279*1000)))/2)/1000000</f>
        <v>130.9219244</v>
      </c>
      <c r="AM279" s="10">
        <f>(AK279+AL279)/B279</f>
        <v>82.63182353</v>
      </c>
      <c r="AN279" s="10">
        <f>MAX(H279,AM279)</f>
        <v>82.63182353</v>
      </c>
    </row>
    <row r="280">
      <c r="A280" s="5" t="inlineStr">
        <is>
          <t>F287</t>
        </is>
      </c>
      <c r="B280" s="6" t="n">
        <v>3.85</v>
      </c>
      <c r="C280" s="7" t="inlineStr">
        <is>
          <t>VC</t>
        </is>
      </c>
      <c r="D280" s="8">
        <f>IF(C280="VR",0.35,0.30)</f>
        <v>0.3</v>
      </c>
      <c r="E280" s="6" t="n">
        <v>0.4</v>
      </c>
      <c r="F280" s="9" t="n">
        <v>121.5</v>
      </c>
      <c r="G280" s="9" t="n">
        <v>92.3</v>
      </c>
      <c r="H280" s="9" t="n">
        <v>77.2</v>
      </c>
      <c r="I280" s="6" t="n">
        <v>0</v>
      </c>
      <c r="J280" s="10">
        <f>E280*1000-$F$2-$L$2-$H$2/2</f>
        <v>342.55</v>
      </c>
      <c r="K280" s="11">
        <f>F280*1000000/(0.9*(D280*1000)*J280^2)</f>
        <v>3.836571138</v>
      </c>
      <c r="L280" s="12">
        <f>(0.85*$B$2/$D$2)*(1-SQRT(1-2*K280/(0.85*$B$2)))</f>
        <v>0.01002070346</v>
      </c>
      <c r="M280" s="13">
        <f>L280*(D280*1000)*J280</f>
        <v>1029.777591</v>
      </c>
      <c r="N280" s="13">
        <f>MAX(0.25*SQRT($B$2)/$D$2,1.4/$D$2)*(D280*1000)*J280</f>
        <v>342.55</v>
      </c>
      <c r="O280" s="13">
        <f>MAX(M280,N280)</f>
        <v>1029.777591</v>
      </c>
      <c r="P280" s="14">
        <f>ROUNDUP(O280/$J$2,0)</f>
        <v>6</v>
      </c>
      <c r="Q280" s="13">
        <f>P280*$J$2</f>
        <v>1194</v>
      </c>
      <c r="R280" s="10">
        <f>Q280*$D$2/(0.85*$B$2*(D280*1000))</f>
        <v>70.23529412</v>
      </c>
      <c r="S280" s="10">
        <f>0.9*Q280*$D$2*(J280-R280/2)/1000000</f>
        <v>138.7540587</v>
      </c>
      <c r="T280" s="15" t="str">
        <f>IF(AND(S280&gt;=F280,O280&lt;=0.025*(D280*1000)*J280,O280&gt;=N280),"CUMPLE","REVISAR")</f>
        <v>CUMPLE</v>
      </c>
      <c r="U280" s="11">
        <f>G280*1000000/(0.9*(D280*1000)*J280^2)</f>
        <v>2.913647731</v>
      </c>
      <c r="V280" s="12">
        <f>(0.85*$B$2/$D$2)*(1-SQRT(1-2*U280/(0.85*$B$2)))</f>
        <v>0.007423507675</v>
      </c>
      <c r="W280" s="13">
        <f>V280*(D280*1000)*J280</f>
        <v>762.8767663</v>
      </c>
      <c r="X280" s="13">
        <f>MAX(W280,N280)</f>
        <v>762.8767663</v>
      </c>
      <c r="Y280" s="14">
        <f>ROUNDUP(X280/$J$2,0)</f>
        <v>4</v>
      </c>
      <c r="Z280" s="13">
        <f>Y280*$J$2</f>
        <v>796</v>
      </c>
      <c r="AA280" s="10">
        <f>0.9*Z280*$D$2*(J280-(Z280*$D$2/(0.85*$B$2*(D280*1000)))/2)/1000000</f>
        <v>96.02486534</v>
      </c>
      <c r="AB280" s="15" t="str">
        <f>IF(AA280&gt;=G280,"CUMPLE","REVISAR")</f>
        <v>CUMPLE</v>
      </c>
      <c r="AC280" s="10">
        <f>0.17*SQRT($B$2)*(D280*1000)*J280/1000</f>
        <v>92.44281538</v>
      </c>
      <c r="AD280" s="10">
        <f>MAX(H280/0.75-AC280,0)</f>
        <v>10.53051795</v>
      </c>
      <c r="AE280" s="14">
        <f>IF(AD280&gt;0,MIN($N$2*$D$2*J280/(AD280*1000),MIN(J280/4,6*$H$2,150)),MIN(J280/4,6*$H$2,150))</f>
        <v>85.6375</v>
      </c>
      <c r="AF280" s="10">
        <f>0.66*SQRT($B$2)*(D280*1000)*J280/1000</f>
        <v>358.8956362</v>
      </c>
      <c r="AG280" s="15" t="str">
        <f>IF(AD280&lt;=AF280,"CUMPLE","AUMENTAR SECCION")</f>
        <v>CUMPLE</v>
      </c>
      <c r="AH280" s="10">
        <f>0.75*0.083*SQRT($B$2)*(((D280*1000)*(E280*1000))^2/(2*((D280*1000)+(E280*1000))))/1000000</f>
        <v>3.388073536</v>
      </c>
      <c r="AI280" s="15" t="str">
        <f>IF(I280&gt;AH280,"SI","No")</f>
        <v>No</v>
      </c>
      <c r="AJ280" s="11">
        <f>IF(I280&gt;AH280,I280*1000000/(0.75*2*0.85*((D280*1000-2*$F$2)*(E280*1000-2*$F$2))*$D$2),0)</f>
        <v>0</v>
      </c>
      <c r="AK280" s="10">
        <f>1.25*Q280*$D$2*(J280-(1.25*Q280*$D$2/(0.85*$B$2*(D280*1000)))/2)/1000000</f>
        <v>187.2105962</v>
      </c>
      <c r="AL280" s="10">
        <f>1.25*Z280*$D$2*(J280-(1.25*Z280*$D$2/(0.85*$B$2*(D280*1000)))/2)/1000000</f>
        <v>130.9219244</v>
      </c>
      <c r="AM280" s="10">
        <f>(AK280+AL280)/B280</f>
        <v>82.63182353</v>
      </c>
      <c r="AN280" s="10">
        <f>MAX(H280,AM280)</f>
        <v>82.63182353</v>
      </c>
    </row>
    <row r="281">
      <c r="A281" s="5" t="inlineStr">
        <is>
          <t>F288</t>
        </is>
      </c>
      <c r="B281" s="6" t="n">
        <v>3.85</v>
      </c>
      <c r="C281" s="7" t="inlineStr">
        <is>
          <t>VC</t>
        </is>
      </c>
      <c r="D281" s="8">
        <f>IF(C281="VR",0.35,0.30)</f>
        <v>0.3</v>
      </c>
      <c r="E281" s="6" t="n">
        <v>0.4</v>
      </c>
      <c r="F281" s="9" t="n">
        <v>121.6</v>
      </c>
      <c r="G281" s="9" t="n">
        <v>92.3</v>
      </c>
      <c r="H281" s="9" t="n">
        <v>77.2</v>
      </c>
      <c r="I281" s="6" t="n">
        <v>0</v>
      </c>
      <c r="J281" s="10">
        <f>E281*1000-$F$2-$L$2-$H$2/2</f>
        <v>342.55</v>
      </c>
      <c r="K281" s="11">
        <f>F281*1000000/(0.9*(D281*1000)*J281^2)</f>
        <v>3.837202412</v>
      </c>
      <c r="L281" s="12">
        <f>(0.85*$B$2/$D$2)*(1-SQRT(1-2*K281/(0.85*$B$2)))</f>
        <v>0.01002252942</v>
      </c>
      <c r="M281" s="13">
        <f>L281*(D281*1000)*J281</f>
        <v>1029.965236</v>
      </c>
      <c r="N281" s="13">
        <f>MAX(0.25*SQRT($B$2)/$D$2,1.4/$D$2)*(D281*1000)*J281</f>
        <v>342.55</v>
      </c>
      <c r="O281" s="13">
        <f>MAX(M281,N281)</f>
        <v>1029.965236</v>
      </c>
      <c r="P281" s="14">
        <f>ROUNDUP(O281/$J$2,0)</f>
        <v>6</v>
      </c>
      <c r="Q281" s="13">
        <f>P281*$J$2</f>
        <v>1194</v>
      </c>
      <c r="R281" s="10">
        <f>Q281*$D$2/(0.85*$B$2*(D281*1000))</f>
        <v>70.23529412</v>
      </c>
      <c r="S281" s="10">
        <f>0.9*Q281*$D$2*(J281-R281/2)/1000000</f>
        <v>138.7540587</v>
      </c>
      <c r="T281" s="15" t="str">
        <f>IF(AND(S281&gt;=F281,O281&lt;=0.025*(D281*1000)*J281,O281&gt;=N281),"CUMPLE","REVISAR")</f>
        <v>CUMPLE</v>
      </c>
      <c r="U281" s="11">
        <f>G281*1000000/(0.9*(D281*1000)*J281^2)</f>
        <v>2.913332094</v>
      </c>
      <c r="V281" s="12">
        <f>(0.85*$B$2/$D$2)*(1-SQRT(1-2*U281/(0.85*$B$2)))</f>
        <v>0.007422642873</v>
      </c>
      <c r="W281" s="13">
        <f>V281*(D281*1000)*J281</f>
        <v>762.7878948</v>
      </c>
      <c r="X281" s="13">
        <f>MAX(W281,N281)</f>
        <v>762.7878948</v>
      </c>
      <c r="Y281" s="14">
        <f>ROUNDUP(X281/$J$2,0)</f>
        <v>4</v>
      </c>
      <c r="Z281" s="13">
        <f>Y281*$J$2</f>
        <v>796</v>
      </c>
      <c r="AA281" s="10">
        <f>0.9*Z281*$D$2*(J281-(Z281*$D$2/(0.85*$B$2*(D281*1000)))/2)/1000000</f>
        <v>96.02486534</v>
      </c>
      <c r="AB281" s="15" t="str">
        <f>IF(AA281&gt;=G281,"CUMPLE","REVISAR")</f>
        <v>CUMPLE</v>
      </c>
      <c r="AC281" s="10">
        <f>0.17*SQRT($B$2)*(D281*1000)*J281/1000</f>
        <v>92.44281538</v>
      </c>
      <c r="AD281" s="10">
        <f>MAX(H281/0.75-AC281,0)</f>
        <v>10.51718462</v>
      </c>
      <c r="AE281" s="14">
        <f>IF(AD281&gt;0,MIN($N$2*$D$2*J281/(AD281*1000),MIN(J281/4,6*$H$2,150)),MIN(J281/4,6*$H$2,150))</f>
        <v>85.6375</v>
      </c>
      <c r="AF281" s="10">
        <f>0.66*SQRT($B$2)*(D281*1000)*J281/1000</f>
        <v>358.8956362</v>
      </c>
      <c r="AG281" s="15" t="str">
        <f>IF(AD281&lt;=AF281,"CUMPLE","AUMENTAR SECCION")</f>
        <v>CUMPLE</v>
      </c>
      <c r="AH281" s="10">
        <f>0.75*0.083*SQRT($B$2)*(((D281*1000)*(E281*1000))^2/(2*((D281*1000)+(E281*1000))))/1000000</f>
        <v>3.388073536</v>
      </c>
      <c r="AI281" s="15" t="str">
        <f>IF(I281&gt;AH281,"SI","No")</f>
        <v>No</v>
      </c>
      <c r="AJ281" s="11">
        <f>IF(I281&gt;AH281,I281*1000000/(0.75*2*0.85*((D281*1000-2*$F$2)*(E281*1000-2*$F$2))*$D$2),0)</f>
        <v>0</v>
      </c>
      <c r="AK281" s="10">
        <f>1.25*Q281*$D$2*(J281-(1.25*Q281*$D$2/(0.85*$B$2*(D281*1000)))/2)/1000000</f>
        <v>187.2105962</v>
      </c>
      <c r="AL281" s="10">
        <f>1.25*Z281*$D$2*(J281-(1.25*Z281*$D$2/(0.85*$B$2*(D281*1000)))/2)/1000000</f>
        <v>130.9219244</v>
      </c>
      <c r="AM281" s="10">
        <f>(AK281+AL281)/B281</f>
        <v>82.63182353</v>
      </c>
      <c r="AN281" s="10">
        <f>MAX(H281,AM281)</f>
        <v>82.63182353</v>
      </c>
    </row>
    <row r="282">
      <c r="A282" s="5" t="inlineStr">
        <is>
          <t>F289</t>
        </is>
      </c>
      <c r="B282" s="6" t="n">
        <v>4</v>
      </c>
      <c r="C282" s="7" t="inlineStr">
        <is>
          <t>VC</t>
        </is>
      </c>
      <c r="D282" s="8">
        <f>IF(C282="VR",0.35,0.30)</f>
        <v>0.3</v>
      </c>
      <c r="E282" s="6" t="n">
        <v>0.4</v>
      </c>
      <c r="F282" s="9" t="n">
        <v>104</v>
      </c>
      <c r="G282" s="9" t="n">
        <v>87.09999999999999</v>
      </c>
      <c r="H282" s="9" t="n">
        <v>60.1</v>
      </c>
      <c r="I282" s="6" t="n">
        <v>0</v>
      </c>
      <c r="J282" s="10">
        <f>E282*1000-$F$2-$L$2-$H$2/2</f>
        <v>342.55</v>
      </c>
      <c r="K282" s="11">
        <f>F282*1000000/(0.9*(D282*1000)*J282^2)</f>
        <v>3.282627711</v>
      </c>
      <c r="L282" s="12">
        <f>(0.85*$B$2/$D$2)*(1-SQRT(1-2*K282/(0.85*$B$2)))</f>
        <v>0.008445066931</v>
      </c>
      <c r="M282" s="13">
        <f>L282*(D282*1000)*J282</f>
        <v>867.8573032</v>
      </c>
      <c r="N282" s="13">
        <f>MAX(0.25*SQRT($B$2)/$D$2,1.4/$D$2)*(D282*1000)*J282</f>
        <v>342.55</v>
      </c>
      <c r="O282" s="13">
        <f>MAX(M282,N282)</f>
        <v>867.8573032</v>
      </c>
      <c r="P282" s="14">
        <f>ROUNDUP(O282/$J$2,0)</f>
        <v>5</v>
      </c>
      <c r="Q282" s="13">
        <f>P282*$J$2</f>
        <v>995</v>
      </c>
      <c r="R282" s="10">
        <f>Q282*$D$2/(0.85*$B$2*(D282*1000))</f>
        <v>58.52941176</v>
      </c>
      <c r="S282" s="10">
        <f>0.9*Q282*$D$2*(J282-R282/2)/1000000</f>
        <v>117.829732</v>
      </c>
      <c r="T282" s="15" t="str">
        <f>IF(AND(S282&gt;=F282,O282&lt;=0.025*(D282*1000)*J282,O282&gt;=N282),"CUMPLE","REVISAR")</f>
        <v>CUMPLE</v>
      </c>
      <c r="U282" s="11">
        <f>G282*1000000/(0.9*(D282*1000)*J282^2)</f>
        <v>2.748885071</v>
      </c>
      <c r="V282" s="12">
        <f>(0.85*$B$2/$D$2)*(1-SQRT(1-2*U282/(0.85*$B$2)))</f>
        <v>0.006974127258</v>
      </c>
      <c r="W282" s="13">
        <f>V282*(D282*1000)*J282</f>
        <v>716.6961877</v>
      </c>
      <c r="X282" s="13">
        <f>MAX(W282,N282)</f>
        <v>716.6961877</v>
      </c>
      <c r="Y282" s="14">
        <f>ROUNDUP(X282/$J$2,0)</f>
        <v>4</v>
      </c>
      <c r="Z282" s="13">
        <f>Y282*$J$2</f>
        <v>796</v>
      </c>
      <c r="AA282" s="10">
        <f>0.9*Z282*$D$2*(J282-(Z282*$D$2/(0.85*$B$2*(D282*1000)))/2)/1000000</f>
        <v>96.02486534</v>
      </c>
      <c r="AB282" s="15" t="str">
        <f>IF(AA282&gt;=G282,"CUMPLE","REVISAR")</f>
        <v>CUMPLE</v>
      </c>
      <c r="AC282" s="10">
        <f>0.17*SQRT($B$2)*(D282*1000)*J282/1000</f>
        <v>92.44281538</v>
      </c>
      <c r="AD282" s="10">
        <f>MAX(H282/0.75-AC282,0)</f>
        <v>0</v>
      </c>
      <c r="AE282" s="14">
        <f>IF(AD282&gt;0,MIN($N$2*$D$2*J282/(AD282*1000),MIN(J282/4,6*$H$2,150)),MIN(J282/4,6*$H$2,150))</f>
        <v>85.6375</v>
      </c>
      <c r="AF282" s="10">
        <f>0.66*SQRT($B$2)*(D282*1000)*J282/1000</f>
        <v>358.8956362</v>
      </c>
      <c r="AG282" s="15" t="str">
        <f>IF(AD282&lt;=AF282,"CUMPLE","AUMENTAR SECCION")</f>
        <v>CUMPLE</v>
      </c>
      <c r="AH282" s="10">
        <f>0.75*0.083*SQRT($B$2)*(((D282*1000)*(E282*1000))^2/(2*((D282*1000)+(E282*1000))))/1000000</f>
        <v>3.388073536</v>
      </c>
      <c r="AI282" s="15" t="str">
        <f>IF(I282&gt;AH282,"SI","No")</f>
        <v>No</v>
      </c>
      <c r="AJ282" s="11">
        <f>IF(I282&gt;AH282,I282*1000000/(0.75*2*0.85*((D282*1000-2*$F$2)*(E282*1000-2*$F$2))*$D$2),0)</f>
        <v>0</v>
      </c>
      <c r="AK282" s="10">
        <f>1.25*Q282*$D$2*(J282-(1.25*Q282*$D$2/(0.85*$B$2*(D282*1000)))/2)/1000000</f>
        <v>159.8306178</v>
      </c>
      <c r="AL282" s="10">
        <f>1.25*Z282*$D$2*(J282-(1.25*Z282*$D$2/(0.85*$B$2*(D282*1000)))/2)/1000000</f>
        <v>130.9219244</v>
      </c>
      <c r="AM282" s="10">
        <f>(AK282+AL282)/B282</f>
        <v>72.68813556</v>
      </c>
      <c r="AN282" s="10">
        <f>MAX(H282,AM282)</f>
        <v>72.68813556</v>
      </c>
    </row>
    <row r="283">
      <c r="A283" s="5" t="inlineStr">
        <is>
          <t>F290</t>
        </is>
      </c>
      <c r="B283" s="6" t="n">
        <v>3.81</v>
      </c>
      <c r="C283" s="7" t="inlineStr">
        <is>
          <t>VC</t>
        </is>
      </c>
      <c r="D283" s="8">
        <f>IF(C283="VR",0.35,0.30)</f>
        <v>0.3</v>
      </c>
      <c r="E283" s="6" t="n">
        <v>0.4</v>
      </c>
      <c r="F283" s="9" t="n">
        <v>113.9</v>
      </c>
      <c r="G283" s="9" t="n">
        <v>81.09999999999999</v>
      </c>
      <c r="H283" s="9" t="n">
        <v>73.5</v>
      </c>
      <c r="I283" s="6" t="n">
        <v>6.94</v>
      </c>
      <c r="J283" s="10">
        <f>E283*1000-$F$2-$L$2-$H$2/2</f>
        <v>342.55</v>
      </c>
      <c r="K283" s="11">
        <f>F283*1000000/(0.9*(D283*1000)*J283^2)</f>
        <v>3.59605553</v>
      </c>
      <c r="L283" s="12">
        <f>(0.85*$B$2/$D$2)*(1-SQRT(1-2*K283/(0.85*$B$2)))</f>
        <v>0.009330138273</v>
      </c>
      <c r="M283" s="13">
        <f>L283*(D283*1000)*J283</f>
        <v>958.8116596</v>
      </c>
      <c r="N283" s="13">
        <f>MAX(0.25*SQRT($B$2)/$D$2,1.4/$D$2)*(D283*1000)*J283</f>
        <v>342.55</v>
      </c>
      <c r="O283" s="13">
        <f>MAX(M283,N283)</f>
        <v>958.8116596</v>
      </c>
      <c r="P283" s="14">
        <f>ROUNDUP(O283/$J$2,0)</f>
        <v>5</v>
      </c>
      <c r="Q283" s="13">
        <f>P283*$J$2</f>
        <v>995</v>
      </c>
      <c r="R283" s="10">
        <f>Q283*$D$2/(0.85*$B$2*(D283*1000))</f>
        <v>58.52941176</v>
      </c>
      <c r="S283" s="10">
        <f>0.9*Q283*$D$2*(J283-R283/2)/1000000</f>
        <v>117.829732</v>
      </c>
      <c r="T283" s="15" t="str">
        <f>IF(AND(S283&gt;=F283,O283&lt;=0.025*(D283*1000)*J283,O283&gt;=N283),"CUMPLE","REVISAR")</f>
        <v>CUMPLE</v>
      </c>
      <c r="U283" s="11">
        <f>G283*1000000/(0.9*(D283*1000)*J283^2)</f>
        <v>2.558871429</v>
      </c>
      <c r="V283" s="12">
        <f>(0.85*$B$2/$D$2)*(1-SQRT(1-2*U283/(0.85*$B$2)))</f>
        <v>0.006460870234</v>
      </c>
      <c r="W283" s="13">
        <f>V283*(D283*1000)*J283</f>
        <v>663.9513296</v>
      </c>
      <c r="X283" s="13">
        <f>MAX(W283,N283)</f>
        <v>663.9513296</v>
      </c>
      <c r="Y283" s="14">
        <f>ROUNDUP(X283/$J$2,0)</f>
        <v>4</v>
      </c>
      <c r="Z283" s="13">
        <f>Y283*$J$2</f>
        <v>796</v>
      </c>
      <c r="AA283" s="10">
        <f>0.9*Z283*$D$2*(J283-(Z283*$D$2/(0.85*$B$2*(D283*1000)))/2)/1000000</f>
        <v>96.02486534</v>
      </c>
      <c r="AB283" s="15" t="str">
        <f>IF(AA283&gt;=G283,"CUMPLE","REVISAR")</f>
        <v>CUMPLE</v>
      </c>
      <c r="AC283" s="10">
        <f>0.17*SQRT($B$2)*(D283*1000)*J283/1000</f>
        <v>92.44281538</v>
      </c>
      <c r="AD283" s="10">
        <f>MAX(H283/0.75-AC283,0)</f>
        <v>5.53051795</v>
      </c>
      <c r="AE283" s="14">
        <f>IF(AD283&gt;0,MIN($N$2*$D$2*J283/(AD283*1000),MIN(J283/4,6*$H$2,150)),MIN(J283/4,6*$H$2,150))</f>
        <v>85.6375</v>
      </c>
      <c r="AF283" s="10">
        <f>0.66*SQRT($B$2)*(D283*1000)*J283/1000</f>
        <v>358.8956362</v>
      </c>
      <c r="AG283" s="15" t="str">
        <f>IF(AD283&lt;=AF283,"CUMPLE","AUMENTAR SECCION")</f>
        <v>CUMPLE</v>
      </c>
      <c r="AH283" s="10">
        <f>0.75*0.083*SQRT($B$2)*(((D283*1000)*(E283*1000))^2/(2*((D283*1000)+(E283*1000))))/1000000</f>
        <v>3.388073536</v>
      </c>
      <c r="AI283" s="15" t="str">
        <f>IF(I283&gt;AH283,"SI","No")</f>
        <v>SI</v>
      </c>
      <c r="AJ283" s="11">
        <f>IF(I283&gt;AH283,I283*1000000/(0.75*2*0.85*((D283*1000-2*$F$2)*(E283*1000-2*$F$2))*$D$2),0)</f>
        <v>0.183982684</v>
      </c>
      <c r="AK283" s="10">
        <f>1.25*Q283*$D$2*(J283-(1.25*Q283*$D$2/(0.85*$B$2*(D283*1000)))/2)/1000000</f>
        <v>159.8306178</v>
      </c>
      <c r="AL283" s="10">
        <f>1.25*Z283*$D$2*(J283-(1.25*Z283*$D$2/(0.85*$B$2*(D283*1000)))/2)/1000000</f>
        <v>130.9219244</v>
      </c>
      <c r="AM283" s="10">
        <f>(AK283+AL283)/B283</f>
        <v>76.21298617</v>
      </c>
      <c r="AN283" s="10">
        <f>MAX(H283,AM283)</f>
        <v>76.21298617</v>
      </c>
    </row>
    <row r="284">
      <c r="A284" s="5" t="inlineStr">
        <is>
          <t>F291</t>
        </is>
      </c>
      <c r="B284" s="6" t="n">
        <v>3.81</v>
      </c>
      <c r="C284" s="7" t="inlineStr">
        <is>
          <t>VC</t>
        </is>
      </c>
      <c r="D284" s="8">
        <f>IF(C284="VR",0.35,0.30)</f>
        <v>0.3</v>
      </c>
      <c r="E284" s="6" t="n">
        <v>0.4</v>
      </c>
      <c r="F284" s="9" t="n">
        <v>113.9</v>
      </c>
      <c r="G284" s="9" t="n">
        <v>81.09999999999999</v>
      </c>
      <c r="H284" s="9" t="n">
        <v>73.40000000000001</v>
      </c>
      <c r="I284" s="6" t="n">
        <v>6.94</v>
      </c>
      <c r="J284" s="10">
        <f>E284*1000-$F$2-$L$2-$H$2/2</f>
        <v>342.55</v>
      </c>
      <c r="K284" s="11">
        <f>F284*1000000/(0.9*(D284*1000)*J284^2)</f>
        <v>3.595424256</v>
      </c>
      <c r="L284" s="12">
        <f>(0.85*$B$2/$D$2)*(1-SQRT(1-2*K284/(0.85*$B$2)))</f>
        <v>0.009328339021</v>
      </c>
      <c r="M284" s="13">
        <f>L284*(D284*1000)*J284</f>
        <v>958.6267595</v>
      </c>
      <c r="N284" s="13">
        <f>MAX(0.25*SQRT($B$2)/$D$2,1.4/$D$2)*(D284*1000)*J284</f>
        <v>342.55</v>
      </c>
      <c r="O284" s="13">
        <f>MAX(M284,N284)</f>
        <v>958.6267595</v>
      </c>
      <c r="P284" s="14">
        <f>ROUNDUP(O284/$J$2,0)</f>
        <v>5</v>
      </c>
      <c r="Q284" s="13">
        <f>P284*$J$2</f>
        <v>995</v>
      </c>
      <c r="R284" s="10">
        <f>Q284*$D$2/(0.85*$B$2*(D284*1000))</f>
        <v>58.52941176</v>
      </c>
      <c r="S284" s="10">
        <f>0.9*Q284*$D$2*(J284-R284/2)/1000000</f>
        <v>117.829732</v>
      </c>
      <c r="T284" s="15" t="str">
        <f>IF(AND(S284&gt;=F284,O284&lt;=0.025*(D284*1000)*J284,O284&gt;=N284),"CUMPLE","REVISAR")</f>
        <v>CUMPLE</v>
      </c>
      <c r="U284" s="11">
        <f>G284*1000000/(0.9*(D284*1000)*J284^2)</f>
        <v>2.558871429</v>
      </c>
      <c r="V284" s="12">
        <f>(0.85*$B$2/$D$2)*(1-SQRT(1-2*U284/(0.85*$B$2)))</f>
        <v>0.006460870234</v>
      </c>
      <c r="W284" s="13">
        <f>V284*(D284*1000)*J284</f>
        <v>663.9513296</v>
      </c>
      <c r="X284" s="13">
        <f>MAX(W284,N284)</f>
        <v>663.9513296</v>
      </c>
      <c r="Y284" s="14">
        <f>ROUNDUP(X284/$J$2,0)</f>
        <v>4</v>
      </c>
      <c r="Z284" s="13">
        <f>Y284*$J$2</f>
        <v>796</v>
      </c>
      <c r="AA284" s="10">
        <f>0.9*Z284*$D$2*(J284-(Z284*$D$2/(0.85*$B$2*(D284*1000)))/2)/1000000</f>
        <v>96.02486534</v>
      </c>
      <c r="AB284" s="15" t="str">
        <f>IF(AA284&gt;=G284,"CUMPLE","REVISAR")</f>
        <v>CUMPLE</v>
      </c>
      <c r="AC284" s="10">
        <f>0.17*SQRT($B$2)*(D284*1000)*J284/1000</f>
        <v>92.44281538</v>
      </c>
      <c r="AD284" s="10">
        <f>MAX(H284/0.75-AC284,0)</f>
        <v>5.463851283</v>
      </c>
      <c r="AE284" s="14">
        <f>IF(AD284&gt;0,MIN($N$2*$D$2*J284/(AD284*1000),MIN(J284/4,6*$H$2,150)),MIN(J284/4,6*$H$2,150))</f>
        <v>85.6375</v>
      </c>
      <c r="AF284" s="10">
        <f>0.66*SQRT($B$2)*(D284*1000)*J284/1000</f>
        <v>358.8956362</v>
      </c>
      <c r="AG284" s="15" t="str">
        <f>IF(AD284&lt;=AF284,"CUMPLE","AUMENTAR SECCION")</f>
        <v>CUMPLE</v>
      </c>
      <c r="AH284" s="10">
        <f>0.75*0.083*SQRT($B$2)*(((D284*1000)*(E284*1000))^2/(2*((D284*1000)+(E284*1000))))/1000000</f>
        <v>3.388073536</v>
      </c>
      <c r="AI284" s="15" t="str">
        <f>IF(I284&gt;AH284,"SI","No")</f>
        <v>SI</v>
      </c>
      <c r="AJ284" s="11">
        <f>IF(I284&gt;AH284,I284*1000000/(0.75*2*0.85*((D284*1000-2*$F$2)*(E284*1000-2*$F$2))*$D$2),0)</f>
        <v>0.1840092097</v>
      </c>
      <c r="AK284" s="10">
        <f>1.25*Q284*$D$2*(J284-(1.25*Q284*$D$2/(0.85*$B$2*(D284*1000)))/2)/1000000</f>
        <v>159.8306178</v>
      </c>
      <c r="AL284" s="10">
        <f>1.25*Z284*$D$2*(J284-(1.25*Z284*$D$2/(0.85*$B$2*(D284*1000)))/2)/1000000</f>
        <v>130.9219244</v>
      </c>
      <c r="AM284" s="10">
        <f>(AK284+AL284)/B284</f>
        <v>76.21298617</v>
      </c>
      <c r="AN284" s="10">
        <f>MAX(H284,AM284)</f>
        <v>76.21298617</v>
      </c>
    </row>
    <row r="285">
      <c r="A285" s="5" t="inlineStr">
        <is>
          <t>F292</t>
        </is>
      </c>
      <c r="B285" s="6" t="n">
        <v>4</v>
      </c>
      <c r="C285" s="7" t="inlineStr">
        <is>
          <t>VC</t>
        </is>
      </c>
      <c r="D285" s="8">
        <f>IF(C285="VR",0.35,0.30)</f>
        <v>0.3</v>
      </c>
      <c r="E285" s="6" t="n">
        <v>0.4</v>
      </c>
      <c r="F285" s="9" t="n">
        <v>104</v>
      </c>
      <c r="G285" s="9" t="n">
        <v>87.09999999999999</v>
      </c>
      <c r="H285" s="9" t="n">
        <v>60</v>
      </c>
      <c r="I285" s="6" t="n">
        <v>0</v>
      </c>
      <c r="J285" s="10">
        <f>E285*1000-$F$2-$L$2-$H$2/2</f>
        <v>342.55</v>
      </c>
      <c r="K285" s="11">
        <f>F285*1000000/(0.9*(D285*1000)*J285^2)</f>
        <v>3.282312074</v>
      </c>
      <c r="L285" s="12">
        <f>(0.85*$B$2/$D$2)*(1-SQRT(1-2*K285/(0.85*$B$2)))</f>
        <v>0.008444183809</v>
      </c>
      <c r="M285" s="13">
        <f>L285*(D285*1000)*J285</f>
        <v>867.7665491</v>
      </c>
      <c r="N285" s="13">
        <f>MAX(0.25*SQRT($B$2)/$D$2,1.4/$D$2)*(D285*1000)*J285</f>
        <v>342.55</v>
      </c>
      <c r="O285" s="13">
        <f>MAX(M285,N285)</f>
        <v>867.7665491</v>
      </c>
      <c r="P285" s="14">
        <f>ROUNDUP(O285/$J$2,0)</f>
        <v>5</v>
      </c>
      <c r="Q285" s="13">
        <f>P285*$J$2</f>
        <v>995</v>
      </c>
      <c r="R285" s="10">
        <f>Q285*$D$2/(0.85*$B$2*(D285*1000))</f>
        <v>58.52941176</v>
      </c>
      <c r="S285" s="10">
        <f>0.9*Q285*$D$2*(J285-R285/2)/1000000</f>
        <v>117.829732</v>
      </c>
      <c r="T285" s="15" t="str">
        <f>IF(AND(S285&gt;=F285,O285&lt;=0.025*(D285*1000)*J285,O285&gt;=N285),"CUMPLE","REVISAR")</f>
        <v>CUMPLE</v>
      </c>
      <c r="U285" s="11">
        <f>G285*1000000/(0.9*(D285*1000)*J285^2)</f>
        <v>2.748885071</v>
      </c>
      <c r="V285" s="12">
        <f>(0.85*$B$2/$D$2)*(1-SQRT(1-2*U285/(0.85*$B$2)))</f>
        <v>0.006974127258</v>
      </c>
      <c r="W285" s="13">
        <f>V285*(D285*1000)*J285</f>
        <v>716.6961877</v>
      </c>
      <c r="X285" s="13">
        <f>MAX(W285,N285)</f>
        <v>716.6961877</v>
      </c>
      <c r="Y285" s="14">
        <f>ROUNDUP(X285/$J$2,0)</f>
        <v>4</v>
      </c>
      <c r="Z285" s="13">
        <f>Y285*$J$2</f>
        <v>796</v>
      </c>
      <c r="AA285" s="10">
        <f>0.9*Z285*$D$2*(J285-(Z285*$D$2/(0.85*$B$2*(D285*1000)))/2)/1000000</f>
        <v>96.02486534</v>
      </c>
      <c r="AB285" s="15" t="str">
        <f>IF(AA285&gt;=G285,"CUMPLE","REVISAR")</f>
        <v>CUMPLE</v>
      </c>
      <c r="AC285" s="10">
        <f>0.17*SQRT($B$2)*(D285*1000)*J285/1000</f>
        <v>92.44281538</v>
      </c>
      <c r="AD285" s="10">
        <f>MAX(H285/0.75-AC285,0)</f>
        <v>0</v>
      </c>
      <c r="AE285" s="14">
        <f>IF(AD285&gt;0,MIN($N$2*$D$2*J285/(AD285*1000),MIN(J285/4,6*$H$2,150)),MIN(J285/4,6*$H$2,150))</f>
        <v>85.6375</v>
      </c>
      <c r="AF285" s="10">
        <f>0.66*SQRT($B$2)*(D285*1000)*J285/1000</f>
        <v>358.8956362</v>
      </c>
      <c r="AG285" s="15" t="str">
        <f>IF(AD285&lt;=AF285,"CUMPLE","AUMENTAR SECCION")</f>
        <v>CUMPLE</v>
      </c>
      <c r="AH285" s="10">
        <f>0.75*0.083*SQRT($B$2)*(((D285*1000)*(E285*1000))^2/(2*((D285*1000)+(E285*1000))))/1000000</f>
        <v>3.388073536</v>
      </c>
      <c r="AI285" s="15" t="str">
        <f>IF(I285&gt;AH285,"SI","No")</f>
        <v>No</v>
      </c>
      <c r="AJ285" s="11">
        <f>IF(I285&gt;AH285,I285*1000000/(0.75*2*0.85*((D285*1000-2*$F$2)*(E285*1000-2*$F$2))*$D$2),0)</f>
        <v>0</v>
      </c>
      <c r="AK285" s="10">
        <f>1.25*Q285*$D$2*(J285-(1.25*Q285*$D$2/(0.85*$B$2*(D285*1000)))/2)/1000000</f>
        <v>159.8306178</v>
      </c>
      <c r="AL285" s="10">
        <f>1.25*Z285*$D$2*(J285-(1.25*Z285*$D$2/(0.85*$B$2*(D285*1000)))/2)/1000000</f>
        <v>130.9219244</v>
      </c>
      <c r="AM285" s="10">
        <f>(AK285+AL285)/B285</f>
        <v>72.68813556</v>
      </c>
      <c r="AN285" s="10">
        <f>MAX(H285,AM285)</f>
        <v>72.68813556</v>
      </c>
    </row>
    <row r="286">
      <c r="A286" s="5" t="inlineStr">
        <is>
          <t>F293</t>
        </is>
      </c>
      <c r="B286" s="6" t="n">
        <v>4</v>
      </c>
      <c r="C286" s="7" t="inlineStr">
        <is>
          <t>VC</t>
        </is>
      </c>
      <c r="D286" s="8">
        <f>IF(C286="VR",0.35,0.30)</f>
        <v>0.3</v>
      </c>
      <c r="E286" s="6" t="n">
        <v>0.4</v>
      </c>
      <c r="F286" s="9" t="n">
        <v>90.7</v>
      </c>
      <c r="G286" s="9" t="n">
        <v>74.40000000000001</v>
      </c>
      <c r="H286" s="9" t="n">
        <v>53.4</v>
      </c>
      <c r="I286" s="6" t="n">
        <v>0</v>
      </c>
      <c r="J286" s="10">
        <f>E286*1000-$F$2-$L$2-$H$2/2</f>
        <v>342.55</v>
      </c>
      <c r="K286" s="11">
        <f>F286*1000000/(0.9*(D286*1000)*J286^2)</f>
        <v>2.861883217</v>
      </c>
      <c r="L286" s="12">
        <f>(0.85*$B$2/$D$2)*(1-SQRT(1-2*K286/(0.85*$B$2)))</f>
        <v>0.007281882475</v>
      </c>
      <c r="M286" s="13">
        <f>L286*(D286*1000)*J286</f>
        <v>748.3226526</v>
      </c>
      <c r="N286" s="13">
        <f>MAX(0.25*SQRT($B$2)/$D$2,1.4/$D$2)*(D286*1000)*J286</f>
        <v>342.55</v>
      </c>
      <c r="O286" s="13">
        <f>MAX(M286,N286)</f>
        <v>748.3226526</v>
      </c>
      <c r="P286" s="14">
        <f>ROUNDUP(O286/$J$2,0)</f>
        <v>4</v>
      </c>
      <c r="Q286" s="13">
        <f>P286*$J$2</f>
        <v>796</v>
      </c>
      <c r="R286" s="10">
        <f>Q286*$D$2/(0.85*$B$2*(D286*1000))</f>
        <v>46.82352941</v>
      </c>
      <c r="S286" s="10">
        <f>0.9*Q286*$D$2*(J286-R286/2)/1000000</f>
        <v>96.02486534</v>
      </c>
      <c r="T286" s="15" t="str">
        <f>IF(AND(S286&gt;=F286,O286&lt;=0.025*(D286*1000)*J286,O286&gt;=N286),"CUMPLE","REVISAR")</f>
        <v>CUMPLE</v>
      </c>
      <c r="U286" s="11">
        <f>G286*1000000/(0.9*(D286*1000)*J286^2)</f>
        <v>2.347078814</v>
      </c>
      <c r="V286" s="12">
        <f>(0.85*$B$2/$D$2)*(1-SQRT(1-2*U286/(0.85*$B$2)))</f>
        <v>0.005894899083</v>
      </c>
      <c r="W286" s="13">
        <f>V286*(D286*1000)*J286</f>
        <v>605.7893042</v>
      </c>
      <c r="X286" s="13">
        <f>MAX(W286,N286)</f>
        <v>605.7893042</v>
      </c>
      <c r="Y286" s="14">
        <f>ROUNDUP(X286/$J$2,0)</f>
        <v>4</v>
      </c>
      <c r="Z286" s="13">
        <f>Y286*$J$2</f>
        <v>796</v>
      </c>
      <c r="AA286" s="10">
        <f>0.9*Z286*$D$2*(J286-(Z286*$D$2/(0.85*$B$2*(D286*1000)))/2)/1000000</f>
        <v>96.02486534</v>
      </c>
      <c r="AB286" s="15" t="str">
        <f>IF(AA286&gt;=G286,"CUMPLE","REVISAR")</f>
        <v>CUMPLE</v>
      </c>
      <c r="AC286" s="10">
        <f>0.17*SQRT($B$2)*(D286*1000)*J286/1000</f>
        <v>92.44281538</v>
      </c>
      <c r="AD286" s="10">
        <f>MAX(H286/0.75-AC286,0)</f>
        <v>0</v>
      </c>
      <c r="AE286" s="14">
        <f>IF(AD286&gt;0,MIN($N$2*$D$2*J286/(AD286*1000),MIN(J286/4,6*$H$2,150)),MIN(J286/4,6*$H$2,150))</f>
        <v>85.6375</v>
      </c>
      <c r="AF286" s="10">
        <f>0.66*SQRT($B$2)*(D286*1000)*J286/1000</f>
        <v>358.8956362</v>
      </c>
      <c r="AG286" s="15" t="str">
        <f>IF(AD286&lt;=AF286,"CUMPLE","AUMENTAR SECCION")</f>
        <v>CUMPLE</v>
      </c>
      <c r="AH286" s="10">
        <f>0.75*0.083*SQRT($B$2)*(((D286*1000)*(E286*1000))^2/(2*((D286*1000)+(E286*1000))))/1000000</f>
        <v>3.388073536</v>
      </c>
      <c r="AI286" s="15" t="str">
        <f>IF(I286&gt;AH286,"SI","No")</f>
        <v>No</v>
      </c>
      <c r="AJ286" s="11">
        <f>IF(I286&gt;AH286,I286*1000000/(0.75*2*0.85*((D286*1000-2*$F$2)*(E286*1000-2*$F$2))*$D$2),0)</f>
        <v>0</v>
      </c>
      <c r="AK286" s="10">
        <f>1.25*Q286*$D$2*(J286-(1.25*Q286*$D$2/(0.85*$B$2*(D286*1000)))/2)/1000000</f>
        <v>130.9219244</v>
      </c>
      <c r="AL286" s="10">
        <f>1.25*Z286*$D$2*(J286-(1.25*Z286*$D$2/(0.85*$B$2*(D286*1000)))/2)/1000000</f>
        <v>130.9219244</v>
      </c>
      <c r="AM286" s="10">
        <f>(AK286+AL286)/B286</f>
        <v>65.46096221</v>
      </c>
      <c r="AN286" s="10">
        <f>MAX(H286,AM286)</f>
        <v>65.46096221</v>
      </c>
    </row>
    <row r="287">
      <c r="A287" s="5" t="inlineStr">
        <is>
          <t>F294</t>
        </is>
      </c>
      <c r="B287" s="6" t="n">
        <v>4</v>
      </c>
      <c r="C287" s="7" t="inlineStr">
        <is>
          <t>VC</t>
        </is>
      </c>
      <c r="D287" s="8">
        <f>IF(C287="VR",0.35,0.30)</f>
        <v>0.3</v>
      </c>
      <c r="E287" s="6" t="n">
        <v>0.4</v>
      </c>
      <c r="F287" s="9" t="n">
        <v>90.7</v>
      </c>
      <c r="G287" s="9" t="n">
        <v>74.40000000000001</v>
      </c>
      <c r="H287" s="9" t="n">
        <v>53.4</v>
      </c>
      <c r="I287" s="6" t="n">
        <v>0</v>
      </c>
      <c r="J287" s="10">
        <f>E287*1000-$F$2-$L$2-$H$2/2</f>
        <v>342.55</v>
      </c>
      <c r="K287" s="11">
        <f>F287*1000000/(0.9*(D287*1000)*J287^2)</f>
        <v>2.862198855</v>
      </c>
      <c r="L287" s="12">
        <f>(0.85*$B$2/$D$2)*(1-SQRT(1-2*K287/(0.85*$B$2)))</f>
        <v>0.007282744813</v>
      </c>
      <c r="M287" s="13">
        <f>L287*(D287*1000)*J287</f>
        <v>748.4112707</v>
      </c>
      <c r="N287" s="13">
        <f>MAX(0.25*SQRT($B$2)/$D$2,1.4/$D$2)*(D287*1000)*J287</f>
        <v>342.55</v>
      </c>
      <c r="O287" s="13">
        <f>MAX(M287,N287)</f>
        <v>748.4112707</v>
      </c>
      <c r="P287" s="14">
        <f>ROUNDUP(O287/$J$2,0)</f>
        <v>4</v>
      </c>
      <c r="Q287" s="13">
        <f>P287*$J$2</f>
        <v>796</v>
      </c>
      <c r="R287" s="10">
        <f>Q287*$D$2/(0.85*$B$2*(D287*1000))</f>
        <v>46.82352941</v>
      </c>
      <c r="S287" s="10">
        <f>0.9*Q287*$D$2*(J287-R287/2)/1000000</f>
        <v>96.02486534</v>
      </c>
      <c r="T287" s="15" t="str">
        <f>IF(AND(S287&gt;=F287,O287&lt;=0.025*(D287*1000)*J287,O287&gt;=N287),"CUMPLE","REVISAR")</f>
        <v>CUMPLE</v>
      </c>
      <c r="U287" s="11">
        <f>G287*1000000/(0.9*(D287*1000)*J287^2)</f>
        <v>2.347078814</v>
      </c>
      <c r="V287" s="12">
        <f>(0.85*$B$2/$D$2)*(1-SQRT(1-2*U287/(0.85*$B$2)))</f>
        <v>0.005894899083</v>
      </c>
      <c r="W287" s="13">
        <f>V287*(D287*1000)*J287</f>
        <v>605.7893042</v>
      </c>
      <c r="X287" s="13">
        <f>MAX(W287,N287)</f>
        <v>605.7893042</v>
      </c>
      <c r="Y287" s="14">
        <f>ROUNDUP(X287/$J$2,0)</f>
        <v>4</v>
      </c>
      <c r="Z287" s="13">
        <f>Y287*$J$2</f>
        <v>796</v>
      </c>
      <c r="AA287" s="10">
        <f>0.9*Z287*$D$2*(J287-(Z287*$D$2/(0.85*$B$2*(D287*1000)))/2)/1000000</f>
        <v>96.02486534</v>
      </c>
      <c r="AB287" s="15" t="str">
        <f>IF(AA287&gt;=G287,"CUMPLE","REVISAR")</f>
        <v>CUMPLE</v>
      </c>
      <c r="AC287" s="10">
        <f>0.17*SQRT($B$2)*(D287*1000)*J287/1000</f>
        <v>92.44281538</v>
      </c>
      <c r="AD287" s="10">
        <f>MAX(H287/0.75-AC287,0)</f>
        <v>0</v>
      </c>
      <c r="AE287" s="14">
        <f>IF(AD287&gt;0,MIN($N$2*$D$2*J287/(AD287*1000),MIN(J287/4,6*$H$2,150)),MIN(J287/4,6*$H$2,150))</f>
        <v>85.6375</v>
      </c>
      <c r="AF287" s="10">
        <f>0.66*SQRT($B$2)*(D287*1000)*J287/1000</f>
        <v>358.8956362</v>
      </c>
      <c r="AG287" s="15" t="str">
        <f>IF(AD287&lt;=AF287,"CUMPLE","AUMENTAR SECCION")</f>
        <v>CUMPLE</v>
      </c>
      <c r="AH287" s="10">
        <f>0.75*0.083*SQRT($B$2)*(((D287*1000)*(E287*1000))^2/(2*((D287*1000)+(E287*1000))))/1000000</f>
        <v>3.388073536</v>
      </c>
      <c r="AI287" s="15" t="str">
        <f>IF(I287&gt;AH287,"SI","No")</f>
        <v>No</v>
      </c>
      <c r="AJ287" s="11">
        <f>IF(I287&gt;AH287,I287*1000000/(0.75*2*0.85*((D287*1000-2*$F$2)*(E287*1000-2*$F$2))*$D$2),0)</f>
        <v>0</v>
      </c>
      <c r="AK287" s="10">
        <f>1.25*Q287*$D$2*(J287-(1.25*Q287*$D$2/(0.85*$B$2*(D287*1000)))/2)/1000000</f>
        <v>130.9219244</v>
      </c>
      <c r="AL287" s="10">
        <f>1.25*Z287*$D$2*(J287-(1.25*Z287*$D$2/(0.85*$B$2*(D287*1000)))/2)/1000000</f>
        <v>130.9219244</v>
      </c>
      <c r="AM287" s="10">
        <f>(AK287+AL287)/B287</f>
        <v>65.46096221</v>
      </c>
      <c r="AN287" s="10">
        <f>MAX(H287,AM287)</f>
        <v>65.46096221</v>
      </c>
    </row>
    <row r="288">
      <c r="A288" s="5" t="inlineStr">
        <is>
          <t>F759</t>
        </is>
      </c>
      <c r="B288" s="6" t="n">
        <v>2.6</v>
      </c>
      <c r="C288" s="7" t="inlineStr">
        <is>
          <t>VC</t>
        </is>
      </c>
      <c r="D288" s="8">
        <f>IF(C288="VR",0.35,0.30)</f>
        <v>0.3</v>
      </c>
      <c r="E288" s="6" t="n">
        <v>0.4</v>
      </c>
      <c r="F288" s="9" t="n">
        <v>28.4</v>
      </c>
      <c r="G288" s="9" t="n">
        <v>11</v>
      </c>
      <c r="H288" s="9" t="n">
        <v>55.6</v>
      </c>
      <c r="I288" s="6" t="n">
        <v>4.57</v>
      </c>
      <c r="J288" s="10">
        <f>E288*1000-$F$2-$L$2-$H$2/2</f>
        <v>342.55</v>
      </c>
      <c r="K288" s="11">
        <f>F288*1000000/(0.9*(D288*1000)*J288^2)</f>
        <v>0.8954629632</v>
      </c>
      <c r="L288" s="12">
        <f>(0.85*$B$2/$D$2)*(1-SQRT(1-2*K288/(0.85*$B$2)))</f>
        <v>0.00217374742</v>
      </c>
      <c r="M288" s="13">
        <f>L288*(D288*1000)*J288</f>
        <v>223.3851536</v>
      </c>
      <c r="N288" s="13">
        <f>MAX(0.25*SQRT($B$2)/$D$2,1.4/$D$2)*(D288*1000)*J288</f>
        <v>342.55</v>
      </c>
      <c r="O288" s="13">
        <f>MAX(M288,N288)</f>
        <v>342.55</v>
      </c>
      <c r="P288" s="14">
        <f>ROUNDUP(O288/$J$2,0)</f>
        <v>2</v>
      </c>
      <c r="Q288" s="13">
        <f>P288*$J$2</f>
        <v>398</v>
      </c>
      <c r="R288" s="10">
        <f>Q288*$D$2/(0.85*$B$2*(D288*1000))</f>
        <v>23.41176471</v>
      </c>
      <c r="S288" s="10">
        <f>0.9*Q288*$D$2*(J288-R288/2)/1000000</f>
        <v>49.77351244</v>
      </c>
      <c r="T288" s="15" t="str">
        <f>IF(AND(S288&gt;=F288,O288&lt;=0.025*(D288*1000)*J288,O288&gt;=N288),"CUMPLE","REVISAR")</f>
        <v>CUMPLE</v>
      </c>
      <c r="U288" s="11">
        <f>G288*1000000/(0.9*(D288*1000)*J288^2)</f>
        <v>0.3484635571</v>
      </c>
      <c r="V288" s="12">
        <f>(0.85*$B$2/$D$2)*(1-SQRT(1-2*U288/(0.85*$B$2)))</f>
        <v>0.0008358394976</v>
      </c>
      <c r="W288" s="13">
        <f>V288*(D288*1000)*J288</f>
        <v>85.89504597</v>
      </c>
      <c r="X288" s="13">
        <f>MAX(W288,N288)</f>
        <v>342.55</v>
      </c>
      <c r="Y288" s="14">
        <f>ROUNDUP(X288/$J$2,0)</f>
        <v>2</v>
      </c>
      <c r="Z288" s="13">
        <f>Y288*$J$2</f>
        <v>398</v>
      </c>
      <c r="AA288" s="10">
        <f>0.9*Z288*$D$2*(J288-(Z288*$D$2/(0.85*$B$2*(D288*1000)))/2)/1000000</f>
        <v>49.77351244</v>
      </c>
      <c r="AB288" s="15" t="str">
        <f>IF(AA288&gt;=G288,"CUMPLE","REVISAR")</f>
        <v>CUMPLE</v>
      </c>
      <c r="AC288" s="10">
        <f>0.17*SQRT($B$2)*(D288*1000)*J288/1000</f>
        <v>92.44281538</v>
      </c>
      <c r="AD288" s="10">
        <f>MAX(H288/0.75-AC288,0)</f>
        <v>0</v>
      </c>
      <c r="AE288" s="14">
        <f>IF(AD288&gt;0,MIN($N$2*$D$2*J288/(AD288*1000),MIN(J288/4,6*$H$2,150)),MIN(J288/4,6*$H$2,150))</f>
        <v>85.6375</v>
      </c>
      <c r="AF288" s="10">
        <f>0.66*SQRT($B$2)*(D288*1000)*J288/1000</f>
        <v>358.8956362</v>
      </c>
      <c r="AG288" s="15" t="str">
        <f>IF(AD288&lt;=AF288,"CUMPLE","AUMENTAR SECCION")</f>
        <v>CUMPLE</v>
      </c>
      <c r="AH288" s="10">
        <f>0.75*0.083*SQRT($B$2)*(((D288*1000)*(E288*1000))^2/(2*((D288*1000)+(E288*1000))))/1000000</f>
        <v>3.388073536</v>
      </c>
      <c r="AI288" s="15" t="str">
        <f>IF(I288&gt;AH288,"SI","No")</f>
        <v>SI</v>
      </c>
      <c r="AJ288" s="11">
        <f>IF(I288&gt;AH288,I288*1000000/(0.75*2*0.85*((D288*1000-2*$F$2)*(E288*1000-2*$F$2))*$D$2),0)</f>
        <v>0.1212227315</v>
      </c>
      <c r="AK288" s="10">
        <f>1.25*Q288*$D$2*(J288-(1.25*Q288*$D$2/(0.85*$B$2*(D288*1000)))/2)/1000000</f>
        <v>68.51839235</v>
      </c>
      <c r="AL288" s="10">
        <f>1.25*Z288*$D$2*(J288-(1.25*Z288*$D$2/(0.85*$B$2*(D288*1000)))/2)/1000000</f>
        <v>68.51839235</v>
      </c>
      <c r="AM288" s="10">
        <f>(AK288+AL288)/B288</f>
        <v>52.70645566</v>
      </c>
      <c r="AN288" s="10">
        <f>MAX(H288,AM288)</f>
        <v>55.61</v>
      </c>
    </row>
    <row r="289">
      <c r="A289" s="5" t="inlineStr">
        <is>
          <t>F760</t>
        </is>
      </c>
      <c r="B289" s="6" t="n">
        <v>3.65</v>
      </c>
      <c r="C289" s="7" t="inlineStr">
        <is>
          <t>VR</t>
        </is>
      </c>
      <c r="D289" s="8">
        <f>IF(C289="VR",0.35,0.30)</f>
        <v>0.35</v>
      </c>
      <c r="E289" s="6" t="n">
        <v>0.4</v>
      </c>
      <c r="F289" s="9" t="n">
        <v>45.5</v>
      </c>
      <c r="G289" s="9" t="n">
        <v>21.8</v>
      </c>
      <c r="H289" s="9" t="n">
        <v>72.59999999999999</v>
      </c>
      <c r="I289" s="6" t="n">
        <v>0.14</v>
      </c>
      <c r="J289" s="10">
        <f>E289*1000-$F$2-$L$2-$H$2/2</f>
        <v>342.55</v>
      </c>
      <c r="K289" s="11">
        <f>F289*1000000/(0.9*(D289*1000)*J289^2)</f>
        <v>1.230173753</v>
      </c>
      <c r="L289" s="12">
        <f>(0.85*$B$2/$D$2)*(1-SQRT(1-2*K289/(0.85*$B$2)))</f>
        <v>0.003008867015</v>
      </c>
      <c r="M289" s="13">
        <f>L289*(D289*1000)*J289</f>
        <v>360.7405886</v>
      </c>
      <c r="N289" s="13">
        <f>MAX(0.25*SQRT($B$2)/$D$2,1.4/$D$2)*(D289*1000)*J289</f>
        <v>399.6416667</v>
      </c>
      <c r="O289" s="13">
        <f>MAX(M289,N289)</f>
        <v>399.6416667</v>
      </c>
      <c r="P289" s="14">
        <f>ROUNDUP(O289/$J$2,0)</f>
        <v>3</v>
      </c>
      <c r="Q289" s="13">
        <f>P289*$J$2</f>
        <v>597</v>
      </c>
      <c r="R289" s="10">
        <f>Q289*$D$2/(0.85*$B$2*(D289*1000))</f>
        <v>30.10084034</v>
      </c>
      <c r="S289" s="10">
        <f>0.9*Q289*$D$2*(J289-R289/2)/1000000</f>
        <v>73.90552018</v>
      </c>
      <c r="T289" s="15" t="str">
        <f>IF(AND(S289&gt;=F289,O289&lt;=0.025*(D289*1000)*J289,O289&gt;=N289),"CUMPLE","REVISAR")</f>
        <v>CUMPLE</v>
      </c>
      <c r="U289" s="11">
        <f>G289*1000000/(0.9*(D289*1000)*J289^2)</f>
        <v>0.5884380719</v>
      </c>
      <c r="V289" s="12">
        <f>(0.85*$B$2/$D$2)*(1-SQRT(1-2*U289/(0.85*$B$2)))</f>
        <v>0.001418804857</v>
      </c>
      <c r="W289" s="13">
        <f>V289*(D289*1000)*J289</f>
        <v>170.1040613</v>
      </c>
      <c r="X289" s="13">
        <f>MAX(W289,N289)</f>
        <v>399.6416667</v>
      </c>
      <c r="Y289" s="14">
        <f>ROUNDUP(X289/$J$2,0)</f>
        <v>3</v>
      </c>
      <c r="Z289" s="13">
        <f>Y289*$J$2</f>
        <v>597</v>
      </c>
      <c r="AA289" s="10">
        <f>0.9*Z289*$D$2*(J289-(Z289*$D$2/(0.85*$B$2*(D289*1000)))/2)/1000000</f>
        <v>73.90552018</v>
      </c>
      <c r="AB289" s="15" t="str">
        <f>IF(AA289&gt;=G289,"CUMPLE","REVISAR")</f>
        <v>CUMPLE</v>
      </c>
      <c r="AC289" s="10">
        <f>0.17*SQRT($B$2)*(D289*1000)*J289/1000</f>
        <v>107.8499513</v>
      </c>
      <c r="AD289" s="10">
        <f>MAX(H289/0.75-AC289,0)</f>
        <v>0</v>
      </c>
      <c r="AE289" s="14">
        <f>IF(AD289&gt;0,MIN($N$2*$D$2*J289/(AD289*1000),MIN(J289/4,6*$H$2,150)),MIN(J289/4,6*$H$2,150))</f>
        <v>85.6375</v>
      </c>
      <c r="AF289" s="10">
        <f>0.66*SQRT($B$2)*(D289*1000)*J289/1000</f>
        <v>418.7115756</v>
      </c>
      <c r="AG289" s="15" t="str">
        <f>IF(AD289&lt;=AF289,"CUMPLE","AUMENTAR SECCION")</f>
        <v>CUMPLE</v>
      </c>
      <c r="AH289" s="10">
        <f>0.75*0.083*SQRT($B$2)*(((D289*1000)*(E289*1000))^2/(2*((D289*1000)+(E289*1000))))/1000000</f>
        <v>4.304108233</v>
      </c>
      <c r="AI289" s="15" t="str">
        <f>IF(I289&gt;AH289,"SI","No")</f>
        <v>No</v>
      </c>
      <c r="AJ289" s="11">
        <f>IF(I289&gt;AH289,I289*1000000/(0.75*2*0.85*((D289*1000-2*$F$2)*(E289*1000-2*$F$2))*$D$2),0)</f>
        <v>0</v>
      </c>
      <c r="AK289" s="10">
        <f>1.25*Q289*$D$2*(J289-(1.25*Q289*$D$2/(0.85*$B$2*(D289*1000)))/2)/1000000</f>
        <v>101.4672613</v>
      </c>
      <c r="AL289" s="10">
        <f>1.25*Z289*$D$2*(J289-(1.25*Z289*$D$2/(0.85*$B$2*(D289*1000)))/2)/1000000</f>
        <v>101.4672613</v>
      </c>
      <c r="AM289" s="10">
        <f>(AK289+AL289)/B289</f>
        <v>55.59849936</v>
      </c>
      <c r="AN289" s="10">
        <f>MAX(H289,AM289)</f>
        <v>72.6</v>
      </c>
    </row>
    <row r="290">
      <c r="A290" s="5" t="inlineStr">
        <is>
          <t>F761</t>
        </is>
      </c>
      <c r="B290" s="6" t="n">
        <v>2.6</v>
      </c>
      <c r="C290" s="7" t="inlineStr">
        <is>
          <t>VC</t>
        </is>
      </c>
      <c r="D290" s="8">
        <f>IF(C290="VR",0.35,0.30)</f>
        <v>0.3</v>
      </c>
      <c r="E290" s="6" t="n">
        <v>0.4</v>
      </c>
      <c r="F290" s="9" t="n">
        <v>27</v>
      </c>
      <c r="G290" s="9" t="n">
        <v>11</v>
      </c>
      <c r="H290" s="9" t="n">
        <v>54.7</v>
      </c>
      <c r="I290" s="6" t="n">
        <v>0.08</v>
      </c>
      <c r="J290" s="10">
        <f>E290*1000-$F$2-$L$2-$H$2/2</f>
        <v>342.55</v>
      </c>
      <c r="K290" s="11">
        <f>F290*1000000/(0.9*(D290*1000)*J290^2)</f>
        <v>0.851273744</v>
      </c>
      <c r="L290" s="12">
        <f>(0.85*$B$2/$D$2)*(1-SQRT(1-2*K290/(0.85*$B$2)))</f>
        <v>0.002064447636</v>
      </c>
      <c r="M290" s="13">
        <f>L290*(D290*1000)*J290</f>
        <v>212.1529613</v>
      </c>
      <c r="N290" s="13">
        <f>MAX(0.25*SQRT($B$2)/$D$2,1.4/$D$2)*(D290*1000)*J290</f>
        <v>342.55</v>
      </c>
      <c r="O290" s="13">
        <f>MAX(M290,N290)</f>
        <v>342.55</v>
      </c>
      <c r="P290" s="14">
        <f>ROUNDUP(O290/$J$2,0)</f>
        <v>2</v>
      </c>
      <c r="Q290" s="13">
        <f>P290*$J$2</f>
        <v>398</v>
      </c>
      <c r="R290" s="10">
        <f>Q290*$D$2/(0.85*$B$2*(D290*1000))</f>
        <v>23.41176471</v>
      </c>
      <c r="S290" s="10">
        <f>0.9*Q290*$D$2*(J290-R290/2)/1000000</f>
        <v>49.77351244</v>
      </c>
      <c r="T290" s="15" t="str">
        <f>IF(AND(S290&gt;=F290,O290&lt;=0.025*(D290*1000)*J290,O290&gt;=N290),"CUMPLE","REVISAR")</f>
        <v>CUMPLE</v>
      </c>
      <c r="U290" s="11">
        <f>G290*1000000/(0.9*(D290*1000)*J290^2)</f>
        <v>0.3484635571</v>
      </c>
      <c r="V290" s="12">
        <f>(0.85*$B$2/$D$2)*(1-SQRT(1-2*U290/(0.85*$B$2)))</f>
        <v>0.0008358394976</v>
      </c>
      <c r="W290" s="13">
        <f>V290*(D290*1000)*J290</f>
        <v>85.89504597</v>
      </c>
      <c r="X290" s="13">
        <f>MAX(W290,N290)</f>
        <v>342.55</v>
      </c>
      <c r="Y290" s="14">
        <f>ROUNDUP(X290/$J$2,0)</f>
        <v>2</v>
      </c>
      <c r="Z290" s="13">
        <f>Y290*$J$2</f>
        <v>398</v>
      </c>
      <c r="AA290" s="10">
        <f>0.9*Z290*$D$2*(J290-(Z290*$D$2/(0.85*$B$2*(D290*1000)))/2)/1000000</f>
        <v>49.77351244</v>
      </c>
      <c r="AB290" s="15" t="str">
        <f>IF(AA290&gt;=G290,"CUMPLE","REVISAR")</f>
        <v>CUMPLE</v>
      </c>
      <c r="AC290" s="10">
        <f>0.17*SQRT($B$2)*(D290*1000)*J290/1000</f>
        <v>92.44281538</v>
      </c>
      <c r="AD290" s="10">
        <f>MAX(H290/0.75-AC290,0)</f>
        <v>0</v>
      </c>
      <c r="AE290" s="14">
        <f>IF(AD290&gt;0,MIN($N$2*$D$2*J290/(AD290*1000),MIN(J290/4,6*$H$2,150)),MIN(J290/4,6*$H$2,150))</f>
        <v>85.6375</v>
      </c>
      <c r="AF290" s="10">
        <f>0.66*SQRT($B$2)*(D290*1000)*J290/1000</f>
        <v>358.8956362</v>
      </c>
      <c r="AG290" s="15" t="str">
        <f>IF(AD290&lt;=AF290,"CUMPLE","AUMENTAR SECCION")</f>
        <v>CUMPLE</v>
      </c>
      <c r="AH290" s="10">
        <f>0.75*0.083*SQRT($B$2)*(((D290*1000)*(E290*1000))^2/(2*((D290*1000)+(E290*1000))))/1000000</f>
        <v>3.388073536</v>
      </c>
      <c r="AI290" s="15" t="str">
        <f>IF(I290&gt;AH290,"SI","No")</f>
        <v>No</v>
      </c>
      <c r="AJ290" s="11">
        <f>IF(I290&gt;AH290,I290*1000000/(0.75*2*0.85*((D290*1000-2*$F$2)*(E290*1000-2*$F$2))*$D$2),0)</f>
        <v>0</v>
      </c>
      <c r="AK290" s="10">
        <f>1.25*Q290*$D$2*(J290-(1.25*Q290*$D$2/(0.85*$B$2*(D290*1000)))/2)/1000000</f>
        <v>68.51839235</v>
      </c>
      <c r="AL290" s="10">
        <f>1.25*Z290*$D$2*(J290-(1.25*Z290*$D$2/(0.85*$B$2*(D290*1000)))/2)/1000000</f>
        <v>68.51839235</v>
      </c>
      <c r="AM290" s="10">
        <f>(AK290+AL290)/B290</f>
        <v>52.70645566</v>
      </c>
      <c r="AN290" s="10">
        <f>MAX(H290,AM290)</f>
        <v>54.71</v>
      </c>
    </row>
    <row r="291">
      <c r="A291" s="5" t="inlineStr">
        <is>
          <t>F762</t>
        </is>
      </c>
      <c r="B291" s="6" t="n">
        <v>2.5</v>
      </c>
      <c r="C291" s="7" t="inlineStr">
        <is>
          <t>VC</t>
        </is>
      </c>
      <c r="D291" s="8">
        <f>IF(C291="VR",0.35,0.30)</f>
        <v>0.3</v>
      </c>
      <c r="E291" s="6" t="n">
        <v>0.4</v>
      </c>
      <c r="F291" s="9" t="n">
        <v>29.1</v>
      </c>
      <c r="G291" s="9" t="n">
        <v>10.7</v>
      </c>
      <c r="H291" s="9" t="n">
        <v>55.9</v>
      </c>
      <c r="I291" s="6" t="n">
        <v>0.29</v>
      </c>
      <c r="J291" s="10">
        <f>E291*1000-$F$2-$L$2-$H$2/2</f>
        <v>342.55</v>
      </c>
      <c r="K291" s="11">
        <f>F291*1000000/(0.9*(D291*1000)*J291^2)</f>
        <v>0.9185044847</v>
      </c>
      <c r="L291" s="12">
        <f>(0.85*$B$2/$D$2)*(1-SQRT(1-2*K291/(0.85*$B$2)))</f>
        <v>0.0022308265</v>
      </c>
      <c r="M291" s="13">
        <f>L291*(D291*1000)*J291</f>
        <v>229.2508853</v>
      </c>
      <c r="N291" s="13">
        <f>MAX(0.25*SQRT($B$2)/$D$2,1.4/$D$2)*(D291*1000)*J291</f>
        <v>342.55</v>
      </c>
      <c r="O291" s="13">
        <f>MAX(M291,N291)</f>
        <v>342.55</v>
      </c>
      <c r="P291" s="14">
        <f>ROUNDUP(O291/$J$2,0)</f>
        <v>2</v>
      </c>
      <c r="Q291" s="13">
        <f>P291*$J$2</f>
        <v>398</v>
      </c>
      <c r="R291" s="10">
        <f>Q291*$D$2/(0.85*$B$2*(D291*1000))</f>
        <v>23.41176471</v>
      </c>
      <c r="S291" s="10">
        <f>0.9*Q291*$D$2*(J291-R291/2)/1000000</f>
        <v>49.77351244</v>
      </c>
      <c r="T291" s="15" t="str">
        <f>IF(AND(S291&gt;=F291,O291&lt;=0.025*(D291*1000)*J291,O291&gt;=N291),"CUMPLE","REVISAR")</f>
        <v>CUMPLE</v>
      </c>
      <c r="U291" s="11">
        <f>G291*1000000/(0.9*(D291*1000)*J291^2)</f>
        <v>0.3383631641</v>
      </c>
      <c r="V291" s="12">
        <f>(0.85*$B$2/$D$2)*(1-SQRT(1-2*U291/(0.85*$B$2)))</f>
        <v>0.0008114362469</v>
      </c>
      <c r="W291" s="13">
        <f>V291*(D291*1000)*J291</f>
        <v>83.38724592</v>
      </c>
      <c r="X291" s="13">
        <f>MAX(W291,N291)</f>
        <v>342.55</v>
      </c>
      <c r="Y291" s="14">
        <f>ROUNDUP(X291/$J$2,0)</f>
        <v>2</v>
      </c>
      <c r="Z291" s="13">
        <f>Y291*$J$2</f>
        <v>398</v>
      </c>
      <c r="AA291" s="10">
        <f>0.9*Z291*$D$2*(J291-(Z291*$D$2/(0.85*$B$2*(D291*1000)))/2)/1000000</f>
        <v>49.77351244</v>
      </c>
      <c r="AB291" s="15" t="str">
        <f>IF(AA291&gt;=G291,"CUMPLE","REVISAR")</f>
        <v>CUMPLE</v>
      </c>
      <c r="AC291" s="10">
        <f>0.17*SQRT($B$2)*(D291*1000)*J291/1000</f>
        <v>92.44281538</v>
      </c>
      <c r="AD291" s="10">
        <f>MAX(H291/0.75-AC291,0)</f>
        <v>0</v>
      </c>
      <c r="AE291" s="14">
        <f>IF(AD291&gt;0,MIN($N$2*$D$2*J291/(AD291*1000),MIN(J291/4,6*$H$2,150)),MIN(J291/4,6*$H$2,150))</f>
        <v>85.6375</v>
      </c>
      <c r="AF291" s="10">
        <f>0.66*SQRT($B$2)*(D291*1000)*J291/1000</f>
        <v>358.8956362</v>
      </c>
      <c r="AG291" s="15" t="str">
        <f>IF(AD291&lt;=AF291,"CUMPLE","AUMENTAR SECCION")</f>
        <v>CUMPLE</v>
      </c>
      <c r="AH291" s="10">
        <f>0.75*0.083*SQRT($B$2)*(((D291*1000)*(E291*1000))^2/(2*((D291*1000)+(E291*1000))))/1000000</f>
        <v>3.388073536</v>
      </c>
      <c r="AI291" s="15" t="str">
        <f>IF(I291&gt;AH291,"SI","No")</f>
        <v>No</v>
      </c>
      <c r="AJ291" s="11">
        <f>IF(I291&gt;AH291,I291*1000000/(0.75*2*0.85*((D291*1000-2*$F$2)*(E291*1000-2*$F$2))*$D$2),0)</f>
        <v>0</v>
      </c>
      <c r="AK291" s="10">
        <f>1.25*Q291*$D$2*(J291-(1.25*Q291*$D$2/(0.85*$B$2*(D291*1000)))/2)/1000000</f>
        <v>68.51839235</v>
      </c>
      <c r="AL291" s="10">
        <f>1.25*Z291*$D$2*(J291-(1.25*Z291*$D$2/(0.85*$B$2*(D291*1000)))/2)/1000000</f>
        <v>68.51839235</v>
      </c>
      <c r="AM291" s="10">
        <f>(AK291+AL291)/B291</f>
        <v>54.81471388</v>
      </c>
      <c r="AN291" s="10">
        <f>MAX(H291,AM291)</f>
        <v>55.94</v>
      </c>
    </row>
    <row r="292">
      <c r="A292" s="5" t="inlineStr">
        <is>
          <t>F763</t>
        </is>
      </c>
      <c r="B292" s="6" t="n">
        <v>4</v>
      </c>
      <c r="C292" s="7" t="inlineStr">
        <is>
          <t>VC</t>
        </is>
      </c>
      <c r="D292" s="8">
        <f>IF(C292="VR",0.35,0.30)</f>
        <v>0.3</v>
      </c>
      <c r="E292" s="6" t="n">
        <v>0.4</v>
      </c>
      <c r="F292" s="9" t="n">
        <v>60.3</v>
      </c>
      <c r="G292" s="9" t="n">
        <v>26.1</v>
      </c>
      <c r="H292" s="9" t="n">
        <v>82.40000000000001</v>
      </c>
      <c r="I292" s="6" t="n">
        <v>3.41</v>
      </c>
      <c r="J292" s="10">
        <f>E292*1000-$F$2-$L$2-$H$2/2</f>
        <v>342.55</v>
      </c>
      <c r="K292" s="11">
        <f>F292*1000000/(0.9*(D292*1000)*J292^2)</f>
        <v>1.902977161</v>
      </c>
      <c r="L292" s="12">
        <f>(0.85*$B$2/$D$2)*(1-SQRT(1-2*K292/(0.85*$B$2)))</f>
        <v>0.004728151694</v>
      </c>
      <c r="M292" s="13">
        <f>L292*(D292*1000)*J292</f>
        <v>485.8885088</v>
      </c>
      <c r="N292" s="13">
        <f>MAX(0.25*SQRT($B$2)/$D$2,1.4/$D$2)*(D292*1000)*J292</f>
        <v>342.55</v>
      </c>
      <c r="O292" s="13">
        <f>MAX(M292,N292)</f>
        <v>485.8885088</v>
      </c>
      <c r="P292" s="14">
        <f>ROUNDUP(O292/$J$2,0)</f>
        <v>3</v>
      </c>
      <c r="Q292" s="13">
        <f>P292*$J$2</f>
        <v>597</v>
      </c>
      <c r="R292" s="10">
        <f>Q292*$D$2/(0.85*$B$2*(D292*1000))</f>
        <v>35.11764706</v>
      </c>
      <c r="S292" s="10">
        <f>0.9*Q292*$D$2*(J292-R292/2)/1000000</f>
        <v>73.33945883</v>
      </c>
      <c r="T292" s="15" t="str">
        <f>IF(AND(S292&gt;=F292,O292&lt;=0.025*(D292*1000)*J292,O292&gt;=N292),"CUMPLE","REVISAR")</f>
        <v>CUMPLE</v>
      </c>
      <c r="U292" s="11">
        <f>G292*1000000/(0.9*(D292*1000)*J292^2)</f>
        <v>0.8247602125</v>
      </c>
      <c r="V292" s="12">
        <f>(0.85*$B$2/$D$2)*(1-SQRT(1-2*U292/(0.85*$B$2)))</f>
        <v>0.00199897266</v>
      </c>
      <c r="W292" s="13">
        <f>V292*(D292*1000)*J292</f>
        <v>205.4244254</v>
      </c>
      <c r="X292" s="13">
        <f>MAX(W292,N292)</f>
        <v>342.55</v>
      </c>
      <c r="Y292" s="14">
        <f>ROUNDUP(X292/$J$2,0)</f>
        <v>2</v>
      </c>
      <c r="Z292" s="13">
        <f>Y292*$J$2</f>
        <v>398</v>
      </c>
      <c r="AA292" s="10">
        <f>0.9*Z292*$D$2*(J292-(Z292*$D$2/(0.85*$B$2*(D292*1000)))/2)/1000000</f>
        <v>49.77351244</v>
      </c>
      <c r="AB292" s="15" t="str">
        <f>IF(AA292&gt;=G292,"CUMPLE","REVISAR")</f>
        <v>CUMPLE</v>
      </c>
      <c r="AC292" s="10">
        <f>0.17*SQRT($B$2)*(D292*1000)*J292/1000</f>
        <v>92.44281538</v>
      </c>
      <c r="AD292" s="10">
        <f>MAX(H292/0.75-AC292,0)</f>
        <v>17.42385128</v>
      </c>
      <c r="AE292" s="14">
        <f>IF(AD292&gt;0,MIN($N$2*$D$2*J292/(AD292*1000),MIN(J292/4,6*$H$2,150)),MIN(J292/4,6*$H$2,150))</f>
        <v>85.6375</v>
      </c>
      <c r="AF292" s="10">
        <f>0.66*SQRT($B$2)*(D292*1000)*J292/1000</f>
        <v>358.8956362</v>
      </c>
      <c r="AG292" s="15" t="str">
        <f>IF(AD292&lt;=AF292,"CUMPLE","AUMENTAR SECCION")</f>
        <v>CUMPLE</v>
      </c>
      <c r="AH292" s="10">
        <f>0.75*0.083*SQRT($B$2)*(((D292*1000)*(E292*1000))^2/(2*((D292*1000)+(E292*1000))))/1000000</f>
        <v>3.388073536</v>
      </c>
      <c r="AI292" s="15" t="str">
        <f>IF(I292&gt;AH292,"SI","No")</f>
        <v>SI</v>
      </c>
      <c r="AJ292" s="11">
        <f>IF(I292&gt;AH292,I292*1000000/(0.75*2*0.85*((D292*1000-2*$F$2)*(E292*1000-2*$F$2))*$D$2),0)</f>
        <v>0.09042632204</v>
      </c>
      <c r="AK292" s="10">
        <f>1.25*Q292*$D$2*(J292-(1.25*Q292*$D$2/(0.85*$B$2*(D292*1000)))/2)/1000000</f>
        <v>100.4845159</v>
      </c>
      <c r="AL292" s="10">
        <f>1.25*Z292*$D$2*(J292-(1.25*Z292*$D$2/(0.85*$B$2*(D292*1000)))/2)/1000000</f>
        <v>68.51839235</v>
      </c>
      <c r="AM292" s="10">
        <f>(AK292+AL292)/B292</f>
        <v>42.25072707</v>
      </c>
      <c r="AN292" s="10">
        <f>MAX(H292,AM292)</f>
        <v>82.4</v>
      </c>
    </row>
    <row r="293">
      <c r="A293" s="5" t="inlineStr">
        <is>
          <t>F764</t>
        </is>
      </c>
      <c r="B293" s="6" t="n">
        <v>4</v>
      </c>
      <c r="C293" s="7" t="inlineStr">
        <is>
          <t>VC</t>
        </is>
      </c>
      <c r="D293" s="8">
        <f>IF(C293="VR",0.35,0.30)</f>
        <v>0.3</v>
      </c>
      <c r="E293" s="6" t="n">
        <v>0.4</v>
      </c>
      <c r="F293" s="9" t="n">
        <v>60.2</v>
      </c>
      <c r="G293" s="9" t="n">
        <v>26.1</v>
      </c>
      <c r="H293" s="9" t="n">
        <v>82.40000000000001</v>
      </c>
      <c r="I293" s="6" t="n">
        <v>3.42</v>
      </c>
      <c r="J293" s="10">
        <f>E293*1000-$F$2-$L$2-$H$2/2</f>
        <v>342.55</v>
      </c>
      <c r="K293" s="11">
        <f>F293*1000000/(0.9*(D293*1000)*J293^2)</f>
        <v>1.901714612</v>
      </c>
      <c r="L293" s="12">
        <f>(0.85*$B$2/$D$2)*(1-SQRT(1-2*K293/(0.85*$B$2)))</f>
        <v>0.004724872075</v>
      </c>
      <c r="M293" s="13">
        <f>L293*(D293*1000)*J293</f>
        <v>485.5514788</v>
      </c>
      <c r="N293" s="13">
        <f>MAX(0.25*SQRT($B$2)/$D$2,1.4/$D$2)*(D293*1000)*J293</f>
        <v>342.55</v>
      </c>
      <c r="O293" s="13">
        <f>MAX(M293,N293)</f>
        <v>485.5514788</v>
      </c>
      <c r="P293" s="14">
        <f>ROUNDUP(O293/$J$2,0)</f>
        <v>3</v>
      </c>
      <c r="Q293" s="13">
        <f>P293*$J$2</f>
        <v>597</v>
      </c>
      <c r="R293" s="10">
        <f>Q293*$D$2/(0.85*$B$2*(D293*1000))</f>
        <v>35.11764706</v>
      </c>
      <c r="S293" s="10">
        <f>0.9*Q293*$D$2*(J293-R293/2)/1000000</f>
        <v>73.33945883</v>
      </c>
      <c r="T293" s="15" t="str">
        <f>IF(AND(S293&gt;=F293,O293&lt;=0.025*(D293*1000)*J293,O293&gt;=N293),"CUMPLE","REVISAR")</f>
        <v>CUMPLE</v>
      </c>
      <c r="U293" s="11">
        <f>G293*1000000/(0.9*(D293*1000)*J293^2)</f>
        <v>0.8247602125</v>
      </c>
      <c r="V293" s="12">
        <f>(0.85*$B$2/$D$2)*(1-SQRT(1-2*U293/(0.85*$B$2)))</f>
        <v>0.00199897266</v>
      </c>
      <c r="W293" s="13">
        <f>V293*(D293*1000)*J293</f>
        <v>205.4244254</v>
      </c>
      <c r="X293" s="13">
        <f>MAX(W293,N293)</f>
        <v>342.55</v>
      </c>
      <c r="Y293" s="14">
        <f>ROUNDUP(X293/$J$2,0)</f>
        <v>2</v>
      </c>
      <c r="Z293" s="13">
        <f>Y293*$J$2</f>
        <v>398</v>
      </c>
      <c r="AA293" s="10">
        <f>0.9*Z293*$D$2*(J293-(Z293*$D$2/(0.85*$B$2*(D293*1000)))/2)/1000000</f>
        <v>49.77351244</v>
      </c>
      <c r="AB293" s="15" t="str">
        <f>IF(AA293&gt;=G293,"CUMPLE","REVISAR")</f>
        <v>CUMPLE</v>
      </c>
      <c r="AC293" s="10">
        <f>0.17*SQRT($B$2)*(D293*1000)*J293/1000</f>
        <v>92.44281538</v>
      </c>
      <c r="AD293" s="10">
        <f>MAX(H293/0.75-AC293,0)</f>
        <v>17.39718462</v>
      </c>
      <c r="AE293" s="14">
        <f>IF(AD293&gt;0,MIN($N$2*$D$2*J293/(AD293*1000),MIN(J293/4,6*$H$2,150)),MIN(J293/4,6*$H$2,150))</f>
        <v>85.6375</v>
      </c>
      <c r="AF293" s="10">
        <f>0.66*SQRT($B$2)*(D293*1000)*J293/1000</f>
        <v>358.8956362</v>
      </c>
      <c r="AG293" s="15" t="str">
        <f>IF(AD293&lt;=AF293,"CUMPLE","AUMENTAR SECCION")</f>
        <v>CUMPLE</v>
      </c>
      <c r="AH293" s="10">
        <f>0.75*0.083*SQRT($B$2)*(((D293*1000)*(E293*1000))^2/(2*((D293*1000)+(E293*1000))))/1000000</f>
        <v>3.388073536</v>
      </c>
      <c r="AI293" s="15" t="str">
        <f>IF(I293&gt;AH293,"SI","No")</f>
        <v>SI</v>
      </c>
      <c r="AJ293" s="11">
        <f>IF(I293&gt;AH293,I293*1000000/(0.75*2*0.85*((D293*1000-2*$F$2)*(E293*1000-2*$F$2))*$D$2),0)</f>
        <v>0.09082420847</v>
      </c>
      <c r="AK293" s="10">
        <f>1.25*Q293*$D$2*(J293-(1.25*Q293*$D$2/(0.85*$B$2*(D293*1000)))/2)/1000000</f>
        <v>100.4845159</v>
      </c>
      <c r="AL293" s="10">
        <f>1.25*Z293*$D$2*(J293-(1.25*Z293*$D$2/(0.85*$B$2*(D293*1000)))/2)/1000000</f>
        <v>68.51839235</v>
      </c>
      <c r="AM293" s="10">
        <f>(AK293+AL293)/B293</f>
        <v>42.25072707</v>
      </c>
      <c r="AN293" s="10">
        <f>MAX(H293,AM293)</f>
        <v>82.38</v>
      </c>
    </row>
    <row r="294">
      <c r="A294" s="5" t="inlineStr">
        <is>
          <t>F765</t>
        </is>
      </c>
      <c r="B294" s="6" t="n">
        <v>2.5</v>
      </c>
      <c r="C294" s="7" t="inlineStr">
        <is>
          <t>VC</t>
        </is>
      </c>
      <c r="D294" s="8">
        <f>IF(C294="VR",0.35,0.30)</f>
        <v>0.3</v>
      </c>
      <c r="E294" s="6" t="n">
        <v>0.4</v>
      </c>
      <c r="F294" s="9" t="n">
        <v>29.1</v>
      </c>
      <c r="G294" s="9" t="n">
        <v>10.7</v>
      </c>
      <c r="H294" s="9" t="n">
        <v>55.9</v>
      </c>
      <c r="I294" s="6" t="n">
        <v>0.29</v>
      </c>
      <c r="J294" s="10">
        <f>E294*1000-$F$2-$L$2-$H$2/2</f>
        <v>342.55</v>
      </c>
      <c r="K294" s="11">
        <f>F294*1000000/(0.9*(D294*1000)*J294^2)</f>
        <v>0.9181888474</v>
      </c>
      <c r="L294" s="12">
        <f>(0.85*$B$2/$D$2)*(1-SQRT(1-2*K294/(0.85*$B$2)))</f>
        <v>0.002230044191</v>
      </c>
      <c r="M294" s="13">
        <f>L294*(D294*1000)*J294</f>
        <v>229.1704913</v>
      </c>
      <c r="N294" s="13">
        <f>MAX(0.25*SQRT($B$2)/$D$2,1.4/$D$2)*(D294*1000)*J294</f>
        <v>342.55</v>
      </c>
      <c r="O294" s="13">
        <f>MAX(M294,N294)</f>
        <v>342.55</v>
      </c>
      <c r="P294" s="14">
        <f>ROUNDUP(O294/$J$2,0)</f>
        <v>2</v>
      </c>
      <c r="Q294" s="13">
        <f>P294*$J$2</f>
        <v>398</v>
      </c>
      <c r="R294" s="10">
        <f>Q294*$D$2/(0.85*$B$2*(D294*1000))</f>
        <v>23.41176471</v>
      </c>
      <c r="S294" s="10">
        <f>0.9*Q294*$D$2*(J294-R294/2)/1000000</f>
        <v>49.77351244</v>
      </c>
      <c r="T294" s="15" t="str">
        <f>IF(AND(S294&gt;=F294,O294&lt;=0.025*(D294*1000)*J294,O294&gt;=N294),"CUMPLE","REVISAR")</f>
        <v>CUMPLE</v>
      </c>
      <c r="U294" s="11">
        <f>G294*1000000/(0.9*(D294*1000)*J294^2)</f>
        <v>0.3383631641</v>
      </c>
      <c r="V294" s="12">
        <f>(0.85*$B$2/$D$2)*(1-SQRT(1-2*U294/(0.85*$B$2)))</f>
        <v>0.0008114362469</v>
      </c>
      <c r="W294" s="13">
        <f>V294*(D294*1000)*J294</f>
        <v>83.38724592</v>
      </c>
      <c r="X294" s="13">
        <f>MAX(W294,N294)</f>
        <v>342.55</v>
      </c>
      <c r="Y294" s="14">
        <f>ROUNDUP(X294/$J$2,0)</f>
        <v>2</v>
      </c>
      <c r="Z294" s="13">
        <f>Y294*$J$2</f>
        <v>398</v>
      </c>
      <c r="AA294" s="10">
        <f>0.9*Z294*$D$2*(J294-(Z294*$D$2/(0.85*$B$2*(D294*1000)))/2)/1000000</f>
        <v>49.77351244</v>
      </c>
      <c r="AB294" s="15" t="str">
        <f>IF(AA294&gt;=G294,"CUMPLE","REVISAR")</f>
        <v>CUMPLE</v>
      </c>
      <c r="AC294" s="10">
        <f>0.17*SQRT($B$2)*(D294*1000)*J294/1000</f>
        <v>92.44281538</v>
      </c>
      <c r="AD294" s="10">
        <f>MAX(H294/0.75-AC294,0)</f>
        <v>0</v>
      </c>
      <c r="AE294" s="14">
        <f>IF(AD294&gt;0,MIN($N$2*$D$2*J294/(AD294*1000),MIN(J294/4,6*$H$2,150)),MIN(J294/4,6*$H$2,150))</f>
        <v>85.6375</v>
      </c>
      <c r="AF294" s="10">
        <f>0.66*SQRT($B$2)*(D294*1000)*J294/1000</f>
        <v>358.8956362</v>
      </c>
      <c r="AG294" s="15" t="str">
        <f>IF(AD294&lt;=AF294,"CUMPLE","AUMENTAR SECCION")</f>
        <v>CUMPLE</v>
      </c>
      <c r="AH294" s="10">
        <f>0.75*0.083*SQRT($B$2)*(((D294*1000)*(E294*1000))^2/(2*((D294*1000)+(E294*1000))))/1000000</f>
        <v>3.388073536</v>
      </c>
      <c r="AI294" s="15" t="str">
        <f>IF(I294&gt;AH294,"SI","No")</f>
        <v>No</v>
      </c>
      <c r="AJ294" s="11">
        <f>IF(I294&gt;AH294,I294*1000000/(0.75*2*0.85*((D294*1000-2*$F$2)*(E294*1000-2*$F$2))*$D$2),0)</f>
        <v>0</v>
      </c>
      <c r="AK294" s="10">
        <f>1.25*Q294*$D$2*(J294-(1.25*Q294*$D$2/(0.85*$B$2*(D294*1000)))/2)/1000000</f>
        <v>68.51839235</v>
      </c>
      <c r="AL294" s="10">
        <f>1.25*Z294*$D$2*(J294-(1.25*Z294*$D$2/(0.85*$B$2*(D294*1000)))/2)/1000000</f>
        <v>68.51839235</v>
      </c>
      <c r="AM294" s="10">
        <f>(AK294+AL294)/B294</f>
        <v>54.81471388</v>
      </c>
      <c r="AN294" s="10">
        <f>MAX(H294,AM294)</f>
        <v>55.93</v>
      </c>
    </row>
    <row r="295">
      <c r="A295" s="5" t="inlineStr">
        <is>
          <t>F766</t>
        </is>
      </c>
      <c r="B295" s="6" t="n">
        <v>2.6</v>
      </c>
      <c r="C295" s="7" t="inlineStr">
        <is>
          <t>VC</t>
        </is>
      </c>
      <c r="D295" s="8">
        <f>IF(C295="VR",0.35,0.30)</f>
        <v>0.3</v>
      </c>
      <c r="E295" s="6" t="n">
        <v>0.4</v>
      </c>
      <c r="F295" s="9" t="n">
        <v>27</v>
      </c>
      <c r="G295" s="9" t="n">
        <v>11</v>
      </c>
      <c r="H295" s="9" t="n">
        <v>54.7</v>
      </c>
      <c r="I295" s="6" t="n">
        <v>0.07000000000000001</v>
      </c>
      <c r="J295" s="10">
        <f>E295*1000-$F$2-$L$2-$H$2/2</f>
        <v>342.55</v>
      </c>
      <c r="K295" s="11">
        <f>F295*1000000/(0.9*(D295*1000)*J295^2)</f>
        <v>0.851273744</v>
      </c>
      <c r="L295" s="12">
        <f>(0.85*$B$2/$D$2)*(1-SQRT(1-2*K295/(0.85*$B$2)))</f>
        <v>0.002064447636</v>
      </c>
      <c r="M295" s="13">
        <f>L295*(D295*1000)*J295</f>
        <v>212.1529613</v>
      </c>
      <c r="N295" s="13">
        <f>MAX(0.25*SQRT($B$2)/$D$2,1.4/$D$2)*(D295*1000)*J295</f>
        <v>342.55</v>
      </c>
      <c r="O295" s="13">
        <f>MAX(M295,N295)</f>
        <v>342.55</v>
      </c>
      <c r="P295" s="14">
        <f>ROUNDUP(O295/$J$2,0)</f>
        <v>2</v>
      </c>
      <c r="Q295" s="13">
        <f>P295*$J$2</f>
        <v>398</v>
      </c>
      <c r="R295" s="10">
        <f>Q295*$D$2/(0.85*$B$2*(D295*1000))</f>
        <v>23.41176471</v>
      </c>
      <c r="S295" s="10">
        <f>0.9*Q295*$D$2*(J295-R295/2)/1000000</f>
        <v>49.77351244</v>
      </c>
      <c r="T295" s="15" t="str">
        <f>IF(AND(S295&gt;=F295,O295&lt;=0.025*(D295*1000)*J295,O295&gt;=N295),"CUMPLE","REVISAR")</f>
        <v>CUMPLE</v>
      </c>
      <c r="U295" s="11">
        <f>G295*1000000/(0.9*(D295*1000)*J295^2)</f>
        <v>0.3484635571</v>
      </c>
      <c r="V295" s="12">
        <f>(0.85*$B$2/$D$2)*(1-SQRT(1-2*U295/(0.85*$B$2)))</f>
        <v>0.0008358394976</v>
      </c>
      <c r="W295" s="13">
        <f>V295*(D295*1000)*J295</f>
        <v>85.89504597</v>
      </c>
      <c r="X295" s="13">
        <f>MAX(W295,N295)</f>
        <v>342.55</v>
      </c>
      <c r="Y295" s="14">
        <f>ROUNDUP(X295/$J$2,0)</f>
        <v>2</v>
      </c>
      <c r="Z295" s="13">
        <f>Y295*$J$2</f>
        <v>398</v>
      </c>
      <c r="AA295" s="10">
        <f>0.9*Z295*$D$2*(J295-(Z295*$D$2/(0.85*$B$2*(D295*1000)))/2)/1000000</f>
        <v>49.77351244</v>
      </c>
      <c r="AB295" s="15" t="str">
        <f>IF(AA295&gt;=G295,"CUMPLE","REVISAR")</f>
        <v>CUMPLE</v>
      </c>
      <c r="AC295" s="10">
        <f>0.17*SQRT($B$2)*(D295*1000)*J295/1000</f>
        <v>92.44281538</v>
      </c>
      <c r="AD295" s="10">
        <f>MAX(H295/0.75-AC295,0)</f>
        <v>0</v>
      </c>
      <c r="AE295" s="14">
        <f>IF(AD295&gt;0,MIN($N$2*$D$2*J295/(AD295*1000),MIN(J295/4,6*$H$2,150)),MIN(J295/4,6*$H$2,150))</f>
        <v>85.6375</v>
      </c>
      <c r="AF295" s="10">
        <f>0.66*SQRT($B$2)*(D295*1000)*J295/1000</f>
        <v>358.8956362</v>
      </c>
      <c r="AG295" s="15" t="str">
        <f>IF(AD295&lt;=AF295,"CUMPLE","AUMENTAR SECCION")</f>
        <v>CUMPLE</v>
      </c>
      <c r="AH295" s="10">
        <f>0.75*0.083*SQRT($B$2)*(((D295*1000)*(E295*1000))^2/(2*((D295*1000)+(E295*1000))))/1000000</f>
        <v>3.388073536</v>
      </c>
      <c r="AI295" s="15" t="str">
        <f>IF(I295&gt;AH295,"SI","No")</f>
        <v>No</v>
      </c>
      <c r="AJ295" s="11">
        <f>IF(I295&gt;AH295,I295*1000000/(0.75*2*0.85*((D295*1000-2*$F$2)*(E295*1000-2*$F$2))*$D$2),0)</f>
        <v>0</v>
      </c>
      <c r="AK295" s="10">
        <f>1.25*Q295*$D$2*(J295-(1.25*Q295*$D$2/(0.85*$B$2*(D295*1000)))/2)/1000000</f>
        <v>68.51839235</v>
      </c>
      <c r="AL295" s="10">
        <f>1.25*Z295*$D$2*(J295-(1.25*Z295*$D$2/(0.85*$B$2*(D295*1000)))/2)/1000000</f>
        <v>68.51839235</v>
      </c>
      <c r="AM295" s="10">
        <f>(AK295+AL295)/B295</f>
        <v>52.70645566</v>
      </c>
      <c r="AN295" s="10">
        <f>MAX(H295,AM295)</f>
        <v>54.71</v>
      </c>
    </row>
    <row r="296">
      <c r="A296" s="5" t="inlineStr">
        <is>
          <t>F767</t>
        </is>
      </c>
      <c r="B296" s="6" t="n">
        <v>3.65</v>
      </c>
      <c r="C296" s="7" t="inlineStr">
        <is>
          <t>VR</t>
        </is>
      </c>
      <c r="D296" s="8">
        <f>IF(C296="VR",0.35,0.30)</f>
        <v>0.35</v>
      </c>
      <c r="E296" s="6" t="n">
        <v>0.4</v>
      </c>
      <c r="F296" s="9" t="n">
        <v>45.5</v>
      </c>
      <c r="G296" s="9" t="n">
        <v>21.8</v>
      </c>
      <c r="H296" s="9" t="n">
        <v>72.59999999999999</v>
      </c>
      <c r="I296" s="6" t="n">
        <v>0.14</v>
      </c>
      <c r="J296" s="10">
        <f>E296*1000-$F$2-$L$2-$H$2/2</f>
        <v>342.55</v>
      </c>
      <c r="K296" s="11">
        <f>F296*1000000/(0.9*(D296*1000)*J296^2)</f>
        <v>1.230173753</v>
      </c>
      <c r="L296" s="12">
        <f>(0.85*$B$2/$D$2)*(1-SQRT(1-2*K296/(0.85*$B$2)))</f>
        <v>0.003008867015</v>
      </c>
      <c r="M296" s="13">
        <f>L296*(D296*1000)*J296</f>
        <v>360.7405886</v>
      </c>
      <c r="N296" s="13">
        <f>MAX(0.25*SQRT($B$2)/$D$2,1.4/$D$2)*(D296*1000)*J296</f>
        <v>399.6416667</v>
      </c>
      <c r="O296" s="13">
        <f>MAX(M296,N296)</f>
        <v>399.6416667</v>
      </c>
      <c r="P296" s="14">
        <f>ROUNDUP(O296/$J$2,0)</f>
        <v>3</v>
      </c>
      <c r="Q296" s="13">
        <f>P296*$J$2</f>
        <v>597</v>
      </c>
      <c r="R296" s="10">
        <f>Q296*$D$2/(0.85*$B$2*(D296*1000))</f>
        <v>30.10084034</v>
      </c>
      <c r="S296" s="10">
        <f>0.9*Q296*$D$2*(J296-R296/2)/1000000</f>
        <v>73.90552018</v>
      </c>
      <c r="T296" s="15" t="str">
        <f>IF(AND(S296&gt;=F296,O296&lt;=0.025*(D296*1000)*J296,O296&gt;=N296),"CUMPLE","REVISAR")</f>
        <v>CUMPLE</v>
      </c>
      <c r="U296" s="11">
        <f>G296*1000000/(0.9*(D296*1000)*J296^2)</f>
        <v>0.5884380719</v>
      </c>
      <c r="V296" s="12">
        <f>(0.85*$B$2/$D$2)*(1-SQRT(1-2*U296/(0.85*$B$2)))</f>
        <v>0.001418804857</v>
      </c>
      <c r="W296" s="13">
        <f>V296*(D296*1000)*J296</f>
        <v>170.1040613</v>
      </c>
      <c r="X296" s="13">
        <f>MAX(W296,N296)</f>
        <v>399.6416667</v>
      </c>
      <c r="Y296" s="14">
        <f>ROUNDUP(X296/$J$2,0)</f>
        <v>3</v>
      </c>
      <c r="Z296" s="13">
        <f>Y296*$J$2</f>
        <v>597</v>
      </c>
      <c r="AA296" s="10">
        <f>0.9*Z296*$D$2*(J296-(Z296*$D$2/(0.85*$B$2*(D296*1000)))/2)/1000000</f>
        <v>73.90552018</v>
      </c>
      <c r="AB296" s="15" t="str">
        <f>IF(AA296&gt;=G296,"CUMPLE","REVISAR")</f>
        <v>CUMPLE</v>
      </c>
      <c r="AC296" s="10">
        <f>0.17*SQRT($B$2)*(D296*1000)*J296/1000</f>
        <v>107.8499513</v>
      </c>
      <c r="AD296" s="10">
        <f>MAX(H296/0.75-AC296,0)</f>
        <v>0</v>
      </c>
      <c r="AE296" s="14">
        <f>IF(AD296&gt;0,MIN($N$2*$D$2*J296/(AD296*1000),MIN(J296/4,6*$H$2,150)),MIN(J296/4,6*$H$2,150))</f>
        <v>85.6375</v>
      </c>
      <c r="AF296" s="10">
        <f>0.66*SQRT($B$2)*(D296*1000)*J296/1000</f>
        <v>418.7115756</v>
      </c>
      <c r="AG296" s="15" t="str">
        <f>IF(AD296&lt;=AF296,"CUMPLE","AUMENTAR SECCION")</f>
        <v>CUMPLE</v>
      </c>
      <c r="AH296" s="10">
        <f>0.75*0.083*SQRT($B$2)*(((D296*1000)*(E296*1000))^2/(2*((D296*1000)+(E296*1000))))/1000000</f>
        <v>4.304108233</v>
      </c>
      <c r="AI296" s="15" t="str">
        <f>IF(I296&gt;AH296,"SI","No")</f>
        <v>No</v>
      </c>
      <c r="AJ296" s="11">
        <f>IF(I296&gt;AH296,I296*1000000/(0.75*2*0.85*((D296*1000-2*$F$2)*(E296*1000-2*$F$2))*$D$2),0)</f>
        <v>0</v>
      </c>
      <c r="AK296" s="10">
        <f>1.25*Q296*$D$2*(J296-(1.25*Q296*$D$2/(0.85*$B$2*(D296*1000)))/2)/1000000</f>
        <v>101.4672613</v>
      </c>
      <c r="AL296" s="10">
        <f>1.25*Z296*$D$2*(J296-(1.25*Z296*$D$2/(0.85*$B$2*(D296*1000)))/2)/1000000</f>
        <v>101.4672613</v>
      </c>
      <c r="AM296" s="10">
        <f>(AK296+AL296)/B296</f>
        <v>55.59849936</v>
      </c>
      <c r="AN296" s="10">
        <f>MAX(H296,AM296)</f>
        <v>72.6</v>
      </c>
    </row>
    <row r="297">
      <c r="A297" s="5" t="inlineStr">
        <is>
          <t>F768</t>
        </is>
      </c>
      <c r="B297" s="6" t="n">
        <v>2.6</v>
      </c>
      <c r="C297" s="7" t="inlineStr">
        <is>
          <t>VC</t>
        </is>
      </c>
      <c r="D297" s="8">
        <f>IF(C297="VR",0.35,0.30)</f>
        <v>0.3</v>
      </c>
      <c r="E297" s="6" t="n">
        <v>0.4</v>
      </c>
      <c r="F297" s="9" t="n">
        <v>28.4</v>
      </c>
      <c r="G297" s="9" t="n">
        <v>11</v>
      </c>
      <c r="H297" s="9" t="n">
        <v>55.6</v>
      </c>
      <c r="I297" s="6" t="n">
        <v>4.57</v>
      </c>
      <c r="J297" s="10">
        <f>E297*1000-$F$2-$L$2-$H$2/2</f>
        <v>342.55</v>
      </c>
      <c r="K297" s="11">
        <f>F297*1000000/(0.9*(D297*1000)*J297^2)</f>
        <v>0.8954629632</v>
      </c>
      <c r="L297" s="12">
        <f>(0.85*$B$2/$D$2)*(1-SQRT(1-2*K297/(0.85*$B$2)))</f>
        <v>0.00217374742</v>
      </c>
      <c r="M297" s="13">
        <f>L297*(D297*1000)*J297</f>
        <v>223.3851536</v>
      </c>
      <c r="N297" s="13">
        <f>MAX(0.25*SQRT($B$2)/$D$2,1.4/$D$2)*(D297*1000)*J297</f>
        <v>342.55</v>
      </c>
      <c r="O297" s="13">
        <f>MAX(M297,N297)</f>
        <v>342.55</v>
      </c>
      <c r="P297" s="14">
        <f>ROUNDUP(O297/$J$2,0)</f>
        <v>2</v>
      </c>
      <c r="Q297" s="13">
        <f>P297*$J$2</f>
        <v>398</v>
      </c>
      <c r="R297" s="10">
        <f>Q297*$D$2/(0.85*$B$2*(D297*1000))</f>
        <v>23.41176471</v>
      </c>
      <c r="S297" s="10">
        <f>0.9*Q297*$D$2*(J297-R297/2)/1000000</f>
        <v>49.77351244</v>
      </c>
      <c r="T297" s="15" t="str">
        <f>IF(AND(S297&gt;=F297,O297&lt;=0.025*(D297*1000)*J297,O297&gt;=N297),"CUMPLE","REVISAR")</f>
        <v>CUMPLE</v>
      </c>
      <c r="U297" s="11">
        <f>G297*1000000/(0.9*(D297*1000)*J297^2)</f>
        <v>0.3484635571</v>
      </c>
      <c r="V297" s="12">
        <f>(0.85*$B$2/$D$2)*(1-SQRT(1-2*U297/(0.85*$B$2)))</f>
        <v>0.0008358394976</v>
      </c>
      <c r="W297" s="13">
        <f>V297*(D297*1000)*J297</f>
        <v>85.89504597</v>
      </c>
      <c r="X297" s="13">
        <f>MAX(W297,N297)</f>
        <v>342.55</v>
      </c>
      <c r="Y297" s="14">
        <f>ROUNDUP(X297/$J$2,0)</f>
        <v>2</v>
      </c>
      <c r="Z297" s="13">
        <f>Y297*$J$2</f>
        <v>398</v>
      </c>
      <c r="AA297" s="10">
        <f>0.9*Z297*$D$2*(J297-(Z297*$D$2/(0.85*$B$2*(D297*1000)))/2)/1000000</f>
        <v>49.77351244</v>
      </c>
      <c r="AB297" s="15" t="str">
        <f>IF(AA297&gt;=G297,"CUMPLE","REVISAR")</f>
        <v>CUMPLE</v>
      </c>
      <c r="AC297" s="10">
        <f>0.17*SQRT($B$2)*(D297*1000)*J297/1000</f>
        <v>92.44281538</v>
      </c>
      <c r="AD297" s="10">
        <f>MAX(H297/0.75-AC297,0)</f>
        <v>0</v>
      </c>
      <c r="AE297" s="14">
        <f>IF(AD297&gt;0,MIN($N$2*$D$2*J297/(AD297*1000),MIN(J297/4,6*$H$2,150)),MIN(J297/4,6*$H$2,150))</f>
        <v>85.6375</v>
      </c>
      <c r="AF297" s="10">
        <f>0.66*SQRT($B$2)*(D297*1000)*J297/1000</f>
        <v>358.8956362</v>
      </c>
      <c r="AG297" s="15" t="str">
        <f>IF(AD297&lt;=AF297,"CUMPLE","AUMENTAR SECCION")</f>
        <v>CUMPLE</v>
      </c>
      <c r="AH297" s="10">
        <f>0.75*0.083*SQRT($B$2)*(((D297*1000)*(E297*1000))^2/(2*((D297*1000)+(E297*1000))))/1000000</f>
        <v>3.388073536</v>
      </c>
      <c r="AI297" s="15" t="str">
        <f>IF(I297&gt;AH297,"SI","No")</f>
        <v>SI</v>
      </c>
      <c r="AJ297" s="11">
        <f>IF(I297&gt;AH297,I297*1000000/(0.75*2*0.85*((D297*1000-2*$F$2)*(E297*1000-2*$F$2))*$D$2),0)</f>
        <v>0.1212227315</v>
      </c>
      <c r="AK297" s="10">
        <f>1.25*Q297*$D$2*(J297-(1.25*Q297*$D$2/(0.85*$B$2*(D297*1000)))/2)/1000000</f>
        <v>68.51839235</v>
      </c>
      <c r="AL297" s="10">
        <f>1.25*Z297*$D$2*(J297-(1.25*Z297*$D$2/(0.85*$B$2*(D297*1000)))/2)/1000000</f>
        <v>68.51839235</v>
      </c>
      <c r="AM297" s="10">
        <f>(AK297+AL297)/B297</f>
        <v>52.70645566</v>
      </c>
      <c r="AN297" s="10">
        <f>MAX(H297,AM297)</f>
        <v>55.62</v>
      </c>
    </row>
    <row r="298">
      <c r="A298" s="5" t="inlineStr">
        <is>
          <t>F769</t>
        </is>
      </c>
      <c r="B298" s="6" t="n">
        <v>2.6</v>
      </c>
      <c r="C298" s="7" t="inlineStr">
        <is>
          <t>VC</t>
        </is>
      </c>
      <c r="D298" s="8">
        <f>IF(C298="VR",0.35,0.30)</f>
        <v>0.3</v>
      </c>
      <c r="E298" s="6" t="n">
        <v>0.4</v>
      </c>
      <c r="F298" s="9" t="n">
        <v>28.1</v>
      </c>
      <c r="G298" s="9" t="n">
        <v>9.4</v>
      </c>
      <c r="H298" s="9" t="n">
        <v>47.7</v>
      </c>
      <c r="I298" s="6" t="n">
        <v>0.38</v>
      </c>
      <c r="J298" s="10">
        <f>E298*1000-$F$2-$L$2-$H$2/2</f>
        <v>342.55</v>
      </c>
      <c r="K298" s="11">
        <f>F298*1000000/(0.9*(D298*1000)*J298^2)</f>
        <v>0.8885189431</v>
      </c>
      <c r="L298" s="12">
        <f>(0.85*$B$2/$D$2)*(1-SQRT(1-2*K298/(0.85*$B$2)))</f>
        <v>0.002156557226</v>
      </c>
      <c r="M298" s="13">
        <f>L298*(D298*1000)*J298</f>
        <v>221.6186033</v>
      </c>
      <c r="N298" s="13">
        <f>MAX(0.25*SQRT($B$2)/$D$2,1.4/$D$2)*(D298*1000)*J298</f>
        <v>342.55</v>
      </c>
      <c r="O298" s="13">
        <f>MAX(M298,N298)</f>
        <v>342.55</v>
      </c>
      <c r="P298" s="14">
        <f>ROUNDUP(O298/$J$2,0)</f>
        <v>2</v>
      </c>
      <c r="Q298" s="13">
        <f>P298*$J$2</f>
        <v>398</v>
      </c>
      <c r="R298" s="10">
        <f>Q298*$D$2/(0.85*$B$2*(D298*1000))</f>
        <v>23.41176471</v>
      </c>
      <c r="S298" s="10">
        <f>0.9*Q298*$D$2*(J298-R298/2)/1000000</f>
        <v>49.77351244</v>
      </c>
      <c r="T298" s="15" t="str">
        <f>IF(AND(S298&gt;=F298,O298&lt;=0.025*(D298*1000)*J298,O298&gt;=N298),"CUMPLE","REVISAR")</f>
        <v>CUMPLE</v>
      </c>
      <c r="U298" s="11">
        <f>G298*1000000/(0.9*(D298*1000)*J298^2)</f>
        <v>0.2960677686</v>
      </c>
      <c r="V298" s="12">
        <f>(0.85*$B$2/$D$2)*(1-SQRT(1-2*U298/(0.85*$B$2)))</f>
        <v>0.0007093632249</v>
      </c>
      <c r="W298" s="13">
        <f>V298*(D298*1000)*J298</f>
        <v>72.89771181</v>
      </c>
      <c r="X298" s="13">
        <f>MAX(W298,N298)</f>
        <v>342.55</v>
      </c>
      <c r="Y298" s="14">
        <f>ROUNDUP(X298/$J$2,0)</f>
        <v>2</v>
      </c>
      <c r="Z298" s="13">
        <f>Y298*$J$2</f>
        <v>398</v>
      </c>
      <c r="AA298" s="10">
        <f>0.9*Z298*$D$2*(J298-(Z298*$D$2/(0.85*$B$2*(D298*1000)))/2)/1000000</f>
        <v>49.77351244</v>
      </c>
      <c r="AB298" s="15" t="str">
        <f>IF(AA298&gt;=G298,"CUMPLE","REVISAR")</f>
        <v>CUMPLE</v>
      </c>
      <c r="AC298" s="10">
        <f>0.17*SQRT($B$2)*(D298*1000)*J298/1000</f>
        <v>92.44281538</v>
      </c>
      <c r="AD298" s="10">
        <f>MAX(H298/0.75-AC298,0)</f>
        <v>0</v>
      </c>
      <c r="AE298" s="14">
        <f>IF(AD298&gt;0,MIN($N$2*$D$2*J298/(AD298*1000),MIN(J298/4,6*$H$2,150)),MIN(J298/4,6*$H$2,150))</f>
        <v>85.6375</v>
      </c>
      <c r="AF298" s="10">
        <f>0.66*SQRT($B$2)*(D298*1000)*J298/1000</f>
        <v>358.8956362</v>
      </c>
      <c r="AG298" s="15" t="str">
        <f>IF(AD298&lt;=AF298,"CUMPLE","AUMENTAR SECCION")</f>
        <v>CUMPLE</v>
      </c>
      <c r="AH298" s="10">
        <f>0.75*0.083*SQRT($B$2)*(((D298*1000)*(E298*1000))^2/(2*((D298*1000)+(E298*1000))))/1000000</f>
        <v>3.388073536</v>
      </c>
      <c r="AI298" s="15" t="str">
        <f>IF(I298&gt;AH298,"SI","No")</f>
        <v>No</v>
      </c>
      <c r="AJ298" s="11">
        <f>IF(I298&gt;AH298,I298*1000000/(0.75*2*0.85*((D298*1000-2*$F$2)*(E298*1000-2*$F$2))*$D$2),0)</f>
        <v>0</v>
      </c>
      <c r="AK298" s="10">
        <f>1.25*Q298*$D$2*(J298-(1.25*Q298*$D$2/(0.85*$B$2*(D298*1000)))/2)/1000000</f>
        <v>68.51839235</v>
      </c>
      <c r="AL298" s="10">
        <f>1.25*Z298*$D$2*(J298-(1.25*Z298*$D$2/(0.85*$B$2*(D298*1000)))/2)/1000000</f>
        <v>68.51839235</v>
      </c>
      <c r="AM298" s="10">
        <f>(AK298+AL298)/B298</f>
        <v>52.70645566</v>
      </c>
      <c r="AN298" s="10">
        <f>MAX(H298,AM298)</f>
        <v>52.70645566</v>
      </c>
    </row>
    <row r="299">
      <c r="A299" s="5" t="inlineStr">
        <is>
          <t>F770</t>
        </is>
      </c>
      <c r="B299" s="6" t="n">
        <v>3.65</v>
      </c>
      <c r="C299" s="7" t="inlineStr">
        <is>
          <t>VR</t>
        </is>
      </c>
      <c r="D299" s="8">
        <f>IF(C299="VR",0.35,0.30)</f>
        <v>0.35</v>
      </c>
      <c r="E299" s="6" t="n">
        <v>0.4</v>
      </c>
      <c r="F299" s="9" t="n">
        <v>38.1</v>
      </c>
      <c r="G299" s="9" t="n">
        <v>34.6</v>
      </c>
      <c r="H299" s="9" t="n">
        <v>109.6</v>
      </c>
      <c r="I299" s="6" t="n">
        <v>5.69</v>
      </c>
      <c r="J299" s="10">
        <f>E299*1000-$F$2-$L$2-$H$2/2</f>
        <v>342.55</v>
      </c>
      <c r="K299" s="11">
        <f>F299*1000000/(0.9*(D299*1000)*J299^2)</f>
        <v>1.030240082</v>
      </c>
      <c r="L299" s="12">
        <f>(0.85*$B$2/$D$2)*(1-SQRT(1-2*K299/(0.85*$B$2)))</f>
        <v>0.002508474127</v>
      </c>
      <c r="M299" s="13">
        <f>L299*(D299*1000)*J299</f>
        <v>300.7472342</v>
      </c>
      <c r="N299" s="13">
        <f>MAX(0.25*SQRT($B$2)/$D$2,1.4/$D$2)*(D299*1000)*J299</f>
        <v>399.6416667</v>
      </c>
      <c r="O299" s="13">
        <f>MAX(M299,N299)</f>
        <v>399.6416667</v>
      </c>
      <c r="P299" s="14">
        <f>ROUNDUP(O299/$J$2,0)</f>
        <v>3</v>
      </c>
      <c r="Q299" s="13">
        <f>P299*$J$2</f>
        <v>597</v>
      </c>
      <c r="R299" s="10">
        <f>Q299*$D$2/(0.85*$B$2*(D299*1000))</f>
        <v>30.10084034</v>
      </c>
      <c r="S299" s="10">
        <f>0.9*Q299*$D$2*(J299-R299/2)/1000000</f>
        <v>73.90552018</v>
      </c>
      <c r="T299" s="15" t="str">
        <f>IF(AND(S299&gt;=F299,O299&lt;=0.025*(D299*1000)*J299,O299&gt;=N299),"CUMPLE","REVISAR")</f>
        <v>CUMPLE</v>
      </c>
      <c r="U299" s="11">
        <f>G299*1000000/(0.9*(D299*1000)*J299^2)</f>
        <v>0.935819444</v>
      </c>
      <c r="V299" s="12">
        <f>(0.85*$B$2/$D$2)*(1-SQRT(1-2*U299/(0.85*$B$2)))</f>
        <v>0.002273759004</v>
      </c>
      <c r="W299" s="13">
        <f>V299*(D299*1000)*J299</f>
        <v>272.6066514</v>
      </c>
      <c r="X299" s="13">
        <f>MAX(W299,N299)</f>
        <v>399.6416667</v>
      </c>
      <c r="Y299" s="14">
        <f>ROUNDUP(X299/$J$2,0)</f>
        <v>3</v>
      </c>
      <c r="Z299" s="13">
        <f>Y299*$J$2</f>
        <v>597</v>
      </c>
      <c r="AA299" s="10">
        <f>0.9*Z299*$D$2*(J299-(Z299*$D$2/(0.85*$B$2*(D299*1000)))/2)/1000000</f>
        <v>73.90552018</v>
      </c>
      <c r="AB299" s="15" t="str">
        <f>IF(AA299&gt;=G299,"CUMPLE","REVISAR")</f>
        <v>CUMPLE</v>
      </c>
      <c r="AC299" s="10">
        <f>0.17*SQRT($B$2)*(D299*1000)*J299/1000</f>
        <v>107.8499513</v>
      </c>
      <c r="AD299" s="10">
        <f>MAX(H299/0.75-AC299,0)</f>
        <v>38.23004872</v>
      </c>
      <c r="AE299" s="14">
        <f>IF(AD299&gt;0,MIN($N$2*$D$2*J299/(AD299*1000),MIN(J299/4,6*$H$2,150)),MIN(J299/4,6*$H$2,150))</f>
        <v>85.6375</v>
      </c>
      <c r="AF299" s="10">
        <f>0.66*SQRT($B$2)*(D299*1000)*J299/1000</f>
        <v>418.7115756</v>
      </c>
      <c r="AG299" s="15" t="str">
        <f>IF(AD299&lt;=AF299,"CUMPLE","AUMENTAR SECCION")</f>
        <v>CUMPLE</v>
      </c>
      <c r="AH299" s="10">
        <f>0.75*0.083*SQRT($B$2)*(((D299*1000)*(E299*1000))^2/(2*((D299*1000)+(E299*1000))))/1000000</f>
        <v>4.304108233</v>
      </c>
      <c r="AI299" s="15" t="str">
        <f>IF(I299&gt;AH299,"SI","No")</f>
        <v>SI</v>
      </c>
      <c r="AJ299" s="11">
        <f>IF(I299&gt;AH299,I299*1000000/(0.75*2*0.85*((D299*1000-2*$F$2)*(E299*1000-2*$F$2))*$D$2),0)</f>
        <v>0.1230677456</v>
      </c>
      <c r="AK299" s="10">
        <f>1.25*Q299*$D$2*(J299-(1.25*Q299*$D$2/(0.85*$B$2*(D299*1000)))/2)/1000000</f>
        <v>101.4672613</v>
      </c>
      <c r="AL299" s="10">
        <f>1.25*Z299*$D$2*(J299-(1.25*Z299*$D$2/(0.85*$B$2*(D299*1000)))/2)/1000000</f>
        <v>101.4672613</v>
      </c>
      <c r="AM299" s="10">
        <f>(AK299+AL299)/B299</f>
        <v>55.55283949</v>
      </c>
      <c r="AN299" s="10">
        <f>MAX(H299,AM299)</f>
        <v>109.56</v>
      </c>
    </row>
    <row r="300">
      <c r="A300" s="5" t="inlineStr">
        <is>
          <t>F771</t>
        </is>
      </c>
      <c r="B300" s="6" t="n">
        <v>2.6</v>
      </c>
      <c r="C300" s="7" t="inlineStr">
        <is>
          <t>VC</t>
        </is>
      </c>
      <c r="D300" s="8">
        <f>IF(C300="VR",0.35,0.30)</f>
        <v>0.3</v>
      </c>
      <c r="E300" s="6" t="n">
        <v>0.4</v>
      </c>
      <c r="F300" s="9" t="n">
        <v>22.8</v>
      </c>
      <c r="G300" s="9" t="n">
        <v>14.4</v>
      </c>
      <c r="H300" s="9" t="n">
        <v>48.1</v>
      </c>
      <c r="I300" s="6" t="n">
        <v>1.7</v>
      </c>
      <c r="J300" s="10">
        <f>E300*1000-$F$2-$L$2-$H$2/2</f>
        <v>342.55</v>
      </c>
      <c r="K300" s="11">
        <f>F300*1000000/(0.9*(D300*1000)*J300^2)</f>
        <v>0.7202842728</v>
      </c>
      <c r="L300" s="12">
        <f>(0.85*$B$2/$D$2)*(1-SQRT(1-2*K300/(0.85*$B$2)))</f>
        <v>0.001741729814</v>
      </c>
      <c r="M300" s="13">
        <f>L300*(D300*1000)*J300</f>
        <v>178.9888643</v>
      </c>
      <c r="N300" s="13">
        <f>MAX(0.25*SQRT($B$2)/$D$2,1.4/$D$2)*(D300*1000)*J300</f>
        <v>342.55</v>
      </c>
      <c r="O300" s="13">
        <f>MAX(M300,N300)</f>
        <v>342.55</v>
      </c>
      <c r="P300" s="14">
        <f>ROUNDUP(O300/$J$2,0)</f>
        <v>2</v>
      </c>
      <c r="Q300" s="13">
        <f>P300*$J$2</f>
        <v>398</v>
      </c>
      <c r="R300" s="10">
        <f>Q300*$D$2/(0.85*$B$2*(D300*1000))</f>
        <v>23.41176471</v>
      </c>
      <c r="S300" s="10">
        <f>0.9*Q300*$D$2*(J300-R300/2)/1000000</f>
        <v>49.77351244</v>
      </c>
      <c r="T300" s="15" t="str">
        <f>IF(AND(S300&gt;=F300,O300&lt;=0.025*(D300*1000)*J300,O300&gt;=N300),"CUMPLE","REVISAR")</f>
        <v>CUMPLE</v>
      </c>
      <c r="U300" s="11">
        <f>G300*1000000/(0.9*(D300*1000)*J300^2)</f>
        <v>0.453255134</v>
      </c>
      <c r="V300" s="12">
        <f>(0.85*$B$2/$D$2)*(1-SQRT(1-2*U300/(0.85*$B$2)))</f>
        <v>0.0010896555</v>
      </c>
      <c r="W300" s="13">
        <f>V300*(D300*1000)*J300</f>
        <v>111.9784475</v>
      </c>
      <c r="X300" s="13">
        <f>MAX(W300,N300)</f>
        <v>342.55</v>
      </c>
      <c r="Y300" s="14">
        <f>ROUNDUP(X300/$J$2,0)</f>
        <v>2</v>
      </c>
      <c r="Z300" s="13">
        <f>Y300*$J$2</f>
        <v>398</v>
      </c>
      <c r="AA300" s="10">
        <f>0.9*Z300*$D$2*(J300-(Z300*$D$2/(0.85*$B$2*(D300*1000)))/2)/1000000</f>
        <v>49.77351244</v>
      </c>
      <c r="AB300" s="15" t="str">
        <f>IF(AA300&gt;=G300,"CUMPLE","REVISAR")</f>
        <v>CUMPLE</v>
      </c>
      <c r="AC300" s="10">
        <f>0.17*SQRT($B$2)*(D300*1000)*J300/1000</f>
        <v>92.44281538</v>
      </c>
      <c r="AD300" s="10">
        <f>MAX(H300/0.75-AC300,0)</f>
        <v>0</v>
      </c>
      <c r="AE300" s="14">
        <f>IF(AD300&gt;0,MIN($N$2*$D$2*J300/(AD300*1000),MIN(J300/4,6*$H$2,150)),MIN(J300/4,6*$H$2,150))</f>
        <v>85.6375</v>
      </c>
      <c r="AF300" s="10">
        <f>0.66*SQRT($B$2)*(D300*1000)*J300/1000</f>
        <v>358.8956362</v>
      </c>
      <c r="AG300" s="15" t="str">
        <f>IF(AD300&lt;=AF300,"CUMPLE","AUMENTAR SECCION")</f>
        <v>CUMPLE</v>
      </c>
      <c r="AH300" s="10">
        <f>0.75*0.083*SQRT($B$2)*(((D300*1000)*(E300*1000))^2/(2*((D300*1000)+(E300*1000))))/1000000</f>
        <v>3.388073536</v>
      </c>
      <c r="AI300" s="15" t="str">
        <f>IF(I300&gt;AH300,"SI","No")</f>
        <v>No</v>
      </c>
      <c r="AJ300" s="11">
        <f>IF(I300&gt;AH300,I300*1000000/(0.75*2*0.85*((D300*1000-2*$F$2)*(E300*1000-2*$F$2))*$D$2),0)</f>
        <v>0</v>
      </c>
      <c r="AK300" s="10">
        <f>1.25*Q300*$D$2*(J300-(1.25*Q300*$D$2/(0.85*$B$2*(D300*1000)))/2)/1000000</f>
        <v>68.51839235</v>
      </c>
      <c r="AL300" s="10">
        <f>1.25*Z300*$D$2*(J300-(1.25*Z300*$D$2/(0.85*$B$2*(D300*1000)))/2)/1000000</f>
        <v>68.51839235</v>
      </c>
      <c r="AM300" s="10">
        <f>(AK300+AL300)/B300</f>
        <v>52.70645566</v>
      </c>
      <c r="AN300" s="10">
        <f>MAX(H300,AM300)</f>
        <v>52.70645566</v>
      </c>
    </row>
    <row r="301">
      <c r="A301" s="5" t="inlineStr">
        <is>
          <t>F772</t>
        </is>
      </c>
      <c r="B301" s="6" t="n">
        <v>2.5</v>
      </c>
      <c r="C301" s="7" t="inlineStr">
        <is>
          <t>VC</t>
        </is>
      </c>
      <c r="D301" s="8">
        <f>IF(C301="VR",0.35,0.30)</f>
        <v>0.3</v>
      </c>
      <c r="E301" s="6" t="n">
        <v>0.4</v>
      </c>
      <c r="F301" s="9" t="n">
        <v>30.8</v>
      </c>
      <c r="G301" s="9" t="n">
        <v>10.1</v>
      </c>
      <c r="H301" s="9" t="n">
        <v>51</v>
      </c>
      <c r="I301" s="6" t="n">
        <v>0.44</v>
      </c>
      <c r="J301" s="10">
        <f>E301*1000-$F$2-$L$2-$H$2/2</f>
        <v>342.55</v>
      </c>
      <c r="K301" s="11">
        <f>F301*1000000/(0.9*(D301*1000)*J301^2)</f>
        <v>0.9712159104</v>
      </c>
      <c r="L301" s="12">
        <f>(0.85*$B$2/$D$2)*(1-SQRT(1-2*K301/(0.85*$B$2)))</f>
        <v>0.002361630284</v>
      </c>
      <c r="M301" s="13">
        <f>L301*(D301*1000)*J301</f>
        <v>242.6929361</v>
      </c>
      <c r="N301" s="13">
        <f>MAX(0.25*SQRT($B$2)/$D$2,1.4/$D$2)*(D301*1000)*J301</f>
        <v>342.55</v>
      </c>
      <c r="O301" s="13">
        <f>MAX(M301,N301)</f>
        <v>342.55</v>
      </c>
      <c r="P301" s="14">
        <f>ROUNDUP(O301/$J$2,0)</f>
        <v>2</v>
      </c>
      <c r="Q301" s="13">
        <f>P301*$J$2</f>
        <v>398</v>
      </c>
      <c r="R301" s="10">
        <f>Q301*$D$2/(0.85*$B$2*(D301*1000))</f>
        <v>23.41176471</v>
      </c>
      <c r="S301" s="10">
        <f>0.9*Q301*$D$2*(J301-R301/2)/1000000</f>
        <v>49.77351244</v>
      </c>
      <c r="T301" s="15" t="str">
        <f>IF(AND(S301&gt;=F301,O301&lt;=0.025*(D301*1000)*J301,O301&gt;=N301),"CUMPLE","REVISAR")</f>
        <v>CUMPLE</v>
      </c>
      <c r="U301" s="11">
        <f>G301*1000000/(0.9*(D301*1000)*J301^2)</f>
        <v>0.3194249273</v>
      </c>
      <c r="V301" s="12">
        <f>(0.85*$B$2/$D$2)*(1-SQRT(1-2*U301/(0.85*$B$2)))</f>
        <v>0.0007657088653</v>
      </c>
      <c r="W301" s="13">
        <f>V301*(D301*1000)*J301</f>
        <v>78.68807155</v>
      </c>
      <c r="X301" s="13">
        <f>MAX(W301,N301)</f>
        <v>342.55</v>
      </c>
      <c r="Y301" s="14">
        <f>ROUNDUP(X301/$J$2,0)</f>
        <v>2</v>
      </c>
      <c r="Z301" s="13">
        <f>Y301*$J$2</f>
        <v>398</v>
      </c>
      <c r="AA301" s="10">
        <f>0.9*Z301*$D$2*(J301-(Z301*$D$2/(0.85*$B$2*(D301*1000)))/2)/1000000</f>
        <v>49.77351244</v>
      </c>
      <c r="AB301" s="15" t="str">
        <f>IF(AA301&gt;=G301,"CUMPLE","REVISAR")</f>
        <v>CUMPLE</v>
      </c>
      <c r="AC301" s="10">
        <f>0.17*SQRT($B$2)*(D301*1000)*J301/1000</f>
        <v>92.44281538</v>
      </c>
      <c r="AD301" s="10">
        <f>MAX(H301/0.75-AC301,0)</f>
        <v>0</v>
      </c>
      <c r="AE301" s="14">
        <f>IF(AD301&gt;0,MIN($N$2*$D$2*J301/(AD301*1000),MIN(J301/4,6*$H$2,150)),MIN(J301/4,6*$H$2,150))</f>
        <v>85.6375</v>
      </c>
      <c r="AF301" s="10">
        <f>0.66*SQRT($B$2)*(D301*1000)*J301/1000</f>
        <v>358.8956362</v>
      </c>
      <c r="AG301" s="15" t="str">
        <f>IF(AD301&lt;=AF301,"CUMPLE","AUMENTAR SECCION")</f>
        <v>CUMPLE</v>
      </c>
      <c r="AH301" s="10">
        <f>0.75*0.083*SQRT($B$2)*(((D301*1000)*(E301*1000))^2/(2*((D301*1000)+(E301*1000))))/1000000</f>
        <v>3.388073536</v>
      </c>
      <c r="AI301" s="15" t="str">
        <f>IF(I301&gt;AH301,"SI","No")</f>
        <v>No</v>
      </c>
      <c r="AJ301" s="11">
        <f>IF(I301&gt;AH301,I301*1000000/(0.75*2*0.85*((D301*1000-2*$F$2)*(E301*1000-2*$F$2))*$D$2),0)</f>
        <v>0</v>
      </c>
      <c r="AK301" s="10">
        <f>1.25*Q301*$D$2*(J301-(1.25*Q301*$D$2/(0.85*$B$2*(D301*1000)))/2)/1000000</f>
        <v>68.51839235</v>
      </c>
      <c r="AL301" s="10">
        <f>1.25*Z301*$D$2*(J301-(1.25*Z301*$D$2/(0.85*$B$2*(D301*1000)))/2)/1000000</f>
        <v>68.51839235</v>
      </c>
      <c r="AM301" s="10">
        <f>(AK301+AL301)/B301</f>
        <v>54.81471388</v>
      </c>
      <c r="AN301" s="10">
        <f>MAX(H301,AM301)</f>
        <v>54.81471388</v>
      </c>
    </row>
    <row r="302">
      <c r="A302" s="5" t="inlineStr">
        <is>
          <t>F773</t>
        </is>
      </c>
      <c r="B302" s="6" t="n">
        <v>4.18</v>
      </c>
      <c r="C302" s="7" t="inlineStr">
        <is>
          <t>VR</t>
        </is>
      </c>
      <c r="D302" s="8">
        <f>IF(C302="VR",0.35,0.30)</f>
        <v>0.35</v>
      </c>
      <c r="E302" s="6" t="n">
        <v>0.4</v>
      </c>
      <c r="F302" s="9" t="n">
        <v>72.5</v>
      </c>
      <c r="G302" s="9" t="n">
        <v>24.5</v>
      </c>
      <c r="H302" s="9" t="n">
        <v>76.59999999999999</v>
      </c>
      <c r="I302" s="6" t="n">
        <v>0.46</v>
      </c>
      <c r="J302" s="10">
        <f>E302*1000-$F$2-$L$2-$H$2/2</f>
        <v>342.55</v>
      </c>
      <c r="K302" s="11">
        <f>F302*1000000/(0.9*(D302*1000)*J302^2)</f>
        <v>1.961189693</v>
      </c>
      <c r="L302" s="12">
        <f>(0.85*$B$2/$D$2)*(1-SQRT(1-2*K302/(0.85*$B$2)))</f>
        <v>0.004879591118</v>
      </c>
      <c r="M302" s="13">
        <f>L302*(D302*1000)*J302</f>
        <v>585.0263782</v>
      </c>
      <c r="N302" s="13">
        <f>MAX(0.25*SQRT($B$2)/$D$2,1.4/$D$2)*(D302*1000)*J302</f>
        <v>399.6416667</v>
      </c>
      <c r="O302" s="13">
        <f>MAX(M302,N302)</f>
        <v>585.0263782</v>
      </c>
      <c r="P302" s="14">
        <f>ROUNDUP(O302/$J$2,0)</f>
        <v>3</v>
      </c>
      <c r="Q302" s="13">
        <f>P302*$J$2</f>
        <v>597</v>
      </c>
      <c r="R302" s="10">
        <f>Q302*$D$2/(0.85*$B$2*(D302*1000))</f>
        <v>30.10084034</v>
      </c>
      <c r="S302" s="10">
        <f>0.9*Q302*$D$2*(J302-R302/2)/1000000</f>
        <v>73.90552018</v>
      </c>
      <c r="T302" s="15" t="str">
        <f>IF(AND(S302&gt;=F302,O302&lt;=0.025*(D302*1000)*J302,O302&gt;=N302),"CUMPLE","REVISAR")</f>
        <v>CUMPLE</v>
      </c>
      <c r="U302" s="11">
        <f>G302*1000000/(0.9*(D302*1000)*J302^2)</f>
        <v>0.6617561029</v>
      </c>
      <c r="V302" s="12">
        <f>(0.85*$B$2/$D$2)*(1-SQRT(1-2*U302/(0.85*$B$2)))</f>
        <v>0.001598145677</v>
      </c>
      <c r="W302" s="13">
        <f>V302*(D302*1000)*J302</f>
        <v>191.6056806</v>
      </c>
      <c r="X302" s="13">
        <f>MAX(W302,N302)</f>
        <v>399.6416667</v>
      </c>
      <c r="Y302" s="14">
        <f>ROUNDUP(X302/$J$2,0)</f>
        <v>3</v>
      </c>
      <c r="Z302" s="13">
        <f>Y302*$J$2</f>
        <v>597</v>
      </c>
      <c r="AA302" s="10">
        <f>0.9*Z302*$D$2*(J302-(Z302*$D$2/(0.85*$B$2*(D302*1000)))/2)/1000000</f>
        <v>73.90552018</v>
      </c>
      <c r="AB302" s="15" t="str">
        <f>IF(AA302&gt;=G302,"CUMPLE","REVISAR")</f>
        <v>CUMPLE</v>
      </c>
      <c r="AC302" s="10">
        <f>0.17*SQRT($B$2)*(D302*1000)*J302/1000</f>
        <v>107.8499513</v>
      </c>
      <c r="AD302" s="10">
        <f>MAX(H302/0.75-AC302,0)</f>
        <v>0</v>
      </c>
      <c r="AE302" s="14">
        <f>IF(AD302&gt;0,MIN($N$2*$D$2*J302/(AD302*1000),MIN(J302/4,6*$H$2,150)),MIN(J302/4,6*$H$2,150))</f>
        <v>85.6375</v>
      </c>
      <c r="AF302" s="10">
        <f>0.66*SQRT($B$2)*(D302*1000)*J302/1000</f>
        <v>418.7115756</v>
      </c>
      <c r="AG302" s="15" t="str">
        <f>IF(AD302&lt;=AF302,"CUMPLE","AUMENTAR SECCION")</f>
        <v>CUMPLE</v>
      </c>
      <c r="AH302" s="10">
        <f>0.75*0.083*SQRT($B$2)*(((D302*1000)*(E302*1000))^2/(2*((D302*1000)+(E302*1000))))/1000000</f>
        <v>4.304108233</v>
      </c>
      <c r="AI302" s="15" t="str">
        <f>IF(I302&gt;AH302,"SI","No")</f>
        <v>No</v>
      </c>
      <c r="AJ302" s="11">
        <f>IF(I302&gt;AH302,I302*1000000/(0.75*2*0.85*((D302*1000-2*$F$2)*(E302*1000-2*$F$2))*$D$2),0)</f>
        <v>0</v>
      </c>
      <c r="AK302" s="10">
        <f>1.25*Q302*$D$2*(J302-(1.25*Q302*$D$2/(0.85*$B$2*(D302*1000)))/2)/1000000</f>
        <v>101.4672613</v>
      </c>
      <c r="AL302" s="10">
        <f>1.25*Z302*$D$2*(J302-(1.25*Z302*$D$2/(0.85*$B$2*(D302*1000)))/2)/1000000</f>
        <v>101.4672613</v>
      </c>
      <c r="AM302" s="10">
        <f>(AK302+AL302)/B302</f>
        <v>48.59543167</v>
      </c>
      <c r="AN302" s="10">
        <f>MAX(H302,AM302)</f>
        <v>76.61</v>
      </c>
    </row>
    <row r="303">
      <c r="A303" s="5" t="inlineStr">
        <is>
          <t>F774</t>
        </is>
      </c>
      <c r="B303" s="6" t="n">
        <v>2.7</v>
      </c>
      <c r="C303" s="7" t="inlineStr">
        <is>
          <t>VR</t>
        </is>
      </c>
      <c r="D303" s="8">
        <f>IF(C303="VR",0.35,0.30)</f>
        <v>0.35</v>
      </c>
      <c r="E303" s="6" t="n">
        <v>0.4</v>
      </c>
      <c r="F303" s="9" t="n">
        <v>45.7</v>
      </c>
      <c r="G303" s="9" t="n">
        <v>15.2</v>
      </c>
      <c r="H303" s="9" t="n">
        <v>63.7</v>
      </c>
      <c r="I303" s="6" t="n">
        <v>2.79</v>
      </c>
      <c r="J303" s="10">
        <f>E303*1000-$F$2-$L$2-$H$2/2</f>
        <v>342.55</v>
      </c>
      <c r="K303" s="11">
        <f>F303*1000000/(0.9*(D303*1000)*J303^2)</f>
        <v>1.236396317</v>
      </c>
      <c r="L303" s="12">
        <f>(0.85*$B$2/$D$2)*(1-SQRT(1-2*K303/(0.85*$B$2)))</f>
        <v>0.003024515712</v>
      </c>
      <c r="M303" s="13">
        <f>L303*(D303*1000)*J303</f>
        <v>362.61675</v>
      </c>
      <c r="N303" s="13">
        <f>MAX(0.25*SQRT($B$2)/$D$2,1.4/$D$2)*(D303*1000)*J303</f>
        <v>399.6416667</v>
      </c>
      <c r="O303" s="13">
        <f>MAX(M303,N303)</f>
        <v>399.6416667</v>
      </c>
      <c r="P303" s="14">
        <f>ROUNDUP(O303/$J$2,0)</f>
        <v>3</v>
      </c>
      <c r="Q303" s="13">
        <f>P303*$J$2</f>
        <v>597</v>
      </c>
      <c r="R303" s="10">
        <f>Q303*$D$2/(0.85*$B$2*(D303*1000))</f>
        <v>30.10084034</v>
      </c>
      <c r="S303" s="10">
        <f>0.9*Q303*$D$2*(J303-R303/2)/1000000</f>
        <v>73.90552018</v>
      </c>
      <c r="T303" s="15" t="str">
        <f>IF(AND(S303&gt;=F303,O303&lt;=0.025*(D303*1000)*J303,O303&gt;=N303),"CUMPLE","REVISAR")</f>
        <v>CUMPLE</v>
      </c>
      <c r="U303" s="11">
        <f>G303*1000000/(0.9*(D303*1000)*J303^2)</f>
        <v>0.4120419235</v>
      </c>
      <c r="V303" s="12">
        <f>(0.85*$B$2/$D$2)*(1-SQRT(1-2*U303/(0.85*$B$2)))</f>
        <v>0.0009896948088</v>
      </c>
      <c r="W303" s="13">
        <f>V303*(D303*1000)*J303</f>
        <v>118.6569849</v>
      </c>
      <c r="X303" s="13">
        <f>MAX(W303,N303)</f>
        <v>399.6416667</v>
      </c>
      <c r="Y303" s="14">
        <f>ROUNDUP(X303/$J$2,0)</f>
        <v>3</v>
      </c>
      <c r="Z303" s="13">
        <f>Y303*$J$2</f>
        <v>597</v>
      </c>
      <c r="AA303" s="10">
        <f>0.9*Z303*$D$2*(J303-(Z303*$D$2/(0.85*$B$2*(D303*1000)))/2)/1000000</f>
        <v>73.90552018</v>
      </c>
      <c r="AB303" s="15" t="str">
        <f>IF(AA303&gt;=G303,"CUMPLE","REVISAR")</f>
        <v>CUMPLE</v>
      </c>
      <c r="AC303" s="10">
        <f>0.17*SQRT($B$2)*(D303*1000)*J303/1000</f>
        <v>107.8499513</v>
      </c>
      <c r="AD303" s="10">
        <f>MAX(H303/0.75-AC303,0)</f>
        <v>0</v>
      </c>
      <c r="AE303" s="14">
        <f>IF(AD303&gt;0,MIN($N$2*$D$2*J303/(AD303*1000),MIN(J303/4,6*$H$2,150)),MIN(J303/4,6*$H$2,150))</f>
        <v>85.6375</v>
      </c>
      <c r="AF303" s="10">
        <f>0.66*SQRT($B$2)*(D303*1000)*J303/1000</f>
        <v>418.7115756</v>
      </c>
      <c r="AG303" s="15" t="str">
        <f>IF(AD303&lt;=AF303,"CUMPLE","AUMENTAR SECCION")</f>
        <v>CUMPLE</v>
      </c>
      <c r="AH303" s="10">
        <f>0.75*0.083*SQRT($B$2)*(((D303*1000)*(E303*1000))^2/(2*((D303*1000)+(E303*1000))))/1000000</f>
        <v>4.304108233</v>
      </c>
      <c r="AI303" s="15" t="str">
        <f>IF(I303&gt;AH303,"SI","No")</f>
        <v>No</v>
      </c>
      <c r="AJ303" s="11">
        <f>IF(I303&gt;AH303,I303*1000000/(0.75*2*0.85*((D303*1000-2*$F$2)*(E303*1000-2*$F$2))*$D$2),0)</f>
        <v>0</v>
      </c>
      <c r="AK303" s="10">
        <f>1.25*Q303*$D$2*(J303-(1.25*Q303*$D$2/(0.85*$B$2*(D303*1000)))/2)/1000000</f>
        <v>101.4672613</v>
      </c>
      <c r="AL303" s="10">
        <f>1.25*Z303*$D$2*(J303-(1.25*Z303*$D$2/(0.85*$B$2*(D303*1000)))/2)/1000000</f>
        <v>101.4672613</v>
      </c>
      <c r="AM303" s="10">
        <f>(AK303+AL303)/B303</f>
        <v>75.16093431</v>
      </c>
      <c r="AN303" s="10">
        <f>MAX(H303,AM303)</f>
        <v>75.16093431</v>
      </c>
    </row>
    <row r="304">
      <c r="A304" s="5" t="inlineStr">
        <is>
          <t>F775</t>
        </is>
      </c>
      <c r="B304" s="6" t="n">
        <v>2.8</v>
      </c>
      <c r="C304" s="7" t="inlineStr">
        <is>
          <t>VR</t>
        </is>
      </c>
      <c r="D304" s="8">
        <f>IF(C304="VR",0.35,0.30)</f>
        <v>0.35</v>
      </c>
      <c r="E304" s="6" t="n">
        <v>0.4</v>
      </c>
      <c r="F304" s="9" t="n">
        <v>46</v>
      </c>
      <c r="G304" s="9" t="n">
        <v>15.3</v>
      </c>
      <c r="H304" s="9" t="n">
        <v>63.9</v>
      </c>
      <c r="I304" s="6" t="n">
        <v>2.69</v>
      </c>
      <c r="J304" s="10">
        <f>E304*1000-$F$2-$L$2-$H$2/2</f>
        <v>342.55</v>
      </c>
      <c r="K304" s="11">
        <f>F304*1000000/(0.9*(D304*1000)*J304^2)</f>
        <v>1.245594889</v>
      </c>
      <c r="L304" s="12">
        <f>(0.85*$B$2/$D$2)*(1-SQRT(1-2*K304/(0.85*$B$2)))</f>
        <v>0.003047656935</v>
      </c>
      <c r="M304" s="13">
        <f>L304*(D304*1000)*J304</f>
        <v>365.3912091</v>
      </c>
      <c r="N304" s="13">
        <f>MAX(0.25*SQRT($B$2)/$D$2,1.4/$D$2)*(D304*1000)*J304</f>
        <v>399.6416667</v>
      </c>
      <c r="O304" s="13">
        <f>MAX(M304,N304)</f>
        <v>399.6416667</v>
      </c>
      <c r="P304" s="14">
        <f>ROUNDUP(O304/$J$2,0)</f>
        <v>3</v>
      </c>
      <c r="Q304" s="13">
        <f>P304*$J$2</f>
        <v>597</v>
      </c>
      <c r="R304" s="10">
        <f>Q304*$D$2/(0.85*$B$2*(D304*1000))</f>
        <v>30.10084034</v>
      </c>
      <c r="S304" s="10">
        <f>0.9*Q304*$D$2*(J304-R304/2)/1000000</f>
        <v>73.90552018</v>
      </c>
      <c r="T304" s="15" t="str">
        <f>IF(AND(S304&gt;=F304,O304&lt;=0.025*(D304*1000)*J304,O304&gt;=N304),"CUMPLE","REVISAR")</f>
        <v>CUMPLE</v>
      </c>
      <c r="U304" s="11">
        <f>G304*1000000/(0.9*(D304*1000)*J304^2)</f>
        <v>0.4152884783</v>
      </c>
      <c r="V304" s="12">
        <f>(0.85*$B$2/$D$2)*(1-SQRT(1-2*U304/(0.85*$B$2)))</f>
        <v>0.0009975626612</v>
      </c>
      <c r="W304" s="13">
        <f>V304*(D304*1000)*J304</f>
        <v>119.6002814</v>
      </c>
      <c r="X304" s="13">
        <f>MAX(W304,N304)</f>
        <v>399.6416667</v>
      </c>
      <c r="Y304" s="14">
        <f>ROUNDUP(X304/$J$2,0)</f>
        <v>3</v>
      </c>
      <c r="Z304" s="13">
        <f>Y304*$J$2</f>
        <v>597</v>
      </c>
      <c r="AA304" s="10">
        <f>0.9*Z304*$D$2*(J304-(Z304*$D$2/(0.85*$B$2*(D304*1000)))/2)/1000000</f>
        <v>73.90552018</v>
      </c>
      <c r="AB304" s="15" t="str">
        <f>IF(AA304&gt;=G304,"CUMPLE","REVISAR")</f>
        <v>CUMPLE</v>
      </c>
      <c r="AC304" s="10">
        <f>0.17*SQRT($B$2)*(D304*1000)*J304/1000</f>
        <v>107.8499513</v>
      </c>
      <c r="AD304" s="10">
        <f>MAX(H304/0.75-AC304,0)</f>
        <v>0</v>
      </c>
      <c r="AE304" s="14">
        <f>IF(AD304&gt;0,MIN($N$2*$D$2*J304/(AD304*1000),MIN(J304/4,6*$H$2,150)),MIN(J304/4,6*$H$2,150))</f>
        <v>85.6375</v>
      </c>
      <c r="AF304" s="10">
        <f>0.66*SQRT($B$2)*(D304*1000)*J304/1000</f>
        <v>418.7115756</v>
      </c>
      <c r="AG304" s="15" t="str">
        <f>IF(AD304&lt;=AF304,"CUMPLE","AUMENTAR SECCION")</f>
        <v>CUMPLE</v>
      </c>
      <c r="AH304" s="10">
        <f>0.75*0.083*SQRT($B$2)*(((D304*1000)*(E304*1000))^2/(2*((D304*1000)+(E304*1000))))/1000000</f>
        <v>4.304108233</v>
      </c>
      <c r="AI304" s="15" t="str">
        <f>IF(I304&gt;AH304,"SI","No")</f>
        <v>No</v>
      </c>
      <c r="AJ304" s="11">
        <f>IF(I304&gt;AH304,I304*1000000/(0.75*2*0.85*((D304*1000-2*$F$2)*(E304*1000-2*$F$2))*$D$2),0)</f>
        <v>0</v>
      </c>
      <c r="AK304" s="10">
        <f>1.25*Q304*$D$2*(J304-(1.25*Q304*$D$2/(0.85*$B$2*(D304*1000)))/2)/1000000</f>
        <v>101.4672613</v>
      </c>
      <c r="AL304" s="10">
        <f>1.25*Z304*$D$2*(J304-(1.25*Z304*$D$2/(0.85*$B$2*(D304*1000)))/2)/1000000</f>
        <v>101.4672613</v>
      </c>
      <c r="AM304" s="10">
        <f>(AK304+AL304)/B304</f>
        <v>72.47661523</v>
      </c>
      <c r="AN304" s="10">
        <f>MAX(H304,AM304)</f>
        <v>72.47661523</v>
      </c>
    </row>
    <row r="305">
      <c r="A305" s="5" t="inlineStr">
        <is>
          <t>F776</t>
        </is>
      </c>
      <c r="B305" s="6" t="n">
        <v>4.18</v>
      </c>
      <c r="C305" s="7" t="inlineStr">
        <is>
          <t>VR</t>
        </is>
      </c>
      <c r="D305" s="8">
        <f>IF(C305="VR",0.35,0.30)</f>
        <v>0.35</v>
      </c>
      <c r="E305" s="6" t="n">
        <v>0.4</v>
      </c>
      <c r="F305" s="9" t="n">
        <v>72.7</v>
      </c>
      <c r="G305" s="9" t="n">
        <v>24.5</v>
      </c>
      <c r="H305" s="9" t="n">
        <v>76.7</v>
      </c>
      <c r="I305" s="6" t="n">
        <v>0.46</v>
      </c>
      <c r="J305" s="10">
        <f>E305*1000-$F$2-$L$2-$H$2/2</f>
        <v>342.55</v>
      </c>
      <c r="K305" s="11">
        <f>F305*1000000/(0.9*(D305*1000)*J305^2)</f>
        <v>1.966871164</v>
      </c>
      <c r="L305" s="12">
        <f>(0.85*$B$2/$D$2)*(1-SQRT(1-2*K305/(0.85*$B$2)))</f>
        <v>0.004894395145</v>
      </c>
      <c r="M305" s="13">
        <f>L305*(D305*1000)*J305</f>
        <v>586.80127</v>
      </c>
      <c r="N305" s="13">
        <f>MAX(0.25*SQRT($B$2)/$D$2,1.4/$D$2)*(D305*1000)*J305</f>
        <v>399.6416667</v>
      </c>
      <c r="O305" s="13">
        <f>MAX(M305,N305)</f>
        <v>586.80127</v>
      </c>
      <c r="P305" s="14">
        <f>ROUNDUP(O305/$J$2,0)</f>
        <v>3</v>
      </c>
      <c r="Q305" s="13">
        <f>P305*$J$2</f>
        <v>597</v>
      </c>
      <c r="R305" s="10">
        <f>Q305*$D$2/(0.85*$B$2*(D305*1000))</f>
        <v>30.10084034</v>
      </c>
      <c r="S305" s="10">
        <f>0.9*Q305*$D$2*(J305-R305/2)/1000000</f>
        <v>73.90552018</v>
      </c>
      <c r="T305" s="15" t="str">
        <f>IF(AND(S305&gt;=F305,O305&lt;=0.025*(D305*1000)*J305,O305&gt;=N305),"CUMPLE","REVISAR")</f>
        <v>CUMPLE</v>
      </c>
      <c r="U305" s="11">
        <f>G305*1000000/(0.9*(D305*1000)*J305^2)</f>
        <v>0.6636499266</v>
      </c>
      <c r="V305" s="12">
        <f>(0.85*$B$2/$D$2)*(1-SQRT(1-2*U305/(0.85*$B$2)))</f>
        <v>0.001602785836</v>
      </c>
      <c r="W305" s="13">
        <f>V305*(D305*1000)*J305</f>
        <v>192.1620008</v>
      </c>
      <c r="X305" s="13">
        <f>MAX(W305,N305)</f>
        <v>399.6416667</v>
      </c>
      <c r="Y305" s="14">
        <f>ROUNDUP(X305/$J$2,0)</f>
        <v>3</v>
      </c>
      <c r="Z305" s="13">
        <f>Y305*$J$2</f>
        <v>597</v>
      </c>
      <c r="AA305" s="10">
        <f>0.9*Z305*$D$2*(J305-(Z305*$D$2/(0.85*$B$2*(D305*1000)))/2)/1000000</f>
        <v>73.90552018</v>
      </c>
      <c r="AB305" s="15" t="str">
        <f>IF(AA305&gt;=G305,"CUMPLE","REVISAR")</f>
        <v>CUMPLE</v>
      </c>
      <c r="AC305" s="10">
        <f>0.17*SQRT($B$2)*(D305*1000)*J305/1000</f>
        <v>107.8499513</v>
      </c>
      <c r="AD305" s="10">
        <f>MAX(H305/0.75-AC305,0)</f>
        <v>0</v>
      </c>
      <c r="AE305" s="14">
        <f>IF(AD305&gt;0,MIN($N$2*$D$2*J305/(AD305*1000),MIN(J305/4,6*$H$2,150)),MIN(J305/4,6*$H$2,150))</f>
        <v>85.6375</v>
      </c>
      <c r="AF305" s="10">
        <f>0.66*SQRT($B$2)*(D305*1000)*J305/1000</f>
        <v>418.7115756</v>
      </c>
      <c r="AG305" s="15" t="str">
        <f>IF(AD305&lt;=AF305,"CUMPLE","AUMENTAR SECCION")</f>
        <v>CUMPLE</v>
      </c>
      <c r="AH305" s="10">
        <f>0.75*0.083*SQRT($B$2)*(((D305*1000)*(E305*1000))^2/(2*((D305*1000)+(E305*1000))))/1000000</f>
        <v>4.304108233</v>
      </c>
      <c r="AI305" s="15" t="str">
        <f>IF(I305&gt;AH305,"SI","No")</f>
        <v>No</v>
      </c>
      <c r="AJ305" s="11">
        <f>IF(I305&gt;AH305,I305*1000000/(0.75*2*0.85*((D305*1000-2*$F$2)*(E305*1000-2*$F$2))*$D$2),0)</f>
        <v>0</v>
      </c>
      <c r="AK305" s="10">
        <f>1.25*Q305*$D$2*(J305-(1.25*Q305*$D$2/(0.85*$B$2*(D305*1000)))/2)/1000000</f>
        <v>101.4672613</v>
      </c>
      <c r="AL305" s="10">
        <f>1.25*Z305*$D$2*(J305-(1.25*Z305*$D$2/(0.85*$B$2*(D305*1000)))/2)/1000000</f>
        <v>101.4672613</v>
      </c>
      <c r="AM305" s="10">
        <f>(AK305+AL305)/B305</f>
        <v>48.59543167</v>
      </c>
      <c r="AN305" s="10">
        <f>MAX(H305,AM305)</f>
        <v>76.71</v>
      </c>
    </row>
    <row r="306">
      <c r="A306" s="5" t="inlineStr">
        <is>
          <t>F777</t>
        </is>
      </c>
      <c r="B306" s="6" t="n">
        <v>2.5</v>
      </c>
      <c r="C306" s="7" t="inlineStr">
        <is>
          <t>VC</t>
        </is>
      </c>
      <c r="D306" s="8">
        <f>IF(C306="VR",0.35,0.30)</f>
        <v>0.3</v>
      </c>
      <c r="E306" s="6" t="n">
        <v>0.4</v>
      </c>
      <c r="F306" s="9" t="n">
        <v>30.8</v>
      </c>
      <c r="G306" s="9" t="n">
        <v>10.1</v>
      </c>
      <c r="H306" s="9" t="n">
        <v>51.1</v>
      </c>
      <c r="I306" s="6" t="n">
        <v>0.44</v>
      </c>
      <c r="J306" s="10">
        <f>E306*1000-$F$2-$L$2-$H$2/2</f>
        <v>342.55</v>
      </c>
      <c r="K306" s="11">
        <f>F306*1000000/(0.9*(D306*1000)*J306^2)</f>
        <v>0.9727940968</v>
      </c>
      <c r="L306" s="12">
        <f>(0.85*$B$2/$D$2)*(1-SQRT(1-2*K306/(0.85*$B$2)))</f>
        <v>0.002365551423</v>
      </c>
      <c r="M306" s="13">
        <f>L306*(D306*1000)*J306</f>
        <v>243.095892</v>
      </c>
      <c r="N306" s="13">
        <f>MAX(0.25*SQRT($B$2)/$D$2,1.4/$D$2)*(D306*1000)*J306</f>
        <v>342.55</v>
      </c>
      <c r="O306" s="13">
        <f>MAX(M306,N306)</f>
        <v>342.55</v>
      </c>
      <c r="P306" s="14">
        <f>ROUNDUP(O306/$J$2,0)</f>
        <v>2</v>
      </c>
      <c r="Q306" s="13">
        <f>P306*$J$2</f>
        <v>398</v>
      </c>
      <c r="R306" s="10">
        <f>Q306*$D$2/(0.85*$B$2*(D306*1000))</f>
        <v>23.41176471</v>
      </c>
      <c r="S306" s="10">
        <f>0.9*Q306*$D$2*(J306-R306/2)/1000000</f>
        <v>49.77351244</v>
      </c>
      <c r="T306" s="15" t="str">
        <f>IF(AND(S306&gt;=F306,O306&lt;=0.025*(D306*1000)*J306,O306&gt;=N306),"CUMPLE","REVISAR")</f>
        <v>CUMPLE</v>
      </c>
      <c r="U306" s="11">
        <f>G306*1000000/(0.9*(D306*1000)*J306^2)</f>
        <v>0.3197405646</v>
      </c>
      <c r="V306" s="12">
        <f>(0.85*$B$2/$D$2)*(1-SQRT(1-2*U306/(0.85*$B$2)))</f>
        <v>0.0007664706818</v>
      </c>
      <c r="W306" s="13">
        <f>V306*(D306*1000)*J306</f>
        <v>78.76635962</v>
      </c>
      <c r="X306" s="13">
        <f>MAX(W306,N306)</f>
        <v>342.55</v>
      </c>
      <c r="Y306" s="14">
        <f>ROUNDUP(X306/$J$2,0)</f>
        <v>2</v>
      </c>
      <c r="Z306" s="13">
        <f>Y306*$J$2</f>
        <v>398</v>
      </c>
      <c r="AA306" s="10">
        <f>0.9*Z306*$D$2*(J306-(Z306*$D$2/(0.85*$B$2*(D306*1000)))/2)/1000000</f>
        <v>49.77351244</v>
      </c>
      <c r="AB306" s="15" t="str">
        <f>IF(AA306&gt;=G306,"CUMPLE","REVISAR")</f>
        <v>CUMPLE</v>
      </c>
      <c r="AC306" s="10">
        <f>0.17*SQRT($B$2)*(D306*1000)*J306/1000</f>
        <v>92.44281538</v>
      </c>
      <c r="AD306" s="10">
        <f>MAX(H306/0.75-AC306,0)</f>
        <v>0</v>
      </c>
      <c r="AE306" s="14">
        <f>IF(AD306&gt;0,MIN($N$2*$D$2*J306/(AD306*1000),MIN(J306/4,6*$H$2,150)),MIN(J306/4,6*$H$2,150))</f>
        <v>85.6375</v>
      </c>
      <c r="AF306" s="10">
        <f>0.66*SQRT($B$2)*(D306*1000)*J306/1000</f>
        <v>358.8956362</v>
      </c>
      <c r="AG306" s="15" t="str">
        <f>IF(AD306&lt;=AF306,"CUMPLE","AUMENTAR SECCION")</f>
        <v>CUMPLE</v>
      </c>
      <c r="AH306" s="10">
        <f>0.75*0.083*SQRT($B$2)*(((D306*1000)*(E306*1000))^2/(2*((D306*1000)+(E306*1000))))/1000000</f>
        <v>3.388073536</v>
      </c>
      <c r="AI306" s="15" t="str">
        <f>IF(I306&gt;AH306,"SI","No")</f>
        <v>No</v>
      </c>
      <c r="AJ306" s="11">
        <f>IF(I306&gt;AH306,I306*1000000/(0.75*2*0.85*((D306*1000-2*$F$2)*(E306*1000-2*$F$2))*$D$2),0)</f>
        <v>0</v>
      </c>
      <c r="AK306" s="10">
        <f>1.25*Q306*$D$2*(J306-(1.25*Q306*$D$2/(0.85*$B$2*(D306*1000)))/2)/1000000</f>
        <v>68.51839235</v>
      </c>
      <c r="AL306" s="10">
        <f>1.25*Z306*$D$2*(J306-(1.25*Z306*$D$2/(0.85*$B$2*(D306*1000)))/2)/1000000</f>
        <v>68.51839235</v>
      </c>
      <c r="AM306" s="10">
        <f>(AK306+AL306)/B306</f>
        <v>54.81471388</v>
      </c>
      <c r="AN306" s="10">
        <f>MAX(H306,AM306)</f>
        <v>54.81471388</v>
      </c>
    </row>
    <row r="307">
      <c r="A307" s="5" t="inlineStr">
        <is>
          <t>F778</t>
        </is>
      </c>
      <c r="B307" s="6" t="n">
        <v>2.6</v>
      </c>
      <c r="C307" s="7" t="inlineStr">
        <is>
          <t>VC</t>
        </is>
      </c>
      <c r="D307" s="8">
        <f>IF(C307="VR",0.35,0.30)</f>
        <v>0.3</v>
      </c>
      <c r="E307" s="6" t="n">
        <v>0.4</v>
      </c>
      <c r="F307" s="9" t="n">
        <v>22.7</v>
      </c>
      <c r="G307" s="9" t="n">
        <v>12.9</v>
      </c>
      <c r="H307" s="9" t="n">
        <v>47.9</v>
      </c>
      <c r="I307" s="6" t="n">
        <v>1.7</v>
      </c>
      <c r="J307" s="10">
        <f>E307*1000-$F$2-$L$2-$H$2/2</f>
        <v>342.55</v>
      </c>
      <c r="K307" s="11">
        <f>F307*1000000/(0.9*(D307*1000)*J307^2)</f>
        <v>0.7155497136</v>
      </c>
      <c r="L307" s="12">
        <f>(0.85*$B$2/$D$2)*(1-SQRT(1-2*K307/(0.85*$B$2)))</f>
        <v>0.001730100813</v>
      </c>
      <c r="M307" s="13">
        <f>L307*(D307*1000)*J307</f>
        <v>177.7938101</v>
      </c>
      <c r="N307" s="13">
        <f>MAX(0.25*SQRT($B$2)/$D$2,1.4/$D$2)*(D307*1000)*J307</f>
        <v>342.55</v>
      </c>
      <c r="O307" s="13">
        <f>MAX(M307,N307)</f>
        <v>342.55</v>
      </c>
      <c r="P307" s="14">
        <f>ROUNDUP(O307/$J$2,0)</f>
        <v>2</v>
      </c>
      <c r="Q307" s="13">
        <f>P307*$J$2</f>
        <v>398</v>
      </c>
      <c r="R307" s="10">
        <f>Q307*$D$2/(0.85*$B$2*(D307*1000))</f>
        <v>23.41176471</v>
      </c>
      <c r="S307" s="10">
        <f>0.9*Q307*$D$2*(J307-R307/2)/1000000</f>
        <v>49.77351244</v>
      </c>
      <c r="T307" s="15" t="str">
        <f>IF(AND(S307&gt;=F307,O307&lt;=0.025*(D307*1000)*J307,O307&gt;=N307),"CUMPLE","REVISAR")</f>
        <v>CUMPLE</v>
      </c>
      <c r="U307" s="11">
        <f>G307*1000000/(0.9*(D307*1000)*J307^2)</f>
        <v>0.4062251793</v>
      </c>
      <c r="V307" s="12">
        <f>(0.85*$B$2/$D$2)*(1-SQRT(1-2*U307/(0.85*$B$2)))</f>
        <v>0.0009756010198</v>
      </c>
      <c r="W307" s="13">
        <f>V307*(D307*1000)*J307</f>
        <v>100.2576388</v>
      </c>
      <c r="X307" s="13">
        <f>MAX(W307,N307)</f>
        <v>342.55</v>
      </c>
      <c r="Y307" s="14">
        <f>ROUNDUP(X307/$J$2,0)</f>
        <v>2</v>
      </c>
      <c r="Z307" s="13">
        <f>Y307*$J$2</f>
        <v>398</v>
      </c>
      <c r="AA307" s="10">
        <f>0.9*Z307*$D$2*(J307-(Z307*$D$2/(0.85*$B$2*(D307*1000)))/2)/1000000</f>
        <v>49.77351244</v>
      </c>
      <c r="AB307" s="15" t="str">
        <f>IF(AA307&gt;=G307,"CUMPLE","REVISAR")</f>
        <v>CUMPLE</v>
      </c>
      <c r="AC307" s="10">
        <f>0.17*SQRT($B$2)*(D307*1000)*J307/1000</f>
        <v>92.44281538</v>
      </c>
      <c r="AD307" s="10">
        <f>MAX(H307/0.75-AC307,0)</f>
        <v>0</v>
      </c>
      <c r="AE307" s="14">
        <f>IF(AD307&gt;0,MIN($N$2*$D$2*J307/(AD307*1000),MIN(J307/4,6*$H$2,150)),MIN(J307/4,6*$H$2,150))</f>
        <v>85.6375</v>
      </c>
      <c r="AF307" s="10">
        <f>0.66*SQRT($B$2)*(D307*1000)*J307/1000</f>
        <v>358.8956362</v>
      </c>
      <c r="AG307" s="15" t="str">
        <f>IF(AD307&lt;=AF307,"CUMPLE","AUMENTAR SECCION")</f>
        <v>CUMPLE</v>
      </c>
      <c r="AH307" s="10">
        <f>0.75*0.083*SQRT($B$2)*(((D307*1000)*(E307*1000))^2/(2*((D307*1000)+(E307*1000))))/1000000</f>
        <v>3.388073536</v>
      </c>
      <c r="AI307" s="15" t="str">
        <f>IF(I307&gt;AH307,"SI","No")</f>
        <v>No</v>
      </c>
      <c r="AJ307" s="11">
        <f>IF(I307&gt;AH307,I307*1000000/(0.75*2*0.85*((D307*1000-2*$F$2)*(E307*1000-2*$F$2))*$D$2),0)</f>
        <v>0</v>
      </c>
      <c r="AK307" s="10">
        <f>1.25*Q307*$D$2*(J307-(1.25*Q307*$D$2/(0.85*$B$2*(D307*1000)))/2)/1000000</f>
        <v>68.51839235</v>
      </c>
      <c r="AL307" s="10">
        <f>1.25*Z307*$D$2*(J307-(1.25*Z307*$D$2/(0.85*$B$2*(D307*1000)))/2)/1000000</f>
        <v>68.51839235</v>
      </c>
      <c r="AM307" s="10">
        <f>(AK307+AL307)/B307</f>
        <v>52.70645566</v>
      </c>
      <c r="AN307" s="10">
        <f>MAX(H307,AM307)</f>
        <v>52.70645566</v>
      </c>
    </row>
    <row r="308">
      <c r="A308" s="5" t="inlineStr">
        <is>
          <t>F779</t>
        </is>
      </c>
      <c r="B308" s="6" t="n">
        <v>3.65</v>
      </c>
      <c r="C308" s="7" t="inlineStr">
        <is>
          <t>VR</t>
        </is>
      </c>
      <c r="D308" s="8">
        <f>IF(C308="VR",0.35,0.30)</f>
        <v>0.35</v>
      </c>
      <c r="E308" s="6" t="n">
        <v>0.4</v>
      </c>
      <c r="F308" s="9" t="n">
        <v>38</v>
      </c>
      <c r="G308" s="9" t="n">
        <v>18.3</v>
      </c>
      <c r="H308" s="9" t="n">
        <v>109.4</v>
      </c>
      <c r="I308" s="6" t="n">
        <v>5.69</v>
      </c>
      <c r="J308" s="10">
        <f>E308*1000-$F$2-$L$2-$H$2/2</f>
        <v>342.55</v>
      </c>
      <c r="K308" s="11">
        <f>F308*1000000/(0.9*(D308*1000)*J308^2)</f>
        <v>1.029157897</v>
      </c>
      <c r="L308" s="12">
        <f>(0.85*$B$2/$D$2)*(1-SQRT(1-2*K308/(0.85*$B$2)))</f>
        <v>0.00250577822</v>
      </c>
      <c r="M308" s="13">
        <f>L308*(D308*1000)*J308</f>
        <v>300.4240152</v>
      </c>
      <c r="N308" s="13">
        <f>MAX(0.25*SQRT($B$2)/$D$2,1.4/$D$2)*(D308*1000)*J308</f>
        <v>399.6416667</v>
      </c>
      <c r="O308" s="13">
        <f>MAX(M308,N308)</f>
        <v>399.6416667</v>
      </c>
      <c r="P308" s="14">
        <f>ROUNDUP(O308/$J$2,0)</f>
        <v>3</v>
      </c>
      <c r="Q308" s="13">
        <f>P308*$J$2</f>
        <v>597</v>
      </c>
      <c r="R308" s="10">
        <f>Q308*$D$2/(0.85*$B$2*(D308*1000))</f>
        <v>30.10084034</v>
      </c>
      <c r="S308" s="10">
        <f>0.9*Q308*$D$2*(J308-R308/2)/1000000</f>
        <v>73.90552018</v>
      </c>
      <c r="T308" s="15" t="str">
        <f>IF(AND(S308&gt;=F308,O308&lt;=0.025*(D308*1000)*J308,O308&gt;=N308),"CUMPLE","REVISAR")</f>
        <v>CUMPLE</v>
      </c>
      <c r="U308" s="11">
        <f>G308*1000000/(0.9*(D308*1000)*J308^2)</f>
        <v>0.4945585266</v>
      </c>
      <c r="V308" s="12">
        <f>(0.85*$B$2/$D$2)*(1-SQRT(1-2*U308/(0.85*$B$2)))</f>
        <v>0.00119001563</v>
      </c>
      <c r="W308" s="13">
        <f>V308*(D308*1000)*J308</f>
        <v>142.6739489</v>
      </c>
      <c r="X308" s="13">
        <f>MAX(W308,N308)</f>
        <v>399.6416667</v>
      </c>
      <c r="Y308" s="14">
        <f>ROUNDUP(X308/$J$2,0)</f>
        <v>3</v>
      </c>
      <c r="Z308" s="13">
        <f>Y308*$J$2</f>
        <v>597</v>
      </c>
      <c r="AA308" s="10">
        <f>0.9*Z308*$D$2*(J308-(Z308*$D$2/(0.85*$B$2*(D308*1000)))/2)/1000000</f>
        <v>73.90552018</v>
      </c>
      <c r="AB308" s="15" t="str">
        <f>IF(AA308&gt;=G308,"CUMPLE","REVISAR")</f>
        <v>CUMPLE</v>
      </c>
      <c r="AC308" s="10">
        <f>0.17*SQRT($B$2)*(D308*1000)*J308/1000</f>
        <v>107.8499513</v>
      </c>
      <c r="AD308" s="10">
        <f>MAX(H308/0.75-AC308,0)</f>
        <v>38.07004872</v>
      </c>
      <c r="AE308" s="14">
        <f>IF(AD308&gt;0,MIN($N$2*$D$2*J308/(AD308*1000),MIN(J308/4,6*$H$2,150)),MIN(J308/4,6*$H$2,150))</f>
        <v>85.6375</v>
      </c>
      <c r="AF308" s="10">
        <f>0.66*SQRT($B$2)*(D308*1000)*J308/1000</f>
        <v>418.7115756</v>
      </c>
      <c r="AG308" s="15" t="str">
        <f>IF(AD308&lt;=AF308,"CUMPLE","AUMENTAR SECCION")</f>
        <v>CUMPLE</v>
      </c>
      <c r="AH308" s="10">
        <f>0.75*0.083*SQRT($B$2)*(((D308*1000)*(E308*1000))^2/(2*((D308*1000)+(E308*1000))))/1000000</f>
        <v>4.304108233</v>
      </c>
      <c r="AI308" s="15" t="str">
        <f>IF(I308&gt;AH308,"SI","No")</f>
        <v>SI</v>
      </c>
      <c r="AJ308" s="11">
        <f>IF(I308&gt;AH308,I308*1000000/(0.75*2*0.85*((D308*1000-2*$F$2)*(E308*1000-2*$F$2))*$D$2),0)</f>
        <v>0.1230677456</v>
      </c>
      <c r="AK308" s="10">
        <f>1.25*Q308*$D$2*(J308-(1.25*Q308*$D$2/(0.85*$B$2*(D308*1000)))/2)/1000000</f>
        <v>101.4672613</v>
      </c>
      <c r="AL308" s="10">
        <f>1.25*Z308*$D$2*(J308-(1.25*Z308*$D$2/(0.85*$B$2*(D308*1000)))/2)/1000000</f>
        <v>101.4672613</v>
      </c>
      <c r="AM308" s="10">
        <f>(AK308+AL308)/B308</f>
        <v>55.55283949</v>
      </c>
      <c r="AN308" s="10">
        <f>MAX(H308,AM308)</f>
        <v>109.44</v>
      </c>
    </row>
    <row r="309">
      <c r="A309" s="5" t="inlineStr">
        <is>
          <t>F780</t>
        </is>
      </c>
      <c r="B309" s="6" t="n">
        <v>2.6</v>
      </c>
      <c r="C309" s="7" t="inlineStr">
        <is>
          <t>VC</t>
        </is>
      </c>
      <c r="D309" s="8">
        <f>IF(C309="VR",0.35,0.30)</f>
        <v>0.3</v>
      </c>
      <c r="E309" s="6" t="n">
        <v>0.4</v>
      </c>
      <c r="F309" s="9" t="n">
        <v>28.1</v>
      </c>
      <c r="G309" s="9" t="n">
        <v>9.4</v>
      </c>
      <c r="H309" s="9" t="n">
        <v>47.6</v>
      </c>
      <c r="I309" s="6" t="n">
        <v>0.38</v>
      </c>
      <c r="J309" s="10">
        <f>E309*1000-$F$2-$L$2-$H$2/2</f>
        <v>342.55</v>
      </c>
      <c r="K309" s="11">
        <f>F309*1000000/(0.9*(D309*1000)*J309^2)</f>
        <v>0.8869407567</v>
      </c>
      <c r="L309" s="12">
        <f>(0.85*$B$2/$D$2)*(1-SQRT(1-2*K309/(0.85*$B$2)))</f>
        <v>0.00215265112</v>
      </c>
      <c r="M309" s="13">
        <f>L309*(D309*1000)*J309</f>
        <v>221.2171923</v>
      </c>
      <c r="N309" s="13">
        <f>MAX(0.25*SQRT($B$2)/$D$2,1.4/$D$2)*(D309*1000)*J309</f>
        <v>342.55</v>
      </c>
      <c r="O309" s="13">
        <f>MAX(M309,N309)</f>
        <v>342.55</v>
      </c>
      <c r="P309" s="14">
        <f>ROUNDUP(O309/$J$2,0)</f>
        <v>2</v>
      </c>
      <c r="Q309" s="13">
        <f>P309*$J$2</f>
        <v>398</v>
      </c>
      <c r="R309" s="10">
        <f>Q309*$D$2/(0.85*$B$2*(D309*1000))</f>
        <v>23.41176471</v>
      </c>
      <c r="S309" s="10">
        <f>0.9*Q309*$D$2*(J309-R309/2)/1000000</f>
        <v>49.77351244</v>
      </c>
      <c r="T309" s="15" t="str">
        <f>IF(AND(S309&gt;=F309,O309&lt;=0.025*(D309*1000)*J309,O309&gt;=N309),"CUMPLE","REVISAR")</f>
        <v>CUMPLE</v>
      </c>
      <c r="U309" s="11">
        <f>G309*1000000/(0.9*(D309*1000)*J309^2)</f>
        <v>0.2957521313</v>
      </c>
      <c r="V309" s="12">
        <f>(0.85*$B$2/$D$2)*(1-SQRT(1-2*U309/(0.85*$B$2)))</f>
        <v>0.0007086021858</v>
      </c>
      <c r="W309" s="13">
        <f>V309*(D309*1000)*J309</f>
        <v>72.81950363</v>
      </c>
      <c r="X309" s="13">
        <f>MAX(W309,N309)</f>
        <v>342.55</v>
      </c>
      <c r="Y309" s="14">
        <f>ROUNDUP(X309/$J$2,0)</f>
        <v>2</v>
      </c>
      <c r="Z309" s="13">
        <f>Y309*$J$2</f>
        <v>398</v>
      </c>
      <c r="AA309" s="10">
        <f>0.9*Z309*$D$2*(J309-(Z309*$D$2/(0.85*$B$2*(D309*1000)))/2)/1000000</f>
        <v>49.77351244</v>
      </c>
      <c r="AB309" s="15" t="str">
        <f>IF(AA309&gt;=G309,"CUMPLE","REVISAR")</f>
        <v>CUMPLE</v>
      </c>
      <c r="AC309" s="10">
        <f>0.17*SQRT($B$2)*(D309*1000)*J309/1000</f>
        <v>92.44281538</v>
      </c>
      <c r="AD309" s="10">
        <f>MAX(H309/0.75-AC309,0)</f>
        <v>0</v>
      </c>
      <c r="AE309" s="14">
        <f>IF(AD309&gt;0,MIN($N$2*$D$2*J309/(AD309*1000),MIN(J309/4,6*$H$2,150)),MIN(J309/4,6*$H$2,150))</f>
        <v>85.6375</v>
      </c>
      <c r="AF309" s="10">
        <f>0.66*SQRT($B$2)*(D309*1000)*J309/1000</f>
        <v>358.8956362</v>
      </c>
      <c r="AG309" s="15" t="str">
        <f>IF(AD309&lt;=AF309,"CUMPLE","AUMENTAR SECCION")</f>
        <v>CUMPLE</v>
      </c>
      <c r="AH309" s="10">
        <f>0.75*0.083*SQRT($B$2)*(((D309*1000)*(E309*1000))^2/(2*((D309*1000)+(E309*1000))))/1000000</f>
        <v>3.388073536</v>
      </c>
      <c r="AI309" s="15" t="str">
        <f>IF(I309&gt;AH309,"SI","No")</f>
        <v>No</v>
      </c>
      <c r="AJ309" s="11">
        <f>IF(I309&gt;AH309,I309*1000000/(0.75*2*0.85*((D309*1000-2*$F$2)*(E309*1000-2*$F$2))*$D$2),0)</f>
        <v>0</v>
      </c>
      <c r="AK309" s="10">
        <f>1.25*Q309*$D$2*(J309-(1.25*Q309*$D$2/(0.85*$B$2*(D309*1000)))/2)/1000000</f>
        <v>68.51839235</v>
      </c>
      <c r="AL309" s="10">
        <f>1.25*Z309*$D$2*(J309-(1.25*Z309*$D$2/(0.85*$B$2*(D309*1000)))/2)/1000000</f>
        <v>68.51839235</v>
      </c>
      <c r="AM309" s="10">
        <f>(AK309+AL309)/B309</f>
        <v>52.70645566</v>
      </c>
      <c r="AN309" s="10">
        <f>MAX(H309,AM309)</f>
        <v>52.70645566</v>
      </c>
    </row>
    <row r="310">
      <c r="A310" s="5" t="inlineStr">
        <is>
          <t>F781</t>
        </is>
      </c>
      <c r="B310" s="6" t="n">
        <v>2.95</v>
      </c>
      <c r="C310" s="7" t="inlineStr">
        <is>
          <t>VR</t>
        </is>
      </c>
      <c r="D310" s="8">
        <f>IF(C310="VR",0.35,0.30)</f>
        <v>0.35</v>
      </c>
      <c r="E310" s="6" t="n">
        <v>0.4</v>
      </c>
      <c r="F310" s="9" t="n">
        <v>46.9</v>
      </c>
      <c r="G310" s="9" t="n">
        <v>15.6</v>
      </c>
      <c r="H310" s="9" t="n">
        <v>82.3</v>
      </c>
      <c r="I310" s="6" t="n">
        <v>1.2</v>
      </c>
      <c r="J310" s="10">
        <f>E310*1000-$F$2-$L$2-$H$2/2</f>
        <v>342.55</v>
      </c>
      <c r="K310" s="11">
        <f>F310*1000000/(0.9*(D310*1000)*J310^2)</f>
        <v>1.268861865</v>
      </c>
      <c r="L310" s="12">
        <f>(0.85*$B$2/$D$2)*(1-SQRT(1-2*K310/(0.85*$B$2)))</f>
        <v>0.003106235245</v>
      </c>
      <c r="M310" s="13">
        <f>L310*(D310*1000)*J310</f>
        <v>372.4143091</v>
      </c>
      <c r="N310" s="13">
        <f>MAX(0.25*SQRT($B$2)/$D$2,1.4/$D$2)*(D310*1000)*J310</f>
        <v>399.6416667</v>
      </c>
      <c r="O310" s="13">
        <f>MAX(M310,N310)</f>
        <v>399.6416667</v>
      </c>
      <c r="P310" s="14">
        <f>ROUNDUP(O310/$J$2,0)</f>
        <v>3</v>
      </c>
      <c r="Q310" s="13">
        <f>P310*$J$2</f>
        <v>597</v>
      </c>
      <c r="R310" s="10">
        <f>Q310*$D$2/(0.85*$B$2*(D310*1000))</f>
        <v>30.10084034</v>
      </c>
      <c r="S310" s="10">
        <f>0.9*Q310*$D$2*(J310-R310/2)/1000000</f>
        <v>73.90552018</v>
      </c>
      <c r="T310" s="15" t="str">
        <f>IF(AND(S310&gt;=F310,O310&lt;=0.025*(D310*1000)*J310,O310&gt;=N310),"CUMPLE","REVISAR")</f>
        <v>CUMPLE</v>
      </c>
      <c r="U310" s="11">
        <f>G310*1000000/(0.9*(D310*1000)*J310^2)</f>
        <v>0.4228637731</v>
      </c>
      <c r="V310" s="12">
        <f>(0.85*$B$2/$D$2)*(1-SQRT(1-2*U310/(0.85*$B$2)))</f>
        <v>0.001015925309</v>
      </c>
      <c r="W310" s="13">
        <f>V310*(D310*1000)*J310</f>
        <v>121.8018251</v>
      </c>
      <c r="X310" s="13">
        <f>MAX(W310,N310)</f>
        <v>399.6416667</v>
      </c>
      <c r="Y310" s="14">
        <f>ROUNDUP(X310/$J$2,0)</f>
        <v>3</v>
      </c>
      <c r="Z310" s="13">
        <f>Y310*$J$2</f>
        <v>597</v>
      </c>
      <c r="AA310" s="10">
        <f>0.9*Z310*$D$2*(J310-(Z310*$D$2/(0.85*$B$2*(D310*1000)))/2)/1000000</f>
        <v>73.90552018</v>
      </c>
      <c r="AB310" s="15" t="str">
        <f>IF(AA310&gt;=G310,"CUMPLE","REVISAR")</f>
        <v>CUMPLE</v>
      </c>
      <c r="AC310" s="10">
        <f>0.17*SQRT($B$2)*(D310*1000)*J310/1000</f>
        <v>107.8499513</v>
      </c>
      <c r="AD310" s="10">
        <f>MAX(H310/0.75-AC310,0)</f>
        <v>1.856715386</v>
      </c>
      <c r="AE310" s="14">
        <f>IF(AD310&gt;0,MIN($N$2*$D$2*J310/(AD310*1000),MIN(J310/4,6*$H$2,150)),MIN(J310/4,6*$H$2,150))</f>
        <v>85.6375</v>
      </c>
      <c r="AF310" s="10">
        <f>0.66*SQRT($B$2)*(D310*1000)*J310/1000</f>
        <v>418.7115756</v>
      </c>
      <c r="AG310" s="15" t="str">
        <f>IF(AD310&lt;=AF310,"CUMPLE","AUMENTAR SECCION")</f>
        <v>CUMPLE</v>
      </c>
      <c r="AH310" s="10">
        <f>0.75*0.083*SQRT($B$2)*(((D310*1000)*(E310*1000))^2/(2*((D310*1000)+(E310*1000))))/1000000</f>
        <v>4.304108233</v>
      </c>
      <c r="AI310" s="15" t="str">
        <f>IF(I310&gt;AH310,"SI","No")</f>
        <v>No</v>
      </c>
      <c r="AJ310" s="11">
        <f>IF(I310&gt;AH310,I310*1000000/(0.75*2*0.85*((D310*1000-2*$F$2)*(E310*1000-2*$F$2))*$D$2),0)</f>
        <v>0</v>
      </c>
      <c r="AK310" s="10">
        <f>1.25*Q310*$D$2*(J310-(1.25*Q310*$D$2/(0.85*$B$2*(D310*1000)))/2)/1000000</f>
        <v>101.4672613</v>
      </c>
      <c r="AL310" s="10">
        <f>1.25*Z310*$D$2*(J310-(1.25*Z310*$D$2/(0.85*$B$2*(D310*1000)))/2)/1000000</f>
        <v>101.4672613</v>
      </c>
      <c r="AM310" s="10">
        <f>(AK310+AL310)/B310</f>
        <v>68.79136361</v>
      </c>
      <c r="AN310" s="10">
        <f>MAX(H310,AM310)</f>
        <v>82.28</v>
      </c>
    </row>
    <row r="311">
      <c r="A311" s="5" t="inlineStr">
        <is>
          <t>F782</t>
        </is>
      </c>
      <c r="B311" s="6" t="n">
        <v>2.6</v>
      </c>
      <c r="C311" s="7" t="inlineStr">
        <is>
          <t>VC</t>
        </is>
      </c>
      <c r="D311" s="8">
        <f>IF(C311="VR",0.35,0.30)</f>
        <v>0.3</v>
      </c>
      <c r="E311" s="6" t="n">
        <v>0.4</v>
      </c>
      <c r="F311" s="9" t="n">
        <v>95</v>
      </c>
      <c r="G311" s="9" t="n">
        <v>84.8</v>
      </c>
      <c r="H311" s="9" t="n">
        <v>151.5</v>
      </c>
      <c r="I311" s="6" t="n">
        <v>1.2</v>
      </c>
      <c r="J311" s="10">
        <f>E311*1000-$F$2-$L$2-$H$2/2</f>
        <v>342.55</v>
      </c>
      <c r="K311" s="11">
        <f>F311*1000000/(0.9*(D311*1000)*J311^2)</f>
        <v>2.99729161</v>
      </c>
      <c r="L311" s="12">
        <f>(0.85*$B$2/$D$2)*(1-SQRT(1-2*K311/(0.85*$B$2)))</f>
        <v>0.007653218136</v>
      </c>
      <c r="M311" s="13">
        <f>L311*(D311*1000)*J311</f>
        <v>786.4829617</v>
      </c>
      <c r="N311" s="13">
        <f>MAX(0.25*SQRT($B$2)/$D$2,1.4/$D$2)*(D311*1000)*J311</f>
        <v>342.55</v>
      </c>
      <c r="O311" s="13">
        <f>MAX(M311,N311)</f>
        <v>786.4829617</v>
      </c>
      <c r="P311" s="14">
        <f>ROUNDUP(O311/$J$2,0)</f>
        <v>4</v>
      </c>
      <c r="Q311" s="13">
        <f>P311*$J$2</f>
        <v>796</v>
      </c>
      <c r="R311" s="10">
        <f>Q311*$D$2/(0.85*$B$2*(D311*1000))</f>
        <v>46.82352941</v>
      </c>
      <c r="S311" s="10">
        <f>0.9*Q311*$D$2*(J311-R311/2)/1000000</f>
        <v>96.02486534</v>
      </c>
      <c r="T311" s="15" t="str">
        <f>IF(AND(S311&gt;=F311,O311&lt;=0.025*(D311*1000)*J311,O311&gt;=N311),"CUMPLE","REVISAR")</f>
        <v>CUMPLE</v>
      </c>
      <c r="U311" s="11">
        <f>G311*1000000/(0.9*(D311*1000)*J311^2)</f>
        <v>2.675972859</v>
      </c>
      <c r="V311" s="12">
        <f>(0.85*$B$2/$D$2)*(1-SQRT(1-2*U311/(0.85*$B$2)))</f>
        <v>0.006776555455</v>
      </c>
      <c r="W311" s="13">
        <f>V311*(D311*1000)*J311</f>
        <v>696.3927214</v>
      </c>
      <c r="X311" s="13">
        <f>MAX(W311,N311)</f>
        <v>696.3927214</v>
      </c>
      <c r="Y311" s="14">
        <f>ROUNDUP(X311/$J$2,0)</f>
        <v>4</v>
      </c>
      <c r="Z311" s="13">
        <f>Y311*$J$2</f>
        <v>796</v>
      </c>
      <c r="AA311" s="10">
        <f>0.9*Z311*$D$2*(J311-(Z311*$D$2/(0.85*$B$2*(D311*1000)))/2)/1000000</f>
        <v>96.02486534</v>
      </c>
      <c r="AB311" s="15" t="str">
        <f>IF(AA311&gt;=G311,"CUMPLE","REVISAR")</f>
        <v>CUMPLE</v>
      </c>
      <c r="AC311" s="10">
        <f>0.17*SQRT($B$2)*(D311*1000)*J311/1000</f>
        <v>92.44281538</v>
      </c>
      <c r="AD311" s="10">
        <f>MAX(H311/0.75-AC311,0)</f>
        <v>109.6105179</v>
      </c>
      <c r="AE311" s="14">
        <f>IF(AD311&gt;0,MIN($N$2*$D$2*J311/(AD311*1000),MIN(J311/4,6*$H$2,150)),MIN(J311/4,6*$H$2,150))</f>
        <v>85.6375</v>
      </c>
      <c r="AF311" s="10">
        <f>0.66*SQRT($B$2)*(D311*1000)*J311/1000</f>
        <v>358.8956362</v>
      </c>
      <c r="AG311" s="15" t="str">
        <f>IF(AD311&lt;=AF311,"CUMPLE","AUMENTAR SECCION")</f>
        <v>CUMPLE</v>
      </c>
      <c r="AH311" s="10">
        <f>0.75*0.083*SQRT($B$2)*(((D311*1000)*(E311*1000))^2/(2*((D311*1000)+(E311*1000))))/1000000</f>
        <v>3.388073536</v>
      </c>
      <c r="AI311" s="15" t="str">
        <f>IF(I311&gt;AH311,"SI","No")</f>
        <v>No</v>
      </c>
      <c r="AJ311" s="11">
        <f>IF(I311&gt;AH311,I311*1000000/(0.75*2*0.85*((D311*1000-2*$F$2)*(E311*1000-2*$F$2))*$D$2),0)</f>
        <v>0</v>
      </c>
      <c r="AK311" s="10">
        <f>1.25*Q311*$D$2*(J311-(1.25*Q311*$D$2/(0.85*$B$2*(D311*1000)))/2)/1000000</f>
        <v>130.9219244</v>
      </c>
      <c r="AL311" s="10">
        <f>1.25*Z311*$D$2*(J311-(1.25*Z311*$D$2/(0.85*$B$2*(D311*1000)))/2)/1000000</f>
        <v>130.9219244</v>
      </c>
      <c r="AM311" s="10">
        <f>(AK311+AL311)/B311</f>
        <v>100.7091726</v>
      </c>
      <c r="AN311" s="10">
        <f>MAX(H311,AM311)</f>
        <v>151.54</v>
      </c>
    </row>
    <row r="312">
      <c r="A312" s="5" t="inlineStr">
        <is>
          <t>F783</t>
        </is>
      </c>
      <c r="B312" s="6" t="n">
        <v>2.5</v>
      </c>
      <c r="C312" s="7" t="inlineStr">
        <is>
          <t>VC</t>
        </is>
      </c>
      <c r="D312" s="8">
        <f>IF(C312="VR",0.35,0.30)</f>
        <v>0.3</v>
      </c>
      <c r="E312" s="6" t="n">
        <v>0.4</v>
      </c>
      <c r="F312" s="9" t="n">
        <v>17.5</v>
      </c>
      <c r="G312" s="9" t="n">
        <v>7.5</v>
      </c>
      <c r="H312" s="9" t="n">
        <v>40.5</v>
      </c>
      <c r="I312" s="6" t="n">
        <v>0.03</v>
      </c>
      <c r="J312" s="10">
        <f>E312*1000-$F$2-$L$2-$H$2/2</f>
        <v>342.55</v>
      </c>
      <c r="K312" s="11">
        <f>F312*1000000/(0.9*(D312*1000)*J312^2)</f>
        <v>0.5529965145</v>
      </c>
      <c r="L312" s="12">
        <f>(0.85*$B$2/$D$2)*(1-SQRT(1-2*K312/(0.85*$B$2)))</f>
        <v>0.001332320828</v>
      </c>
      <c r="M312" s="13">
        <f>L312*(D312*1000)*J312</f>
        <v>136.9159499</v>
      </c>
      <c r="N312" s="13">
        <f>MAX(0.25*SQRT($B$2)/$D$2,1.4/$D$2)*(D312*1000)*J312</f>
        <v>342.55</v>
      </c>
      <c r="O312" s="13">
        <f>MAX(M312,N312)</f>
        <v>342.55</v>
      </c>
      <c r="P312" s="14">
        <f>ROUNDUP(O312/$J$2,0)</f>
        <v>2</v>
      </c>
      <c r="Q312" s="13">
        <f>P312*$J$2</f>
        <v>398</v>
      </c>
      <c r="R312" s="10">
        <f>Q312*$D$2/(0.85*$B$2*(D312*1000))</f>
        <v>23.41176471</v>
      </c>
      <c r="S312" s="10">
        <f>0.9*Q312*$D$2*(J312-R312/2)/1000000</f>
        <v>49.77351244</v>
      </c>
      <c r="T312" s="15" t="str">
        <f>IF(AND(S312&gt;=F312,O312&lt;=0.025*(D312*1000)*J312,O312&gt;=N312),"CUMPLE","REVISAR")</f>
        <v>CUMPLE</v>
      </c>
      <c r="U312" s="11">
        <f>G312*1000000/(0.9*(D312*1000)*J312^2)</f>
        <v>0.2357810481</v>
      </c>
      <c r="V312" s="12">
        <f>(0.85*$B$2/$D$2)*(1-SQRT(1-2*U312/(0.85*$B$2)))</f>
        <v>0.0005641920895</v>
      </c>
      <c r="W312" s="13">
        <f>V312*(D312*1000)*J312</f>
        <v>57.97920008</v>
      </c>
      <c r="X312" s="13">
        <f>MAX(W312,N312)</f>
        <v>342.55</v>
      </c>
      <c r="Y312" s="14">
        <f>ROUNDUP(X312/$J$2,0)</f>
        <v>2</v>
      </c>
      <c r="Z312" s="13">
        <f>Y312*$J$2</f>
        <v>398</v>
      </c>
      <c r="AA312" s="10">
        <f>0.9*Z312*$D$2*(J312-(Z312*$D$2/(0.85*$B$2*(D312*1000)))/2)/1000000</f>
        <v>49.77351244</v>
      </c>
      <c r="AB312" s="15" t="str">
        <f>IF(AA312&gt;=G312,"CUMPLE","REVISAR")</f>
        <v>CUMPLE</v>
      </c>
      <c r="AC312" s="10">
        <f>0.17*SQRT($B$2)*(D312*1000)*J312/1000</f>
        <v>92.44281538</v>
      </c>
      <c r="AD312" s="10">
        <f>MAX(H312/0.75-AC312,0)</f>
        <v>0</v>
      </c>
      <c r="AE312" s="14">
        <f>IF(AD312&gt;0,MIN($N$2*$D$2*J312/(AD312*1000),MIN(J312/4,6*$H$2,150)),MIN(J312/4,6*$H$2,150))</f>
        <v>85.6375</v>
      </c>
      <c r="AF312" s="10">
        <f>0.66*SQRT($B$2)*(D312*1000)*J312/1000</f>
        <v>358.8956362</v>
      </c>
      <c r="AG312" s="15" t="str">
        <f>IF(AD312&lt;=AF312,"CUMPLE","AUMENTAR SECCION")</f>
        <v>CUMPLE</v>
      </c>
      <c r="AH312" s="10">
        <f>0.75*0.083*SQRT($B$2)*(((D312*1000)*(E312*1000))^2/(2*((D312*1000)+(E312*1000))))/1000000</f>
        <v>3.388073536</v>
      </c>
      <c r="AI312" s="15" t="str">
        <f>IF(I312&gt;AH312,"SI","No")</f>
        <v>No</v>
      </c>
      <c r="AJ312" s="11">
        <f>IF(I312&gt;AH312,I312*1000000/(0.75*2*0.85*((D312*1000-2*$F$2)*(E312*1000-2*$F$2))*$D$2),0)</f>
        <v>0</v>
      </c>
      <c r="AK312" s="10">
        <f>1.25*Q312*$D$2*(J312-(1.25*Q312*$D$2/(0.85*$B$2*(D312*1000)))/2)/1000000</f>
        <v>68.51839235</v>
      </c>
      <c r="AL312" s="10">
        <f>1.25*Z312*$D$2*(J312-(1.25*Z312*$D$2/(0.85*$B$2*(D312*1000)))/2)/1000000</f>
        <v>68.51839235</v>
      </c>
      <c r="AM312" s="10">
        <f>(AK312+AL312)/B312</f>
        <v>54.81471388</v>
      </c>
      <c r="AN312" s="10">
        <f>MAX(H312,AM312)</f>
        <v>54.81471388</v>
      </c>
    </row>
    <row r="313">
      <c r="A313" s="5" t="inlineStr">
        <is>
          <t>F784</t>
        </is>
      </c>
      <c r="B313" s="6" t="n">
        <v>4</v>
      </c>
      <c r="C313" s="7" t="inlineStr">
        <is>
          <t>VC</t>
        </is>
      </c>
      <c r="D313" s="8">
        <f>IF(C313="VR",0.35,0.30)</f>
        <v>0.3</v>
      </c>
      <c r="E313" s="6" t="n">
        <v>0.4</v>
      </c>
      <c r="F313" s="9" t="n">
        <v>62.8</v>
      </c>
      <c r="G313" s="9" t="n">
        <v>22.3</v>
      </c>
      <c r="H313" s="9" t="n">
        <v>73.7</v>
      </c>
      <c r="I313" s="6" t="n">
        <v>0.36</v>
      </c>
      <c r="J313" s="10">
        <f>E313*1000-$F$2-$L$2-$H$2/2</f>
        <v>342.55</v>
      </c>
      <c r="K313" s="11">
        <f>F313*1000000/(0.9*(D313*1000)*J313^2)</f>
        <v>1.982833393</v>
      </c>
      <c r="L313" s="12">
        <f>(0.85*$B$2/$D$2)*(1-SQRT(1-2*K313/(0.85*$B$2)))</f>
        <v>0.004936010083</v>
      </c>
      <c r="M313" s="13">
        <f>L313*(D313*1000)*J313</f>
        <v>507.2490762</v>
      </c>
      <c r="N313" s="13">
        <f>MAX(0.25*SQRT($B$2)/$D$2,1.4/$D$2)*(D313*1000)*J313</f>
        <v>342.55</v>
      </c>
      <c r="O313" s="13">
        <f>MAX(M313,N313)</f>
        <v>507.2490762</v>
      </c>
      <c r="P313" s="14">
        <f>ROUNDUP(O313/$J$2,0)</f>
        <v>3</v>
      </c>
      <c r="Q313" s="13">
        <f>P313*$J$2</f>
        <v>597</v>
      </c>
      <c r="R313" s="10">
        <f>Q313*$D$2/(0.85*$B$2*(D313*1000))</f>
        <v>35.11764706</v>
      </c>
      <c r="S313" s="10">
        <f>0.9*Q313*$D$2*(J313-R313/2)/1000000</f>
        <v>73.33945883</v>
      </c>
      <c r="T313" s="15" t="str">
        <f>IF(AND(S313&gt;=F313,O313&lt;=0.025*(D313*1000)*J313,O313&gt;=N313),"CUMPLE","REVISAR")</f>
        <v>CUMPLE</v>
      </c>
      <c r="U313" s="11">
        <f>G313*1000000/(0.9*(D313*1000)*J313^2)</f>
        <v>0.7041867716</v>
      </c>
      <c r="V313" s="12">
        <f>(0.85*$B$2/$D$2)*(1-SQRT(1-2*U313/(0.85*$B$2)))</f>
        <v>0.001702201251</v>
      </c>
      <c r="W313" s="13">
        <f>V313*(D313*1000)*J313</f>
        <v>174.9267115</v>
      </c>
      <c r="X313" s="13">
        <f>MAX(W313,N313)</f>
        <v>342.55</v>
      </c>
      <c r="Y313" s="14">
        <f>ROUNDUP(X313/$J$2,0)</f>
        <v>2</v>
      </c>
      <c r="Z313" s="13">
        <f>Y313*$J$2</f>
        <v>398</v>
      </c>
      <c r="AA313" s="10">
        <f>0.9*Z313*$D$2*(J313-(Z313*$D$2/(0.85*$B$2*(D313*1000)))/2)/1000000</f>
        <v>49.77351244</v>
      </c>
      <c r="AB313" s="15" t="str">
        <f>IF(AA313&gt;=G313,"CUMPLE","REVISAR")</f>
        <v>CUMPLE</v>
      </c>
      <c r="AC313" s="10">
        <f>0.17*SQRT($B$2)*(D313*1000)*J313/1000</f>
        <v>92.44281538</v>
      </c>
      <c r="AD313" s="10">
        <f>MAX(H313/0.75-AC313,0)</f>
        <v>5.823851283</v>
      </c>
      <c r="AE313" s="14">
        <f>IF(AD313&gt;0,MIN($N$2*$D$2*J313/(AD313*1000),MIN(J313/4,6*$H$2,150)),MIN(J313/4,6*$H$2,150))</f>
        <v>85.6375</v>
      </c>
      <c r="AF313" s="10">
        <f>0.66*SQRT($B$2)*(D313*1000)*J313/1000</f>
        <v>358.8956362</v>
      </c>
      <c r="AG313" s="15" t="str">
        <f>IF(AD313&lt;=AF313,"CUMPLE","AUMENTAR SECCION")</f>
        <v>CUMPLE</v>
      </c>
      <c r="AH313" s="10">
        <f>0.75*0.083*SQRT($B$2)*(((D313*1000)*(E313*1000))^2/(2*((D313*1000)+(E313*1000))))/1000000</f>
        <v>3.388073536</v>
      </c>
      <c r="AI313" s="15" t="str">
        <f>IF(I313&gt;AH313,"SI","No")</f>
        <v>No</v>
      </c>
      <c r="AJ313" s="11">
        <f>IF(I313&gt;AH313,I313*1000000/(0.75*2*0.85*((D313*1000-2*$F$2)*(E313*1000-2*$F$2))*$D$2),0)</f>
        <v>0</v>
      </c>
      <c r="AK313" s="10">
        <f>1.25*Q313*$D$2*(J313-(1.25*Q313*$D$2/(0.85*$B$2*(D313*1000)))/2)/1000000</f>
        <v>100.4845159</v>
      </c>
      <c r="AL313" s="10">
        <f>1.25*Z313*$D$2*(J313-(1.25*Z313*$D$2/(0.85*$B$2*(D313*1000)))/2)/1000000</f>
        <v>68.51839235</v>
      </c>
      <c r="AM313" s="10">
        <f>(AK313+AL313)/B313</f>
        <v>42.25072707</v>
      </c>
      <c r="AN313" s="10">
        <f>MAX(H313,AM313)</f>
        <v>73.7</v>
      </c>
    </row>
    <row r="314">
      <c r="A314" s="5" t="inlineStr">
        <is>
          <t>F785</t>
        </is>
      </c>
      <c r="B314" s="6" t="n">
        <v>2.8</v>
      </c>
      <c r="C314" s="7" t="inlineStr">
        <is>
          <t>VR</t>
        </is>
      </c>
      <c r="D314" s="8">
        <f>IF(C314="VR",0.35,0.30)</f>
        <v>0.35</v>
      </c>
      <c r="E314" s="6" t="n">
        <v>0.4</v>
      </c>
      <c r="F314" s="9" t="n">
        <v>78.8</v>
      </c>
      <c r="G314" s="9" t="n">
        <v>37.4</v>
      </c>
      <c r="H314" s="9" t="n">
        <v>85.90000000000001</v>
      </c>
      <c r="I314" s="6" t="n">
        <v>0</v>
      </c>
      <c r="J314" s="10">
        <f>E314*1000-$F$2-$L$2-$H$2/2</f>
        <v>342.55</v>
      </c>
      <c r="K314" s="11">
        <f>F314*1000000/(0.9*(D314*1000)*J314^2)</f>
        <v>2.131904371</v>
      </c>
      <c r="L314" s="12">
        <f>(0.85*$B$2/$D$2)*(1-SQRT(1-2*K314/(0.85*$B$2)))</f>
        <v>0.005326279752</v>
      </c>
      <c r="M314" s="13">
        <f>L314*(D314*1000)*J314</f>
        <v>638.5809952</v>
      </c>
      <c r="N314" s="13">
        <f>MAX(0.25*SQRT($B$2)/$D$2,1.4/$D$2)*(D314*1000)*J314</f>
        <v>399.6416667</v>
      </c>
      <c r="O314" s="13">
        <f>MAX(M314,N314)</f>
        <v>638.5809952</v>
      </c>
      <c r="P314" s="14">
        <f>ROUNDUP(O314/$J$2,0)</f>
        <v>4</v>
      </c>
      <c r="Q314" s="13">
        <f>P314*$J$2</f>
        <v>796</v>
      </c>
      <c r="R314" s="10">
        <f>Q314*$D$2/(0.85*$B$2*(D314*1000))</f>
        <v>40.13445378</v>
      </c>
      <c r="S314" s="10">
        <f>0.9*Q314*$D$2*(J314-R314/2)/1000000</f>
        <v>97.03119664</v>
      </c>
      <c r="T314" s="15" t="str">
        <f>IF(AND(S314&gt;=F314,O314&lt;=0.025*(D314*1000)*J314,O314&gt;=N314),"CUMPLE","REVISAR")</f>
        <v>CUMPLE</v>
      </c>
      <c r="U314" s="11">
        <f>G314*1000000/(0.9*(D314*1000)*J314^2)</f>
        <v>1.010760752</v>
      </c>
      <c r="V314" s="12">
        <f>(0.85*$B$2/$D$2)*(1-SQRT(1-2*U314/(0.85*$B$2)))</f>
        <v>0.002459968315</v>
      </c>
      <c r="W314" s="13">
        <f>V314*(D314*1000)*J314</f>
        <v>294.9317512</v>
      </c>
      <c r="X314" s="13">
        <f>MAX(W314,N314)</f>
        <v>399.6416667</v>
      </c>
      <c r="Y314" s="14">
        <f>ROUNDUP(X314/$J$2,0)</f>
        <v>3</v>
      </c>
      <c r="Z314" s="13">
        <f>Y314*$J$2</f>
        <v>597</v>
      </c>
      <c r="AA314" s="10">
        <f>0.9*Z314*$D$2*(J314-(Z314*$D$2/(0.85*$B$2*(D314*1000)))/2)/1000000</f>
        <v>73.90552018</v>
      </c>
      <c r="AB314" s="15" t="str">
        <f>IF(AA314&gt;=G314,"CUMPLE","REVISAR")</f>
        <v>CUMPLE</v>
      </c>
      <c r="AC314" s="10">
        <f>0.17*SQRT($B$2)*(D314*1000)*J314/1000</f>
        <v>107.8499513</v>
      </c>
      <c r="AD314" s="10">
        <f>MAX(H314/0.75-AC314,0)</f>
        <v>6.670048719</v>
      </c>
      <c r="AE314" s="14">
        <f>IF(AD314&gt;0,MIN($N$2*$D$2*J314/(AD314*1000),MIN(J314/4,6*$H$2,150)),MIN(J314/4,6*$H$2,150))</f>
        <v>85.6375</v>
      </c>
      <c r="AF314" s="10">
        <f>0.66*SQRT($B$2)*(D314*1000)*J314/1000</f>
        <v>418.7115756</v>
      </c>
      <c r="AG314" s="15" t="str">
        <f>IF(AD314&lt;=AF314,"CUMPLE","AUMENTAR SECCION")</f>
        <v>CUMPLE</v>
      </c>
      <c r="AH314" s="10">
        <f>0.75*0.083*SQRT($B$2)*(((D314*1000)*(E314*1000))^2/(2*((D314*1000)+(E314*1000))))/1000000</f>
        <v>4.304108233</v>
      </c>
      <c r="AI314" s="15" t="str">
        <f>IF(I314&gt;AH314,"SI","No")</f>
        <v>No</v>
      </c>
      <c r="AJ314" s="11">
        <f>IF(I314&gt;AH314,I314*1000000/(0.75*2*0.85*((D314*1000-2*$F$2)*(E314*1000-2*$F$2))*$D$2),0)</f>
        <v>0</v>
      </c>
      <c r="AK314" s="10">
        <f>1.25*Q314*$D$2*(J314-(1.25*Q314*$D$2/(0.85*$B$2*(D314*1000)))/2)/1000000</f>
        <v>132.6690274</v>
      </c>
      <c r="AL314" s="10">
        <f>1.25*Z314*$D$2*(J314-(1.25*Z314*$D$2/(0.85*$B$2*(D314*1000)))/2)/1000000</f>
        <v>101.4672613</v>
      </c>
      <c r="AM314" s="10">
        <f>(AK314+AL314)/B314</f>
        <v>83.6201031</v>
      </c>
      <c r="AN314" s="10">
        <f>MAX(H314,AM314)</f>
        <v>85.89</v>
      </c>
    </row>
    <row r="315">
      <c r="A315" s="5" t="inlineStr">
        <is>
          <t>F786</t>
        </is>
      </c>
      <c r="B315" s="6" t="n">
        <v>2.7</v>
      </c>
      <c r="C315" s="7" t="inlineStr">
        <is>
          <t>VR</t>
        </is>
      </c>
      <c r="D315" s="8">
        <f>IF(C315="VR",0.35,0.30)</f>
        <v>0.35</v>
      </c>
      <c r="E315" s="6" t="n">
        <v>0.4</v>
      </c>
      <c r="F315" s="9" t="n">
        <v>81</v>
      </c>
      <c r="G315" s="9" t="n">
        <v>42.5</v>
      </c>
      <c r="H315" s="9" t="n">
        <v>88.59999999999999</v>
      </c>
      <c r="I315" s="6" t="n">
        <v>0</v>
      </c>
      <c r="J315" s="10">
        <f>E315*1000-$F$2-$L$2-$H$2/2</f>
        <v>342.55</v>
      </c>
      <c r="K315" s="11">
        <f>F315*1000000/(0.9*(D315*1000)*J315^2)</f>
        <v>2.192236182</v>
      </c>
      <c r="L315" s="12">
        <f>(0.85*$B$2/$D$2)*(1-SQRT(1-2*K315/(0.85*$B$2)))</f>
        <v>0.005485075094</v>
      </c>
      <c r="M315" s="13">
        <f>L315*(D315*1000)*J315</f>
        <v>657.6193658</v>
      </c>
      <c r="N315" s="13">
        <f>MAX(0.25*SQRT($B$2)/$D$2,1.4/$D$2)*(D315*1000)*J315</f>
        <v>399.6416667</v>
      </c>
      <c r="O315" s="13">
        <f>MAX(M315,N315)</f>
        <v>657.6193658</v>
      </c>
      <c r="P315" s="14">
        <f>ROUNDUP(O315/$J$2,0)</f>
        <v>4</v>
      </c>
      <c r="Q315" s="13">
        <f>P315*$J$2</f>
        <v>796</v>
      </c>
      <c r="R315" s="10">
        <f>Q315*$D$2/(0.85*$B$2*(D315*1000))</f>
        <v>40.13445378</v>
      </c>
      <c r="S315" s="10">
        <f>0.9*Q315*$D$2*(J315-R315/2)/1000000</f>
        <v>97.03119664</v>
      </c>
      <c r="T315" s="15" t="str">
        <f>IF(AND(S315&gt;=F315,O315&lt;=0.025*(D315*1000)*J315,O315&gt;=N315),"CUMPLE","REVISAR")</f>
        <v>CUMPLE</v>
      </c>
      <c r="U315" s="11">
        <f>G315*1000000/(0.9*(D315*1000)*J315^2)</f>
        <v>1.149550974</v>
      </c>
      <c r="V315" s="12">
        <f>(0.85*$B$2/$D$2)*(1-SQRT(1-2*U315/(0.85*$B$2)))</f>
        <v>0.002806525406</v>
      </c>
      <c r="W315" s="13">
        <f>V315*(D315*1000)*J315</f>
        <v>336.4813472</v>
      </c>
      <c r="X315" s="13">
        <f>MAX(W315,N315)</f>
        <v>399.6416667</v>
      </c>
      <c r="Y315" s="14">
        <f>ROUNDUP(X315/$J$2,0)</f>
        <v>3</v>
      </c>
      <c r="Z315" s="13">
        <f>Y315*$J$2</f>
        <v>597</v>
      </c>
      <c r="AA315" s="10">
        <f>0.9*Z315*$D$2*(J315-(Z315*$D$2/(0.85*$B$2*(D315*1000)))/2)/1000000</f>
        <v>73.90552018</v>
      </c>
      <c r="AB315" s="15" t="str">
        <f>IF(AA315&gt;=G315,"CUMPLE","REVISAR")</f>
        <v>CUMPLE</v>
      </c>
      <c r="AC315" s="10">
        <f>0.17*SQRT($B$2)*(D315*1000)*J315/1000</f>
        <v>107.8499513</v>
      </c>
      <c r="AD315" s="10">
        <f>MAX(H315/0.75-AC315,0)</f>
        <v>10.24338205</v>
      </c>
      <c r="AE315" s="14">
        <f>IF(AD315&gt;0,MIN($N$2*$D$2*J315/(AD315*1000),MIN(J315/4,6*$H$2,150)),MIN(J315/4,6*$H$2,150))</f>
        <v>85.6375</v>
      </c>
      <c r="AF315" s="10">
        <f>0.66*SQRT($B$2)*(D315*1000)*J315/1000</f>
        <v>418.7115756</v>
      </c>
      <c r="AG315" s="15" t="str">
        <f>IF(AD315&lt;=AF315,"CUMPLE","AUMENTAR SECCION")</f>
        <v>CUMPLE</v>
      </c>
      <c r="AH315" s="10">
        <f>0.75*0.083*SQRT($B$2)*(((D315*1000)*(E315*1000))^2/(2*((D315*1000)+(E315*1000))))/1000000</f>
        <v>4.304108233</v>
      </c>
      <c r="AI315" s="15" t="str">
        <f>IF(I315&gt;AH315,"SI","No")</f>
        <v>No</v>
      </c>
      <c r="AJ315" s="11">
        <f>IF(I315&gt;AH315,I315*1000000/(0.75*2*0.85*((D315*1000-2*$F$2)*(E315*1000-2*$F$2))*$D$2),0)</f>
        <v>0</v>
      </c>
      <c r="AK315" s="10">
        <f>1.25*Q315*$D$2*(J315-(1.25*Q315*$D$2/(0.85*$B$2*(D315*1000)))/2)/1000000</f>
        <v>132.6690274</v>
      </c>
      <c r="AL315" s="10">
        <f>1.25*Z315*$D$2*(J315-(1.25*Z315*$D$2/(0.85*$B$2*(D315*1000)))/2)/1000000</f>
        <v>101.4672613</v>
      </c>
      <c r="AM315" s="10">
        <f>(AK315+AL315)/B315</f>
        <v>86.71714395</v>
      </c>
      <c r="AN315" s="10">
        <f>MAX(H315,AM315)</f>
        <v>88.57</v>
      </c>
    </row>
    <row r="316">
      <c r="A316" s="5" t="inlineStr">
        <is>
          <t>F787</t>
        </is>
      </c>
      <c r="B316" s="6" t="n">
        <v>4</v>
      </c>
      <c r="C316" s="7" t="inlineStr">
        <is>
          <t>VC</t>
        </is>
      </c>
      <c r="D316" s="8">
        <f>IF(C316="VR",0.35,0.30)</f>
        <v>0.3</v>
      </c>
      <c r="E316" s="6" t="n">
        <v>0.4</v>
      </c>
      <c r="F316" s="9" t="n">
        <v>63</v>
      </c>
      <c r="G316" s="9" t="n">
        <v>22.4</v>
      </c>
      <c r="H316" s="9" t="n">
        <v>73.8</v>
      </c>
      <c r="I316" s="6" t="n">
        <v>0.36</v>
      </c>
      <c r="J316" s="10">
        <f>E316*1000-$F$2-$L$2-$H$2/2</f>
        <v>342.55</v>
      </c>
      <c r="K316" s="11">
        <f>F316*1000000/(0.9*(D316*1000)*J316^2)</f>
        <v>1.989461776</v>
      </c>
      <c r="L316" s="12">
        <f>(0.85*$B$2/$D$2)*(1-SQRT(1-2*K316/(0.85*$B$2)))</f>
        <v>0.004953300703</v>
      </c>
      <c r="M316" s="13">
        <f>L316*(D316*1000)*J316</f>
        <v>509.0259467</v>
      </c>
      <c r="N316" s="13">
        <f>MAX(0.25*SQRT($B$2)/$D$2,1.4/$D$2)*(D316*1000)*J316</f>
        <v>342.55</v>
      </c>
      <c r="O316" s="13">
        <f>MAX(M316,N316)</f>
        <v>509.0259467</v>
      </c>
      <c r="P316" s="14">
        <f>ROUNDUP(O316/$J$2,0)</f>
        <v>3</v>
      </c>
      <c r="Q316" s="13">
        <f>P316*$J$2</f>
        <v>597</v>
      </c>
      <c r="R316" s="10">
        <f>Q316*$D$2/(0.85*$B$2*(D316*1000))</f>
        <v>35.11764706</v>
      </c>
      <c r="S316" s="10">
        <f>0.9*Q316*$D$2*(J316-R316/2)/1000000</f>
        <v>73.33945883</v>
      </c>
      <c r="T316" s="15" t="str">
        <f>IF(AND(S316&gt;=F316,O316&lt;=0.025*(D316*1000)*J316,O316&gt;=N316),"CUMPLE","REVISAR")</f>
        <v>CUMPLE</v>
      </c>
      <c r="U316" s="11">
        <f>G316*1000000/(0.9*(D316*1000)*J316^2)</f>
        <v>0.7060805952</v>
      </c>
      <c r="V316" s="12">
        <f>(0.85*$B$2/$D$2)*(1-SQRT(1-2*U316/(0.85*$B$2)))</f>
        <v>0.001706850194</v>
      </c>
      <c r="W316" s="13">
        <f>V316*(D316*1000)*J316</f>
        <v>175.4044602</v>
      </c>
      <c r="X316" s="13">
        <f>MAX(W316,N316)</f>
        <v>342.55</v>
      </c>
      <c r="Y316" s="14">
        <f>ROUNDUP(X316/$J$2,0)</f>
        <v>2</v>
      </c>
      <c r="Z316" s="13">
        <f>Y316*$J$2</f>
        <v>398</v>
      </c>
      <c r="AA316" s="10">
        <f>0.9*Z316*$D$2*(J316-(Z316*$D$2/(0.85*$B$2*(D316*1000)))/2)/1000000</f>
        <v>49.77351244</v>
      </c>
      <c r="AB316" s="15" t="str">
        <f>IF(AA316&gt;=G316,"CUMPLE","REVISAR")</f>
        <v>CUMPLE</v>
      </c>
      <c r="AC316" s="10">
        <f>0.17*SQRT($B$2)*(D316*1000)*J316/1000</f>
        <v>92.44281538</v>
      </c>
      <c r="AD316" s="10">
        <f>MAX(H316/0.75-AC316,0)</f>
        <v>5.957184616</v>
      </c>
      <c r="AE316" s="14">
        <f>IF(AD316&gt;0,MIN($N$2*$D$2*J316/(AD316*1000),MIN(J316/4,6*$H$2,150)),MIN(J316/4,6*$H$2,150))</f>
        <v>85.6375</v>
      </c>
      <c r="AF316" s="10">
        <f>0.66*SQRT($B$2)*(D316*1000)*J316/1000</f>
        <v>358.8956362</v>
      </c>
      <c r="AG316" s="15" t="str">
        <f>IF(AD316&lt;=AF316,"CUMPLE","AUMENTAR SECCION")</f>
        <v>CUMPLE</v>
      </c>
      <c r="AH316" s="10">
        <f>0.75*0.083*SQRT($B$2)*(((D316*1000)*(E316*1000))^2/(2*((D316*1000)+(E316*1000))))/1000000</f>
        <v>3.388073536</v>
      </c>
      <c r="AI316" s="15" t="str">
        <f>IF(I316&gt;AH316,"SI","No")</f>
        <v>No</v>
      </c>
      <c r="AJ316" s="11">
        <f>IF(I316&gt;AH316,I316*1000000/(0.75*2*0.85*((D316*1000-2*$F$2)*(E316*1000-2*$F$2))*$D$2),0)</f>
        <v>0</v>
      </c>
      <c r="AK316" s="10">
        <f>1.25*Q316*$D$2*(J316-(1.25*Q316*$D$2/(0.85*$B$2*(D316*1000)))/2)/1000000</f>
        <v>100.4845159</v>
      </c>
      <c r="AL316" s="10">
        <f>1.25*Z316*$D$2*(J316-(1.25*Z316*$D$2/(0.85*$B$2*(D316*1000)))/2)/1000000</f>
        <v>68.51839235</v>
      </c>
      <c r="AM316" s="10">
        <f>(AK316+AL316)/B316</f>
        <v>42.25072707</v>
      </c>
      <c r="AN316" s="10">
        <f>MAX(H316,AM316)</f>
        <v>73.8</v>
      </c>
    </row>
    <row r="317">
      <c r="A317" s="5" t="inlineStr">
        <is>
          <t>F788</t>
        </is>
      </c>
      <c r="B317" s="6" t="n">
        <v>2.5</v>
      </c>
      <c r="C317" s="7" t="inlineStr">
        <is>
          <t>VC</t>
        </is>
      </c>
      <c r="D317" s="8">
        <f>IF(C317="VR",0.35,0.30)</f>
        <v>0.3</v>
      </c>
      <c r="E317" s="6" t="n">
        <v>0.4</v>
      </c>
      <c r="F317" s="9" t="n">
        <v>17.5</v>
      </c>
      <c r="G317" s="9" t="n">
        <v>7.5</v>
      </c>
      <c r="H317" s="9" t="n">
        <v>40.5</v>
      </c>
      <c r="I317" s="6" t="n">
        <v>0.03</v>
      </c>
      <c r="J317" s="10">
        <f>E317*1000-$F$2-$L$2-$H$2/2</f>
        <v>342.55</v>
      </c>
      <c r="K317" s="11">
        <f>F317*1000000/(0.9*(D317*1000)*J317^2)</f>
        <v>0.553627789</v>
      </c>
      <c r="L317" s="12">
        <f>(0.85*$B$2/$D$2)*(1-SQRT(1-2*K317/(0.85*$B$2)))</f>
        <v>0.001333860073</v>
      </c>
      <c r="M317" s="13">
        <f>L317*(D317*1000)*J317</f>
        <v>137.0741304</v>
      </c>
      <c r="N317" s="13">
        <f>MAX(0.25*SQRT($B$2)/$D$2,1.4/$D$2)*(D317*1000)*J317</f>
        <v>342.55</v>
      </c>
      <c r="O317" s="13">
        <f>MAX(M317,N317)</f>
        <v>342.55</v>
      </c>
      <c r="P317" s="14">
        <f>ROUNDUP(O317/$J$2,0)</f>
        <v>2</v>
      </c>
      <c r="Q317" s="13">
        <f>P317*$J$2</f>
        <v>398</v>
      </c>
      <c r="R317" s="10">
        <f>Q317*$D$2/(0.85*$B$2*(D317*1000))</f>
        <v>23.41176471</v>
      </c>
      <c r="S317" s="10">
        <f>0.9*Q317*$D$2*(J317-R317/2)/1000000</f>
        <v>49.77351244</v>
      </c>
      <c r="T317" s="15" t="str">
        <f>IF(AND(S317&gt;=F317,O317&lt;=0.025*(D317*1000)*J317,O317&gt;=N317),"CUMPLE","REVISAR")</f>
        <v>CUMPLE</v>
      </c>
      <c r="U317" s="11">
        <f>G317*1000000/(0.9*(D317*1000)*J317^2)</f>
        <v>0.2357810481</v>
      </c>
      <c r="V317" s="12">
        <f>(0.85*$B$2/$D$2)*(1-SQRT(1-2*U317/(0.85*$B$2)))</f>
        <v>0.0005641920895</v>
      </c>
      <c r="W317" s="13">
        <f>V317*(D317*1000)*J317</f>
        <v>57.97920008</v>
      </c>
      <c r="X317" s="13">
        <f>MAX(W317,N317)</f>
        <v>342.55</v>
      </c>
      <c r="Y317" s="14">
        <f>ROUNDUP(X317/$J$2,0)</f>
        <v>2</v>
      </c>
      <c r="Z317" s="13">
        <f>Y317*$J$2</f>
        <v>398</v>
      </c>
      <c r="AA317" s="10">
        <f>0.9*Z317*$D$2*(J317-(Z317*$D$2/(0.85*$B$2*(D317*1000)))/2)/1000000</f>
        <v>49.77351244</v>
      </c>
      <c r="AB317" s="15" t="str">
        <f>IF(AA317&gt;=G317,"CUMPLE","REVISAR")</f>
        <v>CUMPLE</v>
      </c>
      <c r="AC317" s="10">
        <f>0.17*SQRT($B$2)*(D317*1000)*J317/1000</f>
        <v>92.44281538</v>
      </c>
      <c r="AD317" s="10">
        <f>MAX(H317/0.75-AC317,0)</f>
        <v>0</v>
      </c>
      <c r="AE317" s="14">
        <f>IF(AD317&gt;0,MIN($N$2*$D$2*J317/(AD317*1000),MIN(J317/4,6*$H$2,150)),MIN(J317/4,6*$H$2,150))</f>
        <v>85.6375</v>
      </c>
      <c r="AF317" s="10">
        <f>0.66*SQRT($B$2)*(D317*1000)*J317/1000</f>
        <v>358.8956362</v>
      </c>
      <c r="AG317" s="15" t="str">
        <f>IF(AD317&lt;=AF317,"CUMPLE","AUMENTAR SECCION")</f>
        <v>CUMPLE</v>
      </c>
      <c r="AH317" s="10">
        <f>0.75*0.083*SQRT($B$2)*(((D317*1000)*(E317*1000))^2/(2*((D317*1000)+(E317*1000))))/1000000</f>
        <v>3.388073536</v>
      </c>
      <c r="AI317" s="15" t="str">
        <f>IF(I317&gt;AH317,"SI","No")</f>
        <v>No</v>
      </c>
      <c r="AJ317" s="11">
        <f>IF(I317&gt;AH317,I317*1000000/(0.75*2*0.85*((D317*1000-2*$F$2)*(E317*1000-2*$F$2))*$D$2),0)</f>
        <v>0</v>
      </c>
      <c r="AK317" s="10">
        <f>1.25*Q317*$D$2*(J317-(1.25*Q317*$D$2/(0.85*$B$2*(D317*1000)))/2)/1000000</f>
        <v>68.51839235</v>
      </c>
      <c r="AL317" s="10">
        <f>1.25*Z317*$D$2*(J317-(1.25*Z317*$D$2/(0.85*$B$2*(D317*1000)))/2)/1000000</f>
        <v>68.51839235</v>
      </c>
      <c r="AM317" s="10">
        <f>(AK317+AL317)/B317</f>
        <v>54.81471388</v>
      </c>
      <c r="AN317" s="10">
        <f>MAX(H317,AM317)</f>
        <v>54.81471388</v>
      </c>
    </row>
    <row r="318">
      <c r="A318" s="5" t="inlineStr">
        <is>
          <t>F789</t>
        </is>
      </c>
      <c r="B318" s="6" t="n">
        <v>2.6</v>
      </c>
      <c r="C318" s="7" t="inlineStr">
        <is>
          <t>VC</t>
        </is>
      </c>
      <c r="D318" s="8">
        <f>IF(C318="VR",0.35,0.30)</f>
        <v>0.3</v>
      </c>
      <c r="E318" s="6" t="n">
        <v>0.4</v>
      </c>
      <c r="F318" s="9" t="n">
        <v>95.3</v>
      </c>
      <c r="G318" s="9" t="n">
        <v>37.8</v>
      </c>
      <c r="H318" s="9" t="n">
        <v>152</v>
      </c>
      <c r="I318" s="6" t="n">
        <v>1.2</v>
      </c>
      <c r="J318" s="10">
        <f>E318*1000-$F$2-$L$2-$H$2/2</f>
        <v>342.55</v>
      </c>
      <c r="K318" s="11">
        <f>F318*1000000/(0.9*(D318*1000)*J318^2)</f>
        <v>3.007392003</v>
      </c>
      <c r="L318" s="12">
        <f>(0.85*$B$2/$D$2)*(1-SQRT(1-2*K318/(0.85*$B$2)))</f>
        <v>0.007681029649</v>
      </c>
      <c r="M318" s="13">
        <f>L318*(D318*1000)*J318</f>
        <v>789.3410119</v>
      </c>
      <c r="N318" s="13">
        <f>MAX(0.25*SQRT($B$2)/$D$2,1.4/$D$2)*(D318*1000)*J318</f>
        <v>342.55</v>
      </c>
      <c r="O318" s="13">
        <f>MAX(M318,N318)</f>
        <v>789.3410119</v>
      </c>
      <c r="P318" s="14">
        <f>ROUNDUP(O318/$J$2,0)</f>
        <v>4</v>
      </c>
      <c r="Q318" s="13">
        <f>P318*$J$2</f>
        <v>796</v>
      </c>
      <c r="R318" s="10">
        <f>Q318*$D$2/(0.85*$B$2*(D318*1000))</f>
        <v>46.82352941</v>
      </c>
      <c r="S318" s="10">
        <f>0.9*Q318*$D$2*(J318-R318/2)/1000000</f>
        <v>96.02486534</v>
      </c>
      <c r="T318" s="15" t="str">
        <f>IF(AND(S318&gt;=F318,O318&lt;=0.025*(D318*1000)*J318,O318&gt;=N318),"CUMPLE","REVISAR")</f>
        <v>CUMPLE</v>
      </c>
      <c r="U318" s="11">
        <f>G318*1000000/(0.9*(D318*1000)*J318^2)</f>
        <v>1.192162006</v>
      </c>
      <c r="V318" s="12">
        <f>(0.85*$B$2/$D$2)*(1-SQRT(1-2*U318/(0.85*$B$2)))</f>
        <v>0.002913372801</v>
      </c>
      <c r="W318" s="13">
        <f>V318*(D318*1000)*J318</f>
        <v>299.3927558</v>
      </c>
      <c r="X318" s="13">
        <f>MAX(W318,N318)</f>
        <v>342.55</v>
      </c>
      <c r="Y318" s="14">
        <f>ROUNDUP(X318/$J$2,0)</f>
        <v>2</v>
      </c>
      <c r="Z318" s="13">
        <f>Y318*$J$2</f>
        <v>398</v>
      </c>
      <c r="AA318" s="10">
        <f>0.9*Z318*$D$2*(J318-(Z318*$D$2/(0.85*$B$2*(D318*1000)))/2)/1000000</f>
        <v>49.77351244</v>
      </c>
      <c r="AB318" s="15" t="str">
        <f>IF(AA318&gt;=G318,"CUMPLE","REVISAR")</f>
        <v>CUMPLE</v>
      </c>
      <c r="AC318" s="10">
        <f>0.17*SQRT($B$2)*(D318*1000)*J318/1000</f>
        <v>92.44281538</v>
      </c>
      <c r="AD318" s="10">
        <f>MAX(H318/0.75-AC318,0)</f>
        <v>110.2371846</v>
      </c>
      <c r="AE318" s="14">
        <f>IF(AD318&gt;0,MIN($N$2*$D$2*J318/(AD318*1000),MIN(J318/4,6*$H$2,150)),MIN(J318/4,6*$H$2,150))</f>
        <v>85.6375</v>
      </c>
      <c r="AF318" s="10">
        <f>0.66*SQRT($B$2)*(D318*1000)*J318/1000</f>
        <v>358.8956362</v>
      </c>
      <c r="AG318" s="15" t="str">
        <f>IF(AD318&lt;=AF318,"CUMPLE","AUMENTAR SECCION")</f>
        <v>CUMPLE</v>
      </c>
      <c r="AH318" s="10">
        <f>0.75*0.083*SQRT($B$2)*(((D318*1000)*(E318*1000))^2/(2*((D318*1000)+(E318*1000))))/1000000</f>
        <v>3.388073536</v>
      </c>
      <c r="AI318" s="15" t="str">
        <f>IF(I318&gt;AH318,"SI","No")</f>
        <v>No</v>
      </c>
      <c r="AJ318" s="11">
        <f>IF(I318&gt;AH318,I318*1000000/(0.75*2*0.85*((D318*1000-2*$F$2)*(E318*1000-2*$F$2))*$D$2),0)</f>
        <v>0</v>
      </c>
      <c r="AK318" s="10">
        <f>1.25*Q318*$D$2*(J318-(1.25*Q318*$D$2/(0.85*$B$2*(D318*1000)))/2)/1000000</f>
        <v>130.9219244</v>
      </c>
      <c r="AL318" s="10">
        <f>1.25*Z318*$D$2*(J318-(1.25*Z318*$D$2/(0.85*$B$2*(D318*1000)))/2)/1000000</f>
        <v>68.51839235</v>
      </c>
      <c r="AM318" s="10">
        <f>(AK318+AL318)/B318</f>
        <v>76.70781414</v>
      </c>
      <c r="AN318" s="10">
        <f>MAX(H318,AM318)</f>
        <v>152.01</v>
      </c>
    </row>
    <row r="319">
      <c r="A319" s="5" t="inlineStr">
        <is>
          <t>F790</t>
        </is>
      </c>
      <c r="B319" s="6" t="n">
        <v>2.95</v>
      </c>
      <c r="C319" s="7" t="inlineStr">
        <is>
          <t>VR</t>
        </is>
      </c>
      <c r="D319" s="8">
        <f>IF(C319="VR",0.35,0.30)</f>
        <v>0.35</v>
      </c>
      <c r="E319" s="6" t="n">
        <v>0.4</v>
      </c>
      <c r="F319" s="9" t="n">
        <v>47.1</v>
      </c>
      <c r="G319" s="9" t="n">
        <v>37</v>
      </c>
      <c r="H319" s="9" t="n">
        <v>82.59999999999999</v>
      </c>
      <c r="I319" s="6" t="n">
        <v>1.2</v>
      </c>
      <c r="J319" s="10">
        <f>E319*1000-$F$2-$L$2-$H$2/2</f>
        <v>342.55</v>
      </c>
      <c r="K319" s="11">
        <f>F319*1000000/(0.9*(D319*1000)*J319^2)</f>
        <v>1.275625521</v>
      </c>
      <c r="L319" s="12">
        <f>(0.85*$B$2/$D$2)*(1-SQRT(1-2*K319/(0.85*$B$2)))</f>
        <v>0.003123275846</v>
      </c>
      <c r="M319" s="13">
        <f>L319*(D319*1000)*J319</f>
        <v>374.4573494</v>
      </c>
      <c r="N319" s="13">
        <f>MAX(0.25*SQRT($B$2)/$D$2,1.4/$D$2)*(D319*1000)*J319</f>
        <v>399.6416667</v>
      </c>
      <c r="O319" s="13">
        <f>MAX(M319,N319)</f>
        <v>399.6416667</v>
      </c>
      <c r="P319" s="14">
        <f>ROUNDUP(O319/$J$2,0)</f>
        <v>3</v>
      </c>
      <c r="Q319" s="13">
        <f>P319*$J$2</f>
        <v>597</v>
      </c>
      <c r="R319" s="10">
        <f>Q319*$D$2/(0.85*$B$2*(D319*1000))</f>
        <v>30.10084034</v>
      </c>
      <c r="S319" s="10">
        <f>0.9*Q319*$D$2*(J319-R319/2)/1000000</f>
        <v>73.90552018</v>
      </c>
      <c r="T319" s="15" t="str">
        <f>IF(AND(S319&gt;=F319,O319&lt;=0.025*(D319*1000)*J319,O319&gt;=N319),"CUMPLE","REVISAR")</f>
        <v>CUMPLE</v>
      </c>
      <c r="U319" s="11">
        <f>G319*1000000/(0.9*(D319*1000)*J319^2)</f>
        <v>1.000209449</v>
      </c>
      <c r="V319" s="12">
        <f>(0.85*$B$2/$D$2)*(1-SQRT(1-2*U319/(0.85*$B$2)))</f>
        <v>0.002433712448</v>
      </c>
      <c r="W319" s="13">
        <f>V319*(D319*1000)*J319</f>
        <v>291.7838697</v>
      </c>
      <c r="X319" s="13">
        <f>MAX(W319,N319)</f>
        <v>399.6416667</v>
      </c>
      <c r="Y319" s="14">
        <f>ROUNDUP(X319/$J$2,0)</f>
        <v>3</v>
      </c>
      <c r="Z319" s="13">
        <f>Y319*$J$2</f>
        <v>597</v>
      </c>
      <c r="AA319" s="10">
        <f>0.9*Z319*$D$2*(J319-(Z319*$D$2/(0.85*$B$2*(D319*1000)))/2)/1000000</f>
        <v>73.90552018</v>
      </c>
      <c r="AB319" s="15" t="str">
        <f>IF(AA319&gt;=G319,"CUMPLE","REVISAR")</f>
        <v>CUMPLE</v>
      </c>
      <c r="AC319" s="10">
        <f>0.17*SQRT($B$2)*(D319*1000)*J319/1000</f>
        <v>107.8499513</v>
      </c>
      <c r="AD319" s="10">
        <f>MAX(H319/0.75-AC319,0)</f>
        <v>2.323382052</v>
      </c>
      <c r="AE319" s="14">
        <f>IF(AD319&gt;0,MIN($N$2*$D$2*J319/(AD319*1000),MIN(J319/4,6*$H$2,150)),MIN(J319/4,6*$H$2,150))</f>
        <v>85.6375</v>
      </c>
      <c r="AF319" s="10">
        <f>0.66*SQRT($B$2)*(D319*1000)*J319/1000</f>
        <v>418.7115756</v>
      </c>
      <c r="AG319" s="15" t="str">
        <f>IF(AD319&lt;=AF319,"CUMPLE","AUMENTAR SECCION")</f>
        <v>CUMPLE</v>
      </c>
      <c r="AH319" s="10">
        <f>0.75*0.083*SQRT($B$2)*(((D319*1000)*(E319*1000))^2/(2*((D319*1000)+(E319*1000))))/1000000</f>
        <v>4.304108233</v>
      </c>
      <c r="AI319" s="15" t="str">
        <f>IF(I319&gt;AH319,"SI","No")</f>
        <v>No</v>
      </c>
      <c r="AJ319" s="11">
        <f>IF(I319&gt;AH319,I319*1000000/(0.75*2*0.85*((D319*1000-2*$F$2)*(E319*1000-2*$F$2))*$D$2),0)</f>
        <v>0</v>
      </c>
      <c r="AK319" s="10">
        <f>1.25*Q319*$D$2*(J319-(1.25*Q319*$D$2/(0.85*$B$2*(D319*1000)))/2)/1000000</f>
        <v>101.4672613</v>
      </c>
      <c r="AL319" s="10">
        <f>1.25*Z319*$D$2*(J319-(1.25*Z319*$D$2/(0.85*$B$2*(D319*1000)))/2)/1000000</f>
        <v>101.4672613</v>
      </c>
      <c r="AM319" s="10">
        <f>(AK319+AL319)/B319</f>
        <v>68.79136361</v>
      </c>
      <c r="AN319" s="10">
        <f>MAX(H319,AM319)</f>
        <v>82.63</v>
      </c>
    </row>
    <row r="320">
      <c r="A320" s="5" t="inlineStr">
        <is>
          <t>F791</t>
        </is>
      </c>
      <c r="B320" s="6" t="n">
        <v>2.6</v>
      </c>
      <c r="C320" s="7" t="inlineStr">
        <is>
          <t>VC</t>
        </is>
      </c>
      <c r="D320" s="8">
        <f>IF(C320="VR",0.35,0.30)</f>
        <v>0.3</v>
      </c>
      <c r="E320" s="6" t="n">
        <v>0.4</v>
      </c>
      <c r="F320" s="9" t="n">
        <v>28.1</v>
      </c>
      <c r="G320" s="9" t="n">
        <v>9.4</v>
      </c>
      <c r="H320" s="9" t="n">
        <v>47.6</v>
      </c>
      <c r="I320" s="6" t="n">
        <v>0.38</v>
      </c>
      <c r="J320" s="10">
        <f>E320*1000-$F$2-$L$2-$H$2/2</f>
        <v>342.55</v>
      </c>
      <c r="K320" s="11">
        <f>F320*1000000/(0.9*(D320*1000)*J320^2)</f>
        <v>0.8872563939</v>
      </c>
      <c r="L320" s="12">
        <f>(0.85*$B$2/$D$2)*(1-SQRT(1-2*K320/(0.85*$B$2)))</f>
        <v>0.002153432319</v>
      </c>
      <c r="M320" s="13">
        <f>L320*(D320*1000)*J320</f>
        <v>221.2974722</v>
      </c>
      <c r="N320" s="13">
        <f>MAX(0.25*SQRT($B$2)/$D$2,1.4/$D$2)*(D320*1000)*J320</f>
        <v>342.55</v>
      </c>
      <c r="O320" s="13">
        <f>MAX(M320,N320)</f>
        <v>342.55</v>
      </c>
      <c r="P320" s="14">
        <f>ROUNDUP(O320/$J$2,0)</f>
        <v>2</v>
      </c>
      <c r="Q320" s="13">
        <f>P320*$J$2</f>
        <v>398</v>
      </c>
      <c r="R320" s="10">
        <f>Q320*$D$2/(0.85*$B$2*(D320*1000))</f>
        <v>23.41176471</v>
      </c>
      <c r="S320" s="10">
        <f>0.9*Q320*$D$2*(J320-R320/2)/1000000</f>
        <v>49.77351244</v>
      </c>
      <c r="T320" s="15" t="str">
        <f>IF(AND(S320&gt;=F320,O320&lt;=0.025*(D320*1000)*J320,O320&gt;=N320),"CUMPLE","REVISAR")</f>
        <v>CUMPLE</v>
      </c>
      <c r="U320" s="11">
        <f>G320*1000000/(0.9*(D320*1000)*J320^2)</f>
        <v>0.2957521313</v>
      </c>
      <c r="V320" s="12">
        <f>(0.85*$B$2/$D$2)*(1-SQRT(1-2*U320/(0.85*$B$2)))</f>
        <v>0.0007086021858</v>
      </c>
      <c r="W320" s="13">
        <f>V320*(D320*1000)*J320</f>
        <v>72.81950363</v>
      </c>
      <c r="X320" s="13">
        <f>MAX(W320,N320)</f>
        <v>342.55</v>
      </c>
      <c r="Y320" s="14">
        <f>ROUNDUP(X320/$J$2,0)</f>
        <v>2</v>
      </c>
      <c r="Z320" s="13">
        <f>Y320*$J$2</f>
        <v>398</v>
      </c>
      <c r="AA320" s="10">
        <f>0.9*Z320*$D$2*(J320-(Z320*$D$2/(0.85*$B$2*(D320*1000)))/2)/1000000</f>
        <v>49.77351244</v>
      </c>
      <c r="AB320" s="15" t="str">
        <f>IF(AA320&gt;=G320,"CUMPLE","REVISAR")</f>
        <v>CUMPLE</v>
      </c>
      <c r="AC320" s="10">
        <f>0.17*SQRT($B$2)*(D320*1000)*J320/1000</f>
        <v>92.44281538</v>
      </c>
      <c r="AD320" s="10">
        <f>MAX(H320/0.75-AC320,0)</f>
        <v>0</v>
      </c>
      <c r="AE320" s="14">
        <f>IF(AD320&gt;0,MIN($N$2*$D$2*J320/(AD320*1000),MIN(J320/4,6*$H$2,150)),MIN(J320/4,6*$H$2,150))</f>
        <v>85.6375</v>
      </c>
      <c r="AF320" s="10">
        <f>0.66*SQRT($B$2)*(D320*1000)*J320/1000</f>
        <v>358.8956362</v>
      </c>
      <c r="AG320" s="15" t="str">
        <f>IF(AD320&lt;=AF320,"CUMPLE","AUMENTAR SECCION")</f>
        <v>CUMPLE</v>
      </c>
      <c r="AH320" s="10">
        <f>0.75*0.083*SQRT($B$2)*(((D320*1000)*(E320*1000))^2/(2*((D320*1000)+(E320*1000))))/1000000</f>
        <v>3.388073536</v>
      </c>
      <c r="AI320" s="15" t="str">
        <f>IF(I320&gt;AH320,"SI","No")</f>
        <v>No</v>
      </c>
      <c r="AJ320" s="11">
        <f>IF(I320&gt;AH320,I320*1000000/(0.75*2*0.85*((D320*1000-2*$F$2)*(E320*1000-2*$F$2))*$D$2),0)</f>
        <v>0</v>
      </c>
      <c r="AK320" s="10">
        <f>1.25*Q320*$D$2*(J320-(1.25*Q320*$D$2/(0.85*$B$2*(D320*1000)))/2)/1000000</f>
        <v>68.51839235</v>
      </c>
      <c r="AL320" s="10">
        <f>1.25*Z320*$D$2*(J320-(1.25*Z320*$D$2/(0.85*$B$2*(D320*1000)))/2)/1000000</f>
        <v>68.51839235</v>
      </c>
      <c r="AM320" s="10">
        <f>(AK320+AL320)/B320</f>
        <v>52.70645566</v>
      </c>
      <c r="AN320" s="10">
        <f>MAX(H320,AM320)</f>
        <v>52.70645566</v>
      </c>
    </row>
    <row r="321">
      <c r="A321" s="5" t="inlineStr">
        <is>
          <t>F792</t>
        </is>
      </c>
      <c r="B321" s="6" t="n">
        <v>3.65</v>
      </c>
      <c r="C321" s="7" t="inlineStr">
        <is>
          <t>VR</t>
        </is>
      </c>
      <c r="D321" s="8">
        <f>IF(C321="VR",0.35,0.30)</f>
        <v>0.35</v>
      </c>
      <c r="E321" s="6" t="n">
        <v>0.4</v>
      </c>
      <c r="F321" s="9" t="n">
        <v>38</v>
      </c>
      <c r="G321" s="9" t="n">
        <v>34.5</v>
      </c>
      <c r="H321" s="9" t="n">
        <v>109.5</v>
      </c>
      <c r="I321" s="6" t="n">
        <v>5.7</v>
      </c>
      <c r="J321" s="10">
        <f>E321*1000-$F$2-$L$2-$H$2/2</f>
        <v>342.55</v>
      </c>
      <c r="K321" s="11">
        <f>F321*1000000/(0.9*(D321*1000)*J321^2)</f>
        <v>1.029157897</v>
      </c>
      <c r="L321" s="12">
        <f>(0.85*$B$2/$D$2)*(1-SQRT(1-2*K321/(0.85*$B$2)))</f>
        <v>0.00250577822</v>
      </c>
      <c r="M321" s="13">
        <f>L321*(D321*1000)*J321</f>
        <v>300.4240152</v>
      </c>
      <c r="N321" s="13">
        <f>MAX(0.25*SQRT($B$2)/$D$2,1.4/$D$2)*(D321*1000)*J321</f>
        <v>399.6416667</v>
      </c>
      <c r="O321" s="13">
        <f>MAX(M321,N321)</f>
        <v>399.6416667</v>
      </c>
      <c r="P321" s="14">
        <f>ROUNDUP(O321/$J$2,0)</f>
        <v>3</v>
      </c>
      <c r="Q321" s="13">
        <f>P321*$J$2</f>
        <v>597</v>
      </c>
      <c r="R321" s="10">
        <f>Q321*$D$2/(0.85*$B$2*(D321*1000))</f>
        <v>30.10084034</v>
      </c>
      <c r="S321" s="10">
        <f>0.9*Q321*$D$2*(J321-R321/2)/1000000</f>
        <v>73.90552018</v>
      </c>
      <c r="T321" s="15" t="str">
        <f>IF(AND(S321&gt;=F321,O321&lt;=0.025*(D321*1000)*J321,O321&gt;=N321),"CUMPLE","REVISAR")</f>
        <v>CUMPLE</v>
      </c>
      <c r="U321" s="11">
        <f>G321*1000000/(0.9*(D321*1000)*J321^2)</f>
        <v>0.9344667128</v>
      </c>
      <c r="V321" s="12">
        <f>(0.85*$B$2/$D$2)*(1-SQRT(1-2*U321/(0.85*$B$2)))</f>
        <v>0.002270403682</v>
      </c>
      <c r="W321" s="13">
        <f>V321*(D321*1000)*J321</f>
        <v>272.2043734</v>
      </c>
      <c r="X321" s="13">
        <f>MAX(W321,N321)</f>
        <v>399.6416667</v>
      </c>
      <c r="Y321" s="14">
        <f>ROUNDUP(X321/$J$2,0)</f>
        <v>3</v>
      </c>
      <c r="Z321" s="13">
        <f>Y321*$J$2</f>
        <v>597</v>
      </c>
      <c r="AA321" s="10">
        <f>0.9*Z321*$D$2*(J321-(Z321*$D$2/(0.85*$B$2*(D321*1000)))/2)/1000000</f>
        <v>73.90552018</v>
      </c>
      <c r="AB321" s="15" t="str">
        <f>IF(AA321&gt;=G321,"CUMPLE","REVISAR")</f>
        <v>CUMPLE</v>
      </c>
      <c r="AC321" s="10">
        <f>0.17*SQRT($B$2)*(D321*1000)*J321/1000</f>
        <v>107.8499513</v>
      </c>
      <c r="AD321" s="10">
        <f>MAX(H321/0.75-AC321,0)</f>
        <v>38.08338205</v>
      </c>
      <c r="AE321" s="14">
        <f>IF(AD321&gt;0,MIN($N$2*$D$2*J321/(AD321*1000),MIN(J321/4,6*$H$2,150)),MIN(J321/4,6*$H$2,150))</f>
        <v>85.6375</v>
      </c>
      <c r="AF321" s="10">
        <f>0.66*SQRT($B$2)*(D321*1000)*J321/1000</f>
        <v>418.7115756</v>
      </c>
      <c r="AG321" s="15" t="str">
        <f>IF(AD321&lt;=AF321,"CUMPLE","AUMENTAR SECCION")</f>
        <v>CUMPLE</v>
      </c>
      <c r="AH321" s="10">
        <f>0.75*0.083*SQRT($B$2)*(((D321*1000)*(E321*1000))^2/(2*((D321*1000)+(E321*1000))))/1000000</f>
        <v>4.304108233</v>
      </c>
      <c r="AI321" s="15" t="str">
        <f>IF(I321&gt;AH321,"SI","No")</f>
        <v>SI</v>
      </c>
      <c r="AJ321" s="11">
        <f>IF(I321&gt;AH321,I321*1000000/(0.75*2*0.85*((D321*1000-2*$F$2)*(E321*1000-2*$F$2))*$D$2),0)</f>
        <v>0.1230893592</v>
      </c>
      <c r="AK321" s="10">
        <f>1.25*Q321*$D$2*(J321-(1.25*Q321*$D$2/(0.85*$B$2*(D321*1000)))/2)/1000000</f>
        <v>101.4672613</v>
      </c>
      <c r="AL321" s="10">
        <f>1.25*Z321*$D$2*(J321-(1.25*Z321*$D$2/(0.85*$B$2*(D321*1000)))/2)/1000000</f>
        <v>101.4672613</v>
      </c>
      <c r="AM321" s="10">
        <f>(AK321+AL321)/B321</f>
        <v>55.55283949</v>
      </c>
      <c r="AN321" s="10">
        <f>MAX(H321,AM321)</f>
        <v>109.45</v>
      </c>
    </row>
    <row r="322">
      <c r="A322" s="5" t="inlineStr">
        <is>
          <t>F793</t>
        </is>
      </c>
      <c r="B322" s="6" t="n">
        <v>2.6</v>
      </c>
      <c r="C322" s="7" t="inlineStr">
        <is>
          <t>VC</t>
        </is>
      </c>
      <c r="D322" s="8">
        <f>IF(C322="VR",0.35,0.30)</f>
        <v>0.3</v>
      </c>
      <c r="E322" s="6" t="n">
        <v>0.4</v>
      </c>
      <c r="F322" s="9" t="n">
        <v>22.7</v>
      </c>
      <c r="G322" s="9" t="n">
        <v>14.2</v>
      </c>
      <c r="H322" s="9" t="n">
        <v>47.9</v>
      </c>
      <c r="I322" s="6" t="n">
        <v>1.7</v>
      </c>
      <c r="J322" s="10">
        <f>E322*1000-$F$2-$L$2-$H$2/2</f>
        <v>342.55</v>
      </c>
      <c r="K322" s="11">
        <f>F322*1000000/(0.9*(D322*1000)*J322^2)</f>
        <v>0.7155497136</v>
      </c>
      <c r="L322" s="12">
        <f>(0.85*$B$2/$D$2)*(1-SQRT(1-2*K322/(0.85*$B$2)))</f>
        <v>0.001730100813</v>
      </c>
      <c r="M322" s="13">
        <f>L322*(D322*1000)*J322</f>
        <v>177.7938101</v>
      </c>
      <c r="N322" s="13">
        <f>MAX(0.25*SQRT($B$2)/$D$2,1.4/$D$2)*(D322*1000)*J322</f>
        <v>342.55</v>
      </c>
      <c r="O322" s="13">
        <f>MAX(M322,N322)</f>
        <v>342.55</v>
      </c>
      <c r="P322" s="14">
        <f>ROUNDUP(O322/$J$2,0)</f>
        <v>2</v>
      </c>
      <c r="Q322" s="13">
        <f>P322*$J$2</f>
        <v>398</v>
      </c>
      <c r="R322" s="10">
        <f>Q322*$D$2/(0.85*$B$2*(D322*1000))</f>
        <v>23.41176471</v>
      </c>
      <c r="S322" s="10">
        <f>0.9*Q322*$D$2*(J322-R322/2)/1000000</f>
        <v>49.77351244</v>
      </c>
      <c r="T322" s="15" t="str">
        <f>IF(AND(S322&gt;=F322,O322&lt;=0.025*(D322*1000)*J322,O322&gt;=N322),"CUMPLE","REVISAR")</f>
        <v>CUMPLE</v>
      </c>
      <c r="U322" s="11">
        <f>G322*1000000/(0.9*(D322*1000)*J322^2)</f>
        <v>0.4488362121</v>
      </c>
      <c r="V322" s="12">
        <f>(0.85*$B$2/$D$2)*(1-SQRT(1-2*U322/(0.85*$B$2)))</f>
        <v>0.001078929011</v>
      </c>
      <c r="W322" s="13">
        <f>V322*(D322*1000)*J322</f>
        <v>110.8761398</v>
      </c>
      <c r="X322" s="13">
        <f>MAX(W322,N322)</f>
        <v>342.55</v>
      </c>
      <c r="Y322" s="14">
        <f>ROUNDUP(X322/$J$2,0)</f>
        <v>2</v>
      </c>
      <c r="Z322" s="13">
        <f>Y322*$J$2</f>
        <v>398</v>
      </c>
      <c r="AA322" s="10">
        <f>0.9*Z322*$D$2*(J322-(Z322*$D$2/(0.85*$B$2*(D322*1000)))/2)/1000000</f>
        <v>49.77351244</v>
      </c>
      <c r="AB322" s="15" t="str">
        <f>IF(AA322&gt;=G322,"CUMPLE","REVISAR")</f>
        <v>CUMPLE</v>
      </c>
      <c r="AC322" s="10">
        <f>0.17*SQRT($B$2)*(D322*1000)*J322/1000</f>
        <v>92.44281538</v>
      </c>
      <c r="AD322" s="10">
        <f>MAX(H322/0.75-AC322,0)</f>
        <v>0</v>
      </c>
      <c r="AE322" s="14">
        <f>IF(AD322&gt;0,MIN($N$2*$D$2*J322/(AD322*1000),MIN(J322/4,6*$H$2,150)),MIN(J322/4,6*$H$2,150))</f>
        <v>85.6375</v>
      </c>
      <c r="AF322" s="10">
        <f>0.66*SQRT($B$2)*(D322*1000)*J322/1000</f>
        <v>358.8956362</v>
      </c>
      <c r="AG322" s="15" t="str">
        <f>IF(AD322&lt;=AF322,"CUMPLE","AUMENTAR SECCION")</f>
        <v>CUMPLE</v>
      </c>
      <c r="AH322" s="10">
        <f>0.75*0.083*SQRT($B$2)*(((D322*1000)*(E322*1000))^2/(2*((D322*1000)+(E322*1000))))/1000000</f>
        <v>3.388073536</v>
      </c>
      <c r="AI322" s="15" t="str">
        <f>IF(I322&gt;AH322,"SI","No")</f>
        <v>No</v>
      </c>
      <c r="AJ322" s="11">
        <f>IF(I322&gt;AH322,I322*1000000/(0.75*2*0.85*((D322*1000-2*$F$2)*(E322*1000-2*$F$2))*$D$2),0)</f>
        <v>0</v>
      </c>
      <c r="AK322" s="10">
        <f>1.25*Q322*$D$2*(J322-(1.25*Q322*$D$2/(0.85*$B$2*(D322*1000)))/2)/1000000</f>
        <v>68.51839235</v>
      </c>
      <c r="AL322" s="10">
        <f>1.25*Z322*$D$2*(J322-(1.25*Z322*$D$2/(0.85*$B$2*(D322*1000)))/2)/1000000</f>
        <v>68.51839235</v>
      </c>
      <c r="AM322" s="10">
        <f>(AK322+AL322)/B322</f>
        <v>52.70645566</v>
      </c>
      <c r="AN322" s="10">
        <f>MAX(H322,AM322)</f>
        <v>52.70645566</v>
      </c>
    </row>
    <row r="323">
      <c r="A323" s="5" t="inlineStr">
        <is>
          <t>F794</t>
        </is>
      </c>
      <c r="B323" s="6" t="n">
        <v>2.5</v>
      </c>
      <c r="C323" s="7" t="inlineStr">
        <is>
          <t>VC</t>
        </is>
      </c>
      <c r="D323" s="8">
        <f>IF(C323="VR",0.35,0.30)</f>
        <v>0.3</v>
      </c>
      <c r="E323" s="6" t="n">
        <v>0.4</v>
      </c>
      <c r="F323" s="9" t="n">
        <v>30.8</v>
      </c>
      <c r="G323" s="9" t="n">
        <v>10.1</v>
      </c>
      <c r="H323" s="9" t="n">
        <v>51.1</v>
      </c>
      <c r="I323" s="6" t="n">
        <v>0.44</v>
      </c>
      <c r="J323" s="10">
        <f>E323*1000-$F$2-$L$2-$H$2/2</f>
        <v>342.55</v>
      </c>
      <c r="K323" s="11">
        <f>F323*1000000/(0.9*(D323*1000)*J323^2)</f>
        <v>0.9721628222</v>
      </c>
      <c r="L323" s="12">
        <f>(0.85*$B$2/$D$2)*(1-SQRT(1-2*K323/(0.85*$B$2)))</f>
        <v>0.002363982933</v>
      </c>
      <c r="M323" s="13">
        <f>L323*(D323*1000)*J323</f>
        <v>242.9347061</v>
      </c>
      <c r="N323" s="13">
        <f>MAX(0.25*SQRT($B$2)/$D$2,1.4/$D$2)*(D323*1000)*J323</f>
        <v>342.55</v>
      </c>
      <c r="O323" s="13">
        <f>MAX(M323,N323)</f>
        <v>342.55</v>
      </c>
      <c r="P323" s="14">
        <f>ROUNDUP(O323/$J$2,0)</f>
        <v>2</v>
      </c>
      <c r="Q323" s="13">
        <f>P323*$J$2</f>
        <v>398</v>
      </c>
      <c r="R323" s="10">
        <f>Q323*$D$2/(0.85*$B$2*(D323*1000))</f>
        <v>23.41176471</v>
      </c>
      <c r="S323" s="10">
        <f>0.9*Q323*$D$2*(J323-R323/2)/1000000</f>
        <v>49.77351244</v>
      </c>
      <c r="T323" s="15" t="str">
        <f>IF(AND(S323&gt;=F323,O323&lt;=0.025*(D323*1000)*J323,O323&gt;=N323),"CUMPLE","REVISAR")</f>
        <v>CUMPLE</v>
      </c>
      <c r="U323" s="11">
        <f>G323*1000000/(0.9*(D323*1000)*J323^2)</f>
        <v>0.3197405646</v>
      </c>
      <c r="V323" s="12">
        <f>(0.85*$B$2/$D$2)*(1-SQRT(1-2*U323/(0.85*$B$2)))</f>
        <v>0.0007664706818</v>
      </c>
      <c r="W323" s="13">
        <f>V323*(D323*1000)*J323</f>
        <v>78.76635962</v>
      </c>
      <c r="X323" s="13">
        <f>MAX(W323,N323)</f>
        <v>342.55</v>
      </c>
      <c r="Y323" s="14">
        <f>ROUNDUP(X323/$J$2,0)</f>
        <v>2</v>
      </c>
      <c r="Z323" s="13">
        <f>Y323*$J$2</f>
        <v>398</v>
      </c>
      <c r="AA323" s="10">
        <f>0.9*Z323*$D$2*(J323-(Z323*$D$2/(0.85*$B$2*(D323*1000)))/2)/1000000</f>
        <v>49.77351244</v>
      </c>
      <c r="AB323" s="15" t="str">
        <f>IF(AA323&gt;=G323,"CUMPLE","REVISAR")</f>
        <v>CUMPLE</v>
      </c>
      <c r="AC323" s="10">
        <f>0.17*SQRT($B$2)*(D323*1000)*J323/1000</f>
        <v>92.44281538</v>
      </c>
      <c r="AD323" s="10">
        <f>MAX(H323/0.75-AC323,0)</f>
        <v>0</v>
      </c>
      <c r="AE323" s="14">
        <f>IF(AD323&gt;0,MIN($N$2*$D$2*J323/(AD323*1000),MIN(J323/4,6*$H$2,150)),MIN(J323/4,6*$H$2,150))</f>
        <v>85.6375</v>
      </c>
      <c r="AF323" s="10">
        <f>0.66*SQRT($B$2)*(D323*1000)*J323/1000</f>
        <v>358.8956362</v>
      </c>
      <c r="AG323" s="15" t="str">
        <f>IF(AD323&lt;=AF323,"CUMPLE","AUMENTAR SECCION")</f>
        <v>CUMPLE</v>
      </c>
      <c r="AH323" s="10">
        <f>0.75*0.083*SQRT($B$2)*(((D323*1000)*(E323*1000))^2/(2*((D323*1000)+(E323*1000))))/1000000</f>
        <v>3.388073536</v>
      </c>
      <c r="AI323" s="15" t="str">
        <f>IF(I323&gt;AH323,"SI","No")</f>
        <v>No</v>
      </c>
      <c r="AJ323" s="11">
        <f>IF(I323&gt;AH323,I323*1000000/(0.75*2*0.85*((D323*1000-2*$F$2)*(E323*1000-2*$F$2))*$D$2),0)</f>
        <v>0</v>
      </c>
      <c r="AK323" s="10">
        <f>1.25*Q323*$D$2*(J323-(1.25*Q323*$D$2/(0.85*$B$2*(D323*1000)))/2)/1000000</f>
        <v>68.51839235</v>
      </c>
      <c r="AL323" s="10">
        <f>1.25*Z323*$D$2*(J323-(1.25*Z323*$D$2/(0.85*$B$2*(D323*1000)))/2)/1000000</f>
        <v>68.51839235</v>
      </c>
      <c r="AM323" s="10">
        <f>(AK323+AL323)/B323</f>
        <v>54.81471388</v>
      </c>
      <c r="AN323" s="10">
        <f>MAX(H323,AM323)</f>
        <v>54.81471388</v>
      </c>
    </row>
    <row r="324">
      <c r="A324" s="5" t="inlineStr">
        <is>
          <t>F795</t>
        </is>
      </c>
      <c r="B324" s="6" t="n">
        <v>4.18</v>
      </c>
      <c r="C324" s="7" t="inlineStr">
        <is>
          <t>VR</t>
        </is>
      </c>
      <c r="D324" s="8">
        <f>IF(C324="VR",0.35,0.30)</f>
        <v>0.35</v>
      </c>
      <c r="E324" s="6" t="n">
        <v>0.4</v>
      </c>
      <c r="F324" s="9" t="n">
        <v>72.5</v>
      </c>
      <c r="G324" s="9" t="n">
        <v>24.5</v>
      </c>
      <c r="H324" s="9" t="n">
        <v>76.59999999999999</v>
      </c>
      <c r="I324" s="6" t="n">
        <v>0.46</v>
      </c>
      <c r="J324" s="10">
        <f>E324*1000-$F$2-$L$2-$H$2/2</f>
        <v>342.55</v>
      </c>
      <c r="K324" s="11">
        <f>F324*1000000/(0.9*(D324*1000)*J324^2)</f>
        <v>1.961189693</v>
      </c>
      <c r="L324" s="12">
        <f>(0.85*$B$2/$D$2)*(1-SQRT(1-2*K324/(0.85*$B$2)))</f>
        <v>0.004879591118</v>
      </c>
      <c r="M324" s="13">
        <f>L324*(D324*1000)*J324</f>
        <v>585.0263782</v>
      </c>
      <c r="N324" s="13">
        <f>MAX(0.25*SQRT($B$2)/$D$2,1.4/$D$2)*(D324*1000)*J324</f>
        <v>399.6416667</v>
      </c>
      <c r="O324" s="13">
        <f>MAX(M324,N324)</f>
        <v>585.0263782</v>
      </c>
      <c r="P324" s="14">
        <f>ROUNDUP(O324/$J$2,0)</f>
        <v>3</v>
      </c>
      <c r="Q324" s="13">
        <f>P324*$J$2</f>
        <v>597</v>
      </c>
      <c r="R324" s="10">
        <f>Q324*$D$2/(0.85*$B$2*(D324*1000))</f>
        <v>30.10084034</v>
      </c>
      <c r="S324" s="10">
        <f>0.9*Q324*$D$2*(J324-R324/2)/1000000</f>
        <v>73.90552018</v>
      </c>
      <c r="T324" s="15" t="str">
        <f>IF(AND(S324&gt;=F324,O324&lt;=0.025*(D324*1000)*J324,O324&gt;=N324),"CUMPLE","REVISAR")</f>
        <v>CUMPLE</v>
      </c>
      <c r="U324" s="11">
        <f>G324*1000000/(0.9*(D324*1000)*J324^2)</f>
        <v>0.6617561029</v>
      </c>
      <c r="V324" s="12">
        <f>(0.85*$B$2/$D$2)*(1-SQRT(1-2*U324/(0.85*$B$2)))</f>
        <v>0.001598145677</v>
      </c>
      <c r="W324" s="13">
        <f>V324*(D324*1000)*J324</f>
        <v>191.6056806</v>
      </c>
      <c r="X324" s="13">
        <f>MAX(W324,N324)</f>
        <v>399.6416667</v>
      </c>
      <c r="Y324" s="14">
        <f>ROUNDUP(X324/$J$2,0)</f>
        <v>3</v>
      </c>
      <c r="Z324" s="13">
        <f>Y324*$J$2</f>
        <v>597</v>
      </c>
      <c r="AA324" s="10">
        <f>0.9*Z324*$D$2*(J324-(Z324*$D$2/(0.85*$B$2*(D324*1000)))/2)/1000000</f>
        <v>73.90552018</v>
      </c>
      <c r="AB324" s="15" t="str">
        <f>IF(AA324&gt;=G324,"CUMPLE","REVISAR")</f>
        <v>CUMPLE</v>
      </c>
      <c r="AC324" s="10">
        <f>0.17*SQRT($B$2)*(D324*1000)*J324/1000</f>
        <v>107.8499513</v>
      </c>
      <c r="AD324" s="10">
        <f>MAX(H324/0.75-AC324,0)</f>
        <v>0</v>
      </c>
      <c r="AE324" s="14">
        <f>IF(AD324&gt;0,MIN($N$2*$D$2*J324/(AD324*1000),MIN(J324/4,6*$H$2,150)),MIN(J324/4,6*$H$2,150))</f>
        <v>85.6375</v>
      </c>
      <c r="AF324" s="10">
        <f>0.66*SQRT($B$2)*(D324*1000)*J324/1000</f>
        <v>418.7115756</v>
      </c>
      <c r="AG324" s="15" t="str">
        <f>IF(AD324&lt;=AF324,"CUMPLE","AUMENTAR SECCION")</f>
        <v>CUMPLE</v>
      </c>
      <c r="AH324" s="10">
        <f>0.75*0.083*SQRT($B$2)*(((D324*1000)*(E324*1000))^2/(2*((D324*1000)+(E324*1000))))/1000000</f>
        <v>4.304108233</v>
      </c>
      <c r="AI324" s="15" t="str">
        <f>IF(I324&gt;AH324,"SI","No")</f>
        <v>No</v>
      </c>
      <c r="AJ324" s="11">
        <f>IF(I324&gt;AH324,I324*1000000/(0.75*2*0.85*((D324*1000-2*$F$2)*(E324*1000-2*$F$2))*$D$2),0)</f>
        <v>0</v>
      </c>
      <c r="AK324" s="10">
        <f>1.25*Q324*$D$2*(J324-(1.25*Q324*$D$2/(0.85*$B$2*(D324*1000)))/2)/1000000</f>
        <v>101.4672613</v>
      </c>
      <c r="AL324" s="10">
        <f>1.25*Z324*$D$2*(J324-(1.25*Z324*$D$2/(0.85*$B$2*(D324*1000)))/2)/1000000</f>
        <v>101.4672613</v>
      </c>
      <c r="AM324" s="10">
        <f>(AK324+AL324)/B324</f>
        <v>48.59543167</v>
      </c>
      <c r="AN324" s="10">
        <f>MAX(H324,AM324)</f>
        <v>76.61</v>
      </c>
    </row>
    <row r="325">
      <c r="A325" s="5" t="inlineStr">
        <is>
          <t>F796</t>
        </is>
      </c>
      <c r="B325" s="6" t="n">
        <v>2.7</v>
      </c>
      <c r="C325" s="7" t="inlineStr">
        <is>
          <t>VR</t>
        </is>
      </c>
      <c r="D325" s="8">
        <f>IF(C325="VR",0.35,0.30)</f>
        <v>0.35</v>
      </c>
      <c r="E325" s="6" t="n">
        <v>0.4</v>
      </c>
      <c r="F325" s="9" t="n">
        <v>45.7</v>
      </c>
      <c r="G325" s="9" t="n">
        <v>15.2</v>
      </c>
      <c r="H325" s="9" t="n">
        <v>63.7</v>
      </c>
      <c r="I325" s="6" t="n">
        <v>2.79</v>
      </c>
      <c r="J325" s="10">
        <f>E325*1000-$F$2-$L$2-$H$2/2</f>
        <v>342.55</v>
      </c>
      <c r="K325" s="11">
        <f>F325*1000000/(0.9*(D325*1000)*J325^2)</f>
        <v>1.236396317</v>
      </c>
      <c r="L325" s="12">
        <f>(0.85*$B$2/$D$2)*(1-SQRT(1-2*K325/(0.85*$B$2)))</f>
        <v>0.003024515712</v>
      </c>
      <c r="M325" s="13">
        <f>L325*(D325*1000)*J325</f>
        <v>362.61675</v>
      </c>
      <c r="N325" s="13">
        <f>MAX(0.25*SQRT($B$2)/$D$2,1.4/$D$2)*(D325*1000)*J325</f>
        <v>399.6416667</v>
      </c>
      <c r="O325" s="13">
        <f>MAX(M325,N325)</f>
        <v>399.6416667</v>
      </c>
      <c r="P325" s="14">
        <f>ROUNDUP(O325/$J$2,0)</f>
        <v>3</v>
      </c>
      <c r="Q325" s="13">
        <f>P325*$J$2</f>
        <v>597</v>
      </c>
      <c r="R325" s="10">
        <f>Q325*$D$2/(0.85*$B$2*(D325*1000))</f>
        <v>30.10084034</v>
      </c>
      <c r="S325" s="10">
        <f>0.9*Q325*$D$2*(J325-R325/2)/1000000</f>
        <v>73.90552018</v>
      </c>
      <c r="T325" s="15" t="str">
        <f>IF(AND(S325&gt;=F325,O325&lt;=0.025*(D325*1000)*J325,O325&gt;=N325),"CUMPLE","REVISAR")</f>
        <v>CUMPLE</v>
      </c>
      <c r="U325" s="11">
        <f>G325*1000000/(0.9*(D325*1000)*J325^2)</f>
        <v>0.4120419235</v>
      </c>
      <c r="V325" s="12">
        <f>(0.85*$B$2/$D$2)*(1-SQRT(1-2*U325/(0.85*$B$2)))</f>
        <v>0.0009896948088</v>
      </c>
      <c r="W325" s="13">
        <f>V325*(D325*1000)*J325</f>
        <v>118.6569849</v>
      </c>
      <c r="X325" s="13">
        <f>MAX(W325,N325)</f>
        <v>399.6416667</v>
      </c>
      <c r="Y325" s="14">
        <f>ROUNDUP(X325/$J$2,0)</f>
        <v>3</v>
      </c>
      <c r="Z325" s="13">
        <f>Y325*$J$2</f>
        <v>597</v>
      </c>
      <c r="AA325" s="10">
        <f>0.9*Z325*$D$2*(J325-(Z325*$D$2/(0.85*$B$2*(D325*1000)))/2)/1000000</f>
        <v>73.90552018</v>
      </c>
      <c r="AB325" s="15" t="str">
        <f>IF(AA325&gt;=G325,"CUMPLE","REVISAR")</f>
        <v>CUMPLE</v>
      </c>
      <c r="AC325" s="10">
        <f>0.17*SQRT($B$2)*(D325*1000)*J325/1000</f>
        <v>107.8499513</v>
      </c>
      <c r="AD325" s="10">
        <f>MAX(H325/0.75-AC325,0)</f>
        <v>0</v>
      </c>
      <c r="AE325" s="14">
        <f>IF(AD325&gt;0,MIN($N$2*$D$2*J325/(AD325*1000),MIN(J325/4,6*$H$2,150)),MIN(J325/4,6*$H$2,150))</f>
        <v>85.6375</v>
      </c>
      <c r="AF325" s="10">
        <f>0.66*SQRT($B$2)*(D325*1000)*J325/1000</f>
        <v>418.7115756</v>
      </c>
      <c r="AG325" s="15" t="str">
        <f>IF(AD325&lt;=AF325,"CUMPLE","AUMENTAR SECCION")</f>
        <v>CUMPLE</v>
      </c>
      <c r="AH325" s="10">
        <f>0.75*0.083*SQRT($B$2)*(((D325*1000)*(E325*1000))^2/(2*((D325*1000)+(E325*1000))))/1000000</f>
        <v>4.304108233</v>
      </c>
      <c r="AI325" s="15" t="str">
        <f>IF(I325&gt;AH325,"SI","No")</f>
        <v>No</v>
      </c>
      <c r="AJ325" s="11">
        <f>IF(I325&gt;AH325,I325*1000000/(0.75*2*0.85*((D325*1000-2*$F$2)*(E325*1000-2*$F$2))*$D$2),0)</f>
        <v>0</v>
      </c>
      <c r="AK325" s="10">
        <f>1.25*Q325*$D$2*(J325-(1.25*Q325*$D$2/(0.85*$B$2*(D325*1000)))/2)/1000000</f>
        <v>101.4672613</v>
      </c>
      <c r="AL325" s="10">
        <f>1.25*Z325*$D$2*(J325-(1.25*Z325*$D$2/(0.85*$B$2*(D325*1000)))/2)/1000000</f>
        <v>101.4672613</v>
      </c>
      <c r="AM325" s="10">
        <f>(AK325+AL325)/B325</f>
        <v>75.16093431</v>
      </c>
      <c r="AN325" s="10">
        <f>MAX(H325,AM325)</f>
        <v>75.16093431</v>
      </c>
    </row>
    <row r="326">
      <c r="A326" s="5" t="inlineStr">
        <is>
          <t>F797</t>
        </is>
      </c>
      <c r="B326" s="6" t="n">
        <v>2.8</v>
      </c>
      <c r="C326" s="7" t="inlineStr">
        <is>
          <t>VR</t>
        </is>
      </c>
      <c r="D326" s="8">
        <f>IF(C326="VR",0.35,0.30)</f>
        <v>0.35</v>
      </c>
      <c r="E326" s="6" t="n">
        <v>0.4</v>
      </c>
      <c r="F326" s="9" t="n">
        <v>46</v>
      </c>
      <c r="G326" s="9" t="n">
        <v>15.3</v>
      </c>
      <c r="H326" s="9" t="n">
        <v>63.9</v>
      </c>
      <c r="I326" s="6" t="n">
        <v>2.69</v>
      </c>
      <c r="J326" s="10">
        <f>E326*1000-$F$2-$L$2-$H$2/2</f>
        <v>342.55</v>
      </c>
      <c r="K326" s="11">
        <f>F326*1000000/(0.9*(D326*1000)*J326^2)</f>
        <v>1.245594889</v>
      </c>
      <c r="L326" s="12">
        <f>(0.85*$B$2/$D$2)*(1-SQRT(1-2*K326/(0.85*$B$2)))</f>
        <v>0.003047656935</v>
      </c>
      <c r="M326" s="13">
        <f>L326*(D326*1000)*J326</f>
        <v>365.3912091</v>
      </c>
      <c r="N326" s="13">
        <f>MAX(0.25*SQRT($B$2)/$D$2,1.4/$D$2)*(D326*1000)*J326</f>
        <v>399.6416667</v>
      </c>
      <c r="O326" s="13">
        <f>MAX(M326,N326)</f>
        <v>399.6416667</v>
      </c>
      <c r="P326" s="14">
        <f>ROUNDUP(O326/$J$2,0)</f>
        <v>3</v>
      </c>
      <c r="Q326" s="13">
        <f>P326*$J$2</f>
        <v>597</v>
      </c>
      <c r="R326" s="10">
        <f>Q326*$D$2/(0.85*$B$2*(D326*1000))</f>
        <v>30.10084034</v>
      </c>
      <c r="S326" s="10">
        <f>0.9*Q326*$D$2*(J326-R326/2)/1000000</f>
        <v>73.90552018</v>
      </c>
      <c r="T326" s="15" t="str">
        <f>IF(AND(S326&gt;=F326,O326&lt;=0.025*(D326*1000)*J326,O326&gt;=N326),"CUMPLE","REVISAR")</f>
        <v>CUMPLE</v>
      </c>
      <c r="U326" s="11">
        <f>G326*1000000/(0.9*(D326*1000)*J326^2)</f>
        <v>0.4152884783</v>
      </c>
      <c r="V326" s="12">
        <f>(0.85*$B$2/$D$2)*(1-SQRT(1-2*U326/(0.85*$B$2)))</f>
        <v>0.0009975626612</v>
      </c>
      <c r="W326" s="13">
        <f>V326*(D326*1000)*J326</f>
        <v>119.6002814</v>
      </c>
      <c r="X326" s="13">
        <f>MAX(W326,N326)</f>
        <v>399.6416667</v>
      </c>
      <c r="Y326" s="14">
        <f>ROUNDUP(X326/$J$2,0)</f>
        <v>3</v>
      </c>
      <c r="Z326" s="13">
        <f>Y326*$J$2</f>
        <v>597</v>
      </c>
      <c r="AA326" s="10">
        <f>0.9*Z326*$D$2*(J326-(Z326*$D$2/(0.85*$B$2*(D326*1000)))/2)/1000000</f>
        <v>73.90552018</v>
      </c>
      <c r="AB326" s="15" t="str">
        <f>IF(AA326&gt;=G326,"CUMPLE","REVISAR")</f>
        <v>CUMPLE</v>
      </c>
      <c r="AC326" s="10">
        <f>0.17*SQRT($B$2)*(D326*1000)*J326/1000</f>
        <v>107.8499513</v>
      </c>
      <c r="AD326" s="10">
        <f>MAX(H326/0.75-AC326,0)</f>
        <v>0</v>
      </c>
      <c r="AE326" s="14">
        <f>IF(AD326&gt;0,MIN($N$2*$D$2*J326/(AD326*1000),MIN(J326/4,6*$H$2,150)),MIN(J326/4,6*$H$2,150))</f>
        <v>85.6375</v>
      </c>
      <c r="AF326" s="10">
        <f>0.66*SQRT($B$2)*(D326*1000)*J326/1000</f>
        <v>418.7115756</v>
      </c>
      <c r="AG326" s="15" t="str">
        <f>IF(AD326&lt;=AF326,"CUMPLE","AUMENTAR SECCION")</f>
        <v>CUMPLE</v>
      </c>
      <c r="AH326" s="10">
        <f>0.75*0.083*SQRT($B$2)*(((D326*1000)*(E326*1000))^2/(2*((D326*1000)+(E326*1000))))/1000000</f>
        <v>4.304108233</v>
      </c>
      <c r="AI326" s="15" t="str">
        <f>IF(I326&gt;AH326,"SI","No")</f>
        <v>No</v>
      </c>
      <c r="AJ326" s="11">
        <f>IF(I326&gt;AH326,I326*1000000/(0.75*2*0.85*((D326*1000-2*$F$2)*(E326*1000-2*$F$2))*$D$2),0)</f>
        <v>0</v>
      </c>
      <c r="AK326" s="10">
        <f>1.25*Q326*$D$2*(J326-(1.25*Q326*$D$2/(0.85*$B$2*(D326*1000)))/2)/1000000</f>
        <v>101.4672613</v>
      </c>
      <c r="AL326" s="10">
        <f>1.25*Z326*$D$2*(J326-(1.25*Z326*$D$2/(0.85*$B$2*(D326*1000)))/2)/1000000</f>
        <v>101.4672613</v>
      </c>
      <c r="AM326" s="10">
        <f>(AK326+AL326)/B326</f>
        <v>72.47661523</v>
      </c>
      <c r="AN326" s="10">
        <f>MAX(H326,AM326)</f>
        <v>72.47661523</v>
      </c>
    </row>
    <row r="327">
      <c r="A327" s="5" t="inlineStr">
        <is>
          <t>F798</t>
        </is>
      </c>
      <c r="B327" s="6" t="n">
        <v>4.18</v>
      </c>
      <c r="C327" s="7" t="inlineStr">
        <is>
          <t>VR</t>
        </is>
      </c>
      <c r="D327" s="8">
        <f>IF(C327="VR",0.35,0.30)</f>
        <v>0.35</v>
      </c>
      <c r="E327" s="6" t="n">
        <v>0.4</v>
      </c>
      <c r="F327" s="9" t="n">
        <v>72.7</v>
      </c>
      <c r="G327" s="9" t="n">
        <v>24.5</v>
      </c>
      <c r="H327" s="9" t="n">
        <v>76.7</v>
      </c>
      <c r="I327" s="6" t="n">
        <v>0.46</v>
      </c>
      <c r="J327" s="10">
        <f>E327*1000-$F$2-$L$2-$H$2/2</f>
        <v>342.55</v>
      </c>
      <c r="K327" s="11">
        <f>F327*1000000/(0.9*(D327*1000)*J327^2)</f>
        <v>1.966871164</v>
      </c>
      <c r="L327" s="12">
        <f>(0.85*$B$2/$D$2)*(1-SQRT(1-2*K327/(0.85*$B$2)))</f>
        <v>0.004894395145</v>
      </c>
      <c r="M327" s="13">
        <f>L327*(D327*1000)*J327</f>
        <v>586.80127</v>
      </c>
      <c r="N327" s="13">
        <f>MAX(0.25*SQRT($B$2)/$D$2,1.4/$D$2)*(D327*1000)*J327</f>
        <v>399.6416667</v>
      </c>
      <c r="O327" s="13">
        <f>MAX(M327,N327)</f>
        <v>586.80127</v>
      </c>
      <c r="P327" s="14">
        <f>ROUNDUP(O327/$J$2,0)</f>
        <v>3</v>
      </c>
      <c r="Q327" s="13">
        <f>P327*$J$2</f>
        <v>597</v>
      </c>
      <c r="R327" s="10">
        <f>Q327*$D$2/(0.85*$B$2*(D327*1000))</f>
        <v>30.10084034</v>
      </c>
      <c r="S327" s="10">
        <f>0.9*Q327*$D$2*(J327-R327/2)/1000000</f>
        <v>73.90552018</v>
      </c>
      <c r="T327" s="15" t="str">
        <f>IF(AND(S327&gt;=F327,O327&lt;=0.025*(D327*1000)*J327,O327&gt;=N327),"CUMPLE","REVISAR")</f>
        <v>CUMPLE</v>
      </c>
      <c r="U327" s="11">
        <f>G327*1000000/(0.9*(D327*1000)*J327^2)</f>
        <v>0.6636499266</v>
      </c>
      <c r="V327" s="12">
        <f>(0.85*$B$2/$D$2)*(1-SQRT(1-2*U327/(0.85*$B$2)))</f>
        <v>0.001602785836</v>
      </c>
      <c r="W327" s="13">
        <f>V327*(D327*1000)*J327</f>
        <v>192.1620008</v>
      </c>
      <c r="X327" s="13">
        <f>MAX(W327,N327)</f>
        <v>399.6416667</v>
      </c>
      <c r="Y327" s="14">
        <f>ROUNDUP(X327/$J$2,0)</f>
        <v>3</v>
      </c>
      <c r="Z327" s="13">
        <f>Y327*$J$2</f>
        <v>597</v>
      </c>
      <c r="AA327" s="10">
        <f>0.9*Z327*$D$2*(J327-(Z327*$D$2/(0.85*$B$2*(D327*1000)))/2)/1000000</f>
        <v>73.90552018</v>
      </c>
      <c r="AB327" s="15" t="str">
        <f>IF(AA327&gt;=G327,"CUMPLE","REVISAR")</f>
        <v>CUMPLE</v>
      </c>
      <c r="AC327" s="10">
        <f>0.17*SQRT($B$2)*(D327*1000)*J327/1000</f>
        <v>107.8499513</v>
      </c>
      <c r="AD327" s="10">
        <f>MAX(H327/0.75-AC327,0)</f>
        <v>0</v>
      </c>
      <c r="AE327" s="14">
        <f>IF(AD327&gt;0,MIN($N$2*$D$2*J327/(AD327*1000),MIN(J327/4,6*$H$2,150)),MIN(J327/4,6*$H$2,150))</f>
        <v>85.6375</v>
      </c>
      <c r="AF327" s="10">
        <f>0.66*SQRT($B$2)*(D327*1000)*J327/1000</f>
        <v>418.7115756</v>
      </c>
      <c r="AG327" s="15" t="str">
        <f>IF(AD327&lt;=AF327,"CUMPLE","AUMENTAR SECCION")</f>
        <v>CUMPLE</v>
      </c>
      <c r="AH327" s="10">
        <f>0.75*0.083*SQRT($B$2)*(((D327*1000)*(E327*1000))^2/(2*((D327*1000)+(E327*1000))))/1000000</f>
        <v>4.304108233</v>
      </c>
      <c r="AI327" s="15" t="str">
        <f>IF(I327&gt;AH327,"SI","No")</f>
        <v>No</v>
      </c>
      <c r="AJ327" s="11">
        <f>IF(I327&gt;AH327,I327*1000000/(0.75*2*0.85*((D327*1000-2*$F$2)*(E327*1000-2*$F$2))*$D$2),0)</f>
        <v>0</v>
      </c>
      <c r="AK327" s="10">
        <f>1.25*Q327*$D$2*(J327-(1.25*Q327*$D$2/(0.85*$B$2*(D327*1000)))/2)/1000000</f>
        <v>101.4672613</v>
      </c>
      <c r="AL327" s="10">
        <f>1.25*Z327*$D$2*(J327-(1.25*Z327*$D$2/(0.85*$B$2*(D327*1000)))/2)/1000000</f>
        <v>101.4672613</v>
      </c>
      <c r="AM327" s="10">
        <f>(AK327+AL327)/B327</f>
        <v>48.59543167</v>
      </c>
      <c r="AN327" s="10">
        <f>MAX(H327,AM327)</f>
        <v>76.71</v>
      </c>
    </row>
    <row r="328">
      <c r="A328" s="5" t="inlineStr">
        <is>
          <t>F799</t>
        </is>
      </c>
      <c r="B328" s="6" t="n">
        <v>2.5</v>
      </c>
      <c r="C328" s="7" t="inlineStr">
        <is>
          <t>VC</t>
        </is>
      </c>
      <c r="D328" s="8">
        <f>IF(C328="VR",0.35,0.30)</f>
        <v>0.3</v>
      </c>
      <c r="E328" s="6" t="n">
        <v>0.4</v>
      </c>
      <c r="F328" s="9" t="n">
        <v>30.8</v>
      </c>
      <c r="G328" s="9" t="n">
        <v>10.1</v>
      </c>
      <c r="H328" s="9" t="n">
        <v>51</v>
      </c>
      <c r="I328" s="6" t="n">
        <v>0.44</v>
      </c>
      <c r="J328" s="10">
        <f>E328*1000-$F$2-$L$2-$H$2/2</f>
        <v>342.55</v>
      </c>
      <c r="K328" s="11">
        <f>F328*1000000/(0.9*(D328*1000)*J328^2)</f>
        <v>0.9715315477</v>
      </c>
      <c r="L328" s="12">
        <f>(0.85*$B$2/$D$2)*(1-SQRT(1-2*K328/(0.85*$B$2)))</f>
        <v>0.002362414489</v>
      </c>
      <c r="M328" s="13">
        <f>L328*(D328*1000)*J328</f>
        <v>242.7735249</v>
      </c>
      <c r="N328" s="13">
        <f>MAX(0.25*SQRT($B$2)/$D$2,1.4/$D$2)*(D328*1000)*J328</f>
        <v>342.55</v>
      </c>
      <c r="O328" s="13">
        <f>MAX(M328,N328)</f>
        <v>342.55</v>
      </c>
      <c r="P328" s="14">
        <f>ROUNDUP(O328/$J$2,0)</f>
        <v>2</v>
      </c>
      <c r="Q328" s="13">
        <f>P328*$J$2</f>
        <v>398</v>
      </c>
      <c r="R328" s="10">
        <f>Q328*$D$2/(0.85*$B$2*(D328*1000))</f>
        <v>23.41176471</v>
      </c>
      <c r="S328" s="10">
        <f>0.9*Q328*$D$2*(J328-R328/2)/1000000</f>
        <v>49.77351244</v>
      </c>
      <c r="T328" s="15" t="str">
        <f>IF(AND(S328&gt;=F328,O328&lt;=0.025*(D328*1000)*J328,O328&gt;=N328),"CUMPLE","REVISAR")</f>
        <v>CUMPLE</v>
      </c>
      <c r="U328" s="11">
        <f>G328*1000000/(0.9*(D328*1000)*J328^2)</f>
        <v>0.3194249273</v>
      </c>
      <c r="V328" s="12">
        <f>(0.85*$B$2/$D$2)*(1-SQRT(1-2*U328/(0.85*$B$2)))</f>
        <v>0.0007657088653</v>
      </c>
      <c r="W328" s="13">
        <f>V328*(D328*1000)*J328</f>
        <v>78.68807155</v>
      </c>
      <c r="X328" s="13">
        <f>MAX(W328,N328)</f>
        <v>342.55</v>
      </c>
      <c r="Y328" s="14">
        <f>ROUNDUP(X328/$J$2,0)</f>
        <v>2</v>
      </c>
      <c r="Z328" s="13">
        <f>Y328*$J$2</f>
        <v>398</v>
      </c>
      <c r="AA328" s="10">
        <f>0.9*Z328*$D$2*(J328-(Z328*$D$2/(0.85*$B$2*(D328*1000)))/2)/1000000</f>
        <v>49.77351244</v>
      </c>
      <c r="AB328" s="15" t="str">
        <f>IF(AA328&gt;=G328,"CUMPLE","REVISAR")</f>
        <v>CUMPLE</v>
      </c>
      <c r="AC328" s="10">
        <f>0.17*SQRT($B$2)*(D328*1000)*J328/1000</f>
        <v>92.44281538</v>
      </c>
      <c r="AD328" s="10">
        <f>MAX(H328/0.75-AC328,0)</f>
        <v>0</v>
      </c>
      <c r="AE328" s="14">
        <f>IF(AD328&gt;0,MIN($N$2*$D$2*J328/(AD328*1000),MIN(J328/4,6*$H$2,150)),MIN(J328/4,6*$H$2,150))</f>
        <v>85.6375</v>
      </c>
      <c r="AF328" s="10">
        <f>0.66*SQRT($B$2)*(D328*1000)*J328/1000</f>
        <v>358.8956362</v>
      </c>
      <c r="AG328" s="15" t="str">
        <f>IF(AD328&lt;=AF328,"CUMPLE","AUMENTAR SECCION")</f>
        <v>CUMPLE</v>
      </c>
      <c r="AH328" s="10">
        <f>0.75*0.083*SQRT($B$2)*(((D328*1000)*(E328*1000))^2/(2*((D328*1000)+(E328*1000))))/1000000</f>
        <v>3.388073536</v>
      </c>
      <c r="AI328" s="15" t="str">
        <f>IF(I328&gt;AH328,"SI","No")</f>
        <v>No</v>
      </c>
      <c r="AJ328" s="11">
        <f>IF(I328&gt;AH328,I328*1000000/(0.75*2*0.85*((D328*1000-2*$F$2)*(E328*1000-2*$F$2))*$D$2),0)</f>
        <v>0</v>
      </c>
      <c r="AK328" s="10">
        <f>1.25*Q328*$D$2*(J328-(1.25*Q328*$D$2/(0.85*$B$2*(D328*1000)))/2)/1000000</f>
        <v>68.51839235</v>
      </c>
      <c r="AL328" s="10">
        <f>1.25*Z328*$D$2*(J328-(1.25*Z328*$D$2/(0.85*$B$2*(D328*1000)))/2)/1000000</f>
        <v>68.51839235</v>
      </c>
      <c r="AM328" s="10">
        <f>(AK328+AL328)/B328</f>
        <v>54.81471388</v>
      </c>
      <c r="AN328" s="10">
        <f>MAX(H328,AM328)</f>
        <v>54.81471388</v>
      </c>
    </row>
    <row r="329">
      <c r="A329" s="5" t="inlineStr">
        <is>
          <t>F800</t>
        </is>
      </c>
      <c r="B329" s="6" t="n">
        <v>2.6</v>
      </c>
      <c r="C329" s="7" t="inlineStr">
        <is>
          <t>VC</t>
        </is>
      </c>
      <c r="D329" s="8">
        <f>IF(C329="VR",0.35,0.30)</f>
        <v>0.3</v>
      </c>
      <c r="E329" s="6" t="n">
        <v>0.4</v>
      </c>
      <c r="F329" s="9" t="n">
        <v>22.9</v>
      </c>
      <c r="G329" s="9" t="n">
        <v>12.9</v>
      </c>
      <c r="H329" s="9" t="n">
        <v>48.2</v>
      </c>
      <c r="I329" s="6" t="n">
        <v>1.7</v>
      </c>
      <c r="J329" s="10">
        <f>E329*1000-$F$2-$L$2-$H$2/2</f>
        <v>342.55</v>
      </c>
      <c r="K329" s="11">
        <f>F329*1000000/(0.9*(D329*1000)*J329^2)</f>
        <v>0.7212311847</v>
      </c>
      <c r="L329" s="12">
        <f>(0.85*$B$2/$D$2)*(1-SQRT(1-2*K329/(0.85*$B$2)))</f>
        <v>0.001744055909</v>
      </c>
      <c r="M329" s="13">
        <f>L329*(D329*1000)*J329</f>
        <v>179.2279055</v>
      </c>
      <c r="N329" s="13">
        <f>MAX(0.25*SQRT($B$2)/$D$2,1.4/$D$2)*(D329*1000)*J329</f>
        <v>342.55</v>
      </c>
      <c r="O329" s="13">
        <f>MAX(M329,N329)</f>
        <v>342.55</v>
      </c>
      <c r="P329" s="14">
        <f>ROUNDUP(O329/$J$2,0)</f>
        <v>2</v>
      </c>
      <c r="Q329" s="13">
        <f>P329*$J$2</f>
        <v>398</v>
      </c>
      <c r="R329" s="10">
        <f>Q329*$D$2/(0.85*$B$2*(D329*1000))</f>
        <v>23.41176471</v>
      </c>
      <c r="S329" s="10">
        <f>0.9*Q329*$D$2*(J329-R329/2)/1000000</f>
        <v>49.77351244</v>
      </c>
      <c r="T329" s="15" t="str">
        <f>IF(AND(S329&gt;=F329,O329&lt;=0.025*(D329*1000)*J329,O329&gt;=N329),"CUMPLE","REVISAR")</f>
        <v>CUMPLE</v>
      </c>
      <c r="U329" s="11">
        <f>G329*1000000/(0.9*(D329*1000)*J329^2)</f>
        <v>0.4065408166</v>
      </c>
      <c r="V329" s="12">
        <f>(0.85*$B$2/$D$2)*(1-SQRT(1-2*U329/(0.85*$B$2)))</f>
        <v>0.0009763657075</v>
      </c>
      <c r="W329" s="13">
        <f>V329*(D329*1000)*J329</f>
        <v>100.3362219</v>
      </c>
      <c r="X329" s="13">
        <f>MAX(W329,N329)</f>
        <v>342.55</v>
      </c>
      <c r="Y329" s="14">
        <f>ROUNDUP(X329/$J$2,0)</f>
        <v>2</v>
      </c>
      <c r="Z329" s="13">
        <f>Y329*$J$2</f>
        <v>398</v>
      </c>
      <c r="AA329" s="10">
        <f>0.9*Z329*$D$2*(J329-(Z329*$D$2/(0.85*$B$2*(D329*1000)))/2)/1000000</f>
        <v>49.77351244</v>
      </c>
      <c r="AB329" s="15" t="str">
        <f>IF(AA329&gt;=G329,"CUMPLE","REVISAR")</f>
        <v>CUMPLE</v>
      </c>
      <c r="AC329" s="10">
        <f>0.17*SQRT($B$2)*(D329*1000)*J329/1000</f>
        <v>92.44281538</v>
      </c>
      <c r="AD329" s="10">
        <f>MAX(H329/0.75-AC329,0)</f>
        <v>0</v>
      </c>
      <c r="AE329" s="14">
        <f>IF(AD329&gt;0,MIN($N$2*$D$2*J329/(AD329*1000),MIN(J329/4,6*$H$2,150)),MIN(J329/4,6*$H$2,150))</f>
        <v>85.6375</v>
      </c>
      <c r="AF329" s="10">
        <f>0.66*SQRT($B$2)*(D329*1000)*J329/1000</f>
        <v>358.8956362</v>
      </c>
      <c r="AG329" s="15" t="str">
        <f>IF(AD329&lt;=AF329,"CUMPLE","AUMENTAR SECCION")</f>
        <v>CUMPLE</v>
      </c>
      <c r="AH329" s="10">
        <f>0.75*0.083*SQRT($B$2)*(((D329*1000)*(E329*1000))^2/(2*((D329*1000)+(E329*1000))))/1000000</f>
        <v>3.388073536</v>
      </c>
      <c r="AI329" s="15" t="str">
        <f>IF(I329&gt;AH329,"SI","No")</f>
        <v>No</v>
      </c>
      <c r="AJ329" s="11">
        <f>IF(I329&gt;AH329,I329*1000000/(0.75*2*0.85*((D329*1000-2*$F$2)*(E329*1000-2*$F$2))*$D$2),0)</f>
        <v>0</v>
      </c>
      <c r="AK329" s="10">
        <f>1.25*Q329*$D$2*(J329-(1.25*Q329*$D$2/(0.85*$B$2*(D329*1000)))/2)/1000000</f>
        <v>68.51839235</v>
      </c>
      <c r="AL329" s="10">
        <f>1.25*Z329*$D$2*(J329-(1.25*Z329*$D$2/(0.85*$B$2*(D329*1000)))/2)/1000000</f>
        <v>68.51839235</v>
      </c>
      <c r="AM329" s="10">
        <f>(AK329+AL329)/B329</f>
        <v>52.70645566</v>
      </c>
      <c r="AN329" s="10">
        <f>MAX(H329,AM329)</f>
        <v>52.70645566</v>
      </c>
    </row>
    <row r="330">
      <c r="A330" s="5" t="inlineStr">
        <is>
          <t>F801</t>
        </is>
      </c>
      <c r="B330" s="6" t="n">
        <v>3.65</v>
      </c>
      <c r="C330" s="7" t="inlineStr">
        <is>
          <t>VR</t>
        </is>
      </c>
      <c r="D330" s="8">
        <f>IF(C330="VR",0.35,0.30)</f>
        <v>0.35</v>
      </c>
      <c r="E330" s="6" t="n">
        <v>0.4</v>
      </c>
      <c r="F330" s="9" t="n">
        <v>38.1</v>
      </c>
      <c r="G330" s="9" t="n">
        <v>18.4</v>
      </c>
      <c r="H330" s="9" t="n">
        <v>109.7</v>
      </c>
      <c r="I330" s="6" t="n">
        <v>5.69</v>
      </c>
      <c r="J330" s="10">
        <f>E330*1000-$F$2-$L$2-$H$2/2</f>
        <v>342.55</v>
      </c>
      <c r="K330" s="11">
        <f>F330*1000000/(0.9*(D330*1000)*J330^2)</f>
        <v>1.031592813</v>
      </c>
      <c r="L330" s="12">
        <f>(0.85*$B$2/$D$2)*(1-SQRT(1-2*K330/(0.85*$B$2)))</f>
        <v>0.002511844199</v>
      </c>
      <c r="M330" s="13">
        <f>L330*(D330*1000)*J330</f>
        <v>301.1512806</v>
      </c>
      <c r="N330" s="13">
        <f>MAX(0.25*SQRT($B$2)/$D$2,1.4/$D$2)*(D330*1000)*J330</f>
        <v>399.6416667</v>
      </c>
      <c r="O330" s="13">
        <f>MAX(M330,N330)</f>
        <v>399.6416667</v>
      </c>
      <c r="P330" s="14">
        <f>ROUNDUP(O330/$J$2,0)</f>
        <v>3</v>
      </c>
      <c r="Q330" s="13">
        <f>P330*$J$2</f>
        <v>597</v>
      </c>
      <c r="R330" s="10">
        <f>Q330*$D$2/(0.85*$B$2*(D330*1000))</f>
        <v>30.10084034</v>
      </c>
      <c r="S330" s="10">
        <f>0.9*Q330*$D$2*(J330-R330/2)/1000000</f>
        <v>73.90552018</v>
      </c>
      <c r="T330" s="15" t="str">
        <f>IF(AND(S330&gt;=F330,O330&lt;=0.025*(D330*1000)*J330,O330&gt;=N330),"CUMPLE","REVISAR")</f>
        <v>CUMPLE</v>
      </c>
      <c r="U330" s="11">
        <f>G330*1000000/(0.9*(D330*1000)*J330^2)</f>
        <v>0.498346174</v>
      </c>
      <c r="V330" s="12">
        <f>(0.85*$B$2/$D$2)*(1-SQRT(1-2*U330/(0.85*$B$2)))</f>
        <v>0.00119922805</v>
      </c>
      <c r="W330" s="13">
        <f>V330*(D330*1000)*J330</f>
        <v>143.778449</v>
      </c>
      <c r="X330" s="13">
        <f>MAX(W330,N330)</f>
        <v>399.6416667</v>
      </c>
      <c r="Y330" s="14">
        <f>ROUNDUP(X330/$J$2,0)</f>
        <v>3</v>
      </c>
      <c r="Z330" s="13">
        <f>Y330*$J$2</f>
        <v>597</v>
      </c>
      <c r="AA330" s="10">
        <f>0.9*Z330*$D$2*(J330-(Z330*$D$2/(0.85*$B$2*(D330*1000)))/2)/1000000</f>
        <v>73.90552018</v>
      </c>
      <c r="AB330" s="15" t="str">
        <f>IF(AA330&gt;=G330,"CUMPLE","REVISAR")</f>
        <v>CUMPLE</v>
      </c>
      <c r="AC330" s="10">
        <f>0.17*SQRT($B$2)*(D330*1000)*J330/1000</f>
        <v>107.8499513</v>
      </c>
      <c r="AD330" s="10">
        <f>MAX(H330/0.75-AC330,0)</f>
        <v>38.40338205</v>
      </c>
      <c r="AE330" s="14">
        <f>IF(AD330&gt;0,MIN($N$2*$D$2*J330/(AD330*1000),MIN(J330/4,6*$H$2,150)),MIN(J330/4,6*$H$2,150))</f>
        <v>85.6375</v>
      </c>
      <c r="AF330" s="10">
        <f>0.66*SQRT($B$2)*(D330*1000)*J330/1000</f>
        <v>418.7115756</v>
      </c>
      <c r="AG330" s="15" t="str">
        <f>IF(AD330&lt;=AF330,"CUMPLE","AUMENTAR SECCION")</f>
        <v>CUMPLE</v>
      </c>
      <c r="AH330" s="10">
        <f>0.75*0.083*SQRT($B$2)*(((D330*1000)*(E330*1000))^2/(2*((D330*1000)+(E330*1000))))/1000000</f>
        <v>4.304108233</v>
      </c>
      <c r="AI330" s="15" t="str">
        <f>IF(I330&gt;AH330,"SI","No")</f>
        <v>SI</v>
      </c>
      <c r="AJ330" s="11">
        <f>IF(I330&gt;AH330,I330*1000000/(0.75*2*0.85*((D330*1000-2*$F$2)*(E330*1000-2*$F$2))*$D$2),0)</f>
        <v>0.1230677456</v>
      </c>
      <c r="AK330" s="10">
        <f>1.25*Q330*$D$2*(J330-(1.25*Q330*$D$2/(0.85*$B$2*(D330*1000)))/2)/1000000</f>
        <v>101.4672613</v>
      </c>
      <c r="AL330" s="10">
        <f>1.25*Z330*$D$2*(J330-(1.25*Z330*$D$2/(0.85*$B$2*(D330*1000)))/2)/1000000</f>
        <v>101.4672613</v>
      </c>
      <c r="AM330" s="10">
        <f>(AK330+AL330)/B330</f>
        <v>55.55283949</v>
      </c>
      <c r="AN330" s="10">
        <f>MAX(H330,AM330)</f>
        <v>109.69</v>
      </c>
    </row>
    <row r="331">
      <c r="A331" s="5" t="inlineStr">
        <is>
          <t>F802</t>
        </is>
      </c>
      <c r="B331" s="6" t="n">
        <v>2.6</v>
      </c>
      <c r="C331" s="7" t="inlineStr">
        <is>
          <t>VC</t>
        </is>
      </c>
      <c r="D331" s="8">
        <f>IF(C331="VR",0.35,0.30)</f>
        <v>0.3</v>
      </c>
      <c r="E331" s="6" t="n">
        <v>0.4</v>
      </c>
      <c r="F331" s="9" t="n">
        <v>28.2</v>
      </c>
      <c r="G331" s="9" t="n">
        <v>9.4</v>
      </c>
      <c r="H331" s="9" t="n">
        <v>47.7</v>
      </c>
      <c r="I331" s="6" t="n">
        <v>0.38</v>
      </c>
      <c r="J331" s="10">
        <f>E331*1000-$F$2-$L$2-$H$2/2</f>
        <v>342.55</v>
      </c>
      <c r="K331" s="11">
        <f>F331*1000000/(0.9*(D331*1000)*J331^2)</f>
        <v>0.8888345803</v>
      </c>
      <c r="L331" s="12">
        <f>(0.85*$B$2/$D$2)*(1-SQRT(1-2*K331/(0.85*$B$2)))</f>
        <v>0.002157338481</v>
      </c>
      <c r="M331" s="13">
        <f>L331*(D331*1000)*J331</f>
        <v>221.698889</v>
      </c>
      <c r="N331" s="13">
        <f>MAX(0.25*SQRT($B$2)/$D$2,1.4/$D$2)*(D331*1000)*J331</f>
        <v>342.55</v>
      </c>
      <c r="O331" s="13">
        <f>MAX(M331,N331)</f>
        <v>342.55</v>
      </c>
      <c r="P331" s="14">
        <f>ROUNDUP(O331/$J$2,0)</f>
        <v>2</v>
      </c>
      <c r="Q331" s="13">
        <f>P331*$J$2</f>
        <v>398</v>
      </c>
      <c r="R331" s="10">
        <f>Q331*$D$2/(0.85*$B$2*(D331*1000))</f>
        <v>23.41176471</v>
      </c>
      <c r="S331" s="10">
        <f>0.9*Q331*$D$2*(J331-R331/2)/1000000</f>
        <v>49.77351244</v>
      </c>
      <c r="T331" s="15" t="str">
        <f>IF(AND(S331&gt;=F331,O331&lt;=0.025*(D331*1000)*J331,O331&gt;=N331),"CUMPLE","REVISAR")</f>
        <v>CUMPLE</v>
      </c>
      <c r="U331" s="11">
        <f>G331*1000000/(0.9*(D331*1000)*J331^2)</f>
        <v>0.2963834059</v>
      </c>
      <c r="V331" s="12">
        <f>(0.85*$B$2/$D$2)*(1-SQRT(1-2*U331/(0.85*$B$2)))</f>
        <v>0.0007101242743</v>
      </c>
      <c r="W331" s="13">
        <f>V331*(D331*1000)*J331</f>
        <v>72.97592105</v>
      </c>
      <c r="X331" s="13">
        <f>MAX(W331,N331)</f>
        <v>342.55</v>
      </c>
      <c r="Y331" s="14">
        <f>ROUNDUP(X331/$J$2,0)</f>
        <v>2</v>
      </c>
      <c r="Z331" s="13">
        <f>Y331*$J$2</f>
        <v>398</v>
      </c>
      <c r="AA331" s="10">
        <f>0.9*Z331*$D$2*(J331-(Z331*$D$2/(0.85*$B$2*(D331*1000)))/2)/1000000</f>
        <v>49.77351244</v>
      </c>
      <c r="AB331" s="15" t="str">
        <f>IF(AA331&gt;=G331,"CUMPLE","REVISAR")</f>
        <v>CUMPLE</v>
      </c>
      <c r="AC331" s="10">
        <f>0.17*SQRT($B$2)*(D331*1000)*J331/1000</f>
        <v>92.44281538</v>
      </c>
      <c r="AD331" s="10">
        <f>MAX(H331/0.75-AC331,0)</f>
        <v>0</v>
      </c>
      <c r="AE331" s="14">
        <f>IF(AD331&gt;0,MIN($N$2*$D$2*J331/(AD331*1000),MIN(J331/4,6*$H$2,150)),MIN(J331/4,6*$H$2,150))</f>
        <v>85.6375</v>
      </c>
      <c r="AF331" s="10">
        <f>0.66*SQRT($B$2)*(D331*1000)*J331/1000</f>
        <v>358.8956362</v>
      </c>
      <c r="AG331" s="15" t="str">
        <f>IF(AD331&lt;=AF331,"CUMPLE","AUMENTAR SECCION")</f>
        <v>CUMPLE</v>
      </c>
      <c r="AH331" s="10">
        <f>0.75*0.083*SQRT($B$2)*(((D331*1000)*(E331*1000))^2/(2*((D331*1000)+(E331*1000))))/1000000</f>
        <v>3.388073536</v>
      </c>
      <c r="AI331" s="15" t="str">
        <f>IF(I331&gt;AH331,"SI","No")</f>
        <v>No</v>
      </c>
      <c r="AJ331" s="11">
        <f>IF(I331&gt;AH331,I331*1000000/(0.75*2*0.85*((D331*1000-2*$F$2)*(E331*1000-2*$F$2))*$D$2),0)</f>
        <v>0</v>
      </c>
      <c r="AK331" s="10">
        <f>1.25*Q331*$D$2*(J331-(1.25*Q331*$D$2/(0.85*$B$2*(D331*1000)))/2)/1000000</f>
        <v>68.51839235</v>
      </c>
      <c r="AL331" s="10">
        <f>1.25*Z331*$D$2*(J331-(1.25*Z331*$D$2/(0.85*$B$2*(D331*1000)))/2)/1000000</f>
        <v>68.51839235</v>
      </c>
      <c r="AM331" s="10">
        <f>(AK331+AL331)/B331</f>
        <v>52.70645566</v>
      </c>
      <c r="AN331" s="10">
        <f>MAX(H331,AM331)</f>
        <v>52.70645566</v>
      </c>
    </row>
    <row r="332">
      <c r="A332" s="5" t="inlineStr">
        <is>
          <t>F803</t>
        </is>
      </c>
      <c r="B332" s="6" t="n">
        <v>2.6</v>
      </c>
      <c r="C332" s="7" t="inlineStr">
        <is>
          <t>VC</t>
        </is>
      </c>
      <c r="D332" s="8">
        <f>IF(C332="VR",0.35,0.30)</f>
        <v>0.3</v>
      </c>
      <c r="E332" s="6" t="n">
        <v>0.4</v>
      </c>
      <c r="F332" s="9" t="n">
        <v>28.4</v>
      </c>
      <c r="G332" s="9" t="n">
        <v>11</v>
      </c>
      <c r="H332" s="9" t="n">
        <v>55.6</v>
      </c>
      <c r="I332" s="6" t="n">
        <v>4.57</v>
      </c>
      <c r="J332" s="10">
        <f>E332*1000-$F$2-$L$2-$H$2/2</f>
        <v>342.55</v>
      </c>
      <c r="K332" s="11">
        <f>F332*1000000/(0.9*(D332*1000)*J332^2)</f>
        <v>0.8954629632</v>
      </c>
      <c r="L332" s="12">
        <f>(0.85*$B$2/$D$2)*(1-SQRT(1-2*K332/(0.85*$B$2)))</f>
        <v>0.00217374742</v>
      </c>
      <c r="M332" s="13">
        <f>L332*(D332*1000)*J332</f>
        <v>223.3851536</v>
      </c>
      <c r="N332" s="13">
        <f>MAX(0.25*SQRT($B$2)/$D$2,1.4/$D$2)*(D332*1000)*J332</f>
        <v>342.55</v>
      </c>
      <c r="O332" s="13">
        <f>MAX(M332,N332)</f>
        <v>342.55</v>
      </c>
      <c r="P332" s="14">
        <f>ROUNDUP(O332/$J$2,0)</f>
        <v>2</v>
      </c>
      <c r="Q332" s="13">
        <f>P332*$J$2</f>
        <v>398</v>
      </c>
      <c r="R332" s="10">
        <f>Q332*$D$2/(0.85*$B$2*(D332*1000))</f>
        <v>23.41176471</v>
      </c>
      <c r="S332" s="10">
        <f>0.9*Q332*$D$2*(J332-R332/2)/1000000</f>
        <v>49.77351244</v>
      </c>
      <c r="T332" s="15" t="str">
        <f>IF(AND(S332&gt;=F332,O332&lt;=0.025*(D332*1000)*J332,O332&gt;=N332),"CUMPLE","REVISAR")</f>
        <v>CUMPLE</v>
      </c>
      <c r="U332" s="11">
        <f>G332*1000000/(0.9*(D332*1000)*J332^2)</f>
        <v>0.3484635571</v>
      </c>
      <c r="V332" s="12">
        <f>(0.85*$B$2/$D$2)*(1-SQRT(1-2*U332/(0.85*$B$2)))</f>
        <v>0.0008358394976</v>
      </c>
      <c r="W332" s="13">
        <f>V332*(D332*1000)*J332</f>
        <v>85.89504597</v>
      </c>
      <c r="X332" s="13">
        <f>MAX(W332,N332)</f>
        <v>342.55</v>
      </c>
      <c r="Y332" s="14">
        <f>ROUNDUP(X332/$J$2,0)</f>
        <v>2</v>
      </c>
      <c r="Z332" s="13">
        <f>Y332*$J$2</f>
        <v>398</v>
      </c>
      <c r="AA332" s="10">
        <f>0.9*Z332*$D$2*(J332-(Z332*$D$2/(0.85*$B$2*(D332*1000)))/2)/1000000</f>
        <v>49.77351244</v>
      </c>
      <c r="AB332" s="15" t="str">
        <f>IF(AA332&gt;=G332,"CUMPLE","REVISAR")</f>
        <v>CUMPLE</v>
      </c>
      <c r="AC332" s="10">
        <f>0.17*SQRT($B$2)*(D332*1000)*J332/1000</f>
        <v>92.44281538</v>
      </c>
      <c r="AD332" s="10">
        <f>MAX(H332/0.75-AC332,0)</f>
        <v>0</v>
      </c>
      <c r="AE332" s="14">
        <f>IF(AD332&gt;0,MIN($N$2*$D$2*J332/(AD332*1000),MIN(J332/4,6*$H$2,150)),MIN(J332/4,6*$H$2,150))</f>
        <v>85.6375</v>
      </c>
      <c r="AF332" s="10">
        <f>0.66*SQRT($B$2)*(D332*1000)*J332/1000</f>
        <v>358.8956362</v>
      </c>
      <c r="AG332" s="15" t="str">
        <f>IF(AD332&lt;=AF332,"CUMPLE","AUMENTAR SECCION")</f>
        <v>CUMPLE</v>
      </c>
      <c r="AH332" s="10">
        <f>0.75*0.083*SQRT($B$2)*(((D332*1000)*(E332*1000))^2/(2*((D332*1000)+(E332*1000))))/1000000</f>
        <v>3.388073536</v>
      </c>
      <c r="AI332" s="15" t="str">
        <f>IF(I332&gt;AH332,"SI","No")</f>
        <v>SI</v>
      </c>
      <c r="AJ332" s="11">
        <f>IF(I332&gt;AH332,I332*1000000/(0.75*2*0.85*((D332*1000-2*$F$2)*(E332*1000-2*$F$2))*$D$2),0)</f>
        <v>0.1212227315</v>
      </c>
      <c r="AK332" s="10">
        <f>1.25*Q332*$D$2*(J332-(1.25*Q332*$D$2/(0.85*$B$2*(D332*1000)))/2)/1000000</f>
        <v>68.51839235</v>
      </c>
      <c r="AL332" s="10">
        <f>1.25*Z332*$D$2*(J332-(1.25*Z332*$D$2/(0.85*$B$2*(D332*1000)))/2)/1000000</f>
        <v>68.51839235</v>
      </c>
      <c r="AM332" s="10">
        <f>(AK332+AL332)/B332</f>
        <v>52.70645566</v>
      </c>
      <c r="AN332" s="10">
        <f>MAX(H332,AM332)</f>
        <v>55.62</v>
      </c>
    </row>
    <row r="333">
      <c r="A333" s="5" t="inlineStr">
        <is>
          <t>F804</t>
        </is>
      </c>
      <c r="B333" s="6" t="n">
        <v>3.65</v>
      </c>
      <c r="C333" s="7" t="inlineStr">
        <is>
          <t>VR</t>
        </is>
      </c>
      <c r="D333" s="8">
        <f>IF(C333="VR",0.35,0.30)</f>
        <v>0.35</v>
      </c>
      <c r="E333" s="6" t="n">
        <v>0.4</v>
      </c>
      <c r="F333" s="9" t="n">
        <v>45.5</v>
      </c>
      <c r="G333" s="9" t="n">
        <v>21.8</v>
      </c>
      <c r="H333" s="9" t="n">
        <v>72.59999999999999</v>
      </c>
      <c r="I333" s="6" t="n">
        <v>0.14</v>
      </c>
      <c r="J333" s="10">
        <f>E333*1000-$F$2-$L$2-$H$2/2</f>
        <v>342.55</v>
      </c>
      <c r="K333" s="11">
        <f>F333*1000000/(0.9*(D333*1000)*J333^2)</f>
        <v>1.230173753</v>
      </c>
      <c r="L333" s="12">
        <f>(0.85*$B$2/$D$2)*(1-SQRT(1-2*K333/(0.85*$B$2)))</f>
        <v>0.003008867015</v>
      </c>
      <c r="M333" s="13">
        <f>L333*(D333*1000)*J333</f>
        <v>360.7405886</v>
      </c>
      <c r="N333" s="13">
        <f>MAX(0.25*SQRT($B$2)/$D$2,1.4/$D$2)*(D333*1000)*J333</f>
        <v>399.6416667</v>
      </c>
      <c r="O333" s="13">
        <f>MAX(M333,N333)</f>
        <v>399.6416667</v>
      </c>
      <c r="P333" s="14">
        <f>ROUNDUP(O333/$J$2,0)</f>
        <v>3</v>
      </c>
      <c r="Q333" s="13">
        <f>P333*$J$2</f>
        <v>597</v>
      </c>
      <c r="R333" s="10">
        <f>Q333*$D$2/(0.85*$B$2*(D333*1000))</f>
        <v>30.10084034</v>
      </c>
      <c r="S333" s="10">
        <f>0.9*Q333*$D$2*(J333-R333/2)/1000000</f>
        <v>73.90552018</v>
      </c>
      <c r="T333" s="15" t="str">
        <f>IF(AND(S333&gt;=F333,O333&lt;=0.025*(D333*1000)*J333,O333&gt;=N333),"CUMPLE","REVISAR")</f>
        <v>CUMPLE</v>
      </c>
      <c r="U333" s="11">
        <f>G333*1000000/(0.9*(D333*1000)*J333^2)</f>
        <v>0.5884380719</v>
      </c>
      <c r="V333" s="12">
        <f>(0.85*$B$2/$D$2)*(1-SQRT(1-2*U333/(0.85*$B$2)))</f>
        <v>0.001418804857</v>
      </c>
      <c r="W333" s="13">
        <f>V333*(D333*1000)*J333</f>
        <v>170.1040613</v>
      </c>
      <c r="X333" s="13">
        <f>MAX(W333,N333)</f>
        <v>399.6416667</v>
      </c>
      <c r="Y333" s="14">
        <f>ROUNDUP(X333/$J$2,0)</f>
        <v>3</v>
      </c>
      <c r="Z333" s="13">
        <f>Y333*$J$2</f>
        <v>597</v>
      </c>
      <c r="AA333" s="10">
        <f>0.9*Z333*$D$2*(J333-(Z333*$D$2/(0.85*$B$2*(D333*1000)))/2)/1000000</f>
        <v>73.90552018</v>
      </c>
      <c r="AB333" s="15" t="str">
        <f>IF(AA333&gt;=G333,"CUMPLE","REVISAR")</f>
        <v>CUMPLE</v>
      </c>
      <c r="AC333" s="10">
        <f>0.17*SQRT($B$2)*(D333*1000)*J333/1000</f>
        <v>107.8499513</v>
      </c>
      <c r="AD333" s="10">
        <f>MAX(H333/0.75-AC333,0)</f>
        <v>0</v>
      </c>
      <c r="AE333" s="14">
        <f>IF(AD333&gt;0,MIN($N$2*$D$2*J333/(AD333*1000),MIN(J333/4,6*$H$2,150)),MIN(J333/4,6*$H$2,150))</f>
        <v>85.6375</v>
      </c>
      <c r="AF333" s="10">
        <f>0.66*SQRT($B$2)*(D333*1000)*J333/1000</f>
        <v>418.7115756</v>
      </c>
      <c r="AG333" s="15" t="str">
        <f>IF(AD333&lt;=AF333,"CUMPLE","AUMENTAR SECCION")</f>
        <v>CUMPLE</v>
      </c>
      <c r="AH333" s="10">
        <f>0.75*0.083*SQRT($B$2)*(((D333*1000)*(E333*1000))^2/(2*((D333*1000)+(E333*1000))))/1000000</f>
        <v>4.304108233</v>
      </c>
      <c r="AI333" s="15" t="str">
        <f>IF(I333&gt;AH333,"SI","No")</f>
        <v>No</v>
      </c>
      <c r="AJ333" s="11">
        <f>IF(I333&gt;AH333,I333*1000000/(0.75*2*0.85*((D333*1000-2*$F$2)*(E333*1000-2*$F$2))*$D$2),0)</f>
        <v>0</v>
      </c>
      <c r="AK333" s="10">
        <f>1.25*Q333*$D$2*(J333-(1.25*Q333*$D$2/(0.85*$B$2*(D333*1000)))/2)/1000000</f>
        <v>101.4672613</v>
      </c>
      <c r="AL333" s="10">
        <f>1.25*Z333*$D$2*(J333-(1.25*Z333*$D$2/(0.85*$B$2*(D333*1000)))/2)/1000000</f>
        <v>101.4672613</v>
      </c>
      <c r="AM333" s="10">
        <f>(AK333+AL333)/B333</f>
        <v>55.59849936</v>
      </c>
      <c r="AN333" s="10">
        <f>MAX(H333,AM333)</f>
        <v>72.6</v>
      </c>
    </row>
    <row r="334">
      <c r="A334" s="5" t="inlineStr">
        <is>
          <t>F805</t>
        </is>
      </c>
      <c r="B334" s="6" t="n">
        <v>2.6</v>
      </c>
      <c r="C334" s="7" t="inlineStr">
        <is>
          <t>VC</t>
        </is>
      </c>
      <c r="D334" s="8">
        <f>IF(C334="VR",0.35,0.30)</f>
        <v>0.3</v>
      </c>
      <c r="E334" s="6" t="n">
        <v>0.4</v>
      </c>
      <c r="F334" s="9" t="n">
        <v>27</v>
      </c>
      <c r="G334" s="9" t="n">
        <v>11</v>
      </c>
      <c r="H334" s="9" t="n">
        <v>54.7</v>
      </c>
      <c r="I334" s="6" t="n">
        <v>0.07000000000000001</v>
      </c>
      <c r="J334" s="10">
        <f>E334*1000-$F$2-$L$2-$H$2/2</f>
        <v>342.55</v>
      </c>
      <c r="K334" s="11">
        <f>F334*1000000/(0.9*(D334*1000)*J334^2)</f>
        <v>0.851273744</v>
      </c>
      <c r="L334" s="12">
        <f>(0.85*$B$2/$D$2)*(1-SQRT(1-2*K334/(0.85*$B$2)))</f>
        <v>0.002064447636</v>
      </c>
      <c r="M334" s="13">
        <f>L334*(D334*1000)*J334</f>
        <v>212.1529613</v>
      </c>
      <c r="N334" s="13">
        <f>MAX(0.25*SQRT($B$2)/$D$2,1.4/$D$2)*(D334*1000)*J334</f>
        <v>342.55</v>
      </c>
      <c r="O334" s="13">
        <f>MAX(M334,N334)</f>
        <v>342.55</v>
      </c>
      <c r="P334" s="14">
        <f>ROUNDUP(O334/$J$2,0)</f>
        <v>2</v>
      </c>
      <c r="Q334" s="13">
        <f>P334*$J$2</f>
        <v>398</v>
      </c>
      <c r="R334" s="10">
        <f>Q334*$D$2/(0.85*$B$2*(D334*1000))</f>
        <v>23.41176471</v>
      </c>
      <c r="S334" s="10">
        <f>0.9*Q334*$D$2*(J334-R334/2)/1000000</f>
        <v>49.77351244</v>
      </c>
      <c r="T334" s="15" t="str">
        <f>IF(AND(S334&gt;=F334,O334&lt;=0.025*(D334*1000)*J334,O334&gt;=N334),"CUMPLE","REVISAR")</f>
        <v>CUMPLE</v>
      </c>
      <c r="U334" s="11">
        <f>G334*1000000/(0.9*(D334*1000)*J334^2)</f>
        <v>0.3484635571</v>
      </c>
      <c r="V334" s="12">
        <f>(0.85*$B$2/$D$2)*(1-SQRT(1-2*U334/(0.85*$B$2)))</f>
        <v>0.0008358394976</v>
      </c>
      <c r="W334" s="13">
        <f>V334*(D334*1000)*J334</f>
        <v>85.89504597</v>
      </c>
      <c r="X334" s="13">
        <f>MAX(W334,N334)</f>
        <v>342.55</v>
      </c>
      <c r="Y334" s="14">
        <f>ROUNDUP(X334/$J$2,0)</f>
        <v>2</v>
      </c>
      <c r="Z334" s="13">
        <f>Y334*$J$2</f>
        <v>398</v>
      </c>
      <c r="AA334" s="10">
        <f>0.9*Z334*$D$2*(J334-(Z334*$D$2/(0.85*$B$2*(D334*1000)))/2)/1000000</f>
        <v>49.77351244</v>
      </c>
      <c r="AB334" s="15" t="str">
        <f>IF(AA334&gt;=G334,"CUMPLE","REVISAR")</f>
        <v>CUMPLE</v>
      </c>
      <c r="AC334" s="10">
        <f>0.17*SQRT($B$2)*(D334*1000)*J334/1000</f>
        <v>92.44281538</v>
      </c>
      <c r="AD334" s="10">
        <f>MAX(H334/0.75-AC334,0)</f>
        <v>0</v>
      </c>
      <c r="AE334" s="14">
        <f>IF(AD334&gt;0,MIN($N$2*$D$2*J334/(AD334*1000),MIN(J334/4,6*$H$2,150)),MIN(J334/4,6*$H$2,150))</f>
        <v>85.6375</v>
      </c>
      <c r="AF334" s="10">
        <f>0.66*SQRT($B$2)*(D334*1000)*J334/1000</f>
        <v>358.8956362</v>
      </c>
      <c r="AG334" s="15" t="str">
        <f>IF(AD334&lt;=AF334,"CUMPLE","AUMENTAR SECCION")</f>
        <v>CUMPLE</v>
      </c>
      <c r="AH334" s="10">
        <f>0.75*0.083*SQRT($B$2)*(((D334*1000)*(E334*1000))^2/(2*((D334*1000)+(E334*1000))))/1000000</f>
        <v>3.388073536</v>
      </c>
      <c r="AI334" s="15" t="str">
        <f>IF(I334&gt;AH334,"SI","No")</f>
        <v>No</v>
      </c>
      <c r="AJ334" s="11">
        <f>IF(I334&gt;AH334,I334*1000000/(0.75*2*0.85*((D334*1000-2*$F$2)*(E334*1000-2*$F$2))*$D$2),0)</f>
        <v>0</v>
      </c>
      <c r="AK334" s="10">
        <f>1.25*Q334*$D$2*(J334-(1.25*Q334*$D$2/(0.85*$B$2*(D334*1000)))/2)/1000000</f>
        <v>68.51839235</v>
      </c>
      <c r="AL334" s="10">
        <f>1.25*Z334*$D$2*(J334-(1.25*Z334*$D$2/(0.85*$B$2*(D334*1000)))/2)/1000000</f>
        <v>68.51839235</v>
      </c>
      <c r="AM334" s="10">
        <f>(AK334+AL334)/B334</f>
        <v>52.70645566</v>
      </c>
      <c r="AN334" s="10">
        <f>MAX(H334,AM334)</f>
        <v>54.71</v>
      </c>
    </row>
    <row r="335">
      <c r="A335" s="5" t="inlineStr">
        <is>
          <t>F806</t>
        </is>
      </c>
      <c r="B335" s="6" t="n">
        <v>2.5</v>
      </c>
      <c r="C335" s="7" t="inlineStr">
        <is>
          <t>VC</t>
        </is>
      </c>
      <c r="D335" s="8">
        <f>IF(C335="VR",0.35,0.30)</f>
        <v>0.3</v>
      </c>
      <c r="E335" s="6" t="n">
        <v>0.4</v>
      </c>
      <c r="F335" s="9" t="n">
        <v>29.1</v>
      </c>
      <c r="G335" s="9" t="n">
        <v>10.7</v>
      </c>
      <c r="H335" s="9" t="n">
        <v>55.9</v>
      </c>
      <c r="I335" s="6" t="n">
        <v>0.29</v>
      </c>
      <c r="J335" s="10">
        <f>E335*1000-$F$2-$L$2-$H$2/2</f>
        <v>342.55</v>
      </c>
      <c r="K335" s="11">
        <f>F335*1000000/(0.9*(D335*1000)*J335^2)</f>
        <v>0.9185044847</v>
      </c>
      <c r="L335" s="12">
        <f>(0.85*$B$2/$D$2)*(1-SQRT(1-2*K335/(0.85*$B$2)))</f>
        <v>0.0022308265</v>
      </c>
      <c r="M335" s="13">
        <f>L335*(D335*1000)*J335</f>
        <v>229.2508853</v>
      </c>
      <c r="N335" s="13">
        <f>MAX(0.25*SQRT($B$2)/$D$2,1.4/$D$2)*(D335*1000)*J335</f>
        <v>342.55</v>
      </c>
      <c r="O335" s="13">
        <f>MAX(M335,N335)</f>
        <v>342.55</v>
      </c>
      <c r="P335" s="14">
        <f>ROUNDUP(O335/$J$2,0)</f>
        <v>2</v>
      </c>
      <c r="Q335" s="13">
        <f>P335*$J$2</f>
        <v>398</v>
      </c>
      <c r="R335" s="10">
        <f>Q335*$D$2/(0.85*$B$2*(D335*1000))</f>
        <v>23.41176471</v>
      </c>
      <c r="S335" s="10">
        <f>0.9*Q335*$D$2*(J335-R335/2)/1000000</f>
        <v>49.77351244</v>
      </c>
      <c r="T335" s="15" t="str">
        <f>IF(AND(S335&gt;=F335,O335&lt;=0.025*(D335*1000)*J335,O335&gt;=N335),"CUMPLE","REVISAR")</f>
        <v>CUMPLE</v>
      </c>
      <c r="U335" s="11">
        <f>G335*1000000/(0.9*(D335*1000)*J335^2)</f>
        <v>0.3383631641</v>
      </c>
      <c r="V335" s="12">
        <f>(0.85*$B$2/$D$2)*(1-SQRT(1-2*U335/(0.85*$B$2)))</f>
        <v>0.0008114362469</v>
      </c>
      <c r="W335" s="13">
        <f>V335*(D335*1000)*J335</f>
        <v>83.38724592</v>
      </c>
      <c r="X335" s="13">
        <f>MAX(W335,N335)</f>
        <v>342.55</v>
      </c>
      <c r="Y335" s="14">
        <f>ROUNDUP(X335/$J$2,0)</f>
        <v>2</v>
      </c>
      <c r="Z335" s="13">
        <f>Y335*$J$2</f>
        <v>398</v>
      </c>
      <c r="AA335" s="10">
        <f>0.9*Z335*$D$2*(J335-(Z335*$D$2/(0.85*$B$2*(D335*1000)))/2)/1000000</f>
        <v>49.77351244</v>
      </c>
      <c r="AB335" s="15" t="str">
        <f>IF(AA335&gt;=G335,"CUMPLE","REVISAR")</f>
        <v>CUMPLE</v>
      </c>
      <c r="AC335" s="10">
        <f>0.17*SQRT($B$2)*(D335*1000)*J335/1000</f>
        <v>92.44281538</v>
      </c>
      <c r="AD335" s="10">
        <f>MAX(H335/0.75-AC335,0)</f>
        <v>0</v>
      </c>
      <c r="AE335" s="14">
        <f>IF(AD335&gt;0,MIN($N$2*$D$2*J335/(AD335*1000),MIN(J335/4,6*$H$2,150)),MIN(J335/4,6*$H$2,150))</f>
        <v>85.6375</v>
      </c>
      <c r="AF335" s="10">
        <f>0.66*SQRT($B$2)*(D335*1000)*J335/1000</f>
        <v>358.8956362</v>
      </c>
      <c r="AG335" s="15" t="str">
        <f>IF(AD335&lt;=AF335,"CUMPLE","AUMENTAR SECCION")</f>
        <v>CUMPLE</v>
      </c>
      <c r="AH335" s="10">
        <f>0.75*0.083*SQRT($B$2)*(((D335*1000)*(E335*1000))^2/(2*((D335*1000)+(E335*1000))))/1000000</f>
        <v>3.388073536</v>
      </c>
      <c r="AI335" s="15" t="str">
        <f>IF(I335&gt;AH335,"SI","No")</f>
        <v>No</v>
      </c>
      <c r="AJ335" s="11">
        <f>IF(I335&gt;AH335,I335*1000000/(0.75*2*0.85*((D335*1000-2*$F$2)*(E335*1000-2*$F$2))*$D$2),0)</f>
        <v>0</v>
      </c>
      <c r="AK335" s="10">
        <f>1.25*Q335*$D$2*(J335-(1.25*Q335*$D$2/(0.85*$B$2*(D335*1000)))/2)/1000000</f>
        <v>68.51839235</v>
      </c>
      <c r="AL335" s="10">
        <f>1.25*Z335*$D$2*(J335-(1.25*Z335*$D$2/(0.85*$B$2*(D335*1000)))/2)/1000000</f>
        <v>68.51839235</v>
      </c>
      <c r="AM335" s="10">
        <f>(AK335+AL335)/B335</f>
        <v>54.81471388</v>
      </c>
      <c r="AN335" s="10">
        <f>MAX(H335,AM335)</f>
        <v>55.93</v>
      </c>
    </row>
    <row r="336">
      <c r="A336" s="5" t="inlineStr">
        <is>
          <t>F807</t>
        </is>
      </c>
      <c r="B336" s="6" t="n">
        <v>4</v>
      </c>
      <c r="C336" s="7" t="inlineStr">
        <is>
          <t>VC</t>
        </is>
      </c>
      <c r="D336" s="8">
        <f>IF(C336="VR",0.35,0.30)</f>
        <v>0.3</v>
      </c>
      <c r="E336" s="6" t="n">
        <v>0.4</v>
      </c>
      <c r="F336" s="9" t="n">
        <v>60.3</v>
      </c>
      <c r="G336" s="9" t="n">
        <v>26.1</v>
      </c>
      <c r="H336" s="9" t="n">
        <v>82.40000000000001</v>
      </c>
      <c r="I336" s="6" t="n">
        <v>3.41</v>
      </c>
      <c r="J336" s="10">
        <f>E336*1000-$F$2-$L$2-$H$2/2</f>
        <v>342.55</v>
      </c>
      <c r="K336" s="11">
        <f>F336*1000000/(0.9*(D336*1000)*J336^2)</f>
        <v>1.902977161</v>
      </c>
      <c r="L336" s="12">
        <f>(0.85*$B$2/$D$2)*(1-SQRT(1-2*K336/(0.85*$B$2)))</f>
        <v>0.004728151694</v>
      </c>
      <c r="M336" s="13">
        <f>L336*(D336*1000)*J336</f>
        <v>485.8885088</v>
      </c>
      <c r="N336" s="13">
        <f>MAX(0.25*SQRT($B$2)/$D$2,1.4/$D$2)*(D336*1000)*J336</f>
        <v>342.55</v>
      </c>
      <c r="O336" s="13">
        <f>MAX(M336,N336)</f>
        <v>485.8885088</v>
      </c>
      <c r="P336" s="14">
        <f>ROUNDUP(O336/$J$2,0)</f>
        <v>3</v>
      </c>
      <c r="Q336" s="13">
        <f>P336*$J$2</f>
        <v>597</v>
      </c>
      <c r="R336" s="10">
        <f>Q336*$D$2/(0.85*$B$2*(D336*1000))</f>
        <v>35.11764706</v>
      </c>
      <c r="S336" s="10">
        <f>0.9*Q336*$D$2*(J336-R336/2)/1000000</f>
        <v>73.33945883</v>
      </c>
      <c r="T336" s="15" t="str">
        <f>IF(AND(S336&gt;=F336,O336&lt;=0.025*(D336*1000)*J336,O336&gt;=N336),"CUMPLE","REVISAR")</f>
        <v>CUMPLE</v>
      </c>
      <c r="U336" s="11">
        <f>G336*1000000/(0.9*(D336*1000)*J336^2)</f>
        <v>0.8247602125</v>
      </c>
      <c r="V336" s="12">
        <f>(0.85*$B$2/$D$2)*(1-SQRT(1-2*U336/(0.85*$B$2)))</f>
        <v>0.00199897266</v>
      </c>
      <c r="W336" s="13">
        <f>V336*(D336*1000)*J336</f>
        <v>205.4244254</v>
      </c>
      <c r="X336" s="13">
        <f>MAX(W336,N336)</f>
        <v>342.55</v>
      </c>
      <c r="Y336" s="14">
        <f>ROUNDUP(X336/$J$2,0)</f>
        <v>2</v>
      </c>
      <c r="Z336" s="13">
        <f>Y336*$J$2</f>
        <v>398</v>
      </c>
      <c r="AA336" s="10">
        <f>0.9*Z336*$D$2*(J336-(Z336*$D$2/(0.85*$B$2*(D336*1000)))/2)/1000000</f>
        <v>49.77351244</v>
      </c>
      <c r="AB336" s="15" t="str">
        <f>IF(AA336&gt;=G336,"CUMPLE","REVISAR")</f>
        <v>CUMPLE</v>
      </c>
      <c r="AC336" s="10">
        <f>0.17*SQRT($B$2)*(D336*1000)*J336/1000</f>
        <v>92.44281538</v>
      </c>
      <c r="AD336" s="10">
        <f>MAX(H336/0.75-AC336,0)</f>
        <v>17.42385128</v>
      </c>
      <c r="AE336" s="14">
        <f>IF(AD336&gt;0,MIN($N$2*$D$2*J336/(AD336*1000),MIN(J336/4,6*$H$2,150)),MIN(J336/4,6*$H$2,150))</f>
        <v>85.6375</v>
      </c>
      <c r="AF336" s="10">
        <f>0.66*SQRT($B$2)*(D336*1000)*J336/1000</f>
        <v>358.8956362</v>
      </c>
      <c r="AG336" s="15" t="str">
        <f>IF(AD336&lt;=AF336,"CUMPLE","AUMENTAR SECCION")</f>
        <v>CUMPLE</v>
      </c>
      <c r="AH336" s="10">
        <f>0.75*0.083*SQRT($B$2)*(((D336*1000)*(E336*1000))^2/(2*((D336*1000)+(E336*1000))))/1000000</f>
        <v>3.388073536</v>
      </c>
      <c r="AI336" s="15" t="str">
        <f>IF(I336&gt;AH336,"SI","No")</f>
        <v>SI</v>
      </c>
      <c r="AJ336" s="11">
        <f>IF(I336&gt;AH336,I336*1000000/(0.75*2*0.85*((D336*1000-2*$F$2)*(E336*1000-2*$F$2))*$D$2),0)</f>
        <v>0.09042632204</v>
      </c>
      <c r="AK336" s="10">
        <f>1.25*Q336*$D$2*(J336-(1.25*Q336*$D$2/(0.85*$B$2*(D336*1000)))/2)/1000000</f>
        <v>100.4845159</v>
      </c>
      <c r="AL336" s="10">
        <f>1.25*Z336*$D$2*(J336-(1.25*Z336*$D$2/(0.85*$B$2*(D336*1000)))/2)/1000000</f>
        <v>68.51839235</v>
      </c>
      <c r="AM336" s="10">
        <f>(AK336+AL336)/B336</f>
        <v>42.25072707</v>
      </c>
      <c r="AN336" s="10">
        <f>MAX(H336,AM336)</f>
        <v>82.4</v>
      </c>
    </row>
    <row r="337">
      <c r="A337" s="5" t="inlineStr">
        <is>
          <t>F808</t>
        </is>
      </c>
      <c r="B337" s="6" t="n">
        <v>4</v>
      </c>
      <c r="C337" s="7" t="inlineStr">
        <is>
          <t>VC</t>
        </is>
      </c>
      <c r="D337" s="8">
        <f>IF(C337="VR",0.35,0.30)</f>
        <v>0.3</v>
      </c>
      <c r="E337" s="6" t="n">
        <v>0.4</v>
      </c>
      <c r="F337" s="9" t="n">
        <v>60.2</v>
      </c>
      <c r="G337" s="9" t="n">
        <v>26.1</v>
      </c>
      <c r="H337" s="9" t="n">
        <v>82.40000000000001</v>
      </c>
      <c r="I337" s="6" t="n">
        <v>3.42</v>
      </c>
      <c r="J337" s="10">
        <f>E337*1000-$F$2-$L$2-$H$2/2</f>
        <v>342.55</v>
      </c>
      <c r="K337" s="11">
        <f>F337*1000000/(0.9*(D337*1000)*J337^2)</f>
        <v>1.901714612</v>
      </c>
      <c r="L337" s="12">
        <f>(0.85*$B$2/$D$2)*(1-SQRT(1-2*K337/(0.85*$B$2)))</f>
        <v>0.004724872075</v>
      </c>
      <c r="M337" s="13">
        <f>L337*(D337*1000)*J337</f>
        <v>485.5514788</v>
      </c>
      <c r="N337" s="13">
        <f>MAX(0.25*SQRT($B$2)/$D$2,1.4/$D$2)*(D337*1000)*J337</f>
        <v>342.55</v>
      </c>
      <c r="O337" s="13">
        <f>MAX(M337,N337)</f>
        <v>485.5514788</v>
      </c>
      <c r="P337" s="14">
        <f>ROUNDUP(O337/$J$2,0)</f>
        <v>3</v>
      </c>
      <c r="Q337" s="13">
        <f>P337*$J$2</f>
        <v>597</v>
      </c>
      <c r="R337" s="10">
        <f>Q337*$D$2/(0.85*$B$2*(D337*1000))</f>
        <v>35.11764706</v>
      </c>
      <c r="S337" s="10">
        <f>0.9*Q337*$D$2*(J337-R337/2)/1000000</f>
        <v>73.33945883</v>
      </c>
      <c r="T337" s="15" t="str">
        <f>IF(AND(S337&gt;=F337,O337&lt;=0.025*(D337*1000)*J337,O337&gt;=N337),"CUMPLE","REVISAR")</f>
        <v>CUMPLE</v>
      </c>
      <c r="U337" s="11">
        <f>G337*1000000/(0.9*(D337*1000)*J337^2)</f>
        <v>0.8247602125</v>
      </c>
      <c r="V337" s="12">
        <f>(0.85*$B$2/$D$2)*(1-SQRT(1-2*U337/(0.85*$B$2)))</f>
        <v>0.00199897266</v>
      </c>
      <c r="W337" s="13">
        <f>V337*(D337*1000)*J337</f>
        <v>205.4244254</v>
      </c>
      <c r="X337" s="13">
        <f>MAX(W337,N337)</f>
        <v>342.55</v>
      </c>
      <c r="Y337" s="14">
        <f>ROUNDUP(X337/$J$2,0)</f>
        <v>2</v>
      </c>
      <c r="Z337" s="13">
        <f>Y337*$J$2</f>
        <v>398</v>
      </c>
      <c r="AA337" s="10">
        <f>0.9*Z337*$D$2*(J337-(Z337*$D$2/(0.85*$B$2*(D337*1000)))/2)/1000000</f>
        <v>49.77351244</v>
      </c>
      <c r="AB337" s="15" t="str">
        <f>IF(AA337&gt;=G337,"CUMPLE","REVISAR")</f>
        <v>CUMPLE</v>
      </c>
      <c r="AC337" s="10">
        <f>0.17*SQRT($B$2)*(D337*1000)*J337/1000</f>
        <v>92.44281538</v>
      </c>
      <c r="AD337" s="10">
        <f>MAX(H337/0.75-AC337,0)</f>
        <v>17.39718462</v>
      </c>
      <c r="AE337" s="14">
        <f>IF(AD337&gt;0,MIN($N$2*$D$2*J337/(AD337*1000),MIN(J337/4,6*$H$2,150)),MIN(J337/4,6*$H$2,150))</f>
        <v>85.6375</v>
      </c>
      <c r="AF337" s="10">
        <f>0.66*SQRT($B$2)*(D337*1000)*J337/1000</f>
        <v>358.8956362</v>
      </c>
      <c r="AG337" s="15" t="str">
        <f>IF(AD337&lt;=AF337,"CUMPLE","AUMENTAR SECCION")</f>
        <v>CUMPLE</v>
      </c>
      <c r="AH337" s="10">
        <f>0.75*0.083*SQRT($B$2)*(((D337*1000)*(E337*1000))^2/(2*((D337*1000)+(E337*1000))))/1000000</f>
        <v>3.388073536</v>
      </c>
      <c r="AI337" s="15" t="str">
        <f>IF(I337&gt;AH337,"SI","No")</f>
        <v>SI</v>
      </c>
      <c r="AJ337" s="11">
        <f>IF(I337&gt;AH337,I337*1000000/(0.75*2*0.85*((D337*1000-2*$F$2)*(E337*1000-2*$F$2))*$D$2),0)</f>
        <v>0.09082420847</v>
      </c>
      <c r="AK337" s="10">
        <f>1.25*Q337*$D$2*(J337-(1.25*Q337*$D$2/(0.85*$B$2*(D337*1000)))/2)/1000000</f>
        <v>100.4845159</v>
      </c>
      <c r="AL337" s="10">
        <f>1.25*Z337*$D$2*(J337-(1.25*Z337*$D$2/(0.85*$B$2*(D337*1000)))/2)/1000000</f>
        <v>68.51839235</v>
      </c>
      <c r="AM337" s="10">
        <f>(AK337+AL337)/B337</f>
        <v>42.25072707</v>
      </c>
      <c r="AN337" s="10">
        <f>MAX(H337,AM337)</f>
        <v>82.38</v>
      </c>
    </row>
    <row r="338">
      <c r="A338" s="5" t="inlineStr">
        <is>
          <t>F809</t>
        </is>
      </c>
      <c r="B338" s="6" t="n">
        <v>2.5</v>
      </c>
      <c r="C338" s="7" t="inlineStr">
        <is>
          <t>VC</t>
        </is>
      </c>
      <c r="D338" s="8">
        <f>IF(C338="VR",0.35,0.30)</f>
        <v>0.3</v>
      </c>
      <c r="E338" s="6" t="n">
        <v>0.4</v>
      </c>
      <c r="F338" s="9" t="n">
        <v>29.1</v>
      </c>
      <c r="G338" s="9" t="n">
        <v>10.7</v>
      </c>
      <c r="H338" s="9" t="n">
        <v>55.9</v>
      </c>
      <c r="I338" s="6" t="n">
        <v>0.29</v>
      </c>
      <c r="J338" s="10">
        <f>E338*1000-$F$2-$L$2-$H$2/2</f>
        <v>342.55</v>
      </c>
      <c r="K338" s="11">
        <f>F338*1000000/(0.9*(D338*1000)*J338^2)</f>
        <v>0.9181888474</v>
      </c>
      <c r="L338" s="12">
        <f>(0.85*$B$2/$D$2)*(1-SQRT(1-2*K338/(0.85*$B$2)))</f>
        <v>0.002230044191</v>
      </c>
      <c r="M338" s="13">
        <f>L338*(D338*1000)*J338</f>
        <v>229.1704913</v>
      </c>
      <c r="N338" s="13">
        <f>MAX(0.25*SQRT($B$2)/$D$2,1.4/$D$2)*(D338*1000)*J338</f>
        <v>342.55</v>
      </c>
      <c r="O338" s="13">
        <f>MAX(M338,N338)</f>
        <v>342.55</v>
      </c>
      <c r="P338" s="14">
        <f>ROUNDUP(O338/$J$2,0)</f>
        <v>2</v>
      </c>
      <c r="Q338" s="13">
        <f>P338*$J$2</f>
        <v>398</v>
      </c>
      <c r="R338" s="10">
        <f>Q338*$D$2/(0.85*$B$2*(D338*1000))</f>
        <v>23.41176471</v>
      </c>
      <c r="S338" s="10">
        <f>0.9*Q338*$D$2*(J338-R338/2)/1000000</f>
        <v>49.77351244</v>
      </c>
      <c r="T338" s="15" t="str">
        <f>IF(AND(S338&gt;=F338,O338&lt;=0.025*(D338*1000)*J338,O338&gt;=N338),"CUMPLE","REVISAR")</f>
        <v>CUMPLE</v>
      </c>
      <c r="U338" s="11">
        <f>G338*1000000/(0.9*(D338*1000)*J338^2)</f>
        <v>0.3383631641</v>
      </c>
      <c r="V338" s="12">
        <f>(0.85*$B$2/$D$2)*(1-SQRT(1-2*U338/(0.85*$B$2)))</f>
        <v>0.0008114362469</v>
      </c>
      <c r="W338" s="13">
        <f>V338*(D338*1000)*J338</f>
        <v>83.38724592</v>
      </c>
      <c r="X338" s="13">
        <f>MAX(W338,N338)</f>
        <v>342.55</v>
      </c>
      <c r="Y338" s="14">
        <f>ROUNDUP(X338/$J$2,0)</f>
        <v>2</v>
      </c>
      <c r="Z338" s="13">
        <f>Y338*$J$2</f>
        <v>398</v>
      </c>
      <c r="AA338" s="10">
        <f>0.9*Z338*$D$2*(J338-(Z338*$D$2/(0.85*$B$2*(D338*1000)))/2)/1000000</f>
        <v>49.77351244</v>
      </c>
      <c r="AB338" s="15" t="str">
        <f>IF(AA338&gt;=G338,"CUMPLE","REVISAR")</f>
        <v>CUMPLE</v>
      </c>
      <c r="AC338" s="10">
        <f>0.17*SQRT($B$2)*(D338*1000)*J338/1000</f>
        <v>92.44281538</v>
      </c>
      <c r="AD338" s="10">
        <f>MAX(H338/0.75-AC338,0)</f>
        <v>0</v>
      </c>
      <c r="AE338" s="14">
        <f>IF(AD338&gt;0,MIN($N$2*$D$2*J338/(AD338*1000),MIN(J338/4,6*$H$2,150)),MIN(J338/4,6*$H$2,150))</f>
        <v>85.6375</v>
      </c>
      <c r="AF338" s="10">
        <f>0.66*SQRT($B$2)*(D338*1000)*J338/1000</f>
        <v>358.8956362</v>
      </c>
      <c r="AG338" s="15" t="str">
        <f>IF(AD338&lt;=AF338,"CUMPLE","AUMENTAR SECCION")</f>
        <v>CUMPLE</v>
      </c>
      <c r="AH338" s="10">
        <f>0.75*0.083*SQRT($B$2)*(((D338*1000)*(E338*1000))^2/(2*((D338*1000)+(E338*1000))))/1000000</f>
        <v>3.388073536</v>
      </c>
      <c r="AI338" s="15" t="str">
        <f>IF(I338&gt;AH338,"SI","No")</f>
        <v>No</v>
      </c>
      <c r="AJ338" s="11">
        <f>IF(I338&gt;AH338,I338*1000000/(0.75*2*0.85*((D338*1000-2*$F$2)*(E338*1000-2*$F$2))*$D$2),0)</f>
        <v>0</v>
      </c>
      <c r="AK338" s="10">
        <f>1.25*Q338*$D$2*(J338-(1.25*Q338*$D$2/(0.85*$B$2*(D338*1000)))/2)/1000000</f>
        <v>68.51839235</v>
      </c>
      <c r="AL338" s="10">
        <f>1.25*Z338*$D$2*(J338-(1.25*Z338*$D$2/(0.85*$B$2*(D338*1000)))/2)/1000000</f>
        <v>68.51839235</v>
      </c>
      <c r="AM338" s="10">
        <f>(AK338+AL338)/B338</f>
        <v>54.81471388</v>
      </c>
      <c r="AN338" s="10">
        <f>MAX(H338,AM338)</f>
        <v>55.93</v>
      </c>
    </row>
    <row r="339">
      <c r="A339" s="5" t="inlineStr">
        <is>
          <t>F810</t>
        </is>
      </c>
      <c r="B339" s="6" t="n">
        <v>2.6</v>
      </c>
      <c r="C339" s="7" t="inlineStr">
        <is>
          <t>VC</t>
        </is>
      </c>
      <c r="D339" s="8">
        <f>IF(C339="VR",0.35,0.30)</f>
        <v>0.3</v>
      </c>
      <c r="E339" s="6" t="n">
        <v>0.4</v>
      </c>
      <c r="F339" s="9" t="n">
        <v>27</v>
      </c>
      <c r="G339" s="9" t="n">
        <v>11</v>
      </c>
      <c r="H339" s="9" t="n">
        <v>54.7</v>
      </c>
      <c r="I339" s="6" t="n">
        <v>0.08</v>
      </c>
      <c r="J339" s="10">
        <f>E339*1000-$F$2-$L$2-$H$2/2</f>
        <v>342.55</v>
      </c>
      <c r="K339" s="11">
        <f>F339*1000000/(0.9*(D339*1000)*J339^2)</f>
        <v>0.851273744</v>
      </c>
      <c r="L339" s="12">
        <f>(0.85*$B$2/$D$2)*(1-SQRT(1-2*K339/(0.85*$B$2)))</f>
        <v>0.002064447636</v>
      </c>
      <c r="M339" s="13">
        <f>L339*(D339*1000)*J339</f>
        <v>212.1529613</v>
      </c>
      <c r="N339" s="13">
        <f>MAX(0.25*SQRT($B$2)/$D$2,1.4/$D$2)*(D339*1000)*J339</f>
        <v>342.55</v>
      </c>
      <c r="O339" s="13">
        <f>MAX(M339,N339)</f>
        <v>342.55</v>
      </c>
      <c r="P339" s="14">
        <f>ROUNDUP(O339/$J$2,0)</f>
        <v>2</v>
      </c>
      <c r="Q339" s="13">
        <f>P339*$J$2</f>
        <v>398</v>
      </c>
      <c r="R339" s="10">
        <f>Q339*$D$2/(0.85*$B$2*(D339*1000))</f>
        <v>23.41176471</v>
      </c>
      <c r="S339" s="10">
        <f>0.9*Q339*$D$2*(J339-R339/2)/1000000</f>
        <v>49.77351244</v>
      </c>
      <c r="T339" s="15" t="str">
        <f>IF(AND(S339&gt;=F339,O339&lt;=0.025*(D339*1000)*J339,O339&gt;=N339),"CUMPLE","REVISAR")</f>
        <v>CUMPLE</v>
      </c>
      <c r="U339" s="11">
        <f>G339*1000000/(0.9*(D339*1000)*J339^2)</f>
        <v>0.3484635571</v>
      </c>
      <c r="V339" s="12">
        <f>(0.85*$B$2/$D$2)*(1-SQRT(1-2*U339/(0.85*$B$2)))</f>
        <v>0.0008358394976</v>
      </c>
      <c r="W339" s="13">
        <f>V339*(D339*1000)*J339</f>
        <v>85.89504597</v>
      </c>
      <c r="X339" s="13">
        <f>MAX(W339,N339)</f>
        <v>342.55</v>
      </c>
      <c r="Y339" s="14">
        <f>ROUNDUP(X339/$J$2,0)</f>
        <v>2</v>
      </c>
      <c r="Z339" s="13">
        <f>Y339*$J$2</f>
        <v>398</v>
      </c>
      <c r="AA339" s="10">
        <f>0.9*Z339*$D$2*(J339-(Z339*$D$2/(0.85*$B$2*(D339*1000)))/2)/1000000</f>
        <v>49.77351244</v>
      </c>
      <c r="AB339" s="15" t="str">
        <f>IF(AA339&gt;=G339,"CUMPLE","REVISAR")</f>
        <v>CUMPLE</v>
      </c>
      <c r="AC339" s="10">
        <f>0.17*SQRT($B$2)*(D339*1000)*J339/1000</f>
        <v>92.44281538</v>
      </c>
      <c r="AD339" s="10">
        <f>MAX(H339/0.75-AC339,0)</f>
        <v>0</v>
      </c>
      <c r="AE339" s="14">
        <f>IF(AD339&gt;0,MIN($N$2*$D$2*J339/(AD339*1000),MIN(J339/4,6*$H$2,150)),MIN(J339/4,6*$H$2,150))</f>
        <v>85.6375</v>
      </c>
      <c r="AF339" s="10">
        <f>0.66*SQRT($B$2)*(D339*1000)*J339/1000</f>
        <v>358.8956362</v>
      </c>
      <c r="AG339" s="15" t="str">
        <f>IF(AD339&lt;=AF339,"CUMPLE","AUMENTAR SECCION")</f>
        <v>CUMPLE</v>
      </c>
      <c r="AH339" s="10">
        <f>0.75*0.083*SQRT($B$2)*(((D339*1000)*(E339*1000))^2/(2*((D339*1000)+(E339*1000))))/1000000</f>
        <v>3.388073536</v>
      </c>
      <c r="AI339" s="15" t="str">
        <f>IF(I339&gt;AH339,"SI","No")</f>
        <v>No</v>
      </c>
      <c r="AJ339" s="11">
        <f>IF(I339&gt;AH339,I339*1000000/(0.75*2*0.85*((D339*1000-2*$F$2)*(E339*1000-2*$F$2))*$D$2),0)</f>
        <v>0</v>
      </c>
      <c r="AK339" s="10">
        <f>1.25*Q339*$D$2*(J339-(1.25*Q339*$D$2/(0.85*$B$2*(D339*1000)))/2)/1000000</f>
        <v>68.51839235</v>
      </c>
      <c r="AL339" s="10">
        <f>1.25*Z339*$D$2*(J339-(1.25*Z339*$D$2/(0.85*$B$2*(D339*1000)))/2)/1000000</f>
        <v>68.51839235</v>
      </c>
      <c r="AM339" s="10">
        <f>(AK339+AL339)/B339</f>
        <v>52.70645566</v>
      </c>
      <c r="AN339" s="10">
        <f>MAX(H339,AM339)</f>
        <v>54.71</v>
      </c>
    </row>
    <row r="340">
      <c r="A340" s="5" t="inlineStr">
        <is>
          <t>F811</t>
        </is>
      </c>
      <c r="B340" s="6" t="n">
        <v>3.65</v>
      </c>
      <c r="C340" s="7" t="inlineStr">
        <is>
          <t>VR</t>
        </is>
      </c>
      <c r="D340" s="8">
        <f>IF(C340="VR",0.35,0.30)</f>
        <v>0.35</v>
      </c>
      <c r="E340" s="6" t="n">
        <v>0.4</v>
      </c>
      <c r="F340" s="9" t="n">
        <v>45.5</v>
      </c>
      <c r="G340" s="9" t="n">
        <v>21.8</v>
      </c>
      <c r="H340" s="9" t="n">
        <v>72.59999999999999</v>
      </c>
      <c r="I340" s="6" t="n">
        <v>0.14</v>
      </c>
      <c r="J340" s="10">
        <f>E340*1000-$F$2-$L$2-$H$2/2</f>
        <v>342.55</v>
      </c>
      <c r="K340" s="11">
        <f>F340*1000000/(0.9*(D340*1000)*J340^2)</f>
        <v>1.230173753</v>
      </c>
      <c r="L340" s="12">
        <f>(0.85*$B$2/$D$2)*(1-SQRT(1-2*K340/(0.85*$B$2)))</f>
        <v>0.003008867015</v>
      </c>
      <c r="M340" s="13">
        <f>L340*(D340*1000)*J340</f>
        <v>360.7405886</v>
      </c>
      <c r="N340" s="13">
        <f>MAX(0.25*SQRT($B$2)/$D$2,1.4/$D$2)*(D340*1000)*J340</f>
        <v>399.6416667</v>
      </c>
      <c r="O340" s="13">
        <f>MAX(M340,N340)</f>
        <v>399.6416667</v>
      </c>
      <c r="P340" s="14">
        <f>ROUNDUP(O340/$J$2,0)</f>
        <v>3</v>
      </c>
      <c r="Q340" s="13">
        <f>P340*$J$2</f>
        <v>597</v>
      </c>
      <c r="R340" s="10">
        <f>Q340*$D$2/(0.85*$B$2*(D340*1000))</f>
        <v>30.10084034</v>
      </c>
      <c r="S340" s="10">
        <f>0.9*Q340*$D$2*(J340-R340/2)/1000000</f>
        <v>73.90552018</v>
      </c>
      <c r="T340" s="15" t="str">
        <f>IF(AND(S340&gt;=F340,O340&lt;=0.025*(D340*1000)*J340,O340&gt;=N340),"CUMPLE","REVISAR")</f>
        <v>CUMPLE</v>
      </c>
      <c r="U340" s="11">
        <f>G340*1000000/(0.9*(D340*1000)*J340^2)</f>
        <v>0.5884380719</v>
      </c>
      <c r="V340" s="12">
        <f>(0.85*$B$2/$D$2)*(1-SQRT(1-2*U340/(0.85*$B$2)))</f>
        <v>0.001418804857</v>
      </c>
      <c r="W340" s="13">
        <f>V340*(D340*1000)*J340</f>
        <v>170.1040613</v>
      </c>
      <c r="X340" s="13">
        <f>MAX(W340,N340)</f>
        <v>399.6416667</v>
      </c>
      <c r="Y340" s="14">
        <f>ROUNDUP(X340/$J$2,0)</f>
        <v>3</v>
      </c>
      <c r="Z340" s="13">
        <f>Y340*$J$2</f>
        <v>597</v>
      </c>
      <c r="AA340" s="10">
        <f>0.9*Z340*$D$2*(J340-(Z340*$D$2/(0.85*$B$2*(D340*1000)))/2)/1000000</f>
        <v>73.90552018</v>
      </c>
      <c r="AB340" s="15" t="str">
        <f>IF(AA340&gt;=G340,"CUMPLE","REVISAR")</f>
        <v>CUMPLE</v>
      </c>
      <c r="AC340" s="10">
        <f>0.17*SQRT($B$2)*(D340*1000)*J340/1000</f>
        <v>107.8499513</v>
      </c>
      <c r="AD340" s="10">
        <f>MAX(H340/0.75-AC340,0)</f>
        <v>0</v>
      </c>
      <c r="AE340" s="14">
        <f>IF(AD340&gt;0,MIN($N$2*$D$2*J340/(AD340*1000),MIN(J340/4,6*$H$2,150)),MIN(J340/4,6*$H$2,150))</f>
        <v>85.6375</v>
      </c>
      <c r="AF340" s="10">
        <f>0.66*SQRT($B$2)*(D340*1000)*J340/1000</f>
        <v>418.7115756</v>
      </c>
      <c r="AG340" s="15" t="str">
        <f>IF(AD340&lt;=AF340,"CUMPLE","AUMENTAR SECCION")</f>
        <v>CUMPLE</v>
      </c>
      <c r="AH340" s="10">
        <f>0.75*0.083*SQRT($B$2)*(((D340*1000)*(E340*1000))^2/(2*((D340*1000)+(E340*1000))))/1000000</f>
        <v>4.304108233</v>
      </c>
      <c r="AI340" s="15" t="str">
        <f>IF(I340&gt;AH340,"SI","No")</f>
        <v>No</v>
      </c>
      <c r="AJ340" s="11">
        <f>IF(I340&gt;AH340,I340*1000000/(0.75*2*0.85*((D340*1000-2*$F$2)*(E340*1000-2*$F$2))*$D$2),0)</f>
        <v>0</v>
      </c>
      <c r="AK340" s="10">
        <f>1.25*Q340*$D$2*(J340-(1.25*Q340*$D$2/(0.85*$B$2*(D340*1000)))/2)/1000000</f>
        <v>101.4672613</v>
      </c>
      <c r="AL340" s="10">
        <f>1.25*Z340*$D$2*(J340-(1.25*Z340*$D$2/(0.85*$B$2*(D340*1000)))/2)/1000000</f>
        <v>101.4672613</v>
      </c>
      <c r="AM340" s="10">
        <f>(AK340+AL340)/B340</f>
        <v>55.59849936</v>
      </c>
      <c r="AN340" s="10">
        <f>MAX(H340,AM340)</f>
        <v>72.6</v>
      </c>
    </row>
    <row r="341">
      <c r="A341" s="5" t="inlineStr">
        <is>
          <t>F812</t>
        </is>
      </c>
      <c r="B341" s="6" t="n">
        <v>2.6</v>
      </c>
      <c r="C341" s="7" t="inlineStr">
        <is>
          <t>VC</t>
        </is>
      </c>
      <c r="D341" s="8">
        <f>IF(C341="VR",0.35,0.30)</f>
        <v>0.3</v>
      </c>
      <c r="E341" s="6" t="n">
        <v>0.4</v>
      </c>
      <c r="F341" s="9" t="n">
        <v>28.4</v>
      </c>
      <c r="G341" s="9" t="n">
        <v>11</v>
      </c>
      <c r="H341" s="9" t="n">
        <v>55.6</v>
      </c>
      <c r="I341" s="6" t="n">
        <v>4.57</v>
      </c>
      <c r="J341" s="10">
        <f>E341*1000-$F$2-$L$2-$H$2/2</f>
        <v>342.55</v>
      </c>
      <c r="K341" s="11">
        <f>F341*1000000/(0.9*(D341*1000)*J341^2)</f>
        <v>0.8954629632</v>
      </c>
      <c r="L341" s="12">
        <f>(0.85*$B$2/$D$2)*(1-SQRT(1-2*K341/(0.85*$B$2)))</f>
        <v>0.00217374742</v>
      </c>
      <c r="M341" s="13">
        <f>L341*(D341*1000)*J341</f>
        <v>223.3851536</v>
      </c>
      <c r="N341" s="13">
        <f>MAX(0.25*SQRT($B$2)/$D$2,1.4/$D$2)*(D341*1000)*J341</f>
        <v>342.55</v>
      </c>
      <c r="O341" s="13">
        <f>MAX(M341,N341)</f>
        <v>342.55</v>
      </c>
      <c r="P341" s="14">
        <f>ROUNDUP(O341/$J$2,0)</f>
        <v>2</v>
      </c>
      <c r="Q341" s="13">
        <f>P341*$J$2</f>
        <v>398</v>
      </c>
      <c r="R341" s="10">
        <f>Q341*$D$2/(0.85*$B$2*(D341*1000))</f>
        <v>23.41176471</v>
      </c>
      <c r="S341" s="10">
        <f>0.9*Q341*$D$2*(J341-R341/2)/1000000</f>
        <v>49.77351244</v>
      </c>
      <c r="T341" s="15" t="str">
        <f>IF(AND(S341&gt;=F341,O341&lt;=0.025*(D341*1000)*J341,O341&gt;=N341),"CUMPLE","REVISAR")</f>
        <v>CUMPLE</v>
      </c>
      <c r="U341" s="11">
        <f>G341*1000000/(0.9*(D341*1000)*J341^2)</f>
        <v>0.3484635571</v>
      </c>
      <c r="V341" s="12">
        <f>(0.85*$B$2/$D$2)*(1-SQRT(1-2*U341/(0.85*$B$2)))</f>
        <v>0.0008358394976</v>
      </c>
      <c r="W341" s="13">
        <f>V341*(D341*1000)*J341</f>
        <v>85.89504597</v>
      </c>
      <c r="X341" s="13">
        <f>MAX(W341,N341)</f>
        <v>342.55</v>
      </c>
      <c r="Y341" s="14">
        <f>ROUNDUP(X341/$J$2,0)</f>
        <v>2</v>
      </c>
      <c r="Z341" s="13">
        <f>Y341*$J$2</f>
        <v>398</v>
      </c>
      <c r="AA341" s="10">
        <f>0.9*Z341*$D$2*(J341-(Z341*$D$2/(0.85*$B$2*(D341*1000)))/2)/1000000</f>
        <v>49.77351244</v>
      </c>
      <c r="AB341" s="15" t="str">
        <f>IF(AA341&gt;=G341,"CUMPLE","REVISAR")</f>
        <v>CUMPLE</v>
      </c>
      <c r="AC341" s="10">
        <f>0.17*SQRT($B$2)*(D341*1000)*J341/1000</f>
        <v>92.44281538</v>
      </c>
      <c r="AD341" s="10">
        <f>MAX(H341/0.75-AC341,0)</f>
        <v>0</v>
      </c>
      <c r="AE341" s="14">
        <f>IF(AD341&gt;0,MIN($N$2*$D$2*J341/(AD341*1000),MIN(J341/4,6*$H$2,150)),MIN(J341/4,6*$H$2,150))</f>
        <v>85.6375</v>
      </c>
      <c r="AF341" s="10">
        <f>0.66*SQRT($B$2)*(D341*1000)*J341/1000</f>
        <v>358.8956362</v>
      </c>
      <c r="AG341" s="15" t="str">
        <f>IF(AD341&lt;=AF341,"CUMPLE","AUMENTAR SECCION")</f>
        <v>CUMPLE</v>
      </c>
      <c r="AH341" s="10">
        <f>0.75*0.083*SQRT($B$2)*(((D341*1000)*(E341*1000))^2/(2*((D341*1000)+(E341*1000))))/1000000</f>
        <v>3.388073536</v>
      </c>
      <c r="AI341" s="15" t="str">
        <f>IF(I341&gt;AH341,"SI","No")</f>
        <v>SI</v>
      </c>
      <c r="AJ341" s="11">
        <f>IF(I341&gt;AH341,I341*1000000/(0.75*2*0.85*((D341*1000-2*$F$2)*(E341*1000-2*$F$2))*$D$2),0)</f>
        <v>0.1212227315</v>
      </c>
      <c r="AK341" s="10">
        <f>1.25*Q341*$D$2*(J341-(1.25*Q341*$D$2/(0.85*$B$2*(D341*1000)))/2)/1000000</f>
        <v>68.51839235</v>
      </c>
      <c r="AL341" s="10">
        <f>1.25*Z341*$D$2*(J341-(1.25*Z341*$D$2/(0.85*$B$2*(D341*1000)))/2)/1000000</f>
        <v>68.51839235</v>
      </c>
      <c r="AM341" s="10">
        <f>(AK341+AL341)/B341</f>
        <v>52.70645566</v>
      </c>
      <c r="AN341" s="10">
        <f>MAX(H341,AM341)</f>
        <v>55.61</v>
      </c>
    </row>
    <row r="342">
      <c r="A342" s="5" t="inlineStr">
        <is>
          <t>F813</t>
        </is>
      </c>
      <c r="B342" s="6" t="n">
        <v>4</v>
      </c>
      <c r="C342" s="7" t="inlineStr">
        <is>
          <t>VC</t>
        </is>
      </c>
      <c r="D342" s="8">
        <f>IF(C342="VR",0.35,0.30)</f>
        <v>0.3</v>
      </c>
      <c r="E342" s="6" t="n">
        <v>0.4</v>
      </c>
      <c r="F342" s="9" t="n">
        <v>73.2</v>
      </c>
      <c r="G342" s="9" t="n">
        <v>57.2</v>
      </c>
      <c r="H342" s="9" t="n">
        <v>44.9</v>
      </c>
      <c r="I342" s="6" t="n">
        <v>0</v>
      </c>
      <c r="J342" s="10">
        <f>E342*1000-$F$2-$L$2-$H$2/2</f>
        <v>342.55</v>
      </c>
      <c r="K342" s="11">
        <f>F342*1000000/(0.9*(D342*1000)*J342^2)</f>
        <v>2.310149252</v>
      </c>
      <c r="L342" s="12">
        <f>(0.85*$B$2/$D$2)*(1-SQRT(1-2*K342/(0.85*$B$2)))</f>
        <v>0.005796857315</v>
      </c>
      <c r="M342" s="13">
        <f>L342*(D342*1000)*J342</f>
        <v>595.714042</v>
      </c>
      <c r="N342" s="13">
        <f>MAX(0.25*SQRT($B$2)/$D$2,1.4/$D$2)*(D342*1000)*J342</f>
        <v>342.55</v>
      </c>
      <c r="O342" s="13">
        <f>MAX(M342,N342)</f>
        <v>595.714042</v>
      </c>
      <c r="P342" s="14">
        <f>ROUNDUP(O342/$J$2,0)</f>
        <v>3</v>
      </c>
      <c r="Q342" s="13">
        <f>P342*$J$2</f>
        <v>597</v>
      </c>
      <c r="R342" s="10">
        <f>Q342*$D$2/(0.85*$B$2*(D342*1000))</f>
        <v>35.11764706</v>
      </c>
      <c r="S342" s="10">
        <f>0.9*Q342*$D$2*(J342-R342/2)/1000000</f>
        <v>73.33945883</v>
      </c>
      <c r="T342" s="15" t="str">
        <f>IF(AND(S342&gt;=F342,O342&lt;=0.025*(D342*1000)*J342,O342&gt;=N342),"CUMPLE","REVISAR")</f>
        <v>CUMPLE</v>
      </c>
      <c r="U342" s="11">
        <f>G342*1000000/(0.9*(D342*1000)*J342^2)</f>
        <v>1.80670779</v>
      </c>
      <c r="V342" s="12">
        <f>(0.85*$B$2/$D$2)*(1-SQRT(1-2*U342/(0.85*$B$2)))</f>
        <v>0.004478672006</v>
      </c>
      <c r="W342" s="13">
        <f>V342*(D342*1000)*J342</f>
        <v>460.2507287</v>
      </c>
      <c r="X342" s="13">
        <f>MAX(W342,N342)</f>
        <v>460.2507287</v>
      </c>
      <c r="Y342" s="14">
        <f>ROUNDUP(X342/$J$2,0)</f>
        <v>3</v>
      </c>
      <c r="Z342" s="13">
        <f>Y342*$J$2</f>
        <v>597</v>
      </c>
      <c r="AA342" s="10">
        <f>0.9*Z342*$D$2*(J342-(Z342*$D$2/(0.85*$B$2*(D342*1000)))/2)/1000000</f>
        <v>73.33945883</v>
      </c>
      <c r="AB342" s="15" t="str">
        <f>IF(AA342&gt;=G342,"CUMPLE","REVISAR")</f>
        <v>CUMPLE</v>
      </c>
      <c r="AC342" s="10">
        <f>0.17*SQRT($B$2)*(D342*1000)*J342/1000</f>
        <v>92.44281538</v>
      </c>
      <c r="AD342" s="10">
        <f>MAX(H342/0.75-AC342,0)</f>
        <v>0</v>
      </c>
      <c r="AE342" s="14">
        <f>IF(AD342&gt;0,MIN($N$2*$D$2*J342/(AD342*1000),MIN(J342/4,6*$H$2,150)),MIN(J342/4,6*$H$2,150))</f>
        <v>85.6375</v>
      </c>
      <c r="AF342" s="10">
        <f>0.66*SQRT($B$2)*(D342*1000)*J342/1000</f>
        <v>358.8956362</v>
      </c>
      <c r="AG342" s="15" t="str">
        <f>IF(AD342&lt;=AF342,"CUMPLE","AUMENTAR SECCION")</f>
        <v>CUMPLE</v>
      </c>
      <c r="AH342" s="10">
        <f>0.75*0.083*SQRT($B$2)*(((D342*1000)*(E342*1000))^2/(2*((D342*1000)+(E342*1000))))/1000000</f>
        <v>3.388073536</v>
      </c>
      <c r="AI342" s="15" t="str">
        <f>IF(I342&gt;AH342,"SI","No")</f>
        <v>No</v>
      </c>
      <c r="AJ342" s="11">
        <f>IF(I342&gt;AH342,I342*1000000/(0.75*2*0.85*((D342*1000-2*$F$2)*(E342*1000-2*$F$2))*$D$2),0)</f>
        <v>0</v>
      </c>
      <c r="AK342" s="10">
        <f>1.25*Q342*$D$2*(J342-(1.25*Q342*$D$2/(0.85*$B$2*(D342*1000)))/2)/1000000</f>
        <v>100.4845159</v>
      </c>
      <c r="AL342" s="10">
        <f>1.25*Z342*$D$2*(J342-(1.25*Z342*$D$2/(0.85*$B$2*(D342*1000)))/2)/1000000</f>
        <v>100.4845159</v>
      </c>
      <c r="AM342" s="10">
        <f>(AK342+AL342)/B342</f>
        <v>50.24225796</v>
      </c>
      <c r="AN342" s="10">
        <f>MAX(H342,AM342)</f>
        <v>50.24225796</v>
      </c>
    </row>
    <row r="343">
      <c r="A343" s="5" t="inlineStr">
        <is>
          <t>F814</t>
        </is>
      </c>
      <c r="B343" s="6" t="n">
        <v>4</v>
      </c>
      <c r="C343" s="7" t="inlineStr">
        <is>
          <t>VC</t>
        </is>
      </c>
      <c r="D343" s="8">
        <f>IF(C343="VR",0.35,0.30)</f>
        <v>0.3</v>
      </c>
      <c r="E343" s="6" t="n">
        <v>0.4</v>
      </c>
      <c r="F343" s="9" t="n">
        <v>73.2</v>
      </c>
      <c r="G343" s="9" t="n">
        <v>57.2</v>
      </c>
      <c r="H343" s="9" t="n">
        <v>44.9</v>
      </c>
      <c r="I343" s="6" t="n">
        <v>0</v>
      </c>
      <c r="J343" s="10">
        <f>E343*1000-$F$2-$L$2-$H$2/2</f>
        <v>342.55</v>
      </c>
      <c r="K343" s="11">
        <f>F343*1000000/(0.9*(D343*1000)*J343^2)</f>
        <v>2.309833615</v>
      </c>
      <c r="L343" s="12">
        <f>(0.85*$B$2/$D$2)*(1-SQRT(1-2*K343/(0.85*$B$2)))</f>
        <v>0.005796020166</v>
      </c>
      <c r="M343" s="13">
        <f>L343*(D343*1000)*J343</f>
        <v>595.6280123</v>
      </c>
      <c r="N343" s="13">
        <f>MAX(0.25*SQRT($B$2)/$D$2,1.4/$D$2)*(D343*1000)*J343</f>
        <v>342.55</v>
      </c>
      <c r="O343" s="13">
        <f>MAX(M343,N343)</f>
        <v>595.6280123</v>
      </c>
      <c r="P343" s="14">
        <f>ROUNDUP(O343/$J$2,0)</f>
        <v>3</v>
      </c>
      <c r="Q343" s="13">
        <f>P343*$J$2</f>
        <v>597</v>
      </c>
      <c r="R343" s="10">
        <f>Q343*$D$2/(0.85*$B$2*(D343*1000))</f>
        <v>35.11764706</v>
      </c>
      <c r="S343" s="10">
        <f>0.9*Q343*$D$2*(J343-R343/2)/1000000</f>
        <v>73.33945883</v>
      </c>
      <c r="T343" s="15" t="str">
        <f>IF(AND(S343&gt;=F343,O343&lt;=0.025*(D343*1000)*J343,O343&gt;=N343),"CUMPLE","REVISAR")</f>
        <v>CUMPLE</v>
      </c>
      <c r="U343" s="11">
        <f>G343*1000000/(0.9*(D343*1000)*J343^2)</f>
        <v>1.807023428</v>
      </c>
      <c r="V343" s="12">
        <f>(0.85*$B$2/$D$2)*(1-SQRT(1-2*U343/(0.85*$B$2)))</f>
        <v>0.004479488023</v>
      </c>
      <c r="W343" s="13">
        <f>V343*(D343*1000)*J343</f>
        <v>460.3345867</v>
      </c>
      <c r="X343" s="13">
        <f>MAX(W343,N343)</f>
        <v>460.3345867</v>
      </c>
      <c r="Y343" s="14">
        <f>ROUNDUP(X343/$J$2,0)</f>
        <v>3</v>
      </c>
      <c r="Z343" s="13">
        <f>Y343*$J$2</f>
        <v>597</v>
      </c>
      <c r="AA343" s="10">
        <f>0.9*Z343*$D$2*(J343-(Z343*$D$2/(0.85*$B$2*(D343*1000)))/2)/1000000</f>
        <v>73.33945883</v>
      </c>
      <c r="AB343" s="15" t="str">
        <f>IF(AA343&gt;=G343,"CUMPLE","REVISAR")</f>
        <v>CUMPLE</v>
      </c>
      <c r="AC343" s="10">
        <f>0.17*SQRT($B$2)*(D343*1000)*J343/1000</f>
        <v>92.44281538</v>
      </c>
      <c r="AD343" s="10">
        <f>MAX(H343/0.75-AC343,0)</f>
        <v>0</v>
      </c>
      <c r="AE343" s="14">
        <f>IF(AD343&gt;0,MIN($N$2*$D$2*J343/(AD343*1000),MIN(J343/4,6*$H$2,150)),MIN(J343/4,6*$H$2,150))</f>
        <v>85.6375</v>
      </c>
      <c r="AF343" s="10">
        <f>0.66*SQRT($B$2)*(D343*1000)*J343/1000</f>
        <v>358.8956362</v>
      </c>
      <c r="AG343" s="15" t="str">
        <f>IF(AD343&lt;=AF343,"CUMPLE","AUMENTAR SECCION")</f>
        <v>CUMPLE</v>
      </c>
      <c r="AH343" s="10">
        <f>0.75*0.083*SQRT($B$2)*(((D343*1000)*(E343*1000))^2/(2*((D343*1000)+(E343*1000))))/1000000</f>
        <v>3.388073536</v>
      </c>
      <c r="AI343" s="15" t="str">
        <f>IF(I343&gt;AH343,"SI","No")</f>
        <v>No</v>
      </c>
      <c r="AJ343" s="11">
        <f>IF(I343&gt;AH343,I343*1000000/(0.75*2*0.85*((D343*1000-2*$F$2)*(E343*1000-2*$F$2))*$D$2),0)</f>
        <v>0</v>
      </c>
      <c r="AK343" s="10">
        <f>1.25*Q343*$D$2*(J343-(1.25*Q343*$D$2/(0.85*$B$2*(D343*1000)))/2)/1000000</f>
        <v>100.4845159</v>
      </c>
      <c r="AL343" s="10">
        <f>1.25*Z343*$D$2*(J343-(1.25*Z343*$D$2/(0.85*$B$2*(D343*1000)))/2)/1000000</f>
        <v>100.4845159</v>
      </c>
      <c r="AM343" s="10">
        <f>(AK343+AL343)/B343</f>
        <v>50.24225796</v>
      </c>
      <c r="AN343" s="10">
        <f>MAX(H343,AM343)</f>
        <v>50.24225796</v>
      </c>
    </row>
    <row r="344">
      <c r="A344" s="5" t="inlineStr">
        <is>
          <t>F815</t>
        </is>
      </c>
      <c r="B344" s="6" t="n">
        <v>4</v>
      </c>
      <c r="C344" s="7" t="inlineStr">
        <is>
          <t>VC</t>
        </is>
      </c>
      <c r="D344" s="8">
        <f>IF(C344="VR",0.35,0.30)</f>
        <v>0.3</v>
      </c>
      <c r="E344" s="6" t="n">
        <v>0.4</v>
      </c>
      <c r="F344" s="9" t="n">
        <v>84.2</v>
      </c>
      <c r="G344" s="9" t="n">
        <v>66.90000000000001</v>
      </c>
      <c r="H344" s="9" t="n">
        <v>50.3</v>
      </c>
      <c r="I344" s="6" t="n">
        <v>0</v>
      </c>
      <c r="J344" s="10">
        <f>E344*1000-$F$2-$L$2-$H$2/2</f>
        <v>342.55</v>
      </c>
      <c r="K344" s="11">
        <f>F344*1000000/(0.9*(D344*1000)*J344^2)</f>
        <v>2.659244084</v>
      </c>
      <c r="L344" s="12">
        <f>(0.85*$B$2/$D$2)*(1-SQRT(1-2*K344/(0.85*$B$2)))</f>
        <v>0.006731335379</v>
      </c>
      <c r="M344" s="13">
        <f>L344*(D344*1000)*J344</f>
        <v>691.7456803</v>
      </c>
      <c r="N344" s="13">
        <f>MAX(0.25*SQRT($B$2)/$D$2,1.4/$D$2)*(D344*1000)*J344</f>
        <v>342.55</v>
      </c>
      <c r="O344" s="13">
        <f>MAX(M344,N344)</f>
        <v>691.7456803</v>
      </c>
      <c r="P344" s="14">
        <f>ROUNDUP(O344/$J$2,0)</f>
        <v>4</v>
      </c>
      <c r="Q344" s="13">
        <f>P344*$J$2</f>
        <v>796</v>
      </c>
      <c r="R344" s="10">
        <f>Q344*$D$2/(0.85*$B$2*(D344*1000))</f>
        <v>46.82352941</v>
      </c>
      <c r="S344" s="10">
        <f>0.9*Q344*$D$2*(J344-R344/2)/1000000</f>
        <v>96.02486534</v>
      </c>
      <c r="T344" s="15" t="str">
        <f>IF(AND(S344&gt;=F344,O344&lt;=0.025*(D344*1000)*J344,O344&gt;=N344),"CUMPLE","REVISAR")</f>
        <v>CUMPLE</v>
      </c>
      <c r="U344" s="11">
        <f>G344*1000000/(0.9*(D344*1000)*J344^2)</f>
        <v>2.110982128</v>
      </c>
      <c r="V344" s="12">
        <f>(0.85*$B$2/$D$2)*(1-SQRT(1-2*U344/(0.85*$B$2)))</f>
        <v>0.005271326285</v>
      </c>
      <c r="W344" s="13">
        <f>V344*(D344*1000)*J344</f>
        <v>541.7078456</v>
      </c>
      <c r="X344" s="13">
        <f>MAX(W344,N344)</f>
        <v>541.7078456</v>
      </c>
      <c r="Y344" s="14">
        <f>ROUNDUP(X344/$J$2,0)</f>
        <v>3</v>
      </c>
      <c r="Z344" s="13">
        <f>Y344*$J$2</f>
        <v>597</v>
      </c>
      <c r="AA344" s="10">
        <f>0.9*Z344*$D$2*(J344-(Z344*$D$2/(0.85*$B$2*(D344*1000)))/2)/1000000</f>
        <v>73.33945883</v>
      </c>
      <c r="AB344" s="15" t="str">
        <f>IF(AA344&gt;=G344,"CUMPLE","REVISAR")</f>
        <v>CUMPLE</v>
      </c>
      <c r="AC344" s="10">
        <f>0.17*SQRT($B$2)*(D344*1000)*J344/1000</f>
        <v>92.44281538</v>
      </c>
      <c r="AD344" s="10">
        <f>MAX(H344/0.75-AC344,0)</f>
        <v>0</v>
      </c>
      <c r="AE344" s="14">
        <f>IF(AD344&gt;0,MIN($N$2*$D$2*J344/(AD344*1000),MIN(J344/4,6*$H$2,150)),MIN(J344/4,6*$H$2,150))</f>
        <v>85.6375</v>
      </c>
      <c r="AF344" s="10">
        <f>0.66*SQRT($B$2)*(D344*1000)*J344/1000</f>
        <v>358.8956362</v>
      </c>
      <c r="AG344" s="15" t="str">
        <f>IF(AD344&lt;=AF344,"CUMPLE","AUMENTAR SECCION")</f>
        <v>CUMPLE</v>
      </c>
      <c r="AH344" s="10">
        <f>0.75*0.083*SQRT($B$2)*(((D344*1000)*(E344*1000))^2/(2*((D344*1000)+(E344*1000))))/1000000</f>
        <v>3.388073536</v>
      </c>
      <c r="AI344" s="15" t="str">
        <f>IF(I344&gt;AH344,"SI","No")</f>
        <v>No</v>
      </c>
      <c r="AJ344" s="11">
        <f>IF(I344&gt;AH344,I344*1000000/(0.75*2*0.85*((D344*1000-2*$F$2)*(E344*1000-2*$F$2))*$D$2),0)</f>
        <v>0</v>
      </c>
      <c r="AK344" s="10">
        <f>1.25*Q344*$D$2*(J344-(1.25*Q344*$D$2/(0.85*$B$2*(D344*1000)))/2)/1000000</f>
        <v>130.9219244</v>
      </c>
      <c r="AL344" s="10">
        <f>1.25*Z344*$D$2*(J344-(1.25*Z344*$D$2/(0.85*$B$2*(D344*1000)))/2)/1000000</f>
        <v>100.4845159</v>
      </c>
      <c r="AM344" s="10">
        <f>(AK344+AL344)/B344</f>
        <v>57.85161008</v>
      </c>
      <c r="AN344" s="10">
        <f>MAX(H344,AM344)</f>
        <v>57.85161008</v>
      </c>
    </row>
    <row r="345">
      <c r="A345" s="5" t="inlineStr">
        <is>
          <t>F816</t>
        </is>
      </c>
      <c r="B345" s="6" t="n">
        <v>3.81</v>
      </c>
      <c r="C345" s="7" t="inlineStr">
        <is>
          <t>VC</t>
        </is>
      </c>
      <c r="D345" s="8">
        <f>IF(C345="VR",0.35,0.30)</f>
        <v>0.3</v>
      </c>
      <c r="E345" s="6" t="n">
        <v>0.4</v>
      </c>
      <c r="F345" s="9" t="n">
        <v>98</v>
      </c>
      <c r="G345" s="9" t="n">
        <v>65.09999999999999</v>
      </c>
      <c r="H345" s="9" t="n">
        <v>65.2</v>
      </c>
      <c r="I345" s="6" t="n">
        <v>5.88</v>
      </c>
      <c r="J345" s="10">
        <f>E345*1000-$F$2-$L$2-$H$2/2</f>
        <v>342.55</v>
      </c>
      <c r="K345" s="11">
        <f>F345*1000000/(0.9*(D345*1000)*J345^2)</f>
        <v>3.094507893</v>
      </c>
      <c r="L345" s="12">
        <f>(0.85*$B$2/$D$2)*(1-SQRT(1-2*K345/(0.85*$B$2)))</f>
        <v>0.007921562586</v>
      </c>
      <c r="M345" s="13">
        <f>L345*(D345*1000)*J345</f>
        <v>814.0593792</v>
      </c>
      <c r="N345" s="13">
        <f>MAX(0.25*SQRT($B$2)/$D$2,1.4/$D$2)*(D345*1000)*J345</f>
        <v>342.55</v>
      </c>
      <c r="O345" s="13">
        <f>MAX(M345,N345)</f>
        <v>814.0593792</v>
      </c>
      <c r="P345" s="14">
        <f>ROUNDUP(O345/$J$2,0)</f>
        <v>5</v>
      </c>
      <c r="Q345" s="13">
        <f>P345*$J$2</f>
        <v>995</v>
      </c>
      <c r="R345" s="10">
        <f>Q345*$D$2/(0.85*$B$2*(D345*1000))</f>
        <v>58.52941176</v>
      </c>
      <c r="S345" s="10">
        <f>0.9*Q345*$D$2*(J345-R345/2)/1000000</f>
        <v>117.829732</v>
      </c>
      <c r="T345" s="15" t="str">
        <f>IF(AND(S345&gt;=F345,O345&lt;=0.025*(D345*1000)*J345,O345&gt;=N345),"CUMPLE","REVISAR")</f>
        <v>CUMPLE</v>
      </c>
      <c r="U345" s="11">
        <f>G345*1000000/(0.9*(D345*1000)*J345^2)</f>
        <v>2.05511433</v>
      </c>
      <c r="V345" s="12">
        <f>(0.85*$B$2/$D$2)*(1-SQRT(1-2*U345/(0.85*$B$2)))</f>
        <v>0.005124873424</v>
      </c>
      <c r="W345" s="13">
        <f>V345*(D345*1000)*J345</f>
        <v>526.6576174</v>
      </c>
      <c r="X345" s="13">
        <f>MAX(W345,N345)</f>
        <v>526.6576174</v>
      </c>
      <c r="Y345" s="14">
        <f>ROUNDUP(X345/$J$2,0)</f>
        <v>3</v>
      </c>
      <c r="Z345" s="13">
        <f>Y345*$J$2</f>
        <v>597</v>
      </c>
      <c r="AA345" s="10">
        <f>0.9*Z345*$D$2*(J345-(Z345*$D$2/(0.85*$B$2*(D345*1000)))/2)/1000000</f>
        <v>73.33945883</v>
      </c>
      <c r="AB345" s="15" t="str">
        <f>IF(AA345&gt;=G345,"CUMPLE","REVISAR")</f>
        <v>CUMPLE</v>
      </c>
      <c r="AC345" s="10">
        <f>0.17*SQRT($B$2)*(D345*1000)*J345/1000</f>
        <v>92.44281538</v>
      </c>
      <c r="AD345" s="10">
        <f>MAX(H345/0.75-AC345,0)</f>
        <v>0</v>
      </c>
      <c r="AE345" s="14">
        <f>IF(AD345&gt;0,MIN($N$2*$D$2*J345/(AD345*1000),MIN(J345/4,6*$H$2,150)),MIN(J345/4,6*$H$2,150))</f>
        <v>85.6375</v>
      </c>
      <c r="AF345" s="10">
        <f>0.66*SQRT($B$2)*(D345*1000)*J345/1000</f>
        <v>358.8956362</v>
      </c>
      <c r="AG345" s="15" t="str">
        <f>IF(AD345&lt;=AF345,"CUMPLE","AUMENTAR SECCION")</f>
        <v>CUMPLE</v>
      </c>
      <c r="AH345" s="10">
        <f>0.75*0.083*SQRT($B$2)*(((D345*1000)*(E345*1000))^2/(2*((D345*1000)+(E345*1000))))/1000000</f>
        <v>3.388073536</v>
      </c>
      <c r="AI345" s="15" t="str">
        <f>IF(I345&gt;AH345,"SI","No")</f>
        <v>SI</v>
      </c>
      <c r="AJ345" s="11">
        <f>IF(I345&gt;AH345,I345*1000000/(0.75*2*0.85*((D345*1000-2*$F$2)*(E345*1000-2*$F$2))*$D$2),0)</f>
        <v>0.156024531</v>
      </c>
      <c r="AK345" s="10">
        <f>1.25*Q345*$D$2*(J345-(1.25*Q345*$D$2/(0.85*$B$2*(D345*1000)))/2)/1000000</f>
        <v>159.8306178</v>
      </c>
      <c r="AL345" s="10">
        <f>1.25*Z345*$D$2*(J345-(1.25*Z345*$D$2/(0.85*$B$2*(D345*1000)))/2)/1000000</f>
        <v>100.4845159</v>
      </c>
      <c r="AM345" s="10">
        <f>(AK345+AL345)/B345</f>
        <v>68.23463532</v>
      </c>
      <c r="AN345" s="10">
        <f>MAX(H345,AM345)</f>
        <v>68.23463532</v>
      </c>
    </row>
    <row r="346">
      <c r="A346" s="5" t="inlineStr">
        <is>
          <t>F817</t>
        </is>
      </c>
      <c r="B346" s="6" t="n">
        <v>3.81</v>
      </c>
      <c r="C346" s="7" t="inlineStr">
        <is>
          <t>VC</t>
        </is>
      </c>
      <c r="D346" s="8">
        <f>IF(C346="VR",0.35,0.30)</f>
        <v>0.3</v>
      </c>
      <c r="E346" s="6" t="n">
        <v>0.4</v>
      </c>
      <c r="F346" s="9" t="n">
        <v>98</v>
      </c>
      <c r="G346" s="9" t="n">
        <v>65.09999999999999</v>
      </c>
      <c r="H346" s="9" t="n">
        <v>65.2</v>
      </c>
      <c r="I346" s="6" t="n">
        <v>5.88</v>
      </c>
      <c r="J346" s="10">
        <f>E346*1000-$F$2-$L$2-$H$2/2</f>
        <v>342.55</v>
      </c>
      <c r="K346" s="11">
        <f>F346*1000000/(0.9*(D346*1000)*J346^2)</f>
        <v>3.094507893</v>
      </c>
      <c r="L346" s="12">
        <f>(0.85*$B$2/$D$2)*(1-SQRT(1-2*K346/(0.85*$B$2)))</f>
        <v>0.007921562586</v>
      </c>
      <c r="M346" s="13">
        <f>L346*(D346*1000)*J346</f>
        <v>814.0593792</v>
      </c>
      <c r="N346" s="13">
        <f>MAX(0.25*SQRT($B$2)/$D$2,1.4/$D$2)*(D346*1000)*J346</f>
        <v>342.55</v>
      </c>
      <c r="O346" s="13">
        <f>MAX(M346,N346)</f>
        <v>814.0593792</v>
      </c>
      <c r="P346" s="14">
        <f>ROUNDUP(O346/$J$2,0)</f>
        <v>5</v>
      </c>
      <c r="Q346" s="13">
        <f>P346*$J$2</f>
        <v>995</v>
      </c>
      <c r="R346" s="10">
        <f>Q346*$D$2/(0.85*$B$2*(D346*1000))</f>
        <v>58.52941176</v>
      </c>
      <c r="S346" s="10">
        <f>0.9*Q346*$D$2*(J346-R346/2)/1000000</f>
        <v>117.829732</v>
      </c>
      <c r="T346" s="15" t="str">
        <f>IF(AND(S346&gt;=F346,O346&lt;=0.025*(D346*1000)*J346,O346&gt;=N346),"CUMPLE","REVISAR")</f>
        <v>CUMPLE</v>
      </c>
      <c r="U346" s="11">
        <f>G346*1000000/(0.9*(D346*1000)*J346^2)</f>
        <v>2.05511433</v>
      </c>
      <c r="V346" s="12">
        <f>(0.85*$B$2/$D$2)*(1-SQRT(1-2*U346/(0.85*$B$2)))</f>
        <v>0.005124873424</v>
      </c>
      <c r="W346" s="13">
        <f>V346*(D346*1000)*J346</f>
        <v>526.6576174</v>
      </c>
      <c r="X346" s="13">
        <f>MAX(W346,N346)</f>
        <v>526.6576174</v>
      </c>
      <c r="Y346" s="14">
        <f>ROUNDUP(X346/$J$2,0)</f>
        <v>3</v>
      </c>
      <c r="Z346" s="13">
        <f>Y346*$J$2</f>
        <v>597</v>
      </c>
      <c r="AA346" s="10">
        <f>0.9*Z346*$D$2*(J346-(Z346*$D$2/(0.85*$B$2*(D346*1000)))/2)/1000000</f>
        <v>73.33945883</v>
      </c>
      <c r="AB346" s="15" t="str">
        <f>IF(AA346&gt;=G346,"CUMPLE","REVISAR")</f>
        <v>CUMPLE</v>
      </c>
      <c r="AC346" s="10">
        <f>0.17*SQRT($B$2)*(D346*1000)*J346/1000</f>
        <v>92.44281538</v>
      </c>
      <c r="AD346" s="10">
        <f>MAX(H346/0.75-AC346,0)</f>
        <v>0</v>
      </c>
      <c r="AE346" s="14">
        <f>IF(AD346&gt;0,MIN($N$2*$D$2*J346/(AD346*1000),MIN(J346/4,6*$H$2,150)),MIN(J346/4,6*$H$2,150))</f>
        <v>85.6375</v>
      </c>
      <c r="AF346" s="10">
        <f>0.66*SQRT($B$2)*(D346*1000)*J346/1000</f>
        <v>358.8956362</v>
      </c>
      <c r="AG346" s="15" t="str">
        <f>IF(AD346&lt;=AF346,"CUMPLE","AUMENTAR SECCION")</f>
        <v>CUMPLE</v>
      </c>
      <c r="AH346" s="10">
        <f>0.75*0.083*SQRT($B$2)*(((D346*1000)*(E346*1000))^2/(2*((D346*1000)+(E346*1000))))/1000000</f>
        <v>3.388073536</v>
      </c>
      <c r="AI346" s="15" t="str">
        <f>IF(I346&gt;AH346,"SI","No")</f>
        <v>SI</v>
      </c>
      <c r="AJ346" s="11">
        <f>IF(I346&gt;AH346,I346*1000000/(0.75*2*0.85*((D346*1000-2*$F$2)*(E346*1000-2*$F$2))*$D$2),0)</f>
        <v>0.1559714795</v>
      </c>
      <c r="AK346" s="10">
        <f>1.25*Q346*$D$2*(J346-(1.25*Q346*$D$2/(0.85*$B$2*(D346*1000)))/2)/1000000</f>
        <v>159.8306178</v>
      </c>
      <c r="AL346" s="10">
        <f>1.25*Z346*$D$2*(J346-(1.25*Z346*$D$2/(0.85*$B$2*(D346*1000)))/2)/1000000</f>
        <v>100.4845159</v>
      </c>
      <c r="AM346" s="10">
        <f>(AK346+AL346)/B346</f>
        <v>68.23463532</v>
      </c>
      <c r="AN346" s="10">
        <f>MAX(H346,AM346)</f>
        <v>68.23463532</v>
      </c>
    </row>
    <row r="347">
      <c r="A347" s="5" t="inlineStr">
        <is>
          <t>F818</t>
        </is>
      </c>
      <c r="B347" s="6" t="n">
        <v>4</v>
      </c>
      <c r="C347" s="7" t="inlineStr">
        <is>
          <t>VC</t>
        </is>
      </c>
      <c r="D347" s="8">
        <f>IF(C347="VR",0.35,0.30)</f>
        <v>0.3</v>
      </c>
      <c r="E347" s="6" t="n">
        <v>0.4</v>
      </c>
      <c r="F347" s="9" t="n">
        <v>84.3</v>
      </c>
      <c r="G347" s="9" t="n">
        <v>66.90000000000001</v>
      </c>
      <c r="H347" s="9" t="n">
        <v>50.3</v>
      </c>
      <c r="I347" s="6" t="n">
        <v>0</v>
      </c>
      <c r="J347" s="10">
        <f>E347*1000-$F$2-$L$2-$H$2/2</f>
        <v>342.55</v>
      </c>
      <c r="K347" s="11">
        <f>F347*1000000/(0.9*(D347*1000)*J347^2)</f>
        <v>2.659875358</v>
      </c>
      <c r="L347" s="12">
        <f>(0.85*$B$2/$D$2)*(1-SQRT(1-2*K347/(0.85*$B$2)))</f>
        <v>0.006733041054</v>
      </c>
      <c r="M347" s="13">
        <f>L347*(D347*1000)*J347</f>
        <v>691.9209639</v>
      </c>
      <c r="N347" s="13">
        <f>MAX(0.25*SQRT($B$2)/$D$2,1.4/$D$2)*(D347*1000)*J347</f>
        <v>342.55</v>
      </c>
      <c r="O347" s="13">
        <f>MAX(M347,N347)</f>
        <v>691.9209639</v>
      </c>
      <c r="P347" s="14">
        <f>ROUNDUP(O347/$J$2,0)</f>
        <v>4</v>
      </c>
      <c r="Q347" s="13">
        <f>P347*$J$2</f>
        <v>796</v>
      </c>
      <c r="R347" s="10">
        <f>Q347*$D$2/(0.85*$B$2*(D347*1000))</f>
        <v>46.82352941</v>
      </c>
      <c r="S347" s="10">
        <f>0.9*Q347*$D$2*(J347-R347/2)/1000000</f>
        <v>96.02486534</v>
      </c>
      <c r="T347" s="15" t="str">
        <f>IF(AND(S347&gt;=F347,O347&lt;=0.025*(D347*1000)*J347,O347&gt;=N347),"CUMPLE","REVISAR")</f>
        <v>CUMPLE</v>
      </c>
      <c r="U347" s="11">
        <f>G347*1000000/(0.9*(D347*1000)*J347^2)</f>
        <v>2.110666491</v>
      </c>
      <c r="V347" s="12">
        <f>(0.85*$B$2/$D$2)*(1-SQRT(1-2*U347/(0.85*$B$2)))</f>
        <v>0.005270497695</v>
      </c>
      <c r="W347" s="13">
        <f>V347*(D347*1000)*J347</f>
        <v>541.6226956</v>
      </c>
      <c r="X347" s="13">
        <f>MAX(W347,N347)</f>
        <v>541.6226956</v>
      </c>
      <c r="Y347" s="14">
        <f>ROUNDUP(X347/$J$2,0)</f>
        <v>3</v>
      </c>
      <c r="Z347" s="13">
        <f>Y347*$J$2</f>
        <v>597</v>
      </c>
      <c r="AA347" s="10">
        <f>0.9*Z347*$D$2*(J347-(Z347*$D$2/(0.85*$B$2*(D347*1000)))/2)/1000000</f>
        <v>73.33945883</v>
      </c>
      <c r="AB347" s="15" t="str">
        <f>IF(AA347&gt;=G347,"CUMPLE","REVISAR")</f>
        <v>CUMPLE</v>
      </c>
      <c r="AC347" s="10">
        <f>0.17*SQRT($B$2)*(D347*1000)*J347/1000</f>
        <v>92.44281538</v>
      </c>
      <c r="AD347" s="10">
        <f>MAX(H347/0.75-AC347,0)</f>
        <v>0</v>
      </c>
      <c r="AE347" s="14">
        <f>IF(AD347&gt;0,MIN($N$2*$D$2*J347/(AD347*1000),MIN(J347/4,6*$H$2,150)),MIN(J347/4,6*$H$2,150))</f>
        <v>85.6375</v>
      </c>
      <c r="AF347" s="10">
        <f>0.66*SQRT($B$2)*(D347*1000)*J347/1000</f>
        <v>358.8956362</v>
      </c>
      <c r="AG347" s="15" t="str">
        <f>IF(AD347&lt;=AF347,"CUMPLE","AUMENTAR SECCION")</f>
        <v>CUMPLE</v>
      </c>
      <c r="AH347" s="10">
        <f>0.75*0.083*SQRT($B$2)*(((D347*1000)*(E347*1000))^2/(2*((D347*1000)+(E347*1000))))/1000000</f>
        <v>3.388073536</v>
      </c>
      <c r="AI347" s="15" t="str">
        <f>IF(I347&gt;AH347,"SI","No")</f>
        <v>No</v>
      </c>
      <c r="AJ347" s="11">
        <f>IF(I347&gt;AH347,I347*1000000/(0.75*2*0.85*((D347*1000-2*$F$2)*(E347*1000-2*$F$2))*$D$2),0)</f>
        <v>0</v>
      </c>
      <c r="AK347" s="10">
        <f>1.25*Q347*$D$2*(J347-(1.25*Q347*$D$2/(0.85*$B$2*(D347*1000)))/2)/1000000</f>
        <v>130.9219244</v>
      </c>
      <c r="AL347" s="10">
        <f>1.25*Z347*$D$2*(J347-(1.25*Z347*$D$2/(0.85*$B$2*(D347*1000)))/2)/1000000</f>
        <v>100.4845159</v>
      </c>
      <c r="AM347" s="10">
        <f>(AK347+AL347)/B347</f>
        <v>57.85161008</v>
      </c>
      <c r="AN347" s="10">
        <f>MAX(H347,AM347)</f>
        <v>57.85161008</v>
      </c>
    </row>
    <row r="348">
      <c r="A348" s="5" t="inlineStr">
        <is>
          <t>F819</t>
        </is>
      </c>
      <c r="B348" s="6" t="n">
        <v>3.85</v>
      </c>
      <c r="C348" s="7" t="inlineStr">
        <is>
          <t>VC</t>
        </is>
      </c>
      <c r="D348" s="8">
        <f>IF(C348="VR",0.35,0.30)</f>
        <v>0.3</v>
      </c>
      <c r="E348" s="6" t="n">
        <v>0.4</v>
      </c>
      <c r="F348" s="9" t="n">
        <v>99.90000000000001</v>
      </c>
      <c r="G348" s="9" t="n">
        <v>70.5</v>
      </c>
      <c r="H348" s="9" t="n">
        <v>65.7</v>
      </c>
      <c r="I348" s="6" t="n">
        <v>0</v>
      </c>
      <c r="J348" s="10">
        <f>E348*1000-$F$2-$L$2-$H$2/2</f>
        <v>342.55</v>
      </c>
      <c r="K348" s="11">
        <f>F348*1000000/(0.9*(D348*1000)*J348^2)</f>
        <v>3.153216427</v>
      </c>
      <c r="L348" s="12">
        <f>(0.85*$B$2/$D$2)*(1-SQRT(1-2*K348/(0.85*$B$2)))</f>
        <v>0.008084332568</v>
      </c>
      <c r="M348" s="13">
        <f>L348*(D348*1000)*J348</f>
        <v>830.7864364</v>
      </c>
      <c r="N348" s="13">
        <f>MAX(0.25*SQRT($B$2)/$D$2,1.4/$D$2)*(D348*1000)*J348</f>
        <v>342.55</v>
      </c>
      <c r="O348" s="13">
        <f>MAX(M348,N348)</f>
        <v>830.7864364</v>
      </c>
      <c r="P348" s="14">
        <f>ROUNDUP(O348/$J$2,0)</f>
        <v>5</v>
      </c>
      <c r="Q348" s="13">
        <f>P348*$J$2</f>
        <v>995</v>
      </c>
      <c r="R348" s="10">
        <f>Q348*$D$2/(0.85*$B$2*(D348*1000))</f>
        <v>58.52941176</v>
      </c>
      <c r="S348" s="10">
        <f>0.9*Q348*$D$2*(J348-R348/2)/1000000</f>
        <v>117.829732</v>
      </c>
      <c r="T348" s="15" t="str">
        <f>IF(AND(S348&gt;=F348,O348&lt;=0.025*(D348*1000)*J348,O348&gt;=N348),"CUMPLE","REVISAR")</f>
        <v>CUMPLE</v>
      </c>
      <c r="U348" s="11">
        <f>G348*1000000/(0.9*(D348*1000)*J348^2)</f>
        <v>2.224927186</v>
      </c>
      <c r="V348" s="12">
        <f>(0.85*$B$2/$D$2)*(1-SQRT(1-2*U348/(0.85*$B$2)))</f>
        <v>0.005571325061</v>
      </c>
      <c r="W348" s="13">
        <f>V348*(D348*1000)*J348</f>
        <v>572.5372199</v>
      </c>
      <c r="X348" s="13">
        <f>MAX(W348,N348)</f>
        <v>572.5372199</v>
      </c>
      <c r="Y348" s="14">
        <f>ROUNDUP(X348/$J$2,0)</f>
        <v>3</v>
      </c>
      <c r="Z348" s="13">
        <f>Y348*$J$2</f>
        <v>597</v>
      </c>
      <c r="AA348" s="10">
        <f>0.9*Z348*$D$2*(J348-(Z348*$D$2/(0.85*$B$2*(D348*1000)))/2)/1000000</f>
        <v>73.33945883</v>
      </c>
      <c r="AB348" s="15" t="str">
        <f>IF(AA348&gt;=G348,"CUMPLE","REVISAR")</f>
        <v>CUMPLE</v>
      </c>
      <c r="AC348" s="10">
        <f>0.17*SQRT($B$2)*(D348*1000)*J348/1000</f>
        <v>92.44281538</v>
      </c>
      <c r="AD348" s="10">
        <f>MAX(H348/0.75-AC348,0)</f>
        <v>0</v>
      </c>
      <c r="AE348" s="14">
        <f>IF(AD348&gt;0,MIN($N$2*$D$2*J348/(AD348*1000),MIN(J348/4,6*$H$2,150)),MIN(J348/4,6*$H$2,150))</f>
        <v>85.6375</v>
      </c>
      <c r="AF348" s="10">
        <f>0.66*SQRT($B$2)*(D348*1000)*J348/1000</f>
        <v>358.8956362</v>
      </c>
      <c r="AG348" s="15" t="str">
        <f>IF(AD348&lt;=AF348,"CUMPLE","AUMENTAR SECCION")</f>
        <v>CUMPLE</v>
      </c>
      <c r="AH348" s="10">
        <f>0.75*0.083*SQRT($B$2)*(((D348*1000)*(E348*1000))^2/(2*((D348*1000)+(E348*1000))))/1000000</f>
        <v>3.388073536</v>
      </c>
      <c r="AI348" s="15" t="str">
        <f>IF(I348&gt;AH348,"SI","No")</f>
        <v>No</v>
      </c>
      <c r="AJ348" s="11">
        <f>IF(I348&gt;AH348,I348*1000000/(0.75*2*0.85*((D348*1000-2*$F$2)*(E348*1000-2*$F$2))*$D$2),0)</f>
        <v>0</v>
      </c>
      <c r="AK348" s="10">
        <f>1.25*Q348*$D$2*(J348-(1.25*Q348*$D$2/(0.85*$B$2*(D348*1000)))/2)/1000000</f>
        <v>159.8306178</v>
      </c>
      <c r="AL348" s="10">
        <f>1.25*Z348*$D$2*(J348-(1.25*Z348*$D$2/(0.85*$B$2*(D348*1000)))/2)/1000000</f>
        <v>100.4845159</v>
      </c>
      <c r="AM348" s="10">
        <f>(AK348+AL348)/B348</f>
        <v>67.61432045</v>
      </c>
      <c r="AN348" s="10">
        <f>MAX(H348,AM348)</f>
        <v>67.61432045</v>
      </c>
    </row>
    <row r="349">
      <c r="A349" s="5" t="inlineStr">
        <is>
          <t>F820</t>
        </is>
      </c>
      <c r="B349" s="6" t="n">
        <v>3.85</v>
      </c>
      <c r="C349" s="7" t="inlineStr">
        <is>
          <t>VC</t>
        </is>
      </c>
      <c r="D349" s="8">
        <f>IF(C349="VR",0.35,0.30)</f>
        <v>0.3</v>
      </c>
      <c r="E349" s="6" t="n">
        <v>0.4</v>
      </c>
      <c r="F349" s="9" t="n">
        <v>99.90000000000001</v>
      </c>
      <c r="G349" s="9" t="n">
        <v>70.5</v>
      </c>
      <c r="H349" s="9" t="n">
        <v>65.7</v>
      </c>
      <c r="I349" s="6" t="n">
        <v>0</v>
      </c>
      <c r="J349" s="10">
        <f>E349*1000-$F$2-$L$2-$H$2/2</f>
        <v>342.55</v>
      </c>
      <c r="K349" s="11">
        <f>F349*1000000/(0.9*(D349*1000)*J349^2)</f>
        <v>3.152269515</v>
      </c>
      <c r="L349" s="12">
        <f>(0.85*$B$2/$D$2)*(1-SQRT(1-2*K349/(0.85*$B$2)))</f>
        <v>0.008081702919</v>
      </c>
      <c r="M349" s="13">
        <f>L349*(D349*1000)*J349</f>
        <v>830.5162005</v>
      </c>
      <c r="N349" s="13">
        <f>MAX(0.25*SQRT($B$2)/$D$2,1.4/$D$2)*(D349*1000)*J349</f>
        <v>342.55</v>
      </c>
      <c r="O349" s="13">
        <f>MAX(M349,N349)</f>
        <v>830.5162005</v>
      </c>
      <c r="P349" s="14">
        <f>ROUNDUP(O349/$J$2,0)</f>
        <v>5</v>
      </c>
      <c r="Q349" s="13">
        <f>P349*$J$2</f>
        <v>995</v>
      </c>
      <c r="R349" s="10">
        <f>Q349*$D$2/(0.85*$B$2*(D349*1000))</f>
        <v>58.52941176</v>
      </c>
      <c r="S349" s="10">
        <f>0.9*Q349*$D$2*(J349-R349/2)/1000000</f>
        <v>117.829732</v>
      </c>
      <c r="T349" s="15" t="str">
        <f>IF(AND(S349&gt;=F349,O349&lt;=0.025*(D349*1000)*J349,O349&gt;=N349),"CUMPLE","REVISAR")</f>
        <v>CUMPLE</v>
      </c>
      <c r="U349" s="11">
        <f>G349*1000000/(0.9*(D349*1000)*J349^2)</f>
        <v>2.225558461</v>
      </c>
      <c r="V349" s="12">
        <f>(0.85*$B$2/$D$2)*(1-SQRT(1-2*U349/(0.85*$B$2)))</f>
        <v>0.00557299201</v>
      </c>
      <c r="W349" s="13">
        <f>V349*(D349*1000)*J349</f>
        <v>572.7085239</v>
      </c>
      <c r="X349" s="13">
        <f>MAX(W349,N349)</f>
        <v>572.7085239</v>
      </c>
      <c r="Y349" s="14">
        <f>ROUNDUP(X349/$J$2,0)</f>
        <v>3</v>
      </c>
      <c r="Z349" s="13">
        <f>Y349*$J$2</f>
        <v>597</v>
      </c>
      <c r="AA349" s="10">
        <f>0.9*Z349*$D$2*(J349-(Z349*$D$2/(0.85*$B$2*(D349*1000)))/2)/1000000</f>
        <v>73.33945883</v>
      </c>
      <c r="AB349" s="15" t="str">
        <f>IF(AA349&gt;=G349,"CUMPLE","REVISAR")</f>
        <v>CUMPLE</v>
      </c>
      <c r="AC349" s="10">
        <f>0.17*SQRT($B$2)*(D349*1000)*J349/1000</f>
        <v>92.44281538</v>
      </c>
      <c r="AD349" s="10">
        <f>MAX(H349/0.75-AC349,0)</f>
        <v>0</v>
      </c>
      <c r="AE349" s="14">
        <f>IF(AD349&gt;0,MIN($N$2*$D$2*J349/(AD349*1000),MIN(J349/4,6*$H$2,150)),MIN(J349/4,6*$H$2,150))</f>
        <v>85.6375</v>
      </c>
      <c r="AF349" s="10">
        <f>0.66*SQRT($B$2)*(D349*1000)*J349/1000</f>
        <v>358.8956362</v>
      </c>
      <c r="AG349" s="15" t="str">
        <f>IF(AD349&lt;=AF349,"CUMPLE","AUMENTAR SECCION")</f>
        <v>CUMPLE</v>
      </c>
      <c r="AH349" s="10">
        <f>0.75*0.083*SQRT($B$2)*(((D349*1000)*(E349*1000))^2/(2*((D349*1000)+(E349*1000))))/1000000</f>
        <v>3.388073536</v>
      </c>
      <c r="AI349" s="15" t="str">
        <f>IF(I349&gt;AH349,"SI","No")</f>
        <v>No</v>
      </c>
      <c r="AJ349" s="11">
        <f>IF(I349&gt;AH349,I349*1000000/(0.75*2*0.85*((D349*1000-2*$F$2)*(E349*1000-2*$F$2))*$D$2),0)</f>
        <v>0</v>
      </c>
      <c r="AK349" s="10">
        <f>1.25*Q349*$D$2*(J349-(1.25*Q349*$D$2/(0.85*$B$2*(D349*1000)))/2)/1000000</f>
        <v>159.8306178</v>
      </c>
      <c r="AL349" s="10">
        <f>1.25*Z349*$D$2*(J349-(1.25*Z349*$D$2/(0.85*$B$2*(D349*1000)))/2)/1000000</f>
        <v>100.4845159</v>
      </c>
      <c r="AM349" s="10">
        <f>(AK349+AL349)/B349</f>
        <v>67.61432045</v>
      </c>
      <c r="AN349" s="10">
        <f>MAX(H349,AM349)</f>
        <v>67.61432045</v>
      </c>
    </row>
    <row r="350">
      <c r="A350" s="5" t="inlineStr">
        <is>
          <t>F821</t>
        </is>
      </c>
      <c r="B350" s="6" t="n">
        <v>3.85</v>
      </c>
      <c r="C350" s="7" t="inlineStr">
        <is>
          <t>VC</t>
        </is>
      </c>
      <c r="D350" s="8">
        <f>IF(C350="VR",0.35,0.30)</f>
        <v>0.3</v>
      </c>
      <c r="E350" s="6" t="n">
        <v>0.4</v>
      </c>
      <c r="F350" s="9" t="n">
        <v>97.90000000000001</v>
      </c>
      <c r="G350" s="9" t="n">
        <v>66.7</v>
      </c>
      <c r="H350" s="9" t="n">
        <v>67.09999999999999</v>
      </c>
      <c r="I350" s="6" t="n">
        <v>0</v>
      </c>
      <c r="J350" s="10">
        <f>E350*1000-$F$2-$L$2-$H$2/2</f>
        <v>342.55</v>
      </c>
      <c r="K350" s="11">
        <f>F350*1000000/(0.9*(D350*1000)*J350^2)</f>
        <v>3.09135152</v>
      </c>
      <c r="L350" s="12">
        <f>(0.85*$B$2/$D$2)*(1-SQRT(1-2*K350/(0.85*$B$2)))</f>
        <v>0.007912826905</v>
      </c>
      <c r="M350" s="13">
        <f>L350*(D350*1000)*J350</f>
        <v>813.1616569</v>
      </c>
      <c r="N350" s="13">
        <f>MAX(0.25*SQRT($B$2)/$D$2,1.4/$D$2)*(D350*1000)*J350</f>
        <v>342.55</v>
      </c>
      <c r="O350" s="13">
        <f>MAX(M350,N350)</f>
        <v>813.1616569</v>
      </c>
      <c r="P350" s="14">
        <f>ROUNDUP(O350/$J$2,0)</f>
        <v>5</v>
      </c>
      <c r="Q350" s="13">
        <f>P350*$J$2</f>
        <v>995</v>
      </c>
      <c r="R350" s="10">
        <f>Q350*$D$2/(0.85*$B$2*(D350*1000))</f>
        <v>58.52941176</v>
      </c>
      <c r="S350" s="10">
        <f>0.9*Q350*$D$2*(J350-R350/2)/1000000</f>
        <v>117.829732</v>
      </c>
      <c r="T350" s="15" t="str">
        <f>IF(AND(S350&gt;=F350,O350&lt;=0.025*(D350*1000)*J350,O350&gt;=N350),"CUMPLE","REVISAR")</f>
        <v>CUMPLE</v>
      </c>
      <c r="U350" s="11">
        <f>G350*1000000/(0.9*(D350*1000)*J350^2)</f>
        <v>2.104038108</v>
      </c>
      <c r="V350" s="12">
        <f>(0.85*$B$2/$D$2)*(1-SQRT(1-2*U350/(0.85*$B$2)))</f>
        <v>0.0052531004</v>
      </c>
      <c r="W350" s="13">
        <f>V350*(D350*1000)*J350</f>
        <v>539.8348626</v>
      </c>
      <c r="X350" s="13">
        <f>MAX(W350,N350)</f>
        <v>539.8348626</v>
      </c>
      <c r="Y350" s="14">
        <f>ROUNDUP(X350/$J$2,0)</f>
        <v>3</v>
      </c>
      <c r="Z350" s="13">
        <f>Y350*$J$2</f>
        <v>597</v>
      </c>
      <c r="AA350" s="10">
        <f>0.9*Z350*$D$2*(J350-(Z350*$D$2/(0.85*$B$2*(D350*1000)))/2)/1000000</f>
        <v>73.33945883</v>
      </c>
      <c r="AB350" s="15" t="str">
        <f>IF(AA350&gt;=G350,"CUMPLE","REVISAR")</f>
        <v>CUMPLE</v>
      </c>
      <c r="AC350" s="10">
        <f>0.17*SQRT($B$2)*(D350*1000)*J350/1000</f>
        <v>92.44281538</v>
      </c>
      <c r="AD350" s="10">
        <f>MAX(H350/0.75-AC350,0)</f>
        <v>0</v>
      </c>
      <c r="AE350" s="14">
        <f>IF(AD350&gt;0,MIN($N$2*$D$2*J350/(AD350*1000),MIN(J350/4,6*$H$2,150)),MIN(J350/4,6*$H$2,150))</f>
        <v>85.6375</v>
      </c>
      <c r="AF350" s="10">
        <f>0.66*SQRT($B$2)*(D350*1000)*J350/1000</f>
        <v>358.8956362</v>
      </c>
      <c r="AG350" s="15" t="str">
        <f>IF(AD350&lt;=AF350,"CUMPLE","AUMENTAR SECCION")</f>
        <v>CUMPLE</v>
      </c>
      <c r="AH350" s="10">
        <f>0.75*0.083*SQRT($B$2)*(((D350*1000)*(E350*1000))^2/(2*((D350*1000)+(E350*1000))))/1000000</f>
        <v>3.388073536</v>
      </c>
      <c r="AI350" s="15" t="str">
        <f>IF(I350&gt;AH350,"SI","No")</f>
        <v>No</v>
      </c>
      <c r="AJ350" s="11">
        <f>IF(I350&gt;AH350,I350*1000000/(0.75*2*0.85*((D350*1000-2*$F$2)*(E350*1000-2*$F$2))*$D$2),0)</f>
        <v>0</v>
      </c>
      <c r="AK350" s="10">
        <f>1.25*Q350*$D$2*(J350-(1.25*Q350*$D$2/(0.85*$B$2*(D350*1000)))/2)/1000000</f>
        <v>159.8306178</v>
      </c>
      <c r="AL350" s="10">
        <f>1.25*Z350*$D$2*(J350-(1.25*Z350*$D$2/(0.85*$B$2*(D350*1000)))/2)/1000000</f>
        <v>100.4845159</v>
      </c>
      <c r="AM350" s="10">
        <f>(AK350+AL350)/B350</f>
        <v>67.61432045</v>
      </c>
      <c r="AN350" s="10">
        <f>MAX(H350,AM350)</f>
        <v>67.61432045</v>
      </c>
    </row>
    <row r="351">
      <c r="A351" s="5" t="inlineStr">
        <is>
          <t>F822</t>
        </is>
      </c>
      <c r="B351" s="6" t="n">
        <v>3.9</v>
      </c>
      <c r="C351" s="7" t="inlineStr">
        <is>
          <t>VC</t>
        </is>
      </c>
      <c r="D351" s="8">
        <f>IF(C351="VR",0.35,0.30)</f>
        <v>0.3</v>
      </c>
      <c r="E351" s="6" t="n">
        <v>0.4</v>
      </c>
      <c r="F351" s="9" t="n">
        <v>110.6</v>
      </c>
      <c r="G351" s="9" t="n">
        <v>68</v>
      </c>
      <c r="H351" s="9" t="n">
        <v>83.2</v>
      </c>
      <c r="I351" s="6" t="n">
        <v>0</v>
      </c>
      <c r="J351" s="10">
        <f>E351*1000-$F$2-$L$2-$H$2/2</f>
        <v>342.55</v>
      </c>
      <c r="K351" s="11">
        <f>F351*1000000/(0.9*(D351*1000)*J351^2)</f>
        <v>3.491263954</v>
      </c>
      <c r="L351" s="12">
        <f>(0.85*$B$2/$D$2)*(1-SQRT(1-2*K351/(0.85*$B$2)))</f>
        <v>0.00903239316</v>
      </c>
      <c r="M351" s="13">
        <f>L351*(D351*1000)*J351</f>
        <v>928.2138831</v>
      </c>
      <c r="N351" s="13">
        <f>MAX(0.25*SQRT($B$2)/$D$2,1.4/$D$2)*(D351*1000)*J351</f>
        <v>342.55</v>
      </c>
      <c r="O351" s="13">
        <f>MAX(M351,N351)</f>
        <v>928.2138831</v>
      </c>
      <c r="P351" s="14">
        <f>ROUNDUP(O351/$J$2,0)</f>
        <v>5</v>
      </c>
      <c r="Q351" s="13">
        <f>P351*$J$2</f>
        <v>995</v>
      </c>
      <c r="R351" s="10">
        <f>Q351*$D$2/(0.85*$B$2*(D351*1000))</f>
        <v>58.52941176</v>
      </c>
      <c r="S351" s="10">
        <f>0.9*Q351*$D$2*(J351-R351/2)/1000000</f>
        <v>117.829732</v>
      </c>
      <c r="T351" s="15" t="str">
        <f>IF(AND(S351&gt;=F351,O351&lt;=0.025*(D351*1000)*J351,O351&gt;=N351),"CUMPLE","REVISAR")</f>
        <v>CUMPLE</v>
      </c>
      <c r="U351" s="11">
        <f>G351*1000000/(0.9*(D351*1000)*J351^2)</f>
        <v>2.146649141</v>
      </c>
      <c r="V351" s="12">
        <f>(0.85*$B$2/$D$2)*(1-SQRT(1-2*U351/(0.85*$B$2)))</f>
        <v>0.005365043096</v>
      </c>
      <c r="W351" s="13">
        <f>V351*(D351*1000)*J351</f>
        <v>551.3386537</v>
      </c>
      <c r="X351" s="13">
        <f>MAX(W351,N351)</f>
        <v>551.3386537</v>
      </c>
      <c r="Y351" s="14">
        <f>ROUNDUP(X351/$J$2,0)</f>
        <v>3</v>
      </c>
      <c r="Z351" s="13">
        <f>Y351*$J$2</f>
        <v>597</v>
      </c>
      <c r="AA351" s="10">
        <f>0.9*Z351*$D$2*(J351-(Z351*$D$2/(0.85*$B$2*(D351*1000)))/2)/1000000</f>
        <v>73.33945883</v>
      </c>
      <c r="AB351" s="15" t="str">
        <f>IF(AA351&gt;=G351,"CUMPLE","REVISAR")</f>
        <v>CUMPLE</v>
      </c>
      <c r="AC351" s="10">
        <f>0.17*SQRT($B$2)*(D351*1000)*J351/1000</f>
        <v>92.44281538</v>
      </c>
      <c r="AD351" s="10">
        <f>MAX(H351/0.75-AC351,0)</f>
        <v>18.54385128</v>
      </c>
      <c r="AE351" s="14">
        <f>IF(AD351&gt;0,MIN($N$2*$D$2*J351/(AD351*1000),MIN(J351/4,6*$H$2,150)),MIN(J351/4,6*$H$2,150))</f>
        <v>85.6375</v>
      </c>
      <c r="AF351" s="10">
        <f>0.66*SQRT($B$2)*(D351*1000)*J351/1000</f>
        <v>358.8956362</v>
      </c>
      <c r="AG351" s="15" t="str">
        <f>IF(AD351&lt;=AF351,"CUMPLE","AUMENTAR SECCION")</f>
        <v>CUMPLE</v>
      </c>
      <c r="AH351" s="10">
        <f>0.75*0.083*SQRT($B$2)*(((D351*1000)*(E351*1000))^2/(2*((D351*1000)+(E351*1000))))/1000000</f>
        <v>3.388073536</v>
      </c>
      <c r="AI351" s="15" t="str">
        <f>IF(I351&gt;AH351,"SI","No")</f>
        <v>No</v>
      </c>
      <c r="AJ351" s="11">
        <f>IF(I351&gt;AH351,I351*1000000/(0.75*2*0.85*((D351*1000-2*$F$2)*(E351*1000-2*$F$2))*$D$2),0)</f>
        <v>0</v>
      </c>
      <c r="AK351" s="10">
        <f>1.25*Q351*$D$2*(J351-(1.25*Q351*$D$2/(0.85*$B$2*(D351*1000)))/2)/1000000</f>
        <v>159.8306178</v>
      </c>
      <c r="AL351" s="10">
        <f>1.25*Z351*$D$2*(J351-(1.25*Z351*$D$2/(0.85*$B$2*(D351*1000)))/2)/1000000</f>
        <v>100.4845159</v>
      </c>
      <c r="AM351" s="10">
        <f>(AK351+AL351)/B351</f>
        <v>66.74747019</v>
      </c>
      <c r="AN351" s="10">
        <f>MAX(H351,AM351)</f>
        <v>83.24</v>
      </c>
    </row>
    <row r="352">
      <c r="A352" s="5" t="inlineStr">
        <is>
          <t>F823</t>
        </is>
      </c>
      <c r="B352" s="6" t="n">
        <v>3.9</v>
      </c>
      <c r="C352" s="7" t="inlineStr">
        <is>
          <t>VC</t>
        </is>
      </c>
      <c r="D352" s="8">
        <f>IF(C352="VR",0.35,0.30)</f>
        <v>0.3</v>
      </c>
      <c r="E352" s="6" t="n">
        <v>0.4</v>
      </c>
      <c r="F352" s="9" t="n">
        <v>110.5</v>
      </c>
      <c r="G352" s="9" t="n">
        <v>68.09999999999999</v>
      </c>
      <c r="H352" s="9" t="n">
        <v>83.2</v>
      </c>
      <c r="I352" s="6" t="n">
        <v>0</v>
      </c>
      <c r="J352" s="10">
        <f>E352*1000-$F$2-$L$2-$H$2/2</f>
        <v>342.55</v>
      </c>
      <c r="K352" s="11">
        <f>F352*1000000/(0.9*(D352*1000)*J352^2)</f>
        <v>3.488423218</v>
      </c>
      <c r="L352" s="12">
        <f>(0.85*$B$2/$D$2)*(1-SQRT(1-2*K352/(0.85*$B$2)))</f>
        <v>0.009024347661</v>
      </c>
      <c r="M352" s="13">
        <f>L352*(D352*1000)*J352</f>
        <v>927.3870874</v>
      </c>
      <c r="N352" s="13">
        <f>MAX(0.25*SQRT($B$2)/$D$2,1.4/$D$2)*(D352*1000)*J352</f>
        <v>342.55</v>
      </c>
      <c r="O352" s="13">
        <f>MAX(M352,N352)</f>
        <v>927.3870874</v>
      </c>
      <c r="P352" s="14">
        <f>ROUNDUP(O352/$J$2,0)</f>
        <v>5</v>
      </c>
      <c r="Q352" s="13">
        <f>P352*$J$2</f>
        <v>995</v>
      </c>
      <c r="R352" s="10">
        <f>Q352*$D$2/(0.85*$B$2*(D352*1000))</f>
        <v>58.52941176</v>
      </c>
      <c r="S352" s="10">
        <f>0.9*Q352*$D$2*(J352-R352/2)/1000000</f>
        <v>117.829732</v>
      </c>
      <c r="T352" s="15" t="str">
        <f>IF(AND(S352&gt;=F352,O352&lt;=0.025*(D352*1000)*J352,O352&gt;=N352),"CUMPLE","REVISAR")</f>
        <v>CUMPLE</v>
      </c>
      <c r="U352" s="11">
        <f>G352*1000000/(0.9*(D352*1000)*J352^2)</f>
        <v>2.148858602</v>
      </c>
      <c r="V352" s="12">
        <f>(0.85*$B$2/$D$2)*(1-SQRT(1-2*U352/(0.85*$B$2)))</f>
        <v>0.005370854194</v>
      </c>
      <c r="W352" s="13">
        <f>V352*(D352*1000)*J352</f>
        <v>551.9358312</v>
      </c>
      <c r="X352" s="13">
        <f>MAX(W352,N352)</f>
        <v>551.9358312</v>
      </c>
      <c r="Y352" s="14">
        <f>ROUNDUP(X352/$J$2,0)</f>
        <v>3</v>
      </c>
      <c r="Z352" s="13">
        <f>Y352*$J$2</f>
        <v>597</v>
      </c>
      <c r="AA352" s="10">
        <f>0.9*Z352*$D$2*(J352-(Z352*$D$2/(0.85*$B$2*(D352*1000)))/2)/1000000</f>
        <v>73.33945883</v>
      </c>
      <c r="AB352" s="15" t="str">
        <f>IF(AA352&gt;=G352,"CUMPLE","REVISAR")</f>
        <v>CUMPLE</v>
      </c>
      <c r="AC352" s="10">
        <f>0.17*SQRT($B$2)*(D352*1000)*J352/1000</f>
        <v>92.44281538</v>
      </c>
      <c r="AD352" s="10">
        <f>MAX(H352/0.75-AC352,0)</f>
        <v>18.43718462</v>
      </c>
      <c r="AE352" s="14">
        <f>IF(AD352&gt;0,MIN($N$2*$D$2*J352/(AD352*1000),MIN(J352/4,6*$H$2,150)),MIN(J352/4,6*$H$2,150))</f>
        <v>85.6375</v>
      </c>
      <c r="AF352" s="10">
        <f>0.66*SQRT($B$2)*(D352*1000)*J352/1000</f>
        <v>358.8956362</v>
      </c>
      <c r="AG352" s="15" t="str">
        <f>IF(AD352&lt;=AF352,"CUMPLE","AUMENTAR SECCION")</f>
        <v>CUMPLE</v>
      </c>
      <c r="AH352" s="10">
        <f>0.75*0.083*SQRT($B$2)*(((D352*1000)*(E352*1000))^2/(2*((D352*1000)+(E352*1000))))/1000000</f>
        <v>3.388073536</v>
      </c>
      <c r="AI352" s="15" t="str">
        <f>IF(I352&gt;AH352,"SI","No")</f>
        <v>No</v>
      </c>
      <c r="AJ352" s="11">
        <f>IF(I352&gt;AH352,I352*1000000/(0.75*2*0.85*((D352*1000-2*$F$2)*(E352*1000-2*$F$2))*$D$2),0)</f>
        <v>0</v>
      </c>
      <c r="AK352" s="10">
        <f>1.25*Q352*$D$2*(J352-(1.25*Q352*$D$2/(0.85*$B$2*(D352*1000)))/2)/1000000</f>
        <v>159.8306178</v>
      </c>
      <c r="AL352" s="10">
        <f>1.25*Z352*$D$2*(J352-(1.25*Z352*$D$2/(0.85*$B$2*(D352*1000)))/2)/1000000</f>
        <v>100.4845159</v>
      </c>
      <c r="AM352" s="10">
        <f>(AK352+AL352)/B352</f>
        <v>66.74747019</v>
      </c>
      <c r="AN352" s="10">
        <f>MAX(H352,AM352)</f>
        <v>83.16</v>
      </c>
    </row>
    <row r="353">
      <c r="A353" s="5" t="inlineStr">
        <is>
          <t>F824</t>
        </is>
      </c>
      <c r="B353" s="6" t="n">
        <v>3.85</v>
      </c>
      <c r="C353" s="7" t="inlineStr">
        <is>
          <t>VC</t>
        </is>
      </c>
      <c r="D353" s="8">
        <f>IF(C353="VR",0.35,0.30)</f>
        <v>0.3</v>
      </c>
      <c r="E353" s="6" t="n">
        <v>0.4</v>
      </c>
      <c r="F353" s="9" t="n">
        <v>98</v>
      </c>
      <c r="G353" s="9" t="n">
        <v>66.7</v>
      </c>
      <c r="H353" s="9" t="n">
        <v>67.09999999999999</v>
      </c>
      <c r="I353" s="6" t="n">
        <v>0</v>
      </c>
      <c r="J353" s="10">
        <f>E353*1000-$F$2-$L$2-$H$2/2</f>
        <v>342.55</v>
      </c>
      <c r="K353" s="11">
        <f>F353*1000000/(0.9*(D353*1000)*J353^2)</f>
        <v>3.091982794</v>
      </c>
      <c r="L353" s="12">
        <f>(0.85*$B$2/$D$2)*(1-SQRT(1-2*K353/(0.85*$B$2)))</f>
        <v>0.007914573916</v>
      </c>
      <c r="M353" s="13">
        <f>L353*(D353*1000)*J353</f>
        <v>813.3411885</v>
      </c>
      <c r="N353" s="13">
        <f>MAX(0.25*SQRT($B$2)/$D$2,1.4/$D$2)*(D353*1000)*J353</f>
        <v>342.55</v>
      </c>
      <c r="O353" s="13">
        <f>MAX(M353,N353)</f>
        <v>813.3411885</v>
      </c>
      <c r="P353" s="14">
        <f>ROUNDUP(O353/$J$2,0)</f>
        <v>5</v>
      </c>
      <c r="Q353" s="13">
        <f>P353*$J$2</f>
        <v>995</v>
      </c>
      <c r="R353" s="10">
        <f>Q353*$D$2/(0.85*$B$2*(D353*1000))</f>
        <v>58.52941176</v>
      </c>
      <c r="S353" s="10">
        <f>0.9*Q353*$D$2*(J353-R353/2)/1000000</f>
        <v>117.829732</v>
      </c>
      <c r="T353" s="15" t="str">
        <f>IF(AND(S353&gt;=F353,O353&lt;=0.025*(D353*1000)*J353,O353&gt;=N353),"CUMPLE","REVISAR")</f>
        <v>CUMPLE</v>
      </c>
      <c r="U353" s="11">
        <f>G353*1000000/(0.9*(D353*1000)*J353^2)</f>
        <v>2.103722471</v>
      </c>
      <c r="V353" s="12">
        <f>(0.85*$B$2/$D$2)*(1-SQRT(1-2*U353/(0.85*$B$2)))</f>
        <v>0.005252272105</v>
      </c>
      <c r="W353" s="13">
        <f>V353*(D353*1000)*J353</f>
        <v>539.7497428</v>
      </c>
      <c r="X353" s="13">
        <f>MAX(W353,N353)</f>
        <v>539.7497428</v>
      </c>
      <c r="Y353" s="14">
        <f>ROUNDUP(X353/$J$2,0)</f>
        <v>3</v>
      </c>
      <c r="Z353" s="13">
        <f>Y353*$J$2</f>
        <v>597</v>
      </c>
      <c r="AA353" s="10">
        <f>0.9*Z353*$D$2*(J353-(Z353*$D$2/(0.85*$B$2*(D353*1000)))/2)/1000000</f>
        <v>73.33945883</v>
      </c>
      <c r="AB353" s="15" t="str">
        <f>IF(AA353&gt;=G353,"CUMPLE","REVISAR")</f>
        <v>CUMPLE</v>
      </c>
      <c r="AC353" s="10">
        <f>0.17*SQRT($B$2)*(D353*1000)*J353/1000</f>
        <v>92.44281538</v>
      </c>
      <c r="AD353" s="10">
        <f>MAX(H353/0.75-AC353,0)</f>
        <v>0</v>
      </c>
      <c r="AE353" s="14">
        <f>IF(AD353&gt;0,MIN($N$2*$D$2*J353/(AD353*1000),MIN(J353/4,6*$H$2,150)),MIN(J353/4,6*$H$2,150))</f>
        <v>85.6375</v>
      </c>
      <c r="AF353" s="10">
        <f>0.66*SQRT($B$2)*(D353*1000)*J353/1000</f>
        <v>358.8956362</v>
      </c>
      <c r="AG353" s="15" t="str">
        <f>IF(AD353&lt;=AF353,"CUMPLE","AUMENTAR SECCION")</f>
        <v>CUMPLE</v>
      </c>
      <c r="AH353" s="10">
        <f>0.75*0.083*SQRT($B$2)*(((D353*1000)*(E353*1000))^2/(2*((D353*1000)+(E353*1000))))/1000000</f>
        <v>3.388073536</v>
      </c>
      <c r="AI353" s="15" t="str">
        <f>IF(I353&gt;AH353,"SI","No")</f>
        <v>No</v>
      </c>
      <c r="AJ353" s="11">
        <f>IF(I353&gt;AH353,I353*1000000/(0.75*2*0.85*((D353*1000-2*$F$2)*(E353*1000-2*$F$2))*$D$2),0)</f>
        <v>0</v>
      </c>
      <c r="AK353" s="10">
        <f>1.25*Q353*$D$2*(J353-(1.25*Q353*$D$2/(0.85*$B$2*(D353*1000)))/2)/1000000</f>
        <v>159.8306178</v>
      </c>
      <c r="AL353" s="10">
        <f>1.25*Z353*$D$2*(J353-(1.25*Z353*$D$2/(0.85*$B$2*(D353*1000)))/2)/1000000</f>
        <v>100.4845159</v>
      </c>
      <c r="AM353" s="10">
        <f>(AK353+AL353)/B353</f>
        <v>67.61432045</v>
      </c>
      <c r="AN353" s="10">
        <f>MAX(H353,AM353)</f>
        <v>67.61432045</v>
      </c>
    </row>
    <row r="354">
      <c r="A354" s="5" t="inlineStr">
        <is>
          <t>F825</t>
        </is>
      </c>
      <c r="B354" s="6" t="n">
        <v>3.85</v>
      </c>
      <c r="C354" s="7" t="inlineStr">
        <is>
          <t>VC</t>
        </is>
      </c>
      <c r="D354" s="8">
        <f>IF(C354="VR",0.35,0.30)</f>
        <v>0.3</v>
      </c>
      <c r="E354" s="6" t="n">
        <v>0.4</v>
      </c>
      <c r="F354" s="9" t="n">
        <v>87.8</v>
      </c>
      <c r="G354" s="9" t="n">
        <v>72.09999999999999</v>
      </c>
      <c r="H354" s="9" t="n">
        <v>54.1</v>
      </c>
      <c r="I354" s="6" t="n">
        <v>0</v>
      </c>
      <c r="J354" s="10">
        <f>E354*1000-$F$2-$L$2-$H$2/2</f>
        <v>342.55</v>
      </c>
      <c r="K354" s="11">
        <f>F354*1000000/(0.9*(D354*1000)*J354^2)</f>
        <v>2.771295318</v>
      </c>
      <c r="L354" s="12">
        <f>(0.85*$B$2/$D$2)*(1-SQRT(1-2*K354/(0.85*$B$2)))</f>
        <v>0.007035010807</v>
      </c>
      <c r="M354" s="13">
        <f>L354*(D354*1000)*J354</f>
        <v>722.9528855</v>
      </c>
      <c r="N354" s="13">
        <f>MAX(0.25*SQRT($B$2)/$D$2,1.4/$D$2)*(D354*1000)*J354</f>
        <v>342.55</v>
      </c>
      <c r="O354" s="13">
        <f>MAX(M354,N354)</f>
        <v>722.9528855</v>
      </c>
      <c r="P354" s="14">
        <f>ROUNDUP(O354/$J$2,0)</f>
        <v>4</v>
      </c>
      <c r="Q354" s="13">
        <f>P354*$J$2</f>
        <v>796</v>
      </c>
      <c r="R354" s="10">
        <f>Q354*$D$2/(0.85*$B$2*(D354*1000))</f>
        <v>46.82352941</v>
      </c>
      <c r="S354" s="10">
        <f>0.9*Q354*$D$2*(J354-R354/2)/1000000</f>
        <v>96.02486534</v>
      </c>
      <c r="T354" s="15" t="str">
        <f>IF(AND(S354&gt;=F354,O354&lt;=0.025*(D354*1000)*J354,O354&gt;=N354),"CUMPLE","REVISAR")</f>
        <v>CUMPLE</v>
      </c>
      <c r="U354" s="11">
        <f>G354*1000000/(0.9*(D354*1000)*J354^2)</f>
        <v>2.274797877</v>
      </c>
      <c r="V354" s="12">
        <f>(0.85*$B$2/$D$2)*(1-SQRT(1-2*U354/(0.85*$B$2)))</f>
        <v>0.005703182058</v>
      </c>
      <c r="W354" s="13">
        <f>V354*(D354*1000)*J354</f>
        <v>586.0875042</v>
      </c>
      <c r="X354" s="13">
        <f>MAX(W354,N354)</f>
        <v>586.0875042</v>
      </c>
      <c r="Y354" s="14">
        <f>ROUNDUP(X354/$J$2,0)</f>
        <v>3</v>
      </c>
      <c r="Z354" s="13">
        <f>Y354*$J$2</f>
        <v>597</v>
      </c>
      <c r="AA354" s="10">
        <f>0.9*Z354*$D$2*(J354-(Z354*$D$2/(0.85*$B$2*(D354*1000)))/2)/1000000</f>
        <v>73.33945883</v>
      </c>
      <c r="AB354" s="15" t="str">
        <f>IF(AA354&gt;=G354,"CUMPLE","REVISAR")</f>
        <v>CUMPLE</v>
      </c>
      <c r="AC354" s="10">
        <f>0.17*SQRT($B$2)*(D354*1000)*J354/1000</f>
        <v>92.44281538</v>
      </c>
      <c r="AD354" s="10">
        <f>MAX(H354/0.75-AC354,0)</f>
        <v>0</v>
      </c>
      <c r="AE354" s="14">
        <f>IF(AD354&gt;0,MIN($N$2*$D$2*J354/(AD354*1000),MIN(J354/4,6*$H$2,150)),MIN(J354/4,6*$H$2,150))</f>
        <v>85.6375</v>
      </c>
      <c r="AF354" s="10">
        <f>0.66*SQRT($B$2)*(D354*1000)*J354/1000</f>
        <v>358.8956362</v>
      </c>
      <c r="AG354" s="15" t="str">
        <f>IF(AD354&lt;=AF354,"CUMPLE","AUMENTAR SECCION")</f>
        <v>CUMPLE</v>
      </c>
      <c r="AH354" s="10">
        <f>0.75*0.083*SQRT($B$2)*(((D354*1000)*(E354*1000))^2/(2*((D354*1000)+(E354*1000))))/1000000</f>
        <v>3.388073536</v>
      </c>
      <c r="AI354" s="15" t="str">
        <f>IF(I354&gt;AH354,"SI","No")</f>
        <v>No</v>
      </c>
      <c r="AJ354" s="11">
        <f>IF(I354&gt;AH354,I354*1000000/(0.75*2*0.85*((D354*1000-2*$F$2)*(E354*1000-2*$F$2))*$D$2),0)</f>
        <v>0</v>
      </c>
      <c r="AK354" s="10">
        <f>1.25*Q354*$D$2*(J354-(1.25*Q354*$D$2/(0.85*$B$2*(D354*1000)))/2)/1000000</f>
        <v>130.9219244</v>
      </c>
      <c r="AL354" s="10">
        <f>1.25*Z354*$D$2*(J354-(1.25*Z354*$D$2/(0.85*$B$2*(D354*1000)))/2)/1000000</f>
        <v>100.4845159</v>
      </c>
      <c r="AM354" s="10">
        <f>(AK354+AL354)/B354</f>
        <v>60.10556892</v>
      </c>
      <c r="AN354" s="10">
        <f>MAX(H354,AM354)</f>
        <v>60.10556892</v>
      </c>
    </row>
    <row r="355">
      <c r="A355" s="5" t="inlineStr">
        <is>
          <t>F826</t>
        </is>
      </c>
      <c r="B355" s="6" t="n">
        <v>3.9</v>
      </c>
      <c r="C355" s="7" t="inlineStr">
        <is>
          <t>VC</t>
        </is>
      </c>
      <c r="D355" s="8">
        <f>IF(C355="VR",0.35,0.30)</f>
        <v>0.3</v>
      </c>
      <c r="E355" s="6" t="n">
        <v>0.4</v>
      </c>
      <c r="F355" s="9" t="n">
        <v>94.59999999999999</v>
      </c>
      <c r="G355" s="9" t="n">
        <v>71.09999999999999</v>
      </c>
      <c r="H355" s="9" t="n">
        <v>63.5</v>
      </c>
      <c r="I355" s="6" t="n">
        <v>0</v>
      </c>
      <c r="J355" s="10">
        <f>E355*1000-$F$2-$L$2-$H$2/2</f>
        <v>342.55</v>
      </c>
      <c r="K355" s="11">
        <f>F355*1000000/(0.9*(D355*1000)*J355^2)</f>
        <v>2.984666119</v>
      </c>
      <c r="L355" s="12">
        <f>(0.85*$B$2/$D$2)*(1-SQRT(1-2*K355/(0.85*$B$2)))</f>
        <v>0.007618475921</v>
      </c>
      <c r="M355" s="13">
        <f>L355*(D355*1000)*J355</f>
        <v>782.912678</v>
      </c>
      <c r="N355" s="13">
        <f>MAX(0.25*SQRT($B$2)/$D$2,1.4/$D$2)*(D355*1000)*J355</f>
        <v>342.55</v>
      </c>
      <c r="O355" s="13">
        <f>MAX(M355,N355)</f>
        <v>782.912678</v>
      </c>
      <c r="P355" s="14">
        <f>ROUNDUP(O355/$J$2,0)</f>
        <v>4</v>
      </c>
      <c r="Q355" s="13">
        <f>P355*$J$2</f>
        <v>796</v>
      </c>
      <c r="R355" s="10">
        <f>Q355*$D$2/(0.85*$B$2*(D355*1000))</f>
        <v>46.82352941</v>
      </c>
      <c r="S355" s="10">
        <f>0.9*Q355*$D$2*(J355-R355/2)/1000000</f>
        <v>96.02486534</v>
      </c>
      <c r="T355" s="15" t="str">
        <f>IF(AND(S355&gt;=F355,O355&lt;=0.025*(D355*1000)*J355,O355&gt;=N355),"CUMPLE","REVISAR")</f>
        <v>CUMPLE</v>
      </c>
      <c r="U355" s="11">
        <f>G355*1000000/(0.9*(D355*1000)*J355^2)</f>
        <v>2.245127972</v>
      </c>
      <c r="V355" s="12">
        <f>(0.85*$B$2/$D$2)*(1-SQRT(1-2*U355/(0.85*$B$2)))</f>
        <v>0.005624694447</v>
      </c>
      <c r="W355" s="13">
        <f>V355*(D355*1000)*J355</f>
        <v>578.0217248</v>
      </c>
      <c r="X355" s="13">
        <f>MAX(W355,N355)</f>
        <v>578.0217248</v>
      </c>
      <c r="Y355" s="14">
        <f>ROUNDUP(X355/$J$2,0)</f>
        <v>3</v>
      </c>
      <c r="Z355" s="13">
        <f>Y355*$J$2</f>
        <v>597</v>
      </c>
      <c r="AA355" s="10">
        <f>0.9*Z355*$D$2*(J355-(Z355*$D$2/(0.85*$B$2*(D355*1000)))/2)/1000000</f>
        <v>73.33945883</v>
      </c>
      <c r="AB355" s="15" t="str">
        <f>IF(AA355&gt;=G355,"CUMPLE","REVISAR")</f>
        <v>CUMPLE</v>
      </c>
      <c r="AC355" s="10">
        <f>0.17*SQRT($B$2)*(D355*1000)*J355/1000</f>
        <v>92.44281538</v>
      </c>
      <c r="AD355" s="10">
        <f>MAX(H355/0.75-AC355,0)</f>
        <v>0</v>
      </c>
      <c r="AE355" s="14">
        <f>IF(AD355&gt;0,MIN($N$2*$D$2*J355/(AD355*1000),MIN(J355/4,6*$H$2,150)),MIN(J355/4,6*$H$2,150))</f>
        <v>85.6375</v>
      </c>
      <c r="AF355" s="10">
        <f>0.66*SQRT($B$2)*(D355*1000)*J355/1000</f>
        <v>358.8956362</v>
      </c>
      <c r="AG355" s="15" t="str">
        <f>IF(AD355&lt;=AF355,"CUMPLE","AUMENTAR SECCION")</f>
        <v>CUMPLE</v>
      </c>
      <c r="AH355" s="10">
        <f>0.75*0.083*SQRT($B$2)*(((D355*1000)*(E355*1000))^2/(2*((D355*1000)+(E355*1000))))/1000000</f>
        <v>3.388073536</v>
      </c>
      <c r="AI355" s="15" t="str">
        <f>IF(I355&gt;AH355,"SI","No")</f>
        <v>No</v>
      </c>
      <c r="AJ355" s="11">
        <f>IF(I355&gt;AH355,I355*1000000/(0.75*2*0.85*((D355*1000-2*$F$2)*(E355*1000-2*$F$2))*$D$2),0)</f>
        <v>0</v>
      </c>
      <c r="AK355" s="10">
        <f>1.25*Q355*$D$2*(J355-(1.25*Q355*$D$2/(0.85*$B$2*(D355*1000)))/2)/1000000</f>
        <v>130.9219244</v>
      </c>
      <c r="AL355" s="10">
        <f>1.25*Z355*$D$2*(J355-(1.25*Z355*$D$2/(0.85*$B$2*(D355*1000)))/2)/1000000</f>
        <v>100.4845159</v>
      </c>
      <c r="AM355" s="10">
        <f>(AK355+AL355)/B355</f>
        <v>59.3349847</v>
      </c>
      <c r="AN355" s="10">
        <f>MAX(H355,AM355)</f>
        <v>63.47</v>
      </c>
    </row>
    <row r="356">
      <c r="A356" s="5" t="inlineStr">
        <is>
          <t>F827</t>
        </is>
      </c>
      <c r="B356" s="6" t="n">
        <v>3.9</v>
      </c>
      <c r="C356" s="7" t="inlineStr">
        <is>
          <t>VC</t>
        </is>
      </c>
      <c r="D356" s="8">
        <f>IF(C356="VR",0.35,0.30)</f>
        <v>0.3</v>
      </c>
      <c r="E356" s="6" t="n">
        <v>0.4</v>
      </c>
      <c r="F356" s="9" t="n">
        <v>94.5</v>
      </c>
      <c r="G356" s="9" t="n">
        <v>71.09999999999999</v>
      </c>
      <c r="H356" s="9" t="n">
        <v>63.5</v>
      </c>
      <c r="I356" s="6" t="n">
        <v>0</v>
      </c>
      <c r="J356" s="10">
        <f>E356*1000-$F$2-$L$2-$H$2/2</f>
        <v>342.55</v>
      </c>
      <c r="K356" s="11">
        <f>F356*1000000/(0.9*(D356*1000)*J356^2)</f>
        <v>2.984350482</v>
      </c>
      <c r="L356" s="12">
        <f>(0.85*$B$2/$D$2)*(1-SQRT(1-2*K356/(0.85*$B$2)))</f>
        <v>0.007617607681</v>
      </c>
      <c r="M356" s="13">
        <f>L356*(D356*1000)*J356</f>
        <v>782.8234533</v>
      </c>
      <c r="N356" s="13">
        <f>MAX(0.25*SQRT($B$2)/$D$2,1.4/$D$2)*(D356*1000)*J356</f>
        <v>342.55</v>
      </c>
      <c r="O356" s="13">
        <f>MAX(M356,N356)</f>
        <v>782.8234533</v>
      </c>
      <c r="P356" s="14">
        <f>ROUNDUP(O356/$J$2,0)</f>
        <v>4</v>
      </c>
      <c r="Q356" s="13">
        <f>P356*$J$2</f>
        <v>796</v>
      </c>
      <c r="R356" s="10">
        <f>Q356*$D$2/(0.85*$B$2*(D356*1000))</f>
        <v>46.82352941</v>
      </c>
      <c r="S356" s="10">
        <f>0.9*Q356*$D$2*(J356-R356/2)/1000000</f>
        <v>96.02486534</v>
      </c>
      <c r="T356" s="15" t="str">
        <f>IF(AND(S356&gt;=F356,O356&lt;=0.025*(D356*1000)*J356,O356&gt;=N356),"CUMPLE","REVISAR")</f>
        <v>CUMPLE</v>
      </c>
      <c r="U356" s="11">
        <f>G356*1000000/(0.9*(D356*1000)*J356^2)</f>
        <v>2.245127972</v>
      </c>
      <c r="V356" s="12">
        <f>(0.85*$B$2/$D$2)*(1-SQRT(1-2*U356/(0.85*$B$2)))</f>
        <v>0.005624694447</v>
      </c>
      <c r="W356" s="13">
        <f>V356*(D356*1000)*J356</f>
        <v>578.0217248</v>
      </c>
      <c r="X356" s="13">
        <f>MAX(W356,N356)</f>
        <v>578.0217248</v>
      </c>
      <c r="Y356" s="14">
        <f>ROUNDUP(X356/$J$2,0)</f>
        <v>3</v>
      </c>
      <c r="Z356" s="13">
        <f>Y356*$J$2</f>
        <v>597</v>
      </c>
      <c r="AA356" s="10">
        <f>0.9*Z356*$D$2*(J356-(Z356*$D$2/(0.85*$B$2*(D356*1000)))/2)/1000000</f>
        <v>73.33945883</v>
      </c>
      <c r="AB356" s="15" t="str">
        <f>IF(AA356&gt;=G356,"CUMPLE","REVISAR")</f>
        <v>CUMPLE</v>
      </c>
      <c r="AC356" s="10">
        <f>0.17*SQRT($B$2)*(D356*1000)*J356/1000</f>
        <v>92.44281538</v>
      </c>
      <c r="AD356" s="10">
        <f>MAX(H356/0.75-AC356,0)</f>
        <v>0</v>
      </c>
      <c r="AE356" s="14">
        <f>IF(AD356&gt;0,MIN($N$2*$D$2*J356/(AD356*1000),MIN(J356/4,6*$H$2,150)),MIN(J356/4,6*$H$2,150))</f>
        <v>85.6375</v>
      </c>
      <c r="AF356" s="10">
        <f>0.66*SQRT($B$2)*(D356*1000)*J356/1000</f>
        <v>358.8956362</v>
      </c>
      <c r="AG356" s="15" t="str">
        <f>IF(AD356&lt;=AF356,"CUMPLE","AUMENTAR SECCION")</f>
        <v>CUMPLE</v>
      </c>
      <c r="AH356" s="10">
        <f>0.75*0.083*SQRT($B$2)*(((D356*1000)*(E356*1000))^2/(2*((D356*1000)+(E356*1000))))/1000000</f>
        <v>3.388073536</v>
      </c>
      <c r="AI356" s="15" t="str">
        <f>IF(I356&gt;AH356,"SI","No")</f>
        <v>No</v>
      </c>
      <c r="AJ356" s="11">
        <f>IF(I356&gt;AH356,I356*1000000/(0.75*2*0.85*((D356*1000-2*$F$2)*(E356*1000-2*$F$2))*$D$2),0)</f>
        <v>0</v>
      </c>
      <c r="AK356" s="10">
        <f>1.25*Q356*$D$2*(J356-(1.25*Q356*$D$2/(0.85*$B$2*(D356*1000)))/2)/1000000</f>
        <v>130.9219244</v>
      </c>
      <c r="AL356" s="10">
        <f>1.25*Z356*$D$2*(J356-(1.25*Z356*$D$2/(0.85*$B$2*(D356*1000)))/2)/1000000</f>
        <v>100.4845159</v>
      </c>
      <c r="AM356" s="10">
        <f>(AK356+AL356)/B356</f>
        <v>59.3349847</v>
      </c>
      <c r="AN356" s="10">
        <f>MAX(H356,AM356)</f>
        <v>63.47</v>
      </c>
    </row>
    <row r="357">
      <c r="A357" s="5" t="inlineStr">
        <is>
          <t>F828</t>
        </is>
      </c>
      <c r="B357" s="6" t="n">
        <v>3.85</v>
      </c>
      <c r="C357" s="7" t="inlineStr">
        <is>
          <t>VC</t>
        </is>
      </c>
      <c r="D357" s="8">
        <f>IF(C357="VR",0.35,0.30)</f>
        <v>0.3</v>
      </c>
      <c r="E357" s="6" t="n">
        <v>0.4</v>
      </c>
      <c r="F357" s="9" t="n">
        <v>87.8</v>
      </c>
      <c r="G357" s="9" t="n">
        <v>72.09999999999999</v>
      </c>
      <c r="H357" s="9" t="n">
        <v>54.1</v>
      </c>
      <c r="I357" s="6" t="n">
        <v>0</v>
      </c>
      <c r="J357" s="10">
        <f>E357*1000-$F$2-$L$2-$H$2/2</f>
        <v>342.55</v>
      </c>
      <c r="K357" s="11">
        <f>F357*1000000/(0.9*(D357*1000)*J357^2)</f>
        <v>2.771295318</v>
      </c>
      <c r="L357" s="12">
        <f>(0.85*$B$2/$D$2)*(1-SQRT(1-2*K357/(0.85*$B$2)))</f>
        <v>0.007035010807</v>
      </c>
      <c r="M357" s="13">
        <f>L357*(D357*1000)*J357</f>
        <v>722.9528855</v>
      </c>
      <c r="N357" s="13">
        <f>MAX(0.25*SQRT($B$2)/$D$2,1.4/$D$2)*(D357*1000)*J357</f>
        <v>342.55</v>
      </c>
      <c r="O357" s="13">
        <f>MAX(M357,N357)</f>
        <v>722.9528855</v>
      </c>
      <c r="P357" s="14">
        <f>ROUNDUP(O357/$J$2,0)</f>
        <v>4</v>
      </c>
      <c r="Q357" s="13">
        <f>P357*$J$2</f>
        <v>796</v>
      </c>
      <c r="R357" s="10">
        <f>Q357*$D$2/(0.85*$B$2*(D357*1000))</f>
        <v>46.82352941</v>
      </c>
      <c r="S357" s="10">
        <f>0.9*Q357*$D$2*(J357-R357/2)/1000000</f>
        <v>96.02486534</v>
      </c>
      <c r="T357" s="15" t="str">
        <f>IF(AND(S357&gt;=F357,O357&lt;=0.025*(D357*1000)*J357,O357&gt;=N357),"CUMPLE","REVISAR")</f>
        <v>CUMPLE</v>
      </c>
      <c r="U357" s="11">
        <f>G357*1000000/(0.9*(D357*1000)*J357^2)</f>
        <v>2.275113514</v>
      </c>
      <c r="V357" s="12">
        <f>(0.85*$B$2/$D$2)*(1-SQRT(1-2*U357/(0.85*$B$2)))</f>
        <v>0.005704017682</v>
      </c>
      <c r="W357" s="13">
        <f>V357*(D357*1000)*J357</f>
        <v>586.1733771</v>
      </c>
      <c r="X357" s="13">
        <f>MAX(W357,N357)</f>
        <v>586.1733771</v>
      </c>
      <c r="Y357" s="14">
        <f>ROUNDUP(X357/$J$2,0)</f>
        <v>3</v>
      </c>
      <c r="Z357" s="13">
        <f>Y357*$J$2</f>
        <v>597</v>
      </c>
      <c r="AA357" s="10">
        <f>0.9*Z357*$D$2*(J357-(Z357*$D$2/(0.85*$B$2*(D357*1000)))/2)/1000000</f>
        <v>73.33945883</v>
      </c>
      <c r="AB357" s="15" t="str">
        <f>IF(AA357&gt;=G357,"CUMPLE","REVISAR")</f>
        <v>CUMPLE</v>
      </c>
      <c r="AC357" s="10">
        <f>0.17*SQRT($B$2)*(D357*1000)*J357/1000</f>
        <v>92.44281538</v>
      </c>
      <c r="AD357" s="10">
        <f>MAX(H357/0.75-AC357,0)</f>
        <v>0</v>
      </c>
      <c r="AE357" s="14">
        <f>IF(AD357&gt;0,MIN($N$2*$D$2*J357/(AD357*1000),MIN(J357/4,6*$H$2,150)),MIN(J357/4,6*$H$2,150))</f>
        <v>85.6375</v>
      </c>
      <c r="AF357" s="10">
        <f>0.66*SQRT($B$2)*(D357*1000)*J357/1000</f>
        <v>358.8956362</v>
      </c>
      <c r="AG357" s="15" t="str">
        <f>IF(AD357&lt;=AF357,"CUMPLE","AUMENTAR SECCION")</f>
        <v>CUMPLE</v>
      </c>
      <c r="AH357" s="10">
        <f>0.75*0.083*SQRT($B$2)*(((D357*1000)*(E357*1000))^2/(2*((D357*1000)+(E357*1000))))/1000000</f>
        <v>3.388073536</v>
      </c>
      <c r="AI357" s="15" t="str">
        <f>IF(I357&gt;AH357,"SI","No")</f>
        <v>No</v>
      </c>
      <c r="AJ357" s="11">
        <f>IF(I357&gt;AH357,I357*1000000/(0.75*2*0.85*((D357*1000-2*$F$2)*(E357*1000-2*$F$2))*$D$2),0)</f>
        <v>0</v>
      </c>
      <c r="AK357" s="10">
        <f>1.25*Q357*$D$2*(J357-(1.25*Q357*$D$2/(0.85*$B$2*(D357*1000)))/2)/1000000</f>
        <v>130.9219244</v>
      </c>
      <c r="AL357" s="10">
        <f>1.25*Z357*$D$2*(J357-(1.25*Z357*$D$2/(0.85*$B$2*(D357*1000)))/2)/1000000</f>
        <v>100.4845159</v>
      </c>
      <c r="AM357" s="10">
        <f>(AK357+AL357)/B357</f>
        <v>60.10556892</v>
      </c>
      <c r="AN357" s="10">
        <f>MAX(H357,AM357)</f>
        <v>60.10556892</v>
      </c>
    </row>
    <row r="358">
      <c r="A358" s="5" t="inlineStr">
        <is>
          <t>F829</t>
        </is>
      </c>
      <c r="B358" s="6" t="n">
        <v>2.65</v>
      </c>
      <c r="C358" s="7" t="inlineStr">
        <is>
          <t>VC</t>
        </is>
      </c>
      <c r="D358" s="8">
        <f>IF(C358="VR",0.35,0.30)</f>
        <v>0.3</v>
      </c>
      <c r="E358" s="6" t="n">
        <v>0.4</v>
      </c>
      <c r="F358" s="9" t="n">
        <v>90.09999999999999</v>
      </c>
      <c r="G358" s="9" t="n">
        <v>76</v>
      </c>
      <c r="H358" s="9" t="n">
        <v>68.90000000000001</v>
      </c>
      <c r="I358" s="6" t="n">
        <v>0</v>
      </c>
      <c r="J358" s="10">
        <f>E358*1000-$F$2-$L$2-$H$2/2</f>
        <v>342.55</v>
      </c>
      <c r="K358" s="11">
        <f>F358*1000000/(0.9*(D358*1000)*J358^2)</f>
        <v>2.843576255</v>
      </c>
      <c r="L358" s="12">
        <f>(0.85*$B$2/$D$2)*(1-SQRT(1-2*K358/(0.85*$B$2)))</f>
        <v>0.007231892635</v>
      </c>
      <c r="M358" s="13">
        <f>L358*(D358*1000)*J358</f>
        <v>743.1854466</v>
      </c>
      <c r="N358" s="13">
        <f>MAX(0.25*SQRT($B$2)/$D$2,1.4/$D$2)*(D358*1000)*J358</f>
        <v>342.55</v>
      </c>
      <c r="O358" s="13">
        <f>MAX(M358,N358)</f>
        <v>743.1854466</v>
      </c>
      <c r="P358" s="14">
        <f>ROUNDUP(O358/$J$2,0)</f>
        <v>4</v>
      </c>
      <c r="Q358" s="13">
        <f>P358*$J$2</f>
        <v>796</v>
      </c>
      <c r="R358" s="10">
        <f>Q358*$D$2/(0.85*$B$2*(D358*1000))</f>
        <v>46.82352941</v>
      </c>
      <c r="S358" s="10">
        <f>0.9*Q358*$D$2*(J358-R358/2)/1000000</f>
        <v>96.02486534</v>
      </c>
      <c r="T358" s="15" t="str">
        <f>IF(AND(S358&gt;=F358,O358&lt;=0.025*(D358*1000)*J358,O358&gt;=N358),"CUMPLE","REVISAR")</f>
        <v>CUMPLE</v>
      </c>
      <c r="U358" s="11">
        <f>G358*1000000/(0.9*(D358*1000)*J358^2)</f>
        <v>2.397580778</v>
      </c>
      <c r="V358" s="12">
        <f>(0.85*$B$2/$D$2)*(1-SQRT(1-2*U358/(0.85*$B$2)))</f>
        <v>0.006029280584</v>
      </c>
      <c r="W358" s="13">
        <f>V358*(D358*1000)*J358</f>
        <v>619.5990192</v>
      </c>
      <c r="X358" s="13">
        <f>MAX(W358,N358)</f>
        <v>619.5990192</v>
      </c>
      <c r="Y358" s="14">
        <f>ROUNDUP(X358/$J$2,0)</f>
        <v>4</v>
      </c>
      <c r="Z358" s="13">
        <f>Y358*$J$2</f>
        <v>796</v>
      </c>
      <c r="AA358" s="10">
        <f>0.9*Z358*$D$2*(J358-(Z358*$D$2/(0.85*$B$2*(D358*1000)))/2)/1000000</f>
        <v>96.02486534</v>
      </c>
      <c r="AB358" s="15" t="str">
        <f>IF(AA358&gt;=G358,"CUMPLE","REVISAR")</f>
        <v>CUMPLE</v>
      </c>
      <c r="AC358" s="10">
        <f>0.17*SQRT($B$2)*(D358*1000)*J358/1000</f>
        <v>92.44281538</v>
      </c>
      <c r="AD358" s="10">
        <f>MAX(H358/0.75-AC358,0)</f>
        <v>0</v>
      </c>
      <c r="AE358" s="14">
        <f>IF(AD358&gt;0,MIN($N$2*$D$2*J358/(AD358*1000),MIN(J358/4,6*$H$2,150)),MIN(J358/4,6*$H$2,150))</f>
        <v>85.6375</v>
      </c>
      <c r="AF358" s="10">
        <f>0.66*SQRT($B$2)*(D358*1000)*J358/1000</f>
        <v>358.8956362</v>
      </c>
      <c r="AG358" s="15" t="str">
        <f>IF(AD358&lt;=AF358,"CUMPLE","AUMENTAR SECCION")</f>
        <v>CUMPLE</v>
      </c>
      <c r="AH358" s="10">
        <f>0.75*0.083*SQRT($B$2)*(((D358*1000)*(E358*1000))^2/(2*((D358*1000)+(E358*1000))))/1000000</f>
        <v>3.388073536</v>
      </c>
      <c r="AI358" s="15" t="str">
        <f>IF(I358&gt;AH358,"SI","No")</f>
        <v>No</v>
      </c>
      <c r="AJ358" s="11">
        <f>IF(I358&gt;AH358,I358*1000000/(0.75*2*0.85*((D358*1000-2*$F$2)*(E358*1000-2*$F$2))*$D$2),0)</f>
        <v>0</v>
      </c>
      <c r="AK358" s="10">
        <f>1.25*Q358*$D$2*(J358-(1.25*Q358*$D$2/(0.85*$B$2*(D358*1000)))/2)/1000000</f>
        <v>130.9219244</v>
      </c>
      <c r="AL358" s="10">
        <f>1.25*Z358*$D$2*(J358-(1.25*Z358*$D$2/(0.85*$B$2*(D358*1000)))/2)/1000000</f>
        <v>130.9219244</v>
      </c>
      <c r="AM358" s="10">
        <f>(AK358+AL358)/B358</f>
        <v>98.80899956</v>
      </c>
      <c r="AN358" s="10">
        <f>MAX(H358,AM358)</f>
        <v>98.80899956</v>
      </c>
    </row>
    <row r="359">
      <c r="A359" s="5" t="inlineStr">
        <is>
          <t>F830</t>
        </is>
      </c>
      <c r="B359" s="6" t="n">
        <v>5.1</v>
      </c>
      <c r="C359" s="7" t="inlineStr">
        <is>
          <t>VC</t>
        </is>
      </c>
      <c r="D359" s="8">
        <f>IF(C359="VR",0.35,0.30)</f>
        <v>0.3</v>
      </c>
      <c r="E359" s="6" t="n">
        <v>0.4</v>
      </c>
      <c r="F359" s="9" t="n">
        <v>83.7</v>
      </c>
      <c r="G359" s="9" t="n">
        <v>56.3</v>
      </c>
      <c r="H359" s="9" t="n">
        <v>44.6</v>
      </c>
      <c r="I359" s="6" t="n">
        <v>0</v>
      </c>
      <c r="J359" s="10">
        <f>E359*1000-$F$2-$L$2-$H$2/2</f>
        <v>342.55</v>
      </c>
      <c r="K359" s="11">
        <f>F359*1000000/(0.9*(D359*1000)*J359^2)</f>
        <v>2.641252759</v>
      </c>
      <c r="L359" s="12">
        <f>(0.85*$B$2/$D$2)*(1-SQRT(1-2*K359/(0.85*$B$2)))</f>
        <v>0.006682748125</v>
      </c>
      <c r="M359" s="13">
        <f>L359*(D359*1000)*J359</f>
        <v>686.7526111</v>
      </c>
      <c r="N359" s="13">
        <f>MAX(0.25*SQRT($B$2)/$D$2,1.4/$D$2)*(D359*1000)*J359</f>
        <v>342.55</v>
      </c>
      <c r="O359" s="13">
        <f>MAX(M359,N359)</f>
        <v>686.7526111</v>
      </c>
      <c r="P359" s="14">
        <f>ROUNDUP(O359/$J$2,0)</f>
        <v>4</v>
      </c>
      <c r="Q359" s="13">
        <f>P359*$J$2</f>
        <v>796</v>
      </c>
      <c r="R359" s="10">
        <f>Q359*$D$2/(0.85*$B$2*(D359*1000))</f>
        <v>46.82352941</v>
      </c>
      <c r="S359" s="10">
        <f>0.9*Q359*$D$2*(J359-R359/2)/1000000</f>
        <v>96.02486534</v>
      </c>
      <c r="T359" s="15" t="str">
        <f>IF(AND(S359&gt;=F359,O359&lt;=0.025*(D359*1000)*J359,O359&gt;=N359),"CUMPLE","REVISAR")</f>
        <v>CUMPLE</v>
      </c>
      <c r="U359" s="11">
        <f>G359*1000000/(0.9*(D359*1000)*J359^2)</f>
        <v>1.777984798</v>
      </c>
      <c r="V359" s="12">
        <f>(0.85*$B$2/$D$2)*(1-SQRT(1-2*U359/(0.85*$B$2)))</f>
        <v>0.004404467751</v>
      </c>
      <c r="W359" s="13">
        <f>V359*(D359*1000)*J359</f>
        <v>452.6251285</v>
      </c>
      <c r="X359" s="13">
        <f>MAX(W359,N359)</f>
        <v>452.6251285</v>
      </c>
      <c r="Y359" s="14">
        <f>ROUNDUP(X359/$J$2,0)</f>
        <v>3</v>
      </c>
      <c r="Z359" s="13">
        <f>Y359*$J$2</f>
        <v>597</v>
      </c>
      <c r="AA359" s="10">
        <f>0.9*Z359*$D$2*(J359-(Z359*$D$2/(0.85*$B$2*(D359*1000)))/2)/1000000</f>
        <v>73.33945883</v>
      </c>
      <c r="AB359" s="15" t="str">
        <f>IF(AA359&gt;=G359,"CUMPLE","REVISAR")</f>
        <v>CUMPLE</v>
      </c>
      <c r="AC359" s="10">
        <f>0.17*SQRT($B$2)*(D359*1000)*J359/1000</f>
        <v>92.44281538</v>
      </c>
      <c r="AD359" s="10">
        <f>MAX(H359/0.75-AC359,0)</f>
        <v>0</v>
      </c>
      <c r="AE359" s="14">
        <f>IF(AD359&gt;0,MIN($N$2*$D$2*J359/(AD359*1000),MIN(J359/4,6*$H$2,150)),MIN(J359/4,6*$H$2,150))</f>
        <v>85.6375</v>
      </c>
      <c r="AF359" s="10">
        <f>0.66*SQRT($B$2)*(D359*1000)*J359/1000</f>
        <v>358.8956362</v>
      </c>
      <c r="AG359" s="15" t="str">
        <f>IF(AD359&lt;=AF359,"CUMPLE","AUMENTAR SECCION")</f>
        <v>CUMPLE</v>
      </c>
      <c r="AH359" s="10">
        <f>0.75*0.083*SQRT($B$2)*(((D359*1000)*(E359*1000))^2/(2*((D359*1000)+(E359*1000))))/1000000</f>
        <v>3.388073536</v>
      </c>
      <c r="AI359" s="15" t="str">
        <f>IF(I359&gt;AH359,"SI","No")</f>
        <v>No</v>
      </c>
      <c r="AJ359" s="11">
        <f>IF(I359&gt;AH359,I359*1000000/(0.75*2*0.85*((D359*1000-2*$F$2)*(E359*1000-2*$F$2))*$D$2),0)</f>
        <v>0</v>
      </c>
      <c r="AK359" s="10">
        <f>1.25*Q359*$D$2*(J359-(1.25*Q359*$D$2/(0.85*$B$2*(D359*1000)))/2)/1000000</f>
        <v>130.9219244</v>
      </c>
      <c r="AL359" s="10">
        <f>1.25*Z359*$D$2*(J359-(1.25*Z359*$D$2/(0.85*$B$2*(D359*1000)))/2)/1000000</f>
        <v>100.4845159</v>
      </c>
      <c r="AM359" s="10">
        <f>(AK359+AL359)/B359</f>
        <v>45.37381183</v>
      </c>
      <c r="AN359" s="10">
        <f>MAX(H359,AM359)</f>
        <v>45.37381183</v>
      </c>
    </row>
    <row r="360">
      <c r="A360" s="5" t="inlineStr">
        <is>
          <t>F831</t>
        </is>
      </c>
      <c r="B360" s="6" t="n">
        <v>5.1</v>
      </c>
      <c r="C360" s="7" t="inlineStr">
        <is>
          <t>VC</t>
        </is>
      </c>
      <c r="D360" s="8">
        <f>IF(C360="VR",0.35,0.30)</f>
        <v>0.3</v>
      </c>
      <c r="E360" s="6" t="n">
        <v>0.4</v>
      </c>
      <c r="F360" s="9" t="n">
        <v>83.7</v>
      </c>
      <c r="G360" s="9" t="n">
        <v>56.3</v>
      </c>
      <c r="H360" s="9" t="n">
        <v>44.6</v>
      </c>
      <c r="I360" s="6" t="n">
        <v>0</v>
      </c>
      <c r="J360" s="10">
        <f>E360*1000-$F$2-$L$2-$H$2/2</f>
        <v>342.55</v>
      </c>
      <c r="K360" s="11">
        <f>F360*1000000/(0.9*(D360*1000)*J360^2)</f>
        <v>2.641252759</v>
      </c>
      <c r="L360" s="12">
        <f>(0.85*$B$2/$D$2)*(1-SQRT(1-2*K360/(0.85*$B$2)))</f>
        <v>0.006682748125</v>
      </c>
      <c r="M360" s="13">
        <f>L360*(D360*1000)*J360</f>
        <v>686.7526111</v>
      </c>
      <c r="N360" s="13">
        <f>MAX(0.25*SQRT($B$2)/$D$2,1.4/$D$2)*(D360*1000)*J360</f>
        <v>342.55</v>
      </c>
      <c r="O360" s="13">
        <f>MAX(M360,N360)</f>
        <v>686.7526111</v>
      </c>
      <c r="P360" s="14">
        <f>ROUNDUP(O360/$J$2,0)</f>
        <v>4</v>
      </c>
      <c r="Q360" s="13">
        <f>P360*$J$2</f>
        <v>796</v>
      </c>
      <c r="R360" s="10">
        <f>Q360*$D$2/(0.85*$B$2*(D360*1000))</f>
        <v>46.82352941</v>
      </c>
      <c r="S360" s="10">
        <f>0.9*Q360*$D$2*(J360-R360/2)/1000000</f>
        <v>96.02486534</v>
      </c>
      <c r="T360" s="15" t="str">
        <f>IF(AND(S360&gt;=F360,O360&lt;=0.025*(D360*1000)*J360,O360&gt;=N360),"CUMPLE","REVISAR")</f>
        <v>CUMPLE</v>
      </c>
      <c r="U360" s="11">
        <f>G360*1000000/(0.9*(D360*1000)*J360^2)</f>
        <v>1.777984798</v>
      </c>
      <c r="V360" s="12">
        <f>(0.85*$B$2/$D$2)*(1-SQRT(1-2*U360/(0.85*$B$2)))</f>
        <v>0.004404467751</v>
      </c>
      <c r="W360" s="13">
        <f>V360*(D360*1000)*J360</f>
        <v>452.6251285</v>
      </c>
      <c r="X360" s="13">
        <f>MAX(W360,N360)</f>
        <v>452.6251285</v>
      </c>
      <c r="Y360" s="14">
        <f>ROUNDUP(X360/$J$2,0)</f>
        <v>3</v>
      </c>
      <c r="Z360" s="13">
        <f>Y360*$J$2</f>
        <v>597</v>
      </c>
      <c r="AA360" s="10">
        <f>0.9*Z360*$D$2*(J360-(Z360*$D$2/(0.85*$B$2*(D360*1000)))/2)/1000000</f>
        <v>73.33945883</v>
      </c>
      <c r="AB360" s="15" t="str">
        <f>IF(AA360&gt;=G360,"CUMPLE","REVISAR")</f>
        <v>CUMPLE</v>
      </c>
      <c r="AC360" s="10">
        <f>0.17*SQRT($B$2)*(D360*1000)*J360/1000</f>
        <v>92.44281538</v>
      </c>
      <c r="AD360" s="10">
        <f>MAX(H360/0.75-AC360,0)</f>
        <v>0</v>
      </c>
      <c r="AE360" s="14">
        <f>IF(AD360&gt;0,MIN($N$2*$D$2*J360/(AD360*1000),MIN(J360/4,6*$H$2,150)),MIN(J360/4,6*$H$2,150))</f>
        <v>85.6375</v>
      </c>
      <c r="AF360" s="10">
        <f>0.66*SQRT($B$2)*(D360*1000)*J360/1000</f>
        <v>358.8956362</v>
      </c>
      <c r="AG360" s="15" t="str">
        <f>IF(AD360&lt;=AF360,"CUMPLE","AUMENTAR SECCION")</f>
        <v>CUMPLE</v>
      </c>
      <c r="AH360" s="10">
        <f>0.75*0.083*SQRT($B$2)*(((D360*1000)*(E360*1000))^2/(2*((D360*1000)+(E360*1000))))/1000000</f>
        <v>3.388073536</v>
      </c>
      <c r="AI360" s="15" t="str">
        <f>IF(I360&gt;AH360,"SI","No")</f>
        <v>No</v>
      </c>
      <c r="AJ360" s="11">
        <f>IF(I360&gt;AH360,I360*1000000/(0.75*2*0.85*((D360*1000-2*$F$2)*(E360*1000-2*$F$2))*$D$2),0)</f>
        <v>0</v>
      </c>
      <c r="AK360" s="10">
        <f>1.25*Q360*$D$2*(J360-(1.25*Q360*$D$2/(0.85*$B$2*(D360*1000)))/2)/1000000</f>
        <v>130.9219244</v>
      </c>
      <c r="AL360" s="10">
        <f>1.25*Z360*$D$2*(J360-(1.25*Z360*$D$2/(0.85*$B$2*(D360*1000)))/2)/1000000</f>
        <v>100.4845159</v>
      </c>
      <c r="AM360" s="10">
        <f>(AK360+AL360)/B360</f>
        <v>45.37381183</v>
      </c>
      <c r="AN360" s="10">
        <f>MAX(H360,AM360)</f>
        <v>45.37381183</v>
      </c>
    </row>
    <row r="361">
      <c r="A361" s="5" t="inlineStr">
        <is>
          <t>F832</t>
        </is>
      </c>
      <c r="B361" s="6" t="n">
        <v>2.65</v>
      </c>
      <c r="C361" s="7" t="inlineStr">
        <is>
          <t>VC</t>
        </is>
      </c>
      <c r="D361" s="8">
        <f>IF(C361="VR",0.35,0.30)</f>
        <v>0.3</v>
      </c>
      <c r="E361" s="6" t="n">
        <v>0.4</v>
      </c>
      <c r="F361" s="9" t="n">
        <v>90.09999999999999</v>
      </c>
      <c r="G361" s="9" t="n">
        <v>76</v>
      </c>
      <c r="H361" s="9" t="n">
        <v>68.90000000000001</v>
      </c>
      <c r="I361" s="6" t="n">
        <v>0</v>
      </c>
      <c r="J361" s="10">
        <f>E361*1000-$F$2-$L$2-$H$2/2</f>
        <v>342.55</v>
      </c>
      <c r="K361" s="11">
        <f>F361*1000000/(0.9*(D361*1000)*J361^2)</f>
        <v>2.843576255</v>
      </c>
      <c r="L361" s="12">
        <f>(0.85*$B$2/$D$2)*(1-SQRT(1-2*K361/(0.85*$B$2)))</f>
        <v>0.007231892635</v>
      </c>
      <c r="M361" s="13">
        <f>L361*(D361*1000)*J361</f>
        <v>743.1854466</v>
      </c>
      <c r="N361" s="13">
        <f>MAX(0.25*SQRT($B$2)/$D$2,1.4/$D$2)*(D361*1000)*J361</f>
        <v>342.55</v>
      </c>
      <c r="O361" s="13">
        <f>MAX(M361,N361)</f>
        <v>743.1854466</v>
      </c>
      <c r="P361" s="14">
        <f>ROUNDUP(O361/$J$2,0)</f>
        <v>4</v>
      </c>
      <c r="Q361" s="13">
        <f>P361*$J$2</f>
        <v>796</v>
      </c>
      <c r="R361" s="10">
        <f>Q361*$D$2/(0.85*$B$2*(D361*1000))</f>
        <v>46.82352941</v>
      </c>
      <c r="S361" s="10">
        <f>0.9*Q361*$D$2*(J361-R361/2)/1000000</f>
        <v>96.02486534</v>
      </c>
      <c r="T361" s="15" t="str">
        <f>IF(AND(S361&gt;=F361,O361&lt;=0.025*(D361*1000)*J361,O361&gt;=N361),"CUMPLE","REVISAR")</f>
        <v>CUMPLE</v>
      </c>
      <c r="U361" s="11">
        <f>G361*1000000/(0.9*(D361*1000)*J361^2)</f>
        <v>2.397580778</v>
      </c>
      <c r="V361" s="12">
        <f>(0.85*$B$2/$D$2)*(1-SQRT(1-2*U361/(0.85*$B$2)))</f>
        <v>0.006029280584</v>
      </c>
      <c r="W361" s="13">
        <f>V361*(D361*1000)*J361</f>
        <v>619.5990192</v>
      </c>
      <c r="X361" s="13">
        <f>MAX(W361,N361)</f>
        <v>619.5990192</v>
      </c>
      <c r="Y361" s="14">
        <f>ROUNDUP(X361/$J$2,0)</f>
        <v>4</v>
      </c>
      <c r="Z361" s="13">
        <f>Y361*$J$2</f>
        <v>796</v>
      </c>
      <c r="AA361" s="10">
        <f>0.9*Z361*$D$2*(J361-(Z361*$D$2/(0.85*$B$2*(D361*1000)))/2)/1000000</f>
        <v>96.02486534</v>
      </c>
      <c r="AB361" s="15" t="str">
        <f>IF(AA361&gt;=G361,"CUMPLE","REVISAR")</f>
        <v>CUMPLE</v>
      </c>
      <c r="AC361" s="10">
        <f>0.17*SQRT($B$2)*(D361*1000)*J361/1000</f>
        <v>92.44281538</v>
      </c>
      <c r="AD361" s="10">
        <f>MAX(H361/0.75-AC361,0)</f>
        <v>0</v>
      </c>
      <c r="AE361" s="14">
        <f>IF(AD361&gt;0,MIN($N$2*$D$2*J361/(AD361*1000),MIN(J361/4,6*$H$2,150)),MIN(J361/4,6*$H$2,150))</f>
        <v>85.6375</v>
      </c>
      <c r="AF361" s="10">
        <f>0.66*SQRT($B$2)*(D361*1000)*J361/1000</f>
        <v>358.8956362</v>
      </c>
      <c r="AG361" s="15" t="str">
        <f>IF(AD361&lt;=AF361,"CUMPLE","AUMENTAR SECCION")</f>
        <v>CUMPLE</v>
      </c>
      <c r="AH361" s="10">
        <f>0.75*0.083*SQRT($B$2)*(((D361*1000)*(E361*1000))^2/(2*((D361*1000)+(E361*1000))))/1000000</f>
        <v>3.388073536</v>
      </c>
      <c r="AI361" s="15" t="str">
        <f>IF(I361&gt;AH361,"SI","No")</f>
        <v>No</v>
      </c>
      <c r="AJ361" s="11">
        <f>IF(I361&gt;AH361,I361*1000000/(0.75*2*0.85*((D361*1000-2*$F$2)*(E361*1000-2*$F$2))*$D$2),0)</f>
        <v>0</v>
      </c>
      <c r="AK361" s="10">
        <f>1.25*Q361*$D$2*(J361-(1.25*Q361*$D$2/(0.85*$B$2*(D361*1000)))/2)/1000000</f>
        <v>130.9219244</v>
      </c>
      <c r="AL361" s="10">
        <f>1.25*Z361*$D$2*(J361-(1.25*Z361*$D$2/(0.85*$B$2*(D361*1000)))/2)/1000000</f>
        <v>130.9219244</v>
      </c>
      <c r="AM361" s="10">
        <f>(AK361+AL361)/B361</f>
        <v>98.80899956</v>
      </c>
      <c r="AN361" s="10">
        <f>MAX(H361,AM361)</f>
        <v>98.80899956</v>
      </c>
    </row>
    <row r="362">
      <c r="A362" s="5" t="inlineStr">
        <is>
          <t>F833</t>
        </is>
      </c>
      <c r="B362" s="6" t="n">
        <v>2.65</v>
      </c>
      <c r="C362" s="7" t="inlineStr">
        <is>
          <t>VC</t>
        </is>
      </c>
      <c r="D362" s="8">
        <f>IF(C362="VR",0.35,0.30)</f>
        <v>0.3</v>
      </c>
      <c r="E362" s="6" t="n">
        <v>0.4</v>
      </c>
      <c r="F362" s="9" t="n">
        <v>90.40000000000001</v>
      </c>
      <c r="G362" s="9" t="n">
        <v>75.8</v>
      </c>
      <c r="H362" s="9" t="n">
        <v>69.09999999999999</v>
      </c>
      <c r="I362" s="6" t="n">
        <v>0</v>
      </c>
      <c r="J362" s="10">
        <f>E362*1000-$F$2-$L$2-$H$2/2</f>
        <v>342.55</v>
      </c>
      <c r="K362" s="11">
        <f>F362*1000000/(0.9*(D362*1000)*J362^2)</f>
        <v>2.853361011</v>
      </c>
      <c r="L362" s="12">
        <f>(0.85*$B$2/$D$2)*(1-SQRT(1-2*K362/(0.85*$B$2)))</f>
        <v>0.007258605051</v>
      </c>
      <c r="M362" s="13">
        <f>L362*(D362*1000)*J362</f>
        <v>745.930548</v>
      </c>
      <c r="N362" s="13">
        <f>MAX(0.25*SQRT($B$2)/$D$2,1.4/$D$2)*(D362*1000)*J362</f>
        <v>342.55</v>
      </c>
      <c r="O362" s="13">
        <f>MAX(M362,N362)</f>
        <v>745.930548</v>
      </c>
      <c r="P362" s="14">
        <f>ROUNDUP(O362/$J$2,0)</f>
        <v>4</v>
      </c>
      <c r="Q362" s="13">
        <f>P362*$J$2</f>
        <v>796</v>
      </c>
      <c r="R362" s="10">
        <f>Q362*$D$2/(0.85*$B$2*(D362*1000))</f>
        <v>46.82352941</v>
      </c>
      <c r="S362" s="10">
        <f>0.9*Q362*$D$2*(J362-R362/2)/1000000</f>
        <v>96.02486534</v>
      </c>
      <c r="T362" s="15" t="str">
        <f>IF(AND(S362&gt;=F362,O362&lt;=0.025*(D362*1000)*J362,O362&gt;=N362),"CUMPLE","REVISAR")</f>
        <v>CUMPLE</v>
      </c>
      <c r="U362" s="11">
        <f>G362*1000000/(0.9*(D362*1000)*J362^2)</f>
        <v>2.392846219</v>
      </c>
      <c r="V362" s="12">
        <f>(0.85*$B$2/$D$2)*(1-SQRT(1-2*U362/(0.85*$B$2)))</f>
        <v>0.006016667172</v>
      </c>
      <c r="W362" s="13">
        <f>V362*(D362*1000)*J362</f>
        <v>618.302802</v>
      </c>
      <c r="X362" s="13">
        <f>MAX(W362,N362)</f>
        <v>618.302802</v>
      </c>
      <c r="Y362" s="14">
        <f>ROUNDUP(X362/$J$2,0)</f>
        <v>4</v>
      </c>
      <c r="Z362" s="13">
        <f>Y362*$J$2</f>
        <v>796</v>
      </c>
      <c r="AA362" s="10">
        <f>0.9*Z362*$D$2*(J362-(Z362*$D$2/(0.85*$B$2*(D362*1000)))/2)/1000000</f>
        <v>96.02486534</v>
      </c>
      <c r="AB362" s="15" t="str">
        <f>IF(AA362&gt;=G362,"CUMPLE","REVISAR")</f>
        <v>CUMPLE</v>
      </c>
      <c r="AC362" s="10">
        <f>0.17*SQRT($B$2)*(D362*1000)*J362/1000</f>
        <v>92.44281538</v>
      </c>
      <c r="AD362" s="10">
        <f>MAX(H362/0.75-AC362,0)</f>
        <v>0</v>
      </c>
      <c r="AE362" s="14">
        <f>IF(AD362&gt;0,MIN($N$2*$D$2*J362/(AD362*1000),MIN(J362/4,6*$H$2,150)),MIN(J362/4,6*$H$2,150))</f>
        <v>85.6375</v>
      </c>
      <c r="AF362" s="10">
        <f>0.66*SQRT($B$2)*(D362*1000)*J362/1000</f>
        <v>358.8956362</v>
      </c>
      <c r="AG362" s="15" t="str">
        <f>IF(AD362&lt;=AF362,"CUMPLE","AUMENTAR SECCION")</f>
        <v>CUMPLE</v>
      </c>
      <c r="AH362" s="10">
        <f>0.75*0.083*SQRT($B$2)*(((D362*1000)*(E362*1000))^2/(2*((D362*1000)+(E362*1000))))/1000000</f>
        <v>3.388073536</v>
      </c>
      <c r="AI362" s="15" t="str">
        <f>IF(I362&gt;AH362,"SI","No")</f>
        <v>No</v>
      </c>
      <c r="AJ362" s="11">
        <f>IF(I362&gt;AH362,I362*1000000/(0.75*2*0.85*((D362*1000-2*$F$2)*(E362*1000-2*$F$2))*$D$2),0)</f>
        <v>0</v>
      </c>
      <c r="AK362" s="10">
        <f>1.25*Q362*$D$2*(J362-(1.25*Q362*$D$2/(0.85*$B$2*(D362*1000)))/2)/1000000</f>
        <v>130.9219244</v>
      </c>
      <c r="AL362" s="10">
        <f>1.25*Z362*$D$2*(J362-(1.25*Z362*$D$2/(0.85*$B$2*(D362*1000)))/2)/1000000</f>
        <v>130.9219244</v>
      </c>
      <c r="AM362" s="10">
        <f>(AK362+AL362)/B362</f>
        <v>98.80899956</v>
      </c>
      <c r="AN362" s="10">
        <f>MAX(H362,AM362)</f>
        <v>98.80899956</v>
      </c>
    </row>
    <row r="363">
      <c r="A363" s="5" t="inlineStr">
        <is>
          <t>F834</t>
        </is>
      </c>
      <c r="B363" s="6" t="n">
        <v>5.1</v>
      </c>
      <c r="C363" s="7" t="inlineStr">
        <is>
          <t>VC</t>
        </is>
      </c>
      <c r="D363" s="8">
        <f>IF(C363="VR",0.35,0.30)</f>
        <v>0.3</v>
      </c>
      <c r="E363" s="6" t="n">
        <v>0.4</v>
      </c>
      <c r="F363" s="9" t="n">
        <v>83.90000000000001</v>
      </c>
      <c r="G363" s="9" t="n">
        <v>56.5</v>
      </c>
      <c r="H363" s="9" t="n">
        <v>44.7</v>
      </c>
      <c r="I363" s="6" t="n">
        <v>0</v>
      </c>
      <c r="J363" s="10">
        <f>E363*1000-$F$2-$L$2-$H$2/2</f>
        <v>342.55</v>
      </c>
      <c r="K363" s="11">
        <f>F363*1000000/(0.9*(D363*1000)*J363^2)</f>
        <v>2.648512416</v>
      </c>
      <c r="L363" s="12">
        <f>(0.85*$B$2/$D$2)*(1-SQRT(1-2*K363/(0.85*$B$2)))</f>
        <v>0.006702347822</v>
      </c>
      <c r="M363" s="13">
        <f>L363*(D363*1000)*J363</f>
        <v>688.766774</v>
      </c>
      <c r="N363" s="13">
        <f>MAX(0.25*SQRT($B$2)/$D$2,1.4/$D$2)*(D363*1000)*J363</f>
        <v>342.55</v>
      </c>
      <c r="O363" s="13">
        <f>MAX(M363,N363)</f>
        <v>688.766774</v>
      </c>
      <c r="P363" s="14">
        <f>ROUNDUP(O363/$J$2,0)</f>
        <v>4</v>
      </c>
      <c r="Q363" s="13">
        <f>P363*$J$2</f>
        <v>796</v>
      </c>
      <c r="R363" s="10">
        <f>Q363*$D$2/(0.85*$B$2*(D363*1000))</f>
        <v>46.82352941</v>
      </c>
      <c r="S363" s="10">
        <f>0.9*Q363*$D$2*(J363-R363/2)/1000000</f>
        <v>96.02486534</v>
      </c>
      <c r="T363" s="15" t="str">
        <f>IF(AND(S363&gt;=F363,O363&lt;=0.025*(D363*1000)*J363,O363&gt;=N363),"CUMPLE","REVISAR")</f>
        <v>CUMPLE</v>
      </c>
      <c r="U363" s="11">
        <f>G363*1000000/(0.9*(D363*1000)*J363^2)</f>
        <v>1.78240372</v>
      </c>
      <c r="V363" s="12">
        <f>(0.85*$B$2/$D$2)*(1-SQRT(1-2*U363/(0.85*$B$2)))</f>
        <v>0.004415876931</v>
      </c>
      <c r="W363" s="13">
        <f>V363*(D363*1000)*J363</f>
        <v>453.7975928</v>
      </c>
      <c r="X363" s="13">
        <f>MAX(W363,N363)</f>
        <v>453.7975928</v>
      </c>
      <c r="Y363" s="14">
        <f>ROUNDUP(X363/$J$2,0)</f>
        <v>3</v>
      </c>
      <c r="Z363" s="13">
        <f>Y363*$J$2</f>
        <v>597</v>
      </c>
      <c r="AA363" s="10">
        <f>0.9*Z363*$D$2*(J363-(Z363*$D$2/(0.85*$B$2*(D363*1000)))/2)/1000000</f>
        <v>73.33945883</v>
      </c>
      <c r="AB363" s="15" t="str">
        <f>IF(AA363&gt;=G363,"CUMPLE","REVISAR")</f>
        <v>CUMPLE</v>
      </c>
      <c r="AC363" s="10">
        <f>0.17*SQRT($B$2)*(D363*1000)*J363/1000</f>
        <v>92.44281538</v>
      </c>
      <c r="AD363" s="10">
        <f>MAX(H363/0.75-AC363,0)</f>
        <v>0</v>
      </c>
      <c r="AE363" s="14">
        <f>IF(AD363&gt;0,MIN($N$2*$D$2*J363/(AD363*1000),MIN(J363/4,6*$H$2,150)),MIN(J363/4,6*$H$2,150))</f>
        <v>85.6375</v>
      </c>
      <c r="AF363" s="10">
        <f>0.66*SQRT($B$2)*(D363*1000)*J363/1000</f>
        <v>358.8956362</v>
      </c>
      <c r="AG363" s="15" t="str">
        <f>IF(AD363&lt;=AF363,"CUMPLE","AUMENTAR SECCION")</f>
        <v>CUMPLE</v>
      </c>
      <c r="AH363" s="10">
        <f>0.75*0.083*SQRT($B$2)*(((D363*1000)*(E363*1000))^2/(2*((D363*1000)+(E363*1000))))/1000000</f>
        <v>3.388073536</v>
      </c>
      <c r="AI363" s="15" t="str">
        <f>IF(I363&gt;AH363,"SI","No")</f>
        <v>No</v>
      </c>
      <c r="AJ363" s="11">
        <f>IF(I363&gt;AH363,I363*1000000/(0.75*2*0.85*((D363*1000-2*$F$2)*(E363*1000-2*$F$2))*$D$2),0)</f>
        <v>0</v>
      </c>
      <c r="AK363" s="10">
        <f>1.25*Q363*$D$2*(J363-(1.25*Q363*$D$2/(0.85*$B$2*(D363*1000)))/2)/1000000</f>
        <v>130.9219244</v>
      </c>
      <c r="AL363" s="10">
        <f>1.25*Z363*$D$2*(J363-(1.25*Z363*$D$2/(0.85*$B$2*(D363*1000)))/2)/1000000</f>
        <v>100.4845159</v>
      </c>
      <c r="AM363" s="10">
        <f>(AK363+AL363)/B363</f>
        <v>45.37381183</v>
      </c>
      <c r="AN363" s="10">
        <f>MAX(H363,AM363)</f>
        <v>45.37381183</v>
      </c>
    </row>
    <row r="364">
      <c r="A364" s="5" t="inlineStr">
        <is>
          <t>F835</t>
        </is>
      </c>
      <c r="B364" s="6" t="n">
        <v>5.1</v>
      </c>
      <c r="C364" s="7" t="inlineStr">
        <is>
          <t>VC</t>
        </is>
      </c>
      <c r="D364" s="8">
        <f>IF(C364="VR",0.35,0.30)</f>
        <v>0.3</v>
      </c>
      <c r="E364" s="6" t="n">
        <v>0.4</v>
      </c>
      <c r="F364" s="9" t="n">
        <v>83.90000000000001</v>
      </c>
      <c r="G364" s="9" t="n">
        <v>56.5</v>
      </c>
      <c r="H364" s="9" t="n">
        <v>44.7</v>
      </c>
      <c r="I364" s="6" t="n">
        <v>0</v>
      </c>
      <c r="J364" s="10">
        <f>E364*1000-$F$2-$L$2-$H$2/2</f>
        <v>342.55</v>
      </c>
      <c r="K364" s="11">
        <f>F364*1000000/(0.9*(D364*1000)*J364^2)</f>
        <v>2.648512416</v>
      </c>
      <c r="L364" s="12">
        <f>(0.85*$B$2/$D$2)*(1-SQRT(1-2*K364/(0.85*$B$2)))</f>
        <v>0.006702347822</v>
      </c>
      <c r="M364" s="13">
        <f>L364*(D364*1000)*J364</f>
        <v>688.766774</v>
      </c>
      <c r="N364" s="13">
        <f>MAX(0.25*SQRT($B$2)/$D$2,1.4/$D$2)*(D364*1000)*J364</f>
        <v>342.55</v>
      </c>
      <c r="O364" s="13">
        <f>MAX(M364,N364)</f>
        <v>688.766774</v>
      </c>
      <c r="P364" s="14">
        <f>ROUNDUP(O364/$J$2,0)</f>
        <v>4</v>
      </c>
      <c r="Q364" s="13">
        <f>P364*$J$2</f>
        <v>796</v>
      </c>
      <c r="R364" s="10">
        <f>Q364*$D$2/(0.85*$B$2*(D364*1000))</f>
        <v>46.82352941</v>
      </c>
      <c r="S364" s="10">
        <f>0.9*Q364*$D$2*(J364-R364/2)/1000000</f>
        <v>96.02486534</v>
      </c>
      <c r="T364" s="15" t="str">
        <f>IF(AND(S364&gt;=F364,O364&lt;=0.025*(D364*1000)*J364,O364&gt;=N364),"CUMPLE","REVISAR")</f>
        <v>CUMPLE</v>
      </c>
      <c r="U364" s="11">
        <f>G364*1000000/(0.9*(D364*1000)*J364^2)</f>
        <v>1.78240372</v>
      </c>
      <c r="V364" s="12">
        <f>(0.85*$B$2/$D$2)*(1-SQRT(1-2*U364/(0.85*$B$2)))</f>
        <v>0.004415876931</v>
      </c>
      <c r="W364" s="13">
        <f>V364*(D364*1000)*J364</f>
        <v>453.7975928</v>
      </c>
      <c r="X364" s="13">
        <f>MAX(W364,N364)</f>
        <v>453.7975928</v>
      </c>
      <c r="Y364" s="14">
        <f>ROUNDUP(X364/$J$2,0)</f>
        <v>3</v>
      </c>
      <c r="Z364" s="13">
        <f>Y364*$J$2</f>
        <v>597</v>
      </c>
      <c r="AA364" s="10">
        <f>0.9*Z364*$D$2*(J364-(Z364*$D$2/(0.85*$B$2*(D364*1000)))/2)/1000000</f>
        <v>73.33945883</v>
      </c>
      <c r="AB364" s="15" t="str">
        <f>IF(AA364&gt;=G364,"CUMPLE","REVISAR")</f>
        <v>CUMPLE</v>
      </c>
      <c r="AC364" s="10">
        <f>0.17*SQRT($B$2)*(D364*1000)*J364/1000</f>
        <v>92.44281538</v>
      </c>
      <c r="AD364" s="10">
        <f>MAX(H364/0.75-AC364,0)</f>
        <v>0</v>
      </c>
      <c r="AE364" s="14">
        <f>IF(AD364&gt;0,MIN($N$2*$D$2*J364/(AD364*1000),MIN(J364/4,6*$H$2,150)),MIN(J364/4,6*$H$2,150))</f>
        <v>85.6375</v>
      </c>
      <c r="AF364" s="10">
        <f>0.66*SQRT($B$2)*(D364*1000)*J364/1000</f>
        <v>358.8956362</v>
      </c>
      <c r="AG364" s="15" t="str">
        <f>IF(AD364&lt;=AF364,"CUMPLE","AUMENTAR SECCION")</f>
        <v>CUMPLE</v>
      </c>
      <c r="AH364" s="10">
        <f>0.75*0.083*SQRT($B$2)*(((D364*1000)*(E364*1000))^2/(2*((D364*1000)+(E364*1000))))/1000000</f>
        <v>3.388073536</v>
      </c>
      <c r="AI364" s="15" t="str">
        <f>IF(I364&gt;AH364,"SI","No")</f>
        <v>No</v>
      </c>
      <c r="AJ364" s="11">
        <f>IF(I364&gt;AH364,I364*1000000/(0.75*2*0.85*((D364*1000-2*$F$2)*(E364*1000-2*$F$2))*$D$2),0)</f>
        <v>0</v>
      </c>
      <c r="AK364" s="10">
        <f>1.25*Q364*$D$2*(J364-(1.25*Q364*$D$2/(0.85*$B$2*(D364*1000)))/2)/1000000</f>
        <v>130.9219244</v>
      </c>
      <c r="AL364" s="10">
        <f>1.25*Z364*$D$2*(J364-(1.25*Z364*$D$2/(0.85*$B$2*(D364*1000)))/2)/1000000</f>
        <v>100.4845159</v>
      </c>
      <c r="AM364" s="10">
        <f>(AK364+AL364)/B364</f>
        <v>45.37381183</v>
      </c>
      <c r="AN364" s="10">
        <f>MAX(H364,AM364)</f>
        <v>45.37381183</v>
      </c>
    </row>
    <row r="365">
      <c r="A365" s="5" t="inlineStr">
        <is>
          <t>F836</t>
        </is>
      </c>
      <c r="B365" s="6" t="n">
        <v>2.65</v>
      </c>
      <c r="C365" s="7" t="inlineStr">
        <is>
          <t>VC</t>
        </is>
      </c>
      <c r="D365" s="8">
        <f>IF(C365="VR",0.35,0.30)</f>
        <v>0.3</v>
      </c>
      <c r="E365" s="6" t="n">
        <v>0.4</v>
      </c>
      <c r="F365" s="9" t="n">
        <v>90.40000000000001</v>
      </c>
      <c r="G365" s="9" t="n">
        <v>75.8</v>
      </c>
      <c r="H365" s="9" t="n">
        <v>69.09999999999999</v>
      </c>
      <c r="I365" s="6" t="n">
        <v>0</v>
      </c>
      <c r="J365" s="10">
        <f>E365*1000-$F$2-$L$2-$H$2/2</f>
        <v>342.55</v>
      </c>
      <c r="K365" s="11">
        <f>F365*1000000/(0.9*(D365*1000)*J365^2)</f>
        <v>2.853361011</v>
      </c>
      <c r="L365" s="12">
        <f>(0.85*$B$2/$D$2)*(1-SQRT(1-2*K365/(0.85*$B$2)))</f>
        <v>0.007258605051</v>
      </c>
      <c r="M365" s="13">
        <f>L365*(D365*1000)*J365</f>
        <v>745.930548</v>
      </c>
      <c r="N365" s="13">
        <f>MAX(0.25*SQRT($B$2)/$D$2,1.4/$D$2)*(D365*1000)*J365</f>
        <v>342.55</v>
      </c>
      <c r="O365" s="13">
        <f>MAX(M365,N365)</f>
        <v>745.930548</v>
      </c>
      <c r="P365" s="14">
        <f>ROUNDUP(O365/$J$2,0)</f>
        <v>4</v>
      </c>
      <c r="Q365" s="13">
        <f>P365*$J$2</f>
        <v>796</v>
      </c>
      <c r="R365" s="10">
        <f>Q365*$D$2/(0.85*$B$2*(D365*1000))</f>
        <v>46.82352941</v>
      </c>
      <c r="S365" s="10">
        <f>0.9*Q365*$D$2*(J365-R365/2)/1000000</f>
        <v>96.02486534</v>
      </c>
      <c r="T365" s="15" t="str">
        <f>IF(AND(S365&gt;=F365,O365&lt;=0.025*(D365*1000)*J365,O365&gt;=N365),"CUMPLE","REVISAR")</f>
        <v>CUMPLE</v>
      </c>
      <c r="U365" s="11">
        <f>G365*1000000/(0.9*(D365*1000)*J365^2)</f>
        <v>2.392846219</v>
      </c>
      <c r="V365" s="12">
        <f>(0.85*$B$2/$D$2)*(1-SQRT(1-2*U365/(0.85*$B$2)))</f>
        <v>0.006016667172</v>
      </c>
      <c r="W365" s="13">
        <f>V365*(D365*1000)*J365</f>
        <v>618.302802</v>
      </c>
      <c r="X365" s="13">
        <f>MAX(W365,N365)</f>
        <v>618.302802</v>
      </c>
      <c r="Y365" s="14">
        <f>ROUNDUP(X365/$J$2,0)</f>
        <v>4</v>
      </c>
      <c r="Z365" s="13">
        <f>Y365*$J$2</f>
        <v>796</v>
      </c>
      <c r="AA365" s="10">
        <f>0.9*Z365*$D$2*(J365-(Z365*$D$2/(0.85*$B$2*(D365*1000)))/2)/1000000</f>
        <v>96.02486534</v>
      </c>
      <c r="AB365" s="15" t="str">
        <f>IF(AA365&gt;=G365,"CUMPLE","REVISAR")</f>
        <v>CUMPLE</v>
      </c>
      <c r="AC365" s="10">
        <f>0.17*SQRT($B$2)*(D365*1000)*J365/1000</f>
        <v>92.44281538</v>
      </c>
      <c r="AD365" s="10">
        <f>MAX(H365/0.75-AC365,0)</f>
        <v>0</v>
      </c>
      <c r="AE365" s="14">
        <f>IF(AD365&gt;0,MIN($N$2*$D$2*J365/(AD365*1000),MIN(J365/4,6*$H$2,150)),MIN(J365/4,6*$H$2,150))</f>
        <v>85.6375</v>
      </c>
      <c r="AF365" s="10">
        <f>0.66*SQRT($B$2)*(D365*1000)*J365/1000</f>
        <v>358.8956362</v>
      </c>
      <c r="AG365" s="15" t="str">
        <f>IF(AD365&lt;=AF365,"CUMPLE","AUMENTAR SECCION")</f>
        <v>CUMPLE</v>
      </c>
      <c r="AH365" s="10">
        <f>0.75*0.083*SQRT($B$2)*(((D365*1000)*(E365*1000))^2/(2*((D365*1000)+(E365*1000))))/1000000</f>
        <v>3.388073536</v>
      </c>
      <c r="AI365" s="15" t="str">
        <f>IF(I365&gt;AH365,"SI","No")</f>
        <v>No</v>
      </c>
      <c r="AJ365" s="11">
        <f>IF(I365&gt;AH365,I365*1000000/(0.75*2*0.85*((D365*1000-2*$F$2)*(E365*1000-2*$F$2))*$D$2),0)</f>
        <v>0</v>
      </c>
      <c r="AK365" s="10">
        <f>1.25*Q365*$D$2*(J365-(1.25*Q365*$D$2/(0.85*$B$2*(D365*1000)))/2)/1000000</f>
        <v>130.9219244</v>
      </c>
      <c r="AL365" s="10">
        <f>1.25*Z365*$D$2*(J365-(1.25*Z365*$D$2/(0.85*$B$2*(D365*1000)))/2)/1000000</f>
        <v>130.9219244</v>
      </c>
      <c r="AM365" s="10">
        <f>(AK365+AL365)/B365</f>
        <v>98.80899956</v>
      </c>
      <c r="AN365" s="10">
        <f>MAX(H365,AM365)</f>
        <v>98.80899956</v>
      </c>
    </row>
    <row r="366">
      <c r="A366" s="5" t="inlineStr">
        <is>
          <t>F837</t>
        </is>
      </c>
      <c r="B366" s="6" t="n">
        <v>3.85</v>
      </c>
      <c r="C366" s="7" t="inlineStr">
        <is>
          <t>VC</t>
        </is>
      </c>
      <c r="D366" s="8">
        <f>IF(C366="VR",0.35,0.30)</f>
        <v>0.3</v>
      </c>
      <c r="E366" s="6" t="n">
        <v>0.4</v>
      </c>
      <c r="F366" s="9" t="n">
        <v>87.8</v>
      </c>
      <c r="G366" s="9" t="n">
        <v>72.09999999999999</v>
      </c>
      <c r="H366" s="9" t="n">
        <v>54.1</v>
      </c>
      <c r="I366" s="6" t="n">
        <v>0</v>
      </c>
      <c r="J366" s="10">
        <f>E366*1000-$F$2-$L$2-$H$2/2</f>
        <v>342.55</v>
      </c>
      <c r="K366" s="11">
        <f>F366*1000000/(0.9*(D366*1000)*J366^2)</f>
        <v>2.770979681</v>
      </c>
      <c r="L366" s="12">
        <f>(0.85*$B$2/$D$2)*(1-SQRT(1-2*K366/(0.85*$B$2)))</f>
        <v>0.007034152773</v>
      </c>
      <c r="M366" s="13">
        <f>L366*(D366*1000)*J366</f>
        <v>722.8647098</v>
      </c>
      <c r="N366" s="13">
        <f>MAX(0.25*SQRT($B$2)/$D$2,1.4/$D$2)*(D366*1000)*J366</f>
        <v>342.55</v>
      </c>
      <c r="O366" s="13">
        <f>MAX(M366,N366)</f>
        <v>722.8647098</v>
      </c>
      <c r="P366" s="14">
        <f>ROUNDUP(O366/$J$2,0)</f>
        <v>4</v>
      </c>
      <c r="Q366" s="13">
        <f>P366*$J$2</f>
        <v>796</v>
      </c>
      <c r="R366" s="10">
        <f>Q366*$D$2/(0.85*$B$2*(D366*1000))</f>
        <v>46.82352941</v>
      </c>
      <c r="S366" s="10">
        <f>0.9*Q366*$D$2*(J366-R366/2)/1000000</f>
        <v>96.02486534</v>
      </c>
      <c r="T366" s="15" t="str">
        <f>IF(AND(S366&gt;=F366,O366&lt;=0.025*(D366*1000)*J366,O366&gt;=N366),"CUMPLE","REVISAR")</f>
        <v>CUMPLE</v>
      </c>
      <c r="U366" s="11">
        <f>G366*1000000/(0.9*(D366*1000)*J366^2)</f>
        <v>2.274797877</v>
      </c>
      <c r="V366" s="12">
        <f>(0.85*$B$2/$D$2)*(1-SQRT(1-2*U366/(0.85*$B$2)))</f>
        <v>0.005703182058</v>
      </c>
      <c r="W366" s="13">
        <f>V366*(D366*1000)*J366</f>
        <v>586.0875042</v>
      </c>
      <c r="X366" s="13">
        <f>MAX(W366,N366)</f>
        <v>586.0875042</v>
      </c>
      <c r="Y366" s="14">
        <f>ROUNDUP(X366/$J$2,0)</f>
        <v>3</v>
      </c>
      <c r="Z366" s="13">
        <f>Y366*$J$2</f>
        <v>597</v>
      </c>
      <c r="AA366" s="10">
        <f>0.9*Z366*$D$2*(J366-(Z366*$D$2/(0.85*$B$2*(D366*1000)))/2)/1000000</f>
        <v>73.33945883</v>
      </c>
      <c r="AB366" s="15" t="str">
        <f>IF(AA366&gt;=G366,"CUMPLE","REVISAR")</f>
        <v>CUMPLE</v>
      </c>
      <c r="AC366" s="10">
        <f>0.17*SQRT($B$2)*(D366*1000)*J366/1000</f>
        <v>92.44281538</v>
      </c>
      <c r="AD366" s="10">
        <f>MAX(H366/0.75-AC366,0)</f>
        <v>0</v>
      </c>
      <c r="AE366" s="14">
        <f>IF(AD366&gt;0,MIN($N$2*$D$2*J366/(AD366*1000),MIN(J366/4,6*$H$2,150)),MIN(J366/4,6*$H$2,150))</f>
        <v>85.6375</v>
      </c>
      <c r="AF366" s="10">
        <f>0.66*SQRT($B$2)*(D366*1000)*J366/1000</f>
        <v>358.8956362</v>
      </c>
      <c r="AG366" s="15" t="str">
        <f>IF(AD366&lt;=AF366,"CUMPLE","AUMENTAR SECCION")</f>
        <v>CUMPLE</v>
      </c>
      <c r="AH366" s="10">
        <f>0.75*0.083*SQRT($B$2)*(((D366*1000)*(E366*1000))^2/(2*((D366*1000)+(E366*1000))))/1000000</f>
        <v>3.388073536</v>
      </c>
      <c r="AI366" s="15" t="str">
        <f>IF(I366&gt;AH366,"SI","No")</f>
        <v>No</v>
      </c>
      <c r="AJ366" s="11">
        <f>IF(I366&gt;AH366,I366*1000000/(0.75*2*0.85*((D366*1000-2*$F$2)*(E366*1000-2*$F$2))*$D$2),0)</f>
        <v>0</v>
      </c>
      <c r="AK366" s="10">
        <f>1.25*Q366*$D$2*(J366-(1.25*Q366*$D$2/(0.85*$B$2*(D366*1000)))/2)/1000000</f>
        <v>130.9219244</v>
      </c>
      <c r="AL366" s="10">
        <f>1.25*Z366*$D$2*(J366-(1.25*Z366*$D$2/(0.85*$B$2*(D366*1000)))/2)/1000000</f>
        <v>100.4845159</v>
      </c>
      <c r="AM366" s="10">
        <f>(AK366+AL366)/B366</f>
        <v>60.10556892</v>
      </c>
      <c r="AN366" s="10">
        <f>MAX(H366,AM366)</f>
        <v>60.10556892</v>
      </c>
    </row>
    <row r="367">
      <c r="A367" s="5" t="inlineStr">
        <is>
          <t>F838</t>
        </is>
      </c>
      <c r="B367" s="6" t="n">
        <v>3.9</v>
      </c>
      <c r="C367" s="7" t="inlineStr">
        <is>
          <t>VC</t>
        </is>
      </c>
      <c r="D367" s="8">
        <f>IF(C367="VR",0.35,0.30)</f>
        <v>0.3</v>
      </c>
      <c r="E367" s="6" t="n">
        <v>0.4</v>
      </c>
      <c r="F367" s="9" t="n">
        <v>94.59999999999999</v>
      </c>
      <c r="G367" s="9" t="n">
        <v>71.09999999999999</v>
      </c>
      <c r="H367" s="9" t="n">
        <v>63.5</v>
      </c>
      <c r="I367" s="6" t="n">
        <v>0</v>
      </c>
      <c r="J367" s="10">
        <f>E367*1000-$F$2-$L$2-$H$2/2</f>
        <v>342.55</v>
      </c>
      <c r="K367" s="11">
        <f>F367*1000000/(0.9*(D367*1000)*J367^2)</f>
        <v>2.984666119</v>
      </c>
      <c r="L367" s="12">
        <f>(0.85*$B$2/$D$2)*(1-SQRT(1-2*K367/(0.85*$B$2)))</f>
        <v>0.007618475921</v>
      </c>
      <c r="M367" s="13">
        <f>L367*(D367*1000)*J367</f>
        <v>782.912678</v>
      </c>
      <c r="N367" s="13">
        <f>MAX(0.25*SQRT($B$2)/$D$2,1.4/$D$2)*(D367*1000)*J367</f>
        <v>342.55</v>
      </c>
      <c r="O367" s="13">
        <f>MAX(M367,N367)</f>
        <v>782.912678</v>
      </c>
      <c r="P367" s="14">
        <f>ROUNDUP(O367/$J$2,0)</f>
        <v>4</v>
      </c>
      <c r="Q367" s="13">
        <f>P367*$J$2</f>
        <v>796</v>
      </c>
      <c r="R367" s="10">
        <f>Q367*$D$2/(0.85*$B$2*(D367*1000))</f>
        <v>46.82352941</v>
      </c>
      <c r="S367" s="10">
        <f>0.9*Q367*$D$2*(J367-R367/2)/1000000</f>
        <v>96.02486534</v>
      </c>
      <c r="T367" s="15" t="str">
        <f>IF(AND(S367&gt;=F367,O367&lt;=0.025*(D367*1000)*J367,O367&gt;=N367),"CUMPLE","REVISAR")</f>
        <v>CUMPLE</v>
      </c>
      <c r="U367" s="11">
        <f>G367*1000000/(0.9*(D367*1000)*J367^2)</f>
        <v>2.24544361</v>
      </c>
      <c r="V367" s="12">
        <f>(0.85*$B$2/$D$2)*(1-SQRT(1-2*U367/(0.85*$B$2)))</f>
        <v>0.005625528786</v>
      </c>
      <c r="W367" s="13">
        <f>V367*(D367*1000)*J367</f>
        <v>578.1074657</v>
      </c>
      <c r="X367" s="13">
        <f>MAX(W367,N367)</f>
        <v>578.1074657</v>
      </c>
      <c r="Y367" s="14">
        <f>ROUNDUP(X367/$J$2,0)</f>
        <v>3</v>
      </c>
      <c r="Z367" s="13">
        <f>Y367*$J$2</f>
        <v>597</v>
      </c>
      <c r="AA367" s="10">
        <f>0.9*Z367*$D$2*(J367-(Z367*$D$2/(0.85*$B$2*(D367*1000)))/2)/1000000</f>
        <v>73.33945883</v>
      </c>
      <c r="AB367" s="15" t="str">
        <f>IF(AA367&gt;=G367,"CUMPLE","REVISAR")</f>
        <v>CUMPLE</v>
      </c>
      <c r="AC367" s="10">
        <f>0.17*SQRT($B$2)*(D367*1000)*J367/1000</f>
        <v>92.44281538</v>
      </c>
      <c r="AD367" s="10">
        <f>MAX(H367/0.75-AC367,0)</f>
        <v>0</v>
      </c>
      <c r="AE367" s="14">
        <f>IF(AD367&gt;0,MIN($N$2*$D$2*J367/(AD367*1000),MIN(J367/4,6*$H$2,150)),MIN(J367/4,6*$H$2,150))</f>
        <v>85.6375</v>
      </c>
      <c r="AF367" s="10">
        <f>0.66*SQRT($B$2)*(D367*1000)*J367/1000</f>
        <v>358.8956362</v>
      </c>
      <c r="AG367" s="15" t="str">
        <f>IF(AD367&lt;=AF367,"CUMPLE","AUMENTAR SECCION")</f>
        <v>CUMPLE</v>
      </c>
      <c r="AH367" s="10">
        <f>0.75*0.083*SQRT($B$2)*(((D367*1000)*(E367*1000))^2/(2*((D367*1000)+(E367*1000))))/1000000</f>
        <v>3.388073536</v>
      </c>
      <c r="AI367" s="15" t="str">
        <f>IF(I367&gt;AH367,"SI","No")</f>
        <v>No</v>
      </c>
      <c r="AJ367" s="11">
        <f>IF(I367&gt;AH367,I367*1000000/(0.75*2*0.85*((D367*1000-2*$F$2)*(E367*1000-2*$F$2))*$D$2),0)</f>
        <v>0</v>
      </c>
      <c r="AK367" s="10">
        <f>1.25*Q367*$D$2*(J367-(1.25*Q367*$D$2/(0.85*$B$2*(D367*1000)))/2)/1000000</f>
        <v>130.9219244</v>
      </c>
      <c r="AL367" s="10">
        <f>1.25*Z367*$D$2*(J367-(1.25*Z367*$D$2/(0.85*$B$2*(D367*1000)))/2)/1000000</f>
        <v>100.4845159</v>
      </c>
      <c r="AM367" s="10">
        <f>(AK367+AL367)/B367</f>
        <v>59.3349847</v>
      </c>
      <c r="AN367" s="10">
        <f>MAX(H367,AM367)</f>
        <v>63.48</v>
      </c>
    </row>
    <row r="368">
      <c r="A368" s="5" t="inlineStr">
        <is>
          <t>F839</t>
        </is>
      </c>
      <c r="B368" s="6" t="n">
        <v>3.9</v>
      </c>
      <c r="C368" s="7" t="inlineStr">
        <is>
          <t>VC</t>
        </is>
      </c>
      <c r="D368" s="8">
        <f>IF(C368="VR",0.35,0.30)</f>
        <v>0.3</v>
      </c>
      <c r="E368" s="6" t="n">
        <v>0.4</v>
      </c>
      <c r="F368" s="9" t="n">
        <v>94.59999999999999</v>
      </c>
      <c r="G368" s="9" t="n">
        <v>71.09999999999999</v>
      </c>
      <c r="H368" s="9" t="n">
        <v>63.5</v>
      </c>
      <c r="I368" s="6" t="n">
        <v>0</v>
      </c>
      <c r="J368" s="10">
        <f>E368*1000-$F$2-$L$2-$H$2/2</f>
        <v>342.55</v>
      </c>
      <c r="K368" s="11">
        <f>F368*1000000/(0.9*(D368*1000)*J368^2)</f>
        <v>2.984981756</v>
      </c>
      <c r="L368" s="12">
        <f>(0.85*$B$2/$D$2)*(1-SQRT(1-2*K368/(0.85*$B$2)))</f>
        <v>0.007619344176</v>
      </c>
      <c r="M368" s="13">
        <f>L368*(D368*1000)*J368</f>
        <v>783.0019043</v>
      </c>
      <c r="N368" s="13">
        <f>MAX(0.25*SQRT($B$2)/$D$2,1.4/$D$2)*(D368*1000)*J368</f>
        <v>342.55</v>
      </c>
      <c r="O368" s="13">
        <f>MAX(M368,N368)</f>
        <v>783.0019043</v>
      </c>
      <c r="P368" s="14">
        <f>ROUNDUP(O368/$J$2,0)</f>
        <v>4</v>
      </c>
      <c r="Q368" s="13">
        <f>P368*$J$2</f>
        <v>796</v>
      </c>
      <c r="R368" s="10">
        <f>Q368*$D$2/(0.85*$B$2*(D368*1000))</f>
        <v>46.82352941</v>
      </c>
      <c r="S368" s="10">
        <f>0.9*Q368*$D$2*(J368-R368/2)/1000000</f>
        <v>96.02486534</v>
      </c>
      <c r="T368" s="15" t="str">
        <f>IF(AND(S368&gt;=F368,O368&lt;=0.025*(D368*1000)*J368,O368&gt;=N368),"CUMPLE","REVISAR")</f>
        <v>CUMPLE</v>
      </c>
      <c r="U368" s="11">
        <f>G368*1000000/(0.9*(D368*1000)*J368^2)</f>
        <v>2.24544361</v>
      </c>
      <c r="V368" s="12">
        <f>(0.85*$B$2/$D$2)*(1-SQRT(1-2*U368/(0.85*$B$2)))</f>
        <v>0.005625528786</v>
      </c>
      <c r="W368" s="13">
        <f>V368*(D368*1000)*J368</f>
        <v>578.1074657</v>
      </c>
      <c r="X368" s="13">
        <f>MAX(W368,N368)</f>
        <v>578.1074657</v>
      </c>
      <c r="Y368" s="14">
        <f>ROUNDUP(X368/$J$2,0)</f>
        <v>3</v>
      </c>
      <c r="Z368" s="13">
        <f>Y368*$J$2</f>
        <v>597</v>
      </c>
      <c r="AA368" s="10">
        <f>0.9*Z368*$D$2*(J368-(Z368*$D$2/(0.85*$B$2*(D368*1000)))/2)/1000000</f>
        <v>73.33945883</v>
      </c>
      <c r="AB368" s="15" t="str">
        <f>IF(AA368&gt;=G368,"CUMPLE","REVISAR")</f>
        <v>CUMPLE</v>
      </c>
      <c r="AC368" s="10">
        <f>0.17*SQRT($B$2)*(D368*1000)*J368/1000</f>
        <v>92.44281538</v>
      </c>
      <c r="AD368" s="10">
        <f>MAX(H368/0.75-AC368,0)</f>
        <v>0</v>
      </c>
      <c r="AE368" s="14">
        <f>IF(AD368&gt;0,MIN($N$2*$D$2*J368/(AD368*1000),MIN(J368/4,6*$H$2,150)),MIN(J368/4,6*$H$2,150))</f>
        <v>85.6375</v>
      </c>
      <c r="AF368" s="10">
        <f>0.66*SQRT($B$2)*(D368*1000)*J368/1000</f>
        <v>358.8956362</v>
      </c>
      <c r="AG368" s="15" t="str">
        <f>IF(AD368&lt;=AF368,"CUMPLE","AUMENTAR SECCION")</f>
        <v>CUMPLE</v>
      </c>
      <c r="AH368" s="10">
        <f>0.75*0.083*SQRT($B$2)*(((D368*1000)*(E368*1000))^2/(2*((D368*1000)+(E368*1000))))/1000000</f>
        <v>3.388073536</v>
      </c>
      <c r="AI368" s="15" t="str">
        <f>IF(I368&gt;AH368,"SI","No")</f>
        <v>No</v>
      </c>
      <c r="AJ368" s="11">
        <f>IF(I368&gt;AH368,I368*1000000/(0.75*2*0.85*((D368*1000-2*$F$2)*(E368*1000-2*$F$2))*$D$2),0)</f>
        <v>0</v>
      </c>
      <c r="AK368" s="10">
        <f>1.25*Q368*$D$2*(J368-(1.25*Q368*$D$2/(0.85*$B$2*(D368*1000)))/2)/1000000</f>
        <v>130.9219244</v>
      </c>
      <c r="AL368" s="10">
        <f>1.25*Z368*$D$2*(J368-(1.25*Z368*$D$2/(0.85*$B$2*(D368*1000)))/2)/1000000</f>
        <v>100.4845159</v>
      </c>
      <c r="AM368" s="10">
        <f>(AK368+AL368)/B368</f>
        <v>59.3349847</v>
      </c>
      <c r="AN368" s="10">
        <f>MAX(H368,AM368)</f>
        <v>63.48</v>
      </c>
    </row>
    <row r="369">
      <c r="A369" s="5" t="inlineStr">
        <is>
          <t>F840</t>
        </is>
      </c>
      <c r="B369" s="6" t="n">
        <v>3.85</v>
      </c>
      <c r="C369" s="7" t="inlineStr">
        <is>
          <t>VC</t>
        </is>
      </c>
      <c r="D369" s="8">
        <f>IF(C369="VR",0.35,0.30)</f>
        <v>0.3</v>
      </c>
      <c r="E369" s="6" t="n">
        <v>0.4</v>
      </c>
      <c r="F369" s="9" t="n">
        <v>87.8</v>
      </c>
      <c r="G369" s="9" t="n">
        <v>72.09999999999999</v>
      </c>
      <c r="H369" s="9" t="n">
        <v>54.1</v>
      </c>
      <c r="I369" s="6" t="n">
        <v>0</v>
      </c>
      <c r="J369" s="10">
        <f>E369*1000-$F$2-$L$2-$H$2/2</f>
        <v>342.55</v>
      </c>
      <c r="K369" s="11">
        <f>F369*1000000/(0.9*(D369*1000)*J369^2)</f>
        <v>2.770979681</v>
      </c>
      <c r="L369" s="12">
        <f>(0.85*$B$2/$D$2)*(1-SQRT(1-2*K369/(0.85*$B$2)))</f>
        <v>0.007034152773</v>
      </c>
      <c r="M369" s="13">
        <f>L369*(D369*1000)*J369</f>
        <v>722.8647098</v>
      </c>
      <c r="N369" s="13">
        <f>MAX(0.25*SQRT($B$2)/$D$2,1.4/$D$2)*(D369*1000)*J369</f>
        <v>342.55</v>
      </c>
      <c r="O369" s="13">
        <f>MAX(M369,N369)</f>
        <v>722.8647098</v>
      </c>
      <c r="P369" s="14">
        <f>ROUNDUP(O369/$J$2,0)</f>
        <v>4</v>
      </c>
      <c r="Q369" s="13">
        <f>P369*$J$2</f>
        <v>796</v>
      </c>
      <c r="R369" s="10">
        <f>Q369*$D$2/(0.85*$B$2*(D369*1000))</f>
        <v>46.82352941</v>
      </c>
      <c r="S369" s="10">
        <f>0.9*Q369*$D$2*(J369-R369/2)/1000000</f>
        <v>96.02486534</v>
      </c>
      <c r="T369" s="15" t="str">
        <f>IF(AND(S369&gt;=F369,O369&lt;=0.025*(D369*1000)*J369,O369&gt;=N369),"CUMPLE","REVISAR")</f>
        <v>CUMPLE</v>
      </c>
      <c r="U369" s="11">
        <f>G369*1000000/(0.9*(D369*1000)*J369^2)</f>
        <v>2.274797877</v>
      </c>
      <c r="V369" s="12">
        <f>(0.85*$B$2/$D$2)*(1-SQRT(1-2*U369/(0.85*$B$2)))</f>
        <v>0.005703182058</v>
      </c>
      <c r="W369" s="13">
        <f>V369*(D369*1000)*J369</f>
        <v>586.0875042</v>
      </c>
      <c r="X369" s="13">
        <f>MAX(W369,N369)</f>
        <v>586.0875042</v>
      </c>
      <c r="Y369" s="14">
        <f>ROUNDUP(X369/$J$2,0)</f>
        <v>3</v>
      </c>
      <c r="Z369" s="13">
        <f>Y369*$J$2</f>
        <v>597</v>
      </c>
      <c r="AA369" s="10">
        <f>0.9*Z369*$D$2*(J369-(Z369*$D$2/(0.85*$B$2*(D369*1000)))/2)/1000000</f>
        <v>73.33945883</v>
      </c>
      <c r="AB369" s="15" t="str">
        <f>IF(AA369&gt;=G369,"CUMPLE","REVISAR")</f>
        <v>CUMPLE</v>
      </c>
      <c r="AC369" s="10">
        <f>0.17*SQRT($B$2)*(D369*1000)*J369/1000</f>
        <v>92.44281538</v>
      </c>
      <c r="AD369" s="10">
        <f>MAX(H369/0.75-AC369,0)</f>
        <v>0</v>
      </c>
      <c r="AE369" s="14">
        <f>IF(AD369&gt;0,MIN($N$2*$D$2*J369/(AD369*1000),MIN(J369/4,6*$H$2,150)),MIN(J369/4,6*$H$2,150))</f>
        <v>85.6375</v>
      </c>
      <c r="AF369" s="10">
        <f>0.66*SQRT($B$2)*(D369*1000)*J369/1000</f>
        <v>358.8956362</v>
      </c>
      <c r="AG369" s="15" t="str">
        <f>IF(AD369&lt;=AF369,"CUMPLE","AUMENTAR SECCION")</f>
        <v>CUMPLE</v>
      </c>
      <c r="AH369" s="10">
        <f>0.75*0.083*SQRT($B$2)*(((D369*1000)*(E369*1000))^2/(2*((D369*1000)+(E369*1000))))/1000000</f>
        <v>3.388073536</v>
      </c>
      <c r="AI369" s="15" t="str">
        <f>IF(I369&gt;AH369,"SI","No")</f>
        <v>No</v>
      </c>
      <c r="AJ369" s="11">
        <f>IF(I369&gt;AH369,I369*1000000/(0.75*2*0.85*((D369*1000-2*$F$2)*(E369*1000-2*$F$2))*$D$2),0)</f>
        <v>0</v>
      </c>
      <c r="AK369" s="10">
        <f>1.25*Q369*$D$2*(J369-(1.25*Q369*$D$2/(0.85*$B$2*(D369*1000)))/2)/1000000</f>
        <v>130.9219244</v>
      </c>
      <c r="AL369" s="10">
        <f>1.25*Z369*$D$2*(J369-(1.25*Z369*$D$2/(0.85*$B$2*(D369*1000)))/2)/1000000</f>
        <v>100.4845159</v>
      </c>
      <c r="AM369" s="10">
        <f>(AK369+AL369)/B369</f>
        <v>60.10556892</v>
      </c>
      <c r="AN369" s="10">
        <f>MAX(H369,AM369)</f>
        <v>60.10556892</v>
      </c>
    </row>
    <row r="370">
      <c r="A370" s="5" t="inlineStr">
        <is>
          <t>F841</t>
        </is>
      </c>
      <c r="B370" s="6" t="n">
        <v>3.85</v>
      </c>
      <c r="C370" s="7" t="inlineStr">
        <is>
          <t>VC</t>
        </is>
      </c>
      <c r="D370" s="8">
        <f>IF(C370="VR",0.35,0.30)</f>
        <v>0.3</v>
      </c>
      <c r="E370" s="6" t="n">
        <v>0.4</v>
      </c>
      <c r="F370" s="9" t="n">
        <v>98</v>
      </c>
      <c r="G370" s="9" t="n">
        <v>66.7</v>
      </c>
      <c r="H370" s="9" t="n">
        <v>67.09999999999999</v>
      </c>
      <c r="I370" s="6" t="n">
        <v>0</v>
      </c>
      <c r="J370" s="10">
        <f>E370*1000-$F$2-$L$2-$H$2/2</f>
        <v>342.55</v>
      </c>
      <c r="K370" s="11">
        <f>F370*1000000/(0.9*(D370*1000)*J370^2)</f>
        <v>3.091667157</v>
      </c>
      <c r="L370" s="12">
        <f>(0.85*$B$2/$D$2)*(1-SQRT(1-2*K370/(0.85*$B$2)))</f>
        <v>0.007913700403</v>
      </c>
      <c r="M370" s="13">
        <f>L370*(D370*1000)*J370</f>
        <v>813.2514219</v>
      </c>
      <c r="N370" s="13">
        <f>MAX(0.25*SQRT($B$2)/$D$2,1.4/$D$2)*(D370*1000)*J370</f>
        <v>342.55</v>
      </c>
      <c r="O370" s="13">
        <f>MAX(M370,N370)</f>
        <v>813.2514219</v>
      </c>
      <c r="P370" s="14">
        <f>ROUNDUP(O370/$J$2,0)</f>
        <v>5</v>
      </c>
      <c r="Q370" s="13">
        <f>P370*$J$2</f>
        <v>995</v>
      </c>
      <c r="R370" s="10">
        <f>Q370*$D$2/(0.85*$B$2*(D370*1000))</f>
        <v>58.52941176</v>
      </c>
      <c r="S370" s="10">
        <f>0.9*Q370*$D$2*(J370-R370/2)/1000000</f>
        <v>117.829732</v>
      </c>
      <c r="T370" s="15" t="str">
        <f>IF(AND(S370&gt;=F370,O370&lt;=0.025*(D370*1000)*J370,O370&gt;=N370),"CUMPLE","REVISAR")</f>
        <v>CUMPLE</v>
      </c>
      <c r="U370" s="11">
        <f>G370*1000000/(0.9*(D370*1000)*J370^2)</f>
        <v>2.103722471</v>
      </c>
      <c r="V370" s="12">
        <f>(0.85*$B$2/$D$2)*(1-SQRT(1-2*U370/(0.85*$B$2)))</f>
        <v>0.005252272105</v>
      </c>
      <c r="W370" s="13">
        <f>V370*(D370*1000)*J370</f>
        <v>539.7497428</v>
      </c>
      <c r="X370" s="13">
        <f>MAX(W370,N370)</f>
        <v>539.7497428</v>
      </c>
      <c r="Y370" s="14">
        <f>ROUNDUP(X370/$J$2,0)</f>
        <v>3</v>
      </c>
      <c r="Z370" s="13">
        <f>Y370*$J$2</f>
        <v>597</v>
      </c>
      <c r="AA370" s="10">
        <f>0.9*Z370*$D$2*(J370-(Z370*$D$2/(0.85*$B$2*(D370*1000)))/2)/1000000</f>
        <v>73.33945883</v>
      </c>
      <c r="AB370" s="15" t="str">
        <f>IF(AA370&gt;=G370,"CUMPLE","REVISAR")</f>
        <v>CUMPLE</v>
      </c>
      <c r="AC370" s="10">
        <f>0.17*SQRT($B$2)*(D370*1000)*J370/1000</f>
        <v>92.44281538</v>
      </c>
      <c r="AD370" s="10">
        <f>MAX(H370/0.75-AC370,0)</f>
        <v>0</v>
      </c>
      <c r="AE370" s="14">
        <f>IF(AD370&gt;0,MIN($N$2*$D$2*J370/(AD370*1000),MIN(J370/4,6*$H$2,150)),MIN(J370/4,6*$H$2,150))</f>
        <v>85.6375</v>
      </c>
      <c r="AF370" s="10">
        <f>0.66*SQRT($B$2)*(D370*1000)*J370/1000</f>
        <v>358.8956362</v>
      </c>
      <c r="AG370" s="15" t="str">
        <f>IF(AD370&lt;=AF370,"CUMPLE","AUMENTAR SECCION")</f>
        <v>CUMPLE</v>
      </c>
      <c r="AH370" s="10">
        <f>0.75*0.083*SQRT($B$2)*(((D370*1000)*(E370*1000))^2/(2*((D370*1000)+(E370*1000))))/1000000</f>
        <v>3.388073536</v>
      </c>
      <c r="AI370" s="15" t="str">
        <f>IF(I370&gt;AH370,"SI","No")</f>
        <v>No</v>
      </c>
      <c r="AJ370" s="11">
        <f>IF(I370&gt;AH370,I370*1000000/(0.75*2*0.85*((D370*1000-2*$F$2)*(E370*1000-2*$F$2))*$D$2),0)</f>
        <v>0</v>
      </c>
      <c r="AK370" s="10">
        <f>1.25*Q370*$D$2*(J370-(1.25*Q370*$D$2/(0.85*$B$2*(D370*1000)))/2)/1000000</f>
        <v>159.8306178</v>
      </c>
      <c r="AL370" s="10">
        <f>1.25*Z370*$D$2*(J370-(1.25*Z370*$D$2/(0.85*$B$2*(D370*1000)))/2)/1000000</f>
        <v>100.4845159</v>
      </c>
      <c r="AM370" s="10">
        <f>(AK370+AL370)/B370</f>
        <v>67.61432045</v>
      </c>
      <c r="AN370" s="10">
        <f>MAX(H370,AM370)</f>
        <v>67.61432045</v>
      </c>
    </row>
    <row r="371">
      <c r="A371" s="5" t="inlineStr">
        <is>
          <t>F842</t>
        </is>
      </c>
      <c r="B371" s="6" t="n">
        <v>3.9</v>
      </c>
      <c r="C371" s="7" t="inlineStr">
        <is>
          <t>VC</t>
        </is>
      </c>
      <c r="D371" s="8">
        <f>IF(C371="VR",0.35,0.30)</f>
        <v>0.3</v>
      </c>
      <c r="E371" s="6" t="n">
        <v>0.4</v>
      </c>
      <c r="F371" s="9" t="n">
        <v>110.5</v>
      </c>
      <c r="G371" s="9" t="n">
        <v>68.09999999999999</v>
      </c>
      <c r="H371" s="9" t="n">
        <v>83.2</v>
      </c>
      <c r="I371" s="6" t="n">
        <v>0</v>
      </c>
      <c r="J371" s="10">
        <f>E371*1000-$F$2-$L$2-$H$2/2</f>
        <v>342.55</v>
      </c>
      <c r="K371" s="11">
        <f>F371*1000000/(0.9*(D371*1000)*J371^2)</f>
        <v>3.488738855</v>
      </c>
      <c r="L371" s="12">
        <f>(0.85*$B$2/$D$2)*(1-SQRT(1-2*K371/(0.85*$B$2)))</f>
        <v>0.009025241538</v>
      </c>
      <c r="M371" s="13">
        <f>L371*(D371*1000)*J371</f>
        <v>927.4789467</v>
      </c>
      <c r="N371" s="13">
        <f>MAX(0.25*SQRT($B$2)/$D$2,1.4/$D$2)*(D371*1000)*J371</f>
        <v>342.55</v>
      </c>
      <c r="O371" s="13">
        <f>MAX(M371,N371)</f>
        <v>927.4789467</v>
      </c>
      <c r="P371" s="14">
        <f>ROUNDUP(O371/$J$2,0)</f>
        <v>5</v>
      </c>
      <c r="Q371" s="13">
        <f>P371*$J$2</f>
        <v>995</v>
      </c>
      <c r="R371" s="10">
        <f>Q371*$D$2/(0.85*$B$2*(D371*1000))</f>
        <v>58.52941176</v>
      </c>
      <c r="S371" s="10">
        <f>0.9*Q371*$D$2*(J371-R371/2)/1000000</f>
        <v>117.829732</v>
      </c>
      <c r="T371" s="15" t="str">
        <f>IF(AND(S371&gt;=F371,O371&lt;=0.025*(D371*1000)*J371,O371&gt;=N371),"CUMPLE","REVISAR")</f>
        <v>CUMPLE</v>
      </c>
      <c r="U371" s="11">
        <f>G371*1000000/(0.9*(D371*1000)*J371^2)</f>
        <v>2.148858602</v>
      </c>
      <c r="V371" s="12">
        <f>(0.85*$B$2/$D$2)*(1-SQRT(1-2*U371/(0.85*$B$2)))</f>
        <v>0.005370854194</v>
      </c>
      <c r="W371" s="13">
        <f>V371*(D371*1000)*J371</f>
        <v>551.9358312</v>
      </c>
      <c r="X371" s="13">
        <f>MAX(W371,N371)</f>
        <v>551.9358312</v>
      </c>
      <c r="Y371" s="14">
        <f>ROUNDUP(X371/$J$2,0)</f>
        <v>3</v>
      </c>
      <c r="Z371" s="13">
        <f>Y371*$J$2</f>
        <v>597</v>
      </c>
      <c r="AA371" s="10">
        <f>0.9*Z371*$D$2*(J371-(Z371*$D$2/(0.85*$B$2*(D371*1000)))/2)/1000000</f>
        <v>73.33945883</v>
      </c>
      <c r="AB371" s="15" t="str">
        <f>IF(AA371&gt;=G371,"CUMPLE","REVISAR")</f>
        <v>CUMPLE</v>
      </c>
      <c r="AC371" s="10">
        <f>0.17*SQRT($B$2)*(D371*1000)*J371/1000</f>
        <v>92.44281538</v>
      </c>
      <c r="AD371" s="10">
        <f>MAX(H371/0.75-AC371,0)</f>
        <v>18.42385128</v>
      </c>
      <c r="AE371" s="14">
        <f>IF(AD371&gt;0,MIN($N$2*$D$2*J371/(AD371*1000),MIN(J371/4,6*$H$2,150)),MIN(J371/4,6*$H$2,150))</f>
        <v>85.6375</v>
      </c>
      <c r="AF371" s="10">
        <f>0.66*SQRT($B$2)*(D371*1000)*J371/1000</f>
        <v>358.8956362</v>
      </c>
      <c r="AG371" s="15" t="str">
        <f>IF(AD371&lt;=AF371,"CUMPLE","AUMENTAR SECCION")</f>
        <v>CUMPLE</v>
      </c>
      <c r="AH371" s="10">
        <f>0.75*0.083*SQRT($B$2)*(((D371*1000)*(E371*1000))^2/(2*((D371*1000)+(E371*1000))))/1000000</f>
        <v>3.388073536</v>
      </c>
      <c r="AI371" s="15" t="str">
        <f>IF(I371&gt;AH371,"SI","No")</f>
        <v>No</v>
      </c>
      <c r="AJ371" s="11">
        <f>IF(I371&gt;AH371,I371*1000000/(0.75*2*0.85*((D371*1000-2*$F$2)*(E371*1000-2*$F$2))*$D$2),0)</f>
        <v>0</v>
      </c>
      <c r="AK371" s="10">
        <f>1.25*Q371*$D$2*(J371-(1.25*Q371*$D$2/(0.85*$B$2*(D371*1000)))/2)/1000000</f>
        <v>159.8306178</v>
      </c>
      <c r="AL371" s="10">
        <f>1.25*Z371*$D$2*(J371-(1.25*Z371*$D$2/(0.85*$B$2*(D371*1000)))/2)/1000000</f>
        <v>100.4845159</v>
      </c>
      <c r="AM371" s="10">
        <f>(AK371+AL371)/B371</f>
        <v>66.74747019</v>
      </c>
      <c r="AN371" s="10">
        <f>MAX(H371,AM371)</f>
        <v>83.15</v>
      </c>
    </row>
    <row r="372">
      <c r="A372" s="5" t="inlineStr">
        <is>
          <t>F843</t>
        </is>
      </c>
      <c r="B372" s="6" t="n">
        <v>3.9</v>
      </c>
      <c r="C372" s="7" t="inlineStr">
        <is>
          <t>VC</t>
        </is>
      </c>
      <c r="D372" s="8">
        <f>IF(C372="VR",0.35,0.30)</f>
        <v>0.3</v>
      </c>
      <c r="E372" s="6" t="n">
        <v>0.4</v>
      </c>
      <c r="F372" s="9" t="n">
        <v>110.6</v>
      </c>
      <c r="G372" s="9" t="n">
        <v>68</v>
      </c>
      <c r="H372" s="9" t="n">
        <v>83.2</v>
      </c>
      <c r="I372" s="6" t="n">
        <v>0</v>
      </c>
      <c r="J372" s="10">
        <f>E372*1000-$F$2-$L$2-$H$2/2</f>
        <v>342.55</v>
      </c>
      <c r="K372" s="11">
        <f>F372*1000000/(0.9*(D372*1000)*J372^2)</f>
        <v>3.491579591</v>
      </c>
      <c r="L372" s="12">
        <f>(0.85*$B$2/$D$2)*(1-SQRT(1-2*K372/(0.85*$B$2)))</f>
        <v>0.009033287188</v>
      </c>
      <c r="M372" s="13">
        <f>L372*(D372*1000)*J372</f>
        <v>928.3057579</v>
      </c>
      <c r="N372" s="13">
        <f>MAX(0.25*SQRT($B$2)/$D$2,1.4/$D$2)*(D372*1000)*J372</f>
        <v>342.55</v>
      </c>
      <c r="O372" s="13">
        <f>MAX(M372,N372)</f>
        <v>928.3057579</v>
      </c>
      <c r="P372" s="14">
        <f>ROUNDUP(O372/$J$2,0)</f>
        <v>5</v>
      </c>
      <c r="Q372" s="13">
        <f>P372*$J$2</f>
        <v>995</v>
      </c>
      <c r="R372" s="10">
        <f>Q372*$D$2/(0.85*$B$2*(D372*1000))</f>
        <v>58.52941176</v>
      </c>
      <c r="S372" s="10">
        <f>0.9*Q372*$D$2*(J372-R372/2)/1000000</f>
        <v>117.829732</v>
      </c>
      <c r="T372" s="15" t="str">
        <f>IF(AND(S372&gt;=F372,O372&lt;=0.025*(D372*1000)*J372,O372&gt;=N372),"CUMPLE","REVISAR")</f>
        <v>CUMPLE</v>
      </c>
      <c r="U372" s="11">
        <f>G372*1000000/(0.9*(D372*1000)*J372^2)</f>
        <v>2.146649141</v>
      </c>
      <c r="V372" s="12">
        <f>(0.85*$B$2/$D$2)*(1-SQRT(1-2*U372/(0.85*$B$2)))</f>
        <v>0.005365043096</v>
      </c>
      <c r="W372" s="13">
        <f>V372*(D372*1000)*J372</f>
        <v>551.3386537</v>
      </c>
      <c r="X372" s="13">
        <f>MAX(W372,N372)</f>
        <v>551.3386537</v>
      </c>
      <c r="Y372" s="14">
        <f>ROUNDUP(X372/$J$2,0)</f>
        <v>3</v>
      </c>
      <c r="Z372" s="13">
        <f>Y372*$J$2</f>
        <v>597</v>
      </c>
      <c r="AA372" s="10">
        <f>0.9*Z372*$D$2*(J372-(Z372*$D$2/(0.85*$B$2*(D372*1000)))/2)/1000000</f>
        <v>73.33945883</v>
      </c>
      <c r="AB372" s="15" t="str">
        <f>IF(AA372&gt;=G372,"CUMPLE","REVISAR")</f>
        <v>CUMPLE</v>
      </c>
      <c r="AC372" s="10">
        <f>0.17*SQRT($B$2)*(D372*1000)*J372/1000</f>
        <v>92.44281538</v>
      </c>
      <c r="AD372" s="10">
        <f>MAX(H372/0.75-AC372,0)</f>
        <v>18.54385128</v>
      </c>
      <c r="AE372" s="14">
        <f>IF(AD372&gt;0,MIN($N$2*$D$2*J372/(AD372*1000),MIN(J372/4,6*$H$2,150)),MIN(J372/4,6*$H$2,150))</f>
        <v>85.6375</v>
      </c>
      <c r="AF372" s="10">
        <f>0.66*SQRT($B$2)*(D372*1000)*J372/1000</f>
        <v>358.8956362</v>
      </c>
      <c r="AG372" s="15" t="str">
        <f>IF(AD372&lt;=AF372,"CUMPLE","AUMENTAR SECCION")</f>
        <v>CUMPLE</v>
      </c>
      <c r="AH372" s="10">
        <f>0.75*0.083*SQRT($B$2)*(((D372*1000)*(E372*1000))^2/(2*((D372*1000)+(E372*1000))))/1000000</f>
        <v>3.388073536</v>
      </c>
      <c r="AI372" s="15" t="str">
        <f>IF(I372&gt;AH372,"SI","No")</f>
        <v>No</v>
      </c>
      <c r="AJ372" s="11">
        <f>IF(I372&gt;AH372,I372*1000000/(0.75*2*0.85*((D372*1000-2*$F$2)*(E372*1000-2*$F$2))*$D$2),0)</f>
        <v>0</v>
      </c>
      <c r="AK372" s="10">
        <f>1.25*Q372*$D$2*(J372-(1.25*Q372*$D$2/(0.85*$B$2*(D372*1000)))/2)/1000000</f>
        <v>159.8306178</v>
      </c>
      <c r="AL372" s="10">
        <f>1.25*Z372*$D$2*(J372-(1.25*Z372*$D$2/(0.85*$B$2*(D372*1000)))/2)/1000000</f>
        <v>100.4845159</v>
      </c>
      <c r="AM372" s="10">
        <f>(AK372+AL372)/B372</f>
        <v>66.74747019</v>
      </c>
      <c r="AN372" s="10">
        <f>MAX(H372,AM372)</f>
        <v>83.24</v>
      </c>
    </row>
    <row r="373">
      <c r="A373" s="5" t="inlineStr">
        <is>
          <t>F844</t>
        </is>
      </c>
      <c r="B373" s="6" t="n">
        <v>3.85</v>
      </c>
      <c r="C373" s="7" t="inlineStr">
        <is>
          <t>VC</t>
        </is>
      </c>
      <c r="D373" s="8">
        <f>IF(C373="VR",0.35,0.30)</f>
        <v>0.3</v>
      </c>
      <c r="E373" s="6" t="n">
        <v>0.4</v>
      </c>
      <c r="F373" s="9" t="n">
        <v>97.90000000000001</v>
      </c>
      <c r="G373" s="9" t="n">
        <v>66.7</v>
      </c>
      <c r="H373" s="9" t="n">
        <v>67.09999999999999</v>
      </c>
      <c r="I373" s="6" t="n">
        <v>0</v>
      </c>
      <c r="J373" s="10">
        <f>E373*1000-$F$2-$L$2-$H$2/2</f>
        <v>342.55</v>
      </c>
      <c r="K373" s="11">
        <f>F373*1000000/(0.9*(D373*1000)*J373^2)</f>
        <v>3.09135152</v>
      </c>
      <c r="L373" s="12">
        <f>(0.85*$B$2/$D$2)*(1-SQRT(1-2*K373/(0.85*$B$2)))</f>
        <v>0.007912826905</v>
      </c>
      <c r="M373" s="13">
        <f>L373*(D373*1000)*J373</f>
        <v>813.1616569</v>
      </c>
      <c r="N373" s="13">
        <f>MAX(0.25*SQRT($B$2)/$D$2,1.4/$D$2)*(D373*1000)*J373</f>
        <v>342.55</v>
      </c>
      <c r="O373" s="13">
        <f>MAX(M373,N373)</f>
        <v>813.1616569</v>
      </c>
      <c r="P373" s="14">
        <f>ROUNDUP(O373/$J$2,0)</f>
        <v>5</v>
      </c>
      <c r="Q373" s="13">
        <f>P373*$J$2</f>
        <v>995</v>
      </c>
      <c r="R373" s="10">
        <f>Q373*$D$2/(0.85*$B$2*(D373*1000))</f>
        <v>58.52941176</v>
      </c>
      <c r="S373" s="10">
        <f>0.9*Q373*$D$2*(J373-R373/2)/1000000</f>
        <v>117.829732</v>
      </c>
      <c r="T373" s="15" t="str">
        <f>IF(AND(S373&gt;=F373,O373&lt;=0.025*(D373*1000)*J373,O373&gt;=N373),"CUMPLE","REVISAR")</f>
        <v>CUMPLE</v>
      </c>
      <c r="U373" s="11">
        <f>G373*1000000/(0.9*(D373*1000)*J373^2)</f>
        <v>2.104038108</v>
      </c>
      <c r="V373" s="12">
        <f>(0.85*$B$2/$D$2)*(1-SQRT(1-2*U373/(0.85*$B$2)))</f>
        <v>0.0052531004</v>
      </c>
      <c r="W373" s="13">
        <f>V373*(D373*1000)*J373</f>
        <v>539.8348626</v>
      </c>
      <c r="X373" s="13">
        <f>MAX(W373,N373)</f>
        <v>539.8348626</v>
      </c>
      <c r="Y373" s="14">
        <f>ROUNDUP(X373/$J$2,0)</f>
        <v>3</v>
      </c>
      <c r="Z373" s="13">
        <f>Y373*$J$2</f>
        <v>597</v>
      </c>
      <c r="AA373" s="10">
        <f>0.9*Z373*$D$2*(J373-(Z373*$D$2/(0.85*$B$2*(D373*1000)))/2)/1000000</f>
        <v>73.33945883</v>
      </c>
      <c r="AB373" s="15" t="str">
        <f>IF(AA373&gt;=G373,"CUMPLE","REVISAR")</f>
        <v>CUMPLE</v>
      </c>
      <c r="AC373" s="10">
        <f>0.17*SQRT($B$2)*(D373*1000)*J373/1000</f>
        <v>92.44281538</v>
      </c>
      <c r="AD373" s="10">
        <f>MAX(H373/0.75-AC373,0)</f>
        <v>0</v>
      </c>
      <c r="AE373" s="14">
        <f>IF(AD373&gt;0,MIN($N$2*$D$2*J373/(AD373*1000),MIN(J373/4,6*$H$2,150)),MIN(J373/4,6*$H$2,150))</f>
        <v>85.6375</v>
      </c>
      <c r="AF373" s="10">
        <f>0.66*SQRT($B$2)*(D373*1000)*J373/1000</f>
        <v>358.8956362</v>
      </c>
      <c r="AG373" s="15" t="str">
        <f>IF(AD373&lt;=AF373,"CUMPLE","AUMENTAR SECCION")</f>
        <v>CUMPLE</v>
      </c>
      <c r="AH373" s="10">
        <f>0.75*0.083*SQRT($B$2)*(((D373*1000)*(E373*1000))^2/(2*((D373*1000)+(E373*1000))))/1000000</f>
        <v>3.388073536</v>
      </c>
      <c r="AI373" s="15" t="str">
        <f>IF(I373&gt;AH373,"SI","No")</f>
        <v>No</v>
      </c>
      <c r="AJ373" s="11">
        <f>IF(I373&gt;AH373,I373*1000000/(0.75*2*0.85*((D373*1000-2*$F$2)*(E373*1000-2*$F$2))*$D$2),0)</f>
        <v>0</v>
      </c>
      <c r="AK373" s="10">
        <f>1.25*Q373*$D$2*(J373-(1.25*Q373*$D$2/(0.85*$B$2*(D373*1000)))/2)/1000000</f>
        <v>159.8306178</v>
      </c>
      <c r="AL373" s="10">
        <f>1.25*Z373*$D$2*(J373-(1.25*Z373*$D$2/(0.85*$B$2*(D373*1000)))/2)/1000000</f>
        <v>100.4845159</v>
      </c>
      <c r="AM373" s="10">
        <f>(AK373+AL373)/B373</f>
        <v>67.61432045</v>
      </c>
      <c r="AN373" s="10">
        <f>MAX(H373,AM373)</f>
        <v>67.61432045</v>
      </c>
    </row>
    <row r="374">
      <c r="A374" s="5" t="inlineStr">
        <is>
          <t>F845</t>
        </is>
      </c>
      <c r="B374" s="6" t="n">
        <v>3.85</v>
      </c>
      <c r="C374" s="7" t="inlineStr">
        <is>
          <t>VC</t>
        </is>
      </c>
      <c r="D374" s="8">
        <f>IF(C374="VR",0.35,0.30)</f>
        <v>0.3</v>
      </c>
      <c r="E374" s="6" t="n">
        <v>0.4</v>
      </c>
      <c r="F374" s="9" t="n">
        <v>99.90000000000001</v>
      </c>
      <c r="G374" s="9" t="n">
        <v>70.5</v>
      </c>
      <c r="H374" s="9" t="n">
        <v>65.7</v>
      </c>
      <c r="I374" s="6" t="n">
        <v>0</v>
      </c>
      <c r="J374" s="10">
        <f>E374*1000-$F$2-$L$2-$H$2/2</f>
        <v>342.55</v>
      </c>
      <c r="K374" s="11">
        <f>F374*1000000/(0.9*(D374*1000)*J374^2)</f>
        <v>3.152269515</v>
      </c>
      <c r="L374" s="12">
        <f>(0.85*$B$2/$D$2)*(1-SQRT(1-2*K374/(0.85*$B$2)))</f>
        <v>0.008081702919</v>
      </c>
      <c r="M374" s="13">
        <f>L374*(D374*1000)*J374</f>
        <v>830.5162005</v>
      </c>
      <c r="N374" s="13">
        <f>MAX(0.25*SQRT($B$2)/$D$2,1.4/$D$2)*(D374*1000)*J374</f>
        <v>342.55</v>
      </c>
      <c r="O374" s="13">
        <f>MAX(M374,N374)</f>
        <v>830.5162005</v>
      </c>
      <c r="P374" s="14">
        <f>ROUNDUP(O374/$J$2,0)</f>
        <v>5</v>
      </c>
      <c r="Q374" s="13">
        <f>P374*$J$2</f>
        <v>995</v>
      </c>
      <c r="R374" s="10">
        <f>Q374*$D$2/(0.85*$B$2*(D374*1000))</f>
        <v>58.52941176</v>
      </c>
      <c r="S374" s="10">
        <f>0.9*Q374*$D$2*(J374-R374/2)/1000000</f>
        <v>117.829732</v>
      </c>
      <c r="T374" s="15" t="str">
        <f>IF(AND(S374&gt;=F374,O374&lt;=0.025*(D374*1000)*J374,O374&gt;=N374),"CUMPLE","REVISAR")</f>
        <v>CUMPLE</v>
      </c>
      <c r="U374" s="11">
        <f>G374*1000000/(0.9*(D374*1000)*J374^2)</f>
        <v>2.225558461</v>
      </c>
      <c r="V374" s="12">
        <f>(0.85*$B$2/$D$2)*(1-SQRT(1-2*U374/(0.85*$B$2)))</f>
        <v>0.00557299201</v>
      </c>
      <c r="W374" s="13">
        <f>V374*(D374*1000)*J374</f>
        <v>572.7085239</v>
      </c>
      <c r="X374" s="13">
        <f>MAX(W374,N374)</f>
        <v>572.7085239</v>
      </c>
      <c r="Y374" s="14">
        <f>ROUNDUP(X374/$J$2,0)</f>
        <v>3</v>
      </c>
      <c r="Z374" s="13">
        <f>Y374*$J$2</f>
        <v>597</v>
      </c>
      <c r="AA374" s="10">
        <f>0.9*Z374*$D$2*(J374-(Z374*$D$2/(0.85*$B$2*(D374*1000)))/2)/1000000</f>
        <v>73.33945883</v>
      </c>
      <c r="AB374" s="15" t="str">
        <f>IF(AA374&gt;=G374,"CUMPLE","REVISAR")</f>
        <v>CUMPLE</v>
      </c>
      <c r="AC374" s="10">
        <f>0.17*SQRT($B$2)*(D374*1000)*J374/1000</f>
        <v>92.44281538</v>
      </c>
      <c r="AD374" s="10">
        <f>MAX(H374/0.75-AC374,0)</f>
        <v>0</v>
      </c>
      <c r="AE374" s="14">
        <f>IF(AD374&gt;0,MIN($N$2*$D$2*J374/(AD374*1000),MIN(J374/4,6*$H$2,150)),MIN(J374/4,6*$H$2,150))</f>
        <v>85.6375</v>
      </c>
      <c r="AF374" s="10">
        <f>0.66*SQRT($B$2)*(D374*1000)*J374/1000</f>
        <v>358.8956362</v>
      </c>
      <c r="AG374" s="15" t="str">
        <f>IF(AD374&lt;=AF374,"CUMPLE","AUMENTAR SECCION")</f>
        <v>CUMPLE</v>
      </c>
      <c r="AH374" s="10">
        <f>0.75*0.083*SQRT($B$2)*(((D374*1000)*(E374*1000))^2/(2*((D374*1000)+(E374*1000))))/1000000</f>
        <v>3.388073536</v>
      </c>
      <c r="AI374" s="15" t="str">
        <f>IF(I374&gt;AH374,"SI","No")</f>
        <v>No</v>
      </c>
      <c r="AJ374" s="11">
        <f>IF(I374&gt;AH374,I374*1000000/(0.75*2*0.85*((D374*1000-2*$F$2)*(E374*1000-2*$F$2))*$D$2),0)</f>
        <v>0</v>
      </c>
      <c r="AK374" s="10">
        <f>1.25*Q374*$D$2*(J374-(1.25*Q374*$D$2/(0.85*$B$2*(D374*1000)))/2)/1000000</f>
        <v>159.8306178</v>
      </c>
      <c r="AL374" s="10">
        <f>1.25*Z374*$D$2*(J374-(1.25*Z374*$D$2/(0.85*$B$2*(D374*1000)))/2)/1000000</f>
        <v>100.4845159</v>
      </c>
      <c r="AM374" s="10">
        <f>(AK374+AL374)/B374</f>
        <v>67.61432045</v>
      </c>
      <c r="AN374" s="10">
        <f>MAX(H374,AM374)</f>
        <v>67.61432045</v>
      </c>
    </row>
    <row r="375">
      <c r="A375" s="5" t="inlineStr">
        <is>
          <t>F846</t>
        </is>
      </c>
      <c r="B375" s="6" t="n">
        <v>3.85</v>
      </c>
      <c r="C375" s="7" t="inlineStr">
        <is>
          <t>VC</t>
        </is>
      </c>
      <c r="D375" s="8">
        <f>IF(C375="VR",0.35,0.30)</f>
        <v>0.3</v>
      </c>
      <c r="E375" s="6" t="n">
        <v>0.4</v>
      </c>
      <c r="F375" s="9" t="n">
        <v>99.90000000000001</v>
      </c>
      <c r="G375" s="9" t="n">
        <v>70.5</v>
      </c>
      <c r="H375" s="9" t="n">
        <v>65.7</v>
      </c>
      <c r="I375" s="6" t="n">
        <v>0</v>
      </c>
      <c r="J375" s="10">
        <f>E375*1000-$F$2-$L$2-$H$2/2</f>
        <v>342.55</v>
      </c>
      <c r="K375" s="11">
        <f>F375*1000000/(0.9*(D375*1000)*J375^2)</f>
        <v>3.153216427</v>
      </c>
      <c r="L375" s="12">
        <f>(0.85*$B$2/$D$2)*(1-SQRT(1-2*K375/(0.85*$B$2)))</f>
        <v>0.008084332568</v>
      </c>
      <c r="M375" s="13">
        <f>L375*(D375*1000)*J375</f>
        <v>830.7864364</v>
      </c>
      <c r="N375" s="13">
        <f>MAX(0.25*SQRT($B$2)/$D$2,1.4/$D$2)*(D375*1000)*J375</f>
        <v>342.55</v>
      </c>
      <c r="O375" s="13">
        <f>MAX(M375,N375)</f>
        <v>830.7864364</v>
      </c>
      <c r="P375" s="14">
        <f>ROUNDUP(O375/$J$2,0)</f>
        <v>5</v>
      </c>
      <c r="Q375" s="13">
        <f>P375*$J$2</f>
        <v>995</v>
      </c>
      <c r="R375" s="10">
        <f>Q375*$D$2/(0.85*$B$2*(D375*1000))</f>
        <v>58.52941176</v>
      </c>
      <c r="S375" s="10">
        <f>0.9*Q375*$D$2*(J375-R375/2)/1000000</f>
        <v>117.829732</v>
      </c>
      <c r="T375" s="15" t="str">
        <f>IF(AND(S375&gt;=F375,O375&lt;=0.025*(D375*1000)*J375,O375&gt;=N375),"CUMPLE","REVISAR")</f>
        <v>CUMPLE</v>
      </c>
      <c r="U375" s="11">
        <f>G375*1000000/(0.9*(D375*1000)*J375^2)</f>
        <v>2.224927186</v>
      </c>
      <c r="V375" s="12">
        <f>(0.85*$B$2/$D$2)*(1-SQRT(1-2*U375/(0.85*$B$2)))</f>
        <v>0.005571325061</v>
      </c>
      <c r="W375" s="13">
        <f>V375*(D375*1000)*J375</f>
        <v>572.5372199</v>
      </c>
      <c r="X375" s="13">
        <f>MAX(W375,N375)</f>
        <v>572.5372199</v>
      </c>
      <c r="Y375" s="14">
        <f>ROUNDUP(X375/$J$2,0)</f>
        <v>3</v>
      </c>
      <c r="Z375" s="13">
        <f>Y375*$J$2</f>
        <v>597</v>
      </c>
      <c r="AA375" s="10">
        <f>0.9*Z375*$D$2*(J375-(Z375*$D$2/(0.85*$B$2*(D375*1000)))/2)/1000000</f>
        <v>73.33945883</v>
      </c>
      <c r="AB375" s="15" t="str">
        <f>IF(AA375&gt;=G375,"CUMPLE","REVISAR")</f>
        <v>CUMPLE</v>
      </c>
      <c r="AC375" s="10">
        <f>0.17*SQRT($B$2)*(D375*1000)*J375/1000</f>
        <v>92.44281538</v>
      </c>
      <c r="AD375" s="10">
        <f>MAX(H375/0.75-AC375,0)</f>
        <v>0</v>
      </c>
      <c r="AE375" s="14">
        <f>IF(AD375&gt;0,MIN($N$2*$D$2*J375/(AD375*1000),MIN(J375/4,6*$H$2,150)),MIN(J375/4,6*$H$2,150))</f>
        <v>85.6375</v>
      </c>
      <c r="AF375" s="10">
        <f>0.66*SQRT($B$2)*(D375*1000)*J375/1000</f>
        <v>358.8956362</v>
      </c>
      <c r="AG375" s="15" t="str">
        <f>IF(AD375&lt;=AF375,"CUMPLE","AUMENTAR SECCION")</f>
        <v>CUMPLE</v>
      </c>
      <c r="AH375" s="10">
        <f>0.75*0.083*SQRT($B$2)*(((D375*1000)*(E375*1000))^2/(2*((D375*1000)+(E375*1000))))/1000000</f>
        <v>3.388073536</v>
      </c>
      <c r="AI375" s="15" t="str">
        <f>IF(I375&gt;AH375,"SI","No")</f>
        <v>No</v>
      </c>
      <c r="AJ375" s="11">
        <f>IF(I375&gt;AH375,I375*1000000/(0.75*2*0.85*((D375*1000-2*$F$2)*(E375*1000-2*$F$2))*$D$2),0)</f>
        <v>0</v>
      </c>
      <c r="AK375" s="10">
        <f>1.25*Q375*$D$2*(J375-(1.25*Q375*$D$2/(0.85*$B$2*(D375*1000)))/2)/1000000</f>
        <v>159.8306178</v>
      </c>
      <c r="AL375" s="10">
        <f>1.25*Z375*$D$2*(J375-(1.25*Z375*$D$2/(0.85*$B$2*(D375*1000)))/2)/1000000</f>
        <v>100.4845159</v>
      </c>
      <c r="AM375" s="10">
        <f>(AK375+AL375)/B375</f>
        <v>67.61432045</v>
      </c>
      <c r="AN375" s="10">
        <f>MAX(H375,AM375)</f>
        <v>67.61432045</v>
      </c>
    </row>
    <row r="376">
      <c r="A376" s="5" t="inlineStr">
        <is>
          <t>F847</t>
        </is>
      </c>
      <c r="B376" s="6" t="n">
        <v>4</v>
      </c>
      <c r="C376" s="7" t="inlineStr">
        <is>
          <t>VC</t>
        </is>
      </c>
      <c r="D376" s="8">
        <f>IF(C376="VR",0.35,0.30)</f>
        <v>0.3</v>
      </c>
      <c r="E376" s="6" t="n">
        <v>0.4</v>
      </c>
      <c r="F376" s="9" t="n">
        <v>84.3</v>
      </c>
      <c r="G376" s="9" t="n">
        <v>66.90000000000001</v>
      </c>
      <c r="H376" s="9" t="n">
        <v>50.3</v>
      </c>
      <c r="I376" s="6" t="n">
        <v>0</v>
      </c>
      <c r="J376" s="10">
        <f>E376*1000-$F$2-$L$2-$H$2/2</f>
        <v>342.55</v>
      </c>
      <c r="K376" s="11">
        <f>F376*1000000/(0.9*(D376*1000)*J376^2)</f>
        <v>2.659875358</v>
      </c>
      <c r="L376" s="12">
        <f>(0.85*$B$2/$D$2)*(1-SQRT(1-2*K376/(0.85*$B$2)))</f>
        <v>0.006733041054</v>
      </c>
      <c r="M376" s="13">
        <f>L376*(D376*1000)*J376</f>
        <v>691.9209639</v>
      </c>
      <c r="N376" s="13">
        <f>MAX(0.25*SQRT($B$2)/$D$2,1.4/$D$2)*(D376*1000)*J376</f>
        <v>342.55</v>
      </c>
      <c r="O376" s="13">
        <f>MAX(M376,N376)</f>
        <v>691.9209639</v>
      </c>
      <c r="P376" s="14">
        <f>ROUNDUP(O376/$J$2,0)</f>
        <v>4</v>
      </c>
      <c r="Q376" s="13">
        <f>P376*$J$2</f>
        <v>796</v>
      </c>
      <c r="R376" s="10">
        <f>Q376*$D$2/(0.85*$B$2*(D376*1000))</f>
        <v>46.82352941</v>
      </c>
      <c r="S376" s="10">
        <f>0.9*Q376*$D$2*(J376-R376/2)/1000000</f>
        <v>96.02486534</v>
      </c>
      <c r="T376" s="15" t="str">
        <f>IF(AND(S376&gt;=F376,O376&lt;=0.025*(D376*1000)*J376,O376&gt;=N376),"CUMPLE","REVISAR")</f>
        <v>CUMPLE</v>
      </c>
      <c r="U376" s="11">
        <f>G376*1000000/(0.9*(D376*1000)*J376^2)</f>
        <v>2.110666491</v>
      </c>
      <c r="V376" s="12">
        <f>(0.85*$B$2/$D$2)*(1-SQRT(1-2*U376/(0.85*$B$2)))</f>
        <v>0.005270497695</v>
      </c>
      <c r="W376" s="13">
        <f>V376*(D376*1000)*J376</f>
        <v>541.6226956</v>
      </c>
      <c r="X376" s="13">
        <f>MAX(W376,N376)</f>
        <v>541.6226956</v>
      </c>
      <c r="Y376" s="14">
        <f>ROUNDUP(X376/$J$2,0)</f>
        <v>3</v>
      </c>
      <c r="Z376" s="13">
        <f>Y376*$J$2</f>
        <v>597</v>
      </c>
      <c r="AA376" s="10">
        <f>0.9*Z376*$D$2*(J376-(Z376*$D$2/(0.85*$B$2*(D376*1000)))/2)/1000000</f>
        <v>73.33945883</v>
      </c>
      <c r="AB376" s="15" t="str">
        <f>IF(AA376&gt;=G376,"CUMPLE","REVISAR")</f>
        <v>CUMPLE</v>
      </c>
      <c r="AC376" s="10">
        <f>0.17*SQRT($B$2)*(D376*1000)*J376/1000</f>
        <v>92.44281538</v>
      </c>
      <c r="AD376" s="10">
        <f>MAX(H376/0.75-AC376,0)</f>
        <v>0</v>
      </c>
      <c r="AE376" s="14">
        <f>IF(AD376&gt;0,MIN($N$2*$D$2*J376/(AD376*1000),MIN(J376/4,6*$H$2,150)),MIN(J376/4,6*$H$2,150))</f>
        <v>85.6375</v>
      </c>
      <c r="AF376" s="10">
        <f>0.66*SQRT($B$2)*(D376*1000)*J376/1000</f>
        <v>358.8956362</v>
      </c>
      <c r="AG376" s="15" t="str">
        <f>IF(AD376&lt;=AF376,"CUMPLE","AUMENTAR SECCION")</f>
        <v>CUMPLE</v>
      </c>
      <c r="AH376" s="10">
        <f>0.75*0.083*SQRT($B$2)*(((D376*1000)*(E376*1000))^2/(2*((D376*1000)+(E376*1000))))/1000000</f>
        <v>3.388073536</v>
      </c>
      <c r="AI376" s="15" t="str">
        <f>IF(I376&gt;AH376,"SI","No")</f>
        <v>No</v>
      </c>
      <c r="AJ376" s="11">
        <f>IF(I376&gt;AH376,I376*1000000/(0.75*2*0.85*((D376*1000-2*$F$2)*(E376*1000-2*$F$2))*$D$2),0)</f>
        <v>0</v>
      </c>
      <c r="AK376" s="10">
        <f>1.25*Q376*$D$2*(J376-(1.25*Q376*$D$2/(0.85*$B$2*(D376*1000)))/2)/1000000</f>
        <v>130.9219244</v>
      </c>
      <c r="AL376" s="10">
        <f>1.25*Z376*$D$2*(J376-(1.25*Z376*$D$2/(0.85*$B$2*(D376*1000)))/2)/1000000</f>
        <v>100.4845159</v>
      </c>
      <c r="AM376" s="10">
        <f>(AK376+AL376)/B376</f>
        <v>57.85161008</v>
      </c>
      <c r="AN376" s="10">
        <f>MAX(H376,AM376)</f>
        <v>57.85161008</v>
      </c>
    </row>
    <row r="377">
      <c r="A377" s="5" t="inlineStr">
        <is>
          <t>F848</t>
        </is>
      </c>
      <c r="B377" s="6" t="n">
        <v>3.81</v>
      </c>
      <c r="C377" s="7" t="inlineStr">
        <is>
          <t>VC</t>
        </is>
      </c>
      <c r="D377" s="8">
        <f>IF(C377="VR",0.35,0.30)</f>
        <v>0.3</v>
      </c>
      <c r="E377" s="6" t="n">
        <v>0.4</v>
      </c>
      <c r="F377" s="9" t="n">
        <v>98.09999999999999</v>
      </c>
      <c r="G377" s="9" t="n">
        <v>65.09999999999999</v>
      </c>
      <c r="H377" s="9" t="n">
        <v>65.3</v>
      </c>
      <c r="I377" s="6" t="n">
        <v>5.88</v>
      </c>
      <c r="J377" s="10">
        <f>E377*1000-$F$2-$L$2-$H$2/2</f>
        <v>342.55</v>
      </c>
      <c r="K377" s="11">
        <f>F377*1000000/(0.9*(D377*1000)*J377^2)</f>
        <v>3.095770442</v>
      </c>
      <c r="L377" s="12">
        <f>(0.85*$B$2/$D$2)*(1-SQRT(1-2*K377/(0.85*$B$2)))</f>
        <v>0.007925057297</v>
      </c>
      <c r="M377" s="13">
        <f>L377*(D377*1000)*J377</f>
        <v>814.4185131</v>
      </c>
      <c r="N377" s="13">
        <f>MAX(0.25*SQRT($B$2)/$D$2,1.4/$D$2)*(D377*1000)*J377</f>
        <v>342.55</v>
      </c>
      <c r="O377" s="13">
        <f>MAX(M377,N377)</f>
        <v>814.4185131</v>
      </c>
      <c r="P377" s="14">
        <f>ROUNDUP(O377/$J$2,0)</f>
        <v>5</v>
      </c>
      <c r="Q377" s="13">
        <f>P377*$J$2</f>
        <v>995</v>
      </c>
      <c r="R377" s="10">
        <f>Q377*$D$2/(0.85*$B$2*(D377*1000))</f>
        <v>58.52941176</v>
      </c>
      <c r="S377" s="10">
        <f>0.9*Q377*$D$2*(J377-R377/2)/1000000</f>
        <v>117.829732</v>
      </c>
      <c r="T377" s="15" t="str">
        <f>IF(AND(S377&gt;=F377,O377&lt;=0.025*(D377*1000)*J377,O377&gt;=N377),"CUMPLE","REVISAR")</f>
        <v>CUMPLE</v>
      </c>
      <c r="U377" s="11">
        <f>G377*1000000/(0.9*(D377*1000)*J377^2)</f>
        <v>2.05511433</v>
      </c>
      <c r="V377" s="12">
        <f>(0.85*$B$2/$D$2)*(1-SQRT(1-2*U377/(0.85*$B$2)))</f>
        <v>0.005124873424</v>
      </c>
      <c r="W377" s="13">
        <f>V377*(D377*1000)*J377</f>
        <v>526.6576174</v>
      </c>
      <c r="X377" s="13">
        <f>MAX(W377,N377)</f>
        <v>526.6576174</v>
      </c>
      <c r="Y377" s="14">
        <f>ROUNDUP(X377/$J$2,0)</f>
        <v>3</v>
      </c>
      <c r="Z377" s="13">
        <f>Y377*$J$2</f>
        <v>597</v>
      </c>
      <c r="AA377" s="10">
        <f>0.9*Z377*$D$2*(J377-(Z377*$D$2/(0.85*$B$2*(D377*1000)))/2)/1000000</f>
        <v>73.33945883</v>
      </c>
      <c r="AB377" s="15" t="str">
        <f>IF(AA377&gt;=G377,"CUMPLE","REVISAR")</f>
        <v>CUMPLE</v>
      </c>
      <c r="AC377" s="10">
        <f>0.17*SQRT($B$2)*(D377*1000)*J377/1000</f>
        <v>92.44281538</v>
      </c>
      <c r="AD377" s="10">
        <f>MAX(H377/0.75-AC377,0)</f>
        <v>0</v>
      </c>
      <c r="AE377" s="14">
        <f>IF(AD377&gt;0,MIN($N$2*$D$2*J377/(AD377*1000),MIN(J377/4,6*$H$2,150)),MIN(J377/4,6*$H$2,150))</f>
        <v>85.6375</v>
      </c>
      <c r="AF377" s="10">
        <f>0.66*SQRT($B$2)*(D377*1000)*J377/1000</f>
        <v>358.8956362</v>
      </c>
      <c r="AG377" s="15" t="str">
        <f>IF(AD377&lt;=AF377,"CUMPLE","AUMENTAR SECCION")</f>
        <v>CUMPLE</v>
      </c>
      <c r="AH377" s="10">
        <f>0.75*0.083*SQRT($B$2)*(((D377*1000)*(E377*1000))^2/(2*((D377*1000)+(E377*1000))))/1000000</f>
        <v>3.388073536</v>
      </c>
      <c r="AI377" s="15" t="str">
        <f>IF(I377&gt;AH377,"SI","No")</f>
        <v>SI</v>
      </c>
      <c r="AJ377" s="11">
        <f>IF(I377&gt;AH377,I377*1000000/(0.75*2*0.85*((D377*1000-2*$F$2)*(E377*1000-2*$F$2))*$D$2),0)</f>
        <v>0.156024531</v>
      </c>
      <c r="AK377" s="10">
        <f>1.25*Q377*$D$2*(J377-(1.25*Q377*$D$2/(0.85*$B$2*(D377*1000)))/2)/1000000</f>
        <v>159.8306178</v>
      </c>
      <c r="AL377" s="10">
        <f>1.25*Z377*$D$2*(J377-(1.25*Z377*$D$2/(0.85*$B$2*(D377*1000)))/2)/1000000</f>
        <v>100.4845159</v>
      </c>
      <c r="AM377" s="10">
        <f>(AK377+AL377)/B377</f>
        <v>68.23463532</v>
      </c>
      <c r="AN377" s="10">
        <f>MAX(H377,AM377)</f>
        <v>68.23463532</v>
      </c>
    </row>
    <row r="378">
      <c r="A378" s="5" t="inlineStr">
        <is>
          <t>F849</t>
        </is>
      </c>
      <c r="B378" s="6" t="n">
        <v>3.81</v>
      </c>
      <c r="C378" s="7" t="inlineStr">
        <is>
          <t>VC</t>
        </is>
      </c>
      <c r="D378" s="8">
        <f>IF(C378="VR",0.35,0.30)</f>
        <v>0.3</v>
      </c>
      <c r="E378" s="6" t="n">
        <v>0.4</v>
      </c>
      <c r="F378" s="9" t="n">
        <v>98.09999999999999</v>
      </c>
      <c r="G378" s="9" t="n">
        <v>65.09999999999999</v>
      </c>
      <c r="H378" s="9" t="n">
        <v>65.2</v>
      </c>
      <c r="I378" s="6" t="n">
        <v>5.88</v>
      </c>
      <c r="J378" s="10">
        <f>E378*1000-$F$2-$L$2-$H$2/2</f>
        <v>342.55</v>
      </c>
      <c r="K378" s="11">
        <f>F378*1000000/(0.9*(D378*1000)*J378^2)</f>
        <v>3.095139167</v>
      </c>
      <c r="L378" s="12">
        <f>(0.85*$B$2/$D$2)*(1-SQRT(1-2*K378/(0.85*$B$2)))</f>
        <v>0.00792330991</v>
      </c>
      <c r="M378" s="13">
        <f>L378*(D378*1000)*J378</f>
        <v>814.2389429</v>
      </c>
      <c r="N378" s="13">
        <f>MAX(0.25*SQRT($B$2)/$D$2,1.4/$D$2)*(D378*1000)*J378</f>
        <v>342.55</v>
      </c>
      <c r="O378" s="13">
        <f>MAX(M378,N378)</f>
        <v>814.2389429</v>
      </c>
      <c r="P378" s="14">
        <f>ROUNDUP(O378/$J$2,0)</f>
        <v>5</v>
      </c>
      <c r="Q378" s="13">
        <f>P378*$J$2</f>
        <v>995</v>
      </c>
      <c r="R378" s="10">
        <f>Q378*$D$2/(0.85*$B$2*(D378*1000))</f>
        <v>58.52941176</v>
      </c>
      <c r="S378" s="10">
        <f>0.9*Q378*$D$2*(J378-R378/2)/1000000</f>
        <v>117.829732</v>
      </c>
      <c r="T378" s="15" t="str">
        <f>IF(AND(S378&gt;=F378,O378&lt;=0.025*(D378*1000)*J378,O378&gt;=N378),"CUMPLE","REVISAR")</f>
        <v>CUMPLE</v>
      </c>
      <c r="U378" s="11">
        <f>G378*1000000/(0.9*(D378*1000)*J378^2)</f>
        <v>2.055429967</v>
      </c>
      <c r="V378" s="12">
        <f>(0.85*$B$2/$D$2)*(1-SQRT(1-2*U378/(0.85*$B$2)))</f>
        <v>0.005125699672</v>
      </c>
      <c r="W378" s="13">
        <f>V378*(D378*1000)*J378</f>
        <v>526.7425268</v>
      </c>
      <c r="X378" s="13">
        <f>MAX(W378,N378)</f>
        <v>526.7425268</v>
      </c>
      <c r="Y378" s="14">
        <f>ROUNDUP(X378/$J$2,0)</f>
        <v>3</v>
      </c>
      <c r="Z378" s="13">
        <f>Y378*$J$2</f>
        <v>597</v>
      </c>
      <c r="AA378" s="10">
        <f>0.9*Z378*$D$2*(J378-(Z378*$D$2/(0.85*$B$2*(D378*1000)))/2)/1000000</f>
        <v>73.33945883</v>
      </c>
      <c r="AB378" s="15" t="str">
        <f>IF(AA378&gt;=G378,"CUMPLE","REVISAR")</f>
        <v>CUMPLE</v>
      </c>
      <c r="AC378" s="10">
        <f>0.17*SQRT($B$2)*(D378*1000)*J378/1000</f>
        <v>92.44281538</v>
      </c>
      <c r="AD378" s="10">
        <f>MAX(H378/0.75-AC378,0)</f>
        <v>0</v>
      </c>
      <c r="AE378" s="14">
        <f>IF(AD378&gt;0,MIN($N$2*$D$2*J378/(AD378*1000),MIN(J378/4,6*$H$2,150)),MIN(J378/4,6*$H$2,150))</f>
        <v>85.6375</v>
      </c>
      <c r="AF378" s="10">
        <f>0.66*SQRT($B$2)*(D378*1000)*J378/1000</f>
        <v>358.8956362</v>
      </c>
      <c r="AG378" s="15" t="str">
        <f>IF(AD378&lt;=AF378,"CUMPLE","AUMENTAR SECCION")</f>
        <v>CUMPLE</v>
      </c>
      <c r="AH378" s="10">
        <f>0.75*0.083*SQRT($B$2)*(((D378*1000)*(E378*1000))^2/(2*((D378*1000)+(E378*1000))))/1000000</f>
        <v>3.388073536</v>
      </c>
      <c r="AI378" s="15" t="str">
        <f>IF(I378&gt;AH378,"SI","No")</f>
        <v>SI</v>
      </c>
      <c r="AJ378" s="11">
        <f>IF(I378&gt;AH378,I378*1000000/(0.75*2*0.85*((D378*1000-2*$F$2)*(E378*1000-2*$F$2))*$D$2),0)</f>
        <v>0.1560510568</v>
      </c>
      <c r="AK378" s="10">
        <f>1.25*Q378*$D$2*(J378-(1.25*Q378*$D$2/(0.85*$B$2*(D378*1000)))/2)/1000000</f>
        <v>159.8306178</v>
      </c>
      <c r="AL378" s="10">
        <f>1.25*Z378*$D$2*(J378-(1.25*Z378*$D$2/(0.85*$B$2*(D378*1000)))/2)/1000000</f>
        <v>100.4845159</v>
      </c>
      <c r="AM378" s="10">
        <f>(AK378+AL378)/B378</f>
        <v>68.23463532</v>
      </c>
      <c r="AN378" s="10">
        <f>MAX(H378,AM378)</f>
        <v>68.23463532</v>
      </c>
    </row>
    <row r="379">
      <c r="A379" s="5" t="inlineStr">
        <is>
          <t>F850</t>
        </is>
      </c>
      <c r="B379" s="6" t="n">
        <v>4</v>
      </c>
      <c r="C379" s="7" t="inlineStr">
        <is>
          <t>VC</t>
        </is>
      </c>
      <c r="D379" s="8">
        <f>IF(C379="VR",0.35,0.30)</f>
        <v>0.3</v>
      </c>
      <c r="E379" s="6" t="n">
        <v>0.4</v>
      </c>
      <c r="F379" s="9" t="n">
        <v>84.2</v>
      </c>
      <c r="G379" s="9" t="n">
        <v>66.90000000000001</v>
      </c>
      <c r="H379" s="9" t="n">
        <v>50.3</v>
      </c>
      <c r="I379" s="6" t="n">
        <v>0</v>
      </c>
      <c r="J379" s="10">
        <f>E379*1000-$F$2-$L$2-$H$2/2</f>
        <v>342.55</v>
      </c>
      <c r="K379" s="11">
        <f>F379*1000000/(0.9*(D379*1000)*J379^2)</f>
        <v>2.659244084</v>
      </c>
      <c r="L379" s="12">
        <f>(0.85*$B$2/$D$2)*(1-SQRT(1-2*K379/(0.85*$B$2)))</f>
        <v>0.006731335379</v>
      </c>
      <c r="M379" s="13">
        <f>L379*(D379*1000)*J379</f>
        <v>691.7456803</v>
      </c>
      <c r="N379" s="13">
        <f>MAX(0.25*SQRT($B$2)/$D$2,1.4/$D$2)*(D379*1000)*J379</f>
        <v>342.55</v>
      </c>
      <c r="O379" s="13">
        <f>MAX(M379,N379)</f>
        <v>691.7456803</v>
      </c>
      <c r="P379" s="14">
        <f>ROUNDUP(O379/$J$2,0)</f>
        <v>4</v>
      </c>
      <c r="Q379" s="13">
        <f>P379*$J$2</f>
        <v>796</v>
      </c>
      <c r="R379" s="10">
        <f>Q379*$D$2/(0.85*$B$2*(D379*1000))</f>
        <v>46.82352941</v>
      </c>
      <c r="S379" s="10">
        <f>0.9*Q379*$D$2*(J379-R379/2)/1000000</f>
        <v>96.02486534</v>
      </c>
      <c r="T379" s="15" t="str">
        <f>IF(AND(S379&gt;=F379,O379&lt;=0.025*(D379*1000)*J379,O379&gt;=N379),"CUMPLE","REVISAR")</f>
        <v>CUMPLE</v>
      </c>
      <c r="U379" s="11">
        <f>G379*1000000/(0.9*(D379*1000)*J379^2)</f>
        <v>2.110982128</v>
      </c>
      <c r="V379" s="12">
        <f>(0.85*$B$2/$D$2)*(1-SQRT(1-2*U379/(0.85*$B$2)))</f>
        <v>0.005271326285</v>
      </c>
      <c r="W379" s="13">
        <f>V379*(D379*1000)*J379</f>
        <v>541.7078456</v>
      </c>
      <c r="X379" s="13">
        <f>MAX(W379,N379)</f>
        <v>541.7078456</v>
      </c>
      <c r="Y379" s="14">
        <f>ROUNDUP(X379/$J$2,0)</f>
        <v>3</v>
      </c>
      <c r="Z379" s="13">
        <f>Y379*$J$2</f>
        <v>597</v>
      </c>
      <c r="AA379" s="10">
        <f>0.9*Z379*$D$2*(J379-(Z379*$D$2/(0.85*$B$2*(D379*1000)))/2)/1000000</f>
        <v>73.33945883</v>
      </c>
      <c r="AB379" s="15" t="str">
        <f>IF(AA379&gt;=G379,"CUMPLE","REVISAR")</f>
        <v>CUMPLE</v>
      </c>
      <c r="AC379" s="10">
        <f>0.17*SQRT($B$2)*(D379*1000)*J379/1000</f>
        <v>92.44281538</v>
      </c>
      <c r="AD379" s="10">
        <f>MAX(H379/0.75-AC379,0)</f>
        <v>0</v>
      </c>
      <c r="AE379" s="14">
        <f>IF(AD379&gt;0,MIN($N$2*$D$2*J379/(AD379*1000),MIN(J379/4,6*$H$2,150)),MIN(J379/4,6*$H$2,150))</f>
        <v>85.6375</v>
      </c>
      <c r="AF379" s="10">
        <f>0.66*SQRT($B$2)*(D379*1000)*J379/1000</f>
        <v>358.8956362</v>
      </c>
      <c r="AG379" s="15" t="str">
        <f>IF(AD379&lt;=AF379,"CUMPLE","AUMENTAR SECCION")</f>
        <v>CUMPLE</v>
      </c>
      <c r="AH379" s="10">
        <f>0.75*0.083*SQRT($B$2)*(((D379*1000)*(E379*1000))^2/(2*((D379*1000)+(E379*1000))))/1000000</f>
        <v>3.388073536</v>
      </c>
      <c r="AI379" s="15" t="str">
        <f>IF(I379&gt;AH379,"SI","No")</f>
        <v>No</v>
      </c>
      <c r="AJ379" s="11">
        <f>IF(I379&gt;AH379,I379*1000000/(0.75*2*0.85*((D379*1000-2*$F$2)*(E379*1000-2*$F$2))*$D$2),0)</f>
        <v>0</v>
      </c>
      <c r="AK379" s="10">
        <f>1.25*Q379*$D$2*(J379-(1.25*Q379*$D$2/(0.85*$B$2*(D379*1000)))/2)/1000000</f>
        <v>130.9219244</v>
      </c>
      <c r="AL379" s="10">
        <f>1.25*Z379*$D$2*(J379-(1.25*Z379*$D$2/(0.85*$B$2*(D379*1000)))/2)/1000000</f>
        <v>100.4845159</v>
      </c>
      <c r="AM379" s="10">
        <f>(AK379+AL379)/B379</f>
        <v>57.85161008</v>
      </c>
      <c r="AN379" s="10">
        <f>MAX(H379,AM379)</f>
        <v>57.85161008</v>
      </c>
    </row>
    <row r="380">
      <c r="A380" s="5" t="inlineStr">
        <is>
          <t>F851</t>
        </is>
      </c>
      <c r="B380" s="6" t="n">
        <v>4</v>
      </c>
      <c r="C380" s="7" t="inlineStr">
        <is>
          <t>VC</t>
        </is>
      </c>
      <c r="D380" s="8">
        <f>IF(C380="VR",0.35,0.30)</f>
        <v>0.3</v>
      </c>
      <c r="E380" s="6" t="n">
        <v>0.4</v>
      </c>
      <c r="F380" s="9" t="n">
        <v>73.2</v>
      </c>
      <c r="G380" s="9" t="n">
        <v>57.2</v>
      </c>
      <c r="H380" s="9" t="n">
        <v>44.9</v>
      </c>
      <c r="I380" s="6" t="n">
        <v>0</v>
      </c>
      <c r="J380" s="10">
        <f>E380*1000-$F$2-$L$2-$H$2/2</f>
        <v>342.55</v>
      </c>
      <c r="K380" s="11">
        <f>F380*1000000/(0.9*(D380*1000)*J380^2)</f>
        <v>2.310149252</v>
      </c>
      <c r="L380" s="12">
        <f>(0.85*$B$2/$D$2)*(1-SQRT(1-2*K380/(0.85*$B$2)))</f>
        <v>0.005796857315</v>
      </c>
      <c r="M380" s="13">
        <f>L380*(D380*1000)*J380</f>
        <v>595.714042</v>
      </c>
      <c r="N380" s="13">
        <f>MAX(0.25*SQRT($B$2)/$D$2,1.4/$D$2)*(D380*1000)*J380</f>
        <v>342.55</v>
      </c>
      <c r="O380" s="13">
        <f>MAX(M380,N380)</f>
        <v>595.714042</v>
      </c>
      <c r="P380" s="14">
        <f>ROUNDUP(O380/$J$2,0)</f>
        <v>3</v>
      </c>
      <c r="Q380" s="13">
        <f>P380*$J$2</f>
        <v>597</v>
      </c>
      <c r="R380" s="10">
        <f>Q380*$D$2/(0.85*$B$2*(D380*1000))</f>
        <v>35.11764706</v>
      </c>
      <c r="S380" s="10">
        <f>0.9*Q380*$D$2*(J380-R380/2)/1000000</f>
        <v>73.33945883</v>
      </c>
      <c r="T380" s="15" t="str">
        <f>IF(AND(S380&gt;=F380,O380&lt;=0.025*(D380*1000)*J380,O380&gt;=N380),"CUMPLE","REVISAR")</f>
        <v>CUMPLE</v>
      </c>
      <c r="U380" s="11">
        <f>G380*1000000/(0.9*(D380*1000)*J380^2)</f>
        <v>1.807023428</v>
      </c>
      <c r="V380" s="12">
        <f>(0.85*$B$2/$D$2)*(1-SQRT(1-2*U380/(0.85*$B$2)))</f>
        <v>0.004479488023</v>
      </c>
      <c r="W380" s="13">
        <f>V380*(D380*1000)*J380</f>
        <v>460.3345867</v>
      </c>
      <c r="X380" s="13">
        <f>MAX(W380,N380)</f>
        <v>460.3345867</v>
      </c>
      <c r="Y380" s="14">
        <f>ROUNDUP(X380/$J$2,0)</f>
        <v>3</v>
      </c>
      <c r="Z380" s="13">
        <f>Y380*$J$2</f>
        <v>597</v>
      </c>
      <c r="AA380" s="10">
        <f>0.9*Z380*$D$2*(J380-(Z380*$D$2/(0.85*$B$2*(D380*1000)))/2)/1000000</f>
        <v>73.33945883</v>
      </c>
      <c r="AB380" s="15" t="str">
        <f>IF(AA380&gt;=G380,"CUMPLE","REVISAR")</f>
        <v>CUMPLE</v>
      </c>
      <c r="AC380" s="10">
        <f>0.17*SQRT($B$2)*(D380*1000)*J380/1000</f>
        <v>92.44281538</v>
      </c>
      <c r="AD380" s="10">
        <f>MAX(H380/0.75-AC380,0)</f>
        <v>0</v>
      </c>
      <c r="AE380" s="14">
        <f>IF(AD380&gt;0,MIN($N$2*$D$2*J380/(AD380*1000),MIN(J380/4,6*$H$2,150)),MIN(J380/4,6*$H$2,150))</f>
        <v>85.6375</v>
      </c>
      <c r="AF380" s="10">
        <f>0.66*SQRT($B$2)*(D380*1000)*J380/1000</f>
        <v>358.8956362</v>
      </c>
      <c r="AG380" s="15" t="str">
        <f>IF(AD380&lt;=AF380,"CUMPLE","AUMENTAR SECCION")</f>
        <v>CUMPLE</v>
      </c>
      <c r="AH380" s="10">
        <f>0.75*0.083*SQRT($B$2)*(((D380*1000)*(E380*1000))^2/(2*((D380*1000)+(E380*1000))))/1000000</f>
        <v>3.388073536</v>
      </c>
      <c r="AI380" s="15" t="str">
        <f>IF(I380&gt;AH380,"SI","No")</f>
        <v>No</v>
      </c>
      <c r="AJ380" s="11">
        <f>IF(I380&gt;AH380,I380*1000000/(0.75*2*0.85*((D380*1000-2*$F$2)*(E380*1000-2*$F$2))*$D$2),0)</f>
        <v>0</v>
      </c>
      <c r="AK380" s="10">
        <f>1.25*Q380*$D$2*(J380-(1.25*Q380*$D$2/(0.85*$B$2*(D380*1000)))/2)/1000000</f>
        <v>100.4845159</v>
      </c>
      <c r="AL380" s="10">
        <f>1.25*Z380*$D$2*(J380-(1.25*Z380*$D$2/(0.85*$B$2*(D380*1000)))/2)/1000000</f>
        <v>100.4845159</v>
      </c>
      <c r="AM380" s="10">
        <f>(AK380+AL380)/B380</f>
        <v>50.24225796</v>
      </c>
      <c r="AN380" s="10">
        <f>MAX(H380,AM380)</f>
        <v>50.24225796</v>
      </c>
    </row>
    <row r="381">
      <c r="A381" s="5" t="inlineStr">
        <is>
          <t>F852</t>
        </is>
      </c>
      <c r="B381" s="6" t="n">
        <v>4</v>
      </c>
      <c r="C381" s="7" t="inlineStr">
        <is>
          <t>VC</t>
        </is>
      </c>
      <c r="D381" s="8">
        <f>IF(C381="VR",0.35,0.30)</f>
        <v>0.3</v>
      </c>
      <c r="E381" s="6" t="n">
        <v>0.4</v>
      </c>
      <c r="F381" s="9" t="n">
        <v>73.2</v>
      </c>
      <c r="G381" s="9" t="n">
        <v>57.2</v>
      </c>
      <c r="H381" s="9" t="n">
        <v>44.9</v>
      </c>
      <c r="I381" s="6" t="n">
        <v>0</v>
      </c>
      <c r="J381" s="10">
        <f>E381*1000-$F$2-$L$2-$H$2/2</f>
        <v>342.55</v>
      </c>
      <c r="K381" s="11">
        <f>F381*1000000/(0.9*(D381*1000)*J381^2)</f>
        <v>2.310149252</v>
      </c>
      <c r="L381" s="12">
        <f>(0.85*$B$2/$D$2)*(1-SQRT(1-2*K381/(0.85*$B$2)))</f>
        <v>0.005796857315</v>
      </c>
      <c r="M381" s="13">
        <f>L381*(D381*1000)*J381</f>
        <v>595.714042</v>
      </c>
      <c r="N381" s="13">
        <f>MAX(0.25*SQRT($B$2)/$D$2,1.4/$D$2)*(D381*1000)*J381</f>
        <v>342.55</v>
      </c>
      <c r="O381" s="13">
        <f>MAX(M381,N381)</f>
        <v>595.714042</v>
      </c>
      <c r="P381" s="14">
        <f>ROUNDUP(O381/$J$2,0)</f>
        <v>3</v>
      </c>
      <c r="Q381" s="13">
        <f>P381*$J$2</f>
        <v>597</v>
      </c>
      <c r="R381" s="10">
        <f>Q381*$D$2/(0.85*$B$2*(D381*1000))</f>
        <v>35.11764706</v>
      </c>
      <c r="S381" s="10">
        <f>0.9*Q381*$D$2*(J381-R381/2)/1000000</f>
        <v>73.33945883</v>
      </c>
      <c r="T381" s="15" t="str">
        <f>IF(AND(S381&gt;=F381,O381&lt;=0.025*(D381*1000)*J381,O381&gt;=N381),"CUMPLE","REVISAR")</f>
        <v>CUMPLE</v>
      </c>
      <c r="U381" s="11">
        <f>G381*1000000/(0.9*(D381*1000)*J381^2)</f>
        <v>1.80670779</v>
      </c>
      <c r="V381" s="12">
        <f>(0.85*$B$2/$D$2)*(1-SQRT(1-2*U381/(0.85*$B$2)))</f>
        <v>0.004478672006</v>
      </c>
      <c r="W381" s="13">
        <f>V381*(D381*1000)*J381</f>
        <v>460.2507287</v>
      </c>
      <c r="X381" s="13">
        <f>MAX(W381,N381)</f>
        <v>460.2507287</v>
      </c>
      <c r="Y381" s="14">
        <f>ROUNDUP(X381/$J$2,0)</f>
        <v>3</v>
      </c>
      <c r="Z381" s="13">
        <f>Y381*$J$2</f>
        <v>597</v>
      </c>
      <c r="AA381" s="10">
        <f>0.9*Z381*$D$2*(J381-(Z381*$D$2/(0.85*$B$2*(D381*1000)))/2)/1000000</f>
        <v>73.33945883</v>
      </c>
      <c r="AB381" s="15" t="str">
        <f>IF(AA381&gt;=G381,"CUMPLE","REVISAR")</f>
        <v>CUMPLE</v>
      </c>
      <c r="AC381" s="10">
        <f>0.17*SQRT($B$2)*(D381*1000)*J381/1000</f>
        <v>92.44281538</v>
      </c>
      <c r="AD381" s="10">
        <f>MAX(H381/0.75-AC381,0)</f>
        <v>0</v>
      </c>
      <c r="AE381" s="14">
        <f>IF(AD381&gt;0,MIN($N$2*$D$2*J381/(AD381*1000),MIN(J381/4,6*$H$2,150)),MIN(J381/4,6*$H$2,150))</f>
        <v>85.6375</v>
      </c>
      <c r="AF381" s="10">
        <f>0.66*SQRT($B$2)*(D381*1000)*J381/1000</f>
        <v>358.8956362</v>
      </c>
      <c r="AG381" s="15" t="str">
        <f>IF(AD381&lt;=AF381,"CUMPLE","AUMENTAR SECCION")</f>
        <v>CUMPLE</v>
      </c>
      <c r="AH381" s="10">
        <f>0.75*0.083*SQRT($B$2)*(((D381*1000)*(E381*1000))^2/(2*((D381*1000)+(E381*1000))))/1000000</f>
        <v>3.388073536</v>
      </c>
      <c r="AI381" s="15" t="str">
        <f>IF(I381&gt;AH381,"SI","No")</f>
        <v>No</v>
      </c>
      <c r="AJ381" s="11">
        <f>IF(I381&gt;AH381,I381*1000000/(0.75*2*0.85*((D381*1000-2*$F$2)*(E381*1000-2*$F$2))*$D$2),0)</f>
        <v>0</v>
      </c>
      <c r="AK381" s="10">
        <f>1.25*Q381*$D$2*(J381-(1.25*Q381*$D$2/(0.85*$B$2*(D381*1000)))/2)/1000000</f>
        <v>100.4845159</v>
      </c>
      <c r="AL381" s="10">
        <f>1.25*Z381*$D$2*(J381-(1.25*Z381*$D$2/(0.85*$B$2*(D381*1000)))/2)/1000000</f>
        <v>100.4845159</v>
      </c>
      <c r="AM381" s="10">
        <f>(AK381+AL381)/B381</f>
        <v>50.24225796</v>
      </c>
      <c r="AN381" s="10">
        <f>MAX(H381,AM381)</f>
        <v>50.24225796</v>
      </c>
    </row>
    <row r="382">
      <c r="A382" s="5" t="inlineStr">
        <is>
          <t>F853</t>
        </is>
      </c>
      <c r="B382" s="6" t="n">
        <v>2.6</v>
      </c>
      <c r="C382" s="7" t="inlineStr">
        <is>
          <t>VC</t>
        </is>
      </c>
      <c r="D382" s="8">
        <f>IF(C382="VR",0.35,0.30)</f>
        <v>0.3</v>
      </c>
      <c r="E382" s="6" t="n">
        <v>0.4</v>
      </c>
      <c r="F382" s="9" t="n">
        <v>28.9</v>
      </c>
      <c r="G382" s="9" t="n">
        <v>11</v>
      </c>
      <c r="H382" s="9" t="n">
        <v>56</v>
      </c>
      <c r="I382" s="6" t="n">
        <v>2.88</v>
      </c>
      <c r="J382" s="10">
        <f>E382*1000-$F$2-$L$2-$H$2/2</f>
        <v>342.55</v>
      </c>
      <c r="K382" s="11">
        <f>F382*1000000/(0.9*(D382*1000)*J382^2)</f>
        <v>0.9112448272</v>
      </c>
      <c r="L382" s="12">
        <f>(0.85*$B$2/$D$2)*(1-SQRT(1-2*K382/(0.85*$B$2)))</f>
        <v>0.002212836225</v>
      </c>
      <c r="M382" s="13">
        <f>L382*(D382*1000)*J382</f>
        <v>227.4021146</v>
      </c>
      <c r="N382" s="13">
        <f>MAX(0.25*SQRT($B$2)/$D$2,1.4/$D$2)*(D382*1000)*J382</f>
        <v>342.55</v>
      </c>
      <c r="O382" s="13">
        <f>MAX(M382,N382)</f>
        <v>342.55</v>
      </c>
      <c r="P382" s="14">
        <f>ROUNDUP(O382/$J$2,0)</f>
        <v>2</v>
      </c>
      <c r="Q382" s="13">
        <f>P382*$J$2</f>
        <v>398</v>
      </c>
      <c r="R382" s="10">
        <f>Q382*$D$2/(0.85*$B$2*(D382*1000))</f>
        <v>23.41176471</v>
      </c>
      <c r="S382" s="10">
        <f>0.9*Q382*$D$2*(J382-R382/2)/1000000</f>
        <v>49.77351244</v>
      </c>
      <c r="T382" s="15" t="str">
        <f>IF(AND(S382&gt;=F382,O382&lt;=0.025*(D382*1000)*J382,O382&gt;=N382),"CUMPLE","REVISAR")</f>
        <v>CUMPLE</v>
      </c>
      <c r="U382" s="11">
        <f>G382*1000000/(0.9*(D382*1000)*J382^2)</f>
        <v>0.3484635571</v>
      </c>
      <c r="V382" s="12">
        <f>(0.85*$B$2/$D$2)*(1-SQRT(1-2*U382/(0.85*$B$2)))</f>
        <v>0.0008358394976</v>
      </c>
      <c r="W382" s="13">
        <f>V382*(D382*1000)*J382</f>
        <v>85.89504597</v>
      </c>
      <c r="X382" s="13">
        <f>MAX(W382,N382)</f>
        <v>342.55</v>
      </c>
      <c r="Y382" s="14">
        <f>ROUNDUP(X382/$J$2,0)</f>
        <v>2</v>
      </c>
      <c r="Z382" s="13">
        <f>Y382*$J$2</f>
        <v>398</v>
      </c>
      <c r="AA382" s="10">
        <f>0.9*Z382*$D$2*(J382-(Z382*$D$2/(0.85*$B$2*(D382*1000)))/2)/1000000</f>
        <v>49.77351244</v>
      </c>
      <c r="AB382" s="15" t="str">
        <f>IF(AA382&gt;=G382,"CUMPLE","REVISAR")</f>
        <v>CUMPLE</v>
      </c>
      <c r="AC382" s="10">
        <f>0.17*SQRT($B$2)*(D382*1000)*J382/1000</f>
        <v>92.44281538</v>
      </c>
      <c r="AD382" s="10">
        <f>MAX(H382/0.75-AC382,0)</f>
        <v>0</v>
      </c>
      <c r="AE382" s="14">
        <f>IF(AD382&gt;0,MIN($N$2*$D$2*J382/(AD382*1000),MIN(J382/4,6*$H$2,150)),MIN(J382/4,6*$H$2,150))</f>
        <v>85.6375</v>
      </c>
      <c r="AF382" s="10">
        <f>0.66*SQRT($B$2)*(D382*1000)*J382/1000</f>
        <v>358.8956362</v>
      </c>
      <c r="AG382" s="15" t="str">
        <f>IF(AD382&lt;=AF382,"CUMPLE","AUMENTAR SECCION")</f>
        <v>CUMPLE</v>
      </c>
      <c r="AH382" s="10">
        <f>0.75*0.083*SQRT($B$2)*(((D382*1000)*(E382*1000))^2/(2*((D382*1000)+(E382*1000))))/1000000</f>
        <v>3.388073536</v>
      </c>
      <c r="AI382" s="15" t="str">
        <f>IF(I382&gt;AH382,"SI","No")</f>
        <v>No</v>
      </c>
      <c r="AJ382" s="11">
        <f>IF(I382&gt;AH382,I382*1000000/(0.75*2*0.85*((D382*1000-2*$F$2)*(E382*1000-2*$F$2))*$D$2),0)</f>
        <v>0</v>
      </c>
      <c r="AK382" s="10">
        <f>1.25*Q382*$D$2*(J382-(1.25*Q382*$D$2/(0.85*$B$2*(D382*1000)))/2)/1000000</f>
        <v>68.51839235</v>
      </c>
      <c r="AL382" s="10">
        <f>1.25*Z382*$D$2*(J382-(1.25*Z382*$D$2/(0.85*$B$2*(D382*1000)))/2)/1000000</f>
        <v>68.51839235</v>
      </c>
      <c r="AM382" s="10">
        <f>(AK382+AL382)/B382</f>
        <v>52.70645566</v>
      </c>
      <c r="AN382" s="10">
        <f>MAX(H382,AM382)</f>
        <v>55.97</v>
      </c>
    </row>
    <row r="383">
      <c r="A383" s="5" t="inlineStr">
        <is>
          <t>F854</t>
        </is>
      </c>
      <c r="B383" s="6" t="n">
        <v>3.65</v>
      </c>
      <c r="C383" s="7" t="inlineStr">
        <is>
          <t>VR</t>
        </is>
      </c>
      <c r="D383" s="8">
        <f>IF(C383="VR",0.35,0.30)</f>
        <v>0.35</v>
      </c>
      <c r="E383" s="6" t="n">
        <v>0.4</v>
      </c>
      <c r="F383" s="9" t="n">
        <v>45.6</v>
      </c>
      <c r="G383" s="9" t="n">
        <v>21.8</v>
      </c>
      <c r="H383" s="9" t="n">
        <v>72.7</v>
      </c>
      <c r="I383" s="6" t="n">
        <v>0.08</v>
      </c>
      <c r="J383" s="10">
        <f>E383*1000-$F$2-$L$2-$H$2/2</f>
        <v>342.55</v>
      </c>
      <c r="K383" s="11">
        <f>F383*1000000/(0.9*(D383*1000)*J383^2)</f>
        <v>1.233149762</v>
      </c>
      <c r="L383" s="12">
        <f>(0.85*$B$2/$D$2)*(1-SQRT(1-2*K383/(0.85*$B$2)))</f>
        <v>0.003016350605</v>
      </c>
      <c r="M383" s="13">
        <f>L383*(D383*1000)*J383</f>
        <v>361.6378149</v>
      </c>
      <c r="N383" s="13">
        <f>MAX(0.25*SQRT($B$2)/$D$2,1.4/$D$2)*(D383*1000)*J383</f>
        <v>399.6416667</v>
      </c>
      <c r="O383" s="13">
        <f>MAX(M383,N383)</f>
        <v>399.6416667</v>
      </c>
      <c r="P383" s="14">
        <f>ROUNDUP(O383/$J$2,0)</f>
        <v>3</v>
      </c>
      <c r="Q383" s="13">
        <f>P383*$J$2</f>
        <v>597</v>
      </c>
      <c r="R383" s="10">
        <f>Q383*$D$2/(0.85*$B$2*(D383*1000))</f>
        <v>30.10084034</v>
      </c>
      <c r="S383" s="10">
        <f>0.9*Q383*$D$2*(J383-R383/2)/1000000</f>
        <v>73.90552018</v>
      </c>
      <c r="T383" s="15" t="str">
        <f>IF(AND(S383&gt;=F383,O383&lt;=0.025*(D383*1000)*J383,O383&gt;=N383),"CUMPLE","REVISAR")</f>
        <v>CUMPLE</v>
      </c>
      <c r="U383" s="11">
        <f>G383*1000000/(0.9*(D383*1000)*J383^2)</f>
        <v>0.5884380719</v>
      </c>
      <c r="V383" s="12">
        <f>(0.85*$B$2/$D$2)*(1-SQRT(1-2*U383/(0.85*$B$2)))</f>
        <v>0.001418804857</v>
      </c>
      <c r="W383" s="13">
        <f>V383*(D383*1000)*J383</f>
        <v>170.1040613</v>
      </c>
      <c r="X383" s="13">
        <f>MAX(W383,N383)</f>
        <v>399.6416667</v>
      </c>
      <c r="Y383" s="14">
        <f>ROUNDUP(X383/$J$2,0)</f>
        <v>3</v>
      </c>
      <c r="Z383" s="13">
        <f>Y383*$J$2</f>
        <v>597</v>
      </c>
      <c r="AA383" s="10">
        <f>0.9*Z383*$D$2*(J383-(Z383*$D$2/(0.85*$B$2*(D383*1000)))/2)/1000000</f>
        <v>73.90552018</v>
      </c>
      <c r="AB383" s="15" t="str">
        <f>IF(AA383&gt;=G383,"CUMPLE","REVISAR")</f>
        <v>CUMPLE</v>
      </c>
      <c r="AC383" s="10">
        <f>0.17*SQRT($B$2)*(D383*1000)*J383/1000</f>
        <v>107.8499513</v>
      </c>
      <c r="AD383" s="10">
        <f>MAX(H383/0.75-AC383,0)</f>
        <v>0</v>
      </c>
      <c r="AE383" s="14">
        <f>IF(AD383&gt;0,MIN($N$2*$D$2*J383/(AD383*1000),MIN(J383/4,6*$H$2,150)),MIN(J383/4,6*$H$2,150))</f>
        <v>85.6375</v>
      </c>
      <c r="AF383" s="10">
        <f>0.66*SQRT($B$2)*(D383*1000)*J383/1000</f>
        <v>418.7115756</v>
      </c>
      <c r="AG383" s="15" t="str">
        <f>IF(AD383&lt;=AF383,"CUMPLE","AUMENTAR SECCION")</f>
        <v>CUMPLE</v>
      </c>
      <c r="AH383" s="10">
        <f>0.75*0.083*SQRT($B$2)*(((D383*1000)*(E383*1000))^2/(2*((D383*1000)+(E383*1000))))/1000000</f>
        <v>4.304108233</v>
      </c>
      <c r="AI383" s="15" t="str">
        <f>IF(I383&gt;AH383,"SI","No")</f>
        <v>No</v>
      </c>
      <c r="AJ383" s="11">
        <f>IF(I383&gt;AH383,I383*1000000/(0.75*2*0.85*((D383*1000-2*$F$2)*(E383*1000-2*$F$2))*$D$2),0)</f>
        <v>0</v>
      </c>
      <c r="AK383" s="10">
        <f>1.25*Q383*$D$2*(J383-(1.25*Q383*$D$2/(0.85*$B$2*(D383*1000)))/2)/1000000</f>
        <v>101.4672613</v>
      </c>
      <c r="AL383" s="10">
        <f>1.25*Z383*$D$2*(J383-(1.25*Z383*$D$2/(0.85*$B$2*(D383*1000)))/2)/1000000</f>
        <v>101.4672613</v>
      </c>
      <c r="AM383" s="10">
        <f>(AK383+AL383)/B383</f>
        <v>55.59849936</v>
      </c>
      <c r="AN383" s="10">
        <f>MAX(H383,AM383)</f>
        <v>72.66</v>
      </c>
    </row>
    <row r="384">
      <c r="A384" s="5" t="inlineStr">
        <is>
          <t>F855</t>
        </is>
      </c>
      <c r="B384" s="6" t="n">
        <v>2.6</v>
      </c>
      <c r="C384" s="7" t="inlineStr">
        <is>
          <t>VC</t>
        </is>
      </c>
      <c r="D384" s="8">
        <f>IF(C384="VR",0.35,0.30)</f>
        <v>0.3</v>
      </c>
      <c r="E384" s="6" t="n">
        <v>0.4</v>
      </c>
      <c r="F384" s="9" t="n">
        <v>27.6</v>
      </c>
      <c r="G384" s="9" t="n">
        <v>11</v>
      </c>
      <c r="H384" s="9" t="n">
        <v>55.2</v>
      </c>
      <c r="I384" s="6" t="n">
        <v>0.07000000000000001</v>
      </c>
      <c r="J384" s="10">
        <f>E384*1000-$F$2-$L$2-$H$2/2</f>
        <v>342.55</v>
      </c>
      <c r="K384" s="11">
        <f>F384*1000000/(0.9*(D384*1000)*J384^2)</f>
        <v>0.8702119808</v>
      </c>
      <c r="L384" s="12">
        <f>(0.85*$B$2/$D$2)*(1-SQRT(1-2*K384/(0.85*$B$2)))</f>
        <v>0.002111263587</v>
      </c>
      <c r="M384" s="13">
        <f>L384*(D384*1000)*J384</f>
        <v>216.9640025</v>
      </c>
      <c r="N384" s="13">
        <f>MAX(0.25*SQRT($B$2)/$D$2,1.4/$D$2)*(D384*1000)*J384</f>
        <v>342.55</v>
      </c>
      <c r="O384" s="13">
        <f>MAX(M384,N384)</f>
        <v>342.55</v>
      </c>
      <c r="P384" s="14">
        <f>ROUNDUP(O384/$J$2,0)</f>
        <v>2</v>
      </c>
      <c r="Q384" s="13">
        <f>P384*$J$2</f>
        <v>398</v>
      </c>
      <c r="R384" s="10">
        <f>Q384*$D$2/(0.85*$B$2*(D384*1000))</f>
        <v>23.41176471</v>
      </c>
      <c r="S384" s="10">
        <f>0.9*Q384*$D$2*(J384-R384/2)/1000000</f>
        <v>49.77351244</v>
      </c>
      <c r="T384" s="15" t="str">
        <f>IF(AND(S384&gt;=F384,O384&lt;=0.025*(D384*1000)*J384,O384&gt;=N384),"CUMPLE","REVISAR")</f>
        <v>CUMPLE</v>
      </c>
      <c r="U384" s="11">
        <f>G384*1000000/(0.9*(D384*1000)*J384^2)</f>
        <v>0.3484635571</v>
      </c>
      <c r="V384" s="12">
        <f>(0.85*$B$2/$D$2)*(1-SQRT(1-2*U384/(0.85*$B$2)))</f>
        <v>0.0008358394976</v>
      </c>
      <c r="W384" s="13">
        <f>V384*(D384*1000)*J384</f>
        <v>85.89504597</v>
      </c>
      <c r="X384" s="13">
        <f>MAX(W384,N384)</f>
        <v>342.55</v>
      </c>
      <c r="Y384" s="14">
        <f>ROUNDUP(X384/$J$2,0)</f>
        <v>2</v>
      </c>
      <c r="Z384" s="13">
        <f>Y384*$J$2</f>
        <v>398</v>
      </c>
      <c r="AA384" s="10">
        <f>0.9*Z384*$D$2*(J384-(Z384*$D$2/(0.85*$B$2*(D384*1000)))/2)/1000000</f>
        <v>49.77351244</v>
      </c>
      <c r="AB384" s="15" t="str">
        <f>IF(AA384&gt;=G384,"CUMPLE","REVISAR")</f>
        <v>CUMPLE</v>
      </c>
      <c r="AC384" s="10">
        <f>0.17*SQRT($B$2)*(D384*1000)*J384/1000</f>
        <v>92.44281538</v>
      </c>
      <c r="AD384" s="10">
        <f>MAX(H384/0.75-AC384,0)</f>
        <v>0</v>
      </c>
      <c r="AE384" s="14">
        <f>IF(AD384&gt;0,MIN($N$2*$D$2*J384/(AD384*1000),MIN(J384/4,6*$H$2,150)),MIN(J384/4,6*$H$2,150))</f>
        <v>85.6375</v>
      </c>
      <c r="AF384" s="10">
        <f>0.66*SQRT($B$2)*(D384*1000)*J384/1000</f>
        <v>358.8956362</v>
      </c>
      <c r="AG384" s="15" t="str">
        <f>IF(AD384&lt;=AF384,"CUMPLE","AUMENTAR SECCION")</f>
        <v>CUMPLE</v>
      </c>
      <c r="AH384" s="10">
        <f>0.75*0.083*SQRT($B$2)*(((D384*1000)*(E384*1000))^2/(2*((D384*1000)+(E384*1000))))/1000000</f>
        <v>3.388073536</v>
      </c>
      <c r="AI384" s="15" t="str">
        <f>IF(I384&gt;AH384,"SI","No")</f>
        <v>No</v>
      </c>
      <c r="AJ384" s="11">
        <f>IF(I384&gt;AH384,I384*1000000/(0.75*2*0.85*((D384*1000-2*$F$2)*(E384*1000-2*$F$2))*$D$2),0)</f>
        <v>0</v>
      </c>
      <c r="AK384" s="10">
        <f>1.25*Q384*$D$2*(J384-(1.25*Q384*$D$2/(0.85*$B$2*(D384*1000)))/2)/1000000</f>
        <v>68.51839235</v>
      </c>
      <c r="AL384" s="10">
        <f>1.25*Z384*$D$2*(J384-(1.25*Z384*$D$2/(0.85*$B$2*(D384*1000)))/2)/1000000</f>
        <v>68.51839235</v>
      </c>
      <c r="AM384" s="10">
        <f>(AK384+AL384)/B384</f>
        <v>52.70645566</v>
      </c>
      <c r="AN384" s="10">
        <f>MAX(H384,AM384)</f>
        <v>55.17</v>
      </c>
    </row>
    <row r="385">
      <c r="A385" s="5" t="inlineStr">
        <is>
          <t>F856</t>
        </is>
      </c>
      <c r="B385" s="6" t="n">
        <v>2.5</v>
      </c>
      <c r="C385" s="7" t="inlineStr">
        <is>
          <t>VC</t>
        </is>
      </c>
      <c r="D385" s="8">
        <f>IF(C385="VR",0.35,0.30)</f>
        <v>0.3</v>
      </c>
      <c r="E385" s="6" t="n">
        <v>0.4</v>
      </c>
      <c r="F385" s="9" t="n">
        <v>30.3</v>
      </c>
      <c r="G385" s="9" t="n">
        <v>10.9</v>
      </c>
      <c r="H385" s="9" t="n">
        <v>56.9</v>
      </c>
      <c r="I385" s="6" t="n">
        <v>0.2</v>
      </c>
      <c r="J385" s="10">
        <f>E385*1000-$F$2-$L$2-$H$2/2</f>
        <v>342.55</v>
      </c>
      <c r="K385" s="11">
        <f>F385*1000000/(0.9*(D385*1000)*J385^2)</f>
        <v>0.9554340464</v>
      </c>
      <c r="L385" s="12">
        <f>(0.85*$B$2/$D$2)*(1-SQRT(1-2*K385/(0.85*$B$2)))</f>
        <v>0.002322434454</v>
      </c>
      <c r="M385" s="13">
        <f>L385*(D385*1000)*J385</f>
        <v>238.6649767</v>
      </c>
      <c r="N385" s="13">
        <f>MAX(0.25*SQRT($B$2)/$D$2,1.4/$D$2)*(D385*1000)*J385</f>
        <v>342.55</v>
      </c>
      <c r="O385" s="13">
        <f>MAX(M385,N385)</f>
        <v>342.55</v>
      </c>
      <c r="P385" s="14">
        <f>ROUNDUP(O385/$J$2,0)</f>
        <v>2</v>
      </c>
      <c r="Q385" s="13">
        <f>P385*$J$2</f>
        <v>398</v>
      </c>
      <c r="R385" s="10">
        <f>Q385*$D$2/(0.85*$B$2*(D385*1000))</f>
        <v>23.41176471</v>
      </c>
      <c r="S385" s="10">
        <f>0.9*Q385*$D$2*(J385-R385/2)/1000000</f>
        <v>49.77351244</v>
      </c>
      <c r="T385" s="15" t="str">
        <f>IF(AND(S385&gt;=F385,O385&lt;=0.025*(D385*1000)*J385,O385&gt;=N385),"CUMPLE","REVISAR")</f>
        <v>CUMPLE</v>
      </c>
      <c r="U385" s="11">
        <f>G385*1000000/(0.9*(D385*1000)*J385^2)</f>
        <v>0.3456228215</v>
      </c>
      <c r="V385" s="12">
        <f>(0.85*$B$2/$D$2)*(1-SQRT(1-2*U385/(0.85*$B$2)))</f>
        <v>0.0008289750054</v>
      </c>
      <c r="W385" s="13">
        <f>V385*(D385*1000)*J385</f>
        <v>85.18961643</v>
      </c>
      <c r="X385" s="13">
        <f>MAX(W385,N385)</f>
        <v>342.55</v>
      </c>
      <c r="Y385" s="14">
        <f>ROUNDUP(X385/$J$2,0)</f>
        <v>2</v>
      </c>
      <c r="Z385" s="13">
        <f>Y385*$J$2</f>
        <v>398</v>
      </c>
      <c r="AA385" s="10">
        <f>0.9*Z385*$D$2*(J385-(Z385*$D$2/(0.85*$B$2*(D385*1000)))/2)/1000000</f>
        <v>49.77351244</v>
      </c>
      <c r="AB385" s="15" t="str">
        <f>IF(AA385&gt;=G385,"CUMPLE","REVISAR")</f>
        <v>CUMPLE</v>
      </c>
      <c r="AC385" s="10">
        <f>0.17*SQRT($B$2)*(D385*1000)*J385/1000</f>
        <v>92.44281538</v>
      </c>
      <c r="AD385" s="10">
        <f>MAX(H385/0.75-AC385,0)</f>
        <v>0</v>
      </c>
      <c r="AE385" s="14">
        <f>IF(AD385&gt;0,MIN($N$2*$D$2*J385/(AD385*1000),MIN(J385/4,6*$H$2,150)),MIN(J385/4,6*$H$2,150))</f>
        <v>85.6375</v>
      </c>
      <c r="AF385" s="10">
        <f>0.66*SQRT($B$2)*(D385*1000)*J385/1000</f>
        <v>358.8956362</v>
      </c>
      <c r="AG385" s="15" t="str">
        <f>IF(AD385&lt;=AF385,"CUMPLE","AUMENTAR SECCION")</f>
        <v>CUMPLE</v>
      </c>
      <c r="AH385" s="10">
        <f>0.75*0.083*SQRT($B$2)*(((D385*1000)*(E385*1000))^2/(2*((D385*1000)+(E385*1000))))/1000000</f>
        <v>3.388073536</v>
      </c>
      <c r="AI385" s="15" t="str">
        <f>IF(I385&gt;AH385,"SI","No")</f>
        <v>No</v>
      </c>
      <c r="AJ385" s="11">
        <f>IF(I385&gt;AH385,I385*1000000/(0.75*2*0.85*((D385*1000-2*$F$2)*(E385*1000-2*$F$2))*$D$2),0)</f>
        <v>0</v>
      </c>
      <c r="AK385" s="10">
        <f>1.25*Q385*$D$2*(J385-(1.25*Q385*$D$2/(0.85*$B$2*(D385*1000)))/2)/1000000</f>
        <v>68.51839235</v>
      </c>
      <c r="AL385" s="10">
        <f>1.25*Z385*$D$2*(J385-(1.25*Z385*$D$2/(0.85*$B$2*(D385*1000)))/2)/1000000</f>
        <v>68.51839235</v>
      </c>
      <c r="AM385" s="10">
        <f>(AK385+AL385)/B385</f>
        <v>54.81471388</v>
      </c>
      <c r="AN385" s="10">
        <f>MAX(H385,AM385)</f>
        <v>56.88</v>
      </c>
    </row>
    <row r="386">
      <c r="A386" s="5" t="inlineStr">
        <is>
          <t>F857</t>
        </is>
      </c>
      <c r="B386" s="6" t="n">
        <v>4</v>
      </c>
      <c r="C386" s="7" t="inlineStr">
        <is>
          <t>VC</t>
        </is>
      </c>
      <c r="D386" s="8">
        <f>IF(C386="VR",0.35,0.30)</f>
        <v>0.3</v>
      </c>
      <c r="E386" s="6" t="n">
        <v>0.4</v>
      </c>
      <c r="F386" s="9" t="n">
        <v>61</v>
      </c>
      <c r="G386" s="9" t="n">
        <v>26.1</v>
      </c>
      <c r="H386" s="9" t="n">
        <v>82.7</v>
      </c>
      <c r="I386" s="6" t="n">
        <v>1.68</v>
      </c>
      <c r="J386" s="10">
        <f>E386*1000-$F$2-$L$2-$H$2/2</f>
        <v>342.55</v>
      </c>
      <c r="K386" s="11">
        <f>F386*1000000/(0.9*(D386*1000)*J386^2)</f>
        <v>1.923809221</v>
      </c>
      <c r="L386" s="12">
        <f>(0.85*$B$2/$D$2)*(1-SQRT(1-2*K386/(0.85*$B$2)))</f>
        <v>0.004782295341</v>
      </c>
      <c r="M386" s="13">
        <f>L386*(D386*1000)*J386</f>
        <v>491.4525807</v>
      </c>
      <c r="N386" s="13">
        <f>MAX(0.25*SQRT($B$2)/$D$2,1.4/$D$2)*(D386*1000)*J386</f>
        <v>342.55</v>
      </c>
      <c r="O386" s="13">
        <f>MAX(M386,N386)</f>
        <v>491.4525807</v>
      </c>
      <c r="P386" s="14">
        <f>ROUNDUP(O386/$J$2,0)</f>
        <v>3</v>
      </c>
      <c r="Q386" s="13">
        <f>P386*$J$2</f>
        <v>597</v>
      </c>
      <c r="R386" s="10">
        <f>Q386*$D$2/(0.85*$B$2*(D386*1000))</f>
        <v>35.11764706</v>
      </c>
      <c r="S386" s="10">
        <f>0.9*Q386*$D$2*(J386-R386/2)/1000000</f>
        <v>73.33945883</v>
      </c>
      <c r="T386" s="15" t="str">
        <f>IF(AND(S386&gt;=F386,O386&lt;=0.025*(D386*1000)*J386,O386&gt;=N386),"CUMPLE","REVISAR")</f>
        <v>CUMPLE</v>
      </c>
      <c r="U386" s="11">
        <f>G386*1000000/(0.9*(D386*1000)*J386^2)</f>
        <v>0.8247602125</v>
      </c>
      <c r="V386" s="12">
        <f>(0.85*$B$2/$D$2)*(1-SQRT(1-2*U386/(0.85*$B$2)))</f>
        <v>0.00199897266</v>
      </c>
      <c r="W386" s="13">
        <f>V386*(D386*1000)*J386</f>
        <v>205.4244254</v>
      </c>
      <c r="X386" s="13">
        <f>MAX(W386,N386)</f>
        <v>342.55</v>
      </c>
      <c r="Y386" s="14">
        <f>ROUNDUP(X386/$J$2,0)</f>
        <v>2</v>
      </c>
      <c r="Z386" s="13">
        <f>Y386*$J$2</f>
        <v>398</v>
      </c>
      <c r="AA386" s="10">
        <f>0.9*Z386*$D$2*(J386-(Z386*$D$2/(0.85*$B$2*(D386*1000)))/2)/1000000</f>
        <v>49.77351244</v>
      </c>
      <c r="AB386" s="15" t="str">
        <f>IF(AA386&gt;=G386,"CUMPLE","REVISAR")</f>
        <v>CUMPLE</v>
      </c>
      <c r="AC386" s="10">
        <f>0.17*SQRT($B$2)*(D386*1000)*J386/1000</f>
        <v>92.44281538</v>
      </c>
      <c r="AD386" s="10">
        <f>MAX(H386/0.75-AC386,0)</f>
        <v>17.86385128</v>
      </c>
      <c r="AE386" s="14">
        <f>IF(AD386&gt;0,MIN($N$2*$D$2*J386/(AD386*1000),MIN(J386/4,6*$H$2,150)),MIN(J386/4,6*$H$2,150))</f>
        <v>85.6375</v>
      </c>
      <c r="AF386" s="10">
        <f>0.66*SQRT($B$2)*(D386*1000)*J386/1000</f>
        <v>358.8956362</v>
      </c>
      <c r="AG386" s="15" t="str">
        <f>IF(AD386&lt;=AF386,"CUMPLE","AUMENTAR SECCION")</f>
        <v>CUMPLE</v>
      </c>
      <c r="AH386" s="10">
        <f>0.75*0.083*SQRT($B$2)*(((D386*1000)*(E386*1000))^2/(2*((D386*1000)+(E386*1000))))/1000000</f>
        <v>3.388073536</v>
      </c>
      <c r="AI386" s="15" t="str">
        <f>IF(I386&gt;AH386,"SI","No")</f>
        <v>No</v>
      </c>
      <c r="AJ386" s="11">
        <f>IF(I386&gt;AH386,I386*1000000/(0.75*2*0.85*((D386*1000-2*$F$2)*(E386*1000-2*$F$2))*$D$2),0)</f>
        <v>0</v>
      </c>
      <c r="AK386" s="10">
        <f>1.25*Q386*$D$2*(J386-(1.25*Q386*$D$2/(0.85*$B$2*(D386*1000)))/2)/1000000</f>
        <v>100.4845159</v>
      </c>
      <c r="AL386" s="10">
        <f>1.25*Z386*$D$2*(J386-(1.25*Z386*$D$2/(0.85*$B$2*(D386*1000)))/2)/1000000</f>
        <v>68.51839235</v>
      </c>
      <c r="AM386" s="10">
        <f>(AK386+AL386)/B386</f>
        <v>42.25072707</v>
      </c>
      <c r="AN386" s="10">
        <f>MAX(H386,AM386)</f>
        <v>82.73</v>
      </c>
    </row>
    <row r="387">
      <c r="A387" s="5" t="inlineStr">
        <is>
          <t>F858</t>
        </is>
      </c>
      <c r="B387" s="6" t="n">
        <v>4</v>
      </c>
      <c r="C387" s="7" t="inlineStr">
        <is>
          <t>VC</t>
        </is>
      </c>
      <c r="D387" s="8">
        <f>IF(C387="VR",0.35,0.30)</f>
        <v>0.3</v>
      </c>
      <c r="E387" s="6" t="n">
        <v>0.4</v>
      </c>
      <c r="F387" s="9" t="n">
        <v>60.9</v>
      </c>
      <c r="G387" s="9" t="n">
        <v>26.1</v>
      </c>
      <c r="H387" s="9" t="n">
        <v>82.7</v>
      </c>
      <c r="I387" s="6" t="n">
        <v>1.7</v>
      </c>
      <c r="J387" s="10">
        <f>E387*1000-$F$2-$L$2-$H$2/2</f>
        <v>342.55</v>
      </c>
      <c r="K387" s="11">
        <f>F387*1000000/(0.9*(D387*1000)*J387^2)</f>
        <v>1.922231035</v>
      </c>
      <c r="L387" s="12">
        <f>(0.85*$B$2/$D$2)*(1-SQRT(1-2*K387/(0.85*$B$2)))</f>
        <v>0.004778191571</v>
      </c>
      <c r="M387" s="13">
        <f>L387*(D387*1000)*J387</f>
        <v>491.0308568</v>
      </c>
      <c r="N387" s="13">
        <f>MAX(0.25*SQRT($B$2)/$D$2,1.4/$D$2)*(D387*1000)*J387</f>
        <v>342.55</v>
      </c>
      <c r="O387" s="13">
        <f>MAX(M387,N387)</f>
        <v>491.0308568</v>
      </c>
      <c r="P387" s="14">
        <f>ROUNDUP(O387/$J$2,0)</f>
        <v>3</v>
      </c>
      <c r="Q387" s="13">
        <f>P387*$J$2</f>
        <v>597</v>
      </c>
      <c r="R387" s="10">
        <f>Q387*$D$2/(0.85*$B$2*(D387*1000))</f>
        <v>35.11764706</v>
      </c>
      <c r="S387" s="10">
        <f>0.9*Q387*$D$2*(J387-R387/2)/1000000</f>
        <v>73.33945883</v>
      </c>
      <c r="T387" s="15" t="str">
        <f>IF(AND(S387&gt;=F387,O387&lt;=0.025*(D387*1000)*J387,O387&gt;=N387),"CUMPLE","REVISAR")</f>
        <v>CUMPLE</v>
      </c>
      <c r="U387" s="11">
        <f>G387*1000000/(0.9*(D387*1000)*J387^2)</f>
        <v>0.8247602125</v>
      </c>
      <c r="V387" s="12">
        <f>(0.85*$B$2/$D$2)*(1-SQRT(1-2*U387/(0.85*$B$2)))</f>
        <v>0.00199897266</v>
      </c>
      <c r="W387" s="13">
        <f>V387*(D387*1000)*J387</f>
        <v>205.4244254</v>
      </c>
      <c r="X387" s="13">
        <f>MAX(W387,N387)</f>
        <v>342.55</v>
      </c>
      <c r="Y387" s="14">
        <f>ROUNDUP(X387/$J$2,0)</f>
        <v>2</v>
      </c>
      <c r="Z387" s="13">
        <f>Y387*$J$2</f>
        <v>398</v>
      </c>
      <c r="AA387" s="10">
        <f>0.9*Z387*$D$2*(J387-(Z387*$D$2/(0.85*$B$2*(D387*1000)))/2)/1000000</f>
        <v>49.77351244</v>
      </c>
      <c r="AB387" s="15" t="str">
        <f>IF(AA387&gt;=G387,"CUMPLE","REVISAR")</f>
        <v>CUMPLE</v>
      </c>
      <c r="AC387" s="10">
        <f>0.17*SQRT($B$2)*(D387*1000)*J387/1000</f>
        <v>92.44281538</v>
      </c>
      <c r="AD387" s="10">
        <f>MAX(H387/0.75-AC387,0)</f>
        <v>17.82385128</v>
      </c>
      <c r="AE387" s="14">
        <f>IF(AD387&gt;0,MIN($N$2*$D$2*J387/(AD387*1000),MIN(J387/4,6*$H$2,150)),MIN(J387/4,6*$H$2,150))</f>
        <v>85.6375</v>
      </c>
      <c r="AF387" s="10">
        <f>0.66*SQRT($B$2)*(D387*1000)*J387/1000</f>
        <v>358.8956362</v>
      </c>
      <c r="AG387" s="15" t="str">
        <f>IF(AD387&lt;=AF387,"CUMPLE","AUMENTAR SECCION")</f>
        <v>CUMPLE</v>
      </c>
      <c r="AH387" s="10">
        <f>0.75*0.083*SQRT($B$2)*(((D387*1000)*(E387*1000))^2/(2*((D387*1000)+(E387*1000))))/1000000</f>
        <v>3.388073536</v>
      </c>
      <c r="AI387" s="15" t="str">
        <f>IF(I387&gt;AH387,"SI","No")</f>
        <v>No</v>
      </c>
      <c r="AJ387" s="11">
        <f>IF(I387&gt;AH387,I387*1000000/(0.75*2*0.85*((D387*1000-2*$F$2)*(E387*1000-2*$F$2))*$D$2),0)</f>
        <v>0</v>
      </c>
      <c r="AK387" s="10">
        <f>1.25*Q387*$D$2*(J387-(1.25*Q387*$D$2/(0.85*$B$2*(D387*1000)))/2)/1000000</f>
        <v>100.4845159</v>
      </c>
      <c r="AL387" s="10">
        <f>1.25*Z387*$D$2*(J387-(1.25*Z387*$D$2/(0.85*$B$2*(D387*1000)))/2)/1000000</f>
        <v>68.51839235</v>
      </c>
      <c r="AM387" s="10">
        <f>(AK387+AL387)/B387</f>
        <v>42.25072707</v>
      </c>
      <c r="AN387" s="10">
        <f>MAX(H387,AM387)</f>
        <v>82.7</v>
      </c>
    </row>
    <row r="388">
      <c r="A388" s="5" t="inlineStr">
        <is>
          <t>F859</t>
        </is>
      </c>
      <c r="B388" s="6" t="n">
        <v>2.5</v>
      </c>
      <c r="C388" s="7" t="inlineStr">
        <is>
          <t>VC</t>
        </is>
      </c>
      <c r="D388" s="8">
        <f>IF(C388="VR",0.35,0.30)</f>
        <v>0.3</v>
      </c>
      <c r="E388" s="6" t="n">
        <v>0.4</v>
      </c>
      <c r="F388" s="9" t="n">
        <v>30.3</v>
      </c>
      <c r="G388" s="9" t="n">
        <v>10.9</v>
      </c>
      <c r="H388" s="9" t="n">
        <v>56.9</v>
      </c>
      <c r="I388" s="6" t="n">
        <v>0.2</v>
      </c>
      <c r="J388" s="10">
        <f>E388*1000-$F$2-$L$2-$H$2/2</f>
        <v>342.55</v>
      </c>
      <c r="K388" s="11">
        <f>F388*1000000/(0.9*(D388*1000)*J388^2)</f>
        <v>0.9554340464</v>
      </c>
      <c r="L388" s="12">
        <f>(0.85*$B$2/$D$2)*(1-SQRT(1-2*K388/(0.85*$B$2)))</f>
        <v>0.002322434454</v>
      </c>
      <c r="M388" s="13">
        <f>L388*(D388*1000)*J388</f>
        <v>238.6649767</v>
      </c>
      <c r="N388" s="13">
        <f>MAX(0.25*SQRT($B$2)/$D$2,1.4/$D$2)*(D388*1000)*J388</f>
        <v>342.55</v>
      </c>
      <c r="O388" s="13">
        <f>MAX(M388,N388)</f>
        <v>342.55</v>
      </c>
      <c r="P388" s="14">
        <f>ROUNDUP(O388/$J$2,0)</f>
        <v>2</v>
      </c>
      <c r="Q388" s="13">
        <f>P388*$J$2</f>
        <v>398</v>
      </c>
      <c r="R388" s="10">
        <f>Q388*$D$2/(0.85*$B$2*(D388*1000))</f>
        <v>23.41176471</v>
      </c>
      <c r="S388" s="10">
        <f>0.9*Q388*$D$2*(J388-R388/2)/1000000</f>
        <v>49.77351244</v>
      </c>
      <c r="T388" s="15" t="str">
        <f>IF(AND(S388&gt;=F388,O388&lt;=0.025*(D388*1000)*J388,O388&gt;=N388),"CUMPLE","REVISAR")</f>
        <v>CUMPLE</v>
      </c>
      <c r="U388" s="11">
        <f>G388*1000000/(0.9*(D388*1000)*J388^2)</f>
        <v>0.3456228215</v>
      </c>
      <c r="V388" s="12">
        <f>(0.85*$B$2/$D$2)*(1-SQRT(1-2*U388/(0.85*$B$2)))</f>
        <v>0.0008289750054</v>
      </c>
      <c r="W388" s="13">
        <f>V388*(D388*1000)*J388</f>
        <v>85.18961643</v>
      </c>
      <c r="X388" s="13">
        <f>MAX(W388,N388)</f>
        <v>342.55</v>
      </c>
      <c r="Y388" s="14">
        <f>ROUNDUP(X388/$J$2,0)</f>
        <v>2</v>
      </c>
      <c r="Z388" s="13">
        <f>Y388*$J$2</f>
        <v>398</v>
      </c>
      <c r="AA388" s="10">
        <f>0.9*Z388*$D$2*(J388-(Z388*$D$2/(0.85*$B$2*(D388*1000)))/2)/1000000</f>
        <v>49.77351244</v>
      </c>
      <c r="AB388" s="15" t="str">
        <f>IF(AA388&gt;=G388,"CUMPLE","REVISAR")</f>
        <v>CUMPLE</v>
      </c>
      <c r="AC388" s="10">
        <f>0.17*SQRT($B$2)*(D388*1000)*J388/1000</f>
        <v>92.44281538</v>
      </c>
      <c r="AD388" s="10">
        <f>MAX(H388/0.75-AC388,0)</f>
        <v>0</v>
      </c>
      <c r="AE388" s="14">
        <f>IF(AD388&gt;0,MIN($N$2*$D$2*J388/(AD388*1000),MIN(J388/4,6*$H$2,150)),MIN(J388/4,6*$H$2,150))</f>
        <v>85.6375</v>
      </c>
      <c r="AF388" s="10">
        <f>0.66*SQRT($B$2)*(D388*1000)*J388/1000</f>
        <v>358.8956362</v>
      </c>
      <c r="AG388" s="15" t="str">
        <f>IF(AD388&lt;=AF388,"CUMPLE","AUMENTAR SECCION")</f>
        <v>CUMPLE</v>
      </c>
      <c r="AH388" s="10">
        <f>0.75*0.083*SQRT($B$2)*(((D388*1000)*(E388*1000))^2/(2*((D388*1000)+(E388*1000))))/1000000</f>
        <v>3.388073536</v>
      </c>
      <c r="AI388" s="15" t="str">
        <f>IF(I388&gt;AH388,"SI","No")</f>
        <v>No</v>
      </c>
      <c r="AJ388" s="11">
        <f>IF(I388&gt;AH388,I388*1000000/(0.75*2*0.85*((D388*1000-2*$F$2)*(E388*1000-2*$F$2))*$D$2),0)</f>
        <v>0</v>
      </c>
      <c r="AK388" s="10">
        <f>1.25*Q388*$D$2*(J388-(1.25*Q388*$D$2/(0.85*$B$2*(D388*1000)))/2)/1000000</f>
        <v>68.51839235</v>
      </c>
      <c r="AL388" s="10">
        <f>1.25*Z388*$D$2*(J388-(1.25*Z388*$D$2/(0.85*$B$2*(D388*1000)))/2)/1000000</f>
        <v>68.51839235</v>
      </c>
      <c r="AM388" s="10">
        <f>(AK388+AL388)/B388</f>
        <v>54.81471388</v>
      </c>
      <c r="AN388" s="10">
        <f>MAX(H388,AM388)</f>
        <v>56.87</v>
      </c>
    </row>
    <row r="389">
      <c r="A389" s="5" t="inlineStr">
        <is>
          <t>F860</t>
        </is>
      </c>
      <c r="B389" s="6" t="n">
        <v>2.6</v>
      </c>
      <c r="C389" s="7" t="inlineStr">
        <is>
          <t>VC</t>
        </is>
      </c>
      <c r="D389" s="8">
        <f>IF(C389="VR",0.35,0.30)</f>
        <v>0.3</v>
      </c>
      <c r="E389" s="6" t="n">
        <v>0.4</v>
      </c>
      <c r="F389" s="9" t="n">
        <v>27.6</v>
      </c>
      <c r="G389" s="9" t="n">
        <v>11</v>
      </c>
      <c r="H389" s="9" t="n">
        <v>55.2</v>
      </c>
      <c r="I389" s="6" t="n">
        <v>0.07000000000000001</v>
      </c>
      <c r="J389" s="10">
        <f>E389*1000-$F$2-$L$2-$H$2/2</f>
        <v>342.55</v>
      </c>
      <c r="K389" s="11">
        <f>F389*1000000/(0.9*(D389*1000)*J389^2)</f>
        <v>0.8702119808</v>
      </c>
      <c r="L389" s="12">
        <f>(0.85*$B$2/$D$2)*(1-SQRT(1-2*K389/(0.85*$B$2)))</f>
        <v>0.002111263587</v>
      </c>
      <c r="M389" s="13">
        <f>L389*(D389*1000)*J389</f>
        <v>216.9640025</v>
      </c>
      <c r="N389" s="13">
        <f>MAX(0.25*SQRT($B$2)/$D$2,1.4/$D$2)*(D389*1000)*J389</f>
        <v>342.55</v>
      </c>
      <c r="O389" s="13">
        <f>MAX(M389,N389)</f>
        <v>342.55</v>
      </c>
      <c r="P389" s="14">
        <f>ROUNDUP(O389/$J$2,0)</f>
        <v>2</v>
      </c>
      <c r="Q389" s="13">
        <f>P389*$J$2</f>
        <v>398</v>
      </c>
      <c r="R389" s="10">
        <f>Q389*$D$2/(0.85*$B$2*(D389*1000))</f>
        <v>23.41176471</v>
      </c>
      <c r="S389" s="10">
        <f>0.9*Q389*$D$2*(J389-R389/2)/1000000</f>
        <v>49.77351244</v>
      </c>
      <c r="T389" s="15" t="str">
        <f>IF(AND(S389&gt;=F389,O389&lt;=0.025*(D389*1000)*J389,O389&gt;=N389),"CUMPLE","REVISAR")</f>
        <v>CUMPLE</v>
      </c>
      <c r="U389" s="11">
        <f>G389*1000000/(0.9*(D389*1000)*J389^2)</f>
        <v>0.3484635571</v>
      </c>
      <c r="V389" s="12">
        <f>(0.85*$B$2/$D$2)*(1-SQRT(1-2*U389/(0.85*$B$2)))</f>
        <v>0.0008358394976</v>
      </c>
      <c r="W389" s="13">
        <f>V389*(D389*1000)*J389</f>
        <v>85.89504597</v>
      </c>
      <c r="X389" s="13">
        <f>MAX(W389,N389)</f>
        <v>342.55</v>
      </c>
      <c r="Y389" s="14">
        <f>ROUNDUP(X389/$J$2,0)</f>
        <v>2</v>
      </c>
      <c r="Z389" s="13">
        <f>Y389*$J$2</f>
        <v>398</v>
      </c>
      <c r="AA389" s="10">
        <f>0.9*Z389*$D$2*(J389-(Z389*$D$2/(0.85*$B$2*(D389*1000)))/2)/1000000</f>
        <v>49.77351244</v>
      </c>
      <c r="AB389" s="15" t="str">
        <f>IF(AA389&gt;=G389,"CUMPLE","REVISAR")</f>
        <v>CUMPLE</v>
      </c>
      <c r="AC389" s="10">
        <f>0.17*SQRT($B$2)*(D389*1000)*J389/1000</f>
        <v>92.44281538</v>
      </c>
      <c r="AD389" s="10">
        <f>MAX(H389/0.75-AC389,0)</f>
        <v>0</v>
      </c>
      <c r="AE389" s="14">
        <f>IF(AD389&gt;0,MIN($N$2*$D$2*J389/(AD389*1000),MIN(J389/4,6*$H$2,150)),MIN(J389/4,6*$H$2,150))</f>
        <v>85.6375</v>
      </c>
      <c r="AF389" s="10">
        <f>0.66*SQRT($B$2)*(D389*1000)*J389/1000</f>
        <v>358.8956362</v>
      </c>
      <c r="AG389" s="15" t="str">
        <f>IF(AD389&lt;=AF389,"CUMPLE","AUMENTAR SECCION")</f>
        <v>CUMPLE</v>
      </c>
      <c r="AH389" s="10">
        <f>0.75*0.083*SQRT($B$2)*(((D389*1000)*(E389*1000))^2/(2*((D389*1000)+(E389*1000))))/1000000</f>
        <v>3.388073536</v>
      </c>
      <c r="AI389" s="15" t="str">
        <f>IF(I389&gt;AH389,"SI","No")</f>
        <v>No</v>
      </c>
      <c r="AJ389" s="11">
        <f>IF(I389&gt;AH389,I389*1000000/(0.75*2*0.85*((D389*1000-2*$F$2)*(E389*1000-2*$F$2))*$D$2),0)</f>
        <v>0</v>
      </c>
      <c r="AK389" s="10">
        <f>1.25*Q389*$D$2*(J389-(1.25*Q389*$D$2/(0.85*$B$2*(D389*1000)))/2)/1000000</f>
        <v>68.51839235</v>
      </c>
      <c r="AL389" s="10">
        <f>1.25*Z389*$D$2*(J389-(1.25*Z389*$D$2/(0.85*$B$2*(D389*1000)))/2)/1000000</f>
        <v>68.51839235</v>
      </c>
      <c r="AM389" s="10">
        <f>(AK389+AL389)/B389</f>
        <v>52.70645566</v>
      </c>
      <c r="AN389" s="10">
        <f>MAX(H389,AM389)</f>
        <v>55.17</v>
      </c>
    </row>
    <row r="390">
      <c r="A390" s="5" t="inlineStr">
        <is>
          <t>F861</t>
        </is>
      </c>
      <c r="B390" s="6" t="n">
        <v>3.65</v>
      </c>
      <c r="C390" s="7" t="inlineStr">
        <is>
          <t>VR</t>
        </is>
      </c>
      <c r="D390" s="8">
        <f>IF(C390="VR",0.35,0.30)</f>
        <v>0.35</v>
      </c>
      <c r="E390" s="6" t="n">
        <v>0.4</v>
      </c>
      <c r="F390" s="9" t="n">
        <v>45.6</v>
      </c>
      <c r="G390" s="9" t="n">
        <v>21.8</v>
      </c>
      <c r="H390" s="9" t="n">
        <v>72.7</v>
      </c>
      <c r="I390" s="6" t="n">
        <v>0.08</v>
      </c>
      <c r="J390" s="10">
        <f>E390*1000-$F$2-$L$2-$H$2/2</f>
        <v>342.55</v>
      </c>
      <c r="K390" s="11">
        <f>F390*1000000/(0.9*(D390*1000)*J390^2)</f>
        <v>1.233149762</v>
      </c>
      <c r="L390" s="12">
        <f>(0.85*$B$2/$D$2)*(1-SQRT(1-2*K390/(0.85*$B$2)))</f>
        <v>0.003016350605</v>
      </c>
      <c r="M390" s="13">
        <f>L390*(D390*1000)*J390</f>
        <v>361.6378149</v>
      </c>
      <c r="N390" s="13">
        <f>MAX(0.25*SQRT($B$2)/$D$2,1.4/$D$2)*(D390*1000)*J390</f>
        <v>399.6416667</v>
      </c>
      <c r="O390" s="13">
        <f>MAX(M390,N390)</f>
        <v>399.6416667</v>
      </c>
      <c r="P390" s="14">
        <f>ROUNDUP(O390/$J$2,0)</f>
        <v>3</v>
      </c>
      <c r="Q390" s="13">
        <f>P390*$J$2</f>
        <v>597</v>
      </c>
      <c r="R390" s="10">
        <f>Q390*$D$2/(0.85*$B$2*(D390*1000))</f>
        <v>30.10084034</v>
      </c>
      <c r="S390" s="10">
        <f>0.9*Q390*$D$2*(J390-R390/2)/1000000</f>
        <v>73.90552018</v>
      </c>
      <c r="T390" s="15" t="str">
        <f>IF(AND(S390&gt;=F390,O390&lt;=0.025*(D390*1000)*J390,O390&gt;=N390),"CUMPLE","REVISAR")</f>
        <v>CUMPLE</v>
      </c>
      <c r="U390" s="11">
        <f>G390*1000000/(0.9*(D390*1000)*J390^2)</f>
        <v>0.5884380719</v>
      </c>
      <c r="V390" s="12">
        <f>(0.85*$B$2/$D$2)*(1-SQRT(1-2*U390/(0.85*$B$2)))</f>
        <v>0.001418804857</v>
      </c>
      <c r="W390" s="13">
        <f>V390*(D390*1000)*J390</f>
        <v>170.1040613</v>
      </c>
      <c r="X390" s="13">
        <f>MAX(W390,N390)</f>
        <v>399.6416667</v>
      </c>
      <c r="Y390" s="14">
        <f>ROUNDUP(X390/$J$2,0)</f>
        <v>3</v>
      </c>
      <c r="Z390" s="13">
        <f>Y390*$J$2</f>
        <v>597</v>
      </c>
      <c r="AA390" s="10">
        <f>0.9*Z390*$D$2*(J390-(Z390*$D$2/(0.85*$B$2*(D390*1000)))/2)/1000000</f>
        <v>73.90552018</v>
      </c>
      <c r="AB390" s="15" t="str">
        <f>IF(AA390&gt;=G390,"CUMPLE","REVISAR")</f>
        <v>CUMPLE</v>
      </c>
      <c r="AC390" s="10">
        <f>0.17*SQRT($B$2)*(D390*1000)*J390/1000</f>
        <v>107.8499513</v>
      </c>
      <c r="AD390" s="10">
        <f>MAX(H390/0.75-AC390,0)</f>
        <v>0</v>
      </c>
      <c r="AE390" s="14">
        <f>IF(AD390&gt;0,MIN($N$2*$D$2*J390/(AD390*1000),MIN(J390/4,6*$H$2,150)),MIN(J390/4,6*$H$2,150))</f>
        <v>85.6375</v>
      </c>
      <c r="AF390" s="10">
        <f>0.66*SQRT($B$2)*(D390*1000)*J390/1000</f>
        <v>418.7115756</v>
      </c>
      <c r="AG390" s="15" t="str">
        <f>IF(AD390&lt;=AF390,"CUMPLE","AUMENTAR SECCION")</f>
        <v>CUMPLE</v>
      </c>
      <c r="AH390" s="10">
        <f>0.75*0.083*SQRT($B$2)*(((D390*1000)*(E390*1000))^2/(2*((D390*1000)+(E390*1000))))/1000000</f>
        <v>4.304108233</v>
      </c>
      <c r="AI390" s="15" t="str">
        <f>IF(I390&gt;AH390,"SI","No")</f>
        <v>No</v>
      </c>
      <c r="AJ390" s="11">
        <f>IF(I390&gt;AH390,I390*1000000/(0.75*2*0.85*((D390*1000-2*$F$2)*(E390*1000-2*$F$2))*$D$2),0)</f>
        <v>0</v>
      </c>
      <c r="AK390" s="10">
        <f>1.25*Q390*$D$2*(J390-(1.25*Q390*$D$2/(0.85*$B$2*(D390*1000)))/2)/1000000</f>
        <v>101.4672613</v>
      </c>
      <c r="AL390" s="10">
        <f>1.25*Z390*$D$2*(J390-(1.25*Z390*$D$2/(0.85*$B$2*(D390*1000)))/2)/1000000</f>
        <v>101.4672613</v>
      </c>
      <c r="AM390" s="10">
        <f>(AK390+AL390)/B390</f>
        <v>55.59849936</v>
      </c>
      <c r="AN390" s="10">
        <f>MAX(H390,AM390)</f>
        <v>72.66</v>
      </c>
    </row>
    <row r="391">
      <c r="A391" s="5" t="inlineStr">
        <is>
          <t>F862</t>
        </is>
      </c>
      <c r="B391" s="6" t="n">
        <v>2.6</v>
      </c>
      <c r="C391" s="7" t="inlineStr">
        <is>
          <t>VC</t>
        </is>
      </c>
      <c r="D391" s="8">
        <f>IF(C391="VR",0.35,0.30)</f>
        <v>0.3</v>
      </c>
      <c r="E391" s="6" t="n">
        <v>0.4</v>
      </c>
      <c r="F391" s="9" t="n">
        <v>28.9</v>
      </c>
      <c r="G391" s="9" t="n">
        <v>11</v>
      </c>
      <c r="H391" s="9" t="n">
        <v>56</v>
      </c>
      <c r="I391" s="6" t="n">
        <v>2.88</v>
      </c>
      <c r="J391" s="10">
        <f>E391*1000-$F$2-$L$2-$H$2/2</f>
        <v>342.55</v>
      </c>
      <c r="K391" s="11">
        <f>F391*1000000/(0.9*(D391*1000)*J391^2)</f>
        <v>0.9112448272</v>
      </c>
      <c r="L391" s="12">
        <f>(0.85*$B$2/$D$2)*(1-SQRT(1-2*K391/(0.85*$B$2)))</f>
        <v>0.002212836225</v>
      </c>
      <c r="M391" s="13">
        <f>L391*(D391*1000)*J391</f>
        <v>227.4021146</v>
      </c>
      <c r="N391" s="13">
        <f>MAX(0.25*SQRT($B$2)/$D$2,1.4/$D$2)*(D391*1000)*J391</f>
        <v>342.55</v>
      </c>
      <c r="O391" s="13">
        <f>MAX(M391,N391)</f>
        <v>342.55</v>
      </c>
      <c r="P391" s="14">
        <f>ROUNDUP(O391/$J$2,0)</f>
        <v>2</v>
      </c>
      <c r="Q391" s="13">
        <f>P391*$J$2</f>
        <v>398</v>
      </c>
      <c r="R391" s="10">
        <f>Q391*$D$2/(0.85*$B$2*(D391*1000))</f>
        <v>23.41176471</v>
      </c>
      <c r="S391" s="10">
        <f>0.9*Q391*$D$2*(J391-R391/2)/1000000</f>
        <v>49.77351244</v>
      </c>
      <c r="T391" s="15" t="str">
        <f>IF(AND(S391&gt;=F391,O391&lt;=0.025*(D391*1000)*J391,O391&gt;=N391),"CUMPLE","REVISAR")</f>
        <v>CUMPLE</v>
      </c>
      <c r="U391" s="11">
        <f>G391*1000000/(0.9*(D391*1000)*J391^2)</f>
        <v>0.3484635571</v>
      </c>
      <c r="V391" s="12">
        <f>(0.85*$B$2/$D$2)*(1-SQRT(1-2*U391/(0.85*$B$2)))</f>
        <v>0.0008358394976</v>
      </c>
      <c r="W391" s="13">
        <f>V391*(D391*1000)*J391</f>
        <v>85.89504597</v>
      </c>
      <c r="X391" s="13">
        <f>MAX(W391,N391)</f>
        <v>342.55</v>
      </c>
      <c r="Y391" s="14">
        <f>ROUNDUP(X391/$J$2,0)</f>
        <v>2</v>
      </c>
      <c r="Z391" s="13">
        <f>Y391*$J$2</f>
        <v>398</v>
      </c>
      <c r="AA391" s="10">
        <f>0.9*Z391*$D$2*(J391-(Z391*$D$2/(0.85*$B$2*(D391*1000)))/2)/1000000</f>
        <v>49.77351244</v>
      </c>
      <c r="AB391" s="15" t="str">
        <f>IF(AA391&gt;=G391,"CUMPLE","REVISAR")</f>
        <v>CUMPLE</v>
      </c>
      <c r="AC391" s="10">
        <f>0.17*SQRT($B$2)*(D391*1000)*J391/1000</f>
        <v>92.44281538</v>
      </c>
      <c r="AD391" s="10">
        <f>MAX(H391/0.75-AC391,0)</f>
        <v>0</v>
      </c>
      <c r="AE391" s="14">
        <f>IF(AD391&gt;0,MIN($N$2*$D$2*J391/(AD391*1000),MIN(J391/4,6*$H$2,150)),MIN(J391/4,6*$H$2,150))</f>
        <v>85.6375</v>
      </c>
      <c r="AF391" s="10">
        <f>0.66*SQRT($B$2)*(D391*1000)*J391/1000</f>
        <v>358.8956362</v>
      </c>
      <c r="AG391" s="15" t="str">
        <f>IF(AD391&lt;=AF391,"CUMPLE","AUMENTAR SECCION")</f>
        <v>CUMPLE</v>
      </c>
      <c r="AH391" s="10">
        <f>0.75*0.083*SQRT($B$2)*(((D391*1000)*(E391*1000))^2/(2*((D391*1000)+(E391*1000))))/1000000</f>
        <v>3.388073536</v>
      </c>
      <c r="AI391" s="15" t="str">
        <f>IF(I391&gt;AH391,"SI","No")</f>
        <v>No</v>
      </c>
      <c r="AJ391" s="11">
        <f>IF(I391&gt;AH391,I391*1000000/(0.75*2*0.85*((D391*1000-2*$F$2)*(E391*1000-2*$F$2))*$D$2),0)</f>
        <v>0</v>
      </c>
      <c r="AK391" s="10">
        <f>1.25*Q391*$D$2*(J391-(1.25*Q391*$D$2/(0.85*$B$2*(D391*1000)))/2)/1000000</f>
        <v>68.51839235</v>
      </c>
      <c r="AL391" s="10">
        <f>1.25*Z391*$D$2*(J391-(1.25*Z391*$D$2/(0.85*$B$2*(D391*1000)))/2)/1000000</f>
        <v>68.51839235</v>
      </c>
      <c r="AM391" s="10">
        <f>(AK391+AL391)/B391</f>
        <v>52.70645566</v>
      </c>
      <c r="AN391" s="10">
        <f>MAX(H391,AM391)</f>
        <v>55.97</v>
      </c>
    </row>
    <row r="392">
      <c r="A392" s="5" t="inlineStr">
        <is>
          <t>F863</t>
        </is>
      </c>
      <c r="B392" s="6" t="n">
        <v>2.6</v>
      </c>
      <c r="C392" s="7" t="inlineStr">
        <is>
          <t>VC</t>
        </is>
      </c>
      <c r="D392" s="8">
        <f>IF(C392="VR",0.35,0.30)</f>
        <v>0.3</v>
      </c>
      <c r="E392" s="6" t="n">
        <v>0.4</v>
      </c>
      <c r="F392" s="9" t="n">
        <v>28.6</v>
      </c>
      <c r="G392" s="9" t="n">
        <v>9.5</v>
      </c>
      <c r="H392" s="9" t="n">
        <v>47.6</v>
      </c>
      <c r="I392" s="6" t="n">
        <v>0.26</v>
      </c>
      <c r="J392" s="10">
        <f>E392*1000-$F$2-$L$2-$H$2/2</f>
        <v>342.55</v>
      </c>
      <c r="K392" s="11">
        <f>F392*1000000/(0.9*(D392*1000)*J392^2)</f>
        <v>0.9011444343</v>
      </c>
      <c r="L392" s="12">
        <f>(0.85*$B$2/$D$2)*(1-SQRT(1-2*K392/(0.85*$B$2)))</f>
        <v>0.002187816159</v>
      </c>
      <c r="M392" s="13">
        <f>L392*(D392*1000)*J392</f>
        <v>224.8309276</v>
      </c>
      <c r="N392" s="13">
        <f>MAX(0.25*SQRT($B$2)/$D$2,1.4/$D$2)*(D392*1000)*J392</f>
        <v>342.55</v>
      </c>
      <c r="O392" s="13">
        <f>MAX(M392,N392)</f>
        <v>342.55</v>
      </c>
      <c r="P392" s="14">
        <f>ROUNDUP(O392/$J$2,0)</f>
        <v>2</v>
      </c>
      <c r="Q392" s="13">
        <f>P392*$J$2</f>
        <v>398</v>
      </c>
      <c r="R392" s="10">
        <f>Q392*$D$2/(0.85*$B$2*(D392*1000))</f>
        <v>23.41176471</v>
      </c>
      <c r="S392" s="10">
        <f>0.9*Q392*$D$2*(J392-R392/2)/1000000</f>
        <v>49.77351244</v>
      </c>
      <c r="T392" s="15" t="str">
        <f>IF(AND(S392&gt;=F392,O392&lt;=0.025*(D392*1000)*J392,O392&gt;=N392),"CUMPLE","REVISAR")</f>
        <v>CUMPLE</v>
      </c>
      <c r="U392" s="11">
        <f>G392*1000000/(0.9*(D392*1000)*J392^2)</f>
        <v>0.3004866905</v>
      </c>
      <c r="V392" s="12">
        <f>(0.85*$B$2/$D$2)*(1-SQRT(1-2*U392/(0.85*$B$2)))</f>
        <v>0.0007200188585</v>
      </c>
      <c r="W392" s="13">
        <f>V392*(D392*1000)*J392</f>
        <v>73.99273799</v>
      </c>
      <c r="X392" s="13">
        <f>MAX(W392,N392)</f>
        <v>342.55</v>
      </c>
      <c r="Y392" s="14">
        <f>ROUNDUP(X392/$J$2,0)</f>
        <v>2</v>
      </c>
      <c r="Z392" s="13">
        <f>Y392*$J$2</f>
        <v>398</v>
      </c>
      <c r="AA392" s="10">
        <f>0.9*Z392*$D$2*(J392-(Z392*$D$2/(0.85*$B$2*(D392*1000)))/2)/1000000</f>
        <v>49.77351244</v>
      </c>
      <c r="AB392" s="15" t="str">
        <f>IF(AA392&gt;=G392,"CUMPLE","REVISAR")</f>
        <v>CUMPLE</v>
      </c>
      <c r="AC392" s="10">
        <f>0.17*SQRT($B$2)*(D392*1000)*J392/1000</f>
        <v>92.44281538</v>
      </c>
      <c r="AD392" s="10">
        <f>MAX(H392/0.75-AC392,0)</f>
        <v>0</v>
      </c>
      <c r="AE392" s="14">
        <f>IF(AD392&gt;0,MIN($N$2*$D$2*J392/(AD392*1000),MIN(J392/4,6*$H$2,150)),MIN(J392/4,6*$H$2,150))</f>
        <v>85.6375</v>
      </c>
      <c r="AF392" s="10">
        <f>0.66*SQRT($B$2)*(D392*1000)*J392/1000</f>
        <v>358.8956362</v>
      </c>
      <c r="AG392" s="15" t="str">
        <f>IF(AD392&lt;=AF392,"CUMPLE","AUMENTAR SECCION")</f>
        <v>CUMPLE</v>
      </c>
      <c r="AH392" s="10">
        <f>0.75*0.083*SQRT($B$2)*(((D392*1000)*(E392*1000))^2/(2*((D392*1000)+(E392*1000))))/1000000</f>
        <v>3.388073536</v>
      </c>
      <c r="AI392" s="15" t="str">
        <f>IF(I392&gt;AH392,"SI","No")</f>
        <v>No</v>
      </c>
      <c r="AJ392" s="11">
        <f>IF(I392&gt;AH392,I392*1000000/(0.75*2*0.85*((D392*1000-2*$F$2)*(E392*1000-2*$F$2))*$D$2),0)</f>
        <v>0</v>
      </c>
      <c r="AK392" s="10">
        <f>1.25*Q392*$D$2*(J392-(1.25*Q392*$D$2/(0.85*$B$2*(D392*1000)))/2)/1000000</f>
        <v>68.51839235</v>
      </c>
      <c r="AL392" s="10">
        <f>1.25*Z392*$D$2*(J392-(1.25*Z392*$D$2/(0.85*$B$2*(D392*1000)))/2)/1000000</f>
        <v>68.51839235</v>
      </c>
      <c r="AM392" s="10">
        <f>(AK392+AL392)/B392</f>
        <v>52.70645566</v>
      </c>
      <c r="AN392" s="10">
        <f>MAX(H392,AM392)</f>
        <v>52.70645566</v>
      </c>
    </row>
    <row r="393">
      <c r="A393" s="5" t="inlineStr">
        <is>
          <t>F864</t>
        </is>
      </c>
      <c r="B393" s="6" t="n">
        <v>3.65</v>
      </c>
      <c r="C393" s="7" t="inlineStr">
        <is>
          <t>VR</t>
        </is>
      </c>
      <c r="D393" s="8">
        <f>IF(C393="VR",0.35,0.30)</f>
        <v>0.35</v>
      </c>
      <c r="E393" s="6" t="n">
        <v>0.4</v>
      </c>
      <c r="F393" s="9" t="n">
        <v>35.9</v>
      </c>
      <c r="G393" s="9" t="n">
        <v>32.6</v>
      </c>
      <c r="H393" s="9" t="n">
        <v>103.8</v>
      </c>
      <c r="I393" s="6" t="n">
        <v>4.61</v>
      </c>
      <c r="J393" s="10">
        <f>E393*1000-$F$2-$L$2-$H$2/2</f>
        <v>342.55</v>
      </c>
      <c r="K393" s="11">
        <f>F393*1000000/(0.9*(D393*1000)*J393^2)</f>
        <v>0.9718020939</v>
      </c>
      <c r="L393" s="12">
        <f>(0.85*$B$2/$D$2)*(1-SQRT(1-2*K393/(0.85*$B$2)))</f>
        <v>0.002363086674</v>
      </c>
      <c r="M393" s="13">
        <f>L393*(D393*1000)*J393</f>
        <v>283.316369</v>
      </c>
      <c r="N393" s="13">
        <f>MAX(0.25*SQRT($B$2)/$D$2,1.4/$D$2)*(D393*1000)*J393</f>
        <v>399.6416667</v>
      </c>
      <c r="O393" s="13">
        <f>MAX(M393,N393)</f>
        <v>399.6416667</v>
      </c>
      <c r="P393" s="14">
        <f>ROUNDUP(O393/$J$2,0)</f>
        <v>3</v>
      </c>
      <c r="Q393" s="13">
        <f>P393*$J$2</f>
        <v>597</v>
      </c>
      <c r="R393" s="10">
        <f>Q393*$D$2/(0.85*$B$2*(D393*1000))</f>
        <v>30.10084034</v>
      </c>
      <c r="S393" s="10">
        <f>0.9*Q393*$D$2*(J393-R393/2)/1000000</f>
        <v>73.90552018</v>
      </c>
      <c r="T393" s="15" t="str">
        <f>IF(AND(S393&gt;=F393,O393&lt;=0.025*(D393*1000)*J393,O393&gt;=N393),"CUMPLE","REVISAR")</f>
        <v>CUMPLE</v>
      </c>
      <c r="U393" s="11">
        <f>G393*1000000/(0.9*(D393*1000)*J393^2)</f>
        <v>0.8822512885</v>
      </c>
      <c r="V393" s="12">
        <f>(0.85*$B$2/$D$2)*(1-SQRT(1-2*U393/(0.85*$B$2)))</f>
        <v>0.002141046055</v>
      </c>
      <c r="W393" s="13">
        <f>V393*(D393*1000)*J393</f>
        <v>256.6953641</v>
      </c>
      <c r="X393" s="13">
        <f>MAX(W393,N393)</f>
        <v>399.6416667</v>
      </c>
      <c r="Y393" s="14">
        <f>ROUNDUP(X393/$J$2,0)</f>
        <v>3</v>
      </c>
      <c r="Z393" s="13">
        <f>Y393*$J$2</f>
        <v>597</v>
      </c>
      <c r="AA393" s="10">
        <f>0.9*Z393*$D$2*(J393-(Z393*$D$2/(0.85*$B$2*(D393*1000)))/2)/1000000</f>
        <v>73.90552018</v>
      </c>
      <c r="AB393" s="15" t="str">
        <f>IF(AA393&gt;=G393,"CUMPLE","REVISAR")</f>
        <v>CUMPLE</v>
      </c>
      <c r="AC393" s="10">
        <f>0.17*SQRT($B$2)*(D393*1000)*J393/1000</f>
        <v>107.8499513</v>
      </c>
      <c r="AD393" s="10">
        <f>MAX(H393/0.75-AC393,0)</f>
        <v>30.52338205</v>
      </c>
      <c r="AE393" s="14">
        <f>IF(AD393&gt;0,MIN($N$2*$D$2*J393/(AD393*1000),MIN(J393/4,6*$H$2,150)),MIN(J393/4,6*$H$2,150))</f>
        <v>85.6375</v>
      </c>
      <c r="AF393" s="10">
        <f>0.66*SQRT($B$2)*(D393*1000)*J393/1000</f>
        <v>418.7115756</v>
      </c>
      <c r="AG393" s="15" t="str">
        <f>IF(AD393&lt;=AF393,"CUMPLE","AUMENTAR SECCION")</f>
        <v>CUMPLE</v>
      </c>
      <c r="AH393" s="10">
        <f>0.75*0.083*SQRT($B$2)*(((D393*1000)*(E393*1000))^2/(2*((D393*1000)+(E393*1000))))/1000000</f>
        <v>4.304108233</v>
      </c>
      <c r="AI393" s="15" t="str">
        <f>IF(I393&gt;AH393,"SI","No")</f>
        <v>SI</v>
      </c>
      <c r="AJ393" s="11">
        <f>IF(I393&gt;AH393,I393*1000000/(0.75*2*0.85*((D393*1000-2*$F$2)*(E393*1000-2*$F$2))*$D$2),0)</f>
        <v>0.0996170073</v>
      </c>
      <c r="AK393" s="10">
        <f>1.25*Q393*$D$2*(J393-(1.25*Q393*$D$2/(0.85*$B$2*(D393*1000)))/2)/1000000</f>
        <v>101.4672613</v>
      </c>
      <c r="AL393" s="10">
        <f>1.25*Z393*$D$2*(J393-(1.25*Z393*$D$2/(0.85*$B$2*(D393*1000)))/2)/1000000</f>
        <v>101.4672613</v>
      </c>
      <c r="AM393" s="10">
        <f>(AK393+AL393)/B393</f>
        <v>55.55283949</v>
      </c>
      <c r="AN393" s="10">
        <f>MAX(H393,AM393)</f>
        <v>103.78</v>
      </c>
    </row>
    <row r="394">
      <c r="A394" s="5" t="inlineStr">
        <is>
          <t>F865</t>
        </is>
      </c>
      <c r="B394" s="6" t="n">
        <v>2.6</v>
      </c>
      <c r="C394" s="7" t="inlineStr">
        <is>
          <t>VC</t>
        </is>
      </c>
      <c r="D394" s="8">
        <f>IF(C394="VR",0.35,0.30)</f>
        <v>0.3</v>
      </c>
      <c r="E394" s="6" t="n">
        <v>0.4</v>
      </c>
      <c r="F394" s="9" t="n">
        <v>22.7</v>
      </c>
      <c r="G394" s="9" t="n">
        <v>14.4</v>
      </c>
      <c r="H394" s="9" t="n">
        <v>47.7</v>
      </c>
      <c r="I394" s="6" t="n">
        <v>1.04</v>
      </c>
      <c r="J394" s="10">
        <f>E394*1000-$F$2-$L$2-$H$2/2</f>
        <v>342.55</v>
      </c>
      <c r="K394" s="11">
        <f>F394*1000000/(0.9*(D394*1000)*J394^2)</f>
        <v>0.7161809882</v>
      </c>
      <c r="L394" s="12">
        <f>(0.85*$B$2/$D$2)*(1-SQRT(1-2*K394/(0.85*$B$2)))</f>
        <v>0.001731651205</v>
      </c>
      <c r="M394" s="13">
        <f>L394*(D394*1000)*J394</f>
        <v>177.953136</v>
      </c>
      <c r="N394" s="13">
        <f>MAX(0.25*SQRT($B$2)/$D$2,1.4/$D$2)*(D394*1000)*J394</f>
        <v>342.55</v>
      </c>
      <c r="O394" s="13">
        <f>MAX(M394,N394)</f>
        <v>342.55</v>
      </c>
      <c r="P394" s="14">
        <f>ROUNDUP(O394/$J$2,0)</f>
        <v>2</v>
      </c>
      <c r="Q394" s="13">
        <f>P394*$J$2</f>
        <v>398</v>
      </c>
      <c r="R394" s="10">
        <f>Q394*$D$2/(0.85*$B$2*(D394*1000))</f>
        <v>23.41176471</v>
      </c>
      <c r="S394" s="10">
        <f>0.9*Q394*$D$2*(J394-R394/2)/1000000</f>
        <v>49.77351244</v>
      </c>
      <c r="T394" s="15" t="str">
        <f>IF(AND(S394&gt;=F394,O394&lt;=0.025*(D394*1000)*J394,O394&gt;=N394),"CUMPLE","REVISAR")</f>
        <v>CUMPLE</v>
      </c>
      <c r="U394" s="11">
        <f>G394*1000000/(0.9*(D394*1000)*J394^2)</f>
        <v>0.453255134</v>
      </c>
      <c r="V394" s="12">
        <f>(0.85*$B$2/$D$2)*(1-SQRT(1-2*U394/(0.85*$B$2)))</f>
        <v>0.0010896555</v>
      </c>
      <c r="W394" s="13">
        <f>V394*(D394*1000)*J394</f>
        <v>111.9784475</v>
      </c>
      <c r="X394" s="13">
        <f>MAX(W394,N394)</f>
        <v>342.55</v>
      </c>
      <c r="Y394" s="14">
        <f>ROUNDUP(X394/$J$2,0)</f>
        <v>2</v>
      </c>
      <c r="Z394" s="13">
        <f>Y394*$J$2</f>
        <v>398</v>
      </c>
      <c r="AA394" s="10">
        <f>0.9*Z394*$D$2*(J394-(Z394*$D$2/(0.85*$B$2*(D394*1000)))/2)/1000000</f>
        <v>49.77351244</v>
      </c>
      <c r="AB394" s="15" t="str">
        <f>IF(AA394&gt;=G394,"CUMPLE","REVISAR")</f>
        <v>CUMPLE</v>
      </c>
      <c r="AC394" s="10">
        <f>0.17*SQRT($B$2)*(D394*1000)*J394/1000</f>
        <v>92.44281538</v>
      </c>
      <c r="AD394" s="10">
        <f>MAX(H394/0.75-AC394,0)</f>
        <v>0</v>
      </c>
      <c r="AE394" s="14">
        <f>IF(AD394&gt;0,MIN($N$2*$D$2*J394/(AD394*1000),MIN(J394/4,6*$H$2,150)),MIN(J394/4,6*$H$2,150))</f>
        <v>85.6375</v>
      </c>
      <c r="AF394" s="10">
        <f>0.66*SQRT($B$2)*(D394*1000)*J394/1000</f>
        <v>358.8956362</v>
      </c>
      <c r="AG394" s="15" t="str">
        <f>IF(AD394&lt;=AF394,"CUMPLE","AUMENTAR SECCION")</f>
        <v>CUMPLE</v>
      </c>
      <c r="AH394" s="10">
        <f>0.75*0.083*SQRT($B$2)*(((D394*1000)*(E394*1000))^2/(2*((D394*1000)+(E394*1000))))/1000000</f>
        <v>3.388073536</v>
      </c>
      <c r="AI394" s="15" t="str">
        <f>IF(I394&gt;AH394,"SI","No")</f>
        <v>No</v>
      </c>
      <c r="AJ394" s="11">
        <f>IF(I394&gt;AH394,I394*1000000/(0.75*2*0.85*((D394*1000-2*$F$2)*(E394*1000-2*$F$2))*$D$2),0)</f>
        <v>0</v>
      </c>
      <c r="AK394" s="10">
        <f>1.25*Q394*$D$2*(J394-(1.25*Q394*$D$2/(0.85*$B$2*(D394*1000)))/2)/1000000</f>
        <v>68.51839235</v>
      </c>
      <c r="AL394" s="10">
        <f>1.25*Z394*$D$2*(J394-(1.25*Z394*$D$2/(0.85*$B$2*(D394*1000)))/2)/1000000</f>
        <v>68.51839235</v>
      </c>
      <c r="AM394" s="10">
        <f>(AK394+AL394)/B394</f>
        <v>52.70645566</v>
      </c>
      <c r="AN394" s="10">
        <f>MAX(H394,AM394)</f>
        <v>52.70645566</v>
      </c>
    </row>
    <row r="395">
      <c r="A395" s="5" t="inlineStr">
        <is>
          <t>F866</t>
        </is>
      </c>
      <c r="B395" s="6" t="n">
        <v>2.5</v>
      </c>
      <c r="C395" s="7" t="inlineStr">
        <is>
          <t>VC</t>
        </is>
      </c>
      <c r="D395" s="8">
        <f>IF(C395="VR",0.35,0.30)</f>
        <v>0.3</v>
      </c>
      <c r="E395" s="6" t="n">
        <v>0.4</v>
      </c>
      <c r="F395" s="9" t="n">
        <v>32.4</v>
      </c>
      <c r="G395" s="9" t="n">
        <v>10.3</v>
      </c>
      <c r="H395" s="9" t="n">
        <v>51.7</v>
      </c>
      <c r="I395" s="6" t="n">
        <v>0.35</v>
      </c>
      <c r="J395" s="10">
        <f>E395*1000-$F$2-$L$2-$H$2/2</f>
        <v>342.55</v>
      </c>
      <c r="K395" s="11">
        <f>F395*1000000/(0.9*(D395*1000)*J395^2)</f>
        <v>1.02234915</v>
      </c>
      <c r="L395" s="12">
        <f>(0.85*$B$2/$D$2)*(1-SQRT(1-2*K395/(0.85*$B$2)))</f>
        <v>0.002488819549</v>
      </c>
      <c r="M395" s="13">
        <f>L395*(D395*1000)*J395</f>
        <v>255.7635409</v>
      </c>
      <c r="N395" s="13">
        <f>MAX(0.25*SQRT($B$2)/$D$2,1.4/$D$2)*(D395*1000)*J395</f>
        <v>342.55</v>
      </c>
      <c r="O395" s="13">
        <f>MAX(M395,N395)</f>
        <v>342.55</v>
      </c>
      <c r="P395" s="14">
        <f>ROUNDUP(O395/$J$2,0)</f>
        <v>2</v>
      </c>
      <c r="Q395" s="13">
        <f>P395*$J$2</f>
        <v>398</v>
      </c>
      <c r="R395" s="10">
        <f>Q395*$D$2/(0.85*$B$2*(D395*1000))</f>
        <v>23.41176471</v>
      </c>
      <c r="S395" s="10">
        <f>0.9*Q395*$D$2*(J395-R395/2)/1000000</f>
        <v>49.77351244</v>
      </c>
      <c r="T395" s="15" t="str">
        <f>IF(AND(S395&gt;=F395,O395&lt;=0.025*(D395*1000)*J395,O395&gt;=N395),"CUMPLE","REVISAR")</f>
        <v>CUMPLE</v>
      </c>
      <c r="U395" s="11">
        <f>G395*1000000/(0.9*(D395*1000)*J395^2)</f>
        <v>0.3266845847</v>
      </c>
      <c r="V395" s="12">
        <f>(0.85*$B$2/$D$2)*(1-SQRT(1-2*U395/(0.85*$B$2)))</f>
        <v>0.0007832332725</v>
      </c>
      <c r="W395" s="13">
        <f>V395*(D395*1000)*J395</f>
        <v>80.48896724</v>
      </c>
      <c r="X395" s="13">
        <f>MAX(W395,N395)</f>
        <v>342.55</v>
      </c>
      <c r="Y395" s="14">
        <f>ROUNDUP(X395/$J$2,0)</f>
        <v>2</v>
      </c>
      <c r="Z395" s="13">
        <f>Y395*$J$2</f>
        <v>398</v>
      </c>
      <c r="AA395" s="10">
        <f>0.9*Z395*$D$2*(J395-(Z395*$D$2/(0.85*$B$2*(D395*1000)))/2)/1000000</f>
        <v>49.77351244</v>
      </c>
      <c r="AB395" s="15" t="str">
        <f>IF(AA395&gt;=G395,"CUMPLE","REVISAR")</f>
        <v>CUMPLE</v>
      </c>
      <c r="AC395" s="10">
        <f>0.17*SQRT($B$2)*(D395*1000)*J395/1000</f>
        <v>92.44281538</v>
      </c>
      <c r="AD395" s="10">
        <f>MAX(H395/0.75-AC395,0)</f>
        <v>0</v>
      </c>
      <c r="AE395" s="14">
        <f>IF(AD395&gt;0,MIN($N$2*$D$2*J395/(AD395*1000),MIN(J395/4,6*$H$2,150)),MIN(J395/4,6*$H$2,150))</f>
        <v>85.6375</v>
      </c>
      <c r="AF395" s="10">
        <f>0.66*SQRT($B$2)*(D395*1000)*J395/1000</f>
        <v>358.8956362</v>
      </c>
      <c r="AG395" s="15" t="str">
        <f>IF(AD395&lt;=AF395,"CUMPLE","AUMENTAR SECCION")</f>
        <v>CUMPLE</v>
      </c>
      <c r="AH395" s="10">
        <f>0.75*0.083*SQRT($B$2)*(((D395*1000)*(E395*1000))^2/(2*((D395*1000)+(E395*1000))))/1000000</f>
        <v>3.388073536</v>
      </c>
      <c r="AI395" s="15" t="str">
        <f>IF(I395&gt;AH395,"SI","No")</f>
        <v>No</v>
      </c>
      <c r="AJ395" s="11">
        <f>IF(I395&gt;AH395,I395*1000000/(0.75*2*0.85*((D395*1000-2*$F$2)*(E395*1000-2*$F$2))*$D$2),0)</f>
        <v>0</v>
      </c>
      <c r="AK395" s="10">
        <f>1.25*Q395*$D$2*(J395-(1.25*Q395*$D$2/(0.85*$B$2*(D395*1000)))/2)/1000000</f>
        <v>68.51839235</v>
      </c>
      <c r="AL395" s="10">
        <f>1.25*Z395*$D$2*(J395-(1.25*Z395*$D$2/(0.85*$B$2*(D395*1000)))/2)/1000000</f>
        <v>68.51839235</v>
      </c>
      <c r="AM395" s="10">
        <f>(AK395+AL395)/B395</f>
        <v>54.81471388</v>
      </c>
      <c r="AN395" s="10">
        <f>MAX(H395,AM395)</f>
        <v>54.81471388</v>
      </c>
    </row>
    <row r="396">
      <c r="A396" s="5" t="inlineStr">
        <is>
          <t>F867</t>
        </is>
      </c>
      <c r="B396" s="6" t="n">
        <v>4.18</v>
      </c>
      <c r="C396" s="7" t="inlineStr">
        <is>
          <t>VR</t>
        </is>
      </c>
      <c r="D396" s="8">
        <f>IF(C396="VR",0.35,0.30)</f>
        <v>0.35</v>
      </c>
      <c r="E396" s="6" t="n">
        <v>0.4</v>
      </c>
      <c r="F396" s="9" t="n">
        <v>63.4</v>
      </c>
      <c r="G396" s="9" t="n">
        <v>23.1</v>
      </c>
      <c r="H396" s="9" t="n">
        <v>71.59999999999999</v>
      </c>
      <c r="I396" s="6" t="n">
        <v>0.35</v>
      </c>
      <c r="J396" s="10">
        <f>E396*1000-$F$2-$L$2-$H$2/2</f>
        <v>342.55</v>
      </c>
      <c r="K396" s="11">
        <f>F396*1000000/(0.9*(D396*1000)*J396^2)</f>
        <v>1.714180976</v>
      </c>
      <c r="L396" s="12">
        <f>(0.85*$B$2/$D$2)*(1-SQRT(1-2*K396/(0.85*$B$2)))</f>
        <v>0.0042400099</v>
      </c>
      <c r="M396" s="13">
        <f>L396*(D396*1000)*J396</f>
        <v>508.345387</v>
      </c>
      <c r="N396" s="13">
        <f>MAX(0.25*SQRT($B$2)/$D$2,1.4/$D$2)*(D396*1000)*J396</f>
        <v>399.6416667</v>
      </c>
      <c r="O396" s="13">
        <f>MAX(M396,N396)</f>
        <v>508.345387</v>
      </c>
      <c r="P396" s="14">
        <f>ROUNDUP(O396/$J$2,0)</f>
        <v>3</v>
      </c>
      <c r="Q396" s="13">
        <f>P396*$J$2</f>
        <v>597</v>
      </c>
      <c r="R396" s="10">
        <f>Q396*$D$2/(0.85*$B$2*(D396*1000))</f>
        <v>30.10084034</v>
      </c>
      <c r="S396" s="10">
        <f>0.9*Q396*$D$2*(J396-R396/2)/1000000</f>
        <v>73.90552018</v>
      </c>
      <c r="T396" s="15" t="str">
        <f>IF(AND(S396&gt;=F396,O396&lt;=0.025*(D396*1000)*J396,O396&gt;=N396),"CUMPLE","REVISAR")</f>
        <v>CUMPLE</v>
      </c>
      <c r="U396" s="11">
        <f>G396*1000000/(0.9*(D396*1000)*J396^2)</f>
        <v>0.6263145455</v>
      </c>
      <c r="V396" s="12">
        <f>(0.85*$B$2/$D$2)*(1-SQRT(1-2*U396/(0.85*$B$2)))</f>
        <v>0.001511380439</v>
      </c>
      <c r="W396" s="13">
        <f>V396*(D396*1000)*J396</f>
        <v>181.2031793</v>
      </c>
      <c r="X396" s="13">
        <f>MAX(W396,N396)</f>
        <v>399.6416667</v>
      </c>
      <c r="Y396" s="14">
        <f>ROUNDUP(X396/$J$2,0)</f>
        <v>3</v>
      </c>
      <c r="Z396" s="13">
        <f>Y396*$J$2</f>
        <v>597</v>
      </c>
      <c r="AA396" s="10">
        <f>0.9*Z396*$D$2*(J396-(Z396*$D$2/(0.85*$B$2*(D396*1000)))/2)/1000000</f>
        <v>73.90552018</v>
      </c>
      <c r="AB396" s="15" t="str">
        <f>IF(AA396&gt;=G396,"CUMPLE","REVISAR")</f>
        <v>CUMPLE</v>
      </c>
      <c r="AC396" s="10">
        <f>0.17*SQRT($B$2)*(D396*1000)*J396/1000</f>
        <v>107.8499513</v>
      </c>
      <c r="AD396" s="10">
        <f>MAX(H396/0.75-AC396,0)</f>
        <v>0</v>
      </c>
      <c r="AE396" s="14">
        <f>IF(AD396&gt;0,MIN($N$2*$D$2*J396/(AD396*1000),MIN(J396/4,6*$H$2,150)),MIN(J396/4,6*$H$2,150))</f>
        <v>85.6375</v>
      </c>
      <c r="AF396" s="10">
        <f>0.66*SQRT($B$2)*(D396*1000)*J396/1000</f>
        <v>418.7115756</v>
      </c>
      <c r="AG396" s="15" t="str">
        <f>IF(AD396&lt;=AF396,"CUMPLE","AUMENTAR SECCION")</f>
        <v>CUMPLE</v>
      </c>
      <c r="AH396" s="10">
        <f>0.75*0.083*SQRT($B$2)*(((D396*1000)*(E396*1000))^2/(2*((D396*1000)+(E396*1000))))/1000000</f>
        <v>4.304108233</v>
      </c>
      <c r="AI396" s="15" t="str">
        <f>IF(I396&gt;AH396,"SI","No")</f>
        <v>No</v>
      </c>
      <c r="AJ396" s="11">
        <f>IF(I396&gt;AH396,I396*1000000/(0.75*2*0.85*((D396*1000-2*$F$2)*(E396*1000-2*$F$2))*$D$2),0)</f>
        <v>0</v>
      </c>
      <c r="AK396" s="10">
        <f>1.25*Q396*$D$2*(J396-(1.25*Q396*$D$2/(0.85*$B$2*(D396*1000)))/2)/1000000</f>
        <v>101.4672613</v>
      </c>
      <c r="AL396" s="10">
        <f>1.25*Z396*$D$2*(J396-(1.25*Z396*$D$2/(0.85*$B$2*(D396*1000)))/2)/1000000</f>
        <v>101.4672613</v>
      </c>
      <c r="AM396" s="10">
        <f>(AK396+AL396)/B396</f>
        <v>48.59543167</v>
      </c>
      <c r="AN396" s="10">
        <f>MAX(H396,AM396)</f>
        <v>71.59</v>
      </c>
    </row>
    <row r="397">
      <c r="A397" s="5" t="inlineStr">
        <is>
          <t>F868</t>
        </is>
      </c>
      <c r="B397" s="6" t="n">
        <v>2.7</v>
      </c>
      <c r="C397" s="7" t="inlineStr">
        <is>
          <t>VR</t>
        </is>
      </c>
      <c r="D397" s="8">
        <f>IF(C397="VR",0.35,0.30)</f>
        <v>0.35</v>
      </c>
      <c r="E397" s="6" t="n">
        <v>0.4</v>
      </c>
      <c r="F397" s="9" t="n">
        <v>49.3</v>
      </c>
      <c r="G397" s="9" t="n">
        <v>16.4</v>
      </c>
      <c r="H397" s="9" t="n">
        <v>66.40000000000001</v>
      </c>
      <c r="I397" s="6" t="n">
        <v>1.53</v>
      </c>
      <c r="J397" s="10">
        <f>E397*1000-$F$2-$L$2-$H$2/2</f>
        <v>342.55</v>
      </c>
      <c r="K397" s="11">
        <f>F397*1000000/(0.9*(D397*1000)*J397^2)</f>
        <v>1.332710778</v>
      </c>
      <c r="L397" s="12">
        <f>(0.85*$B$2/$D$2)*(1-SQRT(1-2*K397/(0.85*$B$2)))</f>
        <v>0.00326731515</v>
      </c>
      <c r="M397" s="13">
        <f>L397*(D397*1000)*J397</f>
        <v>391.7265816</v>
      </c>
      <c r="N397" s="13">
        <f>MAX(0.25*SQRT($B$2)/$D$2,1.4/$D$2)*(D397*1000)*J397</f>
        <v>399.6416667</v>
      </c>
      <c r="O397" s="13">
        <f>MAX(M397,N397)</f>
        <v>399.6416667</v>
      </c>
      <c r="P397" s="14">
        <f>ROUNDUP(O397/$J$2,0)</f>
        <v>3</v>
      </c>
      <c r="Q397" s="13">
        <f>P397*$J$2</f>
        <v>597</v>
      </c>
      <c r="R397" s="10">
        <f>Q397*$D$2/(0.85*$B$2*(D397*1000))</f>
        <v>30.10084034</v>
      </c>
      <c r="S397" s="10">
        <f>0.9*Q397*$D$2*(J397-R397/2)/1000000</f>
        <v>73.90552018</v>
      </c>
      <c r="T397" s="15" t="str">
        <f>IF(AND(S397&gt;=F397,O397&lt;=0.025*(D397*1000)*J397,O397&gt;=N397),"CUMPLE","REVISAR")</f>
        <v>CUMPLE</v>
      </c>
      <c r="U397" s="11">
        <f>G397*1000000/(0.9*(D397*1000)*J397^2)</f>
        <v>0.444236926</v>
      </c>
      <c r="V397" s="12">
        <f>(0.85*$B$2/$D$2)*(1-SQRT(1-2*U397/(0.85*$B$2)))</f>
        <v>0.001067766903</v>
      </c>
      <c r="W397" s="13">
        <f>V397*(D397*1000)*J397</f>
        <v>128.0172435</v>
      </c>
      <c r="X397" s="13">
        <f>MAX(W397,N397)</f>
        <v>399.6416667</v>
      </c>
      <c r="Y397" s="14">
        <f>ROUNDUP(X397/$J$2,0)</f>
        <v>3</v>
      </c>
      <c r="Z397" s="13">
        <f>Y397*$J$2</f>
        <v>597</v>
      </c>
      <c r="AA397" s="10">
        <f>0.9*Z397*$D$2*(J397-(Z397*$D$2/(0.85*$B$2*(D397*1000)))/2)/1000000</f>
        <v>73.90552018</v>
      </c>
      <c r="AB397" s="15" t="str">
        <f>IF(AA397&gt;=G397,"CUMPLE","REVISAR")</f>
        <v>CUMPLE</v>
      </c>
      <c r="AC397" s="10">
        <f>0.17*SQRT($B$2)*(D397*1000)*J397/1000</f>
        <v>107.8499513</v>
      </c>
      <c r="AD397" s="10">
        <f>MAX(H397/0.75-AC397,0)</f>
        <v>0</v>
      </c>
      <c r="AE397" s="14">
        <f>IF(AD397&gt;0,MIN($N$2*$D$2*J397/(AD397*1000),MIN(J397/4,6*$H$2,150)),MIN(J397/4,6*$H$2,150))</f>
        <v>85.6375</v>
      </c>
      <c r="AF397" s="10">
        <f>0.66*SQRT($B$2)*(D397*1000)*J397/1000</f>
        <v>418.7115756</v>
      </c>
      <c r="AG397" s="15" t="str">
        <f>IF(AD397&lt;=AF397,"CUMPLE","AUMENTAR SECCION")</f>
        <v>CUMPLE</v>
      </c>
      <c r="AH397" s="10">
        <f>0.75*0.083*SQRT($B$2)*(((D397*1000)*(E397*1000))^2/(2*((D397*1000)+(E397*1000))))/1000000</f>
        <v>4.304108233</v>
      </c>
      <c r="AI397" s="15" t="str">
        <f>IF(I397&gt;AH397,"SI","No")</f>
        <v>No</v>
      </c>
      <c r="AJ397" s="11">
        <f>IF(I397&gt;AH397,I397*1000000/(0.75*2*0.85*((D397*1000-2*$F$2)*(E397*1000-2*$F$2))*$D$2),0)</f>
        <v>0</v>
      </c>
      <c r="AK397" s="10">
        <f>1.25*Q397*$D$2*(J397-(1.25*Q397*$D$2/(0.85*$B$2*(D397*1000)))/2)/1000000</f>
        <v>101.4672613</v>
      </c>
      <c r="AL397" s="10">
        <f>1.25*Z397*$D$2*(J397-(1.25*Z397*$D$2/(0.85*$B$2*(D397*1000)))/2)/1000000</f>
        <v>101.4672613</v>
      </c>
      <c r="AM397" s="10">
        <f>(AK397+AL397)/B397</f>
        <v>75.16093431</v>
      </c>
      <c r="AN397" s="10">
        <f>MAX(H397,AM397)</f>
        <v>75.16093431</v>
      </c>
    </row>
    <row r="398">
      <c r="A398" s="5" t="inlineStr">
        <is>
          <t>F869</t>
        </is>
      </c>
      <c r="B398" s="6" t="n">
        <v>2.8</v>
      </c>
      <c r="C398" s="7" t="inlineStr">
        <is>
          <t>VR</t>
        </is>
      </c>
      <c r="D398" s="8">
        <f>IF(C398="VR",0.35,0.30)</f>
        <v>0.35</v>
      </c>
      <c r="E398" s="6" t="n">
        <v>0.4</v>
      </c>
      <c r="F398" s="9" t="n">
        <v>49.5</v>
      </c>
      <c r="G398" s="9" t="n">
        <v>16.5</v>
      </c>
      <c r="H398" s="9" t="n">
        <v>66.3</v>
      </c>
      <c r="I398" s="6" t="n">
        <v>1.48</v>
      </c>
      <c r="J398" s="10">
        <f>E398*1000-$F$2-$L$2-$H$2/2</f>
        <v>342.55</v>
      </c>
      <c r="K398" s="11">
        <f>F398*1000000/(0.9*(D398*1000)*J398^2)</f>
        <v>1.337851157</v>
      </c>
      <c r="L398" s="12">
        <f>(0.85*$B$2/$D$2)*(1-SQRT(1-2*K398/(0.85*$B$2)))</f>
        <v>0.003280304586</v>
      </c>
      <c r="M398" s="13">
        <f>L398*(D398*1000)*J398</f>
        <v>393.2839176</v>
      </c>
      <c r="N398" s="13">
        <f>MAX(0.25*SQRT($B$2)/$D$2,1.4/$D$2)*(D398*1000)*J398</f>
        <v>399.6416667</v>
      </c>
      <c r="O398" s="13">
        <f>MAX(M398,N398)</f>
        <v>399.6416667</v>
      </c>
      <c r="P398" s="14">
        <f>ROUNDUP(O398/$J$2,0)</f>
        <v>3</v>
      </c>
      <c r="Q398" s="13">
        <f>P398*$J$2</f>
        <v>597</v>
      </c>
      <c r="R398" s="10">
        <f>Q398*$D$2/(0.85*$B$2*(D398*1000))</f>
        <v>30.10084034</v>
      </c>
      <c r="S398" s="10">
        <f>0.9*Q398*$D$2*(J398-R398/2)/1000000</f>
        <v>73.90552018</v>
      </c>
      <c r="T398" s="15" t="str">
        <f>IF(AND(S398&gt;=F398,O398&lt;=0.025*(D398*1000)*J398,O398&gt;=N398),"CUMPLE","REVISAR")</f>
        <v>CUMPLE</v>
      </c>
      <c r="U398" s="11">
        <f>G398*1000000/(0.9*(D398*1000)*J398^2)</f>
        <v>0.4458602034</v>
      </c>
      <c r="V398" s="12">
        <f>(0.85*$B$2/$D$2)*(1-SQRT(1-2*U398/(0.85*$B$2)))</f>
        <v>0.001071706215</v>
      </c>
      <c r="W398" s="13">
        <f>V398*(D398*1000)*J398</f>
        <v>128.4895374</v>
      </c>
      <c r="X398" s="13">
        <f>MAX(W398,N398)</f>
        <v>399.6416667</v>
      </c>
      <c r="Y398" s="14">
        <f>ROUNDUP(X398/$J$2,0)</f>
        <v>3</v>
      </c>
      <c r="Z398" s="13">
        <f>Y398*$J$2</f>
        <v>597</v>
      </c>
      <c r="AA398" s="10">
        <f>0.9*Z398*$D$2*(J398-(Z398*$D$2/(0.85*$B$2*(D398*1000)))/2)/1000000</f>
        <v>73.90552018</v>
      </c>
      <c r="AB398" s="15" t="str">
        <f>IF(AA398&gt;=G398,"CUMPLE","REVISAR")</f>
        <v>CUMPLE</v>
      </c>
      <c r="AC398" s="10">
        <f>0.17*SQRT($B$2)*(D398*1000)*J398/1000</f>
        <v>107.8499513</v>
      </c>
      <c r="AD398" s="10">
        <f>MAX(H398/0.75-AC398,0)</f>
        <v>0</v>
      </c>
      <c r="AE398" s="14">
        <f>IF(AD398&gt;0,MIN($N$2*$D$2*J398/(AD398*1000),MIN(J398/4,6*$H$2,150)),MIN(J398/4,6*$H$2,150))</f>
        <v>85.6375</v>
      </c>
      <c r="AF398" s="10">
        <f>0.66*SQRT($B$2)*(D398*1000)*J398/1000</f>
        <v>418.7115756</v>
      </c>
      <c r="AG398" s="15" t="str">
        <f>IF(AD398&lt;=AF398,"CUMPLE","AUMENTAR SECCION")</f>
        <v>CUMPLE</v>
      </c>
      <c r="AH398" s="10">
        <f>0.75*0.083*SQRT($B$2)*(((D398*1000)*(E398*1000))^2/(2*((D398*1000)+(E398*1000))))/1000000</f>
        <v>4.304108233</v>
      </c>
      <c r="AI398" s="15" t="str">
        <f>IF(I398&gt;AH398,"SI","No")</f>
        <v>No</v>
      </c>
      <c r="AJ398" s="11">
        <f>IF(I398&gt;AH398,I398*1000000/(0.75*2*0.85*((D398*1000-2*$F$2)*(E398*1000-2*$F$2))*$D$2),0)</f>
        <v>0</v>
      </c>
      <c r="AK398" s="10">
        <f>1.25*Q398*$D$2*(J398-(1.25*Q398*$D$2/(0.85*$B$2*(D398*1000)))/2)/1000000</f>
        <v>101.4672613</v>
      </c>
      <c r="AL398" s="10">
        <f>1.25*Z398*$D$2*(J398-(1.25*Z398*$D$2/(0.85*$B$2*(D398*1000)))/2)/1000000</f>
        <v>101.4672613</v>
      </c>
      <c r="AM398" s="10">
        <f>(AK398+AL398)/B398</f>
        <v>72.47661523</v>
      </c>
      <c r="AN398" s="10">
        <f>MAX(H398,AM398)</f>
        <v>72.47661523</v>
      </c>
    </row>
    <row r="399">
      <c r="A399" s="5" t="inlineStr">
        <is>
          <t>F870</t>
        </is>
      </c>
      <c r="B399" s="6" t="n">
        <v>4.18</v>
      </c>
      <c r="C399" s="7" t="inlineStr">
        <is>
          <t>VR</t>
        </is>
      </c>
      <c r="D399" s="8">
        <f>IF(C399="VR",0.35,0.30)</f>
        <v>0.35</v>
      </c>
      <c r="E399" s="6" t="n">
        <v>0.4</v>
      </c>
      <c r="F399" s="9" t="n">
        <v>63.6</v>
      </c>
      <c r="G399" s="9" t="n">
        <v>23.2</v>
      </c>
      <c r="H399" s="9" t="n">
        <v>71.7</v>
      </c>
      <c r="I399" s="6" t="n">
        <v>0.35</v>
      </c>
      <c r="J399" s="10">
        <f>E399*1000-$F$2-$L$2-$H$2/2</f>
        <v>342.55</v>
      </c>
      <c r="K399" s="11">
        <f>F399*1000000/(0.9*(D399*1000)*J399^2)</f>
        <v>1.720944632</v>
      </c>
      <c r="L399" s="12">
        <f>(0.85*$B$2/$D$2)*(1-SQRT(1-2*K399/(0.85*$B$2)))</f>
        <v>0.004257419141</v>
      </c>
      <c r="M399" s="13">
        <f>L399*(D399*1000)*J399</f>
        <v>510.4326244</v>
      </c>
      <c r="N399" s="13">
        <f>MAX(0.25*SQRT($B$2)/$D$2,1.4/$D$2)*(D399*1000)*J399</f>
        <v>399.6416667</v>
      </c>
      <c r="O399" s="13">
        <f>MAX(M399,N399)</f>
        <v>510.4326244</v>
      </c>
      <c r="P399" s="14">
        <f>ROUNDUP(O399/$J$2,0)</f>
        <v>3</v>
      </c>
      <c r="Q399" s="13">
        <f>P399*$J$2</f>
        <v>597</v>
      </c>
      <c r="R399" s="10">
        <f>Q399*$D$2/(0.85*$B$2*(D399*1000))</f>
        <v>30.10084034</v>
      </c>
      <c r="S399" s="10">
        <f>0.9*Q399*$D$2*(J399-R399/2)/1000000</f>
        <v>73.90552018</v>
      </c>
      <c r="T399" s="15" t="str">
        <f>IF(AND(S399&gt;=F399,O399&lt;=0.025*(D399*1000)*J399,O399&gt;=N399),"CUMPLE","REVISAR")</f>
        <v>CUMPLE</v>
      </c>
      <c r="U399" s="11">
        <f>G399*1000000/(0.9*(D399*1000)*J399^2)</f>
        <v>0.6271261842</v>
      </c>
      <c r="V399" s="12">
        <f>(0.85*$B$2/$D$2)*(1-SQRT(1-2*U399/(0.85*$B$2)))</f>
        <v>0.001513365902</v>
      </c>
      <c r="W399" s="13">
        <f>V399*(D399*1000)*J399</f>
        <v>181.4412214</v>
      </c>
      <c r="X399" s="13">
        <f>MAX(W399,N399)</f>
        <v>399.6416667</v>
      </c>
      <c r="Y399" s="14">
        <f>ROUNDUP(X399/$J$2,0)</f>
        <v>3</v>
      </c>
      <c r="Z399" s="13">
        <f>Y399*$J$2</f>
        <v>597</v>
      </c>
      <c r="AA399" s="10">
        <f>0.9*Z399*$D$2*(J399-(Z399*$D$2/(0.85*$B$2*(D399*1000)))/2)/1000000</f>
        <v>73.90552018</v>
      </c>
      <c r="AB399" s="15" t="str">
        <f>IF(AA399&gt;=G399,"CUMPLE","REVISAR")</f>
        <v>CUMPLE</v>
      </c>
      <c r="AC399" s="10">
        <f>0.17*SQRT($B$2)*(D399*1000)*J399/1000</f>
        <v>107.8499513</v>
      </c>
      <c r="AD399" s="10">
        <f>MAX(H399/0.75-AC399,0)</f>
        <v>0</v>
      </c>
      <c r="AE399" s="14">
        <f>IF(AD399&gt;0,MIN($N$2*$D$2*J399/(AD399*1000),MIN(J399/4,6*$H$2,150)),MIN(J399/4,6*$H$2,150))</f>
        <v>85.6375</v>
      </c>
      <c r="AF399" s="10">
        <f>0.66*SQRT($B$2)*(D399*1000)*J399/1000</f>
        <v>418.7115756</v>
      </c>
      <c r="AG399" s="15" t="str">
        <f>IF(AD399&lt;=AF399,"CUMPLE","AUMENTAR SECCION")</f>
        <v>CUMPLE</v>
      </c>
      <c r="AH399" s="10">
        <f>0.75*0.083*SQRT($B$2)*(((D399*1000)*(E399*1000))^2/(2*((D399*1000)+(E399*1000))))/1000000</f>
        <v>4.304108233</v>
      </c>
      <c r="AI399" s="15" t="str">
        <f>IF(I399&gt;AH399,"SI","No")</f>
        <v>No</v>
      </c>
      <c r="AJ399" s="11">
        <f>IF(I399&gt;AH399,I399*1000000/(0.75*2*0.85*((D399*1000-2*$F$2)*(E399*1000-2*$F$2))*$D$2),0)</f>
        <v>0</v>
      </c>
      <c r="AK399" s="10">
        <f>1.25*Q399*$D$2*(J399-(1.25*Q399*$D$2/(0.85*$B$2*(D399*1000)))/2)/1000000</f>
        <v>101.4672613</v>
      </c>
      <c r="AL399" s="10">
        <f>1.25*Z399*$D$2*(J399-(1.25*Z399*$D$2/(0.85*$B$2*(D399*1000)))/2)/1000000</f>
        <v>101.4672613</v>
      </c>
      <c r="AM399" s="10">
        <f>(AK399+AL399)/B399</f>
        <v>48.59543167</v>
      </c>
      <c r="AN399" s="10">
        <f>MAX(H399,AM399)</f>
        <v>71.71</v>
      </c>
    </row>
    <row r="400">
      <c r="A400" s="5" t="inlineStr">
        <is>
          <t>F871</t>
        </is>
      </c>
      <c r="B400" s="6" t="n">
        <v>2.5</v>
      </c>
      <c r="C400" s="7" t="inlineStr">
        <is>
          <t>VC</t>
        </is>
      </c>
      <c r="D400" s="8">
        <f>IF(C400="VR",0.35,0.30)</f>
        <v>0.3</v>
      </c>
      <c r="E400" s="6" t="n">
        <v>0.4</v>
      </c>
      <c r="F400" s="9" t="n">
        <v>32.5</v>
      </c>
      <c r="G400" s="9" t="n">
        <v>10.4</v>
      </c>
      <c r="H400" s="9" t="n">
        <v>51.8</v>
      </c>
      <c r="I400" s="6" t="n">
        <v>0.35</v>
      </c>
      <c r="J400" s="10">
        <f>E400*1000-$F$2-$L$2-$H$2/2</f>
        <v>342.55</v>
      </c>
      <c r="K400" s="11">
        <f>F400*1000000/(0.9*(D400*1000)*J400^2)</f>
        <v>1.024242973</v>
      </c>
      <c r="L400" s="12">
        <f>(0.85*$B$2/$D$2)*(1-SQRT(1-2*K400/(0.85*$B$2)))</f>
        <v>0.002493535997</v>
      </c>
      <c r="M400" s="13">
        <f>L400*(D400*1000)*J400</f>
        <v>256.2482268</v>
      </c>
      <c r="N400" s="13">
        <f>MAX(0.25*SQRT($B$2)/$D$2,1.4/$D$2)*(D400*1000)*J400</f>
        <v>342.55</v>
      </c>
      <c r="O400" s="13">
        <f>MAX(M400,N400)</f>
        <v>342.55</v>
      </c>
      <c r="P400" s="14">
        <f>ROUNDUP(O400/$J$2,0)</f>
        <v>2</v>
      </c>
      <c r="Q400" s="13">
        <f>P400*$J$2</f>
        <v>398</v>
      </c>
      <c r="R400" s="10">
        <f>Q400*$D$2/(0.85*$B$2*(D400*1000))</f>
        <v>23.41176471</v>
      </c>
      <c r="S400" s="10">
        <f>0.9*Q400*$D$2*(J400-R400/2)/1000000</f>
        <v>49.77351244</v>
      </c>
      <c r="T400" s="15" t="str">
        <f>IF(AND(S400&gt;=F400,O400&lt;=0.025*(D400*1000)*J400,O400&gt;=N400),"CUMPLE","REVISAR")</f>
        <v>CUMPLE</v>
      </c>
      <c r="U400" s="11">
        <f>G400*1000000/(0.9*(D400*1000)*J400^2)</f>
        <v>0.327000222</v>
      </c>
      <c r="V400" s="12">
        <f>(0.85*$B$2/$D$2)*(1-SQRT(1-2*U400/(0.85*$B$2)))</f>
        <v>0.0007839953279</v>
      </c>
      <c r="W400" s="13">
        <f>V400*(D400*1000)*J400</f>
        <v>80.56727987</v>
      </c>
      <c r="X400" s="13">
        <f>MAX(W400,N400)</f>
        <v>342.55</v>
      </c>
      <c r="Y400" s="14">
        <f>ROUNDUP(X400/$J$2,0)</f>
        <v>2</v>
      </c>
      <c r="Z400" s="13">
        <f>Y400*$J$2</f>
        <v>398</v>
      </c>
      <c r="AA400" s="10">
        <f>0.9*Z400*$D$2*(J400-(Z400*$D$2/(0.85*$B$2*(D400*1000)))/2)/1000000</f>
        <v>49.77351244</v>
      </c>
      <c r="AB400" s="15" t="str">
        <f>IF(AA400&gt;=G400,"CUMPLE","REVISAR")</f>
        <v>CUMPLE</v>
      </c>
      <c r="AC400" s="10">
        <f>0.17*SQRT($B$2)*(D400*1000)*J400/1000</f>
        <v>92.44281538</v>
      </c>
      <c r="AD400" s="10">
        <f>MAX(H400/0.75-AC400,0)</f>
        <v>0</v>
      </c>
      <c r="AE400" s="14">
        <f>IF(AD400&gt;0,MIN($N$2*$D$2*J400/(AD400*1000),MIN(J400/4,6*$H$2,150)),MIN(J400/4,6*$H$2,150))</f>
        <v>85.6375</v>
      </c>
      <c r="AF400" s="10">
        <f>0.66*SQRT($B$2)*(D400*1000)*J400/1000</f>
        <v>358.8956362</v>
      </c>
      <c r="AG400" s="15" t="str">
        <f>IF(AD400&lt;=AF400,"CUMPLE","AUMENTAR SECCION")</f>
        <v>CUMPLE</v>
      </c>
      <c r="AH400" s="10">
        <f>0.75*0.083*SQRT($B$2)*(((D400*1000)*(E400*1000))^2/(2*((D400*1000)+(E400*1000))))/1000000</f>
        <v>3.388073536</v>
      </c>
      <c r="AI400" s="15" t="str">
        <f>IF(I400&gt;AH400,"SI","No")</f>
        <v>No</v>
      </c>
      <c r="AJ400" s="11">
        <f>IF(I400&gt;AH400,I400*1000000/(0.75*2*0.85*((D400*1000-2*$F$2)*(E400*1000-2*$F$2))*$D$2),0)</f>
        <v>0</v>
      </c>
      <c r="AK400" s="10">
        <f>1.25*Q400*$D$2*(J400-(1.25*Q400*$D$2/(0.85*$B$2*(D400*1000)))/2)/1000000</f>
        <v>68.51839235</v>
      </c>
      <c r="AL400" s="10">
        <f>1.25*Z400*$D$2*(J400-(1.25*Z400*$D$2/(0.85*$B$2*(D400*1000)))/2)/1000000</f>
        <v>68.51839235</v>
      </c>
      <c r="AM400" s="10">
        <f>(AK400+AL400)/B400</f>
        <v>54.81471388</v>
      </c>
      <c r="AN400" s="10">
        <f>MAX(H400,AM400)</f>
        <v>54.81471388</v>
      </c>
    </row>
    <row r="401">
      <c r="A401" s="5" t="inlineStr">
        <is>
          <t>F872</t>
        </is>
      </c>
      <c r="B401" s="6" t="n">
        <v>2.6</v>
      </c>
      <c r="C401" s="7" t="inlineStr">
        <is>
          <t>VC</t>
        </is>
      </c>
      <c r="D401" s="8">
        <f>IF(C401="VR",0.35,0.30)</f>
        <v>0.3</v>
      </c>
      <c r="E401" s="6" t="n">
        <v>0.4</v>
      </c>
      <c r="F401" s="9" t="n">
        <v>22.5</v>
      </c>
      <c r="G401" s="9" t="n">
        <v>12.7</v>
      </c>
      <c r="H401" s="9" t="n">
        <v>47.5</v>
      </c>
      <c r="I401" s="6" t="n">
        <v>1.04</v>
      </c>
      <c r="J401" s="10">
        <f>E401*1000-$F$2-$L$2-$H$2/2</f>
        <v>342.55</v>
      </c>
      <c r="K401" s="11">
        <f>F401*1000000/(0.9*(D401*1000)*J401^2)</f>
        <v>0.711446429</v>
      </c>
      <c r="L401" s="12">
        <f>(0.85*$B$2/$D$2)*(1-SQRT(1-2*K401/(0.85*$B$2)))</f>
        <v>0.001720024337</v>
      </c>
      <c r="M401" s="13">
        <f>L401*(D401*1000)*J401</f>
        <v>176.758301</v>
      </c>
      <c r="N401" s="13">
        <f>MAX(0.25*SQRT($B$2)/$D$2,1.4/$D$2)*(D401*1000)*J401</f>
        <v>342.55</v>
      </c>
      <c r="O401" s="13">
        <f>MAX(M401,N401)</f>
        <v>342.55</v>
      </c>
      <c r="P401" s="14">
        <f>ROUNDUP(O401/$J$2,0)</f>
        <v>2</v>
      </c>
      <c r="Q401" s="13">
        <f>P401*$J$2</f>
        <v>398</v>
      </c>
      <c r="R401" s="10">
        <f>Q401*$D$2/(0.85*$B$2*(D401*1000))</f>
        <v>23.41176471</v>
      </c>
      <c r="S401" s="10">
        <f>0.9*Q401*$D$2*(J401-R401/2)/1000000</f>
        <v>49.77351244</v>
      </c>
      <c r="T401" s="15" t="str">
        <f>IF(AND(S401&gt;=F401,O401&lt;=0.025*(D401*1000)*J401,O401&gt;=N401),"CUMPLE","REVISAR")</f>
        <v>CUMPLE</v>
      </c>
      <c r="U401" s="11">
        <f>G401*1000000/(0.9*(D401*1000)*J401^2)</f>
        <v>0.4014906201</v>
      </c>
      <c r="V401" s="12">
        <f>(0.85*$B$2/$D$2)*(1-SQRT(1-2*U401/(0.85*$B$2)))</f>
        <v>0.0009641319635</v>
      </c>
      <c r="W401" s="13">
        <f>V401*(D401*1000)*J401</f>
        <v>99.07902123</v>
      </c>
      <c r="X401" s="13">
        <f>MAX(W401,N401)</f>
        <v>342.55</v>
      </c>
      <c r="Y401" s="14">
        <f>ROUNDUP(X401/$J$2,0)</f>
        <v>2</v>
      </c>
      <c r="Z401" s="13">
        <f>Y401*$J$2</f>
        <v>398</v>
      </c>
      <c r="AA401" s="10">
        <f>0.9*Z401*$D$2*(J401-(Z401*$D$2/(0.85*$B$2*(D401*1000)))/2)/1000000</f>
        <v>49.77351244</v>
      </c>
      <c r="AB401" s="15" t="str">
        <f>IF(AA401&gt;=G401,"CUMPLE","REVISAR")</f>
        <v>CUMPLE</v>
      </c>
      <c r="AC401" s="10">
        <f>0.17*SQRT($B$2)*(D401*1000)*J401/1000</f>
        <v>92.44281538</v>
      </c>
      <c r="AD401" s="10">
        <f>MAX(H401/0.75-AC401,0)</f>
        <v>0</v>
      </c>
      <c r="AE401" s="14">
        <f>IF(AD401&gt;0,MIN($N$2*$D$2*J401/(AD401*1000),MIN(J401/4,6*$H$2,150)),MIN(J401/4,6*$H$2,150))</f>
        <v>85.6375</v>
      </c>
      <c r="AF401" s="10">
        <f>0.66*SQRT($B$2)*(D401*1000)*J401/1000</f>
        <v>358.8956362</v>
      </c>
      <c r="AG401" s="15" t="str">
        <f>IF(AD401&lt;=AF401,"CUMPLE","AUMENTAR SECCION")</f>
        <v>CUMPLE</v>
      </c>
      <c r="AH401" s="10">
        <f>0.75*0.083*SQRT($B$2)*(((D401*1000)*(E401*1000))^2/(2*((D401*1000)+(E401*1000))))/1000000</f>
        <v>3.388073536</v>
      </c>
      <c r="AI401" s="15" t="str">
        <f>IF(I401&gt;AH401,"SI","No")</f>
        <v>No</v>
      </c>
      <c r="AJ401" s="11">
        <f>IF(I401&gt;AH401,I401*1000000/(0.75*2*0.85*((D401*1000-2*$F$2)*(E401*1000-2*$F$2))*$D$2),0)</f>
        <v>0</v>
      </c>
      <c r="AK401" s="10">
        <f>1.25*Q401*$D$2*(J401-(1.25*Q401*$D$2/(0.85*$B$2*(D401*1000)))/2)/1000000</f>
        <v>68.51839235</v>
      </c>
      <c r="AL401" s="10">
        <f>1.25*Z401*$D$2*(J401-(1.25*Z401*$D$2/(0.85*$B$2*(D401*1000)))/2)/1000000</f>
        <v>68.51839235</v>
      </c>
      <c r="AM401" s="10">
        <f>(AK401+AL401)/B401</f>
        <v>52.70645566</v>
      </c>
      <c r="AN401" s="10">
        <f>MAX(H401,AM401)</f>
        <v>52.70645566</v>
      </c>
    </row>
    <row r="402">
      <c r="A402" s="5" t="inlineStr">
        <is>
          <t>F873</t>
        </is>
      </c>
      <c r="B402" s="6" t="n">
        <v>3.65</v>
      </c>
      <c r="C402" s="7" t="inlineStr">
        <is>
          <t>VR</t>
        </is>
      </c>
      <c r="D402" s="8">
        <f>IF(C402="VR",0.35,0.30)</f>
        <v>0.35</v>
      </c>
      <c r="E402" s="6" t="n">
        <v>0.4</v>
      </c>
      <c r="F402" s="9" t="n">
        <v>35.9</v>
      </c>
      <c r="G402" s="9" t="n">
        <v>11.9</v>
      </c>
      <c r="H402" s="9" t="n">
        <v>103.7</v>
      </c>
      <c r="I402" s="6" t="n">
        <v>4.61</v>
      </c>
      <c r="J402" s="10">
        <f>E402*1000-$F$2-$L$2-$H$2/2</f>
        <v>342.55</v>
      </c>
      <c r="K402" s="11">
        <f>F402*1000000/(0.9*(D402*1000)*J402^2)</f>
        <v>0.9704493627</v>
      </c>
      <c r="L402" s="12">
        <f>(0.85*$B$2/$D$2)*(1-SQRT(1-2*K402/(0.85*$B$2)))</f>
        <v>0.002359725833</v>
      </c>
      <c r="M402" s="13">
        <f>L402*(D402*1000)*J402</f>
        <v>282.9134294</v>
      </c>
      <c r="N402" s="13">
        <f>MAX(0.25*SQRT($B$2)/$D$2,1.4/$D$2)*(D402*1000)*J402</f>
        <v>399.6416667</v>
      </c>
      <c r="O402" s="13">
        <f>MAX(M402,N402)</f>
        <v>399.6416667</v>
      </c>
      <c r="P402" s="14">
        <f>ROUNDUP(O402/$J$2,0)</f>
        <v>3</v>
      </c>
      <c r="Q402" s="13">
        <f>P402*$J$2</f>
        <v>597</v>
      </c>
      <c r="R402" s="10">
        <f>Q402*$D$2/(0.85*$B$2*(D402*1000))</f>
        <v>30.10084034</v>
      </c>
      <c r="S402" s="10">
        <f>0.9*Q402*$D$2*(J402-R402/2)/1000000</f>
        <v>73.90552018</v>
      </c>
      <c r="T402" s="15" t="str">
        <f>IF(AND(S402&gt;=F402,O402&lt;=0.025*(D402*1000)*J402,O402&gt;=N402),"CUMPLE","REVISAR")</f>
        <v>CUMPLE</v>
      </c>
      <c r="U402" s="11">
        <f>G402*1000000/(0.9*(D402*1000)*J402^2)</f>
        <v>0.3227616643</v>
      </c>
      <c r="V402" s="12">
        <f>(0.85*$B$2/$D$2)*(1-SQRT(1-2*U402/(0.85*$B$2)))</f>
        <v>0.0007737628794</v>
      </c>
      <c r="W402" s="13">
        <f>V402*(D402*1000)*J402</f>
        <v>92.76836602</v>
      </c>
      <c r="X402" s="13">
        <f>MAX(W402,N402)</f>
        <v>399.6416667</v>
      </c>
      <c r="Y402" s="14">
        <f>ROUNDUP(X402/$J$2,0)</f>
        <v>3</v>
      </c>
      <c r="Z402" s="13">
        <f>Y402*$J$2</f>
        <v>597</v>
      </c>
      <c r="AA402" s="10">
        <f>0.9*Z402*$D$2*(J402-(Z402*$D$2/(0.85*$B$2*(D402*1000)))/2)/1000000</f>
        <v>73.90552018</v>
      </c>
      <c r="AB402" s="15" t="str">
        <f>IF(AA402&gt;=G402,"CUMPLE","REVISAR")</f>
        <v>CUMPLE</v>
      </c>
      <c r="AC402" s="10">
        <f>0.17*SQRT($B$2)*(D402*1000)*J402/1000</f>
        <v>107.8499513</v>
      </c>
      <c r="AD402" s="10">
        <f>MAX(H402/0.75-AC402,0)</f>
        <v>30.36338205</v>
      </c>
      <c r="AE402" s="14">
        <f>IF(AD402&gt;0,MIN($N$2*$D$2*J402/(AD402*1000),MIN(J402/4,6*$H$2,150)),MIN(J402/4,6*$H$2,150))</f>
        <v>85.6375</v>
      </c>
      <c r="AF402" s="10">
        <f>0.66*SQRT($B$2)*(D402*1000)*J402/1000</f>
        <v>418.7115756</v>
      </c>
      <c r="AG402" s="15" t="str">
        <f>IF(AD402&lt;=AF402,"CUMPLE","AUMENTAR SECCION")</f>
        <v>CUMPLE</v>
      </c>
      <c r="AH402" s="10">
        <f>0.75*0.083*SQRT($B$2)*(((D402*1000)*(E402*1000))^2/(2*((D402*1000)+(E402*1000))))/1000000</f>
        <v>4.304108233</v>
      </c>
      <c r="AI402" s="15" t="str">
        <f>IF(I402&gt;AH402,"SI","No")</f>
        <v>SI</v>
      </c>
      <c r="AJ402" s="11">
        <f>IF(I402&gt;AH402,I402*1000000/(0.75*2*0.85*((D402*1000-2*$F$2)*(E402*1000-2*$F$2))*$D$2),0)</f>
        <v>0.09963862088</v>
      </c>
      <c r="AK402" s="10">
        <f>1.25*Q402*$D$2*(J402-(1.25*Q402*$D$2/(0.85*$B$2*(D402*1000)))/2)/1000000</f>
        <v>101.4672613</v>
      </c>
      <c r="AL402" s="10">
        <f>1.25*Z402*$D$2*(J402-(1.25*Z402*$D$2/(0.85*$B$2*(D402*1000)))/2)/1000000</f>
        <v>101.4672613</v>
      </c>
      <c r="AM402" s="10">
        <f>(AK402+AL402)/B402</f>
        <v>55.55283949</v>
      </c>
      <c r="AN402" s="10">
        <f>MAX(H402,AM402)</f>
        <v>103.66</v>
      </c>
    </row>
    <row r="403">
      <c r="A403" s="5" t="inlineStr">
        <is>
          <t>F874</t>
        </is>
      </c>
      <c r="B403" s="6" t="n">
        <v>2.6</v>
      </c>
      <c r="C403" s="7" t="inlineStr">
        <is>
          <t>VC</t>
        </is>
      </c>
      <c r="D403" s="8">
        <f>IF(C403="VR",0.35,0.30)</f>
        <v>0.3</v>
      </c>
      <c r="E403" s="6" t="n">
        <v>0.4</v>
      </c>
      <c r="F403" s="9" t="n">
        <v>28.5</v>
      </c>
      <c r="G403" s="9" t="n">
        <v>9.5</v>
      </c>
      <c r="H403" s="9" t="n">
        <v>47.5</v>
      </c>
      <c r="I403" s="6" t="n">
        <v>0.26</v>
      </c>
      <c r="J403" s="10">
        <f>E403*1000-$F$2-$L$2-$H$2/2</f>
        <v>342.55</v>
      </c>
      <c r="K403" s="11">
        <f>F403*1000000/(0.9*(D403*1000)*J403^2)</f>
        <v>0.8995662479</v>
      </c>
      <c r="L403" s="12">
        <f>(0.85*$B$2/$D$2)*(1-SQRT(1-2*K403/(0.85*$B$2)))</f>
        <v>0.002183907811</v>
      </c>
      <c r="M403" s="13">
        <f>L403*(D403*1000)*J403</f>
        <v>224.4292862</v>
      </c>
      <c r="N403" s="13">
        <f>MAX(0.25*SQRT($B$2)/$D$2,1.4/$D$2)*(D403*1000)*J403</f>
        <v>342.55</v>
      </c>
      <c r="O403" s="13">
        <f>MAX(M403,N403)</f>
        <v>342.55</v>
      </c>
      <c r="P403" s="14">
        <f>ROUNDUP(O403/$J$2,0)</f>
        <v>2</v>
      </c>
      <c r="Q403" s="13">
        <f>P403*$J$2</f>
        <v>398</v>
      </c>
      <c r="R403" s="10">
        <f>Q403*$D$2/(0.85*$B$2*(D403*1000))</f>
        <v>23.41176471</v>
      </c>
      <c r="S403" s="10">
        <f>0.9*Q403*$D$2*(J403-R403/2)/1000000</f>
        <v>49.77351244</v>
      </c>
      <c r="T403" s="15" t="str">
        <f>IF(AND(S403&gt;=F403,O403&lt;=0.025*(D403*1000)*J403,O403&gt;=N403),"CUMPLE","REVISAR")</f>
        <v>CUMPLE</v>
      </c>
      <c r="U403" s="11">
        <f>G403*1000000/(0.9*(D403*1000)*J403^2)</f>
        <v>0.299855416</v>
      </c>
      <c r="V403" s="12">
        <f>(0.85*$B$2/$D$2)*(1-SQRT(1-2*U403/(0.85*$B$2)))</f>
        <v>0.0007184965009</v>
      </c>
      <c r="W403" s="13">
        <f>V403*(D403*1000)*J403</f>
        <v>73.83629291</v>
      </c>
      <c r="X403" s="13">
        <f>MAX(W403,N403)</f>
        <v>342.55</v>
      </c>
      <c r="Y403" s="14">
        <f>ROUNDUP(X403/$J$2,0)</f>
        <v>2</v>
      </c>
      <c r="Z403" s="13">
        <f>Y403*$J$2</f>
        <v>398</v>
      </c>
      <c r="AA403" s="10">
        <f>0.9*Z403*$D$2*(J403-(Z403*$D$2/(0.85*$B$2*(D403*1000)))/2)/1000000</f>
        <v>49.77351244</v>
      </c>
      <c r="AB403" s="15" t="str">
        <f>IF(AA403&gt;=G403,"CUMPLE","REVISAR")</f>
        <v>CUMPLE</v>
      </c>
      <c r="AC403" s="10">
        <f>0.17*SQRT($B$2)*(D403*1000)*J403/1000</f>
        <v>92.44281538</v>
      </c>
      <c r="AD403" s="10">
        <f>MAX(H403/0.75-AC403,0)</f>
        <v>0</v>
      </c>
      <c r="AE403" s="14">
        <f>IF(AD403&gt;0,MIN($N$2*$D$2*J403/(AD403*1000),MIN(J403/4,6*$H$2,150)),MIN(J403/4,6*$H$2,150))</f>
        <v>85.6375</v>
      </c>
      <c r="AF403" s="10">
        <f>0.66*SQRT($B$2)*(D403*1000)*J403/1000</f>
        <v>358.8956362</v>
      </c>
      <c r="AG403" s="15" t="str">
        <f>IF(AD403&lt;=AF403,"CUMPLE","AUMENTAR SECCION")</f>
        <v>CUMPLE</v>
      </c>
      <c r="AH403" s="10">
        <f>0.75*0.083*SQRT($B$2)*(((D403*1000)*(E403*1000))^2/(2*((D403*1000)+(E403*1000))))/1000000</f>
        <v>3.388073536</v>
      </c>
      <c r="AI403" s="15" t="str">
        <f>IF(I403&gt;AH403,"SI","No")</f>
        <v>No</v>
      </c>
      <c r="AJ403" s="11">
        <f>IF(I403&gt;AH403,I403*1000000/(0.75*2*0.85*((D403*1000-2*$F$2)*(E403*1000-2*$F$2))*$D$2),0)</f>
        <v>0</v>
      </c>
      <c r="AK403" s="10">
        <f>1.25*Q403*$D$2*(J403-(1.25*Q403*$D$2/(0.85*$B$2*(D403*1000)))/2)/1000000</f>
        <v>68.51839235</v>
      </c>
      <c r="AL403" s="10">
        <f>1.25*Z403*$D$2*(J403-(1.25*Z403*$D$2/(0.85*$B$2*(D403*1000)))/2)/1000000</f>
        <v>68.51839235</v>
      </c>
      <c r="AM403" s="10">
        <f>(AK403+AL403)/B403</f>
        <v>52.70645566</v>
      </c>
      <c r="AN403" s="10">
        <f>MAX(H403,AM403)</f>
        <v>52.70645566</v>
      </c>
    </row>
    <row r="404">
      <c r="A404" s="5" t="inlineStr">
        <is>
          <t>F875</t>
        </is>
      </c>
      <c r="B404" s="6" t="n">
        <v>2.95</v>
      </c>
      <c r="C404" s="7" t="inlineStr">
        <is>
          <t>VR</t>
        </is>
      </c>
      <c r="D404" s="8">
        <f>IF(C404="VR",0.35,0.30)</f>
        <v>0.35</v>
      </c>
      <c r="E404" s="6" t="n">
        <v>0.4</v>
      </c>
      <c r="F404" s="9" t="n">
        <v>44.4</v>
      </c>
      <c r="G404" s="9" t="n">
        <v>14.8</v>
      </c>
      <c r="H404" s="9" t="n">
        <v>78.7</v>
      </c>
      <c r="I404" s="6" t="n">
        <v>0.72</v>
      </c>
      <c r="J404" s="10">
        <f>E404*1000-$F$2-$L$2-$H$2/2</f>
        <v>342.55</v>
      </c>
      <c r="K404" s="11">
        <f>F404*1000000/(0.9*(D404*1000)*J404^2)</f>
        <v>1.20230749</v>
      </c>
      <c r="L404" s="12">
        <f>(0.85*$B$2/$D$2)*(1-SQRT(1-2*K404/(0.85*$B$2)))</f>
        <v>0.002938843975</v>
      </c>
      <c r="M404" s="13">
        <f>L404*(D404*1000)*J404</f>
        <v>352.3453513</v>
      </c>
      <c r="N404" s="13">
        <f>MAX(0.25*SQRT($B$2)/$D$2,1.4/$D$2)*(D404*1000)*J404</f>
        <v>399.6416667</v>
      </c>
      <c r="O404" s="13">
        <f>MAX(M404,N404)</f>
        <v>399.6416667</v>
      </c>
      <c r="P404" s="14">
        <f>ROUNDUP(O404/$J$2,0)</f>
        <v>3</v>
      </c>
      <c r="Q404" s="13">
        <f>P404*$J$2</f>
        <v>597</v>
      </c>
      <c r="R404" s="10">
        <f>Q404*$D$2/(0.85*$B$2*(D404*1000))</f>
        <v>30.10084034</v>
      </c>
      <c r="S404" s="10">
        <f>0.9*Q404*$D$2*(J404-R404/2)/1000000</f>
        <v>73.90552018</v>
      </c>
      <c r="T404" s="15" t="str">
        <f>IF(AND(S404&gt;=F404,O404&lt;=0.025*(D404*1000)*J404,O404&gt;=N404),"CUMPLE","REVISAR")</f>
        <v>CUMPLE</v>
      </c>
      <c r="U404" s="11">
        <f>G404*1000000/(0.9*(D404*1000)*J404^2)</f>
        <v>0.4006789814</v>
      </c>
      <c r="V404" s="12">
        <f>(0.85*$B$2/$D$2)*(1-SQRT(1-2*U404/(0.85*$B$2)))</f>
        <v>0.0009621660767</v>
      </c>
      <c r="W404" s="13">
        <f>V404*(D404*1000)*J404</f>
        <v>115.3564964</v>
      </c>
      <c r="X404" s="13">
        <f>MAX(W404,N404)</f>
        <v>399.6416667</v>
      </c>
      <c r="Y404" s="14">
        <f>ROUNDUP(X404/$J$2,0)</f>
        <v>3</v>
      </c>
      <c r="Z404" s="13">
        <f>Y404*$J$2</f>
        <v>597</v>
      </c>
      <c r="AA404" s="10">
        <f>0.9*Z404*$D$2*(J404-(Z404*$D$2/(0.85*$B$2*(D404*1000)))/2)/1000000</f>
        <v>73.90552018</v>
      </c>
      <c r="AB404" s="15" t="str">
        <f>IF(AA404&gt;=G404,"CUMPLE","REVISAR")</f>
        <v>CUMPLE</v>
      </c>
      <c r="AC404" s="10">
        <f>0.17*SQRT($B$2)*(D404*1000)*J404/1000</f>
        <v>107.8499513</v>
      </c>
      <c r="AD404" s="10">
        <f>MAX(H404/0.75-AC404,0)</f>
        <v>0</v>
      </c>
      <c r="AE404" s="14">
        <f>IF(AD404&gt;0,MIN($N$2*$D$2*J404/(AD404*1000),MIN(J404/4,6*$H$2,150)),MIN(J404/4,6*$H$2,150))</f>
        <v>85.6375</v>
      </c>
      <c r="AF404" s="10">
        <f>0.66*SQRT($B$2)*(D404*1000)*J404/1000</f>
        <v>418.7115756</v>
      </c>
      <c r="AG404" s="15" t="str">
        <f>IF(AD404&lt;=AF404,"CUMPLE","AUMENTAR SECCION")</f>
        <v>CUMPLE</v>
      </c>
      <c r="AH404" s="10">
        <f>0.75*0.083*SQRT($B$2)*(((D404*1000)*(E404*1000))^2/(2*((D404*1000)+(E404*1000))))/1000000</f>
        <v>4.304108233</v>
      </c>
      <c r="AI404" s="15" t="str">
        <f>IF(I404&gt;AH404,"SI","No")</f>
        <v>No</v>
      </c>
      <c r="AJ404" s="11">
        <f>IF(I404&gt;AH404,I404*1000000/(0.75*2*0.85*((D404*1000-2*$F$2)*(E404*1000-2*$F$2))*$D$2),0)</f>
        <v>0</v>
      </c>
      <c r="AK404" s="10">
        <f>1.25*Q404*$D$2*(J404-(1.25*Q404*$D$2/(0.85*$B$2*(D404*1000)))/2)/1000000</f>
        <v>101.4672613</v>
      </c>
      <c r="AL404" s="10">
        <f>1.25*Z404*$D$2*(J404-(1.25*Z404*$D$2/(0.85*$B$2*(D404*1000)))/2)/1000000</f>
        <v>101.4672613</v>
      </c>
      <c r="AM404" s="10">
        <f>(AK404+AL404)/B404</f>
        <v>68.79136361</v>
      </c>
      <c r="AN404" s="10">
        <f>MAX(H404,AM404)</f>
        <v>78.73</v>
      </c>
    </row>
    <row r="405">
      <c r="A405" s="5" t="inlineStr">
        <is>
          <t>F876</t>
        </is>
      </c>
      <c r="B405" s="6" t="n">
        <v>2.6</v>
      </c>
      <c r="C405" s="7" t="inlineStr">
        <is>
          <t>VC</t>
        </is>
      </c>
      <c r="D405" s="8">
        <f>IF(C405="VR",0.35,0.30)</f>
        <v>0.3</v>
      </c>
      <c r="E405" s="6" t="n">
        <v>0.4</v>
      </c>
      <c r="F405" s="9" t="n">
        <v>96.8</v>
      </c>
      <c r="G405" s="9" t="n">
        <v>86.8</v>
      </c>
      <c r="H405" s="9" t="n">
        <v>153.8</v>
      </c>
      <c r="I405" s="6" t="n">
        <v>0.72</v>
      </c>
      <c r="J405" s="10">
        <f>E405*1000-$F$2-$L$2-$H$2/2</f>
        <v>342.55</v>
      </c>
      <c r="K405" s="11">
        <f>F405*1000000/(0.9*(D405*1000)*J405^2)</f>
        <v>3.054737595</v>
      </c>
      <c r="L405" s="12">
        <f>(0.85*$B$2/$D$2)*(1-SQRT(1-2*K405/(0.85*$B$2)))</f>
        <v>0.007811607161</v>
      </c>
      <c r="M405" s="13">
        <f>L405*(D405*1000)*J405</f>
        <v>802.7598099</v>
      </c>
      <c r="N405" s="13">
        <f>MAX(0.25*SQRT($B$2)/$D$2,1.4/$D$2)*(D405*1000)*J405</f>
        <v>342.55</v>
      </c>
      <c r="O405" s="13">
        <f>MAX(M405,N405)</f>
        <v>802.7598099</v>
      </c>
      <c r="P405" s="14">
        <f>ROUNDUP(O405/$J$2,0)</f>
        <v>5</v>
      </c>
      <c r="Q405" s="13">
        <f>P405*$J$2</f>
        <v>995</v>
      </c>
      <c r="R405" s="10">
        <f>Q405*$D$2/(0.85*$B$2*(D405*1000))</f>
        <v>58.52941176</v>
      </c>
      <c r="S405" s="10">
        <f>0.9*Q405*$D$2*(J405-R405/2)/1000000</f>
        <v>117.829732</v>
      </c>
      <c r="T405" s="15" t="str">
        <f>IF(AND(S405&gt;=F405,O405&lt;=0.025*(D405*1000)*J405,O405&gt;=N405),"CUMPLE","REVISAR")</f>
        <v>CUMPLE</v>
      </c>
      <c r="U405" s="11">
        <f>G405*1000000/(0.9*(D405*1000)*J405^2)</f>
        <v>2.740678502</v>
      </c>
      <c r="V405" s="12">
        <f>(0.85*$B$2/$D$2)*(1-SQRT(1-2*U405/(0.85*$B$2)))</f>
        <v>0.006951850525</v>
      </c>
      <c r="W405" s="13">
        <f>V405*(D405*1000)*J405</f>
        <v>714.4069192</v>
      </c>
      <c r="X405" s="13">
        <f>MAX(W405,N405)</f>
        <v>714.4069192</v>
      </c>
      <c r="Y405" s="14">
        <f>ROUNDUP(X405/$J$2,0)</f>
        <v>4</v>
      </c>
      <c r="Z405" s="13">
        <f>Y405*$J$2</f>
        <v>796</v>
      </c>
      <c r="AA405" s="10">
        <f>0.9*Z405*$D$2*(J405-(Z405*$D$2/(0.85*$B$2*(D405*1000)))/2)/1000000</f>
        <v>96.02486534</v>
      </c>
      <c r="AB405" s="15" t="str">
        <f>IF(AA405&gt;=G405,"CUMPLE","REVISAR")</f>
        <v>CUMPLE</v>
      </c>
      <c r="AC405" s="10">
        <f>0.17*SQRT($B$2)*(D405*1000)*J405/1000</f>
        <v>92.44281538</v>
      </c>
      <c r="AD405" s="10">
        <f>MAX(H405/0.75-AC405,0)</f>
        <v>112.6638513</v>
      </c>
      <c r="AE405" s="14">
        <f>IF(AD405&gt;0,MIN($N$2*$D$2*J405/(AD405*1000),MIN(J405/4,6*$H$2,150)),MIN(J405/4,6*$H$2,150))</f>
        <v>85.6375</v>
      </c>
      <c r="AF405" s="10">
        <f>0.66*SQRT($B$2)*(D405*1000)*J405/1000</f>
        <v>358.8956362</v>
      </c>
      <c r="AG405" s="15" t="str">
        <f>IF(AD405&lt;=AF405,"CUMPLE","AUMENTAR SECCION")</f>
        <v>CUMPLE</v>
      </c>
      <c r="AH405" s="10">
        <f>0.75*0.083*SQRT($B$2)*(((D405*1000)*(E405*1000))^2/(2*((D405*1000)+(E405*1000))))/1000000</f>
        <v>3.388073536</v>
      </c>
      <c r="AI405" s="15" t="str">
        <f>IF(I405&gt;AH405,"SI","No")</f>
        <v>No</v>
      </c>
      <c r="AJ405" s="11">
        <f>IF(I405&gt;AH405,I405*1000000/(0.75*2*0.85*((D405*1000-2*$F$2)*(E405*1000-2*$F$2))*$D$2),0)</f>
        <v>0</v>
      </c>
      <c r="AK405" s="10">
        <f>1.25*Q405*$D$2*(J405-(1.25*Q405*$D$2/(0.85*$B$2*(D405*1000)))/2)/1000000</f>
        <v>159.8306178</v>
      </c>
      <c r="AL405" s="10">
        <f>1.25*Z405*$D$2*(J405-(1.25*Z405*$D$2/(0.85*$B$2*(D405*1000)))/2)/1000000</f>
        <v>130.9219244</v>
      </c>
      <c r="AM405" s="10">
        <f>(AK405+AL405)/B405</f>
        <v>111.8279009</v>
      </c>
      <c r="AN405" s="10">
        <f>MAX(H405,AM405)</f>
        <v>153.83</v>
      </c>
    </row>
    <row r="406">
      <c r="A406" s="5" t="inlineStr">
        <is>
          <t>F877</t>
        </is>
      </c>
      <c r="B406" s="6" t="n">
        <v>2.5</v>
      </c>
      <c r="C406" s="7" t="inlineStr">
        <is>
          <t>VC</t>
        </is>
      </c>
      <c r="D406" s="8">
        <f>IF(C406="VR",0.35,0.30)</f>
        <v>0.3</v>
      </c>
      <c r="E406" s="6" t="n">
        <v>0.4</v>
      </c>
      <c r="F406" s="9" t="n">
        <v>17.8</v>
      </c>
      <c r="G406" s="9" t="n">
        <v>7.5</v>
      </c>
      <c r="H406" s="9" t="n">
        <v>40.6</v>
      </c>
      <c r="I406" s="6" t="n">
        <v>0.01</v>
      </c>
      <c r="J406" s="10">
        <f>E406*1000-$F$2-$L$2-$H$2/2</f>
        <v>342.55</v>
      </c>
      <c r="K406" s="11">
        <f>F406*1000000/(0.9*(D406*1000)*J406^2)</f>
        <v>0.5608874465</v>
      </c>
      <c r="L406" s="12">
        <f>(0.85*$B$2/$D$2)*(1-SQRT(1-2*K406/(0.85*$B$2)))</f>
        <v>0.001351564476</v>
      </c>
      <c r="M406" s="13">
        <f>L406*(D406*1000)*J406</f>
        <v>138.8935234</v>
      </c>
      <c r="N406" s="13">
        <f>MAX(0.25*SQRT($B$2)/$D$2,1.4/$D$2)*(D406*1000)*J406</f>
        <v>342.55</v>
      </c>
      <c r="O406" s="13">
        <f>MAX(M406,N406)</f>
        <v>342.55</v>
      </c>
      <c r="P406" s="14">
        <f>ROUNDUP(O406/$J$2,0)</f>
        <v>2</v>
      </c>
      <c r="Q406" s="13">
        <f>P406*$J$2</f>
        <v>398</v>
      </c>
      <c r="R406" s="10">
        <f>Q406*$D$2/(0.85*$B$2*(D406*1000))</f>
        <v>23.41176471</v>
      </c>
      <c r="S406" s="10">
        <f>0.9*Q406*$D$2*(J406-R406/2)/1000000</f>
        <v>49.77351244</v>
      </c>
      <c r="T406" s="15" t="str">
        <f>IF(AND(S406&gt;=F406,O406&lt;=0.025*(D406*1000)*J406,O406&gt;=N406),"CUMPLE","REVISAR")</f>
        <v>CUMPLE</v>
      </c>
      <c r="U406" s="11">
        <f>G406*1000000/(0.9*(D406*1000)*J406^2)</f>
        <v>0.2373592345</v>
      </c>
      <c r="V406" s="12">
        <f>(0.85*$B$2/$D$2)*(1-SQRT(1-2*U406/(0.85*$B$2)))</f>
        <v>0.0005679875926</v>
      </c>
      <c r="W406" s="13">
        <f>V406*(D406*1000)*J406</f>
        <v>58.36924495</v>
      </c>
      <c r="X406" s="13">
        <f>MAX(W406,N406)</f>
        <v>342.55</v>
      </c>
      <c r="Y406" s="14">
        <f>ROUNDUP(X406/$J$2,0)</f>
        <v>2</v>
      </c>
      <c r="Z406" s="13">
        <f>Y406*$J$2</f>
        <v>398</v>
      </c>
      <c r="AA406" s="10">
        <f>0.9*Z406*$D$2*(J406-(Z406*$D$2/(0.85*$B$2*(D406*1000)))/2)/1000000</f>
        <v>49.77351244</v>
      </c>
      <c r="AB406" s="15" t="str">
        <f>IF(AA406&gt;=G406,"CUMPLE","REVISAR")</f>
        <v>CUMPLE</v>
      </c>
      <c r="AC406" s="10">
        <f>0.17*SQRT($B$2)*(D406*1000)*J406/1000</f>
        <v>92.44281538</v>
      </c>
      <c r="AD406" s="10">
        <f>MAX(H406/0.75-AC406,0)</f>
        <v>0</v>
      </c>
      <c r="AE406" s="14">
        <f>IF(AD406&gt;0,MIN($N$2*$D$2*J406/(AD406*1000),MIN(J406/4,6*$H$2,150)),MIN(J406/4,6*$H$2,150))</f>
        <v>85.6375</v>
      </c>
      <c r="AF406" s="10">
        <f>0.66*SQRT($B$2)*(D406*1000)*J406/1000</f>
        <v>358.8956362</v>
      </c>
      <c r="AG406" s="15" t="str">
        <f>IF(AD406&lt;=AF406,"CUMPLE","AUMENTAR SECCION")</f>
        <v>CUMPLE</v>
      </c>
      <c r="AH406" s="10">
        <f>0.75*0.083*SQRT($B$2)*(((D406*1000)*(E406*1000))^2/(2*((D406*1000)+(E406*1000))))/1000000</f>
        <v>3.388073536</v>
      </c>
      <c r="AI406" s="15" t="str">
        <f>IF(I406&gt;AH406,"SI","No")</f>
        <v>No</v>
      </c>
      <c r="AJ406" s="11">
        <f>IF(I406&gt;AH406,I406*1000000/(0.75*2*0.85*((D406*1000-2*$F$2)*(E406*1000-2*$F$2))*$D$2),0)</f>
        <v>0</v>
      </c>
      <c r="AK406" s="10">
        <f>1.25*Q406*$D$2*(J406-(1.25*Q406*$D$2/(0.85*$B$2*(D406*1000)))/2)/1000000</f>
        <v>68.51839235</v>
      </c>
      <c r="AL406" s="10">
        <f>1.25*Z406*$D$2*(J406-(1.25*Z406*$D$2/(0.85*$B$2*(D406*1000)))/2)/1000000</f>
        <v>68.51839235</v>
      </c>
      <c r="AM406" s="10">
        <f>(AK406+AL406)/B406</f>
        <v>54.81471388</v>
      </c>
      <c r="AN406" s="10">
        <f>MAX(H406,AM406)</f>
        <v>54.81471388</v>
      </c>
    </row>
    <row r="407">
      <c r="A407" s="5" t="inlineStr">
        <is>
          <t>F878</t>
        </is>
      </c>
      <c r="B407" s="6" t="n">
        <v>4</v>
      </c>
      <c r="C407" s="7" t="inlineStr">
        <is>
          <t>VC</t>
        </is>
      </c>
      <c r="D407" s="8">
        <f>IF(C407="VR",0.35,0.30)</f>
        <v>0.3</v>
      </c>
      <c r="E407" s="6" t="n">
        <v>0.4</v>
      </c>
      <c r="F407" s="9" t="n">
        <v>65</v>
      </c>
      <c r="G407" s="9" t="n">
        <v>22.7</v>
      </c>
      <c r="H407" s="9" t="n">
        <v>73.8</v>
      </c>
      <c r="I407" s="6" t="n">
        <v>0.21</v>
      </c>
      <c r="J407" s="10">
        <f>E407*1000-$F$2-$L$2-$H$2/2</f>
        <v>342.55</v>
      </c>
      <c r="K407" s="11">
        <f>F407*1000000/(0.9*(D407*1000)*J407^2)</f>
        <v>2.051957957</v>
      </c>
      <c r="L407" s="12">
        <f>(0.85*$B$2/$D$2)*(1-SQRT(1-2*K407/(0.85*$B$2)))</f>
        <v>0.005116611668</v>
      </c>
      <c r="M407" s="13">
        <f>L407*(D407*1000)*J407</f>
        <v>525.8085981</v>
      </c>
      <c r="N407" s="13">
        <f>MAX(0.25*SQRT($B$2)/$D$2,1.4/$D$2)*(D407*1000)*J407</f>
        <v>342.55</v>
      </c>
      <c r="O407" s="13">
        <f>MAX(M407,N407)</f>
        <v>525.8085981</v>
      </c>
      <c r="P407" s="14">
        <f>ROUNDUP(O407/$J$2,0)</f>
        <v>3</v>
      </c>
      <c r="Q407" s="13">
        <f>P407*$J$2</f>
        <v>597</v>
      </c>
      <c r="R407" s="10">
        <f>Q407*$D$2/(0.85*$B$2*(D407*1000))</f>
        <v>35.11764706</v>
      </c>
      <c r="S407" s="10">
        <f>0.9*Q407*$D$2*(J407-R407/2)/1000000</f>
        <v>73.33945883</v>
      </c>
      <c r="T407" s="15" t="str">
        <f>IF(AND(S407&gt;=F407,O407&lt;=0.025*(D407*1000)*J407,O407&gt;=N407),"CUMPLE","REVISAR")</f>
        <v>CUMPLE</v>
      </c>
      <c r="U407" s="11">
        <f>G407*1000000/(0.9*(D407*1000)*J407^2)</f>
        <v>0.7168122628</v>
      </c>
      <c r="V407" s="12">
        <f>(0.85*$B$2/$D$2)*(1-SQRT(1-2*U407/(0.85*$B$2)))</f>
        <v>0.00173320164</v>
      </c>
      <c r="W407" s="13">
        <f>V407*(D407*1000)*J407</f>
        <v>178.1124665</v>
      </c>
      <c r="X407" s="13">
        <f>MAX(W407,N407)</f>
        <v>342.55</v>
      </c>
      <c r="Y407" s="14">
        <f>ROUNDUP(X407/$J$2,0)</f>
        <v>2</v>
      </c>
      <c r="Z407" s="13">
        <f>Y407*$J$2</f>
        <v>398</v>
      </c>
      <c r="AA407" s="10">
        <f>0.9*Z407*$D$2*(J407-(Z407*$D$2/(0.85*$B$2*(D407*1000)))/2)/1000000</f>
        <v>49.77351244</v>
      </c>
      <c r="AB407" s="15" t="str">
        <f>IF(AA407&gt;=G407,"CUMPLE","REVISAR")</f>
        <v>CUMPLE</v>
      </c>
      <c r="AC407" s="10">
        <f>0.17*SQRT($B$2)*(D407*1000)*J407/1000</f>
        <v>92.44281538</v>
      </c>
      <c r="AD407" s="10">
        <f>MAX(H407/0.75-AC407,0)</f>
        <v>6.01051795</v>
      </c>
      <c r="AE407" s="14">
        <f>IF(AD407&gt;0,MIN($N$2*$D$2*J407/(AD407*1000),MIN(J407/4,6*$H$2,150)),MIN(J407/4,6*$H$2,150))</f>
        <v>85.6375</v>
      </c>
      <c r="AF407" s="10">
        <f>0.66*SQRT($B$2)*(D407*1000)*J407/1000</f>
        <v>358.8956362</v>
      </c>
      <c r="AG407" s="15" t="str">
        <f>IF(AD407&lt;=AF407,"CUMPLE","AUMENTAR SECCION")</f>
        <v>CUMPLE</v>
      </c>
      <c r="AH407" s="10">
        <f>0.75*0.083*SQRT($B$2)*(((D407*1000)*(E407*1000))^2/(2*((D407*1000)+(E407*1000))))/1000000</f>
        <v>3.388073536</v>
      </c>
      <c r="AI407" s="15" t="str">
        <f>IF(I407&gt;AH407,"SI","No")</f>
        <v>No</v>
      </c>
      <c r="AJ407" s="11">
        <f>IF(I407&gt;AH407,I407*1000000/(0.75*2*0.85*((D407*1000-2*$F$2)*(E407*1000-2*$F$2))*$D$2),0)</f>
        <v>0</v>
      </c>
      <c r="AK407" s="10">
        <f>1.25*Q407*$D$2*(J407-(1.25*Q407*$D$2/(0.85*$B$2*(D407*1000)))/2)/1000000</f>
        <v>100.4845159</v>
      </c>
      <c r="AL407" s="10">
        <f>1.25*Z407*$D$2*(J407-(1.25*Z407*$D$2/(0.85*$B$2*(D407*1000)))/2)/1000000</f>
        <v>68.51839235</v>
      </c>
      <c r="AM407" s="10">
        <f>(AK407+AL407)/B407</f>
        <v>42.25072707</v>
      </c>
      <c r="AN407" s="10">
        <f>MAX(H407,AM407)</f>
        <v>73.84</v>
      </c>
    </row>
    <row r="408">
      <c r="A408" s="5" t="inlineStr">
        <is>
          <t>F879</t>
        </is>
      </c>
      <c r="B408" s="6" t="n">
        <v>2.8</v>
      </c>
      <c r="C408" s="7" t="inlineStr">
        <is>
          <t>VR</t>
        </is>
      </c>
      <c r="D408" s="8">
        <f>IF(C408="VR",0.35,0.30)</f>
        <v>0.35</v>
      </c>
      <c r="E408" s="6" t="n">
        <v>0.4</v>
      </c>
      <c r="F408" s="9" t="n">
        <v>78.8</v>
      </c>
      <c r="G408" s="9" t="n">
        <v>37.4</v>
      </c>
      <c r="H408" s="9" t="n">
        <v>85.90000000000001</v>
      </c>
      <c r="I408" s="6" t="n">
        <v>0</v>
      </c>
      <c r="J408" s="10">
        <f>E408*1000-$F$2-$L$2-$H$2/2</f>
        <v>342.55</v>
      </c>
      <c r="K408" s="11">
        <f>F408*1000000/(0.9*(D408*1000)*J408^2)</f>
        <v>2.132445463</v>
      </c>
      <c r="L408" s="12">
        <f>(0.85*$B$2/$D$2)*(1-SQRT(1-2*K408/(0.85*$B$2)))</f>
        <v>0.005327701743</v>
      </c>
      <c r="M408" s="13">
        <f>L408*(D408*1000)*J408</f>
        <v>638.7514812</v>
      </c>
      <c r="N408" s="13">
        <f>MAX(0.25*SQRT($B$2)/$D$2,1.4/$D$2)*(D408*1000)*J408</f>
        <v>399.6416667</v>
      </c>
      <c r="O408" s="13">
        <f>MAX(M408,N408)</f>
        <v>638.7514812</v>
      </c>
      <c r="P408" s="14">
        <f>ROUNDUP(O408/$J$2,0)</f>
        <v>4</v>
      </c>
      <c r="Q408" s="13">
        <f>P408*$J$2</f>
        <v>796</v>
      </c>
      <c r="R408" s="10">
        <f>Q408*$D$2/(0.85*$B$2*(D408*1000))</f>
        <v>40.13445378</v>
      </c>
      <c r="S408" s="10">
        <f>0.9*Q408*$D$2*(J408-R408/2)/1000000</f>
        <v>97.03119664</v>
      </c>
      <c r="T408" s="15" t="str">
        <f>IF(AND(S408&gt;=F408,O408&lt;=0.025*(D408*1000)*J408,O408&gt;=N408),"CUMPLE","REVISAR")</f>
        <v>CUMPLE</v>
      </c>
      <c r="U408" s="11">
        <f>G408*1000000/(0.9*(D408*1000)*J408^2)</f>
        <v>1.011301845</v>
      </c>
      <c r="V408" s="12">
        <f>(0.85*$B$2/$D$2)*(1-SQRT(1-2*U408/(0.85*$B$2)))</f>
        <v>0.002461315113</v>
      </c>
      <c r="W408" s="13">
        <f>V408*(D408*1000)*J408</f>
        <v>295.0932222</v>
      </c>
      <c r="X408" s="13">
        <f>MAX(W408,N408)</f>
        <v>399.6416667</v>
      </c>
      <c r="Y408" s="14">
        <f>ROUNDUP(X408/$J$2,0)</f>
        <v>3</v>
      </c>
      <c r="Z408" s="13">
        <f>Y408*$J$2</f>
        <v>597</v>
      </c>
      <c r="AA408" s="10">
        <f>0.9*Z408*$D$2*(J408-(Z408*$D$2/(0.85*$B$2*(D408*1000)))/2)/1000000</f>
        <v>73.90552018</v>
      </c>
      <c r="AB408" s="15" t="str">
        <f>IF(AA408&gt;=G408,"CUMPLE","REVISAR")</f>
        <v>CUMPLE</v>
      </c>
      <c r="AC408" s="10">
        <f>0.17*SQRT($B$2)*(D408*1000)*J408/1000</f>
        <v>107.8499513</v>
      </c>
      <c r="AD408" s="10">
        <f>MAX(H408/0.75-AC408,0)</f>
        <v>6.696715386</v>
      </c>
      <c r="AE408" s="14">
        <f>IF(AD408&gt;0,MIN($N$2*$D$2*J408/(AD408*1000),MIN(J408/4,6*$H$2,150)),MIN(J408/4,6*$H$2,150))</f>
        <v>85.6375</v>
      </c>
      <c r="AF408" s="10">
        <f>0.66*SQRT($B$2)*(D408*1000)*J408/1000</f>
        <v>418.7115756</v>
      </c>
      <c r="AG408" s="15" t="str">
        <f>IF(AD408&lt;=AF408,"CUMPLE","AUMENTAR SECCION")</f>
        <v>CUMPLE</v>
      </c>
      <c r="AH408" s="10">
        <f>0.75*0.083*SQRT($B$2)*(((D408*1000)*(E408*1000))^2/(2*((D408*1000)+(E408*1000))))/1000000</f>
        <v>4.304108233</v>
      </c>
      <c r="AI408" s="15" t="str">
        <f>IF(I408&gt;AH408,"SI","No")</f>
        <v>No</v>
      </c>
      <c r="AJ408" s="11">
        <f>IF(I408&gt;AH408,I408*1000000/(0.75*2*0.85*((D408*1000-2*$F$2)*(E408*1000-2*$F$2))*$D$2),0)</f>
        <v>0</v>
      </c>
      <c r="AK408" s="10">
        <f>1.25*Q408*$D$2*(J408-(1.25*Q408*$D$2/(0.85*$B$2*(D408*1000)))/2)/1000000</f>
        <v>132.6690274</v>
      </c>
      <c r="AL408" s="10">
        <f>1.25*Z408*$D$2*(J408-(1.25*Z408*$D$2/(0.85*$B$2*(D408*1000)))/2)/1000000</f>
        <v>101.4672613</v>
      </c>
      <c r="AM408" s="10">
        <f>(AK408+AL408)/B408</f>
        <v>83.6201031</v>
      </c>
      <c r="AN408" s="10">
        <f>MAX(H408,AM408)</f>
        <v>85.91</v>
      </c>
    </row>
    <row r="409">
      <c r="A409" s="5" t="inlineStr">
        <is>
          <t>F880</t>
        </is>
      </c>
      <c r="B409" s="6" t="n">
        <v>2.7</v>
      </c>
      <c r="C409" s="7" t="inlineStr">
        <is>
          <t>VR</t>
        </is>
      </c>
      <c r="D409" s="8">
        <f>IF(C409="VR",0.35,0.30)</f>
        <v>0.35</v>
      </c>
      <c r="E409" s="6" t="n">
        <v>0.4</v>
      </c>
      <c r="F409" s="9" t="n">
        <v>81</v>
      </c>
      <c r="G409" s="9" t="n">
        <v>42.5</v>
      </c>
      <c r="H409" s="9" t="n">
        <v>88.59999999999999</v>
      </c>
      <c r="I409" s="6" t="n">
        <v>0</v>
      </c>
      <c r="J409" s="10">
        <f>E409*1000-$F$2-$L$2-$H$2/2</f>
        <v>342.55</v>
      </c>
      <c r="K409" s="11">
        <f>F409*1000000/(0.9*(D409*1000)*J409^2)</f>
        <v>2.19169509</v>
      </c>
      <c r="L409" s="12">
        <f>(0.85*$B$2/$D$2)*(1-SQRT(1-2*K409/(0.85*$B$2)))</f>
        <v>0.005483648732</v>
      </c>
      <c r="M409" s="13">
        <f>L409*(D409*1000)*J409</f>
        <v>657.4483555</v>
      </c>
      <c r="N409" s="13">
        <f>MAX(0.25*SQRT($B$2)/$D$2,1.4/$D$2)*(D409*1000)*J409</f>
        <v>399.6416667</v>
      </c>
      <c r="O409" s="13">
        <f>MAX(M409,N409)</f>
        <v>657.4483555</v>
      </c>
      <c r="P409" s="14">
        <f>ROUNDUP(O409/$J$2,0)</f>
        <v>4</v>
      </c>
      <c r="Q409" s="13">
        <f>P409*$J$2</f>
        <v>796</v>
      </c>
      <c r="R409" s="10">
        <f>Q409*$D$2/(0.85*$B$2*(D409*1000))</f>
        <v>40.13445378</v>
      </c>
      <c r="S409" s="10">
        <f>0.9*Q409*$D$2*(J409-R409/2)/1000000</f>
        <v>97.03119664</v>
      </c>
      <c r="T409" s="15" t="str">
        <f>IF(AND(S409&gt;=F409,O409&lt;=0.025*(D409*1000)*J409,O409&gt;=N409),"CUMPLE","REVISAR")</f>
        <v>CUMPLE</v>
      </c>
      <c r="U409" s="11">
        <f>G409*1000000/(0.9*(D409*1000)*J409^2)</f>
        <v>1.149009881</v>
      </c>
      <c r="V409" s="12">
        <f>(0.85*$B$2/$D$2)*(1-SQRT(1-2*U409/(0.85*$B$2)))</f>
        <v>0.002805169976</v>
      </c>
      <c r="W409" s="13">
        <f>V409*(D409*1000)*J409</f>
        <v>336.3188414</v>
      </c>
      <c r="X409" s="13">
        <f>MAX(W409,N409)</f>
        <v>399.6416667</v>
      </c>
      <c r="Y409" s="14">
        <f>ROUNDUP(X409/$J$2,0)</f>
        <v>3</v>
      </c>
      <c r="Z409" s="13">
        <f>Y409*$J$2</f>
        <v>597</v>
      </c>
      <c r="AA409" s="10">
        <f>0.9*Z409*$D$2*(J409-(Z409*$D$2/(0.85*$B$2*(D409*1000)))/2)/1000000</f>
        <v>73.90552018</v>
      </c>
      <c r="AB409" s="15" t="str">
        <f>IF(AA409&gt;=G409,"CUMPLE","REVISAR")</f>
        <v>CUMPLE</v>
      </c>
      <c r="AC409" s="10">
        <f>0.17*SQRT($B$2)*(D409*1000)*J409/1000</f>
        <v>107.8499513</v>
      </c>
      <c r="AD409" s="10">
        <f>MAX(H409/0.75-AC409,0)</f>
        <v>10.23004872</v>
      </c>
      <c r="AE409" s="14">
        <f>IF(AD409&gt;0,MIN($N$2*$D$2*J409/(AD409*1000),MIN(J409/4,6*$H$2,150)),MIN(J409/4,6*$H$2,150))</f>
        <v>85.6375</v>
      </c>
      <c r="AF409" s="10">
        <f>0.66*SQRT($B$2)*(D409*1000)*J409/1000</f>
        <v>418.7115756</v>
      </c>
      <c r="AG409" s="15" t="str">
        <f>IF(AD409&lt;=AF409,"CUMPLE","AUMENTAR SECCION")</f>
        <v>CUMPLE</v>
      </c>
      <c r="AH409" s="10">
        <f>0.75*0.083*SQRT($B$2)*(((D409*1000)*(E409*1000))^2/(2*((D409*1000)+(E409*1000))))/1000000</f>
        <v>4.304108233</v>
      </c>
      <c r="AI409" s="15" t="str">
        <f>IF(I409&gt;AH409,"SI","No")</f>
        <v>No</v>
      </c>
      <c r="AJ409" s="11">
        <f>IF(I409&gt;AH409,I409*1000000/(0.75*2*0.85*((D409*1000-2*$F$2)*(E409*1000-2*$F$2))*$D$2),0)</f>
        <v>0</v>
      </c>
      <c r="AK409" s="10">
        <f>1.25*Q409*$D$2*(J409-(1.25*Q409*$D$2/(0.85*$B$2*(D409*1000)))/2)/1000000</f>
        <v>132.6690274</v>
      </c>
      <c r="AL409" s="10">
        <f>1.25*Z409*$D$2*(J409-(1.25*Z409*$D$2/(0.85*$B$2*(D409*1000)))/2)/1000000</f>
        <v>101.4672613</v>
      </c>
      <c r="AM409" s="10">
        <f>(AK409+AL409)/B409</f>
        <v>86.71714395</v>
      </c>
      <c r="AN409" s="10">
        <f>MAX(H409,AM409)</f>
        <v>88.56</v>
      </c>
    </row>
    <row r="410">
      <c r="A410" s="5" t="inlineStr">
        <is>
          <t>F881</t>
        </is>
      </c>
      <c r="B410" s="6" t="n">
        <v>4</v>
      </c>
      <c r="C410" s="7" t="inlineStr">
        <is>
          <t>VC</t>
        </is>
      </c>
      <c r="D410" s="8">
        <f>IF(C410="VR",0.35,0.30)</f>
        <v>0.3</v>
      </c>
      <c r="E410" s="6" t="n">
        <v>0.4</v>
      </c>
      <c r="F410" s="9" t="n">
        <v>65.2</v>
      </c>
      <c r="G410" s="9" t="n">
        <v>22.8</v>
      </c>
      <c r="H410" s="9" t="n">
        <v>74</v>
      </c>
      <c r="I410" s="6" t="n">
        <v>0.21</v>
      </c>
      <c r="J410" s="10">
        <f>E410*1000-$F$2-$L$2-$H$2/2</f>
        <v>342.55</v>
      </c>
      <c r="K410" s="11">
        <f>F410*1000000/(0.9*(D410*1000)*J410^2)</f>
        <v>2.059533252</v>
      </c>
      <c r="L410" s="12">
        <f>(0.85*$B$2/$D$2)*(1-SQRT(1-2*K410/(0.85*$B$2)))</f>
        <v>0.005136442107</v>
      </c>
      <c r="M410" s="13">
        <f>L410*(D410*1000)*J410</f>
        <v>527.8464731</v>
      </c>
      <c r="N410" s="13">
        <f>MAX(0.25*SQRT($B$2)/$D$2,1.4/$D$2)*(D410*1000)*J410</f>
        <v>342.55</v>
      </c>
      <c r="O410" s="13">
        <f>MAX(M410,N410)</f>
        <v>527.8464731</v>
      </c>
      <c r="P410" s="14">
        <f>ROUNDUP(O410/$J$2,0)</f>
        <v>3</v>
      </c>
      <c r="Q410" s="13">
        <f>P410*$J$2</f>
        <v>597</v>
      </c>
      <c r="R410" s="10">
        <f>Q410*$D$2/(0.85*$B$2*(D410*1000))</f>
        <v>35.11764706</v>
      </c>
      <c r="S410" s="10">
        <f>0.9*Q410*$D$2*(J410-R410/2)/1000000</f>
        <v>73.33945883</v>
      </c>
      <c r="T410" s="15" t="str">
        <f>IF(AND(S410&gt;=F410,O410&lt;=0.025*(D410*1000)*J410,O410&gt;=N410),"CUMPLE","REVISAR")</f>
        <v>CUMPLE</v>
      </c>
      <c r="U410" s="11">
        <f>G410*1000000/(0.9*(D410*1000)*J410^2)</f>
        <v>0.7187060864</v>
      </c>
      <c r="V410" s="12">
        <f>(0.85*$B$2/$D$2)*(1-SQRT(1-2*U410/(0.85*$B$2)))</f>
        <v>0.001737853207</v>
      </c>
      <c r="W410" s="13">
        <f>V410*(D410*1000)*J410</f>
        <v>178.5904848</v>
      </c>
      <c r="X410" s="13">
        <f>MAX(W410,N410)</f>
        <v>342.55</v>
      </c>
      <c r="Y410" s="14">
        <f>ROUNDUP(X410/$J$2,0)</f>
        <v>2</v>
      </c>
      <c r="Z410" s="13">
        <f>Y410*$J$2</f>
        <v>398</v>
      </c>
      <c r="AA410" s="10">
        <f>0.9*Z410*$D$2*(J410-(Z410*$D$2/(0.85*$B$2*(D410*1000)))/2)/1000000</f>
        <v>49.77351244</v>
      </c>
      <c r="AB410" s="15" t="str">
        <f>IF(AA410&gt;=G410,"CUMPLE","REVISAR")</f>
        <v>CUMPLE</v>
      </c>
      <c r="AC410" s="10">
        <f>0.17*SQRT($B$2)*(D410*1000)*J410/1000</f>
        <v>92.44281538</v>
      </c>
      <c r="AD410" s="10">
        <f>MAX(H410/0.75-AC410,0)</f>
        <v>6.157184616</v>
      </c>
      <c r="AE410" s="14">
        <f>IF(AD410&gt;0,MIN($N$2*$D$2*J410/(AD410*1000),MIN(J410/4,6*$H$2,150)),MIN(J410/4,6*$H$2,150))</f>
        <v>85.6375</v>
      </c>
      <c r="AF410" s="10">
        <f>0.66*SQRT($B$2)*(D410*1000)*J410/1000</f>
        <v>358.8956362</v>
      </c>
      <c r="AG410" s="15" t="str">
        <f>IF(AD410&lt;=AF410,"CUMPLE","AUMENTAR SECCION")</f>
        <v>CUMPLE</v>
      </c>
      <c r="AH410" s="10">
        <f>0.75*0.083*SQRT($B$2)*(((D410*1000)*(E410*1000))^2/(2*((D410*1000)+(E410*1000))))/1000000</f>
        <v>3.388073536</v>
      </c>
      <c r="AI410" s="15" t="str">
        <f>IF(I410&gt;AH410,"SI","No")</f>
        <v>No</v>
      </c>
      <c r="AJ410" s="11">
        <f>IF(I410&gt;AH410,I410*1000000/(0.75*2*0.85*((D410*1000-2*$F$2)*(E410*1000-2*$F$2))*$D$2),0)</f>
        <v>0</v>
      </c>
      <c r="AK410" s="10">
        <f>1.25*Q410*$D$2*(J410-(1.25*Q410*$D$2/(0.85*$B$2*(D410*1000)))/2)/1000000</f>
        <v>100.4845159</v>
      </c>
      <c r="AL410" s="10">
        <f>1.25*Z410*$D$2*(J410-(1.25*Z410*$D$2/(0.85*$B$2*(D410*1000)))/2)/1000000</f>
        <v>68.51839235</v>
      </c>
      <c r="AM410" s="10">
        <f>(AK410+AL410)/B410</f>
        <v>42.25072707</v>
      </c>
      <c r="AN410" s="10">
        <f>MAX(H410,AM410)</f>
        <v>73.95</v>
      </c>
    </row>
    <row r="411">
      <c r="A411" s="5" t="inlineStr">
        <is>
          <t>F882</t>
        </is>
      </c>
      <c r="B411" s="6" t="n">
        <v>2.5</v>
      </c>
      <c r="C411" s="7" t="inlineStr">
        <is>
          <t>VC</t>
        </is>
      </c>
      <c r="D411" s="8">
        <f>IF(C411="VR",0.35,0.30)</f>
        <v>0.3</v>
      </c>
      <c r="E411" s="6" t="n">
        <v>0.4</v>
      </c>
      <c r="F411" s="9" t="n">
        <v>17.8</v>
      </c>
      <c r="G411" s="9" t="n">
        <v>7.5</v>
      </c>
      <c r="H411" s="9" t="n">
        <v>40.7</v>
      </c>
      <c r="I411" s="6" t="n">
        <v>0.01</v>
      </c>
      <c r="J411" s="10">
        <f>E411*1000-$F$2-$L$2-$H$2/2</f>
        <v>342.55</v>
      </c>
      <c r="K411" s="11">
        <f>F411*1000000/(0.9*(D411*1000)*J411^2)</f>
        <v>0.561518721</v>
      </c>
      <c r="L411" s="12">
        <f>(0.85*$B$2/$D$2)*(1-SQRT(1-2*K411/(0.85*$B$2)))</f>
        <v>0.001353104258</v>
      </c>
      <c r="M411" s="13">
        <f>L411*(D411*1000)*J411</f>
        <v>139.051759</v>
      </c>
      <c r="N411" s="13">
        <f>MAX(0.25*SQRT($B$2)/$D$2,1.4/$D$2)*(D411*1000)*J411</f>
        <v>342.55</v>
      </c>
      <c r="O411" s="13">
        <f>MAX(M411,N411)</f>
        <v>342.55</v>
      </c>
      <c r="P411" s="14">
        <f>ROUNDUP(O411/$J$2,0)</f>
        <v>2</v>
      </c>
      <c r="Q411" s="13">
        <f>P411*$J$2</f>
        <v>398</v>
      </c>
      <c r="R411" s="10">
        <f>Q411*$D$2/(0.85*$B$2*(D411*1000))</f>
        <v>23.41176471</v>
      </c>
      <c r="S411" s="10">
        <f>0.9*Q411*$D$2*(J411-R411/2)/1000000</f>
        <v>49.77351244</v>
      </c>
      <c r="T411" s="15" t="str">
        <f>IF(AND(S411&gt;=F411,O411&lt;=0.025*(D411*1000)*J411,O411&gt;=N411),"CUMPLE","REVISAR")</f>
        <v>CUMPLE</v>
      </c>
      <c r="U411" s="11">
        <f>G411*1000000/(0.9*(D411*1000)*J411^2)</f>
        <v>0.2373592345</v>
      </c>
      <c r="V411" s="12">
        <f>(0.85*$B$2/$D$2)*(1-SQRT(1-2*U411/(0.85*$B$2)))</f>
        <v>0.0005679875926</v>
      </c>
      <c r="W411" s="13">
        <f>V411*(D411*1000)*J411</f>
        <v>58.36924495</v>
      </c>
      <c r="X411" s="13">
        <f>MAX(W411,N411)</f>
        <v>342.55</v>
      </c>
      <c r="Y411" s="14">
        <f>ROUNDUP(X411/$J$2,0)</f>
        <v>2</v>
      </c>
      <c r="Z411" s="13">
        <f>Y411*$J$2</f>
        <v>398</v>
      </c>
      <c r="AA411" s="10">
        <f>0.9*Z411*$D$2*(J411-(Z411*$D$2/(0.85*$B$2*(D411*1000)))/2)/1000000</f>
        <v>49.77351244</v>
      </c>
      <c r="AB411" s="15" t="str">
        <f>IF(AA411&gt;=G411,"CUMPLE","REVISAR")</f>
        <v>CUMPLE</v>
      </c>
      <c r="AC411" s="10">
        <f>0.17*SQRT($B$2)*(D411*1000)*J411/1000</f>
        <v>92.44281538</v>
      </c>
      <c r="AD411" s="10">
        <f>MAX(H411/0.75-AC411,0)</f>
        <v>0</v>
      </c>
      <c r="AE411" s="14">
        <f>IF(AD411&gt;0,MIN($N$2*$D$2*J411/(AD411*1000),MIN(J411/4,6*$H$2,150)),MIN(J411/4,6*$H$2,150))</f>
        <v>85.6375</v>
      </c>
      <c r="AF411" s="10">
        <f>0.66*SQRT($B$2)*(D411*1000)*J411/1000</f>
        <v>358.8956362</v>
      </c>
      <c r="AG411" s="15" t="str">
        <f>IF(AD411&lt;=AF411,"CUMPLE","AUMENTAR SECCION")</f>
        <v>CUMPLE</v>
      </c>
      <c r="AH411" s="10">
        <f>0.75*0.083*SQRT($B$2)*(((D411*1000)*(E411*1000))^2/(2*((D411*1000)+(E411*1000))))/1000000</f>
        <v>3.388073536</v>
      </c>
      <c r="AI411" s="15" t="str">
        <f>IF(I411&gt;AH411,"SI","No")</f>
        <v>No</v>
      </c>
      <c r="AJ411" s="11">
        <f>IF(I411&gt;AH411,I411*1000000/(0.75*2*0.85*((D411*1000-2*$F$2)*(E411*1000-2*$F$2))*$D$2),0)</f>
        <v>0</v>
      </c>
      <c r="AK411" s="10">
        <f>1.25*Q411*$D$2*(J411-(1.25*Q411*$D$2/(0.85*$B$2*(D411*1000)))/2)/1000000</f>
        <v>68.51839235</v>
      </c>
      <c r="AL411" s="10">
        <f>1.25*Z411*$D$2*(J411-(1.25*Z411*$D$2/(0.85*$B$2*(D411*1000)))/2)/1000000</f>
        <v>68.51839235</v>
      </c>
      <c r="AM411" s="10">
        <f>(AK411+AL411)/B411</f>
        <v>54.81471388</v>
      </c>
      <c r="AN411" s="10">
        <f>MAX(H411,AM411)</f>
        <v>54.81471388</v>
      </c>
    </row>
    <row r="412">
      <c r="A412" s="5" t="inlineStr">
        <is>
          <t>F883</t>
        </is>
      </c>
      <c r="B412" s="6" t="n">
        <v>2.6</v>
      </c>
      <c r="C412" s="7" t="inlineStr">
        <is>
          <t>VC</t>
        </is>
      </c>
      <c r="D412" s="8">
        <f>IF(C412="VR",0.35,0.30)</f>
        <v>0.3</v>
      </c>
      <c r="E412" s="6" t="n">
        <v>0.4</v>
      </c>
      <c r="F412" s="9" t="n">
        <v>97.09999999999999</v>
      </c>
      <c r="G412" s="9" t="n">
        <v>40.1</v>
      </c>
      <c r="H412" s="9" t="n">
        <v>154.3</v>
      </c>
      <c r="I412" s="6" t="n">
        <v>0.72</v>
      </c>
      <c r="J412" s="10">
        <f>E412*1000-$F$2-$L$2-$H$2/2</f>
        <v>342.55</v>
      </c>
      <c r="K412" s="11">
        <f>F412*1000000/(0.9*(D412*1000)*J412^2)</f>
        <v>3.064837988</v>
      </c>
      <c r="L412" s="12">
        <f>(0.85*$B$2/$D$2)*(1-SQRT(1-2*K412/(0.85*$B$2)))</f>
        <v>0.007839508891</v>
      </c>
      <c r="M412" s="13">
        <f>L412*(D412*1000)*J412</f>
        <v>805.6271311</v>
      </c>
      <c r="N412" s="13">
        <f>MAX(0.25*SQRT($B$2)/$D$2,1.4/$D$2)*(D412*1000)*J412</f>
        <v>342.55</v>
      </c>
      <c r="O412" s="13">
        <f>MAX(M412,N412)</f>
        <v>805.6271311</v>
      </c>
      <c r="P412" s="14">
        <f>ROUNDUP(O412/$J$2,0)</f>
        <v>5</v>
      </c>
      <c r="Q412" s="13">
        <f>P412*$J$2</f>
        <v>995</v>
      </c>
      <c r="R412" s="10">
        <f>Q412*$D$2/(0.85*$B$2*(D412*1000))</f>
        <v>58.52941176</v>
      </c>
      <c r="S412" s="10">
        <f>0.9*Q412*$D$2*(J412-R412/2)/1000000</f>
        <v>117.829732</v>
      </c>
      <c r="T412" s="15" t="str">
        <f>IF(AND(S412&gt;=F412,O412&lt;=0.025*(D412*1000)*J412,O412&gt;=N412),"CUMPLE","REVISAR")</f>
        <v>CUMPLE</v>
      </c>
      <c r="U412" s="11">
        <f>G412*1000000/(0.9*(D412*1000)*J412^2)</f>
        <v>1.266336767</v>
      </c>
      <c r="V412" s="12">
        <f>(0.85*$B$2/$D$2)*(1-SQRT(1-2*U412/(0.85*$B$2)))</f>
        <v>0.00309987481</v>
      </c>
      <c r="W412" s="13">
        <f>V412*(D412*1000)*J412</f>
        <v>318.5586349</v>
      </c>
      <c r="X412" s="13">
        <f>MAX(W412,N412)</f>
        <v>342.55</v>
      </c>
      <c r="Y412" s="14">
        <f>ROUNDUP(X412/$J$2,0)</f>
        <v>2</v>
      </c>
      <c r="Z412" s="13">
        <f>Y412*$J$2</f>
        <v>398</v>
      </c>
      <c r="AA412" s="10">
        <f>0.9*Z412*$D$2*(J412-(Z412*$D$2/(0.85*$B$2*(D412*1000)))/2)/1000000</f>
        <v>49.77351244</v>
      </c>
      <c r="AB412" s="15" t="str">
        <f>IF(AA412&gt;=G412,"CUMPLE","REVISAR")</f>
        <v>CUMPLE</v>
      </c>
      <c r="AC412" s="10">
        <f>0.17*SQRT($B$2)*(D412*1000)*J412/1000</f>
        <v>92.44281538</v>
      </c>
      <c r="AD412" s="10">
        <f>MAX(H412/0.75-AC412,0)</f>
        <v>113.2905179</v>
      </c>
      <c r="AE412" s="14">
        <f>IF(AD412&gt;0,MIN($N$2*$D$2*J412/(AD412*1000),MIN(J412/4,6*$H$2,150)),MIN(J412/4,6*$H$2,150))</f>
        <v>85.6375</v>
      </c>
      <c r="AF412" s="10">
        <f>0.66*SQRT($B$2)*(D412*1000)*J412/1000</f>
        <v>358.8956362</v>
      </c>
      <c r="AG412" s="15" t="str">
        <f>IF(AD412&lt;=AF412,"CUMPLE","AUMENTAR SECCION")</f>
        <v>CUMPLE</v>
      </c>
      <c r="AH412" s="10">
        <f>0.75*0.083*SQRT($B$2)*(((D412*1000)*(E412*1000))^2/(2*((D412*1000)+(E412*1000))))/1000000</f>
        <v>3.388073536</v>
      </c>
      <c r="AI412" s="15" t="str">
        <f>IF(I412&gt;AH412,"SI","No")</f>
        <v>No</v>
      </c>
      <c r="AJ412" s="11">
        <f>IF(I412&gt;AH412,I412*1000000/(0.75*2*0.85*((D412*1000-2*$F$2)*(E412*1000-2*$F$2))*$D$2),0)</f>
        <v>0</v>
      </c>
      <c r="AK412" s="10">
        <f>1.25*Q412*$D$2*(J412-(1.25*Q412*$D$2/(0.85*$B$2*(D412*1000)))/2)/1000000</f>
        <v>159.8306178</v>
      </c>
      <c r="AL412" s="10">
        <f>1.25*Z412*$D$2*(J412-(1.25*Z412*$D$2/(0.85*$B$2*(D412*1000)))/2)/1000000</f>
        <v>68.51839235</v>
      </c>
      <c r="AM412" s="10">
        <f>(AK412+AL412)/B412</f>
        <v>87.82654238</v>
      </c>
      <c r="AN412" s="10">
        <f>MAX(H412,AM412)</f>
        <v>154.3</v>
      </c>
    </row>
    <row r="413">
      <c r="A413" s="5" t="inlineStr">
        <is>
          <t>F884</t>
        </is>
      </c>
      <c r="B413" s="6" t="n">
        <v>2.95</v>
      </c>
      <c r="C413" s="7" t="inlineStr">
        <is>
          <t>VR</t>
        </is>
      </c>
      <c r="D413" s="8">
        <f>IF(C413="VR",0.35,0.30)</f>
        <v>0.35</v>
      </c>
      <c r="E413" s="6" t="n">
        <v>0.4</v>
      </c>
      <c r="F413" s="9" t="n">
        <v>44.6</v>
      </c>
      <c r="G413" s="9" t="n">
        <v>34.5</v>
      </c>
      <c r="H413" s="9" t="n">
        <v>79</v>
      </c>
      <c r="I413" s="6" t="n">
        <v>0.72</v>
      </c>
      <c r="J413" s="10">
        <f>E413*1000-$F$2-$L$2-$H$2/2</f>
        <v>342.55</v>
      </c>
      <c r="K413" s="11">
        <f>F413*1000000/(0.9*(D413*1000)*J413^2)</f>
        <v>1.207447869</v>
      </c>
      <c r="L413" s="12">
        <f>(0.85*$B$2/$D$2)*(1-SQRT(1-2*K413/(0.85*$B$2)))</f>
        <v>0.00295175398</v>
      </c>
      <c r="M413" s="13">
        <f>L413*(D413*1000)*J413</f>
        <v>353.8931641</v>
      </c>
      <c r="N413" s="13">
        <f>MAX(0.25*SQRT($B$2)/$D$2,1.4/$D$2)*(D413*1000)*J413</f>
        <v>399.6416667</v>
      </c>
      <c r="O413" s="13">
        <f>MAX(M413,N413)</f>
        <v>399.6416667</v>
      </c>
      <c r="P413" s="14">
        <f>ROUNDUP(O413/$J$2,0)</f>
        <v>3</v>
      </c>
      <c r="Q413" s="13">
        <f>P413*$J$2</f>
        <v>597</v>
      </c>
      <c r="R413" s="10">
        <f>Q413*$D$2/(0.85*$B$2*(D413*1000))</f>
        <v>30.10084034</v>
      </c>
      <c r="S413" s="10">
        <f>0.9*Q413*$D$2*(J413-R413/2)/1000000</f>
        <v>73.90552018</v>
      </c>
      <c r="T413" s="15" t="str">
        <f>IF(AND(S413&gt;=F413,O413&lt;=0.025*(D413*1000)*J413,O413&gt;=N413),"CUMPLE","REVISAR")</f>
        <v>CUMPLE</v>
      </c>
      <c r="U413" s="11">
        <f>G413*1000000/(0.9*(D413*1000)*J413^2)</f>
        <v>0.9320317967</v>
      </c>
      <c r="V413" s="12">
        <f>(0.85*$B$2/$D$2)*(1-SQRT(1-2*U413/(0.85*$B$2)))</f>
        <v>0.002264364624</v>
      </c>
      <c r="W413" s="13">
        <f>V413*(D413*1000)*J413</f>
        <v>271.4803357</v>
      </c>
      <c r="X413" s="13">
        <f>MAX(W413,N413)</f>
        <v>399.6416667</v>
      </c>
      <c r="Y413" s="14">
        <f>ROUNDUP(X413/$J$2,0)</f>
        <v>3</v>
      </c>
      <c r="Z413" s="13">
        <f>Y413*$J$2</f>
        <v>597</v>
      </c>
      <c r="AA413" s="10">
        <f>0.9*Z413*$D$2*(J413-(Z413*$D$2/(0.85*$B$2*(D413*1000)))/2)/1000000</f>
        <v>73.90552018</v>
      </c>
      <c r="AB413" s="15" t="str">
        <f>IF(AA413&gt;=G413,"CUMPLE","REVISAR")</f>
        <v>CUMPLE</v>
      </c>
      <c r="AC413" s="10">
        <f>0.17*SQRT($B$2)*(D413*1000)*J413/1000</f>
        <v>107.8499513</v>
      </c>
      <c r="AD413" s="10">
        <f>MAX(H413/0.75-AC413,0)</f>
        <v>0</v>
      </c>
      <c r="AE413" s="14">
        <f>IF(AD413&gt;0,MIN($N$2*$D$2*J413/(AD413*1000),MIN(J413/4,6*$H$2,150)),MIN(J413/4,6*$H$2,150))</f>
        <v>85.6375</v>
      </c>
      <c r="AF413" s="10">
        <f>0.66*SQRT($B$2)*(D413*1000)*J413/1000</f>
        <v>418.7115756</v>
      </c>
      <c r="AG413" s="15" t="str">
        <f>IF(AD413&lt;=AF413,"CUMPLE","AUMENTAR SECCION")</f>
        <v>CUMPLE</v>
      </c>
      <c r="AH413" s="10">
        <f>0.75*0.083*SQRT($B$2)*(((D413*1000)*(E413*1000))^2/(2*((D413*1000)+(E413*1000))))/1000000</f>
        <v>4.304108233</v>
      </c>
      <c r="AI413" s="15" t="str">
        <f>IF(I413&gt;AH413,"SI","No")</f>
        <v>No</v>
      </c>
      <c r="AJ413" s="11">
        <f>IF(I413&gt;AH413,I413*1000000/(0.75*2*0.85*((D413*1000-2*$F$2)*(E413*1000-2*$F$2))*$D$2),0)</f>
        <v>0</v>
      </c>
      <c r="AK413" s="10">
        <f>1.25*Q413*$D$2*(J413-(1.25*Q413*$D$2/(0.85*$B$2*(D413*1000)))/2)/1000000</f>
        <v>101.4672613</v>
      </c>
      <c r="AL413" s="10">
        <f>1.25*Z413*$D$2*(J413-(1.25*Z413*$D$2/(0.85*$B$2*(D413*1000)))/2)/1000000</f>
        <v>101.4672613</v>
      </c>
      <c r="AM413" s="10">
        <f>(AK413+AL413)/B413</f>
        <v>68.79136361</v>
      </c>
      <c r="AN413" s="10">
        <f>MAX(H413,AM413)</f>
        <v>79</v>
      </c>
    </row>
    <row r="414">
      <c r="A414" s="5" t="inlineStr">
        <is>
          <t>F885</t>
        </is>
      </c>
      <c r="B414" s="6" t="n">
        <v>2.6</v>
      </c>
      <c r="C414" s="7" t="inlineStr">
        <is>
          <t>VC</t>
        </is>
      </c>
      <c r="D414" s="8">
        <f>IF(C414="VR",0.35,0.30)</f>
        <v>0.3</v>
      </c>
      <c r="E414" s="6" t="n">
        <v>0.4</v>
      </c>
      <c r="F414" s="9" t="n">
        <v>28.5</v>
      </c>
      <c r="G414" s="9" t="n">
        <v>9.5</v>
      </c>
      <c r="H414" s="9" t="n">
        <v>47.5</v>
      </c>
      <c r="I414" s="6" t="n">
        <v>0.26</v>
      </c>
      <c r="J414" s="10">
        <f>E414*1000-$F$2-$L$2-$H$2/2</f>
        <v>342.55</v>
      </c>
      <c r="K414" s="11">
        <f>F414*1000000/(0.9*(D414*1000)*J414^2)</f>
        <v>0.8998818851</v>
      </c>
      <c r="L414" s="12">
        <f>(0.85*$B$2/$D$2)*(1-SQRT(1-2*K414/(0.85*$B$2)))</f>
        <v>0.002184689458</v>
      </c>
      <c r="M414" s="13">
        <f>L414*(D414*1000)*J414</f>
        <v>224.5096122</v>
      </c>
      <c r="N414" s="13">
        <f>MAX(0.25*SQRT($B$2)/$D$2,1.4/$D$2)*(D414*1000)*J414</f>
        <v>342.55</v>
      </c>
      <c r="O414" s="13">
        <f>MAX(M414,N414)</f>
        <v>342.55</v>
      </c>
      <c r="P414" s="14">
        <f>ROUNDUP(O414/$J$2,0)</f>
        <v>2</v>
      </c>
      <c r="Q414" s="13">
        <f>P414*$J$2</f>
        <v>398</v>
      </c>
      <c r="R414" s="10">
        <f>Q414*$D$2/(0.85*$B$2*(D414*1000))</f>
        <v>23.41176471</v>
      </c>
      <c r="S414" s="10">
        <f>0.9*Q414*$D$2*(J414-R414/2)/1000000</f>
        <v>49.77351244</v>
      </c>
      <c r="T414" s="15" t="str">
        <f>IF(AND(S414&gt;=F414,O414&lt;=0.025*(D414*1000)*J414,O414&gt;=N414),"CUMPLE","REVISAR")</f>
        <v>CUMPLE</v>
      </c>
      <c r="U414" s="11">
        <f>G414*1000000/(0.9*(D414*1000)*J414^2)</f>
        <v>0.299855416</v>
      </c>
      <c r="V414" s="12">
        <f>(0.85*$B$2/$D$2)*(1-SQRT(1-2*U414/(0.85*$B$2)))</f>
        <v>0.0007184965009</v>
      </c>
      <c r="W414" s="13">
        <f>V414*(D414*1000)*J414</f>
        <v>73.83629291</v>
      </c>
      <c r="X414" s="13">
        <f>MAX(W414,N414)</f>
        <v>342.55</v>
      </c>
      <c r="Y414" s="14">
        <f>ROUNDUP(X414/$J$2,0)</f>
        <v>2</v>
      </c>
      <c r="Z414" s="13">
        <f>Y414*$J$2</f>
        <v>398</v>
      </c>
      <c r="AA414" s="10">
        <f>0.9*Z414*$D$2*(J414-(Z414*$D$2/(0.85*$B$2*(D414*1000)))/2)/1000000</f>
        <v>49.77351244</v>
      </c>
      <c r="AB414" s="15" t="str">
        <f>IF(AA414&gt;=G414,"CUMPLE","REVISAR")</f>
        <v>CUMPLE</v>
      </c>
      <c r="AC414" s="10">
        <f>0.17*SQRT($B$2)*(D414*1000)*J414/1000</f>
        <v>92.44281538</v>
      </c>
      <c r="AD414" s="10">
        <f>MAX(H414/0.75-AC414,0)</f>
        <v>0</v>
      </c>
      <c r="AE414" s="14">
        <f>IF(AD414&gt;0,MIN($N$2*$D$2*J414/(AD414*1000),MIN(J414/4,6*$H$2,150)),MIN(J414/4,6*$H$2,150))</f>
        <v>85.6375</v>
      </c>
      <c r="AF414" s="10">
        <f>0.66*SQRT($B$2)*(D414*1000)*J414/1000</f>
        <v>358.8956362</v>
      </c>
      <c r="AG414" s="15" t="str">
        <f>IF(AD414&lt;=AF414,"CUMPLE","AUMENTAR SECCION")</f>
        <v>CUMPLE</v>
      </c>
      <c r="AH414" s="10">
        <f>0.75*0.083*SQRT($B$2)*(((D414*1000)*(E414*1000))^2/(2*((D414*1000)+(E414*1000))))/1000000</f>
        <v>3.388073536</v>
      </c>
      <c r="AI414" s="15" t="str">
        <f>IF(I414&gt;AH414,"SI","No")</f>
        <v>No</v>
      </c>
      <c r="AJ414" s="11">
        <f>IF(I414&gt;AH414,I414*1000000/(0.75*2*0.85*((D414*1000-2*$F$2)*(E414*1000-2*$F$2))*$D$2),0)</f>
        <v>0</v>
      </c>
      <c r="AK414" s="10">
        <f>1.25*Q414*$D$2*(J414-(1.25*Q414*$D$2/(0.85*$B$2*(D414*1000)))/2)/1000000</f>
        <v>68.51839235</v>
      </c>
      <c r="AL414" s="10">
        <f>1.25*Z414*$D$2*(J414-(1.25*Z414*$D$2/(0.85*$B$2*(D414*1000)))/2)/1000000</f>
        <v>68.51839235</v>
      </c>
      <c r="AM414" s="10">
        <f>(AK414+AL414)/B414</f>
        <v>52.70645566</v>
      </c>
      <c r="AN414" s="10">
        <f>MAX(H414,AM414)</f>
        <v>52.70645566</v>
      </c>
    </row>
    <row r="415">
      <c r="A415" s="5" t="inlineStr">
        <is>
          <t>F886</t>
        </is>
      </c>
      <c r="B415" s="6" t="n">
        <v>3.65</v>
      </c>
      <c r="C415" s="7" t="inlineStr">
        <is>
          <t>VR</t>
        </is>
      </c>
      <c r="D415" s="8">
        <f>IF(C415="VR",0.35,0.30)</f>
        <v>0.35</v>
      </c>
      <c r="E415" s="6" t="n">
        <v>0.4</v>
      </c>
      <c r="F415" s="9" t="n">
        <v>35.9</v>
      </c>
      <c r="G415" s="9" t="n">
        <v>32.6</v>
      </c>
      <c r="H415" s="9" t="n">
        <v>103.7</v>
      </c>
      <c r="I415" s="6" t="n">
        <v>4.61</v>
      </c>
      <c r="J415" s="10">
        <f>E415*1000-$F$2-$L$2-$H$2/2</f>
        <v>342.55</v>
      </c>
      <c r="K415" s="11">
        <f>F415*1000000/(0.9*(D415*1000)*J415^2)</f>
        <v>0.970719909</v>
      </c>
      <c r="L415" s="12">
        <f>(0.85*$B$2/$D$2)*(1-SQRT(1-2*K415/(0.85*$B$2)))</f>
        <v>0.002360397984</v>
      </c>
      <c r="M415" s="13">
        <f>L415*(D415*1000)*J415</f>
        <v>282.9940153</v>
      </c>
      <c r="N415" s="13">
        <f>MAX(0.25*SQRT($B$2)/$D$2,1.4/$D$2)*(D415*1000)*J415</f>
        <v>399.6416667</v>
      </c>
      <c r="O415" s="13">
        <f>MAX(M415,N415)</f>
        <v>399.6416667</v>
      </c>
      <c r="P415" s="14">
        <f>ROUNDUP(O415/$J$2,0)</f>
        <v>3</v>
      </c>
      <c r="Q415" s="13">
        <f>P415*$J$2</f>
        <v>597</v>
      </c>
      <c r="R415" s="10">
        <f>Q415*$D$2/(0.85*$B$2*(D415*1000))</f>
        <v>30.10084034</v>
      </c>
      <c r="S415" s="10">
        <f>0.9*Q415*$D$2*(J415-R415/2)/1000000</f>
        <v>73.90552018</v>
      </c>
      <c r="T415" s="15" t="str">
        <f>IF(AND(S415&gt;=F415,O415&lt;=0.025*(D415*1000)*J415,O415&gt;=N415),"CUMPLE","REVISAR")</f>
        <v>CUMPLE</v>
      </c>
      <c r="U415" s="11">
        <f>G415*1000000/(0.9*(D415*1000)*J415^2)</f>
        <v>0.8811691035</v>
      </c>
      <c r="V415" s="12">
        <f>(0.85*$B$2/$D$2)*(1-SQRT(1-2*U415/(0.85*$B$2)))</f>
        <v>0.002138368314</v>
      </c>
      <c r="W415" s="13">
        <f>V415*(D415*1000)*J415</f>
        <v>256.3743231</v>
      </c>
      <c r="X415" s="13">
        <f>MAX(W415,N415)</f>
        <v>399.6416667</v>
      </c>
      <c r="Y415" s="14">
        <f>ROUNDUP(X415/$J$2,0)</f>
        <v>3</v>
      </c>
      <c r="Z415" s="13">
        <f>Y415*$J$2</f>
        <v>597</v>
      </c>
      <c r="AA415" s="10">
        <f>0.9*Z415*$D$2*(J415-(Z415*$D$2/(0.85*$B$2*(D415*1000)))/2)/1000000</f>
        <v>73.90552018</v>
      </c>
      <c r="AB415" s="15" t="str">
        <f>IF(AA415&gt;=G415,"CUMPLE","REVISAR")</f>
        <v>CUMPLE</v>
      </c>
      <c r="AC415" s="10">
        <f>0.17*SQRT($B$2)*(D415*1000)*J415/1000</f>
        <v>107.8499513</v>
      </c>
      <c r="AD415" s="10">
        <f>MAX(H415/0.75-AC415,0)</f>
        <v>30.37671539</v>
      </c>
      <c r="AE415" s="14">
        <f>IF(AD415&gt;0,MIN($N$2*$D$2*J415/(AD415*1000),MIN(J415/4,6*$H$2,150)),MIN(J415/4,6*$H$2,150))</f>
        <v>85.6375</v>
      </c>
      <c r="AF415" s="10">
        <f>0.66*SQRT($B$2)*(D415*1000)*J415/1000</f>
        <v>418.7115756</v>
      </c>
      <c r="AG415" s="15" t="str">
        <f>IF(AD415&lt;=AF415,"CUMPLE","AUMENTAR SECCION")</f>
        <v>CUMPLE</v>
      </c>
      <c r="AH415" s="10">
        <f>0.75*0.083*SQRT($B$2)*(((D415*1000)*(E415*1000))^2/(2*((D415*1000)+(E415*1000))))/1000000</f>
        <v>4.304108233</v>
      </c>
      <c r="AI415" s="15" t="str">
        <f>IF(I415&gt;AH415,"SI","No")</f>
        <v>SI</v>
      </c>
      <c r="AJ415" s="11">
        <f>IF(I415&gt;AH415,I415*1000000/(0.75*2*0.85*((D415*1000-2*$F$2)*(E415*1000-2*$F$2))*$D$2),0)</f>
        <v>0.09963862088</v>
      </c>
      <c r="AK415" s="10">
        <f>1.25*Q415*$D$2*(J415-(1.25*Q415*$D$2/(0.85*$B$2*(D415*1000)))/2)/1000000</f>
        <v>101.4672613</v>
      </c>
      <c r="AL415" s="10">
        <f>1.25*Z415*$D$2*(J415-(1.25*Z415*$D$2/(0.85*$B$2*(D415*1000)))/2)/1000000</f>
        <v>101.4672613</v>
      </c>
      <c r="AM415" s="10">
        <f>(AK415+AL415)/B415</f>
        <v>55.55283949</v>
      </c>
      <c r="AN415" s="10">
        <f>MAX(H415,AM415)</f>
        <v>103.67</v>
      </c>
    </row>
    <row r="416">
      <c r="A416" s="5" t="inlineStr">
        <is>
          <t>F887</t>
        </is>
      </c>
      <c r="B416" s="6" t="n">
        <v>2.6</v>
      </c>
      <c r="C416" s="7" t="inlineStr">
        <is>
          <t>VC</t>
        </is>
      </c>
      <c r="D416" s="8">
        <f>IF(C416="VR",0.35,0.30)</f>
        <v>0.3</v>
      </c>
      <c r="E416" s="6" t="n">
        <v>0.4</v>
      </c>
      <c r="F416" s="9" t="n">
        <v>22.5</v>
      </c>
      <c r="G416" s="9" t="n">
        <v>14.2</v>
      </c>
      <c r="H416" s="9" t="n">
        <v>47.5</v>
      </c>
      <c r="I416" s="6" t="n">
        <v>1.04</v>
      </c>
      <c r="J416" s="10">
        <f>E416*1000-$F$2-$L$2-$H$2/2</f>
        <v>342.55</v>
      </c>
      <c r="K416" s="11">
        <f>F416*1000000/(0.9*(D416*1000)*J416^2)</f>
        <v>0.711446429</v>
      </c>
      <c r="L416" s="12">
        <f>(0.85*$B$2/$D$2)*(1-SQRT(1-2*K416/(0.85*$B$2)))</f>
        <v>0.001720024337</v>
      </c>
      <c r="M416" s="13">
        <f>L416*(D416*1000)*J416</f>
        <v>176.758301</v>
      </c>
      <c r="N416" s="13">
        <f>MAX(0.25*SQRT($B$2)/$D$2,1.4/$D$2)*(D416*1000)*J416</f>
        <v>342.55</v>
      </c>
      <c r="O416" s="13">
        <f>MAX(M416,N416)</f>
        <v>342.55</v>
      </c>
      <c r="P416" s="14">
        <f>ROUNDUP(O416/$J$2,0)</f>
        <v>2</v>
      </c>
      <c r="Q416" s="13">
        <f>P416*$J$2</f>
        <v>398</v>
      </c>
      <c r="R416" s="10">
        <f>Q416*$D$2/(0.85*$B$2*(D416*1000))</f>
        <v>23.41176471</v>
      </c>
      <c r="S416" s="10">
        <f>0.9*Q416*$D$2*(J416-R416/2)/1000000</f>
        <v>49.77351244</v>
      </c>
      <c r="T416" s="15" t="str">
        <f>IF(AND(S416&gt;=F416,O416&lt;=0.025*(D416*1000)*J416,O416&gt;=N416),"CUMPLE","REVISAR")</f>
        <v>CUMPLE</v>
      </c>
      <c r="U416" s="11">
        <f>G416*1000000/(0.9*(D416*1000)*J416^2)</f>
        <v>0.4485205748</v>
      </c>
      <c r="V416" s="12">
        <f>(0.85*$B$2/$D$2)*(1-SQRT(1-2*U416/(0.85*$B$2)))</f>
        <v>0.001078162912</v>
      </c>
      <c r="W416" s="13">
        <f>V416*(D416*1000)*J416</f>
        <v>110.7974117</v>
      </c>
      <c r="X416" s="13">
        <f>MAX(W416,N416)</f>
        <v>342.55</v>
      </c>
      <c r="Y416" s="14">
        <f>ROUNDUP(X416/$J$2,0)</f>
        <v>2</v>
      </c>
      <c r="Z416" s="13">
        <f>Y416*$J$2</f>
        <v>398</v>
      </c>
      <c r="AA416" s="10">
        <f>0.9*Z416*$D$2*(J416-(Z416*$D$2/(0.85*$B$2*(D416*1000)))/2)/1000000</f>
        <v>49.77351244</v>
      </c>
      <c r="AB416" s="15" t="str">
        <f>IF(AA416&gt;=G416,"CUMPLE","REVISAR")</f>
        <v>CUMPLE</v>
      </c>
      <c r="AC416" s="10">
        <f>0.17*SQRT($B$2)*(D416*1000)*J416/1000</f>
        <v>92.44281538</v>
      </c>
      <c r="AD416" s="10">
        <f>MAX(H416/0.75-AC416,0)</f>
        <v>0</v>
      </c>
      <c r="AE416" s="14">
        <f>IF(AD416&gt;0,MIN($N$2*$D$2*J416/(AD416*1000),MIN(J416/4,6*$H$2,150)),MIN(J416/4,6*$H$2,150))</f>
        <v>85.6375</v>
      </c>
      <c r="AF416" s="10">
        <f>0.66*SQRT($B$2)*(D416*1000)*J416/1000</f>
        <v>358.8956362</v>
      </c>
      <c r="AG416" s="15" t="str">
        <f>IF(AD416&lt;=AF416,"CUMPLE","AUMENTAR SECCION")</f>
        <v>CUMPLE</v>
      </c>
      <c r="AH416" s="10">
        <f>0.75*0.083*SQRT($B$2)*(((D416*1000)*(E416*1000))^2/(2*((D416*1000)+(E416*1000))))/1000000</f>
        <v>3.388073536</v>
      </c>
      <c r="AI416" s="15" t="str">
        <f>IF(I416&gt;AH416,"SI","No")</f>
        <v>No</v>
      </c>
      <c r="AJ416" s="11">
        <f>IF(I416&gt;AH416,I416*1000000/(0.75*2*0.85*((D416*1000-2*$F$2)*(E416*1000-2*$F$2))*$D$2),0)</f>
        <v>0</v>
      </c>
      <c r="AK416" s="10">
        <f>1.25*Q416*$D$2*(J416-(1.25*Q416*$D$2/(0.85*$B$2*(D416*1000)))/2)/1000000</f>
        <v>68.51839235</v>
      </c>
      <c r="AL416" s="10">
        <f>1.25*Z416*$D$2*(J416-(1.25*Z416*$D$2/(0.85*$B$2*(D416*1000)))/2)/1000000</f>
        <v>68.51839235</v>
      </c>
      <c r="AM416" s="10">
        <f>(AK416+AL416)/B416</f>
        <v>52.70645566</v>
      </c>
      <c r="AN416" s="10">
        <f>MAX(H416,AM416)</f>
        <v>52.70645566</v>
      </c>
    </row>
    <row r="417">
      <c r="A417" s="5" t="inlineStr">
        <is>
          <t>F888</t>
        </is>
      </c>
      <c r="B417" s="6" t="n">
        <v>2.5</v>
      </c>
      <c r="C417" s="7" t="inlineStr">
        <is>
          <t>VC</t>
        </is>
      </c>
      <c r="D417" s="8">
        <f>IF(C417="VR",0.35,0.30)</f>
        <v>0.3</v>
      </c>
      <c r="E417" s="6" t="n">
        <v>0.4</v>
      </c>
      <c r="F417" s="9" t="n">
        <v>32.4</v>
      </c>
      <c r="G417" s="9" t="n">
        <v>10.4</v>
      </c>
      <c r="H417" s="9" t="n">
        <v>51.8</v>
      </c>
      <c r="I417" s="6" t="n">
        <v>0.35</v>
      </c>
      <c r="J417" s="10">
        <f>E417*1000-$F$2-$L$2-$H$2/2</f>
        <v>342.55</v>
      </c>
      <c r="K417" s="11">
        <f>F417*1000000/(0.9*(D417*1000)*J417^2)</f>
        <v>1.023611699</v>
      </c>
      <c r="L417" s="12">
        <f>(0.85*$B$2/$D$2)*(1-SQRT(1-2*K417/(0.85*$B$2)))</f>
        <v>0.002491963802</v>
      </c>
      <c r="M417" s="13">
        <f>L417*(D417*1000)*J417</f>
        <v>256.0866601</v>
      </c>
      <c r="N417" s="13">
        <f>MAX(0.25*SQRT($B$2)/$D$2,1.4/$D$2)*(D417*1000)*J417</f>
        <v>342.55</v>
      </c>
      <c r="O417" s="13">
        <f>MAX(M417,N417)</f>
        <v>342.55</v>
      </c>
      <c r="P417" s="14">
        <f>ROUNDUP(O417/$J$2,0)</f>
        <v>2</v>
      </c>
      <c r="Q417" s="13">
        <f>P417*$J$2</f>
        <v>398</v>
      </c>
      <c r="R417" s="10">
        <f>Q417*$D$2/(0.85*$B$2*(D417*1000))</f>
        <v>23.41176471</v>
      </c>
      <c r="S417" s="10">
        <f>0.9*Q417*$D$2*(J417-R417/2)/1000000</f>
        <v>49.77351244</v>
      </c>
      <c r="T417" s="15" t="str">
        <f>IF(AND(S417&gt;=F417,O417&lt;=0.025*(D417*1000)*J417,O417&gt;=N417),"CUMPLE","REVISAR")</f>
        <v>CUMPLE</v>
      </c>
      <c r="U417" s="11">
        <f>G417*1000000/(0.9*(D417*1000)*J417^2)</f>
        <v>0.327000222</v>
      </c>
      <c r="V417" s="12">
        <f>(0.85*$B$2/$D$2)*(1-SQRT(1-2*U417/(0.85*$B$2)))</f>
        <v>0.0007839953279</v>
      </c>
      <c r="W417" s="13">
        <f>V417*(D417*1000)*J417</f>
        <v>80.56727987</v>
      </c>
      <c r="X417" s="13">
        <f>MAX(W417,N417)</f>
        <v>342.55</v>
      </c>
      <c r="Y417" s="14">
        <f>ROUNDUP(X417/$J$2,0)</f>
        <v>2</v>
      </c>
      <c r="Z417" s="13">
        <f>Y417*$J$2</f>
        <v>398</v>
      </c>
      <c r="AA417" s="10">
        <f>0.9*Z417*$D$2*(J417-(Z417*$D$2/(0.85*$B$2*(D417*1000)))/2)/1000000</f>
        <v>49.77351244</v>
      </c>
      <c r="AB417" s="15" t="str">
        <f>IF(AA417&gt;=G417,"CUMPLE","REVISAR")</f>
        <v>CUMPLE</v>
      </c>
      <c r="AC417" s="10">
        <f>0.17*SQRT($B$2)*(D417*1000)*J417/1000</f>
        <v>92.44281538</v>
      </c>
      <c r="AD417" s="10">
        <f>MAX(H417/0.75-AC417,0)</f>
        <v>0</v>
      </c>
      <c r="AE417" s="14">
        <f>IF(AD417&gt;0,MIN($N$2*$D$2*J417/(AD417*1000),MIN(J417/4,6*$H$2,150)),MIN(J417/4,6*$H$2,150))</f>
        <v>85.6375</v>
      </c>
      <c r="AF417" s="10">
        <f>0.66*SQRT($B$2)*(D417*1000)*J417/1000</f>
        <v>358.8956362</v>
      </c>
      <c r="AG417" s="15" t="str">
        <f>IF(AD417&lt;=AF417,"CUMPLE","AUMENTAR SECCION")</f>
        <v>CUMPLE</v>
      </c>
      <c r="AH417" s="10">
        <f>0.75*0.083*SQRT($B$2)*(((D417*1000)*(E417*1000))^2/(2*((D417*1000)+(E417*1000))))/1000000</f>
        <v>3.388073536</v>
      </c>
      <c r="AI417" s="15" t="str">
        <f>IF(I417&gt;AH417,"SI","No")</f>
        <v>No</v>
      </c>
      <c r="AJ417" s="11">
        <f>IF(I417&gt;AH417,I417*1000000/(0.75*2*0.85*((D417*1000-2*$F$2)*(E417*1000-2*$F$2))*$D$2),0)</f>
        <v>0</v>
      </c>
      <c r="AK417" s="10">
        <f>1.25*Q417*$D$2*(J417-(1.25*Q417*$D$2/(0.85*$B$2*(D417*1000)))/2)/1000000</f>
        <v>68.51839235</v>
      </c>
      <c r="AL417" s="10">
        <f>1.25*Z417*$D$2*(J417-(1.25*Z417*$D$2/(0.85*$B$2*(D417*1000)))/2)/1000000</f>
        <v>68.51839235</v>
      </c>
      <c r="AM417" s="10">
        <f>(AK417+AL417)/B417</f>
        <v>54.81471388</v>
      </c>
      <c r="AN417" s="10">
        <f>MAX(H417,AM417)</f>
        <v>54.81471388</v>
      </c>
    </row>
    <row r="418">
      <c r="A418" s="5" t="inlineStr">
        <is>
          <t>F889</t>
        </is>
      </c>
      <c r="B418" s="6" t="n">
        <v>4.18</v>
      </c>
      <c r="C418" s="7" t="inlineStr">
        <is>
          <t>VR</t>
        </is>
      </c>
      <c r="D418" s="8">
        <f>IF(C418="VR",0.35,0.30)</f>
        <v>0.35</v>
      </c>
      <c r="E418" s="6" t="n">
        <v>0.4</v>
      </c>
      <c r="F418" s="9" t="n">
        <v>63.4</v>
      </c>
      <c r="G418" s="9" t="n">
        <v>23.1</v>
      </c>
      <c r="H418" s="9" t="n">
        <v>71.59999999999999</v>
      </c>
      <c r="I418" s="6" t="n">
        <v>0.35</v>
      </c>
      <c r="J418" s="10">
        <f>E418*1000-$F$2-$L$2-$H$2/2</f>
        <v>342.55</v>
      </c>
      <c r="K418" s="11">
        <f>F418*1000000/(0.9*(D418*1000)*J418^2)</f>
        <v>1.714180976</v>
      </c>
      <c r="L418" s="12">
        <f>(0.85*$B$2/$D$2)*(1-SQRT(1-2*K418/(0.85*$B$2)))</f>
        <v>0.0042400099</v>
      </c>
      <c r="M418" s="13">
        <f>L418*(D418*1000)*J418</f>
        <v>508.345387</v>
      </c>
      <c r="N418" s="13">
        <f>MAX(0.25*SQRT($B$2)/$D$2,1.4/$D$2)*(D418*1000)*J418</f>
        <v>399.6416667</v>
      </c>
      <c r="O418" s="13">
        <f>MAX(M418,N418)</f>
        <v>508.345387</v>
      </c>
      <c r="P418" s="14">
        <f>ROUNDUP(O418/$J$2,0)</f>
        <v>3</v>
      </c>
      <c r="Q418" s="13">
        <f>P418*$J$2</f>
        <v>597</v>
      </c>
      <c r="R418" s="10">
        <f>Q418*$D$2/(0.85*$B$2*(D418*1000))</f>
        <v>30.10084034</v>
      </c>
      <c r="S418" s="10">
        <f>0.9*Q418*$D$2*(J418-R418/2)/1000000</f>
        <v>73.90552018</v>
      </c>
      <c r="T418" s="15" t="str">
        <f>IF(AND(S418&gt;=F418,O418&lt;=0.025*(D418*1000)*J418,O418&gt;=N418),"CUMPLE","REVISAR")</f>
        <v>CUMPLE</v>
      </c>
      <c r="U418" s="11">
        <f>G418*1000000/(0.9*(D418*1000)*J418^2)</f>
        <v>0.6263145455</v>
      </c>
      <c r="V418" s="12">
        <f>(0.85*$B$2/$D$2)*(1-SQRT(1-2*U418/(0.85*$B$2)))</f>
        <v>0.001511380439</v>
      </c>
      <c r="W418" s="13">
        <f>V418*(D418*1000)*J418</f>
        <v>181.2031793</v>
      </c>
      <c r="X418" s="13">
        <f>MAX(W418,N418)</f>
        <v>399.6416667</v>
      </c>
      <c r="Y418" s="14">
        <f>ROUNDUP(X418/$J$2,0)</f>
        <v>3</v>
      </c>
      <c r="Z418" s="13">
        <f>Y418*$J$2</f>
        <v>597</v>
      </c>
      <c r="AA418" s="10">
        <f>0.9*Z418*$D$2*(J418-(Z418*$D$2/(0.85*$B$2*(D418*1000)))/2)/1000000</f>
        <v>73.90552018</v>
      </c>
      <c r="AB418" s="15" t="str">
        <f>IF(AA418&gt;=G418,"CUMPLE","REVISAR")</f>
        <v>CUMPLE</v>
      </c>
      <c r="AC418" s="10">
        <f>0.17*SQRT($B$2)*(D418*1000)*J418/1000</f>
        <v>107.8499513</v>
      </c>
      <c r="AD418" s="10">
        <f>MAX(H418/0.75-AC418,0)</f>
        <v>0</v>
      </c>
      <c r="AE418" s="14">
        <f>IF(AD418&gt;0,MIN($N$2*$D$2*J418/(AD418*1000),MIN(J418/4,6*$H$2,150)),MIN(J418/4,6*$H$2,150))</f>
        <v>85.6375</v>
      </c>
      <c r="AF418" s="10">
        <f>0.66*SQRT($B$2)*(D418*1000)*J418/1000</f>
        <v>418.7115756</v>
      </c>
      <c r="AG418" s="15" t="str">
        <f>IF(AD418&lt;=AF418,"CUMPLE","AUMENTAR SECCION")</f>
        <v>CUMPLE</v>
      </c>
      <c r="AH418" s="10">
        <f>0.75*0.083*SQRT($B$2)*(((D418*1000)*(E418*1000))^2/(2*((D418*1000)+(E418*1000))))/1000000</f>
        <v>4.304108233</v>
      </c>
      <c r="AI418" s="15" t="str">
        <f>IF(I418&gt;AH418,"SI","No")</f>
        <v>No</v>
      </c>
      <c r="AJ418" s="11">
        <f>IF(I418&gt;AH418,I418*1000000/(0.75*2*0.85*((D418*1000-2*$F$2)*(E418*1000-2*$F$2))*$D$2),0)</f>
        <v>0</v>
      </c>
      <c r="AK418" s="10">
        <f>1.25*Q418*$D$2*(J418-(1.25*Q418*$D$2/(0.85*$B$2*(D418*1000)))/2)/1000000</f>
        <v>101.4672613</v>
      </c>
      <c r="AL418" s="10">
        <f>1.25*Z418*$D$2*(J418-(1.25*Z418*$D$2/(0.85*$B$2*(D418*1000)))/2)/1000000</f>
        <v>101.4672613</v>
      </c>
      <c r="AM418" s="10">
        <f>(AK418+AL418)/B418</f>
        <v>48.59543167</v>
      </c>
      <c r="AN418" s="10">
        <f>MAX(H418,AM418)</f>
        <v>71.59</v>
      </c>
    </row>
    <row r="419">
      <c r="A419" s="5" t="inlineStr">
        <is>
          <t>F890</t>
        </is>
      </c>
      <c r="B419" s="6" t="n">
        <v>2.7</v>
      </c>
      <c r="C419" s="7" t="inlineStr">
        <is>
          <t>VR</t>
        </is>
      </c>
      <c r="D419" s="8">
        <f>IF(C419="VR",0.35,0.30)</f>
        <v>0.35</v>
      </c>
      <c r="E419" s="6" t="n">
        <v>0.4</v>
      </c>
      <c r="F419" s="9" t="n">
        <v>49.3</v>
      </c>
      <c r="G419" s="9" t="n">
        <v>16.4</v>
      </c>
      <c r="H419" s="9" t="n">
        <v>66.40000000000001</v>
      </c>
      <c r="I419" s="6" t="n">
        <v>1.53</v>
      </c>
      <c r="J419" s="10">
        <f>E419*1000-$F$2-$L$2-$H$2/2</f>
        <v>342.55</v>
      </c>
      <c r="K419" s="11">
        <f>F419*1000000/(0.9*(D419*1000)*J419^2)</f>
        <v>1.332710778</v>
      </c>
      <c r="L419" s="12">
        <f>(0.85*$B$2/$D$2)*(1-SQRT(1-2*K419/(0.85*$B$2)))</f>
        <v>0.00326731515</v>
      </c>
      <c r="M419" s="13">
        <f>L419*(D419*1000)*J419</f>
        <v>391.7265816</v>
      </c>
      <c r="N419" s="13">
        <f>MAX(0.25*SQRT($B$2)/$D$2,1.4/$D$2)*(D419*1000)*J419</f>
        <v>399.6416667</v>
      </c>
      <c r="O419" s="13">
        <f>MAX(M419,N419)</f>
        <v>399.6416667</v>
      </c>
      <c r="P419" s="14">
        <f>ROUNDUP(O419/$J$2,0)</f>
        <v>3</v>
      </c>
      <c r="Q419" s="13">
        <f>P419*$J$2</f>
        <v>597</v>
      </c>
      <c r="R419" s="10">
        <f>Q419*$D$2/(0.85*$B$2*(D419*1000))</f>
        <v>30.10084034</v>
      </c>
      <c r="S419" s="10">
        <f>0.9*Q419*$D$2*(J419-R419/2)/1000000</f>
        <v>73.90552018</v>
      </c>
      <c r="T419" s="15" t="str">
        <f>IF(AND(S419&gt;=F419,O419&lt;=0.025*(D419*1000)*J419,O419&gt;=N419),"CUMPLE","REVISAR")</f>
        <v>CUMPLE</v>
      </c>
      <c r="U419" s="11">
        <f>G419*1000000/(0.9*(D419*1000)*J419^2)</f>
        <v>0.444236926</v>
      </c>
      <c r="V419" s="12">
        <f>(0.85*$B$2/$D$2)*(1-SQRT(1-2*U419/(0.85*$B$2)))</f>
        <v>0.001067766903</v>
      </c>
      <c r="W419" s="13">
        <f>V419*(D419*1000)*J419</f>
        <v>128.0172435</v>
      </c>
      <c r="X419" s="13">
        <f>MAX(W419,N419)</f>
        <v>399.6416667</v>
      </c>
      <c r="Y419" s="14">
        <f>ROUNDUP(X419/$J$2,0)</f>
        <v>3</v>
      </c>
      <c r="Z419" s="13">
        <f>Y419*$J$2</f>
        <v>597</v>
      </c>
      <c r="AA419" s="10">
        <f>0.9*Z419*$D$2*(J419-(Z419*$D$2/(0.85*$B$2*(D419*1000)))/2)/1000000</f>
        <v>73.90552018</v>
      </c>
      <c r="AB419" s="15" t="str">
        <f>IF(AA419&gt;=G419,"CUMPLE","REVISAR")</f>
        <v>CUMPLE</v>
      </c>
      <c r="AC419" s="10">
        <f>0.17*SQRT($B$2)*(D419*1000)*J419/1000</f>
        <v>107.8499513</v>
      </c>
      <c r="AD419" s="10">
        <f>MAX(H419/0.75-AC419,0)</f>
        <v>0</v>
      </c>
      <c r="AE419" s="14">
        <f>IF(AD419&gt;0,MIN($N$2*$D$2*J419/(AD419*1000),MIN(J419/4,6*$H$2,150)),MIN(J419/4,6*$H$2,150))</f>
        <v>85.6375</v>
      </c>
      <c r="AF419" s="10">
        <f>0.66*SQRT($B$2)*(D419*1000)*J419/1000</f>
        <v>418.7115756</v>
      </c>
      <c r="AG419" s="15" t="str">
        <f>IF(AD419&lt;=AF419,"CUMPLE","AUMENTAR SECCION")</f>
        <v>CUMPLE</v>
      </c>
      <c r="AH419" s="10">
        <f>0.75*0.083*SQRT($B$2)*(((D419*1000)*(E419*1000))^2/(2*((D419*1000)+(E419*1000))))/1000000</f>
        <v>4.304108233</v>
      </c>
      <c r="AI419" s="15" t="str">
        <f>IF(I419&gt;AH419,"SI","No")</f>
        <v>No</v>
      </c>
      <c r="AJ419" s="11">
        <f>IF(I419&gt;AH419,I419*1000000/(0.75*2*0.85*((D419*1000-2*$F$2)*(E419*1000-2*$F$2))*$D$2),0)</f>
        <v>0</v>
      </c>
      <c r="AK419" s="10">
        <f>1.25*Q419*$D$2*(J419-(1.25*Q419*$D$2/(0.85*$B$2*(D419*1000)))/2)/1000000</f>
        <v>101.4672613</v>
      </c>
      <c r="AL419" s="10">
        <f>1.25*Z419*$D$2*(J419-(1.25*Z419*$D$2/(0.85*$B$2*(D419*1000)))/2)/1000000</f>
        <v>101.4672613</v>
      </c>
      <c r="AM419" s="10">
        <f>(AK419+AL419)/B419</f>
        <v>75.16093431</v>
      </c>
      <c r="AN419" s="10">
        <f>MAX(H419,AM419)</f>
        <v>75.16093431</v>
      </c>
    </row>
    <row r="420">
      <c r="A420" s="5" t="inlineStr">
        <is>
          <t>F891</t>
        </is>
      </c>
      <c r="B420" s="6" t="n">
        <v>2.8</v>
      </c>
      <c r="C420" s="7" t="inlineStr">
        <is>
          <t>VR</t>
        </is>
      </c>
      <c r="D420" s="8">
        <f>IF(C420="VR",0.35,0.30)</f>
        <v>0.35</v>
      </c>
      <c r="E420" s="6" t="n">
        <v>0.4</v>
      </c>
      <c r="F420" s="9" t="n">
        <v>49.5</v>
      </c>
      <c r="G420" s="9" t="n">
        <v>16.5</v>
      </c>
      <c r="H420" s="9" t="n">
        <v>66.3</v>
      </c>
      <c r="I420" s="6" t="n">
        <v>1.48</v>
      </c>
      <c r="J420" s="10">
        <f>E420*1000-$F$2-$L$2-$H$2/2</f>
        <v>342.55</v>
      </c>
      <c r="K420" s="11">
        <f>F420*1000000/(0.9*(D420*1000)*J420^2)</f>
        <v>1.337851157</v>
      </c>
      <c r="L420" s="12">
        <f>(0.85*$B$2/$D$2)*(1-SQRT(1-2*K420/(0.85*$B$2)))</f>
        <v>0.003280304586</v>
      </c>
      <c r="M420" s="13">
        <f>L420*(D420*1000)*J420</f>
        <v>393.2839176</v>
      </c>
      <c r="N420" s="13">
        <f>MAX(0.25*SQRT($B$2)/$D$2,1.4/$D$2)*(D420*1000)*J420</f>
        <v>399.6416667</v>
      </c>
      <c r="O420" s="13">
        <f>MAX(M420,N420)</f>
        <v>399.6416667</v>
      </c>
      <c r="P420" s="14">
        <f>ROUNDUP(O420/$J$2,0)</f>
        <v>3</v>
      </c>
      <c r="Q420" s="13">
        <f>P420*$J$2</f>
        <v>597</v>
      </c>
      <c r="R420" s="10">
        <f>Q420*$D$2/(0.85*$B$2*(D420*1000))</f>
        <v>30.10084034</v>
      </c>
      <c r="S420" s="10">
        <f>0.9*Q420*$D$2*(J420-R420/2)/1000000</f>
        <v>73.90552018</v>
      </c>
      <c r="T420" s="15" t="str">
        <f>IF(AND(S420&gt;=F420,O420&lt;=0.025*(D420*1000)*J420,O420&gt;=N420),"CUMPLE","REVISAR")</f>
        <v>CUMPLE</v>
      </c>
      <c r="U420" s="11">
        <f>G420*1000000/(0.9*(D420*1000)*J420^2)</f>
        <v>0.4458602034</v>
      </c>
      <c r="V420" s="12">
        <f>(0.85*$B$2/$D$2)*(1-SQRT(1-2*U420/(0.85*$B$2)))</f>
        <v>0.001071706215</v>
      </c>
      <c r="W420" s="13">
        <f>V420*(D420*1000)*J420</f>
        <v>128.4895374</v>
      </c>
      <c r="X420" s="13">
        <f>MAX(W420,N420)</f>
        <v>399.6416667</v>
      </c>
      <c r="Y420" s="14">
        <f>ROUNDUP(X420/$J$2,0)</f>
        <v>3</v>
      </c>
      <c r="Z420" s="13">
        <f>Y420*$J$2</f>
        <v>597</v>
      </c>
      <c r="AA420" s="10">
        <f>0.9*Z420*$D$2*(J420-(Z420*$D$2/(0.85*$B$2*(D420*1000)))/2)/1000000</f>
        <v>73.90552018</v>
      </c>
      <c r="AB420" s="15" t="str">
        <f>IF(AA420&gt;=G420,"CUMPLE","REVISAR")</f>
        <v>CUMPLE</v>
      </c>
      <c r="AC420" s="10">
        <f>0.17*SQRT($B$2)*(D420*1000)*J420/1000</f>
        <v>107.8499513</v>
      </c>
      <c r="AD420" s="10">
        <f>MAX(H420/0.75-AC420,0)</f>
        <v>0</v>
      </c>
      <c r="AE420" s="14">
        <f>IF(AD420&gt;0,MIN($N$2*$D$2*J420/(AD420*1000),MIN(J420/4,6*$H$2,150)),MIN(J420/4,6*$H$2,150))</f>
        <v>85.6375</v>
      </c>
      <c r="AF420" s="10">
        <f>0.66*SQRT($B$2)*(D420*1000)*J420/1000</f>
        <v>418.7115756</v>
      </c>
      <c r="AG420" s="15" t="str">
        <f>IF(AD420&lt;=AF420,"CUMPLE","AUMENTAR SECCION")</f>
        <v>CUMPLE</v>
      </c>
      <c r="AH420" s="10">
        <f>0.75*0.083*SQRT($B$2)*(((D420*1000)*(E420*1000))^2/(2*((D420*1000)+(E420*1000))))/1000000</f>
        <v>4.304108233</v>
      </c>
      <c r="AI420" s="15" t="str">
        <f>IF(I420&gt;AH420,"SI","No")</f>
        <v>No</v>
      </c>
      <c r="AJ420" s="11">
        <f>IF(I420&gt;AH420,I420*1000000/(0.75*2*0.85*((D420*1000-2*$F$2)*(E420*1000-2*$F$2))*$D$2),0)</f>
        <v>0</v>
      </c>
      <c r="AK420" s="10">
        <f>1.25*Q420*$D$2*(J420-(1.25*Q420*$D$2/(0.85*$B$2*(D420*1000)))/2)/1000000</f>
        <v>101.4672613</v>
      </c>
      <c r="AL420" s="10">
        <f>1.25*Z420*$D$2*(J420-(1.25*Z420*$D$2/(0.85*$B$2*(D420*1000)))/2)/1000000</f>
        <v>101.4672613</v>
      </c>
      <c r="AM420" s="10">
        <f>(AK420+AL420)/B420</f>
        <v>72.47661523</v>
      </c>
      <c r="AN420" s="10">
        <f>MAX(H420,AM420)</f>
        <v>72.47661523</v>
      </c>
    </row>
    <row r="421">
      <c r="A421" s="5" t="inlineStr">
        <is>
          <t>F892</t>
        </is>
      </c>
      <c r="B421" s="6" t="n">
        <v>4.18</v>
      </c>
      <c r="C421" s="7" t="inlineStr">
        <is>
          <t>VR</t>
        </is>
      </c>
      <c r="D421" s="8">
        <f>IF(C421="VR",0.35,0.30)</f>
        <v>0.35</v>
      </c>
      <c r="E421" s="6" t="n">
        <v>0.4</v>
      </c>
      <c r="F421" s="9" t="n">
        <v>63.6</v>
      </c>
      <c r="G421" s="9" t="n">
        <v>23.2</v>
      </c>
      <c r="H421" s="9" t="n">
        <v>71.7</v>
      </c>
      <c r="I421" s="6" t="n">
        <v>0.35</v>
      </c>
      <c r="J421" s="10">
        <f>E421*1000-$F$2-$L$2-$H$2/2</f>
        <v>342.55</v>
      </c>
      <c r="K421" s="11">
        <f>F421*1000000/(0.9*(D421*1000)*J421^2)</f>
        <v>1.720674086</v>
      </c>
      <c r="L421" s="12">
        <f>(0.85*$B$2/$D$2)*(1-SQRT(1-2*K421/(0.85*$B$2)))</f>
        <v>0.004256722661</v>
      </c>
      <c r="M421" s="13">
        <f>L421*(D421*1000)*J421</f>
        <v>510.3491216</v>
      </c>
      <c r="N421" s="13">
        <f>MAX(0.25*SQRT($B$2)/$D$2,1.4/$D$2)*(D421*1000)*J421</f>
        <v>399.6416667</v>
      </c>
      <c r="O421" s="13">
        <f>MAX(M421,N421)</f>
        <v>510.3491216</v>
      </c>
      <c r="P421" s="14">
        <f>ROUNDUP(O421/$J$2,0)</f>
        <v>3</v>
      </c>
      <c r="Q421" s="13">
        <f>P421*$J$2</f>
        <v>597</v>
      </c>
      <c r="R421" s="10">
        <f>Q421*$D$2/(0.85*$B$2*(D421*1000))</f>
        <v>30.10084034</v>
      </c>
      <c r="S421" s="10">
        <f>0.9*Q421*$D$2*(J421-R421/2)/1000000</f>
        <v>73.90552018</v>
      </c>
      <c r="T421" s="15" t="str">
        <f>IF(AND(S421&gt;=F421,O421&lt;=0.025*(D421*1000)*J421,O421&gt;=N421),"CUMPLE","REVISAR")</f>
        <v>CUMPLE</v>
      </c>
      <c r="U421" s="11">
        <f>G421*1000000/(0.9*(D421*1000)*J421^2)</f>
        <v>0.6271261842</v>
      </c>
      <c r="V421" s="12">
        <f>(0.85*$B$2/$D$2)*(1-SQRT(1-2*U421/(0.85*$B$2)))</f>
        <v>0.001513365902</v>
      </c>
      <c r="W421" s="13">
        <f>V421*(D421*1000)*J421</f>
        <v>181.4412214</v>
      </c>
      <c r="X421" s="13">
        <f>MAX(W421,N421)</f>
        <v>399.6416667</v>
      </c>
      <c r="Y421" s="14">
        <f>ROUNDUP(X421/$J$2,0)</f>
        <v>3</v>
      </c>
      <c r="Z421" s="13">
        <f>Y421*$J$2</f>
        <v>597</v>
      </c>
      <c r="AA421" s="10">
        <f>0.9*Z421*$D$2*(J421-(Z421*$D$2/(0.85*$B$2*(D421*1000)))/2)/1000000</f>
        <v>73.90552018</v>
      </c>
      <c r="AB421" s="15" t="str">
        <f>IF(AA421&gt;=G421,"CUMPLE","REVISAR")</f>
        <v>CUMPLE</v>
      </c>
      <c r="AC421" s="10">
        <f>0.17*SQRT($B$2)*(D421*1000)*J421/1000</f>
        <v>107.8499513</v>
      </c>
      <c r="AD421" s="10">
        <f>MAX(H421/0.75-AC421,0)</f>
        <v>0</v>
      </c>
      <c r="AE421" s="14">
        <f>IF(AD421&gt;0,MIN($N$2*$D$2*J421/(AD421*1000),MIN(J421/4,6*$H$2,150)),MIN(J421/4,6*$H$2,150))</f>
        <v>85.6375</v>
      </c>
      <c r="AF421" s="10">
        <f>0.66*SQRT($B$2)*(D421*1000)*J421/1000</f>
        <v>418.7115756</v>
      </c>
      <c r="AG421" s="15" t="str">
        <f>IF(AD421&lt;=AF421,"CUMPLE","AUMENTAR SECCION")</f>
        <v>CUMPLE</v>
      </c>
      <c r="AH421" s="10">
        <f>0.75*0.083*SQRT($B$2)*(((D421*1000)*(E421*1000))^2/(2*((D421*1000)+(E421*1000))))/1000000</f>
        <v>4.304108233</v>
      </c>
      <c r="AI421" s="15" t="str">
        <f>IF(I421&gt;AH421,"SI","No")</f>
        <v>No</v>
      </c>
      <c r="AJ421" s="11">
        <f>IF(I421&gt;AH421,I421*1000000/(0.75*2*0.85*((D421*1000-2*$F$2)*(E421*1000-2*$F$2))*$D$2),0)</f>
        <v>0</v>
      </c>
      <c r="AK421" s="10">
        <f>1.25*Q421*$D$2*(J421-(1.25*Q421*$D$2/(0.85*$B$2*(D421*1000)))/2)/1000000</f>
        <v>101.4672613</v>
      </c>
      <c r="AL421" s="10">
        <f>1.25*Z421*$D$2*(J421-(1.25*Z421*$D$2/(0.85*$B$2*(D421*1000)))/2)/1000000</f>
        <v>101.4672613</v>
      </c>
      <c r="AM421" s="10">
        <f>(AK421+AL421)/B421</f>
        <v>48.59543167</v>
      </c>
      <c r="AN421" s="10">
        <f>MAX(H421,AM421)</f>
        <v>71.71</v>
      </c>
    </row>
    <row r="422">
      <c r="A422" s="5" t="inlineStr">
        <is>
          <t>F893</t>
        </is>
      </c>
      <c r="B422" s="6" t="n">
        <v>2.5</v>
      </c>
      <c r="C422" s="7" t="inlineStr">
        <is>
          <t>VC</t>
        </is>
      </c>
      <c r="D422" s="8">
        <f>IF(C422="VR",0.35,0.30)</f>
        <v>0.3</v>
      </c>
      <c r="E422" s="6" t="n">
        <v>0.4</v>
      </c>
      <c r="F422" s="9" t="n">
        <v>32.4</v>
      </c>
      <c r="G422" s="9" t="n">
        <v>10.3</v>
      </c>
      <c r="H422" s="9" t="n">
        <v>51.8</v>
      </c>
      <c r="I422" s="6" t="n">
        <v>0.35</v>
      </c>
      <c r="J422" s="10">
        <f>E422*1000-$F$2-$L$2-$H$2/2</f>
        <v>342.55</v>
      </c>
      <c r="K422" s="11">
        <f>F422*1000000/(0.9*(D422*1000)*J422^2)</f>
        <v>1.022664787</v>
      </c>
      <c r="L422" s="12">
        <f>(0.85*$B$2/$D$2)*(1-SQRT(1-2*K422/(0.85*$B$2)))</f>
        <v>0.002489605595</v>
      </c>
      <c r="M422" s="13">
        <f>L422*(D422*1000)*J422</f>
        <v>255.844319</v>
      </c>
      <c r="N422" s="13">
        <f>MAX(0.25*SQRT($B$2)/$D$2,1.4/$D$2)*(D422*1000)*J422</f>
        <v>342.55</v>
      </c>
      <c r="O422" s="13">
        <f>MAX(M422,N422)</f>
        <v>342.55</v>
      </c>
      <c r="P422" s="14">
        <f>ROUNDUP(O422/$J$2,0)</f>
        <v>2</v>
      </c>
      <c r="Q422" s="13">
        <f>P422*$J$2</f>
        <v>398</v>
      </c>
      <c r="R422" s="10">
        <f>Q422*$D$2/(0.85*$B$2*(D422*1000))</f>
        <v>23.41176471</v>
      </c>
      <c r="S422" s="10">
        <f>0.9*Q422*$D$2*(J422-R422/2)/1000000</f>
        <v>49.77351244</v>
      </c>
      <c r="T422" s="15" t="str">
        <f>IF(AND(S422&gt;=F422,O422&lt;=0.025*(D422*1000)*J422,O422&gt;=N422),"CUMPLE","REVISAR")</f>
        <v>CUMPLE</v>
      </c>
      <c r="U422" s="11">
        <f>G422*1000000/(0.9*(D422*1000)*J422^2)</f>
        <v>0.3266845847</v>
      </c>
      <c r="V422" s="12">
        <f>(0.85*$B$2/$D$2)*(1-SQRT(1-2*U422/(0.85*$B$2)))</f>
        <v>0.0007832332725</v>
      </c>
      <c r="W422" s="13">
        <f>V422*(D422*1000)*J422</f>
        <v>80.48896724</v>
      </c>
      <c r="X422" s="13">
        <f>MAX(W422,N422)</f>
        <v>342.55</v>
      </c>
      <c r="Y422" s="14">
        <f>ROUNDUP(X422/$J$2,0)</f>
        <v>2</v>
      </c>
      <c r="Z422" s="13">
        <f>Y422*$J$2</f>
        <v>398</v>
      </c>
      <c r="AA422" s="10">
        <f>0.9*Z422*$D$2*(J422-(Z422*$D$2/(0.85*$B$2*(D422*1000)))/2)/1000000</f>
        <v>49.77351244</v>
      </c>
      <c r="AB422" s="15" t="str">
        <f>IF(AA422&gt;=G422,"CUMPLE","REVISAR")</f>
        <v>CUMPLE</v>
      </c>
      <c r="AC422" s="10">
        <f>0.17*SQRT($B$2)*(D422*1000)*J422/1000</f>
        <v>92.44281538</v>
      </c>
      <c r="AD422" s="10">
        <f>MAX(H422/0.75-AC422,0)</f>
        <v>0</v>
      </c>
      <c r="AE422" s="14">
        <f>IF(AD422&gt;0,MIN($N$2*$D$2*J422/(AD422*1000),MIN(J422/4,6*$H$2,150)),MIN(J422/4,6*$H$2,150))</f>
        <v>85.6375</v>
      </c>
      <c r="AF422" s="10">
        <f>0.66*SQRT($B$2)*(D422*1000)*J422/1000</f>
        <v>358.8956362</v>
      </c>
      <c r="AG422" s="15" t="str">
        <f>IF(AD422&lt;=AF422,"CUMPLE","AUMENTAR SECCION")</f>
        <v>CUMPLE</v>
      </c>
      <c r="AH422" s="10">
        <f>0.75*0.083*SQRT($B$2)*(((D422*1000)*(E422*1000))^2/(2*((D422*1000)+(E422*1000))))/1000000</f>
        <v>3.388073536</v>
      </c>
      <c r="AI422" s="15" t="str">
        <f>IF(I422&gt;AH422,"SI","No")</f>
        <v>No</v>
      </c>
      <c r="AJ422" s="11">
        <f>IF(I422&gt;AH422,I422*1000000/(0.75*2*0.85*((D422*1000-2*$F$2)*(E422*1000-2*$F$2))*$D$2),0)</f>
        <v>0</v>
      </c>
      <c r="AK422" s="10">
        <f>1.25*Q422*$D$2*(J422-(1.25*Q422*$D$2/(0.85*$B$2*(D422*1000)))/2)/1000000</f>
        <v>68.51839235</v>
      </c>
      <c r="AL422" s="10">
        <f>1.25*Z422*$D$2*(J422-(1.25*Z422*$D$2/(0.85*$B$2*(D422*1000)))/2)/1000000</f>
        <v>68.51839235</v>
      </c>
      <c r="AM422" s="10">
        <f>(AK422+AL422)/B422</f>
        <v>54.81471388</v>
      </c>
      <c r="AN422" s="10">
        <f>MAX(H422,AM422)</f>
        <v>54.81471388</v>
      </c>
    </row>
    <row r="423">
      <c r="A423" s="5" t="inlineStr">
        <is>
          <t>F894</t>
        </is>
      </c>
      <c r="B423" s="6" t="n">
        <v>2.6</v>
      </c>
      <c r="C423" s="7" t="inlineStr">
        <is>
          <t>VC</t>
        </is>
      </c>
      <c r="D423" s="8">
        <f>IF(C423="VR",0.35,0.30)</f>
        <v>0.3</v>
      </c>
      <c r="E423" s="6" t="n">
        <v>0.4</v>
      </c>
      <c r="F423" s="9" t="n">
        <v>22.7</v>
      </c>
      <c r="G423" s="9" t="n">
        <v>12.7</v>
      </c>
      <c r="H423" s="9" t="n">
        <v>47.8</v>
      </c>
      <c r="I423" s="6" t="n">
        <v>1.04</v>
      </c>
      <c r="J423" s="10">
        <f>E423*1000-$F$2-$L$2-$H$2/2</f>
        <v>342.55</v>
      </c>
      <c r="K423" s="11">
        <f>F423*1000000/(0.9*(D423*1000)*J423^2)</f>
        <v>0.7174435373</v>
      </c>
      <c r="L423" s="12">
        <f>(0.85*$B$2/$D$2)*(1-SQRT(1-2*K423/(0.85*$B$2)))</f>
        <v>0.001734752118</v>
      </c>
      <c r="M423" s="13">
        <f>L423*(D423*1000)*J423</f>
        <v>178.2718014</v>
      </c>
      <c r="N423" s="13">
        <f>MAX(0.25*SQRT($B$2)/$D$2,1.4/$D$2)*(D423*1000)*J423</f>
        <v>342.55</v>
      </c>
      <c r="O423" s="13">
        <f>MAX(M423,N423)</f>
        <v>342.55</v>
      </c>
      <c r="P423" s="14">
        <f>ROUNDUP(O423/$J$2,0)</f>
        <v>2</v>
      </c>
      <c r="Q423" s="13">
        <f>P423*$J$2</f>
        <v>398</v>
      </c>
      <c r="R423" s="10">
        <f>Q423*$D$2/(0.85*$B$2*(D423*1000))</f>
        <v>23.41176471</v>
      </c>
      <c r="S423" s="10">
        <f>0.9*Q423*$D$2*(J423-R423/2)/1000000</f>
        <v>49.77351244</v>
      </c>
      <c r="T423" s="15" t="str">
        <f>IF(AND(S423&gt;=F423,O423&lt;=0.025*(D423*1000)*J423,O423&gt;=N423),"CUMPLE","REVISAR")</f>
        <v>CUMPLE</v>
      </c>
      <c r="U423" s="11">
        <f>G423*1000000/(0.9*(D423*1000)*J423^2)</f>
        <v>0.4011749828</v>
      </c>
      <c r="V423" s="12">
        <f>(0.85*$B$2/$D$2)*(1-SQRT(1-2*U423/(0.85*$B$2)))</f>
        <v>0.0009633674437</v>
      </c>
      <c r="W423" s="13">
        <f>V423*(D423*1000)*J423</f>
        <v>99.00045536</v>
      </c>
      <c r="X423" s="13">
        <f>MAX(W423,N423)</f>
        <v>342.55</v>
      </c>
      <c r="Y423" s="14">
        <f>ROUNDUP(X423/$J$2,0)</f>
        <v>2</v>
      </c>
      <c r="Z423" s="13">
        <f>Y423*$J$2</f>
        <v>398</v>
      </c>
      <c r="AA423" s="10">
        <f>0.9*Z423*$D$2*(J423-(Z423*$D$2/(0.85*$B$2*(D423*1000)))/2)/1000000</f>
        <v>49.77351244</v>
      </c>
      <c r="AB423" s="15" t="str">
        <f>IF(AA423&gt;=G423,"CUMPLE","REVISAR")</f>
        <v>CUMPLE</v>
      </c>
      <c r="AC423" s="10">
        <f>0.17*SQRT($B$2)*(D423*1000)*J423/1000</f>
        <v>92.44281538</v>
      </c>
      <c r="AD423" s="10">
        <f>MAX(H423/0.75-AC423,0)</f>
        <v>0</v>
      </c>
      <c r="AE423" s="14">
        <f>IF(AD423&gt;0,MIN($N$2*$D$2*J423/(AD423*1000),MIN(J423/4,6*$H$2,150)),MIN(J423/4,6*$H$2,150))</f>
        <v>85.6375</v>
      </c>
      <c r="AF423" s="10">
        <f>0.66*SQRT($B$2)*(D423*1000)*J423/1000</f>
        <v>358.8956362</v>
      </c>
      <c r="AG423" s="15" t="str">
        <f>IF(AD423&lt;=AF423,"CUMPLE","AUMENTAR SECCION")</f>
        <v>CUMPLE</v>
      </c>
      <c r="AH423" s="10">
        <f>0.75*0.083*SQRT($B$2)*(((D423*1000)*(E423*1000))^2/(2*((D423*1000)+(E423*1000))))/1000000</f>
        <v>3.388073536</v>
      </c>
      <c r="AI423" s="15" t="str">
        <f>IF(I423&gt;AH423,"SI","No")</f>
        <v>No</v>
      </c>
      <c r="AJ423" s="11">
        <f>IF(I423&gt;AH423,I423*1000000/(0.75*2*0.85*((D423*1000-2*$F$2)*(E423*1000-2*$F$2))*$D$2),0)</f>
        <v>0</v>
      </c>
      <c r="AK423" s="10">
        <f>1.25*Q423*$D$2*(J423-(1.25*Q423*$D$2/(0.85*$B$2*(D423*1000)))/2)/1000000</f>
        <v>68.51839235</v>
      </c>
      <c r="AL423" s="10">
        <f>1.25*Z423*$D$2*(J423-(1.25*Z423*$D$2/(0.85*$B$2*(D423*1000)))/2)/1000000</f>
        <v>68.51839235</v>
      </c>
      <c r="AM423" s="10">
        <f>(AK423+AL423)/B423</f>
        <v>52.70645566</v>
      </c>
      <c r="AN423" s="10">
        <f>MAX(H423,AM423)</f>
        <v>52.70645566</v>
      </c>
    </row>
    <row r="424">
      <c r="A424" s="5" t="inlineStr">
        <is>
          <t>F895</t>
        </is>
      </c>
      <c r="B424" s="6" t="n">
        <v>3.65</v>
      </c>
      <c r="C424" s="7" t="inlineStr">
        <is>
          <t>VR</t>
        </is>
      </c>
      <c r="D424" s="8">
        <f>IF(C424="VR",0.35,0.30)</f>
        <v>0.35</v>
      </c>
      <c r="E424" s="6" t="n">
        <v>0.4</v>
      </c>
      <c r="F424" s="9" t="n">
        <v>36</v>
      </c>
      <c r="G424" s="9" t="n">
        <v>12.1</v>
      </c>
      <c r="H424" s="9" t="n">
        <v>103.9</v>
      </c>
      <c r="I424" s="6" t="n">
        <v>4.61</v>
      </c>
      <c r="J424" s="10">
        <f>E424*1000-$F$2-$L$2-$H$2/2</f>
        <v>342.55</v>
      </c>
      <c r="K424" s="11">
        <f>F424*1000000/(0.9*(D424*1000)*J424^2)</f>
        <v>0.9728842789</v>
      </c>
      <c r="L424" s="12">
        <f>(0.85*$B$2/$D$2)*(1-SQRT(1-2*K424/(0.85*$B$2)))</f>
        <v>0.002365775496</v>
      </c>
      <c r="M424" s="13">
        <f>L424*(D424*1000)*J424</f>
        <v>283.6387387</v>
      </c>
      <c r="N424" s="13">
        <f>MAX(0.25*SQRT($B$2)/$D$2,1.4/$D$2)*(D424*1000)*J424</f>
        <v>399.6416667</v>
      </c>
      <c r="O424" s="13">
        <f>MAX(M424,N424)</f>
        <v>399.6416667</v>
      </c>
      <c r="P424" s="14">
        <f>ROUNDUP(O424/$J$2,0)</f>
        <v>3</v>
      </c>
      <c r="Q424" s="13">
        <f>P424*$J$2</f>
        <v>597</v>
      </c>
      <c r="R424" s="10">
        <f>Q424*$D$2/(0.85*$B$2*(D424*1000))</f>
        <v>30.10084034</v>
      </c>
      <c r="S424" s="10">
        <f>0.9*Q424*$D$2*(J424-R424/2)/1000000</f>
        <v>73.90552018</v>
      </c>
      <c r="T424" s="15" t="str">
        <f>IF(AND(S424&gt;=F424,O424&lt;=0.025*(D424*1000)*J424,O424&gt;=N424),"CUMPLE","REVISAR")</f>
        <v>CUMPLE</v>
      </c>
      <c r="U424" s="11">
        <f>G424*1000000/(0.9*(D424*1000)*J424^2)</f>
        <v>0.3265493116</v>
      </c>
      <c r="V424" s="12">
        <f>(0.85*$B$2/$D$2)*(1-SQRT(1-2*U424/(0.85*$B$2)))</f>
        <v>0.0007829066805</v>
      </c>
      <c r="W424" s="13">
        <f>V424*(D424*1000)*J424</f>
        <v>93.86463919</v>
      </c>
      <c r="X424" s="13">
        <f>MAX(W424,N424)</f>
        <v>399.6416667</v>
      </c>
      <c r="Y424" s="14">
        <f>ROUNDUP(X424/$J$2,0)</f>
        <v>3</v>
      </c>
      <c r="Z424" s="13">
        <f>Y424*$J$2</f>
        <v>597</v>
      </c>
      <c r="AA424" s="10">
        <f>0.9*Z424*$D$2*(J424-(Z424*$D$2/(0.85*$B$2*(D424*1000)))/2)/1000000</f>
        <v>73.90552018</v>
      </c>
      <c r="AB424" s="15" t="str">
        <f>IF(AA424&gt;=G424,"CUMPLE","REVISAR")</f>
        <v>CUMPLE</v>
      </c>
      <c r="AC424" s="10">
        <f>0.17*SQRT($B$2)*(D424*1000)*J424/1000</f>
        <v>107.8499513</v>
      </c>
      <c r="AD424" s="10">
        <f>MAX(H424/0.75-AC424,0)</f>
        <v>30.68338205</v>
      </c>
      <c r="AE424" s="14">
        <f>IF(AD424&gt;0,MIN($N$2*$D$2*J424/(AD424*1000),MIN(J424/4,6*$H$2,150)),MIN(J424/4,6*$H$2,150))</f>
        <v>85.6375</v>
      </c>
      <c r="AF424" s="10">
        <f>0.66*SQRT($B$2)*(D424*1000)*J424/1000</f>
        <v>418.7115756</v>
      </c>
      <c r="AG424" s="15" t="str">
        <f>IF(AD424&lt;=AF424,"CUMPLE","AUMENTAR SECCION")</f>
        <v>CUMPLE</v>
      </c>
      <c r="AH424" s="10">
        <f>0.75*0.083*SQRT($B$2)*(((D424*1000)*(E424*1000))^2/(2*((D424*1000)+(E424*1000))))/1000000</f>
        <v>4.304108233</v>
      </c>
      <c r="AI424" s="15" t="str">
        <f>IF(I424&gt;AH424,"SI","No")</f>
        <v>SI</v>
      </c>
      <c r="AJ424" s="11">
        <f>IF(I424&gt;AH424,I424*1000000/(0.75*2*0.85*((D424*1000-2*$F$2)*(E424*1000-2*$F$2))*$D$2),0)</f>
        <v>0.0996170073</v>
      </c>
      <c r="AK424" s="10">
        <f>1.25*Q424*$D$2*(J424-(1.25*Q424*$D$2/(0.85*$B$2*(D424*1000)))/2)/1000000</f>
        <v>101.4672613</v>
      </c>
      <c r="AL424" s="10">
        <f>1.25*Z424*$D$2*(J424-(1.25*Z424*$D$2/(0.85*$B$2*(D424*1000)))/2)/1000000</f>
        <v>101.4672613</v>
      </c>
      <c r="AM424" s="10">
        <f>(AK424+AL424)/B424</f>
        <v>55.55283949</v>
      </c>
      <c r="AN424" s="10">
        <f>MAX(H424,AM424)</f>
        <v>103.9</v>
      </c>
    </row>
    <row r="425">
      <c r="A425" s="5" t="inlineStr">
        <is>
          <t>F896</t>
        </is>
      </c>
      <c r="B425" s="6" t="n">
        <v>2.6</v>
      </c>
      <c r="C425" s="7" t="inlineStr">
        <is>
          <t>VC</t>
        </is>
      </c>
      <c r="D425" s="8">
        <f>IF(C425="VR",0.35,0.30)</f>
        <v>0.3</v>
      </c>
      <c r="E425" s="6" t="n">
        <v>0.4</v>
      </c>
      <c r="F425" s="9" t="n">
        <v>28.6</v>
      </c>
      <c r="G425" s="9" t="n">
        <v>9.5</v>
      </c>
      <c r="H425" s="9" t="n">
        <v>47.6</v>
      </c>
      <c r="I425" s="6" t="n">
        <v>0.26</v>
      </c>
      <c r="J425" s="10">
        <f>E425*1000-$F$2-$L$2-$H$2/2</f>
        <v>342.55</v>
      </c>
      <c r="K425" s="11">
        <f>F425*1000000/(0.9*(D425*1000)*J425^2)</f>
        <v>0.9014600715</v>
      </c>
      <c r="L425" s="12">
        <f>(0.85*$B$2/$D$2)*(1-SQRT(1-2*K425/(0.85*$B$2)))</f>
        <v>0.002188597862</v>
      </c>
      <c r="M425" s="13">
        <f>L425*(D425*1000)*J425</f>
        <v>224.9112593</v>
      </c>
      <c r="N425" s="13">
        <f>MAX(0.25*SQRT($B$2)/$D$2,1.4/$D$2)*(D425*1000)*J425</f>
        <v>342.55</v>
      </c>
      <c r="O425" s="13">
        <f>MAX(M425,N425)</f>
        <v>342.55</v>
      </c>
      <c r="P425" s="14">
        <f>ROUNDUP(O425/$J$2,0)</f>
        <v>2</v>
      </c>
      <c r="Q425" s="13">
        <f>P425*$J$2</f>
        <v>398</v>
      </c>
      <c r="R425" s="10">
        <f>Q425*$D$2/(0.85*$B$2*(D425*1000))</f>
        <v>23.41176471</v>
      </c>
      <c r="S425" s="10">
        <f>0.9*Q425*$D$2*(J425-R425/2)/1000000</f>
        <v>49.77351244</v>
      </c>
      <c r="T425" s="15" t="str">
        <f>IF(AND(S425&gt;=F425,O425&lt;=0.025*(D425*1000)*J425,O425&gt;=N425),"CUMPLE","REVISAR")</f>
        <v>CUMPLE</v>
      </c>
      <c r="U425" s="11">
        <f>G425*1000000/(0.9*(D425*1000)*J425^2)</f>
        <v>0.3004866905</v>
      </c>
      <c r="V425" s="12">
        <f>(0.85*$B$2/$D$2)*(1-SQRT(1-2*U425/(0.85*$B$2)))</f>
        <v>0.0007200188585</v>
      </c>
      <c r="W425" s="13">
        <f>V425*(D425*1000)*J425</f>
        <v>73.99273799</v>
      </c>
      <c r="X425" s="13">
        <f>MAX(W425,N425)</f>
        <v>342.55</v>
      </c>
      <c r="Y425" s="14">
        <f>ROUNDUP(X425/$J$2,0)</f>
        <v>2</v>
      </c>
      <c r="Z425" s="13">
        <f>Y425*$J$2</f>
        <v>398</v>
      </c>
      <c r="AA425" s="10">
        <f>0.9*Z425*$D$2*(J425-(Z425*$D$2/(0.85*$B$2*(D425*1000)))/2)/1000000</f>
        <v>49.77351244</v>
      </c>
      <c r="AB425" s="15" t="str">
        <f>IF(AA425&gt;=G425,"CUMPLE","REVISAR")</f>
        <v>CUMPLE</v>
      </c>
      <c r="AC425" s="10">
        <f>0.17*SQRT($B$2)*(D425*1000)*J425/1000</f>
        <v>92.44281538</v>
      </c>
      <c r="AD425" s="10">
        <f>MAX(H425/0.75-AC425,0)</f>
        <v>0</v>
      </c>
      <c r="AE425" s="14">
        <f>IF(AD425&gt;0,MIN($N$2*$D$2*J425/(AD425*1000),MIN(J425/4,6*$H$2,150)),MIN(J425/4,6*$H$2,150))</f>
        <v>85.6375</v>
      </c>
      <c r="AF425" s="10">
        <f>0.66*SQRT($B$2)*(D425*1000)*J425/1000</f>
        <v>358.8956362</v>
      </c>
      <c r="AG425" s="15" t="str">
        <f>IF(AD425&lt;=AF425,"CUMPLE","AUMENTAR SECCION")</f>
        <v>CUMPLE</v>
      </c>
      <c r="AH425" s="10">
        <f>0.75*0.083*SQRT($B$2)*(((D425*1000)*(E425*1000))^2/(2*((D425*1000)+(E425*1000))))/1000000</f>
        <v>3.388073536</v>
      </c>
      <c r="AI425" s="15" t="str">
        <f>IF(I425&gt;AH425,"SI","No")</f>
        <v>No</v>
      </c>
      <c r="AJ425" s="11">
        <f>IF(I425&gt;AH425,I425*1000000/(0.75*2*0.85*((D425*1000-2*$F$2)*(E425*1000-2*$F$2))*$D$2),0)</f>
        <v>0</v>
      </c>
      <c r="AK425" s="10">
        <f>1.25*Q425*$D$2*(J425-(1.25*Q425*$D$2/(0.85*$B$2*(D425*1000)))/2)/1000000</f>
        <v>68.51839235</v>
      </c>
      <c r="AL425" s="10">
        <f>1.25*Z425*$D$2*(J425-(1.25*Z425*$D$2/(0.85*$B$2*(D425*1000)))/2)/1000000</f>
        <v>68.51839235</v>
      </c>
      <c r="AM425" s="10">
        <f>(AK425+AL425)/B425</f>
        <v>52.70645566</v>
      </c>
      <c r="AN425" s="10">
        <f>MAX(H425,AM425)</f>
        <v>52.70645566</v>
      </c>
    </row>
    <row r="426">
      <c r="A426" s="5" t="inlineStr">
        <is>
          <t>F897</t>
        </is>
      </c>
      <c r="B426" s="6" t="n">
        <v>2.6</v>
      </c>
      <c r="C426" s="7" t="inlineStr">
        <is>
          <t>VC</t>
        </is>
      </c>
      <c r="D426" s="8">
        <f>IF(C426="VR",0.35,0.30)</f>
        <v>0.3</v>
      </c>
      <c r="E426" s="6" t="n">
        <v>0.4</v>
      </c>
      <c r="F426" s="9" t="n">
        <v>28.9</v>
      </c>
      <c r="G426" s="9" t="n">
        <v>11</v>
      </c>
      <c r="H426" s="9" t="n">
        <v>56</v>
      </c>
      <c r="I426" s="6" t="n">
        <v>2.88</v>
      </c>
      <c r="J426" s="10">
        <f>E426*1000-$F$2-$L$2-$H$2/2</f>
        <v>342.55</v>
      </c>
      <c r="K426" s="11">
        <f>F426*1000000/(0.9*(D426*1000)*J426^2)</f>
        <v>0.9112448272</v>
      </c>
      <c r="L426" s="12">
        <f>(0.85*$B$2/$D$2)*(1-SQRT(1-2*K426/(0.85*$B$2)))</f>
        <v>0.002212836225</v>
      </c>
      <c r="M426" s="13">
        <f>L426*(D426*1000)*J426</f>
        <v>227.4021146</v>
      </c>
      <c r="N426" s="13">
        <f>MAX(0.25*SQRT($B$2)/$D$2,1.4/$D$2)*(D426*1000)*J426</f>
        <v>342.55</v>
      </c>
      <c r="O426" s="13">
        <f>MAX(M426,N426)</f>
        <v>342.55</v>
      </c>
      <c r="P426" s="14">
        <f>ROUNDUP(O426/$J$2,0)</f>
        <v>2</v>
      </c>
      <c r="Q426" s="13">
        <f>P426*$J$2</f>
        <v>398</v>
      </c>
      <c r="R426" s="10">
        <f>Q426*$D$2/(0.85*$B$2*(D426*1000))</f>
        <v>23.41176471</v>
      </c>
      <c r="S426" s="10">
        <f>0.9*Q426*$D$2*(J426-R426/2)/1000000</f>
        <v>49.77351244</v>
      </c>
      <c r="T426" s="15" t="str">
        <f>IF(AND(S426&gt;=F426,O426&lt;=0.025*(D426*1000)*J426,O426&gt;=N426),"CUMPLE","REVISAR")</f>
        <v>CUMPLE</v>
      </c>
      <c r="U426" s="11">
        <f>G426*1000000/(0.9*(D426*1000)*J426^2)</f>
        <v>0.3484635571</v>
      </c>
      <c r="V426" s="12">
        <f>(0.85*$B$2/$D$2)*(1-SQRT(1-2*U426/(0.85*$B$2)))</f>
        <v>0.0008358394976</v>
      </c>
      <c r="W426" s="13">
        <f>V426*(D426*1000)*J426</f>
        <v>85.89504597</v>
      </c>
      <c r="X426" s="13">
        <f>MAX(W426,N426)</f>
        <v>342.55</v>
      </c>
      <c r="Y426" s="14">
        <f>ROUNDUP(X426/$J$2,0)</f>
        <v>2</v>
      </c>
      <c r="Z426" s="13">
        <f>Y426*$J$2</f>
        <v>398</v>
      </c>
      <c r="AA426" s="10">
        <f>0.9*Z426*$D$2*(J426-(Z426*$D$2/(0.85*$B$2*(D426*1000)))/2)/1000000</f>
        <v>49.77351244</v>
      </c>
      <c r="AB426" s="15" t="str">
        <f>IF(AA426&gt;=G426,"CUMPLE","REVISAR")</f>
        <v>CUMPLE</v>
      </c>
      <c r="AC426" s="10">
        <f>0.17*SQRT($B$2)*(D426*1000)*J426/1000</f>
        <v>92.44281538</v>
      </c>
      <c r="AD426" s="10">
        <f>MAX(H426/0.75-AC426,0)</f>
        <v>0</v>
      </c>
      <c r="AE426" s="14">
        <f>IF(AD426&gt;0,MIN($N$2*$D$2*J426/(AD426*1000),MIN(J426/4,6*$H$2,150)),MIN(J426/4,6*$H$2,150))</f>
        <v>85.6375</v>
      </c>
      <c r="AF426" s="10">
        <f>0.66*SQRT($B$2)*(D426*1000)*J426/1000</f>
        <v>358.8956362</v>
      </c>
      <c r="AG426" s="15" t="str">
        <f>IF(AD426&lt;=AF426,"CUMPLE","AUMENTAR SECCION")</f>
        <v>CUMPLE</v>
      </c>
      <c r="AH426" s="10">
        <f>0.75*0.083*SQRT($B$2)*(((D426*1000)*(E426*1000))^2/(2*((D426*1000)+(E426*1000))))/1000000</f>
        <v>3.388073536</v>
      </c>
      <c r="AI426" s="15" t="str">
        <f>IF(I426&gt;AH426,"SI","No")</f>
        <v>No</v>
      </c>
      <c r="AJ426" s="11">
        <f>IF(I426&gt;AH426,I426*1000000/(0.75*2*0.85*((D426*1000-2*$F$2)*(E426*1000-2*$F$2))*$D$2),0)</f>
        <v>0</v>
      </c>
      <c r="AK426" s="10">
        <f>1.25*Q426*$D$2*(J426-(1.25*Q426*$D$2/(0.85*$B$2*(D426*1000)))/2)/1000000</f>
        <v>68.51839235</v>
      </c>
      <c r="AL426" s="10">
        <f>1.25*Z426*$D$2*(J426-(1.25*Z426*$D$2/(0.85*$B$2*(D426*1000)))/2)/1000000</f>
        <v>68.51839235</v>
      </c>
      <c r="AM426" s="10">
        <f>(AK426+AL426)/B426</f>
        <v>52.70645566</v>
      </c>
      <c r="AN426" s="10">
        <f>MAX(H426,AM426)</f>
        <v>55.97</v>
      </c>
    </row>
    <row r="427">
      <c r="A427" s="5" t="inlineStr">
        <is>
          <t>F898</t>
        </is>
      </c>
      <c r="B427" s="6" t="n">
        <v>3.65</v>
      </c>
      <c r="C427" s="7" t="inlineStr">
        <is>
          <t>VR</t>
        </is>
      </c>
      <c r="D427" s="8">
        <f>IF(C427="VR",0.35,0.30)</f>
        <v>0.35</v>
      </c>
      <c r="E427" s="6" t="n">
        <v>0.4</v>
      </c>
      <c r="F427" s="9" t="n">
        <v>45.6</v>
      </c>
      <c r="G427" s="9" t="n">
        <v>21.8</v>
      </c>
      <c r="H427" s="9" t="n">
        <v>72.7</v>
      </c>
      <c r="I427" s="6" t="n">
        <v>0.08</v>
      </c>
      <c r="J427" s="10">
        <f>E427*1000-$F$2-$L$2-$H$2/2</f>
        <v>342.55</v>
      </c>
      <c r="K427" s="11">
        <f>F427*1000000/(0.9*(D427*1000)*J427^2)</f>
        <v>1.233149762</v>
      </c>
      <c r="L427" s="12">
        <f>(0.85*$B$2/$D$2)*(1-SQRT(1-2*K427/(0.85*$B$2)))</f>
        <v>0.003016350605</v>
      </c>
      <c r="M427" s="13">
        <f>L427*(D427*1000)*J427</f>
        <v>361.6378149</v>
      </c>
      <c r="N427" s="13">
        <f>MAX(0.25*SQRT($B$2)/$D$2,1.4/$D$2)*(D427*1000)*J427</f>
        <v>399.6416667</v>
      </c>
      <c r="O427" s="13">
        <f>MAX(M427,N427)</f>
        <v>399.6416667</v>
      </c>
      <c r="P427" s="14">
        <f>ROUNDUP(O427/$J$2,0)</f>
        <v>3</v>
      </c>
      <c r="Q427" s="13">
        <f>P427*$J$2</f>
        <v>597</v>
      </c>
      <c r="R427" s="10">
        <f>Q427*$D$2/(0.85*$B$2*(D427*1000))</f>
        <v>30.10084034</v>
      </c>
      <c r="S427" s="10">
        <f>0.9*Q427*$D$2*(J427-R427/2)/1000000</f>
        <v>73.90552018</v>
      </c>
      <c r="T427" s="15" t="str">
        <f>IF(AND(S427&gt;=F427,O427&lt;=0.025*(D427*1000)*J427,O427&gt;=N427),"CUMPLE","REVISAR")</f>
        <v>CUMPLE</v>
      </c>
      <c r="U427" s="11">
        <f>G427*1000000/(0.9*(D427*1000)*J427^2)</f>
        <v>0.5884380719</v>
      </c>
      <c r="V427" s="12">
        <f>(0.85*$B$2/$D$2)*(1-SQRT(1-2*U427/(0.85*$B$2)))</f>
        <v>0.001418804857</v>
      </c>
      <c r="W427" s="13">
        <f>V427*(D427*1000)*J427</f>
        <v>170.1040613</v>
      </c>
      <c r="X427" s="13">
        <f>MAX(W427,N427)</f>
        <v>399.6416667</v>
      </c>
      <c r="Y427" s="14">
        <f>ROUNDUP(X427/$J$2,0)</f>
        <v>3</v>
      </c>
      <c r="Z427" s="13">
        <f>Y427*$J$2</f>
        <v>597</v>
      </c>
      <c r="AA427" s="10">
        <f>0.9*Z427*$D$2*(J427-(Z427*$D$2/(0.85*$B$2*(D427*1000)))/2)/1000000</f>
        <v>73.90552018</v>
      </c>
      <c r="AB427" s="15" t="str">
        <f>IF(AA427&gt;=G427,"CUMPLE","REVISAR")</f>
        <v>CUMPLE</v>
      </c>
      <c r="AC427" s="10">
        <f>0.17*SQRT($B$2)*(D427*1000)*J427/1000</f>
        <v>107.8499513</v>
      </c>
      <c r="AD427" s="10">
        <f>MAX(H427/0.75-AC427,0)</f>
        <v>0</v>
      </c>
      <c r="AE427" s="14">
        <f>IF(AD427&gt;0,MIN($N$2*$D$2*J427/(AD427*1000),MIN(J427/4,6*$H$2,150)),MIN(J427/4,6*$H$2,150))</f>
        <v>85.6375</v>
      </c>
      <c r="AF427" s="10">
        <f>0.66*SQRT($B$2)*(D427*1000)*J427/1000</f>
        <v>418.7115756</v>
      </c>
      <c r="AG427" s="15" t="str">
        <f>IF(AD427&lt;=AF427,"CUMPLE","AUMENTAR SECCION")</f>
        <v>CUMPLE</v>
      </c>
      <c r="AH427" s="10">
        <f>0.75*0.083*SQRT($B$2)*(((D427*1000)*(E427*1000))^2/(2*((D427*1000)+(E427*1000))))/1000000</f>
        <v>4.304108233</v>
      </c>
      <c r="AI427" s="15" t="str">
        <f>IF(I427&gt;AH427,"SI","No")</f>
        <v>No</v>
      </c>
      <c r="AJ427" s="11">
        <f>IF(I427&gt;AH427,I427*1000000/(0.75*2*0.85*((D427*1000-2*$F$2)*(E427*1000-2*$F$2))*$D$2),0)</f>
        <v>0</v>
      </c>
      <c r="AK427" s="10">
        <f>1.25*Q427*$D$2*(J427-(1.25*Q427*$D$2/(0.85*$B$2*(D427*1000)))/2)/1000000</f>
        <v>101.4672613</v>
      </c>
      <c r="AL427" s="10">
        <f>1.25*Z427*$D$2*(J427-(1.25*Z427*$D$2/(0.85*$B$2*(D427*1000)))/2)/1000000</f>
        <v>101.4672613</v>
      </c>
      <c r="AM427" s="10">
        <f>(AK427+AL427)/B427</f>
        <v>55.59849936</v>
      </c>
      <c r="AN427" s="10">
        <f>MAX(H427,AM427)</f>
        <v>72.66</v>
      </c>
    </row>
    <row r="428">
      <c r="A428" s="5" t="inlineStr">
        <is>
          <t>F899</t>
        </is>
      </c>
      <c r="B428" s="6" t="n">
        <v>2.6</v>
      </c>
      <c r="C428" s="7" t="inlineStr">
        <is>
          <t>VC</t>
        </is>
      </c>
      <c r="D428" s="8">
        <f>IF(C428="VR",0.35,0.30)</f>
        <v>0.3</v>
      </c>
      <c r="E428" s="6" t="n">
        <v>0.4</v>
      </c>
      <c r="F428" s="9" t="n">
        <v>27.6</v>
      </c>
      <c r="G428" s="9" t="n">
        <v>11</v>
      </c>
      <c r="H428" s="9" t="n">
        <v>55.2</v>
      </c>
      <c r="I428" s="6" t="n">
        <v>0.07000000000000001</v>
      </c>
      <c r="J428" s="10">
        <f>E428*1000-$F$2-$L$2-$H$2/2</f>
        <v>342.55</v>
      </c>
      <c r="K428" s="11">
        <f>F428*1000000/(0.9*(D428*1000)*J428^2)</f>
        <v>0.8702119808</v>
      </c>
      <c r="L428" s="12">
        <f>(0.85*$B$2/$D$2)*(1-SQRT(1-2*K428/(0.85*$B$2)))</f>
        <v>0.002111263587</v>
      </c>
      <c r="M428" s="13">
        <f>L428*(D428*1000)*J428</f>
        <v>216.9640025</v>
      </c>
      <c r="N428" s="13">
        <f>MAX(0.25*SQRT($B$2)/$D$2,1.4/$D$2)*(D428*1000)*J428</f>
        <v>342.55</v>
      </c>
      <c r="O428" s="13">
        <f>MAX(M428,N428)</f>
        <v>342.55</v>
      </c>
      <c r="P428" s="14">
        <f>ROUNDUP(O428/$J$2,0)</f>
        <v>2</v>
      </c>
      <c r="Q428" s="13">
        <f>P428*$J$2</f>
        <v>398</v>
      </c>
      <c r="R428" s="10">
        <f>Q428*$D$2/(0.85*$B$2*(D428*1000))</f>
        <v>23.41176471</v>
      </c>
      <c r="S428" s="10">
        <f>0.9*Q428*$D$2*(J428-R428/2)/1000000</f>
        <v>49.77351244</v>
      </c>
      <c r="T428" s="15" t="str">
        <f>IF(AND(S428&gt;=F428,O428&lt;=0.025*(D428*1000)*J428,O428&gt;=N428),"CUMPLE","REVISAR")</f>
        <v>CUMPLE</v>
      </c>
      <c r="U428" s="11">
        <f>G428*1000000/(0.9*(D428*1000)*J428^2)</f>
        <v>0.3484635571</v>
      </c>
      <c r="V428" s="12">
        <f>(0.85*$B$2/$D$2)*(1-SQRT(1-2*U428/(0.85*$B$2)))</f>
        <v>0.0008358394976</v>
      </c>
      <c r="W428" s="13">
        <f>V428*(D428*1000)*J428</f>
        <v>85.89504597</v>
      </c>
      <c r="X428" s="13">
        <f>MAX(W428,N428)</f>
        <v>342.55</v>
      </c>
      <c r="Y428" s="14">
        <f>ROUNDUP(X428/$J$2,0)</f>
        <v>2</v>
      </c>
      <c r="Z428" s="13">
        <f>Y428*$J$2</f>
        <v>398</v>
      </c>
      <c r="AA428" s="10">
        <f>0.9*Z428*$D$2*(J428-(Z428*$D$2/(0.85*$B$2*(D428*1000)))/2)/1000000</f>
        <v>49.77351244</v>
      </c>
      <c r="AB428" s="15" t="str">
        <f>IF(AA428&gt;=G428,"CUMPLE","REVISAR")</f>
        <v>CUMPLE</v>
      </c>
      <c r="AC428" s="10">
        <f>0.17*SQRT($B$2)*(D428*1000)*J428/1000</f>
        <v>92.44281538</v>
      </c>
      <c r="AD428" s="10">
        <f>MAX(H428/0.75-AC428,0)</f>
        <v>0</v>
      </c>
      <c r="AE428" s="14">
        <f>IF(AD428&gt;0,MIN($N$2*$D$2*J428/(AD428*1000),MIN(J428/4,6*$H$2,150)),MIN(J428/4,6*$H$2,150))</f>
        <v>85.6375</v>
      </c>
      <c r="AF428" s="10">
        <f>0.66*SQRT($B$2)*(D428*1000)*J428/1000</f>
        <v>358.8956362</v>
      </c>
      <c r="AG428" s="15" t="str">
        <f>IF(AD428&lt;=AF428,"CUMPLE","AUMENTAR SECCION")</f>
        <v>CUMPLE</v>
      </c>
      <c r="AH428" s="10">
        <f>0.75*0.083*SQRT($B$2)*(((D428*1000)*(E428*1000))^2/(2*((D428*1000)+(E428*1000))))/1000000</f>
        <v>3.388073536</v>
      </c>
      <c r="AI428" s="15" t="str">
        <f>IF(I428&gt;AH428,"SI","No")</f>
        <v>No</v>
      </c>
      <c r="AJ428" s="11">
        <f>IF(I428&gt;AH428,I428*1000000/(0.75*2*0.85*((D428*1000-2*$F$2)*(E428*1000-2*$F$2))*$D$2),0)</f>
        <v>0</v>
      </c>
      <c r="AK428" s="10">
        <f>1.25*Q428*$D$2*(J428-(1.25*Q428*$D$2/(0.85*$B$2*(D428*1000)))/2)/1000000</f>
        <v>68.51839235</v>
      </c>
      <c r="AL428" s="10">
        <f>1.25*Z428*$D$2*(J428-(1.25*Z428*$D$2/(0.85*$B$2*(D428*1000)))/2)/1000000</f>
        <v>68.51839235</v>
      </c>
      <c r="AM428" s="10">
        <f>(AK428+AL428)/B428</f>
        <v>52.70645566</v>
      </c>
      <c r="AN428" s="10">
        <f>MAX(H428,AM428)</f>
        <v>55.17</v>
      </c>
    </row>
    <row r="429">
      <c r="A429" s="5" t="inlineStr">
        <is>
          <t>F900</t>
        </is>
      </c>
      <c r="B429" s="6" t="n">
        <v>2.5</v>
      </c>
      <c r="C429" s="7" t="inlineStr">
        <is>
          <t>VC</t>
        </is>
      </c>
      <c r="D429" s="8">
        <f>IF(C429="VR",0.35,0.30)</f>
        <v>0.3</v>
      </c>
      <c r="E429" s="6" t="n">
        <v>0.4</v>
      </c>
      <c r="F429" s="9" t="n">
        <v>30.3</v>
      </c>
      <c r="G429" s="9" t="n">
        <v>10.9</v>
      </c>
      <c r="H429" s="9" t="n">
        <v>56.9</v>
      </c>
      <c r="I429" s="6" t="n">
        <v>0.2</v>
      </c>
      <c r="J429" s="10">
        <f>E429*1000-$F$2-$L$2-$H$2/2</f>
        <v>342.55</v>
      </c>
      <c r="K429" s="11">
        <f>F429*1000000/(0.9*(D429*1000)*J429^2)</f>
        <v>0.9554340464</v>
      </c>
      <c r="L429" s="12">
        <f>(0.85*$B$2/$D$2)*(1-SQRT(1-2*K429/(0.85*$B$2)))</f>
        <v>0.002322434454</v>
      </c>
      <c r="M429" s="13">
        <f>L429*(D429*1000)*J429</f>
        <v>238.6649767</v>
      </c>
      <c r="N429" s="13">
        <f>MAX(0.25*SQRT($B$2)/$D$2,1.4/$D$2)*(D429*1000)*J429</f>
        <v>342.55</v>
      </c>
      <c r="O429" s="13">
        <f>MAX(M429,N429)</f>
        <v>342.55</v>
      </c>
      <c r="P429" s="14">
        <f>ROUNDUP(O429/$J$2,0)</f>
        <v>2</v>
      </c>
      <c r="Q429" s="13">
        <f>P429*$J$2</f>
        <v>398</v>
      </c>
      <c r="R429" s="10">
        <f>Q429*$D$2/(0.85*$B$2*(D429*1000))</f>
        <v>23.41176471</v>
      </c>
      <c r="S429" s="10">
        <f>0.9*Q429*$D$2*(J429-R429/2)/1000000</f>
        <v>49.77351244</v>
      </c>
      <c r="T429" s="15" t="str">
        <f>IF(AND(S429&gt;=F429,O429&lt;=0.025*(D429*1000)*J429,O429&gt;=N429),"CUMPLE","REVISAR")</f>
        <v>CUMPLE</v>
      </c>
      <c r="U429" s="11">
        <f>G429*1000000/(0.9*(D429*1000)*J429^2)</f>
        <v>0.3456228215</v>
      </c>
      <c r="V429" s="12">
        <f>(0.85*$B$2/$D$2)*(1-SQRT(1-2*U429/(0.85*$B$2)))</f>
        <v>0.0008289750054</v>
      </c>
      <c r="W429" s="13">
        <f>V429*(D429*1000)*J429</f>
        <v>85.18961643</v>
      </c>
      <c r="X429" s="13">
        <f>MAX(W429,N429)</f>
        <v>342.55</v>
      </c>
      <c r="Y429" s="14">
        <f>ROUNDUP(X429/$J$2,0)</f>
        <v>2</v>
      </c>
      <c r="Z429" s="13">
        <f>Y429*$J$2</f>
        <v>398</v>
      </c>
      <c r="AA429" s="10">
        <f>0.9*Z429*$D$2*(J429-(Z429*$D$2/(0.85*$B$2*(D429*1000)))/2)/1000000</f>
        <v>49.77351244</v>
      </c>
      <c r="AB429" s="15" t="str">
        <f>IF(AA429&gt;=G429,"CUMPLE","REVISAR")</f>
        <v>CUMPLE</v>
      </c>
      <c r="AC429" s="10">
        <f>0.17*SQRT($B$2)*(D429*1000)*J429/1000</f>
        <v>92.44281538</v>
      </c>
      <c r="AD429" s="10">
        <f>MAX(H429/0.75-AC429,0)</f>
        <v>0</v>
      </c>
      <c r="AE429" s="14">
        <f>IF(AD429&gt;0,MIN($N$2*$D$2*J429/(AD429*1000),MIN(J429/4,6*$H$2,150)),MIN(J429/4,6*$H$2,150))</f>
        <v>85.6375</v>
      </c>
      <c r="AF429" s="10">
        <f>0.66*SQRT($B$2)*(D429*1000)*J429/1000</f>
        <v>358.8956362</v>
      </c>
      <c r="AG429" s="15" t="str">
        <f>IF(AD429&lt;=AF429,"CUMPLE","AUMENTAR SECCION")</f>
        <v>CUMPLE</v>
      </c>
      <c r="AH429" s="10">
        <f>0.75*0.083*SQRT($B$2)*(((D429*1000)*(E429*1000))^2/(2*((D429*1000)+(E429*1000))))/1000000</f>
        <v>3.388073536</v>
      </c>
      <c r="AI429" s="15" t="str">
        <f>IF(I429&gt;AH429,"SI","No")</f>
        <v>No</v>
      </c>
      <c r="AJ429" s="11">
        <f>IF(I429&gt;AH429,I429*1000000/(0.75*2*0.85*((D429*1000-2*$F$2)*(E429*1000-2*$F$2))*$D$2),0)</f>
        <v>0</v>
      </c>
      <c r="AK429" s="10">
        <f>1.25*Q429*$D$2*(J429-(1.25*Q429*$D$2/(0.85*$B$2*(D429*1000)))/2)/1000000</f>
        <v>68.51839235</v>
      </c>
      <c r="AL429" s="10">
        <f>1.25*Z429*$D$2*(J429-(1.25*Z429*$D$2/(0.85*$B$2*(D429*1000)))/2)/1000000</f>
        <v>68.51839235</v>
      </c>
      <c r="AM429" s="10">
        <f>(AK429+AL429)/B429</f>
        <v>54.81471388</v>
      </c>
      <c r="AN429" s="10">
        <f>MAX(H429,AM429)</f>
        <v>56.88</v>
      </c>
    </row>
    <row r="430">
      <c r="A430" s="5" t="inlineStr">
        <is>
          <t>F901</t>
        </is>
      </c>
      <c r="B430" s="6" t="n">
        <v>4</v>
      </c>
      <c r="C430" s="7" t="inlineStr">
        <is>
          <t>VC</t>
        </is>
      </c>
      <c r="D430" s="8">
        <f>IF(C430="VR",0.35,0.30)</f>
        <v>0.3</v>
      </c>
      <c r="E430" s="6" t="n">
        <v>0.4</v>
      </c>
      <c r="F430" s="9" t="n">
        <v>61</v>
      </c>
      <c r="G430" s="9" t="n">
        <v>26.1</v>
      </c>
      <c r="H430" s="9" t="n">
        <v>82.7</v>
      </c>
      <c r="I430" s="6" t="n">
        <v>1.68</v>
      </c>
      <c r="J430" s="10">
        <f>E430*1000-$F$2-$L$2-$H$2/2</f>
        <v>342.55</v>
      </c>
      <c r="K430" s="11">
        <f>F430*1000000/(0.9*(D430*1000)*J430^2)</f>
        <v>1.923809221</v>
      </c>
      <c r="L430" s="12">
        <f>(0.85*$B$2/$D$2)*(1-SQRT(1-2*K430/(0.85*$B$2)))</f>
        <v>0.004782295341</v>
      </c>
      <c r="M430" s="13">
        <f>L430*(D430*1000)*J430</f>
        <v>491.4525807</v>
      </c>
      <c r="N430" s="13">
        <f>MAX(0.25*SQRT($B$2)/$D$2,1.4/$D$2)*(D430*1000)*J430</f>
        <v>342.55</v>
      </c>
      <c r="O430" s="13">
        <f>MAX(M430,N430)</f>
        <v>491.4525807</v>
      </c>
      <c r="P430" s="14">
        <f>ROUNDUP(O430/$J$2,0)</f>
        <v>3</v>
      </c>
      <c r="Q430" s="13">
        <f>P430*$J$2</f>
        <v>597</v>
      </c>
      <c r="R430" s="10">
        <f>Q430*$D$2/(0.85*$B$2*(D430*1000))</f>
        <v>35.11764706</v>
      </c>
      <c r="S430" s="10">
        <f>0.9*Q430*$D$2*(J430-R430/2)/1000000</f>
        <v>73.33945883</v>
      </c>
      <c r="T430" s="15" t="str">
        <f>IF(AND(S430&gt;=F430,O430&lt;=0.025*(D430*1000)*J430,O430&gt;=N430),"CUMPLE","REVISAR")</f>
        <v>CUMPLE</v>
      </c>
      <c r="U430" s="11">
        <f>G430*1000000/(0.9*(D430*1000)*J430^2)</f>
        <v>0.8247602125</v>
      </c>
      <c r="V430" s="12">
        <f>(0.85*$B$2/$D$2)*(1-SQRT(1-2*U430/(0.85*$B$2)))</f>
        <v>0.00199897266</v>
      </c>
      <c r="W430" s="13">
        <f>V430*(D430*1000)*J430</f>
        <v>205.4244254</v>
      </c>
      <c r="X430" s="13">
        <f>MAX(W430,N430)</f>
        <v>342.55</v>
      </c>
      <c r="Y430" s="14">
        <f>ROUNDUP(X430/$J$2,0)</f>
        <v>2</v>
      </c>
      <c r="Z430" s="13">
        <f>Y430*$J$2</f>
        <v>398</v>
      </c>
      <c r="AA430" s="10">
        <f>0.9*Z430*$D$2*(J430-(Z430*$D$2/(0.85*$B$2*(D430*1000)))/2)/1000000</f>
        <v>49.77351244</v>
      </c>
      <c r="AB430" s="15" t="str">
        <f>IF(AA430&gt;=G430,"CUMPLE","REVISAR")</f>
        <v>CUMPLE</v>
      </c>
      <c r="AC430" s="10">
        <f>0.17*SQRT($B$2)*(D430*1000)*J430/1000</f>
        <v>92.44281538</v>
      </c>
      <c r="AD430" s="10">
        <f>MAX(H430/0.75-AC430,0)</f>
        <v>17.86385128</v>
      </c>
      <c r="AE430" s="14">
        <f>IF(AD430&gt;0,MIN($N$2*$D$2*J430/(AD430*1000),MIN(J430/4,6*$H$2,150)),MIN(J430/4,6*$H$2,150))</f>
        <v>85.6375</v>
      </c>
      <c r="AF430" s="10">
        <f>0.66*SQRT($B$2)*(D430*1000)*J430/1000</f>
        <v>358.8956362</v>
      </c>
      <c r="AG430" s="15" t="str">
        <f>IF(AD430&lt;=AF430,"CUMPLE","AUMENTAR SECCION")</f>
        <v>CUMPLE</v>
      </c>
      <c r="AH430" s="10">
        <f>0.75*0.083*SQRT($B$2)*(((D430*1000)*(E430*1000))^2/(2*((D430*1000)+(E430*1000))))/1000000</f>
        <v>3.388073536</v>
      </c>
      <c r="AI430" s="15" t="str">
        <f>IF(I430&gt;AH430,"SI","No")</f>
        <v>No</v>
      </c>
      <c r="AJ430" s="11">
        <f>IF(I430&gt;AH430,I430*1000000/(0.75*2*0.85*((D430*1000-2*$F$2)*(E430*1000-2*$F$2))*$D$2),0)</f>
        <v>0</v>
      </c>
      <c r="AK430" s="10">
        <f>1.25*Q430*$D$2*(J430-(1.25*Q430*$D$2/(0.85*$B$2*(D430*1000)))/2)/1000000</f>
        <v>100.4845159</v>
      </c>
      <c r="AL430" s="10">
        <f>1.25*Z430*$D$2*(J430-(1.25*Z430*$D$2/(0.85*$B$2*(D430*1000)))/2)/1000000</f>
        <v>68.51839235</v>
      </c>
      <c r="AM430" s="10">
        <f>(AK430+AL430)/B430</f>
        <v>42.25072707</v>
      </c>
      <c r="AN430" s="10">
        <f>MAX(H430,AM430)</f>
        <v>82.73</v>
      </c>
    </row>
    <row r="431">
      <c r="A431" s="5" t="inlineStr">
        <is>
          <t>F902</t>
        </is>
      </c>
      <c r="B431" s="6" t="n">
        <v>4</v>
      </c>
      <c r="C431" s="7" t="inlineStr">
        <is>
          <t>VC</t>
        </is>
      </c>
      <c r="D431" s="8">
        <f>IF(C431="VR",0.35,0.30)</f>
        <v>0.3</v>
      </c>
      <c r="E431" s="6" t="n">
        <v>0.4</v>
      </c>
      <c r="F431" s="9" t="n">
        <v>60.9</v>
      </c>
      <c r="G431" s="9" t="n">
        <v>26.1</v>
      </c>
      <c r="H431" s="9" t="n">
        <v>82.7</v>
      </c>
      <c r="I431" s="6" t="n">
        <v>1.7</v>
      </c>
      <c r="J431" s="10">
        <f>E431*1000-$F$2-$L$2-$H$2/2</f>
        <v>342.55</v>
      </c>
      <c r="K431" s="11">
        <f>F431*1000000/(0.9*(D431*1000)*J431^2)</f>
        <v>1.922231035</v>
      </c>
      <c r="L431" s="12">
        <f>(0.85*$B$2/$D$2)*(1-SQRT(1-2*K431/(0.85*$B$2)))</f>
        <v>0.004778191571</v>
      </c>
      <c r="M431" s="13">
        <f>L431*(D431*1000)*J431</f>
        <v>491.0308568</v>
      </c>
      <c r="N431" s="13">
        <f>MAX(0.25*SQRT($B$2)/$D$2,1.4/$D$2)*(D431*1000)*J431</f>
        <v>342.55</v>
      </c>
      <c r="O431" s="13">
        <f>MAX(M431,N431)</f>
        <v>491.0308568</v>
      </c>
      <c r="P431" s="14">
        <f>ROUNDUP(O431/$J$2,0)</f>
        <v>3</v>
      </c>
      <c r="Q431" s="13">
        <f>P431*$J$2</f>
        <v>597</v>
      </c>
      <c r="R431" s="10">
        <f>Q431*$D$2/(0.85*$B$2*(D431*1000))</f>
        <v>35.11764706</v>
      </c>
      <c r="S431" s="10">
        <f>0.9*Q431*$D$2*(J431-R431/2)/1000000</f>
        <v>73.33945883</v>
      </c>
      <c r="T431" s="15" t="str">
        <f>IF(AND(S431&gt;=F431,O431&lt;=0.025*(D431*1000)*J431,O431&gt;=N431),"CUMPLE","REVISAR")</f>
        <v>CUMPLE</v>
      </c>
      <c r="U431" s="11">
        <f>G431*1000000/(0.9*(D431*1000)*J431^2)</f>
        <v>0.8247602125</v>
      </c>
      <c r="V431" s="12">
        <f>(0.85*$B$2/$D$2)*(1-SQRT(1-2*U431/(0.85*$B$2)))</f>
        <v>0.00199897266</v>
      </c>
      <c r="W431" s="13">
        <f>V431*(D431*1000)*J431</f>
        <v>205.4244254</v>
      </c>
      <c r="X431" s="13">
        <f>MAX(W431,N431)</f>
        <v>342.55</v>
      </c>
      <c r="Y431" s="14">
        <f>ROUNDUP(X431/$J$2,0)</f>
        <v>2</v>
      </c>
      <c r="Z431" s="13">
        <f>Y431*$J$2</f>
        <v>398</v>
      </c>
      <c r="AA431" s="10">
        <f>0.9*Z431*$D$2*(J431-(Z431*$D$2/(0.85*$B$2*(D431*1000)))/2)/1000000</f>
        <v>49.77351244</v>
      </c>
      <c r="AB431" s="15" t="str">
        <f>IF(AA431&gt;=G431,"CUMPLE","REVISAR")</f>
        <v>CUMPLE</v>
      </c>
      <c r="AC431" s="10">
        <f>0.17*SQRT($B$2)*(D431*1000)*J431/1000</f>
        <v>92.44281538</v>
      </c>
      <c r="AD431" s="10">
        <f>MAX(H431/0.75-AC431,0)</f>
        <v>17.82385128</v>
      </c>
      <c r="AE431" s="14">
        <f>IF(AD431&gt;0,MIN($N$2*$D$2*J431/(AD431*1000),MIN(J431/4,6*$H$2,150)),MIN(J431/4,6*$H$2,150))</f>
        <v>85.6375</v>
      </c>
      <c r="AF431" s="10">
        <f>0.66*SQRT($B$2)*(D431*1000)*J431/1000</f>
        <v>358.8956362</v>
      </c>
      <c r="AG431" s="15" t="str">
        <f>IF(AD431&lt;=AF431,"CUMPLE","AUMENTAR SECCION")</f>
        <v>CUMPLE</v>
      </c>
      <c r="AH431" s="10">
        <f>0.75*0.083*SQRT($B$2)*(((D431*1000)*(E431*1000))^2/(2*((D431*1000)+(E431*1000))))/1000000</f>
        <v>3.388073536</v>
      </c>
      <c r="AI431" s="15" t="str">
        <f>IF(I431&gt;AH431,"SI","No")</f>
        <v>No</v>
      </c>
      <c r="AJ431" s="11">
        <f>IF(I431&gt;AH431,I431*1000000/(0.75*2*0.85*((D431*1000-2*$F$2)*(E431*1000-2*$F$2))*$D$2),0)</f>
        <v>0</v>
      </c>
      <c r="AK431" s="10">
        <f>1.25*Q431*$D$2*(J431-(1.25*Q431*$D$2/(0.85*$B$2*(D431*1000)))/2)/1000000</f>
        <v>100.4845159</v>
      </c>
      <c r="AL431" s="10">
        <f>1.25*Z431*$D$2*(J431-(1.25*Z431*$D$2/(0.85*$B$2*(D431*1000)))/2)/1000000</f>
        <v>68.51839235</v>
      </c>
      <c r="AM431" s="10">
        <f>(AK431+AL431)/B431</f>
        <v>42.25072707</v>
      </c>
      <c r="AN431" s="10">
        <f>MAX(H431,AM431)</f>
        <v>82.7</v>
      </c>
    </row>
    <row r="432">
      <c r="A432" s="5" t="inlineStr">
        <is>
          <t>F903</t>
        </is>
      </c>
      <c r="B432" s="6" t="n">
        <v>2.5</v>
      </c>
      <c r="C432" s="7" t="inlineStr">
        <is>
          <t>VC</t>
        </is>
      </c>
      <c r="D432" s="8">
        <f>IF(C432="VR",0.35,0.30)</f>
        <v>0.3</v>
      </c>
      <c r="E432" s="6" t="n">
        <v>0.4</v>
      </c>
      <c r="F432" s="9" t="n">
        <v>30.3</v>
      </c>
      <c r="G432" s="9" t="n">
        <v>10.9</v>
      </c>
      <c r="H432" s="9" t="n">
        <v>56.9</v>
      </c>
      <c r="I432" s="6" t="n">
        <v>0.2</v>
      </c>
      <c r="J432" s="10">
        <f>E432*1000-$F$2-$L$2-$H$2/2</f>
        <v>342.55</v>
      </c>
      <c r="K432" s="11">
        <f>F432*1000000/(0.9*(D432*1000)*J432^2)</f>
        <v>0.9554340464</v>
      </c>
      <c r="L432" s="12">
        <f>(0.85*$B$2/$D$2)*(1-SQRT(1-2*K432/(0.85*$B$2)))</f>
        <v>0.002322434454</v>
      </c>
      <c r="M432" s="13">
        <f>L432*(D432*1000)*J432</f>
        <v>238.6649767</v>
      </c>
      <c r="N432" s="13">
        <f>MAX(0.25*SQRT($B$2)/$D$2,1.4/$D$2)*(D432*1000)*J432</f>
        <v>342.55</v>
      </c>
      <c r="O432" s="13">
        <f>MAX(M432,N432)</f>
        <v>342.55</v>
      </c>
      <c r="P432" s="14">
        <f>ROUNDUP(O432/$J$2,0)</f>
        <v>2</v>
      </c>
      <c r="Q432" s="13">
        <f>P432*$J$2</f>
        <v>398</v>
      </c>
      <c r="R432" s="10">
        <f>Q432*$D$2/(0.85*$B$2*(D432*1000))</f>
        <v>23.41176471</v>
      </c>
      <c r="S432" s="10">
        <f>0.9*Q432*$D$2*(J432-R432/2)/1000000</f>
        <v>49.77351244</v>
      </c>
      <c r="T432" s="15" t="str">
        <f>IF(AND(S432&gt;=F432,O432&lt;=0.025*(D432*1000)*J432,O432&gt;=N432),"CUMPLE","REVISAR")</f>
        <v>CUMPLE</v>
      </c>
      <c r="U432" s="11">
        <f>G432*1000000/(0.9*(D432*1000)*J432^2)</f>
        <v>0.3456228215</v>
      </c>
      <c r="V432" s="12">
        <f>(0.85*$B$2/$D$2)*(1-SQRT(1-2*U432/(0.85*$B$2)))</f>
        <v>0.0008289750054</v>
      </c>
      <c r="W432" s="13">
        <f>V432*(D432*1000)*J432</f>
        <v>85.18961643</v>
      </c>
      <c r="X432" s="13">
        <f>MAX(W432,N432)</f>
        <v>342.55</v>
      </c>
      <c r="Y432" s="14">
        <f>ROUNDUP(X432/$J$2,0)</f>
        <v>2</v>
      </c>
      <c r="Z432" s="13">
        <f>Y432*$J$2</f>
        <v>398</v>
      </c>
      <c r="AA432" s="10">
        <f>0.9*Z432*$D$2*(J432-(Z432*$D$2/(0.85*$B$2*(D432*1000)))/2)/1000000</f>
        <v>49.77351244</v>
      </c>
      <c r="AB432" s="15" t="str">
        <f>IF(AA432&gt;=G432,"CUMPLE","REVISAR")</f>
        <v>CUMPLE</v>
      </c>
      <c r="AC432" s="10">
        <f>0.17*SQRT($B$2)*(D432*1000)*J432/1000</f>
        <v>92.44281538</v>
      </c>
      <c r="AD432" s="10">
        <f>MAX(H432/0.75-AC432,0)</f>
        <v>0</v>
      </c>
      <c r="AE432" s="14">
        <f>IF(AD432&gt;0,MIN($N$2*$D$2*J432/(AD432*1000),MIN(J432/4,6*$H$2,150)),MIN(J432/4,6*$H$2,150))</f>
        <v>85.6375</v>
      </c>
      <c r="AF432" s="10">
        <f>0.66*SQRT($B$2)*(D432*1000)*J432/1000</f>
        <v>358.8956362</v>
      </c>
      <c r="AG432" s="15" t="str">
        <f>IF(AD432&lt;=AF432,"CUMPLE","AUMENTAR SECCION")</f>
        <v>CUMPLE</v>
      </c>
      <c r="AH432" s="10">
        <f>0.75*0.083*SQRT($B$2)*(((D432*1000)*(E432*1000))^2/(2*((D432*1000)+(E432*1000))))/1000000</f>
        <v>3.388073536</v>
      </c>
      <c r="AI432" s="15" t="str">
        <f>IF(I432&gt;AH432,"SI","No")</f>
        <v>No</v>
      </c>
      <c r="AJ432" s="11">
        <f>IF(I432&gt;AH432,I432*1000000/(0.75*2*0.85*((D432*1000-2*$F$2)*(E432*1000-2*$F$2))*$D$2),0)</f>
        <v>0</v>
      </c>
      <c r="AK432" s="10">
        <f>1.25*Q432*$D$2*(J432-(1.25*Q432*$D$2/(0.85*$B$2*(D432*1000)))/2)/1000000</f>
        <v>68.51839235</v>
      </c>
      <c r="AL432" s="10">
        <f>1.25*Z432*$D$2*(J432-(1.25*Z432*$D$2/(0.85*$B$2*(D432*1000)))/2)/1000000</f>
        <v>68.51839235</v>
      </c>
      <c r="AM432" s="10">
        <f>(AK432+AL432)/B432</f>
        <v>54.81471388</v>
      </c>
      <c r="AN432" s="10">
        <f>MAX(H432,AM432)</f>
        <v>56.87</v>
      </c>
    </row>
    <row r="433">
      <c r="A433" s="5" t="inlineStr">
        <is>
          <t>F904</t>
        </is>
      </c>
      <c r="B433" s="6" t="n">
        <v>2.6</v>
      </c>
      <c r="C433" s="7" t="inlineStr">
        <is>
          <t>VC</t>
        </is>
      </c>
      <c r="D433" s="8">
        <f>IF(C433="VR",0.35,0.30)</f>
        <v>0.3</v>
      </c>
      <c r="E433" s="6" t="n">
        <v>0.4</v>
      </c>
      <c r="F433" s="9" t="n">
        <v>27.6</v>
      </c>
      <c r="G433" s="9" t="n">
        <v>11</v>
      </c>
      <c r="H433" s="9" t="n">
        <v>55.2</v>
      </c>
      <c r="I433" s="6" t="n">
        <v>0.07000000000000001</v>
      </c>
      <c r="J433" s="10">
        <f>E433*1000-$F$2-$L$2-$H$2/2</f>
        <v>342.55</v>
      </c>
      <c r="K433" s="11">
        <f>F433*1000000/(0.9*(D433*1000)*J433^2)</f>
        <v>0.8702119808</v>
      </c>
      <c r="L433" s="12">
        <f>(0.85*$B$2/$D$2)*(1-SQRT(1-2*K433/(0.85*$B$2)))</f>
        <v>0.002111263587</v>
      </c>
      <c r="M433" s="13">
        <f>L433*(D433*1000)*J433</f>
        <v>216.9640025</v>
      </c>
      <c r="N433" s="13">
        <f>MAX(0.25*SQRT($B$2)/$D$2,1.4/$D$2)*(D433*1000)*J433</f>
        <v>342.55</v>
      </c>
      <c r="O433" s="13">
        <f>MAX(M433,N433)</f>
        <v>342.55</v>
      </c>
      <c r="P433" s="14">
        <f>ROUNDUP(O433/$J$2,0)</f>
        <v>2</v>
      </c>
      <c r="Q433" s="13">
        <f>P433*$J$2</f>
        <v>398</v>
      </c>
      <c r="R433" s="10">
        <f>Q433*$D$2/(0.85*$B$2*(D433*1000))</f>
        <v>23.41176471</v>
      </c>
      <c r="S433" s="10">
        <f>0.9*Q433*$D$2*(J433-R433/2)/1000000</f>
        <v>49.77351244</v>
      </c>
      <c r="T433" s="15" t="str">
        <f>IF(AND(S433&gt;=F433,O433&lt;=0.025*(D433*1000)*J433,O433&gt;=N433),"CUMPLE","REVISAR")</f>
        <v>CUMPLE</v>
      </c>
      <c r="U433" s="11">
        <f>G433*1000000/(0.9*(D433*1000)*J433^2)</f>
        <v>0.3484635571</v>
      </c>
      <c r="V433" s="12">
        <f>(0.85*$B$2/$D$2)*(1-SQRT(1-2*U433/(0.85*$B$2)))</f>
        <v>0.0008358394976</v>
      </c>
      <c r="W433" s="13">
        <f>V433*(D433*1000)*J433</f>
        <v>85.89504597</v>
      </c>
      <c r="X433" s="13">
        <f>MAX(W433,N433)</f>
        <v>342.55</v>
      </c>
      <c r="Y433" s="14">
        <f>ROUNDUP(X433/$J$2,0)</f>
        <v>2</v>
      </c>
      <c r="Z433" s="13">
        <f>Y433*$J$2</f>
        <v>398</v>
      </c>
      <c r="AA433" s="10">
        <f>0.9*Z433*$D$2*(J433-(Z433*$D$2/(0.85*$B$2*(D433*1000)))/2)/1000000</f>
        <v>49.77351244</v>
      </c>
      <c r="AB433" s="15" t="str">
        <f>IF(AA433&gt;=G433,"CUMPLE","REVISAR")</f>
        <v>CUMPLE</v>
      </c>
      <c r="AC433" s="10">
        <f>0.17*SQRT($B$2)*(D433*1000)*J433/1000</f>
        <v>92.44281538</v>
      </c>
      <c r="AD433" s="10">
        <f>MAX(H433/0.75-AC433,0)</f>
        <v>0</v>
      </c>
      <c r="AE433" s="14">
        <f>IF(AD433&gt;0,MIN($N$2*$D$2*J433/(AD433*1000),MIN(J433/4,6*$H$2,150)),MIN(J433/4,6*$H$2,150))</f>
        <v>85.6375</v>
      </c>
      <c r="AF433" s="10">
        <f>0.66*SQRT($B$2)*(D433*1000)*J433/1000</f>
        <v>358.8956362</v>
      </c>
      <c r="AG433" s="15" t="str">
        <f>IF(AD433&lt;=AF433,"CUMPLE","AUMENTAR SECCION")</f>
        <v>CUMPLE</v>
      </c>
      <c r="AH433" s="10">
        <f>0.75*0.083*SQRT($B$2)*(((D433*1000)*(E433*1000))^2/(2*((D433*1000)+(E433*1000))))/1000000</f>
        <v>3.388073536</v>
      </c>
      <c r="AI433" s="15" t="str">
        <f>IF(I433&gt;AH433,"SI","No")</f>
        <v>No</v>
      </c>
      <c r="AJ433" s="11">
        <f>IF(I433&gt;AH433,I433*1000000/(0.75*2*0.85*((D433*1000-2*$F$2)*(E433*1000-2*$F$2))*$D$2),0)</f>
        <v>0</v>
      </c>
      <c r="AK433" s="10">
        <f>1.25*Q433*$D$2*(J433-(1.25*Q433*$D$2/(0.85*$B$2*(D433*1000)))/2)/1000000</f>
        <v>68.51839235</v>
      </c>
      <c r="AL433" s="10">
        <f>1.25*Z433*$D$2*(J433-(1.25*Z433*$D$2/(0.85*$B$2*(D433*1000)))/2)/1000000</f>
        <v>68.51839235</v>
      </c>
      <c r="AM433" s="10">
        <f>(AK433+AL433)/B433</f>
        <v>52.70645566</v>
      </c>
      <c r="AN433" s="10">
        <f>MAX(H433,AM433)</f>
        <v>55.17</v>
      </c>
    </row>
    <row r="434">
      <c r="A434" s="5" t="inlineStr">
        <is>
          <t>F905</t>
        </is>
      </c>
      <c r="B434" s="6" t="n">
        <v>3.65</v>
      </c>
      <c r="C434" s="7" t="inlineStr">
        <is>
          <t>VR</t>
        </is>
      </c>
      <c r="D434" s="8">
        <f>IF(C434="VR",0.35,0.30)</f>
        <v>0.35</v>
      </c>
      <c r="E434" s="6" t="n">
        <v>0.4</v>
      </c>
      <c r="F434" s="9" t="n">
        <v>45.6</v>
      </c>
      <c r="G434" s="9" t="n">
        <v>21.8</v>
      </c>
      <c r="H434" s="9" t="n">
        <v>72.7</v>
      </c>
      <c r="I434" s="6" t="n">
        <v>0.08</v>
      </c>
      <c r="J434" s="10">
        <f>E434*1000-$F$2-$L$2-$H$2/2</f>
        <v>342.55</v>
      </c>
      <c r="K434" s="11">
        <f>F434*1000000/(0.9*(D434*1000)*J434^2)</f>
        <v>1.233149762</v>
      </c>
      <c r="L434" s="12">
        <f>(0.85*$B$2/$D$2)*(1-SQRT(1-2*K434/(0.85*$B$2)))</f>
        <v>0.003016350605</v>
      </c>
      <c r="M434" s="13">
        <f>L434*(D434*1000)*J434</f>
        <v>361.6378149</v>
      </c>
      <c r="N434" s="13">
        <f>MAX(0.25*SQRT($B$2)/$D$2,1.4/$D$2)*(D434*1000)*J434</f>
        <v>399.6416667</v>
      </c>
      <c r="O434" s="13">
        <f>MAX(M434,N434)</f>
        <v>399.6416667</v>
      </c>
      <c r="P434" s="14">
        <f>ROUNDUP(O434/$J$2,0)</f>
        <v>3</v>
      </c>
      <c r="Q434" s="13">
        <f>P434*$J$2</f>
        <v>597</v>
      </c>
      <c r="R434" s="10">
        <f>Q434*$D$2/(0.85*$B$2*(D434*1000))</f>
        <v>30.10084034</v>
      </c>
      <c r="S434" s="10">
        <f>0.9*Q434*$D$2*(J434-R434/2)/1000000</f>
        <v>73.90552018</v>
      </c>
      <c r="T434" s="15" t="str">
        <f>IF(AND(S434&gt;=F434,O434&lt;=0.025*(D434*1000)*J434,O434&gt;=N434),"CUMPLE","REVISAR")</f>
        <v>CUMPLE</v>
      </c>
      <c r="U434" s="11">
        <f>G434*1000000/(0.9*(D434*1000)*J434^2)</f>
        <v>0.5884380719</v>
      </c>
      <c r="V434" s="12">
        <f>(0.85*$B$2/$D$2)*(1-SQRT(1-2*U434/(0.85*$B$2)))</f>
        <v>0.001418804857</v>
      </c>
      <c r="W434" s="13">
        <f>V434*(D434*1000)*J434</f>
        <v>170.1040613</v>
      </c>
      <c r="X434" s="13">
        <f>MAX(W434,N434)</f>
        <v>399.6416667</v>
      </c>
      <c r="Y434" s="14">
        <f>ROUNDUP(X434/$J$2,0)</f>
        <v>3</v>
      </c>
      <c r="Z434" s="13">
        <f>Y434*$J$2</f>
        <v>597</v>
      </c>
      <c r="AA434" s="10">
        <f>0.9*Z434*$D$2*(J434-(Z434*$D$2/(0.85*$B$2*(D434*1000)))/2)/1000000</f>
        <v>73.90552018</v>
      </c>
      <c r="AB434" s="15" t="str">
        <f>IF(AA434&gt;=G434,"CUMPLE","REVISAR")</f>
        <v>CUMPLE</v>
      </c>
      <c r="AC434" s="10">
        <f>0.17*SQRT($B$2)*(D434*1000)*J434/1000</f>
        <v>107.8499513</v>
      </c>
      <c r="AD434" s="10">
        <f>MAX(H434/0.75-AC434,0)</f>
        <v>0</v>
      </c>
      <c r="AE434" s="14">
        <f>IF(AD434&gt;0,MIN($N$2*$D$2*J434/(AD434*1000),MIN(J434/4,6*$H$2,150)),MIN(J434/4,6*$H$2,150))</f>
        <v>85.6375</v>
      </c>
      <c r="AF434" s="10">
        <f>0.66*SQRT($B$2)*(D434*1000)*J434/1000</f>
        <v>418.7115756</v>
      </c>
      <c r="AG434" s="15" t="str">
        <f>IF(AD434&lt;=AF434,"CUMPLE","AUMENTAR SECCION")</f>
        <v>CUMPLE</v>
      </c>
      <c r="AH434" s="10">
        <f>0.75*0.083*SQRT($B$2)*(((D434*1000)*(E434*1000))^2/(2*((D434*1000)+(E434*1000))))/1000000</f>
        <v>4.304108233</v>
      </c>
      <c r="AI434" s="15" t="str">
        <f>IF(I434&gt;AH434,"SI","No")</f>
        <v>No</v>
      </c>
      <c r="AJ434" s="11">
        <f>IF(I434&gt;AH434,I434*1000000/(0.75*2*0.85*((D434*1000-2*$F$2)*(E434*1000-2*$F$2))*$D$2),0)</f>
        <v>0</v>
      </c>
      <c r="AK434" s="10">
        <f>1.25*Q434*$D$2*(J434-(1.25*Q434*$D$2/(0.85*$B$2*(D434*1000)))/2)/1000000</f>
        <v>101.4672613</v>
      </c>
      <c r="AL434" s="10">
        <f>1.25*Z434*$D$2*(J434-(1.25*Z434*$D$2/(0.85*$B$2*(D434*1000)))/2)/1000000</f>
        <v>101.4672613</v>
      </c>
      <c r="AM434" s="10">
        <f>(AK434+AL434)/B434</f>
        <v>55.59849936</v>
      </c>
      <c r="AN434" s="10">
        <f>MAX(H434,AM434)</f>
        <v>72.66</v>
      </c>
    </row>
    <row r="435">
      <c r="A435" s="5" t="inlineStr">
        <is>
          <t>F906</t>
        </is>
      </c>
      <c r="B435" s="6" t="n">
        <v>2.6</v>
      </c>
      <c r="C435" s="7" t="inlineStr">
        <is>
          <t>VC</t>
        </is>
      </c>
      <c r="D435" s="8">
        <f>IF(C435="VR",0.35,0.30)</f>
        <v>0.3</v>
      </c>
      <c r="E435" s="6" t="n">
        <v>0.4</v>
      </c>
      <c r="F435" s="9" t="n">
        <v>28.9</v>
      </c>
      <c r="G435" s="9" t="n">
        <v>11</v>
      </c>
      <c r="H435" s="9" t="n">
        <v>56</v>
      </c>
      <c r="I435" s="6" t="n">
        <v>2.88</v>
      </c>
      <c r="J435" s="10">
        <f>E435*1000-$F$2-$L$2-$H$2/2</f>
        <v>342.55</v>
      </c>
      <c r="K435" s="11">
        <f>F435*1000000/(0.9*(D435*1000)*J435^2)</f>
        <v>0.9112448272</v>
      </c>
      <c r="L435" s="12">
        <f>(0.85*$B$2/$D$2)*(1-SQRT(1-2*K435/(0.85*$B$2)))</f>
        <v>0.002212836225</v>
      </c>
      <c r="M435" s="13">
        <f>L435*(D435*1000)*J435</f>
        <v>227.4021146</v>
      </c>
      <c r="N435" s="13">
        <f>MAX(0.25*SQRT($B$2)/$D$2,1.4/$D$2)*(D435*1000)*J435</f>
        <v>342.55</v>
      </c>
      <c r="O435" s="13">
        <f>MAX(M435,N435)</f>
        <v>342.55</v>
      </c>
      <c r="P435" s="14">
        <f>ROUNDUP(O435/$J$2,0)</f>
        <v>2</v>
      </c>
      <c r="Q435" s="13">
        <f>P435*$J$2</f>
        <v>398</v>
      </c>
      <c r="R435" s="10">
        <f>Q435*$D$2/(0.85*$B$2*(D435*1000))</f>
        <v>23.41176471</v>
      </c>
      <c r="S435" s="10">
        <f>0.9*Q435*$D$2*(J435-R435/2)/1000000</f>
        <v>49.77351244</v>
      </c>
      <c r="T435" s="15" t="str">
        <f>IF(AND(S435&gt;=F435,O435&lt;=0.025*(D435*1000)*J435,O435&gt;=N435),"CUMPLE","REVISAR")</f>
        <v>CUMPLE</v>
      </c>
      <c r="U435" s="11">
        <f>G435*1000000/(0.9*(D435*1000)*J435^2)</f>
        <v>0.3484635571</v>
      </c>
      <c r="V435" s="12">
        <f>(0.85*$B$2/$D$2)*(1-SQRT(1-2*U435/(0.85*$B$2)))</f>
        <v>0.0008358394976</v>
      </c>
      <c r="W435" s="13">
        <f>V435*(D435*1000)*J435</f>
        <v>85.89504597</v>
      </c>
      <c r="X435" s="13">
        <f>MAX(W435,N435)</f>
        <v>342.55</v>
      </c>
      <c r="Y435" s="14">
        <f>ROUNDUP(X435/$J$2,0)</f>
        <v>2</v>
      </c>
      <c r="Z435" s="13">
        <f>Y435*$J$2</f>
        <v>398</v>
      </c>
      <c r="AA435" s="10">
        <f>0.9*Z435*$D$2*(J435-(Z435*$D$2/(0.85*$B$2*(D435*1000)))/2)/1000000</f>
        <v>49.77351244</v>
      </c>
      <c r="AB435" s="15" t="str">
        <f>IF(AA435&gt;=G435,"CUMPLE","REVISAR")</f>
        <v>CUMPLE</v>
      </c>
      <c r="AC435" s="10">
        <f>0.17*SQRT($B$2)*(D435*1000)*J435/1000</f>
        <v>92.44281538</v>
      </c>
      <c r="AD435" s="10">
        <f>MAX(H435/0.75-AC435,0)</f>
        <v>0</v>
      </c>
      <c r="AE435" s="14">
        <f>IF(AD435&gt;0,MIN($N$2*$D$2*J435/(AD435*1000),MIN(J435/4,6*$H$2,150)),MIN(J435/4,6*$H$2,150))</f>
        <v>85.6375</v>
      </c>
      <c r="AF435" s="10">
        <f>0.66*SQRT($B$2)*(D435*1000)*J435/1000</f>
        <v>358.8956362</v>
      </c>
      <c r="AG435" s="15" t="str">
        <f>IF(AD435&lt;=AF435,"CUMPLE","AUMENTAR SECCION")</f>
        <v>CUMPLE</v>
      </c>
      <c r="AH435" s="10">
        <f>0.75*0.083*SQRT($B$2)*(((D435*1000)*(E435*1000))^2/(2*((D435*1000)+(E435*1000))))/1000000</f>
        <v>3.388073536</v>
      </c>
      <c r="AI435" s="15" t="str">
        <f>IF(I435&gt;AH435,"SI","No")</f>
        <v>No</v>
      </c>
      <c r="AJ435" s="11">
        <f>IF(I435&gt;AH435,I435*1000000/(0.75*2*0.85*((D435*1000-2*$F$2)*(E435*1000-2*$F$2))*$D$2),0)</f>
        <v>0</v>
      </c>
      <c r="AK435" s="10">
        <f>1.25*Q435*$D$2*(J435-(1.25*Q435*$D$2/(0.85*$B$2*(D435*1000)))/2)/1000000</f>
        <v>68.51839235</v>
      </c>
      <c r="AL435" s="10">
        <f>1.25*Z435*$D$2*(J435-(1.25*Z435*$D$2/(0.85*$B$2*(D435*1000)))/2)/1000000</f>
        <v>68.51839235</v>
      </c>
      <c r="AM435" s="10">
        <f>(AK435+AL435)/B435</f>
        <v>52.70645566</v>
      </c>
      <c r="AN435" s="10">
        <f>MAX(H435,AM435)</f>
        <v>55.97</v>
      </c>
    </row>
    <row r="436">
      <c r="A436" s="5" t="inlineStr">
        <is>
          <t>F907</t>
        </is>
      </c>
      <c r="B436" s="6" t="n">
        <v>4</v>
      </c>
      <c r="C436" s="7" t="inlineStr">
        <is>
          <t>VC</t>
        </is>
      </c>
      <c r="D436" s="8">
        <f>IF(C436="VR",0.35,0.30)</f>
        <v>0.3</v>
      </c>
      <c r="E436" s="6" t="n">
        <v>0.4</v>
      </c>
      <c r="F436" s="9" t="n">
        <v>48.8</v>
      </c>
      <c r="G436" s="9" t="n">
        <v>33.8</v>
      </c>
      <c r="H436" s="9" t="n">
        <v>33.1</v>
      </c>
      <c r="I436" s="6" t="n">
        <v>0</v>
      </c>
      <c r="J436" s="10">
        <f>E436*1000-$F$2-$L$2-$H$2/2</f>
        <v>342.55</v>
      </c>
      <c r="K436" s="11">
        <f>F436*1000000/(0.9*(D436*1000)*J436^2)</f>
        <v>1.540309926</v>
      </c>
      <c r="L436" s="12">
        <f>(0.85*$B$2/$D$2)*(1-SQRT(1-2*K436/(0.85*$B$2)))</f>
        <v>0.003794444048</v>
      </c>
      <c r="M436" s="13">
        <f>L436*(D436*1000)*J436</f>
        <v>389.9360425</v>
      </c>
      <c r="N436" s="13">
        <f>MAX(0.25*SQRT($B$2)/$D$2,1.4/$D$2)*(D436*1000)*J436</f>
        <v>342.55</v>
      </c>
      <c r="O436" s="13">
        <f>MAX(M436,N436)</f>
        <v>389.9360425</v>
      </c>
      <c r="P436" s="14">
        <f>ROUNDUP(O436/$J$2,0)</f>
        <v>2</v>
      </c>
      <c r="Q436" s="13">
        <f>P436*$J$2</f>
        <v>398</v>
      </c>
      <c r="R436" s="10">
        <f>Q436*$D$2/(0.85*$B$2*(D436*1000))</f>
        <v>23.41176471</v>
      </c>
      <c r="S436" s="10">
        <f>0.9*Q436*$D$2*(J436-R436/2)/1000000</f>
        <v>49.77351244</v>
      </c>
      <c r="T436" s="15" t="str">
        <f>IF(AND(S436&gt;=F436,O436&lt;=0.025*(D436*1000)*J436,O436&gt;=N436),"CUMPLE","REVISAR")</f>
        <v>CUMPLE</v>
      </c>
      <c r="U436" s="11">
        <f>G436*1000000/(0.9*(D436*1000)*J436^2)</f>
        <v>1.065591457</v>
      </c>
      <c r="V436" s="12">
        <f>(0.85*$B$2/$D$2)*(1-SQRT(1-2*U436/(0.85*$B$2)))</f>
        <v>0.002596614335</v>
      </c>
      <c r="W436" s="13">
        <f>V436*(D436*1000)*J436</f>
        <v>266.8410721</v>
      </c>
      <c r="X436" s="13">
        <f>MAX(W436,N436)</f>
        <v>342.55</v>
      </c>
      <c r="Y436" s="14">
        <f>ROUNDUP(X436/$J$2,0)</f>
        <v>2</v>
      </c>
      <c r="Z436" s="13">
        <f>Y436*$J$2</f>
        <v>398</v>
      </c>
      <c r="AA436" s="10">
        <f>0.9*Z436*$D$2*(J436-(Z436*$D$2/(0.85*$B$2*(D436*1000)))/2)/1000000</f>
        <v>49.77351244</v>
      </c>
      <c r="AB436" s="15" t="str">
        <f>IF(AA436&gt;=G436,"CUMPLE","REVISAR")</f>
        <v>CUMPLE</v>
      </c>
      <c r="AC436" s="10">
        <f>0.17*SQRT($B$2)*(D436*1000)*J436/1000</f>
        <v>92.44281538</v>
      </c>
      <c r="AD436" s="10">
        <f>MAX(H436/0.75-AC436,0)</f>
        <v>0</v>
      </c>
      <c r="AE436" s="14">
        <f>IF(AD436&gt;0,MIN($N$2*$D$2*J436/(AD436*1000),MIN(J436/4,6*$H$2,150)),MIN(J436/4,6*$H$2,150))</f>
        <v>85.6375</v>
      </c>
      <c r="AF436" s="10">
        <f>0.66*SQRT($B$2)*(D436*1000)*J436/1000</f>
        <v>358.8956362</v>
      </c>
      <c r="AG436" s="15" t="str">
        <f>IF(AD436&lt;=AF436,"CUMPLE","AUMENTAR SECCION")</f>
        <v>CUMPLE</v>
      </c>
      <c r="AH436" s="10">
        <f>0.75*0.083*SQRT($B$2)*(((D436*1000)*(E436*1000))^2/(2*((D436*1000)+(E436*1000))))/1000000</f>
        <v>3.388073536</v>
      </c>
      <c r="AI436" s="15" t="str">
        <f>IF(I436&gt;AH436,"SI","No")</f>
        <v>No</v>
      </c>
      <c r="AJ436" s="11">
        <f>IF(I436&gt;AH436,I436*1000000/(0.75*2*0.85*((D436*1000-2*$F$2)*(E436*1000-2*$F$2))*$D$2),0)</f>
        <v>0</v>
      </c>
      <c r="AK436" s="10">
        <f>1.25*Q436*$D$2*(J436-(1.25*Q436*$D$2/(0.85*$B$2*(D436*1000)))/2)/1000000</f>
        <v>68.51839235</v>
      </c>
      <c r="AL436" s="10">
        <f>1.25*Z436*$D$2*(J436-(1.25*Z436*$D$2/(0.85*$B$2*(D436*1000)))/2)/1000000</f>
        <v>68.51839235</v>
      </c>
      <c r="AM436" s="10">
        <f>(AK436+AL436)/B436</f>
        <v>34.25919618</v>
      </c>
      <c r="AN436" s="10">
        <f>MAX(H436,AM436)</f>
        <v>34.25919618</v>
      </c>
    </row>
    <row r="437">
      <c r="A437" s="5" t="inlineStr">
        <is>
          <t>F908</t>
        </is>
      </c>
      <c r="B437" s="6" t="n">
        <v>4</v>
      </c>
      <c r="C437" s="7" t="inlineStr">
        <is>
          <t>VC</t>
        </is>
      </c>
      <c r="D437" s="8">
        <f>IF(C437="VR",0.35,0.30)</f>
        <v>0.3</v>
      </c>
      <c r="E437" s="6" t="n">
        <v>0.4</v>
      </c>
      <c r="F437" s="9" t="n">
        <v>48.8</v>
      </c>
      <c r="G437" s="9" t="n">
        <v>33.8</v>
      </c>
      <c r="H437" s="9" t="n">
        <v>33.1</v>
      </c>
      <c r="I437" s="6" t="n">
        <v>0</v>
      </c>
      <c r="J437" s="10">
        <f>E437*1000-$F$2-$L$2-$H$2/2</f>
        <v>342.55</v>
      </c>
      <c r="K437" s="11">
        <f>F437*1000000/(0.9*(D437*1000)*J437^2)</f>
        <v>1.540309926</v>
      </c>
      <c r="L437" s="12">
        <f>(0.85*$B$2/$D$2)*(1-SQRT(1-2*K437/(0.85*$B$2)))</f>
        <v>0.003794444048</v>
      </c>
      <c r="M437" s="13">
        <f>L437*(D437*1000)*J437</f>
        <v>389.9360425</v>
      </c>
      <c r="N437" s="13">
        <f>MAX(0.25*SQRT($B$2)/$D$2,1.4/$D$2)*(D437*1000)*J437</f>
        <v>342.55</v>
      </c>
      <c r="O437" s="13">
        <f>MAX(M437,N437)</f>
        <v>389.9360425</v>
      </c>
      <c r="P437" s="14">
        <f>ROUNDUP(O437/$J$2,0)</f>
        <v>2</v>
      </c>
      <c r="Q437" s="13">
        <f>P437*$J$2</f>
        <v>398</v>
      </c>
      <c r="R437" s="10">
        <f>Q437*$D$2/(0.85*$B$2*(D437*1000))</f>
        <v>23.41176471</v>
      </c>
      <c r="S437" s="10">
        <f>0.9*Q437*$D$2*(J437-R437/2)/1000000</f>
        <v>49.77351244</v>
      </c>
      <c r="T437" s="15" t="str">
        <f>IF(AND(S437&gt;=F437,O437&lt;=0.025*(D437*1000)*J437,O437&gt;=N437),"CUMPLE","REVISAR")</f>
        <v>CUMPLE</v>
      </c>
      <c r="U437" s="11">
        <f>G437*1000000/(0.9*(D437*1000)*J437^2)</f>
        <v>1.065591457</v>
      </c>
      <c r="V437" s="12">
        <f>(0.85*$B$2/$D$2)*(1-SQRT(1-2*U437/(0.85*$B$2)))</f>
        <v>0.002596614335</v>
      </c>
      <c r="W437" s="13">
        <f>V437*(D437*1000)*J437</f>
        <v>266.8410721</v>
      </c>
      <c r="X437" s="13">
        <f>MAX(W437,N437)</f>
        <v>342.55</v>
      </c>
      <c r="Y437" s="14">
        <f>ROUNDUP(X437/$J$2,0)</f>
        <v>2</v>
      </c>
      <c r="Z437" s="13">
        <f>Y437*$J$2</f>
        <v>398</v>
      </c>
      <c r="AA437" s="10">
        <f>0.9*Z437*$D$2*(J437-(Z437*$D$2/(0.85*$B$2*(D437*1000)))/2)/1000000</f>
        <v>49.77351244</v>
      </c>
      <c r="AB437" s="15" t="str">
        <f>IF(AA437&gt;=G437,"CUMPLE","REVISAR")</f>
        <v>CUMPLE</v>
      </c>
      <c r="AC437" s="10">
        <f>0.17*SQRT($B$2)*(D437*1000)*J437/1000</f>
        <v>92.44281538</v>
      </c>
      <c r="AD437" s="10">
        <f>MAX(H437/0.75-AC437,0)</f>
        <v>0</v>
      </c>
      <c r="AE437" s="14">
        <f>IF(AD437&gt;0,MIN($N$2*$D$2*J437/(AD437*1000),MIN(J437/4,6*$H$2,150)),MIN(J437/4,6*$H$2,150))</f>
        <v>85.6375</v>
      </c>
      <c r="AF437" s="10">
        <f>0.66*SQRT($B$2)*(D437*1000)*J437/1000</f>
        <v>358.8956362</v>
      </c>
      <c r="AG437" s="15" t="str">
        <f>IF(AD437&lt;=AF437,"CUMPLE","AUMENTAR SECCION")</f>
        <v>CUMPLE</v>
      </c>
      <c r="AH437" s="10">
        <f>0.75*0.083*SQRT($B$2)*(((D437*1000)*(E437*1000))^2/(2*((D437*1000)+(E437*1000))))/1000000</f>
        <v>3.388073536</v>
      </c>
      <c r="AI437" s="15" t="str">
        <f>IF(I437&gt;AH437,"SI","No")</f>
        <v>No</v>
      </c>
      <c r="AJ437" s="11">
        <f>IF(I437&gt;AH437,I437*1000000/(0.75*2*0.85*((D437*1000-2*$F$2)*(E437*1000-2*$F$2))*$D$2),0)</f>
        <v>0</v>
      </c>
      <c r="AK437" s="10">
        <f>1.25*Q437*$D$2*(J437-(1.25*Q437*$D$2/(0.85*$B$2*(D437*1000)))/2)/1000000</f>
        <v>68.51839235</v>
      </c>
      <c r="AL437" s="10">
        <f>1.25*Z437*$D$2*(J437-(1.25*Z437*$D$2/(0.85*$B$2*(D437*1000)))/2)/1000000</f>
        <v>68.51839235</v>
      </c>
      <c r="AM437" s="10">
        <f>(AK437+AL437)/B437</f>
        <v>34.25919618</v>
      </c>
      <c r="AN437" s="10">
        <f>MAX(H437,AM437)</f>
        <v>34.25919618</v>
      </c>
    </row>
    <row r="438">
      <c r="A438" s="5" t="inlineStr">
        <is>
          <t>F909</t>
        </is>
      </c>
      <c r="B438" s="6" t="n">
        <v>4</v>
      </c>
      <c r="C438" s="7" t="inlineStr">
        <is>
          <t>VC</t>
        </is>
      </c>
      <c r="D438" s="8">
        <f>IF(C438="VR",0.35,0.30)</f>
        <v>0.3</v>
      </c>
      <c r="E438" s="6" t="n">
        <v>0.4</v>
      </c>
      <c r="F438" s="9" t="n">
        <v>56.3</v>
      </c>
      <c r="G438" s="9" t="n">
        <v>38.4</v>
      </c>
      <c r="H438" s="9" t="n">
        <v>36.7</v>
      </c>
      <c r="I438" s="6" t="n">
        <v>0</v>
      </c>
      <c r="J438" s="10">
        <f>E438*1000-$F$2-$L$2-$H$2/2</f>
        <v>342.55</v>
      </c>
      <c r="K438" s="11">
        <f>F438*1000000/(0.9*(D438*1000)*J438^2)</f>
        <v>1.777984798</v>
      </c>
      <c r="L438" s="12">
        <f>(0.85*$B$2/$D$2)*(1-SQRT(1-2*K438/(0.85*$B$2)))</f>
        <v>0.004404467751</v>
      </c>
      <c r="M438" s="13">
        <f>L438*(D438*1000)*J438</f>
        <v>452.6251285</v>
      </c>
      <c r="N438" s="13">
        <f>MAX(0.25*SQRT($B$2)/$D$2,1.4/$D$2)*(D438*1000)*J438</f>
        <v>342.55</v>
      </c>
      <c r="O438" s="13">
        <f>MAX(M438,N438)</f>
        <v>452.6251285</v>
      </c>
      <c r="P438" s="14">
        <f>ROUNDUP(O438/$J$2,0)</f>
        <v>3</v>
      </c>
      <c r="Q438" s="13">
        <f>P438*$J$2</f>
        <v>597</v>
      </c>
      <c r="R438" s="10">
        <f>Q438*$D$2/(0.85*$B$2*(D438*1000))</f>
        <v>35.11764706</v>
      </c>
      <c r="S438" s="10">
        <f>0.9*Q438*$D$2*(J438-R438/2)/1000000</f>
        <v>73.33945883</v>
      </c>
      <c r="T438" s="15" t="str">
        <f>IF(AND(S438&gt;=F438,O438&lt;=0.025*(D438*1000)*J438,O438&gt;=N438),"CUMPLE","REVISAR")</f>
        <v>CUMPLE</v>
      </c>
      <c r="U438" s="11">
        <f>G438*1000000/(0.9*(D438*1000)*J438^2)</f>
        <v>1.212362792</v>
      </c>
      <c r="V438" s="12">
        <f>(0.85*$B$2/$D$2)*(1-SQRT(1-2*U438/(0.85*$B$2)))</f>
        <v>0.00296410066</v>
      </c>
      <c r="W438" s="13">
        <f>V438*(D438*1000)*J438</f>
        <v>304.6058043</v>
      </c>
      <c r="X438" s="13">
        <f>MAX(W438,N438)</f>
        <v>342.55</v>
      </c>
      <c r="Y438" s="14">
        <f>ROUNDUP(X438/$J$2,0)</f>
        <v>2</v>
      </c>
      <c r="Z438" s="13">
        <f>Y438*$J$2</f>
        <v>398</v>
      </c>
      <c r="AA438" s="10">
        <f>0.9*Z438*$D$2*(J438-(Z438*$D$2/(0.85*$B$2*(D438*1000)))/2)/1000000</f>
        <v>49.77351244</v>
      </c>
      <c r="AB438" s="15" t="str">
        <f>IF(AA438&gt;=G438,"CUMPLE","REVISAR")</f>
        <v>CUMPLE</v>
      </c>
      <c r="AC438" s="10">
        <f>0.17*SQRT($B$2)*(D438*1000)*J438/1000</f>
        <v>92.44281538</v>
      </c>
      <c r="AD438" s="10">
        <f>MAX(H438/0.75-AC438,0)</f>
        <v>0</v>
      </c>
      <c r="AE438" s="14">
        <f>IF(AD438&gt;0,MIN($N$2*$D$2*J438/(AD438*1000),MIN(J438/4,6*$H$2,150)),MIN(J438/4,6*$H$2,150))</f>
        <v>85.6375</v>
      </c>
      <c r="AF438" s="10">
        <f>0.66*SQRT($B$2)*(D438*1000)*J438/1000</f>
        <v>358.8956362</v>
      </c>
      <c r="AG438" s="15" t="str">
        <f>IF(AD438&lt;=AF438,"CUMPLE","AUMENTAR SECCION")</f>
        <v>CUMPLE</v>
      </c>
      <c r="AH438" s="10">
        <f>0.75*0.083*SQRT($B$2)*(((D438*1000)*(E438*1000))^2/(2*((D438*1000)+(E438*1000))))/1000000</f>
        <v>3.388073536</v>
      </c>
      <c r="AI438" s="15" t="str">
        <f>IF(I438&gt;AH438,"SI","No")</f>
        <v>No</v>
      </c>
      <c r="AJ438" s="11">
        <f>IF(I438&gt;AH438,I438*1000000/(0.75*2*0.85*((D438*1000-2*$F$2)*(E438*1000-2*$F$2))*$D$2),0)</f>
        <v>0</v>
      </c>
      <c r="AK438" s="10">
        <f>1.25*Q438*$D$2*(J438-(1.25*Q438*$D$2/(0.85*$B$2*(D438*1000)))/2)/1000000</f>
        <v>100.4845159</v>
      </c>
      <c r="AL438" s="10">
        <f>1.25*Z438*$D$2*(J438-(1.25*Z438*$D$2/(0.85*$B$2*(D438*1000)))/2)/1000000</f>
        <v>68.51839235</v>
      </c>
      <c r="AM438" s="10">
        <f>(AK438+AL438)/B438</f>
        <v>42.25072707</v>
      </c>
      <c r="AN438" s="10">
        <f>MAX(H438,AM438)</f>
        <v>42.25072707</v>
      </c>
    </row>
    <row r="439">
      <c r="A439" s="5" t="inlineStr">
        <is>
          <t>F910</t>
        </is>
      </c>
      <c r="B439" s="6" t="n">
        <v>3.81</v>
      </c>
      <c r="C439" s="7" t="inlineStr">
        <is>
          <t>VC</t>
        </is>
      </c>
      <c r="D439" s="8">
        <f>IF(C439="VR",0.35,0.30)</f>
        <v>0.3</v>
      </c>
      <c r="E439" s="6" t="n">
        <v>0.4</v>
      </c>
      <c r="F439" s="9" t="n">
        <v>74.3</v>
      </c>
      <c r="G439" s="9" t="n">
        <v>41.9</v>
      </c>
      <c r="H439" s="9" t="n">
        <v>52.9</v>
      </c>
      <c r="I439" s="6" t="n">
        <v>4.3</v>
      </c>
      <c r="J439" s="10">
        <f>E439*1000-$F$2-$L$2-$H$2/2</f>
        <v>342.55</v>
      </c>
      <c r="K439" s="11">
        <f>F439*1000000/(0.9*(D439*1000)*J439^2)</f>
        <v>2.345816265</v>
      </c>
      <c r="L439" s="12">
        <f>(0.85*$B$2/$D$2)*(1-SQRT(1-2*K439/(0.85*$B$2)))</f>
        <v>0.005891544102</v>
      </c>
      <c r="M439" s="13">
        <f>L439*(D439*1000)*J439</f>
        <v>605.4445296</v>
      </c>
      <c r="N439" s="13">
        <f>MAX(0.25*SQRT($B$2)/$D$2,1.4/$D$2)*(D439*1000)*J439</f>
        <v>342.55</v>
      </c>
      <c r="O439" s="13">
        <f>MAX(M439,N439)</f>
        <v>605.4445296</v>
      </c>
      <c r="P439" s="14">
        <f>ROUNDUP(O439/$J$2,0)</f>
        <v>4</v>
      </c>
      <c r="Q439" s="13">
        <f>P439*$J$2</f>
        <v>796</v>
      </c>
      <c r="R439" s="10">
        <f>Q439*$D$2/(0.85*$B$2*(D439*1000))</f>
        <v>46.82352941</v>
      </c>
      <c r="S439" s="10">
        <f>0.9*Q439*$D$2*(J439-R439/2)/1000000</f>
        <v>96.02486534</v>
      </c>
      <c r="T439" s="15" t="str">
        <f>IF(AND(S439&gt;=F439,O439&lt;=0.025*(D439*1000)*J439,O439&gt;=N439),"CUMPLE","REVISAR")</f>
        <v>CUMPLE</v>
      </c>
      <c r="U439" s="11">
        <f>G439*1000000/(0.9*(D439*1000)*J439^2)</f>
        <v>1.323782752</v>
      </c>
      <c r="V439" s="12">
        <f>(0.85*$B$2/$D$2)*(1-SQRT(1-2*U439/(0.85*$B$2)))</f>
        <v>0.003244762055</v>
      </c>
      <c r="W439" s="13">
        <f>V439*(D439*1000)*J439</f>
        <v>333.4479726</v>
      </c>
      <c r="X439" s="13">
        <f>MAX(W439,N439)</f>
        <v>342.55</v>
      </c>
      <c r="Y439" s="14">
        <f>ROUNDUP(X439/$J$2,0)</f>
        <v>2</v>
      </c>
      <c r="Z439" s="13">
        <f>Y439*$J$2</f>
        <v>398</v>
      </c>
      <c r="AA439" s="10">
        <f>0.9*Z439*$D$2*(J439-(Z439*$D$2/(0.85*$B$2*(D439*1000)))/2)/1000000</f>
        <v>49.77351244</v>
      </c>
      <c r="AB439" s="15" t="str">
        <f>IF(AA439&gt;=G439,"CUMPLE","REVISAR")</f>
        <v>CUMPLE</v>
      </c>
      <c r="AC439" s="10">
        <f>0.17*SQRT($B$2)*(D439*1000)*J439/1000</f>
        <v>92.44281538</v>
      </c>
      <c r="AD439" s="10">
        <f>MAX(H439/0.75-AC439,0)</f>
        <v>0</v>
      </c>
      <c r="AE439" s="14">
        <f>IF(AD439&gt;0,MIN($N$2*$D$2*J439/(AD439*1000),MIN(J439/4,6*$H$2,150)),MIN(J439/4,6*$H$2,150))</f>
        <v>85.6375</v>
      </c>
      <c r="AF439" s="10">
        <f>0.66*SQRT($B$2)*(D439*1000)*J439/1000</f>
        <v>358.8956362</v>
      </c>
      <c r="AG439" s="15" t="str">
        <f>IF(AD439&lt;=AF439,"CUMPLE","AUMENTAR SECCION")</f>
        <v>CUMPLE</v>
      </c>
      <c r="AH439" s="10">
        <f>0.75*0.083*SQRT($B$2)*(((D439*1000)*(E439*1000))^2/(2*((D439*1000)+(E439*1000))))/1000000</f>
        <v>3.388073536</v>
      </c>
      <c r="AI439" s="15" t="str">
        <f>IF(I439&gt;AH439,"SI","No")</f>
        <v>SI</v>
      </c>
      <c r="AJ439" s="11">
        <f>IF(I439&gt;AH439,I439*1000000/(0.75*2*0.85*((D439*1000-2*$F$2)*(E439*1000-2*$F$2))*$D$2),0)</f>
        <v>0.1141668789</v>
      </c>
      <c r="AK439" s="10">
        <f>1.25*Q439*$D$2*(J439-(1.25*Q439*$D$2/(0.85*$B$2*(D439*1000)))/2)/1000000</f>
        <v>130.9219244</v>
      </c>
      <c r="AL439" s="10">
        <f>1.25*Z439*$D$2*(J439-(1.25*Z439*$D$2/(0.85*$B$2*(D439*1000)))/2)/1000000</f>
        <v>68.51839235</v>
      </c>
      <c r="AM439" s="10">
        <f>(AK439+AL439)/B439</f>
        <v>52.27793362</v>
      </c>
      <c r="AN439" s="10">
        <f>MAX(H439,AM439)</f>
        <v>52.91</v>
      </c>
    </row>
    <row r="440">
      <c r="A440" s="5" t="inlineStr">
        <is>
          <t>F911</t>
        </is>
      </c>
      <c r="B440" s="6" t="n">
        <v>3.81</v>
      </c>
      <c r="C440" s="7" t="inlineStr">
        <is>
          <t>VC</t>
        </is>
      </c>
      <c r="D440" s="8">
        <f>IF(C440="VR",0.35,0.30)</f>
        <v>0.3</v>
      </c>
      <c r="E440" s="6" t="n">
        <v>0.4</v>
      </c>
      <c r="F440" s="9" t="n">
        <v>74.3</v>
      </c>
      <c r="G440" s="9" t="n">
        <v>41.9</v>
      </c>
      <c r="H440" s="9" t="n">
        <v>53</v>
      </c>
      <c r="I440" s="6" t="n">
        <v>4.3</v>
      </c>
      <c r="J440" s="10">
        <f>E440*1000-$F$2-$L$2-$H$2/2</f>
        <v>342.55</v>
      </c>
      <c r="K440" s="11">
        <f>F440*1000000/(0.9*(D440*1000)*J440^2)</f>
        <v>2.345816265</v>
      </c>
      <c r="L440" s="12">
        <f>(0.85*$B$2/$D$2)*(1-SQRT(1-2*K440/(0.85*$B$2)))</f>
        <v>0.005891544102</v>
      </c>
      <c r="M440" s="13">
        <f>L440*(D440*1000)*J440</f>
        <v>605.4445296</v>
      </c>
      <c r="N440" s="13">
        <f>MAX(0.25*SQRT($B$2)/$D$2,1.4/$D$2)*(D440*1000)*J440</f>
        <v>342.55</v>
      </c>
      <c r="O440" s="13">
        <f>MAX(M440,N440)</f>
        <v>605.4445296</v>
      </c>
      <c r="P440" s="14">
        <f>ROUNDUP(O440/$J$2,0)</f>
        <v>4</v>
      </c>
      <c r="Q440" s="13">
        <f>P440*$J$2</f>
        <v>796</v>
      </c>
      <c r="R440" s="10">
        <f>Q440*$D$2/(0.85*$B$2*(D440*1000))</f>
        <v>46.82352941</v>
      </c>
      <c r="S440" s="10">
        <f>0.9*Q440*$D$2*(J440-R440/2)/1000000</f>
        <v>96.02486534</v>
      </c>
      <c r="T440" s="15" t="str">
        <f>IF(AND(S440&gt;=F440,O440&lt;=0.025*(D440*1000)*J440,O440&gt;=N440),"CUMPLE","REVISAR")</f>
        <v>CUMPLE</v>
      </c>
      <c r="U440" s="11">
        <f>G440*1000000/(0.9*(D440*1000)*J440^2)</f>
        <v>1.323782752</v>
      </c>
      <c r="V440" s="12">
        <f>(0.85*$B$2/$D$2)*(1-SQRT(1-2*U440/(0.85*$B$2)))</f>
        <v>0.003244762055</v>
      </c>
      <c r="W440" s="13">
        <f>V440*(D440*1000)*J440</f>
        <v>333.4479726</v>
      </c>
      <c r="X440" s="13">
        <f>MAX(W440,N440)</f>
        <v>342.55</v>
      </c>
      <c r="Y440" s="14">
        <f>ROUNDUP(X440/$J$2,0)</f>
        <v>2</v>
      </c>
      <c r="Z440" s="13">
        <f>Y440*$J$2</f>
        <v>398</v>
      </c>
      <c r="AA440" s="10">
        <f>0.9*Z440*$D$2*(J440-(Z440*$D$2/(0.85*$B$2*(D440*1000)))/2)/1000000</f>
        <v>49.77351244</v>
      </c>
      <c r="AB440" s="15" t="str">
        <f>IF(AA440&gt;=G440,"CUMPLE","REVISAR")</f>
        <v>CUMPLE</v>
      </c>
      <c r="AC440" s="10">
        <f>0.17*SQRT($B$2)*(D440*1000)*J440/1000</f>
        <v>92.44281538</v>
      </c>
      <c r="AD440" s="10">
        <f>MAX(H440/0.75-AC440,0)</f>
        <v>0</v>
      </c>
      <c r="AE440" s="14">
        <f>IF(AD440&gt;0,MIN($N$2*$D$2*J440/(AD440*1000),MIN(J440/4,6*$H$2,150)),MIN(J440/4,6*$H$2,150))</f>
        <v>85.6375</v>
      </c>
      <c r="AF440" s="10">
        <f>0.66*SQRT($B$2)*(D440*1000)*J440/1000</f>
        <v>358.8956362</v>
      </c>
      <c r="AG440" s="15" t="str">
        <f>IF(AD440&lt;=AF440,"CUMPLE","AUMENTAR SECCION")</f>
        <v>CUMPLE</v>
      </c>
      <c r="AH440" s="10">
        <f>0.75*0.083*SQRT($B$2)*(((D440*1000)*(E440*1000))^2/(2*((D440*1000)+(E440*1000))))/1000000</f>
        <v>3.388073536</v>
      </c>
      <c r="AI440" s="15" t="str">
        <f>IF(I440&gt;AH440,"SI","No")</f>
        <v>SI</v>
      </c>
      <c r="AJ440" s="11">
        <f>IF(I440&gt;AH440,I440*1000000/(0.75*2*0.85*((D440*1000-2*$F$2)*(E440*1000-2*$F$2))*$D$2),0)</f>
        <v>0.1141138273</v>
      </c>
      <c r="AK440" s="10">
        <f>1.25*Q440*$D$2*(J440-(1.25*Q440*$D$2/(0.85*$B$2*(D440*1000)))/2)/1000000</f>
        <v>130.9219244</v>
      </c>
      <c r="AL440" s="10">
        <f>1.25*Z440*$D$2*(J440-(1.25*Z440*$D$2/(0.85*$B$2*(D440*1000)))/2)/1000000</f>
        <v>68.51839235</v>
      </c>
      <c r="AM440" s="10">
        <f>(AK440+AL440)/B440</f>
        <v>52.27793362</v>
      </c>
      <c r="AN440" s="10">
        <f>MAX(H440,AM440)</f>
        <v>52.95</v>
      </c>
    </row>
    <row r="441">
      <c r="A441" s="5" t="inlineStr">
        <is>
          <t>F912</t>
        </is>
      </c>
      <c r="B441" s="6" t="n">
        <v>4</v>
      </c>
      <c r="C441" s="7" t="inlineStr">
        <is>
          <t>VC</t>
        </is>
      </c>
      <c r="D441" s="8">
        <f>IF(C441="VR",0.35,0.30)</f>
        <v>0.3</v>
      </c>
      <c r="E441" s="6" t="n">
        <v>0.4</v>
      </c>
      <c r="F441" s="9" t="n">
        <v>56.4</v>
      </c>
      <c r="G441" s="9" t="n">
        <v>38.4</v>
      </c>
      <c r="H441" s="9" t="n">
        <v>36.7</v>
      </c>
      <c r="I441" s="6" t="n">
        <v>0</v>
      </c>
      <c r="J441" s="10">
        <f>E441*1000-$F$2-$L$2-$H$2/2</f>
        <v>342.55</v>
      </c>
      <c r="K441" s="11">
        <f>F441*1000000/(0.9*(D441*1000)*J441^2)</f>
        <v>1.778616073</v>
      </c>
      <c r="L441" s="12">
        <f>(0.85*$B$2/$D$2)*(1-SQRT(1-2*K441/(0.85*$B$2)))</f>
        <v>0.004406097482</v>
      </c>
      <c r="M441" s="13">
        <f>L441*(D441*1000)*J441</f>
        <v>452.7926077</v>
      </c>
      <c r="N441" s="13">
        <f>MAX(0.25*SQRT($B$2)/$D$2,1.4/$D$2)*(D441*1000)*J441</f>
        <v>342.55</v>
      </c>
      <c r="O441" s="13">
        <f>MAX(M441,N441)</f>
        <v>452.7926077</v>
      </c>
      <c r="P441" s="14">
        <f>ROUNDUP(O441/$J$2,0)</f>
        <v>3</v>
      </c>
      <c r="Q441" s="13">
        <f>P441*$J$2</f>
        <v>597</v>
      </c>
      <c r="R441" s="10">
        <f>Q441*$D$2/(0.85*$B$2*(D441*1000))</f>
        <v>35.11764706</v>
      </c>
      <c r="S441" s="10">
        <f>0.9*Q441*$D$2*(J441-R441/2)/1000000</f>
        <v>73.33945883</v>
      </c>
      <c r="T441" s="15" t="str">
        <f>IF(AND(S441&gt;=F441,O441&lt;=0.025*(D441*1000)*J441,O441&gt;=N441),"CUMPLE","REVISAR")</f>
        <v>CUMPLE</v>
      </c>
      <c r="U441" s="11">
        <f>G441*1000000/(0.9*(D441*1000)*J441^2)</f>
        <v>1.21267843</v>
      </c>
      <c r="V441" s="12">
        <f>(0.85*$B$2/$D$2)*(1-SQRT(1-2*U441/(0.85*$B$2)))</f>
        <v>0.002964893663</v>
      </c>
      <c r="W441" s="13">
        <f>V441*(D441*1000)*J441</f>
        <v>304.6872972</v>
      </c>
      <c r="X441" s="13">
        <f>MAX(W441,N441)</f>
        <v>342.55</v>
      </c>
      <c r="Y441" s="14">
        <f>ROUNDUP(X441/$J$2,0)</f>
        <v>2</v>
      </c>
      <c r="Z441" s="13">
        <f>Y441*$J$2</f>
        <v>398</v>
      </c>
      <c r="AA441" s="10">
        <f>0.9*Z441*$D$2*(J441-(Z441*$D$2/(0.85*$B$2*(D441*1000)))/2)/1000000</f>
        <v>49.77351244</v>
      </c>
      <c r="AB441" s="15" t="str">
        <f>IF(AA441&gt;=G441,"CUMPLE","REVISAR")</f>
        <v>CUMPLE</v>
      </c>
      <c r="AC441" s="10">
        <f>0.17*SQRT($B$2)*(D441*1000)*J441/1000</f>
        <v>92.44281538</v>
      </c>
      <c r="AD441" s="10">
        <f>MAX(H441/0.75-AC441,0)</f>
        <v>0</v>
      </c>
      <c r="AE441" s="14">
        <f>IF(AD441&gt;0,MIN($N$2*$D$2*J441/(AD441*1000),MIN(J441/4,6*$H$2,150)),MIN(J441/4,6*$H$2,150))</f>
        <v>85.6375</v>
      </c>
      <c r="AF441" s="10">
        <f>0.66*SQRT($B$2)*(D441*1000)*J441/1000</f>
        <v>358.8956362</v>
      </c>
      <c r="AG441" s="15" t="str">
        <f>IF(AD441&lt;=AF441,"CUMPLE","AUMENTAR SECCION")</f>
        <v>CUMPLE</v>
      </c>
      <c r="AH441" s="10">
        <f>0.75*0.083*SQRT($B$2)*(((D441*1000)*(E441*1000))^2/(2*((D441*1000)+(E441*1000))))/1000000</f>
        <v>3.388073536</v>
      </c>
      <c r="AI441" s="15" t="str">
        <f>IF(I441&gt;AH441,"SI","No")</f>
        <v>No</v>
      </c>
      <c r="AJ441" s="11">
        <f>IF(I441&gt;AH441,I441*1000000/(0.75*2*0.85*((D441*1000-2*$F$2)*(E441*1000-2*$F$2))*$D$2),0)</f>
        <v>0</v>
      </c>
      <c r="AK441" s="10">
        <f>1.25*Q441*$D$2*(J441-(1.25*Q441*$D$2/(0.85*$B$2*(D441*1000)))/2)/1000000</f>
        <v>100.4845159</v>
      </c>
      <c r="AL441" s="10">
        <f>1.25*Z441*$D$2*(J441-(1.25*Z441*$D$2/(0.85*$B$2*(D441*1000)))/2)/1000000</f>
        <v>68.51839235</v>
      </c>
      <c r="AM441" s="10">
        <f>(AK441+AL441)/B441</f>
        <v>42.25072707</v>
      </c>
      <c r="AN441" s="10">
        <f>MAX(H441,AM441)</f>
        <v>42.25072707</v>
      </c>
    </row>
    <row r="442">
      <c r="A442" s="5" t="inlineStr">
        <is>
          <t>F913</t>
        </is>
      </c>
      <c r="B442" s="6" t="n">
        <v>3.85</v>
      </c>
      <c r="C442" s="7" t="inlineStr">
        <is>
          <t>VC</t>
        </is>
      </c>
      <c r="D442" s="8">
        <f>IF(C442="VR",0.35,0.30)</f>
        <v>0.3</v>
      </c>
      <c r="E442" s="6" t="n">
        <v>0.4</v>
      </c>
      <c r="F442" s="9" t="n">
        <v>68</v>
      </c>
      <c r="G442" s="9" t="n">
        <v>38.4</v>
      </c>
      <c r="H442" s="9" t="n">
        <v>49.4</v>
      </c>
      <c r="I442" s="6" t="n">
        <v>0</v>
      </c>
      <c r="J442" s="10">
        <f>E442*1000-$F$2-$L$2-$H$2/2</f>
        <v>342.55</v>
      </c>
      <c r="K442" s="11">
        <f>F442*1000000/(0.9*(D442*1000)*J442^2)</f>
        <v>2.146649141</v>
      </c>
      <c r="L442" s="12">
        <f>(0.85*$B$2/$D$2)*(1-SQRT(1-2*K442/(0.85*$B$2)))</f>
        <v>0.005365043096</v>
      </c>
      <c r="M442" s="13">
        <f>L442*(D442*1000)*J442</f>
        <v>551.3386537</v>
      </c>
      <c r="N442" s="13">
        <f>MAX(0.25*SQRT($B$2)/$D$2,1.4/$D$2)*(D442*1000)*J442</f>
        <v>342.55</v>
      </c>
      <c r="O442" s="13">
        <f>MAX(M442,N442)</f>
        <v>551.3386537</v>
      </c>
      <c r="P442" s="14">
        <f>ROUNDUP(O442/$J$2,0)</f>
        <v>3</v>
      </c>
      <c r="Q442" s="13">
        <f>P442*$J$2</f>
        <v>597</v>
      </c>
      <c r="R442" s="10">
        <f>Q442*$D$2/(0.85*$B$2*(D442*1000))</f>
        <v>35.11764706</v>
      </c>
      <c r="S442" s="10">
        <f>0.9*Q442*$D$2*(J442-R442/2)/1000000</f>
        <v>73.33945883</v>
      </c>
      <c r="T442" s="15" t="str">
        <f>IF(AND(S442&gt;=F442,O442&lt;=0.025*(D442*1000)*J442,O442&gt;=N442),"CUMPLE","REVISAR")</f>
        <v>CUMPLE</v>
      </c>
      <c r="U442" s="11">
        <f>G442*1000000/(0.9*(D442*1000)*J442^2)</f>
        <v>1.211731518</v>
      </c>
      <c r="V442" s="12">
        <f>(0.85*$B$2/$D$2)*(1-SQRT(1-2*U442/(0.85*$B$2)))</f>
        <v>0.002962514689</v>
      </c>
      <c r="W442" s="13">
        <f>V442*(D442*1000)*J442</f>
        <v>304.442822</v>
      </c>
      <c r="X442" s="13">
        <f>MAX(W442,N442)</f>
        <v>342.55</v>
      </c>
      <c r="Y442" s="14">
        <f>ROUNDUP(X442/$J$2,0)</f>
        <v>2</v>
      </c>
      <c r="Z442" s="13">
        <f>Y442*$J$2</f>
        <v>398</v>
      </c>
      <c r="AA442" s="10">
        <f>0.9*Z442*$D$2*(J442-(Z442*$D$2/(0.85*$B$2*(D442*1000)))/2)/1000000</f>
        <v>49.77351244</v>
      </c>
      <c r="AB442" s="15" t="str">
        <f>IF(AA442&gt;=G442,"CUMPLE","REVISAR")</f>
        <v>CUMPLE</v>
      </c>
      <c r="AC442" s="10">
        <f>0.17*SQRT($B$2)*(D442*1000)*J442/1000</f>
        <v>92.44281538</v>
      </c>
      <c r="AD442" s="10">
        <f>MAX(H442/0.75-AC442,0)</f>
        <v>0</v>
      </c>
      <c r="AE442" s="14">
        <f>IF(AD442&gt;0,MIN($N$2*$D$2*J442/(AD442*1000),MIN(J442/4,6*$H$2,150)),MIN(J442/4,6*$H$2,150))</f>
        <v>85.6375</v>
      </c>
      <c r="AF442" s="10">
        <f>0.66*SQRT($B$2)*(D442*1000)*J442/1000</f>
        <v>358.8956362</v>
      </c>
      <c r="AG442" s="15" t="str">
        <f>IF(AD442&lt;=AF442,"CUMPLE","AUMENTAR SECCION")</f>
        <v>CUMPLE</v>
      </c>
      <c r="AH442" s="10">
        <f>0.75*0.083*SQRT($B$2)*(((D442*1000)*(E442*1000))^2/(2*((D442*1000)+(E442*1000))))/1000000</f>
        <v>3.388073536</v>
      </c>
      <c r="AI442" s="15" t="str">
        <f>IF(I442&gt;AH442,"SI","No")</f>
        <v>No</v>
      </c>
      <c r="AJ442" s="11">
        <f>IF(I442&gt;AH442,I442*1000000/(0.75*2*0.85*((D442*1000-2*$F$2)*(E442*1000-2*$F$2))*$D$2),0)</f>
        <v>0</v>
      </c>
      <c r="AK442" s="10">
        <f>1.25*Q442*$D$2*(J442-(1.25*Q442*$D$2/(0.85*$B$2*(D442*1000)))/2)/1000000</f>
        <v>100.4845159</v>
      </c>
      <c r="AL442" s="10">
        <f>1.25*Z442*$D$2*(J442-(1.25*Z442*$D$2/(0.85*$B$2*(D442*1000)))/2)/1000000</f>
        <v>68.51839235</v>
      </c>
      <c r="AM442" s="10">
        <f>(AK442+AL442)/B442</f>
        <v>43.89685929</v>
      </c>
      <c r="AN442" s="10">
        <f>MAX(H442,AM442)</f>
        <v>49.44</v>
      </c>
    </row>
    <row r="443">
      <c r="A443" s="5" t="inlineStr">
        <is>
          <t>F914</t>
        </is>
      </c>
      <c r="B443" s="6" t="n">
        <v>3.85</v>
      </c>
      <c r="C443" s="7" t="inlineStr">
        <is>
          <t>VC</t>
        </is>
      </c>
      <c r="D443" s="8">
        <f>IF(C443="VR",0.35,0.30)</f>
        <v>0.3</v>
      </c>
      <c r="E443" s="6" t="n">
        <v>0.4</v>
      </c>
      <c r="F443" s="9" t="n">
        <v>68</v>
      </c>
      <c r="G443" s="9" t="n">
        <v>38.4</v>
      </c>
      <c r="H443" s="9" t="n">
        <v>49.5</v>
      </c>
      <c r="I443" s="6" t="n">
        <v>0</v>
      </c>
      <c r="J443" s="10">
        <f>E443*1000-$F$2-$L$2-$H$2/2</f>
        <v>342.55</v>
      </c>
      <c r="K443" s="11">
        <f>F443*1000000/(0.9*(D443*1000)*J443^2)</f>
        <v>2.145386592</v>
      </c>
      <c r="L443" s="12">
        <f>(0.85*$B$2/$D$2)*(1-SQRT(1-2*K443/(0.85*$B$2)))</f>
        <v>0.005361722764</v>
      </c>
      <c r="M443" s="13">
        <f>L443*(D443*1000)*J443</f>
        <v>550.9974398</v>
      </c>
      <c r="N443" s="13">
        <f>MAX(0.25*SQRT($B$2)/$D$2,1.4/$D$2)*(D443*1000)*J443</f>
        <v>342.55</v>
      </c>
      <c r="O443" s="13">
        <f>MAX(M443,N443)</f>
        <v>550.9974398</v>
      </c>
      <c r="P443" s="14">
        <f>ROUNDUP(O443/$J$2,0)</f>
        <v>3</v>
      </c>
      <c r="Q443" s="13">
        <f>P443*$J$2</f>
        <v>597</v>
      </c>
      <c r="R443" s="10">
        <f>Q443*$D$2/(0.85*$B$2*(D443*1000))</f>
        <v>35.11764706</v>
      </c>
      <c r="S443" s="10">
        <f>0.9*Q443*$D$2*(J443-R443/2)/1000000</f>
        <v>73.33945883</v>
      </c>
      <c r="T443" s="15" t="str">
        <f>IF(AND(S443&gt;=F443,O443&lt;=0.025*(D443*1000)*J443,O443&gt;=N443),"CUMPLE","REVISAR")</f>
        <v>CUMPLE</v>
      </c>
      <c r="U443" s="11">
        <f>G443*1000000/(0.9*(D443*1000)*J443^2)</f>
        <v>1.212362792</v>
      </c>
      <c r="V443" s="12">
        <f>(0.85*$B$2/$D$2)*(1-SQRT(1-2*U443/(0.85*$B$2)))</f>
        <v>0.00296410066</v>
      </c>
      <c r="W443" s="13">
        <f>V443*(D443*1000)*J443</f>
        <v>304.6058043</v>
      </c>
      <c r="X443" s="13">
        <f>MAX(W443,N443)</f>
        <v>342.55</v>
      </c>
      <c r="Y443" s="14">
        <f>ROUNDUP(X443/$J$2,0)</f>
        <v>2</v>
      </c>
      <c r="Z443" s="13">
        <f>Y443*$J$2</f>
        <v>398</v>
      </c>
      <c r="AA443" s="10">
        <f>0.9*Z443*$D$2*(J443-(Z443*$D$2/(0.85*$B$2*(D443*1000)))/2)/1000000</f>
        <v>49.77351244</v>
      </c>
      <c r="AB443" s="15" t="str">
        <f>IF(AA443&gt;=G443,"CUMPLE","REVISAR")</f>
        <v>CUMPLE</v>
      </c>
      <c r="AC443" s="10">
        <f>0.17*SQRT($B$2)*(D443*1000)*J443/1000</f>
        <v>92.44281538</v>
      </c>
      <c r="AD443" s="10">
        <f>MAX(H443/0.75-AC443,0)</f>
        <v>0</v>
      </c>
      <c r="AE443" s="14">
        <f>IF(AD443&gt;0,MIN($N$2*$D$2*J443/(AD443*1000),MIN(J443/4,6*$H$2,150)),MIN(J443/4,6*$H$2,150))</f>
        <v>85.6375</v>
      </c>
      <c r="AF443" s="10">
        <f>0.66*SQRT($B$2)*(D443*1000)*J443/1000</f>
        <v>358.8956362</v>
      </c>
      <c r="AG443" s="15" t="str">
        <f>IF(AD443&lt;=AF443,"CUMPLE","AUMENTAR SECCION")</f>
        <v>CUMPLE</v>
      </c>
      <c r="AH443" s="10">
        <f>0.75*0.083*SQRT($B$2)*(((D443*1000)*(E443*1000))^2/(2*((D443*1000)+(E443*1000))))/1000000</f>
        <v>3.388073536</v>
      </c>
      <c r="AI443" s="15" t="str">
        <f>IF(I443&gt;AH443,"SI","No")</f>
        <v>No</v>
      </c>
      <c r="AJ443" s="11">
        <f>IF(I443&gt;AH443,I443*1000000/(0.75*2*0.85*((D443*1000-2*$F$2)*(E443*1000-2*$F$2))*$D$2),0)</f>
        <v>0</v>
      </c>
      <c r="AK443" s="10">
        <f>1.25*Q443*$D$2*(J443-(1.25*Q443*$D$2/(0.85*$B$2*(D443*1000)))/2)/1000000</f>
        <v>100.4845159</v>
      </c>
      <c r="AL443" s="10">
        <f>1.25*Z443*$D$2*(J443-(1.25*Z443*$D$2/(0.85*$B$2*(D443*1000)))/2)/1000000</f>
        <v>68.51839235</v>
      </c>
      <c r="AM443" s="10">
        <f>(AK443+AL443)/B443</f>
        <v>43.89685929</v>
      </c>
      <c r="AN443" s="10">
        <f>MAX(H443,AM443)</f>
        <v>49.45</v>
      </c>
    </row>
    <row r="444">
      <c r="A444" s="5" t="inlineStr">
        <is>
          <t>F915</t>
        </is>
      </c>
      <c r="B444" s="6" t="n">
        <v>3.85</v>
      </c>
      <c r="C444" s="7" t="inlineStr">
        <is>
          <t>VC</t>
        </is>
      </c>
      <c r="D444" s="8">
        <f>IF(C444="VR",0.35,0.30)</f>
        <v>0.3</v>
      </c>
      <c r="E444" s="6" t="n">
        <v>0.4</v>
      </c>
      <c r="F444" s="9" t="n">
        <v>68</v>
      </c>
      <c r="G444" s="9" t="n">
        <v>35.9</v>
      </c>
      <c r="H444" s="9" t="n">
        <v>51.5</v>
      </c>
      <c r="I444" s="6" t="n">
        <v>0</v>
      </c>
      <c r="J444" s="10">
        <f>E444*1000-$F$2-$L$2-$H$2/2</f>
        <v>342.55</v>
      </c>
      <c r="K444" s="11">
        <f>F444*1000000/(0.9*(D444*1000)*J444^2)</f>
        <v>2.145070955</v>
      </c>
      <c r="L444" s="12">
        <f>(0.85*$B$2/$D$2)*(1-SQRT(1-2*K444/(0.85*$B$2)))</f>
        <v>0.005360892714</v>
      </c>
      <c r="M444" s="13">
        <f>L444*(D444*1000)*J444</f>
        <v>550.9121398</v>
      </c>
      <c r="N444" s="13">
        <f>MAX(0.25*SQRT($B$2)/$D$2,1.4/$D$2)*(D444*1000)*J444</f>
        <v>342.55</v>
      </c>
      <c r="O444" s="13">
        <f>MAX(M444,N444)</f>
        <v>550.9121398</v>
      </c>
      <c r="P444" s="14">
        <f>ROUNDUP(O444/$J$2,0)</f>
        <v>3</v>
      </c>
      <c r="Q444" s="13">
        <f>P444*$J$2</f>
        <v>597</v>
      </c>
      <c r="R444" s="10">
        <f>Q444*$D$2/(0.85*$B$2*(D444*1000))</f>
        <v>35.11764706</v>
      </c>
      <c r="S444" s="10">
        <f>0.9*Q444*$D$2*(J444-R444/2)/1000000</f>
        <v>73.33945883</v>
      </c>
      <c r="T444" s="15" t="str">
        <f>IF(AND(S444&gt;=F444,O444&lt;=0.025*(D444*1000)*J444,O444&gt;=N444),"CUMPLE","REVISAR")</f>
        <v>CUMPLE</v>
      </c>
      <c r="U444" s="11">
        <f>G444*1000000/(0.9*(D444*1000)*J444^2)</f>
        <v>1.13376911</v>
      </c>
      <c r="V444" s="12">
        <f>(0.85*$B$2/$D$2)*(1-SQRT(1-2*U444/(0.85*$B$2)))</f>
        <v>0.002767006047</v>
      </c>
      <c r="W444" s="13">
        <f>V444*(D444*1000)*J444</f>
        <v>284.3513765</v>
      </c>
      <c r="X444" s="13">
        <f>MAX(W444,N444)</f>
        <v>342.55</v>
      </c>
      <c r="Y444" s="14">
        <f>ROUNDUP(X444/$J$2,0)</f>
        <v>2</v>
      </c>
      <c r="Z444" s="13">
        <f>Y444*$J$2</f>
        <v>398</v>
      </c>
      <c r="AA444" s="10">
        <f>0.9*Z444*$D$2*(J444-(Z444*$D$2/(0.85*$B$2*(D444*1000)))/2)/1000000</f>
        <v>49.77351244</v>
      </c>
      <c r="AB444" s="15" t="str">
        <f>IF(AA444&gt;=G444,"CUMPLE","REVISAR")</f>
        <v>CUMPLE</v>
      </c>
      <c r="AC444" s="10">
        <f>0.17*SQRT($B$2)*(D444*1000)*J444/1000</f>
        <v>92.44281538</v>
      </c>
      <c r="AD444" s="10">
        <f>MAX(H444/0.75-AC444,0)</f>
        <v>0</v>
      </c>
      <c r="AE444" s="14">
        <f>IF(AD444&gt;0,MIN($N$2*$D$2*J444/(AD444*1000),MIN(J444/4,6*$H$2,150)),MIN(J444/4,6*$H$2,150))</f>
        <v>85.6375</v>
      </c>
      <c r="AF444" s="10">
        <f>0.66*SQRT($B$2)*(D444*1000)*J444/1000</f>
        <v>358.8956362</v>
      </c>
      <c r="AG444" s="15" t="str">
        <f>IF(AD444&lt;=AF444,"CUMPLE","AUMENTAR SECCION")</f>
        <v>CUMPLE</v>
      </c>
      <c r="AH444" s="10">
        <f>0.75*0.083*SQRT($B$2)*(((D444*1000)*(E444*1000))^2/(2*((D444*1000)+(E444*1000))))/1000000</f>
        <v>3.388073536</v>
      </c>
      <c r="AI444" s="15" t="str">
        <f>IF(I444&gt;AH444,"SI","No")</f>
        <v>No</v>
      </c>
      <c r="AJ444" s="11">
        <f>IF(I444&gt;AH444,I444*1000000/(0.75*2*0.85*((D444*1000-2*$F$2)*(E444*1000-2*$F$2))*$D$2),0)</f>
        <v>0</v>
      </c>
      <c r="AK444" s="10">
        <f>1.25*Q444*$D$2*(J444-(1.25*Q444*$D$2/(0.85*$B$2*(D444*1000)))/2)/1000000</f>
        <v>100.4845159</v>
      </c>
      <c r="AL444" s="10">
        <f>1.25*Z444*$D$2*(J444-(1.25*Z444*$D$2/(0.85*$B$2*(D444*1000)))/2)/1000000</f>
        <v>68.51839235</v>
      </c>
      <c r="AM444" s="10">
        <f>(AK444+AL444)/B444</f>
        <v>43.89685929</v>
      </c>
      <c r="AN444" s="10">
        <f>MAX(H444,AM444)</f>
        <v>51.53</v>
      </c>
    </row>
    <row r="445">
      <c r="A445" s="5" t="inlineStr">
        <is>
          <t>F916</t>
        </is>
      </c>
      <c r="B445" s="6" t="n">
        <v>3.9</v>
      </c>
      <c r="C445" s="7" t="inlineStr">
        <is>
          <t>VC</t>
        </is>
      </c>
      <c r="D445" s="8">
        <f>IF(C445="VR",0.35,0.30)</f>
        <v>0.3</v>
      </c>
      <c r="E445" s="6" t="n">
        <v>0.4</v>
      </c>
      <c r="F445" s="9" t="n">
        <v>83.2</v>
      </c>
      <c r="G445" s="9" t="n">
        <v>40</v>
      </c>
      <c r="H445" s="9" t="n">
        <v>69.59999999999999</v>
      </c>
      <c r="I445" s="6" t="n">
        <v>0</v>
      </c>
      <c r="J445" s="10">
        <f>E445*1000-$F$2-$L$2-$H$2/2</f>
        <v>342.55</v>
      </c>
      <c r="K445" s="11">
        <f>F445*1000000/(0.9*(D445*1000)*J445^2)</f>
        <v>2.625155257</v>
      </c>
      <c r="L445" s="12">
        <f>(0.85*$B$2/$D$2)*(1-SQRT(1-2*K445/(0.85*$B$2)))</f>
        <v>0.006639315318</v>
      </c>
      <c r="M445" s="13">
        <f>L445*(D445*1000)*J445</f>
        <v>682.2892387</v>
      </c>
      <c r="N445" s="13">
        <f>MAX(0.25*SQRT($B$2)/$D$2,1.4/$D$2)*(D445*1000)*J445</f>
        <v>342.55</v>
      </c>
      <c r="O445" s="13">
        <f>MAX(M445,N445)</f>
        <v>682.2892387</v>
      </c>
      <c r="P445" s="14">
        <f>ROUNDUP(O445/$J$2,0)</f>
        <v>4</v>
      </c>
      <c r="Q445" s="13">
        <f>P445*$J$2</f>
        <v>796</v>
      </c>
      <c r="R445" s="10">
        <f>Q445*$D$2/(0.85*$B$2*(D445*1000))</f>
        <v>46.82352941</v>
      </c>
      <c r="S445" s="10">
        <f>0.9*Q445*$D$2*(J445-R445/2)/1000000</f>
        <v>96.02486534</v>
      </c>
      <c r="T445" s="15" t="str">
        <f>IF(AND(S445&gt;=F445,O445&lt;=0.025*(D445*1000)*J445,O445&gt;=N445),"CUMPLE","REVISAR")</f>
        <v>CUMPLE</v>
      </c>
      <c r="U445" s="11">
        <f>G445*1000000/(0.9*(D445*1000)*J445^2)</f>
        <v>1.261602208</v>
      </c>
      <c r="V445" s="12">
        <f>(0.85*$B$2/$D$2)*(1-SQRT(1-2*U445/(0.85*$B$2)))</f>
        <v>0.00308795103</v>
      </c>
      <c r="W445" s="13">
        <f>V445*(D445*1000)*J445</f>
        <v>317.3332876</v>
      </c>
      <c r="X445" s="13">
        <f>MAX(W445,N445)</f>
        <v>342.55</v>
      </c>
      <c r="Y445" s="14">
        <f>ROUNDUP(X445/$J$2,0)</f>
        <v>2</v>
      </c>
      <c r="Z445" s="13">
        <f>Y445*$J$2</f>
        <v>398</v>
      </c>
      <c r="AA445" s="10">
        <f>0.9*Z445*$D$2*(J445-(Z445*$D$2/(0.85*$B$2*(D445*1000)))/2)/1000000</f>
        <v>49.77351244</v>
      </c>
      <c r="AB445" s="15" t="str">
        <f>IF(AA445&gt;=G445,"CUMPLE","REVISAR")</f>
        <v>CUMPLE</v>
      </c>
      <c r="AC445" s="10">
        <f>0.17*SQRT($B$2)*(D445*1000)*J445/1000</f>
        <v>92.44281538</v>
      </c>
      <c r="AD445" s="10">
        <f>MAX(H445/0.75-AC445,0)</f>
        <v>0.3838512829</v>
      </c>
      <c r="AE445" s="14">
        <f>IF(AD445&gt;0,MIN($N$2*$D$2*J445/(AD445*1000),MIN(J445/4,6*$H$2,150)),MIN(J445/4,6*$H$2,150))</f>
        <v>85.6375</v>
      </c>
      <c r="AF445" s="10">
        <f>0.66*SQRT($B$2)*(D445*1000)*J445/1000</f>
        <v>358.8956362</v>
      </c>
      <c r="AG445" s="15" t="str">
        <f>IF(AD445&lt;=AF445,"CUMPLE","AUMENTAR SECCION")</f>
        <v>CUMPLE</v>
      </c>
      <c r="AH445" s="10">
        <f>0.75*0.083*SQRT($B$2)*(((D445*1000)*(E445*1000))^2/(2*((D445*1000)+(E445*1000))))/1000000</f>
        <v>3.388073536</v>
      </c>
      <c r="AI445" s="15" t="str">
        <f>IF(I445&gt;AH445,"SI","No")</f>
        <v>No</v>
      </c>
      <c r="AJ445" s="11">
        <f>IF(I445&gt;AH445,I445*1000000/(0.75*2*0.85*((D445*1000-2*$F$2)*(E445*1000-2*$F$2))*$D$2),0)</f>
        <v>0</v>
      </c>
      <c r="AK445" s="10">
        <f>1.25*Q445*$D$2*(J445-(1.25*Q445*$D$2/(0.85*$B$2*(D445*1000)))/2)/1000000</f>
        <v>130.9219244</v>
      </c>
      <c r="AL445" s="10">
        <f>1.25*Z445*$D$2*(J445-(1.25*Z445*$D$2/(0.85*$B$2*(D445*1000)))/2)/1000000</f>
        <v>68.51839235</v>
      </c>
      <c r="AM445" s="10">
        <f>(AK445+AL445)/B445</f>
        <v>51.13854276</v>
      </c>
      <c r="AN445" s="10">
        <f>MAX(H445,AM445)</f>
        <v>69.62</v>
      </c>
    </row>
    <row r="446">
      <c r="A446" s="5" t="inlineStr">
        <is>
          <t>F917</t>
        </is>
      </c>
      <c r="B446" s="6" t="n">
        <v>3.9</v>
      </c>
      <c r="C446" s="7" t="inlineStr">
        <is>
          <t>VC</t>
        </is>
      </c>
      <c r="D446" s="8">
        <f>IF(C446="VR",0.35,0.30)</f>
        <v>0.3</v>
      </c>
      <c r="E446" s="6" t="n">
        <v>0.4</v>
      </c>
      <c r="F446" s="9" t="n">
        <v>83.09999999999999</v>
      </c>
      <c r="G446" s="9" t="n">
        <v>40</v>
      </c>
      <c r="H446" s="9" t="n">
        <v>69.5</v>
      </c>
      <c r="I446" s="6" t="n">
        <v>0</v>
      </c>
      <c r="J446" s="10">
        <f>E446*1000-$F$2-$L$2-$H$2/2</f>
        <v>342.55</v>
      </c>
      <c r="K446" s="11">
        <f>F446*1000000/(0.9*(D446*1000)*J446^2)</f>
        <v>2.622314522</v>
      </c>
      <c r="L446" s="12">
        <f>(0.85*$B$2/$D$2)*(1-SQRT(1-2*K446/(0.85*$B$2)))</f>
        <v>0.006631654619</v>
      </c>
      <c r="M446" s="13">
        <f>L446*(D446*1000)*J446</f>
        <v>681.5019869</v>
      </c>
      <c r="N446" s="13">
        <f>MAX(0.25*SQRT($B$2)/$D$2,1.4/$D$2)*(D446*1000)*J446</f>
        <v>342.55</v>
      </c>
      <c r="O446" s="13">
        <f>MAX(M446,N446)</f>
        <v>681.5019869</v>
      </c>
      <c r="P446" s="14">
        <f>ROUNDUP(O446/$J$2,0)</f>
        <v>4</v>
      </c>
      <c r="Q446" s="13">
        <f>P446*$J$2</f>
        <v>796</v>
      </c>
      <c r="R446" s="10">
        <f>Q446*$D$2/(0.85*$B$2*(D446*1000))</f>
        <v>46.82352941</v>
      </c>
      <c r="S446" s="10">
        <f>0.9*Q446*$D$2*(J446-R446/2)/1000000</f>
        <v>96.02486534</v>
      </c>
      <c r="T446" s="15" t="str">
        <f>IF(AND(S446&gt;=F446,O446&lt;=0.025*(D446*1000)*J446,O446&gt;=N446),"CUMPLE","REVISAR")</f>
        <v>CUMPLE</v>
      </c>
      <c r="U446" s="11">
        <f>G446*1000000/(0.9*(D446*1000)*J446^2)</f>
        <v>1.263811669</v>
      </c>
      <c r="V446" s="12">
        <f>(0.85*$B$2/$D$2)*(1-SQRT(1-2*U446/(0.85*$B$2)))</f>
        <v>0.00309351513</v>
      </c>
      <c r="W446" s="13">
        <f>V446*(D446*1000)*J446</f>
        <v>317.9050824</v>
      </c>
      <c r="X446" s="13">
        <f>MAX(W446,N446)</f>
        <v>342.55</v>
      </c>
      <c r="Y446" s="14">
        <f>ROUNDUP(X446/$J$2,0)</f>
        <v>2</v>
      </c>
      <c r="Z446" s="13">
        <f>Y446*$J$2</f>
        <v>398</v>
      </c>
      <c r="AA446" s="10">
        <f>0.9*Z446*$D$2*(J446-(Z446*$D$2/(0.85*$B$2*(D446*1000)))/2)/1000000</f>
        <v>49.77351244</v>
      </c>
      <c r="AB446" s="15" t="str">
        <f>IF(AA446&gt;=G446,"CUMPLE","REVISAR")</f>
        <v>CUMPLE</v>
      </c>
      <c r="AC446" s="10">
        <f>0.17*SQRT($B$2)*(D446*1000)*J446/1000</f>
        <v>92.44281538</v>
      </c>
      <c r="AD446" s="10">
        <f>MAX(H446/0.75-AC446,0)</f>
        <v>0.2771846163</v>
      </c>
      <c r="AE446" s="14">
        <f>IF(AD446&gt;0,MIN($N$2*$D$2*J446/(AD446*1000),MIN(J446/4,6*$H$2,150)),MIN(J446/4,6*$H$2,150))</f>
        <v>85.6375</v>
      </c>
      <c r="AF446" s="10">
        <f>0.66*SQRT($B$2)*(D446*1000)*J446/1000</f>
        <v>358.8956362</v>
      </c>
      <c r="AG446" s="15" t="str">
        <f>IF(AD446&lt;=AF446,"CUMPLE","AUMENTAR SECCION")</f>
        <v>CUMPLE</v>
      </c>
      <c r="AH446" s="10">
        <f>0.75*0.083*SQRT($B$2)*(((D446*1000)*(E446*1000))^2/(2*((D446*1000)+(E446*1000))))/1000000</f>
        <v>3.388073536</v>
      </c>
      <c r="AI446" s="15" t="str">
        <f>IF(I446&gt;AH446,"SI","No")</f>
        <v>No</v>
      </c>
      <c r="AJ446" s="11">
        <f>IF(I446&gt;AH446,I446*1000000/(0.75*2*0.85*((D446*1000-2*$F$2)*(E446*1000-2*$F$2))*$D$2),0)</f>
        <v>0</v>
      </c>
      <c r="AK446" s="10">
        <f>1.25*Q446*$D$2*(J446-(1.25*Q446*$D$2/(0.85*$B$2*(D446*1000)))/2)/1000000</f>
        <v>130.9219244</v>
      </c>
      <c r="AL446" s="10">
        <f>1.25*Z446*$D$2*(J446-(1.25*Z446*$D$2/(0.85*$B$2*(D446*1000)))/2)/1000000</f>
        <v>68.51839235</v>
      </c>
      <c r="AM446" s="10">
        <f>(AK446+AL446)/B446</f>
        <v>51.13854276</v>
      </c>
      <c r="AN446" s="10">
        <f>MAX(H446,AM446)</f>
        <v>69.54</v>
      </c>
    </row>
    <row r="447">
      <c r="A447" s="5" t="inlineStr">
        <is>
          <t>F918</t>
        </is>
      </c>
      <c r="B447" s="6" t="n">
        <v>3.85</v>
      </c>
      <c r="C447" s="7" t="inlineStr">
        <is>
          <t>VC</t>
        </is>
      </c>
      <c r="D447" s="8">
        <f>IF(C447="VR",0.35,0.30)</f>
        <v>0.3</v>
      </c>
      <c r="E447" s="6" t="n">
        <v>0.4</v>
      </c>
      <c r="F447" s="9" t="n">
        <v>68</v>
      </c>
      <c r="G447" s="9" t="n">
        <v>35.9</v>
      </c>
      <c r="H447" s="9" t="n">
        <v>51.5</v>
      </c>
      <c r="I447" s="6" t="n">
        <v>0</v>
      </c>
      <c r="J447" s="10">
        <f>E447*1000-$F$2-$L$2-$H$2/2</f>
        <v>342.55</v>
      </c>
      <c r="K447" s="11">
        <f>F447*1000000/(0.9*(D447*1000)*J447^2)</f>
        <v>2.145702229</v>
      </c>
      <c r="L447" s="12">
        <f>(0.85*$B$2/$D$2)*(1-SQRT(1-2*K447/(0.85*$B$2)))</f>
        <v>0.005362552827</v>
      </c>
      <c r="M447" s="13">
        <f>L447*(D447*1000)*J447</f>
        <v>551.0827412</v>
      </c>
      <c r="N447" s="13">
        <f>MAX(0.25*SQRT($B$2)/$D$2,1.4/$D$2)*(D447*1000)*J447</f>
        <v>342.55</v>
      </c>
      <c r="O447" s="13">
        <f>MAX(M447,N447)</f>
        <v>551.0827412</v>
      </c>
      <c r="P447" s="14">
        <f>ROUNDUP(O447/$J$2,0)</f>
        <v>3</v>
      </c>
      <c r="Q447" s="13">
        <f>P447*$J$2</f>
        <v>597</v>
      </c>
      <c r="R447" s="10">
        <f>Q447*$D$2/(0.85*$B$2*(D447*1000))</f>
        <v>35.11764706</v>
      </c>
      <c r="S447" s="10">
        <f>0.9*Q447*$D$2*(J447-R447/2)/1000000</f>
        <v>73.33945883</v>
      </c>
      <c r="T447" s="15" t="str">
        <f>IF(AND(S447&gt;=F447,O447&lt;=0.025*(D447*1000)*J447,O447&gt;=N447),"CUMPLE","REVISAR")</f>
        <v>CUMPLE</v>
      </c>
      <c r="U447" s="11">
        <f>G447*1000000/(0.9*(D447*1000)*J447^2)</f>
        <v>1.134084747</v>
      </c>
      <c r="V447" s="12">
        <f>(0.85*$B$2/$D$2)*(1-SQRT(1-2*U447/(0.85*$B$2)))</f>
        <v>0.002767796151</v>
      </c>
      <c r="W447" s="13">
        <f>V447*(D447*1000)*J447</f>
        <v>284.4325714</v>
      </c>
      <c r="X447" s="13">
        <f>MAX(W447,N447)</f>
        <v>342.55</v>
      </c>
      <c r="Y447" s="14">
        <f>ROUNDUP(X447/$J$2,0)</f>
        <v>2</v>
      </c>
      <c r="Z447" s="13">
        <f>Y447*$J$2</f>
        <v>398</v>
      </c>
      <c r="AA447" s="10">
        <f>0.9*Z447*$D$2*(J447-(Z447*$D$2/(0.85*$B$2*(D447*1000)))/2)/1000000</f>
        <v>49.77351244</v>
      </c>
      <c r="AB447" s="15" t="str">
        <f>IF(AA447&gt;=G447,"CUMPLE","REVISAR")</f>
        <v>CUMPLE</v>
      </c>
      <c r="AC447" s="10">
        <f>0.17*SQRT($B$2)*(D447*1000)*J447/1000</f>
        <v>92.44281538</v>
      </c>
      <c r="AD447" s="10">
        <f>MAX(H447/0.75-AC447,0)</f>
        <v>0</v>
      </c>
      <c r="AE447" s="14">
        <f>IF(AD447&gt;0,MIN($N$2*$D$2*J447/(AD447*1000),MIN(J447/4,6*$H$2,150)),MIN(J447/4,6*$H$2,150))</f>
        <v>85.6375</v>
      </c>
      <c r="AF447" s="10">
        <f>0.66*SQRT($B$2)*(D447*1000)*J447/1000</f>
        <v>358.8956362</v>
      </c>
      <c r="AG447" s="15" t="str">
        <f>IF(AD447&lt;=AF447,"CUMPLE","AUMENTAR SECCION")</f>
        <v>CUMPLE</v>
      </c>
      <c r="AH447" s="10">
        <f>0.75*0.083*SQRT($B$2)*(((D447*1000)*(E447*1000))^2/(2*((D447*1000)+(E447*1000))))/1000000</f>
        <v>3.388073536</v>
      </c>
      <c r="AI447" s="15" t="str">
        <f>IF(I447&gt;AH447,"SI","No")</f>
        <v>No</v>
      </c>
      <c r="AJ447" s="11">
        <f>IF(I447&gt;AH447,I447*1000000/(0.75*2*0.85*((D447*1000-2*$F$2)*(E447*1000-2*$F$2))*$D$2),0)</f>
        <v>0</v>
      </c>
      <c r="AK447" s="10">
        <f>1.25*Q447*$D$2*(J447-(1.25*Q447*$D$2/(0.85*$B$2*(D447*1000)))/2)/1000000</f>
        <v>100.4845159</v>
      </c>
      <c r="AL447" s="10">
        <f>1.25*Z447*$D$2*(J447-(1.25*Z447*$D$2/(0.85*$B$2*(D447*1000)))/2)/1000000</f>
        <v>68.51839235</v>
      </c>
      <c r="AM447" s="10">
        <f>(AK447+AL447)/B447</f>
        <v>43.89685929</v>
      </c>
      <c r="AN447" s="10">
        <f>MAX(H447,AM447)</f>
        <v>51.55</v>
      </c>
    </row>
    <row r="448">
      <c r="A448" s="5" t="inlineStr">
        <is>
          <t>F919</t>
        </is>
      </c>
      <c r="B448" s="6" t="n">
        <v>3.85</v>
      </c>
      <c r="C448" s="7" t="inlineStr">
        <is>
          <t>VC</t>
        </is>
      </c>
      <c r="D448" s="8">
        <f>IF(C448="VR",0.35,0.30)</f>
        <v>0.3</v>
      </c>
      <c r="E448" s="6" t="n">
        <v>0.4</v>
      </c>
      <c r="F448" s="9" t="n">
        <v>58.2</v>
      </c>
      <c r="G448" s="9" t="n">
        <v>42.9</v>
      </c>
      <c r="H448" s="9" t="n">
        <v>38.8</v>
      </c>
      <c r="I448" s="6" t="n">
        <v>0</v>
      </c>
      <c r="J448" s="10">
        <f>E448*1000-$F$2-$L$2-$H$2/2</f>
        <v>342.55</v>
      </c>
      <c r="K448" s="11">
        <f>F448*1000000/(0.9*(D448*1000)*J448^2)</f>
        <v>1.836693332</v>
      </c>
      <c r="L448" s="12">
        <f>(0.85*$B$2/$D$2)*(1-SQRT(1-2*K448/(0.85*$B$2)))</f>
        <v>0.00455625072</v>
      </c>
      <c r="M448" s="13">
        <f>L448*(D448*1000)*J448</f>
        <v>468.2231053</v>
      </c>
      <c r="N448" s="13">
        <f>MAX(0.25*SQRT($B$2)/$D$2,1.4/$D$2)*(D448*1000)*J448</f>
        <v>342.55</v>
      </c>
      <c r="O448" s="13">
        <f>MAX(M448,N448)</f>
        <v>468.2231053</v>
      </c>
      <c r="P448" s="14">
        <f>ROUNDUP(O448/$J$2,0)</f>
        <v>3</v>
      </c>
      <c r="Q448" s="13">
        <f>P448*$J$2</f>
        <v>597</v>
      </c>
      <c r="R448" s="10">
        <f>Q448*$D$2/(0.85*$B$2*(D448*1000))</f>
        <v>35.11764706</v>
      </c>
      <c r="S448" s="10">
        <f>0.9*Q448*$D$2*(J448-R448/2)/1000000</f>
        <v>73.33945883</v>
      </c>
      <c r="T448" s="15" t="str">
        <f>IF(AND(S448&gt;=F448,O448&lt;=0.025*(D448*1000)*J448,O448&gt;=N448),"CUMPLE","REVISAR")</f>
        <v>CUMPLE</v>
      </c>
      <c r="U448" s="11">
        <f>G448*1000000/(0.9*(D448*1000)*J448^2)</f>
        <v>1.354399568</v>
      </c>
      <c r="V448" s="12">
        <f>(0.85*$B$2/$D$2)*(1-SQRT(1-2*U448/(0.85*$B$2)))</f>
        <v>0.003322142939</v>
      </c>
      <c r="W448" s="13">
        <f>V448*(D448*1000)*J448</f>
        <v>341.4000191</v>
      </c>
      <c r="X448" s="13">
        <f>MAX(W448,N448)</f>
        <v>342.55</v>
      </c>
      <c r="Y448" s="14">
        <f>ROUNDUP(X448/$J$2,0)</f>
        <v>2</v>
      </c>
      <c r="Z448" s="13">
        <f>Y448*$J$2</f>
        <v>398</v>
      </c>
      <c r="AA448" s="10">
        <f>0.9*Z448*$D$2*(J448-(Z448*$D$2/(0.85*$B$2*(D448*1000)))/2)/1000000</f>
        <v>49.77351244</v>
      </c>
      <c r="AB448" s="15" t="str">
        <f>IF(AA448&gt;=G448,"CUMPLE","REVISAR")</f>
        <v>CUMPLE</v>
      </c>
      <c r="AC448" s="10">
        <f>0.17*SQRT($B$2)*(D448*1000)*J448/1000</f>
        <v>92.44281538</v>
      </c>
      <c r="AD448" s="10">
        <f>MAX(H448/0.75-AC448,0)</f>
        <v>0</v>
      </c>
      <c r="AE448" s="14">
        <f>IF(AD448&gt;0,MIN($N$2*$D$2*J448/(AD448*1000),MIN(J448/4,6*$H$2,150)),MIN(J448/4,6*$H$2,150))</f>
        <v>85.6375</v>
      </c>
      <c r="AF448" s="10">
        <f>0.66*SQRT($B$2)*(D448*1000)*J448/1000</f>
        <v>358.8956362</v>
      </c>
      <c r="AG448" s="15" t="str">
        <f>IF(AD448&lt;=AF448,"CUMPLE","AUMENTAR SECCION")</f>
        <v>CUMPLE</v>
      </c>
      <c r="AH448" s="10">
        <f>0.75*0.083*SQRT($B$2)*(((D448*1000)*(E448*1000))^2/(2*((D448*1000)+(E448*1000))))/1000000</f>
        <v>3.388073536</v>
      </c>
      <c r="AI448" s="15" t="str">
        <f>IF(I448&gt;AH448,"SI","No")</f>
        <v>No</v>
      </c>
      <c r="AJ448" s="11">
        <f>IF(I448&gt;AH448,I448*1000000/(0.75*2*0.85*((D448*1000-2*$F$2)*(E448*1000-2*$F$2))*$D$2),0)</f>
        <v>0</v>
      </c>
      <c r="AK448" s="10">
        <f>1.25*Q448*$D$2*(J448-(1.25*Q448*$D$2/(0.85*$B$2*(D448*1000)))/2)/1000000</f>
        <v>100.4845159</v>
      </c>
      <c r="AL448" s="10">
        <f>1.25*Z448*$D$2*(J448-(1.25*Z448*$D$2/(0.85*$B$2*(D448*1000)))/2)/1000000</f>
        <v>68.51839235</v>
      </c>
      <c r="AM448" s="10">
        <f>(AK448+AL448)/B448</f>
        <v>43.89685929</v>
      </c>
      <c r="AN448" s="10">
        <f>MAX(H448,AM448)</f>
        <v>43.89685929</v>
      </c>
    </row>
    <row r="449">
      <c r="A449" s="5" t="inlineStr">
        <is>
          <t>F920</t>
        </is>
      </c>
      <c r="B449" s="6" t="n">
        <v>3.9</v>
      </c>
      <c r="C449" s="7" t="inlineStr">
        <is>
          <t>VC</t>
        </is>
      </c>
      <c r="D449" s="8">
        <f>IF(C449="VR",0.35,0.30)</f>
        <v>0.3</v>
      </c>
      <c r="E449" s="6" t="n">
        <v>0.4</v>
      </c>
      <c r="F449" s="9" t="n">
        <v>65.90000000000001</v>
      </c>
      <c r="G449" s="9" t="n">
        <v>42.9</v>
      </c>
      <c r="H449" s="9" t="n">
        <v>48.3</v>
      </c>
      <c r="I449" s="6" t="n">
        <v>0</v>
      </c>
      <c r="J449" s="10">
        <f>E449*1000-$F$2-$L$2-$H$2/2</f>
        <v>342.55</v>
      </c>
      <c r="K449" s="11">
        <f>F449*1000000/(0.9*(D449*1000)*J449^2)</f>
        <v>2.0794184</v>
      </c>
      <c r="L449" s="12">
        <f>(0.85*$B$2/$D$2)*(1-SQRT(1-2*K449/(0.85*$B$2)))</f>
        <v>0.005188533353</v>
      </c>
      <c r="M449" s="13">
        <f>L449*(D449*1000)*J449</f>
        <v>533.19963</v>
      </c>
      <c r="N449" s="13">
        <f>MAX(0.25*SQRT($B$2)/$D$2,1.4/$D$2)*(D449*1000)*J449</f>
        <v>342.55</v>
      </c>
      <c r="O449" s="13">
        <f>MAX(M449,N449)</f>
        <v>533.19963</v>
      </c>
      <c r="P449" s="14">
        <f>ROUNDUP(O449/$J$2,0)</f>
        <v>3</v>
      </c>
      <c r="Q449" s="13">
        <f>P449*$J$2</f>
        <v>597</v>
      </c>
      <c r="R449" s="10">
        <f>Q449*$D$2/(0.85*$B$2*(D449*1000))</f>
        <v>35.11764706</v>
      </c>
      <c r="S449" s="10">
        <f>0.9*Q449*$D$2*(J449-R449/2)/1000000</f>
        <v>73.33945883</v>
      </c>
      <c r="T449" s="15" t="str">
        <f>IF(AND(S449&gt;=F449,O449&lt;=0.025*(D449*1000)*J449,O449&gt;=N449),"CUMPLE","REVISAR")</f>
        <v>CUMPLE</v>
      </c>
      <c r="U449" s="11">
        <f>G449*1000000/(0.9*(D449*1000)*J449^2)</f>
        <v>1.352821382</v>
      </c>
      <c r="V449" s="12">
        <f>(0.85*$B$2/$D$2)*(1-SQRT(1-2*U449/(0.85*$B$2)))</f>
        <v>0.00331815149</v>
      </c>
      <c r="W449" s="13">
        <f>V449*(D449*1000)*J449</f>
        <v>340.9898379</v>
      </c>
      <c r="X449" s="13">
        <f>MAX(W449,N449)</f>
        <v>342.55</v>
      </c>
      <c r="Y449" s="14">
        <f>ROUNDUP(X449/$J$2,0)</f>
        <v>2</v>
      </c>
      <c r="Z449" s="13">
        <f>Y449*$J$2</f>
        <v>398</v>
      </c>
      <c r="AA449" s="10">
        <f>0.9*Z449*$D$2*(J449-(Z449*$D$2/(0.85*$B$2*(D449*1000)))/2)/1000000</f>
        <v>49.77351244</v>
      </c>
      <c r="AB449" s="15" t="str">
        <f>IF(AA449&gt;=G449,"CUMPLE","REVISAR")</f>
        <v>CUMPLE</v>
      </c>
      <c r="AC449" s="10">
        <f>0.17*SQRT($B$2)*(D449*1000)*J449/1000</f>
        <v>92.44281538</v>
      </c>
      <c r="AD449" s="10">
        <f>MAX(H449/0.75-AC449,0)</f>
        <v>0</v>
      </c>
      <c r="AE449" s="14">
        <f>IF(AD449&gt;0,MIN($N$2*$D$2*J449/(AD449*1000),MIN(J449/4,6*$H$2,150)),MIN(J449/4,6*$H$2,150))</f>
        <v>85.6375</v>
      </c>
      <c r="AF449" s="10">
        <f>0.66*SQRT($B$2)*(D449*1000)*J449/1000</f>
        <v>358.8956362</v>
      </c>
      <c r="AG449" s="15" t="str">
        <f>IF(AD449&lt;=AF449,"CUMPLE","AUMENTAR SECCION")</f>
        <v>CUMPLE</v>
      </c>
      <c r="AH449" s="10">
        <f>0.75*0.083*SQRT($B$2)*(((D449*1000)*(E449*1000))^2/(2*((D449*1000)+(E449*1000))))/1000000</f>
        <v>3.388073536</v>
      </c>
      <c r="AI449" s="15" t="str">
        <f>IF(I449&gt;AH449,"SI","No")</f>
        <v>No</v>
      </c>
      <c r="AJ449" s="11">
        <f>IF(I449&gt;AH449,I449*1000000/(0.75*2*0.85*((D449*1000-2*$F$2)*(E449*1000-2*$F$2))*$D$2),0)</f>
        <v>0</v>
      </c>
      <c r="AK449" s="10">
        <f>1.25*Q449*$D$2*(J449-(1.25*Q449*$D$2/(0.85*$B$2*(D449*1000)))/2)/1000000</f>
        <v>100.4845159</v>
      </c>
      <c r="AL449" s="10">
        <f>1.25*Z449*$D$2*(J449-(1.25*Z449*$D$2/(0.85*$B$2*(D449*1000)))/2)/1000000</f>
        <v>68.51839235</v>
      </c>
      <c r="AM449" s="10">
        <f>(AK449+AL449)/B449</f>
        <v>43.33407904</v>
      </c>
      <c r="AN449" s="10">
        <f>MAX(H449,AM449)</f>
        <v>48.29</v>
      </c>
    </row>
    <row r="450">
      <c r="A450" s="5" t="inlineStr">
        <is>
          <t>F921</t>
        </is>
      </c>
      <c r="B450" s="6" t="n">
        <v>3.9</v>
      </c>
      <c r="C450" s="7" t="inlineStr">
        <is>
          <t>VC</t>
        </is>
      </c>
      <c r="D450" s="8">
        <f>IF(C450="VR",0.35,0.30)</f>
        <v>0.3</v>
      </c>
      <c r="E450" s="6" t="n">
        <v>0.4</v>
      </c>
      <c r="F450" s="9" t="n">
        <v>65.90000000000001</v>
      </c>
      <c r="G450" s="9" t="n">
        <v>42.9</v>
      </c>
      <c r="H450" s="9" t="n">
        <v>48.3</v>
      </c>
      <c r="I450" s="6" t="n">
        <v>0</v>
      </c>
      <c r="J450" s="10">
        <f>E450*1000-$F$2-$L$2-$H$2/2</f>
        <v>342.55</v>
      </c>
      <c r="K450" s="11">
        <f>F450*1000000/(0.9*(D450*1000)*J450^2)</f>
        <v>2.079102763</v>
      </c>
      <c r="L450" s="12">
        <f>(0.85*$B$2/$D$2)*(1-SQRT(1-2*K450/(0.85*$B$2)))</f>
        <v>0.005187706096</v>
      </c>
      <c r="M450" s="13">
        <f>L450*(D450*1000)*J450</f>
        <v>533.114617</v>
      </c>
      <c r="N450" s="13">
        <f>MAX(0.25*SQRT($B$2)/$D$2,1.4/$D$2)*(D450*1000)*J450</f>
        <v>342.55</v>
      </c>
      <c r="O450" s="13">
        <f>MAX(M450,N450)</f>
        <v>533.114617</v>
      </c>
      <c r="P450" s="14">
        <f>ROUNDUP(O450/$J$2,0)</f>
        <v>3</v>
      </c>
      <c r="Q450" s="13">
        <f>P450*$J$2</f>
        <v>597</v>
      </c>
      <c r="R450" s="10">
        <f>Q450*$D$2/(0.85*$B$2*(D450*1000))</f>
        <v>35.11764706</v>
      </c>
      <c r="S450" s="10">
        <f>0.9*Q450*$D$2*(J450-R450/2)/1000000</f>
        <v>73.33945883</v>
      </c>
      <c r="T450" s="15" t="str">
        <f>IF(AND(S450&gt;=F450,O450&lt;=0.025*(D450*1000)*J450,O450&gt;=N450),"CUMPLE","REVISAR")</f>
        <v>CUMPLE</v>
      </c>
      <c r="U450" s="11">
        <f>G450*1000000/(0.9*(D450*1000)*J450^2)</f>
        <v>1.352821382</v>
      </c>
      <c r="V450" s="12">
        <f>(0.85*$B$2/$D$2)*(1-SQRT(1-2*U450/(0.85*$B$2)))</f>
        <v>0.00331815149</v>
      </c>
      <c r="W450" s="13">
        <f>V450*(D450*1000)*J450</f>
        <v>340.9898379</v>
      </c>
      <c r="X450" s="13">
        <f>MAX(W450,N450)</f>
        <v>342.55</v>
      </c>
      <c r="Y450" s="14">
        <f>ROUNDUP(X450/$J$2,0)</f>
        <v>2</v>
      </c>
      <c r="Z450" s="13">
        <f>Y450*$J$2</f>
        <v>398</v>
      </c>
      <c r="AA450" s="10">
        <f>0.9*Z450*$D$2*(J450-(Z450*$D$2/(0.85*$B$2*(D450*1000)))/2)/1000000</f>
        <v>49.77351244</v>
      </c>
      <c r="AB450" s="15" t="str">
        <f>IF(AA450&gt;=G450,"CUMPLE","REVISAR")</f>
        <v>CUMPLE</v>
      </c>
      <c r="AC450" s="10">
        <f>0.17*SQRT($B$2)*(D450*1000)*J450/1000</f>
        <v>92.44281538</v>
      </c>
      <c r="AD450" s="10">
        <f>MAX(H450/0.75-AC450,0)</f>
        <v>0</v>
      </c>
      <c r="AE450" s="14">
        <f>IF(AD450&gt;0,MIN($N$2*$D$2*J450/(AD450*1000),MIN(J450/4,6*$H$2,150)),MIN(J450/4,6*$H$2,150))</f>
        <v>85.6375</v>
      </c>
      <c r="AF450" s="10">
        <f>0.66*SQRT($B$2)*(D450*1000)*J450/1000</f>
        <v>358.8956362</v>
      </c>
      <c r="AG450" s="15" t="str">
        <f>IF(AD450&lt;=AF450,"CUMPLE","AUMENTAR SECCION")</f>
        <v>CUMPLE</v>
      </c>
      <c r="AH450" s="10">
        <f>0.75*0.083*SQRT($B$2)*(((D450*1000)*(E450*1000))^2/(2*((D450*1000)+(E450*1000))))/1000000</f>
        <v>3.388073536</v>
      </c>
      <c r="AI450" s="15" t="str">
        <f>IF(I450&gt;AH450,"SI","No")</f>
        <v>No</v>
      </c>
      <c r="AJ450" s="11">
        <f>IF(I450&gt;AH450,I450*1000000/(0.75*2*0.85*((D450*1000-2*$F$2)*(E450*1000-2*$F$2))*$D$2),0)</f>
        <v>0</v>
      </c>
      <c r="AK450" s="10">
        <f>1.25*Q450*$D$2*(J450-(1.25*Q450*$D$2/(0.85*$B$2*(D450*1000)))/2)/1000000</f>
        <v>100.4845159</v>
      </c>
      <c r="AL450" s="10">
        <f>1.25*Z450*$D$2*(J450-(1.25*Z450*$D$2/(0.85*$B$2*(D450*1000)))/2)/1000000</f>
        <v>68.51839235</v>
      </c>
      <c r="AM450" s="10">
        <f>(AK450+AL450)/B450</f>
        <v>43.33407904</v>
      </c>
      <c r="AN450" s="10">
        <f>MAX(H450,AM450)</f>
        <v>48.29</v>
      </c>
    </row>
    <row r="451">
      <c r="A451" s="5" t="inlineStr">
        <is>
          <t>F922</t>
        </is>
      </c>
      <c r="B451" s="6" t="n">
        <v>3.85</v>
      </c>
      <c r="C451" s="7" t="inlineStr">
        <is>
          <t>VC</t>
        </is>
      </c>
      <c r="D451" s="8">
        <f>IF(C451="VR",0.35,0.30)</f>
        <v>0.3</v>
      </c>
      <c r="E451" s="6" t="n">
        <v>0.4</v>
      </c>
      <c r="F451" s="9" t="n">
        <v>58.2</v>
      </c>
      <c r="G451" s="9" t="n">
        <v>42.9</v>
      </c>
      <c r="H451" s="9" t="n">
        <v>38.8</v>
      </c>
      <c r="I451" s="6" t="n">
        <v>0</v>
      </c>
      <c r="J451" s="10">
        <f>E451*1000-$F$2-$L$2-$H$2/2</f>
        <v>342.55</v>
      </c>
      <c r="K451" s="11">
        <f>F451*1000000/(0.9*(D451*1000)*J451^2)</f>
        <v>1.837008969</v>
      </c>
      <c r="L451" s="12">
        <f>(0.85*$B$2/$D$2)*(1-SQRT(1-2*K451/(0.85*$B$2)))</f>
        <v>0.004557067953</v>
      </c>
      <c r="M451" s="13">
        <f>L451*(D451*1000)*J451</f>
        <v>468.3070882</v>
      </c>
      <c r="N451" s="13">
        <f>MAX(0.25*SQRT($B$2)/$D$2,1.4/$D$2)*(D451*1000)*J451</f>
        <v>342.55</v>
      </c>
      <c r="O451" s="13">
        <f>MAX(M451,N451)</f>
        <v>468.3070882</v>
      </c>
      <c r="P451" s="14">
        <f>ROUNDUP(O451/$J$2,0)</f>
        <v>3</v>
      </c>
      <c r="Q451" s="13">
        <f>P451*$J$2</f>
        <v>597</v>
      </c>
      <c r="R451" s="10">
        <f>Q451*$D$2/(0.85*$B$2*(D451*1000))</f>
        <v>35.11764706</v>
      </c>
      <c r="S451" s="10">
        <f>0.9*Q451*$D$2*(J451-R451/2)/1000000</f>
        <v>73.33945883</v>
      </c>
      <c r="T451" s="15" t="str">
        <f>IF(AND(S451&gt;=F451,O451&lt;=0.025*(D451*1000)*J451,O451&gt;=N451),"CUMPLE","REVISAR")</f>
        <v>CUMPLE</v>
      </c>
      <c r="U451" s="11">
        <f>G451*1000000/(0.9*(D451*1000)*J451^2)</f>
        <v>1.354399568</v>
      </c>
      <c r="V451" s="12">
        <f>(0.85*$B$2/$D$2)*(1-SQRT(1-2*U451/(0.85*$B$2)))</f>
        <v>0.003322142939</v>
      </c>
      <c r="W451" s="13">
        <f>V451*(D451*1000)*J451</f>
        <v>341.4000191</v>
      </c>
      <c r="X451" s="13">
        <f>MAX(W451,N451)</f>
        <v>342.55</v>
      </c>
      <c r="Y451" s="14">
        <f>ROUNDUP(X451/$J$2,0)</f>
        <v>2</v>
      </c>
      <c r="Z451" s="13">
        <f>Y451*$J$2</f>
        <v>398</v>
      </c>
      <c r="AA451" s="10">
        <f>0.9*Z451*$D$2*(J451-(Z451*$D$2/(0.85*$B$2*(D451*1000)))/2)/1000000</f>
        <v>49.77351244</v>
      </c>
      <c r="AB451" s="15" t="str">
        <f>IF(AA451&gt;=G451,"CUMPLE","REVISAR")</f>
        <v>CUMPLE</v>
      </c>
      <c r="AC451" s="10">
        <f>0.17*SQRT($B$2)*(D451*1000)*J451/1000</f>
        <v>92.44281538</v>
      </c>
      <c r="AD451" s="10">
        <f>MAX(H451/0.75-AC451,0)</f>
        <v>0</v>
      </c>
      <c r="AE451" s="14">
        <f>IF(AD451&gt;0,MIN($N$2*$D$2*J451/(AD451*1000),MIN(J451/4,6*$H$2,150)),MIN(J451/4,6*$H$2,150))</f>
        <v>85.6375</v>
      </c>
      <c r="AF451" s="10">
        <f>0.66*SQRT($B$2)*(D451*1000)*J451/1000</f>
        <v>358.8956362</v>
      </c>
      <c r="AG451" s="15" t="str">
        <f>IF(AD451&lt;=AF451,"CUMPLE","AUMENTAR SECCION")</f>
        <v>CUMPLE</v>
      </c>
      <c r="AH451" s="10">
        <f>0.75*0.083*SQRT($B$2)*(((D451*1000)*(E451*1000))^2/(2*((D451*1000)+(E451*1000))))/1000000</f>
        <v>3.388073536</v>
      </c>
      <c r="AI451" s="15" t="str">
        <f>IF(I451&gt;AH451,"SI","No")</f>
        <v>No</v>
      </c>
      <c r="AJ451" s="11">
        <f>IF(I451&gt;AH451,I451*1000000/(0.75*2*0.85*((D451*1000-2*$F$2)*(E451*1000-2*$F$2))*$D$2),0)</f>
        <v>0</v>
      </c>
      <c r="AK451" s="10">
        <f>1.25*Q451*$D$2*(J451-(1.25*Q451*$D$2/(0.85*$B$2*(D451*1000)))/2)/1000000</f>
        <v>100.4845159</v>
      </c>
      <c r="AL451" s="10">
        <f>1.25*Z451*$D$2*(J451-(1.25*Z451*$D$2/(0.85*$B$2*(D451*1000)))/2)/1000000</f>
        <v>68.51839235</v>
      </c>
      <c r="AM451" s="10">
        <f>(AK451+AL451)/B451</f>
        <v>43.89685929</v>
      </c>
      <c r="AN451" s="10">
        <f>MAX(H451,AM451)</f>
        <v>43.89685929</v>
      </c>
    </row>
    <row r="452">
      <c r="A452" s="5" t="inlineStr">
        <is>
          <t>F923</t>
        </is>
      </c>
      <c r="B452" s="6" t="n">
        <v>2.65</v>
      </c>
      <c r="C452" s="7" t="inlineStr">
        <is>
          <t>VC</t>
        </is>
      </c>
      <c r="D452" s="8">
        <f>IF(C452="VR",0.35,0.30)</f>
        <v>0.3</v>
      </c>
      <c r="E452" s="6" t="n">
        <v>0.4</v>
      </c>
      <c r="F452" s="9" t="n">
        <v>52.9</v>
      </c>
      <c r="G452" s="9" t="n">
        <v>40</v>
      </c>
      <c r="H452" s="9" t="n">
        <v>43.3</v>
      </c>
      <c r="I452" s="6" t="n">
        <v>0</v>
      </c>
      <c r="J452" s="10">
        <f>E452*1000-$F$2-$L$2-$H$2/2</f>
        <v>342.55</v>
      </c>
      <c r="K452" s="11">
        <f>F452*1000000/(0.9*(D452*1000)*J452^2)</f>
        <v>1.668143025</v>
      </c>
      <c r="L452" s="12">
        <f>(0.85*$B$2/$D$2)*(1-SQRT(1-2*K452/(0.85*$B$2)))</f>
        <v>0.004121664249</v>
      </c>
      <c r="M452" s="13">
        <f>L452*(D452*1000)*J452</f>
        <v>423.5628265</v>
      </c>
      <c r="N452" s="13">
        <f>MAX(0.25*SQRT($B$2)/$D$2,1.4/$D$2)*(D452*1000)*J452</f>
        <v>342.55</v>
      </c>
      <c r="O452" s="13">
        <f>MAX(M452,N452)</f>
        <v>423.5628265</v>
      </c>
      <c r="P452" s="14">
        <f>ROUNDUP(O452/$J$2,0)</f>
        <v>3</v>
      </c>
      <c r="Q452" s="13">
        <f>P452*$J$2</f>
        <v>597</v>
      </c>
      <c r="R452" s="10">
        <f>Q452*$D$2/(0.85*$B$2*(D452*1000))</f>
        <v>35.11764706</v>
      </c>
      <c r="S452" s="10">
        <f>0.9*Q452*$D$2*(J452-R452/2)/1000000</f>
        <v>73.33945883</v>
      </c>
      <c r="T452" s="15" t="str">
        <f>IF(AND(S452&gt;=F452,O452&lt;=0.025*(D452*1000)*J452,O452&gt;=N452),"CUMPLE","REVISAR")</f>
        <v>CUMPLE</v>
      </c>
      <c r="U452" s="11">
        <f>G452*1000000/(0.9*(D452*1000)*J452^2)</f>
        <v>1.262864757</v>
      </c>
      <c r="V452" s="12">
        <f>(0.85*$B$2/$D$2)*(1-SQRT(1-2*U452/(0.85*$B$2)))</f>
        <v>0.003091130445</v>
      </c>
      <c r="W452" s="13">
        <f>V452*(D452*1000)*J452</f>
        <v>317.6600202</v>
      </c>
      <c r="X452" s="13">
        <f>MAX(W452,N452)</f>
        <v>342.55</v>
      </c>
      <c r="Y452" s="14">
        <f>ROUNDUP(X452/$J$2,0)</f>
        <v>2</v>
      </c>
      <c r="Z452" s="13">
        <f>Y452*$J$2</f>
        <v>398</v>
      </c>
      <c r="AA452" s="10">
        <f>0.9*Z452*$D$2*(J452-(Z452*$D$2/(0.85*$B$2*(D452*1000)))/2)/1000000</f>
        <v>49.77351244</v>
      </c>
      <c r="AB452" s="15" t="str">
        <f>IF(AA452&gt;=G452,"CUMPLE","REVISAR")</f>
        <v>CUMPLE</v>
      </c>
      <c r="AC452" s="10">
        <f>0.17*SQRT($B$2)*(D452*1000)*J452/1000</f>
        <v>92.44281538</v>
      </c>
      <c r="AD452" s="10">
        <f>MAX(H452/0.75-AC452,0)</f>
        <v>0</v>
      </c>
      <c r="AE452" s="14">
        <f>IF(AD452&gt;0,MIN($N$2*$D$2*J452/(AD452*1000),MIN(J452/4,6*$H$2,150)),MIN(J452/4,6*$H$2,150))</f>
        <v>85.6375</v>
      </c>
      <c r="AF452" s="10">
        <f>0.66*SQRT($B$2)*(D452*1000)*J452/1000</f>
        <v>358.8956362</v>
      </c>
      <c r="AG452" s="15" t="str">
        <f>IF(AD452&lt;=AF452,"CUMPLE","AUMENTAR SECCION")</f>
        <v>CUMPLE</v>
      </c>
      <c r="AH452" s="10">
        <f>0.75*0.083*SQRT($B$2)*(((D452*1000)*(E452*1000))^2/(2*((D452*1000)+(E452*1000))))/1000000</f>
        <v>3.388073536</v>
      </c>
      <c r="AI452" s="15" t="str">
        <f>IF(I452&gt;AH452,"SI","No")</f>
        <v>No</v>
      </c>
      <c r="AJ452" s="11">
        <f>IF(I452&gt;AH452,I452*1000000/(0.75*2*0.85*((D452*1000-2*$F$2)*(E452*1000-2*$F$2))*$D$2),0)</f>
        <v>0</v>
      </c>
      <c r="AK452" s="10">
        <f>1.25*Q452*$D$2*(J452-(1.25*Q452*$D$2/(0.85*$B$2*(D452*1000)))/2)/1000000</f>
        <v>100.4845159</v>
      </c>
      <c r="AL452" s="10">
        <f>1.25*Z452*$D$2*(J452-(1.25*Z452*$D$2/(0.85*$B$2*(D452*1000)))/2)/1000000</f>
        <v>68.51839235</v>
      </c>
      <c r="AM452" s="10">
        <f>(AK452+AL452)/B452</f>
        <v>63.77468237</v>
      </c>
      <c r="AN452" s="10">
        <f>MAX(H452,AM452)</f>
        <v>63.77468237</v>
      </c>
    </row>
    <row r="453">
      <c r="A453" s="5" t="inlineStr">
        <is>
          <t>F924</t>
        </is>
      </c>
      <c r="B453" s="6" t="n">
        <v>5.1</v>
      </c>
      <c r="C453" s="7" t="inlineStr">
        <is>
          <t>VC</t>
        </is>
      </c>
      <c r="D453" s="8">
        <f>IF(C453="VR",0.35,0.30)</f>
        <v>0.3</v>
      </c>
      <c r="E453" s="6" t="n">
        <v>0.4</v>
      </c>
      <c r="F453" s="9" t="n">
        <v>62.5</v>
      </c>
      <c r="G453" s="9" t="n">
        <v>34.2</v>
      </c>
      <c r="H453" s="9" t="n">
        <v>36.2</v>
      </c>
      <c r="I453" s="6" t="n">
        <v>0</v>
      </c>
      <c r="J453" s="10">
        <f>E453*1000-$F$2-$L$2-$H$2/2</f>
        <v>342.55</v>
      </c>
      <c r="K453" s="11">
        <f>F453*1000000/(0.9*(D453*1000)*J453^2)</f>
        <v>1.973364274</v>
      </c>
      <c r="L453" s="12">
        <f>(0.85*$B$2/$D$2)*(1-SQRT(1-2*K453/(0.85*$B$2)))</f>
        <v>0.004911319218</v>
      </c>
      <c r="M453" s="13">
        <f>L453*(D453*1000)*J453</f>
        <v>504.7117195</v>
      </c>
      <c r="N453" s="13">
        <f>MAX(0.25*SQRT($B$2)/$D$2,1.4/$D$2)*(D453*1000)*J453</f>
        <v>342.55</v>
      </c>
      <c r="O453" s="13">
        <f>MAX(M453,N453)</f>
        <v>504.7117195</v>
      </c>
      <c r="P453" s="14">
        <f>ROUNDUP(O453/$J$2,0)</f>
        <v>3</v>
      </c>
      <c r="Q453" s="13">
        <f>P453*$J$2</f>
        <v>597</v>
      </c>
      <c r="R453" s="10">
        <f>Q453*$D$2/(0.85*$B$2*(D453*1000))</f>
        <v>35.11764706</v>
      </c>
      <c r="S453" s="10">
        <f>0.9*Q453*$D$2*(J453-R453/2)/1000000</f>
        <v>73.33945883</v>
      </c>
      <c r="T453" s="15" t="str">
        <f>IF(AND(S453&gt;=F453,O453&lt;=0.025*(D453*1000)*J453,O453&gt;=N453),"CUMPLE","REVISAR")</f>
        <v>CUMPLE</v>
      </c>
      <c r="U453" s="11">
        <f>G453*1000000/(0.9*(D453*1000)*J453^2)</f>
        <v>1.079479497</v>
      </c>
      <c r="V453" s="12">
        <f>(0.85*$B$2/$D$2)*(1-SQRT(1-2*U453/(0.85*$B$2)))</f>
        <v>0.00263128018</v>
      </c>
      <c r="W453" s="13">
        <f>V453*(D453*1000)*J453</f>
        <v>270.4035077</v>
      </c>
      <c r="X453" s="13">
        <f>MAX(W453,N453)</f>
        <v>342.55</v>
      </c>
      <c r="Y453" s="14">
        <f>ROUNDUP(X453/$J$2,0)</f>
        <v>2</v>
      </c>
      <c r="Z453" s="13">
        <f>Y453*$J$2</f>
        <v>398</v>
      </c>
      <c r="AA453" s="10">
        <f>0.9*Z453*$D$2*(J453-(Z453*$D$2/(0.85*$B$2*(D453*1000)))/2)/1000000</f>
        <v>49.77351244</v>
      </c>
      <c r="AB453" s="15" t="str">
        <f>IF(AA453&gt;=G453,"CUMPLE","REVISAR")</f>
        <v>CUMPLE</v>
      </c>
      <c r="AC453" s="10">
        <f>0.17*SQRT($B$2)*(D453*1000)*J453/1000</f>
        <v>92.44281538</v>
      </c>
      <c r="AD453" s="10">
        <f>MAX(H453/0.75-AC453,0)</f>
        <v>0</v>
      </c>
      <c r="AE453" s="14">
        <f>IF(AD453&gt;0,MIN($N$2*$D$2*J453/(AD453*1000),MIN(J453/4,6*$H$2,150)),MIN(J453/4,6*$H$2,150))</f>
        <v>85.6375</v>
      </c>
      <c r="AF453" s="10">
        <f>0.66*SQRT($B$2)*(D453*1000)*J453/1000</f>
        <v>358.8956362</v>
      </c>
      <c r="AG453" s="15" t="str">
        <f>IF(AD453&lt;=AF453,"CUMPLE","AUMENTAR SECCION")</f>
        <v>CUMPLE</v>
      </c>
      <c r="AH453" s="10">
        <f>0.75*0.083*SQRT($B$2)*(((D453*1000)*(E453*1000))^2/(2*((D453*1000)+(E453*1000))))/1000000</f>
        <v>3.388073536</v>
      </c>
      <c r="AI453" s="15" t="str">
        <f>IF(I453&gt;AH453,"SI","No")</f>
        <v>No</v>
      </c>
      <c r="AJ453" s="11">
        <f>IF(I453&gt;AH453,I453*1000000/(0.75*2*0.85*((D453*1000-2*$F$2)*(E453*1000-2*$F$2))*$D$2),0)</f>
        <v>0</v>
      </c>
      <c r="AK453" s="10">
        <f>1.25*Q453*$D$2*(J453-(1.25*Q453*$D$2/(0.85*$B$2*(D453*1000)))/2)/1000000</f>
        <v>100.4845159</v>
      </c>
      <c r="AL453" s="10">
        <f>1.25*Z453*$D$2*(J453-(1.25*Z453*$D$2/(0.85*$B$2*(D453*1000)))/2)/1000000</f>
        <v>68.51839235</v>
      </c>
      <c r="AM453" s="10">
        <f>(AK453+AL453)/B453</f>
        <v>33.13782515</v>
      </c>
      <c r="AN453" s="10">
        <f>MAX(H453,AM453)</f>
        <v>36.19</v>
      </c>
    </row>
    <row r="454">
      <c r="A454" s="5" t="inlineStr">
        <is>
          <t>F925</t>
        </is>
      </c>
      <c r="B454" s="6" t="n">
        <v>5.1</v>
      </c>
      <c r="C454" s="7" t="inlineStr">
        <is>
          <t>VC</t>
        </is>
      </c>
      <c r="D454" s="8">
        <f>IF(C454="VR",0.35,0.30)</f>
        <v>0.3</v>
      </c>
      <c r="E454" s="6" t="n">
        <v>0.4</v>
      </c>
      <c r="F454" s="9" t="n">
        <v>62.5</v>
      </c>
      <c r="G454" s="9" t="n">
        <v>34.2</v>
      </c>
      <c r="H454" s="9" t="n">
        <v>36.2</v>
      </c>
      <c r="I454" s="6" t="n">
        <v>0</v>
      </c>
      <c r="J454" s="10">
        <f>E454*1000-$F$2-$L$2-$H$2/2</f>
        <v>342.55</v>
      </c>
      <c r="K454" s="11">
        <f>F454*1000000/(0.9*(D454*1000)*J454^2)</f>
        <v>1.973364274</v>
      </c>
      <c r="L454" s="12">
        <f>(0.85*$B$2/$D$2)*(1-SQRT(1-2*K454/(0.85*$B$2)))</f>
        <v>0.004911319218</v>
      </c>
      <c r="M454" s="13">
        <f>L454*(D454*1000)*J454</f>
        <v>504.7117195</v>
      </c>
      <c r="N454" s="13">
        <f>MAX(0.25*SQRT($B$2)/$D$2,1.4/$D$2)*(D454*1000)*J454</f>
        <v>342.55</v>
      </c>
      <c r="O454" s="13">
        <f>MAX(M454,N454)</f>
        <v>504.7117195</v>
      </c>
      <c r="P454" s="14">
        <f>ROUNDUP(O454/$J$2,0)</f>
        <v>3</v>
      </c>
      <c r="Q454" s="13">
        <f>P454*$J$2</f>
        <v>597</v>
      </c>
      <c r="R454" s="10">
        <f>Q454*$D$2/(0.85*$B$2*(D454*1000))</f>
        <v>35.11764706</v>
      </c>
      <c r="S454" s="10">
        <f>0.9*Q454*$D$2*(J454-R454/2)/1000000</f>
        <v>73.33945883</v>
      </c>
      <c r="T454" s="15" t="str">
        <f>IF(AND(S454&gt;=F454,O454&lt;=0.025*(D454*1000)*J454,O454&gt;=N454),"CUMPLE","REVISAR")</f>
        <v>CUMPLE</v>
      </c>
      <c r="U454" s="11">
        <f>G454*1000000/(0.9*(D454*1000)*J454^2)</f>
        <v>1.079479497</v>
      </c>
      <c r="V454" s="12">
        <f>(0.85*$B$2/$D$2)*(1-SQRT(1-2*U454/(0.85*$B$2)))</f>
        <v>0.00263128018</v>
      </c>
      <c r="W454" s="13">
        <f>V454*(D454*1000)*J454</f>
        <v>270.4035077</v>
      </c>
      <c r="X454" s="13">
        <f>MAX(W454,N454)</f>
        <v>342.55</v>
      </c>
      <c r="Y454" s="14">
        <f>ROUNDUP(X454/$J$2,0)</f>
        <v>2</v>
      </c>
      <c r="Z454" s="13">
        <f>Y454*$J$2</f>
        <v>398</v>
      </c>
      <c r="AA454" s="10">
        <f>0.9*Z454*$D$2*(J454-(Z454*$D$2/(0.85*$B$2*(D454*1000)))/2)/1000000</f>
        <v>49.77351244</v>
      </c>
      <c r="AB454" s="15" t="str">
        <f>IF(AA454&gt;=G454,"CUMPLE","REVISAR")</f>
        <v>CUMPLE</v>
      </c>
      <c r="AC454" s="10">
        <f>0.17*SQRT($B$2)*(D454*1000)*J454/1000</f>
        <v>92.44281538</v>
      </c>
      <c r="AD454" s="10">
        <f>MAX(H454/0.75-AC454,0)</f>
        <v>0</v>
      </c>
      <c r="AE454" s="14">
        <f>IF(AD454&gt;0,MIN($N$2*$D$2*J454/(AD454*1000),MIN(J454/4,6*$H$2,150)),MIN(J454/4,6*$H$2,150))</f>
        <v>85.6375</v>
      </c>
      <c r="AF454" s="10">
        <f>0.66*SQRT($B$2)*(D454*1000)*J454/1000</f>
        <v>358.8956362</v>
      </c>
      <c r="AG454" s="15" t="str">
        <f>IF(AD454&lt;=AF454,"CUMPLE","AUMENTAR SECCION")</f>
        <v>CUMPLE</v>
      </c>
      <c r="AH454" s="10">
        <f>0.75*0.083*SQRT($B$2)*(((D454*1000)*(E454*1000))^2/(2*((D454*1000)+(E454*1000))))/1000000</f>
        <v>3.388073536</v>
      </c>
      <c r="AI454" s="15" t="str">
        <f>IF(I454&gt;AH454,"SI","No")</f>
        <v>No</v>
      </c>
      <c r="AJ454" s="11">
        <f>IF(I454&gt;AH454,I454*1000000/(0.75*2*0.85*((D454*1000-2*$F$2)*(E454*1000-2*$F$2))*$D$2),0)</f>
        <v>0</v>
      </c>
      <c r="AK454" s="10">
        <f>1.25*Q454*$D$2*(J454-(1.25*Q454*$D$2/(0.85*$B$2*(D454*1000)))/2)/1000000</f>
        <v>100.4845159</v>
      </c>
      <c r="AL454" s="10">
        <f>1.25*Z454*$D$2*(J454-(1.25*Z454*$D$2/(0.85*$B$2*(D454*1000)))/2)/1000000</f>
        <v>68.51839235</v>
      </c>
      <c r="AM454" s="10">
        <f>(AK454+AL454)/B454</f>
        <v>33.13782515</v>
      </c>
      <c r="AN454" s="10">
        <f>MAX(H454,AM454)</f>
        <v>36.19</v>
      </c>
    </row>
    <row r="455">
      <c r="A455" s="5" t="inlineStr">
        <is>
          <t>F926</t>
        </is>
      </c>
      <c r="B455" s="6" t="n">
        <v>2.65</v>
      </c>
      <c r="C455" s="7" t="inlineStr">
        <is>
          <t>VC</t>
        </is>
      </c>
      <c r="D455" s="8">
        <f>IF(C455="VR",0.35,0.30)</f>
        <v>0.3</v>
      </c>
      <c r="E455" s="6" t="n">
        <v>0.4</v>
      </c>
      <c r="F455" s="9" t="n">
        <v>52.9</v>
      </c>
      <c r="G455" s="9" t="n">
        <v>40</v>
      </c>
      <c r="H455" s="9" t="n">
        <v>43.3</v>
      </c>
      <c r="I455" s="6" t="n">
        <v>0</v>
      </c>
      <c r="J455" s="10">
        <f>E455*1000-$F$2-$L$2-$H$2/2</f>
        <v>342.55</v>
      </c>
      <c r="K455" s="11">
        <f>F455*1000000/(0.9*(D455*1000)*J455^2)</f>
        <v>1.668143025</v>
      </c>
      <c r="L455" s="12">
        <f>(0.85*$B$2/$D$2)*(1-SQRT(1-2*K455/(0.85*$B$2)))</f>
        <v>0.004121664249</v>
      </c>
      <c r="M455" s="13">
        <f>L455*(D455*1000)*J455</f>
        <v>423.5628265</v>
      </c>
      <c r="N455" s="13">
        <f>MAX(0.25*SQRT($B$2)/$D$2,1.4/$D$2)*(D455*1000)*J455</f>
        <v>342.55</v>
      </c>
      <c r="O455" s="13">
        <f>MAX(M455,N455)</f>
        <v>423.5628265</v>
      </c>
      <c r="P455" s="14">
        <f>ROUNDUP(O455/$J$2,0)</f>
        <v>3</v>
      </c>
      <c r="Q455" s="13">
        <f>P455*$J$2</f>
        <v>597</v>
      </c>
      <c r="R455" s="10">
        <f>Q455*$D$2/(0.85*$B$2*(D455*1000))</f>
        <v>35.11764706</v>
      </c>
      <c r="S455" s="10">
        <f>0.9*Q455*$D$2*(J455-R455/2)/1000000</f>
        <v>73.33945883</v>
      </c>
      <c r="T455" s="15" t="str">
        <f>IF(AND(S455&gt;=F455,O455&lt;=0.025*(D455*1000)*J455,O455&gt;=N455),"CUMPLE","REVISAR")</f>
        <v>CUMPLE</v>
      </c>
      <c r="U455" s="11">
        <f>G455*1000000/(0.9*(D455*1000)*J455^2)</f>
        <v>1.262864757</v>
      </c>
      <c r="V455" s="12">
        <f>(0.85*$B$2/$D$2)*(1-SQRT(1-2*U455/(0.85*$B$2)))</f>
        <v>0.003091130445</v>
      </c>
      <c r="W455" s="13">
        <f>V455*(D455*1000)*J455</f>
        <v>317.6600202</v>
      </c>
      <c r="X455" s="13">
        <f>MAX(W455,N455)</f>
        <v>342.55</v>
      </c>
      <c r="Y455" s="14">
        <f>ROUNDUP(X455/$J$2,0)</f>
        <v>2</v>
      </c>
      <c r="Z455" s="13">
        <f>Y455*$J$2</f>
        <v>398</v>
      </c>
      <c r="AA455" s="10">
        <f>0.9*Z455*$D$2*(J455-(Z455*$D$2/(0.85*$B$2*(D455*1000)))/2)/1000000</f>
        <v>49.77351244</v>
      </c>
      <c r="AB455" s="15" t="str">
        <f>IF(AA455&gt;=G455,"CUMPLE","REVISAR")</f>
        <v>CUMPLE</v>
      </c>
      <c r="AC455" s="10">
        <f>0.17*SQRT($B$2)*(D455*1000)*J455/1000</f>
        <v>92.44281538</v>
      </c>
      <c r="AD455" s="10">
        <f>MAX(H455/0.75-AC455,0)</f>
        <v>0</v>
      </c>
      <c r="AE455" s="14">
        <f>IF(AD455&gt;0,MIN($N$2*$D$2*J455/(AD455*1000),MIN(J455/4,6*$H$2,150)),MIN(J455/4,6*$H$2,150))</f>
        <v>85.6375</v>
      </c>
      <c r="AF455" s="10">
        <f>0.66*SQRT($B$2)*(D455*1000)*J455/1000</f>
        <v>358.8956362</v>
      </c>
      <c r="AG455" s="15" t="str">
        <f>IF(AD455&lt;=AF455,"CUMPLE","AUMENTAR SECCION")</f>
        <v>CUMPLE</v>
      </c>
      <c r="AH455" s="10">
        <f>0.75*0.083*SQRT($B$2)*(((D455*1000)*(E455*1000))^2/(2*((D455*1000)+(E455*1000))))/1000000</f>
        <v>3.388073536</v>
      </c>
      <c r="AI455" s="15" t="str">
        <f>IF(I455&gt;AH455,"SI","No")</f>
        <v>No</v>
      </c>
      <c r="AJ455" s="11">
        <f>IF(I455&gt;AH455,I455*1000000/(0.75*2*0.85*((D455*1000-2*$F$2)*(E455*1000-2*$F$2))*$D$2),0)</f>
        <v>0</v>
      </c>
      <c r="AK455" s="10">
        <f>1.25*Q455*$D$2*(J455-(1.25*Q455*$D$2/(0.85*$B$2*(D455*1000)))/2)/1000000</f>
        <v>100.4845159</v>
      </c>
      <c r="AL455" s="10">
        <f>1.25*Z455*$D$2*(J455-(1.25*Z455*$D$2/(0.85*$B$2*(D455*1000)))/2)/1000000</f>
        <v>68.51839235</v>
      </c>
      <c r="AM455" s="10">
        <f>(AK455+AL455)/B455</f>
        <v>63.77468237</v>
      </c>
      <c r="AN455" s="10">
        <f>MAX(H455,AM455)</f>
        <v>63.77468237</v>
      </c>
    </row>
    <row r="456">
      <c r="A456" s="5" t="inlineStr">
        <is>
          <t>F927</t>
        </is>
      </c>
      <c r="B456" s="6" t="n">
        <v>2.65</v>
      </c>
      <c r="C456" s="7" t="inlineStr">
        <is>
          <t>VC</t>
        </is>
      </c>
      <c r="D456" s="8">
        <f>IF(C456="VR",0.35,0.30)</f>
        <v>0.3</v>
      </c>
      <c r="E456" s="6" t="n">
        <v>0.4</v>
      </c>
      <c r="F456" s="9" t="n">
        <v>53.2</v>
      </c>
      <c r="G456" s="9" t="n">
        <v>39.8</v>
      </c>
      <c r="H456" s="9" t="n">
        <v>43.5</v>
      </c>
      <c r="I456" s="6" t="n">
        <v>0</v>
      </c>
      <c r="J456" s="10">
        <f>E456*1000-$F$2-$L$2-$H$2/2</f>
        <v>342.55</v>
      </c>
      <c r="K456" s="11">
        <f>F456*1000000/(0.9*(D456*1000)*J456^2)</f>
        <v>1.679505967</v>
      </c>
      <c r="L456" s="12">
        <f>(0.85*$B$2/$D$2)*(1-SQRT(1-2*K456/(0.85*$B$2)))</f>
        <v>0.00415084916</v>
      </c>
      <c r="M456" s="13">
        <f>L456*(D456*1000)*J456</f>
        <v>426.5620139</v>
      </c>
      <c r="N456" s="13">
        <f>MAX(0.25*SQRT($B$2)/$D$2,1.4/$D$2)*(D456*1000)*J456</f>
        <v>342.55</v>
      </c>
      <c r="O456" s="13">
        <f>MAX(M456,N456)</f>
        <v>426.5620139</v>
      </c>
      <c r="P456" s="14">
        <f>ROUNDUP(O456/$J$2,0)</f>
        <v>3</v>
      </c>
      <c r="Q456" s="13">
        <f>P456*$J$2</f>
        <v>597</v>
      </c>
      <c r="R456" s="10">
        <f>Q456*$D$2/(0.85*$B$2*(D456*1000))</f>
        <v>35.11764706</v>
      </c>
      <c r="S456" s="10">
        <f>0.9*Q456*$D$2*(J456-R456/2)/1000000</f>
        <v>73.33945883</v>
      </c>
      <c r="T456" s="15" t="str">
        <f>IF(AND(S456&gt;=F456,O456&lt;=0.025*(D456*1000)*J456,O456&gt;=N456),"CUMPLE","REVISAR")</f>
        <v>CUMPLE</v>
      </c>
      <c r="U456" s="11">
        <f>G456*1000000/(0.9*(D456*1000)*J456^2)</f>
        <v>1.257183286</v>
      </c>
      <c r="V456" s="12">
        <f>(0.85*$B$2/$D$2)*(1-SQRT(1-2*U456/(0.85*$B$2)))</f>
        <v>0.003076824562</v>
      </c>
      <c r="W456" s="13">
        <f>V456*(D456*1000)*J456</f>
        <v>316.1898761</v>
      </c>
      <c r="X456" s="13">
        <f>MAX(W456,N456)</f>
        <v>342.55</v>
      </c>
      <c r="Y456" s="14">
        <f>ROUNDUP(X456/$J$2,0)</f>
        <v>2</v>
      </c>
      <c r="Z456" s="13">
        <f>Y456*$J$2</f>
        <v>398</v>
      </c>
      <c r="AA456" s="10">
        <f>0.9*Z456*$D$2*(J456-(Z456*$D$2/(0.85*$B$2*(D456*1000)))/2)/1000000</f>
        <v>49.77351244</v>
      </c>
      <c r="AB456" s="15" t="str">
        <f>IF(AA456&gt;=G456,"CUMPLE","REVISAR")</f>
        <v>CUMPLE</v>
      </c>
      <c r="AC456" s="10">
        <f>0.17*SQRT($B$2)*(D456*1000)*J456/1000</f>
        <v>92.44281538</v>
      </c>
      <c r="AD456" s="10">
        <f>MAX(H456/0.75-AC456,0)</f>
        <v>0</v>
      </c>
      <c r="AE456" s="14">
        <f>IF(AD456&gt;0,MIN($N$2*$D$2*J456/(AD456*1000),MIN(J456/4,6*$H$2,150)),MIN(J456/4,6*$H$2,150))</f>
        <v>85.6375</v>
      </c>
      <c r="AF456" s="10">
        <f>0.66*SQRT($B$2)*(D456*1000)*J456/1000</f>
        <v>358.8956362</v>
      </c>
      <c r="AG456" s="15" t="str">
        <f>IF(AD456&lt;=AF456,"CUMPLE","AUMENTAR SECCION")</f>
        <v>CUMPLE</v>
      </c>
      <c r="AH456" s="10">
        <f>0.75*0.083*SQRT($B$2)*(((D456*1000)*(E456*1000))^2/(2*((D456*1000)+(E456*1000))))/1000000</f>
        <v>3.388073536</v>
      </c>
      <c r="AI456" s="15" t="str">
        <f>IF(I456&gt;AH456,"SI","No")</f>
        <v>No</v>
      </c>
      <c r="AJ456" s="11">
        <f>IF(I456&gt;AH456,I456*1000000/(0.75*2*0.85*((D456*1000-2*$F$2)*(E456*1000-2*$F$2))*$D$2),0)</f>
        <v>0</v>
      </c>
      <c r="AK456" s="10">
        <f>1.25*Q456*$D$2*(J456-(1.25*Q456*$D$2/(0.85*$B$2*(D456*1000)))/2)/1000000</f>
        <v>100.4845159</v>
      </c>
      <c r="AL456" s="10">
        <f>1.25*Z456*$D$2*(J456-(1.25*Z456*$D$2/(0.85*$B$2*(D456*1000)))/2)/1000000</f>
        <v>68.51839235</v>
      </c>
      <c r="AM456" s="10">
        <f>(AK456+AL456)/B456</f>
        <v>63.77468237</v>
      </c>
      <c r="AN456" s="10">
        <f>MAX(H456,AM456)</f>
        <v>63.77468237</v>
      </c>
    </row>
    <row r="457">
      <c r="A457" s="5" t="inlineStr">
        <is>
          <t>F928</t>
        </is>
      </c>
      <c r="B457" s="6" t="n">
        <v>5.1</v>
      </c>
      <c r="C457" s="7" t="inlineStr">
        <is>
          <t>VC</t>
        </is>
      </c>
      <c r="D457" s="8">
        <f>IF(C457="VR",0.35,0.30)</f>
        <v>0.3</v>
      </c>
      <c r="E457" s="6" t="n">
        <v>0.4</v>
      </c>
      <c r="F457" s="9" t="n">
        <v>62.8</v>
      </c>
      <c r="G457" s="9" t="n">
        <v>34.4</v>
      </c>
      <c r="H457" s="9" t="n">
        <v>36.3</v>
      </c>
      <c r="I457" s="6" t="n">
        <v>0</v>
      </c>
      <c r="J457" s="10">
        <f>E457*1000-$F$2-$L$2-$H$2/2</f>
        <v>342.55</v>
      </c>
      <c r="K457" s="11">
        <f>F457*1000000/(0.9*(D457*1000)*J457^2)</f>
        <v>1.981570844</v>
      </c>
      <c r="L457" s="12">
        <f>(0.85*$B$2/$D$2)*(1-SQRT(1-2*K457/(0.85*$B$2)))</f>
        <v>0.004932717287</v>
      </c>
      <c r="M457" s="13">
        <f>L457*(D457*1000)*J457</f>
        <v>506.910692</v>
      </c>
      <c r="N457" s="13">
        <f>MAX(0.25*SQRT($B$2)/$D$2,1.4/$D$2)*(D457*1000)*J457</f>
        <v>342.55</v>
      </c>
      <c r="O457" s="13">
        <f>MAX(M457,N457)</f>
        <v>506.910692</v>
      </c>
      <c r="P457" s="14">
        <f>ROUNDUP(O457/$J$2,0)</f>
        <v>3</v>
      </c>
      <c r="Q457" s="13">
        <f>P457*$J$2</f>
        <v>597</v>
      </c>
      <c r="R457" s="10">
        <f>Q457*$D$2/(0.85*$B$2*(D457*1000))</f>
        <v>35.11764706</v>
      </c>
      <c r="S457" s="10">
        <f>0.9*Q457*$D$2*(J457-R457/2)/1000000</f>
        <v>73.33945883</v>
      </c>
      <c r="T457" s="15" t="str">
        <f>IF(AND(S457&gt;=F457,O457&lt;=0.025*(D457*1000)*J457,O457&gt;=N457),"CUMPLE","REVISAR")</f>
        <v>CUMPLE</v>
      </c>
      <c r="U457" s="11">
        <f>G457*1000000/(0.9*(D457*1000)*J457^2)</f>
        <v>1.084529694</v>
      </c>
      <c r="V457" s="12">
        <f>(0.85*$B$2/$D$2)*(1-SQRT(1-2*U457/(0.85*$B$2)))</f>
        <v>0.002643891457</v>
      </c>
      <c r="W457" s="13">
        <f>V457*(D457*1000)*J457</f>
        <v>271.6995056</v>
      </c>
      <c r="X457" s="13">
        <f>MAX(W457,N457)</f>
        <v>342.55</v>
      </c>
      <c r="Y457" s="14">
        <f>ROUNDUP(X457/$J$2,0)</f>
        <v>2</v>
      </c>
      <c r="Z457" s="13">
        <f>Y457*$J$2</f>
        <v>398</v>
      </c>
      <c r="AA457" s="10">
        <f>0.9*Z457*$D$2*(J457-(Z457*$D$2/(0.85*$B$2*(D457*1000)))/2)/1000000</f>
        <v>49.77351244</v>
      </c>
      <c r="AB457" s="15" t="str">
        <f>IF(AA457&gt;=G457,"CUMPLE","REVISAR")</f>
        <v>CUMPLE</v>
      </c>
      <c r="AC457" s="10">
        <f>0.17*SQRT($B$2)*(D457*1000)*J457/1000</f>
        <v>92.44281538</v>
      </c>
      <c r="AD457" s="10">
        <f>MAX(H457/0.75-AC457,0)</f>
        <v>0</v>
      </c>
      <c r="AE457" s="14">
        <f>IF(AD457&gt;0,MIN($N$2*$D$2*J457/(AD457*1000),MIN(J457/4,6*$H$2,150)),MIN(J457/4,6*$H$2,150))</f>
        <v>85.6375</v>
      </c>
      <c r="AF457" s="10">
        <f>0.66*SQRT($B$2)*(D457*1000)*J457/1000</f>
        <v>358.8956362</v>
      </c>
      <c r="AG457" s="15" t="str">
        <f>IF(AD457&lt;=AF457,"CUMPLE","AUMENTAR SECCION")</f>
        <v>CUMPLE</v>
      </c>
      <c r="AH457" s="10">
        <f>0.75*0.083*SQRT($B$2)*(((D457*1000)*(E457*1000))^2/(2*((D457*1000)+(E457*1000))))/1000000</f>
        <v>3.388073536</v>
      </c>
      <c r="AI457" s="15" t="str">
        <f>IF(I457&gt;AH457,"SI","No")</f>
        <v>No</v>
      </c>
      <c r="AJ457" s="11">
        <f>IF(I457&gt;AH457,I457*1000000/(0.75*2*0.85*((D457*1000-2*$F$2)*(E457*1000-2*$F$2))*$D$2),0)</f>
        <v>0</v>
      </c>
      <c r="AK457" s="10">
        <f>1.25*Q457*$D$2*(J457-(1.25*Q457*$D$2/(0.85*$B$2*(D457*1000)))/2)/1000000</f>
        <v>100.4845159</v>
      </c>
      <c r="AL457" s="10">
        <f>1.25*Z457*$D$2*(J457-(1.25*Z457*$D$2/(0.85*$B$2*(D457*1000)))/2)/1000000</f>
        <v>68.51839235</v>
      </c>
      <c r="AM457" s="10">
        <f>(AK457+AL457)/B457</f>
        <v>33.13782515</v>
      </c>
      <c r="AN457" s="10">
        <f>MAX(H457,AM457)</f>
        <v>36.29</v>
      </c>
    </row>
    <row r="458">
      <c r="A458" s="5" t="inlineStr">
        <is>
          <t>F929</t>
        </is>
      </c>
      <c r="B458" s="6" t="n">
        <v>5.1</v>
      </c>
      <c r="C458" s="7" t="inlineStr">
        <is>
          <t>VC</t>
        </is>
      </c>
      <c r="D458" s="8">
        <f>IF(C458="VR",0.35,0.30)</f>
        <v>0.3</v>
      </c>
      <c r="E458" s="6" t="n">
        <v>0.4</v>
      </c>
      <c r="F458" s="9" t="n">
        <v>62.8</v>
      </c>
      <c r="G458" s="9" t="n">
        <v>34.4</v>
      </c>
      <c r="H458" s="9" t="n">
        <v>36.3</v>
      </c>
      <c r="I458" s="6" t="n">
        <v>0</v>
      </c>
      <c r="J458" s="10">
        <f>E458*1000-$F$2-$L$2-$H$2/2</f>
        <v>342.55</v>
      </c>
      <c r="K458" s="11">
        <f>F458*1000000/(0.9*(D458*1000)*J458^2)</f>
        <v>1.981570844</v>
      </c>
      <c r="L458" s="12">
        <f>(0.85*$B$2/$D$2)*(1-SQRT(1-2*K458/(0.85*$B$2)))</f>
        <v>0.004932717287</v>
      </c>
      <c r="M458" s="13">
        <f>L458*(D458*1000)*J458</f>
        <v>506.910692</v>
      </c>
      <c r="N458" s="13">
        <f>MAX(0.25*SQRT($B$2)/$D$2,1.4/$D$2)*(D458*1000)*J458</f>
        <v>342.55</v>
      </c>
      <c r="O458" s="13">
        <f>MAX(M458,N458)</f>
        <v>506.910692</v>
      </c>
      <c r="P458" s="14">
        <f>ROUNDUP(O458/$J$2,0)</f>
        <v>3</v>
      </c>
      <c r="Q458" s="13">
        <f>P458*$J$2</f>
        <v>597</v>
      </c>
      <c r="R458" s="10">
        <f>Q458*$D$2/(0.85*$B$2*(D458*1000))</f>
        <v>35.11764706</v>
      </c>
      <c r="S458" s="10">
        <f>0.9*Q458*$D$2*(J458-R458/2)/1000000</f>
        <v>73.33945883</v>
      </c>
      <c r="T458" s="15" t="str">
        <f>IF(AND(S458&gt;=F458,O458&lt;=0.025*(D458*1000)*J458,O458&gt;=N458),"CUMPLE","REVISAR")</f>
        <v>CUMPLE</v>
      </c>
      <c r="U458" s="11">
        <f>G458*1000000/(0.9*(D458*1000)*J458^2)</f>
        <v>1.084529694</v>
      </c>
      <c r="V458" s="12">
        <f>(0.85*$B$2/$D$2)*(1-SQRT(1-2*U458/(0.85*$B$2)))</f>
        <v>0.002643891457</v>
      </c>
      <c r="W458" s="13">
        <f>V458*(D458*1000)*J458</f>
        <v>271.6995056</v>
      </c>
      <c r="X458" s="13">
        <f>MAX(W458,N458)</f>
        <v>342.55</v>
      </c>
      <c r="Y458" s="14">
        <f>ROUNDUP(X458/$J$2,0)</f>
        <v>2</v>
      </c>
      <c r="Z458" s="13">
        <f>Y458*$J$2</f>
        <v>398</v>
      </c>
      <c r="AA458" s="10">
        <f>0.9*Z458*$D$2*(J458-(Z458*$D$2/(0.85*$B$2*(D458*1000)))/2)/1000000</f>
        <v>49.77351244</v>
      </c>
      <c r="AB458" s="15" t="str">
        <f>IF(AA458&gt;=G458,"CUMPLE","REVISAR")</f>
        <v>CUMPLE</v>
      </c>
      <c r="AC458" s="10">
        <f>0.17*SQRT($B$2)*(D458*1000)*J458/1000</f>
        <v>92.44281538</v>
      </c>
      <c r="AD458" s="10">
        <f>MAX(H458/0.75-AC458,0)</f>
        <v>0</v>
      </c>
      <c r="AE458" s="14">
        <f>IF(AD458&gt;0,MIN($N$2*$D$2*J458/(AD458*1000),MIN(J458/4,6*$H$2,150)),MIN(J458/4,6*$H$2,150))</f>
        <v>85.6375</v>
      </c>
      <c r="AF458" s="10">
        <f>0.66*SQRT($B$2)*(D458*1000)*J458/1000</f>
        <v>358.8956362</v>
      </c>
      <c r="AG458" s="15" t="str">
        <f>IF(AD458&lt;=AF458,"CUMPLE","AUMENTAR SECCION")</f>
        <v>CUMPLE</v>
      </c>
      <c r="AH458" s="10">
        <f>0.75*0.083*SQRT($B$2)*(((D458*1000)*(E458*1000))^2/(2*((D458*1000)+(E458*1000))))/1000000</f>
        <v>3.388073536</v>
      </c>
      <c r="AI458" s="15" t="str">
        <f>IF(I458&gt;AH458,"SI","No")</f>
        <v>No</v>
      </c>
      <c r="AJ458" s="11">
        <f>IF(I458&gt;AH458,I458*1000000/(0.75*2*0.85*((D458*1000-2*$F$2)*(E458*1000-2*$F$2))*$D$2),0)</f>
        <v>0</v>
      </c>
      <c r="AK458" s="10">
        <f>1.25*Q458*$D$2*(J458-(1.25*Q458*$D$2/(0.85*$B$2*(D458*1000)))/2)/1000000</f>
        <v>100.4845159</v>
      </c>
      <c r="AL458" s="10">
        <f>1.25*Z458*$D$2*(J458-(1.25*Z458*$D$2/(0.85*$B$2*(D458*1000)))/2)/1000000</f>
        <v>68.51839235</v>
      </c>
      <c r="AM458" s="10">
        <f>(AK458+AL458)/B458</f>
        <v>33.13782515</v>
      </c>
      <c r="AN458" s="10">
        <f>MAX(H458,AM458)</f>
        <v>36.29</v>
      </c>
    </row>
    <row r="459">
      <c r="A459" s="5" t="inlineStr">
        <is>
          <t>F930</t>
        </is>
      </c>
      <c r="B459" s="6" t="n">
        <v>2.65</v>
      </c>
      <c r="C459" s="7" t="inlineStr">
        <is>
          <t>VC</t>
        </is>
      </c>
      <c r="D459" s="8">
        <f>IF(C459="VR",0.35,0.30)</f>
        <v>0.3</v>
      </c>
      <c r="E459" s="6" t="n">
        <v>0.4</v>
      </c>
      <c r="F459" s="9" t="n">
        <v>53.2</v>
      </c>
      <c r="G459" s="9" t="n">
        <v>39.8</v>
      </c>
      <c r="H459" s="9" t="n">
        <v>43.5</v>
      </c>
      <c r="I459" s="6" t="n">
        <v>0</v>
      </c>
      <c r="J459" s="10">
        <f>E459*1000-$F$2-$L$2-$H$2/2</f>
        <v>342.55</v>
      </c>
      <c r="K459" s="11">
        <f>F459*1000000/(0.9*(D459*1000)*J459^2)</f>
        <v>1.679505967</v>
      </c>
      <c r="L459" s="12">
        <f>(0.85*$B$2/$D$2)*(1-SQRT(1-2*K459/(0.85*$B$2)))</f>
        <v>0.00415084916</v>
      </c>
      <c r="M459" s="13">
        <f>L459*(D459*1000)*J459</f>
        <v>426.5620139</v>
      </c>
      <c r="N459" s="13">
        <f>MAX(0.25*SQRT($B$2)/$D$2,1.4/$D$2)*(D459*1000)*J459</f>
        <v>342.55</v>
      </c>
      <c r="O459" s="13">
        <f>MAX(M459,N459)</f>
        <v>426.5620139</v>
      </c>
      <c r="P459" s="14">
        <f>ROUNDUP(O459/$J$2,0)</f>
        <v>3</v>
      </c>
      <c r="Q459" s="13">
        <f>P459*$J$2</f>
        <v>597</v>
      </c>
      <c r="R459" s="10">
        <f>Q459*$D$2/(0.85*$B$2*(D459*1000))</f>
        <v>35.11764706</v>
      </c>
      <c r="S459" s="10">
        <f>0.9*Q459*$D$2*(J459-R459/2)/1000000</f>
        <v>73.33945883</v>
      </c>
      <c r="T459" s="15" t="str">
        <f>IF(AND(S459&gt;=F459,O459&lt;=0.025*(D459*1000)*J459,O459&gt;=N459),"CUMPLE","REVISAR")</f>
        <v>CUMPLE</v>
      </c>
      <c r="U459" s="11">
        <f>G459*1000000/(0.9*(D459*1000)*J459^2)</f>
        <v>1.257183286</v>
      </c>
      <c r="V459" s="12">
        <f>(0.85*$B$2/$D$2)*(1-SQRT(1-2*U459/(0.85*$B$2)))</f>
        <v>0.003076824562</v>
      </c>
      <c r="W459" s="13">
        <f>V459*(D459*1000)*J459</f>
        <v>316.1898761</v>
      </c>
      <c r="X459" s="13">
        <f>MAX(W459,N459)</f>
        <v>342.55</v>
      </c>
      <c r="Y459" s="14">
        <f>ROUNDUP(X459/$J$2,0)</f>
        <v>2</v>
      </c>
      <c r="Z459" s="13">
        <f>Y459*$J$2</f>
        <v>398</v>
      </c>
      <c r="AA459" s="10">
        <f>0.9*Z459*$D$2*(J459-(Z459*$D$2/(0.85*$B$2*(D459*1000)))/2)/1000000</f>
        <v>49.77351244</v>
      </c>
      <c r="AB459" s="15" t="str">
        <f>IF(AA459&gt;=G459,"CUMPLE","REVISAR")</f>
        <v>CUMPLE</v>
      </c>
      <c r="AC459" s="10">
        <f>0.17*SQRT($B$2)*(D459*1000)*J459/1000</f>
        <v>92.44281538</v>
      </c>
      <c r="AD459" s="10">
        <f>MAX(H459/0.75-AC459,0)</f>
        <v>0</v>
      </c>
      <c r="AE459" s="14">
        <f>IF(AD459&gt;0,MIN($N$2*$D$2*J459/(AD459*1000),MIN(J459/4,6*$H$2,150)),MIN(J459/4,6*$H$2,150))</f>
        <v>85.6375</v>
      </c>
      <c r="AF459" s="10">
        <f>0.66*SQRT($B$2)*(D459*1000)*J459/1000</f>
        <v>358.8956362</v>
      </c>
      <c r="AG459" s="15" t="str">
        <f>IF(AD459&lt;=AF459,"CUMPLE","AUMENTAR SECCION")</f>
        <v>CUMPLE</v>
      </c>
      <c r="AH459" s="10">
        <f>0.75*0.083*SQRT($B$2)*(((D459*1000)*(E459*1000))^2/(2*((D459*1000)+(E459*1000))))/1000000</f>
        <v>3.388073536</v>
      </c>
      <c r="AI459" s="15" t="str">
        <f>IF(I459&gt;AH459,"SI","No")</f>
        <v>No</v>
      </c>
      <c r="AJ459" s="11">
        <f>IF(I459&gt;AH459,I459*1000000/(0.75*2*0.85*((D459*1000-2*$F$2)*(E459*1000-2*$F$2))*$D$2),0)</f>
        <v>0</v>
      </c>
      <c r="AK459" s="10">
        <f>1.25*Q459*$D$2*(J459-(1.25*Q459*$D$2/(0.85*$B$2*(D459*1000)))/2)/1000000</f>
        <v>100.4845159</v>
      </c>
      <c r="AL459" s="10">
        <f>1.25*Z459*$D$2*(J459-(1.25*Z459*$D$2/(0.85*$B$2*(D459*1000)))/2)/1000000</f>
        <v>68.51839235</v>
      </c>
      <c r="AM459" s="10">
        <f>(AK459+AL459)/B459</f>
        <v>63.77468237</v>
      </c>
      <c r="AN459" s="10">
        <f>MAX(H459,AM459)</f>
        <v>63.77468237</v>
      </c>
    </row>
    <row r="460">
      <c r="A460" s="5" t="inlineStr">
        <is>
          <t>F931</t>
        </is>
      </c>
      <c r="B460" s="6" t="n">
        <v>3.85</v>
      </c>
      <c r="C460" s="7" t="inlineStr">
        <is>
          <t>VC</t>
        </is>
      </c>
      <c r="D460" s="8">
        <f>IF(C460="VR",0.35,0.30)</f>
        <v>0.3</v>
      </c>
      <c r="E460" s="6" t="n">
        <v>0.4</v>
      </c>
      <c r="F460" s="9" t="n">
        <v>58.2</v>
      </c>
      <c r="G460" s="9" t="n">
        <v>42.9</v>
      </c>
      <c r="H460" s="9" t="n">
        <v>38.8</v>
      </c>
      <c r="I460" s="6" t="n">
        <v>0</v>
      </c>
      <c r="J460" s="10">
        <f>E460*1000-$F$2-$L$2-$H$2/2</f>
        <v>342.55</v>
      </c>
      <c r="K460" s="11">
        <f>F460*1000000/(0.9*(D460*1000)*J460^2)</f>
        <v>1.836693332</v>
      </c>
      <c r="L460" s="12">
        <f>(0.85*$B$2/$D$2)*(1-SQRT(1-2*K460/(0.85*$B$2)))</f>
        <v>0.00455625072</v>
      </c>
      <c r="M460" s="13">
        <f>L460*(D460*1000)*J460</f>
        <v>468.2231053</v>
      </c>
      <c r="N460" s="13">
        <f>MAX(0.25*SQRT($B$2)/$D$2,1.4/$D$2)*(D460*1000)*J460</f>
        <v>342.55</v>
      </c>
      <c r="O460" s="13">
        <f>MAX(M460,N460)</f>
        <v>468.2231053</v>
      </c>
      <c r="P460" s="14">
        <f>ROUNDUP(O460/$J$2,0)</f>
        <v>3</v>
      </c>
      <c r="Q460" s="13">
        <f>P460*$J$2</f>
        <v>597</v>
      </c>
      <c r="R460" s="10">
        <f>Q460*$D$2/(0.85*$B$2*(D460*1000))</f>
        <v>35.11764706</v>
      </c>
      <c r="S460" s="10">
        <f>0.9*Q460*$D$2*(J460-R460/2)/1000000</f>
        <v>73.33945883</v>
      </c>
      <c r="T460" s="15" t="str">
        <f>IF(AND(S460&gt;=F460,O460&lt;=0.025*(D460*1000)*J460,O460&gt;=N460),"CUMPLE","REVISAR")</f>
        <v>CUMPLE</v>
      </c>
      <c r="U460" s="11">
        <f>G460*1000000/(0.9*(D460*1000)*J460^2)</f>
        <v>1.354399568</v>
      </c>
      <c r="V460" s="12">
        <f>(0.85*$B$2/$D$2)*(1-SQRT(1-2*U460/(0.85*$B$2)))</f>
        <v>0.003322142939</v>
      </c>
      <c r="W460" s="13">
        <f>V460*(D460*1000)*J460</f>
        <v>341.4000191</v>
      </c>
      <c r="X460" s="13">
        <f>MAX(W460,N460)</f>
        <v>342.55</v>
      </c>
      <c r="Y460" s="14">
        <f>ROUNDUP(X460/$J$2,0)</f>
        <v>2</v>
      </c>
      <c r="Z460" s="13">
        <f>Y460*$J$2</f>
        <v>398</v>
      </c>
      <c r="AA460" s="10">
        <f>0.9*Z460*$D$2*(J460-(Z460*$D$2/(0.85*$B$2*(D460*1000)))/2)/1000000</f>
        <v>49.77351244</v>
      </c>
      <c r="AB460" s="15" t="str">
        <f>IF(AA460&gt;=G460,"CUMPLE","REVISAR")</f>
        <v>CUMPLE</v>
      </c>
      <c r="AC460" s="10">
        <f>0.17*SQRT($B$2)*(D460*1000)*J460/1000</f>
        <v>92.44281538</v>
      </c>
      <c r="AD460" s="10">
        <f>MAX(H460/0.75-AC460,0)</f>
        <v>0</v>
      </c>
      <c r="AE460" s="14">
        <f>IF(AD460&gt;0,MIN($N$2*$D$2*J460/(AD460*1000),MIN(J460/4,6*$H$2,150)),MIN(J460/4,6*$H$2,150))</f>
        <v>85.6375</v>
      </c>
      <c r="AF460" s="10">
        <f>0.66*SQRT($B$2)*(D460*1000)*J460/1000</f>
        <v>358.8956362</v>
      </c>
      <c r="AG460" s="15" t="str">
        <f>IF(AD460&lt;=AF460,"CUMPLE","AUMENTAR SECCION")</f>
        <v>CUMPLE</v>
      </c>
      <c r="AH460" s="10">
        <f>0.75*0.083*SQRT($B$2)*(((D460*1000)*(E460*1000))^2/(2*((D460*1000)+(E460*1000))))/1000000</f>
        <v>3.388073536</v>
      </c>
      <c r="AI460" s="15" t="str">
        <f>IF(I460&gt;AH460,"SI","No")</f>
        <v>No</v>
      </c>
      <c r="AJ460" s="11">
        <f>IF(I460&gt;AH460,I460*1000000/(0.75*2*0.85*((D460*1000-2*$F$2)*(E460*1000-2*$F$2))*$D$2),0)</f>
        <v>0</v>
      </c>
      <c r="AK460" s="10">
        <f>1.25*Q460*$D$2*(J460-(1.25*Q460*$D$2/(0.85*$B$2*(D460*1000)))/2)/1000000</f>
        <v>100.4845159</v>
      </c>
      <c r="AL460" s="10">
        <f>1.25*Z460*$D$2*(J460-(1.25*Z460*$D$2/(0.85*$B$2*(D460*1000)))/2)/1000000</f>
        <v>68.51839235</v>
      </c>
      <c r="AM460" s="10">
        <f>(AK460+AL460)/B460</f>
        <v>43.89685929</v>
      </c>
      <c r="AN460" s="10">
        <f>MAX(H460,AM460)</f>
        <v>43.89685929</v>
      </c>
    </row>
    <row r="461">
      <c r="A461" s="5" t="inlineStr">
        <is>
          <t>F932</t>
        </is>
      </c>
      <c r="B461" s="6" t="n">
        <v>3.9</v>
      </c>
      <c r="C461" s="7" t="inlineStr">
        <is>
          <t>VC</t>
        </is>
      </c>
      <c r="D461" s="8">
        <f>IF(C461="VR",0.35,0.30)</f>
        <v>0.3</v>
      </c>
      <c r="E461" s="6" t="n">
        <v>0.4</v>
      </c>
      <c r="F461" s="9" t="n">
        <v>65.90000000000001</v>
      </c>
      <c r="G461" s="9" t="n">
        <v>42.9</v>
      </c>
      <c r="H461" s="9" t="n">
        <v>48.3</v>
      </c>
      <c r="I461" s="6" t="n">
        <v>0</v>
      </c>
      <c r="J461" s="10">
        <f>E461*1000-$F$2-$L$2-$H$2/2</f>
        <v>342.55</v>
      </c>
      <c r="K461" s="11">
        <f>F461*1000000/(0.9*(D461*1000)*J461^2)</f>
        <v>2.079734038</v>
      </c>
      <c r="L461" s="12">
        <f>(0.85*$B$2/$D$2)*(1-SQRT(1-2*K461/(0.85*$B$2)))</f>
        <v>0.005189360623</v>
      </c>
      <c r="M461" s="13">
        <f>L461*(D461*1000)*J461</f>
        <v>533.2846445</v>
      </c>
      <c r="N461" s="13">
        <f>MAX(0.25*SQRT($B$2)/$D$2,1.4/$D$2)*(D461*1000)*J461</f>
        <v>342.55</v>
      </c>
      <c r="O461" s="13">
        <f>MAX(M461,N461)</f>
        <v>533.2846445</v>
      </c>
      <c r="P461" s="14">
        <f>ROUNDUP(O461/$J$2,0)</f>
        <v>3</v>
      </c>
      <c r="Q461" s="13">
        <f>P461*$J$2</f>
        <v>597</v>
      </c>
      <c r="R461" s="10">
        <f>Q461*$D$2/(0.85*$B$2*(D461*1000))</f>
        <v>35.11764706</v>
      </c>
      <c r="S461" s="10">
        <f>0.9*Q461*$D$2*(J461-R461/2)/1000000</f>
        <v>73.33945883</v>
      </c>
      <c r="T461" s="15" t="str">
        <f>IF(AND(S461&gt;=F461,O461&lt;=0.025*(D461*1000)*J461,O461&gt;=N461),"CUMPLE","REVISAR")</f>
        <v>CUMPLE</v>
      </c>
      <c r="U461" s="11">
        <f>G461*1000000/(0.9*(D461*1000)*J461^2)</f>
        <v>1.353137019</v>
      </c>
      <c r="V461" s="12">
        <f>(0.85*$B$2/$D$2)*(1-SQRT(1-2*U461/(0.85*$B$2)))</f>
        <v>0.003318949756</v>
      </c>
      <c r="W461" s="13">
        <f>V461*(D461*1000)*J461</f>
        <v>341.0718717</v>
      </c>
      <c r="X461" s="13">
        <f>MAX(W461,N461)</f>
        <v>342.55</v>
      </c>
      <c r="Y461" s="14">
        <f>ROUNDUP(X461/$J$2,0)</f>
        <v>2</v>
      </c>
      <c r="Z461" s="13">
        <f>Y461*$J$2</f>
        <v>398</v>
      </c>
      <c r="AA461" s="10">
        <f>0.9*Z461*$D$2*(J461-(Z461*$D$2/(0.85*$B$2*(D461*1000)))/2)/1000000</f>
        <v>49.77351244</v>
      </c>
      <c r="AB461" s="15" t="str">
        <f>IF(AA461&gt;=G461,"CUMPLE","REVISAR")</f>
        <v>CUMPLE</v>
      </c>
      <c r="AC461" s="10">
        <f>0.17*SQRT($B$2)*(D461*1000)*J461/1000</f>
        <v>92.44281538</v>
      </c>
      <c r="AD461" s="10">
        <f>MAX(H461/0.75-AC461,0)</f>
        <v>0</v>
      </c>
      <c r="AE461" s="14">
        <f>IF(AD461&gt;0,MIN($N$2*$D$2*J461/(AD461*1000),MIN(J461/4,6*$H$2,150)),MIN(J461/4,6*$H$2,150))</f>
        <v>85.6375</v>
      </c>
      <c r="AF461" s="10">
        <f>0.66*SQRT($B$2)*(D461*1000)*J461/1000</f>
        <v>358.8956362</v>
      </c>
      <c r="AG461" s="15" t="str">
        <f>IF(AD461&lt;=AF461,"CUMPLE","AUMENTAR SECCION")</f>
        <v>CUMPLE</v>
      </c>
      <c r="AH461" s="10">
        <f>0.75*0.083*SQRT($B$2)*(((D461*1000)*(E461*1000))^2/(2*((D461*1000)+(E461*1000))))/1000000</f>
        <v>3.388073536</v>
      </c>
      <c r="AI461" s="15" t="str">
        <f>IF(I461&gt;AH461,"SI","No")</f>
        <v>No</v>
      </c>
      <c r="AJ461" s="11">
        <f>IF(I461&gt;AH461,I461*1000000/(0.75*2*0.85*((D461*1000-2*$F$2)*(E461*1000-2*$F$2))*$D$2),0)</f>
        <v>0</v>
      </c>
      <c r="AK461" s="10">
        <f>1.25*Q461*$D$2*(J461-(1.25*Q461*$D$2/(0.85*$B$2*(D461*1000)))/2)/1000000</f>
        <v>100.4845159</v>
      </c>
      <c r="AL461" s="10">
        <f>1.25*Z461*$D$2*(J461-(1.25*Z461*$D$2/(0.85*$B$2*(D461*1000)))/2)/1000000</f>
        <v>68.51839235</v>
      </c>
      <c r="AM461" s="10">
        <f>(AK461+AL461)/B461</f>
        <v>43.33407904</v>
      </c>
      <c r="AN461" s="10">
        <f>MAX(H461,AM461)</f>
        <v>48.3</v>
      </c>
    </row>
    <row r="462">
      <c r="A462" s="5" t="inlineStr">
        <is>
          <t>F933</t>
        </is>
      </c>
      <c r="B462" s="6" t="n">
        <v>3.9</v>
      </c>
      <c r="C462" s="7" t="inlineStr">
        <is>
          <t>VC</t>
        </is>
      </c>
      <c r="D462" s="8">
        <f>IF(C462="VR",0.35,0.30)</f>
        <v>0.3</v>
      </c>
      <c r="E462" s="6" t="n">
        <v>0.4</v>
      </c>
      <c r="F462" s="9" t="n">
        <v>65.90000000000001</v>
      </c>
      <c r="G462" s="9" t="n">
        <v>42.9</v>
      </c>
      <c r="H462" s="9" t="n">
        <v>48.3</v>
      </c>
      <c r="I462" s="6" t="n">
        <v>0</v>
      </c>
      <c r="J462" s="10">
        <f>E462*1000-$F$2-$L$2-$H$2/2</f>
        <v>342.55</v>
      </c>
      <c r="K462" s="11">
        <f>F462*1000000/(0.9*(D462*1000)*J462^2)</f>
        <v>2.079734038</v>
      </c>
      <c r="L462" s="12">
        <f>(0.85*$B$2/$D$2)*(1-SQRT(1-2*K462/(0.85*$B$2)))</f>
        <v>0.005189360623</v>
      </c>
      <c r="M462" s="13">
        <f>L462*(D462*1000)*J462</f>
        <v>533.2846445</v>
      </c>
      <c r="N462" s="13">
        <f>MAX(0.25*SQRT($B$2)/$D$2,1.4/$D$2)*(D462*1000)*J462</f>
        <v>342.55</v>
      </c>
      <c r="O462" s="13">
        <f>MAX(M462,N462)</f>
        <v>533.2846445</v>
      </c>
      <c r="P462" s="14">
        <f>ROUNDUP(O462/$J$2,0)</f>
        <v>3</v>
      </c>
      <c r="Q462" s="13">
        <f>P462*$J$2</f>
        <v>597</v>
      </c>
      <c r="R462" s="10">
        <f>Q462*$D$2/(0.85*$B$2*(D462*1000))</f>
        <v>35.11764706</v>
      </c>
      <c r="S462" s="10">
        <f>0.9*Q462*$D$2*(J462-R462/2)/1000000</f>
        <v>73.33945883</v>
      </c>
      <c r="T462" s="15" t="str">
        <f>IF(AND(S462&gt;=F462,O462&lt;=0.025*(D462*1000)*J462,O462&gt;=N462),"CUMPLE","REVISAR")</f>
        <v>CUMPLE</v>
      </c>
      <c r="U462" s="11">
        <f>G462*1000000/(0.9*(D462*1000)*J462^2)</f>
        <v>1.353137019</v>
      </c>
      <c r="V462" s="12">
        <f>(0.85*$B$2/$D$2)*(1-SQRT(1-2*U462/(0.85*$B$2)))</f>
        <v>0.003318949756</v>
      </c>
      <c r="W462" s="13">
        <f>V462*(D462*1000)*J462</f>
        <v>341.0718717</v>
      </c>
      <c r="X462" s="13">
        <f>MAX(W462,N462)</f>
        <v>342.55</v>
      </c>
      <c r="Y462" s="14">
        <f>ROUNDUP(X462/$J$2,0)</f>
        <v>2</v>
      </c>
      <c r="Z462" s="13">
        <f>Y462*$J$2</f>
        <v>398</v>
      </c>
      <c r="AA462" s="10">
        <f>0.9*Z462*$D$2*(J462-(Z462*$D$2/(0.85*$B$2*(D462*1000)))/2)/1000000</f>
        <v>49.77351244</v>
      </c>
      <c r="AB462" s="15" t="str">
        <f>IF(AA462&gt;=G462,"CUMPLE","REVISAR")</f>
        <v>CUMPLE</v>
      </c>
      <c r="AC462" s="10">
        <f>0.17*SQRT($B$2)*(D462*1000)*J462/1000</f>
        <v>92.44281538</v>
      </c>
      <c r="AD462" s="10">
        <f>MAX(H462/0.75-AC462,0)</f>
        <v>0</v>
      </c>
      <c r="AE462" s="14">
        <f>IF(AD462&gt;0,MIN($N$2*$D$2*J462/(AD462*1000),MIN(J462/4,6*$H$2,150)),MIN(J462/4,6*$H$2,150))</f>
        <v>85.6375</v>
      </c>
      <c r="AF462" s="10">
        <f>0.66*SQRT($B$2)*(D462*1000)*J462/1000</f>
        <v>358.8956362</v>
      </c>
      <c r="AG462" s="15" t="str">
        <f>IF(AD462&lt;=AF462,"CUMPLE","AUMENTAR SECCION")</f>
        <v>CUMPLE</v>
      </c>
      <c r="AH462" s="10">
        <f>0.75*0.083*SQRT($B$2)*(((D462*1000)*(E462*1000))^2/(2*((D462*1000)+(E462*1000))))/1000000</f>
        <v>3.388073536</v>
      </c>
      <c r="AI462" s="15" t="str">
        <f>IF(I462&gt;AH462,"SI","No")</f>
        <v>No</v>
      </c>
      <c r="AJ462" s="11">
        <f>IF(I462&gt;AH462,I462*1000000/(0.75*2*0.85*((D462*1000-2*$F$2)*(E462*1000-2*$F$2))*$D$2),0)</f>
        <v>0</v>
      </c>
      <c r="AK462" s="10">
        <f>1.25*Q462*$D$2*(J462-(1.25*Q462*$D$2/(0.85*$B$2*(D462*1000)))/2)/1000000</f>
        <v>100.4845159</v>
      </c>
      <c r="AL462" s="10">
        <f>1.25*Z462*$D$2*(J462-(1.25*Z462*$D$2/(0.85*$B$2*(D462*1000)))/2)/1000000</f>
        <v>68.51839235</v>
      </c>
      <c r="AM462" s="10">
        <f>(AK462+AL462)/B462</f>
        <v>43.33407904</v>
      </c>
      <c r="AN462" s="10">
        <f>MAX(H462,AM462)</f>
        <v>48.31</v>
      </c>
    </row>
    <row r="463">
      <c r="A463" s="5" t="inlineStr">
        <is>
          <t>F934</t>
        </is>
      </c>
      <c r="B463" s="6" t="n">
        <v>3.85</v>
      </c>
      <c r="C463" s="7" t="inlineStr">
        <is>
          <t>VC</t>
        </is>
      </c>
      <c r="D463" s="8">
        <f>IF(C463="VR",0.35,0.30)</f>
        <v>0.3</v>
      </c>
      <c r="E463" s="6" t="n">
        <v>0.4</v>
      </c>
      <c r="F463" s="9" t="n">
        <v>58.2</v>
      </c>
      <c r="G463" s="9" t="n">
        <v>42.9</v>
      </c>
      <c r="H463" s="9" t="n">
        <v>38.8</v>
      </c>
      <c r="I463" s="6" t="n">
        <v>0</v>
      </c>
      <c r="J463" s="10">
        <f>E463*1000-$F$2-$L$2-$H$2/2</f>
        <v>342.55</v>
      </c>
      <c r="K463" s="11">
        <f>F463*1000000/(0.9*(D463*1000)*J463^2)</f>
        <v>1.836693332</v>
      </c>
      <c r="L463" s="12">
        <f>(0.85*$B$2/$D$2)*(1-SQRT(1-2*K463/(0.85*$B$2)))</f>
        <v>0.00455625072</v>
      </c>
      <c r="M463" s="13">
        <f>L463*(D463*1000)*J463</f>
        <v>468.2231053</v>
      </c>
      <c r="N463" s="13">
        <f>MAX(0.25*SQRT($B$2)/$D$2,1.4/$D$2)*(D463*1000)*J463</f>
        <v>342.55</v>
      </c>
      <c r="O463" s="13">
        <f>MAX(M463,N463)</f>
        <v>468.2231053</v>
      </c>
      <c r="P463" s="14">
        <f>ROUNDUP(O463/$J$2,0)</f>
        <v>3</v>
      </c>
      <c r="Q463" s="13">
        <f>P463*$J$2</f>
        <v>597</v>
      </c>
      <c r="R463" s="10">
        <f>Q463*$D$2/(0.85*$B$2*(D463*1000))</f>
        <v>35.11764706</v>
      </c>
      <c r="S463" s="10">
        <f>0.9*Q463*$D$2*(J463-R463/2)/1000000</f>
        <v>73.33945883</v>
      </c>
      <c r="T463" s="15" t="str">
        <f>IF(AND(S463&gt;=F463,O463&lt;=0.025*(D463*1000)*J463,O463&gt;=N463),"CUMPLE","REVISAR")</f>
        <v>CUMPLE</v>
      </c>
      <c r="U463" s="11">
        <f>G463*1000000/(0.9*(D463*1000)*J463^2)</f>
        <v>1.354399568</v>
      </c>
      <c r="V463" s="12">
        <f>(0.85*$B$2/$D$2)*(1-SQRT(1-2*U463/(0.85*$B$2)))</f>
        <v>0.003322142939</v>
      </c>
      <c r="W463" s="13">
        <f>V463*(D463*1000)*J463</f>
        <v>341.4000191</v>
      </c>
      <c r="X463" s="13">
        <f>MAX(W463,N463)</f>
        <v>342.55</v>
      </c>
      <c r="Y463" s="14">
        <f>ROUNDUP(X463/$J$2,0)</f>
        <v>2</v>
      </c>
      <c r="Z463" s="13">
        <f>Y463*$J$2</f>
        <v>398</v>
      </c>
      <c r="AA463" s="10">
        <f>0.9*Z463*$D$2*(J463-(Z463*$D$2/(0.85*$B$2*(D463*1000)))/2)/1000000</f>
        <v>49.77351244</v>
      </c>
      <c r="AB463" s="15" t="str">
        <f>IF(AA463&gt;=G463,"CUMPLE","REVISAR")</f>
        <v>CUMPLE</v>
      </c>
      <c r="AC463" s="10">
        <f>0.17*SQRT($B$2)*(D463*1000)*J463/1000</f>
        <v>92.44281538</v>
      </c>
      <c r="AD463" s="10">
        <f>MAX(H463/0.75-AC463,0)</f>
        <v>0</v>
      </c>
      <c r="AE463" s="14">
        <f>IF(AD463&gt;0,MIN($N$2*$D$2*J463/(AD463*1000),MIN(J463/4,6*$H$2,150)),MIN(J463/4,6*$H$2,150))</f>
        <v>85.6375</v>
      </c>
      <c r="AF463" s="10">
        <f>0.66*SQRT($B$2)*(D463*1000)*J463/1000</f>
        <v>358.8956362</v>
      </c>
      <c r="AG463" s="15" t="str">
        <f>IF(AD463&lt;=AF463,"CUMPLE","AUMENTAR SECCION")</f>
        <v>CUMPLE</v>
      </c>
      <c r="AH463" s="10">
        <f>0.75*0.083*SQRT($B$2)*(((D463*1000)*(E463*1000))^2/(2*((D463*1000)+(E463*1000))))/1000000</f>
        <v>3.388073536</v>
      </c>
      <c r="AI463" s="15" t="str">
        <f>IF(I463&gt;AH463,"SI","No")</f>
        <v>No</v>
      </c>
      <c r="AJ463" s="11">
        <f>IF(I463&gt;AH463,I463*1000000/(0.75*2*0.85*((D463*1000-2*$F$2)*(E463*1000-2*$F$2))*$D$2),0)</f>
        <v>0</v>
      </c>
      <c r="AK463" s="10">
        <f>1.25*Q463*$D$2*(J463-(1.25*Q463*$D$2/(0.85*$B$2*(D463*1000)))/2)/1000000</f>
        <v>100.4845159</v>
      </c>
      <c r="AL463" s="10">
        <f>1.25*Z463*$D$2*(J463-(1.25*Z463*$D$2/(0.85*$B$2*(D463*1000)))/2)/1000000</f>
        <v>68.51839235</v>
      </c>
      <c r="AM463" s="10">
        <f>(AK463+AL463)/B463</f>
        <v>43.89685929</v>
      </c>
      <c r="AN463" s="10">
        <f>MAX(H463,AM463)</f>
        <v>43.89685929</v>
      </c>
    </row>
    <row r="464">
      <c r="A464" s="5" t="inlineStr">
        <is>
          <t>F935</t>
        </is>
      </c>
      <c r="B464" s="6" t="n">
        <v>3.85</v>
      </c>
      <c r="C464" s="7" t="inlineStr">
        <is>
          <t>VC</t>
        </is>
      </c>
      <c r="D464" s="8">
        <f>IF(C464="VR",0.35,0.30)</f>
        <v>0.3</v>
      </c>
      <c r="E464" s="6" t="n">
        <v>0.4</v>
      </c>
      <c r="F464" s="9" t="n">
        <v>68</v>
      </c>
      <c r="G464" s="9" t="n">
        <v>35.9</v>
      </c>
      <c r="H464" s="9" t="n">
        <v>51.5</v>
      </c>
      <c r="I464" s="6" t="n">
        <v>0</v>
      </c>
      <c r="J464" s="10">
        <f>E464*1000-$F$2-$L$2-$H$2/2</f>
        <v>342.55</v>
      </c>
      <c r="K464" s="11">
        <f>F464*1000000/(0.9*(D464*1000)*J464^2)</f>
        <v>2.145702229</v>
      </c>
      <c r="L464" s="12">
        <f>(0.85*$B$2/$D$2)*(1-SQRT(1-2*K464/(0.85*$B$2)))</f>
        <v>0.005362552827</v>
      </c>
      <c r="M464" s="13">
        <f>L464*(D464*1000)*J464</f>
        <v>551.0827412</v>
      </c>
      <c r="N464" s="13">
        <f>MAX(0.25*SQRT($B$2)/$D$2,1.4/$D$2)*(D464*1000)*J464</f>
        <v>342.55</v>
      </c>
      <c r="O464" s="13">
        <f>MAX(M464,N464)</f>
        <v>551.0827412</v>
      </c>
      <c r="P464" s="14">
        <f>ROUNDUP(O464/$J$2,0)</f>
        <v>3</v>
      </c>
      <c r="Q464" s="13">
        <f>P464*$J$2</f>
        <v>597</v>
      </c>
      <c r="R464" s="10">
        <f>Q464*$D$2/(0.85*$B$2*(D464*1000))</f>
        <v>35.11764706</v>
      </c>
      <c r="S464" s="10">
        <f>0.9*Q464*$D$2*(J464-R464/2)/1000000</f>
        <v>73.33945883</v>
      </c>
      <c r="T464" s="15" t="str">
        <f>IF(AND(S464&gt;=F464,O464&lt;=0.025*(D464*1000)*J464,O464&gt;=N464),"CUMPLE","REVISAR")</f>
        <v>CUMPLE</v>
      </c>
      <c r="U464" s="11">
        <f>G464*1000000/(0.9*(D464*1000)*J464^2)</f>
        <v>1.134084747</v>
      </c>
      <c r="V464" s="12">
        <f>(0.85*$B$2/$D$2)*(1-SQRT(1-2*U464/(0.85*$B$2)))</f>
        <v>0.002767796151</v>
      </c>
      <c r="W464" s="13">
        <f>V464*(D464*1000)*J464</f>
        <v>284.4325714</v>
      </c>
      <c r="X464" s="13">
        <f>MAX(W464,N464)</f>
        <v>342.55</v>
      </c>
      <c r="Y464" s="14">
        <f>ROUNDUP(X464/$J$2,0)</f>
        <v>2</v>
      </c>
      <c r="Z464" s="13">
        <f>Y464*$J$2</f>
        <v>398</v>
      </c>
      <c r="AA464" s="10">
        <f>0.9*Z464*$D$2*(J464-(Z464*$D$2/(0.85*$B$2*(D464*1000)))/2)/1000000</f>
        <v>49.77351244</v>
      </c>
      <c r="AB464" s="15" t="str">
        <f>IF(AA464&gt;=G464,"CUMPLE","REVISAR")</f>
        <v>CUMPLE</v>
      </c>
      <c r="AC464" s="10">
        <f>0.17*SQRT($B$2)*(D464*1000)*J464/1000</f>
        <v>92.44281538</v>
      </c>
      <c r="AD464" s="10">
        <f>MAX(H464/0.75-AC464,0)</f>
        <v>0</v>
      </c>
      <c r="AE464" s="14">
        <f>IF(AD464&gt;0,MIN($N$2*$D$2*J464/(AD464*1000),MIN(J464/4,6*$H$2,150)),MIN(J464/4,6*$H$2,150))</f>
        <v>85.6375</v>
      </c>
      <c r="AF464" s="10">
        <f>0.66*SQRT($B$2)*(D464*1000)*J464/1000</f>
        <v>358.8956362</v>
      </c>
      <c r="AG464" s="15" t="str">
        <f>IF(AD464&lt;=AF464,"CUMPLE","AUMENTAR SECCION")</f>
        <v>CUMPLE</v>
      </c>
      <c r="AH464" s="10">
        <f>0.75*0.083*SQRT($B$2)*(((D464*1000)*(E464*1000))^2/(2*((D464*1000)+(E464*1000))))/1000000</f>
        <v>3.388073536</v>
      </c>
      <c r="AI464" s="15" t="str">
        <f>IF(I464&gt;AH464,"SI","No")</f>
        <v>No</v>
      </c>
      <c r="AJ464" s="11">
        <f>IF(I464&gt;AH464,I464*1000000/(0.75*2*0.85*((D464*1000-2*$F$2)*(E464*1000-2*$F$2))*$D$2),0)</f>
        <v>0</v>
      </c>
      <c r="AK464" s="10">
        <f>1.25*Q464*$D$2*(J464-(1.25*Q464*$D$2/(0.85*$B$2*(D464*1000)))/2)/1000000</f>
        <v>100.4845159</v>
      </c>
      <c r="AL464" s="10">
        <f>1.25*Z464*$D$2*(J464-(1.25*Z464*$D$2/(0.85*$B$2*(D464*1000)))/2)/1000000</f>
        <v>68.51839235</v>
      </c>
      <c r="AM464" s="10">
        <f>(AK464+AL464)/B464</f>
        <v>43.89685929</v>
      </c>
      <c r="AN464" s="10">
        <f>MAX(H464,AM464)</f>
        <v>51.54</v>
      </c>
    </row>
    <row r="465">
      <c r="A465" s="5" t="inlineStr">
        <is>
          <t>F936</t>
        </is>
      </c>
      <c r="B465" s="6" t="n">
        <v>3.9</v>
      </c>
      <c r="C465" s="7" t="inlineStr">
        <is>
          <t>VC</t>
        </is>
      </c>
      <c r="D465" s="8">
        <f>IF(C465="VR",0.35,0.30)</f>
        <v>0.3</v>
      </c>
      <c r="E465" s="6" t="n">
        <v>0.4</v>
      </c>
      <c r="F465" s="9" t="n">
        <v>83.09999999999999</v>
      </c>
      <c r="G465" s="9" t="n">
        <v>40</v>
      </c>
      <c r="H465" s="9" t="n">
        <v>69.5</v>
      </c>
      <c r="I465" s="6" t="n">
        <v>0</v>
      </c>
      <c r="J465" s="10">
        <f>E465*1000-$F$2-$L$2-$H$2/2</f>
        <v>342.55</v>
      </c>
      <c r="K465" s="11">
        <f>F465*1000000/(0.9*(D465*1000)*J465^2)</f>
        <v>2.622630159</v>
      </c>
      <c r="L465" s="12">
        <f>(0.85*$B$2/$D$2)*(1-SQRT(1-2*K465/(0.85*$B$2)))</f>
        <v>0.00663250575</v>
      </c>
      <c r="M465" s="13">
        <f>L465*(D465*1000)*J465</f>
        <v>681.5894534</v>
      </c>
      <c r="N465" s="13">
        <f>MAX(0.25*SQRT($B$2)/$D$2,1.4/$D$2)*(D465*1000)*J465</f>
        <v>342.55</v>
      </c>
      <c r="O465" s="13">
        <f>MAX(M465,N465)</f>
        <v>681.5894534</v>
      </c>
      <c r="P465" s="14">
        <f>ROUNDUP(O465/$J$2,0)</f>
        <v>4</v>
      </c>
      <c r="Q465" s="13">
        <f>P465*$J$2</f>
        <v>796</v>
      </c>
      <c r="R465" s="10">
        <f>Q465*$D$2/(0.85*$B$2*(D465*1000))</f>
        <v>46.82352941</v>
      </c>
      <c r="S465" s="10">
        <f>0.9*Q465*$D$2*(J465-R465/2)/1000000</f>
        <v>96.02486534</v>
      </c>
      <c r="T465" s="15" t="str">
        <f>IF(AND(S465&gt;=F465,O465&lt;=0.025*(D465*1000)*J465,O465&gt;=N465),"CUMPLE","REVISAR")</f>
        <v>CUMPLE</v>
      </c>
      <c r="U465" s="11">
        <f>G465*1000000/(0.9*(D465*1000)*J465^2)</f>
        <v>1.263811669</v>
      </c>
      <c r="V465" s="12">
        <f>(0.85*$B$2/$D$2)*(1-SQRT(1-2*U465/(0.85*$B$2)))</f>
        <v>0.00309351513</v>
      </c>
      <c r="W465" s="13">
        <f>V465*(D465*1000)*J465</f>
        <v>317.9050824</v>
      </c>
      <c r="X465" s="13">
        <f>MAX(W465,N465)</f>
        <v>342.55</v>
      </c>
      <c r="Y465" s="14">
        <f>ROUNDUP(X465/$J$2,0)</f>
        <v>2</v>
      </c>
      <c r="Z465" s="13">
        <f>Y465*$J$2</f>
        <v>398</v>
      </c>
      <c r="AA465" s="10">
        <f>0.9*Z465*$D$2*(J465-(Z465*$D$2/(0.85*$B$2*(D465*1000)))/2)/1000000</f>
        <v>49.77351244</v>
      </c>
      <c r="AB465" s="15" t="str">
        <f>IF(AA465&gt;=G465,"CUMPLE","REVISAR")</f>
        <v>CUMPLE</v>
      </c>
      <c r="AC465" s="10">
        <f>0.17*SQRT($B$2)*(D465*1000)*J465/1000</f>
        <v>92.44281538</v>
      </c>
      <c r="AD465" s="10">
        <f>MAX(H465/0.75-AC465,0)</f>
        <v>0.2638512829</v>
      </c>
      <c r="AE465" s="14">
        <f>IF(AD465&gt;0,MIN($N$2*$D$2*J465/(AD465*1000),MIN(J465/4,6*$H$2,150)),MIN(J465/4,6*$H$2,150))</f>
        <v>85.6375</v>
      </c>
      <c r="AF465" s="10">
        <f>0.66*SQRT($B$2)*(D465*1000)*J465/1000</f>
        <v>358.8956362</v>
      </c>
      <c r="AG465" s="15" t="str">
        <f>IF(AD465&lt;=AF465,"CUMPLE","AUMENTAR SECCION")</f>
        <v>CUMPLE</v>
      </c>
      <c r="AH465" s="10">
        <f>0.75*0.083*SQRT($B$2)*(((D465*1000)*(E465*1000))^2/(2*((D465*1000)+(E465*1000))))/1000000</f>
        <v>3.388073536</v>
      </c>
      <c r="AI465" s="15" t="str">
        <f>IF(I465&gt;AH465,"SI","No")</f>
        <v>No</v>
      </c>
      <c r="AJ465" s="11">
        <f>IF(I465&gt;AH465,I465*1000000/(0.75*2*0.85*((D465*1000-2*$F$2)*(E465*1000-2*$F$2))*$D$2),0)</f>
        <v>0</v>
      </c>
      <c r="AK465" s="10">
        <f>1.25*Q465*$D$2*(J465-(1.25*Q465*$D$2/(0.85*$B$2*(D465*1000)))/2)/1000000</f>
        <v>130.9219244</v>
      </c>
      <c r="AL465" s="10">
        <f>1.25*Z465*$D$2*(J465-(1.25*Z465*$D$2/(0.85*$B$2*(D465*1000)))/2)/1000000</f>
        <v>68.51839235</v>
      </c>
      <c r="AM465" s="10">
        <f>(AK465+AL465)/B465</f>
        <v>51.13854276</v>
      </c>
      <c r="AN465" s="10">
        <f>MAX(H465,AM465)</f>
        <v>69.53</v>
      </c>
    </row>
    <row r="466">
      <c r="A466" s="5" t="inlineStr">
        <is>
          <t>F937</t>
        </is>
      </c>
      <c r="B466" s="6" t="n">
        <v>3.9</v>
      </c>
      <c r="C466" s="7" t="inlineStr">
        <is>
          <t>VC</t>
        </is>
      </c>
      <c r="D466" s="8">
        <f>IF(C466="VR",0.35,0.30)</f>
        <v>0.3</v>
      </c>
      <c r="E466" s="6" t="n">
        <v>0.4</v>
      </c>
      <c r="F466" s="9" t="n">
        <v>83.2</v>
      </c>
      <c r="G466" s="9" t="n">
        <v>40</v>
      </c>
      <c r="H466" s="9" t="n">
        <v>69.59999999999999</v>
      </c>
      <c r="I466" s="6" t="n">
        <v>0</v>
      </c>
      <c r="J466" s="10">
        <f>E466*1000-$F$2-$L$2-$H$2/2</f>
        <v>342.55</v>
      </c>
      <c r="K466" s="11">
        <f>F466*1000000/(0.9*(D466*1000)*J466^2)</f>
        <v>2.625786532</v>
      </c>
      <c r="L466" s="12">
        <f>(0.85*$B$2/$D$2)*(1-SQRT(1-2*K466/(0.85*$B$2)))</f>
        <v>0.006641017855</v>
      </c>
      <c r="M466" s="13">
        <f>L466*(D466*1000)*J466</f>
        <v>682.4641999</v>
      </c>
      <c r="N466" s="13">
        <f>MAX(0.25*SQRT($B$2)/$D$2,1.4/$D$2)*(D466*1000)*J466</f>
        <v>342.55</v>
      </c>
      <c r="O466" s="13">
        <f>MAX(M466,N466)</f>
        <v>682.4641999</v>
      </c>
      <c r="P466" s="14">
        <f>ROUNDUP(O466/$J$2,0)</f>
        <v>4</v>
      </c>
      <c r="Q466" s="13">
        <f>P466*$J$2</f>
        <v>796</v>
      </c>
      <c r="R466" s="10">
        <f>Q466*$D$2/(0.85*$B$2*(D466*1000))</f>
        <v>46.82352941</v>
      </c>
      <c r="S466" s="10">
        <f>0.9*Q466*$D$2*(J466-R466/2)/1000000</f>
        <v>96.02486534</v>
      </c>
      <c r="T466" s="15" t="str">
        <f>IF(AND(S466&gt;=F466,O466&lt;=0.025*(D466*1000)*J466,O466&gt;=N466),"CUMPLE","REVISAR")</f>
        <v>CUMPLE</v>
      </c>
      <c r="U466" s="11">
        <f>G466*1000000/(0.9*(D466*1000)*J466^2)</f>
        <v>1.261917845</v>
      </c>
      <c r="V466" s="12">
        <f>(0.85*$B$2/$D$2)*(1-SQRT(1-2*U466/(0.85*$B$2)))</f>
        <v>0.003088745866</v>
      </c>
      <c r="W466" s="13">
        <f>V466*(D466*1000)*J466</f>
        <v>317.4149689</v>
      </c>
      <c r="X466" s="13">
        <f>MAX(W466,N466)</f>
        <v>342.55</v>
      </c>
      <c r="Y466" s="14">
        <f>ROUNDUP(X466/$J$2,0)</f>
        <v>2</v>
      </c>
      <c r="Z466" s="13">
        <f>Y466*$J$2</f>
        <v>398</v>
      </c>
      <c r="AA466" s="10">
        <f>0.9*Z466*$D$2*(J466-(Z466*$D$2/(0.85*$B$2*(D466*1000)))/2)/1000000</f>
        <v>49.77351244</v>
      </c>
      <c r="AB466" s="15" t="str">
        <f>IF(AA466&gt;=G466,"CUMPLE","REVISAR")</f>
        <v>CUMPLE</v>
      </c>
      <c r="AC466" s="10">
        <f>0.17*SQRT($B$2)*(D466*1000)*J466/1000</f>
        <v>92.44281538</v>
      </c>
      <c r="AD466" s="10">
        <f>MAX(H466/0.75-AC466,0)</f>
        <v>0.3971846163</v>
      </c>
      <c r="AE466" s="14">
        <f>IF(AD466&gt;0,MIN($N$2*$D$2*J466/(AD466*1000),MIN(J466/4,6*$H$2,150)),MIN(J466/4,6*$H$2,150))</f>
        <v>85.6375</v>
      </c>
      <c r="AF466" s="10">
        <f>0.66*SQRT($B$2)*(D466*1000)*J466/1000</f>
        <v>358.8956362</v>
      </c>
      <c r="AG466" s="15" t="str">
        <f>IF(AD466&lt;=AF466,"CUMPLE","AUMENTAR SECCION")</f>
        <v>CUMPLE</v>
      </c>
      <c r="AH466" s="10">
        <f>0.75*0.083*SQRT($B$2)*(((D466*1000)*(E466*1000))^2/(2*((D466*1000)+(E466*1000))))/1000000</f>
        <v>3.388073536</v>
      </c>
      <c r="AI466" s="15" t="str">
        <f>IF(I466&gt;AH466,"SI","No")</f>
        <v>No</v>
      </c>
      <c r="AJ466" s="11">
        <f>IF(I466&gt;AH466,I466*1000000/(0.75*2*0.85*((D466*1000-2*$F$2)*(E466*1000-2*$F$2))*$D$2),0)</f>
        <v>0</v>
      </c>
      <c r="AK466" s="10">
        <f>1.25*Q466*$D$2*(J466-(1.25*Q466*$D$2/(0.85*$B$2*(D466*1000)))/2)/1000000</f>
        <v>130.9219244</v>
      </c>
      <c r="AL466" s="10">
        <f>1.25*Z466*$D$2*(J466-(1.25*Z466*$D$2/(0.85*$B$2*(D466*1000)))/2)/1000000</f>
        <v>68.51839235</v>
      </c>
      <c r="AM466" s="10">
        <f>(AK466+AL466)/B466</f>
        <v>51.13854276</v>
      </c>
      <c r="AN466" s="10">
        <f>MAX(H466,AM466)</f>
        <v>69.63</v>
      </c>
    </row>
    <row r="467">
      <c r="A467" s="5" t="inlineStr">
        <is>
          <t>F938</t>
        </is>
      </c>
      <c r="B467" s="6" t="n">
        <v>3.85</v>
      </c>
      <c r="C467" s="7" t="inlineStr">
        <is>
          <t>VC</t>
        </is>
      </c>
      <c r="D467" s="8">
        <f>IF(C467="VR",0.35,0.30)</f>
        <v>0.3</v>
      </c>
      <c r="E467" s="6" t="n">
        <v>0.4</v>
      </c>
      <c r="F467" s="9" t="n">
        <v>68</v>
      </c>
      <c r="G467" s="9" t="n">
        <v>35.9</v>
      </c>
      <c r="H467" s="9" t="n">
        <v>51.5</v>
      </c>
      <c r="I467" s="6" t="n">
        <v>0</v>
      </c>
      <c r="J467" s="10">
        <f>E467*1000-$F$2-$L$2-$H$2/2</f>
        <v>342.55</v>
      </c>
      <c r="K467" s="11">
        <f>F467*1000000/(0.9*(D467*1000)*J467^2)</f>
        <v>2.145070955</v>
      </c>
      <c r="L467" s="12">
        <f>(0.85*$B$2/$D$2)*(1-SQRT(1-2*K467/(0.85*$B$2)))</f>
        <v>0.005360892714</v>
      </c>
      <c r="M467" s="13">
        <f>L467*(D467*1000)*J467</f>
        <v>550.9121398</v>
      </c>
      <c r="N467" s="13">
        <f>MAX(0.25*SQRT($B$2)/$D$2,1.4/$D$2)*(D467*1000)*J467</f>
        <v>342.55</v>
      </c>
      <c r="O467" s="13">
        <f>MAX(M467,N467)</f>
        <v>550.9121398</v>
      </c>
      <c r="P467" s="14">
        <f>ROUNDUP(O467/$J$2,0)</f>
        <v>3</v>
      </c>
      <c r="Q467" s="13">
        <f>P467*$J$2</f>
        <v>597</v>
      </c>
      <c r="R467" s="10">
        <f>Q467*$D$2/(0.85*$B$2*(D467*1000))</f>
        <v>35.11764706</v>
      </c>
      <c r="S467" s="10">
        <f>0.9*Q467*$D$2*(J467-R467/2)/1000000</f>
        <v>73.33945883</v>
      </c>
      <c r="T467" s="15" t="str">
        <f>IF(AND(S467&gt;=F467,O467&lt;=0.025*(D467*1000)*J467,O467&gt;=N467),"CUMPLE","REVISAR")</f>
        <v>CUMPLE</v>
      </c>
      <c r="U467" s="11">
        <f>G467*1000000/(0.9*(D467*1000)*J467^2)</f>
        <v>1.13376911</v>
      </c>
      <c r="V467" s="12">
        <f>(0.85*$B$2/$D$2)*(1-SQRT(1-2*U467/(0.85*$B$2)))</f>
        <v>0.002767006047</v>
      </c>
      <c r="W467" s="13">
        <f>V467*(D467*1000)*J467</f>
        <v>284.3513765</v>
      </c>
      <c r="X467" s="13">
        <f>MAX(W467,N467)</f>
        <v>342.55</v>
      </c>
      <c r="Y467" s="14">
        <f>ROUNDUP(X467/$J$2,0)</f>
        <v>2</v>
      </c>
      <c r="Z467" s="13">
        <f>Y467*$J$2</f>
        <v>398</v>
      </c>
      <c r="AA467" s="10">
        <f>0.9*Z467*$D$2*(J467-(Z467*$D$2/(0.85*$B$2*(D467*1000)))/2)/1000000</f>
        <v>49.77351244</v>
      </c>
      <c r="AB467" s="15" t="str">
        <f>IF(AA467&gt;=G467,"CUMPLE","REVISAR")</f>
        <v>CUMPLE</v>
      </c>
      <c r="AC467" s="10">
        <f>0.17*SQRT($B$2)*(D467*1000)*J467/1000</f>
        <v>92.44281538</v>
      </c>
      <c r="AD467" s="10">
        <f>MAX(H467/0.75-AC467,0)</f>
        <v>0</v>
      </c>
      <c r="AE467" s="14">
        <f>IF(AD467&gt;0,MIN($N$2*$D$2*J467/(AD467*1000),MIN(J467/4,6*$H$2,150)),MIN(J467/4,6*$H$2,150))</f>
        <v>85.6375</v>
      </c>
      <c r="AF467" s="10">
        <f>0.66*SQRT($B$2)*(D467*1000)*J467/1000</f>
        <v>358.8956362</v>
      </c>
      <c r="AG467" s="15" t="str">
        <f>IF(AD467&lt;=AF467,"CUMPLE","AUMENTAR SECCION")</f>
        <v>CUMPLE</v>
      </c>
      <c r="AH467" s="10">
        <f>0.75*0.083*SQRT($B$2)*(((D467*1000)*(E467*1000))^2/(2*((D467*1000)+(E467*1000))))/1000000</f>
        <v>3.388073536</v>
      </c>
      <c r="AI467" s="15" t="str">
        <f>IF(I467&gt;AH467,"SI","No")</f>
        <v>No</v>
      </c>
      <c r="AJ467" s="11">
        <f>IF(I467&gt;AH467,I467*1000000/(0.75*2*0.85*((D467*1000-2*$F$2)*(E467*1000-2*$F$2))*$D$2),0)</f>
        <v>0</v>
      </c>
      <c r="AK467" s="10">
        <f>1.25*Q467*$D$2*(J467-(1.25*Q467*$D$2/(0.85*$B$2*(D467*1000)))/2)/1000000</f>
        <v>100.4845159</v>
      </c>
      <c r="AL467" s="10">
        <f>1.25*Z467*$D$2*(J467-(1.25*Z467*$D$2/(0.85*$B$2*(D467*1000)))/2)/1000000</f>
        <v>68.51839235</v>
      </c>
      <c r="AM467" s="10">
        <f>(AK467+AL467)/B467</f>
        <v>43.89685929</v>
      </c>
      <c r="AN467" s="10">
        <f>MAX(H467,AM467)</f>
        <v>51.53</v>
      </c>
    </row>
    <row r="468">
      <c r="A468" s="5" t="inlineStr">
        <is>
          <t>F939</t>
        </is>
      </c>
      <c r="B468" s="6" t="n">
        <v>3.85</v>
      </c>
      <c r="C468" s="7" t="inlineStr">
        <is>
          <t>VC</t>
        </is>
      </c>
      <c r="D468" s="8">
        <f>IF(C468="VR",0.35,0.30)</f>
        <v>0.3</v>
      </c>
      <c r="E468" s="6" t="n">
        <v>0.4</v>
      </c>
      <c r="F468" s="9" t="n">
        <v>68</v>
      </c>
      <c r="G468" s="9" t="n">
        <v>38.4</v>
      </c>
      <c r="H468" s="9" t="n">
        <v>49.5</v>
      </c>
      <c r="I468" s="6" t="n">
        <v>0</v>
      </c>
      <c r="J468" s="10">
        <f>E468*1000-$F$2-$L$2-$H$2/2</f>
        <v>342.55</v>
      </c>
      <c r="K468" s="11">
        <f>F468*1000000/(0.9*(D468*1000)*J468^2)</f>
        <v>2.145386592</v>
      </c>
      <c r="L468" s="12">
        <f>(0.85*$B$2/$D$2)*(1-SQRT(1-2*K468/(0.85*$B$2)))</f>
        <v>0.005361722764</v>
      </c>
      <c r="M468" s="13">
        <f>L468*(D468*1000)*J468</f>
        <v>550.9974398</v>
      </c>
      <c r="N468" s="13">
        <f>MAX(0.25*SQRT($B$2)/$D$2,1.4/$D$2)*(D468*1000)*J468</f>
        <v>342.55</v>
      </c>
      <c r="O468" s="13">
        <f>MAX(M468,N468)</f>
        <v>550.9974398</v>
      </c>
      <c r="P468" s="14">
        <f>ROUNDUP(O468/$J$2,0)</f>
        <v>3</v>
      </c>
      <c r="Q468" s="13">
        <f>P468*$J$2</f>
        <v>597</v>
      </c>
      <c r="R468" s="10">
        <f>Q468*$D$2/(0.85*$B$2*(D468*1000))</f>
        <v>35.11764706</v>
      </c>
      <c r="S468" s="10">
        <f>0.9*Q468*$D$2*(J468-R468/2)/1000000</f>
        <v>73.33945883</v>
      </c>
      <c r="T468" s="15" t="str">
        <f>IF(AND(S468&gt;=F468,O468&lt;=0.025*(D468*1000)*J468,O468&gt;=N468),"CUMPLE","REVISAR")</f>
        <v>CUMPLE</v>
      </c>
      <c r="U468" s="11">
        <f>G468*1000000/(0.9*(D468*1000)*J468^2)</f>
        <v>1.212362792</v>
      </c>
      <c r="V468" s="12">
        <f>(0.85*$B$2/$D$2)*(1-SQRT(1-2*U468/(0.85*$B$2)))</f>
        <v>0.00296410066</v>
      </c>
      <c r="W468" s="13">
        <f>V468*(D468*1000)*J468</f>
        <v>304.6058043</v>
      </c>
      <c r="X468" s="13">
        <f>MAX(W468,N468)</f>
        <v>342.55</v>
      </c>
      <c r="Y468" s="14">
        <f>ROUNDUP(X468/$J$2,0)</f>
        <v>2</v>
      </c>
      <c r="Z468" s="13">
        <f>Y468*$J$2</f>
        <v>398</v>
      </c>
      <c r="AA468" s="10">
        <f>0.9*Z468*$D$2*(J468-(Z468*$D$2/(0.85*$B$2*(D468*1000)))/2)/1000000</f>
        <v>49.77351244</v>
      </c>
      <c r="AB468" s="15" t="str">
        <f>IF(AA468&gt;=G468,"CUMPLE","REVISAR")</f>
        <v>CUMPLE</v>
      </c>
      <c r="AC468" s="10">
        <f>0.17*SQRT($B$2)*(D468*1000)*J468/1000</f>
        <v>92.44281538</v>
      </c>
      <c r="AD468" s="10">
        <f>MAX(H468/0.75-AC468,0)</f>
        <v>0</v>
      </c>
      <c r="AE468" s="14">
        <f>IF(AD468&gt;0,MIN($N$2*$D$2*J468/(AD468*1000),MIN(J468/4,6*$H$2,150)),MIN(J468/4,6*$H$2,150))</f>
        <v>85.6375</v>
      </c>
      <c r="AF468" s="10">
        <f>0.66*SQRT($B$2)*(D468*1000)*J468/1000</f>
        <v>358.8956362</v>
      </c>
      <c r="AG468" s="15" t="str">
        <f>IF(AD468&lt;=AF468,"CUMPLE","AUMENTAR SECCION")</f>
        <v>CUMPLE</v>
      </c>
      <c r="AH468" s="10">
        <f>0.75*0.083*SQRT($B$2)*(((D468*1000)*(E468*1000))^2/(2*((D468*1000)+(E468*1000))))/1000000</f>
        <v>3.388073536</v>
      </c>
      <c r="AI468" s="15" t="str">
        <f>IF(I468&gt;AH468,"SI","No")</f>
        <v>No</v>
      </c>
      <c r="AJ468" s="11">
        <f>IF(I468&gt;AH468,I468*1000000/(0.75*2*0.85*((D468*1000-2*$F$2)*(E468*1000-2*$F$2))*$D$2),0)</f>
        <v>0</v>
      </c>
      <c r="AK468" s="10">
        <f>1.25*Q468*$D$2*(J468-(1.25*Q468*$D$2/(0.85*$B$2*(D468*1000)))/2)/1000000</f>
        <v>100.4845159</v>
      </c>
      <c r="AL468" s="10">
        <f>1.25*Z468*$D$2*(J468-(1.25*Z468*$D$2/(0.85*$B$2*(D468*1000)))/2)/1000000</f>
        <v>68.51839235</v>
      </c>
      <c r="AM468" s="10">
        <f>(AK468+AL468)/B468</f>
        <v>43.89685929</v>
      </c>
      <c r="AN468" s="10">
        <f>MAX(H468,AM468)</f>
        <v>49.45</v>
      </c>
    </row>
    <row r="469">
      <c r="A469" s="5" t="inlineStr">
        <is>
          <t>F940</t>
        </is>
      </c>
      <c r="B469" s="6" t="n">
        <v>3.85</v>
      </c>
      <c r="C469" s="7" t="inlineStr">
        <is>
          <t>VC</t>
        </is>
      </c>
      <c r="D469" s="8">
        <f>IF(C469="VR",0.35,0.30)</f>
        <v>0.3</v>
      </c>
      <c r="E469" s="6" t="n">
        <v>0.4</v>
      </c>
      <c r="F469" s="9" t="n">
        <v>68</v>
      </c>
      <c r="G469" s="9" t="n">
        <v>38.4</v>
      </c>
      <c r="H469" s="9" t="n">
        <v>49.4</v>
      </c>
      <c r="I469" s="6" t="n">
        <v>0</v>
      </c>
      <c r="J469" s="10">
        <f>E469*1000-$F$2-$L$2-$H$2/2</f>
        <v>342.55</v>
      </c>
      <c r="K469" s="11">
        <f>F469*1000000/(0.9*(D469*1000)*J469^2)</f>
        <v>2.146649141</v>
      </c>
      <c r="L469" s="12">
        <f>(0.85*$B$2/$D$2)*(1-SQRT(1-2*K469/(0.85*$B$2)))</f>
        <v>0.005365043096</v>
      </c>
      <c r="M469" s="13">
        <f>L469*(D469*1000)*J469</f>
        <v>551.3386537</v>
      </c>
      <c r="N469" s="13">
        <f>MAX(0.25*SQRT($B$2)/$D$2,1.4/$D$2)*(D469*1000)*J469</f>
        <v>342.55</v>
      </c>
      <c r="O469" s="13">
        <f>MAX(M469,N469)</f>
        <v>551.3386537</v>
      </c>
      <c r="P469" s="14">
        <f>ROUNDUP(O469/$J$2,0)</f>
        <v>3</v>
      </c>
      <c r="Q469" s="13">
        <f>P469*$J$2</f>
        <v>597</v>
      </c>
      <c r="R469" s="10">
        <f>Q469*$D$2/(0.85*$B$2*(D469*1000))</f>
        <v>35.11764706</v>
      </c>
      <c r="S469" s="10">
        <f>0.9*Q469*$D$2*(J469-R469/2)/1000000</f>
        <v>73.33945883</v>
      </c>
      <c r="T469" s="15" t="str">
        <f>IF(AND(S469&gt;=F469,O469&lt;=0.025*(D469*1000)*J469,O469&gt;=N469),"CUMPLE","REVISAR")</f>
        <v>CUMPLE</v>
      </c>
      <c r="U469" s="11">
        <f>G469*1000000/(0.9*(D469*1000)*J469^2)</f>
        <v>1.211731518</v>
      </c>
      <c r="V469" s="12">
        <f>(0.85*$B$2/$D$2)*(1-SQRT(1-2*U469/(0.85*$B$2)))</f>
        <v>0.002962514689</v>
      </c>
      <c r="W469" s="13">
        <f>V469*(D469*1000)*J469</f>
        <v>304.442822</v>
      </c>
      <c r="X469" s="13">
        <f>MAX(W469,N469)</f>
        <v>342.55</v>
      </c>
      <c r="Y469" s="14">
        <f>ROUNDUP(X469/$J$2,0)</f>
        <v>2</v>
      </c>
      <c r="Z469" s="13">
        <f>Y469*$J$2</f>
        <v>398</v>
      </c>
      <c r="AA469" s="10">
        <f>0.9*Z469*$D$2*(J469-(Z469*$D$2/(0.85*$B$2*(D469*1000)))/2)/1000000</f>
        <v>49.77351244</v>
      </c>
      <c r="AB469" s="15" t="str">
        <f>IF(AA469&gt;=G469,"CUMPLE","REVISAR")</f>
        <v>CUMPLE</v>
      </c>
      <c r="AC469" s="10">
        <f>0.17*SQRT($B$2)*(D469*1000)*J469/1000</f>
        <v>92.44281538</v>
      </c>
      <c r="AD469" s="10">
        <f>MAX(H469/0.75-AC469,0)</f>
        <v>0</v>
      </c>
      <c r="AE469" s="14">
        <f>IF(AD469&gt;0,MIN($N$2*$D$2*J469/(AD469*1000),MIN(J469/4,6*$H$2,150)),MIN(J469/4,6*$H$2,150))</f>
        <v>85.6375</v>
      </c>
      <c r="AF469" s="10">
        <f>0.66*SQRT($B$2)*(D469*1000)*J469/1000</f>
        <v>358.8956362</v>
      </c>
      <c r="AG469" s="15" t="str">
        <f>IF(AD469&lt;=AF469,"CUMPLE","AUMENTAR SECCION")</f>
        <v>CUMPLE</v>
      </c>
      <c r="AH469" s="10">
        <f>0.75*0.083*SQRT($B$2)*(((D469*1000)*(E469*1000))^2/(2*((D469*1000)+(E469*1000))))/1000000</f>
        <v>3.388073536</v>
      </c>
      <c r="AI469" s="15" t="str">
        <f>IF(I469&gt;AH469,"SI","No")</f>
        <v>No</v>
      </c>
      <c r="AJ469" s="11">
        <f>IF(I469&gt;AH469,I469*1000000/(0.75*2*0.85*((D469*1000-2*$F$2)*(E469*1000-2*$F$2))*$D$2),0)</f>
        <v>0</v>
      </c>
      <c r="AK469" s="10">
        <f>1.25*Q469*$D$2*(J469-(1.25*Q469*$D$2/(0.85*$B$2*(D469*1000)))/2)/1000000</f>
        <v>100.4845159</v>
      </c>
      <c r="AL469" s="10">
        <f>1.25*Z469*$D$2*(J469-(1.25*Z469*$D$2/(0.85*$B$2*(D469*1000)))/2)/1000000</f>
        <v>68.51839235</v>
      </c>
      <c r="AM469" s="10">
        <f>(AK469+AL469)/B469</f>
        <v>43.89685929</v>
      </c>
      <c r="AN469" s="10">
        <f>MAX(H469,AM469)</f>
        <v>49.44</v>
      </c>
    </row>
    <row r="470">
      <c r="A470" s="5" t="inlineStr">
        <is>
          <t>F941</t>
        </is>
      </c>
      <c r="B470" s="6" t="n">
        <v>4</v>
      </c>
      <c r="C470" s="7" t="inlineStr">
        <is>
          <t>VC</t>
        </is>
      </c>
      <c r="D470" s="8">
        <f>IF(C470="VR",0.35,0.30)</f>
        <v>0.3</v>
      </c>
      <c r="E470" s="6" t="n">
        <v>0.4</v>
      </c>
      <c r="F470" s="9" t="n">
        <v>56.4</v>
      </c>
      <c r="G470" s="9" t="n">
        <v>38.4</v>
      </c>
      <c r="H470" s="9" t="n">
        <v>36.7</v>
      </c>
      <c r="I470" s="6" t="n">
        <v>0</v>
      </c>
      <c r="J470" s="10">
        <f>E470*1000-$F$2-$L$2-$H$2/2</f>
        <v>342.55</v>
      </c>
      <c r="K470" s="11">
        <f>F470*1000000/(0.9*(D470*1000)*J470^2)</f>
        <v>1.778616073</v>
      </c>
      <c r="L470" s="12">
        <f>(0.85*$B$2/$D$2)*(1-SQRT(1-2*K470/(0.85*$B$2)))</f>
        <v>0.004406097482</v>
      </c>
      <c r="M470" s="13">
        <f>L470*(D470*1000)*J470</f>
        <v>452.7926077</v>
      </c>
      <c r="N470" s="13">
        <f>MAX(0.25*SQRT($B$2)/$D$2,1.4/$D$2)*(D470*1000)*J470</f>
        <v>342.55</v>
      </c>
      <c r="O470" s="13">
        <f>MAX(M470,N470)</f>
        <v>452.7926077</v>
      </c>
      <c r="P470" s="14">
        <f>ROUNDUP(O470/$J$2,0)</f>
        <v>3</v>
      </c>
      <c r="Q470" s="13">
        <f>P470*$J$2</f>
        <v>597</v>
      </c>
      <c r="R470" s="10">
        <f>Q470*$D$2/(0.85*$B$2*(D470*1000))</f>
        <v>35.11764706</v>
      </c>
      <c r="S470" s="10">
        <f>0.9*Q470*$D$2*(J470-R470/2)/1000000</f>
        <v>73.33945883</v>
      </c>
      <c r="T470" s="15" t="str">
        <f>IF(AND(S470&gt;=F470,O470&lt;=0.025*(D470*1000)*J470,O470&gt;=N470),"CUMPLE","REVISAR")</f>
        <v>CUMPLE</v>
      </c>
      <c r="U470" s="11">
        <f>G470*1000000/(0.9*(D470*1000)*J470^2)</f>
        <v>1.21267843</v>
      </c>
      <c r="V470" s="12">
        <f>(0.85*$B$2/$D$2)*(1-SQRT(1-2*U470/(0.85*$B$2)))</f>
        <v>0.002964893663</v>
      </c>
      <c r="W470" s="13">
        <f>V470*(D470*1000)*J470</f>
        <v>304.6872972</v>
      </c>
      <c r="X470" s="13">
        <f>MAX(W470,N470)</f>
        <v>342.55</v>
      </c>
      <c r="Y470" s="14">
        <f>ROUNDUP(X470/$J$2,0)</f>
        <v>2</v>
      </c>
      <c r="Z470" s="13">
        <f>Y470*$J$2</f>
        <v>398</v>
      </c>
      <c r="AA470" s="10">
        <f>0.9*Z470*$D$2*(J470-(Z470*$D$2/(0.85*$B$2*(D470*1000)))/2)/1000000</f>
        <v>49.77351244</v>
      </c>
      <c r="AB470" s="15" t="str">
        <f>IF(AA470&gt;=G470,"CUMPLE","REVISAR")</f>
        <v>CUMPLE</v>
      </c>
      <c r="AC470" s="10">
        <f>0.17*SQRT($B$2)*(D470*1000)*J470/1000</f>
        <v>92.44281538</v>
      </c>
      <c r="AD470" s="10">
        <f>MAX(H470/0.75-AC470,0)</f>
        <v>0</v>
      </c>
      <c r="AE470" s="14">
        <f>IF(AD470&gt;0,MIN($N$2*$D$2*J470/(AD470*1000),MIN(J470/4,6*$H$2,150)),MIN(J470/4,6*$H$2,150))</f>
        <v>85.6375</v>
      </c>
      <c r="AF470" s="10">
        <f>0.66*SQRT($B$2)*(D470*1000)*J470/1000</f>
        <v>358.8956362</v>
      </c>
      <c r="AG470" s="15" t="str">
        <f>IF(AD470&lt;=AF470,"CUMPLE","AUMENTAR SECCION")</f>
        <v>CUMPLE</v>
      </c>
      <c r="AH470" s="10">
        <f>0.75*0.083*SQRT($B$2)*(((D470*1000)*(E470*1000))^2/(2*((D470*1000)+(E470*1000))))/1000000</f>
        <v>3.388073536</v>
      </c>
      <c r="AI470" s="15" t="str">
        <f>IF(I470&gt;AH470,"SI","No")</f>
        <v>No</v>
      </c>
      <c r="AJ470" s="11">
        <f>IF(I470&gt;AH470,I470*1000000/(0.75*2*0.85*((D470*1000-2*$F$2)*(E470*1000-2*$F$2))*$D$2),0)</f>
        <v>0</v>
      </c>
      <c r="AK470" s="10">
        <f>1.25*Q470*$D$2*(J470-(1.25*Q470*$D$2/(0.85*$B$2*(D470*1000)))/2)/1000000</f>
        <v>100.4845159</v>
      </c>
      <c r="AL470" s="10">
        <f>1.25*Z470*$D$2*(J470-(1.25*Z470*$D$2/(0.85*$B$2*(D470*1000)))/2)/1000000</f>
        <v>68.51839235</v>
      </c>
      <c r="AM470" s="10">
        <f>(AK470+AL470)/B470</f>
        <v>42.25072707</v>
      </c>
      <c r="AN470" s="10">
        <f>MAX(H470,AM470)</f>
        <v>42.25072707</v>
      </c>
    </row>
    <row r="471">
      <c r="A471" s="5" t="inlineStr">
        <is>
          <t>F942</t>
        </is>
      </c>
      <c r="B471" s="6" t="n">
        <v>3.81</v>
      </c>
      <c r="C471" s="7" t="inlineStr">
        <is>
          <t>VC</t>
        </is>
      </c>
      <c r="D471" s="8">
        <f>IF(C471="VR",0.35,0.30)</f>
        <v>0.3</v>
      </c>
      <c r="E471" s="6" t="n">
        <v>0.4</v>
      </c>
      <c r="F471" s="9" t="n">
        <v>74.40000000000001</v>
      </c>
      <c r="G471" s="9" t="n">
        <v>41.9</v>
      </c>
      <c r="H471" s="9" t="n">
        <v>53</v>
      </c>
      <c r="I471" s="6" t="n">
        <v>4.3</v>
      </c>
      <c r="J471" s="10">
        <f>E471*1000-$F$2-$L$2-$H$2/2</f>
        <v>342.55</v>
      </c>
      <c r="K471" s="11">
        <f>F471*1000000/(0.9*(D471*1000)*J471^2)</f>
        <v>2.347078814</v>
      </c>
      <c r="L471" s="12">
        <f>(0.85*$B$2/$D$2)*(1-SQRT(1-2*K471/(0.85*$B$2)))</f>
        <v>0.005894899083</v>
      </c>
      <c r="M471" s="13">
        <f>L471*(D471*1000)*J471</f>
        <v>605.7893042</v>
      </c>
      <c r="N471" s="13">
        <f>MAX(0.25*SQRT($B$2)/$D$2,1.4/$D$2)*(D471*1000)*J471</f>
        <v>342.55</v>
      </c>
      <c r="O471" s="13">
        <f>MAX(M471,N471)</f>
        <v>605.7893042</v>
      </c>
      <c r="P471" s="14">
        <f>ROUNDUP(O471/$J$2,0)</f>
        <v>4</v>
      </c>
      <c r="Q471" s="13">
        <f>P471*$J$2</f>
        <v>796</v>
      </c>
      <c r="R471" s="10">
        <f>Q471*$D$2/(0.85*$B$2*(D471*1000))</f>
        <v>46.82352941</v>
      </c>
      <c r="S471" s="10">
        <f>0.9*Q471*$D$2*(J471-R471/2)/1000000</f>
        <v>96.02486534</v>
      </c>
      <c r="T471" s="15" t="str">
        <f>IF(AND(S471&gt;=F471,O471&lt;=0.025*(D471*1000)*J471,O471&gt;=N471),"CUMPLE","REVISAR")</f>
        <v>CUMPLE</v>
      </c>
      <c r="U471" s="11">
        <f>G471*1000000/(0.9*(D471*1000)*J471^2)</f>
        <v>1.323782752</v>
      </c>
      <c r="V471" s="12">
        <f>(0.85*$B$2/$D$2)*(1-SQRT(1-2*U471/(0.85*$B$2)))</f>
        <v>0.003244762055</v>
      </c>
      <c r="W471" s="13">
        <f>V471*(D471*1000)*J471</f>
        <v>333.4479726</v>
      </c>
      <c r="X471" s="13">
        <f>MAX(W471,N471)</f>
        <v>342.55</v>
      </c>
      <c r="Y471" s="14">
        <f>ROUNDUP(X471/$J$2,0)</f>
        <v>2</v>
      </c>
      <c r="Z471" s="13">
        <f>Y471*$J$2</f>
        <v>398</v>
      </c>
      <c r="AA471" s="10">
        <f>0.9*Z471*$D$2*(J471-(Z471*$D$2/(0.85*$B$2*(D471*1000)))/2)/1000000</f>
        <v>49.77351244</v>
      </c>
      <c r="AB471" s="15" t="str">
        <f>IF(AA471&gt;=G471,"CUMPLE","REVISAR")</f>
        <v>CUMPLE</v>
      </c>
      <c r="AC471" s="10">
        <f>0.17*SQRT($B$2)*(D471*1000)*J471/1000</f>
        <v>92.44281538</v>
      </c>
      <c r="AD471" s="10">
        <f>MAX(H471/0.75-AC471,0)</f>
        <v>0</v>
      </c>
      <c r="AE471" s="14">
        <f>IF(AD471&gt;0,MIN($N$2*$D$2*J471/(AD471*1000),MIN(J471/4,6*$H$2,150)),MIN(J471/4,6*$H$2,150))</f>
        <v>85.6375</v>
      </c>
      <c r="AF471" s="10">
        <f>0.66*SQRT($B$2)*(D471*1000)*J471/1000</f>
        <v>358.8956362</v>
      </c>
      <c r="AG471" s="15" t="str">
        <f>IF(AD471&lt;=AF471,"CUMPLE","AUMENTAR SECCION")</f>
        <v>CUMPLE</v>
      </c>
      <c r="AH471" s="10">
        <f>0.75*0.083*SQRT($B$2)*(((D471*1000)*(E471*1000))^2/(2*((D471*1000)+(E471*1000))))/1000000</f>
        <v>3.388073536</v>
      </c>
      <c r="AI471" s="15" t="str">
        <f>IF(I471&gt;AH471,"SI","No")</f>
        <v>SI</v>
      </c>
      <c r="AJ471" s="11">
        <f>IF(I471&gt;AH471,I471*1000000/(0.75*2*0.85*((D471*1000-2*$F$2)*(E471*1000-2*$F$2))*$D$2),0)</f>
        <v>0.1141934046</v>
      </c>
      <c r="AK471" s="10">
        <f>1.25*Q471*$D$2*(J471-(1.25*Q471*$D$2/(0.85*$B$2*(D471*1000)))/2)/1000000</f>
        <v>130.9219244</v>
      </c>
      <c r="AL471" s="10">
        <f>1.25*Z471*$D$2*(J471-(1.25*Z471*$D$2/(0.85*$B$2*(D471*1000)))/2)/1000000</f>
        <v>68.51839235</v>
      </c>
      <c r="AM471" s="10">
        <f>(AK471+AL471)/B471</f>
        <v>52.27793362</v>
      </c>
      <c r="AN471" s="10">
        <f>MAX(H471,AM471)</f>
        <v>52.97</v>
      </c>
    </row>
    <row r="472">
      <c r="A472" s="5" t="inlineStr">
        <is>
          <t>F943</t>
        </is>
      </c>
      <c r="B472" s="6" t="n">
        <v>3.81</v>
      </c>
      <c r="C472" s="7" t="inlineStr">
        <is>
          <t>VC</t>
        </is>
      </c>
      <c r="D472" s="8">
        <f>IF(C472="VR",0.35,0.30)</f>
        <v>0.3</v>
      </c>
      <c r="E472" s="6" t="n">
        <v>0.4</v>
      </c>
      <c r="F472" s="9" t="n">
        <v>74.3</v>
      </c>
      <c r="G472" s="9" t="n">
        <v>42</v>
      </c>
      <c r="H472" s="9" t="n">
        <v>52.9</v>
      </c>
      <c r="I472" s="6" t="n">
        <v>4.31</v>
      </c>
      <c r="J472" s="10">
        <f>E472*1000-$F$2-$L$2-$H$2/2</f>
        <v>342.55</v>
      </c>
      <c r="K472" s="11">
        <f>F472*1000000/(0.9*(D472*1000)*J472^2)</f>
        <v>2.346763176</v>
      </c>
      <c r="L472" s="12">
        <f>(0.85*$B$2/$D$2)*(1-SQRT(1-2*K472/(0.85*$B$2)))</f>
        <v>0.005894060317</v>
      </c>
      <c r="M472" s="13">
        <f>L472*(D472*1000)*J472</f>
        <v>605.7031084</v>
      </c>
      <c r="N472" s="13">
        <f>MAX(0.25*SQRT($B$2)/$D$2,1.4/$D$2)*(D472*1000)*J472</f>
        <v>342.55</v>
      </c>
      <c r="O472" s="13">
        <f>MAX(M472,N472)</f>
        <v>605.7031084</v>
      </c>
      <c r="P472" s="14">
        <f>ROUNDUP(O472/$J$2,0)</f>
        <v>4</v>
      </c>
      <c r="Q472" s="13">
        <f>P472*$J$2</f>
        <v>796</v>
      </c>
      <c r="R472" s="10">
        <f>Q472*$D$2/(0.85*$B$2*(D472*1000))</f>
        <v>46.82352941</v>
      </c>
      <c r="S472" s="10">
        <f>0.9*Q472*$D$2*(J472-R472/2)/1000000</f>
        <v>96.02486534</v>
      </c>
      <c r="T472" s="15" t="str">
        <f>IF(AND(S472&gt;=F472,O472&lt;=0.025*(D472*1000)*J472,O472&gt;=N472),"CUMPLE","REVISAR")</f>
        <v>CUMPLE</v>
      </c>
      <c r="U472" s="11">
        <f>G472*1000000/(0.9*(D472*1000)*J472^2)</f>
        <v>1.324098389</v>
      </c>
      <c r="V472" s="12">
        <f>(0.85*$B$2/$D$2)*(1-SQRT(1-2*U472/(0.85*$B$2)))</f>
        <v>0.003245559225</v>
      </c>
      <c r="W472" s="13">
        <f>V472*(D472*1000)*J472</f>
        <v>333.5298937</v>
      </c>
      <c r="X472" s="13">
        <f>MAX(W472,N472)</f>
        <v>342.55</v>
      </c>
      <c r="Y472" s="14">
        <f>ROUNDUP(X472/$J$2,0)</f>
        <v>2</v>
      </c>
      <c r="Z472" s="13">
        <f>Y472*$J$2</f>
        <v>398</v>
      </c>
      <c r="AA472" s="10">
        <f>0.9*Z472*$D$2*(J472-(Z472*$D$2/(0.85*$B$2*(D472*1000)))/2)/1000000</f>
        <v>49.77351244</v>
      </c>
      <c r="AB472" s="15" t="str">
        <f>IF(AA472&gt;=G472,"CUMPLE","REVISAR")</f>
        <v>CUMPLE</v>
      </c>
      <c r="AC472" s="10">
        <f>0.17*SQRT($B$2)*(D472*1000)*J472/1000</f>
        <v>92.44281538</v>
      </c>
      <c r="AD472" s="10">
        <f>MAX(H472/0.75-AC472,0)</f>
        <v>0</v>
      </c>
      <c r="AE472" s="14">
        <f>IF(AD472&gt;0,MIN($N$2*$D$2*J472/(AD472*1000),MIN(J472/4,6*$H$2,150)),MIN(J472/4,6*$H$2,150))</f>
        <v>85.6375</v>
      </c>
      <c r="AF472" s="10">
        <f>0.66*SQRT($B$2)*(D472*1000)*J472/1000</f>
        <v>358.8956362</v>
      </c>
      <c r="AG472" s="15" t="str">
        <f>IF(AD472&lt;=AF472,"CUMPLE","AUMENTAR SECCION")</f>
        <v>CUMPLE</v>
      </c>
      <c r="AH472" s="10">
        <f>0.75*0.083*SQRT($B$2)*(((D472*1000)*(E472*1000))^2/(2*((D472*1000)+(E472*1000))))/1000000</f>
        <v>3.388073536</v>
      </c>
      <c r="AI472" s="15" t="str">
        <f>IF(I472&gt;AH472,"SI","No")</f>
        <v>SI</v>
      </c>
      <c r="AJ472" s="11">
        <f>IF(I472&gt;AH472,I472*1000000/(0.75*2*0.85*((D472*1000-2*$F$2)*(E472*1000-2*$F$2))*$D$2),0)</f>
        <v>0.1142199304</v>
      </c>
      <c r="AK472" s="10">
        <f>1.25*Q472*$D$2*(J472-(1.25*Q472*$D$2/(0.85*$B$2*(D472*1000)))/2)/1000000</f>
        <v>130.9219244</v>
      </c>
      <c r="AL472" s="10">
        <f>1.25*Z472*$D$2*(J472-(1.25*Z472*$D$2/(0.85*$B$2*(D472*1000)))/2)/1000000</f>
        <v>68.51839235</v>
      </c>
      <c r="AM472" s="10">
        <f>(AK472+AL472)/B472</f>
        <v>52.27793362</v>
      </c>
      <c r="AN472" s="10">
        <f>MAX(H472,AM472)</f>
        <v>52.93</v>
      </c>
    </row>
    <row r="473">
      <c r="A473" s="5" t="inlineStr">
        <is>
          <t>F944</t>
        </is>
      </c>
      <c r="B473" s="6" t="n">
        <v>4</v>
      </c>
      <c r="C473" s="7" t="inlineStr">
        <is>
          <t>VC</t>
        </is>
      </c>
      <c r="D473" s="8">
        <f>IF(C473="VR",0.35,0.30)</f>
        <v>0.3</v>
      </c>
      <c r="E473" s="6" t="n">
        <v>0.4</v>
      </c>
      <c r="F473" s="9" t="n">
        <v>56.3</v>
      </c>
      <c r="G473" s="9" t="n">
        <v>38.4</v>
      </c>
      <c r="H473" s="9" t="n">
        <v>36.7</v>
      </c>
      <c r="I473" s="6" t="n">
        <v>0</v>
      </c>
      <c r="J473" s="10">
        <f>E473*1000-$F$2-$L$2-$H$2/2</f>
        <v>342.55</v>
      </c>
      <c r="K473" s="11">
        <f>F473*1000000/(0.9*(D473*1000)*J473^2)</f>
        <v>1.777984798</v>
      </c>
      <c r="L473" s="12">
        <f>(0.85*$B$2/$D$2)*(1-SQRT(1-2*K473/(0.85*$B$2)))</f>
        <v>0.004404467751</v>
      </c>
      <c r="M473" s="13">
        <f>L473*(D473*1000)*J473</f>
        <v>452.6251285</v>
      </c>
      <c r="N473" s="13">
        <f>MAX(0.25*SQRT($B$2)/$D$2,1.4/$D$2)*(D473*1000)*J473</f>
        <v>342.55</v>
      </c>
      <c r="O473" s="13">
        <f>MAX(M473,N473)</f>
        <v>452.6251285</v>
      </c>
      <c r="P473" s="14">
        <f>ROUNDUP(O473/$J$2,0)</f>
        <v>3</v>
      </c>
      <c r="Q473" s="13">
        <f>P473*$J$2</f>
        <v>597</v>
      </c>
      <c r="R473" s="10">
        <f>Q473*$D$2/(0.85*$B$2*(D473*1000))</f>
        <v>35.11764706</v>
      </c>
      <c r="S473" s="10">
        <f>0.9*Q473*$D$2*(J473-R473/2)/1000000</f>
        <v>73.33945883</v>
      </c>
      <c r="T473" s="15" t="str">
        <f>IF(AND(S473&gt;=F473,O473&lt;=0.025*(D473*1000)*J473,O473&gt;=N473),"CUMPLE","REVISAR")</f>
        <v>CUMPLE</v>
      </c>
      <c r="U473" s="11">
        <f>G473*1000000/(0.9*(D473*1000)*J473^2)</f>
        <v>1.212362792</v>
      </c>
      <c r="V473" s="12">
        <f>(0.85*$B$2/$D$2)*(1-SQRT(1-2*U473/(0.85*$B$2)))</f>
        <v>0.00296410066</v>
      </c>
      <c r="W473" s="13">
        <f>V473*(D473*1000)*J473</f>
        <v>304.6058043</v>
      </c>
      <c r="X473" s="13">
        <f>MAX(W473,N473)</f>
        <v>342.55</v>
      </c>
      <c r="Y473" s="14">
        <f>ROUNDUP(X473/$J$2,0)</f>
        <v>2</v>
      </c>
      <c r="Z473" s="13">
        <f>Y473*$J$2</f>
        <v>398</v>
      </c>
      <c r="AA473" s="10">
        <f>0.9*Z473*$D$2*(J473-(Z473*$D$2/(0.85*$B$2*(D473*1000)))/2)/1000000</f>
        <v>49.77351244</v>
      </c>
      <c r="AB473" s="15" t="str">
        <f>IF(AA473&gt;=G473,"CUMPLE","REVISAR")</f>
        <v>CUMPLE</v>
      </c>
      <c r="AC473" s="10">
        <f>0.17*SQRT($B$2)*(D473*1000)*J473/1000</f>
        <v>92.44281538</v>
      </c>
      <c r="AD473" s="10">
        <f>MAX(H473/0.75-AC473,0)</f>
        <v>0</v>
      </c>
      <c r="AE473" s="14">
        <f>IF(AD473&gt;0,MIN($N$2*$D$2*J473/(AD473*1000),MIN(J473/4,6*$H$2,150)),MIN(J473/4,6*$H$2,150))</f>
        <v>85.6375</v>
      </c>
      <c r="AF473" s="10">
        <f>0.66*SQRT($B$2)*(D473*1000)*J473/1000</f>
        <v>358.8956362</v>
      </c>
      <c r="AG473" s="15" t="str">
        <f>IF(AD473&lt;=AF473,"CUMPLE","AUMENTAR SECCION")</f>
        <v>CUMPLE</v>
      </c>
      <c r="AH473" s="10">
        <f>0.75*0.083*SQRT($B$2)*(((D473*1000)*(E473*1000))^2/(2*((D473*1000)+(E473*1000))))/1000000</f>
        <v>3.388073536</v>
      </c>
      <c r="AI473" s="15" t="str">
        <f>IF(I473&gt;AH473,"SI","No")</f>
        <v>No</v>
      </c>
      <c r="AJ473" s="11">
        <f>IF(I473&gt;AH473,I473*1000000/(0.75*2*0.85*((D473*1000-2*$F$2)*(E473*1000-2*$F$2))*$D$2),0)</f>
        <v>0</v>
      </c>
      <c r="AK473" s="10">
        <f>1.25*Q473*$D$2*(J473-(1.25*Q473*$D$2/(0.85*$B$2*(D473*1000)))/2)/1000000</f>
        <v>100.4845159</v>
      </c>
      <c r="AL473" s="10">
        <f>1.25*Z473*$D$2*(J473-(1.25*Z473*$D$2/(0.85*$B$2*(D473*1000)))/2)/1000000</f>
        <v>68.51839235</v>
      </c>
      <c r="AM473" s="10">
        <f>(AK473+AL473)/B473</f>
        <v>42.25072707</v>
      </c>
      <c r="AN473" s="10">
        <f>MAX(H473,AM473)</f>
        <v>42.25072707</v>
      </c>
    </row>
    <row r="474">
      <c r="A474" s="5" t="inlineStr">
        <is>
          <t>F945</t>
        </is>
      </c>
      <c r="B474" s="6" t="n">
        <v>4</v>
      </c>
      <c r="C474" s="7" t="inlineStr">
        <is>
          <t>VC</t>
        </is>
      </c>
      <c r="D474" s="8">
        <f>IF(C474="VR",0.35,0.30)</f>
        <v>0.3</v>
      </c>
      <c r="E474" s="6" t="n">
        <v>0.4</v>
      </c>
      <c r="F474" s="9" t="n">
        <v>48.8</v>
      </c>
      <c r="G474" s="9" t="n">
        <v>33.8</v>
      </c>
      <c r="H474" s="9" t="n">
        <v>33.1</v>
      </c>
      <c r="I474" s="6" t="n">
        <v>0</v>
      </c>
      <c r="J474" s="10">
        <f>E474*1000-$F$2-$L$2-$H$2/2</f>
        <v>342.55</v>
      </c>
      <c r="K474" s="11">
        <f>F474*1000000/(0.9*(D474*1000)*J474^2)</f>
        <v>1.540309926</v>
      </c>
      <c r="L474" s="12">
        <f>(0.85*$B$2/$D$2)*(1-SQRT(1-2*K474/(0.85*$B$2)))</f>
        <v>0.003794444048</v>
      </c>
      <c r="M474" s="13">
        <f>L474*(D474*1000)*J474</f>
        <v>389.9360425</v>
      </c>
      <c r="N474" s="13">
        <f>MAX(0.25*SQRT($B$2)/$D$2,1.4/$D$2)*(D474*1000)*J474</f>
        <v>342.55</v>
      </c>
      <c r="O474" s="13">
        <f>MAX(M474,N474)</f>
        <v>389.9360425</v>
      </c>
      <c r="P474" s="14">
        <f>ROUNDUP(O474/$J$2,0)</f>
        <v>2</v>
      </c>
      <c r="Q474" s="13">
        <f>P474*$J$2</f>
        <v>398</v>
      </c>
      <c r="R474" s="10">
        <f>Q474*$D$2/(0.85*$B$2*(D474*1000))</f>
        <v>23.41176471</v>
      </c>
      <c r="S474" s="10">
        <f>0.9*Q474*$D$2*(J474-R474/2)/1000000</f>
        <v>49.77351244</v>
      </c>
      <c r="T474" s="15" t="str">
        <f>IF(AND(S474&gt;=F474,O474&lt;=0.025*(D474*1000)*J474,O474&gt;=N474),"CUMPLE","REVISAR")</f>
        <v>CUMPLE</v>
      </c>
      <c r="U474" s="11">
        <f>G474*1000000/(0.9*(D474*1000)*J474^2)</f>
        <v>1.065591457</v>
      </c>
      <c r="V474" s="12">
        <f>(0.85*$B$2/$D$2)*(1-SQRT(1-2*U474/(0.85*$B$2)))</f>
        <v>0.002596614335</v>
      </c>
      <c r="W474" s="13">
        <f>V474*(D474*1000)*J474</f>
        <v>266.8410721</v>
      </c>
      <c r="X474" s="13">
        <f>MAX(W474,N474)</f>
        <v>342.55</v>
      </c>
      <c r="Y474" s="14">
        <f>ROUNDUP(X474/$J$2,0)</f>
        <v>2</v>
      </c>
      <c r="Z474" s="13">
        <f>Y474*$J$2</f>
        <v>398</v>
      </c>
      <c r="AA474" s="10">
        <f>0.9*Z474*$D$2*(J474-(Z474*$D$2/(0.85*$B$2*(D474*1000)))/2)/1000000</f>
        <v>49.77351244</v>
      </c>
      <c r="AB474" s="15" t="str">
        <f>IF(AA474&gt;=G474,"CUMPLE","REVISAR")</f>
        <v>CUMPLE</v>
      </c>
      <c r="AC474" s="10">
        <f>0.17*SQRT($B$2)*(D474*1000)*J474/1000</f>
        <v>92.44281538</v>
      </c>
      <c r="AD474" s="10">
        <f>MAX(H474/0.75-AC474,0)</f>
        <v>0</v>
      </c>
      <c r="AE474" s="14">
        <f>IF(AD474&gt;0,MIN($N$2*$D$2*J474/(AD474*1000),MIN(J474/4,6*$H$2,150)),MIN(J474/4,6*$H$2,150))</f>
        <v>85.6375</v>
      </c>
      <c r="AF474" s="10">
        <f>0.66*SQRT($B$2)*(D474*1000)*J474/1000</f>
        <v>358.8956362</v>
      </c>
      <c r="AG474" s="15" t="str">
        <f>IF(AD474&lt;=AF474,"CUMPLE","AUMENTAR SECCION")</f>
        <v>CUMPLE</v>
      </c>
      <c r="AH474" s="10">
        <f>0.75*0.083*SQRT($B$2)*(((D474*1000)*(E474*1000))^2/(2*((D474*1000)+(E474*1000))))/1000000</f>
        <v>3.388073536</v>
      </c>
      <c r="AI474" s="15" t="str">
        <f>IF(I474&gt;AH474,"SI","No")</f>
        <v>No</v>
      </c>
      <c r="AJ474" s="11">
        <f>IF(I474&gt;AH474,I474*1000000/(0.75*2*0.85*((D474*1000-2*$F$2)*(E474*1000-2*$F$2))*$D$2),0)</f>
        <v>0</v>
      </c>
      <c r="AK474" s="10">
        <f>1.25*Q474*$D$2*(J474-(1.25*Q474*$D$2/(0.85*$B$2*(D474*1000)))/2)/1000000</f>
        <v>68.51839235</v>
      </c>
      <c r="AL474" s="10">
        <f>1.25*Z474*$D$2*(J474-(1.25*Z474*$D$2/(0.85*$B$2*(D474*1000)))/2)/1000000</f>
        <v>68.51839235</v>
      </c>
      <c r="AM474" s="10">
        <f>(AK474+AL474)/B474</f>
        <v>34.25919618</v>
      </c>
      <c r="AN474" s="10">
        <f>MAX(H474,AM474)</f>
        <v>34.25919618</v>
      </c>
    </row>
    <row r="475">
      <c r="A475" s="5" t="inlineStr">
        <is>
          <t>F946</t>
        </is>
      </c>
      <c r="B475" s="6" t="n">
        <v>4</v>
      </c>
      <c r="C475" s="7" t="inlineStr">
        <is>
          <t>VC</t>
        </is>
      </c>
      <c r="D475" s="8">
        <f>IF(C475="VR",0.35,0.30)</f>
        <v>0.3</v>
      </c>
      <c r="E475" s="6" t="n">
        <v>0.4</v>
      </c>
      <c r="F475" s="9" t="n">
        <v>48.8</v>
      </c>
      <c r="G475" s="9" t="n">
        <v>33.8</v>
      </c>
      <c r="H475" s="9" t="n">
        <v>33.1</v>
      </c>
      <c r="I475" s="6" t="n">
        <v>0</v>
      </c>
      <c r="J475" s="10">
        <f>E475*1000-$F$2-$L$2-$H$2/2</f>
        <v>342.55</v>
      </c>
      <c r="K475" s="11">
        <f>F475*1000000/(0.9*(D475*1000)*J475^2)</f>
        <v>1.540309926</v>
      </c>
      <c r="L475" s="12">
        <f>(0.85*$B$2/$D$2)*(1-SQRT(1-2*K475/(0.85*$B$2)))</f>
        <v>0.003794444048</v>
      </c>
      <c r="M475" s="13">
        <f>L475*(D475*1000)*J475</f>
        <v>389.9360425</v>
      </c>
      <c r="N475" s="13">
        <f>MAX(0.25*SQRT($B$2)/$D$2,1.4/$D$2)*(D475*1000)*J475</f>
        <v>342.55</v>
      </c>
      <c r="O475" s="13">
        <f>MAX(M475,N475)</f>
        <v>389.9360425</v>
      </c>
      <c r="P475" s="14">
        <f>ROUNDUP(O475/$J$2,0)</f>
        <v>2</v>
      </c>
      <c r="Q475" s="13">
        <f>P475*$J$2</f>
        <v>398</v>
      </c>
      <c r="R475" s="10">
        <f>Q475*$D$2/(0.85*$B$2*(D475*1000))</f>
        <v>23.41176471</v>
      </c>
      <c r="S475" s="10">
        <f>0.9*Q475*$D$2*(J475-R475/2)/1000000</f>
        <v>49.77351244</v>
      </c>
      <c r="T475" s="15" t="str">
        <f>IF(AND(S475&gt;=F475,O475&lt;=0.025*(D475*1000)*J475,O475&gt;=N475),"CUMPLE","REVISAR")</f>
        <v>CUMPLE</v>
      </c>
      <c r="U475" s="11">
        <f>G475*1000000/(0.9*(D475*1000)*J475^2)</f>
        <v>1.065591457</v>
      </c>
      <c r="V475" s="12">
        <f>(0.85*$B$2/$D$2)*(1-SQRT(1-2*U475/(0.85*$B$2)))</f>
        <v>0.002596614335</v>
      </c>
      <c r="W475" s="13">
        <f>V475*(D475*1000)*J475</f>
        <v>266.8410721</v>
      </c>
      <c r="X475" s="13">
        <f>MAX(W475,N475)</f>
        <v>342.55</v>
      </c>
      <c r="Y475" s="14">
        <f>ROUNDUP(X475/$J$2,0)</f>
        <v>2</v>
      </c>
      <c r="Z475" s="13">
        <f>Y475*$J$2</f>
        <v>398</v>
      </c>
      <c r="AA475" s="10">
        <f>0.9*Z475*$D$2*(J475-(Z475*$D$2/(0.85*$B$2*(D475*1000)))/2)/1000000</f>
        <v>49.77351244</v>
      </c>
      <c r="AB475" s="15" t="str">
        <f>IF(AA475&gt;=G475,"CUMPLE","REVISAR")</f>
        <v>CUMPLE</v>
      </c>
      <c r="AC475" s="10">
        <f>0.17*SQRT($B$2)*(D475*1000)*J475/1000</f>
        <v>92.44281538</v>
      </c>
      <c r="AD475" s="10">
        <f>MAX(H475/0.75-AC475,0)</f>
        <v>0</v>
      </c>
      <c r="AE475" s="14">
        <f>IF(AD475&gt;0,MIN($N$2*$D$2*J475/(AD475*1000),MIN(J475/4,6*$H$2,150)),MIN(J475/4,6*$H$2,150))</f>
        <v>85.6375</v>
      </c>
      <c r="AF475" s="10">
        <f>0.66*SQRT($B$2)*(D475*1000)*J475/1000</f>
        <v>358.8956362</v>
      </c>
      <c r="AG475" s="15" t="str">
        <f>IF(AD475&lt;=AF475,"CUMPLE","AUMENTAR SECCION")</f>
        <v>CUMPLE</v>
      </c>
      <c r="AH475" s="10">
        <f>0.75*0.083*SQRT($B$2)*(((D475*1000)*(E475*1000))^2/(2*((D475*1000)+(E475*1000))))/1000000</f>
        <v>3.388073536</v>
      </c>
      <c r="AI475" s="15" t="str">
        <f>IF(I475&gt;AH475,"SI","No")</f>
        <v>No</v>
      </c>
      <c r="AJ475" s="11">
        <f>IF(I475&gt;AH475,I475*1000000/(0.75*2*0.85*((D475*1000-2*$F$2)*(E475*1000-2*$F$2))*$D$2),0)</f>
        <v>0</v>
      </c>
      <c r="AK475" s="10">
        <f>1.25*Q475*$D$2*(J475-(1.25*Q475*$D$2/(0.85*$B$2*(D475*1000)))/2)/1000000</f>
        <v>68.51839235</v>
      </c>
      <c r="AL475" s="10">
        <f>1.25*Z475*$D$2*(J475-(1.25*Z475*$D$2/(0.85*$B$2*(D475*1000)))/2)/1000000</f>
        <v>68.51839235</v>
      </c>
      <c r="AM475" s="10">
        <f>(AK475+AL475)/B475</f>
        <v>34.25919618</v>
      </c>
      <c r="AN475" s="10">
        <f>MAX(H475,AM475)</f>
        <v>34.25919618</v>
      </c>
    </row>
    <row r="476">
      <c r="A476" s="5" t="inlineStr">
        <is>
          <t>F947</t>
        </is>
      </c>
      <c r="B476" s="6" t="n">
        <v>2.6</v>
      </c>
      <c r="C476" s="7" t="inlineStr">
        <is>
          <t>VC</t>
        </is>
      </c>
      <c r="D476" s="8">
        <f>IF(C476="VR",0.35,0.30)</f>
        <v>0.3</v>
      </c>
      <c r="E476" s="6" t="n">
        <v>0.4</v>
      </c>
      <c r="F476" s="9" t="n">
        <v>22.7</v>
      </c>
      <c r="G476" s="9" t="n">
        <v>8.1</v>
      </c>
      <c r="H476" s="9" t="n">
        <v>42.4</v>
      </c>
      <c r="I476" s="6" t="n">
        <v>2.51</v>
      </c>
      <c r="J476" s="10">
        <f>E476*1000-$F$2-$L$2-$H$2/2</f>
        <v>342.55</v>
      </c>
      <c r="K476" s="11">
        <f>F476*1000000/(0.9*(D476*1000)*J476^2)</f>
        <v>0.7164966255</v>
      </c>
      <c r="L476" s="12">
        <f>(0.85*$B$2/$D$2)*(1-SQRT(1-2*K476/(0.85*$B$2)))</f>
        <v>0.001732426417</v>
      </c>
      <c r="M476" s="13">
        <f>L476*(D476*1000)*J476</f>
        <v>178.0328007</v>
      </c>
      <c r="N476" s="13">
        <f>MAX(0.25*SQRT($B$2)/$D$2,1.4/$D$2)*(D476*1000)*J476</f>
        <v>342.55</v>
      </c>
      <c r="O476" s="13">
        <f>MAX(M476,N476)</f>
        <v>342.55</v>
      </c>
      <c r="P476" s="14">
        <f>ROUNDUP(O476/$J$2,0)</f>
        <v>2</v>
      </c>
      <c r="Q476" s="13">
        <f>P476*$J$2</f>
        <v>398</v>
      </c>
      <c r="R476" s="10">
        <f>Q476*$D$2/(0.85*$B$2*(D476*1000))</f>
        <v>23.41176471</v>
      </c>
      <c r="S476" s="10">
        <f>0.9*Q476*$D$2*(J476-R476/2)/1000000</f>
        <v>49.77351244</v>
      </c>
      <c r="T476" s="15" t="str">
        <f>IF(AND(S476&gt;=F476,O476&lt;=0.025*(D476*1000)*J476,O476&gt;=N476),"CUMPLE","REVISAR")</f>
        <v>CUMPLE</v>
      </c>
      <c r="U476" s="11">
        <f>G476*1000000/(0.9*(D476*1000)*J476^2)</f>
        <v>0.2566131086</v>
      </c>
      <c r="V476" s="12">
        <f>(0.85*$B$2/$D$2)*(1-SQRT(1-2*U476/(0.85*$B$2)))</f>
        <v>0.0006143134241</v>
      </c>
      <c r="W476" s="13">
        <f>V476*(D476*1000)*J476</f>
        <v>63.12991903</v>
      </c>
      <c r="X476" s="13">
        <f>MAX(W476,N476)</f>
        <v>342.55</v>
      </c>
      <c r="Y476" s="14">
        <f>ROUNDUP(X476/$J$2,0)</f>
        <v>2</v>
      </c>
      <c r="Z476" s="13">
        <f>Y476*$J$2</f>
        <v>398</v>
      </c>
      <c r="AA476" s="10">
        <f>0.9*Z476*$D$2*(J476-(Z476*$D$2/(0.85*$B$2*(D476*1000)))/2)/1000000</f>
        <v>49.77351244</v>
      </c>
      <c r="AB476" s="15" t="str">
        <f>IF(AA476&gt;=G476,"CUMPLE","REVISAR")</f>
        <v>CUMPLE</v>
      </c>
      <c r="AC476" s="10">
        <f>0.17*SQRT($B$2)*(D476*1000)*J476/1000</f>
        <v>92.44281538</v>
      </c>
      <c r="AD476" s="10">
        <f>MAX(H476/0.75-AC476,0)</f>
        <v>0</v>
      </c>
      <c r="AE476" s="14">
        <f>IF(AD476&gt;0,MIN($N$2*$D$2*J476/(AD476*1000),MIN(J476/4,6*$H$2,150)),MIN(J476/4,6*$H$2,150))</f>
        <v>85.6375</v>
      </c>
      <c r="AF476" s="10">
        <f>0.66*SQRT($B$2)*(D476*1000)*J476/1000</f>
        <v>358.8956362</v>
      </c>
      <c r="AG476" s="15" t="str">
        <f>IF(AD476&lt;=AF476,"CUMPLE","AUMENTAR SECCION")</f>
        <v>CUMPLE</v>
      </c>
      <c r="AH476" s="10">
        <f>0.75*0.083*SQRT($B$2)*(((D476*1000)*(E476*1000))^2/(2*((D476*1000)+(E476*1000))))/1000000</f>
        <v>3.388073536</v>
      </c>
      <c r="AI476" s="15" t="str">
        <f>IF(I476&gt;AH476,"SI","No")</f>
        <v>No</v>
      </c>
      <c r="AJ476" s="11">
        <f>IF(I476&gt;AH476,I476*1000000/(0.75*2*0.85*((D476*1000-2*$F$2)*(E476*1000-2*$F$2))*$D$2),0)</f>
        <v>0</v>
      </c>
      <c r="AK476" s="10">
        <f>1.25*Q476*$D$2*(J476-(1.25*Q476*$D$2/(0.85*$B$2*(D476*1000)))/2)/1000000</f>
        <v>68.51839235</v>
      </c>
      <c r="AL476" s="10">
        <f>1.25*Z476*$D$2*(J476-(1.25*Z476*$D$2/(0.85*$B$2*(D476*1000)))/2)/1000000</f>
        <v>68.51839235</v>
      </c>
      <c r="AM476" s="10">
        <f>(AK476+AL476)/B476</f>
        <v>52.70645566</v>
      </c>
      <c r="AN476" s="10">
        <f>MAX(H476,AM476)</f>
        <v>52.70645566</v>
      </c>
    </row>
    <row r="477">
      <c r="A477" s="5" t="inlineStr">
        <is>
          <t>F948</t>
        </is>
      </c>
      <c r="B477" s="6" t="n">
        <v>3.65</v>
      </c>
      <c r="C477" s="7" t="inlineStr">
        <is>
          <t>VR</t>
        </is>
      </c>
      <c r="D477" s="8">
        <f>IF(C477="VR",0.35,0.30)</f>
        <v>0.35</v>
      </c>
      <c r="E477" s="6" t="n">
        <v>0.4</v>
      </c>
      <c r="F477" s="9" t="n">
        <v>34</v>
      </c>
      <c r="G477" s="9" t="n">
        <v>16</v>
      </c>
      <c r="H477" s="9" t="n">
        <v>53.8</v>
      </c>
      <c r="I477" s="6" t="n">
        <v>0.24</v>
      </c>
      <c r="J477" s="10">
        <f>E477*1000-$F$2-$L$2-$H$2/2</f>
        <v>342.55</v>
      </c>
      <c r="K477" s="11">
        <f>F477*1000000/(0.9*(D477*1000)*J477^2)</f>
        <v>0.9198572159</v>
      </c>
      <c r="L477" s="12">
        <f>(0.85*$B$2/$D$2)*(1-SQRT(1-2*K477/(0.85*$B$2)))</f>
        <v>0.002234179383</v>
      </c>
      <c r="M477" s="13">
        <f>L477*(D477*1000)*J477</f>
        <v>267.8613516</v>
      </c>
      <c r="N477" s="13">
        <f>MAX(0.25*SQRT($B$2)/$D$2,1.4/$D$2)*(D477*1000)*J477</f>
        <v>399.6416667</v>
      </c>
      <c r="O477" s="13">
        <f>MAX(M477,N477)</f>
        <v>399.6416667</v>
      </c>
      <c r="P477" s="14">
        <f>ROUNDUP(O477/$J$2,0)</f>
        <v>3</v>
      </c>
      <c r="Q477" s="13">
        <f>P477*$J$2</f>
        <v>597</v>
      </c>
      <c r="R477" s="10">
        <f>Q477*$D$2/(0.85*$B$2*(D477*1000))</f>
        <v>30.10084034</v>
      </c>
      <c r="S477" s="10">
        <f>0.9*Q477*$D$2*(J477-R477/2)/1000000</f>
        <v>73.90552018</v>
      </c>
      <c r="T477" s="15" t="str">
        <f>IF(AND(S477&gt;=F477,O477&lt;=0.025*(D477*1000)*J477,O477&gt;=N477),"CUMPLE","REVISAR")</f>
        <v>CUMPLE</v>
      </c>
      <c r="U477" s="11">
        <f>G477*1000000/(0.9*(D477*1000)*J477^2)</f>
        <v>0.4336856227</v>
      </c>
      <c r="V477" s="12">
        <f>(0.85*$B$2/$D$2)*(1-SQRT(1-2*U477/(0.85*$B$2)))</f>
        <v>0.001042168179</v>
      </c>
      <c r="W477" s="13">
        <f>V477*(D477*1000)*J477</f>
        <v>124.9481484</v>
      </c>
      <c r="X477" s="13">
        <f>MAX(W477,N477)</f>
        <v>399.6416667</v>
      </c>
      <c r="Y477" s="14">
        <f>ROUNDUP(X477/$J$2,0)</f>
        <v>3</v>
      </c>
      <c r="Z477" s="13">
        <f>Y477*$J$2</f>
        <v>597</v>
      </c>
      <c r="AA477" s="10">
        <f>0.9*Z477*$D$2*(J477-(Z477*$D$2/(0.85*$B$2*(D477*1000)))/2)/1000000</f>
        <v>73.90552018</v>
      </c>
      <c r="AB477" s="15" t="str">
        <f>IF(AA477&gt;=G477,"CUMPLE","REVISAR")</f>
        <v>CUMPLE</v>
      </c>
      <c r="AC477" s="10">
        <f>0.17*SQRT($B$2)*(D477*1000)*J477/1000</f>
        <v>107.8499513</v>
      </c>
      <c r="AD477" s="10">
        <f>MAX(H477/0.75-AC477,0)</f>
        <v>0</v>
      </c>
      <c r="AE477" s="14">
        <f>IF(AD477&gt;0,MIN($N$2*$D$2*J477/(AD477*1000),MIN(J477/4,6*$H$2,150)),MIN(J477/4,6*$H$2,150))</f>
        <v>85.6375</v>
      </c>
      <c r="AF477" s="10">
        <f>0.66*SQRT($B$2)*(D477*1000)*J477/1000</f>
        <v>418.7115756</v>
      </c>
      <c r="AG477" s="15" t="str">
        <f>IF(AD477&lt;=AF477,"CUMPLE","AUMENTAR SECCION")</f>
        <v>CUMPLE</v>
      </c>
      <c r="AH477" s="10">
        <f>0.75*0.083*SQRT($B$2)*(((D477*1000)*(E477*1000))^2/(2*((D477*1000)+(E477*1000))))/1000000</f>
        <v>4.304108233</v>
      </c>
      <c r="AI477" s="15" t="str">
        <f>IF(I477&gt;AH477,"SI","No")</f>
        <v>No</v>
      </c>
      <c r="AJ477" s="11">
        <f>IF(I477&gt;AH477,I477*1000000/(0.75*2*0.85*((D477*1000-2*$F$2)*(E477*1000-2*$F$2))*$D$2),0)</f>
        <v>0</v>
      </c>
      <c r="AK477" s="10">
        <f>1.25*Q477*$D$2*(J477-(1.25*Q477*$D$2/(0.85*$B$2*(D477*1000)))/2)/1000000</f>
        <v>101.4672613</v>
      </c>
      <c r="AL477" s="10">
        <f>1.25*Z477*$D$2*(J477-(1.25*Z477*$D$2/(0.85*$B$2*(D477*1000)))/2)/1000000</f>
        <v>101.4672613</v>
      </c>
      <c r="AM477" s="10">
        <f>(AK477+AL477)/B477</f>
        <v>55.59849936</v>
      </c>
      <c r="AN477" s="10">
        <f>MAX(H477,AM477)</f>
        <v>55.59849936</v>
      </c>
    </row>
    <row r="478">
      <c r="A478" s="5" t="inlineStr">
        <is>
          <t>F949</t>
        </is>
      </c>
      <c r="B478" s="6" t="n">
        <v>2.6</v>
      </c>
      <c r="C478" s="7" t="inlineStr">
        <is>
          <t>VC</t>
        </is>
      </c>
      <c r="D478" s="8">
        <f>IF(C478="VR",0.35,0.30)</f>
        <v>0.3</v>
      </c>
      <c r="E478" s="6" t="n">
        <v>0.4</v>
      </c>
      <c r="F478" s="9" t="n">
        <v>22</v>
      </c>
      <c r="G478" s="9" t="n">
        <v>8.1</v>
      </c>
      <c r="H478" s="9" t="n">
        <v>41.9</v>
      </c>
      <c r="I478" s="6" t="n">
        <v>0.12</v>
      </c>
      <c r="J478" s="10">
        <f>E478*1000-$F$2-$L$2-$H$2/2</f>
        <v>342.55</v>
      </c>
      <c r="K478" s="11">
        <f>F478*1000000/(0.9*(D478*1000)*J478^2)</f>
        <v>0.6940863786</v>
      </c>
      <c r="L478" s="12">
        <f>(0.85*$B$2/$D$2)*(1-SQRT(1-2*K478/(0.85*$B$2)))</f>
        <v>0.001677413523</v>
      </c>
      <c r="M478" s="13">
        <f>L478*(D478*1000)*J478</f>
        <v>172.3794007</v>
      </c>
      <c r="N478" s="13">
        <f>MAX(0.25*SQRT($B$2)/$D$2,1.4/$D$2)*(D478*1000)*J478</f>
        <v>342.55</v>
      </c>
      <c r="O478" s="13">
        <f>MAX(M478,N478)</f>
        <v>342.55</v>
      </c>
      <c r="P478" s="14">
        <f>ROUNDUP(O478/$J$2,0)</f>
        <v>2</v>
      </c>
      <c r="Q478" s="13">
        <f>P478*$J$2</f>
        <v>398</v>
      </c>
      <c r="R478" s="10">
        <f>Q478*$D$2/(0.85*$B$2*(D478*1000))</f>
        <v>23.41176471</v>
      </c>
      <c r="S478" s="10">
        <f>0.9*Q478*$D$2*(J478-R478/2)/1000000</f>
        <v>49.77351244</v>
      </c>
      <c r="T478" s="15" t="str">
        <f>IF(AND(S478&gt;=F478,O478&lt;=0.025*(D478*1000)*J478,O478&gt;=N478),"CUMPLE","REVISAR")</f>
        <v>CUMPLE</v>
      </c>
      <c r="U478" s="11">
        <f>G478*1000000/(0.9*(D478*1000)*J478^2)</f>
        <v>0.2566131086</v>
      </c>
      <c r="V478" s="12">
        <f>(0.85*$B$2/$D$2)*(1-SQRT(1-2*U478/(0.85*$B$2)))</f>
        <v>0.0006143134241</v>
      </c>
      <c r="W478" s="13">
        <f>V478*(D478*1000)*J478</f>
        <v>63.12991903</v>
      </c>
      <c r="X478" s="13">
        <f>MAX(W478,N478)</f>
        <v>342.55</v>
      </c>
      <c r="Y478" s="14">
        <f>ROUNDUP(X478/$J$2,0)</f>
        <v>2</v>
      </c>
      <c r="Z478" s="13">
        <f>Y478*$J$2</f>
        <v>398</v>
      </c>
      <c r="AA478" s="10">
        <f>0.9*Z478*$D$2*(J478-(Z478*$D$2/(0.85*$B$2*(D478*1000)))/2)/1000000</f>
        <v>49.77351244</v>
      </c>
      <c r="AB478" s="15" t="str">
        <f>IF(AA478&gt;=G478,"CUMPLE","REVISAR")</f>
        <v>CUMPLE</v>
      </c>
      <c r="AC478" s="10">
        <f>0.17*SQRT($B$2)*(D478*1000)*J478/1000</f>
        <v>92.44281538</v>
      </c>
      <c r="AD478" s="10">
        <f>MAX(H478/0.75-AC478,0)</f>
        <v>0</v>
      </c>
      <c r="AE478" s="14">
        <f>IF(AD478&gt;0,MIN($N$2*$D$2*J478/(AD478*1000),MIN(J478/4,6*$H$2,150)),MIN(J478/4,6*$H$2,150))</f>
        <v>85.6375</v>
      </c>
      <c r="AF478" s="10">
        <f>0.66*SQRT($B$2)*(D478*1000)*J478/1000</f>
        <v>358.8956362</v>
      </c>
      <c r="AG478" s="15" t="str">
        <f>IF(AD478&lt;=AF478,"CUMPLE","AUMENTAR SECCION")</f>
        <v>CUMPLE</v>
      </c>
      <c r="AH478" s="10">
        <f>0.75*0.083*SQRT($B$2)*(((D478*1000)*(E478*1000))^2/(2*((D478*1000)+(E478*1000))))/1000000</f>
        <v>3.388073536</v>
      </c>
      <c r="AI478" s="15" t="str">
        <f>IF(I478&gt;AH478,"SI","No")</f>
        <v>No</v>
      </c>
      <c r="AJ478" s="11">
        <f>IF(I478&gt;AH478,I478*1000000/(0.75*2*0.85*((D478*1000-2*$F$2)*(E478*1000-2*$F$2))*$D$2),0)</f>
        <v>0</v>
      </c>
      <c r="AK478" s="10">
        <f>1.25*Q478*$D$2*(J478-(1.25*Q478*$D$2/(0.85*$B$2*(D478*1000)))/2)/1000000</f>
        <v>68.51839235</v>
      </c>
      <c r="AL478" s="10">
        <f>1.25*Z478*$D$2*(J478-(1.25*Z478*$D$2/(0.85*$B$2*(D478*1000)))/2)/1000000</f>
        <v>68.51839235</v>
      </c>
      <c r="AM478" s="10">
        <f>(AK478+AL478)/B478</f>
        <v>52.70645566</v>
      </c>
      <c r="AN478" s="10">
        <f>MAX(H478,AM478)</f>
        <v>52.70645566</v>
      </c>
    </row>
    <row r="479">
      <c r="A479" s="5" t="inlineStr">
        <is>
          <t>F950</t>
        </is>
      </c>
      <c r="B479" s="6" t="n">
        <v>2.5</v>
      </c>
      <c r="C479" s="7" t="inlineStr">
        <is>
          <t>VC</t>
        </is>
      </c>
      <c r="D479" s="8">
        <f>IF(C479="VR",0.35,0.30)</f>
        <v>0.3</v>
      </c>
      <c r="E479" s="6" t="n">
        <v>0.4</v>
      </c>
      <c r="F479" s="9" t="n">
        <v>25.4</v>
      </c>
      <c r="G479" s="9" t="n">
        <v>8.699999999999999</v>
      </c>
      <c r="H479" s="9" t="n">
        <v>44.4</v>
      </c>
      <c r="I479" s="6" t="n">
        <v>0.48</v>
      </c>
      <c r="J479" s="10">
        <f>E479*1000-$F$2-$L$2-$H$2/2</f>
        <v>342.55</v>
      </c>
      <c r="K479" s="11">
        <f>F479*1000000/(0.9*(D479*1000)*J479^2)</f>
        <v>0.8020343284</v>
      </c>
      <c r="L479" s="12">
        <f>(0.85*$B$2/$D$2)*(1-SQRT(1-2*K479/(0.85*$B$2)))</f>
        <v>0.001942913602</v>
      </c>
      <c r="M479" s="13">
        <f>L479*(D479*1000)*J479</f>
        <v>199.6635163</v>
      </c>
      <c r="N479" s="13">
        <f>MAX(0.25*SQRT($B$2)/$D$2,1.4/$D$2)*(D479*1000)*J479</f>
        <v>342.55</v>
      </c>
      <c r="O479" s="13">
        <f>MAX(M479,N479)</f>
        <v>342.55</v>
      </c>
      <c r="P479" s="14">
        <f>ROUNDUP(O479/$J$2,0)</f>
        <v>2</v>
      </c>
      <c r="Q479" s="13">
        <f>P479*$J$2</f>
        <v>398</v>
      </c>
      <c r="R479" s="10">
        <f>Q479*$D$2/(0.85*$B$2*(D479*1000))</f>
        <v>23.41176471</v>
      </c>
      <c r="S479" s="10">
        <f>0.9*Q479*$D$2*(J479-R479/2)/1000000</f>
        <v>49.77351244</v>
      </c>
      <c r="T479" s="15" t="str">
        <f>IF(AND(S479&gt;=F479,O479&lt;=0.025*(D479*1000)*J479,O479&gt;=N479),"CUMPLE","REVISAR")</f>
        <v>CUMPLE</v>
      </c>
      <c r="U479" s="11">
        <f>G479*1000000/(0.9*(D479*1000)*J479^2)</f>
        <v>0.2742887963</v>
      </c>
      <c r="V479" s="12">
        <f>(0.85*$B$2/$D$2)*(1-SQRT(1-2*U479/(0.85*$B$2)))</f>
        <v>0.0006568757902</v>
      </c>
      <c r="W479" s="13">
        <f>V479*(D479*1000)*J479</f>
        <v>67.50384058</v>
      </c>
      <c r="X479" s="13">
        <f>MAX(W479,N479)</f>
        <v>342.55</v>
      </c>
      <c r="Y479" s="14">
        <f>ROUNDUP(X479/$J$2,0)</f>
        <v>2</v>
      </c>
      <c r="Z479" s="13">
        <f>Y479*$J$2</f>
        <v>398</v>
      </c>
      <c r="AA479" s="10">
        <f>0.9*Z479*$D$2*(J479-(Z479*$D$2/(0.85*$B$2*(D479*1000)))/2)/1000000</f>
        <v>49.77351244</v>
      </c>
      <c r="AB479" s="15" t="str">
        <f>IF(AA479&gt;=G479,"CUMPLE","REVISAR")</f>
        <v>CUMPLE</v>
      </c>
      <c r="AC479" s="10">
        <f>0.17*SQRT($B$2)*(D479*1000)*J479/1000</f>
        <v>92.44281538</v>
      </c>
      <c r="AD479" s="10">
        <f>MAX(H479/0.75-AC479,0)</f>
        <v>0</v>
      </c>
      <c r="AE479" s="14">
        <f>IF(AD479&gt;0,MIN($N$2*$D$2*J479/(AD479*1000),MIN(J479/4,6*$H$2,150)),MIN(J479/4,6*$H$2,150))</f>
        <v>85.6375</v>
      </c>
      <c r="AF479" s="10">
        <f>0.66*SQRT($B$2)*(D479*1000)*J479/1000</f>
        <v>358.8956362</v>
      </c>
      <c r="AG479" s="15" t="str">
        <f>IF(AD479&lt;=AF479,"CUMPLE","AUMENTAR SECCION")</f>
        <v>CUMPLE</v>
      </c>
      <c r="AH479" s="10">
        <f>0.75*0.083*SQRT($B$2)*(((D479*1000)*(E479*1000))^2/(2*((D479*1000)+(E479*1000))))/1000000</f>
        <v>3.388073536</v>
      </c>
      <c r="AI479" s="15" t="str">
        <f>IF(I479&gt;AH479,"SI","No")</f>
        <v>No</v>
      </c>
      <c r="AJ479" s="11">
        <f>IF(I479&gt;AH479,I479*1000000/(0.75*2*0.85*((D479*1000-2*$F$2)*(E479*1000-2*$F$2))*$D$2),0)</f>
        <v>0</v>
      </c>
      <c r="AK479" s="10">
        <f>1.25*Q479*$D$2*(J479-(1.25*Q479*$D$2/(0.85*$B$2*(D479*1000)))/2)/1000000</f>
        <v>68.51839235</v>
      </c>
      <c r="AL479" s="10">
        <f>1.25*Z479*$D$2*(J479-(1.25*Z479*$D$2/(0.85*$B$2*(D479*1000)))/2)/1000000</f>
        <v>68.51839235</v>
      </c>
      <c r="AM479" s="10">
        <f>(AK479+AL479)/B479</f>
        <v>54.81471388</v>
      </c>
      <c r="AN479" s="10">
        <f>MAX(H479,AM479)</f>
        <v>54.81471388</v>
      </c>
    </row>
    <row r="480">
      <c r="A480" s="5" t="inlineStr">
        <is>
          <t>F951</t>
        </is>
      </c>
      <c r="B480" s="6" t="n">
        <v>4</v>
      </c>
      <c r="C480" s="7" t="inlineStr">
        <is>
          <t>VC</t>
        </is>
      </c>
      <c r="D480" s="8">
        <f>IF(C480="VR",0.35,0.30)</f>
        <v>0.3</v>
      </c>
      <c r="E480" s="6" t="n">
        <v>0.4</v>
      </c>
      <c r="F480" s="9" t="n">
        <v>47.5</v>
      </c>
      <c r="G480" s="9" t="n">
        <v>19.2</v>
      </c>
      <c r="H480" s="9" t="n">
        <v>62.2</v>
      </c>
      <c r="I480" s="6" t="n">
        <v>0.99</v>
      </c>
      <c r="J480" s="10">
        <f>E480*1000-$F$2-$L$2-$H$2/2</f>
        <v>342.55</v>
      </c>
      <c r="K480" s="11">
        <f>F480*1000000/(0.9*(D480*1000)*J480^2)</f>
        <v>1.498330168</v>
      </c>
      <c r="L480" s="12">
        <f>(0.85*$B$2/$D$2)*(1-SQRT(1-2*K480/(0.85*$B$2)))</f>
        <v>0.003687427375</v>
      </c>
      <c r="M480" s="13">
        <f>L480*(D480*1000)*J480</f>
        <v>378.9384742</v>
      </c>
      <c r="N480" s="13">
        <f>MAX(0.25*SQRT($B$2)/$D$2,1.4/$D$2)*(D480*1000)*J480</f>
        <v>342.55</v>
      </c>
      <c r="O480" s="13">
        <f>MAX(M480,N480)</f>
        <v>378.9384742</v>
      </c>
      <c r="P480" s="14">
        <f>ROUNDUP(O480/$J$2,0)</f>
        <v>2</v>
      </c>
      <c r="Q480" s="13">
        <f>P480*$J$2</f>
        <v>398</v>
      </c>
      <c r="R480" s="10">
        <f>Q480*$D$2/(0.85*$B$2*(D480*1000))</f>
        <v>23.41176471</v>
      </c>
      <c r="S480" s="10">
        <f>0.9*Q480*$D$2*(J480-R480/2)/1000000</f>
        <v>49.77351244</v>
      </c>
      <c r="T480" s="15" t="str">
        <f>IF(AND(S480&gt;=F480,O480&lt;=0.025*(D480*1000)*J480,O480&gt;=N480),"CUMPLE","REVISAR")</f>
        <v>CUMPLE</v>
      </c>
      <c r="U480" s="11">
        <f>G480*1000000/(0.9*(D480*1000)*J480^2)</f>
        <v>0.6076017639</v>
      </c>
      <c r="V480" s="12">
        <f>(0.85*$B$2/$D$2)*(1-SQRT(1-2*U480/(0.85*$B$2)))</f>
        <v>0.001465624289</v>
      </c>
      <c r="W480" s="13">
        <f>V480*(D480*1000)*J480</f>
        <v>150.6148801</v>
      </c>
      <c r="X480" s="13">
        <f>MAX(W480,N480)</f>
        <v>342.55</v>
      </c>
      <c r="Y480" s="14">
        <f>ROUNDUP(X480/$J$2,0)</f>
        <v>2</v>
      </c>
      <c r="Z480" s="13">
        <f>Y480*$J$2</f>
        <v>398</v>
      </c>
      <c r="AA480" s="10">
        <f>0.9*Z480*$D$2*(J480-(Z480*$D$2/(0.85*$B$2*(D480*1000)))/2)/1000000</f>
        <v>49.77351244</v>
      </c>
      <c r="AB480" s="15" t="str">
        <f>IF(AA480&gt;=G480,"CUMPLE","REVISAR")</f>
        <v>CUMPLE</v>
      </c>
      <c r="AC480" s="10">
        <f>0.17*SQRT($B$2)*(D480*1000)*J480/1000</f>
        <v>92.44281538</v>
      </c>
      <c r="AD480" s="10">
        <f>MAX(H480/0.75-AC480,0)</f>
        <v>0</v>
      </c>
      <c r="AE480" s="14">
        <f>IF(AD480&gt;0,MIN($N$2*$D$2*J480/(AD480*1000),MIN(J480/4,6*$H$2,150)),MIN(J480/4,6*$H$2,150))</f>
        <v>85.6375</v>
      </c>
      <c r="AF480" s="10">
        <f>0.66*SQRT($B$2)*(D480*1000)*J480/1000</f>
        <v>358.8956362</v>
      </c>
      <c r="AG480" s="15" t="str">
        <f>IF(AD480&lt;=AF480,"CUMPLE","AUMENTAR SECCION")</f>
        <v>CUMPLE</v>
      </c>
      <c r="AH480" s="10">
        <f>0.75*0.083*SQRT($B$2)*(((D480*1000)*(E480*1000))^2/(2*((D480*1000)+(E480*1000))))/1000000</f>
        <v>3.388073536</v>
      </c>
      <c r="AI480" s="15" t="str">
        <f>IF(I480&gt;AH480,"SI","No")</f>
        <v>No</v>
      </c>
      <c r="AJ480" s="11">
        <f>IF(I480&gt;AH480,I480*1000000/(0.75*2*0.85*((D480*1000-2*$F$2)*(E480*1000-2*$F$2))*$D$2),0)</f>
        <v>0</v>
      </c>
      <c r="AK480" s="10">
        <f>1.25*Q480*$D$2*(J480-(1.25*Q480*$D$2/(0.85*$B$2*(D480*1000)))/2)/1000000</f>
        <v>68.51839235</v>
      </c>
      <c r="AL480" s="10">
        <f>1.25*Z480*$D$2*(J480-(1.25*Z480*$D$2/(0.85*$B$2*(D480*1000)))/2)/1000000</f>
        <v>68.51839235</v>
      </c>
      <c r="AM480" s="10">
        <f>(AK480+AL480)/B480</f>
        <v>34.25919618</v>
      </c>
      <c r="AN480" s="10">
        <f>MAX(H480,AM480)</f>
        <v>62.24</v>
      </c>
    </row>
    <row r="481">
      <c r="A481" s="5" t="inlineStr">
        <is>
          <t>F952</t>
        </is>
      </c>
      <c r="B481" s="6" t="n">
        <v>4</v>
      </c>
      <c r="C481" s="7" t="inlineStr">
        <is>
          <t>VC</t>
        </is>
      </c>
      <c r="D481" s="8">
        <f>IF(C481="VR",0.35,0.30)</f>
        <v>0.3</v>
      </c>
      <c r="E481" s="6" t="n">
        <v>0.4</v>
      </c>
      <c r="F481" s="9" t="n">
        <v>47.4</v>
      </c>
      <c r="G481" s="9" t="n">
        <v>19.2</v>
      </c>
      <c r="H481" s="9" t="n">
        <v>62.2</v>
      </c>
      <c r="I481" s="6" t="n">
        <v>1.02</v>
      </c>
      <c r="J481" s="10">
        <f>E481*1000-$F$2-$L$2-$H$2/2</f>
        <v>342.55</v>
      </c>
      <c r="K481" s="11">
        <f>F481*1000000/(0.9*(D481*1000)*J481^2)</f>
        <v>1.496751982</v>
      </c>
      <c r="L481" s="12">
        <f>(0.85*$B$2/$D$2)*(1-SQRT(1-2*K481/(0.85*$B$2)))</f>
        <v>0.003683408407</v>
      </c>
      <c r="M481" s="13">
        <f>L481*(D481*1000)*J481</f>
        <v>378.525465</v>
      </c>
      <c r="N481" s="13">
        <f>MAX(0.25*SQRT($B$2)/$D$2,1.4/$D$2)*(D481*1000)*J481</f>
        <v>342.55</v>
      </c>
      <c r="O481" s="13">
        <f>MAX(M481,N481)</f>
        <v>378.525465</v>
      </c>
      <c r="P481" s="14">
        <f>ROUNDUP(O481/$J$2,0)</f>
        <v>2</v>
      </c>
      <c r="Q481" s="13">
        <f>P481*$J$2</f>
        <v>398</v>
      </c>
      <c r="R481" s="10">
        <f>Q481*$D$2/(0.85*$B$2*(D481*1000))</f>
        <v>23.41176471</v>
      </c>
      <c r="S481" s="10">
        <f>0.9*Q481*$D$2*(J481-R481/2)/1000000</f>
        <v>49.77351244</v>
      </c>
      <c r="T481" s="15" t="str">
        <f>IF(AND(S481&gt;=F481,O481&lt;=0.025*(D481*1000)*J481,O481&gt;=N481),"CUMPLE","REVISAR")</f>
        <v>CUMPLE</v>
      </c>
      <c r="U481" s="11">
        <f>G481*1000000/(0.9*(D481*1000)*J481^2)</f>
        <v>0.6076017639</v>
      </c>
      <c r="V481" s="12">
        <f>(0.85*$B$2/$D$2)*(1-SQRT(1-2*U481/(0.85*$B$2)))</f>
        <v>0.001465624289</v>
      </c>
      <c r="W481" s="13">
        <f>V481*(D481*1000)*J481</f>
        <v>150.6148801</v>
      </c>
      <c r="X481" s="13">
        <f>MAX(W481,N481)</f>
        <v>342.55</v>
      </c>
      <c r="Y481" s="14">
        <f>ROUNDUP(X481/$J$2,0)</f>
        <v>2</v>
      </c>
      <c r="Z481" s="13">
        <f>Y481*$J$2</f>
        <v>398</v>
      </c>
      <c r="AA481" s="10">
        <f>0.9*Z481*$D$2*(J481-(Z481*$D$2/(0.85*$B$2*(D481*1000)))/2)/1000000</f>
        <v>49.77351244</v>
      </c>
      <c r="AB481" s="15" t="str">
        <f>IF(AA481&gt;=G481,"CUMPLE","REVISAR")</f>
        <v>CUMPLE</v>
      </c>
      <c r="AC481" s="10">
        <f>0.17*SQRT($B$2)*(D481*1000)*J481/1000</f>
        <v>92.44281538</v>
      </c>
      <c r="AD481" s="10">
        <f>MAX(H481/0.75-AC481,0)</f>
        <v>0</v>
      </c>
      <c r="AE481" s="14">
        <f>IF(AD481&gt;0,MIN($N$2*$D$2*J481/(AD481*1000),MIN(J481/4,6*$H$2,150)),MIN(J481/4,6*$H$2,150))</f>
        <v>85.6375</v>
      </c>
      <c r="AF481" s="10">
        <f>0.66*SQRT($B$2)*(D481*1000)*J481/1000</f>
        <v>358.8956362</v>
      </c>
      <c r="AG481" s="15" t="str">
        <f>IF(AD481&lt;=AF481,"CUMPLE","AUMENTAR SECCION")</f>
        <v>CUMPLE</v>
      </c>
      <c r="AH481" s="10">
        <f>0.75*0.083*SQRT($B$2)*(((D481*1000)*(E481*1000))^2/(2*((D481*1000)+(E481*1000))))/1000000</f>
        <v>3.388073536</v>
      </c>
      <c r="AI481" s="15" t="str">
        <f>IF(I481&gt;AH481,"SI","No")</f>
        <v>No</v>
      </c>
      <c r="AJ481" s="11">
        <f>IF(I481&gt;AH481,I481*1000000/(0.75*2*0.85*((D481*1000-2*$F$2)*(E481*1000-2*$F$2))*$D$2),0)</f>
        <v>0</v>
      </c>
      <c r="AK481" s="10">
        <f>1.25*Q481*$D$2*(J481-(1.25*Q481*$D$2/(0.85*$B$2*(D481*1000)))/2)/1000000</f>
        <v>68.51839235</v>
      </c>
      <c r="AL481" s="10">
        <f>1.25*Z481*$D$2*(J481-(1.25*Z481*$D$2/(0.85*$B$2*(D481*1000)))/2)/1000000</f>
        <v>68.51839235</v>
      </c>
      <c r="AM481" s="10">
        <f>(AK481+AL481)/B481</f>
        <v>34.25919618</v>
      </c>
      <c r="AN481" s="10">
        <f>MAX(H481,AM481)</f>
        <v>62.21</v>
      </c>
    </row>
    <row r="482">
      <c r="A482" s="5" t="inlineStr">
        <is>
          <t>F953</t>
        </is>
      </c>
      <c r="B482" s="6" t="n">
        <v>2.5</v>
      </c>
      <c r="C482" s="7" t="inlineStr">
        <is>
          <t>VC</t>
        </is>
      </c>
      <c r="D482" s="8">
        <f>IF(C482="VR",0.35,0.30)</f>
        <v>0.3</v>
      </c>
      <c r="E482" s="6" t="n">
        <v>0.4</v>
      </c>
      <c r="F482" s="9" t="n">
        <v>25.4</v>
      </c>
      <c r="G482" s="9" t="n">
        <v>8.699999999999999</v>
      </c>
      <c r="H482" s="9" t="n">
        <v>44.4</v>
      </c>
      <c r="I482" s="6" t="n">
        <v>0.49</v>
      </c>
      <c r="J482" s="10">
        <f>E482*1000-$F$2-$L$2-$H$2/2</f>
        <v>342.55</v>
      </c>
      <c r="K482" s="11">
        <f>F482*1000000/(0.9*(D482*1000)*J482^2)</f>
        <v>0.8017186911</v>
      </c>
      <c r="L482" s="12">
        <f>(0.85*$B$2/$D$2)*(1-SQRT(1-2*K482/(0.85*$B$2)))</f>
        <v>0.001942135408</v>
      </c>
      <c r="M482" s="13">
        <f>L482*(D482*1000)*J482</f>
        <v>199.5835452</v>
      </c>
      <c r="N482" s="13">
        <f>MAX(0.25*SQRT($B$2)/$D$2,1.4/$D$2)*(D482*1000)*J482</f>
        <v>342.55</v>
      </c>
      <c r="O482" s="13">
        <f>MAX(M482,N482)</f>
        <v>342.55</v>
      </c>
      <c r="P482" s="14">
        <f>ROUNDUP(O482/$J$2,0)</f>
        <v>2</v>
      </c>
      <c r="Q482" s="13">
        <f>P482*$J$2</f>
        <v>398</v>
      </c>
      <c r="R482" s="10">
        <f>Q482*$D$2/(0.85*$B$2*(D482*1000))</f>
        <v>23.41176471</v>
      </c>
      <c r="S482" s="10">
        <f>0.9*Q482*$D$2*(J482-R482/2)/1000000</f>
        <v>49.77351244</v>
      </c>
      <c r="T482" s="15" t="str">
        <f>IF(AND(S482&gt;=F482,O482&lt;=0.025*(D482*1000)*J482,O482&gt;=N482),"CUMPLE","REVISAR")</f>
        <v>CUMPLE</v>
      </c>
      <c r="U482" s="11">
        <f>G482*1000000/(0.9*(D482*1000)*J482^2)</f>
        <v>0.2742887963</v>
      </c>
      <c r="V482" s="12">
        <f>(0.85*$B$2/$D$2)*(1-SQRT(1-2*U482/(0.85*$B$2)))</f>
        <v>0.0006568757902</v>
      </c>
      <c r="W482" s="13">
        <f>V482*(D482*1000)*J482</f>
        <v>67.50384058</v>
      </c>
      <c r="X482" s="13">
        <f>MAX(W482,N482)</f>
        <v>342.55</v>
      </c>
      <c r="Y482" s="14">
        <f>ROUNDUP(X482/$J$2,0)</f>
        <v>2</v>
      </c>
      <c r="Z482" s="13">
        <f>Y482*$J$2</f>
        <v>398</v>
      </c>
      <c r="AA482" s="10">
        <f>0.9*Z482*$D$2*(J482-(Z482*$D$2/(0.85*$B$2*(D482*1000)))/2)/1000000</f>
        <v>49.77351244</v>
      </c>
      <c r="AB482" s="15" t="str">
        <f>IF(AA482&gt;=G482,"CUMPLE","REVISAR")</f>
        <v>CUMPLE</v>
      </c>
      <c r="AC482" s="10">
        <f>0.17*SQRT($B$2)*(D482*1000)*J482/1000</f>
        <v>92.44281538</v>
      </c>
      <c r="AD482" s="10">
        <f>MAX(H482/0.75-AC482,0)</f>
        <v>0</v>
      </c>
      <c r="AE482" s="14">
        <f>IF(AD482&gt;0,MIN($N$2*$D$2*J482/(AD482*1000),MIN(J482/4,6*$H$2,150)),MIN(J482/4,6*$H$2,150))</f>
        <v>85.6375</v>
      </c>
      <c r="AF482" s="10">
        <f>0.66*SQRT($B$2)*(D482*1000)*J482/1000</f>
        <v>358.8956362</v>
      </c>
      <c r="AG482" s="15" t="str">
        <f>IF(AD482&lt;=AF482,"CUMPLE","AUMENTAR SECCION")</f>
        <v>CUMPLE</v>
      </c>
      <c r="AH482" s="10">
        <f>0.75*0.083*SQRT($B$2)*(((D482*1000)*(E482*1000))^2/(2*((D482*1000)+(E482*1000))))/1000000</f>
        <v>3.388073536</v>
      </c>
      <c r="AI482" s="15" t="str">
        <f>IF(I482&gt;AH482,"SI","No")</f>
        <v>No</v>
      </c>
      <c r="AJ482" s="11">
        <f>IF(I482&gt;AH482,I482*1000000/(0.75*2*0.85*((D482*1000-2*$F$2)*(E482*1000-2*$F$2))*$D$2),0)</f>
        <v>0</v>
      </c>
      <c r="AK482" s="10">
        <f>1.25*Q482*$D$2*(J482-(1.25*Q482*$D$2/(0.85*$B$2*(D482*1000)))/2)/1000000</f>
        <v>68.51839235</v>
      </c>
      <c r="AL482" s="10">
        <f>1.25*Z482*$D$2*(J482-(1.25*Z482*$D$2/(0.85*$B$2*(D482*1000)))/2)/1000000</f>
        <v>68.51839235</v>
      </c>
      <c r="AM482" s="10">
        <f>(AK482+AL482)/B482</f>
        <v>54.81471388</v>
      </c>
      <c r="AN482" s="10">
        <f>MAX(H482,AM482)</f>
        <v>54.81471388</v>
      </c>
    </row>
    <row r="483">
      <c r="A483" s="5" t="inlineStr">
        <is>
          <t>F954</t>
        </is>
      </c>
      <c r="B483" s="6" t="n">
        <v>2.6</v>
      </c>
      <c r="C483" s="7" t="inlineStr">
        <is>
          <t>VC</t>
        </is>
      </c>
      <c r="D483" s="8">
        <f>IF(C483="VR",0.35,0.30)</f>
        <v>0.3</v>
      </c>
      <c r="E483" s="6" t="n">
        <v>0.4</v>
      </c>
      <c r="F483" s="9" t="n">
        <v>22</v>
      </c>
      <c r="G483" s="9" t="n">
        <v>8.1</v>
      </c>
      <c r="H483" s="9" t="n">
        <v>41.9</v>
      </c>
      <c r="I483" s="6" t="n">
        <v>0.12</v>
      </c>
      <c r="J483" s="10">
        <f>E483*1000-$F$2-$L$2-$H$2/2</f>
        <v>342.55</v>
      </c>
      <c r="K483" s="11">
        <f>F483*1000000/(0.9*(D483*1000)*J483^2)</f>
        <v>0.6940863786</v>
      </c>
      <c r="L483" s="12">
        <f>(0.85*$B$2/$D$2)*(1-SQRT(1-2*K483/(0.85*$B$2)))</f>
        <v>0.001677413523</v>
      </c>
      <c r="M483" s="13">
        <f>L483*(D483*1000)*J483</f>
        <v>172.3794007</v>
      </c>
      <c r="N483" s="13">
        <f>MAX(0.25*SQRT($B$2)/$D$2,1.4/$D$2)*(D483*1000)*J483</f>
        <v>342.55</v>
      </c>
      <c r="O483" s="13">
        <f>MAX(M483,N483)</f>
        <v>342.55</v>
      </c>
      <c r="P483" s="14">
        <f>ROUNDUP(O483/$J$2,0)</f>
        <v>2</v>
      </c>
      <c r="Q483" s="13">
        <f>P483*$J$2</f>
        <v>398</v>
      </c>
      <c r="R483" s="10">
        <f>Q483*$D$2/(0.85*$B$2*(D483*1000))</f>
        <v>23.41176471</v>
      </c>
      <c r="S483" s="10">
        <f>0.9*Q483*$D$2*(J483-R483/2)/1000000</f>
        <v>49.77351244</v>
      </c>
      <c r="T483" s="15" t="str">
        <f>IF(AND(S483&gt;=F483,O483&lt;=0.025*(D483*1000)*J483,O483&gt;=N483),"CUMPLE","REVISAR")</f>
        <v>CUMPLE</v>
      </c>
      <c r="U483" s="11">
        <f>G483*1000000/(0.9*(D483*1000)*J483^2)</f>
        <v>0.2566131086</v>
      </c>
      <c r="V483" s="12">
        <f>(0.85*$B$2/$D$2)*(1-SQRT(1-2*U483/(0.85*$B$2)))</f>
        <v>0.0006143134241</v>
      </c>
      <c r="W483" s="13">
        <f>V483*(D483*1000)*J483</f>
        <v>63.12991903</v>
      </c>
      <c r="X483" s="13">
        <f>MAX(W483,N483)</f>
        <v>342.55</v>
      </c>
      <c r="Y483" s="14">
        <f>ROUNDUP(X483/$J$2,0)</f>
        <v>2</v>
      </c>
      <c r="Z483" s="13">
        <f>Y483*$J$2</f>
        <v>398</v>
      </c>
      <c r="AA483" s="10">
        <f>0.9*Z483*$D$2*(J483-(Z483*$D$2/(0.85*$B$2*(D483*1000)))/2)/1000000</f>
        <v>49.77351244</v>
      </c>
      <c r="AB483" s="15" t="str">
        <f>IF(AA483&gt;=G483,"CUMPLE","REVISAR")</f>
        <v>CUMPLE</v>
      </c>
      <c r="AC483" s="10">
        <f>0.17*SQRT($B$2)*(D483*1000)*J483/1000</f>
        <v>92.44281538</v>
      </c>
      <c r="AD483" s="10">
        <f>MAX(H483/0.75-AC483,0)</f>
        <v>0</v>
      </c>
      <c r="AE483" s="14">
        <f>IF(AD483&gt;0,MIN($N$2*$D$2*J483/(AD483*1000),MIN(J483/4,6*$H$2,150)),MIN(J483/4,6*$H$2,150))</f>
        <v>85.6375</v>
      </c>
      <c r="AF483" s="10">
        <f>0.66*SQRT($B$2)*(D483*1000)*J483/1000</f>
        <v>358.8956362</v>
      </c>
      <c r="AG483" s="15" t="str">
        <f>IF(AD483&lt;=AF483,"CUMPLE","AUMENTAR SECCION")</f>
        <v>CUMPLE</v>
      </c>
      <c r="AH483" s="10">
        <f>0.75*0.083*SQRT($B$2)*(((D483*1000)*(E483*1000))^2/(2*((D483*1000)+(E483*1000))))/1000000</f>
        <v>3.388073536</v>
      </c>
      <c r="AI483" s="15" t="str">
        <f>IF(I483&gt;AH483,"SI","No")</f>
        <v>No</v>
      </c>
      <c r="AJ483" s="11">
        <f>IF(I483&gt;AH483,I483*1000000/(0.75*2*0.85*((D483*1000-2*$F$2)*(E483*1000-2*$F$2))*$D$2),0)</f>
        <v>0</v>
      </c>
      <c r="AK483" s="10">
        <f>1.25*Q483*$D$2*(J483-(1.25*Q483*$D$2/(0.85*$B$2*(D483*1000)))/2)/1000000</f>
        <v>68.51839235</v>
      </c>
      <c r="AL483" s="10">
        <f>1.25*Z483*$D$2*(J483-(1.25*Z483*$D$2/(0.85*$B$2*(D483*1000)))/2)/1000000</f>
        <v>68.51839235</v>
      </c>
      <c r="AM483" s="10">
        <f>(AK483+AL483)/B483</f>
        <v>52.70645566</v>
      </c>
      <c r="AN483" s="10">
        <f>MAX(H483,AM483)</f>
        <v>52.70645566</v>
      </c>
    </row>
    <row r="484">
      <c r="A484" s="5" t="inlineStr">
        <is>
          <t>F955</t>
        </is>
      </c>
      <c r="B484" s="6" t="n">
        <v>3.65</v>
      </c>
      <c r="C484" s="7" t="inlineStr">
        <is>
          <t>VR</t>
        </is>
      </c>
      <c r="D484" s="8">
        <f>IF(C484="VR",0.35,0.30)</f>
        <v>0.35</v>
      </c>
      <c r="E484" s="6" t="n">
        <v>0.4</v>
      </c>
      <c r="F484" s="9" t="n">
        <v>34</v>
      </c>
      <c r="G484" s="9" t="n">
        <v>16</v>
      </c>
      <c r="H484" s="9" t="n">
        <v>53.8</v>
      </c>
      <c r="I484" s="6" t="n">
        <v>0.24</v>
      </c>
      <c r="J484" s="10">
        <f>E484*1000-$F$2-$L$2-$H$2/2</f>
        <v>342.55</v>
      </c>
      <c r="K484" s="11">
        <f>F484*1000000/(0.9*(D484*1000)*J484^2)</f>
        <v>0.9198572159</v>
      </c>
      <c r="L484" s="12">
        <f>(0.85*$B$2/$D$2)*(1-SQRT(1-2*K484/(0.85*$B$2)))</f>
        <v>0.002234179383</v>
      </c>
      <c r="M484" s="13">
        <f>L484*(D484*1000)*J484</f>
        <v>267.8613516</v>
      </c>
      <c r="N484" s="13">
        <f>MAX(0.25*SQRT($B$2)/$D$2,1.4/$D$2)*(D484*1000)*J484</f>
        <v>399.6416667</v>
      </c>
      <c r="O484" s="13">
        <f>MAX(M484,N484)</f>
        <v>399.6416667</v>
      </c>
      <c r="P484" s="14">
        <f>ROUNDUP(O484/$J$2,0)</f>
        <v>3</v>
      </c>
      <c r="Q484" s="13">
        <f>P484*$J$2</f>
        <v>597</v>
      </c>
      <c r="R484" s="10">
        <f>Q484*$D$2/(0.85*$B$2*(D484*1000))</f>
        <v>30.10084034</v>
      </c>
      <c r="S484" s="10">
        <f>0.9*Q484*$D$2*(J484-R484/2)/1000000</f>
        <v>73.90552018</v>
      </c>
      <c r="T484" s="15" t="str">
        <f>IF(AND(S484&gt;=F484,O484&lt;=0.025*(D484*1000)*J484,O484&gt;=N484),"CUMPLE","REVISAR")</f>
        <v>CUMPLE</v>
      </c>
      <c r="U484" s="11">
        <f>G484*1000000/(0.9*(D484*1000)*J484^2)</f>
        <v>0.4336856227</v>
      </c>
      <c r="V484" s="12">
        <f>(0.85*$B$2/$D$2)*(1-SQRT(1-2*U484/(0.85*$B$2)))</f>
        <v>0.001042168179</v>
      </c>
      <c r="W484" s="13">
        <f>V484*(D484*1000)*J484</f>
        <v>124.9481484</v>
      </c>
      <c r="X484" s="13">
        <f>MAX(W484,N484)</f>
        <v>399.6416667</v>
      </c>
      <c r="Y484" s="14">
        <f>ROUNDUP(X484/$J$2,0)</f>
        <v>3</v>
      </c>
      <c r="Z484" s="13">
        <f>Y484*$J$2</f>
        <v>597</v>
      </c>
      <c r="AA484" s="10">
        <f>0.9*Z484*$D$2*(J484-(Z484*$D$2/(0.85*$B$2*(D484*1000)))/2)/1000000</f>
        <v>73.90552018</v>
      </c>
      <c r="AB484" s="15" t="str">
        <f>IF(AA484&gt;=G484,"CUMPLE","REVISAR")</f>
        <v>CUMPLE</v>
      </c>
      <c r="AC484" s="10">
        <f>0.17*SQRT($B$2)*(D484*1000)*J484/1000</f>
        <v>107.8499513</v>
      </c>
      <c r="AD484" s="10">
        <f>MAX(H484/0.75-AC484,0)</f>
        <v>0</v>
      </c>
      <c r="AE484" s="14">
        <f>IF(AD484&gt;0,MIN($N$2*$D$2*J484/(AD484*1000),MIN(J484/4,6*$H$2,150)),MIN(J484/4,6*$H$2,150))</f>
        <v>85.6375</v>
      </c>
      <c r="AF484" s="10">
        <f>0.66*SQRT($B$2)*(D484*1000)*J484/1000</f>
        <v>418.7115756</v>
      </c>
      <c r="AG484" s="15" t="str">
        <f>IF(AD484&lt;=AF484,"CUMPLE","AUMENTAR SECCION")</f>
        <v>CUMPLE</v>
      </c>
      <c r="AH484" s="10">
        <f>0.75*0.083*SQRT($B$2)*(((D484*1000)*(E484*1000))^2/(2*((D484*1000)+(E484*1000))))/1000000</f>
        <v>4.304108233</v>
      </c>
      <c r="AI484" s="15" t="str">
        <f>IF(I484&gt;AH484,"SI","No")</f>
        <v>No</v>
      </c>
      <c r="AJ484" s="11">
        <f>IF(I484&gt;AH484,I484*1000000/(0.75*2*0.85*((D484*1000-2*$F$2)*(E484*1000-2*$F$2))*$D$2),0)</f>
        <v>0</v>
      </c>
      <c r="AK484" s="10">
        <f>1.25*Q484*$D$2*(J484-(1.25*Q484*$D$2/(0.85*$B$2*(D484*1000)))/2)/1000000</f>
        <v>101.4672613</v>
      </c>
      <c r="AL484" s="10">
        <f>1.25*Z484*$D$2*(J484-(1.25*Z484*$D$2/(0.85*$B$2*(D484*1000)))/2)/1000000</f>
        <v>101.4672613</v>
      </c>
      <c r="AM484" s="10">
        <f>(AK484+AL484)/B484</f>
        <v>55.59849936</v>
      </c>
      <c r="AN484" s="10">
        <f>MAX(H484,AM484)</f>
        <v>55.59849936</v>
      </c>
    </row>
    <row r="485">
      <c r="A485" s="5" t="inlineStr">
        <is>
          <t>F956</t>
        </is>
      </c>
      <c r="B485" s="6" t="n">
        <v>2.6</v>
      </c>
      <c r="C485" s="7" t="inlineStr">
        <is>
          <t>VC</t>
        </is>
      </c>
      <c r="D485" s="8">
        <f>IF(C485="VR",0.35,0.30)</f>
        <v>0.3</v>
      </c>
      <c r="E485" s="6" t="n">
        <v>0.4</v>
      </c>
      <c r="F485" s="9" t="n">
        <v>22.7</v>
      </c>
      <c r="G485" s="9" t="n">
        <v>8.1</v>
      </c>
      <c r="H485" s="9" t="n">
        <v>42.4</v>
      </c>
      <c r="I485" s="6" t="n">
        <v>2.51</v>
      </c>
      <c r="J485" s="10">
        <f>E485*1000-$F$2-$L$2-$H$2/2</f>
        <v>342.55</v>
      </c>
      <c r="K485" s="11">
        <f>F485*1000000/(0.9*(D485*1000)*J485^2)</f>
        <v>0.7164966255</v>
      </c>
      <c r="L485" s="12">
        <f>(0.85*$B$2/$D$2)*(1-SQRT(1-2*K485/(0.85*$B$2)))</f>
        <v>0.001732426417</v>
      </c>
      <c r="M485" s="13">
        <f>L485*(D485*1000)*J485</f>
        <v>178.0328007</v>
      </c>
      <c r="N485" s="13">
        <f>MAX(0.25*SQRT($B$2)/$D$2,1.4/$D$2)*(D485*1000)*J485</f>
        <v>342.55</v>
      </c>
      <c r="O485" s="13">
        <f>MAX(M485,N485)</f>
        <v>342.55</v>
      </c>
      <c r="P485" s="14">
        <f>ROUNDUP(O485/$J$2,0)</f>
        <v>2</v>
      </c>
      <c r="Q485" s="13">
        <f>P485*$J$2</f>
        <v>398</v>
      </c>
      <c r="R485" s="10">
        <f>Q485*$D$2/(0.85*$B$2*(D485*1000))</f>
        <v>23.41176471</v>
      </c>
      <c r="S485" s="10">
        <f>0.9*Q485*$D$2*(J485-R485/2)/1000000</f>
        <v>49.77351244</v>
      </c>
      <c r="T485" s="15" t="str">
        <f>IF(AND(S485&gt;=F485,O485&lt;=0.025*(D485*1000)*J485,O485&gt;=N485),"CUMPLE","REVISAR")</f>
        <v>CUMPLE</v>
      </c>
      <c r="U485" s="11">
        <f>G485*1000000/(0.9*(D485*1000)*J485^2)</f>
        <v>0.2566131086</v>
      </c>
      <c r="V485" s="12">
        <f>(0.85*$B$2/$D$2)*(1-SQRT(1-2*U485/(0.85*$B$2)))</f>
        <v>0.0006143134241</v>
      </c>
      <c r="W485" s="13">
        <f>V485*(D485*1000)*J485</f>
        <v>63.12991903</v>
      </c>
      <c r="X485" s="13">
        <f>MAX(W485,N485)</f>
        <v>342.55</v>
      </c>
      <c r="Y485" s="14">
        <f>ROUNDUP(X485/$J$2,0)</f>
        <v>2</v>
      </c>
      <c r="Z485" s="13">
        <f>Y485*$J$2</f>
        <v>398</v>
      </c>
      <c r="AA485" s="10">
        <f>0.9*Z485*$D$2*(J485-(Z485*$D$2/(0.85*$B$2*(D485*1000)))/2)/1000000</f>
        <v>49.77351244</v>
      </c>
      <c r="AB485" s="15" t="str">
        <f>IF(AA485&gt;=G485,"CUMPLE","REVISAR")</f>
        <v>CUMPLE</v>
      </c>
      <c r="AC485" s="10">
        <f>0.17*SQRT($B$2)*(D485*1000)*J485/1000</f>
        <v>92.44281538</v>
      </c>
      <c r="AD485" s="10">
        <f>MAX(H485/0.75-AC485,0)</f>
        <v>0</v>
      </c>
      <c r="AE485" s="14">
        <f>IF(AD485&gt;0,MIN($N$2*$D$2*J485/(AD485*1000),MIN(J485/4,6*$H$2,150)),MIN(J485/4,6*$H$2,150))</f>
        <v>85.6375</v>
      </c>
      <c r="AF485" s="10">
        <f>0.66*SQRT($B$2)*(D485*1000)*J485/1000</f>
        <v>358.8956362</v>
      </c>
      <c r="AG485" s="15" t="str">
        <f>IF(AD485&lt;=AF485,"CUMPLE","AUMENTAR SECCION")</f>
        <v>CUMPLE</v>
      </c>
      <c r="AH485" s="10">
        <f>0.75*0.083*SQRT($B$2)*(((D485*1000)*(E485*1000))^2/(2*((D485*1000)+(E485*1000))))/1000000</f>
        <v>3.388073536</v>
      </c>
      <c r="AI485" s="15" t="str">
        <f>IF(I485&gt;AH485,"SI","No")</f>
        <v>No</v>
      </c>
      <c r="AJ485" s="11">
        <f>IF(I485&gt;AH485,I485*1000000/(0.75*2*0.85*((D485*1000-2*$F$2)*(E485*1000-2*$F$2))*$D$2),0)</f>
        <v>0</v>
      </c>
      <c r="AK485" s="10">
        <f>1.25*Q485*$D$2*(J485-(1.25*Q485*$D$2/(0.85*$B$2*(D485*1000)))/2)/1000000</f>
        <v>68.51839235</v>
      </c>
      <c r="AL485" s="10">
        <f>1.25*Z485*$D$2*(J485-(1.25*Z485*$D$2/(0.85*$B$2*(D485*1000)))/2)/1000000</f>
        <v>68.51839235</v>
      </c>
      <c r="AM485" s="10">
        <f>(AK485+AL485)/B485</f>
        <v>52.70645566</v>
      </c>
      <c r="AN485" s="10">
        <f>MAX(H485,AM485)</f>
        <v>52.70645566</v>
      </c>
    </row>
    <row r="486">
      <c r="A486" s="5" t="inlineStr">
        <is>
          <t>F957</t>
        </is>
      </c>
      <c r="B486" s="6" t="n">
        <v>2.6</v>
      </c>
      <c r="C486" s="7" t="inlineStr">
        <is>
          <t>VC</t>
        </is>
      </c>
      <c r="D486" s="8">
        <f>IF(C486="VR",0.35,0.30)</f>
        <v>0.3</v>
      </c>
      <c r="E486" s="6" t="n">
        <v>0.4</v>
      </c>
      <c r="F486" s="9" t="n">
        <v>25.6</v>
      </c>
      <c r="G486" s="9" t="n">
        <v>8.6</v>
      </c>
      <c r="H486" s="9" t="n">
        <v>43.6</v>
      </c>
      <c r="I486" s="6" t="n">
        <v>0.35</v>
      </c>
      <c r="J486" s="10">
        <f>E486*1000-$F$2-$L$2-$H$2/2</f>
        <v>342.55</v>
      </c>
      <c r="K486" s="11">
        <f>F486*1000000/(0.9*(D486*1000)*J486^2)</f>
        <v>0.8096096231</v>
      </c>
      <c r="L486" s="12">
        <f>(0.85*$B$2/$D$2)*(1-SQRT(1-2*K486/(0.85*$B$2)))</f>
        <v>0.001961593572</v>
      </c>
      <c r="M486" s="13">
        <f>L486*(D486*1000)*J486</f>
        <v>201.5831634</v>
      </c>
      <c r="N486" s="13">
        <f>MAX(0.25*SQRT($B$2)/$D$2,1.4/$D$2)*(D486*1000)*J486</f>
        <v>342.55</v>
      </c>
      <c r="O486" s="13">
        <f>MAX(M486,N486)</f>
        <v>342.55</v>
      </c>
      <c r="P486" s="14">
        <f>ROUNDUP(O486/$J$2,0)</f>
        <v>2</v>
      </c>
      <c r="Q486" s="13">
        <f>P486*$J$2</f>
        <v>398</v>
      </c>
      <c r="R486" s="10">
        <f>Q486*$D$2/(0.85*$B$2*(D486*1000))</f>
        <v>23.41176471</v>
      </c>
      <c r="S486" s="10">
        <f>0.9*Q486*$D$2*(J486-R486/2)/1000000</f>
        <v>49.77351244</v>
      </c>
      <c r="T486" s="15" t="str">
        <f>IF(AND(S486&gt;=F486,O486&lt;=0.025*(D486*1000)*J486,O486&gt;=N486),"CUMPLE","REVISAR")</f>
        <v>CUMPLE</v>
      </c>
      <c r="U486" s="11">
        <f>G486*1000000/(0.9*(D486*1000)*J486^2)</f>
        <v>0.2698698744</v>
      </c>
      <c r="V486" s="12">
        <f>(0.85*$B$2/$D$2)*(1-SQRT(1-2*U486/(0.85*$B$2)))</f>
        <v>0.0006462321671</v>
      </c>
      <c r="W486" s="13">
        <f>V486*(D486*1000)*J486</f>
        <v>66.41004865</v>
      </c>
      <c r="X486" s="13">
        <f>MAX(W486,N486)</f>
        <v>342.55</v>
      </c>
      <c r="Y486" s="14">
        <f>ROUNDUP(X486/$J$2,0)</f>
        <v>2</v>
      </c>
      <c r="Z486" s="13">
        <f>Y486*$J$2</f>
        <v>398</v>
      </c>
      <c r="AA486" s="10">
        <f>0.9*Z486*$D$2*(J486-(Z486*$D$2/(0.85*$B$2*(D486*1000)))/2)/1000000</f>
        <v>49.77351244</v>
      </c>
      <c r="AB486" s="15" t="str">
        <f>IF(AA486&gt;=G486,"CUMPLE","REVISAR")</f>
        <v>CUMPLE</v>
      </c>
      <c r="AC486" s="10">
        <f>0.17*SQRT($B$2)*(D486*1000)*J486/1000</f>
        <v>92.44281538</v>
      </c>
      <c r="AD486" s="10">
        <f>MAX(H486/0.75-AC486,0)</f>
        <v>0</v>
      </c>
      <c r="AE486" s="14">
        <f>IF(AD486&gt;0,MIN($N$2*$D$2*J486/(AD486*1000),MIN(J486/4,6*$H$2,150)),MIN(J486/4,6*$H$2,150))</f>
        <v>85.6375</v>
      </c>
      <c r="AF486" s="10">
        <f>0.66*SQRT($B$2)*(D486*1000)*J486/1000</f>
        <v>358.8956362</v>
      </c>
      <c r="AG486" s="15" t="str">
        <f>IF(AD486&lt;=AF486,"CUMPLE","AUMENTAR SECCION")</f>
        <v>CUMPLE</v>
      </c>
      <c r="AH486" s="10">
        <f>0.75*0.083*SQRT($B$2)*(((D486*1000)*(E486*1000))^2/(2*((D486*1000)+(E486*1000))))/1000000</f>
        <v>3.388073536</v>
      </c>
      <c r="AI486" s="15" t="str">
        <f>IF(I486&gt;AH486,"SI","No")</f>
        <v>No</v>
      </c>
      <c r="AJ486" s="11">
        <f>IF(I486&gt;AH486,I486*1000000/(0.75*2*0.85*((D486*1000-2*$F$2)*(E486*1000-2*$F$2))*$D$2),0)</f>
        <v>0</v>
      </c>
      <c r="AK486" s="10">
        <f>1.25*Q486*$D$2*(J486-(1.25*Q486*$D$2/(0.85*$B$2*(D486*1000)))/2)/1000000</f>
        <v>68.51839235</v>
      </c>
      <c r="AL486" s="10">
        <f>1.25*Z486*$D$2*(J486-(1.25*Z486*$D$2/(0.85*$B$2*(D486*1000)))/2)/1000000</f>
        <v>68.51839235</v>
      </c>
      <c r="AM486" s="10">
        <f>(AK486+AL486)/B486</f>
        <v>52.70645566</v>
      </c>
      <c r="AN486" s="10">
        <f>MAX(H486,AM486)</f>
        <v>52.70645566</v>
      </c>
    </row>
    <row r="487">
      <c r="A487" s="5" t="inlineStr">
        <is>
          <t>F958</t>
        </is>
      </c>
      <c r="B487" s="6" t="n">
        <v>3.65</v>
      </c>
      <c r="C487" s="7" t="inlineStr">
        <is>
          <t>VR</t>
        </is>
      </c>
      <c r="D487" s="8">
        <f>IF(C487="VR",0.35,0.30)</f>
        <v>0.35</v>
      </c>
      <c r="E487" s="6" t="n">
        <v>0.4</v>
      </c>
      <c r="F487" s="9" t="n">
        <v>33.2</v>
      </c>
      <c r="G487" s="9" t="n">
        <v>30</v>
      </c>
      <c r="H487" s="9" t="n">
        <v>96.40000000000001</v>
      </c>
      <c r="I487" s="6" t="n">
        <v>4.76</v>
      </c>
      <c r="J487" s="10">
        <f>E487*1000-$F$2-$L$2-$H$2/2</f>
        <v>342.55</v>
      </c>
      <c r="K487" s="11">
        <f>F487*1000000/(0.9*(D487*1000)*J487^2)</f>
        <v>0.8982135167</v>
      </c>
      <c r="L487" s="12">
        <f>(0.85*$B$2/$D$2)*(1-SQRT(1-2*K487/(0.85*$B$2)))</f>
        <v>0.002180558022</v>
      </c>
      <c r="M487" s="13">
        <f>L487*(D487*1000)*J487</f>
        <v>261.4325527</v>
      </c>
      <c r="N487" s="13">
        <f>MAX(0.25*SQRT($B$2)/$D$2,1.4/$D$2)*(D487*1000)*J487</f>
        <v>399.6416667</v>
      </c>
      <c r="O487" s="13">
        <f>MAX(M487,N487)</f>
        <v>399.6416667</v>
      </c>
      <c r="P487" s="14">
        <f>ROUNDUP(O487/$J$2,0)</f>
        <v>3</v>
      </c>
      <c r="Q487" s="13">
        <f>P487*$J$2</f>
        <v>597</v>
      </c>
      <c r="R487" s="10">
        <f>Q487*$D$2/(0.85*$B$2*(D487*1000))</f>
        <v>30.10084034</v>
      </c>
      <c r="S487" s="10">
        <f>0.9*Q487*$D$2*(J487-R487/2)/1000000</f>
        <v>73.90552018</v>
      </c>
      <c r="T487" s="15" t="str">
        <f>IF(AND(S487&gt;=F487,O487&lt;=0.025*(D487*1000)*J487,O487&gt;=N487),"CUMPLE","REVISAR")</f>
        <v>CUMPLE</v>
      </c>
      <c r="U487" s="11">
        <f>G487*1000000/(0.9*(D487*1000)*J487^2)</f>
        <v>0.8127209048</v>
      </c>
      <c r="V487" s="12">
        <f>(0.85*$B$2/$D$2)*(1-SQRT(1-2*U487/(0.85*$B$2)))</f>
        <v>0.00196926755</v>
      </c>
      <c r="W487" s="13">
        <f>V487*(D487*1000)*J487</f>
        <v>236.1004097</v>
      </c>
      <c r="X487" s="13">
        <f>MAX(W487,N487)</f>
        <v>399.6416667</v>
      </c>
      <c r="Y487" s="14">
        <f>ROUNDUP(X487/$J$2,0)</f>
        <v>3</v>
      </c>
      <c r="Z487" s="13">
        <f>Y487*$J$2</f>
        <v>597</v>
      </c>
      <c r="AA487" s="10">
        <f>0.9*Z487*$D$2*(J487-(Z487*$D$2/(0.85*$B$2*(D487*1000)))/2)/1000000</f>
        <v>73.90552018</v>
      </c>
      <c r="AB487" s="15" t="str">
        <f>IF(AA487&gt;=G487,"CUMPLE","REVISAR")</f>
        <v>CUMPLE</v>
      </c>
      <c r="AC487" s="10">
        <f>0.17*SQRT($B$2)*(D487*1000)*J487/1000</f>
        <v>107.8499513</v>
      </c>
      <c r="AD487" s="10">
        <f>MAX(H487/0.75-AC487,0)</f>
        <v>20.64338205</v>
      </c>
      <c r="AE487" s="14">
        <f>IF(AD487&gt;0,MIN($N$2*$D$2*J487/(AD487*1000),MIN(J487/4,6*$H$2,150)),MIN(J487/4,6*$H$2,150))</f>
        <v>85.6375</v>
      </c>
      <c r="AF487" s="10">
        <f>0.66*SQRT($B$2)*(D487*1000)*J487/1000</f>
        <v>418.7115756</v>
      </c>
      <c r="AG487" s="15" t="str">
        <f>IF(AD487&lt;=AF487,"CUMPLE","AUMENTAR SECCION")</f>
        <v>CUMPLE</v>
      </c>
      <c r="AH487" s="10">
        <f>0.75*0.083*SQRT($B$2)*(((D487*1000)*(E487*1000))^2/(2*((D487*1000)+(E487*1000))))/1000000</f>
        <v>4.304108233</v>
      </c>
      <c r="AI487" s="15" t="str">
        <f>IF(I487&gt;AH487,"SI","No")</f>
        <v>SI</v>
      </c>
      <c r="AJ487" s="11">
        <f>IF(I487&gt;AH487,I487*1000000/(0.75*2*0.85*((D487*1000-2*$F$2)*(E487*1000-2*$F$2))*$D$2),0)</f>
        <v>0.1027942041</v>
      </c>
      <c r="AK487" s="10">
        <f>1.25*Q487*$D$2*(J487-(1.25*Q487*$D$2/(0.85*$B$2*(D487*1000)))/2)/1000000</f>
        <v>101.4672613</v>
      </c>
      <c r="AL487" s="10">
        <f>1.25*Z487*$D$2*(J487-(1.25*Z487*$D$2/(0.85*$B$2*(D487*1000)))/2)/1000000</f>
        <v>101.4672613</v>
      </c>
      <c r="AM487" s="10">
        <f>(AK487+AL487)/B487</f>
        <v>55.55283949</v>
      </c>
      <c r="AN487" s="10">
        <f>MAX(H487,AM487)</f>
        <v>96.37</v>
      </c>
    </row>
    <row r="488">
      <c r="A488" s="5" t="inlineStr">
        <is>
          <t>F959</t>
        </is>
      </c>
      <c r="B488" s="6" t="n">
        <v>2.6</v>
      </c>
      <c r="C488" s="7" t="inlineStr">
        <is>
          <t>VC</t>
        </is>
      </c>
      <c r="D488" s="8">
        <f>IF(C488="VR",0.35,0.30)</f>
        <v>0.3</v>
      </c>
      <c r="E488" s="6" t="n">
        <v>0.4</v>
      </c>
      <c r="F488" s="9" t="n">
        <v>20.1</v>
      </c>
      <c r="G488" s="9" t="n">
        <v>12.6</v>
      </c>
      <c r="H488" s="9" t="n">
        <v>43.4</v>
      </c>
      <c r="I488" s="6" t="n">
        <v>1.65</v>
      </c>
      <c r="J488" s="10">
        <f>E488*1000-$F$2-$L$2-$H$2/2</f>
        <v>342.55</v>
      </c>
      <c r="K488" s="11">
        <f>F488*1000000/(0.9*(D488*1000)*J488^2)</f>
        <v>0.6344309327</v>
      </c>
      <c r="L488" s="12">
        <f>(0.85*$B$2/$D$2)*(1-SQRT(1-2*K488/(0.85*$B$2)))</f>
        <v>0.001531238287</v>
      </c>
      <c r="M488" s="13">
        <f>L488*(D488*1000)*J488</f>
        <v>157.3577026</v>
      </c>
      <c r="N488" s="13">
        <f>MAX(0.25*SQRT($B$2)/$D$2,1.4/$D$2)*(D488*1000)*J488</f>
        <v>342.55</v>
      </c>
      <c r="O488" s="13">
        <f>MAX(M488,N488)</f>
        <v>342.55</v>
      </c>
      <c r="P488" s="14">
        <f>ROUNDUP(O488/$J$2,0)</f>
        <v>2</v>
      </c>
      <c r="Q488" s="13">
        <f>P488*$J$2</f>
        <v>398</v>
      </c>
      <c r="R488" s="10">
        <f>Q488*$D$2/(0.85*$B$2*(D488*1000))</f>
        <v>23.41176471</v>
      </c>
      <c r="S488" s="10">
        <f>0.9*Q488*$D$2*(J488-R488/2)/1000000</f>
        <v>49.77351244</v>
      </c>
      <c r="T488" s="15" t="str">
        <f>IF(AND(S488&gt;=F488,O488&lt;=0.025*(D488*1000)*J488,O488&gt;=N488),"CUMPLE","REVISAR")</f>
        <v>CUMPLE</v>
      </c>
      <c r="U488" s="11">
        <f>G488*1000000/(0.9*(D488*1000)*J488^2)</f>
        <v>0.3961247863</v>
      </c>
      <c r="V488" s="12">
        <f>(0.85*$B$2/$D$2)*(1-SQRT(1-2*U488/(0.85*$B$2)))</f>
        <v>0.0009511365539</v>
      </c>
      <c r="W488" s="13">
        <f>V488*(D488*1000)*J488</f>
        <v>97.74354796</v>
      </c>
      <c r="X488" s="13">
        <f>MAX(W488,N488)</f>
        <v>342.55</v>
      </c>
      <c r="Y488" s="14">
        <f>ROUNDUP(X488/$J$2,0)</f>
        <v>2</v>
      </c>
      <c r="Z488" s="13">
        <f>Y488*$J$2</f>
        <v>398</v>
      </c>
      <c r="AA488" s="10">
        <f>0.9*Z488*$D$2*(J488-(Z488*$D$2/(0.85*$B$2*(D488*1000)))/2)/1000000</f>
        <v>49.77351244</v>
      </c>
      <c r="AB488" s="15" t="str">
        <f>IF(AA488&gt;=G488,"CUMPLE","REVISAR")</f>
        <v>CUMPLE</v>
      </c>
      <c r="AC488" s="10">
        <f>0.17*SQRT($B$2)*(D488*1000)*J488/1000</f>
        <v>92.44281538</v>
      </c>
      <c r="AD488" s="10">
        <f>MAX(H488/0.75-AC488,0)</f>
        <v>0</v>
      </c>
      <c r="AE488" s="14">
        <f>IF(AD488&gt;0,MIN($N$2*$D$2*J488/(AD488*1000),MIN(J488/4,6*$H$2,150)),MIN(J488/4,6*$H$2,150))</f>
        <v>85.6375</v>
      </c>
      <c r="AF488" s="10">
        <f>0.66*SQRT($B$2)*(D488*1000)*J488/1000</f>
        <v>358.8956362</v>
      </c>
      <c r="AG488" s="15" t="str">
        <f>IF(AD488&lt;=AF488,"CUMPLE","AUMENTAR SECCION")</f>
        <v>CUMPLE</v>
      </c>
      <c r="AH488" s="10">
        <f>0.75*0.083*SQRT($B$2)*(((D488*1000)*(E488*1000))^2/(2*((D488*1000)+(E488*1000))))/1000000</f>
        <v>3.388073536</v>
      </c>
      <c r="AI488" s="15" t="str">
        <f>IF(I488&gt;AH488,"SI","No")</f>
        <v>No</v>
      </c>
      <c r="AJ488" s="11">
        <f>IF(I488&gt;AH488,I488*1000000/(0.75*2*0.85*((D488*1000-2*$F$2)*(E488*1000-2*$F$2))*$D$2),0)</f>
        <v>0</v>
      </c>
      <c r="AK488" s="10">
        <f>1.25*Q488*$D$2*(J488-(1.25*Q488*$D$2/(0.85*$B$2*(D488*1000)))/2)/1000000</f>
        <v>68.51839235</v>
      </c>
      <c r="AL488" s="10">
        <f>1.25*Z488*$D$2*(J488-(1.25*Z488*$D$2/(0.85*$B$2*(D488*1000)))/2)/1000000</f>
        <v>68.51839235</v>
      </c>
      <c r="AM488" s="10">
        <f>(AK488+AL488)/B488</f>
        <v>52.70645566</v>
      </c>
      <c r="AN488" s="10">
        <f>MAX(H488,AM488)</f>
        <v>52.70645566</v>
      </c>
    </row>
    <row r="489">
      <c r="A489" s="5" t="inlineStr">
        <is>
          <t>F960</t>
        </is>
      </c>
      <c r="B489" s="6" t="n">
        <v>2.5</v>
      </c>
      <c r="C489" s="7" t="inlineStr">
        <is>
          <t>VC</t>
        </is>
      </c>
      <c r="D489" s="8">
        <f>IF(C489="VR",0.35,0.30)</f>
        <v>0.3</v>
      </c>
      <c r="E489" s="6" t="n">
        <v>0.4</v>
      </c>
      <c r="F489" s="9" t="n">
        <v>32.2</v>
      </c>
      <c r="G489" s="9" t="n">
        <v>10.1</v>
      </c>
      <c r="H489" s="9" t="n">
        <v>49.9</v>
      </c>
      <c r="I489" s="6" t="n">
        <v>0.63</v>
      </c>
      <c r="J489" s="10">
        <f>E489*1000-$F$2-$L$2-$H$2/2</f>
        <v>342.55</v>
      </c>
      <c r="K489" s="11">
        <f>F489*1000000/(0.9*(D489*1000)*J489^2)</f>
        <v>1.017930228</v>
      </c>
      <c r="L489" s="12">
        <f>(0.85*$B$2/$D$2)*(1-SQRT(1-2*K489/(0.85*$B$2)))</f>
        <v>0.002477816099</v>
      </c>
      <c r="M489" s="13">
        <f>L489*(D489*1000)*J489</f>
        <v>254.6327714</v>
      </c>
      <c r="N489" s="13">
        <f>MAX(0.25*SQRT($B$2)/$D$2,1.4/$D$2)*(D489*1000)*J489</f>
        <v>342.55</v>
      </c>
      <c r="O489" s="13">
        <f>MAX(M489,N489)</f>
        <v>342.55</v>
      </c>
      <c r="P489" s="14">
        <f>ROUNDUP(O489/$J$2,0)</f>
        <v>2</v>
      </c>
      <c r="Q489" s="13">
        <f>P489*$J$2</f>
        <v>398</v>
      </c>
      <c r="R489" s="10">
        <f>Q489*$D$2/(0.85*$B$2*(D489*1000))</f>
        <v>23.41176471</v>
      </c>
      <c r="S489" s="10">
        <f>0.9*Q489*$D$2*(J489-R489/2)/1000000</f>
        <v>49.77351244</v>
      </c>
      <c r="T489" s="15" t="str">
        <f>IF(AND(S489&gt;=F489,O489&lt;=0.025*(D489*1000)*J489,O489&gt;=N489),"CUMPLE","REVISAR")</f>
        <v>CUMPLE</v>
      </c>
      <c r="U489" s="11">
        <f>G489*1000000/(0.9*(D489*1000)*J489^2)</f>
        <v>0.3175311036</v>
      </c>
      <c r="V489" s="12">
        <f>(0.85*$B$2/$D$2)*(1-SQRT(1-2*U489/(0.85*$B$2)))</f>
        <v>0.0007611381843</v>
      </c>
      <c r="W489" s="13">
        <f>V489*(D489*1000)*J489</f>
        <v>78.21836551</v>
      </c>
      <c r="X489" s="13">
        <f>MAX(W489,N489)</f>
        <v>342.55</v>
      </c>
      <c r="Y489" s="14">
        <f>ROUNDUP(X489/$J$2,0)</f>
        <v>2</v>
      </c>
      <c r="Z489" s="13">
        <f>Y489*$J$2</f>
        <v>398</v>
      </c>
      <c r="AA489" s="10">
        <f>0.9*Z489*$D$2*(J489-(Z489*$D$2/(0.85*$B$2*(D489*1000)))/2)/1000000</f>
        <v>49.77351244</v>
      </c>
      <c r="AB489" s="15" t="str">
        <f>IF(AA489&gt;=G489,"CUMPLE","REVISAR")</f>
        <v>CUMPLE</v>
      </c>
      <c r="AC489" s="10">
        <f>0.17*SQRT($B$2)*(D489*1000)*J489/1000</f>
        <v>92.44281538</v>
      </c>
      <c r="AD489" s="10">
        <f>MAX(H489/0.75-AC489,0)</f>
        <v>0</v>
      </c>
      <c r="AE489" s="14">
        <f>IF(AD489&gt;0,MIN($N$2*$D$2*J489/(AD489*1000),MIN(J489/4,6*$H$2,150)),MIN(J489/4,6*$H$2,150))</f>
        <v>85.6375</v>
      </c>
      <c r="AF489" s="10">
        <f>0.66*SQRT($B$2)*(D489*1000)*J489/1000</f>
        <v>358.8956362</v>
      </c>
      <c r="AG489" s="15" t="str">
        <f>IF(AD489&lt;=AF489,"CUMPLE","AUMENTAR SECCION")</f>
        <v>CUMPLE</v>
      </c>
      <c r="AH489" s="10">
        <f>0.75*0.083*SQRT($B$2)*(((D489*1000)*(E489*1000))^2/(2*((D489*1000)+(E489*1000))))/1000000</f>
        <v>3.388073536</v>
      </c>
      <c r="AI489" s="15" t="str">
        <f>IF(I489&gt;AH489,"SI","No")</f>
        <v>No</v>
      </c>
      <c r="AJ489" s="11">
        <f>IF(I489&gt;AH489,I489*1000000/(0.75*2*0.85*((D489*1000-2*$F$2)*(E489*1000-2*$F$2))*$D$2),0)</f>
        <v>0</v>
      </c>
      <c r="AK489" s="10">
        <f>1.25*Q489*$D$2*(J489-(1.25*Q489*$D$2/(0.85*$B$2*(D489*1000)))/2)/1000000</f>
        <v>68.51839235</v>
      </c>
      <c r="AL489" s="10">
        <f>1.25*Z489*$D$2*(J489-(1.25*Z489*$D$2/(0.85*$B$2*(D489*1000)))/2)/1000000</f>
        <v>68.51839235</v>
      </c>
      <c r="AM489" s="10">
        <f>(AK489+AL489)/B489</f>
        <v>54.81471388</v>
      </c>
      <c r="AN489" s="10">
        <f>MAX(H489,AM489)</f>
        <v>54.81471388</v>
      </c>
    </row>
    <row r="490">
      <c r="A490" s="5" t="inlineStr">
        <is>
          <t>F961</t>
        </is>
      </c>
      <c r="B490" s="6" t="n">
        <v>4.18</v>
      </c>
      <c r="C490" s="7" t="inlineStr">
        <is>
          <t>VR</t>
        </is>
      </c>
      <c r="D490" s="8">
        <f>IF(C490="VR",0.35,0.30)</f>
        <v>0.35</v>
      </c>
      <c r="E490" s="6" t="n">
        <v>0.4</v>
      </c>
      <c r="F490" s="9" t="n">
        <v>48.5</v>
      </c>
      <c r="G490" s="9" t="n">
        <v>21.1</v>
      </c>
      <c r="H490" s="9" t="n">
        <v>63</v>
      </c>
      <c r="I490" s="6" t="n">
        <v>0.85</v>
      </c>
      <c r="J490" s="10">
        <f>E490*1000-$F$2-$L$2-$H$2/2</f>
        <v>342.55</v>
      </c>
      <c r="K490" s="11">
        <f>F490*1000000/(0.9*(D490*1000)*J490^2)</f>
        <v>1.312960903</v>
      </c>
      <c r="L490" s="12">
        <f>(0.85*$B$2/$D$2)*(1-SQRT(1-2*K490/(0.85*$B$2)))</f>
        <v>0.00321743773</v>
      </c>
      <c r="M490" s="13">
        <f>L490*(D490*1000)*J490</f>
        <v>385.746653</v>
      </c>
      <c r="N490" s="13">
        <f>MAX(0.25*SQRT($B$2)/$D$2,1.4/$D$2)*(D490*1000)*J490</f>
        <v>399.6416667</v>
      </c>
      <c r="O490" s="13">
        <f>MAX(M490,N490)</f>
        <v>399.6416667</v>
      </c>
      <c r="P490" s="14">
        <f>ROUNDUP(O490/$J$2,0)</f>
        <v>3</v>
      </c>
      <c r="Q490" s="13">
        <f>P490*$J$2</f>
        <v>597</v>
      </c>
      <c r="R490" s="10">
        <f>Q490*$D$2/(0.85*$B$2*(D490*1000))</f>
        <v>30.10084034</v>
      </c>
      <c r="S490" s="10">
        <f>0.9*Q490*$D$2*(J490-R490/2)/1000000</f>
        <v>73.90552018</v>
      </c>
      <c r="T490" s="15" t="str">
        <f>IF(AND(S490&gt;=F490,O490&lt;=0.025*(D490*1000)*J490,O490&gt;=N490),"CUMPLE","REVISAR")</f>
        <v>CUMPLE</v>
      </c>
      <c r="U490" s="11">
        <f>G490*1000000/(0.9*(D490*1000)*J490^2)</f>
        <v>0.571664205</v>
      </c>
      <c r="V490" s="12">
        <f>(0.85*$B$2/$D$2)*(1-SQRT(1-2*U490/(0.85*$B$2)))</f>
        <v>0.001377856622</v>
      </c>
      <c r="W490" s="13">
        <f>V490*(D490*1000)*J490</f>
        <v>165.1946751</v>
      </c>
      <c r="X490" s="13">
        <f>MAX(W490,N490)</f>
        <v>399.6416667</v>
      </c>
      <c r="Y490" s="14">
        <f>ROUNDUP(X490/$J$2,0)</f>
        <v>3</v>
      </c>
      <c r="Z490" s="13">
        <f>Y490*$J$2</f>
        <v>597</v>
      </c>
      <c r="AA490" s="10">
        <f>0.9*Z490*$D$2*(J490-(Z490*$D$2/(0.85*$B$2*(D490*1000)))/2)/1000000</f>
        <v>73.90552018</v>
      </c>
      <c r="AB490" s="15" t="str">
        <f>IF(AA490&gt;=G490,"CUMPLE","REVISAR")</f>
        <v>CUMPLE</v>
      </c>
      <c r="AC490" s="10">
        <f>0.17*SQRT($B$2)*(D490*1000)*J490/1000</f>
        <v>107.8499513</v>
      </c>
      <c r="AD490" s="10">
        <f>MAX(H490/0.75-AC490,0)</f>
        <v>0</v>
      </c>
      <c r="AE490" s="14">
        <f>IF(AD490&gt;0,MIN($N$2*$D$2*J490/(AD490*1000),MIN(J490/4,6*$H$2,150)),MIN(J490/4,6*$H$2,150))</f>
        <v>85.6375</v>
      </c>
      <c r="AF490" s="10">
        <f>0.66*SQRT($B$2)*(D490*1000)*J490/1000</f>
        <v>418.7115756</v>
      </c>
      <c r="AG490" s="15" t="str">
        <f>IF(AD490&lt;=AF490,"CUMPLE","AUMENTAR SECCION")</f>
        <v>CUMPLE</v>
      </c>
      <c r="AH490" s="10">
        <f>0.75*0.083*SQRT($B$2)*(((D490*1000)*(E490*1000))^2/(2*((D490*1000)+(E490*1000))))/1000000</f>
        <v>4.304108233</v>
      </c>
      <c r="AI490" s="15" t="str">
        <f>IF(I490&gt;AH490,"SI","No")</f>
        <v>No</v>
      </c>
      <c r="AJ490" s="11">
        <f>IF(I490&gt;AH490,I490*1000000/(0.75*2*0.85*((D490*1000-2*$F$2)*(E490*1000-2*$F$2))*$D$2),0)</f>
        <v>0</v>
      </c>
      <c r="AK490" s="10">
        <f>1.25*Q490*$D$2*(J490-(1.25*Q490*$D$2/(0.85*$B$2*(D490*1000)))/2)/1000000</f>
        <v>101.4672613</v>
      </c>
      <c r="AL490" s="10">
        <f>1.25*Z490*$D$2*(J490-(1.25*Z490*$D$2/(0.85*$B$2*(D490*1000)))/2)/1000000</f>
        <v>101.4672613</v>
      </c>
      <c r="AM490" s="10">
        <f>(AK490+AL490)/B490</f>
        <v>48.59543167</v>
      </c>
      <c r="AN490" s="10">
        <f>MAX(H490,AM490)</f>
        <v>62.95</v>
      </c>
    </row>
    <row r="491">
      <c r="A491" s="5" t="inlineStr">
        <is>
          <t>F962</t>
        </is>
      </c>
      <c r="B491" s="6" t="n">
        <v>2.7</v>
      </c>
      <c r="C491" s="7" t="inlineStr">
        <is>
          <t>VR</t>
        </is>
      </c>
      <c r="D491" s="8">
        <f>IF(C491="VR",0.35,0.30)</f>
        <v>0.35</v>
      </c>
      <c r="E491" s="6" t="n">
        <v>0.4</v>
      </c>
      <c r="F491" s="9" t="n">
        <v>48.5</v>
      </c>
      <c r="G491" s="9" t="n">
        <v>17.7</v>
      </c>
      <c r="H491" s="9" t="n">
        <v>61.9</v>
      </c>
      <c r="I491" s="6" t="n">
        <v>1.79</v>
      </c>
      <c r="J491" s="10">
        <f>E491*1000-$F$2-$L$2-$H$2/2</f>
        <v>342.55</v>
      </c>
      <c r="K491" s="11">
        <f>F491*1000000/(0.9*(D491*1000)*J491^2)</f>
        <v>1.310796533</v>
      </c>
      <c r="L491" s="12">
        <f>(0.85*$B$2/$D$2)*(1-SQRT(1-2*K491/(0.85*$B$2)))</f>
        <v>0.003211974541</v>
      </c>
      <c r="M491" s="13">
        <f>L491*(D491*1000)*J491</f>
        <v>385.0916577</v>
      </c>
      <c r="N491" s="13">
        <f>MAX(0.25*SQRT($B$2)/$D$2,1.4/$D$2)*(D491*1000)*J491</f>
        <v>399.6416667</v>
      </c>
      <c r="O491" s="13">
        <f>MAX(M491,N491)</f>
        <v>399.6416667</v>
      </c>
      <c r="P491" s="14">
        <f>ROUNDUP(O491/$J$2,0)</f>
        <v>3</v>
      </c>
      <c r="Q491" s="13">
        <f>P491*$J$2</f>
        <v>597</v>
      </c>
      <c r="R491" s="10">
        <f>Q491*$D$2/(0.85*$B$2*(D491*1000))</f>
        <v>30.10084034</v>
      </c>
      <c r="S491" s="10">
        <f>0.9*Q491*$D$2*(J491-R491/2)/1000000</f>
        <v>73.90552018</v>
      </c>
      <c r="T491" s="15" t="str">
        <f>IF(AND(S491&gt;=F491,O491&lt;=0.025*(D491*1000)*J491,O491&gt;=N491),"CUMPLE","REVISAR")</f>
        <v>CUMPLE</v>
      </c>
      <c r="U491" s="11">
        <f>G491*1000000/(0.9*(D491*1000)*J491^2)</f>
        <v>0.4783257522</v>
      </c>
      <c r="V491" s="12">
        <f>(0.85*$B$2/$D$2)*(1-SQRT(1-2*U491/(0.85*$B$2)))</f>
        <v>0.001150551144</v>
      </c>
      <c r="W491" s="13">
        <f>V491*(D491*1000)*J491</f>
        <v>137.942453</v>
      </c>
      <c r="X491" s="13">
        <f>MAX(W491,N491)</f>
        <v>399.6416667</v>
      </c>
      <c r="Y491" s="14">
        <f>ROUNDUP(X491/$J$2,0)</f>
        <v>3</v>
      </c>
      <c r="Z491" s="13">
        <f>Y491*$J$2</f>
        <v>597</v>
      </c>
      <c r="AA491" s="10">
        <f>0.9*Z491*$D$2*(J491-(Z491*$D$2/(0.85*$B$2*(D491*1000)))/2)/1000000</f>
        <v>73.90552018</v>
      </c>
      <c r="AB491" s="15" t="str">
        <f>IF(AA491&gt;=G491,"CUMPLE","REVISAR")</f>
        <v>CUMPLE</v>
      </c>
      <c r="AC491" s="10">
        <f>0.17*SQRT($B$2)*(D491*1000)*J491/1000</f>
        <v>107.8499513</v>
      </c>
      <c r="AD491" s="10">
        <f>MAX(H491/0.75-AC491,0)</f>
        <v>0</v>
      </c>
      <c r="AE491" s="14">
        <f>IF(AD491&gt;0,MIN($N$2*$D$2*J491/(AD491*1000),MIN(J491/4,6*$H$2,150)),MIN(J491/4,6*$H$2,150))</f>
        <v>85.6375</v>
      </c>
      <c r="AF491" s="10">
        <f>0.66*SQRT($B$2)*(D491*1000)*J491/1000</f>
        <v>418.7115756</v>
      </c>
      <c r="AG491" s="15" t="str">
        <f>IF(AD491&lt;=AF491,"CUMPLE","AUMENTAR SECCION")</f>
        <v>CUMPLE</v>
      </c>
      <c r="AH491" s="10">
        <f>0.75*0.083*SQRT($B$2)*(((D491*1000)*(E491*1000))^2/(2*((D491*1000)+(E491*1000))))/1000000</f>
        <v>4.304108233</v>
      </c>
      <c r="AI491" s="15" t="str">
        <f>IF(I491&gt;AH491,"SI","No")</f>
        <v>No</v>
      </c>
      <c r="AJ491" s="11">
        <f>IF(I491&gt;AH491,I491*1000000/(0.75*2*0.85*((D491*1000-2*$F$2)*(E491*1000-2*$F$2))*$D$2),0)</f>
        <v>0</v>
      </c>
      <c r="AK491" s="10">
        <f>1.25*Q491*$D$2*(J491-(1.25*Q491*$D$2/(0.85*$B$2*(D491*1000)))/2)/1000000</f>
        <v>101.4672613</v>
      </c>
      <c r="AL491" s="10">
        <f>1.25*Z491*$D$2*(J491-(1.25*Z491*$D$2/(0.85*$B$2*(D491*1000)))/2)/1000000</f>
        <v>101.4672613</v>
      </c>
      <c r="AM491" s="10">
        <f>(AK491+AL491)/B491</f>
        <v>75.16093431</v>
      </c>
      <c r="AN491" s="10">
        <f>MAX(H491,AM491)</f>
        <v>75.16093431</v>
      </c>
    </row>
    <row r="492">
      <c r="A492" s="5" t="inlineStr">
        <is>
          <t>F963</t>
        </is>
      </c>
      <c r="B492" s="6" t="n">
        <v>2.8</v>
      </c>
      <c r="C492" s="7" t="inlineStr">
        <is>
          <t>VR</t>
        </is>
      </c>
      <c r="D492" s="8">
        <f>IF(C492="VR",0.35,0.30)</f>
        <v>0.35</v>
      </c>
      <c r="E492" s="6" t="n">
        <v>0.4</v>
      </c>
      <c r="F492" s="9" t="n">
        <v>48.4</v>
      </c>
      <c r="G492" s="9" t="n">
        <v>16.5</v>
      </c>
      <c r="H492" s="9" t="n">
        <v>61.5</v>
      </c>
      <c r="I492" s="6" t="n">
        <v>1.73</v>
      </c>
      <c r="J492" s="10">
        <f>E492*1000-$F$2-$L$2-$H$2/2</f>
        <v>342.55</v>
      </c>
      <c r="K492" s="11">
        <f>F492*1000000/(0.9*(D492*1000)*J492^2)</f>
        <v>1.308361616</v>
      </c>
      <c r="L492" s="12">
        <f>(0.85*$B$2/$D$2)*(1-SQRT(1-2*K492/(0.85*$B$2)))</f>
        <v>0.003205829121</v>
      </c>
      <c r="M492" s="13">
        <f>L492*(D492*1000)*J492</f>
        <v>384.3548678</v>
      </c>
      <c r="N492" s="13">
        <f>MAX(0.25*SQRT($B$2)/$D$2,1.4/$D$2)*(D492*1000)*J492</f>
        <v>399.6416667</v>
      </c>
      <c r="O492" s="13">
        <f>MAX(M492,N492)</f>
        <v>399.6416667</v>
      </c>
      <c r="P492" s="14">
        <f>ROUNDUP(O492/$J$2,0)</f>
        <v>3</v>
      </c>
      <c r="Q492" s="13">
        <f>P492*$J$2</f>
        <v>597</v>
      </c>
      <c r="R492" s="10">
        <f>Q492*$D$2/(0.85*$B$2*(D492*1000))</f>
        <v>30.10084034</v>
      </c>
      <c r="S492" s="10">
        <f>0.9*Q492*$D$2*(J492-R492/2)/1000000</f>
        <v>73.90552018</v>
      </c>
      <c r="T492" s="15" t="str">
        <f>IF(AND(S492&gt;=F492,O492&lt;=0.025*(D492*1000)*J492,O492&gt;=N492),"CUMPLE","REVISAR")</f>
        <v>CUMPLE</v>
      </c>
      <c r="U492" s="11">
        <f>G492*1000000/(0.9*(D492*1000)*J492^2)</f>
        <v>0.4469423884</v>
      </c>
      <c r="V492" s="12">
        <f>(0.85*$B$2/$D$2)*(1-SQRT(1-2*U492/(0.85*$B$2)))</f>
        <v>0.001074332578</v>
      </c>
      <c r="W492" s="13">
        <f>V492*(D492*1000)*J492</f>
        <v>128.8044186</v>
      </c>
      <c r="X492" s="13">
        <f>MAX(W492,N492)</f>
        <v>399.6416667</v>
      </c>
      <c r="Y492" s="14">
        <f>ROUNDUP(X492/$J$2,0)</f>
        <v>3</v>
      </c>
      <c r="Z492" s="13">
        <f>Y492*$J$2</f>
        <v>597</v>
      </c>
      <c r="AA492" s="10">
        <f>0.9*Z492*$D$2*(J492-(Z492*$D$2/(0.85*$B$2*(D492*1000)))/2)/1000000</f>
        <v>73.90552018</v>
      </c>
      <c r="AB492" s="15" t="str">
        <f>IF(AA492&gt;=G492,"CUMPLE","REVISAR")</f>
        <v>CUMPLE</v>
      </c>
      <c r="AC492" s="10">
        <f>0.17*SQRT($B$2)*(D492*1000)*J492/1000</f>
        <v>107.8499513</v>
      </c>
      <c r="AD492" s="10">
        <f>MAX(H492/0.75-AC492,0)</f>
        <v>0</v>
      </c>
      <c r="AE492" s="14">
        <f>IF(AD492&gt;0,MIN($N$2*$D$2*J492/(AD492*1000),MIN(J492/4,6*$H$2,150)),MIN(J492/4,6*$H$2,150))</f>
        <v>85.6375</v>
      </c>
      <c r="AF492" s="10">
        <f>0.66*SQRT($B$2)*(D492*1000)*J492/1000</f>
        <v>418.7115756</v>
      </c>
      <c r="AG492" s="15" t="str">
        <f>IF(AD492&lt;=AF492,"CUMPLE","AUMENTAR SECCION")</f>
        <v>CUMPLE</v>
      </c>
      <c r="AH492" s="10">
        <f>0.75*0.083*SQRT($B$2)*(((D492*1000)*(E492*1000))^2/(2*((D492*1000)+(E492*1000))))/1000000</f>
        <v>4.304108233</v>
      </c>
      <c r="AI492" s="15" t="str">
        <f>IF(I492&gt;AH492,"SI","No")</f>
        <v>No</v>
      </c>
      <c r="AJ492" s="11">
        <f>IF(I492&gt;AH492,I492*1000000/(0.75*2*0.85*((D492*1000-2*$F$2)*(E492*1000-2*$F$2))*$D$2),0)</f>
        <v>0</v>
      </c>
      <c r="AK492" s="10">
        <f>1.25*Q492*$D$2*(J492-(1.25*Q492*$D$2/(0.85*$B$2*(D492*1000)))/2)/1000000</f>
        <v>101.4672613</v>
      </c>
      <c r="AL492" s="10">
        <f>1.25*Z492*$D$2*(J492-(1.25*Z492*$D$2/(0.85*$B$2*(D492*1000)))/2)/1000000</f>
        <v>101.4672613</v>
      </c>
      <c r="AM492" s="10">
        <f>(AK492+AL492)/B492</f>
        <v>72.47661523</v>
      </c>
      <c r="AN492" s="10">
        <f>MAX(H492,AM492)</f>
        <v>72.47661523</v>
      </c>
    </row>
    <row r="493">
      <c r="A493" s="5" t="inlineStr">
        <is>
          <t>F964</t>
        </is>
      </c>
      <c r="B493" s="6" t="n">
        <v>4.18</v>
      </c>
      <c r="C493" s="7" t="inlineStr">
        <is>
          <t>VR</t>
        </is>
      </c>
      <c r="D493" s="8">
        <f>IF(C493="VR",0.35,0.30)</f>
        <v>0.35</v>
      </c>
      <c r="E493" s="6" t="n">
        <v>0.4</v>
      </c>
      <c r="F493" s="9" t="n">
        <v>48.8</v>
      </c>
      <c r="G493" s="9" t="n">
        <v>21.2</v>
      </c>
      <c r="H493" s="9" t="n">
        <v>63.1</v>
      </c>
      <c r="I493" s="6" t="n">
        <v>0.85</v>
      </c>
      <c r="J493" s="10">
        <f>E493*1000-$F$2-$L$2-$H$2/2</f>
        <v>342.55</v>
      </c>
      <c r="K493" s="11">
        <f>F493*1000000/(0.9*(D493*1000)*J493^2)</f>
        <v>1.319724559</v>
      </c>
      <c r="L493" s="12">
        <f>(0.85*$B$2/$D$2)*(1-SQRT(1-2*K493/(0.85*$B$2)))</f>
        <v>0.003234513796</v>
      </c>
      <c r="M493" s="13">
        <f>L493*(D493*1000)*J493</f>
        <v>387.7939453</v>
      </c>
      <c r="N493" s="13">
        <f>MAX(0.25*SQRT($B$2)/$D$2,1.4/$D$2)*(D493*1000)*J493</f>
        <v>399.6416667</v>
      </c>
      <c r="O493" s="13">
        <f>MAX(M493,N493)</f>
        <v>399.6416667</v>
      </c>
      <c r="P493" s="14">
        <f>ROUNDUP(O493/$J$2,0)</f>
        <v>3</v>
      </c>
      <c r="Q493" s="13">
        <f>P493*$J$2</f>
        <v>597</v>
      </c>
      <c r="R493" s="10">
        <f>Q493*$D$2/(0.85*$B$2*(D493*1000))</f>
        <v>30.10084034</v>
      </c>
      <c r="S493" s="10">
        <f>0.9*Q493*$D$2*(J493-R493/2)/1000000</f>
        <v>73.90552018</v>
      </c>
      <c r="T493" s="15" t="str">
        <f>IF(AND(S493&gt;=F493,O493&lt;=0.025*(D493*1000)*J493,O493&gt;=N493),"CUMPLE","REVISAR")</f>
        <v>CUMPLE</v>
      </c>
      <c r="U493" s="11">
        <f>G493*1000000/(0.9*(D493*1000)*J493^2)</f>
        <v>0.57274639</v>
      </c>
      <c r="V493" s="12">
        <f>(0.85*$B$2/$D$2)*(1-SQRT(1-2*U493/(0.85*$B$2)))</f>
        <v>0.001380497529</v>
      </c>
      <c r="W493" s="13">
        <f>V493*(D493*1000)*J493</f>
        <v>165.5113</v>
      </c>
      <c r="X493" s="13">
        <f>MAX(W493,N493)</f>
        <v>399.6416667</v>
      </c>
      <c r="Y493" s="14">
        <f>ROUNDUP(X493/$J$2,0)</f>
        <v>3</v>
      </c>
      <c r="Z493" s="13">
        <f>Y493*$J$2</f>
        <v>597</v>
      </c>
      <c r="AA493" s="10">
        <f>0.9*Z493*$D$2*(J493-(Z493*$D$2/(0.85*$B$2*(D493*1000)))/2)/1000000</f>
        <v>73.90552018</v>
      </c>
      <c r="AB493" s="15" t="str">
        <f>IF(AA493&gt;=G493,"CUMPLE","REVISAR")</f>
        <v>CUMPLE</v>
      </c>
      <c r="AC493" s="10">
        <f>0.17*SQRT($B$2)*(D493*1000)*J493/1000</f>
        <v>107.8499513</v>
      </c>
      <c r="AD493" s="10">
        <f>MAX(H493/0.75-AC493,0)</f>
        <v>0</v>
      </c>
      <c r="AE493" s="14">
        <f>IF(AD493&gt;0,MIN($N$2*$D$2*J493/(AD493*1000),MIN(J493/4,6*$H$2,150)),MIN(J493/4,6*$H$2,150))</f>
        <v>85.6375</v>
      </c>
      <c r="AF493" s="10">
        <f>0.66*SQRT($B$2)*(D493*1000)*J493/1000</f>
        <v>418.7115756</v>
      </c>
      <c r="AG493" s="15" t="str">
        <f>IF(AD493&lt;=AF493,"CUMPLE","AUMENTAR SECCION")</f>
        <v>CUMPLE</v>
      </c>
      <c r="AH493" s="10">
        <f>0.75*0.083*SQRT($B$2)*(((D493*1000)*(E493*1000))^2/(2*((D493*1000)+(E493*1000))))/1000000</f>
        <v>4.304108233</v>
      </c>
      <c r="AI493" s="15" t="str">
        <f>IF(I493&gt;AH493,"SI","No")</f>
        <v>No</v>
      </c>
      <c r="AJ493" s="11">
        <f>IF(I493&gt;AH493,I493*1000000/(0.75*2*0.85*((D493*1000-2*$F$2)*(E493*1000-2*$F$2))*$D$2),0)</f>
        <v>0</v>
      </c>
      <c r="AK493" s="10">
        <f>1.25*Q493*$D$2*(J493-(1.25*Q493*$D$2/(0.85*$B$2*(D493*1000)))/2)/1000000</f>
        <v>101.4672613</v>
      </c>
      <c r="AL493" s="10">
        <f>1.25*Z493*$D$2*(J493-(1.25*Z493*$D$2/(0.85*$B$2*(D493*1000)))/2)/1000000</f>
        <v>101.4672613</v>
      </c>
      <c r="AM493" s="10">
        <f>(AK493+AL493)/B493</f>
        <v>48.59543167</v>
      </c>
      <c r="AN493" s="10">
        <f>MAX(H493,AM493)</f>
        <v>63.08</v>
      </c>
    </row>
    <row r="494">
      <c r="A494" s="5" t="inlineStr">
        <is>
          <t>F965</t>
        </is>
      </c>
      <c r="B494" s="6" t="n">
        <v>2.5</v>
      </c>
      <c r="C494" s="7" t="inlineStr">
        <is>
          <t>VC</t>
        </is>
      </c>
      <c r="D494" s="8">
        <f>IF(C494="VR",0.35,0.30)</f>
        <v>0.3</v>
      </c>
      <c r="E494" s="6" t="n">
        <v>0.4</v>
      </c>
      <c r="F494" s="9" t="n">
        <v>32.3</v>
      </c>
      <c r="G494" s="9" t="n">
        <v>10.1</v>
      </c>
      <c r="H494" s="9" t="n">
        <v>49.9</v>
      </c>
      <c r="I494" s="6" t="n">
        <v>0.64</v>
      </c>
      <c r="J494" s="10">
        <f>E494*1000-$F$2-$L$2-$H$2/2</f>
        <v>342.55</v>
      </c>
      <c r="K494" s="11">
        <f>F494*1000000/(0.9*(D494*1000)*J494^2)</f>
        <v>1.019824052</v>
      </c>
      <c r="L494" s="12">
        <f>(0.85*$B$2/$D$2)*(1-SQRT(1-2*K494/(0.85*$B$2)))</f>
        <v>0.00248253159</v>
      </c>
      <c r="M494" s="13">
        <f>L494*(D494*1000)*J494</f>
        <v>255.1173588</v>
      </c>
      <c r="N494" s="13">
        <f>MAX(0.25*SQRT($B$2)/$D$2,1.4/$D$2)*(D494*1000)*J494</f>
        <v>342.55</v>
      </c>
      <c r="O494" s="13">
        <f>MAX(M494,N494)</f>
        <v>342.55</v>
      </c>
      <c r="P494" s="14">
        <f>ROUNDUP(O494/$J$2,0)</f>
        <v>2</v>
      </c>
      <c r="Q494" s="13">
        <f>P494*$J$2</f>
        <v>398</v>
      </c>
      <c r="R494" s="10">
        <f>Q494*$D$2/(0.85*$B$2*(D494*1000))</f>
        <v>23.41176471</v>
      </c>
      <c r="S494" s="10">
        <f>0.9*Q494*$D$2*(J494-R494/2)/1000000</f>
        <v>49.77351244</v>
      </c>
      <c r="T494" s="15" t="str">
        <f>IF(AND(S494&gt;=F494,O494&lt;=0.025*(D494*1000)*J494,O494&gt;=N494),"CUMPLE","REVISAR")</f>
        <v>CUMPLE</v>
      </c>
      <c r="U494" s="11">
        <f>G494*1000000/(0.9*(D494*1000)*J494^2)</f>
        <v>0.3178467409</v>
      </c>
      <c r="V494" s="12">
        <f>(0.85*$B$2/$D$2)*(1-SQRT(1-2*U494/(0.85*$B$2)))</f>
        <v>0.0007618999385</v>
      </c>
      <c r="W494" s="13">
        <f>V494*(D494*1000)*J494</f>
        <v>78.29664718</v>
      </c>
      <c r="X494" s="13">
        <f>MAX(W494,N494)</f>
        <v>342.55</v>
      </c>
      <c r="Y494" s="14">
        <f>ROUNDUP(X494/$J$2,0)</f>
        <v>2</v>
      </c>
      <c r="Z494" s="13">
        <f>Y494*$J$2</f>
        <v>398</v>
      </c>
      <c r="AA494" s="10">
        <f>0.9*Z494*$D$2*(J494-(Z494*$D$2/(0.85*$B$2*(D494*1000)))/2)/1000000</f>
        <v>49.77351244</v>
      </c>
      <c r="AB494" s="15" t="str">
        <f>IF(AA494&gt;=G494,"CUMPLE","REVISAR")</f>
        <v>CUMPLE</v>
      </c>
      <c r="AC494" s="10">
        <f>0.17*SQRT($B$2)*(D494*1000)*J494/1000</f>
        <v>92.44281538</v>
      </c>
      <c r="AD494" s="10">
        <f>MAX(H494/0.75-AC494,0)</f>
        <v>0</v>
      </c>
      <c r="AE494" s="14">
        <f>IF(AD494&gt;0,MIN($N$2*$D$2*J494/(AD494*1000),MIN(J494/4,6*$H$2,150)),MIN(J494/4,6*$H$2,150))</f>
        <v>85.6375</v>
      </c>
      <c r="AF494" s="10">
        <f>0.66*SQRT($B$2)*(D494*1000)*J494/1000</f>
        <v>358.8956362</v>
      </c>
      <c r="AG494" s="15" t="str">
        <f>IF(AD494&lt;=AF494,"CUMPLE","AUMENTAR SECCION")</f>
        <v>CUMPLE</v>
      </c>
      <c r="AH494" s="10">
        <f>0.75*0.083*SQRT($B$2)*(((D494*1000)*(E494*1000))^2/(2*((D494*1000)+(E494*1000))))/1000000</f>
        <v>3.388073536</v>
      </c>
      <c r="AI494" s="15" t="str">
        <f>IF(I494&gt;AH494,"SI","No")</f>
        <v>No</v>
      </c>
      <c r="AJ494" s="11">
        <f>IF(I494&gt;AH494,I494*1000000/(0.75*2*0.85*((D494*1000-2*$F$2)*(E494*1000-2*$F$2))*$D$2),0)</f>
        <v>0</v>
      </c>
      <c r="AK494" s="10">
        <f>1.25*Q494*$D$2*(J494-(1.25*Q494*$D$2/(0.85*$B$2*(D494*1000)))/2)/1000000</f>
        <v>68.51839235</v>
      </c>
      <c r="AL494" s="10">
        <f>1.25*Z494*$D$2*(J494-(1.25*Z494*$D$2/(0.85*$B$2*(D494*1000)))/2)/1000000</f>
        <v>68.51839235</v>
      </c>
      <c r="AM494" s="10">
        <f>(AK494+AL494)/B494</f>
        <v>54.81471388</v>
      </c>
      <c r="AN494" s="10">
        <f>MAX(H494,AM494)</f>
        <v>54.81471388</v>
      </c>
    </row>
    <row r="495">
      <c r="A495" s="5" t="inlineStr">
        <is>
          <t>F966</t>
        </is>
      </c>
      <c r="B495" s="6" t="n">
        <v>2.6</v>
      </c>
      <c r="C495" s="7" t="inlineStr">
        <is>
          <t>VC</t>
        </is>
      </c>
      <c r="D495" s="8">
        <f>IF(C495="VR",0.35,0.30)</f>
        <v>0.3</v>
      </c>
      <c r="E495" s="6" t="n">
        <v>0.4</v>
      </c>
      <c r="F495" s="9" t="n">
        <v>19.9</v>
      </c>
      <c r="G495" s="9" t="n">
        <v>10.9</v>
      </c>
      <c r="H495" s="9" t="n">
        <v>43.1</v>
      </c>
      <c r="I495" s="6" t="n">
        <v>1.65</v>
      </c>
      <c r="J495" s="10">
        <f>E495*1000-$F$2-$L$2-$H$2/2</f>
        <v>342.55</v>
      </c>
      <c r="K495" s="11">
        <f>F495*1000000/(0.9*(D495*1000)*J495^2)</f>
        <v>0.6287494617</v>
      </c>
      <c r="L495" s="12">
        <f>(0.85*$B$2/$D$2)*(1-SQRT(1-2*K495/(0.85*$B$2)))</f>
        <v>0.001517337043</v>
      </c>
      <c r="M495" s="13">
        <f>L495*(D495*1000)*J495</f>
        <v>155.9291412</v>
      </c>
      <c r="N495" s="13">
        <f>MAX(0.25*SQRT($B$2)/$D$2,1.4/$D$2)*(D495*1000)*J495</f>
        <v>342.55</v>
      </c>
      <c r="O495" s="13">
        <f>MAX(M495,N495)</f>
        <v>342.55</v>
      </c>
      <c r="P495" s="14">
        <f>ROUNDUP(O495/$J$2,0)</f>
        <v>2</v>
      </c>
      <c r="Q495" s="13">
        <f>P495*$J$2</f>
        <v>398</v>
      </c>
      <c r="R495" s="10">
        <f>Q495*$D$2/(0.85*$B$2*(D495*1000))</f>
        <v>23.41176471</v>
      </c>
      <c r="S495" s="10">
        <f>0.9*Q495*$D$2*(J495-R495/2)/1000000</f>
        <v>49.77351244</v>
      </c>
      <c r="T495" s="15" t="str">
        <f>IF(AND(S495&gt;=F495,O495&lt;=0.025*(D495*1000)*J495,O495&gt;=N495),"CUMPLE","REVISAR")</f>
        <v>CUMPLE</v>
      </c>
      <c r="U495" s="11">
        <f>G495*1000000/(0.9*(D495*1000)*J495^2)</f>
        <v>0.344991547</v>
      </c>
      <c r="V495" s="12">
        <f>(0.85*$B$2/$D$2)*(1-SQRT(1-2*U495/(0.85*$B$2)))</f>
        <v>0.0008274496773</v>
      </c>
      <c r="W495" s="13">
        <f>V495*(D495*1000)*J495</f>
        <v>85.03286609</v>
      </c>
      <c r="X495" s="13">
        <f>MAX(W495,N495)</f>
        <v>342.55</v>
      </c>
      <c r="Y495" s="14">
        <f>ROUNDUP(X495/$J$2,0)</f>
        <v>2</v>
      </c>
      <c r="Z495" s="13">
        <f>Y495*$J$2</f>
        <v>398</v>
      </c>
      <c r="AA495" s="10">
        <f>0.9*Z495*$D$2*(J495-(Z495*$D$2/(0.85*$B$2*(D495*1000)))/2)/1000000</f>
        <v>49.77351244</v>
      </c>
      <c r="AB495" s="15" t="str">
        <f>IF(AA495&gt;=G495,"CUMPLE","REVISAR")</f>
        <v>CUMPLE</v>
      </c>
      <c r="AC495" s="10">
        <f>0.17*SQRT($B$2)*(D495*1000)*J495/1000</f>
        <v>92.44281538</v>
      </c>
      <c r="AD495" s="10">
        <f>MAX(H495/0.75-AC495,0)</f>
        <v>0</v>
      </c>
      <c r="AE495" s="14">
        <f>IF(AD495&gt;0,MIN($N$2*$D$2*J495/(AD495*1000),MIN(J495/4,6*$H$2,150)),MIN(J495/4,6*$H$2,150))</f>
        <v>85.6375</v>
      </c>
      <c r="AF495" s="10">
        <f>0.66*SQRT($B$2)*(D495*1000)*J495/1000</f>
        <v>358.8956362</v>
      </c>
      <c r="AG495" s="15" t="str">
        <f>IF(AD495&lt;=AF495,"CUMPLE","AUMENTAR SECCION")</f>
        <v>CUMPLE</v>
      </c>
      <c r="AH495" s="10">
        <f>0.75*0.083*SQRT($B$2)*(((D495*1000)*(E495*1000))^2/(2*((D495*1000)+(E495*1000))))/1000000</f>
        <v>3.388073536</v>
      </c>
      <c r="AI495" s="15" t="str">
        <f>IF(I495&gt;AH495,"SI","No")</f>
        <v>No</v>
      </c>
      <c r="AJ495" s="11">
        <f>IF(I495&gt;AH495,I495*1000000/(0.75*2*0.85*((D495*1000-2*$F$2)*(E495*1000-2*$F$2))*$D$2),0)</f>
        <v>0</v>
      </c>
      <c r="AK495" s="10">
        <f>1.25*Q495*$D$2*(J495-(1.25*Q495*$D$2/(0.85*$B$2*(D495*1000)))/2)/1000000</f>
        <v>68.51839235</v>
      </c>
      <c r="AL495" s="10">
        <f>1.25*Z495*$D$2*(J495-(1.25*Z495*$D$2/(0.85*$B$2*(D495*1000)))/2)/1000000</f>
        <v>68.51839235</v>
      </c>
      <c r="AM495" s="10">
        <f>(AK495+AL495)/B495</f>
        <v>52.70645566</v>
      </c>
      <c r="AN495" s="10">
        <f>MAX(H495,AM495)</f>
        <v>52.70645566</v>
      </c>
    </row>
    <row r="496">
      <c r="A496" s="5" t="inlineStr">
        <is>
          <t>F967</t>
        </is>
      </c>
      <c r="B496" s="6" t="n">
        <v>3.65</v>
      </c>
      <c r="C496" s="7" t="inlineStr">
        <is>
          <t>VR</t>
        </is>
      </c>
      <c r="D496" s="8">
        <f>IF(C496="VR",0.35,0.30)</f>
        <v>0.35</v>
      </c>
      <c r="E496" s="6" t="n">
        <v>0.4</v>
      </c>
      <c r="F496" s="9" t="n">
        <v>33.2</v>
      </c>
      <c r="G496" s="9" t="n">
        <v>4.2</v>
      </c>
      <c r="H496" s="9" t="n">
        <v>96.2</v>
      </c>
      <c r="I496" s="6" t="n">
        <v>4.76</v>
      </c>
      <c r="J496" s="10">
        <f>E496*1000-$F$2-$L$2-$H$2/2</f>
        <v>342.55</v>
      </c>
      <c r="K496" s="11">
        <f>F496*1000000/(0.9*(D496*1000)*J496^2)</f>
        <v>0.8971313317</v>
      </c>
      <c r="L496" s="12">
        <f>(0.85*$B$2/$D$2)*(1-SQRT(1-2*K496/(0.85*$B$2)))</f>
        <v>0.00217787834</v>
      </c>
      <c r="M496" s="13">
        <f>L496*(D496*1000)*J496</f>
        <v>261.1112788</v>
      </c>
      <c r="N496" s="13">
        <f>MAX(0.25*SQRT($B$2)/$D$2,1.4/$D$2)*(D496*1000)*J496</f>
        <v>399.6416667</v>
      </c>
      <c r="O496" s="13">
        <f>MAX(M496,N496)</f>
        <v>399.6416667</v>
      </c>
      <c r="P496" s="14">
        <f>ROUNDUP(O496/$J$2,0)</f>
        <v>3</v>
      </c>
      <c r="Q496" s="13">
        <f>P496*$J$2</f>
        <v>597</v>
      </c>
      <c r="R496" s="10">
        <f>Q496*$D$2/(0.85*$B$2*(D496*1000))</f>
        <v>30.10084034</v>
      </c>
      <c r="S496" s="10">
        <f>0.9*Q496*$D$2*(J496-R496/2)/1000000</f>
        <v>73.90552018</v>
      </c>
      <c r="T496" s="15" t="str">
        <f>IF(AND(S496&gt;=F496,O496&lt;=0.025*(D496*1000)*J496,O496&gt;=N496),"CUMPLE","REVISAR")</f>
        <v>CUMPLE</v>
      </c>
      <c r="U496" s="11">
        <f>G496*1000000/(0.9*(D496*1000)*J496^2)</f>
        <v>0.1144410595</v>
      </c>
      <c r="V496" s="12">
        <f>(0.85*$B$2/$D$2)*(1-SQRT(1-2*U496/(0.85*$B$2)))</f>
        <v>0.000273136982</v>
      </c>
      <c r="W496" s="13">
        <f>V496*(D496*1000)*J496</f>
        <v>32.74707562</v>
      </c>
      <c r="X496" s="13">
        <f>MAX(W496,N496)</f>
        <v>399.6416667</v>
      </c>
      <c r="Y496" s="14">
        <f>ROUNDUP(X496/$J$2,0)</f>
        <v>3</v>
      </c>
      <c r="Z496" s="13">
        <f>Y496*$J$2</f>
        <v>597</v>
      </c>
      <c r="AA496" s="10">
        <f>0.9*Z496*$D$2*(J496-(Z496*$D$2/(0.85*$B$2*(D496*1000)))/2)/1000000</f>
        <v>73.90552018</v>
      </c>
      <c r="AB496" s="15" t="str">
        <f>IF(AA496&gt;=G496,"CUMPLE","REVISAR")</f>
        <v>CUMPLE</v>
      </c>
      <c r="AC496" s="10">
        <f>0.17*SQRT($B$2)*(D496*1000)*J496/1000</f>
        <v>107.8499513</v>
      </c>
      <c r="AD496" s="10">
        <f>MAX(H496/0.75-AC496,0)</f>
        <v>20.47004872</v>
      </c>
      <c r="AE496" s="14">
        <f>IF(AD496&gt;0,MIN($N$2*$D$2*J496/(AD496*1000),MIN(J496/4,6*$H$2,150)),MIN(J496/4,6*$H$2,150))</f>
        <v>85.6375</v>
      </c>
      <c r="AF496" s="10">
        <f>0.66*SQRT($B$2)*(D496*1000)*J496/1000</f>
        <v>418.7115756</v>
      </c>
      <c r="AG496" s="15" t="str">
        <f>IF(AD496&lt;=AF496,"CUMPLE","AUMENTAR SECCION")</f>
        <v>CUMPLE</v>
      </c>
      <c r="AH496" s="10">
        <f>0.75*0.083*SQRT($B$2)*(((D496*1000)*(E496*1000))^2/(2*((D496*1000)+(E496*1000))))/1000000</f>
        <v>4.304108233</v>
      </c>
      <c r="AI496" s="15" t="str">
        <f>IF(I496&gt;AH496,"SI","No")</f>
        <v>SI</v>
      </c>
      <c r="AJ496" s="11">
        <f>IF(I496&gt;AH496,I496*1000000/(0.75*2*0.85*((D496*1000-2*$F$2)*(E496*1000-2*$F$2))*$D$2),0)</f>
        <v>0.1028158177</v>
      </c>
      <c r="AK496" s="10">
        <f>1.25*Q496*$D$2*(J496-(1.25*Q496*$D$2/(0.85*$B$2*(D496*1000)))/2)/1000000</f>
        <v>101.4672613</v>
      </c>
      <c r="AL496" s="10">
        <f>1.25*Z496*$D$2*(J496-(1.25*Z496*$D$2/(0.85*$B$2*(D496*1000)))/2)/1000000</f>
        <v>101.4672613</v>
      </c>
      <c r="AM496" s="10">
        <f>(AK496+AL496)/B496</f>
        <v>55.55283949</v>
      </c>
      <c r="AN496" s="10">
        <f>MAX(H496,AM496)</f>
        <v>96.24</v>
      </c>
    </row>
    <row r="497">
      <c r="A497" s="5" t="inlineStr">
        <is>
          <t>F968</t>
        </is>
      </c>
      <c r="B497" s="6" t="n">
        <v>2.6</v>
      </c>
      <c r="C497" s="7" t="inlineStr">
        <is>
          <t>VC</t>
        </is>
      </c>
      <c r="D497" s="8">
        <f>IF(C497="VR",0.35,0.30)</f>
        <v>0.3</v>
      </c>
      <c r="E497" s="6" t="n">
        <v>0.4</v>
      </c>
      <c r="F497" s="9" t="n">
        <v>25.6</v>
      </c>
      <c r="G497" s="9" t="n">
        <v>8.5</v>
      </c>
      <c r="H497" s="9" t="n">
        <v>43.6</v>
      </c>
      <c r="I497" s="6" t="n">
        <v>0.34</v>
      </c>
      <c r="J497" s="10">
        <f>E497*1000-$F$2-$L$2-$H$2/2</f>
        <v>342.55</v>
      </c>
      <c r="K497" s="11">
        <f>F497*1000000/(0.9*(D497*1000)*J497^2)</f>
        <v>0.8080314367</v>
      </c>
      <c r="L497" s="12">
        <f>(0.85*$B$2/$D$2)*(1-SQRT(1-2*K497/(0.85*$B$2)))</f>
        <v>0.001957701385</v>
      </c>
      <c r="M497" s="13">
        <f>L497*(D497*1000)*J497</f>
        <v>201.1831829</v>
      </c>
      <c r="N497" s="13">
        <f>MAX(0.25*SQRT($B$2)/$D$2,1.4/$D$2)*(D497*1000)*J497</f>
        <v>342.55</v>
      </c>
      <c r="O497" s="13">
        <f>MAX(M497,N497)</f>
        <v>342.55</v>
      </c>
      <c r="P497" s="14">
        <f>ROUNDUP(O497/$J$2,0)</f>
        <v>2</v>
      </c>
      <c r="Q497" s="13">
        <f>P497*$J$2</f>
        <v>398</v>
      </c>
      <c r="R497" s="10">
        <f>Q497*$D$2/(0.85*$B$2*(D497*1000))</f>
        <v>23.41176471</v>
      </c>
      <c r="S497" s="10">
        <f>0.9*Q497*$D$2*(J497-R497/2)/1000000</f>
        <v>49.77351244</v>
      </c>
      <c r="T497" s="15" t="str">
        <f>IF(AND(S497&gt;=F497,O497&lt;=0.025*(D497*1000)*J497,O497&gt;=N497),"CUMPLE","REVISAR")</f>
        <v>CUMPLE</v>
      </c>
      <c r="U497" s="11">
        <f>G497*1000000/(0.9*(D497*1000)*J497^2)</f>
        <v>0.2692385998</v>
      </c>
      <c r="V497" s="12">
        <f>(0.85*$B$2/$D$2)*(1-SQRT(1-2*U497/(0.85*$B$2)))</f>
        <v>0.0006447118146</v>
      </c>
      <c r="W497" s="13">
        <f>V497*(D497*1000)*J497</f>
        <v>66.25380962</v>
      </c>
      <c r="X497" s="13">
        <f>MAX(W497,N497)</f>
        <v>342.55</v>
      </c>
      <c r="Y497" s="14">
        <f>ROUNDUP(X497/$J$2,0)</f>
        <v>2</v>
      </c>
      <c r="Z497" s="13">
        <f>Y497*$J$2</f>
        <v>398</v>
      </c>
      <c r="AA497" s="10">
        <f>0.9*Z497*$D$2*(J497-(Z497*$D$2/(0.85*$B$2*(D497*1000)))/2)/1000000</f>
        <v>49.77351244</v>
      </c>
      <c r="AB497" s="15" t="str">
        <f>IF(AA497&gt;=G497,"CUMPLE","REVISAR")</f>
        <v>CUMPLE</v>
      </c>
      <c r="AC497" s="10">
        <f>0.17*SQRT($B$2)*(D497*1000)*J497/1000</f>
        <v>92.44281538</v>
      </c>
      <c r="AD497" s="10">
        <f>MAX(H497/0.75-AC497,0)</f>
        <v>0</v>
      </c>
      <c r="AE497" s="14">
        <f>IF(AD497&gt;0,MIN($N$2*$D$2*J497/(AD497*1000),MIN(J497/4,6*$H$2,150)),MIN(J497/4,6*$H$2,150))</f>
        <v>85.6375</v>
      </c>
      <c r="AF497" s="10">
        <f>0.66*SQRT($B$2)*(D497*1000)*J497/1000</f>
        <v>358.8956362</v>
      </c>
      <c r="AG497" s="15" t="str">
        <f>IF(AD497&lt;=AF497,"CUMPLE","AUMENTAR SECCION")</f>
        <v>CUMPLE</v>
      </c>
      <c r="AH497" s="10">
        <f>0.75*0.083*SQRT($B$2)*(((D497*1000)*(E497*1000))^2/(2*((D497*1000)+(E497*1000))))/1000000</f>
        <v>3.388073536</v>
      </c>
      <c r="AI497" s="15" t="str">
        <f>IF(I497&gt;AH497,"SI","No")</f>
        <v>No</v>
      </c>
      <c r="AJ497" s="11">
        <f>IF(I497&gt;AH497,I497*1000000/(0.75*2*0.85*((D497*1000-2*$F$2)*(E497*1000-2*$F$2))*$D$2),0)</f>
        <v>0</v>
      </c>
      <c r="AK497" s="10">
        <f>1.25*Q497*$D$2*(J497-(1.25*Q497*$D$2/(0.85*$B$2*(D497*1000)))/2)/1000000</f>
        <v>68.51839235</v>
      </c>
      <c r="AL497" s="10">
        <f>1.25*Z497*$D$2*(J497-(1.25*Z497*$D$2/(0.85*$B$2*(D497*1000)))/2)/1000000</f>
        <v>68.51839235</v>
      </c>
      <c r="AM497" s="10">
        <f>(AK497+AL497)/B497</f>
        <v>52.70645566</v>
      </c>
      <c r="AN497" s="10">
        <f>MAX(H497,AM497)</f>
        <v>52.70645566</v>
      </c>
    </row>
    <row r="498">
      <c r="A498" s="5" t="inlineStr">
        <is>
          <t>F969</t>
        </is>
      </c>
      <c r="B498" s="6" t="n">
        <v>2.95</v>
      </c>
      <c r="C498" s="7" t="inlineStr">
        <is>
          <t>VR</t>
        </is>
      </c>
      <c r="D498" s="8">
        <f>IF(C498="VR",0.35,0.30)</f>
        <v>0.35</v>
      </c>
      <c r="E498" s="6" t="n">
        <v>0.4</v>
      </c>
      <c r="F498" s="9" t="n">
        <v>38</v>
      </c>
      <c r="G498" s="9" t="n">
        <v>12.7</v>
      </c>
      <c r="H498" s="9" t="n">
        <v>68.09999999999999</v>
      </c>
      <c r="I498" s="6" t="n">
        <v>0.64</v>
      </c>
      <c r="J498" s="10">
        <f>E498*1000-$F$2-$L$2-$H$2/2</f>
        <v>342.55</v>
      </c>
      <c r="K498" s="11">
        <f>F498*1000000/(0.9*(D498*1000)*J498^2)</f>
        <v>1.028346258</v>
      </c>
      <c r="L498" s="12">
        <f>(0.85*$B$2/$D$2)*(1-SQRT(1-2*K498/(0.85*$B$2)))</f>
        <v>0.002503756377</v>
      </c>
      <c r="M498" s="13">
        <f>L498*(D498*1000)*J498</f>
        <v>300.1816115</v>
      </c>
      <c r="N498" s="13">
        <f>MAX(0.25*SQRT($B$2)/$D$2,1.4/$D$2)*(D498*1000)*J498</f>
        <v>399.6416667</v>
      </c>
      <c r="O498" s="13">
        <f>MAX(M498,N498)</f>
        <v>399.6416667</v>
      </c>
      <c r="P498" s="14">
        <f>ROUNDUP(O498/$J$2,0)</f>
        <v>3</v>
      </c>
      <c r="Q498" s="13">
        <f>P498*$J$2</f>
        <v>597</v>
      </c>
      <c r="R498" s="10">
        <f>Q498*$D$2/(0.85*$B$2*(D498*1000))</f>
        <v>30.10084034</v>
      </c>
      <c r="S498" s="10">
        <f>0.9*Q498*$D$2*(J498-R498/2)/1000000</f>
        <v>73.90552018</v>
      </c>
      <c r="T498" s="15" t="str">
        <f>IF(AND(S498&gt;=F498,O498&lt;=0.025*(D498*1000)*J498,O498&gt;=N498),"CUMPLE","REVISAR")</f>
        <v>CUMPLE</v>
      </c>
      <c r="U498" s="11">
        <f>G498*1000000/(0.9*(D498*1000)*J498^2)</f>
        <v>0.342782086</v>
      </c>
      <c r="V498" s="12">
        <f>(0.85*$B$2/$D$2)*(1-SQRT(1-2*U498/(0.85*$B$2)))</f>
        <v>0.000822111357</v>
      </c>
      <c r="W498" s="13">
        <f>V498*(D498*1000)*J498</f>
        <v>98.56498586</v>
      </c>
      <c r="X498" s="13">
        <f>MAX(W498,N498)</f>
        <v>399.6416667</v>
      </c>
      <c r="Y498" s="14">
        <f>ROUNDUP(X498/$J$2,0)</f>
        <v>3</v>
      </c>
      <c r="Z498" s="13">
        <f>Y498*$J$2</f>
        <v>597</v>
      </c>
      <c r="AA498" s="10">
        <f>0.9*Z498*$D$2*(J498-(Z498*$D$2/(0.85*$B$2*(D498*1000)))/2)/1000000</f>
        <v>73.90552018</v>
      </c>
      <c r="AB498" s="15" t="str">
        <f>IF(AA498&gt;=G498,"CUMPLE","REVISAR")</f>
        <v>CUMPLE</v>
      </c>
      <c r="AC498" s="10">
        <f>0.17*SQRT($B$2)*(D498*1000)*J498/1000</f>
        <v>107.8499513</v>
      </c>
      <c r="AD498" s="10">
        <f>MAX(H498/0.75-AC498,0)</f>
        <v>0</v>
      </c>
      <c r="AE498" s="14">
        <f>IF(AD498&gt;0,MIN($N$2*$D$2*J498/(AD498*1000),MIN(J498/4,6*$H$2,150)),MIN(J498/4,6*$H$2,150))</f>
        <v>85.6375</v>
      </c>
      <c r="AF498" s="10">
        <f>0.66*SQRT($B$2)*(D498*1000)*J498/1000</f>
        <v>418.7115756</v>
      </c>
      <c r="AG498" s="15" t="str">
        <f>IF(AD498&lt;=AF498,"CUMPLE","AUMENTAR SECCION")</f>
        <v>CUMPLE</v>
      </c>
      <c r="AH498" s="10">
        <f>0.75*0.083*SQRT($B$2)*(((D498*1000)*(E498*1000))^2/(2*((D498*1000)+(E498*1000))))/1000000</f>
        <v>4.304108233</v>
      </c>
      <c r="AI498" s="15" t="str">
        <f>IF(I498&gt;AH498,"SI","No")</f>
        <v>No</v>
      </c>
      <c r="AJ498" s="11">
        <f>IF(I498&gt;AH498,I498*1000000/(0.75*2*0.85*((D498*1000-2*$F$2)*(E498*1000-2*$F$2))*$D$2),0)</f>
        <v>0</v>
      </c>
      <c r="AK498" s="10">
        <f>1.25*Q498*$D$2*(J498-(1.25*Q498*$D$2/(0.85*$B$2*(D498*1000)))/2)/1000000</f>
        <v>101.4672613</v>
      </c>
      <c r="AL498" s="10">
        <f>1.25*Z498*$D$2*(J498-(1.25*Z498*$D$2/(0.85*$B$2*(D498*1000)))/2)/1000000</f>
        <v>101.4672613</v>
      </c>
      <c r="AM498" s="10">
        <f>(AK498+AL498)/B498</f>
        <v>68.79136361</v>
      </c>
      <c r="AN498" s="10">
        <f>MAX(H498,AM498)</f>
        <v>68.79136361</v>
      </c>
    </row>
    <row r="499">
      <c r="A499" s="5" t="inlineStr">
        <is>
          <t>F970</t>
        </is>
      </c>
      <c r="B499" s="6" t="n">
        <v>2.6</v>
      </c>
      <c r="C499" s="7" t="inlineStr">
        <is>
          <t>VC</t>
        </is>
      </c>
      <c r="D499" s="8">
        <f>IF(C499="VR",0.35,0.30)</f>
        <v>0.3</v>
      </c>
      <c r="E499" s="6" t="n">
        <v>0.4</v>
      </c>
      <c r="F499" s="9" t="n">
        <v>94.8</v>
      </c>
      <c r="G499" s="9" t="n">
        <v>85.5</v>
      </c>
      <c r="H499" s="9" t="n">
        <v>149.9</v>
      </c>
      <c r="I499" s="6" t="n">
        <v>0.64</v>
      </c>
      <c r="J499" s="10">
        <f>E499*1000-$F$2-$L$2-$H$2/2</f>
        <v>342.55</v>
      </c>
      <c r="K499" s="11">
        <f>F499*1000000/(0.9*(D499*1000)*J499^2)</f>
        <v>2.990978865</v>
      </c>
      <c r="L499" s="12">
        <f>(0.85*$B$2/$D$2)*(1-SQRT(1-2*K499/(0.85*$B$2)))</f>
        <v>0.007635843951</v>
      </c>
      <c r="M499" s="13">
        <f>L499*(D499*1000)*J499</f>
        <v>784.6975036</v>
      </c>
      <c r="N499" s="13">
        <f>MAX(0.25*SQRT($B$2)/$D$2,1.4/$D$2)*(D499*1000)*J499</f>
        <v>342.55</v>
      </c>
      <c r="O499" s="13">
        <f>MAX(M499,N499)</f>
        <v>784.6975036</v>
      </c>
      <c r="P499" s="14">
        <f>ROUNDUP(O499/$J$2,0)</f>
        <v>4</v>
      </c>
      <c r="Q499" s="13">
        <f>P499*$J$2</f>
        <v>796</v>
      </c>
      <c r="R499" s="10">
        <f>Q499*$D$2/(0.85*$B$2*(D499*1000))</f>
        <v>46.82352941</v>
      </c>
      <c r="S499" s="10">
        <f>0.9*Q499*$D$2*(J499-R499/2)/1000000</f>
        <v>96.02486534</v>
      </c>
      <c r="T499" s="15" t="str">
        <f>IF(AND(S499&gt;=F499,O499&lt;=0.025*(D499*1000)*J499,O499&gt;=N499),"CUMPLE","REVISAR")</f>
        <v>CUMPLE</v>
      </c>
      <c r="U499" s="11">
        <f>G499*1000000/(0.9*(D499*1000)*J499^2)</f>
        <v>2.698698744</v>
      </c>
      <c r="V499" s="12">
        <f>(0.85*$B$2/$D$2)*(1-SQRT(1-2*U499/(0.85*$B$2)))</f>
        <v>0.006838052245</v>
      </c>
      <c r="W499" s="13">
        <f>V499*(D499*1000)*J499</f>
        <v>702.7124389</v>
      </c>
      <c r="X499" s="13">
        <f>MAX(W499,N499)</f>
        <v>702.7124389</v>
      </c>
      <c r="Y499" s="14">
        <f>ROUNDUP(X499/$J$2,0)</f>
        <v>4</v>
      </c>
      <c r="Z499" s="13">
        <f>Y499*$J$2</f>
        <v>796</v>
      </c>
      <c r="AA499" s="10">
        <f>0.9*Z499*$D$2*(J499-(Z499*$D$2/(0.85*$B$2*(D499*1000)))/2)/1000000</f>
        <v>96.02486534</v>
      </c>
      <c r="AB499" s="15" t="str">
        <f>IF(AA499&gt;=G499,"CUMPLE","REVISAR")</f>
        <v>CUMPLE</v>
      </c>
      <c r="AC499" s="10">
        <f>0.17*SQRT($B$2)*(D499*1000)*J499/1000</f>
        <v>92.44281538</v>
      </c>
      <c r="AD499" s="10">
        <f>MAX(H499/0.75-AC499,0)</f>
        <v>107.4905179</v>
      </c>
      <c r="AE499" s="14">
        <f>IF(AD499&gt;0,MIN($N$2*$D$2*J499/(AD499*1000),MIN(J499/4,6*$H$2,150)),MIN(J499/4,6*$H$2,150))</f>
        <v>85.6375</v>
      </c>
      <c r="AF499" s="10">
        <f>0.66*SQRT($B$2)*(D499*1000)*J499/1000</f>
        <v>358.8956362</v>
      </c>
      <c r="AG499" s="15" t="str">
        <f>IF(AD499&lt;=AF499,"CUMPLE","AUMENTAR SECCION")</f>
        <v>CUMPLE</v>
      </c>
      <c r="AH499" s="10">
        <f>0.75*0.083*SQRT($B$2)*(((D499*1000)*(E499*1000))^2/(2*((D499*1000)+(E499*1000))))/1000000</f>
        <v>3.388073536</v>
      </c>
      <c r="AI499" s="15" t="str">
        <f>IF(I499&gt;AH499,"SI","No")</f>
        <v>No</v>
      </c>
      <c r="AJ499" s="11">
        <f>IF(I499&gt;AH499,I499*1000000/(0.75*2*0.85*((D499*1000-2*$F$2)*(E499*1000-2*$F$2))*$D$2),0)</f>
        <v>0</v>
      </c>
      <c r="AK499" s="10">
        <f>1.25*Q499*$D$2*(J499-(1.25*Q499*$D$2/(0.85*$B$2*(D499*1000)))/2)/1000000</f>
        <v>130.9219244</v>
      </c>
      <c r="AL499" s="10">
        <f>1.25*Z499*$D$2*(J499-(1.25*Z499*$D$2/(0.85*$B$2*(D499*1000)))/2)/1000000</f>
        <v>130.9219244</v>
      </c>
      <c r="AM499" s="10">
        <f>(AK499+AL499)/B499</f>
        <v>100.7091726</v>
      </c>
      <c r="AN499" s="10">
        <f>MAX(H499,AM499)</f>
        <v>149.95</v>
      </c>
    </row>
    <row r="500">
      <c r="A500" s="5" t="inlineStr">
        <is>
          <t>F971</t>
        </is>
      </c>
      <c r="B500" s="6" t="n">
        <v>2.5</v>
      </c>
      <c r="C500" s="7" t="inlineStr">
        <is>
          <t>VC</t>
        </is>
      </c>
      <c r="D500" s="8">
        <f>IF(C500="VR",0.35,0.30)</f>
        <v>0.3</v>
      </c>
      <c r="E500" s="6" t="n">
        <v>0.4</v>
      </c>
      <c r="F500" s="9" t="n">
        <v>15.7</v>
      </c>
      <c r="G500" s="9" t="n">
        <v>6.7</v>
      </c>
      <c r="H500" s="9" t="n">
        <v>36.6</v>
      </c>
      <c r="I500" s="6" t="n">
        <v>0.03</v>
      </c>
      <c r="J500" s="10">
        <f>E500*1000-$F$2-$L$2-$H$2/2</f>
        <v>342.55</v>
      </c>
      <c r="K500" s="11">
        <f>F500*1000000/(0.9*(D500*1000)*J500^2)</f>
        <v>0.4946036177</v>
      </c>
      <c r="L500" s="12">
        <f>(0.85*$B$2/$D$2)*(1-SQRT(1-2*K500/(0.85*$B$2)))</f>
        <v>0.001190125292</v>
      </c>
      <c r="M500" s="13">
        <f>L500*(D500*1000)*J500</f>
        <v>122.3032257</v>
      </c>
      <c r="N500" s="13">
        <f>MAX(0.25*SQRT($B$2)/$D$2,1.4/$D$2)*(D500*1000)*J500</f>
        <v>342.55</v>
      </c>
      <c r="O500" s="13">
        <f>MAX(M500,N500)</f>
        <v>342.55</v>
      </c>
      <c r="P500" s="14">
        <f>ROUNDUP(O500/$J$2,0)</f>
        <v>2</v>
      </c>
      <c r="Q500" s="13">
        <f>P500*$J$2</f>
        <v>398</v>
      </c>
      <c r="R500" s="10">
        <f>Q500*$D$2/(0.85*$B$2*(D500*1000))</f>
        <v>23.41176471</v>
      </c>
      <c r="S500" s="10">
        <f>0.9*Q500*$D$2*(J500-R500/2)/1000000</f>
        <v>49.77351244</v>
      </c>
      <c r="T500" s="15" t="str">
        <f>IF(AND(S500&gt;=F500,O500&lt;=0.025*(D500*1000)*J500,O500&gt;=N500),"CUMPLE","REVISAR")</f>
        <v>CUMPLE</v>
      </c>
      <c r="U500" s="11">
        <f>G500*1000000/(0.9*(D500*1000)*J500^2)</f>
        <v>0.2127395267</v>
      </c>
      <c r="V500" s="12">
        <f>(0.85*$B$2/$D$2)*(1-SQRT(1-2*U500/(0.85*$B$2)))</f>
        <v>0.0005088069578</v>
      </c>
      <c r="W500" s="13">
        <f>V500*(D500*1000)*J500</f>
        <v>52.28754701</v>
      </c>
      <c r="X500" s="13">
        <f>MAX(W500,N500)</f>
        <v>342.55</v>
      </c>
      <c r="Y500" s="14">
        <f>ROUNDUP(X500/$J$2,0)</f>
        <v>2</v>
      </c>
      <c r="Z500" s="13">
        <f>Y500*$J$2</f>
        <v>398</v>
      </c>
      <c r="AA500" s="10">
        <f>0.9*Z500*$D$2*(J500-(Z500*$D$2/(0.85*$B$2*(D500*1000)))/2)/1000000</f>
        <v>49.77351244</v>
      </c>
      <c r="AB500" s="15" t="str">
        <f>IF(AA500&gt;=G500,"CUMPLE","REVISAR")</f>
        <v>CUMPLE</v>
      </c>
      <c r="AC500" s="10">
        <f>0.17*SQRT($B$2)*(D500*1000)*J500/1000</f>
        <v>92.44281538</v>
      </c>
      <c r="AD500" s="10">
        <f>MAX(H500/0.75-AC500,0)</f>
        <v>0</v>
      </c>
      <c r="AE500" s="14">
        <f>IF(AD500&gt;0,MIN($N$2*$D$2*J500/(AD500*1000),MIN(J500/4,6*$H$2,150)),MIN(J500/4,6*$H$2,150))</f>
        <v>85.6375</v>
      </c>
      <c r="AF500" s="10">
        <f>0.66*SQRT($B$2)*(D500*1000)*J500/1000</f>
        <v>358.8956362</v>
      </c>
      <c r="AG500" s="15" t="str">
        <f>IF(AD500&lt;=AF500,"CUMPLE","AUMENTAR SECCION")</f>
        <v>CUMPLE</v>
      </c>
      <c r="AH500" s="10">
        <f>0.75*0.083*SQRT($B$2)*(((D500*1000)*(E500*1000))^2/(2*((D500*1000)+(E500*1000))))/1000000</f>
        <v>3.388073536</v>
      </c>
      <c r="AI500" s="15" t="str">
        <f>IF(I500&gt;AH500,"SI","No")</f>
        <v>No</v>
      </c>
      <c r="AJ500" s="11">
        <f>IF(I500&gt;AH500,I500*1000000/(0.75*2*0.85*((D500*1000-2*$F$2)*(E500*1000-2*$F$2))*$D$2),0)</f>
        <v>0</v>
      </c>
      <c r="AK500" s="10">
        <f>1.25*Q500*$D$2*(J500-(1.25*Q500*$D$2/(0.85*$B$2*(D500*1000)))/2)/1000000</f>
        <v>68.51839235</v>
      </c>
      <c r="AL500" s="10">
        <f>1.25*Z500*$D$2*(J500-(1.25*Z500*$D$2/(0.85*$B$2*(D500*1000)))/2)/1000000</f>
        <v>68.51839235</v>
      </c>
      <c r="AM500" s="10">
        <f>(AK500+AL500)/B500</f>
        <v>54.81471388</v>
      </c>
      <c r="AN500" s="10">
        <f>MAX(H500,AM500)</f>
        <v>54.81471388</v>
      </c>
    </row>
    <row r="501">
      <c r="A501" s="5" t="inlineStr">
        <is>
          <t>F972</t>
        </is>
      </c>
      <c r="B501" s="6" t="n">
        <v>4</v>
      </c>
      <c r="C501" s="7" t="inlineStr">
        <is>
          <t>VC</t>
        </is>
      </c>
      <c r="D501" s="8">
        <f>IF(C501="VR",0.35,0.30)</f>
        <v>0.3</v>
      </c>
      <c r="E501" s="6" t="n">
        <v>0.4</v>
      </c>
      <c r="F501" s="9" t="n">
        <v>63.8</v>
      </c>
      <c r="G501" s="9" t="n">
        <v>21.9</v>
      </c>
      <c r="H501" s="9" t="n">
        <v>70.40000000000001</v>
      </c>
      <c r="I501" s="6" t="n">
        <v>0.19</v>
      </c>
      <c r="J501" s="10">
        <f>E501*1000-$F$2-$L$2-$H$2/2</f>
        <v>342.55</v>
      </c>
      <c r="K501" s="11">
        <f>F501*1000000/(0.9*(D501*1000)*J501^2)</f>
        <v>2.01218766</v>
      </c>
      <c r="L501" s="12">
        <f>(0.85*$B$2/$D$2)*(1-SQRT(1-2*K501/(0.85*$B$2)))</f>
        <v>0.005012626768</v>
      </c>
      <c r="M501" s="13">
        <f>L501*(D501*1000)*J501</f>
        <v>515.1225898</v>
      </c>
      <c r="N501" s="13">
        <f>MAX(0.25*SQRT($B$2)/$D$2,1.4/$D$2)*(D501*1000)*J501</f>
        <v>342.55</v>
      </c>
      <c r="O501" s="13">
        <f>MAX(M501,N501)</f>
        <v>515.1225898</v>
      </c>
      <c r="P501" s="14">
        <f>ROUNDUP(O501/$J$2,0)</f>
        <v>3</v>
      </c>
      <c r="Q501" s="13">
        <f>P501*$J$2</f>
        <v>597</v>
      </c>
      <c r="R501" s="10">
        <f>Q501*$D$2/(0.85*$B$2*(D501*1000))</f>
        <v>35.11764706</v>
      </c>
      <c r="S501" s="10">
        <f>0.9*Q501*$D$2*(J501-R501/2)/1000000</f>
        <v>73.33945883</v>
      </c>
      <c r="T501" s="15" t="str">
        <f>IF(AND(S501&gt;=F501,O501&lt;=0.025*(D501*1000)*J501,O501&gt;=N501),"CUMPLE","REVISAR")</f>
        <v>CUMPLE</v>
      </c>
      <c r="U501" s="11">
        <f>G501*1000000/(0.9*(D501*1000)*J501^2)</f>
        <v>0.6928238295</v>
      </c>
      <c r="V501" s="12">
        <f>(0.85*$B$2/$D$2)*(1-SQRT(1-2*U501/(0.85*$B$2)))</f>
        <v>0.001674315842</v>
      </c>
      <c r="W501" s="13">
        <f>V501*(D501*1000)*J501</f>
        <v>172.0610675</v>
      </c>
      <c r="X501" s="13">
        <f>MAX(W501,N501)</f>
        <v>342.55</v>
      </c>
      <c r="Y501" s="14">
        <f>ROUNDUP(X501/$J$2,0)</f>
        <v>2</v>
      </c>
      <c r="Z501" s="13">
        <f>Y501*$J$2</f>
        <v>398</v>
      </c>
      <c r="AA501" s="10">
        <f>0.9*Z501*$D$2*(J501-(Z501*$D$2/(0.85*$B$2*(D501*1000)))/2)/1000000</f>
        <v>49.77351244</v>
      </c>
      <c r="AB501" s="15" t="str">
        <f>IF(AA501&gt;=G501,"CUMPLE","REVISAR")</f>
        <v>CUMPLE</v>
      </c>
      <c r="AC501" s="10">
        <f>0.17*SQRT($B$2)*(D501*1000)*J501/1000</f>
        <v>92.44281538</v>
      </c>
      <c r="AD501" s="10">
        <f>MAX(H501/0.75-AC501,0)</f>
        <v>1.397184616</v>
      </c>
      <c r="AE501" s="14">
        <f>IF(AD501&gt;0,MIN($N$2*$D$2*J501/(AD501*1000),MIN(J501/4,6*$H$2,150)),MIN(J501/4,6*$H$2,150))</f>
        <v>85.6375</v>
      </c>
      <c r="AF501" s="10">
        <f>0.66*SQRT($B$2)*(D501*1000)*J501/1000</f>
        <v>358.8956362</v>
      </c>
      <c r="AG501" s="15" t="str">
        <f>IF(AD501&lt;=AF501,"CUMPLE","AUMENTAR SECCION")</f>
        <v>CUMPLE</v>
      </c>
      <c r="AH501" s="10">
        <f>0.75*0.083*SQRT($B$2)*(((D501*1000)*(E501*1000))^2/(2*((D501*1000)+(E501*1000))))/1000000</f>
        <v>3.388073536</v>
      </c>
      <c r="AI501" s="15" t="str">
        <f>IF(I501&gt;AH501,"SI","No")</f>
        <v>No</v>
      </c>
      <c r="AJ501" s="11">
        <f>IF(I501&gt;AH501,I501*1000000/(0.75*2*0.85*((D501*1000-2*$F$2)*(E501*1000-2*$F$2))*$D$2),0)</f>
        <v>0</v>
      </c>
      <c r="AK501" s="10">
        <f>1.25*Q501*$D$2*(J501-(1.25*Q501*$D$2/(0.85*$B$2*(D501*1000)))/2)/1000000</f>
        <v>100.4845159</v>
      </c>
      <c r="AL501" s="10">
        <f>1.25*Z501*$D$2*(J501-(1.25*Z501*$D$2/(0.85*$B$2*(D501*1000)))/2)/1000000</f>
        <v>68.51839235</v>
      </c>
      <c r="AM501" s="10">
        <f>(AK501+AL501)/B501</f>
        <v>42.25072707</v>
      </c>
      <c r="AN501" s="10">
        <f>MAX(H501,AM501)</f>
        <v>70.38</v>
      </c>
    </row>
    <row r="502">
      <c r="A502" s="5" t="inlineStr">
        <is>
          <t>F973</t>
        </is>
      </c>
      <c r="B502" s="6" t="n">
        <v>2.8</v>
      </c>
      <c r="C502" s="7" t="inlineStr">
        <is>
          <t>VR</t>
        </is>
      </c>
      <c r="D502" s="8">
        <f>IF(C502="VR",0.35,0.30)</f>
        <v>0.35</v>
      </c>
      <c r="E502" s="6" t="n">
        <v>0.4</v>
      </c>
      <c r="F502" s="9" t="n">
        <v>71.8</v>
      </c>
      <c r="G502" s="9" t="n">
        <v>34.1</v>
      </c>
      <c r="H502" s="9" t="n">
        <v>78.2</v>
      </c>
      <c r="I502" s="6" t="n">
        <v>0</v>
      </c>
      <c r="J502" s="10">
        <f>E502*1000-$F$2-$L$2-$H$2/2</f>
        <v>342.55</v>
      </c>
      <c r="K502" s="11">
        <f>F502*1000000/(0.9*(D502*1000)*J502^2)</f>
        <v>1.943063095</v>
      </c>
      <c r="L502" s="12">
        <f>(0.85*$B$2/$D$2)*(1-SQRT(1-2*K502/(0.85*$B$2)))</f>
        <v>0.004832387487</v>
      </c>
      <c r="M502" s="13">
        <f>L502*(D502*1000)*J502</f>
        <v>579.3670168</v>
      </c>
      <c r="N502" s="13">
        <f>MAX(0.25*SQRT($B$2)/$D$2,1.4/$D$2)*(D502*1000)*J502</f>
        <v>399.6416667</v>
      </c>
      <c r="O502" s="13">
        <f>MAX(M502,N502)</f>
        <v>579.3670168</v>
      </c>
      <c r="P502" s="14">
        <f>ROUNDUP(O502/$J$2,0)</f>
        <v>3</v>
      </c>
      <c r="Q502" s="13">
        <f>P502*$J$2</f>
        <v>597</v>
      </c>
      <c r="R502" s="10">
        <f>Q502*$D$2/(0.85*$B$2*(D502*1000))</f>
        <v>30.10084034</v>
      </c>
      <c r="S502" s="10">
        <f>0.9*Q502*$D$2*(J502-R502/2)/1000000</f>
        <v>73.90552018</v>
      </c>
      <c r="T502" s="15" t="str">
        <f>IF(AND(S502&gt;=F502,O502&lt;=0.025*(D502*1000)*J502,O502&gt;=N502),"CUMPLE","REVISAR")</f>
        <v>CUMPLE</v>
      </c>
      <c r="U502" s="11">
        <f>G502*1000000/(0.9*(D502*1000)*J502^2)</f>
        <v>0.9220215858</v>
      </c>
      <c r="V502" s="12">
        <f>(0.85*$B$2/$D$2)*(1-SQRT(1-2*U502/(0.85*$B$2)))</f>
        <v>0.002239544424</v>
      </c>
      <c r="W502" s="13">
        <f>V502*(D502*1000)*J502</f>
        <v>268.5045799</v>
      </c>
      <c r="X502" s="13">
        <f>MAX(W502,N502)</f>
        <v>399.6416667</v>
      </c>
      <c r="Y502" s="14">
        <f>ROUNDUP(X502/$J$2,0)</f>
        <v>3</v>
      </c>
      <c r="Z502" s="13">
        <f>Y502*$J$2</f>
        <v>597</v>
      </c>
      <c r="AA502" s="10">
        <f>0.9*Z502*$D$2*(J502-(Z502*$D$2/(0.85*$B$2*(D502*1000)))/2)/1000000</f>
        <v>73.90552018</v>
      </c>
      <c r="AB502" s="15" t="str">
        <f>IF(AA502&gt;=G502,"CUMPLE","REVISAR")</f>
        <v>CUMPLE</v>
      </c>
      <c r="AC502" s="10">
        <f>0.17*SQRT($B$2)*(D502*1000)*J502/1000</f>
        <v>107.8499513</v>
      </c>
      <c r="AD502" s="10">
        <f>MAX(H502/0.75-AC502,0)</f>
        <v>0</v>
      </c>
      <c r="AE502" s="14">
        <f>IF(AD502&gt;0,MIN($N$2*$D$2*J502/(AD502*1000),MIN(J502/4,6*$H$2,150)),MIN(J502/4,6*$H$2,150))</f>
        <v>85.6375</v>
      </c>
      <c r="AF502" s="10">
        <f>0.66*SQRT($B$2)*(D502*1000)*J502/1000</f>
        <v>418.7115756</v>
      </c>
      <c r="AG502" s="15" t="str">
        <f>IF(AD502&lt;=AF502,"CUMPLE","AUMENTAR SECCION")</f>
        <v>CUMPLE</v>
      </c>
      <c r="AH502" s="10">
        <f>0.75*0.083*SQRT($B$2)*(((D502*1000)*(E502*1000))^2/(2*((D502*1000)+(E502*1000))))/1000000</f>
        <v>4.304108233</v>
      </c>
      <c r="AI502" s="15" t="str">
        <f>IF(I502&gt;AH502,"SI","No")</f>
        <v>No</v>
      </c>
      <c r="AJ502" s="11">
        <f>IF(I502&gt;AH502,I502*1000000/(0.75*2*0.85*((D502*1000-2*$F$2)*(E502*1000-2*$F$2))*$D$2),0)</f>
        <v>0</v>
      </c>
      <c r="AK502" s="10">
        <f>1.25*Q502*$D$2*(J502-(1.25*Q502*$D$2/(0.85*$B$2*(D502*1000)))/2)/1000000</f>
        <v>101.4672613</v>
      </c>
      <c r="AL502" s="10">
        <f>1.25*Z502*$D$2*(J502-(1.25*Z502*$D$2/(0.85*$B$2*(D502*1000)))/2)/1000000</f>
        <v>101.4672613</v>
      </c>
      <c r="AM502" s="10">
        <f>(AK502+AL502)/B502</f>
        <v>72.47661523</v>
      </c>
      <c r="AN502" s="10">
        <f>MAX(H502,AM502)</f>
        <v>78.25</v>
      </c>
    </row>
    <row r="503">
      <c r="A503" s="5" t="inlineStr">
        <is>
          <t>F974</t>
        </is>
      </c>
      <c r="B503" s="6" t="n">
        <v>2.7</v>
      </c>
      <c r="C503" s="7" t="inlineStr">
        <is>
          <t>VR</t>
        </is>
      </c>
      <c r="D503" s="8">
        <f>IF(C503="VR",0.35,0.30)</f>
        <v>0.35</v>
      </c>
      <c r="E503" s="6" t="n">
        <v>0.4</v>
      </c>
      <c r="F503" s="9" t="n">
        <v>73.7</v>
      </c>
      <c r="G503" s="9" t="n">
        <v>38.6</v>
      </c>
      <c r="H503" s="9" t="n">
        <v>80.59999999999999</v>
      </c>
      <c r="I503" s="6" t="n">
        <v>0</v>
      </c>
      <c r="J503" s="10">
        <f>E503*1000-$F$2-$L$2-$H$2/2</f>
        <v>342.55</v>
      </c>
      <c r="K503" s="11">
        <f>F503*1000000/(0.9*(D503*1000)*J503^2)</f>
        <v>1.993655242</v>
      </c>
      <c r="L503" s="12">
        <f>(0.85*$B$2/$D$2)*(1-SQRT(1-2*K503/(0.85*$B$2)))</f>
        <v>0.004964242653</v>
      </c>
      <c r="M503" s="13">
        <f>L503*(D503*1000)*J503</f>
        <v>595.1754622</v>
      </c>
      <c r="N503" s="13">
        <f>MAX(0.25*SQRT($B$2)/$D$2,1.4/$D$2)*(D503*1000)*J503</f>
        <v>399.6416667</v>
      </c>
      <c r="O503" s="13">
        <f>MAX(M503,N503)</f>
        <v>595.1754622</v>
      </c>
      <c r="P503" s="14">
        <f>ROUNDUP(O503/$J$2,0)</f>
        <v>3</v>
      </c>
      <c r="Q503" s="13">
        <f>P503*$J$2</f>
        <v>597</v>
      </c>
      <c r="R503" s="10">
        <f>Q503*$D$2/(0.85*$B$2*(D503*1000))</f>
        <v>30.10084034</v>
      </c>
      <c r="S503" s="10">
        <f>0.9*Q503*$D$2*(J503-R503/2)/1000000</f>
        <v>73.90552018</v>
      </c>
      <c r="T503" s="15" t="str">
        <f>IF(AND(S503&gt;=F503,O503&lt;=0.025*(D503*1000)*J503,O503&gt;=N503),"CUMPLE","REVISAR")</f>
        <v>CUMPLE</v>
      </c>
      <c r="U503" s="11">
        <f>G503*1000000/(0.9*(D503*1000)*J503^2)</f>
        <v>1.044579032</v>
      </c>
      <c r="V503" s="12">
        <f>(0.85*$B$2/$D$2)*(1-SQRT(1-2*U503/(0.85*$B$2)))</f>
        <v>0.002544207571</v>
      </c>
      <c r="W503" s="13">
        <f>V503*(D503*1000)*J503</f>
        <v>305.0314062</v>
      </c>
      <c r="X503" s="13">
        <f>MAX(W503,N503)</f>
        <v>399.6416667</v>
      </c>
      <c r="Y503" s="14">
        <f>ROUNDUP(X503/$J$2,0)</f>
        <v>3</v>
      </c>
      <c r="Z503" s="13">
        <f>Y503*$J$2</f>
        <v>597</v>
      </c>
      <c r="AA503" s="10">
        <f>0.9*Z503*$D$2*(J503-(Z503*$D$2/(0.85*$B$2*(D503*1000)))/2)/1000000</f>
        <v>73.90552018</v>
      </c>
      <c r="AB503" s="15" t="str">
        <f>IF(AA503&gt;=G503,"CUMPLE","REVISAR")</f>
        <v>CUMPLE</v>
      </c>
      <c r="AC503" s="10">
        <f>0.17*SQRT($B$2)*(D503*1000)*J503/1000</f>
        <v>107.8499513</v>
      </c>
      <c r="AD503" s="10">
        <f>MAX(H503/0.75-AC503,0)</f>
        <v>0</v>
      </c>
      <c r="AE503" s="14">
        <f>IF(AD503&gt;0,MIN($N$2*$D$2*J503/(AD503*1000),MIN(J503/4,6*$H$2,150)),MIN(J503/4,6*$H$2,150))</f>
        <v>85.6375</v>
      </c>
      <c r="AF503" s="10">
        <f>0.66*SQRT($B$2)*(D503*1000)*J503/1000</f>
        <v>418.7115756</v>
      </c>
      <c r="AG503" s="15" t="str">
        <f>IF(AD503&lt;=AF503,"CUMPLE","AUMENTAR SECCION")</f>
        <v>CUMPLE</v>
      </c>
      <c r="AH503" s="10">
        <f>0.75*0.083*SQRT($B$2)*(((D503*1000)*(E503*1000))^2/(2*((D503*1000)+(E503*1000))))/1000000</f>
        <v>4.304108233</v>
      </c>
      <c r="AI503" s="15" t="str">
        <f>IF(I503&gt;AH503,"SI","No")</f>
        <v>No</v>
      </c>
      <c r="AJ503" s="11">
        <f>IF(I503&gt;AH503,I503*1000000/(0.75*2*0.85*((D503*1000-2*$F$2)*(E503*1000-2*$F$2))*$D$2),0)</f>
        <v>0</v>
      </c>
      <c r="AK503" s="10">
        <f>1.25*Q503*$D$2*(J503-(1.25*Q503*$D$2/(0.85*$B$2*(D503*1000)))/2)/1000000</f>
        <v>101.4672613</v>
      </c>
      <c r="AL503" s="10">
        <f>1.25*Z503*$D$2*(J503-(1.25*Z503*$D$2/(0.85*$B$2*(D503*1000)))/2)/1000000</f>
        <v>101.4672613</v>
      </c>
      <c r="AM503" s="10">
        <f>(AK503+AL503)/B503</f>
        <v>75.16093431</v>
      </c>
      <c r="AN503" s="10">
        <f>MAX(H503,AM503)</f>
        <v>80.58</v>
      </c>
    </row>
    <row r="504">
      <c r="A504" s="5" t="inlineStr">
        <is>
          <t>F975</t>
        </is>
      </c>
      <c r="B504" s="6" t="n">
        <v>4</v>
      </c>
      <c r="C504" s="7" t="inlineStr">
        <is>
          <t>VC</t>
        </is>
      </c>
      <c r="D504" s="8">
        <f>IF(C504="VR",0.35,0.30)</f>
        <v>0.3</v>
      </c>
      <c r="E504" s="6" t="n">
        <v>0.4</v>
      </c>
      <c r="F504" s="9" t="n">
        <v>64</v>
      </c>
      <c r="G504" s="9" t="n">
        <v>22</v>
      </c>
      <c r="H504" s="9" t="n">
        <v>70.5</v>
      </c>
      <c r="I504" s="6" t="n">
        <v>0.19</v>
      </c>
      <c r="J504" s="10">
        <f>E504*1000-$F$2-$L$2-$H$2/2</f>
        <v>342.55</v>
      </c>
      <c r="K504" s="11">
        <f>F504*1000000/(0.9*(D504*1000)*J504^2)</f>
        <v>2.020078592</v>
      </c>
      <c r="L504" s="12">
        <f>(0.85*$B$2/$D$2)*(1-SQRT(1-2*K504/(0.85*$B$2)))</f>
        <v>0.005033242039</v>
      </c>
      <c r="M504" s="13">
        <f>L504*(D504*1000)*J504</f>
        <v>517.2411182</v>
      </c>
      <c r="N504" s="13">
        <f>MAX(0.25*SQRT($B$2)/$D$2,1.4/$D$2)*(D504*1000)*J504</f>
        <v>342.55</v>
      </c>
      <c r="O504" s="13">
        <f>MAX(M504,N504)</f>
        <v>517.2411182</v>
      </c>
      <c r="P504" s="14">
        <f>ROUNDUP(O504/$J$2,0)</f>
        <v>3</v>
      </c>
      <c r="Q504" s="13">
        <f>P504*$J$2</f>
        <v>597</v>
      </c>
      <c r="R504" s="10">
        <f>Q504*$D$2/(0.85*$B$2*(D504*1000))</f>
        <v>35.11764706</v>
      </c>
      <c r="S504" s="10">
        <f>0.9*Q504*$D$2*(J504-R504/2)/1000000</f>
        <v>73.33945883</v>
      </c>
      <c r="T504" s="15" t="str">
        <f>IF(AND(S504&gt;=F504,O504&lt;=0.025*(D504*1000)*J504,O504&gt;=N504),"CUMPLE","REVISAR")</f>
        <v>CUMPLE</v>
      </c>
      <c r="U504" s="11">
        <f>G504*1000000/(0.9*(D504*1000)*J504^2)</f>
        <v>0.6950332904</v>
      </c>
      <c r="V504" s="12">
        <f>(0.85*$B$2/$D$2)*(1-SQRT(1-2*U504/(0.85*$B$2)))</f>
        <v>0.001679736898</v>
      </c>
      <c r="W504" s="13">
        <f>V504*(D504*1000)*J504</f>
        <v>172.6181623</v>
      </c>
      <c r="X504" s="13">
        <f>MAX(W504,N504)</f>
        <v>342.55</v>
      </c>
      <c r="Y504" s="14">
        <f>ROUNDUP(X504/$J$2,0)</f>
        <v>2</v>
      </c>
      <c r="Z504" s="13">
        <f>Y504*$J$2</f>
        <v>398</v>
      </c>
      <c r="AA504" s="10">
        <f>0.9*Z504*$D$2*(J504-(Z504*$D$2/(0.85*$B$2*(D504*1000)))/2)/1000000</f>
        <v>49.77351244</v>
      </c>
      <c r="AB504" s="15" t="str">
        <f>IF(AA504&gt;=G504,"CUMPLE","REVISAR")</f>
        <v>CUMPLE</v>
      </c>
      <c r="AC504" s="10">
        <f>0.17*SQRT($B$2)*(D504*1000)*J504/1000</f>
        <v>92.44281538</v>
      </c>
      <c r="AD504" s="10">
        <f>MAX(H504/0.75-AC504,0)</f>
        <v>1.557184616</v>
      </c>
      <c r="AE504" s="14">
        <f>IF(AD504&gt;0,MIN($N$2*$D$2*J504/(AD504*1000),MIN(J504/4,6*$H$2,150)),MIN(J504/4,6*$H$2,150))</f>
        <v>85.6375</v>
      </c>
      <c r="AF504" s="10">
        <f>0.66*SQRT($B$2)*(D504*1000)*J504/1000</f>
        <v>358.8956362</v>
      </c>
      <c r="AG504" s="15" t="str">
        <f>IF(AD504&lt;=AF504,"CUMPLE","AUMENTAR SECCION")</f>
        <v>CUMPLE</v>
      </c>
      <c r="AH504" s="10">
        <f>0.75*0.083*SQRT($B$2)*(((D504*1000)*(E504*1000))^2/(2*((D504*1000)+(E504*1000))))/1000000</f>
        <v>3.388073536</v>
      </c>
      <c r="AI504" s="15" t="str">
        <f>IF(I504&gt;AH504,"SI","No")</f>
        <v>No</v>
      </c>
      <c r="AJ504" s="11">
        <f>IF(I504&gt;AH504,I504*1000000/(0.75*2*0.85*((D504*1000-2*$F$2)*(E504*1000-2*$F$2))*$D$2),0)</f>
        <v>0</v>
      </c>
      <c r="AK504" s="10">
        <f>1.25*Q504*$D$2*(J504-(1.25*Q504*$D$2/(0.85*$B$2*(D504*1000)))/2)/1000000</f>
        <v>100.4845159</v>
      </c>
      <c r="AL504" s="10">
        <f>1.25*Z504*$D$2*(J504-(1.25*Z504*$D$2/(0.85*$B$2*(D504*1000)))/2)/1000000</f>
        <v>68.51839235</v>
      </c>
      <c r="AM504" s="10">
        <f>(AK504+AL504)/B504</f>
        <v>42.25072707</v>
      </c>
      <c r="AN504" s="10">
        <f>MAX(H504,AM504)</f>
        <v>70.5</v>
      </c>
    </row>
    <row r="505">
      <c r="A505" s="5" t="inlineStr">
        <is>
          <t>F976</t>
        </is>
      </c>
      <c r="B505" s="6" t="n">
        <v>2.5</v>
      </c>
      <c r="C505" s="7" t="inlineStr">
        <is>
          <t>VC</t>
        </is>
      </c>
      <c r="D505" s="8">
        <f>IF(C505="VR",0.35,0.30)</f>
        <v>0.3</v>
      </c>
      <c r="E505" s="6" t="n">
        <v>0.4</v>
      </c>
      <c r="F505" s="9" t="n">
        <v>15.6</v>
      </c>
      <c r="G505" s="9" t="n">
        <v>6.7</v>
      </c>
      <c r="H505" s="9" t="n">
        <v>36.6</v>
      </c>
      <c r="I505" s="6" t="n">
        <v>0.03</v>
      </c>
      <c r="J505" s="10">
        <f>E505*1000-$F$2-$L$2-$H$2/2</f>
        <v>342.55</v>
      </c>
      <c r="K505" s="11">
        <f>F505*1000000/(0.9*(D505*1000)*J505^2)</f>
        <v>0.4930254313</v>
      </c>
      <c r="L505" s="12">
        <f>(0.85*$B$2/$D$2)*(1-SQRT(1-2*K505/(0.85*$B$2)))</f>
        <v>0.001186287228</v>
      </c>
      <c r="M505" s="13">
        <f>L505*(D505*1000)*J505</f>
        <v>121.908807</v>
      </c>
      <c r="N505" s="13">
        <f>MAX(0.25*SQRT($B$2)/$D$2,1.4/$D$2)*(D505*1000)*J505</f>
        <v>342.55</v>
      </c>
      <c r="O505" s="13">
        <f>MAX(M505,N505)</f>
        <v>342.55</v>
      </c>
      <c r="P505" s="14">
        <f>ROUNDUP(O505/$J$2,0)</f>
        <v>2</v>
      </c>
      <c r="Q505" s="13">
        <f>P505*$J$2</f>
        <v>398</v>
      </c>
      <c r="R505" s="10">
        <f>Q505*$D$2/(0.85*$B$2*(D505*1000))</f>
        <v>23.41176471</v>
      </c>
      <c r="S505" s="10">
        <f>0.9*Q505*$D$2*(J505-R505/2)/1000000</f>
        <v>49.77351244</v>
      </c>
      <c r="T505" s="15" t="str">
        <f>IF(AND(S505&gt;=F505,O505&lt;=0.025*(D505*1000)*J505,O505&gt;=N505),"CUMPLE","REVISAR")</f>
        <v>CUMPLE</v>
      </c>
      <c r="U505" s="11">
        <f>G505*1000000/(0.9*(D505*1000)*J505^2)</f>
        <v>0.2124238894</v>
      </c>
      <c r="V505" s="12">
        <f>(0.85*$B$2/$D$2)*(1-SQRT(1-2*U505/(0.85*$B$2)))</f>
        <v>0.0005080486366</v>
      </c>
      <c r="W505" s="13">
        <f>V505*(D505*1000)*J505</f>
        <v>52.20961814</v>
      </c>
      <c r="X505" s="13">
        <f>MAX(W505,N505)</f>
        <v>342.55</v>
      </c>
      <c r="Y505" s="14">
        <f>ROUNDUP(X505/$J$2,0)</f>
        <v>2</v>
      </c>
      <c r="Z505" s="13">
        <f>Y505*$J$2</f>
        <v>398</v>
      </c>
      <c r="AA505" s="10">
        <f>0.9*Z505*$D$2*(J505-(Z505*$D$2/(0.85*$B$2*(D505*1000)))/2)/1000000</f>
        <v>49.77351244</v>
      </c>
      <c r="AB505" s="15" t="str">
        <f>IF(AA505&gt;=G505,"CUMPLE","REVISAR")</f>
        <v>CUMPLE</v>
      </c>
      <c r="AC505" s="10">
        <f>0.17*SQRT($B$2)*(D505*1000)*J505/1000</f>
        <v>92.44281538</v>
      </c>
      <c r="AD505" s="10">
        <f>MAX(H505/0.75-AC505,0)</f>
        <v>0</v>
      </c>
      <c r="AE505" s="14">
        <f>IF(AD505&gt;0,MIN($N$2*$D$2*J505/(AD505*1000),MIN(J505/4,6*$H$2,150)),MIN(J505/4,6*$H$2,150))</f>
        <v>85.6375</v>
      </c>
      <c r="AF505" s="10">
        <f>0.66*SQRT($B$2)*(D505*1000)*J505/1000</f>
        <v>358.8956362</v>
      </c>
      <c r="AG505" s="15" t="str">
        <f>IF(AD505&lt;=AF505,"CUMPLE","AUMENTAR SECCION")</f>
        <v>CUMPLE</v>
      </c>
      <c r="AH505" s="10">
        <f>0.75*0.083*SQRT($B$2)*(((D505*1000)*(E505*1000))^2/(2*((D505*1000)+(E505*1000))))/1000000</f>
        <v>3.388073536</v>
      </c>
      <c r="AI505" s="15" t="str">
        <f>IF(I505&gt;AH505,"SI","No")</f>
        <v>No</v>
      </c>
      <c r="AJ505" s="11">
        <f>IF(I505&gt;AH505,I505*1000000/(0.75*2*0.85*((D505*1000-2*$F$2)*(E505*1000-2*$F$2))*$D$2),0)</f>
        <v>0</v>
      </c>
      <c r="AK505" s="10">
        <f>1.25*Q505*$D$2*(J505-(1.25*Q505*$D$2/(0.85*$B$2*(D505*1000)))/2)/1000000</f>
        <v>68.51839235</v>
      </c>
      <c r="AL505" s="10">
        <f>1.25*Z505*$D$2*(J505-(1.25*Z505*$D$2/(0.85*$B$2*(D505*1000)))/2)/1000000</f>
        <v>68.51839235</v>
      </c>
      <c r="AM505" s="10">
        <f>(AK505+AL505)/B505</f>
        <v>54.81471388</v>
      </c>
      <c r="AN505" s="10">
        <f>MAX(H505,AM505)</f>
        <v>54.81471388</v>
      </c>
    </row>
    <row r="506">
      <c r="A506" s="5" t="inlineStr">
        <is>
          <t>F977</t>
        </is>
      </c>
      <c r="B506" s="6" t="n">
        <v>2.6</v>
      </c>
      <c r="C506" s="7" t="inlineStr">
        <is>
          <t>VC</t>
        </is>
      </c>
      <c r="D506" s="8">
        <f>IF(C506="VR",0.35,0.30)</f>
        <v>0.3</v>
      </c>
      <c r="E506" s="6" t="n">
        <v>0.4</v>
      </c>
      <c r="F506" s="9" t="n">
        <v>95.09999999999999</v>
      </c>
      <c r="G506" s="9" t="n">
        <v>40.6</v>
      </c>
      <c r="H506" s="9" t="n">
        <v>150.4</v>
      </c>
      <c r="I506" s="6" t="n">
        <v>0.64</v>
      </c>
      <c r="J506" s="10">
        <f>E506*1000-$F$2-$L$2-$H$2/2</f>
        <v>342.55</v>
      </c>
      <c r="K506" s="11">
        <f>F506*1000000/(0.9*(D506*1000)*J506^2)</f>
        <v>3.001394895</v>
      </c>
      <c r="L506" s="12">
        <f>(0.85*$B$2/$D$2)*(1-SQRT(1-2*K506/(0.85*$B$2)))</f>
        <v>0.007664514659</v>
      </c>
      <c r="M506" s="13">
        <f>L506*(D506*1000)*J506</f>
        <v>787.643849</v>
      </c>
      <c r="N506" s="13">
        <f>MAX(0.25*SQRT($B$2)/$D$2,1.4/$D$2)*(D506*1000)*J506</f>
        <v>342.55</v>
      </c>
      <c r="O506" s="13">
        <f>MAX(M506,N506)</f>
        <v>787.643849</v>
      </c>
      <c r="P506" s="14">
        <f>ROUNDUP(O506/$J$2,0)</f>
        <v>4</v>
      </c>
      <c r="Q506" s="13">
        <f>P506*$J$2</f>
        <v>796</v>
      </c>
      <c r="R506" s="10">
        <f>Q506*$D$2/(0.85*$B$2*(D506*1000))</f>
        <v>46.82352941</v>
      </c>
      <c r="S506" s="10">
        <f>0.9*Q506*$D$2*(J506-R506/2)/1000000</f>
        <v>96.02486534</v>
      </c>
      <c r="T506" s="15" t="str">
        <f>IF(AND(S506&gt;=F506,O506&lt;=0.025*(D506*1000)*J506,O506&gt;=N506),"CUMPLE","REVISAR")</f>
        <v>CUMPLE</v>
      </c>
      <c r="U506" s="11">
        <f>G506*1000000/(0.9*(D506*1000)*J506^2)</f>
        <v>1.280856082</v>
      </c>
      <c r="V506" s="12">
        <f>(0.85*$B$2/$D$2)*(1-SQRT(1-2*U506/(0.85*$B$2)))</f>
        <v>0.003136457631</v>
      </c>
      <c r="W506" s="13">
        <f>V506*(D506*1000)*J506</f>
        <v>322.3180684</v>
      </c>
      <c r="X506" s="13">
        <f>MAX(W506,N506)</f>
        <v>342.55</v>
      </c>
      <c r="Y506" s="14">
        <f>ROUNDUP(X506/$J$2,0)</f>
        <v>2</v>
      </c>
      <c r="Z506" s="13">
        <f>Y506*$J$2</f>
        <v>398</v>
      </c>
      <c r="AA506" s="10">
        <f>0.9*Z506*$D$2*(J506-(Z506*$D$2/(0.85*$B$2*(D506*1000)))/2)/1000000</f>
        <v>49.77351244</v>
      </c>
      <c r="AB506" s="15" t="str">
        <f>IF(AA506&gt;=G506,"CUMPLE","REVISAR")</f>
        <v>CUMPLE</v>
      </c>
      <c r="AC506" s="10">
        <f>0.17*SQRT($B$2)*(D506*1000)*J506/1000</f>
        <v>92.44281538</v>
      </c>
      <c r="AD506" s="10">
        <f>MAX(H506/0.75-AC506,0)</f>
        <v>108.1171846</v>
      </c>
      <c r="AE506" s="14">
        <f>IF(AD506&gt;0,MIN($N$2*$D$2*J506/(AD506*1000),MIN(J506/4,6*$H$2,150)),MIN(J506/4,6*$H$2,150))</f>
        <v>85.6375</v>
      </c>
      <c r="AF506" s="10">
        <f>0.66*SQRT($B$2)*(D506*1000)*J506/1000</f>
        <v>358.8956362</v>
      </c>
      <c r="AG506" s="15" t="str">
        <f>IF(AD506&lt;=AF506,"CUMPLE","AUMENTAR SECCION")</f>
        <v>CUMPLE</v>
      </c>
      <c r="AH506" s="10">
        <f>0.75*0.083*SQRT($B$2)*(((D506*1000)*(E506*1000))^2/(2*((D506*1000)+(E506*1000))))/1000000</f>
        <v>3.388073536</v>
      </c>
      <c r="AI506" s="15" t="str">
        <f>IF(I506&gt;AH506,"SI","No")</f>
        <v>No</v>
      </c>
      <c r="AJ506" s="11">
        <f>IF(I506&gt;AH506,I506*1000000/(0.75*2*0.85*((D506*1000-2*$F$2)*(E506*1000-2*$F$2))*$D$2),0)</f>
        <v>0</v>
      </c>
      <c r="AK506" s="10">
        <f>1.25*Q506*$D$2*(J506-(1.25*Q506*$D$2/(0.85*$B$2*(D506*1000)))/2)/1000000</f>
        <v>130.9219244</v>
      </c>
      <c r="AL506" s="10">
        <f>1.25*Z506*$D$2*(J506-(1.25*Z506*$D$2/(0.85*$B$2*(D506*1000)))/2)/1000000</f>
        <v>68.51839235</v>
      </c>
      <c r="AM506" s="10">
        <f>(AK506+AL506)/B506</f>
        <v>76.70781414</v>
      </c>
      <c r="AN506" s="10">
        <f>MAX(H506,AM506)</f>
        <v>150.42</v>
      </c>
    </row>
    <row r="507">
      <c r="A507" s="5" t="inlineStr">
        <is>
          <t>F978</t>
        </is>
      </c>
      <c r="B507" s="6" t="n">
        <v>2.95</v>
      </c>
      <c r="C507" s="7" t="inlineStr">
        <is>
          <t>VR</t>
        </is>
      </c>
      <c r="D507" s="8">
        <f>IF(C507="VR",0.35,0.30)</f>
        <v>0.35</v>
      </c>
      <c r="E507" s="6" t="n">
        <v>0.4</v>
      </c>
      <c r="F507" s="9" t="n">
        <v>38.2</v>
      </c>
      <c r="G507" s="9" t="n">
        <v>29</v>
      </c>
      <c r="H507" s="9" t="n">
        <v>68.5</v>
      </c>
      <c r="I507" s="6" t="n">
        <v>0.64</v>
      </c>
      <c r="J507" s="10">
        <f>E507*1000-$F$2-$L$2-$H$2/2</f>
        <v>342.55</v>
      </c>
      <c r="K507" s="11">
        <f>F507*1000000/(0.9*(D507*1000)*J507^2)</f>
        <v>1.034839368</v>
      </c>
      <c r="L507" s="12">
        <f>(0.85*$B$2/$D$2)*(1-SQRT(1-2*K507/(0.85*$B$2)))</f>
        <v>0.002519933229</v>
      </c>
      <c r="M507" s="13">
        <f>L507*(D507*1000)*J507</f>
        <v>302.1210946</v>
      </c>
      <c r="N507" s="13">
        <f>MAX(0.25*SQRT($B$2)/$D$2,1.4/$D$2)*(D507*1000)*J507</f>
        <v>399.6416667</v>
      </c>
      <c r="O507" s="13">
        <f>MAX(M507,N507)</f>
        <v>399.6416667</v>
      </c>
      <c r="P507" s="14">
        <f>ROUNDUP(O507/$J$2,0)</f>
        <v>3</v>
      </c>
      <c r="Q507" s="13">
        <f>P507*$J$2</f>
        <v>597</v>
      </c>
      <c r="R507" s="10">
        <f>Q507*$D$2/(0.85*$B$2*(D507*1000))</f>
        <v>30.10084034</v>
      </c>
      <c r="S507" s="10">
        <f>0.9*Q507*$D$2*(J507-R507/2)/1000000</f>
        <v>73.90552018</v>
      </c>
      <c r="T507" s="15" t="str">
        <f>IF(AND(S507&gt;=F507,O507&lt;=0.025*(D507*1000)*J507,O507&gt;=N507),"CUMPLE","REVISAR")</f>
        <v>CUMPLE</v>
      </c>
      <c r="U507" s="11">
        <f>G507*1000000/(0.9*(D507*1000)*J507^2)</f>
        <v>0.7843135496</v>
      </c>
      <c r="V507" s="12">
        <f>(0.85*$B$2/$D$2)*(1-SQRT(1-2*U507/(0.85*$B$2)))</f>
        <v>0.001899240701</v>
      </c>
      <c r="W507" s="13">
        <f>V507*(D507*1000)*J507</f>
        <v>227.7047157</v>
      </c>
      <c r="X507" s="13">
        <f>MAX(W507,N507)</f>
        <v>399.6416667</v>
      </c>
      <c r="Y507" s="14">
        <f>ROUNDUP(X507/$J$2,0)</f>
        <v>3</v>
      </c>
      <c r="Z507" s="13">
        <f>Y507*$J$2</f>
        <v>597</v>
      </c>
      <c r="AA507" s="10">
        <f>0.9*Z507*$D$2*(J507-(Z507*$D$2/(0.85*$B$2*(D507*1000)))/2)/1000000</f>
        <v>73.90552018</v>
      </c>
      <c r="AB507" s="15" t="str">
        <f>IF(AA507&gt;=G507,"CUMPLE","REVISAR")</f>
        <v>CUMPLE</v>
      </c>
      <c r="AC507" s="10">
        <f>0.17*SQRT($B$2)*(D507*1000)*J507/1000</f>
        <v>107.8499513</v>
      </c>
      <c r="AD507" s="10">
        <f>MAX(H507/0.75-AC507,0)</f>
        <v>0</v>
      </c>
      <c r="AE507" s="14">
        <f>IF(AD507&gt;0,MIN($N$2*$D$2*J507/(AD507*1000),MIN(J507/4,6*$H$2,150)),MIN(J507/4,6*$H$2,150))</f>
        <v>85.6375</v>
      </c>
      <c r="AF507" s="10">
        <f>0.66*SQRT($B$2)*(D507*1000)*J507/1000</f>
        <v>418.7115756</v>
      </c>
      <c r="AG507" s="15" t="str">
        <f>IF(AD507&lt;=AF507,"CUMPLE","AUMENTAR SECCION")</f>
        <v>CUMPLE</v>
      </c>
      <c r="AH507" s="10">
        <f>0.75*0.083*SQRT($B$2)*(((D507*1000)*(E507*1000))^2/(2*((D507*1000)+(E507*1000))))/1000000</f>
        <v>4.304108233</v>
      </c>
      <c r="AI507" s="15" t="str">
        <f>IF(I507&gt;AH507,"SI","No")</f>
        <v>No</v>
      </c>
      <c r="AJ507" s="11">
        <f>IF(I507&gt;AH507,I507*1000000/(0.75*2*0.85*((D507*1000-2*$F$2)*(E507*1000-2*$F$2))*$D$2),0)</f>
        <v>0</v>
      </c>
      <c r="AK507" s="10">
        <f>1.25*Q507*$D$2*(J507-(1.25*Q507*$D$2/(0.85*$B$2*(D507*1000)))/2)/1000000</f>
        <v>101.4672613</v>
      </c>
      <c r="AL507" s="10">
        <f>1.25*Z507*$D$2*(J507-(1.25*Z507*$D$2/(0.85*$B$2*(D507*1000)))/2)/1000000</f>
        <v>101.4672613</v>
      </c>
      <c r="AM507" s="10">
        <f>(AK507+AL507)/B507</f>
        <v>68.79136361</v>
      </c>
      <c r="AN507" s="10">
        <f>MAX(H507,AM507)</f>
        <v>68.79136361</v>
      </c>
    </row>
    <row r="508">
      <c r="A508" s="5" t="inlineStr">
        <is>
          <t>F979</t>
        </is>
      </c>
      <c r="B508" s="6" t="n">
        <v>2.6</v>
      </c>
      <c r="C508" s="7" t="inlineStr">
        <is>
          <t>VC</t>
        </is>
      </c>
      <c r="D508" s="8">
        <f>IF(C508="VR",0.35,0.30)</f>
        <v>0.3</v>
      </c>
      <c r="E508" s="6" t="n">
        <v>0.4</v>
      </c>
      <c r="F508" s="9" t="n">
        <v>25.6</v>
      </c>
      <c r="G508" s="9" t="n">
        <v>8.5</v>
      </c>
      <c r="H508" s="9" t="n">
        <v>43.6</v>
      </c>
      <c r="I508" s="6" t="n">
        <v>0.35</v>
      </c>
      <c r="J508" s="10">
        <f>E508*1000-$F$2-$L$2-$H$2/2</f>
        <v>342.55</v>
      </c>
      <c r="K508" s="11">
        <f>F508*1000000/(0.9*(D508*1000)*J508^2)</f>
        <v>0.8080314367</v>
      </c>
      <c r="L508" s="12">
        <f>(0.85*$B$2/$D$2)*(1-SQRT(1-2*K508/(0.85*$B$2)))</f>
        <v>0.001957701385</v>
      </c>
      <c r="M508" s="13">
        <f>L508*(D508*1000)*J508</f>
        <v>201.1831829</v>
      </c>
      <c r="N508" s="13">
        <f>MAX(0.25*SQRT($B$2)/$D$2,1.4/$D$2)*(D508*1000)*J508</f>
        <v>342.55</v>
      </c>
      <c r="O508" s="13">
        <f>MAX(M508,N508)</f>
        <v>342.55</v>
      </c>
      <c r="P508" s="14">
        <f>ROUNDUP(O508/$J$2,0)</f>
        <v>2</v>
      </c>
      <c r="Q508" s="13">
        <f>P508*$J$2</f>
        <v>398</v>
      </c>
      <c r="R508" s="10">
        <f>Q508*$D$2/(0.85*$B$2*(D508*1000))</f>
        <v>23.41176471</v>
      </c>
      <c r="S508" s="10">
        <f>0.9*Q508*$D$2*(J508-R508/2)/1000000</f>
        <v>49.77351244</v>
      </c>
      <c r="T508" s="15" t="str">
        <f>IF(AND(S508&gt;=F508,O508&lt;=0.025*(D508*1000)*J508,O508&gt;=N508),"CUMPLE","REVISAR")</f>
        <v>CUMPLE</v>
      </c>
      <c r="U508" s="11">
        <f>G508*1000000/(0.9*(D508*1000)*J508^2)</f>
        <v>0.2692385998</v>
      </c>
      <c r="V508" s="12">
        <f>(0.85*$B$2/$D$2)*(1-SQRT(1-2*U508/(0.85*$B$2)))</f>
        <v>0.0006447118146</v>
      </c>
      <c r="W508" s="13">
        <f>V508*(D508*1000)*J508</f>
        <v>66.25380962</v>
      </c>
      <c r="X508" s="13">
        <f>MAX(W508,N508)</f>
        <v>342.55</v>
      </c>
      <c r="Y508" s="14">
        <f>ROUNDUP(X508/$J$2,0)</f>
        <v>2</v>
      </c>
      <c r="Z508" s="13">
        <f>Y508*$J$2</f>
        <v>398</v>
      </c>
      <c r="AA508" s="10">
        <f>0.9*Z508*$D$2*(J508-(Z508*$D$2/(0.85*$B$2*(D508*1000)))/2)/1000000</f>
        <v>49.77351244</v>
      </c>
      <c r="AB508" s="15" t="str">
        <f>IF(AA508&gt;=G508,"CUMPLE","REVISAR")</f>
        <v>CUMPLE</v>
      </c>
      <c r="AC508" s="10">
        <f>0.17*SQRT($B$2)*(D508*1000)*J508/1000</f>
        <v>92.44281538</v>
      </c>
      <c r="AD508" s="10">
        <f>MAX(H508/0.75-AC508,0)</f>
        <v>0</v>
      </c>
      <c r="AE508" s="14">
        <f>IF(AD508&gt;0,MIN($N$2*$D$2*J508/(AD508*1000),MIN(J508/4,6*$H$2,150)),MIN(J508/4,6*$H$2,150))</f>
        <v>85.6375</v>
      </c>
      <c r="AF508" s="10">
        <f>0.66*SQRT($B$2)*(D508*1000)*J508/1000</f>
        <v>358.8956362</v>
      </c>
      <c r="AG508" s="15" t="str">
        <f>IF(AD508&lt;=AF508,"CUMPLE","AUMENTAR SECCION")</f>
        <v>CUMPLE</v>
      </c>
      <c r="AH508" s="10">
        <f>0.75*0.083*SQRT($B$2)*(((D508*1000)*(E508*1000))^2/(2*((D508*1000)+(E508*1000))))/1000000</f>
        <v>3.388073536</v>
      </c>
      <c r="AI508" s="15" t="str">
        <f>IF(I508&gt;AH508,"SI","No")</f>
        <v>No</v>
      </c>
      <c r="AJ508" s="11">
        <f>IF(I508&gt;AH508,I508*1000000/(0.75*2*0.85*((D508*1000-2*$F$2)*(E508*1000-2*$F$2))*$D$2),0)</f>
        <v>0</v>
      </c>
      <c r="AK508" s="10">
        <f>1.25*Q508*$D$2*(J508-(1.25*Q508*$D$2/(0.85*$B$2*(D508*1000)))/2)/1000000</f>
        <v>68.51839235</v>
      </c>
      <c r="AL508" s="10">
        <f>1.25*Z508*$D$2*(J508-(1.25*Z508*$D$2/(0.85*$B$2*(D508*1000)))/2)/1000000</f>
        <v>68.51839235</v>
      </c>
      <c r="AM508" s="10">
        <f>(AK508+AL508)/B508</f>
        <v>52.70645566</v>
      </c>
      <c r="AN508" s="10">
        <f>MAX(H508,AM508)</f>
        <v>52.70645566</v>
      </c>
    </row>
    <row r="509">
      <c r="A509" s="5" t="inlineStr">
        <is>
          <t>F980</t>
        </is>
      </c>
      <c r="B509" s="6" t="n">
        <v>3.65</v>
      </c>
      <c r="C509" s="7" t="inlineStr">
        <is>
          <t>VR</t>
        </is>
      </c>
      <c r="D509" s="8">
        <f>IF(C509="VR",0.35,0.30)</f>
        <v>0.35</v>
      </c>
      <c r="E509" s="6" t="n">
        <v>0.4</v>
      </c>
      <c r="F509" s="9" t="n">
        <v>33.2</v>
      </c>
      <c r="G509" s="9" t="n">
        <v>30</v>
      </c>
      <c r="H509" s="9" t="n">
        <v>96.2</v>
      </c>
      <c r="I509" s="6" t="n">
        <v>4.76</v>
      </c>
      <c r="J509" s="10">
        <f>E509*1000-$F$2-$L$2-$H$2/2</f>
        <v>342.55</v>
      </c>
      <c r="K509" s="11">
        <f>F509*1000000/(0.9*(D509*1000)*J509^2)</f>
        <v>0.8971313317</v>
      </c>
      <c r="L509" s="12">
        <f>(0.85*$B$2/$D$2)*(1-SQRT(1-2*K509/(0.85*$B$2)))</f>
        <v>0.00217787834</v>
      </c>
      <c r="M509" s="13">
        <f>L509*(D509*1000)*J509</f>
        <v>261.1112788</v>
      </c>
      <c r="N509" s="13">
        <f>MAX(0.25*SQRT($B$2)/$D$2,1.4/$D$2)*(D509*1000)*J509</f>
        <v>399.6416667</v>
      </c>
      <c r="O509" s="13">
        <f>MAX(M509,N509)</f>
        <v>399.6416667</v>
      </c>
      <c r="P509" s="14">
        <f>ROUNDUP(O509/$J$2,0)</f>
        <v>3</v>
      </c>
      <c r="Q509" s="13">
        <f>P509*$J$2</f>
        <v>597</v>
      </c>
      <c r="R509" s="10">
        <f>Q509*$D$2/(0.85*$B$2*(D509*1000))</f>
        <v>30.10084034</v>
      </c>
      <c r="S509" s="10">
        <f>0.9*Q509*$D$2*(J509-R509/2)/1000000</f>
        <v>73.90552018</v>
      </c>
      <c r="T509" s="15" t="str">
        <f>IF(AND(S509&gt;=F509,O509&lt;=0.025*(D509*1000)*J509,O509&gt;=N509),"CUMPLE","REVISAR")</f>
        <v>CUMPLE</v>
      </c>
      <c r="U509" s="11">
        <f>G509*1000000/(0.9*(D509*1000)*J509^2)</f>
        <v>0.8116387199</v>
      </c>
      <c r="V509" s="12">
        <f>(0.85*$B$2/$D$2)*(1-SQRT(1-2*U509/(0.85*$B$2)))</f>
        <v>0.001966598218</v>
      </c>
      <c r="W509" s="13">
        <f>V509*(D509*1000)*J509</f>
        <v>235.7803769</v>
      </c>
      <c r="X509" s="13">
        <f>MAX(W509,N509)</f>
        <v>399.6416667</v>
      </c>
      <c r="Y509" s="14">
        <f>ROUNDUP(X509/$J$2,0)</f>
        <v>3</v>
      </c>
      <c r="Z509" s="13">
        <f>Y509*$J$2</f>
        <v>597</v>
      </c>
      <c r="AA509" s="10">
        <f>0.9*Z509*$D$2*(J509-(Z509*$D$2/(0.85*$B$2*(D509*1000)))/2)/1000000</f>
        <v>73.90552018</v>
      </c>
      <c r="AB509" s="15" t="str">
        <f>IF(AA509&gt;=G509,"CUMPLE","REVISAR")</f>
        <v>CUMPLE</v>
      </c>
      <c r="AC509" s="10">
        <f>0.17*SQRT($B$2)*(D509*1000)*J509/1000</f>
        <v>107.8499513</v>
      </c>
      <c r="AD509" s="10">
        <f>MAX(H509/0.75-AC509,0)</f>
        <v>20.48338205</v>
      </c>
      <c r="AE509" s="14">
        <f>IF(AD509&gt;0,MIN($N$2*$D$2*J509/(AD509*1000),MIN(J509/4,6*$H$2,150)),MIN(J509/4,6*$H$2,150))</f>
        <v>85.6375</v>
      </c>
      <c r="AF509" s="10">
        <f>0.66*SQRT($B$2)*(D509*1000)*J509/1000</f>
        <v>418.7115756</v>
      </c>
      <c r="AG509" s="15" t="str">
        <f>IF(AD509&lt;=AF509,"CUMPLE","AUMENTAR SECCION")</f>
        <v>CUMPLE</v>
      </c>
      <c r="AH509" s="10">
        <f>0.75*0.083*SQRT($B$2)*(((D509*1000)*(E509*1000))^2/(2*((D509*1000)+(E509*1000))))/1000000</f>
        <v>4.304108233</v>
      </c>
      <c r="AI509" s="15" t="str">
        <f>IF(I509&gt;AH509,"SI","No")</f>
        <v>SI</v>
      </c>
      <c r="AJ509" s="11">
        <f>IF(I509&gt;AH509,I509*1000000/(0.75*2*0.85*((D509*1000-2*$F$2)*(E509*1000-2*$F$2))*$D$2),0)</f>
        <v>0.1028374313</v>
      </c>
      <c r="AK509" s="10">
        <f>1.25*Q509*$D$2*(J509-(1.25*Q509*$D$2/(0.85*$B$2*(D509*1000)))/2)/1000000</f>
        <v>101.4672613</v>
      </c>
      <c r="AL509" s="10">
        <f>1.25*Z509*$D$2*(J509-(1.25*Z509*$D$2/(0.85*$B$2*(D509*1000)))/2)/1000000</f>
        <v>101.4672613</v>
      </c>
      <c r="AM509" s="10">
        <f>(AK509+AL509)/B509</f>
        <v>55.55283949</v>
      </c>
      <c r="AN509" s="10">
        <f>MAX(H509,AM509)</f>
        <v>96.25</v>
      </c>
    </row>
    <row r="510">
      <c r="A510" s="5" t="inlineStr">
        <is>
          <t>F981</t>
        </is>
      </c>
      <c r="B510" s="6" t="n">
        <v>2.6</v>
      </c>
      <c r="C510" s="7" t="inlineStr">
        <is>
          <t>VC</t>
        </is>
      </c>
      <c r="D510" s="8">
        <f>IF(C510="VR",0.35,0.30)</f>
        <v>0.3</v>
      </c>
      <c r="E510" s="6" t="n">
        <v>0.4</v>
      </c>
      <c r="F510" s="9" t="n">
        <v>19.9</v>
      </c>
      <c r="G510" s="9" t="n">
        <v>12.4</v>
      </c>
      <c r="H510" s="9" t="n">
        <v>43.2</v>
      </c>
      <c r="I510" s="6" t="n">
        <v>1.65</v>
      </c>
      <c r="J510" s="10">
        <f>E510*1000-$F$2-$L$2-$H$2/2</f>
        <v>342.55</v>
      </c>
      <c r="K510" s="11">
        <f>F510*1000000/(0.9*(D510*1000)*J510^2)</f>
        <v>0.6287494617</v>
      </c>
      <c r="L510" s="12">
        <f>(0.85*$B$2/$D$2)*(1-SQRT(1-2*K510/(0.85*$B$2)))</f>
        <v>0.001517337043</v>
      </c>
      <c r="M510" s="13">
        <f>L510*(D510*1000)*J510</f>
        <v>155.9291412</v>
      </c>
      <c r="N510" s="13">
        <f>MAX(0.25*SQRT($B$2)/$D$2,1.4/$D$2)*(D510*1000)*J510</f>
        <v>342.55</v>
      </c>
      <c r="O510" s="13">
        <f>MAX(M510,N510)</f>
        <v>342.55</v>
      </c>
      <c r="P510" s="14">
        <f>ROUNDUP(O510/$J$2,0)</f>
        <v>2</v>
      </c>
      <c r="Q510" s="13">
        <f>P510*$J$2</f>
        <v>398</v>
      </c>
      <c r="R510" s="10">
        <f>Q510*$D$2/(0.85*$B$2*(D510*1000))</f>
        <v>23.41176471</v>
      </c>
      <c r="S510" s="10">
        <f>0.9*Q510*$D$2*(J510-R510/2)/1000000</f>
        <v>49.77351244</v>
      </c>
      <c r="T510" s="15" t="str">
        <f>IF(AND(S510&gt;=F510,O510&lt;=0.025*(D510*1000)*J510,O510&gt;=N510),"CUMPLE","REVISAR")</f>
        <v>CUMPLE</v>
      </c>
      <c r="U510" s="11">
        <f>G510*1000000/(0.9*(D510*1000)*J510^2)</f>
        <v>0.3913902271</v>
      </c>
      <c r="V510" s="12">
        <f>(0.85*$B$2/$D$2)*(1-SQRT(1-2*U510/(0.85*$B$2)))</f>
        <v>0.0009396725326</v>
      </c>
      <c r="W510" s="13">
        <f>V510*(D510*1000)*J510</f>
        <v>96.56544781</v>
      </c>
      <c r="X510" s="13">
        <f>MAX(W510,N510)</f>
        <v>342.55</v>
      </c>
      <c r="Y510" s="14">
        <f>ROUNDUP(X510/$J$2,0)</f>
        <v>2</v>
      </c>
      <c r="Z510" s="13">
        <f>Y510*$J$2</f>
        <v>398</v>
      </c>
      <c r="AA510" s="10">
        <f>0.9*Z510*$D$2*(J510-(Z510*$D$2/(0.85*$B$2*(D510*1000)))/2)/1000000</f>
        <v>49.77351244</v>
      </c>
      <c r="AB510" s="15" t="str">
        <f>IF(AA510&gt;=G510,"CUMPLE","REVISAR")</f>
        <v>CUMPLE</v>
      </c>
      <c r="AC510" s="10">
        <f>0.17*SQRT($B$2)*(D510*1000)*J510/1000</f>
        <v>92.44281538</v>
      </c>
      <c r="AD510" s="10">
        <f>MAX(H510/0.75-AC510,0)</f>
        <v>0</v>
      </c>
      <c r="AE510" s="14">
        <f>IF(AD510&gt;0,MIN($N$2*$D$2*J510/(AD510*1000),MIN(J510/4,6*$H$2,150)),MIN(J510/4,6*$H$2,150))</f>
        <v>85.6375</v>
      </c>
      <c r="AF510" s="10">
        <f>0.66*SQRT($B$2)*(D510*1000)*J510/1000</f>
        <v>358.8956362</v>
      </c>
      <c r="AG510" s="15" t="str">
        <f>IF(AD510&lt;=AF510,"CUMPLE","AUMENTAR SECCION")</f>
        <v>CUMPLE</v>
      </c>
      <c r="AH510" s="10">
        <f>0.75*0.083*SQRT($B$2)*(((D510*1000)*(E510*1000))^2/(2*((D510*1000)+(E510*1000))))/1000000</f>
        <v>3.388073536</v>
      </c>
      <c r="AI510" s="15" t="str">
        <f>IF(I510&gt;AH510,"SI","No")</f>
        <v>No</v>
      </c>
      <c r="AJ510" s="11">
        <f>IF(I510&gt;AH510,I510*1000000/(0.75*2*0.85*((D510*1000-2*$F$2)*(E510*1000-2*$F$2))*$D$2),0)</f>
        <v>0</v>
      </c>
      <c r="AK510" s="10">
        <f>1.25*Q510*$D$2*(J510-(1.25*Q510*$D$2/(0.85*$B$2*(D510*1000)))/2)/1000000</f>
        <v>68.51839235</v>
      </c>
      <c r="AL510" s="10">
        <f>1.25*Z510*$D$2*(J510-(1.25*Z510*$D$2/(0.85*$B$2*(D510*1000)))/2)/1000000</f>
        <v>68.51839235</v>
      </c>
      <c r="AM510" s="10">
        <f>(AK510+AL510)/B510</f>
        <v>52.70645566</v>
      </c>
      <c r="AN510" s="10">
        <f>MAX(H510,AM510)</f>
        <v>52.70645566</v>
      </c>
    </row>
    <row r="511">
      <c r="A511" s="5" t="inlineStr">
        <is>
          <t>F982</t>
        </is>
      </c>
      <c r="B511" s="6" t="n">
        <v>2.5</v>
      </c>
      <c r="C511" s="7" t="inlineStr">
        <is>
          <t>VC</t>
        </is>
      </c>
      <c r="D511" s="8">
        <f>IF(C511="VR",0.35,0.30)</f>
        <v>0.3</v>
      </c>
      <c r="E511" s="6" t="n">
        <v>0.4</v>
      </c>
      <c r="F511" s="9" t="n">
        <v>32.3</v>
      </c>
      <c r="G511" s="9" t="n">
        <v>10.1</v>
      </c>
      <c r="H511" s="9" t="n">
        <v>49.9</v>
      </c>
      <c r="I511" s="6" t="n">
        <v>0.63</v>
      </c>
      <c r="J511" s="10">
        <f>E511*1000-$F$2-$L$2-$H$2/2</f>
        <v>342.55</v>
      </c>
      <c r="K511" s="11">
        <f>F511*1000000/(0.9*(D511*1000)*J511^2)</f>
        <v>1.019192777</v>
      </c>
      <c r="L511" s="12">
        <f>(0.85*$B$2/$D$2)*(1-SQRT(1-2*K511/(0.85*$B$2)))</f>
        <v>0.002480959714</v>
      </c>
      <c r="M511" s="13">
        <f>L511*(D511*1000)*J511</f>
        <v>254.955825</v>
      </c>
      <c r="N511" s="13">
        <f>MAX(0.25*SQRT($B$2)/$D$2,1.4/$D$2)*(D511*1000)*J511</f>
        <v>342.55</v>
      </c>
      <c r="O511" s="13">
        <f>MAX(M511,N511)</f>
        <v>342.55</v>
      </c>
      <c r="P511" s="14">
        <f>ROUNDUP(O511/$J$2,0)</f>
        <v>2</v>
      </c>
      <c r="Q511" s="13">
        <f>P511*$J$2</f>
        <v>398</v>
      </c>
      <c r="R511" s="10">
        <f>Q511*$D$2/(0.85*$B$2*(D511*1000))</f>
        <v>23.41176471</v>
      </c>
      <c r="S511" s="10">
        <f>0.9*Q511*$D$2*(J511-R511/2)/1000000</f>
        <v>49.77351244</v>
      </c>
      <c r="T511" s="15" t="str">
        <f>IF(AND(S511&gt;=F511,O511&lt;=0.025*(D511*1000)*J511,O511&gt;=N511),"CUMPLE","REVISAR")</f>
        <v>CUMPLE</v>
      </c>
      <c r="U511" s="11">
        <f>G511*1000000/(0.9*(D511*1000)*J511^2)</f>
        <v>0.3178467409</v>
      </c>
      <c r="V511" s="12">
        <f>(0.85*$B$2/$D$2)*(1-SQRT(1-2*U511/(0.85*$B$2)))</f>
        <v>0.0007618999385</v>
      </c>
      <c r="W511" s="13">
        <f>V511*(D511*1000)*J511</f>
        <v>78.29664718</v>
      </c>
      <c r="X511" s="13">
        <f>MAX(W511,N511)</f>
        <v>342.55</v>
      </c>
      <c r="Y511" s="14">
        <f>ROUNDUP(X511/$J$2,0)</f>
        <v>2</v>
      </c>
      <c r="Z511" s="13">
        <f>Y511*$J$2</f>
        <v>398</v>
      </c>
      <c r="AA511" s="10">
        <f>0.9*Z511*$D$2*(J511-(Z511*$D$2/(0.85*$B$2*(D511*1000)))/2)/1000000</f>
        <v>49.77351244</v>
      </c>
      <c r="AB511" s="15" t="str">
        <f>IF(AA511&gt;=G511,"CUMPLE","REVISAR")</f>
        <v>CUMPLE</v>
      </c>
      <c r="AC511" s="10">
        <f>0.17*SQRT($B$2)*(D511*1000)*J511/1000</f>
        <v>92.44281538</v>
      </c>
      <c r="AD511" s="10">
        <f>MAX(H511/0.75-AC511,0)</f>
        <v>0</v>
      </c>
      <c r="AE511" s="14">
        <f>IF(AD511&gt;0,MIN($N$2*$D$2*J511/(AD511*1000),MIN(J511/4,6*$H$2,150)),MIN(J511/4,6*$H$2,150))</f>
        <v>85.6375</v>
      </c>
      <c r="AF511" s="10">
        <f>0.66*SQRT($B$2)*(D511*1000)*J511/1000</f>
        <v>358.8956362</v>
      </c>
      <c r="AG511" s="15" t="str">
        <f>IF(AD511&lt;=AF511,"CUMPLE","AUMENTAR SECCION")</f>
        <v>CUMPLE</v>
      </c>
      <c r="AH511" s="10">
        <f>0.75*0.083*SQRT($B$2)*(((D511*1000)*(E511*1000))^2/(2*((D511*1000)+(E511*1000))))/1000000</f>
        <v>3.388073536</v>
      </c>
      <c r="AI511" s="15" t="str">
        <f>IF(I511&gt;AH511,"SI","No")</f>
        <v>No</v>
      </c>
      <c r="AJ511" s="11">
        <f>IF(I511&gt;AH511,I511*1000000/(0.75*2*0.85*((D511*1000-2*$F$2)*(E511*1000-2*$F$2))*$D$2),0)</f>
        <v>0</v>
      </c>
      <c r="AK511" s="10">
        <f>1.25*Q511*$D$2*(J511-(1.25*Q511*$D$2/(0.85*$B$2*(D511*1000)))/2)/1000000</f>
        <v>68.51839235</v>
      </c>
      <c r="AL511" s="10">
        <f>1.25*Z511*$D$2*(J511-(1.25*Z511*$D$2/(0.85*$B$2*(D511*1000)))/2)/1000000</f>
        <v>68.51839235</v>
      </c>
      <c r="AM511" s="10">
        <f>(AK511+AL511)/B511</f>
        <v>54.81471388</v>
      </c>
      <c r="AN511" s="10">
        <f>MAX(H511,AM511)</f>
        <v>54.81471388</v>
      </c>
    </row>
    <row r="512">
      <c r="A512" s="5" t="inlineStr">
        <is>
          <t>F983</t>
        </is>
      </c>
      <c r="B512" s="6" t="n">
        <v>4.18</v>
      </c>
      <c r="C512" s="7" t="inlineStr">
        <is>
          <t>VR</t>
        </is>
      </c>
      <c r="D512" s="8">
        <f>IF(C512="VR",0.35,0.30)</f>
        <v>0.35</v>
      </c>
      <c r="E512" s="6" t="n">
        <v>0.4</v>
      </c>
      <c r="F512" s="9" t="n">
        <v>48.5</v>
      </c>
      <c r="G512" s="9" t="n">
        <v>21.1</v>
      </c>
      <c r="H512" s="9" t="n">
        <v>63</v>
      </c>
      <c r="I512" s="6" t="n">
        <v>0.84</v>
      </c>
      <c r="J512" s="10">
        <f>E512*1000-$F$2-$L$2-$H$2/2</f>
        <v>342.55</v>
      </c>
      <c r="K512" s="11">
        <f>F512*1000000/(0.9*(D512*1000)*J512^2)</f>
        <v>1.312960903</v>
      </c>
      <c r="L512" s="12">
        <f>(0.85*$B$2/$D$2)*(1-SQRT(1-2*K512/(0.85*$B$2)))</f>
        <v>0.00321743773</v>
      </c>
      <c r="M512" s="13">
        <f>L512*(D512*1000)*J512</f>
        <v>385.746653</v>
      </c>
      <c r="N512" s="13">
        <f>MAX(0.25*SQRT($B$2)/$D$2,1.4/$D$2)*(D512*1000)*J512</f>
        <v>399.6416667</v>
      </c>
      <c r="O512" s="13">
        <f>MAX(M512,N512)</f>
        <v>399.6416667</v>
      </c>
      <c r="P512" s="14">
        <f>ROUNDUP(O512/$J$2,0)</f>
        <v>3</v>
      </c>
      <c r="Q512" s="13">
        <f>P512*$J$2</f>
        <v>597</v>
      </c>
      <c r="R512" s="10">
        <f>Q512*$D$2/(0.85*$B$2*(D512*1000))</f>
        <v>30.10084034</v>
      </c>
      <c r="S512" s="10">
        <f>0.9*Q512*$D$2*(J512-R512/2)/1000000</f>
        <v>73.90552018</v>
      </c>
      <c r="T512" s="15" t="str">
        <f>IF(AND(S512&gt;=F512,O512&lt;=0.025*(D512*1000)*J512,O512&gt;=N512),"CUMPLE","REVISAR")</f>
        <v>CUMPLE</v>
      </c>
      <c r="U512" s="11">
        <f>G512*1000000/(0.9*(D512*1000)*J512^2)</f>
        <v>0.571664205</v>
      </c>
      <c r="V512" s="12">
        <f>(0.85*$B$2/$D$2)*(1-SQRT(1-2*U512/(0.85*$B$2)))</f>
        <v>0.001377856622</v>
      </c>
      <c r="W512" s="13">
        <f>V512*(D512*1000)*J512</f>
        <v>165.1946751</v>
      </c>
      <c r="X512" s="13">
        <f>MAX(W512,N512)</f>
        <v>399.6416667</v>
      </c>
      <c r="Y512" s="14">
        <f>ROUNDUP(X512/$J$2,0)</f>
        <v>3</v>
      </c>
      <c r="Z512" s="13">
        <f>Y512*$J$2</f>
        <v>597</v>
      </c>
      <c r="AA512" s="10">
        <f>0.9*Z512*$D$2*(J512-(Z512*$D$2/(0.85*$B$2*(D512*1000)))/2)/1000000</f>
        <v>73.90552018</v>
      </c>
      <c r="AB512" s="15" t="str">
        <f>IF(AA512&gt;=G512,"CUMPLE","REVISAR")</f>
        <v>CUMPLE</v>
      </c>
      <c r="AC512" s="10">
        <f>0.17*SQRT($B$2)*(D512*1000)*J512/1000</f>
        <v>107.8499513</v>
      </c>
      <c r="AD512" s="10">
        <f>MAX(H512/0.75-AC512,0)</f>
        <v>0</v>
      </c>
      <c r="AE512" s="14">
        <f>IF(AD512&gt;0,MIN($N$2*$D$2*J512/(AD512*1000),MIN(J512/4,6*$H$2,150)),MIN(J512/4,6*$H$2,150))</f>
        <v>85.6375</v>
      </c>
      <c r="AF512" s="10">
        <f>0.66*SQRT($B$2)*(D512*1000)*J512/1000</f>
        <v>418.7115756</v>
      </c>
      <c r="AG512" s="15" t="str">
        <f>IF(AD512&lt;=AF512,"CUMPLE","AUMENTAR SECCION")</f>
        <v>CUMPLE</v>
      </c>
      <c r="AH512" s="10">
        <f>0.75*0.083*SQRT($B$2)*(((D512*1000)*(E512*1000))^2/(2*((D512*1000)+(E512*1000))))/1000000</f>
        <v>4.304108233</v>
      </c>
      <c r="AI512" s="15" t="str">
        <f>IF(I512&gt;AH512,"SI","No")</f>
        <v>No</v>
      </c>
      <c r="AJ512" s="11">
        <f>IF(I512&gt;AH512,I512*1000000/(0.75*2*0.85*((D512*1000-2*$F$2)*(E512*1000-2*$F$2))*$D$2),0)</f>
        <v>0</v>
      </c>
      <c r="AK512" s="10">
        <f>1.25*Q512*$D$2*(J512-(1.25*Q512*$D$2/(0.85*$B$2*(D512*1000)))/2)/1000000</f>
        <v>101.4672613</v>
      </c>
      <c r="AL512" s="10">
        <f>1.25*Z512*$D$2*(J512-(1.25*Z512*$D$2/(0.85*$B$2*(D512*1000)))/2)/1000000</f>
        <v>101.4672613</v>
      </c>
      <c r="AM512" s="10">
        <f>(AK512+AL512)/B512</f>
        <v>48.59543167</v>
      </c>
      <c r="AN512" s="10">
        <f>MAX(H512,AM512)</f>
        <v>62.95</v>
      </c>
    </row>
    <row r="513">
      <c r="A513" s="5" t="inlineStr">
        <is>
          <t>F984</t>
        </is>
      </c>
      <c r="B513" s="6" t="n">
        <v>2.7</v>
      </c>
      <c r="C513" s="7" t="inlineStr">
        <is>
          <t>VR</t>
        </is>
      </c>
      <c r="D513" s="8">
        <f>IF(C513="VR",0.35,0.30)</f>
        <v>0.35</v>
      </c>
      <c r="E513" s="6" t="n">
        <v>0.4</v>
      </c>
      <c r="F513" s="9" t="n">
        <v>48.5</v>
      </c>
      <c r="G513" s="9" t="n">
        <v>17.7</v>
      </c>
      <c r="H513" s="9" t="n">
        <v>61.9</v>
      </c>
      <c r="I513" s="6" t="n">
        <v>1.79</v>
      </c>
      <c r="J513" s="10">
        <f>E513*1000-$F$2-$L$2-$H$2/2</f>
        <v>342.55</v>
      </c>
      <c r="K513" s="11">
        <f>F513*1000000/(0.9*(D513*1000)*J513^2)</f>
        <v>1.310796533</v>
      </c>
      <c r="L513" s="12">
        <f>(0.85*$B$2/$D$2)*(1-SQRT(1-2*K513/(0.85*$B$2)))</f>
        <v>0.003211974541</v>
      </c>
      <c r="M513" s="13">
        <f>L513*(D513*1000)*J513</f>
        <v>385.0916577</v>
      </c>
      <c r="N513" s="13">
        <f>MAX(0.25*SQRT($B$2)/$D$2,1.4/$D$2)*(D513*1000)*J513</f>
        <v>399.6416667</v>
      </c>
      <c r="O513" s="13">
        <f>MAX(M513,N513)</f>
        <v>399.6416667</v>
      </c>
      <c r="P513" s="14">
        <f>ROUNDUP(O513/$J$2,0)</f>
        <v>3</v>
      </c>
      <c r="Q513" s="13">
        <f>P513*$J$2</f>
        <v>597</v>
      </c>
      <c r="R513" s="10">
        <f>Q513*$D$2/(0.85*$B$2*(D513*1000))</f>
        <v>30.10084034</v>
      </c>
      <c r="S513" s="10">
        <f>0.9*Q513*$D$2*(J513-R513/2)/1000000</f>
        <v>73.90552018</v>
      </c>
      <c r="T513" s="15" t="str">
        <f>IF(AND(S513&gt;=F513,O513&lt;=0.025*(D513*1000)*J513,O513&gt;=N513),"CUMPLE","REVISAR")</f>
        <v>CUMPLE</v>
      </c>
      <c r="U513" s="11">
        <f>G513*1000000/(0.9*(D513*1000)*J513^2)</f>
        <v>0.4783257522</v>
      </c>
      <c r="V513" s="12">
        <f>(0.85*$B$2/$D$2)*(1-SQRT(1-2*U513/(0.85*$B$2)))</f>
        <v>0.001150551144</v>
      </c>
      <c r="W513" s="13">
        <f>V513*(D513*1000)*J513</f>
        <v>137.942453</v>
      </c>
      <c r="X513" s="13">
        <f>MAX(W513,N513)</f>
        <v>399.6416667</v>
      </c>
      <c r="Y513" s="14">
        <f>ROUNDUP(X513/$J$2,0)</f>
        <v>3</v>
      </c>
      <c r="Z513" s="13">
        <f>Y513*$J$2</f>
        <v>597</v>
      </c>
      <c r="AA513" s="10">
        <f>0.9*Z513*$D$2*(J513-(Z513*$D$2/(0.85*$B$2*(D513*1000)))/2)/1000000</f>
        <v>73.90552018</v>
      </c>
      <c r="AB513" s="15" t="str">
        <f>IF(AA513&gt;=G513,"CUMPLE","REVISAR")</f>
        <v>CUMPLE</v>
      </c>
      <c r="AC513" s="10">
        <f>0.17*SQRT($B$2)*(D513*1000)*J513/1000</f>
        <v>107.8499513</v>
      </c>
      <c r="AD513" s="10">
        <f>MAX(H513/0.75-AC513,0)</f>
        <v>0</v>
      </c>
      <c r="AE513" s="14">
        <f>IF(AD513&gt;0,MIN($N$2*$D$2*J513/(AD513*1000),MIN(J513/4,6*$H$2,150)),MIN(J513/4,6*$H$2,150))</f>
        <v>85.6375</v>
      </c>
      <c r="AF513" s="10">
        <f>0.66*SQRT($B$2)*(D513*1000)*J513/1000</f>
        <v>418.7115756</v>
      </c>
      <c r="AG513" s="15" t="str">
        <f>IF(AD513&lt;=AF513,"CUMPLE","AUMENTAR SECCION")</f>
        <v>CUMPLE</v>
      </c>
      <c r="AH513" s="10">
        <f>0.75*0.083*SQRT($B$2)*(((D513*1000)*(E513*1000))^2/(2*((D513*1000)+(E513*1000))))/1000000</f>
        <v>4.304108233</v>
      </c>
      <c r="AI513" s="15" t="str">
        <f>IF(I513&gt;AH513,"SI","No")</f>
        <v>No</v>
      </c>
      <c r="AJ513" s="11">
        <f>IF(I513&gt;AH513,I513*1000000/(0.75*2*0.85*((D513*1000-2*$F$2)*(E513*1000-2*$F$2))*$D$2),0)</f>
        <v>0</v>
      </c>
      <c r="AK513" s="10">
        <f>1.25*Q513*$D$2*(J513-(1.25*Q513*$D$2/(0.85*$B$2*(D513*1000)))/2)/1000000</f>
        <v>101.4672613</v>
      </c>
      <c r="AL513" s="10">
        <f>1.25*Z513*$D$2*(J513-(1.25*Z513*$D$2/(0.85*$B$2*(D513*1000)))/2)/1000000</f>
        <v>101.4672613</v>
      </c>
      <c r="AM513" s="10">
        <f>(AK513+AL513)/B513</f>
        <v>75.16093431</v>
      </c>
      <c r="AN513" s="10">
        <f>MAX(H513,AM513)</f>
        <v>75.16093431</v>
      </c>
    </row>
    <row r="514">
      <c r="A514" s="5" t="inlineStr">
        <is>
          <t>F985</t>
        </is>
      </c>
      <c r="B514" s="6" t="n">
        <v>2.8</v>
      </c>
      <c r="C514" s="7" t="inlineStr">
        <is>
          <t>VR</t>
        </is>
      </c>
      <c r="D514" s="8">
        <f>IF(C514="VR",0.35,0.30)</f>
        <v>0.35</v>
      </c>
      <c r="E514" s="6" t="n">
        <v>0.4</v>
      </c>
      <c r="F514" s="9" t="n">
        <v>48.4</v>
      </c>
      <c r="G514" s="9" t="n">
        <v>16.5</v>
      </c>
      <c r="H514" s="9" t="n">
        <v>61.5</v>
      </c>
      <c r="I514" s="6" t="n">
        <v>1.73</v>
      </c>
      <c r="J514" s="10">
        <f>E514*1000-$F$2-$L$2-$H$2/2</f>
        <v>342.55</v>
      </c>
      <c r="K514" s="11">
        <f>F514*1000000/(0.9*(D514*1000)*J514^2)</f>
        <v>1.308361616</v>
      </c>
      <c r="L514" s="12">
        <f>(0.85*$B$2/$D$2)*(1-SQRT(1-2*K514/(0.85*$B$2)))</f>
        <v>0.003205829121</v>
      </c>
      <c r="M514" s="13">
        <f>L514*(D514*1000)*J514</f>
        <v>384.3548678</v>
      </c>
      <c r="N514" s="13">
        <f>MAX(0.25*SQRT($B$2)/$D$2,1.4/$D$2)*(D514*1000)*J514</f>
        <v>399.6416667</v>
      </c>
      <c r="O514" s="13">
        <f>MAX(M514,N514)</f>
        <v>399.6416667</v>
      </c>
      <c r="P514" s="14">
        <f>ROUNDUP(O514/$J$2,0)</f>
        <v>3</v>
      </c>
      <c r="Q514" s="13">
        <f>P514*$J$2</f>
        <v>597</v>
      </c>
      <c r="R514" s="10">
        <f>Q514*$D$2/(0.85*$B$2*(D514*1000))</f>
        <v>30.10084034</v>
      </c>
      <c r="S514" s="10">
        <f>0.9*Q514*$D$2*(J514-R514/2)/1000000</f>
        <v>73.90552018</v>
      </c>
      <c r="T514" s="15" t="str">
        <f>IF(AND(S514&gt;=F514,O514&lt;=0.025*(D514*1000)*J514,O514&gt;=N514),"CUMPLE","REVISAR")</f>
        <v>CUMPLE</v>
      </c>
      <c r="U514" s="11">
        <f>G514*1000000/(0.9*(D514*1000)*J514^2)</f>
        <v>0.4469423884</v>
      </c>
      <c r="V514" s="12">
        <f>(0.85*$B$2/$D$2)*(1-SQRT(1-2*U514/(0.85*$B$2)))</f>
        <v>0.001074332578</v>
      </c>
      <c r="W514" s="13">
        <f>V514*(D514*1000)*J514</f>
        <v>128.8044186</v>
      </c>
      <c r="X514" s="13">
        <f>MAX(W514,N514)</f>
        <v>399.6416667</v>
      </c>
      <c r="Y514" s="14">
        <f>ROUNDUP(X514/$J$2,0)</f>
        <v>3</v>
      </c>
      <c r="Z514" s="13">
        <f>Y514*$J$2</f>
        <v>597</v>
      </c>
      <c r="AA514" s="10">
        <f>0.9*Z514*$D$2*(J514-(Z514*$D$2/(0.85*$B$2*(D514*1000)))/2)/1000000</f>
        <v>73.90552018</v>
      </c>
      <c r="AB514" s="15" t="str">
        <f>IF(AA514&gt;=G514,"CUMPLE","REVISAR")</f>
        <v>CUMPLE</v>
      </c>
      <c r="AC514" s="10">
        <f>0.17*SQRT($B$2)*(D514*1000)*J514/1000</f>
        <v>107.8499513</v>
      </c>
      <c r="AD514" s="10">
        <f>MAX(H514/0.75-AC514,0)</f>
        <v>0</v>
      </c>
      <c r="AE514" s="14">
        <f>IF(AD514&gt;0,MIN($N$2*$D$2*J514/(AD514*1000),MIN(J514/4,6*$H$2,150)),MIN(J514/4,6*$H$2,150))</f>
        <v>85.6375</v>
      </c>
      <c r="AF514" s="10">
        <f>0.66*SQRT($B$2)*(D514*1000)*J514/1000</f>
        <v>418.7115756</v>
      </c>
      <c r="AG514" s="15" t="str">
        <f>IF(AD514&lt;=AF514,"CUMPLE","AUMENTAR SECCION")</f>
        <v>CUMPLE</v>
      </c>
      <c r="AH514" s="10">
        <f>0.75*0.083*SQRT($B$2)*(((D514*1000)*(E514*1000))^2/(2*((D514*1000)+(E514*1000))))/1000000</f>
        <v>4.304108233</v>
      </c>
      <c r="AI514" s="15" t="str">
        <f>IF(I514&gt;AH514,"SI","No")</f>
        <v>No</v>
      </c>
      <c r="AJ514" s="11">
        <f>IF(I514&gt;AH514,I514*1000000/(0.75*2*0.85*((D514*1000-2*$F$2)*(E514*1000-2*$F$2))*$D$2),0)</f>
        <v>0</v>
      </c>
      <c r="AK514" s="10">
        <f>1.25*Q514*$D$2*(J514-(1.25*Q514*$D$2/(0.85*$B$2*(D514*1000)))/2)/1000000</f>
        <v>101.4672613</v>
      </c>
      <c r="AL514" s="10">
        <f>1.25*Z514*$D$2*(J514-(1.25*Z514*$D$2/(0.85*$B$2*(D514*1000)))/2)/1000000</f>
        <v>101.4672613</v>
      </c>
      <c r="AM514" s="10">
        <f>(AK514+AL514)/B514</f>
        <v>72.47661523</v>
      </c>
      <c r="AN514" s="10">
        <f>MAX(H514,AM514)</f>
        <v>72.47661523</v>
      </c>
    </row>
    <row r="515">
      <c r="A515" s="5" t="inlineStr">
        <is>
          <t>F986</t>
        </is>
      </c>
      <c r="B515" s="6" t="n">
        <v>4.18</v>
      </c>
      <c r="C515" s="7" t="inlineStr">
        <is>
          <t>VR</t>
        </is>
      </c>
      <c r="D515" s="8">
        <f>IF(C515="VR",0.35,0.30)</f>
        <v>0.35</v>
      </c>
      <c r="E515" s="6" t="n">
        <v>0.4</v>
      </c>
      <c r="F515" s="9" t="n">
        <v>48.8</v>
      </c>
      <c r="G515" s="9" t="n">
        <v>21.2</v>
      </c>
      <c r="H515" s="9" t="n">
        <v>63.1</v>
      </c>
      <c r="I515" s="6" t="n">
        <v>0.85</v>
      </c>
      <c r="J515" s="10">
        <f>E515*1000-$F$2-$L$2-$H$2/2</f>
        <v>342.55</v>
      </c>
      <c r="K515" s="11">
        <f>F515*1000000/(0.9*(D515*1000)*J515^2)</f>
        <v>1.319724559</v>
      </c>
      <c r="L515" s="12">
        <f>(0.85*$B$2/$D$2)*(1-SQRT(1-2*K515/(0.85*$B$2)))</f>
        <v>0.003234513796</v>
      </c>
      <c r="M515" s="13">
        <f>L515*(D515*1000)*J515</f>
        <v>387.7939453</v>
      </c>
      <c r="N515" s="13">
        <f>MAX(0.25*SQRT($B$2)/$D$2,1.4/$D$2)*(D515*1000)*J515</f>
        <v>399.6416667</v>
      </c>
      <c r="O515" s="13">
        <f>MAX(M515,N515)</f>
        <v>399.6416667</v>
      </c>
      <c r="P515" s="14">
        <f>ROUNDUP(O515/$J$2,0)</f>
        <v>3</v>
      </c>
      <c r="Q515" s="13">
        <f>P515*$J$2</f>
        <v>597</v>
      </c>
      <c r="R515" s="10">
        <f>Q515*$D$2/(0.85*$B$2*(D515*1000))</f>
        <v>30.10084034</v>
      </c>
      <c r="S515" s="10">
        <f>0.9*Q515*$D$2*(J515-R515/2)/1000000</f>
        <v>73.90552018</v>
      </c>
      <c r="T515" s="15" t="str">
        <f>IF(AND(S515&gt;=F515,O515&lt;=0.025*(D515*1000)*J515,O515&gt;=N515),"CUMPLE","REVISAR")</f>
        <v>CUMPLE</v>
      </c>
      <c r="U515" s="11">
        <f>G515*1000000/(0.9*(D515*1000)*J515^2)</f>
        <v>0.57274639</v>
      </c>
      <c r="V515" s="12">
        <f>(0.85*$B$2/$D$2)*(1-SQRT(1-2*U515/(0.85*$B$2)))</f>
        <v>0.001380497529</v>
      </c>
      <c r="W515" s="13">
        <f>V515*(D515*1000)*J515</f>
        <v>165.5113</v>
      </c>
      <c r="X515" s="13">
        <f>MAX(W515,N515)</f>
        <v>399.6416667</v>
      </c>
      <c r="Y515" s="14">
        <f>ROUNDUP(X515/$J$2,0)</f>
        <v>3</v>
      </c>
      <c r="Z515" s="13">
        <f>Y515*$J$2</f>
        <v>597</v>
      </c>
      <c r="AA515" s="10">
        <f>0.9*Z515*$D$2*(J515-(Z515*$D$2/(0.85*$B$2*(D515*1000)))/2)/1000000</f>
        <v>73.90552018</v>
      </c>
      <c r="AB515" s="15" t="str">
        <f>IF(AA515&gt;=G515,"CUMPLE","REVISAR")</f>
        <v>CUMPLE</v>
      </c>
      <c r="AC515" s="10">
        <f>0.17*SQRT($B$2)*(D515*1000)*J515/1000</f>
        <v>107.8499513</v>
      </c>
      <c r="AD515" s="10">
        <f>MAX(H515/0.75-AC515,0)</f>
        <v>0</v>
      </c>
      <c r="AE515" s="14">
        <f>IF(AD515&gt;0,MIN($N$2*$D$2*J515/(AD515*1000),MIN(J515/4,6*$H$2,150)),MIN(J515/4,6*$H$2,150))</f>
        <v>85.6375</v>
      </c>
      <c r="AF515" s="10">
        <f>0.66*SQRT($B$2)*(D515*1000)*J515/1000</f>
        <v>418.7115756</v>
      </c>
      <c r="AG515" s="15" t="str">
        <f>IF(AD515&lt;=AF515,"CUMPLE","AUMENTAR SECCION")</f>
        <v>CUMPLE</v>
      </c>
      <c r="AH515" s="10">
        <f>0.75*0.083*SQRT($B$2)*(((D515*1000)*(E515*1000))^2/(2*((D515*1000)+(E515*1000))))/1000000</f>
        <v>4.304108233</v>
      </c>
      <c r="AI515" s="15" t="str">
        <f>IF(I515&gt;AH515,"SI","No")</f>
        <v>No</v>
      </c>
      <c r="AJ515" s="11">
        <f>IF(I515&gt;AH515,I515*1000000/(0.75*2*0.85*((D515*1000-2*$F$2)*(E515*1000-2*$F$2))*$D$2),0)</f>
        <v>0</v>
      </c>
      <c r="AK515" s="10">
        <f>1.25*Q515*$D$2*(J515-(1.25*Q515*$D$2/(0.85*$B$2*(D515*1000)))/2)/1000000</f>
        <v>101.4672613</v>
      </c>
      <c r="AL515" s="10">
        <f>1.25*Z515*$D$2*(J515-(1.25*Z515*$D$2/(0.85*$B$2*(D515*1000)))/2)/1000000</f>
        <v>101.4672613</v>
      </c>
      <c r="AM515" s="10">
        <f>(AK515+AL515)/B515</f>
        <v>48.59543167</v>
      </c>
      <c r="AN515" s="10">
        <f>MAX(H515,AM515)</f>
        <v>63.08</v>
      </c>
    </row>
    <row r="516">
      <c r="A516" s="5" t="inlineStr">
        <is>
          <t>F987</t>
        </is>
      </c>
      <c r="B516" s="6" t="n">
        <v>2.5</v>
      </c>
      <c r="C516" s="7" t="inlineStr">
        <is>
          <t>VC</t>
        </is>
      </c>
      <c r="D516" s="8">
        <f>IF(C516="VR",0.35,0.30)</f>
        <v>0.3</v>
      </c>
      <c r="E516" s="6" t="n">
        <v>0.4</v>
      </c>
      <c r="F516" s="9" t="n">
        <v>32.3</v>
      </c>
      <c r="G516" s="9" t="n">
        <v>10.1</v>
      </c>
      <c r="H516" s="9" t="n">
        <v>49.9</v>
      </c>
      <c r="I516" s="6" t="n">
        <v>0.63</v>
      </c>
      <c r="J516" s="10">
        <f>E516*1000-$F$2-$L$2-$H$2/2</f>
        <v>342.55</v>
      </c>
      <c r="K516" s="11">
        <f>F516*1000000/(0.9*(D516*1000)*J516^2)</f>
        <v>1.018245865</v>
      </c>
      <c r="L516" s="12">
        <f>(0.85*$B$2/$D$2)*(1-SQRT(1-2*K516/(0.85*$B$2)))</f>
        <v>0.002478601986</v>
      </c>
      <c r="M516" s="13">
        <f>L516*(D516*1000)*J516</f>
        <v>254.7135331</v>
      </c>
      <c r="N516" s="13">
        <f>MAX(0.25*SQRT($B$2)/$D$2,1.4/$D$2)*(D516*1000)*J516</f>
        <v>342.55</v>
      </c>
      <c r="O516" s="13">
        <f>MAX(M516,N516)</f>
        <v>342.55</v>
      </c>
      <c r="P516" s="14">
        <f>ROUNDUP(O516/$J$2,0)</f>
        <v>2</v>
      </c>
      <c r="Q516" s="13">
        <f>P516*$J$2</f>
        <v>398</v>
      </c>
      <c r="R516" s="10">
        <f>Q516*$D$2/(0.85*$B$2*(D516*1000))</f>
        <v>23.41176471</v>
      </c>
      <c r="S516" s="10">
        <f>0.9*Q516*$D$2*(J516-R516/2)/1000000</f>
        <v>49.77351244</v>
      </c>
      <c r="T516" s="15" t="str">
        <f>IF(AND(S516&gt;=F516,O516&lt;=0.025*(D516*1000)*J516,O516&gt;=N516),"CUMPLE","REVISAR")</f>
        <v>CUMPLE</v>
      </c>
      <c r="U516" s="11">
        <f>G516*1000000/(0.9*(D516*1000)*J516^2)</f>
        <v>0.3175311036</v>
      </c>
      <c r="V516" s="12">
        <f>(0.85*$B$2/$D$2)*(1-SQRT(1-2*U516/(0.85*$B$2)))</f>
        <v>0.0007611381843</v>
      </c>
      <c r="W516" s="13">
        <f>V516*(D516*1000)*J516</f>
        <v>78.21836551</v>
      </c>
      <c r="X516" s="13">
        <f>MAX(W516,N516)</f>
        <v>342.55</v>
      </c>
      <c r="Y516" s="14">
        <f>ROUNDUP(X516/$J$2,0)</f>
        <v>2</v>
      </c>
      <c r="Z516" s="13">
        <f>Y516*$J$2</f>
        <v>398</v>
      </c>
      <c r="AA516" s="10">
        <f>0.9*Z516*$D$2*(J516-(Z516*$D$2/(0.85*$B$2*(D516*1000)))/2)/1000000</f>
        <v>49.77351244</v>
      </c>
      <c r="AB516" s="15" t="str">
        <f>IF(AA516&gt;=G516,"CUMPLE","REVISAR")</f>
        <v>CUMPLE</v>
      </c>
      <c r="AC516" s="10">
        <f>0.17*SQRT($B$2)*(D516*1000)*J516/1000</f>
        <v>92.44281538</v>
      </c>
      <c r="AD516" s="10">
        <f>MAX(H516/0.75-AC516,0)</f>
        <v>0</v>
      </c>
      <c r="AE516" s="14">
        <f>IF(AD516&gt;0,MIN($N$2*$D$2*J516/(AD516*1000),MIN(J516/4,6*$H$2,150)),MIN(J516/4,6*$H$2,150))</f>
        <v>85.6375</v>
      </c>
      <c r="AF516" s="10">
        <f>0.66*SQRT($B$2)*(D516*1000)*J516/1000</f>
        <v>358.8956362</v>
      </c>
      <c r="AG516" s="15" t="str">
        <f>IF(AD516&lt;=AF516,"CUMPLE","AUMENTAR SECCION")</f>
        <v>CUMPLE</v>
      </c>
      <c r="AH516" s="10">
        <f>0.75*0.083*SQRT($B$2)*(((D516*1000)*(E516*1000))^2/(2*((D516*1000)+(E516*1000))))/1000000</f>
        <v>3.388073536</v>
      </c>
      <c r="AI516" s="15" t="str">
        <f>IF(I516&gt;AH516,"SI","No")</f>
        <v>No</v>
      </c>
      <c r="AJ516" s="11">
        <f>IF(I516&gt;AH516,I516*1000000/(0.75*2*0.85*((D516*1000-2*$F$2)*(E516*1000-2*$F$2))*$D$2),0)</f>
        <v>0</v>
      </c>
      <c r="AK516" s="10">
        <f>1.25*Q516*$D$2*(J516-(1.25*Q516*$D$2/(0.85*$B$2*(D516*1000)))/2)/1000000</f>
        <v>68.51839235</v>
      </c>
      <c r="AL516" s="10">
        <f>1.25*Z516*$D$2*(J516-(1.25*Z516*$D$2/(0.85*$B$2*(D516*1000)))/2)/1000000</f>
        <v>68.51839235</v>
      </c>
      <c r="AM516" s="10">
        <f>(AK516+AL516)/B516</f>
        <v>54.81471388</v>
      </c>
      <c r="AN516" s="10">
        <f>MAX(H516,AM516)</f>
        <v>54.81471388</v>
      </c>
    </row>
    <row r="517">
      <c r="A517" s="5" t="inlineStr">
        <is>
          <t>F988</t>
        </is>
      </c>
      <c r="B517" s="6" t="n">
        <v>2.6</v>
      </c>
      <c r="C517" s="7" t="inlineStr">
        <is>
          <t>VC</t>
        </is>
      </c>
      <c r="D517" s="8">
        <f>IF(C517="VR",0.35,0.30)</f>
        <v>0.3</v>
      </c>
      <c r="E517" s="6" t="n">
        <v>0.4</v>
      </c>
      <c r="F517" s="9" t="n">
        <v>20.1</v>
      </c>
      <c r="G517" s="9" t="n">
        <v>10.9</v>
      </c>
      <c r="H517" s="9" t="n">
        <v>43.5</v>
      </c>
      <c r="I517" s="6" t="n">
        <v>1.65</v>
      </c>
      <c r="J517" s="10">
        <f>E517*1000-$F$2-$L$2-$H$2/2</f>
        <v>342.55</v>
      </c>
      <c r="K517" s="11">
        <f>F517*1000000/(0.9*(D517*1000)*J517^2)</f>
        <v>0.6360091191</v>
      </c>
      <c r="L517" s="12">
        <f>(0.85*$B$2/$D$2)*(1-SQRT(1-2*K517/(0.85*$B$2)))</f>
        <v>0.001535100366</v>
      </c>
      <c r="M517" s="13">
        <f>L517*(D517*1000)*J517</f>
        <v>157.7545891</v>
      </c>
      <c r="N517" s="13">
        <f>MAX(0.25*SQRT($B$2)/$D$2,1.4/$D$2)*(D517*1000)*J517</f>
        <v>342.55</v>
      </c>
      <c r="O517" s="13">
        <f>MAX(M517,N517)</f>
        <v>342.55</v>
      </c>
      <c r="P517" s="14">
        <f>ROUNDUP(O517/$J$2,0)</f>
        <v>2</v>
      </c>
      <c r="Q517" s="13">
        <f>P517*$J$2</f>
        <v>398</v>
      </c>
      <c r="R517" s="10">
        <f>Q517*$D$2/(0.85*$B$2*(D517*1000))</f>
        <v>23.41176471</v>
      </c>
      <c r="S517" s="10">
        <f>0.9*Q517*$D$2*(J517-R517/2)/1000000</f>
        <v>49.77351244</v>
      </c>
      <c r="T517" s="15" t="str">
        <f>IF(AND(S517&gt;=F517,O517&lt;=0.025*(D517*1000)*J517,O517&gt;=N517),"CUMPLE","REVISAR")</f>
        <v>CUMPLE</v>
      </c>
      <c r="U517" s="11">
        <f>G517*1000000/(0.9*(D517*1000)*J517^2)</f>
        <v>0.3443602724</v>
      </c>
      <c r="V517" s="12">
        <f>(0.85*$B$2/$D$2)*(1-SQRT(1-2*U517/(0.85*$B$2)))</f>
        <v>0.0008259243908</v>
      </c>
      <c r="W517" s="13">
        <f>V517*(D517*1000)*J517</f>
        <v>84.87612002</v>
      </c>
      <c r="X517" s="13">
        <f>MAX(W517,N517)</f>
        <v>342.55</v>
      </c>
      <c r="Y517" s="14">
        <f>ROUNDUP(X517/$J$2,0)</f>
        <v>2</v>
      </c>
      <c r="Z517" s="13">
        <f>Y517*$J$2</f>
        <v>398</v>
      </c>
      <c r="AA517" s="10">
        <f>0.9*Z517*$D$2*(J517-(Z517*$D$2/(0.85*$B$2*(D517*1000)))/2)/1000000</f>
        <v>49.77351244</v>
      </c>
      <c r="AB517" s="15" t="str">
        <f>IF(AA517&gt;=G517,"CUMPLE","REVISAR")</f>
        <v>CUMPLE</v>
      </c>
      <c r="AC517" s="10">
        <f>0.17*SQRT($B$2)*(D517*1000)*J517/1000</f>
        <v>92.44281538</v>
      </c>
      <c r="AD517" s="10">
        <f>MAX(H517/0.75-AC517,0)</f>
        <v>0</v>
      </c>
      <c r="AE517" s="14">
        <f>IF(AD517&gt;0,MIN($N$2*$D$2*J517/(AD517*1000),MIN(J517/4,6*$H$2,150)),MIN(J517/4,6*$H$2,150))</f>
        <v>85.6375</v>
      </c>
      <c r="AF517" s="10">
        <f>0.66*SQRT($B$2)*(D517*1000)*J517/1000</f>
        <v>358.8956362</v>
      </c>
      <c r="AG517" s="15" t="str">
        <f>IF(AD517&lt;=AF517,"CUMPLE","AUMENTAR SECCION")</f>
        <v>CUMPLE</v>
      </c>
      <c r="AH517" s="10">
        <f>0.75*0.083*SQRT($B$2)*(((D517*1000)*(E517*1000))^2/(2*((D517*1000)+(E517*1000))))/1000000</f>
        <v>3.388073536</v>
      </c>
      <c r="AI517" s="15" t="str">
        <f>IF(I517&gt;AH517,"SI","No")</f>
        <v>No</v>
      </c>
      <c r="AJ517" s="11">
        <f>IF(I517&gt;AH517,I517*1000000/(0.75*2*0.85*((D517*1000-2*$F$2)*(E517*1000-2*$F$2))*$D$2),0)</f>
        <v>0</v>
      </c>
      <c r="AK517" s="10">
        <f>1.25*Q517*$D$2*(J517-(1.25*Q517*$D$2/(0.85*$B$2*(D517*1000)))/2)/1000000</f>
        <v>68.51839235</v>
      </c>
      <c r="AL517" s="10">
        <f>1.25*Z517*$D$2*(J517-(1.25*Z517*$D$2/(0.85*$B$2*(D517*1000)))/2)/1000000</f>
        <v>68.51839235</v>
      </c>
      <c r="AM517" s="10">
        <f>(AK517+AL517)/B517</f>
        <v>52.70645566</v>
      </c>
      <c r="AN517" s="10">
        <f>MAX(H517,AM517)</f>
        <v>52.70645566</v>
      </c>
    </row>
    <row r="518">
      <c r="A518" s="5" t="inlineStr">
        <is>
          <t>F989</t>
        </is>
      </c>
      <c r="B518" s="6" t="n">
        <v>3.65</v>
      </c>
      <c r="C518" s="7" t="inlineStr">
        <is>
          <t>VR</t>
        </is>
      </c>
      <c r="D518" s="8">
        <f>IF(C518="VR",0.35,0.30)</f>
        <v>0.35</v>
      </c>
      <c r="E518" s="6" t="n">
        <v>0.4</v>
      </c>
      <c r="F518" s="9" t="n">
        <v>33.2</v>
      </c>
      <c r="G518" s="9" t="n">
        <v>4.4</v>
      </c>
      <c r="H518" s="9" t="n">
        <v>96.5</v>
      </c>
      <c r="I518" s="6" t="n">
        <v>4.75</v>
      </c>
      <c r="J518" s="10">
        <f>E518*1000-$F$2-$L$2-$H$2/2</f>
        <v>342.55</v>
      </c>
      <c r="K518" s="11">
        <f>F518*1000000/(0.9*(D518*1000)*J518^2)</f>
        <v>0.8995662479</v>
      </c>
      <c r="L518" s="12">
        <f>(0.85*$B$2/$D$2)*(1-SQRT(1-2*K518/(0.85*$B$2)))</f>
        <v>0.002183907811</v>
      </c>
      <c r="M518" s="13">
        <f>L518*(D518*1000)*J518</f>
        <v>261.8341673</v>
      </c>
      <c r="N518" s="13">
        <f>MAX(0.25*SQRT($B$2)/$D$2,1.4/$D$2)*(D518*1000)*J518</f>
        <v>399.6416667</v>
      </c>
      <c r="O518" s="13">
        <f>MAX(M518,N518)</f>
        <v>399.6416667</v>
      </c>
      <c r="P518" s="14">
        <f>ROUNDUP(O518/$J$2,0)</f>
        <v>3</v>
      </c>
      <c r="Q518" s="13">
        <f>P518*$J$2</f>
        <v>597</v>
      </c>
      <c r="R518" s="10">
        <f>Q518*$D$2/(0.85*$B$2*(D518*1000))</f>
        <v>30.10084034</v>
      </c>
      <c r="S518" s="10">
        <f>0.9*Q518*$D$2*(J518-R518/2)/1000000</f>
        <v>73.90552018</v>
      </c>
      <c r="T518" s="15" t="str">
        <f>IF(AND(S518&gt;=F518,O518&lt;=0.025*(D518*1000)*J518,O518&gt;=N518),"CUMPLE","REVISAR")</f>
        <v>CUMPLE</v>
      </c>
      <c r="U518" s="11">
        <f>G518*1000000/(0.9*(D518*1000)*J518^2)</f>
        <v>0.1182287069</v>
      </c>
      <c r="V518" s="12">
        <f>(0.85*$B$2/$D$2)*(1-SQRT(1-2*U518/(0.85*$B$2)))</f>
        <v>0.0002821995971</v>
      </c>
      <c r="W518" s="13">
        <f>V518*(D518*1000)*J518</f>
        <v>33.83361519</v>
      </c>
      <c r="X518" s="13">
        <f>MAX(W518,N518)</f>
        <v>399.6416667</v>
      </c>
      <c r="Y518" s="14">
        <f>ROUNDUP(X518/$J$2,0)</f>
        <v>3</v>
      </c>
      <c r="Z518" s="13">
        <f>Y518*$J$2</f>
        <v>597</v>
      </c>
      <c r="AA518" s="10">
        <f>0.9*Z518*$D$2*(J518-(Z518*$D$2/(0.85*$B$2*(D518*1000)))/2)/1000000</f>
        <v>73.90552018</v>
      </c>
      <c r="AB518" s="15" t="str">
        <f>IF(AA518&gt;=G518,"CUMPLE","REVISAR")</f>
        <v>CUMPLE</v>
      </c>
      <c r="AC518" s="10">
        <f>0.17*SQRT($B$2)*(D518*1000)*J518/1000</f>
        <v>107.8499513</v>
      </c>
      <c r="AD518" s="10">
        <f>MAX(H518/0.75-AC518,0)</f>
        <v>20.81671539</v>
      </c>
      <c r="AE518" s="14">
        <f>IF(AD518&gt;0,MIN($N$2*$D$2*J518/(AD518*1000),MIN(J518/4,6*$H$2,150)),MIN(J518/4,6*$H$2,150))</f>
        <v>85.6375</v>
      </c>
      <c r="AF518" s="10">
        <f>0.66*SQRT($B$2)*(D518*1000)*J518/1000</f>
        <v>418.7115756</v>
      </c>
      <c r="AG518" s="15" t="str">
        <f>IF(AD518&lt;=AF518,"CUMPLE","AUMENTAR SECCION")</f>
        <v>CUMPLE</v>
      </c>
      <c r="AH518" s="10">
        <f>0.75*0.083*SQRT($B$2)*(((D518*1000)*(E518*1000))^2/(2*((D518*1000)+(E518*1000))))/1000000</f>
        <v>4.304108233</v>
      </c>
      <c r="AI518" s="15" t="str">
        <f>IF(I518&gt;AH518,"SI","No")</f>
        <v>SI</v>
      </c>
      <c r="AJ518" s="11">
        <f>IF(I518&gt;AH518,I518*1000000/(0.75*2*0.85*((D518*1000-2*$F$2)*(E518*1000-2*$F$2))*$D$2),0)</f>
        <v>0.1027725905</v>
      </c>
      <c r="AK518" s="10">
        <f>1.25*Q518*$D$2*(J518-(1.25*Q518*$D$2/(0.85*$B$2*(D518*1000)))/2)/1000000</f>
        <v>101.4672613</v>
      </c>
      <c r="AL518" s="10">
        <f>1.25*Z518*$D$2*(J518-(1.25*Z518*$D$2/(0.85*$B$2*(D518*1000)))/2)/1000000</f>
        <v>101.4672613</v>
      </c>
      <c r="AM518" s="10">
        <f>(AK518+AL518)/B518</f>
        <v>55.55283949</v>
      </c>
      <c r="AN518" s="10">
        <f>MAX(H518,AM518)</f>
        <v>96.5</v>
      </c>
    </row>
    <row r="519">
      <c r="A519" s="5" t="inlineStr">
        <is>
          <t>F990</t>
        </is>
      </c>
      <c r="B519" s="6" t="n">
        <v>2.6</v>
      </c>
      <c r="C519" s="7" t="inlineStr">
        <is>
          <t>VC</t>
        </is>
      </c>
      <c r="D519" s="8">
        <f>IF(C519="VR",0.35,0.30)</f>
        <v>0.3</v>
      </c>
      <c r="E519" s="6" t="n">
        <v>0.4</v>
      </c>
      <c r="F519" s="9" t="n">
        <v>25.7</v>
      </c>
      <c r="G519" s="9" t="n">
        <v>8.6</v>
      </c>
      <c r="H519" s="9" t="n">
        <v>43.6</v>
      </c>
      <c r="I519" s="6" t="n">
        <v>0.35</v>
      </c>
      <c r="J519" s="10">
        <f>E519*1000-$F$2-$L$2-$H$2/2</f>
        <v>342.55</v>
      </c>
      <c r="K519" s="11">
        <f>F519*1000000/(0.9*(D519*1000)*J519^2)</f>
        <v>0.8099252604</v>
      </c>
      <c r="L519" s="12">
        <f>(0.85*$B$2/$D$2)*(1-SQRT(1-2*K519/(0.85*$B$2)))</f>
        <v>0.001962372042</v>
      </c>
      <c r="M519" s="13">
        <f>L519*(D519*1000)*J519</f>
        <v>201.6631629</v>
      </c>
      <c r="N519" s="13">
        <f>MAX(0.25*SQRT($B$2)/$D$2,1.4/$D$2)*(D519*1000)*J519</f>
        <v>342.55</v>
      </c>
      <c r="O519" s="13">
        <f>MAX(M519,N519)</f>
        <v>342.55</v>
      </c>
      <c r="P519" s="14">
        <f>ROUNDUP(O519/$J$2,0)</f>
        <v>2</v>
      </c>
      <c r="Q519" s="13">
        <f>P519*$J$2</f>
        <v>398</v>
      </c>
      <c r="R519" s="10">
        <f>Q519*$D$2/(0.85*$B$2*(D519*1000))</f>
        <v>23.41176471</v>
      </c>
      <c r="S519" s="10">
        <f>0.9*Q519*$D$2*(J519-R519/2)/1000000</f>
        <v>49.77351244</v>
      </c>
      <c r="T519" s="15" t="str">
        <f>IF(AND(S519&gt;=F519,O519&lt;=0.025*(D519*1000)*J519,O519&gt;=N519),"CUMPLE","REVISAR")</f>
        <v>CUMPLE</v>
      </c>
      <c r="U519" s="11">
        <f>G519*1000000/(0.9*(D519*1000)*J519^2)</f>
        <v>0.2698698744</v>
      </c>
      <c r="V519" s="12">
        <f>(0.85*$B$2/$D$2)*(1-SQRT(1-2*U519/(0.85*$B$2)))</f>
        <v>0.0006462321671</v>
      </c>
      <c r="W519" s="13">
        <f>V519*(D519*1000)*J519</f>
        <v>66.41004865</v>
      </c>
      <c r="X519" s="13">
        <f>MAX(W519,N519)</f>
        <v>342.55</v>
      </c>
      <c r="Y519" s="14">
        <f>ROUNDUP(X519/$J$2,0)</f>
        <v>2</v>
      </c>
      <c r="Z519" s="13">
        <f>Y519*$J$2</f>
        <v>398</v>
      </c>
      <c r="AA519" s="10">
        <f>0.9*Z519*$D$2*(J519-(Z519*$D$2/(0.85*$B$2*(D519*1000)))/2)/1000000</f>
        <v>49.77351244</v>
      </c>
      <c r="AB519" s="15" t="str">
        <f>IF(AA519&gt;=G519,"CUMPLE","REVISAR")</f>
        <v>CUMPLE</v>
      </c>
      <c r="AC519" s="10">
        <f>0.17*SQRT($B$2)*(D519*1000)*J519/1000</f>
        <v>92.44281538</v>
      </c>
      <c r="AD519" s="10">
        <f>MAX(H519/0.75-AC519,0)</f>
        <v>0</v>
      </c>
      <c r="AE519" s="14">
        <f>IF(AD519&gt;0,MIN($N$2*$D$2*J519/(AD519*1000),MIN(J519/4,6*$H$2,150)),MIN(J519/4,6*$H$2,150))</f>
        <v>85.6375</v>
      </c>
      <c r="AF519" s="10">
        <f>0.66*SQRT($B$2)*(D519*1000)*J519/1000</f>
        <v>358.8956362</v>
      </c>
      <c r="AG519" s="15" t="str">
        <f>IF(AD519&lt;=AF519,"CUMPLE","AUMENTAR SECCION")</f>
        <v>CUMPLE</v>
      </c>
      <c r="AH519" s="10">
        <f>0.75*0.083*SQRT($B$2)*(((D519*1000)*(E519*1000))^2/(2*((D519*1000)+(E519*1000))))/1000000</f>
        <v>3.388073536</v>
      </c>
      <c r="AI519" s="15" t="str">
        <f>IF(I519&gt;AH519,"SI","No")</f>
        <v>No</v>
      </c>
      <c r="AJ519" s="11">
        <f>IF(I519&gt;AH519,I519*1000000/(0.75*2*0.85*((D519*1000-2*$F$2)*(E519*1000-2*$F$2))*$D$2),0)</f>
        <v>0</v>
      </c>
      <c r="AK519" s="10">
        <f>1.25*Q519*$D$2*(J519-(1.25*Q519*$D$2/(0.85*$B$2*(D519*1000)))/2)/1000000</f>
        <v>68.51839235</v>
      </c>
      <c r="AL519" s="10">
        <f>1.25*Z519*$D$2*(J519-(1.25*Z519*$D$2/(0.85*$B$2*(D519*1000)))/2)/1000000</f>
        <v>68.51839235</v>
      </c>
      <c r="AM519" s="10">
        <f>(AK519+AL519)/B519</f>
        <v>52.70645566</v>
      </c>
      <c r="AN519" s="10">
        <f>MAX(H519,AM519)</f>
        <v>52.70645566</v>
      </c>
    </row>
    <row r="520">
      <c r="A520" s="5" t="inlineStr">
        <is>
          <t>F991</t>
        </is>
      </c>
      <c r="B520" s="6" t="n">
        <v>2.6</v>
      </c>
      <c r="C520" s="7" t="inlineStr">
        <is>
          <t>VC</t>
        </is>
      </c>
      <c r="D520" s="8">
        <f>IF(C520="VR",0.35,0.30)</f>
        <v>0.3</v>
      </c>
      <c r="E520" s="6" t="n">
        <v>0.4</v>
      </c>
      <c r="F520" s="9" t="n">
        <v>22.7</v>
      </c>
      <c r="G520" s="9" t="n">
        <v>8.1</v>
      </c>
      <c r="H520" s="9" t="n">
        <v>42.4</v>
      </c>
      <c r="I520" s="6" t="n">
        <v>2.51</v>
      </c>
      <c r="J520" s="10">
        <f>E520*1000-$F$2-$L$2-$H$2/2</f>
        <v>342.55</v>
      </c>
      <c r="K520" s="11">
        <f>F520*1000000/(0.9*(D520*1000)*J520^2)</f>
        <v>0.7164966255</v>
      </c>
      <c r="L520" s="12">
        <f>(0.85*$B$2/$D$2)*(1-SQRT(1-2*K520/(0.85*$B$2)))</f>
        <v>0.001732426417</v>
      </c>
      <c r="M520" s="13">
        <f>L520*(D520*1000)*J520</f>
        <v>178.0328007</v>
      </c>
      <c r="N520" s="13">
        <f>MAX(0.25*SQRT($B$2)/$D$2,1.4/$D$2)*(D520*1000)*J520</f>
        <v>342.55</v>
      </c>
      <c r="O520" s="13">
        <f>MAX(M520,N520)</f>
        <v>342.55</v>
      </c>
      <c r="P520" s="14">
        <f>ROUNDUP(O520/$J$2,0)</f>
        <v>2</v>
      </c>
      <c r="Q520" s="13">
        <f>P520*$J$2</f>
        <v>398</v>
      </c>
      <c r="R520" s="10">
        <f>Q520*$D$2/(0.85*$B$2*(D520*1000))</f>
        <v>23.41176471</v>
      </c>
      <c r="S520" s="10">
        <f>0.9*Q520*$D$2*(J520-R520/2)/1000000</f>
        <v>49.77351244</v>
      </c>
      <c r="T520" s="15" t="str">
        <f>IF(AND(S520&gt;=F520,O520&lt;=0.025*(D520*1000)*J520,O520&gt;=N520),"CUMPLE","REVISAR")</f>
        <v>CUMPLE</v>
      </c>
      <c r="U520" s="11">
        <f>G520*1000000/(0.9*(D520*1000)*J520^2)</f>
        <v>0.2566131086</v>
      </c>
      <c r="V520" s="12">
        <f>(0.85*$B$2/$D$2)*(1-SQRT(1-2*U520/(0.85*$B$2)))</f>
        <v>0.0006143134241</v>
      </c>
      <c r="W520" s="13">
        <f>V520*(D520*1000)*J520</f>
        <v>63.12991903</v>
      </c>
      <c r="X520" s="13">
        <f>MAX(W520,N520)</f>
        <v>342.55</v>
      </c>
      <c r="Y520" s="14">
        <f>ROUNDUP(X520/$J$2,0)</f>
        <v>2</v>
      </c>
      <c r="Z520" s="13">
        <f>Y520*$J$2</f>
        <v>398</v>
      </c>
      <c r="AA520" s="10">
        <f>0.9*Z520*$D$2*(J520-(Z520*$D$2/(0.85*$B$2*(D520*1000)))/2)/1000000</f>
        <v>49.77351244</v>
      </c>
      <c r="AB520" s="15" t="str">
        <f>IF(AA520&gt;=G520,"CUMPLE","REVISAR")</f>
        <v>CUMPLE</v>
      </c>
      <c r="AC520" s="10">
        <f>0.17*SQRT($B$2)*(D520*1000)*J520/1000</f>
        <v>92.44281538</v>
      </c>
      <c r="AD520" s="10">
        <f>MAX(H520/0.75-AC520,0)</f>
        <v>0</v>
      </c>
      <c r="AE520" s="14">
        <f>IF(AD520&gt;0,MIN($N$2*$D$2*J520/(AD520*1000),MIN(J520/4,6*$H$2,150)),MIN(J520/4,6*$H$2,150))</f>
        <v>85.6375</v>
      </c>
      <c r="AF520" s="10">
        <f>0.66*SQRT($B$2)*(D520*1000)*J520/1000</f>
        <v>358.8956362</v>
      </c>
      <c r="AG520" s="15" t="str">
        <f>IF(AD520&lt;=AF520,"CUMPLE","AUMENTAR SECCION")</f>
        <v>CUMPLE</v>
      </c>
      <c r="AH520" s="10">
        <f>0.75*0.083*SQRT($B$2)*(((D520*1000)*(E520*1000))^2/(2*((D520*1000)+(E520*1000))))/1000000</f>
        <v>3.388073536</v>
      </c>
      <c r="AI520" s="15" t="str">
        <f>IF(I520&gt;AH520,"SI","No")</f>
        <v>No</v>
      </c>
      <c r="AJ520" s="11">
        <f>IF(I520&gt;AH520,I520*1000000/(0.75*2*0.85*((D520*1000-2*$F$2)*(E520*1000-2*$F$2))*$D$2),0)</f>
        <v>0</v>
      </c>
      <c r="AK520" s="10">
        <f>1.25*Q520*$D$2*(J520-(1.25*Q520*$D$2/(0.85*$B$2*(D520*1000)))/2)/1000000</f>
        <v>68.51839235</v>
      </c>
      <c r="AL520" s="10">
        <f>1.25*Z520*$D$2*(J520-(1.25*Z520*$D$2/(0.85*$B$2*(D520*1000)))/2)/1000000</f>
        <v>68.51839235</v>
      </c>
      <c r="AM520" s="10">
        <f>(AK520+AL520)/B520</f>
        <v>52.70645566</v>
      </c>
      <c r="AN520" s="10">
        <f>MAX(H520,AM520)</f>
        <v>52.70645566</v>
      </c>
    </row>
    <row r="521">
      <c r="A521" s="5" t="inlineStr">
        <is>
          <t>F992</t>
        </is>
      </c>
      <c r="B521" s="6" t="n">
        <v>3.65</v>
      </c>
      <c r="C521" s="7" t="inlineStr">
        <is>
          <t>VR</t>
        </is>
      </c>
      <c r="D521" s="8">
        <f>IF(C521="VR",0.35,0.30)</f>
        <v>0.35</v>
      </c>
      <c r="E521" s="6" t="n">
        <v>0.4</v>
      </c>
      <c r="F521" s="9" t="n">
        <v>34</v>
      </c>
      <c r="G521" s="9" t="n">
        <v>16</v>
      </c>
      <c r="H521" s="9" t="n">
        <v>53.8</v>
      </c>
      <c r="I521" s="6" t="n">
        <v>0.24</v>
      </c>
      <c r="J521" s="10">
        <f>E521*1000-$F$2-$L$2-$H$2/2</f>
        <v>342.55</v>
      </c>
      <c r="K521" s="11">
        <f>F521*1000000/(0.9*(D521*1000)*J521^2)</f>
        <v>0.9198572159</v>
      </c>
      <c r="L521" s="12">
        <f>(0.85*$B$2/$D$2)*(1-SQRT(1-2*K521/(0.85*$B$2)))</f>
        <v>0.002234179383</v>
      </c>
      <c r="M521" s="13">
        <f>L521*(D521*1000)*J521</f>
        <v>267.8613516</v>
      </c>
      <c r="N521" s="13">
        <f>MAX(0.25*SQRT($B$2)/$D$2,1.4/$D$2)*(D521*1000)*J521</f>
        <v>399.6416667</v>
      </c>
      <c r="O521" s="13">
        <f>MAX(M521,N521)</f>
        <v>399.6416667</v>
      </c>
      <c r="P521" s="14">
        <f>ROUNDUP(O521/$J$2,0)</f>
        <v>3</v>
      </c>
      <c r="Q521" s="13">
        <f>P521*$J$2</f>
        <v>597</v>
      </c>
      <c r="R521" s="10">
        <f>Q521*$D$2/(0.85*$B$2*(D521*1000))</f>
        <v>30.10084034</v>
      </c>
      <c r="S521" s="10">
        <f>0.9*Q521*$D$2*(J521-R521/2)/1000000</f>
        <v>73.90552018</v>
      </c>
      <c r="T521" s="15" t="str">
        <f>IF(AND(S521&gt;=F521,O521&lt;=0.025*(D521*1000)*J521,O521&gt;=N521),"CUMPLE","REVISAR")</f>
        <v>CUMPLE</v>
      </c>
      <c r="U521" s="11">
        <f>G521*1000000/(0.9*(D521*1000)*J521^2)</f>
        <v>0.4336856227</v>
      </c>
      <c r="V521" s="12">
        <f>(0.85*$B$2/$D$2)*(1-SQRT(1-2*U521/(0.85*$B$2)))</f>
        <v>0.001042168179</v>
      </c>
      <c r="W521" s="13">
        <f>V521*(D521*1000)*J521</f>
        <v>124.9481484</v>
      </c>
      <c r="X521" s="13">
        <f>MAX(W521,N521)</f>
        <v>399.6416667</v>
      </c>
      <c r="Y521" s="14">
        <f>ROUNDUP(X521/$J$2,0)</f>
        <v>3</v>
      </c>
      <c r="Z521" s="13">
        <f>Y521*$J$2</f>
        <v>597</v>
      </c>
      <c r="AA521" s="10">
        <f>0.9*Z521*$D$2*(J521-(Z521*$D$2/(0.85*$B$2*(D521*1000)))/2)/1000000</f>
        <v>73.90552018</v>
      </c>
      <c r="AB521" s="15" t="str">
        <f>IF(AA521&gt;=G521,"CUMPLE","REVISAR")</f>
        <v>CUMPLE</v>
      </c>
      <c r="AC521" s="10">
        <f>0.17*SQRT($B$2)*(D521*1000)*J521/1000</f>
        <v>107.8499513</v>
      </c>
      <c r="AD521" s="10">
        <f>MAX(H521/0.75-AC521,0)</f>
        <v>0</v>
      </c>
      <c r="AE521" s="14">
        <f>IF(AD521&gt;0,MIN($N$2*$D$2*J521/(AD521*1000),MIN(J521/4,6*$H$2,150)),MIN(J521/4,6*$H$2,150))</f>
        <v>85.6375</v>
      </c>
      <c r="AF521" s="10">
        <f>0.66*SQRT($B$2)*(D521*1000)*J521/1000</f>
        <v>418.7115756</v>
      </c>
      <c r="AG521" s="15" t="str">
        <f>IF(AD521&lt;=AF521,"CUMPLE","AUMENTAR SECCION")</f>
        <v>CUMPLE</v>
      </c>
      <c r="AH521" s="10">
        <f>0.75*0.083*SQRT($B$2)*(((D521*1000)*(E521*1000))^2/(2*((D521*1000)+(E521*1000))))/1000000</f>
        <v>4.304108233</v>
      </c>
      <c r="AI521" s="15" t="str">
        <f>IF(I521&gt;AH521,"SI","No")</f>
        <v>No</v>
      </c>
      <c r="AJ521" s="11">
        <f>IF(I521&gt;AH521,I521*1000000/(0.75*2*0.85*((D521*1000-2*$F$2)*(E521*1000-2*$F$2))*$D$2),0)</f>
        <v>0</v>
      </c>
      <c r="AK521" s="10">
        <f>1.25*Q521*$D$2*(J521-(1.25*Q521*$D$2/(0.85*$B$2*(D521*1000)))/2)/1000000</f>
        <v>101.4672613</v>
      </c>
      <c r="AL521" s="10">
        <f>1.25*Z521*$D$2*(J521-(1.25*Z521*$D$2/(0.85*$B$2*(D521*1000)))/2)/1000000</f>
        <v>101.4672613</v>
      </c>
      <c r="AM521" s="10">
        <f>(AK521+AL521)/B521</f>
        <v>55.59849936</v>
      </c>
      <c r="AN521" s="10">
        <f>MAX(H521,AM521)</f>
        <v>55.59849936</v>
      </c>
    </row>
    <row r="522">
      <c r="A522" s="5" t="inlineStr">
        <is>
          <t>F993</t>
        </is>
      </c>
      <c r="B522" s="6" t="n">
        <v>2.6</v>
      </c>
      <c r="C522" s="7" t="inlineStr">
        <is>
          <t>VC</t>
        </is>
      </c>
      <c r="D522" s="8">
        <f>IF(C522="VR",0.35,0.30)</f>
        <v>0.3</v>
      </c>
      <c r="E522" s="6" t="n">
        <v>0.4</v>
      </c>
      <c r="F522" s="9" t="n">
        <v>22</v>
      </c>
      <c r="G522" s="9" t="n">
        <v>8.1</v>
      </c>
      <c r="H522" s="9" t="n">
        <v>41.9</v>
      </c>
      <c r="I522" s="6" t="n">
        <v>0.12</v>
      </c>
      <c r="J522" s="10">
        <f>E522*1000-$F$2-$L$2-$H$2/2</f>
        <v>342.55</v>
      </c>
      <c r="K522" s="11">
        <f>F522*1000000/(0.9*(D522*1000)*J522^2)</f>
        <v>0.6940863786</v>
      </c>
      <c r="L522" s="12">
        <f>(0.85*$B$2/$D$2)*(1-SQRT(1-2*K522/(0.85*$B$2)))</f>
        <v>0.001677413523</v>
      </c>
      <c r="M522" s="13">
        <f>L522*(D522*1000)*J522</f>
        <v>172.3794007</v>
      </c>
      <c r="N522" s="13">
        <f>MAX(0.25*SQRT($B$2)/$D$2,1.4/$D$2)*(D522*1000)*J522</f>
        <v>342.55</v>
      </c>
      <c r="O522" s="13">
        <f>MAX(M522,N522)</f>
        <v>342.55</v>
      </c>
      <c r="P522" s="14">
        <f>ROUNDUP(O522/$J$2,0)</f>
        <v>2</v>
      </c>
      <c r="Q522" s="13">
        <f>P522*$J$2</f>
        <v>398</v>
      </c>
      <c r="R522" s="10">
        <f>Q522*$D$2/(0.85*$B$2*(D522*1000))</f>
        <v>23.41176471</v>
      </c>
      <c r="S522" s="10">
        <f>0.9*Q522*$D$2*(J522-R522/2)/1000000</f>
        <v>49.77351244</v>
      </c>
      <c r="T522" s="15" t="str">
        <f>IF(AND(S522&gt;=F522,O522&lt;=0.025*(D522*1000)*J522,O522&gt;=N522),"CUMPLE","REVISAR")</f>
        <v>CUMPLE</v>
      </c>
      <c r="U522" s="11">
        <f>G522*1000000/(0.9*(D522*1000)*J522^2)</f>
        <v>0.2566131086</v>
      </c>
      <c r="V522" s="12">
        <f>(0.85*$B$2/$D$2)*(1-SQRT(1-2*U522/(0.85*$B$2)))</f>
        <v>0.0006143134241</v>
      </c>
      <c r="W522" s="13">
        <f>V522*(D522*1000)*J522</f>
        <v>63.12991903</v>
      </c>
      <c r="X522" s="13">
        <f>MAX(W522,N522)</f>
        <v>342.55</v>
      </c>
      <c r="Y522" s="14">
        <f>ROUNDUP(X522/$J$2,0)</f>
        <v>2</v>
      </c>
      <c r="Z522" s="13">
        <f>Y522*$J$2</f>
        <v>398</v>
      </c>
      <c r="AA522" s="10">
        <f>0.9*Z522*$D$2*(J522-(Z522*$D$2/(0.85*$B$2*(D522*1000)))/2)/1000000</f>
        <v>49.77351244</v>
      </c>
      <c r="AB522" s="15" t="str">
        <f>IF(AA522&gt;=G522,"CUMPLE","REVISAR")</f>
        <v>CUMPLE</v>
      </c>
      <c r="AC522" s="10">
        <f>0.17*SQRT($B$2)*(D522*1000)*J522/1000</f>
        <v>92.44281538</v>
      </c>
      <c r="AD522" s="10">
        <f>MAX(H522/0.75-AC522,0)</f>
        <v>0</v>
      </c>
      <c r="AE522" s="14">
        <f>IF(AD522&gt;0,MIN($N$2*$D$2*J522/(AD522*1000),MIN(J522/4,6*$H$2,150)),MIN(J522/4,6*$H$2,150))</f>
        <v>85.6375</v>
      </c>
      <c r="AF522" s="10">
        <f>0.66*SQRT($B$2)*(D522*1000)*J522/1000</f>
        <v>358.8956362</v>
      </c>
      <c r="AG522" s="15" t="str">
        <f>IF(AD522&lt;=AF522,"CUMPLE","AUMENTAR SECCION")</f>
        <v>CUMPLE</v>
      </c>
      <c r="AH522" s="10">
        <f>0.75*0.083*SQRT($B$2)*(((D522*1000)*(E522*1000))^2/(2*((D522*1000)+(E522*1000))))/1000000</f>
        <v>3.388073536</v>
      </c>
      <c r="AI522" s="15" t="str">
        <f>IF(I522&gt;AH522,"SI","No")</f>
        <v>No</v>
      </c>
      <c r="AJ522" s="11">
        <f>IF(I522&gt;AH522,I522*1000000/(0.75*2*0.85*((D522*1000-2*$F$2)*(E522*1000-2*$F$2))*$D$2),0)</f>
        <v>0</v>
      </c>
      <c r="AK522" s="10">
        <f>1.25*Q522*$D$2*(J522-(1.25*Q522*$D$2/(0.85*$B$2*(D522*1000)))/2)/1000000</f>
        <v>68.51839235</v>
      </c>
      <c r="AL522" s="10">
        <f>1.25*Z522*$D$2*(J522-(1.25*Z522*$D$2/(0.85*$B$2*(D522*1000)))/2)/1000000</f>
        <v>68.51839235</v>
      </c>
      <c r="AM522" s="10">
        <f>(AK522+AL522)/B522</f>
        <v>52.70645566</v>
      </c>
      <c r="AN522" s="10">
        <f>MAX(H522,AM522)</f>
        <v>52.70645566</v>
      </c>
    </row>
    <row r="523">
      <c r="A523" s="5" t="inlineStr">
        <is>
          <t>F994</t>
        </is>
      </c>
      <c r="B523" s="6" t="n">
        <v>2.5</v>
      </c>
      <c r="C523" s="7" t="inlineStr">
        <is>
          <t>VC</t>
        </is>
      </c>
      <c r="D523" s="8">
        <f>IF(C523="VR",0.35,0.30)</f>
        <v>0.3</v>
      </c>
      <c r="E523" s="6" t="n">
        <v>0.4</v>
      </c>
      <c r="F523" s="9" t="n">
        <v>25.4</v>
      </c>
      <c r="G523" s="9" t="n">
        <v>8.699999999999999</v>
      </c>
      <c r="H523" s="9" t="n">
        <v>44.4</v>
      </c>
      <c r="I523" s="6" t="n">
        <v>0.49</v>
      </c>
      <c r="J523" s="10">
        <f>E523*1000-$F$2-$L$2-$H$2/2</f>
        <v>342.55</v>
      </c>
      <c r="K523" s="11">
        <f>F523*1000000/(0.9*(D523*1000)*J523^2)</f>
        <v>0.8020343284</v>
      </c>
      <c r="L523" s="12">
        <f>(0.85*$B$2/$D$2)*(1-SQRT(1-2*K523/(0.85*$B$2)))</f>
        <v>0.001942913602</v>
      </c>
      <c r="M523" s="13">
        <f>L523*(D523*1000)*J523</f>
        <v>199.6635163</v>
      </c>
      <c r="N523" s="13">
        <f>MAX(0.25*SQRT($B$2)/$D$2,1.4/$D$2)*(D523*1000)*J523</f>
        <v>342.55</v>
      </c>
      <c r="O523" s="13">
        <f>MAX(M523,N523)</f>
        <v>342.55</v>
      </c>
      <c r="P523" s="14">
        <f>ROUNDUP(O523/$J$2,0)</f>
        <v>2</v>
      </c>
      <c r="Q523" s="13">
        <f>P523*$J$2</f>
        <v>398</v>
      </c>
      <c r="R523" s="10">
        <f>Q523*$D$2/(0.85*$B$2*(D523*1000))</f>
        <v>23.41176471</v>
      </c>
      <c r="S523" s="10">
        <f>0.9*Q523*$D$2*(J523-R523/2)/1000000</f>
        <v>49.77351244</v>
      </c>
      <c r="T523" s="15" t="str">
        <f>IF(AND(S523&gt;=F523,O523&lt;=0.025*(D523*1000)*J523,O523&gt;=N523),"CUMPLE","REVISAR")</f>
        <v>CUMPLE</v>
      </c>
      <c r="U523" s="11">
        <f>G523*1000000/(0.9*(D523*1000)*J523^2)</f>
        <v>0.2742887963</v>
      </c>
      <c r="V523" s="12">
        <f>(0.85*$B$2/$D$2)*(1-SQRT(1-2*U523/(0.85*$B$2)))</f>
        <v>0.0006568757902</v>
      </c>
      <c r="W523" s="13">
        <f>V523*(D523*1000)*J523</f>
        <v>67.50384058</v>
      </c>
      <c r="X523" s="13">
        <f>MAX(W523,N523)</f>
        <v>342.55</v>
      </c>
      <c r="Y523" s="14">
        <f>ROUNDUP(X523/$J$2,0)</f>
        <v>2</v>
      </c>
      <c r="Z523" s="13">
        <f>Y523*$J$2</f>
        <v>398</v>
      </c>
      <c r="AA523" s="10">
        <f>0.9*Z523*$D$2*(J523-(Z523*$D$2/(0.85*$B$2*(D523*1000)))/2)/1000000</f>
        <v>49.77351244</v>
      </c>
      <c r="AB523" s="15" t="str">
        <f>IF(AA523&gt;=G523,"CUMPLE","REVISAR")</f>
        <v>CUMPLE</v>
      </c>
      <c r="AC523" s="10">
        <f>0.17*SQRT($B$2)*(D523*1000)*J523/1000</f>
        <v>92.44281538</v>
      </c>
      <c r="AD523" s="10">
        <f>MAX(H523/0.75-AC523,0)</f>
        <v>0</v>
      </c>
      <c r="AE523" s="14">
        <f>IF(AD523&gt;0,MIN($N$2*$D$2*J523/(AD523*1000),MIN(J523/4,6*$H$2,150)),MIN(J523/4,6*$H$2,150))</f>
        <v>85.6375</v>
      </c>
      <c r="AF523" s="10">
        <f>0.66*SQRT($B$2)*(D523*1000)*J523/1000</f>
        <v>358.8956362</v>
      </c>
      <c r="AG523" s="15" t="str">
        <f>IF(AD523&lt;=AF523,"CUMPLE","AUMENTAR SECCION")</f>
        <v>CUMPLE</v>
      </c>
      <c r="AH523" s="10">
        <f>0.75*0.083*SQRT($B$2)*(((D523*1000)*(E523*1000))^2/(2*((D523*1000)+(E523*1000))))/1000000</f>
        <v>3.388073536</v>
      </c>
      <c r="AI523" s="15" t="str">
        <f>IF(I523&gt;AH523,"SI","No")</f>
        <v>No</v>
      </c>
      <c r="AJ523" s="11">
        <f>IF(I523&gt;AH523,I523*1000000/(0.75*2*0.85*((D523*1000-2*$F$2)*(E523*1000-2*$F$2))*$D$2),0)</f>
        <v>0</v>
      </c>
      <c r="AK523" s="10">
        <f>1.25*Q523*$D$2*(J523-(1.25*Q523*$D$2/(0.85*$B$2*(D523*1000)))/2)/1000000</f>
        <v>68.51839235</v>
      </c>
      <c r="AL523" s="10">
        <f>1.25*Z523*$D$2*(J523-(1.25*Z523*$D$2/(0.85*$B$2*(D523*1000)))/2)/1000000</f>
        <v>68.51839235</v>
      </c>
      <c r="AM523" s="10">
        <f>(AK523+AL523)/B523</f>
        <v>54.81471388</v>
      </c>
      <c r="AN523" s="10">
        <f>MAX(H523,AM523)</f>
        <v>54.81471388</v>
      </c>
    </row>
    <row r="524">
      <c r="A524" s="5" t="inlineStr">
        <is>
          <t>F995</t>
        </is>
      </c>
      <c r="B524" s="6" t="n">
        <v>4</v>
      </c>
      <c r="C524" s="7" t="inlineStr">
        <is>
          <t>VC</t>
        </is>
      </c>
      <c r="D524" s="8">
        <f>IF(C524="VR",0.35,0.30)</f>
        <v>0.3</v>
      </c>
      <c r="E524" s="6" t="n">
        <v>0.4</v>
      </c>
      <c r="F524" s="9" t="n">
        <v>47.5</v>
      </c>
      <c r="G524" s="9" t="n">
        <v>19.2</v>
      </c>
      <c r="H524" s="9" t="n">
        <v>62.2</v>
      </c>
      <c r="I524" s="6" t="n">
        <v>0.99</v>
      </c>
      <c r="J524" s="10">
        <f>E524*1000-$F$2-$L$2-$H$2/2</f>
        <v>342.55</v>
      </c>
      <c r="K524" s="11">
        <f>F524*1000000/(0.9*(D524*1000)*J524^2)</f>
        <v>1.498330168</v>
      </c>
      <c r="L524" s="12">
        <f>(0.85*$B$2/$D$2)*(1-SQRT(1-2*K524/(0.85*$B$2)))</f>
        <v>0.003687427375</v>
      </c>
      <c r="M524" s="13">
        <f>L524*(D524*1000)*J524</f>
        <v>378.9384742</v>
      </c>
      <c r="N524" s="13">
        <f>MAX(0.25*SQRT($B$2)/$D$2,1.4/$D$2)*(D524*1000)*J524</f>
        <v>342.55</v>
      </c>
      <c r="O524" s="13">
        <f>MAX(M524,N524)</f>
        <v>378.9384742</v>
      </c>
      <c r="P524" s="14">
        <f>ROUNDUP(O524/$J$2,0)</f>
        <v>2</v>
      </c>
      <c r="Q524" s="13">
        <f>P524*$J$2</f>
        <v>398</v>
      </c>
      <c r="R524" s="10">
        <f>Q524*$D$2/(0.85*$B$2*(D524*1000))</f>
        <v>23.41176471</v>
      </c>
      <c r="S524" s="10">
        <f>0.9*Q524*$D$2*(J524-R524/2)/1000000</f>
        <v>49.77351244</v>
      </c>
      <c r="T524" s="15" t="str">
        <f>IF(AND(S524&gt;=F524,O524&lt;=0.025*(D524*1000)*J524,O524&gt;=N524),"CUMPLE","REVISAR")</f>
        <v>CUMPLE</v>
      </c>
      <c r="U524" s="11">
        <f>G524*1000000/(0.9*(D524*1000)*J524^2)</f>
        <v>0.6076017639</v>
      </c>
      <c r="V524" s="12">
        <f>(0.85*$B$2/$D$2)*(1-SQRT(1-2*U524/(0.85*$B$2)))</f>
        <v>0.001465624289</v>
      </c>
      <c r="W524" s="13">
        <f>V524*(D524*1000)*J524</f>
        <v>150.6148801</v>
      </c>
      <c r="X524" s="13">
        <f>MAX(W524,N524)</f>
        <v>342.55</v>
      </c>
      <c r="Y524" s="14">
        <f>ROUNDUP(X524/$J$2,0)</f>
        <v>2</v>
      </c>
      <c r="Z524" s="13">
        <f>Y524*$J$2</f>
        <v>398</v>
      </c>
      <c r="AA524" s="10">
        <f>0.9*Z524*$D$2*(J524-(Z524*$D$2/(0.85*$B$2*(D524*1000)))/2)/1000000</f>
        <v>49.77351244</v>
      </c>
      <c r="AB524" s="15" t="str">
        <f>IF(AA524&gt;=G524,"CUMPLE","REVISAR")</f>
        <v>CUMPLE</v>
      </c>
      <c r="AC524" s="10">
        <f>0.17*SQRT($B$2)*(D524*1000)*J524/1000</f>
        <v>92.44281538</v>
      </c>
      <c r="AD524" s="10">
        <f>MAX(H524/0.75-AC524,0)</f>
        <v>0</v>
      </c>
      <c r="AE524" s="14">
        <f>IF(AD524&gt;0,MIN($N$2*$D$2*J524/(AD524*1000),MIN(J524/4,6*$H$2,150)),MIN(J524/4,6*$H$2,150))</f>
        <v>85.6375</v>
      </c>
      <c r="AF524" s="10">
        <f>0.66*SQRT($B$2)*(D524*1000)*J524/1000</f>
        <v>358.8956362</v>
      </c>
      <c r="AG524" s="15" t="str">
        <f>IF(AD524&lt;=AF524,"CUMPLE","AUMENTAR SECCION")</f>
        <v>CUMPLE</v>
      </c>
      <c r="AH524" s="10">
        <f>0.75*0.083*SQRT($B$2)*(((D524*1000)*(E524*1000))^2/(2*((D524*1000)+(E524*1000))))/1000000</f>
        <v>3.388073536</v>
      </c>
      <c r="AI524" s="15" t="str">
        <f>IF(I524&gt;AH524,"SI","No")</f>
        <v>No</v>
      </c>
      <c r="AJ524" s="11">
        <f>IF(I524&gt;AH524,I524*1000000/(0.75*2*0.85*((D524*1000-2*$F$2)*(E524*1000-2*$F$2))*$D$2),0)</f>
        <v>0</v>
      </c>
      <c r="AK524" s="10">
        <f>1.25*Q524*$D$2*(J524-(1.25*Q524*$D$2/(0.85*$B$2*(D524*1000)))/2)/1000000</f>
        <v>68.51839235</v>
      </c>
      <c r="AL524" s="10">
        <f>1.25*Z524*$D$2*(J524-(1.25*Z524*$D$2/(0.85*$B$2*(D524*1000)))/2)/1000000</f>
        <v>68.51839235</v>
      </c>
      <c r="AM524" s="10">
        <f>(AK524+AL524)/B524</f>
        <v>34.25919618</v>
      </c>
      <c r="AN524" s="10">
        <f>MAX(H524,AM524)</f>
        <v>62.24</v>
      </c>
    </row>
    <row r="525">
      <c r="A525" s="5" t="inlineStr">
        <is>
          <t>F996</t>
        </is>
      </c>
      <c r="B525" s="6" t="n">
        <v>4</v>
      </c>
      <c r="C525" s="7" t="inlineStr">
        <is>
          <t>VC</t>
        </is>
      </c>
      <c r="D525" s="8">
        <f>IF(C525="VR",0.35,0.30)</f>
        <v>0.3</v>
      </c>
      <c r="E525" s="6" t="n">
        <v>0.4</v>
      </c>
      <c r="F525" s="9" t="n">
        <v>47.4</v>
      </c>
      <c r="G525" s="9" t="n">
        <v>19.2</v>
      </c>
      <c r="H525" s="9" t="n">
        <v>62.2</v>
      </c>
      <c r="I525" s="6" t="n">
        <v>1.02</v>
      </c>
      <c r="J525" s="10">
        <f>E525*1000-$F$2-$L$2-$H$2/2</f>
        <v>342.55</v>
      </c>
      <c r="K525" s="11">
        <f>F525*1000000/(0.9*(D525*1000)*J525^2)</f>
        <v>1.496751982</v>
      </c>
      <c r="L525" s="12">
        <f>(0.85*$B$2/$D$2)*(1-SQRT(1-2*K525/(0.85*$B$2)))</f>
        <v>0.003683408407</v>
      </c>
      <c r="M525" s="13">
        <f>L525*(D525*1000)*J525</f>
        <v>378.525465</v>
      </c>
      <c r="N525" s="13">
        <f>MAX(0.25*SQRT($B$2)/$D$2,1.4/$D$2)*(D525*1000)*J525</f>
        <v>342.55</v>
      </c>
      <c r="O525" s="13">
        <f>MAX(M525,N525)</f>
        <v>378.525465</v>
      </c>
      <c r="P525" s="14">
        <f>ROUNDUP(O525/$J$2,0)</f>
        <v>2</v>
      </c>
      <c r="Q525" s="13">
        <f>P525*$J$2</f>
        <v>398</v>
      </c>
      <c r="R525" s="10">
        <f>Q525*$D$2/(0.85*$B$2*(D525*1000))</f>
        <v>23.41176471</v>
      </c>
      <c r="S525" s="10">
        <f>0.9*Q525*$D$2*(J525-R525/2)/1000000</f>
        <v>49.77351244</v>
      </c>
      <c r="T525" s="15" t="str">
        <f>IF(AND(S525&gt;=F525,O525&lt;=0.025*(D525*1000)*J525,O525&gt;=N525),"CUMPLE","REVISAR")</f>
        <v>CUMPLE</v>
      </c>
      <c r="U525" s="11">
        <f>G525*1000000/(0.9*(D525*1000)*J525^2)</f>
        <v>0.6076017639</v>
      </c>
      <c r="V525" s="12">
        <f>(0.85*$B$2/$D$2)*(1-SQRT(1-2*U525/(0.85*$B$2)))</f>
        <v>0.001465624289</v>
      </c>
      <c r="W525" s="13">
        <f>V525*(D525*1000)*J525</f>
        <v>150.6148801</v>
      </c>
      <c r="X525" s="13">
        <f>MAX(W525,N525)</f>
        <v>342.55</v>
      </c>
      <c r="Y525" s="14">
        <f>ROUNDUP(X525/$J$2,0)</f>
        <v>2</v>
      </c>
      <c r="Z525" s="13">
        <f>Y525*$J$2</f>
        <v>398</v>
      </c>
      <c r="AA525" s="10">
        <f>0.9*Z525*$D$2*(J525-(Z525*$D$2/(0.85*$B$2*(D525*1000)))/2)/1000000</f>
        <v>49.77351244</v>
      </c>
      <c r="AB525" s="15" t="str">
        <f>IF(AA525&gt;=G525,"CUMPLE","REVISAR")</f>
        <v>CUMPLE</v>
      </c>
      <c r="AC525" s="10">
        <f>0.17*SQRT($B$2)*(D525*1000)*J525/1000</f>
        <v>92.44281538</v>
      </c>
      <c r="AD525" s="10">
        <f>MAX(H525/0.75-AC525,0)</f>
        <v>0</v>
      </c>
      <c r="AE525" s="14">
        <f>IF(AD525&gt;0,MIN($N$2*$D$2*J525/(AD525*1000),MIN(J525/4,6*$H$2,150)),MIN(J525/4,6*$H$2,150))</f>
        <v>85.6375</v>
      </c>
      <c r="AF525" s="10">
        <f>0.66*SQRT($B$2)*(D525*1000)*J525/1000</f>
        <v>358.8956362</v>
      </c>
      <c r="AG525" s="15" t="str">
        <f>IF(AD525&lt;=AF525,"CUMPLE","AUMENTAR SECCION")</f>
        <v>CUMPLE</v>
      </c>
      <c r="AH525" s="10">
        <f>0.75*0.083*SQRT($B$2)*(((D525*1000)*(E525*1000))^2/(2*((D525*1000)+(E525*1000))))/1000000</f>
        <v>3.388073536</v>
      </c>
      <c r="AI525" s="15" t="str">
        <f>IF(I525&gt;AH525,"SI","No")</f>
        <v>No</v>
      </c>
      <c r="AJ525" s="11">
        <f>IF(I525&gt;AH525,I525*1000000/(0.75*2*0.85*((D525*1000-2*$F$2)*(E525*1000-2*$F$2))*$D$2),0)</f>
        <v>0</v>
      </c>
      <c r="AK525" s="10">
        <f>1.25*Q525*$D$2*(J525-(1.25*Q525*$D$2/(0.85*$B$2*(D525*1000)))/2)/1000000</f>
        <v>68.51839235</v>
      </c>
      <c r="AL525" s="10">
        <f>1.25*Z525*$D$2*(J525-(1.25*Z525*$D$2/(0.85*$B$2*(D525*1000)))/2)/1000000</f>
        <v>68.51839235</v>
      </c>
      <c r="AM525" s="10">
        <f>(AK525+AL525)/B525</f>
        <v>34.25919618</v>
      </c>
      <c r="AN525" s="10">
        <f>MAX(H525,AM525)</f>
        <v>62.21</v>
      </c>
    </row>
    <row r="526">
      <c r="A526" s="5" t="inlineStr">
        <is>
          <t>F997</t>
        </is>
      </c>
      <c r="B526" s="6" t="n">
        <v>2.5</v>
      </c>
      <c r="C526" s="7" t="inlineStr">
        <is>
          <t>VC</t>
        </is>
      </c>
      <c r="D526" s="8">
        <f>IF(C526="VR",0.35,0.30)</f>
        <v>0.3</v>
      </c>
      <c r="E526" s="6" t="n">
        <v>0.4</v>
      </c>
      <c r="F526" s="9" t="n">
        <v>25.4</v>
      </c>
      <c r="G526" s="9" t="n">
        <v>8.699999999999999</v>
      </c>
      <c r="H526" s="9" t="n">
        <v>44.4</v>
      </c>
      <c r="I526" s="6" t="n">
        <v>0.49</v>
      </c>
      <c r="J526" s="10">
        <f>E526*1000-$F$2-$L$2-$H$2/2</f>
        <v>342.55</v>
      </c>
      <c r="K526" s="11">
        <f>F526*1000000/(0.9*(D526*1000)*J526^2)</f>
        <v>0.8017186911</v>
      </c>
      <c r="L526" s="12">
        <f>(0.85*$B$2/$D$2)*(1-SQRT(1-2*K526/(0.85*$B$2)))</f>
        <v>0.001942135408</v>
      </c>
      <c r="M526" s="13">
        <f>L526*(D526*1000)*J526</f>
        <v>199.5835452</v>
      </c>
      <c r="N526" s="13">
        <f>MAX(0.25*SQRT($B$2)/$D$2,1.4/$D$2)*(D526*1000)*J526</f>
        <v>342.55</v>
      </c>
      <c r="O526" s="13">
        <f>MAX(M526,N526)</f>
        <v>342.55</v>
      </c>
      <c r="P526" s="14">
        <f>ROUNDUP(O526/$J$2,0)</f>
        <v>2</v>
      </c>
      <c r="Q526" s="13">
        <f>P526*$J$2</f>
        <v>398</v>
      </c>
      <c r="R526" s="10">
        <f>Q526*$D$2/(0.85*$B$2*(D526*1000))</f>
        <v>23.41176471</v>
      </c>
      <c r="S526" s="10">
        <f>0.9*Q526*$D$2*(J526-R526/2)/1000000</f>
        <v>49.77351244</v>
      </c>
      <c r="T526" s="15" t="str">
        <f>IF(AND(S526&gt;=F526,O526&lt;=0.025*(D526*1000)*J526,O526&gt;=N526),"CUMPLE","REVISAR")</f>
        <v>CUMPLE</v>
      </c>
      <c r="U526" s="11">
        <f>G526*1000000/(0.9*(D526*1000)*J526^2)</f>
        <v>0.2742887963</v>
      </c>
      <c r="V526" s="12">
        <f>(0.85*$B$2/$D$2)*(1-SQRT(1-2*U526/(0.85*$B$2)))</f>
        <v>0.0006568757902</v>
      </c>
      <c r="W526" s="13">
        <f>V526*(D526*1000)*J526</f>
        <v>67.50384058</v>
      </c>
      <c r="X526" s="13">
        <f>MAX(W526,N526)</f>
        <v>342.55</v>
      </c>
      <c r="Y526" s="14">
        <f>ROUNDUP(X526/$J$2,0)</f>
        <v>2</v>
      </c>
      <c r="Z526" s="13">
        <f>Y526*$J$2</f>
        <v>398</v>
      </c>
      <c r="AA526" s="10">
        <f>0.9*Z526*$D$2*(J526-(Z526*$D$2/(0.85*$B$2*(D526*1000)))/2)/1000000</f>
        <v>49.77351244</v>
      </c>
      <c r="AB526" s="15" t="str">
        <f>IF(AA526&gt;=G526,"CUMPLE","REVISAR")</f>
        <v>CUMPLE</v>
      </c>
      <c r="AC526" s="10">
        <f>0.17*SQRT($B$2)*(D526*1000)*J526/1000</f>
        <v>92.44281538</v>
      </c>
      <c r="AD526" s="10">
        <f>MAX(H526/0.75-AC526,0)</f>
        <v>0</v>
      </c>
      <c r="AE526" s="14">
        <f>IF(AD526&gt;0,MIN($N$2*$D$2*J526/(AD526*1000),MIN(J526/4,6*$H$2,150)),MIN(J526/4,6*$H$2,150))</f>
        <v>85.6375</v>
      </c>
      <c r="AF526" s="10">
        <f>0.66*SQRT($B$2)*(D526*1000)*J526/1000</f>
        <v>358.8956362</v>
      </c>
      <c r="AG526" s="15" t="str">
        <f>IF(AD526&lt;=AF526,"CUMPLE","AUMENTAR SECCION")</f>
        <v>CUMPLE</v>
      </c>
      <c r="AH526" s="10">
        <f>0.75*0.083*SQRT($B$2)*(((D526*1000)*(E526*1000))^2/(2*((D526*1000)+(E526*1000))))/1000000</f>
        <v>3.388073536</v>
      </c>
      <c r="AI526" s="15" t="str">
        <f>IF(I526&gt;AH526,"SI","No")</f>
        <v>No</v>
      </c>
      <c r="AJ526" s="11">
        <f>IF(I526&gt;AH526,I526*1000000/(0.75*2*0.85*((D526*1000-2*$F$2)*(E526*1000-2*$F$2))*$D$2),0)</f>
        <v>0</v>
      </c>
      <c r="AK526" s="10">
        <f>1.25*Q526*$D$2*(J526-(1.25*Q526*$D$2/(0.85*$B$2*(D526*1000)))/2)/1000000</f>
        <v>68.51839235</v>
      </c>
      <c r="AL526" s="10">
        <f>1.25*Z526*$D$2*(J526-(1.25*Z526*$D$2/(0.85*$B$2*(D526*1000)))/2)/1000000</f>
        <v>68.51839235</v>
      </c>
      <c r="AM526" s="10">
        <f>(AK526+AL526)/B526</f>
        <v>54.81471388</v>
      </c>
      <c r="AN526" s="10">
        <f>MAX(H526,AM526)</f>
        <v>54.81471388</v>
      </c>
    </row>
    <row r="527">
      <c r="A527" s="5" t="inlineStr">
        <is>
          <t>F998</t>
        </is>
      </c>
      <c r="B527" s="6" t="n">
        <v>2.6</v>
      </c>
      <c r="C527" s="7" t="inlineStr">
        <is>
          <t>VC</t>
        </is>
      </c>
      <c r="D527" s="8">
        <f>IF(C527="VR",0.35,0.30)</f>
        <v>0.3</v>
      </c>
      <c r="E527" s="6" t="n">
        <v>0.4</v>
      </c>
      <c r="F527" s="9" t="n">
        <v>22</v>
      </c>
      <c r="G527" s="9" t="n">
        <v>8.1</v>
      </c>
      <c r="H527" s="9" t="n">
        <v>41.9</v>
      </c>
      <c r="I527" s="6" t="n">
        <v>0.12</v>
      </c>
      <c r="J527" s="10">
        <f>E527*1000-$F$2-$L$2-$H$2/2</f>
        <v>342.55</v>
      </c>
      <c r="K527" s="11">
        <f>F527*1000000/(0.9*(D527*1000)*J527^2)</f>
        <v>0.6940863786</v>
      </c>
      <c r="L527" s="12">
        <f>(0.85*$B$2/$D$2)*(1-SQRT(1-2*K527/(0.85*$B$2)))</f>
        <v>0.001677413523</v>
      </c>
      <c r="M527" s="13">
        <f>L527*(D527*1000)*J527</f>
        <v>172.3794007</v>
      </c>
      <c r="N527" s="13">
        <f>MAX(0.25*SQRT($B$2)/$D$2,1.4/$D$2)*(D527*1000)*J527</f>
        <v>342.55</v>
      </c>
      <c r="O527" s="13">
        <f>MAX(M527,N527)</f>
        <v>342.55</v>
      </c>
      <c r="P527" s="14">
        <f>ROUNDUP(O527/$J$2,0)</f>
        <v>2</v>
      </c>
      <c r="Q527" s="13">
        <f>P527*$J$2</f>
        <v>398</v>
      </c>
      <c r="R527" s="10">
        <f>Q527*$D$2/(0.85*$B$2*(D527*1000))</f>
        <v>23.41176471</v>
      </c>
      <c r="S527" s="10">
        <f>0.9*Q527*$D$2*(J527-R527/2)/1000000</f>
        <v>49.77351244</v>
      </c>
      <c r="T527" s="15" t="str">
        <f>IF(AND(S527&gt;=F527,O527&lt;=0.025*(D527*1000)*J527,O527&gt;=N527),"CUMPLE","REVISAR")</f>
        <v>CUMPLE</v>
      </c>
      <c r="U527" s="11">
        <f>G527*1000000/(0.9*(D527*1000)*J527^2)</f>
        <v>0.2566131086</v>
      </c>
      <c r="V527" s="12">
        <f>(0.85*$B$2/$D$2)*(1-SQRT(1-2*U527/(0.85*$B$2)))</f>
        <v>0.0006143134241</v>
      </c>
      <c r="W527" s="13">
        <f>V527*(D527*1000)*J527</f>
        <v>63.12991903</v>
      </c>
      <c r="X527" s="13">
        <f>MAX(W527,N527)</f>
        <v>342.55</v>
      </c>
      <c r="Y527" s="14">
        <f>ROUNDUP(X527/$J$2,0)</f>
        <v>2</v>
      </c>
      <c r="Z527" s="13">
        <f>Y527*$J$2</f>
        <v>398</v>
      </c>
      <c r="AA527" s="10">
        <f>0.9*Z527*$D$2*(J527-(Z527*$D$2/(0.85*$B$2*(D527*1000)))/2)/1000000</f>
        <v>49.77351244</v>
      </c>
      <c r="AB527" s="15" t="str">
        <f>IF(AA527&gt;=G527,"CUMPLE","REVISAR")</f>
        <v>CUMPLE</v>
      </c>
      <c r="AC527" s="10">
        <f>0.17*SQRT($B$2)*(D527*1000)*J527/1000</f>
        <v>92.44281538</v>
      </c>
      <c r="AD527" s="10">
        <f>MAX(H527/0.75-AC527,0)</f>
        <v>0</v>
      </c>
      <c r="AE527" s="14">
        <f>IF(AD527&gt;0,MIN($N$2*$D$2*J527/(AD527*1000),MIN(J527/4,6*$H$2,150)),MIN(J527/4,6*$H$2,150))</f>
        <v>85.6375</v>
      </c>
      <c r="AF527" s="10">
        <f>0.66*SQRT($B$2)*(D527*1000)*J527/1000</f>
        <v>358.8956362</v>
      </c>
      <c r="AG527" s="15" t="str">
        <f>IF(AD527&lt;=AF527,"CUMPLE","AUMENTAR SECCION")</f>
        <v>CUMPLE</v>
      </c>
      <c r="AH527" s="10">
        <f>0.75*0.083*SQRT($B$2)*(((D527*1000)*(E527*1000))^2/(2*((D527*1000)+(E527*1000))))/1000000</f>
        <v>3.388073536</v>
      </c>
      <c r="AI527" s="15" t="str">
        <f>IF(I527&gt;AH527,"SI","No")</f>
        <v>No</v>
      </c>
      <c r="AJ527" s="11">
        <f>IF(I527&gt;AH527,I527*1000000/(0.75*2*0.85*((D527*1000-2*$F$2)*(E527*1000-2*$F$2))*$D$2),0)</f>
        <v>0</v>
      </c>
      <c r="AK527" s="10">
        <f>1.25*Q527*$D$2*(J527-(1.25*Q527*$D$2/(0.85*$B$2*(D527*1000)))/2)/1000000</f>
        <v>68.51839235</v>
      </c>
      <c r="AL527" s="10">
        <f>1.25*Z527*$D$2*(J527-(1.25*Z527*$D$2/(0.85*$B$2*(D527*1000)))/2)/1000000</f>
        <v>68.51839235</v>
      </c>
      <c r="AM527" s="10">
        <f>(AK527+AL527)/B527</f>
        <v>52.70645566</v>
      </c>
      <c r="AN527" s="10">
        <f>MAX(H527,AM527)</f>
        <v>52.70645566</v>
      </c>
    </row>
    <row r="528">
      <c r="A528" s="5" t="inlineStr">
        <is>
          <t>F999</t>
        </is>
      </c>
      <c r="B528" s="6" t="n">
        <v>3.65</v>
      </c>
      <c r="C528" s="7" t="inlineStr">
        <is>
          <t>VR</t>
        </is>
      </c>
      <c r="D528" s="8">
        <f>IF(C528="VR",0.35,0.30)</f>
        <v>0.35</v>
      </c>
      <c r="E528" s="6" t="n">
        <v>0.4</v>
      </c>
      <c r="F528" s="9" t="n">
        <v>34</v>
      </c>
      <c r="G528" s="9" t="n">
        <v>16</v>
      </c>
      <c r="H528" s="9" t="n">
        <v>53.8</v>
      </c>
      <c r="I528" s="6" t="n">
        <v>0.24</v>
      </c>
      <c r="J528" s="10">
        <f>E528*1000-$F$2-$L$2-$H$2/2</f>
        <v>342.55</v>
      </c>
      <c r="K528" s="11">
        <f>F528*1000000/(0.9*(D528*1000)*J528^2)</f>
        <v>0.9198572159</v>
      </c>
      <c r="L528" s="12">
        <f>(0.85*$B$2/$D$2)*(1-SQRT(1-2*K528/(0.85*$B$2)))</f>
        <v>0.002234179383</v>
      </c>
      <c r="M528" s="13">
        <f>L528*(D528*1000)*J528</f>
        <v>267.8613516</v>
      </c>
      <c r="N528" s="13">
        <f>MAX(0.25*SQRT($B$2)/$D$2,1.4/$D$2)*(D528*1000)*J528</f>
        <v>399.6416667</v>
      </c>
      <c r="O528" s="13">
        <f>MAX(M528,N528)</f>
        <v>399.6416667</v>
      </c>
      <c r="P528" s="14">
        <f>ROUNDUP(O528/$J$2,0)</f>
        <v>3</v>
      </c>
      <c r="Q528" s="13">
        <f>P528*$J$2</f>
        <v>597</v>
      </c>
      <c r="R528" s="10">
        <f>Q528*$D$2/(0.85*$B$2*(D528*1000))</f>
        <v>30.10084034</v>
      </c>
      <c r="S528" s="10">
        <f>0.9*Q528*$D$2*(J528-R528/2)/1000000</f>
        <v>73.90552018</v>
      </c>
      <c r="T528" s="15" t="str">
        <f>IF(AND(S528&gt;=F528,O528&lt;=0.025*(D528*1000)*J528,O528&gt;=N528),"CUMPLE","REVISAR")</f>
        <v>CUMPLE</v>
      </c>
      <c r="U528" s="11">
        <f>G528*1000000/(0.9*(D528*1000)*J528^2)</f>
        <v>0.4336856227</v>
      </c>
      <c r="V528" s="12">
        <f>(0.85*$B$2/$D$2)*(1-SQRT(1-2*U528/(0.85*$B$2)))</f>
        <v>0.001042168179</v>
      </c>
      <c r="W528" s="13">
        <f>V528*(D528*1000)*J528</f>
        <v>124.9481484</v>
      </c>
      <c r="X528" s="13">
        <f>MAX(W528,N528)</f>
        <v>399.6416667</v>
      </c>
      <c r="Y528" s="14">
        <f>ROUNDUP(X528/$J$2,0)</f>
        <v>3</v>
      </c>
      <c r="Z528" s="13">
        <f>Y528*$J$2</f>
        <v>597</v>
      </c>
      <c r="AA528" s="10">
        <f>0.9*Z528*$D$2*(J528-(Z528*$D$2/(0.85*$B$2*(D528*1000)))/2)/1000000</f>
        <v>73.90552018</v>
      </c>
      <c r="AB528" s="15" t="str">
        <f>IF(AA528&gt;=G528,"CUMPLE","REVISAR")</f>
        <v>CUMPLE</v>
      </c>
      <c r="AC528" s="10">
        <f>0.17*SQRT($B$2)*(D528*1000)*J528/1000</f>
        <v>107.8499513</v>
      </c>
      <c r="AD528" s="10">
        <f>MAX(H528/0.75-AC528,0)</f>
        <v>0</v>
      </c>
      <c r="AE528" s="14">
        <f>IF(AD528&gt;0,MIN($N$2*$D$2*J528/(AD528*1000),MIN(J528/4,6*$H$2,150)),MIN(J528/4,6*$H$2,150))</f>
        <v>85.6375</v>
      </c>
      <c r="AF528" s="10">
        <f>0.66*SQRT($B$2)*(D528*1000)*J528/1000</f>
        <v>418.7115756</v>
      </c>
      <c r="AG528" s="15" t="str">
        <f>IF(AD528&lt;=AF528,"CUMPLE","AUMENTAR SECCION")</f>
        <v>CUMPLE</v>
      </c>
      <c r="AH528" s="10">
        <f>0.75*0.083*SQRT($B$2)*(((D528*1000)*(E528*1000))^2/(2*((D528*1000)+(E528*1000))))/1000000</f>
        <v>4.304108233</v>
      </c>
      <c r="AI528" s="15" t="str">
        <f>IF(I528&gt;AH528,"SI","No")</f>
        <v>No</v>
      </c>
      <c r="AJ528" s="11">
        <f>IF(I528&gt;AH528,I528*1000000/(0.75*2*0.85*((D528*1000-2*$F$2)*(E528*1000-2*$F$2))*$D$2),0)</f>
        <v>0</v>
      </c>
      <c r="AK528" s="10">
        <f>1.25*Q528*$D$2*(J528-(1.25*Q528*$D$2/(0.85*$B$2*(D528*1000)))/2)/1000000</f>
        <v>101.4672613</v>
      </c>
      <c r="AL528" s="10">
        <f>1.25*Z528*$D$2*(J528-(1.25*Z528*$D$2/(0.85*$B$2*(D528*1000)))/2)/1000000</f>
        <v>101.4672613</v>
      </c>
      <c r="AM528" s="10">
        <f>(AK528+AL528)/B528</f>
        <v>55.59849936</v>
      </c>
      <c r="AN528" s="10">
        <f>MAX(H528,AM528)</f>
        <v>55.59849936</v>
      </c>
    </row>
    <row r="529">
      <c r="A529" s="5" t="inlineStr">
        <is>
          <t>F1000</t>
        </is>
      </c>
      <c r="B529" s="6" t="n">
        <v>2.6</v>
      </c>
      <c r="C529" s="7" t="inlineStr">
        <is>
          <t>VC</t>
        </is>
      </c>
      <c r="D529" s="8">
        <f>IF(C529="VR",0.35,0.30)</f>
        <v>0.3</v>
      </c>
      <c r="E529" s="6" t="n">
        <v>0.4</v>
      </c>
      <c r="F529" s="9" t="n">
        <v>22.7</v>
      </c>
      <c r="G529" s="9" t="n">
        <v>8.1</v>
      </c>
      <c r="H529" s="9" t="n">
        <v>42.4</v>
      </c>
      <c r="I529" s="6" t="n">
        <v>2.51</v>
      </c>
      <c r="J529" s="10">
        <f>E529*1000-$F$2-$L$2-$H$2/2</f>
        <v>342.55</v>
      </c>
      <c r="K529" s="11">
        <f>F529*1000000/(0.9*(D529*1000)*J529^2)</f>
        <v>0.7164966255</v>
      </c>
      <c r="L529" s="12">
        <f>(0.85*$B$2/$D$2)*(1-SQRT(1-2*K529/(0.85*$B$2)))</f>
        <v>0.001732426417</v>
      </c>
      <c r="M529" s="13">
        <f>L529*(D529*1000)*J529</f>
        <v>178.0328007</v>
      </c>
      <c r="N529" s="13">
        <f>MAX(0.25*SQRT($B$2)/$D$2,1.4/$D$2)*(D529*1000)*J529</f>
        <v>342.55</v>
      </c>
      <c r="O529" s="13">
        <f>MAX(M529,N529)</f>
        <v>342.55</v>
      </c>
      <c r="P529" s="14">
        <f>ROUNDUP(O529/$J$2,0)</f>
        <v>2</v>
      </c>
      <c r="Q529" s="13">
        <f>P529*$J$2</f>
        <v>398</v>
      </c>
      <c r="R529" s="10">
        <f>Q529*$D$2/(0.85*$B$2*(D529*1000))</f>
        <v>23.41176471</v>
      </c>
      <c r="S529" s="10">
        <f>0.9*Q529*$D$2*(J529-R529/2)/1000000</f>
        <v>49.77351244</v>
      </c>
      <c r="T529" s="15" t="str">
        <f>IF(AND(S529&gt;=F529,O529&lt;=0.025*(D529*1000)*J529,O529&gt;=N529),"CUMPLE","REVISAR")</f>
        <v>CUMPLE</v>
      </c>
      <c r="U529" s="11">
        <f>G529*1000000/(0.9*(D529*1000)*J529^2)</f>
        <v>0.2566131086</v>
      </c>
      <c r="V529" s="12">
        <f>(0.85*$B$2/$D$2)*(1-SQRT(1-2*U529/(0.85*$B$2)))</f>
        <v>0.0006143134241</v>
      </c>
      <c r="W529" s="13">
        <f>V529*(D529*1000)*J529</f>
        <v>63.12991903</v>
      </c>
      <c r="X529" s="13">
        <f>MAX(W529,N529)</f>
        <v>342.55</v>
      </c>
      <c r="Y529" s="14">
        <f>ROUNDUP(X529/$J$2,0)</f>
        <v>2</v>
      </c>
      <c r="Z529" s="13">
        <f>Y529*$J$2</f>
        <v>398</v>
      </c>
      <c r="AA529" s="10">
        <f>0.9*Z529*$D$2*(J529-(Z529*$D$2/(0.85*$B$2*(D529*1000)))/2)/1000000</f>
        <v>49.77351244</v>
      </c>
      <c r="AB529" s="15" t="str">
        <f>IF(AA529&gt;=G529,"CUMPLE","REVISAR")</f>
        <v>CUMPLE</v>
      </c>
      <c r="AC529" s="10">
        <f>0.17*SQRT($B$2)*(D529*1000)*J529/1000</f>
        <v>92.44281538</v>
      </c>
      <c r="AD529" s="10">
        <f>MAX(H529/0.75-AC529,0)</f>
        <v>0</v>
      </c>
      <c r="AE529" s="14">
        <f>IF(AD529&gt;0,MIN($N$2*$D$2*J529/(AD529*1000),MIN(J529/4,6*$H$2,150)),MIN(J529/4,6*$H$2,150))</f>
        <v>85.6375</v>
      </c>
      <c r="AF529" s="10">
        <f>0.66*SQRT($B$2)*(D529*1000)*J529/1000</f>
        <v>358.8956362</v>
      </c>
      <c r="AG529" s="15" t="str">
        <f>IF(AD529&lt;=AF529,"CUMPLE","AUMENTAR SECCION")</f>
        <v>CUMPLE</v>
      </c>
      <c r="AH529" s="10">
        <f>0.75*0.083*SQRT($B$2)*(((D529*1000)*(E529*1000))^2/(2*((D529*1000)+(E529*1000))))/1000000</f>
        <v>3.388073536</v>
      </c>
      <c r="AI529" s="15" t="str">
        <f>IF(I529&gt;AH529,"SI","No")</f>
        <v>No</v>
      </c>
      <c r="AJ529" s="11">
        <f>IF(I529&gt;AH529,I529*1000000/(0.75*2*0.85*((D529*1000-2*$F$2)*(E529*1000-2*$F$2))*$D$2),0)</f>
        <v>0</v>
      </c>
      <c r="AK529" s="10">
        <f>1.25*Q529*$D$2*(J529-(1.25*Q529*$D$2/(0.85*$B$2*(D529*1000)))/2)/1000000</f>
        <v>68.51839235</v>
      </c>
      <c r="AL529" s="10">
        <f>1.25*Z529*$D$2*(J529-(1.25*Z529*$D$2/(0.85*$B$2*(D529*1000)))/2)/1000000</f>
        <v>68.51839235</v>
      </c>
      <c r="AM529" s="10">
        <f>(AK529+AL529)/B529</f>
        <v>52.70645566</v>
      </c>
      <c r="AN529" s="10">
        <f>MAX(H529,AM529)</f>
        <v>52.70645566</v>
      </c>
    </row>
    <row r="530">
      <c r="A530" s="5" t="inlineStr">
        <is>
          <t>F1001</t>
        </is>
      </c>
      <c r="B530" s="6" t="n">
        <v>4</v>
      </c>
      <c r="C530" s="7" t="inlineStr">
        <is>
          <t>VC</t>
        </is>
      </c>
      <c r="D530" s="8">
        <f>IF(C530="VR",0.35,0.30)</f>
        <v>0.3</v>
      </c>
      <c r="E530" s="6" t="n">
        <v>0.4</v>
      </c>
      <c r="F530" s="9" t="n">
        <v>29</v>
      </c>
      <c r="G530" s="9" t="n">
        <v>12.2</v>
      </c>
      <c r="H530" s="9" t="n">
        <v>23.5</v>
      </c>
      <c r="I530" s="6" t="n">
        <v>0</v>
      </c>
      <c r="J530" s="10">
        <f>E530*1000-$F$2-$L$2-$H$2/2</f>
        <v>342.55</v>
      </c>
      <c r="K530" s="11">
        <f>F530*1000000/(0.9*(D530*1000)*J530^2)</f>
        <v>0.9144012</v>
      </c>
      <c r="L530" s="12">
        <f>(0.85*$B$2/$D$2)*(1-SQRT(1-2*K530/(0.85*$B$2)))</f>
        <v>0.002220657353</v>
      </c>
      <c r="M530" s="13">
        <f>L530*(D530*1000)*J530</f>
        <v>228.2058529</v>
      </c>
      <c r="N530" s="13">
        <f>MAX(0.25*SQRT($B$2)/$D$2,1.4/$D$2)*(D530*1000)*J530</f>
        <v>342.55</v>
      </c>
      <c r="O530" s="13">
        <f>MAX(M530,N530)</f>
        <v>342.55</v>
      </c>
      <c r="P530" s="14">
        <f>ROUNDUP(O530/$J$2,0)</f>
        <v>2</v>
      </c>
      <c r="Q530" s="13">
        <f>P530*$J$2</f>
        <v>398</v>
      </c>
      <c r="R530" s="10">
        <f>Q530*$D$2/(0.85*$B$2*(D530*1000))</f>
        <v>23.41176471</v>
      </c>
      <c r="S530" s="10">
        <f>0.9*Q530*$D$2*(J530-R530/2)/1000000</f>
        <v>49.77351244</v>
      </c>
      <c r="T530" s="15" t="str">
        <f>IF(AND(S530&gt;=F530,O530&lt;=0.025*(D530*1000)*J530,O530&gt;=N530),"CUMPLE","REVISAR")</f>
        <v>CUMPLE</v>
      </c>
      <c r="U530" s="11">
        <f>G530*1000000/(0.9*(D530*1000)*J530^2)</f>
        <v>0.3853931188</v>
      </c>
      <c r="V530" s="12">
        <f>(0.85*$B$2/$D$2)*(1-SQRT(1-2*U530/(0.85*$B$2)))</f>
        <v>0.0009251548237</v>
      </c>
      <c r="W530" s="13">
        <f>V530*(D530*1000)*J530</f>
        <v>95.07353546</v>
      </c>
      <c r="X530" s="13">
        <f>MAX(W530,N530)</f>
        <v>342.55</v>
      </c>
      <c r="Y530" s="14">
        <f>ROUNDUP(X530/$J$2,0)</f>
        <v>2</v>
      </c>
      <c r="Z530" s="13">
        <f>Y530*$J$2</f>
        <v>398</v>
      </c>
      <c r="AA530" s="10">
        <f>0.9*Z530*$D$2*(J530-(Z530*$D$2/(0.85*$B$2*(D530*1000)))/2)/1000000</f>
        <v>49.77351244</v>
      </c>
      <c r="AB530" s="15" t="str">
        <f>IF(AA530&gt;=G530,"CUMPLE","REVISAR")</f>
        <v>CUMPLE</v>
      </c>
      <c r="AC530" s="10">
        <f>0.17*SQRT($B$2)*(D530*1000)*J530/1000</f>
        <v>92.44281538</v>
      </c>
      <c r="AD530" s="10">
        <f>MAX(H530/0.75-AC530,0)</f>
        <v>0</v>
      </c>
      <c r="AE530" s="14">
        <f>IF(AD530&gt;0,MIN($N$2*$D$2*J530/(AD530*1000),MIN(J530/4,6*$H$2,150)),MIN(J530/4,6*$H$2,150))</f>
        <v>85.6375</v>
      </c>
      <c r="AF530" s="10">
        <f>0.66*SQRT($B$2)*(D530*1000)*J530/1000</f>
        <v>358.8956362</v>
      </c>
      <c r="AG530" s="15" t="str">
        <f>IF(AD530&lt;=AF530,"CUMPLE","AUMENTAR SECCION")</f>
        <v>CUMPLE</v>
      </c>
      <c r="AH530" s="10">
        <f>0.75*0.083*SQRT($B$2)*(((D530*1000)*(E530*1000))^2/(2*((D530*1000)+(E530*1000))))/1000000</f>
        <v>3.388073536</v>
      </c>
      <c r="AI530" s="15" t="str">
        <f>IF(I530&gt;AH530,"SI","No")</f>
        <v>No</v>
      </c>
      <c r="AJ530" s="11">
        <f>IF(I530&gt;AH530,I530*1000000/(0.75*2*0.85*((D530*1000-2*$F$2)*(E530*1000-2*$F$2))*$D$2),0)</f>
        <v>0</v>
      </c>
      <c r="AK530" s="10">
        <f>1.25*Q530*$D$2*(J530-(1.25*Q530*$D$2/(0.85*$B$2*(D530*1000)))/2)/1000000</f>
        <v>68.51839235</v>
      </c>
      <c r="AL530" s="10">
        <f>1.25*Z530*$D$2*(J530-(1.25*Z530*$D$2/(0.85*$B$2*(D530*1000)))/2)/1000000</f>
        <v>68.51839235</v>
      </c>
      <c r="AM530" s="10">
        <f>(AK530+AL530)/B530</f>
        <v>34.25919618</v>
      </c>
      <c r="AN530" s="10">
        <f>MAX(H530,AM530)</f>
        <v>34.25919618</v>
      </c>
    </row>
    <row r="531">
      <c r="A531" s="5" t="inlineStr">
        <is>
          <t>F1002</t>
        </is>
      </c>
      <c r="B531" s="6" t="n">
        <v>4</v>
      </c>
      <c r="C531" s="7" t="inlineStr">
        <is>
          <t>VC</t>
        </is>
      </c>
      <c r="D531" s="8">
        <f>IF(C531="VR",0.35,0.30)</f>
        <v>0.3</v>
      </c>
      <c r="E531" s="6" t="n">
        <v>0.4</v>
      </c>
      <c r="F531" s="9" t="n">
        <v>29</v>
      </c>
      <c r="G531" s="9" t="n">
        <v>12.2</v>
      </c>
      <c r="H531" s="9" t="n">
        <v>23.5</v>
      </c>
      <c r="I531" s="6" t="n">
        <v>0</v>
      </c>
      <c r="J531" s="10">
        <f>E531*1000-$F$2-$L$2-$H$2/2</f>
        <v>342.55</v>
      </c>
      <c r="K531" s="11">
        <f>F531*1000000/(0.9*(D531*1000)*J531^2)</f>
        <v>0.9144012</v>
      </c>
      <c r="L531" s="12">
        <f>(0.85*$B$2/$D$2)*(1-SQRT(1-2*K531/(0.85*$B$2)))</f>
        <v>0.002220657353</v>
      </c>
      <c r="M531" s="13">
        <f>L531*(D531*1000)*J531</f>
        <v>228.2058529</v>
      </c>
      <c r="N531" s="13">
        <f>MAX(0.25*SQRT($B$2)/$D$2,1.4/$D$2)*(D531*1000)*J531</f>
        <v>342.55</v>
      </c>
      <c r="O531" s="13">
        <f>MAX(M531,N531)</f>
        <v>342.55</v>
      </c>
      <c r="P531" s="14">
        <f>ROUNDUP(O531/$J$2,0)</f>
        <v>2</v>
      </c>
      <c r="Q531" s="13">
        <f>P531*$J$2</f>
        <v>398</v>
      </c>
      <c r="R531" s="10">
        <f>Q531*$D$2/(0.85*$B$2*(D531*1000))</f>
        <v>23.41176471</v>
      </c>
      <c r="S531" s="10">
        <f>0.9*Q531*$D$2*(J531-R531/2)/1000000</f>
        <v>49.77351244</v>
      </c>
      <c r="T531" s="15" t="str">
        <f>IF(AND(S531&gt;=F531,O531&lt;=0.025*(D531*1000)*J531,O531&gt;=N531),"CUMPLE","REVISAR")</f>
        <v>CUMPLE</v>
      </c>
      <c r="U531" s="11">
        <f>G531*1000000/(0.9*(D531*1000)*J531^2)</f>
        <v>0.3850774815</v>
      </c>
      <c r="V531" s="12">
        <f>(0.85*$B$2/$D$2)*(1-SQRT(1-2*U531/(0.85*$B$2)))</f>
        <v>0.0009243908385</v>
      </c>
      <c r="W531" s="13">
        <f>V531*(D531*1000)*J531</f>
        <v>94.99502452</v>
      </c>
      <c r="X531" s="13">
        <f>MAX(W531,N531)</f>
        <v>342.55</v>
      </c>
      <c r="Y531" s="14">
        <f>ROUNDUP(X531/$J$2,0)</f>
        <v>2</v>
      </c>
      <c r="Z531" s="13">
        <f>Y531*$J$2</f>
        <v>398</v>
      </c>
      <c r="AA531" s="10">
        <f>0.9*Z531*$D$2*(J531-(Z531*$D$2/(0.85*$B$2*(D531*1000)))/2)/1000000</f>
        <v>49.77351244</v>
      </c>
      <c r="AB531" s="15" t="str">
        <f>IF(AA531&gt;=G531,"CUMPLE","REVISAR")</f>
        <v>CUMPLE</v>
      </c>
      <c r="AC531" s="10">
        <f>0.17*SQRT($B$2)*(D531*1000)*J531/1000</f>
        <v>92.44281538</v>
      </c>
      <c r="AD531" s="10">
        <f>MAX(H531/0.75-AC531,0)</f>
        <v>0</v>
      </c>
      <c r="AE531" s="14">
        <f>IF(AD531&gt;0,MIN($N$2*$D$2*J531/(AD531*1000),MIN(J531/4,6*$H$2,150)),MIN(J531/4,6*$H$2,150))</f>
        <v>85.6375</v>
      </c>
      <c r="AF531" s="10">
        <f>0.66*SQRT($B$2)*(D531*1000)*J531/1000</f>
        <v>358.8956362</v>
      </c>
      <c r="AG531" s="15" t="str">
        <f>IF(AD531&lt;=AF531,"CUMPLE","AUMENTAR SECCION")</f>
        <v>CUMPLE</v>
      </c>
      <c r="AH531" s="10">
        <f>0.75*0.083*SQRT($B$2)*(((D531*1000)*(E531*1000))^2/(2*((D531*1000)+(E531*1000))))/1000000</f>
        <v>3.388073536</v>
      </c>
      <c r="AI531" s="15" t="str">
        <f>IF(I531&gt;AH531,"SI","No")</f>
        <v>No</v>
      </c>
      <c r="AJ531" s="11">
        <f>IF(I531&gt;AH531,I531*1000000/(0.75*2*0.85*((D531*1000-2*$F$2)*(E531*1000-2*$F$2))*$D$2),0)</f>
        <v>0</v>
      </c>
      <c r="AK531" s="10">
        <f>1.25*Q531*$D$2*(J531-(1.25*Q531*$D$2/(0.85*$B$2*(D531*1000)))/2)/1000000</f>
        <v>68.51839235</v>
      </c>
      <c r="AL531" s="10">
        <f>1.25*Z531*$D$2*(J531-(1.25*Z531*$D$2/(0.85*$B$2*(D531*1000)))/2)/1000000</f>
        <v>68.51839235</v>
      </c>
      <c r="AM531" s="10">
        <f>(AK531+AL531)/B531</f>
        <v>34.25919618</v>
      </c>
      <c r="AN531" s="10">
        <f>MAX(H531,AM531)</f>
        <v>34.25919618</v>
      </c>
    </row>
    <row r="532">
      <c r="A532" s="5" t="inlineStr">
        <is>
          <t>F1003</t>
        </is>
      </c>
      <c r="B532" s="6" t="n">
        <v>4</v>
      </c>
      <c r="C532" s="7" t="inlineStr">
        <is>
          <t>VC</t>
        </is>
      </c>
      <c r="D532" s="8">
        <f>IF(C532="VR",0.35,0.30)</f>
        <v>0.3</v>
      </c>
      <c r="E532" s="6" t="n">
        <v>0.4</v>
      </c>
      <c r="F532" s="9" t="n">
        <v>31.4</v>
      </c>
      <c r="G532" s="9" t="n">
        <v>16.1</v>
      </c>
      <c r="H532" s="9" t="n">
        <v>24.9</v>
      </c>
      <c r="I532" s="6" t="n">
        <v>0</v>
      </c>
      <c r="J532" s="10">
        <f>E532*1000-$F$2-$L$2-$H$2/2</f>
        <v>342.55</v>
      </c>
      <c r="K532" s="11">
        <f>F532*1000000/(0.9*(D532*1000)*J532^2)</f>
        <v>0.9895228726</v>
      </c>
      <c r="L532" s="12">
        <f>(0.85*$B$2/$D$2)*(1-SQRT(1-2*K532/(0.85*$B$2)))</f>
        <v>0.002407132918</v>
      </c>
      <c r="M532" s="13">
        <f>L532*(D532*1000)*J532</f>
        <v>247.3690143</v>
      </c>
      <c r="N532" s="13">
        <f>MAX(0.25*SQRT($B$2)/$D$2,1.4/$D$2)*(D532*1000)*J532</f>
        <v>342.55</v>
      </c>
      <c r="O532" s="13">
        <f>MAX(M532,N532)</f>
        <v>342.55</v>
      </c>
      <c r="P532" s="14">
        <f>ROUNDUP(O532/$J$2,0)</f>
        <v>2</v>
      </c>
      <c r="Q532" s="13">
        <f>P532*$J$2</f>
        <v>398</v>
      </c>
      <c r="R532" s="10">
        <f>Q532*$D$2/(0.85*$B$2*(D532*1000))</f>
        <v>23.41176471</v>
      </c>
      <c r="S532" s="10">
        <f>0.9*Q532*$D$2*(J532-R532/2)/1000000</f>
        <v>49.77351244</v>
      </c>
      <c r="T532" s="15" t="str">
        <f>IF(AND(S532&gt;=F532,O532&lt;=0.025*(D532*1000)*J532,O532&gt;=N532),"CUMPLE","REVISAR")</f>
        <v>CUMPLE</v>
      </c>
      <c r="U532" s="11">
        <f>G532*1000000/(0.9*(D532*1000)*J532^2)</f>
        <v>0.5097542071</v>
      </c>
      <c r="V532" s="12">
        <f>(0.85*$B$2/$D$2)*(1-SQRT(1-2*U532/(0.85*$B$2)))</f>
        <v>0.001226984231</v>
      </c>
      <c r="W532" s="13">
        <f>V532*(D532*1000)*J532</f>
        <v>126.0910345</v>
      </c>
      <c r="X532" s="13">
        <f>MAX(W532,N532)</f>
        <v>342.55</v>
      </c>
      <c r="Y532" s="14">
        <f>ROUNDUP(X532/$J$2,0)</f>
        <v>2</v>
      </c>
      <c r="Z532" s="13">
        <f>Y532*$J$2</f>
        <v>398</v>
      </c>
      <c r="AA532" s="10">
        <f>0.9*Z532*$D$2*(J532-(Z532*$D$2/(0.85*$B$2*(D532*1000)))/2)/1000000</f>
        <v>49.77351244</v>
      </c>
      <c r="AB532" s="15" t="str">
        <f>IF(AA532&gt;=G532,"CUMPLE","REVISAR")</f>
        <v>CUMPLE</v>
      </c>
      <c r="AC532" s="10">
        <f>0.17*SQRT($B$2)*(D532*1000)*J532/1000</f>
        <v>92.44281538</v>
      </c>
      <c r="AD532" s="10">
        <f>MAX(H532/0.75-AC532,0)</f>
        <v>0</v>
      </c>
      <c r="AE532" s="14">
        <f>IF(AD532&gt;0,MIN($N$2*$D$2*J532/(AD532*1000),MIN(J532/4,6*$H$2,150)),MIN(J532/4,6*$H$2,150))</f>
        <v>85.6375</v>
      </c>
      <c r="AF532" s="10">
        <f>0.66*SQRT($B$2)*(D532*1000)*J532/1000</f>
        <v>358.8956362</v>
      </c>
      <c r="AG532" s="15" t="str">
        <f>IF(AD532&lt;=AF532,"CUMPLE","AUMENTAR SECCION")</f>
        <v>CUMPLE</v>
      </c>
      <c r="AH532" s="10">
        <f>0.75*0.083*SQRT($B$2)*(((D532*1000)*(E532*1000))^2/(2*((D532*1000)+(E532*1000))))/1000000</f>
        <v>3.388073536</v>
      </c>
      <c r="AI532" s="15" t="str">
        <f>IF(I532&gt;AH532,"SI","No")</f>
        <v>No</v>
      </c>
      <c r="AJ532" s="11">
        <f>IF(I532&gt;AH532,I532*1000000/(0.75*2*0.85*((D532*1000-2*$F$2)*(E532*1000-2*$F$2))*$D$2),0)</f>
        <v>0</v>
      </c>
      <c r="AK532" s="10">
        <f>1.25*Q532*$D$2*(J532-(1.25*Q532*$D$2/(0.85*$B$2*(D532*1000)))/2)/1000000</f>
        <v>68.51839235</v>
      </c>
      <c r="AL532" s="10">
        <f>1.25*Z532*$D$2*(J532-(1.25*Z532*$D$2/(0.85*$B$2*(D532*1000)))/2)/1000000</f>
        <v>68.51839235</v>
      </c>
      <c r="AM532" s="10">
        <f>(AK532+AL532)/B532</f>
        <v>34.25919618</v>
      </c>
      <c r="AN532" s="10">
        <f>MAX(H532,AM532)</f>
        <v>34.25919618</v>
      </c>
    </row>
    <row r="533">
      <c r="A533" s="5" t="inlineStr">
        <is>
          <t>F1004</t>
        </is>
      </c>
      <c r="B533" s="6" t="n">
        <v>3.81</v>
      </c>
      <c r="C533" s="7" t="inlineStr">
        <is>
          <t>VC</t>
        </is>
      </c>
      <c r="D533" s="8">
        <f>IF(C533="VR",0.35,0.30)</f>
        <v>0.3</v>
      </c>
      <c r="E533" s="6" t="n">
        <v>0.4</v>
      </c>
      <c r="F533" s="9" t="n">
        <v>48.5</v>
      </c>
      <c r="G533" s="9" t="n">
        <v>19.7</v>
      </c>
      <c r="H533" s="9" t="n">
        <v>38.9</v>
      </c>
      <c r="I533" s="6" t="n">
        <v>2.62</v>
      </c>
      <c r="J533" s="10">
        <f>E533*1000-$F$2-$L$2-$H$2/2</f>
        <v>342.55</v>
      </c>
      <c r="K533" s="11">
        <f>F533*1000000/(0.9*(D533*1000)*J533^2)</f>
        <v>1.53052517</v>
      </c>
      <c r="L533" s="12">
        <f>(0.85*$B$2/$D$2)*(1-SQRT(1-2*K533/(0.85*$B$2)))</f>
        <v>0.003769480961</v>
      </c>
      <c r="M533" s="13">
        <f>L533*(D533*1000)*J533</f>
        <v>387.370711</v>
      </c>
      <c r="N533" s="13">
        <f>MAX(0.25*SQRT($B$2)/$D$2,1.4/$D$2)*(D533*1000)*J533</f>
        <v>342.55</v>
      </c>
      <c r="O533" s="13">
        <f>MAX(M533,N533)</f>
        <v>387.370711</v>
      </c>
      <c r="P533" s="14">
        <f>ROUNDUP(O533/$J$2,0)</f>
        <v>2</v>
      </c>
      <c r="Q533" s="13">
        <f>P533*$J$2</f>
        <v>398</v>
      </c>
      <c r="R533" s="10">
        <f>Q533*$D$2/(0.85*$B$2*(D533*1000))</f>
        <v>23.41176471</v>
      </c>
      <c r="S533" s="10">
        <f>0.9*Q533*$D$2*(J533-R533/2)/1000000</f>
        <v>49.77351244</v>
      </c>
      <c r="T533" s="15" t="str">
        <f>IF(AND(S533&gt;=F533,O533&lt;=0.025*(D533*1000)*J533,O533&gt;=N533),"CUMPLE","REVISAR")</f>
        <v>CUMPLE</v>
      </c>
      <c r="U533" s="11">
        <f>G533*1000000/(0.9*(D533*1000)*J533^2)</f>
        <v>0.6218054415</v>
      </c>
      <c r="V533" s="12">
        <f>(0.85*$B$2/$D$2)*(1-SQRT(1-2*U533/(0.85*$B$2)))</f>
        <v>0.00150035139</v>
      </c>
      <c r="W533" s="13">
        <f>V533*(D533*1000)*J533</f>
        <v>154.1836106</v>
      </c>
      <c r="X533" s="13">
        <f>MAX(W533,N533)</f>
        <v>342.55</v>
      </c>
      <c r="Y533" s="14">
        <f>ROUNDUP(X533/$J$2,0)</f>
        <v>2</v>
      </c>
      <c r="Z533" s="13">
        <f>Y533*$J$2</f>
        <v>398</v>
      </c>
      <c r="AA533" s="10">
        <f>0.9*Z533*$D$2*(J533-(Z533*$D$2/(0.85*$B$2*(D533*1000)))/2)/1000000</f>
        <v>49.77351244</v>
      </c>
      <c r="AB533" s="15" t="str">
        <f>IF(AA533&gt;=G533,"CUMPLE","REVISAR")</f>
        <v>CUMPLE</v>
      </c>
      <c r="AC533" s="10">
        <f>0.17*SQRT($B$2)*(D533*1000)*J533/1000</f>
        <v>92.44281538</v>
      </c>
      <c r="AD533" s="10">
        <f>MAX(H533/0.75-AC533,0)</f>
        <v>0</v>
      </c>
      <c r="AE533" s="14">
        <f>IF(AD533&gt;0,MIN($N$2*$D$2*J533/(AD533*1000),MIN(J533/4,6*$H$2,150)),MIN(J533/4,6*$H$2,150))</f>
        <v>85.6375</v>
      </c>
      <c r="AF533" s="10">
        <f>0.66*SQRT($B$2)*(D533*1000)*J533/1000</f>
        <v>358.8956362</v>
      </c>
      <c r="AG533" s="15" t="str">
        <f>IF(AD533&lt;=AF533,"CUMPLE","AUMENTAR SECCION")</f>
        <v>CUMPLE</v>
      </c>
      <c r="AH533" s="10">
        <f>0.75*0.083*SQRT($B$2)*(((D533*1000)*(E533*1000))^2/(2*((D533*1000)+(E533*1000))))/1000000</f>
        <v>3.388073536</v>
      </c>
      <c r="AI533" s="15" t="str">
        <f>IF(I533&gt;AH533,"SI","No")</f>
        <v>No</v>
      </c>
      <c r="AJ533" s="11">
        <f>IF(I533&gt;AH533,I533*1000000/(0.75*2*0.85*((D533*1000-2*$F$2)*(E533*1000-2*$F$2))*$D$2),0)</f>
        <v>0</v>
      </c>
      <c r="AK533" s="10">
        <f>1.25*Q533*$D$2*(J533-(1.25*Q533*$D$2/(0.85*$B$2*(D533*1000)))/2)/1000000</f>
        <v>68.51839235</v>
      </c>
      <c r="AL533" s="10">
        <f>1.25*Z533*$D$2*(J533-(1.25*Z533*$D$2/(0.85*$B$2*(D533*1000)))/2)/1000000</f>
        <v>68.51839235</v>
      </c>
      <c r="AM533" s="10">
        <f>(AK533+AL533)/B533</f>
        <v>35.92052024</v>
      </c>
      <c r="AN533" s="10">
        <f>MAX(H533,AM533)</f>
        <v>38.88</v>
      </c>
    </row>
    <row r="534">
      <c r="A534" s="5" t="inlineStr">
        <is>
          <t>F1005</t>
        </is>
      </c>
      <c r="B534" s="6" t="n">
        <v>3.81</v>
      </c>
      <c r="C534" s="7" t="inlineStr">
        <is>
          <t>VC</t>
        </is>
      </c>
      <c r="D534" s="8">
        <f>IF(C534="VR",0.35,0.30)</f>
        <v>0.3</v>
      </c>
      <c r="E534" s="6" t="n">
        <v>0.4</v>
      </c>
      <c r="F534" s="9" t="n">
        <v>48.5</v>
      </c>
      <c r="G534" s="9" t="n">
        <v>19.7</v>
      </c>
      <c r="H534" s="9" t="n">
        <v>38.9</v>
      </c>
      <c r="I534" s="6" t="n">
        <v>2.62</v>
      </c>
      <c r="J534" s="10">
        <f>E534*1000-$F$2-$L$2-$H$2/2</f>
        <v>342.55</v>
      </c>
      <c r="K534" s="11">
        <f>F534*1000000/(0.9*(D534*1000)*J534^2)</f>
        <v>1.53052517</v>
      </c>
      <c r="L534" s="12">
        <f>(0.85*$B$2/$D$2)*(1-SQRT(1-2*K534/(0.85*$B$2)))</f>
        <v>0.003769480961</v>
      </c>
      <c r="M534" s="13">
        <f>L534*(D534*1000)*J534</f>
        <v>387.370711</v>
      </c>
      <c r="N534" s="13">
        <f>MAX(0.25*SQRT($B$2)/$D$2,1.4/$D$2)*(D534*1000)*J534</f>
        <v>342.55</v>
      </c>
      <c r="O534" s="13">
        <f>MAX(M534,N534)</f>
        <v>387.370711</v>
      </c>
      <c r="P534" s="14">
        <f>ROUNDUP(O534/$J$2,0)</f>
        <v>2</v>
      </c>
      <c r="Q534" s="13">
        <f>P534*$J$2</f>
        <v>398</v>
      </c>
      <c r="R534" s="10">
        <f>Q534*$D$2/(0.85*$B$2*(D534*1000))</f>
        <v>23.41176471</v>
      </c>
      <c r="S534" s="10">
        <f>0.9*Q534*$D$2*(J534-R534/2)/1000000</f>
        <v>49.77351244</v>
      </c>
      <c r="T534" s="15" t="str">
        <f>IF(AND(S534&gt;=F534,O534&lt;=0.025*(D534*1000)*J534,O534&gt;=N534),"CUMPLE","REVISAR")</f>
        <v>CUMPLE</v>
      </c>
      <c r="U534" s="11">
        <f>G534*1000000/(0.9*(D534*1000)*J534^2)</f>
        <v>0.6218054415</v>
      </c>
      <c r="V534" s="12">
        <f>(0.85*$B$2/$D$2)*(1-SQRT(1-2*U534/(0.85*$B$2)))</f>
        <v>0.00150035139</v>
      </c>
      <c r="W534" s="13">
        <f>V534*(D534*1000)*J534</f>
        <v>154.1836106</v>
      </c>
      <c r="X534" s="13">
        <f>MAX(W534,N534)</f>
        <v>342.55</v>
      </c>
      <c r="Y534" s="14">
        <f>ROUNDUP(X534/$J$2,0)</f>
        <v>2</v>
      </c>
      <c r="Z534" s="13">
        <f>Y534*$J$2</f>
        <v>398</v>
      </c>
      <c r="AA534" s="10">
        <f>0.9*Z534*$D$2*(J534-(Z534*$D$2/(0.85*$B$2*(D534*1000)))/2)/1000000</f>
        <v>49.77351244</v>
      </c>
      <c r="AB534" s="15" t="str">
        <f>IF(AA534&gt;=G534,"CUMPLE","REVISAR")</f>
        <v>CUMPLE</v>
      </c>
      <c r="AC534" s="10">
        <f>0.17*SQRT($B$2)*(D534*1000)*J534/1000</f>
        <v>92.44281538</v>
      </c>
      <c r="AD534" s="10">
        <f>MAX(H534/0.75-AC534,0)</f>
        <v>0</v>
      </c>
      <c r="AE534" s="14">
        <f>IF(AD534&gt;0,MIN($N$2*$D$2*J534/(AD534*1000),MIN(J534/4,6*$H$2,150)),MIN(J534/4,6*$H$2,150))</f>
        <v>85.6375</v>
      </c>
      <c r="AF534" s="10">
        <f>0.66*SQRT($B$2)*(D534*1000)*J534/1000</f>
        <v>358.8956362</v>
      </c>
      <c r="AG534" s="15" t="str">
        <f>IF(AD534&lt;=AF534,"CUMPLE","AUMENTAR SECCION")</f>
        <v>CUMPLE</v>
      </c>
      <c r="AH534" s="10">
        <f>0.75*0.083*SQRT($B$2)*(((D534*1000)*(E534*1000))^2/(2*((D534*1000)+(E534*1000))))/1000000</f>
        <v>3.388073536</v>
      </c>
      <c r="AI534" s="15" t="str">
        <f>IF(I534&gt;AH534,"SI","No")</f>
        <v>No</v>
      </c>
      <c r="AJ534" s="11">
        <f>IF(I534&gt;AH534,I534*1000000/(0.75*2*0.85*((D534*1000-2*$F$2)*(E534*1000-2*$F$2))*$D$2),0)</f>
        <v>0</v>
      </c>
      <c r="AK534" s="10">
        <f>1.25*Q534*$D$2*(J534-(1.25*Q534*$D$2/(0.85*$B$2*(D534*1000)))/2)/1000000</f>
        <v>68.51839235</v>
      </c>
      <c r="AL534" s="10">
        <f>1.25*Z534*$D$2*(J534-(1.25*Z534*$D$2/(0.85*$B$2*(D534*1000)))/2)/1000000</f>
        <v>68.51839235</v>
      </c>
      <c r="AM534" s="10">
        <f>(AK534+AL534)/B534</f>
        <v>35.92052024</v>
      </c>
      <c r="AN534" s="10">
        <f>MAX(H534,AM534)</f>
        <v>38.91</v>
      </c>
    </row>
    <row r="535">
      <c r="A535" s="5" t="inlineStr">
        <is>
          <t>F1006</t>
        </is>
      </c>
      <c r="B535" s="6" t="n">
        <v>4</v>
      </c>
      <c r="C535" s="7" t="inlineStr">
        <is>
          <t>VC</t>
        </is>
      </c>
      <c r="D535" s="8">
        <f>IF(C535="VR",0.35,0.30)</f>
        <v>0.3</v>
      </c>
      <c r="E535" s="6" t="n">
        <v>0.4</v>
      </c>
      <c r="F535" s="9" t="n">
        <v>31.4</v>
      </c>
      <c r="G535" s="9" t="n">
        <v>16.1</v>
      </c>
      <c r="H535" s="9" t="n">
        <v>24.9</v>
      </c>
      <c r="I535" s="6" t="n">
        <v>0</v>
      </c>
      <c r="J535" s="10">
        <f>E535*1000-$F$2-$L$2-$H$2/2</f>
        <v>342.55</v>
      </c>
      <c r="K535" s="11">
        <f>F535*1000000/(0.9*(D535*1000)*J535^2)</f>
        <v>0.9904697845</v>
      </c>
      <c r="L535" s="12">
        <f>(0.85*$B$2/$D$2)*(1-SQRT(1-2*K535/(0.85*$B$2)))</f>
        <v>0.002409487541</v>
      </c>
      <c r="M535" s="13">
        <f>L535*(D535*1000)*J535</f>
        <v>247.6109871</v>
      </c>
      <c r="N535" s="13">
        <f>MAX(0.25*SQRT($B$2)/$D$2,1.4/$D$2)*(D535*1000)*J535</f>
        <v>342.55</v>
      </c>
      <c r="O535" s="13">
        <f>MAX(M535,N535)</f>
        <v>342.55</v>
      </c>
      <c r="P535" s="14">
        <f>ROUNDUP(O535/$J$2,0)</f>
        <v>2</v>
      </c>
      <c r="Q535" s="13">
        <f>P535*$J$2</f>
        <v>398</v>
      </c>
      <c r="R535" s="10">
        <f>Q535*$D$2/(0.85*$B$2*(D535*1000))</f>
        <v>23.41176471</v>
      </c>
      <c r="S535" s="10">
        <f>0.9*Q535*$D$2*(J535-R535/2)/1000000</f>
        <v>49.77351244</v>
      </c>
      <c r="T535" s="15" t="str">
        <f>IF(AND(S535&gt;=F535,O535&lt;=0.025*(D535*1000)*J535,O535&gt;=N535),"CUMPLE","REVISAR")</f>
        <v>CUMPLE</v>
      </c>
      <c r="U535" s="11">
        <f>G535*1000000/(0.9*(D535*1000)*J535^2)</f>
        <v>0.5094385698</v>
      </c>
      <c r="V535" s="12">
        <f>(0.85*$B$2/$D$2)*(1-SQRT(1-2*U535/(0.85*$B$2)))</f>
        <v>0.001226216087</v>
      </c>
      <c r="W535" s="13">
        <f>V535*(D535*1000)*J535</f>
        <v>126.0120961</v>
      </c>
      <c r="X535" s="13">
        <f>MAX(W535,N535)</f>
        <v>342.55</v>
      </c>
      <c r="Y535" s="14">
        <f>ROUNDUP(X535/$J$2,0)</f>
        <v>2</v>
      </c>
      <c r="Z535" s="13">
        <f>Y535*$J$2</f>
        <v>398</v>
      </c>
      <c r="AA535" s="10">
        <f>0.9*Z535*$D$2*(J535-(Z535*$D$2/(0.85*$B$2*(D535*1000)))/2)/1000000</f>
        <v>49.77351244</v>
      </c>
      <c r="AB535" s="15" t="str">
        <f>IF(AA535&gt;=G535,"CUMPLE","REVISAR")</f>
        <v>CUMPLE</v>
      </c>
      <c r="AC535" s="10">
        <f>0.17*SQRT($B$2)*(D535*1000)*J535/1000</f>
        <v>92.44281538</v>
      </c>
      <c r="AD535" s="10">
        <f>MAX(H535/0.75-AC535,0)</f>
        <v>0</v>
      </c>
      <c r="AE535" s="14">
        <f>IF(AD535&gt;0,MIN($N$2*$D$2*J535/(AD535*1000),MIN(J535/4,6*$H$2,150)),MIN(J535/4,6*$H$2,150))</f>
        <v>85.6375</v>
      </c>
      <c r="AF535" s="10">
        <f>0.66*SQRT($B$2)*(D535*1000)*J535/1000</f>
        <v>358.8956362</v>
      </c>
      <c r="AG535" s="15" t="str">
        <f>IF(AD535&lt;=AF535,"CUMPLE","AUMENTAR SECCION")</f>
        <v>CUMPLE</v>
      </c>
      <c r="AH535" s="10">
        <f>0.75*0.083*SQRT($B$2)*(((D535*1000)*(E535*1000))^2/(2*((D535*1000)+(E535*1000))))/1000000</f>
        <v>3.388073536</v>
      </c>
      <c r="AI535" s="15" t="str">
        <f>IF(I535&gt;AH535,"SI","No")</f>
        <v>No</v>
      </c>
      <c r="AJ535" s="11">
        <f>IF(I535&gt;AH535,I535*1000000/(0.75*2*0.85*((D535*1000-2*$F$2)*(E535*1000-2*$F$2))*$D$2),0)</f>
        <v>0</v>
      </c>
      <c r="AK535" s="10">
        <f>1.25*Q535*$D$2*(J535-(1.25*Q535*$D$2/(0.85*$B$2*(D535*1000)))/2)/1000000</f>
        <v>68.51839235</v>
      </c>
      <c r="AL535" s="10">
        <f>1.25*Z535*$D$2*(J535-(1.25*Z535*$D$2/(0.85*$B$2*(D535*1000)))/2)/1000000</f>
        <v>68.51839235</v>
      </c>
      <c r="AM535" s="10">
        <f>(AK535+AL535)/B535</f>
        <v>34.25919618</v>
      </c>
      <c r="AN535" s="10">
        <f>MAX(H535,AM535)</f>
        <v>34.25919618</v>
      </c>
    </row>
    <row r="536">
      <c r="A536" s="5" t="inlineStr">
        <is>
          <t>F1007</t>
        </is>
      </c>
      <c r="B536" s="6" t="n">
        <v>3.85</v>
      </c>
      <c r="C536" s="7" t="inlineStr">
        <is>
          <t>VC</t>
        </is>
      </c>
      <c r="D536" s="8">
        <f>IF(C536="VR",0.35,0.30)</f>
        <v>0.3</v>
      </c>
      <c r="E536" s="6" t="n">
        <v>0.4</v>
      </c>
      <c r="F536" s="9" t="n">
        <v>43.3</v>
      </c>
      <c r="G536" s="9" t="n">
        <v>17.7</v>
      </c>
      <c r="H536" s="9" t="n">
        <v>35.7</v>
      </c>
      <c r="I536" s="6" t="n">
        <v>0</v>
      </c>
      <c r="J536" s="10">
        <f>E536*1000-$F$2-$L$2-$H$2/2</f>
        <v>342.55</v>
      </c>
      <c r="K536" s="11">
        <f>F536*1000000/(0.9*(D536*1000)*J536^2)</f>
        <v>1.367656334</v>
      </c>
      <c r="L536" s="12">
        <f>(0.85*$B$2/$D$2)*(1-SQRT(1-2*K536/(0.85*$B$2)))</f>
        <v>0.003355682909</v>
      </c>
      <c r="M536" s="13">
        <f>L536*(D536*1000)*J536</f>
        <v>344.8467541</v>
      </c>
      <c r="N536" s="13">
        <f>MAX(0.25*SQRT($B$2)/$D$2,1.4/$D$2)*(D536*1000)*J536</f>
        <v>342.55</v>
      </c>
      <c r="O536" s="13">
        <f>MAX(M536,N536)</f>
        <v>344.8467541</v>
      </c>
      <c r="P536" s="14">
        <f>ROUNDUP(O536/$J$2,0)</f>
        <v>2</v>
      </c>
      <c r="Q536" s="13">
        <f>P536*$J$2</f>
        <v>398</v>
      </c>
      <c r="R536" s="10">
        <f>Q536*$D$2/(0.85*$B$2*(D536*1000))</f>
        <v>23.41176471</v>
      </c>
      <c r="S536" s="10">
        <f>0.9*Q536*$D$2*(J536-R536/2)/1000000</f>
        <v>49.77351244</v>
      </c>
      <c r="T536" s="15" t="str">
        <f>IF(AND(S536&gt;=F536,O536&lt;=0.025*(D536*1000)*J536,O536&gt;=N536),"CUMPLE","REVISAR")</f>
        <v>CUMPLE</v>
      </c>
      <c r="U536" s="11">
        <f>G536*1000000/(0.9*(D536*1000)*J536^2)</f>
        <v>0.5593092601</v>
      </c>
      <c r="V536" s="12">
        <f>(0.85*$B$2/$D$2)*(1-SQRT(1-2*U536/(0.85*$B$2)))</f>
        <v>0.001347715211</v>
      </c>
      <c r="W536" s="13">
        <f>V536*(D536*1000)*J536</f>
        <v>138.4979537</v>
      </c>
      <c r="X536" s="13">
        <f>MAX(W536,N536)</f>
        <v>342.55</v>
      </c>
      <c r="Y536" s="14">
        <f>ROUNDUP(X536/$J$2,0)</f>
        <v>2</v>
      </c>
      <c r="Z536" s="13">
        <f>Y536*$J$2</f>
        <v>398</v>
      </c>
      <c r="AA536" s="10">
        <f>0.9*Z536*$D$2*(J536-(Z536*$D$2/(0.85*$B$2*(D536*1000)))/2)/1000000</f>
        <v>49.77351244</v>
      </c>
      <c r="AB536" s="15" t="str">
        <f>IF(AA536&gt;=G536,"CUMPLE","REVISAR")</f>
        <v>CUMPLE</v>
      </c>
      <c r="AC536" s="10">
        <f>0.17*SQRT($B$2)*(D536*1000)*J536/1000</f>
        <v>92.44281538</v>
      </c>
      <c r="AD536" s="10">
        <f>MAX(H536/0.75-AC536,0)</f>
        <v>0</v>
      </c>
      <c r="AE536" s="14">
        <f>IF(AD536&gt;0,MIN($N$2*$D$2*J536/(AD536*1000),MIN(J536/4,6*$H$2,150)),MIN(J536/4,6*$H$2,150))</f>
        <v>85.6375</v>
      </c>
      <c r="AF536" s="10">
        <f>0.66*SQRT($B$2)*(D536*1000)*J536/1000</f>
        <v>358.8956362</v>
      </c>
      <c r="AG536" s="15" t="str">
        <f>IF(AD536&lt;=AF536,"CUMPLE","AUMENTAR SECCION")</f>
        <v>CUMPLE</v>
      </c>
      <c r="AH536" s="10">
        <f>0.75*0.083*SQRT($B$2)*(((D536*1000)*(E536*1000))^2/(2*((D536*1000)+(E536*1000))))/1000000</f>
        <v>3.388073536</v>
      </c>
      <c r="AI536" s="15" t="str">
        <f>IF(I536&gt;AH536,"SI","No")</f>
        <v>No</v>
      </c>
      <c r="AJ536" s="11">
        <f>IF(I536&gt;AH536,I536*1000000/(0.75*2*0.85*((D536*1000-2*$F$2)*(E536*1000-2*$F$2))*$D$2),0)</f>
        <v>0</v>
      </c>
      <c r="AK536" s="10">
        <f>1.25*Q536*$D$2*(J536-(1.25*Q536*$D$2/(0.85*$B$2*(D536*1000)))/2)/1000000</f>
        <v>68.51839235</v>
      </c>
      <c r="AL536" s="10">
        <f>1.25*Z536*$D$2*(J536-(1.25*Z536*$D$2/(0.85*$B$2*(D536*1000)))/2)/1000000</f>
        <v>68.51839235</v>
      </c>
      <c r="AM536" s="10">
        <f>(AK536+AL536)/B536</f>
        <v>35.59397005</v>
      </c>
      <c r="AN536" s="10">
        <f>MAX(H536,AM536)</f>
        <v>35.73</v>
      </c>
    </row>
    <row r="537">
      <c r="A537" s="5" t="inlineStr">
        <is>
          <t>F1008</t>
        </is>
      </c>
      <c r="B537" s="6" t="n">
        <v>3.85</v>
      </c>
      <c r="C537" s="7" t="inlineStr">
        <is>
          <t>VC</t>
        </is>
      </c>
      <c r="D537" s="8">
        <f>IF(C537="VR",0.35,0.30)</f>
        <v>0.3</v>
      </c>
      <c r="E537" s="6" t="n">
        <v>0.4</v>
      </c>
      <c r="F537" s="9" t="n">
        <v>43.3</v>
      </c>
      <c r="G537" s="9" t="n">
        <v>17.7</v>
      </c>
      <c r="H537" s="9" t="n">
        <v>35.7</v>
      </c>
      <c r="I537" s="6" t="n">
        <v>0</v>
      </c>
      <c r="J537" s="10">
        <f>E537*1000-$F$2-$L$2-$H$2/2</f>
        <v>342.55</v>
      </c>
      <c r="K537" s="11">
        <f>F537*1000000/(0.9*(D537*1000)*J537^2)</f>
        <v>1.366709422</v>
      </c>
      <c r="L537" s="12">
        <f>(0.85*$B$2/$D$2)*(1-SQRT(1-2*K537/(0.85*$B$2)))</f>
        <v>0.003353286497</v>
      </c>
      <c r="M537" s="13">
        <f>L537*(D537*1000)*J537</f>
        <v>344.6004869</v>
      </c>
      <c r="N537" s="13">
        <f>MAX(0.25*SQRT($B$2)/$D$2,1.4/$D$2)*(D537*1000)*J537</f>
        <v>342.55</v>
      </c>
      <c r="O537" s="13">
        <f>MAX(M537,N537)</f>
        <v>344.6004869</v>
      </c>
      <c r="P537" s="14">
        <f>ROUNDUP(O537/$J$2,0)</f>
        <v>2</v>
      </c>
      <c r="Q537" s="13">
        <f>P537*$J$2</f>
        <v>398</v>
      </c>
      <c r="R537" s="10">
        <f>Q537*$D$2/(0.85*$B$2*(D537*1000))</f>
        <v>23.41176471</v>
      </c>
      <c r="S537" s="10">
        <f>0.9*Q537*$D$2*(J537-R537/2)/1000000</f>
        <v>49.77351244</v>
      </c>
      <c r="T537" s="15" t="str">
        <f>IF(AND(S537&gt;=F537,O537&lt;=0.025*(D537*1000)*J537,O537&gt;=N537),"CUMPLE","REVISAR")</f>
        <v>CUMPLE</v>
      </c>
      <c r="U537" s="11">
        <f>G537*1000000/(0.9*(D537*1000)*J537^2)</f>
        <v>0.5589936228</v>
      </c>
      <c r="V537" s="12">
        <f>(0.85*$B$2/$D$2)*(1-SQRT(1-2*U537/(0.85*$B$2)))</f>
        <v>0.00134694539</v>
      </c>
      <c r="W537" s="13">
        <f>V537*(D537*1000)*J537</f>
        <v>138.418843</v>
      </c>
      <c r="X537" s="13">
        <f>MAX(W537,N537)</f>
        <v>342.55</v>
      </c>
      <c r="Y537" s="14">
        <f>ROUNDUP(X537/$J$2,0)</f>
        <v>2</v>
      </c>
      <c r="Z537" s="13">
        <f>Y537*$J$2</f>
        <v>398</v>
      </c>
      <c r="AA537" s="10">
        <f>0.9*Z537*$D$2*(J537-(Z537*$D$2/(0.85*$B$2*(D537*1000)))/2)/1000000</f>
        <v>49.77351244</v>
      </c>
      <c r="AB537" s="15" t="str">
        <f>IF(AA537&gt;=G537,"CUMPLE","REVISAR")</f>
        <v>CUMPLE</v>
      </c>
      <c r="AC537" s="10">
        <f>0.17*SQRT($B$2)*(D537*1000)*J537/1000</f>
        <v>92.44281538</v>
      </c>
      <c r="AD537" s="10">
        <f>MAX(H537/0.75-AC537,0)</f>
        <v>0</v>
      </c>
      <c r="AE537" s="14">
        <f>IF(AD537&gt;0,MIN($N$2*$D$2*J537/(AD537*1000),MIN(J537/4,6*$H$2,150)),MIN(J537/4,6*$H$2,150))</f>
        <v>85.6375</v>
      </c>
      <c r="AF537" s="10">
        <f>0.66*SQRT($B$2)*(D537*1000)*J537/1000</f>
        <v>358.8956362</v>
      </c>
      <c r="AG537" s="15" t="str">
        <f>IF(AD537&lt;=AF537,"CUMPLE","AUMENTAR SECCION")</f>
        <v>CUMPLE</v>
      </c>
      <c r="AH537" s="10">
        <f>0.75*0.083*SQRT($B$2)*(((D537*1000)*(E537*1000))^2/(2*((D537*1000)+(E537*1000))))/1000000</f>
        <v>3.388073536</v>
      </c>
      <c r="AI537" s="15" t="str">
        <f>IF(I537&gt;AH537,"SI","No")</f>
        <v>No</v>
      </c>
      <c r="AJ537" s="11">
        <f>IF(I537&gt;AH537,I537*1000000/(0.75*2*0.85*((D537*1000-2*$F$2)*(E537*1000-2*$F$2))*$D$2),0)</f>
        <v>0</v>
      </c>
      <c r="AK537" s="10">
        <f>1.25*Q537*$D$2*(J537-(1.25*Q537*$D$2/(0.85*$B$2*(D537*1000)))/2)/1000000</f>
        <v>68.51839235</v>
      </c>
      <c r="AL537" s="10">
        <f>1.25*Z537*$D$2*(J537-(1.25*Z537*$D$2/(0.85*$B$2*(D537*1000)))/2)/1000000</f>
        <v>68.51839235</v>
      </c>
      <c r="AM537" s="10">
        <f>(AK537+AL537)/B537</f>
        <v>35.59397005</v>
      </c>
      <c r="AN537" s="10">
        <f>MAX(H537,AM537)</f>
        <v>35.74</v>
      </c>
    </row>
    <row r="538">
      <c r="A538" s="5" t="inlineStr">
        <is>
          <t>F1009</t>
        </is>
      </c>
      <c r="B538" s="6" t="n">
        <v>3.85</v>
      </c>
      <c r="C538" s="7" t="inlineStr">
        <is>
          <t>VC</t>
        </is>
      </c>
      <c r="D538" s="8">
        <f>IF(C538="VR",0.35,0.30)</f>
        <v>0.3</v>
      </c>
      <c r="E538" s="6" t="n">
        <v>0.4</v>
      </c>
      <c r="F538" s="9" t="n">
        <v>44</v>
      </c>
      <c r="G538" s="9" t="n">
        <v>19</v>
      </c>
      <c r="H538" s="9" t="n">
        <v>37.4</v>
      </c>
      <c r="I538" s="6" t="n">
        <v>0</v>
      </c>
      <c r="J538" s="10">
        <f>E538*1000-$F$2-$L$2-$H$2/2</f>
        <v>342.55</v>
      </c>
      <c r="K538" s="11">
        <f>F538*1000000/(0.9*(D538*1000)*J538^2)</f>
        <v>1.389750944</v>
      </c>
      <c r="L538" s="12">
        <f>(0.85*$B$2/$D$2)*(1-SQRT(1-2*K538/(0.85*$B$2)))</f>
        <v>0.0034116298</v>
      </c>
      <c r="M538" s="13">
        <f>L538*(D538*1000)*J538</f>
        <v>350.5961363</v>
      </c>
      <c r="N538" s="13">
        <f>MAX(0.25*SQRT($B$2)/$D$2,1.4/$D$2)*(D538*1000)*J538</f>
        <v>342.55</v>
      </c>
      <c r="O538" s="13">
        <f>MAX(M538,N538)</f>
        <v>350.5961363</v>
      </c>
      <c r="P538" s="14">
        <f>ROUNDUP(O538/$J$2,0)</f>
        <v>2</v>
      </c>
      <c r="Q538" s="13">
        <f>P538*$J$2</f>
        <v>398</v>
      </c>
      <c r="R538" s="10">
        <f>Q538*$D$2/(0.85*$B$2*(D538*1000))</f>
        <v>23.41176471</v>
      </c>
      <c r="S538" s="10">
        <f>0.9*Q538*$D$2*(J538-R538/2)/1000000</f>
        <v>49.77351244</v>
      </c>
      <c r="T538" s="15" t="str">
        <f>IF(AND(S538&gt;=F538,O538&lt;=0.025*(D538*1000)*J538,O538&gt;=N538),"CUMPLE","REVISAR")</f>
        <v>CUMPLE</v>
      </c>
      <c r="U538" s="11">
        <f>G538*1000000/(0.9*(D538*1000)*J538^2)</f>
        <v>0.6006577437</v>
      </c>
      <c r="V538" s="12">
        <f>(0.85*$B$2/$D$2)*(1-SQRT(1-2*U538/(0.85*$B$2)))</f>
        <v>0.001448654544</v>
      </c>
      <c r="W538" s="13">
        <f>V538*(D538*1000)*J538</f>
        <v>148.8709842</v>
      </c>
      <c r="X538" s="13">
        <f>MAX(W538,N538)</f>
        <v>342.55</v>
      </c>
      <c r="Y538" s="14">
        <f>ROUNDUP(X538/$J$2,0)</f>
        <v>2</v>
      </c>
      <c r="Z538" s="13">
        <f>Y538*$J$2</f>
        <v>398</v>
      </c>
      <c r="AA538" s="10">
        <f>0.9*Z538*$D$2*(J538-(Z538*$D$2/(0.85*$B$2*(D538*1000)))/2)/1000000</f>
        <v>49.77351244</v>
      </c>
      <c r="AB538" s="15" t="str">
        <f>IF(AA538&gt;=G538,"CUMPLE","REVISAR")</f>
        <v>CUMPLE</v>
      </c>
      <c r="AC538" s="10">
        <f>0.17*SQRT($B$2)*(D538*1000)*J538/1000</f>
        <v>92.44281538</v>
      </c>
      <c r="AD538" s="10">
        <f>MAX(H538/0.75-AC538,0)</f>
        <v>0</v>
      </c>
      <c r="AE538" s="14">
        <f>IF(AD538&gt;0,MIN($N$2*$D$2*J538/(AD538*1000),MIN(J538/4,6*$H$2,150)),MIN(J538/4,6*$H$2,150))</f>
        <v>85.6375</v>
      </c>
      <c r="AF538" s="10">
        <f>0.66*SQRT($B$2)*(D538*1000)*J538/1000</f>
        <v>358.8956362</v>
      </c>
      <c r="AG538" s="15" t="str">
        <f>IF(AD538&lt;=AF538,"CUMPLE","AUMENTAR SECCION")</f>
        <v>CUMPLE</v>
      </c>
      <c r="AH538" s="10">
        <f>0.75*0.083*SQRT($B$2)*(((D538*1000)*(E538*1000))^2/(2*((D538*1000)+(E538*1000))))/1000000</f>
        <v>3.388073536</v>
      </c>
      <c r="AI538" s="15" t="str">
        <f>IF(I538&gt;AH538,"SI","No")</f>
        <v>No</v>
      </c>
      <c r="AJ538" s="11">
        <f>IF(I538&gt;AH538,I538*1000000/(0.75*2*0.85*((D538*1000-2*$F$2)*(E538*1000-2*$F$2))*$D$2),0)</f>
        <v>0</v>
      </c>
      <c r="AK538" s="10">
        <f>1.25*Q538*$D$2*(J538-(1.25*Q538*$D$2/(0.85*$B$2*(D538*1000)))/2)/1000000</f>
        <v>68.51839235</v>
      </c>
      <c r="AL538" s="10">
        <f>1.25*Z538*$D$2*(J538-(1.25*Z538*$D$2/(0.85*$B$2*(D538*1000)))/2)/1000000</f>
        <v>68.51839235</v>
      </c>
      <c r="AM538" s="10">
        <f>(AK538+AL538)/B538</f>
        <v>35.59397005</v>
      </c>
      <c r="AN538" s="10">
        <f>MAX(H538,AM538)</f>
        <v>37.41</v>
      </c>
    </row>
    <row r="539">
      <c r="A539" s="5" t="inlineStr">
        <is>
          <t>F1010</t>
        </is>
      </c>
      <c r="B539" s="6" t="n">
        <v>3.9</v>
      </c>
      <c r="C539" s="7" t="inlineStr">
        <is>
          <t>VC</t>
        </is>
      </c>
      <c r="D539" s="8">
        <f>IF(C539="VR",0.35,0.30)</f>
        <v>0.3</v>
      </c>
      <c r="E539" s="6" t="n">
        <v>0.4</v>
      </c>
      <c r="F539" s="9" t="n">
        <v>57.5</v>
      </c>
      <c r="G539" s="9" t="n">
        <v>20.6</v>
      </c>
      <c r="H539" s="9" t="n">
        <v>55.6</v>
      </c>
      <c r="I539" s="6" t="n">
        <v>0</v>
      </c>
      <c r="J539" s="10">
        <f>E539*1000-$F$2-$L$2-$H$2/2</f>
        <v>342.55</v>
      </c>
      <c r="K539" s="11">
        <f>F539*1000000/(0.9*(D539*1000)*J539^2)</f>
        <v>1.81491436</v>
      </c>
      <c r="L539" s="12">
        <f>(0.85*$B$2/$D$2)*(1-SQRT(1-2*K539/(0.85*$B$2)))</f>
        <v>0.004499892609</v>
      </c>
      <c r="M539" s="13">
        <f>L539*(D539*1000)*J539</f>
        <v>462.4314639</v>
      </c>
      <c r="N539" s="13">
        <f>MAX(0.25*SQRT($B$2)/$D$2,1.4/$D$2)*(D539*1000)*J539</f>
        <v>342.55</v>
      </c>
      <c r="O539" s="13">
        <f>MAX(M539,N539)</f>
        <v>462.4314639</v>
      </c>
      <c r="P539" s="14">
        <f>ROUNDUP(O539/$J$2,0)</f>
        <v>3</v>
      </c>
      <c r="Q539" s="13">
        <f>P539*$J$2</f>
        <v>597</v>
      </c>
      <c r="R539" s="10">
        <f>Q539*$D$2/(0.85*$B$2*(D539*1000))</f>
        <v>35.11764706</v>
      </c>
      <c r="S539" s="10">
        <f>0.9*Q539*$D$2*(J539-R539/2)/1000000</f>
        <v>73.33945883</v>
      </c>
      <c r="T539" s="15" t="str">
        <f>IF(AND(S539&gt;=F539,O539&lt;=0.025*(D539*1000)*J539,O539&gt;=N539),"CUMPLE","REVISAR")</f>
        <v>CUMPLE</v>
      </c>
      <c r="U539" s="11">
        <f>G539*1000000/(0.9*(D539*1000)*J539^2)</f>
        <v>0.650528434</v>
      </c>
      <c r="V539" s="12">
        <f>(0.85*$B$2/$D$2)*(1-SQRT(1-2*U539/(0.85*$B$2)))</f>
        <v>0.001570644193</v>
      </c>
      <c r="W539" s="13">
        <f>V539*(D539*1000)*J539</f>
        <v>161.4072505</v>
      </c>
      <c r="X539" s="13">
        <f>MAX(W539,N539)</f>
        <v>342.55</v>
      </c>
      <c r="Y539" s="14">
        <f>ROUNDUP(X539/$J$2,0)</f>
        <v>2</v>
      </c>
      <c r="Z539" s="13">
        <f>Y539*$J$2</f>
        <v>398</v>
      </c>
      <c r="AA539" s="10">
        <f>0.9*Z539*$D$2*(J539-(Z539*$D$2/(0.85*$B$2*(D539*1000)))/2)/1000000</f>
        <v>49.77351244</v>
      </c>
      <c r="AB539" s="15" t="str">
        <f>IF(AA539&gt;=G539,"CUMPLE","REVISAR")</f>
        <v>CUMPLE</v>
      </c>
      <c r="AC539" s="10">
        <f>0.17*SQRT($B$2)*(D539*1000)*J539/1000</f>
        <v>92.44281538</v>
      </c>
      <c r="AD539" s="10">
        <f>MAX(H539/0.75-AC539,0)</f>
        <v>0</v>
      </c>
      <c r="AE539" s="14">
        <f>IF(AD539&gt;0,MIN($N$2*$D$2*J539/(AD539*1000),MIN(J539/4,6*$H$2,150)),MIN(J539/4,6*$H$2,150))</f>
        <v>85.6375</v>
      </c>
      <c r="AF539" s="10">
        <f>0.66*SQRT($B$2)*(D539*1000)*J539/1000</f>
        <v>358.8956362</v>
      </c>
      <c r="AG539" s="15" t="str">
        <f>IF(AD539&lt;=AF539,"CUMPLE","AUMENTAR SECCION")</f>
        <v>CUMPLE</v>
      </c>
      <c r="AH539" s="10">
        <f>0.75*0.083*SQRT($B$2)*(((D539*1000)*(E539*1000))^2/(2*((D539*1000)+(E539*1000))))/1000000</f>
        <v>3.388073536</v>
      </c>
      <c r="AI539" s="15" t="str">
        <f>IF(I539&gt;AH539,"SI","No")</f>
        <v>No</v>
      </c>
      <c r="AJ539" s="11">
        <f>IF(I539&gt;AH539,I539*1000000/(0.75*2*0.85*((D539*1000-2*$F$2)*(E539*1000-2*$F$2))*$D$2),0)</f>
        <v>0</v>
      </c>
      <c r="AK539" s="10">
        <f>1.25*Q539*$D$2*(J539-(1.25*Q539*$D$2/(0.85*$B$2*(D539*1000)))/2)/1000000</f>
        <v>100.4845159</v>
      </c>
      <c r="AL539" s="10">
        <f>1.25*Z539*$D$2*(J539-(1.25*Z539*$D$2/(0.85*$B$2*(D539*1000)))/2)/1000000</f>
        <v>68.51839235</v>
      </c>
      <c r="AM539" s="10">
        <f>(AK539+AL539)/B539</f>
        <v>43.33407904</v>
      </c>
      <c r="AN539" s="10">
        <f>MAX(H539,AM539)</f>
        <v>55.56</v>
      </c>
    </row>
    <row r="540">
      <c r="A540" s="5" t="inlineStr">
        <is>
          <t>F1011</t>
        </is>
      </c>
      <c r="B540" s="6" t="n">
        <v>3.9</v>
      </c>
      <c r="C540" s="7" t="inlineStr">
        <is>
          <t>VC</t>
        </is>
      </c>
      <c r="D540" s="8">
        <f>IF(C540="VR",0.35,0.30)</f>
        <v>0.3</v>
      </c>
      <c r="E540" s="6" t="n">
        <v>0.4</v>
      </c>
      <c r="F540" s="9" t="n">
        <v>57.4</v>
      </c>
      <c r="G540" s="9" t="n">
        <v>21.5</v>
      </c>
      <c r="H540" s="9" t="n">
        <v>55.5</v>
      </c>
      <c r="I540" s="6" t="n">
        <v>0</v>
      </c>
      <c r="J540" s="10">
        <f>E540*1000-$F$2-$L$2-$H$2/2</f>
        <v>342.55</v>
      </c>
      <c r="K540" s="11">
        <f>F540*1000000/(0.9*(D540*1000)*J540^2)</f>
        <v>1.812073624</v>
      </c>
      <c r="L540" s="12">
        <f>(0.85*$B$2/$D$2)*(1-SQRT(1-2*K540/(0.85*$B$2)))</f>
        <v>0.004492546039</v>
      </c>
      <c r="M540" s="13">
        <f>L540*(D540*1000)*J540</f>
        <v>461.6764937</v>
      </c>
      <c r="N540" s="13">
        <f>MAX(0.25*SQRT($B$2)/$D$2,1.4/$D$2)*(D540*1000)*J540</f>
        <v>342.55</v>
      </c>
      <c r="O540" s="13">
        <f>MAX(M540,N540)</f>
        <v>461.6764937</v>
      </c>
      <c r="P540" s="14">
        <f>ROUNDUP(O540/$J$2,0)</f>
        <v>3</v>
      </c>
      <c r="Q540" s="13">
        <f>P540*$J$2</f>
        <v>597</v>
      </c>
      <c r="R540" s="10">
        <f>Q540*$D$2/(0.85*$B$2*(D540*1000))</f>
        <v>35.11764706</v>
      </c>
      <c r="S540" s="10">
        <f>0.9*Q540*$D$2*(J540-R540/2)/1000000</f>
        <v>73.33945883</v>
      </c>
      <c r="T540" s="15" t="str">
        <f>IF(AND(S540&gt;=F540,O540&lt;=0.025*(D540*1000)*J540,O540&gt;=N540),"CUMPLE","REVISAR")</f>
        <v>CUMPLE</v>
      </c>
      <c r="U540" s="11">
        <f>G540*1000000/(0.9*(D540*1000)*J540^2)</f>
        <v>0.6783045146</v>
      </c>
      <c r="V540" s="12">
        <f>(0.85*$B$2/$D$2)*(1-SQRT(1-2*U540/(0.85*$B$2)))</f>
        <v>0.001638705051</v>
      </c>
      <c r="W540" s="13">
        <f>V540*(D540*1000)*J540</f>
        <v>168.4015246</v>
      </c>
      <c r="X540" s="13">
        <f>MAX(W540,N540)</f>
        <v>342.55</v>
      </c>
      <c r="Y540" s="14">
        <f>ROUNDUP(X540/$J$2,0)</f>
        <v>2</v>
      </c>
      <c r="Z540" s="13">
        <f>Y540*$J$2</f>
        <v>398</v>
      </c>
      <c r="AA540" s="10">
        <f>0.9*Z540*$D$2*(J540-(Z540*$D$2/(0.85*$B$2*(D540*1000)))/2)/1000000</f>
        <v>49.77351244</v>
      </c>
      <c r="AB540" s="15" t="str">
        <f>IF(AA540&gt;=G540,"CUMPLE","REVISAR")</f>
        <v>CUMPLE</v>
      </c>
      <c r="AC540" s="10">
        <f>0.17*SQRT($B$2)*(D540*1000)*J540/1000</f>
        <v>92.44281538</v>
      </c>
      <c r="AD540" s="10">
        <f>MAX(H540/0.75-AC540,0)</f>
        <v>0</v>
      </c>
      <c r="AE540" s="14">
        <f>IF(AD540&gt;0,MIN($N$2*$D$2*J540/(AD540*1000),MIN(J540/4,6*$H$2,150)),MIN(J540/4,6*$H$2,150))</f>
        <v>85.6375</v>
      </c>
      <c r="AF540" s="10">
        <f>0.66*SQRT($B$2)*(D540*1000)*J540/1000</f>
        <v>358.8956362</v>
      </c>
      <c r="AG540" s="15" t="str">
        <f>IF(AD540&lt;=AF540,"CUMPLE","AUMENTAR SECCION")</f>
        <v>CUMPLE</v>
      </c>
      <c r="AH540" s="10">
        <f>0.75*0.083*SQRT($B$2)*(((D540*1000)*(E540*1000))^2/(2*((D540*1000)+(E540*1000))))/1000000</f>
        <v>3.388073536</v>
      </c>
      <c r="AI540" s="15" t="str">
        <f>IF(I540&gt;AH540,"SI","No")</f>
        <v>No</v>
      </c>
      <c r="AJ540" s="11">
        <f>IF(I540&gt;AH540,I540*1000000/(0.75*2*0.85*((D540*1000-2*$F$2)*(E540*1000-2*$F$2))*$D$2),0)</f>
        <v>0</v>
      </c>
      <c r="AK540" s="10">
        <f>1.25*Q540*$D$2*(J540-(1.25*Q540*$D$2/(0.85*$B$2*(D540*1000)))/2)/1000000</f>
        <v>100.4845159</v>
      </c>
      <c r="AL540" s="10">
        <f>1.25*Z540*$D$2*(J540-(1.25*Z540*$D$2/(0.85*$B$2*(D540*1000)))/2)/1000000</f>
        <v>68.51839235</v>
      </c>
      <c r="AM540" s="10">
        <f>(AK540+AL540)/B540</f>
        <v>43.33407904</v>
      </c>
      <c r="AN540" s="10">
        <f>MAX(H540,AM540)</f>
        <v>55.48</v>
      </c>
    </row>
    <row r="541">
      <c r="A541" s="5" t="inlineStr">
        <is>
          <t>F1012</t>
        </is>
      </c>
      <c r="B541" s="6" t="n">
        <v>3.85</v>
      </c>
      <c r="C541" s="7" t="inlineStr">
        <is>
          <t>VC</t>
        </is>
      </c>
      <c r="D541" s="8">
        <f>IF(C541="VR",0.35,0.30)</f>
        <v>0.3</v>
      </c>
      <c r="E541" s="6" t="n">
        <v>0.4</v>
      </c>
      <c r="F541" s="9" t="n">
        <v>44</v>
      </c>
      <c r="G541" s="9" t="n">
        <v>19.2</v>
      </c>
      <c r="H541" s="9" t="n">
        <v>37.4</v>
      </c>
      <c r="I541" s="6" t="n">
        <v>0</v>
      </c>
      <c r="J541" s="10">
        <f>E541*1000-$F$2-$L$2-$H$2/2</f>
        <v>342.55</v>
      </c>
      <c r="K541" s="11">
        <f>F541*1000000/(0.9*(D541*1000)*J541^2)</f>
        <v>1.389119669</v>
      </c>
      <c r="L541" s="12">
        <f>(0.85*$B$2/$D$2)*(1-SQRT(1-2*K541/(0.85*$B$2)))</f>
        <v>0.003410030501</v>
      </c>
      <c r="M541" s="13">
        <f>L541*(D541*1000)*J541</f>
        <v>350.4317845</v>
      </c>
      <c r="N541" s="13">
        <f>MAX(0.25*SQRT($B$2)/$D$2,1.4/$D$2)*(D541*1000)*J541</f>
        <v>342.55</v>
      </c>
      <c r="O541" s="13">
        <f>MAX(M541,N541)</f>
        <v>350.4317845</v>
      </c>
      <c r="P541" s="14">
        <f>ROUNDUP(O541/$J$2,0)</f>
        <v>2</v>
      </c>
      <c r="Q541" s="13">
        <f>P541*$J$2</f>
        <v>398</v>
      </c>
      <c r="R541" s="10">
        <f>Q541*$D$2/(0.85*$B$2*(D541*1000))</f>
        <v>23.41176471</v>
      </c>
      <c r="S541" s="10">
        <f>0.9*Q541*$D$2*(J541-R541/2)/1000000</f>
        <v>49.77351244</v>
      </c>
      <c r="T541" s="15" t="str">
        <f>IF(AND(S541&gt;=F541,O541&lt;=0.025*(D541*1000)*J541,O541&gt;=N541),"CUMPLE","REVISAR")</f>
        <v>CUMPLE</v>
      </c>
      <c r="U541" s="11">
        <f>G541*1000000/(0.9*(D541*1000)*J541^2)</f>
        <v>0.6066548521</v>
      </c>
      <c r="V541" s="12">
        <f>(0.85*$B$2/$D$2)*(1-SQRT(1-2*U541/(0.85*$B$2)))</f>
        <v>0.001463309926</v>
      </c>
      <c r="W541" s="13">
        <f>V541*(D541*1000)*J541</f>
        <v>150.3770445</v>
      </c>
      <c r="X541" s="13">
        <f>MAX(W541,N541)</f>
        <v>342.55</v>
      </c>
      <c r="Y541" s="14">
        <f>ROUNDUP(X541/$J$2,0)</f>
        <v>2</v>
      </c>
      <c r="Z541" s="13">
        <f>Y541*$J$2</f>
        <v>398</v>
      </c>
      <c r="AA541" s="10">
        <f>0.9*Z541*$D$2*(J541-(Z541*$D$2/(0.85*$B$2*(D541*1000)))/2)/1000000</f>
        <v>49.77351244</v>
      </c>
      <c r="AB541" s="15" t="str">
        <f>IF(AA541&gt;=G541,"CUMPLE","REVISAR")</f>
        <v>CUMPLE</v>
      </c>
      <c r="AC541" s="10">
        <f>0.17*SQRT($B$2)*(D541*1000)*J541/1000</f>
        <v>92.44281538</v>
      </c>
      <c r="AD541" s="10">
        <f>MAX(H541/0.75-AC541,0)</f>
        <v>0</v>
      </c>
      <c r="AE541" s="14">
        <f>IF(AD541&gt;0,MIN($N$2*$D$2*J541/(AD541*1000),MIN(J541/4,6*$H$2,150)),MIN(J541/4,6*$H$2,150))</f>
        <v>85.6375</v>
      </c>
      <c r="AF541" s="10">
        <f>0.66*SQRT($B$2)*(D541*1000)*J541/1000</f>
        <v>358.8956362</v>
      </c>
      <c r="AG541" s="15" t="str">
        <f>IF(AD541&lt;=AF541,"CUMPLE","AUMENTAR SECCION")</f>
        <v>CUMPLE</v>
      </c>
      <c r="AH541" s="10">
        <f>0.75*0.083*SQRT($B$2)*(((D541*1000)*(E541*1000))^2/(2*((D541*1000)+(E541*1000))))/1000000</f>
        <v>3.388073536</v>
      </c>
      <c r="AI541" s="15" t="str">
        <f>IF(I541&gt;AH541,"SI","No")</f>
        <v>No</v>
      </c>
      <c r="AJ541" s="11">
        <f>IF(I541&gt;AH541,I541*1000000/(0.75*2*0.85*((D541*1000-2*$F$2)*(E541*1000-2*$F$2))*$D$2),0)</f>
        <v>0</v>
      </c>
      <c r="AK541" s="10">
        <f>1.25*Q541*$D$2*(J541-(1.25*Q541*$D$2/(0.85*$B$2*(D541*1000)))/2)/1000000</f>
        <v>68.51839235</v>
      </c>
      <c r="AL541" s="10">
        <f>1.25*Z541*$D$2*(J541-(1.25*Z541*$D$2/(0.85*$B$2*(D541*1000)))/2)/1000000</f>
        <v>68.51839235</v>
      </c>
      <c r="AM541" s="10">
        <f>(AK541+AL541)/B541</f>
        <v>35.59397005</v>
      </c>
      <c r="AN541" s="10">
        <f>MAX(H541,AM541)</f>
        <v>37.43</v>
      </c>
    </row>
    <row r="542">
      <c r="A542" s="5" t="inlineStr">
        <is>
          <t>F1013</t>
        </is>
      </c>
      <c r="B542" s="6" t="n">
        <v>3.85</v>
      </c>
      <c r="C542" s="7" t="inlineStr">
        <is>
          <t>VC</t>
        </is>
      </c>
      <c r="D542" s="8">
        <f>IF(C542="VR",0.35,0.30)</f>
        <v>0.3</v>
      </c>
      <c r="E542" s="6" t="n">
        <v>0.4</v>
      </c>
      <c r="F542" s="9" t="n">
        <v>33.2</v>
      </c>
      <c r="G542" s="9" t="n">
        <v>18.2</v>
      </c>
      <c r="H542" s="9" t="n">
        <v>26</v>
      </c>
      <c r="I542" s="6" t="n">
        <v>0</v>
      </c>
      <c r="J542" s="10">
        <f>E542*1000-$F$2-$L$2-$H$2/2</f>
        <v>342.55</v>
      </c>
      <c r="K542" s="11">
        <f>F542*1000000/(0.9*(D542*1000)*J542^2)</f>
        <v>1.04665322</v>
      </c>
      <c r="L542" s="12">
        <f>(0.85*$B$2/$D$2)*(1-SQRT(1-2*K542/(0.85*$B$2)))</f>
        <v>0.002549378513</v>
      </c>
      <c r="M542" s="13">
        <f>L542*(D542*1000)*J542</f>
        <v>261.9868829</v>
      </c>
      <c r="N542" s="13">
        <f>MAX(0.25*SQRT($B$2)/$D$2,1.4/$D$2)*(D542*1000)*J542</f>
        <v>342.55</v>
      </c>
      <c r="O542" s="13">
        <f>MAX(M542,N542)</f>
        <v>342.55</v>
      </c>
      <c r="P542" s="14">
        <f>ROUNDUP(O542/$J$2,0)</f>
        <v>2</v>
      </c>
      <c r="Q542" s="13">
        <f>P542*$J$2</f>
        <v>398</v>
      </c>
      <c r="R542" s="10">
        <f>Q542*$D$2/(0.85*$B$2*(D542*1000))</f>
        <v>23.41176471</v>
      </c>
      <c r="S542" s="10">
        <f>0.9*Q542*$D$2*(J542-R542/2)/1000000</f>
        <v>49.77351244</v>
      </c>
      <c r="T542" s="15" t="str">
        <f>IF(AND(S542&gt;=F542,O542&lt;=0.025*(D542*1000)*J542,O542&gt;=N542),"CUMPLE","REVISAR")</f>
        <v>CUMPLE</v>
      </c>
      <c r="U542" s="11">
        <f>G542*1000000/(0.9*(D542*1000)*J542^2)</f>
        <v>0.5747754868</v>
      </c>
      <c r="V542" s="12">
        <f>(0.85*$B$2/$D$2)*(1-SQRT(1-2*U542/(0.85*$B$2)))</f>
        <v>0.001385449568</v>
      </c>
      <c r="W542" s="13">
        <f>V542*(D542*1000)*J542</f>
        <v>142.3757249</v>
      </c>
      <c r="X542" s="13">
        <f>MAX(W542,N542)</f>
        <v>342.55</v>
      </c>
      <c r="Y542" s="14">
        <f>ROUNDUP(X542/$J$2,0)</f>
        <v>2</v>
      </c>
      <c r="Z542" s="13">
        <f>Y542*$J$2</f>
        <v>398</v>
      </c>
      <c r="AA542" s="10">
        <f>0.9*Z542*$D$2*(J542-(Z542*$D$2/(0.85*$B$2*(D542*1000)))/2)/1000000</f>
        <v>49.77351244</v>
      </c>
      <c r="AB542" s="15" t="str">
        <f>IF(AA542&gt;=G542,"CUMPLE","REVISAR")</f>
        <v>CUMPLE</v>
      </c>
      <c r="AC542" s="10">
        <f>0.17*SQRT($B$2)*(D542*1000)*J542/1000</f>
        <v>92.44281538</v>
      </c>
      <c r="AD542" s="10">
        <f>MAX(H542/0.75-AC542,0)</f>
        <v>0</v>
      </c>
      <c r="AE542" s="14">
        <f>IF(AD542&gt;0,MIN($N$2*$D$2*J542/(AD542*1000),MIN(J542/4,6*$H$2,150)),MIN(J542/4,6*$H$2,150))</f>
        <v>85.6375</v>
      </c>
      <c r="AF542" s="10">
        <f>0.66*SQRT($B$2)*(D542*1000)*J542/1000</f>
        <v>358.8956362</v>
      </c>
      <c r="AG542" s="15" t="str">
        <f>IF(AD542&lt;=AF542,"CUMPLE","AUMENTAR SECCION")</f>
        <v>CUMPLE</v>
      </c>
      <c r="AH542" s="10">
        <f>0.75*0.083*SQRT($B$2)*(((D542*1000)*(E542*1000))^2/(2*((D542*1000)+(E542*1000))))/1000000</f>
        <v>3.388073536</v>
      </c>
      <c r="AI542" s="15" t="str">
        <f>IF(I542&gt;AH542,"SI","No")</f>
        <v>No</v>
      </c>
      <c r="AJ542" s="11">
        <f>IF(I542&gt;AH542,I542*1000000/(0.75*2*0.85*((D542*1000-2*$F$2)*(E542*1000-2*$F$2))*$D$2),0)</f>
        <v>0</v>
      </c>
      <c r="AK542" s="10">
        <f>1.25*Q542*$D$2*(J542-(1.25*Q542*$D$2/(0.85*$B$2*(D542*1000)))/2)/1000000</f>
        <v>68.51839235</v>
      </c>
      <c r="AL542" s="10">
        <f>1.25*Z542*$D$2*(J542-(1.25*Z542*$D$2/(0.85*$B$2*(D542*1000)))/2)/1000000</f>
        <v>68.51839235</v>
      </c>
      <c r="AM542" s="10">
        <f>(AK542+AL542)/B542</f>
        <v>35.59397005</v>
      </c>
      <c r="AN542" s="10">
        <f>MAX(H542,AM542)</f>
        <v>35.59397005</v>
      </c>
    </row>
    <row r="543">
      <c r="A543" s="5" t="inlineStr">
        <is>
          <t>F1014</t>
        </is>
      </c>
      <c r="B543" s="6" t="n">
        <v>3.9</v>
      </c>
      <c r="C543" s="7" t="inlineStr">
        <is>
          <t>VC</t>
        </is>
      </c>
      <c r="D543" s="8">
        <f>IF(C543="VR",0.35,0.30)</f>
        <v>0.3</v>
      </c>
      <c r="E543" s="6" t="n">
        <v>0.4</v>
      </c>
      <c r="F543" s="9" t="n">
        <v>41.3</v>
      </c>
      <c r="G543" s="9" t="n">
        <v>18.9</v>
      </c>
      <c r="H543" s="9" t="n">
        <v>35</v>
      </c>
      <c r="I543" s="6" t="n">
        <v>0</v>
      </c>
      <c r="J543" s="10">
        <f>E543*1000-$F$2-$L$2-$H$2/2</f>
        <v>342.55</v>
      </c>
      <c r="K543" s="11">
        <f>F543*1000000/(0.9*(D543*1000)*J543^2)</f>
        <v>1.303266329</v>
      </c>
      <c r="L543" s="12">
        <f>(0.85*$B$2/$D$2)*(1-SQRT(1-2*K543/(0.85*$B$2)))</f>
        <v>0.003192971545</v>
      </c>
      <c r="M543" s="13">
        <f>L543*(D543*1000)*J543</f>
        <v>328.1257208</v>
      </c>
      <c r="N543" s="13">
        <f>MAX(0.25*SQRT($B$2)/$D$2,1.4/$D$2)*(D543*1000)*J543</f>
        <v>342.55</v>
      </c>
      <c r="O543" s="13">
        <f>MAX(M543,N543)</f>
        <v>342.55</v>
      </c>
      <c r="P543" s="14">
        <f>ROUNDUP(O543/$J$2,0)</f>
        <v>2</v>
      </c>
      <c r="Q543" s="13">
        <f>P543*$J$2</f>
        <v>398</v>
      </c>
      <c r="R543" s="10">
        <f>Q543*$D$2/(0.85*$B$2*(D543*1000))</f>
        <v>23.41176471</v>
      </c>
      <c r="S543" s="10">
        <f>0.9*Q543*$D$2*(J543-R543/2)/1000000</f>
        <v>49.77351244</v>
      </c>
      <c r="T543" s="15" t="str">
        <f>IF(AND(S543&gt;=F543,O543&lt;=0.025*(D543*1000)*J543,O543&gt;=N543),"CUMPLE","REVISAR")</f>
        <v>CUMPLE</v>
      </c>
      <c r="U543" s="11">
        <f>G543*1000000/(0.9*(D543*1000)*J543^2)</f>
        <v>0.5959231845</v>
      </c>
      <c r="V543" s="12">
        <f>(0.85*$B$2/$D$2)*(1-SQRT(1-2*U543/(0.85*$B$2)))</f>
        <v>0.001437087253</v>
      </c>
      <c r="W543" s="13">
        <f>V543*(D543*1000)*J543</f>
        <v>147.6822715</v>
      </c>
      <c r="X543" s="13">
        <f>MAX(W543,N543)</f>
        <v>342.55</v>
      </c>
      <c r="Y543" s="14">
        <f>ROUNDUP(X543/$J$2,0)</f>
        <v>2</v>
      </c>
      <c r="Z543" s="13">
        <f>Y543*$J$2</f>
        <v>398</v>
      </c>
      <c r="AA543" s="10">
        <f>0.9*Z543*$D$2*(J543-(Z543*$D$2/(0.85*$B$2*(D543*1000)))/2)/1000000</f>
        <v>49.77351244</v>
      </c>
      <c r="AB543" s="15" t="str">
        <f>IF(AA543&gt;=G543,"CUMPLE","REVISAR")</f>
        <v>CUMPLE</v>
      </c>
      <c r="AC543" s="10">
        <f>0.17*SQRT($B$2)*(D543*1000)*J543/1000</f>
        <v>92.44281538</v>
      </c>
      <c r="AD543" s="10">
        <f>MAX(H543/0.75-AC543,0)</f>
        <v>0</v>
      </c>
      <c r="AE543" s="14">
        <f>IF(AD543&gt;0,MIN($N$2*$D$2*J543/(AD543*1000),MIN(J543/4,6*$H$2,150)),MIN(J543/4,6*$H$2,150))</f>
        <v>85.6375</v>
      </c>
      <c r="AF543" s="10">
        <f>0.66*SQRT($B$2)*(D543*1000)*J543/1000</f>
        <v>358.8956362</v>
      </c>
      <c r="AG543" s="15" t="str">
        <f>IF(AD543&lt;=AF543,"CUMPLE","AUMENTAR SECCION")</f>
        <v>CUMPLE</v>
      </c>
      <c r="AH543" s="10">
        <f>0.75*0.083*SQRT($B$2)*(((D543*1000)*(E543*1000))^2/(2*((D543*1000)+(E543*1000))))/1000000</f>
        <v>3.388073536</v>
      </c>
      <c r="AI543" s="15" t="str">
        <f>IF(I543&gt;AH543,"SI","No")</f>
        <v>No</v>
      </c>
      <c r="AJ543" s="11">
        <f>IF(I543&gt;AH543,I543*1000000/(0.75*2*0.85*((D543*1000-2*$F$2)*(E543*1000-2*$F$2))*$D$2),0)</f>
        <v>0</v>
      </c>
      <c r="AK543" s="10">
        <f>1.25*Q543*$D$2*(J543-(1.25*Q543*$D$2/(0.85*$B$2*(D543*1000)))/2)/1000000</f>
        <v>68.51839235</v>
      </c>
      <c r="AL543" s="10">
        <f>1.25*Z543*$D$2*(J543-(1.25*Z543*$D$2/(0.85*$B$2*(D543*1000)))/2)/1000000</f>
        <v>68.51839235</v>
      </c>
      <c r="AM543" s="10">
        <f>(AK543+AL543)/B543</f>
        <v>35.1376371</v>
      </c>
      <c r="AN543" s="10">
        <f>MAX(H543,AM543)</f>
        <v>35.1376371</v>
      </c>
    </row>
    <row r="544">
      <c r="A544" s="5" t="inlineStr">
        <is>
          <t>F1015</t>
        </is>
      </c>
      <c r="B544" s="6" t="n">
        <v>3.9</v>
      </c>
      <c r="C544" s="7" t="inlineStr">
        <is>
          <t>VC</t>
        </is>
      </c>
      <c r="D544" s="8">
        <f>IF(C544="VR",0.35,0.30)</f>
        <v>0.3</v>
      </c>
      <c r="E544" s="6" t="n">
        <v>0.4</v>
      </c>
      <c r="F544" s="9" t="n">
        <v>41.3</v>
      </c>
      <c r="G544" s="9" t="n">
        <v>18.9</v>
      </c>
      <c r="H544" s="9" t="n">
        <v>35</v>
      </c>
      <c r="I544" s="6" t="n">
        <v>0</v>
      </c>
      <c r="J544" s="10">
        <f>E544*1000-$F$2-$L$2-$H$2/2</f>
        <v>342.55</v>
      </c>
      <c r="K544" s="11">
        <f>F544*1000000/(0.9*(D544*1000)*J544^2)</f>
        <v>1.302950692</v>
      </c>
      <c r="L544" s="12">
        <f>(0.85*$B$2/$D$2)*(1-SQRT(1-2*K544/(0.85*$B$2)))</f>
        <v>0.00319217516</v>
      </c>
      <c r="M544" s="13">
        <f>L544*(D544*1000)*J544</f>
        <v>328.0438803</v>
      </c>
      <c r="N544" s="13">
        <f>MAX(0.25*SQRT($B$2)/$D$2,1.4/$D$2)*(D544*1000)*J544</f>
        <v>342.55</v>
      </c>
      <c r="O544" s="13">
        <f>MAX(M544,N544)</f>
        <v>342.55</v>
      </c>
      <c r="P544" s="14">
        <f>ROUNDUP(O544/$J$2,0)</f>
        <v>2</v>
      </c>
      <c r="Q544" s="13">
        <f>P544*$J$2</f>
        <v>398</v>
      </c>
      <c r="R544" s="10">
        <f>Q544*$D$2/(0.85*$B$2*(D544*1000))</f>
        <v>23.41176471</v>
      </c>
      <c r="S544" s="10">
        <f>0.9*Q544*$D$2*(J544-R544/2)/1000000</f>
        <v>49.77351244</v>
      </c>
      <c r="T544" s="15" t="str">
        <f>IF(AND(S544&gt;=F544,O544&lt;=0.025*(D544*1000)*J544,O544&gt;=N544),"CUMPLE","REVISAR")</f>
        <v>CUMPLE</v>
      </c>
      <c r="U544" s="11">
        <f>G544*1000000/(0.9*(D544*1000)*J544^2)</f>
        <v>0.5959231845</v>
      </c>
      <c r="V544" s="12">
        <f>(0.85*$B$2/$D$2)*(1-SQRT(1-2*U544/(0.85*$B$2)))</f>
        <v>0.001437087253</v>
      </c>
      <c r="W544" s="13">
        <f>V544*(D544*1000)*J544</f>
        <v>147.6822715</v>
      </c>
      <c r="X544" s="13">
        <f>MAX(W544,N544)</f>
        <v>342.55</v>
      </c>
      <c r="Y544" s="14">
        <f>ROUNDUP(X544/$J$2,0)</f>
        <v>2</v>
      </c>
      <c r="Z544" s="13">
        <f>Y544*$J$2</f>
        <v>398</v>
      </c>
      <c r="AA544" s="10">
        <f>0.9*Z544*$D$2*(J544-(Z544*$D$2/(0.85*$B$2*(D544*1000)))/2)/1000000</f>
        <v>49.77351244</v>
      </c>
      <c r="AB544" s="15" t="str">
        <f>IF(AA544&gt;=G544,"CUMPLE","REVISAR")</f>
        <v>CUMPLE</v>
      </c>
      <c r="AC544" s="10">
        <f>0.17*SQRT($B$2)*(D544*1000)*J544/1000</f>
        <v>92.44281538</v>
      </c>
      <c r="AD544" s="10">
        <f>MAX(H544/0.75-AC544,0)</f>
        <v>0</v>
      </c>
      <c r="AE544" s="14">
        <f>IF(AD544&gt;0,MIN($N$2*$D$2*J544/(AD544*1000),MIN(J544/4,6*$H$2,150)),MIN(J544/4,6*$H$2,150))</f>
        <v>85.6375</v>
      </c>
      <c r="AF544" s="10">
        <f>0.66*SQRT($B$2)*(D544*1000)*J544/1000</f>
        <v>358.8956362</v>
      </c>
      <c r="AG544" s="15" t="str">
        <f>IF(AD544&lt;=AF544,"CUMPLE","AUMENTAR SECCION")</f>
        <v>CUMPLE</v>
      </c>
      <c r="AH544" s="10">
        <f>0.75*0.083*SQRT($B$2)*(((D544*1000)*(E544*1000))^2/(2*((D544*1000)+(E544*1000))))/1000000</f>
        <v>3.388073536</v>
      </c>
      <c r="AI544" s="15" t="str">
        <f>IF(I544&gt;AH544,"SI","No")</f>
        <v>No</v>
      </c>
      <c r="AJ544" s="11">
        <f>IF(I544&gt;AH544,I544*1000000/(0.75*2*0.85*((D544*1000-2*$F$2)*(E544*1000-2*$F$2))*$D$2),0)</f>
        <v>0</v>
      </c>
      <c r="AK544" s="10">
        <f>1.25*Q544*$D$2*(J544-(1.25*Q544*$D$2/(0.85*$B$2*(D544*1000)))/2)/1000000</f>
        <v>68.51839235</v>
      </c>
      <c r="AL544" s="10">
        <f>1.25*Z544*$D$2*(J544-(1.25*Z544*$D$2/(0.85*$B$2*(D544*1000)))/2)/1000000</f>
        <v>68.51839235</v>
      </c>
      <c r="AM544" s="10">
        <f>(AK544+AL544)/B544</f>
        <v>35.1376371</v>
      </c>
      <c r="AN544" s="10">
        <f>MAX(H544,AM544)</f>
        <v>35.1376371</v>
      </c>
    </row>
    <row r="545">
      <c r="A545" s="5" t="inlineStr">
        <is>
          <t>F1016</t>
        </is>
      </c>
      <c r="B545" s="6" t="n">
        <v>3.85</v>
      </c>
      <c r="C545" s="7" t="inlineStr">
        <is>
          <t>VC</t>
        </is>
      </c>
      <c r="D545" s="8">
        <f>IF(C545="VR",0.35,0.30)</f>
        <v>0.3</v>
      </c>
      <c r="E545" s="6" t="n">
        <v>0.4</v>
      </c>
      <c r="F545" s="9" t="n">
        <v>33.2</v>
      </c>
      <c r="G545" s="9" t="n">
        <v>18.2</v>
      </c>
      <c r="H545" s="9" t="n">
        <v>26</v>
      </c>
      <c r="I545" s="6" t="n">
        <v>0</v>
      </c>
      <c r="J545" s="10">
        <f>E545*1000-$F$2-$L$2-$H$2/2</f>
        <v>342.55</v>
      </c>
      <c r="K545" s="11">
        <f>F545*1000000/(0.9*(D545*1000)*J545^2)</f>
        <v>1.046968858</v>
      </c>
      <c r="L545" s="12">
        <f>(0.85*$B$2/$D$2)*(1-SQRT(1-2*K545/(0.85*$B$2)))</f>
        <v>0.002550165439</v>
      </c>
      <c r="M545" s="13">
        <f>L545*(D545*1000)*J545</f>
        <v>262.0677514</v>
      </c>
      <c r="N545" s="13">
        <f>MAX(0.25*SQRT($B$2)/$D$2,1.4/$D$2)*(D545*1000)*J545</f>
        <v>342.55</v>
      </c>
      <c r="O545" s="13">
        <f>MAX(M545,N545)</f>
        <v>342.55</v>
      </c>
      <c r="P545" s="14">
        <f>ROUNDUP(O545/$J$2,0)</f>
        <v>2</v>
      </c>
      <c r="Q545" s="13">
        <f>P545*$J$2</f>
        <v>398</v>
      </c>
      <c r="R545" s="10">
        <f>Q545*$D$2/(0.85*$B$2*(D545*1000))</f>
        <v>23.41176471</v>
      </c>
      <c r="S545" s="10">
        <f>0.9*Q545*$D$2*(J545-R545/2)/1000000</f>
        <v>49.77351244</v>
      </c>
      <c r="T545" s="15" t="str">
        <f>IF(AND(S545&gt;=F545,O545&lt;=0.025*(D545*1000)*J545,O545&gt;=N545),"CUMPLE","REVISAR")</f>
        <v>CUMPLE</v>
      </c>
      <c r="U545" s="11">
        <f>G545*1000000/(0.9*(D545*1000)*J545^2)</f>
        <v>0.5747754868</v>
      </c>
      <c r="V545" s="12">
        <f>(0.85*$B$2/$D$2)*(1-SQRT(1-2*U545/(0.85*$B$2)))</f>
        <v>0.001385449568</v>
      </c>
      <c r="W545" s="13">
        <f>V545*(D545*1000)*J545</f>
        <v>142.3757249</v>
      </c>
      <c r="X545" s="13">
        <f>MAX(W545,N545)</f>
        <v>342.55</v>
      </c>
      <c r="Y545" s="14">
        <f>ROUNDUP(X545/$J$2,0)</f>
        <v>2</v>
      </c>
      <c r="Z545" s="13">
        <f>Y545*$J$2</f>
        <v>398</v>
      </c>
      <c r="AA545" s="10">
        <f>0.9*Z545*$D$2*(J545-(Z545*$D$2/(0.85*$B$2*(D545*1000)))/2)/1000000</f>
        <v>49.77351244</v>
      </c>
      <c r="AB545" s="15" t="str">
        <f>IF(AA545&gt;=G545,"CUMPLE","REVISAR")</f>
        <v>CUMPLE</v>
      </c>
      <c r="AC545" s="10">
        <f>0.17*SQRT($B$2)*(D545*1000)*J545/1000</f>
        <v>92.44281538</v>
      </c>
      <c r="AD545" s="10">
        <f>MAX(H545/0.75-AC545,0)</f>
        <v>0</v>
      </c>
      <c r="AE545" s="14">
        <f>IF(AD545&gt;0,MIN($N$2*$D$2*J545/(AD545*1000),MIN(J545/4,6*$H$2,150)),MIN(J545/4,6*$H$2,150))</f>
        <v>85.6375</v>
      </c>
      <c r="AF545" s="10">
        <f>0.66*SQRT($B$2)*(D545*1000)*J545/1000</f>
        <v>358.8956362</v>
      </c>
      <c r="AG545" s="15" t="str">
        <f>IF(AD545&lt;=AF545,"CUMPLE","AUMENTAR SECCION")</f>
        <v>CUMPLE</v>
      </c>
      <c r="AH545" s="10">
        <f>0.75*0.083*SQRT($B$2)*(((D545*1000)*(E545*1000))^2/(2*((D545*1000)+(E545*1000))))/1000000</f>
        <v>3.388073536</v>
      </c>
      <c r="AI545" s="15" t="str">
        <f>IF(I545&gt;AH545,"SI","No")</f>
        <v>No</v>
      </c>
      <c r="AJ545" s="11">
        <f>IF(I545&gt;AH545,I545*1000000/(0.75*2*0.85*((D545*1000-2*$F$2)*(E545*1000-2*$F$2))*$D$2),0)</f>
        <v>0</v>
      </c>
      <c r="AK545" s="10">
        <f>1.25*Q545*$D$2*(J545-(1.25*Q545*$D$2/(0.85*$B$2*(D545*1000)))/2)/1000000</f>
        <v>68.51839235</v>
      </c>
      <c r="AL545" s="10">
        <f>1.25*Z545*$D$2*(J545-(1.25*Z545*$D$2/(0.85*$B$2*(D545*1000)))/2)/1000000</f>
        <v>68.51839235</v>
      </c>
      <c r="AM545" s="10">
        <f>(AK545+AL545)/B545</f>
        <v>35.59397005</v>
      </c>
      <c r="AN545" s="10">
        <f>MAX(H545,AM545)</f>
        <v>35.59397005</v>
      </c>
    </row>
    <row r="546">
      <c r="A546" s="5" t="inlineStr">
        <is>
          <t>F1017</t>
        </is>
      </c>
      <c r="B546" s="6" t="n">
        <v>2.65</v>
      </c>
      <c r="C546" s="7" t="inlineStr">
        <is>
          <t>VC</t>
        </is>
      </c>
      <c r="D546" s="8">
        <f>IF(C546="VR",0.35,0.30)</f>
        <v>0.3</v>
      </c>
      <c r="E546" s="6" t="n">
        <v>0.4</v>
      </c>
      <c r="F546" s="9" t="n">
        <v>26.1</v>
      </c>
      <c r="G546" s="9" t="n">
        <v>13.6</v>
      </c>
      <c r="H546" s="9" t="n">
        <v>24</v>
      </c>
      <c r="I546" s="6" t="n">
        <v>0</v>
      </c>
      <c r="J546" s="10">
        <f>E546*1000-$F$2-$L$2-$H$2/2</f>
        <v>342.55</v>
      </c>
      <c r="K546" s="11">
        <f>F546*1000000/(0.9*(D546*1000)*J546^2)</f>
        <v>0.8234976634</v>
      </c>
      <c r="L546" s="12">
        <f>(0.85*$B$2/$D$2)*(1-SQRT(1-2*K546/(0.85*$B$2)))</f>
        <v>0.001995856759</v>
      </c>
      <c r="M546" s="13">
        <f>L546*(D546*1000)*J546</f>
        <v>205.1042199</v>
      </c>
      <c r="N546" s="13">
        <f>MAX(0.25*SQRT($B$2)/$D$2,1.4/$D$2)*(D546*1000)*J546</f>
        <v>342.55</v>
      </c>
      <c r="O546" s="13">
        <f>MAX(M546,N546)</f>
        <v>342.55</v>
      </c>
      <c r="P546" s="14">
        <f>ROUNDUP(O546/$J$2,0)</f>
        <v>2</v>
      </c>
      <c r="Q546" s="13">
        <f>P546*$J$2</f>
        <v>398</v>
      </c>
      <c r="R546" s="10">
        <f>Q546*$D$2/(0.85*$B$2*(D546*1000))</f>
        <v>23.41176471</v>
      </c>
      <c r="S546" s="10">
        <f>0.9*Q546*$D$2*(J546-R546/2)/1000000</f>
        <v>49.77351244</v>
      </c>
      <c r="T546" s="15" t="str">
        <f>IF(AND(S546&gt;=F546,O546&lt;=0.025*(D546*1000)*J546,O546&gt;=N546),"CUMPLE","REVISAR")</f>
        <v>CUMPLE</v>
      </c>
      <c r="U546" s="11">
        <f>G546*1000000/(0.9*(D546*1000)*J546^2)</f>
        <v>0.429582338</v>
      </c>
      <c r="V546" s="12">
        <f>(0.85*$B$2/$D$2)*(1-SQRT(1-2*U546/(0.85*$B$2)))</f>
        <v>0.001032216301</v>
      </c>
      <c r="W546" s="13">
        <f>V546*(D546*1000)*J546</f>
        <v>106.0757081</v>
      </c>
      <c r="X546" s="13">
        <f>MAX(W546,N546)</f>
        <v>342.55</v>
      </c>
      <c r="Y546" s="14">
        <f>ROUNDUP(X546/$J$2,0)</f>
        <v>2</v>
      </c>
      <c r="Z546" s="13">
        <f>Y546*$J$2</f>
        <v>398</v>
      </c>
      <c r="AA546" s="10">
        <f>0.9*Z546*$D$2*(J546-(Z546*$D$2/(0.85*$B$2*(D546*1000)))/2)/1000000</f>
        <v>49.77351244</v>
      </c>
      <c r="AB546" s="15" t="str">
        <f>IF(AA546&gt;=G546,"CUMPLE","REVISAR")</f>
        <v>CUMPLE</v>
      </c>
      <c r="AC546" s="10">
        <f>0.17*SQRT($B$2)*(D546*1000)*J546/1000</f>
        <v>92.44281538</v>
      </c>
      <c r="AD546" s="10">
        <f>MAX(H546/0.75-AC546,0)</f>
        <v>0</v>
      </c>
      <c r="AE546" s="14">
        <f>IF(AD546&gt;0,MIN($N$2*$D$2*J546/(AD546*1000),MIN(J546/4,6*$H$2,150)),MIN(J546/4,6*$H$2,150))</f>
        <v>85.6375</v>
      </c>
      <c r="AF546" s="10">
        <f>0.66*SQRT($B$2)*(D546*1000)*J546/1000</f>
        <v>358.8956362</v>
      </c>
      <c r="AG546" s="15" t="str">
        <f>IF(AD546&lt;=AF546,"CUMPLE","AUMENTAR SECCION")</f>
        <v>CUMPLE</v>
      </c>
      <c r="AH546" s="10">
        <f>0.75*0.083*SQRT($B$2)*(((D546*1000)*(E546*1000))^2/(2*((D546*1000)+(E546*1000))))/1000000</f>
        <v>3.388073536</v>
      </c>
      <c r="AI546" s="15" t="str">
        <f>IF(I546&gt;AH546,"SI","No")</f>
        <v>No</v>
      </c>
      <c r="AJ546" s="11">
        <f>IF(I546&gt;AH546,I546*1000000/(0.75*2*0.85*((D546*1000-2*$F$2)*(E546*1000-2*$F$2))*$D$2),0)</f>
        <v>0</v>
      </c>
      <c r="AK546" s="10">
        <f>1.25*Q546*$D$2*(J546-(1.25*Q546*$D$2/(0.85*$B$2*(D546*1000)))/2)/1000000</f>
        <v>68.51839235</v>
      </c>
      <c r="AL546" s="10">
        <f>1.25*Z546*$D$2*(J546-(1.25*Z546*$D$2/(0.85*$B$2*(D546*1000)))/2)/1000000</f>
        <v>68.51839235</v>
      </c>
      <c r="AM546" s="10">
        <f>(AK546+AL546)/B546</f>
        <v>51.71199423</v>
      </c>
      <c r="AN546" s="10">
        <f>MAX(H546,AM546)</f>
        <v>51.71199423</v>
      </c>
    </row>
    <row r="547">
      <c r="A547" s="5" t="inlineStr">
        <is>
          <t>F1018</t>
        </is>
      </c>
      <c r="B547" s="6" t="n">
        <v>5.1</v>
      </c>
      <c r="C547" s="7" t="inlineStr">
        <is>
          <t>VC</t>
        </is>
      </c>
      <c r="D547" s="8">
        <f>IF(C547="VR",0.35,0.30)</f>
        <v>0.3</v>
      </c>
      <c r="E547" s="6" t="n">
        <v>0.4</v>
      </c>
      <c r="F547" s="9" t="n">
        <v>43.9</v>
      </c>
      <c r="G547" s="9" t="n">
        <v>17.6</v>
      </c>
      <c r="H547" s="9" t="n">
        <v>28.9</v>
      </c>
      <c r="I547" s="6" t="n">
        <v>0</v>
      </c>
      <c r="J547" s="10">
        <f>E547*1000-$F$2-$L$2-$H$2/2</f>
        <v>342.55</v>
      </c>
      <c r="K547" s="11">
        <f>F547*1000000/(0.9*(D547*1000)*J547^2)</f>
        <v>1.386278934</v>
      </c>
      <c r="L547" s="12">
        <f>(0.85*$B$2/$D$2)*(1-SQRT(1-2*K547/(0.85*$B$2)))</f>
        <v>0.003402834254</v>
      </c>
      <c r="M547" s="13">
        <f>L547*(D547*1000)*J547</f>
        <v>349.6922621</v>
      </c>
      <c r="N547" s="13">
        <f>MAX(0.25*SQRT($B$2)/$D$2,1.4/$D$2)*(D547*1000)*J547</f>
        <v>342.55</v>
      </c>
      <c r="O547" s="13">
        <f>MAX(M547,N547)</f>
        <v>349.6922621</v>
      </c>
      <c r="P547" s="14">
        <f>ROUNDUP(O547/$J$2,0)</f>
        <v>2</v>
      </c>
      <c r="Q547" s="13">
        <f>P547*$J$2</f>
        <v>398</v>
      </c>
      <c r="R547" s="10">
        <f>Q547*$D$2/(0.85*$B$2*(D547*1000))</f>
        <v>23.41176471</v>
      </c>
      <c r="S547" s="10">
        <f>0.9*Q547*$D$2*(J547-R547/2)/1000000</f>
        <v>49.77351244</v>
      </c>
      <c r="T547" s="15" t="str">
        <f>IF(AND(S547&gt;=F547,O547&lt;=0.025*(D547*1000)*J547,O547&gt;=N547),"CUMPLE","REVISAR")</f>
        <v>CUMPLE</v>
      </c>
      <c r="U547" s="11">
        <f>G547*1000000/(0.9*(D547*1000)*J547^2)</f>
        <v>0.5552059754</v>
      </c>
      <c r="V547" s="12">
        <f>(0.85*$B$2/$D$2)*(1-SQRT(1-2*U547/(0.85*$B$2)))</f>
        <v>0.001337708375</v>
      </c>
      <c r="W547" s="13">
        <f>V547*(D547*1000)*J547</f>
        <v>137.4696011</v>
      </c>
      <c r="X547" s="13">
        <f>MAX(W547,N547)</f>
        <v>342.55</v>
      </c>
      <c r="Y547" s="14">
        <f>ROUNDUP(X547/$J$2,0)</f>
        <v>2</v>
      </c>
      <c r="Z547" s="13">
        <f>Y547*$J$2</f>
        <v>398</v>
      </c>
      <c r="AA547" s="10">
        <f>0.9*Z547*$D$2*(J547-(Z547*$D$2/(0.85*$B$2*(D547*1000)))/2)/1000000</f>
        <v>49.77351244</v>
      </c>
      <c r="AB547" s="15" t="str">
        <f>IF(AA547&gt;=G547,"CUMPLE","REVISAR")</f>
        <v>CUMPLE</v>
      </c>
      <c r="AC547" s="10">
        <f>0.17*SQRT($B$2)*(D547*1000)*J547/1000</f>
        <v>92.44281538</v>
      </c>
      <c r="AD547" s="10">
        <f>MAX(H547/0.75-AC547,0)</f>
        <v>0</v>
      </c>
      <c r="AE547" s="14">
        <f>IF(AD547&gt;0,MIN($N$2*$D$2*J547/(AD547*1000),MIN(J547/4,6*$H$2,150)),MIN(J547/4,6*$H$2,150))</f>
        <v>85.6375</v>
      </c>
      <c r="AF547" s="10">
        <f>0.66*SQRT($B$2)*(D547*1000)*J547/1000</f>
        <v>358.8956362</v>
      </c>
      <c r="AG547" s="15" t="str">
        <f>IF(AD547&lt;=AF547,"CUMPLE","AUMENTAR SECCION")</f>
        <v>CUMPLE</v>
      </c>
      <c r="AH547" s="10">
        <f>0.75*0.083*SQRT($B$2)*(((D547*1000)*(E547*1000))^2/(2*((D547*1000)+(E547*1000))))/1000000</f>
        <v>3.388073536</v>
      </c>
      <c r="AI547" s="15" t="str">
        <f>IF(I547&gt;AH547,"SI","No")</f>
        <v>No</v>
      </c>
      <c r="AJ547" s="11">
        <f>IF(I547&gt;AH547,I547*1000000/(0.75*2*0.85*((D547*1000-2*$F$2)*(E547*1000-2*$F$2))*$D$2),0)</f>
        <v>0</v>
      </c>
      <c r="AK547" s="10">
        <f>1.25*Q547*$D$2*(J547-(1.25*Q547*$D$2/(0.85*$B$2*(D547*1000)))/2)/1000000</f>
        <v>68.51839235</v>
      </c>
      <c r="AL547" s="10">
        <f>1.25*Z547*$D$2*(J547-(1.25*Z547*$D$2/(0.85*$B$2*(D547*1000)))/2)/1000000</f>
        <v>68.51839235</v>
      </c>
      <c r="AM547" s="10">
        <f>(AK547+AL547)/B547</f>
        <v>26.86995779</v>
      </c>
      <c r="AN547" s="10">
        <f>MAX(H547,AM547)</f>
        <v>28.9</v>
      </c>
    </row>
    <row r="548">
      <c r="A548" s="5" t="inlineStr">
        <is>
          <t>F1019</t>
        </is>
      </c>
      <c r="B548" s="6" t="n">
        <v>5.1</v>
      </c>
      <c r="C548" s="7" t="inlineStr">
        <is>
          <t>VC</t>
        </is>
      </c>
      <c r="D548" s="8">
        <f>IF(C548="VR",0.35,0.30)</f>
        <v>0.3</v>
      </c>
      <c r="E548" s="6" t="n">
        <v>0.4</v>
      </c>
      <c r="F548" s="9" t="n">
        <v>43.9</v>
      </c>
      <c r="G548" s="9" t="n">
        <v>17.6</v>
      </c>
      <c r="H548" s="9" t="n">
        <v>28.9</v>
      </c>
      <c r="I548" s="6" t="n">
        <v>0</v>
      </c>
      <c r="J548" s="10">
        <f>E548*1000-$F$2-$L$2-$H$2/2</f>
        <v>342.55</v>
      </c>
      <c r="K548" s="11">
        <f>F548*1000000/(0.9*(D548*1000)*J548^2)</f>
        <v>1.386278934</v>
      </c>
      <c r="L548" s="12">
        <f>(0.85*$B$2/$D$2)*(1-SQRT(1-2*K548/(0.85*$B$2)))</f>
        <v>0.003402834254</v>
      </c>
      <c r="M548" s="13">
        <f>L548*(D548*1000)*J548</f>
        <v>349.6922621</v>
      </c>
      <c r="N548" s="13">
        <f>MAX(0.25*SQRT($B$2)/$D$2,1.4/$D$2)*(D548*1000)*J548</f>
        <v>342.55</v>
      </c>
      <c r="O548" s="13">
        <f>MAX(M548,N548)</f>
        <v>349.6922621</v>
      </c>
      <c r="P548" s="14">
        <f>ROUNDUP(O548/$J$2,0)</f>
        <v>2</v>
      </c>
      <c r="Q548" s="13">
        <f>P548*$J$2</f>
        <v>398</v>
      </c>
      <c r="R548" s="10">
        <f>Q548*$D$2/(0.85*$B$2*(D548*1000))</f>
        <v>23.41176471</v>
      </c>
      <c r="S548" s="10">
        <f>0.9*Q548*$D$2*(J548-R548/2)/1000000</f>
        <v>49.77351244</v>
      </c>
      <c r="T548" s="15" t="str">
        <f>IF(AND(S548&gt;=F548,O548&lt;=0.025*(D548*1000)*J548,O548&gt;=N548),"CUMPLE","REVISAR")</f>
        <v>CUMPLE</v>
      </c>
      <c r="U548" s="11">
        <f>G548*1000000/(0.9*(D548*1000)*J548^2)</f>
        <v>0.5552059754</v>
      </c>
      <c r="V548" s="12">
        <f>(0.85*$B$2/$D$2)*(1-SQRT(1-2*U548/(0.85*$B$2)))</f>
        <v>0.001337708375</v>
      </c>
      <c r="W548" s="13">
        <f>V548*(D548*1000)*J548</f>
        <v>137.4696011</v>
      </c>
      <c r="X548" s="13">
        <f>MAX(W548,N548)</f>
        <v>342.55</v>
      </c>
      <c r="Y548" s="14">
        <f>ROUNDUP(X548/$J$2,0)</f>
        <v>2</v>
      </c>
      <c r="Z548" s="13">
        <f>Y548*$J$2</f>
        <v>398</v>
      </c>
      <c r="AA548" s="10">
        <f>0.9*Z548*$D$2*(J548-(Z548*$D$2/(0.85*$B$2*(D548*1000)))/2)/1000000</f>
        <v>49.77351244</v>
      </c>
      <c r="AB548" s="15" t="str">
        <f>IF(AA548&gt;=G548,"CUMPLE","REVISAR")</f>
        <v>CUMPLE</v>
      </c>
      <c r="AC548" s="10">
        <f>0.17*SQRT($B$2)*(D548*1000)*J548/1000</f>
        <v>92.44281538</v>
      </c>
      <c r="AD548" s="10">
        <f>MAX(H548/0.75-AC548,0)</f>
        <v>0</v>
      </c>
      <c r="AE548" s="14">
        <f>IF(AD548&gt;0,MIN($N$2*$D$2*J548/(AD548*1000),MIN(J548/4,6*$H$2,150)),MIN(J548/4,6*$H$2,150))</f>
        <v>85.6375</v>
      </c>
      <c r="AF548" s="10">
        <f>0.66*SQRT($B$2)*(D548*1000)*J548/1000</f>
        <v>358.8956362</v>
      </c>
      <c r="AG548" s="15" t="str">
        <f>IF(AD548&lt;=AF548,"CUMPLE","AUMENTAR SECCION")</f>
        <v>CUMPLE</v>
      </c>
      <c r="AH548" s="10">
        <f>0.75*0.083*SQRT($B$2)*(((D548*1000)*(E548*1000))^2/(2*((D548*1000)+(E548*1000))))/1000000</f>
        <v>3.388073536</v>
      </c>
      <c r="AI548" s="15" t="str">
        <f>IF(I548&gt;AH548,"SI","No")</f>
        <v>No</v>
      </c>
      <c r="AJ548" s="11">
        <f>IF(I548&gt;AH548,I548*1000000/(0.75*2*0.85*((D548*1000-2*$F$2)*(E548*1000-2*$F$2))*$D$2),0)</f>
        <v>0</v>
      </c>
      <c r="AK548" s="10">
        <f>1.25*Q548*$D$2*(J548-(1.25*Q548*$D$2/(0.85*$B$2*(D548*1000)))/2)/1000000</f>
        <v>68.51839235</v>
      </c>
      <c r="AL548" s="10">
        <f>1.25*Z548*$D$2*(J548-(1.25*Z548*$D$2/(0.85*$B$2*(D548*1000)))/2)/1000000</f>
        <v>68.51839235</v>
      </c>
      <c r="AM548" s="10">
        <f>(AK548+AL548)/B548</f>
        <v>26.86995779</v>
      </c>
      <c r="AN548" s="10">
        <f>MAX(H548,AM548)</f>
        <v>28.9</v>
      </c>
    </row>
    <row r="549">
      <c r="A549" s="5" t="inlineStr">
        <is>
          <t>F1020</t>
        </is>
      </c>
      <c r="B549" s="6" t="n">
        <v>2.65</v>
      </c>
      <c r="C549" s="7" t="inlineStr">
        <is>
          <t>VC</t>
        </is>
      </c>
      <c r="D549" s="8">
        <f>IF(C549="VR",0.35,0.30)</f>
        <v>0.3</v>
      </c>
      <c r="E549" s="6" t="n">
        <v>0.4</v>
      </c>
      <c r="F549" s="9" t="n">
        <v>26.1</v>
      </c>
      <c r="G549" s="9" t="n">
        <v>13.6</v>
      </c>
      <c r="H549" s="9" t="n">
        <v>24</v>
      </c>
      <c r="I549" s="6" t="n">
        <v>0</v>
      </c>
      <c r="J549" s="10">
        <f>E549*1000-$F$2-$L$2-$H$2/2</f>
        <v>342.55</v>
      </c>
      <c r="K549" s="11">
        <f>F549*1000000/(0.9*(D549*1000)*J549^2)</f>
        <v>0.8234976634</v>
      </c>
      <c r="L549" s="12">
        <f>(0.85*$B$2/$D$2)*(1-SQRT(1-2*K549/(0.85*$B$2)))</f>
        <v>0.001995856759</v>
      </c>
      <c r="M549" s="13">
        <f>L549*(D549*1000)*J549</f>
        <v>205.1042199</v>
      </c>
      <c r="N549" s="13">
        <f>MAX(0.25*SQRT($B$2)/$D$2,1.4/$D$2)*(D549*1000)*J549</f>
        <v>342.55</v>
      </c>
      <c r="O549" s="13">
        <f>MAX(M549,N549)</f>
        <v>342.55</v>
      </c>
      <c r="P549" s="14">
        <f>ROUNDUP(O549/$J$2,0)</f>
        <v>2</v>
      </c>
      <c r="Q549" s="13">
        <f>P549*$J$2</f>
        <v>398</v>
      </c>
      <c r="R549" s="10">
        <f>Q549*$D$2/(0.85*$B$2*(D549*1000))</f>
        <v>23.41176471</v>
      </c>
      <c r="S549" s="10">
        <f>0.9*Q549*$D$2*(J549-R549/2)/1000000</f>
        <v>49.77351244</v>
      </c>
      <c r="T549" s="15" t="str">
        <f>IF(AND(S549&gt;=F549,O549&lt;=0.025*(D549*1000)*J549,O549&gt;=N549),"CUMPLE","REVISAR")</f>
        <v>CUMPLE</v>
      </c>
      <c r="U549" s="11">
        <f>G549*1000000/(0.9*(D549*1000)*J549^2)</f>
        <v>0.429582338</v>
      </c>
      <c r="V549" s="12">
        <f>(0.85*$B$2/$D$2)*(1-SQRT(1-2*U549/(0.85*$B$2)))</f>
        <v>0.001032216301</v>
      </c>
      <c r="W549" s="13">
        <f>V549*(D549*1000)*J549</f>
        <v>106.0757081</v>
      </c>
      <c r="X549" s="13">
        <f>MAX(W549,N549)</f>
        <v>342.55</v>
      </c>
      <c r="Y549" s="14">
        <f>ROUNDUP(X549/$J$2,0)</f>
        <v>2</v>
      </c>
      <c r="Z549" s="13">
        <f>Y549*$J$2</f>
        <v>398</v>
      </c>
      <c r="AA549" s="10">
        <f>0.9*Z549*$D$2*(J549-(Z549*$D$2/(0.85*$B$2*(D549*1000)))/2)/1000000</f>
        <v>49.77351244</v>
      </c>
      <c r="AB549" s="15" t="str">
        <f>IF(AA549&gt;=G549,"CUMPLE","REVISAR")</f>
        <v>CUMPLE</v>
      </c>
      <c r="AC549" s="10">
        <f>0.17*SQRT($B$2)*(D549*1000)*J549/1000</f>
        <v>92.44281538</v>
      </c>
      <c r="AD549" s="10">
        <f>MAX(H549/0.75-AC549,0)</f>
        <v>0</v>
      </c>
      <c r="AE549" s="14">
        <f>IF(AD549&gt;0,MIN($N$2*$D$2*J549/(AD549*1000),MIN(J549/4,6*$H$2,150)),MIN(J549/4,6*$H$2,150))</f>
        <v>85.6375</v>
      </c>
      <c r="AF549" s="10">
        <f>0.66*SQRT($B$2)*(D549*1000)*J549/1000</f>
        <v>358.8956362</v>
      </c>
      <c r="AG549" s="15" t="str">
        <f>IF(AD549&lt;=AF549,"CUMPLE","AUMENTAR SECCION")</f>
        <v>CUMPLE</v>
      </c>
      <c r="AH549" s="10">
        <f>0.75*0.083*SQRT($B$2)*(((D549*1000)*(E549*1000))^2/(2*((D549*1000)+(E549*1000))))/1000000</f>
        <v>3.388073536</v>
      </c>
      <c r="AI549" s="15" t="str">
        <f>IF(I549&gt;AH549,"SI","No")</f>
        <v>No</v>
      </c>
      <c r="AJ549" s="11">
        <f>IF(I549&gt;AH549,I549*1000000/(0.75*2*0.85*((D549*1000-2*$F$2)*(E549*1000-2*$F$2))*$D$2),0)</f>
        <v>0</v>
      </c>
      <c r="AK549" s="10">
        <f>1.25*Q549*$D$2*(J549-(1.25*Q549*$D$2/(0.85*$B$2*(D549*1000)))/2)/1000000</f>
        <v>68.51839235</v>
      </c>
      <c r="AL549" s="10">
        <f>1.25*Z549*$D$2*(J549-(1.25*Z549*$D$2/(0.85*$B$2*(D549*1000)))/2)/1000000</f>
        <v>68.51839235</v>
      </c>
      <c r="AM549" s="10">
        <f>(AK549+AL549)/B549</f>
        <v>51.71199423</v>
      </c>
      <c r="AN549" s="10">
        <f>MAX(H549,AM549)</f>
        <v>51.71199423</v>
      </c>
    </row>
    <row r="550">
      <c r="A550" s="5" t="inlineStr">
        <is>
          <t>F1021</t>
        </is>
      </c>
      <c r="B550" s="6" t="n">
        <v>2.65</v>
      </c>
      <c r="C550" s="7" t="inlineStr">
        <is>
          <t>VC</t>
        </is>
      </c>
      <c r="D550" s="8">
        <f>IF(C550="VR",0.35,0.30)</f>
        <v>0.3</v>
      </c>
      <c r="E550" s="6" t="n">
        <v>0.4</v>
      </c>
      <c r="F550" s="9" t="n">
        <v>26.4</v>
      </c>
      <c r="G550" s="9" t="n">
        <v>13.8</v>
      </c>
      <c r="H550" s="9" t="n">
        <v>24.2</v>
      </c>
      <c r="I550" s="6" t="n">
        <v>0</v>
      </c>
      <c r="J550" s="10">
        <f>E550*1000-$F$2-$L$2-$H$2/2</f>
        <v>342.55</v>
      </c>
      <c r="K550" s="11">
        <f>F550*1000000/(0.9*(D550*1000)*J550^2)</f>
        <v>0.8342293309</v>
      </c>
      <c r="L550" s="12">
        <f>(0.85*$B$2/$D$2)*(1-SQRT(1-2*K550/(0.85*$B$2)))</f>
        <v>0.002022347574</v>
      </c>
      <c r="M550" s="13">
        <f>L550*(D550*1000)*J550</f>
        <v>207.8265484</v>
      </c>
      <c r="N550" s="13">
        <f>MAX(0.25*SQRT($B$2)/$D$2,1.4/$D$2)*(D550*1000)*J550</f>
        <v>342.55</v>
      </c>
      <c r="O550" s="13">
        <f>MAX(M550,N550)</f>
        <v>342.55</v>
      </c>
      <c r="P550" s="14">
        <f>ROUNDUP(O550/$J$2,0)</f>
        <v>2</v>
      </c>
      <c r="Q550" s="13">
        <f>P550*$J$2</f>
        <v>398</v>
      </c>
      <c r="R550" s="10">
        <f>Q550*$D$2/(0.85*$B$2*(D550*1000))</f>
        <v>23.41176471</v>
      </c>
      <c r="S550" s="10">
        <f>0.9*Q550*$D$2*(J550-R550/2)/1000000</f>
        <v>49.77351244</v>
      </c>
      <c r="T550" s="15" t="str">
        <f>IF(AND(S550&gt;=F550,O550&lt;=0.025*(D550*1000)*J550,O550&gt;=N550),"CUMPLE","REVISAR")</f>
        <v>CUMPLE</v>
      </c>
      <c r="U550" s="11">
        <f>G550*1000000/(0.9*(D550*1000)*J550^2)</f>
        <v>0.4362107209</v>
      </c>
      <c r="V550" s="12">
        <f>(0.85*$B$2/$D$2)*(1-SQRT(1-2*U550/(0.85*$B$2)))</f>
        <v>0.001048293297</v>
      </c>
      <c r="W550" s="13">
        <f>V550*(D550*1000)*J550</f>
        <v>107.7278607</v>
      </c>
      <c r="X550" s="13">
        <f>MAX(W550,N550)</f>
        <v>342.55</v>
      </c>
      <c r="Y550" s="14">
        <f>ROUNDUP(X550/$J$2,0)</f>
        <v>2</v>
      </c>
      <c r="Z550" s="13">
        <f>Y550*$J$2</f>
        <v>398</v>
      </c>
      <c r="AA550" s="10">
        <f>0.9*Z550*$D$2*(J550-(Z550*$D$2/(0.85*$B$2*(D550*1000)))/2)/1000000</f>
        <v>49.77351244</v>
      </c>
      <c r="AB550" s="15" t="str">
        <f>IF(AA550&gt;=G550,"CUMPLE","REVISAR")</f>
        <v>CUMPLE</v>
      </c>
      <c r="AC550" s="10">
        <f>0.17*SQRT($B$2)*(D550*1000)*J550/1000</f>
        <v>92.44281538</v>
      </c>
      <c r="AD550" s="10">
        <f>MAX(H550/0.75-AC550,0)</f>
        <v>0</v>
      </c>
      <c r="AE550" s="14">
        <f>IF(AD550&gt;0,MIN($N$2*$D$2*J550/(AD550*1000),MIN(J550/4,6*$H$2,150)),MIN(J550/4,6*$H$2,150))</f>
        <v>85.6375</v>
      </c>
      <c r="AF550" s="10">
        <f>0.66*SQRT($B$2)*(D550*1000)*J550/1000</f>
        <v>358.8956362</v>
      </c>
      <c r="AG550" s="15" t="str">
        <f>IF(AD550&lt;=AF550,"CUMPLE","AUMENTAR SECCION")</f>
        <v>CUMPLE</v>
      </c>
      <c r="AH550" s="10">
        <f>0.75*0.083*SQRT($B$2)*(((D550*1000)*(E550*1000))^2/(2*((D550*1000)+(E550*1000))))/1000000</f>
        <v>3.388073536</v>
      </c>
      <c r="AI550" s="15" t="str">
        <f>IF(I550&gt;AH550,"SI","No")</f>
        <v>No</v>
      </c>
      <c r="AJ550" s="11">
        <f>IF(I550&gt;AH550,I550*1000000/(0.75*2*0.85*((D550*1000-2*$F$2)*(E550*1000-2*$F$2))*$D$2),0)</f>
        <v>0</v>
      </c>
      <c r="AK550" s="10">
        <f>1.25*Q550*$D$2*(J550-(1.25*Q550*$D$2/(0.85*$B$2*(D550*1000)))/2)/1000000</f>
        <v>68.51839235</v>
      </c>
      <c r="AL550" s="10">
        <f>1.25*Z550*$D$2*(J550-(1.25*Z550*$D$2/(0.85*$B$2*(D550*1000)))/2)/1000000</f>
        <v>68.51839235</v>
      </c>
      <c r="AM550" s="10">
        <f>(AK550+AL550)/B550</f>
        <v>51.71199423</v>
      </c>
      <c r="AN550" s="10">
        <f>MAX(H550,AM550)</f>
        <v>51.71199423</v>
      </c>
    </row>
    <row r="551">
      <c r="A551" s="5" t="inlineStr">
        <is>
          <t>F1022</t>
        </is>
      </c>
      <c r="B551" s="6" t="n">
        <v>5.1</v>
      </c>
      <c r="C551" s="7" t="inlineStr">
        <is>
          <t>VC</t>
        </is>
      </c>
      <c r="D551" s="8">
        <f>IF(C551="VR",0.35,0.30)</f>
        <v>0.3</v>
      </c>
      <c r="E551" s="6" t="n">
        <v>0.4</v>
      </c>
      <c r="F551" s="9" t="n">
        <v>44.2</v>
      </c>
      <c r="G551" s="9" t="n">
        <v>17.8</v>
      </c>
      <c r="H551" s="9" t="n">
        <v>29</v>
      </c>
      <c r="I551" s="6" t="n">
        <v>0</v>
      </c>
      <c r="J551" s="10">
        <f>E551*1000-$F$2-$L$2-$H$2/2</f>
        <v>342.55</v>
      </c>
      <c r="K551" s="11">
        <f>F551*1000000/(0.9*(D551*1000)*J551^2)</f>
        <v>1.39480114</v>
      </c>
      <c r="L551" s="12">
        <f>(0.85*$B$2/$D$2)*(1-SQRT(1-2*K551/(0.85*$B$2)))</f>
        <v>0.003424425915</v>
      </c>
      <c r="M551" s="13">
        <f>L551*(D551*1000)*J551</f>
        <v>351.9111291</v>
      </c>
      <c r="N551" s="13">
        <f>MAX(0.25*SQRT($B$2)/$D$2,1.4/$D$2)*(D551*1000)*J551</f>
        <v>342.55</v>
      </c>
      <c r="O551" s="13">
        <f>MAX(M551,N551)</f>
        <v>351.9111291</v>
      </c>
      <c r="P551" s="14">
        <f>ROUNDUP(O551/$J$2,0)</f>
        <v>2</v>
      </c>
      <c r="Q551" s="13">
        <f>P551*$J$2</f>
        <v>398</v>
      </c>
      <c r="R551" s="10">
        <f>Q551*$D$2/(0.85*$B$2*(D551*1000))</f>
        <v>23.41176471</v>
      </c>
      <c r="S551" s="10">
        <f>0.9*Q551*$D$2*(J551-R551/2)/1000000</f>
        <v>49.77351244</v>
      </c>
      <c r="T551" s="15" t="str">
        <f>IF(AND(S551&gt;=F551,O551&lt;=0.025*(D551*1000)*J551,O551&gt;=N551),"CUMPLE","REVISAR")</f>
        <v>CUMPLE</v>
      </c>
      <c r="U551" s="11">
        <f>G551*1000000/(0.9*(D551*1000)*J551^2)</f>
        <v>0.5605718092</v>
      </c>
      <c r="V551" s="12">
        <f>(0.85*$B$2/$D$2)*(1-SQRT(1-2*U551/(0.85*$B$2)))</f>
        <v>0.001350794602</v>
      </c>
      <c r="W551" s="13">
        <f>V551*(D551*1000)*J551</f>
        <v>138.8144073</v>
      </c>
      <c r="X551" s="13">
        <f>MAX(W551,N551)</f>
        <v>342.55</v>
      </c>
      <c r="Y551" s="14">
        <f>ROUNDUP(X551/$J$2,0)</f>
        <v>2</v>
      </c>
      <c r="Z551" s="13">
        <f>Y551*$J$2</f>
        <v>398</v>
      </c>
      <c r="AA551" s="10">
        <f>0.9*Z551*$D$2*(J551-(Z551*$D$2/(0.85*$B$2*(D551*1000)))/2)/1000000</f>
        <v>49.77351244</v>
      </c>
      <c r="AB551" s="15" t="str">
        <f>IF(AA551&gt;=G551,"CUMPLE","REVISAR")</f>
        <v>CUMPLE</v>
      </c>
      <c r="AC551" s="10">
        <f>0.17*SQRT($B$2)*(D551*1000)*J551/1000</f>
        <v>92.44281538</v>
      </c>
      <c r="AD551" s="10">
        <f>MAX(H551/0.75-AC551,0)</f>
        <v>0</v>
      </c>
      <c r="AE551" s="14">
        <f>IF(AD551&gt;0,MIN($N$2*$D$2*J551/(AD551*1000),MIN(J551/4,6*$H$2,150)),MIN(J551/4,6*$H$2,150))</f>
        <v>85.6375</v>
      </c>
      <c r="AF551" s="10">
        <f>0.66*SQRT($B$2)*(D551*1000)*J551/1000</f>
        <v>358.8956362</v>
      </c>
      <c r="AG551" s="15" t="str">
        <f>IF(AD551&lt;=AF551,"CUMPLE","AUMENTAR SECCION")</f>
        <v>CUMPLE</v>
      </c>
      <c r="AH551" s="10">
        <f>0.75*0.083*SQRT($B$2)*(((D551*1000)*(E551*1000))^2/(2*((D551*1000)+(E551*1000))))/1000000</f>
        <v>3.388073536</v>
      </c>
      <c r="AI551" s="15" t="str">
        <f>IF(I551&gt;AH551,"SI","No")</f>
        <v>No</v>
      </c>
      <c r="AJ551" s="11">
        <f>IF(I551&gt;AH551,I551*1000000/(0.75*2*0.85*((D551*1000-2*$F$2)*(E551*1000-2*$F$2))*$D$2),0)</f>
        <v>0</v>
      </c>
      <c r="AK551" s="10">
        <f>1.25*Q551*$D$2*(J551-(1.25*Q551*$D$2/(0.85*$B$2*(D551*1000)))/2)/1000000</f>
        <v>68.51839235</v>
      </c>
      <c r="AL551" s="10">
        <f>1.25*Z551*$D$2*(J551-(1.25*Z551*$D$2/(0.85*$B$2*(D551*1000)))/2)/1000000</f>
        <v>68.51839235</v>
      </c>
      <c r="AM551" s="10">
        <f>(AK551+AL551)/B551</f>
        <v>26.86995779</v>
      </c>
      <c r="AN551" s="10">
        <f>MAX(H551,AM551)</f>
        <v>29.01</v>
      </c>
    </row>
    <row r="552">
      <c r="A552" s="5" t="inlineStr">
        <is>
          <t>F1023</t>
        </is>
      </c>
      <c r="B552" s="6" t="n">
        <v>5.1</v>
      </c>
      <c r="C552" s="7" t="inlineStr">
        <is>
          <t>VC</t>
        </is>
      </c>
      <c r="D552" s="8">
        <f>IF(C552="VR",0.35,0.30)</f>
        <v>0.3</v>
      </c>
      <c r="E552" s="6" t="n">
        <v>0.4</v>
      </c>
      <c r="F552" s="9" t="n">
        <v>44.2</v>
      </c>
      <c r="G552" s="9" t="n">
        <v>17.8</v>
      </c>
      <c r="H552" s="9" t="n">
        <v>29</v>
      </c>
      <c r="I552" s="6" t="n">
        <v>0</v>
      </c>
      <c r="J552" s="10">
        <f>E552*1000-$F$2-$L$2-$H$2/2</f>
        <v>342.55</v>
      </c>
      <c r="K552" s="11">
        <f>F552*1000000/(0.9*(D552*1000)*J552^2)</f>
        <v>1.39480114</v>
      </c>
      <c r="L552" s="12">
        <f>(0.85*$B$2/$D$2)*(1-SQRT(1-2*K552/(0.85*$B$2)))</f>
        <v>0.003424425915</v>
      </c>
      <c r="M552" s="13">
        <f>L552*(D552*1000)*J552</f>
        <v>351.9111291</v>
      </c>
      <c r="N552" s="13">
        <f>MAX(0.25*SQRT($B$2)/$D$2,1.4/$D$2)*(D552*1000)*J552</f>
        <v>342.55</v>
      </c>
      <c r="O552" s="13">
        <f>MAX(M552,N552)</f>
        <v>351.9111291</v>
      </c>
      <c r="P552" s="14">
        <f>ROUNDUP(O552/$J$2,0)</f>
        <v>2</v>
      </c>
      <c r="Q552" s="13">
        <f>P552*$J$2</f>
        <v>398</v>
      </c>
      <c r="R552" s="10">
        <f>Q552*$D$2/(0.85*$B$2*(D552*1000))</f>
        <v>23.41176471</v>
      </c>
      <c r="S552" s="10">
        <f>0.9*Q552*$D$2*(J552-R552/2)/1000000</f>
        <v>49.77351244</v>
      </c>
      <c r="T552" s="15" t="str">
        <f>IF(AND(S552&gt;=F552,O552&lt;=0.025*(D552*1000)*J552,O552&gt;=N552),"CUMPLE","REVISAR")</f>
        <v>CUMPLE</v>
      </c>
      <c r="U552" s="11">
        <f>G552*1000000/(0.9*(D552*1000)*J552^2)</f>
        <v>0.5605718092</v>
      </c>
      <c r="V552" s="12">
        <f>(0.85*$B$2/$D$2)*(1-SQRT(1-2*U552/(0.85*$B$2)))</f>
        <v>0.001350794602</v>
      </c>
      <c r="W552" s="13">
        <f>V552*(D552*1000)*J552</f>
        <v>138.8144073</v>
      </c>
      <c r="X552" s="13">
        <f>MAX(W552,N552)</f>
        <v>342.55</v>
      </c>
      <c r="Y552" s="14">
        <f>ROUNDUP(X552/$J$2,0)</f>
        <v>2</v>
      </c>
      <c r="Z552" s="13">
        <f>Y552*$J$2</f>
        <v>398</v>
      </c>
      <c r="AA552" s="10">
        <f>0.9*Z552*$D$2*(J552-(Z552*$D$2/(0.85*$B$2*(D552*1000)))/2)/1000000</f>
        <v>49.77351244</v>
      </c>
      <c r="AB552" s="15" t="str">
        <f>IF(AA552&gt;=G552,"CUMPLE","REVISAR")</f>
        <v>CUMPLE</v>
      </c>
      <c r="AC552" s="10">
        <f>0.17*SQRT($B$2)*(D552*1000)*J552/1000</f>
        <v>92.44281538</v>
      </c>
      <c r="AD552" s="10">
        <f>MAX(H552/0.75-AC552,0)</f>
        <v>0</v>
      </c>
      <c r="AE552" s="14">
        <f>IF(AD552&gt;0,MIN($N$2*$D$2*J552/(AD552*1000),MIN(J552/4,6*$H$2,150)),MIN(J552/4,6*$H$2,150))</f>
        <v>85.6375</v>
      </c>
      <c r="AF552" s="10">
        <f>0.66*SQRT($B$2)*(D552*1000)*J552/1000</f>
        <v>358.8956362</v>
      </c>
      <c r="AG552" s="15" t="str">
        <f>IF(AD552&lt;=AF552,"CUMPLE","AUMENTAR SECCION")</f>
        <v>CUMPLE</v>
      </c>
      <c r="AH552" s="10">
        <f>0.75*0.083*SQRT($B$2)*(((D552*1000)*(E552*1000))^2/(2*((D552*1000)+(E552*1000))))/1000000</f>
        <v>3.388073536</v>
      </c>
      <c r="AI552" s="15" t="str">
        <f>IF(I552&gt;AH552,"SI","No")</f>
        <v>No</v>
      </c>
      <c r="AJ552" s="11">
        <f>IF(I552&gt;AH552,I552*1000000/(0.75*2*0.85*((D552*1000-2*$F$2)*(E552*1000-2*$F$2))*$D$2),0)</f>
        <v>0</v>
      </c>
      <c r="AK552" s="10">
        <f>1.25*Q552*$D$2*(J552-(1.25*Q552*$D$2/(0.85*$B$2*(D552*1000)))/2)/1000000</f>
        <v>68.51839235</v>
      </c>
      <c r="AL552" s="10">
        <f>1.25*Z552*$D$2*(J552-(1.25*Z552*$D$2/(0.85*$B$2*(D552*1000)))/2)/1000000</f>
        <v>68.51839235</v>
      </c>
      <c r="AM552" s="10">
        <f>(AK552+AL552)/B552</f>
        <v>26.86995779</v>
      </c>
      <c r="AN552" s="10">
        <f>MAX(H552,AM552)</f>
        <v>29.01</v>
      </c>
    </row>
    <row r="553">
      <c r="A553" s="5" t="inlineStr">
        <is>
          <t>F1024</t>
        </is>
      </c>
      <c r="B553" s="6" t="n">
        <v>2.65</v>
      </c>
      <c r="C553" s="7" t="inlineStr">
        <is>
          <t>VC</t>
        </is>
      </c>
      <c r="D553" s="8">
        <f>IF(C553="VR",0.35,0.30)</f>
        <v>0.3</v>
      </c>
      <c r="E553" s="6" t="n">
        <v>0.4</v>
      </c>
      <c r="F553" s="9" t="n">
        <v>26.4</v>
      </c>
      <c r="G553" s="9" t="n">
        <v>13.8</v>
      </c>
      <c r="H553" s="9" t="n">
        <v>24.2</v>
      </c>
      <c r="I553" s="6" t="n">
        <v>0</v>
      </c>
      <c r="J553" s="10">
        <f>E553*1000-$F$2-$L$2-$H$2/2</f>
        <v>342.55</v>
      </c>
      <c r="K553" s="11">
        <f>F553*1000000/(0.9*(D553*1000)*J553^2)</f>
        <v>0.8342293309</v>
      </c>
      <c r="L553" s="12">
        <f>(0.85*$B$2/$D$2)*(1-SQRT(1-2*K553/(0.85*$B$2)))</f>
        <v>0.002022347574</v>
      </c>
      <c r="M553" s="13">
        <f>L553*(D553*1000)*J553</f>
        <v>207.8265484</v>
      </c>
      <c r="N553" s="13">
        <f>MAX(0.25*SQRT($B$2)/$D$2,1.4/$D$2)*(D553*1000)*J553</f>
        <v>342.55</v>
      </c>
      <c r="O553" s="13">
        <f>MAX(M553,N553)</f>
        <v>342.55</v>
      </c>
      <c r="P553" s="14">
        <f>ROUNDUP(O553/$J$2,0)</f>
        <v>2</v>
      </c>
      <c r="Q553" s="13">
        <f>P553*$J$2</f>
        <v>398</v>
      </c>
      <c r="R553" s="10">
        <f>Q553*$D$2/(0.85*$B$2*(D553*1000))</f>
        <v>23.41176471</v>
      </c>
      <c r="S553" s="10">
        <f>0.9*Q553*$D$2*(J553-R553/2)/1000000</f>
        <v>49.77351244</v>
      </c>
      <c r="T553" s="15" t="str">
        <f>IF(AND(S553&gt;=F553,O553&lt;=0.025*(D553*1000)*J553,O553&gt;=N553),"CUMPLE","REVISAR")</f>
        <v>CUMPLE</v>
      </c>
      <c r="U553" s="11">
        <f>G553*1000000/(0.9*(D553*1000)*J553^2)</f>
        <v>0.4362107209</v>
      </c>
      <c r="V553" s="12">
        <f>(0.85*$B$2/$D$2)*(1-SQRT(1-2*U553/(0.85*$B$2)))</f>
        <v>0.001048293297</v>
      </c>
      <c r="W553" s="13">
        <f>V553*(D553*1000)*J553</f>
        <v>107.7278607</v>
      </c>
      <c r="X553" s="13">
        <f>MAX(W553,N553)</f>
        <v>342.55</v>
      </c>
      <c r="Y553" s="14">
        <f>ROUNDUP(X553/$J$2,0)</f>
        <v>2</v>
      </c>
      <c r="Z553" s="13">
        <f>Y553*$J$2</f>
        <v>398</v>
      </c>
      <c r="AA553" s="10">
        <f>0.9*Z553*$D$2*(J553-(Z553*$D$2/(0.85*$B$2*(D553*1000)))/2)/1000000</f>
        <v>49.77351244</v>
      </c>
      <c r="AB553" s="15" t="str">
        <f>IF(AA553&gt;=G553,"CUMPLE","REVISAR")</f>
        <v>CUMPLE</v>
      </c>
      <c r="AC553" s="10">
        <f>0.17*SQRT($B$2)*(D553*1000)*J553/1000</f>
        <v>92.44281538</v>
      </c>
      <c r="AD553" s="10">
        <f>MAX(H553/0.75-AC553,0)</f>
        <v>0</v>
      </c>
      <c r="AE553" s="14">
        <f>IF(AD553&gt;0,MIN($N$2*$D$2*J553/(AD553*1000),MIN(J553/4,6*$H$2,150)),MIN(J553/4,6*$H$2,150))</f>
        <v>85.6375</v>
      </c>
      <c r="AF553" s="10">
        <f>0.66*SQRT($B$2)*(D553*1000)*J553/1000</f>
        <v>358.8956362</v>
      </c>
      <c r="AG553" s="15" t="str">
        <f>IF(AD553&lt;=AF553,"CUMPLE","AUMENTAR SECCION")</f>
        <v>CUMPLE</v>
      </c>
      <c r="AH553" s="10">
        <f>0.75*0.083*SQRT($B$2)*(((D553*1000)*(E553*1000))^2/(2*((D553*1000)+(E553*1000))))/1000000</f>
        <v>3.388073536</v>
      </c>
      <c r="AI553" s="15" t="str">
        <f>IF(I553&gt;AH553,"SI","No")</f>
        <v>No</v>
      </c>
      <c r="AJ553" s="11">
        <f>IF(I553&gt;AH553,I553*1000000/(0.75*2*0.85*((D553*1000-2*$F$2)*(E553*1000-2*$F$2))*$D$2),0)</f>
        <v>0</v>
      </c>
      <c r="AK553" s="10">
        <f>1.25*Q553*$D$2*(J553-(1.25*Q553*$D$2/(0.85*$B$2*(D553*1000)))/2)/1000000</f>
        <v>68.51839235</v>
      </c>
      <c r="AL553" s="10">
        <f>1.25*Z553*$D$2*(J553-(1.25*Z553*$D$2/(0.85*$B$2*(D553*1000)))/2)/1000000</f>
        <v>68.51839235</v>
      </c>
      <c r="AM553" s="10">
        <f>(AK553+AL553)/B553</f>
        <v>51.71199423</v>
      </c>
      <c r="AN553" s="10">
        <f>MAX(H553,AM553)</f>
        <v>51.71199423</v>
      </c>
    </row>
    <row r="554">
      <c r="A554" s="5" t="inlineStr">
        <is>
          <t>F1025</t>
        </is>
      </c>
      <c r="B554" s="6" t="n">
        <v>3.85</v>
      </c>
      <c r="C554" s="7" t="inlineStr">
        <is>
          <t>VC</t>
        </is>
      </c>
      <c r="D554" s="8">
        <f>IF(C554="VR",0.35,0.30)</f>
        <v>0.3</v>
      </c>
      <c r="E554" s="6" t="n">
        <v>0.4</v>
      </c>
      <c r="F554" s="9" t="n">
        <v>33.2</v>
      </c>
      <c r="G554" s="9" t="n">
        <v>18.2</v>
      </c>
      <c r="H554" s="9" t="n">
        <v>26</v>
      </c>
      <c r="I554" s="6" t="n">
        <v>0</v>
      </c>
      <c r="J554" s="10">
        <f>E554*1000-$F$2-$L$2-$H$2/2</f>
        <v>342.55</v>
      </c>
      <c r="K554" s="11">
        <f>F554*1000000/(0.9*(D554*1000)*J554^2)</f>
        <v>1.04665322</v>
      </c>
      <c r="L554" s="12">
        <f>(0.85*$B$2/$D$2)*(1-SQRT(1-2*K554/(0.85*$B$2)))</f>
        <v>0.002549378513</v>
      </c>
      <c r="M554" s="13">
        <f>L554*(D554*1000)*J554</f>
        <v>261.9868829</v>
      </c>
      <c r="N554" s="13">
        <f>MAX(0.25*SQRT($B$2)/$D$2,1.4/$D$2)*(D554*1000)*J554</f>
        <v>342.55</v>
      </c>
      <c r="O554" s="13">
        <f>MAX(M554,N554)</f>
        <v>342.55</v>
      </c>
      <c r="P554" s="14">
        <f>ROUNDUP(O554/$J$2,0)</f>
        <v>2</v>
      </c>
      <c r="Q554" s="13">
        <f>P554*$J$2</f>
        <v>398</v>
      </c>
      <c r="R554" s="10">
        <f>Q554*$D$2/(0.85*$B$2*(D554*1000))</f>
        <v>23.41176471</v>
      </c>
      <c r="S554" s="10">
        <f>0.9*Q554*$D$2*(J554-R554/2)/1000000</f>
        <v>49.77351244</v>
      </c>
      <c r="T554" s="15" t="str">
        <f>IF(AND(S554&gt;=F554,O554&lt;=0.025*(D554*1000)*J554,O554&gt;=N554),"CUMPLE","REVISAR")</f>
        <v>CUMPLE</v>
      </c>
      <c r="U554" s="11">
        <f>G554*1000000/(0.9*(D554*1000)*J554^2)</f>
        <v>0.5744598495</v>
      </c>
      <c r="V554" s="12">
        <f>(0.85*$B$2/$D$2)*(1-SQRT(1-2*U554/(0.85*$B$2)))</f>
        <v>0.001384679222</v>
      </c>
      <c r="W554" s="13">
        <f>V554*(D554*1000)*J554</f>
        <v>142.2965602</v>
      </c>
      <c r="X554" s="13">
        <f>MAX(W554,N554)</f>
        <v>342.55</v>
      </c>
      <c r="Y554" s="14">
        <f>ROUNDUP(X554/$J$2,0)</f>
        <v>2</v>
      </c>
      <c r="Z554" s="13">
        <f>Y554*$J$2</f>
        <v>398</v>
      </c>
      <c r="AA554" s="10">
        <f>0.9*Z554*$D$2*(J554-(Z554*$D$2/(0.85*$B$2*(D554*1000)))/2)/1000000</f>
        <v>49.77351244</v>
      </c>
      <c r="AB554" s="15" t="str">
        <f>IF(AA554&gt;=G554,"CUMPLE","REVISAR")</f>
        <v>CUMPLE</v>
      </c>
      <c r="AC554" s="10">
        <f>0.17*SQRT($B$2)*(D554*1000)*J554/1000</f>
        <v>92.44281538</v>
      </c>
      <c r="AD554" s="10">
        <f>MAX(H554/0.75-AC554,0)</f>
        <v>0</v>
      </c>
      <c r="AE554" s="14">
        <f>IF(AD554&gt;0,MIN($N$2*$D$2*J554/(AD554*1000),MIN(J554/4,6*$H$2,150)),MIN(J554/4,6*$H$2,150))</f>
        <v>85.6375</v>
      </c>
      <c r="AF554" s="10">
        <f>0.66*SQRT($B$2)*(D554*1000)*J554/1000</f>
        <v>358.8956362</v>
      </c>
      <c r="AG554" s="15" t="str">
        <f>IF(AD554&lt;=AF554,"CUMPLE","AUMENTAR SECCION")</f>
        <v>CUMPLE</v>
      </c>
      <c r="AH554" s="10">
        <f>0.75*0.083*SQRT($B$2)*(((D554*1000)*(E554*1000))^2/(2*((D554*1000)+(E554*1000))))/1000000</f>
        <v>3.388073536</v>
      </c>
      <c r="AI554" s="15" t="str">
        <f>IF(I554&gt;AH554,"SI","No")</f>
        <v>No</v>
      </c>
      <c r="AJ554" s="11">
        <f>IF(I554&gt;AH554,I554*1000000/(0.75*2*0.85*((D554*1000-2*$F$2)*(E554*1000-2*$F$2))*$D$2),0)</f>
        <v>0</v>
      </c>
      <c r="AK554" s="10">
        <f>1.25*Q554*$D$2*(J554-(1.25*Q554*$D$2/(0.85*$B$2*(D554*1000)))/2)/1000000</f>
        <v>68.51839235</v>
      </c>
      <c r="AL554" s="10">
        <f>1.25*Z554*$D$2*(J554-(1.25*Z554*$D$2/(0.85*$B$2*(D554*1000)))/2)/1000000</f>
        <v>68.51839235</v>
      </c>
      <c r="AM554" s="10">
        <f>(AK554+AL554)/B554</f>
        <v>35.59397005</v>
      </c>
      <c r="AN554" s="10">
        <f>MAX(H554,AM554)</f>
        <v>35.59397005</v>
      </c>
    </row>
    <row r="555">
      <c r="A555" s="5" t="inlineStr">
        <is>
          <t>F1026</t>
        </is>
      </c>
      <c r="B555" s="6" t="n">
        <v>3.9</v>
      </c>
      <c r="C555" s="7" t="inlineStr">
        <is>
          <t>VC</t>
        </is>
      </c>
      <c r="D555" s="8">
        <f>IF(C555="VR",0.35,0.30)</f>
        <v>0.3</v>
      </c>
      <c r="E555" s="6" t="n">
        <v>0.4</v>
      </c>
      <c r="F555" s="9" t="n">
        <v>41.3</v>
      </c>
      <c r="G555" s="9" t="n">
        <v>18.9</v>
      </c>
      <c r="H555" s="9" t="n">
        <v>35</v>
      </c>
      <c r="I555" s="6" t="n">
        <v>0</v>
      </c>
      <c r="J555" s="10">
        <f>E555*1000-$F$2-$L$2-$H$2/2</f>
        <v>342.55</v>
      </c>
      <c r="K555" s="11">
        <f>F555*1000000/(0.9*(D555*1000)*J555^2)</f>
        <v>1.303266329</v>
      </c>
      <c r="L555" s="12">
        <f>(0.85*$B$2/$D$2)*(1-SQRT(1-2*K555/(0.85*$B$2)))</f>
        <v>0.003192971545</v>
      </c>
      <c r="M555" s="13">
        <f>L555*(D555*1000)*J555</f>
        <v>328.1257208</v>
      </c>
      <c r="N555" s="13">
        <f>MAX(0.25*SQRT($B$2)/$D$2,1.4/$D$2)*(D555*1000)*J555</f>
        <v>342.55</v>
      </c>
      <c r="O555" s="13">
        <f>MAX(M555,N555)</f>
        <v>342.55</v>
      </c>
      <c r="P555" s="14">
        <f>ROUNDUP(O555/$J$2,0)</f>
        <v>2</v>
      </c>
      <c r="Q555" s="13">
        <f>P555*$J$2</f>
        <v>398</v>
      </c>
      <c r="R555" s="10">
        <f>Q555*$D$2/(0.85*$B$2*(D555*1000))</f>
        <v>23.41176471</v>
      </c>
      <c r="S555" s="10">
        <f>0.9*Q555*$D$2*(J555-R555/2)/1000000</f>
        <v>49.77351244</v>
      </c>
      <c r="T555" s="15" t="str">
        <f>IF(AND(S555&gt;=F555,O555&lt;=0.025*(D555*1000)*J555,O555&gt;=N555),"CUMPLE","REVISAR")</f>
        <v>CUMPLE</v>
      </c>
      <c r="U555" s="11">
        <f>G555*1000000/(0.9*(D555*1000)*J555^2)</f>
        <v>0.5962388218</v>
      </c>
      <c r="V555" s="12">
        <f>(0.85*$B$2/$D$2)*(1-SQRT(1-2*U555/(0.85*$B$2)))</f>
        <v>0.00143785833</v>
      </c>
      <c r="W555" s="13">
        <f>V555*(D555*1000)*J555</f>
        <v>147.7615113</v>
      </c>
      <c r="X555" s="13">
        <f>MAX(W555,N555)</f>
        <v>342.55</v>
      </c>
      <c r="Y555" s="14">
        <f>ROUNDUP(X555/$J$2,0)</f>
        <v>2</v>
      </c>
      <c r="Z555" s="13">
        <f>Y555*$J$2</f>
        <v>398</v>
      </c>
      <c r="AA555" s="10">
        <f>0.9*Z555*$D$2*(J555-(Z555*$D$2/(0.85*$B$2*(D555*1000)))/2)/1000000</f>
        <v>49.77351244</v>
      </c>
      <c r="AB555" s="15" t="str">
        <f>IF(AA555&gt;=G555,"CUMPLE","REVISAR")</f>
        <v>CUMPLE</v>
      </c>
      <c r="AC555" s="10">
        <f>0.17*SQRT($B$2)*(D555*1000)*J555/1000</f>
        <v>92.44281538</v>
      </c>
      <c r="AD555" s="10">
        <f>MAX(H555/0.75-AC555,0)</f>
        <v>0</v>
      </c>
      <c r="AE555" s="14">
        <f>IF(AD555&gt;0,MIN($N$2*$D$2*J555/(AD555*1000),MIN(J555/4,6*$H$2,150)),MIN(J555/4,6*$H$2,150))</f>
        <v>85.6375</v>
      </c>
      <c r="AF555" s="10">
        <f>0.66*SQRT($B$2)*(D555*1000)*J555/1000</f>
        <v>358.8956362</v>
      </c>
      <c r="AG555" s="15" t="str">
        <f>IF(AD555&lt;=AF555,"CUMPLE","AUMENTAR SECCION")</f>
        <v>CUMPLE</v>
      </c>
      <c r="AH555" s="10">
        <f>0.75*0.083*SQRT($B$2)*(((D555*1000)*(E555*1000))^2/(2*((D555*1000)+(E555*1000))))/1000000</f>
        <v>3.388073536</v>
      </c>
      <c r="AI555" s="15" t="str">
        <f>IF(I555&gt;AH555,"SI","No")</f>
        <v>No</v>
      </c>
      <c r="AJ555" s="11">
        <f>IF(I555&gt;AH555,I555*1000000/(0.75*2*0.85*((D555*1000-2*$F$2)*(E555*1000-2*$F$2))*$D$2),0)</f>
        <v>0</v>
      </c>
      <c r="AK555" s="10">
        <f>1.25*Q555*$D$2*(J555-(1.25*Q555*$D$2/(0.85*$B$2*(D555*1000)))/2)/1000000</f>
        <v>68.51839235</v>
      </c>
      <c r="AL555" s="10">
        <f>1.25*Z555*$D$2*(J555-(1.25*Z555*$D$2/(0.85*$B$2*(D555*1000)))/2)/1000000</f>
        <v>68.51839235</v>
      </c>
      <c r="AM555" s="10">
        <f>(AK555+AL555)/B555</f>
        <v>35.1376371</v>
      </c>
      <c r="AN555" s="10">
        <f>MAX(H555,AM555)</f>
        <v>35.1376371</v>
      </c>
    </row>
    <row r="556">
      <c r="A556" s="5" t="inlineStr">
        <is>
          <t>F1027</t>
        </is>
      </c>
      <c r="B556" s="6" t="n">
        <v>3.9</v>
      </c>
      <c r="C556" s="7" t="inlineStr">
        <is>
          <t>VC</t>
        </is>
      </c>
      <c r="D556" s="8">
        <f>IF(C556="VR",0.35,0.30)</f>
        <v>0.3</v>
      </c>
      <c r="E556" s="6" t="n">
        <v>0.4</v>
      </c>
      <c r="F556" s="9" t="n">
        <v>41.3</v>
      </c>
      <c r="G556" s="9" t="n">
        <v>18.9</v>
      </c>
      <c r="H556" s="9" t="n">
        <v>35</v>
      </c>
      <c r="I556" s="6" t="n">
        <v>0</v>
      </c>
      <c r="J556" s="10">
        <f>E556*1000-$F$2-$L$2-$H$2/2</f>
        <v>342.55</v>
      </c>
      <c r="K556" s="11">
        <f>F556*1000000/(0.9*(D556*1000)*J556^2)</f>
        <v>1.303581966</v>
      </c>
      <c r="L556" s="12">
        <f>(0.85*$B$2/$D$2)*(1-SQRT(1-2*K556/(0.85*$B$2)))</f>
        <v>0.003193767942</v>
      </c>
      <c r="M556" s="13">
        <f>L556*(D556*1000)*J556</f>
        <v>328.2075626</v>
      </c>
      <c r="N556" s="13">
        <f>MAX(0.25*SQRT($B$2)/$D$2,1.4/$D$2)*(D556*1000)*J556</f>
        <v>342.55</v>
      </c>
      <c r="O556" s="13">
        <f>MAX(M556,N556)</f>
        <v>342.55</v>
      </c>
      <c r="P556" s="14">
        <f>ROUNDUP(O556/$J$2,0)</f>
        <v>2</v>
      </c>
      <c r="Q556" s="13">
        <f>P556*$J$2</f>
        <v>398</v>
      </c>
      <c r="R556" s="10">
        <f>Q556*$D$2/(0.85*$B$2*(D556*1000))</f>
        <v>23.41176471</v>
      </c>
      <c r="S556" s="10">
        <f>0.9*Q556*$D$2*(J556-R556/2)/1000000</f>
        <v>49.77351244</v>
      </c>
      <c r="T556" s="15" t="str">
        <f>IF(AND(S556&gt;=F556,O556&lt;=0.025*(D556*1000)*J556,O556&gt;=N556),"CUMPLE","REVISAR")</f>
        <v>CUMPLE</v>
      </c>
      <c r="U556" s="11">
        <f>G556*1000000/(0.9*(D556*1000)*J556^2)</f>
        <v>0.5962388218</v>
      </c>
      <c r="V556" s="12">
        <f>(0.85*$B$2/$D$2)*(1-SQRT(1-2*U556/(0.85*$B$2)))</f>
        <v>0.00143785833</v>
      </c>
      <c r="W556" s="13">
        <f>V556*(D556*1000)*J556</f>
        <v>147.7615113</v>
      </c>
      <c r="X556" s="13">
        <f>MAX(W556,N556)</f>
        <v>342.55</v>
      </c>
      <c r="Y556" s="14">
        <f>ROUNDUP(X556/$J$2,0)</f>
        <v>2</v>
      </c>
      <c r="Z556" s="13">
        <f>Y556*$J$2</f>
        <v>398</v>
      </c>
      <c r="AA556" s="10">
        <f>0.9*Z556*$D$2*(J556-(Z556*$D$2/(0.85*$B$2*(D556*1000)))/2)/1000000</f>
        <v>49.77351244</v>
      </c>
      <c r="AB556" s="15" t="str">
        <f>IF(AA556&gt;=G556,"CUMPLE","REVISAR")</f>
        <v>CUMPLE</v>
      </c>
      <c r="AC556" s="10">
        <f>0.17*SQRT($B$2)*(D556*1000)*J556/1000</f>
        <v>92.44281538</v>
      </c>
      <c r="AD556" s="10">
        <f>MAX(H556/0.75-AC556,0)</f>
        <v>0</v>
      </c>
      <c r="AE556" s="14">
        <f>IF(AD556&gt;0,MIN($N$2*$D$2*J556/(AD556*1000),MIN(J556/4,6*$H$2,150)),MIN(J556/4,6*$H$2,150))</f>
        <v>85.6375</v>
      </c>
      <c r="AF556" s="10">
        <f>0.66*SQRT($B$2)*(D556*1000)*J556/1000</f>
        <v>358.8956362</v>
      </c>
      <c r="AG556" s="15" t="str">
        <f>IF(AD556&lt;=AF556,"CUMPLE","AUMENTAR SECCION")</f>
        <v>CUMPLE</v>
      </c>
      <c r="AH556" s="10">
        <f>0.75*0.083*SQRT($B$2)*(((D556*1000)*(E556*1000))^2/(2*((D556*1000)+(E556*1000))))/1000000</f>
        <v>3.388073536</v>
      </c>
      <c r="AI556" s="15" t="str">
        <f>IF(I556&gt;AH556,"SI","No")</f>
        <v>No</v>
      </c>
      <c r="AJ556" s="11">
        <f>IF(I556&gt;AH556,I556*1000000/(0.75*2*0.85*((D556*1000-2*$F$2)*(E556*1000-2*$F$2))*$D$2),0)</f>
        <v>0</v>
      </c>
      <c r="AK556" s="10">
        <f>1.25*Q556*$D$2*(J556-(1.25*Q556*$D$2/(0.85*$B$2*(D556*1000)))/2)/1000000</f>
        <v>68.51839235</v>
      </c>
      <c r="AL556" s="10">
        <f>1.25*Z556*$D$2*(J556-(1.25*Z556*$D$2/(0.85*$B$2*(D556*1000)))/2)/1000000</f>
        <v>68.51839235</v>
      </c>
      <c r="AM556" s="10">
        <f>(AK556+AL556)/B556</f>
        <v>35.1376371</v>
      </c>
      <c r="AN556" s="10">
        <f>MAX(H556,AM556)</f>
        <v>35.1376371</v>
      </c>
    </row>
    <row r="557">
      <c r="A557" s="5" t="inlineStr">
        <is>
          <t>F1028</t>
        </is>
      </c>
      <c r="B557" s="6" t="n">
        <v>3.85</v>
      </c>
      <c r="C557" s="7" t="inlineStr">
        <is>
          <t>VC</t>
        </is>
      </c>
      <c r="D557" s="8">
        <f>IF(C557="VR",0.35,0.30)</f>
        <v>0.3</v>
      </c>
      <c r="E557" s="6" t="n">
        <v>0.4</v>
      </c>
      <c r="F557" s="9" t="n">
        <v>33.2</v>
      </c>
      <c r="G557" s="9" t="n">
        <v>18.2</v>
      </c>
      <c r="H557" s="9" t="n">
        <v>26</v>
      </c>
      <c r="I557" s="6" t="n">
        <v>0</v>
      </c>
      <c r="J557" s="10">
        <f>E557*1000-$F$2-$L$2-$H$2/2</f>
        <v>342.55</v>
      </c>
      <c r="K557" s="11">
        <f>F557*1000000/(0.9*(D557*1000)*J557^2)</f>
        <v>1.04665322</v>
      </c>
      <c r="L557" s="12">
        <f>(0.85*$B$2/$D$2)*(1-SQRT(1-2*K557/(0.85*$B$2)))</f>
        <v>0.002549378513</v>
      </c>
      <c r="M557" s="13">
        <f>L557*(D557*1000)*J557</f>
        <v>261.9868829</v>
      </c>
      <c r="N557" s="13">
        <f>MAX(0.25*SQRT($B$2)/$D$2,1.4/$D$2)*(D557*1000)*J557</f>
        <v>342.55</v>
      </c>
      <c r="O557" s="13">
        <f>MAX(M557,N557)</f>
        <v>342.55</v>
      </c>
      <c r="P557" s="14">
        <f>ROUNDUP(O557/$J$2,0)</f>
        <v>2</v>
      </c>
      <c r="Q557" s="13">
        <f>P557*$J$2</f>
        <v>398</v>
      </c>
      <c r="R557" s="10">
        <f>Q557*$D$2/(0.85*$B$2*(D557*1000))</f>
        <v>23.41176471</v>
      </c>
      <c r="S557" s="10">
        <f>0.9*Q557*$D$2*(J557-R557/2)/1000000</f>
        <v>49.77351244</v>
      </c>
      <c r="T557" s="15" t="str">
        <f>IF(AND(S557&gt;=F557,O557&lt;=0.025*(D557*1000)*J557,O557&gt;=N557),"CUMPLE","REVISAR")</f>
        <v>CUMPLE</v>
      </c>
      <c r="U557" s="11">
        <f>G557*1000000/(0.9*(D557*1000)*J557^2)</f>
        <v>0.5744598495</v>
      </c>
      <c r="V557" s="12">
        <f>(0.85*$B$2/$D$2)*(1-SQRT(1-2*U557/(0.85*$B$2)))</f>
        <v>0.001384679222</v>
      </c>
      <c r="W557" s="13">
        <f>V557*(D557*1000)*J557</f>
        <v>142.2965602</v>
      </c>
      <c r="X557" s="13">
        <f>MAX(W557,N557)</f>
        <v>342.55</v>
      </c>
      <c r="Y557" s="14">
        <f>ROUNDUP(X557/$J$2,0)</f>
        <v>2</v>
      </c>
      <c r="Z557" s="13">
        <f>Y557*$J$2</f>
        <v>398</v>
      </c>
      <c r="AA557" s="10">
        <f>0.9*Z557*$D$2*(J557-(Z557*$D$2/(0.85*$B$2*(D557*1000)))/2)/1000000</f>
        <v>49.77351244</v>
      </c>
      <c r="AB557" s="15" t="str">
        <f>IF(AA557&gt;=G557,"CUMPLE","REVISAR")</f>
        <v>CUMPLE</v>
      </c>
      <c r="AC557" s="10">
        <f>0.17*SQRT($B$2)*(D557*1000)*J557/1000</f>
        <v>92.44281538</v>
      </c>
      <c r="AD557" s="10">
        <f>MAX(H557/0.75-AC557,0)</f>
        <v>0</v>
      </c>
      <c r="AE557" s="14">
        <f>IF(AD557&gt;0,MIN($N$2*$D$2*J557/(AD557*1000),MIN(J557/4,6*$H$2,150)),MIN(J557/4,6*$H$2,150))</f>
        <v>85.6375</v>
      </c>
      <c r="AF557" s="10">
        <f>0.66*SQRT($B$2)*(D557*1000)*J557/1000</f>
        <v>358.8956362</v>
      </c>
      <c r="AG557" s="15" t="str">
        <f>IF(AD557&lt;=AF557,"CUMPLE","AUMENTAR SECCION")</f>
        <v>CUMPLE</v>
      </c>
      <c r="AH557" s="10">
        <f>0.75*0.083*SQRT($B$2)*(((D557*1000)*(E557*1000))^2/(2*((D557*1000)+(E557*1000))))/1000000</f>
        <v>3.388073536</v>
      </c>
      <c r="AI557" s="15" t="str">
        <f>IF(I557&gt;AH557,"SI","No")</f>
        <v>No</v>
      </c>
      <c r="AJ557" s="11">
        <f>IF(I557&gt;AH557,I557*1000000/(0.75*2*0.85*((D557*1000-2*$F$2)*(E557*1000-2*$F$2))*$D$2),0)</f>
        <v>0</v>
      </c>
      <c r="AK557" s="10">
        <f>1.25*Q557*$D$2*(J557-(1.25*Q557*$D$2/(0.85*$B$2*(D557*1000)))/2)/1000000</f>
        <v>68.51839235</v>
      </c>
      <c r="AL557" s="10">
        <f>1.25*Z557*$D$2*(J557-(1.25*Z557*$D$2/(0.85*$B$2*(D557*1000)))/2)/1000000</f>
        <v>68.51839235</v>
      </c>
      <c r="AM557" s="10">
        <f>(AK557+AL557)/B557</f>
        <v>35.59397005</v>
      </c>
      <c r="AN557" s="10">
        <f>MAX(H557,AM557)</f>
        <v>35.59397005</v>
      </c>
    </row>
    <row r="558">
      <c r="A558" s="5" t="inlineStr">
        <is>
          <t>F1029</t>
        </is>
      </c>
      <c r="B558" s="6" t="n">
        <v>3.85</v>
      </c>
      <c r="C558" s="7" t="inlineStr">
        <is>
          <t>VC</t>
        </is>
      </c>
      <c r="D558" s="8">
        <f>IF(C558="VR",0.35,0.30)</f>
        <v>0.3</v>
      </c>
      <c r="E558" s="6" t="n">
        <v>0.4</v>
      </c>
      <c r="F558" s="9" t="n">
        <v>44</v>
      </c>
      <c r="G558" s="9" t="n">
        <v>19</v>
      </c>
      <c r="H558" s="9" t="n">
        <v>37.4</v>
      </c>
      <c r="I558" s="6" t="n">
        <v>0</v>
      </c>
      <c r="J558" s="10">
        <f>E558*1000-$F$2-$L$2-$H$2/2</f>
        <v>342.55</v>
      </c>
      <c r="K558" s="11">
        <f>F558*1000000/(0.9*(D558*1000)*J558^2)</f>
        <v>1.389119669</v>
      </c>
      <c r="L558" s="12">
        <f>(0.85*$B$2/$D$2)*(1-SQRT(1-2*K558/(0.85*$B$2)))</f>
        <v>0.003410030501</v>
      </c>
      <c r="M558" s="13">
        <f>L558*(D558*1000)*J558</f>
        <v>350.4317845</v>
      </c>
      <c r="N558" s="13">
        <f>MAX(0.25*SQRT($B$2)/$D$2,1.4/$D$2)*(D558*1000)*J558</f>
        <v>342.55</v>
      </c>
      <c r="O558" s="13">
        <f>MAX(M558,N558)</f>
        <v>350.4317845</v>
      </c>
      <c r="P558" s="14">
        <f>ROUNDUP(O558/$J$2,0)</f>
        <v>2</v>
      </c>
      <c r="Q558" s="13">
        <f>P558*$J$2</f>
        <v>398</v>
      </c>
      <c r="R558" s="10">
        <f>Q558*$D$2/(0.85*$B$2*(D558*1000))</f>
        <v>23.41176471</v>
      </c>
      <c r="S558" s="10">
        <f>0.9*Q558*$D$2*(J558-R558/2)/1000000</f>
        <v>49.77351244</v>
      </c>
      <c r="T558" s="15" t="str">
        <f>IF(AND(S558&gt;=F558,O558&lt;=0.025*(D558*1000)*J558,O558&gt;=N558),"CUMPLE","REVISAR")</f>
        <v>CUMPLE</v>
      </c>
      <c r="U558" s="11">
        <f>G558*1000000/(0.9*(D558*1000)*J558^2)</f>
        <v>0.6006577437</v>
      </c>
      <c r="V558" s="12">
        <f>(0.85*$B$2/$D$2)*(1-SQRT(1-2*U558/(0.85*$B$2)))</f>
        <v>0.001448654544</v>
      </c>
      <c r="W558" s="13">
        <f>V558*(D558*1000)*J558</f>
        <v>148.8709842</v>
      </c>
      <c r="X558" s="13">
        <f>MAX(W558,N558)</f>
        <v>342.55</v>
      </c>
      <c r="Y558" s="14">
        <f>ROUNDUP(X558/$J$2,0)</f>
        <v>2</v>
      </c>
      <c r="Z558" s="13">
        <f>Y558*$J$2</f>
        <v>398</v>
      </c>
      <c r="AA558" s="10">
        <f>0.9*Z558*$D$2*(J558-(Z558*$D$2/(0.85*$B$2*(D558*1000)))/2)/1000000</f>
        <v>49.77351244</v>
      </c>
      <c r="AB558" s="15" t="str">
        <f>IF(AA558&gt;=G558,"CUMPLE","REVISAR")</f>
        <v>CUMPLE</v>
      </c>
      <c r="AC558" s="10">
        <f>0.17*SQRT($B$2)*(D558*1000)*J558/1000</f>
        <v>92.44281538</v>
      </c>
      <c r="AD558" s="10">
        <f>MAX(H558/0.75-AC558,0)</f>
        <v>0</v>
      </c>
      <c r="AE558" s="14">
        <f>IF(AD558&gt;0,MIN($N$2*$D$2*J558/(AD558*1000),MIN(J558/4,6*$H$2,150)),MIN(J558/4,6*$H$2,150))</f>
        <v>85.6375</v>
      </c>
      <c r="AF558" s="10">
        <f>0.66*SQRT($B$2)*(D558*1000)*J558/1000</f>
        <v>358.8956362</v>
      </c>
      <c r="AG558" s="15" t="str">
        <f>IF(AD558&lt;=AF558,"CUMPLE","AUMENTAR SECCION")</f>
        <v>CUMPLE</v>
      </c>
      <c r="AH558" s="10">
        <f>0.75*0.083*SQRT($B$2)*(((D558*1000)*(E558*1000))^2/(2*((D558*1000)+(E558*1000))))/1000000</f>
        <v>3.388073536</v>
      </c>
      <c r="AI558" s="15" t="str">
        <f>IF(I558&gt;AH558,"SI","No")</f>
        <v>No</v>
      </c>
      <c r="AJ558" s="11">
        <f>IF(I558&gt;AH558,I558*1000000/(0.75*2*0.85*((D558*1000-2*$F$2)*(E558*1000-2*$F$2))*$D$2),0)</f>
        <v>0</v>
      </c>
      <c r="AK558" s="10">
        <f>1.25*Q558*$D$2*(J558-(1.25*Q558*$D$2/(0.85*$B$2*(D558*1000)))/2)/1000000</f>
        <v>68.51839235</v>
      </c>
      <c r="AL558" s="10">
        <f>1.25*Z558*$D$2*(J558-(1.25*Z558*$D$2/(0.85*$B$2*(D558*1000)))/2)/1000000</f>
        <v>68.51839235</v>
      </c>
      <c r="AM558" s="10">
        <f>(AK558+AL558)/B558</f>
        <v>35.59397005</v>
      </c>
      <c r="AN558" s="10">
        <f>MAX(H558,AM558)</f>
        <v>37.42</v>
      </c>
    </row>
    <row r="559">
      <c r="A559" s="5" t="inlineStr">
        <is>
          <t>F1030</t>
        </is>
      </c>
      <c r="B559" s="6" t="n">
        <v>3.9</v>
      </c>
      <c r="C559" s="7" t="inlineStr">
        <is>
          <t>VC</t>
        </is>
      </c>
      <c r="D559" s="8">
        <f>IF(C559="VR",0.35,0.30)</f>
        <v>0.3</v>
      </c>
      <c r="E559" s="6" t="n">
        <v>0.4</v>
      </c>
      <c r="F559" s="9" t="n">
        <v>57.4</v>
      </c>
      <c r="G559" s="9" t="n">
        <v>20.6</v>
      </c>
      <c r="H559" s="9" t="n">
        <v>55.5</v>
      </c>
      <c r="I559" s="6" t="n">
        <v>0</v>
      </c>
      <c r="J559" s="10">
        <f>E559*1000-$F$2-$L$2-$H$2/2</f>
        <v>342.55</v>
      </c>
      <c r="K559" s="11">
        <f>F559*1000000/(0.9*(D559*1000)*J559^2)</f>
        <v>1.812704899</v>
      </c>
      <c r="L559" s="12">
        <f>(0.85*$B$2/$D$2)*(1-SQRT(1-2*K559/(0.85*$B$2)))</f>
        <v>0.00449417852</v>
      </c>
      <c r="M559" s="13">
        <f>L559*(D559*1000)*J559</f>
        <v>461.8442556</v>
      </c>
      <c r="N559" s="13">
        <f>MAX(0.25*SQRT($B$2)/$D$2,1.4/$D$2)*(D559*1000)*J559</f>
        <v>342.55</v>
      </c>
      <c r="O559" s="13">
        <f>MAX(M559,N559)</f>
        <v>461.8442556</v>
      </c>
      <c r="P559" s="14">
        <f>ROUNDUP(O559/$J$2,0)</f>
        <v>3</v>
      </c>
      <c r="Q559" s="13">
        <f>P559*$J$2</f>
        <v>597</v>
      </c>
      <c r="R559" s="10">
        <f>Q559*$D$2/(0.85*$B$2*(D559*1000))</f>
        <v>35.11764706</v>
      </c>
      <c r="S559" s="10">
        <f>0.9*Q559*$D$2*(J559-R559/2)/1000000</f>
        <v>73.33945883</v>
      </c>
      <c r="T559" s="15" t="str">
        <f>IF(AND(S559&gt;=F559,O559&lt;=0.025*(D559*1000)*J559,O559&gt;=N559),"CUMPLE","REVISAR")</f>
        <v>CUMPLE</v>
      </c>
      <c r="U559" s="11">
        <f>G559*1000000/(0.9*(D559*1000)*J559^2)</f>
        <v>0.6502127967</v>
      </c>
      <c r="V559" s="12">
        <f>(0.85*$B$2/$D$2)*(1-SQRT(1-2*U559/(0.85*$B$2)))</f>
        <v>0.001569871257</v>
      </c>
      <c r="W559" s="13">
        <f>V559*(D559*1000)*J559</f>
        <v>161.3278198</v>
      </c>
      <c r="X559" s="13">
        <f>MAX(W559,N559)</f>
        <v>342.55</v>
      </c>
      <c r="Y559" s="14">
        <f>ROUNDUP(X559/$J$2,0)</f>
        <v>2</v>
      </c>
      <c r="Z559" s="13">
        <f>Y559*$J$2</f>
        <v>398</v>
      </c>
      <c r="AA559" s="10">
        <f>0.9*Z559*$D$2*(J559-(Z559*$D$2/(0.85*$B$2*(D559*1000)))/2)/1000000</f>
        <v>49.77351244</v>
      </c>
      <c r="AB559" s="15" t="str">
        <f>IF(AA559&gt;=G559,"CUMPLE","REVISAR")</f>
        <v>CUMPLE</v>
      </c>
      <c r="AC559" s="10">
        <f>0.17*SQRT($B$2)*(D559*1000)*J559/1000</f>
        <v>92.44281538</v>
      </c>
      <c r="AD559" s="10">
        <f>MAX(H559/0.75-AC559,0)</f>
        <v>0</v>
      </c>
      <c r="AE559" s="14">
        <f>IF(AD559&gt;0,MIN($N$2*$D$2*J559/(AD559*1000),MIN(J559/4,6*$H$2,150)),MIN(J559/4,6*$H$2,150))</f>
        <v>85.6375</v>
      </c>
      <c r="AF559" s="10">
        <f>0.66*SQRT($B$2)*(D559*1000)*J559/1000</f>
        <v>358.8956362</v>
      </c>
      <c r="AG559" s="15" t="str">
        <f>IF(AD559&lt;=AF559,"CUMPLE","AUMENTAR SECCION")</f>
        <v>CUMPLE</v>
      </c>
      <c r="AH559" s="10">
        <f>0.75*0.083*SQRT($B$2)*(((D559*1000)*(E559*1000))^2/(2*((D559*1000)+(E559*1000))))/1000000</f>
        <v>3.388073536</v>
      </c>
      <c r="AI559" s="15" t="str">
        <f>IF(I559&gt;AH559,"SI","No")</f>
        <v>No</v>
      </c>
      <c r="AJ559" s="11">
        <f>IF(I559&gt;AH559,I559*1000000/(0.75*2*0.85*((D559*1000-2*$F$2)*(E559*1000-2*$F$2))*$D$2),0)</f>
        <v>0</v>
      </c>
      <c r="AK559" s="10">
        <f>1.25*Q559*$D$2*(J559-(1.25*Q559*$D$2/(0.85*$B$2*(D559*1000)))/2)/1000000</f>
        <v>100.4845159</v>
      </c>
      <c r="AL559" s="10">
        <f>1.25*Z559*$D$2*(J559-(1.25*Z559*$D$2/(0.85*$B$2*(D559*1000)))/2)/1000000</f>
        <v>68.51839235</v>
      </c>
      <c r="AM559" s="10">
        <f>(AK559+AL559)/B559</f>
        <v>43.33407904</v>
      </c>
      <c r="AN559" s="10">
        <f>MAX(H559,AM559)</f>
        <v>55.47</v>
      </c>
    </row>
    <row r="560">
      <c r="A560" s="5" t="inlineStr">
        <is>
          <t>F1031</t>
        </is>
      </c>
      <c r="B560" s="6" t="n">
        <v>3.9</v>
      </c>
      <c r="C560" s="7" t="inlineStr">
        <is>
          <t>VC</t>
        </is>
      </c>
      <c r="D560" s="8">
        <f>IF(C560="VR",0.35,0.30)</f>
        <v>0.3</v>
      </c>
      <c r="E560" s="6" t="n">
        <v>0.4</v>
      </c>
      <c r="F560" s="9" t="n">
        <v>57.5</v>
      </c>
      <c r="G560" s="9" t="n">
        <v>21.5</v>
      </c>
      <c r="H560" s="9" t="n">
        <v>55.6</v>
      </c>
      <c r="I560" s="6" t="n">
        <v>0</v>
      </c>
      <c r="J560" s="10">
        <f>E560*1000-$F$2-$L$2-$H$2/2</f>
        <v>342.55</v>
      </c>
      <c r="K560" s="11">
        <f>F560*1000000/(0.9*(D560*1000)*J560^2)</f>
        <v>1.815545634</v>
      </c>
      <c r="L560" s="12">
        <f>(0.85*$B$2/$D$2)*(1-SQRT(1-2*K560/(0.85*$B$2)))</f>
        <v>0.00450152532</v>
      </c>
      <c r="M560" s="13">
        <f>L560*(D560*1000)*J560</f>
        <v>462.5992495</v>
      </c>
      <c r="N560" s="13">
        <f>MAX(0.25*SQRT($B$2)/$D$2,1.4/$D$2)*(D560*1000)*J560</f>
        <v>342.55</v>
      </c>
      <c r="O560" s="13">
        <f>MAX(M560,N560)</f>
        <v>462.5992495</v>
      </c>
      <c r="P560" s="14">
        <f>ROUNDUP(O560/$J$2,0)</f>
        <v>3</v>
      </c>
      <c r="Q560" s="13">
        <f>P560*$J$2</f>
        <v>597</v>
      </c>
      <c r="R560" s="10">
        <f>Q560*$D$2/(0.85*$B$2*(D560*1000))</f>
        <v>35.11764706</v>
      </c>
      <c r="S560" s="10">
        <f>0.9*Q560*$D$2*(J560-R560/2)/1000000</f>
        <v>73.33945883</v>
      </c>
      <c r="T560" s="15" t="str">
        <f>IF(AND(S560&gt;=F560,O560&lt;=0.025*(D560*1000)*J560,O560&gt;=N560),"CUMPLE","REVISAR")</f>
        <v>CUMPLE</v>
      </c>
      <c r="U560" s="11">
        <f>G560*1000000/(0.9*(D560*1000)*J560^2)</f>
        <v>0.6776732401</v>
      </c>
      <c r="V560" s="12">
        <f>(0.85*$B$2/$D$2)*(1-SQRT(1-2*U560/(0.85*$B$2)))</f>
        <v>0.001637157279</v>
      </c>
      <c r="W560" s="13">
        <f>V560*(D560*1000)*J560</f>
        <v>168.2424677</v>
      </c>
      <c r="X560" s="13">
        <f>MAX(W560,N560)</f>
        <v>342.55</v>
      </c>
      <c r="Y560" s="14">
        <f>ROUNDUP(X560/$J$2,0)</f>
        <v>2</v>
      </c>
      <c r="Z560" s="13">
        <f>Y560*$J$2</f>
        <v>398</v>
      </c>
      <c r="AA560" s="10">
        <f>0.9*Z560*$D$2*(J560-(Z560*$D$2/(0.85*$B$2*(D560*1000)))/2)/1000000</f>
        <v>49.77351244</v>
      </c>
      <c r="AB560" s="15" t="str">
        <f>IF(AA560&gt;=G560,"CUMPLE","REVISAR")</f>
        <v>CUMPLE</v>
      </c>
      <c r="AC560" s="10">
        <f>0.17*SQRT($B$2)*(D560*1000)*J560/1000</f>
        <v>92.44281538</v>
      </c>
      <c r="AD560" s="10">
        <f>MAX(H560/0.75-AC560,0)</f>
        <v>0</v>
      </c>
      <c r="AE560" s="14">
        <f>IF(AD560&gt;0,MIN($N$2*$D$2*J560/(AD560*1000),MIN(J560/4,6*$H$2,150)),MIN(J560/4,6*$H$2,150))</f>
        <v>85.6375</v>
      </c>
      <c r="AF560" s="10">
        <f>0.66*SQRT($B$2)*(D560*1000)*J560/1000</f>
        <v>358.8956362</v>
      </c>
      <c r="AG560" s="15" t="str">
        <f>IF(AD560&lt;=AF560,"CUMPLE","AUMENTAR SECCION")</f>
        <v>CUMPLE</v>
      </c>
      <c r="AH560" s="10">
        <f>0.75*0.083*SQRT($B$2)*(((D560*1000)*(E560*1000))^2/(2*((D560*1000)+(E560*1000))))/1000000</f>
        <v>3.388073536</v>
      </c>
      <c r="AI560" s="15" t="str">
        <f>IF(I560&gt;AH560,"SI","No")</f>
        <v>No</v>
      </c>
      <c r="AJ560" s="11">
        <f>IF(I560&gt;AH560,I560*1000000/(0.75*2*0.85*((D560*1000-2*$F$2)*(E560*1000-2*$F$2))*$D$2),0)</f>
        <v>0</v>
      </c>
      <c r="AK560" s="10">
        <f>1.25*Q560*$D$2*(J560-(1.25*Q560*$D$2/(0.85*$B$2*(D560*1000)))/2)/1000000</f>
        <v>100.4845159</v>
      </c>
      <c r="AL560" s="10">
        <f>1.25*Z560*$D$2*(J560-(1.25*Z560*$D$2/(0.85*$B$2*(D560*1000)))/2)/1000000</f>
        <v>68.51839235</v>
      </c>
      <c r="AM560" s="10">
        <f>(AK560+AL560)/B560</f>
        <v>43.33407904</v>
      </c>
      <c r="AN560" s="10">
        <f>MAX(H560,AM560)</f>
        <v>55.56</v>
      </c>
    </row>
    <row r="561">
      <c r="A561" s="5" t="inlineStr">
        <is>
          <t>F1032</t>
        </is>
      </c>
      <c r="B561" s="6" t="n">
        <v>3.85</v>
      </c>
      <c r="C561" s="7" t="inlineStr">
        <is>
          <t>VC</t>
        </is>
      </c>
      <c r="D561" s="8">
        <f>IF(C561="VR",0.35,0.30)</f>
        <v>0.3</v>
      </c>
      <c r="E561" s="6" t="n">
        <v>0.4</v>
      </c>
      <c r="F561" s="9" t="n">
        <v>44</v>
      </c>
      <c r="G561" s="9" t="n">
        <v>19.2</v>
      </c>
      <c r="H561" s="9" t="n">
        <v>37.4</v>
      </c>
      <c r="I561" s="6" t="n">
        <v>0</v>
      </c>
      <c r="J561" s="10">
        <f>E561*1000-$F$2-$L$2-$H$2/2</f>
        <v>342.55</v>
      </c>
      <c r="K561" s="11">
        <f>F561*1000000/(0.9*(D561*1000)*J561^2)</f>
        <v>1.389750944</v>
      </c>
      <c r="L561" s="12">
        <f>(0.85*$B$2/$D$2)*(1-SQRT(1-2*K561/(0.85*$B$2)))</f>
        <v>0.0034116298</v>
      </c>
      <c r="M561" s="13">
        <f>L561*(D561*1000)*J561</f>
        <v>350.5961363</v>
      </c>
      <c r="N561" s="13">
        <f>MAX(0.25*SQRT($B$2)/$D$2,1.4/$D$2)*(D561*1000)*J561</f>
        <v>342.55</v>
      </c>
      <c r="O561" s="13">
        <f>MAX(M561,N561)</f>
        <v>350.5961363</v>
      </c>
      <c r="P561" s="14">
        <f>ROUNDUP(O561/$J$2,0)</f>
        <v>2</v>
      </c>
      <c r="Q561" s="13">
        <f>P561*$J$2</f>
        <v>398</v>
      </c>
      <c r="R561" s="10">
        <f>Q561*$D$2/(0.85*$B$2*(D561*1000))</f>
        <v>23.41176471</v>
      </c>
      <c r="S561" s="10">
        <f>0.9*Q561*$D$2*(J561-R561/2)/1000000</f>
        <v>49.77351244</v>
      </c>
      <c r="T561" s="15" t="str">
        <f>IF(AND(S561&gt;=F561,O561&lt;=0.025*(D561*1000)*J561,O561&gt;=N561),"CUMPLE","REVISAR")</f>
        <v>CUMPLE</v>
      </c>
      <c r="U561" s="11">
        <f>G561*1000000/(0.9*(D561*1000)*J561^2)</f>
        <v>0.6066548521</v>
      </c>
      <c r="V561" s="12">
        <f>(0.85*$B$2/$D$2)*(1-SQRT(1-2*U561/(0.85*$B$2)))</f>
        <v>0.001463309926</v>
      </c>
      <c r="W561" s="13">
        <f>V561*(D561*1000)*J561</f>
        <v>150.3770445</v>
      </c>
      <c r="X561" s="13">
        <f>MAX(W561,N561)</f>
        <v>342.55</v>
      </c>
      <c r="Y561" s="14">
        <f>ROUNDUP(X561/$J$2,0)</f>
        <v>2</v>
      </c>
      <c r="Z561" s="13">
        <f>Y561*$J$2</f>
        <v>398</v>
      </c>
      <c r="AA561" s="10">
        <f>0.9*Z561*$D$2*(J561-(Z561*$D$2/(0.85*$B$2*(D561*1000)))/2)/1000000</f>
        <v>49.77351244</v>
      </c>
      <c r="AB561" s="15" t="str">
        <f>IF(AA561&gt;=G561,"CUMPLE","REVISAR")</f>
        <v>CUMPLE</v>
      </c>
      <c r="AC561" s="10">
        <f>0.17*SQRT($B$2)*(D561*1000)*J561/1000</f>
        <v>92.44281538</v>
      </c>
      <c r="AD561" s="10">
        <f>MAX(H561/0.75-AC561,0)</f>
        <v>0</v>
      </c>
      <c r="AE561" s="14">
        <f>IF(AD561&gt;0,MIN($N$2*$D$2*J561/(AD561*1000),MIN(J561/4,6*$H$2,150)),MIN(J561/4,6*$H$2,150))</f>
        <v>85.6375</v>
      </c>
      <c r="AF561" s="10">
        <f>0.66*SQRT($B$2)*(D561*1000)*J561/1000</f>
        <v>358.8956362</v>
      </c>
      <c r="AG561" s="15" t="str">
        <f>IF(AD561&lt;=AF561,"CUMPLE","AUMENTAR SECCION")</f>
        <v>CUMPLE</v>
      </c>
      <c r="AH561" s="10">
        <f>0.75*0.083*SQRT($B$2)*(((D561*1000)*(E561*1000))^2/(2*((D561*1000)+(E561*1000))))/1000000</f>
        <v>3.388073536</v>
      </c>
      <c r="AI561" s="15" t="str">
        <f>IF(I561&gt;AH561,"SI","No")</f>
        <v>No</v>
      </c>
      <c r="AJ561" s="11">
        <f>IF(I561&gt;AH561,I561*1000000/(0.75*2*0.85*((D561*1000-2*$F$2)*(E561*1000-2*$F$2))*$D$2),0)</f>
        <v>0</v>
      </c>
      <c r="AK561" s="10">
        <f>1.25*Q561*$D$2*(J561-(1.25*Q561*$D$2/(0.85*$B$2*(D561*1000)))/2)/1000000</f>
        <v>68.51839235</v>
      </c>
      <c r="AL561" s="10">
        <f>1.25*Z561*$D$2*(J561-(1.25*Z561*$D$2/(0.85*$B$2*(D561*1000)))/2)/1000000</f>
        <v>68.51839235</v>
      </c>
      <c r="AM561" s="10">
        <f>(AK561+AL561)/B561</f>
        <v>35.59397005</v>
      </c>
      <c r="AN561" s="10">
        <f>MAX(H561,AM561)</f>
        <v>37.41</v>
      </c>
    </row>
    <row r="562">
      <c r="A562" s="5" t="inlineStr">
        <is>
          <t>F1033</t>
        </is>
      </c>
      <c r="B562" s="6" t="n">
        <v>3.85</v>
      </c>
      <c r="C562" s="7" t="inlineStr">
        <is>
          <t>VC</t>
        </is>
      </c>
      <c r="D562" s="8">
        <f>IF(C562="VR",0.35,0.30)</f>
        <v>0.3</v>
      </c>
      <c r="E562" s="6" t="n">
        <v>0.4</v>
      </c>
      <c r="F562" s="9" t="n">
        <v>43.3</v>
      </c>
      <c r="G562" s="9" t="n">
        <v>17.7</v>
      </c>
      <c r="H562" s="9" t="n">
        <v>35.7</v>
      </c>
      <c r="I562" s="6" t="n">
        <v>0</v>
      </c>
      <c r="J562" s="10">
        <f>E562*1000-$F$2-$L$2-$H$2/2</f>
        <v>342.55</v>
      </c>
      <c r="K562" s="11">
        <f>F562*1000000/(0.9*(D562*1000)*J562^2)</f>
        <v>1.366709422</v>
      </c>
      <c r="L562" s="12">
        <f>(0.85*$B$2/$D$2)*(1-SQRT(1-2*K562/(0.85*$B$2)))</f>
        <v>0.003353286497</v>
      </c>
      <c r="M562" s="13">
        <f>L562*(D562*1000)*J562</f>
        <v>344.6004869</v>
      </c>
      <c r="N562" s="13">
        <f>MAX(0.25*SQRT($B$2)/$D$2,1.4/$D$2)*(D562*1000)*J562</f>
        <v>342.55</v>
      </c>
      <c r="O562" s="13">
        <f>MAX(M562,N562)</f>
        <v>344.6004869</v>
      </c>
      <c r="P562" s="14">
        <f>ROUNDUP(O562/$J$2,0)</f>
        <v>2</v>
      </c>
      <c r="Q562" s="13">
        <f>P562*$J$2</f>
        <v>398</v>
      </c>
      <c r="R562" s="10">
        <f>Q562*$D$2/(0.85*$B$2*(D562*1000))</f>
        <v>23.41176471</v>
      </c>
      <c r="S562" s="10">
        <f>0.9*Q562*$D$2*(J562-R562/2)/1000000</f>
        <v>49.77351244</v>
      </c>
      <c r="T562" s="15" t="str">
        <f>IF(AND(S562&gt;=F562,O562&lt;=0.025*(D562*1000)*J562,O562&gt;=N562),"CUMPLE","REVISAR")</f>
        <v>CUMPLE</v>
      </c>
      <c r="U562" s="11">
        <f>G562*1000000/(0.9*(D562*1000)*J562^2)</f>
        <v>0.5589936228</v>
      </c>
      <c r="V562" s="12">
        <f>(0.85*$B$2/$D$2)*(1-SQRT(1-2*U562/(0.85*$B$2)))</f>
        <v>0.00134694539</v>
      </c>
      <c r="W562" s="13">
        <f>V562*(D562*1000)*J562</f>
        <v>138.418843</v>
      </c>
      <c r="X562" s="13">
        <f>MAX(W562,N562)</f>
        <v>342.55</v>
      </c>
      <c r="Y562" s="14">
        <f>ROUNDUP(X562/$J$2,0)</f>
        <v>2</v>
      </c>
      <c r="Z562" s="13">
        <f>Y562*$J$2</f>
        <v>398</v>
      </c>
      <c r="AA562" s="10">
        <f>0.9*Z562*$D$2*(J562-(Z562*$D$2/(0.85*$B$2*(D562*1000)))/2)/1000000</f>
        <v>49.77351244</v>
      </c>
      <c r="AB562" s="15" t="str">
        <f>IF(AA562&gt;=G562,"CUMPLE","REVISAR")</f>
        <v>CUMPLE</v>
      </c>
      <c r="AC562" s="10">
        <f>0.17*SQRT($B$2)*(D562*1000)*J562/1000</f>
        <v>92.44281538</v>
      </c>
      <c r="AD562" s="10">
        <f>MAX(H562/0.75-AC562,0)</f>
        <v>0</v>
      </c>
      <c r="AE562" s="14">
        <f>IF(AD562&gt;0,MIN($N$2*$D$2*J562/(AD562*1000),MIN(J562/4,6*$H$2,150)),MIN(J562/4,6*$H$2,150))</f>
        <v>85.6375</v>
      </c>
      <c r="AF562" s="10">
        <f>0.66*SQRT($B$2)*(D562*1000)*J562/1000</f>
        <v>358.8956362</v>
      </c>
      <c r="AG562" s="15" t="str">
        <f>IF(AD562&lt;=AF562,"CUMPLE","AUMENTAR SECCION")</f>
        <v>CUMPLE</v>
      </c>
      <c r="AH562" s="10">
        <f>0.75*0.083*SQRT($B$2)*(((D562*1000)*(E562*1000))^2/(2*((D562*1000)+(E562*1000))))/1000000</f>
        <v>3.388073536</v>
      </c>
      <c r="AI562" s="15" t="str">
        <f>IF(I562&gt;AH562,"SI","No")</f>
        <v>No</v>
      </c>
      <c r="AJ562" s="11">
        <f>IF(I562&gt;AH562,I562*1000000/(0.75*2*0.85*((D562*1000-2*$F$2)*(E562*1000-2*$F$2))*$D$2),0)</f>
        <v>0</v>
      </c>
      <c r="AK562" s="10">
        <f>1.25*Q562*$D$2*(J562-(1.25*Q562*$D$2/(0.85*$B$2*(D562*1000)))/2)/1000000</f>
        <v>68.51839235</v>
      </c>
      <c r="AL562" s="10">
        <f>1.25*Z562*$D$2*(J562-(1.25*Z562*$D$2/(0.85*$B$2*(D562*1000)))/2)/1000000</f>
        <v>68.51839235</v>
      </c>
      <c r="AM562" s="10">
        <f>(AK562+AL562)/B562</f>
        <v>35.59397005</v>
      </c>
      <c r="AN562" s="10">
        <f>MAX(H562,AM562)</f>
        <v>35.74</v>
      </c>
    </row>
    <row r="563">
      <c r="A563" s="5" t="inlineStr">
        <is>
          <t>F1034</t>
        </is>
      </c>
      <c r="B563" s="6" t="n">
        <v>3.85</v>
      </c>
      <c r="C563" s="7" t="inlineStr">
        <is>
          <t>VC</t>
        </is>
      </c>
      <c r="D563" s="8">
        <f>IF(C563="VR",0.35,0.30)</f>
        <v>0.3</v>
      </c>
      <c r="E563" s="6" t="n">
        <v>0.4</v>
      </c>
      <c r="F563" s="9" t="n">
        <v>43.3</v>
      </c>
      <c r="G563" s="9" t="n">
        <v>17.7</v>
      </c>
      <c r="H563" s="9" t="n">
        <v>35.7</v>
      </c>
      <c r="I563" s="6" t="n">
        <v>0</v>
      </c>
      <c r="J563" s="10">
        <f>E563*1000-$F$2-$L$2-$H$2/2</f>
        <v>342.55</v>
      </c>
      <c r="K563" s="11">
        <f>F563*1000000/(0.9*(D563*1000)*J563^2)</f>
        <v>1.367656334</v>
      </c>
      <c r="L563" s="12">
        <f>(0.85*$B$2/$D$2)*(1-SQRT(1-2*K563/(0.85*$B$2)))</f>
        <v>0.003355682909</v>
      </c>
      <c r="M563" s="13">
        <f>L563*(D563*1000)*J563</f>
        <v>344.8467541</v>
      </c>
      <c r="N563" s="13">
        <f>MAX(0.25*SQRT($B$2)/$D$2,1.4/$D$2)*(D563*1000)*J563</f>
        <v>342.55</v>
      </c>
      <c r="O563" s="13">
        <f>MAX(M563,N563)</f>
        <v>344.8467541</v>
      </c>
      <c r="P563" s="14">
        <f>ROUNDUP(O563/$J$2,0)</f>
        <v>2</v>
      </c>
      <c r="Q563" s="13">
        <f>P563*$J$2</f>
        <v>398</v>
      </c>
      <c r="R563" s="10">
        <f>Q563*$D$2/(0.85*$B$2*(D563*1000))</f>
        <v>23.41176471</v>
      </c>
      <c r="S563" s="10">
        <f>0.9*Q563*$D$2*(J563-R563/2)/1000000</f>
        <v>49.77351244</v>
      </c>
      <c r="T563" s="15" t="str">
        <f>IF(AND(S563&gt;=F563,O563&lt;=0.025*(D563*1000)*J563,O563&gt;=N563),"CUMPLE","REVISAR")</f>
        <v>CUMPLE</v>
      </c>
      <c r="U563" s="11">
        <f>G563*1000000/(0.9*(D563*1000)*J563^2)</f>
        <v>0.5593092601</v>
      </c>
      <c r="V563" s="12">
        <f>(0.85*$B$2/$D$2)*(1-SQRT(1-2*U563/(0.85*$B$2)))</f>
        <v>0.001347715211</v>
      </c>
      <c r="W563" s="13">
        <f>V563*(D563*1000)*J563</f>
        <v>138.4979537</v>
      </c>
      <c r="X563" s="13">
        <f>MAX(W563,N563)</f>
        <v>342.55</v>
      </c>
      <c r="Y563" s="14">
        <f>ROUNDUP(X563/$J$2,0)</f>
        <v>2</v>
      </c>
      <c r="Z563" s="13">
        <f>Y563*$J$2</f>
        <v>398</v>
      </c>
      <c r="AA563" s="10">
        <f>0.9*Z563*$D$2*(J563-(Z563*$D$2/(0.85*$B$2*(D563*1000)))/2)/1000000</f>
        <v>49.77351244</v>
      </c>
      <c r="AB563" s="15" t="str">
        <f>IF(AA563&gt;=G563,"CUMPLE","REVISAR")</f>
        <v>CUMPLE</v>
      </c>
      <c r="AC563" s="10">
        <f>0.17*SQRT($B$2)*(D563*1000)*J563/1000</f>
        <v>92.44281538</v>
      </c>
      <c r="AD563" s="10">
        <f>MAX(H563/0.75-AC563,0)</f>
        <v>0</v>
      </c>
      <c r="AE563" s="14">
        <f>IF(AD563&gt;0,MIN($N$2*$D$2*J563/(AD563*1000),MIN(J563/4,6*$H$2,150)),MIN(J563/4,6*$H$2,150))</f>
        <v>85.6375</v>
      </c>
      <c r="AF563" s="10">
        <f>0.66*SQRT($B$2)*(D563*1000)*J563/1000</f>
        <v>358.8956362</v>
      </c>
      <c r="AG563" s="15" t="str">
        <f>IF(AD563&lt;=AF563,"CUMPLE","AUMENTAR SECCION")</f>
        <v>CUMPLE</v>
      </c>
      <c r="AH563" s="10">
        <f>0.75*0.083*SQRT($B$2)*(((D563*1000)*(E563*1000))^2/(2*((D563*1000)+(E563*1000))))/1000000</f>
        <v>3.388073536</v>
      </c>
      <c r="AI563" s="15" t="str">
        <f>IF(I563&gt;AH563,"SI","No")</f>
        <v>No</v>
      </c>
      <c r="AJ563" s="11">
        <f>IF(I563&gt;AH563,I563*1000000/(0.75*2*0.85*((D563*1000-2*$F$2)*(E563*1000-2*$F$2))*$D$2),0)</f>
        <v>0</v>
      </c>
      <c r="AK563" s="10">
        <f>1.25*Q563*$D$2*(J563-(1.25*Q563*$D$2/(0.85*$B$2*(D563*1000)))/2)/1000000</f>
        <v>68.51839235</v>
      </c>
      <c r="AL563" s="10">
        <f>1.25*Z563*$D$2*(J563-(1.25*Z563*$D$2/(0.85*$B$2*(D563*1000)))/2)/1000000</f>
        <v>68.51839235</v>
      </c>
      <c r="AM563" s="10">
        <f>(AK563+AL563)/B563</f>
        <v>35.59397005</v>
      </c>
      <c r="AN563" s="10">
        <f>MAX(H563,AM563)</f>
        <v>35.73</v>
      </c>
    </row>
    <row r="564">
      <c r="A564" s="5" t="inlineStr">
        <is>
          <t>F1035</t>
        </is>
      </c>
      <c r="B564" s="6" t="n">
        <v>4</v>
      </c>
      <c r="C564" s="7" t="inlineStr">
        <is>
          <t>VC</t>
        </is>
      </c>
      <c r="D564" s="8">
        <f>IF(C564="VR",0.35,0.30)</f>
        <v>0.3</v>
      </c>
      <c r="E564" s="6" t="n">
        <v>0.4</v>
      </c>
      <c r="F564" s="9" t="n">
        <v>31.4</v>
      </c>
      <c r="G564" s="9" t="n">
        <v>16.1</v>
      </c>
      <c r="H564" s="9" t="n">
        <v>24.9</v>
      </c>
      <c r="I564" s="6" t="n">
        <v>0</v>
      </c>
      <c r="J564" s="10">
        <f>E564*1000-$F$2-$L$2-$H$2/2</f>
        <v>342.55</v>
      </c>
      <c r="K564" s="11">
        <f>F564*1000000/(0.9*(D564*1000)*J564^2)</f>
        <v>0.9901541472</v>
      </c>
      <c r="L564" s="12">
        <f>(0.85*$B$2/$D$2)*(1-SQRT(1-2*K564/(0.85*$B$2)))</f>
        <v>0.002408702655</v>
      </c>
      <c r="M564" s="13">
        <f>L564*(D564*1000)*J564</f>
        <v>247.5303283</v>
      </c>
      <c r="N564" s="13">
        <f>MAX(0.25*SQRT($B$2)/$D$2,1.4/$D$2)*(D564*1000)*J564</f>
        <v>342.55</v>
      </c>
      <c r="O564" s="13">
        <f>MAX(M564,N564)</f>
        <v>342.55</v>
      </c>
      <c r="P564" s="14">
        <f>ROUNDUP(O564/$J$2,0)</f>
        <v>2</v>
      </c>
      <c r="Q564" s="13">
        <f>P564*$J$2</f>
        <v>398</v>
      </c>
      <c r="R564" s="10">
        <f>Q564*$D$2/(0.85*$B$2*(D564*1000))</f>
        <v>23.41176471</v>
      </c>
      <c r="S564" s="10">
        <f>0.9*Q564*$D$2*(J564-R564/2)/1000000</f>
        <v>49.77351244</v>
      </c>
      <c r="T564" s="15" t="str">
        <f>IF(AND(S564&gt;=F564,O564&lt;=0.025*(D564*1000)*J564,O564&gt;=N564),"CUMPLE","REVISAR")</f>
        <v>CUMPLE</v>
      </c>
      <c r="U564" s="11">
        <f>G564*1000000/(0.9*(D564*1000)*J564^2)</f>
        <v>0.5094385698</v>
      </c>
      <c r="V564" s="12">
        <f>(0.85*$B$2/$D$2)*(1-SQRT(1-2*U564/(0.85*$B$2)))</f>
        <v>0.001226216087</v>
      </c>
      <c r="W564" s="13">
        <f>V564*(D564*1000)*J564</f>
        <v>126.0120961</v>
      </c>
      <c r="X564" s="13">
        <f>MAX(W564,N564)</f>
        <v>342.55</v>
      </c>
      <c r="Y564" s="14">
        <f>ROUNDUP(X564/$J$2,0)</f>
        <v>2</v>
      </c>
      <c r="Z564" s="13">
        <f>Y564*$J$2</f>
        <v>398</v>
      </c>
      <c r="AA564" s="10">
        <f>0.9*Z564*$D$2*(J564-(Z564*$D$2/(0.85*$B$2*(D564*1000)))/2)/1000000</f>
        <v>49.77351244</v>
      </c>
      <c r="AB564" s="15" t="str">
        <f>IF(AA564&gt;=G564,"CUMPLE","REVISAR")</f>
        <v>CUMPLE</v>
      </c>
      <c r="AC564" s="10">
        <f>0.17*SQRT($B$2)*(D564*1000)*J564/1000</f>
        <v>92.44281538</v>
      </c>
      <c r="AD564" s="10">
        <f>MAX(H564/0.75-AC564,0)</f>
        <v>0</v>
      </c>
      <c r="AE564" s="14">
        <f>IF(AD564&gt;0,MIN($N$2*$D$2*J564/(AD564*1000),MIN(J564/4,6*$H$2,150)),MIN(J564/4,6*$H$2,150))</f>
        <v>85.6375</v>
      </c>
      <c r="AF564" s="10">
        <f>0.66*SQRT($B$2)*(D564*1000)*J564/1000</f>
        <v>358.8956362</v>
      </c>
      <c r="AG564" s="15" t="str">
        <f>IF(AD564&lt;=AF564,"CUMPLE","AUMENTAR SECCION")</f>
        <v>CUMPLE</v>
      </c>
      <c r="AH564" s="10">
        <f>0.75*0.083*SQRT($B$2)*(((D564*1000)*(E564*1000))^2/(2*((D564*1000)+(E564*1000))))/1000000</f>
        <v>3.388073536</v>
      </c>
      <c r="AI564" s="15" t="str">
        <f>IF(I564&gt;AH564,"SI","No")</f>
        <v>No</v>
      </c>
      <c r="AJ564" s="11">
        <f>IF(I564&gt;AH564,I564*1000000/(0.75*2*0.85*((D564*1000-2*$F$2)*(E564*1000-2*$F$2))*$D$2),0)</f>
        <v>0</v>
      </c>
      <c r="AK564" s="10">
        <f>1.25*Q564*$D$2*(J564-(1.25*Q564*$D$2/(0.85*$B$2*(D564*1000)))/2)/1000000</f>
        <v>68.51839235</v>
      </c>
      <c r="AL564" s="10">
        <f>1.25*Z564*$D$2*(J564-(1.25*Z564*$D$2/(0.85*$B$2*(D564*1000)))/2)/1000000</f>
        <v>68.51839235</v>
      </c>
      <c r="AM564" s="10">
        <f>(AK564+AL564)/B564</f>
        <v>34.25919618</v>
      </c>
      <c r="AN564" s="10">
        <f>MAX(H564,AM564)</f>
        <v>34.25919618</v>
      </c>
    </row>
    <row r="565">
      <c r="A565" s="5" t="inlineStr">
        <is>
          <t>F1036</t>
        </is>
      </c>
      <c r="B565" s="6" t="n">
        <v>3.81</v>
      </c>
      <c r="C565" s="7" t="inlineStr">
        <is>
          <t>VC</t>
        </is>
      </c>
      <c r="D565" s="8">
        <f>IF(C565="VR",0.35,0.30)</f>
        <v>0.3</v>
      </c>
      <c r="E565" s="6" t="n">
        <v>0.4</v>
      </c>
      <c r="F565" s="9" t="n">
        <v>48.5</v>
      </c>
      <c r="G565" s="9" t="n">
        <v>19.7</v>
      </c>
      <c r="H565" s="9" t="n">
        <v>38.9</v>
      </c>
      <c r="I565" s="6" t="n">
        <v>2.62</v>
      </c>
      <c r="J565" s="10">
        <f>E565*1000-$F$2-$L$2-$H$2/2</f>
        <v>342.55</v>
      </c>
      <c r="K565" s="11">
        <f>F565*1000000/(0.9*(D565*1000)*J565^2)</f>
        <v>1.53178772</v>
      </c>
      <c r="L565" s="12">
        <f>(0.85*$B$2/$D$2)*(1-SQRT(1-2*K565/(0.85*$B$2)))</f>
        <v>0.003772701342</v>
      </c>
      <c r="M565" s="13">
        <f>L565*(D565*1000)*J565</f>
        <v>387.7016534</v>
      </c>
      <c r="N565" s="13">
        <f>MAX(0.25*SQRT($B$2)/$D$2,1.4/$D$2)*(D565*1000)*J565</f>
        <v>342.55</v>
      </c>
      <c r="O565" s="13">
        <f>MAX(M565,N565)</f>
        <v>387.7016534</v>
      </c>
      <c r="P565" s="14">
        <f>ROUNDUP(O565/$J$2,0)</f>
        <v>2</v>
      </c>
      <c r="Q565" s="13">
        <f>P565*$J$2</f>
        <v>398</v>
      </c>
      <c r="R565" s="10">
        <f>Q565*$D$2/(0.85*$B$2*(D565*1000))</f>
        <v>23.41176471</v>
      </c>
      <c r="S565" s="10">
        <f>0.9*Q565*$D$2*(J565-R565/2)/1000000</f>
        <v>49.77351244</v>
      </c>
      <c r="T565" s="15" t="str">
        <f>IF(AND(S565&gt;=F565,O565&lt;=0.025*(D565*1000)*J565,O565&gt;=N565),"CUMPLE","REVISAR")</f>
        <v>CUMPLE</v>
      </c>
      <c r="U565" s="11">
        <f>G565*1000000/(0.9*(D565*1000)*J565^2)</f>
        <v>0.6221210788</v>
      </c>
      <c r="V565" s="12">
        <f>(0.85*$B$2/$D$2)*(1-SQRT(1-2*U565/(0.85*$B$2)))</f>
        <v>0.001501123352</v>
      </c>
      <c r="W565" s="13">
        <f>V565*(D565*1000)*J565</f>
        <v>154.2629413</v>
      </c>
      <c r="X565" s="13">
        <f>MAX(W565,N565)</f>
        <v>342.55</v>
      </c>
      <c r="Y565" s="14">
        <f>ROUNDUP(X565/$J$2,0)</f>
        <v>2</v>
      </c>
      <c r="Z565" s="13">
        <f>Y565*$J$2</f>
        <v>398</v>
      </c>
      <c r="AA565" s="10">
        <f>0.9*Z565*$D$2*(J565-(Z565*$D$2/(0.85*$B$2*(D565*1000)))/2)/1000000</f>
        <v>49.77351244</v>
      </c>
      <c r="AB565" s="15" t="str">
        <f>IF(AA565&gt;=G565,"CUMPLE","REVISAR")</f>
        <v>CUMPLE</v>
      </c>
      <c r="AC565" s="10">
        <f>0.17*SQRT($B$2)*(D565*1000)*J565/1000</f>
        <v>92.44281538</v>
      </c>
      <c r="AD565" s="10">
        <f>MAX(H565/0.75-AC565,0)</f>
        <v>0</v>
      </c>
      <c r="AE565" s="14">
        <f>IF(AD565&gt;0,MIN($N$2*$D$2*J565/(AD565*1000),MIN(J565/4,6*$H$2,150)),MIN(J565/4,6*$H$2,150))</f>
        <v>85.6375</v>
      </c>
      <c r="AF565" s="10">
        <f>0.66*SQRT($B$2)*(D565*1000)*J565/1000</f>
        <v>358.8956362</v>
      </c>
      <c r="AG565" s="15" t="str">
        <f>IF(AD565&lt;=AF565,"CUMPLE","AUMENTAR SECCION")</f>
        <v>CUMPLE</v>
      </c>
      <c r="AH565" s="10">
        <f>0.75*0.083*SQRT($B$2)*(((D565*1000)*(E565*1000))^2/(2*((D565*1000)+(E565*1000))))/1000000</f>
        <v>3.388073536</v>
      </c>
      <c r="AI565" s="15" t="str">
        <f>IF(I565&gt;AH565,"SI","No")</f>
        <v>No</v>
      </c>
      <c r="AJ565" s="11">
        <f>IF(I565&gt;AH565,I565*1000000/(0.75*2*0.85*((D565*1000-2*$F$2)*(E565*1000-2*$F$2))*$D$2),0)</f>
        <v>0</v>
      </c>
      <c r="AK565" s="10">
        <f>1.25*Q565*$D$2*(J565-(1.25*Q565*$D$2/(0.85*$B$2*(D565*1000)))/2)/1000000</f>
        <v>68.51839235</v>
      </c>
      <c r="AL565" s="10">
        <f>1.25*Z565*$D$2*(J565-(1.25*Z565*$D$2/(0.85*$B$2*(D565*1000)))/2)/1000000</f>
        <v>68.51839235</v>
      </c>
      <c r="AM565" s="10">
        <f>(AK565+AL565)/B565</f>
        <v>35.92052024</v>
      </c>
      <c r="AN565" s="10">
        <f>MAX(H565,AM565)</f>
        <v>38.93</v>
      </c>
    </row>
    <row r="566">
      <c r="A566" s="5" t="inlineStr">
        <is>
          <t>F1037</t>
        </is>
      </c>
      <c r="B566" s="6" t="n">
        <v>3.81</v>
      </c>
      <c r="C566" s="7" t="inlineStr">
        <is>
          <t>VC</t>
        </is>
      </c>
      <c r="D566" s="8">
        <f>IF(C566="VR",0.35,0.30)</f>
        <v>0.3</v>
      </c>
      <c r="E566" s="6" t="n">
        <v>0.4</v>
      </c>
      <c r="F566" s="9" t="n">
        <v>48.5</v>
      </c>
      <c r="G566" s="9" t="n">
        <v>19.7</v>
      </c>
      <c r="H566" s="9" t="n">
        <v>38.9</v>
      </c>
      <c r="I566" s="6" t="n">
        <v>2.62</v>
      </c>
      <c r="J566" s="10">
        <f>E566*1000-$F$2-$L$2-$H$2/2</f>
        <v>342.55</v>
      </c>
      <c r="K566" s="11">
        <f>F566*1000000/(0.9*(D566*1000)*J566^2)</f>
        <v>1.531472082</v>
      </c>
      <c r="L566" s="12">
        <f>(0.85*$B$2/$D$2)*(1-SQRT(1-2*K566/(0.85*$B$2)))</f>
        <v>0.003771896229</v>
      </c>
      <c r="M566" s="13">
        <f>L566*(D566*1000)*J566</f>
        <v>387.6189159</v>
      </c>
      <c r="N566" s="13">
        <f>MAX(0.25*SQRT($B$2)/$D$2,1.4/$D$2)*(D566*1000)*J566</f>
        <v>342.55</v>
      </c>
      <c r="O566" s="13">
        <f>MAX(M566,N566)</f>
        <v>387.6189159</v>
      </c>
      <c r="P566" s="14">
        <f>ROUNDUP(O566/$J$2,0)</f>
        <v>2</v>
      </c>
      <c r="Q566" s="13">
        <f>P566*$J$2</f>
        <v>398</v>
      </c>
      <c r="R566" s="10">
        <f>Q566*$D$2/(0.85*$B$2*(D566*1000))</f>
        <v>23.41176471</v>
      </c>
      <c r="S566" s="10">
        <f>0.9*Q566*$D$2*(J566-R566/2)/1000000</f>
        <v>49.77351244</v>
      </c>
      <c r="T566" s="15" t="str">
        <f>IF(AND(S566&gt;=F566,O566&lt;=0.025*(D566*1000)*J566,O566&gt;=N566),"CUMPLE","REVISAR")</f>
        <v>CUMPLE</v>
      </c>
      <c r="U566" s="11">
        <f>G566*1000000/(0.9*(D566*1000)*J566^2)</f>
        <v>0.6224367161</v>
      </c>
      <c r="V566" s="12">
        <f>(0.85*$B$2/$D$2)*(1-SQRT(1-2*U566/(0.85*$B$2)))</f>
        <v>0.001501895324</v>
      </c>
      <c r="W566" s="13">
        <f>V566*(D566*1000)*J566</f>
        <v>154.342273</v>
      </c>
      <c r="X566" s="13">
        <f>MAX(W566,N566)</f>
        <v>342.55</v>
      </c>
      <c r="Y566" s="14">
        <f>ROUNDUP(X566/$J$2,0)</f>
        <v>2</v>
      </c>
      <c r="Z566" s="13">
        <f>Y566*$J$2</f>
        <v>398</v>
      </c>
      <c r="AA566" s="10">
        <f>0.9*Z566*$D$2*(J566-(Z566*$D$2/(0.85*$B$2*(D566*1000)))/2)/1000000</f>
        <v>49.77351244</v>
      </c>
      <c r="AB566" s="15" t="str">
        <f>IF(AA566&gt;=G566,"CUMPLE","REVISAR")</f>
        <v>CUMPLE</v>
      </c>
      <c r="AC566" s="10">
        <f>0.17*SQRT($B$2)*(D566*1000)*J566/1000</f>
        <v>92.44281538</v>
      </c>
      <c r="AD566" s="10">
        <f>MAX(H566/0.75-AC566,0)</f>
        <v>0</v>
      </c>
      <c r="AE566" s="14">
        <f>IF(AD566&gt;0,MIN($N$2*$D$2*J566/(AD566*1000),MIN(J566/4,6*$H$2,150)),MIN(J566/4,6*$H$2,150))</f>
        <v>85.6375</v>
      </c>
      <c r="AF566" s="10">
        <f>0.66*SQRT($B$2)*(D566*1000)*J566/1000</f>
        <v>358.8956362</v>
      </c>
      <c r="AG566" s="15" t="str">
        <f>IF(AD566&lt;=AF566,"CUMPLE","AUMENTAR SECCION")</f>
        <v>CUMPLE</v>
      </c>
      <c r="AH566" s="10">
        <f>0.75*0.083*SQRT($B$2)*(((D566*1000)*(E566*1000))^2/(2*((D566*1000)+(E566*1000))))/1000000</f>
        <v>3.388073536</v>
      </c>
      <c r="AI566" s="15" t="str">
        <f>IF(I566&gt;AH566,"SI","No")</f>
        <v>No</v>
      </c>
      <c r="AJ566" s="11">
        <f>IF(I566&gt;AH566,I566*1000000/(0.75*2*0.85*((D566*1000-2*$F$2)*(E566*1000-2*$F$2))*$D$2),0)</f>
        <v>0</v>
      </c>
      <c r="AK566" s="10">
        <f>1.25*Q566*$D$2*(J566-(1.25*Q566*$D$2/(0.85*$B$2*(D566*1000)))/2)/1000000</f>
        <v>68.51839235</v>
      </c>
      <c r="AL566" s="10">
        <f>1.25*Z566*$D$2*(J566-(1.25*Z566*$D$2/(0.85*$B$2*(D566*1000)))/2)/1000000</f>
        <v>68.51839235</v>
      </c>
      <c r="AM566" s="10">
        <f>(AK566+AL566)/B566</f>
        <v>35.92052024</v>
      </c>
      <c r="AN566" s="10">
        <f>MAX(H566,AM566)</f>
        <v>38.89</v>
      </c>
    </row>
    <row r="567">
      <c r="A567" s="5" t="inlineStr">
        <is>
          <t>F1038</t>
        </is>
      </c>
      <c r="B567" s="6" t="n">
        <v>4</v>
      </c>
      <c r="C567" s="7" t="inlineStr">
        <is>
          <t>VC</t>
        </is>
      </c>
      <c r="D567" s="8">
        <f>IF(C567="VR",0.35,0.30)</f>
        <v>0.3</v>
      </c>
      <c r="E567" s="6" t="n">
        <v>0.4</v>
      </c>
      <c r="F567" s="9" t="n">
        <v>31.4</v>
      </c>
      <c r="G567" s="9" t="n">
        <v>16.1</v>
      </c>
      <c r="H567" s="9" t="n">
        <v>24.9</v>
      </c>
      <c r="I567" s="6" t="n">
        <v>0</v>
      </c>
      <c r="J567" s="10">
        <f>E567*1000-$F$2-$L$2-$H$2/2</f>
        <v>342.55</v>
      </c>
      <c r="K567" s="11">
        <f>F567*1000000/(0.9*(D567*1000)*J567^2)</f>
        <v>0.9895228726</v>
      </c>
      <c r="L567" s="12">
        <f>(0.85*$B$2/$D$2)*(1-SQRT(1-2*K567/(0.85*$B$2)))</f>
        <v>0.002407132918</v>
      </c>
      <c r="M567" s="13">
        <f>L567*(D567*1000)*J567</f>
        <v>247.3690143</v>
      </c>
      <c r="N567" s="13">
        <f>MAX(0.25*SQRT($B$2)/$D$2,1.4/$D$2)*(D567*1000)*J567</f>
        <v>342.55</v>
      </c>
      <c r="O567" s="13">
        <f>MAX(M567,N567)</f>
        <v>342.55</v>
      </c>
      <c r="P567" s="14">
        <f>ROUNDUP(O567/$J$2,0)</f>
        <v>2</v>
      </c>
      <c r="Q567" s="13">
        <f>P567*$J$2</f>
        <v>398</v>
      </c>
      <c r="R567" s="10">
        <f>Q567*$D$2/(0.85*$B$2*(D567*1000))</f>
        <v>23.41176471</v>
      </c>
      <c r="S567" s="10">
        <f>0.9*Q567*$D$2*(J567-R567/2)/1000000</f>
        <v>49.77351244</v>
      </c>
      <c r="T567" s="15" t="str">
        <f>IF(AND(S567&gt;=F567,O567&lt;=0.025*(D567*1000)*J567,O567&gt;=N567),"CUMPLE","REVISAR")</f>
        <v>CUMPLE</v>
      </c>
      <c r="U567" s="11">
        <f>G567*1000000/(0.9*(D567*1000)*J567^2)</f>
        <v>0.5097542071</v>
      </c>
      <c r="V567" s="12">
        <f>(0.85*$B$2/$D$2)*(1-SQRT(1-2*U567/(0.85*$B$2)))</f>
        <v>0.001226984231</v>
      </c>
      <c r="W567" s="13">
        <f>V567*(D567*1000)*J567</f>
        <v>126.0910345</v>
      </c>
      <c r="X567" s="13">
        <f>MAX(W567,N567)</f>
        <v>342.55</v>
      </c>
      <c r="Y567" s="14">
        <f>ROUNDUP(X567/$J$2,0)</f>
        <v>2</v>
      </c>
      <c r="Z567" s="13">
        <f>Y567*$J$2</f>
        <v>398</v>
      </c>
      <c r="AA567" s="10">
        <f>0.9*Z567*$D$2*(J567-(Z567*$D$2/(0.85*$B$2*(D567*1000)))/2)/1000000</f>
        <v>49.77351244</v>
      </c>
      <c r="AB567" s="15" t="str">
        <f>IF(AA567&gt;=G567,"CUMPLE","REVISAR")</f>
        <v>CUMPLE</v>
      </c>
      <c r="AC567" s="10">
        <f>0.17*SQRT($B$2)*(D567*1000)*J567/1000</f>
        <v>92.44281538</v>
      </c>
      <c r="AD567" s="10">
        <f>MAX(H567/0.75-AC567,0)</f>
        <v>0</v>
      </c>
      <c r="AE567" s="14">
        <f>IF(AD567&gt;0,MIN($N$2*$D$2*J567/(AD567*1000),MIN(J567/4,6*$H$2,150)),MIN(J567/4,6*$H$2,150))</f>
        <v>85.6375</v>
      </c>
      <c r="AF567" s="10">
        <f>0.66*SQRT($B$2)*(D567*1000)*J567/1000</f>
        <v>358.8956362</v>
      </c>
      <c r="AG567" s="15" t="str">
        <f>IF(AD567&lt;=AF567,"CUMPLE","AUMENTAR SECCION")</f>
        <v>CUMPLE</v>
      </c>
      <c r="AH567" s="10">
        <f>0.75*0.083*SQRT($B$2)*(((D567*1000)*(E567*1000))^2/(2*((D567*1000)+(E567*1000))))/1000000</f>
        <v>3.388073536</v>
      </c>
      <c r="AI567" s="15" t="str">
        <f>IF(I567&gt;AH567,"SI","No")</f>
        <v>No</v>
      </c>
      <c r="AJ567" s="11">
        <f>IF(I567&gt;AH567,I567*1000000/(0.75*2*0.85*((D567*1000-2*$F$2)*(E567*1000-2*$F$2))*$D$2),0)</f>
        <v>0</v>
      </c>
      <c r="AK567" s="10">
        <f>1.25*Q567*$D$2*(J567-(1.25*Q567*$D$2/(0.85*$B$2*(D567*1000)))/2)/1000000</f>
        <v>68.51839235</v>
      </c>
      <c r="AL567" s="10">
        <f>1.25*Z567*$D$2*(J567-(1.25*Z567*$D$2/(0.85*$B$2*(D567*1000)))/2)/1000000</f>
        <v>68.51839235</v>
      </c>
      <c r="AM567" s="10">
        <f>(AK567+AL567)/B567</f>
        <v>34.25919618</v>
      </c>
      <c r="AN567" s="10">
        <f>MAX(H567,AM567)</f>
        <v>34.25919618</v>
      </c>
    </row>
    <row r="568">
      <c r="A568" s="5" t="inlineStr">
        <is>
          <t>F1039</t>
        </is>
      </c>
      <c r="B568" s="6" t="n">
        <v>4</v>
      </c>
      <c r="C568" s="7" t="inlineStr">
        <is>
          <t>VC</t>
        </is>
      </c>
      <c r="D568" s="8">
        <f>IF(C568="VR",0.35,0.30)</f>
        <v>0.3</v>
      </c>
      <c r="E568" s="6" t="n">
        <v>0.4</v>
      </c>
      <c r="F568" s="9" t="n">
        <v>29</v>
      </c>
      <c r="G568" s="9" t="n">
        <v>12.2</v>
      </c>
      <c r="H568" s="9" t="n">
        <v>23.5</v>
      </c>
      <c r="I568" s="6" t="n">
        <v>0</v>
      </c>
      <c r="J568" s="10">
        <f>E568*1000-$F$2-$L$2-$H$2/2</f>
        <v>342.55</v>
      </c>
      <c r="K568" s="11">
        <f>F568*1000000/(0.9*(D568*1000)*J568^2)</f>
        <v>0.9144012</v>
      </c>
      <c r="L568" s="12">
        <f>(0.85*$B$2/$D$2)*(1-SQRT(1-2*K568/(0.85*$B$2)))</f>
        <v>0.002220657353</v>
      </c>
      <c r="M568" s="13">
        <f>L568*(D568*1000)*J568</f>
        <v>228.2058529</v>
      </c>
      <c r="N568" s="13">
        <f>MAX(0.25*SQRT($B$2)/$D$2,1.4/$D$2)*(D568*1000)*J568</f>
        <v>342.55</v>
      </c>
      <c r="O568" s="13">
        <f>MAX(M568,N568)</f>
        <v>342.55</v>
      </c>
      <c r="P568" s="14">
        <f>ROUNDUP(O568/$J$2,0)</f>
        <v>2</v>
      </c>
      <c r="Q568" s="13">
        <f>P568*$J$2</f>
        <v>398</v>
      </c>
      <c r="R568" s="10">
        <f>Q568*$D$2/(0.85*$B$2*(D568*1000))</f>
        <v>23.41176471</v>
      </c>
      <c r="S568" s="10">
        <f>0.9*Q568*$D$2*(J568-R568/2)/1000000</f>
        <v>49.77351244</v>
      </c>
      <c r="T568" s="15" t="str">
        <f>IF(AND(S568&gt;=F568,O568&lt;=0.025*(D568*1000)*J568,O568&gt;=N568),"CUMPLE","REVISAR")</f>
        <v>CUMPLE</v>
      </c>
      <c r="U568" s="11">
        <f>G568*1000000/(0.9*(D568*1000)*J568^2)</f>
        <v>0.3850774815</v>
      </c>
      <c r="V568" s="12">
        <f>(0.85*$B$2/$D$2)*(1-SQRT(1-2*U568/(0.85*$B$2)))</f>
        <v>0.0009243908385</v>
      </c>
      <c r="W568" s="13">
        <f>V568*(D568*1000)*J568</f>
        <v>94.99502452</v>
      </c>
      <c r="X568" s="13">
        <f>MAX(W568,N568)</f>
        <v>342.55</v>
      </c>
      <c r="Y568" s="14">
        <f>ROUNDUP(X568/$J$2,0)</f>
        <v>2</v>
      </c>
      <c r="Z568" s="13">
        <f>Y568*$J$2</f>
        <v>398</v>
      </c>
      <c r="AA568" s="10">
        <f>0.9*Z568*$D$2*(J568-(Z568*$D$2/(0.85*$B$2*(D568*1000)))/2)/1000000</f>
        <v>49.77351244</v>
      </c>
      <c r="AB568" s="15" t="str">
        <f>IF(AA568&gt;=G568,"CUMPLE","REVISAR")</f>
        <v>CUMPLE</v>
      </c>
      <c r="AC568" s="10">
        <f>0.17*SQRT($B$2)*(D568*1000)*J568/1000</f>
        <v>92.44281538</v>
      </c>
      <c r="AD568" s="10">
        <f>MAX(H568/0.75-AC568,0)</f>
        <v>0</v>
      </c>
      <c r="AE568" s="14">
        <f>IF(AD568&gt;0,MIN($N$2*$D$2*J568/(AD568*1000),MIN(J568/4,6*$H$2,150)),MIN(J568/4,6*$H$2,150))</f>
        <v>85.6375</v>
      </c>
      <c r="AF568" s="10">
        <f>0.66*SQRT($B$2)*(D568*1000)*J568/1000</f>
        <v>358.8956362</v>
      </c>
      <c r="AG568" s="15" t="str">
        <f>IF(AD568&lt;=AF568,"CUMPLE","AUMENTAR SECCION")</f>
        <v>CUMPLE</v>
      </c>
      <c r="AH568" s="10">
        <f>0.75*0.083*SQRT($B$2)*(((D568*1000)*(E568*1000))^2/(2*((D568*1000)+(E568*1000))))/1000000</f>
        <v>3.388073536</v>
      </c>
      <c r="AI568" s="15" t="str">
        <f>IF(I568&gt;AH568,"SI","No")</f>
        <v>No</v>
      </c>
      <c r="AJ568" s="11">
        <f>IF(I568&gt;AH568,I568*1000000/(0.75*2*0.85*((D568*1000-2*$F$2)*(E568*1000-2*$F$2))*$D$2),0)</f>
        <v>0</v>
      </c>
      <c r="AK568" s="10">
        <f>1.25*Q568*$D$2*(J568-(1.25*Q568*$D$2/(0.85*$B$2*(D568*1000)))/2)/1000000</f>
        <v>68.51839235</v>
      </c>
      <c r="AL568" s="10">
        <f>1.25*Z568*$D$2*(J568-(1.25*Z568*$D$2/(0.85*$B$2*(D568*1000)))/2)/1000000</f>
        <v>68.51839235</v>
      </c>
      <c r="AM568" s="10">
        <f>(AK568+AL568)/B568</f>
        <v>34.25919618</v>
      </c>
      <c r="AN568" s="10">
        <f>MAX(H568,AM568)</f>
        <v>34.25919618</v>
      </c>
    </row>
    <row r="569">
      <c r="A569" s="5" t="inlineStr">
        <is>
          <t>F1040</t>
        </is>
      </c>
      <c r="B569" s="6" t="n">
        <v>4</v>
      </c>
      <c r="C569" s="7" t="inlineStr">
        <is>
          <t>VC</t>
        </is>
      </c>
      <c r="D569" s="8">
        <f>IF(C569="VR",0.35,0.30)</f>
        <v>0.3</v>
      </c>
      <c r="E569" s="6" t="n">
        <v>0.4</v>
      </c>
      <c r="F569" s="9" t="n">
        <v>29</v>
      </c>
      <c r="G569" s="9" t="n">
        <v>12.2</v>
      </c>
      <c r="H569" s="9" t="n">
        <v>23.5</v>
      </c>
      <c r="I569" s="6" t="n">
        <v>0</v>
      </c>
      <c r="J569" s="10">
        <f>E569*1000-$F$2-$L$2-$H$2/2</f>
        <v>342.55</v>
      </c>
      <c r="K569" s="11">
        <f>F569*1000000/(0.9*(D569*1000)*J569^2)</f>
        <v>0.9144012</v>
      </c>
      <c r="L569" s="12">
        <f>(0.85*$B$2/$D$2)*(1-SQRT(1-2*K569/(0.85*$B$2)))</f>
        <v>0.002220657353</v>
      </c>
      <c r="M569" s="13">
        <f>L569*(D569*1000)*J569</f>
        <v>228.2058529</v>
      </c>
      <c r="N569" s="13">
        <f>MAX(0.25*SQRT($B$2)/$D$2,1.4/$D$2)*(D569*1000)*J569</f>
        <v>342.55</v>
      </c>
      <c r="O569" s="13">
        <f>MAX(M569,N569)</f>
        <v>342.55</v>
      </c>
      <c r="P569" s="14">
        <f>ROUNDUP(O569/$J$2,0)</f>
        <v>2</v>
      </c>
      <c r="Q569" s="13">
        <f>P569*$J$2</f>
        <v>398</v>
      </c>
      <c r="R569" s="10">
        <f>Q569*$D$2/(0.85*$B$2*(D569*1000))</f>
        <v>23.41176471</v>
      </c>
      <c r="S569" s="10">
        <f>0.9*Q569*$D$2*(J569-R569/2)/1000000</f>
        <v>49.77351244</v>
      </c>
      <c r="T569" s="15" t="str">
        <f>IF(AND(S569&gt;=F569,O569&lt;=0.025*(D569*1000)*J569,O569&gt;=N569),"CUMPLE","REVISAR")</f>
        <v>CUMPLE</v>
      </c>
      <c r="U569" s="11">
        <f>G569*1000000/(0.9*(D569*1000)*J569^2)</f>
        <v>0.3853931188</v>
      </c>
      <c r="V569" s="12">
        <f>(0.85*$B$2/$D$2)*(1-SQRT(1-2*U569/(0.85*$B$2)))</f>
        <v>0.0009251548237</v>
      </c>
      <c r="W569" s="13">
        <f>V569*(D569*1000)*J569</f>
        <v>95.07353546</v>
      </c>
      <c r="X569" s="13">
        <f>MAX(W569,N569)</f>
        <v>342.55</v>
      </c>
      <c r="Y569" s="14">
        <f>ROUNDUP(X569/$J$2,0)</f>
        <v>2</v>
      </c>
      <c r="Z569" s="13">
        <f>Y569*$J$2</f>
        <v>398</v>
      </c>
      <c r="AA569" s="10">
        <f>0.9*Z569*$D$2*(J569-(Z569*$D$2/(0.85*$B$2*(D569*1000)))/2)/1000000</f>
        <v>49.77351244</v>
      </c>
      <c r="AB569" s="15" t="str">
        <f>IF(AA569&gt;=G569,"CUMPLE","REVISAR")</f>
        <v>CUMPLE</v>
      </c>
      <c r="AC569" s="10">
        <f>0.17*SQRT($B$2)*(D569*1000)*J569/1000</f>
        <v>92.44281538</v>
      </c>
      <c r="AD569" s="10">
        <f>MAX(H569/0.75-AC569,0)</f>
        <v>0</v>
      </c>
      <c r="AE569" s="14">
        <f>IF(AD569&gt;0,MIN($N$2*$D$2*J569/(AD569*1000),MIN(J569/4,6*$H$2,150)),MIN(J569/4,6*$H$2,150))</f>
        <v>85.6375</v>
      </c>
      <c r="AF569" s="10">
        <f>0.66*SQRT($B$2)*(D569*1000)*J569/1000</f>
        <v>358.8956362</v>
      </c>
      <c r="AG569" s="15" t="str">
        <f>IF(AD569&lt;=AF569,"CUMPLE","AUMENTAR SECCION")</f>
        <v>CUMPLE</v>
      </c>
      <c r="AH569" s="10">
        <f>0.75*0.083*SQRT($B$2)*(((D569*1000)*(E569*1000))^2/(2*((D569*1000)+(E569*1000))))/1000000</f>
        <v>3.388073536</v>
      </c>
      <c r="AI569" s="15" t="str">
        <f>IF(I569&gt;AH569,"SI","No")</f>
        <v>No</v>
      </c>
      <c r="AJ569" s="11">
        <f>IF(I569&gt;AH569,I569*1000000/(0.75*2*0.85*((D569*1000-2*$F$2)*(E569*1000-2*$F$2))*$D$2),0)</f>
        <v>0</v>
      </c>
      <c r="AK569" s="10">
        <f>1.25*Q569*$D$2*(J569-(1.25*Q569*$D$2/(0.85*$B$2*(D569*1000)))/2)/1000000</f>
        <v>68.51839235</v>
      </c>
      <c r="AL569" s="10">
        <f>1.25*Z569*$D$2*(J569-(1.25*Z569*$D$2/(0.85*$B$2*(D569*1000)))/2)/1000000</f>
        <v>68.51839235</v>
      </c>
      <c r="AM569" s="10">
        <f>(AK569+AL569)/B569</f>
        <v>34.25919618</v>
      </c>
      <c r="AN569" s="10">
        <f>MAX(H569,AM569)</f>
        <v>34.25919618</v>
      </c>
    </row>
    <row r="570">
      <c r="A570" s="5" t="inlineStr">
        <is>
          <t>F1353</t>
        </is>
      </c>
      <c r="B570" s="6" t="n">
        <v>3.3</v>
      </c>
      <c r="C570" s="7" t="inlineStr">
        <is>
          <t>VR</t>
        </is>
      </c>
      <c r="D570" s="8">
        <f>IF(C570="VR",0.35,0.30)</f>
        <v>0.35</v>
      </c>
      <c r="E570" s="6" t="n">
        <v>0.4</v>
      </c>
      <c r="F570" s="9" t="n">
        <v>33.9</v>
      </c>
      <c r="G570" s="9" t="n">
        <v>14.2</v>
      </c>
      <c r="H570" s="9" t="n">
        <v>55.4</v>
      </c>
      <c r="I570" s="6" t="n">
        <v>1.09</v>
      </c>
      <c r="J570" s="10">
        <f>E570*1000-$F$2-$L$2-$H$2/2</f>
        <v>342.55</v>
      </c>
      <c r="K570" s="11">
        <f>F570*1000000/(0.9*(D570*1000)*J570^2)</f>
        <v>0.9157990223</v>
      </c>
      <c r="L570" s="12">
        <f>(0.85*$B$2/$D$2)*(1-SQRT(1-2*K570/(0.85*$B$2)))</f>
        <v>0.002224121355</v>
      </c>
      <c r="M570" s="13">
        <f>L570*(D570*1000)*J570</f>
        <v>266.6554695</v>
      </c>
      <c r="N570" s="13">
        <f>MAX(0.25*SQRT($B$2)/$D$2,1.4/$D$2)*(D570*1000)*J570</f>
        <v>399.6416667</v>
      </c>
      <c r="O570" s="13">
        <f>MAX(M570,N570)</f>
        <v>399.6416667</v>
      </c>
      <c r="P570" s="14">
        <f>ROUNDUP(O570/$J$2,0)</f>
        <v>3</v>
      </c>
      <c r="Q570" s="13">
        <f>P570*$J$2</f>
        <v>597</v>
      </c>
      <c r="R570" s="10">
        <f>Q570*$D$2/(0.85*$B$2*(D570*1000))</f>
        <v>30.10084034</v>
      </c>
      <c r="S570" s="10">
        <f>0.9*Q570*$D$2*(J570-R570/2)/1000000</f>
        <v>73.90552018</v>
      </c>
      <c r="T570" s="15" t="str">
        <f>IF(AND(S570&gt;=F570,O570&lt;=0.025*(D570*1000)*J570,O570&gt;=N570),"CUMPLE","REVISAR")</f>
        <v>CUMPLE</v>
      </c>
      <c r="U570" s="11">
        <f>G570*1000000/(0.9*(D570*1000)*J570^2)</f>
        <v>0.3849872995</v>
      </c>
      <c r="V570" s="12">
        <f>(0.85*$B$2/$D$2)*(1-SQRT(1-2*U570/(0.85*$B$2)))</f>
        <v>0.0009241725589</v>
      </c>
      <c r="W570" s="13">
        <f>V570*(D570*1000)*J570</f>
        <v>110.8013585</v>
      </c>
      <c r="X570" s="13">
        <f>MAX(W570,N570)</f>
        <v>399.6416667</v>
      </c>
      <c r="Y570" s="14">
        <f>ROUNDUP(X570/$J$2,0)</f>
        <v>3</v>
      </c>
      <c r="Z570" s="13">
        <f>Y570*$J$2</f>
        <v>597</v>
      </c>
      <c r="AA570" s="10">
        <f>0.9*Z570*$D$2*(J570-(Z570*$D$2/(0.85*$B$2*(D570*1000)))/2)/1000000</f>
        <v>73.90552018</v>
      </c>
      <c r="AB570" s="15" t="str">
        <f>IF(AA570&gt;=G570,"CUMPLE","REVISAR")</f>
        <v>CUMPLE</v>
      </c>
      <c r="AC570" s="10">
        <f>0.17*SQRT($B$2)*(D570*1000)*J570/1000</f>
        <v>107.8499513</v>
      </c>
      <c r="AD570" s="10">
        <f>MAX(H570/0.75-AC570,0)</f>
        <v>0</v>
      </c>
      <c r="AE570" s="14">
        <f>IF(AD570&gt;0,MIN($N$2*$D$2*J570/(AD570*1000),MIN(J570/4,6*$H$2,150)),MIN(J570/4,6*$H$2,150))</f>
        <v>85.6375</v>
      </c>
      <c r="AF570" s="10">
        <f>0.66*SQRT($B$2)*(D570*1000)*J570/1000</f>
        <v>418.7115756</v>
      </c>
      <c r="AG570" s="15" t="str">
        <f>IF(AD570&lt;=AF570,"CUMPLE","AUMENTAR SECCION")</f>
        <v>CUMPLE</v>
      </c>
      <c r="AH570" s="10">
        <f>0.75*0.083*SQRT($B$2)*(((D570*1000)*(E570*1000))^2/(2*((D570*1000)+(E570*1000))))/1000000</f>
        <v>4.304108233</v>
      </c>
      <c r="AI570" s="15" t="str">
        <f>IF(I570&gt;AH570,"SI","No")</f>
        <v>No</v>
      </c>
      <c r="AJ570" s="11">
        <f>IF(I570&gt;AH570,I570*1000000/(0.75*2*0.85*((D570*1000-2*$F$2)*(E570*1000-2*$F$2))*$D$2),0)</f>
        <v>0</v>
      </c>
      <c r="AK570" s="10">
        <f>1.25*Q570*$D$2*(J570-(1.25*Q570*$D$2/(0.85*$B$2*(D570*1000)))/2)/1000000</f>
        <v>101.4672613</v>
      </c>
      <c r="AL570" s="10">
        <f>1.25*Z570*$D$2*(J570-(1.25*Z570*$D$2/(0.85*$B$2*(D570*1000)))/2)/1000000</f>
        <v>101.4672613</v>
      </c>
      <c r="AM570" s="10">
        <f>(AK570+AL570)/B570</f>
        <v>61.49530989</v>
      </c>
      <c r="AN570" s="10">
        <f>MAX(H570,AM570)</f>
        <v>61.49530989</v>
      </c>
    </row>
    <row r="571">
      <c r="A571" s="5" t="inlineStr">
        <is>
          <t>F1354</t>
        </is>
      </c>
      <c r="B571" s="6" t="n">
        <v>3.3</v>
      </c>
      <c r="C571" s="7" t="inlineStr">
        <is>
          <t>VR</t>
        </is>
      </c>
      <c r="D571" s="8">
        <f>IF(C571="VR",0.35,0.30)</f>
        <v>0.35</v>
      </c>
      <c r="E571" s="6" t="n">
        <v>0.4</v>
      </c>
      <c r="F571" s="9" t="n">
        <v>33.9</v>
      </c>
      <c r="G571" s="9" t="n">
        <v>14.2</v>
      </c>
      <c r="H571" s="9" t="n">
        <v>55.4</v>
      </c>
      <c r="I571" s="6" t="n">
        <v>1.09</v>
      </c>
      <c r="J571" s="10">
        <f>E571*1000-$F$2-$L$2-$H$2/2</f>
        <v>342.55</v>
      </c>
      <c r="K571" s="11">
        <f>F571*1000000/(0.9*(D571*1000)*J571^2)</f>
        <v>0.9160695685</v>
      </c>
      <c r="L571" s="12">
        <f>(0.85*$B$2/$D$2)*(1-SQRT(1-2*K571/(0.85*$B$2)))</f>
        <v>0.002224791832</v>
      </c>
      <c r="M571" s="13">
        <f>L571*(D571*1000)*J571</f>
        <v>266.7358547</v>
      </c>
      <c r="N571" s="13">
        <f>MAX(0.25*SQRT($B$2)/$D$2,1.4/$D$2)*(D571*1000)*J571</f>
        <v>399.6416667</v>
      </c>
      <c r="O571" s="13">
        <f>MAX(M571,N571)</f>
        <v>399.6416667</v>
      </c>
      <c r="P571" s="14">
        <f>ROUNDUP(O571/$J$2,0)</f>
        <v>3</v>
      </c>
      <c r="Q571" s="13">
        <f>P571*$J$2</f>
        <v>597</v>
      </c>
      <c r="R571" s="10">
        <f>Q571*$D$2/(0.85*$B$2*(D571*1000))</f>
        <v>30.10084034</v>
      </c>
      <c r="S571" s="10">
        <f>0.9*Q571*$D$2*(J571-R571/2)/1000000</f>
        <v>73.90552018</v>
      </c>
      <c r="T571" s="15" t="str">
        <f>IF(AND(S571&gt;=F571,O571&lt;=0.025*(D571*1000)*J571,O571&gt;=N571),"CUMPLE","REVISAR")</f>
        <v>CUMPLE</v>
      </c>
      <c r="U571" s="11">
        <f>G571*1000000/(0.9*(D571*1000)*J571^2)</f>
        <v>0.3852578457</v>
      </c>
      <c r="V571" s="12">
        <f>(0.85*$B$2/$D$2)*(1-SQRT(1-2*U571/(0.85*$B$2)))</f>
        <v>0.0009248274002</v>
      </c>
      <c r="W571" s="13">
        <f>V571*(D571*1000)*J571</f>
        <v>110.8798691</v>
      </c>
      <c r="X571" s="13">
        <f>MAX(W571,N571)</f>
        <v>399.6416667</v>
      </c>
      <c r="Y571" s="14">
        <f>ROUNDUP(X571/$J$2,0)</f>
        <v>3</v>
      </c>
      <c r="Z571" s="13">
        <f>Y571*$J$2</f>
        <v>597</v>
      </c>
      <c r="AA571" s="10">
        <f>0.9*Z571*$D$2*(J571-(Z571*$D$2/(0.85*$B$2*(D571*1000)))/2)/1000000</f>
        <v>73.90552018</v>
      </c>
      <c r="AB571" s="15" t="str">
        <f>IF(AA571&gt;=G571,"CUMPLE","REVISAR")</f>
        <v>CUMPLE</v>
      </c>
      <c r="AC571" s="10">
        <f>0.17*SQRT($B$2)*(D571*1000)*J571/1000</f>
        <v>107.8499513</v>
      </c>
      <c r="AD571" s="10">
        <f>MAX(H571/0.75-AC571,0)</f>
        <v>0</v>
      </c>
      <c r="AE571" s="14">
        <f>IF(AD571&gt;0,MIN($N$2*$D$2*J571/(AD571*1000),MIN(J571/4,6*$H$2,150)),MIN(J571/4,6*$H$2,150))</f>
        <v>85.6375</v>
      </c>
      <c r="AF571" s="10">
        <f>0.66*SQRT($B$2)*(D571*1000)*J571/1000</f>
        <v>418.7115756</v>
      </c>
      <c r="AG571" s="15" t="str">
        <f>IF(AD571&lt;=AF571,"CUMPLE","AUMENTAR SECCION")</f>
        <v>CUMPLE</v>
      </c>
      <c r="AH571" s="10">
        <f>0.75*0.083*SQRT($B$2)*(((D571*1000)*(E571*1000))^2/(2*((D571*1000)+(E571*1000))))/1000000</f>
        <v>4.304108233</v>
      </c>
      <c r="AI571" s="15" t="str">
        <f>IF(I571&gt;AH571,"SI","No")</f>
        <v>No</v>
      </c>
      <c r="AJ571" s="11">
        <f>IF(I571&gt;AH571,I571*1000000/(0.75*2*0.85*((D571*1000-2*$F$2)*(E571*1000-2*$F$2))*$D$2),0)</f>
        <v>0</v>
      </c>
      <c r="AK571" s="10">
        <f>1.25*Q571*$D$2*(J571-(1.25*Q571*$D$2/(0.85*$B$2*(D571*1000)))/2)/1000000</f>
        <v>101.4672613</v>
      </c>
      <c r="AL571" s="10">
        <f>1.25*Z571*$D$2*(J571-(1.25*Z571*$D$2/(0.85*$B$2*(D571*1000)))/2)/1000000</f>
        <v>101.4672613</v>
      </c>
      <c r="AM571" s="10">
        <f>(AK571+AL571)/B571</f>
        <v>61.49530989</v>
      </c>
      <c r="AN571" s="10">
        <f>MAX(H571,AM571)</f>
        <v>61.49530989</v>
      </c>
    </row>
    <row r="572">
      <c r="A572" s="5" t="inlineStr">
        <is>
          <t>F1355</t>
        </is>
      </c>
      <c r="B572" s="6" t="n">
        <v>3.3</v>
      </c>
      <c r="C572" s="7" t="inlineStr">
        <is>
          <t>VR</t>
        </is>
      </c>
      <c r="D572" s="8">
        <f>IF(C572="VR",0.35,0.30)</f>
        <v>0.35</v>
      </c>
      <c r="E572" s="6" t="n">
        <v>0.4</v>
      </c>
      <c r="F572" s="9" t="n">
        <v>36.9</v>
      </c>
      <c r="G572" s="9" t="n">
        <v>14.7</v>
      </c>
      <c r="H572" s="9" t="n">
        <v>57.3</v>
      </c>
      <c r="I572" s="6" t="n">
        <v>0.99</v>
      </c>
      <c r="J572" s="10">
        <f>E572*1000-$F$2-$L$2-$H$2/2</f>
        <v>342.55</v>
      </c>
      <c r="K572" s="11">
        <f>F572*1000000/(0.9*(D572*1000)*J572^2)</f>
        <v>0.9991272642</v>
      </c>
      <c r="L572" s="12">
        <f>(0.85*$B$2/$D$2)*(1-SQRT(1-2*K572/(0.85*$B$2)))</f>
        <v>0.002431020258</v>
      </c>
      <c r="M572" s="13">
        <f>L572*(D572*1000)*J572</f>
        <v>291.4610962</v>
      </c>
      <c r="N572" s="13">
        <f>MAX(0.25*SQRT($B$2)/$D$2,1.4/$D$2)*(D572*1000)*J572</f>
        <v>399.6416667</v>
      </c>
      <c r="O572" s="13">
        <f>MAX(M572,N572)</f>
        <v>399.6416667</v>
      </c>
      <c r="P572" s="14">
        <f>ROUNDUP(O572/$J$2,0)</f>
        <v>3</v>
      </c>
      <c r="Q572" s="13">
        <f>P572*$J$2</f>
        <v>597</v>
      </c>
      <c r="R572" s="10">
        <f>Q572*$D$2/(0.85*$B$2*(D572*1000))</f>
        <v>30.10084034</v>
      </c>
      <c r="S572" s="10">
        <f>0.9*Q572*$D$2*(J572-R572/2)/1000000</f>
        <v>73.90552018</v>
      </c>
      <c r="T572" s="15" t="str">
        <f>IF(AND(S572&gt;=F572,O572&lt;=0.025*(D572*1000)*J572,O572&gt;=N572),"CUMPLE","REVISAR")</f>
        <v>CUMPLE</v>
      </c>
      <c r="U572" s="11">
        <f>G572*1000000/(0.9*(D572*1000)*J572^2)</f>
        <v>0.396891334</v>
      </c>
      <c r="V572" s="12">
        <f>(0.85*$B$2/$D$2)*(1-SQRT(1-2*U572/(0.85*$B$2)))</f>
        <v>0.0009529928554</v>
      </c>
      <c r="W572" s="13">
        <f>V572*(D572*1000)*J572</f>
        <v>114.2566959</v>
      </c>
      <c r="X572" s="13">
        <f>MAX(W572,N572)</f>
        <v>399.6416667</v>
      </c>
      <c r="Y572" s="14">
        <f>ROUNDUP(X572/$J$2,0)</f>
        <v>3</v>
      </c>
      <c r="Z572" s="13">
        <f>Y572*$J$2</f>
        <v>597</v>
      </c>
      <c r="AA572" s="10">
        <f>0.9*Z572*$D$2*(J572-(Z572*$D$2/(0.85*$B$2*(D572*1000)))/2)/1000000</f>
        <v>73.90552018</v>
      </c>
      <c r="AB572" s="15" t="str">
        <f>IF(AA572&gt;=G572,"CUMPLE","REVISAR")</f>
        <v>CUMPLE</v>
      </c>
      <c r="AC572" s="10">
        <f>0.17*SQRT($B$2)*(D572*1000)*J572/1000</f>
        <v>107.8499513</v>
      </c>
      <c r="AD572" s="10">
        <f>MAX(H572/0.75-AC572,0)</f>
        <v>0</v>
      </c>
      <c r="AE572" s="14">
        <f>IF(AD572&gt;0,MIN($N$2*$D$2*J572/(AD572*1000),MIN(J572/4,6*$H$2,150)),MIN(J572/4,6*$H$2,150))</f>
        <v>85.6375</v>
      </c>
      <c r="AF572" s="10">
        <f>0.66*SQRT($B$2)*(D572*1000)*J572/1000</f>
        <v>418.7115756</v>
      </c>
      <c r="AG572" s="15" t="str">
        <f>IF(AD572&lt;=AF572,"CUMPLE","AUMENTAR SECCION")</f>
        <v>CUMPLE</v>
      </c>
      <c r="AH572" s="10">
        <f>0.75*0.083*SQRT($B$2)*(((D572*1000)*(E572*1000))^2/(2*((D572*1000)+(E572*1000))))/1000000</f>
        <v>4.304108233</v>
      </c>
      <c r="AI572" s="15" t="str">
        <f>IF(I572&gt;AH572,"SI","No")</f>
        <v>No</v>
      </c>
      <c r="AJ572" s="11">
        <f>IF(I572&gt;AH572,I572*1000000/(0.75*2*0.85*((D572*1000-2*$F$2)*(E572*1000-2*$F$2))*$D$2),0)</f>
        <v>0</v>
      </c>
      <c r="AK572" s="10">
        <f>1.25*Q572*$D$2*(J572-(1.25*Q572*$D$2/(0.85*$B$2*(D572*1000)))/2)/1000000</f>
        <v>101.4672613</v>
      </c>
      <c r="AL572" s="10">
        <f>1.25*Z572*$D$2*(J572-(1.25*Z572*$D$2/(0.85*$B$2*(D572*1000)))/2)/1000000</f>
        <v>101.4672613</v>
      </c>
      <c r="AM572" s="10">
        <f>(AK572+AL572)/B572</f>
        <v>61.49530989</v>
      </c>
      <c r="AN572" s="10">
        <f>MAX(H572,AM572)</f>
        <v>61.49530989</v>
      </c>
    </row>
    <row r="573">
      <c r="A573" s="5" t="inlineStr">
        <is>
          <t>F1356</t>
        </is>
      </c>
      <c r="B573" s="6" t="n">
        <v>3.3</v>
      </c>
      <c r="C573" s="7" t="inlineStr">
        <is>
          <t>VR</t>
        </is>
      </c>
      <c r="D573" s="8">
        <f>IF(C573="VR",0.35,0.30)</f>
        <v>0.35</v>
      </c>
      <c r="E573" s="6" t="n">
        <v>0.4</v>
      </c>
      <c r="F573" s="9" t="n">
        <v>37</v>
      </c>
      <c r="G573" s="9" t="n">
        <v>14.7</v>
      </c>
      <c r="H573" s="9" t="n">
        <v>57.3</v>
      </c>
      <c r="I573" s="6" t="n">
        <v>0.98</v>
      </c>
      <c r="J573" s="10">
        <f>E573*1000-$F$2-$L$2-$H$2/2</f>
        <v>342.55</v>
      </c>
      <c r="K573" s="11">
        <f>F573*1000000/(0.9*(D573*1000)*J573^2)</f>
        <v>0.9996683566</v>
      </c>
      <c r="L573" s="12">
        <f>(0.85*$B$2/$D$2)*(1-SQRT(1-2*K573/(0.85*$B$2)))</f>
        <v>0.002432366336</v>
      </c>
      <c r="M573" s="13">
        <f>L573*(D573*1000)*J573</f>
        <v>291.622481</v>
      </c>
      <c r="N573" s="13">
        <f>MAX(0.25*SQRT($B$2)/$D$2,1.4/$D$2)*(D573*1000)*J573</f>
        <v>399.6416667</v>
      </c>
      <c r="O573" s="13">
        <f>MAX(M573,N573)</f>
        <v>399.6416667</v>
      </c>
      <c r="P573" s="14">
        <f>ROUNDUP(O573/$J$2,0)</f>
        <v>3</v>
      </c>
      <c r="Q573" s="13">
        <f>P573*$J$2</f>
        <v>597</v>
      </c>
      <c r="R573" s="10">
        <f>Q573*$D$2/(0.85*$B$2*(D573*1000))</f>
        <v>30.10084034</v>
      </c>
      <c r="S573" s="10">
        <f>0.9*Q573*$D$2*(J573-R573/2)/1000000</f>
        <v>73.90552018</v>
      </c>
      <c r="T573" s="15" t="str">
        <f>IF(AND(S573&gt;=F573,O573&lt;=0.025*(D573*1000)*J573,O573&gt;=N573),"CUMPLE","REVISAR")</f>
        <v>CUMPLE</v>
      </c>
      <c r="U573" s="11">
        <f>G573*1000000/(0.9*(D573*1000)*J573^2)</f>
        <v>0.3971618803</v>
      </c>
      <c r="V573" s="12">
        <f>(0.85*$B$2/$D$2)*(1-SQRT(1-2*U573/(0.85*$B$2)))</f>
        <v>0.0009536480354</v>
      </c>
      <c r="W573" s="13">
        <f>V573*(D573*1000)*J573</f>
        <v>114.3352471</v>
      </c>
      <c r="X573" s="13">
        <f>MAX(W573,N573)</f>
        <v>399.6416667</v>
      </c>
      <c r="Y573" s="14">
        <f>ROUNDUP(X573/$J$2,0)</f>
        <v>3</v>
      </c>
      <c r="Z573" s="13">
        <f>Y573*$J$2</f>
        <v>597</v>
      </c>
      <c r="AA573" s="10">
        <f>0.9*Z573*$D$2*(J573-(Z573*$D$2/(0.85*$B$2*(D573*1000)))/2)/1000000</f>
        <v>73.90552018</v>
      </c>
      <c r="AB573" s="15" t="str">
        <f>IF(AA573&gt;=G573,"CUMPLE","REVISAR")</f>
        <v>CUMPLE</v>
      </c>
      <c r="AC573" s="10">
        <f>0.17*SQRT($B$2)*(D573*1000)*J573/1000</f>
        <v>107.8499513</v>
      </c>
      <c r="AD573" s="10">
        <f>MAX(H573/0.75-AC573,0)</f>
        <v>0</v>
      </c>
      <c r="AE573" s="14">
        <f>IF(AD573&gt;0,MIN($N$2*$D$2*J573/(AD573*1000),MIN(J573/4,6*$H$2,150)),MIN(J573/4,6*$H$2,150))</f>
        <v>85.6375</v>
      </c>
      <c r="AF573" s="10">
        <f>0.66*SQRT($B$2)*(D573*1000)*J573/1000</f>
        <v>418.7115756</v>
      </c>
      <c r="AG573" s="15" t="str">
        <f>IF(AD573&lt;=AF573,"CUMPLE","AUMENTAR SECCION")</f>
        <v>CUMPLE</v>
      </c>
      <c r="AH573" s="10">
        <f>0.75*0.083*SQRT($B$2)*(((D573*1000)*(E573*1000))^2/(2*((D573*1000)+(E573*1000))))/1000000</f>
        <v>4.304108233</v>
      </c>
      <c r="AI573" s="15" t="str">
        <f>IF(I573&gt;AH573,"SI","No")</f>
        <v>No</v>
      </c>
      <c r="AJ573" s="11">
        <f>IF(I573&gt;AH573,I573*1000000/(0.75*2*0.85*((D573*1000-2*$F$2)*(E573*1000-2*$F$2))*$D$2),0)</f>
        <v>0</v>
      </c>
      <c r="AK573" s="10">
        <f>1.25*Q573*$D$2*(J573-(1.25*Q573*$D$2/(0.85*$B$2*(D573*1000)))/2)/1000000</f>
        <v>101.4672613</v>
      </c>
      <c r="AL573" s="10">
        <f>1.25*Z573*$D$2*(J573-(1.25*Z573*$D$2/(0.85*$B$2*(D573*1000)))/2)/1000000</f>
        <v>101.4672613</v>
      </c>
      <c r="AM573" s="10">
        <f>(AK573+AL573)/B573</f>
        <v>61.49530989</v>
      </c>
      <c r="AN573" s="10">
        <f>MAX(H573,AM573)</f>
        <v>61.49530989</v>
      </c>
    </row>
    <row r="574">
      <c r="A574" s="5" t="inlineStr">
        <is>
          <t>F1357</t>
        </is>
      </c>
      <c r="B574" s="6" t="n">
        <v>3.3</v>
      </c>
      <c r="C574" s="7" t="inlineStr">
        <is>
          <t>VR</t>
        </is>
      </c>
      <c r="D574" s="8">
        <f>IF(C574="VR",0.35,0.30)</f>
        <v>0.35</v>
      </c>
      <c r="E574" s="6" t="n">
        <v>0.4</v>
      </c>
      <c r="F574" s="9" t="n">
        <v>38.8</v>
      </c>
      <c r="G574" s="9" t="n">
        <v>14.9</v>
      </c>
      <c r="H574" s="9" t="n">
        <v>58.4</v>
      </c>
      <c r="I574" s="6" t="n">
        <v>0.83</v>
      </c>
      <c r="J574" s="10">
        <f>E574*1000-$F$2-$L$2-$H$2/2</f>
        <v>342.55</v>
      </c>
      <c r="K574" s="11">
        <f>F574*1000000/(0.9*(D574*1000)*J574^2)</f>
        <v>1.049178319</v>
      </c>
      <c r="L574" s="12">
        <f>(0.85*$B$2/$D$2)*(1-SQRT(1-2*K574/(0.85*$B$2)))</f>
        <v>0.002555674241</v>
      </c>
      <c r="M574" s="13">
        <f>L574*(D574*1000)*J574</f>
        <v>306.4061739</v>
      </c>
      <c r="N574" s="13">
        <f>MAX(0.25*SQRT($B$2)/$D$2,1.4/$D$2)*(D574*1000)*J574</f>
        <v>399.6416667</v>
      </c>
      <c r="O574" s="13">
        <f>MAX(M574,N574)</f>
        <v>399.6416667</v>
      </c>
      <c r="P574" s="14">
        <f>ROUNDUP(O574/$J$2,0)</f>
        <v>3</v>
      </c>
      <c r="Q574" s="13">
        <f>P574*$J$2</f>
        <v>597</v>
      </c>
      <c r="R574" s="10">
        <f>Q574*$D$2/(0.85*$B$2*(D574*1000))</f>
        <v>30.10084034</v>
      </c>
      <c r="S574" s="10">
        <f>0.9*Q574*$D$2*(J574-R574/2)/1000000</f>
        <v>73.90552018</v>
      </c>
      <c r="T574" s="15" t="str">
        <f>IF(AND(S574&gt;=F574,O574&lt;=0.025*(D574*1000)*J574,O574&gt;=N574),"CUMPLE","REVISAR")</f>
        <v>CUMPLE</v>
      </c>
      <c r="U574" s="11">
        <f>G574*1000000/(0.9*(D574*1000)*J574^2)</f>
        <v>0.4041960825</v>
      </c>
      <c r="V574" s="12">
        <f>(0.85*$B$2/$D$2)*(1-SQRT(1-2*U574/(0.85*$B$2)))</f>
        <v>0.0009706854207</v>
      </c>
      <c r="W574" s="13">
        <f>V574*(D574*1000)*J574</f>
        <v>116.3779018</v>
      </c>
      <c r="X574" s="13">
        <f>MAX(W574,N574)</f>
        <v>399.6416667</v>
      </c>
      <c r="Y574" s="14">
        <f>ROUNDUP(X574/$J$2,0)</f>
        <v>3</v>
      </c>
      <c r="Z574" s="13">
        <f>Y574*$J$2</f>
        <v>597</v>
      </c>
      <c r="AA574" s="10">
        <f>0.9*Z574*$D$2*(J574-(Z574*$D$2/(0.85*$B$2*(D574*1000)))/2)/1000000</f>
        <v>73.90552018</v>
      </c>
      <c r="AB574" s="15" t="str">
        <f>IF(AA574&gt;=G574,"CUMPLE","REVISAR")</f>
        <v>CUMPLE</v>
      </c>
      <c r="AC574" s="10">
        <f>0.17*SQRT($B$2)*(D574*1000)*J574/1000</f>
        <v>107.8499513</v>
      </c>
      <c r="AD574" s="10">
        <f>MAX(H574/0.75-AC574,0)</f>
        <v>0</v>
      </c>
      <c r="AE574" s="14">
        <f>IF(AD574&gt;0,MIN($N$2*$D$2*J574/(AD574*1000),MIN(J574/4,6*$H$2,150)),MIN(J574/4,6*$H$2,150))</f>
        <v>85.6375</v>
      </c>
      <c r="AF574" s="10">
        <f>0.66*SQRT($B$2)*(D574*1000)*J574/1000</f>
        <v>418.7115756</v>
      </c>
      <c r="AG574" s="15" t="str">
        <f>IF(AD574&lt;=AF574,"CUMPLE","AUMENTAR SECCION")</f>
        <v>CUMPLE</v>
      </c>
      <c r="AH574" s="10">
        <f>0.75*0.083*SQRT($B$2)*(((D574*1000)*(E574*1000))^2/(2*((D574*1000)+(E574*1000))))/1000000</f>
        <v>4.304108233</v>
      </c>
      <c r="AI574" s="15" t="str">
        <f>IF(I574&gt;AH574,"SI","No")</f>
        <v>No</v>
      </c>
      <c r="AJ574" s="11">
        <f>IF(I574&gt;AH574,I574*1000000/(0.75*2*0.85*((D574*1000-2*$F$2)*(E574*1000-2*$F$2))*$D$2),0)</f>
        <v>0</v>
      </c>
      <c r="AK574" s="10">
        <f>1.25*Q574*$D$2*(J574-(1.25*Q574*$D$2/(0.85*$B$2*(D574*1000)))/2)/1000000</f>
        <v>101.4672613</v>
      </c>
      <c r="AL574" s="10">
        <f>1.25*Z574*$D$2*(J574-(1.25*Z574*$D$2/(0.85*$B$2*(D574*1000)))/2)/1000000</f>
        <v>101.4672613</v>
      </c>
      <c r="AM574" s="10">
        <f>(AK574+AL574)/B574</f>
        <v>61.49530989</v>
      </c>
      <c r="AN574" s="10">
        <f>MAX(H574,AM574)</f>
        <v>61.49530989</v>
      </c>
    </row>
    <row r="575">
      <c r="A575" s="5" t="inlineStr">
        <is>
          <t>F1358</t>
        </is>
      </c>
      <c r="B575" s="6" t="n">
        <v>3.3</v>
      </c>
      <c r="C575" s="7" t="inlineStr">
        <is>
          <t>VR</t>
        </is>
      </c>
      <c r="D575" s="8">
        <f>IF(C575="VR",0.35,0.30)</f>
        <v>0.35</v>
      </c>
      <c r="E575" s="6" t="n">
        <v>0.4</v>
      </c>
      <c r="F575" s="9" t="n">
        <v>38.8</v>
      </c>
      <c r="G575" s="9" t="n">
        <v>14.9</v>
      </c>
      <c r="H575" s="9" t="n">
        <v>58.4</v>
      </c>
      <c r="I575" s="6" t="n">
        <v>0.83</v>
      </c>
      <c r="J575" s="10">
        <f>E575*1000-$F$2-$L$2-$H$2/2</f>
        <v>342.55</v>
      </c>
      <c r="K575" s="11">
        <f>F575*1000000/(0.9*(D575*1000)*J575^2)</f>
        <v>1.050260504</v>
      </c>
      <c r="L575" s="12">
        <f>(0.85*$B$2/$D$2)*(1-SQRT(1-2*K575/(0.85*$B$2)))</f>
        <v>0.002558372634</v>
      </c>
      <c r="M575" s="13">
        <f>L575*(D575*1000)*J575</f>
        <v>306.729691</v>
      </c>
      <c r="N575" s="13">
        <f>MAX(0.25*SQRT($B$2)/$D$2,1.4/$D$2)*(D575*1000)*J575</f>
        <v>399.6416667</v>
      </c>
      <c r="O575" s="13">
        <f>MAX(M575,N575)</f>
        <v>399.6416667</v>
      </c>
      <c r="P575" s="14">
        <f>ROUNDUP(O575/$J$2,0)</f>
        <v>3</v>
      </c>
      <c r="Q575" s="13">
        <f>P575*$J$2</f>
        <v>597</v>
      </c>
      <c r="R575" s="10">
        <f>Q575*$D$2/(0.85*$B$2*(D575*1000))</f>
        <v>30.10084034</v>
      </c>
      <c r="S575" s="10">
        <f>0.9*Q575*$D$2*(J575-R575/2)/1000000</f>
        <v>73.90552018</v>
      </c>
      <c r="T575" s="15" t="str">
        <f>IF(AND(S575&gt;=F575,O575&lt;=0.025*(D575*1000)*J575,O575&gt;=N575),"CUMPLE","REVISAR")</f>
        <v>CUMPLE</v>
      </c>
      <c r="U575" s="11">
        <f>G575*1000000/(0.9*(D575*1000)*J575^2)</f>
        <v>0.4041960825</v>
      </c>
      <c r="V575" s="12">
        <f>(0.85*$B$2/$D$2)*(1-SQRT(1-2*U575/(0.85*$B$2)))</f>
        <v>0.0009706854207</v>
      </c>
      <c r="W575" s="13">
        <f>V575*(D575*1000)*J575</f>
        <v>116.3779018</v>
      </c>
      <c r="X575" s="13">
        <f>MAX(W575,N575)</f>
        <v>399.6416667</v>
      </c>
      <c r="Y575" s="14">
        <f>ROUNDUP(X575/$J$2,0)</f>
        <v>3</v>
      </c>
      <c r="Z575" s="13">
        <f>Y575*$J$2</f>
        <v>597</v>
      </c>
      <c r="AA575" s="10">
        <f>0.9*Z575*$D$2*(J575-(Z575*$D$2/(0.85*$B$2*(D575*1000)))/2)/1000000</f>
        <v>73.90552018</v>
      </c>
      <c r="AB575" s="15" t="str">
        <f>IF(AA575&gt;=G575,"CUMPLE","REVISAR")</f>
        <v>CUMPLE</v>
      </c>
      <c r="AC575" s="10">
        <f>0.17*SQRT($B$2)*(D575*1000)*J575/1000</f>
        <v>107.8499513</v>
      </c>
      <c r="AD575" s="10">
        <f>MAX(H575/0.75-AC575,0)</f>
        <v>0</v>
      </c>
      <c r="AE575" s="14">
        <f>IF(AD575&gt;0,MIN($N$2*$D$2*J575/(AD575*1000),MIN(J575/4,6*$H$2,150)),MIN(J575/4,6*$H$2,150))</f>
        <v>85.6375</v>
      </c>
      <c r="AF575" s="10">
        <f>0.66*SQRT($B$2)*(D575*1000)*J575/1000</f>
        <v>418.7115756</v>
      </c>
      <c r="AG575" s="15" t="str">
        <f>IF(AD575&lt;=AF575,"CUMPLE","AUMENTAR SECCION")</f>
        <v>CUMPLE</v>
      </c>
      <c r="AH575" s="10">
        <f>0.75*0.083*SQRT($B$2)*(((D575*1000)*(E575*1000))^2/(2*((D575*1000)+(E575*1000))))/1000000</f>
        <v>4.304108233</v>
      </c>
      <c r="AI575" s="15" t="str">
        <f>IF(I575&gt;AH575,"SI","No")</f>
        <v>No</v>
      </c>
      <c r="AJ575" s="11">
        <f>IF(I575&gt;AH575,I575*1000000/(0.75*2*0.85*((D575*1000-2*$F$2)*(E575*1000-2*$F$2))*$D$2),0)</f>
        <v>0</v>
      </c>
      <c r="AK575" s="10">
        <f>1.25*Q575*$D$2*(J575-(1.25*Q575*$D$2/(0.85*$B$2*(D575*1000)))/2)/1000000</f>
        <v>101.4672613</v>
      </c>
      <c r="AL575" s="10">
        <f>1.25*Z575*$D$2*(J575-(1.25*Z575*$D$2/(0.85*$B$2*(D575*1000)))/2)/1000000</f>
        <v>101.4672613</v>
      </c>
      <c r="AM575" s="10">
        <f>(AK575+AL575)/B575</f>
        <v>61.49530989</v>
      </c>
      <c r="AN575" s="10">
        <f>MAX(H575,AM575)</f>
        <v>61.49530989</v>
      </c>
    </row>
    <row r="576">
      <c r="A576" s="5" t="inlineStr">
        <is>
          <t>F1359</t>
        </is>
      </c>
      <c r="B576" s="6" t="n">
        <v>3.3</v>
      </c>
      <c r="C576" s="7" t="inlineStr">
        <is>
          <t>VR</t>
        </is>
      </c>
      <c r="D576" s="8">
        <f>IF(C576="VR",0.35,0.30)</f>
        <v>0.35</v>
      </c>
      <c r="E576" s="6" t="n">
        <v>0.4</v>
      </c>
      <c r="F576" s="9" t="n">
        <v>38.9</v>
      </c>
      <c r="G576" s="9" t="n">
        <v>14.8</v>
      </c>
      <c r="H576" s="9" t="n">
        <v>57.7</v>
      </c>
      <c r="I576" s="6" t="n">
        <v>0.53</v>
      </c>
      <c r="J576" s="10">
        <f>E576*1000-$F$2-$L$2-$H$2/2</f>
        <v>342.55</v>
      </c>
      <c r="K576" s="11">
        <f>F576*1000000/(0.9*(D576*1000)*J576^2)</f>
        <v>1.052965966</v>
      </c>
      <c r="L576" s="12">
        <f>(0.85*$B$2/$D$2)*(1-SQRT(1-2*K576/(0.85*$B$2)))</f>
        <v>0.002565119205</v>
      </c>
      <c r="M576" s="13">
        <f>L576*(D576*1000)*J576</f>
        <v>307.5385543</v>
      </c>
      <c r="N576" s="13">
        <f>MAX(0.25*SQRT($B$2)/$D$2,1.4/$D$2)*(D576*1000)*J576</f>
        <v>399.6416667</v>
      </c>
      <c r="O576" s="13">
        <f>MAX(M576,N576)</f>
        <v>399.6416667</v>
      </c>
      <c r="P576" s="14">
        <f>ROUNDUP(O576/$J$2,0)</f>
        <v>3</v>
      </c>
      <c r="Q576" s="13">
        <f>P576*$J$2</f>
        <v>597</v>
      </c>
      <c r="R576" s="10">
        <f>Q576*$D$2/(0.85*$B$2*(D576*1000))</f>
        <v>30.10084034</v>
      </c>
      <c r="S576" s="10">
        <f>0.9*Q576*$D$2*(J576-R576/2)/1000000</f>
        <v>73.90552018</v>
      </c>
      <c r="T576" s="15" t="str">
        <f>IF(AND(S576&gt;=F576,O576&lt;=0.025*(D576*1000)*J576,O576&gt;=N576),"CUMPLE","REVISAR")</f>
        <v>CUMPLE</v>
      </c>
      <c r="U576" s="11">
        <f>G576*1000000/(0.9*(D576*1000)*J576^2)</f>
        <v>0.3990557039</v>
      </c>
      <c r="V576" s="12">
        <f>(0.85*$B$2/$D$2)*(1-SQRT(1-2*U576/(0.85*$B$2)))</f>
        <v>0.0009582345112</v>
      </c>
      <c r="W576" s="13">
        <f>V576*(D576*1000)*J576</f>
        <v>114.8851311</v>
      </c>
      <c r="X576" s="13">
        <f>MAX(W576,N576)</f>
        <v>399.6416667</v>
      </c>
      <c r="Y576" s="14">
        <f>ROUNDUP(X576/$J$2,0)</f>
        <v>3</v>
      </c>
      <c r="Z576" s="13">
        <f>Y576*$J$2</f>
        <v>597</v>
      </c>
      <c r="AA576" s="10">
        <f>0.9*Z576*$D$2*(J576-(Z576*$D$2/(0.85*$B$2*(D576*1000)))/2)/1000000</f>
        <v>73.90552018</v>
      </c>
      <c r="AB576" s="15" t="str">
        <f>IF(AA576&gt;=G576,"CUMPLE","REVISAR")</f>
        <v>CUMPLE</v>
      </c>
      <c r="AC576" s="10">
        <f>0.17*SQRT($B$2)*(D576*1000)*J576/1000</f>
        <v>107.8499513</v>
      </c>
      <c r="AD576" s="10">
        <f>MAX(H576/0.75-AC576,0)</f>
        <v>0</v>
      </c>
      <c r="AE576" s="14">
        <f>IF(AD576&gt;0,MIN($N$2*$D$2*J576/(AD576*1000),MIN(J576/4,6*$H$2,150)),MIN(J576/4,6*$H$2,150))</f>
        <v>85.6375</v>
      </c>
      <c r="AF576" s="10">
        <f>0.66*SQRT($B$2)*(D576*1000)*J576/1000</f>
        <v>418.7115756</v>
      </c>
      <c r="AG576" s="15" t="str">
        <f>IF(AD576&lt;=AF576,"CUMPLE","AUMENTAR SECCION")</f>
        <v>CUMPLE</v>
      </c>
      <c r="AH576" s="10">
        <f>0.75*0.083*SQRT($B$2)*(((D576*1000)*(E576*1000))^2/(2*((D576*1000)+(E576*1000))))/1000000</f>
        <v>4.304108233</v>
      </c>
      <c r="AI576" s="15" t="str">
        <f>IF(I576&gt;AH576,"SI","No")</f>
        <v>No</v>
      </c>
      <c r="AJ576" s="11">
        <f>IF(I576&gt;AH576,I576*1000000/(0.75*2*0.85*((D576*1000-2*$F$2)*(E576*1000-2*$F$2))*$D$2),0)</f>
        <v>0</v>
      </c>
      <c r="AK576" s="10">
        <f>1.25*Q576*$D$2*(J576-(1.25*Q576*$D$2/(0.85*$B$2*(D576*1000)))/2)/1000000</f>
        <v>101.4672613</v>
      </c>
      <c r="AL576" s="10">
        <f>1.25*Z576*$D$2*(J576-(1.25*Z576*$D$2/(0.85*$B$2*(D576*1000)))/2)/1000000</f>
        <v>101.4672613</v>
      </c>
      <c r="AM576" s="10">
        <f>(AK576+AL576)/B576</f>
        <v>61.49530989</v>
      </c>
      <c r="AN576" s="10">
        <f>MAX(H576,AM576)</f>
        <v>61.49530989</v>
      </c>
    </row>
    <row r="577">
      <c r="A577" s="5" t="inlineStr">
        <is>
          <t>F1360</t>
        </is>
      </c>
      <c r="B577" s="6" t="n">
        <v>3.3</v>
      </c>
      <c r="C577" s="7" t="inlineStr">
        <is>
          <t>VR</t>
        </is>
      </c>
      <c r="D577" s="8">
        <f>IF(C577="VR",0.35,0.30)</f>
        <v>0.35</v>
      </c>
      <c r="E577" s="6" t="n">
        <v>0.4</v>
      </c>
      <c r="F577" s="9" t="n">
        <v>39</v>
      </c>
      <c r="G577" s="9" t="n">
        <v>14.8</v>
      </c>
      <c r="H577" s="9" t="n">
        <v>57.7</v>
      </c>
      <c r="I577" s="6" t="n">
        <v>0.53</v>
      </c>
      <c r="J577" s="10">
        <f>E577*1000-$F$2-$L$2-$H$2/2</f>
        <v>342.55</v>
      </c>
      <c r="K577" s="11">
        <f>F577*1000000/(0.9*(D577*1000)*J577^2)</f>
        <v>1.054318697</v>
      </c>
      <c r="L577" s="12">
        <f>(0.85*$B$2/$D$2)*(1-SQRT(1-2*K577/(0.85*$B$2)))</f>
        <v>0.002568492806</v>
      </c>
      <c r="M577" s="13">
        <f>L577*(D577*1000)*J577</f>
        <v>307.9430237</v>
      </c>
      <c r="N577" s="13">
        <f>MAX(0.25*SQRT($B$2)/$D$2,1.4/$D$2)*(D577*1000)*J577</f>
        <v>399.6416667</v>
      </c>
      <c r="O577" s="13">
        <f>MAX(M577,N577)</f>
        <v>399.6416667</v>
      </c>
      <c r="P577" s="14">
        <f>ROUNDUP(O577/$J$2,0)</f>
        <v>3</v>
      </c>
      <c r="Q577" s="13">
        <f>P577*$J$2</f>
        <v>597</v>
      </c>
      <c r="R577" s="10">
        <f>Q577*$D$2/(0.85*$B$2*(D577*1000))</f>
        <v>30.10084034</v>
      </c>
      <c r="S577" s="10">
        <f>0.9*Q577*$D$2*(J577-R577/2)/1000000</f>
        <v>73.90552018</v>
      </c>
      <c r="T577" s="15" t="str">
        <f>IF(AND(S577&gt;=F577,O577&lt;=0.025*(D577*1000)*J577,O577&gt;=N577),"CUMPLE","REVISAR")</f>
        <v>CUMPLE</v>
      </c>
      <c r="U577" s="11">
        <f>G577*1000000/(0.9*(D577*1000)*J577^2)</f>
        <v>0.3990557039</v>
      </c>
      <c r="V577" s="12">
        <f>(0.85*$B$2/$D$2)*(1-SQRT(1-2*U577/(0.85*$B$2)))</f>
        <v>0.0009582345112</v>
      </c>
      <c r="W577" s="13">
        <f>V577*(D577*1000)*J577</f>
        <v>114.8851311</v>
      </c>
      <c r="X577" s="13">
        <f>MAX(W577,N577)</f>
        <v>399.6416667</v>
      </c>
      <c r="Y577" s="14">
        <f>ROUNDUP(X577/$J$2,0)</f>
        <v>3</v>
      </c>
      <c r="Z577" s="13">
        <f>Y577*$J$2</f>
        <v>597</v>
      </c>
      <c r="AA577" s="10">
        <f>0.9*Z577*$D$2*(J577-(Z577*$D$2/(0.85*$B$2*(D577*1000)))/2)/1000000</f>
        <v>73.90552018</v>
      </c>
      <c r="AB577" s="15" t="str">
        <f>IF(AA577&gt;=G577,"CUMPLE","REVISAR")</f>
        <v>CUMPLE</v>
      </c>
      <c r="AC577" s="10">
        <f>0.17*SQRT($B$2)*(D577*1000)*J577/1000</f>
        <v>107.8499513</v>
      </c>
      <c r="AD577" s="10">
        <f>MAX(H577/0.75-AC577,0)</f>
        <v>0</v>
      </c>
      <c r="AE577" s="14">
        <f>IF(AD577&gt;0,MIN($N$2*$D$2*J577/(AD577*1000),MIN(J577/4,6*$H$2,150)),MIN(J577/4,6*$H$2,150))</f>
        <v>85.6375</v>
      </c>
      <c r="AF577" s="10">
        <f>0.66*SQRT($B$2)*(D577*1000)*J577/1000</f>
        <v>418.7115756</v>
      </c>
      <c r="AG577" s="15" t="str">
        <f>IF(AD577&lt;=AF577,"CUMPLE","AUMENTAR SECCION")</f>
        <v>CUMPLE</v>
      </c>
      <c r="AH577" s="10">
        <f>0.75*0.083*SQRT($B$2)*(((D577*1000)*(E577*1000))^2/(2*((D577*1000)+(E577*1000))))/1000000</f>
        <v>4.304108233</v>
      </c>
      <c r="AI577" s="15" t="str">
        <f>IF(I577&gt;AH577,"SI","No")</f>
        <v>No</v>
      </c>
      <c r="AJ577" s="11">
        <f>IF(I577&gt;AH577,I577*1000000/(0.75*2*0.85*((D577*1000-2*$F$2)*(E577*1000-2*$F$2))*$D$2),0)</f>
        <v>0</v>
      </c>
      <c r="AK577" s="10">
        <f>1.25*Q577*$D$2*(J577-(1.25*Q577*$D$2/(0.85*$B$2*(D577*1000)))/2)/1000000</f>
        <v>101.4672613</v>
      </c>
      <c r="AL577" s="10">
        <f>1.25*Z577*$D$2*(J577-(1.25*Z577*$D$2/(0.85*$B$2*(D577*1000)))/2)/1000000</f>
        <v>101.4672613</v>
      </c>
      <c r="AM577" s="10">
        <f>(AK577+AL577)/B577</f>
        <v>61.49530989</v>
      </c>
      <c r="AN577" s="10">
        <f>MAX(H577,AM577)</f>
        <v>61.49530989</v>
      </c>
    </row>
    <row r="578">
      <c r="A578" s="5" t="inlineStr">
        <is>
          <t>F1361</t>
        </is>
      </c>
      <c r="B578" s="6" t="n">
        <v>3.3</v>
      </c>
      <c r="C578" s="7" t="inlineStr">
        <is>
          <t>VR</t>
        </is>
      </c>
      <c r="D578" s="8">
        <f>IF(C578="VR",0.35,0.30)</f>
        <v>0.35</v>
      </c>
      <c r="E578" s="6" t="n">
        <v>0.4</v>
      </c>
      <c r="F578" s="9" t="n">
        <v>37.4</v>
      </c>
      <c r="G578" s="9" t="n">
        <v>13.9</v>
      </c>
      <c r="H578" s="9" t="n">
        <v>54.5</v>
      </c>
      <c r="I578" s="6" t="n">
        <v>0.52</v>
      </c>
      <c r="J578" s="10">
        <f>E578*1000-$F$2-$L$2-$H$2/2</f>
        <v>342.55</v>
      </c>
      <c r="K578" s="11">
        <f>F578*1000000/(0.9*(D578*1000)*J578^2)</f>
        <v>1.012925122</v>
      </c>
      <c r="L578" s="12">
        <f>(0.85*$B$2/$D$2)*(1-SQRT(1-2*K578/(0.85*$B$2)))</f>
        <v>0.002465355706</v>
      </c>
      <c r="M578" s="13">
        <f>L578*(D578*1000)*J578</f>
        <v>295.577659</v>
      </c>
      <c r="N578" s="13">
        <f>MAX(0.25*SQRT($B$2)/$D$2,1.4/$D$2)*(D578*1000)*J578</f>
        <v>399.6416667</v>
      </c>
      <c r="O578" s="13">
        <f>MAX(M578,N578)</f>
        <v>399.6416667</v>
      </c>
      <c r="P578" s="14">
        <f>ROUNDUP(O578/$J$2,0)</f>
        <v>3</v>
      </c>
      <c r="Q578" s="13">
        <f>P578*$J$2</f>
        <v>597</v>
      </c>
      <c r="R578" s="10">
        <f>Q578*$D$2/(0.85*$B$2*(D578*1000))</f>
        <v>30.10084034</v>
      </c>
      <c r="S578" s="10">
        <f>0.9*Q578*$D$2*(J578-R578/2)/1000000</f>
        <v>73.90552018</v>
      </c>
      <c r="T578" s="15" t="str">
        <f>IF(AND(S578&gt;=F578,O578&lt;=0.025*(D578*1000)*J578,O578&gt;=N578),"CUMPLE","REVISAR")</f>
        <v>CUMPLE</v>
      </c>
      <c r="U578" s="11">
        <f>G578*1000000/(0.9*(D578*1000)*J578^2)</f>
        <v>0.3763298198</v>
      </c>
      <c r="V578" s="12">
        <f>(0.85*$B$2/$D$2)*(1-SQRT(1-2*U578/(0.85*$B$2)))</f>
        <v>0.000903221699</v>
      </c>
      <c r="W578" s="13">
        <f>V578*(D578*1000)*J578</f>
        <v>108.2895075</v>
      </c>
      <c r="X578" s="13">
        <f>MAX(W578,N578)</f>
        <v>399.6416667</v>
      </c>
      <c r="Y578" s="14">
        <f>ROUNDUP(X578/$J$2,0)</f>
        <v>3</v>
      </c>
      <c r="Z578" s="13">
        <f>Y578*$J$2</f>
        <v>597</v>
      </c>
      <c r="AA578" s="10">
        <f>0.9*Z578*$D$2*(J578-(Z578*$D$2/(0.85*$B$2*(D578*1000)))/2)/1000000</f>
        <v>73.90552018</v>
      </c>
      <c r="AB578" s="15" t="str">
        <f>IF(AA578&gt;=G578,"CUMPLE","REVISAR")</f>
        <v>CUMPLE</v>
      </c>
      <c r="AC578" s="10">
        <f>0.17*SQRT($B$2)*(D578*1000)*J578/1000</f>
        <v>107.8499513</v>
      </c>
      <c r="AD578" s="10">
        <f>MAX(H578/0.75-AC578,0)</f>
        <v>0</v>
      </c>
      <c r="AE578" s="14">
        <f>IF(AD578&gt;0,MIN($N$2*$D$2*J578/(AD578*1000),MIN(J578/4,6*$H$2,150)),MIN(J578/4,6*$H$2,150))</f>
        <v>85.6375</v>
      </c>
      <c r="AF578" s="10">
        <f>0.66*SQRT($B$2)*(D578*1000)*J578/1000</f>
        <v>418.7115756</v>
      </c>
      <c r="AG578" s="15" t="str">
        <f>IF(AD578&lt;=AF578,"CUMPLE","AUMENTAR SECCION")</f>
        <v>CUMPLE</v>
      </c>
      <c r="AH578" s="10">
        <f>0.75*0.083*SQRT($B$2)*(((D578*1000)*(E578*1000))^2/(2*((D578*1000)+(E578*1000))))/1000000</f>
        <v>4.304108233</v>
      </c>
      <c r="AI578" s="15" t="str">
        <f>IF(I578&gt;AH578,"SI","No")</f>
        <v>No</v>
      </c>
      <c r="AJ578" s="11">
        <f>IF(I578&gt;AH578,I578*1000000/(0.75*2*0.85*((D578*1000-2*$F$2)*(E578*1000-2*$F$2))*$D$2),0)</f>
        <v>0</v>
      </c>
      <c r="AK578" s="10">
        <f>1.25*Q578*$D$2*(J578-(1.25*Q578*$D$2/(0.85*$B$2*(D578*1000)))/2)/1000000</f>
        <v>101.4672613</v>
      </c>
      <c r="AL578" s="10">
        <f>1.25*Z578*$D$2*(J578-(1.25*Z578*$D$2/(0.85*$B$2*(D578*1000)))/2)/1000000</f>
        <v>101.4672613</v>
      </c>
      <c r="AM578" s="10">
        <f>(AK578+AL578)/B578</f>
        <v>61.49530989</v>
      </c>
      <c r="AN578" s="10">
        <f>MAX(H578,AM578)</f>
        <v>61.49530989</v>
      </c>
    </row>
    <row r="579">
      <c r="A579" s="5" t="inlineStr">
        <is>
          <t>F1362</t>
        </is>
      </c>
      <c r="B579" s="6" t="n">
        <v>3.3</v>
      </c>
      <c r="C579" s="7" t="inlineStr">
        <is>
          <t>VR</t>
        </is>
      </c>
      <c r="D579" s="8">
        <f>IF(C579="VR",0.35,0.30)</f>
        <v>0.35</v>
      </c>
      <c r="E579" s="6" t="n">
        <v>0.4</v>
      </c>
      <c r="F579" s="9" t="n">
        <v>37.5</v>
      </c>
      <c r="G579" s="9" t="n">
        <v>13.9</v>
      </c>
      <c r="H579" s="9" t="n">
        <v>54.5</v>
      </c>
      <c r="I579" s="6" t="n">
        <v>0.52</v>
      </c>
      <c r="J579" s="10">
        <f>E579*1000-$F$2-$L$2-$H$2/2</f>
        <v>342.55</v>
      </c>
      <c r="K579" s="11">
        <f>F579*1000000/(0.9*(D579*1000)*J579^2)</f>
        <v>1.0145484</v>
      </c>
      <c r="L579" s="12">
        <f>(0.85*$B$2/$D$2)*(1-SQRT(1-2*K579/(0.85*$B$2)))</f>
        <v>0.002469396601</v>
      </c>
      <c r="M579" s="13">
        <f>L579*(D579*1000)*J579</f>
        <v>296.062132</v>
      </c>
      <c r="N579" s="13">
        <f>MAX(0.25*SQRT($B$2)/$D$2,1.4/$D$2)*(D579*1000)*J579</f>
        <v>399.6416667</v>
      </c>
      <c r="O579" s="13">
        <f>MAX(M579,N579)</f>
        <v>399.6416667</v>
      </c>
      <c r="P579" s="14">
        <f>ROUNDUP(O579/$J$2,0)</f>
        <v>3</v>
      </c>
      <c r="Q579" s="13">
        <f>P579*$J$2</f>
        <v>597</v>
      </c>
      <c r="R579" s="10">
        <f>Q579*$D$2/(0.85*$B$2*(D579*1000))</f>
        <v>30.10084034</v>
      </c>
      <c r="S579" s="10">
        <f>0.9*Q579*$D$2*(J579-R579/2)/1000000</f>
        <v>73.90552018</v>
      </c>
      <c r="T579" s="15" t="str">
        <f>IF(AND(S579&gt;=F579,O579&lt;=0.025*(D579*1000)*J579,O579&gt;=N579),"CUMPLE","REVISAR")</f>
        <v>CUMPLE</v>
      </c>
      <c r="U579" s="11">
        <f>G579*1000000/(0.9*(D579*1000)*J579^2)</f>
        <v>0.3763298198</v>
      </c>
      <c r="V579" s="12">
        <f>(0.85*$B$2/$D$2)*(1-SQRT(1-2*U579/(0.85*$B$2)))</f>
        <v>0.000903221699</v>
      </c>
      <c r="W579" s="13">
        <f>V579*(D579*1000)*J579</f>
        <v>108.2895075</v>
      </c>
      <c r="X579" s="13">
        <f>MAX(W579,N579)</f>
        <v>399.6416667</v>
      </c>
      <c r="Y579" s="14">
        <f>ROUNDUP(X579/$J$2,0)</f>
        <v>3</v>
      </c>
      <c r="Z579" s="13">
        <f>Y579*$J$2</f>
        <v>597</v>
      </c>
      <c r="AA579" s="10">
        <f>0.9*Z579*$D$2*(J579-(Z579*$D$2/(0.85*$B$2*(D579*1000)))/2)/1000000</f>
        <v>73.90552018</v>
      </c>
      <c r="AB579" s="15" t="str">
        <f>IF(AA579&gt;=G579,"CUMPLE","REVISAR")</f>
        <v>CUMPLE</v>
      </c>
      <c r="AC579" s="10">
        <f>0.17*SQRT($B$2)*(D579*1000)*J579/1000</f>
        <v>107.8499513</v>
      </c>
      <c r="AD579" s="10">
        <f>MAX(H579/0.75-AC579,0)</f>
        <v>0</v>
      </c>
      <c r="AE579" s="14">
        <f>IF(AD579&gt;0,MIN($N$2*$D$2*J579/(AD579*1000),MIN(J579/4,6*$H$2,150)),MIN(J579/4,6*$H$2,150))</f>
        <v>85.6375</v>
      </c>
      <c r="AF579" s="10">
        <f>0.66*SQRT($B$2)*(D579*1000)*J579/1000</f>
        <v>418.7115756</v>
      </c>
      <c r="AG579" s="15" t="str">
        <f>IF(AD579&lt;=AF579,"CUMPLE","AUMENTAR SECCION")</f>
        <v>CUMPLE</v>
      </c>
      <c r="AH579" s="10">
        <f>0.75*0.083*SQRT($B$2)*(((D579*1000)*(E579*1000))^2/(2*((D579*1000)+(E579*1000))))/1000000</f>
        <v>4.304108233</v>
      </c>
      <c r="AI579" s="15" t="str">
        <f>IF(I579&gt;AH579,"SI","No")</f>
        <v>No</v>
      </c>
      <c r="AJ579" s="11">
        <f>IF(I579&gt;AH579,I579*1000000/(0.75*2*0.85*((D579*1000-2*$F$2)*(E579*1000-2*$F$2))*$D$2),0)</f>
        <v>0</v>
      </c>
      <c r="AK579" s="10">
        <f>1.25*Q579*$D$2*(J579-(1.25*Q579*$D$2/(0.85*$B$2*(D579*1000)))/2)/1000000</f>
        <v>101.4672613</v>
      </c>
      <c r="AL579" s="10">
        <f>1.25*Z579*$D$2*(J579-(1.25*Z579*$D$2/(0.85*$B$2*(D579*1000)))/2)/1000000</f>
        <v>101.4672613</v>
      </c>
      <c r="AM579" s="10">
        <f>(AK579+AL579)/B579</f>
        <v>61.49530989</v>
      </c>
      <c r="AN579" s="10">
        <f>MAX(H579,AM579)</f>
        <v>61.49530989</v>
      </c>
    </row>
    <row r="580">
      <c r="A580" s="5" t="inlineStr">
        <is>
          <t>F1363</t>
        </is>
      </c>
      <c r="B580" s="6" t="n">
        <v>3.75</v>
      </c>
      <c r="C580" s="7" t="inlineStr">
        <is>
          <t>VC</t>
        </is>
      </c>
      <c r="D580" s="8">
        <f>IF(C580="VR",0.35,0.30)</f>
        <v>0.3</v>
      </c>
      <c r="E580" s="6" t="n">
        <v>0.4</v>
      </c>
      <c r="F580" s="9" t="n">
        <v>106</v>
      </c>
      <c r="G580" s="9" t="n">
        <v>89.7</v>
      </c>
      <c r="H580" s="9" t="n">
        <v>64.90000000000001</v>
      </c>
      <c r="I580" s="6" t="n">
        <v>0</v>
      </c>
      <c r="J580" s="10">
        <f>E580*1000-$F$2-$L$2-$H$2/2</f>
        <v>342.55</v>
      </c>
      <c r="K580" s="11">
        <f>F580*1000000/(0.9*(D580*1000)*J580^2)</f>
        <v>3.344492618</v>
      </c>
      <c r="L580" s="12">
        <f>(0.85*$B$2/$D$2)*(1-SQRT(1-2*K580/(0.85*$B$2)))</f>
        <v>0.008618472361</v>
      </c>
      <c r="M580" s="13">
        <f>L580*(D580*1000)*J580</f>
        <v>885.6773122</v>
      </c>
      <c r="N580" s="13">
        <f>MAX(0.25*SQRT($B$2)/$D$2,1.4/$D$2)*(D580*1000)*J580</f>
        <v>342.55</v>
      </c>
      <c r="O580" s="13">
        <f>MAX(M580,N580)</f>
        <v>885.6773122</v>
      </c>
      <c r="P580" s="14">
        <f>ROUNDUP(O580/$J$2,0)</f>
        <v>5</v>
      </c>
      <c r="Q580" s="13">
        <f>P580*$J$2</f>
        <v>995</v>
      </c>
      <c r="R580" s="10">
        <f>Q580*$D$2/(0.85*$B$2*(D580*1000))</f>
        <v>58.52941176</v>
      </c>
      <c r="S580" s="10">
        <f>0.9*Q580*$D$2*(J580-R580/2)/1000000</f>
        <v>117.829732</v>
      </c>
      <c r="T580" s="15" t="str">
        <f>IF(AND(S580&gt;=F580,O580&lt;=0.025*(D580*1000)*J580,O580&gt;=N580),"CUMPLE","REVISAR")</f>
        <v>CUMPLE</v>
      </c>
      <c r="U580" s="11">
        <f>G580*1000000/(0.9*(D580*1000)*J580^2)</f>
        <v>2.829688215</v>
      </c>
      <c r="V580" s="12">
        <f>(0.85*$B$2/$D$2)*(1-SQRT(1-2*U580/(0.85*$B$2)))</f>
        <v>0.007194003003</v>
      </c>
      <c r="W580" s="13">
        <f>V580*(D580*1000)*J580</f>
        <v>739.2917186</v>
      </c>
      <c r="X580" s="13">
        <f>MAX(W580,N580)</f>
        <v>739.2917186</v>
      </c>
      <c r="Y580" s="14">
        <f>ROUNDUP(X580/$J$2,0)</f>
        <v>4</v>
      </c>
      <c r="Z580" s="13">
        <f>Y580*$J$2</f>
        <v>796</v>
      </c>
      <c r="AA580" s="10">
        <f>0.9*Z580*$D$2*(J580-(Z580*$D$2/(0.85*$B$2*(D580*1000)))/2)/1000000</f>
        <v>96.02486534</v>
      </c>
      <c r="AB580" s="15" t="str">
        <f>IF(AA580&gt;=G580,"CUMPLE","REVISAR")</f>
        <v>CUMPLE</v>
      </c>
      <c r="AC580" s="10">
        <f>0.17*SQRT($B$2)*(D580*1000)*J580/1000</f>
        <v>92.44281538</v>
      </c>
      <c r="AD580" s="10">
        <f>MAX(H580/0.75-AC580,0)</f>
        <v>0</v>
      </c>
      <c r="AE580" s="14">
        <f>IF(AD580&gt;0,MIN($N$2*$D$2*J580/(AD580*1000),MIN(J580/4,6*$H$2,150)),MIN(J580/4,6*$H$2,150))</f>
        <v>85.6375</v>
      </c>
      <c r="AF580" s="10">
        <f>0.66*SQRT($B$2)*(D580*1000)*J580/1000</f>
        <v>358.8956362</v>
      </c>
      <c r="AG580" s="15" t="str">
        <f>IF(AD580&lt;=AF580,"CUMPLE","AUMENTAR SECCION")</f>
        <v>CUMPLE</v>
      </c>
      <c r="AH580" s="10">
        <f>0.75*0.083*SQRT($B$2)*(((D580*1000)*(E580*1000))^2/(2*((D580*1000)+(E580*1000))))/1000000</f>
        <v>3.388073536</v>
      </c>
      <c r="AI580" s="15" t="str">
        <f>IF(I580&gt;AH580,"SI","No")</f>
        <v>No</v>
      </c>
      <c r="AJ580" s="11">
        <f>IF(I580&gt;AH580,I580*1000000/(0.75*2*0.85*((D580*1000-2*$F$2)*(E580*1000-2*$F$2))*$D$2),0)</f>
        <v>0</v>
      </c>
      <c r="AK580" s="10">
        <f>1.25*Q580*$D$2*(J580-(1.25*Q580*$D$2/(0.85*$B$2*(D580*1000)))/2)/1000000</f>
        <v>159.8306178</v>
      </c>
      <c r="AL580" s="10">
        <f>1.25*Z580*$D$2*(J580-(1.25*Z580*$D$2/(0.85*$B$2*(D580*1000)))/2)/1000000</f>
        <v>130.9219244</v>
      </c>
      <c r="AM580" s="10">
        <f>(AK580+AL580)/B580</f>
        <v>77.53401126</v>
      </c>
      <c r="AN580" s="10">
        <f>MAX(H580,AM580)</f>
        <v>77.53401126</v>
      </c>
    </row>
    <row r="581">
      <c r="A581" s="5" t="inlineStr">
        <is>
          <t>F1364</t>
        </is>
      </c>
      <c r="B581" s="6" t="n">
        <v>3.75</v>
      </c>
      <c r="C581" s="7" t="inlineStr">
        <is>
          <t>VC</t>
        </is>
      </c>
      <c r="D581" s="8">
        <f>IF(C581="VR",0.35,0.30)</f>
        <v>0.3</v>
      </c>
      <c r="E581" s="6" t="n">
        <v>0.4</v>
      </c>
      <c r="F581" s="9" t="n">
        <v>106</v>
      </c>
      <c r="G581" s="9" t="n">
        <v>89.7</v>
      </c>
      <c r="H581" s="9" t="n">
        <v>64.90000000000001</v>
      </c>
      <c r="I581" s="6" t="n">
        <v>0</v>
      </c>
      <c r="J581" s="10">
        <f>E581*1000-$F$2-$L$2-$H$2/2</f>
        <v>342.55</v>
      </c>
      <c r="K581" s="11">
        <f>F581*1000000/(0.9*(D581*1000)*J581^2)</f>
        <v>3.344176981</v>
      </c>
      <c r="L581" s="12">
        <f>(0.85*$B$2/$D$2)*(1-SQRT(1-2*K581/(0.85*$B$2)))</f>
        <v>0.008617586051</v>
      </c>
      <c r="M581" s="13">
        <f>L581*(D581*1000)*J581</f>
        <v>885.5862306</v>
      </c>
      <c r="N581" s="13">
        <f>MAX(0.25*SQRT($B$2)/$D$2,1.4/$D$2)*(D581*1000)*J581</f>
        <v>342.55</v>
      </c>
      <c r="O581" s="13">
        <f>MAX(M581,N581)</f>
        <v>885.5862306</v>
      </c>
      <c r="P581" s="14">
        <f>ROUNDUP(O581/$J$2,0)</f>
        <v>5</v>
      </c>
      <c r="Q581" s="13">
        <f>P581*$J$2</f>
        <v>995</v>
      </c>
      <c r="R581" s="10">
        <f>Q581*$D$2/(0.85*$B$2*(D581*1000))</f>
        <v>58.52941176</v>
      </c>
      <c r="S581" s="10">
        <f>0.9*Q581*$D$2*(J581-R581/2)/1000000</f>
        <v>117.829732</v>
      </c>
      <c r="T581" s="15" t="str">
        <f>IF(AND(S581&gt;=F581,O581&lt;=0.025*(D581*1000)*J581,O581&gt;=N581),"CUMPLE","REVISAR")</f>
        <v>CUMPLE</v>
      </c>
      <c r="U581" s="11">
        <f>G581*1000000/(0.9*(D581*1000)*J581^2)</f>
        <v>2.829688215</v>
      </c>
      <c r="V581" s="12">
        <f>(0.85*$B$2/$D$2)*(1-SQRT(1-2*U581/(0.85*$B$2)))</f>
        <v>0.007194003003</v>
      </c>
      <c r="W581" s="13">
        <f>V581*(D581*1000)*J581</f>
        <v>739.2917186</v>
      </c>
      <c r="X581" s="13">
        <f>MAX(W581,N581)</f>
        <v>739.2917186</v>
      </c>
      <c r="Y581" s="14">
        <f>ROUNDUP(X581/$J$2,0)</f>
        <v>4</v>
      </c>
      <c r="Z581" s="13">
        <f>Y581*$J$2</f>
        <v>796</v>
      </c>
      <c r="AA581" s="10">
        <f>0.9*Z581*$D$2*(J581-(Z581*$D$2/(0.85*$B$2*(D581*1000)))/2)/1000000</f>
        <v>96.02486534</v>
      </c>
      <c r="AB581" s="15" t="str">
        <f>IF(AA581&gt;=G581,"CUMPLE","REVISAR")</f>
        <v>CUMPLE</v>
      </c>
      <c r="AC581" s="10">
        <f>0.17*SQRT($B$2)*(D581*1000)*J581/1000</f>
        <v>92.44281538</v>
      </c>
      <c r="AD581" s="10">
        <f>MAX(H581/0.75-AC581,0)</f>
        <v>0</v>
      </c>
      <c r="AE581" s="14">
        <f>IF(AD581&gt;0,MIN($N$2*$D$2*J581/(AD581*1000),MIN(J581/4,6*$H$2,150)),MIN(J581/4,6*$H$2,150))</f>
        <v>85.6375</v>
      </c>
      <c r="AF581" s="10">
        <f>0.66*SQRT($B$2)*(D581*1000)*J581/1000</f>
        <v>358.8956362</v>
      </c>
      <c r="AG581" s="15" t="str">
        <f>IF(AD581&lt;=AF581,"CUMPLE","AUMENTAR SECCION")</f>
        <v>CUMPLE</v>
      </c>
      <c r="AH581" s="10">
        <f>0.75*0.083*SQRT($B$2)*(((D581*1000)*(E581*1000))^2/(2*((D581*1000)+(E581*1000))))/1000000</f>
        <v>3.388073536</v>
      </c>
      <c r="AI581" s="15" t="str">
        <f>IF(I581&gt;AH581,"SI","No")</f>
        <v>No</v>
      </c>
      <c r="AJ581" s="11">
        <f>IF(I581&gt;AH581,I581*1000000/(0.75*2*0.85*((D581*1000-2*$F$2)*(E581*1000-2*$F$2))*$D$2),0)</f>
        <v>0</v>
      </c>
      <c r="AK581" s="10">
        <f>1.25*Q581*$D$2*(J581-(1.25*Q581*$D$2/(0.85*$B$2*(D581*1000)))/2)/1000000</f>
        <v>159.8306178</v>
      </c>
      <c r="AL581" s="10">
        <f>1.25*Z581*$D$2*(J581-(1.25*Z581*$D$2/(0.85*$B$2*(D581*1000)))/2)/1000000</f>
        <v>130.9219244</v>
      </c>
      <c r="AM581" s="10">
        <f>(AK581+AL581)/B581</f>
        <v>77.53401126</v>
      </c>
      <c r="AN581" s="10">
        <f>MAX(H581,AM581)</f>
        <v>77.53401126</v>
      </c>
    </row>
    <row r="582">
      <c r="A582" s="5" t="inlineStr">
        <is>
          <t>F1365</t>
        </is>
      </c>
      <c r="B582" s="6" t="n">
        <v>3.75</v>
      </c>
      <c r="C582" s="7" t="inlineStr">
        <is>
          <t>VC</t>
        </is>
      </c>
      <c r="D582" s="8">
        <f>IF(C582="VR",0.35,0.30)</f>
        <v>0.3</v>
      </c>
      <c r="E582" s="6" t="n">
        <v>0.4</v>
      </c>
      <c r="F582" s="9" t="n">
        <v>106</v>
      </c>
      <c r="G582" s="9" t="n">
        <v>89.7</v>
      </c>
      <c r="H582" s="9" t="n">
        <v>64.90000000000001</v>
      </c>
      <c r="I582" s="6" t="n">
        <v>0</v>
      </c>
      <c r="J582" s="10">
        <f>E582*1000-$F$2-$L$2-$H$2/2</f>
        <v>342.55</v>
      </c>
      <c r="K582" s="11">
        <f>F582*1000000/(0.9*(D582*1000)*J582^2)</f>
        <v>3.344176981</v>
      </c>
      <c r="L582" s="12">
        <f>(0.85*$B$2/$D$2)*(1-SQRT(1-2*K582/(0.85*$B$2)))</f>
        <v>0.008617586051</v>
      </c>
      <c r="M582" s="13">
        <f>L582*(D582*1000)*J582</f>
        <v>885.5862306</v>
      </c>
      <c r="N582" s="13">
        <f>MAX(0.25*SQRT($B$2)/$D$2,1.4/$D$2)*(D582*1000)*J582</f>
        <v>342.55</v>
      </c>
      <c r="O582" s="13">
        <f>MAX(M582,N582)</f>
        <v>885.5862306</v>
      </c>
      <c r="P582" s="14">
        <f>ROUNDUP(O582/$J$2,0)</f>
        <v>5</v>
      </c>
      <c r="Q582" s="13">
        <f>P582*$J$2</f>
        <v>995</v>
      </c>
      <c r="R582" s="10">
        <f>Q582*$D$2/(0.85*$B$2*(D582*1000))</f>
        <v>58.52941176</v>
      </c>
      <c r="S582" s="10">
        <f>0.9*Q582*$D$2*(J582-R582/2)/1000000</f>
        <v>117.829732</v>
      </c>
      <c r="T582" s="15" t="str">
        <f>IF(AND(S582&gt;=F582,O582&lt;=0.025*(D582*1000)*J582,O582&gt;=N582),"CUMPLE","REVISAR")</f>
        <v>CUMPLE</v>
      </c>
      <c r="U582" s="11">
        <f>G582*1000000/(0.9*(D582*1000)*J582^2)</f>
        <v>2.829688215</v>
      </c>
      <c r="V582" s="12">
        <f>(0.85*$B$2/$D$2)*(1-SQRT(1-2*U582/(0.85*$B$2)))</f>
        <v>0.007194003003</v>
      </c>
      <c r="W582" s="13">
        <f>V582*(D582*1000)*J582</f>
        <v>739.2917186</v>
      </c>
      <c r="X582" s="13">
        <f>MAX(W582,N582)</f>
        <v>739.2917186</v>
      </c>
      <c r="Y582" s="14">
        <f>ROUNDUP(X582/$J$2,0)</f>
        <v>4</v>
      </c>
      <c r="Z582" s="13">
        <f>Y582*$J$2</f>
        <v>796</v>
      </c>
      <c r="AA582" s="10">
        <f>0.9*Z582*$D$2*(J582-(Z582*$D$2/(0.85*$B$2*(D582*1000)))/2)/1000000</f>
        <v>96.02486534</v>
      </c>
      <c r="AB582" s="15" t="str">
        <f>IF(AA582&gt;=G582,"CUMPLE","REVISAR")</f>
        <v>CUMPLE</v>
      </c>
      <c r="AC582" s="10">
        <f>0.17*SQRT($B$2)*(D582*1000)*J582/1000</f>
        <v>92.44281538</v>
      </c>
      <c r="AD582" s="10">
        <f>MAX(H582/0.75-AC582,0)</f>
        <v>0</v>
      </c>
      <c r="AE582" s="14">
        <f>IF(AD582&gt;0,MIN($N$2*$D$2*J582/(AD582*1000),MIN(J582/4,6*$H$2,150)),MIN(J582/4,6*$H$2,150))</f>
        <v>85.6375</v>
      </c>
      <c r="AF582" s="10">
        <f>0.66*SQRT($B$2)*(D582*1000)*J582/1000</f>
        <v>358.8956362</v>
      </c>
      <c r="AG582" s="15" t="str">
        <f>IF(AD582&lt;=AF582,"CUMPLE","AUMENTAR SECCION")</f>
        <v>CUMPLE</v>
      </c>
      <c r="AH582" s="10">
        <f>0.75*0.083*SQRT($B$2)*(((D582*1000)*(E582*1000))^2/(2*((D582*1000)+(E582*1000))))/1000000</f>
        <v>3.388073536</v>
      </c>
      <c r="AI582" s="15" t="str">
        <f>IF(I582&gt;AH582,"SI","No")</f>
        <v>No</v>
      </c>
      <c r="AJ582" s="11">
        <f>IF(I582&gt;AH582,I582*1000000/(0.75*2*0.85*((D582*1000-2*$F$2)*(E582*1000-2*$F$2))*$D$2),0)</f>
        <v>0</v>
      </c>
      <c r="AK582" s="10">
        <f>1.25*Q582*$D$2*(J582-(1.25*Q582*$D$2/(0.85*$B$2*(D582*1000)))/2)/1000000</f>
        <v>159.8306178</v>
      </c>
      <c r="AL582" s="10">
        <f>1.25*Z582*$D$2*(J582-(1.25*Z582*$D$2/(0.85*$B$2*(D582*1000)))/2)/1000000</f>
        <v>130.9219244</v>
      </c>
      <c r="AM582" s="10">
        <f>(AK582+AL582)/B582</f>
        <v>77.53401126</v>
      </c>
      <c r="AN582" s="10">
        <f>MAX(H582,AM582)</f>
        <v>77.53401126</v>
      </c>
    </row>
    <row r="583">
      <c r="A583" s="5" t="inlineStr">
        <is>
          <t>F1366</t>
        </is>
      </c>
      <c r="B583" s="6" t="n">
        <v>3.75</v>
      </c>
      <c r="C583" s="7" t="inlineStr">
        <is>
          <t>VC</t>
        </is>
      </c>
      <c r="D583" s="8">
        <f>IF(C583="VR",0.35,0.30)</f>
        <v>0.3</v>
      </c>
      <c r="E583" s="6" t="n">
        <v>0.4</v>
      </c>
      <c r="F583" s="9" t="n">
        <v>106</v>
      </c>
      <c r="G583" s="9" t="n">
        <v>89.7</v>
      </c>
      <c r="H583" s="9" t="n">
        <v>64.90000000000001</v>
      </c>
      <c r="I583" s="6" t="n">
        <v>0</v>
      </c>
      <c r="J583" s="10">
        <f>E583*1000-$F$2-$L$2-$H$2/2</f>
        <v>342.55</v>
      </c>
      <c r="K583" s="11">
        <f>F583*1000000/(0.9*(D583*1000)*J583^2)</f>
        <v>3.344492618</v>
      </c>
      <c r="L583" s="12">
        <f>(0.85*$B$2/$D$2)*(1-SQRT(1-2*K583/(0.85*$B$2)))</f>
        <v>0.008618472361</v>
      </c>
      <c r="M583" s="13">
        <f>L583*(D583*1000)*J583</f>
        <v>885.6773122</v>
      </c>
      <c r="N583" s="13">
        <f>MAX(0.25*SQRT($B$2)/$D$2,1.4/$D$2)*(D583*1000)*J583</f>
        <v>342.55</v>
      </c>
      <c r="O583" s="13">
        <f>MAX(M583,N583)</f>
        <v>885.6773122</v>
      </c>
      <c r="P583" s="14">
        <f>ROUNDUP(O583/$J$2,0)</f>
        <v>5</v>
      </c>
      <c r="Q583" s="13">
        <f>P583*$J$2</f>
        <v>995</v>
      </c>
      <c r="R583" s="10">
        <f>Q583*$D$2/(0.85*$B$2*(D583*1000))</f>
        <v>58.52941176</v>
      </c>
      <c r="S583" s="10">
        <f>0.9*Q583*$D$2*(J583-R583/2)/1000000</f>
        <v>117.829732</v>
      </c>
      <c r="T583" s="15" t="str">
        <f>IF(AND(S583&gt;=F583,O583&lt;=0.025*(D583*1000)*J583,O583&gt;=N583),"CUMPLE","REVISAR")</f>
        <v>CUMPLE</v>
      </c>
      <c r="U583" s="11">
        <f>G583*1000000/(0.9*(D583*1000)*J583^2)</f>
        <v>2.829688215</v>
      </c>
      <c r="V583" s="12">
        <f>(0.85*$B$2/$D$2)*(1-SQRT(1-2*U583/(0.85*$B$2)))</f>
        <v>0.007194003003</v>
      </c>
      <c r="W583" s="13">
        <f>V583*(D583*1000)*J583</f>
        <v>739.2917186</v>
      </c>
      <c r="X583" s="13">
        <f>MAX(W583,N583)</f>
        <v>739.2917186</v>
      </c>
      <c r="Y583" s="14">
        <f>ROUNDUP(X583/$J$2,0)</f>
        <v>4</v>
      </c>
      <c r="Z583" s="13">
        <f>Y583*$J$2</f>
        <v>796</v>
      </c>
      <c r="AA583" s="10">
        <f>0.9*Z583*$D$2*(J583-(Z583*$D$2/(0.85*$B$2*(D583*1000)))/2)/1000000</f>
        <v>96.02486534</v>
      </c>
      <c r="AB583" s="15" t="str">
        <f>IF(AA583&gt;=G583,"CUMPLE","REVISAR")</f>
        <v>CUMPLE</v>
      </c>
      <c r="AC583" s="10">
        <f>0.17*SQRT($B$2)*(D583*1000)*J583/1000</f>
        <v>92.44281538</v>
      </c>
      <c r="AD583" s="10">
        <f>MAX(H583/0.75-AC583,0)</f>
        <v>0</v>
      </c>
      <c r="AE583" s="14">
        <f>IF(AD583&gt;0,MIN($N$2*$D$2*J583/(AD583*1000),MIN(J583/4,6*$H$2,150)),MIN(J583/4,6*$H$2,150))</f>
        <v>85.6375</v>
      </c>
      <c r="AF583" s="10">
        <f>0.66*SQRT($B$2)*(D583*1000)*J583/1000</f>
        <v>358.8956362</v>
      </c>
      <c r="AG583" s="15" t="str">
        <f>IF(AD583&lt;=AF583,"CUMPLE","AUMENTAR SECCION")</f>
        <v>CUMPLE</v>
      </c>
      <c r="AH583" s="10">
        <f>0.75*0.083*SQRT($B$2)*(((D583*1000)*(E583*1000))^2/(2*((D583*1000)+(E583*1000))))/1000000</f>
        <v>3.388073536</v>
      </c>
      <c r="AI583" s="15" t="str">
        <f>IF(I583&gt;AH583,"SI","No")</f>
        <v>No</v>
      </c>
      <c r="AJ583" s="11">
        <f>IF(I583&gt;AH583,I583*1000000/(0.75*2*0.85*((D583*1000-2*$F$2)*(E583*1000-2*$F$2))*$D$2),0)</f>
        <v>0</v>
      </c>
      <c r="AK583" s="10">
        <f>1.25*Q583*$D$2*(J583-(1.25*Q583*$D$2/(0.85*$B$2*(D583*1000)))/2)/1000000</f>
        <v>159.8306178</v>
      </c>
      <c r="AL583" s="10">
        <f>1.25*Z583*$D$2*(J583-(1.25*Z583*$D$2/(0.85*$B$2*(D583*1000)))/2)/1000000</f>
        <v>130.9219244</v>
      </c>
      <c r="AM583" s="10">
        <f>(AK583+AL583)/B583</f>
        <v>77.53401126</v>
      </c>
      <c r="AN583" s="10">
        <f>MAX(H583,AM583)</f>
        <v>77.53401126</v>
      </c>
    </row>
    <row r="584">
      <c r="A584" s="5" t="inlineStr">
        <is>
          <t>F1367</t>
        </is>
      </c>
      <c r="B584" s="6" t="n">
        <v>3.75</v>
      </c>
      <c r="C584" s="7" t="inlineStr">
        <is>
          <t>VC</t>
        </is>
      </c>
      <c r="D584" s="8">
        <f>IF(C584="VR",0.35,0.30)</f>
        <v>0.3</v>
      </c>
      <c r="E584" s="6" t="n">
        <v>0.4</v>
      </c>
      <c r="F584" s="9" t="n">
        <v>88.59999999999999</v>
      </c>
      <c r="G584" s="9" t="n">
        <v>72.5</v>
      </c>
      <c r="H584" s="9" t="n">
        <v>55.7</v>
      </c>
      <c r="I584" s="6" t="n">
        <v>0</v>
      </c>
      <c r="J584" s="10">
        <f>E584*1000-$F$2-$L$2-$H$2/2</f>
        <v>342.55</v>
      </c>
      <c r="K584" s="11">
        <f>F584*1000000/(0.9*(D584*1000)*J584^2)</f>
        <v>2.795915026</v>
      </c>
      <c r="L584" s="12">
        <f>(0.85*$B$2/$D$2)*(1-SQRT(1-2*K584/(0.85*$B$2)))</f>
        <v>0.007101983169</v>
      </c>
      <c r="M584" s="13">
        <f>L584*(D584*1000)*J584</f>
        <v>729.8353004</v>
      </c>
      <c r="N584" s="13">
        <f>MAX(0.25*SQRT($B$2)/$D$2,1.4/$D$2)*(D584*1000)*J584</f>
        <v>342.55</v>
      </c>
      <c r="O584" s="13">
        <f>MAX(M584,N584)</f>
        <v>729.8353004</v>
      </c>
      <c r="P584" s="14">
        <f>ROUNDUP(O584/$J$2,0)</f>
        <v>4</v>
      </c>
      <c r="Q584" s="13">
        <f>P584*$J$2</f>
        <v>796</v>
      </c>
      <c r="R584" s="10">
        <f>Q584*$D$2/(0.85*$B$2*(D584*1000))</f>
        <v>46.82352941</v>
      </c>
      <c r="S584" s="10">
        <f>0.9*Q584*$D$2*(J584-R584/2)/1000000</f>
        <v>96.02486534</v>
      </c>
      <c r="T584" s="15" t="str">
        <f>IF(AND(S584&gt;=F584,O584&lt;=0.025*(D584*1000)*J584,O584&gt;=N584),"CUMPLE","REVISAR")</f>
        <v>CUMPLE</v>
      </c>
      <c r="U584" s="11">
        <f>G584*1000000/(0.9*(D584*1000)*J584^2)</f>
        <v>2.287739005</v>
      </c>
      <c r="V584" s="12">
        <f>(0.85*$B$2/$D$2)*(1-SQRT(1-2*U584/(0.85*$B$2)))</f>
        <v>0.005737453901</v>
      </c>
      <c r="W584" s="13">
        <f>V584*(D584*1000)*J584</f>
        <v>589.6094502</v>
      </c>
      <c r="X584" s="13">
        <f>MAX(W584,N584)</f>
        <v>589.6094502</v>
      </c>
      <c r="Y584" s="14">
        <f>ROUNDUP(X584/$J$2,0)</f>
        <v>3</v>
      </c>
      <c r="Z584" s="13">
        <f>Y584*$J$2</f>
        <v>597</v>
      </c>
      <c r="AA584" s="10">
        <f>0.9*Z584*$D$2*(J584-(Z584*$D$2/(0.85*$B$2*(D584*1000)))/2)/1000000</f>
        <v>73.33945883</v>
      </c>
      <c r="AB584" s="15" t="str">
        <f>IF(AA584&gt;=G584,"CUMPLE","REVISAR")</f>
        <v>CUMPLE</v>
      </c>
      <c r="AC584" s="10">
        <f>0.17*SQRT($B$2)*(D584*1000)*J584/1000</f>
        <v>92.44281538</v>
      </c>
      <c r="AD584" s="10">
        <f>MAX(H584/0.75-AC584,0)</f>
        <v>0</v>
      </c>
      <c r="AE584" s="14">
        <f>IF(AD584&gt;0,MIN($N$2*$D$2*J584/(AD584*1000),MIN(J584/4,6*$H$2,150)),MIN(J584/4,6*$H$2,150))</f>
        <v>85.6375</v>
      </c>
      <c r="AF584" s="10">
        <f>0.66*SQRT($B$2)*(D584*1000)*J584/1000</f>
        <v>358.8956362</v>
      </c>
      <c r="AG584" s="15" t="str">
        <f>IF(AD584&lt;=AF584,"CUMPLE","AUMENTAR SECCION")</f>
        <v>CUMPLE</v>
      </c>
      <c r="AH584" s="10">
        <f>0.75*0.083*SQRT($B$2)*(((D584*1000)*(E584*1000))^2/(2*((D584*1000)+(E584*1000))))/1000000</f>
        <v>3.388073536</v>
      </c>
      <c r="AI584" s="15" t="str">
        <f>IF(I584&gt;AH584,"SI","No")</f>
        <v>No</v>
      </c>
      <c r="AJ584" s="11">
        <f>IF(I584&gt;AH584,I584*1000000/(0.75*2*0.85*((D584*1000-2*$F$2)*(E584*1000-2*$F$2))*$D$2),0)</f>
        <v>0</v>
      </c>
      <c r="AK584" s="10">
        <f>1.25*Q584*$D$2*(J584-(1.25*Q584*$D$2/(0.85*$B$2*(D584*1000)))/2)/1000000</f>
        <v>130.9219244</v>
      </c>
      <c r="AL584" s="10">
        <f>1.25*Z584*$D$2*(J584-(1.25*Z584*$D$2/(0.85*$B$2*(D584*1000)))/2)/1000000</f>
        <v>100.4845159</v>
      </c>
      <c r="AM584" s="10">
        <f>(AK584+AL584)/B584</f>
        <v>61.70838409</v>
      </c>
      <c r="AN584" s="10">
        <f>MAX(H584,AM584)</f>
        <v>61.70838409</v>
      </c>
    </row>
    <row r="585">
      <c r="A585" s="5" t="inlineStr">
        <is>
          <t>F1368</t>
        </is>
      </c>
      <c r="B585" s="6" t="n">
        <v>3.75</v>
      </c>
      <c r="C585" s="7" t="inlineStr">
        <is>
          <t>VC</t>
        </is>
      </c>
      <c r="D585" s="8">
        <f>IF(C585="VR",0.35,0.30)</f>
        <v>0.3</v>
      </c>
      <c r="E585" s="6" t="n">
        <v>0.4</v>
      </c>
      <c r="F585" s="9" t="n">
        <v>88.59999999999999</v>
      </c>
      <c r="G585" s="9" t="n">
        <v>72.5</v>
      </c>
      <c r="H585" s="9" t="n">
        <v>55.7</v>
      </c>
      <c r="I585" s="6" t="n">
        <v>0</v>
      </c>
      <c r="J585" s="10">
        <f>E585*1000-$F$2-$L$2-$H$2/2</f>
        <v>342.55</v>
      </c>
      <c r="K585" s="11">
        <f>F585*1000000/(0.9*(D585*1000)*J585^2)</f>
        <v>2.795599389</v>
      </c>
      <c r="L585" s="12">
        <f>(0.85*$B$2/$D$2)*(1-SQRT(1-2*K585/(0.85*$B$2)))</f>
        <v>0.007101123977</v>
      </c>
      <c r="M585" s="13">
        <f>L585*(D585*1000)*J585</f>
        <v>729.7470055</v>
      </c>
      <c r="N585" s="13">
        <f>MAX(0.25*SQRT($B$2)/$D$2,1.4/$D$2)*(D585*1000)*J585</f>
        <v>342.55</v>
      </c>
      <c r="O585" s="13">
        <f>MAX(M585,N585)</f>
        <v>729.7470055</v>
      </c>
      <c r="P585" s="14">
        <f>ROUNDUP(O585/$J$2,0)</f>
        <v>4</v>
      </c>
      <c r="Q585" s="13">
        <f>P585*$J$2</f>
        <v>796</v>
      </c>
      <c r="R585" s="10">
        <f>Q585*$D$2/(0.85*$B$2*(D585*1000))</f>
        <v>46.82352941</v>
      </c>
      <c r="S585" s="10">
        <f>0.9*Q585*$D$2*(J585-R585/2)/1000000</f>
        <v>96.02486534</v>
      </c>
      <c r="T585" s="15" t="str">
        <f>IF(AND(S585&gt;=F585,O585&lt;=0.025*(D585*1000)*J585,O585&gt;=N585),"CUMPLE","REVISAR")</f>
        <v>CUMPLE</v>
      </c>
      <c r="U585" s="11">
        <f>G585*1000000/(0.9*(D585*1000)*J585^2)</f>
        <v>2.287423368</v>
      </c>
      <c r="V585" s="12">
        <f>(0.85*$B$2/$D$2)*(1-SQRT(1-2*U585/(0.85*$B$2)))</f>
        <v>0.005736617728</v>
      </c>
      <c r="W585" s="13">
        <f>V585*(D585*1000)*J585</f>
        <v>589.5235208</v>
      </c>
      <c r="X585" s="13">
        <f>MAX(W585,N585)</f>
        <v>589.5235208</v>
      </c>
      <c r="Y585" s="14">
        <f>ROUNDUP(X585/$J$2,0)</f>
        <v>3</v>
      </c>
      <c r="Z585" s="13">
        <f>Y585*$J$2</f>
        <v>597</v>
      </c>
      <c r="AA585" s="10">
        <f>0.9*Z585*$D$2*(J585-(Z585*$D$2/(0.85*$B$2*(D585*1000)))/2)/1000000</f>
        <v>73.33945883</v>
      </c>
      <c r="AB585" s="15" t="str">
        <f>IF(AA585&gt;=G585,"CUMPLE","REVISAR")</f>
        <v>CUMPLE</v>
      </c>
      <c r="AC585" s="10">
        <f>0.17*SQRT($B$2)*(D585*1000)*J585/1000</f>
        <v>92.44281538</v>
      </c>
      <c r="AD585" s="10">
        <f>MAX(H585/0.75-AC585,0)</f>
        <v>0</v>
      </c>
      <c r="AE585" s="14">
        <f>IF(AD585&gt;0,MIN($N$2*$D$2*J585/(AD585*1000),MIN(J585/4,6*$H$2,150)),MIN(J585/4,6*$H$2,150))</f>
        <v>85.6375</v>
      </c>
      <c r="AF585" s="10">
        <f>0.66*SQRT($B$2)*(D585*1000)*J585/1000</f>
        <v>358.8956362</v>
      </c>
      <c r="AG585" s="15" t="str">
        <f>IF(AD585&lt;=AF585,"CUMPLE","AUMENTAR SECCION")</f>
        <v>CUMPLE</v>
      </c>
      <c r="AH585" s="10">
        <f>0.75*0.083*SQRT($B$2)*(((D585*1000)*(E585*1000))^2/(2*((D585*1000)+(E585*1000))))/1000000</f>
        <v>3.388073536</v>
      </c>
      <c r="AI585" s="15" t="str">
        <f>IF(I585&gt;AH585,"SI","No")</f>
        <v>No</v>
      </c>
      <c r="AJ585" s="11">
        <f>IF(I585&gt;AH585,I585*1000000/(0.75*2*0.85*((D585*1000-2*$F$2)*(E585*1000-2*$F$2))*$D$2),0)</f>
        <v>0</v>
      </c>
      <c r="AK585" s="10">
        <f>1.25*Q585*$D$2*(J585-(1.25*Q585*$D$2/(0.85*$B$2*(D585*1000)))/2)/1000000</f>
        <v>130.9219244</v>
      </c>
      <c r="AL585" s="10">
        <f>1.25*Z585*$D$2*(J585-(1.25*Z585*$D$2/(0.85*$B$2*(D585*1000)))/2)/1000000</f>
        <v>100.4845159</v>
      </c>
      <c r="AM585" s="10">
        <f>(AK585+AL585)/B585</f>
        <v>61.70838409</v>
      </c>
      <c r="AN585" s="10">
        <f>MAX(H585,AM585)</f>
        <v>61.70838409</v>
      </c>
    </row>
    <row r="586">
      <c r="A586" s="5" t="inlineStr">
        <is>
          <t>F1369</t>
        </is>
      </c>
      <c r="B586" s="6" t="n">
        <v>3.75</v>
      </c>
      <c r="C586" s="7" t="inlineStr">
        <is>
          <t>VC</t>
        </is>
      </c>
      <c r="D586" s="8">
        <f>IF(C586="VR",0.35,0.30)</f>
        <v>0.3</v>
      </c>
      <c r="E586" s="6" t="n">
        <v>0.4</v>
      </c>
      <c r="F586" s="9" t="n">
        <v>88.59999999999999</v>
      </c>
      <c r="G586" s="9" t="n">
        <v>72.5</v>
      </c>
      <c r="H586" s="9" t="n">
        <v>55.7</v>
      </c>
      <c r="I586" s="6" t="n">
        <v>0</v>
      </c>
      <c r="J586" s="10">
        <f>E586*1000-$F$2-$L$2-$H$2/2</f>
        <v>342.55</v>
      </c>
      <c r="K586" s="11">
        <f>F586*1000000/(0.9*(D586*1000)*J586^2)</f>
        <v>2.795915026</v>
      </c>
      <c r="L586" s="12">
        <f>(0.85*$B$2/$D$2)*(1-SQRT(1-2*K586/(0.85*$B$2)))</f>
        <v>0.007101983169</v>
      </c>
      <c r="M586" s="13">
        <f>L586*(D586*1000)*J586</f>
        <v>729.8353004</v>
      </c>
      <c r="N586" s="13">
        <f>MAX(0.25*SQRT($B$2)/$D$2,1.4/$D$2)*(D586*1000)*J586</f>
        <v>342.55</v>
      </c>
      <c r="O586" s="13">
        <f>MAX(M586,N586)</f>
        <v>729.8353004</v>
      </c>
      <c r="P586" s="14">
        <f>ROUNDUP(O586/$J$2,0)</f>
        <v>4</v>
      </c>
      <c r="Q586" s="13">
        <f>P586*$J$2</f>
        <v>796</v>
      </c>
      <c r="R586" s="10">
        <f>Q586*$D$2/(0.85*$B$2*(D586*1000))</f>
        <v>46.82352941</v>
      </c>
      <c r="S586" s="10">
        <f>0.9*Q586*$D$2*(J586-R586/2)/1000000</f>
        <v>96.02486534</v>
      </c>
      <c r="T586" s="15" t="str">
        <f>IF(AND(S586&gt;=F586,O586&lt;=0.025*(D586*1000)*J586,O586&gt;=N586),"CUMPLE","REVISAR")</f>
        <v>CUMPLE</v>
      </c>
      <c r="U586" s="11">
        <f>G586*1000000/(0.9*(D586*1000)*J586^2)</f>
        <v>2.287423368</v>
      </c>
      <c r="V586" s="12">
        <f>(0.85*$B$2/$D$2)*(1-SQRT(1-2*U586/(0.85*$B$2)))</f>
        <v>0.005736617728</v>
      </c>
      <c r="W586" s="13">
        <f>V586*(D586*1000)*J586</f>
        <v>589.5235208</v>
      </c>
      <c r="X586" s="13">
        <f>MAX(W586,N586)</f>
        <v>589.5235208</v>
      </c>
      <c r="Y586" s="14">
        <f>ROUNDUP(X586/$J$2,0)</f>
        <v>3</v>
      </c>
      <c r="Z586" s="13">
        <f>Y586*$J$2</f>
        <v>597</v>
      </c>
      <c r="AA586" s="10">
        <f>0.9*Z586*$D$2*(J586-(Z586*$D$2/(0.85*$B$2*(D586*1000)))/2)/1000000</f>
        <v>73.33945883</v>
      </c>
      <c r="AB586" s="15" t="str">
        <f>IF(AA586&gt;=G586,"CUMPLE","REVISAR")</f>
        <v>CUMPLE</v>
      </c>
      <c r="AC586" s="10">
        <f>0.17*SQRT($B$2)*(D586*1000)*J586/1000</f>
        <v>92.44281538</v>
      </c>
      <c r="AD586" s="10">
        <f>MAX(H586/0.75-AC586,0)</f>
        <v>0</v>
      </c>
      <c r="AE586" s="14">
        <f>IF(AD586&gt;0,MIN($N$2*$D$2*J586/(AD586*1000),MIN(J586/4,6*$H$2,150)),MIN(J586/4,6*$H$2,150))</f>
        <v>85.6375</v>
      </c>
      <c r="AF586" s="10">
        <f>0.66*SQRT($B$2)*(D586*1000)*J586/1000</f>
        <v>358.8956362</v>
      </c>
      <c r="AG586" s="15" t="str">
        <f>IF(AD586&lt;=AF586,"CUMPLE","AUMENTAR SECCION")</f>
        <v>CUMPLE</v>
      </c>
      <c r="AH586" s="10">
        <f>0.75*0.083*SQRT($B$2)*(((D586*1000)*(E586*1000))^2/(2*((D586*1000)+(E586*1000))))/1000000</f>
        <v>3.388073536</v>
      </c>
      <c r="AI586" s="15" t="str">
        <f>IF(I586&gt;AH586,"SI","No")</f>
        <v>No</v>
      </c>
      <c r="AJ586" s="11">
        <f>IF(I586&gt;AH586,I586*1000000/(0.75*2*0.85*((D586*1000-2*$F$2)*(E586*1000-2*$F$2))*$D$2),0)</f>
        <v>0</v>
      </c>
      <c r="AK586" s="10">
        <f>1.25*Q586*$D$2*(J586-(1.25*Q586*$D$2/(0.85*$B$2*(D586*1000)))/2)/1000000</f>
        <v>130.9219244</v>
      </c>
      <c r="AL586" s="10">
        <f>1.25*Z586*$D$2*(J586-(1.25*Z586*$D$2/(0.85*$B$2*(D586*1000)))/2)/1000000</f>
        <v>100.4845159</v>
      </c>
      <c r="AM586" s="10">
        <f>(AK586+AL586)/B586</f>
        <v>61.70838409</v>
      </c>
      <c r="AN586" s="10">
        <f>MAX(H586,AM586)</f>
        <v>61.70838409</v>
      </c>
    </row>
    <row r="587">
      <c r="A587" s="5" t="inlineStr">
        <is>
          <t>F1370</t>
        </is>
      </c>
      <c r="B587" s="6" t="n">
        <v>3.75</v>
      </c>
      <c r="C587" s="7" t="inlineStr">
        <is>
          <t>VC</t>
        </is>
      </c>
      <c r="D587" s="8">
        <f>IF(C587="VR",0.35,0.30)</f>
        <v>0.3</v>
      </c>
      <c r="E587" s="6" t="n">
        <v>0.4</v>
      </c>
      <c r="F587" s="9" t="n">
        <v>88.59999999999999</v>
      </c>
      <c r="G587" s="9" t="n">
        <v>72.5</v>
      </c>
      <c r="H587" s="9" t="n">
        <v>55.7</v>
      </c>
      <c r="I587" s="6" t="n">
        <v>0</v>
      </c>
      <c r="J587" s="10">
        <f>E587*1000-$F$2-$L$2-$H$2/2</f>
        <v>342.55</v>
      </c>
      <c r="K587" s="11">
        <f>F587*1000000/(0.9*(D587*1000)*J587^2)</f>
        <v>2.795915026</v>
      </c>
      <c r="L587" s="12">
        <f>(0.85*$B$2/$D$2)*(1-SQRT(1-2*K587/(0.85*$B$2)))</f>
        <v>0.007101983169</v>
      </c>
      <c r="M587" s="13">
        <f>L587*(D587*1000)*J587</f>
        <v>729.8353004</v>
      </c>
      <c r="N587" s="13">
        <f>MAX(0.25*SQRT($B$2)/$D$2,1.4/$D$2)*(D587*1000)*J587</f>
        <v>342.55</v>
      </c>
      <c r="O587" s="13">
        <f>MAX(M587,N587)</f>
        <v>729.8353004</v>
      </c>
      <c r="P587" s="14">
        <f>ROUNDUP(O587/$J$2,0)</f>
        <v>4</v>
      </c>
      <c r="Q587" s="13">
        <f>P587*$J$2</f>
        <v>796</v>
      </c>
      <c r="R587" s="10">
        <f>Q587*$D$2/(0.85*$B$2*(D587*1000))</f>
        <v>46.82352941</v>
      </c>
      <c r="S587" s="10">
        <f>0.9*Q587*$D$2*(J587-R587/2)/1000000</f>
        <v>96.02486534</v>
      </c>
      <c r="T587" s="15" t="str">
        <f>IF(AND(S587&gt;=F587,O587&lt;=0.025*(D587*1000)*J587,O587&gt;=N587),"CUMPLE","REVISAR")</f>
        <v>CUMPLE</v>
      </c>
      <c r="U587" s="11">
        <f>G587*1000000/(0.9*(D587*1000)*J587^2)</f>
        <v>2.287739005</v>
      </c>
      <c r="V587" s="12">
        <f>(0.85*$B$2/$D$2)*(1-SQRT(1-2*U587/(0.85*$B$2)))</f>
        <v>0.005737453901</v>
      </c>
      <c r="W587" s="13">
        <f>V587*(D587*1000)*J587</f>
        <v>589.6094502</v>
      </c>
      <c r="X587" s="13">
        <f>MAX(W587,N587)</f>
        <v>589.6094502</v>
      </c>
      <c r="Y587" s="14">
        <f>ROUNDUP(X587/$J$2,0)</f>
        <v>3</v>
      </c>
      <c r="Z587" s="13">
        <f>Y587*$J$2</f>
        <v>597</v>
      </c>
      <c r="AA587" s="10">
        <f>0.9*Z587*$D$2*(J587-(Z587*$D$2/(0.85*$B$2*(D587*1000)))/2)/1000000</f>
        <v>73.33945883</v>
      </c>
      <c r="AB587" s="15" t="str">
        <f>IF(AA587&gt;=G587,"CUMPLE","REVISAR")</f>
        <v>CUMPLE</v>
      </c>
      <c r="AC587" s="10">
        <f>0.17*SQRT($B$2)*(D587*1000)*J587/1000</f>
        <v>92.44281538</v>
      </c>
      <c r="AD587" s="10">
        <f>MAX(H587/0.75-AC587,0)</f>
        <v>0</v>
      </c>
      <c r="AE587" s="14">
        <f>IF(AD587&gt;0,MIN($N$2*$D$2*J587/(AD587*1000),MIN(J587/4,6*$H$2,150)),MIN(J587/4,6*$H$2,150))</f>
        <v>85.6375</v>
      </c>
      <c r="AF587" s="10">
        <f>0.66*SQRT($B$2)*(D587*1000)*J587/1000</f>
        <v>358.8956362</v>
      </c>
      <c r="AG587" s="15" t="str">
        <f>IF(AD587&lt;=AF587,"CUMPLE","AUMENTAR SECCION")</f>
        <v>CUMPLE</v>
      </c>
      <c r="AH587" s="10">
        <f>0.75*0.083*SQRT($B$2)*(((D587*1000)*(E587*1000))^2/(2*((D587*1000)+(E587*1000))))/1000000</f>
        <v>3.388073536</v>
      </c>
      <c r="AI587" s="15" t="str">
        <f>IF(I587&gt;AH587,"SI","No")</f>
        <v>No</v>
      </c>
      <c r="AJ587" s="11">
        <f>IF(I587&gt;AH587,I587*1000000/(0.75*2*0.85*((D587*1000-2*$F$2)*(E587*1000-2*$F$2))*$D$2),0)</f>
        <v>0</v>
      </c>
      <c r="AK587" s="10">
        <f>1.25*Q587*$D$2*(J587-(1.25*Q587*$D$2/(0.85*$B$2*(D587*1000)))/2)/1000000</f>
        <v>130.9219244</v>
      </c>
      <c r="AL587" s="10">
        <f>1.25*Z587*$D$2*(J587-(1.25*Z587*$D$2/(0.85*$B$2*(D587*1000)))/2)/1000000</f>
        <v>100.4845159</v>
      </c>
      <c r="AM587" s="10">
        <f>(AK587+AL587)/B587</f>
        <v>61.70838409</v>
      </c>
      <c r="AN587" s="10">
        <f>MAX(H587,AM587)</f>
        <v>61.70838409</v>
      </c>
    </row>
    <row r="588">
      <c r="A588" s="5" t="inlineStr">
        <is>
          <t>F1371</t>
        </is>
      </c>
      <c r="B588" s="6" t="n">
        <v>3.75</v>
      </c>
      <c r="C588" s="7" t="inlineStr">
        <is>
          <t>VC</t>
        </is>
      </c>
      <c r="D588" s="8">
        <f>IF(C588="VR",0.35,0.30)</f>
        <v>0.3</v>
      </c>
      <c r="E588" s="6" t="n">
        <v>0.4</v>
      </c>
      <c r="F588" s="9" t="n">
        <v>63.3</v>
      </c>
      <c r="G588" s="9" t="n">
        <v>47.5</v>
      </c>
      <c r="H588" s="9" t="n">
        <v>42.2</v>
      </c>
      <c r="I588" s="6" t="n">
        <v>0</v>
      </c>
      <c r="J588" s="10">
        <f>E588*1000-$F$2-$L$2-$H$2/2</f>
        <v>342.55</v>
      </c>
      <c r="K588" s="11">
        <f>F588*1000000/(0.9*(D588*1000)*J588^2)</f>
        <v>1.99703707</v>
      </c>
      <c r="L588" s="12">
        <f>(0.85*$B$2/$D$2)*(1-SQRT(1-2*K588/(0.85*$B$2)))</f>
        <v>0.004973068493</v>
      </c>
      <c r="M588" s="13">
        <f>L588*(D588*1000)*J588</f>
        <v>511.0573837</v>
      </c>
      <c r="N588" s="13">
        <f>MAX(0.25*SQRT($B$2)/$D$2,1.4/$D$2)*(D588*1000)*J588</f>
        <v>342.55</v>
      </c>
      <c r="O588" s="13">
        <f>MAX(M588,N588)</f>
        <v>511.0573837</v>
      </c>
      <c r="P588" s="14">
        <f>ROUNDUP(O588/$J$2,0)</f>
        <v>3</v>
      </c>
      <c r="Q588" s="13">
        <f>P588*$J$2</f>
        <v>597</v>
      </c>
      <c r="R588" s="10">
        <f>Q588*$D$2/(0.85*$B$2*(D588*1000))</f>
        <v>35.11764706</v>
      </c>
      <c r="S588" s="10">
        <f>0.9*Q588*$D$2*(J588-R588/2)/1000000</f>
        <v>73.33945883</v>
      </c>
      <c r="T588" s="15" t="str">
        <f>IF(AND(S588&gt;=F588,O588&lt;=0.025*(D588*1000)*J588,O588&gt;=N588),"CUMPLE","REVISAR")</f>
        <v>CUMPLE</v>
      </c>
      <c r="U588" s="11">
        <f>G588*1000000/(0.9*(D588*1000)*J588^2)</f>
        <v>1.498014531</v>
      </c>
      <c r="V588" s="12">
        <f>(0.85*$B$2/$D$2)*(1-SQRT(1-2*U588/(0.85*$B$2)))</f>
        <v>0.003686623557</v>
      </c>
      <c r="W588" s="13">
        <f>V588*(D588*1000)*J588</f>
        <v>378.8558698</v>
      </c>
      <c r="X588" s="13">
        <f>MAX(W588,N588)</f>
        <v>378.8558698</v>
      </c>
      <c r="Y588" s="14">
        <f>ROUNDUP(X588/$J$2,0)</f>
        <v>2</v>
      </c>
      <c r="Z588" s="13">
        <f>Y588*$J$2</f>
        <v>398</v>
      </c>
      <c r="AA588" s="10">
        <f>0.9*Z588*$D$2*(J588-(Z588*$D$2/(0.85*$B$2*(D588*1000)))/2)/1000000</f>
        <v>49.77351244</v>
      </c>
      <c r="AB588" s="15" t="str">
        <f>IF(AA588&gt;=G588,"CUMPLE","REVISAR")</f>
        <v>CUMPLE</v>
      </c>
      <c r="AC588" s="10">
        <f>0.17*SQRT($B$2)*(D588*1000)*J588/1000</f>
        <v>92.44281538</v>
      </c>
      <c r="AD588" s="10">
        <f>MAX(H588/0.75-AC588,0)</f>
        <v>0</v>
      </c>
      <c r="AE588" s="14">
        <f>IF(AD588&gt;0,MIN($N$2*$D$2*J588/(AD588*1000),MIN(J588/4,6*$H$2,150)),MIN(J588/4,6*$H$2,150))</f>
        <v>85.6375</v>
      </c>
      <c r="AF588" s="10">
        <f>0.66*SQRT($B$2)*(D588*1000)*J588/1000</f>
        <v>358.8956362</v>
      </c>
      <c r="AG588" s="15" t="str">
        <f>IF(AD588&lt;=AF588,"CUMPLE","AUMENTAR SECCION")</f>
        <v>CUMPLE</v>
      </c>
      <c r="AH588" s="10">
        <f>0.75*0.083*SQRT($B$2)*(((D588*1000)*(E588*1000))^2/(2*((D588*1000)+(E588*1000))))/1000000</f>
        <v>3.388073536</v>
      </c>
      <c r="AI588" s="15" t="str">
        <f>IF(I588&gt;AH588,"SI","No")</f>
        <v>No</v>
      </c>
      <c r="AJ588" s="11">
        <f>IF(I588&gt;AH588,I588*1000000/(0.75*2*0.85*((D588*1000-2*$F$2)*(E588*1000-2*$F$2))*$D$2),0)</f>
        <v>0</v>
      </c>
      <c r="AK588" s="10">
        <f>1.25*Q588*$D$2*(J588-(1.25*Q588*$D$2/(0.85*$B$2*(D588*1000)))/2)/1000000</f>
        <v>100.4845159</v>
      </c>
      <c r="AL588" s="10">
        <f>1.25*Z588*$D$2*(J588-(1.25*Z588*$D$2/(0.85*$B$2*(D588*1000)))/2)/1000000</f>
        <v>68.51839235</v>
      </c>
      <c r="AM588" s="10">
        <f>(AK588+AL588)/B588</f>
        <v>45.06744221</v>
      </c>
      <c r="AN588" s="10">
        <f>MAX(H588,AM588)</f>
        <v>45.06744221</v>
      </c>
    </row>
    <row r="589">
      <c r="A589" s="5" t="inlineStr">
        <is>
          <t>F1372</t>
        </is>
      </c>
      <c r="B589" s="6" t="n">
        <v>3.75</v>
      </c>
      <c r="C589" s="7" t="inlineStr">
        <is>
          <t>VC</t>
        </is>
      </c>
      <c r="D589" s="8">
        <f>IF(C589="VR",0.35,0.30)</f>
        <v>0.3</v>
      </c>
      <c r="E589" s="6" t="n">
        <v>0.4</v>
      </c>
      <c r="F589" s="9" t="n">
        <v>63.3</v>
      </c>
      <c r="G589" s="9" t="n">
        <v>47.5</v>
      </c>
      <c r="H589" s="9" t="n">
        <v>42.2</v>
      </c>
      <c r="I589" s="6" t="n">
        <v>0</v>
      </c>
      <c r="J589" s="10">
        <f>E589*1000-$F$2-$L$2-$H$2/2</f>
        <v>342.55</v>
      </c>
      <c r="K589" s="11">
        <f>F589*1000000/(0.9*(D589*1000)*J589^2)</f>
        <v>1.99703707</v>
      </c>
      <c r="L589" s="12">
        <f>(0.85*$B$2/$D$2)*(1-SQRT(1-2*K589/(0.85*$B$2)))</f>
        <v>0.004973068493</v>
      </c>
      <c r="M589" s="13">
        <f>L589*(D589*1000)*J589</f>
        <v>511.0573837</v>
      </c>
      <c r="N589" s="13">
        <f>MAX(0.25*SQRT($B$2)/$D$2,1.4/$D$2)*(D589*1000)*J589</f>
        <v>342.55</v>
      </c>
      <c r="O589" s="13">
        <f>MAX(M589,N589)</f>
        <v>511.0573837</v>
      </c>
      <c r="P589" s="14">
        <f>ROUNDUP(O589/$J$2,0)</f>
        <v>3</v>
      </c>
      <c r="Q589" s="13">
        <f>P589*$J$2</f>
        <v>597</v>
      </c>
      <c r="R589" s="10">
        <f>Q589*$D$2/(0.85*$B$2*(D589*1000))</f>
        <v>35.11764706</v>
      </c>
      <c r="S589" s="10">
        <f>0.9*Q589*$D$2*(J589-R589/2)/1000000</f>
        <v>73.33945883</v>
      </c>
      <c r="T589" s="15" t="str">
        <f>IF(AND(S589&gt;=F589,O589&lt;=0.025*(D589*1000)*J589,O589&gt;=N589),"CUMPLE","REVISAR")</f>
        <v>CUMPLE</v>
      </c>
      <c r="U589" s="11">
        <f>G589*1000000/(0.9*(D589*1000)*J589^2)</f>
        <v>1.498014531</v>
      </c>
      <c r="V589" s="12">
        <f>(0.85*$B$2/$D$2)*(1-SQRT(1-2*U589/(0.85*$B$2)))</f>
        <v>0.003686623557</v>
      </c>
      <c r="W589" s="13">
        <f>V589*(D589*1000)*J589</f>
        <v>378.8558698</v>
      </c>
      <c r="X589" s="13">
        <f>MAX(W589,N589)</f>
        <v>378.8558698</v>
      </c>
      <c r="Y589" s="14">
        <f>ROUNDUP(X589/$J$2,0)</f>
        <v>2</v>
      </c>
      <c r="Z589" s="13">
        <f>Y589*$J$2</f>
        <v>398</v>
      </c>
      <c r="AA589" s="10">
        <f>0.9*Z589*$D$2*(J589-(Z589*$D$2/(0.85*$B$2*(D589*1000)))/2)/1000000</f>
        <v>49.77351244</v>
      </c>
      <c r="AB589" s="15" t="str">
        <f>IF(AA589&gt;=G589,"CUMPLE","REVISAR")</f>
        <v>CUMPLE</v>
      </c>
      <c r="AC589" s="10">
        <f>0.17*SQRT($B$2)*(D589*1000)*J589/1000</f>
        <v>92.44281538</v>
      </c>
      <c r="AD589" s="10">
        <f>MAX(H589/0.75-AC589,0)</f>
        <v>0</v>
      </c>
      <c r="AE589" s="14">
        <f>IF(AD589&gt;0,MIN($N$2*$D$2*J589/(AD589*1000),MIN(J589/4,6*$H$2,150)),MIN(J589/4,6*$H$2,150))</f>
        <v>85.6375</v>
      </c>
      <c r="AF589" s="10">
        <f>0.66*SQRT($B$2)*(D589*1000)*J589/1000</f>
        <v>358.8956362</v>
      </c>
      <c r="AG589" s="15" t="str">
        <f>IF(AD589&lt;=AF589,"CUMPLE","AUMENTAR SECCION")</f>
        <v>CUMPLE</v>
      </c>
      <c r="AH589" s="10">
        <f>0.75*0.083*SQRT($B$2)*(((D589*1000)*(E589*1000))^2/(2*((D589*1000)+(E589*1000))))/1000000</f>
        <v>3.388073536</v>
      </c>
      <c r="AI589" s="15" t="str">
        <f>IF(I589&gt;AH589,"SI","No")</f>
        <v>No</v>
      </c>
      <c r="AJ589" s="11">
        <f>IF(I589&gt;AH589,I589*1000000/(0.75*2*0.85*((D589*1000-2*$F$2)*(E589*1000-2*$F$2))*$D$2),0)</f>
        <v>0</v>
      </c>
      <c r="AK589" s="10">
        <f>1.25*Q589*$D$2*(J589-(1.25*Q589*$D$2/(0.85*$B$2*(D589*1000)))/2)/1000000</f>
        <v>100.4845159</v>
      </c>
      <c r="AL589" s="10">
        <f>1.25*Z589*$D$2*(J589-(1.25*Z589*$D$2/(0.85*$B$2*(D589*1000)))/2)/1000000</f>
        <v>68.51839235</v>
      </c>
      <c r="AM589" s="10">
        <f>(AK589+AL589)/B589</f>
        <v>45.06744221</v>
      </c>
      <c r="AN589" s="10">
        <f>MAX(H589,AM589)</f>
        <v>45.06744221</v>
      </c>
    </row>
    <row r="590">
      <c r="A590" s="5" t="inlineStr">
        <is>
          <t>F1373</t>
        </is>
      </c>
      <c r="B590" s="6" t="n">
        <v>3.75</v>
      </c>
      <c r="C590" s="7" t="inlineStr">
        <is>
          <t>VC</t>
        </is>
      </c>
      <c r="D590" s="8">
        <f>IF(C590="VR",0.35,0.30)</f>
        <v>0.3</v>
      </c>
      <c r="E590" s="6" t="n">
        <v>0.4</v>
      </c>
      <c r="F590" s="9" t="n">
        <v>63.3</v>
      </c>
      <c r="G590" s="9" t="n">
        <v>47.5</v>
      </c>
      <c r="H590" s="9" t="n">
        <v>42.2</v>
      </c>
      <c r="I590" s="6" t="n">
        <v>0</v>
      </c>
      <c r="J590" s="10">
        <f>E590*1000-$F$2-$L$2-$H$2/2</f>
        <v>342.55</v>
      </c>
      <c r="K590" s="11">
        <f>F590*1000000/(0.9*(D590*1000)*J590^2)</f>
        <v>1.99703707</v>
      </c>
      <c r="L590" s="12">
        <f>(0.85*$B$2/$D$2)*(1-SQRT(1-2*K590/(0.85*$B$2)))</f>
        <v>0.004973068493</v>
      </c>
      <c r="M590" s="13">
        <f>L590*(D590*1000)*J590</f>
        <v>511.0573837</v>
      </c>
      <c r="N590" s="13">
        <f>MAX(0.25*SQRT($B$2)/$D$2,1.4/$D$2)*(D590*1000)*J590</f>
        <v>342.55</v>
      </c>
      <c r="O590" s="13">
        <f>MAX(M590,N590)</f>
        <v>511.0573837</v>
      </c>
      <c r="P590" s="14">
        <f>ROUNDUP(O590/$J$2,0)</f>
        <v>3</v>
      </c>
      <c r="Q590" s="13">
        <f>P590*$J$2</f>
        <v>597</v>
      </c>
      <c r="R590" s="10">
        <f>Q590*$D$2/(0.85*$B$2*(D590*1000))</f>
        <v>35.11764706</v>
      </c>
      <c r="S590" s="10">
        <f>0.9*Q590*$D$2*(J590-R590/2)/1000000</f>
        <v>73.33945883</v>
      </c>
      <c r="T590" s="15" t="str">
        <f>IF(AND(S590&gt;=F590,O590&lt;=0.025*(D590*1000)*J590,O590&gt;=N590),"CUMPLE","REVISAR")</f>
        <v>CUMPLE</v>
      </c>
      <c r="U590" s="11">
        <f>G590*1000000/(0.9*(D590*1000)*J590^2)</f>
        <v>1.498014531</v>
      </c>
      <c r="V590" s="12">
        <f>(0.85*$B$2/$D$2)*(1-SQRT(1-2*U590/(0.85*$B$2)))</f>
        <v>0.003686623557</v>
      </c>
      <c r="W590" s="13">
        <f>V590*(D590*1000)*J590</f>
        <v>378.8558698</v>
      </c>
      <c r="X590" s="13">
        <f>MAX(W590,N590)</f>
        <v>378.8558698</v>
      </c>
      <c r="Y590" s="14">
        <f>ROUNDUP(X590/$J$2,0)</f>
        <v>2</v>
      </c>
      <c r="Z590" s="13">
        <f>Y590*$J$2</f>
        <v>398</v>
      </c>
      <c r="AA590" s="10">
        <f>0.9*Z590*$D$2*(J590-(Z590*$D$2/(0.85*$B$2*(D590*1000)))/2)/1000000</f>
        <v>49.77351244</v>
      </c>
      <c r="AB590" s="15" t="str">
        <f>IF(AA590&gt;=G590,"CUMPLE","REVISAR")</f>
        <v>CUMPLE</v>
      </c>
      <c r="AC590" s="10">
        <f>0.17*SQRT($B$2)*(D590*1000)*J590/1000</f>
        <v>92.44281538</v>
      </c>
      <c r="AD590" s="10">
        <f>MAX(H590/0.75-AC590,0)</f>
        <v>0</v>
      </c>
      <c r="AE590" s="14">
        <f>IF(AD590&gt;0,MIN($N$2*$D$2*J590/(AD590*1000),MIN(J590/4,6*$H$2,150)),MIN(J590/4,6*$H$2,150))</f>
        <v>85.6375</v>
      </c>
      <c r="AF590" s="10">
        <f>0.66*SQRT($B$2)*(D590*1000)*J590/1000</f>
        <v>358.8956362</v>
      </c>
      <c r="AG590" s="15" t="str">
        <f>IF(AD590&lt;=AF590,"CUMPLE","AUMENTAR SECCION")</f>
        <v>CUMPLE</v>
      </c>
      <c r="AH590" s="10">
        <f>0.75*0.083*SQRT($B$2)*(((D590*1000)*(E590*1000))^2/(2*((D590*1000)+(E590*1000))))/1000000</f>
        <v>3.388073536</v>
      </c>
      <c r="AI590" s="15" t="str">
        <f>IF(I590&gt;AH590,"SI","No")</f>
        <v>No</v>
      </c>
      <c r="AJ590" s="11">
        <f>IF(I590&gt;AH590,I590*1000000/(0.75*2*0.85*((D590*1000-2*$F$2)*(E590*1000-2*$F$2))*$D$2),0)</f>
        <v>0</v>
      </c>
      <c r="AK590" s="10">
        <f>1.25*Q590*$D$2*(J590-(1.25*Q590*$D$2/(0.85*$B$2*(D590*1000)))/2)/1000000</f>
        <v>100.4845159</v>
      </c>
      <c r="AL590" s="10">
        <f>1.25*Z590*$D$2*(J590-(1.25*Z590*$D$2/(0.85*$B$2*(D590*1000)))/2)/1000000</f>
        <v>68.51839235</v>
      </c>
      <c r="AM590" s="10">
        <f>(AK590+AL590)/B590</f>
        <v>45.06744221</v>
      </c>
      <c r="AN590" s="10">
        <f>MAX(H590,AM590)</f>
        <v>45.06744221</v>
      </c>
    </row>
    <row r="591">
      <c r="A591" s="5" t="inlineStr">
        <is>
          <t>F1374</t>
        </is>
      </c>
      <c r="B591" s="6" t="n">
        <v>3.75</v>
      </c>
      <c r="C591" s="7" t="inlineStr">
        <is>
          <t>VC</t>
        </is>
      </c>
      <c r="D591" s="8">
        <f>IF(C591="VR",0.35,0.30)</f>
        <v>0.3</v>
      </c>
      <c r="E591" s="6" t="n">
        <v>0.4</v>
      </c>
      <c r="F591" s="9" t="n">
        <v>63.3</v>
      </c>
      <c r="G591" s="9" t="n">
        <v>47.5</v>
      </c>
      <c r="H591" s="9" t="n">
        <v>42.2</v>
      </c>
      <c r="I591" s="6" t="n">
        <v>0</v>
      </c>
      <c r="J591" s="10">
        <f>E591*1000-$F$2-$L$2-$H$2/2</f>
        <v>342.55</v>
      </c>
      <c r="K591" s="11">
        <f>F591*1000000/(0.9*(D591*1000)*J591^2)</f>
        <v>1.99703707</v>
      </c>
      <c r="L591" s="12">
        <f>(0.85*$B$2/$D$2)*(1-SQRT(1-2*K591/(0.85*$B$2)))</f>
        <v>0.004973068493</v>
      </c>
      <c r="M591" s="13">
        <f>L591*(D591*1000)*J591</f>
        <v>511.0573837</v>
      </c>
      <c r="N591" s="13">
        <f>MAX(0.25*SQRT($B$2)/$D$2,1.4/$D$2)*(D591*1000)*J591</f>
        <v>342.55</v>
      </c>
      <c r="O591" s="13">
        <f>MAX(M591,N591)</f>
        <v>511.0573837</v>
      </c>
      <c r="P591" s="14">
        <f>ROUNDUP(O591/$J$2,0)</f>
        <v>3</v>
      </c>
      <c r="Q591" s="13">
        <f>P591*$J$2</f>
        <v>597</v>
      </c>
      <c r="R591" s="10">
        <f>Q591*$D$2/(0.85*$B$2*(D591*1000))</f>
        <v>35.11764706</v>
      </c>
      <c r="S591" s="10">
        <f>0.9*Q591*$D$2*(J591-R591/2)/1000000</f>
        <v>73.33945883</v>
      </c>
      <c r="T591" s="15" t="str">
        <f>IF(AND(S591&gt;=F591,O591&lt;=0.025*(D591*1000)*J591,O591&gt;=N591),"CUMPLE","REVISAR")</f>
        <v>CUMPLE</v>
      </c>
      <c r="U591" s="11">
        <f>G591*1000000/(0.9*(D591*1000)*J591^2)</f>
        <v>1.498014531</v>
      </c>
      <c r="V591" s="12">
        <f>(0.85*$B$2/$D$2)*(1-SQRT(1-2*U591/(0.85*$B$2)))</f>
        <v>0.003686623557</v>
      </c>
      <c r="W591" s="13">
        <f>V591*(D591*1000)*J591</f>
        <v>378.8558698</v>
      </c>
      <c r="X591" s="13">
        <f>MAX(W591,N591)</f>
        <v>378.8558698</v>
      </c>
      <c r="Y591" s="14">
        <f>ROUNDUP(X591/$J$2,0)</f>
        <v>2</v>
      </c>
      <c r="Z591" s="13">
        <f>Y591*$J$2</f>
        <v>398</v>
      </c>
      <c r="AA591" s="10">
        <f>0.9*Z591*$D$2*(J591-(Z591*$D$2/(0.85*$B$2*(D591*1000)))/2)/1000000</f>
        <v>49.77351244</v>
      </c>
      <c r="AB591" s="15" t="str">
        <f>IF(AA591&gt;=G591,"CUMPLE","REVISAR")</f>
        <v>CUMPLE</v>
      </c>
      <c r="AC591" s="10">
        <f>0.17*SQRT($B$2)*(D591*1000)*J591/1000</f>
        <v>92.44281538</v>
      </c>
      <c r="AD591" s="10">
        <f>MAX(H591/0.75-AC591,0)</f>
        <v>0</v>
      </c>
      <c r="AE591" s="14">
        <f>IF(AD591&gt;0,MIN($N$2*$D$2*J591/(AD591*1000),MIN(J591/4,6*$H$2,150)),MIN(J591/4,6*$H$2,150))</f>
        <v>85.6375</v>
      </c>
      <c r="AF591" s="10">
        <f>0.66*SQRT($B$2)*(D591*1000)*J591/1000</f>
        <v>358.8956362</v>
      </c>
      <c r="AG591" s="15" t="str">
        <f>IF(AD591&lt;=AF591,"CUMPLE","AUMENTAR SECCION")</f>
        <v>CUMPLE</v>
      </c>
      <c r="AH591" s="10">
        <f>0.75*0.083*SQRT($B$2)*(((D591*1000)*(E591*1000))^2/(2*((D591*1000)+(E591*1000))))/1000000</f>
        <v>3.388073536</v>
      </c>
      <c r="AI591" s="15" t="str">
        <f>IF(I591&gt;AH591,"SI","No")</f>
        <v>No</v>
      </c>
      <c r="AJ591" s="11">
        <f>IF(I591&gt;AH591,I591*1000000/(0.75*2*0.85*((D591*1000-2*$F$2)*(E591*1000-2*$F$2))*$D$2),0)</f>
        <v>0</v>
      </c>
      <c r="AK591" s="10">
        <f>1.25*Q591*$D$2*(J591-(1.25*Q591*$D$2/(0.85*$B$2*(D591*1000)))/2)/1000000</f>
        <v>100.4845159</v>
      </c>
      <c r="AL591" s="10">
        <f>1.25*Z591*$D$2*(J591-(1.25*Z591*$D$2/(0.85*$B$2*(D591*1000)))/2)/1000000</f>
        <v>68.51839235</v>
      </c>
      <c r="AM591" s="10">
        <f>(AK591+AL591)/B591</f>
        <v>45.06744221</v>
      </c>
      <c r="AN591" s="10">
        <f>MAX(H591,AM591)</f>
        <v>45.06744221</v>
      </c>
    </row>
    <row r="592">
      <c r="A592" s="5" t="inlineStr">
        <is>
          <t>F1375</t>
        </is>
      </c>
      <c r="B592" s="6" t="n">
        <v>3.75</v>
      </c>
      <c r="C592" s="7" t="inlineStr">
        <is>
          <t>VC</t>
        </is>
      </c>
      <c r="D592" s="8">
        <f>IF(C592="VR",0.35,0.30)</f>
        <v>0.3</v>
      </c>
      <c r="E592" s="6" t="n">
        <v>0.4</v>
      </c>
      <c r="F592" s="9" t="n">
        <v>38.1</v>
      </c>
      <c r="G592" s="9" t="n">
        <v>22.7</v>
      </c>
      <c r="H592" s="9" t="n">
        <v>28.9</v>
      </c>
      <c r="I592" s="6" t="n">
        <v>0</v>
      </c>
      <c r="J592" s="10">
        <f>E592*1000-$F$2-$L$2-$H$2/2</f>
        <v>342.55</v>
      </c>
      <c r="K592" s="11">
        <f>F592*1000000/(0.9*(D592*1000)*J592^2)</f>
        <v>1.202893674</v>
      </c>
      <c r="L592" s="12">
        <f>(0.85*$B$2/$D$2)*(1-SQRT(1-2*K592/(0.85*$B$2)))</f>
        <v>0.002940316012</v>
      </c>
      <c r="M592" s="13">
        <f>L592*(D592*1000)*J592</f>
        <v>302.161575</v>
      </c>
      <c r="N592" s="13">
        <f>MAX(0.25*SQRT($B$2)/$D$2,1.4/$D$2)*(D592*1000)*J592</f>
        <v>342.55</v>
      </c>
      <c r="O592" s="13">
        <f>MAX(M592,N592)</f>
        <v>342.55</v>
      </c>
      <c r="P592" s="14">
        <f>ROUNDUP(O592/$J$2,0)</f>
        <v>2</v>
      </c>
      <c r="Q592" s="13">
        <f>P592*$J$2</f>
        <v>398</v>
      </c>
      <c r="R592" s="10">
        <f>Q592*$D$2/(0.85*$B$2*(D592*1000))</f>
        <v>23.41176471</v>
      </c>
      <c r="S592" s="10">
        <f>0.9*Q592*$D$2*(J592-R592/2)/1000000</f>
        <v>49.77351244</v>
      </c>
      <c r="T592" s="15" t="str">
        <f>IF(AND(S592&gt;=F592,O592&lt;=0.025*(D592*1000)*J592,O592&gt;=N592),"CUMPLE","REVISAR")</f>
        <v>CUMPLE</v>
      </c>
      <c r="U592" s="11">
        <f>G592*1000000/(0.9*(D592*1000)*J592^2)</f>
        <v>0.7171279</v>
      </c>
      <c r="V592" s="12">
        <f>(0.85*$B$2/$D$2)*(1-SQRT(1-2*U592/(0.85*$B$2)))</f>
        <v>0.001733976873</v>
      </c>
      <c r="W592" s="13">
        <f>V592*(D592*1000)*J592</f>
        <v>178.1921334</v>
      </c>
      <c r="X592" s="13">
        <f>MAX(W592,N592)</f>
        <v>342.55</v>
      </c>
      <c r="Y592" s="14">
        <f>ROUNDUP(X592/$J$2,0)</f>
        <v>2</v>
      </c>
      <c r="Z592" s="13">
        <f>Y592*$J$2</f>
        <v>398</v>
      </c>
      <c r="AA592" s="10">
        <f>0.9*Z592*$D$2*(J592-(Z592*$D$2/(0.85*$B$2*(D592*1000)))/2)/1000000</f>
        <v>49.77351244</v>
      </c>
      <c r="AB592" s="15" t="str">
        <f>IF(AA592&gt;=G592,"CUMPLE","REVISAR")</f>
        <v>CUMPLE</v>
      </c>
      <c r="AC592" s="10">
        <f>0.17*SQRT($B$2)*(D592*1000)*J592/1000</f>
        <v>92.44281538</v>
      </c>
      <c r="AD592" s="10">
        <f>MAX(H592/0.75-AC592,0)</f>
        <v>0</v>
      </c>
      <c r="AE592" s="14">
        <f>IF(AD592&gt;0,MIN($N$2*$D$2*J592/(AD592*1000),MIN(J592/4,6*$H$2,150)),MIN(J592/4,6*$H$2,150))</f>
        <v>85.6375</v>
      </c>
      <c r="AF592" s="10">
        <f>0.66*SQRT($B$2)*(D592*1000)*J592/1000</f>
        <v>358.8956362</v>
      </c>
      <c r="AG592" s="15" t="str">
        <f>IF(AD592&lt;=AF592,"CUMPLE","AUMENTAR SECCION")</f>
        <v>CUMPLE</v>
      </c>
      <c r="AH592" s="10">
        <f>0.75*0.083*SQRT($B$2)*(((D592*1000)*(E592*1000))^2/(2*((D592*1000)+(E592*1000))))/1000000</f>
        <v>3.388073536</v>
      </c>
      <c r="AI592" s="15" t="str">
        <f>IF(I592&gt;AH592,"SI","No")</f>
        <v>No</v>
      </c>
      <c r="AJ592" s="11">
        <f>IF(I592&gt;AH592,I592*1000000/(0.75*2*0.85*((D592*1000-2*$F$2)*(E592*1000-2*$F$2))*$D$2),0)</f>
        <v>0</v>
      </c>
      <c r="AK592" s="10">
        <f>1.25*Q592*$D$2*(J592-(1.25*Q592*$D$2/(0.85*$B$2*(D592*1000)))/2)/1000000</f>
        <v>68.51839235</v>
      </c>
      <c r="AL592" s="10">
        <f>1.25*Z592*$D$2*(J592-(1.25*Z592*$D$2/(0.85*$B$2*(D592*1000)))/2)/1000000</f>
        <v>68.51839235</v>
      </c>
      <c r="AM592" s="10">
        <f>(AK592+AL592)/B592</f>
        <v>36.54314259</v>
      </c>
      <c r="AN592" s="10">
        <f>MAX(H592,AM592)</f>
        <v>36.54314259</v>
      </c>
    </row>
    <row r="593">
      <c r="A593" s="5" t="inlineStr">
        <is>
          <t>F1376</t>
        </is>
      </c>
      <c r="B593" s="6" t="n">
        <v>3.75</v>
      </c>
      <c r="C593" s="7" t="inlineStr">
        <is>
          <t>VC</t>
        </is>
      </c>
      <c r="D593" s="8">
        <f>IF(C593="VR",0.35,0.30)</f>
        <v>0.3</v>
      </c>
      <c r="E593" s="6" t="n">
        <v>0.4</v>
      </c>
      <c r="F593" s="9" t="n">
        <v>38.1</v>
      </c>
      <c r="G593" s="9" t="n">
        <v>22.7</v>
      </c>
      <c r="H593" s="9" t="n">
        <v>28.9</v>
      </c>
      <c r="I593" s="6" t="n">
        <v>0</v>
      </c>
      <c r="J593" s="10">
        <f>E593*1000-$F$2-$L$2-$H$2/2</f>
        <v>342.55</v>
      </c>
      <c r="K593" s="11">
        <f>F593*1000000/(0.9*(D593*1000)*J593^2)</f>
        <v>1.202893674</v>
      </c>
      <c r="L593" s="12">
        <f>(0.85*$B$2/$D$2)*(1-SQRT(1-2*K593/(0.85*$B$2)))</f>
        <v>0.002940316012</v>
      </c>
      <c r="M593" s="13">
        <f>L593*(D593*1000)*J593</f>
        <v>302.161575</v>
      </c>
      <c r="N593" s="13">
        <f>MAX(0.25*SQRT($B$2)/$D$2,1.4/$D$2)*(D593*1000)*J593</f>
        <v>342.55</v>
      </c>
      <c r="O593" s="13">
        <f>MAX(M593,N593)</f>
        <v>342.55</v>
      </c>
      <c r="P593" s="14">
        <f>ROUNDUP(O593/$J$2,0)</f>
        <v>2</v>
      </c>
      <c r="Q593" s="13">
        <f>P593*$J$2</f>
        <v>398</v>
      </c>
      <c r="R593" s="10">
        <f>Q593*$D$2/(0.85*$B$2*(D593*1000))</f>
        <v>23.41176471</v>
      </c>
      <c r="S593" s="10">
        <f>0.9*Q593*$D$2*(J593-R593/2)/1000000</f>
        <v>49.77351244</v>
      </c>
      <c r="T593" s="15" t="str">
        <f>IF(AND(S593&gt;=F593,O593&lt;=0.025*(D593*1000)*J593,O593&gt;=N593),"CUMPLE","REVISAR")</f>
        <v>CUMPLE</v>
      </c>
      <c r="U593" s="11">
        <f>G593*1000000/(0.9*(D593*1000)*J593^2)</f>
        <v>0.7171279</v>
      </c>
      <c r="V593" s="12">
        <f>(0.85*$B$2/$D$2)*(1-SQRT(1-2*U593/(0.85*$B$2)))</f>
        <v>0.001733976873</v>
      </c>
      <c r="W593" s="13">
        <f>V593*(D593*1000)*J593</f>
        <v>178.1921334</v>
      </c>
      <c r="X593" s="13">
        <f>MAX(W593,N593)</f>
        <v>342.55</v>
      </c>
      <c r="Y593" s="14">
        <f>ROUNDUP(X593/$J$2,0)</f>
        <v>2</v>
      </c>
      <c r="Z593" s="13">
        <f>Y593*$J$2</f>
        <v>398</v>
      </c>
      <c r="AA593" s="10">
        <f>0.9*Z593*$D$2*(J593-(Z593*$D$2/(0.85*$B$2*(D593*1000)))/2)/1000000</f>
        <v>49.77351244</v>
      </c>
      <c r="AB593" s="15" t="str">
        <f>IF(AA593&gt;=G593,"CUMPLE","REVISAR")</f>
        <v>CUMPLE</v>
      </c>
      <c r="AC593" s="10">
        <f>0.17*SQRT($B$2)*(D593*1000)*J593/1000</f>
        <v>92.44281538</v>
      </c>
      <c r="AD593" s="10">
        <f>MAX(H593/0.75-AC593,0)</f>
        <v>0</v>
      </c>
      <c r="AE593" s="14">
        <f>IF(AD593&gt;0,MIN($N$2*$D$2*J593/(AD593*1000),MIN(J593/4,6*$H$2,150)),MIN(J593/4,6*$H$2,150))</f>
        <v>85.6375</v>
      </c>
      <c r="AF593" s="10">
        <f>0.66*SQRT($B$2)*(D593*1000)*J593/1000</f>
        <v>358.8956362</v>
      </c>
      <c r="AG593" s="15" t="str">
        <f>IF(AD593&lt;=AF593,"CUMPLE","AUMENTAR SECCION")</f>
        <v>CUMPLE</v>
      </c>
      <c r="AH593" s="10">
        <f>0.75*0.083*SQRT($B$2)*(((D593*1000)*(E593*1000))^2/(2*((D593*1000)+(E593*1000))))/1000000</f>
        <v>3.388073536</v>
      </c>
      <c r="AI593" s="15" t="str">
        <f>IF(I593&gt;AH593,"SI","No")</f>
        <v>No</v>
      </c>
      <c r="AJ593" s="11">
        <f>IF(I593&gt;AH593,I593*1000000/(0.75*2*0.85*((D593*1000-2*$F$2)*(E593*1000-2*$F$2))*$D$2),0)</f>
        <v>0</v>
      </c>
      <c r="AK593" s="10">
        <f>1.25*Q593*$D$2*(J593-(1.25*Q593*$D$2/(0.85*$B$2*(D593*1000)))/2)/1000000</f>
        <v>68.51839235</v>
      </c>
      <c r="AL593" s="10">
        <f>1.25*Z593*$D$2*(J593-(1.25*Z593*$D$2/(0.85*$B$2*(D593*1000)))/2)/1000000</f>
        <v>68.51839235</v>
      </c>
      <c r="AM593" s="10">
        <f>(AK593+AL593)/B593</f>
        <v>36.54314259</v>
      </c>
      <c r="AN593" s="10">
        <f>MAX(H593,AM593)</f>
        <v>36.54314259</v>
      </c>
    </row>
    <row r="594">
      <c r="A594" s="5" t="inlineStr">
        <is>
          <t>F1377</t>
        </is>
      </c>
      <c r="B594" s="6" t="n">
        <v>3.75</v>
      </c>
      <c r="C594" s="7" t="inlineStr">
        <is>
          <t>VC</t>
        </is>
      </c>
      <c r="D594" s="8">
        <f>IF(C594="VR",0.35,0.30)</f>
        <v>0.3</v>
      </c>
      <c r="E594" s="6" t="n">
        <v>0.4</v>
      </c>
      <c r="F594" s="9" t="n">
        <v>38.1</v>
      </c>
      <c r="G594" s="9" t="n">
        <v>22.7</v>
      </c>
      <c r="H594" s="9" t="n">
        <v>28.9</v>
      </c>
      <c r="I594" s="6" t="n">
        <v>0</v>
      </c>
      <c r="J594" s="10">
        <f>E594*1000-$F$2-$L$2-$H$2/2</f>
        <v>342.55</v>
      </c>
      <c r="K594" s="11">
        <f>F594*1000000/(0.9*(D594*1000)*J594^2)</f>
        <v>1.202893674</v>
      </c>
      <c r="L594" s="12">
        <f>(0.85*$B$2/$D$2)*(1-SQRT(1-2*K594/(0.85*$B$2)))</f>
        <v>0.002940316012</v>
      </c>
      <c r="M594" s="13">
        <f>L594*(D594*1000)*J594</f>
        <v>302.161575</v>
      </c>
      <c r="N594" s="13">
        <f>MAX(0.25*SQRT($B$2)/$D$2,1.4/$D$2)*(D594*1000)*J594</f>
        <v>342.55</v>
      </c>
      <c r="O594" s="13">
        <f>MAX(M594,N594)</f>
        <v>342.55</v>
      </c>
      <c r="P594" s="14">
        <f>ROUNDUP(O594/$J$2,0)</f>
        <v>2</v>
      </c>
      <c r="Q594" s="13">
        <f>P594*$J$2</f>
        <v>398</v>
      </c>
      <c r="R594" s="10">
        <f>Q594*$D$2/(0.85*$B$2*(D594*1000))</f>
        <v>23.41176471</v>
      </c>
      <c r="S594" s="10">
        <f>0.9*Q594*$D$2*(J594-R594/2)/1000000</f>
        <v>49.77351244</v>
      </c>
      <c r="T594" s="15" t="str">
        <f>IF(AND(S594&gt;=F594,O594&lt;=0.025*(D594*1000)*J594,O594&gt;=N594),"CUMPLE","REVISAR")</f>
        <v>CUMPLE</v>
      </c>
      <c r="U594" s="11">
        <f>G594*1000000/(0.9*(D594*1000)*J594^2)</f>
        <v>0.7171279</v>
      </c>
      <c r="V594" s="12">
        <f>(0.85*$B$2/$D$2)*(1-SQRT(1-2*U594/(0.85*$B$2)))</f>
        <v>0.001733976873</v>
      </c>
      <c r="W594" s="13">
        <f>V594*(D594*1000)*J594</f>
        <v>178.1921334</v>
      </c>
      <c r="X594" s="13">
        <f>MAX(W594,N594)</f>
        <v>342.55</v>
      </c>
      <c r="Y594" s="14">
        <f>ROUNDUP(X594/$J$2,0)</f>
        <v>2</v>
      </c>
      <c r="Z594" s="13">
        <f>Y594*$J$2</f>
        <v>398</v>
      </c>
      <c r="AA594" s="10">
        <f>0.9*Z594*$D$2*(J594-(Z594*$D$2/(0.85*$B$2*(D594*1000)))/2)/1000000</f>
        <v>49.77351244</v>
      </c>
      <c r="AB594" s="15" t="str">
        <f>IF(AA594&gt;=G594,"CUMPLE","REVISAR")</f>
        <v>CUMPLE</v>
      </c>
      <c r="AC594" s="10">
        <f>0.17*SQRT($B$2)*(D594*1000)*J594/1000</f>
        <v>92.44281538</v>
      </c>
      <c r="AD594" s="10">
        <f>MAX(H594/0.75-AC594,0)</f>
        <v>0</v>
      </c>
      <c r="AE594" s="14">
        <f>IF(AD594&gt;0,MIN($N$2*$D$2*J594/(AD594*1000),MIN(J594/4,6*$H$2,150)),MIN(J594/4,6*$H$2,150))</f>
        <v>85.6375</v>
      </c>
      <c r="AF594" s="10">
        <f>0.66*SQRT($B$2)*(D594*1000)*J594/1000</f>
        <v>358.8956362</v>
      </c>
      <c r="AG594" s="15" t="str">
        <f>IF(AD594&lt;=AF594,"CUMPLE","AUMENTAR SECCION")</f>
        <v>CUMPLE</v>
      </c>
      <c r="AH594" s="10">
        <f>0.75*0.083*SQRT($B$2)*(((D594*1000)*(E594*1000))^2/(2*((D594*1000)+(E594*1000))))/1000000</f>
        <v>3.388073536</v>
      </c>
      <c r="AI594" s="15" t="str">
        <f>IF(I594&gt;AH594,"SI","No")</f>
        <v>No</v>
      </c>
      <c r="AJ594" s="11">
        <f>IF(I594&gt;AH594,I594*1000000/(0.75*2*0.85*((D594*1000-2*$F$2)*(E594*1000-2*$F$2))*$D$2),0)</f>
        <v>0</v>
      </c>
      <c r="AK594" s="10">
        <f>1.25*Q594*$D$2*(J594-(1.25*Q594*$D$2/(0.85*$B$2*(D594*1000)))/2)/1000000</f>
        <v>68.51839235</v>
      </c>
      <c r="AL594" s="10">
        <f>1.25*Z594*$D$2*(J594-(1.25*Z594*$D$2/(0.85*$B$2*(D594*1000)))/2)/1000000</f>
        <v>68.51839235</v>
      </c>
      <c r="AM594" s="10">
        <f>(AK594+AL594)/B594</f>
        <v>36.54314259</v>
      </c>
      <c r="AN594" s="10">
        <f>MAX(H594,AM594)</f>
        <v>36.54314259</v>
      </c>
    </row>
    <row r="595">
      <c r="A595" s="5" t="inlineStr">
        <is>
          <t>F1378</t>
        </is>
      </c>
      <c r="B595" s="6" t="n">
        <v>3.75</v>
      </c>
      <c r="C595" s="7" t="inlineStr">
        <is>
          <t>VC</t>
        </is>
      </c>
      <c r="D595" s="8">
        <f>IF(C595="VR",0.35,0.30)</f>
        <v>0.3</v>
      </c>
      <c r="E595" s="6" t="n">
        <v>0.4</v>
      </c>
      <c r="F595" s="9" t="n">
        <v>38.1</v>
      </c>
      <c r="G595" s="9" t="n">
        <v>22.7</v>
      </c>
      <c r="H595" s="9" t="n">
        <v>28.9</v>
      </c>
      <c r="I595" s="6" t="n">
        <v>0</v>
      </c>
      <c r="J595" s="10">
        <f>E595*1000-$F$2-$L$2-$H$2/2</f>
        <v>342.55</v>
      </c>
      <c r="K595" s="11">
        <f>F595*1000000/(0.9*(D595*1000)*J595^2)</f>
        <v>1.202893674</v>
      </c>
      <c r="L595" s="12">
        <f>(0.85*$B$2/$D$2)*(1-SQRT(1-2*K595/(0.85*$B$2)))</f>
        <v>0.002940316012</v>
      </c>
      <c r="M595" s="13">
        <f>L595*(D595*1000)*J595</f>
        <v>302.161575</v>
      </c>
      <c r="N595" s="13">
        <f>MAX(0.25*SQRT($B$2)/$D$2,1.4/$D$2)*(D595*1000)*J595</f>
        <v>342.55</v>
      </c>
      <c r="O595" s="13">
        <f>MAX(M595,N595)</f>
        <v>342.55</v>
      </c>
      <c r="P595" s="14">
        <f>ROUNDUP(O595/$J$2,0)</f>
        <v>2</v>
      </c>
      <c r="Q595" s="13">
        <f>P595*$J$2</f>
        <v>398</v>
      </c>
      <c r="R595" s="10">
        <f>Q595*$D$2/(0.85*$B$2*(D595*1000))</f>
        <v>23.41176471</v>
      </c>
      <c r="S595" s="10">
        <f>0.9*Q595*$D$2*(J595-R595/2)/1000000</f>
        <v>49.77351244</v>
      </c>
      <c r="T595" s="15" t="str">
        <f>IF(AND(S595&gt;=F595,O595&lt;=0.025*(D595*1000)*J595,O595&gt;=N595),"CUMPLE","REVISAR")</f>
        <v>CUMPLE</v>
      </c>
      <c r="U595" s="11">
        <f>G595*1000000/(0.9*(D595*1000)*J595^2)</f>
        <v>0.7171279</v>
      </c>
      <c r="V595" s="12">
        <f>(0.85*$B$2/$D$2)*(1-SQRT(1-2*U595/(0.85*$B$2)))</f>
        <v>0.001733976873</v>
      </c>
      <c r="W595" s="13">
        <f>V595*(D595*1000)*J595</f>
        <v>178.1921334</v>
      </c>
      <c r="X595" s="13">
        <f>MAX(W595,N595)</f>
        <v>342.55</v>
      </c>
      <c r="Y595" s="14">
        <f>ROUNDUP(X595/$J$2,0)</f>
        <v>2</v>
      </c>
      <c r="Z595" s="13">
        <f>Y595*$J$2</f>
        <v>398</v>
      </c>
      <c r="AA595" s="10">
        <f>0.9*Z595*$D$2*(J595-(Z595*$D$2/(0.85*$B$2*(D595*1000)))/2)/1000000</f>
        <v>49.77351244</v>
      </c>
      <c r="AB595" s="15" t="str">
        <f>IF(AA595&gt;=G595,"CUMPLE","REVISAR")</f>
        <v>CUMPLE</v>
      </c>
      <c r="AC595" s="10">
        <f>0.17*SQRT($B$2)*(D595*1000)*J595/1000</f>
        <v>92.44281538</v>
      </c>
      <c r="AD595" s="10">
        <f>MAX(H595/0.75-AC595,0)</f>
        <v>0</v>
      </c>
      <c r="AE595" s="14">
        <f>IF(AD595&gt;0,MIN($N$2*$D$2*J595/(AD595*1000),MIN(J595/4,6*$H$2,150)),MIN(J595/4,6*$H$2,150))</f>
        <v>85.6375</v>
      </c>
      <c r="AF595" s="10">
        <f>0.66*SQRT($B$2)*(D595*1000)*J595/1000</f>
        <v>358.8956362</v>
      </c>
      <c r="AG595" s="15" t="str">
        <f>IF(AD595&lt;=AF595,"CUMPLE","AUMENTAR SECCION")</f>
        <v>CUMPLE</v>
      </c>
      <c r="AH595" s="10">
        <f>0.75*0.083*SQRT($B$2)*(((D595*1000)*(E595*1000))^2/(2*((D595*1000)+(E595*1000))))/1000000</f>
        <v>3.388073536</v>
      </c>
      <c r="AI595" s="15" t="str">
        <f>IF(I595&gt;AH595,"SI","No")</f>
        <v>No</v>
      </c>
      <c r="AJ595" s="11">
        <f>IF(I595&gt;AH595,I595*1000000/(0.75*2*0.85*((D595*1000-2*$F$2)*(E595*1000-2*$F$2))*$D$2),0)</f>
        <v>0</v>
      </c>
      <c r="AK595" s="10">
        <f>1.25*Q595*$D$2*(J595-(1.25*Q595*$D$2/(0.85*$B$2*(D595*1000)))/2)/1000000</f>
        <v>68.51839235</v>
      </c>
      <c r="AL595" s="10">
        <f>1.25*Z595*$D$2*(J595-(1.25*Z595*$D$2/(0.85*$B$2*(D595*1000)))/2)/1000000</f>
        <v>68.51839235</v>
      </c>
      <c r="AM595" s="10">
        <f>(AK595+AL595)/B595</f>
        <v>36.54314259</v>
      </c>
      <c r="AN595" s="10">
        <f>MAX(H595,AM595)</f>
        <v>36.54314259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VIGUETAS - AGRUPADO POR LUZ (4 tipos, carga de cubierta que gobierna). Viga T, gravedad.</t>
        </is>
      </c>
    </row>
    <row r="3">
      <c r="A3" s="4" t="inlineStr">
        <is>
          <t>ID</t>
        </is>
      </c>
      <c r="B3" s="4" t="inlineStr">
        <is>
          <t>Tipo</t>
        </is>
      </c>
      <c r="C3" s="4" t="inlineStr">
        <is>
          <t>Ln [m]</t>
        </is>
      </c>
      <c r="D3" s="4" t="inlineStr">
        <is>
          <t>wu [kN/m]</t>
        </is>
      </c>
      <c r="E3" s="4" t="inlineStr">
        <is>
          <t>M- [kN.m]</t>
        </is>
      </c>
      <c r="F3" s="4" t="inlineStr">
        <is>
          <t>M+ [kN.m]</t>
        </is>
      </c>
      <c r="G3" s="4" t="inlineStr">
        <is>
          <t>Vu [kN]</t>
        </is>
      </c>
      <c r="H3" s="4" t="inlineStr">
        <is>
          <t>bf [mm]</t>
        </is>
      </c>
      <c r="I3" s="4" t="inlineStr">
        <is>
          <t>As+ dise</t>
        </is>
      </c>
      <c r="J3" s="4" t="inlineStr">
        <is>
          <t>N#4 inf</t>
        </is>
      </c>
      <c r="K3" s="4" t="inlineStr">
        <is>
          <t>As- dise</t>
        </is>
      </c>
      <c r="L3" s="4" t="inlineStr">
        <is>
          <t>N#4 sup</t>
        </is>
      </c>
      <c r="M3" s="4" t="inlineStr">
        <is>
          <t>Estribos?</t>
        </is>
      </c>
      <c r="N3" s="4" t="inlineStr">
        <is>
          <t>Deflexion</t>
        </is>
      </c>
    </row>
    <row r="4">
      <c r="A4" s="5" t="inlineStr">
        <is>
          <t>VT-1 (1.85 m)</t>
        </is>
      </c>
      <c r="B4" s="7" t="inlineStr">
        <is>
          <t>1EC</t>
        </is>
      </c>
      <c r="C4" s="6" t="n">
        <v>1.85</v>
      </c>
      <c r="D4" s="8" t="n">
        <v>10.60096</v>
      </c>
      <c r="E4" s="10" t="n">
        <v>3.628178560000001</v>
      </c>
      <c r="F4" s="10" t="n">
        <v>2.591556114285715</v>
      </c>
      <c r="G4" s="10" t="n">
        <v>11.2767712</v>
      </c>
      <c r="H4" s="13" t="n">
        <v>462.5</v>
      </c>
      <c r="I4" s="13" t="n">
        <v>151.825</v>
      </c>
      <c r="J4" s="14" t="n">
        <v>2</v>
      </c>
      <c r="K4" s="13" t="n">
        <v>151.825</v>
      </c>
      <c r="L4" s="14" t="n">
        <v>2</v>
      </c>
      <c r="M4" s="15" t="inlineStr">
        <is>
          <t>No requiere</t>
        </is>
      </c>
      <c r="N4" s="15" t="inlineStr">
        <is>
          <t>CUMPLE</t>
        </is>
      </c>
    </row>
    <row r="5">
      <c r="A5" s="5" t="inlineStr">
        <is>
          <t>VT-2 (3.25 m)</t>
        </is>
      </c>
      <c r="B5" s="7" t="inlineStr">
        <is>
          <t>1EC</t>
        </is>
      </c>
      <c r="C5" s="6" t="n">
        <v>3.25</v>
      </c>
      <c r="D5" s="8" t="n">
        <v>10.60096</v>
      </c>
      <c r="E5" s="10" t="n">
        <v>11.197264</v>
      </c>
      <c r="F5" s="10" t="n">
        <v>7.998045714285715</v>
      </c>
      <c r="G5" s="10" t="n">
        <v>19.810544</v>
      </c>
      <c r="H5" s="13" t="n">
        <v>800</v>
      </c>
      <c r="I5" s="13" t="n">
        <v>151.825</v>
      </c>
      <c r="J5" s="14" t="n">
        <v>2</v>
      </c>
      <c r="K5" s="13" t="n">
        <v>151.825</v>
      </c>
      <c r="L5" s="14" t="n">
        <v>2</v>
      </c>
      <c r="M5" s="15" t="inlineStr">
        <is>
          <t>No requiere</t>
        </is>
      </c>
      <c r="N5" s="15" t="inlineStr">
        <is>
          <t>CUMPLE</t>
        </is>
      </c>
    </row>
    <row r="6">
      <c r="A6" s="5" t="inlineStr">
        <is>
          <t>VT-3 (4.45 m)</t>
        </is>
      </c>
      <c r="B6" s="7" t="inlineStr">
        <is>
          <t>1EC</t>
        </is>
      </c>
      <c r="C6" s="6" t="n">
        <v>4.45</v>
      </c>
      <c r="D6" s="8" t="n">
        <v>10.60096</v>
      </c>
      <c r="E6" s="10" t="n">
        <v>20.99255104</v>
      </c>
      <c r="F6" s="10" t="n">
        <v>14.99467931428572</v>
      </c>
      <c r="G6" s="10" t="n">
        <v>27.1252064</v>
      </c>
      <c r="H6" s="13" t="n">
        <v>800</v>
      </c>
      <c r="I6" s="13" t="n">
        <v>151.825</v>
      </c>
      <c r="J6" s="14" t="n">
        <v>2</v>
      </c>
      <c r="K6" s="13" t="n">
        <v>189.8787032799266</v>
      </c>
      <c r="L6" s="14" t="n">
        <v>2</v>
      </c>
      <c r="M6" s="15" t="inlineStr">
        <is>
          <t>No requiere</t>
        </is>
      </c>
      <c r="N6" s="15" t="inlineStr">
        <is>
          <t>CUMPLE</t>
        </is>
      </c>
    </row>
    <row r="7">
      <c r="A7" s="5" t="inlineStr">
        <is>
          <t>VT-4 (4.80 m)</t>
        </is>
      </c>
      <c r="B7" s="7" t="inlineStr">
        <is>
          <t>1EC</t>
        </is>
      </c>
      <c r="C7" s="6" t="n">
        <v>4.8</v>
      </c>
      <c r="D7" s="8" t="n">
        <v>10.60096</v>
      </c>
      <c r="E7" s="10" t="n">
        <v>24.42461184</v>
      </c>
      <c r="F7" s="10" t="n">
        <v>17.44615131428571</v>
      </c>
      <c r="G7" s="10" t="n">
        <v>29.2586496</v>
      </c>
      <c r="H7" s="13" t="n">
        <v>800</v>
      </c>
      <c r="I7" s="13" t="n">
        <v>152.8453991154806</v>
      </c>
      <c r="J7" s="14" t="n">
        <v>2</v>
      </c>
      <c r="K7" s="13" t="n">
        <v>222.375243979115</v>
      </c>
      <c r="L7" s="14" t="n">
        <v>2</v>
      </c>
      <c r="M7" s="15" t="inlineStr">
        <is>
          <t>No requiere</t>
        </is>
      </c>
      <c r="N7" s="15" t="inlineStr">
        <is>
          <t>CUMPLE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TODAS LAS VIGUETAS (62 vanos de las 6 lineas). Viga T, gravedad, carga de cubierta (gobierna).</t>
        </is>
      </c>
    </row>
    <row r="3">
      <c r="A3" s="4" t="inlineStr">
        <is>
          <t>ID</t>
        </is>
      </c>
      <c r="B3" s="4" t="inlineStr">
        <is>
          <t>Tipo</t>
        </is>
      </c>
      <c r="C3" s="4" t="inlineStr">
        <is>
          <t>Ln [m]</t>
        </is>
      </c>
      <c r="D3" s="4" t="inlineStr">
        <is>
          <t>wu [kN/m]</t>
        </is>
      </c>
      <c r="E3" s="4" t="inlineStr">
        <is>
          <t>M- [kN.m]</t>
        </is>
      </c>
      <c r="F3" s="4" t="inlineStr">
        <is>
          <t>M+ [kN.m]</t>
        </is>
      </c>
      <c r="G3" s="4" t="inlineStr">
        <is>
          <t>Vu [kN]</t>
        </is>
      </c>
      <c r="H3" s="4" t="inlineStr">
        <is>
          <t>bf [mm]</t>
        </is>
      </c>
      <c r="I3" s="4" t="inlineStr">
        <is>
          <t>As+ dise</t>
        </is>
      </c>
      <c r="J3" s="4" t="inlineStr">
        <is>
          <t>N#4 inf</t>
        </is>
      </c>
      <c r="K3" s="4" t="inlineStr">
        <is>
          <t>As- dise</t>
        </is>
      </c>
      <c r="L3" s="4" t="inlineStr">
        <is>
          <t>N#4 sup</t>
        </is>
      </c>
      <c r="M3" s="4" t="inlineStr">
        <is>
          <t>Estribos?</t>
        </is>
      </c>
      <c r="N3" s="4" t="inlineStr">
        <is>
          <t>Deflexion</t>
        </is>
      </c>
    </row>
    <row r="4">
      <c r="A4" s="5" t="inlineStr">
        <is>
          <t>VIGUETA 1-v1</t>
        </is>
      </c>
      <c r="B4" s="7" t="inlineStr">
        <is>
          <t>1EC</t>
        </is>
      </c>
      <c r="C4" s="6" t="n">
        <v>3.25</v>
      </c>
      <c r="D4" s="8" t="n">
        <v>10.60096</v>
      </c>
      <c r="E4" s="10" t="n">
        <v>11.197264</v>
      </c>
      <c r="F4" s="10" t="n">
        <v>7.998045714285715</v>
      </c>
      <c r="G4" s="10" t="n">
        <v>19.810544</v>
      </c>
      <c r="H4" s="13" t="n">
        <v>800</v>
      </c>
      <c r="I4" s="13" t="n">
        <v>151.825</v>
      </c>
      <c r="J4" s="14" t="n">
        <v>2</v>
      </c>
      <c r="K4" s="13" t="n">
        <v>151.825</v>
      </c>
      <c r="L4" s="14" t="n">
        <v>2</v>
      </c>
      <c r="M4" s="15" t="inlineStr">
        <is>
          <t>No requiere</t>
        </is>
      </c>
      <c r="N4" s="15" t="inlineStr">
        <is>
          <t>CUMPLE</t>
        </is>
      </c>
    </row>
    <row r="5">
      <c r="A5" s="5" t="inlineStr">
        <is>
          <t>VIGUETA 1-v2</t>
        </is>
      </c>
      <c r="B5" s="7" t="inlineStr">
        <is>
          <t>2EC</t>
        </is>
      </c>
      <c r="C5" s="6" t="n">
        <v>2.2</v>
      </c>
      <c r="D5" s="8" t="n">
        <v>10.60096</v>
      </c>
      <c r="E5" s="10" t="n">
        <v>4.6644224</v>
      </c>
      <c r="F5" s="10" t="n">
        <v>3.2067904</v>
      </c>
      <c r="G5" s="10" t="n">
        <v>11.661056</v>
      </c>
      <c r="H5" s="13" t="n">
        <v>550</v>
      </c>
      <c r="I5" s="13" t="n">
        <v>151.825</v>
      </c>
      <c r="J5" s="14" t="n">
        <v>2</v>
      </c>
      <c r="K5" s="13" t="n">
        <v>151.825</v>
      </c>
      <c r="L5" s="14" t="n">
        <v>2</v>
      </c>
      <c r="M5" s="15" t="inlineStr">
        <is>
          <t>No requiere</t>
        </is>
      </c>
      <c r="N5" s="15" t="inlineStr">
        <is>
          <t>CUMPLE</t>
        </is>
      </c>
    </row>
    <row r="6">
      <c r="A6" s="5" t="inlineStr">
        <is>
          <t>VIGUETA 1-v3</t>
        </is>
      </c>
      <c r="B6" s="7" t="inlineStr">
        <is>
          <t>2EC</t>
        </is>
      </c>
      <c r="C6" s="6" t="n">
        <v>2.1</v>
      </c>
      <c r="D6" s="8" t="n">
        <v>10.60096</v>
      </c>
      <c r="E6" s="10" t="n">
        <v>4.250021236363636</v>
      </c>
      <c r="F6" s="10" t="n">
        <v>2.9218896</v>
      </c>
      <c r="G6" s="10" t="n">
        <v>11.131008</v>
      </c>
      <c r="H6" s="13" t="n">
        <v>525</v>
      </c>
      <c r="I6" s="13" t="n">
        <v>151.825</v>
      </c>
      <c r="J6" s="14" t="n">
        <v>2</v>
      </c>
      <c r="K6" s="13" t="n">
        <v>151.825</v>
      </c>
      <c r="L6" s="14" t="n">
        <v>2</v>
      </c>
      <c r="M6" s="15" t="inlineStr">
        <is>
          <t>No requiere</t>
        </is>
      </c>
      <c r="N6" s="15" t="inlineStr">
        <is>
          <t>CUMPLE</t>
        </is>
      </c>
    </row>
    <row r="7">
      <c r="A7" s="5" t="inlineStr">
        <is>
          <t>VIGUETA 1-v4</t>
        </is>
      </c>
      <c r="B7" s="7" t="inlineStr">
        <is>
          <t>2EC</t>
        </is>
      </c>
      <c r="C7" s="6" t="n">
        <v>3.6</v>
      </c>
      <c r="D7" s="8" t="n">
        <v>10.60096</v>
      </c>
      <c r="E7" s="10" t="n">
        <v>12.48985832727273</v>
      </c>
      <c r="F7" s="10" t="n">
        <v>8.586777600000001</v>
      </c>
      <c r="G7" s="10" t="n">
        <v>19.081728</v>
      </c>
      <c r="H7" s="13" t="n">
        <v>800</v>
      </c>
      <c r="I7" s="13" t="n">
        <v>151.825</v>
      </c>
      <c r="J7" s="14" t="n">
        <v>2</v>
      </c>
      <c r="K7" s="13" t="n">
        <v>151.825</v>
      </c>
      <c r="L7" s="14" t="n">
        <v>2</v>
      </c>
      <c r="M7" s="15" t="inlineStr">
        <is>
          <t>No requiere</t>
        </is>
      </c>
      <c r="N7" s="15" t="inlineStr">
        <is>
          <t>CUMPLE</t>
        </is>
      </c>
    </row>
    <row r="8">
      <c r="A8" s="5" t="inlineStr">
        <is>
          <t>VIGUETA 1-v5</t>
        </is>
      </c>
      <c r="B8" s="7" t="inlineStr">
        <is>
          <t>2EC</t>
        </is>
      </c>
      <c r="C8" s="6" t="n">
        <v>5.1</v>
      </c>
      <c r="D8" s="8" t="n">
        <v>10.60096</v>
      </c>
      <c r="E8" s="10" t="n">
        <v>25.06645178181818</v>
      </c>
      <c r="F8" s="10" t="n">
        <v>17.2331856</v>
      </c>
      <c r="G8" s="10" t="n">
        <v>27.032448</v>
      </c>
      <c r="H8" s="13" t="n">
        <v>800</v>
      </c>
      <c r="I8" s="13" t="n">
        <v>151.825</v>
      </c>
      <c r="J8" s="14" t="n">
        <v>2</v>
      </c>
      <c r="K8" s="13" t="n">
        <v>228.5023424920636</v>
      </c>
      <c r="L8" s="14" t="n">
        <v>2</v>
      </c>
      <c r="M8" s="15" t="inlineStr">
        <is>
          <t>No requiere</t>
        </is>
      </c>
      <c r="N8" s="15" t="inlineStr">
        <is>
          <t>CUMPLE</t>
        </is>
      </c>
    </row>
    <row r="9">
      <c r="A9" s="5" t="inlineStr">
        <is>
          <t>VIGUETA 1-v6</t>
        </is>
      </c>
      <c r="B9" s="7" t="inlineStr">
        <is>
          <t>2EC</t>
        </is>
      </c>
      <c r="C9" s="6" t="n">
        <v>3.6</v>
      </c>
      <c r="D9" s="8" t="n">
        <v>10.60096</v>
      </c>
      <c r="E9" s="10" t="n">
        <v>12.48985832727273</v>
      </c>
      <c r="F9" s="10" t="n">
        <v>8.586777600000001</v>
      </c>
      <c r="G9" s="10" t="n">
        <v>19.081728</v>
      </c>
      <c r="H9" s="13" t="n">
        <v>800</v>
      </c>
      <c r="I9" s="13" t="n">
        <v>151.825</v>
      </c>
      <c r="J9" s="14" t="n">
        <v>2</v>
      </c>
      <c r="K9" s="13" t="n">
        <v>151.825</v>
      </c>
      <c r="L9" s="14" t="n">
        <v>2</v>
      </c>
      <c r="M9" s="15" t="inlineStr">
        <is>
          <t>No requiere</t>
        </is>
      </c>
      <c r="N9" s="15" t="inlineStr">
        <is>
          <t>CUMPLE</t>
        </is>
      </c>
    </row>
    <row r="10">
      <c r="A10" s="5" t="inlineStr">
        <is>
          <t>VIGUETA 1-v7</t>
        </is>
      </c>
      <c r="B10" s="7" t="inlineStr">
        <is>
          <t>2EC</t>
        </is>
      </c>
      <c r="C10" s="6" t="n">
        <v>2.1</v>
      </c>
      <c r="D10" s="8" t="n">
        <v>10.60096</v>
      </c>
      <c r="E10" s="10" t="n">
        <v>4.250021236363636</v>
      </c>
      <c r="F10" s="10" t="n">
        <v>2.9218896</v>
      </c>
      <c r="G10" s="10" t="n">
        <v>11.131008</v>
      </c>
      <c r="H10" s="13" t="n">
        <v>525</v>
      </c>
      <c r="I10" s="13" t="n">
        <v>151.825</v>
      </c>
      <c r="J10" s="14" t="n">
        <v>2</v>
      </c>
      <c r="K10" s="13" t="n">
        <v>151.825</v>
      </c>
      <c r="L10" s="14" t="n">
        <v>2</v>
      </c>
      <c r="M10" s="15" t="inlineStr">
        <is>
          <t>No requiere</t>
        </is>
      </c>
      <c r="N10" s="15" t="inlineStr">
        <is>
          <t>CUMPLE</t>
        </is>
      </c>
    </row>
    <row r="11">
      <c r="A11" s="5" t="inlineStr">
        <is>
          <t>VIGUETA 1-v8</t>
        </is>
      </c>
      <c r="B11" s="7" t="inlineStr">
        <is>
          <t>2EC</t>
        </is>
      </c>
      <c r="C11" s="6" t="n">
        <v>2.2</v>
      </c>
      <c r="D11" s="8" t="n">
        <v>10.60096</v>
      </c>
      <c r="E11" s="10" t="n">
        <v>4.6644224</v>
      </c>
      <c r="F11" s="10" t="n">
        <v>3.2067904</v>
      </c>
      <c r="G11" s="10" t="n">
        <v>11.661056</v>
      </c>
      <c r="H11" s="13" t="n">
        <v>550</v>
      </c>
      <c r="I11" s="13" t="n">
        <v>151.825</v>
      </c>
      <c r="J11" s="14" t="n">
        <v>2</v>
      </c>
      <c r="K11" s="13" t="n">
        <v>151.825</v>
      </c>
      <c r="L11" s="14" t="n">
        <v>2</v>
      </c>
      <c r="M11" s="15" t="inlineStr">
        <is>
          <t>No requiere</t>
        </is>
      </c>
      <c r="N11" s="15" t="inlineStr">
        <is>
          <t>CUMPLE</t>
        </is>
      </c>
    </row>
    <row r="12">
      <c r="A12" s="5" t="inlineStr">
        <is>
          <t>VIGUETA 1-v9</t>
        </is>
      </c>
      <c r="B12" s="7" t="inlineStr">
        <is>
          <t>1EC</t>
        </is>
      </c>
      <c r="C12" s="6" t="n">
        <v>3.25</v>
      </c>
      <c r="D12" s="8" t="n">
        <v>10.60096</v>
      </c>
      <c r="E12" s="10" t="n">
        <v>11.197264</v>
      </c>
      <c r="F12" s="10" t="n">
        <v>7.998045714285715</v>
      </c>
      <c r="G12" s="10" t="n">
        <v>19.810544</v>
      </c>
      <c r="H12" s="13" t="n">
        <v>800</v>
      </c>
      <c r="I12" s="13" t="n">
        <v>151.825</v>
      </c>
      <c r="J12" s="14" t="n">
        <v>2</v>
      </c>
      <c r="K12" s="13" t="n">
        <v>151.825</v>
      </c>
      <c r="L12" s="14" t="n">
        <v>2</v>
      </c>
      <c r="M12" s="15" t="inlineStr">
        <is>
          <t>No requiere</t>
        </is>
      </c>
      <c r="N12" s="15" t="inlineStr">
        <is>
          <t>CUMPLE</t>
        </is>
      </c>
    </row>
    <row r="13">
      <c r="A13" s="5" t="inlineStr">
        <is>
          <t>VIGUETA 2-v1</t>
        </is>
      </c>
      <c r="B13" s="7" t="inlineStr">
        <is>
          <t>1EC</t>
        </is>
      </c>
      <c r="C13" s="6" t="n">
        <v>2.2</v>
      </c>
      <c r="D13" s="8" t="n">
        <v>10.60096</v>
      </c>
      <c r="E13" s="10" t="n">
        <v>5.13086464</v>
      </c>
      <c r="F13" s="10" t="n">
        <v>3.664903314285715</v>
      </c>
      <c r="G13" s="10" t="n">
        <v>13.4102144</v>
      </c>
      <c r="H13" s="13" t="n">
        <v>550</v>
      </c>
      <c r="I13" s="13" t="n">
        <v>151.825</v>
      </c>
      <c r="J13" s="14" t="n">
        <v>2</v>
      </c>
      <c r="K13" s="13" t="n">
        <v>151.825</v>
      </c>
      <c r="L13" s="14" t="n">
        <v>2</v>
      </c>
      <c r="M13" s="15" t="inlineStr">
        <is>
          <t>No requiere</t>
        </is>
      </c>
      <c r="N13" s="15" t="inlineStr">
        <is>
          <t>CUMPLE</t>
        </is>
      </c>
    </row>
    <row r="14">
      <c r="A14" s="5" t="inlineStr">
        <is>
          <t>VIGUETA 2-v2</t>
        </is>
      </c>
      <c r="B14" s="7" t="inlineStr">
        <is>
          <t>2EC</t>
        </is>
      </c>
      <c r="C14" s="6" t="n">
        <v>3.25</v>
      </c>
      <c r="D14" s="8" t="n">
        <v>10.60096</v>
      </c>
      <c r="E14" s="10" t="n">
        <v>10.17933090909091</v>
      </c>
      <c r="F14" s="10" t="n">
        <v>6.998290000000001</v>
      </c>
      <c r="G14" s="10" t="n">
        <v>17.22656</v>
      </c>
      <c r="H14" s="13" t="n">
        <v>800</v>
      </c>
      <c r="I14" s="13" t="n">
        <v>151.825</v>
      </c>
      <c r="J14" s="14" t="n">
        <v>2</v>
      </c>
      <c r="K14" s="13" t="n">
        <v>151.825</v>
      </c>
      <c r="L14" s="14" t="n">
        <v>2</v>
      </c>
      <c r="M14" s="15" t="inlineStr">
        <is>
          <t>No requiere</t>
        </is>
      </c>
      <c r="N14" s="15" t="inlineStr">
        <is>
          <t>CUMPLE</t>
        </is>
      </c>
    </row>
    <row r="15">
      <c r="A15" s="5" t="inlineStr">
        <is>
          <t>VIGUETA 2-v3</t>
        </is>
      </c>
      <c r="B15" s="7" t="inlineStr">
        <is>
          <t>2EC</t>
        </is>
      </c>
      <c r="C15" s="6" t="n">
        <v>2.2</v>
      </c>
      <c r="D15" s="8" t="n">
        <v>10.60096</v>
      </c>
      <c r="E15" s="10" t="n">
        <v>4.6644224</v>
      </c>
      <c r="F15" s="10" t="n">
        <v>3.2067904</v>
      </c>
      <c r="G15" s="10" t="n">
        <v>11.661056</v>
      </c>
      <c r="H15" s="13" t="n">
        <v>550</v>
      </c>
      <c r="I15" s="13" t="n">
        <v>151.825</v>
      </c>
      <c r="J15" s="14" t="n">
        <v>2</v>
      </c>
      <c r="K15" s="13" t="n">
        <v>151.825</v>
      </c>
      <c r="L15" s="14" t="n">
        <v>2</v>
      </c>
      <c r="M15" s="15" t="inlineStr">
        <is>
          <t>No requiere</t>
        </is>
      </c>
      <c r="N15" s="15" t="inlineStr">
        <is>
          <t>CUMPLE</t>
        </is>
      </c>
    </row>
    <row r="16">
      <c r="A16" s="5" t="inlineStr">
        <is>
          <t>VIGUETA 2-v4</t>
        </is>
      </c>
      <c r="B16" s="7" t="inlineStr">
        <is>
          <t>2EC</t>
        </is>
      </c>
      <c r="C16" s="6" t="n">
        <v>2.1</v>
      </c>
      <c r="D16" s="8" t="n">
        <v>10.60096</v>
      </c>
      <c r="E16" s="10" t="n">
        <v>4.250021236363636</v>
      </c>
      <c r="F16" s="10" t="n">
        <v>2.9218896</v>
      </c>
      <c r="G16" s="10" t="n">
        <v>11.131008</v>
      </c>
      <c r="H16" s="13" t="n">
        <v>525</v>
      </c>
      <c r="I16" s="13" t="n">
        <v>151.825</v>
      </c>
      <c r="J16" s="14" t="n">
        <v>2</v>
      </c>
      <c r="K16" s="13" t="n">
        <v>151.825</v>
      </c>
      <c r="L16" s="14" t="n">
        <v>2</v>
      </c>
      <c r="M16" s="15" t="inlineStr">
        <is>
          <t>No requiere</t>
        </is>
      </c>
      <c r="N16" s="15" t="inlineStr">
        <is>
          <t>CUMPLE</t>
        </is>
      </c>
    </row>
    <row r="17">
      <c r="A17" s="5" t="inlineStr">
        <is>
          <t>VIGUETA 2-v5</t>
        </is>
      </c>
      <c r="B17" s="7" t="inlineStr">
        <is>
          <t>2EC</t>
        </is>
      </c>
      <c r="C17" s="6" t="n">
        <v>3.6</v>
      </c>
      <c r="D17" s="8" t="n">
        <v>10.60096</v>
      </c>
      <c r="E17" s="10" t="n">
        <v>12.48985832727273</v>
      </c>
      <c r="F17" s="10" t="n">
        <v>8.586777600000001</v>
      </c>
      <c r="G17" s="10" t="n">
        <v>19.081728</v>
      </c>
      <c r="H17" s="13" t="n">
        <v>800</v>
      </c>
      <c r="I17" s="13" t="n">
        <v>151.825</v>
      </c>
      <c r="J17" s="14" t="n">
        <v>2</v>
      </c>
      <c r="K17" s="13" t="n">
        <v>151.825</v>
      </c>
      <c r="L17" s="14" t="n">
        <v>2</v>
      </c>
      <c r="M17" s="15" t="inlineStr">
        <is>
          <t>No requiere</t>
        </is>
      </c>
      <c r="N17" s="15" t="inlineStr">
        <is>
          <t>CUMPLE</t>
        </is>
      </c>
    </row>
    <row r="18">
      <c r="A18" s="5" t="inlineStr">
        <is>
          <t>VIGUETA 2-v6</t>
        </is>
      </c>
      <c r="B18" s="7" t="inlineStr">
        <is>
          <t>2EC</t>
        </is>
      </c>
      <c r="C18" s="6" t="n">
        <v>5.1</v>
      </c>
      <c r="D18" s="8" t="n">
        <v>10.60096</v>
      </c>
      <c r="E18" s="10" t="n">
        <v>25.06645178181818</v>
      </c>
      <c r="F18" s="10" t="n">
        <v>17.2331856</v>
      </c>
      <c r="G18" s="10" t="n">
        <v>27.032448</v>
      </c>
      <c r="H18" s="13" t="n">
        <v>800</v>
      </c>
      <c r="I18" s="13" t="n">
        <v>151.825</v>
      </c>
      <c r="J18" s="14" t="n">
        <v>2</v>
      </c>
      <c r="K18" s="13" t="n">
        <v>228.5023424920636</v>
      </c>
      <c r="L18" s="14" t="n">
        <v>2</v>
      </c>
      <c r="M18" s="15" t="inlineStr">
        <is>
          <t>No requiere</t>
        </is>
      </c>
      <c r="N18" s="15" t="inlineStr">
        <is>
          <t>CUMPLE</t>
        </is>
      </c>
    </row>
    <row r="19">
      <c r="A19" s="5" t="inlineStr">
        <is>
          <t>VIGUETA 2-v7</t>
        </is>
      </c>
      <c r="B19" s="7" t="inlineStr">
        <is>
          <t>2EC</t>
        </is>
      </c>
      <c r="C19" s="6" t="n">
        <v>3.6</v>
      </c>
      <c r="D19" s="8" t="n">
        <v>10.60096</v>
      </c>
      <c r="E19" s="10" t="n">
        <v>12.48985832727273</v>
      </c>
      <c r="F19" s="10" t="n">
        <v>8.586777600000001</v>
      </c>
      <c r="G19" s="10" t="n">
        <v>19.081728</v>
      </c>
      <c r="H19" s="13" t="n">
        <v>800</v>
      </c>
      <c r="I19" s="13" t="n">
        <v>151.825</v>
      </c>
      <c r="J19" s="14" t="n">
        <v>2</v>
      </c>
      <c r="K19" s="13" t="n">
        <v>151.825</v>
      </c>
      <c r="L19" s="14" t="n">
        <v>2</v>
      </c>
      <c r="M19" s="15" t="inlineStr">
        <is>
          <t>No requiere</t>
        </is>
      </c>
      <c r="N19" s="15" t="inlineStr">
        <is>
          <t>CUMPLE</t>
        </is>
      </c>
    </row>
    <row r="20">
      <c r="A20" s="5" t="inlineStr">
        <is>
          <t>VIGUETA 2-v8</t>
        </is>
      </c>
      <c r="B20" s="7" t="inlineStr">
        <is>
          <t>2EC</t>
        </is>
      </c>
      <c r="C20" s="6" t="n">
        <v>2.1</v>
      </c>
      <c r="D20" s="8" t="n">
        <v>10.60096</v>
      </c>
      <c r="E20" s="10" t="n">
        <v>4.250021236363636</v>
      </c>
      <c r="F20" s="10" t="n">
        <v>2.9218896</v>
      </c>
      <c r="G20" s="10" t="n">
        <v>11.131008</v>
      </c>
      <c r="H20" s="13" t="n">
        <v>525</v>
      </c>
      <c r="I20" s="13" t="n">
        <v>151.825</v>
      </c>
      <c r="J20" s="14" t="n">
        <v>2</v>
      </c>
      <c r="K20" s="13" t="n">
        <v>151.825</v>
      </c>
      <c r="L20" s="14" t="n">
        <v>2</v>
      </c>
      <c r="M20" s="15" t="inlineStr">
        <is>
          <t>No requiere</t>
        </is>
      </c>
      <c r="N20" s="15" t="inlineStr">
        <is>
          <t>CUMPLE</t>
        </is>
      </c>
    </row>
    <row r="21">
      <c r="A21" s="5" t="inlineStr">
        <is>
          <t>VIGUETA 2-v9</t>
        </is>
      </c>
      <c r="B21" s="7" t="inlineStr">
        <is>
          <t>2EC</t>
        </is>
      </c>
      <c r="C21" s="6" t="n">
        <v>2.2</v>
      </c>
      <c r="D21" s="8" t="n">
        <v>10.60096</v>
      </c>
      <c r="E21" s="10" t="n">
        <v>4.6644224</v>
      </c>
      <c r="F21" s="10" t="n">
        <v>3.2067904</v>
      </c>
      <c r="G21" s="10" t="n">
        <v>11.661056</v>
      </c>
      <c r="H21" s="13" t="n">
        <v>550</v>
      </c>
      <c r="I21" s="13" t="n">
        <v>151.825</v>
      </c>
      <c r="J21" s="14" t="n">
        <v>2</v>
      </c>
      <c r="K21" s="13" t="n">
        <v>151.825</v>
      </c>
      <c r="L21" s="14" t="n">
        <v>2</v>
      </c>
      <c r="M21" s="15" t="inlineStr">
        <is>
          <t>No requiere</t>
        </is>
      </c>
      <c r="N21" s="15" t="inlineStr">
        <is>
          <t>CUMPLE</t>
        </is>
      </c>
    </row>
    <row r="22">
      <c r="A22" s="5" t="inlineStr">
        <is>
          <t>VIGUETA 2-v10</t>
        </is>
      </c>
      <c r="B22" s="7" t="inlineStr">
        <is>
          <t>2EC</t>
        </is>
      </c>
      <c r="C22" s="6" t="n">
        <v>3.25</v>
      </c>
      <c r="D22" s="8" t="n">
        <v>10.60096</v>
      </c>
      <c r="E22" s="10" t="n">
        <v>10.17933090909091</v>
      </c>
      <c r="F22" s="10" t="n">
        <v>6.998290000000001</v>
      </c>
      <c r="G22" s="10" t="n">
        <v>17.22656</v>
      </c>
      <c r="H22" s="13" t="n">
        <v>800</v>
      </c>
      <c r="I22" s="13" t="n">
        <v>151.825</v>
      </c>
      <c r="J22" s="14" t="n">
        <v>2</v>
      </c>
      <c r="K22" s="13" t="n">
        <v>151.825</v>
      </c>
      <c r="L22" s="14" t="n">
        <v>2</v>
      </c>
      <c r="M22" s="15" t="inlineStr">
        <is>
          <t>No requiere</t>
        </is>
      </c>
      <c r="N22" s="15" t="inlineStr">
        <is>
          <t>CUMPLE</t>
        </is>
      </c>
    </row>
    <row r="23">
      <c r="A23" s="5" t="inlineStr">
        <is>
          <t>VIGUETA 2-v11</t>
        </is>
      </c>
      <c r="B23" s="7" t="inlineStr">
        <is>
          <t>1EC</t>
        </is>
      </c>
      <c r="C23" s="6" t="n">
        <v>2.2</v>
      </c>
      <c r="D23" s="8" t="n">
        <v>10.60096</v>
      </c>
      <c r="E23" s="10" t="n">
        <v>5.13086464</v>
      </c>
      <c r="F23" s="10" t="n">
        <v>3.664903314285715</v>
      </c>
      <c r="G23" s="10" t="n">
        <v>13.4102144</v>
      </c>
      <c r="H23" s="13" t="n">
        <v>550</v>
      </c>
      <c r="I23" s="13" t="n">
        <v>151.825</v>
      </c>
      <c r="J23" s="14" t="n">
        <v>2</v>
      </c>
      <c r="K23" s="13" t="n">
        <v>151.825</v>
      </c>
      <c r="L23" s="14" t="n">
        <v>2</v>
      </c>
      <c r="M23" s="15" t="inlineStr">
        <is>
          <t>No requiere</t>
        </is>
      </c>
      <c r="N23" s="15" t="inlineStr">
        <is>
          <t>CUMPLE</t>
        </is>
      </c>
    </row>
    <row r="24">
      <c r="A24" s="5" t="inlineStr">
        <is>
          <t>VIGUETA 3-v1</t>
        </is>
      </c>
      <c r="B24" s="7" t="inlineStr">
        <is>
          <t>V</t>
        </is>
      </c>
      <c r="C24" s="6" t="n">
        <v>1.5</v>
      </c>
      <c r="D24" s="8" t="n">
        <v>10.60096</v>
      </c>
      <c r="E24" s="10" t="n">
        <v>11.92608</v>
      </c>
      <c r="F24" s="10" t="n">
        <v>0</v>
      </c>
      <c r="G24" s="10" t="n">
        <v>15.90144</v>
      </c>
      <c r="H24" s="13" t="n">
        <v>375</v>
      </c>
      <c r="I24" s="13" t="n">
        <v>151.825</v>
      </c>
      <c r="J24" s="14" t="n">
        <v>2</v>
      </c>
      <c r="K24" s="13" t="n">
        <v>151.825</v>
      </c>
      <c r="L24" s="14" t="n">
        <v>2</v>
      </c>
      <c r="M24" s="15" t="inlineStr">
        <is>
          <t>No requiere</t>
        </is>
      </c>
      <c r="N24" s="15" t="inlineStr">
        <is>
          <t>CUMPLE</t>
        </is>
      </c>
    </row>
    <row r="25">
      <c r="A25" s="5" t="inlineStr">
        <is>
          <t>VIGUETA 3-v2</t>
        </is>
      </c>
      <c r="B25" s="7" t="inlineStr">
        <is>
          <t>2EC</t>
        </is>
      </c>
      <c r="C25" s="6" t="n">
        <v>2.2</v>
      </c>
      <c r="D25" s="8" t="n">
        <v>10.60096</v>
      </c>
      <c r="E25" s="10" t="n">
        <v>4.6644224</v>
      </c>
      <c r="F25" s="10" t="n">
        <v>3.2067904</v>
      </c>
      <c r="G25" s="10" t="n">
        <v>11.661056</v>
      </c>
      <c r="H25" s="13" t="n">
        <v>550</v>
      </c>
      <c r="I25" s="13" t="n">
        <v>151.825</v>
      </c>
      <c r="J25" s="14" t="n">
        <v>2</v>
      </c>
      <c r="K25" s="13" t="n">
        <v>151.825</v>
      </c>
      <c r="L25" s="14" t="n">
        <v>2</v>
      </c>
      <c r="M25" s="15" t="inlineStr">
        <is>
          <t>No requiere</t>
        </is>
      </c>
      <c r="N25" s="15" t="inlineStr">
        <is>
          <t>CUMPLE</t>
        </is>
      </c>
    </row>
    <row r="26">
      <c r="A26" s="5" t="inlineStr">
        <is>
          <t>VIGUETA 3-v3</t>
        </is>
      </c>
      <c r="B26" s="7" t="inlineStr">
        <is>
          <t>2EC</t>
        </is>
      </c>
      <c r="C26" s="6" t="n">
        <v>3.25</v>
      </c>
      <c r="D26" s="8" t="n">
        <v>10.60096</v>
      </c>
      <c r="E26" s="10" t="n">
        <v>10.17933090909091</v>
      </c>
      <c r="F26" s="10" t="n">
        <v>6.998290000000001</v>
      </c>
      <c r="G26" s="10" t="n">
        <v>17.22656</v>
      </c>
      <c r="H26" s="13" t="n">
        <v>800</v>
      </c>
      <c r="I26" s="13" t="n">
        <v>151.825</v>
      </c>
      <c r="J26" s="14" t="n">
        <v>2</v>
      </c>
      <c r="K26" s="13" t="n">
        <v>151.825</v>
      </c>
      <c r="L26" s="14" t="n">
        <v>2</v>
      </c>
      <c r="M26" s="15" t="inlineStr">
        <is>
          <t>No requiere</t>
        </is>
      </c>
      <c r="N26" s="15" t="inlineStr">
        <is>
          <t>CUMPLE</t>
        </is>
      </c>
    </row>
    <row r="27">
      <c r="A27" s="5" t="inlineStr">
        <is>
          <t>VIGUETA 3-v4</t>
        </is>
      </c>
      <c r="B27" s="7" t="inlineStr">
        <is>
          <t>2EC</t>
        </is>
      </c>
      <c r="C27" s="6" t="n">
        <v>2.2</v>
      </c>
      <c r="D27" s="8" t="n">
        <v>10.60096</v>
      </c>
      <c r="E27" s="10" t="n">
        <v>4.6644224</v>
      </c>
      <c r="F27" s="10" t="n">
        <v>3.2067904</v>
      </c>
      <c r="G27" s="10" t="n">
        <v>11.661056</v>
      </c>
      <c r="H27" s="13" t="n">
        <v>550</v>
      </c>
      <c r="I27" s="13" t="n">
        <v>151.825</v>
      </c>
      <c r="J27" s="14" t="n">
        <v>2</v>
      </c>
      <c r="K27" s="13" t="n">
        <v>151.825</v>
      </c>
      <c r="L27" s="14" t="n">
        <v>2</v>
      </c>
      <c r="M27" s="15" t="inlineStr">
        <is>
          <t>No requiere</t>
        </is>
      </c>
      <c r="N27" s="15" t="inlineStr">
        <is>
          <t>CUMPLE</t>
        </is>
      </c>
    </row>
    <row r="28">
      <c r="A28" s="5" t="inlineStr">
        <is>
          <t>VIGUETA 3-v5</t>
        </is>
      </c>
      <c r="B28" s="7" t="inlineStr">
        <is>
          <t>2EC</t>
        </is>
      </c>
      <c r="C28" s="6" t="n">
        <v>2.1</v>
      </c>
      <c r="D28" s="8" t="n">
        <v>10.60096</v>
      </c>
      <c r="E28" s="10" t="n">
        <v>4.250021236363636</v>
      </c>
      <c r="F28" s="10" t="n">
        <v>2.9218896</v>
      </c>
      <c r="G28" s="10" t="n">
        <v>11.131008</v>
      </c>
      <c r="H28" s="13" t="n">
        <v>525</v>
      </c>
      <c r="I28" s="13" t="n">
        <v>151.825</v>
      </c>
      <c r="J28" s="14" t="n">
        <v>2</v>
      </c>
      <c r="K28" s="13" t="n">
        <v>151.825</v>
      </c>
      <c r="L28" s="14" t="n">
        <v>2</v>
      </c>
      <c r="M28" s="15" t="inlineStr">
        <is>
          <t>No requiere</t>
        </is>
      </c>
      <c r="N28" s="15" t="inlineStr">
        <is>
          <t>CUMPLE</t>
        </is>
      </c>
    </row>
    <row r="29">
      <c r="A29" s="5" t="inlineStr">
        <is>
          <t>VIGUETA 3-v6</t>
        </is>
      </c>
      <c r="B29" s="7" t="inlineStr">
        <is>
          <t>2EC</t>
        </is>
      </c>
      <c r="C29" s="6" t="n">
        <v>3.6</v>
      </c>
      <c r="D29" s="8" t="n">
        <v>10.60096</v>
      </c>
      <c r="E29" s="10" t="n">
        <v>12.48985832727273</v>
      </c>
      <c r="F29" s="10" t="n">
        <v>8.586777600000001</v>
      </c>
      <c r="G29" s="10" t="n">
        <v>19.081728</v>
      </c>
      <c r="H29" s="13" t="n">
        <v>800</v>
      </c>
      <c r="I29" s="13" t="n">
        <v>151.825</v>
      </c>
      <c r="J29" s="14" t="n">
        <v>2</v>
      </c>
      <c r="K29" s="13" t="n">
        <v>151.825</v>
      </c>
      <c r="L29" s="14" t="n">
        <v>2</v>
      </c>
      <c r="M29" s="15" t="inlineStr">
        <is>
          <t>No requiere</t>
        </is>
      </c>
      <c r="N29" s="15" t="inlineStr">
        <is>
          <t>CUMPLE</t>
        </is>
      </c>
    </row>
    <row r="30">
      <c r="A30" s="5" t="inlineStr">
        <is>
          <t>VIGUETA 3-v7</t>
        </is>
      </c>
      <c r="B30" s="7" t="inlineStr">
        <is>
          <t>2EC</t>
        </is>
      </c>
      <c r="C30" s="6" t="n">
        <v>5.1</v>
      </c>
      <c r="D30" s="8" t="n">
        <v>10.60096</v>
      </c>
      <c r="E30" s="10" t="n">
        <v>25.06645178181818</v>
      </c>
      <c r="F30" s="10" t="n">
        <v>17.2331856</v>
      </c>
      <c r="G30" s="10" t="n">
        <v>27.032448</v>
      </c>
      <c r="H30" s="13" t="n">
        <v>800</v>
      </c>
      <c r="I30" s="13" t="n">
        <v>151.825</v>
      </c>
      <c r="J30" s="14" t="n">
        <v>2</v>
      </c>
      <c r="K30" s="13" t="n">
        <v>228.5023424920636</v>
      </c>
      <c r="L30" s="14" t="n">
        <v>2</v>
      </c>
      <c r="M30" s="15" t="inlineStr">
        <is>
          <t>No requiere</t>
        </is>
      </c>
      <c r="N30" s="15" t="inlineStr">
        <is>
          <t>CUMPLE</t>
        </is>
      </c>
    </row>
    <row r="31">
      <c r="A31" s="5" t="inlineStr">
        <is>
          <t>VIGUETA 3-v8</t>
        </is>
      </c>
      <c r="B31" s="7" t="inlineStr">
        <is>
          <t>2EC</t>
        </is>
      </c>
      <c r="C31" s="6" t="n">
        <v>3.6</v>
      </c>
      <c r="D31" s="8" t="n">
        <v>10.60096</v>
      </c>
      <c r="E31" s="10" t="n">
        <v>12.48985832727273</v>
      </c>
      <c r="F31" s="10" t="n">
        <v>8.586777600000001</v>
      </c>
      <c r="G31" s="10" t="n">
        <v>19.081728</v>
      </c>
      <c r="H31" s="13" t="n">
        <v>800</v>
      </c>
      <c r="I31" s="13" t="n">
        <v>151.825</v>
      </c>
      <c r="J31" s="14" t="n">
        <v>2</v>
      </c>
      <c r="K31" s="13" t="n">
        <v>151.825</v>
      </c>
      <c r="L31" s="14" t="n">
        <v>2</v>
      </c>
      <c r="M31" s="15" t="inlineStr">
        <is>
          <t>No requiere</t>
        </is>
      </c>
      <c r="N31" s="15" t="inlineStr">
        <is>
          <t>CUMPLE</t>
        </is>
      </c>
    </row>
    <row r="32">
      <c r="A32" s="5" t="inlineStr">
        <is>
          <t>VIGUETA 3-v9</t>
        </is>
      </c>
      <c r="B32" s="7" t="inlineStr">
        <is>
          <t>2EC</t>
        </is>
      </c>
      <c r="C32" s="6" t="n">
        <v>2.1</v>
      </c>
      <c r="D32" s="8" t="n">
        <v>10.60096</v>
      </c>
      <c r="E32" s="10" t="n">
        <v>4.250021236363636</v>
      </c>
      <c r="F32" s="10" t="n">
        <v>2.9218896</v>
      </c>
      <c r="G32" s="10" t="n">
        <v>11.131008</v>
      </c>
      <c r="H32" s="13" t="n">
        <v>525</v>
      </c>
      <c r="I32" s="13" t="n">
        <v>151.825</v>
      </c>
      <c r="J32" s="14" t="n">
        <v>2</v>
      </c>
      <c r="K32" s="13" t="n">
        <v>151.825</v>
      </c>
      <c r="L32" s="14" t="n">
        <v>2</v>
      </c>
      <c r="M32" s="15" t="inlineStr">
        <is>
          <t>No requiere</t>
        </is>
      </c>
      <c r="N32" s="15" t="inlineStr">
        <is>
          <t>CUMPLE</t>
        </is>
      </c>
    </row>
    <row r="33">
      <c r="A33" s="5" t="inlineStr">
        <is>
          <t>VIGUETA 3-v10</t>
        </is>
      </c>
      <c r="B33" s="7" t="inlineStr">
        <is>
          <t>2EC</t>
        </is>
      </c>
      <c r="C33" s="6" t="n">
        <v>2.2</v>
      </c>
      <c r="D33" s="8" t="n">
        <v>10.60096</v>
      </c>
      <c r="E33" s="10" t="n">
        <v>4.6644224</v>
      </c>
      <c r="F33" s="10" t="n">
        <v>3.2067904</v>
      </c>
      <c r="G33" s="10" t="n">
        <v>11.661056</v>
      </c>
      <c r="H33" s="13" t="n">
        <v>550</v>
      </c>
      <c r="I33" s="13" t="n">
        <v>151.825</v>
      </c>
      <c r="J33" s="14" t="n">
        <v>2</v>
      </c>
      <c r="K33" s="13" t="n">
        <v>151.825</v>
      </c>
      <c r="L33" s="14" t="n">
        <v>2</v>
      </c>
      <c r="M33" s="15" t="inlineStr">
        <is>
          <t>No requiere</t>
        </is>
      </c>
      <c r="N33" s="15" t="inlineStr">
        <is>
          <t>CUMPLE</t>
        </is>
      </c>
    </row>
    <row r="34">
      <c r="A34" s="5" t="inlineStr">
        <is>
          <t>VIGUETA 3-v11</t>
        </is>
      </c>
      <c r="B34" s="7" t="inlineStr">
        <is>
          <t>2EC</t>
        </is>
      </c>
      <c r="C34" s="6" t="n">
        <v>3.25</v>
      </c>
      <c r="D34" s="8" t="n">
        <v>10.60096</v>
      </c>
      <c r="E34" s="10" t="n">
        <v>10.17933090909091</v>
      </c>
      <c r="F34" s="10" t="n">
        <v>6.998290000000001</v>
      </c>
      <c r="G34" s="10" t="n">
        <v>17.22656</v>
      </c>
      <c r="H34" s="13" t="n">
        <v>800</v>
      </c>
      <c r="I34" s="13" t="n">
        <v>151.825</v>
      </c>
      <c r="J34" s="14" t="n">
        <v>2</v>
      </c>
      <c r="K34" s="13" t="n">
        <v>151.825</v>
      </c>
      <c r="L34" s="14" t="n">
        <v>2</v>
      </c>
      <c r="M34" s="15" t="inlineStr">
        <is>
          <t>No requiere</t>
        </is>
      </c>
      <c r="N34" s="15" t="inlineStr">
        <is>
          <t>CUMPLE</t>
        </is>
      </c>
    </row>
    <row r="35">
      <c r="A35" s="5" t="inlineStr">
        <is>
          <t>VIGUETA 3-v12</t>
        </is>
      </c>
      <c r="B35" s="7" t="inlineStr">
        <is>
          <t>2EC</t>
        </is>
      </c>
      <c r="C35" s="6" t="n">
        <v>2.2</v>
      </c>
      <c r="D35" s="8" t="n">
        <v>10.60096</v>
      </c>
      <c r="E35" s="10" t="n">
        <v>4.6644224</v>
      </c>
      <c r="F35" s="10" t="n">
        <v>3.2067904</v>
      </c>
      <c r="G35" s="10" t="n">
        <v>11.661056</v>
      </c>
      <c r="H35" s="13" t="n">
        <v>550</v>
      </c>
      <c r="I35" s="13" t="n">
        <v>151.825</v>
      </c>
      <c r="J35" s="14" t="n">
        <v>2</v>
      </c>
      <c r="K35" s="13" t="n">
        <v>151.825</v>
      </c>
      <c r="L35" s="14" t="n">
        <v>2</v>
      </c>
      <c r="M35" s="15" t="inlineStr">
        <is>
          <t>No requiere</t>
        </is>
      </c>
      <c r="N35" s="15" t="inlineStr">
        <is>
          <t>CUMPLE</t>
        </is>
      </c>
    </row>
    <row r="36">
      <c r="A36" s="5" t="inlineStr">
        <is>
          <t>VIGUETA 3-v13</t>
        </is>
      </c>
      <c r="B36" s="7" t="inlineStr">
        <is>
          <t>V</t>
        </is>
      </c>
      <c r="C36" s="6" t="n">
        <v>1.5</v>
      </c>
      <c r="D36" s="8" t="n">
        <v>10.60096</v>
      </c>
      <c r="E36" s="10" t="n">
        <v>11.92608</v>
      </c>
      <c r="F36" s="10" t="n">
        <v>0</v>
      </c>
      <c r="G36" s="10" t="n">
        <v>15.90144</v>
      </c>
      <c r="H36" s="13" t="n">
        <v>375</v>
      </c>
      <c r="I36" s="13" t="n">
        <v>151.825</v>
      </c>
      <c r="J36" s="14" t="n">
        <v>2</v>
      </c>
      <c r="K36" s="13" t="n">
        <v>151.825</v>
      </c>
      <c r="L36" s="14" t="n">
        <v>2</v>
      </c>
      <c r="M36" s="15" t="inlineStr">
        <is>
          <t>No requiere</t>
        </is>
      </c>
      <c r="N36" s="15" t="inlineStr">
        <is>
          <t>CUMPLE</t>
        </is>
      </c>
    </row>
    <row r="37">
      <c r="A37" s="5" t="inlineStr">
        <is>
          <t>VIGUETA 4-v1</t>
        </is>
      </c>
      <c r="B37" s="7" t="inlineStr">
        <is>
          <t>1EC</t>
        </is>
      </c>
      <c r="C37" s="6" t="n">
        <v>3.25</v>
      </c>
      <c r="D37" s="8" t="n">
        <v>10.60096</v>
      </c>
      <c r="E37" s="10" t="n">
        <v>11.197264</v>
      </c>
      <c r="F37" s="10" t="n">
        <v>7.998045714285715</v>
      </c>
      <c r="G37" s="10" t="n">
        <v>19.810544</v>
      </c>
      <c r="H37" s="13" t="n">
        <v>800</v>
      </c>
      <c r="I37" s="13" t="n">
        <v>151.825</v>
      </c>
      <c r="J37" s="14" t="n">
        <v>2</v>
      </c>
      <c r="K37" s="13" t="n">
        <v>151.825</v>
      </c>
      <c r="L37" s="14" t="n">
        <v>2</v>
      </c>
      <c r="M37" s="15" t="inlineStr">
        <is>
          <t>No requiere</t>
        </is>
      </c>
      <c r="N37" s="15" t="inlineStr">
        <is>
          <t>CUMPLE</t>
        </is>
      </c>
    </row>
    <row r="38">
      <c r="A38" s="5" t="inlineStr">
        <is>
          <t>VIGUETA 4-v2</t>
        </is>
      </c>
      <c r="B38" s="7" t="inlineStr">
        <is>
          <t>2EC</t>
        </is>
      </c>
      <c r="C38" s="6" t="n">
        <v>2.2</v>
      </c>
      <c r="D38" s="8" t="n">
        <v>10.60096</v>
      </c>
      <c r="E38" s="10" t="n">
        <v>4.6644224</v>
      </c>
      <c r="F38" s="10" t="n">
        <v>3.2067904</v>
      </c>
      <c r="G38" s="10" t="n">
        <v>11.661056</v>
      </c>
      <c r="H38" s="13" t="n">
        <v>550</v>
      </c>
      <c r="I38" s="13" t="n">
        <v>151.825</v>
      </c>
      <c r="J38" s="14" t="n">
        <v>2</v>
      </c>
      <c r="K38" s="13" t="n">
        <v>151.825</v>
      </c>
      <c r="L38" s="14" t="n">
        <v>2</v>
      </c>
      <c r="M38" s="15" t="inlineStr">
        <is>
          <t>No requiere</t>
        </is>
      </c>
      <c r="N38" s="15" t="inlineStr">
        <is>
          <t>CUMPLE</t>
        </is>
      </c>
    </row>
    <row r="39">
      <c r="A39" s="5" t="inlineStr">
        <is>
          <t>VIGUETA 4-v3</t>
        </is>
      </c>
      <c r="B39" s="7" t="inlineStr">
        <is>
          <t>2EC</t>
        </is>
      </c>
      <c r="C39" s="6" t="n">
        <v>2.1</v>
      </c>
      <c r="D39" s="8" t="n">
        <v>10.60096</v>
      </c>
      <c r="E39" s="10" t="n">
        <v>4.250021236363636</v>
      </c>
      <c r="F39" s="10" t="n">
        <v>2.9218896</v>
      </c>
      <c r="G39" s="10" t="n">
        <v>11.131008</v>
      </c>
      <c r="H39" s="13" t="n">
        <v>525</v>
      </c>
      <c r="I39" s="13" t="n">
        <v>151.825</v>
      </c>
      <c r="J39" s="14" t="n">
        <v>2</v>
      </c>
      <c r="K39" s="13" t="n">
        <v>151.825</v>
      </c>
      <c r="L39" s="14" t="n">
        <v>2</v>
      </c>
      <c r="M39" s="15" t="inlineStr">
        <is>
          <t>No requiere</t>
        </is>
      </c>
      <c r="N39" s="15" t="inlineStr">
        <is>
          <t>CUMPLE</t>
        </is>
      </c>
    </row>
    <row r="40">
      <c r="A40" s="5" t="inlineStr">
        <is>
          <t>VIGUETA 4-v4</t>
        </is>
      </c>
      <c r="B40" s="7" t="inlineStr">
        <is>
          <t>1EC</t>
        </is>
      </c>
      <c r="C40" s="6" t="n">
        <v>3.6</v>
      </c>
      <c r="D40" s="8" t="n">
        <v>10.60096</v>
      </c>
      <c r="E40" s="10" t="n">
        <v>13.73884416</v>
      </c>
      <c r="F40" s="10" t="n">
        <v>9.813460114285716</v>
      </c>
      <c r="G40" s="10" t="n">
        <v>21.9439872</v>
      </c>
      <c r="H40" s="13" t="n">
        <v>800</v>
      </c>
      <c r="I40" s="13" t="n">
        <v>151.825</v>
      </c>
      <c r="J40" s="14" t="n">
        <v>2</v>
      </c>
      <c r="K40" s="13" t="n">
        <v>151.825</v>
      </c>
      <c r="L40" s="14" t="n">
        <v>2</v>
      </c>
      <c r="M40" s="15" t="inlineStr">
        <is>
          <t>No requiere</t>
        </is>
      </c>
      <c r="N40" s="15" t="inlineStr">
        <is>
          <t>CUMPLE</t>
        </is>
      </c>
    </row>
    <row r="41">
      <c r="A41" s="5" t="inlineStr">
        <is>
          <t>VIGUETA 5-v1</t>
        </is>
      </c>
      <c r="B41" s="7" t="inlineStr">
        <is>
          <t>1EC</t>
        </is>
      </c>
      <c r="C41" s="6" t="n">
        <v>2.2</v>
      </c>
      <c r="D41" s="8" t="n">
        <v>10.60096</v>
      </c>
      <c r="E41" s="10" t="n">
        <v>5.13086464</v>
      </c>
      <c r="F41" s="10" t="n">
        <v>3.664903314285715</v>
      </c>
      <c r="G41" s="10" t="n">
        <v>13.4102144</v>
      </c>
      <c r="H41" s="13" t="n">
        <v>550</v>
      </c>
      <c r="I41" s="13" t="n">
        <v>151.825</v>
      </c>
      <c r="J41" s="14" t="n">
        <v>2</v>
      </c>
      <c r="K41" s="13" t="n">
        <v>151.825</v>
      </c>
      <c r="L41" s="14" t="n">
        <v>2</v>
      </c>
      <c r="M41" s="15" t="inlineStr">
        <is>
          <t>No requiere</t>
        </is>
      </c>
      <c r="N41" s="15" t="inlineStr">
        <is>
          <t>CUMPLE</t>
        </is>
      </c>
    </row>
    <row r="42">
      <c r="A42" s="5" t="inlineStr">
        <is>
          <t>VIGUETA 5-v2</t>
        </is>
      </c>
      <c r="B42" s="7" t="inlineStr">
        <is>
          <t>2EC</t>
        </is>
      </c>
      <c r="C42" s="6" t="n">
        <v>3.25</v>
      </c>
      <c r="D42" s="8" t="n">
        <v>10.60096</v>
      </c>
      <c r="E42" s="10" t="n">
        <v>10.17933090909091</v>
      </c>
      <c r="F42" s="10" t="n">
        <v>6.998290000000001</v>
      </c>
      <c r="G42" s="10" t="n">
        <v>17.22656</v>
      </c>
      <c r="H42" s="13" t="n">
        <v>800</v>
      </c>
      <c r="I42" s="13" t="n">
        <v>151.825</v>
      </c>
      <c r="J42" s="14" t="n">
        <v>2</v>
      </c>
      <c r="K42" s="13" t="n">
        <v>151.825</v>
      </c>
      <c r="L42" s="14" t="n">
        <v>2</v>
      </c>
      <c r="M42" s="15" t="inlineStr">
        <is>
          <t>No requiere</t>
        </is>
      </c>
      <c r="N42" s="15" t="inlineStr">
        <is>
          <t>CUMPLE</t>
        </is>
      </c>
    </row>
    <row r="43">
      <c r="A43" s="5" t="inlineStr">
        <is>
          <t>VIGUETA 5-v3</t>
        </is>
      </c>
      <c r="B43" s="7" t="inlineStr">
        <is>
          <t>2EC</t>
        </is>
      </c>
      <c r="C43" s="6" t="n">
        <v>2.2</v>
      </c>
      <c r="D43" s="8" t="n">
        <v>10.60096</v>
      </c>
      <c r="E43" s="10" t="n">
        <v>4.6644224</v>
      </c>
      <c r="F43" s="10" t="n">
        <v>3.2067904</v>
      </c>
      <c r="G43" s="10" t="n">
        <v>11.661056</v>
      </c>
      <c r="H43" s="13" t="n">
        <v>550</v>
      </c>
      <c r="I43" s="13" t="n">
        <v>151.825</v>
      </c>
      <c r="J43" s="14" t="n">
        <v>2</v>
      </c>
      <c r="K43" s="13" t="n">
        <v>151.825</v>
      </c>
      <c r="L43" s="14" t="n">
        <v>2</v>
      </c>
      <c r="M43" s="15" t="inlineStr">
        <is>
          <t>No requiere</t>
        </is>
      </c>
      <c r="N43" s="15" t="inlineStr">
        <is>
          <t>CUMPLE</t>
        </is>
      </c>
    </row>
    <row r="44">
      <c r="A44" s="5" t="inlineStr">
        <is>
          <t>VIGUETA 5-v4</t>
        </is>
      </c>
      <c r="B44" s="7" t="inlineStr">
        <is>
          <t>2EC</t>
        </is>
      </c>
      <c r="C44" s="6" t="n">
        <v>2.1</v>
      </c>
      <c r="D44" s="8" t="n">
        <v>10.60096</v>
      </c>
      <c r="E44" s="10" t="n">
        <v>4.250021236363636</v>
      </c>
      <c r="F44" s="10" t="n">
        <v>2.9218896</v>
      </c>
      <c r="G44" s="10" t="n">
        <v>11.131008</v>
      </c>
      <c r="H44" s="13" t="n">
        <v>525</v>
      </c>
      <c r="I44" s="13" t="n">
        <v>151.825</v>
      </c>
      <c r="J44" s="14" t="n">
        <v>2</v>
      </c>
      <c r="K44" s="13" t="n">
        <v>151.825</v>
      </c>
      <c r="L44" s="14" t="n">
        <v>2</v>
      </c>
      <c r="M44" s="15" t="inlineStr">
        <is>
          <t>No requiere</t>
        </is>
      </c>
      <c r="N44" s="15" t="inlineStr">
        <is>
          <t>CUMPLE</t>
        </is>
      </c>
    </row>
    <row r="45">
      <c r="A45" s="5" t="inlineStr">
        <is>
          <t>VIGUETA 5-v5</t>
        </is>
      </c>
      <c r="B45" s="7" t="inlineStr">
        <is>
          <t>2EC</t>
        </is>
      </c>
      <c r="C45" s="6" t="n">
        <v>3.8</v>
      </c>
      <c r="D45" s="8" t="n">
        <v>10.60096</v>
      </c>
      <c r="E45" s="10" t="n">
        <v>13.91616930909091</v>
      </c>
      <c r="F45" s="10" t="n">
        <v>9.567366400000001</v>
      </c>
      <c r="G45" s="10" t="n">
        <v>20.141824</v>
      </c>
      <c r="H45" s="13" t="n">
        <v>800</v>
      </c>
      <c r="I45" s="13" t="n">
        <v>151.825</v>
      </c>
      <c r="J45" s="14" t="n">
        <v>2</v>
      </c>
      <c r="K45" s="13" t="n">
        <v>151.825</v>
      </c>
      <c r="L45" s="14" t="n">
        <v>2</v>
      </c>
      <c r="M45" s="15" t="inlineStr">
        <is>
          <t>No requiere</t>
        </is>
      </c>
      <c r="N45" s="15" t="inlineStr">
        <is>
          <t>CUMPLE</t>
        </is>
      </c>
    </row>
    <row r="46">
      <c r="A46" s="5" t="inlineStr">
        <is>
          <t>VIGUETA 5-v6</t>
        </is>
      </c>
      <c r="B46" s="7" t="inlineStr">
        <is>
          <t>2EC</t>
        </is>
      </c>
      <c r="C46" s="6" t="n">
        <v>2.4</v>
      </c>
      <c r="D46" s="8" t="n">
        <v>10.60096</v>
      </c>
      <c r="E46" s="10" t="n">
        <v>5.551048145454545</v>
      </c>
      <c r="F46" s="10" t="n">
        <v>3.8163456</v>
      </c>
      <c r="G46" s="10" t="n">
        <v>12.721152</v>
      </c>
      <c r="H46" s="13" t="n">
        <v>600</v>
      </c>
      <c r="I46" s="13" t="n">
        <v>151.825</v>
      </c>
      <c r="J46" s="14" t="n">
        <v>2</v>
      </c>
      <c r="K46" s="13" t="n">
        <v>151.825</v>
      </c>
      <c r="L46" s="14" t="n">
        <v>2</v>
      </c>
      <c r="M46" s="15" t="inlineStr">
        <is>
          <t>No requiere</t>
        </is>
      </c>
      <c r="N46" s="15" t="inlineStr">
        <is>
          <t>CUMPLE</t>
        </is>
      </c>
    </row>
    <row r="47">
      <c r="A47" s="5" t="inlineStr">
        <is>
          <t>VIGUETA 5-v7</t>
        </is>
      </c>
      <c r="B47" s="7" t="inlineStr">
        <is>
          <t>2EC</t>
        </is>
      </c>
      <c r="C47" s="6" t="n">
        <v>2.3</v>
      </c>
      <c r="D47" s="8" t="n">
        <v>10.60096</v>
      </c>
      <c r="E47" s="10" t="n">
        <v>5.098098036363636</v>
      </c>
      <c r="F47" s="10" t="n">
        <v>3.5049424</v>
      </c>
      <c r="G47" s="10" t="n">
        <v>12.191104</v>
      </c>
      <c r="H47" s="13" t="n">
        <v>575</v>
      </c>
      <c r="I47" s="13" t="n">
        <v>151.825</v>
      </c>
      <c r="J47" s="14" t="n">
        <v>2</v>
      </c>
      <c r="K47" s="13" t="n">
        <v>151.825</v>
      </c>
      <c r="L47" s="14" t="n">
        <v>2</v>
      </c>
      <c r="M47" s="15" t="inlineStr">
        <is>
          <t>No requiere</t>
        </is>
      </c>
      <c r="N47" s="15" t="inlineStr">
        <is>
          <t>CUMPLE</t>
        </is>
      </c>
    </row>
    <row r="48">
      <c r="A48" s="5" t="inlineStr">
        <is>
          <t>VIGUETA 5-v8</t>
        </is>
      </c>
      <c r="B48" s="7" t="inlineStr">
        <is>
          <t>2EC</t>
        </is>
      </c>
      <c r="C48" s="6" t="n">
        <v>3.8</v>
      </c>
      <c r="D48" s="8" t="n">
        <v>10.60096</v>
      </c>
      <c r="E48" s="10" t="n">
        <v>13.91616930909091</v>
      </c>
      <c r="F48" s="10" t="n">
        <v>9.567366400000001</v>
      </c>
      <c r="G48" s="10" t="n">
        <v>20.141824</v>
      </c>
      <c r="H48" s="13" t="n">
        <v>800</v>
      </c>
      <c r="I48" s="13" t="n">
        <v>151.825</v>
      </c>
      <c r="J48" s="14" t="n">
        <v>2</v>
      </c>
      <c r="K48" s="13" t="n">
        <v>151.825</v>
      </c>
      <c r="L48" s="14" t="n">
        <v>2</v>
      </c>
      <c r="M48" s="15" t="inlineStr">
        <is>
          <t>No requiere</t>
        </is>
      </c>
      <c r="N48" s="15" t="inlineStr">
        <is>
          <t>CUMPLE</t>
        </is>
      </c>
    </row>
    <row r="49">
      <c r="A49" s="5" t="inlineStr">
        <is>
          <t>VIGUETA 5-v9</t>
        </is>
      </c>
      <c r="B49" s="7" t="inlineStr">
        <is>
          <t>2EC</t>
        </is>
      </c>
      <c r="C49" s="6" t="n">
        <v>2.1</v>
      </c>
      <c r="D49" s="8" t="n">
        <v>10.60096</v>
      </c>
      <c r="E49" s="10" t="n">
        <v>4.250021236363636</v>
      </c>
      <c r="F49" s="10" t="n">
        <v>2.9218896</v>
      </c>
      <c r="G49" s="10" t="n">
        <v>11.131008</v>
      </c>
      <c r="H49" s="13" t="n">
        <v>525</v>
      </c>
      <c r="I49" s="13" t="n">
        <v>151.825</v>
      </c>
      <c r="J49" s="14" t="n">
        <v>2</v>
      </c>
      <c r="K49" s="13" t="n">
        <v>151.825</v>
      </c>
      <c r="L49" s="14" t="n">
        <v>2</v>
      </c>
      <c r="M49" s="15" t="inlineStr">
        <is>
          <t>No requiere</t>
        </is>
      </c>
      <c r="N49" s="15" t="inlineStr">
        <is>
          <t>CUMPLE</t>
        </is>
      </c>
    </row>
    <row r="50">
      <c r="A50" s="5" t="inlineStr">
        <is>
          <t>VIGUETA 5-v10</t>
        </is>
      </c>
      <c r="B50" s="7" t="inlineStr">
        <is>
          <t>2EC</t>
        </is>
      </c>
      <c r="C50" s="6" t="n">
        <v>2.2</v>
      </c>
      <c r="D50" s="8" t="n">
        <v>10.60096</v>
      </c>
      <c r="E50" s="10" t="n">
        <v>4.6644224</v>
      </c>
      <c r="F50" s="10" t="n">
        <v>3.2067904</v>
      </c>
      <c r="G50" s="10" t="n">
        <v>11.661056</v>
      </c>
      <c r="H50" s="13" t="n">
        <v>550</v>
      </c>
      <c r="I50" s="13" t="n">
        <v>151.825</v>
      </c>
      <c r="J50" s="14" t="n">
        <v>2</v>
      </c>
      <c r="K50" s="13" t="n">
        <v>151.825</v>
      </c>
      <c r="L50" s="14" t="n">
        <v>2</v>
      </c>
      <c r="M50" s="15" t="inlineStr">
        <is>
          <t>No requiere</t>
        </is>
      </c>
      <c r="N50" s="15" t="inlineStr">
        <is>
          <t>CUMPLE</t>
        </is>
      </c>
    </row>
    <row r="51">
      <c r="A51" s="5" t="inlineStr">
        <is>
          <t>VIGUETA 5-v11</t>
        </is>
      </c>
      <c r="B51" s="7" t="inlineStr">
        <is>
          <t>2EC</t>
        </is>
      </c>
      <c r="C51" s="6" t="n">
        <v>3.25</v>
      </c>
      <c r="D51" s="8" t="n">
        <v>10.60096</v>
      </c>
      <c r="E51" s="10" t="n">
        <v>10.17933090909091</v>
      </c>
      <c r="F51" s="10" t="n">
        <v>6.998290000000001</v>
      </c>
      <c r="G51" s="10" t="n">
        <v>17.22656</v>
      </c>
      <c r="H51" s="13" t="n">
        <v>800</v>
      </c>
      <c r="I51" s="13" t="n">
        <v>151.825</v>
      </c>
      <c r="J51" s="14" t="n">
        <v>2</v>
      </c>
      <c r="K51" s="13" t="n">
        <v>151.825</v>
      </c>
      <c r="L51" s="14" t="n">
        <v>2</v>
      </c>
      <c r="M51" s="15" t="inlineStr">
        <is>
          <t>No requiere</t>
        </is>
      </c>
      <c r="N51" s="15" t="inlineStr">
        <is>
          <t>CUMPLE</t>
        </is>
      </c>
    </row>
    <row r="52">
      <c r="A52" s="5" t="inlineStr">
        <is>
          <t>VIGUETA 5-v12</t>
        </is>
      </c>
      <c r="B52" s="7" t="inlineStr">
        <is>
          <t>1EC</t>
        </is>
      </c>
      <c r="C52" s="6" t="n">
        <v>2.2</v>
      </c>
      <c r="D52" s="8" t="n">
        <v>10.60096</v>
      </c>
      <c r="E52" s="10" t="n">
        <v>5.13086464</v>
      </c>
      <c r="F52" s="10" t="n">
        <v>3.664903314285715</v>
      </c>
      <c r="G52" s="10" t="n">
        <v>13.4102144</v>
      </c>
      <c r="H52" s="13" t="n">
        <v>550</v>
      </c>
      <c r="I52" s="13" t="n">
        <v>151.825</v>
      </c>
      <c r="J52" s="14" t="n">
        <v>2</v>
      </c>
      <c r="K52" s="13" t="n">
        <v>151.825</v>
      </c>
      <c r="L52" s="14" t="n">
        <v>2</v>
      </c>
      <c r="M52" s="15" t="inlineStr">
        <is>
          <t>No requiere</t>
        </is>
      </c>
      <c r="N52" s="15" t="inlineStr">
        <is>
          <t>CUMPLE</t>
        </is>
      </c>
    </row>
    <row r="53">
      <c r="A53" s="5" t="inlineStr">
        <is>
          <t>VIGUETA 6-v1</t>
        </is>
      </c>
      <c r="B53" s="7" t="inlineStr">
        <is>
          <t>V</t>
        </is>
      </c>
      <c r="C53" s="6" t="n">
        <v>1.5</v>
      </c>
      <c r="D53" s="8" t="n">
        <v>10.60096</v>
      </c>
      <c r="E53" s="10" t="n">
        <v>11.92608</v>
      </c>
      <c r="F53" s="10" t="n">
        <v>0</v>
      </c>
      <c r="G53" s="10" t="n">
        <v>15.90144</v>
      </c>
      <c r="H53" s="13" t="n">
        <v>375</v>
      </c>
      <c r="I53" s="13" t="n">
        <v>151.825</v>
      </c>
      <c r="J53" s="14" t="n">
        <v>2</v>
      </c>
      <c r="K53" s="13" t="n">
        <v>151.825</v>
      </c>
      <c r="L53" s="14" t="n">
        <v>2</v>
      </c>
      <c r="M53" s="15" t="inlineStr">
        <is>
          <t>No requiere</t>
        </is>
      </c>
      <c r="N53" s="15" t="inlineStr">
        <is>
          <t>CUMPLE</t>
        </is>
      </c>
    </row>
    <row r="54">
      <c r="A54" s="5" t="inlineStr">
        <is>
          <t>VIGUETA 6-v2</t>
        </is>
      </c>
      <c r="B54" s="7" t="inlineStr">
        <is>
          <t>2EC</t>
        </is>
      </c>
      <c r="C54" s="6" t="n">
        <v>4.8</v>
      </c>
      <c r="D54" s="8" t="n">
        <v>10.60096</v>
      </c>
      <c r="E54" s="10" t="n">
        <v>22.20419258181818</v>
      </c>
      <c r="F54" s="10" t="n">
        <v>15.2653824</v>
      </c>
      <c r="G54" s="10" t="n">
        <v>25.442304</v>
      </c>
      <c r="H54" s="13" t="n">
        <v>800</v>
      </c>
      <c r="I54" s="13" t="n">
        <v>151.825</v>
      </c>
      <c r="J54" s="14" t="n">
        <v>2</v>
      </c>
      <c r="K54" s="13" t="n">
        <v>201.3004787695812</v>
      </c>
      <c r="L54" s="14" t="n">
        <v>2</v>
      </c>
      <c r="M54" s="15" t="inlineStr">
        <is>
          <t>No requiere</t>
        </is>
      </c>
      <c r="N54" s="15" t="inlineStr">
        <is>
          <t>CUMPLE</t>
        </is>
      </c>
    </row>
    <row r="55">
      <c r="A55" s="5" t="inlineStr">
        <is>
          <t>VIGUETA 6-v3</t>
        </is>
      </c>
      <c r="B55" s="7" t="inlineStr">
        <is>
          <t>2EC</t>
        </is>
      </c>
      <c r="C55" s="6" t="n">
        <v>5.15</v>
      </c>
      <c r="D55" s="8" t="n">
        <v>10.60096</v>
      </c>
      <c r="E55" s="10" t="n">
        <v>25.56036014545455</v>
      </c>
      <c r="F55" s="10" t="n">
        <v>17.5727476</v>
      </c>
      <c r="G55" s="10" t="n">
        <v>27.297472</v>
      </c>
      <c r="H55" s="13" t="n">
        <v>800</v>
      </c>
      <c r="I55" s="13" t="n">
        <v>153.9607791050259</v>
      </c>
      <c r="J55" s="14" t="n">
        <v>2</v>
      </c>
      <c r="K55" s="13" t="n">
        <v>233.2281510193661</v>
      </c>
      <c r="L55" s="14" t="n">
        <v>2</v>
      </c>
      <c r="M55" s="15" t="inlineStr">
        <is>
          <t>No requiere</t>
        </is>
      </c>
      <c r="N55" s="15" t="inlineStr">
        <is>
          <t>CUMPLE</t>
        </is>
      </c>
    </row>
    <row r="56">
      <c r="A56" s="5" t="inlineStr">
        <is>
          <t>VIGUETA 6-v4</t>
        </is>
      </c>
      <c r="B56" s="7" t="inlineStr">
        <is>
          <t>2EC</t>
        </is>
      </c>
      <c r="C56" s="6" t="n">
        <v>2.1</v>
      </c>
      <c r="D56" s="8" t="n">
        <v>10.60096</v>
      </c>
      <c r="E56" s="10" t="n">
        <v>4.250021236363636</v>
      </c>
      <c r="F56" s="10" t="n">
        <v>2.9218896</v>
      </c>
      <c r="G56" s="10" t="n">
        <v>11.131008</v>
      </c>
      <c r="H56" s="13" t="n">
        <v>525</v>
      </c>
      <c r="I56" s="13" t="n">
        <v>151.825</v>
      </c>
      <c r="J56" s="14" t="n">
        <v>2</v>
      </c>
      <c r="K56" s="13" t="n">
        <v>151.825</v>
      </c>
      <c r="L56" s="14" t="n">
        <v>2</v>
      </c>
      <c r="M56" s="15" t="inlineStr">
        <is>
          <t>No requiere</t>
        </is>
      </c>
      <c r="N56" s="15" t="inlineStr">
        <is>
          <t>CUMPLE</t>
        </is>
      </c>
    </row>
    <row r="57">
      <c r="A57" s="5" t="inlineStr">
        <is>
          <t>VIGUETA 6-v5</t>
        </is>
      </c>
      <c r="B57" s="7" t="inlineStr">
        <is>
          <t>2EC</t>
        </is>
      </c>
      <c r="C57" s="6" t="n">
        <v>3.6</v>
      </c>
      <c r="D57" s="8" t="n">
        <v>10.60096</v>
      </c>
      <c r="E57" s="10" t="n">
        <v>12.48985832727273</v>
      </c>
      <c r="F57" s="10" t="n">
        <v>8.586777600000001</v>
      </c>
      <c r="G57" s="10" t="n">
        <v>19.081728</v>
      </c>
      <c r="H57" s="13" t="n">
        <v>800</v>
      </c>
      <c r="I57" s="13" t="n">
        <v>151.825</v>
      </c>
      <c r="J57" s="14" t="n">
        <v>2</v>
      </c>
      <c r="K57" s="13" t="n">
        <v>151.825</v>
      </c>
      <c r="L57" s="14" t="n">
        <v>2</v>
      </c>
      <c r="M57" s="15" t="inlineStr">
        <is>
          <t>No requiere</t>
        </is>
      </c>
      <c r="N57" s="15" t="inlineStr">
        <is>
          <t>CUMPLE</t>
        </is>
      </c>
    </row>
    <row r="58">
      <c r="A58" s="5" t="inlineStr">
        <is>
          <t>VIGUETA 6-v6</t>
        </is>
      </c>
      <c r="B58" s="7" t="inlineStr">
        <is>
          <t>2EC</t>
        </is>
      </c>
      <c r="C58" s="6" t="n">
        <v>5.1</v>
      </c>
      <c r="D58" s="8" t="n">
        <v>10.60096</v>
      </c>
      <c r="E58" s="10" t="n">
        <v>25.06645178181818</v>
      </c>
      <c r="F58" s="10" t="n">
        <v>17.2331856</v>
      </c>
      <c r="G58" s="10" t="n">
        <v>27.032448</v>
      </c>
      <c r="H58" s="13" t="n">
        <v>800</v>
      </c>
      <c r="I58" s="13" t="n">
        <v>151.825</v>
      </c>
      <c r="J58" s="14" t="n">
        <v>2</v>
      </c>
      <c r="K58" s="13" t="n">
        <v>228.5023424920636</v>
      </c>
      <c r="L58" s="14" t="n">
        <v>2</v>
      </c>
      <c r="M58" s="15" t="inlineStr">
        <is>
          <t>No requiere</t>
        </is>
      </c>
      <c r="N58" s="15" t="inlineStr">
        <is>
          <t>CUMPLE</t>
        </is>
      </c>
    </row>
    <row r="59">
      <c r="A59" s="5" t="inlineStr">
        <is>
          <t>VIGUETA 6-v7</t>
        </is>
      </c>
      <c r="B59" s="7" t="inlineStr">
        <is>
          <t>2EC</t>
        </is>
      </c>
      <c r="C59" s="6" t="n">
        <v>3.6</v>
      </c>
      <c r="D59" s="8" t="n">
        <v>10.60096</v>
      </c>
      <c r="E59" s="10" t="n">
        <v>12.48985832727273</v>
      </c>
      <c r="F59" s="10" t="n">
        <v>8.586777600000001</v>
      </c>
      <c r="G59" s="10" t="n">
        <v>19.081728</v>
      </c>
      <c r="H59" s="13" t="n">
        <v>800</v>
      </c>
      <c r="I59" s="13" t="n">
        <v>151.825</v>
      </c>
      <c r="J59" s="14" t="n">
        <v>2</v>
      </c>
      <c r="K59" s="13" t="n">
        <v>151.825</v>
      </c>
      <c r="L59" s="14" t="n">
        <v>2</v>
      </c>
      <c r="M59" s="15" t="inlineStr">
        <is>
          <t>No requiere</t>
        </is>
      </c>
      <c r="N59" s="15" t="inlineStr">
        <is>
          <t>CUMPLE</t>
        </is>
      </c>
    </row>
    <row r="60">
      <c r="A60" s="5" t="inlineStr">
        <is>
          <t>VIGUETA 6-v8</t>
        </is>
      </c>
      <c r="B60" s="7" t="inlineStr">
        <is>
          <t>2EC</t>
        </is>
      </c>
      <c r="C60" s="6" t="n">
        <v>2.1</v>
      </c>
      <c r="D60" s="8" t="n">
        <v>10.60096</v>
      </c>
      <c r="E60" s="10" t="n">
        <v>4.250021236363636</v>
      </c>
      <c r="F60" s="10" t="n">
        <v>2.9218896</v>
      </c>
      <c r="G60" s="10" t="n">
        <v>11.131008</v>
      </c>
      <c r="H60" s="13" t="n">
        <v>525</v>
      </c>
      <c r="I60" s="13" t="n">
        <v>151.825</v>
      </c>
      <c r="J60" s="14" t="n">
        <v>2</v>
      </c>
      <c r="K60" s="13" t="n">
        <v>151.825</v>
      </c>
      <c r="L60" s="14" t="n">
        <v>2</v>
      </c>
      <c r="M60" s="15" t="inlineStr">
        <is>
          <t>No requiere</t>
        </is>
      </c>
      <c r="N60" s="15" t="inlineStr">
        <is>
          <t>CUMPLE</t>
        </is>
      </c>
    </row>
    <row r="61">
      <c r="A61" s="5" t="inlineStr">
        <is>
          <t>VIGUETA 6-v9</t>
        </is>
      </c>
      <c r="B61" s="7" t="inlineStr">
        <is>
          <t>2EC</t>
        </is>
      </c>
      <c r="C61" s="6" t="n">
        <v>3.8</v>
      </c>
      <c r="D61" s="8" t="n">
        <v>10.60096</v>
      </c>
      <c r="E61" s="10" t="n">
        <v>13.91616930909091</v>
      </c>
      <c r="F61" s="10" t="n">
        <v>9.567366400000001</v>
      </c>
      <c r="G61" s="10" t="n">
        <v>20.141824</v>
      </c>
      <c r="H61" s="13" t="n">
        <v>800</v>
      </c>
      <c r="I61" s="13" t="n">
        <v>151.825</v>
      </c>
      <c r="J61" s="14" t="n">
        <v>2</v>
      </c>
      <c r="K61" s="13" t="n">
        <v>151.825</v>
      </c>
      <c r="L61" s="14" t="n">
        <v>2</v>
      </c>
      <c r="M61" s="15" t="inlineStr">
        <is>
          <t>No requiere</t>
        </is>
      </c>
      <c r="N61" s="15" t="inlineStr">
        <is>
          <t>CUMPLE</t>
        </is>
      </c>
    </row>
    <row r="62">
      <c r="A62" s="5" t="inlineStr">
        <is>
          <t>VIGUETA 6-v10</t>
        </is>
      </c>
      <c r="B62" s="7" t="inlineStr">
        <is>
          <t>2EC</t>
        </is>
      </c>
      <c r="C62" s="6" t="n">
        <v>2.1</v>
      </c>
      <c r="D62" s="8" t="n">
        <v>10.60096</v>
      </c>
      <c r="E62" s="10" t="n">
        <v>4.250021236363636</v>
      </c>
      <c r="F62" s="10" t="n">
        <v>2.9218896</v>
      </c>
      <c r="G62" s="10" t="n">
        <v>11.131008</v>
      </c>
      <c r="H62" s="13" t="n">
        <v>525</v>
      </c>
      <c r="I62" s="13" t="n">
        <v>151.825</v>
      </c>
      <c r="J62" s="14" t="n">
        <v>2</v>
      </c>
      <c r="K62" s="13" t="n">
        <v>151.825</v>
      </c>
      <c r="L62" s="14" t="n">
        <v>2</v>
      </c>
      <c r="M62" s="15" t="inlineStr">
        <is>
          <t>No requiere</t>
        </is>
      </c>
      <c r="N62" s="15" t="inlineStr">
        <is>
          <t>CUMPLE</t>
        </is>
      </c>
    </row>
    <row r="63">
      <c r="A63" s="5" t="inlineStr">
        <is>
          <t>VIGUETA 6-v11</t>
        </is>
      </c>
      <c r="B63" s="7" t="inlineStr">
        <is>
          <t>2EC</t>
        </is>
      </c>
      <c r="C63" s="6" t="n">
        <v>5.15</v>
      </c>
      <c r="D63" s="8" t="n">
        <v>10.60096</v>
      </c>
      <c r="E63" s="10" t="n">
        <v>25.56036014545455</v>
      </c>
      <c r="F63" s="10" t="n">
        <v>17.5727476</v>
      </c>
      <c r="G63" s="10" t="n">
        <v>27.297472</v>
      </c>
      <c r="H63" s="13" t="n">
        <v>800</v>
      </c>
      <c r="I63" s="13" t="n">
        <v>153.9607791050259</v>
      </c>
      <c r="J63" s="14" t="n">
        <v>2</v>
      </c>
      <c r="K63" s="13" t="n">
        <v>233.2281510193661</v>
      </c>
      <c r="L63" s="14" t="n">
        <v>2</v>
      </c>
      <c r="M63" s="15" t="inlineStr">
        <is>
          <t>No requiere</t>
        </is>
      </c>
      <c r="N63" s="15" t="inlineStr">
        <is>
          <t>CUMPLE</t>
        </is>
      </c>
    </row>
    <row r="64">
      <c r="A64" s="5" t="inlineStr">
        <is>
          <t>VIGUETA 6-v12</t>
        </is>
      </c>
      <c r="B64" s="7" t="inlineStr">
        <is>
          <t>2EC</t>
        </is>
      </c>
      <c r="C64" s="6" t="n">
        <v>4.8</v>
      </c>
      <c r="D64" s="8" t="n">
        <v>10.60096</v>
      </c>
      <c r="E64" s="10" t="n">
        <v>22.20419258181818</v>
      </c>
      <c r="F64" s="10" t="n">
        <v>15.2653824</v>
      </c>
      <c r="G64" s="10" t="n">
        <v>25.442304</v>
      </c>
      <c r="H64" s="13" t="n">
        <v>800</v>
      </c>
      <c r="I64" s="13" t="n">
        <v>151.825</v>
      </c>
      <c r="J64" s="14" t="n">
        <v>2</v>
      </c>
      <c r="K64" s="13" t="n">
        <v>201.3004787695812</v>
      </c>
      <c r="L64" s="14" t="n">
        <v>2</v>
      </c>
      <c r="M64" s="15" t="inlineStr">
        <is>
          <t>No requiere</t>
        </is>
      </c>
      <c r="N64" s="15" t="inlineStr">
        <is>
          <t>CUMPLE</t>
        </is>
      </c>
    </row>
    <row r="65">
      <c r="A65" s="5" t="inlineStr">
        <is>
          <t>VIGUETA 6-v13</t>
        </is>
      </c>
      <c r="B65" s="7" t="inlineStr">
        <is>
          <t>V</t>
        </is>
      </c>
      <c r="C65" s="6" t="n">
        <v>1.5</v>
      </c>
      <c r="D65" s="8" t="n">
        <v>10.60096</v>
      </c>
      <c r="E65" s="10" t="n">
        <v>11.92608</v>
      </c>
      <c r="F65" s="10" t="n">
        <v>0</v>
      </c>
      <c r="G65" s="10" t="n">
        <v>15.90144</v>
      </c>
      <c r="H65" s="13" t="n">
        <v>375</v>
      </c>
      <c r="I65" s="13" t="n">
        <v>151.825</v>
      </c>
      <c r="J65" s="14" t="n">
        <v>2</v>
      </c>
      <c r="K65" s="13" t="n">
        <v>151.825</v>
      </c>
      <c r="L65" s="14" t="n">
        <v>2</v>
      </c>
      <c r="M65" s="15" t="inlineStr">
        <is>
          <t>No requiere</t>
        </is>
      </c>
      <c r="N65" s="15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2026-07-16T17:02:08Z</dcterms:created>
  <dcterms:modified xmlns:dcterms="http://purl.org/dc/terms/" xmlns:xsi="http://www.w3.org/2001/XMLSchema-instance" xsi:type="dcterms:W3CDTF">2026-07-16T17:02:08Z</dcterms:modified>
</cp:coreProperties>
</file>