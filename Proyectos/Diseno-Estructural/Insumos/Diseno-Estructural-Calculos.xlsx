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rregularidades" sheetId="2" state="visible" r:id="rId2"/>
    <sheet xmlns:r="http://schemas.openxmlformats.org/officeDocument/2006/relationships" name="Cuadro Vigas-Riostras" sheetId="3" state="visible" r:id="rId3"/>
    <sheet xmlns:r="http://schemas.openxmlformats.org/officeDocument/2006/relationships" name="Cuadro Viguetas" sheetId="4" state="visible" r:id="rId4"/>
    <sheet xmlns:r="http://schemas.openxmlformats.org/officeDocument/2006/relationships" name="Diseno VC-1" sheetId="5" state="visible" r:id="rId5"/>
    <sheet xmlns:r="http://schemas.openxmlformats.org/officeDocument/2006/relationships" name="Diseno VC-2" sheetId="6" state="visible" r:id="rId6"/>
    <sheet xmlns:r="http://schemas.openxmlformats.org/officeDocument/2006/relationships" name="Diseno VC-3" sheetId="7" state="visible" r:id="rId7"/>
    <sheet xmlns:r="http://schemas.openxmlformats.org/officeDocument/2006/relationships" name="Diseno VR-1" sheetId="8" state="visible" r:id="rId8"/>
    <sheet xmlns:r="http://schemas.openxmlformats.org/officeDocument/2006/relationships" name="Diseno VR-2" sheetId="9" state="visible" r:id="rId9"/>
    <sheet xmlns:r="http://schemas.openxmlformats.org/officeDocument/2006/relationships" name="Diseno VR-3" sheetId="10" state="visible" r:id="rId10"/>
    <sheet xmlns:r="http://schemas.openxmlformats.org/officeDocument/2006/relationships" name="Diseno VR-4" sheetId="11" state="visible" r:id="rId11"/>
    <sheet xmlns:r="http://schemas.openxmlformats.org/officeDocument/2006/relationships" name="Diseno Vigueta Entrepiso" sheetId="12" state="visible" r:id="rId12"/>
    <sheet xmlns:r="http://schemas.openxmlformats.org/officeDocument/2006/relationships" name="Diseno Vigueta Cubierta" sheetId="13" state="visible" r:id="rId13"/>
    <sheet xmlns:r="http://schemas.openxmlformats.org/officeDocument/2006/relationships" name="Despiece y Longitud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Aptos Narrow"/>
      <b val="1"/>
      <color rgb="00FFFFFF"/>
      <sz val="14"/>
    </font>
    <font>
      <name val="Aptos Narrow"/>
      <b val="1"/>
      <color rgb="00000000"/>
      <sz val="13"/>
    </font>
    <font>
      <name val="Aptos Narrow"/>
      <b val="1"/>
      <color rgb="00000000"/>
      <sz val="12"/>
    </font>
    <font>
      <name val="Aptos Narrow"/>
      <color rgb="00000000"/>
      <sz val="11"/>
    </font>
    <font>
      <name val="Aptos Narrow"/>
      <b val="1"/>
      <color rgb="00FFFFFF"/>
      <sz val="12"/>
    </font>
    <font>
      <name val="Aptos Narrow"/>
      <b val="1"/>
      <color rgb="00FFFFFF"/>
      <sz val="10"/>
    </font>
    <font>
      <name val="Aptos Narrow"/>
      <color rgb="00000000"/>
      <sz val="10"/>
    </font>
    <font>
      <name val="Aptos Narrow"/>
      <b val="1"/>
      <color rgb="00000000"/>
      <sz val="10"/>
    </font>
    <font>
      <name val="Aptos Narrow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28" customWidth="1" min="4" max="4"/>
    <col width="10" customWidth="1" min="5" max="5"/>
  </cols>
  <sheetData>
    <row r="2">
      <c r="B2" s="38" t="inlineStr">
        <is>
          <t>SSS CONSTRUCCIONES Y CONSULTORIAS SAS</t>
        </is>
      </c>
    </row>
    <row r="4">
      <c r="B4" s="39" t="inlineStr">
        <is>
          <t>PROYECTO: EDIFICIO RESIDENCIAL SANTA MARTA</t>
        </is>
      </c>
    </row>
    <row r="5">
      <c r="B5" s="40" t="inlineStr">
        <is>
          <t>MEMORIA DE CALCULO ESTRUCTURAL</t>
        </is>
      </c>
    </row>
    <row r="6">
      <c r="B6" s="41" t="inlineStr">
        <is>
          <t>Diseno de viguetas, vigas y riostras - NSR-10 / ACI 318</t>
        </is>
      </c>
    </row>
    <row r="8">
      <c r="B8" s="42" t="inlineStr">
        <is>
          <t>CONTENIDO DEL LIBRO</t>
        </is>
      </c>
    </row>
    <row r="9">
      <c r="B9" s="43" t="inlineStr">
        <is>
          <t>#</t>
        </is>
      </c>
      <c r="C9" s="44" t="inlineStr">
        <is>
          <t>Hoja</t>
        </is>
      </c>
      <c r="D9" s="44" t="inlineStr">
        <is>
          <t>Descripcion</t>
        </is>
      </c>
    </row>
    <row r="10">
      <c r="B10" s="45" t="inlineStr">
        <is>
          <t>1</t>
        </is>
      </c>
      <c r="C10" s="46" t="inlineStr">
        <is>
          <t>Irregularidades</t>
        </is>
      </c>
      <c r="D10" s="47" t="inlineStr">
        <is>
          <t>Sistema DMO, R0, Omega0 e irregularidades (R = 5.0)</t>
        </is>
      </c>
    </row>
    <row r="11">
      <c r="B11" s="45" t="inlineStr">
        <is>
          <t>2</t>
        </is>
      </c>
      <c r="C11" s="46" t="inlineStr">
        <is>
          <t>Cuadro Vigas-Riostras</t>
        </is>
      </c>
      <c r="D11" s="47" t="inlineStr">
        <is>
          <t>RESUMEN de diseno por tipos (VC-1..3, VR-1..4)</t>
        </is>
      </c>
    </row>
    <row r="12">
      <c r="B12" s="45" t="inlineStr">
        <is>
          <t>3</t>
        </is>
      </c>
      <c r="C12" s="46" t="inlineStr">
        <is>
          <t>Cuadro Viguetas</t>
        </is>
      </c>
      <c r="D12" s="47" t="inlineStr">
        <is>
          <t>RESUMEN de viguetas por tipo de luz</t>
        </is>
      </c>
    </row>
    <row r="13">
      <c r="B13" s="45" t="inlineStr">
        <is>
          <t>4</t>
        </is>
      </c>
      <c r="C13" s="46" t="inlineStr">
        <is>
          <t>Diseno VC-1 a VC-3</t>
        </is>
      </c>
      <c r="D13" s="47" t="inlineStr">
        <is>
          <t>Procedimiento paso a paso de cada viga de carga</t>
        </is>
      </c>
    </row>
    <row r="14">
      <c r="B14" s="45" t="inlineStr">
        <is>
          <t>5</t>
        </is>
      </c>
      <c r="C14" s="46" t="inlineStr">
        <is>
          <t>Diseno VR-1 a VR-4</t>
        </is>
      </c>
      <c r="D14" s="47" t="inlineStr">
        <is>
          <t>Procedimiento paso a paso de cada riostra</t>
        </is>
      </c>
    </row>
    <row r="15">
      <c r="B15" s="45" t="inlineStr">
        <is>
          <t>6</t>
        </is>
      </c>
      <c r="C15" s="46" t="inlineStr">
        <is>
          <t>Diseno Viguetas</t>
        </is>
      </c>
      <c r="D15" s="47" t="inlineStr">
        <is>
          <t>Procedimiento de la vigueta</t>
        </is>
      </c>
    </row>
    <row r="16">
      <c r="B16" s="45" t="inlineStr">
        <is>
          <t>7</t>
        </is>
      </c>
      <c r="C16" s="46" t="inlineStr">
        <is>
          <t>Despiece y Longitudes</t>
        </is>
      </c>
      <c r="D16" s="47" t="inlineStr">
        <is>
          <t>Ganchos, longitud de barras y estribos</t>
        </is>
      </c>
    </row>
    <row r="18">
      <c r="B18" s="48" t="n"/>
    </row>
    <row r="19">
      <c r="B19" s="48" t="n"/>
    </row>
  </sheetData>
  <mergeCells count="7">
    <mergeCell ref="B18:E18"/>
    <mergeCell ref="B8:E8"/>
    <mergeCell ref="B4:E4"/>
    <mergeCell ref="B6:E6"/>
    <mergeCell ref="B5:E5"/>
    <mergeCell ref="B2:E2"/>
    <mergeCell ref="B19:E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J7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O25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N29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VC-1  -  VIGA DE CARGA VC 40x30  (NSR-10/ACI, DMO)</t>
        </is>
      </c>
    </row>
    <row r="4">
      <c r="B4" s="2" t="inlineStr">
        <is>
          <t>1. DATOS Y GEOMETRIA</t>
        </is>
      </c>
      <c r="J4" s="7" t="inlineStr">
        <is>
          <t>Grupo de 148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77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58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70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13.3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VC-2  -  VIGA DE CARGA VC 40x30  (NSR-10/ACI, DMO)</t>
        </is>
      </c>
    </row>
    <row r="4">
      <c r="B4" s="2" t="inlineStr">
        <is>
          <t>1. DATOS Y GEOMETRIA</t>
        </is>
      </c>
      <c r="J4" s="7" t="inlineStr">
        <is>
          <t>Grupo de 120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118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86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11.5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VC-3  -  VIGA DE CARGA VC 40x30  (NSR-10/ACI, DMO)</t>
        </is>
      </c>
    </row>
    <row r="4">
      <c r="B4" s="2" t="inlineStr">
        <is>
          <t>1. DATOS Y GEOMETRIA</t>
        </is>
      </c>
      <c r="J4" s="7" t="inlineStr">
        <is>
          <t>Grupo de 12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79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19.9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VR-1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170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100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74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104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26.1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VR-2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120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135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98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133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12.7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VR-3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6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186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189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1.7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VR-4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14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243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134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J5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VIGUETA DE ENTREPISO  (losa aligerada, viga T)</t>
        </is>
      </c>
    </row>
    <row r="4">
      <c r="B4" s="2" t="inlineStr">
        <is>
          <t>1. DATOS Y GEOMETRIA</t>
        </is>
      </c>
      <c r="J4" s="7" t="inlineStr">
        <is>
          <t>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4.8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 - vigueta continua)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 (apoyo)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 (centro)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J5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VIGUETA DE CUBIERTA - terraza social L=5 (viga T)</t>
        </is>
      </c>
    </row>
    <row r="4">
      <c r="B4" s="2" t="inlineStr">
        <is>
          <t>1. DATOS Y GEOMETRIA</t>
        </is>
      </c>
      <c r="J4" s="7" t="inlineStr">
        <is>
          <t>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4.8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 - vigueta continua)</t>
        </is>
      </c>
    </row>
    <row r="19">
      <c r="B19" s="4" t="inlineStr">
        <is>
          <t>Carga muerta wD</t>
        </is>
      </c>
      <c r="C19" s="5" t="n">
        <v>4.376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5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 (apoyo)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 (centro)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B2:I28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</t>
        </is>
      </c>
    </row>
    <row r="15" ht="26" customHeight="1">
      <c r="B15" s="36" t="inlineStr">
        <is>
          <t>Barras SUPERIORES (negativo, apoyos): L = Ln/4 + ldh.   Barras INFERIORES (positivo, centro): L = Ln + 2 ldh.   (metodo del grupo, NSR-10 C.12).</t>
        </is>
      </c>
      <c r="C15" s="25" t="n"/>
      <c r="D15" s="25" t="n"/>
      <c r="E15" s="25" t="n"/>
      <c r="F15" s="25" t="n"/>
      <c r="G15" s="25" t="n"/>
      <c r="H15" s="25" t="n"/>
      <c r="I15" s="26" t="n"/>
    </row>
    <row r="16">
      <c r="B16" s="29" t="inlineStr">
        <is>
          <t>Posicion</t>
        </is>
      </c>
      <c r="C16" s="29" t="inlineStr">
        <is>
          <t>Barra</t>
        </is>
      </c>
      <c r="D16" s="29" t="inlineStr">
        <is>
          <t>Luz libre Ln [m]</t>
        </is>
      </c>
      <c r="E16" s="29" t="inlineStr">
        <is>
          <t>ldh [mm]</t>
        </is>
      </c>
      <c r="F16" s="29" t="inlineStr">
        <is>
          <t>Formula</t>
        </is>
      </c>
      <c r="G16" s="29" t="inlineStr">
        <is>
          <t>Longitud [m]</t>
        </is>
      </c>
    </row>
    <row r="17">
      <c r="B17" s="31" t="inlineStr">
        <is>
          <t>Viga superior (apoyos)</t>
        </is>
      </c>
      <c r="C17" s="31" t="inlineStr">
        <is>
          <t>Nº 4</t>
        </is>
      </c>
      <c r="D17" s="35" t="n">
        <v>5.1</v>
      </c>
      <c r="E17" s="31">
        <f>F11</f>
        <v/>
      </c>
      <c r="F17" s="37" t="inlineStr">
        <is>
          <t>Ln/4 + ldh</t>
        </is>
      </c>
      <c r="G17" s="34">
        <f>(D17/4*1000+E17)/1000</f>
        <v/>
      </c>
    </row>
    <row r="18">
      <c r="B18" s="31" t="inlineStr">
        <is>
          <t>Viga inferior (centro)</t>
        </is>
      </c>
      <c r="C18" s="31" t="inlineStr">
        <is>
          <t>Nº 5</t>
        </is>
      </c>
      <c r="D18" s="35" t="n">
        <v>5.1</v>
      </c>
      <c r="E18" s="31">
        <f>F12</f>
        <v/>
      </c>
      <c r="F18" s="37" t="inlineStr">
        <is>
          <t>Ln + 2 ldh</t>
        </is>
      </c>
      <c r="G18" s="34">
        <f>(D18*1000+2*E18)/1000</f>
        <v/>
      </c>
    </row>
    <row r="19">
      <c r="B19" s="31" t="inlineStr">
        <is>
          <t>Vigueta superior (apoyos)</t>
        </is>
      </c>
      <c r="C19" s="31" t="inlineStr">
        <is>
          <t>Nº 3</t>
        </is>
      </c>
      <c r="D19" s="35" t="n">
        <v>5.1</v>
      </c>
      <c r="E19" s="31">
        <f>F10</f>
        <v/>
      </c>
      <c r="F19" s="31" t="inlineStr">
        <is>
          <t>Ln/4 + ldh</t>
        </is>
      </c>
      <c r="G19" s="34">
        <f>(D19/4*1000+E19)/1000</f>
        <v/>
      </c>
    </row>
    <row r="20" ht="28" customHeight="1">
      <c r="B20" s="31" t="inlineStr">
        <is>
          <t>Vigueta inferior (centro)</t>
        </is>
      </c>
      <c r="C20" s="31" t="inlineStr">
        <is>
          <t>Nº 3</t>
        </is>
      </c>
      <c r="D20" s="35" t="n">
        <v>5.1</v>
      </c>
      <c r="E20" s="31">
        <f>F10</f>
        <v/>
      </c>
      <c r="F20" s="31" t="inlineStr">
        <is>
          <t>Ln + 2 ldh</t>
        </is>
      </c>
      <c r="G20" s="34">
        <f>(D20*1000+2*E20)/1000</f>
        <v/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2026-06-25T15:33:55Z</dcterms:modified>
</cp:coreProperties>
</file>