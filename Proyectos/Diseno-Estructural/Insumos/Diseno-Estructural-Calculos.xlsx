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rregularidades" sheetId="2" state="visible" r:id="rId2"/>
    <sheet xmlns:r="http://schemas.openxmlformats.org/officeDocument/2006/relationships" name="Cuadro Vigas-Riostras" sheetId="3" state="visible" r:id="rId3"/>
    <sheet xmlns:r="http://schemas.openxmlformats.org/officeDocument/2006/relationships" name="Cuadro Viguetas" sheetId="4" state="visible" r:id="rId4"/>
    <sheet xmlns:r="http://schemas.openxmlformats.org/officeDocument/2006/relationships" name="Diseno Vigas de Carga" sheetId="5" state="visible" r:id="rId5"/>
    <sheet xmlns:r="http://schemas.openxmlformats.org/officeDocument/2006/relationships" name="Diseno Vigas de Rigidez" sheetId="6" state="visible" r:id="rId6"/>
    <sheet xmlns:r="http://schemas.openxmlformats.org/officeDocument/2006/relationships" name="Diseno Viguetas Entrepiso" sheetId="7" state="visible" r:id="rId7"/>
    <sheet xmlns:r="http://schemas.openxmlformats.org/officeDocument/2006/relationships" name="Diseno Viguetas Cubierta" sheetId="8" state="visible" r:id="rId8"/>
    <sheet xmlns:r="http://schemas.openxmlformats.org/officeDocument/2006/relationships" name="Despiece y Longitu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ptos Narrow"/>
      <b val="1"/>
      <sz val="14"/>
    </font>
    <font>
      <name val="Aptos Narrow"/>
      <b val="1"/>
      <sz val="12"/>
    </font>
    <font>
      <name val="Aptos Narrow"/>
      <sz val="11"/>
    </font>
    <font>
      <name val="Aptos Narrow"/>
      <b val="1"/>
      <sz val="11"/>
    </font>
    <font>
      <name val="Aptos Narrow"/>
      <i val="1"/>
      <sz val="9"/>
    </font>
    <font>
      <name val="Aptos Narrow"/>
      <b val="1"/>
      <sz val="13"/>
    </font>
    <font>
      <name val="Aptos Narrow"/>
      <sz val="10"/>
    </font>
    <font>
      <name val="Aptos Narrow"/>
      <b val="1"/>
      <sz val="10"/>
    </font>
    <font>
      <name val="Aptos Narrow"/>
      <b val="1"/>
      <color rgb="00FFFFFF"/>
      <sz val="14"/>
    </font>
    <font>
      <name val="Aptos Narrow"/>
      <b val="1"/>
      <color rgb="00000000"/>
      <sz val="13"/>
    </font>
    <font>
      <name val="Aptos Narrow"/>
      <b val="1"/>
      <color rgb="00000000"/>
      <sz val="12"/>
    </font>
    <font>
      <name val="Aptos Narrow"/>
      <color rgb="00000000"/>
      <sz val="11"/>
    </font>
    <font>
      <name val="Aptos Narrow"/>
      <b val="1"/>
      <color rgb="00FFFFFF"/>
      <sz val="12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000000"/>
      <sz val="10"/>
    </font>
    <font>
      <name val="Aptos Narrow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BDD7EE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0" customWidth="1" min="3" max="3"/>
    <col width="28" customWidth="1" min="4" max="4"/>
    <col width="10" customWidth="1" min="5" max="5"/>
  </cols>
  <sheetData>
    <row r="2">
      <c r="B2" s="38" t="inlineStr">
        <is>
          <t>SSS CONSTRUCCIONES Y CONSULTORIAS SAS</t>
        </is>
      </c>
    </row>
    <row r="4">
      <c r="B4" s="39" t="inlineStr">
        <is>
          <t>PROYECTO: EDIFICIO RESIDENCIAL SANTA MARTA</t>
        </is>
      </c>
    </row>
    <row r="5">
      <c r="B5" s="40" t="inlineStr">
        <is>
          <t>MEMORIA DE CALCULO ESTRUCTURAL</t>
        </is>
      </c>
    </row>
    <row r="6">
      <c r="B6" s="41" t="inlineStr">
        <is>
          <t>Diseno de viguetas, vigas y riostras - NSR-10 / ACI 318</t>
        </is>
      </c>
    </row>
    <row r="8">
      <c r="B8" s="42" t="inlineStr">
        <is>
          <t>CONTENIDO DEL LIBRO</t>
        </is>
      </c>
    </row>
    <row r="9">
      <c r="B9" s="43" t="inlineStr">
        <is>
          <t>#</t>
        </is>
      </c>
      <c r="C9" s="44" t="inlineStr">
        <is>
          <t>Hoja</t>
        </is>
      </c>
      <c r="D9" s="44" t="inlineStr">
        <is>
          <t>Descripcion</t>
        </is>
      </c>
    </row>
    <row r="10">
      <c r="B10" s="45" t="inlineStr">
        <is>
          <t>1</t>
        </is>
      </c>
      <c r="C10" s="46" t="inlineStr">
        <is>
          <t>Irregularidades</t>
        </is>
      </c>
      <c r="D10" s="47" t="inlineStr">
        <is>
          <t>Sistema DMO, R0, irregularidades (R=5.0)</t>
        </is>
      </c>
    </row>
    <row r="11">
      <c r="B11" s="45" t="inlineStr">
        <is>
          <t>2</t>
        </is>
      </c>
      <c r="C11" s="46" t="inlineStr">
        <is>
          <t>Cuadro Vigas-Riostras</t>
        </is>
      </c>
      <c r="D11" s="47" t="inlineStr">
        <is>
          <t>Resumen por tipos</t>
        </is>
      </c>
    </row>
    <row r="12">
      <c r="B12" s="45" t="inlineStr">
        <is>
          <t>3</t>
        </is>
      </c>
      <c r="C12" s="46" t="inlineStr">
        <is>
          <t>Cuadro Viguetas</t>
        </is>
      </c>
      <c r="D12" s="47" t="inlineStr">
        <is>
          <t>Resumen viguetas</t>
        </is>
      </c>
    </row>
    <row r="13">
      <c r="B13" s="45" t="inlineStr">
        <is>
          <t>4</t>
        </is>
      </c>
      <c r="C13" s="46" t="inlineStr">
        <is>
          <t>Diseno Vigas de Carga</t>
        </is>
      </c>
      <c r="D13" s="47" t="inlineStr">
        <is>
          <t>Paso a paso de VC-1, VC-2 y VC-3</t>
        </is>
      </c>
    </row>
    <row r="14">
      <c r="B14" s="45" t="inlineStr">
        <is>
          <t>5</t>
        </is>
      </c>
      <c r="C14" s="46" t="inlineStr">
        <is>
          <t>Diseno Vigas de Rigidez</t>
        </is>
      </c>
      <c r="D14" s="47" t="inlineStr">
        <is>
          <t>Paso a paso de VR-1 a VR-4</t>
        </is>
      </c>
    </row>
    <row r="15">
      <c r="B15" s="45" t="inlineStr">
        <is>
          <t>6</t>
        </is>
      </c>
      <c r="C15" s="46" t="inlineStr">
        <is>
          <t>Diseno Viguetas Entrepiso</t>
        </is>
      </c>
      <c r="D15" s="47" t="inlineStr">
        <is>
          <t>Paso a paso por grupos de luz</t>
        </is>
      </c>
    </row>
    <row r="16">
      <c r="B16" s="45" t="inlineStr">
        <is>
          <t>7</t>
        </is>
      </c>
      <c r="C16" s="46" t="inlineStr">
        <is>
          <t>Diseno Viguetas Cubierta</t>
        </is>
      </c>
      <c r="D16" s="47" t="inlineStr">
        <is>
          <t>Paso a paso (terraza social, L=5)</t>
        </is>
      </c>
    </row>
    <row r="17">
      <c r="B17" s="45" t="inlineStr">
        <is>
          <t>8</t>
        </is>
      </c>
      <c r="C17" s="46" t="inlineStr">
        <is>
          <t>Despiece y Longitudes</t>
        </is>
      </c>
      <c r="D17" s="47" t="inlineStr">
        <is>
          <t>Ganchos, longitud de barras y estribos</t>
        </is>
      </c>
    </row>
    <row r="18">
      <c r="B18" s="48" t="n"/>
    </row>
    <row r="19">
      <c r="B19" s="48" t="n"/>
    </row>
    <row r="20"/>
    <row r="21"/>
  </sheetData>
  <mergeCells count="7">
    <mergeCell ref="B18:E18"/>
    <mergeCell ref="B8:E8"/>
    <mergeCell ref="B4:E4"/>
    <mergeCell ref="B6:E6"/>
    <mergeCell ref="B5:E5"/>
    <mergeCell ref="B2:E2"/>
    <mergeCell ref="B19:E19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J72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3" customWidth="1" min="3" max="3"/>
    <col width="9" customWidth="1" min="4" max="4"/>
    <col width="13" customWidth="1" min="5" max="5"/>
    <col width="13" customWidth="1" min="6" max="6"/>
    <col width="12" customWidth="1" min="7" max="7"/>
    <col width="13" customWidth="1" min="8" max="8"/>
    <col width="11" customWidth="1" min="9" max="9"/>
    <col width="46" customWidth="1" min="10" max="10"/>
  </cols>
  <sheetData>
    <row r="2">
      <c r="B2" s="1" t="inlineStr">
        <is>
          <t>ANALISIS DE IRREGULARIDADES Y COEFICIENTE R  (NSR-10, A.3)</t>
        </is>
      </c>
    </row>
    <row r="4">
      <c r="B4" s="2" t="inlineStr">
        <is>
          <t>1. Sistema estructural y parametros sismicos</t>
        </is>
      </c>
    </row>
    <row r="5" ht="72" customHeight="1">
      <c r="B5" s="3" t="inlineStr">
        <is>
          <t>Sistema: PORTICOS RESISTENTES A MOMENTOS DE CONCRETO REFORZADO con capacidad MODERADA de disipacion de energia (DMO), en las dos direcciones, que resisten cargas gravitacionales y sismicas (NSR-10 Tabla A.3-3). Componentes: columnas (C1ESQ, C2BOR, C3INT, C4DIAG), vigas de carga VC 40x30, vigas de rigidez VR 40x35, entrepiso en losa aligerada en una direccion (vigueta h=0.34 + caseton + loseta 0.06 m). Materiales: f'c=28 MPa, fy=420 MPa. Localizacion: Santa Marta (amenaza sismica intermedia).</t>
        </is>
      </c>
      <c r="C5" s="16" t="n"/>
      <c r="D5" s="16" t="n"/>
      <c r="E5" s="16" t="n"/>
      <c r="F5" s="16" t="n"/>
      <c r="G5" s="16" t="n"/>
      <c r="H5" s="16" t="n"/>
      <c r="I5" s="16" t="n"/>
      <c r="J5" s="17" t="n"/>
    </row>
    <row r="6">
      <c r="B6" s="18" t="n"/>
      <c r="J6" s="19" t="n"/>
    </row>
    <row r="7">
      <c r="B7" s="18" t="n"/>
      <c r="J7" s="19" t="n"/>
    </row>
    <row r="8">
      <c r="B8" s="20" t="n"/>
      <c r="C8" s="21" t="n"/>
      <c r="D8" s="21" t="n"/>
      <c r="E8" s="21" t="n"/>
      <c r="F8" s="21" t="n"/>
      <c r="G8" s="21" t="n"/>
      <c r="H8" s="21" t="n"/>
      <c r="I8" s="21" t="n"/>
      <c r="J8" s="22" t="n"/>
    </row>
    <row r="10">
      <c r="B10" s="4" t="inlineStr">
        <is>
          <t>Aa / Av</t>
        </is>
      </c>
      <c r="C10" s="5" t="n">
        <v>0.15</v>
      </c>
      <c r="D10" s="5" t="n">
        <v>0.1</v>
      </c>
    </row>
    <row r="11">
      <c r="B11" s="4" t="inlineStr">
        <is>
          <t>Suelo / Fa / Fv</t>
        </is>
      </c>
      <c r="C11" s="5" t="inlineStr">
        <is>
          <t>C</t>
        </is>
      </c>
      <c r="D11" s="5" t="n">
        <v>1.2</v>
      </c>
      <c r="E11" s="5" t="n">
        <v>1.7</v>
      </c>
    </row>
    <row r="12">
      <c r="B12" s="4" t="inlineStr">
        <is>
          <t>Coef. importancia I</t>
        </is>
      </c>
      <c r="C12" s="5" t="n">
        <v>1</v>
      </c>
    </row>
    <row r="13">
      <c r="B13" s="6" t="inlineStr">
        <is>
          <t>R0 (Tabla A.3-3, DMO)</t>
        </is>
      </c>
      <c r="C13" s="5" t="n">
        <v>5</v>
      </c>
      <c r="J13" s="7" t="inlineStr">
        <is>
          <t>Portico de concreto: DES R0=7.0 - DMO R0=5.0 - DMI R0=2.5.</t>
        </is>
      </c>
    </row>
    <row r="14">
      <c r="B14" s="6" t="inlineStr">
        <is>
          <t>Omega0 sobrerresistencia</t>
        </is>
      </c>
      <c r="C14" s="5" t="n">
        <v>3</v>
      </c>
      <c r="J14" s="7" t="inlineStr">
        <is>
          <t>Para diseno de elementos por capacidad.</t>
        </is>
      </c>
    </row>
    <row r="16">
      <c r="B16" s="2" t="inlineStr">
        <is>
          <t>2. Irregularidades en PLANTA  -&gt;  phi_p</t>
        </is>
      </c>
    </row>
    <row r="17">
      <c r="B17" s="8" t="inlineStr">
        <is>
          <t>Tipo (A.3-6)</t>
        </is>
      </c>
      <c r="C17" s="8" t="inlineStr">
        <is>
          <t>Parametro</t>
        </is>
      </c>
      <c r="D17" s="8" t="inlineStr">
        <is>
          <t>Valor</t>
        </is>
      </c>
      <c r="E17" s="8" t="inlineStr">
        <is>
          <t>Limite</t>
        </is>
      </c>
      <c r="F17" s="8" t="inlineStr">
        <is>
          <t>Irregular?</t>
        </is>
      </c>
      <c r="G17" s="8" t="inlineStr">
        <is>
          <t>Coef.</t>
        </is>
      </c>
      <c r="J17" s="8" t="inlineStr">
        <is>
          <t>Observacion</t>
        </is>
      </c>
    </row>
    <row r="18">
      <c r="B18" s="4" t="inlineStr">
        <is>
          <t>1aP/1bP Torsional</t>
        </is>
      </c>
      <c r="C18" s="9" t="inlineStr">
        <is>
          <t>dmax/dprom</t>
        </is>
      </c>
      <c r="D18" s="9">
        <f>MAX(E68:E72,H68:H72)</f>
        <v/>
      </c>
      <c r="E18" s="9" t="inlineStr">
        <is>
          <t>1.20 / 1.40</t>
        </is>
      </c>
      <c r="F18" s="9">
        <f>IF(D18&gt;1.4,"Extrema",IF(D18&gt;1.2,"Si","No"))</f>
        <v/>
      </c>
      <c r="G18" s="10">
        <f>IF(D18&gt;1.4,0.8,IF(D18&gt;1.2,0.9,1))</f>
        <v/>
      </c>
      <c r="J18" s="7" t="inlineStr">
        <is>
          <t>Verificado con los 183 nudos del diafragma por piso (Tabla C).</t>
        </is>
      </c>
    </row>
    <row r="19">
      <c r="B19" s="4" t="inlineStr">
        <is>
          <t>2P Retrocesos esquinas</t>
        </is>
      </c>
      <c r="C19" s="9" t="inlineStr">
        <is>
          <t>px ; py</t>
        </is>
      </c>
      <c r="D19" s="9">
        <f>MAX(C42/C40,C43/C41)</f>
        <v/>
      </c>
      <c r="E19" s="9" t="inlineStr">
        <is>
          <t>0.15</t>
        </is>
      </c>
      <c r="F19" s="9">
        <f>IF(AND(C42/C40&gt;0.15,C43/C41&gt;0.15),"Si","No")</f>
        <v/>
      </c>
      <c r="G19" s="10">
        <f>IF(AND(C42/C40&gt;0.15,C43/C41&gt;0.15),0.9,1)</f>
        <v/>
      </c>
    </row>
    <row r="20">
      <c r="B20" s="4" t="inlineStr">
        <is>
          <t>3P Discontinuidad diafragma</t>
        </is>
      </c>
      <c r="C20" s="9" t="inlineStr">
        <is>
          <t>Area abierta</t>
        </is>
      </c>
      <c r="D20" s="9">
        <f>C45</f>
        <v/>
      </c>
      <c r="E20" s="9">
        <f>0.5*C40*C41</f>
        <v/>
      </c>
      <c r="F20" s="9">
        <f>IF(C45&gt;0.5*C40*C41,"Si","No")</f>
        <v/>
      </c>
      <c r="G20" s="10">
        <f>IF(C45&gt;0.5*C40*C41,0.9,1)</f>
        <v/>
      </c>
    </row>
    <row r="21">
      <c r="B21" s="4" t="inlineStr">
        <is>
          <t>4P Desplaz. fuera del plano</t>
        </is>
      </c>
      <c r="C21" s="9" t="inlineStr">
        <is>
          <t>No aplica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No</t>
        </is>
      </c>
      <c r="G21" s="10" t="n">
        <v>1</v>
      </c>
    </row>
    <row r="22">
      <c r="B22" s="4" t="inlineStr">
        <is>
          <t>5P Sistemas no paralelos</t>
        </is>
      </c>
      <c r="C22" s="9" t="inlineStr">
        <is>
          <t>No aplica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No</t>
        </is>
      </c>
      <c r="G22" s="10" t="n">
        <v>1</v>
      </c>
    </row>
    <row r="23">
      <c r="B23" s="6" t="inlineStr">
        <is>
          <t>phi_p = MINIMO</t>
        </is>
      </c>
      <c r="G23" s="11">
        <f>MIN(G18:G22)</f>
        <v/>
      </c>
    </row>
    <row r="25">
      <c r="B25" s="2" t="inlineStr">
        <is>
          <t>3. Irregularidades en ALTURA  -&gt;  phi_a</t>
        </is>
      </c>
    </row>
    <row r="26">
      <c r="B26" s="8" t="inlineStr">
        <is>
          <t>Tipo (A.3-7)</t>
        </is>
      </c>
      <c r="C26" s="8" t="inlineStr">
        <is>
          <t>Parametro</t>
        </is>
      </c>
      <c r="D26" s="8" t="inlineStr">
        <is>
          <t>Valor</t>
        </is>
      </c>
      <c r="E26" s="8" t="inlineStr">
        <is>
          <t>Limite</t>
        </is>
      </c>
      <c r="F26" s="8" t="inlineStr">
        <is>
          <t>Irregular?</t>
        </is>
      </c>
      <c r="G26" s="8" t="inlineStr">
        <is>
          <t>Coef.</t>
        </is>
      </c>
      <c r="J26" s="8" t="inlineStr">
        <is>
          <t>Observacion</t>
        </is>
      </c>
    </row>
    <row r="27">
      <c r="B27" s="4" t="inlineStr">
        <is>
          <t>1aA/1bA Piso flexible</t>
        </is>
      </c>
      <c r="C27" s="9" t="inlineStr">
        <is>
          <t>ki/ki+1 min</t>
        </is>
      </c>
      <c r="D27" s="9">
        <f>MIN(G52:G55)</f>
        <v/>
      </c>
      <c r="E27" s="9" t="inlineStr">
        <is>
          <t>0.70 / 0.60</t>
        </is>
      </c>
      <c r="F27" s="9">
        <f>IF(D27&lt;0.6,"Extrema",IF(D27&lt;0.7,"Si","No"))</f>
        <v/>
      </c>
      <c r="G27" s="10">
        <f>IF(D27&lt;0.6,0.8,IF(D27&lt;0.7,0.9,1))</f>
        <v/>
      </c>
    </row>
    <row r="28">
      <c r="B28" s="4" t="inlineStr">
        <is>
          <t>2A Masa</t>
        </is>
      </c>
      <c r="C28" s="9" t="inlineStr">
        <is>
          <t>mi/mi+-1 max</t>
        </is>
      </c>
      <c r="D28" s="9">
        <f>MAX(H60:H63)</f>
        <v/>
      </c>
      <c r="E28" s="9" t="inlineStr">
        <is>
          <t>1.50</t>
        </is>
      </c>
      <c r="F28" s="9">
        <f>IF(D28&gt;1.5,"Si","No")</f>
        <v/>
      </c>
      <c r="G28" s="10">
        <f>IF(D28&gt;1.5,0.9,1)</f>
        <v/>
      </c>
    </row>
    <row r="29">
      <c r="B29" s="4" t="inlineStr">
        <is>
          <t>3A Geometrica vertical</t>
        </is>
      </c>
      <c r="C29" s="9" t="inlineStr">
        <is>
          <t>dim i/i+1</t>
        </is>
      </c>
      <c r="D29" s="9" t="n">
        <v>1</v>
      </c>
      <c r="E29" s="9" t="inlineStr">
        <is>
          <t>1.30</t>
        </is>
      </c>
      <c r="F29" s="9" t="inlineStr">
        <is>
          <t>No</t>
        </is>
      </c>
      <c r="G29" s="10" t="n">
        <v>1</v>
      </c>
    </row>
    <row r="30">
      <c r="B30" s="4" t="inlineStr">
        <is>
          <t>4A Desplaz. en el plano</t>
        </is>
      </c>
      <c r="C30" s="9" t="inlineStr">
        <is>
          <t>No aplica</t>
        </is>
      </c>
      <c r="D30" s="9" t="inlineStr">
        <is>
          <t>-</t>
        </is>
      </c>
      <c r="E30" s="9" t="inlineStr">
        <is>
          <t>-</t>
        </is>
      </c>
      <c r="F30" s="9" t="inlineStr">
        <is>
          <t>No</t>
        </is>
      </c>
      <c r="G30" s="10" t="n">
        <v>1</v>
      </c>
    </row>
    <row r="31">
      <c r="B31" s="4" t="inlineStr">
        <is>
          <t>5aA/5bA Piso debil</t>
        </is>
      </c>
      <c r="C31" s="9" t="inlineStr">
        <is>
          <t>resist i/i+1</t>
        </is>
      </c>
      <c r="D31" s="9" t="n">
        <v>1</v>
      </c>
      <c r="E31" s="9" t="inlineStr">
        <is>
          <t>0.80 / 0.65</t>
        </is>
      </c>
      <c r="F31" s="9" t="inlineStr">
        <is>
          <t>No</t>
        </is>
      </c>
      <c r="G31" s="10" t="n">
        <v>1</v>
      </c>
    </row>
    <row r="32">
      <c r="B32" s="6" t="inlineStr">
        <is>
          <t>phi_a = MINIMO</t>
        </is>
      </c>
      <c r="G32" s="11">
        <f>MIN(G27:G31)</f>
        <v/>
      </c>
    </row>
    <row r="34">
      <c r="B34" s="2" t="inlineStr">
        <is>
          <t>4. Ausencia de redundancia  -&gt;  phi_r  (A.3.3.8)</t>
        </is>
      </c>
    </row>
    <row r="35">
      <c r="B35" s="4" t="inlineStr">
        <is>
          <t>Lineas de resistencia / dir.</t>
        </is>
      </c>
      <c r="C35" s="9" t="inlineStr">
        <is>
          <t>&gt;= 2 vanos</t>
        </is>
      </c>
      <c r="D35" s="4" t="inlineStr">
        <is>
          <t>Redundante?</t>
        </is>
      </c>
      <c r="E35" s="5" t="inlineStr">
        <is>
          <t>Si</t>
        </is>
      </c>
    </row>
    <row r="36">
      <c r="B36" s="6" t="inlineStr">
        <is>
          <t>phi_r</t>
        </is>
      </c>
      <c r="C36" s="11">
        <f>IF(E35="Si",1,0.75)</f>
        <v/>
      </c>
    </row>
    <row r="38">
      <c r="B38" s="2" t="inlineStr">
        <is>
          <t>5. Coeficiente de disipacion  R = R0 x phi_a x phi_p x phi_r</t>
        </is>
      </c>
    </row>
    <row r="40">
      <c r="B40" s="4" t="inlineStr">
        <is>
          <t>Lx planta [m]</t>
        </is>
      </c>
      <c r="C40" s="5" t="n">
        <v>36.6</v>
      </c>
    </row>
    <row r="41">
      <c r="B41" s="4" t="inlineStr">
        <is>
          <t>Ly planta [m]</t>
        </is>
      </c>
      <c r="C41" s="5" t="n">
        <v>15.99</v>
      </c>
    </row>
    <row r="42">
      <c r="B42" s="4" t="inlineStr">
        <is>
          <t>Proy. retroceso X [m]</t>
        </is>
      </c>
      <c r="C42" s="5" t="n">
        <v>5.1</v>
      </c>
    </row>
    <row r="43">
      <c r="B43" s="4" t="inlineStr">
        <is>
          <t>Proy. retroceso Y [m]</t>
        </is>
      </c>
      <c r="C43" s="5" t="n">
        <v>2.65</v>
      </c>
    </row>
    <row r="44">
      <c r="B44" s="4" t="inlineStr">
        <is>
          <t>Area planta [m2]</t>
        </is>
      </c>
      <c r="C44" s="9">
        <f>C40*C41</f>
        <v/>
      </c>
    </row>
    <row r="45">
      <c r="B45" s="4" t="inlineStr">
        <is>
          <t>Area abierta diafragma [m2]</t>
        </is>
      </c>
      <c r="C45" s="5" t="n">
        <v>27.03</v>
      </c>
    </row>
    <row r="46">
      <c r="B46" s="6" t="inlineStr">
        <is>
          <t>R = R0 x phi_a x phi_p x phi_r</t>
        </is>
      </c>
      <c r="C46" s="12">
        <f>C13*G32*G23*C36</f>
        <v/>
      </c>
    </row>
    <row r="47" ht="58" customHeight="1">
      <c r="B47" s="13" t="inlineStr">
        <is>
          <t>CONCLUSION: estructura REGULAR en planta y altura. Torsion dmax/dprom = 1.02(X) y 1.01(Y) &lt; 1.20; masa 1.32 &lt; 1.50; rigidez creciente hacia la base; diafragma &lt; 50% area; retrocesos &lt; 15%. Por tanto phi_p = phi_a = phi_r = 1.0 y R = 5.0. Las solicitaciones sismicas de DISENO de los elementos = (analisis elastico)/R; las derivas se verifican con las fuerzas sin reducir (A.6).</t>
        </is>
      </c>
      <c r="C47" s="16" t="n"/>
      <c r="D47" s="16" t="n"/>
      <c r="E47" s="16" t="n"/>
      <c r="F47" s="16" t="n"/>
      <c r="G47" s="16" t="n"/>
      <c r="H47" s="16" t="n"/>
      <c r="I47" s="16" t="n"/>
      <c r="J47" s="17" t="n"/>
    </row>
    <row r="48">
      <c r="B48" s="20" t="n"/>
      <c r="C48" s="21" t="n"/>
      <c r="D48" s="21" t="n"/>
      <c r="E48" s="21" t="n"/>
      <c r="F48" s="21" t="n"/>
      <c r="G48" s="21" t="n"/>
      <c r="H48" s="21" t="n"/>
      <c r="I48" s="21" t="n"/>
      <c r="J48" s="22" t="n"/>
    </row>
    <row r="50">
      <c r="B50" s="2" t="inlineStr">
        <is>
          <t>Tabla auxiliar A - Rigidez de piso  ki = Vi/Di</t>
        </is>
      </c>
    </row>
    <row r="51">
      <c r="B51" s="8" t="inlineStr">
        <is>
          <t>Piso</t>
        </is>
      </c>
      <c r="C51" s="8" t="inlineStr">
        <is>
          <t>Fx [kN]</t>
        </is>
      </c>
      <c r="D51" s="8" t="inlineStr">
        <is>
          <t>Vi [kN]</t>
        </is>
      </c>
      <c r="E51" s="8" t="inlineStr">
        <is>
          <t>Di Sx [m]</t>
        </is>
      </c>
      <c r="F51" s="8" t="inlineStr">
        <is>
          <t>ki [kN/m]</t>
        </is>
      </c>
      <c r="G51" s="8" t="inlineStr">
        <is>
          <t>ki/ki+1</t>
        </is>
      </c>
    </row>
    <row r="52">
      <c r="B52" s="9" t="n">
        <v>1</v>
      </c>
      <c r="C52" s="9" t="n">
        <v>991.55</v>
      </c>
      <c r="D52" s="9">
        <f>SUM(C52:C56)</f>
        <v/>
      </c>
      <c r="E52" s="9" t="n">
        <v>0.022</v>
      </c>
      <c r="F52" s="9">
        <f>D52/E52</f>
        <v/>
      </c>
      <c r="G52" s="9">
        <f>F52/F53</f>
        <v/>
      </c>
    </row>
    <row r="53">
      <c r="B53" s="9" t="n">
        <v>2</v>
      </c>
      <c r="C53" s="9" t="n">
        <v>2477.8</v>
      </c>
      <c r="D53" s="9">
        <f>SUM(C53:C56)</f>
        <v/>
      </c>
      <c r="E53" s="9" t="n">
        <v>0.029</v>
      </c>
      <c r="F53" s="9">
        <f>D53/E53</f>
        <v/>
      </c>
      <c r="G53" s="9">
        <f>F53/F54</f>
        <v/>
      </c>
    </row>
    <row r="54">
      <c r="B54" s="9" t="n">
        <v>3</v>
      </c>
      <c r="C54" s="9" t="n">
        <v>3658.6</v>
      </c>
      <c r="D54" s="9">
        <f>SUM(C54:C56)</f>
        <v/>
      </c>
      <c r="E54" s="9" t="n">
        <v>0.026</v>
      </c>
      <c r="F54" s="9">
        <f>D54/E54</f>
        <v/>
      </c>
      <c r="G54" s="9">
        <f>F54/F55</f>
        <v/>
      </c>
    </row>
    <row r="55">
      <c r="B55" s="9" t="n">
        <v>4</v>
      </c>
      <c r="C55" s="9" t="n">
        <v>4849.66</v>
      </c>
      <c r="D55" s="9">
        <f>SUM(C55:C56)</f>
        <v/>
      </c>
      <c r="E55" s="9" t="n">
        <v>0.019</v>
      </c>
      <c r="F55" s="9">
        <f>D55/E55</f>
        <v/>
      </c>
      <c r="G55" s="9">
        <f>F55/F56</f>
        <v/>
      </c>
    </row>
    <row r="56">
      <c r="B56" s="9" t="n">
        <v>5</v>
      </c>
      <c r="C56" s="9" t="n">
        <v>3151.11</v>
      </c>
      <c r="D56" s="9">
        <f>SUM(C56:C56)</f>
        <v/>
      </c>
      <c r="E56" s="9" t="n">
        <v>0.014</v>
      </c>
      <c r="F56" s="9">
        <f>D56/E56</f>
        <v/>
      </c>
      <c r="G56" s="9" t="inlineStr">
        <is>
          <t>-</t>
        </is>
      </c>
    </row>
    <row r="58">
      <c r="B58" s="2" t="inlineStr">
        <is>
          <t>Tabla auxiliar B - Masa por piso</t>
        </is>
      </c>
    </row>
    <row r="59">
      <c r="B59" s="8" t="inlineStr">
        <is>
          <t>Piso</t>
        </is>
      </c>
      <c r="C59" s="8" t="inlineStr">
        <is>
          <t>Peso mi [kN]</t>
        </is>
      </c>
      <c r="D59" s="8" t="inlineStr">
        <is>
          <t>mi/mi-1</t>
        </is>
      </c>
      <c r="E59" s="8" t="inlineStr">
        <is>
          <t>mi/mi+1</t>
        </is>
      </c>
      <c r="H59" s="8" t="inlineStr">
        <is>
          <t>max ratio</t>
        </is>
      </c>
    </row>
    <row r="60">
      <c r="B60" s="9" t="n">
        <v>1</v>
      </c>
      <c r="C60" s="9" t="n">
        <v>7257.69</v>
      </c>
      <c r="D60" s="9" t="inlineStr">
        <is>
          <t>-</t>
        </is>
      </c>
      <c r="E60" s="9">
        <f>C60/C61</f>
        <v/>
      </c>
      <c r="H60" s="9">
        <f>E60</f>
        <v/>
      </c>
    </row>
    <row r="61">
      <c r="B61" s="9" t="n">
        <v>2</v>
      </c>
      <c r="C61" s="9" t="n">
        <v>9604.290000000001</v>
      </c>
      <c r="D61" s="9">
        <f>C61/C60</f>
        <v/>
      </c>
      <c r="E61" s="9">
        <f>C61/C62</f>
        <v/>
      </c>
      <c r="H61" s="9">
        <f>MAX(D61,E61)</f>
        <v/>
      </c>
    </row>
    <row r="62">
      <c r="B62" s="9" t="n">
        <v>3</v>
      </c>
      <c r="C62" s="9" t="n">
        <v>9604.290000000001</v>
      </c>
      <c r="D62" s="9">
        <f>C62/C61</f>
        <v/>
      </c>
      <c r="E62" s="9">
        <f>C62/C63</f>
        <v/>
      </c>
      <c r="H62" s="9">
        <f>MAX(D62,E62)</f>
        <v/>
      </c>
    </row>
    <row r="63">
      <c r="B63" s="9" t="n">
        <v>4</v>
      </c>
      <c r="C63" s="9" t="n">
        <v>9604.290000000001</v>
      </c>
      <c r="D63" s="9">
        <f>C63/C62</f>
        <v/>
      </c>
      <c r="E63" s="9" t="inlineStr">
        <is>
          <t>-</t>
        </is>
      </c>
      <c r="H63" s="9">
        <f>D63</f>
        <v/>
      </c>
    </row>
    <row r="64">
      <c r="B64" s="9" t="inlineStr">
        <is>
          <t>Cubierta</t>
        </is>
      </c>
      <c r="C64" s="9" t="n">
        <v>5003.58</v>
      </c>
    </row>
    <row r="66">
      <c r="B66" s="2" t="inlineStr">
        <is>
          <t>Tabla auxiliar C - Torsion  A = dmax/dprom (valores reales del modelo)</t>
        </is>
      </c>
    </row>
    <row r="67">
      <c r="B67" s="8" t="inlineStr">
        <is>
          <t>Piso</t>
        </is>
      </c>
      <c r="C67" s="8" t="inlineStr">
        <is>
          <t>dmax Sx</t>
        </is>
      </c>
      <c r="D67" s="8" t="inlineStr">
        <is>
          <t>dmin Sx</t>
        </is>
      </c>
      <c r="E67" s="8" t="inlineStr">
        <is>
          <t>Ax</t>
        </is>
      </c>
      <c r="F67" s="8" t="inlineStr">
        <is>
          <t>dmax Sy</t>
        </is>
      </c>
      <c r="G67" s="8" t="inlineStr">
        <is>
          <t>dmin Sy</t>
        </is>
      </c>
      <c r="H67" s="8" t="inlineStr">
        <is>
          <t>Ay</t>
        </is>
      </c>
    </row>
    <row r="68">
      <c r="B68" s="9" t="n">
        <v>1</v>
      </c>
      <c r="C68" s="9" t="n">
        <v>0.0241</v>
      </c>
      <c r="D68" s="9" t="n">
        <v>0.02299</v>
      </c>
      <c r="E68" s="9">
        <f>C68/((C68+D68)/2)</f>
        <v/>
      </c>
      <c r="F68" s="9" t="n">
        <v>0.02097</v>
      </c>
      <c r="G68" s="9" t="n">
        <v>0.02042</v>
      </c>
      <c r="H68" s="9">
        <f>F68/((F68+G68)/2)</f>
        <v/>
      </c>
    </row>
    <row r="69">
      <c r="B69" s="9" t="n">
        <v>2</v>
      </c>
      <c r="C69" s="9" t="n">
        <v>0.05468</v>
      </c>
      <c r="D69" s="9" t="n">
        <v>0.05224</v>
      </c>
      <c r="E69" s="9">
        <f>C69/((C69+D69)/2)</f>
        <v/>
      </c>
      <c r="F69" s="9" t="n">
        <v>0.04338</v>
      </c>
      <c r="G69" s="9" t="n">
        <v>0.04217</v>
      </c>
      <c r="H69" s="9">
        <f>F69/((F69+G69)/2)</f>
        <v/>
      </c>
    </row>
    <row r="70">
      <c r="B70" s="9" t="n">
        <v>3</v>
      </c>
      <c r="C70" s="9" t="n">
        <v>0.08198</v>
      </c>
      <c r="D70" s="9" t="n">
        <v>0.0784</v>
      </c>
      <c r="E70" s="9">
        <f>C70/((C70+D70)/2)</f>
        <v/>
      </c>
      <c r="F70" s="9" t="n">
        <v>0.0625</v>
      </c>
      <c r="G70" s="9" t="n">
        <v>0.06073</v>
      </c>
      <c r="H70" s="9">
        <f>F70/((F70+G70)/2)</f>
        <v/>
      </c>
    </row>
    <row r="71">
      <c r="B71" s="9" t="n">
        <v>4</v>
      </c>
      <c r="C71" s="9" t="n">
        <v>0.1017</v>
      </c>
      <c r="D71" s="9" t="n">
        <v>0.09732</v>
      </c>
      <c r="E71" s="9">
        <f>C71/((C71+D71)/2)</f>
        <v/>
      </c>
      <c r="F71" s="9" t="n">
        <v>0.07592</v>
      </c>
      <c r="G71" s="9" t="n">
        <v>0.07375</v>
      </c>
      <c r="H71" s="9">
        <f>F71/((F71+G71)/2)</f>
        <v/>
      </c>
    </row>
    <row r="72">
      <c r="B72" s="9" t="n">
        <v>5</v>
      </c>
      <c r="C72" s="9" t="n">
        <v>0.11288</v>
      </c>
      <c r="D72" s="9" t="n">
        <v>0.10807</v>
      </c>
      <c r="E72" s="9">
        <f>C72/((C72+D72)/2)</f>
        <v/>
      </c>
      <c r="F72" s="9" t="n">
        <v>0.08278000000000001</v>
      </c>
      <c r="G72" s="9" t="n">
        <v>0.08041</v>
      </c>
      <c r="H72" s="9">
        <f>F72/((F72+G72)/2)</f>
        <v/>
      </c>
    </row>
  </sheetData>
  <mergeCells count="3">
    <mergeCell ref="B47:J48"/>
    <mergeCell ref="B5:J8"/>
    <mergeCell ref="B2:J2"/>
  </mergeCells>
  <printOptions horizontalCentered="1"/>
  <pageMargins left="0.4" right="0.4" top="0.7" bottom="0.7" header="0.3" footer="0.3"/>
  <pageSetup orientation="landscape" fitToHeight="0" fitToWidth="1"/>
  <headerFooter>
    <oddHeader>&amp;L&amp;"Aptos Narrow"&amp;8 EDIFICIO RESIDENCIAL SANTA MARTA&amp;R&amp;"Aptos Narrow"&amp;8 SSS Construcciones y Consultorias SAS</oddHeader>
    <oddFooter>&amp;C&amp;8 Pagina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2:O25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7" customWidth="1" min="2" max="2"/>
    <col width="8" customWidth="1" min="3" max="3"/>
    <col width="7" customWidth="1" min="4" max="4"/>
    <col width="7" customWidth="1" min="5" max="5"/>
    <col width="10" customWidth="1" min="6" max="6"/>
    <col width="10" customWidth="1" min="7" max="7"/>
    <col width="9" customWidth="1" min="8" max="8"/>
    <col width="9" customWidth="1" min="9" max="9"/>
    <col width="10" customWidth="1" min="10" max="10"/>
    <col width="8" customWidth="1" min="11" max="11"/>
    <col width="10" customWidth="1" min="12" max="12"/>
    <col width="8" customWidth="1" min="13" max="13"/>
    <col width="11" customWidth="1" min="14" max="14"/>
    <col width="11" customWidth="1" min="15" max="15"/>
  </cols>
  <sheetData>
    <row r="2">
      <c r="B2" s="23" t="inlineStr">
        <is>
          <t>CUADRO DE VIGAS Y RIOSTRAS POR TIPOS  (NSR-10/ACI - sismo / R=5)</t>
        </is>
      </c>
    </row>
    <row r="4">
      <c r="B4" s="24" t="inlineStr">
        <is>
          <t>Materiales y refuerzo (comunes)</t>
        </is>
      </c>
      <c r="C4" s="25" t="n"/>
      <c r="D4" s="25" t="n"/>
      <c r="E4" s="26" t="n"/>
    </row>
    <row r="5">
      <c r="B5" s="27" t="inlineStr">
        <is>
          <t>f'c [MPa]</t>
        </is>
      </c>
      <c r="C5" s="28" t="n">
        <v>28</v>
      </c>
      <c r="D5" s="27" t="inlineStr">
        <is>
          <t>fy [MPa]</t>
        </is>
      </c>
      <c r="E5" s="28" t="n">
        <v>420</v>
      </c>
      <c r="F5" s="27" t="inlineStr">
        <is>
          <t>recubr [m]</t>
        </is>
      </c>
      <c r="G5" s="28" t="n">
        <v>0.04</v>
      </c>
      <c r="H5" s="27" t="inlineStr">
        <is>
          <t>Diam barra</t>
        </is>
      </c>
      <c r="I5" s="28" t="n">
        <v>15.9</v>
      </c>
      <c r="J5" s="27" t="inlineStr">
        <is>
          <t>#5  Area-&gt;</t>
        </is>
      </c>
      <c r="K5" s="28" t="n">
        <v>199</v>
      </c>
      <c r="L5" s="27" t="inlineStr">
        <is>
          <t>mm2</t>
        </is>
      </c>
    </row>
    <row r="6">
      <c r="B6" s="27" t="inlineStr">
        <is>
          <t>Diam estribo</t>
        </is>
      </c>
      <c r="C6" s="28" t="n">
        <v>9.5</v>
      </c>
      <c r="D6" s="27" t="inlineStr">
        <is>
          <t>#3  Av [mm2]</t>
        </is>
      </c>
      <c r="F6" s="28" t="n">
        <v>142</v>
      </c>
    </row>
    <row r="7" ht="28" customHeight="1">
      <c r="B7" s="7" t="inlineStr">
        <is>
          <t>Las vigas se agrupan por nivel de solicitacion en TIPOS; cada tipo se disena para su M- maximo de grupo. d, As y N de barras se calculan automaticamente. Celdas azules = entrada (envolvente del modelo SAP).</t>
        </is>
      </c>
    </row>
    <row r="9">
      <c r="B9" s="6" t="inlineStr">
        <is>
          <t>VIGAS DE CARGA - VC 40x30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6" t="n"/>
    </row>
    <row r="10">
      <c r="B10" s="29" t="inlineStr">
        <is>
          <t>Tipo</t>
        </is>
      </c>
      <c r="C10" s="29" t="inlineStr">
        <is>
          <t>N vigas</t>
        </is>
      </c>
      <c r="D10" s="29" t="inlineStr">
        <is>
          <t>b [m]</t>
        </is>
      </c>
      <c r="E10" s="29" t="inlineStr">
        <is>
          <t>h [m]</t>
        </is>
      </c>
      <c r="F10" s="29" t="inlineStr">
        <is>
          <t>M- [kN.m]</t>
        </is>
      </c>
      <c r="G10" s="29" t="inlineStr">
        <is>
          <t>M+ [kN.m]</t>
        </is>
      </c>
      <c r="H10" s="29" t="inlineStr">
        <is>
          <t>Vu [kN]</t>
        </is>
      </c>
      <c r="I10" s="29" t="inlineStr">
        <is>
          <t>d [mm]</t>
        </is>
      </c>
      <c r="J10" s="29" t="inlineStr">
        <is>
          <t>As- [mm2]</t>
        </is>
      </c>
      <c r="K10" s="29" t="inlineStr">
        <is>
          <t>N #5</t>
        </is>
      </c>
      <c r="L10" s="29" t="inlineStr">
        <is>
          <t>As+ [mm2]</t>
        </is>
      </c>
      <c r="M10" s="29" t="inlineStr">
        <is>
          <t>N #5</t>
        </is>
      </c>
      <c r="N10" s="29" t="inlineStr">
        <is>
          <t>s estribo [mm]</t>
        </is>
      </c>
      <c r="O10" s="29" t="inlineStr">
        <is>
          <t>rho- check</t>
        </is>
      </c>
    </row>
    <row r="11">
      <c r="B11" s="30" t="inlineStr">
        <is>
          <t>VC-1</t>
        </is>
      </c>
      <c r="C11" s="31" t="n">
        <v>148</v>
      </c>
      <c r="D11" s="28" t="n">
        <v>0.3</v>
      </c>
      <c r="E11" s="28" t="n">
        <v>0.4</v>
      </c>
      <c r="F11" s="28" t="n">
        <v>77</v>
      </c>
      <c r="G11" s="28" t="n">
        <v>58</v>
      </c>
      <c r="H11" s="28" t="n">
        <v>70</v>
      </c>
      <c r="I11" s="31">
        <f>E11*1000-$G$5*1000-$C$6-$I$5/2</f>
        <v/>
      </c>
      <c r="J11" s="32">
        <f>MAX((0.85*$C$5/$E$5)*(1-SQRT(1-2*(F11*1000000/(0.9*(D11*1000)*I11^2))/(0.85*$C$5)))*(D11*1000)*I11,MAX(0.25*SQRT($C$5)/$E$5,1.4/$E$5)*(D11*1000)*I11)</f>
        <v/>
      </c>
      <c r="K11" s="33">
        <f>ROUNDUP(J11/$K$5,0)</f>
        <v/>
      </c>
      <c r="L11" s="32">
        <f>MAX((0.85*$C$5/$E$5)*(1-SQRT(1-2*(G11*1000000/(0.9*(D11*1000)*I11^2))/(0.85*$C$5)))*(D11*1000)*I11,MAX(0.25*SQRT($C$5)/$E$5,1.4/$E$5)*(D11*1000)*I11)</f>
        <v/>
      </c>
      <c r="M11" s="33">
        <f>ROUNDUP(L11/$K$5,0)</f>
        <v/>
      </c>
      <c r="N11" s="31">
        <f>MIN(I11/4,6*$I$5,150)</f>
        <v/>
      </c>
      <c r="O11" s="31">
        <f>IF(J11/((D11*1000)*I11)&lt;=0.025,"OK","REVISAR")</f>
        <v/>
      </c>
    </row>
    <row r="12">
      <c r="B12" s="30" t="inlineStr">
        <is>
          <t>VC-2</t>
        </is>
      </c>
      <c r="C12" s="31" t="n">
        <v>120</v>
      </c>
      <c r="D12" s="28" t="n">
        <v>0.3</v>
      </c>
      <c r="E12" s="28" t="n">
        <v>0.4</v>
      </c>
      <c r="F12" s="28" t="n">
        <v>118</v>
      </c>
      <c r="G12" s="28" t="n">
        <v>101</v>
      </c>
      <c r="H12" s="28" t="n">
        <v>86</v>
      </c>
      <c r="I12" s="31">
        <f>E12*1000-$G$5*1000-$C$6-$I$5/2</f>
        <v/>
      </c>
      <c r="J12" s="32">
        <f>MAX((0.85*$C$5/$E$5)*(1-SQRT(1-2*(F12*1000000/(0.9*(D12*1000)*I12^2))/(0.85*$C$5)))*(D12*1000)*I12,MAX(0.25*SQRT($C$5)/$E$5,1.4/$E$5)*(D12*1000)*I12)</f>
        <v/>
      </c>
      <c r="K12" s="33">
        <f>ROUNDUP(J12/$K$5,0)</f>
        <v/>
      </c>
      <c r="L12" s="32">
        <f>MAX((0.85*$C$5/$E$5)*(1-SQRT(1-2*(G12*1000000/(0.9*(D12*1000)*I12^2))/(0.85*$C$5)))*(D12*1000)*I12,MAX(0.25*SQRT($C$5)/$E$5,1.4/$E$5)*(D12*1000)*I12)</f>
        <v/>
      </c>
      <c r="M12" s="33">
        <f>ROUNDUP(L12/$K$5,0)</f>
        <v/>
      </c>
      <c r="N12" s="31">
        <f>MIN(I12/4,6*$I$5,150)</f>
        <v/>
      </c>
      <c r="O12" s="31">
        <f>IF(J12/((D12*1000)*I12)&lt;=0.025,"OK","REVISAR")</f>
        <v/>
      </c>
    </row>
    <row r="13">
      <c r="B13" s="30" t="inlineStr">
        <is>
          <t>VC-3</t>
        </is>
      </c>
      <c r="C13" s="31" t="n">
        <v>12</v>
      </c>
      <c r="D13" s="28" t="n">
        <v>0.3</v>
      </c>
      <c r="E13" s="28" t="n">
        <v>0.4</v>
      </c>
      <c r="F13" s="28" t="n">
        <v>142</v>
      </c>
      <c r="G13" s="28" t="n">
        <v>79</v>
      </c>
      <c r="H13" s="28" t="n">
        <v>108</v>
      </c>
      <c r="I13" s="31">
        <f>E13*1000-$G$5*1000-$C$6-$I$5/2</f>
        <v/>
      </c>
      <c r="J13" s="32">
        <f>MAX((0.85*$C$5/$E$5)*(1-SQRT(1-2*(F13*1000000/(0.9*(D13*1000)*I13^2))/(0.85*$C$5)))*(D13*1000)*I13,MAX(0.25*SQRT($C$5)/$E$5,1.4/$E$5)*(D13*1000)*I13)</f>
        <v/>
      </c>
      <c r="K13" s="33">
        <f>ROUNDUP(J13/$K$5,0)</f>
        <v/>
      </c>
      <c r="L13" s="32">
        <f>MAX((0.85*$C$5/$E$5)*(1-SQRT(1-2*(G13*1000000/(0.9*(D13*1000)*I13^2))/(0.85*$C$5)))*(D13*1000)*I13,MAX(0.25*SQRT($C$5)/$E$5,1.4/$E$5)*(D13*1000)*I13)</f>
        <v/>
      </c>
      <c r="M13" s="33">
        <f>ROUNDUP(L13/$K$5,0)</f>
        <v/>
      </c>
      <c r="N13" s="31">
        <f>MIN(I13/4,6*$I$5,150)</f>
        <v/>
      </c>
      <c r="O13" s="31">
        <f>IF(J13/((D13*1000)*I13)&lt;=0.025,"OK","REVISAR")</f>
        <v/>
      </c>
    </row>
    <row r="15">
      <c r="B15" s="6" t="inlineStr">
        <is>
          <t>RIOSTRAS / VIGAS DE RIGIDEZ - VR 40x35</t>
        </is>
      </c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6" t="n"/>
    </row>
    <row r="16">
      <c r="B16" s="29" t="inlineStr">
        <is>
          <t>Tipo</t>
        </is>
      </c>
      <c r="C16" s="29" t="inlineStr">
        <is>
          <t>N vigas</t>
        </is>
      </c>
      <c r="D16" s="29" t="inlineStr">
        <is>
          <t>b [m]</t>
        </is>
      </c>
      <c r="E16" s="29" t="inlineStr">
        <is>
          <t>h [m]</t>
        </is>
      </c>
      <c r="F16" s="29" t="inlineStr">
        <is>
          <t>M- [kN.m]</t>
        </is>
      </c>
      <c r="G16" s="29" t="inlineStr">
        <is>
          <t>M+ [kN.m]</t>
        </is>
      </c>
      <c r="H16" s="29" t="inlineStr">
        <is>
          <t>Vu [kN]</t>
        </is>
      </c>
      <c r="I16" s="29" t="inlineStr">
        <is>
          <t>d [mm]</t>
        </is>
      </c>
      <c r="J16" s="29" t="inlineStr">
        <is>
          <t>As- [mm2]</t>
        </is>
      </c>
      <c r="K16" s="29" t="inlineStr">
        <is>
          <t>N #5</t>
        </is>
      </c>
      <c r="L16" s="29" t="inlineStr">
        <is>
          <t>As+ [mm2]</t>
        </is>
      </c>
      <c r="M16" s="29" t="inlineStr">
        <is>
          <t>N #5</t>
        </is>
      </c>
      <c r="N16" s="29" t="inlineStr">
        <is>
          <t>s estribo [mm]</t>
        </is>
      </c>
      <c r="O16" s="29" t="inlineStr">
        <is>
          <t>rho- check</t>
        </is>
      </c>
    </row>
    <row r="17">
      <c r="B17" s="30" t="inlineStr">
        <is>
          <t>VR-1</t>
        </is>
      </c>
      <c r="C17" s="31" t="n">
        <v>170</v>
      </c>
      <c r="D17" s="28" t="n">
        <v>0.35</v>
      </c>
      <c r="E17" s="28" t="n">
        <v>0.4</v>
      </c>
      <c r="F17" s="28" t="n">
        <v>100</v>
      </c>
      <c r="G17" s="28" t="n">
        <v>74</v>
      </c>
      <c r="H17" s="28" t="n">
        <v>104</v>
      </c>
      <c r="I17" s="31">
        <f>E17*1000-$G$5*1000-$C$6-$I$5/2</f>
        <v/>
      </c>
      <c r="J17" s="32">
        <f>MAX((0.85*$C$5/$E$5)*(1-SQRT(1-2*(F17*1000000/(0.9*(D17*1000)*I17^2))/(0.85*$C$5)))*(D17*1000)*I17,MAX(0.25*SQRT($C$5)/$E$5,1.4/$E$5)*(D17*1000)*I17)</f>
        <v/>
      </c>
      <c r="K17" s="33">
        <f>ROUNDUP(J17/$K$5,0)</f>
        <v/>
      </c>
      <c r="L17" s="32">
        <f>MAX((0.85*$C$5/$E$5)*(1-SQRT(1-2*(G17*1000000/(0.9*(D17*1000)*I17^2))/(0.85*$C$5)))*(D17*1000)*I17,MAX(0.25*SQRT($C$5)/$E$5,1.4/$E$5)*(D17*1000)*I17)</f>
        <v/>
      </c>
      <c r="M17" s="33">
        <f>ROUNDUP(L17/$K$5,0)</f>
        <v/>
      </c>
      <c r="N17" s="31">
        <f>MIN(I17/4,6*$I$5,150)</f>
        <v/>
      </c>
      <c r="O17" s="31">
        <f>IF(J17/((D17*1000)*I17)&lt;=0.025,"OK","REVISAR")</f>
        <v/>
      </c>
    </row>
    <row r="18">
      <c r="B18" s="30" t="inlineStr">
        <is>
          <t>VR-2</t>
        </is>
      </c>
      <c r="C18" s="31" t="n">
        <v>120</v>
      </c>
      <c r="D18" s="28" t="n">
        <v>0.35</v>
      </c>
      <c r="E18" s="28" t="n">
        <v>0.4</v>
      </c>
      <c r="F18" s="28" t="n">
        <v>135</v>
      </c>
      <c r="G18" s="28" t="n">
        <v>98</v>
      </c>
      <c r="H18" s="28" t="n">
        <v>133</v>
      </c>
      <c r="I18" s="31">
        <f>E18*1000-$G$5*1000-$C$6-$I$5/2</f>
        <v/>
      </c>
      <c r="J18" s="32">
        <f>MAX((0.85*$C$5/$E$5)*(1-SQRT(1-2*(F18*1000000/(0.9*(D18*1000)*I18^2))/(0.85*$C$5)))*(D18*1000)*I18,MAX(0.25*SQRT($C$5)/$E$5,1.4/$E$5)*(D18*1000)*I18)</f>
        <v/>
      </c>
      <c r="K18" s="33">
        <f>ROUNDUP(J18/$K$5,0)</f>
        <v/>
      </c>
      <c r="L18" s="32">
        <f>MAX((0.85*$C$5/$E$5)*(1-SQRT(1-2*(G18*1000000/(0.9*(D18*1000)*I18^2))/(0.85*$C$5)))*(D18*1000)*I18,MAX(0.25*SQRT($C$5)/$E$5,1.4/$E$5)*(D18*1000)*I18)</f>
        <v/>
      </c>
      <c r="M18" s="33">
        <f>ROUNDUP(L18/$K$5,0)</f>
        <v/>
      </c>
      <c r="N18" s="31">
        <f>MIN(I18/4,6*$I$5,150)</f>
        <v/>
      </c>
      <c r="O18" s="31">
        <f>IF(J18/((D18*1000)*I18)&lt;=0.025,"OK","REVISAR")</f>
        <v/>
      </c>
    </row>
    <row r="19">
      <c r="B19" s="30" t="inlineStr">
        <is>
          <t>VR-3</t>
        </is>
      </c>
      <c r="C19" s="31" t="n">
        <v>6</v>
      </c>
      <c r="D19" s="28" t="n">
        <v>0.35</v>
      </c>
      <c r="E19" s="28" t="n">
        <v>0.4</v>
      </c>
      <c r="F19" s="28" t="n">
        <v>186</v>
      </c>
      <c r="G19" s="28" t="n">
        <v>138</v>
      </c>
      <c r="H19" s="28" t="n">
        <v>189</v>
      </c>
      <c r="I19" s="31">
        <f>E19*1000-$G$5*1000-$C$6-$I$5/2</f>
        <v/>
      </c>
      <c r="J19" s="32">
        <f>MAX((0.85*$C$5/$E$5)*(1-SQRT(1-2*(F19*1000000/(0.9*(D19*1000)*I19^2))/(0.85*$C$5)))*(D19*1000)*I19,MAX(0.25*SQRT($C$5)/$E$5,1.4/$E$5)*(D19*1000)*I19)</f>
        <v/>
      </c>
      <c r="K19" s="33">
        <f>ROUNDUP(J19/$K$5,0)</f>
        <v/>
      </c>
      <c r="L19" s="32">
        <f>MAX((0.85*$C$5/$E$5)*(1-SQRT(1-2*(G19*1000000/(0.9*(D19*1000)*I19^2))/(0.85*$C$5)))*(D19*1000)*I19,MAX(0.25*SQRT($C$5)/$E$5,1.4/$E$5)*(D19*1000)*I19)</f>
        <v/>
      </c>
      <c r="M19" s="33">
        <f>ROUNDUP(L19/$K$5,0)</f>
        <v/>
      </c>
      <c r="N19" s="31">
        <f>MIN(I19/4,6*$I$5,150)</f>
        <v/>
      </c>
      <c r="O19" s="31">
        <f>IF(J19/((D19*1000)*I19)&lt;=0.025,"OK","REVISAR")</f>
        <v/>
      </c>
    </row>
    <row r="20">
      <c r="B20" s="30" t="inlineStr">
        <is>
          <t>VR-4</t>
        </is>
      </c>
      <c r="C20" s="31" t="n">
        <v>14</v>
      </c>
      <c r="D20" s="28" t="n">
        <v>0.35</v>
      </c>
      <c r="E20" s="28" t="n">
        <v>0.4</v>
      </c>
      <c r="F20" s="28" t="n">
        <v>243</v>
      </c>
      <c r="G20" s="28" t="n">
        <v>134</v>
      </c>
      <c r="H20" s="28" t="n">
        <v>202</v>
      </c>
      <c r="I20" s="31">
        <f>E20*1000-$G$5*1000-$C$6-$I$5/2</f>
        <v/>
      </c>
      <c r="J20" s="32">
        <f>MAX((0.85*$C$5/$E$5)*(1-SQRT(1-2*(F20*1000000/(0.9*(D20*1000)*I20^2))/(0.85*$C$5)))*(D20*1000)*I20,MAX(0.25*SQRT($C$5)/$E$5,1.4/$E$5)*(D20*1000)*I20)</f>
        <v/>
      </c>
      <c r="K20" s="33">
        <f>ROUNDUP(J20/$K$5,0)</f>
        <v/>
      </c>
      <c r="L20" s="32">
        <f>MAX((0.85*$C$5/$E$5)*(1-SQRT(1-2*(G20*1000000/(0.9*(D20*1000)*I20^2))/(0.85*$C$5)))*(D20*1000)*I20,MAX(0.25*SQRT($C$5)/$E$5,1.4/$E$5)*(D20*1000)*I20)</f>
        <v/>
      </c>
      <c r="M20" s="33">
        <f>ROUNDUP(L20/$K$5,0)</f>
        <v/>
      </c>
      <c r="N20" s="31">
        <f>MIN(I20/4,6*$I$5,150)</f>
        <v/>
      </c>
      <c r="O20" s="31">
        <f>IF(J20/((D20*1000)*I20)&lt;=0.025,"OK","REVISAR")</f>
        <v/>
      </c>
    </row>
    <row r="22">
      <c r="B22" s="6" t="inlineStr">
        <is>
          <t>Notas</t>
        </is>
      </c>
    </row>
    <row r="23" ht="46" customHeight="1">
      <c r="B23" s="7" t="inlineStr">
        <is>
          <t>Cada tipo agrupa las vigas con M- hasta el valor indicado. El N de barras es para flexion; en apoyos se coloca As- (bastones Ln/4+ld) y en el centro As+ corrido. Estribos #3 @ s en zona de confinamiento (2h desde la cara del nudo) y @ d/2 en el resto. Torsion y cortante por capacidad: ver hojas 'Diseno Vigas' y 'Diseno Riostras' (calculo detallado del tipo critico VC-3 y VR-4).</t>
        </is>
      </c>
    </row>
    <row r="24"/>
    <row r="25"/>
  </sheetData>
  <mergeCells count="6">
    <mergeCell ref="B9:O9"/>
    <mergeCell ref="B4:E4"/>
    <mergeCell ref="B2:O2"/>
    <mergeCell ref="B15:O15"/>
    <mergeCell ref="B7:O7"/>
    <mergeCell ref="B23:O25"/>
  </mergeCells>
  <printOptions horizontalCentered="1"/>
  <pageMargins left="0.4" right="0.4" top="0.7" bottom="0.7" header="0.3" footer="0.3"/>
  <pageSetup orientation="landscape" fitToHeight="0" fitToWidth="1"/>
  <headerFooter>
    <oddHeader>&amp;L&amp;"Aptos Narrow"&amp;8 EDIFICIO RESIDENCIAL SANTA MARTA&amp;R&amp;"Aptos Narrow"&amp;8 SSS Construcciones y Consultorias SAS</oddHeader>
    <oddFooter>&amp;C&amp;8 Pagina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2:N29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7" customWidth="1" min="2" max="2"/>
    <col width="9" customWidth="1" min="3" max="3"/>
    <col width="8" customWidth="1" min="4" max="4"/>
    <col width="8" customWidth="1" min="5" max="5"/>
    <col width="9" customWidth="1" min="6" max="6"/>
    <col width="9" customWidth="1" min="7" max="7"/>
    <col width="8" customWidth="1" min="8" max="8"/>
    <col width="9" customWidth="1" min="9" max="9"/>
    <col width="10" customWidth="1" min="10" max="10"/>
    <col width="7" customWidth="1" min="11" max="11"/>
    <col width="10" customWidth="1" min="12" max="12"/>
    <col width="7" customWidth="1" min="13" max="13"/>
    <col width="11" customWidth="1" min="14" max="14"/>
  </cols>
  <sheetData>
    <row r="2">
      <c r="B2" s="23" t="inlineStr">
        <is>
          <t>CUADRO DE VIGUETAS POR TIPO DE LUZ  (losa aligerada, viga T, gravedad)</t>
        </is>
      </c>
    </row>
    <row r="4">
      <c r="B4" s="6" t="inlineStr">
        <is>
          <t>Geometria y materiales (comunes)</t>
        </is>
      </c>
    </row>
    <row r="5">
      <c r="B5" s="27" t="inlineStr">
        <is>
          <t>f'c [MPa]</t>
        </is>
      </c>
      <c r="C5" s="28" t="n">
        <v>28</v>
      </c>
      <c r="D5" s="27" t="inlineStr">
        <is>
          <t>fy [MPa]</t>
        </is>
      </c>
      <c r="E5" s="28" t="n">
        <v>420</v>
      </c>
      <c r="F5" s="27" t="inlineStr">
        <is>
          <t>bw [m]</t>
        </is>
      </c>
      <c r="G5" s="28" t="n">
        <v>0.15</v>
      </c>
      <c r="H5" s="27" t="inlineStr">
        <is>
          <t>h [m]</t>
        </is>
      </c>
      <c r="I5" s="28" t="n">
        <v>0.34</v>
      </c>
      <c r="J5" s="27" t="inlineStr">
        <is>
          <t>hf [m]</t>
        </is>
      </c>
      <c r="K5" s="28" t="n">
        <v>0.06</v>
      </c>
    </row>
    <row r="6">
      <c r="B6" s="27" t="inlineStr">
        <is>
          <t>sv [m]</t>
        </is>
      </c>
      <c r="C6" s="28" t="n">
        <v>0.8</v>
      </c>
      <c r="D6" s="27" t="inlineStr">
        <is>
          <t>recubr [m]</t>
        </is>
      </c>
      <c r="E6" s="28" t="n">
        <v>0.03</v>
      </c>
      <c r="F6" s="27" t="inlineStr">
        <is>
          <t>Diam barra</t>
        </is>
      </c>
      <c r="G6" s="28" t="n">
        <v>12.7</v>
      </c>
      <c r="H6" s="27" t="inlineStr">
        <is>
          <t>#4 Area</t>
        </is>
      </c>
      <c r="I6" s="28" t="n">
        <v>129</v>
      </c>
      <c r="J6" s="27" t="inlineStr">
        <is>
          <t>ancho apoyo [m]</t>
        </is>
      </c>
      <c r="K6" s="28" t="n">
        <v>0.35</v>
      </c>
    </row>
    <row r="7">
      <c r="B7" s="24" t="inlineStr">
        <is>
          <t>d [mm]</t>
        </is>
      </c>
      <c r="C7" s="34">
        <f>I5*1000-E6*1000-G6/2</f>
        <v/>
      </c>
      <c r="D7" s="24" t="inlineStr">
        <is>
          <t>As min [mm2]</t>
        </is>
      </c>
      <c r="F7" s="34">
        <f>MAX(0.25*SQRT(C5)/E5,1.4/E5)*G5*1000*C7</f>
        <v/>
      </c>
    </row>
    <row r="8">
      <c r="B8" s="7" t="inlineStr">
        <is>
          <t>Vigueta continua: M- = wu Ln2/10 (apoyo), M+ = wu Ln2/14 (centro), Vu = 1.15 wu Ln/2.  Ln = L_ejes - ancho apoyo.</t>
        </is>
      </c>
    </row>
    <row r="10">
      <c r="B10" s="6" t="inlineStr">
        <is>
          <t>VIGUETAS DE ENTREPISO  (carga viva recreativa)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6" t="n"/>
    </row>
    <row r="11">
      <c r="B11" s="27" t="inlineStr">
        <is>
          <t>wD [kN/m2]</t>
        </is>
      </c>
      <c r="C11" s="28" t="n">
        <v>7.04</v>
      </c>
      <c r="D11" s="27" t="inlineStr">
        <is>
          <t>wL [kN/m2]</t>
        </is>
      </c>
      <c r="E11" s="28" t="n">
        <v>1.8</v>
      </c>
    </row>
    <row r="12">
      <c r="B12" s="29" t="inlineStr">
        <is>
          <t>Tipo</t>
        </is>
      </c>
      <c r="C12" s="29" t="inlineStr">
        <is>
          <t>L ejes [m]</t>
        </is>
      </c>
      <c r="D12" s="29" t="inlineStr">
        <is>
          <t>Ln [m]</t>
        </is>
      </c>
      <c r="E12" s="29" t="inlineStr">
        <is>
          <t>wu [kN/m]</t>
        </is>
      </c>
      <c r="F12" s="29" t="inlineStr">
        <is>
          <t>M- [kN.m]</t>
        </is>
      </c>
      <c r="G12" s="29" t="inlineStr">
        <is>
          <t>M+ [kN.m]</t>
        </is>
      </c>
      <c r="H12" s="29" t="inlineStr">
        <is>
          <t>Vu [kN]</t>
        </is>
      </c>
      <c r="I12" s="29" t="inlineStr">
        <is>
          <t>bf [mm]</t>
        </is>
      </c>
      <c r="J12" s="29" t="inlineStr">
        <is>
          <t>As+ [mm2]</t>
        </is>
      </c>
      <c r="K12" s="29" t="inlineStr">
        <is>
          <t>N #4+</t>
        </is>
      </c>
      <c r="L12" s="29" t="inlineStr">
        <is>
          <t>As- [mm2]</t>
        </is>
      </c>
      <c r="M12" s="29" t="inlineStr">
        <is>
          <t>N #4-</t>
        </is>
      </c>
      <c r="N12" s="29" t="inlineStr">
        <is>
          <t>Estribos?</t>
        </is>
      </c>
    </row>
    <row r="13">
      <c r="B13" s="30" t="inlineStr">
        <is>
          <t>VT-1</t>
        </is>
      </c>
      <c r="C13" s="28" t="n">
        <v>2.2</v>
      </c>
      <c r="D13" s="31">
        <f>C13-$K$6</f>
        <v/>
      </c>
      <c r="E13" s="31">
        <f>(1.2*C11+1.6*E11)*$C$6</f>
        <v/>
      </c>
      <c r="F13" s="31">
        <f>E13*D13^2/10</f>
        <v/>
      </c>
      <c r="G13" s="31">
        <f>E13*D13^2/14</f>
        <v/>
      </c>
      <c r="H13" s="31">
        <f>1.15*E13*D13/2</f>
        <v/>
      </c>
      <c r="I13" s="31">
        <f>MIN(D13*1000/4,($G$5*1000)+16*$K$5*1000,$C$6*1000)</f>
        <v/>
      </c>
      <c r="J13" s="32">
        <f>MAX((0.85*$C$5/$E$5)*(1-SQRT(1-2*(G13*1000000/(0.9*I13*$C$7^2))/(0.85*$C$5)))*I13*$C$7,$F$7)</f>
        <v/>
      </c>
      <c r="K13" s="33">
        <f>ROUNDUP(J13/$I$6,0)</f>
        <v/>
      </c>
      <c r="L13" s="32">
        <f>MAX((0.85*$C$5/$E$5)*(1-SQRT(1-2*(F13*1000000/(0.9*($G$5*1000)*$C$7^2))/(0.85*$C$5)))*($G$5*1000)*$C$7,$F$7)</f>
        <v/>
      </c>
      <c r="M13" s="33">
        <f>ROUNDUP(L13/$I$6,0)</f>
        <v/>
      </c>
      <c r="N13" s="31">
        <f>IF(H13&lt;=0.75*1.1*(0.17*SQRT($C$5)*($G$5*1000)*$C$7/1000),"No","Si")</f>
        <v/>
      </c>
    </row>
    <row r="14">
      <c r="B14" s="30" t="inlineStr">
        <is>
          <t>VT-2</t>
        </is>
      </c>
      <c r="C14" s="28" t="n">
        <v>3.6</v>
      </c>
      <c r="D14" s="31">
        <f>C14-$K$6</f>
        <v/>
      </c>
      <c r="E14" s="31">
        <f>(1.2*C11+1.6*E11)*$C$6</f>
        <v/>
      </c>
      <c r="F14" s="31">
        <f>E14*D14^2/10</f>
        <v/>
      </c>
      <c r="G14" s="31">
        <f>E14*D14^2/14</f>
        <v/>
      </c>
      <c r="H14" s="31">
        <f>1.15*E14*D14/2</f>
        <v/>
      </c>
      <c r="I14" s="31">
        <f>MIN(D14*1000/4,($G$5*1000)+16*$K$5*1000,$C$6*1000)</f>
        <v/>
      </c>
      <c r="J14" s="32">
        <f>MAX((0.85*$C$5/$E$5)*(1-SQRT(1-2*(G14*1000000/(0.9*I14*$C$7^2))/(0.85*$C$5)))*I14*$C$7,$F$7)</f>
        <v/>
      </c>
      <c r="K14" s="33">
        <f>ROUNDUP(J14/$I$6,0)</f>
        <v/>
      </c>
      <c r="L14" s="32">
        <f>MAX((0.85*$C$5/$E$5)*(1-SQRT(1-2*(F14*1000000/(0.9*($G$5*1000)*$C$7^2))/(0.85*$C$5)))*($G$5*1000)*$C$7,$F$7)</f>
        <v/>
      </c>
      <c r="M14" s="33">
        <f>ROUNDUP(L14/$I$6,0)</f>
        <v/>
      </c>
      <c r="N14" s="31">
        <f>IF(H14&lt;=0.75*1.1*(0.17*SQRT($C$5)*($G$5*1000)*$C$7/1000),"No","Si")</f>
        <v/>
      </c>
    </row>
    <row r="15">
      <c r="B15" s="30" t="inlineStr">
        <is>
          <t>VT-3</t>
        </is>
      </c>
      <c r="C15" s="28" t="n">
        <v>4.8</v>
      </c>
      <c r="D15" s="31">
        <f>C15-$K$6</f>
        <v/>
      </c>
      <c r="E15" s="31">
        <f>(1.2*C11+1.6*E11)*$C$6</f>
        <v/>
      </c>
      <c r="F15" s="31">
        <f>E15*D15^2/10</f>
        <v/>
      </c>
      <c r="G15" s="31">
        <f>E15*D15^2/14</f>
        <v/>
      </c>
      <c r="H15" s="31">
        <f>1.15*E15*D15/2</f>
        <v/>
      </c>
      <c r="I15" s="31">
        <f>MIN(D15*1000/4,($G$5*1000)+16*$K$5*1000,$C$6*1000)</f>
        <v/>
      </c>
      <c r="J15" s="32">
        <f>MAX((0.85*$C$5/$E$5)*(1-SQRT(1-2*(G15*1000000/(0.9*I15*$C$7^2))/(0.85*$C$5)))*I15*$C$7,$F$7)</f>
        <v/>
      </c>
      <c r="K15" s="33">
        <f>ROUNDUP(J15/$I$6,0)</f>
        <v/>
      </c>
      <c r="L15" s="32">
        <f>MAX((0.85*$C$5/$E$5)*(1-SQRT(1-2*(F15*1000000/(0.9*($G$5*1000)*$C$7^2))/(0.85*$C$5)))*($G$5*1000)*$C$7,$F$7)</f>
        <v/>
      </c>
      <c r="M15" s="33">
        <f>ROUNDUP(L15/$I$6,0)</f>
        <v/>
      </c>
      <c r="N15" s="31">
        <f>IF(H15&lt;=0.75*1.1*(0.17*SQRT($C$5)*($G$5*1000)*$C$7/1000),"No","Si")</f>
        <v/>
      </c>
    </row>
    <row r="16">
      <c r="B16" s="30" t="inlineStr">
        <is>
          <t>VT-4</t>
        </is>
      </c>
      <c r="C16" s="28" t="n">
        <v>5.15</v>
      </c>
      <c r="D16" s="31">
        <f>C16-$K$6</f>
        <v/>
      </c>
      <c r="E16" s="31">
        <f>(1.2*C11+1.6*E11)*$C$6</f>
        <v/>
      </c>
      <c r="F16" s="31">
        <f>E16*D16^2/10</f>
        <v/>
      </c>
      <c r="G16" s="31">
        <f>E16*D16^2/14</f>
        <v/>
      </c>
      <c r="H16" s="31">
        <f>1.15*E16*D16/2</f>
        <v/>
      </c>
      <c r="I16" s="31">
        <f>MIN(D16*1000/4,($G$5*1000)+16*$K$5*1000,$C$6*1000)</f>
        <v/>
      </c>
      <c r="J16" s="32">
        <f>MAX((0.85*$C$5/$E$5)*(1-SQRT(1-2*(G16*1000000/(0.9*I16*$C$7^2))/(0.85*$C$5)))*I16*$C$7,$F$7)</f>
        <v/>
      </c>
      <c r="K16" s="33">
        <f>ROUNDUP(J16/$I$6,0)</f>
        <v/>
      </c>
      <c r="L16" s="32">
        <f>MAX((0.85*$C$5/$E$5)*(1-SQRT(1-2*(F16*1000000/(0.9*($G$5*1000)*$C$7^2))/(0.85*$C$5)))*($G$5*1000)*$C$7,$F$7)</f>
        <v/>
      </c>
      <c r="M16" s="33">
        <f>ROUNDUP(L16/$I$6,0)</f>
        <v/>
      </c>
      <c r="N16" s="31">
        <f>IF(H16&lt;=0.75*1.1*(0.17*SQRT($C$5)*($G$5*1000)*$C$7/1000),"No","Si")</f>
        <v/>
      </c>
    </row>
    <row r="18">
      <c r="B18" s="6" t="inlineStr">
        <is>
          <t>VIGUETAS DE CUBIERTA  (terraza social, L=5 kN/m2 - GOBIERNA)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6" t="n"/>
    </row>
    <row r="19">
      <c r="B19" s="27" t="inlineStr">
        <is>
          <t>wD [kN/m2]</t>
        </is>
      </c>
      <c r="C19" s="28" t="n">
        <v>4.376</v>
      </c>
      <c r="D19" s="27" t="inlineStr">
        <is>
          <t>wL [kN/m2]</t>
        </is>
      </c>
      <c r="E19" s="28" t="n">
        <v>5</v>
      </c>
    </row>
    <row r="20">
      <c r="B20" s="29" t="inlineStr">
        <is>
          <t>Tipo</t>
        </is>
      </c>
      <c r="C20" s="29" t="inlineStr">
        <is>
          <t>L ejes [m]</t>
        </is>
      </c>
      <c r="D20" s="29" t="inlineStr">
        <is>
          <t>Ln [m]</t>
        </is>
      </c>
      <c r="E20" s="29" t="inlineStr">
        <is>
          <t>wu [kN/m]</t>
        </is>
      </c>
      <c r="F20" s="29" t="inlineStr">
        <is>
          <t>M- [kN.m]</t>
        </is>
      </c>
      <c r="G20" s="29" t="inlineStr">
        <is>
          <t>M+ [kN.m]</t>
        </is>
      </c>
      <c r="H20" s="29" t="inlineStr">
        <is>
          <t>Vu [kN]</t>
        </is>
      </c>
      <c r="I20" s="29" t="inlineStr">
        <is>
          <t>bf [mm]</t>
        </is>
      </c>
      <c r="J20" s="29" t="inlineStr">
        <is>
          <t>As+ [mm2]</t>
        </is>
      </c>
      <c r="K20" s="29" t="inlineStr">
        <is>
          <t>N #4+</t>
        </is>
      </c>
      <c r="L20" s="29" t="inlineStr">
        <is>
          <t>As- [mm2]</t>
        </is>
      </c>
      <c r="M20" s="29" t="inlineStr">
        <is>
          <t>N #4-</t>
        </is>
      </c>
      <c r="N20" s="29" t="inlineStr">
        <is>
          <t>Estribos?</t>
        </is>
      </c>
    </row>
    <row r="21">
      <c r="B21" s="30" t="inlineStr">
        <is>
          <t>VT-1</t>
        </is>
      </c>
      <c r="C21" s="28" t="n">
        <v>2.2</v>
      </c>
      <c r="D21" s="31">
        <f>C21-$K$6</f>
        <v/>
      </c>
      <c r="E21" s="31">
        <f>(1.2*C19+1.6*E19)*$C$6</f>
        <v/>
      </c>
      <c r="F21" s="31">
        <f>E21*D21^2/10</f>
        <v/>
      </c>
      <c r="G21" s="31">
        <f>E21*D21^2/14</f>
        <v/>
      </c>
      <c r="H21" s="31">
        <f>1.15*E21*D21/2</f>
        <v/>
      </c>
      <c r="I21" s="31">
        <f>MIN(D21*1000/4,($G$5*1000)+16*$K$5*1000,$C$6*1000)</f>
        <v/>
      </c>
      <c r="J21" s="32">
        <f>MAX((0.85*$C$5/$E$5)*(1-SQRT(1-2*(G21*1000000/(0.9*I21*$C$7^2))/(0.85*$C$5)))*I21*$C$7,$F$7)</f>
        <v/>
      </c>
      <c r="K21" s="33">
        <f>ROUNDUP(J21/$I$6,0)</f>
        <v/>
      </c>
      <c r="L21" s="32">
        <f>MAX((0.85*$C$5/$E$5)*(1-SQRT(1-2*(F21*1000000/(0.9*($G$5*1000)*$C$7^2))/(0.85*$C$5)))*($G$5*1000)*$C$7,$F$7)</f>
        <v/>
      </c>
      <c r="M21" s="33">
        <f>ROUNDUP(L21/$I$6,0)</f>
        <v/>
      </c>
      <c r="N21" s="31">
        <f>IF(H21&lt;=0.75*1.1*(0.17*SQRT($C$5)*($G$5*1000)*$C$7/1000),"No","Si")</f>
        <v/>
      </c>
    </row>
    <row r="22">
      <c r="B22" s="30" t="inlineStr">
        <is>
          <t>VT-2</t>
        </is>
      </c>
      <c r="C22" s="28" t="n">
        <v>3.6</v>
      </c>
      <c r="D22" s="31">
        <f>C22-$K$6</f>
        <v/>
      </c>
      <c r="E22" s="31">
        <f>(1.2*C19+1.6*E19)*$C$6</f>
        <v/>
      </c>
      <c r="F22" s="31">
        <f>E22*D22^2/10</f>
        <v/>
      </c>
      <c r="G22" s="31">
        <f>E22*D22^2/14</f>
        <v/>
      </c>
      <c r="H22" s="31">
        <f>1.15*E22*D22/2</f>
        <v/>
      </c>
      <c r="I22" s="31">
        <f>MIN(D22*1000/4,($G$5*1000)+16*$K$5*1000,$C$6*1000)</f>
        <v/>
      </c>
      <c r="J22" s="32">
        <f>MAX((0.85*$C$5/$E$5)*(1-SQRT(1-2*(G22*1000000/(0.9*I22*$C$7^2))/(0.85*$C$5)))*I22*$C$7,$F$7)</f>
        <v/>
      </c>
      <c r="K22" s="33">
        <f>ROUNDUP(J22/$I$6,0)</f>
        <v/>
      </c>
      <c r="L22" s="32">
        <f>MAX((0.85*$C$5/$E$5)*(1-SQRT(1-2*(F22*1000000/(0.9*($G$5*1000)*$C$7^2))/(0.85*$C$5)))*($G$5*1000)*$C$7,$F$7)</f>
        <v/>
      </c>
      <c r="M22" s="33">
        <f>ROUNDUP(L22/$I$6,0)</f>
        <v/>
      </c>
      <c r="N22" s="31">
        <f>IF(H22&lt;=0.75*1.1*(0.17*SQRT($C$5)*($G$5*1000)*$C$7/1000),"No","Si")</f>
        <v/>
      </c>
    </row>
    <row r="23">
      <c r="B23" s="30" t="inlineStr">
        <is>
          <t>VT-3</t>
        </is>
      </c>
      <c r="C23" s="28" t="n">
        <v>4.8</v>
      </c>
      <c r="D23" s="31">
        <f>C23-$K$6</f>
        <v/>
      </c>
      <c r="E23" s="31">
        <f>(1.2*C19+1.6*E19)*$C$6</f>
        <v/>
      </c>
      <c r="F23" s="31">
        <f>E23*D23^2/10</f>
        <v/>
      </c>
      <c r="G23" s="31">
        <f>E23*D23^2/14</f>
        <v/>
      </c>
      <c r="H23" s="31">
        <f>1.15*E23*D23/2</f>
        <v/>
      </c>
      <c r="I23" s="31">
        <f>MIN(D23*1000/4,($G$5*1000)+16*$K$5*1000,$C$6*1000)</f>
        <v/>
      </c>
      <c r="J23" s="32">
        <f>MAX((0.85*$C$5/$E$5)*(1-SQRT(1-2*(G23*1000000/(0.9*I23*$C$7^2))/(0.85*$C$5)))*I23*$C$7,$F$7)</f>
        <v/>
      </c>
      <c r="K23" s="33">
        <f>ROUNDUP(J23/$I$6,0)</f>
        <v/>
      </c>
      <c r="L23" s="32">
        <f>MAX((0.85*$C$5/$E$5)*(1-SQRT(1-2*(F23*1000000/(0.9*($G$5*1000)*$C$7^2))/(0.85*$C$5)))*($G$5*1000)*$C$7,$F$7)</f>
        <v/>
      </c>
      <c r="M23" s="33">
        <f>ROUNDUP(L23/$I$6,0)</f>
        <v/>
      </c>
      <c r="N23" s="31">
        <f>IF(H23&lt;=0.75*1.1*(0.17*SQRT($C$5)*($G$5*1000)*$C$7/1000),"No","Si")</f>
        <v/>
      </c>
    </row>
    <row r="24">
      <c r="B24" s="30" t="inlineStr">
        <is>
          <t>VT-4</t>
        </is>
      </c>
      <c r="C24" s="28" t="n">
        <v>5.15</v>
      </c>
      <c r="D24" s="31">
        <f>C24-$K$6</f>
        <v/>
      </c>
      <c r="E24" s="31">
        <f>(1.2*C19+1.6*E19)*$C$6</f>
        <v/>
      </c>
      <c r="F24" s="31">
        <f>E24*D24^2/10</f>
        <v/>
      </c>
      <c r="G24" s="31">
        <f>E24*D24^2/14</f>
        <v/>
      </c>
      <c r="H24" s="31">
        <f>1.15*E24*D24/2</f>
        <v/>
      </c>
      <c r="I24" s="31">
        <f>MIN(D24*1000/4,($G$5*1000)+16*$K$5*1000,$C$6*1000)</f>
        <v/>
      </c>
      <c r="J24" s="32">
        <f>MAX((0.85*$C$5/$E$5)*(1-SQRT(1-2*(G24*1000000/(0.9*I24*$C$7^2))/(0.85*$C$5)))*I24*$C$7,$F$7)</f>
        <v/>
      </c>
      <c r="K24" s="33">
        <f>ROUNDUP(J24/$I$6,0)</f>
        <v/>
      </c>
      <c r="L24" s="32">
        <f>MAX((0.85*$C$5/$E$5)*(1-SQRT(1-2*(F24*1000000/(0.9*($G$5*1000)*$C$7^2))/(0.85*$C$5)))*($G$5*1000)*$C$7,$F$7)</f>
        <v/>
      </c>
      <c r="M24" s="33">
        <f>ROUNDUP(L24/$I$6,0)</f>
        <v/>
      </c>
      <c r="N24" s="31">
        <f>IF(H24&lt;=0.75*1.1*(0.17*SQRT($C$5)*($G$5*1000)*$C$7/1000),"No","Si")</f>
        <v/>
      </c>
    </row>
    <row r="26">
      <c r="B26" s="6" t="inlineStr">
        <is>
          <t>Despiece</t>
        </is>
      </c>
    </row>
    <row r="27" ht="46" customHeight="1">
      <c r="B27" s="7" t="inlineStr">
        <is>
          <t>Todas las viguetas: refuerzo inferior As(+) corrido + refuerzo superior As(-) sobre apoyos (bastones Ln/4 + ld). Como las solicitaciones son bajas, casi todas requieren el As minimo (2 #4). Sin estribos (Vu &lt;= phi 1.1 Vc). Loseta con malla de retraccion Ø6 @ 250 mm (As=0.0018*b*hf). f'c=28 MPa, fy=420 MPa.</t>
        </is>
      </c>
    </row>
    <row r="28"/>
    <row r="29"/>
  </sheetData>
  <mergeCells count="5">
    <mergeCell ref="B8:N8"/>
    <mergeCell ref="B18:N18"/>
    <mergeCell ref="B2:N2"/>
    <mergeCell ref="B10:N10"/>
    <mergeCell ref="B27:N29"/>
  </mergeCells>
  <printOptions horizontalCentered="1"/>
  <pageMargins left="0.4" right="0.4" top="0.7" bottom="0.7" header="0.3" footer="0.3"/>
  <pageSetup orientation="landscape" fitToHeight="0" fitToWidth="1"/>
  <headerFooter>
    <oddHeader>&amp;L&amp;"Aptos Narrow"&amp;8 EDIFICIO RESIDENCIAL SANTA MARTA&amp;R&amp;"Aptos Narrow"&amp;8 SSS Construcciones y Consultorias SAS</oddHeader>
    <oddFooter>&amp;C&amp;8 Pagina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5496"/>
    <outlinePr summaryBelow="1" summaryRight="1"/>
    <pageSetUpPr fitToPage="1"/>
  </sheetPr>
  <dimension ref="B2:H123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9" customWidth="1" min="4" max="4"/>
    <col width="2" customWidth="1" min="5" max="5"/>
    <col width="34" customWidth="1" min="6" max="6"/>
    <col width="13" customWidth="1" min="7" max="7"/>
    <col width="9" customWidth="1" min="8" max="8"/>
  </cols>
  <sheetData>
    <row r="2">
      <c r="B2" s="23" t="inlineStr">
        <is>
          <t>DISENO DE VIGAS DE CARGA  VC 40x30  (todos los grupos, NSR-10/ACI DMO)</t>
        </is>
      </c>
    </row>
    <row r="4">
      <c r="B4" s="6" t="inlineStr">
        <is>
          <t>DATOS COMUNES</t>
        </is>
      </c>
      <c r="F4" s="7" t="inlineStr">
        <is>
          <t>Azul = entrada</t>
        </is>
      </c>
    </row>
    <row r="5">
      <c r="B5" s="27" t="inlineStr">
        <is>
          <t>f'c [MPa]</t>
        </is>
      </c>
      <c r="C5" s="35" t="n">
        <v>28</v>
      </c>
    </row>
    <row r="6">
      <c r="B6" s="27" t="inlineStr">
        <is>
          <t>fy = fyt [MPa]</t>
        </is>
      </c>
      <c r="C6" s="35" t="n">
        <v>420</v>
      </c>
    </row>
    <row r="7">
      <c r="B7" s="27" t="inlineStr">
        <is>
          <t>b [m]</t>
        </is>
      </c>
      <c r="C7" s="35" t="n">
        <v>0.3</v>
      </c>
    </row>
    <row r="8">
      <c r="B8" s="27" t="inlineStr">
        <is>
          <t>h [m]</t>
        </is>
      </c>
      <c r="C8" s="35" t="n">
        <v>0.4</v>
      </c>
    </row>
    <row r="9">
      <c r="B9" s="27" t="inlineStr">
        <is>
          <t>recubrimiento [m]</t>
        </is>
      </c>
      <c r="C9" s="35" t="n">
        <v>0.04</v>
      </c>
    </row>
    <row r="10">
      <c r="B10" s="27" t="inlineStr">
        <is>
          <t>Diam estribo [mm]</t>
        </is>
      </c>
      <c r="C10" s="35" t="n">
        <v>9.5</v>
      </c>
    </row>
    <row r="11">
      <c r="B11" s="27" t="inlineStr">
        <is>
          <t>Diam barra [mm]</t>
        </is>
      </c>
      <c r="C11" s="35" t="n">
        <v>15.9</v>
      </c>
    </row>
    <row r="12">
      <c r="B12" s="27" t="inlineStr">
        <is>
          <t>Area barra [mm2]</t>
        </is>
      </c>
      <c r="C12" s="35" t="n">
        <v>199</v>
      </c>
    </row>
    <row r="13">
      <c r="B13" s="27" t="inlineStr">
        <is>
          <t>Area 2 ramas Av</t>
        </is>
      </c>
      <c r="C13" s="35" t="n">
        <v>142</v>
      </c>
    </row>
    <row r="14">
      <c r="B14" s="27" t="inlineStr">
        <is>
          <t>Ln [m]</t>
        </is>
      </c>
      <c r="C14" s="35" t="n">
        <v>4.9</v>
      </c>
    </row>
    <row r="15">
      <c r="B15" s="24" t="inlineStr">
        <is>
          <t>d [mm]</t>
        </is>
      </c>
      <c r="C15" s="34">
        <f>C8*1000-C9*1000-C10-C11/2</f>
        <v/>
      </c>
    </row>
    <row r="16">
      <c r="B16" s="27" t="inlineStr">
        <is>
          <t>As minimo [mm2]</t>
        </is>
      </c>
      <c r="C16" s="37">
        <f>MAX(0.25*SQRT(C5)/C6,1.4/C6)*(C7*1000)*C15</f>
        <v/>
      </c>
    </row>
    <row r="17">
      <c r="B17" s="27" t="inlineStr">
        <is>
          <t>As maximo (rho=0.025)</t>
        </is>
      </c>
      <c r="C17" s="37">
        <f>0.025*(C7*1000)*C15</f>
        <v/>
      </c>
    </row>
    <row r="18">
      <c r="B18" s="27" t="inlineStr">
        <is>
          <t>Vc [kN]</t>
        </is>
      </c>
      <c r="C18" s="37">
        <f>0.17*SQRT(C5)*(C7*1000)*C15/1000</f>
        <v/>
      </c>
    </row>
    <row r="19">
      <c r="B19" s="27" t="inlineStr">
        <is>
          <t>Vs max [kN]</t>
        </is>
      </c>
      <c r="C19" s="37">
        <f>0.66*SQRT(C5)*(C7*1000)*C15/1000</f>
        <v/>
      </c>
    </row>
    <row r="20">
      <c r="B20" s="27" t="inlineStr">
        <is>
          <t>T umbral [kN.m]</t>
        </is>
      </c>
      <c r="C20" s="37">
        <f>0.75*0.083*SQRT(C5)*(((C7*1000)*(C8*1000))^2/(2*((C7*1000)+(C8*1000))))/1000000</f>
        <v/>
      </c>
    </row>
    <row r="21">
      <c r="B21" s="27" t="inlineStr">
        <is>
          <t>h min = Ln/18.5 [m]</t>
        </is>
      </c>
      <c r="C21" s="37">
        <f>C14/18.5</f>
        <v/>
      </c>
    </row>
    <row r="23">
      <c r="B23" s="49" t="inlineStr">
        <is>
          <t>GRUPO VC-1   (Mu- = 77 kN.m  -  148 vigas)</t>
        </is>
      </c>
      <c r="C23" s="25" t="n"/>
      <c r="D23" s="25" t="n"/>
      <c r="E23" s="25" t="n"/>
      <c r="F23" s="25" t="n"/>
      <c r="G23" s="25" t="n"/>
      <c r="H23" s="26" t="n"/>
    </row>
    <row r="24">
      <c r="B24" s="27" t="inlineStr">
        <is>
          <t>Mu (-) [kN.m]</t>
        </is>
      </c>
      <c r="C24" s="35" t="n">
        <v>77</v>
      </c>
    </row>
    <row r="25">
      <c r="B25" s="27" t="inlineStr">
        <is>
          <t>Mu (+) [kN.m]</t>
        </is>
      </c>
      <c r="C25" s="35" t="n">
        <v>58</v>
      </c>
    </row>
    <row r="26">
      <c r="B26" s="27" t="inlineStr">
        <is>
          <t>Vu [kN]</t>
        </is>
      </c>
      <c r="C26" s="35" t="n">
        <v>70</v>
      </c>
    </row>
    <row r="27">
      <c r="B27" s="27" t="inlineStr">
        <is>
          <t>Tu [kN.m]</t>
        </is>
      </c>
      <c r="C27" s="35" t="n">
        <v>13.3</v>
      </c>
    </row>
    <row r="28">
      <c r="B28" s="27" t="inlineStr">
        <is>
          <t>Rn(-) = Mu/(phi b d2)</t>
        </is>
      </c>
      <c r="C28" s="31">
        <f>C24*1000000/(0.9*(C7*1000)*C15^2)</f>
        <v/>
      </c>
    </row>
    <row r="29">
      <c r="B29" s="27" t="inlineStr">
        <is>
          <t>rho(-)</t>
        </is>
      </c>
      <c r="C29" s="31">
        <f>(0.85*C5/C6)*(1-SQRT(1-2*C28/(0.85*C5)))</f>
        <v/>
      </c>
    </row>
    <row r="30">
      <c r="B30" s="27" t="inlineStr">
        <is>
          <t>As(-) req [mm2]</t>
        </is>
      </c>
      <c r="C30" s="31">
        <f>C29*(C7*1000)*C15</f>
        <v/>
      </c>
    </row>
    <row r="31">
      <c r="B31" s="27" t="inlineStr">
        <is>
          <t>As(-) diseno [mm2]</t>
        </is>
      </c>
      <c r="C31" s="34">
        <f>MAX(C30,C16)</f>
        <v/>
      </c>
    </row>
    <row r="32">
      <c r="B32" s="27" t="inlineStr">
        <is>
          <t>N barras (-)</t>
        </is>
      </c>
      <c r="C32" s="34">
        <f>ROUNDUP(C31/C12,0)</f>
        <v/>
      </c>
    </row>
    <row r="33">
      <c r="B33" s="27" t="inlineStr">
        <is>
          <t>As(-) colocado</t>
        </is>
      </c>
      <c r="C33" s="31">
        <f>C32*C12</f>
        <v/>
      </c>
    </row>
    <row r="34">
      <c r="B34" s="27" t="inlineStr">
        <is>
          <t>a(-) [mm]</t>
        </is>
      </c>
      <c r="C34" s="31">
        <f>C33*C6/(0.85*C5*(C7*1000))</f>
        <v/>
      </c>
    </row>
    <row r="35">
      <c r="B35" s="27" t="inlineStr">
        <is>
          <t>phiMn(-) [kN.m]</t>
        </is>
      </c>
      <c r="C35" s="34">
        <f>0.9*C33*C6*(C15-C34/2)/1000000</f>
        <v/>
      </c>
    </row>
    <row r="36">
      <c r="B36" s="27" t="inlineStr">
        <is>
          <t>CHECK flexion (-)</t>
        </is>
      </c>
      <c r="C36" s="33">
        <f>IF(AND(C35&gt;=C24,C31&lt;=C17,C31&gt;=C16),"CUMPLE","REVISAR")</f>
        <v/>
      </c>
    </row>
    <row r="37">
      <c r="B37" s="27" t="inlineStr">
        <is>
          <t>Rn(+)</t>
        </is>
      </c>
      <c r="C37" s="31">
        <f>C25*1000000/(0.9*(C7*1000)*C15^2)</f>
        <v/>
      </c>
    </row>
    <row r="38">
      <c r="B38" s="27" t="inlineStr">
        <is>
          <t>rho(+)</t>
        </is>
      </c>
      <c r="C38" s="31">
        <f>(0.85*C5/C6)*(1-SQRT(1-2*C37/(0.85*C5)))</f>
        <v/>
      </c>
    </row>
    <row r="39">
      <c r="B39" s="27" t="inlineStr">
        <is>
          <t>As(+) req [mm2]</t>
        </is>
      </c>
      <c r="C39" s="31">
        <f>C38*(C7*1000)*C15</f>
        <v/>
      </c>
    </row>
    <row r="40">
      <c r="B40" s="27" t="inlineStr">
        <is>
          <t>As(+) diseno [mm2]</t>
        </is>
      </c>
      <c r="C40" s="34">
        <f>MAX(C39,C16)</f>
        <v/>
      </c>
    </row>
    <row r="41">
      <c r="B41" s="27" t="inlineStr">
        <is>
          <t>N barras (+)</t>
        </is>
      </c>
      <c r="C41" s="34">
        <f>ROUNDUP(C40/C12,0)</f>
        <v/>
      </c>
    </row>
    <row r="42">
      <c r="B42" s="27" t="inlineStr">
        <is>
          <t>As(+) colocado</t>
        </is>
      </c>
      <c r="C42" s="31">
        <f>C41*C12</f>
        <v/>
      </c>
    </row>
    <row r="43">
      <c r="B43" s="27" t="inlineStr">
        <is>
          <t>a(+) [mm]</t>
        </is>
      </c>
      <c r="C43" s="31">
        <f>C42*C6/(0.85*C5*(C7*1000))</f>
        <v/>
      </c>
    </row>
    <row r="44">
      <c r="B44" s="27" t="inlineStr">
        <is>
          <t>phiMn(+) [kN.m]</t>
        </is>
      </c>
      <c r="C44" s="34">
        <f>0.9*C42*C6*(C15-C43/2)/1000000</f>
        <v/>
      </c>
    </row>
    <row r="45">
      <c r="B45" s="27" t="inlineStr">
        <is>
          <t>CHECK flexion (+)</t>
        </is>
      </c>
      <c r="C45" s="33">
        <f>IF(C44&gt;=C25,"CUMPLE","REVISAR")</f>
        <v/>
      </c>
    </row>
    <row r="46">
      <c r="B46" s="27" t="inlineStr">
        <is>
          <t>Vs req [kN]</t>
        </is>
      </c>
      <c r="C46" s="31">
        <f>MAX(C26/0.75-C18,0)</f>
        <v/>
      </c>
    </row>
    <row r="47">
      <c r="B47" s="27" t="inlineStr">
        <is>
          <t>Separacion estribo [mm]</t>
        </is>
      </c>
      <c r="C47" s="34">
        <f>IF(C46&gt;0,MIN(C13*C6*C15/(C46*1000),MIN(C15/4,6*C11,150)),MIN(C15/4,6*C11,150))</f>
        <v/>
      </c>
    </row>
    <row r="48">
      <c r="B48" s="27" t="inlineStr">
        <is>
          <t>CHECK cortante</t>
        </is>
      </c>
      <c r="C48" s="33">
        <f>IF(C46&lt;=C19,"CUMPLE","AUMENTAR")</f>
        <v/>
      </c>
    </row>
    <row r="49">
      <c r="B49" s="27" t="inlineStr">
        <is>
          <t>Mpr(-) [kN.m]</t>
        </is>
      </c>
      <c r="C49" s="31">
        <f>1.25*C33*C6*(C15-(1.25*C33*C6/(0.85*C5*(C7*1000)))/2)/1000000</f>
        <v/>
      </c>
    </row>
    <row r="50">
      <c r="B50" s="27" t="inlineStr">
        <is>
          <t>Mpr(+) [kN.m]</t>
        </is>
      </c>
      <c r="C50" s="31">
        <f>1.25*C42*C6*(C15-(1.25*C42*C6/(0.85*C5*(C7*1000)))/2)/1000000</f>
        <v/>
      </c>
    </row>
    <row r="51">
      <c r="B51" s="27" t="inlineStr">
        <is>
          <t>Ve capacidad [kN]</t>
        </is>
      </c>
      <c r="C51" s="31">
        <f>(C50+C51)/C14</f>
        <v/>
      </c>
    </row>
    <row r="52">
      <c r="B52" s="27" t="inlineStr">
        <is>
          <t>V diseno = max(Vu,Ve)</t>
        </is>
      </c>
      <c r="C52" s="34">
        <f>MAX(C26,C52)</f>
        <v/>
      </c>
    </row>
    <row r="53">
      <c r="B53" s="27" t="inlineStr">
        <is>
          <t>Torsion: requiere?</t>
        </is>
      </c>
      <c r="C53" s="33">
        <f>IF(C27&gt;C20,"SI - disenar","No - despreciable")</f>
        <v/>
      </c>
    </row>
    <row r="54">
      <c r="B54" s="27" t="inlineStr">
        <is>
          <t>At/s torsion [mm2/mm]</t>
        </is>
      </c>
      <c r="C54" s="31">
        <f>IF(C27&gt;C20,C27*1000000/(0.75*2*0.85*(((C7*1000)-2*C9*1000)*((C8*1000)-2*C9*1000))*C6),0)</f>
        <v/>
      </c>
    </row>
    <row r="55">
      <c r="B55" s="27" t="inlineStr">
        <is>
          <t>CHECK deflexion</t>
        </is>
      </c>
      <c r="C55" s="33">
        <f>IF(C8&gt;=C21,"CUMPLE","REVISAR")</f>
        <v/>
      </c>
    </row>
    <row r="57">
      <c r="B57" s="49" t="inlineStr">
        <is>
          <t>GRUPO VC-2   (Mu- = 118 kN.m  -  120 vigas)</t>
        </is>
      </c>
      <c r="C57" s="25" t="n"/>
      <c r="D57" s="25" t="n"/>
      <c r="E57" s="25" t="n"/>
      <c r="F57" s="25" t="n"/>
      <c r="G57" s="25" t="n"/>
      <c r="H57" s="26" t="n"/>
    </row>
    <row r="58">
      <c r="B58" s="27" t="inlineStr">
        <is>
          <t>Mu (-) [kN.m]</t>
        </is>
      </c>
      <c r="C58" s="35" t="n">
        <v>118</v>
      </c>
    </row>
    <row r="59">
      <c r="B59" s="27" t="inlineStr">
        <is>
          <t>Mu (+) [kN.m]</t>
        </is>
      </c>
      <c r="C59" s="35" t="n">
        <v>101</v>
      </c>
    </row>
    <row r="60">
      <c r="B60" s="27" t="inlineStr">
        <is>
          <t>Vu [kN]</t>
        </is>
      </c>
      <c r="C60" s="35" t="n">
        <v>86</v>
      </c>
    </row>
    <row r="61">
      <c r="B61" s="27" t="inlineStr">
        <is>
          <t>Tu [kN.m]</t>
        </is>
      </c>
      <c r="C61" s="35" t="n">
        <v>11.5</v>
      </c>
    </row>
    <row r="62">
      <c r="B62" s="27" t="inlineStr">
        <is>
          <t>Rn(-) = Mu/(phi b d2)</t>
        </is>
      </c>
      <c r="C62" s="31">
        <f>C58*1000000/(0.9*(C7*1000)*C15^2)</f>
        <v/>
      </c>
    </row>
    <row r="63">
      <c r="B63" s="27" t="inlineStr">
        <is>
          <t>rho(-)</t>
        </is>
      </c>
      <c r="C63" s="31">
        <f>(0.85*C5/C6)*(1-SQRT(1-2*C62/(0.85*C5)))</f>
        <v/>
      </c>
    </row>
    <row r="64">
      <c r="B64" s="27" t="inlineStr">
        <is>
          <t>As(-) req [mm2]</t>
        </is>
      </c>
      <c r="C64" s="31">
        <f>C63*(C7*1000)*C15</f>
        <v/>
      </c>
    </row>
    <row r="65">
      <c r="B65" s="27" t="inlineStr">
        <is>
          <t>As(-) diseno [mm2]</t>
        </is>
      </c>
      <c r="C65" s="34">
        <f>MAX(C64,C16)</f>
        <v/>
      </c>
    </row>
    <row r="66">
      <c r="B66" s="27" t="inlineStr">
        <is>
          <t>N barras (-)</t>
        </is>
      </c>
      <c r="C66" s="34">
        <f>ROUNDUP(C65/C12,0)</f>
        <v/>
      </c>
    </row>
    <row r="67">
      <c r="B67" s="27" t="inlineStr">
        <is>
          <t>As(-) colocado</t>
        </is>
      </c>
      <c r="C67" s="31">
        <f>C66*C12</f>
        <v/>
      </c>
    </row>
    <row r="68">
      <c r="B68" s="27" t="inlineStr">
        <is>
          <t>a(-) [mm]</t>
        </is>
      </c>
      <c r="C68" s="31">
        <f>C67*C6/(0.85*C5*(C7*1000))</f>
        <v/>
      </c>
    </row>
    <row r="69">
      <c r="B69" s="27" t="inlineStr">
        <is>
          <t>phiMn(-) [kN.m]</t>
        </is>
      </c>
      <c r="C69" s="34">
        <f>0.9*C67*C6*(C15-C68/2)/1000000</f>
        <v/>
      </c>
    </row>
    <row r="70">
      <c r="B70" s="27" t="inlineStr">
        <is>
          <t>CHECK flexion (-)</t>
        </is>
      </c>
      <c r="C70" s="33">
        <f>IF(AND(C69&gt;=C58,C65&lt;=C17,C65&gt;=C16),"CUMPLE","REVISAR")</f>
        <v/>
      </c>
    </row>
    <row r="71">
      <c r="B71" s="27" t="inlineStr">
        <is>
          <t>Rn(+)</t>
        </is>
      </c>
      <c r="C71" s="31">
        <f>C59*1000000/(0.9*(C7*1000)*C15^2)</f>
        <v/>
      </c>
    </row>
    <row r="72">
      <c r="B72" s="27" t="inlineStr">
        <is>
          <t>rho(+)</t>
        </is>
      </c>
      <c r="C72" s="31">
        <f>(0.85*C5/C6)*(1-SQRT(1-2*C71/(0.85*C5)))</f>
        <v/>
      </c>
    </row>
    <row r="73">
      <c r="B73" s="27" t="inlineStr">
        <is>
          <t>As(+) req [mm2]</t>
        </is>
      </c>
      <c r="C73" s="31">
        <f>C72*(C7*1000)*C15</f>
        <v/>
      </c>
    </row>
    <row r="74">
      <c r="B74" s="27" t="inlineStr">
        <is>
          <t>As(+) diseno [mm2]</t>
        </is>
      </c>
      <c r="C74" s="34">
        <f>MAX(C73,C16)</f>
        <v/>
      </c>
    </row>
    <row r="75">
      <c r="B75" s="27" t="inlineStr">
        <is>
          <t>N barras (+)</t>
        </is>
      </c>
      <c r="C75" s="34">
        <f>ROUNDUP(C74/C12,0)</f>
        <v/>
      </c>
    </row>
    <row r="76">
      <c r="B76" s="27" t="inlineStr">
        <is>
          <t>As(+) colocado</t>
        </is>
      </c>
      <c r="C76" s="31">
        <f>C75*C12</f>
        <v/>
      </c>
    </row>
    <row r="77">
      <c r="B77" s="27" t="inlineStr">
        <is>
          <t>a(+) [mm]</t>
        </is>
      </c>
      <c r="C77" s="31">
        <f>C76*C6/(0.85*C5*(C7*1000))</f>
        <v/>
      </c>
    </row>
    <row r="78">
      <c r="B78" s="27" t="inlineStr">
        <is>
          <t>phiMn(+) [kN.m]</t>
        </is>
      </c>
      <c r="C78" s="34">
        <f>0.9*C76*C6*(C15-C77/2)/1000000</f>
        <v/>
      </c>
    </row>
    <row r="79">
      <c r="B79" s="27" t="inlineStr">
        <is>
          <t>CHECK flexion (+)</t>
        </is>
      </c>
      <c r="C79" s="33">
        <f>IF(C78&gt;=C59,"CUMPLE","REVISAR")</f>
        <v/>
      </c>
    </row>
    <row r="80">
      <c r="B80" s="27" t="inlineStr">
        <is>
          <t>Vs req [kN]</t>
        </is>
      </c>
      <c r="C80" s="31">
        <f>MAX(C60/0.75-C18,0)</f>
        <v/>
      </c>
    </row>
    <row r="81">
      <c r="B81" s="27" t="inlineStr">
        <is>
          <t>Separacion estribo [mm]</t>
        </is>
      </c>
      <c r="C81" s="34">
        <f>IF(C80&gt;0,MIN(C13*C6*C15/(C80*1000),MIN(C15/4,6*C11,150)),MIN(C15/4,6*C11,150))</f>
        <v/>
      </c>
    </row>
    <row r="82">
      <c r="B82" s="27" t="inlineStr">
        <is>
          <t>CHECK cortante</t>
        </is>
      </c>
      <c r="C82" s="33">
        <f>IF(C80&lt;=C19,"CUMPLE","AUMENTAR")</f>
        <v/>
      </c>
    </row>
    <row r="83">
      <c r="B83" s="27" t="inlineStr">
        <is>
          <t>Mpr(-) [kN.m]</t>
        </is>
      </c>
      <c r="C83" s="31">
        <f>1.25*C67*C6*(C15-(1.25*C67*C6/(0.85*C5*(C7*1000)))/2)/1000000</f>
        <v/>
      </c>
    </row>
    <row r="84">
      <c r="B84" s="27" t="inlineStr">
        <is>
          <t>Mpr(+) [kN.m]</t>
        </is>
      </c>
      <c r="C84" s="31">
        <f>1.25*C76*C6*(C15-(1.25*C76*C6/(0.85*C5*(C7*1000)))/2)/1000000</f>
        <v/>
      </c>
    </row>
    <row r="85">
      <c r="B85" s="27" t="inlineStr">
        <is>
          <t>Ve capacidad [kN]</t>
        </is>
      </c>
      <c r="C85" s="31">
        <f>(C84+C85)/C14</f>
        <v/>
      </c>
    </row>
    <row r="86">
      <c r="B86" s="27" t="inlineStr">
        <is>
          <t>V diseno = max(Vu,Ve)</t>
        </is>
      </c>
      <c r="C86" s="34">
        <f>MAX(C60,C86)</f>
        <v/>
      </c>
    </row>
    <row r="87">
      <c r="B87" s="27" t="inlineStr">
        <is>
          <t>Torsion: requiere?</t>
        </is>
      </c>
      <c r="C87" s="33">
        <f>IF(C61&gt;C20,"SI - disenar","No - despreciable")</f>
        <v/>
      </c>
    </row>
    <row r="88">
      <c r="B88" s="27" t="inlineStr">
        <is>
          <t>At/s torsion [mm2/mm]</t>
        </is>
      </c>
      <c r="C88" s="31">
        <f>IF(C61&gt;C20,C61*1000000/(0.75*2*0.85*(((C7*1000)-2*C9*1000)*((C8*1000)-2*C9*1000))*C6),0)</f>
        <v/>
      </c>
    </row>
    <row r="89">
      <c r="B89" s="27" t="inlineStr">
        <is>
          <t>CHECK deflexion</t>
        </is>
      </c>
      <c r="C89" s="33">
        <f>IF(C8&gt;=C21,"CUMPLE","REVISAR")</f>
        <v/>
      </c>
    </row>
    <row r="91">
      <c r="B91" s="49" t="inlineStr">
        <is>
          <t>GRUPO VC-3   (Mu- = 142 kN.m  -  12 vigas)</t>
        </is>
      </c>
      <c r="C91" s="25" t="n"/>
      <c r="D91" s="25" t="n"/>
      <c r="E91" s="25" t="n"/>
      <c r="F91" s="25" t="n"/>
      <c r="G91" s="25" t="n"/>
      <c r="H91" s="26" t="n"/>
    </row>
    <row r="92">
      <c r="B92" s="27" t="inlineStr">
        <is>
          <t>Mu (-) [kN.m]</t>
        </is>
      </c>
      <c r="C92" s="35" t="n">
        <v>142</v>
      </c>
    </row>
    <row r="93">
      <c r="B93" s="27" t="inlineStr">
        <is>
          <t>Mu (+) [kN.m]</t>
        </is>
      </c>
      <c r="C93" s="35" t="n">
        <v>79</v>
      </c>
    </row>
    <row r="94">
      <c r="B94" s="27" t="inlineStr">
        <is>
          <t>Vu [kN]</t>
        </is>
      </c>
      <c r="C94" s="35" t="n">
        <v>108</v>
      </c>
    </row>
    <row r="95">
      <c r="B95" s="27" t="inlineStr">
        <is>
          <t>Tu [kN.m]</t>
        </is>
      </c>
      <c r="C95" s="35" t="n">
        <v>19.9</v>
      </c>
    </row>
    <row r="96">
      <c r="B96" s="27" t="inlineStr">
        <is>
          <t>Rn(-) = Mu/(phi b d2)</t>
        </is>
      </c>
      <c r="C96" s="31">
        <f>C92*1000000/(0.9*(C7*1000)*C15^2)</f>
        <v/>
      </c>
    </row>
    <row r="97">
      <c r="B97" s="27" t="inlineStr">
        <is>
          <t>rho(-)</t>
        </is>
      </c>
      <c r="C97" s="31">
        <f>(0.85*C5/C6)*(1-SQRT(1-2*C96/(0.85*C5)))</f>
        <v/>
      </c>
    </row>
    <row r="98">
      <c r="B98" s="27" t="inlineStr">
        <is>
          <t>As(-) req [mm2]</t>
        </is>
      </c>
      <c r="C98" s="31">
        <f>C97*(C7*1000)*C15</f>
        <v/>
      </c>
    </row>
    <row r="99">
      <c r="B99" s="27" t="inlineStr">
        <is>
          <t>As(-) diseno [mm2]</t>
        </is>
      </c>
      <c r="C99" s="34">
        <f>MAX(C98,C16)</f>
        <v/>
      </c>
    </row>
    <row r="100">
      <c r="B100" s="27" t="inlineStr">
        <is>
          <t>N barras (-)</t>
        </is>
      </c>
      <c r="C100" s="34">
        <f>ROUNDUP(C99/C12,0)</f>
        <v/>
      </c>
    </row>
    <row r="101">
      <c r="B101" s="27" t="inlineStr">
        <is>
          <t>As(-) colocado</t>
        </is>
      </c>
      <c r="C101" s="31">
        <f>C100*C12</f>
        <v/>
      </c>
    </row>
    <row r="102">
      <c r="B102" s="27" t="inlineStr">
        <is>
          <t>a(-) [mm]</t>
        </is>
      </c>
      <c r="C102" s="31">
        <f>C101*C6/(0.85*C5*(C7*1000))</f>
        <v/>
      </c>
    </row>
    <row r="103">
      <c r="B103" s="27" t="inlineStr">
        <is>
          <t>phiMn(-) [kN.m]</t>
        </is>
      </c>
      <c r="C103" s="34">
        <f>0.9*C101*C6*(C15-C102/2)/1000000</f>
        <v/>
      </c>
    </row>
    <row r="104">
      <c r="B104" s="27" t="inlineStr">
        <is>
          <t>CHECK flexion (-)</t>
        </is>
      </c>
      <c r="C104" s="33">
        <f>IF(AND(C103&gt;=C92,C99&lt;=C17,C99&gt;=C16),"CUMPLE","REVISAR")</f>
        <v/>
      </c>
    </row>
    <row r="105">
      <c r="B105" s="27" t="inlineStr">
        <is>
          <t>Rn(+)</t>
        </is>
      </c>
      <c r="C105" s="31">
        <f>C93*1000000/(0.9*(C7*1000)*C15^2)</f>
        <v/>
      </c>
    </row>
    <row r="106">
      <c r="B106" s="27" t="inlineStr">
        <is>
          <t>rho(+)</t>
        </is>
      </c>
      <c r="C106" s="31">
        <f>(0.85*C5/C6)*(1-SQRT(1-2*C105/(0.85*C5)))</f>
        <v/>
      </c>
    </row>
    <row r="107">
      <c r="B107" s="27" t="inlineStr">
        <is>
          <t>As(+) req [mm2]</t>
        </is>
      </c>
      <c r="C107" s="31">
        <f>C106*(C7*1000)*C15</f>
        <v/>
      </c>
    </row>
    <row r="108">
      <c r="B108" s="27" t="inlineStr">
        <is>
          <t>As(+) diseno [mm2]</t>
        </is>
      </c>
      <c r="C108" s="34">
        <f>MAX(C107,C16)</f>
        <v/>
      </c>
    </row>
    <row r="109">
      <c r="B109" s="27" t="inlineStr">
        <is>
          <t>N barras (+)</t>
        </is>
      </c>
      <c r="C109" s="34">
        <f>ROUNDUP(C108/C12,0)</f>
        <v/>
      </c>
    </row>
    <row r="110">
      <c r="B110" s="27" t="inlineStr">
        <is>
          <t>As(+) colocado</t>
        </is>
      </c>
      <c r="C110" s="31">
        <f>C109*C12</f>
        <v/>
      </c>
    </row>
    <row r="111">
      <c r="B111" s="27" t="inlineStr">
        <is>
          <t>a(+) [mm]</t>
        </is>
      </c>
      <c r="C111" s="31">
        <f>C110*C6/(0.85*C5*(C7*1000))</f>
        <v/>
      </c>
    </row>
    <row r="112">
      <c r="B112" s="27" t="inlineStr">
        <is>
          <t>phiMn(+) [kN.m]</t>
        </is>
      </c>
      <c r="C112" s="34">
        <f>0.9*C110*C6*(C15-C111/2)/1000000</f>
        <v/>
      </c>
    </row>
    <row r="113">
      <c r="B113" s="27" t="inlineStr">
        <is>
          <t>CHECK flexion (+)</t>
        </is>
      </c>
      <c r="C113" s="33">
        <f>IF(C112&gt;=C93,"CUMPLE","REVISAR")</f>
        <v/>
      </c>
    </row>
    <row r="114">
      <c r="B114" s="27" t="inlineStr">
        <is>
          <t>Vs req [kN]</t>
        </is>
      </c>
      <c r="C114" s="31">
        <f>MAX(C94/0.75-C18,0)</f>
        <v/>
      </c>
    </row>
    <row r="115">
      <c r="B115" s="27" t="inlineStr">
        <is>
          <t>Separacion estribo [mm]</t>
        </is>
      </c>
      <c r="C115" s="34">
        <f>IF(C114&gt;0,MIN(C13*C6*C15/(C114*1000),MIN(C15/4,6*C11,150)),MIN(C15/4,6*C11,150))</f>
        <v/>
      </c>
    </row>
    <row r="116">
      <c r="B116" s="27" t="inlineStr">
        <is>
          <t>CHECK cortante</t>
        </is>
      </c>
      <c r="C116" s="33">
        <f>IF(C114&lt;=C19,"CUMPLE","AUMENTAR")</f>
        <v/>
      </c>
    </row>
    <row r="117">
      <c r="B117" s="27" t="inlineStr">
        <is>
          <t>Mpr(-) [kN.m]</t>
        </is>
      </c>
      <c r="C117" s="31">
        <f>1.25*C101*C6*(C15-(1.25*C101*C6/(0.85*C5*(C7*1000)))/2)/1000000</f>
        <v/>
      </c>
    </row>
    <row r="118">
      <c r="B118" s="27" t="inlineStr">
        <is>
          <t>Mpr(+) [kN.m]</t>
        </is>
      </c>
      <c r="C118" s="31">
        <f>1.25*C110*C6*(C15-(1.25*C110*C6/(0.85*C5*(C7*1000)))/2)/1000000</f>
        <v/>
      </c>
    </row>
    <row r="119">
      <c r="B119" s="27" t="inlineStr">
        <is>
          <t>Ve capacidad [kN]</t>
        </is>
      </c>
      <c r="C119" s="31">
        <f>(C118+C119)/C14</f>
        <v/>
      </c>
    </row>
    <row r="120">
      <c r="B120" s="27" t="inlineStr">
        <is>
          <t>V diseno = max(Vu,Ve)</t>
        </is>
      </c>
      <c r="C120" s="34">
        <f>MAX(C94,C120)</f>
        <v/>
      </c>
    </row>
    <row r="121">
      <c r="B121" s="27" t="inlineStr">
        <is>
          <t>Torsion: requiere?</t>
        </is>
      </c>
      <c r="C121" s="33">
        <f>IF(C95&gt;C20,"SI - disenar","No - despreciable")</f>
        <v/>
      </c>
    </row>
    <row r="122">
      <c r="B122" s="27" t="inlineStr">
        <is>
          <t>At/s torsion [mm2/mm]</t>
        </is>
      </c>
      <c r="C122" s="31">
        <f>IF(C95&gt;C20,C95*1000000/(0.75*2*0.85*(((C7*1000)-2*C9*1000)*((C8*1000)-2*C9*1000))*C6),0)</f>
        <v/>
      </c>
    </row>
    <row r="123">
      <c r="B123" s="27" t="inlineStr">
        <is>
          <t>CHECK deflexion</t>
        </is>
      </c>
      <c r="C123" s="33">
        <f>IF(C8&gt;=C21,"CUMPLE","REVISAR")</f>
        <v/>
      </c>
    </row>
  </sheetData>
  <mergeCells count="4">
    <mergeCell ref="B57:H57"/>
    <mergeCell ref="B91:H91"/>
    <mergeCell ref="B2:H2"/>
    <mergeCell ref="B23:H23"/>
  </mergeCells>
  <pageMargins left="0.4" right="0.4" top="0.6" bottom="0.6" header="0.3" footer="0.3"/>
  <pageSetup orientation="portrait" fitToHeight="0" fitToWidth="1"/>
  <headerFooter>
    <oddHeader>&amp;LEDIFICIO RESIDENCIAL SANTA MARTA&amp;RSSS Construcciones SAS</oddHeader>
    <oddFooter>&amp;CPagina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H157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9" customWidth="1" min="4" max="4"/>
    <col width="2" customWidth="1" min="5" max="5"/>
    <col width="34" customWidth="1" min="6" max="6"/>
    <col width="13" customWidth="1" min="7" max="7"/>
    <col width="9" customWidth="1" min="8" max="8"/>
  </cols>
  <sheetData>
    <row r="2">
      <c r="B2" s="23" t="inlineStr">
        <is>
          <t>DISENO DE VIGAS DE RIGIDEZ / RIOSTRAS  VR 40x35  (todos los grupos)</t>
        </is>
      </c>
    </row>
    <row r="4">
      <c r="B4" s="6" t="inlineStr">
        <is>
          <t>DATOS COMUNES</t>
        </is>
      </c>
      <c r="F4" s="7" t="inlineStr">
        <is>
          <t>Azul = entrada</t>
        </is>
      </c>
    </row>
    <row r="5">
      <c r="B5" s="27" t="inlineStr">
        <is>
          <t>f'c [MPa]</t>
        </is>
      </c>
      <c r="C5" s="35" t="n">
        <v>28</v>
      </c>
    </row>
    <row r="6">
      <c r="B6" s="27" t="inlineStr">
        <is>
          <t>fy = fyt [MPa]</t>
        </is>
      </c>
      <c r="C6" s="35" t="n">
        <v>420</v>
      </c>
    </row>
    <row r="7">
      <c r="B7" s="27" t="inlineStr">
        <is>
          <t>b [m]</t>
        </is>
      </c>
      <c r="C7" s="35" t="n">
        <v>0.35</v>
      </c>
    </row>
    <row r="8">
      <c r="B8" s="27" t="inlineStr">
        <is>
          <t>h [m]</t>
        </is>
      </c>
      <c r="C8" s="35" t="n">
        <v>0.4</v>
      </c>
    </row>
    <row r="9">
      <c r="B9" s="27" t="inlineStr">
        <is>
          <t>recubrimiento [m]</t>
        </is>
      </c>
      <c r="C9" s="35" t="n">
        <v>0.04</v>
      </c>
    </row>
    <row r="10">
      <c r="B10" s="27" t="inlineStr">
        <is>
          <t>Diam estribo [mm]</t>
        </is>
      </c>
      <c r="C10" s="35" t="n">
        <v>9.5</v>
      </c>
    </row>
    <row r="11">
      <c r="B11" s="27" t="inlineStr">
        <is>
          <t>Diam barra [mm]</t>
        </is>
      </c>
      <c r="C11" s="35" t="n">
        <v>15.9</v>
      </c>
    </row>
    <row r="12">
      <c r="B12" s="27" t="inlineStr">
        <is>
          <t>Area barra [mm2]</t>
        </is>
      </c>
      <c r="C12" s="35" t="n">
        <v>199</v>
      </c>
    </row>
    <row r="13">
      <c r="B13" s="27" t="inlineStr">
        <is>
          <t>Area 2 ramas Av</t>
        </is>
      </c>
      <c r="C13" s="35" t="n">
        <v>142</v>
      </c>
    </row>
    <row r="14">
      <c r="B14" s="27" t="inlineStr">
        <is>
          <t>Ln [m]</t>
        </is>
      </c>
      <c r="C14" s="35" t="n">
        <v>5.1</v>
      </c>
    </row>
    <row r="15">
      <c r="B15" s="24" t="inlineStr">
        <is>
          <t>d [mm]</t>
        </is>
      </c>
      <c r="C15" s="34">
        <f>C8*1000-C9*1000-C10-C11/2</f>
        <v/>
      </c>
    </row>
    <row r="16">
      <c r="B16" s="27" t="inlineStr">
        <is>
          <t>As minimo [mm2]</t>
        </is>
      </c>
      <c r="C16" s="37">
        <f>MAX(0.25*SQRT(C5)/C6,1.4/C6)*(C7*1000)*C15</f>
        <v/>
      </c>
    </row>
    <row r="17">
      <c r="B17" s="27" t="inlineStr">
        <is>
          <t>As maximo (rho=0.025)</t>
        </is>
      </c>
      <c r="C17" s="37">
        <f>0.025*(C7*1000)*C15</f>
        <v/>
      </c>
    </row>
    <row r="18">
      <c r="B18" s="27" t="inlineStr">
        <is>
          <t>Vc [kN]</t>
        </is>
      </c>
      <c r="C18" s="37">
        <f>0.17*SQRT(C5)*(C7*1000)*C15/1000</f>
        <v/>
      </c>
    </row>
    <row r="19">
      <c r="B19" s="27" t="inlineStr">
        <is>
          <t>Vs max [kN]</t>
        </is>
      </c>
      <c r="C19" s="37">
        <f>0.66*SQRT(C5)*(C7*1000)*C15/1000</f>
        <v/>
      </c>
    </row>
    <row r="20">
      <c r="B20" s="27" t="inlineStr">
        <is>
          <t>T umbral [kN.m]</t>
        </is>
      </c>
      <c r="C20" s="37">
        <f>0.75*0.083*SQRT(C5)*(((C7*1000)*(C8*1000))^2/(2*((C7*1000)+(C8*1000))))/1000000</f>
        <v/>
      </c>
    </row>
    <row r="21">
      <c r="B21" s="27" t="inlineStr">
        <is>
          <t>h min = Ln/18.5 [m]</t>
        </is>
      </c>
      <c r="C21" s="37">
        <f>C14/18.5</f>
        <v/>
      </c>
    </row>
    <row r="23">
      <c r="B23" s="49" t="inlineStr">
        <is>
          <t>GRUPO VR-1   (Mu- = 100 kN.m  -  170 vigas)</t>
        </is>
      </c>
      <c r="C23" s="25" t="n"/>
      <c r="D23" s="25" t="n"/>
      <c r="E23" s="25" t="n"/>
      <c r="F23" s="25" t="n"/>
      <c r="G23" s="25" t="n"/>
      <c r="H23" s="26" t="n"/>
    </row>
    <row r="24">
      <c r="B24" s="27" t="inlineStr">
        <is>
          <t>Mu (-) [kN.m]</t>
        </is>
      </c>
      <c r="C24" s="35" t="n">
        <v>100</v>
      </c>
    </row>
    <row r="25">
      <c r="B25" s="27" t="inlineStr">
        <is>
          <t>Mu (+) [kN.m]</t>
        </is>
      </c>
      <c r="C25" s="35" t="n">
        <v>74</v>
      </c>
    </row>
    <row r="26">
      <c r="B26" s="27" t="inlineStr">
        <is>
          <t>Vu [kN]</t>
        </is>
      </c>
      <c r="C26" s="35" t="n">
        <v>104</v>
      </c>
    </row>
    <row r="27">
      <c r="B27" s="27" t="inlineStr">
        <is>
          <t>Tu [kN.m]</t>
        </is>
      </c>
      <c r="C27" s="35" t="n">
        <v>26.1</v>
      </c>
    </row>
    <row r="28">
      <c r="B28" s="27" t="inlineStr">
        <is>
          <t>Rn(-) = Mu/(phi b d2)</t>
        </is>
      </c>
      <c r="C28" s="31">
        <f>C24*1000000/(0.9*(C7*1000)*C15^2)</f>
        <v/>
      </c>
    </row>
    <row r="29">
      <c r="B29" s="27" t="inlineStr">
        <is>
          <t>rho(-)</t>
        </is>
      </c>
      <c r="C29" s="31">
        <f>(0.85*C5/C6)*(1-SQRT(1-2*C28/(0.85*C5)))</f>
        <v/>
      </c>
    </row>
    <row r="30">
      <c r="B30" s="27" t="inlineStr">
        <is>
          <t>As(-) req [mm2]</t>
        </is>
      </c>
      <c r="C30" s="31">
        <f>C29*(C7*1000)*C15</f>
        <v/>
      </c>
    </row>
    <row r="31">
      <c r="B31" s="27" t="inlineStr">
        <is>
          <t>As(-) diseno [mm2]</t>
        </is>
      </c>
      <c r="C31" s="34">
        <f>MAX(C30,C16)</f>
        <v/>
      </c>
    </row>
    <row r="32">
      <c r="B32" s="27" t="inlineStr">
        <is>
          <t>N barras (-)</t>
        </is>
      </c>
      <c r="C32" s="34">
        <f>ROUNDUP(C31/C12,0)</f>
        <v/>
      </c>
    </row>
    <row r="33">
      <c r="B33" s="27" t="inlineStr">
        <is>
          <t>As(-) colocado</t>
        </is>
      </c>
      <c r="C33" s="31">
        <f>C32*C12</f>
        <v/>
      </c>
    </row>
    <row r="34">
      <c r="B34" s="27" t="inlineStr">
        <is>
          <t>a(-) [mm]</t>
        </is>
      </c>
      <c r="C34" s="31">
        <f>C33*C6/(0.85*C5*(C7*1000))</f>
        <v/>
      </c>
    </row>
    <row r="35">
      <c r="B35" s="27" t="inlineStr">
        <is>
          <t>phiMn(-) [kN.m]</t>
        </is>
      </c>
      <c r="C35" s="34">
        <f>0.9*C33*C6*(C15-C34/2)/1000000</f>
        <v/>
      </c>
    </row>
    <row r="36">
      <c r="B36" s="27" t="inlineStr">
        <is>
          <t>CHECK flexion (-)</t>
        </is>
      </c>
      <c r="C36" s="33">
        <f>IF(AND(C35&gt;=C24,C31&lt;=C17,C31&gt;=C16),"CUMPLE","REVISAR")</f>
        <v/>
      </c>
    </row>
    <row r="37">
      <c r="B37" s="27" t="inlineStr">
        <is>
          <t>Rn(+)</t>
        </is>
      </c>
      <c r="C37" s="31">
        <f>C25*1000000/(0.9*(C7*1000)*C15^2)</f>
        <v/>
      </c>
    </row>
    <row r="38">
      <c r="B38" s="27" t="inlineStr">
        <is>
          <t>rho(+)</t>
        </is>
      </c>
      <c r="C38" s="31">
        <f>(0.85*C5/C6)*(1-SQRT(1-2*C37/(0.85*C5)))</f>
        <v/>
      </c>
    </row>
    <row r="39">
      <c r="B39" s="27" t="inlineStr">
        <is>
          <t>As(+) req [mm2]</t>
        </is>
      </c>
      <c r="C39" s="31">
        <f>C38*(C7*1000)*C15</f>
        <v/>
      </c>
    </row>
    <row r="40">
      <c r="B40" s="27" t="inlineStr">
        <is>
          <t>As(+) diseno [mm2]</t>
        </is>
      </c>
      <c r="C40" s="34">
        <f>MAX(C39,C16)</f>
        <v/>
      </c>
    </row>
    <row r="41">
      <c r="B41" s="27" t="inlineStr">
        <is>
          <t>N barras (+)</t>
        </is>
      </c>
      <c r="C41" s="34">
        <f>ROUNDUP(C40/C12,0)</f>
        <v/>
      </c>
    </row>
    <row r="42">
      <c r="B42" s="27" t="inlineStr">
        <is>
          <t>As(+) colocado</t>
        </is>
      </c>
      <c r="C42" s="31">
        <f>C41*C12</f>
        <v/>
      </c>
    </row>
    <row r="43">
      <c r="B43" s="27" t="inlineStr">
        <is>
          <t>a(+) [mm]</t>
        </is>
      </c>
      <c r="C43" s="31">
        <f>C42*C6/(0.85*C5*(C7*1000))</f>
        <v/>
      </c>
    </row>
    <row r="44">
      <c r="B44" s="27" t="inlineStr">
        <is>
          <t>phiMn(+) [kN.m]</t>
        </is>
      </c>
      <c r="C44" s="34">
        <f>0.9*C42*C6*(C15-C43/2)/1000000</f>
        <v/>
      </c>
    </row>
    <row r="45">
      <c r="B45" s="27" t="inlineStr">
        <is>
          <t>CHECK flexion (+)</t>
        </is>
      </c>
      <c r="C45" s="33">
        <f>IF(C44&gt;=C25,"CUMPLE","REVISAR")</f>
        <v/>
      </c>
    </row>
    <row r="46">
      <c r="B46" s="27" t="inlineStr">
        <is>
          <t>Vs req [kN]</t>
        </is>
      </c>
      <c r="C46" s="31">
        <f>MAX(C26/0.75-C18,0)</f>
        <v/>
      </c>
    </row>
    <row r="47">
      <c r="B47" s="27" t="inlineStr">
        <is>
          <t>Separacion estribo [mm]</t>
        </is>
      </c>
      <c r="C47" s="34">
        <f>IF(C46&gt;0,MIN(C13*C6*C15/(C46*1000),MIN(C15/4,6*C11,150)),MIN(C15/4,6*C11,150))</f>
        <v/>
      </c>
    </row>
    <row r="48">
      <c r="B48" s="27" t="inlineStr">
        <is>
          <t>CHECK cortante</t>
        </is>
      </c>
      <c r="C48" s="33">
        <f>IF(C46&lt;=C19,"CUMPLE","AUMENTAR")</f>
        <v/>
      </c>
    </row>
    <row r="49">
      <c r="B49" s="27" t="inlineStr">
        <is>
          <t>Mpr(-) [kN.m]</t>
        </is>
      </c>
      <c r="C49" s="31">
        <f>1.25*C33*C6*(C15-(1.25*C33*C6/(0.85*C5*(C7*1000)))/2)/1000000</f>
        <v/>
      </c>
    </row>
    <row r="50">
      <c r="B50" s="27" t="inlineStr">
        <is>
          <t>Mpr(+) [kN.m]</t>
        </is>
      </c>
      <c r="C50" s="31">
        <f>1.25*C42*C6*(C15-(1.25*C42*C6/(0.85*C5*(C7*1000)))/2)/1000000</f>
        <v/>
      </c>
    </row>
    <row r="51">
      <c r="B51" s="27" t="inlineStr">
        <is>
          <t>Ve capacidad [kN]</t>
        </is>
      </c>
      <c r="C51" s="31">
        <f>(C50+C51)/C14</f>
        <v/>
      </c>
    </row>
    <row r="52">
      <c r="B52" s="27" t="inlineStr">
        <is>
          <t>V diseno = max(Vu,Ve)</t>
        </is>
      </c>
      <c r="C52" s="34">
        <f>MAX(C26,C52)</f>
        <v/>
      </c>
    </row>
    <row r="53">
      <c r="B53" s="27" t="inlineStr">
        <is>
          <t>Torsion: requiere?</t>
        </is>
      </c>
      <c r="C53" s="33">
        <f>IF(C27&gt;C20,"SI - disenar","No - despreciable")</f>
        <v/>
      </c>
    </row>
    <row r="54">
      <c r="B54" s="27" t="inlineStr">
        <is>
          <t>At/s torsion [mm2/mm]</t>
        </is>
      </c>
      <c r="C54" s="31">
        <f>IF(C27&gt;C20,C27*1000000/(0.75*2*0.85*(((C7*1000)-2*C9*1000)*((C8*1000)-2*C9*1000))*C6),0)</f>
        <v/>
      </c>
    </row>
    <row r="55">
      <c r="B55" s="27" t="inlineStr">
        <is>
          <t>CHECK deflexion</t>
        </is>
      </c>
      <c r="C55" s="33">
        <f>IF(C8&gt;=C21,"CUMPLE","REVISAR")</f>
        <v/>
      </c>
    </row>
    <row r="57">
      <c r="B57" s="49" t="inlineStr">
        <is>
          <t>GRUPO VR-2   (Mu- = 135 kN.m  -  120 vigas)</t>
        </is>
      </c>
      <c r="C57" s="25" t="n"/>
      <c r="D57" s="25" t="n"/>
      <c r="E57" s="25" t="n"/>
      <c r="F57" s="25" t="n"/>
      <c r="G57" s="25" t="n"/>
      <c r="H57" s="26" t="n"/>
    </row>
    <row r="58">
      <c r="B58" s="27" t="inlineStr">
        <is>
          <t>Mu (-) [kN.m]</t>
        </is>
      </c>
      <c r="C58" s="35" t="n">
        <v>135</v>
      </c>
    </row>
    <row r="59">
      <c r="B59" s="27" t="inlineStr">
        <is>
          <t>Mu (+) [kN.m]</t>
        </is>
      </c>
      <c r="C59" s="35" t="n">
        <v>98</v>
      </c>
    </row>
    <row r="60">
      <c r="B60" s="27" t="inlineStr">
        <is>
          <t>Vu [kN]</t>
        </is>
      </c>
      <c r="C60" s="35" t="n">
        <v>133</v>
      </c>
    </row>
    <row r="61">
      <c r="B61" s="27" t="inlineStr">
        <is>
          <t>Tu [kN.m]</t>
        </is>
      </c>
      <c r="C61" s="35" t="n">
        <v>12.7</v>
      </c>
    </row>
    <row r="62">
      <c r="B62" s="27" t="inlineStr">
        <is>
          <t>Rn(-) = Mu/(phi b d2)</t>
        </is>
      </c>
      <c r="C62" s="31">
        <f>C58*1000000/(0.9*(C7*1000)*C15^2)</f>
        <v/>
      </c>
    </row>
    <row r="63">
      <c r="B63" s="27" t="inlineStr">
        <is>
          <t>rho(-)</t>
        </is>
      </c>
      <c r="C63" s="31">
        <f>(0.85*C5/C6)*(1-SQRT(1-2*C62/(0.85*C5)))</f>
        <v/>
      </c>
    </row>
    <row r="64">
      <c r="B64" s="27" t="inlineStr">
        <is>
          <t>As(-) req [mm2]</t>
        </is>
      </c>
      <c r="C64" s="31">
        <f>C63*(C7*1000)*C15</f>
        <v/>
      </c>
    </row>
    <row r="65">
      <c r="B65" s="27" t="inlineStr">
        <is>
          <t>As(-) diseno [mm2]</t>
        </is>
      </c>
      <c r="C65" s="34">
        <f>MAX(C64,C16)</f>
        <v/>
      </c>
    </row>
    <row r="66">
      <c r="B66" s="27" t="inlineStr">
        <is>
          <t>N barras (-)</t>
        </is>
      </c>
      <c r="C66" s="34">
        <f>ROUNDUP(C65/C12,0)</f>
        <v/>
      </c>
    </row>
    <row r="67">
      <c r="B67" s="27" t="inlineStr">
        <is>
          <t>As(-) colocado</t>
        </is>
      </c>
      <c r="C67" s="31">
        <f>C66*C12</f>
        <v/>
      </c>
    </row>
    <row r="68">
      <c r="B68" s="27" t="inlineStr">
        <is>
          <t>a(-) [mm]</t>
        </is>
      </c>
      <c r="C68" s="31">
        <f>C67*C6/(0.85*C5*(C7*1000))</f>
        <v/>
      </c>
    </row>
    <row r="69">
      <c r="B69" s="27" t="inlineStr">
        <is>
          <t>phiMn(-) [kN.m]</t>
        </is>
      </c>
      <c r="C69" s="34">
        <f>0.9*C67*C6*(C15-C68/2)/1000000</f>
        <v/>
      </c>
    </row>
    <row r="70">
      <c r="B70" s="27" t="inlineStr">
        <is>
          <t>CHECK flexion (-)</t>
        </is>
      </c>
      <c r="C70" s="33">
        <f>IF(AND(C69&gt;=C58,C65&lt;=C17,C65&gt;=C16),"CUMPLE","REVISAR")</f>
        <v/>
      </c>
    </row>
    <row r="71">
      <c r="B71" s="27" t="inlineStr">
        <is>
          <t>Rn(+)</t>
        </is>
      </c>
      <c r="C71" s="31">
        <f>C59*1000000/(0.9*(C7*1000)*C15^2)</f>
        <v/>
      </c>
    </row>
    <row r="72">
      <c r="B72" s="27" t="inlineStr">
        <is>
          <t>rho(+)</t>
        </is>
      </c>
      <c r="C72" s="31">
        <f>(0.85*C5/C6)*(1-SQRT(1-2*C71/(0.85*C5)))</f>
        <v/>
      </c>
    </row>
    <row r="73">
      <c r="B73" s="27" t="inlineStr">
        <is>
          <t>As(+) req [mm2]</t>
        </is>
      </c>
      <c r="C73" s="31">
        <f>C72*(C7*1000)*C15</f>
        <v/>
      </c>
    </row>
    <row r="74">
      <c r="B74" s="27" t="inlineStr">
        <is>
          <t>As(+) diseno [mm2]</t>
        </is>
      </c>
      <c r="C74" s="34">
        <f>MAX(C73,C16)</f>
        <v/>
      </c>
    </row>
    <row r="75">
      <c r="B75" s="27" t="inlineStr">
        <is>
          <t>N barras (+)</t>
        </is>
      </c>
      <c r="C75" s="34">
        <f>ROUNDUP(C74/C12,0)</f>
        <v/>
      </c>
    </row>
    <row r="76">
      <c r="B76" s="27" t="inlineStr">
        <is>
          <t>As(+) colocado</t>
        </is>
      </c>
      <c r="C76" s="31">
        <f>C75*C12</f>
        <v/>
      </c>
    </row>
    <row r="77">
      <c r="B77" s="27" t="inlineStr">
        <is>
          <t>a(+) [mm]</t>
        </is>
      </c>
      <c r="C77" s="31">
        <f>C76*C6/(0.85*C5*(C7*1000))</f>
        <v/>
      </c>
    </row>
    <row r="78">
      <c r="B78" s="27" t="inlineStr">
        <is>
          <t>phiMn(+) [kN.m]</t>
        </is>
      </c>
      <c r="C78" s="34">
        <f>0.9*C76*C6*(C15-C77/2)/1000000</f>
        <v/>
      </c>
    </row>
    <row r="79">
      <c r="B79" s="27" t="inlineStr">
        <is>
          <t>CHECK flexion (+)</t>
        </is>
      </c>
      <c r="C79" s="33">
        <f>IF(C78&gt;=C59,"CUMPLE","REVISAR")</f>
        <v/>
      </c>
    </row>
    <row r="80">
      <c r="B80" s="27" t="inlineStr">
        <is>
          <t>Vs req [kN]</t>
        </is>
      </c>
      <c r="C80" s="31">
        <f>MAX(C60/0.75-C18,0)</f>
        <v/>
      </c>
    </row>
    <row r="81">
      <c r="B81" s="27" t="inlineStr">
        <is>
          <t>Separacion estribo [mm]</t>
        </is>
      </c>
      <c r="C81" s="34">
        <f>IF(C80&gt;0,MIN(C13*C6*C15/(C80*1000),MIN(C15/4,6*C11,150)),MIN(C15/4,6*C11,150))</f>
        <v/>
      </c>
    </row>
    <row r="82">
      <c r="B82" s="27" t="inlineStr">
        <is>
          <t>CHECK cortante</t>
        </is>
      </c>
      <c r="C82" s="33">
        <f>IF(C80&lt;=C19,"CUMPLE","AUMENTAR")</f>
        <v/>
      </c>
    </row>
    <row r="83">
      <c r="B83" s="27" t="inlineStr">
        <is>
          <t>Mpr(-) [kN.m]</t>
        </is>
      </c>
      <c r="C83" s="31">
        <f>1.25*C67*C6*(C15-(1.25*C67*C6/(0.85*C5*(C7*1000)))/2)/1000000</f>
        <v/>
      </c>
    </row>
    <row r="84">
      <c r="B84" s="27" t="inlineStr">
        <is>
          <t>Mpr(+) [kN.m]</t>
        </is>
      </c>
      <c r="C84" s="31">
        <f>1.25*C76*C6*(C15-(1.25*C76*C6/(0.85*C5*(C7*1000)))/2)/1000000</f>
        <v/>
      </c>
    </row>
    <row r="85">
      <c r="B85" s="27" t="inlineStr">
        <is>
          <t>Ve capacidad [kN]</t>
        </is>
      </c>
      <c r="C85" s="31">
        <f>(C84+C85)/C14</f>
        <v/>
      </c>
    </row>
    <row r="86">
      <c r="B86" s="27" t="inlineStr">
        <is>
          <t>V diseno = max(Vu,Ve)</t>
        </is>
      </c>
      <c r="C86" s="34">
        <f>MAX(C60,C86)</f>
        <v/>
      </c>
    </row>
    <row r="87">
      <c r="B87" s="27" t="inlineStr">
        <is>
          <t>Torsion: requiere?</t>
        </is>
      </c>
      <c r="C87" s="33">
        <f>IF(C61&gt;C20,"SI - disenar","No - despreciable")</f>
        <v/>
      </c>
    </row>
    <row r="88">
      <c r="B88" s="27" t="inlineStr">
        <is>
          <t>At/s torsion [mm2/mm]</t>
        </is>
      </c>
      <c r="C88" s="31">
        <f>IF(C61&gt;C20,C61*1000000/(0.75*2*0.85*(((C7*1000)-2*C9*1000)*((C8*1000)-2*C9*1000))*C6),0)</f>
        <v/>
      </c>
    </row>
    <row r="89">
      <c r="B89" s="27" t="inlineStr">
        <is>
          <t>CHECK deflexion</t>
        </is>
      </c>
      <c r="C89" s="33">
        <f>IF(C8&gt;=C21,"CUMPLE","REVISAR")</f>
        <v/>
      </c>
    </row>
    <row r="91">
      <c r="B91" s="49" t="inlineStr">
        <is>
          <t>GRUPO VR-3   (Mu- = 186 kN.m  -  6 vigas)</t>
        </is>
      </c>
      <c r="C91" s="25" t="n"/>
      <c r="D91" s="25" t="n"/>
      <c r="E91" s="25" t="n"/>
      <c r="F91" s="25" t="n"/>
      <c r="G91" s="25" t="n"/>
      <c r="H91" s="26" t="n"/>
    </row>
    <row r="92">
      <c r="B92" s="27" t="inlineStr">
        <is>
          <t>Mu (-) [kN.m]</t>
        </is>
      </c>
      <c r="C92" s="35" t="n">
        <v>186</v>
      </c>
    </row>
    <row r="93">
      <c r="B93" s="27" t="inlineStr">
        <is>
          <t>Mu (+) [kN.m]</t>
        </is>
      </c>
      <c r="C93" s="35" t="n">
        <v>138</v>
      </c>
    </row>
    <row r="94">
      <c r="B94" s="27" t="inlineStr">
        <is>
          <t>Vu [kN]</t>
        </is>
      </c>
      <c r="C94" s="35" t="n">
        <v>189</v>
      </c>
    </row>
    <row r="95">
      <c r="B95" s="27" t="inlineStr">
        <is>
          <t>Tu [kN.m]</t>
        </is>
      </c>
      <c r="C95" s="35" t="n">
        <v>1.7</v>
      </c>
    </row>
    <row r="96">
      <c r="B96" s="27" t="inlineStr">
        <is>
          <t>Rn(-) = Mu/(phi b d2)</t>
        </is>
      </c>
      <c r="C96" s="31">
        <f>C92*1000000/(0.9*(C7*1000)*C15^2)</f>
        <v/>
      </c>
    </row>
    <row r="97">
      <c r="B97" s="27" t="inlineStr">
        <is>
          <t>rho(-)</t>
        </is>
      </c>
      <c r="C97" s="31">
        <f>(0.85*C5/C6)*(1-SQRT(1-2*C96/(0.85*C5)))</f>
        <v/>
      </c>
    </row>
    <row r="98">
      <c r="B98" s="27" t="inlineStr">
        <is>
          <t>As(-) req [mm2]</t>
        </is>
      </c>
      <c r="C98" s="31">
        <f>C97*(C7*1000)*C15</f>
        <v/>
      </c>
    </row>
    <row r="99">
      <c r="B99" s="27" t="inlineStr">
        <is>
          <t>As(-) diseno [mm2]</t>
        </is>
      </c>
      <c r="C99" s="34">
        <f>MAX(C98,C16)</f>
        <v/>
      </c>
    </row>
    <row r="100">
      <c r="B100" s="27" t="inlineStr">
        <is>
          <t>N barras (-)</t>
        </is>
      </c>
      <c r="C100" s="34">
        <f>ROUNDUP(C99/C12,0)</f>
        <v/>
      </c>
    </row>
    <row r="101">
      <c r="B101" s="27" t="inlineStr">
        <is>
          <t>As(-) colocado</t>
        </is>
      </c>
      <c r="C101" s="31">
        <f>C100*C12</f>
        <v/>
      </c>
    </row>
    <row r="102">
      <c r="B102" s="27" t="inlineStr">
        <is>
          <t>a(-) [mm]</t>
        </is>
      </c>
      <c r="C102" s="31">
        <f>C101*C6/(0.85*C5*(C7*1000))</f>
        <v/>
      </c>
    </row>
    <row r="103">
      <c r="B103" s="27" t="inlineStr">
        <is>
          <t>phiMn(-) [kN.m]</t>
        </is>
      </c>
      <c r="C103" s="34">
        <f>0.9*C101*C6*(C15-C102/2)/1000000</f>
        <v/>
      </c>
    </row>
    <row r="104">
      <c r="B104" s="27" t="inlineStr">
        <is>
          <t>CHECK flexion (-)</t>
        </is>
      </c>
      <c r="C104" s="33">
        <f>IF(AND(C103&gt;=C92,C99&lt;=C17,C99&gt;=C16),"CUMPLE","REVISAR")</f>
        <v/>
      </c>
    </row>
    <row r="105">
      <c r="B105" s="27" t="inlineStr">
        <is>
          <t>Rn(+)</t>
        </is>
      </c>
      <c r="C105" s="31">
        <f>C93*1000000/(0.9*(C7*1000)*C15^2)</f>
        <v/>
      </c>
    </row>
    <row r="106">
      <c r="B106" s="27" t="inlineStr">
        <is>
          <t>rho(+)</t>
        </is>
      </c>
      <c r="C106" s="31">
        <f>(0.85*C5/C6)*(1-SQRT(1-2*C105/(0.85*C5)))</f>
        <v/>
      </c>
    </row>
    <row r="107">
      <c r="B107" s="27" t="inlineStr">
        <is>
          <t>As(+) req [mm2]</t>
        </is>
      </c>
      <c r="C107" s="31">
        <f>C106*(C7*1000)*C15</f>
        <v/>
      </c>
    </row>
    <row r="108">
      <c r="B108" s="27" t="inlineStr">
        <is>
          <t>As(+) diseno [mm2]</t>
        </is>
      </c>
      <c r="C108" s="34">
        <f>MAX(C107,C16)</f>
        <v/>
      </c>
    </row>
    <row r="109">
      <c r="B109" s="27" t="inlineStr">
        <is>
          <t>N barras (+)</t>
        </is>
      </c>
      <c r="C109" s="34">
        <f>ROUNDUP(C108/C12,0)</f>
        <v/>
      </c>
    </row>
    <row r="110">
      <c r="B110" s="27" t="inlineStr">
        <is>
          <t>As(+) colocado</t>
        </is>
      </c>
      <c r="C110" s="31">
        <f>C109*C12</f>
        <v/>
      </c>
    </row>
    <row r="111">
      <c r="B111" s="27" t="inlineStr">
        <is>
          <t>a(+) [mm]</t>
        </is>
      </c>
      <c r="C111" s="31">
        <f>C110*C6/(0.85*C5*(C7*1000))</f>
        <v/>
      </c>
    </row>
    <row r="112">
      <c r="B112" s="27" t="inlineStr">
        <is>
          <t>phiMn(+) [kN.m]</t>
        </is>
      </c>
      <c r="C112" s="34">
        <f>0.9*C110*C6*(C15-C111/2)/1000000</f>
        <v/>
      </c>
    </row>
    <row r="113">
      <c r="B113" s="27" t="inlineStr">
        <is>
          <t>CHECK flexion (+)</t>
        </is>
      </c>
      <c r="C113" s="33">
        <f>IF(C112&gt;=C93,"CUMPLE","REVISAR")</f>
        <v/>
      </c>
    </row>
    <row r="114">
      <c r="B114" s="27" t="inlineStr">
        <is>
          <t>Vs req [kN]</t>
        </is>
      </c>
      <c r="C114" s="31">
        <f>MAX(C94/0.75-C18,0)</f>
        <v/>
      </c>
    </row>
    <row r="115">
      <c r="B115" s="27" t="inlineStr">
        <is>
          <t>Separacion estribo [mm]</t>
        </is>
      </c>
      <c r="C115" s="34">
        <f>IF(C114&gt;0,MIN(C13*C6*C15/(C114*1000),MIN(C15/4,6*C11,150)),MIN(C15/4,6*C11,150))</f>
        <v/>
      </c>
    </row>
    <row r="116">
      <c r="B116" s="27" t="inlineStr">
        <is>
          <t>CHECK cortante</t>
        </is>
      </c>
      <c r="C116" s="33">
        <f>IF(C114&lt;=C19,"CUMPLE","AUMENTAR")</f>
        <v/>
      </c>
    </row>
    <row r="117">
      <c r="B117" s="27" t="inlineStr">
        <is>
          <t>Mpr(-) [kN.m]</t>
        </is>
      </c>
      <c r="C117" s="31">
        <f>1.25*C101*C6*(C15-(1.25*C101*C6/(0.85*C5*(C7*1000)))/2)/1000000</f>
        <v/>
      </c>
    </row>
    <row r="118">
      <c r="B118" s="27" t="inlineStr">
        <is>
          <t>Mpr(+) [kN.m]</t>
        </is>
      </c>
      <c r="C118" s="31">
        <f>1.25*C110*C6*(C15-(1.25*C110*C6/(0.85*C5*(C7*1000)))/2)/1000000</f>
        <v/>
      </c>
    </row>
    <row r="119">
      <c r="B119" s="27" t="inlineStr">
        <is>
          <t>Ve capacidad [kN]</t>
        </is>
      </c>
      <c r="C119" s="31">
        <f>(C118+C119)/C14</f>
        <v/>
      </c>
    </row>
    <row r="120">
      <c r="B120" s="27" t="inlineStr">
        <is>
          <t>V diseno = max(Vu,Ve)</t>
        </is>
      </c>
      <c r="C120" s="34">
        <f>MAX(C94,C120)</f>
        <v/>
      </c>
    </row>
    <row r="121">
      <c r="B121" s="27" t="inlineStr">
        <is>
          <t>Torsion: requiere?</t>
        </is>
      </c>
      <c r="C121" s="33">
        <f>IF(C95&gt;C20,"SI - disenar","No - despreciable")</f>
        <v/>
      </c>
    </row>
    <row r="122">
      <c r="B122" s="27" t="inlineStr">
        <is>
          <t>At/s torsion [mm2/mm]</t>
        </is>
      </c>
      <c r="C122" s="31">
        <f>IF(C95&gt;C20,C95*1000000/(0.75*2*0.85*(((C7*1000)-2*C9*1000)*((C8*1000)-2*C9*1000))*C6),0)</f>
        <v/>
      </c>
    </row>
    <row r="123">
      <c r="B123" s="27" t="inlineStr">
        <is>
          <t>CHECK deflexion</t>
        </is>
      </c>
      <c r="C123" s="33">
        <f>IF(C8&gt;=C21,"CUMPLE","REVISAR")</f>
        <v/>
      </c>
    </row>
    <row r="125">
      <c r="B125" s="49" t="inlineStr">
        <is>
          <t>GRUPO VR-4   (Mu- = 243 kN.m  -  14 vigas)</t>
        </is>
      </c>
      <c r="C125" s="25" t="n"/>
      <c r="D125" s="25" t="n"/>
      <c r="E125" s="25" t="n"/>
      <c r="F125" s="25" t="n"/>
      <c r="G125" s="25" t="n"/>
      <c r="H125" s="26" t="n"/>
    </row>
    <row r="126">
      <c r="B126" s="27" t="inlineStr">
        <is>
          <t>Mu (-) [kN.m]</t>
        </is>
      </c>
      <c r="C126" s="35" t="n">
        <v>243</v>
      </c>
    </row>
    <row r="127">
      <c r="B127" s="27" t="inlineStr">
        <is>
          <t>Mu (+) [kN.m]</t>
        </is>
      </c>
      <c r="C127" s="35" t="n">
        <v>134</v>
      </c>
    </row>
    <row r="128">
      <c r="B128" s="27" t="inlineStr">
        <is>
          <t>Vu [kN]</t>
        </is>
      </c>
      <c r="C128" s="35" t="n">
        <v>202</v>
      </c>
    </row>
    <row r="129">
      <c r="B129" s="27" t="inlineStr">
        <is>
          <t>Tu [kN.m]</t>
        </is>
      </c>
      <c r="C129" s="35" t="n">
        <v>6</v>
      </c>
    </row>
    <row r="130">
      <c r="B130" s="27" t="inlineStr">
        <is>
          <t>Rn(-) = Mu/(phi b d2)</t>
        </is>
      </c>
      <c r="C130" s="31">
        <f>C126*1000000/(0.9*(C7*1000)*C15^2)</f>
        <v/>
      </c>
    </row>
    <row r="131">
      <c r="B131" s="27" t="inlineStr">
        <is>
          <t>rho(-)</t>
        </is>
      </c>
      <c r="C131" s="31">
        <f>(0.85*C5/C6)*(1-SQRT(1-2*C130/(0.85*C5)))</f>
        <v/>
      </c>
    </row>
    <row r="132">
      <c r="B132" s="27" t="inlineStr">
        <is>
          <t>As(-) req [mm2]</t>
        </is>
      </c>
      <c r="C132" s="31">
        <f>C131*(C7*1000)*C15</f>
        <v/>
      </c>
    </row>
    <row r="133">
      <c r="B133" s="27" t="inlineStr">
        <is>
          <t>As(-) diseno [mm2]</t>
        </is>
      </c>
      <c r="C133" s="34">
        <f>MAX(C132,C16)</f>
        <v/>
      </c>
    </row>
    <row r="134">
      <c r="B134" s="27" t="inlineStr">
        <is>
          <t>N barras (-)</t>
        </is>
      </c>
      <c r="C134" s="34">
        <f>ROUNDUP(C133/C12,0)</f>
        <v/>
      </c>
    </row>
    <row r="135">
      <c r="B135" s="27" t="inlineStr">
        <is>
          <t>As(-) colocado</t>
        </is>
      </c>
      <c r="C135" s="31">
        <f>C134*C12</f>
        <v/>
      </c>
    </row>
    <row r="136">
      <c r="B136" s="27" t="inlineStr">
        <is>
          <t>a(-) [mm]</t>
        </is>
      </c>
      <c r="C136" s="31">
        <f>C135*C6/(0.85*C5*(C7*1000))</f>
        <v/>
      </c>
    </row>
    <row r="137">
      <c r="B137" s="27" t="inlineStr">
        <is>
          <t>phiMn(-) [kN.m]</t>
        </is>
      </c>
      <c r="C137" s="34">
        <f>0.9*C135*C6*(C15-C136/2)/1000000</f>
        <v/>
      </c>
    </row>
    <row r="138">
      <c r="B138" s="27" t="inlineStr">
        <is>
          <t>CHECK flexion (-)</t>
        </is>
      </c>
      <c r="C138" s="33">
        <f>IF(AND(C137&gt;=C126,C133&lt;=C17,C133&gt;=C16),"CUMPLE","REVISAR")</f>
        <v/>
      </c>
    </row>
    <row r="139">
      <c r="B139" s="27" t="inlineStr">
        <is>
          <t>Rn(+)</t>
        </is>
      </c>
      <c r="C139" s="31">
        <f>C127*1000000/(0.9*(C7*1000)*C15^2)</f>
        <v/>
      </c>
    </row>
    <row r="140">
      <c r="B140" s="27" t="inlineStr">
        <is>
          <t>rho(+)</t>
        </is>
      </c>
      <c r="C140" s="31">
        <f>(0.85*C5/C6)*(1-SQRT(1-2*C139/(0.85*C5)))</f>
        <v/>
      </c>
    </row>
    <row r="141">
      <c r="B141" s="27" t="inlineStr">
        <is>
          <t>As(+) req [mm2]</t>
        </is>
      </c>
      <c r="C141" s="31">
        <f>C140*(C7*1000)*C15</f>
        <v/>
      </c>
    </row>
    <row r="142">
      <c r="B142" s="27" t="inlineStr">
        <is>
          <t>As(+) diseno [mm2]</t>
        </is>
      </c>
      <c r="C142" s="34">
        <f>MAX(C141,C16)</f>
        <v/>
      </c>
    </row>
    <row r="143">
      <c r="B143" s="27" t="inlineStr">
        <is>
          <t>N barras (+)</t>
        </is>
      </c>
      <c r="C143" s="34">
        <f>ROUNDUP(C142/C12,0)</f>
        <v/>
      </c>
    </row>
    <row r="144">
      <c r="B144" s="27" t="inlineStr">
        <is>
          <t>As(+) colocado</t>
        </is>
      </c>
      <c r="C144" s="31">
        <f>C143*C12</f>
        <v/>
      </c>
    </row>
    <row r="145">
      <c r="B145" s="27" t="inlineStr">
        <is>
          <t>a(+) [mm]</t>
        </is>
      </c>
      <c r="C145" s="31">
        <f>C144*C6/(0.85*C5*(C7*1000))</f>
        <v/>
      </c>
    </row>
    <row r="146">
      <c r="B146" s="27" t="inlineStr">
        <is>
          <t>phiMn(+) [kN.m]</t>
        </is>
      </c>
      <c r="C146" s="34">
        <f>0.9*C144*C6*(C15-C145/2)/1000000</f>
        <v/>
      </c>
    </row>
    <row r="147">
      <c r="B147" s="27" t="inlineStr">
        <is>
          <t>CHECK flexion (+)</t>
        </is>
      </c>
      <c r="C147" s="33">
        <f>IF(C146&gt;=C127,"CUMPLE","REVISAR")</f>
        <v/>
      </c>
    </row>
    <row r="148">
      <c r="B148" s="27" t="inlineStr">
        <is>
          <t>Vs req [kN]</t>
        </is>
      </c>
      <c r="C148" s="31">
        <f>MAX(C128/0.75-C18,0)</f>
        <v/>
      </c>
    </row>
    <row r="149">
      <c r="B149" s="27" t="inlineStr">
        <is>
          <t>Separacion estribo [mm]</t>
        </is>
      </c>
      <c r="C149" s="34">
        <f>IF(C148&gt;0,MIN(C13*C6*C15/(C148*1000),MIN(C15/4,6*C11,150)),MIN(C15/4,6*C11,150))</f>
        <v/>
      </c>
    </row>
    <row r="150">
      <c r="B150" s="27" t="inlineStr">
        <is>
          <t>CHECK cortante</t>
        </is>
      </c>
      <c r="C150" s="33">
        <f>IF(C148&lt;=C19,"CUMPLE","AUMENTAR")</f>
        <v/>
      </c>
    </row>
    <row r="151">
      <c r="B151" s="27" t="inlineStr">
        <is>
          <t>Mpr(-) [kN.m]</t>
        </is>
      </c>
      <c r="C151" s="31">
        <f>1.25*C135*C6*(C15-(1.25*C135*C6/(0.85*C5*(C7*1000)))/2)/1000000</f>
        <v/>
      </c>
    </row>
    <row r="152">
      <c r="B152" s="27" t="inlineStr">
        <is>
          <t>Mpr(+) [kN.m]</t>
        </is>
      </c>
      <c r="C152" s="31">
        <f>1.25*C144*C6*(C15-(1.25*C144*C6/(0.85*C5*(C7*1000)))/2)/1000000</f>
        <v/>
      </c>
    </row>
    <row r="153">
      <c r="B153" s="27" t="inlineStr">
        <is>
          <t>Ve capacidad [kN]</t>
        </is>
      </c>
      <c r="C153" s="31">
        <f>(C152+C153)/C14</f>
        <v/>
      </c>
    </row>
    <row r="154">
      <c r="B154" s="27" t="inlineStr">
        <is>
          <t>V diseno = max(Vu,Ve)</t>
        </is>
      </c>
      <c r="C154" s="34">
        <f>MAX(C128,C154)</f>
        <v/>
      </c>
    </row>
    <row r="155">
      <c r="B155" s="27" t="inlineStr">
        <is>
          <t>Torsion: requiere?</t>
        </is>
      </c>
      <c r="C155" s="33">
        <f>IF(C129&gt;C20,"SI - disenar","No - despreciable")</f>
        <v/>
      </c>
    </row>
    <row r="156">
      <c r="B156" s="27" t="inlineStr">
        <is>
          <t>At/s torsion [mm2/mm]</t>
        </is>
      </c>
      <c r="C156" s="31">
        <f>IF(C129&gt;C20,C129*1000000/(0.75*2*0.85*(((C7*1000)-2*C9*1000)*((C8*1000)-2*C9*1000))*C6),0)</f>
        <v/>
      </c>
    </row>
    <row r="157">
      <c r="B157" s="27" t="inlineStr">
        <is>
          <t>CHECK deflexion</t>
        </is>
      </c>
      <c r="C157" s="33">
        <f>IF(C8&gt;=C21,"CUMPLE","REVISAR")</f>
        <v/>
      </c>
    </row>
  </sheetData>
  <mergeCells count="5">
    <mergeCell ref="B57:H57"/>
    <mergeCell ref="B91:H91"/>
    <mergeCell ref="B2:H2"/>
    <mergeCell ref="B125:H125"/>
    <mergeCell ref="B23:H23"/>
  </mergeCells>
  <pageMargins left="0.4" right="0.4" top="0.6" bottom="0.6" header="0.3" footer="0.3"/>
  <pageSetup orientation="portrait" fitToHeight="0" fitToWidth="1"/>
  <headerFooter>
    <oddHeader>&amp;LEDIFICIO RESIDENCIAL SANTA MARTA&amp;RSSS Construcciones SAS</oddHeader>
    <oddFooter>&amp;CPagina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2:H104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9" customWidth="1" min="4" max="4"/>
    <col width="2" customWidth="1" min="5" max="5"/>
    <col width="34" customWidth="1" min="6" max="6"/>
    <col width="13" customWidth="1" min="7" max="7"/>
    <col width="9" customWidth="1" min="8" max="8"/>
  </cols>
  <sheetData>
    <row r="2">
      <c r="B2" s="23" t="inlineStr">
        <is>
          <t>DISENO DE VIGUETAS DE ENTREPISO  (viga T, por grupos de luz)</t>
        </is>
      </c>
    </row>
    <row r="4">
      <c r="B4" s="6" t="inlineStr">
        <is>
          <t>DATOS COMUNES</t>
        </is>
      </c>
      <c r="F4" s="7" t="inlineStr">
        <is>
          <t>Azul = entrada</t>
        </is>
      </c>
    </row>
    <row r="5">
      <c r="B5" s="27" t="inlineStr">
        <is>
          <t>f'c [MPa]</t>
        </is>
      </c>
      <c r="C5" s="35" t="n">
        <v>28</v>
      </c>
    </row>
    <row r="6">
      <c r="B6" s="27" t="inlineStr">
        <is>
          <t>fy [MPa]</t>
        </is>
      </c>
      <c r="C6" s="35" t="n">
        <v>420</v>
      </c>
    </row>
    <row r="7">
      <c r="B7" s="27" t="inlineStr">
        <is>
          <t>bw [m]</t>
        </is>
      </c>
      <c r="C7" s="35" t="n">
        <v>0.15</v>
      </c>
    </row>
    <row r="8">
      <c r="B8" s="27" t="inlineStr">
        <is>
          <t>h [m]</t>
        </is>
      </c>
      <c r="C8" s="35" t="n">
        <v>0.34</v>
      </c>
    </row>
    <row r="9">
      <c r="B9" s="27" t="inlineStr">
        <is>
          <t>hf loseta [m]</t>
        </is>
      </c>
      <c r="C9" s="35" t="n">
        <v>0.06</v>
      </c>
    </row>
    <row r="10">
      <c r="B10" s="27" t="inlineStr">
        <is>
          <t>sv [m]</t>
        </is>
      </c>
      <c r="C10" s="35" t="n">
        <v>0.8</v>
      </c>
    </row>
    <row r="11">
      <c r="B11" s="27" t="inlineStr">
        <is>
          <t>recubrimiento [m]</t>
        </is>
      </c>
      <c r="C11" s="35" t="n">
        <v>0.03</v>
      </c>
    </row>
    <row r="12">
      <c r="B12" s="27" t="inlineStr">
        <is>
          <t>Diam barra [mm]</t>
        </is>
      </c>
      <c r="C12" s="35" t="n">
        <v>12.7</v>
      </c>
    </row>
    <row r="13">
      <c r="B13" s="27" t="inlineStr">
        <is>
          <t>Area barra [mm2]</t>
        </is>
      </c>
      <c r="C13" s="35" t="n">
        <v>129</v>
      </c>
    </row>
    <row r="14">
      <c r="B14" s="27" t="inlineStr">
        <is>
          <t>wD [kN/m2]</t>
        </is>
      </c>
      <c r="C14" s="35" t="n">
        <v>7.04</v>
      </c>
    </row>
    <row r="15">
      <c r="B15" s="27" t="inlineStr">
        <is>
          <t>wL [kN/m2]</t>
        </is>
      </c>
      <c r="C15" s="35" t="n">
        <v>1.8</v>
      </c>
    </row>
    <row r="16">
      <c r="B16" s="24" t="inlineStr">
        <is>
          <t>d [mm]</t>
        </is>
      </c>
      <c r="C16" s="34">
        <f>C8*1000-C11*1000-C12/2</f>
        <v/>
      </c>
    </row>
    <row r="17">
      <c r="B17" s="27" t="inlineStr">
        <is>
          <t>wu = (1.2D+1.6L) sv [kN/m]</t>
        </is>
      </c>
      <c r="C17" s="34">
        <f>(1.2*C14+1.6*C15)*C10</f>
        <v/>
      </c>
    </row>
    <row r="18">
      <c r="B18" s="27" t="inlineStr">
        <is>
          <t>As minimo [mm2]</t>
        </is>
      </c>
      <c r="C18" s="37">
        <f>MAX(0.25*SQRT(C5)/C6,1.4/C6)*C7*1000*C16</f>
        <v/>
      </c>
    </row>
    <row r="19">
      <c r="B19" s="27" t="inlineStr">
        <is>
          <t>Vc [kN]</t>
        </is>
      </c>
      <c r="C19" s="37">
        <f>0.17*SQRT(C5)*C7*1000*C16/1000</f>
        <v/>
      </c>
    </row>
    <row r="20">
      <c r="B20" s="27" t="inlineStr">
        <is>
          <t>phi 1.1 Vc [kN]</t>
        </is>
      </c>
      <c r="C20" s="37">
        <f>0.75*1.1*C19</f>
        <v/>
      </c>
    </row>
    <row r="22">
      <c r="B22" s="49" t="inlineStr">
        <is>
          <t>GRUPO VT-1   (Ln = 1.85 m)</t>
        </is>
      </c>
      <c r="C22" s="25" t="n"/>
      <c r="D22" s="25" t="n"/>
      <c r="E22" s="25" t="n"/>
      <c r="F22" s="25" t="n"/>
      <c r="G22" s="25" t="n"/>
      <c r="H22" s="26" t="n"/>
    </row>
    <row r="23">
      <c r="B23" s="27" t="inlineStr">
        <is>
          <t>Ln [m]</t>
        </is>
      </c>
      <c r="C23" s="35" t="n">
        <v>1.85</v>
      </c>
    </row>
    <row r="24">
      <c r="B24" s="27" t="inlineStr">
        <is>
          <t>bf = min(Ln/4;bw+16hf;sv) [mm]</t>
        </is>
      </c>
      <c r="C24" s="34">
        <f>MIN(C23*1000/4,C7*1000+16*C9*1000,C10*1000)</f>
        <v/>
      </c>
    </row>
    <row r="25">
      <c r="B25" s="27" t="inlineStr">
        <is>
          <t>Mu(-) = wu Ln2/10 [kN.m]</t>
        </is>
      </c>
      <c r="C25" s="34">
        <f>C17*C23^2/10</f>
        <v/>
      </c>
    </row>
    <row r="26">
      <c r="B26" s="27" t="inlineStr">
        <is>
          <t>Mu(+) = wu Ln2/14 [kN.m]</t>
        </is>
      </c>
      <c r="C26" s="34">
        <f>C17*C23^2/14</f>
        <v/>
      </c>
    </row>
    <row r="27">
      <c r="B27" s="27" t="inlineStr">
        <is>
          <t>Vu = 1.15 wu Ln/2 [kN]</t>
        </is>
      </c>
      <c r="C27" s="34">
        <f>1.15*C17*C23/2</f>
        <v/>
      </c>
    </row>
    <row r="28">
      <c r="B28" s="27" t="inlineStr">
        <is>
          <t>Rn(+) = Mu+/(phi bf d2)</t>
        </is>
      </c>
      <c r="C28" s="31">
        <f>C26*1000000/(0.9*C24*C16^2)</f>
        <v/>
      </c>
    </row>
    <row r="29">
      <c r="B29" s="27" t="inlineStr">
        <is>
          <t>rho(+)</t>
        </is>
      </c>
      <c r="C29" s="31">
        <f>(0.85*C5/C6)*(1-SQRT(1-2*C28/(0.85*C5)))</f>
        <v/>
      </c>
    </row>
    <row r="30">
      <c r="B30" s="27" t="inlineStr">
        <is>
          <t>As(+) [mm2]</t>
        </is>
      </c>
      <c r="C30" s="31">
        <f>C29*C24*C16</f>
        <v/>
      </c>
    </row>
    <row r="31">
      <c r="B31" s="27" t="inlineStr">
        <is>
          <t>a(+) [mm]</t>
        </is>
      </c>
      <c r="C31" s="31">
        <f>C30*C6/(0.85*C5*C24)</f>
        <v/>
      </c>
    </row>
    <row r="32">
      <c r="B32" s="27" t="inlineStr">
        <is>
          <t>a &lt;= hf?</t>
        </is>
      </c>
      <c r="C32" s="33">
        <f>IF(C31&lt;=C9*1000,"Si (T)","revisar")</f>
        <v/>
      </c>
    </row>
    <row r="33">
      <c r="B33" s="27" t="inlineStr">
        <is>
          <t>As(+) diseno [mm2]</t>
        </is>
      </c>
      <c r="C33" s="34">
        <f>MAX(C30,C18)</f>
        <v/>
      </c>
    </row>
    <row r="34">
      <c r="B34" s="27" t="inlineStr">
        <is>
          <t>N barras(+) #4</t>
        </is>
      </c>
      <c r="C34" s="34">
        <f>ROUNDUP(C33/C13,0)</f>
        <v/>
      </c>
    </row>
    <row r="35">
      <c r="B35" s="27" t="inlineStr">
        <is>
          <t>Rn(-) = Mu-/(phi bw d2)</t>
        </is>
      </c>
      <c r="C35" s="31">
        <f>C25*1000000/(0.9*C7*1000*C16^2)</f>
        <v/>
      </c>
    </row>
    <row r="36">
      <c r="B36" s="27" t="inlineStr">
        <is>
          <t>rho(-)</t>
        </is>
      </c>
      <c r="C36" s="31">
        <f>(0.85*C5/C6)*(1-SQRT(1-2*C35/(0.85*C5)))</f>
        <v/>
      </c>
    </row>
    <row r="37">
      <c r="B37" s="27" t="inlineStr">
        <is>
          <t>As(-) [mm2]</t>
        </is>
      </c>
      <c r="C37" s="31">
        <f>C36*C7*1000*C16</f>
        <v/>
      </c>
    </row>
    <row r="38">
      <c r="B38" s="27" t="inlineStr">
        <is>
          <t>As(-) diseno [mm2]</t>
        </is>
      </c>
      <c r="C38" s="34">
        <f>MAX(C37,C18)</f>
        <v/>
      </c>
    </row>
    <row r="39">
      <c r="B39" s="27" t="inlineStr">
        <is>
          <t>N barras(-) #4</t>
        </is>
      </c>
      <c r="C39" s="34">
        <f>ROUNDUP(C38/C13,0)</f>
        <v/>
      </c>
    </row>
    <row r="40">
      <c r="B40" s="27" t="inlineStr">
        <is>
          <t>Vu &lt;= phi 1.1 Vc?</t>
        </is>
      </c>
      <c r="C40" s="33">
        <f>IF(C27&lt;=C20,"Si - sin estribos","estribos")</f>
        <v/>
      </c>
    </row>
    <row r="41">
      <c r="B41" s="27" t="inlineStr">
        <is>
          <t>CHECK deflexion (h&gt;=Ln/18.5)</t>
        </is>
      </c>
      <c r="C41" s="33">
        <f>IF(C8&gt;=C23/18.5,"CUMPLE","REVISAR")</f>
        <v/>
      </c>
    </row>
    <row r="43">
      <c r="B43" s="49" t="inlineStr">
        <is>
          <t>GRUPO VT-2   (Ln = 3.25 m)</t>
        </is>
      </c>
      <c r="C43" s="25" t="n"/>
      <c r="D43" s="25" t="n"/>
      <c r="E43" s="25" t="n"/>
      <c r="F43" s="25" t="n"/>
      <c r="G43" s="25" t="n"/>
      <c r="H43" s="26" t="n"/>
    </row>
    <row r="44">
      <c r="B44" s="27" t="inlineStr">
        <is>
          <t>Ln [m]</t>
        </is>
      </c>
      <c r="C44" s="35" t="n">
        <v>3.25</v>
      </c>
    </row>
    <row r="45">
      <c r="B45" s="27" t="inlineStr">
        <is>
          <t>bf = min(Ln/4;bw+16hf;sv) [mm]</t>
        </is>
      </c>
      <c r="C45" s="34">
        <f>MIN(C44*1000/4,C7*1000+16*C9*1000,C10*1000)</f>
        <v/>
      </c>
    </row>
    <row r="46">
      <c r="B46" s="27" t="inlineStr">
        <is>
          <t>Mu(-) = wu Ln2/10 [kN.m]</t>
        </is>
      </c>
      <c r="C46" s="34">
        <f>C17*C44^2/10</f>
        <v/>
      </c>
    </row>
    <row r="47">
      <c r="B47" s="27" t="inlineStr">
        <is>
          <t>Mu(+) = wu Ln2/14 [kN.m]</t>
        </is>
      </c>
      <c r="C47" s="34">
        <f>C17*C44^2/14</f>
        <v/>
      </c>
    </row>
    <row r="48">
      <c r="B48" s="27" t="inlineStr">
        <is>
          <t>Vu = 1.15 wu Ln/2 [kN]</t>
        </is>
      </c>
      <c r="C48" s="34">
        <f>1.15*C17*C44/2</f>
        <v/>
      </c>
    </row>
    <row r="49">
      <c r="B49" s="27" t="inlineStr">
        <is>
          <t>Rn(+) = Mu+/(phi bf d2)</t>
        </is>
      </c>
      <c r="C49" s="31">
        <f>C47*1000000/(0.9*C45*C16^2)</f>
        <v/>
      </c>
    </row>
    <row r="50">
      <c r="B50" s="27" t="inlineStr">
        <is>
          <t>rho(+)</t>
        </is>
      </c>
      <c r="C50" s="31">
        <f>(0.85*C5/C6)*(1-SQRT(1-2*C49/(0.85*C5)))</f>
        <v/>
      </c>
    </row>
    <row r="51">
      <c r="B51" s="27" t="inlineStr">
        <is>
          <t>As(+) [mm2]</t>
        </is>
      </c>
      <c r="C51" s="31">
        <f>C50*C45*C16</f>
        <v/>
      </c>
    </row>
    <row r="52">
      <c r="B52" s="27" t="inlineStr">
        <is>
          <t>a(+) [mm]</t>
        </is>
      </c>
      <c r="C52" s="31">
        <f>C51*C6/(0.85*C5*C45)</f>
        <v/>
      </c>
    </row>
    <row r="53">
      <c r="B53" s="27" t="inlineStr">
        <is>
          <t>a &lt;= hf?</t>
        </is>
      </c>
      <c r="C53" s="33">
        <f>IF(C52&lt;=C9*1000,"Si (T)","revisar")</f>
        <v/>
      </c>
    </row>
    <row r="54">
      <c r="B54" s="27" t="inlineStr">
        <is>
          <t>As(+) diseno [mm2]</t>
        </is>
      </c>
      <c r="C54" s="34">
        <f>MAX(C51,C18)</f>
        <v/>
      </c>
    </row>
    <row r="55">
      <c r="B55" s="27" t="inlineStr">
        <is>
          <t>N barras(+) #4</t>
        </is>
      </c>
      <c r="C55" s="34">
        <f>ROUNDUP(C54/C13,0)</f>
        <v/>
      </c>
    </row>
    <row r="56">
      <c r="B56" s="27" t="inlineStr">
        <is>
          <t>Rn(-) = Mu-/(phi bw d2)</t>
        </is>
      </c>
      <c r="C56" s="31">
        <f>C46*1000000/(0.9*C7*1000*C16^2)</f>
        <v/>
      </c>
    </row>
    <row r="57">
      <c r="B57" s="27" t="inlineStr">
        <is>
          <t>rho(-)</t>
        </is>
      </c>
      <c r="C57" s="31">
        <f>(0.85*C5/C6)*(1-SQRT(1-2*C56/(0.85*C5)))</f>
        <v/>
      </c>
    </row>
    <row r="58">
      <c r="B58" s="27" t="inlineStr">
        <is>
          <t>As(-) [mm2]</t>
        </is>
      </c>
      <c r="C58" s="31">
        <f>C57*C7*1000*C16</f>
        <v/>
      </c>
    </row>
    <row r="59">
      <c r="B59" s="27" t="inlineStr">
        <is>
          <t>As(-) diseno [mm2]</t>
        </is>
      </c>
      <c r="C59" s="34">
        <f>MAX(C58,C18)</f>
        <v/>
      </c>
    </row>
    <row r="60">
      <c r="B60" s="27" t="inlineStr">
        <is>
          <t>N barras(-) #4</t>
        </is>
      </c>
      <c r="C60" s="34">
        <f>ROUNDUP(C59/C13,0)</f>
        <v/>
      </c>
    </row>
    <row r="61">
      <c r="B61" s="27" t="inlineStr">
        <is>
          <t>Vu &lt;= phi 1.1 Vc?</t>
        </is>
      </c>
      <c r="C61" s="33">
        <f>IF(C48&lt;=C20,"Si - sin estribos","estribos")</f>
        <v/>
      </c>
    </row>
    <row r="62">
      <c r="B62" s="27" t="inlineStr">
        <is>
          <t>CHECK deflexion (h&gt;=Ln/18.5)</t>
        </is>
      </c>
      <c r="C62" s="33">
        <f>IF(C8&gt;=C44/18.5,"CUMPLE","REVISAR")</f>
        <v/>
      </c>
    </row>
    <row r="64">
      <c r="B64" s="49" t="inlineStr">
        <is>
          <t>GRUPO VT-3   (Ln = 4.45 m)</t>
        </is>
      </c>
      <c r="C64" s="25" t="n"/>
      <c r="D64" s="25" t="n"/>
      <c r="E64" s="25" t="n"/>
      <c r="F64" s="25" t="n"/>
      <c r="G64" s="25" t="n"/>
      <c r="H64" s="26" t="n"/>
    </row>
    <row r="65">
      <c r="B65" s="27" t="inlineStr">
        <is>
          <t>Ln [m]</t>
        </is>
      </c>
      <c r="C65" s="35" t="n">
        <v>4.45</v>
      </c>
    </row>
    <row r="66">
      <c r="B66" s="27" t="inlineStr">
        <is>
          <t>bf = min(Ln/4;bw+16hf;sv) [mm]</t>
        </is>
      </c>
      <c r="C66" s="34">
        <f>MIN(C65*1000/4,C7*1000+16*C9*1000,C10*1000)</f>
        <v/>
      </c>
    </row>
    <row r="67">
      <c r="B67" s="27" t="inlineStr">
        <is>
          <t>Mu(-) = wu Ln2/10 [kN.m]</t>
        </is>
      </c>
      <c r="C67" s="34">
        <f>C17*C65^2/10</f>
        <v/>
      </c>
    </row>
    <row r="68">
      <c r="B68" s="27" t="inlineStr">
        <is>
          <t>Mu(+) = wu Ln2/14 [kN.m]</t>
        </is>
      </c>
      <c r="C68" s="34">
        <f>C17*C65^2/14</f>
        <v/>
      </c>
    </row>
    <row r="69">
      <c r="B69" s="27" t="inlineStr">
        <is>
          <t>Vu = 1.15 wu Ln/2 [kN]</t>
        </is>
      </c>
      <c r="C69" s="34">
        <f>1.15*C17*C65/2</f>
        <v/>
      </c>
    </row>
    <row r="70">
      <c r="B70" s="27" t="inlineStr">
        <is>
          <t>Rn(+) = Mu+/(phi bf d2)</t>
        </is>
      </c>
      <c r="C70" s="31">
        <f>C68*1000000/(0.9*C66*C16^2)</f>
        <v/>
      </c>
    </row>
    <row r="71">
      <c r="B71" s="27" t="inlineStr">
        <is>
          <t>rho(+)</t>
        </is>
      </c>
      <c r="C71" s="31">
        <f>(0.85*C5/C6)*(1-SQRT(1-2*C70/(0.85*C5)))</f>
        <v/>
      </c>
    </row>
    <row r="72">
      <c r="B72" s="27" t="inlineStr">
        <is>
          <t>As(+) [mm2]</t>
        </is>
      </c>
      <c r="C72" s="31">
        <f>C71*C66*C16</f>
        <v/>
      </c>
    </row>
    <row r="73">
      <c r="B73" s="27" t="inlineStr">
        <is>
          <t>a(+) [mm]</t>
        </is>
      </c>
      <c r="C73" s="31">
        <f>C72*C6/(0.85*C5*C66)</f>
        <v/>
      </c>
    </row>
    <row r="74">
      <c r="B74" s="27" t="inlineStr">
        <is>
          <t>a &lt;= hf?</t>
        </is>
      </c>
      <c r="C74" s="33">
        <f>IF(C73&lt;=C9*1000,"Si (T)","revisar")</f>
        <v/>
      </c>
    </row>
    <row r="75">
      <c r="B75" s="27" t="inlineStr">
        <is>
          <t>As(+) diseno [mm2]</t>
        </is>
      </c>
      <c r="C75" s="34">
        <f>MAX(C72,C18)</f>
        <v/>
      </c>
    </row>
    <row r="76">
      <c r="B76" s="27" t="inlineStr">
        <is>
          <t>N barras(+) #4</t>
        </is>
      </c>
      <c r="C76" s="34">
        <f>ROUNDUP(C75/C13,0)</f>
        <v/>
      </c>
    </row>
    <row r="77">
      <c r="B77" s="27" t="inlineStr">
        <is>
          <t>Rn(-) = Mu-/(phi bw d2)</t>
        </is>
      </c>
      <c r="C77" s="31">
        <f>C67*1000000/(0.9*C7*1000*C16^2)</f>
        <v/>
      </c>
    </row>
    <row r="78">
      <c r="B78" s="27" t="inlineStr">
        <is>
          <t>rho(-)</t>
        </is>
      </c>
      <c r="C78" s="31">
        <f>(0.85*C5/C6)*(1-SQRT(1-2*C77/(0.85*C5)))</f>
        <v/>
      </c>
    </row>
    <row r="79">
      <c r="B79" s="27" t="inlineStr">
        <is>
          <t>As(-) [mm2]</t>
        </is>
      </c>
      <c r="C79" s="31">
        <f>C78*C7*1000*C16</f>
        <v/>
      </c>
    </row>
    <row r="80">
      <c r="B80" s="27" t="inlineStr">
        <is>
          <t>As(-) diseno [mm2]</t>
        </is>
      </c>
      <c r="C80" s="34">
        <f>MAX(C79,C18)</f>
        <v/>
      </c>
    </row>
    <row r="81">
      <c r="B81" s="27" t="inlineStr">
        <is>
          <t>N barras(-) #4</t>
        </is>
      </c>
      <c r="C81" s="34">
        <f>ROUNDUP(C80/C13,0)</f>
        <v/>
      </c>
    </row>
    <row r="82">
      <c r="B82" s="27" t="inlineStr">
        <is>
          <t>Vu &lt;= phi 1.1 Vc?</t>
        </is>
      </c>
      <c r="C82" s="33">
        <f>IF(C69&lt;=C20,"Si - sin estribos","estribos")</f>
        <v/>
      </c>
    </row>
    <row r="83">
      <c r="B83" s="27" t="inlineStr">
        <is>
          <t>CHECK deflexion (h&gt;=Ln/18.5)</t>
        </is>
      </c>
      <c r="C83" s="33">
        <f>IF(C8&gt;=C65/18.5,"CUMPLE","REVISAR")</f>
        <v/>
      </c>
    </row>
    <row r="85">
      <c r="B85" s="49" t="inlineStr">
        <is>
          <t>GRUPO VT-4   (Ln = 4.8 m)</t>
        </is>
      </c>
      <c r="C85" s="25" t="n"/>
      <c r="D85" s="25" t="n"/>
      <c r="E85" s="25" t="n"/>
      <c r="F85" s="25" t="n"/>
      <c r="G85" s="25" t="n"/>
      <c r="H85" s="26" t="n"/>
    </row>
    <row r="86">
      <c r="B86" s="27" t="inlineStr">
        <is>
          <t>Ln [m]</t>
        </is>
      </c>
      <c r="C86" s="35" t="n">
        <v>4.8</v>
      </c>
    </row>
    <row r="87">
      <c r="B87" s="27" t="inlineStr">
        <is>
          <t>bf = min(Ln/4;bw+16hf;sv) [mm]</t>
        </is>
      </c>
      <c r="C87" s="34">
        <f>MIN(C86*1000/4,C7*1000+16*C9*1000,C10*1000)</f>
        <v/>
      </c>
    </row>
    <row r="88">
      <c r="B88" s="27" t="inlineStr">
        <is>
          <t>Mu(-) = wu Ln2/10 [kN.m]</t>
        </is>
      </c>
      <c r="C88" s="34">
        <f>C17*C86^2/10</f>
        <v/>
      </c>
    </row>
    <row r="89">
      <c r="B89" s="27" t="inlineStr">
        <is>
          <t>Mu(+) = wu Ln2/14 [kN.m]</t>
        </is>
      </c>
      <c r="C89" s="34">
        <f>C17*C86^2/14</f>
        <v/>
      </c>
    </row>
    <row r="90">
      <c r="B90" s="27" t="inlineStr">
        <is>
          <t>Vu = 1.15 wu Ln/2 [kN]</t>
        </is>
      </c>
      <c r="C90" s="34">
        <f>1.15*C17*C86/2</f>
        <v/>
      </c>
    </row>
    <row r="91">
      <c r="B91" s="27" t="inlineStr">
        <is>
          <t>Rn(+) = Mu+/(phi bf d2)</t>
        </is>
      </c>
      <c r="C91" s="31">
        <f>C89*1000000/(0.9*C87*C16^2)</f>
        <v/>
      </c>
    </row>
    <row r="92">
      <c r="B92" s="27" t="inlineStr">
        <is>
          <t>rho(+)</t>
        </is>
      </c>
      <c r="C92" s="31">
        <f>(0.85*C5/C6)*(1-SQRT(1-2*C91/(0.85*C5)))</f>
        <v/>
      </c>
    </row>
    <row r="93">
      <c r="B93" s="27" t="inlineStr">
        <is>
          <t>As(+) [mm2]</t>
        </is>
      </c>
      <c r="C93" s="31">
        <f>C92*C87*C16</f>
        <v/>
      </c>
    </row>
    <row r="94">
      <c r="B94" s="27" t="inlineStr">
        <is>
          <t>a(+) [mm]</t>
        </is>
      </c>
      <c r="C94" s="31">
        <f>C93*C6/(0.85*C5*C87)</f>
        <v/>
      </c>
    </row>
    <row r="95">
      <c r="B95" s="27" t="inlineStr">
        <is>
          <t>a &lt;= hf?</t>
        </is>
      </c>
      <c r="C95" s="33">
        <f>IF(C94&lt;=C9*1000,"Si (T)","revisar")</f>
        <v/>
      </c>
    </row>
    <row r="96">
      <c r="B96" s="27" t="inlineStr">
        <is>
          <t>As(+) diseno [mm2]</t>
        </is>
      </c>
      <c r="C96" s="34">
        <f>MAX(C93,C18)</f>
        <v/>
      </c>
    </row>
    <row r="97">
      <c r="B97" s="27" t="inlineStr">
        <is>
          <t>N barras(+) #4</t>
        </is>
      </c>
      <c r="C97" s="34">
        <f>ROUNDUP(C96/C13,0)</f>
        <v/>
      </c>
    </row>
    <row r="98">
      <c r="B98" s="27" t="inlineStr">
        <is>
          <t>Rn(-) = Mu-/(phi bw d2)</t>
        </is>
      </c>
      <c r="C98" s="31">
        <f>C88*1000000/(0.9*C7*1000*C16^2)</f>
        <v/>
      </c>
    </row>
    <row r="99">
      <c r="B99" s="27" t="inlineStr">
        <is>
          <t>rho(-)</t>
        </is>
      </c>
      <c r="C99" s="31">
        <f>(0.85*C5/C6)*(1-SQRT(1-2*C98/(0.85*C5)))</f>
        <v/>
      </c>
    </row>
    <row r="100">
      <c r="B100" s="27" t="inlineStr">
        <is>
          <t>As(-) [mm2]</t>
        </is>
      </c>
      <c r="C100" s="31">
        <f>C99*C7*1000*C16</f>
        <v/>
      </c>
    </row>
    <row r="101">
      <c r="B101" s="27" t="inlineStr">
        <is>
          <t>As(-) diseno [mm2]</t>
        </is>
      </c>
      <c r="C101" s="34">
        <f>MAX(C100,C18)</f>
        <v/>
      </c>
    </row>
    <row r="102">
      <c r="B102" s="27" t="inlineStr">
        <is>
          <t>N barras(-) #4</t>
        </is>
      </c>
      <c r="C102" s="34">
        <f>ROUNDUP(C101/C13,0)</f>
        <v/>
      </c>
    </row>
    <row r="103">
      <c r="B103" s="27" t="inlineStr">
        <is>
          <t>Vu &lt;= phi 1.1 Vc?</t>
        </is>
      </c>
      <c r="C103" s="33">
        <f>IF(C90&lt;=C20,"Si - sin estribos","estribos")</f>
        <v/>
      </c>
    </row>
    <row r="104">
      <c r="B104" s="27" t="inlineStr">
        <is>
          <t>CHECK deflexion (h&gt;=Ln/18.5)</t>
        </is>
      </c>
      <c r="C104" s="33">
        <f>IF(C8&gt;=C86/18.5,"CUMPLE","REVISAR")</f>
        <v/>
      </c>
    </row>
  </sheetData>
  <mergeCells count="5">
    <mergeCell ref="B85:H85"/>
    <mergeCell ref="B22:H22"/>
    <mergeCell ref="B43:H43"/>
    <mergeCell ref="B2:H2"/>
    <mergeCell ref="B64:H64"/>
  </mergeCells>
  <pageMargins left="0.4" right="0.4" top="0.6" bottom="0.6" header="0.3" footer="0.3"/>
  <pageSetup orientation="portrait" fitToHeight="0" fitToWidth="1"/>
  <headerFooter>
    <oddHeader>&amp;LEDIFICIO RESIDENCIAL SANTA MARTA&amp;RSSS Construcciones SAS</oddHeader>
    <oddFooter>&amp;CPagina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B2:H104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9" customWidth="1" min="4" max="4"/>
    <col width="2" customWidth="1" min="5" max="5"/>
    <col width="34" customWidth="1" min="6" max="6"/>
    <col width="13" customWidth="1" min="7" max="7"/>
    <col width="9" customWidth="1" min="8" max="8"/>
  </cols>
  <sheetData>
    <row r="2">
      <c r="B2" s="23" t="inlineStr">
        <is>
          <t>DISENO DE VIGUETAS DE CUBIERTA  (terraza social L=5, por grupos de luz)</t>
        </is>
      </c>
    </row>
    <row r="4">
      <c r="B4" s="6" t="inlineStr">
        <is>
          <t>DATOS COMUNES</t>
        </is>
      </c>
      <c r="F4" s="7" t="inlineStr">
        <is>
          <t>Azul = entrada</t>
        </is>
      </c>
    </row>
    <row r="5">
      <c r="B5" s="27" t="inlineStr">
        <is>
          <t>f'c [MPa]</t>
        </is>
      </c>
      <c r="C5" s="35" t="n">
        <v>28</v>
      </c>
    </row>
    <row r="6">
      <c r="B6" s="27" t="inlineStr">
        <is>
          <t>fy [MPa]</t>
        </is>
      </c>
      <c r="C6" s="35" t="n">
        <v>420</v>
      </c>
    </row>
    <row r="7">
      <c r="B7" s="27" t="inlineStr">
        <is>
          <t>bw [m]</t>
        </is>
      </c>
      <c r="C7" s="35" t="n">
        <v>0.15</v>
      </c>
    </row>
    <row r="8">
      <c r="B8" s="27" t="inlineStr">
        <is>
          <t>h [m]</t>
        </is>
      </c>
      <c r="C8" s="35" t="n">
        <v>0.34</v>
      </c>
    </row>
    <row r="9">
      <c r="B9" s="27" t="inlineStr">
        <is>
          <t>hf loseta [m]</t>
        </is>
      </c>
      <c r="C9" s="35" t="n">
        <v>0.06</v>
      </c>
    </row>
    <row r="10">
      <c r="B10" s="27" t="inlineStr">
        <is>
          <t>sv [m]</t>
        </is>
      </c>
      <c r="C10" s="35" t="n">
        <v>0.8</v>
      </c>
    </row>
    <row r="11">
      <c r="B11" s="27" t="inlineStr">
        <is>
          <t>recubrimiento [m]</t>
        </is>
      </c>
      <c r="C11" s="35" t="n">
        <v>0.03</v>
      </c>
    </row>
    <row r="12">
      <c r="B12" s="27" t="inlineStr">
        <is>
          <t>Diam barra [mm]</t>
        </is>
      </c>
      <c r="C12" s="35" t="n">
        <v>12.7</v>
      </c>
    </row>
    <row r="13">
      <c r="B13" s="27" t="inlineStr">
        <is>
          <t>Area barra [mm2]</t>
        </is>
      </c>
      <c r="C13" s="35" t="n">
        <v>129</v>
      </c>
    </row>
    <row r="14">
      <c r="B14" s="27" t="inlineStr">
        <is>
          <t>wD [kN/m2]</t>
        </is>
      </c>
      <c r="C14" s="35" t="n">
        <v>4.376</v>
      </c>
    </row>
    <row r="15">
      <c r="B15" s="27" t="inlineStr">
        <is>
          <t>wL [kN/m2]</t>
        </is>
      </c>
      <c r="C15" s="35" t="n">
        <v>5</v>
      </c>
    </row>
    <row r="16">
      <c r="B16" s="24" t="inlineStr">
        <is>
          <t>d [mm]</t>
        </is>
      </c>
      <c r="C16" s="34">
        <f>C8*1000-C11*1000-C12/2</f>
        <v/>
      </c>
    </row>
    <row r="17">
      <c r="B17" s="27" t="inlineStr">
        <is>
          <t>wu = (1.2D+1.6L) sv [kN/m]</t>
        </is>
      </c>
      <c r="C17" s="34">
        <f>(1.2*C14+1.6*C15)*C10</f>
        <v/>
      </c>
    </row>
    <row r="18">
      <c r="B18" s="27" t="inlineStr">
        <is>
          <t>As minimo [mm2]</t>
        </is>
      </c>
      <c r="C18" s="37">
        <f>MAX(0.25*SQRT(C5)/C6,1.4/C6)*C7*1000*C16</f>
        <v/>
      </c>
    </row>
    <row r="19">
      <c r="B19" s="27" t="inlineStr">
        <is>
          <t>Vc [kN]</t>
        </is>
      </c>
      <c r="C19" s="37">
        <f>0.17*SQRT(C5)*C7*1000*C16/1000</f>
        <v/>
      </c>
    </row>
    <row r="20">
      <c r="B20" s="27" t="inlineStr">
        <is>
          <t>phi 1.1 Vc [kN]</t>
        </is>
      </c>
      <c r="C20" s="37">
        <f>0.75*1.1*C19</f>
        <v/>
      </c>
    </row>
    <row r="22">
      <c r="B22" s="49" t="inlineStr">
        <is>
          <t>GRUPO VT-1   (Ln = 1.85 m)</t>
        </is>
      </c>
      <c r="C22" s="25" t="n"/>
      <c r="D22" s="25" t="n"/>
      <c r="E22" s="25" t="n"/>
      <c r="F22" s="25" t="n"/>
      <c r="G22" s="25" t="n"/>
      <c r="H22" s="26" t="n"/>
    </row>
    <row r="23">
      <c r="B23" s="27" t="inlineStr">
        <is>
          <t>Ln [m]</t>
        </is>
      </c>
      <c r="C23" s="35" t="n">
        <v>1.85</v>
      </c>
    </row>
    <row r="24">
      <c r="B24" s="27" t="inlineStr">
        <is>
          <t>bf = min(Ln/4;bw+16hf;sv) [mm]</t>
        </is>
      </c>
      <c r="C24" s="34">
        <f>MIN(C23*1000/4,C7*1000+16*C9*1000,C10*1000)</f>
        <v/>
      </c>
    </row>
    <row r="25">
      <c r="B25" s="27" t="inlineStr">
        <is>
          <t>Mu(-) = wu Ln2/10 [kN.m]</t>
        </is>
      </c>
      <c r="C25" s="34">
        <f>C17*C23^2/10</f>
        <v/>
      </c>
    </row>
    <row r="26">
      <c r="B26" s="27" t="inlineStr">
        <is>
          <t>Mu(+) = wu Ln2/14 [kN.m]</t>
        </is>
      </c>
      <c r="C26" s="34">
        <f>C17*C23^2/14</f>
        <v/>
      </c>
    </row>
    <row r="27">
      <c r="B27" s="27" t="inlineStr">
        <is>
          <t>Vu = 1.15 wu Ln/2 [kN]</t>
        </is>
      </c>
      <c r="C27" s="34">
        <f>1.15*C17*C23/2</f>
        <v/>
      </c>
    </row>
    <row r="28">
      <c r="B28" s="27" t="inlineStr">
        <is>
          <t>Rn(+) = Mu+/(phi bf d2)</t>
        </is>
      </c>
      <c r="C28" s="31">
        <f>C26*1000000/(0.9*C24*C16^2)</f>
        <v/>
      </c>
    </row>
    <row r="29">
      <c r="B29" s="27" t="inlineStr">
        <is>
          <t>rho(+)</t>
        </is>
      </c>
      <c r="C29" s="31">
        <f>(0.85*C5/C6)*(1-SQRT(1-2*C28/(0.85*C5)))</f>
        <v/>
      </c>
    </row>
    <row r="30">
      <c r="B30" s="27" t="inlineStr">
        <is>
          <t>As(+) [mm2]</t>
        </is>
      </c>
      <c r="C30" s="31">
        <f>C29*C24*C16</f>
        <v/>
      </c>
    </row>
    <row r="31">
      <c r="B31" s="27" t="inlineStr">
        <is>
          <t>a(+) [mm]</t>
        </is>
      </c>
      <c r="C31" s="31">
        <f>C30*C6/(0.85*C5*C24)</f>
        <v/>
      </c>
    </row>
    <row r="32">
      <c r="B32" s="27" t="inlineStr">
        <is>
          <t>a &lt;= hf?</t>
        </is>
      </c>
      <c r="C32" s="33">
        <f>IF(C31&lt;=C9*1000,"Si (T)","revisar")</f>
        <v/>
      </c>
    </row>
    <row r="33">
      <c r="B33" s="27" t="inlineStr">
        <is>
          <t>As(+) diseno [mm2]</t>
        </is>
      </c>
      <c r="C33" s="34">
        <f>MAX(C30,C18)</f>
        <v/>
      </c>
    </row>
    <row r="34">
      <c r="B34" s="27" t="inlineStr">
        <is>
          <t>N barras(+) #4</t>
        </is>
      </c>
      <c r="C34" s="34">
        <f>ROUNDUP(C33/C13,0)</f>
        <v/>
      </c>
    </row>
    <row r="35">
      <c r="B35" s="27" t="inlineStr">
        <is>
          <t>Rn(-) = Mu-/(phi bw d2)</t>
        </is>
      </c>
      <c r="C35" s="31">
        <f>C25*1000000/(0.9*C7*1000*C16^2)</f>
        <v/>
      </c>
    </row>
    <row r="36">
      <c r="B36" s="27" t="inlineStr">
        <is>
          <t>rho(-)</t>
        </is>
      </c>
      <c r="C36" s="31">
        <f>(0.85*C5/C6)*(1-SQRT(1-2*C35/(0.85*C5)))</f>
        <v/>
      </c>
    </row>
    <row r="37">
      <c r="B37" s="27" t="inlineStr">
        <is>
          <t>As(-) [mm2]</t>
        </is>
      </c>
      <c r="C37" s="31">
        <f>C36*C7*1000*C16</f>
        <v/>
      </c>
    </row>
    <row r="38">
      <c r="B38" s="27" t="inlineStr">
        <is>
          <t>As(-) diseno [mm2]</t>
        </is>
      </c>
      <c r="C38" s="34">
        <f>MAX(C37,C18)</f>
        <v/>
      </c>
    </row>
    <row r="39">
      <c r="B39" s="27" t="inlineStr">
        <is>
          <t>N barras(-) #4</t>
        </is>
      </c>
      <c r="C39" s="34">
        <f>ROUNDUP(C38/C13,0)</f>
        <v/>
      </c>
    </row>
    <row r="40">
      <c r="B40" s="27" t="inlineStr">
        <is>
          <t>Vu &lt;= phi 1.1 Vc?</t>
        </is>
      </c>
      <c r="C40" s="33">
        <f>IF(C27&lt;=C20,"Si - sin estribos","estribos")</f>
        <v/>
      </c>
    </row>
    <row r="41">
      <c r="B41" s="27" t="inlineStr">
        <is>
          <t>CHECK deflexion (h&gt;=Ln/18.5)</t>
        </is>
      </c>
      <c r="C41" s="33">
        <f>IF(C8&gt;=C23/18.5,"CUMPLE","REVISAR")</f>
        <v/>
      </c>
    </row>
    <row r="43">
      <c r="B43" s="49" t="inlineStr">
        <is>
          <t>GRUPO VT-2   (Ln = 3.25 m)</t>
        </is>
      </c>
      <c r="C43" s="25" t="n"/>
      <c r="D43" s="25" t="n"/>
      <c r="E43" s="25" t="n"/>
      <c r="F43" s="25" t="n"/>
      <c r="G43" s="25" t="n"/>
      <c r="H43" s="26" t="n"/>
    </row>
    <row r="44">
      <c r="B44" s="27" t="inlineStr">
        <is>
          <t>Ln [m]</t>
        </is>
      </c>
      <c r="C44" s="35" t="n">
        <v>3.25</v>
      </c>
    </row>
    <row r="45">
      <c r="B45" s="27" t="inlineStr">
        <is>
          <t>bf = min(Ln/4;bw+16hf;sv) [mm]</t>
        </is>
      </c>
      <c r="C45" s="34">
        <f>MIN(C44*1000/4,C7*1000+16*C9*1000,C10*1000)</f>
        <v/>
      </c>
    </row>
    <row r="46">
      <c r="B46" s="27" t="inlineStr">
        <is>
          <t>Mu(-) = wu Ln2/10 [kN.m]</t>
        </is>
      </c>
      <c r="C46" s="34">
        <f>C17*C44^2/10</f>
        <v/>
      </c>
    </row>
    <row r="47">
      <c r="B47" s="27" t="inlineStr">
        <is>
          <t>Mu(+) = wu Ln2/14 [kN.m]</t>
        </is>
      </c>
      <c r="C47" s="34">
        <f>C17*C44^2/14</f>
        <v/>
      </c>
    </row>
    <row r="48">
      <c r="B48" s="27" t="inlineStr">
        <is>
          <t>Vu = 1.15 wu Ln/2 [kN]</t>
        </is>
      </c>
      <c r="C48" s="34">
        <f>1.15*C17*C44/2</f>
        <v/>
      </c>
    </row>
    <row r="49">
      <c r="B49" s="27" t="inlineStr">
        <is>
          <t>Rn(+) = Mu+/(phi bf d2)</t>
        </is>
      </c>
      <c r="C49" s="31">
        <f>C47*1000000/(0.9*C45*C16^2)</f>
        <v/>
      </c>
    </row>
    <row r="50">
      <c r="B50" s="27" t="inlineStr">
        <is>
          <t>rho(+)</t>
        </is>
      </c>
      <c r="C50" s="31">
        <f>(0.85*C5/C6)*(1-SQRT(1-2*C49/(0.85*C5)))</f>
        <v/>
      </c>
    </row>
    <row r="51">
      <c r="B51" s="27" t="inlineStr">
        <is>
          <t>As(+) [mm2]</t>
        </is>
      </c>
      <c r="C51" s="31">
        <f>C50*C45*C16</f>
        <v/>
      </c>
    </row>
    <row r="52">
      <c r="B52" s="27" t="inlineStr">
        <is>
          <t>a(+) [mm]</t>
        </is>
      </c>
      <c r="C52" s="31">
        <f>C51*C6/(0.85*C5*C45)</f>
        <v/>
      </c>
    </row>
    <row r="53">
      <c r="B53" s="27" t="inlineStr">
        <is>
          <t>a &lt;= hf?</t>
        </is>
      </c>
      <c r="C53" s="33">
        <f>IF(C52&lt;=C9*1000,"Si (T)","revisar")</f>
        <v/>
      </c>
    </row>
    <row r="54">
      <c r="B54" s="27" t="inlineStr">
        <is>
          <t>As(+) diseno [mm2]</t>
        </is>
      </c>
      <c r="C54" s="34">
        <f>MAX(C51,C18)</f>
        <v/>
      </c>
    </row>
    <row r="55">
      <c r="B55" s="27" t="inlineStr">
        <is>
          <t>N barras(+) #4</t>
        </is>
      </c>
      <c r="C55" s="34">
        <f>ROUNDUP(C54/C13,0)</f>
        <v/>
      </c>
    </row>
    <row r="56">
      <c r="B56" s="27" t="inlineStr">
        <is>
          <t>Rn(-) = Mu-/(phi bw d2)</t>
        </is>
      </c>
      <c r="C56" s="31">
        <f>C46*1000000/(0.9*C7*1000*C16^2)</f>
        <v/>
      </c>
    </row>
    <row r="57">
      <c r="B57" s="27" t="inlineStr">
        <is>
          <t>rho(-)</t>
        </is>
      </c>
      <c r="C57" s="31">
        <f>(0.85*C5/C6)*(1-SQRT(1-2*C56/(0.85*C5)))</f>
        <v/>
      </c>
    </row>
    <row r="58">
      <c r="B58" s="27" t="inlineStr">
        <is>
          <t>As(-) [mm2]</t>
        </is>
      </c>
      <c r="C58" s="31">
        <f>C57*C7*1000*C16</f>
        <v/>
      </c>
    </row>
    <row r="59">
      <c r="B59" s="27" t="inlineStr">
        <is>
          <t>As(-) diseno [mm2]</t>
        </is>
      </c>
      <c r="C59" s="34">
        <f>MAX(C58,C18)</f>
        <v/>
      </c>
    </row>
    <row r="60">
      <c r="B60" s="27" t="inlineStr">
        <is>
          <t>N barras(-) #4</t>
        </is>
      </c>
      <c r="C60" s="34">
        <f>ROUNDUP(C59/C13,0)</f>
        <v/>
      </c>
    </row>
    <row r="61">
      <c r="B61" s="27" t="inlineStr">
        <is>
          <t>Vu &lt;= phi 1.1 Vc?</t>
        </is>
      </c>
      <c r="C61" s="33">
        <f>IF(C48&lt;=C20,"Si - sin estribos","estribos")</f>
        <v/>
      </c>
    </row>
    <row r="62">
      <c r="B62" s="27" t="inlineStr">
        <is>
          <t>CHECK deflexion (h&gt;=Ln/18.5)</t>
        </is>
      </c>
      <c r="C62" s="33">
        <f>IF(C8&gt;=C44/18.5,"CUMPLE","REVISAR")</f>
        <v/>
      </c>
    </row>
    <row r="64">
      <c r="B64" s="49" t="inlineStr">
        <is>
          <t>GRUPO VT-3   (Ln = 4.45 m)</t>
        </is>
      </c>
      <c r="C64" s="25" t="n"/>
      <c r="D64" s="25" t="n"/>
      <c r="E64" s="25" t="n"/>
      <c r="F64" s="25" t="n"/>
      <c r="G64" s="25" t="n"/>
      <c r="H64" s="26" t="n"/>
    </row>
    <row r="65">
      <c r="B65" s="27" t="inlineStr">
        <is>
          <t>Ln [m]</t>
        </is>
      </c>
      <c r="C65" s="35" t="n">
        <v>4.45</v>
      </c>
    </row>
    <row r="66">
      <c r="B66" s="27" t="inlineStr">
        <is>
          <t>bf = min(Ln/4;bw+16hf;sv) [mm]</t>
        </is>
      </c>
      <c r="C66" s="34">
        <f>MIN(C65*1000/4,C7*1000+16*C9*1000,C10*1000)</f>
        <v/>
      </c>
    </row>
    <row r="67">
      <c r="B67" s="27" t="inlineStr">
        <is>
          <t>Mu(-) = wu Ln2/10 [kN.m]</t>
        </is>
      </c>
      <c r="C67" s="34">
        <f>C17*C65^2/10</f>
        <v/>
      </c>
    </row>
    <row r="68">
      <c r="B68" s="27" t="inlineStr">
        <is>
          <t>Mu(+) = wu Ln2/14 [kN.m]</t>
        </is>
      </c>
      <c r="C68" s="34">
        <f>C17*C65^2/14</f>
        <v/>
      </c>
    </row>
    <row r="69">
      <c r="B69" s="27" t="inlineStr">
        <is>
          <t>Vu = 1.15 wu Ln/2 [kN]</t>
        </is>
      </c>
      <c r="C69" s="34">
        <f>1.15*C17*C65/2</f>
        <v/>
      </c>
    </row>
    <row r="70">
      <c r="B70" s="27" t="inlineStr">
        <is>
          <t>Rn(+) = Mu+/(phi bf d2)</t>
        </is>
      </c>
      <c r="C70" s="31">
        <f>C68*1000000/(0.9*C66*C16^2)</f>
        <v/>
      </c>
    </row>
    <row r="71">
      <c r="B71" s="27" t="inlineStr">
        <is>
          <t>rho(+)</t>
        </is>
      </c>
      <c r="C71" s="31">
        <f>(0.85*C5/C6)*(1-SQRT(1-2*C70/(0.85*C5)))</f>
        <v/>
      </c>
    </row>
    <row r="72">
      <c r="B72" s="27" t="inlineStr">
        <is>
          <t>As(+) [mm2]</t>
        </is>
      </c>
      <c r="C72" s="31">
        <f>C71*C66*C16</f>
        <v/>
      </c>
    </row>
    <row r="73">
      <c r="B73" s="27" t="inlineStr">
        <is>
          <t>a(+) [mm]</t>
        </is>
      </c>
      <c r="C73" s="31">
        <f>C72*C6/(0.85*C5*C66)</f>
        <v/>
      </c>
    </row>
    <row r="74">
      <c r="B74" s="27" t="inlineStr">
        <is>
          <t>a &lt;= hf?</t>
        </is>
      </c>
      <c r="C74" s="33">
        <f>IF(C73&lt;=C9*1000,"Si (T)","revisar")</f>
        <v/>
      </c>
    </row>
    <row r="75">
      <c r="B75" s="27" t="inlineStr">
        <is>
          <t>As(+) diseno [mm2]</t>
        </is>
      </c>
      <c r="C75" s="34">
        <f>MAX(C72,C18)</f>
        <v/>
      </c>
    </row>
    <row r="76">
      <c r="B76" s="27" t="inlineStr">
        <is>
          <t>N barras(+) #4</t>
        </is>
      </c>
      <c r="C76" s="34">
        <f>ROUNDUP(C75/C13,0)</f>
        <v/>
      </c>
    </row>
    <row r="77">
      <c r="B77" s="27" t="inlineStr">
        <is>
          <t>Rn(-) = Mu-/(phi bw d2)</t>
        </is>
      </c>
      <c r="C77" s="31">
        <f>C67*1000000/(0.9*C7*1000*C16^2)</f>
        <v/>
      </c>
    </row>
    <row r="78">
      <c r="B78" s="27" t="inlineStr">
        <is>
          <t>rho(-)</t>
        </is>
      </c>
      <c r="C78" s="31">
        <f>(0.85*C5/C6)*(1-SQRT(1-2*C77/(0.85*C5)))</f>
        <v/>
      </c>
    </row>
    <row r="79">
      <c r="B79" s="27" t="inlineStr">
        <is>
          <t>As(-) [mm2]</t>
        </is>
      </c>
      <c r="C79" s="31">
        <f>C78*C7*1000*C16</f>
        <v/>
      </c>
    </row>
    <row r="80">
      <c r="B80" s="27" t="inlineStr">
        <is>
          <t>As(-) diseno [mm2]</t>
        </is>
      </c>
      <c r="C80" s="34">
        <f>MAX(C79,C18)</f>
        <v/>
      </c>
    </row>
    <row r="81">
      <c r="B81" s="27" t="inlineStr">
        <is>
          <t>N barras(-) #4</t>
        </is>
      </c>
      <c r="C81" s="34">
        <f>ROUNDUP(C80/C13,0)</f>
        <v/>
      </c>
    </row>
    <row r="82">
      <c r="B82" s="27" t="inlineStr">
        <is>
          <t>Vu &lt;= phi 1.1 Vc?</t>
        </is>
      </c>
      <c r="C82" s="33">
        <f>IF(C69&lt;=C20,"Si - sin estribos","estribos")</f>
        <v/>
      </c>
    </row>
    <row r="83">
      <c r="B83" s="27" t="inlineStr">
        <is>
          <t>CHECK deflexion (h&gt;=Ln/18.5)</t>
        </is>
      </c>
      <c r="C83" s="33">
        <f>IF(C8&gt;=C65/18.5,"CUMPLE","REVISAR")</f>
        <v/>
      </c>
    </row>
    <row r="85">
      <c r="B85" s="49" t="inlineStr">
        <is>
          <t>GRUPO VT-4   (Ln = 4.8 m)</t>
        </is>
      </c>
      <c r="C85" s="25" t="n"/>
      <c r="D85" s="25" t="n"/>
      <c r="E85" s="25" t="n"/>
      <c r="F85" s="25" t="n"/>
      <c r="G85" s="25" t="n"/>
      <c r="H85" s="26" t="n"/>
    </row>
    <row r="86">
      <c r="B86" s="27" t="inlineStr">
        <is>
          <t>Ln [m]</t>
        </is>
      </c>
      <c r="C86" s="35" t="n">
        <v>4.8</v>
      </c>
    </row>
    <row r="87">
      <c r="B87" s="27" t="inlineStr">
        <is>
          <t>bf = min(Ln/4;bw+16hf;sv) [mm]</t>
        </is>
      </c>
      <c r="C87" s="34">
        <f>MIN(C86*1000/4,C7*1000+16*C9*1000,C10*1000)</f>
        <v/>
      </c>
    </row>
    <row r="88">
      <c r="B88" s="27" t="inlineStr">
        <is>
          <t>Mu(-) = wu Ln2/10 [kN.m]</t>
        </is>
      </c>
      <c r="C88" s="34">
        <f>C17*C86^2/10</f>
        <v/>
      </c>
    </row>
    <row r="89">
      <c r="B89" s="27" t="inlineStr">
        <is>
          <t>Mu(+) = wu Ln2/14 [kN.m]</t>
        </is>
      </c>
      <c r="C89" s="34">
        <f>C17*C86^2/14</f>
        <v/>
      </c>
    </row>
    <row r="90">
      <c r="B90" s="27" t="inlineStr">
        <is>
          <t>Vu = 1.15 wu Ln/2 [kN]</t>
        </is>
      </c>
      <c r="C90" s="34">
        <f>1.15*C17*C86/2</f>
        <v/>
      </c>
    </row>
    <row r="91">
      <c r="B91" s="27" t="inlineStr">
        <is>
          <t>Rn(+) = Mu+/(phi bf d2)</t>
        </is>
      </c>
      <c r="C91" s="31">
        <f>C89*1000000/(0.9*C87*C16^2)</f>
        <v/>
      </c>
    </row>
    <row r="92">
      <c r="B92" s="27" t="inlineStr">
        <is>
          <t>rho(+)</t>
        </is>
      </c>
      <c r="C92" s="31">
        <f>(0.85*C5/C6)*(1-SQRT(1-2*C91/(0.85*C5)))</f>
        <v/>
      </c>
    </row>
    <row r="93">
      <c r="B93" s="27" t="inlineStr">
        <is>
          <t>As(+) [mm2]</t>
        </is>
      </c>
      <c r="C93" s="31">
        <f>C92*C87*C16</f>
        <v/>
      </c>
    </row>
    <row r="94">
      <c r="B94" s="27" t="inlineStr">
        <is>
          <t>a(+) [mm]</t>
        </is>
      </c>
      <c r="C94" s="31">
        <f>C93*C6/(0.85*C5*C87)</f>
        <v/>
      </c>
    </row>
    <row r="95">
      <c r="B95" s="27" t="inlineStr">
        <is>
          <t>a &lt;= hf?</t>
        </is>
      </c>
      <c r="C95" s="33">
        <f>IF(C94&lt;=C9*1000,"Si (T)","revisar")</f>
        <v/>
      </c>
    </row>
    <row r="96">
      <c r="B96" s="27" t="inlineStr">
        <is>
          <t>As(+) diseno [mm2]</t>
        </is>
      </c>
      <c r="C96" s="34">
        <f>MAX(C93,C18)</f>
        <v/>
      </c>
    </row>
    <row r="97">
      <c r="B97" s="27" t="inlineStr">
        <is>
          <t>N barras(+) #4</t>
        </is>
      </c>
      <c r="C97" s="34">
        <f>ROUNDUP(C96/C13,0)</f>
        <v/>
      </c>
    </row>
    <row r="98">
      <c r="B98" s="27" t="inlineStr">
        <is>
          <t>Rn(-) = Mu-/(phi bw d2)</t>
        </is>
      </c>
      <c r="C98" s="31">
        <f>C88*1000000/(0.9*C7*1000*C16^2)</f>
        <v/>
      </c>
    </row>
    <row r="99">
      <c r="B99" s="27" t="inlineStr">
        <is>
          <t>rho(-)</t>
        </is>
      </c>
      <c r="C99" s="31">
        <f>(0.85*C5/C6)*(1-SQRT(1-2*C98/(0.85*C5)))</f>
        <v/>
      </c>
    </row>
    <row r="100">
      <c r="B100" s="27" t="inlineStr">
        <is>
          <t>As(-) [mm2]</t>
        </is>
      </c>
      <c r="C100" s="31">
        <f>C99*C7*1000*C16</f>
        <v/>
      </c>
    </row>
    <row r="101">
      <c r="B101" s="27" t="inlineStr">
        <is>
          <t>As(-) diseno [mm2]</t>
        </is>
      </c>
      <c r="C101" s="34">
        <f>MAX(C100,C18)</f>
        <v/>
      </c>
    </row>
    <row r="102">
      <c r="B102" s="27" t="inlineStr">
        <is>
          <t>N barras(-) #4</t>
        </is>
      </c>
      <c r="C102" s="34">
        <f>ROUNDUP(C101/C13,0)</f>
        <v/>
      </c>
    </row>
    <row r="103">
      <c r="B103" s="27" t="inlineStr">
        <is>
          <t>Vu &lt;= phi 1.1 Vc?</t>
        </is>
      </c>
      <c r="C103" s="33">
        <f>IF(C90&lt;=C20,"Si - sin estribos","estribos")</f>
        <v/>
      </c>
    </row>
    <row r="104">
      <c r="B104" s="27" t="inlineStr">
        <is>
          <t>CHECK deflexion (h&gt;=Ln/18.5)</t>
        </is>
      </c>
      <c r="C104" s="33">
        <f>IF(C8&gt;=C86/18.5,"CUMPLE","REVISAR")</f>
        <v/>
      </c>
    </row>
  </sheetData>
  <mergeCells count="5">
    <mergeCell ref="B85:H85"/>
    <mergeCell ref="B22:H22"/>
    <mergeCell ref="B43:H43"/>
    <mergeCell ref="B2:H2"/>
    <mergeCell ref="B64:H64"/>
  </mergeCells>
  <pageMargins left="0.4" right="0.4" top="0.6" bottom="0.6" header="0.3" footer="0.3"/>
  <pageSetup orientation="portrait" fitToHeight="0" fitToWidth="1"/>
  <headerFooter>
    <oddHeader>&amp;LEDIFICIO RESIDENCIAL SANTA MARTA&amp;RSSS Construcciones SAS</oddHeader>
    <oddFooter>&amp;CPagina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B2:I28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1" customWidth="1" min="3" max="3"/>
    <col width="12" customWidth="1" min="4" max="4"/>
    <col width="12" customWidth="1" min="5" max="5"/>
    <col width="13" customWidth="1" min="6" max="6"/>
    <col width="14" customWidth="1" min="7" max="7"/>
    <col width="15" customWidth="1" min="8" max="8"/>
    <col width="14" customWidth="1" min="9" max="9"/>
  </cols>
  <sheetData>
    <row r="2">
      <c r="B2" s="23" t="inlineStr">
        <is>
          <t>DESPIECE: LONGITUDES DE DESARROLLO, GANCHOS Y ESTRIBOS  (NSR-10 C.7 y C.12)</t>
        </is>
      </c>
    </row>
    <row r="4">
      <c r="B4" s="6" t="inlineStr">
        <is>
          <t>1. Parametros</t>
        </is>
      </c>
    </row>
    <row r="5">
      <c r="B5" s="27" t="inlineStr">
        <is>
          <t>f'c [MPa]</t>
        </is>
      </c>
      <c r="C5" s="35" t="n">
        <v>28</v>
      </c>
      <c r="D5" s="27" t="inlineStr">
        <is>
          <t>fy [MPa]</t>
        </is>
      </c>
      <c r="E5" s="35" t="n">
        <v>420</v>
      </c>
      <c r="F5" s="27" t="inlineStr">
        <is>
          <t>recubrimiento [mm]</t>
        </is>
      </c>
      <c r="G5" s="35" t="n">
        <v>40</v>
      </c>
    </row>
    <row r="6" ht="28" customHeight="1">
      <c r="B6" s="7" t="inlineStr">
        <is>
          <t>ldh = 0.24 (fy/raiz f'c) db  (minimo 8db y 150 mm).  ld recto: C.12.2 (caso favorable).  Gancho 90: extension 12db.  Gancho 135 (estribo): extension 6db &gt;= 75 mm.  Diametro de doblado: 6db.</t>
        </is>
      </c>
    </row>
    <row r="8">
      <c r="B8" s="6" t="inlineStr">
        <is>
          <t>2. Longitudes por diametro de barra [mm]</t>
        </is>
      </c>
    </row>
    <row r="9">
      <c r="B9" s="29" t="inlineStr">
        <is>
          <t>Barra</t>
        </is>
      </c>
      <c r="C9" s="29" t="inlineStr">
        <is>
          <t>db</t>
        </is>
      </c>
      <c r="D9" s="29" t="inlineStr">
        <is>
          <t>ld recto inf.</t>
        </is>
      </c>
      <c r="E9" s="29" t="inlineStr">
        <is>
          <t>ld recto sup.</t>
        </is>
      </c>
      <c r="F9" s="29" t="inlineStr">
        <is>
          <t>ldh (gancho)</t>
        </is>
      </c>
      <c r="G9" s="29" t="inlineStr">
        <is>
          <t>Gancho 90 (12db)</t>
        </is>
      </c>
      <c r="H9" s="29" t="inlineStr">
        <is>
          <t>Gancho 135 estribo</t>
        </is>
      </c>
      <c r="I9" s="29" t="inlineStr">
        <is>
          <t>Diam. doblado (6db)</t>
        </is>
      </c>
    </row>
    <row r="10">
      <c r="B10" s="30" t="inlineStr">
        <is>
          <t>Nº 3</t>
        </is>
      </c>
      <c r="C10" s="35" t="n">
        <v>9.5</v>
      </c>
      <c r="D10" s="31">
        <f>($E$5*1.0*0.8)/(1.1*SQRT($C$5)*2.5)*C10</f>
        <v/>
      </c>
      <c r="E10" s="31">
        <f>($E$5*1.3*0.8)/(1.1*SQRT($C$5)*2.5)*C10</f>
        <v/>
      </c>
      <c r="F10" s="34">
        <f>MAX(0.24*$E$5/SQRT($C$5)*C10,8*C10,150)</f>
        <v/>
      </c>
      <c r="G10" s="31">
        <f>12*C10</f>
        <v/>
      </c>
      <c r="H10" s="31">
        <f>MAX(6*C10,75)</f>
        <v/>
      </c>
      <c r="I10" s="31">
        <f>6*C10</f>
        <v/>
      </c>
    </row>
    <row r="11">
      <c r="B11" s="30" t="inlineStr">
        <is>
          <t>Nº 4</t>
        </is>
      </c>
      <c r="C11" s="35" t="n">
        <v>12.7</v>
      </c>
      <c r="D11" s="31">
        <f>($E$5*1.0*0.8)/(1.1*SQRT($C$5)*2.5)*C11</f>
        <v/>
      </c>
      <c r="E11" s="31">
        <f>($E$5*1.3*0.8)/(1.1*SQRT($C$5)*2.5)*C11</f>
        <v/>
      </c>
      <c r="F11" s="34">
        <f>MAX(0.24*$E$5/SQRT($C$5)*C11,8*C11,150)</f>
        <v/>
      </c>
      <c r="G11" s="31">
        <f>12*C11</f>
        <v/>
      </c>
      <c r="H11" s="31">
        <f>MAX(6*C11,75)</f>
        <v/>
      </c>
      <c r="I11" s="31">
        <f>6*C11</f>
        <v/>
      </c>
    </row>
    <row r="12">
      <c r="B12" s="30" t="inlineStr">
        <is>
          <t>Nº 5</t>
        </is>
      </c>
      <c r="C12" s="35" t="n">
        <v>15.9</v>
      </c>
      <c r="D12" s="31">
        <f>($E$5*1.0*0.8)/(1.1*SQRT($C$5)*2.5)*C12</f>
        <v/>
      </c>
      <c r="E12" s="31">
        <f>($E$5*1.3*0.8)/(1.1*SQRT($C$5)*2.5)*C12</f>
        <v/>
      </c>
      <c r="F12" s="34">
        <f>MAX(0.24*$E$5/SQRT($C$5)*C12,8*C12,150)</f>
        <v/>
      </c>
      <c r="G12" s="31">
        <f>12*C12</f>
        <v/>
      </c>
      <c r="H12" s="31">
        <f>MAX(6*C12,75)</f>
        <v/>
      </c>
      <c r="I12" s="31">
        <f>6*C12</f>
        <v/>
      </c>
    </row>
    <row r="14">
      <c r="B14" s="6" t="inlineStr">
        <is>
          <t>3. Longitud de corte de cada barra</t>
        </is>
      </c>
    </row>
    <row r="15" ht="26" customHeight="1">
      <c r="B15" s="36" t="inlineStr">
        <is>
          <t>Barras SUPERIORES (negativo, apoyos): L = Ln/4 + ldh.   Barras INFERIORES (positivo, centro): L = Ln + 2 ldh.   (metodo del grupo, NSR-10 C.12).</t>
        </is>
      </c>
      <c r="C15" s="25" t="n"/>
      <c r="D15" s="25" t="n"/>
      <c r="E15" s="25" t="n"/>
      <c r="F15" s="25" t="n"/>
      <c r="G15" s="25" t="n"/>
      <c r="H15" s="25" t="n"/>
      <c r="I15" s="26" t="n"/>
    </row>
    <row r="16">
      <c r="B16" s="29" t="inlineStr">
        <is>
          <t>Posicion</t>
        </is>
      </c>
      <c r="C16" s="29" t="inlineStr">
        <is>
          <t>Barra</t>
        </is>
      </c>
      <c r="D16" s="29" t="inlineStr">
        <is>
          <t>Luz libre Ln [m]</t>
        </is>
      </c>
      <c r="E16" s="29" t="inlineStr">
        <is>
          <t>ldh [mm]</t>
        </is>
      </c>
      <c r="F16" s="29" t="inlineStr">
        <is>
          <t>Formula</t>
        </is>
      </c>
      <c r="G16" s="29" t="inlineStr">
        <is>
          <t>Longitud [m]</t>
        </is>
      </c>
    </row>
    <row r="17">
      <c r="B17" s="31" t="inlineStr">
        <is>
          <t>Viga superior (apoyos)</t>
        </is>
      </c>
      <c r="C17" s="31" t="inlineStr">
        <is>
          <t>Nº 4</t>
        </is>
      </c>
      <c r="D17" s="35" t="n">
        <v>5.1</v>
      </c>
      <c r="E17" s="31">
        <f>F11</f>
        <v/>
      </c>
      <c r="F17" s="37" t="inlineStr">
        <is>
          <t>Ln/4 + ldh</t>
        </is>
      </c>
      <c r="G17" s="34">
        <f>(D17/4*1000+E17)/1000</f>
        <v/>
      </c>
    </row>
    <row r="18">
      <c r="B18" s="31" t="inlineStr">
        <is>
          <t>Viga inferior (centro)</t>
        </is>
      </c>
      <c r="C18" s="31" t="inlineStr">
        <is>
          <t>Nº 5</t>
        </is>
      </c>
      <c r="D18" s="35" t="n">
        <v>5.1</v>
      </c>
      <c r="E18" s="31">
        <f>F12</f>
        <v/>
      </c>
      <c r="F18" s="37" t="inlineStr">
        <is>
          <t>Ln + 2 ldh</t>
        </is>
      </c>
      <c r="G18" s="34">
        <f>(D18*1000+2*E18)/1000</f>
        <v/>
      </c>
    </row>
    <row r="19">
      <c r="B19" s="31" t="inlineStr">
        <is>
          <t>Vigueta superior (apoyos)</t>
        </is>
      </c>
      <c r="C19" s="31" t="inlineStr">
        <is>
          <t>Nº 3</t>
        </is>
      </c>
      <c r="D19" s="35" t="n">
        <v>5.1</v>
      </c>
      <c r="E19" s="31">
        <f>F10</f>
        <v/>
      </c>
      <c r="F19" s="31" t="inlineStr">
        <is>
          <t>Ln/4 + ldh</t>
        </is>
      </c>
      <c r="G19" s="34">
        <f>(D19/4*1000+E19)/1000</f>
        <v/>
      </c>
    </row>
    <row r="20" ht="28" customHeight="1">
      <c r="B20" s="31" t="inlineStr">
        <is>
          <t>Vigueta inferior (centro)</t>
        </is>
      </c>
      <c r="C20" s="31" t="inlineStr">
        <is>
          <t>Nº 3</t>
        </is>
      </c>
      <c r="D20" s="35" t="n">
        <v>5.1</v>
      </c>
      <c r="E20" s="31">
        <f>F10</f>
        <v/>
      </c>
      <c r="F20" s="31" t="inlineStr">
        <is>
          <t>Ln + 2 ldh</t>
        </is>
      </c>
      <c r="G20" s="34">
        <f>(D20*1000+2*E20)/1000</f>
        <v/>
      </c>
    </row>
    <row r="22">
      <c r="B22" s="6" t="inlineStr">
        <is>
          <t>4. Estribos (Nº 3) y zonas de confinamiento (DMO C.21.3.4)</t>
        </is>
      </c>
    </row>
    <row r="23">
      <c r="B23" s="29" t="inlineStr">
        <is>
          <t>Elemento</t>
        </is>
      </c>
      <c r="C23" s="29" t="inlineStr">
        <is>
          <t>b [mm]</t>
        </is>
      </c>
      <c r="D23" s="29" t="inlineStr">
        <is>
          <t>h [mm]</t>
        </is>
      </c>
      <c r="E23" s="29" t="inlineStr">
        <is>
          <t>d [mm]</t>
        </is>
      </c>
      <c r="F23" s="29" t="inlineStr">
        <is>
          <t>Zona confin. 2h [mm]</t>
        </is>
      </c>
      <c r="G23" s="29" t="inlineStr">
        <is>
          <t>s confin. (d/4) [mm]</t>
        </is>
      </c>
      <c r="H23" s="29" t="inlineStr">
        <is>
          <t>s centro (d/2) [mm]</t>
        </is>
      </c>
      <c r="I23" s="29" t="inlineStr">
        <is>
          <t>Long. estribo [mm]</t>
        </is>
      </c>
    </row>
    <row r="24">
      <c r="B24" s="31" t="inlineStr">
        <is>
          <t>Viga de carga VC</t>
        </is>
      </c>
      <c r="C24" s="35" t="n">
        <v>300</v>
      </c>
      <c r="D24" s="35" t="n">
        <v>400</v>
      </c>
      <c r="E24" s="35" t="n">
        <v>342.6</v>
      </c>
      <c r="F24" s="31">
        <f>2*D24</f>
        <v/>
      </c>
      <c r="G24" s="34">
        <f>MIN(E24/4,6*15.9,150)</f>
        <v/>
      </c>
      <c r="H24" s="34">
        <f>E24/2</f>
        <v/>
      </c>
      <c r="I24" s="31">
        <f>2*((C24-2*$G$5)+(D24-2*$G$5))+2*MAX(10*9.5,75)</f>
        <v/>
      </c>
    </row>
    <row r="25">
      <c r="B25" s="31" t="inlineStr">
        <is>
          <t>Riostra VR</t>
        </is>
      </c>
      <c r="C25" s="35" t="n">
        <v>350</v>
      </c>
      <c r="D25" s="35" t="n">
        <v>400</v>
      </c>
      <c r="E25" s="35" t="n">
        <v>342.6</v>
      </c>
      <c r="F25" s="31">
        <f>2*D25</f>
        <v/>
      </c>
      <c r="G25" s="34">
        <f>MIN(E25/4,6*15.9,150)</f>
        <v/>
      </c>
      <c r="H25" s="34">
        <f>E25/2</f>
        <v/>
      </c>
      <c r="I25" s="31">
        <f>2*((C25-2*$G$5)+(D25-2*$G$5))+2*MAX(10*9.5,75)</f>
        <v/>
      </c>
    </row>
    <row r="26">
      <c r="B26" s="31" t="inlineStr">
        <is>
          <t>Vigueta</t>
        </is>
      </c>
      <c r="C26" s="35" t="n">
        <v>150</v>
      </c>
      <c r="D26" s="35" t="n">
        <v>340</v>
      </c>
      <c r="E26" s="35" t="n">
        <v>304</v>
      </c>
      <c r="F26" s="31">
        <f>2*D26</f>
        <v/>
      </c>
      <c r="G26" s="34">
        <f>MIN(E26/4,6*15.9,150)</f>
        <v/>
      </c>
      <c r="H26" s="34">
        <f>E26/2</f>
        <v/>
      </c>
      <c r="I26" s="31">
        <f>2*((C26-2*$G$5)+(D26-2*$G$5))+2*MAX(10*9.5,75)</f>
        <v/>
      </c>
    </row>
    <row r="28" ht="28" customHeight="1">
      <c r="B28" s="7" t="inlineStr">
        <is>
          <t>Estribos Nº 3 de dos ramas, con ganchos sismicos a 135 grados. En la zona de confinamiento (2h desde la cara de cada apoyo) se separan d/4; en el resto, d/2. La longitud del estribo incluye el perimetro interior mas los dos ganchos a 135 grados.</t>
        </is>
      </c>
    </row>
  </sheetData>
  <mergeCells count="4">
    <mergeCell ref="B28:I28"/>
    <mergeCell ref="B6:I6"/>
    <mergeCell ref="B2:I2"/>
    <mergeCell ref="B15:I15"/>
  </mergeCells>
  <printOptions horizontalCentered="1"/>
  <pageMargins left="0.4" right="0.4" top="0.7" bottom="0.7" header="0.3" footer="0.3"/>
  <pageSetup orientation="landscape" fitToHeight="0" fitToWidth="1"/>
  <headerFooter>
    <oddHeader>&amp;L&amp;"Aptos Narrow"&amp;8 EDIFICIO RESIDENCIAL SANTA MARTA&amp;R&amp;"Aptos Narrow"&amp;8 SSS Construcciones y Consultorias SAS</oddHeader>
    <oddFooter>&amp;C&amp;8 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2026-06-24T19:57:17Z</dcterms:created>
  <dcterms:modified xmlns:dcterms="http://purl.org/dc/terms/" xmlns:xsi="http://www.w3.org/2001/XMLSchema-instance" xsi:type="dcterms:W3CDTF">2026-06-25T15:41:48Z</dcterms:modified>
</cp:coreProperties>
</file>