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rregularidades" sheetId="1" state="visible" r:id="rId1"/>
    <sheet name="Diseno Vigas" sheetId="2" state="visible" r:id="rId2"/>
    <sheet name="Diseno Riostras" sheetId="3" state="visible" r:id="rId3"/>
    <sheet name="Diseno Viguet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ptos Narrow"/>
      <b val="1"/>
      <sz val="14"/>
    </font>
    <font>
      <name val="Aptos Narrow"/>
      <b val="1"/>
      <sz val="12"/>
    </font>
    <font>
      <name val="Aptos Narrow"/>
      <sz val="11"/>
    </font>
    <font>
      <name val="Aptos Narrow"/>
      <b val="1"/>
      <sz val="11"/>
    </font>
    <font>
      <name val="Aptos Narrow"/>
      <i val="1"/>
      <sz val="9"/>
    </font>
    <font>
      <name val="Aptos Narrow"/>
      <b val="1"/>
      <sz val="13"/>
    </font>
    <font>
      <name val="Aptos Narrow"/>
      <sz val="10"/>
    </font>
  </fonts>
  <fills count="7">
    <fill>
      <patternFill/>
    </fill>
    <fill>
      <patternFill patternType="gray125"/>
    </fill>
    <fill>
      <patternFill patternType="solid">
        <fgColor rgb="008EAADB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72"/>
  <sheetViews>
    <sheetView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ANALISIS DE IRREGULARIDADES Y COEFICIENTE R  (NSR-10, A.3)</t>
        </is>
      </c>
    </row>
    <row r="4">
      <c r="B4" s="2" t="inlineStr">
        <is>
          <t>1. Sistema estructural y parametros sismicos</t>
        </is>
      </c>
    </row>
    <row r="5" ht="72" customHeight="1">
      <c r="B5" s="3" t="inlineStr">
        <is>
          <t>Sistema: PORTICOS RESISTENTES A MOMENTOS DE CONCRETO REFORZADO con capacidad MODERADA de disipacion de energia (DMO), en las dos direcciones, que resisten cargas gravitacionales y sismicas (NSR-10 Tabla A.3-3). Componentes: columnas (C1ESQ, C2BOR, C3INT, C4DIAG), vigas de carga VC 40x30, vigas de rigidez VR 40x35, entrepiso en losa aligerada en una direccion (vigueta h=0.34 + caseton + loseta 0.06 m). Materiales: f'c=28 MPa, fy=420 MPa. Localizacion: Santa Marta (amenaza sismica intermedia).</t>
        </is>
      </c>
    </row>
    <row r="6"/>
    <row r="7"/>
    <row r="8"/>
    <row r="10">
      <c r="B10" s="4" t="inlineStr">
        <is>
          <t>Aa / Av</t>
        </is>
      </c>
      <c r="C10" s="5" t="n">
        <v>0.15</v>
      </c>
      <c r="D10" s="5" t="n">
        <v>0.1</v>
      </c>
    </row>
    <row r="11">
      <c r="B11" s="4" t="inlineStr">
        <is>
          <t>Suelo / Fa / Fv</t>
        </is>
      </c>
      <c r="C11" s="5" t="inlineStr">
        <is>
          <t>C</t>
        </is>
      </c>
      <c r="D11" s="5" t="n">
        <v>1.2</v>
      </c>
      <c r="E11" s="5" t="n">
        <v>1.7</v>
      </c>
    </row>
    <row r="12">
      <c r="B12" s="4" t="inlineStr">
        <is>
          <t>Coef. importancia I</t>
        </is>
      </c>
      <c r="C12" s="5" t="n">
        <v>1</v>
      </c>
    </row>
    <row r="13">
      <c r="B13" s="6" t="inlineStr">
        <is>
          <t>R0 (Tabla A.3-3, DMO)</t>
        </is>
      </c>
      <c r="C13" s="5" t="n">
        <v>5</v>
      </c>
      <c r="J13" s="7" t="inlineStr">
        <is>
          <t>Portico de concreto: DES R0=7.0 - DMO R0=5.0 - DMI R0=2.5.</t>
        </is>
      </c>
    </row>
    <row r="14">
      <c r="B14" s="6" t="inlineStr">
        <is>
          <t>Omega0 sobrerresistencia</t>
        </is>
      </c>
      <c r="C14" s="5" t="n">
        <v>3</v>
      </c>
      <c r="J14" s="7" t="inlineStr">
        <is>
          <t>Para diseno de elementos por capacidad.</t>
        </is>
      </c>
    </row>
    <row r="16">
      <c r="B16" s="2" t="inlineStr">
        <is>
          <t>2. Irregularidades en PLANTA  -&gt;  phi_p</t>
        </is>
      </c>
    </row>
    <row r="17">
      <c r="B17" s="8" t="inlineStr">
        <is>
          <t>Tipo (A.3-6)</t>
        </is>
      </c>
      <c r="C17" s="8" t="inlineStr">
        <is>
          <t>Parametro</t>
        </is>
      </c>
      <c r="D17" s="8" t="inlineStr">
        <is>
          <t>Valor</t>
        </is>
      </c>
      <c r="E17" s="8" t="inlineStr">
        <is>
          <t>Limite</t>
        </is>
      </c>
      <c r="F17" s="8" t="inlineStr">
        <is>
          <t>Irregular?</t>
        </is>
      </c>
      <c r="G17" s="8" t="inlineStr">
        <is>
          <t>Coef.</t>
        </is>
      </c>
      <c r="J17" s="8" t="inlineStr">
        <is>
          <t>Observacion</t>
        </is>
      </c>
    </row>
    <row r="18">
      <c r="B18" s="4" t="inlineStr">
        <is>
          <t>1aP/1bP Torsional</t>
        </is>
      </c>
      <c r="C18" s="9" t="inlineStr">
        <is>
          <t>dmax/dprom</t>
        </is>
      </c>
      <c r="D18" s="9">
        <f>MAX(E68:E72,H68:H72)</f>
        <v/>
      </c>
      <c r="E18" s="9" t="inlineStr">
        <is>
          <t>1.20 / 1.40</t>
        </is>
      </c>
      <c r="F18" s="9">
        <f>IF(D18&gt;1.4,"Extrema",IF(D18&gt;1.2,"Si","No"))</f>
        <v/>
      </c>
      <c r="G18" s="10">
        <f>IF(D18&gt;1.4,0.8,IF(D18&gt;1.2,0.9,1))</f>
        <v/>
      </c>
      <c r="J18" s="7" t="inlineStr">
        <is>
          <t>Verificado con los 183 nudos del diafragma por piso (Tabla C).</t>
        </is>
      </c>
    </row>
    <row r="19">
      <c r="B19" s="4" t="inlineStr">
        <is>
          <t>2P Retrocesos esquinas</t>
        </is>
      </c>
      <c r="C19" s="9" t="inlineStr">
        <is>
          <t>px ; py</t>
        </is>
      </c>
      <c r="D19" s="9">
        <f>MAX(C42/C40,C43/C41)</f>
        <v/>
      </c>
      <c r="E19" s="9" t="inlineStr">
        <is>
          <t>0.15</t>
        </is>
      </c>
      <c r="F19" s="9">
        <f>IF(AND(C42/C40&gt;0.15,C43/C41&gt;0.15),"Si","No")</f>
        <v/>
      </c>
      <c r="G19" s="10">
        <f>IF(AND(C42/C40&gt;0.15,C43/C41&gt;0.15),0.9,1)</f>
        <v/>
      </c>
    </row>
    <row r="20">
      <c r="B20" s="4" t="inlineStr">
        <is>
          <t>3P Discontinuidad diafragma</t>
        </is>
      </c>
      <c r="C20" s="9" t="inlineStr">
        <is>
          <t>Area abierta</t>
        </is>
      </c>
      <c r="D20" s="9">
        <f>C45</f>
        <v/>
      </c>
      <c r="E20" s="9">
        <f>0.5*C40*C41</f>
        <v/>
      </c>
      <c r="F20" s="9">
        <f>IF(C45&gt;0.5*C40*C41,"Si","No")</f>
        <v/>
      </c>
      <c r="G20" s="10">
        <f>IF(C45&gt;0.5*C40*C41,0.9,1)</f>
        <v/>
      </c>
    </row>
    <row r="21">
      <c r="B21" s="4" t="inlineStr">
        <is>
          <t>4P Desplaz. fuera del plano</t>
        </is>
      </c>
      <c r="C21" s="9" t="inlineStr">
        <is>
          <t>No aplica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No</t>
        </is>
      </c>
      <c r="G21" s="10" t="n">
        <v>1</v>
      </c>
    </row>
    <row r="22">
      <c r="B22" s="4" t="inlineStr">
        <is>
          <t>5P Sistemas no paralelos</t>
        </is>
      </c>
      <c r="C22" s="9" t="inlineStr">
        <is>
          <t>No aplica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No</t>
        </is>
      </c>
      <c r="G22" s="10" t="n">
        <v>1</v>
      </c>
    </row>
    <row r="23">
      <c r="B23" s="6" t="inlineStr">
        <is>
          <t>phi_p = MINIMO</t>
        </is>
      </c>
      <c r="G23" s="11">
        <f>MIN(G18:G22)</f>
        <v/>
      </c>
    </row>
    <row r="25">
      <c r="B25" s="2" t="inlineStr">
        <is>
          <t>3. Irregularidades en ALTURA  -&gt;  phi_a</t>
        </is>
      </c>
    </row>
    <row r="26">
      <c r="B26" s="8" t="inlineStr">
        <is>
          <t>Tipo (A.3-7)</t>
        </is>
      </c>
      <c r="C26" s="8" t="inlineStr">
        <is>
          <t>Parametro</t>
        </is>
      </c>
      <c r="D26" s="8" t="inlineStr">
        <is>
          <t>Valor</t>
        </is>
      </c>
      <c r="E26" s="8" t="inlineStr">
        <is>
          <t>Limite</t>
        </is>
      </c>
      <c r="F26" s="8" t="inlineStr">
        <is>
          <t>Irregular?</t>
        </is>
      </c>
      <c r="G26" s="8" t="inlineStr">
        <is>
          <t>Coef.</t>
        </is>
      </c>
      <c r="J26" s="8" t="inlineStr">
        <is>
          <t>Observacion</t>
        </is>
      </c>
    </row>
    <row r="27">
      <c r="B27" s="4" t="inlineStr">
        <is>
          <t>1aA/1bA Piso flexible</t>
        </is>
      </c>
      <c r="C27" s="9" t="inlineStr">
        <is>
          <t>ki/ki+1 min</t>
        </is>
      </c>
      <c r="D27" s="9">
        <f>MIN(G52:G55)</f>
        <v/>
      </c>
      <c r="E27" s="9" t="inlineStr">
        <is>
          <t>0.70 / 0.60</t>
        </is>
      </c>
      <c r="F27" s="9">
        <f>IF(D27&lt;0.6,"Extrema",IF(D27&lt;0.7,"Si","No"))</f>
        <v/>
      </c>
      <c r="G27" s="10">
        <f>IF(D27&lt;0.6,0.8,IF(D27&lt;0.7,0.9,1))</f>
        <v/>
      </c>
    </row>
    <row r="28">
      <c r="B28" s="4" t="inlineStr">
        <is>
          <t>2A Masa</t>
        </is>
      </c>
      <c r="C28" s="9" t="inlineStr">
        <is>
          <t>mi/mi+-1 max</t>
        </is>
      </c>
      <c r="D28" s="9">
        <f>MAX(H60:H63)</f>
        <v/>
      </c>
      <c r="E28" s="9" t="inlineStr">
        <is>
          <t>1.50</t>
        </is>
      </c>
      <c r="F28" s="9">
        <f>IF(D28&gt;1.5,"Si","No")</f>
        <v/>
      </c>
      <c r="G28" s="10">
        <f>IF(D28&gt;1.5,0.9,1)</f>
        <v/>
      </c>
    </row>
    <row r="29">
      <c r="B29" s="4" t="inlineStr">
        <is>
          <t>3A Geometrica vertical</t>
        </is>
      </c>
      <c r="C29" s="9" t="inlineStr">
        <is>
          <t>dim i/i+1</t>
        </is>
      </c>
      <c r="D29" s="9" t="n">
        <v>1</v>
      </c>
      <c r="E29" s="9" t="inlineStr">
        <is>
          <t>1.30</t>
        </is>
      </c>
      <c r="F29" s="9" t="inlineStr">
        <is>
          <t>No</t>
        </is>
      </c>
      <c r="G29" s="10" t="n">
        <v>1</v>
      </c>
    </row>
    <row r="30">
      <c r="B30" s="4" t="inlineStr">
        <is>
          <t>4A Desplaz. en el plano</t>
        </is>
      </c>
      <c r="C30" s="9" t="inlineStr">
        <is>
          <t>No aplica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No</t>
        </is>
      </c>
      <c r="G30" s="10" t="n">
        <v>1</v>
      </c>
    </row>
    <row r="31">
      <c r="B31" s="4" t="inlineStr">
        <is>
          <t>5aA/5bA Piso debil</t>
        </is>
      </c>
      <c r="C31" s="9" t="inlineStr">
        <is>
          <t>resist i/i+1</t>
        </is>
      </c>
      <c r="D31" s="9" t="n">
        <v>1</v>
      </c>
      <c r="E31" s="9" t="inlineStr">
        <is>
          <t>0.80 / 0.65</t>
        </is>
      </c>
      <c r="F31" s="9" t="inlineStr">
        <is>
          <t>No</t>
        </is>
      </c>
      <c r="G31" s="10" t="n">
        <v>1</v>
      </c>
    </row>
    <row r="32">
      <c r="B32" s="6" t="inlineStr">
        <is>
          <t>phi_a = MINIMO</t>
        </is>
      </c>
      <c r="G32" s="11">
        <f>MIN(G27:G31)</f>
        <v/>
      </c>
    </row>
    <row r="34">
      <c r="B34" s="2" t="inlineStr">
        <is>
          <t>4. Ausencia de redundancia  -&gt;  phi_r  (A.3.3.8)</t>
        </is>
      </c>
    </row>
    <row r="35">
      <c r="B35" s="4" t="inlineStr">
        <is>
          <t>Lineas de resistencia / dir.</t>
        </is>
      </c>
      <c r="C35" s="9" t="inlineStr">
        <is>
          <t>&gt;= 2 vanos</t>
        </is>
      </c>
      <c r="D35" s="4" t="inlineStr">
        <is>
          <t>Redundante?</t>
        </is>
      </c>
      <c r="E35" s="5" t="inlineStr">
        <is>
          <t>Si</t>
        </is>
      </c>
    </row>
    <row r="36">
      <c r="B36" s="6" t="inlineStr">
        <is>
          <t>phi_r</t>
        </is>
      </c>
      <c r="C36" s="11">
        <f>IF(E35="Si",1,0.75)</f>
        <v/>
      </c>
    </row>
    <row r="38">
      <c r="B38" s="2" t="inlineStr">
        <is>
          <t>5. Coeficiente de disipacion  R = R0 x phi_a x phi_p x phi_r</t>
        </is>
      </c>
    </row>
    <row r="40">
      <c r="B40" s="4" t="inlineStr">
        <is>
          <t>Lx planta [m]</t>
        </is>
      </c>
      <c r="C40" s="5" t="n">
        <v>36.6</v>
      </c>
    </row>
    <row r="41">
      <c r="B41" s="4" t="inlineStr">
        <is>
          <t>Ly planta [m]</t>
        </is>
      </c>
      <c r="C41" s="5" t="n">
        <v>15.99</v>
      </c>
    </row>
    <row r="42">
      <c r="B42" s="4" t="inlineStr">
        <is>
          <t>Proy. retroceso X [m]</t>
        </is>
      </c>
      <c r="C42" s="5" t="n">
        <v>5.1</v>
      </c>
    </row>
    <row r="43">
      <c r="B43" s="4" t="inlineStr">
        <is>
          <t>Proy. retroceso Y [m]</t>
        </is>
      </c>
      <c r="C43" s="5" t="n">
        <v>2.65</v>
      </c>
    </row>
    <row r="44">
      <c r="B44" s="4" t="inlineStr">
        <is>
          <t>Area planta [m2]</t>
        </is>
      </c>
      <c r="C44" s="9">
        <f>C40*C41</f>
        <v/>
      </c>
    </row>
    <row r="45">
      <c r="B45" s="4" t="inlineStr">
        <is>
          <t>Area abierta diafragma [m2]</t>
        </is>
      </c>
      <c r="C45" s="5" t="n">
        <v>27.03</v>
      </c>
    </row>
    <row r="46">
      <c r="B46" s="6" t="inlineStr">
        <is>
          <t>R = R0 x phi_a x phi_p x phi_r</t>
        </is>
      </c>
      <c r="C46" s="12">
        <f>C13*G32*G23*C36</f>
        <v/>
      </c>
    </row>
    <row r="47" ht="58" customHeight="1">
      <c r="B47" s="13" t="inlineStr">
        <is>
          <t>CONCLUSION: estructura REGULAR en planta y altura. Torsion dmax/dprom = 1.02(X) y 1.01(Y) &lt; 1.20; masa 1.32 &lt; 1.50; rigidez creciente hacia la base; diafragma &lt; 50% area; retrocesos &lt; 15%. Por tanto phi_p = phi_a = phi_r = 1.0 y R = 5.0. Las solicitaciones sismicas de DISENO de los elementos = (analisis elastico)/R; las derivas se verifican con las fuerzas sin reducir (A.6).</t>
        </is>
      </c>
    </row>
    <row r="48"/>
    <row r="50">
      <c r="B50" s="2" t="inlineStr">
        <is>
          <t>Tabla auxiliar A - Rigidez de piso  ki = Vi/Di</t>
        </is>
      </c>
    </row>
    <row r="51">
      <c r="B51" s="8" t="inlineStr">
        <is>
          <t>Piso</t>
        </is>
      </c>
      <c r="C51" s="8" t="inlineStr">
        <is>
          <t>Fx [kN]</t>
        </is>
      </c>
      <c r="D51" s="8" t="inlineStr">
        <is>
          <t>Vi [kN]</t>
        </is>
      </c>
      <c r="E51" s="8" t="inlineStr">
        <is>
          <t>Di Sx [m]</t>
        </is>
      </c>
      <c r="F51" s="8" t="inlineStr">
        <is>
          <t>ki [kN/m]</t>
        </is>
      </c>
      <c r="G51" s="8" t="inlineStr">
        <is>
          <t>ki/ki+1</t>
        </is>
      </c>
    </row>
    <row r="52">
      <c r="B52" s="9" t="n">
        <v>1</v>
      </c>
      <c r="C52" s="9" t="n">
        <v>991.55</v>
      </c>
      <c r="D52" s="9">
        <f>SUM(C52:C56)</f>
        <v/>
      </c>
      <c r="E52" s="9" t="n">
        <v>0.022</v>
      </c>
      <c r="F52" s="9">
        <f>D52/E52</f>
        <v/>
      </c>
      <c r="G52" s="9">
        <f>F52/F53</f>
        <v/>
      </c>
    </row>
    <row r="53">
      <c r="B53" s="9" t="n">
        <v>2</v>
      </c>
      <c r="C53" s="9" t="n">
        <v>2477.8</v>
      </c>
      <c r="D53" s="9">
        <f>SUM(C53:C56)</f>
        <v/>
      </c>
      <c r="E53" s="9" t="n">
        <v>0.029</v>
      </c>
      <c r="F53" s="9">
        <f>D53/E53</f>
        <v/>
      </c>
      <c r="G53" s="9">
        <f>F53/F54</f>
        <v/>
      </c>
    </row>
    <row r="54">
      <c r="B54" s="9" t="n">
        <v>3</v>
      </c>
      <c r="C54" s="9" t="n">
        <v>3658.6</v>
      </c>
      <c r="D54" s="9">
        <f>SUM(C54:C56)</f>
        <v/>
      </c>
      <c r="E54" s="9" t="n">
        <v>0.026</v>
      </c>
      <c r="F54" s="9">
        <f>D54/E54</f>
        <v/>
      </c>
      <c r="G54" s="9">
        <f>F54/F55</f>
        <v/>
      </c>
    </row>
    <row r="55">
      <c r="B55" s="9" t="n">
        <v>4</v>
      </c>
      <c r="C55" s="9" t="n">
        <v>4849.66</v>
      </c>
      <c r="D55" s="9">
        <f>SUM(C55:C56)</f>
        <v/>
      </c>
      <c r="E55" s="9" t="n">
        <v>0.019</v>
      </c>
      <c r="F55" s="9">
        <f>D55/E55</f>
        <v/>
      </c>
      <c r="G55" s="9">
        <f>F55/F56</f>
        <v/>
      </c>
    </row>
    <row r="56">
      <c r="B56" s="9" t="n">
        <v>5</v>
      </c>
      <c r="C56" s="9" t="n">
        <v>3151.11</v>
      </c>
      <c r="D56" s="9">
        <f>SUM(C56:C56)</f>
        <v/>
      </c>
      <c r="E56" s="9" t="n">
        <v>0.014</v>
      </c>
      <c r="F56" s="9">
        <f>D56/E56</f>
        <v/>
      </c>
      <c r="G56" s="9" t="inlineStr">
        <is>
          <t>-</t>
        </is>
      </c>
    </row>
    <row r="58">
      <c r="B58" s="2" t="inlineStr">
        <is>
          <t>Tabla auxiliar B - Masa por piso</t>
        </is>
      </c>
    </row>
    <row r="59">
      <c r="B59" s="8" t="inlineStr">
        <is>
          <t>Piso</t>
        </is>
      </c>
      <c r="C59" s="8" t="inlineStr">
        <is>
          <t>Peso mi [kN]</t>
        </is>
      </c>
      <c r="D59" s="8" t="inlineStr">
        <is>
          <t>mi/mi-1</t>
        </is>
      </c>
      <c r="E59" s="8" t="inlineStr">
        <is>
          <t>mi/mi+1</t>
        </is>
      </c>
      <c r="H59" s="8" t="inlineStr">
        <is>
          <t>max ratio</t>
        </is>
      </c>
    </row>
    <row r="60">
      <c r="B60" s="9" t="n">
        <v>1</v>
      </c>
      <c r="C60" s="9" t="n">
        <v>7257.69</v>
      </c>
      <c r="D60" s="9" t="inlineStr">
        <is>
          <t>-</t>
        </is>
      </c>
      <c r="E60" s="9">
        <f>C60/C61</f>
        <v/>
      </c>
      <c r="H60" s="9">
        <f>E60</f>
        <v/>
      </c>
    </row>
    <row r="61">
      <c r="B61" s="9" t="n">
        <v>2</v>
      </c>
      <c r="C61" s="9" t="n">
        <v>9604.290000000001</v>
      </c>
      <c r="D61" s="9">
        <f>C61/C60</f>
        <v/>
      </c>
      <c r="E61" s="9">
        <f>C61/C62</f>
        <v/>
      </c>
      <c r="H61" s="9">
        <f>MAX(D61,E61)</f>
        <v/>
      </c>
    </row>
    <row r="62">
      <c r="B62" s="9" t="n">
        <v>3</v>
      </c>
      <c r="C62" s="9" t="n">
        <v>9604.290000000001</v>
      </c>
      <c r="D62" s="9">
        <f>C62/C61</f>
        <v/>
      </c>
      <c r="E62" s="9">
        <f>C62/C63</f>
        <v/>
      </c>
      <c r="H62" s="9">
        <f>MAX(D62,E62)</f>
        <v/>
      </c>
    </row>
    <row r="63">
      <c r="B63" s="9" t="n">
        <v>4</v>
      </c>
      <c r="C63" s="9" t="n">
        <v>9604.290000000001</v>
      </c>
      <c r="D63" s="9">
        <f>C63/C62</f>
        <v/>
      </c>
      <c r="E63" s="9" t="inlineStr">
        <is>
          <t>-</t>
        </is>
      </c>
      <c r="H63" s="9">
        <f>D63</f>
        <v/>
      </c>
    </row>
    <row r="64">
      <c r="B64" s="9" t="inlineStr">
        <is>
          <t>Cubierta</t>
        </is>
      </c>
      <c r="C64" s="9" t="n">
        <v>5003.58</v>
      </c>
    </row>
    <row r="66">
      <c r="B66" s="2" t="inlineStr">
        <is>
          <t>Tabla auxiliar C - Torsion  A = dmax/dprom (valores reales del modelo)</t>
        </is>
      </c>
    </row>
    <row r="67">
      <c r="B67" s="8" t="inlineStr">
        <is>
          <t>Piso</t>
        </is>
      </c>
      <c r="C67" s="8" t="inlineStr">
        <is>
          <t>dmax Sx</t>
        </is>
      </c>
      <c r="D67" s="8" t="inlineStr">
        <is>
          <t>dmin Sx</t>
        </is>
      </c>
      <c r="E67" s="8" t="inlineStr">
        <is>
          <t>Ax</t>
        </is>
      </c>
      <c r="F67" s="8" t="inlineStr">
        <is>
          <t>dmax Sy</t>
        </is>
      </c>
      <c r="G67" s="8" t="inlineStr">
        <is>
          <t>dmin Sy</t>
        </is>
      </c>
      <c r="H67" s="8" t="inlineStr">
        <is>
          <t>Ay</t>
        </is>
      </c>
    </row>
    <row r="68">
      <c r="B68" s="9" t="n">
        <v>1</v>
      </c>
      <c r="C68" s="9" t="n">
        <v>0.0241</v>
      </c>
      <c r="D68" s="9" t="n">
        <v>0.02299</v>
      </c>
      <c r="E68" s="9">
        <f>C68/((C68+D68)/2)</f>
        <v/>
      </c>
      <c r="F68" s="9" t="n">
        <v>0.02097</v>
      </c>
      <c r="G68" s="9" t="n">
        <v>0.02042</v>
      </c>
      <c r="H68" s="9">
        <f>F68/((F68+G68)/2)</f>
        <v/>
      </c>
    </row>
    <row r="69">
      <c r="B69" s="9" t="n">
        <v>2</v>
      </c>
      <c r="C69" s="9" t="n">
        <v>0.05468</v>
      </c>
      <c r="D69" s="9" t="n">
        <v>0.05224</v>
      </c>
      <c r="E69" s="9">
        <f>C69/((C69+D69)/2)</f>
        <v/>
      </c>
      <c r="F69" s="9" t="n">
        <v>0.04338</v>
      </c>
      <c r="G69" s="9" t="n">
        <v>0.04217</v>
      </c>
      <c r="H69" s="9">
        <f>F69/((F69+G69)/2)</f>
        <v/>
      </c>
    </row>
    <row r="70">
      <c r="B70" s="9" t="n">
        <v>3</v>
      </c>
      <c r="C70" s="9" t="n">
        <v>0.08198</v>
      </c>
      <c r="D70" s="9" t="n">
        <v>0.0784</v>
      </c>
      <c r="E70" s="9">
        <f>C70/((C70+D70)/2)</f>
        <v/>
      </c>
      <c r="F70" s="9" t="n">
        <v>0.0625</v>
      </c>
      <c r="G70" s="9" t="n">
        <v>0.06073</v>
      </c>
      <c r="H70" s="9">
        <f>F70/((F70+G70)/2)</f>
        <v/>
      </c>
    </row>
    <row r="71">
      <c r="B71" s="9" t="n">
        <v>4</v>
      </c>
      <c r="C71" s="9" t="n">
        <v>0.1017</v>
      </c>
      <c r="D71" s="9" t="n">
        <v>0.09732</v>
      </c>
      <c r="E71" s="9">
        <f>C71/((C71+D71)/2)</f>
        <v/>
      </c>
      <c r="F71" s="9" t="n">
        <v>0.07592</v>
      </c>
      <c r="G71" s="9" t="n">
        <v>0.07375</v>
      </c>
      <c r="H71" s="9">
        <f>F71/((F71+G71)/2)</f>
        <v/>
      </c>
    </row>
    <row r="72">
      <c r="B72" s="9" t="n">
        <v>5</v>
      </c>
      <c r="C72" s="9" t="n">
        <v>0.11288</v>
      </c>
      <c r="D72" s="9" t="n">
        <v>0.10807</v>
      </c>
      <c r="E72" s="9">
        <f>C72/((C72+D72)/2)</f>
        <v/>
      </c>
      <c r="F72" s="9" t="n">
        <v>0.08278000000000001</v>
      </c>
      <c r="G72" s="9" t="n">
        <v>0.08041</v>
      </c>
      <c r="H72" s="9">
        <f>F72/((F72+G72)/2)</f>
        <v/>
      </c>
    </row>
  </sheetData>
  <mergeCells count="3">
    <mergeCell ref="B47:J48"/>
    <mergeCell ref="B5:J8"/>
    <mergeCell ref="B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80"/>
  <sheetViews>
    <sheetView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DISENO DE VIGAS DE CARGA  (VC 40x30) - NSR-10 / ACI 318 (DMO)</t>
        </is>
      </c>
    </row>
    <row r="4">
      <c r="B4" s="2" t="inlineStr">
        <is>
          <t>1. DATOS Y GEOMETRIA</t>
        </is>
      </c>
      <c r="J4" s="7" t="inlineStr">
        <is>
          <t>Celdas azules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 y 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4.9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142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101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108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20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As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  <c r="J48" s="7" t="inlineStr">
        <is>
          <t>Estribos #3 de 2 ramas. Confinamiento = 2h desde cada cara del nudo (DMO C.21.3.4).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 C.21.3.4.2)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  <c r="J58" s="7" t="inlineStr">
        <is>
          <t>Sumar el cortante gravitacional del tramo a Ve. Gobierna el mayor entre Vu y Ve.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(phi=0.75, theta=45)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  <c r="J64" s="7" t="inlineStr">
        <is>
          <t>Estribo total = Av/s(cortante) + 2(At/s). Al se reparte en el perimetro.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 = phi 0.083 raiz(f'c) Acp2/pcp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 = 2[(b-2r)+(h-2r)]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 (estribo torsion)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 (long. por torsion)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 (C.9.5)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  <row r="78">
      <c r="B78" s="2" t="inlineStr">
        <is>
          <t>9. DESPIECE (resumen)</t>
        </is>
      </c>
    </row>
    <row r="79" ht="40" customHeight="1">
      <c r="B79" s="7" t="inlineStr">
        <is>
          <t>Acero superior: As(-) corrido + bastones en zona negativa (Ln/4 + ld). Inferior: As(+) corrido. Estribos #3: confinamiento @ s_adoptar en 2h desde cada cara, resto @ d/2. Ganchos sismicos 135 grados.</t>
        </is>
      </c>
    </row>
    <row r="80"/>
  </sheetData>
  <mergeCells count="2">
    <mergeCell ref="B79:J80"/>
    <mergeCell ref="B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80"/>
  <sheetViews>
    <sheetView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DISENO DE RIOSTRAS / VIGAS DE RIGIDEZ  (VR 40x35) - NSR-10 / ACI 318 (DMO)</t>
        </is>
      </c>
    </row>
    <row r="4">
      <c r="B4" s="2" t="inlineStr">
        <is>
          <t>1. DATOS Y GEOMETRIA</t>
        </is>
      </c>
      <c r="J4" s="7" t="inlineStr">
        <is>
          <t>Celdas azules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 y 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0.35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5.1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250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138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202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26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As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  <c r="J48" s="7" t="inlineStr">
        <is>
          <t>Estribos #3 de 2 ramas. Confinamiento = 2h desde cada cara del nudo (DMO C.21.3.4).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 C.21.3.4.2)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  <c r="J58" s="7" t="inlineStr">
        <is>
          <t>Sumar el cortante gravitacional del tramo a Ve. Gobierna el mayor entre Vu y Ve.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(phi=0.75, theta=45)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  <c r="J64" s="7" t="inlineStr">
        <is>
          <t>Estribo total = Av/s(cortante) + 2(At/s). Al se reparte en el perimetro.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 = phi 0.083 raiz(f'c) Acp2/pcp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 = 2[(b-2r)+(h-2r)]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 (estribo torsion)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 (long. por torsion)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 (C.9.5)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  <row r="78">
      <c r="B78" s="2" t="inlineStr">
        <is>
          <t>9. DESPIECE (resumen)</t>
        </is>
      </c>
    </row>
    <row r="79" ht="40" customHeight="1">
      <c r="B79" s="7" t="inlineStr">
        <is>
          <t>Acero superior: As(-) corrido + bastones en zona negativa (Ln/4 + ld). Inferior: As(+) corrido. Estribos #3: confinamiento @ s_adoptar en 2h desde cada cara, resto @ d/2. Ganchos sismicos 135 grados.</t>
        </is>
      </c>
    </row>
    <row r="80"/>
  </sheetData>
  <mergeCells count="2">
    <mergeCell ref="B79:J80"/>
    <mergeCell ref="B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56"/>
  <sheetViews>
    <sheetView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DISENO DE VIGUETAS (losa aligerada en una direccion) - viga T, gravedad</t>
        </is>
      </c>
    </row>
    <row r="4">
      <c r="B4" s="2" t="inlineStr">
        <is>
          <t>1. DATOS Y GEOMETRIA</t>
        </is>
      </c>
      <c r="J4" s="7" t="inlineStr">
        <is>
          <t>Celdas azules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</row>
    <row r="6">
      <c r="B6" s="4" t="inlineStr">
        <is>
          <t>fy</t>
        </is>
      </c>
      <c r="C6" s="5" t="n">
        <v>420</v>
      </c>
      <c r="D6" s="9" t="inlineStr">
        <is>
          <t>MPa</t>
        </is>
      </c>
    </row>
    <row r="7">
      <c r="B7" s="4" t="inlineStr">
        <is>
          <t>bw (nervio)</t>
        </is>
      </c>
      <c r="C7" s="5" t="n">
        <v>0.15</v>
      </c>
      <c r="D7" s="9" t="inlineStr">
        <is>
          <t>m</t>
        </is>
      </c>
    </row>
    <row r="8">
      <c r="B8" s="4" t="inlineStr">
        <is>
          <t>h (total)</t>
        </is>
      </c>
      <c r="C8" s="5" t="n">
        <v>0.34</v>
      </c>
      <c r="D8" s="9" t="inlineStr">
        <is>
          <t>m</t>
        </is>
      </c>
    </row>
    <row r="9">
      <c r="B9" s="4" t="inlineStr">
        <is>
          <t>hf (loseta)</t>
        </is>
      </c>
      <c r="C9" s="5" t="n">
        <v>0.06</v>
      </c>
      <c r="D9" s="9" t="inlineStr">
        <is>
          <t>m</t>
        </is>
      </c>
    </row>
    <row r="10">
      <c r="B10" s="4" t="inlineStr">
        <is>
          <t>separacion sv</t>
        </is>
      </c>
      <c r="C10" s="5" t="n">
        <v>0.8</v>
      </c>
      <c r="D10" s="9" t="inlineStr">
        <is>
          <t>m</t>
        </is>
      </c>
    </row>
    <row r="11">
      <c r="B11" s="4" t="inlineStr">
        <is>
          <t>recubrimiento r</t>
        </is>
      </c>
      <c r="C11" s="5" t="n">
        <v>0.03</v>
      </c>
      <c r="D11" s="9" t="inlineStr">
        <is>
          <t>m</t>
        </is>
      </c>
    </row>
    <row r="12">
      <c r="B12" s="4" t="inlineStr">
        <is>
          <t>Diam barra long.</t>
        </is>
      </c>
      <c r="C12" s="5" t="n">
        <v>12.7</v>
      </c>
      <c r="D12" s="9" t="inlineStr">
        <is>
          <t>mm #4</t>
        </is>
      </c>
    </row>
    <row r="13">
      <c r="B13" s="4" t="inlineStr">
        <is>
          <t>Area barra</t>
        </is>
      </c>
      <c r="C13" s="5" t="n">
        <v>129</v>
      </c>
      <c r="D13" s="9" t="inlineStr">
        <is>
          <t>mm2 #4</t>
        </is>
      </c>
    </row>
    <row r="14">
      <c r="B14" s="4" t="inlineStr">
        <is>
          <t>Luz libre Ln</t>
        </is>
      </c>
      <c r="C14" s="5" t="n">
        <v>4.75</v>
      </c>
      <c r="D14" s="9" t="inlineStr">
        <is>
          <t>m</t>
        </is>
      </c>
    </row>
    <row r="15">
      <c r="B15" s="4" t="inlineStr">
        <is>
          <t>d = h - r - bl/2</t>
        </is>
      </c>
      <c r="C15" s="14">
        <f>C8*1000-C11*1000-C12/2</f>
        <v/>
      </c>
      <c r="D15" s="9" t="inlineStr">
        <is>
          <t>mm</t>
        </is>
      </c>
    </row>
    <row r="16">
      <c r="B16" s="4" t="inlineStr">
        <is>
          <t>bf = min(Ln/4 ; bw+16hf ; sv)</t>
        </is>
      </c>
      <c r="C16" s="14">
        <f>MIN(C14*1000/4,C7*1000+16*C9*1000,C10*1000)</f>
        <v/>
      </c>
      <c r="D16" s="9" t="inlineStr">
        <is>
          <t>mm</t>
        </is>
      </c>
    </row>
    <row r="18">
      <c r="B18" s="2" t="inlineStr">
        <is>
          <t>2. CARGAS Y SOLICITACIONES (gravedad)</t>
        </is>
      </c>
    </row>
    <row r="19">
      <c r="B19" s="4" t="inlineStr">
        <is>
          <t>Carga muerta wD</t>
        </is>
      </c>
      <c r="C19" s="5" t="n">
        <v>7.04</v>
      </c>
      <c r="D19" s="9" t="inlineStr">
        <is>
          <t>kN/m2</t>
        </is>
      </c>
    </row>
    <row r="20">
      <c r="B20" s="4" t="inlineStr">
        <is>
          <t>Carga viva wL</t>
        </is>
      </c>
      <c r="C20" s="5" t="n">
        <v>1.8</v>
      </c>
      <c r="D20" s="9" t="inlineStr">
        <is>
          <t>kN/m2</t>
        </is>
      </c>
    </row>
    <row r="21">
      <c r="B21" s="4" t="inlineStr">
        <is>
          <t>wu = (1.2D+1.6L) sv</t>
        </is>
      </c>
      <c r="C21" s="14">
        <f>(1.2*C19+1.6*C20)*C10</f>
        <v/>
      </c>
      <c r="D21" s="9" t="inlineStr">
        <is>
          <t>kN/m</t>
        </is>
      </c>
    </row>
    <row r="22">
      <c r="B22" s="4" t="inlineStr">
        <is>
          <t>Mu (-) = wu Ln2/10</t>
        </is>
      </c>
      <c r="C22" s="14">
        <f>C21*C14^2/10</f>
        <v/>
      </c>
      <c r="D22" s="9" t="inlineStr">
        <is>
          <t>kN.m</t>
        </is>
      </c>
    </row>
    <row r="23">
      <c r="B23" s="4" t="inlineStr">
        <is>
          <t>Mu (+) = wu Ln2/14</t>
        </is>
      </c>
      <c r="C23" s="14">
        <f>C21*C14^2/14</f>
        <v/>
      </c>
      <c r="D23" s="9" t="inlineStr">
        <is>
          <t>kN.m</t>
        </is>
      </c>
    </row>
    <row r="24">
      <c r="B24" s="4" t="inlineStr">
        <is>
          <t>Vu = 1.15 wu Ln/2</t>
        </is>
      </c>
      <c r="C24" s="14">
        <f>1.15*C21*C14/2</f>
        <v/>
      </c>
      <c r="D24" s="9" t="inlineStr">
        <is>
          <t>kN</t>
        </is>
      </c>
    </row>
    <row r="26">
      <c r="B26" s="2" t="inlineStr">
        <is>
          <t>3. FLEXION POSITIVA - viga T (loseta a compresion, ancho bf)</t>
        </is>
      </c>
    </row>
    <row r="27">
      <c r="B27" s="4" t="inlineStr">
        <is>
          <t>Rn = Mu+/(phi bf d2)</t>
        </is>
      </c>
      <c r="C27" s="9">
        <f>C23*1000000/(0.9*C16*C15^2)</f>
        <v/>
      </c>
      <c r="D27" s="9" t="inlineStr">
        <is>
          <t>MPa</t>
        </is>
      </c>
    </row>
    <row r="28">
      <c r="B28" s="4" t="inlineStr">
        <is>
          <t>rho</t>
        </is>
      </c>
      <c r="C28" s="9">
        <f>(0.85*C5/C6)*(1-SQRT(1-2*C27/(0.85*C5)))</f>
        <v/>
      </c>
      <c r="D28" s="9" t="inlineStr">
        <is>
          <t>-</t>
        </is>
      </c>
    </row>
    <row r="29">
      <c r="B29" s="4" t="inlineStr">
        <is>
          <t>As+</t>
        </is>
      </c>
      <c r="C29" s="9">
        <f>C28*C16*C15</f>
        <v/>
      </c>
      <c r="D29" s="9" t="inlineStr">
        <is>
          <t>mm2</t>
        </is>
      </c>
    </row>
    <row r="30">
      <c r="B30" s="4" t="inlineStr">
        <is>
          <t>a = As fy/(0.85 f'c bf)</t>
        </is>
      </c>
      <c r="C30" s="9">
        <f>C29*C6/(0.85*C5*C16)</f>
        <v/>
      </c>
      <c r="D30" s="9" t="inlineStr">
        <is>
          <t>mm</t>
        </is>
      </c>
    </row>
    <row r="31">
      <c r="B31" s="4" t="inlineStr">
        <is>
          <t>a &lt;= hf? (T verdadera)</t>
        </is>
      </c>
      <c r="C31" s="9">
        <f>IF(C30&lt;=C9*1000,"Si (bloque en loseta)","revisar T real")</f>
        <v/>
      </c>
      <c r="D31" s="9" t="inlineStr">
        <is>
          <t>-</t>
        </is>
      </c>
    </row>
    <row r="32">
      <c r="B32" s="4" t="inlineStr">
        <is>
          <t>As minimo</t>
        </is>
      </c>
      <c r="C32" s="9">
        <f>MAX(0.25*SQRT(C5)/C6,1.4/C6)*C7*1000*C15</f>
        <v/>
      </c>
      <c r="D32" s="9" t="inlineStr">
        <is>
          <t>mm2</t>
        </is>
      </c>
    </row>
    <row r="33">
      <c r="B33" s="4" t="inlineStr">
        <is>
          <t>As+ de diseno</t>
        </is>
      </c>
      <c r="C33" s="15">
        <f>MAX(C29,C32)</f>
        <v/>
      </c>
      <c r="D33" s="9" t="inlineStr">
        <is>
          <t>mm2</t>
        </is>
      </c>
    </row>
    <row r="34">
      <c r="B34" s="4" t="inlineStr">
        <is>
          <t>N barras (#4)</t>
        </is>
      </c>
      <c r="C34" s="14">
        <f>ROUNDUP(C33/C13,0)</f>
        <v/>
      </c>
      <c r="D34" s="9" t="inlineStr">
        <is>
          <t>u</t>
        </is>
      </c>
    </row>
    <row r="35">
      <c r="B35" s="6" t="inlineStr">
        <is>
          <t>VERIFICACION flexion (+)</t>
        </is>
      </c>
      <c r="C35" s="11">
        <f>IF(AND(C33&gt;=C32,C30&lt;=C9*1000),"CUMPLE","REVISAR")</f>
        <v/>
      </c>
    </row>
    <row r="37">
      <c r="B37" s="2" t="inlineStr">
        <is>
          <t>4. FLEXION NEGATIVA - rectangular (nervio bw)</t>
        </is>
      </c>
    </row>
    <row r="38">
      <c r="B38" s="4" t="inlineStr">
        <is>
          <t>Rn = Mu-/(phi bw d2)</t>
        </is>
      </c>
      <c r="C38" s="9">
        <f>C22*1000000/(0.9*C7*1000*C15^2)</f>
        <v/>
      </c>
      <c r="D38" s="9" t="inlineStr">
        <is>
          <t>MPa</t>
        </is>
      </c>
    </row>
    <row r="39">
      <c r="B39" s="4" t="inlineStr">
        <is>
          <t>rho</t>
        </is>
      </c>
      <c r="C39" s="9">
        <f>(0.85*C5/C6)*(1-SQRT(1-2*C38/(0.85*C5)))</f>
        <v/>
      </c>
      <c r="D39" s="9" t="inlineStr">
        <is>
          <t>-</t>
        </is>
      </c>
    </row>
    <row r="40">
      <c r="B40" s="4" t="inlineStr">
        <is>
          <t>As-</t>
        </is>
      </c>
      <c r="C40" s="9">
        <f>C39*C7*1000*C15</f>
        <v/>
      </c>
      <c r="D40" s="9" t="inlineStr">
        <is>
          <t>mm2</t>
        </is>
      </c>
    </row>
    <row r="41">
      <c r="B41" s="4" t="inlineStr">
        <is>
          <t>As- de diseno (&gt;= min)</t>
        </is>
      </c>
      <c r="C41" s="15">
        <f>MAX(C40,C32)</f>
        <v/>
      </c>
      <c r="D41" s="9" t="inlineStr">
        <is>
          <t>mm2</t>
        </is>
      </c>
    </row>
    <row r="42">
      <c r="B42" s="4" t="inlineStr">
        <is>
          <t>N barras (#4)</t>
        </is>
      </c>
      <c r="C42" s="14">
        <f>ROUNDUP(C41/C13,0)</f>
        <v/>
      </c>
      <c r="D42" s="9" t="inlineStr">
        <is>
          <t>u</t>
        </is>
      </c>
    </row>
    <row r="43">
      <c r="B43" s="6" t="inlineStr">
        <is>
          <t>VERIFICACION flexion (-)</t>
        </is>
      </c>
      <c r="C43" s="11">
        <f>IF(C41&gt;=C32,"CUMPLE","REVISAR")</f>
        <v/>
      </c>
    </row>
    <row r="45">
      <c r="B45" s="2" t="inlineStr">
        <is>
          <t>5. CORTANTE (vigueta: Vc +10% - C.8.13.8)</t>
        </is>
      </c>
    </row>
    <row r="46">
      <c r="B46" s="4" t="inlineStr">
        <is>
          <t>Vc = 0.17 raiz(f'c) bw d</t>
        </is>
      </c>
      <c r="C46" s="9">
        <f>0.17*SQRT(C5)*C7*1000*C15/1000</f>
        <v/>
      </c>
      <c r="D46" s="9" t="inlineStr">
        <is>
          <t>kN</t>
        </is>
      </c>
    </row>
    <row r="47">
      <c r="B47" s="4" t="inlineStr">
        <is>
          <t>phi 1.1 Vc</t>
        </is>
      </c>
      <c r="C47" s="9">
        <f>0.75*1.1*C46</f>
        <v/>
      </c>
      <c r="D47" s="9" t="inlineStr">
        <is>
          <t>kN</t>
        </is>
      </c>
    </row>
    <row r="48">
      <c r="B48" s="4" t="inlineStr">
        <is>
          <t>Vu &lt;= phi 1.1 Vc?</t>
        </is>
      </c>
      <c r="C48" s="11">
        <f>IF(C24&lt;=C47,"Si - sin estribos","Requiere estribos")</f>
        <v/>
      </c>
      <c r="D48" s="9" t="inlineStr">
        <is>
          <t>-</t>
        </is>
      </c>
    </row>
    <row r="50">
      <c r="B50" s="2" t="inlineStr">
        <is>
          <t>6. DEFLEXION (C.9.5)</t>
        </is>
      </c>
    </row>
    <row r="51">
      <c r="B51" s="4" t="inlineStr">
        <is>
          <t>h min = Ln/18.5</t>
        </is>
      </c>
      <c r="C51" s="9">
        <f>C14/18.5</f>
        <v/>
      </c>
      <c r="D51" s="9" t="inlineStr">
        <is>
          <t>m</t>
        </is>
      </c>
    </row>
    <row r="52">
      <c r="B52" s="6" t="inlineStr">
        <is>
          <t>VERIFICACION</t>
        </is>
      </c>
      <c r="C52" s="11">
        <f>IF(C8&gt;=C51,"CUMPLE","REVISAR")</f>
        <v/>
      </c>
    </row>
    <row r="54">
      <c r="B54" s="2" t="inlineStr">
        <is>
          <t>7. DESPIECE</t>
        </is>
      </c>
    </row>
    <row r="55" ht="40" customHeight="1">
      <c r="B55" s="7" t="inlineStr">
        <is>
          <t>Refuerzo inferior As(+) corrido en el nervio; superior As(-) sobre apoyos (bastones Ln/4 + ld). Loseta con malla de retraccion (As=0.0018 b hf). Sin estribos si Vu &lt;= phi 1.1 Vc.</t>
        </is>
      </c>
    </row>
    <row r="56"/>
  </sheetData>
  <mergeCells count="2">
    <mergeCell ref="B55:J56"/>
    <mergeCell ref="B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2026-06-24T19:57:17Z</dcterms:created>
  <dcterms:modified xsi:type="dcterms:W3CDTF">2026-06-24T19:57:17Z</dcterms:modified>
</cp:coreProperties>
</file>