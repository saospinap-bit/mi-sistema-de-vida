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Irregularidades" sheetId="2" state="visible" r:id="rId2"/>
    <sheet xmlns:r="http://schemas.openxmlformats.org/officeDocument/2006/relationships" name="Cuadro Vigas-Riostras" sheetId="3" state="visible" r:id="rId3"/>
    <sheet xmlns:r="http://schemas.openxmlformats.org/officeDocument/2006/relationships" name="Cuadro Viguetas" sheetId="4" state="visible" r:id="rId4"/>
    <sheet xmlns:r="http://schemas.openxmlformats.org/officeDocument/2006/relationships" name="Diseno VC-1" sheetId="5" state="visible" r:id="rId5"/>
    <sheet xmlns:r="http://schemas.openxmlformats.org/officeDocument/2006/relationships" name="Diseno VC-2" sheetId="6" state="visible" r:id="rId6"/>
    <sheet xmlns:r="http://schemas.openxmlformats.org/officeDocument/2006/relationships" name="Diseno VC-3" sheetId="7" state="visible" r:id="rId7"/>
    <sheet xmlns:r="http://schemas.openxmlformats.org/officeDocument/2006/relationships" name="Diseno VR-1" sheetId="8" state="visible" r:id="rId8"/>
    <sheet xmlns:r="http://schemas.openxmlformats.org/officeDocument/2006/relationships" name="Diseno VR-2" sheetId="9" state="visible" r:id="rId9"/>
    <sheet xmlns:r="http://schemas.openxmlformats.org/officeDocument/2006/relationships" name="Diseno VR-3" sheetId="10" state="visible" r:id="rId10"/>
    <sheet xmlns:r="http://schemas.openxmlformats.org/officeDocument/2006/relationships" name="Diseno VR-4" sheetId="11" state="visible" r:id="rId11"/>
    <sheet xmlns:r="http://schemas.openxmlformats.org/officeDocument/2006/relationships" name="Diseno Viguetas" sheetId="12" state="visible" r:id="rId12"/>
    <sheet xmlns:r="http://schemas.openxmlformats.org/officeDocument/2006/relationships" name="Despiece y Longitud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Aptos Narrow"/>
      <b val="1"/>
      <color rgb="00FFFFFF"/>
      <sz val="14"/>
    </font>
    <font>
      <name val="Aptos Narrow"/>
      <b val="1"/>
      <color rgb="00000000"/>
      <sz val="13"/>
    </font>
    <font>
      <name val="Aptos Narrow"/>
      <b val="1"/>
      <color rgb="00000000"/>
      <sz val="12"/>
    </font>
    <font>
      <name val="Aptos Narrow"/>
      <color rgb="00000000"/>
      <sz val="11"/>
    </font>
    <font>
      <name val="Aptos Narrow"/>
      <b val="1"/>
      <color rgb="00FFFFFF"/>
      <sz val="12"/>
    </font>
    <font>
      <name val="Aptos Narrow"/>
      <b val="1"/>
      <color rgb="00FFFFFF"/>
      <sz val="10"/>
    </font>
    <font>
      <name val="Aptos Narrow"/>
      <color rgb="00000000"/>
      <sz val="10"/>
    </font>
    <font>
      <name val="Aptos Narrow"/>
      <b val="1"/>
      <color rgb="00000000"/>
      <sz val="10"/>
    </font>
    <font>
      <name val="Aptos Narrow"/>
      <color rgb="00000000"/>
      <sz val="9"/>
    </font>
  </fonts>
  <fills count="9">
    <fill>
      <patternFill/>
    </fill>
    <fill>
      <patternFill patternType="gray125"/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2E5496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2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40" customWidth="1" min="3" max="3"/>
    <col width="28" customWidth="1" min="4" max="4"/>
    <col width="10" customWidth="1" min="5" max="5"/>
  </cols>
  <sheetData>
    <row r="2">
      <c r="B2" s="38" t="inlineStr">
        <is>
          <t>SSS CONSTRUCCIONES Y CONSULTORIAS SAS</t>
        </is>
      </c>
    </row>
    <row r="4">
      <c r="B4" s="39" t="inlineStr">
        <is>
          <t>PROYECTO: EDIFICIO RESIDENCIAL SANTA MARTA</t>
        </is>
      </c>
    </row>
    <row r="5">
      <c r="B5" s="40" t="inlineStr">
        <is>
          <t>MEMORIA DE CALCULO ESTRUCTURAL</t>
        </is>
      </c>
    </row>
    <row r="6">
      <c r="B6" s="41" t="inlineStr">
        <is>
          <t>Diseno de viguetas, vigas y riostras - NSR-10 / ACI 318</t>
        </is>
      </c>
    </row>
    <row r="8">
      <c r="B8" s="42" t="inlineStr">
        <is>
          <t>CONTENIDO DEL LIBRO</t>
        </is>
      </c>
    </row>
    <row r="9">
      <c r="B9" s="43" t="inlineStr">
        <is>
          <t>#</t>
        </is>
      </c>
      <c r="C9" s="44" t="inlineStr">
        <is>
          <t>Hoja</t>
        </is>
      </c>
      <c r="D9" s="44" t="inlineStr">
        <is>
          <t>Descripcion</t>
        </is>
      </c>
    </row>
    <row r="10">
      <c r="B10" s="45" t="inlineStr">
        <is>
          <t>1</t>
        </is>
      </c>
      <c r="C10" s="46" t="inlineStr">
        <is>
          <t>Irregularidades</t>
        </is>
      </c>
      <c r="D10" s="47" t="inlineStr">
        <is>
          <t>Sistema DMO, R0, Omega0 e irregularidades (R = 5.0)</t>
        </is>
      </c>
    </row>
    <row r="11">
      <c r="B11" s="45" t="inlineStr">
        <is>
          <t>2</t>
        </is>
      </c>
      <c r="C11" s="46" t="inlineStr">
        <is>
          <t>Cuadro Vigas-Riostras</t>
        </is>
      </c>
      <c r="D11" s="47" t="inlineStr">
        <is>
          <t>RESUMEN de diseno por tipos (VC-1..3, VR-1..4)</t>
        </is>
      </c>
    </row>
    <row r="12">
      <c r="B12" s="45" t="inlineStr">
        <is>
          <t>3</t>
        </is>
      </c>
      <c r="C12" s="46" t="inlineStr">
        <is>
          <t>Cuadro Viguetas</t>
        </is>
      </c>
      <c r="D12" s="47" t="inlineStr">
        <is>
          <t>RESUMEN de viguetas por tipo de luz</t>
        </is>
      </c>
    </row>
    <row r="13">
      <c r="B13" s="45" t="inlineStr">
        <is>
          <t>4</t>
        </is>
      </c>
      <c r="C13" s="46" t="inlineStr">
        <is>
          <t>Diseno VC-1 a VC-3</t>
        </is>
      </c>
      <c r="D13" s="47" t="inlineStr">
        <is>
          <t>Procedimiento paso a paso de cada viga de carga</t>
        </is>
      </c>
    </row>
    <row r="14">
      <c r="B14" s="45" t="inlineStr">
        <is>
          <t>5</t>
        </is>
      </c>
      <c r="C14" s="46" t="inlineStr">
        <is>
          <t>Diseno VR-1 a VR-4</t>
        </is>
      </c>
      <c r="D14" s="47" t="inlineStr">
        <is>
          <t>Procedimiento paso a paso de cada riostra</t>
        </is>
      </c>
    </row>
    <row r="15">
      <c r="B15" s="45" t="inlineStr">
        <is>
          <t>6</t>
        </is>
      </c>
      <c r="C15" s="46" t="inlineStr">
        <is>
          <t>Diseno Viguetas</t>
        </is>
      </c>
      <c r="D15" s="47" t="inlineStr">
        <is>
          <t>Procedimiento de la vigueta</t>
        </is>
      </c>
    </row>
    <row r="16">
      <c r="B16" s="45" t="inlineStr">
        <is>
          <t>7</t>
        </is>
      </c>
      <c r="C16" s="46" t="inlineStr">
        <is>
          <t>Despiece y Longitudes</t>
        </is>
      </c>
      <c r="D16" s="47" t="inlineStr">
        <is>
          <t>Ganchos, longitud de barras y estribos</t>
        </is>
      </c>
    </row>
    <row r="17"/>
    <row r="18">
      <c r="B18" s="48" t="n"/>
    </row>
    <row r="19">
      <c r="B19" s="48" t="n"/>
    </row>
    <row r="20"/>
    <row r="21"/>
  </sheetData>
  <mergeCells count="7">
    <mergeCell ref="B18:E18"/>
    <mergeCell ref="B8:E8"/>
    <mergeCell ref="B4:E4"/>
    <mergeCell ref="B6:E6"/>
    <mergeCell ref="B5:E5"/>
    <mergeCell ref="B2:E2"/>
    <mergeCell ref="B19:E19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J7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ANALISIS DE IRREGULARIDADES Y COEFICIENTE R  (NSR-10, A.3)</t>
        </is>
      </c>
    </row>
    <row r="4">
      <c r="B4" s="2" t="inlineStr">
        <is>
          <t>1. Sistema estructural y parametros sismicos</t>
        </is>
      </c>
    </row>
    <row r="5" ht="72" customHeight="1">
      <c r="B5" s="3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16" t="n"/>
      <c r="D5" s="16" t="n"/>
      <c r="E5" s="16" t="n"/>
      <c r="F5" s="16" t="n"/>
      <c r="G5" s="16" t="n"/>
      <c r="H5" s="16" t="n"/>
      <c r="I5" s="16" t="n"/>
      <c r="J5" s="17" t="n"/>
    </row>
    <row r="6">
      <c r="B6" s="18" t="n"/>
      <c r="J6" s="19" t="n"/>
    </row>
    <row r="7">
      <c r="B7" s="18" t="n"/>
      <c r="J7" s="19" t="n"/>
    </row>
    <row r="8">
      <c r="B8" s="20" t="n"/>
      <c r="C8" s="21" t="n"/>
      <c r="D8" s="21" t="n"/>
      <c r="E8" s="21" t="n"/>
      <c r="F8" s="21" t="n"/>
      <c r="G8" s="21" t="n"/>
      <c r="H8" s="21" t="n"/>
      <c r="I8" s="21" t="n"/>
      <c r="J8" s="22" t="n"/>
    </row>
    <row r="10">
      <c r="B10" s="4" t="inlineStr">
        <is>
          <t>Aa / Av</t>
        </is>
      </c>
      <c r="C10" s="5" t="n">
        <v>0.15</v>
      </c>
      <c r="D10" s="5" t="n">
        <v>0.1</v>
      </c>
    </row>
    <row r="11">
      <c r="B11" s="4" t="inlineStr">
        <is>
          <t>Suelo / Fa / Fv</t>
        </is>
      </c>
      <c r="C11" s="5" t="inlineStr">
        <is>
          <t>C</t>
        </is>
      </c>
      <c r="D11" s="5" t="n">
        <v>1.2</v>
      </c>
      <c r="E11" s="5" t="n">
        <v>1.7</v>
      </c>
    </row>
    <row r="12">
      <c r="B12" s="4" t="inlineStr">
        <is>
          <t>Coef. importancia I</t>
        </is>
      </c>
      <c r="C12" s="5" t="n">
        <v>1</v>
      </c>
    </row>
    <row r="13">
      <c r="B13" s="6" t="inlineStr">
        <is>
          <t>R0 (Tabla A.3-3, DMO)</t>
        </is>
      </c>
      <c r="C13" s="5" t="n">
        <v>5</v>
      </c>
      <c r="J13" s="7" t="inlineStr">
        <is>
          <t>Portico de concreto: DES R0=7.0 - DMO R0=5.0 - DMI R0=2.5.</t>
        </is>
      </c>
    </row>
    <row r="14">
      <c r="B14" s="6" t="inlineStr">
        <is>
          <t>Omega0 sobrerresistencia</t>
        </is>
      </c>
      <c r="C14" s="5" t="n">
        <v>3</v>
      </c>
      <c r="J14" s="7" t="inlineStr">
        <is>
          <t>Para diseno de elementos por capacidad.</t>
        </is>
      </c>
    </row>
    <row r="16">
      <c r="B16" s="2" t="inlineStr">
        <is>
          <t>2. Irregularidades en PLANTA  -&gt;  phi_p</t>
        </is>
      </c>
    </row>
    <row r="17">
      <c r="B17" s="8" t="inlineStr">
        <is>
          <t>Tipo (A.3-6)</t>
        </is>
      </c>
      <c r="C17" s="8" t="inlineStr">
        <is>
          <t>Parametro</t>
        </is>
      </c>
      <c r="D17" s="8" t="inlineStr">
        <is>
          <t>Valor</t>
        </is>
      </c>
      <c r="E17" s="8" t="inlineStr">
        <is>
          <t>Limite</t>
        </is>
      </c>
      <c r="F17" s="8" t="inlineStr">
        <is>
          <t>Irregular?</t>
        </is>
      </c>
      <c r="G17" s="8" t="inlineStr">
        <is>
          <t>Coef.</t>
        </is>
      </c>
      <c r="J17" s="8" t="inlineStr">
        <is>
          <t>Observacion</t>
        </is>
      </c>
    </row>
    <row r="18">
      <c r="B18" s="4" t="inlineStr">
        <is>
          <t>1aP/1bP Torsional</t>
        </is>
      </c>
      <c r="C18" s="9" t="inlineStr">
        <is>
          <t>dmax/dprom</t>
        </is>
      </c>
      <c r="D18" s="9">
        <f>MAX(E68:E72,H68:H72)</f>
        <v/>
      </c>
      <c r="E18" s="9" t="inlineStr">
        <is>
          <t>1.20 / 1.40</t>
        </is>
      </c>
      <c r="F18" s="9">
        <f>IF(D18&gt;1.4,"Extrema",IF(D18&gt;1.2,"Si","No"))</f>
        <v/>
      </c>
      <c r="G18" s="10">
        <f>IF(D18&gt;1.4,0.8,IF(D18&gt;1.2,0.9,1))</f>
        <v/>
      </c>
      <c r="J18" s="7" t="inlineStr">
        <is>
          <t>Verificado con los 183 nudos del diafragma por piso (Tabla C).</t>
        </is>
      </c>
    </row>
    <row r="19">
      <c r="B19" s="4" t="inlineStr">
        <is>
          <t>2P Retrocesos esquinas</t>
        </is>
      </c>
      <c r="C19" s="9" t="inlineStr">
        <is>
          <t>px ; py</t>
        </is>
      </c>
      <c r="D19" s="9">
        <f>MAX(C42/C40,C43/C41)</f>
        <v/>
      </c>
      <c r="E19" s="9" t="inlineStr">
        <is>
          <t>0.15</t>
        </is>
      </c>
      <c r="F19" s="9">
        <f>IF(AND(C42/C40&gt;0.15,C43/C41&gt;0.15),"Si","No")</f>
        <v/>
      </c>
      <c r="G19" s="10">
        <f>IF(AND(C42/C40&gt;0.15,C43/C41&gt;0.15),0.9,1)</f>
        <v/>
      </c>
    </row>
    <row r="20">
      <c r="B20" s="4" t="inlineStr">
        <is>
          <t>3P Discontinuidad diafragma</t>
        </is>
      </c>
      <c r="C20" s="9" t="inlineStr">
        <is>
          <t>Area abierta</t>
        </is>
      </c>
      <c r="D20" s="9">
        <f>C45</f>
        <v/>
      </c>
      <c r="E20" s="9">
        <f>0.5*C40*C41</f>
        <v/>
      </c>
      <c r="F20" s="9">
        <f>IF(C45&gt;0.5*C40*C41,"Si","No")</f>
        <v/>
      </c>
      <c r="G20" s="10">
        <f>IF(C45&gt;0.5*C40*C41,0.9,1)</f>
        <v/>
      </c>
    </row>
    <row r="21">
      <c r="B21" s="4" t="inlineStr">
        <is>
          <t>4P Desplaz. fuera del plano</t>
        </is>
      </c>
      <c r="C21" s="9" t="inlineStr">
        <is>
          <t>No aplica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No</t>
        </is>
      </c>
      <c r="G21" s="10" t="n">
        <v>1</v>
      </c>
    </row>
    <row r="22">
      <c r="B22" s="4" t="inlineStr">
        <is>
          <t>5P Sistemas no paralelos</t>
        </is>
      </c>
      <c r="C22" s="9" t="inlineStr">
        <is>
          <t>No aplica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No</t>
        </is>
      </c>
      <c r="G22" s="10" t="n">
        <v>1</v>
      </c>
    </row>
    <row r="23">
      <c r="B23" s="6" t="inlineStr">
        <is>
          <t>phi_p = MINIMO</t>
        </is>
      </c>
      <c r="G23" s="11">
        <f>MIN(G18:G22)</f>
        <v/>
      </c>
    </row>
    <row r="25">
      <c r="B25" s="2" t="inlineStr">
        <is>
          <t>3. Irregularidades en ALTURA  -&gt;  phi_a</t>
        </is>
      </c>
    </row>
    <row r="26">
      <c r="B26" s="8" t="inlineStr">
        <is>
          <t>Tipo (A.3-7)</t>
        </is>
      </c>
      <c r="C26" s="8" t="inlineStr">
        <is>
          <t>Parametro</t>
        </is>
      </c>
      <c r="D26" s="8" t="inlineStr">
        <is>
          <t>Valor</t>
        </is>
      </c>
      <c r="E26" s="8" t="inlineStr">
        <is>
          <t>Limite</t>
        </is>
      </c>
      <c r="F26" s="8" t="inlineStr">
        <is>
          <t>Irregular?</t>
        </is>
      </c>
      <c r="G26" s="8" t="inlineStr">
        <is>
          <t>Coef.</t>
        </is>
      </c>
      <c r="J26" s="8" t="inlineStr">
        <is>
          <t>Observacion</t>
        </is>
      </c>
    </row>
    <row r="27">
      <c r="B27" s="4" t="inlineStr">
        <is>
          <t>1aA/1bA Piso flexible</t>
        </is>
      </c>
      <c r="C27" s="9" t="inlineStr">
        <is>
          <t>ki/ki+1 min</t>
        </is>
      </c>
      <c r="D27" s="9">
        <f>MIN(G52:G55)</f>
        <v/>
      </c>
      <c r="E27" s="9" t="inlineStr">
        <is>
          <t>0.70 / 0.60</t>
        </is>
      </c>
      <c r="F27" s="9">
        <f>IF(D27&lt;0.6,"Extrema",IF(D27&lt;0.7,"Si","No"))</f>
        <v/>
      </c>
      <c r="G27" s="10">
        <f>IF(D27&lt;0.6,0.8,IF(D27&lt;0.7,0.9,1))</f>
        <v/>
      </c>
    </row>
    <row r="28">
      <c r="B28" s="4" t="inlineStr">
        <is>
          <t>2A Masa</t>
        </is>
      </c>
      <c r="C28" s="9" t="inlineStr">
        <is>
          <t>mi/mi+-1 max</t>
        </is>
      </c>
      <c r="D28" s="9">
        <f>MAX(H60:H63)</f>
        <v/>
      </c>
      <c r="E28" s="9" t="inlineStr">
        <is>
          <t>1.50</t>
        </is>
      </c>
      <c r="F28" s="9">
        <f>IF(D28&gt;1.5,"Si","No")</f>
        <v/>
      </c>
      <c r="G28" s="10">
        <f>IF(D28&gt;1.5,0.9,1)</f>
        <v/>
      </c>
    </row>
    <row r="29">
      <c r="B29" s="4" t="inlineStr">
        <is>
          <t>3A Geometrica vertical</t>
        </is>
      </c>
      <c r="C29" s="9" t="inlineStr">
        <is>
          <t>dim i/i+1</t>
        </is>
      </c>
      <c r="D29" s="9" t="n">
        <v>1</v>
      </c>
      <c r="E29" s="9" t="inlineStr">
        <is>
          <t>1.30</t>
        </is>
      </c>
      <c r="F29" s="9" t="inlineStr">
        <is>
          <t>No</t>
        </is>
      </c>
      <c r="G29" s="10" t="n">
        <v>1</v>
      </c>
    </row>
    <row r="30">
      <c r="B30" s="4" t="inlineStr">
        <is>
          <t>4A Desplaz. en el plano</t>
        </is>
      </c>
      <c r="C30" s="9" t="inlineStr">
        <is>
          <t>No aplica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No</t>
        </is>
      </c>
      <c r="G30" s="10" t="n">
        <v>1</v>
      </c>
    </row>
    <row r="31">
      <c r="B31" s="4" t="inlineStr">
        <is>
          <t>5aA/5bA Piso debil</t>
        </is>
      </c>
      <c r="C31" s="9" t="inlineStr">
        <is>
          <t>resist i/i+1</t>
        </is>
      </c>
      <c r="D31" s="9" t="n">
        <v>1</v>
      </c>
      <c r="E31" s="9" t="inlineStr">
        <is>
          <t>0.80 / 0.65</t>
        </is>
      </c>
      <c r="F31" s="9" t="inlineStr">
        <is>
          <t>No</t>
        </is>
      </c>
      <c r="G31" s="10" t="n">
        <v>1</v>
      </c>
    </row>
    <row r="32">
      <c r="B32" s="6" t="inlineStr">
        <is>
          <t>phi_a = MINIMO</t>
        </is>
      </c>
      <c r="G32" s="11">
        <f>MIN(G27:G31)</f>
        <v/>
      </c>
    </row>
    <row r="34">
      <c r="B34" s="2" t="inlineStr">
        <is>
          <t>4. Ausencia de redundancia  -&gt;  phi_r  (A.3.3.8)</t>
        </is>
      </c>
    </row>
    <row r="35">
      <c r="B35" s="4" t="inlineStr">
        <is>
          <t>Lineas de resistencia / dir.</t>
        </is>
      </c>
      <c r="C35" s="9" t="inlineStr">
        <is>
          <t>&gt;= 2 vanos</t>
        </is>
      </c>
      <c r="D35" s="4" t="inlineStr">
        <is>
          <t>Redundante?</t>
        </is>
      </c>
      <c r="E35" s="5" t="inlineStr">
        <is>
          <t>Si</t>
        </is>
      </c>
    </row>
    <row r="36">
      <c r="B36" s="6" t="inlineStr">
        <is>
          <t>phi_r</t>
        </is>
      </c>
      <c r="C36" s="11">
        <f>IF(E35="Si",1,0.75)</f>
        <v/>
      </c>
    </row>
    <row r="38">
      <c r="B38" s="2" t="inlineStr">
        <is>
          <t>5. Coeficiente de disipacion  R = R0 x phi_a x phi_p x phi_r</t>
        </is>
      </c>
    </row>
    <row r="40">
      <c r="B40" s="4" t="inlineStr">
        <is>
          <t>Lx planta [m]</t>
        </is>
      </c>
      <c r="C40" s="5" t="n">
        <v>36.6</v>
      </c>
    </row>
    <row r="41">
      <c r="B41" s="4" t="inlineStr">
        <is>
          <t>Ly planta [m]</t>
        </is>
      </c>
      <c r="C41" s="5" t="n">
        <v>15.99</v>
      </c>
    </row>
    <row r="42">
      <c r="B42" s="4" t="inlineStr">
        <is>
          <t>Proy. retroceso X [m]</t>
        </is>
      </c>
      <c r="C42" s="5" t="n">
        <v>5.1</v>
      </c>
    </row>
    <row r="43">
      <c r="B43" s="4" t="inlineStr">
        <is>
          <t>Proy. retroceso Y [m]</t>
        </is>
      </c>
      <c r="C43" s="5" t="n">
        <v>2.65</v>
      </c>
    </row>
    <row r="44">
      <c r="B44" s="4" t="inlineStr">
        <is>
          <t>Area planta [m2]</t>
        </is>
      </c>
      <c r="C44" s="9">
        <f>C40*C41</f>
        <v/>
      </c>
    </row>
    <row r="45">
      <c r="B45" s="4" t="inlineStr">
        <is>
          <t>Area abierta diafragma [m2]</t>
        </is>
      </c>
      <c r="C45" s="5" t="n">
        <v>27.03</v>
      </c>
    </row>
    <row r="46">
      <c r="B46" s="6" t="inlineStr">
        <is>
          <t>R = R0 x phi_a x phi_p x phi_r</t>
        </is>
      </c>
      <c r="C46" s="12">
        <f>C13*G32*G23*C36</f>
        <v/>
      </c>
    </row>
    <row r="47" ht="58" customHeight="1">
      <c r="B47" s="13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16" t="n"/>
      <c r="D47" s="16" t="n"/>
      <c r="E47" s="16" t="n"/>
      <c r="F47" s="16" t="n"/>
      <c r="G47" s="16" t="n"/>
      <c r="H47" s="16" t="n"/>
      <c r="I47" s="16" t="n"/>
      <c r="J47" s="17" t="n"/>
    </row>
    <row r="48">
      <c r="B48" s="20" t="n"/>
      <c r="C48" s="21" t="n"/>
      <c r="D48" s="21" t="n"/>
      <c r="E48" s="21" t="n"/>
      <c r="F48" s="21" t="n"/>
      <c r="G48" s="21" t="n"/>
      <c r="H48" s="21" t="n"/>
      <c r="I48" s="21" t="n"/>
      <c r="J48" s="22" t="n"/>
    </row>
    <row r="50">
      <c r="B50" s="2" t="inlineStr">
        <is>
          <t>Tabla auxiliar A - Rigidez de piso  ki = Vi/Di</t>
        </is>
      </c>
    </row>
    <row r="51">
      <c r="B51" s="8" t="inlineStr">
        <is>
          <t>Piso</t>
        </is>
      </c>
      <c r="C51" s="8" t="inlineStr">
        <is>
          <t>Fx [kN]</t>
        </is>
      </c>
      <c r="D51" s="8" t="inlineStr">
        <is>
          <t>Vi [kN]</t>
        </is>
      </c>
      <c r="E51" s="8" t="inlineStr">
        <is>
          <t>Di Sx [m]</t>
        </is>
      </c>
      <c r="F51" s="8" t="inlineStr">
        <is>
          <t>ki [kN/m]</t>
        </is>
      </c>
      <c r="G51" s="8" t="inlineStr">
        <is>
          <t>ki/ki+1</t>
        </is>
      </c>
    </row>
    <row r="52">
      <c r="B52" s="9" t="n">
        <v>1</v>
      </c>
      <c r="C52" s="9" t="n">
        <v>991.55</v>
      </c>
      <c r="D52" s="9">
        <f>SUM(C52:C56)</f>
        <v/>
      </c>
      <c r="E52" s="9" t="n">
        <v>0.022</v>
      </c>
      <c r="F52" s="9">
        <f>D52/E52</f>
        <v/>
      </c>
      <c r="G52" s="9">
        <f>F52/F53</f>
        <v/>
      </c>
    </row>
    <row r="53">
      <c r="B53" s="9" t="n">
        <v>2</v>
      </c>
      <c r="C53" s="9" t="n">
        <v>2477.8</v>
      </c>
      <c r="D53" s="9">
        <f>SUM(C53:C56)</f>
        <v/>
      </c>
      <c r="E53" s="9" t="n">
        <v>0.029</v>
      </c>
      <c r="F53" s="9">
        <f>D53/E53</f>
        <v/>
      </c>
      <c r="G53" s="9">
        <f>F53/F54</f>
        <v/>
      </c>
    </row>
    <row r="54">
      <c r="B54" s="9" t="n">
        <v>3</v>
      </c>
      <c r="C54" s="9" t="n">
        <v>3658.6</v>
      </c>
      <c r="D54" s="9">
        <f>SUM(C54:C56)</f>
        <v/>
      </c>
      <c r="E54" s="9" t="n">
        <v>0.026</v>
      </c>
      <c r="F54" s="9">
        <f>D54/E54</f>
        <v/>
      </c>
      <c r="G54" s="9">
        <f>F54/F55</f>
        <v/>
      </c>
    </row>
    <row r="55">
      <c r="B55" s="9" t="n">
        <v>4</v>
      </c>
      <c r="C55" s="9" t="n">
        <v>4849.66</v>
      </c>
      <c r="D55" s="9">
        <f>SUM(C55:C56)</f>
        <v/>
      </c>
      <c r="E55" s="9" t="n">
        <v>0.019</v>
      </c>
      <c r="F55" s="9">
        <f>D55/E55</f>
        <v/>
      </c>
      <c r="G55" s="9">
        <f>F55/F56</f>
        <v/>
      </c>
    </row>
    <row r="56">
      <c r="B56" s="9" t="n">
        <v>5</v>
      </c>
      <c r="C56" s="9" t="n">
        <v>3151.11</v>
      </c>
      <c r="D56" s="9">
        <f>SUM(C56:C56)</f>
        <v/>
      </c>
      <c r="E56" s="9" t="n">
        <v>0.014</v>
      </c>
      <c r="F56" s="9">
        <f>D56/E56</f>
        <v/>
      </c>
      <c r="G56" s="9" t="inlineStr">
        <is>
          <t>-</t>
        </is>
      </c>
    </row>
    <row r="58">
      <c r="B58" s="2" t="inlineStr">
        <is>
          <t>Tabla auxiliar B - Masa por piso</t>
        </is>
      </c>
    </row>
    <row r="59">
      <c r="B59" s="8" t="inlineStr">
        <is>
          <t>Piso</t>
        </is>
      </c>
      <c r="C59" s="8" t="inlineStr">
        <is>
          <t>Peso mi [kN]</t>
        </is>
      </c>
      <c r="D59" s="8" t="inlineStr">
        <is>
          <t>mi/mi-1</t>
        </is>
      </c>
      <c r="E59" s="8" t="inlineStr">
        <is>
          <t>mi/mi+1</t>
        </is>
      </c>
      <c r="H59" s="8" t="inlineStr">
        <is>
          <t>max ratio</t>
        </is>
      </c>
    </row>
    <row r="60">
      <c r="B60" s="9" t="n">
        <v>1</v>
      </c>
      <c r="C60" s="9" t="n">
        <v>7257.69</v>
      </c>
      <c r="D60" s="9" t="inlineStr">
        <is>
          <t>-</t>
        </is>
      </c>
      <c r="E60" s="9">
        <f>C60/C61</f>
        <v/>
      </c>
      <c r="H60" s="9">
        <f>E60</f>
        <v/>
      </c>
    </row>
    <row r="61">
      <c r="B61" s="9" t="n">
        <v>2</v>
      </c>
      <c r="C61" s="9" t="n">
        <v>9604.290000000001</v>
      </c>
      <c r="D61" s="9">
        <f>C61/C60</f>
        <v/>
      </c>
      <c r="E61" s="9">
        <f>C61/C62</f>
        <v/>
      </c>
      <c r="H61" s="9">
        <f>MAX(D61,E61)</f>
        <v/>
      </c>
    </row>
    <row r="62">
      <c r="B62" s="9" t="n">
        <v>3</v>
      </c>
      <c r="C62" s="9" t="n">
        <v>9604.290000000001</v>
      </c>
      <c r="D62" s="9">
        <f>C62/C61</f>
        <v/>
      </c>
      <c r="E62" s="9">
        <f>C62/C63</f>
        <v/>
      </c>
      <c r="H62" s="9">
        <f>MAX(D62,E62)</f>
        <v/>
      </c>
    </row>
    <row r="63">
      <c r="B63" s="9" t="n">
        <v>4</v>
      </c>
      <c r="C63" s="9" t="n">
        <v>9604.290000000001</v>
      </c>
      <c r="D63" s="9">
        <f>C63/C62</f>
        <v/>
      </c>
      <c r="E63" s="9" t="inlineStr">
        <is>
          <t>-</t>
        </is>
      </c>
      <c r="H63" s="9">
        <f>D63</f>
        <v/>
      </c>
    </row>
    <row r="64">
      <c r="B64" s="9" t="inlineStr">
        <is>
          <t>Cubierta</t>
        </is>
      </c>
      <c r="C64" s="9" t="n">
        <v>5003.58</v>
      </c>
    </row>
    <row r="66">
      <c r="B66" s="2" t="inlineStr">
        <is>
          <t>Tabla auxiliar C - Torsion  A = dmax/dprom (valores reales del modelo)</t>
        </is>
      </c>
    </row>
    <row r="67">
      <c r="B67" s="8" t="inlineStr">
        <is>
          <t>Piso</t>
        </is>
      </c>
      <c r="C67" s="8" t="inlineStr">
        <is>
          <t>dmax Sx</t>
        </is>
      </c>
      <c r="D67" s="8" t="inlineStr">
        <is>
          <t>dmin Sx</t>
        </is>
      </c>
      <c r="E67" s="8" t="inlineStr">
        <is>
          <t>Ax</t>
        </is>
      </c>
      <c r="F67" s="8" t="inlineStr">
        <is>
          <t>dmax Sy</t>
        </is>
      </c>
      <c r="G67" s="8" t="inlineStr">
        <is>
          <t>dmin Sy</t>
        </is>
      </c>
      <c r="H67" s="8" t="inlineStr">
        <is>
          <t>Ay</t>
        </is>
      </c>
    </row>
    <row r="68">
      <c r="B68" s="9" t="n">
        <v>1</v>
      </c>
      <c r="C68" s="9" t="n">
        <v>0.0241</v>
      </c>
      <c r="D68" s="9" t="n">
        <v>0.02299</v>
      </c>
      <c r="E68" s="9">
        <f>C68/((C68+D68)/2)</f>
        <v/>
      </c>
      <c r="F68" s="9" t="n">
        <v>0.02097</v>
      </c>
      <c r="G68" s="9" t="n">
        <v>0.02042</v>
      </c>
      <c r="H68" s="9">
        <f>F68/((F68+G68)/2)</f>
        <v/>
      </c>
    </row>
    <row r="69">
      <c r="B69" s="9" t="n">
        <v>2</v>
      </c>
      <c r="C69" s="9" t="n">
        <v>0.05468</v>
      </c>
      <c r="D69" s="9" t="n">
        <v>0.05224</v>
      </c>
      <c r="E69" s="9">
        <f>C69/((C69+D69)/2)</f>
        <v/>
      </c>
      <c r="F69" s="9" t="n">
        <v>0.04338</v>
      </c>
      <c r="G69" s="9" t="n">
        <v>0.04217</v>
      </c>
      <c r="H69" s="9">
        <f>F69/((F69+G69)/2)</f>
        <v/>
      </c>
    </row>
    <row r="70">
      <c r="B70" s="9" t="n">
        <v>3</v>
      </c>
      <c r="C70" s="9" t="n">
        <v>0.08198</v>
      </c>
      <c r="D70" s="9" t="n">
        <v>0.0784</v>
      </c>
      <c r="E70" s="9">
        <f>C70/((C70+D70)/2)</f>
        <v/>
      </c>
      <c r="F70" s="9" t="n">
        <v>0.0625</v>
      </c>
      <c r="G70" s="9" t="n">
        <v>0.06073</v>
      </c>
      <c r="H70" s="9">
        <f>F70/((F70+G70)/2)</f>
        <v/>
      </c>
    </row>
    <row r="71">
      <c r="B71" s="9" t="n">
        <v>4</v>
      </c>
      <c r="C71" s="9" t="n">
        <v>0.1017</v>
      </c>
      <c r="D71" s="9" t="n">
        <v>0.09732</v>
      </c>
      <c r="E71" s="9">
        <f>C71/((C71+D71)/2)</f>
        <v/>
      </c>
      <c r="F71" s="9" t="n">
        <v>0.07592</v>
      </c>
      <c r="G71" s="9" t="n">
        <v>0.07375</v>
      </c>
      <c r="H71" s="9">
        <f>F71/((F71+G71)/2)</f>
        <v/>
      </c>
    </row>
    <row r="72">
      <c r="B72" s="9" t="n">
        <v>5</v>
      </c>
      <c r="C72" s="9" t="n">
        <v>0.11288</v>
      </c>
      <c r="D72" s="9" t="n">
        <v>0.10807</v>
      </c>
      <c r="E72" s="9">
        <f>C72/((C72+D72)/2)</f>
        <v/>
      </c>
      <c r="F72" s="9" t="n">
        <v>0.08278000000000001</v>
      </c>
      <c r="G72" s="9" t="n">
        <v>0.08041</v>
      </c>
      <c r="H72" s="9">
        <f>F72/((F72+G72)/2)</f>
        <v/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O25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8" customWidth="1" min="3" max="3"/>
    <col width="7" customWidth="1" min="4" max="4"/>
    <col width="7" customWidth="1" min="5" max="5"/>
    <col width="10" customWidth="1" min="6" max="6"/>
    <col width="10" customWidth="1" min="7" max="7"/>
    <col width="9" customWidth="1" min="8" max="8"/>
    <col width="9" customWidth="1" min="9" max="9"/>
    <col width="10" customWidth="1" min="10" max="10"/>
    <col width="8" customWidth="1" min="11" max="11"/>
    <col width="10" customWidth="1" min="12" max="12"/>
    <col width="8" customWidth="1" min="13" max="13"/>
    <col width="11" customWidth="1" min="14" max="14"/>
    <col width="11" customWidth="1" min="15" max="15"/>
  </cols>
  <sheetData>
    <row r="2">
      <c r="B2" s="23" t="inlineStr">
        <is>
          <t>CUADRO DE VIGAS Y RIOSTRAS POR TIPOS  (NSR-10/ACI - sismo / R=5)</t>
        </is>
      </c>
    </row>
    <row r="4">
      <c r="B4" s="24" t="inlineStr">
        <is>
          <t>Materiales y refuerzo (comunes)</t>
        </is>
      </c>
      <c r="C4" s="25" t="n"/>
      <c r="D4" s="25" t="n"/>
      <c r="E4" s="26" t="n"/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recubr [m]</t>
        </is>
      </c>
      <c r="G5" s="28" t="n">
        <v>0.04</v>
      </c>
      <c r="H5" s="27" t="inlineStr">
        <is>
          <t>Diam barra</t>
        </is>
      </c>
      <c r="I5" s="28" t="n">
        <v>15.9</v>
      </c>
      <c r="J5" s="27" t="inlineStr">
        <is>
          <t>#5  Area-&gt;</t>
        </is>
      </c>
      <c r="K5" s="28" t="n">
        <v>199</v>
      </c>
      <c r="L5" s="27" t="inlineStr">
        <is>
          <t>mm2</t>
        </is>
      </c>
    </row>
    <row r="6">
      <c r="B6" s="27" t="inlineStr">
        <is>
          <t>Diam estribo</t>
        </is>
      </c>
      <c r="C6" s="28" t="n">
        <v>9.5</v>
      </c>
      <c r="D6" s="27" t="inlineStr">
        <is>
          <t>#3  Av [mm2]</t>
        </is>
      </c>
      <c r="F6" s="28" t="n">
        <v>142</v>
      </c>
    </row>
    <row r="7" ht="28" customHeight="1">
      <c r="B7" s="7" t="inlineStr">
        <is>
          <t>Las vigas se agrupan por nivel de solicitacion en TIPOS; cada tipo se disena para su M- maximo de grupo. d, As y N de barras se calculan automaticamente. Celdas azules = entrada (envolvente del modelo SAP).</t>
        </is>
      </c>
    </row>
    <row r="9">
      <c r="B9" s="6" t="inlineStr">
        <is>
          <t>VIGAS DE CARGA - VC 40x30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  <c r="N9" s="25" t="n"/>
      <c r="O9" s="26" t="n"/>
    </row>
    <row r="10">
      <c r="B10" s="29" t="inlineStr">
        <is>
          <t>Tipo</t>
        </is>
      </c>
      <c r="C10" s="29" t="inlineStr">
        <is>
          <t>N vigas</t>
        </is>
      </c>
      <c r="D10" s="29" t="inlineStr">
        <is>
          <t>b [m]</t>
        </is>
      </c>
      <c r="E10" s="29" t="inlineStr">
        <is>
          <t>h [m]</t>
        </is>
      </c>
      <c r="F10" s="29" t="inlineStr">
        <is>
          <t>M- [kN.m]</t>
        </is>
      </c>
      <c r="G10" s="29" t="inlineStr">
        <is>
          <t>M+ [kN.m]</t>
        </is>
      </c>
      <c r="H10" s="29" t="inlineStr">
        <is>
          <t>Vu [kN]</t>
        </is>
      </c>
      <c r="I10" s="29" t="inlineStr">
        <is>
          <t>d [mm]</t>
        </is>
      </c>
      <c r="J10" s="29" t="inlineStr">
        <is>
          <t>As- [mm2]</t>
        </is>
      </c>
      <c r="K10" s="29" t="inlineStr">
        <is>
          <t>N #5</t>
        </is>
      </c>
      <c r="L10" s="29" t="inlineStr">
        <is>
          <t>As+ [mm2]</t>
        </is>
      </c>
      <c r="M10" s="29" t="inlineStr">
        <is>
          <t>N #5</t>
        </is>
      </c>
      <c r="N10" s="29" t="inlineStr">
        <is>
          <t>s estribo [mm]</t>
        </is>
      </c>
      <c r="O10" s="29" t="inlineStr">
        <is>
          <t>rho- check</t>
        </is>
      </c>
    </row>
    <row r="11">
      <c r="B11" s="30" t="inlineStr">
        <is>
          <t>VC-1</t>
        </is>
      </c>
      <c r="C11" s="31" t="n">
        <v>148</v>
      </c>
      <c r="D11" s="28" t="n">
        <v>0.3</v>
      </c>
      <c r="E11" s="28" t="n">
        <v>0.4</v>
      </c>
      <c r="F11" s="28" t="n">
        <v>77</v>
      </c>
      <c r="G11" s="28" t="n">
        <v>58</v>
      </c>
      <c r="H11" s="28" t="n">
        <v>70</v>
      </c>
      <c r="I11" s="31">
        <f>E11*1000-$G$5*1000-$C$6-$I$5/2</f>
        <v/>
      </c>
      <c r="J11" s="32">
        <f>MAX((0.85*$C$5/$E$5)*(1-SQRT(1-2*(F11*1000000/(0.9*(D11*1000)*I11^2))/(0.85*$C$5)))*(D11*1000)*I11,MAX(0.25*SQRT($C$5)/$E$5,1.4/$E$5)*(D11*1000)*I11)</f>
        <v/>
      </c>
      <c r="K11" s="33">
        <f>ROUNDUP(J11/$K$5,0)</f>
        <v/>
      </c>
      <c r="L11" s="32">
        <f>MAX((0.85*$C$5/$E$5)*(1-SQRT(1-2*(G11*1000000/(0.9*(D11*1000)*I11^2))/(0.85*$C$5)))*(D11*1000)*I11,MAX(0.25*SQRT($C$5)/$E$5,1.4/$E$5)*(D11*1000)*I11)</f>
        <v/>
      </c>
      <c r="M11" s="33">
        <f>ROUNDUP(L11/$K$5,0)</f>
        <v/>
      </c>
      <c r="N11" s="31">
        <f>MIN(I11/4,6*$I$5,150)</f>
        <v/>
      </c>
      <c r="O11" s="31">
        <f>IF(J11/((D11*1000)*I11)&lt;=0.025,"OK","REVISAR")</f>
        <v/>
      </c>
    </row>
    <row r="12">
      <c r="B12" s="30" t="inlineStr">
        <is>
          <t>VC-2</t>
        </is>
      </c>
      <c r="C12" s="31" t="n">
        <v>120</v>
      </c>
      <c r="D12" s="28" t="n">
        <v>0.3</v>
      </c>
      <c r="E12" s="28" t="n">
        <v>0.4</v>
      </c>
      <c r="F12" s="28" t="n">
        <v>118</v>
      </c>
      <c r="G12" s="28" t="n">
        <v>101</v>
      </c>
      <c r="H12" s="28" t="n">
        <v>86</v>
      </c>
      <c r="I12" s="31">
        <f>E12*1000-$G$5*1000-$C$6-$I$5/2</f>
        <v/>
      </c>
      <c r="J12" s="32">
        <f>MAX((0.85*$C$5/$E$5)*(1-SQRT(1-2*(F12*1000000/(0.9*(D12*1000)*I12^2))/(0.85*$C$5)))*(D12*1000)*I12,MAX(0.25*SQRT($C$5)/$E$5,1.4/$E$5)*(D12*1000)*I12)</f>
        <v/>
      </c>
      <c r="K12" s="33">
        <f>ROUNDUP(J12/$K$5,0)</f>
        <v/>
      </c>
      <c r="L12" s="32">
        <f>MAX((0.85*$C$5/$E$5)*(1-SQRT(1-2*(G12*1000000/(0.9*(D12*1000)*I12^2))/(0.85*$C$5)))*(D12*1000)*I12,MAX(0.25*SQRT($C$5)/$E$5,1.4/$E$5)*(D12*1000)*I12)</f>
        <v/>
      </c>
      <c r="M12" s="33">
        <f>ROUNDUP(L12/$K$5,0)</f>
        <v/>
      </c>
      <c r="N12" s="31">
        <f>MIN(I12/4,6*$I$5,150)</f>
        <v/>
      </c>
      <c r="O12" s="31">
        <f>IF(J12/((D12*1000)*I12)&lt;=0.025,"OK","REVISAR")</f>
        <v/>
      </c>
    </row>
    <row r="13">
      <c r="B13" s="30" t="inlineStr">
        <is>
          <t>VC-3</t>
        </is>
      </c>
      <c r="C13" s="31" t="n">
        <v>12</v>
      </c>
      <c r="D13" s="28" t="n">
        <v>0.3</v>
      </c>
      <c r="E13" s="28" t="n">
        <v>0.4</v>
      </c>
      <c r="F13" s="28" t="n">
        <v>142</v>
      </c>
      <c r="G13" s="28" t="n">
        <v>79</v>
      </c>
      <c r="H13" s="28" t="n">
        <v>108</v>
      </c>
      <c r="I13" s="31">
        <f>E13*1000-$G$5*1000-$C$6-$I$5/2</f>
        <v/>
      </c>
      <c r="J13" s="32">
        <f>MAX((0.85*$C$5/$E$5)*(1-SQRT(1-2*(F13*1000000/(0.9*(D13*1000)*I13^2))/(0.85*$C$5)))*(D13*1000)*I13,MAX(0.25*SQRT($C$5)/$E$5,1.4/$E$5)*(D13*1000)*I13)</f>
        <v/>
      </c>
      <c r="K13" s="33">
        <f>ROUNDUP(J13/$K$5,0)</f>
        <v/>
      </c>
      <c r="L13" s="32">
        <f>MAX((0.85*$C$5/$E$5)*(1-SQRT(1-2*(G13*1000000/(0.9*(D13*1000)*I13^2))/(0.85*$C$5)))*(D13*1000)*I13,MAX(0.25*SQRT($C$5)/$E$5,1.4/$E$5)*(D13*1000)*I13)</f>
        <v/>
      </c>
      <c r="M13" s="33">
        <f>ROUNDUP(L13/$K$5,0)</f>
        <v/>
      </c>
      <c r="N13" s="31">
        <f>MIN(I13/4,6*$I$5,150)</f>
        <v/>
      </c>
      <c r="O13" s="31">
        <f>IF(J13/((D13*1000)*I13)&lt;=0.025,"OK","REVISAR")</f>
        <v/>
      </c>
    </row>
    <row r="15">
      <c r="B15" s="6" t="inlineStr">
        <is>
          <t>RIOSTRAS / VIGAS DE RIGIDEZ - VR 40x35</t>
        </is>
      </c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6" t="n"/>
    </row>
    <row r="16">
      <c r="B16" s="29" t="inlineStr">
        <is>
          <t>Tipo</t>
        </is>
      </c>
      <c r="C16" s="29" t="inlineStr">
        <is>
          <t>N vigas</t>
        </is>
      </c>
      <c r="D16" s="29" t="inlineStr">
        <is>
          <t>b [m]</t>
        </is>
      </c>
      <c r="E16" s="29" t="inlineStr">
        <is>
          <t>h [m]</t>
        </is>
      </c>
      <c r="F16" s="29" t="inlineStr">
        <is>
          <t>M- [kN.m]</t>
        </is>
      </c>
      <c r="G16" s="29" t="inlineStr">
        <is>
          <t>M+ [kN.m]</t>
        </is>
      </c>
      <c r="H16" s="29" t="inlineStr">
        <is>
          <t>Vu [kN]</t>
        </is>
      </c>
      <c r="I16" s="29" t="inlineStr">
        <is>
          <t>d [mm]</t>
        </is>
      </c>
      <c r="J16" s="29" t="inlineStr">
        <is>
          <t>As- [mm2]</t>
        </is>
      </c>
      <c r="K16" s="29" t="inlineStr">
        <is>
          <t>N #5</t>
        </is>
      </c>
      <c r="L16" s="29" t="inlineStr">
        <is>
          <t>As+ [mm2]</t>
        </is>
      </c>
      <c r="M16" s="29" t="inlineStr">
        <is>
          <t>N #5</t>
        </is>
      </c>
      <c r="N16" s="29" t="inlineStr">
        <is>
          <t>s estribo [mm]</t>
        </is>
      </c>
      <c r="O16" s="29" t="inlineStr">
        <is>
          <t>rho- check</t>
        </is>
      </c>
    </row>
    <row r="17">
      <c r="B17" s="30" t="inlineStr">
        <is>
          <t>VR-1</t>
        </is>
      </c>
      <c r="C17" s="31" t="n">
        <v>170</v>
      </c>
      <c r="D17" s="28" t="n">
        <v>0.35</v>
      </c>
      <c r="E17" s="28" t="n">
        <v>0.4</v>
      </c>
      <c r="F17" s="28" t="n">
        <v>100</v>
      </c>
      <c r="G17" s="28" t="n">
        <v>74</v>
      </c>
      <c r="H17" s="28" t="n">
        <v>104</v>
      </c>
      <c r="I17" s="31">
        <f>E17*1000-$G$5*1000-$C$6-$I$5/2</f>
        <v/>
      </c>
      <c r="J17" s="32">
        <f>MAX((0.85*$C$5/$E$5)*(1-SQRT(1-2*(F17*1000000/(0.9*(D17*1000)*I17^2))/(0.85*$C$5)))*(D17*1000)*I17,MAX(0.25*SQRT($C$5)/$E$5,1.4/$E$5)*(D17*1000)*I17)</f>
        <v/>
      </c>
      <c r="K17" s="33">
        <f>ROUNDUP(J17/$K$5,0)</f>
        <v/>
      </c>
      <c r="L17" s="32">
        <f>MAX((0.85*$C$5/$E$5)*(1-SQRT(1-2*(G17*1000000/(0.9*(D17*1000)*I17^2))/(0.85*$C$5)))*(D17*1000)*I17,MAX(0.25*SQRT($C$5)/$E$5,1.4/$E$5)*(D17*1000)*I17)</f>
        <v/>
      </c>
      <c r="M17" s="33">
        <f>ROUNDUP(L17/$K$5,0)</f>
        <v/>
      </c>
      <c r="N17" s="31">
        <f>MIN(I17/4,6*$I$5,150)</f>
        <v/>
      </c>
      <c r="O17" s="31">
        <f>IF(J17/((D17*1000)*I17)&lt;=0.025,"OK","REVISAR")</f>
        <v/>
      </c>
    </row>
    <row r="18">
      <c r="B18" s="30" t="inlineStr">
        <is>
          <t>VR-2</t>
        </is>
      </c>
      <c r="C18" s="31" t="n">
        <v>120</v>
      </c>
      <c r="D18" s="28" t="n">
        <v>0.35</v>
      </c>
      <c r="E18" s="28" t="n">
        <v>0.4</v>
      </c>
      <c r="F18" s="28" t="n">
        <v>135</v>
      </c>
      <c r="G18" s="28" t="n">
        <v>98</v>
      </c>
      <c r="H18" s="28" t="n">
        <v>133</v>
      </c>
      <c r="I18" s="31">
        <f>E18*1000-$G$5*1000-$C$6-$I$5/2</f>
        <v/>
      </c>
      <c r="J18" s="32">
        <f>MAX((0.85*$C$5/$E$5)*(1-SQRT(1-2*(F18*1000000/(0.9*(D18*1000)*I18^2))/(0.85*$C$5)))*(D18*1000)*I18,MAX(0.25*SQRT($C$5)/$E$5,1.4/$E$5)*(D18*1000)*I18)</f>
        <v/>
      </c>
      <c r="K18" s="33">
        <f>ROUNDUP(J18/$K$5,0)</f>
        <v/>
      </c>
      <c r="L18" s="32">
        <f>MAX((0.85*$C$5/$E$5)*(1-SQRT(1-2*(G18*1000000/(0.9*(D18*1000)*I18^2))/(0.85*$C$5)))*(D18*1000)*I18,MAX(0.25*SQRT($C$5)/$E$5,1.4/$E$5)*(D18*1000)*I18)</f>
        <v/>
      </c>
      <c r="M18" s="33">
        <f>ROUNDUP(L18/$K$5,0)</f>
        <v/>
      </c>
      <c r="N18" s="31">
        <f>MIN(I18/4,6*$I$5,150)</f>
        <v/>
      </c>
      <c r="O18" s="31">
        <f>IF(J18/((D18*1000)*I18)&lt;=0.025,"OK","REVISAR")</f>
        <v/>
      </c>
    </row>
    <row r="19">
      <c r="B19" s="30" t="inlineStr">
        <is>
          <t>VR-3</t>
        </is>
      </c>
      <c r="C19" s="31" t="n">
        <v>6</v>
      </c>
      <c r="D19" s="28" t="n">
        <v>0.35</v>
      </c>
      <c r="E19" s="28" t="n">
        <v>0.4</v>
      </c>
      <c r="F19" s="28" t="n">
        <v>186</v>
      </c>
      <c r="G19" s="28" t="n">
        <v>138</v>
      </c>
      <c r="H19" s="28" t="n">
        <v>189</v>
      </c>
      <c r="I19" s="31">
        <f>E19*1000-$G$5*1000-$C$6-$I$5/2</f>
        <v/>
      </c>
      <c r="J19" s="32">
        <f>MAX((0.85*$C$5/$E$5)*(1-SQRT(1-2*(F19*1000000/(0.9*(D19*1000)*I19^2))/(0.85*$C$5)))*(D19*1000)*I19,MAX(0.25*SQRT($C$5)/$E$5,1.4/$E$5)*(D19*1000)*I19)</f>
        <v/>
      </c>
      <c r="K19" s="33">
        <f>ROUNDUP(J19/$K$5,0)</f>
        <v/>
      </c>
      <c r="L19" s="32">
        <f>MAX((0.85*$C$5/$E$5)*(1-SQRT(1-2*(G19*1000000/(0.9*(D19*1000)*I19^2))/(0.85*$C$5)))*(D19*1000)*I19,MAX(0.25*SQRT($C$5)/$E$5,1.4/$E$5)*(D19*1000)*I19)</f>
        <v/>
      </c>
      <c r="M19" s="33">
        <f>ROUNDUP(L19/$K$5,0)</f>
        <v/>
      </c>
      <c r="N19" s="31">
        <f>MIN(I19/4,6*$I$5,150)</f>
        <v/>
      </c>
      <c r="O19" s="31">
        <f>IF(J19/((D19*1000)*I19)&lt;=0.025,"OK","REVISAR")</f>
        <v/>
      </c>
    </row>
    <row r="20">
      <c r="B20" s="30" t="inlineStr">
        <is>
          <t>VR-4</t>
        </is>
      </c>
      <c r="C20" s="31" t="n">
        <v>14</v>
      </c>
      <c r="D20" s="28" t="n">
        <v>0.35</v>
      </c>
      <c r="E20" s="28" t="n">
        <v>0.4</v>
      </c>
      <c r="F20" s="28" t="n">
        <v>243</v>
      </c>
      <c r="G20" s="28" t="n">
        <v>134</v>
      </c>
      <c r="H20" s="28" t="n">
        <v>202</v>
      </c>
      <c r="I20" s="31">
        <f>E20*1000-$G$5*1000-$C$6-$I$5/2</f>
        <v/>
      </c>
      <c r="J20" s="32">
        <f>MAX((0.85*$C$5/$E$5)*(1-SQRT(1-2*(F20*1000000/(0.9*(D20*1000)*I20^2))/(0.85*$C$5)))*(D20*1000)*I20,MAX(0.25*SQRT($C$5)/$E$5,1.4/$E$5)*(D20*1000)*I20)</f>
        <v/>
      </c>
      <c r="K20" s="33">
        <f>ROUNDUP(J20/$K$5,0)</f>
        <v/>
      </c>
      <c r="L20" s="32">
        <f>MAX((0.85*$C$5/$E$5)*(1-SQRT(1-2*(G20*1000000/(0.9*(D20*1000)*I20^2))/(0.85*$C$5)))*(D20*1000)*I20,MAX(0.25*SQRT($C$5)/$E$5,1.4/$E$5)*(D20*1000)*I20)</f>
        <v/>
      </c>
      <c r="M20" s="33">
        <f>ROUNDUP(L20/$K$5,0)</f>
        <v/>
      </c>
      <c r="N20" s="31">
        <f>MIN(I20/4,6*$I$5,150)</f>
        <v/>
      </c>
      <c r="O20" s="31">
        <f>IF(J20/((D20*1000)*I20)&lt;=0.025,"OK","REVISAR")</f>
        <v/>
      </c>
    </row>
    <row r="22">
      <c r="B22" s="6" t="inlineStr">
        <is>
          <t>Notas</t>
        </is>
      </c>
    </row>
    <row r="23" ht="46" customHeight="1">
      <c r="B23" s="7" t="inlineStr">
        <is>
          <t>Cada tipo agrupa las vigas con M- hasta el valor indicado. El N de barras es para flexion; en apoyos se coloca As- (bastones Ln/4+ld) y en el centro As+ corrido. Estribos #3 @ s en zona de confinamiento (2h desde la cara del nudo) y @ d/2 en el resto. Torsion y cortante por capacidad: ver hojas 'Diseno Vigas' y 'Diseno Riostras' (calculo detallado del tipo critico VC-3 y VR-4).</t>
        </is>
      </c>
    </row>
    <row r="24"/>
    <row r="25"/>
  </sheetData>
  <mergeCells count="6">
    <mergeCell ref="B9:O9"/>
    <mergeCell ref="B4:E4"/>
    <mergeCell ref="B2:O2"/>
    <mergeCell ref="B15:O15"/>
    <mergeCell ref="B7:O7"/>
    <mergeCell ref="B23:O2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2:N29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7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8" customWidth="1" min="8" max="8"/>
    <col width="9" customWidth="1" min="9" max="9"/>
    <col width="10" customWidth="1" min="10" max="10"/>
    <col width="7" customWidth="1" min="11" max="11"/>
    <col width="10" customWidth="1" min="12" max="12"/>
    <col width="7" customWidth="1" min="13" max="13"/>
    <col width="11" customWidth="1" min="14" max="14"/>
  </cols>
  <sheetData>
    <row r="2">
      <c r="B2" s="23" t="inlineStr">
        <is>
          <t>CUADRO DE VIGUETAS POR TIPO DE LUZ  (losa aligerada, viga T, gravedad)</t>
        </is>
      </c>
    </row>
    <row r="4">
      <c r="B4" s="6" t="inlineStr">
        <is>
          <t>Geometria y materiales (comunes)</t>
        </is>
      </c>
    </row>
    <row r="5">
      <c r="B5" s="27" t="inlineStr">
        <is>
          <t>f'c [MPa]</t>
        </is>
      </c>
      <c r="C5" s="28" t="n">
        <v>28</v>
      </c>
      <c r="D5" s="27" t="inlineStr">
        <is>
          <t>fy [MPa]</t>
        </is>
      </c>
      <c r="E5" s="28" t="n">
        <v>420</v>
      </c>
      <c r="F5" s="27" t="inlineStr">
        <is>
          <t>bw [m]</t>
        </is>
      </c>
      <c r="G5" s="28" t="n">
        <v>0.15</v>
      </c>
      <c r="H5" s="27" t="inlineStr">
        <is>
          <t>h [m]</t>
        </is>
      </c>
      <c r="I5" s="28" t="n">
        <v>0.34</v>
      </c>
      <c r="J5" s="27" t="inlineStr">
        <is>
          <t>hf [m]</t>
        </is>
      </c>
      <c r="K5" s="28" t="n">
        <v>0.06</v>
      </c>
    </row>
    <row r="6">
      <c r="B6" s="27" t="inlineStr">
        <is>
          <t>sv [m]</t>
        </is>
      </c>
      <c r="C6" s="28" t="n">
        <v>0.8</v>
      </c>
      <c r="D6" s="27" t="inlineStr">
        <is>
          <t>recubr [m]</t>
        </is>
      </c>
      <c r="E6" s="28" t="n">
        <v>0.03</v>
      </c>
      <c r="F6" s="27" t="inlineStr">
        <is>
          <t>Diam barra</t>
        </is>
      </c>
      <c r="G6" s="28" t="n">
        <v>12.7</v>
      </c>
      <c r="H6" s="27" t="inlineStr">
        <is>
          <t>#4 Area</t>
        </is>
      </c>
      <c r="I6" s="28" t="n">
        <v>129</v>
      </c>
      <c r="J6" s="27" t="inlineStr">
        <is>
          <t>ancho apoyo [m]</t>
        </is>
      </c>
      <c r="K6" s="28" t="n">
        <v>0.35</v>
      </c>
    </row>
    <row r="7">
      <c r="B7" s="24" t="inlineStr">
        <is>
          <t>d [mm]</t>
        </is>
      </c>
      <c r="C7" s="34">
        <f>I5*1000-E6*1000-G6/2</f>
        <v/>
      </c>
      <c r="D7" s="24" t="inlineStr">
        <is>
          <t>As min [mm2]</t>
        </is>
      </c>
      <c r="F7" s="34">
        <f>MAX(0.25*SQRT(C5)/E5,1.4/E5)*G5*1000*C7</f>
        <v/>
      </c>
    </row>
    <row r="8">
      <c r="B8" s="7" t="inlineStr">
        <is>
          <t>Vigueta continua: M- = wu Ln2/10 (apoyo), M+ = wu Ln2/14 (centro), Vu = 1.15 wu Ln/2.  Ln = L_ejes - ancho apoyo.</t>
        </is>
      </c>
    </row>
    <row r="10">
      <c r="B10" s="6" t="inlineStr">
        <is>
          <t>VIGUETAS DE ENTREPISO  (carga viva recreativa)</t>
        </is>
      </c>
      <c r="C10" s="25" t="n"/>
      <c r="D10" s="25" t="n"/>
      <c r="E10" s="25" t="n"/>
      <c r="F10" s="25" t="n"/>
      <c r="G10" s="25" t="n"/>
      <c r="H10" s="25" t="n"/>
      <c r="I10" s="25" t="n"/>
      <c r="J10" s="25" t="n"/>
      <c r="K10" s="25" t="n"/>
      <c r="L10" s="25" t="n"/>
      <c r="M10" s="25" t="n"/>
      <c r="N10" s="26" t="n"/>
    </row>
    <row r="11">
      <c r="B11" s="27" t="inlineStr">
        <is>
          <t>wD [kN/m2]</t>
        </is>
      </c>
      <c r="C11" s="28" t="n">
        <v>7.04</v>
      </c>
      <c r="D11" s="27" t="inlineStr">
        <is>
          <t>wL [kN/m2]</t>
        </is>
      </c>
      <c r="E11" s="28" t="n">
        <v>1.8</v>
      </c>
    </row>
    <row r="12">
      <c r="B12" s="29" t="inlineStr">
        <is>
          <t>Tipo</t>
        </is>
      </c>
      <c r="C12" s="29" t="inlineStr">
        <is>
          <t>L ejes [m]</t>
        </is>
      </c>
      <c r="D12" s="29" t="inlineStr">
        <is>
          <t>Ln [m]</t>
        </is>
      </c>
      <c r="E12" s="29" t="inlineStr">
        <is>
          <t>wu [kN/m]</t>
        </is>
      </c>
      <c r="F12" s="29" t="inlineStr">
        <is>
          <t>M- [kN.m]</t>
        </is>
      </c>
      <c r="G12" s="29" t="inlineStr">
        <is>
          <t>M+ [kN.m]</t>
        </is>
      </c>
      <c r="H12" s="29" t="inlineStr">
        <is>
          <t>Vu [kN]</t>
        </is>
      </c>
      <c r="I12" s="29" t="inlineStr">
        <is>
          <t>bf [mm]</t>
        </is>
      </c>
      <c r="J12" s="29" t="inlineStr">
        <is>
          <t>As+ [mm2]</t>
        </is>
      </c>
      <c r="K12" s="29" t="inlineStr">
        <is>
          <t>N #4+</t>
        </is>
      </c>
      <c r="L12" s="29" t="inlineStr">
        <is>
          <t>As- [mm2]</t>
        </is>
      </c>
      <c r="M12" s="29" t="inlineStr">
        <is>
          <t>N #4-</t>
        </is>
      </c>
      <c r="N12" s="29" t="inlineStr">
        <is>
          <t>Estribos?</t>
        </is>
      </c>
    </row>
    <row r="13">
      <c r="B13" s="30" t="inlineStr">
        <is>
          <t>VT-1</t>
        </is>
      </c>
      <c r="C13" s="28" t="n">
        <v>2.2</v>
      </c>
      <c r="D13" s="31">
        <f>C13-$K$6</f>
        <v/>
      </c>
      <c r="E13" s="31">
        <f>(1.2*C11+1.6*E11)*$C$6</f>
        <v/>
      </c>
      <c r="F13" s="31">
        <f>E13*D13^2/10</f>
        <v/>
      </c>
      <c r="G13" s="31">
        <f>E13*D13^2/14</f>
        <v/>
      </c>
      <c r="H13" s="31">
        <f>1.15*E13*D13/2</f>
        <v/>
      </c>
      <c r="I13" s="31">
        <f>MIN(D13*1000/4,($G$5*1000)+16*$K$5*1000,$C$6*1000)</f>
        <v/>
      </c>
      <c r="J13" s="32">
        <f>MAX((0.85*$C$5/$E$5)*(1-SQRT(1-2*(G13*1000000/(0.9*I13*$C$7^2))/(0.85*$C$5)))*I13*$C$7,$F$7)</f>
        <v/>
      </c>
      <c r="K13" s="33">
        <f>ROUNDUP(J13/$I$6,0)</f>
        <v/>
      </c>
      <c r="L13" s="32">
        <f>MAX((0.85*$C$5/$E$5)*(1-SQRT(1-2*(F13*1000000/(0.9*($G$5*1000)*$C$7^2))/(0.85*$C$5)))*($G$5*1000)*$C$7,$F$7)</f>
        <v/>
      </c>
      <c r="M13" s="33">
        <f>ROUNDUP(L13/$I$6,0)</f>
        <v/>
      </c>
      <c r="N13" s="31">
        <f>IF(H13&lt;=0.75*1.1*(0.17*SQRT($C$5)*($G$5*1000)*$C$7/1000),"No","Si")</f>
        <v/>
      </c>
    </row>
    <row r="14">
      <c r="B14" s="30" t="inlineStr">
        <is>
          <t>VT-2</t>
        </is>
      </c>
      <c r="C14" s="28" t="n">
        <v>3.6</v>
      </c>
      <c r="D14" s="31">
        <f>C14-$K$6</f>
        <v/>
      </c>
      <c r="E14" s="31">
        <f>(1.2*C11+1.6*E11)*$C$6</f>
        <v/>
      </c>
      <c r="F14" s="31">
        <f>E14*D14^2/10</f>
        <v/>
      </c>
      <c r="G14" s="31">
        <f>E14*D14^2/14</f>
        <v/>
      </c>
      <c r="H14" s="31">
        <f>1.15*E14*D14/2</f>
        <v/>
      </c>
      <c r="I14" s="31">
        <f>MIN(D14*1000/4,($G$5*1000)+16*$K$5*1000,$C$6*1000)</f>
        <v/>
      </c>
      <c r="J14" s="32">
        <f>MAX((0.85*$C$5/$E$5)*(1-SQRT(1-2*(G14*1000000/(0.9*I14*$C$7^2))/(0.85*$C$5)))*I14*$C$7,$F$7)</f>
        <v/>
      </c>
      <c r="K14" s="33">
        <f>ROUNDUP(J14/$I$6,0)</f>
        <v/>
      </c>
      <c r="L14" s="32">
        <f>MAX((0.85*$C$5/$E$5)*(1-SQRT(1-2*(F14*1000000/(0.9*($G$5*1000)*$C$7^2))/(0.85*$C$5)))*($G$5*1000)*$C$7,$F$7)</f>
        <v/>
      </c>
      <c r="M14" s="33">
        <f>ROUNDUP(L14/$I$6,0)</f>
        <v/>
      </c>
      <c r="N14" s="31">
        <f>IF(H14&lt;=0.75*1.1*(0.17*SQRT($C$5)*($G$5*1000)*$C$7/1000),"No","Si")</f>
        <v/>
      </c>
    </row>
    <row r="15">
      <c r="B15" s="30" t="inlineStr">
        <is>
          <t>VT-3</t>
        </is>
      </c>
      <c r="C15" s="28" t="n">
        <v>4.8</v>
      </c>
      <c r="D15" s="31">
        <f>C15-$K$6</f>
        <v/>
      </c>
      <c r="E15" s="31">
        <f>(1.2*C11+1.6*E11)*$C$6</f>
        <v/>
      </c>
      <c r="F15" s="31">
        <f>E15*D15^2/10</f>
        <v/>
      </c>
      <c r="G15" s="31">
        <f>E15*D15^2/14</f>
        <v/>
      </c>
      <c r="H15" s="31">
        <f>1.15*E15*D15/2</f>
        <v/>
      </c>
      <c r="I15" s="31">
        <f>MIN(D15*1000/4,($G$5*1000)+16*$K$5*1000,$C$6*1000)</f>
        <v/>
      </c>
      <c r="J15" s="32">
        <f>MAX((0.85*$C$5/$E$5)*(1-SQRT(1-2*(G15*1000000/(0.9*I15*$C$7^2))/(0.85*$C$5)))*I15*$C$7,$F$7)</f>
        <v/>
      </c>
      <c r="K15" s="33">
        <f>ROUNDUP(J15/$I$6,0)</f>
        <v/>
      </c>
      <c r="L15" s="32">
        <f>MAX((0.85*$C$5/$E$5)*(1-SQRT(1-2*(F15*1000000/(0.9*($G$5*1000)*$C$7^2))/(0.85*$C$5)))*($G$5*1000)*$C$7,$F$7)</f>
        <v/>
      </c>
      <c r="M15" s="33">
        <f>ROUNDUP(L15/$I$6,0)</f>
        <v/>
      </c>
      <c r="N15" s="31">
        <f>IF(H15&lt;=0.75*1.1*(0.17*SQRT($C$5)*($G$5*1000)*$C$7/1000),"No","Si")</f>
        <v/>
      </c>
    </row>
    <row r="16">
      <c r="B16" s="30" t="inlineStr">
        <is>
          <t>VT-4</t>
        </is>
      </c>
      <c r="C16" s="28" t="n">
        <v>5.15</v>
      </c>
      <c r="D16" s="31">
        <f>C16-$K$6</f>
        <v/>
      </c>
      <c r="E16" s="31">
        <f>(1.2*C11+1.6*E11)*$C$6</f>
        <v/>
      </c>
      <c r="F16" s="31">
        <f>E16*D16^2/10</f>
        <v/>
      </c>
      <c r="G16" s="31">
        <f>E16*D16^2/14</f>
        <v/>
      </c>
      <c r="H16" s="31">
        <f>1.15*E16*D16/2</f>
        <v/>
      </c>
      <c r="I16" s="31">
        <f>MIN(D16*1000/4,($G$5*1000)+16*$K$5*1000,$C$6*1000)</f>
        <v/>
      </c>
      <c r="J16" s="32">
        <f>MAX((0.85*$C$5/$E$5)*(1-SQRT(1-2*(G16*1000000/(0.9*I16*$C$7^2))/(0.85*$C$5)))*I16*$C$7,$F$7)</f>
        <v/>
      </c>
      <c r="K16" s="33">
        <f>ROUNDUP(J16/$I$6,0)</f>
        <v/>
      </c>
      <c r="L16" s="32">
        <f>MAX((0.85*$C$5/$E$5)*(1-SQRT(1-2*(F16*1000000/(0.9*($G$5*1000)*$C$7^2))/(0.85*$C$5)))*($G$5*1000)*$C$7,$F$7)</f>
        <v/>
      </c>
      <c r="M16" s="33">
        <f>ROUNDUP(L16/$I$6,0)</f>
        <v/>
      </c>
      <c r="N16" s="31">
        <f>IF(H16&lt;=0.75*1.1*(0.17*SQRT($C$5)*($G$5*1000)*$C$7/1000),"No","Si")</f>
        <v/>
      </c>
    </row>
    <row r="18">
      <c r="B18" s="6" t="inlineStr">
        <is>
          <t>VIGUETAS DE CUBIERTA  (terraza social, L=5 kN/m2 - GOBIERNA)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6" t="n"/>
    </row>
    <row r="19">
      <c r="B19" s="27" t="inlineStr">
        <is>
          <t>wD [kN/m2]</t>
        </is>
      </c>
      <c r="C19" s="28" t="n">
        <v>4.376</v>
      </c>
      <c r="D19" s="27" t="inlineStr">
        <is>
          <t>wL [kN/m2]</t>
        </is>
      </c>
      <c r="E19" s="28" t="n">
        <v>5</v>
      </c>
    </row>
    <row r="20">
      <c r="B20" s="29" t="inlineStr">
        <is>
          <t>Tipo</t>
        </is>
      </c>
      <c r="C20" s="29" t="inlineStr">
        <is>
          <t>L ejes [m]</t>
        </is>
      </c>
      <c r="D20" s="29" t="inlineStr">
        <is>
          <t>Ln [m]</t>
        </is>
      </c>
      <c r="E20" s="29" t="inlineStr">
        <is>
          <t>wu [kN/m]</t>
        </is>
      </c>
      <c r="F20" s="29" t="inlineStr">
        <is>
          <t>M- [kN.m]</t>
        </is>
      </c>
      <c r="G20" s="29" t="inlineStr">
        <is>
          <t>M+ [kN.m]</t>
        </is>
      </c>
      <c r="H20" s="29" t="inlineStr">
        <is>
          <t>Vu [kN]</t>
        </is>
      </c>
      <c r="I20" s="29" t="inlineStr">
        <is>
          <t>bf [mm]</t>
        </is>
      </c>
      <c r="J20" s="29" t="inlineStr">
        <is>
          <t>As+ [mm2]</t>
        </is>
      </c>
      <c r="K20" s="29" t="inlineStr">
        <is>
          <t>N #4+</t>
        </is>
      </c>
      <c r="L20" s="29" t="inlineStr">
        <is>
          <t>As- [mm2]</t>
        </is>
      </c>
      <c r="M20" s="29" t="inlineStr">
        <is>
          <t>N #4-</t>
        </is>
      </c>
      <c r="N20" s="29" t="inlineStr">
        <is>
          <t>Estribos?</t>
        </is>
      </c>
    </row>
    <row r="21">
      <c r="B21" s="30" t="inlineStr">
        <is>
          <t>VT-1</t>
        </is>
      </c>
      <c r="C21" s="28" t="n">
        <v>2.2</v>
      </c>
      <c r="D21" s="31">
        <f>C21-$K$6</f>
        <v/>
      </c>
      <c r="E21" s="31">
        <f>(1.2*C19+1.6*E19)*$C$6</f>
        <v/>
      </c>
      <c r="F21" s="31">
        <f>E21*D21^2/10</f>
        <v/>
      </c>
      <c r="G21" s="31">
        <f>E21*D21^2/14</f>
        <v/>
      </c>
      <c r="H21" s="31">
        <f>1.15*E21*D21/2</f>
        <v/>
      </c>
      <c r="I21" s="31">
        <f>MIN(D21*1000/4,($G$5*1000)+16*$K$5*1000,$C$6*1000)</f>
        <v/>
      </c>
      <c r="J21" s="32">
        <f>MAX((0.85*$C$5/$E$5)*(1-SQRT(1-2*(G21*1000000/(0.9*I21*$C$7^2))/(0.85*$C$5)))*I21*$C$7,$F$7)</f>
        <v/>
      </c>
      <c r="K21" s="33">
        <f>ROUNDUP(J21/$I$6,0)</f>
        <v/>
      </c>
      <c r="L21" s="32">
        <f>MAX((0.85*$C$5/$E$5)*(1-SQRT(1-2*(F21*1000000/(0.9*($G$5*1000)*$C$7^2))/(0.85*$C$5)))*($G$5*1000)*$C$7,$F$7)</f>
        <v/>
      </c>
      <c r="M21" s="33">
        <f>ROUNDUP(L21/$I$6,0)</f>
        <v/>
      </c>
      <c r="N21" s="31">
        <f>IF(H21&lt;=0.75*1.1*(0.17*SQRT($C$5)*($G$5*1000)*$C$7/1000),"No","Si")</f>
        <v/>
      </c>
    </row>
    <row r="22">
      <c r="B22" s="30" t="inlineStr">
        <is>
          <t>VT-2</t>
        </is>
      </c>
      <c r="C22" s="28" t="n">
        <v>3.6</v>
      </c>
      <c r="D22" s="31">
        <f>C22-$K$6</f>
        <v/>
      </c>
      <c r="E22" s="31">
        <f>(1.2*C19+1.6*E19)*$C$6</f>
        <v/>
      </c>
      <c r="F22" s="31">
        <f>E22*D22^2/10</f>
        <v/>
      </c>
      <c r="G22" s="31">
        <f>E22*D22^2/14</f>
        <v/>
      </c>
      <c r="H22" s="31">
        <f>1.15*E22*D22/2</f>
        <v/>
      </c>
      <c r="I22" s="31">
        <f>MIN(D22*1000/4,($G$5*1000)+16*$K$5*1000,$C$6*1000)</f>
        <v/>
      </c>
      <c r="J22" s="32">
        <f>MAX((0.85*$C$5/$E$5)*(1-SQRT(1-2*(G22*1000000/(0.9*I22*$C$7^2))/(0.85*$C$5)))*I22*$C$7,$F$7)</f>
        <v/>
      </c>
      <c r="K22" s="33">
        <f>ROUNDUP(J22/$I$6,0)</f>
        <v/>
      </c>
      <c r="L22" s="32">
        <f>MAX((0.85*$C$5/$E$5)*(1-SQRT(1-2*(F22*1000000/(0.9*($G$5*1000)*$C$7^2))/(0.85*$C$5)))*($G$5*1000)*$C$7,$F$7)</f>
        <v/>
      </c>
      <c r="M22" s="33">
        <f>ROUNDUP(L22/$I$6,0)</f>
        <v/>
      </c>
      <c r="N22" s="31">
        <f>IF(H22&lt;=0.75*1.1*(0.17*SQRT($C$5)*($G$5*1000)*$C$7/1000),"No","Si")</f>
        <v/>
      </c>
    </row>
    <row r="23">
      <c r="B23" s="30" t="inlineStr">
        <is>
          <t>VT-3</t>
        </is>
      </c>
      <c r="C23" s="28" t="n">
        <v>4.8</v>
      </c>
      <c r="D23" s="31">
        <f>C23-$K$6</f>
        <v/>
      </c>
      <c r="E23" s="31">
        <f>(1.2*C19+1.6*E19)*$C$6</f>
        <v/>
      </c>
      <c r="F23" s="31">
        <f>E23*D23^2/10</f>
        <v/>
      </c>
      <c r="G23" s="31">
        <f>E23*D23^2/14</f>
        <v/>
      </c>
      <c r="H23" s="31">
        <f>1.15*E23*D23/2</f>
        <v/>
      </c>
      <c r="I23" s="31">
        <f>MIN(D23*1000/4,($G$5*1000)+16*$K$5*1000,$C$6*1000)</f>
        <v/>
      </c>
      <c r="J23" s="32">
        <f>MAX((0.85*$C$5/$E$5)*(1-SQRT(1-2*(G23*1000000/(0.9*I23*$C$7^2))/(0.85*$C$5)))*I23*$C$7,$F$7)</f>
        <v/>
      </c>
      <c r="K23" s="33">
        <f>ROUNDUP(J23/$I$6,0)</f>
        <v/>
      </c>
      <c r="L23" s="32">
        <f>MAX((0.85*$C$5/$E$5)*(1-SQRT(1-2*(F23*1000000/(0.9*($G$5*1000)*$C$7^2))/(0.85*$C$5)))*($G$5*1000)*$C$7,$F$7)</f>
        <v/>
      </c>
      <c r="M23" s="33">
        <f>ROUNDUP(L23/$I$6,0)</f>
        <v/>
      </c>
      <c r="N23" s="31">
        <f>IF(H23&lt;=0.75*1.1*(0.17*SQRT($C$5)*($G$5*1000)*$C$7/1000),"No","Si")</f>
        <v/>
      </c>
    </row>
    <row r="24">
      <c r="B24" s="30" t="inlineStr">
        <is>
          <t>VT-4</t>
        </is>
      </c>
      <c r="C24" s="28" t="n">
        <v>5.15</v>
      </c>
      <c r="D24" s="31">
        <f>C24-$K$6</f>
        <v/>
      </c>
      <c r="E24" s="31">
        <f>(1.2*C19+1.6*E19)*$C$6</f>
        <v/>
      </c>
      <c r="F24" s="31">
        <f>E24*D24^2/10</f>
        <v/>
      </c>
      <c r="G24" s="31">
        <f>E24*D24^2/14</f>
        <v/>
      </c>
      <c r="H24" s="31">
        <f>1.15*E24*D24/2</f>
        <v/>
      </c>
      <c r="I24" s="31">
        <f>MIN(D24*1000/4,($G$5*1000)+16*$K$5*1000,$C$6*1000)</f>
        <v/>
      </c>
      <c r="J24" s="32">
        <f>MAX((0.85*$C$5/$E$5)*(1-SQRT(1-2*(G24*1000000/(0.9*I24*$C$7^2))/(0.85*$C$5)))*I24*$C$7,$F$7)</f>
        <v/>
      </c>
      <c r="K24" s="33">
        <f>ROUNDUP(J24/$I$6,0)</f>
        <v/>
      </c>
      <c r="L24" s="32">
        <f>MAX((0.85*$C$5/$E$5)*(1-SQRT(1-2*(F24*1000000/(0.9*($G$5*1000)*$C$7^2))/(0.85*$C$5)))*($G$5*1000)*$C$7,$F$7)</f>
        <v/>
      </c>
      <c r="M24" s="33">
        <f>ROUNDUP(L24/$I$6,0)</f>
        <v/>
      </c>
      <c r="N24" s="31">
        <f>IF(H24&lt;=0.75*1.1*(0.17*SQRT($C$5)*($G$5*1000)*$C$7/1000),"No","Si")</f>
        <v/>
      </c>
    </row>
    <row r="26">
      <c r="B26" s="6" t="inlineStr">
        <is>
          <t>Despiece</t>
        </is>
      </c>
    </row>
    <row r="27" ht="46" customHeight="1">
      <c r="B27" s="7" t="inlineStr">
        <is>
          <t>Todas las viguetas: refuerzo inferior As(+) corrido + refuerzo superior As(-) sobre apoyos (bastones Ln/4 + ld). Como las solicitaciones son bajas, casi todas requieren el As minimo (2 #4). Sin estribos (Vu &lt;= phi 1.1 Vc). Loseta con malla de retraccion Ø6 @ 250 mm (As=0.0018*b*hf). f'c=28 MPa, fy=420 MPa.</t>
        </is>
      </c>
    </row>
    <row r="28"/>
    <row r="29"/>
  </sheetData>
  <mergeCells count="5">
    <mergeCell ref="B8:N8"/>
    <mergeCell ref="B18:N18"/>
    <mergeCell ref="B2:N2"/>
    <mergeCell ref="B10:N10"/>
    <mergeCell ref="B27:N29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VC-1  -  VIGA DE CARGA VC 40x30  (NSR-10/ACI, DMO)</t>
        </is>
      </c>
    </row>
    <row r="4">
      <c r="B4" s="2" t="inlineStr">
        <is>
          <t>1. DATOS Y GEOMETRIA</t>
        </is>
      </c>
      <c r="J4" s="7" t="inlineStr">
        <is>
          <t>Grupo de 148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77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58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70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13.3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VC-2  -  VIGA DE CARGA VC 40x30  (NSR-10/ACI, DMO)</t>
        </is>
      </c>
    </row>
    <row r="4">
      <c r="B4" s="2" t="inlineStr">
        <is>
          <t>1. DATOS Y GEOMETRIA</t>
        </is>
      </c>
      <c r="J4" s="7" t="inlineStr">
        <is>
          <t>Grupo de 120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118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101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86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11.5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VC-3  -  VIGA DE CARGA VC 40x30  (NSR-10/ACI, DMO)</t>
        </is>
      </c>
    </row>
    <row r="4">
      <c r="B4" s="2" t="inlineStr">
        <is>
          <t>1. DATOS Y GEOMETRIA</t>
        </is>
      </c>
      <c r="J4" s="7" t="inlineStr">
        <is>
          <t>Grupo de 12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4.9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142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79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108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19.9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VR-1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170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100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74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104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26.1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VR-2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120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135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98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133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12.7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VR-3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6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186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138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189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1.7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7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4" customWidth="1" min="10" max="10"/>
  </cols>
  <sheetData>
    <row r="2">
      <c r="B2" s="1" t="inlineStr">
        <is>
          <t>DISENO VR-4  -  RIOSTRA VR 40x35  (NSR-10/ACI, DMO)</t>
        </is>
      </c>
    </row>
    <row r="4">
      <c r="B4" s="2" t="inlineStr">
        <is>
          <t>1. DATOS Y GEOMETRIA</t>
        </is>
      </c>
      <c r="J4" s="7" t="inlineStr">
        <is>
          <t>Grupo de 14 vigas. Azul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  <c r="J5" s="7" t="inlineStr">
        <is>
          <t>phi=0.90 flexion - phi=0.75 cortante/torsion - rho_max(DMO)=0.025</t>
        </is>
      </c>
    </row>
    <row r="6">
      <c r="B6" s="4" t="inlineStr">
        <is>
          <t>fy = fyt</t>
        </is>
      </c>
      <c r="C6" s="5" t="n">
        <v>420</v>
      </c>
      <c r="D6" s="9" t="inlineStr">
        <is>
          <t>MPa</t>
        </is>
      </c>
    </row>
    <row r="7">
      <c r="B7" s="4" t="inlineStr">
        <is>
          <t>b (ancho)</t>
        </is>
      </c>
      <c r="C7" s="5" t="n">
        <v>0.35</v>
      </c>
      <c r="D7" s="9" t="inlineStr">
        <is>
          <t>m</t>
        </is>
      </c>
    </row>
    <row r="8">
      <c r="B8" s="4" t="inlineStr">
        <is>
          <t>h (alto)</t>
        </is>
      </c>
      <c r="C8" s="5" t="n">
        <v>0.4</v>
      </c>
      <c r="D8" s="9" t="inlineStr">
        <is>
          <t>m</t>
        </is>
      </c>
    </row>
    <row r="9">
      <c r="B9" s="4" t="inlineStr">
        <is>
          <t>recubrimiento r</t>
        </is>
      </c>
      <c r="C9" s="5" t="n">
        <v>0.04</v>
      </c>
      <c r="D9" s="9" t="inlineStr">
        <is>
          <t>m</t>
        </is>
      </c>
    </row>
    <row r="10">
      <c r="B10" s="4" t="inlineStr">
        <is>
          <t>Diam estribo</t>
        </is>
      </c>
      <c r="C10" s="5" t="n">
        <v>9.5</v>
      </c>
      <c r="D10" s="9" t="inlineStr">
        <is>
          <t>mm #3</t>
        </is>
      </c>
    </row>
    <row r="11">
      <c r="B11" s="4" t="inlineStr">
        <is>
          <t>Diam barra long.</t>
        </is>
      </c>
      <c r="C11" s="5" t="n">
        <v>15.9</v>
      </c>
      <c r="D11" s="9" t="inlineStr">
        <is>
          <t>mm #5</t>
        </is>
      </c>
    </row>
    <row r="12">
      <c r="B12" s="4" t="inlineStr">
        <is>
          <t>Area barra long.</t>
        </is>
      </c>
      <c r="C12" s="5" t="n">
        <v>199</v>
      </c>
      <c r="D12" s="9" t="inlineStr">
        <is>
          <t>mm2</t>
        </is>
      </c>
    </row>
    <row r="13">
      <c r="B13" s="4" t="inlineStr">
        <is>
          <t>Area 2 ramas Av</t>
        </is>
      </c>
      <c r="C13" s="5" t="n">
        <v>142</v>
      </c>
      <c r="D13" s="9" t="inlineStr">
        <is>
          <t>mm2</t>
        </is>
      </c>
    </row>
    <row r="14">
      <c r="B14" s="4" t="inlineStr">
        <is>
          <t>Luz libre Ln</t>
        </is>
      </c>
      <c r="C14" s="5" t="n">
        <v>5.1</v>
      </c>
      <c r="D14" s="9" t="inlineStr">
        <is>
          <t>m</t>
        </is>
      </c>
    </row>
    <row r="15">
      <c r="B15" s="4" t="inlineStr">
        <is>
          <t>d = h - r - est - bl/2</t>
        </is>
      </c>
      <c r="C15" s="14">
        <f>C8*1000-C9*1000-C10-C11/2</f>
        <v/>
      </c>
      <c r="D15" s="9" t="inlineStr">
        <is>
          <t>mm</t>
        </is>
      </c>
    </row>
    <row r="17">
      <c r="B17" s="2" t="inlineStr">
        <is>
          <t>2. SOLICITACIONES (envolvente SAP, sismo / R=5)</t>
        </is>
      </c>
    </row>
    <row r="18">
      <c r="B18" s="4" t="inlineStr">
        <is>
          <t>Mu (-) negativo</t>
        </is>
      </c>
      <c r="C18" s="5" t="n">
        <v>243</v>
      </c>
      <c r="D18" s="9" t="inlineStr">
        <is>
          <t>kN.m</t>
        </is>
      </c>
    </row>
    <row r="19">
      <c r="B19" s="4" t="inlineStr">
        <is>
          <t>Mu (+) positivo</t>
        </is>
      </c>
      <c r="C19" s="5" t="n">
        <v>134</v>
      </c>
      <c r="D19" s="9" t="inlineStr">
        <is>
          <t>kN.m</t>
        </is>
      </c>
    </row>
    <row r="20">
      <c r="B20" s="4" t="inlineStr">
        <is>
          <t>Vu cortante</t>
        </is>
      </c>
      <c r="C20" s="5" t="n">
        <v>202</v>
      </c>
      <c r="D20" s="9" t="inlineStr">
        <is>
          <t>kN</t>
        </is>
      </c>
    </row>
    <row r="21">
      <c r="B21" s="4" t="inlineStr">
        <is>
          <t>Tu torsion</t>
        </is>
      </c>
      <c r="C21" s="5" t="n">
        <v>6</v>
      </c>
      <c r="D21" s="9" t="inlineStr">
        <is>
          <t>kN.m</t>
        </is>
      </c>
    </row>
    <row r="23">
      <c r="B23" s="2" t="inlineStr">
        <is>
          <t>3. FLEXION - Momento NEGATIVO (acero superior)</t>
        </is>
      </c>
    </row>
    <row r="24">
      <c r="B24" s="4" t="inlineStr">
        <is>
          <t>Rn = Mu/(phi b d2)</t>
        </is>
      </c>
      <c r="C24" s="9">
        <f>C18*1000000/(0.9*(C7*1000)*C15^2)</f>
        <v/>
      </c>
      <c r="D24" s="9" t="inlineStr">
        <is>
          <t>MPa</t>
        </is>
      </c>
    </row>
    <row r="25">
      <c r="B25" s="4" t="inlineStr">
        <is>
          <t>rho requerido</t>
        </is>
      </c>
      <c r="C25" s="9">
        <f>(0.85*C5/C6)*(1-SQRT(1-2*C24/(0.85*C5)))</f>
        <v/>
      </c>
      <c r="D25" s="9" t="inlineStr">
        <is>
          <t>-</t>
        </is>
      </c>
    </row>
    <row r="26">
      <c r="B26" s="4" t="inlineStr">
        <is>
          <t>As requerido</t>
        </is>
      </c>
      <c r="C26" s="9">
        <f>C25*(C7*1000)*C15</f>
        <v/>
      </c>
      <c r="D26" s="9" t="inlineStr">
        <is>
          <t>mm2</t>
        </is>
      </c>
    </row>
    <row r="27">
      <c r="B27" s="4" t="inlineStr">
        <is>
          <t>As minimo (C.10.5)</t>
        </is>
      </c>
      <c r="C27" s="9">
        <f>MAX(0.25*SQRT(C5)/C6,1.4/C6)*(C7*1000)*C15</f>
        <v/>
      </c>
      <c r="D27" s="9" t="inlineStr">
        <is>
          <t>mm2</t>
        </is>
      </c>
    </row>
    <row r="28">
      <c r="B28" s="4" t="inlineStr">
        <is>
          <t>As maximo (rho=0.025)</t>
        </is>
      </c>
      <c r="C28" s="9">
        <f>0.025*(C7*1000)*C15</f>
        <v/>
      </c>
      <c r="D28" s="9" t="inlineStr">
        <is>
          <t>mm2</t>
        </is>
      </c>
    </row>
    <row r="29">
      <c r="B29" s="4" t="inlineStr">
        <is>
          <t>As de diseno</t>
        </is>
      </c>
      <c r="C29" s="15">
        <f>MAX(C26,C27)</f>
        <v/>
      </c>
      <c r="D29" s="9" t="inlineStr">
        <is>
          <t>mm2</t>
        </is>
      </c>
    </row>
    <row r="30">
      <c r="B30" s="4" t="inlineStr">
        <is>
          <t>N barras</t>
        </is>
      </c>
      <c r="C30" s="14">
        <f>ROUNDUP(C29/C12,0)</f>
        <v/>
      </c>
      <c r="D30" s="9" t="inlineStr">
        <is>
          <t>u</t>
        </is>
      </c>
    </row>
    <row r="31">
      <c r="B31" s="4" t="inlineStr">
        <is>
          <t>As colocado</t>
        </is>
      </c>
      <c r="C31" s="15">
        <f>C30*C12</f>
        <v/>
      </c>
      <c r="D31" s="9" t="inlineStr">
        <is>
          <t>mm2</t>
        </is>
      </c>
    </row>
    <row r="32">
      <c r="B32" s="4" t="inlineStr">
        <is>
          <t>a (bloque comp.)</t>
        </is>
      </c>
      <c r="C32" s="9">
        <f>C31*C6/(0.85*C5*(C7*1000))</f>
        <v/>
      </c>
      <c r="D32" s="9" t="inlineStr">
        <is>
          <t>mm</t>
        </is>
      </c>
    </row>
    <row r="33">
      <c r="B33" s="4" t="inlineStr">
        <is>
          <t>phiMn</t>
        </is>
      </c>
      <c r="C33" s="14">
        <f>0.9*C31*C6*(C15-C32/2)/1000000</f>
        <v/>
      </c>
      <c r="D33" s="9" t="inlineStr">
        <is>
          <t>kN.m</t>
        </is>
      </c>
    </row>
    <row r="34">
      <c r="B34" s="6" t="inlineStr">
        <is>
          <t>VERIFICACION flexion (-)</t>
        </is>
      </c>
      <c r="C34" s="11">
        <f>IF(AND(C33&gt;=C18,C29&lt;=C28,C29&gt;=C27),"CUMPLE","REVISAR")</f>
        <v/>
      </c>
    </row>
    <row r="36">
      <c r="B36" s="2" t="inlineStr">
        <is>
          <t>4. FLEXION - Momento POSITIVO (acero inferior)</t>
        </is>
      </c>
    </row>
    <row r="37">
      <c r="B37" s="4" t="inlineStr">
        <is>
          <t>Rn</t>
        </is>
      </c>
      <c r="C37" s="9">
        <f>C19*1000000/(0.9*(C7*1000)*C15^2)</f>
        <v/>
      </c>
      <c r="D37" s="9" t="inlineStr">
        <is>
          <t>MPa</t>
        </is>
      </c>
    </row>
    <row r="38">
      <c r="B38" s="4" t="inlineStr">
        <is>
          <t>rho requerido</t>
        </is>
      </c>
      <c r="C38" s="9">
        <f>(0.85*C5/C6)*(1-SQRT(1-2*C37/(0.85*C5)))</f>
        <v/>
      </c>
      <c r="D38" s="9" t="inlineStr">
        <is>
          <t>-</t>
        </is>
      </c>
    </row>
    <row r="39">
      <c r="B39" s="4" t="inlineStr">
        <is>
          <t>As requerido</t>
        </is>
      </c>
      <c r="C39" s="9">
        <f>C38*(C7*1000)*C15</f>
        <v/>
      </c>
      <c r="D39" s="9" t="inlineStr">
        <is>
          <t>mm2</t>
        </is>
      </c>
    </row>
    <row r="40">
      <c r="B40" s="4" t="inlineStr">
        <is>
          <t>As de diseno (&gt;= min)</t>
        </is>
      </c>
      <c r="C40" s="15">
        <f>MAX(C39,C27)</f>
        <v/>
      </c>
      <c r="D40" s="9" t="inlineStr">
        <is>
          <t>mm2</t>
        </is>
      </c>
    </row>
    <row r="41">
      <c r="B41" s="4" t="inlineStr">
        <is>
          <t>N barras</t>
        </is>
      </c>
      <c r="C41" s="14">
        <f>ROUNDUP(C40/C12,0)</f>
        <v/>
      </c>
      <c r="D41" s="9" t="inlineStr">
        <is>
          <t>u</t>
        </is>
      </c>
    </row>
    <row r="42">
      <c r="B42" s="4" t="inlineStr">
        <is>
          <t>As colocado</t>
        </is>
      </c>
      <c r="C42" s="15">
        <f>C41*C12</f>
        <v/>
      </c>
      <c r="D42" s="9" t="inlineStr">
        <is>
          <t>mm2</t>
        </is>
      </c>
    </row>
    <row r="43">
      <c r="B43" s="4" t="inlineStr">
        <is>
          <t>a</t>
        </is>
      </c>
      <c r="C43" s="9">
        <f>C42*C6/(0.85*C5*(C7*1000))</f>
        <v/>
      </c>
      <c r="D43" s="9" t="inlineStr">
        <is>
          <t>mm</t>
        </is>
      </c>
    </row>
    <row r="44">
      <c r="B44" s="4" t="inlineStr">
        <is>
          <t>phiMn</t>
        </is>
      </c>
      <c r="C44" s="14">
        <f>0.9*C42*C6*(C15-C43/2)/1000000</f>
        <v/>
      </c>
      <c r="D44" s="9" t="inlineStr">
        <is>
          <t>kN.m</t>
        </is>
      </c>
    </row>
    <row r="45">
      <c r="B45" s="6" t="inlineStr">
        <is>
          <t>VERIFICACION flexion (+)</t>
        </is>
      </c>
      <c r="C45" s="11">
        <f>IF(C44&gt;=C19,"CUMPLE","REVISAR")</f>
        <v/>
      </c>
    </row>
    <row r="47">
      <c r="B47" s="2" t="inlineStr">
        <is>
          <t>5. CORTANTE  (phi=0.75)</t>
        </is>
      </c>
    </row>
    <row r="48">
      <c r="B48" s="4" t="inlineStr">
        <is>
          <t>Vc = 0.17 raiz(f'c) b d</t>
        </is>
      </c>
      <c r="C48" s="9">
        <f>0.17*SQRT(C5)*(C7*1000)*C15/1000</f>
        <v/>
      </c>
      <c r="D48" s="9" t="inlineStr">
        <is>
          <t>kN</t>
        </is>
      </c>
    </row>
    <row r="49">
      <c r="B49" s="4" t="inlineStr">
        <is>
          <t>phiVc</t>
        </is>
      </c>
      <c r="C49" s="9">
        <f>0.75*C48</f>
        <v/>
      </c>
      <c r="D49" s="9" t="inlineStr">
        <is>
          <t>kN</t>
        </is>
      </c>
    </row>
    <row r="50">
      <c r="B50" s="4" t="inlineStr">
        <is>
          <t>Vs requerido = Vu/phi - Vc</t>
        </is>
      </c>
      <c r="C50" s="9">
        <f>MAX(C20/0.75-C48,0)</f>
        <v/>
      </c>
      <c r="D50" s="9" t="inlineStr">
        <is>
          <t>kN</t>
        </is>
      </c>
    </row>
    <row r="51">
      <c r="B51" s="4" t="inlineStr">
        <is>
          <t>Vs max = 0.66 raiz(f'c) b d</t>
        </is>
      </c>
      <c r="C51" s="9">
        <f>0.66*SQRT(C5)*(C7*1000)*C15/1000</f>
        <v/>
      </c>
      <c r="D51" s="9" t="inlineStr">
        <is>
          <t>kN</t>
        </is>
      </c>
    </row>
    <row r="52">
      <c r="B52" s="4" t="inlineStr">
        <is>
          <t>s requerido = Av fyt d/Vs</t>
        </is>
      </c>
      <c r="C52" s="9">
        <f>IF(C50&gt;0,C13*C6*C15/(C50*1000),300)</f>
        <v/>
      </c>
      <c r="D52" s="9" t="inlineStr">
        <is>
          <t>mm</t>
        </is>
      </c>
    </row>
    <row r="53">
      <c r="B53" s="4" t="inlineStr">
        <is>
          <t>s max confinamiento DMO</t>
        </is>
      </c>
      <c r="C53" s="9">
        <f>MIN(C15/4,6*C11,150)</f>
        <v/>
      </c>
      <c r="D53" s="9" t="inlineStr">
        <is>
          <t>mm</t>
        </is>
      </c>
    </row>
    <row r="54">
      <c r="B54" s="4" t="inlineStr">
        <is>
          <t>Separacion a adoptar</t>
        </is>
      </c>
      <c r="C54" s="14">
        <f>IF(C50&gt;0,MIN(C52,C53),C53)</f>
        <v/>
      </c>
      <c r="D54" s="9" t="inlineStr">
        <is>
          <t>mm</t>
        </is>
      </c>
    </row>
    <row r="55">
      <c r="B55" s="6" t="inlineStr">
        <is>
          <t>VERIFICACION cortante</t>
        </is>
      </c>
      <c r="C55" s="11">
        <f>IF(C50&lt;=C51,"CUMPLE (seccion OK)","AUMENTAR SECCION")</f>
        <v/>
      </c>
    </row>
    <row r="57">
      <c r="B57" s="2" t="inlineStr">
        <is>
          <t>6. CORTANTE POR CAPACIDAD (DMO)</t>
        </is>
      </c>
    </row>
    <row r="58">
      <c r="B58" s="4" t="inlineStr">
        <is>
          <t>Mpr(-) = 1.25 As fy (d-a/2)</t>
        </is>
      </c>
      <c r="C58" s="9">
        <f>1.25*C31*C6*(C15-(1.25*C31*C6/(0.85*C5*(C7*1000)))/2)/1000000</f>
        <v/>
      </c>
      <c r="D58" s="9" t="inlineStr">
        <is>
          <t>kN.m</t>
        </is>
      </c>
    </row>
    <row r="59">
      <c r="B59" s="4" t="inlineStr">
        <is>
          <t>Mpr(+)</t>
        </is>
      </c>
      <c r="C59" s="9">
        <f>1.25*C42*C6*(C15-(1.25*C42*C6/(0.85*C5*(C7*1000)))/2)/1000000</f>
        <v/>
      </c>
      <c r="D59" s="9" t="inlineStr">
        <is>
          <t>kN.m</t>
        </is>
      </c>
    </row>
    <row r="60">
      <c r="B60" s="4" t="inlineStr">
        <is>
          <t>Ve = (Mpr- + Mpr+)/Ln</t>
        </is>
      </c>
      <c r="C60" s="9">
        <f>(C58+C59)/C14</f>
        <v/>
      </c>
      <c r="D60" s="9" t="inlineStr">
        <is>
          <t>kN</t>
        </is>
      </c>
    </row>
    <row r="61">
      <c r="B61" s="4" t="inlineStr">
        <is>
          <t>V de diseno = max(Vu, Ve)</t>
        </is>
      </c>
      <c r="C61" s="14">
        <f>MAX(C20,C60)</f>
        <v/>
      </c>
      <c r="D61" s="9" t="inlineStr">
        <is>
          <t>kN</t>
        </is>
      </c>
    </row>
    <row r="63">
      <c r="B63" s="2" t="inlineStr">
        <is>
          <t>7. TORSION  (phi=0.75)</t>
        </is>
      </c>
    </row>
    <row r="64">
      <c r="B64" s="4" t="inlineStr">
        <is>
          <t>Acp = b h</t>
        </is>
      </c>
      <c r="C64" s="9">
        <f>(C7*1000)*(C8*1000)</f>
        <v/>
      </c>
      <c r="D64" s="9" t="inlineStr">
        <is>
          <t>mm2</t>
        </is>
      </c>
    </row>
    <row r="65">
      <c r="B65" s="4" t="inlineStr">
        <is>
          <t>pcp = 2(b+h)</t>
        </is>
      </c>
      <c r="C65" s="9">
        <f>2*((C7*1000)+(C8*1000))</f>
        <v/>
      </c>
      <c r="D65" s="9" t="inlineStr">
        <is>
          <t>mm</t>
        </is>
      </c>
    </row>
    <row r="66">
      <c r="B66" s="4" t="inlineStr">
        <is>
          <t>T umbral</t>
        </is>
      </c>
      <c r="C66" s="9">
        <f>0.75*0.083*SQRT(C5)*(C64^2/C65)/1000000</f>
        <v/>
      </c>
      <c r="D66" s="9" t="inlineStr">
        <is>
          <t>kN.m</t>
        </is>
      </c>
    </row>
    <row r="67">
      <c r="B67" s="4" t="inlineStr">
        <is>
          <t>Requiere torsion?</t>
        </is>
      </c>
      <c r="C67" s="14">
        <f>IF(C21&gt;C66,"SI - disenar","No - despreciable")</f>
        <v/>
      </c>
      <c r="D67" s="9" t="inlineStr">
        <is>
          <t>-</t>
        </is>
      </c>
    </row>
    <row r="68">
      <c r="B68" s="4" t="inlineStr">
        <is>
          <t>Aoh = (b-2r)(h-2r)</t>
        </is>
      </c>
      <c r="C68" s="9">
        <f>((C7*1000)-2*C9*1000)*((C8*1000)-2*C9*1000)</f>
        <v/>
      </c>
      <c r="D68" s="9" t="inlineStr">
        <is>
          <t>mm2</t>
        </is>
      </c>
    </row>
    <row r="69">
      <c r="B69" s="4" t="inlineStr">
        <is>
          <t>ph</t>
        </is>
      </c>
      <c r="C69" s="9">
        <f>2*(((C7*1000)-2*C9*1000)+((C8*1000)-2*C9*1000))</f>
        <v/>
      </c>
      <c r="D69" s="9" t="inlineStr">
        <is>
          <t>mm</t>
        </is>
      </c>
    </row>
    <row r="70">
      <c r="B70" s="4" t="inlineStr">
        <is>
          <t>Ao = 0.85 Aoh</t>
        </is>
      </c>
      <c r="C70" s="9">
        <f>0.85*C68</f>
        <v/>
      </c>
      <c r="D70" s="9" t="inlineStr">
        <is>
          <t>mm2</t>
        </is>
      </c>
    </row>
    <row r="71">
      <c r="B71" s="4" t="inlineStr">
        <is>
          <t>At/s</t>
        </is>
      </c>
      <c r="C71" s="15">
        <f>IF(C21&gt;C66,C21*1000000/(0.75*2*C70*C6),0)</f>
        <v/>
      </c>
      <c r="D71" s="9" t="inlineStr">
        <is>
          <t>mm2/mm</t>
        </is>
      </c>
    </row>
    <row r="72">
      <c r="B72" s="4" t="inlineStr">
        <is>
          <t>Al</t>
        </is>
      </c>
      <c r="C72" s="15">
        <f>IF(C21&gt;C66,C71*C69,0)</f>
        <v/>
      </c>
      <c r="D72" s="9" t="inlineStr">
        <is>
          <t>mm2</t>
        </is>
      </c>
    </row>
    <row r="74">
      <c r="B74" s="2" t="inlineStr">
        <is>
          <t>8. DEFLEXION</t>
        </is>
      </c>
    </row>
    <row r="75">
      <c r="B75" s="4" t="inlineStr">
        <is>
          <t>h min = Ln/18.5</t>
        </is>
      </c>
      <c r="C75" s="9">
        <f>C14/18.5</f>
        <v/>
      </c>
      <c r="D75" s="9" t="inlineStr">
        <is>
          <t>m</t>
        </is>
      </c>
    </row>
    <row r="76">
      <c r="B76" s="6" t="inlineStr">
        <is>
          <t>VERIFICACION</t>
        </is>
      </c>
      <c r="C76" s="11">
        <f>IF(C8&gt;=C75,"CUMPLE","REVISAR")</f>
        <v/>
      </c>
    </row>
  </sheetData>
  <mergeCells count="1">
    <mergeCell ref="B2:J2"/>
  </mergeCells>
  <pageMargins left="0.4" right="0.4" top="0.6" bottom="0.6" header="0.3" footer="0.3"/>
  <pageSetup orientation="portrait" fitToHeight="0" fitToWidth="1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5496"/>
    <outlinePr summaryBelow="1" summaryRight="1"/>
    <pageSetUpPr fitToPage="1"/>
  </sheetPr>
  <dimension ref="B2:J56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13" customWidth="1" min="3" max="3"/>
    <col width="9" customWidth="1" min="4" max="4"/>
    <col width="13" customWidth="1" min="5" max="5"/>
    <col width="13" customWidth="1" min="6" max="6"/>
    <col width="12" customWidth="1" min="7" max="7"/>
    <col width="13" customWidth="1" min="8" max="8"/>
    <col width="11" customWidth="1" min="9" max="9"/>
    <col width="46" customWidth="1" min="10" max="10"/>
  </cols>
  <sheetData>
    <row r="2">
      <c r="B2" s="1" t="inlineStr">
        <is>
          <t>DISENO DE VIGUETAS (losa aligerada en una direccion) - viga T, gravedad</t>
        </is>
      </c>
    </row>
    <row r="4">
      <c r="B4" s="2" t="inlineStr">
        <is>
          <t>1. DATOS Y GEOMETRIA</t>
        </is>
      </c>
      <c r="J4" s="7" t="inlineStr">
        <is>
          <t>Celdas azules = entrada</t>
        </is>
      </c>
    </row>
    <row r="5">
      <c r="B5" s="4" t="inlineStr">
        <is>
          <t>f'c</t>
        </is>
      </c>
      <c r="C5" s="5" t="n">
        <v>28</v>
      </c>
      <c r="D5" s="9" t="inlineStr">
        <is>
          <t>MPa</t>
        </is>
      </c>
    </row>
    <row r="6">
      <c r="B6" s="4" t="inlineStr">
        <is>
          <t>fy</t>
        </is>
      </c>
      <c r="C6" s="5" t="n">
        <v>420</v>
      </c>
      <c r="D6" s="9" t="inlineStr">
        <is>
          <t>MPa</t>
        </is>
      </c>
    </row>
    <row r="7">
      <c r="B7" s="4" t="inlineStr">
        <is>
          <t>bw (nervio)</t>
        </is>
      </c>
      <c r="C7" s="5" t="n">
        <v>0.15</v>
      </c>
      <c r="D7" s="9" t="inlineStr">
        <is>
          <t>m</t>
        </is>
      </c>
    </row>
    <row r="8">
      <c r="B8" s="4" t="inlineStr">
        <is>
          <t>h (total)</t>
        </is>
      </c>
      <c r="C8" s="5" t="n">
        <v>0.34</v>
      </c>
      <c r="D8" s="9" t="inlineStr">
        <is>
          <t>m</t>
        </is>
      </c>
    </row>
    <row r="9">
      <c r="B9" s="4" t="inlineStr">
        <is>
          <t>hf (loseta)</t>
        </is>
      </c>
      <c r="C9" s="5" t="n">
        <v>0.06</v>
      </c>
      <c r="D9" s="9" t="inlineStr">
        <is>
          <t>m</t>
        </is>
      </c>
    </row>
    <row r="10">
      <c r="B10" s="4" t="inlineStr">
        <is>
          <t>separacion sv</t>
        </is>
      </c>
      <c r="C10" s="5" t="n">
        <v>0.8</v>
      </c>
      <c r="D10" s="9" t="inlineStr">
        <is>
          <t>m</t>
        </is>
      </c>
    </row>
    <row r="11">
      <c r="B11" s="4" t="inlineStr">
        <is>
          <t>recubrimiento r</t>
        </is>
      </c>
      <c r="C11" s="5" t="n">
        <v>0.03</v>
      </c>
      <c r="D11" s="9" t="inlineStr">
        <is>
          <t>m</t>
        </is>
      </c>
    </row>
    <row r="12">
      <c r="B12" s="4" t="inlineStr">
        <is>
          <t>Diam barra long.</t>
        </is>
      </c>
      <c r="C12" s="5" t="n">
        <v>12.7</v>
      </c>
      <c r="D12" s="9" t="inlineStr">
        <is>
          <t>mm #4</t>
        </is>
      </c>
    </row>
    <row r="13">
      <c r="B13" s="4" t="inlineStr">
        <is>
          <t>Area barra</t>
        </is>
      </c>
      <c r="C13" s="5" t="n">
        <v>129</v>
      </c>
      <c r="D13" s="9" t="inlineStr">
        <is>
          <t>mm2 #4</t>
        </is>
      </c>
    </row>
    <row r="14">
      <c r="B14" s="4" t="inlineStr">
        <is>
          <t>Luz libre Ln</t>
        </is>
      </c>
      <c r="C14" s="5" t="n">
        <v>4.75</v>
      </c>
      <c r="D14" s="9" t="inlineStr">
        <is>
          <t>m</t>
        </is>
      </c>
    </row>
    <row r="15">
      <c r="B15" s="4" t="inlineStr">
        <is>
          <t>d = h - r - bl/2</t>
        </is>
      </c>
      <c r="C15" s="14">
        <f>C8*1000-C11*1000-C12/2</f>
        <v/>
      </c>
      <c r="D15" s="9" t="inlineStr">
        <is>
          <t>mm</t>
        </is>
      </c>
    </row>
    <row r="16">
      <c r="B16" s="4" t="inlineStr">
        <is>
          <t>bf = min(Ln/4 ; bw+16hf ; sv)</t>
        </is>
      </c>
      <c r="C16" s="14">
        <f>MIN(C14*1000/4,C7*1000+16*C9*1000,C10*1000)</f>
        <v/>
      </c>
      <c r="D16" s="9" t="inlineStr">
        <is>
          <t>mm</t>
        </is>
      </c>
    </row>
    <row r="18">
      <c r="B18" s="2" t="inlineStr">
        <is>
          <t>2. CARGAS Y SOLICITACIONES (gravedad)</t>
        </is>
      </c>
    </row>
    <row r="19">
      <c r="B19" s="4" t="inlineStr">
        <is>
          <t>Carga muerta wD</t>
        </is>
      </c>
      <c r="C19" s="5" t="n">
        <v>7.04</v>
      </c>
      <c r="D19" s="9" t="inlineStr">
        <is>
          <t>kN/m2</t>
        </is>
      </c>
    </row>
    <row r="20">
      <c r="B20" s="4" t="inlineStr">
        <is>
          <t>Carga viva wL</t>
        </is>
      </c>
      <c r="C20" s="5" t="n">
        <v>1.8</v>
      </c>
      <c r="D20" s="9" t="inlineStr">
        <is>
          <t>kN/m2</t>
        </is>
      </c>
    </row>
    <row r="21">
      <c r="B21" s="4" t="inlineStr">
        <is>
          <t>wu = (1.2D+1.6L) sv</t>
        </is>
      </c>
      <c r="C21" s="14">
        <f>(1.2*C19+1.6*C20)*C10</f>
        <v/>
      </c>
      <c r="D21" s="9" t="inlineStr">
        <is>
          <t>kN/m</t>
        </is>
      </c>
    </row>
    <row r="22">
      <c r="B22" s="4" t="inlineStr">
        <is>
          <t>Mu (-) = wu Ln2/10</t>
        </is>
      </c>
      <c r="C22" s="14">
        <f>C21*C14^2/10</f>
        <v/>
      </c>
      <c r="D22" s="9" t="inlineStr">
        <is>
          <t>kN.m</t>
        </is>
      </c>
    </row>
    <row r="23">
      <c r="B23" s="4" t="inlineStr">
        <is>
          <t>Mu (+) = wu Ln2/14</t>
        </is>
      </c>
      <c r="C23" s="14">
        <f>C21*C14^2/14</f>
        <v/>
      </c>
      <c r="D23" s="9" t="inlineStr">
        <is>
          <t>kN.m</t>
        </is>
      </c>
    </row>
    <row r="24">
      <c r="B24" s="4" t="inlineStr">
        <is>
          <t>Vu = 1.15 wu Ln/2</t>
        </is>
      </c>
      <c r="C24" s="14">
        <f>1.15*C21*C14/2</f>
        <v/>
      </c>
      <c r="D24" s="9" t="inlineStr">
        <is>
          <t>kN</t>
        </is>
      </c>
    </row>
    <row r="26">
      <c r="B26" s="2" t="inlineStr">
        <is>
          <t>3. FLEXION POSITIVA - viga T (loseta a compresion, ancho bf)</t>
        </is>
      </c>
    </row>
    <row r="27">
      <c r="B27" s="4" t="inlineStr">
        <is>
          <t>Rn = Mu+/(phi bf d2)</t>
        </is>
      </c>
      <c r="C27" s="9">
        <f>C23*1000000/(0.9*C16*C15^2)</f>
        <v/>
      </c>
      <c r="D27" s="9" t="inlineStr">
        <is>
          <t>MPa</t>
        </is>
      </c>
    </row>
    <row r="28">
      <c r="B28" s="4" t="inlineStr">
        <is>
          <t>rho</t>
        </is>
      </c>
      <c r="C28" s="9">
        <f>(0.85*C5/C6)*(1-SQRT(1-2*C27/(0.85*C5)))</f>
        <v/>
      </c>
      <c r="D28" s="9" t="inlineStr">
        <is>
          <t>-</t>
        </is>
      </c>
    </row>
    <row r="29">
      <c r="B29" s="4" t="inlineStr">
        <is>
          <t>As+</t>
        </is>
      </c>
      <c r="C29" s="9">
        <f>C28*C16*C15</f>
        <v/>
      </c>
      <c r="D29" s="9" t="inlineStr">
        <is>
          <t>mm2</t>
        </is>
      </c>
    </row>
    <row r="30">
      <c r="B30" s="4" t="inlineStr">
        <is>
          <t>a = As fy/(0.85 f'c bf)</t>
        </is>
      </c>
      <c r="C30" s="9">
        <f>C29*C6/(0.85*C5*C16)</f>
        <v/>
      </c>
      <c r="D30" s="9" t="inlineStr">
        <is>
          <t>mm</t>
        </is>
      </c>
    </row>
    <row r="31">
      <c r="B31" s="4" t="inlineStr">
        <is>
          <t>a &lt;= hf? (T verdadera)</t>
        </is>
      </c>
      <c r="C31" s="9">
        <f>IF(C30&lt;=C9*1000,"Si (bloque en loseta)","revisar T real")</f>
        <v/>
      </c>
      <c r="D31" s="9" t="inlineStr">
        <is>
          <t>-</t>
        </is>
      </c>
    </row>
    <row r="32">
      <c r="B32" s="4" t="inlineStr">
        <is>
          <t>As minimo</t>
        </is>
      </c>
      <c r="C32" s="9">
        <f>MAX(0.25*SQRT(C5)/C6,1.4/C6)*C7*1000*C15</f>
        <v/>
      </c>
      <c r="D32" s="9" t="inlineStr">
        <is>
          <t>mm2</t>
        </is>
      </c>
    </row>
    <row r="33">
      <c r="B33" s="4" t="inlineStr">
        <is>
          <t>As+ de diseno</t>
        </is>
      </c>
      <c r="C33" s="15">
        <f>MAX(C29,C32)</f>
        <v/>
      </c>
      <c r="D33" s="9" t="inlineStr">
        <is>
          <t>mm2</t>
        </is>
      </c>
    </row>
    <row r="34">
      <c r="B34" s="4" t="inlineStr">
        <is>
          <t>N barras (#4)</t>
        </is>
      </c>
      <c r="C34" s="14">
        <f>ROUNDUP(C33/C13,0)</f>
        <v/>
      </c>
      <c r="D34" s="9" t="inlineStr">
        <is>
          <t>u</t>
        </is>
      </c>
    </row>
    <row r="35">
      <c r="B35" s="6" t="inlineStr">
        <is>
          <t>VERIFICACION flexion (+)</t>
        </is>
      </c>
      <c r="C35" s="11">
        <f>IF(AND(C33&gt;=C32,C30&lt;=C9*1000),"CUMPLE","REVISAR")</f>
        <v/>
      </c>
    </row>
    <row r="37">
      <c r="B37" s="2" t="inlineStr">
        <is>
          <t>4. FLEXION NEGATIVA - rectangular (nervio bw)</t>
        </is>
      </c>
    </row>
    <row r="38">
      <c r="B38" s="4" t="inlineStr">
        <is>
          <t>Rn = Mu-/(phi bw d2)</t>
        </is>
      </c>
      <c r="C38" s="9">
        <f>C22*1000000/(0.9*C7*1000*C15^2)</f>
        <v/>
      </c>
      <c r="D38" s="9" t="inlineStr">
        <is>
          <t>MPa</t>
        </is>
      </c>
    </row>
    <row r="39">
      <c r="B39" s="4" t="inlineStr">
        <is>
          <t>rho</t>
        </is>
      </c>
      <c r="C39" s="9">
        <f>(0.85*C5/C6)*(1-SQRT(1-2*C38/(0.85*C5)))</f>
        <v/>
      </c>
      <c r="D39" s="9" t="inlineStr">
        <is>
          <t>-</t>
        </is>
      </c>
    </row>
    <row r="40">
      <c r="B40" s="4" t="inlineStr">
        <is>
          <t>As-</t>
        </is>
      </c>
      <c r="C40" s="9">
        <f>C39*C7*1000*C15</f>
        <v/>
      </c>
      <c r="D40" s="9" t="inlineStr">
        <is>
          <t>mm2</t>
        </is>
      </c>
    </row>
    <row r="41">
      <c r="B41" s="4" t="inlineStr">
        <is>
          <t>As- de diseno (&gt;= min)</t>
        </is>
      </c>
      <c r="C41" s="15">
        <f>MAX(C40,C32)</f>
        <v/>
      </c>
      <c r="D41" s="9" t="inlineStr">
        <is>
          <t>mm2</t>
        </is>
      </c>
    </row>
    <row r="42">
      <c r="B42" s="4" t="inlineStr">
        <is>
          <t>N barras (#4)</t>
        </is>
      </c>
      <c r="C42" s="14">
        <f>ROUNDUP(C41/C13,0)</f>
        <v/>
      </c>
      <c r="D42" s="9" t="inlineStr">
        <is>
          <t>u</t>
        </is>
      </c>
    </row>
    <row r="43">
      <c r="B43" s="6" t="inlineStr">
        <is>
          <t>VERIFICACION flexion (-)</t>
        </is>
      </c>
      <c r="C43" s="11">
        <f>IF(C41&gt;=C32,"CUMPLE","REVISAR")</f>
        <v/>
      </c>
    </row>
    <row r="45">
      <c r="B45" s="2" t="inlineStr">
        <is>
          <t>5. CORTANTE (vigueta: Vc +10% - C.8.13.8)</t>
        </is>
      </c>
    </row>
    <row r="46">
      <c r="B46" s="4" t="inlineStr">
        <is>
          <t>Vc = 0.17 raiz(f'c) bw d</t>
        </is>
      </c>
      <c r="C46" s="9">
        <f>0.17*SQRT(C5)*C7*1000*C15/1000</f>
        <v/>
      </c>
      <c r="D46" s="9" t="inlineStr">
        <is>
          <t>kN</t>
        </is>
      </c>
    </row>
    <row r="47">
      <c r="B47" s="4" t="inlineStr">
        <is>
          <t>phi 1.1 Vc</t>
        </is>
      </c>
      <c r="C47" s="9">
        <f>0.75*1.1*C46</f>
        <v/>
      </c>
      <c r="D47" s="9" t="inlineStr">
        <is>
          <t>kN</t>
        </is>
      </c>
    </row>
    <row r="48">
      <c r="B48" s="4" t="inlineStr">
        <is>
          <t>Vu &lt;= phi 1.1 Vc?</t>
        </is>
      </c>
      <c r="C48" s="11">
        <f>IF(C24&lt;=C47,"Si - sin estribos","Requiere estribos")</f>
        <v/>
      </c>
      <c r="D48" s="9" t="inlineStr">
        <is>
          <t>-</t>
        </is>
      </c>
    </row>
    <row r="50">
      <c r="B50" s="2" t="inlineStr">
        <is>
          <t>6. DEFLEXION (C.9.5)</t>
        </is>
      </c>
    </row>
    <row r="51">
      <c r="B51" s="4" t="inlineStr">
        <is>
          <t>h min = Ln/18.5</t>
        </is>
      </c>
      <c r="C51" s="9">
        <f>C14/18.5</f>
        <v/>
      </c>
      <c r="D51" s="9" t="inlineStr">
        <is>
          <t>m</t>
        </is>
      </c>
    </row>
    <row r="52">
      <c r="B52" s="6" t="inlineStr">
        <is>
          <t>VERIFICACION</t>
        </is>
      </c>
      <c r="C52" s="11">
        <f>IF(C8&gt;=C51,"CUMPLE","REVISAR")</f>
        <v/>
      </c>
    </row>
    <row r="54">
      <c r="B54" s="2" t="inlineStr">
        <is>
          <t>7. DESPIECE</t>
        </is>
      </c>
    </row>
    <row r="55" ht="40" customHeight="1">
      <c r="B55" s="7" t="inlineStr">
        <is>
          <t>Refuerzo inferior As(+) corrido en el nervio; superior As(-) sobre apoyos (bastones Ln/4 + ld). Loseta con malla de retraccion (As=0.0018 b hf). Sin estribos si Vu &lt;= phi 1.1 Vc.</t>
        </is>
      </c>
    </row>
    <row r="56"/>
  </sheetData>
  <mergeCells count="2">
    <mergeCell ref="B55:J56"/>
    <mergeCell ref="B2:J2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B2:I28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1" customWidth="1" min="3" max="3"/>
    <col width="12" customWidth="1" min="4" max="4"/>
    <col width="12" customWidth="1" min="5" max="5"/>
    <col width="13" customWidth="1" min="6" max="6"/>
    <col width="14" customWidth="1" min="7" max="7"/>
    <col width="15" customWidth="1" min="8" max="8"/>
    <col width="14" customWidth="1" min="9" max="9"/>
  </cols>
  <sheetData>
    <row r="2">
      <c r="B2" s="23" t="inlineStr">
        <is>
          <t>DESPIECE: LONGITUDES DE DESARROLLO, GANCHOS Y ESTRIBOS  (NSR-10 C.7 y C.12)</t>
        </is>
      </c>
    </row>
    <row r="4">
      <c r="B4" s="6" t="inlineStr">
        <is>
          <t>1. Parametros</t>
        </is>
      </c>
    </row>
    <row r="5">
      <c r="B5" s="27" t="inlineStr">
        <is>
          <t>f'c [MPa]</t>
        </is>
      </c>
      <c r="C5" s="35" t="n">
        <v>28</v>
      </c>
      <c r="D5" s="27" t="inlineStr">
        <is>
          <t>fy [MPa]</t>
        </is>
      </c>
      <c r="E5" s="35" t="n">
        <v>420</v>
      </c>
      <c r="F5" s="27" t="inlineStr">
        <is>
          <t>recubrimiento [mm]</t>
        </is>
      </c>
      <c r="G5" s="35" t="n">
        <v>40</v>
      </c>
    </row>
    <row r="6" ht="28" customHeight="1">
      <c r="B6" s="7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>
      <c r="B8" s="6" t="inlineStr">
        <is>
          <t>2. Longitudes por diametro de barra [mm]</t>
        </is>
      </c>
    </row>
    <row r="9">
      <c r="B9" s="29" t="inlineStr">
        <is>
          <t>Barra</t>
        </is>
      </c>
      <c r="C9" s="29" t="inlineStr">
        <is>
          <t>db</t>
        </is>
      </c>
      <c r="D9" s="29" t="inlineStr">
        <is>
          <t>ld recto inf.</t>
        </is>
      </c>
      <c r="E9" s="29" t="inlineStr">
        <is>
          <t>ld recto sup.</t>
        </is>
      </c>
      <c r="F9" s="29" t="inlineStr">
        <is>
          <t>ldh (gancho)</t>
        </is>
      </c>
      <c r="G9" s="29" t="inlineStr">
        <is>
          <t>Gancho 90 (12db)</t>
        </is>
      </c>
      <c r="H9" s="29" t="inlineStr">
        <is>
          <t>Gancho 135 estribo</t>
        </is>
      </c>
      <c r="I9" s="29" t="inlineStr">
        <is>
          <t>Diam. doblado (6db)</t>
        </is>
      </c>
    </row>
    <row r="10">
      <c r="B10" s="30" t="inlineStr">
        <is>
          <t>Nº 3</t>
        </is>
      </c>
      <c r="C10" s="35" t="n">
        <v>9.5</v>
      </c>
      <c r="D10" s="31">
        <f>($E$5*1.0*0.8)/(1.1*SQRT($C$5)*2.5)*C10</f>
        <v/>
      </c>
      <c r="E10" s="31">
        <f>($E$5*1.3*0.8)/(1.1*SQRT($C$5)*2.5)*C10</f>
        <v/>
      </c>
      <c r="F10" s="34">
        <f>MAX(0.24*$E$5/SQRT($C$5)*C10,8*C10,150)</f>
        <v/>
      </c>
      <c r="G10" s="31">
        <f>12*C10</f>
        <v/>
      </c>
      <c r="H10" s="31">
        <f>MAX(6*C10,75)</f>
        <v/>
      </c>
      <c r="I10" s="31">
        <f>6*C10</f>
        <v/>
      </c>
    </row>
    <row r="11">
      <c r="B11" s="30" t="inlineStr">
        <is>
          <t>Nº 4</t>
        </is>
      </c>
      <c r="C11" s="35" t="n">
        <v>12.7</v>
      </c>
      <c r="D11" s="31">
        <f>($E$5*1.0*0.8)/(1.1*SQRT($C$5)*2.5)*C11</f>
        <v/>
      </c>
      <c r="E11" s="31">
        <f>($E$5*1.3*0.8)/(1.1*SQRT($C$5)*2.5)*C11</f>
        <v/>
      </c>
      <c r="F11" s="34">
        <f>MAX(0.24*$E$5/SQRT($C$5)*C11,8*C11,150)</f>
        <v/>
      </c>
      <c r="G11" s="31">
        <f>12*C11</f>
        <v/>
      </c>
      <c r="H11" s="31">
        <f>MAX(6*C11,75)</f>
        <v/>
      </c>
      <c r="I11" s="31">
        <f>6*C11</f>
        <v/>
      </c>
    </row>
    <row r="12">
      <c r="B12" s="30" t="inlineStr">
        <is>
          <t>Nº 5</t>
        </is>
      </c>
      <c r="C12" s="35" t="n">
        <v>15.9</v>
      </c>
      <c r="D12" s="31">
        <f>($E$5*1.0*0.8)/(1.1*SQRT($C$5)*2.5)*C12</f>
        <v/>
      </c>
      <c r="E12" s="31">
        <f>($E$5*1.3*0.8)/(1.1*SQRT($C$5)*2.5)*C12</f>
        <v/>
      </c>
      <c r="F12" s="34">
        <f>MAX(0.24*$E$5/SQRT($C$5)*C12,8*C12,150)</f>
        <v/>
      </c>
      <c r="G12" s="31">
        <f>12*C12</f>
        <v/>
      </c>
      <c r="H12" s="31">
        <f>MAX(6*C12,75)</f>
        <v/>
      </c>
      <c r="I12" s="31">
        <f>6*C12</f>
        <v/>
      </c>
    </row>
    <row r="14">
      <c r="B14" s="6" t="inlineStr">
        <is>
          <t>3. Longitud de corte de cada barra</t>
        </is>
      </c>
    </row>
    <row r="15" ht="26" customHeight="1">
      <c r="B15" s="36" t="inlineStr">
        <is>
          <t>Barras SUPERIORES (negativo, apoyos): L = Ln/4 + ldh.   Barras INFERIORES (positivo, centro): L = Ln + 2 ldh.   (metodo del grupo, NSR-10 C.12).</t>
        </is>
      </c>
      <c r="C15" s="25" t="n"/>
      <c r="D15" s="25" t="n"/>
      <c r="E15" s="25" t="n"/>
      <c r="F15" s="25" t="n"/>
      <c r="G15" s="25" t="n"/>
      <c r="H15" s="25" t="n"/>
      <c r="I15" s="26" t="n"/>
    </row>
    <row r="16">
      <c r="B16" s="29" t="inlineStr">
        <is>
          <t>Posicion</t>
        </is>
      </c>
      <c r="C16" s="29" t="inlineStr">
        <is>
          <t>Barra</t>
        </is>
      </c>
      <c r="D16" s="29" t="inlineStr">
        <is>
          <t>Luz libre Ln [m]</t>
        </is>
      </c>
      <c r="E16" s="29" t="inlineStr">
        <is>
          <t>ldh [mm]</t>
        </is>
      </c>
      <c r="F16" s="29" t="inlineStr">
        <is>
          <t>Formula</t>
        </is>
      </c>
      <c r="G16" s="29" t="inlineStr">
        <is>
          <t>Longitud [m]</t>
        </is>
      </c>
    </row>
    <row r="17">
      <c r="B17" s="31" t="inlineStr">
        <is>
          <t>Viga superior (apoyos)</t>
        </is>
      </c>
      <c r="C17" s="31" t="inlineStr">
        <is>
          <t>Nº 4</t>
        </is>
      </c>
      <c r="D17" s="35" t="n">
        <v>5.1</v>
      </c>
      <c r="E17" s="31">
        <f>F11</f>
        <v/>
      </c>
      <c r="F17" s="37" t="inlineStr">
        <is>
          <t>Ln/4 + ldh</t>
        </is>
      </c>
      <c r="G17" s="34">
        <f>(D17/4*1000+E17)/1000</f>
        <v/>
      </c>
    </row>
    <row r="18">
      <c r="B18" s="31" t="inlineStr">
        <is>
          <t>Viga inferior (centro)</t>
        </is>
      </c>
      <c r="C18" s="31" t="inlineStr">
        <is>
          <t>Nº 5</t>
        </is>
      </c>
      <c r="D18" s="35" t="n">
        <v>5.1</v>
      </c>
      <c r="E18" s="31">
        <f>F12</f>
        <v/>
      </c>
      <c r="F18" s="37" t="inlineStr">
        <is>
          <t>Ln + 2 ldh</t>
        </is>
      </c>
      <c r="G18" s="34">
        <f>(D18*1000+2*E18)/1000</f>
        <v/>
      </c>
    </row>
    <row r="19">
      <c r="B19" s="31" t="inlineStr">
        <is>
          <t>Vigueta superior (apoyos)</t>
        </is>
      </c>
      <c r="C19" s="31" t="inlineStr">
        <is>
          <t>Nº 3</t>
        </is>
      </c>
      <c r="D19" s="35" t="n">
        <v>5.1</v>
      </c>
      <c r="E19" s="31">
        <f>F10</f>
        <v/>
      </c>
      <c r="F19" s="31" t="inlineStr">
        <is>
          <t>Ln/4 + ldh</t>
        </is>
      </c>
      <c r="G19" s="34">
        <f>(D19/4*1000+E19)/1000</f>
        <v/>
      </c>
    </row>
    <row r="20" ht="28" customHeight="1">
      <c r="B20" s="31" t="inlineStr">
        <is>
          <t>Vigueta inferior (centro)</t>
        </is>
      </c>
      <c r="C20" s="31" t="inlineStr">
        <is>
          <t>Nº 3</t>
        </is>
      </c>
      <c r="D20" s="35" t="n">
        <v>5.1</v>
      </c>
      <c r="E20" s="31">
        <f>F10</f>
        <v/>
      </c>
      <c r="F20" s="31" t="inlineStr">
        <is>
          <t>Ln + 2 ldh</t>
        </is>
      </c>
      <c r="G20" s="34">
        <f>(D20*1000+2*E20)/1000</f>
        <v/>
      </c>
    </row>
    <row r="22">
      <c r="B22" s="6" t="inlineStr">
        <is>
          <t>4. Estribos (Nº 3) y zonas de confinamiento (DMO C.21.3.4)</t>
        </is>
      </c>
    </row>
    <row r="23">
      <c r="B23" s="29" t="inlineStr">
        <is>
          <t>Elemento</t>
        </is>
      </c>
      <c r="C23" s="29" t="inlineStr">
        <is>
          <t>b [mm]</t>
        </is>
      </c>
      <c r="D23" s="29" t="inlineStr">
        <is>
          <t>h [mm]</t>
        </is>
      </c>
      <c r="E23" s="29" t="inlineStr">
        <is>
          <t>d [mm]</t>
        </is>
      </c>
      <c r="F23" s="29" t="inlineStr">
        <is>
          <t>Zona confin. 2h [mm]</t>
        </is>
      </c>
      <c r="G23" s="29" t="inlineStr">
        <is>
          <t>s confin. (d/4) [mm]</t>
        </is>
      </c>
      <c r="H23" s="29" t="inlineStr">
        <is>
          <t>s centro (d/2) [mm]</t>
        </is>
      </c>
      <c r="I23" s="29" t="inlineStr">
        <is>
          <t>Long. estribo [mm]</t>
        </is>
      </c>
    </row>
    <row r="24">
      <c r="B24" s="31" t="inlineStr">
        <is>
          <t>Viga de carga VC</t>
        </is>
      </c>
      <c r="C24" s="35" t="n">
        <v>300</v>
      </c>
      <c r="D24" s="35" t="n">
        <v>400</v>
      </c>
      <c r="E24" s="35" t="n">
        <v>342.6</v>
      </c>
      <c r="F24" s="31">
        <f>2*D24</f>
        <v/>
      </c>
      <c r="G24" s="34">
        <f>MIN(E24/4,6*15.9,150)</f>
        <v/>
      </c>
      <c r="H24" s="34">
        <f>E24/2</f>
        <v/>
      </c>
      <c r="I24" s="31">
        <f>2*((C24-2*$G$5)+(D24-2*$G$5))+2*MAX(10*9.5,75)</f>
        <v/>
      </c>
    </row>
    <row r="25">
      <c r="B25" s="31" t="inlineStr">
        <is>
          <t>Riostra VR</t>
        </is>
      </c>
      <c r="C25" s="35" t="n">
        <v>350</v>
      </c>
      <c r="D25" s="35" t="n">
        <v>400</v>
      </c>
      <c r="E25" s="35" t="n">
        <v>342.6</v>
      </c>
      <c r="F25" s="31">
        <f>2*D25</f>
        <v/>
      </c>
      <c r="G25" s="34">
        <f>MIN(E25/4,6*15.9,150)</f>
        <v/>
      </c>
      <c r="H25" s="34">
        <f>E25/2</f>
        <v/>
      </c>
      <c r="I25" s="31">
        <f>2*((C25-2*$G$5)+(D25-2*$G$5))+2*MAX(10*9.5,75)</f>
        <v/>
      </c>
    </row>
    <row r="26">
      <c r="B26" s="31" t="inlineStr">
        <is>
          <t>Vigueta</t>
        </is>
      </c>
      <c r="C26" s="35" t="n">
        <v>150</v>
      </c>
      <c r="D26" s="35" t="n">
        <v>340</v>
      </c>
      <c r="E26" s="35" t="n">
        <v>304</v>
      </c>
      <c r="F26" s="31">
        <f>2*D26</f>
        <v/>
      </c>
      <c r="G26" s="34">
        <f>MIN(E26/4,6*15.9,150)</f>
        <v/>
      </c>
      <c r="H26" s="34">
        <f>E26/2</f>
        <v/>
      </c>
      <c r="I26" s="31">
        <f>2*((C26-2*$G$5)+(D26-2*$G$5))+2*MAX(10*9.5,75)</f>
        <v/>
      </c>
    </row>
    <row r="28" ht="28" customHeight="1">
      <c r="B28" s="7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 fitToWidth="1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2026-06-24T19:57:17Z</dcterms:created>
  <dcterms:modified xmlns:dcterms="http://purl.org/dc/terms/" xmlns:xsi="http://www.w3.org/2001/XMLSchema-instance" xsi:type="dcterms:W3CDTF">2026-06-25T15:31:22Z</dcterms:modified>
</cp:coreProperties>
</file>