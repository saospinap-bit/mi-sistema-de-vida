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rregularidades" sheetId="1" state="visible" r:id="rId1"/>
    <sheet xmlns:r="http://schemas.openxmlformats.org/officeDocument/2006/relationships" name="Cuadro Viguetas" sheetId="2" state="visible" r:id="rId2"/>
    <sheet xmlns:r="http://schemas.openxmlformats.org/officeDocument/2006/relationships" name="Cuadro Vigas-Riostras" sheetId="3" state="visible" r:id="rId3"/>
    <sheet xmlns:r="http://schemas.openxmlformats.org/officeDocument/2006/relationships" name="Diseno Vigas" sheetId="4" state="visible" r:id="rId4"/>
    <sheet xmlns:r="http://schemas.openxmlformats.org/officeDocument/2006/relationships" name="Diseno Riostras" sheetId="5" state="visible" r:id="rId5"/>
    <sheet xmlns:r="http://schemas.openxmlformats.org/officeDocument/2006/relationships" name="Diseno Viguetas" sheetId="6" state="visible" r:id="rId6"/>
    <sheet xmlns:r="http://schemas.openxmlformats.org/officeDocument/2006/relationships" name="Despiece y Longitu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</fonts>
  <fills count="7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72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9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25"/>
  <sheetViews>
    <sheetView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VIGAS DE CARGA  (VC 40x30)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20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80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RIOSTRAS / VIGAS DE RIGIDEZ  (VR 40x35) - NSR-10 / ACI 318 (DMO)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 y 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250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As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  <c r="J48" s="7" t="inlineStr">
        <is>
          <t>Estribos #3 de 2 ramas. Confinamiento = 2h desde cada cara del nudo (DMO C.21.3.4).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 C.21.3.4.2)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  <c r="J58" s="7" t="inlineStr">
        <is>
          <t>Sumar el cortante gravitacional del tramo a Ve. Gobierna el mayor entre Vu y Ve.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(phi=0.75, theta=45)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  <c r="J64" s="7" t="inlineStr">
        <is>
          <t>Estribo total = Av/s(cortante) + 2(At/s). Al se reparte en el perimetro.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 = phi 0.083 raiz(f'c) Acp2/pcp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 = 2[(b-2r)+(h-2r)]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 (estribo torsion)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 (long. por torsion)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 (C.9.5)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  <row r="78">
      <c r="B78" s="2" t="inlineStr">
        <is>
          <t>9. DESPIECE (resumen)</t>
        </is>
      </c>
    </row>
    <row r="79" ht="40" customHeight="1">
      <c r="B79" s="7" t="inlineStr">
        <is>
          <t>Acero superior: As(-) corrido + bastones en zona negativa (Ln/4 + ld). Inferior: As(+) corrido. Estribos #3: confinamiento @ s_adoptar en 2h desde cada cara, resto @ d/2. Ganchos sismicos 135 grados.</t>
        </is>
      </c>
    </row>
    <row r="80"/>
  </sheetData>
  <mergeCells count="2">
    <mergeCell ref="B79:J80"/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56"/>
  <sheetViews>
    <sheetView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28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barra:  Ln + 2 ldh</t>
        </is>
      </c>
    </row>
    <row r="15">
      <c r="B15" s="29" t="inlineStr">
        <is>
          <t>Elemento</t>
        </is>
      </c>
      <c r="C15" s="29" t="inlineStr">
        <is>
          <t>Barra</t>
        </is>
      </c>
      <c r="D15" s="29" t="inlineStr">
        <is>
          <t>Luz libre Ln [m]</t>
        </is>
      </c>
      <c r="E15" s="29" t="inlineStr">
        <is>
          <t>ldh [mm]</t>
        </is>
      </c>
      <c r="F15" s="29" t="inlineStr">
        <is>
          <t>Longitud de barra [m]</t>
        </is>
      </c>
    </row>
    <row r="16">
      <c r="B16" s="31" t="inlineStr">
        <is>
          <t>Viga de carga VC</t>
        </is>
      </c>
      <c r="C16" s="31" t="inlineStr">
        <is>
          <t>Nº 5</t>
        </is>
      </c>
      <c r="D16" s="35" t="n">
        <v>4.9</v>
      </c>
      <c r="E16" s="31">
        <f>F12</f>
        <v/>
      </c>
      <c r="F16" s="34">
        <f>(D16*1000+2*E16)/1000</f>
        <v/>
      </c>
    </row>
    <row r="17">
      <c r="B17" s="31" t="inlineStr">
        <is>
          <t>Riostra VR</t>
        </is>
      </c>
      <c r="C17" s="31" t="inlineStr">
        <is>
          <t>Nº 5</t>
        </is>
      </c>
      <c r="D17" s="35" t="n">
        <v>5.1</v>
      </c>
      <c r="E17" s="31">
        <f>F12</f>
        <v/>
      </c>
      <c r="F17" s="34">
        <f>(D17*1000+2*E17)/1000</f>
        <v/>
      </c>
    </row>
    <row r="18">
      <c r="B18" s="31" t="inlineStr">
        <is>
          <t>Vigueta</t>
        </is>
      </c>
      <c r="C18" s="31" t="inlineStr">
        <is>
          <t>Nº 4</t>
        </is>
      </c>
      <c r="D18" s="35" t="n">
        <v>4.8</v>
      </c>
      <c r="E18" s="31">
        <f>F11</f>
        <v/>
      </c>
      <c r="F18" s="34">
        <f>(D18*1000+2*E18)/1000</f>
        <v/>
      </c>
    </row>
    <row r="20" ht="28" customHeight="1">
      <c r="B20" s="7" t="inlineStr">
        <is>
          <t>La longitud incluye un gancho estandar a 90 grados en cada extremo, anclado dentro de las columnas. Para las barras superiores que no se cortan, el baston negativo se extiende Ln/4 mas la longitud de desarrollo desde la cara del apoyo.</t>
        </is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2026-06-24T22:02:56Z</dcterms:modified>
</cp:coreProperties>
</file>